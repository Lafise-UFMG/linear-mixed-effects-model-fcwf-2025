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Físicos" sheetId="1" r:id="rId4"/>
    <sheet state="visible" name="Jogadores" sheetId="2" r:id="rId5"/>
    <sheet state="visible" name="Jogos" sheetId="3" r:id="rId6"/>
    <sheet state="visible" name="Dados Meteorológicos" sheetId="4" r:id="rId7"/>
    <sheet state="hidden" name="Análise Clima de Origem" sheetId="5" r:id="rId8"/>
    <sheet state="hidden" name="Análise Horário dos Jogos" sheetId="6" r:id="rId9"/>
    <sheet state="visible" name="Estádios e Cidades" sheetId="7" r:id="rId10"/>
    <sheet state="visible" name="Equipes" sheetId="8" r:id="rId11"/>
  </sheets>
  <definedNames>
    <definedName hidden="1" localSheetId="0" name="_xlnm._FilterDatabase">'Dados Físicos'!$A$1:$BH$2011</definedName>
    <definedName hidden="1" localSheetId="1" name="_xlnm._FilterDatabase">Jogadores!$A$1:$E$842</definedName>
    <definedName hidden="1" localSheetId="2" name="_xlnm._FilterDatabase">Jogos!$A$1:$BN$64</definedName>
    <definedName hidden="1" localSheetId="5" name="_xlnm._FilterDatabase">'Análise Horário dos Jogos'!$A$1:$Z$997</definedName>
    <definedName hidden="1" localSheetId="6" name="_xlnm._FilterDatabase">'Estádios e Cidades'!$F$1:$F$64</definedName>
  </definedNames>
  <calcPr/>
</workbook>
</file>

<file path=xl/sharedStrings.xml><?xml version="1.0" encoding="utf-8"?>
<sst xmlns="http://schemas.openxmlformats.org/spreadsheetml/2006/main" count="18141" uniqueCount="1843">
  <si>
    <t>N_Jogo</t>
  </si>
  <si>
    <t>Group/Stage</t>
  </si>
  <si>
    <t>Stage</t>
  </si>
  <si>
    <t>Date</t>
  </si>
  <si>
    <t>Local Time</t>
  </si>
  <si>
    <t>Time_of_day</t>
  </si>
  <si>
    <t>Stadium</t>
  </si>
  <si>
    <t>Stadium_type</t>
  </si>
  <si>
    <t>City</t>
  </si>
  <si>
    <t>Team</t>
  </si>
  <si>
    <t>Origin_climate</t>
  </si>
  <si>
    <t>Team_classification</t>
  </si>
  <si>
    <t>Team_elimination</t>
  </si>
  <si>
    <t>Opponent</t>
  </si>
  <si>
    <t>Opponent_classification</t>
  </si>
  <si>
    <t>Opponent_elimination</t>
  </si>
  <si>
    <t>Ranking_difference</t>
  </si>
  <si>
    <t>Team_ide</t>
  </si>
  <si>
    <t>Player_id</t>
  </si>
  <si>
    <t xml:space="preserve">Player # </t>
  </si>
  <si>
    <t>Player</t>
  </si>
  <si>
    <t>Player_position</t>
  </si>
  <si>
    <t>Player_age</t>
  </si>
  <si>
    <t>Entrou</t>
  </si>
  <si>
    <t>Saiu</t>
  </si>
  <si>
    <t>Duração 1º tempo</t>
  </si>
  <si>
    <t>Tempo jogado (1º tempo)</t>
  </si>
  <si>
    <t>Duração 2º tempo</t>
  </si>
  <si>
    <t>Tempo jogado (2º tempo)</t>
  </si>
  <si>
    <t>Duração Prorrogação</t>
  </si>
  <si>
    <t>Tempo jogado (prorrogação)</t>
  </si>
  <si>
    <t>Played_minutes</t>
  </si>
  <si>
    <t>Total Distance (m)</t>
  </si>
  <si>
    <t>Zone 1:0-7 km/h (m)</t>
  </si>
  <si>
    <t>Zone 2:7-15 km/h (m)</t>
  </si>
  <si>
    <t>Zone 3:15-20 km/h (m)</t>
  </si>
  <si>
    <t>Zone 4:20-25 km/h (m)</t>
  </si>
  <si>
    <t>Zone 5:25+km/h (m)</t>
  </si>
  <si>
    <t># High Speed Runs (Zone 3)</t>
  </si>
  <si>
    <t># Sprints (Zone 4 &amp; 5)</t>
  </si>
  <si>
    <t>Top_Speed</t>
  </si>
  <si>
    <t>Total_distance_min</t>
  </si>
  <si>
    <t>Zone1_min</t>
  </si>
  <si>
    <t>Zone2_min</t>
  </si>
  <si>
    <t>Zone12_min</t>
  </si>
  <si>
    <t>Zone3_min</t>
  </si>
  <si>
    <t>Zone4_min</t>
  </si>
  <si>
    <t>Zone5_min</t>
  </si>
  <si>
    <t>Zone45_min</t>
  </si>
  <si>
    <t>N_zone3_min</t>
  </si>
  <si>
    <t>N_zone4e5_min</t>
  </si>
  <si>
    <t>Temp</t>
  </si>
  <si>
    <t>Tdew</t>
  </si>
  <si>
    <t>UR</t>
  </si>
  <si>
    <t>UA</t>
  </si>
  <si>
    <t>RAD</t>
  </si>
  <si>
    <t>V</t>
  </si>
  <si>
    <t>TN</t>
  </si>
  <si>
    <t>TG</t>
  </si>
  <si>
    <t>WBGT</t>
  </si>
  <si>
    <t>Group A</t>
  </si>
  <si>
    <t>Group</t>
  </si>
  <si>
    <t>Hard Rock Stadium</t>
  </si>
  <si>
    <t>Al Ahly FC</t>
  </si>
  <si>
    <t>Inter Miami CF</t>
  </si>
  <si>
    <t>5-AlAhly</t>
  </si>
  <si>
    <t>Mohamed Ali BEN ROMDHANE</t>
  </si>
  <si>
    <t>6-AlAhly</t>
  </si>
  <si>
    <t>YASSER IBRAHIM</t>
  </si>
  <si>
    <t>7-AlAhly</t>
  </si>
  <si>
    <t>TREZEGUET</t>
  </si>
  <si>
    <t>8-AlAhly</t>
  </si>
  <si>
    <t>HAMDY FATHY</t>
  </si>
  <si>
    <t>9-AlAhly</t>
  </si>
  <si>
    <t>WESSAM ABOU ALI</t>
  </si>
  <si>
    <t>13-AlAhly</t>
  </si>
  <si>
    <t>MARAWAN ATTIA</t>
  </si>
  <si>
    <t>15-AlAhly</t>
  </si>
  <si>
    <t>Achraf DARI</t>
  </si>
  <si>
    <t>22-AlAhly</t>
  </si>
  <si>
    <t>EMAM ASHOUR</t>
  </si>
  <si>
    <t>30-AlAhly</t>
  </si>
  <si>
    <t>MOHAMED HANY</t>
  </si>
  <si>
    <t>36-AlAhly</t>
  </si>
  <si>
    <t>AHMED KOKA</t>
  </si>
  <si>
    <t>10-AlAhly</t>
  </si>
  <si>
    <t>Nejc GRADISAR</t>
  </si>
  <si>
    <t>14-AlAhly</t>
  </si>
  <si>
    <t>HUSSEIN ELSHAHAT</t>
  </si>
  <si>
    <t>19-AlAhly</t>
  </si>
  <si>
    <t>MOHAMED AFSHA</t>
  </si>
  <si>
    <t>25-AlAhly</t>
  </si>
  <si>
    <t>ZIZO</t>
  </si>
  <si>
    <t>29-AlAhly</t>
  </si>
  <si>
    <t>TAHER MOHAMED</t>
  </si>
  <si>
    <t>5-InterMiami</t>
  </si>
  <si>
    <t>Sergio BUSQUETS</t>
  </si>
  <si>
    <t>6-InterMiami</t>
  </si>
  <si>
    <t>Tomas AVILES</t>
  </si>
  <si>
    <t>8-InterMiami</t>
  </si>
  <si>
    <t>Telasco SEGOVIA</t>
  </si>
  <si>
    <t>9-InterMiami</t>
  </si>
  <si>
    <t>Luis SUAREZ</t>
  </si>
  <si>
    <t>10-InterMiami</t>
  </si>
  <si>
    <t>Lionel MESSI</t>
  </si>
  <si>
    <t>17-InterMiami</t>
  </si>
  <si>
    <t>Ian FRAY</t>
  </si>
  <si>
    <t>21-InterMiami</t>
  </si>
  <si>
    <t>Tadeo ALLENDE</t>
  </si>
  <si>
    <t>32-InterMiami</t>
  </si>
  <si>
    <t>Noah ALLEN</t>
  </si>
  <si>
    <t>37-InterMiami</t>
  </si>
  <si>
    <t>Maximiliano FALCON</t>
  </si>
  <si>
    <t>55-InterMiami</t>
  </si>
  <si>
    <t>Federico REDONDO</t>
  </si>
  <si>
    <t>7-InterMiami</t>
  </si>
  <si>
    <t>Fafa PICAULT</t>
  </si>
  <si>
    <t>30-InterMiami</t>
  </si>
  <si>
    <t>Benjamin CREMASCHI</t>
  </si>
  <si>
    <t>57-InterMiami</t>
  </si>
  <si>
    <t>Marcelo WEIGANDT</t>
  </si>
  <si>
    <t>Group C</t>
  </si>
  <si>
    <t>TQL Stadium</t>
  </si>
  <si>
    <t>FC Bayern Munchen</t>
  </si>
  <si>
    <t>Auckland City FC</t>
  </si>
  <si>
    <t>4-Bayern</t>
  </si>
  <si>
    <t>Jonathan TAH</t>
  </si>
  <si>
    <t>6-Bayern</t>
  </si>
  <si>
    <t>Joshua KIMMICH</t>
  </si>
  <si>
    <t>9-Bayern</t>
  </si>
  <si>
    <t>Harry KANE</t>
  </si>
  <si>
    <t>11-Bayern</t>
  </si>
  <si>
    <t>Kingsley COMAN</t>
  </si>
  <si>
    <t>17-Bayern</t>
  </si>
  <si>
    <t>Michael OLISE</t>
  </si>
  <si>
    <t>22-Bayern</t>
  </si>
  <si>
    <t>RAPHAEL GUERREIRO</t>
  </si>
  <si>
    <t>23-Bayern</t>
  </si>
  <si>
    <t>Sacha BOEY</t>
  </si>
  <si>
    <t>25-Bayern</t>
  </si>
  <si>
    <t>Thomas MUELLER</t>
  </si>
  <si>
    <t>44-Bayern</t>
  </si>
  <si>
    <t>Josip STANISIC</t>
  </si>
  <si>
    <t>45-Bayern</t>
  </si>
  <si>
    <t>Aleksandar PAVLOVIC</t>
  </si>
  <si>
    <t>2-Bayern</t>
  </si>
  <si>
    <t>Dayot UPAMECANO</t>
  </si>
  <si>
    <t>7-Bayern</t>
  </si>
  <si>
    <t>Serge GNABRY</t>
  </si>
  <si>
    <t>42-Bayern</t>
  </si>
  <si>
    <t>Jamal MUSIALA</t>
  </si>
  <si>
    <t>46-Bayern</t>
  </si>
  <si>
    <t>Lennart KARL</t>
  </si>
  <si>
    <t>49-Bayern</t>
  </si>
  <si>
    <t>Adam AZNOU</t>
  </si>
  <si>
    <t>2-Auckland</t>
  </si>
  <si>
    <t>Mario ILICH</t>
  </si>
  <si>
    <t>3-Auckland</t>
  </si>
  <si>
    <t>Adam MITCHELL</t>
  </si>
  <si>
    <t>5-Auckland</t>
  </si>
  <si>
    <t>Nikko BOXALL</t>
  </si>
  <si>
    <t>7-Auckland</t>
  </si>
  <si>
    <t>Myer BEVAN</t>
  </si>
  <si>
    <t>8-Auckland</t>
  </si>
  <si>
    <t>Gerard GARRIGA</t>
  </si>
  <si>
    <t>10-Auckland</t>
  </si>
  <si>
    <t>Dylan MANICKUM</t>
  </si>
  <si>
    <t>12-Auckland</t>
  </si>
  <si>
    <t>Regont MURATI</t>
  </si>
  <si>
    <t>13-Auckland</t>
  </si>
  <si>
    <t>Nathan LOBO</t>
  </si>
  <si>
    <t>25-Auckland</t>
  </si>
  <si>
    <t>Michael DEN HEIJER</t>
  </si>
  <si>
    <t>26-Auckland</t>
  </si>
  <si>
    <t>David YOO</t>
  </si>
  <si>
    <t>9-Auckland</t>
  </si>
  <si>
    <t>Angus KILKOLLY</t>
  </si>
  <si>
    <t>11-Auckland</t>
  </si>
  <si>
    <t>Ryan DE VRIES</t>
  </si>
  <si>
    <t>17-Auckland</t>
  </si>
  <si>
    <t>Jerson LAGOS</t>
  </si>
  <si>
    <t>22-Auckland</t>
  </si>
  <si>
    <t>ZHOU Tong</t>
  </si>
  <si>
    <t>23-Auckland</t>
  </si>
  <si>
    <t>Alfie ROGERS</t>
  </si>
  <si>
    <t>Group B</t>
  </si>
  <si>
    <t>Rose Bowl Stadium</t>
  </si>
  <si>
    <t>Paris Saint-Germain</t>
  </si>
  <si>
    <t>Atlético de Madrid</t>
  </si>
  <si>
    <t>2-PSG</t>
  </si>
  <si>
    <t>Achraf HAKIMI</t>
  </si>
  <si>
    <t>5-PSG</t>
  </si>
  <si>
    <t>MARQUINHOS</t>
  </si>
  <si>
    <t>7-PSG</t>
  </si>
  <si>
    <t>Khvicha KVARATSKHELIA</t>
  </si>
  <si>
    <t>8-PSG</t>
  </si>
  <si>
    <t>Fabian RUIZ</t>
  </si>
  <si>
    <t>9-PSG</t>
  </si>
  <si>
    <t>GONCALO RAMOS</t>
  </si>
  <si>
    <t>14-PSG</t>
  </si>
  <si>
    <t>Desire DOUE</t>
  </si>
  <si>
    <t>17-PSG</t>
  </si>
  <si>
    <t>VITINHA</t>
  </si>
  <si>
    <t>25-PSG</t>
  </si>
  <si>
    <t>NUNO MENDES</t>
  </si>
  <si>
    <t>51-PSG</t>
  </si>
  <si>
    <t>Willian PACHO</t>
  </si>
  <si>
    <t>87-PSG</t>
  </si>
  <si>
    <t>JOAO NEVES</t>
  </si>
  <si>
    <t>19-PSG</t>
  </si>
  <si>
    <t>LEE Kangin</t>
  </si>
  <si>
    <t>21-PSG</t>
  </si>
  <si>
    <t>Lucas HERNANDEZ</t>
  </si>
  <si>
    <t>24-PSG</t>
  </si>
  <si>
    <t>Senny MAYULU</t>
  </si>
  <si>
    <t>33-PSG</t>
  </si>
  <si>
    <t>Warren ZAIRE-EMERY</t>
  </si>
  <si>
    <t>49-PSG</t>
  </si>
  <si>
    <t>Ibrahim MBAYE</t>
  </si>
  <si>
    <t>5-Atletico</t>
  </si>
  <si>
    <t>Rodrigo DE PAUL</t>
  </si>
  <si>
    <t>7-Atletico</t>
  </si>
  <si>
    <t>Antoine GRIEZMANN</t>
  </si>
  <si>
    <t>8-Atletico</t>
  </si>
  <si>
    <t>Pablo BARRIOS</t>
  </si>
  <si>
    <t>12-Atletico</t>
  </si>
  <si>
    <t>SAMUEL LINO</t>
  </si>
  <si>
    <t>14-Atletico</t>
  </si>
  <si>
    <t>Marcos LLORENTE</t>
  </si>
  <si>
    <t>15-Atletico</t>
  </si>
  <si>
    <t>Clement LENGLET</t>
  </si>
  <si>
    <t>19-Atletico</t>
  </si>
  <si>
    <t>Julian ALVAREZ</t>
  </si>
  <si>
    <t>21-Atletico</t>
  </si>
  <si>
    <t>Javi GALAN</t>
  </si>
  <si>
    <t>22-Atletico</t>
  </si>
  <si>
    <t>Giuliano SIMEONE</t>
  </si>
  <si>
    <t>24-Atletico</t>
  </si>
  <si>
    <t>Robin LE NORMAND</t>
  </si>
  <si>
    <t>4-Atletico</t>
  </si>
  <si>
    <t>Conor GALLAGHER</t>
  </si>
  <si>
    <t>6-Atletico</t>
  </si>
  <si>
    <t>KOKE</t>
  </si>
  <si>
    <t>9-Atletico</t>
  </si>
  <si>
    <t>Alexander SORLOTH</t>
  </si>
  <si>
    <t>10-Atletico</t>
  </si>
  <si>
    <t>Angel CORREA</t>
  </si>
  <si>
    <t>23-Atletico</t>
  </si>
  <si>
    <t>REINILDO MANDAVA</t>
  </si>
  <si>
    <t>MetLife Stadium</t>
  </si>
  <si>
    <t>Palmeiras</t>
  </si>
  <si>
    <t>FC Porto</t>
  </si>
  <si>
    <t>4-Palmeiras</t>
  </si>
  <si>
    <t>Agustin GIAY</t>
  </si>
  <si>
    <t>5-Palmeiras</t>
  </si>
  <si>
    <t>Anibal MORENO</t>
  </si>
  <si>
    <t>7-Palmeiras</t>
  </si>
  <si>
    <t>FELIPE ANDERSON</t>
  </si>
  <si>
    <t>8-Palmeiras</t>
  </si>
  <si>
    <t>Richard RIOS</t>
  </si>
  <si>
    <t>9-Palmeiras</t>
  </si>
  <si>
    <t>VITOR ROQUE</t>
  </si>
  <si>
    <t>15-Palmeiras</t>
  </si>
  <si>
    <t>Gustavo GOMEZ</t>
  </si>
  <si>
    <t>18-Palmeiras</t>
  </si>
  <si>
    <t>MAURICIO</t>
  </si>
  <si>
    <t>22-Palmeiras</t>
  </si>
  <si>
    <t>Joaquin PIQUEREZ</t>
  </si>
  <si>
    <t>26-Palmeiras</t>
  </si>
  <si>
    <t>MURILO</t>
  </si>
  <si>
    <t>41-Palmeiras</t>
  </si>
  <si>
    <t>ESTEVAO</t>
  </si>
  <si>
    <t>10-Palmeiras</t>
  </si>
  <si>
    <t>PAULINHO</t>
  </si>
  <si>
    <t>23-Palmeiras</t>
  </si>
  <si>
    <t>RAPHAEL VEIGA</t>
  </si>
  <si>
    <t>30-Palmeiras</t>
  </si>
  <si>
    <t>LUCAS EVANGELISTA</t>
  </si>
  <si>
    <t>40-Palmeiras</t>
  </si>
  <si>
    <t>ALLAN</t>
  </si>
  <si>
    <t>42-Palmeiras</t>
  </si>
  <si>
    <t>Jose Manuel LOPEZ</t>
  </si>
  <si>
    <t>5-Porto</t>
  </si>
  <si>
    <t>Ivan MARCANO</t>
  </si>
  <si>
    <t>9-Porto</t>
  </si>
  <si>
    <t>Samu AGHEHOWA</t>
  </si>
  <si>
    <t>10-Porto</t>
  </si>
  <si>
    <t>FABIO VIEIRA</t>
  </si>
  <si>
    <t>17-Porto</t>
  </si>
  <si>
    <t>Gabri VEIGA</t>
  </si>
  <si>
    <t>22-Porto</t>
  </si>
  <si>
    <t>Alan VARELA</t>
  </si>
  <si>
    <t>23-Porto</t>
  </si>
  <si>
    <t>JOAO MARIO</t>
  </si>
  <si>
    <t>52-Porto</t>
  </si>
  <si>
    <t>MARTIM FERNANDES</t>
  </si>
  <si>
    <t>74-Porto</t>
  </si>
  <si>
    <t>FRANCISCO MOURA</t>
  </si>
  <si>
    <t>86-Porto</t>
  </si>
  <si>
    <t>RODRIGO MORA</t>
  </si>
  <si>
    <t>97-Porto</t>
  </si>
  <si>
    <t>ZE PEDRO</t>
  </si>
  <si>
    <t>6-Porto</t>
  </si>
  <si>
    <t>Stephen EUSTAQUIO</t>
  </si>
  <si>
    <t>11-Porto</t>
  </si>
  <si>
    <t>PEPE</t>
  </si>
  <si>
    <t>20-Porto</t>
  </si>
  <si>
    <t>ANDRE FRANCO</t>
  </si>
  <si>
    <t>24-Porto</t>
  </si>
  <si>
    <t>Nehuen PEREZ</t>
  </si>
  <si>
    <t>25-Porto</t>
  </si>
  <si>
    <t>Tomas PEREZ</t>
  </si>
  <si>
    <t>Lumen Field</t>
  </si>
  <si>
    <t>Botafogo</t>
  </si>
  <si>
    <t>Seattle Sounders FC</t>
  </si>
  <si>
    <t>2-Botafogo</t>
  </si>
  <si>
    <t>VITINHO</t>
  </si>
  <si>
    <t>7-Botafogo</t>
  </si>
  <si>
    <t>ARTUR</t>
  </si>
  <si>
    <t>10-Botafogo</t>
  </si>
  <si>
    <t>Jefferson SAVARINO</t>
  </si>
  <si>
    <t>13-Botafogo</t>
  </si>
  <si>
    <t>ALEX TELLES</t>
  </si>
  <si>
    <t>17-Botafogo</t>
  </si>
  <si>
    <t>MARLON FREITAS</t>
  </si>
  <si>
    <t>20-Botafogo</t>
  </si>
  <si>
    <t>Alexander BARBOZA</t>
  </si>
  <si>
    <t>26-Botafogo</t>
  </si>
  <si>
    <t>GREGORE</t>
  </si>
  <si>
    <t>32-Botafogo</t>
  </si>
  <si>
    <t>JAIR CUNHA</t>
  </si>
  <si>
    <t>39-Botafogo</t>
  </si>
  <si>
    <t>Gonzalo MASTRIANI</t>
  </si>
  <si>
    <t>99-Botafogo</t>
  </si>
  <si>
    <t>IGOR JESUS</t>
  </si>
  <si>
    <t>5-Botafogo</t>
  </si>
  <si>
    <t>DANILO</t>
  </si>
  <si>
    <t>23-Botafogo</t>
  </si>
  <si>
    <t>Santiago RODRIGUEZ</t>
  </si>
  <si>
    <t>30-Botafogo</t>
  </si>
  <si>
    <t>Joaquin CORREA</t>
  </si>
  <si>
    <t>66-Botafogo</t>
  </si>
  <si>
    <t>CUIABANO</t>
  </si>
  <si>
    <t>98-Botafogo</t>
  </si>
  <si>
    <t>ARTHUR CABRAL</t>
  </si>
  <si>
    <t>5-Seattle</t>
  </si>
  <si>
    <t>Nouhou TOLO</t>
  </si>
  <si>
    <t>7-Seattle</t>
  </si>
  <si>
    <t>Cristian ROLDAN</t>
  </si>
  <si>
    <t>9-Seattle</t>
  </si>
  <si>
    <t>Jesus FERREIRA</t>
  </si>
  <si>
    <t>11-Seattle</t>
  </si>
  <si>
    <t>Albert RUSNAK</t>
  </si>
  <si>
    <t>16-Seattle</t>
  </si>
  <si>
    <t>Alex ROLDAN</t>
  </si>
  <si>
    <t>18-Seattle</t>
  </si>
  <si>
    <t>Obed VARGAS</t>
  </si>
  <si>
    <t>19-Seattle</t>
  </si>
  <si>
    <t>Danny MUSOVSKI</t>
  </si>
  <si>
    <t>20-Seattle</t>
  </si>
  <si>
    <t>KIM Keehee</t>
  </si>
  <si>
    <t>25-Seattle</t>
  </si>
  <si>
    <t>Jackson RAGEN</t>
  </si>
  <si>
    <t>77-Seattle</t>
  </si>
  <si>
    <t>Ryan KENT</t>
  </si>
  <si>
    <t>10-Seattle</t>
  </si>
  <si>
    <t>Pedro DE LA VEGA</t>
  </si>
  <si>
    <t>14-Seattle</t>
  </si>
  <si>
    <t>Paul ROTHROCK</t>
  </si>
  <si>
    <t>15-Seattle</t>
  </si>
  <si>
    <t>Jon BELL</t>
  </si>
  <si>
    <t>21-Seattle</t>
  </si>
  <si>
    <t>Reed BAKER-WHITING</t>
  </si>
  <si>
    <t>95-Seattle</t>
  </si>
  <si>
    <t>Osaze DE ROSARIO</t>
  </si>
  <si>
    <t>Group D</t>
  </si>
  <si>
    <t>Mercedes-Benz Stadium</t>
  </si>
  <si>
    <t>Chelsea FC</t>
  </si>
  <si>
    <t>LAFC</t>
  </si>
  <si>
    <t>3-Chelsea</t>
  </si>
  <si>
    <t>Marc CUCURELLA</t>
  </si>
  <si>
    <t>4-Chelsea</t>
  </si>
  <si>
    <t>Tosin ADARABIOYO</t>
  </si>
  <si>
    <t>6-Chelsea</t>
  </si>
  <si>
    <t>Levi COLWILL</t>
  </si>
  <si>
    <t>7-Chelsea</t>
  </si>
  <si>
    <t>PEDRO NETO</t>
  </si>
  <si>
    <t>10-Chelsea</t>
  </si>
  <si>
    <t>Cole PALMER</t>
  </si>
  <si>
    <t>11-Chelsea</t>
  </si>
  <si>
    <t>Noni MADUEKE</t>
  </si>
  <si>
    <t>15-Chelsea</t>
  </si>
  <si>
    <t>Nicolas JACKSON</t>
  </si>
  <si>
    <t>24-Chelsea</t>
  </si>
  <si>
    <t>Reece JAMES</t>
  </si>
  <si>
    <t>25-Chelsea</t>
  </si>
  <si>
    <t>Moises CAICEDO</t>
  </si>
  <si>
    <t>45-Chelsea</t>
  </si>
  <si>
    <t>Romeo LAVIA</t>
  </si>
  <si>
    <t>8-Chelsea</t>
  </si>
  <si>
    <t>Enzo FERNANDEZ</t>
  </si>
  <si>
    <t>9-Chelsea</t>
  </si>
  <si>
    <t>Liam DELAP</t>
  </si>
  <si>
    <t>14-Chelsea</t>
  </si>
  <si>
    <t>DARIO ESSUGO</t>
  </si>
  <si>
    <t>18-Chelsea</t>
  </si>
  <si>
    <t>Christopher NKUNKU</t>
  </si>
  <si>
    <t>27-Chelsea</t>
  </si>
  <si>
    <t>Malo GUSTO</t>
  </si>
  <si>
    <t>32-Chelsea</t>
  </si>
  <si>
    <t>Tyrique GEORGE</t>
  </si>
  <si>
    <t>4-LAFC</t>
  </si>
  <si>
    <t>Eddie SEGURA</t>
  </si>
  <si>
    <t>6-LAFC</t>
  </si>
  <si>
    <t>8-LAFC</t>
  </si>
  <si>
    <t>Marky DELGADO</t>
  </si>
  <si>
    <t>11-LAFC</t>
  </si>
  <si>
    <t>Timothy TILLMAN</t>
  </si>
  <si>
    <t>14-LAFC</t>
  </si>
  <si>
    <t>Sergi PALENCIA</t>
  </si>
  <si>
    <t>17-LAFC</t>
  </si>
  <si>
    <t>Jeremy EBOBISSE</t>
  </si>
  <si>
    <t>24-LAFC</t>
  </si>
  <si>
    <t>Ryan HOLLINGSHEAD</t>
  </si>
  <si>
    <t>27-LAFC</t>
  </si>
  <si>
    <t>Nathan ORDAZ</t>
  </si>
  <si>
    <t>33-LAFC</t>
  </si>
  <si>
    <t>Aaron LONG</t>
  </si>
  <si>
    <t>99-LAFC</t>
  </si>
  <si>
    <t>Denis BOUANGA</t>
  </si>
  <si>
    <t>5-LAFC</t>
  </si>
  <si>
    <t>MARLON</t>
  </si>
  <si>
    <t>9-LAFC</t>
  </si>
  <si>
    <t>Olivier GIROUD</t>
  </si>
  <si>
    <t>20-LAFC</t>
  </si>
  <si>
    <t>Yaw YEBOAH</t>
  </si>
  <si>
    <t>23-LAFC</t>
  </si>
  <si>
    <t>Frankie AMAYA</t>
  </si>
  <si>
    <t>30-LAFC</t>
  </si>
  <si>
    <t>David MARTINEZ</t>
  </si>
  <si>
    <t>CA Boca Juniors</t>
  </si>
  <si>
    <t>SL Benfica</t>
  </si>
  <si>
    <t>4-Boca</t>
  </si>
  <si>
    <t>Nicolas FIGAL</t>
  </si>
  <si>
    <t>5-Boca</t>
  </si>
  <si>
    <t>Rodrigo BATTAGLIA</t>
  </si>
  <si>
    <t>8-Boca</t>
  </si>
  <si>
    <t>Carlos PALACIOS</t>
  </si>
  <si>
    <t>16-Boca</t>
  </si>
  <si>
    <t>Miguel MERENTIEL</t>
  </si>
  <si>
    <t>17-Boca</t>
  </si>
  <si>
    <t>Luis ADVINCULA</t>
  </si>
  <si>
    <t>20-Boca</t>
  </si>
  <si>
    <t>Alan VELASCO</t>
  </si>
  <si>
    <t>21-Boca</t>
  </si>
  <si>
    <t>Ander HERRERA</t>
  </si>
  <si>
    <t>22-Boca</t>
  </si>
  <si>
    <t>Kevin ZENON</t>
  </si>
  <si>
    <t>23-Boca</t>
  </si>
  <si>
    <t>Lautaro BLANCO</t>
  </si>
  <si>
    <t>32-Boca</t>
  </si>
  <si>
    <t>Ayrton COSTA</t>
  </si>
  <si>
    <t>7-Boca</t>
  </si>
  <si>
    <t>Exequiel ZEBALLOS</t>
  </si>
  <si>
    <t>9-Boca</t>
  </si>
  <si>
    <t>Milton GIMENEZ</t>
  </si>
  <si>
    <t>15-Boca</t>
  </si>
  <si>
    <t>Williams ALARCON</t>
  </si>
  <si>
    <t>30-Boca</t>
  </si>
  <si>
    <t>Tomas BELMONTE</t>
  </si>
  <si>
    <t>3-Benfica</t>
  </si>
  <si>
    <t>Alvaro FERNANDEZ</t>
  </si>
  <si>
    <t>4-Benfica</t>
  </si>
  <si>
    <t>ANTONIO SILVA</t>
  </si>
  <si>
    <t>8-Benfica</t>
  </si>
  <si>
    <t>Fredrik AURSNES</t>
  </si>
  <si>
    <t>11-Benfica</t>
  </si>
  <si>
    <t>Angel DI MARIA</t>
  </si>
  <si>
    <t>14-Benfica</t>
  </si>
  <si>
    <t>Evangelos PAVLIDIS</t>
  </si>
  <si>
    <t>26-Benfica</t>
  </si>
  <si>
    <t>Samuel DAHL</t>
  </si>
  <si>
    <t>27-Benfica</t>
  </si>
  <si>
    <t>BRUMA</t>
  </si>
  <si>
    <t>30-Benfica</t>
  </si>
  <si>
    <t>Nicolas OTAMENDI</t>
  </si>
  <si>
    <t>61-Benfica</t>
  </si>
  <si>
    <t>FLORENTINO LUIS</t>
  </si>
  <si>
    <t>85-Benfica</t>
  </si>
  <si>
    <t>RENATO SANCHES</t>
  </si>
  <si>
    <t>10-Benfica</t>
  </si>
  <si>
    <t>Orkun KOKCU</t>
  </si>
  <si>
    <t>17-Benfica</t>
  </si>
  <si>
    <t>Kerem AKTURKOGLU</t>
  </si>
  <si>
    <t>18-Benfica</t>
  </si>
  <si>
    <t>Leandro BARREIRO</t>
  </si>
  <si>
    <t>19-Benfica</t>
  </si>
  <si>
    <t>Andrea BELOTTI</t>
  </si>
  <si>
    <t>25-Benfica</t>
  </si>
  <si>
    <t>Gianluca PRESTIANNI</t>
  </si>
  <si>
    <t>Lincoln Financial Field</t>
  </si>
  <si>
    <t>CR Flamengo</t>
  </si>
  <si>
    <t>Espérance de Tunisie</t>
  </si>
  <si>
    <t>2-Flamengo</t>
  </si>
  <si>
    <t>Guillermo VARELA</t>
  </si>
  <si>
    <t>3-Flamengo</t>
  </si>
  <si>
    <t>LEO ORTIZ</t>
  </si>
  <si>
    <t>4-Flamengo</t>
  </si>
  <si>
    <t>LEO PEREIRA</t>
  </si>
  <si>
    <t>5-Flamengo</t>
  </si>
  <si>
    <t>Erick PULGAR</t>
  </si>
  <si>
    <t>6-Flamengo</t>
  </si>
  <si>
    <t>AYRTON LUCAS</t>
  </si>
  <si>
    <t>7-Flamengo</t>
  </si>
  <si>
    <t>LUIZ ARAUJO</t>
  </si>
  <si>
    <t>8-Flamengo</t>
  </si>
  <si>
    <t>GERSON</t>
  </si>
  <si>
    <t>9-Flamengo</t>
  </si>
  <si>
    <t>PEDRO</t>
  </si>
  <si>
    <t>10-Flamengo</t>
  </si>
  <si>
    <t>Giorgian DE ARRASCAETA</t>
  </si>
  <si>
    <t>21-Flamengo</t>
  </si>
  <si>
    <t>JORGINHO</t>
  </si>
  <si>
    <t>11-Flamengo</t>
  </si>
  <si>
    <t>EVERTON</t>
  </si>
  <si>
    <t>27-Flamengo</t>
  </si>
  <si>
    <t>BRUNO HENRIQUE</t>
  </si>
  <si>
    <t>29-Flamengo</t>
  </si>
  <si>
    <t>30-Flamengo</t>
  </si>
  <si>
    <t>MICHAEL</t>
  </si>
  <si>
    <t>50-Flamengo</t>
  </si>
  <si>
    <t>Gonzalo PLATA</t>
  </si>
  <si>
    <t>2-Esperance</t>
  </si>
  <si>
    <t>Mohamed BEN ALI</t>
  </si>
  <si>
    <t>5-Esperance</t>
  </si>
  <si>
    <t>Yassine MERIAH</t>
  </si>
  <si>
    <t>9-Esperance</t>
  </si>
  <si>
    <t>RODRIGO RODRIGUES</t>
  </si>
  <si>
    <t>10-Esperance</t>
  </si>
  <si>
    <t>YAN SASSE</t>
  </si>
  <si>
    <t>11-Esperance</t>
  </si>
  <si>
    <t>Youcef BELAILI</t>
  </si>
  <si>
    <t>14-Esperance</t>
  </si>
  <si>
    <t>Onuche OGBELU</t>
  </si>
  <si>
    <t>15-Esperance</t>
  </si>
  <si>
    <t>Mohamed Amine TOUGAI</t>
  </si>
  <si>
    <t>20-Esperance</t>
  </si>
  <si>
    <t>Mohamed Amine BEN HMIDA</t>
  </si>
  <si>
    <t>36-Esperance</t>
  </si>
  <si>
    <t>Chiheb JBELI</t>
  </si>
  <si>
    <t>38-Esperance</t>
  </si>
  <si>
    <t>Khalil GUENICHI</t>
  </si>
  <si>
    <t>4-Esperance</t>
  </si>
  <si>
    <t>Mohamed Wael DERBALI</t>
  </si>
  <si>
    <t>13-Esperance</t>
  </si>
  <si>
    <t>Raed BOUCHNIBA</t>
  </si>
  <si>
    <t>19-Esperance</t>
  </si>
  <si>
    <t>Achraf JABRI</t>
  </si>
  <si>
    <t>21-Esperance</t>
  </si>
  <si>
    <t>Abdramane KONATE</t>
  </si>
  <si>
    <t>24-Esperance</t>
  </si>
  <si>
    <t>Elias MOKWANA</t>
  </si>
  <si>
    <t>Group F</t>
  </si>
  <si>
    <t>Fluminense FC</t>
  </si>
  <si>
    <t>Borussia Dortmund</t>
  </si>
  <si>
    <t>2-Fluminense</t>
  </si>
  <si>
    <t>SAMUEL XAVIER</t>
  </si>
  <si>
    <t>3-Fluminense</t>
  </si>
  <si>
    <t>THIAGO SILVA</t>
  </si>
  <si>
    <t>6-Fluminense</t>
  </si>
  <si>
    <t>RENE</t>
  </si>
  <si>
    <t>8-Fluminense</t>
  </si>
  <si>
    <t>MARTINELLI</t>
  </si>
  <si>
    <t>9-Fluminense</t>
  </si>
  <si>
    <t>EVERALDO</t>
  </si>
  <si>
    <t>16-Fluminense</t>
  </si>
  <si>
    <t>NONATO</t>
  </si>
  <si>
    <t>17-Fluminense</t>
  </si>
  <si>
    <t>Agustin CANOBBIO</t>
  </si>
  <si>
    <t>21-Fluminense</t>
  </si>
  <si>
    <t>Jhon ARIAS</t>
  </si>
  <si>
    <t>22-Fluminense</t>
  </si>
  <si>
    <t>Juan FREYTES</t>
  </si>
  <si>
    <t>35-Fluminense</t>
  </si>
  <si>
    <t>HERCULES</t>
  </si>
  <si>
    <t>14-Fluminense</t>
  </si>
  <si>
    <t>German CANO</t>
  </si>
  <si>
    <t>45-Fluminense</t>
  </si>
  <si>
    <t>LIMA</t>
  </si>
  <si>
    <t>77-Fluminense</t>
  </si>
  <si>
    <t>PAULO BAYA</t>
  </si>
  <si>
    <t>90-Fluminense</t>
  </si>
  <si>
    <t>Kevin SERNA</t>
  </si>
  <si>
    <t>3-Borussia</t>
  </si>
  <si>
    <t>Waldemar ANTON</t>
  </si>
  <si>
    <t>5-Borussia</t>
  </si>
  <si>
    <t>Ramy BENSEBAINI</t>
  </si>
  <si>
    <t>9-Borussia</t>
  </si>
  <si>
    <t>Serhou GUIRASSY</t>
  </si>
  <si>
    <t>10-Borussia</t>
  </si>
  <si>
    <t>Julian BRANDT</t>
  </si>
  <si>
    <t>13-Borussia</t>
  </si>
  <si>
    <t>Pascal GROSS</t>
  </si>
  <si>
    <t>20-Borussia</t>
  </si>
  <si>
    <t>Marcel SABITZER</t>
  </si>
  <si>
    <t>24-Borussia</t>
  </si>
  <si>
    <t>Daniel SVENSSON</t>
  </si>
  <si>
    <t>25-Borussia</t>
  </si>
  <si>
    <t>Niklas SUELE</t>
  </si>
  <si>
    <t>26-Borussia</t>
  </si>
  <si>
    <t>Julian RYERSON</t>
  </si>
  <si>
    <t>27-Borussia</t>
  </si>
  <si>
    <t>Karim ADEYEMI</t>
  </si>
  <si>
    <t>2-Borussia</t>
  </si>
  <si>
    <t>YAN COUTO</t>
  </si>
  <si>
    <t>8-Borussia</t>
  </si>
  <si>
    <t>Felix NMECHA</t>
  </si>
  <si>
    <t>17-Borussia</t>
  </si>
  <si>
    <t>Carney CHUKWUEMEKA</t>
  </si>
  <si>
    <t>43-Borussia</t>
  </si>
  <si>
    <t>Jamie BYNOE-GITTENS</t>
  </si>
  <si>
    <t>77-Borussia</t>
  </si>
  <si>
    <t>Jobe BELLINGHAM</t>
  </si>
  <si>
    <t>Group E</t>
  </si>
  <si>
    <t>CA River Plate</t>
  </si>
  <si>
    <t>Urawa Red Diamonds</t>
  </si>
  <si>
    <t>4-River</t>
  </si>
  <si>
    <t>Gonzalo MONTIEL</t>
  </si>
  <si>
    <t>6-River</t>
  </si>
  <si>
    <t>German PEZZELLA</t>
  </si>
  <si>
    <t>11-River</t>
  </si>
  <si>
    <t>Facundo COLIDIO</t>
  </si>
  <si>
    <t>15-River</t>
  </si>
  <si>
    <t>Sebastian DRIUSSI</t>
  </si>
  <si>
    <t>21-River</t>
  </si>
  <si>
    <t>Marcos ACUNA</t>
  </si>
  <si>
    <t>22-River</t>
  </si>
  <si>
    <t>Kevin CASTANO</t>
  </si>
  <si>
    <t>24-River</t>
  </si>
  <si>
    <t>Enzo PEREZ</t>
  </si>
  <si>
    <t>26-River</t>
  </si>
  <si>
    <t>Ignacio FERNANDEZ</t>
  </si>
  <si>
    <t>28-River</t>
  </si>
  <si>
    <t>Lucas MARTINEZ QUARTA</t>
  </si>
  <si>
    <t>30-River</t>
  </si>
  <si>
    <t>Franco MASTANTUONO</t>
  </si>
  <si>
    <t>8-River</t>
  </si>
  <si>
    <t>Maximiliano MEZA</t>
  </si>
  <si>
    <t>9-River</t>
  </si>
  <si>
    <t>Miguel BORJA</t>
  </si>
  <si>
    <t>18-River</t>
  </si>
  <si>
    <t>Gonzalo MARTINEZ</t>
  </si>
  <si>
    <t>20-River</t>
  </si>
  <si>
    <t>Milton CASCO</t>
  </si>
  <si>
    <t>34-River</t>
  </si>
  <si>
    <t>Giuliano GALOPPO</t>
  </si>
  <si>
    <t>3-Urawa</t>
  </si>
  <si>
    <t>DANILO BOZA</t>
  </si>
  <si>
    <t>4-Urawa</t>
  </si>
  <si>
    <t>Hirokazu ISHIHARA</t>
  </si>
  <si>
    <t>5-Urawa</t>
  </si>
  <si>
    <t>Marius HOIBRATEN</t>
  </si>
  <si>
    <t>8-Urawa</t>
  </si>
  <si>
    <t>MATHEUS SAVIO</t>
  </si>
  <si>
    <t>11-Urawa</t>
  </si>
  <si>
    <t>Samuel GUSTAFSON</t>
  </si>
  <si>
    <t>13-Urawa</t>
  </si>
  <si>
    <t>Ryoma WATANABE</t>
  </si>
  <si>
    <t>24-Urawa</t>
  </si>
  <si>
    <t>Yusuke MATSUO</t>
  </si>
  <si>
    <t>25-Urawa</t>
  </si>
  <si>
    <t>Kaito YASUI</t>
  </si>
  <si>
    <t>77-Urawa</t>
  </si>
  <si>
    <t>Takuro KANEKO</t>
  </si>
  <si>
    <t>88-Urawa</t>
  </si>
  <si>
    <t>Yoichi NAGANUMA</t>
  </si>
  <si>
    <t>6-Urawa</t>
  </si>
  <si>
    <t>Taishi MATSUMOTO</t>
  </si>
  <si>
    <t>9-Urawa</t>
  </si>
  <si>
    <t>Genki HARAGUCHI</t>
  </si>
  <si>
    <t>12-Urawa</t>
  </si>
  <si>
    <t>THIAGO SANTANA</t>
  </si>
  <si>
    <t>14-Urawa</t>
  </si>
  <si>
    <t>Takahiro SEKINE</t>
  </si>
  <si>
    <t>26-Urawa</t>
  </si>
  <si>
    <t>Takuya OGIWARA</t>
  </si>
  <si>
    <t>Inter&amp;Co Stadium</t>
  </si>
  <si>
    <t>Ulsan HD</t>
  </si>
  <si>
    <t>Mamelodi Sundowns FC</t>
  </si>
  <si>
    <t>4-Ulsan</t>
  </si>
  <si>
    <t>SEO Myungguan</t>
  </si>
  <si>
    <t>5-Ulsan</t>
  </si>
  <si>
    <t>JUNG Wooyoung</t>
  </si>
  <si>
    <t>6-Ulsan</t>
  </si>
  <si>
    <t>Darijan BOJANIC</t>
  </si>
  <si>
    <t>7-Ulsan</t>
  </si>
  <si>
    <t>KO Seungbeom</t>
  </si>
  <si>
    <t>11-Ulsan</t>
  </si>
  <si>
    <t>UM Wonsang</t>
  </si>
  <si>
    <t>17-Ulsan</t>
  </si>
  <si>
    <t>Gustav LUDWIGSON</t>
  </si>
  <si>
    <t>19-Ulsan</t>
  </si>
  <si>
    <t>KIM Younggwon</t>
  </si>
  <si>
    <t>27-Ulsan</t>
  </si>
  <si>
    <t>LEE Chungyong</t>
  </si>
  <si>
    <t>66-Ulsan</t>
  </si>
  <si>
    <t>Milosz TROJAK</t>
  </si>
  <si>
    <t>97-Ulsan</t>
  </si>
  <si>
    <t>ERICK FARIAS</t>
  </si>
  <si>
    <t>13-Ulsan</t>
  </si>
  <si>
    <t>KANG Sangwoo</t>
  </si>
  <si>
    <t>14-Ulsan</t>
  </si>
  <si>
    <t>LEE Jinhyun</t>
  </si>
  <si>
    <t>16-Ulsan</t>
  </si>
  <si>
    <t>LEE Huigyun</t>
  </si>
  <si>
    <t>36-Ulsan</t>
  </si>
  <si>
    <t>Matias LACAVA</t>
  </si>
  <si>
    <t>4-Mamelodi</t>
  </si>
  <si>
    <t>Teboho MOKOENA</t>
  </si>
  <si>
    <t>9-Mamelodi</t>
  </si>
  <si>
    <t>ARTHUR SALES</t>
  </si>
  <si>
    <t>10-Mamelodi</t>
  </si>
  <si>
    <t>LUCAS RIBEIRO</t>
  </si>
  <si>
    <t>11-Mamelodi</t>
  </si>
  <si>
    <t>Marcelo ALLENDE</t>
  </si>
  <si>
    <t>13-Mamelodi</t>
  </si>
  <si>
    <t>Iqraam RAYNERS</t>
  </si>
  <si>
    <t>18-Mamelodi</t>
  </si>
  <si>
    <t>Themba ZWANE</t>
  </si>
  <si>
    <t>20-Mamelodi</t>
  </si>
  <si>
    <t>Grant KEKANA</t>
  </si>
  <si>
    <t>24-Mamelodi</t>
  </si>
  <si>
    <t>Keanu CUPIDO</t>
  </si>
  <si>
    <t>25-Mamelodi</t>
  </si>
  <si>
    <t>Khuliso MUDAU</t>
  </si>
  <si>
    <t>29-Mamelodi</t>
  </si>
  <si>
    <t>Divine LUNGA</t>
  </si>
  <si>
    <t>8-Mamelodi</t>
  </si>
  <si>
    <t>Jayden ADAMS</t>
  </si>
  <si>
    <t>15-Mamelodi</t>
  </si>
  <si>
    <t>Bathusi AUBAAS</t>
  </si>
  <si>
    <t>17-Mamelodi</t>
  </si>
  <si>
    <t>Tashreeq MATTHEWS</t>
  </si>
  <si>
    <t>34-Mamelodi</t>
  </si>
  <si>
    <t>Mothobi MVALA</t>
  </si>
  <si>
    <t>35-Mamelodi</t>
  </si>
  <si>
    <t>Lebo MOTHIBA</t>
  </si>
  <si>
    <t>CF Monterrey</t>
  </si>
  <si>
    <t>FC Internazionale Milano</t>
  </si>
  <si>
    <t>2-Monterrey</t>
  </si>
  <si>
    <t>Ricardo CHAVEZ</t>
  </si>
  <si>
    <t>3-Monterrey</t>
  </si>
  <si>
    <t>Gerardo ARTEAGA</t>
  </si>
  <si>
    <t>4-Monterrey</t>
  </si>
  <si>
    <t>Victor GUZMAN</t>
  </si>
  <si>
    <t>7-Monterrey</t>
  </si>
  <si>
    <t>German BERTERAME</t>
  </si>
  <si>
    <t>8-Monterrey</t>
  </si>
  <si>
    <t>Oliver TORRES</t>
  </si>
  <si>
    <t>10-Monterrey</t>
  </si>
  <si>
    <t>Sergio CANALES</t>
  </si>
  <si>
    <t>29-Monterrey</t>
  </si>
  <si>
    <t>Lucas OCAMPOS</t>
  </si>
  <si>
    <t>30-Monterrey</t>
  </si>
  <si>
    <t>Jorge RODRIGUEZ</t>
  </si>
  <si>
    <t>33-Monterrey</t>
  </si>
  <si>
    <t>Stefan MEDINA</t>
  </si>
  <si>
    <t>93-Monterrey</t>
  </si>
  <si>
    <t>Sergio RAMOS</t>
  </si>
  <si>
    <t>5-Monterrey</t>
  </si>
  <si>
    <t>Fidel AMBRIZ</t>
  </si>
  <si>
    <t>6-Monterrey</t>
  </si>
  <si>
    <t>Nelson DEOSSA</t>
  </si>
  <si>
    <t>14-Monterrey</t>
  </si>
  <si>
    <t>Erick AGUIRRE</t>
  </si>
  <si>
    <t>16-Monterrey</t>
  </si>
  <si>
    <t>Johan ROJAS</t>
  </si>
  <si>
    <t>19-Monterrey</t>
  </si>
  <si>
    <t>Jordi CORTIZO</t>
  </si>
  <si>
    <t>10-InterMilano</t>
  </si>
  <si>
    <t>Lautaro MARTINEZ</t>
  </si>
  <si>
    <t>15-InterMilano</t>
  </si>
  <si>
    <t>Francesco ACERBI</t>
  </si>
  <si>
    <t>21-InterMilano</t>
  </si>
  <si>
    <t>Kristjan ASLLANI</t>
  </si>
  <si>
    <t>22-InterMilano</t>
  </si>
  <si>
    <t>Henrikh MKHITARYAN</t>
  </si>
  <si>
    <t>23-InterMilano</t>
  </si>
  <si>
    <t>Nicolo BARELLA</t>
  </si>
  <si>
    <t>28-InterMilano</t>
  </si>
  <si>
    <t>Benjamin PAVARD</t>
  </si>
  <si>
    <t>30-InterMilano</t>
  </si>
  <si>
    <t>CARLOS AUGUSTO</t>
  </si>
  <si>
    <t>36-InterMilano</t>
  </si>
  <si>
    <t>Matteo DARMIAN</t>
  </si>
  <si>
    <t>70-InterMilano</t>
  </si>
  <si>
    <t>Sebastiano ESPOSITO</t>
  </si>
  <si>
    <t>95-InterMilano</t>
  </si>
  <si>
    <t>Alessandro BASTONI</t>
  </si>
  <si>
    <t>8-InterMilano</t>
  </si>
  <si>
    <t>Petar SUCIC</t>
  </si>
  <si>
    <t>9-InterMilano</t>
  </si>
  <si>
    <t>Marcus THURAM</t>
  </si>
  <si>
    <t>11-InterMilano</t>
  </si>
  <si>
    <t>LUIS HENRIQUE</t>
  </si>
  <si>
    <t>32-InterMilano</t>
  </si>
  <si>
    <t>Federico DIMARCO</t>
  </si>
  <si>
    <t>59-InterMilano</t>
  </si>
  <si>
    <t>Nicola ZALEWSKI</t>
  </si>
  <si>
    <t>Group G</t>
  </si>
  <si>
    <t>Manchester City</t>
  </si>
  <si>
    <t>Wydad AC</t>
  </si>
  <si>
    <t>4-City</t>
  </si>
  <si>
    <t>Tijjani REIJNDERS</t>
  </si>
  <si>
    <t>6-City</t>
  </si>
  <si>
    <t>Nathan AKE</t>
  </si>
  <si>
    <t>7-City</t>
  </si>
  <si>
    <t>OMAR MARMOUSH</t>
  </si>
  <si>
    <t>11-City</t>
  </si>
  <si>
    <t>Jeremy DOKU</t>
  </si>
  <si>
    <t>22-City</t>
  </si>
  <si>
    <t>VITOR REIS</t>
  </si>
  <si>
    <t>26-City</t>
  </si>
  <si>
    <t>SAVINHO</t>
  </si>
  <si>
    <t>29-City</t>
  </si>
  <si>
    <t>Rayan CHERKI</t>
  </si>
  <si>
    <t>47-City</t>
  </si>
  <si>
    <t>Phil FODEN</t>
  </si>
  <si>
    <t>75-City</t>
  </si>
  <si>
    <t>Nico OREILLY</t>
  </si>
  <si>
    <t>82-City</t>
  </si>
  <si>
    <t>Rico LEWIS</t>
  </si>
  <si>
    <t>9-City</t>
  </si>
  <si>
    <t>Erling HAALAND</t>
  </si>
  <si>
    <t>16-City</t>
  </si>
  <si>
    <t>RODRI</t>
  </si>
  <si>
    <t>19-City</t>
  </si>
  <si>
    <t>Ilkay GUENDOGAN</t>
  </si>
  <si>
    <t>27-City</t>
  </si>
  <si>
    <t>MATHEUS NUNES</t>
  </si>
  <si>
    <t>52-City</t>
  </si>
  <si>
    <t>Oscar BOBB</t>
  </si>
  <si>
    <t>2-Wydad</t>
  </si>
  <si>
    <t>Mohamed MOUFID</t>
  </si>
  <si>
    <t>4-Wydad</t>
  </si>
  <si>
    <t>Thembinkosi LORCH</t>
  </si>
  <si>
    <t>11-Wydad</t>
  </si>
  <si>
    <t>Nordin AMRABAT</t>
  </si>
  <si>
    <t>14-Wydad</t>
  </si>
  <si>
    <t>Abdelmounaim BOUTOUIL</t>
  </si>
  <si>
    <t>18-Wydad</t>
  </si>
  <si>
    <t>Fahd MOUFI</t>
  </si>
  <si>
    <t>19-Wydad</t>
  </si>
  <si>
    <t>El Mehdi EL MOUBARIK</t>
  </si>
  <si>
    <t>21-Wydad</t>
  </si>
  <si>
    <t>Cassius MAILULA</t>
  </si>
  <si>
    <t>22-Wydad</t>
  </si>
  <si>
    <t>Bart MEIJERS</t>
  </si>
  <si>
    <t>23-Wydad</t>
  </si>
  <si>
    <t>Oussama ZEMRAOUI</t>
  </si>
  <si>
    <t>72-Wydad</t>
  </si>
  <si>
    <t>GUILHERME FERREIRA</t>
  </si>
  <si>
    <t>5-Wydad</t>
  </si>
  <si>
    <t>Ismail MOUTARAJJI</t>
  </si>
  <si>
    <t>7-Wydad</t>
  </si>
  <si>
    <t>Mickael MALSA</t>
  </si>
  <si>
    <t>8-Wydad</t>
  </si>
  <si>
    <t>Mohamed RAYHI</t>
  </si>
  <si>
    <t>9-Wydad</t>
  </si>
  <si>
    <t>Samuel OBENG</t>
  </si>
  <si>
    <t>25-Wydad</t>
  </si>
  <si>
    <t>Stephane AZIZ KI</t>
  </si>
  <si>
    <t>Group H</t>
  </si>
  <si>
    <t>Real Madrid C.F.</t>
  </si>
  <si>
    <t>Al Hilal</t>
  </si>
  <si>
    <t>5-Real</t>
  </si>
  <si>
    <t>Jude BELLINGHAM</t>
  </si>
  <si>
    <t>7-Real</t>
  </si>
  <si>
    <t>VINICIUS JUNIOR</t>
  </si>
  <si>
    <t>8-Real</t>
  </si>
  <si>
    <t>Federico VALVERDE</t>
  </si>
  <si>
    <t>11-Real</t>
  </si>
  <si>
    <t>RODRYGO</t>
  </si>
  <si>
    <t>12-Real</t>
  </si>
  <si>
    <t>Trent ALEXANDER-ARNOLD</t>
  </si>
  <si>
    <t>14-Real</t>
  </si>
  <si>
    <t>Aurelien TCHOUAMENI</t>
  </si>
  <si>
    <t>20-Real</t>
  </si>
  <si>
    <t>Fran GARCIA</t>
  </si>
  <si>
    <t>24-Real</t>
  </si>
  <si>
    <t>Dean HUIJSEN</t>
  </si>
  <si>
    <t>30-Real</t>
  </si>
  <si>
    <t>Gonzalo GARCIA</t>
  </si>
  <si>
    <t>35-Real</t>
  </si>
  <si>
    <t>Raul ASENCIO</t>
  </si>
  <si>
    <t>10-Real</t>
  </si>
  <si>
    <t>Luka MODRIC</t>
  </si>
  <si>
    <t>15-Real</t>
  </si>
  <si>
    <t>Arda GULER</t>
  </si>
  <si>
    <t>17-Real</t>
  </si>
  <si>
    <t>Lucas VAZQUEZ</t>
  </si>
  <si>
    <t>21-Real</t>
  </si>
  <si>
    <t>Brahim DIAZ</t>
  </si>
  <si>
    <t>44-Real</t>
  </si>
  <si>
    <t>Victor MUNOZ</t>
  </si>
  <si>
    <t>3-AlHilal</t>
  </si>
  <si>
    <t>Kalidou KOULIBALY</t>
  </si>
  <si>
    <t>6-AlHilal</t>
  </si>
  <si>
    <t>RENAN LODI</t>
  </si>
  <si>
    <t>8-AlHilal</t>
  </si>
  <si>
    <t>RUBEN NEVES</t>
  </si>
  <si>
    <t>11-AlHilal</t>
  </si>
  <si>
    <t>MARCOS LEONARDO</t>
  </si>
  <si>
    <t>16-AlHilal</t>
  </si>
  <si>
    <t>NASSER ALDAWSARI</t>
  </si>
  <si>
    <t>20-AlHilal</t>
  </si>
  <si>
    <t>JOAO CANCELO</t>
  </si>
  <si>
    <t>22-AlHilal</t>
  </si>
  <si>
    <t>Sergej MILINKOVIC-SAVIC</t>
  </si>
  <si>
    <t>29-AlHilal</t>
  </si>
  <si>
    <t>SALEM ALDAWSARI</t>
  </si>
  <si>
    <t>77-AlHilal</t>
  </si>
  <si>
    <t>MALCOM</t>
  </si>
  <si>
    <t>87-AlHilal</t>
  </si>
  <si>
    <t>HASSAN ALTAMBAKTI</t>
  </si>
  <si>
    <t>15-AlHilal</t>
  </si>
  <si>
    <t>MOHAMMED ALQAHTANI</t>
  </si>
  <si>
    <t>18-AlHilal</t>
  </si>
  <si>
    <t>MUSAB ALJUWAYR</t>
  </si>
  <si>
    <t>24-AlHilal</t>
  </si>
  <si>
    <t>MOTEB ALHARBI</t>
  </si>
  <si>
    <t>28-AlHilal</t>
  </si>
  <si>
    <t>MOHAMED KANNO</t>
  </si>
  <si>
    <t>88-AlHilal</t>
  </si>
  <si>
    <t>HAMAD ALYAMI</t>
  </si>
  <si>
    <t>CF Pachuca</t>
  </si>
  <si>
    <t>FC Salzburg</t>
  </si>
  <si>
    <t>4-Pachuca</t>
  </si>
  <si>
    <t>EDUARDO BAUERMANN</t>
  </si>
  <si>
    <t>5-Pachuca</t>
  </si>
  <si>
    <t>Pedro PEDRAZA</t>
  </si>
  <si>
    <t>8-Pachuca</t>
  </si>
  <si>
    <t>Bryan GONZALEZ</t>
  </si>
  <si>
    <t>12-Pachuca</t>
  </si>
  <si>
    <t>Alexei DOMINGUEZ</t>
  </si>
  <si>
    <t>16-Pachuca</t>
  </si>
  <si>
    <t>Federico PEREIRA</t>
  </si>
  <si>
    <t>18-Pachuca</t>
  </si>
  <si>
    <t>Agustin PALAVECINO</t>
  </si>
  <si>
    <t>23-Pachuca</t>
  </si>
  <si>
    <t>Salomon RONDON</t>
  </si>
  <si>
    <t>24-Pachuca</t>
  </si>
  <si>
    <t>Luis RODRIGUEZ</t>
  </si>
  <si>
    <t>28-Pachuca</t>
  </si>
  <si>
    <t>Elias MONTIEL</t>
  </si>
  <si>
    <t>29-Pachuca</t>
  </si>
  <si>
    <t>KENEDY</t>
  </si>
  <si>
    <t>6-Pachuca</t>
  </si>
  <si>
    <t>Santiago HOMENCHENKO</t>
  </si>
  <si>
    <t>10-Pachuca</t>
  </si>
  <si>
    <t>JOHN KENNEDY</t>
  </si>
  <si>
    <t>14-Pachuca</t>
  </si>
  <si>
    <t>Carlos SANCHEZ</t>
  </si>
  <si>
    <t>26-Pachuca</t>
  </si>
  <si>
    <t>Alan BAUTISTA</t>
  </si>
  <si>
    <t>30-Pachuca</t>
  </si>
  <si>
    <t>Aviles HURTADO</t>
  </si>
  <si>
    <t>2-Salzburg</t>
  </si>
  <si>
    <t>Jacob RASMUSSEN</t>
  </si>
  <si>
    <t>13-Salzburg</t>
  </si>
  <si>
    <t>Frans KRAETZIG</t>
  </si>
  <si>
    <t>18-Salzburg</t>
  </si>
  <si>
    <t>Mads BIDSTRUP</t>
  </si>
  <si>
    <t>20-Salzburg</t>
  </si>
  <si>
    <t>Edmund BAIDOO</t>
  </si>
  <si>
    <t>21-Salzburg</t>
  </si>
  <si>
    <t>Petar RATKOV</t>
  </si>
  <si>
    <t>22-Salzburg</t>
  </si>
  <si>
    <t>Stefan LAINER</t>
  </si>
  <si>
    <t>23-Salzburg</t>
  </si>
  <si>
    <t>Joane GADOU</t>
  </si>
  <si>
    <t>30-Salzburg</t>
  </si>
  <si>
    <t>Oscar GLOUKH</t>
  </si>
  <si>
    <t>38-Salzburg</t>
  </si>
  <si>
    <t>Valentin SULZBACHER</t>
  </si>
  <si>
    <t>45-Salzburg</t>
  </si>
  <si>
    <t>Dorgeles NENE</t>
  </si>
  <si>
    <t>5-Salzburg</t>
  </si>
  <si>
    <t>Soumaila DIABATE</t>
  </si>
  <si>
    <t>9-Salzburg</t>
  </si>
  <si>
    <t>Karim ONISIWO</t>
  </si>
  <si>
    <t>11-Salzburg</t>
  </si>
  <si>
    <t>Yorbe VERTESSEN</t>
  </si>
  <si>
    <t>28-Salzburg</t>
  </si>
  <si>
    <t>Adam DAGHIM</t>
  </si>
  <si>
    <t>36-Salzburg</t>
  </si>
  <si>
    <t>John MELLBERG</t>
  </si>
  <si>
    <t>Audi Field</t>
  </si>
  <si>
    <t>Al Ain FC</t>
  </si>
  <si>
    <t>Juventus FC</t>
  </si>
  <si>
    <t>3-AlAin</t>
  </si>
  <si>
    <t>KOUAME AUTONNE</t>
  </si>
  <si>
    <t>5-AlAin</t>
  </si>
  <si>
    <t>PARK Yongwoo</t>
  </si>
  <si>
    <t>9-AlAin</t>
  </si>
  <si>
    <t>Kodjo LABA</t>
  </si>
  <si>
    <t>10-AlAin</t>
  </si>
  <si>
    <t>KAKU</t>
  </si>
  <si>
    <t>14-AlAin</t>
  </si>
  <si>
    <t>Marcel RATNIK</t>
  </si>
  <si>
    <t>20-AlAin</t>
  </si>
  <si>
    <t>Matias PALACIOS</t>
  </si>
  <si>
    <t>21-AlAin</t>
  </si>
  <si>
    <t>Soufiane RAHIMI</t>
  </si>
  <si>
    <t>25-AlAin</t>
  </si>
  <si>
    <t>RAMY RABIA</t>
  </si>
  <si>
    <t>36-AlAin</t>
  </si>
  <si>
    <t>Facundo ZABALA</t>
  </si>
  <si>
    <t>70-AlAin</t>
  </si>
  <si>
    <t>Abdoul Karim TRAORE</t>
  </si>
  <si>
    <t>6-AlAin</t>
  </si>
  <si>
    <t>YAHIA NADER</t>
  </si>
  <si>
    <t>28-AlAin</t>
  </si>
  <si>
    <t>Nassim CHADLI</t>
  </si>
  <si>
    <t>56-AlAin</t>
  </si>
  <si>
    <t>Amadou NIANG</t>
  </si>
  <si>
    <t>80-AlAin</t>
  </si>
  <si>
    <t>Joshua UDOH</t>
  </si>
  <si>
    <t>97-AlAin</t>
  </si>
  <si>
    <t>Adis JASIC</t>
  </si>
  <si>
    <t>2-Juventus</t>
  </si>
  <si>
    <t>ALBERTO COSTA</t>
  </si>
  <si>
    <t>6-Juventus</t>
  </si>
  <si>
    <t>Lloyd KELLY</t>
  </si>
  <si>
    <t>7-Juventus</t>
  </si>
  <si>
    <t>FRANCISCO CONCEICAO</t>
  </si>
  <si>
    <t>10-Juventus</t>
  </si>
  <si>
    <t>Kenan YILDIZ</t>
  </si>
  <si>
    <t>15-Juventus</t>
  </si>
  <si>
    <t>Pierre KALULU</t>
  </si>
  <si>
    <t>16-Juventus</t>
  </si>
  <si>
    <t>Weston McKENNIE</t>
  </si>
  <si>
    <t>19-Juventus</t>
  </si>
  <si>
    <t>Khephren THURAM</t>
  </si>
  <si>
    <t>20-Juventus</t>
  </si>
  <si>
    <t>Randal KOLO MUANI</t>
  </si>
  <si>
    <t>27-Juventus</t>
  </si>
  <si>
    <t>Andrea CAMBIASO</t>
  </si>
  <si>
    <t>37-Juventus</t>
  </si>
  <si>
    <t>Nicolo SAVONA</t>
  </si>
  <si>
    <t>4-Juventus</t>
  </si>
  <si>
    <t>Federico GATTI</t>
  </si>
  <si>
    <t>8-Juventus</t>
  </si>
  <si>
    <t>Teun KOOPMEINERS</t>
  </si>
  <si>
    <t>9-Juventus</t>
  </si>
  <si>
    <t>Dusan VLAHOVIC</t>
  </si>
  <si>
    <t>22-Juventus</t>
  </si>
  <si>
    <t>Timothy WEAH</t>
  </si>
  <si>
    <t>26-Juventus</t>
  </si>
  <si>
    <t>DOUGLAS LUIZ</t>
  </si>
  <si>
    <t>17-Palmeiras</t>
  </si>
  <si>
    <t>Facundo TORRES</t>
  </si>
  <si>
    <t>6-Palmeiras</t>
  </si>
  <si>
    <t>VANDERLAN</t>
  </si>
  <si>
    <t>32-Palmeiras</t>
  </si>
  <si>
    <t>Emiliano MARTINEZ</t>
  </si>
  <si>
    <t>54-AlAhly</t>
  </si>
  <si>
    <t>Yahya ATTIAT-ALLAH</t>
  </si>
  <si>
    <t>4-AlAhly</t>
  </si>
  <si>
    <t>AHMED RAMADAN</t>
  </si>
  <si>
    <t>17-AlAhly</t>
  </si>
  <si>
    <t>Achraf BENCHARKI</t>
  </si>
  <si>
    <t>18-InterMiami</t>
  </si>
  <si>
    <t>Jordi ALBA</t>
  </si>
  <si>
    <t>4-Porto</t>
  </si>
  <si>
    <t>OTAVIO</t>
  </si>
  <si>
    <t>7-Porto</t>
  </si>
  <si>
    <t>WILLIAM GOMES</t>
  </si>
  <si>
    <t>27-Porto</t>
  </si>
  <si>
    <t>Deniz GUL</t>
  </si>
  <si>
    <t>70-Porto</t>
  </si>
  <si>
    <t>GONCALO BORGES</t>
  </si>
  <si>
    <t>85-Seattle</t>
  </si>
  <si>
    <t>Kalani KOSSA-RIENZI</t>
  </si>
  <si>
    <t>6-Seattle</t>
  </si>
  <si>
    <t>JOAO PAULO</t>
  </si>
  <si>
    <t>93-Seattle</t>
  </si>
  <si>
    <t>Georgi MINOUNGOU</t>
  </si>
  <si>
    <t>2-Atletico</t>
  </si>
  <si>
    <t>Jose Maria GIMENEZ</t>
  </si>
  <si>
    <t>16-Atletico</t>
  </si>
  <si>
    <t>Nahuel MOLINA</t>
  </si>
  <si>
    <t>20-Atletico</t>
  </si>
  <si>
    <t>Axel WITSEL</t>
  </si>
  <si>
    <t>4-PSG</t>
  </si>
  <si>
    <t>LUCAS BERALDO</t>
  </si>
  <si>
    <t>29-PSG</t>
  </si>
  <si>
    <t>Bradley BARCOLA</t>
  </si>
  <si>
    <t>25-Botafogo</t>
  </si>
  <si>
    <t>8-Botafogo</t>
  </si>
  <si>
    <t>Alvaro MONTORO</t>
  </si>
  <si>
    <t>28-Botafogo</t>
  </si>
  <si>
    <t>NEWTON</t>
  </si>
  <si>
    <t>21-Benfica</t>
  </si>
  <si>
    <t>Andreas SCHJELDERUP</t>
  </si>
  <si>
    <t>47-Benfica</t>
  </si>
  <si>
    <t>TIAGO GOUVEIA</t>
  </si>
  <si>
    <t>81-Benfica</t>
  </si>
  <si>
    <t>Adrian BAJRAMI</t>
  </si>
  <si>
    <t>84-Benfica</t>
  </si>
  <si>
    <t>JOAO REGO</t>
  </si>
  <si>
    <t>21-Auckland</t>
  </si>
  <si>
    <t>Adam BELL</t>
  </si>
  <si>
    <t>27-Auckland</t>
  </si>
  <si>
    <t>Haris ZEB</t>
  </si>
  <si>
    <t>4-Auckland</t>
  </si>
  <si>
    <t>Christian GRAY</t>
  </si>
  <si>
    <t>6-Auckland</t>
  </si>
  <si>
    <t>Jackson MANUEL</t>
  </si>
  <si>
    <t>20-Auckland</t>
  </si>
  <si>
    <t>Matt ELLIS</t>
  </si>
  <si>
    <t>13-Flamengo</t>
  </si>
  <si>
    <t>43-Flamengo</t>
  </si>
  <si>
    <t>WESLEY</t>
  </si>
  <si>
    <t>64-Flamengo</t>
  </si>
  <si>
    <t>WALLACE YAN</t>
  </si>
  <si>
    <t>23-Chelsea</t>
  </si>
  <si>
    <t>Trevoh CHALOBAH</t>
  </si>
  <si>
    <t>38-Chelsea</t>
  </si>
  <si>
    <t>Marc GUIU</t>
  </si>
  <si>
    <t>GEODIS Park</t>
  </si>
  <si>
    <t>26-LAFC</t>
  </si>
  <si>
    <t>Javairo DILROSUN</t>
  </si>
  <si>
    <t>FW</t>
  </si>
  <si>
    <t>6-Esperance</t>
  </si>
  <si>
    <t>Hamza JELASSI</t>
  </si>
  <si>
    <t>8-Bayern</t>
  </si>
  <si>
    <t>Leon GORETZKA</t>
  </si>
  <si>
    <t>27-Bayern</t>
  </si>
  <si>
    <t>Konrad LAIMER</t>
  </si>
  <si>
    <t>10-Bayern</t>
  </si>
  <si>
    <t>Leroy SANE</t>
  </si>
  <si>
    <t>40-Boca</t>
  </si>
  <si>
    <t>Lautaro DI LOLLO</t>
  </si>
  <si>
    <t>3-Boca</t>
  </si>
  <si>
    <t>Marcelo SARACCHI</t>
  </si>
  <si>
    <t>6-Boca</t>
  </si>
  <si>
    <t>Marcos ROJO</t>
  </si>
  <si>
    <t>não entrou</t>
  </si>
  <si>
    <t>n/a</t>
  </si>
  <si>
    <t>27-Boca</t>
  </si>
  <si>
    <t>Malcom BRAIDA</t>
  </si>
  <si>
    <t>16-Mamelodi</t>
  </si>
  <si>
    <t>Kutlwano LETLHAKU</t>
  </si>
  <si>
    <t>27-Mamelodi</t>
  </si>
  <si>
    <t>Thapelo MORENA</t>
  </si>
  <si>
    <t>14-Borussia</t>
  </si>
  <si>
    <t>Maximilian BEIER</t>
  </si>
  <si>
    <t>6-InterMilano</t>
  </si>
  <si>
    <t>Stefan DE VRIJ</t>
  </si>
  <si>
    <t>45-InterMilano</t>
  </si>
  <si>
    <t>Valentin CARBONI</t>
  </si>
  <si>
    <t>94-InterMilano</t>
  </si>
  <si>
    <t>Francesco ESPOSITO</t>
  </si>
  <si>
    <t>10-Fluminense</t>
  </si>
  <si>
    <t>GANSO</t>
  </si>
  <si>
    <t>12-Fluminense</t>
  </si>
  <si>
    <t>Gabriel FUENTES</t>
  </si>
  <si>
    <t>23-Fluminense</t>
  </si>
  <si>
    <t>GUGA</t>
  </si>
  <si>
    <t>5-Fluminense</t>
  </si>
  <si>
    <t>Facundo BERNAL</t>
  </si>
  <si>
    <t>11-Fluminense</t>
  </si>
  <si>
    <t>KENO</t>
  </si>
  <si>
    <t>28-Ulsan</t>
  </si>
  <si>
    <t>LEE Jaeik</t>
  </si>
  <si>
    <t>18-Ulsan</t>
  </si>
  <si>
    <t>HEO Yool</t>
  </si>
  <si>
    <t>96-Ulsan</t>
  </si>
  <si>
    <t>CHOI Seokhyun</t>
  </si>
  <si>
    <t>17-River</t>
  </si>
  <si>
    <t>Paulo DIAZ</t>
  </si>
  <si>
    <t>5-River</t>
  </si>
  <si>
    <t>Matias KRANEVITTER</t>
  </si>
  <si>
    <t>17-Monterrey</t>
  </si>
  <si>
    <t>Jesus CORONA</t>
  </si>
  <si>
    <t>11-Monterrey</t>
  </si>
  <si>
    <t>Alfonso ALVARADO</t>
  </si>
  <si>
    <t>31-Monterrey</t>
  </si>
  <si>
    <t>Roberto DE LA ROSA</t>
  </si>
  <si>
    <t>5-Juventus</t>
  </si>
  <si>
    <t>Manuel LOCATELLI</t>
  </si>
  <si>
    <t>11-Juventus</t>
  </si>
  <si>
    <t>Nico GONZALEZ</t>
  </si>
  <si>
    <t>16-Wydad</t>
  </si>
  <si>
    <t>Jamal HARKASS</t>
  </si>
  <si>
    <t>26-Wydad</t>
  </si>
  <si>
    <t>Selemani MWALIMU</t>
  </si>
  <si>
    <t>99-Wydad</t>
  </si>
  <si>
    <t>OMAR ALSOMAH</t>
  </si>
  <si>
    <t>Bank of America Stadium</t>
  </si>
  <si>
    <t>19-Real</t>
  </si>
  <si>
    <t>Dani CEBALLOS</t>
  </si>
  <si>
    <t>22-Real</t>
  </si>
  <si>
    <t>Antonio RUEDIGER</t>
  </si>
  <si>
    <t>19-Pachuca</t>
  </si>
  <si>
    <t>Eduardo LOPEZ</t>
  </si>
  <si>
    <t>22-Pachuca</t>
  </si>
  <si>
    <t>Gustavo CABRAL</t>
  </si>
  <si>
    <t>32-Pachuca</t>
  </si>
  <si>
    <t>8-Salzburg</t>
  </si>
  <si>
    <t>Sota KITANO</t>
  </si>
  <si>
    <t>14-Salzburg</t>
  </si>
  <si>
    <t>Maurits KJAERGAARD</t>
  </si>
  <si>
    <t>78-AlHilal</t>
  </si>
  <si>
    <t>ALI LAJAMI</t>
  </si>
  <si>
    <t>14-City</t>
  </si>
  <si>
    <t>20-City</t>
  </si>
  <si>
    <t>BERNARDO SILVA</t>
  </si>
  <si>
    <t>21-City</t>
  </si>
  <si>
    <t>Rayan AIT-NOURI</t>
  </si>
  <si>
    <t>24-City</t>
  </si>
  <si>
    <t>Josko GVARDIOL</t>
  </si>
  <si>
    <t>25-City</t>
  </si>
  <si>
    <t>Manuel AKANJI</t>
  </si>
  <si>
    <t>30-City</t>
  </si>
  <si>
    <t>Claudio ECHEVERRI</t>
  </si>
  <si>
    <t>45-City</t>
  </si>
  <si>
    <t>Abdukodir KHUSANOV</t>
  </si>
  <si>
    <t>3-City</t>
  </si>
  <si>
    <t>RUBEN DIAS</t>
  </si>
  <si>
    <t>8-AlAin</t>
  </si>
  <si>
    <t>MOHAMMED ABBAS</t>
  </si>
  <si>
    <t>15-AlAin</t>
  </si>
  <si>
    <t>ERIK</t>
  </si>
  <si>
    <t>19-AlAin</t>
  </si>
  <si>
    <t>Mateo SANABRIA</t>
  </si>
  <si>
    <t>13-Seattle</t>
  </si>
  <si>
    <t>Jordan MORRIS</t>
  </si>
  <si>
    <t>75-Seattle</t>
  </si>
  <si>
    <t>Danny LEYVA</t>
  </si>
  <si>
    <t>4-Botafogo</t>
  </si>
  <si>
    <t>Mateo PONTE</t>
  </si>
  <si>
    <t>11-InterMiami</t>
  </si>
  <si>
    <t>Baltasar RODRIGUEZ</t>
  </si>
  <si>
    <t>2-Palmeiras</t>
  </si>
  <si>
    <t>MARCOS ROCHA</t>
  </si>
  <si>
    <t>3-Palmeiras</t>
  </si>
  <si>
    <t>BRUNO FUCHS</t>
  </si>
  <si>
    <t>19-Porto</t>
  </si>
  <si>
    <t>Danny NAMASO</t>
  </si>
  <si>
    <t>3-AlAhly</t>
  </si>
  <si>
    <t>OMAR KAMAL</t>
  </si>
  <si>
    <t>23-AlAhly</t>
  </si>
  <si>
    <t>Aliou DIENG</t>
  </si>
  <si>
    <t>14-Auckland</t>
  </si>
  <si>
    <t>Jordan VALE</t>
  </si>
  <si>
    <t>16-Auckland</t>
  </si>
  <si>
    <t>Joe LEE</t>
  </si>
  <si>
    <t>19-Auckland</t>
  </si>
  <si>
    <t>Dylan CONNOLLY</t>
  </si>
  <si>
    <t>10-Boca</t>
  </si>
  <si>
    <t>Edinson CAVANI</t>
  </si>
  <si>
    <t>26-Boca</t>
  </si>
  <si>
    <t>Marco PELLEGRINO</t>
  </si>
  <si>
    <t>16-Bayern</t>
  </si>
  <si>
    <t>JOAO PALHINHA</t>
  </si>
  <si>
    <t>20-Bayern</t>
  </si>
  <si>
    <t>Tom BISCHOF</t>
  </si>
  <si>
    <t>Camping World Stadium</t>
  </si>
  <si>
    <t>29-LAFC</t>
  </si>
  <si>
    <t>Artem SMOLIAKOV</t>
  </si>
  <si>
    <t>DF</t>
  </si>
  <si>
    <t>26-Flamengo</t>
  </si>
  <si>
    <t>ALEX SANDRO</t>
  </si>
  <si>
    <t>52-Flamengo</t>
  </si>
  <si>
    <t>EVERTTON ARAUJO</t>
  </si>
  <si>
    <t>17-Flamengo</t>
  </si>
  <si>
    <t>Matias VINA</t>
  </si>
  <si>
    <t>23-Flamengo</t>
  </si>
  <si>
    <t>JUNINHO</t>
  </si>
  <si>
    <t>8-Esperance</t>
  </si>
  <si>
    <t>Houssem TKA</t>
  </si>
  <si>
    <t>5-Chelsea</t>
  </si>
  <si>
    <t>Benoit BADIASHILE</t>
  </si>
  <si>
    <t>22-Chelsea</t>
  </si>
  <si>
    <t>Kiernan DEWSBURY-HALL</t>
  </si>
  <si>
    <t>34-Chelsea</t>
  </si>
  <si>
    <t>Josh ACHEAMPONG</t>
  </si>
  <si>
    <t>17-Chelsea</t>
  </si>
  <si>
    <t>ANDREY SANTOS</t>
  </si>
  <si>
    <t>19-Chelsea</t>
  </si>
  <si>
    <t>Mamadou SARR</t>
  </si>
  <si>
    <t>7-Borussia</t>
  </si>
  <si>
    <t>Giovanni REYNA</t>
  </si>
  <si>
    <t>16-Borussia</t>
  </si>
  <si>
    <t>Julien DURANVILLE</t>
  </si>
  <si>
    <t>22-Ulsan</t>
  </si>
  <si>
    <t>KIM Minhyeok</t>
  </si>
  <si>
    <t>26-Ulsan</t>
  </si>
  <si>
    <t>PARK Minseo</t>
  </si>
  <si>
    <t>5-Mamelodi</t>
  </si>
  <si>
    <t>Mosa LEBUSA</t>
  </si>
  <si>
    <t>38-Mamelodi</t>
  </si>
  <si>
    <t>Peter SHALULILE</t>
  </si>
  <si>
    <t>4-Fluminense</t>
  </si>
  <si>
    <t>IGNACIO</t>
  </si>
  <si>
    <t>29-Fluminense</t>
  </si>
  <si>
    <t>THIAGO SANTOS</t>
  </si>
  <si>
    <t>2-InterMilano</t>
  </si>
  <si>
    <t>Denzel DUMFRIES</t>
  </si>
  <si>
    <t>MF</t>
  </si>
  <si>
    <t>29-River</t>
  </si>
  <si>
    <t>Rodrigo ALIENDRO</t>
  </si>
  <si>
    <t>10-River</t>
  </si>
  <si>
    <t>Manuel LANZINI</t>
  </si>
  <si>
    <t>35-River</t>
  </si>
  <si>
    <t>Giorgio COSTANTINI</t>
  </si>
  <si>
    <t>21-Urawa</t>
  </si>
  <si>
    <t>Tomoaki OKUBO</t>
  </si>
  <si>
    <t>41-Urawa</t>
  </si>
  <si>
    <t>Rio NITTA</t>
  </si>
  <si>
    <t>21-Monterrey</t>
  </si>
  <si>
    <t>Luis REYES</t>
  </si>
  <si>
    <t>37-Monterrey</t>
  </si>
  <si>
    <t>Iker FIMBRES</t>
  </si>
  <si>
    <t>18-Juventus</t>
  </si>
  <si>
    <t>Filip KOSTIC</t>
  </si>
  <si>
    <t>17-Juventus</t>
  </si>
  <si>
    <t>Vasilije ADZIC</t>
  </si>
  <si>
    <t>24-Wydad</t>
  </si>
  <si>
    <t>Ayoub BOUCHETA</t>
  </si>
  <si>
    <t>27-Wydad</t>
  </si>
  <si>
    <t>Ismail BENKTIB</t>
  </si>
  <si>
    <t>4-AlAin</t>
  </si>
  <si>
    <t>Yahya BENKHALEQ</t>
  </si>
  <si>
    <t>13-AlAin</t>
  </si>
  <si>
    <t>Houssine RAHIMI</t>
  </si>
  <si>
    <t>2-Pachuca</t>
  </si>
  <si>
    <t>Sergio BARRETO</t>
  </si>
  <si>
    <t>3-Pachuca</t>
  </si>
  <si>
    <t>Alonso ACEVES</t>
  </si>
  <si>
    <t>9-Pachuca</t>
  </si>
  <si>
    <t>Illian HERNANDEZ</t>
  </si>
  <si>
    <t>15-Salzburg</t>
  </si>
  <si>
    <t>Mamady DIAMBOU</t>
  </si>
  <si>
    <t>6-Salzburg</t>
  </si>
  <si>
    <t>Samson BAIDOO</t>
  </si>
  <si>
    <t>31-Real</t>
  </si>
  <si>
    <t>Jacobo RAMON</t>
  </si>
  <si>
    <t>Round of 16</t>
  </si>
  <si>
    <t>Playoffs</t>
  </si>
  <si>
    <t>12-Palmeiras</t>
  </si>
  <si>
    <t>MAYKE</t>
  </si>
  <si>
    <t>13-Palmeiras</t>
  </si>
  <si>
    <t>MICAEL</t>
  </si>
  <si>
    <t>31-Palmeiras</t>
  </si>
  <si>
    <t>LUIGHI</t>
  </si>
  <si>
    <t>21-Botafogo</t>
  </si>
  <si>
    <t>MARCAL</t>
  </si>
  <si>
    <t>31-Botafogo</t>
  </si>
  <si>
    <t>KAIO</t>
  </si>
  <si>
    <t>68-Benfica</t>
  </si>
  <si>
    <t>JOAO VELOSO</t>
  </si>
  <si>
    <t>30-Chelsea</t>
  </si>
  <si>
    <t>Aaron ANSELMINO</t>
  </si>
  <si>
    <t>10-PSG</t>
  </si>
  <si>
    <t>Ousmane DEMBELE</t>
  </si>
  <si>
    <t>18-Flamengo</t>
  </si>
  <si>
    <t>Nicolas DE LA CRUZ</t>
  </si>
  <si>
    <t>5-AlHilal</t>
  </si>
  <si>
    <t>ALI ALBULAYHI</t>
  </si>
  <si>
    <t>7-AlHilal</t>
  </si>
  <si>
    <t>KHALID ALGHANNAM</t>
  </si>
  <si>
    <t>27-AlHilal</t>
  </si>
  <si>
    <t>KAIO CESAR</t>
  </si>
  <si>
    <t>9-Real</t>
  </si>
  <si>
    <t>Kylian MBAPPE</t>
  </si>
  <si>
    <t>24-Juventus</t>
  </si>
  <si>
    <t>Daniele RUGANI</t>
  </si>
  <si>
    <t>Quarter-final</t>
  </si>
  <si>
    <t>10-AlHilal</t>
  </si>
  <si>
    <t>Abderrazak HAMDALLAH</t>
  </si>
  <si>
    <t>20-Chelsea</t>
  </si>
  <si>
    <t>JOAO PEDRO</t>
  </si>
  <si>
    <t>Semi-final</t>
  </si>
  <si>
    <t>7-Fluminense</t>
  </si>
  <si>
    <t>Yeferson SOTELDO</t>
  </si>
  <si>
    <t>2-Real</t>
  </si>
  <si>
    <t>Dani CARVAJAL</t>
  </si>
  <si>
    <t>3-Real</t>
  </si>
  <si>
    <t>EDER MILITAO</t>
  </si>
  <si>
    <t>Final</t>
  </si>
  <si>
    <t>Team Name</t>
  </si>
  <si>
    <t>Player Name</t>
  </si>
  <si>
    <t>Player Position</t>
  </si>
  <si>
    <t>Age</t>
  </si>
  <si>
    <t>Date of birth</t>
  </si>
  <si>
    <t>Date of Birth</t>
  </si>
  <si>
    <t>MOHAMED ELSHENAWY</t>
  </si>
  <si>
    <t>GK</t>
  </si>
  <si>
    <t>MOSTAFA SHOUBIR</t>
  </si>
  <si>
    <t>KHALED ABDELFATTAH</t>
  </si>
  <si>
    <t>KARIM EL DEBES</t>
  </si>
  <si>
    <t>AHMED REDA</t>
  </si>
  <si>
    <t>MOSTAFA EL AASH</t>
  </si>
  <si>
    <t>Oscar USTARI</t>
  </si>
  <si>
    <t>William YARBROUGH</t>
  </si>
  <si>
    <t>Rocco RIOS NOVO</t>
  </si>
  <si>
    <t>Ryan SAILOR</t>
  </si>
  <si>
    <t>LEO AFONSO</t>
  </si>
  <si>
    <t>Allen OBANDO</t>
  </si>
  <si>
    <t>Santi MORALES</t>
  </si>
  <si>
    <t>WEVERTON</t>
  </si>
  <si>
    <t>MARCELO LOMBA</t>
  </si>
  <si>
    <t>THALYS</t>
  </si>
  <si>
    <t>CLAUDIO RAMOS</t>
  </si>
  <si>
    <t>DIOGO FERNANDES</t>
  </si>
  <si>
    <t>Zaidu SANUSI</t>
  </si>
  <si>
    <t>VASCO SOUSA</t>
  </si>
  <si>
    <t>Angel ALARCON</t>
  </si>
  <si>
    <t>ANDRE OLIVEIRA</t>
  </si>
  <si>
    <t>Gianluigi DONNARUMMA</t>
  </si>
  <si>
    <t>Matvei SAFONOV</t>
  </si>
  <si>
    <t>Arnau TENAS</t>
  </si>
  <si>
    <t>Presnel KIMPEMBE</t>
  </si>
  <si>
    <t>GABRIEL MOSCARDO</t>
  </si>
  <si>
    <t>Noham KAMARA</t>
  </si>
  <si>
    <t>Jan OBLAK</t>
  </si>
  <si>
    <t>Juan MUSSO</t>
  </si>
  <si>
    <t>Antonio GOMIS</t>
  </si>
  <si>
    <t>Cesar AZPILICUETA</t>
  </si>
  <si>
    <t>Thomas LEMAR</t>
  </si>
  <si>
    <t>Rodrigo RIQUELME</t>
  </si>
  <si>
    <t>Carlos MARTIN</t>
  </si>
  <si>
    <t>Ilias KOSTIS</t>
  </si>
  <si>
    <t>JOHN</t>
  </si>
  <si>
    <t>RAUL</t>
  </si>
  <si>
    <t>LEO LINCK</t>
  </si>
  <si>
    <t>RWAN CRUZ</t>
  </si>
  <si>
    <t>DAVID RICARDO</t>
  </si>
  <si>
    <t>Stefan FREI</t>
  </si>
  <si>
    <t>Andrew THOMAS</t>
  </si>
  <si>
    <t>Jacob CASTRO</t>
  </si>
  <si>
    <t>Travian SOUSA</t>
  </si>
  <si>
    <t>Yeimar GOMEZ ANDRADE</t>
  </si>
  <si>
    <t>Cody BAKER</t>
  </si>
  <si>
    <t>FC Bayern München</t>
  </si>
  <si>
    <t>Manuel NEUER</t>
  </si>
  <si>
    <t>Daniel PERETZ</t>
  </si>
  <si>
    <t>Jonas URBIG</t>
  </si>
  <si>
    <t>Maurice KRATTENMACHER</t>
  </si>
  <si>
    <t>Jonah KUSI-ASARE</t>
  </si>
  <si>
    <t>DAVID SANTOS</t>
  </si>
  <si>
    <t>Conor TRACEY</t>
  </si>
  <si>
    <t>Sebastian CIGANDA</t>
  </si>
  <si>
    <t>Nathan GARROW</t>
  </si>
  <si>
    <t>Agustin MARCHESIN</t>
  </si>
  <si>
    <t>Leandro BREY</t>
  </si>
  <si>
    <t>Javier GARCIA</t>
  </si>
  <si>
    <t>Lucas JANSON</t>
  </si>
  <si>
    <t>Ignacio MIRAMON</t>
  </si>
  <si>
    <t>Frank FABRA</t>
  </si>
  <si>
    <t>Brian AGUIRRE</t>
  </si>
  <si>
    <t>Lucas BLONDEL</t>
  </si>
  <si>
    <t>Milton DELGADO</t>
  </si>
  <si>
    <t>Anatoliy TRUBIN</t>
  </si>
  <si>
    <t>ANDRE GOMES</t>
  </si>
  <si>
    <t>GONCALO OLIVEIRA</t>
  </si>
  <si>
    <t>LEANDRO SANTOS</t>
  </si>
  <si>
    <t>RAFAEL LUIS</t>
  </si>
  <si>
    <t>DIOGO PRIOSTE</t>
  </si>
  <si>
    <t>Robert SANCHEZ</t>
  </si>
  <si>
    <t>Filip JORGENSEN</t>
  </si>
  <si>
    <t>Hugo LLORIS</t>
  </si>
  <si>
    <t>Thomas HASAL</t>
  </si>
  <si>
    <t>David OCHOA</t>
  </si>
  <si>
    <t>Ryan RAPOSO</t>
  </si>
  <si>
    <t>Maxime CHANOT</t>
  </si>
  <si>
    <t>Adam SALDANA</t>
  </si>
  <si>
    <t>Adrian WIBOWO</t>
  </si>
  <si>
    <t>Odin HOLM</t>
  </si>
  <si>
    <t>Nkosi TAFARI</t>
  </si>
  <si>
    <t>Agustin ROSSI</t>
  </si>
  <si>
    <t>MATHEUS CUNHA</t>
  </si>
  <si>
    <t>MATHEUS GONCALVES</t>
  </si>
  <si>
    <t>CLEITON</t>
  </si>
  <si>
    <t>JOAO VICTOR</t>
  </si>
  <si>
    <t>Bechir BEN SAID</t>
  </si>
  <si>
    <t>Amenallah MEMICHE</t>
  </si>
  <si>
    <t>Mohamed Sedki DEBCHI</t>
  </si>
  <si>
    <t>Haithem DHAOU</t>
  </si>
  <si>
    <t>Ayman BEN MOHAMED</t>
  </si>
  <si>
    <t>Aziz KOUDHAI</t>
  </si>
  <si>
    <t>Mohamed Rayen HAMROUNI</t>
  </si>
  <si>
    <t>Franco ARMANI</t>
  </si>
  <si>
    <t>Jeremias LEDESMA</t>
  </si>
  <si>
    <t>Federico GATTONI</t>
  </si>
  <si>
    <t>Matias ROJAS</t>
  </si>
  <si>
    <t>Leandro GONZALEZ PIREZ</t>
  </si>
  <si>
    <t>Fabricio BUSTOS</t>
  </si>
  <si>
    <t>Ian SUBIABRE</t>
  </si>
  <si>
    <t>Shusaku NISHIKAWA</t>
  </si>
  <si>
    <t>Ayumi NIEKAWA</t>
  </si>
  <si>
    <t>Shun YOSHIDA</t>
  </si>
  <si>
    <t>Shoya NAKAJIMA</t>
  </si>
  <si>
    <t>Hiiro KOMORI</t>
  </si>
  <si>
    <t>Toshiki TAKAHASHI</t>
  </si>
  <si>
    <t>Kenta NEMOTO</t>
  </si>
  <si>
    <t>Rikito INOUE</t>
  </si>
  <si>
    <t>Jumpei HAYAKAWA</t>
  </si>
  <si>
    <t>Río NITTA</t>
  </si>
  <si>
    <t>Esteban ANDRADA</t>
  </si>
  <si>
    <t>Luis CARDENAS</t>
  </si>
  <si>
    <t>Alfonso GONZALEZ</t>
  </si>
  <si>
    <t>Gustavo SANCHEZ</t>
  </si>
  <si>
    <t>Tony LEONE</t>
  </si>
  <si>
    <t>Joaquin MOXICA</t>
  </si>
  <si>
    <t>Yann SOMMER</t>
  </si>
  <si>
    <t>Raffaele DI GENNARO</t>
  </si>
  <si>
    <t>Josep MARTINEZ</t>
  </si>
  <si>
    <t>Alessandro CALLIGARIS</t>
  </si>
  <si>
    <t>Tomas PALACIOS</t>
  </si>
  <si>
    <t>Gabriele RE CECCONI</t>
  </si>
  <si>
    <t>Giacomo DE PIERI</t>
  </si>
  <si>
    <t>Thomas BERENBRUCH</t>
  </si>
  <si>
    <t>Matteo COCCHI</t>
  </si>
  <si>
    <t>FABIO</t>
  </si>
  <si>
    <t>MARCELO PITALUGA</t>
  </si>
  <si>
    <t>VITOR EUDES</t>
  </si>
  <si>
    <t>Gregor KOBEL</t>
  </si>
  <si>
    <t>Alexander MEYER</t>
  </si>
  <si>
    <t>Real Madrid C. F.</t>
  </si>
  <si>
    <t>Thibaut COURTOIS</t>
  </si>
  <si>
    <t>Andriy LUNIN</t>
  </si>
  <si>
    <t>Fran GONZALEZ</t>
  </si>
  <si>
    <t>Youssef ENRIQUEZ</t>
  </si>
  <si>
    <t>Chema ANDRES</t>
  </si>
  <si>
    <t>Jesus FORTEA</t>
  </si>
  <si>
    <t>Diego AGUADO</t>
  </si>
  <si>
    <t>Mario MARTIN</t>
  </si>
  <si>
    <t>Carlos MORENO</t>
  </si>
  <si>
    <t>Sebastian JURADO</t>
  </si>
  <si>
    <t>Emilio RODRIGUEZ</t>
  </si>
  <si>
    <t>Israel LUNA</t>
  </si>
  <si>
    <t>Jorge BERLANGA</t>
  </si>
  <si>
    <t>Christian ZAWIESCHITZKY</t>
  </si>
  <si>
    <t>Jonas KRUMREY</t>
  </si>
  <si>
    <t>Salko HAMZIC</t>
  </si>
  <si>
    <t>Tim TRUMMER</t>
  </si>
  <si>
    <t>Enrique AGUILAR</t>
  </si>
  <si>
    <t>Jannik SCHUSTER</t>
  </si>
  <si>
    <t>JO Hyeonwoo</t>
  </si>
  <si>
    <t>MOON Jungin</t>
  </si>
  <si>
    <t>KANG Minwoo</t>
  </si>
  <si>
    <t>KIM Minwoo</t>
  </si>
  <si>
    <t>YOON Jaeseok</t>
  </si>
  <si>
    <t>BACK Inwoo</t>
  </si>
  <si>
    <t>YAGO CARIELLO</t>
  </si>
  <si>
    <t>Ronwen WILLIAMS</t>
  </si>
  <si>
    <t>Denis ONYANGO</t>
  </si>
  <si>
    <t>Reyaad PIETERSE</t>
  </si>
  <si>
    <t>Malibongwe KHOZA</t>
  </si>
  <si>
    <t>Aubrey MODIBA</t>
  </si>
  <si>
    <t>Neo MAEMA</t>
  </si>
  <si>
    <t>Kutiwano LETLHAKU</t>
  </si>
  <si>
    <t>Sphelele MKHULISE</t>
  </si>
  <si>
    <t>Zuko MDUNYELWA</t>
  </si>
  <si>
    <t>RUI PATRICIO</t>
  </si>
  <si>
    <t>KHALID EISA</t>
  </si>
  <si>
    <t>KHALID ALHASHMI</t>
  </si>
  <si>
    <t>FABIO CARDOSO</t>
  </si>
  <si>
    <t>MOHAMED AWADALLA</t>
  </si>
  <si>
    <t>Josna LOULENDO</t>
  </si>
  <si>
    <t>Michele DI GREGORIO</t>
  </si>
  <si>
    <t>Weston MCKENNIE</t>
  </si>
  <si>
    <t>Carlo PINSOGLIO</t>
  </si>
  <si>
    <t>Giovanni DAFFARA</t>
  </si>
  <si>
    <t>Giovanni GAROFANI</t>
  </si>
  <si>
    <t>Jonas ROUHI</t>
  </si>
  <si>
    <t>Samuel MBANGULA</t>
  </si>
  <si>
    <t>EDERSON</t>
  </si>
  <si>
    <t>Stefan ORTEGA</t>
  </si>
  <si>
    <t>John STONES</t>
  </si>
  <si>
    <t>El Mehdi BENABID</t>
  </si>
  <si>
    <t>Youssef EL MOTIE</t>
  </si>
  <si>
    <t>Omar AQZDAOU</t>
  </si>
  <si>
    <t>ARTHUR</t>
  </si>
  <si>
    <t>Zakaria FATHI</t>
  </si>
  <si>
    <t>PEDRINHO</t>
  </si>
  <si>
    <t>Yassine BENNANI</t>
  </si>
  <si>
    <t>Rayane MAHTOU</t>
  </si>
  <si>
    <t>Yassine BOUNOU</t>
  </si>
  <si>
    <t>MOHAMMED ALYAMI</t>
  </si>
  <si>
    <t>AHMAD ABURASYIN</t>
  </si>
  <si>
    <t>KHALIFAH ALDAWSARI</t>
  </si>
  <si>
    <t>ABDULAZIZ HADHOOD</t>
  </si>
  <si>
    <t>ABDULLAH ALHAMDDAN</t>
  </si>
  <si>
    <t>Cole CAMPBELL</t>
  </si>
  <si>
    <t>Filippo MANE</t>
  </si>
  <si>
    <t>Samuele INACIO</t>
  </si>
  <si>
    <t>Soumaila COULIBALY</t>
  </si>
  <si>
    <t>Ayman AZHIL</t>
  </si>
  <si>
    <t>Elias BENKARA</t>
  </si>
  <si>
    <t>Ruben LEZCANO</t>
  </si>
  <si>
    <t>Joaquin LAVEGA</t>
  </si>
  <si>
    <t>MANOEL</t>
  </si>
  <si>
    <t>RYU Seongmin</t>
  </si>
  <si>
    <t>Hector MARTINEZ</t>
  </si>
  <si>
    <t>NAVES</t>
  </si>
  <si>
    <t>Jeremy FOO</t>
  </si>
  <si>
    <t>Agustin MARTEGANI</t>
  </si>
  <si>
    <t>Match_number</t>
  </si>
  <si>
    <t>Match</t>
  </si>
  <si>
    <t>1st Half</t>
  </si>
  <si>
    <t>2nd Half</t>
  </si>
  <si>
    <t>Total time (minutes)</t>
  </si>
  <si>
    <t>Local</t>
  </si>
  <si>
    <t>BRT Time</t>
  </si>
  <si>
    <t>Paralisação / Prorrogação</t>
  </si>
  <si>
    <t>Coordenada geografica</t>
  </si>
  <si>
    <t>LAT</t>
  </si>
  <si>
    <t>LON</t>
  </si>
  <si>
    <t>UTC 1</t>
  </si>
  <si>
    <t>UTC 2</t>
  </si>
  <si>
    <t>UTC 3</t>
  </si>
  <si>
    <t>UTC 4</t>
  </si>
  <si>
    <t>Médias</t>
  </si>
  <si>
    <t>Al Ahly x Inter Miami</t>
  </si>
  <si>
    <t>Miami Gardens - Flórida</t>
  </si>
  <si>
    <t>Open</t>
  </si>
  <si>
    <t>25.958354, -80.239798</t>
  </si>
  <si>
    <t>Bayern de Munique x Auckland City</t>
  </si>
  <si>
    <t>Cincinnati</t>
  </si>
  <si>
    <t>39.110968, -84.522493</t>
  </si>
  <si>
    <t>PSG x Atletico Madrid</t>
  </si>
  <si>
    <t>Pasadena</t>
  </si>
  <si>
    <t>Rose Bowl</t>
  </si>
  <si>
    <t>34.162161, -118.166219</t>
  </si>
  <si>
    <t>Palmeiras x Porto</t>
  </si>
  <si>
    <t>East Rutherford</t>
  </si>
  <si>
    <t>40.813381, -74.074360</t>
  </si>
  <si>
    <t>Botafogo x Seattle Sounders</t>
  </si>
  <si>
    <t>Seatte</t>
  </si>
  <si>
    <t>47.595391, -122.330180</t>
  </si>
  <si>
    <t>Chelsea x LAFC</t>
  </si>
  <si>
    <t>Atlanta</t>
  </si>
  <si>
    <t>Closed</t>
  </si>
  <si>
    <t>33.755595, -84.400580</t>
  </si>
  <si>
    <t>Boca Juniors x Benfica</t>
  </si>
  <si>
    <t>Flamengo x Espérance</t>
  </si>
  <si>
    <t>Philadelphia</t>
  </si>
  <si>
    <t>39.900143, -75.166784</t>
  </si>
  <si>
    <t>Fluminense x Borussia Dortmund</t>
  </si>
  <si>
    <t>River Plate x Urawa Red Diamonds</t>
  </si>
  <si>
    <t>Ulsan HD x Mamelodi Sundowns</t>
  </si>
  <si>
    <t>Orlando</t>
  </si>
  <si>
    <t>Adiado 65 minutos para o início</t>
  </si>
  <si>
    <t>28.541032, -81.388361</t>
  </si>
  <si>
    <t>Monterrey x Inter de Milão</t>
  </si>
  <si>
    <t>Manchester City x Wydad</t>
  </si>
  <si>
    <t>Real Madrid x Al Hilal</t>
  </si>
  <si>
    <t>Pachuca x Red Bull Salzburg</t>
  </si>
  <si>
    <t>Paralisação de 100 minutos durante 2ºT</t>
  </si>
  <si>
    <t>Al Ain x Juventus</t>
  </si>
  <si>
    <t>Washington, D.C.</t>
  </si>
  <si>
    <t>38.868309, -77.012451</t>
  </si>
  <si>
    <t>Palmeiras x Al Ahly</t>
  </si>
  <si>
    <t>Paralisação de 45 minutos durante o 2ºT</t>
  </si>
  <si>
    <t>Inter Miami x Porto</t>
  </si>
  <si>
    <t>Seattle Sounders x Atletico Madrid</t>
  </si>
  <si>
    <t>PSG x Botafogo</t>
  </si>
  <si>
    <t>Benfica x Auckland City</t>
  </si>
  <si>
    <t>Paralisação de 120 minutos no intervalo</t>
  </si>
  <si>
    <t>Flamengo x Chelsea</t>
  </si>
  <si>
    <t>LAFC x Espérance</t>
  </si>
  <si>
    <t>Nashville</t>
  </si>
  <si>
    <t>Geodis Park</t>
  </si>
  <si>
    <t>36.129985, -86.765268</t>
  </si>
  <si>
    <t>Bayern de Munique x Boca Juniors</t>
  </si>
  <si>
    <t>Mamelodi Sundowns x Borussia Dortmund</t>
  </si>
  <si>
    <t>Inter de Milão x Urawa Red Diamonds</t>
  </si>
  <si>
    <t>Fluminense x Ulsan HD</t>
  </si>
  <si>
    <t>River Plate x Monterrey</t>
  </si>
  <si>
    <t>Juventus x Wydad</t>
  </si>
  <si>
    <t>Real Madrid x Pachuca</t>
  </si>
  <si>
    <t>Charlotte</t>
  </si>
  <si>
    <t>35.225917, -80.851801</t>
  </si>
  <si>
    <t>Red Bull Salzburg x Al Hilal</t>
  </si>
  <si>
    <t>Manchester City x Al Ain</t>
  </si>
  <si>
    <t>Seattle Sounders x PSG</t>
  </si>
  <si>
    <t>Atletico Madrid x Botafogo</t>
  </si>
  <si>
    <t>Inter Miami x Palmeiras</t>
  </si>
  <si>
    <t>Porto x Al Ahly</t>
  </si>
  <si>
    <t>Auckland City x Boca Juniors</t>
  </si>
  <si>
    <t>Paralisação de 60 minutos durante o 2ºT</t>
  </si>
  <si>
    <t>36.129837, -86.765225</t>
  </si>
  <si>
    <t>Benfica x Bayern de Munique</t>
  </si>
  <si>
    <t>LAFC x Flamengo</t>
  </si>
  <si>
    <t>28.538576, -81.401647</t>
  </si>
  <si>
    <t>Espérance x Chelsea</t>
  </si>
  <si>
    <t>Borussia Dortmund x Ulsan HD</t>
  </si>
  <si>
    <t>Mamelodi Sundowns x Fluminense</t>
  </si>
  <si>
    <t>Inter de Milão x River Plate</t>
  </si>
  <si>
    <t>Urawa Red Diamonds x Monterrey</t>
  </si>
  <si>
    <t>Juventus x Manchester City</t>
  </si>
  <si>
    <t>Wydad x Al Ain</t>
  </si>
  <si>
    <t>Al Hilal x Pachuca</t>
  </si>
  <si>
    <t>Red Bull Salzburg x Real Madrid</t>
  </si>
  <si>
    <t>Palmeiras x Botafogo</t>
  </si>
  <si>
    <t>Prorrogação</t>
  </si>
  <si>
    <t>Benfica x Chelsea</t>
  </si>
  <si>
    <t>PSG x Inter Miami</t>
  </si>
  <si>
    <t>Flamengo x Bayern de Munique</t>
  </si>
  <si>
    <t>Inter de Milão x Fluminense</t>
  </si>
  <si>
    <t>Manchester City x Al Hilal</t>
  </si>
  <si>
    <t>Real Madrid x Juventus</t>
  </si>
  <si>
    <t>Borussia Dortmund x Monterrey</t>
  </si>
  <si>
    <t>Fluminense x Al Hilal</t>
  </si>
  <si>
    <t>Palmeiras x Chelsea</t>
  </si>
  <si>
    <t>PSG x Bayern de Munique</t>
  </si>
  <si>
    <t>Real Madrid x Borussia Dortmund</t>
  </si>
  <si>
    <t>Fluminense x Chelsea</t>
  </si>
  <si>
    <t>PSG x Real Madrid</t>
  </si>
  <si>
    <t>Chelsea x PSG</t>
  </si>
  <si>
    <t>Jogo</t>
  </si>
  <si>
    <t>Data</t>
  </si>
  <si>
    <t>Hora de Brasília</t>
  </si>
  <si>
    <t>Hora Local</t>
  </si>
  <si>
    <t>Hora UTC</t>
  </si>
  <si>
    <t>Data  - UTC</t>
  </si>
  <si>
    <t>Estádio</t>
  </si>
  <si>
    <t>Tipo de estádio</t>
  </si>
  <si>
    <t>Aberto</t>
  </si>
  <si>
    <t>00+1d</t>
  </si>
  <si>
    <t>Fechado</t>
  </si>
  <si>
    <t>01+1d</t>
  </si>
  <si>
    <t>02+1d</t>
  </si>
  <si>
    <t>Equipe</t>
  </si>
  <si>
    <t>Classificação</t>
  </si>
  <si>
    <t>Clima</t>
  </si>
  <si>
    <t>Tempo total jogado</t>
  </si>
  <si>
    <t>Total Distance (m) / per minute</t>
  </si>
  <si>
    <t>Zone 1:0-7 km/h (m) / per minute</t>
  </si>
  <si>
    <t>Zone 2:7-15 km/h (m) / per minute</t>
  </si>
  <si>
    <t>Zone 3:15-20 km/h (m) / per minute</t>
  </si>
  <si>
    <t>Zone 4:20-25 km/h (m) / per minute</t>
  </si>
  <si>
    <t>Zone 5:25+km/h (m) / per minute</t>
  </si>
  <si>
    <t># High Speed Runs (Zone 3) / per minute</t>
  </si>
  <si>
    <t># Sprints (Zone 4 &amp; 5) / per minute</t>
  </si>
  <si>
    <t>Temperado</t>
  </si>
  <si>
    <t>Tropical</t>
  </si>
  <si>
    <t>Período</t>
  </si>
  <si>
    <t># Jogo</t>
  </si>
  <si>
    <t>SUM de Tempo total jogado</t>
  </si>
  <si>
    <t>SUM de Total Distance (m)</t>
  </si>
  <si>
    <t>SUM de Total Distance (m) / per minute</t>
  </si>
  <si>
    <t>SUM de Zone 1:0-7 km/h (m)</t>
  </si>
  <si>
    <t>SUM de Zone 1:0-7 km/h (m) / per minute</t>
  </si>
  <si>
    <t>SUM de Zone 2:7-15 km/h (m)</t>
  </si>
  <si>
    <t>SUM de Zone 2:7-15 km/h (m) / per minute</t>
  </si>
  <si>
    <t>SUM de Zone 3:15-20 km/h (m)</t>
  </si>
  <si>
    <t>SUM de Zone 3:15-20 km/h (m) / per minute</t>
  </si>
  <si>
    <t>SUM de Zone 4:20-25 km/h (m)</t>
  </si>
  <si>
    <t>SUM de Zone 4:20-25 km/h (m) / per minute</t>
  </si>
  <si>
    <t>SUM de Zone 5:25+km/h (m)</t>
  </si>
  <si>
    <t>SUM de Zone 5:25+km/h (m) / per minute</t>
  </si>
  <si>
    <t>SUM de # High Speed Runs (Zone 3)</t>
  </si>
  <si>
    <t>SUM de # High Speed Runs (Zone 3) / per minute</t>
  </si>
  <si>
    <t>SUM de # Sprints (Zone 4 &amp; 5)</t>
  </si>
  <si>
    <t>SUM de # Sprints (Zone 4 &amp; 5) / per minute</t>
  </si>
  <si>
    <t>Noite</t>
  </si>
  <si>
    <t>Tarde</t>
  </si>
  <si>
    <t>Times</t>
  </si>
  <si>
    <t>Id Time</t>
  </si>
  <si>
    <t>Confederação</t>
  </si>
  <si>
    <t>Cidade Sede</t>
  </si>
  <si>
    <t>Classificação Climática</t>
  </si>
  <si>
    <t>Classificação Climática (original)</t>
  </si>
  <si>
    <t>AlAhly</t>
  </si>
  <si>
    <t>CAF</t>
  </si>
  <si>
    <t>Cairo, Egito</t>
  </si>
  <si>
    <t>Tropical (Desértico)</t>
  </si>
  <si>
    <t>AlAin</t>
  </si>
  <si>
    <t>AFC</t>
  </si>
  <si>
    <t>Al Ain, Emirados Árabes Unidos</t>
  </si>
  <si>
    <t>AlHilal</t>
  </si>
  <si>
    <t>Riade, Arábia Saudita</t>
  </si>
  <si>
    <t>Atletico</t>
  </si>
  <si>
    <t>UEFA</t>
  </si>
  <si>
    <t>Madrid, Espanha</t>
  </si>
  <si>
    <t>Temperate</t>
  </si>
  <si>
    <t>Auckland</t>
  </si>
  <si>
    <t>OFC</t>
  </si>
  <si>
    <t>Auckland, Nova Zelândia</t>
  </si>
  <si>
    <t>Borussia</t>
  </si>
  <si>
    <t>Dortmund, Alemanha</t>
  </si>
  <si>
    <t>CONMEBOL</t>
  </si>
  <si>
    <t>Rio de Janeiro, Brasil</t>
  </si>
  <si>
    <t>Boca</t>
  </si>
  <si>
    <t>Buenos Aires, Argentina</t>
  </si>
  <si>
    <t>River</t>
  </si>
  <si>
    <t>Monterrey</t>
  </si>
  <si>
    <t>CONCACAF</t>
  </si>
  <si>
    <t>Monterrey, México</t>
  </si>
  <si>
    <t>Pachuca</t>
  </si>
  <si>
    <t>Pachuca, México</t>
  </si>
  <si>
    <t>Chelsea</t>
  </si>
  <si>
    <t>Londres, Inglaterra</t>
  </si>
  <si>
    <t>Flamengo</t>
  </si>
  <si>
    <t>Esperance</t>
  </si>
  <si>
    <t>Tunis, Tunísia</t>
  </si>
  <si>
    <t>Bayern</t>
  </si>
  <si>
    <t>Munique, Alemanha</t>
  </si>
  <si>
    <t>InterMilano</t>
  </si>
  <si>
    <t>Milão, Itália</t>
  </si>
  <si>
    <t>Porto</t>
  </si>
  <si>
    <t>Porto, Portugal</t>
  </si>
  <si>
    <t>Salzburg</t>
  </si>
  <si>
    <t>Salzburgo, Áustria</t>
  </si>
  <si>
    <t>Fluminense</t>
  </si>
  <si>
    <t>InterMiami</t>
  </si>
  <si>
    <t>Fort Lauderdale/Miami, EUA</t>
  </si>
  <si>
    <t>Juventus</t>
  </si>
  <si>
    <t>Turim, Itália</t>
  </si>
  <si>
    <t>Los Angeles, EUA</t>
  </si>
  <si>
    <t>Mamelodi</t>
  </si>
  <si>
    <t>Pretória, África do Sul</t>
  </si>
  <si>
    <t>Manchester, Inglaterra</t>
  </si>
  <si>
    <t>São Paulo, Brasil</t>
  </si>
  <si>
    <t>PSG</t>
  </si>
  <si>
    <t>Paris, França</t>
  </si>
  <si>
    <t>Real</t>
  </si>
  <si>
    <t>Seattle</t>
  </si>
  <si>
    <t>Seattle, EUA</t>
  </si>
  <si>
    <t>Benfica</t>
  </si>
  <si>
    <t>Lisboa, Portugal</t>
  </si>
  <si>
    <t>Ulsan</t>
  </si>
  <si>
    <t>Ulsan, Coreia do Sul</t>
  </si>
  <si>
    <t>Urawa</t>
  </si>
  <si>
    <t>Saitama, Japão</t>
  </si>
  <si>
    <t>Wydad</t>
  </si>
  <si>
    <t>Casablanca, Marrocos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</si>
</sst>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hh:mm"/>
    <numFmt numFmtId="166" formatCode="dd/mm/yy"/>
    <numFmt numFmtId="167" formatCode="dd/MM/yyyy"/>
    <numFmt numFmtId="168" formatCode="d/m/yyyy"/>
    <numFmt numFmtId="169" formatCode="0.0"/>
    <numFmt numFmtId="170" formatCode="d.m"/>
  </numFmts>
  <fonts count="1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9.0"/>
      <color theme="1"/>
      <name val="Helvetica"/>
    </font>
    <font>
      <b/>
      <color theme="1"/>
      <name val="Arial"/>
    </font>
    <font>
      <b/>
      <color theme="1"/>
      <name val="Arial"/>
      <scheme val="minor"/>
    </font>
    <font>
      <color theme="1"/>
      <name val="Google Sans Text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C161C"/>
      <name val="&quot;Aptos Narrow&quot;"/>
    </font>
    <font>
      <sz val="11.0"/>
      <color theme="1"/>
      <name val="&quot;Aptos Narrow&quot;"/>
    </font>
    <font>
      <sz val="11.0"/>
      <color theme="1"/>
      <name val="Arial"/>
    </font>
    <font>
      <sz val="11.0"/>
      <color rgb="FF0C161C"/>
      <name val="Arial"/>
    </font>
    <font>
      <b/>
      <sz val="11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1F0C8"/>
        <bgColor rgb="FFC1F0C8"/>
      </patternFill>
    </fill>
    <fill>
      <patternFill patternType="solid">
        <fgColor rgb="FFF7C7AC"/>
        <bgColor rgb="FFF7C7AC"/>
      </patternFill>
    </fill>
    <fill>
      <patternFill patternType="solid">
        <fgColor rgb="FFDAF2D0"/>
        <bgColor rgb="FFDAF2D0"/>
      </patternFill>
    </fill>
  </fills>
  <borders count="12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 vertical="top"/>
    </xf>
    <xf borderId="0" fillId="0" fontId="2" numFmtId="3" xfId="0" applyAlignment="1" applyFont="1" applyNumberFormat="1">
      <alignment readingOrder="0" vertical="top"/>
    </xf>
    <xf borderId="0" fillId="0" fontId="2" numFmtId="2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2" fontId="2" numFmtId="0" xfId="0" applyAlignment="1" applyFill="1" applyFont="1">
      <alignment readingOrder="0" vertical="top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2" numFmtId="166" xfId="0" applyAlignment="1" applyFont="1" applyNumberFormat="1">
      <alignment readingOrder="0"/>
    </xf>
    <xf borderId="0" fillId="3" fontId="2" numFmtId="0" xfId="0" applyAlignment="1" applyFill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1" numFmtId="2" xfId="0" applyFont="1" applyNumberFormat="1"/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3" xfId="0" applyFont="1" applyNumberFormat="1"/>
    <xf borderId="0" fillId="0" fontId="3" numFmtId="167" xfId="0" applyAlignment="1" applyFont="1" applyNumberForma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4" numFmtId="167" xfId="0" applyFont="1" applyNumberFormat="1"/>
    <xf borderId="0" fillId="0" fontId="3" numFmtId="168" xfId="0" applyAlignment="1" applyFont="1" applyNumberFormat="1">
      <alignment vertical="bottom"/>
    </xf>
    <xf borderId="0" fillId="0" fontId="3" numFmtId="168" xfId="0" applyAlignment="1" applyFont="1" applyNumberFormat="1">
      <alignment horizontal="right" vertical="bottom"/>
    </xf>
    <xf borderId="0" fillId="0" fontId="4" numFmtId="168" xfId="0" applyFont="1" applyNumberFormat="1"/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4" numFmtId="167" xfId="0" applyFont="1" applyNumberFormat="1"/>
    <xf borderId="0" fillId="0" fontId="4" numFmtId="168" xfId="0" applyAlignment="1" applyFont="1" applyNumberFormat="1">
      <alignment readingOrder="0"/>
    </xf>
    <xf borderId="0" fillId="0" fontId="9" numFmtId="0" xfId="0" applyAlignment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2" fillId="0" fontId="9" numFmtId="0" xfId="0" applyAlignment="1" applyBorder="1" applyFont="1">
      <alignment horizontal="center" readingOrder="0" shrinkToFit="0" vertical="bottom" wrapText="0"/>
    </xf>
    <xf borderId="2" fillId="0" fontId="10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0" fillId="3" fontId="10" numFmtId="0" xfId="0" applyAlignment="1" applyFont="1">
      <alignment horizontal="center" readingOrder="0" shrinkToFit="0" vertical="bottom" wrapText="0"/>
    </xf>
    <xf borderId="3" fillId="4" fontId="10" numFmtId="0" xfId="0" applyAlignment="1" applyBorder="1" applyFill="1" applyFont="1">
      <alignment horizontal="center" readingOrder="0" shrinkToFit="0" vertical="bottom" wrapText="0"/>
    </xf>
    <xf borderId="3" fillId="4" fontId="9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5" fillId="3" fontId="9" numFmtId="0" xfId="0" applyAlignment="1" applyBorder="1" applyFont="1">
      <alignment horizontal="center" readingOrder="0" shrinkToFit="0" vertical="bottom" wrapText="0"/>
    </xf>
    <xf borderId="6" fillId="0" fontId="10" numFmtId="0" xfId="0" applyAlignment="1" applyBorder="1" applyFont="1">
      <alignment horizontal="center" readingOrder="0" shrinkToFit="0" vertical="bottom" wrapText="0"/>
    </xf>
    <xf borderId="5" fillId="0" fontId="10" numFmtId="164" xfId="0" applyAlignment="1" applyBorder="1" applyFont="1" applyNumberFormat="1">
      <alignment horizontal="center" readingOrder="0" shrinkToFit="0" vertical="bottom" wrapText="0"/>
    </xf>
    <xf borderId="5" fillId="0" fontId="11" numFmtId="0" xfId="0" applyAlignment="1" applyBorder="1" applyFont="1">
      <alignment horizontal="center" readingOrder="0" shrinkToFit="0" vertical="bottom" wrapText="0"/>
    </xf>
    <xf borderId="5" fillId="0" fontId="10" numFmtId="165" xfId="0" applyAlignment="1" applyBorder="1" applyFont="1" applyNumberFormat="1">
      <alignment horizontal="center" readingOrder="0" shrinkToFit="0" vertical="bottom" wrapText="0"/>
    </xf>
    <xf borderId="5" fillId="0" fontId="9" numFmtId="4" xfId="0" applyAlignment="1" applyBorder="1" applyFont="1" applyNumberFormat="1">
      <alignment horizontal="center" readingOrder="0" shrinkToFit="0" vertical="bottom" wrapText="0"/>
    </xf>
    <xf borderId="7" fillId="0" fontId="10" numFmtId="0" xfId="0" applyAlignment="1" applyBorder="1" applyFont="1">
      <alignment horizontal="center" shrinkToFit="0" vertical="bottom" wrapText="0"/>
    </xf>
    <xf borderId="4" fillId="0" fontId="12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2" xfId="0" applyAlignment="1" applyFont="1" applyNumberFormat="1">
      <alignment shrinkToFit="0" vertical="bottom" wrapText="0"/>
    </xf>
    <xf borderId="0" fillId="0" fontId="3" numFmtId="0" xfId="0" applyAlignment="1" applyFont="1">
      <alignment horizontal="right" vertical="bottom"/>
    </xf>
    <xf borderId="3" fillId="0" fontId="12" numFmtId="0" xfId="0" applyAlignment="1" applyBorder="1" applyFont="1">
      <alignment readingOrder="0" shrinkToFit="0" vertical="bottom" wrapText="0"/>
    </xf>
    <xf borderId="8" fillId="0" fontId="12" numFmtId="0" xfId="0" applyAlignment="1" applyBorder="1" applyFont="1">
      <alignment horizontal="center" readingOrder="0" shrinkToFit="0" vertical="bottom" wrapText="0"/>
    </xf>
    <xf borderId="8" fillId="0" fontId="12" numFmtId="164" xfId="0" applyAlignment="1" applyBorder="1" applyFont="1" applyNumberFormat="1">
      <alignment horizontal="center" readingOrder="0" shrinkToFit="0" vertical="bottom" wrapText="0"/>
    </xf>
    <xf borderId="8" fillId="0" fontId="12" numFmtId="165" xfId="0" applyAlignment="1" applyBorder="1" applyFont="1" applyNumberFormat="1">
      <alignment horizontal="center" readingOrder="0" shrinkToFit="0" vertical="bottom" wrapText="0"/>
    </xf>
    <xf borderId="9" fillId="0" fontId="12" numFmtId="0" xfId="0" applyAlignment="1" applyBorder="1" applyFont="1">
      <alignment horizontal="center" shrinkToFit="0" vertical="bottom" wrapText="0"/>
    </xf>
    <xf borderId="3" fillId="0" fontId="12" numFmtId="0" xfId="0" applyAlignment="1" applyBorder="1" applyFont="1">
      <alignment horizontal="center" readingOrder="0" shrinkToFit="0" vertical="bottom" wrapText="0"/>
    </xf>
    <xf borderId="3" fillId="0" fontId="10" numFmtId="0" xfId="0" applyAlignment="1" applyBorder="1" applyFont="1">
      <alignment horizontal="center" readingOrder="0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8" fillId="3" fontId="9" numFmtId="0" xfId="0" applyAlignment="1" applyBorder="1" applyFont="1">
      <alignment horizontal="center" readingOrder="0" shrinkToFit="0" vertical="bottom" wrapText="0"/>
    </xf>
    <xf borderId="8" fillId="0" fontId="10" numFmtId="164" xfId="0" applyAlignment="1" applyBorder="1" applyFont="1" applyNumberFormat="1">
      <alignment horizontal="center" readingOrder="0" shrinkToFit="0" vertical="bottom" wrapText="0"/>
    </xf>
    <xf borderId="8" fillId="0" fontId="10" numFmtId="165" xfId="0" applyAlignment="1" applyBorder="1" applyFont="1" applyNumberFormat="1">
      <alignment horizontal="center" readingOrder="0" shrinkToFit="0" vertical="bottom" wrapText="0"/>
    </xf>
    <xf borderId="9" fillId="0" fontId="10" numFmtId="0" xfId="0" applyAlignment="1" applyBorder="1" applyFont="1">
      <alignment horizontal="center" shrinkToFit="0" vertical="bottom" wrapText="0"/>
    </xf>
    <xf borderId="3" fillId="0" fontId="9" numFmtId="0" xfId="0" applyAlignment="1" applyBorder="1" applyFont="1">
      <alignment horizontal="center" readingOrder="0" shrinkToFit="0" vertical="bottom" wrapText="0"/>
    </xf>
    <xf borderId="8" fillId="0" fontId="11" numFmtId="0" xfId="0" applyAlignment="1" applyBorder="1" applyFont="1">
      <alignment horizontal="center" readingOrder="0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4" fillId="0" fontId="13" numFmtId="0" xfId="0" applyAlignment="1" applyBorder="1" applyFont="1">
      <alignment horizontal="center" readingOrder="0" shrinkToFit="0" vertical="bottom" wrapText="0"/>
    </xf>
    <xf borderId="5" fillId="3" fontId="13" numFmtId="0" xfId="0" applyAlignment="1" applyBorder="1" applyFont="1">
      <alignment horizontal="center" readingOrder="0" shrinkToFit="0" vertical="bottom" wrapText="0"/>
    </xf>
    <xf borderId="5" fillId="0" fontId="12" numFmtId="0" xfId="0" applyAlignment="1" applyBorder="1" applyFont="1">
      <alignment horizontal="center" readingOrder="0" shrinkToFit="0" vertical="bottom" wrapText="0"/>
    </xf>
    <xf borderId="5" fillId="0" fontId="12" numFmtId="164" xfId="0" applyAlignment="1" applyBorder="1" applyFont="1" applyNumberFormat="1">
      <alignment horizontal="center" readingOrder="0" shrinkToFit="0" vertical="bottom" wrapText="0"/>
    </xf>
    <xf borderId="5" fillId="0" fontId="12" numFmtId="165" xfId="0" applyAlignment="1" applyBorder="1" applyFont="1" applyNumberFormat="1">
      <alignment horizontal="center" readingOrder="0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3" fillId="0" fontId="11" numFmtId="0" xfId="0" applyAlignment="1" applyBorder="1" applyFont="1">
      <alignment readingOrder="0" shrinkToFit="0" vertical="bottom" wrapText="0"/>
    </xf>
    <xf borderId="3" fillId="0" fontId="14" numFmtId="0" xfId="0" applyAlignment="1" applyBorder="1" applyFont="1">
      <alignment horizontal="center" readingOrder="0" shrinkToFit="0" vertical="bottom" wrapText="0"/>
    </xf>
    <xf borderId="8" fillId="3" fontId="14" numFmtId="0" xfId="0" applyAlignment="1" applyBorder="1" applyFont="1">
      <alignment horizontal="center" readingOrder="0" shrinkToFit="0" vertical="bottom" wrapText="0"/>
    </xf>
    <xf borderId="3" fillId="0" fontId="11" numFmtId="0" xfId="0" applyAlignment="1" applyBorder="1" applyFont="1">
      <alignment horizontal="center" readingOrder="0" shrinkToFit="0" vertical="bottom" wrapText="0"/>
    </xf>
    <xf borderId="9" fillId="0" fontId="12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5" fillId="3" fontId="14" numFmtId="0" xfId="0" applyAlignment="1" applyBorder="1" applyFont="1">
      <alignment horizontal="center" readingOrder="0" shrinkToFit="0" vertical="bottom" wrapText="0"/>
    </xf>
    <xf borderId="8" fillId="3" fontId="10" numFmtId="0" xfId="0" applyAlignment="1" applyBorder="1" applyFont="1">
      <alignment horizontal="center" readingOrder="0" shrinkToFit="0" vertical="bottom" wrapText="0"/>
    </xf>
    <xf borderId="9" fillId="0" fontId="10" numFmtId="0" xfId="0" applyAlignment="1" applyBorder="1" applyFont="1">
      <alignment horizontal="center" readingOrder="0" shrinkToFit="0" vertical="bottom" wrapText="0"/>
    </xf>
    <xf borderId="2" fillId="0" fontId="10" numFmtId="164" xfId="0" applyAlignment="1" applyBorder="1" applyFont="1" applyNumberFormat="1">
      <alignment horizontal="center" readingOrder="0" shrinkToFit="0" vertical="bottom" wrapText="0"/>
    </xf>
    <xf borderId="2" fillId="0" fontId="10" numFmtId="165" xfId="0" applyAlignment="1" applyBorder="1" applyFont="1" applyNumberFormat="1">
      <alignment horizontal="center" readingOrder="0" shrinkToFit="0" vertical="bottom" wrapText="0"/>
    </xf>
    <xf borderId="2" fillId="0" fontId="11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8" fillId="3" fontId="13" numFmtId="0" xfId="0" applyAlignment="1" applyBorder="1" applyFont="1">
      <alignment horizontal="center" readingOrder="0" shrinkToFit="0" vertical="bottom" wrapText="0"/>
    </xf>
    <xf borderId="4" fillId="0" fontId="11" numFmtId="0" xfId="0" applyAlignment="1" applyBorder="1" applyFont="1">
      <alignment horizontal="center" readingOrder="0" shrinkToFit="0" vertical="bottom" wrapText="0"/>
    </xf>
    <xf borderId="7" fillId="0" fontId="12" numFmtId="0" xfId="0" applyAlignment="1" applyBorder="1" applyFont="1">
      <alignment horizontal="center" readingOrder="0" shrinkToFit="0" vertical="bottom" wrapText="0"/>
    </xf>
    <xf borderId="5" fillId="3" fontId="10" numFmtId="0" xfId="0" applyAlignment="1" applyBorder="1" applyFont="1">
      <alignment horizontal="center" readingOrder="0" shrinkToFit="0" vertical="bottom" wrapText="0"/>
    </xf>
    <xf borderId="8" fillId="2" fontId="11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0" fillId="0" fontId="10" numFmtId="0" xfId="0" applyAlignment="1" applyBorder="1" applyFont="1">
      <alignment horizontal="center" readingOrder="0" shrinkToFit="0" vertical="bottom" wrapText="0"/>
    </xf>
    <xf borderId="6" fillId="5" fontId="10" numFmtId="0" xfId="0" applyAlignment="1" applyBorder="1" applyFill="1" applyFont="1">
      <alignment horizontal="center" readingOrder="0" shrinkToFit="0" vertical="bottom" wrapText="0"/>
    </xf>
    <xf borderId="11" fillId="0" fontId="10" numFmtId="0" xfId="0" applyAlignment="1" applyBorder="1" applyFont="1">
      <alignment horizontal="center" readingOrder="0" shrinkToFit="0" vertical="bottom" wrapText="0"/>
    </xf>
    <xf borderId="4" fillId="6" fontId="10" numFmtId="0" xfId="0" applyAlignment="1" applyBorder="1" applyFill="1" applyFont="1">
      <alignment horizontal="center" readingOrder="0" shrinkToFit="0" vertical="bottom" wrapText="0"/>
    </xf>
    <xf borderId="4" fillId="4" fontId="10" numFmtId="0" xfId="0" applyAlignment="1" applyBorder="1" applyFont="1">
      <alignment horizontal="center" readingOrder="0" shrinkToFit="0" vertical="bottom" wrapText="0"/>
    </xf>
    <xf borderId="5" fillId="5" fontId="10" numFmtId="0" xfId="0" applyAlignment="1" applyBorder="1" applyFont="1">
      <alignment horizontal="center" readingOrder="0" shrinkToFit="0" vertical="bottom" wrapText="0"/>
    </xf>
    <xf borderId="5" fillId="5" fontId="10" numFmtId="164" xfId="0" applyAlignment="1" applyBorder="1" applyFont="1" applyNumberFormat="1">
      <alignment horizontal="center" readingOrder="0" shrinkToFit="0" vertical="bottom" wrapText="0"/>
    </xf>
    <xf borderId="7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6" fontId="10" numFmtId="0" xfId="0" applyAlignment="1" applyFont="1">
      <alignment horizontal="right" readingOrder="0" shrinkToFit="0" vertical="bottom" wrapText="0"/>
    </xf>
    <xf borderId="0" fillId="6" fontId="10" numFmtId="0" xfId="0" applyAlignment="1" applyFont="1">
      <alignment horizontal="right" shrinkToFit="0" vertical="bottom" wrapText="0"/>
    </xf>
    <xf borderId="8" fillId="5" fontId="10" numFmtId="0" xfId="0" applyAlignment="1" applyBorder="1" applyFont="1">
      <alignment horizontal="center" readingOrder="0" shrinkToFit="0" vertical="bottom" wrapText="0"/>
    </xf>
    <xf borderId="8" fillId="5" fontId="10" numFmtId="164" xfId="0" applyAlignment="1" applyBorder="1" applyFont="1" applyNumberFormat="1">
      <alignment horizontal="center" readingOrder="0" shrinkToFit="0" vertical="bottom" wrapText="0"/>
    </xf>
    <xf borderId="9" fillId="0" fontId="10" numFmtId="0" xfId="0" applyAlignment="1" applyBorder="1" applyFont="1">
      <alignment horizontal="center" shrinkToFit="0" vertical="bottom" wrapText="0"/>
    </xf>
    <xf borderId="0" fillId="6" fontId="10" numFmtId="0" xfId="0" applyAlignment="1" applyFont="1">
      <alignment horizontal="right" shrinkToFit="0" vertical="bottom" wrapText="0"/>
    </xf>
    <xf borderId="0" fillId="0" fontId="10" numFmtId="0" xfId="0" applyAlignment="1" applyFont="1">
      <alignment shrinkToFit="0" vertical="bottom" wrapText="0"/>
    </xf>
    <xf borderId="8" fillId="5" fontId="12" numFmtId="0" xfId="0" applyAlignment="1" applyBorder="1" applyFont="1">
      <alignment horizontal="center" readingOrder="0" shrinkToFit="0" vertical="bottom" wrapText="0"/>
    </xf>
    <xf borderId="8" fillId="5" fontId="12" numFmtId="164" xfId="0" applyAlignment="1" applyBorder="1" applyFont="1" applyNumberFormat="1">
      <alignment horizontal="center" readingOrder="0" shrinkToFit="0" vertical="bottom" wrapText="0"/>
    </xf>
    <xf borderId="9" fillId="0" fontId="12" numFmtId="0" xfId="0" applyAlignment="1" applyBorder="1" applyFont="1">
      <alignment horizontal="center" shrinkToFit="0" vertical="bottom" wrapText="0"/>
    </xf>
    <xf borderId="2" fillId="0" fontId="12" numFmtId="164" xfId="0" applyAlignment="1" applyBorder="1" applyFont="1" applyNumberFormat="1">
      <alignment horizontal="center" readingOrder="0" shrinkToFit="0" vertical="bottom" wrapText="0"/>
    </xf>
    <xf borderId="2" fillId="0" fontId="12" numFmtId="0" xfId="0" applyAlignment="1" applyBorder="1" applyFont="1">
      <alignment horizontal="center" readingOrder="0" shrinkToFit="0" vertical="bottom" wrapText="0"/>
    </xf>
    <xf borderId="2" fillId="0" fontId="12" numFmtId="165" xfId="0" applyAlignment="1" applyBorder="1" applyFont="1" applyNumberFormat="1">
      <alignment horizontal="center" readingOrder="0" shrinkToFit="0" vertical="bottom" wrapText="0"/>
    </xf>
    <xf borderId="2" fillId="5" fontId="12" numFmtId="0" xfId="0" applyAlignment="1" applyBorder="1" applyFont="1">
      <alignment horizontal="center" readingOrder="0" shrinkToFit="0" vertical="bottom" wrapText="0"/>
    </xf>
    <xf borderId="2" fillId="5" fontId="12" numFmtId="164" xfId="0" applyAlignment="1" applyBorder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5" fillId="5" fontId="12" numFmtId="0" xfId="0" applyAlignment="1" applyBorder="1" applyFont="1">
      <alignment horizontal="center" readingOrder="0" shrinkToFit="0" vertical="bottom" wrapText="0"/>
    </xf>
    <xf borderId="5" fillId="5" fontId="12" numFmtId="164" xfId="0" applyAlignment="1" applyBorder="1" applyFont="1" applyNumberFormat="1">
      <alignment horizontal="center" readingOrder="0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0" fillId="5" fontId="10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wrapText="1"/>
    </xf>
    <xf borderId="0" fillId="0" fontId="4" numFmtId="4" xfId="0" applyFont="1" applyNumberFormat="1"/>
    <xf borderId="0" fillId="0" fontId="4" numFmtId="169" xfId="0" applyFont="1" applyNumberFormat="1"/>
    <xf borderId="0" fillId="0" fontId="4" numFmtId="169" xfId="0" applyAlignment="1" applyFont="1" applyNumberFormat="1">
      <alignment readingOrder="0"/>
    </xf>
    <xf borderId="0" fillId="0" fontId="7" numFmtId="0" xfId="0" applyFont="1"/>
    <xf borderId="0" fillId="0" fontId="7" numFmtId="4" xfId="0" applyFont="1" applyNumberFormat="1"/>
    <xf borderId="0" fillId="0" fontId="7" numFmtId="169" xfId="0" applyFont="1" applyNumberFormat="1"/>
    <xf borderId="5" fillId="0" fontId="9" numFmtId="0" xfId="0" applyAlignment="1" applyBorder="1" applyFont="1">
      <alignment horizontal="center" readingOrder="0" shrinkToFit="0" vertical="bottom" wrapText="0"/>
    </xf>
    <xf borderId="8" fillId="0" fontId="1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vertical="top"/>
    </xf>
    <xf borderId="0" fillId="0" fontId="5" numFmtId="170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0.25"/>
    <col customWidth="1" min="3" max="5" width="9.38"/>
    <col customWidth="1" min="6" max="6" width="9.75"/>
    <col customWidth="1" min="7" max="9" width="15.63"/>
    <col customWidth="1" min="10" max="10" width="12.0"/>
    <col customWidth="1" min="11" max="12" width="14.38"/>
    <col customWidth="1" min="13" max="14" width="15.63"/>
    <col customWidth="1" min="15" max="16" width="12.25"/>
    <col customWidth="1" min="17" max="18" width="11.5"/>
    <col customWidth="1" min="19" max="19" width="12.0"/>
    <col customWidth="1" min="20" max="20" width="9.88"/>
    <col customWidth="1" min="21" max="21" width="18.75"/>
    <col customWidth="1" min="22" max="24" width="9.0"/>
    <col customWidth="1" min="25" max="25" width="7.0"/>
    <col customWidth="1" min="26" max="33" width="13.5"/>
    <col customWidth="1" min="34" max="34" width="11.88"/>
    <col customWidth="1" min="35" max="35" width="12.75"/>
    <col customWidth="1" min="36" max="37" width="13.75"/>
    <col customWidth="1" min="38" max="38" width="11.75"/>
    <col customWidth="1" min="39" max="39" width="12.63"/>
    <col customWidth="1" min="40" max="40" width="13.0"/>
    <col customWidth="1" min="41" max="41" width="8.5"/>
    <col customWidth="1" min="42" max="42" width="13.5"/>
    <col customWidth="1" min="43" max="62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/>
      <c r="BJ1" s="1"/>
    </row>
    <row r="2" hidden="1">
      <c r="A2" s="2">
        <v>1.0</v>
      </c>
      <c r="B2" s="2" t="s">
        <v>60</v>
      </c>
      <c r="C2" s="2" t="s">
        <v>61</v>
      </c>
      <c r="D2" s="3">
        <v>45822.0</v>
      </c>
      <c r="E2" s="4">
        <v>0.8333333333333334</v>
      </c>
      <c r="F2" s="5" t="str">
        <f>VLOOKUP(A2,Jogos!A:N,10,0)</f>
        <v>Evening</v>
      </c>
      <c r="G2" s="2" t="s">
        <v>62</v>
      </c>
      <c r="H2" s="6" t="str">
        <f>VLOOKUP(A2,Jogos!A:L,12,0)</f>
        <v>Open</v>
      </c>
      <c r="I2" s="6" t="str">
        <f>VLOOKUP(G2,'Estádios e Cidades'!A:B,2,0)</f>
        <v>Miami Gardens - Flórida</v>
      </c>
      <c r="J2" s="2" t="s">
        <v>63</v>
      </c>
      <c r="K2" s="2" t="str">
        <f>VLOOKUP(J2,Equipes!A:F,6,0)</f>
        <v>Tropical</v>
      </c>
      <c r="L2" s="2">
        <f>VLOOKUP(J2,Equipes!A:C,3,0)</f>
        <v>25</v>
      </c>
      <c r="M2" s="2" t="str">
        <f t="shared" ref="M2:M1873" si="4">if(L2&lt;3,"Final",IF(L2&lt;5,"Semi-final",if(L2&lt;9,"Quarter-final",if(L2&lt;17,"Round of 16","Group"))))</f>
        <v>Group</v>
      </c>
      <c r="N2" s="2" t="s">
        <v>64</v>
      </c>
      <c r="O2" s="2">
        <f>VLOOKUP(N2,Equipes!A:C,3,0)</f>
        <v>16</v>
      </c>
      <c r="P2" s="2" t="str">
        <f t="shared" ref="P2:P1873" si="5">if(O2&lt;3,"Final",IF(O2&lt;5,"Semi-final",if(O2&lt;9,"Quarter-final",if(O2&lt;17,"Round of 16","Group"))))</f>
        <v>Round of 16</v>
      </c>
      <c r="Q2" s="2">
        <f t="shared" ref="Q2:Q1873" si="6">L2-O2</f>
        <v>9</v>
      </c>
      <c r="R2" s="2" t="str">
        <f>VLOOKUP(J2,Equipes!A:B,2,0)</f>
        <v>AlAhly</v>
      </c>
      <c r="S2" s="6" t="s">
        <v>65</v>
      </c>
      <c r="T2" s="7">
        <v>5.0</v>
      </c>
      <c r="U2" s="7" t="s">
        <v>66</v>
      </c>
      <c r="V2" s="7" t="str">
        <f>VLOOKUP(U2,Jogadores!B:C,2,0)</f>
        <v>MF</v>
      </c>
      <c r="W2" s="8">
        <f>VLOOKUP(U2,Jogadores!B:D,3,0)</f>
        <v>25.90958904</v>
      </c>
      <c r="X2" s="7">
        <v>0.0</v>
      </c>
      <c r="Y2" s="7">
        <v>65.0</v>
      </c>
      <c r="Z2" s="7">
        <f>VLOOKUP(A2,Jogos!A:L,3,0)</f>
        <v>48</v>
      </c>
      <c r="AA2" s="7">
        <f t="shared" ref="AA2:AA711" si="7">IF(X2&lt;45,if(Y2&gt;=45,Z2-X2,if(Y2&lt;=Z2,Y2-X2,Z2)),0)</f>
        <v>48</v>
      </c>
      <c r="AB2" s="7">
        <f>VLOOKUP(A2,Jogos!A:L,4,0)</f>
        <v>53</v>
      </c>
      <c r="AC2" s="7">
        <f t="shared" ref="AC2:AC207" si="8">IF(X2&lt;45,if(Y2&lt;=45,0,Y2-45),AB2+45-X2)</f>
        <v>20</v>
      </c>
      <c r="AD2" s="7"/>
      <c r="AE2" s="7"/>
      <c r="AF2" s="7">
        <f t="shared" ref="AF2:AF711" si="9">AE2+AC2+AA2</f>
        <v>68</v>
      </c>
      <c r="AG2" s="7">
        <v>7541.9</v>
      </c>
      <c r="AH2" s="7">
        <v>2606.0</v>
      </c>
      <c r="AI2" s="7">
        <v>3421.8</v>
      </c>
      <c r="AJ2" s="7">
        <v>961.6</v>
      </c>
      <c r="AK2" s="7">
        <v>413.3</v>
      </c>
      <c r="AL2" s="7">
        <v>139.2</v>
      </c>
      <c r="AM2" s="7">
        <v>81.0</v>
      </c>
      <c r="AN2" s="7">
        <v>32.0</v>
      </c>
      <c r="AO2" s="7">
        <v>34.6</v>
      </c>
      <c r="AP2" s="9">
        <f t="shared" ref="AP2:AR2" si="1">AG2/$AF2</f>
        <v>110.9102941</v>
      </c>
      <c r="AQ2" s="9">
        <f t="shared" si="1"/>
        <v>38.32352941</v>
      </c>
      <c r="AR2" s="9">
        <f t="shared" si="1"/>
        <v>50.32058824</v>
      </c>
      <c r="AS2" s="9">
        <f t="shared" ref="AS2:AS711" si="11">AQ2+AR2</f>
        <v>88.64411765</v>
      </c>
      <c r="AT2" s="9">
        <f t="shared" ref="AT2:AV2" si="2">AJ2/$AF2</f>
        <v>14.14117647</v>
      </c>
      <c r="AU2" s="9">
        <f t="shared" si="2"/>
        <v>6.077941176</v>
      </c>
      <c r="AV2" s="9">
        <f t="shared" si="2"/>
        <v>2.047058824</v>
      </c>
      <c r="AW2" s="9">
        <f t="shared" ref="AW2:AW711" si="13">(AK2+AL2)/AF2</f>
        <v>8.125</v>
      </c>
      <c r="AX2" s="9">
        <f t="shared" ref="AX2:AY2" si="3">AM2/$AF2</f>
        <v>1.191176471</v>
      </c>
      <c r="AY2" s="9">
        <f t="shared" si="3"/>
        <v>0.4705882353</v>
      </c>
      <c r="AZ2" s="9">
        <f>VLOOKUP(A2,Jogos!A:BN,58,0)</f>
        <v>28.26</v>
      </c>
      <c r="BA2" s="9">
        <f>VLOOKUP(A2,Jogos!A:BN,59,0)</f>
        <v>22.895</v>
      </c>
      <c r="BB2" s="9">
        <f>VLOOKUP(A2,Jogos!A:BN,60,0)</f>
        <v>72</v>
      </c>
      <c r="BC2" s="9">
        <f>VLOOKUP(A2,Jogos!A:BN,61,0)</f>
        <v>27.605</v>
      </c>
      <c r="BD2" s="9">
        <f>VLOOKUP(A2,Jogos!A:BN,62,0)</f>
        <v>0.5</v>
      </c>
      <c r="BE2" s="9">
        <f>VLOOKUP(A2,Jogos!A:BN,63,0)</f>
        <v>2.07</v>
      </c>
      <c r="BF2" s="9">
        <f>VLOOKUP(A2,Jogos!A:BN,64,0)</f>
        <v>24.755</v>
      </c>
      <c r="BG2" s="9">
        <f>VLOOKUP(A2,Jogos!A:BN,65,0)</f>
        <v>42.805</v>
      </c>
      <c r="BH2" s="9">
        <f>VLOOKUP(A2,Jogos!A:BN,66,0)</f>
        <v>28.715</v>
      </c>
      <c r="BI2" s="9"/>
      <c r="BJ2" s="9"/>
    </row>
    <row r="3" hidden="1">
      <c r="A3" s="2">
        <v>1.0</v>
      </c>
      <c r="B3" s="2" t="s">
        <v>60</v>
      </c>
      <c r="C3" s="2" t="s">
        <v>61</v>
      </c>
      <c r="D3" s="3">
        <v>45822.0</v>
      </c>
      <c r="E3" s="4">
        <v>0.8333333333333334</v>
      </c>
      <c r="F3" s="5" t="str">
        <f>VLOOKUP(A3,Jogos!A:N,10,0)</f>
        <v>Evening</v>
      </c>
      <c r="G3" s="2" t="s">
        <v>62</v>
      </c>
      <c r="H3" s="6" t="str">
        <f>VLOOKUP(A3,Jogos!A:L,12,0)</f>
        <v>Open</v>
      </c>
      <c r="I3" s="6" t="str">
        <f>VLOOKUP(G3,'Estádios e Cidades'!A:B,2,0)</f>
        <v>Miami Gardens - Flórida</v>
      </c>
      <c r="J3" s="2" t="s">
        <v>63</v>
      </c>
      <c r="K3" s="2" t="str">
        <f>VLOOKUP(J3,Equipes!A:F,6,0)</f>
        <v>Tropical</v>
      </c>
      <c r="L3" s="2">
        <f>VLOOKUP(J3,Equipes!A:C,3,0)</f>
        <v>25</v>
      </c>
      <c r="M3" s="2" t="str">
        <f t="shared" si="4"/>
        <v>Group</v>
      </c>
      <c r="N3" s="2" t="s">
        <v>64</v>
      </c>
      <c r="O3" s="2">
        <f>VLOOKUP(N3,Equipes!A:C,3,0)</f>
        <v>16</v>
      </c>
      <c r="P3" s="2" t="str">
        <f t="shared" si="5"/>
        <v>Round of 16</v>
      </c>
      <c r="Q3" s="2">
        <f t="shared" si="6"/>
        <v>9</v>
      </c>
      <c r="R3" s="2" t="str">
        <f>VLOOKUP(J3,Equipes!A:B,2,0)</f>
        <v>AlAhly</v>
      </c>
      <c r="S3" s="6" t="s">
        <v>67</v>
      </c>
      <c r="T3" s="7">
        <v>6.0</v>
      </c>
      <c r="U3" s="7" t="s">
        <v>68</v>
      </c>
      <c r="V3" s="7" t="str">
        <f>VLOOKUP(U3,Jogadores!B:C,2,0)</f>
        <v>DF</v>
      </c>
      <c r="W3" s="8">
        <f>VLOOKUP(U3,Jogadores!B:D,3,0)</f>
        <v>32.48219178</v>
      </c>
      <c r="X3" s="7">
        <v>0.0</v>
      </c>
      <c r="Y3" s="7">
        <f>45+AB3</f>
        <v>98</v>
      </c>
      <c r="Z3" s="7">
        <f>VLOOKUP(A3,Jogos!A:L,3,0)</f>
        <v>48</v>
      </c>
      <c r="AA3" s="7">
        <f t="shared" si="7"/>
        <v>48</v>
      </c>
      <c r="AB3" s="7">
        <f>VLOOKUP(A3,Jogos!A:L,4,0)</f>
        <v>53</v>
      </c>
      <c r="AC3" s="7">
        <f t="shared" si="8"/>
        <v>53</v>
      </c>
      <c r="AD3" s="7"/>
      <c r="AE3" s="7"/>
      <c r="AF3" s="7">
        <f t="shared" si="9"/>
        <v>101</v>
      </c>
      <c r="AG3" s="7">
        <v>9231.5</v>
      </c>
      <c r="AH3" s="7">
        <v>4069.6</v>
      </c>
      <c r="AI3" s="7">
        <v>3477.4</v>
      </c>
      <c r="AJ3" s="7">
        <v>1076.8</v>
      </c>
      <c r="AK3" s="7">
        <v>480.2</v>
      </c>
      <c r="AL3" s="7">
        <v>127.5</v>
      </c>
      <c r="AM3" s="7">
        <v>90.0</v>
      </c>
      <c r="AN3" s="7">
        <v>43.0</v>
      </c>
      <c r="AO3" s="7">
        <v>28.9</v>
      </c>
      <c r="AP3" s="9">
        <f t="shared" ref="AP3:AR3" si="10">AG3/$AF3</f>
        <v>91.4009901</v>
      </c>
      <c r="AQ3" s="9">
        <f t="shared" si="10"/>
        <v>40.29306931</v>
      </c>
      <c r="AR3" s="9">
        <f t="shared" si="10"/>
        <v>34.42970297</v>
      </c>
      <c r="AS3" s="9">
        <f t="shared" si="11"/>
        <v>74.72277228</v>
      </c>
      <c r="AT3" s="9">
        <f t="shared" ref="AT3:AV3" si="12">AJ3/$AF3</f>
        <v>10.66138614</v>
      </c>
      <c r="AU3" s="9">
        <f t="shared" si="12"/>
        <v>4.754455446</v>
      </c>
      <c r="AV3" s="9">
        <f t="shared" si="12"/>
        <v>1.262376238</v>
      </c>
      <c r="AW3" s="9">
        <f t="shared" si="13"/>
        <v>6.016831683</v>
      </c>
      <c r="AX3" s="9">
        <f t="shared" ref="AX3:AY3" si="14">AM3/$AF3</f>
        <v>0.8910891089</v>
      </c>
      <c r="AY3" s="9">
        <f t="shared" si="14"/>
        <v>0.4257425743</v>
      </c>
      <c r="AZ3" s="9">
        <f>VLOOKUP(A3,Jogos!A:BN,58,0)</f>
        <v>28.26</v>
      </c>
      <c r="BA3" s="9">
        <f>VLOOKUP(A3,Jogos!A:BN,59,0)</f>
        <v>22.895</v>
      </c>
      <c r="BB3" s="9">
        <f>VLOOKUP(A3,Jogos!A:BN,60,0)</f>
        <v>72</v>
      </c>
      <c r="BC3" s="9">
        <f>VLOOKUP(A3,Jogos!A:BN,61,0)</f>
        <v>27.605</v>
      </c>
      <c r="BD3" s="9">
        <f>VLOOKUP(A3,Jogos!A:BN,62,0)</f>
        <v>0.5</v>
      </c>
      <c r="BE3" s="9">
        <f>VLOOKUP(A3,Jogos!A:BN,63,0)</f>
        <v>2.07</v>
      </c>
      <c r="BF3" s="9">
        <f>VLOOKUP(A3,Jogos!A:BN,64,0)</f>
        <v>24.755</v>
      </c>
      <c r="BG3" s="9">
        <f>VLOOKUP(A3,Jogos!A:BN,65,0)</f>
        <v>42.805</v>
      </c>
      <c r="BH3" s="9">
        <f>VLOOKUP(A3,Jogos!A:BN,66,0)</f>
        <v>28.715</v>
      </c>
      <c r="BI3" s="9"/>
      <c r="BJ3" s="9"/>
    </row>
    <row r="4" hidden="1">
      <c r="A4" s="2">
        <v>1.0</v>
      </c>
      <c r="B4" s="2" t="s">
        <v>60</v>
      </c>
      <c r="C4" s="2" t="s">
        <v>61</v>
      </c>
      <c r="D4" s="3">
        <v>45822.0</v>
      </c>
      <c r="E4" s="4">
        <v>0.8333333333333334</v>
      </c>
      <c r="F4" s="5" t="str">
        <f>VLOOKUP(A4,Jogos!A:N,10,0)</f>
        <v>Evening</v>
      </c>
      <c r="G4" s="2" t="s">
        <v>62</v>
      </c>
      <c r="H4" s="6" t="str">
        <f>VLOOKUP(A4,Jogos!A:L,12,0)</f>
        <v>Open</v>
      </c>
      <c r="I4" s="6" t="str">
        <f>VLOOKUP(G4,'Estádios e Cidades'!A:B,2,0)</f>
        <v>Miami Gardens - Flórida</v>
      </c>
      <c r="J4" s="2" t="s">
        <v>63</v>
      </c>
      <c r="K4" s="2" t="str">
        <f>VLOOKUP(J4,Equipes!A:F,6,0)</f>
        <v>Tropical</v>
      </c>
      <c r="L4" s="2">
        <f>VLOOKUP(J4,Equipes!A:C,3,0)</f>
        <v>25</v>
      </c>
      <c r="M4" s="2" t="str">
        <f t="shared" si="4"/>
        <v>Group</v>
      </c>
      <c r="N4" s="2" t="s">
        <v>64</v>
      </c>
      <c r="O4" s="2">
        <f>VLOOKUP(N4,Equipes!A:C,3,0)</f>
        <v>16</v>
      </c>
      <c r="P4" s="2" t="str">
        <f t="shared" si="5"/>
        <v>Round of 16</v>
      </c>
      <c r="Q4" s="2">
        <f t="shared" si="6"/>
        <v>9</v>
      </c>
      <c r="R4" s="2" t="str">
        <f>VLOOKUP(J4,Equipes!A:B,2,0)</f>
        <v>AlAhly</v>
      </c>
      <c r="S4" s="6" t="s">
        <v>69</v>
      </c>
      <c r="T4" s="7">
        <v>7.0</v>
      </c>
      <c r="U4" s="7" t="s">
        <v>70</v>
      </c>
      <c r="V4" s="7" t="str">
        <f>VLOOKUP(U4,Jogadores!B:C,2,0)</f>
        <v>MF</v>
      </c>
      <c r="W4" s="8">
        <f>VLOOKUP(U4,Jogadores!B:D,3,0)</f>
        <v>30.84383562</v>
      </c>
      <c r="X4" s="7">
        <v>0.0</v>
      </c>
      <c r="Y4" s="7">
        <v>65.0</v>
      </c>
      <c r="Z4" s="7">
        <f>VLOOKUP(A4,Jogos!A:L,3,0)</f>
        <v>48</v>
      </c>
      <c r="AA4" s="7">
        <f t="shared" si="7"/>
        <v>48</v>
      </c>
      <c r="AB4" s="7">
        <f>VLOOKUP(A4,Jogos!A:L,4,0)</f>
        <v>53</v>
      </c>
      <c r="AC4" s="7">
        <f t="shared" si="8"/>
        <v>20</v>
      </c>
      <c r="AD4" s="7"/>
      <c r="AE4" s="7"/>
      <c r="AF4" s="7">
        <f t="shared" si="9"/>
        <v>68</v>
      </c>
      <c r="AG4" s="7">
        <v>7088.6</v>
      </c>
      <c r="AH4" s="7">
        <v>3075.2</v>
      </c>
      <c r="AI4" s="7">
        <v>2362.0</v>
      </c>
      <c r="AJ4" s="7">
        <v>917.8</v>
      </c>
      <c r="AK4" s="7">
        <v>451.3</v>
      </c>
      <c r="AL4" s="7">
        <v>282.4</v>
      </c>
      <c r="AM4" s="7">
        <v>87.0</v>
      </c>
      <c r="AN4" s="7">
        <v>43.0</v>
      </c>
      <c r="AO4" s="7">
        <v>35.4</v>
      </c>
      <c r="AP4" s="9">
        <f t="shared" ref="AP4:AR4" si="15">AG4/$AF4</f>
        <v>104.2441176</v>
      </c>
      <c r="AQ4" s="9">
        <f t="shared" si="15"/>
        <v>45.22352941</v>
      </c>
      <c r="AR4" s="9">
        <f t="shared" si="15"/>
        <v>34.73529412</v>
      </c>
      <c r="AS4" s="9">
        <f t="shared" si="11"/>
        <v>79.95882353</v>
      </c>
      <c r="AT4" s="9">
        <f t="shared" ref="AT4:AV4" si="16">AJ4/$AF4</f>
        <v>13.49705882</v>
      </c>
      <c r="AU4" s="9">
        <f t="shared" si="16"/>
        <v>6.636764706</v>
      </c>
      <c r="AV4" s="9">
        <f t="shared" si="16"/>
        <v>4.152941176</v>
      </c>
      <c r="AW4" s="9">
        <f t="shared" si="13"/>
        <v>10.78970588</v>
      </c>
      <c r="AX4" s="9">
        <f t="shared" ref="AX4:AY4" si="17">AM4/$AF4</f>
        <v>1.279411765</v>
      </c>
      <c r="AY4" s="9">
        <f t="shared" si="17"/>
        <v>0.6323529412</v>
      </c>
      <c r="AZ4" s="9">
        <f>VLOOKUP(A4,Jogos!A:BN,58,0)</f>
        <v>28.26</v>
      </c>
      <c r="BA4" s="9">
        <f>VLOOKUP(A4,Jogos!A:BN,59,0)</f>
        <v>22.895</v>
      </c>
      <c r="BB4" s="9">
        <f>VLOOKUP(A4,Jogos!A:BN,60,0)</f>
        <v>72</v>
      </c>
      <c r="BC4" s="9">
        <f>VLOOKUP(A4,Jogos!A:BN,61,0)</f>
        <v>27.605</v>
      </c>
      <c r="BD4" s="9">
        <f>VLOOKUP(A4,Jogos!A:BN,62,0)</f>
        <v>0.5</v>
      </c>
      <c r="BE4" s="9">
        <f>VLOOKUP(A4,Jogos!A:BN,63,0)</f>
        <v>2.07</v>
      </c>
      <c r="BF4" s="9">
        <f>VLOOKUP(A4,Jogos!A:BN,64,0)</f>
        <v>24.755</v>
      </c>
      <c r="BG4" s="9">
        <f>VLOOKUP(A4,Jogos!A:BN,65,0)</f>
        <v>42.805</v>
      </c>
      <c r="BH4" s="9">
        <f>VLOOKUP(A4,Jogos!A:BN,66,0)</f>
        <v>28.715</v>
      </c>
      <c r="BI4" s="9"/>
      <c r="BJ4" s="9"/>
    </row>
    <row r="5" hidden="1">
      <c r="A5" s="2">
        <v>1.0</v>
      </c>
      <c r="B5" s="2" t="s">
        <v>60</v>
      </c>
      <c r="C5" s="2" t="s">
        <v>61</v>
      </c>
      <c r="D5" s="3">
        <v>45822.0</v>
      </c>
      <c r="E5" s="4">
        <v>0.8333333333333334</v>
      </c>
      <c r="F5" s="5" t="str">
        <f>VLOOKUP(A5,Jogos!A:N,10,0)</f>
        <v>Evening</v>
      </c>
      <c r="G5" s="2" t="s">
        <v>62</v>
      </c>
      <c r="H5" s="6" t="str">
        <f>VLOOKUP(A5,Jogos!A:L,12,0)</f>
        <v>Open</v>
      </c>
      <c r="I5" s="6" t="str">
        <f>VLOOKUP(G5,'Estádios e Cidades'!A:B,2,0)</f>
        <v>Miami Gardens - Flórida</v>
      </c>
      <c r="J5" s="2" t="s">
        <v>63</v>
      </c>
      <c r="K5" s="2" t="str">
        <f>VLOOKUP(J5,Equipes!A:F,6,0)</f>
        <v>Tropical</v>
      </c>
      <c r="L5" s="2">
        <f>VLOOKUP(J5,Equipes!A:C,3,0)</f>
        <v>25</v>
      </c>
      <c r="M5" s="2" t="str">
        <f t="shared" si="4"/>
        <v>Group</v>
      </c>
      <c r="N5" s="2" t="s">
        <v>64</v>
      </c>
      <c r="O5" s="2">
        <f>VLOOKUP(N5,Equipes!A:C,3,0)</f>
        <v>16</v>
      </c>
      <c r="P5" s="2" t="str">
        <f t="shared" si="5"/>
        <v>Round of 16</v>
      </c>
      <c r="Q5" s="2">
        <f t="shared" si="6"/>
        <v>9</v>
      </c>
      <c r="R5" s="2" t="str">
        <f>VLOOKUP(J5,Equipes!A:B,2,0)</f>
        <v>AlAhly</v>
      </c>
      <c r="S5" s="6" t="s">
        <v>71</v>
      </c>
      <c r="T5" s="7">
        <v>8.0</v>
      </c>
      <c r="U5" s="7" t="s">
        <v>72</v>
      </c>
      <c r="V5" s="7" t="str">
        <f>VLOOKUP(U5,Jogadores!B:C,2,0)</f>
        <v>MF</v>
      </c>
      <c r="W5" s="8">
        <f>VLOOKUP(U5,Jogadores!B:D,3,0)</f>
        <v>30.84931507</v>
      </c>
      <c r="X5" s="7">
        <v>0.0</v>
      </c>
      <c r="Y5" s="7">
        <f>45+AB5</f>
        <v>98</v>
      </c>
      <c r="Z5" s="7">
        <f>VLOOKUP(A5,Jogos!A:L,3,0)</f>
        <v>48</v>
      </c>
      <c r="AA5" s="7">
        <f t="shared" si="7"/>
        <v>48</v>
      </c>
      <c r="AB5" s="7">
        <f>VLOOKUP(A5,Jogos!A:L,4,0)</f>
        <v>53</v>
      </c>
      <c r="AC5" s="7">
        <f t="shared" si="8"/>
        <v>53</v>
      </c>
      <c r="AD5" s="7"/>
      <c r="AE5" s="7"/>
      <c r="AF5" s="7">
        <f t="shared" si="9"/>
        <v>101</v>
      </c>
      <c r="AG5" s="7">
        <v>10752.5</v>
      </c>
      <c r="AH5" s="7">
        <v>3938.6</v>
      </c>
      <c r="AI5" s="7">
        <v>4783.3</v>
      </c>
      <c r="AJ5" s="7">
        <v>1455.4</v>
      </c>
      <c r="AK5" s="7">
        <v>470.3</v>
      </c>
      <c r="AL5" s="7">
        <v>104.8</v>
      </c>
      <c r="AM5" s="7">
        <v>148.0</v>
      </c>
      <c r="AN5" s="7">
        <v>37.0</v>
      </c>
      <c r="AO5" s="7">
        <v>37.1</v>
      </c>
      <c r="AP5" s="9">
        <f t="shared" ref="AP5:AR5" si="18">AG5/$AF5</f>
        <v>106.460396</v>
      </c>
      <c r="AQ5" s="9">
        <f t="shared" si="18"/>
        <v>38.9960396</v>
      </c>
      <c r="AR5" s="9">
        <f t="shared" si="18"/>
        <v>47.35940594</v>
      </c>
      <c r="AS5" s="9">
        <f t="shared" si="11"/>
        <v>86.35544554</v>
      </c>
      <c r="AT5" s="9">
        <f t="shared" ref="AT5:AV5" si="19">AJ5/$AF5</f>
        <v>14.40990099</v>
      </c>
      <c r="AU5" s="9">
        <f t="shared" si="19"/>
        <v>4.656435644</v>
      </c>
      <c r="AV5" s="9">
        <f t="shared" si="19"/>
        <v>1.037623762</v>
      </c>
      <c r="AW5" s="9">
        <f t="shared" si="13"/>
        <v>5.694059406</v>
      </c>
      <c r="AX5" s="9">
        <f t="shared" ref="AX5:AY5" si="20">AM5/$AF5</f>
        <v>1.465346535</v>
      </c>
      <c r="AY5" s="9">
        <f t="shared" si="20"/>
        <v>0.3663366337</v>
      </c>
      <c r="AZ5" s="9">
        <f>VLOOKUP(A5,Jogos!A:BN,58,0)</f>
        <v>28.26</v>
      </c>
      <c r="BA5" s="9">
        <f>VLOOKUP(A5,Jogos!A:BN,59,0)</f>
        <v>22.895</v>
      </c>
      <c r="BB5" s="9">
        <f>VLOOKUP(A5,Jogos!A:BN,60,0)</f>
        <v>72</v>
      </c>
      <c r="BC5" s="9">
        <f>VLOOKUP(A5,Jogos!A:BN,61,0)</f>
        <v>27.605</v>
      </c>
      <c r="BD5" s="9">
        <f>VLOOKUP(A5,Jogos!A:BN,62,0)</f>
        <v>0.5</v>
      </c>
      <c r="BE5" s="9">
        <f>VLOOKUP(A5,Jogos!A:BN,63,0)</f>
        <v>2.07</v>
      </c>
      <c r="BF5" s="9">
        <f>VLOOKUP(A5,Jogos!A:BN,64,0)</f>
        <v>24.755</v>
      </c>
      <c r="BG5" s="9">
        <f>VLOOKUP(A5,Jogos!A:BN,65,0)</f>
        <v>42.805</v>
      </c>
      <c r="BH5" s="9">
        <f>VLOOKUP(A5,Jogos!A:BN,66,0)</f>
        <v>28.715</v>
      </c>
      <c r="BI5" s="9"/>
      <c r="BJ5" s="9"/>
    </row>
    <row r="6" hidden="1">
      <c r="A6" s="2">
        <v>1.0</v>
      </c>
      <c r="B6" s="2" t="s">
        <v>60</v>
      </c>
      <c r="C6" s="2" t="s">
        <v>61</v>
      </c>
      <c r="D6" s="3">
        <v>45822.0</v>
      </c>
      <c r="E6" s="4">
        <v>0.8333333333333334</v>
      </c>
      <c r="F6" s="5" t="str">
        <f>VLOOKUP(A6,Jogos!A:N,10,0)</f>
        <v>Evening</v>
      </c>
      <c r="G6" s="2" t="s">
        <v>62</v>
      </c>
      <c r="H6" s="6" t="str">
        <f>VLOOKUP(A6,Jogos!A:L,12,0)</f>
        <v>Open</v>
      </c>
      <c r="I6" s="6" t="str">
        <f>VLOOKUP(G6,'Estádios e Cidades'!A:B,2,0)</f>
        <v>Miami Gardens - Flórida</v>
      </c>
      <c r="J6" s="2" t="s">
        <v>63</v>
      </c>
      <c r="K6" s="2" t="str">
        <f>VLOOKUP(J6,Equipes!A:F,6,0)</f>
        <v>Tropical</v>
      </c>
      <c r="L6" s="2">
        <f>VLOOKUP(J6,Equipes!A:C,3,0)</f>
        <v>25</v>
      </c>
      <c r="M6" s="2" t="str">
        <f t="shared" si="4"/>
        <v>Group</v>
      </c>
      <c r="N6" s="2" t="s">
        <v>64</v>
      </c>
      <c r="O6" s="2">
        <f>VLOOKUP(N6,Equipes!A:C,3,0)</f>
        <v>16</v>
      </c>
      <c r="P6" s="2" t="str">
        <f t="shared" si="5"/>
        <v>Round of 16</v>
      </c>
      <c r="Q6" s="2">
        <f t="shared" si="6"/>
        <v>9</v>
      </c>
      <c r="R6" s="2" t="str">
        <f>VLOOKUP(J6,Equipes!A:B,2,0)</f>
        <v>AlAhly</v>
      </c>
      <c r="S6" s="6" t="s">
        <v>73</v>
      </c>
      <c r="T6" s="7">
        <v>9.0</v>
      </c>
      <c r="U6" s="7" t="s">
        <v>74</v>
      </c>
      <c r="V6" s="7" t="str">
        <f>VLOOKUP(U6,Jogadores!B:C,2,0)</f>
        <v>FW</v>
      </c>
      <c r="W6" s="8">
        <f>VLOOKUP(U6,Jogadores!B:D,3,0)</f>
        <v>26.58082192</v>
      </c>
      <c r="X6" s="7">
        <v>0.0</v>
      </c>
      <c r="Y6" s="7">
        <v>79.0</v>
      </c>
      <c r="Z6" s="7">
        <f>VLOOKUP(A6,Jogos!A:L,3,0)</f>
        <v>48</v>
      </c>
      <c r="AA6" s="7">
        <f t="shared" si="7"/>
        <v>48</v>
      </c>
      <c r="AB6" s="7">
        <f>VLOOKUP(A6,Jogos!A:L,4,0)</f>
        <v>53</v>
      </c>
      <c r="AC6" s="7">
        <f t="shared" si="8"/>
        <v>34</v>
      </c>
      <c r="AD6" s="7"/>
      <c r="AE6" s="7"/>
      <c r="AF6" s="7">
        <f t="shared" si="9"/>
        <v>82</v>
      </c>
      <c r="AG6" s="7">
        <v>8025.4</v>
      </c>
      <c r="AH6" s="7">
        <v>3449.3</v>
      </c>
      <c r="AI6" s="7">
        <v>2465.5</v>
      </c>
      <c r="AJ6" s="7">
        <v>1258.1</v>
      </c>
      <c r="AK6" s="7">
        <v>600.8</v>
      </c>
      <c r="AL6" s="7">
        <v>251.6</v>
      </c>
      <c r="AM6" s="7">
        <v>113.0</v>
      </c>
      <c r="AN6" s="7">
        <v>50.0</v>
      </c>
      <c r="AO6" s="7">
        <v>34.0</v>
      </c>
      <c r="AP6" s="9">
        <f t="shared" ref="AP6:AR6" si="21">AG6/$AF6</f>
        <v>97.87073171</v>
      </c>
      <c r="AQ6" s="9">
        <f t="shared" si="21"/>
        <v>42.06463415</v>
      </c>
      <c r="AR6" s="9">
        <f t="shared" si="21"/>
        <v>30.06707317</v>
      </c>
      <c r="AS6" s="9">
        <f t="shared" si="11"/>
        <v>72.13170732</v>
      </c>
      <c r="AT6" s="9">
        <f t="shared" ref="AT6:AV6" si="22">AJ6/$AF6</f>
        <v>15.34268293</v>
      </c>
      <c r="AU6" s="9">
        <f t="shared" si="22"/>
        <v>7.326829268</v>
      </c>
      <c r="AV6" s="9">
        <f t="shared" si="22"/>
        <v>3.068292683</v>
      </c>
      <c r="AW6" s="9">
        <f t="shared" si="13"/>
        <v>10.39512195</v>
      </c>
      <c r="AX6" s="9">
        <f t="shared" ref="AX6:AY6" si="23">AM6/$AF6</f>
        <v>1.37804878</v>
      </c>
      <c r="AY6" s="9">
        <f t="shared" si="23"/>
        <v>0.6097560976</v>
      </c>
      <c r="AZ6" s="9">
        <f>VLOOKUP(A6,Jogos!A:BN,58,0)</f>
        <v>28.26</v>
      </c>
      <c r="BA6" s="9">
        <f>VLOOKUP(A6,Jogos!A:BN,59,0)</f>
        <v>22.895</v>
      </c>
      <c r="BB6" s="9">
        <f>VLOOKUP(A6,Jogos!A:BN,60,0)</f>
        <v>72</v>
      </c>
      <c r="BC6" s="9">
        <f>VLOOKUP(A6,Jogos!A:BN,61,0)</f>
        <v>27.605</v>
      </c>
      <c r="BD6" s="9">
        <f>VLOOKUP(A6,Jogos!A:BN,62,0)</f>
        <v>0.5</v>
      </c>
      <c r="BE6" s="9">
        <f>VLOOKUP(A6,Jogos!A:BN,63,0)</f>
        <v>2.07</v>
      </c>
      <c r="BF6" s="9">
        <f>VLOOKUP(A6,Jogos!A:BN,64,0)</f>
        <v>24.755</v>
      </c>
      <c r="BG6" s="9">
        <f>VLOOKUP(A6,Jogos!A:BN,65,0)</f>
        <v>42.805</v>
      </c>
      <c r="BH6" s="9">
        <f>VLOOKUP(A6,Jogos!A:BN,66,0)</f>
        <v>28.715</v>
      </c>
      <c r="BI6" s="9"/>
      <c r="BJ6" s="9"/>
    </row>
    <row r="7" hidden="1">
      <c r="A7" s="2">
        <v>1.0</v>
      </c>
      <c r="B7" s="2" t="s">
        <v>60</v>
      </c>
      <c r="C7" s="2" t="s">
        <v>61</v>
      </c>
      <c r="D7" s="3">
        <v>45822.0</v>
      </c>
      <c r="E7" s="4">
        <v>0.8333333333333334</v>
      </c>
      <c r="F7" s="5" t="str">
        <f>VLOOKUP(A7,Jogos!A:N,10,0)</f>
        <v>Evening</v>
      </c>
      <c r="G7" s="2" t="s">
        <v>62</v>
      </c>
      <c r="H7" s="6" t="str">
        <f>VLOOKUP(A7,Jogos!A:L,12,0)</f>
        <v>Open</v>
      </c>
      <c r="I7" s="6" t="str">
        <f>VLOOKUP(G7,'Estádios e Cidades'!A:B,2,0)</f>
        <v>Miami Gardens - Flórida</v>
      </c>
      <c r="J7" s="2" t="s">
        <v>63</v>
      </c>
      <c r="K7" s="2" t="str">
        <f>VLOOKUP(J7,Equipes!A:F,6,0)</f>
        <v>Tropical</v>
      </c>
      <c r="L7" s="2">
        <f>VLOOKUP(J7,Equipes!A:C,3,0)</f>
        <v>25</v>
      </c>
      <c r="M7" s="2" t="str">
        <f t="shared" si="4"/>
        <v>Group</v>
      </c>
      <c r="N7" s="2" t="s">
        <v>64</v>
      </c>
      <c r="O7" s="2">
        <f>VLOOKUP(N7,Equipes!A:C,3,0)</f>
        <v>16</v>
      </c>
      <c r="P7" s="2" t="str">
        <f t="shared" si="5"/>
        <v>Round of 16</v>
      </c>
      <c r="Q7" s="2">
        <f t="shared" si="6"/>
        <v>9</v>
      </c>
      <c r="R7" s="2" t="str">
        <f>VLOOKUP(J7,Equipes!A:B,2,0)</f>
        <v>AlAhly</v>
      </c>
      <c r="S7" s="6" t="s">
        <v>75</v>
      </c>
      <c r="T7" s="7">
        <v>13.0</v>
      </c>
      <c r="U7" s="7" t="s">
        <v>76</v>
      </c>
      <c r="V7" s="7" t="str">
        <f>VLOOKUP(U7,Jogadores!B:C,2,0)</f>
        <v>MF</v>
      </c>
      <c r="W7" s="8">
        <f>VLOOKUP(U7,Jogadores!B:D,3,0)</f>
        <v>26.97808219</v>
      </c>
      <c r="X7" s="7">
        <v>0.0</v>
      </c>
      <c r="Y7" s="7">
        <f t="shared" ref="Y7:Y8" si="27">45+AB7</f>
        <v>98</v>
      </c>
      <c r="Z7" s="7">
        <f>VLOOKUP(A7,Jogos!A:L,3,0)</f>
        <v>48</v>
      </c>
      <c r="AA7" s="7">
        <f t="shared" si="7"/>
        <v>48</v>
      </c>
      <c r="AB7" s="7">
        <f>VLOOKUP(A7,Jogos!A:L,4,0)</f>
        <v>53</v>
      </c>
      <c r="AC7" s="7">
        <f t="shared" si="8"/>
        <v>53</v>
      </c>
      <c r="AD7" s="7"/>
      <c r="AE7" s="7"/>
      <c r="AF7" s="7">
        <f t="shared" si="9"/>
        <v>101</v>
      </c>
      <c r="AG7" s="7">
        <v>10304.8</v>
      </c>
      <c r="AH7" s="7">
        <v>4118.7</v>
      </c>
      <c r="AI7" s="7">
        <v>4392.1</v>
      </c>
      <c r="AJ7" s="7">
        <v>1322.2</v>
      </c>
      <c r="AK7" s="7">
        <v>318.2</v>
      </c>
      <c r="AL7" s="7">
        <v>153.5</v>
      </c>
      <c r="AM7" s="7">
        <v>113.0</v>
      </c>
      <c r="AN7" s="7">
        <v>31.0</v>
      </c>
      <c r="AO7" s="7">
        <v>43.5</v>
      </c>
      <c r="AP7" s="9">
        <f t="shared" ref="AP7:AR7" si="24">AG7/$AF7</f>
        <v>102.0277228</v>
      </c>
      <c r="AQ7" s="9">
        <f t="shared" si="24"/>
        <v>40.77920792</v>
      </c>
      <c r="AR7" s="9">
        <f t="shared" si="24"/>
        <v>43.48613861</v>
      </c>
      <c r="AS7" s="9">
        <f t="shared" si="11"/>
        <v>84.26534653</v>
      </c>
      <c r="AT7" s="9">
        <f t="shared" ref="AT7:AV7" si="25">AJ7/$AF7</f>
        <v>13.09108911</v>
      </c>
      <c r="AU7" s="9">
        <f t="shared" si="25"/>
        <v>3.15049505</v>
      </c>
      <c r="AV7" s="9">
        <f t="shared" si="25"/>
        <v>1.51980198</v>
      </c>
      <c r="AW7" s="9">
        <f t="shared" si="13"/>
        <v>4.67029703</v>
      </c>
      <c r="AX7" s="9">
        <f t="shared" ref="AX7:AY7" si="26">AM7/$AF7</f>
        <v>1.118811881</v>
      </c>
      <c r="AY7" s="9">
        <f t="shared" si="26"/>
        <v>0.3069306931</v>
      </c>
      <c r="AZ7" s="9">
        <f>VLOOKUP(A7,Jogos!A:BN,58,0)</f>
        <v>28.26</v>
      </c>
      <c r="BA7" s="9">
        <f>VLOOKUP(A7,Jogos!A:BN,59,0)</f>
        <v>22.895</v>
      </c>
      <c r="BB7" s="9">
        <f>VLOOKUP(A7,Jogos!A:BN,60,0)</f>
        <v>72</v>
      </c>
      <c r="BC7" s="9">
        <f>VLOOKUP(A7,Jogos!A:BN,61,0)</f>
        <v>27.605</v>
      </c>
      <c r="BD7" s="9">
        <f>VLOOKUP(A7,Jogos!A:BN,62,0)</f>
        <v>0.5</v>
      </c>
      <c r="BE7" s="9">
        <f>VLOOKUP(A7,Jogos!A:BN,63,0)</f>
        <v>2.07</v>
      </c>
      <c r="BF7" s="9">
        <f>VLOOKUP(A7,Jogos!A:BN,64,0)</f>
        <v>24.755</v>
      </c>
      <c r="BG7" s="9">
        <f>VLOOKUP(A7,Jogos!A:BN,65,0)</f>
        <v>42.805</v>
      </c>
      <c r="BH7" s="9">
        <f>VLOOKUP(A7,Jogos!A:BN,66,0)</f>
        <v>28.715</v>
      </c>
      <c r="BI7" s="9"/>
      <c r="BJ7" s="9"/>
    </row>
    <row r="8" hidden="1">
      <c r="A8" s="2">
        <v>1.0</v>
      </c>
      <c r="B8" s="2" t="s">
        <v>60</v>
      </c>
      <c r="C8" s="2" t="s">
        <v>61</v>
      </c>
      <c r="D8" s="3">
        <v>45822.0</v>
      </c>
      <c r="E8" s="4">
        <v>0.8333333333333334</v>
      </c>
      <c r="F8" s="5" t="str">
        <f>VLOOKUP(A8,Jogos!A:N,10,0)</f>
        <v>Evening</v>
      </c>
      <c r="G8" s="2" t="s">
        <v>62</v>
      </c>
      <c r="H8" s="6" t="str">
        <f>VLOOKUP(A8,Jogos!A:L,12,0)</f>
        <v>Open</v>
      </c>
      <c r="I8" s="6" t="str">
        <f>VLOOKUP(G8,'Estádios e Cidades'!A:B,2,0)</f>
        <v>Miami Gardens - Flórida</v>
      </c>
      <c r="J8" s="2" t="s">
        <v>63</v>
      </c>
      <c r="K8" s="2" t="str">
        <f>VLOOKUP(J8,Equipes!A:F,6,0)</f>
        <v>Tropical</v>
      </c>
      <c r="L8" s="2">
        <f>VLOOKUP(J8,Equipes!A:C,3,0)</f>
        <v>25</v>
      </c>
      <c r="M8" s="2" t="str">
        <f t="shared" si="4"/>
        <v>Group</v>
      </c>
      <c r="N8" s="2" t="s">
        <v>64</v>
      </c>
      <c r="O8" s="2">
        <f>VLOOKUP(N8,Equipes!A:C,3,0)</f>
        <v>16</v>
      </c>
      <c r="P8" s="2" t="str">
        <f t="shared" si="5"/>
        <v>Round of 16</v>
      </c>
      <c r="Q8" s="2">
        <f t="shared" si="6"/>
        <v>9</v>
      </c>
      <c r="R8" s="2" t="str">
        <f>VLOOKUP(J8,Equipes!A:B,2,0)</f>
        <v>AlAhly</v>
      </c>
      <c r="S8" s="6" t="s">
        <v>77</v>
      </c>
      <c r="T8" s="7">
        <v>15.0</v>
      </c>
      <c r="U8" s="7" t="s">
        <v>78</v>
      </c>
      <c r="V8" s="7" t="str">
        <f>VLOOKUP(U8,Jogadores!B:C,2,0)</f>
        <v>DF</v>
      </c>
      <c r="W8" s="8">
        <f>VLOOKUP(U8,Jogadores!B:D,3,0)</f>
        <v>26.24657534</v>
      </c>
      <c r="X8" s="7">
        <v>0.0</v>
      </c>
      <c r="Y8" s="7">
        <f t="shared" si="27"/>
        <v>98</v>
      </c>
      <c r="Z8" s="7">
        <f>VLOOKUP(A8,Jogos!A:L,3,0)</f>
        <v>48</v>
      </c>
      <c r="AA8" s="7">
        <f t="shared" si="7"/>
        <v>48</v>
      </c>
      <c r="AB8" s="7">
        <f>VLOOKUP(A8,Jogos!A:L,4,0)</f>
        <v>53</v>
      </c>
      <c r="AC8" s="7">
        <f t="shared" si="8"/>
        <v>53</v>
      </c>
      <c r="AD8" s="7"/>
      <c r="AE8" s="7"/>
      <c r="AF8" s="7">
        <f t="shared" si="9"/>
        <v>101</v>
      </c>
      <c r="AG8" s="7">
        <v>9267.2</v>
      </c>
      <c r="AH8" s="7">
        <v>4048.6</v>
      </c>
      <c r="AI8" s="7">
        <v>3938.4</v>
      </c>
      <c r="AJ8" s="7">
        <v>846.4</v>
      </c>
      <c r="AK8" s="7">
        <v>318.9</v>
      </c>
      <c r="AL8" s="7">
        <v>114.9</v>
      </c>
      <c r="AM8" s="7">
        <v>78.0</v>
      </c>
      <c r="AN8" s="7">
        <v>29.0</v>
      </c>
      <c r="AO8" s="7">
        <v>33.0</v>
      </c>
      <c r="AP8" s="9">
        <f t="shared" ref="AP8:AR8" si="28">AG8/$AF8</f>
        <v>91.75445545</v>
      </c>
      <c r="AQ8" s="9">
        <f t="shared" si="28"/>
        <v>40.08514851</v>
      </c>
      <c r="AR8" s="9">
        <f t="shared" si="28"/>
        <v>38.99405941</v>
      </c>
      <c r="AS8" s="9">
        <f t="shared" si="11"/>
        <v>79.07920792</v>
      </c>
      <c r="AT8" s="9">
        <f t="shared" ref="AT8:AV8" si="29">AJ8/$AF8</f>
        <v>8.38019802</v>
      </c>
      <c r="AU8" s="9">
        <f t="shared" si="29"/>
        <v>3.157425743</v>
      </c>
      <c r="AV8" s="9">
        <f t="shared" si="29"/>
        <v>1.137623762</v>
      </c>
      <c r="AW8" s="9">
        <f t="shared" si="13"/>
        <v>4.295049505</v>
      </c>
      <c r="AX8" s="9">
        <f t="shared" ref="AX8:AY8" si="30">AM8/$AF8</f>
        <v>0.7722772277</v>
      </c>
      <c r="AY8" s="9">
        <f t="shared" si="30"/>
        <v>0.2871287129</v>
      </c>
      <c r="AZ8" s="9">
        <f>VLOOKUP(A8,Jogos!A:BN,58,0)</f>
        <v>28.26</v>
      </c>
      <c r="BA8" s="9">
        <f>VLOOKUP(A8,Jogos!A:BN,59,0)</f>
        <v>22.895</v>
      </c>
      <c r="BB8" s="9">
        <f>VLOOKUP(A8,Jogos!A:BN,60,0)</f>
        <v>72</v>
      </c>
      <c r="BC8" s="9">
        <f>VLOOKUP(A8,Jogos!A:BN,61,0)</f>
        <v>27.605</v>
      </c>
      <c r="BD8" s="9">
        <f>VLOOKUP(A8,Jogos!A:BN,62,0)</f>
        <v>0.5</v>
      </c>
      <c r="BE8" s="9">
        <f>VLOOKUP(A8,Jogos!A:BN,63,0)</f>
        <v>2.07</v>
      </c>
      <c r="BF8" s="9">
        <f>VLOOKUP(A8,Jogos!A:BN,64,0)</f>
        <v>24.755</v>
      </c>
      <c r="BG8" s="9">
        <f>VLOOKUP(A8,Jogos!A:BN,65,0)</f>
        <v>42.805</v>
      </c>
      <c r="BH8" s="9">
        <f>VLOOKUP(A8,Jogos!A:BN,66,0)</f>
        <v>28.715</v>
      </c>
      <c r="BI8" s="9"/>
      <c r="BJ8" s="9"/>
    </row>
    <row r="9" hidden="1">
      <c r="A9" s="2">
        <v>1.0</v>
      </c>
      <c r="B9" s="2" t="s">
        <v>60</v>
      </c>
      <c r="C9" s="2" t="s">
        <v>61</v>
      </c>
      <c r="D9" s="3">
        <v>45822.0</v>
      </c>
      <c r="E9" s="4">
        <v>0.8333333333333334</v>
      </c>
      <c r="F9" s="5" t="str">
        <f>VLOOKUP(A9,Jogos!A:N,10,0)</f>
        <v>Evening</v>
      </c>
      <c r="G9" s="2" t="s">
        <v>62</v>
      </c>
      <c r="H9" s="6" t="str">
        <f>VLOOKUP(A9,Jogos!A:L,12,0)</f>
        <v>Open</v>
      </c>
      <c r="I9" s="6" t="str">
        <f>VLOOKUP(G9,'Estádios e Cidades'!A:B,2,0)</f>
        <v>Miami Gardens - Flórida</v>
      </c>
      <c r="J9" s="2" t="s">
        <v>63</v>
      </c>
      <c r="K9" s="2" t="str">
        <f>VLOOKUP(J9,Equipes!A:F,6,0)</f>
        <v>Tropical</v>
      </c>
      <c r="L9" s="2">
        <f>VLOOKUP(J9,Equipes!A:C,3,0)</f>
        <v>25</v>
      </c>
      <c r="M9" s="2" t="str">
        <f t="shared" si="4"/>
        <v>Group</v>
      </c>
      <c r="N9" s="2" t="s">
        <v>64</v>
      </c>
      <c r="O9" s="2">
        <f>VLOOKUP(N9,Equipes!A:C,3,0)</f>
        <v>16</v>
      </c>
      <c r="P9" s="2" t="str">
        <f t="shared" si="5"/>
        <v>Round of 16</v>
      </c>
      <c r="Q9" s="2">
        <f t="shared" si="6"/>
        <v>9</v>
      </c>
      <c r="R9" s="2" t="str">
        <f>VLOOKUP(J9,Equipes!A:B,2,0)</f>
        <v>AlAhly</v>
      </c>
      <c r="S9" s="6" t="s">
        <v>79</v>
      </c>
      <c r="T9" s="7">
        <v>22.0</v>
      </c>
      <c r="U9" s="7" t="s">
        <v>80</v>
      </c>
      <c r="V9" s="7" t="str">
        <f>VLOOKUP(U9,Jogadores!B:C,2,0)</f>
        <v>MF</v>
      </c>
      <c r="W9" s="8">
        <f>VLOOKUP(U9,Jogadores!B:D,3,0)</f>
        <v>27.45205479</v>
      </c>
      <c r="X9" s="7">
        <v>0.0</v>
      </c>
      <c r="Y9" s="7">
        <v>14.0</v>
      </c>
      <c r="Z9" s="7">
        <f>VLOOKUP(A9,Jogos!A:L,3,0)</f>
        <v>48</v>
      </c>
      <c r="AA9" s="7">
        <f t="shared" si="7"/>
        <v>14</v>
      </c>
      <c r="AB9" s="7">
        <f>VLOOKUP(A9,Jogos!A:L,4,0)</f>
        <v>53</v>
      </c>
      <c r="AC9" s="7">
        <f t="shared" si="8"/>
        <v>0</v>
      </c>
      <c r="AD9" s="7"/>
      <c r="AE9" s="7"/>
      <c r="AF9" s="7">
        <f t="shared" si="9"/>
        <v>14</v>
      </c>
      <c r="AG9" s="7">
        <v>1569.2</v>
      </c>
      <c r="AH9" s="7">
        <v>463.3</v>
      </c>
      <c r="AI9" s="7">
        <v>695.0</v>
      </c>
      <c r="AJ9" s="7">
        <v>269.9</v>
      </c>
      <c r="AK9" s="7">
        <v>100.8</v>
      </c>
      <c r="AL9" s="7">
        <v>40.2</v>
      </c>
      <c r="AM9" s="7">
        <v>26.0</v>
      </c>
      <c r="AN9" s="7">
        <v>9.0</v>
      </c>
      <c r="AO9" s="7">
        <v>30.0</v>
      </c>
      <c r="AP9" s="9">
        <f t="shared" ref="AP9:AR9" si="31">AG9/$AF9</f>
        <v>112.0857143</v>
      </c>
      <c r="AQ9" s="9">
        <f t="shared" si="31"/>
        <v>33.09285714</v>
      </c>
      <c r="AR9" s="9">
        <f t="shared" si="31"/>
        <v>49.64285714</v>
      </c>
      <c r="AS9" s="9">
        <f t="shared" si="11"/>
        <v>82.73571429</v>
      </c>
      <c r="AT9" s="9">
        <f t="shared" ref="AT9:AV9" si="32">AJ9/$AF9</f>
        <v>19.27857143</v>
      </c>
      <c r="AU9" s="9">
        <f t="shared" si="32"/>
        <v>7.2</v>
      </c>
      <c r="AV9" s="9">
        <f t="shared" si="32"/>
        <v>2.871428571</v>
      </c>
      <c r="AW9" s="9">
        <f t="shared" si="13"/>
        <v>10.07142857</v>
      </c>
      <c r="AX9" s="9">
        <f t="shared" ref="AX9:AY9" si="33">AM9/$AF9</f>
        <v>1.857142857</v>
      </c>
      <c r="AY9" s="9">
        <f t="shared" si="33"/>
        <v>0.6428571429</v>
      </c>
      <c r="AZ9" s="9">
        <f>VLOOKUP(A9,Jogos!A:BN,58,0)</f>
        <v>28.26</v>
      </c>
      <c r="BA9" s="9">
        <f>VLOOKUP(A9,Jogos!A:BN,59,0)</f>
        <v>22.895</v>
      </c>
      <c r="BB9" s="9">
        <f>VLOOKUP(A9,Jogos!A:BN,60,0)</f>
        <v>72</v>
      </c>
      <c r="BC9" s="9">
        <f>VLOOKUP(A9,Jogos!A:BN,61,0)</f>
        <v>27.605</v>
      </c>
      <c r="BD9" s="9">
        <f>VLOOKUP(A9,Jogos!A:BN,62,0)</f>
        <v>0.5</v>
      </c>
      <c r="BE9" s="9">
        <f>VLOOKUP(A9,Jogos!A:BN,63,0)</f>
        <v>2.07</v>
      </c>
      <c r="BF9" s="9">
        <f>VLOOKUP(A9,Jogos!A:BN,64,0)</f>
        <v>24.755</v>
      </c>
      <c r="BG9" s="9">
        <f>VLOOKUP(A9,Jogos!A:BN,65,0)</f>
        <v>42.805</v>
      </c>
      <c r="BH9" s="9">
        <f>VLOOKUP(A9,Jogos!A:BN,66,0)</f>
        <v>28.715</v>
      </c>
      <c r="BI9" s="9"/>
      <c r="BJ9" s="9"/>
    </row>
    <row r="10" hidden="1">
      <c r="A10" s="2">
        <v>1.0</v>
      </c>
      <c r="B10" s="2" t="s">
        <v>60</v>
      </c>
      <c r="C10" s="2" t="s">
        <v>61</v>
      </c>
      <c r="D10" s="3">
        <v>45822.0</v>
      </c>
      <c r="E10" s="4">
        <v>0.8333333333333334</v>
      </c>
      <c r="F10" s="5" t="str">
        <f>VLOOKUP(A10,Jogos!A:N,10,0)</f>
        <v>Evening</v>
      </c>
      <c r="G10" s="2" t="s">
        <v>62</v>
      </c>
      <c r="H10" s="6" t="str">
        <f>VLOOKUP(A10,Jogos!A:L,12,0)</f>
        <v>Open</v>
      </c>
      <c r="I10" s="6" t="str">
        <f>VLOOKUP(G10,'Estádios e Cidades'!A:B,2,0)</f>
        <v>Miami Gardens - Flórida</v>
      </c>
      <c r="J10" s="2" t="s">
        <v>63</v>
      </c>
      <c r="K10" s="2" t="str">
        <f>VLOOKUP(J10,Equipes!A:F,6,0)</f>
        <v>Tropical</v>
      </c>
      <c r="L10" s="2">
        <f>VLOOKUP(J10,Equipes!A:C,3,0)</f>
        <v>25</v>
      </c>
      <c r="M10" s="2" t="str">
        <f t="shared" si="4"/>
        <v>Group</v>
      </c>
      <c r="N10" s="2" t="s">
        <v>64</v>
      </c>
      <c r="O10" s="2">
        <f>VLOOKUP(N10,Equipes!A:C,3,0)</f>
        <v>16</v>
      </c>
      <c r="P10" s="2" t="str">
        <f t="shared" si="5"/>
        <v>Round of 16</v>
      </c>
      <c r="Q10" s="2">
        <f t="shared" si="6"/>
        <v>9</v>
      </c>
      <c r="R10" s="2" t="str">
        <f>VLOOKUP(J10,Equipes!A:B,2,0)</f>
        <v>AlAhly</v>
      </c>
      <c r="S10" s="6" t="s">
        <v>81</v>
      </c>
      <c r="T10" s="7">
        <v>30.0</v>
      </c>
      <c r="U10" s="7" t="s">
        <v>82</v>
      </c>
      <c r="V10" s="7" t="str">
        <f>VLOOKUP(U10,Jogadores!B:C,2,0)</f>
        <v>DF</v>
      </c>
      <c r="W10" s="8">
        <f>VLOOKUP(U10,Jogadores!B:D,3,0)</f>
        <v>29.5260274</v>
      </c>
      <c r="X10" s="7">
        <v>0.0</v>
      </c>
      <c r="Y10" s="7">
        <f t="shared" ref="Y10:Y14" si="37">45+AB10</f>
        <v>98</v>
      </c>
      <c r="Z10" s="7">
        <f>VLOOKUP(A10,Jogos!A:L,3,0)</f>
        <v>48</v>
      </c>
      <c r="AA10" s="7">
        <f t="shared" si="7"/>
        <v>48</v>
      </c>
      <c r="AB10" s="7">
        <f>VLOOKUP(A10,Jogos!A:L,4,0)</f>
        <v>53</v>
      </c>
      <c r="AC10" s="7">
        <f t="shared" si="8"/>
        <v>53</v>
      </c>
      <c r="AD10" s="7"/>
      <c r="AE10" s="7"/>
      <c r="AF10" s="7">
        <f t="shared" si="9"/>
        <v>101</v>
      </c>
      <c r="AG10" s="7">
        <v>9650.4</v>
      </c>
      <c r="AH10" s="7">
        <v>4190.5</v>
      </c>
      <c r="AI10" s="7">
        <v>3834.7</v>
      </c>
      <c r="AJ10" s="7">
        <v>1010.4</v>
      </c>
      <c r="AK10" s="7">
        <v>430.9</v>
      </c>
      <c r="AL10" s="7">
        <v>184.0</v>
      </c>
      <c r="AM10" s="7">
        <v>80.0</v>
      </c>
      <c r="AN10" s="7">
        <v>39.0</v>
      </c>
      <c r="AO10" s="7">
        <v>31.4</v>
      </c>
      <c r="AP10" s="9">
        <f t="shared" ref="AP10:AR10" si="34">AG10/$AF10</f>
        <v>95.54851485</v>
      </c>
      <c r="AQ10" s="9">
        <f t="shared" si="34"/>
        <v>41.49009901</v>
      </c>
      <c r="AR10" s="9">
        <f t="shared" si="34"/>
        <v>37.96732673</v>
      </c>
      <c r="AS10" s="9">
        <f t="shared" si="11"/>
        <v>79.45742574</v>
      </c>
      <c r="AT10" s="9">
        <f t="shared" ref="AT10:AV10" si="35">AJ10/$AF10</f>
        <v>10.0039604</v>
      </c>
      <c r="AU10" s="9">
        <f t="shared" si="35"/>
        <v>4.266336634</v>
      </c>
      <c r="AV10" s="9">
        <f t="shared" si="35"/>
        <v>1.821782178</v>
      </c>
      <c r="AW10" s="9">
        <f t="shared" si="13"/>
        <v>6.088118812</v>
      </c>
      <c r="AX10" s="9">
        <f t="shared" ref="AX10:AY10" si="36">AM10/$AF10</f>
        <v>0.7920792079</v>
      </c>
      <c r="AY10" s="9">
        <f t="shared" si="36"/>
        <v>0.3861386139</v>
      </c>
      <c r="AZ10" s="9">
        <f>VLOOKUP(A10,Jogos!A:BN,58,0)</f>
        <v>28.26</v>
      </c>
      <c r="BA10" s="9">
        <f>VLOOKUP(A10,Jogos!A:BN,59,0)</f>
        <v>22.895</v>
      </c>
      <c r="BB10" s="9">
        <f>VLOOKUP(A10,Jogos!A:BN,60,0)</f>
        <v>72</v>
      </c>
      <c r="BC10" s="9">
        <f>VLOOKUP(A10,Jogos!A:BN,61,0)</f>
        <v>27.605</v>
      </c>
      <c r="BD10" s="9">
        <f>VLOOKUP(A10,Jogos!A:BN,62,0)</f>
        <v>0.5</v>
      </c>
      <c r="BE10" s="9">
        <f>VLOOKUP(A10,Jogos!A:BN,63,0)</f>
        <v>2.07</v>
      </c>
      <c r="BF10" s="9">
        <f>VLOOKUP(A10,Jogos!A:BN,64,0)</f>
        <v>24.755</v>
      </c>
      <c r="BG10" s="9">
        <f>VLOOKUP(A10,Jogos!A:BN,65,0)</f>
        <v>42.805</v>
      </c>
      <c r="BH10" s="9">
        <f>VLOOKUP(A10,Jogos!A:BN,66,0)</f>
        <v>28.715</v>
      </c>
      <c r="BI10" s="9"/>
      <c r="BJ10" s="9"/>
    </row>
    <row r="11" hidden="1">
      <c r="A11" s="2">
        <v>1.0</v>
      </c>
      <c r="B11" s="2" t="s">
        <v>60</v>
      </c>
      <c r="C11" s="2" t="s">
        <v>61</v>
      </c>
      <c r="D11" s="3">
        <v>45822.0</v>
      </c>
      <c r="E11" s="4">
        <v>0.8333333333333334</v>
      </c>
      <c r="F11" s="5" t="str">
        <f>VLOOKUP(A11,Jogos!A:N,10,0)</f>
        <v>Evening</v>
      </c>
      <c r="G11" s="2" t="s">
        <v>62</v>
      </c>
      <c r="H11" s="6" t="str">
        <f>VLOOKUP(A11,Jogos!A:L,12,0)</f>
        <v>Open</v>
      </c>
      <c r="I11" s="6" t="str">
        <f>VLOOKUP(G11,'Estádios e Cidades'!A:B,2,0)</f>
        <v>Miami Gardens - Flórida</v>
      </c>
      <c r="J11" s="2" t="s">
        <v>63</v>
      </c>
      <c r="K11" s="2" t="str">
        <f>VLOOKUP(J11,Equipes!A:F,6,0)</f>
        <v>Tropical</v>
      </c>
      <c r="L11" s="2">
        <f>VLOOKUP(J11,Equipes!A:C,3,0)</f>
        <v>25</v>
      </c>
      <c r="M11" s="2" t="str">
        <f t="shared" si="4"/>
        <v>Group</v>
      </c>
      <c r="N11" s="2" t="s">
        <v>64</v>
      </c>
      <c r="O11" s="2">
        <f>VLOOKUP(N11,Equipes!A:C,3,0)</f>
        <v>16</v>
      </c>
      <c r="P11" s="2" t="str">
        <f t="shared" si="5"/>
        <v>Round of 16</v>
      </c>
      <c r="Q11" s="2">
        <f t="shared" si="6"/>
        <v>9</v>
      </c>
      <c r="R11" s="2" t="str">
        <f>VLOOKUP(J11,Equipes!A:B,2,0)</f>
        <v>AlAhly</v>
      </c>
      <c r="S11" s="6" t="s">
        <v>83</v>
      </c>
      <c r="T11" s="7">
        <v>36.0</v>
      </c>
      <c r="U11" s="7" t="s">
        <v>84</v>
      </c>
      <c r="V11" s="7" t="str">
        <f>VLOOKUP(U11,Jogadores!B:C,2,0)</f>
        <v>MF</v>
      </c>
      <c r="W11" s="8">
        <f>VLOOKUP(U11,Jogadores!B:D,3,0)</f>
        <v>24.08219178</v>
      </c>
      <c r="X11" s="7">
        <v>0.0</v>
      </c>
      <c r="Y11" s="7">
        <f t="shared" si="37"/>
        <v>98</v>
      </c>
      <c r="Z11" s="7">
        <f>VLOOKUP(A11,Jogos!A:L,3,0)</f>
        <v>48</v>
      </c>
      <c r="AA11" s="7">
        <f t="shared" si="7"/>
        <v>48</v>
      </c>
      <c r="AB11" s="7">
        <f>VLOOKUP(A11,Jogos!A:L,4,0)</f>
        <v>53</v>
      </c>
      <c r="AC11" s="7">
        <f t="shared" si="8"/>
        <v>53</v>
      </c>
      <c r="AD11" s="7"/>
      <c r="AE11" s="7"/>
      <c r="AF11" s="7">
        <f t="shared" si="9"/>
        <v>101</v>
      </c>
      <c r="AG11" s="7">
        <v>9262.7</v>
      </c>
      <c r="AH11" s="7">
        <v>4260.4</v>
      </c>
      <c r="AI11" s="7">
        <v>3560.6</v>
      </c>
      <c r="AJ11" s="7">
        <v>969.3</v>
      </c>
      <c r="AK11" s="7">
        <v>353.0</v>
      </c>
      <c r="AL11" s="7">
        <v>119.4</v>
      </c>
      <c r="AM11" s="7">
        <v>82.0</v>
      </c>
      <c r="AN11" s="7">
        <v>38.0</v>
      </c>
      <c r="AO11" s="7">
        <v>31.0</v>
      </c>
      <c r="AP11" s="9">
        <f t="shared" ref="AP11:AR11" si="38">AG11/$AF11</f>
        <v>91.70990099</v>
      </c>
      <c r="AQ11" s="9">
        <f t="shared" si="38"/>
        <v>42.18217822</v>
      </c>
      <c r="AR11" s="9">
        <f t="shared" si="38"/>
        <v>35.25346535</v>
      </c>
      <c r="AS11" s="9">
        <f t="shared" si="11"/>
        <v>77.43564356</v>
      </c>
      <c r="AT11" s="9">
        <f t="shared" ref="AT11:AV11" si="39">AJ11/$AF11</f>
        <v>9.597029703</v>
      </c>
      <c r="AU11" s="9">
        <f t="shared" si="39"/>
        <v>3.495049505</v>
      </c>
      <c r="AV11" s="9">
        <f t="shared" si="39"/>
        <v>1.182178218</v>
      </c>
      <c r="AW11" s="9">
        <f t="shared" si="13"/>
        <v>4.677227723</v>
      </c>
      <c r="AX11" s="9">
        <f t="shared" ref="AX11:AY11" si="40">AM11/$AF11</f>
        <v>0.8118811881</v>
      </c>
      <c r="AY11" s="9">
        <f t="shared" si="40"/>
        <v>0.3762376238</v>
      </c>
      <c r="AZ11" s="9">
        <f>VLOOKUP(A11,Jogos!A:BN,58,0)</f>
        <v>28.26</v>
      </c>
      <c r="BA11" s="9">
        <f>VLOOKUP(A11,Jogos!A:BN,59,0)</f>
        <v>22.895</v>
      </c>
      <c r="BB11" s="9">
        <f>VLOOKUP(A11,Jogos!A:BN,60,0)</f>
        <v>72</v>
      </c>
      <c r="BC11" s="9">
        <f>VLOOKUP(A11,Jogos!A:BN,61,0)</f>
        <v>27.605</v>
      </c>
      <c r="BD11" s="9">
        <f>VLOOKUP(A11,Jogos!A:BN,62,0)</f>
        <v>0.5</v>
      </c>
      <c r="BE11" s="9">
        <f>VLOOKUP(A11,Jogos!A:BN,63,0)</f>
        <v>2.07</v>
      </c>
      <c r="BF11" s="9">
        <f>VLOOKUP(A11,Jogos!A:BN,64,0)</f>
        <v>24.755</v>
      </c>
      <c r="BG11" s="9">
        <f>VLOOKUP(A11,Jogos!A:BN,65,0)</f>
        <v>42.805</v>
      </c>
      <c r="BH11" s="9">
        <f>VLOOKUP(A11,Jogos!A:BN,66,0)</f>
        <v>28.715</v>
      </c>
      <c r="BI11" s="9"/>
      <c r="BJ11" s="9"/>
    </row>
    <row r="12" hidden="1">
      <c r="A12" s="2">
        <v>1.0</v>
      </c>
      <c r="B12" s="2" t="s">
        <v>60</v>
      </c>
      <c r="C12" s="2" t="s">
        <v>61</v>
      </c>
      <c r="D12" s="3">
        <v>45822.0</v>
      </c>
      <c r="E12" s="4">
        <v>0.8333333333333334</v>
      </c>
      <c r="F12" s="5" t="str">
        <f>VLOOKUP(A12,Jogos!A:N,10,0)</f>
        <v>Evening</v>
      </c>
      <c r="G12" s="2" t="s">
        <v>62</v>
      </c>
      <c r="H12" s="6" t="str">
        <f>VLOOKUP(A12,Jogos!A:L,12,0)</f>
        <v>Open</v>
      </c>
      <c r="I12" s="6" t="str">
        <f>VLOOKUP(G12,'Estádios e Cidades'!A:B,2,0)</f>
        <v>Miami Gardens - Flórida</v>
      </c>
      <c r="J12" s="2" t="s">
        <v>63</v>
      </c>
      <c r="K12" s="2" t="str">
        <f>VLOOKUP(J12,Equipes!A:F,6,0)</f>
        <v>Tropical</v>
      </c>
      <c r="L12" s="2">
        <f>VLOOKUP(J12,Equipes!A:C,3,0)</f>
        <v>25</v>
      </c>
      <c r="M12" s="2" t="str">
        <f t="shared" si="4"/>
        <v>Group</v>
      </c>
      <c r="N12" s="2" t="s">
        <v>64</v>
      </c>
      <c r="O12" s="2">
        <f>VLOOKUP(N12,Equipes!A:C,3,0)</f>
        <v>16</v>
      </c>
      <c r="P12" s="2" t="str">
        <f t="shared" si="5"/>
        <v>Round of 16</v>
      </c>
      <c r="Q12" s="2">
        <f t="shared" si="6"/>
        <v>9</v>
      </c>
      <c r="R12" s="2" t="str">
        <f>VLOOKUP(J12,Equipes!A:B,2,0)</f>
        <v>AlAhly</v>
      </c>
      <c r="S12" s="6" t="s">
        <v>85</v>
      </c>
      <c r="T12" s="7">
        <v>10.0</v>
      </c>
      <c r="U12" s="7" t="s">
        <v>86</v>
      </c>
      <c r="V12" s="7" t="str">
        <f>VLOOKUP(U12,Jogadores!B:C,2,0)</f>
        <v>FW</v>
      </c>
      <c r="W12" s="8">
        <f>VLOOKUP(U12,Jogadores!B:D,3,0)</f>
        <v>22.99178082</v>
      </c>
      <c r="X12" s="7">
        <v>79.0</v>
      </c>
      <c r="Y12" s="7">
        <f t="shared" si="37"/>
        <v>98</v>
      </c>
      <c r="Z12" s="7">
        <f>VLOOKUP(A12,Jogos!A:L,3,0)</f>
        <v>48</v>
      </c>
      <c r="AA12" s="7">
        <f t="shared" si="7"/>
        <v>0</v>
      </c>
      <c r="AB12" s="7">
        <f>VLOOKUP(A12,Jogos!A:L,4,0)</f>
        <v>53</v>
      </c>
      <c r="AC12" s="7">
        <f t="shared" si="8"/>
        <v>19</v>
      </c>
      <c r="AD12" s="7"/>
      <c r="AE12" s="7"/>
      <c r="AF12" s="7">
        <f t="shared" si="9"/>
        <v>19</v>
      </c>
      <c r="AG12" s="7">
        <v>2011.5</v>
      </c>
      <c r="AH12" s="7">
        <v>581.8</v>
      </c>
      <c r="AI12" s="7">
        <v>874.5</v>
      </c>
      <c r="AJ12" s="7">
        <v>367.0</v>
      </c>
      <c r="AK12" s="7">
        <v>122.4</v>
      </c>
      <c r="AL12" s="7">
        <v>65.9</v>
      </c>
      <c r="AM12" s="7">
        <v>28.0</v>
      </c>
      <c r="AN12" s="7">
        <v>11.0</v>
      </c>
      <c r="AO12" s="7">
        <v>33.0</v>
      </c>
      <c r="AP12" s="9">
        <f t="shared" ref="AP12:AR12" si="41">AG12/$AF12</f>
        <v>105.8684211</v>
      </c>
      <c r="AQ12" s="9">
        <f t="shared" si="41"/>
        <v>30.62105263</v>
      </c>
      <c r="AR12" s="9">
        <f t="shared" si="41"/>
        <v>46.02631579</v>
      </c>
      <c r="AS12" s="9">
        <f t="shared" si="11"/>
        <v>76.64736842</v>
      </c>
      <c r="AT12" s="9">
        <f t="shared" ref="AT12:AV12" si="42">AJ12/$AF12</f>
        <v>19.31578947</v>
      </c>
      <c r="AU12" s="9">
        <f t="shared" si="42"/>
        <v>6.442105263</v>
      </c>
      <c r="AV12" s="9">
        <f t="shared" si="42"/>
        <v>3.468421053</v>
      </c>
      <c r="AW12" s="9">
        <f t="shared" si="13"/>
        <v>9.910526316</v>
      </c>
      <c r="AX12" s="9">
        <f t="shared" ref="AX12:AY12" si="43">AM12/$AF12</f>
        <v>1.473684211</v>
      </c>
      <c r="AY12" s="9">
        <f t="shared" si="43"/>
        <v>0.5789473684</v>
      </c>
      <c r="AZ12" s="9">
        <f>VLOOKUP(A12,Jogos!A:BN,58,0)</f>
        <v>28.26</v>
      </c>
      <c r="BA12" s="9">
        <f>VLOOKUP(A12,Jogos!A:BN,59,0)</f>
        <v>22.895</v>
      </c>
      <c r="BB12" s="9">
        <f>VLOOKUP(A12,Jogos!A:BN,60,0)</f>
        <v>72</v>
      </c>
      <c r="BC12" s="9">
        <f>VLOOKUP(A12,Jogos!A:BN,61,0)</f>
        <v>27.605</v>
      </c>
      <c r="BD12" s="9">
        <f>VLOOKUP(A12,Jogos!A:BN,62,0)</f>
        <v>0.5</v>
      </c>
      <c r="BE12" s="9">
        <f>VLOOKUP(A12,Jogos!A:BN,63,0)</f>
        <v>2.07</v>
      </c>
      <c r="BF12" s="9">
        <f>VLOOKUP(A12,Jogos!A:BN,64,0)</f>
        <v>24.755</v>
      </c>
      <c r="BG12" s="9">
        <f>VLOOKUP(A12,Jogos!A:BN,65,0)</f>
        <v>42.805</v>
      </c>
      <c r="BH12" s="9">
        <f>VLOOKUP(A12,Jogos!A:BN,66,0)</f>
        <v>28.715</v>
      </c>
      <c r="BI12" s="9"/>
      <c r="BJ12" s="9"/>
    </row>
    <row r="13" hidden="1">
      <c r="A13" s="2">
        <v>1.0</v>
      </c>
      <c r="B13" s="2" t="s">
        <v>60</v>
      </c>
      <c r="C13" s="2" t="s">
        <v>61</v>
      </c>
      <c r="D13" s="3">
        <v>45822.0</v>
      </c>
      <c r="E13" s="4">
        <v>0.8333333333333334</v>
      </c>
      <c r="F13" s="5" t="str">
        <f>VLOOKUP(A13,Jogos!A:N,10,0)</f>
        <v>Evening</v>
      </c>
      <c r="G13" s="2" t="s">
        <v>62</v>
      </c>
      <c r="H13" s="6" t="str">
        <f>VLOOKUP(A13,Jogos!A:L,12,0)</f>
        <v>Open</v>
      </c>
      <c r="I13" s="6" t="str">
        <f>VLOOKUP(G13,'Estádios e Cidades'!A:B,2,0)</f>
        <v>Miami Gardens - Flórida</v>
      </c>
      <c r="J13" s="2" t="s">
        <v>63</v>
      </c>
      <c r="K13" s="2" t="str">
        <f>VLOOKUP(J13,Equipes!A:F,6,0)</f>
        <v>Tropical</v>
      </c>
      <c r="L13" s="2">
        <f>VLOOKUP(J13,Equipes!A:C,3,0)</f>
        <v>25</v>
      </c>
      <c r="M13" s="2" t="str">
        <f t="shared" si="4"/>
        <v>Group</v>
      </c>
      <c r="N13" s="2" t="s">
        <v>64</v>
      </c>
      <c r="O13" s="2">
        <f>VLOOKUP(N13,Equipes!A:C,3,0)</f>
        <v>16</v>
      </c>
      <c r="P13" s="2" t="str">
        <f t="shared" si="5"/>
        <v>Round of 16</v>
      </c>
      <c r="Q13" s="2">
        <f t="shared" si="6"/>
        <v>9</v>
      </c>
      <c r="R13" s="2" t="str">
        <f>VLOOKUP(J13,Equipes!A:B,2,0)</f>
        <v>AlAhly</v>
      </c>
      <c r="S13" s="6" t="s">
        <v>87</v>
      </c>
      <c r="T13" s="7">
        <v>14.0</v>
      </c>
      <c r="U13" s="7" t="s">
        <v>88</v>
      </c>
      <c r="V13" s="7" t="str">
        <f>VLOOKUP(U13,Jogadores!B:C,2,0)</f>
        <v>MF</v>
      </c>
      <c r="W13" s="8">
        <f>VLOOKUP(U13,Jogadores!B:D,3,0)</f>
        <v>33.12328767</v>
      </c>
      <c r="X13" s="7">
        <v>65.0</v>
      </c>
      <c r="Y13" s="7">
        <f t="shared" si="37"/>
        <v>98</v>
      </c>
      <c r="Z13" s="7">
        <f>VLOOKUP(A13,Jogos!A:L,3,0)</f>
        <v>48</v>
      </c>
      <c r="AA13" s="7">
        <f t="shared" si="7"/>
        <v>0</v>
      </c>
      <c r="AB13" s="7">
        <f>VLOOKUP(A13,Jogos!A:L,4,0)</f>
        <v>53</v>
      </c>
      <c r="AC13" s="7">
        <f t="shared" si="8"/>
        <v>33</v>
      </c>
      <c r="AD13" s="7"/>
      <c r="AE13" s="7"/>
      <c r="AF13" s="7">
        <f t="shared" si="9"/>
        <v>33</v>
      </c>
      <c r="AG13" s="7">
        <v>3166.6</v>
      </c>
      <c r="AH13" s="7">
        <v>1508.1</v>
      </c>
      <c r="AI13" s="7">
        <v>1054.1</v>
      </c>
      <c r="AJ13" s="7">
        <v>411.0</v>
      </c>
      <c r="AK13" s="7">
        <v>142.9</v>
      </c>
      <c r="AL13" s="7">
        <v>50.6</v>
      </c>
      <c r="AM13" s="7">
        <v>41.0</v>
      </c>
      <c r="AN13" s="7">
        <v>15.0</v>
      </c>
      <c r="AO13" s="7">
        <v>31.5</v>
      </c>
      <c r="AP13" s="9">
        <f t="shared" ref="AP13:AR13" si="44">AG13/$AF13</f>
        <v>95.95757576</v>
      </c>
      <c r="AQ13" s="9">
        <f t="shared" si="44"/>
        <v>45.7</v>
      </c>
      <c r="AR13" s="9">
        <f t="shared" si="44"/>
        <v>31.94242424</v>
      </c>
      <c r="AS13" s="9">
        <f t="shared" si="11"/>
        <v>77.64242424</v>
      </c>
      <c r="AT13" s="9">
        <f t="shared" ref="AT13:AV13" si="45">AJ13/$AF13</f>
        <v>12.45454545</v>
      </c>
      <c r="AU13" s="9">
        <f t="shared" si="45"/>
        <v>4.33030303</v>
      </c>
      <c r="AV13" s="9">
        <f t="shared" si="45"/>
        <v>1.533333333</v>
      </c>
      <c r="AW13" s="9">
        <f t="shared" si="13"/>
        <v>5.863636364</v>
      </c>
      <c r="AX13" s="9">
        <f t="shared" ref="AX13:AY13" si="46">AM13/$AF13</f>
        <v>1.242424242</v>
      </c>
      <c r="AY13" s="9">
        <f t="shared" si="46"/>
        <v>0.4545454545</v>
      </c>
      <c r="AZ13" s="9">
        <f>VLOOKUP(A13,Jogos!A:BN,58,0)</f>
        <v>28.26</v>
      </c>
      <c r="BA13" s="9">
        <f>VLOOKUP(A13,Jogos!A:BN,59,0)</f>
        <v>22.895</v>
      </c>
      <c r="BB13" s="9">
        <f>VLOOKUP(A13,Jogos!A:BN,60,0)</f>
        <v>72</v>
      </c>
      <c r="BC13" s="9">
        <f>VLOOKUP(A13,Jogos!A:BN,61,0)</f>
        <v>27.605</v>
      </c>
      <c r="BD13" s="9">
        <f>VLOOKUP(A13,Jogos!A:BN,62,0)</f>
        <v>0.5</v>
      </c>
      <c r="BE13" s="9">
        <f>VLOOKUP(A13,Jogos!A:BN,63,0)</f>
        <v>2.07</v>
      </c>
      <c r="BF13" s="9">
        <f>VLOOKUP(A13,Jogos!A:BN,64,0)</f>
        <v>24.755</v>
      </c>
      <c r="BG13" s="9">
        <f>VLOOKUP(A13,Jogos!A:BN,65,0)</f>
        <v>42.805</v>
      </c>
      <c r="BH13" s="9">
        <f>VLOOKUP(A13,Jogos!A:BN,66,0)</f>
        <v>28.715</v>
      </c>
      <c r="BI13" s="9"/>
      <c r="BJ13" s="9"/>
    </row>
    <row r="14" hidden="1">
      <c r="A14" s="2">
        <v>1.0</v>
      </c>
      <c r="B14" s="2" t="s">
        <v>60</v>
      </c>
      <c r="C14" s="2" t="s">
        <v>61</v>
      </c>
      <c r="D14" s="3">
        <v>45822.0</v>
      </c>
      <c r="E14" s="4">
        <v>0.8333333333333334</v>
      </c>
      <c r="F14" s="5" t="str">
        <f>VLOOKUP(A14,Jogos!A:N,10,0)</f>
        <v>Evening</v>
      </c>
      <c r="G14" s="2" t="s">
        <v>62</v>
      </c>
      <c r="H14" s="6" t="str">
        <f>VLOOKUP(A14,Jogos!A:L,12,0)</f>
        <v>Open</v>
      </c>
      <c r="I14" s="6" t="str">
        <f>VLOOKUP(G14,'Estádios e Cidades'!A:B,2,0)</f>
        <v>Miami Gardens - Flórida</v>
      </c>
      <c r="J14" s="2" t="s">
        <v>63</v>
      </c>
      <c r="K14" s="2" t="str">
        <f>VLOOKUP(J14,Equipes!A:F,6,0)</f>
        <v>Tropical</v>
      </c>
      <c r="L14" s="2">
        <f>VLOOKUP(J14,Equipes!A:C,3,0)</f>
        <v>25</v>
      </c>
      <c r="M14" s="2" t="str">
        <f t="shared" si="4"/>
        <v>Group</v>
      </c>
      <c r="N14" s="2" t="s">
        <v>64</v>
      </c>
      <c r="O14" s="2">
        <f>VLOOKUP(N14,Equipes!A:C,3,0)</f>
        <v>16</v>
      </c>
      <c r="P14" s="2" t="str">
        <f t="shared" si="5"/>
        <v>Round of 16</v>
      </c>
      <c r="Q14" s="2">
        <f t="shared" si="6"/>
        <v>9</v>
      </c>
      <c r="R14" s="2" t="str">
        <f>VLOOKUP(J14,Equipes!A:B,2,0)</f>
        <v>AlAhly</v>
      </c>
      <c r="S14" s="6" t="s">
        <v>89</v>
      </c>
      <c r="T14" s="7">
        <v>19.0</v>
      </c>
      <c r="U14" s="7" t="s">
        <v>90</v>
      </c>
      <c r="V14" s="7" t="str">
        <f>VLOOKUP(U14,Jogadores!B:C,2,0)</f>
        <v>MF</v>
      </c>
      <c r="W14" s="8">
        <f>VLOOKUP(U14,Jogadores!B:D,3,0)</f>
        <v>29.16986301</v>
      </c>
      <c r="X14" s="7">
        <v>79.0</v>
      </c>
      <c r="Y14" s="7">
        <f t="shared" si="37"/>
        <v>98</v>
      </c>
      <c r="Z14" s="7">
        <f>VLOOKUP(A14,Jogos!A:L,3,0)</f>
        <v>48</v>
      </c>
      <c r="AA14" s="7">
        <f t="shared" si="7"/>
        <v>0</v>
      </c>
      <c r="AB14" s="7">
        <f>VLOOKUP(A14,Jogos!A:L,4,0)</f>
        <v>53</v>
      </c>
      <c r="AC14" s="7">
        <f t="shared" si="8"/>
        <v>19</v>
      </c>
      <c r="AD14" s="7"/>
      <c r="AE14" s="7"/>
      <c r="AF14" s="7">
        <f t="shared" si="9"/>
        <v>19</v>
      </c>
      <c r="AG14" s="7">
        <v>1947.2</v>
      </c>
      <c r="AH14" s="7">
        <v>680.6</v>
      </c>
      <c r="AI14" s="7">
        <v>819.5</v>
      </c>
      <c r="AJ14" s="7">
        <v>276.4</v>
      </c>
      <c r="AK14" s="7">
        <v>117.5</v>
      </c>
      <c r="AL14" s="7">
        <v>53.2</v>
      </c>
      <c r="AM14" s="7">
        <v>26.0</v>
      </c>
      <c r="AN14" s="7">
        <v>9.0</v>
      </c>
      <c r="AO14" s="7">
        <v>34.7</v>
      </c>
      <c r="AP14" s="9">
        <f t="shared" ref="AP14:AR14" si="47">AG14/$AF14</f>
        <v>102.4842105</v>
      </c>
      <c r="AQ14" s="9">
        <f t="shared" si="47"/>
        <v>35.82105263</v>
      </c>
      <c r="AR14" s="9">
        <f t="shared" si="47"/>
        <v>43.13157895</v>
      </c>
      <c r="AS14" s="9">
        <f t="shared" si="11"/>
        <v>78.95263158</v>
      </c>
      <c r="AT14" s="9">
        <f t="shared" ref="AT14:AV14" si="48">AJ14/$AF14</f>
        <v>14.54736842</v>
      </c>
      <c r="AU14" s="9">
        <f t="shared" si="48"/>
        <v>6.184210526</v>
      </c>
      <c r="AV14" s="9">
        <f t="shared" si="48"/>
        <v>2.8</v>
      </c>
      <c r="AW14" s="9">
        <f t="shared" si="13"/>
        <v>8.984210526</v>
      </c>
      <c r="AX14" s="9">
        <f t="shared" ref="AX14:AY14" si="49">AM14/$AF14</f>
        <v>1.368421053</v>
      </c>
      <c r="AY14" s="9">
        <f t="shared" si="49"/>
        <v>0.4736842105</v>
      </c>
      <c r="AZ14" s="9">
        <f>VLOOKUP(A14,Jogos!A:BN,58,0)</f>
        <v>28.26</v>
      </c>
      <c r="BA14" s="9">
        <f>VLOOKUP(A14,Jogos!A:BN,59,0)</f>
        <v>22.895</v>
      </c>
      <c r="BB14" s="9">
        <f>VLOOKUP(A14,Jogos!A:BN,60,0)</f>
        <v>72</v>
      </c>
      <c r="BC14" s="9">
        <f>VLOOKUP(A14,Jogos!A:BN,61,0)</f>
        <v>27.605</v>
      </c>
      <c r="BD14" s="9">
        <f>VLOOKUP(A14,Jogos!A:BN,62,0)</f>
        <v>0.5</v>
      </c>
      <c r="BE14" s="9">
        <f>VLOOKUP(A14,Jogos!A:BN,63,0)</f>
        <v>2.07</v>
      </c>
      <c r="BF14" s="9">
        <f>VLOOKUP(A14,Jogos!A:BN,64,0)</f>
        <v>24.755</v>
      </c>
      <c r="BG14" s="9">
        <f>VLOOKUP(A14,Jogos!A:BN,65,0)</f>
        <v>42.805</v>
      </c>
      <c r="BH14" s="9">
        <f>VLOOKUP(A14,Jogos!A:BN,66,0)</f>
        <v>28.715</v>
      </c>
      <c r="BI14" s="9"/>
      <c r="BJ14" s="9"/>
    </row>
    <row r="15" hidden="1">
      <c r="A15" s="2">
        <v>1.0</v>
      </c>
      <c r="B15" s="2" t="s">
        <v>60</v>
      </c>
      <c r="C15" s="2" t="s">
        <v>61</v>
      </c>
      <c r="D15" s="3">
        <v>45822.0</v>
      </c>
      <c r="E15" s="4">
        <v>0.8333333333333334</v>
      </c>
      <c r="F15" s="5" t="str">
        <f>VLOOKUP(A15,Jogos!A:N,10,0)</f>
        <v>Evening</v>
      </c>
      <c r="G15" s="2" t="s">
        <v>62</v>
      </c>
      <c r="H15" s="6" t="str">
        <f>VLOOKUP(A15,Jogos!A:L,12,0)</f>
        <v>Open</v>
      </c>
      <c r="I15" s="6" t="str">
        <f>VLOOKUP(G15,'Estádios e Cidades'!A:B,2,0)</f>
        <v>Miami Gardens - Flórida</v>
      </c>
      <c r="J15" s="2" t="s">
        <v>63</v>
      </c>
      <c r="K15" s="2" t="str">
        <f>VLOOKUP(J15,Equipes!A:F,6,0)</f>
        <v>Tropical</v>
      </c>
      <c r="L15" s="2">
        <f>VLOOKUP(J15,Equipes!A:C,3,0)</f>
        <v>25</v>
      </c>
      <c r="M15" s="2" t="str">
        <f t="shared" si="4"/>
        <v>Group</v>
      </c>
      <c r="N15" s="2" t="s">
        <v>64</v>
      </c>
      <c r="O15" s="2">
        <f>VLOOKUP(N15,Equipes!A:C,3,0)</f>
        <v>16</v>
      </c>
      <c r="P15" s="2" t="str">
        <f t="shared" si="5"/>
        <v>Round of 16</v>
      </c>
      <c r="Q15" s="2">
        <f t="shared" si="6"/>
        <v>9</v>
      </c>
      <c r="R15" s="2" t="str">
        <f>VLOOKUP(J15,Equipes!A:B,2,0)</f>
        <v>AlAhly</v>
      </c>
      <c r="S15" s="6" t="s">
        <v>91</v>
      </c>
      <c r="T15" s="7">
        <v>25.0</v>
      </c>
      <c r="U15" s="7" t="s">
        <v>92</v>
      </c>
      <c r="V15" s="7" t="str">
        <f>VLOOKUP(U15,Jogadores!B:C,2,0)</f>
        <v>MF</v>
      </c>
      <c r="W15" s="8">
        <f>VLOOKUP(U15,Jogadores!B:D,3,0)</f>
        <v>29.56712329</v>
      </c>
      <c r="X15" s="7">
        <v>14.0</v>
      </c>
      <c r="Y15" s="7">
        <v>79.0</v>
      </c>
      <c r="Z15" s="7">
        <f>VLOOKUP(A15,Jogos!A:L,3,0)</f>
        <v>48</v>
      </c>
      <c r="AA15" s="7">
        <f t="shared" si="7"/>
        <v>34</v>
      </c>
      <c r="AB15" s="7">
        <f>VLOOKUP(A15,Jogos!A:L,4,0)</f>
        <v>53</v>
      </c>
      <c r="AC15" s="7">
        <f t="shared" si="8"/>
        <v>34</v>
      </c>
      <c r="AD15" s="7"/>
      <c r="AE15" s="7"/>
      <c r="AF15" s="7">
        <f t="shared" si="9"/>
        <v>68</v>
      </c>
      <c r="AG15" s="7">
        <v>6962.4</v>
      </c>
      <c r="AH15" s="7">
        <v>2600.4</v>
      </c>
      <c r="AI15" s="7">
        <v>2987.4</v>
      </c>
      <c r="AJ15" s="7">
        <v>823.1</v>
      </c>
      <c r="AK15" s="7">
        <v>341.6</v>
      </c>
      <c r="AL15" s="7">
        <v>209.9</v>
      </c>
      <c r="AM15" s="7">
        <v>73.0</v>
      </c>
      <c r="AN15" s="7">
        <v>32.0</v>
      </c>
      <c r="AO15" s="7">
        <v>44.3</v>
      </c>
      <c r="AP15" s="9">
        <f t="shared" ref="AP15:AR15" si="50">AG15/$AF15</f>
        <v>102.3882353</v>
      </c>
      <c r="AQ15" s="9">
        <f t="shared" si="50"/>
        <v>38.24117647</v>
      </c>
      <c r="AR15" s="9">
        <f t="shared" si="50"/>
        <v>43.93235294</v>
      </c>
      <c r="AS15" s="9">
        <f t="shared" si="11"/>
        <v>82.17352941</v>
      </c>
      <c r="AT15" s="9">
        <f t="shared" ref="AT15:AV15" si="51">AJ15/$AF15</f>
        <v>12.10441176</v>
      </c>
      <c r="AU15" s="9">
        <f t="shared" si="51"/>
        <v>5.023529412</v>
      </c>
      <c r="AV15" s="9">
        <f t="shared" si="51"/>
        <v>3.086764706</v>
      </c>
      <c r="AW15" s="9">
        <f t="shared" si="13"/>
        <v>8.110294118</v>
      </c>
      <c r="AX15" s="9">
        <f t="shared" ref="AX15:AY15" si="52">AM15/$AF15</f>
        <v>1.073529412</v>
      </c>
      <c r="AY15" s="9">
        <f t="shared" si="52"/>
        <v>0.4705882353</v>
      </c>
      <c r="AZ15" s="9">
        <f>VLOOKUP(A15,Jogos!A:BN,58,0)</f>
        <v>28.26</v>
      </c>
      <c r="BA15" s="9">
        <f>VLOOKUP(A15,Jogos!A:BN,59,0)</f>
        <v>22.895</v>
      </c>
      <c r="BB15" s="9">
        <f>VLOOKUP(A15,Jogos!A:BN,60,0)</f>
        <v>72</v>
      </c>
      <c r="BC15" s="9">
        <f>VLOOKUP(A15,Jogos!A:BN,61,0)</f>
        <v>27.605</v>
      </c>
      <c r="BD15" s="9">
        <f>VLOOKUP(A15,Jogos!A:BN,62,0)</f>
        <v>0.5</v>
      </c>
      <c r="BE15" s="9">
        <f>VLOOKUP(A15,Jogos!A:BN,63,0)</f>
        <v>2.07</v>
      </c>
      <c r="BF15" s="9">
        <f>VLOOKUP(A15,Jogos!A:BN,64,0)</f>
        <v>24.755</v>
      </c>
      <c r="BG15" s="9">
        <f>VLOOKUP(A15,Jogos!A:BN,65,0)</f>
        <v>42.805</v>
      </c>
      <c r="BH15" s="9">
        <f>VLOOKUP(A15,Jogos!A:BN,66,0)</f>
        <v>28.715</v>
      </c>
      <c r="BI15" s="9"/>
      <c r="BJ15" s="9"/>
    </row>
    <row r="16" hidden="1">
      <c r="A16" s="2">
        <v>1.0</v>
      </c>
      <c r="B16" s="2" t="s">
        <v>60</v>
      </c>
      <c r="C16" s="2" t="s">
        <v>61</v>
      </c>
      <c r="D16" s="3">
        <v>45822.0</v>
      </c>
      <c r="E16" s="4">
        <v>0.8333333333333334</v>
      </c>
      <c r="F16" s="5" t="str">
        <f>VLOOKUP(A16,Jogos!A:N,10,0)</f>
        <v>Evening</v>
      </c>
      <c r="G16" s="2" t="s">
        <v>62</v>
      </c>
      <c r="H16" s="6" t="str">
        <f>VLOOKUP(A16,Jogos!A:L,12,0)</f>
        <v>Open</v>
      </c>
      <c r="I16" s="6" t="str">
        <f>VLOOKUP(G16,'Estádios e Cidades'!A:B,2,0)</f>
        <v>Miami Gardens - Flórida</v>
      </c>
      <c r="J16" s="2" t="s">
        <v>63</v>
      </c>
      <c r="K16" s="2" t="str">
        <f>VLOOKUP(J16,Equipes!A:F,6,0)</f>
        <v>Tropical</v>
      </c>
      <c r="L16" s="2">
        <f>VLOOKUP(J16,Equipes!A:C,3,0)</f>
        <v>25</v>
      </c>
      <c r="M16" s="2" t="str">
        <f t="shared" si="4"/>
        <v>Group</v>
      </c>
      <c r="N16" s="2" t="s">
        <v>64</v>
      </c>
      <c r="O16" s="2">
        <f>VLOOKUP(N16,Equipes!A:C,3,0)</f>
        <v>16</v>
      </c>
      <c r="P16" s="2" t="str">
        <f t="shared" si="5"/>
        <v>Round of 16</v>
      </c>
      <c r="Q16" s="2">
        <f t="shared" si="6"/>
        <v>9</v>
      </c>
      <c r="R16" s="2" t="str">
        <f>VLOOKUP(J16,Equipes!A:B,2,0)</f>
        <v>AlAhly</v>
      </c>
      <c r="S16" s="6" t="s">
        <v>93</v>
      </c>
      <c r="T16" s="7">
        <v>29.0</v>
      </c>
      <c r="U16" s="7" t="s">
        <v>94</v>
      </c>
      <c r="V16" s="7" t="str">
        <f>VLOOKUP(U16,Jogadores!B:C,2,0)</f>
        <v>MF</v>
      </c>
      <c r="W16" s="8">
        <f>VLOOKUP(U16,Jogadores!B:D,3,0)</f>
        <v>28.08767123</v>
      </c>
      <c r="X16" s="7">
        <v>65.0</v>
      </c>
      <c r="Y16" s="7">
        <f t="shared" ref="Y16:Y17" si="56">45+AB16</f>
        <v>98</v>
      </c>
      <c r="Z16" s="7">
        <f>VLOOKUP(A16,Jogos!A:L,3,0)</f>
        <v>48</v>
      </c>
      <c r="AA16" s="7">
        <f t="shared" si="7"/>
        <v>0</v>
      </c>
      <c r="AB16" s="7">
        <f>VLOOKUP(A16,Jogos!A:L,4,0)</f>
        <v>53</v>
      </c>
      <c r="AC16" s="7">
        <f t="shared" si="8"/>
        <v>33</v>
      </c>
      <c r="AD16" s="7"/>
      <c r="AE16" s="7"/>
      <c r="AF16" s="7">
        <f t="shared" si="9"/>
        <v>33</v>
      </c>
      <c r="AG16" s="7">
        <v>3344.0</v>
      </c>
      <c r="AH16" s="7">
        <v>1389.6</v>
      </c>
      <c r="AI16" s="7">
        <v>1019.8</v>
      </c>
      <c r="AJ16" s="7">
        <v>426.6</v>
      </c>
      <c r="AK16" s="7">
        <v>318.0</v>
      </c>
      <c r="AL16" s="7">
        <v>190.0</v>
      </c>
      <c r="AM16" s="7">
        <v>40.0</v>
      </c>
      <c r="AN16" s="7">
        <v>28.0</v>
      </c>
      <c r="AO16" s="7">
        <v>35.0</v>
      </c>
      <c r="AP16" s="9">
        <f t="shared" ref="AP16:AR16" si="53">AG16/$AF16</f>
        <v>101.3333333</v>
      </c>
      <c r="AQ16" s="9">
        <f t="shared" si="53"/>
        <v>42.10909091</v>
      </c>
      <c r="AR16" s="9">
        <f t="shared" si="53"/>
        <v>30.9030303</v>
      </c>
      <c r="AS16" s="9">
        <f t="shared" si="11"/>
        <v>73.01212121</v>
      </c>
      <c r="AT16" s="9">
        <f t="shared" ref="AT16:AV16" si="54">AJ16/$AF16</f>
        <v>12.92727273</v>
      </c>
      <c r="AU16" s="9">
        <f t="shared" si="54"/>
        <v>9.636363636</v>
      </c>
      <c r="AV16" s="9">
        <f t="shared" si="54"/>
        <v>5.757575758</v>
      </c>
      <c r="AW16" s="9">
        <f t="shared" si="13"/>
        <v>15.39393939</v>
      </c>
      <c r="AX16" s="9">
        <f t="shared" ref="AX16:AY16" si="55">AM16/$AF16</f>
        <v>1.212121212</v>
      </c>
      <c r="AY16" s="9">
        <f t="shared" si="55"/>
        <v>0.8484848485</v>
      </c>
      <c r="AZ16" s="9">
        <f>VLOOKUP(A16,Jogos!A:BN,58,0)</f>
        <v>28.26</v>
      </c>
      <c r="BA16" s="9">
        <f>VLOOKUP(A16,Jogos!A:BN,59,0)</f>
        <v>22.895</v>
      </c>
      <c r="BB16" s="9">
        <f>VLOOKUP(A16,Jogos!A:BN,60,0)</f>
        <v>72</v>
      </c>
      <c r="BC16" s="9">
        <f>VLOOKUP(A16,Jogos!A:BN,61,0)</f>
        <v>27.605</v>
      </c>
      <c r="BD16" s="9">
        <f>VLOOKUP(A16,Jogos!A:BN,62,0)</f>
        <v>0.5</v>
      </c>
      <c r="BE16" s="9">
        <f>VLOOKUP(A16,Jogos!A:BN,63,0)</f>
        <v>2.07</v>
      </c>
      <c r="BF16" s="9">
        <f>VLOOKUP(A16,Jogos!A:BN,64,0)</f>
        <v>24.755</v>
      </c>
      <c r="BG16" s="9">
        <f>VLOOKUP(A16,Jogos!A:BN,65,0)</f>
        <v>42.805</v>
      </c>
      <c r="BH16" s="9">
        <f>VLOOKUP(A16,Jogos!A:BN,66,0)</f>
        <v>28.715</v>
      </c>
      <c r="BI16" s="9"/>
      <c r="BJ16" s="9"/>
    </row>
    <row r="17" hidden="1">
      <c r="A17" s="10">
        <v>1.0</v>
      </c>
      <c r="B17" s="11" t="s">
        <v>60</v>
      </c>
      <c r="C17" s="2" t="s">
        <v>61</v>
      </c>
      <c r="D17" s="12">
        <v>45822.0</v>
      </c>
      <c r="E17" s="13">
        <v>0.8333333333333334</v>
      </c>
      <c r="F17" s="5" t="str">
        <f>VLOOKUP(A17,Jogos!A:N,10,0)</f>
        <v>Evening</v>
      </c>
      <c r="G17" s="11" t="s">
        <v>62</v>
      </c>
      <c r="H17" s="6" t="str">
        <f>VLOOKUP(A17,Jogos!A:L,12,0)</f>
        <v>Open</v>
      </c>
      <c r="I17" s="6" t="str">
        <f>VLOOKUP(G17,'Estádios e Cidades'!A:B,2,0)</f>
        <v>Miami Gardens - Flórida</v>
      </c>
      <c r="J17" s="11" t="s">
        <v>64</v>
      </c>
      <c r="K17" s="2" t="str">
        <f>VLOOKUP(J17,Equipes!A:F,6,0)</f>
        <v>Tropical</v>
      </c>
      <c r="L17" s="2">
        <f>VLOOKUP(J17,Equipes!A:C,3,0)</f>
        <v>16</v>
      </c>
      <c r="M17" s="2" t="str">
        <f t="shared" si="4"/>
        <v>Round of 16</v>
      </c>
      <c r="N17" s="11" t="s">
        <v>63</v>
      </c>
      <c r="O17" s="2">
        <f>VLOOKUP(N17,Equipes!A:C,3,0)</f>
        <v>25</v>
      </c>
      <c r="P17" s="2" t="str">
        <f t="shared" si="5"/>
        <v>Group</v>
      </c>
      <c r="Q17" s="2">
        <f t="shared" si="6"/>
        <v>-9</v>
      </c>
      <c r="R17" s="2" t="str">
        <f>VLOOKUP(J17,Equipes!A:B,2,0)</f>
        <v>InterMiami</v>
      </c>
      <c r="S17" s="14" t="s">
        <v>95</v>
      </c>
      <c r="T17" s="7">
        <v>5.0</v>
      </c>
      <c r="U17" s="7" t="s">
        <v>96</v>
      </c>
      <c r="V17" s="7" t="str">
        <f>VLOOKUP(U17,Jogadores!B:C,2,0)</f>
        <v>MF</v>
      </c>
      <c r="W17" s="8">
        <f>VLOOKUP(U17,Jogadores!B:D,3,0)</f>
        <v>37.05753425</v>
      </c>
      <c r="X17" s="7">
        <v>0.0</v>
      </c>
      <c r="Y17" s="7">
        <f t="shared" si="56"/>
        <v>98</v>
      </c>
      <c r="Z17" s="7">
        <f>VLOOKUP(A17,Jogos!A:L,3,0)</f>
        <v>48</v>
      </c>
      <c r="AA17" s="7">
        <f t="shared" si="7"/>
        <v>48</v>
      </c>
      <c r="AB17" s="7">
        <f>VLOOKUP(A17,Jogos!A:L,4,0)</f>
        <v>53</v>
      </c>
      <c r="AC17" s="7">
        <f t="shared" si="8"/>
        <v>53</v>
      </c>
      <c r="AD17" s="7"/>
      <c r="AE17" s="7"/>
      <c r="AF17" s="7">
        <f t="shared" si="9"/>
        <v>101</v>
      </c>
      <c r="AG17" s="7">
        <v>10337.7</v>
      </c>
      <c r="AH17" s="7">
        <v>4136.7</v>
      </c>
      <c r="AI17" s="7">
        <v>4584.2</v>
      </c>
      <c r="AJ17" s="7">
        <v>1180.1</v>
      </c>
      <c r="AK17" s="7">
        <v>323.0</v>
      </c>
      <c r="AL17" s="7">
        <v>113.8</v>
      </c>
      <c r="AM17" s="7">
        <v>118.0</v>
      </c>
      <c r="AN17" s="7">
        <v>26.0</v>
      </c>
      <c r="AO17" s="7">
        <v>35.5</v>
      </c>
      <c r="AP17" s="9">
        <f t="shared" ref="AP17:AR17" si="57">AG17/$AF17</f>
        <v>102.3534653</v>
      </c>
      <c r="AQ17" s="9">
        <f t="shared" si="57"/>
        <v>40.95742574</v>
      </c>
      <c r="AR17" s="9">
        <f t="shared" si="57"/>
        <v>45.38811881</v>
      </c>
      <c r="AS17" s="9">
        <f t="shared" si="11"/>
        <v>86.34554455</v>
      </c>
      <c r="AT17" s="9">
        <f t="shared" ref="AT17:AV17" si="58">AJ17/$AF17</f>
        <v>11.68415842</v>
      </c>
      <c r="AU17" s="9">
        <f t="shared" si="58"/>
        <v>3.198019802</v>
      </c>
      <c r="AV17" s="9">
        <f t="shared" si="58"/>
        <v>1.126732673</v>
      </c>
      <c r="AW17" s="9">
        <f t="shared" si="13"/>
        <v>4.324752475</v>
      </c>
      <c r="AX17" s="9">
        <f t="shared" ref="AX17:AY17" si="59">AM17/$AF17</f>
        <v>1.168316832</v>
      </c>
      <c r="AY17" s="9">
        <f t="shared" si="59"/>
        <v>0.2574257426</v>
      </c>
      <c r="AZ17" s="9">
        <f>VLOOKUP(A17,Jogos!A:BN,58,0)</f>
        <v>28.26</v>
      </c>
      <c r="BA17" s="9">
        <f>VLOOKUP(A17,Jogos!A:BN,59,0)</f>
        <v>22.895</v>
      </c>
      <c r="BB17" s="9">
        <f>VLOOKUP(A17,Jogos!A:BN,60,0)</f>
        <v>72</v>
      </c>
      <c r="BC17" s="9">
        <f>VLOOKUP(A17,Jogos!A:BN,61,0)</f>
        <v>27.605</v>
      </c>
      <c r="BD17" s="9">
        <f>VLOOKUP(A17,Jogos!A:BN,62,0)</f>
        <v>0.5</v>
      </c>
      <c r="BE17" s="9">
        <f>VLOOKUP(A17,Jogos!A:BN,63,0)</f>
        <v>2.07</v>
      </c>
      <c r="BF17" s="9">
        <f>VLOOKUP(A17,Jogos!A:BN,64,0)</f>
        <v>24.755</v>
      </c>
      <c r="BG17" s="9">
        <f>VLOOKUP(A17,Jogos!A:BN,65,0)</f>
        <v>42.805</v>
      </c>
      <c r="BH17" s="9">
        <f>VLOOKUP(A17,Jogos!A:BN,66,0)</f>
        <v>28.715</v>
      </c>
      <c r="BI17" s="9"/>
      <c r="BJ17" s="9"/>
    </row>
    <row r="18" hidden="1">
      <c r="A18" s="10">
        <v>1.0</v>
      </c>
      <c r="B18" s="11" t="s">
        <v>60</v>
      </c>
      <c r="C18" s="2" t="s">
        <v>61</v>
      </c>
      <c r="D18" s="12">
        <v>45822.0</v>
      </c>
      <c r="E18" s="13">
        <v>0.8333333333333334</v>
      </c>
      <c r="F18" s="5" t="str">
        <f>VLOOKUP(A18,Jogos!A:N,10,0)</f>
        <v>Evening</v>
      </c>
      <c r="G18" s="11" t="s">
        <v>62</v>
      </c>
      <c r="H18" s="6" t="str">
        <f>VLOOKUP(A18,Jogos!A:L,12,0)</f>
        <v>Open</v>
      </c>
      <c r="I18" s="6" t="str">
        <f>VLOOKUP(G18,'Estádios e Cidades'!A:B,2,0)</f>
        <v>Miami Gardens - Flórida</v>
      </c>
      <c r="J18" s="11" t="s">
        <v>64</v>
      </c>
      <c r="K18" s="2" t="str">
        <f>VLOOKUP(J18,Equipes!A:F,6,0)</f>
        <v>Tropical</v>
      </c>
      <c r="L18" s="2">
        <f>VLOOKUP(J18,Equipes!A:C,3,0)</f>
        <v>16</v>
      </c>
      <c r="M18" s="2" t="str">
        <f t="shared" si="4"/>
        <v>Round of 16</v>
      </c>
      <c r="N18" s="11" t="s">
        <v>63</v>
      </c>
      <c r="O18" s="2">
        <f>VLOOKUP(N18,Equipes!A:C,3,0)</f>
        <v>25</v>
      </c>
      <c r="P18" s="2" t="str">
        <f t="shared" si="5"/>
        <v>Group</v>
      </c>
      <c r="Q18" s="2">
        <f t="shared" si="6"/>
        <v>-9</v>
      </c>
      <c r="R18" s="2" t="str">
        <f>VLOOKUP(J18,Equipes!A:B,2,0)</f>
        <v>InterMiami</v>
      </c>
      <c r="S18" s="6" t="s">
        <v>97</v>
      </c>
      <c r="T18" s="7">
        <v>6.0</v>
      </c>
      <c r="U18" s="7" t="s">
        <v>98</v>
      </c>
      <c r="V18" s="7" t="str">
        <f>VLOOKUP(U18,Jogadores!B:C,2,0)</f>
        <v>DF</v>
      </c>
      <c r="W18" s="8">
        <f>VLOOKUP(U18,Jogadores!B:D,3,0)</f>
        <v>21.49589041</v>
      </c>
      <c r="X18" s="7">
        <v>0.0</v>
      </c>
      <c r="Y18" s="7">
        <v>45.0</v>
      </c>
      <c r="Z18" s="7">
        <f>VLOOKUP(A18,Jogos!A:L,3,0)</f>
        <v>48</v>
      </c>
      <c r="AA18" s="7">
        <f t="shared" si="7"/>
        <v>48</v>
      </c>
      <c r="AB18" s="7">
        <f>VLOOKUP(A18,Jogos!A:L,4,0)</f>
        <v>53</v>
      </c>
      <c r="AC18" s="7">
        <f t="shared" si="8"/>
        <v>0</v>
      </c>
      <c r="AD18" s="7"/>
      <c r="AE18" s="7"/>
      <c r="AF18" s="7">
        <f t="shared" si="9"/>
        <v>48</v>
      </c>
      <c r="AG18" s="7">
        <v>4755.7</v>
      </c>
      <c r="AH18" s="7">
        <v>2093.4</v>
      </c>
      <c r="AI18" s="7">
        <v>1818.4</v>
      </c>
      <c r="AJ18" s="7">
        <v>443.1</v>
      </c>
      <c r="AK18" s="7">
        <v>210.6</v>
      </c>
      <c r="AL18" s="7">
        <v>190.2</v>
      </c>
      <c r="AM18" s="7">
        <v>38.0</v>
      </c>
      <c r="AN18" s="7">
        <v>20.0</v>
      </c>
      <c r="AO18" s="7">
        <v>35.3</v>
      </c>
      <c r="AP18" s="9">
        <f t="shared" ref="AP18:AR18" si="60">AG18/$AF18</f>
        <v>99.07708333</v>
      </c>
      <c r="AQ18" s="9">
        <f t="shared" si="60"/>
        <v>43.6125</v>
      </c>
      <c r="AR18" s="9">
        <f t="shared" si="60"/>
        <v>37.88333333</v>
      </c>
      <c r="AS18" s="9">
        <f t="shared" si="11"/>
        <v>81.49583333</v>
      </c>
      <c r="AT18" s="9">
        <f t="shared" ref="AT18:AV18" si="61">AJ18/$AF18</f>
        <v>9.23125</v>
      </c>
      <c r="AU18" s="9">
        <f t="shared" si="61"/>
        <v>4.3875</v>
      </c>
      <c r="AV18" s="9">
        <f t="shared" si="61"/>
        <v>3.9625</v>
      </c>
      <c r="AW18" s="9">
        <f t="shared" si="13"/>
        <v>8.35</v>
      </c>
      <c r="AX18" s="9">
        <f t="shared" ref="AX18:AY18" si="62">AM18/$AF18</f>
        <v>0.7916666667</v>
      </c>
      <c r="AY18" s="9">
        <f t="shared" si="62"/>
        <v>0.4166666667</v>
      </c>
      <c r="AZ18" s="9">
        <f>VLOOKUP(A18,Jogos!A:BN,58,0)</f>
        <v>28.26</v>
      </c>
      <c r="BA18" s="9">
        <f>VLOOKUP(A18,Jogos!A:BN,59,0)</f>
        <v>22.895</v>
      </c>
      <c r="BB18" s="9">
        <f>VLOOKUP(A18,Jogos!A:BN,60,0)</f>
        <v>72</v>
      </c>
      <c r="BC18" s="9">
        <f>VLOOKUP(A18,Jogos!A:BN,61,0)</f>
        <v>27.605</v>
      </c>
      <c r="BD18" s="9">
        <f>VLOOKUP(A18,Jogos!A:BN,62,0)</f>
        <v>0.5</v>
      </c>
      <c r="BE18" s="9">
        <f>VLOOKUP(A18,Jogos!A:BN,63,0)</f>
        <v>2.07</v>
      </c>
      <c r="BF18" s="9">
        <f>VLOOKUP(A18,Jogos!A:BN,64,0)</f>
        <v>24.755</v>
      </c>
      <c r="BG18" s="9">
        <f>VLOOKUP(A18,Jogos!A:BN,65,0)</f>
        <v>42.805</v>
      </c>
      <c r="BH18" s="9">
        <f>VLOOKUP(A18,Jogos!A:BN,66,0)</f>
        <v>28.715</v>
      </c>
      <c r="BI18" s="9"/>
      <c r="BJ18" s="9"/>
    </row>
    <row r="19" hidden="1">
      <c r="A19" s="10">
        <v>1.0</v>
      </c>
      <c r="B19" s="11" t="s">
        <v>60</v>
      </c>
      <c r="C19" s="2" t="s">
        <v>61</v>
      </c>
      <c r="D19" s="12">
        <v>45822.0</v>
      </c>
      <c r="E19" s="13">
        <v>0.8333333333333334</v>
      </c>
      <c r="F19" s="5" t="str">
        <f>VLOOKUP(A19,Jogos!A:N,10,0)</f>
        <v>Evening</v>
      </c>
      <c r="G19" s="11" t="s">
        <v>62</v>
      </c>
      <c r="H19" s="6" t="str">
        <f>VLOOKUP(A19,Jogos!A:L,12,0)</f>
        <v>Open</v>
      </c>
      <c r="I19" s="6" t="str">
        <f>VLOOKUP(G19,'Estádios e Cidades'!A:B,2,0)</f>
        <v>Miami Gardens - Flórida</v>
      </c>
      <c r="J19" s="11" t="s">
        <v>64</v>
      </c>
      <c r="K19" s="2" t="str">
        <f>VLOOKUP(J19,Equipes!A:F,6,0)</f>
        <v>Tropical</v>
      </c>
      <c r="L19" s="2">
        <f>VLOOKUP(J19,Equipes!A:C,3,0)</f>
        <v>16</v>
      </c>
      <c r="M19" s="2" t="str">
        <f t="shared" si="4"/>
        <v>Round of 16</v>
      </c>
      <c r="N19" s="11" t="s">
        <v>63</v>
      </c>
      <c r="O19" s="2">
        <f>VLOOKUP(N19,Equipes!A:C,3,0)</f>
        <v>25</v>
      </c>
      <c r="P19" s="2" t="str">
        <f t="shared" si="5"/>
        <v>Group</v>
      </c>
      <c r="Q19" s="2">
        <f t="shared" si="6"/>
        <v>-9</v>
      </c>
      <c r="R19" s="2" t="str">
        <f>VLOOKUP(J19,Equipes!A:B,2,0)</f>
        <v>InterMiami</v>
      </c>
      <c r="S19" s="6" t="s">
        <v>99</v>
      </c>
      <c r="T19" s="7">
        <v>8.0</v>
      </c>
      <c r="U19" s="7" t="s">
        <v>100</v>
      </c>
      <c r="V19" s="7" t="str">
        <f>VLOOKUP(U19,Jogadores!B:C,2,0)</f>
        <v>MF</v>
      </c>
      <c r="W19" s="8">
        <f>VLOOKUP(U19,Jogadores!B:D,3,0)</f>
        <v>22.3369863</v>
      </c>
      <c r="X19" s="7">
        <v>0.0</v>
      </c>
      <c r="Y19" s="7">
        <v>73.0</v>
      </c>
      <c r="Z19" s="7">
        <f>VLOOKUP(A19,Jogos!A:L,3,0)</f>
        <v>48</v>
      </c>
      <c r="AA19" s="7">
        <f t="shared" si="7"/>
        <v>48</v>
      </c>
      <c r="AB19" s="7">
        <f>VLOOKUP(A19,Jogos!A:L,4,0)</f>
        <v>53</v>
      </c>
      <c r="AC19" s="7">
        <f t="shared" si="8"/>
        <v>28</v>
      </c>
      <c r="AD19" s="7"/>
      <c r="AE19" s="7"/>
      <c r="AF19" s="7">
        <f t="shared" si="9"/>
        <v>76</v>
      </c>
      <c r="AG19" s="7">
        <v>8479.5</v>
      </c>
      <c r="AH19" s="7">
        <v>3200.6</v>
      </c>
      <c r="AI19" s="7">
        <v>3218.6</v>
      </c>
      <c r="AJ19" s="7">
        <v>1352.1</v>
      </c>
      <c r="AK19" s="7">
        <v>559.0</v>
      </c>
      <c r="AL19" s="7">
        <v>149.2</v>
      </c>
      <c r="AM19" s="7">
        <v>120.0</v>
      </c>
      <c r="AN19" s="7">
        <v>45.0</v>
      </c>
      <c r="AO19" s="7">
        <v>38.9</v>
      </c>
      <c r="AP19" s="9">
        <f t="shared" ref="AP19:AR19" si="63">AG19/$AF19</f>
        <v>111.5723684</v>
      </c>
      <c r="AQ19" s="9">
        <f t="shared" si="63"/>
        <v>42.11315789</v>
      </c>
      <c r="AR19" s="9">
        <f t="shared" si="63"/>
        <v>42.35</v>
      </c>
      <c r="AS19" s="9">
        <f t="shared" si="11"/>
        <v>84.46315789</v>
      </c>
      <c r="AT19" s="9">
        <f t="shared" ref="AT19:AV19" si="64">AJ19/$AF19</f>
        <v>17.79078947</v>
      </c>
      <c r="AU19" s="9">
        <f t="shared" si="64"/>
        <v>7.355263158</v>
      </c>
      <c r="AV19" s="9">
        <f t="shared" si="64"/>
        <v>1.963157895</v>
      </c>
      <c r="AW19" s="9">
        <f t="shared" si="13"/>
        <v>9.318421053</v>
      </c>
      <c r="AX19" s="9">
        <f t="shared" ref="AX19:AY19" si="65">AM19/$AF19</f>
        <v>1.578947368</v>
      </c>
      <c r="AY19" s="9">
        <f t="shared" si="65"/>
        <v>0.5921052632</v>
      </c>
      <c r="AZ19" s="9">
        <f>VLOOKUP(A19,Jogos!A:BN,58,0)</f>
        <v>28.26</v>
      </c>
      <c r="BA19" s="9">
        <f>VLOOKUP(A19,Jogos!A:BN,59,0)</f>
        <v>22.895</v>
      </c>
      <c r="BB19" s="9">
        <f>VLOOKUP(A19,Jogos!A:BN,60,0)</f>
        <v>72</v>
      </c>
      <c r="BC19" s="9">
        <f>VLOOKUP(A19,Jogos!A:BN,61,0)</f>
        <v>27.605</v>
      </c>
      <c r="BD19" s="9">
        <f>VLOOKUP(A19,Jogos!A:BN,62,0)</f>
        <v>0.5</v>
      </c>
      <c r="BE19" s="9">
        <f>VLOOKUP(A19,Jogos!A:BN,63,0)</f>
        <v>2.07</v>
      </c>
      <c r="BF19" s="9">
        <f>VLOOKUP(A19,Jogos!A:BN,64,0)</f>
        <v>24.755</v>
      </c>
      <c r="BG19" s="9">
        <f>VLOOKUP(A19,Jogos!A:BN,65,0)</f>
        <v>42.805</v>
      </c>
      <c r="BH19" s="9">
        <f>VLOOKUP(A19,Jogos!A:BN,66,0)</f>
        <v>28.715</v>
      </c>
      <c r="BI19" s="9"/>
      <c r="BJ19" s="9"/>
    </row>
    <row r="20" hidden="1">
      <c r="A20" s="10">
        <v>1.0</v>
      </c>
      <c r="B20" s="11" t="s">
        <v>60</v>
      </c>
      <c r="C20" s="2" t="s">
        <v>61</v>
      </c>
      <c r="D20" s="12">
        <v>45822.0</v>
      </c>
      <c r="E20" s="13">
        <v>0.8333333333333334</v>
      </c>
      <c r="F20" s="5" t="str">
        <f>VLOOKUP(A20,Jogos!A:N,10,0)</f>
        <v>Evening</v>
      </c>
      <c r="G20" s="11" t="s">
        <v>62</v>
      </c>
      <c r="H20" s="6" t="str">
        <f>VLOOKUP(A20,Jogos!A:L,12,0)</f>
        <v>Open</v>
      </c>
      <c r="I20" s="6" t="str">
        <f>VLOOKUP(G20,'Estádios e Cidades'!A:B,2,0)</f>
        <v>Miami Gardens - Flórida</v>
      </c>
      <c r="J20" s="11" t="s">
        <v>64</v>
      </c>
      <c r="K20" s="2" t="str">
        <f>VLOOKUP(J20,Equipes!A:F,6,0)</f>
        <v>Tropical</v>
      </c>
      <c r="L20" s="2">
        <f>VLOOKUP(J20,Equipes!A:C,3,0)</f>
        <v>16</v>
      </c>
      <c r="M20" s="2" t="str">
        <f t="shared" si="4"/>
        <v>Round of 16</v>
      </c>
      <c r="N20" s="11" t="s">
        <v>63</v>
      </c>
      <c r="O20" s="2">
        <f>VLOOKUP(N20,Equipes!A:C,3,0)</f>
        <v>25</v>
      </c>
      <c r="P20" s="2" t="str">
        <f t="shared" si="5"/>
        <v>Group</v>
      </c>
      <c r="Q20" s="2">
        <f t="shared" si="6"/>
        <v>-9</v>
      </c>
      <c r="R20" s="2" t="str">
        <f>VLOOKUP(J20,Equipes!A:B,2,0)</f>
        <v>InterMiami</v>
      </c>
      <c r="S20" s="6" t="s">
        <v>101</v>
      </c>
      <c r="T20" s="7">
        <v>9.0</v>
      </c>
      <c r="U20" s="7" t="s">
        <v>102</v>
      </c>
      <c r="V20" s="7" t="str">
        <f>VLOOKUP(U20,Jogadores!B:C,2,0)</f>
        <v>FW</v>
      </c>
      <c r="W20" s="8">
        <f>VLOOKUP(U20,Jogadores!B:D,3,0)</f>
        <v>38.53424658</v>
      </c>
      <c r="X20" s="7">
        <v>0.0</v>
      </c>
      <c r="Y20" s="7">
        <f t="shared" ref="Y20:Y22" si="69">45+AB20</f>
        <v>98</v>
      </c>
      <c r="Z20" s="7">
        <f>VLOOKUP(A20,Jogos!A:L,3,0)</f>
        <v>48</v>
      </c>
      <c r="AA20" s="7">
        <f t="shared" si="7"/>
        <v>48</v>
      </c>
      <c r="AB20" s="7">
        <f>VLOOKUP(A20,Jogos!A:L,4,0)</f>
        <v>53</v>
      </c>
      <c r="AC20" s="7">
        <f t="shared" si="8"/>
        <v>53</v>
      </c>
      <c r="AD20" s="7"/>
      <c r="AE20" s="7"/>
      <c r="AF20" s="7">
        <f t="shared" si="9"/>
        <v>101</v>
      </c>
      <c r="AG20" s="7">
        <v>9859.9</v>
      </c>
      <c r="AH20" s="7">
        <v>3876.1</v>
      </c>
      <c r="AI20" s="7">
        <v>4058.4</v>
      </c>
      <c r="AJ20" s="7">
        <v>1326.0</v>
      </c>
      <c r="AK20" s="7">
        <v>470.0</v>
      </c>
      <c r="AL20" s="7">
        <v>129.5</v>
      </c>
      <c r="AM20" s="7">
        <v>113.0</v>
      </c>
      <c r="AN20" s="7">
        <v>40.0</v>
      </c>
      <c r="AO20" s="7">
        <v>30.4</v>
      </c>
      <c r="AP20" s="9">
        <f t="shared" ref="AP20:AR20" si="66">AG20/$AF20</f>
        <v>97.62277228</v>
      </c>
      <c r="AQ20" s="9">
        <f t="shared" si="66"/>
        <v>38.37722772</v>
      </c>
      <c r="AR20" s="9">
        <f t="shared" si="66"/>
        <v>40.18217822</v>
      </c>
      <c r="AS20" s="9">
        <f t="shared" si="11"/>
        <v>78.55940594</v>
      </c>
      <c r="AT20" s="9">
        <f t="shared" ref="AT20:AV20" si="67">AJ20/$AF20</f>
        <v>13.12871287</v>
      </c>
      <c r="AU20" s="9">
        <f t="shared" si="67"/>
        <v>4.653465347</v>
      </c>
      <c r="AV20" s="9">
        <f t="shared" si="67"/>
        <v>1.282178218</v>
      </c>
      <c r="AW20" s="9">
        <f t="shared" si="13"/>
        <v>5.935643564</v>
      </c>
      <c r="AX20" s="9">
        <f t="shared" ref="AX20:AY20" si="68">AM20/$AF20</f>
        <v>1.118811881</v>
      </c>
      <c r="AY20" s="9">
        <f t="shared" si="68"/>
        <v>0.396039604</v>
      </c>
      <c r="AZ20" s="9">
        <f>VLOOKUP(A20,Jogos!A:BN,58,0)</f>
        <v>28.26</v>
      </c>
      <c r="BA20" s="9">
        <f>VLOOKUP(A20,Jogos!A:BN,59,0)</f>
        <v>22.895</v>
      </c>
      <c r="BB20" s="9">
        <f>VLOOKUP(A20,Jogos!A:BN,60,0)</f>
        <v>72</v>
      </c>
      <c r="BC20" s="9">
        <f>VLOOKUP(A20,Jogos!A:BN,61,0)</f>
        <v>27.605</v>
      </c>
      <c r="BD20" s="9">
        <f>VLOOKUP(A20,Jogos!A:BN,62,0)</f>
        <v>0.5</v>
      </c>
      <c r="BE20" s="9">
        <f>VLOOKUP(A20,Jogos!A:BN,63,0)</f>
        <v>2.07</v>
      </c>
      <c r="BF20" s="9">
        <f>VLOOKUP(A20,Jogos!A:BN,64,0)</f>
        <v>24.755</v>
      </c>
      <c r="BG20" s="9">
        <f>VLOOKUP(A20,Jogos!A:BN,65,0)</f>
        <v>42.805</v>
      </c>
      <c r="BH20" s="9">
        <f>VLOOKUP(A20,Jogos!A:BN,66,0)</f>
        <v>28.715</v>
      </c>
      <c r="BI20" s="9"/>
      <c r="BJ20" s="9"/>
    </row>
    <row r="21" hidden="1">
      <c r="A21" s="10">
        <v>1.0</v>
      </c>
      <c r="B21" s="11" t="s">
        <v>60</v>
      </c>
      <c r="C21" s="2" t="s">
        <v>61</v>
      </c>
      <c r="D21" s="12">
        <v>45822.0</v>
      </c>
      <c r="E21" s="13">
        <v>0.8333333333333334</v>
      </c>
      <c r="F21" s="5" t="str">
        <f>VLOOKUP(A21,Jogos!A:N,10,0)</f>
        <v>Evening</v>
      </c>
      <c r="G21" s="11" t="s">
        <v>62</v>
      </c>
      <c r="H21" s="6" t="str">
        <f>VLOOKUP(A21,Jogos!A:L,12,0)</f>
        <v>Open</v>
      </c>
      <c r="I21" s="6" t="str">
        <f>VLOOKUP(G21,'Estádios e Cidades'!A:B,2,0)</f>
        <v>Miami Gardens - Flórida</v>
      </c>
      <c r="J21" s="11" t="s">
        <v>64</v>
      </c>
      <c r="K21" s="2" t="str">
        <f>VLOOKUP(J21,Equipes!A:F,6,0)</f>
        <v>Tropical</v>
      </c>
      <c r="L21" s="2">
        <f>VLOOKUP(J21,Equipes!A:C,3,0)</f>
        <v>16</v>
      </c>
      <c r="M21" s="2" t="str">
        <f t="shared" si="4"/>
        <v>Round of 16</v>
      </c>
      <c r="N21" s="11" t="s">
        <v>63</v>
      </c>
      <c r="O21" s="2">
        <f>VLOOKUP(N21,Equipes!A:C,3,0)</f>
        <v>25</v>
      </c>
      <c r="P21" s="2" t="str">
        <f t="shared" si="5"/>
        <v>Group</v>
      </c>
      <c r="Q21" s="2">
        <f t="shared" si="6"/>
        <v>-9</v>
      </c>
      <c r="R21" s="2" t="str">
        <f>VLOOKUP(J21,Equipes!A:B,2,0)</f>
        <v>InterMiami</v>
      </c>
      <c r="S21" s="6" t="s">
        <v>103</v>
      </c>
      <c r="T21" s="7">
        <v>10.0</v>
      </c>
      <c r="U21" s="7" t="s">
        <v>104</v>
      </c>
      <c r="V21" s="7" t="str">
        <f>VLOOKUP(U21,Jogadores!B:C,2,0)</f>
        <v>FW</v>
      </c>
      <c r="W21" s="8">
        <f>VLOOKUP(U21,Jogadores!B:D,3,0)</f>
        <v>38.12054795</v>
      </c>
      <c r="X21" s="7">
        <v>0.0</v>
      </c>
      <c r="Y21" s="7">
        <f t="shared" si="69"/>
        <v>98</v>
      </c>
      <c r="Z21" s="7">
        <f>VLOOKUP(A21,Jogos!A:L,3,0)</f>
        <v>48</v>
      </c>
      <c r="AA21" s="7">
        <f t="shared" si="7"/>
        <v>48</v>
      </c>
      <c r="AB21" s="7">
        <f>VLOOKUP(A21,Jogos!A:L,4,0)</f>
        <v>53</v>
      </c>
      <c r="AC21" s="7">
        <f t="shared" si="8"/>
        <v>53</v>
      </c>
      <c r="AD21" s="7"/>
      <c r="AE21" s="7"/>
      <c r="AF21" s="7">
        <f t="shared" si="9"/>
        <v>101</v>
      </c>
      <c r="AG21" s="7">
        <v>7429.2</v>
      </c>
      <c r="AH21" s="7">
        <v>4891.8</v>
      </c>
      <c r="AI21" s="7">
        <v>1430.8</v>
      </c>
      <c r="AJ21" s="7">
        <v>727.4</v>
      </c>
      <c r="AK21" s="7">
        <v>280.5</v>
      </c>
      <c r="AL21" s="7">
        <v>98.7</v>
      </c>
      <c r="AM21" s="7">
        <v>66.0</v>
      </c>
      <c r="AN21" s="7">
        <v>27.0</v>
      </c>
      <c r="AO21" s="7">
        <v>35.4</v>
      </c>
      <c r="AP21" s="9">
        <f t="shared" ref="AP21:AR21" si="70">AG21/$AF21</f>
        <v>73.55643564</v>
      </c>
      <c r="AQ21" s="9">
        <f t="shared" si="70"/>
        <v>48.43366337</v>
      </c>
      <c r="AR21" s="9">
        <f t="shared" si="70"/>
        <v>14.16633663</v>
      </c>
      <c r="AS21" s="9">
        <f t="shared" si="11"/>
        <v>62.6</v>
      </c>
      <c r="AT21" s="9">
        <f t="shared" ref="AT21:AV21" si="71">AJ21/$AF21</f>
        <v>7.201980198</v>
      </c>
      <c r="AU21" s="9">
        <f t="shared" si="71"/>
        <v>2.777227723</v>
      </c>
      <c r="AV21" s="9">
        <f t="shared" si="71"/>
        <v>0.9772277228</v>
      </c>
      <c r="AW21" s="9">
        <f t="shared" si="13"/>
        <v>3.754455446</v>
      </c>
      <c r="AX21" s="9">
        <f t="shared" ref="AX21:AY21" si="72">AM21/$AF21</f>
        <v>0.6534653465</v>
      </c>
      <c r="AY21" s="9">
        <f t="shared" si="72"/>
        <v>0.2673267327</v>
      </c>
      <c r="AZ21" s="9">
        <f>VLOOKUP(A21,Jogos!A:BN,58,0)</f>
        <v>28.26</v>
      </c>
      <c r="BA21" s="9">
        <f>VLOOKUP(A21,Jogos!A:BN,59,0)</f>
        <v>22.895</v>
      </c>
      <c r="BB21" s="9">
        <f>VLOOKUP(A21,Jogos!A:BN,60,0)</f>
        <v>72</v>
      </c>
      <c r="BC21" s="9">
        <f>VLOOKUP(A21,Jogos!A:BN,61,0)</f>
        <v>27.605</v>
      </c>
      <c r="BD21" s="9">
        <f>VLOOKUP(A21,Jogos!A:BN,62,0)</f>
        <v>0.5</v>
      </c>
      <c r="BE21" s="9">
        <f>VLOOKUP(A21,Jogos!A:BN,63,0)</f>
        <v>2.07</v>
      </c>
      <c r="BF21" s="9">
        <f>VLOOKUP(A21,Jogos!A:BN,64,0)</f>
        <v>24.755</v>
      </c>
      <c r="BG21" s="9">
        <f>VLOOKUP(A21,Jogos!A:BN,65,0)</f>
        <v>42.805</v>
      </c>
      <c r="BH21" s="9">
        <f>VLOOKUP(A21,Jogos!A:BN,66,0)</f>
        <v>28.715</v>
      </c>
      <c r="BI21" s="9"/>
      <c r="BJ21" s="9"/>
    </row>
    <row r="22" hidden="1">
      <c r="A22" s="10">
        <v>1.0</v>
      </c>
      <c r="B22" s="11" t="s">
        <v>60</v>
      </c>
      <c r="C22" s="2" t="s">
        <v>61</v>
      </c>
      <c r="D22" s="12">
        <v>45822.0</v>
      </c>
      <c r="E22" s="13">
        <v>0.8333333333333334</v>
      </c>
      <c r="F22" s="5" t="str">
        <f>VLOOKUP(A22,Jogos!A:N,10,0)</f>
        <v>Evening</v>
      </c>
      <c r="G22" s="11" t="s">
        <v>62</v>
      </c>
      <c r="H22" s="6" t="str">
        <f>VLOOKUP(A22,Jogos!A:L,12,0)</f>
        <v>Open</v>
      </c>
      <c r="I22" s="6" t="str">
        <f>VLOOKUP(G22,'Estádios e Cidades'!A:B,2,0)</f>
        <v>Miami Gardens - Flórida</v>
      </c>
      <c r="J22" s="11" t="s">
        <v>64</v>
      </c>
      <c r="K22" s="2" t="str">
        <f>VLOOKUP(J22,Equipes!A:F,6,0)</f>
        <v>Tropical</v>
      </c>
      <c r="L22" s="2">
        <f>VLOOKUP(J22,Equipes!A:C,3,0)</f>
        <v>16</v>
      </c>
      <c r="M22" s="2" t="str">
        <f t="shared" si="4"/>
        <v>Round of 16</v>
      </c>
      <c r="N22" s="11" t="s">
        <v>63</v>
      </c>
      <c r="O22" s="2">
        <f>VLOOKUP(N22,Equipes!A:C,3,0)</f>
        <v>25</v>
      </c>
      <c r="P22" s="2" t="str">
        <f t="shared" si="5"/>
        <v>Group</v>
      </c>
      <c r="Q22" s="2">
        <f t="shared" si="6"/>
        <v>-9</v>
      </c>
      <c r="R22" s="2" t="str">
        <f>VLOOKUP(J22,Equipes!A:B,2,0)</f>
        <v>InterMiami</v>
      </c>
      <c r="S22" s="6" t="s">
        <v>105</v>
      </c>
      <c r="T22" s="7">
        <v>17.0</v>
      </c>
      <c r="U22" s="7" t="s">
        <v>106</v>
      </c>
      <c r="V22" s="7" t="str">
        <f>VLOOKUP(U22,Jogadores!B:C,2,0)</f>
        <v>DF</v>
      </c>
      <c r="W22" s="8">
        <f>VLOOKUP(U22,Jogadores!B:D,3,0)</f>
        <v>22.92328767</v>
      </c>
      <c r="X22" s="7">
        <v>0.0</v>
      </c>
      <c r="Y22" s="7">
        <f t="shared" si="69"/>
        <v>98</v>
      </c>
      <c r="Z22" s="7">
        <f>VLOOKUP(A22,Jogos!A:L,3,0)</f>
        <v>48</v>
      </c>
      <c r="AA22" s="7">
        <f t="shared" si="7"/>
        <v>48</v>
      </c>
      <c r="AB22" s="7">
        <f>VLOOKUP(A22,Jogos!A:L,4,0)</f>
        <v>53</v>
      </c>
      <c r="AC22" s="7">
        <f t="shared" si="8"/>
        <v>53</v>
      </c>
      <c r="AD22" s="7"/>
      <c r="AE22" s="7"/>
      <c r="AF22" s="7">
        <f t="shared" si="9"/>
        <v>101</v>
      </c>
      <c r="AG22" s="7">
        <v>10352.0</v>
      </c>
      <c r="AH22" s="7">
        <v>4083.5</v>
      </c>
      <c r="AI22" s="7">
        <v>4359.6</v>
      </c>
      <c r="AJ22" s="7">
        <v>1123.4</v>
      </c>
      <c r="AK22" s="7">
        <v>439.5</v>
      </c>
      <c r="AL22" s="7">
        <v>346.0</v>
      </c>
      <c r="AM22" s="7">
        <v>86.0</v>
      </c>
      <c r="AN22" s="7">
        <v>44.0</v>
      </c>
      <c r="AO22" s="7">
        <v>35.5</v>
      </c>
      <c r="AP22" s="9">
        <f t="shared" ref="AP22:AR22" si="73">AG22/$AF22</f>
        <v>102.4950495</v>
      </c>
      <c r="AQ22" s="9">
        <f t="shared" si="73"/>
        <v>40.43069307</v>
      </c>
      <c r="AR22" s="9">
        <f t="shared" si="73"/>
        <v>43.16435644</v>
      </c>
      <c r="AS22" s="9">
        <f t="shared" si="11"/>
        <v>83.5950495</v>
      </c>
      <c r="AT22" s="9">
        <f t="shared" ref="AT22:AV22" si="74">AJ22/$AF22</f>
        <v>11.12277228</v>
      </c>
      <c r="AU22" s="9">
        <f t="shared" si="74"/>
        <v>4.351485149</v>
      </c>
      <c r="AV22" s="9">
        <f t="shared" si="74"/>
        <v>3.425742574</v>
      </c>
      <c r="AW22" s="9">
        <f t="shared" si="13"/>
        <v>7.777227723</v>
      </c>
      <c r="AX22" s="9">
        <f t="shared" ref="AX22:AY22" si="75">AM22/$AF22</f>
        <v>0.8514851485</v>
      </c>
      <c r="AY22" s="9">
        <f t="shared" si="75"/>
        <v>0.4356435644</v>
      </c>
      <c r="AZ22" s="9">
        <f>VLOOKUP(A22,Jogos!A:BN,58,0)</f>
        <v>28.26</v>
      </c>
      <c r="BA22" s="9">
        <f>VLOOKUP(A22,Jogos!A:BN,59,0)</f>
        <v>22.895</v>
      </c>
      <c r="BB22" s="9">
        <f>VLOOKUP(A22,Jogos!A:BN,60,0)</f>
        <v>72</v>
      </c>
      <c r="BC22" s="9">
        <f>VLOOKUP(A22,Jogos!A:BN,61,0)</f>
        <v>27.605</v>
      </c>
      <c r="BD22" s="9">
        <f>VLOOKUP(A22,Jogos!A:BN,62,0)</f>
        <v>0.5</v>
      </c>
      <c r="BE22" s="9">
        <f>VLOOKUP(A22,Jogos!A:BN,63,0)</f>
        <v>2.07</v>
      </c>
      <c r="BF22" s="9">
        <f>VLOOKUP(A22,Jogos!A:BN,64,0)</f>
        <v>24.755</v>
      </c>
      <c r="BG22" s="9">
        <f>VLOOKUP(A22,Jogos!A:BN,65,0)</f>
        <v>42.805</v>
      </c>
      <c r="BH22" s="9">
        <f>VLOOKUP(A22,Jogos!A:BN,66,0)</f>
        <v>28.715</v>
      </c>
      <c r="BI22" s="9"/>
      <c r="BJ22" s="9"/>
    </row>
    <row r="23" hidden="1">
      <c r="A23" s="10">
        <v>1.0</v>
      </c>
      <c r="B23" s="11" t="s">
        <v>60</v>
      </c>
      <c r="C23" s="2" t="s">
        <v>61</v>
      </c>
      <c r="D23" s="12">
        <v>45822.0</v>
      </c>
      <c r="E23" s="13">
        <v>0.8333333333333334</v>
      </c>
      <c r="F23" s="5" t="str">
        <f>VLOOKUP(A23,Jogos!A:N,10,0)</f>
        <v>Evening</v>
      </c>
      <c r="G23" s="11" t="s">
        <v>62</v>
      </c>
      <c r="H23" s="6" t="str">
        <f>VLOOKUP(A23,Jogos!A:L,12,0)</f>
        <v>Open</v>
      </c>
      <c r="I23" s="6" t="str">
        <f>VLOOKUP(G23,'Estádios e Cidades'!A:B,2,0)</f>
        <v>Miami Gardens - Flórida</v>
      </c>
      <c r="J23" s="11" t="s">
        <v>64</v>
      </c>
      <c r="K23" s="2" t="str">
        <f>VLOOKUP(J23,Equipes!A:F,6,0)</f>
        <v>Tropical</v>
      </c>
      <c r="L23" s="2">
        <f>VLOOKUP(J23,Equipes!A:C,3,0)</f>
        <v>16</v>
      </c>
      <c r="M23" s="2" t="str">
        <f t="shared" si="4"/>
        <v>Round of 16</v>
      </c>
      <c r="N23" s="11" t="s">
        <v>63</v>
      </c>
      <c r="O23" s="2">
        <f>VLOOKUP(N23,Equipes!A:C,3,0)</f>
        <v>25</v>
      </c>
      <c r="P23" s="2" t="str">
        <f t="shared" si="5"/>
        <v>Group</v>
      </c>
      <c r="Q23" s="2">
        <f t="shared" si="6"/>
        <v>-9</v>
      </c>
      <c r="R23" s="2" t="str">
        <f>VLOOKUP(J23,Equipes!A:B,2,0)</f>
        <v>InterMiami</v>
      </c>
      <c r="S23" s="6" t="s">
        <v>107</v>
      </c>
      <c r="T23" s="7">
        <v>21.0</v>
      </c>
      <c r="U23" s="7" t="s">
        <v>108</v>
      </c>
      <c r="V23" s="7" t="str">
        <f>VLOOKUP(U23,Jogadores!B:C,2,0)</f>
        <v>FW</v>
      </c>
      <c r="W23" s="8">
        <f>VLOOKUP(U23,Jogadores!B:D,3,0)</f>
        <v>26.45205479</v>
      </c>
      <c r="X23" s="7">
        <v>0.0</v>
      </c>
      <c r="Y23" s="7">
        <v>81.0</v>
      </c>
      <c r="Z23" s="7">
        <f>VLOOKUP(A23,Jogos!A:L,3,0)</f>
        <v>48</v>
      </c>
      <c r="AA23" s="7">
        <f t="shared" si="7"/>
        <v>48</v>
      </c>
      <c r="AB23" s="7">
        <f>VLOOKUP(A23,Jogos!A:L,4,0)</f>
        <v>53</v>
      </c>
      <c r="AC23" s="7">
        <f t="shared" si="8"/>
        <v>36</v>
      </c>
      <c r="AD23" s="7"/>
      <c r="AE23" s="7"/>
      <c r="AF23" s="7">
        <f t="shared" si="9"/>
        <v>84</v>
      </c>
      <c r="AG23" s="7">
        <v>8564.0</v>
      </c>
      <c r="AH23" s="7">
        <v>3417.3</v>
      </c>
      <c r="AI23" s="7">
        <v>3392.4</v>
      </c>
      <c r="AJ23" s="7">
        <v>1044.2</v>
      </c>
      <c r="AK23" s="7">
        <v>498.9</v>
      </c>
      <c r="AL23" s="7">
        <v>211.2</v>
      </c>
      <c r="AM23" s="7">
        <v>100.0</v>
      </c>
      <c r="AN23" s="7">
        <v>42.0</v>
      </c>
      <c r="AO23" s="7">
        <v>41.7</v>
      </c>
      <c r="AP23" s="9">
        <f t="shared" ref="AP23:AR23" si="76">AG23/$AF23</f>
        <v>101.952381</v>
      </c>
      <c r="AQ23" s="9">
        <f t="shared" si="76"/>
        <v>40.68214286</v>
      </c>
      <c r="AR23" s="9">
        <f t="shared" si="76"/>
        <v>40.38571429</v>
      </c>
      <c r="AS23" s="9">
        <f t="shared" si="11"/>
        <v>81.06785714</v>
      </c>
      <c r="AT23" s="9">
        <f t="shared" ref="AT23:AV23" si="77">AJ23/$AF23</f>
        <v>12.43095238</v>
      </c>
      <c r="AU23" s="9">
        <f t="shared" si="77"/>
        <v>5.939285714</v>
      </c>
      <c r="AV23" s="9">
        <f t="shared" si="77"/>
        <v>2.514285714</v>
      </c>
      <c r="AW23" s="9">
        <f t="shared" si="13"/>
        <v>8.453571429</v>
      </c>
      <c r="AX23" s="9">
        <f t="shared" ref="AX23:AY23" si="78">AM23/$AF23</f>
        <v>1.19047619</v>
      </c>
      <c r="AY23" s="9">
        <f t="shared" si="78"/>
        <v>0.5</v>
      </c>
      <c r="AZ23" s="9">
        <f>VLOOKUP(A23,Jogos!A:BN,58,0)</f>
        <v>28.26</v>
      </c>
      <c r="BA23" s="9">
        <f>VLOOKUP(A23,Jogos!A:BN,59,0)</f>
        <v>22.895</v>
      </c>
      <c r="BB23" s="9">
        <f>VLOOKUP(A23,Jogos!A:BN,60,0)</f>
        <v>72</v>
      </c>
      <c r="BC23" s="9">
        <f>VLOOKUP(A23,Jogos!A:BN,61,0)</f>
        <v>27.605</v>
      </c>
      <c r="BD23" s="9">
        <f>VLOOKUP(A23,Jogos!A:BN,62,0)</f>
        <v>0.5</v>
      </c>
      <c r="BE23" s="9">
        <f>VLOOKUP(A23,Jogos!A:BN,63,0)</f>
        <v>2.07</v>
      </c>
      <c r="BF23" s="9">
        <f>VLOOKUP(A23,Jogos!A:BN,64,0)</f>
        <v>24.755</v>
      </c>
      <c r="BG23" s="9">
        <f>VLOOKUP(A23,Jogos!A:BN,65,0)</f>
        <v>42.805</v>
      </c>
      <c r="BH23" s="9">
        <f>VLOOKUP(A23,Jogos!A:BN,66,0)</f>
        <v>28.715</v>
      </c>
      <c r="BI23" s="9"/>
      <c r="BJ23" s="9"/>
    </row>
    <row r="24" hidden="1">
      <c r="A24" s="10">
        <v>1.0</v>
      </c>
      <c r="B24" s="11" t="s">
        <v>60</v>
      </c>
      <c r="C24" s="2" t="s">
        <v>61</v>
      </c>
      <c r="D24" s="12">
        <v>45822.0</v>
      </c>
      <c r="E24" s="13">
        <v>0.8333333333333334</v>
      </c>
      <c r="F24" s="5" t="str">
        <f>VLOOKUP(A24,Jogos!A:N,10,0)</f>
        <v>Evening</v>
      </c>
      <c r="G24" s="11" t="s">
        <v>62</v>
      </c>
      <c r="H24" s="6" t="str">
        <f>VLOOKUP(A24,Jogos!A:L,12,0)</f>
        <v>Open</v>
      </c>
      <c r="I24" s="6" t="str">
        <f>VLOOKUP(G24,'Estádios e Cidades'!A:B,2,0)</f>
        <v>Miami Gardens - Flórida</v>
      </c>
      <c r="J24" s="11" t="s">
        <v>64</v>
      </c>
      <c r="K24" s="2" t="str">
        <f>VLOOKUP(J24,Equipes!A:F,6,0)</f>
        <v>Tropical</v>
      </c>
      <c r="L24" s="2">
        <f>VLOOKUP(J24,Equipes!A:C,3,0)</f>
        <v>16</v>
      </c>
      <c r="M24" s="2" t="str">
        <f t="shared" si="4"/>
        <v>Round of 16</v>
      </c>
      <c r="N24" s="11" t="s">
        <v>63</v>
      </c>
      <c r="O24" s="2">
        <f>VLOOKUP(N24,Equipes!A:C,3,0)</f>
        <v>25</v>
      </c>
      <c r="P24" s="2" t="str">
        <f t="shared" si="5"/>
        <v>Group</v>
      </c>
      <c r="Q24" s="2">
        <f t="shared" si="6"/>
        <v>-9</v>
      </c>
      <c r="R24" s="2" t="str">
        <f>VLOOKUP(J24,Equipes!A:B,2,0)</f>
        <v>InterMiami</v>
      </c>
      <c r="S24" s="6" t="s">
        <v>109</v>
      </c>
      <c r="T24" s="7">
        <v>32.0</v>
      </c>
      <c r="U24" s="7" t="s">
        <v>110</v>
      </c>
      <c r="V24" s="7" t="str">
        <f>VLOOKUP(U24,Jogadores!B:C,2,0)</f>
        <v>DF</v>
      </c>
      <c r="W24" s="8">
        <f>VLOOKUP(U24,Jogadores!B:D,3,0)</f>
        <v>21.2630137</v>
      </c>
      <c r="X24" s="7">
        <v>0.0</v>
      </c>
      <c r="Y24" s="7">
        <f t="shared" ref="Y24:Y31" si="82">45+AB24</f>
        <v>98</v>
      </c>
      <c r="Z24" s="7">
        <f>VLOOKUP(A24,Jogos!A:L,3,0)</f>
        <v>48</v>
      </c>
      <c r="AA24" s="7">
        <f t="shared" si="7"/>
        <v>48</v>
      </c>
      <c r="AB24" s="7">
        <f>VLOOKUP(A24,Jogos!A:L,4,0)</f>
        <v>53</v>
      </c>
      <c r="AC24" s="7">
        <f t="shared" si="8"/>
        <v>53</v>
      </c>
      <c r="AD24" s="7"/>
      <c r="AE24" s="7"/>
      <c r="AF24" s="7">
        <f t="shared" si="9"/>
        <v>101</v>
      </c>
      <c r="AG24" s="7">
        <v>10636.8</v>
      </c>
      <c r="AH24" s="7">
        <v>3894.3</v>
      </c>
      <c r="AI24" s="7">
        <v>4409.8</v>
      </c>
      <c r="AJ24" s="7">
        <v>1268.3</v>
      </c>
      <c r="AK24" s="7">
        <v>651.4</v>
      </c>
      <c r="AL24" s="7">
        <v>413.0</v>
      </c>
      <c r="AM24" s="7">
        <v>109.0</v>
      </c>
      <c r="AN24" s="7">
        <v>58.0</v>
      </c>
      <c r="AO24" s="7">
        <v>41.1</v>
      </c>
      <c r="AP24" s="9">
        <f t="shared" ref="AP24:AR24" si="79">AG24/$AF24</f>
        <v>105.3148515</v>
      </c>
      <c r="AQ24" s="9">
        <f t="shared" si="79"/>
        <v>38.55742574</v>
      </c>
      <c r="AR24" s="9">
        <f t="shared" si="79"/>
        <v>43.66138614</v>
      </c>
      <c r="AS24" s="9">
        <f t="shared" si="11"/>
        <v>82.21881188</v>
      </c>
      <c r="AT24" s="9">
        <f t="shared" ref="AT24:AV24" si="80">AJ24/$AF24</f>
        <v>12.55742574</v>
      </c>
      <c r="AU24" s="9">
        <f t="shared" si="80"/>
        <v>6.44950495</v>
      </c>
      <c r="AV24" s="9">
        <f t="shared" si="80"/>
        <v>4.089108911</v>
      </c>
      <c r="AW24" s="9">
        <f t="shared" si="13"/>
        <v>10.53861386</v>
      </c>
      <c r="AX24" s="9">
        <f t="shared" ref="AX24:AY24" si="81">AM24/$AF24</f>
        <v>1.079207921</v>
      </c>
      <c r="AY24" s="9">
        <f t="shared" si="81"/>
        <v>0.5742574257</v>
      </c>
      <c r="AZ24" s="9">
        <f>VLOOKUP(A24,Jogos!A:BN,58,0)</f>
        <v>28.26</v>
      </c>
      <c r="BA24" s="9">
        <f>VLOOKUP(A24,Jogos!A:BN,59,0)</f>
        <v>22.895</v>
      </c>
      <c r="BB24" s="9">
        <f>VLOOKUP(A24,Jogos!A:BN,60,0)</f>
        <v>72</v>
      </c>
      <c r="BC24" s="9">
        <f>VLOOKUP(A24,Jogos!A:BN,61,0)</f>
        <v>27.605</v>
      </c>
      <c r="BD24" s="9">
        <f>VLOOKUP(A24,Jogos!A:BN,62,0)</f>
        <v>0.5</v>
      </c>
      <c r="BE24" s="9">
        <f>VLOOKUP(A24,Jogos!A:BN,63,0)</f>
        <v>2.07</v>
      </c>
      <c r="BF24" s="9">
        <f>VLOOKUP(A24,Jogos!A:BN,64,0)</f>
        <v>24.755</v>
      </c>
      <c r="BG24" s="9">
        <f>VLOOKUP(A24,Jogos!A:BN,65,0)</f>
        <v>42.805</v>
      </c>
      <c r="BH24" s="9">
        <f>VLOOKUP(A24,Jogos!A:BN,66,0)</f>
        <v>28.715</v>
      </c>
      <c r="BI24" s="9"/>
      <c r="BJ24" s="9"/>
    </row>
    <row r="25" hidden="1">
      <c r="A25" s="10">
        <v>1.0</v>
      </c>
      <c r="B25" s="11" t="s">
        <v>60</v>
      </c>
      <c r="C25" s="2" t="s">
        <v>61</v>
      </c>
      <c r="D25" s="12">
        <v>45822.0</v>
      </c>
      <c r="E25" s="13">
        <v>0.8333333333333334</v>
      </c>
      <c r="F25" s="5" t="str">
        <f>VLOOKUP(A25,Jogos!A:N,10,0)</f>
        <v>Evening</v>
      </c>
      <c r="G25" s="11" t="s">
        <v>62</v>
      </c>
      <c r="H25" s="6" t="str">
        <f>VLOOKUP(A25,Jogos!A:L,12,0)</f>
        <v>Open</v>
      </c>
      <c r="I25" s="6" t="str">
        <f>VLOOKUP(G25,'Estádios e Cidades'!A:B,2,0)</f>
        <v>Miami Gardens - Flórida</v>
      </c>
      <c r="J25" s="11" t="s">
        <v>64</v>
      </c>
      <c r="K25" s="2" t="str">
        <f>VLOOKUP(J25,Equipes!A:F,6,0)</f>
        <v>Tropical</v>
      </c>
      <c r="L25" s="2">
        <f>VLOOKUP(J25,Equipes!A:C,3,0)</f>
        <v>16</v>
      </c>
      <c r="M25" s="2" t="str">
        <f t="shared" si="4"/>
        <v>Round of 16</v>
      </c>
      <c r="N25" s="11" t="s">
        <v>63</v>
      </c>
      <c r="O25" s="2">
        <f>VLOOKUP(N25,Equipes!A:C,3,0)</f>
        <v>25</v>
      </c>
      <c r="P25" s="2" t="str">
        <f t="shared" si="5"/>
        <v>Group</v>
      </c>
      <c r="Q25" s="2">
        <f t="shared" si="6"/>
        <v>-9</v>
      </c>
      <c r="R25" s="2" t="str">
        <f>VLOOKUP(J25,Equipes!A:B,2,0)</f>
        <v>InterMiami</v>
      </c>
      <c r="S25" s="6" t="s">
        <v>111</v>
      </c>
      <c r="T25" s="7">
        <v>37.0</v>
      </c>
      <c r="U25" s="7" t="s">
        <v>112</v>
      </c>
      <c r="V25" s="7" t="str">
        <f>VLOOKUP(U25,Jogadores!B:C,2,0)</f>
        <v>DF</v>
      </c>
      <c r="W25" s="8">
        <f>VLOOKUP(U25,Jogadores!B:D,3,0)</f>
        <v>28.26027397</v>
      </c>
      <c r="X25" s="7">
        <v>0.0</v>
      </c>
      <c r="Y25" s="7">
        <f t="shared" si="82"/>
        <v>98</v>
      </c>
      <c r="Z25" s="7">
        <f>VLOOKUP(A25,Jogos!A:L,3,0)</f>
        <v>48</v>
      </c>
      <c r="AA25" s="7">
        <f t="shared" si="7"/>
        <v>48</v>
      </c>
      <c r="AB25" s="7">
        <f>VLOOKUP(A25,Jogos!A:L,4,0)</f>
        <v>53</v>
      </c>
      <c r="AC25" s="7">
        <f t="shared" si="8"/>
        <v>53</v>
      </c>
      <c r="AD25" s="7"/>
      <c r="AE25" s="7"/>
      <c r="AF25" s="7">
        <f t="shared" si="9"/>
        <v>101</v>
      </c>
      <c r="AG25" s="7">
        <v>9395.7</v>
      </c>
      <c r="AH25" s="7">
        <v>4247.6</v>
      </c>
      <c r="AI25" s="7">
        <v>3669.7</v>
      </c>
      <c r="AJ25" s="7">
        <v>794.8</v>
      </c>
      <c r="AK25" s="7">
        <v>445.9</v>
      </c>
      <c r="AL25" s="7">
        <v>237.7</v>
      </c>
      <c r="AM25" s="7">
        <v>67.0</v>
      </c>
      <c r="AN25" s="7">
        <v>42.0</v>
      </c>
      <c r="AO25" s="7">
        <v>41.9</v>
      </c>
      <c r="AP25" s="9">
        <f t="shared" ref="AP25:AR25" si="83">AG25/$AF25</f>
        <v>93.02673267</v>
      </c>
      <c r="AQ25" s="9">
        <f t="shared" si="83"/>
        <v>42.05544554</v>
      </c>
      <c r="AR25" s="9">
        <f t="shared" si="83"/>
        <v>36.33366337</v>
      </c>
      <c r="AS25" s="9">
        <f t="shared" si="11"/>
        <v>78.38910891</v>
      </c>
      <c r="AT25" s="9">
        <f t="shared" ref="AT25:AV25" si="84">AJ25/$AF25</f>
        <v>7.869306931</v>
      </c>
      <c r="AU25" s="9">
        <f t="shared" si="84"/>
        <v>4.414851485</v>
      </c>
      <c r="AV25" s="9">
        <f t="shared" si="84"/>
        <v>2.353465347</v>
      </c>
      <c r="AW25" s="9">
        <f t="shared" si="13"/>
        <v>6.768316832</v>
      </c>
      <c r="AX25" s="9">
        <f t="shared" ref="AX25:AY25" si="85">AM25/$AF25</f>
        <v>0.6633663366</v>
      </c>
      <c r="AY25" s="9">
        <f t="shared" si="85"/>
        <v>0.4158415842</v>
      </c>
      <c r="AZ25" s="9">
        <f>VLOOKUP(A25,Jogos!A:BN,58,0)</f>
        <v>28.26</v>
      </c>
      <c r="BA25" s="9">
        <f>VLOOKUP(A25,Jogos!A:BN,59,0)</f>
        <v>22.895</v>
      </c>
      <c r="BB25" s="9">
        <f>VLOOKUP(A25,Jogos!A:BN,60,0)</f>
        <v>72</v>
      </c>
      <c r="BC25" s="9">
        <f>VLOOKUP(A25,Jogos!A:BN,61,0)</f>
        <v>27.605</v>
      </c>
      <c r="BD25" s="9">
        <f>VLOOKUP(A25,Jogos!A:BN,62,0)</f>
        <v>0.5</v>
      </c>
      <c r="BE25" s="9">
        <f>VLOOKUP(A25,Jogos!A:BN,63,0)</f>
        <v>2.07</v>
      </c>
      <c r="BF25" s="9">
        <f>VLOOKUP(A25,Jogos!A:BN,64,0)</f>
        <v>24.755</v>
      </c>
      <c r="BG25" s="9">
        <f>VLOOKUP(A25,Jogos!A:BN,65,0)</f>
        <v>42.805</v>
      </c>
      <c r="BH25" s="9">
        <f>VLOOKUP(A25,Jogos!A:BN,66,0)</f>
        <v>28.715</v>
      </c>
      <c r="BI25" s="9"/>
      <c r="BJ25" s="9"/>
    </row>
    <row r="26" hidden="1">
      <c r="A26" s="10">
        <v>1.0</v>
      </c>
      <c r="B26" s="11" t="s">
        <v>60</v>
      </c>
      <c r="C26" s="2" t="s">
        <v>61</v>
      </c>
      <c r="D26" s="12">
        <v>45822.0</v>
      </c>
      <c r="E26" s="13">
        <v>0.8333333333333334</v>
      </c>
      <c r="F26" s="5" t="str">
        <f>VLOOKUP(A26,Jogos!A:N,10,0)</f>
        <v>Evening</v>
      </c>
      <c r="G26" s="11" t="s">
        <v>62</v>
      </c>
      <c r="H26" s="6" t="str">
        <f>VLOOKUP(A26,Jogos!A:L,12,0)</f>
        <v>Open</v>
      </c>
      <c r="I26" s="6" t="str">
        <f>VLOOKUP(G26,'Estádios e Cidades'!A:B,2,0)</f>
        <v>Miami Gardens - Flórida</v>
      </c>
      <c r="J26" s="11" t="s">
        <v>64</v>
      </c>
      <c r="K26" s="2" t="str">
        <f>VLOOKUP(J26,Equipes!A:F,6,0)</f>
        <v>Tropical</v>
      </c>
      <c r="L26" s="2">
        <f>VLOOKUP(J26,Equipes!A:C,3,0)</f>
        <v>16</v>
      </c>
      <c r="M26" s="2" t="str">
        <f t="shared" si="4"/>
        <v>Round of 16</v>
      </c>
      <c r="N26" s="11" t="s">
        <v>63</v>
      </c>
      <c r="O26" s="2">
        <f>VLOOKUP(N26,Equipes!A:C,3,0)</f>
        <v>25</v>
      </c>
      <c r="P26" s="2" t="str">
        <f t="shared" si="5"/>
        <v>Group</v>
      </c>
      <c r="Q26" s="2">
        <f t="shared" si="6"/>
        <v>-9</v>
      </c>
      <c r="R26" s="2" t="str">
        <f>VLOOKUP(J26,Equipes!A:B,2,0)</f>
        <v>InterMiami</v>
      </c>
      <c r="S26" s="6" t="s">
        <v>113</v>
      </c>
      <c r="T26" s="7">
        <v>55.0</v>
      </c>
      <c r="U26" s="7" t="s">
        <v>114</v>
      </c>
      <c r="V26" s="7" t="str">
        <f>VLOOKUP(U26,Jogadores!B:C,2,0)</f>
        <v>MF</v>
      </c>
      <c r="W26" s="8">
        <f>VLOOKUP(U26,Jogadores!B:D,3,0)</f>
        <v>22.53972603</v>
      </c>
      <c r="X26" s="7">
        <v>0.0</v>
      </c>
      <c r="Y26" s="7">
        <f t="shared" si="82"/>
        <v>98</v>
      </c>
      <c r="Z26" s="7">
        <f>VLOOKUP(A26,Jogos!A:L,3,0)</f>
        <v>48</v>
      </c>
      <c r="AA26" s="7">
        <f t="shared" si="7"/>
        <v>48</v>
      </c>
      <c r="AB26" s="7">
        <f>VLOOKUP(A26,Jogos!A:L,4,0)</f>
        <v>53</v>
      </c>
      <c r="AC26" s="7">
        <f t="shared" si="8"/>
        <v>53</v>
      </c>
      <c r="AD26" s="7"/>
      <c r="AE26" s="7"/>
      <c r="AF26" s="7">
        <f t="shared" si="9"/>
        <v>101</v>
      </c>
      <c r="AG26" s="7">
        <v>9881.1</v>
      </c>
      <c r="AH26" s="7">
        <v>4120.3</v>
      </c>
      <c r="AI26" s="7">
        <v>4159.6</v>
      </c>
      <c r="AJ26" s="7">
        <v>1016.5</v>
      </c>
      <c r="AK26" s="7">
        <v>447.9</v>
      </c>
      <c r="AL26" s="7">
        <v>136.9</v>
      </c>
      <c r="AM26" s="7">
        <v>88.0</v>
      </c>
      <c r="AN26" s="7">
        <v>34.0</v>
      </c>
      <c r="AO26" s="7">
        <v>35.0</v>
      </c>
      <c r="AP26" s="9">
        <f t="shared" ref="AP26:AR26" si="86">AG26/$AF26</f>
        <v>97.83267327</v>
      </c>
      <c r="AQ26" s="9">
        <f t="shared" si="86"/>
        <v>40.7950495</v>
      </c>
      <c r="AR26" s="9">
        <f t="shared" si="86"/>
        <v>41.18415842</v>
      </c>
      <c r="AS26" s="9">
        <f t="shared" si="11"/>
        <v>81.97920792</v>
      </c>
      <c r="AT26" s="9">
        <f t="shared" ref="AT26:AV26" si="87">AJ26/$AF26</f>
        <v>10.06435644</v>
      </c>
      <c r="AU26" s="9">
        <f t="shared" si="87"/>
        <v>4.434653465</v>
      </c>
      <c r="AV26" s="9">
        <f t="shared" si="87"/>
        <v>1.355445545</v>
      </c>
      <c r="AW26" s="9">
        <f t="shared" si="13"/>
        <v>5.79009901</v>
      </c>
      <c r="AX26" s="9">
        <f t="shared" ref="AX26:AY26" si="88">AM26/$AF26</f>
        <v>0.8712871287</v>
      </c>
      <c r="AY26" s="9">
        <f t="shared" si="88"/>
        <v>0.3366336634</v>
      </c>
      <c r="AZ26" s="9">
        <f>VLOOKUP(A26,Jogos!A:BN,58,0)</f>
        <v>28.26</v>
      </c>
      <c r="BA26" s="9">
        <f>VLOOKUP(A26,Jogos!A:BN,59,0)</f>
        <v>22.895</v>
      </c>
      <c r="BB26" s="9">
        <f>VLOOKUP(A26,Jogos!A:BN,60,0)</f>
        <v>72</v>
      </c>
      <c r="BC26" s="9">
        <f>VLOOKUP(A26,Jogos!A:BN,61,0)</f>
        <v>27.605</v>
      </c>
      <c r="BD26" s="9">
        <f>VLOOKUP(A26,Jogos!A:BN,62,0)</f>
        <v>0.5</v>
      </c>
      <c r="BE26" s="9">
        <f>VLOOKUP(A26,Jogos!A:BN,63,0)</f>
        <v>2.07</v>
      </c>
      <c r="BF26" s="9">
        <f>VLOOKUP(A26,Jogos!A:BN,64,0)</f>
        <v>24.755</v>
      </c>
      <c r="BG26" s="9">
        <f>VLOOKUP(A26,Jogos!A:BN,65,0)</f>
        <v>42.805</v>
      </c>
      <c r="BH26" s="9">
        <f>VLOOKUP(A26,Jogos!A:BN,66,0)</f>
        <v>28.715</v>
      </c>
      <c r="BI26" s="9"/>
    </row>
    <row r="27" hidden="1">
      <c r="A27" s="10">
        <v>1.0</v>
      </c>
      <c r="B27" s="11" t="s">
        <v>60</v>
      </c>
      <c r="C27" s="2" t="s">
        <v>61</v>
      </c>
      <c r="D27" s="12">
        <v>45822.0</v>
      </c>
      <c r="E27" s="13">
        <v>0.8333333333333334</v>
      </c>
      <c r="F27" s="5" t="str">
        <f>VLOOKUP(A27,Jogos!A:N,10,0)</f>
        <v>Evening</v>
      </c>
      <c r="G27" s="11" t="s">
        <v>62</v>
      </c>
      <c r="H27" s="6" t="str">
        <f>VLOOKUP(A27,Jogos!A:L,12,0)</f>
        <v>Open</v>
      </c>
      <c r="I27" s="6" t="str">
        <f>VLOOKUP(G27,'Estádios e Cidades'!A:B,2,0)</f>
        <v>Miami Gardens - Flórida</v>
      </c>
      <c r="J27" s="11" t="s">
        <v>64</v>
      </c>
      <c r="K27" s="2" t="str">
        <f>VLOOKUP(J27,Equipes!A:F,6,0)</f>
        <v>Tropical</v>
      </c>
      <c r="L27" s="2">
        <f>VLOOKUP(J27,Equipes!A:C,3,0)</f>
        <v>16</v>
      </c>
      <c r="M27" s="2" t="str">
        <f t="shared" si="4"/>
        <v>Round of 16</v>
      </c>
      <c r="N27" s="11" t="s">
        <v>63</v>
      </c>
      <c r="O27" s="2">
        <f>VLOOKUP(N27,Equipes!A:C,3,0)</f>
        <v>25</v>
      </c>
      <c r="P27" s="2" t="str">
        <f t="shared" si="5"/>
        <v>Group</v>
      </c>
      <c r="Q27" s="2">
        <f t="shared" si="6"/>
        <v>-9</v>
      </c>
      <c r="R27" s="2" t="str">
        <f>VLOOKUP(J27,Equipes!A:B,2,0)</f>
        <v>InterMiami</v>
      </c>
      <c r="S27" s="6" t="s">
        <v>115</v>
      </c>
      <c r="T27" s="7">
        <v>7.0</v>
      </c>
      <c r="U27" s="7" t="s">
        <v>116</v>
      </c>
      <c r="V27" s="7" t="str">
        <f>VLOOKUP(U27,Jogadores!B:C,2,0)</f>
        <v>FW</v>
      </c>
      <c r="W27" s="8">
        <f>VLOOKUP(U27,Jogadores!B:D,3,0)</f>
        <v>34.44931507</v>
      </c>
      <c r="X27" s="7">
        <v>81.0</v>
      </c>
      <c r="Y27" s="7">
        <f t="shared" si="82"/>
        <v>98</v>
      </c>
      <c r="Z27" s="7">
        <f>VLOOKUP(A27,Jogos!A:L,3,0)</f>
        <v>48</v>
      </c>
      <c r="AA27" s="7">
        <f t="shared" si="7"/>
        <v>0</v>
      </c>
      <c r="AB27" s="7">
        <f>VLOOKUP(A27,Jogos!A:L,4,0)</f>
        <v>53</v>
      </c>
      <c r="AC27" s="7">
        <f t="shared" si="8"/>
        <v>17</v>
      </c>
      <c r="AD27" s="7"/>
      <c r="AE27" s="7"/>
      <c r="AF27" s="7">
        <f t="shared" si="9"/>
        <v>17</v>
      </c>
      <c r="AG27" s="7">
        <v>1934.3</v>
      </c>
      <c r="AH27" s="7">
        <v>608.7</v>
      </c>
      <c r="AI27" s="7">
        <v>830.9</v>
      </c>
      <c r="AJ27" s="7">
        <v>247.3</v>
      </c>
      <c r="AK27" s="7">
        <v>162.7</v>
      </c>
      <c r="AL27" s="7">
        <v>84.7</v>
      </c>
      <c r="AM27" s="7">
        <v>20.0</v>
      </c>
      <c r="AN27" s="7">
        <v>13.0</v>
      </c>
      <c r="AO27" s="7">
        <v>31.4</v>
      </c>
      <c r="AP27" s="9">
        <f t="shared" ref="AP27:AR27" si="89">AG27/$AF27</f>
        <v>113.7823529</v>
      </c>
      <c r="AQ27" s="9">
        <f t="shared" si="89"/>
        <v>35.80588235</v>
      </c>
      <c r="AR27" s="9">
        <f t="shared" si="89"/>
        <v>48.87647059</v>
      </c>
      <c r="AS27" s="9">
        <f t="shared" si="11"/>
        <v>84.68235294</v>
      </c>
      <c r="AT27" s="9">
        <f t="shared" ref="AT27:AV27" si="90">AJ27/$AF27</f>
        <v>14.54705882</v>
      </c>
      <c r="AU27" s="9">
        <f t="shared" si="90"/>
        <v>9.570588235</v>
      </c>
      <c r="AV27" s="9">
        <f t="shared" si="90"/>
        <v>4.982352941</v>
      </c>
      <c r="AW27" s="9">
        <f t="shared" si="13"/>
        <v>14.55294118</v>
      </c>
      <c r="AX27" s="9">
        <f t="shared" ref="AX27:AY27" si="91">AM27/$AF27</f>
        <v>1.176470588</v>
      </c>
      <c r="AY27" s="9">
        <f t="shared" si="91"/>
        <v>0.7647058824</v>
      </c>
      <c r="AZ27" s="9">
        <f>VLOOKUP(A27,Jogos!A:BN,58,0)</f>
        <v>28.26</v>
      </c>
      <c r="BA27" s="9">
        <f>VLOOKUP(A27,Jogos!A:BN,59,0)</f>
        <v>22.895</v>
      </c>
      <c r="BB27" s="9">
        <f>VLOOKUP(A27,Jogos!A:BN,60,0)</f>
        <v>72</v>
      </c>
      <c r="BC27" s="9">
        <f>VLOOKUP(A27,Jogos!A:BN,61,0)</f>
        <v>27.605</v>
      </c>
      <c r="BD27" s="9">
        <f>VLOOKUP(A27,Jogos!A:BN,62,0)</f>
        <v>0.5</v>
      </c>
      <c r="BE27" s="9">
        <f>VLOOKUP(A27,Jogos!A:BN,63,0)</f>
        <v>2.07</v>
      </c>
      <c r="BF27" s="9">
        <f>VLOOKUP(A27,Jogos!A:BN,64,0)</f>
        <v>24.755</v>
      </c>
      <c r="BG27" s="9">
        <f>VLOOKUP(A27,Jogos!A:BN,65,0)</f>
        <v>42.805</v>
      </c>
      <c r="BH27" s="9">
        <f>VLOOKUP(A27,Jogos!A:BN,66,0)</f>
        <v>28.715</v>
      </c>
      <c r="BI27" s="9"/>
    </row>
    <row r="28" hidden="1">
      <c r="A28" s="10">
        <v>1.0</v>
      </c>
      <c r="B28" s="11" t="s">
        <v>60</v>
      </c>
      <c r="C28" s="2" t="s">
        <v>61</v>
      </c>
      <c r="D28" s="12">
        <v>45822.0</v>
      </c>
      <c r="E28" s="13">
        <v>0.8333333333333334</v>
      </c>
      <c r="F28" s="5" t="str">
        <f>VLOOKUP(A28,Jogos!A:N,10,0)</f>
        <v>Evening</v>
      </c>
      <c r="G28" s="11" t="s">
        <v>62</v>
      </c>
      <c r="H28" s="6" t="str">
        <f>VLOOKUP(A28,Jogos!A:L,12,0)</f>
        <v>Open</v>
      </c>
      <c r="I28" s="6" t="str">
        <f>VLOOKUP(G28,'Estádios e Cidades'!A:B,2,0)</f>
        <v>Miami Gardens - Flórida</v>
      </c>
      <c r="J28" s="11" t="s">
        <v>64</v>
      </c>
      <c r="K28" s="2" t="str">
        <f>VLOOKUP(J28,Equipes!A:F,6,0)</f>
        <v>Tropical</v>
      </c>
      <c r="L28" s="2">
        <f>VLOOKUP(J28,Equipes!A:C,3,0)</f>
        <v>16</v>
      </c>
      <c r="M28" s="2" t="str">
        <f t="shared" si="4"/>
        <v>Round of 16</v>
      </c>
      <c r="N28" s="11" t="s">
        <v>63</v>
      </c>
      <c r="O28" s="2">
        <f>VLOOKUP(N28,Equipes!A:C,3,0)</f>
        <v>25</v>
      </c>
      <c r="P28" s="2" t="str">
        <f t="shared" si="5"/>
        <v>Group</v>
      </c>
      <c r="Q28" s="2">
        <f t="shared" si="6"/>
        <v>-9</v>
      </c>
      <c r="R28" s="2" t="str">
        <f>VLOOKUP(J28,Equipes!A:B,2,0)</f>
        <v>InterMiami</v>
      </c>
      <c r="S28" s="6" t="s">
        <v>117</v>
      </c>
      <c r="T28" s="7">
        <v>30.0</v>
      </c>
      <c r="U28" s="7" t="s">
        <v>118</v>
      </c>
      <c r="V28" s="7" t="str">
        <f>VLOOKUP(U28,Jogadores!B:C,2,0)</f>
        <v>MF</v>
      </c>
      <c r="W28" s="8">
        <f>VLOOKUP(U28,Jogadores!B:D,3,0)</f>
        <v>20.41917808</v>
      </c>
      <c r="X28" s="7">
        <v>73.0</v>
      </c>
      <c r="Y28" s="7">
        <f t="shared" si="82"/>
        <v>98</v>
      </c>
      <c r="Z28" s="7">
        <f>VLOOKUP(A28,Jogos!A:L,3,0)</f>
        <v>48</v>
      </c>
      <c r="AA28" s="7">
        <f t="shared" si="7"/>
        <v>0</v>
      </c>
      <c r="AB28" s="7">
        <f>VLOOKUP(A28,Jogos!A:L,4,0)</f>
        <v>53</v>
      </c>
      <c r="AC28" s="7">
        <f t="shared" si="8"/>
        <v>25</v>
      </c>
      <c r="AD28" s="7"/>
      <c r="AE28" s="7"/>
      <c r="AF28" s="7">
        <f t="shared" si="9"/>
        <v>25</v>
      </c>
      <c r="AG28" s="7">
        <v>3071.4</v>
      </c>
      <c r="AH28" s="7">
        <v>914.9</v>
      </c>
      <c r="AI28" s="7">
        <v>1258.3</v>
      </c>
      <c r="AJ28" s="7">
        <v>609.3</v>
      </c>
      <c r="AK28" s="7">
        <v>193.4</v>
      </c>
      <c r="AL28" s="7">
        <v>95.5</v>
      </c>
      <c r="AM28" s="7">
        <v>42.0</v>
      </c>
      <c r="AN28" s="7">
        <v>19.0</v>
      </c>
      <c r="AO28" s="7">
        <v>30.2</v>
      </c>
      <c r="AP28" s="9">
        <f t="shared" ref="AP28:AR28" si="92">AG28/$AF28</f>
        <v>122.856</v>
      </c>
      <c r="AQ28" s="9">
        <f t="shared" si="92"/>
        <v>36.596</v>
      </c>
      <c r="AR28" s="9">
        <f t="shared" si="92"/>
        <v>50.332</v>
      </c>
      <c r="AS28" s="9">
        <f t="shared" si="11"/>
        <v>86.928</v>
      </c>
      <c r="AT28" s="9">
        <f t="shared" ref="AT28:AV28" si="93">AJ28/$AF28</f>
        <v>24.372</v>
      </c>
      <c r="AU28" s="9">
        <f t="shared" si="93"/>
        <v>7.736</v>
      </c>
      <c r="AV28" s="9">
        <f t="shared" si="93"/>
        <v>3.82</v>
      </c>
      <c r="AW28" s="9">
        <f t="shared" si="13"/>
        <v>11.556</v>
      </c>
      <c r="AX28" s="9">
        <f t="shared" ref="AX28:AY28" si="94">AM28/$AF28</f>
        <v>1.68</v>
      </c>
      <c r="AY28" s="9">
        <f t="shared" si="94"/>
        <v>0.76</v>
      </c>
      <c r="AZ28" s="9">
        <f>VLOOKUP(A28,Jogos!A:BN,58,0)</f>
        <v>28.26</v>
      </c>
      <c r="BA28" s="9">
        <f>VLOOKUP(A28,Jogos!A:BN,59,0)</f>
        <v>22.895</v>
      </c>
      <c r="BB28" s="9">
        <f>VLOOKUP(A28,Jogos!A:BN,60,0)</f>
        <v>72</v>
      </c>
      <c r="BC28" s="9">
        <f>VLOOKUP(A28,Jogos!A:BN,61,0)</f>
        <v>27.605</v>
      </c>
      <c r="BD28" s="9">
        <f>VLOOKUP(A28,Jogos!A:BN,62,0)</f>
        <v>0.5</v>
      </c>
      <c r="BE28" s="9">
        <f>VLOOKUP(A28,Jogos!A:BN,63,0)</f>
        <v>2.07</v>
      </c>
      <c r="BF28" s="9">
        <f>VLOOKUP(A28,Jogos!A:BN,64,0)</f>
        <v>24.755</v>
      </c>
      <c r="BG28" s="9">
        <f>VLOOKUP(A28,Jogos!A:BN,65,0)</f>
        <v>42.805</v>
      </c>
      <c r="BH28" s="9">
        <f>VLOOKUP(A28,Jogos!A:BN,66,0)</f>
        <v>28.715</v>
      </c>
      <c r="BI28" s="9"/>
    </row>
    <row r="29" hidden="1">
      <c r="A29" s="10">
        <v>1.0</v>
      </c>
      <c r="B29" s="11" t="s">
        <v>60</v>
      </c>
      <c r="C29" s="2" t="s">
        <v>61</v>
      </c>
      <c r="D29" s="12">
        <v>45822.0</v>
      </c>
      <c r="E29" s="13">
        <v>0.8333333333333334</v>
      </c>
      <c r="F29" s="5" t="str">
        <f>VLOOKUP(A29,Jogos!A:N,10,0)</f>
        <v>Evening</v>
      </c>
      <c r="G29" s="11" t="s">
        <v>62</v>
      </c>
      <c r="H29" s="6" t="str">
        <f>VLOOKUP(A29,Jogos!A:L,12,0)</f>
        <v>Open</v>
      </c>
      <c r="I29" s="6" t="str">
        <f>VLOOKUP(G29,'Estádios e Cidades'!A:B,2,0)</f>
        <v>Miami Gardens - Flórida</v>
      </c>
      <c r="J29" s="11" t="s">
        <v>64</v>
      </c>
      <c r="K29" s="2" t="str">
        <f>VLOOKUP(J29,Equipes!A:F,6,0)</f>
        <v>Tropical</v>
      </c>
      <c r="L29" s="2">
        <f>VLOOKUP(J29,Equipes!A:C,3,0)</f>
        <v>16</v>
      </c>
      <c r="M29" s="2" t="str">
        <f t="shared" si="4"/>
        <v>Round of 16</v>
      </c>
      <c r="N29" s="11" t="s">
        <v>63</v>
      </c>
      <c r="O29" s="2">
        <f>VLOOKUP(N29,Equipes!A:C,3,0)</f>
        <v>25</v>
      </c>
      <c r="P29" s="2" t="str">
        <f t="shared" si="5"/>
        <v>Group</v>
      </c>
      <c r="Q29" s="2">
        <f t="shared" si="6"/>
        <v>-9</v>
      </c>
      <c r="R29" s="2" t="str">
        <f>VLOOKUP(J29,Equipes!A:B,2,0)</f>
        <v>InterMiami</v>
      </c>
      <c r="S29" s="6" t="s">
        <v>119</v>
      </c>
      <c r="T29" s="7">
        <v>57.0</v>
      </c>
      <c r="U29" s="7" t="s">
        <v>120</v>
      </c>
      <c r="V29" s="7" t="str">
        <f>VLOOKUP(U29,Jogadores!B:C,2,0)</f>
        <v>DF</v>
      </c>
      <c r="W29" s="8">
        <f>VLOOKUP(U29,Jogadores!B:D,3,0)</f>
        <v>25.56164384</v>
      </c>
      <c r="X29" s="7">
        <v>45.0</v>
      </c>
      <c r="Y29" s="7">
        <f t="shared" si="82"/>
        <v>98</v>
      </c>
      <c r="Z29" s="7">
        <f>VLOOKUP(A29,Jogos!A:L,3,0)</f>
        <v>48</v>
      </c>
      <c r="AA29" s="7">
        <f t="shared" si="7"/>
        <v>0</v>
      </c>
      <c r="AB29" s="7">
        <f>VLOOKUP(A29,Jogos!A:L,4,0)</f>
        <v>53</v>
      </c>
      <c r="AC29" s="7">
        <f t="shared" si="8"/>
        <v>53</v>
      </c>
      <c r="AD29" s="7"/>
      <c r="AE29" s="7"/>
      <c r="AF29" s="7">
        <f t="shared" si="9"/>
        <v>53</v>
      </c>
      <c r="AG29" s="7">
        <v>5297.9</v>
      </c>
      <c r="AH29" s="7">
        <v>2102.2</v>
      </c>
      <c r="AI29" s="7">
        <v>1946.6</v>
      </c>
      <c r="AJ29" s="7">
        <v>705.4</v>
      </c>
      <c r="AK29" s="7">
        <v>310.5</v>
      </c>
      <c r="AL29" s="7">
        <v>233.2</v>
      </c>
      <c r="AM29" s="7">
        <v>61.0</v>
      </c>
      <c r="AN29" s="7">
        <v>33.0</v>
      </c>
      <c r="AO29" s="7">
        <v>32.8</v>
      </c>
      <c r="AP29" s="9">
        <f t="shared" ref="AP29:AR29" si="95">AG29/$AF29</f>
        <v>99.96037736</v>
      </c>
      <c r="AQ29" s="9">
        <f t="shared" si="95"/>
        <v>39.66415094</v>
      </c>
      <c r="AR29" s="9">
        <f t="shared" si="95"/>
        <v>36.72830189</v>
      </c>
      <c r="AS29" s="9">
        <f t="shared" si="11"/>
        <v>76.39245283</v>
      </c>
      <c r="AT29" s="9">
        <f t="shared" ref="AT29:AV29" si="96">AJ29/$AF29</f>
        <v>13.30943396</v>
      </c>
      <c r="AU29" s="9">
        <f t="shared" si="96"/>
        <v>5.858490566</v>
      </c>
      <c r="AV29" s="9">
        <f t="shared" si="96"/>
        <v>4.4</v>
      </c>
      <c r="AW29" s="9">
        <f t="shared" si="13"/>
        <v>10.25849057</v>
      </c>
      <c r="AX29" s="9">
        <f t="shared" ref="AX29:AY29" si="97">AM29/$AF29</f>
        <v>1.150943396</v>
      </c>
      <c r="AY29" s="9">
        <f t="shared" si="97"/>
        <v>0.6226415094</v>
      </c>
      <c r="AZ29" s="9">
        <f>VLOOKUP(A29,Jogos!A:BN,58,0)</f>
        <v>28.26</v>
      </c>
      <c r="BA29" s="9">
        <f>VLOOKUP(A29,Jogos!A:BN,59,0)</f>
        <v>22.895</v>
      </c>
      <c r="BB29" s="9">
        <f>VLOOKUP(A29,Jogos!A:BN,60,0)</f>
        <v>72</v>
      </c>
      <c r="BC29" s="9">
        <f>VLOOKUP(A29,Jogos!A:BN,61,0)</f>
        <v>27.605</v>
      </c>
      <c r="BD29" s="9">
        <f>VLOOKUP(A29,Jogos!A:BN,62,0)</f>
        <v>0.5</v>
      </c>
      <c r="BE29" s="9">
        <f>VLOOKUP(A29,Jogos!A:BN,63,0)</f>
        <v>2.07</v>
      </c>
      <c r="BF29" s="9">
        <f>VLOOKUP(A29,Jogos!A:BN,64,0)</f>
        <v>24.755</v>
      </c>
      <c r="BG29" s="9">
        <f>VLOOKUP(A29,Jogos!A:BN,65,0)</f>
        <v>42.805</v>
      </c>
      <c r="BH29" s="9">
        <f>VLOOKUP(A29,Jogos!A:BN,66,0)</f>
        <v>28.715</v>
      </c>
      <c r="BI29" s="9"/>
    </row>
    <row r="30" hidden="1">
      <c r="A30" s="2">
        <v>2.0</v>
      </c>
      <c r="B30" s="2" t="s">
        <v>121</v>
      </c>
      <c r="C30" s="2" t="s">
        <v>61</v>
      </c>
      <c r="D30" s="3">
        <v>45823.0</v>
      </c>
      <c r="E30" s="4">
        <v>0.5</v>
      </c>
      <c r="F30" s="5" t="str">
        <f>VLOOKUP(A30,Jogos!A:N,10,0)</f>
        <v>Afternoon</v>
      </c>
      <c r="G30" s="2" t="s">
        <v>122</v>
      </c>
      <c r="H30" s="6" t="str">
        <f>VLOOKUP(A30,Jogos!A:L,12,0)</f>
        <v>Open</v>
      </c>
      <c r="I30" s="6" t="str">
        <f>VLOOKUP(G30,'Estádios e Cidades'!A:B,2,0)</f>
        <v>Cincinnati</v>
      </c>
      <c r="J30" s="2" t="s">
        <v>123</v>
      </c>
      <c r="K30" s="2" t="str">
        <f>VLOOKUP(J30,Equipes!A:F,6,0)</f>
        <v>Temperate</v>
      </c>
      <c r="L30" s="2">
        <f>VLOOKUP(J30,Equipes!A:C,3,0)</f>
        <v>6</v>
      </c>
      <c r="M30" s="2" t="str">
        <f t="shared" si="4"/>
        <v>Quarter-final</v>
      </c>
      <c r="N30" s="2" t="s">
        <v>124</v>
      </c>
      <c r="O30" s="2">
        <f>VLOOKUP(N30,Equipes!A:C,3,0)</f>
        <v>27</v>
      </c>
      <c r="P30" s="2" t="str">
        <f t="shared" si="5"/>
        <v>Group</v>
      </c>
      <c r="Q30" s="2">
        <f t="shared" si="6"/>
        <v>-21</v>
      </c>
      <c r="R30" s="2" t="str">
        <f>VLOOKUP(J30,Equipes!A:B,2,0)</f>
        <v>Bayern</v>
      </c>
      <c r="S30" s="6" t="s">
        <v>125</v>
      </c>
      <c r="T30" s="7">
        <v>4.0</v>
      </c>
      <c r="U30" s="7" t="s">
        <v>126</v>
      </c>
      <c r="V30" s="7" t="str">
        <f>VLOOKUP(U30,Jogadores!B:C,2,0)</f>
        <v>DF</v>
      </c>
      <c r="W30" s="8">
        <f>VLOOKUP(U30,Jogadores!B:D,3,0)</f>
        <v>29.47945205</v>
      </c>
      <c r="X30" s="7">
        <v>0.0</v>
      </c>
      <c r="Y30" s="7">
        <f t="shared" si="82"/>
        <v>95</v>
      </c>
      <c r="Z30" s="7">
        <f>VLOOKUP(A30,Jogos!A:L,3,0)</f>
        <v>49</v>
      </c>
      <c r="AA30" s="7">
        <f t="shared" si="7"/>
        <v>49</v>
      </c>
      <c r="AB30" s="7">
        <f>VLOOKUP(A30,Jogos!A:L,4,0)</f>
        <v>50</v>
      </c>
      <c r="AC30" s="7">
        <f t="shared" si="8"/>
        <v>50</v>
      </c>
      <c r="AD30" s="7"/>
      <c r="AE30" s="7"/>
      <c r="AF30" s="7">
        <f t="shared" si="9"/>
        <v>99</v>
      </c>
      <c r="AG30" s="7">
        <v>10950.9</v>
      </c>
      <c r="AH30" s="7">
        <v>4450.3</v>
      </c>
      <c r="AI30" s="7">
        <v>4702.8</v>
      </c>
      <c r="AJ30" s="7">
        <v>1232.4</v>
      </c>
      <c r="AK30" s="7">
        <v>449.3</v>
      </c>
      <c r="AL30" s="7">
        <v>116.2</v>
      </c>
      <c r="AM30" s="7">
        <v>120.0</v>
      </c>
      <c r="AN30" s="7">
        <v>34.0</v>
      </c>
      <c r="AO30" s="7">
        <v>32.0</v>
      </c>
      <c r="AP30" s="9">
        <f t="shared" ref="AP30:AR30" si="98">AG30/$AF30</f>
        <v>110.6151515</v>
      </c>
      <c r="AQ30" s="9">
        <f t="shared" si="98"/>
        <v>44.95252525</v>
      </c>
      <c r="AR30" s="9">
        <f t="shared" si="98"/>
        <v>47.5030303</v>
      </c>
      <c r="AS30" s="9">
        <f t="shared" si="11"/>
        <v>92.45555556</v>
      </c>
      <c r="AT30" s="9">
        <f t="shared" ref="AT30:AV30" si="99">AJ30/$AF30</f>
        <v>12.44848485</v>
      </c>
      <c r="AU30" s="9">
        <f t="shared" si="99"/>
        <v>4.538383838</v>
      </c>
      <c r="AV30" s="9">
        <f t="shared" si="99"/>
        <v>1.173737374</v>
      </c>
      <c r="AW30" s="9">
        <f t="shared" si="13"/>
        <v>5.712121212</v>
      </c>
      <c r="AX30" s="9">
        <f t="shared" ref="AX30:AY30" si="100">AM30/$AF30</f>
        <v>1.212121212</v>
      </c>
      <c r="AY30" s="9">
        <f t="shared" si="100"/>
        <v>0.3434343434</v>
      </c>
      <c r="AZ30" s="9">
        <f>VLOOKUP(A30,Jogos!A:BN,58,0)</f>
        <v>26.09</v>
      </c>
      <c r="BA30" s="9">
        <f>VLOOKUP(A30,Jogos!A:BN,59,0)</f>
        <v>21.3</v>
      </c>
      <c r="BB30" s="9">
        <f>VLOOKUP(A30,Jogos!A:BN,60,0)</f>
        <v>74.5</v>
      </c>
      <c r="BC30" s="9">
        <f>VLOOKUP(A30,Jogos!A:BN,61,0)</f>
        <v>24.475</v>
      </c>
      <c r="BD30" s="9">
        <f>VLOOKUP(A30,Jogos!A:BN,62,0)</f>
        <v>547.2</v>
      </c>
      <c r="BE30" s="9">
        <f>VLOOKUP(A30,Jogos!A:BN,63,0)</f>
        <v>1.025</v>
      </c>
      <c r="BF30" s="9">
        <f>VLOOKUP(A30,Jogos!A:BN,64,0)</f>
        <v>23.575</v>
      </c>
      <c r="BG30" s="9">
        <f>VLOOKUP(A30,Jogos!A:BN,65,0)</f>
        <v>41.075</v>
      </c>
      <c r="BH30" s="9">
        <f>VLOOKUP(A30,Jogos!A:BN,66,0)</f>
        <v>27.33</v>
      </c>
      <c r="BI30" s="9"/>
    </row>
    <row r="31" hidden="1">
      <c r="A31" s="2">
        <v>2.0</v>
      </c>
      <c r="B31" s="2" t="s">
        <v>121</v>
      </c>
      <c r="C31" s="2" t="s">
        <v>61</v>
      </c>
      <c r="D31" s="3">
        <v>45823.0</v>
      </c>
      <c r="E31" s="4">
        <v>0.5</v>
      </c>
      <c r="F31" s="5" t="str">
        <f>VLOOKUP(A31,Jogos!A:N,10,0)</f>
        <v>Afternoon</v>
      </c>
      <c r="G31" s="2" t="s">
        <v>122</v>
      </c>
      <c r="H31" s="6" t="str">
        <f>VLOOKUP(A31,Jogos!A:L,12,0)</f>
        <v>Open</v>
      </c>
      <c r="I31" s="6" t="str">
        <f>VLOOKUP(G31,'Estádios e Cidades'!A:B,2,0)</f>
        <v>Cincinnati</v>
      </c>
      <c r="J31" s="2" t="s">
        <v>123</v>
      </c>
      <c r="K31" s="2" t="str">
        <f>VLOOKUP(J31,Equipes!A:F,6,0)</f>
        <v>Temperate</v>
      </c>
      <c r="L31" s="2">
        <f>VLOOKUP(J31,Equipes!A:C,3,0)</f>
        <v>6</v>
      </c>
      <c r="M31" s="2" t="str">
        <f t="shared" si="4"/>
        <v>Quarter-final</v>
      </c>
      <c r="N31" s="2" t="s">
        <v>124</v>
      </c>
      <c r="O31" s="2">
        <f>VLOOKUP(N31,Equipes!A:C,3,0)</f>
        <v>27</v>
      </c>
      <c r="P31" s="2" t="str">
        <f t="shared" si="5"/>
        <v>Group</v>
      </c>
      <c r="Q31" s="2">
        <f t="shared" si="6"/>
        <v>-21</v>
      </c>
      <c r="R31" s="2" t="str">
        <f>VLOOKUP(J31,Equipes!A:B,2,0)</f>
        <v>Bayern</v>
      </c>
      <c r="S31" s="6" t="s">
        <v>127</v>
      </c>
      <c r="T31" s="7">
        <v>6.0</v>
      </c>
      <c r="U31" s="7" t="s">
        <v>128</v>
      </c>
      <c r="V31" s="7" t="str">
        <f>VLOOKUP(U31,Jogadores!B:C,2,0)</f>
        <v>MF</v>
      </c>
      <c r="W31" s="8">
        <f>VLOOKUP(U31,Jogadores!B:D,3,0)</f>
        <v>30.48767123</v>
      </c>
      <c r="X31" s="7">
        <v>0.0</v>
      </c>
      <c r="Y31" s="7">
        <f t="shared" si="82"/>
        <v>95</v>
      </c>
      <c r="Z31" s="7">
        <f>VLOOKUP(A31,Jogos!A:L,3,0)</f>
        <v>49</v>
      </c>
      <c r="AA31" s="7">
        <f t="shared" si="7"/>
        <v>49</v>
      </c>
      <c r="AB31" s="7">
        <f>VLOOKUP(A31,Jogos!A:L,4,0)</f>
        <v>50</v>
      </c>
      <c r="AC31" s="7">
        <f t="shared" si="8"/>
        <v>50</v>
      </c>
      <c r="AD31" s="7"/>
      <c r="AE31" s="7"/>
      <c r="AF31" s="7">
        <f t="shared" si="9"/>
        <v>99</v>
      </c>
      <c r="AG31" s="7">
        <v>11626.2</v>
      </c>
      <c r="AH31" s="7">
        <v>4105.8</v>
      </c>
      <c r="AI31" s="7">
        <v>5388.4</v>
      </c>
      <c r="AJ31" s="7">
        <v>1514.8</v>
      </c>
      <c r="AK31" s="7">
        <v>433.1</v>
      </c>
      <c r="AL31" s="7">
        <v>184.1</v>
      </c>
      <c r="AM31" s="7">
        <v>127.0</v>
      </c>
      <c r="AN31" s="7">
        <v>32.0</v>
      </c>
      <c r="AO31" s="7">
        <v>31.1</v>
      </c>
      <c r="AP31" s="9">
        <f t="shared" ref="AP31:AR31" si="101">AG31/$AF31</f>
        <v>117.4363636</v>
      </c>
      <c r="AQ31" s="9">
        <f t="shared" si="101"/>
        <v>41.47272727</v>
      </c>
      <c r="AR31" s="9">
        <f t="shared" si="101"/>
        <v>54.42828283</v>
      </c>
      <c r="AS31" s="9">
        <f t="shared" si="11"/>
        <v>95.9010101</v>
      </c>
      <c r="AT31" s="9">
        <f t="shared" ref="AT31:AV31" si="102">AJ31/$AF31</f>
        <v>15.3010101</v>
      </c>
      <c r="AU31" s="9">
        <f t="shared" si="102"/>
        <v>4.374747475</v>
      </c>
      <c r="AV31" s="9">
        <f t="shared" si="102"/>
        <v>1.85959596</v>
      </c>
      <c r="AW31" s="9">
        <f t="shared" si="13"/>
        <v>6.234343434</v>
      </c>
      <c r="AX31" s="9">
        <f t="shared" ref="AX31:AY31" si="103">AM31/$AF31</f>
        <v>1.282828283</v>
      </c>
      <c r="AY31" s="9">
        <f t="shared" si="103"/>
        <v>0.3232323232</v>
      </c>
      <c r="AZ31" s="9">
        <f>VLOOKUP(A31,Jogos!A:BN,58,0)</f>
        <v>26.09</v>
      </c>
      <c r="BA31" s="9">
        <f>VLOOKUP(A31,Jogos!A:BN,59,0)</f>
        <v>21.3</v>
      </c>
      <c r="BB31" s="9">
        <f>VLOOKUP(A31,Jogos!A:BN,60,0)</f>
        <v>74.5</v>
      </c>
      <c r="BC31" s="9">
        <f>VLOOKUP(A31,Jogos!A:BN,61,0)</f>
        <v>24.475</v>
      </c>
      <c r="BD31" s="9">
        <f>VLOOKUP(A31,Jogos!A:BN,62,0)</f>
        <v>547.2</v>
      </c>
      <c r="BE31" s="9">
        <f>VLOOKUP(A31,Jogos!A:BN,63,0)</f>
        <v>1.025</v>
      </c>
      <c r="BF31" s="9">
        <f>VLOOKUP(A31,Jogos!A:BN,64,0)</f>
        <v>23.575</v>
      </c>
      <c r="BG31" s="9">
        <f>VLOOKUP(A31,Jogos!A:BN,65,0)</f>
        <v>41.075</v>
      </c>
      <c r="BH31" s="9">
        <f>VLOOKUP(A31,Jogos!A:BN,66,0)</f>
        <v>27.33</v>
      </c>
      <c r="BI31" s="9"/>
    </row>
    <row r="32" hidden="1">
      <c r="A32" s="2">
        <v>2.0</v>
      </c>
      <c r="B32" s="2" t="s">
        <v>121</v>
      </c>
      <c r="C32" s="2" t="s">
        <v>61</v>
      </c>
      <c r="D32" s="3">
        <v>45823.0</v>
      </c>
      <c r="E32" s="4">
        <v>0.5</v>
      </c>
      <c r="F32" s="5" t="str">
        <f>VLOOKUP(A32,Jogos!A:N,10,0)</f>
        <v>Afternoon</v>
      </c>
      <c r="G32" s="2" t="s">
        <v>122</v>
      </c>
      <c r="H32" s="6" t="str">
        <f>VLOOKUP(A32,Jogos!A:L,12,0)</f>
        <v>Open</v>
      </c>
      <c r="I32" s="6" t="str">
        <f>VLOOKUP(G32,'Estádios e Cidades'!A:B,2,0)</f>
        <v>Cincinnati</v>
      </c>
      <c r="J32" s="2" t="s">
        <v>123</v>
      </c>
      <c r="K32" s="2" t="str">
        <f>VLOOKUP(J32,Equipes!A:F,6,0)</f>
        <v>Temperate</v>
      </c>
      <c r="L32" s="2">
        <f>VLOOKUP(J32,Equipes!A:C,3,0)</f>
        <v>6</v>
      </c>
      <c r="M32" s="2" t="str">
        <f t="shared" si="4"/>
        <v>Quarter-final</v>
      </c>
      <c r="N32" s="2" t="s">
        <v>124</v>
      </c>
      <c r="O32" s="2">
        <f>VLOOKUP(N32,Equipes!A:C,3,0)</f>
        <v>27</v>
      </c>
      <c r="P32" s="2" t="str">
        <f t="shared" si="5"/>
        <v>Group</v>
      </c>
      <c r="Q32" s="2">
        <f t="shared" si="6"/>
        <v>-21</v>
      </c>
      <c r="R32" s="2" t="str">
        <f>VLOOKUP(J32,Equipes!A:B,2,0)</f>
        <v>Bayern</v>
      </c>
      <c r="S32" s="6" t="s">
        <v>129</v>
      </c>
      <c r="T32" s="7">
        <v>9.0</v>
      </c>
      <c r="U32" s="7" t="s">
        <v>130</v>
      </c>
      <c r="V32" s="7" t="str">
        <f>VLOOKUP(U32,Jogadores!B:C,2,0)</f>
        <v>FW</v>
      </c>
      <c r="W32" s="8">
        <f>VLOOKUP(U32,Jogadores!B:D,3,0)</f>
        <v>32.02191781</v>
      </c>
      <c r="X32" s="7">
        <v>0.0</v>
      </c>
      <c r="Y32" s="7">
        <v>61.0</v>
      </c>
      <c r="Z32" s="7">
        <f>VLOOKUP(A32,Jogos!A:L,3,0)</f>
        <v>49</v>
      </c>
      <c r="AA32" s="7">
        <f t="shared" si="7"/>
        <v>49</v>
      </c>
      <c r="AB32" s="7">
        <f>VLOOKUP(A32,Jogos!A:L,4,0)</f>
        <v>50</v>
      </c>
      <c r="AC32" s="7">
        <f t="shared" si="8"/>
        <v>16</v>
      </c>
      <c r="AD32" s="7"/>
      <c r="AE32" s="7"/>
      <c r="AF32" s="7">
        <f t="shared" si="9"/>
        <v>65</v>
      </c>
      <c r="AG32" s="7">
        <v>7127.4</v>
      </c>
      <c r="AH32" s="7">
        <v>2864.4</v>
      </c>
      <c r="AI32" s="7">
        <v>3212.9</v>
      </c>
      <c r="AJ32" s="7">
        <v>739.3</v>
      </c>
      <c r="AK32" s="7">
        <v>235.6</v>
      </c>
      <c r="AL32" s="7">
        <v>75.3</v>
      </c>
      <c r="AM32" s="7">
        <v>69.0</v>
      </c>
      <c r="AN32" s="7">
        <v>20.0</v>
      </c>
      <c r="AO32" s="7">
        <v>29.4</v>
      </c>
      <c r="AP32" s="9">
        <f t="shared" ref="AP32:AR32" si="104">AG32/$AF32</f>
        <v>109.6523077</v>
      </c>
      <c r="AQ32" s="9">
        <f t="shared" si="104"/>
        <v>44.06769231</v>
      </c>
      <c r="AR32" s="9">
        <f t="shared" si="104"/>
        <v>49.42923077</v>
      </c>
      <c r="AS32" s="9">
        <f t="shared" si="11"/>
        <v>93.49692308</v>
      </c>
      <c r="AT32" s="9">
        <f t="shared" ref="AT32:AV32" si="105">AJ32/$AF32</f>
        <v>11.37384615</v>
      </c>
      <c r="AU32" s="9">
        <f t="shared" si="105"/>
        <v>3.624615385</v>
      </c>
      <c r="AV32" s="9">
        <f t="shared" si="105"/>
        <v>1.158461538</v>
      </c>
      <c r="AW32" s="9">
        <f t="shared" si="13"/>
        <v>4.783076923</v>
      </c>
      <c r="AX32" s="9">
        <f t="shared" ref="AX32:AY32" si="106">AM32/$AF32</f>
        <v>1.061538462</v>
      </c>
      <c r="AY32" s="9">
        <f t="shared" si="106"/>
        <v>0.3076923077</v>
      </c>
      <c r="AZ32" s="9">
        <f>VLOOKUP(A32,Jogos!A:BN,58,0)</f>
        <v>26.09</v>
      </c>
      <c r="BA32" s="9">
        <f>VLOOKUP(A32,Jogos!A:BN,59,0)</f>
        <v>21.3</v>
      </c>
      <c r="BB32" s="9">
        <f>VLOOKUP(A32,Jogos!A:BN,60,0)</f>
        <v>74.5</v>
      </c>
      <c r="BC32" s="9">
        <f>VLOOKUP(A32,Jogos!A:BN,61,0)</f>
        <v>24.475</v>
      </c>
      <c r="BD32" s="9">
        <f>VLOOKUP(A32,Jogos!A:BN,62,0)</f>
        <v>547.2</v>
      </c>
      <c r="BE32" s="9">
        <f>VLOOKUP(A32,Jogos!A:BN,63,0)</f>
        <v>1.025</v>
      </c>
      <c r="BF32" s="9">
        <f>VLOOKUP(A32,Jogos!A:BN,64,0)</f>
        <v>23.575</v>
      </c>
      <c r="BG32" s="9">
        <f>VLOOKUP(A32,Jogos!A:BN,65,0)</f>
        <v>41.075</v>
      </c>
      <c r="BH32" s="9">
        <f>VLOOKUP(A32,Jogos!A:BN,66,0)</f>
        <v>27.33</v>
      </c>
      <c r="BI32" s="9"/>
    </row>
    <row r="33" hidden="1">
      <c r="A33" s="2">
        <v>2.0</v>
      </c>
      <c r="B33" s="2" t="s">
        <v>121</v>
      </c>
      <c r="C33" s="2" t="s">
        <v>61</v>
      </c>
      <c r="D33" s="3">
        <v>45823.0</v>
      </c>
      <c r="E33" s="4">
        <v>0.5</v>
      </c>
      <c r="F33" s="5" t="str">
        <f>VLOOKUP(A33,Jogos!A:N,10,0)</f>
        <v>Afternoon</v>
      </c>
      <c r="G33" s="2" t="s">
        <v>122</v>
      </c>
      <c r="H33" s="6" t="str">
        <f>VLOOKUP(A33,Jogos!A:L,12,0)</f>
        <v>Open</v>
      </c>
      <c r="I33" s="6" t="str">
        <f>VLOOKUP(G33,'Estádios e Cidades'!A:B,2,0)</f>
        <v>Cincinnati</v>
      </c>
      <c r="J33" s="2" t="s">
        <v>123</v>
      </c>
      <c r="K33" s="2" t="str">
        <f>VLOOKUP(J33,Equipes!A:F,6,0)</f>
        <v>Temperate</v>
      </c>
      <c r="L33" s="2">
        <f>VLOOKUP(J33,Equipes!A:C,3,0)</f>
        <v>6</v>
      </c>
      <c r="M33" s="2" t="str">
        <f t="shared" si="4"/>
        <v>Quarter-final</v>
      </c>
      <c r="N33" s="2" t="s">
        <v>124</v>
      </c>
      <c r="O33" s="2">
        <f>VLOOKUP(N33,Equipes!A:C,3,0)</f>
        <v>27</v>
      </c>
      <c r="P33" s="2" t="str">
        <f t="shared" si="5"/>
        <v>Group</v>
      </c>
      <c r="Q33" s="2">
        <f t="shared" si="6"/>
        <v>-21</v>
      </c>
      <c r="R33" s="2" t="str">
        <f>VLOOKUP(J33,Equipes!A:B,2,0)</f>
        <v>Bayern</v>
      </c>
      <c r="S33" s="6" t="s">
        <v>131</v>
      </c>
      <c r="T33" s="7">
        <v>11.0</v>
      </c>
      <c r="U33" s="7" t="s">
        <v>132</v>
      </c>
      <c r="V33" s="7" t="str">
        <f>VLOOKUP(U33,Jogadores!B:C,2,0)</f>
        <v>FW</v>
      </c>
      <c r="W33" s="8">
        <f>VLOOKUP(U33,Jogadores!B:D,3,0)</f>
        <v>29.14246575</v>
      </c>
      <c r="X33" s="7">
        <v>0.0</v>
      </c>
      <c r="Y33" s="7">
        <v>45.0</v>
      </c>
      <c r="Z33" s="7">
        <f>VLOOKUP(A33,Jogos!A:L,3,0)</f>
        <v>49</v>
      </c>
      <c r="AA33" s="7">
        <f t="shared" si="7"/>
        <v>49</v>
      </c>
      <c r="AB33" s="7">
        <f>VLOOKUP(A33,Jogos!A:L,4,0)</f>
        <v>50</v>
      </c>
      <c r="AC33" s="7">
        <f t="shared" si="8"/>
        <v>0</v>
      </c>
      <c r="AD33" s="7"/>
      <c r="AE33" s="7"/>
      <c r="AF33" s="7">
        <f t="shared" si="9"/>
        <v>49</v>
      </c>
      <c r="AG33" s="7">
        <v>5802.6</v>
      </c>
      <c r="AH33" s="7">
        <v>1912.0</v>
      </c>
      <c r="AI33" s="7">
        <v>2746.4</v>
      </c>
      <c r="AJ33" s="7">
        <v>763.9</v>
      </c>
      <c r="AK33" s="7">
        <v>292.5</v>
      </c>
      <c r="AL33" s="7">
        <v>87.8</v>
      </c>
      <c r="AM33" s="7">
        <v>63.0</v>
      </c>
      <c r="AN33" s="7">
        <v>26.0</v>
      </c>
      <c r="AO33" s="7">
        <v>29.1</v>
      </c>
      <c r="AP33" s="9">
        <f t="shared" ref="AP33:AR33" si="107">AG33/$AF33</f>
        <v>118.4204082</v>
      </c>
      <c r="AQ33" s="9">
        <f t="shared" si="107"/>
        <v>39.02040816</v>
      </c>
      <c r="AR33" s="9">
        <f t="shared" si="107"/>
        <v>56.04897959</v>
      </c>
      <c r="AS33" s="9">
        <f t="shared" si="11"/>
        <v>95.06938776</v>
      </c>
      <c r="AT33" s="9">
        <f t="shared" ref="AT33:AV33" si="108">AJ33/$AF33</f>
        <v>15.58979592</v>
      </c>
      <c r="AU33" s="9">
        <f t="shared" si="108"/>
        <v>5.969387755</v>
      </c>
      <c r="AV33" s="9">
        <f t="shared" si="108"/>
        <v>1.791836735</v>
      </c>
      <c r="AW33" s="9">
        <f t="shared" si="13"/>
        <v>7.76122449</v>
      </c>
      <c r="AX33" s="9">
        <f t="shared" ref="AX33:AY33" si="109">AM33/$AF33</f>
        <v>1.285714286</v>
      </c>
      <c r="AY33" s="9">
        <f t="shared" si="109"/>
        <v>0.5306122449</v>
      </c>
      <c r="AZ33" s="9">
        <f>VLOOKUP(A33,Jogos!A:BN,58,0)</f>
        <v>26.09</v>
      </c>
      <c r="BA33" s="9">
        <f>VLOOKUP(A33,Jogos!A:BN,59,0)</f>
        <v>21.3</v>
      </c>
      <c r="BB33" s="9">
        <f>VLOOKUP(A33,Jogos!A:BN,60,0)</f>
        <v>74.5</v>
      </c>
      <c r="BC33" s="9">
        <f>VLOOKUP(A33,Jogos!A:BN,61,0)</f>
        <v>24.475</v>
      </c>
      <c r="BD33" s="9">
        <f>VLOOKUP(A33,Jogos!A:BN,62,0)</f>
        <v>547.2</v>
      </c>
      <c r="BE33" s="9">
        <f>VLOOKUP(A33,Jogos!A:BN,63,0)</f>
        <v>1.025</v>
      </c>
      <c r="BF33" s="9">
        <f>VLOOKUP(A33,Jogos!A:BN,64,0)</f>
        <v>23.575</v>
      </c>
      <c r="BG33" s="9">
        <f>VLOOKUP(A33,Jogos!A:BN,65,0)</f>
        <v>41.075</v>
      </c>
      <c r="BH33" s="9">
        <f>VLOOKUP(A33,Jogos!A:BN,66,0)</f>
        <v>27.33</v>
      </c>
      <c r="BI33" s="9"/>
    </row>
    <row r="34" hidden="1">
      <c r="A34" s="2">
        <v>2.0</v>
      </c>
      <c r="B34" s="2" t="s">
        <v>121</v>
      </c>
      <c r="C34" s="2" t="s">
        <v>61</v>
      </c>
      <c r="D34" s="3">
        <v>45823.0</v>
      </c>
      <c r="E34" s="4">
        <v>0.5</v>
      </c>
      <c r="F34" s="5" t="str">
        <f>VLOOKUP(A34,Jogos!A:N,10,0)</f>
        <v>Afternoon</v>
      </c>
      <c r="G34" s="2" t="s">
        <v>122</v>
      </c>
      <c r="H34" s="6" t="str">
        <f>VLOOKUP(A34,Jogos!A:L,12,0)</f>
        <v>Open</v>
      </c>
      <c r="I34" s="6" t="str">
        <f>VLOOKUP(G34,'Estádios e Cidades'!A:B,2,0)</f>
        <v>Cincinnati</v>
      </c>
      <c r="J34" s="2" t="s">
        <v>123</v>
      </c>
      <c r="K34" s="2" t="str">
        <f>VLOOKUP(J34,Equipes!A:F,6,0)</f>
        <v>Temperate</v>
      </c>
      <c r="L34" s="2">
        <f>VLOOKUP(J34,Equipes!A:C,3,0)</f>
        <v>6</v>
      </c>
      <c r="M34" s="2" t="str">
        <f t="shared" si="4"/>
        <v>Quarter-final</v>
      </c>
      <c r="N34" s="2" t="s">
        <v>124</v>
      </c>
      <c r="O34" s="2">
        <f>VLOOKUP(N34,Equipes!A:C,3,0)</f>
        <v>27</v>
      </c>
      <c r="P34" s="2" t="str">
        <f t="shared" si="5"/>
        <v>Group</v>
      </c>
      <c r="Q34" s="2">
        <f t="shared" si="6"/>
        <v>-21</v>
      </c>
      <c r="R34" s="2" t="str">
        <f>VLOOKUP(J34,Equipes!A:B,2,0)</f>
        <v>Bayern</v>
      </c>
      <c r="S34" s="6" t="s">
        <v>133</v>
      </c>
      <c r="T34" s="7">
        <v>17.0</v>
      </c>
      <c r="U34" s="7" t="s">
        <v>134</v>
      </c>
      <c r="V34" s="7" t="str">
        <f>VLOOKUP(U34,Jogadores!B:C,2,0)</f>
        <v>FW</v>
      </c>
      <c r="W34" s="8">
        <f>VLOOKUP(U34,Jogadores!B:D,3,0)</f>
        <v>23.64109589</v>
      </c>
      <c r="X34" s="7">
        <v>0.0</v>
      </c>
      <c r="Y34" s="7">
        <v>45.0</v>
      </c>
      <c r="Z34" s="7">
        <f>VLOOKUP(A34,Jogos!A:L,3,0)</f>
        <v>49</v>
      </c>
      <c r="AA34" s="7">
        <f t="shared" si="7"/>
        <v>49</v>
      </c>
      <c r="AB34" s="7">
        <f>VLOOKUP(A34,Jogos!A:L,4,0)</f>
        <v>50</v>
      </c>
      <c r="AC34" s="7">
        <f t="shared" si="8"/>
        <v>0</v>
      </c>
      <c r="AD34" s="7"/>
      <c r="AE34" s="7"/>
      <c r="AF34" s="7">
        <f t="shared" si="9"/>
        <v>49</v>
      </c>
      <c r="AG34" s="7">
        <v>5720.2</v>
      </c>
      <c r="AH34" s="7">
        <v>1942.4</v>
      </c>
      <c r="AI34" s="7">
        <v>2671.5</v>
      </c>
      <c r="AJ34" s="7">
        <v>772.1</v>
      </c>
      <c r="AK34" s="7">
        <v>260.2</v>
      </c>
      <c r="AL34" s="7">
        <v>73.8</v>
      </c>
      <c r="AM34" s="7">
        <v>74.0</v>
      </c>
      <c r="AN34" s="7">
        <v>23.0</v>
      </c>
      <c r="AO34" s="7">
        <v>28.9</v>
      </c>
      <c r="AP34" s="9">
        <f t="shared" ref="AP34:AR34" si="110">AG34/$AF34</f>
        <v>116.7387755</v>
      </c>
      <c r="AQ34" s="9">
        <f t="shared" si="110"/>
        <v>39.64081633</v>
      </c>
      <c r="AR34" s="9">
        <f t="shared" si="110"/>
        <v>54.52040816</v>
      </c>
      <c r="AS34" s="9">
        <f t="shared" si="11"/>
        <v>94.16122449</v>
      </c>
      <c r="AT34" s="9">
        <f t="shared" ref="AT34:AV34" si="111">AJ34/$AF34</f>
        <v>15.75714286</v>
      </c>
      <c r="AU34" s="9">
        <f t="shared" si="111"/>
        <v>5.310204082</v>
      </c>
      <c r="AV34" s="9">
        <f t="shared" si="111"/>
        <v>1.506122449</v>
      </c>
      <c r="AW34" s="9">
        <f t="shared" si="13"/>
        <v>6.816326531</v>
      </c>
      <c r="AX34" s="9">
        <f t="shared" ref="AX34:AY34" si="112">AM34/$AF34</f>
        <v>1.510204082</v>
      </c>
      <c r="AY34" s="9">
        <f t="shared" si="112"/>
        <v>0.4693877551</v>
      </c>
      <c r="AZ34" s="9">
        <f>VLOOKUP(A34,Jogos!A:BN,58,0)</f>
        <v>26.09</v>
      </c>
      <c r="BA34" s="9">
        <f>VLOOKUP(A34,Jogos!A:BN,59,0)</f>
        <v>21.3</v>
      </c>
      <c r="BB34" s="9">
        <f>VLOOKUP(A34,Jogos!A:BN,60,0)</f>
        <v>74.5</v>
      </c>
      <c r="BC34" s="9">
        <f>VLOOKUP(A34,Jogos!A:BN,61,0)</f>
        <v>24.475</v>
      </c>
      <c r="BD34" s="9">
        <f>VLOOKUP(A34,Jogos!A:BN,62,0)</f>
        <v>547.2</v>
      </c>
      <c r="BE34" s="9">
        <f>VLOOKUP(A34,Jogos!A:BN,63,0)</f>
        <v>1.025</v>
      </c>
      <c r="BF34" s="9">
        <f>VLOOKUP(A34,Jogos!A:BN,64,0)</f>
        <v>23.575</v>
      </c>
      <c r="BG34" s="9">
        <f>VLOOKUP(A34,Jogos!A:BN,65,0)</f>
        <v>41.075</v>
      </c>
      <c r="BH34" s="9">
        <f>VLOOKUP(A34,Jogos!A:BN,66,0)</f>
        <v>27.33</v>
      </c>
      <c r="BI34" s="9"/>
    </row>
    <row r="35" hidden="1">
      <c r="A35" s="2">
        <v>2.0</v>
      </c>
      <c r="B35" s="2" t="s">
        <v>121</v>
      </c>
      <c r="C35" s="2" t="s">
        <v>61</v>
      </c>
      <c r="D35" s="3">
        <v>45823.0</v>
      </c>
      <c r="E35" s="4">
        <v>0.5</v>
      </c>
      <c r="F35" s="5" t="str">
        <f>VLOOKUP(A35,Jogos!A:N,10,0)</f>
        <v>Afternoon</v>
      </c>
      <c r="G35" s="2" t="s">
        <v>122</v>
      </c>
      <c r="H35" s="6" t="str">
        <f>VLOOKUP(A35,Jogos!A:L,12,0)</f>
        <v>Open</v>
      </c>
      <c r="I35" s="6" t="str">
        <f>VLOOKUP(G35,'Estádios e Cidades'!A:B,2,0)</f>
        <v>Cincinnati</v>
      </c>
      <c r="J35" s="2" t="s">
        <v>123</v>
      </c>
      <c r="K35" s="2" t="str">
        <f>VLOOKUP(J35,Equipes!A:F,6,0)</f>
        <v>Temperate</v>
      </c>
      <c r="L35" s="2">
        <f>VLOOKUP(J35,Equipes!A:C,3,0)</f>
        <v>6</v>
      </c>
      <c r="M35" s="2" t="str">
        <f t="shared" si="4"/>
        <v>Quarter-final</v>
      </c>
      <c r="N35" s="2" t="s">
        <v>124</v>
      </c>
      <c r="O35" s="2">
        <f>VLOOKUP(N35,Equipes!A:C,3,0)</f>
        <v>27</v>
      </c>
      <c r="P35" s="2" t="str">
        <f t="shared" si="5"/>
        <v>Group</v>
      </c>
      <c r="Q35" s="2">
        <f t="shared" si="6"/>
        <v>-21</v>
      </c>
      <c r="R35" s="2" t="str">
        <f>VLOOKUP(J35,Equipes!A:B,2,0)</f>
        <v>Bayern</v>
      </c>
      <c r="S35" s="6" t="s">
        <v>135</v>
      </c>
      <c r="T35" s="7">
        <v>22.0</v>
      </c>
      <c r="U35" s="7" t="s">
        <v>136</v>
      </c>
      <c r="V35" s="7" t="str">
        <f>VLOOKUP(U35,Jogadores!B:C,2,0)</f>
        <v>DF</v>
      </c>
      <c r="W35" s="8">
        <f>VLOOKUP(U35,Jogadores!B:D,3,0)</f>
        <v>31.61917808</v>
      </c>
      <c r="X35" s="7">
        <v>0.0</v>
      </c>
      <c r="Y35" s="7">
        <v>61.0</v>
      </c>
      <c r="Z35" s="7">
        <f>VLOOKUP(A35,Jogos!A:L,3,0)</f>
        <v>49</v>
      </c>
      <c r="AA35" s="7">
        <f t="shared" si="7"/>
        <v>49</v>
      </c>
      <c r="AB35" s="7">
        <f>VLOOKUP(A35,Jogos!A:L,4,0)</f>
        <v>50</v>
      </c>
      <c r="AC35" s="7">
        <f t="shared" si="8"/>
        <v>16</v>
      </c>
      <c r="AD35" s="7"/>
      <c r="AE35" s="7"/>
      <c r="AF35" s="7">
        <f t="shared" si="9"/>
        <v>65</v>
      </c>
      <c r="AG35" s="7">
        <v>7698.5</v>
      </c>
      <c r="AH35" s="7">
        <v>2541.7</v>
      </c>
      <c r="AI35" s="7">
        <v>3535.8</v>
      </c>
      <c r="AJ35" s="7">
        <v>1055.5</v>
      </c>
      <c r="AK35" s="7">
        <v>457.1</v>
      </c>
      <c r="AL35" s="7">
        <v>108.3</v>
      </c>
      <c r="AM35" s="7">
        <v>92.0</v>
      </c>
      <c r="AN35" s="7">
        <v>37.0</v>
      </c>
      <c r="AO35" s="7">
        <v>28.9</v>
      </c>
      <c r="AP35" s="9">
        <f t="shared" ref="AP35:AR35" si="113">AG35/$AF35</f>
        <v>118.4384615</v>
      </c>
      <c r="AQ35" s="9">
        <f t="shared" si="113"/>
        <v>39.10307692</v>
      </c>
      <c r="AR35" s="9">
        <f t="shared" si="113"/>
        <v>54.39692308</v>
      </c>
      <c r="AS35" s="9">
        <f t="shared" si="11"/>
        <v>93.5</v>
      </c>
      <c r="AT35" s="9">
        <f t="shared" ref="AT35:AV35" si="114">AJ35/$AF35</f>
        <v>16.23846154</v>
      </c>
      <c r="AU35" s="9">
        <f t="shared" si="114"/>
        <v>7.032307692</v>
      </c>
      <c r="AV35" s="9">
        <f t="shared" si="114"/>
        <v>1.666153846</v>
      </c>
      <c r="AW35" s="9">
        <f t="shared" si="13"/>
        <v>8.698461538</v>
      </c>
      <c r="AX35" s="9">
        <f t="shared" ref="AX35:AY35" si="115">AM35/$AF35</f>
        <v>1.415384615</v>
      </c>
      <c r="AY35" s="9">
        <f t="shared" si="115"/>
        <v>0.5692307692</v>
      </c>
      <c r="AZ35" s="9">
        <f>VLOOKUP(A35,Jogos!A:BN,58,0)</f>
        <v>26.09</v>
      </c>
      <c r="BA35" s="9">
        <f>VLOOKUP(A35,Jogos!A:BN,59,0)</f>
        <v>21.3</v>
      </c>
      <c r="BB35" s="9">
        <f>VLOOKUP(A35,Jogos!A:BN,60,0)</f>
        <v>74.5</v>
      </c>
      <c r="BC35" s="9">
        <f>VLOOKUP(A35,Jogos!A:BN,61,0)</f>
        <v>24.475</v>
      </c>
      <c r="BD35" s="9">
        <f>VLOOKUP(A35,Jogos!A:BN,62,0)</f>
        <v>547.2</v>
      </c>
      <c r="BE35" s="9">
        <f>VLOOKUP(A35,Jogos!A:BN,63,0)</f>
        <v>1.025</v>
      </c>
      <c r="BF35" s="9">
        <f>VLOOKUP(A35,Jogos!A:BN,64,0)</f>
        <v>23.575</v>
      </c>
      <c r="BG35" s="9">
        <f>VLOOKUP(A35,Jogos!A:BN,65,0)</f>
        <v>41.075</v>
      </c>
      <c r="BH35" s="9">
        <f>VLOOKUP(A35,Jogos!A:BN,66,0)</f>
        <v>27.33</v>
      </c>
      <c r="BI35" s="9"/>
    </row>
    <row r="36" hidden="1">
      <c r="A36" s="2">
        <v>2.0</v>
      </c>
      <c r="B36" s="2" t="s">
        <v>121</v>
      </c>
      <c r="C36" s="2" t="s">
        <v>61</v>
      </c>
      <c r="D36" s="3">
        <v>45823.0</v>
      </c>
      <c r="E36" s="4">
        <v>0.5</v>
      </c>
      <c r="F36" s="5" t="str">
        <f>VLOOKUP(A36,Jogos!A:N,10,0)</f>
        <v>Afternoon</v>
      </c>
      <c r="G36" s="2" t="s">
        <v>122</v>
      </c>
      <c r="H36" s="6" t="str">
        <f>VLOOKUP(A36,Jogos!A:L,12,0)</f>
        <v>Open</v>
      </c>
      <c r="I36" s="6" t="str">
        <f>VLOOKUP(G36,'Estádios e Cidades'!A:B,2,0)</f>
        <v>Cincinnati</v>
      </c>
      <c r="J36" s="2" t="s">
        <v>123</v>
      </c>
      <c r="K36" s="2" t="str">
        <f>VLOOKUP(J36,Equipes!A:F,6,0)</f>
        <v>Temperate</v>
      </c>
      <c r="L36" s="2">
        <f>VLOOKUP(J36,Equipes!A:C,3,0)</f>
        <v>6</v>
      </c>
      <c r="M36" s="2" t="str">
        <f t="shared" si="4"/>
        <v>Quarter-final</v>
      </c>
      <c r="N36" s="2" t="s">
        <v>124</v>
      </c>
      <c r="O36" s="2">
        <f>VLOOKUP(N36,Equipes!A:C,3,0)</f>
        <v>27</v>
      </c>
      <c r="P36" s="2" t="str">
        <f t="shared" si="5"/>
        <v>Group</v>
      </c>
      <c r="Q36" s="2">
        <f t="shared" si="6"/>
        <v>-21</v>
      </c>
      <c r="R36" s="2" t="str">
        <f>VLOOKUP(J36,Equipes!A:B,2,0)</f>
        <v>Bayern</v>
      </c>
      <c r="S36" s="6" t="s">
        <v>137</v>
      </c>
      <c r="T36" s="7">
        <v>23.0</v>
      </c>
      <c r="U36" s="7" t="s">
        <v>138</v>
      </c>
      <c r="V36" s="7" t="str">
        <f>VLOOKUP(U36,Jogadores!B:C,2,0)</f>
        <v>DF</v>
      </c>
      <c r="W36" s="8">
        <f>VLOOKUP(U36,Jogadores!B:D,3,0)</f>
        <v>24.88767123</v>
      </c>
      <c r="X36" s="7">
        <v>0.0</v>
      </c>
      <c r="Y36" s="7">
        <f t="shared" ref="Y36:Y37" si="119">45+AB36</f>
        <v>95</v>
      </c>
      <c r="Z36" s="7">
        <f>VLOOKUP(A36,Jogos!A:L,3,0)</f>
        <v>49</v>
      </c>
      <c r="AA36" s="7">
        <f t="shared" si="7"/>
        <v>49</v>
      </c>
      <c r="AB36" s="7">
        <f>VLOOKUP(A36,Jogos!A:L,4,0)</f>
        <v>50</v>
      </c>
      <c r="AC36" s="7">
        <f t="shared" si="8"/>
        <v>50</v>
      </c>
      <c r="AD36" s="7"/>
      <c r="AE36" s="7"/>
      <c r="AF36" s="7">
        <f t="shared" si="9"/>
        <v>99</v>
      </c>
      <c r="AG36" s="7">
        <v>11519.8</v>
      </c>
      <c r="AH36" s="7">
        <v>4209.7</v>
      </c>
      <c r="AI36" s="7">
        <v>4667.0</v>
      </c>
      <c r="AJ36" s="7">
        <v>1380.3</v>
      </c>
      <c r="AK36" s="7">
        <v>781.3</v>
      </c>
      <c r="AL36" s="7">
        <v>481.5</v>
      </c>
      <c r="AM36" s="7">
        <v>121.0</v>
      </c>
      <c r="AN36" s="7">
        <v>71.0</v>
      </c>
      <c r="AO36" s="7">
        <v>32.3</v>
      </c>
      <c r="AP36" s="9">
        <f t="shared" ref="AP36:AR36" si="116">AG36/$AF36</f>
        <v>116.3616162</v>
      </c>
      <c r="AQ36" s="9">
        <f t="shared" si="116"/>
        <v>42.52222222</v>
      </c>
      <c r="AR36" s="9">
        <f t="shared" si="116"/>
        <v>47.14141414</v>
      </c>
      <c r="AS36" s="9">
        <f t="shared" si="11"/>
        <v>89.66363636</v>
      </c>
      <c r="AT36" s="9">
        <f t="shared" ref="AT36:AV36" si="117">AJ36/$AF36</f>
        <v>13.94242424</v>
      </c>
      <c r="AU36" s="9">
        <f t="shared" si="117"/>
        <v>7.891919192</v>
      </c>
      <c r="AV36" s="9">
        <f t="shared" si="117"/>
        <v>4.863636364</v>
      </c>
      <c r="AW36" s="9">
        <f t="shared" si="13"/>
        <v>12.75555556</v>
      </c>
      <c r="AX36" s="9">
        <f t="shared" ref="AX36:AY36" si="118">AM36/$AF36</f>
        <v>1.222222222</v>
      </c>
      <c r="AY36" s="9">
        <f t="shared" si="118"/>
        <v>0.7171717172</v>
      </c>
      <c r="AZ36" s="9">
        <f>VLOOKUP(A36,Jogos!A:BN,58,0)</f>
        <v>26.09</v>
      </c>
      <c r="BA36" s="9">
        <f>VLOOKUP(A36,Jogos!A:BN,59,0)</f>
        <v>21.3</v>
      </c>
      <c r="BB36" s="9">
        <f>VLOOKUP(A36,Jogos!A:BN,60,0)</f>
        <v>74.5</v>
      </c>
      <c r="BC36" s="9">
        <f>VLOOKUP(A36,Jogos!A:BN,61,0)</f>
        <v>24.475</v>
      </c>
      <c r="BD36" s="9">
        <f>VLOOKUP(A36,Jogos!A:BN,62,0)</f>
        <v>547.2</v>
      </c>
      <c r="BE36" s="9">
        <f>VLOOKUP(A36,Jogos!A:BN,63,0)</f>
        <v>1.025</v>
      </c>
      <c r="BF36" s="9">
        <f>VLOOKUP(A36,Jogos!A:BN,64,0)</f>
        <v>23.575</v>
      </c>
      <c r="BG36" s="9">
        <f>VLOOKUP(A36,Jogos!A:BN,65,0)</f>
        <v>41.075</v>
      </c>
      <c r="BH36" s="9">
        <f>VLOOKUP(A36,Jogos!A:BN,66,0)</f>
        <v>27.33</v>
      </c>
      <c r="BI36" s="9"/>
    </row>
    <row r="37" hidden="1">
      <c r="A37" s="2">
        <v>2.0</v>
      </c>
      <c r="B37" s="2" t="s">
        <v>121</v>
      </c>
      <c r="C37" s="2" t="s">
        <v>61</v>
      </c>
      <c r="D37" s="3">
        <v>45823.0</v>
      </c>
      <c r="E37" s="4">
        <v>0.5</v>
      </c>
      <c r="F37" s="5" t="str">
        <f>VLOOKUP(A37,Jogos!A:N,10,0)</f>
        <v>Afternoon</v>
      </c>
      <c r="G37" s="2" t="s">
        <v>122</v>
      </c>
      <c r="H37" s="6" t="str">
        <f>VLOOKUP(A37,Jogos!A:L,12,0)</f>
        <v>Open</v>
      </c>
      <c r="I37" s="6" t="str">
        <f>VLOOKUP(G37,'Estádios e Cidades'!A:B,2,0)</f>
        <v>Cincinnati</v>
      </c>
      <c r="J37" s="2" t="s">
        <v>123</v>
      </c>
      <c r="K37" s="2" t="str">
        <f>VLOOKUP(J37,Equipes!A:F,6,0)</f>
        <v>Temperate</v>
      </c>
      <c r="L37" s="2">
        <f>VLOOKUP(J37,Equipes!A:C,3,0)</f>
        <v>6</v>
      </c>
      <c r="M37" s="2" t="str">
        <f t="shared" si="4"/>
        <v>Quarter-final</v>
      </c>
      <c r="N37" s="2" t="s">
        <v>124</v>
      </c>
      <c r="O37" s="2">
        <f>VLOOKUP(N37,Equipes!A:C,3,0)</f>
        <v>27</v>
      </c>
      <c r="P37" s="2" t="str">
        <f t="shared" si="5"/>
        <v>Group</v>
      </c>
      <c r="Q37" s="2">
        <f t="shared" si="6"/>
        <v>-21</v>
      </c>
      <c r="R37" s="2" t="str">
        <f>VLOOKUP(J37,Equipes!A:B,2,0)</f>
        <v>Bayern</v>
      </c>
      <c r="S37" s="6" t="s">
        <v>139</v>
      </c>
      <c r="T37" s="7">
        <v>25.0</v>
      </c>
      <c r="U37" s="7" t="s">
        <v>140</v>
      </c>
      <c r="V37" s="7" t="str">
        <f>VLOOKUP(U37,Jogadores!B:C,2,0)</f>
        <v>FW</v>
      </c>
      <c r="W37" s="8">
        <f>VLOOKUP(U37,Jogadores!B:D,3,0)</f>
        <v>35.89589041</v>
      </c>
      <c r="X37" s="7">
        <v>0.0</v>
      </c>
      <c r="Y37" s="7">
        <f t="shared" si="119"/>
        <v>95</v>
      </c>
      <c r="Z37" s="7">
        <f>VLOOKUP(A37,Jogos!A:L,3,0)</f>
        <v>49</v>
      </c>
      <c r="AA37" s="7">
        <f t="shared" si="7"/>
        <v>49</v>
      </c>
      <c r="AB37" s="7">
        <f>VLOOKUP(A37,Jogos!A:L,4,0)</f>
        <v>50</v>
      </c>
      <c r="AC37" s="7">
        <f t="shared" si="8"/>
        <v>50</v>
      </c>
      <c r="AD37" s="7"/>
      <c r="AE37" s="7"/>
      <c r="AF37" s="7">
        <f t="shared" si="9"/>
        <v>99</v>
      </c>
      <c r="AG37" s="7">
        <v>11261.1</v>
      </c>
      <c r="AH37" s="7">
        <v>4415.2</v>
      </c>
      <c r="AI37" s="7">
        <v>5182.6</v>
      </c>
      <c r="AJ37" s="7">
        <v>1245.9</v>
      </c>
      <c r="AK37" s="7">
        <v>393.6</v>
      </c>
      <c r="AL37" s="7">
        <v>23.9</v>
      </c>
      <c r="AM37" s="7">
        <v>119.0</v>
      </c>
      <c r="AN37" s="7">
        <v>31.0</v>
      </c>
      <c r="AO37" s="7">
        <v>28.1</v>
      </c>
      <c r="AP37" s="9">
        <f t="shared" ref="AP37:AR37" si="120">AG37/$AF37</f>
        <v>113.7484848</v>
      </c>
      <c r="AQ37" s="9">
        <f t="shared" si="120"/>
        <v>44.5979798</v>
      </c>
      <c r="AR37" s="9">
        <f t="shared" si="120"/>
        <v>52.34949495</v>
      </c>
      <c r="AS37" s="9">
        <f t="shared" si="11"/>
        <v>96.94747475</v>
      </c>
      <c r="AT37" s="9">
        <f t="shared" ref="AT37:AV37" si="121">AJ37/$AF37</f>
        <v>12.58484848</v>
      </c>
      <c r="AU37" s="9">
        <f t="shared" si="121"/>
        <v>3.975757576</v>
      </c>
      <c r="AV37" s="9">
        <f t="shared" si="121"/>
        <v>0.2414141414</v>
      </c>
      <c r="AW37" s="9">
        <f t="shared" si="13"/>
        <v>4.217171717</v>
      </c>
      <c r="AX37" s="9">
        <f t="shared" ref="AX37:AY37" si="122">AM37/$AF37</f>
        <v>1.202020202</v>
      </c>
      <c r="AY37" s="9">
        <f t="shared" si="122"/>
        <v>0.3131313131</v>
      </c>
      <c r="AZ37" s="9">
        <f>VLOOKUP(A37,Jogos!A:BN,58,0)</f>
        <v>26.09</v>
      </c>
      <c r="BA37" s="9">
        <f>VLOOKUP(A37,Jogos!A:BN,59,0)</f>
        <v>21.3</v>
      </c>
      <c r="BB37" s="9">
        <f>VLOOKUP(A37,Jogos!A:BN,60,0)</f>
        <v>74.5</v>
      </c>
      <c r="BC37" s="9">
        <f>VLOOKUP(A37,Jogos!A:BN,61,0)</f>
        <v>24.475</v>
      </c>
      <c r="BD37" s="9">
        <f>VLOOKUP(A37,Jogos!A:BN,62,0)</f>
        <v>547.2</v>
      </c>
      <c r="BE37" s="9">
        <f>VLOOKUP(A37,Jogos!A:BN,63,0)</f>
        <v>1.025</v>
      </c>
      <c r="BF37" s="9">
        <f>VLOOKUP(A37,Jogos!A:BN,64,0)</f>
        <v>23.575</v>
      </c>
      <c r="BG37" s="9">
        <f>VLOOKUP(A37,Jogos!A:BN,65,0)</f>
        <v>41.075</v>
      </c>
      <c r="BH37" s="9">
        <f>VLOOKUP(A37,Jogos!A:BN,66,0)</f>
        <v>27.33</v>
      </c>
      <c r="BI37" s="9"/>
    </row>
    <row r="38" hidden="1">
      <c r="A38" s="2">
        <v>2.0</v>
      </c>
      <c r="B38" s="2" t="s">
        <v>121</v>
      </c>
      <c r="C38" s="2" t="s">
        <v>61</v>
      </c>
      <c r="D38" s="3">
        <v>45823.0</v>
      </c>
      <c r="E38" s="4">
        <v>0.5</v>
      </c>
      <c r="F38" s="5" t="str">
        <f>VLOOKUP(A38,Jogos!A:N,10,0)</f>
        <v>Afternoon</v>
      </c>
      <c r="G38" s="2" t="s">
        <v>122</v>
      </c>
      <c r="H38" s="6" t="str">
        <f>VLOOKUP(A38,Jogos!A:L,12,0)</f>
        <v>Open</v>
      </c>
      <c r="I38" s="6" t="str">
        <f>VLOOKUP(G38,'Estádios e Cidades'!A:B,2,0)</f>
        <v>Cincinnati</v>
      </c>
      <c r="J38" s="2" t="s">
        <v>123</v>
      </c>
      <c r="K38" s="2" t="str">
        <f>VLOOKUP(J38,Equipes!A:F,6,0)</f>
        <v>Temperate</v>
      </c>
      <c r="L38" s="2">
        <f>VLOOKUP(J38,Equipes!A:C,3,0)</f>
        <v>6</v>
      </c>
      <c r="M38" s="2" t="str">
        <f t="shared" si="4"/>
        <v>Quarter-final</v>
      </c>
      <c r="N38" s="2" t="s">
        <v>124</v>
      </c>
      <c r="O38" s="2">
        <f>VLOOKUP(N38,Equipes!A:C,3,0)</f>
        <v>27</v>
      </c>
      <c r="P38" s="2" t="str">
        <f t="shared" si="5"/>
        <v>Group</v>
      </c>
      <c r="Q38" s="2">
        <f t="shared" si="6"/>
        <v>-21</v>
      </c>
      <c r="R38" s="2" t="str">
        <f>VLOOKUP(J38,Equipes!A:B,2,0)</f>
        <v>Bayern</v>
      </c>
      <c r="S38" s="6" t="s">
        <v>141</v>
      </c>
      <c r="T38" s="7">
        <v>44.0</v>
      </c>
      <c r="U38" s="7" t="s">
        <v>142</v>
      </c>
      <c r="V38" s="7" t="str">
        <f>VLOOKUP(U38,Jogadores!B:C,2,0)</f>
        <v>DF</v>
      </c>
      <c r="W38" s="8">
        <f>VLOOKUP(U38,Jogadores!B:D,3,0)</f>
        <v>25.3369863</v>
      </c>
      <c r="X38" s="7">
        <v>0.0</v>
      </c>
      <c r="Y38" s="7">
        <v>82.0</v>
      </c>
      <c r="Z38" s="7">
        <f>VLOOKUP(A38,Jogos!A:L,3,0)</f>
        <v>49</v>
      </c>
      <c r="AA38" s="7">
        <f t="shared" si="7"/>
        <v>49</v>
      </c>
      <c r="AB38" s="7">
        <f>VLOOKUP(A38,Jogos!A:L,4,0)</f>
        <v>50</v>
      </c>
      <c r="AC38" s="7">
        <f t="shared" si="8"/>
        <v>37</v>
      </c>
      <c r="AD38" s="7"/>
      <c r="AE38" s="7"/>
      <c r="AF38" s="7">
        <f t="shared" si="9"/>
        <v>86</v>
      </c>
      <c r="AG38" s="7">
        <v>9361.0</v>
      </c>
      <c r="AH38" s="7">
        <v>3689.9</v>
      </c>
      <c r="AI38" s="7">
        <v>4008.8</v>
      </c>
      <c r="AJ38" s="7">
        <v>1165.9</v>
      </c>
      <c r="AK38" s="7">
        <v>417.9</v>
      </c>
      <c r="AL38" s="7">
        <v>78.6</v>
      </c>
      <c r="AM38" s="7">
        <v>110.0</v>
      </c>
      <c r="AN38" s="7">
        <v>31.0</v>
      </c>
      <c r="AO38" s="7">
        <v>30.3</v>
      </c>
      <c r="AP38" s="9">
        <f t="shared" ref="AP38:AR38" si="123">AG38/$AF38</f>
        <v>108.8488372</v>
      </c>
      <c r="AQ38" s="9">
        <f t="shared" si="123"/>
        <v>42.90581395</v>
      </c>
      <c r="AR38" s="9">
        <f t="shared" si="123"/>
        <v>46.61395349</v>
      </c>
      <c r="AS38" s="9">
        <f t="shared" si="11"/>
        <v>89.51976744</v>
      </c>
      <c r="AT38" s="9">
        <f t="shared" ref="AT38:AV38" si="124">AJ38/$AF38</f>
        <v>13.55697674</v>
      </c>
      <c r="AU38" s="9">
        <f t="shared" si="124"/>
        <v>4.859302326</v>
      </c>
      <c r="AV38" s="9">
        <f t="shared" si="124"/>
        <v>0.9139534884</v>
      </c>
      <c r="AW38" s="9">
        <f t="shared" si="13"/>
        <v>5.773255814</v>
      </c>
      <c r="AX38" s="9">
        <f t="shared" ref="AX38:AY38" si="125">AM38/$AF38</f>
        <v>1.279069767</v>
      </c>
      <c r="AY38" s="9">
        <f t="shared" si="125"/>
        <v>0.3604651163</v>
      </c>
      <c r="AZ38" s="9">
        <f>VLOOKUP(A38,Jogos!A:BN,58,0)</f>
        <v>26.09</v>
      </c>
      <c r="BA38" s="9">
        <f>VLOOKUP(A38,Jogos!A:BN,59,0)</f>
        <v>21.3</v>
      </c>
      <c r="BB38" s="9">
        <f>VLOOKUP(A38,Jogos!A:BN,60,0)</f>
        <v>74.5</v>
      </c>
      <c r="BC38" s="9">
        <f>VLOOKUP(A38,Jogos!A:BN,61,0)</f>
        <v>24.475</v>
      </c>
      <c r="BD38" s="9">
        <f>VLOOKUP(A38,Jogos!A:BN,62,0)</f>
        <v>547.2</v>
      </c>
      <c r="BE38" s="9">
        <f>VLOOKUP(A38,Jogos!A:BN,63,0)</f>
        <v>1.025</v>
      </c>
      <c r="BF38" s="9">
        <f>VLOOKUP(A38,Jogos!A:BN,64,0)</f>
        <v>23.575</v>
      </c>
      <c r="BG38" s="9">
        <f>VLOOKUP(A38,Jogos!A:BN,65,0)</f>
        <v>41.075</v>
      </c>
      <c r="BH38" s="9">
        <f>VLOOKUP(A38,Jogos!A:BN,66,0)</f>
        <v>27.33</v>
      </c>
      <c r="BI38" s="9"/>
    </row>
    <row r="39" hidden="1">
      <c r="A39" s="2">
        <v>2.0</v>
      </c>
      <c r="B39" s="2" t="s">
        <v>121</v>
      </c>
      <c r="C39" s="2" t="s">
        <v>61</v>
      </c>
      <c r="D39" s="3">
        <v>45823.0</v>
      </c>
      <c r="E39" s="4">
        <v>0.5</v>
      </c>
      <c r="F39" s="5" t="str">
        <f>VLOOKUP(A39,Jogos!A:N,10,0)</f>
        <v>Afternoon</v>
      </c>
      <c r="G39" s="2" t="s">
        <v>122</v>
      </c>
      <c r="H39" s="6" t="str">
        <f>VLOOKUP(A39,Jogos!A:L,12,0)</f>
        <v>Open</v>
      </c>
      <c r="I39" s="6" t="str">
        <f>VLOOKUP(G39,'Estádios e Cidades'!A:B,2,0)</f>
        <v>Cincinnati</v>
      </c>
      <c r="J39" s="2" t="s">
        <v>123</v>
      </c>
      <c r="K39" s="2" t="str">
        <f>VLOOKUP(J39,Equipes!A:F,6,0)</f>
        <v>Temperate</v>
      </c>
      <c r="L39" s="2">
        <f>VLOOKUP(J39,Equipes!A:C,3,0)</f>
        <v>6</v>
      </c>
      <c r="M39" s="2" t="str">
        <f t="shared" si="4"/>
        <v>Quarter-final</v>
      </c>
      <c r="N39" s="2" t="s">
        <v>124</v>
      </c>
      <c r="O39" s="2">
        <f>VLOOKUP(N39,Equipes!A:C,3,0)</f>
        <v>27</v>
      </c>
      <c r="P39" s="2" t="str">
        <f t="shared" si="5"/>
        <v>Group</v>
      </c>
      <c r="Q39" s="2">
        <f t="shared" si="6"/>
        <v>-21</v>
      </c>
      <c r="R39" s="2" t="str">
        <f>VLOOKUP(J39,Equipes!A:B,2,0)</f>
        <v>Bayern</v>
      </c>
      <c r="S39" s="6" t="s">
        <v>143</v>
      </c>
      <c r="T39" s="7">
        <v>45.0</v>
      </c>
      <c r="U39" s="7" t="s">
        <v>144</v>
      </c>
      <c r="V39" s="7" t="str">
        <f>VLOOKUP(U39,Jogadores!B:C,2,0)</f>
        <v>MF</v>
      </c>
      <c r="W39" s="8">
        <f>VLOOKUP(U39,Jogadores!B:D,3,0)</f>
        <v>21.24931507</v>
      </c>
      <c r="X39" s="7">
        <v>0.0</v>
      </c>
      <c r="Y39" s="7">
        <f t="shared" ref="Y39:Y48" si="129">45+AB39</f>
        <v>95</v>
      </c>
      <c r="Z39" s="7">
        <f>VLOOKUP(A39,Jogos!A:L,3,0)</f>
        <v>49</v>
      </c>
      <c r="AA39" s="7">
        <f t="shared" si="7"/>
        <v>49</v>
      </c>
      <c r="AB39" s="7">
        <f>VLOOKUP(A39,Jogos!A:L,4,0)</f>
        <v>50</v>
      </c>
      <c r="AC39" s="7">
        <f t="shared" si="8"/>
        <v>50</v>
      </c>
      <c r="AD39" s="7"/>
      <c r="AE39" s="7"/>
      <c r="AF39" s="7">
        <f t="shared" si="9"/>
        <v>99</v>
      </c>
      <c r="AG39" s="7">
        <v>12328.9</v>
      </c>
      <c r="AH39" s="7">
        <v>3894.7</v>
      </c>
      <c r="AI39" s="7">
        <v>6050.5</v>
      </c>
      <c r="AJ39" s="7">
        <v>1844.9</v>
      </c>
      <c r="AK39" s="7">
        <v>507.5</v>
      </c>
      <c r="AL39" s="7">
        <v>31.3</v>
      </c>
      <c r="AM39" s="7">
        <v>176.0</v>
      </c>
      <c r="AN39" s="7">
        <v>35.0</v>
      </c>
      <c r="AO39" s="7">
        <v>27.7</v>
      </c>
      <c r="AP39" s="9">
        <f t="shared" ref="AP39:AR39" si="126">AG39/$AF39</f>
        <v>124.5343434</v>
      </c>
      <c r="AQ39" s="9">
        <f t="shared" si="126"/>
        <v>39.34040404</v>
      </c>
      <c r="AR39" s="9">
        <f t="shared" si="126"/>
        <v>61.11616162</v>
      </c>
      <c r="AS39" s="9">
        <f t="shared" si="11"/>
        <v>100.4565657</v>
      </c>
      <c r="AT39" s="9">
        <f t="shared" ref="AT39:AV39" si="127">AJ39/$AF39</f>
        <v>18.63535354</v>
      </c>
      <c r="AU39" s="9">
        <f t="shared" si="127"/>
        <v>5.126262626</v>
      </c>
      <c r="AV39" s="9">
        <f t="shared" si="127"/>
        <v>0.3161616162</v>
      </c>
      <c r="AW39" s="9">
        <f t="shared" si="13"/>
        <v>5.442424242</v>
      </c>
      <c r="AX39" s="9">
        <f t="shared" ref="AX39:AY39" si="128">AM39/$AF39</f>
        <v>1.777777778</v>
      </c>
      <c r="AY39" s="9">
        <f t="shared" si="128"/>
        <v>0.3535353535</v>
      </c>
      <c r="AZ39" s="9">
        <f>VLOOKUP(A39,Jogos!A:BN,58,0)</f>
        <v>26.09</v>
      </c>
      <c r="BA39" s="9">
        <f>VLOOKUP(A39,Jogos!A:BN,59,0)</f>
        <v>21.3</v>
      </c>
      <c r="BB39" s="9">
        <f>VLOOKUP(A39,Jogos!A:BN,60,0)</f>
        <v>74.5</v>
      </c>
      <c r="BC39" s="9">
        <f>VLOOKUP(A39,Jogos!A:BN,61,0)</f>
        <v>24.475</v>
      </c>
      <c r="BD39" s="9">
        <f>VLOOKUP(A39,Jogos!A:BN,62,0)</f>
        <v>547.2</v>
      </c>
      <c r="BE39" s="9">
        <f>VLOOKUP(A39,Jogos!A:BN,63,0)</f>
        <v>1.025</v>
      </c>
      <c r="BF39" s="9">
        <f>VLOOKUP(A39,Jogos!A:BN,64,0)</f>
        <v>23.575</v>
      </c>
      <c r="BG39" s="9">
        <f>VLOOKUP(A39,Jogos!A:BN,65,0)</f>
        <v>41.075</v>
      </c>
      <c r="BH39" s="9">
        <f>VLOOKUP(A39,Jogos!A:BN,66,0)</f>
        <v>27.33</v>
      </c>
      <c r="BI39" s="9"/>
    </row>
    <row r="40" hidden="1">
      <c r="A40" s="2">
        <v>2.0</v>
      </c>
      <c r="B40" s="2" t="s">
        <v>121</v>
      </c>
      <c r="C40" s="2" t="s">
        <v>61</v>
      </c>
      <c r="D40" s="3">
        <v>45823.0</v>
      </c>
      <c r="E40" s="4">
        <v>0.5</v>
      </c>
      <c r="F40" s="5" t="str">
        <f>VLOOKUP(A40,Jogos!A:N,10,0)</f>
        <v>Afternoon</v>
      </c>
      <c r="G40" s="2" t="s">
        <v>122</v>
      </c>
      <c r="H40" s="6" t="str">
        <f>VLOOKUP(A40,Jogos!A:L,12,0)</f>
        <v>Open</v>
      </c>
      <c r="I40" s="6" t="str">
        <f>VLOOKUP(G40,'Estádios e Cidades'!A:B,2,0)</f>
        <v>Cincinnati</v>
      </c>
      <c r="J40" s="2" t="s">
        <v>123</v>
      </c>
      <c r="K40" s="2" t="str">
        <f>VLOOKUP(J40,Equipes!A:F,6,0)</f>
        <v>Temperate</v>
      </c>
      <c r="L40" s="2">
        <f>VLOOKUP(J40,Equipes!A:C,3,0)</f>
        <v>6</v>
      </c>
      <c r="M40" s="2" t="str">
        <f t="shared" si="4"/>
        <v>Quarter-final</v>
      </c>
      <c r="N40" s="2" t="s">
        <v>124</v>
      </c>
      <c r="O40" s="2">
        <f>VLOOKUP(N40,Equipes!A:C,3,0)</f>
        <v>27</v>
      </c>
      <c r="P40" s="2" t="str">
        <f t="shared" si="5"/>
        <v>Group</v>
      </c>
      <c r="Q40" s="2">
        <f t="shared" si="6"/>
        <v>-21</v>
      </c>
      <c r="R40" s="2" t="str">
        <f>VLOOKUP(J40,Equipes!A:B,2,0)</f>
        <v>Bayern</v>
      </c>
      <c r="S40" s="6" t="s">
        <v>145</v>
      </c>
      <c r="T40" s="7">
        <v>2.0</v>
      </c>
      <c r="U40" s="7" t="s">
        <v>146</v>
      </c>
      <c r="V40" s="7" t="str">
        <f>VLOOKUP(U40,Jogadores!B:C,2,0)</f>
        <v>DF</v>
      </c>
      <c r="W40" s="8">
        <f>VLOOKUP(U40,Jogadores!B:D,3,0)</f>
        <v>26.76986301</v>
      </c>
      <c r="X40" s="7">
        <v>61.0</v>
      </c>
      <c r="Y40" s="7">
        <f t="shared" si="129"/>
        <v>95</v>
      </c>
      <c r="Z40" s="7">
        <f>VLOOKUP(A40,Jogos!A:L,3,0)</f>
        <v>49</v>
      </c>
      <c r="AA40" s="7">
        <f t="shared" si="7"/>
        <v>0</v>
      </c>
      <c r="AB40" s="7">
        <f>VLOOKUP(A40,Jogos!A:L,4,0)</f>
        <v>50</v>
      </c>
      <c r="AC40" s="7">
        <f t="shared" si="8"/>
        <v>34</v>
      </c>
      <c r="AD40" s="7"/>
      <c r="AE40" s="7"/>
      <c r="AF40" s="7">
        <f t="shared" si="9"/>
        <v>34</v>
      </c>
      <c r="AG40" s="7">
        <v>3837.2</v>
      </c>
      <c r="AH40" s="7">
        <v>1451.4</v>
      </c>
      <c r="AI40" s="7">
        <v>1708.9</v>
      </c>
      <c r="AJ40" s="7">
        <v>436.4</v>
      </c>
      <c r="AK40" s="7">
        <v>162.4</v>
      </c>
      <c r="AL40" s="7">
        <v>78.1</v>
      </c>
      <c r="AM40" s="7">
        <v>42.0</v>
      </c>
      <c r="AN40" s="7">
        <v>13.0</v>
      </c>
      <c r="AO40" s="7">
        <v>31.7</v>
      </c>
      <c r="AP40" s="9">
        <f t="shared" ref="AP40:AR40" si="130">AG40/$AF40</f>
        <v>112.8588235</v>
      </c>
      <c r="AQ40" s="9">
        <f t="shared" si="130"/>
        <v>42.68823529</v>
      </c>
      <c r="AR40" s="9">
        <f t="shared" si="130"/>
        <v>50.26176471</v>
      </c>
      <c r="AS40" s="9">
        <f t="shared" si="11"/>
        <v>92.95</v>
      </c>
      <c r="AT40" s="9">
        <f t="shared" ref="AT40:AV40" si="131">AJ40/$AF40</f>
        <v>12.83529412</v>
      </c>
      <c r="AU40" s="9">
        <f t="shared" si="131"/>
        <v>4.776470588</v>
      </c>
      <c r="AV40" s="9">
        <f t="shared" si="131"/>
        <v>2.297058824</v>
      </c>
      <c r="AW40" s="9">
        <f t="shared" si="13"/>
        <v>7.073529412</v>
      </c>
      <c r="AX40" s="9">
        <f t="shared" ref="AX40:AY40" si="132">AM40/$AF40</f>
        <v>1.235294118</v>
      </c>
      <c r="AY40" s="9">
        <f t="shared" si="132"/>
        <v>0.3823529412</v>
      </c>
      <c r="AZ40" s="9">
        <f>VLOOKUP(A40,Jogos!A:BN,58,0)</f>
        <v>26.09</v>
      </c>
      <c r="BA40" s="9">
        <f>VLOOKUP(A40,Jogos!A:BN,59,0)</f>
        <v>21.3</v>
      </c>
      <c r="BB40" s="9">
        <f>VLOOKUP(A40,Jogos!A:BN,60,0)</f>
        <v>74.5</v>
      </c>
      <c r="BC40" s="9">
        <f>VLOOKUP(A40,Jogos!A:BN,61,0)</f>
        <v>24.475</v>
      </c>
      <c r="BD40" s="9">
        <f>VLOOKUP(A40,Jogos!A:BN,62,0)</f>
        <v>547.2</v>
      </c>
      <c r="BE40" s="9">
        <f>VLOOKUP(A40,Jogos!A:BN,63,0)</f>
        <v>1.025</v>
      </c>
      <c r="BF40" s="9">
        <f>VLOOKUP(A40,Jogos!A:BN,64,0)</f>
        <v>23.575</v>
      </c>
      <c r="BG40" s="9">
        <f>VLOOKUP(A40,Jogos!A:BN,65,0)</f>
        <v>41.075</v>
      </c>
      <c r="BH40" s="9">
        <f>VLOOKUP(A40,Jogos!A:BN,66,0)</f>
        <v>27.33</v>
      </c>
      <c r="BI40" s="9"/>
    </row>
    <row r="41" hidden="1">
      <c r="A41" s="2">
        <v>2.0</v>
      </c>
      <c r="B41" s="2" t="s">
        <v>121</v>
      </c>
      <c r="C41" s="2" t="s">
        <v>61</v>
      </c>
      <c r="D41" s="3">
        <v>45823.0</v>
      </c>
      <c r="E41" s="4">
        <v>0.5</v>
      </c>
      <c r="F41" s="5" t="str">
        <f>VLOOKUP(A41,Jogos!A:N,10,0)</f>
        <v>Afternoon</v>
      </c>
      <c r="G41" s="2" t="s">
        <v>122</v>
      </c>
      <c r="H41" s="6" t="str">
        <f>VLOOKUP(A41,Jogos!A:L,12,0)</f>
        <v>Open</v>
      </c>
      <c r="I41" s="6" t="str">
        <f>VLOOKUP(G41,'Estádios e Cidades'!A:B,2,0)</f>
        <v>Cincinnati</v>
      </c>
      <c r="J41" s="2" t="s">
        <v>123</v>
      </c>
      <c r="K41" s="2" t="str">
        <f>VLOOKUP(J41,Equipes!A:F,6,0)</f>
        <v>Temperate</v>
      </c>
      <c r="L41" s="2">
        <f>VLOOKUP(J41,Equipes!A:C,3,0)</f>
        <v>6</v>
      </c>
      <c r="M41" s="2" t="str">
        <f t="shared" si="4"/>
        <v>Quarter-final</v>
      </c>
      <c r="N41" s="2" t="s">
        <v>124</v>
      </c>
      <c r="O41" s="2">
        <f>VLOOKUP(N41,Equipes!A:C,3,0)</f>
        <v>27</v>
      </c>
      <c r="P41" s="2" t="str">
        <f t="shared" si="5"/>
        <v>Group</v>
      </c>
      <c r="Q41" s="2">
        <f t="shared" si="6"/>
        <v>-21</v>
      </c>
      <c r="R41" s="2" t="str">
        <f>VLOOKUP(J41,Equipes!A:B,2,0)</f>
        <v>Bayern</v>
      </c>
      <c r="S41" s="6" t="s">
        <v>147</v>
      </c>
      <c r="T41" s="7">
        <v>7.0</v>
      </c>
      <c r="U41" s="7" t="s">
        <v>148</v>
      </c>
      <c r="V41" s="7" t="str">
        <f>VLOOKUP(U41,Jogadores!B:C,2,0)</f>
        <v>FW</v>
      </c>
      <c r="W41" s="8">
        <f>VLOOKUP(U41,Jogadores!B:D,3,0)</f>
        <v>30.06027397</v>
      </c>
      <c r="X41" s="7">
        <v>45.0</v>
      </c>
      <c r="Y41" s="7">
        <f t="shared" si="129"/>
        <v>95</v>
      </c>
      <c r="Z41" s="7">
        <f>VLOOKUP(A41,Jogos!A:L,3,0)</f>
        <v>49</v>
      </c>
      <c r="AA41" s="7">
        <f t="shared" si="7"/>
        <v>0</v>
      </c>
      <c r="AB41" s="7">
        <f>VLOOKUP(A41,Jogos!A:L,4,0)</f>
        <v>50</v>
      </c>
      <c r="AC41" s="7">
        <f t="shared" si="8"/>
        <v>50</v>
      </c>
      <c r="AD41" s="7"/>
      <c r="AE41" s="7"/>
      <c r="AF41" s="7">
        <f t="shared" si="9"/>
        <v>50</v>
      </c>
      <c r="AG41" s="7">
        <v>5508.9</v>
      </c>
      <c r="AH41" s="7">
        <v>2216.7</v>
      </c>
      <c r="AI41" s="7">
        <v>1976.4</v>
      </c>
      <c r="AJ41" s="7">
        <v>825.3</v>
      </c>
      <c r="AK41" s="7">
        <v>370.3</v>
      </c>
      <c r="AL41" s="7">
        <v>120.2</v>
      </c>
      <c r="AM41" s="7">
        <v>78.0</v>
      </c>
      <c r="AN41" s="7">
        <v>27.0</v>
      </c>
      <c r="AO41" s="7">
        <v>31.3</v>
      </c>
      <c r="AP41" s="9">
        <f t="shared" ref="AP41:AR41" si="133">AG41/$AF41</f>
        <v>110.178</v>
      </c>
      <c r="AQ41" s="9">
        <f t="shared" si="133"/>
        <v>44.334</v>
      </c>
      <c r="AR41" s="9">
        <f t="shared" si="133"/>
        <v>39.528</v>
      </c>
      <c r="AS41" s="9">
        <f t="shared" si="11"/>
        <v>83.862</v>
      </c>
      <c r="AT41" s="9">
        <f t="shared" ref="AT41:AV41" si="134">AJ41/$AF41</f>
        <v>16.506</v>
      </c>
      <c r="AU41" s="9">
        <f t="shared" si="134"/>
        <v>7.406</v>
      </c>
      <c r="AV41" s="9">
        <f t="shared" si="134"/>
        <v>2.404</v>
      </c>
      <c r="AW41" s="9">
        <f t="shared" si="13"/>
        <v>9.81</v>
      </c>
      <c r="AX41" s="9">
        <f t="shared" ref="AX41:AY41" si="135">AM41/$AF41</f>
        <v>1.56</v>
      </c>
      <c r="AY41" s="9">
        <f t="shared" si="135"/>
        <v>0.54</v>
      </c>
      <c r="AZ41" s="9">
        <f>VLOOKUP(A41,Jogos!A:BN,58,0)</f>
        <v>26.09</v>
      </c>
      <c r="BA41" s="9">
        <f>VLOOKUP(A41,Jogos!A:BN,59,0)</f>
        <v>21.3</v>
      </c>
      <c r="BB41" s="9">
        <f>VLOOKUP(A41,Jogos!A:BN,60,0)</f>
        <v>74.5</v>
      </c>
      <c r="BC41" s="9">
        <f>VLOOKUP(A41,Jogos!A:BN,61,0)</f>
        <v>24.475</v>
      </c>
      <c r="BD41" s="9">
        <f>VLOOKUP(A41,Jogos!A:BN,62,0)</f>
        <v>547.2</v>
      </c>
      <c r="BE41" s="9">
        <f>VLOOKUP(A41,Jogos!A:BN,63,0)</f>
        <v>1.025</v>
      </c>
      <c r="BF41" s="9">
        <f>VLOOKUP(A41,Jogos!A:BN,64,0)</f>
        <v>23.575</v>
      </c>
      <c r="BG41" s="9">
        <f>VLOOKUP(A41,Jogos!A:BN,65,0)</f>
        <v>41.075</v>
      </c>
      <c r="BH41" s="9">
        <f>VLOOKUP(A41,Jogos!A:BN,66,0)</f>
        <v>27.33</v>
      </c>
      <c r="BI41" s="9"/>
    </row>
    <row r="42" hidden="1">
      <c r="A42" s="2">
        <v>2.0</v>
      </c>
      <c r="B42" s="2" t="s">
        <v>121</v>
      </c>
      <c r="C42" s="2" t="s">
        <v>61</v>
      </c>
      <c r="D42" s="3">
        <v>45823.0</v>
      </c>
      <c r="E42" s="4">
        <v>0.5</v>
      </c>
      <c r="F42" s="5" t="str">
        <f>VLOOKUP(A42,Jogos!A:N,10,0)</f>
        <v>Afternoon</v>
      </c>
      <c r="G42" s="2" t="s">
        <v>122</v>
      </c>
      <c r="H42" s="6" t="str">
        <f>VLOOKUP(A42,Jogos!A:L,12,0)</f>
        <v>Open</v>
      </c>
      <c r="I42" s="6" t="str">
        <f>VLOOKUP(G42,'Estádios e Cidades'!A:B,2,0)</f>
        <v>Cincinnati</v>
      </c>
      <c r="J42" s="2" t="s">
        <v>123</v>
      </c>
      <c r="K42" s="2" t="str">
        <f>VLOOKUP(J42,Equipes!A:F,6,0)</f>
        <v>Temperate</v>
      </c>
      <c r="L42" s="2">
        <f>VLOOKUP(J42,Equipes!A:C,3,0)</f>
        <v>6</v>
      </c>
      <c r="M42" s="2" t="str">
        <f t="shared" si="4"/>
        <v>Quarter-final</v>
      </c>
      <c r="N42" s="2" t="s">
        <v>124</v>
      </c>
      <c r="O42" s="2">
        <f>VLOOKUP(N42,Equipes!A:C,3,0)</f>
        <v>27</v>
      </c>
      <c r="P42" s="2" t="str">
        <f t="shared" si="5"/>
        <v>Group</v>
      </c>
      <c r="Q42" s="2">
        <f t="shared" si="6"/>
        <v>-21</v>
      </c>
      <c r="R42" s="2" t="str">
        <f>VLOOKUP(J42,Equipes!A:B,2,0)</f>
        <v>Bayern</v>
      </c>
      <c r="S42" s="6" t="s">
        <v>149</v>
      </c>
      <c r="T42" s="7">
        <v>42.0</v>
      </c>
      <c r="U42" s="7" t="s">
        <v>150</v>
      </c>
      <c r="V42" s="7" t="str">
        <f>VLOOKUP(U42,Jogadores!B:C,2,0)</f>
        <v>MF</v>
      </c>
      <c r="W42" s="8">
        <f>VLOOKUP(U42,Jogadores!B:D,3,0)</f>
        <v>22.43287671</v>
      </c>
      <c r="X42" s="7">
        <v>61.0</v>
      </c>
      <c r="Y42" s="7">
        <f t="shared" si="129"/>
        <v>95</v>
      </c>
      <c r="Z42" s="7">
        <f>VLOOKUP(A42,Jogos!A:L,3,0)</f>
        <v>49</v>
      </c>
      <c r="AA42" s="7">
        <f t="shared" si="7"/>
        <v>0</v>
      </c>
      <c r="AB42" s="7">
        <f>VLOOKUP(A42,Jogos!A:L,4,0)</f>
        <v>50</v>
      </c>
      <c r="AC42" s="7">
        <f t="shared" si="8"/>
        <v>34</v>
      </c>
      <c r="AD42" s="7"/>
      <c r="AE42" s="7"/>
      <c r="AF42" s="7">
        <f t="shared" si="9"/>
        <v>34</v>
      </c>
      <c r="AG42" s="7">
        <v>3808.8</v>
      </c>
      <c r="AH42" s="7">
        <v>1426.9</v>
      </c>
      <c r="AI42" s="7">
        <v>1497.0</v>
      </c>
      <c r="AJ42" s="7">
        <v>550.1</v>
      </c>
      <c r="AK42" s="7">
        <v>188.6</v>
      </c>
      <c r="AL42" s="7">
        <v>146.2</v>
      </c>
      <c r="AM42" s="7">
        <v>49.0</v>
      </c>
      <c r="AN42" s="7">
        <v>17.0</v>
      </c>
      <c r="AO42" s="7">
        <v>32.0</v>
      </c>
      <c r="AP42" s="9">
        <f t="shared" ref="AP42:AR42" si="136">AG42/$AF42</f>
        <v>112.0235294</v>
      </c>
      <c r="AQ42" s="9">
        <f t="shared" si="136"/>
        <v>41.96764706</v>
      </c>
      <c r="AR42" s="9">
        <f t="shared" si="136"/>
        <v>44.02941176</v>
      </c>
      <c r="AS42" s="9">
        <f t="shared" si="11"/>
        <v>85.99705882</v>
      </c>
      <c r="AT42" s="9">
        <f t="shared" ref="AT42:AV42" si="137">AJ42/$AF42</f>
        <v>16.17941176</v>
      </c>
      <c r="AU42" s="9">
        <f t="shared" si="137"/>
        <v>5.547058824</v>
      </c>
      <c r="AV42" s="9">
        <f t="shared" si="137"/>
        <v>4.3</v>
      </c>
      <c r="AW42" s="9">
        <f t="shared" si="13"/>
        <v>9.847058824</v>
      </c>
      <c r="AX42" s="9">
        <f t="shared" ref="AX42:AY42" si="138">AM42/$AF42</f>
        <v>1.441176471</v>
      </c>
      <c r="AY42" s="9">
        <f t="shared" si="138"/>
        <v>0.5</v>
      </c>
      <c r="AZ42" s="9">
        <f>VLOOKUP(A42,Jogos!A:BN,58,0)</f>
        <v>26.09</v>
      </c>
      <c r="BA42" s="9">
        <f>VLOOKUP(A42,Jogos!A:BN,59,0)</f>
        <v>21.3</v>
      </c>
      <c r="BB42" s="9">
        <f>VLOOKUP(A42,Jogos!A:BN,60,0)</f>
        <v>74.5</v>
      </c>
      <c r="BC42" s="9">
        <f>VLOOKUP(A42,Jogos!A:BN,61,0)</f>
        <v>24.475</v>
      </c>
      <c r="BD42" s="9">
        <f>VLOOKUP(A42,Jogos!A:BN,62,0)</f>
        <v>547.2</v>
      </c>
      <c r="BE42" s="9">
        <f>VLOOKUP(A42,Jogos!A:BN,63,0)</f>
        <v>1.025</v>
      </c>
      <c r="BF42" s="9">
        <f>VLOOKUP(A42,Jogos!A:BN,64,0)</f>
        <v>23.575</v>
      </c>
      <c r="BG42" s="9">
        <f>VLOOKUP(A42,Jogos!A:BN,65,0)</f>
        <v>41.075</v>
      </c>
      <c r="BH42" s="9">
        <f>VLOOKUP(A42,Jogos!A:BN,66,0)</f>
        <v>27.33</v>
      </c>
      <c r="BI42" s="9"/>
    </row>
    <row r="43" hidden="1">
      <c r="A43" s="2">
        <v>2.0</v>
      </c>
      <c r="B43" s="2" t="s">
        <v>121</v>
      </c>
      <c r="C43" s="2" t="s">
        <v>61</v>
      </c>
      <c r="D43" s="3">
        <v>45823.0</v>
      </c>
      <c r="E43" s="4">
        <v>0.5</v>
      </c>
      <c r="F43" s="5" t="str">
        <f>VLOOKUP(A43,Jogos!A:N,10,0)</f>
        <v>Afternoon</v>
      </c>
      <c r="G43" s="2" t="s">
        <v>122</v>
      </c>
      <c r="H43" s="6" t="str">
        <f>VLOOKUP(A43,Jogos!A:L,12,0)</f>
        <v>Open</v>
      </c>
      <c r="I43" s="6" t="str">
        <f>VLOOKUP(G43,'Estádios e Cidades'!A:B,2,0)</f>
        <v>Cincinnati</v>
      </c>
      <c r="J43" s="2" t="s">
        <v>123</v>
      </c>
      <c r="K43" s="2" t="str">
        <f>VLOOKUP(J43,Equipes!A:F,6,0)</f>
        <v>Temperate</v>
      </c>
      <c r="L43" s="2">
        <f>VLOOKUP(J43,Equipes!A:C,3,0)</f>
        <v>6</v>
      </c>
      <c r="M43" s="2" t="str">
        <f t="shared" si="4"/>
        <v>Quarter-final</v>
      </c>
      <c r="N43" s="2" t="s">
        <v>124</v>
      </c>
      <c r="O43" s="2">
        <f>VLOOKUP(N43,Equipes!A:C,3,0)</f>
        <v>27</v>
      </c>
      <c r="P43" s="2" t="str">
        <f t="shared" si="5"/>
        <v>Group</v>
      </c>
      <c r="Q43" s="2">
        <f t="shared" si="6"/>
        <v>-21</v>
      </c>
      <c r="R43" s="2" t="str">
        <f>VLOOKUP(J43,Equipes!A:B,2,0)</f>
        <v>Bayern</v>
      </c>
      <c r="S43" s="6" t="s">
        <v>151</v>
      </c>
      <c r="T43" s="7">
        <v>46.0</v>
      </c>
      <c r="U43" s="7" t="s">
        <v>152</v>
      </c>
      <c r="V43" s="7" t="str">
        <f>VLOOKUP(U43,Jogadores!B:C,2,0)</f>
        <v>MF</v>
      </c>
      <c r="W43" s="8">
        <f>VLOOKUP(U43,Jogadores!B:D,3,0)</f>
        <v>17.44109589</v>
      </c>
      <c r="X43" s="7">
        <v>45.0</v>
      </c>
      <c r="Y43" s="7">
        <f t="shared" si="129"/>
        <v>95</v>
      </c>
      <c r="Z43" s="7">
        <f>VLOOKUP(A43,Jogos!A:L,3,0)</f>
        <v>49</v>
      </c>
      <c r="AA43" s="7">
        <f t="shared" si="7"/>
        <v>0</v>
      </c>
      <c r="AB43" s="7">
        <f>VLOOKUP(A43,Jogos!A:L,4,0)</f>
        <v>50</v>
      </c>
      <c r="AC43" s="7">
        <f t="shared" si="8"/>
        <v>50</v>
      </c>
      <c r="AD43" s="7"/>
      <c r="AE43" s="7"/>
      <c r="AF43" s="7">
        <f t="shared" si="9"/>
        <v>50</v>
      </c>
      <c r="AG43" s="7">
        <v>5755.2</v>
      </c>
      <c r="AH43" s="7">
        <v>2023.7</v>
      </c>
      <c r="AI43" s="7">
        <v>2494.1</v>
      </c>
      <c r="AJ43" s="7">
        <v>699.3</v>
      </c>
      <c r="AK43" s="7">
        <v>356.1</v>
      </c>
      <c r="AL43" s="7">
        <v>182.0</v>
      </c>
      <c r="AM43" s="7">
        <v>68.0</v>
      </c>
      <c r="AN43" s="7">
        <v>30.0</v>
      </c>
      <c r="AO43" s="7">
        <v>31.2</v>
      </c>
      <c r="AP43" s="9">
        <f t="shared" ref="AP43:AR43" si="139">AG43/$AF43</f>
        <v>115.104</v>
      </c>
      <c r="AQ43" s="9">
        <f t="shared" si="139"/>
        <v>40.474</v>
      </c>
      <c r="AR43" s="9">
        <f t="shared" si="139"/>
        <v>49.882</v>
      </c>
      <c r="AS43" s="9">
        <f t="shared" si="11"/>
        <v>90.356</v>
      </c>
      <c r="AT43" s="9">
        <f t="shared" ref="AT43:AV43" si="140">AJ43/$AF43</f>
        <v>13.986</v>
      </c>
      <c r="AU43" s="9">
        <f t="shared" si="140"/>
        <v>7.122</v>
      </c>
      <c r="AV43" s="9">
        <f t="shared" si="140"/>
        <v>3.64</v>
      </c>
      <c r="AW43" s="9">
        <f t="shared" si="13"/>
        <v>10.762</v>
      </c>
      <c r="AX43" s="9">
        <f t="shared" ref="AX43:AY43" si="141">AM43/$AF43</f>
        <v>1.36</v>
      </c>
      <c r="AY43" s="9">
        <f t="shared" si="141"/>
        <v>0.6</v>
      </c>
      <c r="AZ43" s="9">
        <f>VLOOKUP(A43,Jogos!A:BN,58,0)</f>
        <v>26.09</v>
      </c>
      <c r="BA43" s="9">
        <f>VLOOKUP(A43,Jogos!A:BN,59,0)</f>
        <v>21.3</v>
      </c>
      <c r="BB43" s="9">
        <f>VLOOKUP(A43,Jogos!A:BN,60,0)</f>
        <v>74.5</v>
      </c>
      <c r="BC43" s="9">
        <f>VLOOKUP(A43,Jogos!A:BN,61,0)</f>
        <v>24.475</v>
      </c>
      <c r="BD43" s="9">
        <f>VLOOKUP(A43,Jogos!A:BN,62,0)</f>
        <v>547.2</v>
      </c>
      <c r="BE43" s="9">
        <f>VLOOKUP(A43,Jogos!A:BN,63,0)</f>
        <v>1.025</v>
      </c>
      <c r="BF43" s="9">
        <f>VLOOKUP(A43,Jogos!A:BN,64,0)</f>
        <v>23.575</v>
      </c>
      <c r="BG43" s="9">
        <f>VLOOKUP(A43,Jogos!A:BN,65,0)</f>
        <v>41.075</v>
      </c>
      <c r="BH43" s="9">
        <f>VLOOKUP(A43,Jogos!A:BN,66,0)</f>
        <v>27.33</v>
      </c>
      <c r="BI43" s="9"/>
    </row>
    <row r="44" hidden="1">
      <c r="A44" s="2">
        <v>2.0</v>
      </c>
      <c r="B44" s="2" t="s">
        <v>121</v>
      </c>
      <c r="C44" s="2" t="s">
        <v>61</v>
      </c>
      <c r="D44" s="3">
        <v>45823.0</v>
      </c>
      <c r="E44" s="4">
        <v>0.5</v>
      </c>
      <c r="F44" s="5" t="str">
        <f>VLOOKUP(A44,Jogos!A:N,10,0)</f>
        <v>Afternoon</v>
      </c>
      <c r="G44" s="2" t="s">
        <v>122</v>
      </c>
      <c r="H44" s="6" t="str">
        <f>VLOOKUP(A44,Jogos!A:L,12,0)</f>
        <v>Open</v>
      </c>
      <c r="I44" s="6" t="str">
        <f>VLOOKUP(G44,'Estádios e Cidades'!A:B,2,0)</f>
        <v>Cincinnati</v>
      </c>
      <c r="J44" s="2" t="s">
        <v>123</v>
      </c>
      <c r="K44" s="2" t="str">
        <f>VLOOKUP(J44,Equipes!A:F,6,0)</f>
        <v>Temperate</v>
      </c>
      <c r="L44" s="2">
        <f>VLOOKUP(J44,Equipes!A:C,3,0)</f>
        <v>6</v>
      </c>
      <c r="M44" s="2" t="str">
        <f t="shared" si="4"/>
        <v>Quarter-final</v>
      </c>
      <c r="N44" s="2" t="s">
        <v>124</v>
      </c>
      <c r="O44" s="2">
        <f>VLOOKUP(N44,Equipes!A:C,3,0)</f>
        <v>27</v>
      </c>
      <c r="P44" s="2" t="str">
        <f t="shared" si="5"/>
        <v>Group</v>
      </c>
      <c r="Q44" s="2">
        <f t="shared" si="6"/>
        <v>-21</v>
      </c>
      <c r="R44" s="2" t="str">
        <f>VLOOKUP(J44,Equipes!A:B,2,0)</f>
        <v>Bayern</v>
      </c>
      <c r="S44" s="6" t="s">
        <v>153</v>
      </c>
      <c r="T44" s="7">
        <v>49.0</v>
      </c>
      <c r="U44" s="7" t="s">
        <v>154</v>
      </c>
      <c r="V44" s="7" t="str">
        <f>VLOOKUP(U44,Jogadores!B:C,2,0)</f>
        <v>DF</v>
      </c>
      <c r="W44" s="8">
        <f>VLOOKUP(U44,Jogadores!B:D,3,0)</f>
        <v>19.16712329</v>
      </c>
      <c r="X44" s="7">
        <v>82.0</v>
      </c>
      <c r="Y44" s="7">
        <f t="shared" si="129"/>
        <v>95</v>
      </c>
      <c r="Z44" s="7">
        <f>VLOOKUP(A44,Jogos!A:L,3,0)</f>
        <v>49</v>
      </c>
      <c r="AA44" s="7">
        <f t="shared" si="7"/>
        <v>0</v>
      </c>
      <c r="AB44" s="7">
        <f>VLOOKUP(A44,Jogos!A:L,4,0)</f>
        <v>50</v>
      </c>
      <c r="AC44" s="7">
        <f t="shared" si="8"/>
        <v>13</v>
      </c>
      <c r="AD44" s="7"/>
      <c r="AE44" s="7"/>
      <c r="AF44" s="7">
        <f t="shared" si="9"/>
        <v>13</v>
      </c>
      <c r="AG44" s="7">
        <v>1817.4</v>
      </c>
      <c r="AH44" s="7">
        <v>566.2</v>
      </c>
      <c r="AI44" s="7">
        <v>851.8</v>
      </c>
      <c r="AJ44" s="7">
        <v>263.6</v>
      </c>
      <c r="AK44" s="7">
        <v>98.9</v>
      </c>
      <c r="AL44" s="7">
        <v>36.9</v>
      </c>
      <c r="AM44" s="7">
        <v>27.0</v>
      </c>
      <c r="AN44" s="7">
        <v>8.0</v>
      </c>
      <c r="AO44" s="7">
        <v>29.2</v>
      </c>
      <c r="AP44" s="9">
        <f t="shared" ref="AP44:AR44" si="142">AG44/$AF44</f>
        <v>139.8</v>
      </c>
      <c r="AQ44" s="9">
        <f t="shared" si="142"/>
        <v>43.55384615</v>
      </c>
      <c r="AR44" s="9">
        <f t="shared" si="142"/>
        <v>65.52307692</v>
      </c>
      <c r="AS44" s="9">
        <f t="shared" si="11"/>
        <v>109.0769231</v>
      </c>
      <c r="AT44" s="9">
        <f t="shared" ref="AT44:AV44" si="143">AJ44/$AF44</f>
        <v>20.27692308</v>
      </c>
      <c r="AU44" s="9">
        <f t="shared" si="143"/>
        <v>7.607692308</v>
      </c>
      <c r="AV44" s="9">
        <f t="shared" si="143"/>
        <v>2.838461538</v>
      </c>
      <c r="AW44" s="9">
        <f t="shared" si="13"/>
        <v>10.44615385</v>
      </c>
      <c r="AX44" s="9">
        <f t="shared" ref="AX44:AY44" si="144">AM44/$AF44</f>
        <v>2.076923077</v>
      </c>
      <c r="AY44" s="9">
        <f t="shared" si="144"/>
        <v>0.6153846154</v>
      </c>
      <c r="AZ44" s="9">
        <f>VLOOKUP(A44,Jogos!A:BN,58,0)</f>
        <v>26.09</v>
      </c>
      <c r="BA44" s="9">
        <f>VLOOKUP(A44,Jogos!A:BN,59,0)</f>
        <v>21.3</v>
      </c>
      <c r="BB44" s="9">
        <f>VLOOKUP(A44,Jogos!A:BN,60,0)</f>
        <v>74.5</v>
      </c>
      <c r="BC44" s="9">
        <f>VLOOKUP(A44,Jogos!A:BN,61,0)</f>
        <v>24.475</v>
      </c>
      <c r="BD44" s="9">
        <f>VLOOKUP(A44,Jogos!A:BN,62,0)</f>
        <v>547.2</v>
      </c>
      <c r="BE44" s="9">
        <f>VLOOKUP(A44,Jogos!A:BN,63,0)</f>
        <v>1.025</v>
      </c>
      <c r="BF44" s="9">
        <f>VLOOKUP(A44,Jogos!A:BN,64,0)</f>
        <v>23.575</v>
      </c>
      <c r="BG44" s="9">
        <f>VLOOKUP(A44,Jogos!A:BN,65,0)</f>
        <v>41.075</v>
      </c>
      <c r="BH44" s="9">
        <f>VLOOKUP(A44,Jogos!A:BN,66,0)</f>
        <v>27.33</v>
      </c>
      <c r="BI44" s="9"/>
    </row>
    <row r="45" hidden="1">
      <c r="A45" s="10">
        <v>2.0</v>
      </c>
      <c r="B45" s="11" t="s">
        <v>121</v>
      </c>
      <c r="C45" s="2" t="s">
        <v>61</v>
      </c>
      <c r="D45" s="12">
        <v>45823.0</v>
      </c>
      <c r="E45" s="13">
        <v>0.5</v>
      </c>
      <c r="F45" s="5" t="str">
        <f>VLOOKUP(A45,Jogos!A:N,10,0)</f>
        <v>Afternoon</v>
      </c>
      <c r="G45" s="11" t="s">
        <v>122</v>
      </c>
      <c r="H45" s="6" t="str">
        <f>VLOOKUP(A45,Jogos!A:L,12,0)</f>
        <v>Open</v>
      </c>
      <c r="I45" s="6" t="str">
        <f>VLOOKUP(G45,'Estádios e Cidades'!A:B,2,0)</f>
        <v>Cincinnati</v>
      </c>
      <c r="J45" s="11" t="s">
        <v>124</v>
      </c>
      <c r="K45" s="2" t="str">
        <f>VLOOKUP(J45,Equipes!A:F,6,0)</f>
        <v>Temperate</v>
      </c>
      <c r="L45" s="2">
        <f>VLOOKUP(J45,Equipes!A:C,3,0)</f>
        <v>27</v>
      </c>
      <c r="M45" s="2" t="str">
        <f t="shared" si="4"/>
        <v>Group</v>
      </c>
      <c r="N45" s="15" t="s">
        <v>123</v>
      </c>
      <c r="O45" s="2">
        <f>VLOOKUP(N45,Equipes!A:C,3,0)</f>
        <v>6</v>
      </c>
      <c r="P45" s="2" t="str">
        <f t="shared" si="5"/>
        <v>Quarter-final</v>
      </c>
      <c r="Q45" s="2">
        <f t="shared" si="6"/>
        <v>21</v>
      </c>
      <c r="R45" s="2" t="str">
        <f>VLOOKUP(J45,Equipes!A:B,2,0)</f>
        <v>Auckland</v>
      </c>
      <c r="S45" s="14" t="s">
        <v>155</v>
      </c>
      <c r="T45" s="7">
        <v>2.0</v>
      </c>
      <c r="U45" s="7" t="s">
        <v>156</v>
      </c>
      <c r="V45" s="7" t="str">
        <f>VLOOKUP(U45,Jogadores!B:C,2,0)</f>
        <v>DF</v>
      </c>
      <c r="W45" s="8">
        <f>VLOOKUP(U45,Jogadores!B:D,3,0)</f>
        <v>30.11780822</v>
      </c>
      <c r="X45" s="7">
        <v>0.0</v>
      </c>
      <c r="Y45" s="7">
        <f t="shared" si="129"/>
        <v>95</v>
      </c>
      <c r="Z45" s="7">
        <f>VLOOKUP(A45,Jogos!A:L,3,0)</f>
        <v>49</v>
      </c>
      <c r="AA45" s="7">
        <f t="shared" si="7"/>
        <v>49</v>
      </c>
      <c r="AB45" s="7">
        <f>VLOOKUP(A45,Jogos!A:L,4,0)</f>
        <v>50</v>
      </c>
      <c r="AC45" s="7">
        <f t="shared" si="8"/>
        <v>50</v>
      </c>
      <c r="AD45" s="7"/>
      <c r="AE45" s="7"/>
      <c r="AF45" s="7">
        <f t="shared" si="9"/>
        <v>99</v>
      </c>
      <c r="AG45" s="7">
        <v>12110.5</v>
      </c>
      <c r="AH45" s="7">
        <v>3495.2</v>
      </c>
      <c r="AI45" s="7">
        <v>6263.6</v>
      </c>
      <c r="AJ45" s="7">
        <v>2079.7</v>
      </c>
      <c r="AK45" s="7">
        <v>266.0</v>
      </c>
      <c r="AL45" s="7">
        <v>5.9</v>
      </c>
      <c r="AM45" s="7">
        <v>197.0</v>
      </c>
      <c r="AN45" s="7">
        <v>23.0</v>
      </c>
      <c r="AO45" s="7">
        <v>25.4</v>
      </c>
      <c r="AP45" s="9">
        <f t="shared" ref="AP45:AR45" si="145">AG45/$AF45</f>
        <v>122.3282828</v>
      </c>
      <c r="AQ45" s="9">
        <f t="shared" si="145"/>
        <v>35.30505051</v>
      </c>
      <c r="AR45" s="9">
        <f t="shared" si="145"/>
        <v>63.26868687</v>
      </c>
      <c r="AS45" s="9">
        <f t="shared" si="11"/>
        <v>98.57373737</v>
      </c>
      <c r="AT45" s="9">
        <f t="shared" ref="AT45:AV45" si="146">AJ45/$AF45</f>
        <v>21.00707071</v>
      </c>
      <c r="AU45" s="9">
        <f t="shared" si="146"/>
        <v>2.686868687</v>
      </c>
      <c r="AV45" s="9">
        <f t="shared" si="146"/>
        <v>0.0595959596</v>
      </c>
      <c r="AW45" s="9">
        <f t="shared" si="13"/>
        <v>2.746464646</v>
      </c>
      <c r="AX45" s="9">
        <f t="shared" ref="AX45:AY45" si="147">AM45/$AF45</f>
        <v>1.98989899</v>
      </c>
      <c r="AY45" s="9">
        <f t="shared" si="147"/>
        <v>0.2323232323</v>
      </c>
      <c r="AZ45" s="9">
        <f>VLOOKUP(A45,Jogos!A:BN,58,0)</f>
        <v>26.09</v>
      </c>
      <c r="BA45" s="9">
        <f>VLOOKUP(A45,Jogos!A:BN,59,0)</f>
        <v>21.3</v>
      </c>
      <c r="BB45" s="9">
        <f>VLOOKUP(A45,Jogos!A:BN,60,0)</f>
        <v>74.5</v>
      </c>
      <c r="BC45" s="9">
        <f>VLOOKUP(A45,Jogos!A:BN,61,0)</f>
        <v>24.475</v>
      </c>
      <c r="BD45" s="9">
        <f>VLOOKUP(A45,Jogos!A:BN,62,0)</f>
        <v>547.2</v>
      </c>
      <c r="BE45" s="9">
        <f>VLOOKUP(A45,Jogos!A:BN,63,0)</f>
        <v>1.025</v>
      </c>
      <c r="BF45" s="9">
        <f>VLOOKUP(A45,Jogos!A:BN,64,0)</f>
        <v>23.575</v>
      </c>
      <c r="BG45" s="9">
        <f>VLOOKUP(A45,Jogos!A:BN,65,0)</f>
        <v>41.075</v>
      </c>
      <c r="BH45" s="9">
        <f>VLOOKUP(A45,Jogos!A:BN,66,0)</f>
        <v>27.33</v>
      </c>
      <c r="BI45" s="9"/>
    </row>
    <row r="46" hidden="1">
      <c r="A46" s="10">
        <v>2.0</v>
      </c>
      <c r="B46" s="11" t="s">
        <v>121</v>
      </c>
      <c r="C46" s="2" t="s">
        <v>61</v>
      </c>
      <c r="D46" s="12">
        <v>45823.0</v>
      </c>
      <c r="E46" s="13">
        <v>0.5</v>
      </c>
      <c r="F46" s="5" t="str">
        <f>VLOOKUP(A46,Jogos!A:N,10,0)</f>
        <v>Afternoon</v>
      </c>
      <c r="G46" s="11" t="s">
        <v>122</v>
      </c>
      <c r="H46" s="6" t="str">
        <f>VLOOKUP(A46,Jogos!A:L,12,0)</f>
        <v>Open</v>
      </c>
      <c r="I46" s="6" t="str">
        <f>VLOOKUP(G46,'Estádios e Cidades'!A:B,2,0)</f>
        <v>Cincinnati</v>
      </c>
      <c r="J46" s="11" t="s">
        <v>124</v>
      </c>
      <c r="K46" s="2" t="str">
        <f>VLOOKUP(J46,Equipes!A:F,6,0)</f>
        <v>Temperate</v>
      </c>
      <c r="L46" s="2">
        <f>VLOOKUP(J46,Equipes!A:C,3,0)</f>
        <v>27</v>
      </c>
      <c r="M46" s="2" t="str">
        <f t="shared" si="4"/>
        <v>Group</v>
      </c>
      <c r="N46" s="15" t="s">
        <v>123</v>
      </c>
      <c r="O46" s="2">
        <f>VLOOKUP(N46,Equipes!A:C,3,0)</f>
        <v>6</v>
      </c>
      <c r="P46" s="2" t="str">
        <f t="shared" si="5"/>
        <v>Quarter-final</v>
      </c>
      <c r="Q46" s="2">
        <f t="shared" si="6"/>
        <v>21</v>
      </c>
      <c r="R46" s="2" t="str">
        <f>VLOOKUP(J46,Equipes!A:B,2,0)</f>
        <v>Auckland</v>
      </c>
      <c r="S46" s="6" t="s">
        <v>157</v>
      </c>
      <c r="T46" s="7">
        <v>3.0</v>
      </c>
      <c r="U46" s="7" t="s">
        <v>158</v>
      </c>
      <c r="V46" s="7" t="str">
        <f>VLOOKUP(U46,Jogadores!B:C,2,0)</f>
        <v>DF</v>
      </c>
      <c r="W46" s="8">
        <f>VLOOKUP(U46,Jogadores!B:D,3,0)</f>
        <v>29.17534247</v>
      </c>
      <c r="X46" s="7">
        <v>0.0</v>
      </c>
      <c r="Y46" s="7">
        <f t="shared" si="129"/>
        <v>95</v>
      </c>
      <c r="Z46" s="7">
        <f>VLOOKUP(A46,Jogos!A:L,3,0)</f>
        <v>49</v>
      </c>
      <c r="AA46" s="7">
        <f t="shared" si="7"/>
        <v>49</v>
      </c>
      <c r="AB46" s="7">
        <f>VLOOKUP(A46,Jogos!A:L,4,0)</f>
        <v>50</v>
      </c>
      <c r="AC46" s="7">
        <f t="shared" si="8"/>
        <v>50</v>
      </c>
      <c r="AD46" s="7"/>
      <c r="AE46" s="7"/>
      <c r="AF46" s="7">
        <f t="shared" si="9"/>
        <v>99</v>
      </c>
      <c r="AG46" s="7">
        <v>10063.7</v>
      </c>
      <c r="AH46" s="7">
        <v>4330.9</v>
      </c>
      <c r="AI46" s="7">
        <v>4309.7</v>
      </c>
      <c r="AJ46" s="7">
        <v>1174.4</v>
      </c>
      <c r="AK46" s="7">
        <v>241.9</v>
      </c>
      <c r="AL46" s="7">
        <v>6.9</v>
      </c>
      <c r="AM46" s="7">
        <v>101.0</v>
      </c>
      <c r="AN46" s="7">
        <v>19.0</v>
      </c>
      <c r="AO46" s="7">
        <v>26.5</v>
      </c>
      <c r="AP46" s="9">
        <f t="shared" ref="AP46:AR46" si="148">AG46/$AF46</f>
        <v>101.6535354</v>
      </c>
      <c r="AQ46" s="9">
        <f t="shared" si="148"/>
        <v>43.74646465</v>
      </c>
      <c r="AR46" s="9">
        <f t="shared" si="148"/>
        <v>43.53232323</v>
      </c>
      <c r="AS46" s="9">
        <f t="shared" si="11"/>
        <v>87.27878788</v>
      </c>
      <c r="AT46" s="9">
        <f t="shared" ref="AT46:AV46" si="149">AJ46/$AF46</f>
        <v>11.86262626</v>
      </c>
      <c r="AU46" s="9">
        <f t="shared" si="149"/>
        <v>2.443434343</v>
      </c>
      <c r="AV46" s="9">
        <f t="shared" si="149"/>
        <v>0.0696969697</v>
      </c>
      <c r="AW46" s="9">
        <f t="shared" si="13"/>
        <v>2.513131313</v>
      </c>
      <c r="AX46" s="9">
        <f t="shared" ref="AX46:AY46" si="150">AM46/$AF46</f>
        <v>1.02020202</v>
      </c>
      <c r="AY46" s="9">
        <f t="shared" si="150"/>
        <v>0.1919191919</v>
      </c>
      <c r="AZ46" s="9">
        <f>VLOOKUP(A46,Jogos!A:BN,58,0)</f>
        <v>26.09</v>
      </c>
      <c r="BA46" s="9">
        <f>VLOOKUP(A46,Jogos!A:BN,59,0)</f>
        <v>21.3</v>
      </c>
      <c r="BB46" s="9">
        <f>VLOOKUP(A46,Jogos!A:BN,60,0)</f>
        <v>74.5</v>
      </c>
      <c r="BC46" s="9">
        <f>VLOOKUP(A46,Jogos!A:BN,61,0)</f>
        <v>24.475</v>
      </c>
      <c r="BD46" s="9">
        <f>VLOOKUP(A46,Jogos!A:BN,62,0)</f>
        <v>547.2</v>
      </c>
      <c r="BE46" s="9">
        <f>VLOOKUP(A46,Jogos!A:BN,63,0)</f>
        <v>1.025</v>
      </c>
      <c r="BF46" s="9">
        <f>VLOOKUP(A46,Jogos!A:BN,64,0)</f>
        <v>23.575</v>
      </c>
      <c r="BG46" s="9">
        <f>VLOOKUP(A46,Jogos!A:BN,65,0)</f>
        <v>41.075</v>
      </c>
      <c r="BH46" s="9">
        <f>VLOOKUP(A46,Jogos!A:BN,66,0)</f>
        <v>27.33</v>
      </c>
      <c r="BI46" s="9"/>
    </row>
    <row r="47" hidden="1">
      <c r="A47" s="10">
        <v>2.0</v>
      </c>
      <c r="B47" s="11" t="s">
        <v>121</v>
      </c>
      <c r="C47" s="2" t="s">
        <v>61</v>
      </c>
      <c r="D47" s="12">
        <v>45823.0</v>
      </c>
      <c r="E47" s="13">
        <v>0.5</v>
      </c>
      <c r="F47" s="5" t="str">
        <f>VLOOKUP(A47,Jogos!A:N,10,0)</f>
        <v>Afternoon</v>
      </c>
      <c r="G47" s="11" t="s">
        <v>122</v>
      </c>
      <c r="H47" s="6" t="str">
        <f>VLOOKUP(A47,Jogos!A:L,12,0)</f>
        <v>Open</v>
      </c>
      <c r="I47" s="6" t="str">
        <f>VLOOKUP(G47,'Estádios e Cidades'!A:B,2,0)</f>
        <v>Cincinnati</v>
      </c>
      <c r="J47" s="11" t="s">
        <v>124</v>
      </c>
      <c r="K47" s="2" t="str">
        <f>VLOOKUP(J47,Equipes!A:F,6,0)</f>
        <v>Temperate</v>
      </c>
      <c r="L47" s="2">
        <f>VLOOKUP(J47,Equipes!A:C,3,0)</f>
        <v>27</v>
      </c>
      <c r="M47" s="2" t="str">
        <f t="shared" si="4"/>
        <v>Group</v>
      </c>
      <c r="N47" s="15" t="s">
        <v>123</v>
      </c>
      <c r="O47" s="2">
        <f>VLOOKUP(N47,Equipes!A:C,3,0)</f>
        <v>6</v>
      </c>
      <c r="P47" s="2" t="str">
        <f t="shared" si="5"/>
        <v>Quarter-final</v>
      </c>
      <c r="Q47" s="2">
        <f t="shared" si="6"/>
        <v>21</v>
      </c>
      <c r="R47" s="2" t="str">
        <f>VLOOKUP(J47,Equipes!A:B,2,0)</f>
        <v>Auckland</v>
      </c>
      <c r="S47" s="6" t="s">
        <v>159</v>
      </c>
      <c r="T47" s="7">
        <v>5.0</v>
      </c>
      <c r="U47" s="7" t="s">
        <v>160</v>
      </c>
      <c r="V47" s="7" t="str">
        <f>VLOOKUP(U47,Jogadores!B:C,2,0)</f>
        <v>DF</v>
      </c>
      <c r="W47" s="8">
        <f>VLOOKUP(U47,Jogadores!B:D,3,0)</f>
        <v>33.44657534</v>
      </c>
      <c r="X47" s="7">
        <v>0.0</v>
      </c>
      <c r="Y47" s="7">
        <f t="shared" si="129"/>
        <v>95</v>
      </c>
      <c r="Z47" s="7">
        <f>VLOOKUP(A47,Jogos!A:L,3,0)</f>
        <v>49</v>
      </c>
      <c r="AA47" s="7">
        <f t="shared" si="7"/>
        <v>49</v>
      </c>
      <c r="AB47" s="7">
        <f>VLOOKUP(A47,Jogos!A:L,4,0)</f>
        <v>50</v>
      </c>
      <c r="AC47" s="7">
        <f t="shared" si="8"/>
        <v>50</v>
      </c>
      <c r="AD47" s="7"/>
      <c r="AE47" s="7"/>
      <c r="AF47" s="7">
        <f t="shared" si="9"/>
        <v>99</v>
      </c>
      <c r="AG47" s="7">
        <v>8919.8</v>
      </c>
      <c r="AH47" s="7">
        <v>3852.2</v>
      </c>
      <c r="AI47" s="7">
        <v>4061.3</v>
      </c>
      <c r="AJ47" s="7">
        <v>846.9</v>
      </c>
      <c r="AK47" s="7">
        <v>149.9</v>
      </c>
      <c r="AL47" s="7">
        <v>9.5</v>
      </c>
      <c r="AM47" s="7">
        <v>70.0</v>
      </c>
      <c r="AN47" s="7">
        <v>12.0</v>
      </c>
      <c r="AO47" s="7">
        <v>28.1</v>
      </c>
      <c r="AP47" s="9">
        <f t="shared" ref="AP47:AR47" si="151">AG47/$AF47</f>
        <v>90.0989899</v>
      </c>
      <c r="AQ47" s="9">
        <f t="shared" si="151"/>
        <v>38.91111111</v>
      </c>
      <c r="AR47" s="9">
        <f t="shared" si="151"/>
        <v>41.02323232</v>
      </c>
      <c r="AS47" s="9">
        <f t="shared" si="11"/>
        <v>79.93434343</v>
      </c>
      <c r="AT47" s="9">
        <f t="shared" ref="AT47:AV47" si="152">AJ47/$AF47</f>
        <v>8.554545455</v>
      </c>
      <c r="AU47" s="9">
        <f t="shared" si="152"/>
        <v>1.514141414</v>
      </c>
      <c r="AV47" s="9">
        <f t="shared" si="152"/>
        <v>0.09595959596</v>
      </c>
      <c r="AW47" s="9">
        <f t="shared" si="13"/>
        <v>1.61010101</v>
      </c>
      <c r="AX47" s="9">
        <f t="shared" ref="AX47:AY47" si="153">AM47/$AF47</f>
        <v>0.7070707071</v>
      </c>
      <c r="AY47" s="9">
        <f t="shared" si="153"/>
        <v>0.1212121212</v>
      </c>
      <c r="AZ47" s="9">
        <f>VLOOKUP(A47,Jogos!A:BN,58,0)</f>
        <v>26.09</v>
      </c>
      <c r="BA47" s="9">
        <f>VLOOKUP(A47,Jogos!A:BN,59,0)</f>
        <v>21.3</v>
      </c>
      <c r="BB47" s="9">
        <f>VLOOKUP(A47,Jogos!A:BN,60,0)</f>
        <v>74.5</v>
      </c>
      <c r="BC47" s="9">
        <f>VLOOKUP(A47,Jogos!A:BN,61,0)</f>
        <v>24.475</v>
      </c>
      <c r="BD47" s="9">
        <f>VLOOKUP(A47,Jogos!A:BN,62,0)</f>
        <v>547.2</v>
      </c>
      <c r="BE47" s="9">
        <f>VLOOKUP(A47,Jogos!A:BN,63,0)</f>
        <v>1.025</v>
      </c>
      <c r="BF47" s="9">
        <f>VLOOKUP(A47,Jogos!A:BN,64,0)</f>
        <v>23.575</v>
      </c>
      <c r="BG47" s="9">
        <f>VLOOKUP(A47,Jogos!A:BN,65,0)</f>
        <v>41.075</v>
      </c>
      <c r="BH47" s="9">
        <f>VLOOKUP(A47,Jogos!A:BN,66,0)</f>
        <v>27.33</v>
      </c>
      <c r="BI47" s="9"/>
    </row>
    <row r="48" hidden="1">
      <c r="A48" s="10">
        <v>2.0</v>
      </c>
      <c r="B48" s="11" t="s">
        <v>121</v>
      </c>
      <c r="C48" s="2" t="s">
        <v>61</v>
      </c>
      <c r="D48" s="12">
        <v>45823.0</v>
      </c>
      <c r="E48" s="13">
        <v>0.5</v>
      </c>
      <c r="F48" s="5" t="str">
        <f>VLOOKUP(A48,Jogos!A:N,10,0)</f>
        <v>Afternoon</v>
      </c>
      <c r="G48" s="11" t="s">
        <v>122</v>
      </c>
      <c r="H48" s="6" t="str">
        <f>VLOOKUP(A48,Jogos!A:L,12,0)</f>
        <v>Open</v>
      </c>
      <c r="I48" s="6" t="str">
        <f>VLOOKUP(G48,'Estádios e Cidades'!A:B,2,0)</f>
        <v>Cincinnati</v>
      </c>
      <c r="J48" s="11" t="s">
        <v>124</v>
      </c>
      <c r="K48" s="2" t="str">
        <f>VLOOKUP(J48,Equipes!A:F,6,0)</f>
        <v>Temperate</v>
      </c>
      <c r="L48" s="2">
        <f>VLOOKUP(J48,Equipes!A:C,3,0)</f>
        <v>27</v>
      </c>
      <c r="M48" s="2" t="str">
        <f t="shared" si="4"/>
        <v>Group</v>
      </c>
      <c r="N48" s="15" t="s">
        <v>123</v>
      </c>
      <c r="O48" s="2">
        <f>VLOOKUP(N48,Equipes!A:C,3,0)</f>
        <v>6</v>
      </c>
      <c r="P48" s="2" t="str">
        <f t="shared" si="5"/>
        <v>Quarter-final</v>
      </c>
      <c r="Q48" s="2">
        <f t="shared" si="6"/>
        <v>21</v>
      </c>
      <c r="R48" s="2" t="str">
        <f>VLOOKUP(J48,Equipes!A:B,2,0)</f>
        <v>Auckland</v>
      </c>
      <c r="S48" s="6" t="s">
        <v>161</v>
      </c>
      <c r="T48" s="7">
        <v>7.0</v>
      </c>
      <c r="U48" s="7" t="s">
        <v>162</v>
      </c>
      <c r="V48" s="7" t="str">
        <f>VLOOKUP(U48,Jogadores!B:C,2,0)</f>
        <v>FW</v>
      </c>
      <c r="W48" s="8">
        <f>VLOOKUP(U48,Jogadores!B:D,3,0)</f>
        <v>28.28219178</v>
      </c>
      <c r="X48" s="7">
        <v>0.0</v>
      </c>
      <c r="Y48" s="7">
        <f t="shared" si="129"/>
        <v>95</v>
      </c>
      <c r="Z48" s="7">
        <f>VLOOKUP(A48,Jogos!A:L,3,0)</f>
        <v>49</v>
      </c>
      <c r="AA48" s="7">
        <f t="shared" si="7"/>
        <v>49</v>
      </c>
      <c r="AB48" s="7">
        <f>VLOOKUP(A48,Jogos!A:L,4,0)</f>
        <v>50</v>
      </c>
      <c r="AC48" s="7">
        <f t="shared" si="8"/>
        <v>50</v>
      </c>
      <c r="AD48" s="7"/>
      <c r="AE48" s="7"/>
      <c r="AF48" s="7">
        <f t="shared" si="9"/>
        <v>99</v>
      </c>
      <c r="AG48" s="7">
        <v>11608.8</v>
      </c>
      <c r="AH48" s="7">
        <v>4300.9</v>
      </c>
      <c r="AI48" s="7">
        <v>5050.5</v>
      </c>
      <c r="AJ48" s="7">
        <v>1505.3</v>
      </c>
      <c r="AK48" s="7">
        <v>618.9</v>
      </c>
      <c r="AL48" s="7">
        <v>133.3</v>
      </c>
      <c r="AM48" s="7">
        <v>118.0</v>
      </c>
      <c r="AN48" s="7">
        <v>49.0</v>
      </c>
      <c r="AO48" s="7">
        <v>32.4</v>
      </c>
      <c r="AP48" s="9">
        <f t="shared" ref="AP48:AR48" si="154">AG48/$AF48</f>
        <v>117.2606061</v>
      </c>
      <c r="AQ48" s="9">
        <f t="shared" si="154"/>
        <v>43.44343434</v>
      </c>
      <c r="AR48" s="9">
        <f t="shared" si="154"/>
        <v>51.01515152</v>
      </c>
      <c r="AS48" s="9">
        <f t="shared" si="11"/>
        <v>94.45858586</v>
      </c>
      <c r="AT48" s="9">
        <f t="shared" ref="AT48:AV48" si="155">AJ48/$AF48</f>
        <v>15.20505051</v>
      </c>
      <c r="AU48" s="9">
        <f t="shared" si="155"/>
        <v>6.251515152</v>
      </c>
      <c r="AV48" s="9">
        <f t="shared" si="155"/>
        <v>1.346464646</v>
      </c>
      <c r="AW48" s="9">
        <f t="shared" si="13"/>
        <v>7.597979798</v>
      </c>
      <c r="AX48" s="9">
        <f t="shared" ref="AX48:AY48" si="156">AM48/$AF48</f>
        <v>1.191919192</v>
      </c>
      <c r="AY48" s="9">
        <f t="shared" si="156"/>
        <v>0.4949494949</v>
      </c>
      <c r="AZ48" s="9">
        <f>VLOOKUP(A48,Jogos!A:BN,58,0)</f>
        <v>26.09</v>
      </c>
      <c r="BA48" s="9">
        <f>VLOOKUP(A48,Jogos!A:BN,59,0)</f>
        <v>21.3</v>
      </c>
      <c r="BB48" s="9">
        <f>VLOOKUP(A48,Jogos!A:BN,60,0)</f>
        <v>74.5</v>
      </c>
      <c r="BC48" s="9">
        <f>VLOOKUP(A48,Jogos!A:BN,61,0)</f>
        <v>24.475</v>
      </c>
      <c r="BD48" s="9">
        <f>VLOOKUP(A48,Jogos!A:BN,62,0)</f>
        <v>547.2</v>
      </c>
      <c r="BE48" s="9">
        <f>VLOOKUP(A48,Jogos!A:BN,63,0)</f>
        <v>1.025</v>
      </c>
      <c r="BF48" s="9">
        <f>VLOOKUP(A48,Jogos!A:BN,64,0)</f>
        <v>23.575</v>
      </c>
      <c r="BG48" s="9">
        <f>VLOOKUP(A48,Jogos!A:BN,65,0)</f>
        <v>41.075</v>
      </c>
      <c r="BH48" s="9">
        <f>VLOOKUP(A48,Jogos!A:BN,66,0)</f>
        <v>27.33</v>
      </c>
      <c r="BI48" s="9"/>
    </row>
    <row r="49" hidden="1">
      <c r="A49" s="10">
        <v>2.0</v>
      </c>
      <c r="B49" s="11" t="s">
        <v>121</v>
      </c>
      <c r="C49" s="2" t="s">
        <v>61</v>
      </c>
      <c r="D49" s="12">
        <v>45823.0</v>
      </c>
      <c r="E49" s="13">
        <v>0.5</v>
      </c>
      <c r="F49" s="5" t="str">
        <f>VLOOKUP(A49,Jogos!A:N,10,0)</f>
        <v>Afternoon</v>
      </c>
      <c r="G49" s="11" t="s">
        <v>122</v>
      </c>
      <c r="H49" s="6" t="str">
        <f>VLOOKUP(A49,Jogos!A:L,12,0)</f>
        <v>Open</v>
      </c>
      <c r="I49" s="6" t="str">
        <f>VLOOKUP(G49,'Estádios e Cidades'!A:B,2,0)</f>
        <v>Cincinnati</v>
      </c>
      <c r="J49" s="11" t="s">
        <v>124</v>
      </c>
      <c r="K49" s="2" t="str">
        <f>VLOOKUP(J49,Equipes!A:F,6,0)</f>
        <v>Temperate</v>
      </c>
      <c r="L49" s="2">
        <f>VLOOKUP(J49,Equipes!A:C,3,0)</f>
        <v>27</v>
      </c>
      <c r="M49" s="2" t="str">
        <f t="shared" si="4"/>
        <v>Group</v>
      </c>
      <c r="N49" s="15" t="s">
        <v>123</v>
      </c>
      <c r="O49" s="2">
        <f>VLOOKUP(N49,Equipes!A:C,3,0)</f>
        <v>6</v>
      </c>
      <c r="P49" s="2" t="str">
        <f t="shared" si="5"/>
        <v>Quarter-final</v>
      </c>
      <c r="Q49" s="2">
        <f t="shared" si="6"/>
        <v>21</v>
      </c>
      <c r="R49" s="2" t="str">
        <f>VLOOKUP(J49,Equipes!A:B,2,0)</f>
        <v>Auckland</v>
      </c>
      <c r="S49" s="6" t="s">
        <v>163</v>
      </c>
      <c r="T49" s="7">
        <v>8.0</v>
      </c>
      <c r="U49" s="7" t="s">
        <v>164</v>
      </c>
      <c r="V49" s="7" t="str">
        <f>VLOOKUP(U49,Jogadores!B:C,2,0)</f>
        <v>MF</v>
      </c>
      <c r="W49" s="8">
        <f>VLOOKUP(U49,Jogadores!B:D,3,0)</f>
        <v>32.1890411</v>
      </c>
      <c r="X49" s="7">
        <v>0.0</v>
      </c>
      <c r="Y49" s="7">
        <v>66.0</v>
      </c>
      <c r="Z49" s="7">
        <f>VLOOKUP(A49,Jogos!A:L,3,0)</f>
        <v>49</v>
      </c>
      <c r="AA49" s="7">
        <f t="shared" si="7"/>
        <v>49</v>
      </c>
      <c r="AB49" s="7">
        <f>VLOOKUP(A49,Jogos!A:L,4,0)</f>
        <v>50</v>
      </c>
      <c r="AC49" s="7">
        <f t="shared" si="8"/>
        <v>21</v>
      </c>
      <c r="AD49" s="7"/>
      <c r="AE49" s="7"/>
      <c r="AF49" s="7">
        <f t="shared" si="9"/>
        <v>70</v>
      </c>
      <c r="AG49" s="7">
        <v>9312.2</v>
      </c>
      <c r="AH49" s="7">
        <v>2369.7</v>
      </c>
      <c r="AI49" s="7">
        <v>4957.2</v>
      </c>
      <c r="AJ49" s="7">
        <v>1671.5</v>
      </c>
      <c r="AK49" s="7">
        <v>287.5</v>
      </c>
      <c r="AL49" s="7">
        <v>26.3</v>
      </c>
      <c r="AM49" s="7">
        <v>154.0</v>
      </c>
      <c r="AN49" s="7">
        <v>24.0</v>
      </c>
      <c r="AO49" s="7">
        <v>26.7</v>
      </c>
      <c r="AP49" s="9">
        <f t="shared" ref="AP49:AR49" si="157">AG49/$AF49</f>
        <v>133.0314286</v>
      </c>
      <c r="AQ49" s="9">
        <f t="shared" si="157"/>
        <v>33.85285714</v>
      </c>
      <c r="AR49" s="9">
        <f t="shared" si="157"/>
        <v>70.81714286</v>
      </c>
      <c r="AS49" s="9">
        <f t="shared" si="11"/>
        <v>104.67</v>
      </c>
      <c r="AT49" s="9">
        <f t="shared" ref="AT49:AV49" si="158">AJ49/$AF49</f>
        <v>23.87857143</v>
      </c>
      <c r="AU49" s="9">
        <f t="shared" si="158"/>
        <v>4.107142857</v>
      </c>
      <c r="AV49" s="9">
        <f t="shared" si="158"/>
        <v>0.3757142857</v>
      </c>
      <c r="AW49" s="9">
        <f t="shared" si="13"/>
        <v>4.482857143</v>
      </c>
      <c r="AX49" s="9">
        <f t="shared" ref="AX49:AY49" si="159">AM49/$AF49</f>
        <v>2.2</v>
      </c>
      <c r="AY49" s="9">
        <f t="shared" si="159"/>
        <v>0.3428571429</v>
      </c>
      <c r="AZ49" s="9">
        <f>VLOOKUP(A49,Jogos!A:BN,58,0)</f>
        <v>26.09</v>
      </c>
      <c r="BA49" s="9">
        <f>VLOOKUP(A49,Jogos!A:BN,59,0)</f>
        <v>21.3</v>
      </c>
      <c r="BB49" s="9">
        <f>VLOOKUP(A49,Jogos!A:BN,60,0)</f>
        <v>74.5</v>
      </c>
      <c r="BC49" s="9">
        <f>VLOOKUP(A49,Jogos!A:BN,61,0)</f>
        <v>24.475</v>
      </c>
      <c r="BD49" s="9">
        <f>VLOOKUP(A49,Jogos!A:BN,62,0)</f>
        <v>547.2</v>
      </c>
      <c r="BE49" s="9">
        <f>VLOOKUP(A49,Jogos!A:BN,63,0)</f>
        <v>1.025</v>
      </c>
      <c r="BF49" s="9">
        <f>VLOOKUP(A49,Jogos!A:BN,64,0)</f>
        <v>23.575</v>
      </c>
      <c r="BG49" s="9">
        <f>VLOOKUP(A49,Jogos!A:BN,65,0)</f>
        <v>41.075</v>
      </c>
      <c r="BH49" s="9">
        <f>VLOOKUP(A49,Jogos!A:BN,66,0)</f>
        <v>27.33</v>
      </c>
      <c r="BI49" s="9"/>
    </row>
    <row r="50" hidden="1">
      <c r="A50" s="10">
        <v>2.0</v>
      </c>
      <c r="B50" s="11" t="s">
        <v>121</v>
      </c>
      <c r="C50" s="2" t="s">
        <v>61</v>
      </c>
      <c r="D50" s="12">
        <v>45823.0</v>
      </c>
      <c r="E50" s="13">
        <v>0.5</v>
      </c>
      <c r="F50" s="5" t="str">
        <f>VLOOKUP(A50,Jogos!A:N,10,0)</f>
        <v>Afternoon</v>
      </c>
      <c r="G50" s="11" t="s">
        <v>122</v>
      </c>
      <c r="H50" s="6" t="str">
        <f>VLOOKUP(A50,Jogos!A:L,12,0)</f>
        <v>Open</v>
      </c>
      <c r="I50" s="6" t="str">
        <f>VLOOKUP(G50,'Estádios e Cidades'!A:B,2,0)</f>
        <v>Cincinnati</v>
      </c>
      <c r="J50" s="11" t="s">
        <v>124</v>
      </c>
      <c r="K50" s="2" t="str">
        <f>VLOOKUP(J50,Equipes!A:F,6,0)</f>
        <v>Temperate</v>
      </c>
      <c r="L50" s="2">
        <f>VLOOKUP(J50,Equipes!A:C,3,0)</f>
        <v>27</v>
      </c>
      <c r="M50" s="2" t="str">
        <f t="shared" si="4"/>
        <v>Group</v>
      </c>
      <c r="N50" s="15" t="s">
        <v>123</v>
      </c>
      <c r="O50" s="2">
        <f>VLOOKUP(N50,Equipes!A:C,3,0)</f>
        <v>6</v>
      </c>
      <c r="P50" s="2" t="str">
        <f t="shared" si="5"/>
        <v>Quarter-final</v>
      </c>
      <c r="Q50" s="2">
        <f t="shared" si="6"/>
        <v>21</v>
      </c>
      <c r="R50" s="2" t="str">
        <f>VLOOKUP(J50,Equipes!A:B,2,0)</f>
        <v>Auckland</v>
      </c>
      <c r="S50" s="6" t="s">
        <v>165</v>
      </c>
      <c r="T50" s="7">
        <v>10.0</v>
      </c>
      <c r="U50" s="7" t="s">
        <v>166</v>
      </c>
      <c r="V50" s="7" t="str">
        <f>VLOOKUP(U50,Jogadores!B:C,2,0)</f>
        <v>FW</v>
      </c>
      <c r="W50" s="8">
        <f>VLOOKUP(U50,Jogadores!B:D,3,0)</f>
        <v>33.1369863</v>
      </c>
      <c r="X50" s="7">
        <v>0.0</v>
      </c>
      <c r="Y50" s="7">
        <v>71.0</v>
      </c>
      <c r="Z50" s="7">
        <f>VLOOKUP(A50,Jogos!A:L,3,0)</f>
        <v>49</v>
      </c>
      <c r="AA50" s="7">
        <f t="shared" si="7"/>
        <v>49</v>
      </c>
      <c r="AB50" s="7">
        <f>VLOOKUP(A50,Jogos!A:L,4,0)</f>
        <v>50</v>
      </c>
      <c r="AC50" s="7">
        <f t="shared" si="8"/>
        <v>26</v>
      </c>
      <c r="AD50" s="7"/>
      <c r="AE50" s="7"/>
      <c r="AF50" s="7">
        <f t="shared" si="9"/>
        <v>75</v>
      </c>
      <c r="AG50" s="7">
        <v>9127.4</v>
      </c>
      <c r="AH50" s="7">
        <v>2755.1</v>
      </c>
      <c r="AI50" s="7">
        <v>4005.7</v>
      </c>
      <c r="AJ50" s="7">
        <v>1697.2</v>
      </c>
      <c r="AK50" s="7">
        <v>467.9</v>
      </c>
      <c r="AL50" s="7">
        <v>201.5</v>
      </c>
      <c r="AM50" s="7">
        <v>154.0</v>
      </c>
      <c r="AN50" s="7">
        <v>38.0</v>
      </c>
      <c r="AO50" s="7">
        <v>30.4</v>
      </c>
      <c r="AP50" s="9">
        <f t="shared" ref="AP50:AR50" si="160">AG50/$AF50</f>
        <v>121.6986667</v>
      </c>
      <c r="AQ50" s="9">
        <f t="shared" si="160"/>
        <v>36.73466667</v>
      </c>
      <c r="AR50" s="9">
        <f t="shared" si="160"/>
        <v>53.40933333</v>
      </c>
      <c r="AS50" s="9">
        <f t="shared" si="11"/>
        <v>90.144</v>
      </c>
      <c r="AT50" s="9">
        <f t="shared" ref="AT50:AV50" si="161">AJ50/$AF50</f>
        <v>22.62933333</v>
      </c>
      <c r="AU50" s="9">
        <f t="shared" si="161"/>
        <v>6.238666667</v>
      </c>
      <c r="AV50" s="9">
        <f t="shared" si="161"/>
        <v>2.686666667</v>
      </c>
      <c r="AW50" s="9">
        <f t="shared" si="13"/>
        <v>8.925333333</v>
      </c>
      <c r="AX50" s="9">
        <f t="shared" ref="AX50:AY50" si="162">AM50/$AF50</f>
        <v>2.053333333</v>
      </c>
      <c r="AY50" s="9">
        <f t="shared" si="162"/>
        <v>0.5066666667</v>
      </c>
      <c r="AZ50" s="9">
        <f>VLOOKUP(A50,Jogos!A:BN,58,0)</f>
        <v>26.09</v>
      </c>
      <c r="BA50" s="9">
        <f>VLOOKUP(A50,Jogos!A:BN,59,0)</f>
        <v>21.3</v>
      </c>
      <c r="BB50" s="9">
        <f>VLOOKUP(A50,Jogos!A:BN,60,0)</f>
        <v>74.5</v>
      </c>
      <c r="BC50" s="9">
        <f>VLOOKUP(A50,Jogos!A:BN,61,0)</f>
        <v>24.475</v>
      </c>
      <c r="BD50" s="9">
        <f>VLOOKUP(A50,Jogos!A:BN,62,0)</f>
        <v>547.2</v>
      </c>
      <c r="BE50" s="9">
        <f>VLOOKUP(A50,Jogos!A:BN,63,0)</f>
        <v>1.025</v>
      </c>
      <c r="BF50" s="9">
        <f>VLOOKUP(A50,Jogos!A:BN,64,0)</f>
        <v>23.575</v>
      </c>
      <c r="BG50" s="9">
        <f>VLOOKUP(A50,Jogos!A:BN,65,0)</f>
        <v>41.075</v>
      </c>
      <c r="BH50" s="9">
        <f>VLOOKUP(A50,Jogos!A:BN,66,0)</f>
        <v>27.33</v>
      </c>
      <c r="BI50" s="9"/>
    </row>
    <row r="51" hidden="1">
      <c r="A51" s="10">
        <v>2.0</v>
      </c>
      <c r="B51" s="11" t="s">
        <v>121</v>
      </c>
      <c r="C51" s="2" t="s">
        <v>61</v>
      </c>
      <c r="D51" s="12">
        <v>45823.0</v>
      </c>
      <c r="E51" s="13">
        <v>0.5</v>
      </c>
      <c r="F51" s="5" t="str">
        <f>VLOOKUP(A51,Jogos!A:N,10,0)</f>
        <v>Afternoon</v>
      </c>
      <c r="G51" s="11" t="s">
        <v>122</v>
      </c>
      <c r="H51" s="6" t="str">
        <f>VLOOKUP(A51,Jogos!A:L,12,0)</f>
        <v>Open</v>
      </c>
      <c r="I51" s="6" t="str">
        <f>VLOOKUP(G51,'Estádios e Cidades'!A:B,2,0)</f>
        <v>Cincinnati</v>
      </c>
      <c r="J51" s="11" t="s">
        <v>124</v>
      </c>
      <c r="K51" s="2" t="str">
        <f>VLOOKUP(J51,Equipes!A:F,6,0)</f>
        <v>Temperate</v>
      </c>
      <c r="L51" s="2">
        <f>VLOOKUP(J51,Equipes!A:C,3,0)</f>
        <v>27</v>
      </c>
      <c r="M51" s="2" t="str">
        <f t="shared" si="4"/>
        <v>Group</v>
      </c>
      <c r="N51" s="15" t="s">
        <v>123</v>
      </c>
      <c r="O51" s="2">
        <f>VLOOKUP(N51,Equipes!A:C,3,0)</f>
        <v>6</v>
      </c>
      <c r="P51" s="2" t="str">
        <f t="shared" si="5"/>
        <v>Quarter-final</v>
      </c>
      <c r="Q51" s="2">
        <f t="shared" si="6"/>
        <v>21</v>
      </c>
      <c r="R51" s="2" t="str">
        <f>VLOOKUP(J51,Equipes!A:B,2,0)</f>
        <v>Auckland</v>
      </c>
      <c r="S51" s="6" t="s">
        <v>167</v>
      </c>
      <c r="T51" s="7">
        <v>12.0</v>
      </c>
      <c r="U51" s="7" t="s">
        <v>168</v>
      </c>
      <c r="V51" s="7" t="str">
        <f>VLOOKUP(U51,Jogadores!B:C,2,0)</f>
        <v>DF</v>
      </c>
      <c r="W51" s="8">
        <f>VLOOKUP(U51,Jogadores!B:D,3,0)</f>
        <v>29.22465753</v>
      </c>
      <c r="X51" s="7">
        <v>0.0</v>
      </c>
      <c r="Y51" s="7">
        <f>45+AB51</f>
        <v>95</v>
      </c>
      <c r="Z51" s="7">
        <f>VLOOKUP(A51,Jogos!A:L,3,0)</f>
        <v>49</v>
      </c>
      <c r="AA51" s="7">
        <f t="shared" si="7"/>
        <v>49</v>
      </c>
      <c r="AB51" s="7">
        <f>VLOOKUP(A51,Jogos!A:L,4,0)</f>
        <v>50</v>
      </c>
      <c r="AC51" s="7">
        <f t="shared" si="8"/>
        <v>50</v>
      </c>
      <c r="AD51" s="7"/>
      <c r="AE51" s="7"/>
      <c r="AF51" s="7">
        <f t="shared" si="9"/>
        <v>99</v>
      </c>
      <c r="AG51" s="7">
        <v>10440.1</v>
      </c>
      <c r="AH51" s="7">
        <v>4465.2</v>
      </c>
      <c r="AI51" s="7">
        <v>4210.0</v>
      </c>
      <c r="AJ51" s="7">
        <v>1135.8</v>
      </c>
      <c r="AK51" s="7">
        <v>501.7</v>
      </c>
      <c r="AL51" s="7">
        <v>127.4</v>
      </c>
      <c r="AM51" s="7">
        <v>100.0</v>
      </c>
      <c r="AN51" s="7">
        <v>40.0</v>
      </c>
      <c r="AO51" s="7">
        <v>28.8</v>
      </c>
      <c r="AP51" s="9">
        <f t="shared" ref="AP51:AR51" si="163">AG51/$AF51</f>
        <v>105.4555556</v>
      </c>
      <c r="AQ51" s="9">
        <f t="shared" si="163"/>
        <v>45.1030303</v>
      </c>
      <c r="AR51" s="9">
        <f t="shared" si="163"/>
        <v>42.52525253</v>
      </c>
      <c r="AS51" s="9">
        <f t="shared" si="11"/>
        <v>87.62828283</v>
      </c>
      <c r="AT51" s="9">
        <f t="shared" ref="AT51:AV51" si="164">AJ51/$AF51</f>
        <v>11.47272727</v>
      </c>
      <c r="AU51" s="9">
        <f t="shared" si="164"/>
        <v>5.067676768</v>
      </c>
      <c r="AV51" s="9">
        <f t="shared" si="164"/>
        <v>1.286868687</v>
      </c>
      <c r="AW51" s="9">
        <f t="shared" si="13"/>
        <v>6.354545455</v>
      </c>
      <c r="AX51" s="9">
        <f t="shared" ref="AX51:AY51" si="165">AM51/$AF51</f>
        <v>1.01010101</v>
      </c>
      <c r="AY51" s="9">
        <f t="shared" si="165"/>
        <v>0.404040404</v>
      </c>
      <c r="AZ51" s="9">
        <f>VLOOKUP(A51,Jogos!A:BN,58,0)</f>
        <v>26.09</v>
      </c>
      <c r="BA51" s="9">
        <f>VLOOKUP(A51,Jogos!A:BN,59,0)</f>
        <v>21.3</v>
      </c>
      <c r="BB51" s="9">
        <f>VLOOKUP(A51,Jogos!A:BN,60,0)</f>
        <v>74.5</v>
      </c>
      <c r="BC51" s="9">
        <f>VLOOKUP(A51,Jogos!A:BN,61,0)</f>
        <v>24.475</v>
      </c>
      <c r="BD51" s="9">
        <f>VLOOKUP(A51,Jogos!A:BN,62,0)</f>
        <v>547.2</v>
      </c>
      <c r="BE51" s="9">
        <f>VLOOKUP(A51,Jogos!A:BN,63,0)</f>
        <v>1.025</v>
      </c>
      <c r="BF51" s="9">
        <f>VLOOKUP(A51,Jogos!A:BN,64,0)</f>
        <v>23.575</v>
      </c>
      <c r="BG51" s="9">
        <f>VLOOKUP(A51,Jogos!A:BN,65,0)</f>
        <v>41.075</v>
      </c>
      <c r="BH51" s="9">
        <f>VLOOKUP(A51,Jogos!A:BN,66,0)</f>
        <v>27.33</v>
      </c>
      <c r="BI51" s="9"/>
    </row>
    <row r="52" hidden="1">
      <c r="A52" s="10">
        <v>2.0</v>
      </c>
      <c r="B52" s="11" t="s">
        <v>121</v>
      </c>
      <c r="C52" s="2" t="s">
        <v>61</v>
      </c>
      <c r="D52" s="12">
        <v>45823.0</v>
      </c>
      <c r="E52" s="13">
        <v>0.5</v>
      </c>
      <c r="F52" s="5" t="str">
        <f>VLOOKUP(A52,Jogos!A:N,10,0)</f>
        <v>Afternoon</v>
      </c>
      <c r="G52" s="11" t="s">
        <v>122</v>
      </c>
      <c r="H52" s="6" t="str">
        <f>VLOOKUP(A52,Jogos!A:L,12,0)</f>
        <v>Open</v>
      </c>
      <c r="I52" s="6" t="str">
        <f>VLOOKUP(G52,'Estádios e Cidades'!A:B,2,0)</f>
        <v>Cincinnati</v>
      </c>
      <c r="J52" s="11" t="s">
        <v>124</v>
      </c>
      <c r="K52" s="2" t="str">
        <f>VLOOKUP(J52,Equipes!A:F,6,0)</f>
        <v>Temperate</v>
      </c>
      <c r="L52" s="2">
        <f>VLOOKUP(J52,Equipes!A:C,3,0)</f>
        <v>27</v>
      </c>
      <c r="M52" s="2" t="str">
        <f t="shared" si="4"/>
        <v>Group</v>
      </c>
      <c r="N52" s="15" t="s">
        <v>123</v>
      </c>
      <c r="O52" s="2">
        <f>VLOOKUP(N52,Equipes!A:C,3,0)</f>
        <v>6</v>
      </c>
      <c r="P52" s="2" t="str">
        <f t="shared" si="5"/>
        <v>Quarter-final</v>
      </c>
      <c r="Q52" s="2">
        <f t="shared" si="6"/>
        <v>21</v>
      </c>
      <c r="R52" s="2" t="str">
        <f>VLOOKUP(J52,Equipes!A:B,2,0)</f>
        <v>Auckland</v>
      </c>
      <c r="S52" s="6" t="s">
        <v>169</v>
      </c>
      <c r="T52" s="7">
        <v>13.0</v>
      </c>
      <c r="U52" s="7" t="s">
        <v>170</v>
      </c>
      <c r="V52" s="7" t="str">
        <f>VLOOKUP(U52,Jogadores!B:C,2,0)</f>
        <v>DF</v>
      </c>
      <c r="W52" s="8">
        <f>VLOOKUP(U52,Jogadores!B:D,3,0)</f>
        <v>22.63013699</v>
      </c>
      <c r="X52" s="7">
        <v>0.0</v>
      </c>
      <c r="Y52" s="7">
        <v>66.0</v>
      </c>
      <c r="Z52" s="7">
        <f>VLOOKUP(A52,Jogos!A:L,3,0)</f>
        <v>49</v>
      </c>
      <c r="AA52" s="7">
        <f t="shared" si="7"/>
        <v>49</v>
      </c>
      <c r="AB52" s="7">
        <f>VLOOKUP(A52,Jogos!A:L,4,0)</f>
        <v>50</v>
      </c>
      <c r="AC52" s="7">
        <f t="shared" si="8"/>
        <v>21</v>
      </c>
      <c r="AD52" s="7"/>
      <c r="AE52" s="7"/>
      <c r="AF52" s="7">
        <f t="shared" si="9"/>
        <v>70</v>
      </c>
      <c r="AG52" s="7">
        <v>7866.2</v>
      </c>
      <c r="AH52" s="7">
        <v>2979.3</v>
      </c>
      <c r="AI52" s="7">
        <v>3420.8</v>
      </c>
      <c r="AJ52" s="7">
        <v>933.4</v>
      </c>
      <c r="AK52" s="7">
        <v>384.8</v>
      </c>
      <c r="AL52" s="7">
        <v>147.8</v>
      </c>
      <c r="AM52" s="7">
        <v>73.0</v>
      </c>
      <c r="AN52" s="7">
        <v>30.0</v>
      </c>
      <c r="AO52" s="7">
        <v>30.0</v>
      </c>
      <c r="AP52" s="9">
        <f t="shared" ref="AP52:AR52" si="166">AG52/$AF52</f>
        <v>112.3742857</v>
      </c>
      <c r="AQ52" s="9">
        <f t="shared" si="166"/>
        <v>42.56142857</v>
      </c>
      <c r="AR52" s="9">
        <f t="shared" si="166"/>
        <v>48.86857143</v>
      </c>
      <c r="AS52" s="9">
        <f t="shared" si="11"/>
        <v>91.43</v>
      </c>
      <c r="AT52" s="9">
        <f t="shared" ref="AT52:AV52" si="167">AJ52/$AF52</f>
        <v>13.33428571</v>
      </c>
      <c r="AU52" s="9">
        <f t="shared" si="167"/>
        <v>5.497142857</v>
      </c>
      <c r="AV52" s="9">
        <f t="shared" si="167"/>
        <v>2.111428571</v>
      </c>
      <c r="AW52" s="9">
        <f t="shared" si="13"/>
        <v>7.608571429</v>
      </c>
      <c r="AX52" s="9">
        <f t="shared" ref="AX52:AY52" si="168">AM52/$AF52</f>
        <v>1.042857143</v>
      </c>
      <c r="AY52" s="9">
        <f t="shared" si="168"/>
        <v>0.4285714286</v>
      </c>
      <c r="AZ52" s="9">
        <f>VLOOKUP(A52,Jogos!A:BN,58,0)</f>
        <v>26.09</v>
      </c>
      <c r="BA52" s="9">
        <f>VLOOKUP(A52,Jogos!A:BN,59,0)</f>
        <v>21.3</v>
      </c>
      <c r="BB52" s="9">
        <f>VLOOKUP(A52,Jogos!A:BN,60,0)</f>
        <v>74.5</v>
      </c>
      <c r="BC52" s="9">
        <f>VLOOKUP(A52,Jogos!A:BN,61,0)</f>
        <v>24.475</v>
      </c>
      <c r="BD52" s="9">
        <f>VLOOKUP(A52,Jogos!A:BN,62,0)</f>
        <v>547.2</v>
      </c>
      <c r="BE52" s="9">
        <f>VLOOKUP(A52,Jogos!A:BN,63,0)</f>
        <v>1.025</v>
      </c>
      <c r="BF52" s="9">
        <f>VLOOKUP(A52,Jogos!A:BN,64,0)</f>
        <v>23.575</v>
      </c>
      <c r="BG52" s="9">
        <f>VLOOKUP(A52,Jogos!A:BN,65,0)</f>
        <v>41.075</v>
      </c>
      <c r="BH52" s="9">
        <f>VLOOKUP(A52,Jogos!A:BN,66,0)</f>
        <v>27.33</v>
      </c>
      <c r="BI52" s="9"/>
    </row>
    <row r="53" hidden="1">
      <c r="A53" s="10">
        <v>2.0</v>
      </c>
      <c r="B53" s="11" t="s">
        <v>121</v>
      </c>
      <c r="C53" s="2" t="s">
        <v>61</v>
      </c>
      <c r="D53" s="12">
        <v>45823.0</v>
      </c>
      <c r="E53" s="13">
        <v>0.5</v>
      </c>
      <c r="F53" s="5" t="str">
        <f>VLOOKUP(A53,Jogos!A:N,10,0)</f>
        <v>Afternoon</v>
      </c>
      <c r="G53" s="11" t="s">
        <v>122</v>
      </c>
      <c r="H53" s="6" t="str">
        <f>VLOOKUP(A53,Jogos!A:L,12,0)</f>
        <v>Open</v>
      </c>
      <c r="I53" s="6" t="str">
        <f>VLOOKUP(G53,'Estádios e Cidades'!A:B,2,0)</f>
        <v>Cincinnati</v>
      </c>
      <c r="J53" s="11" t="s">
        <v>124</v>
      </c>
      <c r="K53" s="2" t="str">
        <f>VLOOKUP(J53,Equipes!A:F,6,0)</f>
        <v>Temperate</v>
      </c>
      <c r="L53" s="2">
        <f>VLOOKUP(J53,Equipes!A:C,3,0)</f>
        <v>27</v>
      </c>
      <c r="M53" s="2" t="str">
        <f t="shared" si="4"/>
        <v>Group</v>
      </c>
      <c r="N53" s="15" t="s">
        <v>123</v>
      </c>
      <c r="O53" s="2">
        <f>VLOOKUP(N53,Equipes!A:C,3,0)</f>
        <v>6</v>
      </c>
      <c r="P53" s="2" t="str">
        <f t="shared" si="5"/>
        <v>Quarter-final</v>
      </c>
      <c r="Q53" s="2">
        <f t="shared" si="6"/>
        <v>21</v>
      </c>
      <c r="R53" s="2" t="str">
        <f>VLOOKUP(J53,Equipes!A:B,2,0)</f>
        <v>Auckland</v>
      </c>
      <c r="S53" s="6" t="s">
        <v>171</v>
      </c>
      <c r="T53" s="7">
        <v>25.0</v>
      </c>
      <c r="U53" s="7" t="s">
        <v>172</v>
      </c>
      <c r="V53" s="7" t="str">
        <f>VLOOKUP(U53,Jogadores!B:C,2,0)</f>
        <v>MF</v>
      </c>
      <c r="W53" s="8">
        <f>VLOOKUP(U53,Jogadores!B:D,3,0)</f>
        <v>29.30684932</v>
      </c>
      <c r="X53" s="7">
        <v>0.0</v>
      </c>
      <c r="Y53" s="7">
        <v>82.0</v>
      </c>
      <c r="Z53" s="7">
        <f>VLOOKUP(A53,Jogos!A:L,3,0)</f>
        <v>49</v>
      </c>
      <c r="AA53" s="7">
        <f t="shared" si="7"/>
        <v>49</v>
      </c>
      <c r="AB53" s="7">
        <f>VLOOKUP(A53,Jogos!A:L,4,0)</f>
        <v>50</v>
      </c>
      <c r="AC53" s="7">
        <f t="shared" si="8"/>
        <v>37</v>
      </c>
      <c r="AD53" s="7"/>
      <c r="AE53" s="7"/>
      <c r="AF53" s="7">
        <f t="shared" si="9"/>
        <v>86</v>
      </c>
      <c r="AG53" s="7">
        <v>7910.4</v>
      </c>
      <c r="AH53" s="7">
        <v>3984.6</v>
      </c>
      <c r="AI53" s="7">
        <v>3243.4</v>
      </c>
      <c r="AJ53" s="7">
        <v>511.7</v>
      </c>
      <c r="AK53" s="7">
        <v>156.4</v>
      </c>
      <c r="AL53" s="7">
        <v>14.3</v>
      </c>
      <c r="AM53" s="7">
        <v>50.0</v>
      </c>
      <c r="AN53" s="7">
        <v>12.0</v>
      </c>
      <c r="AO53" s="7">
        <v>26.9</v>
      </c>
      <c r="AP53" s="9">
        <f t="shared" ref="AP53:AR53" si="169">AG53/$AF53</f>
        <v>91.98139535</v>
      </c>
      <c r="AQ53" s="9">
        <f t="shared" si="169"/>
        <v>46.33255814</v>
      </c>
      <c r="AR53" s="9">
        <f t="shared" si="169"/>
        <v>37.71395349</v>
      </c>
      <c r="AS53" s="9">
        <f t="shared" si="11"/>
        <v>84.04651163</v>
      </c>
      <c r="AT53" s="9">
        <f t="shared" ref="AT53:AV53" si="170">AJ53/$AF53</f>
        <v>5.95</v>
      </c>
      <c r="AU53" s="9">
        <f t="shared" si="170"/>
        <v>1.818604651</v>
      </c>
      <c r="AV53" s="9">
        <f t="shared" si="170"/>
        <v>0.1662790698</v>
      </c>
      <c r="AW53" s="9">
        <f t="shared" si="13"/>
        <v>1.984883721</v>
      </c>
      <c r="AX53" s="9">
        <f t="shared" ref="AX53:AY53" si="171">AM53/$AF53</f>
        <v>0.5813953488</v>
      </c>
      <c r="AY53" s="9">
        <f t="shared" si="171"/>
        <v>0.1395348837</v>
      </c>
      <c r="AZ53" s="9">
        <f>VLOOKUP(A53,Jogos!A:BN,58,0)</f>
        <v>26.09</v>
      </c>
      <c r="BA53" s="9">
        <f>VLOOKUP(A53,Jogos!A:BN,59,0)</f>
        <v>21.3</v>
      </c>
      <c r="BB53" s="9">
        <f>VLOOKUP(A53,Jogos!A:BN,60,0)</f>
        <v>74.5</v>
      </c>
      <c r="BC53" s="9">
        <f>VLOOKUP(A53,Jogos!A:BN,61,0)</f>
        <v>24.475</v>
      </c>
      <c r="BD53" s="9">
        <f>VLOOKUP(A53,Jogos!A:BN,62,0)</f>
        <v>547.2</v>
      </c>
      <c r="BE53" s="9">
        <f>VLOOKUP(A53,Jogos!A:BN,63,0)</f>
        <v>1.025</v>
      </c>
      <c r="BF53" s="9">
        <f>VLOOKUP(A53,Jogos!A:BN,64,0)</f>
        <v>23.575</v>
      </c>
      <c r="BG53" s="9">
        <f>VLOOKUP(A53,Jogos!A:BN,65,0)</f>
        <v>41.075</v>
      </c>
      <c r="BH53" s="9">
        <f>VLOOKUP(A53,Jogos!A:BN,66,0)</f>
        <v>27.33</v>
      </c>
      <c r="BI53" s="9"/>
    </row>
    <row r="54" hidden="1">
      <c r="A54" s="10">
        <v>2.0</v>
      </c>
      <c r="B54" s="11" t="s">
        <v>121</v>
      </c>
      <c r="C54" s="2" t="s">
        <v>61</v>
      </c>
      <c r="D54" s="12">
        <v>45823.0</v>
      </c>
      <c r="E54" s="13">
        <v>0.5</v>
      </c>
      <c r="F54" s="5" t="str">
        <f>VLOOKUP(A54,Jogos!A:N,10,0)</f>
        <v>Afternoon</v>
      </c>
      <c r="G54" s="11" t="s">
        <v>122</v>
      </c>
      <c r="H54" s="6" t="str">
        <f>VLOOKUP(A54,Jogos!A:L,12,0)</f>
        <v>Open</v>
      </c>
      <c r="I54" s="6" t="str">
        <f>VLOOKUP(G54,'Estádios e Cidades'!A:B,2,0)</f>
        <v>Cincinnati</v>
      </c>
      <c r="J54" s="11" t="s">
        <v>124</v>
      </c>
      <c r="K54" s="2" t="str">
        <f>VLOOKUP(J54,Equipes!A:F,6,0)</f>
        <v>Temperate</v>
      </c>
      <c r="L54" s="2">
        <f>VLOOKUP(J54,Equipes!A:C,3,0)</f>
        <v>27</v>
      </c>
      <c r="M54" s="2" t="str">
        <f t="shared" si="4"/>
        <v>Group</v>
      </c>
      <c r="N54" s="15" t="s">
        <v>123</v>
      </c>
      <c r="O54" s="2">
        <f>VLOOKUP(N54,Equipes!A:C,3,0)</f>
        <v>6</v>
      </c>
      <c r="P54" s="2" t="str">
        <f t="shared" si="5"/>
        <v>Quarter-final</v>
      </c>
      <c r="Q54" s="2">
        <f t="shared" si="6"/>
        <v>21</v>
      </c>
      <c r="R54" s="2" t="str">
        <f>VLOOKUP(J54,Equipes!A:B,2,0)</f>
        <v>Auckland</v>
      </c>
      <c r="S54" s="6" t="s">
        <v>173</v>
      </c>
      <c r="T54" s="7">
        <v>26.0</v>
      </c>
      <c r="U54" s="7" t="s">
        <v>174</v>
      </c>
      <c r="V54" s="7" t="str">
        <f>VLOOKUP(U54,Jogadores!B:C,2,0)</f>
        <v>FW</v>
      </c>
      <c r="W54" s="8">
        <f>VLOOKUP(U54,Jogadores!B:D,3,0)</f>
        <v>25.65753425</v>
      </c>
      <c r="X54" s="7">
        <v>0.0</v>
      </c>
      <c r="Y54" s="7">
        <v>71.0</v>
      </c>
      <c r="Z54" s="7">
        <f>VLOOKUP(A54,Jogos!A:L,3,0)</f>
        <v>49</v>
      </c>
      <c r="AA54" s="7">
        <f t="shared" si="7"/>
        <v>49</v>
      </c>
      <c r="AB54" s="7">
        <f>VLOOKUP(A54,Jogos!A:L,4,0)</f>
        <v>50</v>
      </c>
      <c r="AC54" s="7">
        <f t="shared" si="8"/>
        <v>26</v>
      </c>
      <c r="AD54" s="7"/>
      <c r="AE54" s="7"/>
      <c r="AF54" s="7">
        <f t="shared" si="9"/>
        <v>75</v>
      </c>
      <c r="AG54" s="7">
        <v>9277.6</v>
      </c>
      <c r="AH54" s="7">
        <v>2743.5</v>
      </c>
      <c r="AI54" s="7">
        <v>4611.4</v>
      </c>
      <c r="AJ54" s="7">
        <v>1254.3</v>
      </c>
      <c r="AK54" s="7">
        <v>607.0</v>
      </c>
      <c r="AL54" s="7">
        <v>61.4</v>
      </c>
      <c r="AM54" s="7">
        <v>120.0</v>
      </c>
      <c r="AN54" s="7">
        <v>47.0</v>
      </c>
      <c r="AO54" s="7">
        <v>28.6</v>
      </c>
      <c r="AP54" s="9">
        <f t="shared" ref="AP54:AR54" si="172">AG54/$AF54</f>
        <v>123.7013333</v>
      </c>
      <c r="AQ54" s="9">
        <f t="shared" si="172"/>
        <v>36.58</v>
      </c>
      <c r="AR54" s="9">
        <f t="shared" si="172"/>
        <v>61.48533333</v>
      </c>
      <c r="AS54" s="9">
        <f t="shared" si="11"/>
        <v>98.06533333</v>
      </c>
      <c r="AT54" s="9">
        <f t="shared" ref="AT54:AV54" si="173">AJ54/$AF54</f>
        <v>16.724</v>
      </c>
      <c r="AU54" s="9">
        <f t="shared" si="173"/>
        <v>8.093333333</v>
      </c>
      <c r="AV54" s="9">
        <f t="shared" si="173"/>
        <v>0.8186666667</v>
      </c>
      <c r="AW54" s="9">
        <f t="shared" si="13"/>
        <v>8.912</v>
      </c>
      <c r="AX54" s="9">
        <f t="shared" ref="AX54:AY54" si="174">AM54/$AF54</f>
        <v>1.6</v>
      </c>
      <c r="AY54" s="9">
        <f t="shared" si="174"/>
        <v>0.6266666667</v>
      </c>
      <c r="AZ54" s="9">
        <f>VLOOKUP(A54,Jogos!A:BN,58,0)</f>
        <v>26.09</v>
      </c>
      <c r="BA54" s="9">
        <f>VLOOKUP(A54,Jogos!A:BN,59,0)</f>
        <v>21.3</v>
      </c>
      <c r="BB54" s="9">
        <f>VLOOKUP(A54,Jogos!A:BN,60,0)</f>
        <v>74.5</v>
      </c>
      <c r="BC54" s="9">
        <f>VLOOKUP(A54,Jogos!A:BN,61,0)</f>
        <v>24.475</v>
      </c>
      <c r="BD54" s="9">
        <f>VLOOKUP(A54,Jogos!A:BN,62,0)</f>
        <v>547.2</v>
      </c>
      <c r="BE54" s="9">
        <f>VLOOKUP(A54,Jogos!A:BN,63,0)</f>
        <v>1.025</v>
      </c>
      <c r="BF54" s="9">
        <f>VLOOKUP(A54,Jogos!A:BN,64,0)</f>
        <v>23.575</v>
      </c>
      <c r="BG54" s="9">
        <f>VLOOKUP(A54,Jogos!A:BN,65,0)</f>
        <v>41.075</v>
      </c>
      <c r="BH54" s="9">
        <f>VLOOKUP(A54,Jogos!A:BN,66,0)</f>
        <v>27.33</v>
      </c>
      <c r="BI54" s="9"/>
    </row>
    <row r="55" hidden="1">
      <c r="A55" s="10">
        <v>2.0</v>
      </c>
      <c r="B55" s="11" t="s">
        <v>121</v>
      </c>
      <c r="C55" s="2" t="s">
        <v>61</v>
      </c>
      <c r="D55" s="12">
        <v>45823.0</v>
      </c>
      <c r="E55" s="13">
        <v>0.5</v>
      </c>
      <c r="F55" s="5" t="str">
        <f>VLOOKUP(A55,Jogos!A:N,10,0)</f>
        <v>Afternoon</v>
      </c>
      <c r="G55" s="11" t="s">
        <v>122</v>
      </c>
      <c r="H55" s="6" t="str">
        <f>VLOOKUP(A55,Jogos!A:L,12,0)</f>
        <v>Open</v>
      </c>
      <c r="I55" s="6" t="str">
        <f>VLOOKUP(G55,'Estádios e Cidades'!A:B,2,0)</f>
        <v>Cincinnati</v>
      </c>
      <c r="J55" s="11" t="s">
        <v>124</v>
      </c>
      <c r="K55" s="2" t="str">
        <f>VLOOKUP(J55,Equipes!A:F,6,0)</f>
        <v>Temperate</v>
      </c>
      <c r="L55" s="2">
        <f>VLOOKUP(J55,Equipes!A:C,3,0)</f>
        <v>27</v>
      </c>
      <c r="M55" s="2" t="str">
        <f t="shared" si="4"/>
        <v>Group</v>
      </c>
      <c r="N55" s="15" t="s">
        <v>123</v>
      </c>
      <c r="O55" s="2">
        <f>VLOOKUP(N55,Equipes!A:C,3,0)</f>
        <v>6</v>
      </c>
      <c r="P55" s="2" t="str">
        <f t="shared" si="5"/>
        <v>Quarter-final</v>
      </c>
      <c r="Q55" s="2">
        <f t="shared" si="6"/>
        <v>21</v>
      </c>
      <c r="R55" s="2" t="str">
        <f>VLOOKUP(J55,Equipes!A:B,2,0)</f>
        <v>Auckland</v>
      </c>
      <c r="S55" s="6" t="s">
        <v>175</v>
      </c>
      <c r="T55" s="7">
        <v>9.0</v>
      </c>
      <c r="U55" s="7" t="s">
        <v>176</v>
      </c>
      <c r="V55" s="7" t="str">
        <f>VLOOKUP(U55,Jogadores!B:C,2,0)</f>
        <v>FW</v>
      </c>
      <c r="W55" s="8">
        <f>VLOOKUP(U55,Jogadores!B:D,3,0)</f>
        <v>29.29589041</v>
      </c>
      <c r="X55" s="7">
        <v>71.0</v>
      </c>
      <c r="Y55" s="7">
        <f t="shared" ref="Y55:Y61" si="178">45+AB55</f>
        <v>95</v>
      </c>
      <c r="Z55" s="7">
        <f>VLOOKUP(A55,Jogos!A:L,3,0)</f>
        <v>49</v>
      </c>
      <c r="AA55" s="7">
        <f t="shared" si="7"/>
        <v>0</v>
      </c>
      <c r="AB55" s="7">
        <f>VLOOKUP(A55,Jogos!A:L,4,0)</f>
        <v>50</v>
      </c>
      <c r="AC55" s="7">
        <f t="shared" si="8"/>
        <v>24</v>
      </c>
      <c r="AD55" s="7"/>
      <c r="AE55" s="7"/>
      <c r="AF55" s="7">
        <f t="shared" si="9"/>
        <v>24</v>
      </c>
      <c r="AG55" s="7">
        <v>3017.3</v>
      </c>
      <c r="AH55" s="7">
        <v>930.9</v>
      </c>
      <c r="AI55" s="7">
        <v>1315.0</v>
      </c>
      <c r="AJ55" s="7">
        <v>433.7</v>
      </c>
      <c r="AK55" s="7">
        <v>214.5</v>
      </c>
      <c r="AL55" s="7">
        <v>123.3</v>
      </c>
      <c r="AM55" s="7">
        <v>43.0</v>
      </c>
      <c r="AN55" s="7">
        <v>17.0</v>
      </c>
      <c r="AO55" s="7">
        <v>30.0</v>
      </c>
      <c r="AP55" s="9">
        <f t="shared" ref="AP55:AR55" si="175">AG55/$AF55</f>
        <v>125.7208333</v>
      </c>
      <c r="AQ55" s="9">
        <f t="shared" si="175"/>
        <v>38.7875</v>
      </c>
      <c r="AR55" s="9">
        <f t="shared" si="175"/>
        <v>54.79166667</v>
      </c>
      <c r="AS55" s="9">
        <f t="shared" si="11"/>
        <v>93.57916667</v>
      </c>
      <c r="AT55" s="9">
        <f t="shared" ref="AT55:AV55" si="176">AJ55/$AF55</f>
        <v>18.07083333</v>
      </c>
      <c r="AU55" s="9">
        <f t="shared" si="176"/>
        <v>8.9375</v>
      </c>
      <c r="AV55" s="9">
        <f t="shared" si="176"/>
        <v>5.1375</v>
      </c>
      <c r="AW55" s="9">
        <f t="shared" si="13"/>
        <v>14.075</v>
      </c>
      <c r="AX55" s="9">
        <f t="shared" ref="AX55:AY55" si="177">AM55/$AF55</f>
        <v>1.791666667</v>
      </c>
      <c r="AY55" s="9">
        <f t="shared" si="177"/>
        <v>0.7083333333</v>
      </c>
      <c r="AZ55" s="9">
        <f>VLOOKUP(A55,Jogos!A:BN,58,0)</f>
        <v>26.09</v>
      </c>
      <c r="BA55" s="9">
        <f>VLOOKUP(A55,Jogos!A:BN,59,0)</f>
        <v>21.3</v>
      </c>
      <c r="BB55" s="9">
        <f>VLOOKUP(A55,Jogos!A:BN,60,0)</f>
        <v>74.5</v>
      </c>
      <c r="BC55" s="9">
        <f>VLOOKUP(A55,Jogos!A:BN,61,0)</f>
        <v>24.475</v>
      </c>
      <c r="BD55" s="9">
        <f>VLOOKUP(A55,Jogos!A:BN,62,0)</f>
        <v>547.2</v>
      </c>
      <c r="BE55" s="9">
        <f>VLOOKUP(A55,Jogos!A:BN,63,0)</f>
        <v>1.025</v>
      </c>
      <c r="BF55" s="9">
        <f>VLOOKUP(A55,Jogos!A:BN,64,0)</f>
        <v>23.575</v>
      </c>
      <c r="BG55" s="9">
        <f>VLOOKUP(A55,Jogos!A:BN,65,0)</f>
        <v>41.075</v>
      </c>
      <c r="BH55" s="9">
        <f>VLOOKUP(A55,Jogos!A:BN,66,0)</f>
        <v>27.33</v>
      </c>
      <c r="BI55" s="9"/>
    </row>
    <row r="56" hidden="1">
      <c r="A56" s="10">
        <v>2.0</v>
      </c>
      <c r="B56" s="11" t="s">
        <v>121</v>
      </c>
      <c r="C56" s="2" t="s">
        <v>61</v>
      </c>
      <c r="D56" s="12">
        <v>45823.0</v>
      </c>
      <c r="E56" s="13">
        <v>0.5</v>
      </c>
      <c r="F56" s="5" t="str">
        <f>VLOOKUP(A56,Jogos!A:N,10,0)</f>
        <v>Afternoon</v>
      </c>
      <c r="G56" s="11" t="s">
        <v>122</v>
      </c>
      <c r="H56" s="6" t="str">
        <f>VLOOKUP(A56,Jogos!A:L,12,0)</f>
        <v>Open</v>
      </c>
      <c r="I56" s="6" t="str">
        <f>VLOOKUP(G56,'Estádios e Cidades'!A:B,2,0)</f>
        <v>Cincinnati</v>
      </c>
      <c r="J56" s="11" t="s">
        <v>124</v>
      </c>
      <c r="K56" s="2" t="str">
        <f>VLOOKUP(J56,Equipes!A:F,6,0)</f>
        <v>Temperate</v>
      </c>
      <c r="L56" s="2">
        <f>VLOOKUP(J56,Equipes!A:C,3,0)</f>
        <v>27</v>
      </c>
      <c r="M56" s="2" t="str">
        <f t="shared" si="4"/>
        <v>Group</v>
      </c>
      <c r="N56" s="15" t="s">
        <v>123</v>
      </c>
      <c r="O56" s="2">
        <f>VLOOKUP(N56,Equipes!A:C,3,0)</f>
        <v>6</v>
      </c>
      <c r="P56" s="2" t="str">
        <f t="shared" si="5"/>
        <v>Quarter-final</v>
      </c>
      <c r="Q56" s="2">
        <f t="shared" si="6"/>
        <v>21</v>
      </c>
      <c r="R56" s="2" t="str">
        <f>VLOOKUP(J56,Equipes!A:B,2,0)</f>
        <v>Auckland</v>
      </c>
      <c r="S56" s="6" t="s">
        <v>177</v>
      </c>
      <c r="T56" s="7">
        <v>11.0</v>
      </c>
      <c r="U56" s="7" t="s">
        <v>178</v>
      </c>
      <c r="V56" s="7" t="str">
        <f>VLOOKUP(U56,Jogadores!B:C,2,0)</f>
        <v>FW</v>
      </c>
      <c r="W56" s="8">
        <f>VLOOKUP(U56,Jogadores!B:D,3,0)</f>
        <v>33.89315068</v>
      </c>
      <c r="X56" s="7">
        <v>71.0</v>
      </c>
      <c r="Y56" s="7">
        <f t="shared" si="178"/>
        <v>95</v>
      </c>
      <c r="Z56" s="7">
        <f>VLOOKUP(A56,Jogos!A:L,3,0)</f>
        <v>49</v>
      </c>
      <c r="AA56" s="7">
        <f t="shared" si="7"/>
        <v>0</v>
      </c>
      <c r="AB56" s="7">
        <f>VLOOKUP(A56,Jogos!A:L,4,0)</f>
        <v>50</v>
      </c>
      <c r="AC56" s="7">
        <f t="shared" si="8"/>
        <v>24</v>
      </c>
      <c r="AD56" s="7"/>
      <c r="AE56" s="7"/>
      <c r="AF56" s="7">
        <f t="shared" si="9"/>
        <v>24</v>
      </c>
      <c r="AG56" s="7">
        <v>2852.4</v>
      </c>
      <c r="AH56" s="7">
        <v>924.2</v>
      </c>
      <c r="AI56" s="7">
        <v>1369.5</v>
      </c>
      <c r="AJ56" s="7">
        <v>350.4</v>
      </c>
      <c r="AK56" s="7">
        <v>164.0</v>
      </c>
      <c r="AL56" s="7">
        <v>44.5</v>
      </c>
      <c r="AM56" s="7">
        <v>23.0</v>
      </c>
      <c r="AN56" s="7">
        <v>10.0</v>
      </c>
      <c r="AO56" s="7">
        <v>32.2</v>
      </c>
      <c r="AP56" s="9">
        <f t="shared" ref="AP56:AR56" si="179">AG56/$AF56</f>
        <v>118.85</v>
      </c>
      <c r="AQ56" s="9">
        <f t="shared" si="179"/>
        <v>38.50833333</v>
      </c>
      <c r="AR56" s="9">
        <f t="shared" si="179"/>
        <v>57.0625</v>
      </c>
      <c r="AS56" s="9">
        <f t="shared" si="11"/>
        <v>95.57083333</v>
      </c>
      <c r="AT56" s="9">
        <f t="shared" ref="AT56:AV56" si="180">AJ56/$AF56</f>
        <v>14.6</v>
      </c>
      <c r="AU56" s="9">
        <f t="shared" si="180"/>
        <v>6.833333333</v>
      </c>
      <c r="AV56" s="9">
        <f t="shared" si="180"/>
        <v>1.854166667</v>
      </c>
      <c r="AW56" s="9">
        <f t="shared" si="13"/>
        <v>8.6875</v>
      </c>
      <c r="AX56" s="9">
        <f t="shared" ref="AX56:AY56" si="181">AM56/$AF56</f>
        <v>0.9583333333</v>
      </c>
      <c r="AY56" s="9">
        <f t="shared" si="181"/>
        <v>0.4166666667</v>
      </c>
      <c r="AZ56" s="9">
        <f>VLOOKUP(A56,Jogos!A:BN,58,0)</f>
        <v>26.09</v>
      </c>
      <c r="BA56" s="9">
        <f>VLOOKUP(A56,Jogos!A:BN,59,0)</f>
        <v>21.3</v>
      </c>
      <c r="BB56" s="9">
        <f>VLOOKUP(A56,Jogos!A:BN,60,0)</f>
        <v>74.5</v>
      </c>
      <c r="BC56" s="9">
        <f>VLOOKUP(A56,Jogos!A:BN,61,0)</f>
        <v>24.475</v>
      </c>
      <c r="BD56" s="9">
        <f>VLOOKUP(A56,Jogos!A:BN,62,0)</f>
        <v>547.2</v>
      </c>
      <c r="BE56" s="9">
        <f>VLOOKUP(A56,Jogos!A:BN,63,0)</f>
        <v>1.025</v>
      </c>
      <c r="BF56" s="9">
        <f>VLOOKUP(A56,Jogos!A:BN,64,0)</f>
        <v>23.575</v>
      </c>
      <c r="BG56" s="9">
        <f>VLOOKUP(A56,Jogos!A:BN,65,0)</f>
        <v>41.075</v>
      </c>
      <c r="BH56" s="9">
        <f>VLOOKUP(A56,Jogos!A:BN,66,0)</f>
        <v>27.33</v>
      </c>
      <c r="BI56" s="9"/>
    </row>
    <row r="57" hidden="1">
      <c r="A57" s="10">
        <v>2.0</v>
      </c>
      <c r="B57" s="11" t="s">
        <v>121</v>
      </c>
      <c r="C57" s="2" t="s">
        <v>61</v>
      </c>
      <c r="D57" s="12">
        <v>45823.0</v>
      </c>
      <c r="E57" s="13">
        <v>0.5</v>
      </c>
      <c r="F57" s="5" t="str">
        <f>VLOOKUP(A57,Jogos!A:N,10,0)</f>
        <v>Afternoon</v>
      </c>
      <c r="G57" s="11" t="s">
        <v>122</v>
      </c>
      <c r="H57" s="6" t="str">
        <f>VLOOKUP(A57,Jogos!A:L,12,0)</f>
        <v>Open</v>
      </c>
      <c r="I57" s="6" t="str">
        <f>VLOOKUP(G57,'Estádios e Cidades'!A:B,2,0)</f>
        <v>Cincinnati</v>
      </c>
      <c r="J57" s="11" t="s">
        <v>124</v>
      </c>
      <c r="K57" s="2" t="str">
        <f>VLOOKUP(J57,Equipes!A:F,6,0)</f>
        <v>Temperate</v>
      </c>
      <c r="L57" s="2">
        <f>VLOOKUP(J57,Equipes!A:C,3,0)</f>
        <v>27</v>
      </c>
      <c r="M57" s="2" t="str">
        <f t="shared" si="4"/>
        <v>Group</v>
      </c>
      <c r="N57" s="15" t="s">
        <v>123</v>
      </c>
      <c r="O57" s="2">
        <f>VLOOKUP(N57,Equipes!A:C,3,0)</f>
        <v>6</v>
      </c>
      <c r="P57" s="2" t="str">
        <f t="shared" si="5"/>
        <v>Quarter-final</v>
      </c>
      <c r="Q57" s="2">
        <f t="shared" si="6"/>
        <v>21</v>
      </c>
      <c r="R57" s="2" t="str">
        <f>VLOOKUP(J57,Equipes!A:B,2,0)</f>
        <v>Auckland</v>
      </c>
      <c r="S57" s="6" t="s">
        <v>179</v>
      </c>
      <c r="T57" s="7">
        <v>17.0</v>
      </c>
      <c r="U57" s="7" t="s">
        <v>180</v>
      </c>
      <c r="V57" s="7" t="str">
        <f>VLOOKUP(U57,Jogadores!B:C,2,0)</f>
        <v>FW</v>
      </c>
      <c r="W57" s="8">
        <f>VLOOKUP(U57,Jogadores!B:D,3,0)</f>
        <v>23.56164384</v>
      </c>
      <c r="X57" s="7">
        <v>66.0</v>
      </c>
      <c r="Y57" s="7">
        <f t="shared" si="178"/>
        <v>95</v>
      </c>
      <c r="Z57" s="7">
        <f>VLOOKUP(A57,Jogos!A:L,3,0)</f>
        <v>49</v>
      </c>
      <c r="AA57" s="7">
        <f t="shared" si="7"/>
        <v>0</v>
      </c>
      <c r="AB57" s="7">
        <f>VLOOKUP(A57,Jogos!A:L,4,0)</f>
        <v>50</v>
      </c>
      <c r="AC57" s="7">
        <f t="shared" si="8"/>
        <v>29</v>
      </c>
      <c r="AD57" s="7"/>
      <c r="AE57" s="7"/>
      <c r="AF57" s="7">
        <f t="shared" si="9"/>
        <v>29</v>
      </c>
      <c r="AG57" s="7">
        <v>3410.2</v>
      </c>
      <c r="AH57" s="7">
        <v>1245.1</v>
      </c>
      <c r="AI57" s="7">
        <v>1392.3</v>
      </c>
      <c r="AJ57" s="7">
        <v>413.4</v>
      </c>
      <c r="AK57" s="7">
        <v>166.1</v>
      </c>
      <c r="AL57" s="7">
        <v>193.4</v>
      </c>
      <c r="AM57" s="7">
        <v>33.0</v>
      </c>
      <c r="AN57" s="7">
        <v>14.0</v>
      </c>
      <c r="AO57" s="7">
        <v>34.1</v>
      </c>
      <c r="AP57" s="9">
        <f t="shared" ref="AP57:AR57" si="182">AG57/$AF57</f>
        <v>117.5931034</v>
      </c>
      <c r="AQ57" s="9">
        <f t="shared" si="182"/>
        <v>42.93448276</v>
      </c>
      <c r="AR57" s="9">
        <f t="shared" si="182"/>
        <v>48.01034483</v>
      </c>
      <c r="AS57" s="9">
        <f t="shared" si="11"/>
        <v>90.94482759</v>
      </c>
      <c r="AT57" s="9">
        <f t="shared" ref="AT57:AV57" si="183">AJ57/$AF57</f>
        <v>14.25517241</v>
      </c>
      <c r="AU57" s="9">
        <f t="shared" si="183"/>
        <v>5.727586207</v>
      </c>
      <c r="AV57" s="9">
        <f t="shared" si="183"/>
        <v>6.668965517</v>
      </c>
      <c r="AW57" s="9">
        <f t="shared" si="13"/>
        <v>12.39655172</v>
      </c>
      <c r="AX57" s="9">
        <f t="shared" ref="AX57:AY57" si="184">AM57/$AF57</f>
        <v>1.137931034</v>
      </c>
      <c r="AY57" s="9">
        <f t="shared" si="184"/>
        <v>0.4827586207</v>
      </c>
      <c r="AZ57" s="9">
        <f>VLOOKUP(A57,Jogos!A:BN,58,0)</f>
        <v>26.09</v>
      </c>
      <c r="BA57" s="9">
        <f>VLOOKUP(A57,Jogos!A:BN,59,0)</f>
        <v>21.3</v>
      </c>
      <c r="BB57" s="9">
        <f>VLOOKUP(A57,Jogos!A:BN,60,0)</f>
        <v>74.5</v>
      </c>
      <c r="BC57" s="9">
        <f>VLOOKUP(A57,Jogos!A:BN,61,0)</f>
        <v>24.475</v>
      </c>
      <c r="BD57" s="9">
        <f>VLOOKUP(A57,Jogos!A:BN,62,0)</f>
        <v>547.2</v>
      </c>
      <c r="BE57" s="9">
        <f>VLOOKUP(A57,Jogos!A:BN,63,0)</f>
        <v>1.025</v>
      </c>
      <c r="BF57" s="9">
        <f>VLOOKUP(A57,Jogos!A:BN,64,0)</f>
        <v>23.575</v>
      </c>
      <c r="BG57" s="9">
        <f>VLOOKUP(A57,Jogos!A:BN,65,0)</f>
        <v>41.075</v>
      </c>
      <c r="BH57" s="9">
        <f>VLOOKUP(A57,Jogos!A:BN,66,0)</f>
        <v>27.33</v>
      </c>
      <c r="BI57" s="9"/>
    </row>
    <row r="58" hidden="1">
      <c r="A58" s="10">
        <v>2.0</v>
      </c>
      <c r="B58" s="11" t="s">
        <v>121</v>
      </c>
      <c r="C58" s="2" t="s">
        <v>61</v>
      </c>
      <c r="D58" s="12">
        <v>45823.0</v>
      </c>
      <c r="E58" s="13">
        <v>0.5</v>
      </c>
      <c r="F58" s="5" t="str">
        <f>VLOOKUP(A58,Jogos!A:N,10,0)</f>
        <v>Afternoon</v>
      </c>
      <c r="G58" s="11" t="s">
        <v>122</v>
      </c>
      <c r="H58" s="6" t="str">
        <f>VLOOKUP(A58,Jogos!A:L,12,0)</f>
        <v>Open</v>
      </c>
      <c r="I58" s="6" t="str">
        <f>VLOOKUP(G58,'Estádios e Cidades'!A:B,2,0)</f>
        <v>Cincinnati</v>
      </c>
      <c r="J58" s="11" t="s">
        <v>124</v>
      </c>
      <c r="K58" s="2" t="str">
        <f>VLOOKUP(J58,Equipes!A:F,6,0)</f>
        <v>Temperate</v>
      </c>
      <c r="L58" s="2">
        <f>VLOOKUP(J58,Equipes!A:C,3,0)</f>
        <v>27</v>
      </c>
      <c r="M58" s="2" t="str">
        <f t="shared" si="4"/>
        <v>Group</v>
      </c>
      <c r="N58" s="15" t="s">
        <v>123</v>
      </c>
      <c r="O58" s="2">
        <f>VLOOKUP(N58,Equipes!A:C,3,0)</f>
        <v>6</v>
      </c>
      <c r="P58" s="2" t="str">
        <f t="shared" si="5"/>
        <v>Quarter-final</v>
      </c>
      <c r="Q58" s="2">
        <f t="shared" si="6"/>
        <v>21</v>
      </c>
      <c r="R58" s="2" t="str">
        <f>VLOOKUP(J58,Equipes!A:B,2,0)</f>
        <v>Auckland</v>
      </c>
      <c r="S58" s="6" t="s">
        <v>181</v>
      </c>
      <c r="T58" s="7">
        <v>22.0</v>
      </c>
      <c r="U58" s="7" t="s">
        <v>182</v>
      </c>
      <c r="V58" s="7" t="str">
        <f>VLOOKUP(U58,Jogadores!B:C,2,0)</f>
        <v>MF</v>
      </c>
      <c r="W58" s="8">
        <f>VLOOKUP(U58,Jogadores!B:D,3,0)</f>
        <v>35.56438356</v>
      </c>
      <c r="X58" s="7">
        <v>66.0</v>
      </c>
      <c r="Y58" s="7">
        <f t="shared" si="178"/>
        <v>95</v>
      </c>
      <c r="Z58" s="7">
        <f>VLOOKUP(A58,Jogos!A:L,3,0)</f>
        <v>49</v>
      </c>
      <c r="AA58" s="7">
        <f t="shared" si="7"/>
        <v>0</v>
      </c>
      <c r="AB58" s="7">
        <f>VLOOKUP(A58,Jogos!A:L,4,0)</f>
        <v>50</v>
      </c>
      <c r="AC58" s="7">
        <f t="shared" si="8"/>
        <v>29</v>
      </c>
      <c r="AD58" s="7"/>
      <c r="AE58" s="7"/>
      <c r="AF58" s="7">
        <f t="shared" si="9"/>
        <v>29</v>
      </c>
      <c r="AG58" s="7">
        <v>3455.5</v>
      </c>
      <c r="AH58" s="7">
        <v>1168.8</v>
      </c>
      <c r="AI58" s="7">
        <v>1504.0</v>
      </c>
      <c r="AJ58" s="7">
        <v>635.8</v>
      </c>
      <c r="AK58" s="7">
        <v>137.8</v>
      </c>
      <c r="AL58" s="7">
        <v>9.1</v>
      </c>
      <c r="AM58" s="7">
        <v>53.0</v>
      </c>
      <c r="AN58" s="7">
        <v>11.0</v>
      </c>
      <c r="AO58" s="7">
        <v>27.0</v>
      </c>
      <c r="AP58" s="9">
        <f t="shared" ref="AP58:AR58" si="185">AG58/$AF58</f>
        <v>119.1551724</v>
      </c>
      <c r="AQ58" s="9">
        <f t="shared" si="185"/>
        <v>40.30344828</v>
      </c>
      <c r="AR58" s="9">
        <f t="shared" si="185"/>
        <v>51.86206897</v>
      </c>
      <c r="AS58" s="9">
        <f t="shared" si="11"/>
        <v>92.16551724</v>
      </c>
      <c r="AT58" s="9">
        <f t="shared" ref="AT58:AV58" si="186">AJ58/$AF58</f>
        <v>21.92413793</v>
      </c>
      <c r="AU58" s="9">
        <f t="shared" si="186"/>
        <v>4.751724138</v>
      </c>
      <c r="AV58" s="9">
        <f t="shared" si="186"/>
        <v>0.3137931034</v>
      </c>
      <c r="AW58" s="9">
        <f t="shared" si="13"/>
        <v>5.065517241</v>
      </c>
      <c r="AX58" s="9">
        <f t="shared" ref="AX58:AY58" si="187">AM58/$AF58</f>
        <v>1.827586207</v>
      </c>
      <c r="AY58" s="9">
        <f t="shared" si="187"/>
        <v>0.3793103448</v>
      </c>
      <c r="AZ58" s="9">
        <f>VLOOKUP(A58,Jogos!A:BN,58,0)</f>
        <v>26.09</v>
      </c>
      <c r="BA58" s="9">
        <f>VLOOKUP(A58,Jogos!A:BN,59,0)</f>
        <v>21.3</v>
      </c>
      <c r="BB58" s="9">
        <f>VLOOKUP(A58,Jogos!A:BN,60,0)</f>
        <v>74.5</v>
      </c>
      <c r="BC58" s="9">
        <f>VLOOKUP(A58,Jogos!A:BN,61,0)</f>
        <v>24.475</v>
      </c>
      <c r="BD58" s="9">
        <f>VLOOKUP(A58,Jogos!A:BN,62,0)</f>
        <v>547.2</v>
      </c>
      <c r="BE58" s="9">
        <f>VLOOKUP(A58,Jogos!A:BN,63,0)</f>
        <v>1.025</v>
      </c>
      <c r="BF58" s="9">
        <f>VLOOKUP(A58,Jogos!A:BN,64,0)</f>
        <v>23.575</v>
      </c>
      <c r="BG58" s="9">
        <f>VLOOKUP(A58,Jogos!A:BN,65,0)</f>
        <v>41.075</v>
      </c>
      <c r="BH58" s="9">
        <f>VLOOKUP(A58,Jogos!A:BN,66,0)</f>
        <v>27.33</v>
      </c>
      <c r="BI58" s="9"/>
    </row>
    <row r="59" hidden="1">
      <c r="A59" s="10">
        <v>2.0</v>
      </c>
      <c r="B59" s="11" t="s">
        <v>121</v>
      </c>
      <c r="C59" s="2" t="s">
        <v>61</v>
      </c>
      <c r="D59" s="12">
        <v>45823.0</v>
      </c>
      <c r="E59" s="13">
        <v>0.5</v>
      </c>
      <c r="F59" s="5" t="str">
        <f>VLOOKUP(A59,Jogos!A:N,10,0)</f>
        <v>Afternoon</v>
      </c>
      <c r="G59" s="11" t="s">
        <v>122</v>
      </c>
      <c r="H59" s="6" t="str">
        <f>VLOOKUP(A59,Jogos!A:L,12,0)</f>
        <v>Open</v>
      </c>
      <c r="I59" s="6" t="str">
        <f>VLOOKUP(G59,'Estádios e Cidades'!A:B,2,0)</f>
        <v>Cincinnati</v>
      </c>
      <c r="J59" s="11" t="s">
        <v>124</v>
      </c>
      <c r="K59" s="2" t="str">
        <f>VLOOKUP(J59,Equipes!A:F,6,0)</f>
        <v>Temperate</v>
      </c>
      <c r="L59" s="2">
        <f>VLOOKUP(J59,Equipes!A:C,3,0)</f>
        <v>27</v>
      </c>
      <c r="M59" s="2" t="str">
        <f t="shared" si="4"/>
        <v>Group</v>
      </c>
      <c r="N59" s="15" t="s">
        <v>123</v>
      </c>
      <c r="O59" s="2">
        <f>VLOOKUP(N59,Equipes!A:C,3,0)</f>
        <v>6</v>
      </c>
      <c r="P59" s="2" t="str">
        <f t="shared" si="5"/>
        <v>Quarter-final</v>
      </c>
      <c r="Q59" s="2">
        <f t="shared" si="6"/>
        <v>21</v>
      </c>
      <c r="R59" s="2" t="str">
        <f>VLOOKUP(J59,Equipes!A:B,2,0)</f>
        <v>Auckland</v>
      </c>
      <c r="S59" s="6" t="s">
        <v>183</v>
      </c>
      <c r="T59" s="7">
        <v>23.0</v>
      </c>
      <c r="U59" s="7" t="s">
        <v>184</v>
      </c>
      <c r="V59" s="7" t="str">
        <f>VLOOKUP(U59,Jogadores!B:C,2,0)</f>
        <v>DF</v>
      </c>
      <c r="W59" s="8">
        <f>VLOOKUP(U59,Jogadores!B:D,3,0)</f>
        <v>30.49315068</v>
      </c>
      <c r="X59" s="7">
        <v>82.0</v>
      </c>
      <c r="Y59" s="7">
        <f t="shared" si="178"/>
        <v>95</v>
      </c>
      <c r="Z59" s="7">
        <f>VLOOKUP(A59,Jogos!A:L,3,0)</f>
        <v>49</v>
      </c>
      <c r="AA59" s="7">
        <f t="shared" si="7"/>
        <v>0</v>
      </c>
      <c r="AB59" s="7">
        <f>VLOOKUP(A59,Jogos!A:L,4,0)</f>
        <v>50</v>
      </c>
      <c r="AC59" s="7">
        <f t="shared" si="8"/>
        <v>13</v>
      </c>
      <c r="AD59" s="7"/>
      <c r="AE59" s="7"/>
      <c r="AF59" s="7">
        <f t="shared" si="9"/>
        <v>13</v>
      </c>
      <c r="AG59" s="7">
        <v>1690.2</v>
      </c>
      <c r="AH59" s="7">
        <v>528.8</v>
      </c>
      <c r="AI59" s="7">
        <v>871.1</v>
      </c>
      <c r="AJ59" s="7">
        <v>230.4</v>
      </c>
      <c r="AK59" s="7">
        <v>51.3</v>
      </c>
      <c r="AL59" s="7">
        <v>8.6</v>
      </c>
      <c r="AM59" s="7">
        <v>15.0</v>
      </c>
      <c r="AN59" s="7">
        <v>4.0</v>
      </c>
      <c r="AO59" s="7">
        <v>27.2</v>
      </c>
      <c r="AP59" s="9">
        <f t="shared" ref="AP59:AR59" si="188">AG59/$AF59</f>
        <v>130.0153846</v>
      </c>
      <c r="AQ59" s="9">
        <f t="shared" si="188"/>
        <v>40.67692308</v>
      </c>
      <c r="AR59" s="9">
        <f t="shared" si="188"/>
        <v>67.00769231</v>
      </c>
      <c r="AS59" s="9">
        <f t="shared" si="11"/>
        <v>107.6846154</v>
      </c>
      <c r="AT59" s="9">
        <f t="shared" ref="AT59:AV59" si="189">AJ59/$AF59</f>
        <v>17.72307692</v>
      </c>
      <c r="AU59" s="9">
        <f t="shared" si="189"/>
        <v>3.946153846</v>
      </c>
      <c r="AV59" s="9">
        <f t="shared" si="189"/>
        <v>0.6615384615</v>
      </c>
      <c r="AW59" s="9">
        <f t="shared" si="13"/>
        <v>4.607692308</v>
      </c>
      <c r="AX59" s="9">
        <f t="shared" ref="AX59:AY59" si="190">AM59/$AF59</f>
        <v>1.153846154</v>
      </c>
      <c r="AY59" s="9">
        <f t="shared" si="190"/>
        <v>0.3076923077</v>
      </c>
      <c r="AZ59" s="9">
        <f>VLOOKUP(A59,Jogos!A:BN,58,0)</f>
        <v>26.09</v>
      </c>
      <c r="BA59" s="9">
        <f>VLOOKUP(A59,Jogos!A:BN,59,0)</f>
        <v>21.3</v>
      </c>
      <c r="BB59" s="9">
        <f>VLOOKUP(A59,Jogos!A:BN,60,0)</f>
        <v>74.5</v>
      </c>
      <c r="BC59" s="9">
        <f>VLOOKUP(A59,Jogos!A:BN,61,0)</f>
        <v>24.475</v>
      </c>
      <c r="BD59" s="9">
        <f>VLOOKUP(A59,Jogos!A:BN,62,0)</f>
        <v>547.2</v>
      </c>
      <c r="BE59" s="9">
        <f>VLOOKUP(A59,Jogos!A:BN,63,0)</f>
        <v>1.025</v>
      </c>
      <c r="BF59" s="9">
        <f>VLOOKUP(A59,Jogos!A:BN,64,0)</f>
        <v>23.575</v>
      </c>
      <c r="BG59" s="9">
        <f>VLOOKUP(A59,Jogos!A:BN,65,0)</f>
        <v>41.075</v>
      </c>
      <c r="BH59" s="9">
        <f>VLOOKUP(A59,Jogos!A:BN,66,0)</f>
        <v>27.33</v>
      </c>
      <c r="BI59" s="9"/>
    </row>
    <row r="60" hidden="1">
      <c r="A60" s="2">
        <v>3.0</v>
      </c>
      <c r="B60" s="11" t="s">
        <v>185</v>
      </c>
      <c r="C60" s="2" t="s">
        <v>61</v>
      </c>
      <c r="D60" s="3">
        <v>45823.0</v>
      </c>
      <c r="E60" s="4">
        <v>0.5</v>
      </c>
      <c r="F60" s="5" t="str">
        <f>VLOOKUP(A60,Jogos!A:N,10,0)</f>
        <v>Afternoon</v>
      </c>
      <c r="G60" s="2" t="s">
        <v>186</v>
      </c>
      <c r="H60" s="6" t="str">
        <f>VLOOKUP(A60,Jogos!A:L,12,0)</f>
        <v>Open</v>
      </c>
      <c r="I60" s="6" t="str">
        <f>VLOOKUP(G60,'Estádios e Cidades'!A:B,2,0)</f>
        <v>Pasadena</v>
      </c>
      <c r="J60" s="2" t="s">
        <v>187</v>
      </c>
      <c r="K60" s="2" t="str">
        <f>VLOOKUP(J60,Equipes!A:F,6,0)</f>
        <v>Temperate</v>
      </c>
      <c r="L60" s="2">
        <f>VLOOKUP(J60,Equipes!A:C,3,0)</f>
        <v>2</v>
      </c>
      <c r="M60" s="2" t="str">
        <f t="shared" si="4"/>
        <v>Final</v>
      </c>
      <c r="N60" s="2" t="s">
        <v>188</v>
      </c>
      <c r="O60" s="2">
        <f>VLOOKUP(N60,Equipes!A:C,3,0)</f>
        <v>17</v>
      </c>
      <c r="P60" s="2" t="str">
        <f t="shared" si="5"/>
        <v>Group</v>
      </c>
      <c r="Q60" s="2">
        <f t="shared" si="6"/>
        <v>-15</v>
      </c>
      <c r="R60" s="2" t="str">
        <f>VLOOKUP(J60,Equipes!A:B,2,0)</f>
        <v>PSG</v>
      </c>
      <c r="S60" s="6" t="s">
        <v>189</v>
      </c>
      <c r="T60" s="7">
        <v>2.0</v>
      </c>
      <c r="U60" s="7" t="s">
        <v>190</v>
      </c>
      <c r="V60" s="7" t="str">
        <f>VLOOKUP(U60,Jogadores!B:C,2,0)</f>
        <v>DF</v>
      </c>
      <c r="W60" s="8">
        <f>VLOOKUP(U60,Jogadores!B:D,3,0)</f>
        <v>26.74794521</v>
      </c>
      <c r="X60" s="7">
        <v>0.0</v>
      </c>
      <c r="Y60" s="7">
        <f t="shared" si="178"/>
        <v>96</v>
      </c>
      <c r="Z60" s="7">
        <f>VLOOKUP(A60,Jogos!A:L,3,0)</f>
        <v>48</v>
      </c>
      <c r="AA60" s="7">
        <f t="shared" si="7"/>
        <v>48</v>
      </c>
      <c r="AB60" s="7">
        <f>VLOOKUP(A60,Jogos!A:L,4,0)</f>
        <v>51</v>
      </c>
      <c r="AC60" s="7">
        <f t="shared" si="8"/>
        <v>51</v>
      </c>
      <c r="AD60" s="7"/>
      <c r="AE60" s="7"/>
      <c r="AF60" s="7">
        <f t="shared" si="9"/>
        <v>99</v>
      </c>
      <c r="AG60" s="7">
        <v>9682.3</v>
      </c>
      <c r="AH60" s="7">
        <v>4424.1</v>
      </c>
      <c r="AI60" s="7">
        <v>3170.0</v>
      </c>
      <c r="AJ60" s="7">
        <v>1014.5</v>
      </c>
      <c r="AK60" s="7">
        <v>660.5</v>
      </c>
      <c r="AL60" s="7">
        <v>413.2</v>
      </c>
      <c r="AM60" s="7">
        <v>91.0</v>
      </c>
      <c r="AN60" s="7">
        <v>56.0</v>
      </c>
      <c r="AO60" s="7">
        <v>33.7</v>
      </c>
      <c r="AP60" s="9">
        <f t="shared" ref="AP60:AR60" si="191">AG60/$AF60</f>
        <v>97.8010101</v>
      </c>
      <c r="AQ60" s="9">
        <f t="shared" si="191"/>
        <v>44.68787879</v>
      </c>
      <c r="AR60" s="9">
        <f t="shared" si="191"/>
        <v>32.02020202</v>
      </c>
      <c r="AS60" s="9">
        <f t="shared" si="11"/>
        <v>76.70808081</v>
      </c>
      <c r="AT60" s="9">
        <f t="shared" ref="AT60:AV60" si="192">AJ60/$AF60</f>
        <v>10.24747475</v>
      </c>
      <c r="AU60" s="9">
        <f t="shared" si="192"/>
        <v>6.671717172</v>
      </c>
      <c r="AV60" s="9">
        <f t="shared" si="192"/>
        <v>4.173737374</v>
      </c>
      <c r="AW60" s="9">
        <f t="shared" si="13"/>
        <v>10.84545455</v>
      </c>
      <c r="AX60" s="9">
        <f t="shared" ref="AX60:AY60" si="193">AM60/$AF60</f>
        <v>0.9191919192</v>
      </c>
      <c r="AY60" s="9">
        <f t="shared" si="193"/>
        <v>0.5656565657</v>
      </c>
      <c r="AZ60" s="9">
        <f>VLOOKUP(A60,Jogos!A:BN,58,0)</f>
        <v>33.085</v>
      </c>
      <c r="BA60" s="9">
        <f>VLOOKUP(A60,Jogos!A:BN,59,0)</f>
        <v>10.485</v>
      </c>
      <c r="BB60" s="9">
        <f>VLOOKUP(A60,Jogos!A:BN,60,0)</f>
        <v>24.5</v>
      </c>
      <c r="BC60" s="9">
        <f>VLOOKUP(A60,Jogos!A:BN,61,0)</f>
        <v>35.81</v>
      </c>
      <c r="BD60" s="9">
        <f>VLOOKUP(A60,Jogos!A:BN,62,0)</f>
        <v>1034.65</v>
      </c>
      <c r="BE60" s="9">
        <f>VLOOKUP(A60,Jogos!A:BN,63,0)</f>
        <v>1.905</v>
      </c>
      <c r="BF60" s="9">
        <f>VLOOKUP(A60,Jogos!A:BN,64,0)</f>
        <v>21.085</v>
      </c>
      <c r="BG60" s="9">
        <f>VLOOKUP(A60,Jogos!A:BN,65,0)</f>
        <v>45.615</v>
      </c>
      <c r="BH60" s="9">
        <f>VLOOKUP(A60,Jogos!A:BN,66,0)</f>
        <v>27.185</v>
      </c>
      <c r="BI60" s="9"/>
    </row>
    <row r="61" hidden="1">
      <c r="A61" s="2">
        <v>3.0</v>
      </c>
      <c r="B61" s="11" t="s">
        <v>185</v>
      </c>
      <c r="C61" s="2" t="s">
        <v>61</v>
      </c>
      <c r="D61" s="3">
        <v>45823.0</v>
      </c>
      <c r="E61" s="4">
        <v>0.5</v>
      </c>
      <c r="F61" s="5" t="str">
        <f>VLOOKUP(A61,Jogos!A:N,10,0)</f>
        <v>Afternoon</v>
      </c>
      <c r="G61" s="2" t="s">
        <v>186</v>
      </c>
      <c r="H61" s="6" t="str">
        <f>VLOOKUP(A61,Jogos!A:L,12,0)</f>
        <v>Open</v>
      </c>
      <c r="I61" s="6" t="str">
        <f>VLOOKUP(G61,'Estádios e Cidades'!A:B,2,0)</f>
        <v>Pasadena</v>
      </c>
      <c r="J61" s="2" t="s">
        <v>187</v>
      </c>
      <c r="K61" s="2" t="str">
        <f>VLOOKUP(J61,Equipes!A:F,6,0)</f>
        <v>Temperate</v>
      </c>
      <c r="L61" s="2">
        <f>VLOOKUP(J61,Equipes!A:C,3,0)</f>
        <v>2</v>
      </c>
      <c r="M61" s="2" t="str">
        <f t="shared" si="4"/>
        <v>Final</v>
      </c>
      <c r="N61" s="2" t="s">
        <v>188</v>
      </c>
      <c r="O61" s="2">
        <f>VLOOKUP(N61,Equipes!A:C,3,0)</f>
        <v>17</v>
      </c>
      <c r="P61" s="2" t="str">
        <f t="shared" si="5"/>
        <v>Group</v>
      </c>
      <c r="Q61" s="2">
        <f t="shared" si="6"/>
        <v>-15</v>
      </c>
      <c r="R61" s="2" t="str">
        <f>VLOOKUP(J61,Equipes!A:B,2,0)</f>
        <v>PSG</v>
      </c>
      <c r="S61" s="6" t="s">
        <v>191</v>
      </c>
      <c r="T61" s="7">
        <v>5.0</v>
      </c>
      <c r="U61" s="7" t="s">
        <v>192</v>
      </c>
      <c r="V61" s="7" t="str">
        <f>VLOOKUP(U61,Jogadores!B:C,2,0)</f>
        <v>DF</v>
      </c>
      <c r="W61" s="8">
        <f>VLOOKUP(U61,Jogadores!B:D,3,0)</f>
        <v>31.22739726</v>
      </c>
      <c r="X61" s="7">
        <v>0.0</v>
      </c>
      <c r="Y61" s="7">
        <f t="shared" si="178"/>
        <v>96</v>
      </c>
      <c r="Z61" s="7">
        <f>VLOOKUP(A61,Jogos!A:L,3,0)</f>
        <v>48</v>
      </c>
      <c r="AA61" s="7">
        <f t="shared" si="7"/>
        <v>48</v>
      </c>
      <c r="AB61" s="7">
        <f>VLOOKUP(A61,Jogos!A:L,4,0)</f>
        <v>51</v>
      </c>
      <c r="AC61" s="7">
        <f t="shared" si="8"/>
        <v>51</v>
      </c>
      <c r="AD61" s="7"/>
      <c r="AE61" s="7"/>
      <c r="AF61" s="7">
        <f t="shared" si="9"/>
        <v>99</v>
      </c>
      <c r="AG61" s="7">
        <v>9612.3</v>
      </c>
      <c r="AH61" s="7">
        <v>4135.0</v>
      </c>
      <c r="AI61" s="7">
        <v>3624.1</v>
      </c>
      <c r="AJ61" s="7">
        <v>1128.6</v>
      </c>
      <c r="AK61" s="7">
        <v>489.5</v>
      </c>
      <c r="AL61" s="7">
        <v>235.2</v>
      </c>
      <c r="AM61" s="7">
        <v>99.0</v>
      </c>
      <c r="AN61" s="7">
        <v>41.0</v>
      </c>
      <c r="AO61" s="7">
        <v>35.2</v>
      </c>
      <c r="AP61" s="9">
        <f t="shared" ref="AP61:AR61" si="194">AG61/$AF61</f>
        <v>97.09393939</v>
      </c>
      <c r="AQ61" s="9">
        <f t="shared" si="194"/>
        <v>41.76767677</v>
      </c>
      <c r="AR61" s="9">
        <f t="shared" si="194"/>
        <v>36.60707071</v>
      </c>
      <c r="AS61" s="9">
        <f t="shared" si="11"/>
        <v>78.37474747</v>
      </c>
      <c r="AT61" s="9">
        <f t="shared" ref="AT61:AV61" si="195">AJ61/$AF61</f>
        <v>11.4</v>
      </c>
      <c r="AU61" s="9">
        <f t="shared" si="195"/>
        <v>4.944444444</v>
      </c>
      <c r="AV61" s="9">
        <f t="shared" si="195"/>
        <v>2.375757576</v>
      </c>
      <c r="AW61" s="9">
        <f t="shared" si="13"/>
        <v>7.32020202</v>
      </c>
      <c r="AX61" s="9">
        <f t="shared" ref="AX61:AY61" si="196">AM61/$AF61</f>
        <v>1</v>
      </c>
      <c r="AY61" s="9">
        <f t="shared" si="196"/>
        <v>0.4141414141</v>
      </c>
      <c r="AZ61" s="9">
        <f>VLOOKUP(A61,Jogos!A:BN,58,0)</f>
        <v>33.085</v>
      </c>
      <c r="BA61" s="9">
        <f>VLOOKUP(A61,Jogos!A:BN,59,0)</f>
        <v>10.485</v>
      </c>
      <c r="BB61" s="9">
        <f>VLOOKUP(A61,Jogos!A:BN,60,0)</f>
        <v>24.5</v>
      </c>
      <c r="BC61" s="9">
        <f>VLOOKUP(A61,Jogos!A:BN,61,0)</f>
        <v>35.81</v>
      </c>
      <c r="BD61" s="9">
        <f>VLOOKUP(A61,Jogos!A:BN,62,0)</f>
        <v>1034.65</v>
      </c>
      <c r="BE61" s="9">
        <f>VLOOKUP(A61,Jogos!A:BN,63,0)</f>
        <v>1.905</v>
      </c>
      <c r="BF61" s="9">
        <f>VLOOKUP(A61,Jogos!A:BN,64,0)</f>
        <v>21.085</v>
      </c>
      <c r="BG61" s="9">
        <f>VLOOKUP(A61,Jogos!A:BN,65,0)</f>
        <v>45.615</v>
      </c>
      <c r="BH61" s="9">
        <f>VLOOKUP(A61,Jogos!A:BN,66,0)</f>
        <v>27.185</v>
      </c>
      <c r="BI61" s="9"/>
    </row>
    <row r="62" hidden="1">
      <c r="A62" s="2">
        <v>3.0</v>
      </c>
      <c r="B62" s="11" t="s">
        <v>185</v>
      </c>
      <c r="C62" s="2" t="s">
        <v>61</v>
      </c>
      <c r="D62" s="3">
        <v>45823.0</v>
      </c>
      <c r="E62" s="4">
        <v>0.5</v>
      </c>
      <c r="F62" s="5" t="str">
        <f>VLOOKUP(A62,Jogos!A:N,10,0)</f>
        <v>Afternoon</v>
      </c>
      <c r="G62" s="2" t="s">
        <v>186</v>
      </c>
      <c r="H62" s="6" t="str">
        <f>VLOOKUP(A62,Jogos!A:L,12,0)</f>
        <v>Open</v>
      </c>
      <c r="I62" s="6" t="str">
        <f>VLOOKUP(G62,'Estádios e Cidades'!A:B,2,0)</f>
        <v>Pasadena</v>
      </c>
      <c r="J62" s="2" t="s">
        <v>187</v>
      </c>
      <c r="K62" s="2" t="str">
        <f>VLOOKUP(J62,Equipes!A:F,6,0)</f>
        <v>Temperate</v>
      </c>
      <c r="L62" s="2">
        <f>VLOOKUP(J62,Equipes!A:C,3,0)</f>
        <v>2</v>
      </c>
      <c r="M62" s="2" t="str">
        <f t="shared" si="4"/>
        <v>Final</v>
      </c>
      <c r="N62" s="2" t="s">
        <v>188</v>
      </c>
      <c r="O62" s="2">
        <f>VLOOKUP(N62,Equipes!A:C,3,0)</f>
        <v>17</v>
      </c>
      <c r="P62" s="2" t="str">
        <f t="shared" si="5"/>
        <v>Group</v>
      </c>
      <c r="Q62" s="2">
        <f t="shared" si="6"/>
        <v>-15</v>
      </c>
      <c r="R62" s="2" t="str">
        <f>VLOOKUP(J62,Equipes!A:B,2,0)</f>
        <v>PSG</v>
      </c>
      <c r="S62" s="6" t="s">
        <v>193</v>
      </c>
      <c r="T62" s="7">
        <v>7.0</v>
      </c>
      <c r="U62" s="7" t="s">
        <v>194</v>
      </c>
      <c r="V62" s="7" t="str">
        <f>VLOOKUP(U62,Jogadores!B:C,2,0)</f>
        <v>FW</v>
      </c>
      <c r="W62" s="8">
        <f>VLOOKUP(U62,Jogadores!B:D,3,0)</f>
        <v>24.47123288</v>
      </c>
      <c r="X62" s="7">
        <v>0.0</v>
      </c>
      <c r="Y62" s="7">
        <v>72.0</v>
      </c>
      <c r="Z62" s="7">
        <f>VLOOKUP(A62,Jogos!A:L,3,0)</f>
        <v>48</v>
      </c>
      <c r="AA62" s="7">
        <f t="shared" si="7"/>
        <v>48</v>
      </c>
      <c r="AB62" s="7">
        <f>VLOOKUP(A62,Jogos!A:L,4,0)</f>
        <v>51</v>
      </c>
      <c r="AC62" s="7">
        <f t="shared" si="8"/>
        <v>27</v>
      </c>
      <c r="AD62" s="7"/>
      <c r="AE62" s="7"/>
      <c r="AF62" s="7">
        <f t="shared" si="9"/>
        <v>75</v>
      </c>
      <c r="AG62" s="7">
        <v>7112.8</v>
      </c>
      <c r="AH62" s="7">
        <v>3416.9</v>
      </c>
      <c r="AI62" s="7">
        <v>2157.2</v>
      </c>
      <c r="AJ62" s="7">
        <v>932.8</v>
      </c>
      <c r="AK62" s="7">
        <v>423.7</v>
      </c>
      <c r="AL62" s="7">
        <v>182.2</v>
      </c>
      <c r="AM62" s="7">
        <v>78.0</v>
      </c>
      <c r="AN62" s="7">
        <v>38.0</v>
      </c>
      <c r="AO62" s="7">
        <v>34.8</v>
      </c>
      <c r="AP62" s="9">
        <f t="shared" ref="AP62:AR62" si="197">AG62/$AF62</f>
        <v>94.83733333</v>
      </c>
      <c r="AQ62" s="9">
        <f t="shared" si="197"/>
        <v>45.55866667</v>
      </c>
      <c r="AR62" s="9">
        <f t="shared" si="197"/>
        <v>28.76266667</v>
      </c>
      <c r="AS62" s="9">
        <f t="shared" si="11"/>
        <v>74.32133333</v>
      </c>
      <c r="AT62" s="9">
        <f t="shared" ref="AT62:AV62" si="198">AJ62/$AF62</f>
        <v>12.43733333</v>
      </c>
      <c r="AU62" s="9">
        <f t="shared" si="198"/>
        <v>5.649333333</v>
      </c>
      <c r="AV62" s="9">
        <f t="shared" si="198"/>
        <v>2.429333333</v>
      </c>
      <c r="AW62" s="9">
        <f t="shared" si="13"/>
        <v>8.078666667</v>
      </c>
      <c r="AX62" s="9">
        <f t="shared" ref="AX62:AY62" si="199">AM62/$AF62</f>
        <v>1.04</v>
      </c>
      <c r="AY62" s="9">
        <f t="shared" si="199"/>
        <v>0.5066666667</v>
      </c>
      <c r="AZ62" s="9">
        <f>VLOOKUP(A62,Jogos!A:BN,58,0)</f>
        <v>33.085</v>
      </c>
      <c r="BA62" s="9">
        <f>VLOOKUP(A62,Jogos!A:BN,59,0)</f>
        <v>10.485</v>
      </c>
      <c r="BB62" s="9">
        <f>VLOOKUP(A62,Jogos!A:BN,60,0)</f>
        <v>24.5</v>
      </c>
      <c r="BC62" s="9">
        <f>VLOOKUP(A62,Jogos!A:BN,61,0)</f>
        <v>35.81</v>
      </c>
      <c r="BD62" s="9">
        <f>VLOOKUP(A62,Jogos!A:BN,62,0)</f>
        <v>1034.65</v>
      </c>
      <c r="BE62" s="9">
        <f>VLOOKUP(A62,Jogos!A:BN,63,0)</f>
        <v>1.905</v>
      </c>
      <c r="BF62" s="9">
        <f>VLOOKUP(A62,Jogos!A:BN,64,0)</f>
        <v>21.085</v>
      </c>
      <c r="BG62" s="9">
        <f>VLOOKUP(A62,Jogos!A:BN,65,0)</f>
        <v>45.615</v>
      </c>
      <c r="BH62" s="9">
        <f>VLOOKUP(A62,Jogos!A:BN,66,0)</f>
        <v>27.185</v>
      </c>
      <c r="BI62" s="9"/>
    </row>
    <row r="63" hidden="1">
      <c r="A63" s="2">
        <v>3.0</v>
      </c>
      <c r="B63" s="11" t="s">
        <v>185</v>
      </c>
      <c r="C63" s="2" t="s">
        <v>61</v>
      </c>
      <c r="D63" s="3">
        <v>45823.0</v>
      </c>
      <c r="E63" s="4">
        <v>0.5</v>
      </c>
      <c r="F63" s="5" t="str">
        <f>VLOOKUP(A63,Jogos!A:N,10,0)</f>
        <v>Afternoon</v>
      </c>
      <c r="G63" s="2" t="s">
        <v>186</v>
      </c>
      <c r="H63" s="6" t="str">
        <f>VLOOKUP(A63,Jogos!A:L,12,0)</f>
        <v>Open</v>
      </c>
      <c r="I63" s="6" t="str">
        <f>VLOOKUP(G63,'Estádios e Cidades'!A:B,2,0)</f>
        <v>Pasadena</v>
      </c>
      <c r="J63" s="2" t="s">
        <v>187</v>
      </c>
      <c r="K63" s="2" t="str">
        <f>VLOOKUP(J63,Equipes!A:F,6,0)</f>
        <v>Temperate</v>
      </c>
      <c r="L63" s="2">
        <f>VLOOKUP(J63,Equipes!A:C,3,0)</f>
        <v>2</v>
      </c>
      <c r="M63" s="2" t="str">
        <f t="shared" si="4"/>
        <v>Final</v>
      </c>
      <c r="N63" s="2" t="s">
        <v>188</v>
      </c>
      <c r="O63" s="2">
        <f>VLOOKUP(N63,Equipes!A:C,3,0)</f>
        <v>17</v>
      </c>
      <c r="P63" s="2" t="str">
        <f t="shared" si="5"/>
        <v>Group</v>
      </c>
      <c r="Q63" s="2">
        <f t="shared" si="6"/>
        <v>-15</v>
      </c>
      <c r="R63" s="2" t="str">
        <f>VLOOKUP(J63,Equipes!A:B,2,0)</f>
        <v>PSG</v>
      </c>
      <c r="S63" s="6" t="s">
        <v>195</v>
      </c>
      <c r="T63" s="7">
        <v>8.0</v>
      </c>
      <c r="U63" s="7" t="s">
        <v>196</v>
      </c>
      <c r="V63" s="7" t="str">
        <f>VLOOKUP(U63,Jogadores!B:C,2,0)</f>
        <v>MF</v>
      </c>
      <c r="W63" s="8">
        <f>VLOOKUP(U63,Jogadores!B:D,3,0)</f>
        <v>29.3369863</v>
      </c>
      <c r="X63" s="7">
        <v>0.0</v>
      </c>
      <c r="Y63" s="7">
        <v>72.0</v>
      </c>
      <c r="Z63" s="7">
        <f>VLOOKUP(A63,Jogos!A:L,3,0)</f>
        <v>48</v>
      </c>
      <c r="AA63" s="7">
        <f t="shared" si="7"/>
        <v>48</v>
      </c>
      <c r="AB63" s="7">
        <f>VLOOKUP(A63,Jogos!A:L,4,0)</f>
        <v>51</v>
      </c>
      <c r="AC63" s="7">
        <f t="shared" si="8"/>
        <v>27</v>
      </c>
      <c r="AD63" s="7"/>
      <c r="AE63" s="7"/>
      <c r="AF63" s="7">
        <f t="shared" si="9"/>
        <v>75</v>
      </c>
      <c r="AG63" s="7">
        <v>8516.8</v>
      </c>
      <c r="AH63" s="7">
        <v>2931.1</v>
      </c>
      <c r="AI63" s="7">
        <v>3693.2</v>
      </c>
      <c r="AJ63" s="7">
        <v>1275.8</v>
      </c>
      <c r="AK63" s="7">
        <v>423.4</v>
      </c>
      <c r="AL63" s="7">
        <v>193.2</v>
      </c>
      <c r="AM63" s="7">
        <v>103.0</v>
      </c>
      <c r="AN63" s="7">
        <v>35.0</v>
      </c>
      <c r="AO63" s="7">
        <v>38.1</v>
      </c>
      <c r="AP63" s="9">
        <f t="shared" ref="AP63:AR63" si="200">AG63/$AF63</f>
        <v>113.5573333</v>
      </c>
      <c r="AQ63" s="9">
        <f t="shared" si="200"/>
        <v>39.08133333</v>
      </c>
      <c r="AR63" s="9">
        <f t="shared" si="200"/>
        <v>49.24266667</v>
      </c>
      <c r="AS63" s="9">
        <f t="shared" si="11"/>
        <v>88.324</v>
      </c>
      <c r="AT63" s="9">
        <f t="shared" ref="AT63:AV63" si="201">AJ63/$AF63</f>
        <v>17.01066667</v>
      </c>
      <c r="AU63" s="9">
        <f t="shared" si="201"/>
        <v>5.645333333</v>
      </c>
      <c r="AV63" s="9">
        <f t="shared" si="201"/>
        <v>2.576</v>
      </c>
      <c r="AW63" s="9">
        <f t="shared" si="13"/>
        <v>8.221333333</v>
      </c>
      <c r="AX63" s="9">
        <f t="shared" ref="AX63:AY63" si="202">AM63/$AF63</f>
        <v>1.373333333</v>
      </c>
      <c r="AY63" s="9">
        <f t="shared" si="202"/>
        <v>0.4666666667</v>
      </c>
      <c r="AZ63" s="9">
        <f>VLOOKUP(A63,Jogos!A:BN,58,0)</f>
        <v>33.085</v>
      </c>
      <c r="BA63" s="9">
        <f>VLOOKUP(A63,Jogos!A:BN,59,0)</f>
        <v>10.485</v>
      </c>
      <c r="BB63" s="9">
        <f>VLOOKUP(A63,Jogos!A:BN,60,0)</f>
        <v>24.5</v>
      </c>
      <c r="BC63" s="9">
        <f>VLOOKUP(A63,Jogos!A:BN,61,0)</f>
        <v>35.81</v>
      </c>
      <c r="BD63" s="9">
        <f>VLOOKUP(A63,Jogos!A:BN,62,0)</f>
        <v>1034.65</v>
      </c>
      <c r="BE63" s="9">
        <f>VLOOKUP(A63,Jogos!A:BN,63,0)</f>
        <v>1.905</v>
      </c>
      <c r="BF63" s="9">
        <f>VLOOKUP(A63,Jogos!A:BN,64,0)</f>
        <v>21.085</v>
      </c>
      <c r="BG63" s="9">
        <f>VLOOKUP(A63,Jogos!A:BN,65,0)</f>
        <v>45.615</v>
      </c>
      <c r="BH63" s="9">
        <f>VLOOKUP(A63,Jogos!A:BN,66,0)</f>
        <v>27.185</v>
      </c>
      <c r="BI63" s="9"/>
    </row>
    <row r="64" hidden="1">
      <c r="A64" s="2">
        <v>3.0</v>
      </c>
      <c r="B64" s="11" t="s">
        <v>185</v>
      </c>
      <c r="C64" s="2" t="s">
        <v>61</v>
      </c>
      <c r="D64" s="3">
        <v>45823.0</v>
      </c>
      <c r="E64" s="4">
        <v>0.5</v>
      </c>
      <c r="F64" s="5" t="str">
        <f>VLOOKUP(A64,Jogos!A:N,10,0)</f>
        <v>Afternoon</v>
      </c>
      <c r="G64" s="2" t="s">
        <v>186</v>
      </c>
      <c r="H64" s="6" t="str">
        <f>VLOOKUP(A64,Jogos!A:L,12,0)</f>
        <v>Open</v>
      </c>
      <c r="I64" s="6" t="str">
        <f>VLOOKUP(G64,'Estádios e Cidades'!A:B,2,0)</f>
        <v>Pasadena</v>
      </c>
      <c r="J64" s="2" t="s">
        <v>187</v>
      </c>
      <c r="K64" s="2" t="str">
        <f>VLOOKUP(J64,Equipes!A:F,6,0)</f>
        <v>Temperate</v>
      </c>
      <c r="L64" s="2">
        <f>VLOOKUP(J64,Equipes!A:C,3,0)</f>
        <v>2</v>
      </c>
      <c r="M64" s="2" t="str">
        <f t="shared" si="4"/>
        <v>Final</v>
      </c>
      <c r="N64" s="2" t="s">
        <v>188</v>
      </c>
      <c r="O64" s="2">
        <f>VLOOKUP(N64,Equipes!A:C,3,0)</f>
        <v>17</v>
      </c>
      <c r="P64" s="2" t="str">
        <f t="shared" si="5"/>
        <v>Group</v>
      </c>
      <c r="Q64" s="2">
        <f t="shared" si="6"/>
        <v>-15</v>
      </c>
      <c r="R64" s="2" t="str">
        <f>VLOOKUP(J64,Equipes!A:B,2,0)</f>
        <v>PSG</v>
      </c>
      <c r="S64" s="6" t="s">
        <v>197</v>
      </c>
      <c r="T64" s="7">
        <v>9.0</v>
      </c>
      <c r="U64" s="7" t="s">
        <v>198</v>
      </c>
      <c r="V64" s="7" t="str">
        <f>VLOOKUP(U64,Jogadores!B:C,2,0)</f>
        <v>FW</v>
      </c>
      <c r="W64" s="8">
        <f>VLOOKUP(U64,Jogadores!B:D,3,0)</f>
        <v>24.12328767</v>
      </c>
      <c r="X64" s="7">
        <v>0.0</v>
      </c>
      <c r="Y64" s="7">
        <v>65.0</v>
      </c>
      <c r="Z64" s="7">
        <f>VLOOKUP(A64,Jogos!A:L,3,0)</f>
        <v>48</v>
      </c>
      <c r="AA64" s="7">
        <f t="shared" si="7"/>
        <v>48</v>
      </c>
      <c r="AB64" s="7">
        <f>VLOOKUP(A64,Jogos!A:L,4,0)</f>
        <v>51</v>
      </c>
      <c r="AC64" s="7">
        <f t="shared" si="8"/>
        <v>20</v>
      </c>
      <c r="AD64" s="7"/>
      <c r="AE64" s="7"/>
      <c r="AF64" s="7">
        <f t="shared" si="9"/>
        <v>68</v>
      </c>
      <c r="AG64" s="7">
        <v>7595.4</v>
      </c>
      <c r="AH64" s="7">
        <v>2807.7</v>
      </c>
      <c r="AI64" s="7">
        <v>2781.8</v>
      </c>
      <c r="AJ64" s="7">
        <v>1306.3</v>
      </c>
      <c r="AK64" s="7">
        <v>561.1</v>
      </c>
      <c r="AL64" s="7">
        <v>138.4</v>
      </c>
      <c r="AM64" s="7">
        <v>118.0</v>
      </c>
      <c r="AN64" s="7">
        <v>47.0</v>
      </c>
      <c r="AO64" s="7">
        <v>36.2</v>
      </c>
      <c r="AP64" s="9">
        <f t="shared" ref="AP64:AR64" si="203">AG64/$AF64</f>
        <v>111.6970588</v>
      </c>
      <c r="AQ64" s="9">
        <f t="shared" si="203"/>
        <v>41.28970588</v>
      </c>
      <c r="AR64" s="9">
        <f t="shared" si="203"/>
        <v>40.90882353</v>
      </c>
      <c r="AS64" s="9">
        <f t="shared" si="11"/>
        <v>82.19852941</v>
      </c>
      <c r="AT64" s="9">
        <f t="shared" ref="AT64:AV64" si="204">AJ64/$AF64</f>
        <v>19.21029412</v>
      </c>
      <c r="AU64" s="9">
        <f t="shared" si="204"/>
        <v>8.251470588</v>
      </c>
      <c r="AV64" s="9">
        <f t="shared" si="204"/>
        <v>2.035294118</v>
      </c>
      <c r="AW64" s="9">
        <f t="shared" si="13"/>
        <v>10.28676471</v>
      </c>
      <c r="AX64" s="9">
        <f t="shared" ref="AX64:AY64" si="205">AM64/$AF64</f>
        <v>1.735294118</v>
      </c>
      <c r="AY64" s="9">
        <f t="shared" si="205"/>
        <v>0.6911764706</v>
      </c>
      <c r="AZ64" s="9">
        <f>VLOOKUP(A64,Jogos!A:BN,58,0)</f>
        <v>33.085</v>
      </c>
      <c r="BA64" s="9">
        <f>VLOOKUP(A64,Jogos!A:BN,59,0)</f>
        <v>10.485</v>
      </c>
      <c r="BB64" s="9">
        <f>VLOOKUP(A64,Jogos!A:BN,60,0)</f>
        <v>24.5</v>
      </c>
      <c r="BC64" s="9">
        <f>VLOOKUP(A64,Jogos!A:BN,61,0)</f>
        <v>35.81</v>
      </c>
      <c r="BD64" s="9">
        <f>VLOOKUP(A64,Jogos!A:BN,62,0)</f>
        <v>1034.65</v>
      </c>
      <c r="BE64" s="9">
        <f>VLOOKUP(A64,Jogos!A:BN,63,0)</f>
        <v>1.905</v>
      </c>
      <c r="BF64" s="9">
        <f>VLOOKUP(A64,Jogos!A:BN,64,0)</f>
        <v>21.085</v>
      </c>
      <c r="BG64" s="9">
        <f>VLOOKUP(A64,Jogos!A:BN,65,0)</f>
        <v>45.615</v>
      </c>
      <c r="BH64" s="9">
        <f>VLOOKUP(A64,Jogos!A:BN,66,0)</f>
        <v>27.185</v>
      </c>
      <c r="BI64" s="9"/>
    </row>
    <row r="65" hidden="1">
      <c r="A65" s="2">
        <v>3.0</v>
      </c>
      <c r="B65" s="11" t="s">
        <v>185</v>
      </c>
      <c r="C65" s="2" t="s">
        <v>61</v>
      </c>
      <c r="D65" s="3">
        <v>45823.0</v>
      </c>
      <c r="E65" s="4">
        <v>0.5</v>
      </c>
      <c r="F65" s="5" t="str">
        <f>VLOOKUP(A65,Jogos!A:N,10,0)</f>
        <v>Afternoon</v>
      </c>
      <c r="G65" s="2" t="s">
        <v>186</v>
      </c>
      <c r="H65" s="6" t="str">
        <f>VLOOKUP(A65,Jogos!A:L,12,0)</f>
        <v>Open</v>
      </c>
      <c r="I65" s="6" t="str">
        <f>VLOOKUP(G65,'Estádios e Cidades'!A:B,2,0)</f>
        <v>Pasadena</v>
      </c>
      <c r="J65" s="2" t="s">
        <v>187</v>
      </c>
      <c r="K65" s="2" t="str">
        <f>VLOOKUP(J65,Equipes!A:F,6,0)</f>
        <v>Temperate</v>
      </c>
      <c r="L65" s="2">
        <f>VLOOKUP(J65,Equipes!A:C,3,0)</f>
        <v>2</v>
      </c>
      <c r="M65" s="2" t="str">
        <f t="shared" si="4"/>
        <v>Final</v>
      </c>
      <c r="N65" s="2" t="s">
        <v>188</v>
      </c>
      <c r="O65" s="2">
        <f>VLOOKUP(N65,Equipes!A:C,3,0)</f>
        <v>17</v>
      </c>
      <c r="P65" s="2" t="str">
        <f t="shared" si="5"/>
        <v>Group</v>
      </c>
      <c r="Q65" s="2">
        <f t="shared" si="6"/>
        <v>-15</v>
      </c>
      <c r="R65" s="2" t="str">
        <f>VLOOKUP(J65,Equipes!A:B,2,0)</f>
        <v>PSG</v>
      </c>
      <c r="S65" s="6" t="s">
        <v>199</v>
      </c>
      <c r="T65" s="7">
        <v>14.0</v>
      </c>
      <c r="U65" s="7" t="s">
        <v>200</v>
      </c>
      <c r="V65" s="7" t="str">
        <f>VLOOKUP(U65,Jogadores!B:C,2,0)</f>
        <v>FW</v>
      </c>
      <c r="W65" s="8">
        <f>VLOOKUP(U65,Jogadores!B:D,3,0)</f>
        <v>20.16438356</v>
      </c>
      <c r="X65" s="7">
        <v>0.0</v>
      </c>
      <c r="Y65" s="7">
        <v>80.0</v>
      </c>
      <c r="Z65" s="7">
        <f>VLOOKUP(A65,Jogos!A:L,3,0)</f>
        <v>48</v>
      </c>
      <c r="AA65" s="7">
        <f t="shared" si="7"/>
        <v>48</v>
      </c>
      <c r="AB65" s="7">
        <f>VLOOKUP(A65,Jogos!A:L,4,0)</f>
        <v>51</v>
      </c>
      <c r="AC65" s="7">
        <f t="shared" si="8"/>
        <v>35</v>
      </c>
      <c r="AD65" s="7"/>
      <c r="AE65" s="7"/>
      <c r="AF65" s="7">
        <f t="shared" si="9"/>
        <v>83</v>
      </c>
      <c r="AG65" s="7">
        <v>8914.6</v>
      </c>
      <c r="AH65" s="7">
        <v>3172.1</v>
      </c>
      <c r="AI65" s="7">
        <v>3550.2</v>
      </c>
      <c r="AJ65" s="7">
        <v>1420.7</v>
      </c>
      <c r="AK65" s="7">
        <v>519.8</v>
      </c>
      <c r="AL65" s="7">
        <v>251.9</v>
      </c>
      <c r="AM65" s="7">
        <v>126.0</v>
      </c>
      <c r="AN65" s="7">
        <v>45.0</v>
      </c>
      <c r="AO65" s="7">
        <v>35.0</v>
      </c>
      <c r="AP65" s="9">
        <f t="shared" ref="AP65:AR65" si="206">AG65/$AF65</f>
        <v>107.4048193</v>
      </c>
      <c r="AQ65" s="9">
        <f t="shared" si="206"/>
        <v>38.21807229</v>
      </c>
      <c r="AR65" s="9">
        <f t="shared" si="206"/>
        <v>42.77349398</v>
      </c>
      <c r="AS65" s="9">
        <f t="shared" si="11"/>
        <v>80.99156627</v>
      </c>
      <c r="AT65" s="9">
        <f t="shared" ref="AT65:AV65" si="207">AJ65/$AF65</f>
        <v>17.11686747</v>
      </c>
      <c r="AU65" s="9">
        <f t="shared" si="207"/>
        <v>6.262650602</v>
      </c>
      <c r="AV65" s="9">
        <f t="shared" si="207"/>
        <v>3.034939759</v>
      </c>
      <c r="AW65" s="9">
        <f t="shared" si="13"/>
        <v>9.297590361</v>
      </c>
      <c r="AX65" s="9">
        <f t="shared" ref="AX65:AY65" si="208">AM65/$AF65</f>
        <v>1.518072289</v>
      </c>
      <c r="AY65" s="9">
        <f t="shared" si="208"/>
        <v>0.5421686747</v>
      </c>
      <c r="AZ65" s="9">
        <f>VLOOKUP(A65,Jogos!A:BN,58,0)</f>
        <v>33.085</v>
      </c>
      <c r="BA65" s="9">
        <f>VLOOKUP(A65,Jogos!A:BN,59,0)</f>
        <v>10.485</v>
      </c>
      <c r="BB65" s="9">
        <f>VLOOKUP(A65,Jogos!A:BN,60,0)</f>
        <v>24.5</v>
      </c>
      <c r="BC65" s="9">
        <f>VLOOKUP(A65,Jogos!A:BN,61,0)</f>
        <v>35.81</v>
      </c>
      <c r="BD65" s="9">
        <f>VLOOKUP(A65,Jogos!A:BN,62,0)</f>
        <v>1034.65</v>
      </c>
      <c r="BE65" s="9">
        <f>VLOOKUP(A65,Jogos!A:BN,63,0)</f>
        <v>1.905</v>
      </c>
      <c r="BF65" s="9">
        <f>VLOOKUP(A65,Jogos!A:BN,64,0)</f>
        <v>21.085</v>
      </c>
      <c r="BG65" s="9">
        <f>VLOOKUP(A65,Jogos!A:BN,65,0)</f>
        <v>45.615</v>
      </c>
      <c r="BH65" s="9">
        <f>VLOOKUP(A65,Jogos!A:BN,66,0)</f>
        <v>27.185</v>
      </c>
      <c r="BI65" s="9"/>
    </row>
    <row r="66" hidden="1">
      <c r="A66" s="2">
        <v>3.0</v>
      </c>
      <c r="B66" s="11" t="s">
        <v>185</v>
      </c>
      <c r="C66" s="2" t="s">
        <v>61</v>
      </c>
      <c r="D66" s="3">
        <v>45823.0</v>
      </c>
      <c r="E66" s="4">
        <v>0.5</v>
      </c>
      <c r="F66" s="5" t="str">
        <f>VLOOKUP(A66,Jogos!A:N,10,0)</f>
        <v>Afternoon</v>
      </c>
      <c r="G66" s="2" t="s">
        <v>186</v>
      </c>
      <c r="H66" s="6" t="str">
        <f>VLOOKUP(A66,Jogos!A:L,12,0)</f>
        <v>Open</v>
      </c>
      <c r="I66" s="6" t="str">
        <f>VLOOKUP(G66,'Estádios e Cidades'!A:B,2,0)</f>
        <v>Pasadena</v>
      </c>
      <c r="J66" s="2" t="s">
        <v>187</v>
      </c>
      <c r="K66" s="2" t="str">
        <f>VLOOKUP(J66,Equipes!A:F,6,0)</f>
        <v>Temperate</v>
      </c>
      <c r="L66" s="2">
        <f>VLOOKUP(J66,Equipes!A:C,3,0)</f>
        <v>2</v>
      </c>
      <c r="M66" s="2" t="str">
        <f t="shared" si="4"/>
        <v>Final</v>
      </c>
      <c r="N66" s="2" t="s">
        <v>188</v>
      </c>
      <c r="O66" s="2">
        <f>VLOOKUP(N66,Equipes!A:C,3,0)</f>
        <v>17</v>
      </c>
      <c r="P66" s="2" t="str">
        <f t="shared" si="5"/>
        <v>Group</v>
      </c>
      <c r="Q66" s="2">
        <f t="shared" si="6"/>
        <v>-15</v>
      </c>
      <c r="R66" s="2" t="str">
        <f>VLOOKUP(J66,Equipes!A:B,2,0)</f>
        <v>PSG</v>
      </c>
      <c r="S66" s="6" t="s">
        <v>201</v>
      </c>
      <c r="T66" s="7">
        <v>17.0</v>
      </c>
      <c r="U66" s="7" t="s">
        <v>202</v>
      </c>
      <c r="V66" s="7" t="str">
        <f>VLOOKUP(U66,Jogadores!B:C,2,0)</f>
        <v>MF</v>
      </c>
      <c r="W66" s="8">
        <f>VLOOKUP(U66,Jogadores!B:D,3,0)</f>
        <v>25.47123288</v>
      </c>
      <c r="X66" s="7">
        <v>0.0</v>
      </c>
      <c r="Y66" s="7">
        <f>45+AB66</f>
        <v>96</v>
      </c>
      <c r="Z66" s="7">
        <f>VLOOKUP(A66,Jogos!A:L,3,0)</f>
        <v>48</v>
      </c>
      <c r="AA66" s="7">
        <f t="shared" si="7"/>
        <v>48</v>
      </c>
      <c r="AB66" s="7">
        <f>VLOOKUP(A66,Jogos!A:L,4,0)</f>
        <v>51</v>
      </c>
      <c r="AC66" s="7">
        <f t="shared" si="8"/>
        <v>51</v>
      </c>
      <c r="AD66" s="7"/>
      <c r="AE66" s="7"/>
      <c r="AF66" s="7">
        <f t="shared" si="9"/>
        <v>99</v>
      </c>
      <c r="AG66" s="7">
        <v>11085.8</v>
      </c>
      <c r="AH66" s="7">
        <v>3669.8</v>
      </c>
      <c r="AI66" s="7">
        <v>5203.6</v>
      </c>
      <c r="AJ66" s="7">
        <v>1430.2</v>
      </c>
      <c r="AK66" s="7">
        <v>595.5</v>
      </c>
      <c r="AL66" s="7">
        <v>186.6</v>
      </c>
      <c r="AM66" s="7">
        <v>131.0</v>
      </c>
      <c r="AN66" s="7">
        <v>54.0</v>
      </c>
      <c r="AO66" s="7">
        <v>29.3</v>
      </c>
      <c r="AP66" s="9">
        <f t="shared" ref="AP66:AR66" si="209">AG66/$AF66</f>
        <v>111.9777778</v>
      </c>
      <c r="AQ66" s="9">
        <f t="shared" si="209"/>
        <v>37.06868687</v>
      </c>
      <c r="AR66" s="9">
        <f t="shared" si="209"/>
        <v>52.56161616</v>
      </c>
      <c r="AS66" s="9">
        <f t="shared" si="11"/>
        <v>89.63030303</v>
      </c>
      <c r="AT66" s="9">
        <f t="shared" ref="AT66:AV66" si="210">AJ66/$AF66</f>
        <v>14.44646465</v>
      </c>
      <c r="AU66" s="9">
        <f t="shared" si="210"/>
        <v>6.015151515</v>
      </c>
      <c r="AV66" s="9">
        <f t="shared" si="210"/>
        <v>1.884848485</v>
      </c>
      <c r="AW66" s="9">
        <f t="shared" si="13"/>
        <v>7.9</v>
      </c>
      <c r="AX66" s="9">
        <f t="shared" ref="AX66:AY66" si="211">AM66/$AF66</f>
        <v>1.323232323</v>
      </c>
      <c r="AY66" s="9">
        <f t="shared" si="211"/>
        <v>0.5454545455</v>
      </c>
      <c r="AZ66" s="9">
        <f>VLOOKUP(A66,Jogos!A:BN,58,0)</f>
        <v>33.085</v>
      </c>
      <c r="BA66" s="9">
        <f>VLOOKUP(A66,Jogos!A:BN,59,0)</f>
        <v>10.485</v>
      </c>
      <c r="BB66" s="9">
        <f>VLOOKUP(A66,Jogos!A:BN,60,0)</f>
        <v>24.5</v>
      </c>
      <c r="BC66" s="9">
        <f>VLOOKUP(A66,Jogos!A:BN,61,0)</f>
        <v>35.81</v>
      </c>
      <c r="BD66" s="9">
        <f>VLOOKUP(A66,Jogos!A:BN,62,0)</f>
        <v>1034.65</v>
      </c>
      <c r="BE66" s="9">
        <f>VLOOKUP(A66,Jogos!A:BN,63,0)</f>
        <v>1.905</v>
      </c>
      <c r="BF66" s="9">
        <f>VLOOKUP(A66,Jogos!A:BN,64,0)</f>
        <v>21.085</v>
      </c>
      <c r="BG66" s="9">
        <f>VLOOKUP(A66,Jogos!A:BN,65,0)</f>
        <v>45.615</v>
      </c>
      <c r="BH66" s="9">
        <f>VLOOKUP(A66,Jogos!A:BN,66,0)</f>
        <v>27.185</v>
      </c>
      <c r="BI66" s="9"/>
    </row>
    <row r="67" hidden="1">
      <c r="A67" s="2">
        <v>3.0</v>
      </c>
      <c r="B67" s="11" t="s">
        <v>185</v>
      </c>
      <c r="C67" s="2" t="s">
        <v>61</v>
      </c>
      <c r="D67" s="3">
        <v>45823.0</v>
      </c>
      <c r="E67" s="4">
        <v>0.5</v>
      </c>
      <c r="F67" s="5" t="str">
        <f>VLOOKUP(A67,Jogos!A:N,10,0)</f>
        <v>Afternoon</v>
      </c>
      <c r="G67" s="2" t="s">
        <v>186</v>
      </c>
      <c r="H67" s="6" t="str">
        <f>VLOOKUP(A67,Jogos!A:L,12,0)</f>
        <v>Open</v>
      </c>
      <c r="I67" s="6" t="str">
        <f>VLOOKUP(G67,'Estádios e Cidades'!A:B,2,0)</f>
        <v>Pasadena</v>
      </c>
      <c r="J67" s="2" t="s">
        <v>187</v>
      </c>
      <c r="K67" s="2" t="str">
        <f>VLOOKUP(J67,Equipes!A:F,6,0)</f>
        <v>Temperate</v>
      </c>
      <c r="L67" s="2">
        <f>VLOOKUP(J67,Equipes!A:C,3,0)</f>
        <v>2</v>
      </c>
      <c r="M67" s="2" t="str">
        <f t="shared" si="4"/>
        <v>Final</v>
      </c>
      <c r="N67" s="2" t="s">
        <v>188</v>
      </c>
      <c r="O67" s="2">
        <f>VLOOKUP(N67,Equipes!A:C,3,0)</f>
        <v>17</v>
      </c>
      <c r="P67" s="2" t="str">
        <f t="shared" si="5"/>
        <v>Group</v>
      </c>
      <c r="Q67" s="2">
        <f t="shared" si="6"/>
        <v>-15</v>
      </c>
      <c r="R67" s="2" t="str">
        <f>VLOOKUP(J67,Equipes!A:B,2,0)</f>
        <v>PSG</v>
      </c>
      <c r="S67" s="6" t="s">
        <v>203</v>
      </c>
      <c r="T67" s="7">
        <v>25.0</v>
      </c>
      <c r="U67" s="7" t="s">
        <v>204</v>
      </c>
      <c r="V67" s="7" t="str">
        <f>VLOOKUP(U67,Jogadores!B:C,2,0)</f>
        <v>DF</v>
      </c>
      <c r="W67" s="8">
        <f>VLOOKUP(U67,Jogadores!B:D,3,0)</f>
        <v>23.12328767</v>
      </c>
      <c r="X67" s="7">
        <v>0.0</v>
      </c>
      <c r="Y67" s="7">
        <v>80.0</v>
      </c>
      <c r="Z67" s="7">
        <f>VLOOKUP(A67,Jogos!A:L,3,0)</f>
        <v>48</v>
      </c>
      <c r="AA67" s="7">
        <f t="shared" si="7"/>
        <v>48</v>
      </c>
      <c r="AB67" s="7">
        <f>VLOOKUP(A67,Jogos!A:L,4,0)</f>
        <v>51</v>
      </c>
      <c r="AC67" s="7">
        <f t="shared" si="8"/>
        <v>35</v>
      </c>
      <c r="AD67" s="7"/>
      <c r="AE67" s="7"/>
      <c r="AF67" s="7">
        <f t="shared" si="9"/>
        <v>83</v>
      </c>
      <c r="AG67" s="7">
        <v>7338.9</v>
      </c>
      <c r="AH67" s="7">
        <v>3090.8</v>
      </c>
      <c r="AI67" s="7">
        <v>2868.2</v>
      </c>
      <c r="AJ67" s="7">
        <v>646.4</v>
      </c>
      <c r="AK67" s="7">
        <v>408.9</v>
      </c>
      <c r="AL67" s="7">
        <v>324.6</v>
      </c>
      <c r="AM67" s="7">
        <v>59.0</v>
      </c>
      <c r="AN67" s="7">
        <v>38.0</v>
      </c>
      <c r="AO67" s="7">
        <v>36.6</v>
      </c>
      <c r="AP67" s="9">
        <f t="shared" ref="AP67:AR67" si="212">AG67/$AF67</f>
        <v>88.42048193</v>
      </c>
      <c r="AQ67" s="9">
        <f t="shared" si="212"/>
        <v>37.23855422</v>
      </c>
      <c r="AR67" s="9">
        <f t="shared" si="212"/>
        <v>34.55662651</v>
      </c>
      <c r="AS67" s="9">
        <f t="shared" si="11"/>
        <v>71.79518072</v>
      </c>
      <c r="AT67" s="9">
        <f t="shared" ref="AT67:AV67" si="213">AJ67/$AF67</f>
        <v>7.787951807</v>
      </c>
      <c r="AU67" s="9">
        <f t="shared" si="213"/>
        <v>4.926506024</v>
      </c>
      <c r="AV67" s="9">
        <f t="shared" si="213"/>
        <v>3.910843373</v>
      </c>
      <c r="AW67" s="9">
        <f t="shared" si="13"/>
        <v>8.837349398</v>
      </c>
      <c r="AX67" s="9">
        <f t="shared" ref="AX67:AY67" si="214">AM67/$AF67</f>
        <v>0.7108433735</v>
      </c>
      <c r="AY67" s="9">
        <f t="shared" si="214"/>
        <v>0.4578313253</v>
      </c>
      <c r="AZ67" s="9">
        <f>VLOOKUP(A67,Jogos!A:BN,58,0)</f>
        <v>33.085</v>
      </c>
      <c r="BA67" s="9">
        <f>VLOOKUP(A67,Jogos!A:BN,59,0)</f>
        <v>10.485</v>
      </c>
      <c r="BB67" s="9">
        <f>VLOOKUP(A67,Jogos!A:BN,60,0)</f>
        <v>24.5</v>
      </c>
      <c r="BC67" s="9">
        <f>VLOOKUP(A67,Jogos!A:BN,61,0)</f>
        <v>35.81</v>
      </c>
      <c r="BD67" s="9">
        <f>VLOOKUP(A67,Jogos!A:BN,62,0)</f>
        <v>1034.65</v>
      </c>
      <c r="BE67" s="9">
        <f>VLOOKUP(A67,Jogos!A:BN,63,0)</f>
        <v>1.905</v>
      </c>
      <c r="BF67" s="9">
        <f>VLOOKUP(A67,Jogos!A:BN,64,0)</f>
        <v>21.085</v>
      </c>
      <c r="BG67" s="9">
        <f>VLOOKUP(A67,Jogos!A:BN,65,0)</f>
        <v>45.615</v>
      </c>
      <c r="BH67" s="9">
        <f>VLOOKUP(A67,Jogos!A:BN,66,0)</f>
        <v>27.185</v>
      </c>
      <c r="BI67" s="9"/>
    </row>
    <row r="68" hidden="1">
      <c r="A68" s="2">
        <v>3.0</v>
      </c>
      <c r="B68" s="11" t="s">
        <v>185</v>
      </c>
      <c r="C68" s="2" t="s">
        <v>61</v>
      </c>
      <c r="D68" s="3">
        <v>45823.0</v>
      </c>
      <c r="E68" s="4">
        <v>0.5</v>
      </c>
      <c r="F68" s="5" t="str">
        <f>VLOOKUP(A68,Jogos!A:N,10,0)</f>
        <v>Afternoon</v>
      </c>
      <c r="G68" s="2" t="s">
        <v>186</v>
      </c>
      <c r="H68" s="6" t="str">
        <f>VLOOKUP(A68,Jogos!A:L,12,0)</f>
        <v>Open</v>
      </c>
      <c r="I68" s="6" t="str">
        <f>VLOOKUP(G68,'Estádios e Cidades'!A:B,2,0)</f>
        <v>Pasadena</v>
      </c>
      <c r="J68" s="2" t="s">
        <v>187</v>
      </c>
      <c r="K68" s="2" t="str">
        <f>VLOOKUP(J68,Equipes!A:F,6,0)</f>
        <v>Temperate</v>
      </c>
      <c r="L68" s="2">
        <f>VLOOKUP(J68,Equipes!A:C,3,0)</f>
        <v>2</v>
      </c>
      <c r="M68" s="2" t="str">
        <f t="shared" si="4"/>
        <v>Final</v>
      </c>
      <c r="N68" s="2" t="s">
        <v>188</v>
      </c>
      <c r="O68" s="2">
        <f>VLOOKUP(N68,Equipes!A:C,3,0)</f>
        <v>17</v>
      </c>
      <c r="P68" s="2" t="str">
        <f t="shared" si="5"/>
        <v>Group</v>
      </c>
      <c r="Q68" s="2">
        <f t="shared" si="6"/>
        <v>-15</v>
      </c>
      <c r="R68" s="2" t="str">
        <f>VLOOKUP(J68,Equipes!A:B,2,0)</f>
        <v>PSG</v>
      </c>
      <c r="S68" s="6" t="s">
        <v>205</v>
      </c>
      <c r="T68" s="7">
        <v>51.0</v>
      </c>
      <c r="U68" s="7" t="s">
        <v>206</v>
      </c>
      <c r="V68" s="7" t="str">
        <f>VLOOKUP(U68,Jogadores!B:C,2,0)</f>
        <v>DF</v>
      </c>
      <c r="W68" s="8">
        <f>VLOOKUP(U68,Jogadores!B:D,3,0)</f>
        <v>23.79726027</v>
      </c>
      <c r="X68" s="7">
        <v>0.0</v>
      </c>
      <c r="Y68" s="7">
        <f t="shared" ref="Y68:Y74" si="218">45+AB68</f>
        <v>96</v>
      </c>
      <c r="Z68" s="7">
        <f>VLOOKUP(A68,Jogos!A:L,3,0)</f>
        <v>48</v>
      </c>
      <c r="AA68" s="7">
        <f t="shared" si="7"/>
        <v>48</v>
      </c>
      <c r="AB68" s="7">
        <f>VLOOKUP(A68,Jogos!A:L,4,0)</f>
        <v>51</v>
      </c>
      <c r="AC68" s="7">
        <f t="shared" si="8"/>
        <v>51</v>
      </c>
      <c r="AD68" s="7"/>
      <c r="AE68" s="7"/>
      <c r="AF68" s="7">
        <f t="shared" si="9"/>
        <v>99</v>
      </c>
      <c r="AG68" s="7">
        <v>8530.4</v>
      </c>
      <c r="AH68" s="7">
        <v>4028.6</v>
      </c>
      <c r="AI68" s="7">
        <v>3076.7</v>
      </c>
      <c r="AJ68" s="7">
        <v>856.7</v>
      </c>
      <c r="AK68" s="7">
        <v>402.1</v>
      </c>
      <c r="AL68" s="7">
        <v>166.4</v>
      </c>
      <c r="AM68" s="7">
        <v>71.0</v>
      </c>
      <c r="AN68" s="7">
        <v>31.0</v>
      </c>
      <c r="AO68" s="7">
        <v>33.4</v>
      </c>
      <c r="AP68" s="9">
        <f t="shared" ref="AP68:AR68" si="215">AG68/$AF68</f>
        <v>86.16565657</v>
      </c>
      <c r="AQ68" s="9">
        <f t="shared" si="215"/>
        <v>40.69292929</v>
      </c>
      <c r="AR68" s="9">
        <f t="shared" si="215"/>
        <v>31.07777778</v>
      </c>
      <c r="AS68" s="9">
        <f t="shared" si="11"/>
        <v>71.77070707</v>
      </c>
      <c r="AT68" s="9">
        <f t="shared" ref="AT68:AV68" si="216">AJ68/$AF68</f>
        <v>8.653535354</v>
      </c>
      <c r="AU68" s="9">
        <f t="shared" si="216"/>
        <v>4.061616162</v>
      </c>
      <c r="AV68" s="9">
        <f t="shared" si="216"/>
        <v>1.680808081</v>
      </c>
      <c r="AW68" s="9">
        <f t="shared" si="13"/>
        <v>5.742424242</v>
      </c>
      <c r="AX68" s="9">
        <f t="shared" ref="AX68:AY68" si="217">AM68/$AF68</f>
        <v>0.7171717172</v>
      </c>
      <c r="AY68" s="9">
        <f t="shared" si="217"/>
        <v>0.3131313131</v>
      </c>
      <c r="AZ68" s="9">
        <f>VLOOKUP(A68,Jogos!A:BN,58,0)</f>
        <v>33.085</v>
      </c>
      <c r="BA68" s="9">
        <f>VLOOKUP(A68,Jogos!A:BN,59,0)</f>
        <v>10.485</v>
      </c>
      <c r="BB68" s="9">
        <f>VLOOKUP(A68,Jogos!A:BN,60,0)</f>
        <v>24.5</v>
      </c>
      <c r="BC68" s="9">
        <f>VLOOKUP(A68,Jogos!A:BN,61,0)</f>
        <v>35.81</v>
      </c>
      <c r="BD68" s="9">
        <f>VLOOKUP(A68,Jogos!A:BN,62,0)</f>
        <v>1034.65</v>
      </c>
      <c r="BE68" s="9">
        <f>VLOOKUP(A68,Jogos!A:BN,63,0)</f>
        <v>1.905</v>
      </c>
      <c r="BF68" s="9">
        <f>VLOOKUP(A68,Jogos!A:BN,64,0)</f>
        <v>21.085</v>
      </c>
      <c r="BG68" s="9">
        <f>VLOOKUP(A68,Jogos!A:BN,65,0)</f>
        <v>45.615</v>
      </c>
      <c r="BH68" s="9">
        <f>VLOOKUP(A68,Jogos!A:BN,66,0)</f>
        <v>27.185</v>
      </c>
      <c r="BI68" s="9"/>
    </row>
    <row r="69" hidden="1">
      <c r="A69" s="2">
        <v>3.0</v>
      </c>
      <c r="B69" s="11" t="s">
        <v>185</v>
      </c>
      <c r="C69" s="2" t="s">
        <v>61</v>
      </c>
      <c r="D69" s="3">
        <v>45823.0</v>
      </c>
      <c r="E69" s="4">
        <v>0.5</v>
      </c>
      <c r="F69" s="5" t="str">
        <f>VLOOKUP(A69,Jogos!A:N,10,0)</f>
        <v>Afternoon</v>
      </c>
      <c r="G69" s="2" t="s">
        <v>186</v>
      </c>
      <c r="H69" s="6" t="str">
        <f>VLOOKUP(A69,Jogos!A:L,12,0)</f>
        <v>Open</v>
      </c>
      <c r="I69" s="6" t="str">
        <f>VLOOKUP(G69,'Estádios e Cidades'!A:B,2,0)</f>
        <v>Pasadena</v>
      </c>
      <c r="J69" s="2" t="s">
        <v>187</v>
      </c>
      <c r="K69" s="2" t="str">
        <f>VLOOKUP(J69,Equipes!A:F,6,0)</f>
        <v>Temperate</v>
      </c>
      <c r="L69" s="2">
        <f>VLOOKUP(J69,Equipes!A:C,3,0)</f>
        <v>2</v>
      </c>
      <c r="M69" s="2" t="str">
        <f t="shared" si="4"/>
        <v>Final</v>
      </c>
      <c r="N69" s="2" t="s">
        <v>188</v>
      </c>
      <c r="O69" s="2">
        <f>VLOOKUP(N69,Equipes!A:C,3,0)</f>
        <v>17</v>
      </c>
      <c r="P69" s="2" t="str">
        <f t="shared" si="5"/>
        <v>Group</v>
      </c>
      <c r="Q69" s="2">
        <f t="shared" si="6"/>
        <v>-15</v>
      </c>
      <c r="R69" s="2" t="str">
        <f>VLOOKUP(J69,Equipes!A:B,2,0)</f>
        <v>PSG</v>
      </c>
      <c r="S69" s="6" t="s">
        <v>207</v>
      </c>
      <c r="T69" s="7">
        <v>87.0</v>
      </c>
      <c r="U69" s="7" t="s">
        <v>208</v>
      </c>
      <c r="V69" s="7" t="str">
        <f>VLOOKUP(U69,Jogadores!B:C,2,0)</f>
        <v>MF</v>
      </c>
      <c r="W69" s="8">
        <f>VLOOKUP(U69,Jogadores!B:D,3,0)</f>
        <v>20.84657534</v>
      </c>
      <c r="X69" s="7">
        <v>0.0</v>
      </c>
      <c r="Y69" s="7">
        <f t="shared" si="218"/>
        <v>96</v>
      </c>
      <c r="Z69" s="7">
        <f>VLOOKUP(A69,Jogos!A:L,3,0)</f>
        <v>48</v>
      </c>
      <c r="AA69" s="7">
        <f t="shared" si="7"/>
        <v>48</v>
      </c>
      <c r="AB69" s="7">
        <f>VLOOKUP(A69,Jogos!A:L,4,0)</f>
        <v>51</v>
      </c>
      <c r="AC69" s="7">
        <f t="shared" si="8"/>
        <v>51</v>
      </c>
      <c r="AD69" s="7"/>
      <c r="AE69" s="7"/>
      <c r="AF69" s="7">
        <f t="shared" si="9"/>
        <v>99</v>
      </c>
      <c r="AG69" s="7">
        <v>11674.9</v>
      </c>
      <c r="AH69" s="7">
        <v>3786.8</v>
      </c>
      <c r="AI69" s="7">
        <v>5191.0</v>
      </c>
      <c r="AJ69" s="7">
        <v>1794.7</v>
      </c>
      <c r="AK69" s="7">
        <v>681.4</v>
      </c>
      <c r="AL69" s="7">
        <v>221.1</v>
      </c>
      <c r="AM69" s="7">
        <v>157.0</v>
      </c>
      <c r="AN69" s="7">
        <v>53.0</v>
      </c>
      <c r="AO69" s="7">
        <v>31.5</v>
      </c>
      <c r="AP69" s="9">
        <f t="shared" ref="AP69:AR69" si="219">AG69/$AF69</f>
        <v>117.9282828</v>
      </c>
      <c r="AQ69" s="9">
        <f t="shared" si="219"/>
        <v>38.25050505</v>
      </c>
      <c r="AR69" s="9">
        <f t="shared" si="219"/>
        <v>52.43434343</v>
      </c>
      <c r="AS69" s="9">
        <f t="shared" si="11"/>
        <v>90.68484848</v>
      </c>
      <c r="AT69" s="9">
        <f t="shared" ref="AT69:AV69" si="220">AJ69/$AF69</f>
        <v>18.12828283</v>
      </c>
      <c r="AU69" s="9">
        <f t="shared" si="220"/>
        <v>6.882828283</v>
      </c>
      <c r="AV69" s="9">
        <f t="shared" si="220"/>
        <v>2.233333333</v>
      </c>
      <c r="AW69" s="9">
        <f t="shared" si="13"/>
        <v>9.116161616</v>
      </c>
      <c r="AX69" s="9">
        <f t="shared" ref="AX69:AY69" si="221">AM69/$AF69</f>
        <v>1.585858586</v>
      </c>
      <c r="AY69" s="9">
        <f t="shared" si="221"/>
        <v>0.5353535354</v>
      </c>
      <c r="AZ69" s="9">
        <f>VLOOKUP(A69,Jogos!A:BN,58,0)</f>
        <v>33.085</v>
      </c>
      <c r="BA69" s="9">
        <f>VLOOKUP(A69,Jogos!A:BN,59,0)</f>
        <v>10.485</v>
      </c>
      <c r="BB69" s="9">
        <f>VLOOKUP(A69,Jogos!A:BN,60,0)</f>
        <v>24.5</v>
      </c>
      <c r="BC69" s="9">
        <f>VLOOKUP(A69,Jogos!A:BN,61,0)</f>
        <v>35.81</v>
      </c>
      <c r="BD69" s="9">
        <f>VLOOKUP(A69,Jogos!A:BN,62,0)</f>
        <v>1034.65</v>
      </c>
      <c r="BE69" s="9">
        <f>VLOOKUP(A69,Jogos!A:BN,63,0)</f>
        <v>1.905</v>
      </c>
      <c r="BF69" s="9">
        <f>VLOOKUP(A69,Jogos!A:BN,64,0)</f>
        <v>21.085</v>
      </c>
      <c r="BG69" s="9">
        <f>VLOOKUP(A69,Jogos!A:BN,65,0)</f>
        <v>45.615</v>
      </c>
      <c r="BH69" s="9">
        <f>VLOOKUP(A69,Jogos!A:BN,66,0)</f>
        <v>27.185</v>
      </c>
      <c r="BI69" s="9"/>
    </row>
    <row r="70" hidden="1">
      <c r="A70" s="2">
        <v>3.0</v>
      </c>
      <c r="B70" s="11" t="s">
        <v>185</v>
      </c>
      <c r="C70" s="2" t="s">
        <v>61</v>
      </c>
      <c r="D70" s="3">
        <v>45823.0</v>
      </c>
      <c r="E70" s="4">
        <v>0.5</v>
      </c>
      <c r="F70" s="5" t="str">
        <f>VLOOKUP(A70,Jogos!A:N,10,0)</f>
        <v>Afternoon</v>
      </c>
      <c r="G70" s="2" t="s">
        <v>186</v>
      </c>
      <c r="H70" s="6" t="str">
        <f>VLOOKUP(A70,Jogos!A:L,12,0)</f>
        <v>Open</v>
      </c>
      <c r="I70" s="6" t="str">
        <f>VLOOKUP(G70,'Estádios e Cidades'!A:B,2,0)</f>
        <v>Pasadena</v>
      </c>
      <c r="J70" s="2" t="s">
        <v>187</v>
      </c>
      <c r="K70" s="2" t="str">
        <f>VLOOKUP(J70,Equipes!A:F,6,0)</f>
        <v>Temperate</v>
      </c>
      <c r="L70" s="2">
        <f>VLOOKUP(J70,Equipes!A:C,3,0)</f>
        <v>2</v>
      </c>
      <c r="M70" s="2" t="str">
        <f t="shared" si="4"/>
        <v>Final</v>
      </c>
      <c r="N70" s="2" t="s">
        <v>188</v>
      </c>
      <c r="O70" s="2">
        <f>VLOOKUP(N70,Equipes!A:C,3,0)</f>
        <v>17</v>
      </c>
      <c r="P70" s="2" t="str">
        <f t="shared" si="5"/>
        <v>Group</v>
      </c>
      <c r="Q70" s="2">
        <f t="shared" si="6"/>
        <v>-15</v>
      </c>
      <c r="R70" s="2" t="str">
        <f>VLOOKUP(J70,Equipes!A:B,2,0)</f>
        <v>PSG</v>
      </c>
      <c r="S70" s="6" t="s">
        <v>209</v>
      </c>
      <c r="T70" s="7">
        <v>19.0</v>
      </c>
      <c r="U70" s="7" t="s">
        <v>210</v>
      </c>
      <c r="V70" s="7" t="str">
        <f>VLOOKUP(U70,Jogadores!B:C,2,0)</f>
        <v>MF</v>
      </c>
      <c r="W70" s="8">
        <f>VLOOKUP(U70,Jogadores!B:D,3,0)</f>
        <v>24.45205479</v>
      </c>
      <c r="X70" s="7">
        <v>72.0</v>
      </c>
      <c r="Y70" s="7">
        <f t="shared" si="218"/>
        <v>96</v>
      </c>
      <c r="Z70" s="7">
        <f>VLOOKUP(A70,Jogos!A:L,3,0)</f>
        <v>48</v>
      </c>
      <c r="AA70" s="7">
        <f t="shared" si="7"/>
        <v>0</v>
      </c>
      <c r="AB70" s="7">
        <f>VLOOKUP(A70,Jogos!A:L,4,0)</f>
        <v>51</v>
      </c>
      <c r="AC70" s="7">
        <f t="shared" si="8"/>
        <v>24</v>
      </c>
      <c r="AD70" s="7"/>
      <c r="AE70" s="7"/>
      <c r="AF70" s="7">
        <f t="shared" si="9"/>
        <v>24</v>
      </c>
      <c r="AG70" s="7">
        <v>2348.6</v>
      </c>
      <c r="AH70" s="7">
        <v>1019.3</v>
      </c>
      <c r="AI70" s="7">
        <v>787.3</v>
      </c>
      <c r="AJ70" s="7">
        <v>334.8</v>
      </c>
      <c r="AK70" s="7">
        <v>145.6</v>
      </c>
      <c r="AL70" s="7">
        <v>61.6</v>
      </c>
      <c r="AM70" s="7">
        <v>30.0</v>
      </c>
      <c r="AN70" s="7">
        <v>11.0</v>
      </c>
      <c r="AO70" s="7">
        <v>26.8</v>
      </c>
      <c r="AP70" s="9">
        <f t="shared" ref="AP70:AR70" si="222">AG70/$AF70</f>
        <v>97.85833333</v>
      </c>
      <c r="AQ70" s="9">
        <f t="shared" si="222"/>
        <v>42.47083333</v>
      </c>
      <c r="AR70" s="9">
        <f t="shared" si="222"/>
        <v>32.80416667</v>
      </c>
      <c r="AS70" s="9">
        <f t="shared" si="11"/>
        <v>75.275</v>
      </c>
      <c r="AT70" s="9">
        <f t="shared" ref="AT70:AV70" si="223">AJ70/$AF70</f>
        <v>13.95</v>
      </c>
      <c r="AU70" s="9">
        <f t="shared" si="223"/>
        <v>6.066666667</v>
      </c>
      <c r="AV70" s="9">
        <f t="shared" si="223"/>
        <v>2.566666667</v>
      </c>
      <c r="AW70" s="9">
        <f t="shared" si="13"/>
        <v>8.633333333</v>
      </c>
      <c r="AX70" s="9">
        <f t="shared" ref="AX70:AY70" si="224">AM70/$AF70</f>
        <v>1.25</v>
      </c>
      <c r="AY70" s="9">
        <f t="shared" si="224"/>
        <v>0.4583333333</v>
      </c>
      <c r="AZ70" s="9">
        <f>VLOOKUP(A70,Jogos!A:BN,58,0)</f>
        <v>33.085</v>
      </c>
      <c r="BA70" s="9">
        <f>VLOOKUP(A70,Jogos!A:BN,59,0)</f>
        <v>10.485</v>
      </c>
      <c r="BB70" s="9">
        <f>VLOOKUP(A70,Jogos!A:BN,60,0)</f>
        <v>24.5</v>
      </c>
      <c r="BC70" s="9">
        <f>VLOOKUP(A70,Jogos!A:BN,61,0)</f>
        <v>35.81</v>
      </c>
      <c r="BD70" s="9">
        <f>VLOOKUP(A70,Jogos!A:BN,62,0)</f>
        <v>1034.65</v>
      </c>
      <c r="BE70" s="9">
        <f>VLOOKUP(A70,Jogos!A:BN,63,0)</f>
        <v>1.905</v>
      </c>
      <c r="BF70" s="9">
        <f>VLOOKUP(A70,Jogos!A:BN,64,0)</f>
        <v>21.085</v>
      </c>
      <c r="BG70" s="9">
        <f>VLOOKUP(A70,Jogos!A:BN,65,0)</f>
        <v>45.615</v>
      </c>
      <c r="BH70" s="9">
        <f>VLOOKUP(A70,Jogos!A:BN,66,0)</f>
        <v>27.185</v>
      </c>
      <c r="BI70" s="9"/>
    </row>
    <row r="71" hidden="1">
      <c r="A71" s="2">
        <v>3.0</v>
      </c>
      <c r="B71" s="11" t="s">
        <v>185</v>
      </c>
      <c r="C71" s="2" t="s">
        <v>61</v>
      </c>
      <c r="D71" s="3">
        <v>45823.0</v>
      </c>
      <c r="E71" s="4">
        <v>0.5</v>
      </c>
      <c r="F71" s="5" t="str">
        <f>VLOOKUP(A71,Jogos!A:N,10,0)</f>
        <v>Afternoon</v>
      </c>
      <c r="G71" s="2" t="s">
        <v>186</v>
      </c>
      <c r="H71" s="6" t="str">
        <f>VLOOKUP(A71,Jogos!A:L,12,0)</f>
        <v>Open</v>
      </c>
      <c r="I71" s="6" t="str">
        <f>VLOOKUP(G71,'Estádios e Cidades'!A:B,2,0)</f>
        <v>Pasadena</v>
      </c>
      <c r="J71" s="2" t="s">
        <v>187</v>
      </c>
      <c r="K71" s="2" t="str">
        <f>VLOOKUP(J71,Equipes!A:F,6,0)</f>
        <v>Temperate</v>
      </c>
      <c r="L71" s="2">
        <f>VLOOKUP(J71,Equipes!A:C,3,0)</f>
        <v>2</v>
      </c>
      <c r="M71" s="2" t="str">
        <f t="shared" si="4"/>
        <v>Final</v>
      </c>
      <c r="N71" s="2" t="s">
        <v>188</v>
      </c>
      <c r="O71" s="2">
        <f>VLOOKUP(N71,Equipes!A:C,3,0)</f>
        <v>17</v>
      </c>
      <c r="P71" s="2" t="str">
        <f t="shared" si="5"/>
        <v>Group</v>
      </c>
      <c r="Q71" s="2">
        <f t="shared" si="6"/>
        <v>-15</v>
      </c>
      <c r="R71" s="2" t="str">
        <f>VLOOKUP(J71,Equipes!A:B,2,0)</f>
        <v>PSG</v>
      </c>
      <c r="S71" s="6" t="s">
        <v>211</v>
      </c>
      <c r="T71" s="7">
        <v>21.0</v>
      </c>
      <c r="U71" s="7" t="s">
        <v>212</v>
      </c>
      <c r="V71" s="7" t="str">
        <f>VLOOKUP(U71,Jogadores!B:C,2,0)</f>
        <v>DF</v>
      </c>
      <c r="W71" s="8">
        <f>VLOOKUP(U71,Jogadores!B:D,3,0)</f>
        <v>29.47123288</v>
      </c>
      <c r="X71" s="7">
        <v>80.0</v>
      </c>
      <c r="Y71" s="7">
        <f t="shared" si="218"/>
        <v>96</v>
      </c>
      <c r="Z71" s="7">
        <f>VLOOKUP(A71,Jogos!A:L,3,0)</f>
        <v>48</v>
      </c>
      <c r="AA71" s="7">
        <f t="shared" si="7"/>
        <v>0</v>
      </c>
      <c r="AB71" s="7">
        <f>VLOOKUP(A71,Jogos!A:L,4,0)</f>
        <v>51</v>
      </c>
      <c r="AC71" s="7">
        <f t="shared" si="8"/>
        <v>16</v>
      </c>
      <c r="AD71" s="7"/>
      <c r="AE71" s="7"/>
      <c r="AF71" s="7">
        <f t="shared" si="9"/>
        <v>16</v>
      </c>
      <c r="AG71" s="7">
        <v>1481.1</v>
      </c>
      <c r="AH71" s="7">
        <v>721.3</v>
      </c>
      <c r="AI71" s="7">
        <v>554.2</v>
      </c>
      <c r="AJ71" s="7">
        <v>130.1</v>
      </c>
      <c r="AK71" s="7">
        <v>36.2</v>
      </c>
      <c r="AL71" s="7">
        <v>39.3</v>
      </c>
      <c r="AM71" s="7">
        <v>16.0</v>
      </c>
      <c r="AN71" s="7">
        <v>4.0</v>
      </c>
      <c r="AO71" s="7">
        <v>30.8</v>
      </c>
      <c r="AP71" s="9">
        <f t="shared" ref="AP71:AR71" si="225">AG71/$AF71</f>
        <v>92.56875</v>
      </c>
      <c r="AQ71" s="9">
        <f t="shared" si="225"/>
        <v>45.08125</v>
      </c>
      <c r="AR71" s="9">
        <f t="shared" si="225"/>
        <v>34.6375</v>
      </c>
      <c r="AS71" s="9">
        <f t="shared" si="11"/>
        <v>79.71875</v>
      </c>
      <c r="AT71" s="9">
        <f t="shared" ref="AT71:AV71" si="226">AJ71/$AF71</f>
        <v>8.13125</v>
      </c>
      <c r="AU71" s="9">
        <f t="shared" si="226"/>
        <v>2.2625</v>
      </c>
      <c r="AV71" s="9">
        <f t="shared" si="226"/>
        <v>2.45625</v>
      </c>
      <c r="AW71" s="9">
        <f t="shared" si="13"/>
        <v>4.71875</v>
      </c>
      <c r="AX71" s="9">
        <f t="shared" ref="AX71:AY71" si="227">AM71/$AF71</f>
        <v>1</v>
      </c>
      <c r="AY71" s="9">
        <f t="shared" si="227"/>
        <v>0.25</v>
      </c>
      <c r="AZ71" s="9">
        <f>VLOOKUP(A71,Jogos!A:BN,58,0)</f>
        <v>33.085</v>
      </c>
      <c r="BA71" s="9">
        <f>VLOOKUP(A71,Jogos!A:BN,59,0)</f>
        <v>10.485</v>
      </c>
      <c r="BB71" s="9">
        <f>VLOOKUP(A71,Jogos!A:BN,60,0)</f>
        <v>24.5</v>
      </c>
      <c r="BC71" s="9">
        <f>VLOOKUP(A71,Jogos!A:BN,61,0)</f>
        <v>35.81</v>
      </c>
      <c r="BD71" s="9">
        <f>VLOOKUP(A71,Jogos!A:BN,62,0)</f>
        <v>1034.65</v>
      </c>
      <c r="BE71" s="9">
        <f>VLOOKUP(A71,Jogos!A:BN,63,0)</f>
        <v>1.905</v>
      </c>
      <c r="BF71" s="9">
        <f>VLOOKUP(A71,Jogos!A:BN,64,0)</f>
        <v>21.085</v>
      </c>
      <c r="BG71" s="9">
        <f>VLOOKUP(A71,Jogos!A:BN,65,0)</f>
        <v>45.615</v>
      </c>
      <c r="BH71" s="9">
        <f>VLOOKUP(A71,Jogos!A:BN,66,0)</f>
        <v>27.185</v>
      </c>
      <c r="BI71" s="9"/>
    </row>
    <row r="72" hidden="1">
      <c r="A72" s="2">
        <v>3.0</v>
      </c>
      <c r="B72" s="11" t="s">
        <v>185</v>
      </c>
      <c r="C72" s="2" t="s">
        <v>61</v>
      </c>
      <c r="D72" s="3">
        <v>45823.0</v>
      </c>
      <c r="E72" s="4">
        <v>0.5</v>
      </c>
      <c r="F72" s="5" t="str">
        <f>VLOOKUP(A72,Jogos!A:N,10,0)</f>
        <v>Afternoon</v>
      </c>
      <c r="G72" s="2" t="s">
        <v>186</v>
      </c>
      <c r="H72" s="6" t="str">
        <f>VLOOKUP(A72,Jogos!A:L,12,0)</f>
        <v>Open</v>
      </c>
      <c r="I72" s="6" t="str">
        <f>VLOOKUP(G72,'Estádios e Cidades'!A:B,2,0)</f>
        <v>Pasadena</v>
      </c>
      <c r="J72" s="2" t="s">
        <v>187</v>
      </c>
      <c r="K72" s="2" t="str">
        <f>VLOOKUP(J72,Equipes!A:F,6,0)</f>
        <v>Temperate</v>
      </c>
      <c r="L72" s="2">
        <f>VLOOKUP(J72,Equipes!A:C,3,0)</f>
        <v>2</v>
      </c>
      <c r="M72" s="2" t="str">
        <f t="shared" si="4"/>
        <v>Final</v>
      </c>
      <c r="N72" s="2" t="s">
        <v>188</v>
      </c>
      <c r="O72" s="2">
        <f>VLOOKUP(N72,Equipes!A:C,3,0)</f>
        <v>17</v>
      </c>
      <c r="P72" s="2" t="str">
        <f t="shared" si="5"/>
        <v>Group</v>
      </c>
      <c r="Q72" s="2">
        <f t="shared" si="6"/>
        <v>-15</v>
      </c>
      <c r="R72" s="2" t="str">
        <f>VLOOKUP(J72,Equipes!A:B,2,0)</f>
        <v>PSG</v>
      </c>
      <c r="S72" s="6" t="s">
        <v>213</v>
      </c>
      <c r="T72" s="7">
        <v>24.0</v>
      </c>
      <c r="U72" s="7" t="s">
        <v>214</v>
      </c>
      <c r="V72" s="7" t="str">
        <f>VLOOKUP(U72,Jogadores!B:C,2,0)</f>
        <v>MF</v>
      </c>
      <c r="W72" s="8">
        <f>VLOOKUP(U72,Jogadores!B:D,3,0)</f>
        <v>19.2109589</v>
      </c>
      <c r="X72" s="7">
        <v>65.0</v>
      </c>
      <c r="Y72" s="7">
        <f t="shared" si="218"/>
        <v>96</v>
      </c>
      <c r="Z72" s="7">
        <f>VLOOKUP(A72,Jogos!A:L,3,0)</f>
        <v>48</v>
      </c>
      <c r="AA72" s="7">
        <f t="shared" si="7"/>
        <v>0</v>
      </c>
      <c r="AB72" s="7">
        <f>VLOOKUP(A72,Jogos!A:L,4,0)</f>
        <v>51</v>
      </c>
      <c r="AC72" s="7">
        <f t="shared" si="8"/>
        <v>31</v>
      </c>
      <c r="AD72" s="7"/>
      <c r="AE72" s="7"/>
      <c r="AF72" s="7">
        <f t="shared" si="9"/>
        <v>31</v>
      </c>
      <c r="AG72" s="7">
        <v>3446.1</v>
      </c>
      <c r="AH72" s="7">
        <v>1262.0</v>
      </c>
      <c r="AI72" s="7">
        <v>1373.2</v>
      </c>
      <c r="AJ72" s="7">
        <v>466.4</v>
      </c>
      <c r="AK72" s="7">
        <v>259.8</v>
      </c>
      <c r="AL72" s="7">
        <v>84.8</v>
      </c>
      <c r="AM72" s="7">
        <v>43.0</v>
      </c>
      <c r="AN72" s="7">
        <v>17.0</v>
      </c>
      <c r="AO72" s="7">
        <v>30.5</v>
      </c>
      <c r="AP72" s="9">
        <f t="shared" ref="AP72:AR72" si="228">AG72/$AF72</f>
        <v>111.1645161</v>
      </c>
      <c r="AQ72" s="9">
        <f t="shared" si="228"/>
        <v>40.70967742</v>
      </c>
      <c r="AR72" s="9">
        <f t="shared" si="228"/>
        <v>44.29677419</v>
      </c>
      <c r="AS72" s="9">
        <f t="shared" si="11"/>
        <v>85.00645161</v>
      </c>
      <c r="AT72" s="9">
        <f t="shared" ref="AT72:AV72" si="229">AJ72/$AF72</f>
        <v>15.04516129</v>
      </c>
      <c r="AU72" s="9">
        <f t="shared" si="229"/>
        <v>8.380645161</v>
      </c>
      <c r="AV72" s="9">
        <f t="shared" si="229"/>
        <v>2.735483871</v>
      </c>
      <c r="AW72" s="9">
        <f t="shared" si="13"/>
        <v>11.11612903</v>
      </c>
      <c r="AX72" s="9">
        <f t="shared" ref="AX72:AY72" si="230">AM72/$AF72</f>
        <v>1.387096774</v>
      </c>
      <c r="AY72" s="9">
        <f t="shared" si="230"/>
        <v>0.5483870968</v>
      </c>
      <c r="AZ72" s="9">
        <f>VLOOKUP(A72,Jogos!A:BN,58,0)</f>
        <v>33.085</v>
      </c>
      <c r="BA72" s="9">
        <f>VLOOKUP(A72,Jogos!A:BN,59,0)</f>
        <v>10.485</v>
      </c>
      <c r="BB72" s="9">
        <f>VLOOKUP(A72,Jogos!A:BN,60,0)</f>
        <v>24.5</v>
      </c>
      <c r="BC72" s="9">
        <f>VLOOKUP(A72,Jogos!A:BN,61,0)</f>
        <v>35.81</v>
      </c>
      <c r="BD72" s="9">
        <f>VLOOKUP(A72,Jogos!A:BN,62,0)</f>
        <v>1034.65</v>
      </c>
      <c r="BE72" s="9">
        <f>VLOOKUP(A72,Jogos!A:BN,63,0)</f>
        <v>1.905</v>
      </c>
      <c r="BF72" s="9">
        <f>VLOOKUP(A72,Jogos!A:BN,64,0)</f>
        <v>21.085</v>
      </c>
      <c r="BG72" s="9">
        <f>VLOOKUP(A72,Jogos!A:BN,65,0)</f>
        <v>45.615</v>
      </c>
      <c r="BH72" s="9">
        <f>VLOOKUP(A72,Jogos!A:BN,66,0)</f>
        <v>27.185</v>
      </c>
      <c r="BI72" s="9"/>
    </row>
    <row r="73" hidden="1">
      <c r="A73" s="2">
        <v>3.0</v>
      </c>
      <c r="B73" s="11" t="s">
        <v>185</v>
      </c>
      <c r="C73" s="2" t="s">
        <v>61</v>
      </c>
      <c r="D73" s="3">
        <v>45823.0</v>
      </c>
      <c r="E73" s="4">
        <v>0.5</v>
      </c>
      <c r="F73" s="5" t="str">
        <f>VLOOKUP(A73,Jogos!A:N,10,0)</f>
        <v>Afternoon</v>
      </c>
      <c r="G73" s="2" t="s">
        <v>186</v>
      </c>
      <c r="H73" s="6" t="str">
        <f>VLOOKUP(A73,Jogos!A:L,12,0)</f>
        <v>Open</v>
      </c>
      <c r="I73" s="6" t="str">
        <f>VLOOKUP(G73,'Estádios e Cidades'!A:B,2,0)</f>
        <v>Pasadena</v>
      </c>
      <c r="J73" s="2" t="s">
        <v>187</v>
      </c>
      <c r="K73" s="2" t="str">
        <f>VLOOKUP(J73,Equipes!A:F,6,0)</f>
        <v>Temperate</v>
      </c>
      <c r="L73" s="2">
        <f>VLOOKUP(J73,Equipes!A:C,3,0)</f>
        <v>2</v>
      </c>
      <c r="M73" s="2" t="str">
        <f t="shared" si="4"/>
        <v>Final</v>
      </c>
      <c r="N73" s="2" t="s">
        <v>188</v>
      </c>
      <c r="O73" s="2">
        <f>VLOOKUP(N73,Equipes!A:C,3,0)</f>
        <v>17</v>
      </c>
      <c r="P73" s="2" t="str">
        <f t="shared" si="5"/>
        <v>Group</v>
      </c>
      <c r="Q73" s="2">
        <f t="shared" si="6"/>
        <v>-15</v>
      </c>
      <c r="R73" s="2" t="str">
        <f>VLOOKUP(J73,Equipes!A:B,2,0)</f>
        <v>PSG</v>
      </c>
      <c r="S73" s="6" t="s">
        <v>215</v>
      </c>
      <c r="T73" s="7">
        <v>33.0</v>
      </c>
      <c r="U73" s="7" t="s">
        <v>216</v>
      </c>
      <c r="V73" s="7" t="str">
        <f>VLOOKUP(U73,Jogadores!B:C,2,0)</f>
        <v>MF</v>
      </c>
      <c r="W73" s="8">
        <f>VLOOKUP(U73,Jogadores!B:D,3,0)</f>
        <v>19.40273973</v>
      </c>
      <c r="X73" s="7">
        <v>72.0</v>
      </c>
      <c r="Y73" s="7">
        <f t="shared" si="218"/>
        <v>96</v>
      </c>
      <c r="Z73" s="7">
        <f>VLOOKUP(A73,Jogos!A:L,3,0)</f>
        <v>48</v>
      </c>
      <c r="AA73" s="7">
        <f t="shared" si="7"/>
        <v>0</v>
      </c>
      <c r="AB73" s="7">
        <f>VLOOKUP(A73,Jogos!A:L,4,0)</f>
        <v>51</v>
      </c>
      <c r="AC73" s="7">
        <f t="shared" si="8"/>
        <v>24</v>
      </c>
      <c r="AD73" s="7"/>
      <c r="AE73" s="7"/>
      <c r="AF73" s="7">
        <f t="shared" si="9"/>
        <v>24</v>
      </c>
      <c r="AG73" s="7">
        <v>3037.5</v>
      </c>
      <c r="AH73" s="7">
        <v>998.8</v>
      </c>
      <c r="AI73" s="7">
        <v>1321.2</v>
      </c>
      <c r="AJ73" s="7">
        <v>561.2</v>
      </c>
      <c r="AK73" s="7">
        <v>128.7</v>
      </c>
      <c r="AL73" s="7">
        <v>27.5</v>
      </c>
      <c r="AM73" s="7">
        <v>45.0</v>
      </c>
      <c r="AN73" s="7">
        <v>8.0</v>
      </c>
      <c r="AO73" s="7">
        <v>31.7</v>
      </c>
      <c r="AP73" s="9">
        <f t="shared" ref="AP73:AR73" si="231">AG73/$AF73</f>
        <v>126.5625</v>
      </c>
      <c r="AQ73" s="9">
        <f t="shared" si="231"/>
        <v>41.61666667</v>
      </c>
      <c r="AR73" s="9">
        <f t="shared" si="231"/>
        <v>55.05</v>
      </c>
      <c r="AS73" s="9">
        <f t="shared" si="11"/>
        <v>96.66666667</v>
      </c>
      <c r="AT73" s="9">
        <f t="shared" ref="AT73:AV73" si="232">AJ73/$AF73</f>
        <v>23.38333333</v>
      </c>
      <c r="AU73" s="9">
        <f t="shared" si="232"/>
        <v>5.3625</v>
      </c>
      <c r="AV73" s="9">
        <f t="shared" si="232"/>
        <v>1.145833333</v>
      </c>
      <c r="AW73" s="9">
        <f t="shared" si="13"/>
        <v>6.508333333</v>
      </c>
      <c r="AX73" s="9">
        <f t="shared" ref="AX73:AY73" si="233">AM73/$AF73</f>
        <v>1.875</v>
      </c>
      <c r="AY73" s="9">
        <f t="shared" si="233"/>
        <v>0.3333333333</v>
      </c>
      <c r="AZ73" s="9">
        <f>VLOOKUP(A73,Jogos!A:BN,58,0)</f>
        <v>33.085</v>
      </c>
      <c r="BA73" s="9">
        <f>VLOOKUP(A73,Jogos!A:BN,59,0)</f>
        <v>10.485</v>
      </c>
      <c r="BB73" s="9">
        <f>VLOOKUP(A73,Jogos!A:BN,60,0)</f>
        <v>24.5</v>
      </c>
      <c r="BC73" s="9">
        <f>VLOOKUP(A73,Jogos!A:BN,61,0)</f>
        <v>35.81</v>
      </c>
      <c r="BD73" s="9">
        <f>VLOOKUP(A73,Jogos!A:BN,62,0)</f>
        <v>1034.65</v>
      </c>
      <c r="BE73" s="9">
        <f>VLOOKUP(A73,Jogos!A:BN,63,0)</f>
        <v>1.905</v>
      </c>
      <c r="BF73" s="9">
        <f>VLOOKUP(A73,Jogos!A:BN,64,0)</f>
        <v>21.085</v>
      </c>
      <c r="BG73" s="9">
        <f>VLOOKUP(A73,Jogos!A:BN,65,0)</f>
        <v>45.615</v>
      </c>
      <c r="BH73" s="9">
        <f>VLOOKUP(A73,Jogos!A:BN,66,0)</f>
        <v>27.185</v>
      </c>
      <c r="BI73" s="9"/>
    </row>
    <row r="74" hidden="1">
      <c r="A74" s="2">
        <v>3.0</v>
      </c>
      <c r="B74" s="11" t="s">
        <v>185</v>
      </c>
      <c r="C74" s="2" t="s">
        <v>61</v>
      </c>
      <c r="D74" s="3">
        <v>45823.0</v>
      </c>
      <c r="E74" s="4">
        <v>0.5</v>
      </c>
      <c r="F74" s="5" t="str">
        <f>VLOOKUP(A74,Jogos!A:N,10,0)</f>
        <v>Afternoon</v>
      </c>
      <c r="G74" s="2" t="s">
        <v>186</v>
      </c>
      <c r="H74" s="6" t="str">
        <f>VLOOKUP(A74,Jogos!A:L,12,0)</f>
        <v>Open</v>
      </c>
      <c r="I74" s="6" t="str">
        <f>VLOOKUP(G74,'Estádios e Cidades'!A:B,2,0)</f>
        <v>Pasadena</v>
      </c>
      <c r="J74" s="2" t="s">
        <v>187</v>
      </c>
      <c r="K74" s="2" t="str">
        <f>VLOOKUP(J74,Equipes!A:F,6,0)</f>
        <v>Temperate</v>
      </c>
      <c r="L74" s="2">
        <f>VLOOKUP(J74,Equipes!A:C,3,0)</f>
        <v>2</v>
      </c>
      <c r="M74" s="2" t="str">
        <f t="shared" si="4"/>
        <v>Final</v>
      </c>
      <c r="N74" s="2" t="s">
        <v>188</v>
      </c>
      <c r="O74" s="2">
        <f>VLOOKUP(N74,Equipes!A:C,3,0)</f>
        <v>17</v>
      </c>
      <c r="P74" s="2" t="str">
        <f t="shared" si="5"/>
        <v>Group</v>
      </c>
      <c r="Q74" s="2">
        <f t="shared" si="6"/>
        <v>-15</v>
      </c>
      <c r="R74" s="2" t="str">
        <f>VLOOKUP(J74,Equipes!A:B,2,0)</f>
        <v>PSG</v>
      </c>
      <c r="S74" s="6" t="s">
        <v>217</v>
      </c>
      <c r="T74" s="7">
        <v>49.0</v>
      </c>
      <c r="U74" s="7" t="s">
        <v>218</v>
      </c>
      <c r="V74" s="7" t="str">
        <f>VLOOKUP(U74,Jogadores!B:C,2,0)</f>
        <v>FW</v>
      </c>
      <c r="W74" s="8">
        <f>VLOOKUP(U74,Jogadores!B:D,3,0)</f>
        <v>17.52054795</v>
      </c>
      <c r="X74" s="7">
        <v>80.0</v>
      </c>
      <c r="Y74" s="7">
        <f t="shared" si="218"/>
        <v>96</v>
      </c>
      <c r="Z74" s="7">
        <f>VLOOKUP(A74,Jogos!A:L,3,0)</f>
        <v>48</v>
      </c>
      <c r="AA74" s="7">
        <f t="shared" si="7"/>
        <v>0</v>
      </c>
      <c r="AB74" s="7">
        <f>VLOOKUP(A74,Jogos!A:L,4,0)</f>
        <v>51</v>
      </c>
      <c r="AC74" s="7">
        <f t="shared" si="8"/>
        <v>16</v>
      </c>
      <c r="AD74" s="7"/>
      <c r="AE74" s="7"/>
      <c r="AF74" s="7">
        <f t="shared" si="9"/>
        <v>16</v>
      </c>
      <c r="AG74" s="7">
        <v>1502.4</v>
      </c>
      <c r="AH74" s="7">
        <v>726.3</v>
      </c>
      <c r="AI74" s="7">
        <v>483.9</v>
      </c>
      <c r="AJ74" s="7">
        <v>183.6</v>
      </c>
      <c r="AK74" s="7">
        <v>80.7</v>
      </c>
      <c r="AL74" s="7">
        <v>27.9</v>
      </c>
      <c r="AM74" s="7">
        <v>14.0</v>
      </c>
      <c r="AN74" s="7">
        <v>7.0</v>
      </c>
      <c r="AO74" s="7">
        <v>27.9</v>
      </c>
      <c r="AP74" s="9">
        <f t="shared" ref="AP74:AR74" si="234">AG74/$AF74</f>
        <v>93.9</v>
      </c>
      <c r="AQ74" s="9">
        <f t="shared" si="234"/>
        <v>45.39375</v>
      </c>
      <c r="AR74" s="9">
        <f t="shared" si="234"/>
        <v>30.24375</v>
      </c>
      <c r="AS74" s="9">
        <f t="shared" si="11"/>
        <v>75.6375</v>
      </c>
      <c r="AT74" s="9">
        <f t="shared" ref="AT74:AV74" si="235">AJ74/$AF74</f>
        <v>11.475</v>
      </c>
      <c r="AU74" s="9">
        <f t="shared" si="235"/>
        <v>5.04375</v>
      </c>
      <c r="AV74" s="9">
        <f t="shared" si="235"/>
        <v>1.74375</v>
      </c>
      <c r="AW74" s="9">
        <f t="shared" si="13"/>
        <v>6.7875</v>
      </c>
      <c r="AX74" s="9">
        <f t="shared" ref="AX74:AY74" si="236">AM74/$AF74</f>
        <v>0.875</v>
      </c>
      <c r="AY74" s="9">
        <f t="shared" si="236"/>
        <v>0.4375</v>
      </c>
      <c r="AZ74" s="9">
        <f>VLOOKUP(A74,Jogos!A:BN,58,0)</f>
        <v>33.085</v>
      </c>
      <c r="BA74" s="9">
        <f>VLOOKUP(A74,Jogos!A:BN,59,0)</f>
        <v>10.485</v>
      </c>
      <c r="BB74" s="9">
        <f>VLOOKUP(A74,Jogos!A:BN,60,0)</f>
        <v>24.5</v>
      </c>
      <c r="BC74" s="9">
        <f>VLOOKUP(A74,Jogos!A:BN,61,0)</f>
        <v>35.81</v>
      </c>
      <c r="BD74" s="9">
        <f>VLOOKUP(A74,Jogos!A:BN,62,0)</f>
        <v>1034.65</v>
      </c>
      <c r="BE74" s="9">
        <f>VLOOKUP(A74,Jogos!A:BN,63,0)</f>
        <v>1.905</v>
      </c>
      <c r="BF74" s="9">
        <f>VLOOKUP(A74,Jogos!A:BN,64,0)</f>
        <v>21.085</v>
      </c>
      <c r="BG74" s="9">
        <f>VLOOKUP(A74,Jogos!A:BN,65,0)</f>
        <v>45.615</v>
      </c>
      <c r="BH74" s="9">
        <f>VLOOKUP(A74,Jogos!A:BN,66,0)</f>
        <v>27.185</v>
      </c>
      <c r="BI74" s="9"/>
    </row>
    <row r="75" hidden="1">
      <c r="A75" s="10">
        <v>3.0</v>
      </c>
      <c r="B75" s="11" t="s">
        <v>185</v>
      </c>
      <c r="C75" s="2" t="s">
        <v>61</v>
      </c>
      <c r="D75" s="12">
        <v>45823.0</v>
      </c>
      <c r="E75" s="13">
        <v>0.5</v>
      </c>
      <c r="F75" s="5" t="str">
        <f>VLOOKUP(A75,Jogos!A:N,10,0)</f>
        <v>Afternoon</v>
      </c>
      <c r="G75" s="11" t="s">
        <v>186</v>
      </c>
      <c r="H75" s="6" t="str">
        <f>VLOOKUP(A75,Jogos!A:L,12,0)</f>
        <v>Open</v>
      </c>
      <c r="I75" s="6" t="str">
        <f>VLOOKUP(G75,'Estádios e Cidades'!A:B,2,0)</f>
        <v>Pasadena</v>
      </c>
      <c r="J75" s="11" t="s">
        <v>188</v>
      </c>
      <c r="K75" s="2" t="str">
        <f>VLOOKUP(J75,Equipes!A:F,6,0)</f>
        <v>Temperate</v>
      </c>
      <c r="L75" s="2">
        <f>VLOOKUP(J75,Equipes!A:C,3,0)</f>
        <v>17</v>
      </c>
      <c r="M75" s="2" t="str">
        <f t="shared" si="4"/>
        <v>Group</v>
      </c>
      <c r="N75" s="11" t="s">
        <v>187</v>
      </c>
      <c r="O75" s="2">
        <f>VLOOKUP(N75,Equipes!A:C,3,0)</f>
        <v>2</v>
      </c>
      <c r="P75" s="2" t="str">
        <f t="shared" si="5"/>
        <v>Final</v>
      </c>
      <c r="Q75" s="2">
        <f t="shared" si="6"/>
        <v>15</v>
      </c>
      <c r="R75" s="2" t="str">
        <f>VLOOKUP(J75,Equipes!A:B,2,0)</f>
        <v>Atletico</v>
      </c>
      <c r="S75" s="14" t="s">
        <v>219</v>
      </c>
      <c r="T75" s="7">
        <v>5.0</v>
      </c>
      <c r="U75" s="7" t="s">
        <v>220</v>
      </c>
      <c r="V75" s="7" t="str">
        <f>VLOOKUP(U75,Jogadores!B:C,2,0)</f>
        <v>MF</v>
      </c>
      <c r="W75" s="8">
        <f>VLOOKUP(U75,Jogadores!B:D,3,0)</f>
        <v>31.2</v>
      </c>
      <c r="X75" s="7">
        <v>0.0</v>
      </c>
      <c r="Y75" s="7">
        <v>62.0</v>
      </c>
      <c r="Z75" s="7">
        <f>VLOOKUP(A75,Jogos!A:L,3,0)</f>
        <v>48</v>
      </c>
      <c r="AA75" s="7">
        <f t="shared" si="7"/>
        <v>48</v>
      </c>
      <c r="AB75" s="7">
        <f>VLOOKUP(A75,Jogos!A:L,4,0)</f>
        <v>51</v>
      </c>
      <c r="AC75" s="7">
        <f t="shared" si="8"/>
        <v>17</v>
      </c>
      <c r="AD75" s="7"/>
      <c r="AE75" s="7"/>
      <c r="AF75" s="7">
        <f t="shared" si="9"/>
        <v>65</v>
      </c>
      <c r="AG75" s="7">
        <v>7154.4</v>
      </c>
      <c r="AH75" s="7">
        <v>2493.5</v>
      </c>
      <c r="AI75" s="7">
        <v>2896.4</v>
      </c>
      <c r="AJ75" s="7">
        <v>1100.0</v>
      </c>
      <c r="AK75" s="7">
        <v>554.2</v>
      </c>
      <c r="AL75" s="7">
        <v>110.3</v>
      </c>
      <c r="AM75" s="7">
        <v>92.0</v>
      </c>
      <c r="AN75" s="7">
        <v>36.0</v>
      </c>
      <c r="AO75" s="7">
        <v>29.9</v>
      </c>
      <c r="AP75" s="9">
        <f t="shared" ref="AP75:AR75" si="237">AG75/$AF75</f>
        <v>110.0676923</v>
      </c>
      <c r="AQ75" s="9">
        <f t="shared" si="237"/>
        <v>38.36153846</v>
      </c>
      <c r="AR75" s="9">
        <f t="shared" si="237"/>
        <v>44.56</v>
      </c>
      <c r="AS75" s="9">
        <f t="shared" si="11"/>
        <v>82.92153846</v>
      </c>
      <c r="AT75" s="9">
        <f t="shared" ref="AT75:AV75" si="238">AJ75/$AF75</f>
        <v>16.92307692</v>
      </c>
      <c r="AU75" s="9">
        <f t="shared" si="238"/>
        <v>8.526153846</v>
      </c>
      <c r="AV75" s="9">
        <f t="shared" si="238"/>
        <v>1.696923077</v>
      </c>
      <c r="AW75" s="9">
        <f t="shared" si="13"/>
        <v>10.22307692</v>
      </c>
      <c r="AX75" s="9">
        <f t="shared" ref="AX75:AY75" si="239">AM75/$AF75</f>
        <v>1.415384615</v>
      </c>
      <c r="AY75" s="9">
        <f t="shared" si="239"/>
        <v>0.5538461538</v>
      </c>
      <c r="AZ75" s="9">
        <f>VLOOKUP(A75,Jogos!A:BN,58,0)</f>
        <v>33.085</v>
      </c>
      <c r="BA75" s="9">
        <f>VLOOKUP(A75,Jogos!A:BN,59,0)</f>
        <v>10.485</v>
      </c>
      <c r="BB75" s="9">
        <f>VLOOKUP(A75,Jogos!A:BN,60,0)</f>
        <v>24.5</v>
      </c>
      <c r="BC75" s="9">
        <f>VLOOKUP(A75,Jogos!A:BN,61,0)</f>
        <v>35.81</v>
      </c>
      <c r="BD75" s="9">
        <f>VLOOKUP(A75,Jogos!A:BN,62,0)</f>
        <v>1034.65</v>
      </c>
      <c r="BE75" s="9">
        <f>VLOOKUP(A75,Jogos!A:BN,63,0)</f>
        <v>1.905</v>
      </c>
      <c r="BF75" s="9">
        <f>VLOOKUP(A75,Jogos!A:BN,64,0)</f>
        <v>21.085</v>
      </c>
      <c r="BG75" s="9">
        <f>VLOOKUP(A75,Jogos!A:BN,65,0)</f>
        <v>45.615</v>
      </c>
      <c r="BH75" s="9">
        <f>VLOOKUP(A75,Jogos!A:BN,66,0)</f>
        <v>27.185</v>
      </c>
      <c r="BI75" s="9"/>
    </row>
    <row r="76" hidden="1">
      <c r="A76" s="10">
        <v>3.0</v>
      </c>
      <c r="B76" s="11" t="s">
        <v>185</v>
      </c>
      <c r="C76" s="2" t="s">
        <v>61</v>
      </c>
      <c r="D76" s="12">
        <v>45823.0</v>
      </c>
      <c r="E76" s="13">
        <v>0.5</v>
      </c>
      <c r="F76" s="5" t="str">
        <f>VLOOKUP(A76,Jogos!A:N,10,0)</f>
        <v>Afternoon</v>
      </c>
      <c r="G76" s="11" t="s">
        <v>186</v>
      </c>
      <c r="H76" s="6" t="str">
        <f>VLOOKUP(A76,Jogos!A:L,12,0)</f>
        <v>Open</v>
      </c>
      <c r="I76" s="6" t="str">
        <f>VLOOKUP(G76,'Estádios e Cidades'!A:B,2,0)</f>
        <v>Pasadena</v>
      </c>
      <c r="J76" s="11" t="s">
        <v>188</v>
      </c>
      <c r="K76" s="2" t="str">
        <f>VLOOKUP(J76,Equipes!A:F,6,0)</f>
        <v>Temperate</v>
      </c>
      <c r="L76" s="2">
        <f>VLOOKUP(J76,Equipes!A:C,3,0)</f>
        <v>17</v>
      </c>
      <c r="M76" s="2" t="str">
        <f t="shared" si="4"/>
        <v>Group</v>
      </c>
      <c r="N76" s="11" t="s">
        <v>187</v>
      </c>
      <c r="O76" s="2">
        <f>VLOOKUP(N76,Equipes!A:C,3,0)</f>
        <v>2</v>
      </c>
      <c r="P76" s="2" t="str">
        <f t="shared" si="5"/>
        <v>Final</v>
      </c>
      <c r="Q76" s="2">
        <f t="shared" si="6"/>
        <v>15</v>
      </c>
      <c r="R76" s="2" t="str">
        <f>VLOOKUP(J76,Equipes!A:B,2,0)</f>
        <v>Atletico</v>
      </c>
      <c r="S76" s="6" t="s">
        <v>221</v>
      </c>
      <c r="T76" s="7">
        <v>7.0</v>
      </c>
      <c r="U76" s="7" t="s">
        <v>222</v>
      </c>
      <c r="V76" s="7" t="str">
        <f>VLOOKUP(U76,Jogadores!B:C,2,0)</f>
        <v>FW</v>
      </c>
      <c r="W76" s="8">
        <f>VLOOKUP(U76,Jogadores!B:D,3,0)</f>
        <v>34.37808219</v>
      </c>
      <c r="X76" s="7">
        <v>0.0</v>
      </c>
      <c r="Y76" s="7">
        <f>45+AB76</f>
        <v>96</v>
      </c>
      <c r="Z76" s="7">
        <f>VLOOKUP(A76,Jogos!A:L,3,0)</f>
        <v>48</v>
      </c>
      <c r="AA76" s="7">
        <f t="shared" si="7"/>
        <v>48</v>
      </c>
      <c r="AB76" s="7">
        <f>VLOOKUP(A76,Jogos!A:L,4,0)</f>
        <v>51</v>
      </c>
      <c r="AC76" s="7">
        <f t="shared" si="8"/>
        <v>51</v>
      </c>
      <c r="AD76" s="7"/>
      <c r="AE76" s="7"/>
      <c r="AF76" s="7">
        <f t="shared" si="9"/>
        <v>99</v>
      </c>
      <c r="AG76" s="7">
        <v>10803.1</v>
      </c>
      <c r="AH76" s="7">
        <v>4355.8</v>
      </c>
      <c r="AI76" s="7">
        <v>3688.3</v>
      </c>
      <c r="AJ76" s="7">
        <v>1746.8</v>
      </c>
      <c r="AK76" s="7">
        <v>812.9</v>
      </c>
      <c r="AL76" s="7">
        <v>199.1</v>
      </c>
      <c r="AM76" s="7">
        <v>149.0</v>
      </c>
      <c r="AN76" s="7">
        <v>55.0</v>
      </c>
      <c r="AO76" s="7">
        <v>29.3</v>
      </c>
      <c r="AP76" s="9">
        <f t="shared" ref="AP76:AR76" si="240">AG76/$AF76</f>
        <v>109.1222222</v>
      </c>
      <c r="AQ76" s="9">
        <f t="shared" si="240"/>
        <v>43.9979798</v>
      </c>
      <c r="AR76" s="9">
        <f t="shared" si="240"/>
        <v>37.25555556</v>
      </c>
      <c r="AS76" s="9">
        <f t="shared" si="11"/>
        <v>81.25353535</v>
      </c>
      <c r="AT76" s="9">
        <f t="shared" ref="AT76:AV76" si="241">AJ76/$AF76</f>
        <v>17.64444444</v>
      </c>
      <c r="AU76" s="9">
        <f t="shared" si="241"/>
        <v>8.211111111</v>
      </c>
      <c r="AV76" s="9">
        <f t="shared" si="241"/>
        <v>2.011111111</v>
      </c>
      <c r="AW76" s="9">
        <f t="shared" si="13"/>
        <v>10.22222222</v>
      </c>
      <c r="AX76" s="9">
        <f t="shared" ref="AX76:AY76" si="242">AM76/$AF76</f>
        <v>1.505050505</v>
      </c>
      <c r="AY76" s="9">
        <f t="shared" si="242"/>
        <v>0.5555555556</v>
      </c>
      <c r="AZ76" s="9">
        <f>VLOOKUP(A76,Jogos!A:BN,58,0)</f>
        <v>33.085</v>
      </c>
      <c r="BA76" s="9">
        <f>VLOOKUP(A76,Jogos!A:BN,59,0)</f>
        <v>10.485</v>
      </c>
      <c r="BB76" s="9">
        <f>VLOOKUP(A76,Jogos!A:BN,60,0)</f>
        <v>24.5</v>
      </c>
      <c r="BC76" s="9">
        <f>VLOOKUP(A76,Jogos!A:BN,61,0)</f>
        <v>35.81</v>
      </c>
      <c r="BD76" s="9">
        <f>VLOOKUP(A76,Jogos!A:BN,62,0)</f>
        <v>1034.65</v>
      </c>
      <c r="BE76" s="9">
        <f>VLOOKUP(A76,Jogos!A:BN,63,0)</f>
        <v>1.905</v>
      </c>
      <c r="BF76" s="9">
        <f>VLOOKUP(A76,Jogos!A:BN,64,0)</f>
        <v>21.085</v>
      </c>
      <c r="BG76" s="9">
        <f>VLOOKUP(A76,Jogos!A:BN,65,0)</f>
        <v>45.615</v>
      </c>
      <c r="BH76" s="9">
        <f>VLOOKUP(A76,Jogos!A:BN,66,0)</f>
        <v>27.185</v>
      </c>
      <c r="BI76" s="9"/>
    </row>
    <row r="77" hidden="1">
      <c r="A77" s="10">
        <v>3.0</v>
      </c>
      <c r="B77" s="11" t="s">
        <v>185</v>
      </c>
      <c r="C77" s="2" t="s">
        <v>61</v>
      </c>
      <c r="D77" s="12">
        <v>45823.0</v>
      </c>
      <c r="E77" s="13">
        <v>0.5</v>
      </c>
      <c r="F77" s="5" t="str">
        <f>VLOOKUP(A77,Jogos!A:N,10,0)</f>
        <v>Afternoon</v>
      </c>
      <c r="G77" s="11" t="s">
        <v>186</v>
      </c>
      <c r="H77" s="6" t="str">
        <f>VLOOKUP(A77,Jogos!A:L,12,0)</f>
        <v>Open</v>
      </c>
      <c r="I77" s="6" t="str">
        <f>VLOOKUP(G77,'Estádios e Cidades'!A:B,2,0)</f>
        <v>Pasadena</v>
      </c>
      <c r="J77" s="11" t="s">
        <v>188</v>
      </c>
      <c r="K77" s="2" t="str">
        <f>VLOOKUP(J77,Equipes!A:F,6,0)</f>
        <v>Temperate</v>
      </c>
      <c r="L77" s="2">
        <f>VLOOKUP(J77,Equipes!A:C,3,0)</f>
        <v>17</v>
      </c>
      <c r="M77" s="2" t="str">
        <f t="shared" si="4"/>
        <v>Group</v>
      </c>
      <c r="N77" s="11" t="s">
        <v>187</v>
      </c>
      <c r="O77" s="2">
        <f>VLOOKUP(N77,Equipes!A:C,3,0)</f>
        <v>2</v>
      </c>
      <c r="P77" s="2" t="str">
        <f t="shared" si="5"/>
        <v>Final</v>
      </c>
      <c r="Q77" s="2">
        <f t="shared" si="6"/>
        <v>15</v>
      </c>
      <c r="R77" s="2" t="str">
        <f>VLOOKUP(J77,Equipes!A:B,2,0)</f>
        <v>Atletico</v>
      </c>
      <c r="S77" s="6" t="s">
        <v>223</v>
      </c>
      <c r="T77" s="7">
        <v>8.0</v>
      </c>
      <c r="U77" s="7" t="s">
        <v>224</v>
      </c>
      <c r="V77" s="7" t="str">
        <f>VLOOKUP(U77,Jogadores!B:C,2,0)</f>
        <v>MF</v>
      </c>
      <c r="W77" s="8">
        <f>VLOOKUP(U77,Jogadores!B:D,3,0)</f>
        <v>22.13424658</v>
      </c>
      <c r="X77" s="7">
        <v>0.0</v>
      </c>
      <c r="Y77" s="7">
        <v>70.0</v>
      </c>
      <c r="Z77" s="7">
        <f>VLOOKUP(A77,Jogos!A:L,3,0)</f>
        <v>48</v>
      </c>
      <c r="AA77" s="7">
        <f t="shared" si="7"/>
        <v>48</v>
      </c>
      <c r="AB77" s="7">
        <f>VLOOKUP(A77,Jogos!A:L,4,0)</f>
        <v>51</v>
      </c>
      <c r="AC77" s="7">
        <f t="shared" si="8"/>
        <v>25</v>
      </c>
      <c r="AD77" s="7"/>
      <c r="AE77" s="7"/>
      <c r="AF77" s="7">
        <f t="shared" si="9"/>
        <v>73</v>
      </c>
      <c r="AG77" s="7">
        <v>8710.9</v>
      </c>
      <c r="AH77" s="7">
        <v>2739.6</v>
      </c>
      <c r="AI77" s="7">
        <v>3759.5</v>
      </c>
      <c r="AJ77" s="7">
        <v>1460.1</v>
      </c>
      <c r="AK77" s="7">
        <v>567.2</v>
      </c>
      <c r="AL77" s="7">
        <v>184.6</v>
      </c>
      <c r="AM77" s="7">
        <v>125.0</v>
      </c>
      <c r="AN77" s="7">
        <v>41.0</v>
      </c>
      <c r="AO77" s="7">
        <v>33.3</v>
      </c>
      <c r="AP77" s="9">
        <f t="shared" ref="AP77:AR77" si="243">AG77/$AF77</f>
        <v>119.3273973</v>
      </c>
      <c r="AQ77" s="9">
        <f t="shared" si="243"/>
        <v>37.52876712</v>
      </c>
      <c r="AR77" s="9">
        <f t="shared" si="243"/>
        <v>51.5</v>
      </c>
      <c r="AS77" s="9">
        <f t="shared" si="11"/>
        <v>89.02876712</v>
      </c>
      <c r="AT77" s="9">
        <f t="shared" ref="AT77:AV77" si="244">AJ77/$AF77</f>
        <v>20.00136986</v>
      </c>
      <c r="AU77" s="9">
        <f t="shared" si="244"/>
        <v>7.769863014</v>
      </c>
      <c r="AV77" s="9">
        <f t="shared" si="244"/>
        <v>2.528767123</v>
      </c>
      <c r="AW77" s="9">
        <f t="shared" si="13"/>
        <v>10.29863014</v>
      </c>
      <c r="AX77" s="9">
        <f t="shared" ref="AX77:AY77" si="245">AM77/$AF77</f>
        <v>1.712328767</v>
      </c>
      <c r="AY77" s="9">
        <f t="shared" si="245"/>
        <v>0.5616438356</v>
      </c>
      <c r="AZ77" s="9">
        <f>VLOOKUP(A77,Jogos!A:BN,58,0)</f>
        <v>33.085</v>
      </c>
      <c r="BA77" s="9">
        <f>VLOOKUP(A77,Jogos!A:BN,59,0)</f>
        <v>10.485</v>
      </c>
      <c r="BB77" s="9">
        <f>VLOOKUP(A77,Jogos!A:BN,60,0)</f>
        <v>24.5</v>
      </c>
      <c r="BC77" s="9">
        <f>VLOOKUP(A77,Jogos!A:BN,61,0)</f>
        <v>35.81</v>
      </c>
      <c r="BD77" s="9">
        <f>VLOOKUP(A77,Jogos!A:BN,62,0)</f>
        <v>1034.65</v>
      </c>
      <c r="BE77" s="9">
        <f>VLOOKUP(A77,Jogos!A:BN,63,0)</f>
        <v>1.905</v>
      </c>
      <c r="BF77" s="9">
        <f>VLOOKUP(A77,Jogos!A:BN,64,0)</f>
        <v>21.085</v>
      </c>
      <c r="BG77" s="9">
        <f>VLOOKUP(A77,Jogos!A:BN,65,0)</f>
        <v>45.615</v>
      </c>
      <c r="BH77" s="9">
        <f>VLOOKUP(A77,Jogos!A:BN,66,0)</f>
        <v>27.185</v>
      </c>
      <c r="BI77" s="9"/>
    </row>
    <row r="78" hidden="1">
      <c r="A78" s="10">
        <v>3.0</v>
      </c>
      <c r="B78" s="11" t="s">
        <v>185</v>
      </c>
      <c r="C78" s="2" t="s">
        <v>61</v>
      </c>
      <c r="D78" s="12">
        <v>45823.0</v>
      </c>
      <c r="E78" s="13">
        <v>0.5</v>
      </c>
      <c r="F78" s="5" t="str">
        <f>VLOOKUP(A78,Jogos!A:N,10,0)</f>
        <v>Afternoon</v>
      </c>
      <c r="G78" s="11" t="s">
        <v>186</v>
      </c>
      <c r="H78" s="6" t="str">
        <f>VLOOKUP(A78,Jogos!A:L,12,0)</f>
        <v>Open</v>
      </c>
      <c r="I78" s="6" t="str">
        <f>VLOOKUP(G78,'Estádios e Cidades'!A:B,2,0)</f>
        <v>Pasadena</v>
      </c>
      <c r="J78" s="11" t="s">
        <v>188</v>
      </c>
      <c r="K78" s="2" t="str">
        <f>VLOOKUP(J78,Equipes!A:F,6,0)</f>
        <v>Temperate</v>
      </c>
      <c r="L78" s="2">
        <f>VLOOKUP(J78,Equipes!A:C,3,0)</f>
        <v>17</v>
      </c>
      <c r="M78" s="2" t="str">
        <f t="shared" si="4"/>
        <v>Group</v>
      </c>
      <c r="N78" s="11" t="s">
        <v>187</v>
      </c>
      <c r="O78" s="2">
        <f>VLOOKUP(N78,Equipes!A:C,3,0)</f>
        <v>2</v>
      </c>
      <c r="P78" s="2" t="str">
        <f t="shared" si="5"/>
        <v>Final</v>
      </c>
      <c r="Q78" s="2">
        <f t="shared" si="6"/>
        <v>15</v>
      </c>
      <c r="R78" s="2" t="str">
        <f>VLOOKUP(J78,Equipes!A:B,2,0)</f>
        <v>Atletico</v>
      </c>
      <c r="S78" s="6" t="s">
        <v>225</v>
      </c>
      <c r="T78" s="7">
        <v>12.0</v>
      </c>
      <c r="U78" s="7" t="s">
        <v>226</v>
      </c>
      <c r="V78" s="7" t="str">
        <f>VLOOKUP(U78,Jogadores!B:C,2,0)</f>
        <v>MF</v>
      </c>
      <c r="W78" s="8">
        <f>VLOOKUP(U78,Jogadores!B:D,3,0)</f>
        <v>25.61369863</v>
      </c>
      <c r="X78" s="7">
        <v>0.0</v>
      </c>
      <c r="Y78" s="7">
        <v>45.0</v>
      </c>
      <c r="Z78" s="7">
        <f>VLOOKUP(A78,Jogos!A:L,3,0)</f>
        <v>48</v>
      </c>
      <c r="AA78" s="7">
        <f t="shared" si="7"/>
        <v>48</v>
      </c>
      <c r="AB78" s="7">
        <f>VLOOKUP(A78,Jogos!A:L,4,0)</f>
        <v>51</v>
      </c>
      <c r="AC78" s="7">
        <f t="shared" si="8"/>
        <v>0</v>
      </c>
      <c r="AD78" s="7"/>
      <c r="AE78" s="7"/>
      <c r="AF78" s="7">
        <f t="shared" si="9"/>
        <v>48</v>
      </c>
      <c r="AG78" s="7">
        <v>5486.2</v>
      </c>
      <c r="AH78" s="7">
        <v>1905.1</v>
      </c>
      <c r="AI78" s="7">
        <v>2060.2</v>
      </c>
      <c r="AJ78" s="7">
        <v>879.6</v>
      </c>
      <c r="AK78" s="7">
        <v>423.8</v>
      </c>
      <c r="AL78" s="7">
        <v>217.6</v>
      </c>
      <c r="AM78" s="7">
        <v>67.0</v>
      </c>
      <c r="AN78" s="7">
        <v>37.0</v>
      </c>
      <c r="AO78" s="7">
        <v>30.8</v>
      </c>
      <c r="AP78" s="9">
        <f t="shared" ref="AP78:AR78" si="246">AG78/$AF78</f>
        <v>114.2958333</v>
      </c>
      <c r="AQ78" s="9">
        <f t="shared" si="246"/>
        <v>39.68958333</v>
      </c>
      <c r="AR78" s="9">
        <f t="shared" si="246"/>
        <v>42.92083333</v>
      </c>
      <c r="AS78" s="9">
        <f t="shared" si="11"/>
        <v>82.61041667</v>
      </c>
      <c r="AT78" s="9">
        <f t="shared" ref="AT78:AV78" si="247">AJ78/$AF78</f>
        <v>18.325</v>
      </c>
      <c r="AU78" s="9">
        <f t="shared" si="247"/>
        <v>8.829166667</v>
      </c>
      <c r="AV78" s="9">
        <f t="shared" si="247"/>
        <v>4.533333333</v>
      </c>
      <c r="AW78" s="9">
        <f t="shared" si="13"/>
        <v>13.3625</v>
      </c>
      <c r="AX78" s="9">
        <f t="shared" ref="AX78:AY78" si="248">AM78/$AF78</f>
        <v>1.395833333</v>
      </c>
      <c r="AY78" s="9">
        <f t="shared" si="248"/>
        <v>0.7708333333</v>
      </c>
      <c r="AZ78" s="9">
        <f>VLOOKUP(A78,Jogos!A:BN,58,0)</f>
        <v>33.085</v>
      </c>
      <c r="BA78" s="9">
        <f>VLOOKUP(A78,Jogos!A:BN,59,0)</f>
        <v>10.485</v>
      </c>
      <c r="BB78" s="9">
        <f>VLOOKUP(A78,Jogos!A:BN,60,0)</f>
        <v>24.5</v>
      </c>
      <c r="BC78" s="9">
        <f>VLOOKUP(A78,Jogos!A:BN,61,0)</f>
        <v>35.81</v>
      </c>
      <c r="BD78" s="9">
        <f>VLOOKUP(A78,Jogos!A:BN,62,0)</f>
        <v>1034.65</v>
      </c>
      <c r="BE78" s="9">
        <f>VLOOKUP(A78,Jogos!A:BN,63,0)</f>
        <v>1.905</v>
      </c>
      <c r="BF78" s="9">
        <f>VLOOKUP(A78,Jogos!A:BN,64,0)</f>
        <v>21.085</v>
      </c>
      <c r="BG78" s="9">
        <f>VLOOKUP(A78,Jogos!A:BN,65,0)</f>
        <v>45.615</v>
      </c>
      <c r="BH78" s="9">
        <f>VLOOKUP(A78,Jogos!A:BN,66,0)</f>
        <v>27.185</v>
      </c>
      <c r="BI78" s="9"/>
    </row>
    <row r="79" hidden="1">
      <c r="A79" s="10">
        <v>3.0</v>
      </c>
      <c r="B79" s="11" t="s">
        <v>185</v>
      </c>
      <c r="C79" s="2" t="s">
        <v>61</v>
      </c>
      <c r="D79" s="12">
        <v>45823.0</v>
      </c>
      <c r="E79" s="13">
        <v>0.5</v>
      </c>
      <c r="F79" s="5" t="str">
        <f>VLOOKUP(A79,Jogos!A:N,10,0)</f>
        <v>Afternoon</v>
      </c>
      <c r="G79" s="11" t="s">
        <v>186</v>
      </c>
      <c r="H79" s="6" t="str">
        <f>VLOOKUP(A79,Jogos!A:L,12,0)</f>
        <v>Open</v>
      </c>
      <c r="I79" s="6" t="str">
        <f>VLOOKUP(G79,'Estádios e Cidades'!A:B,2,0)</f>
        <v>Pasadena</v>
      </c>
      <c r="J79" s="11" t="s">
        <v>188</v>
      </c>
      <c r="K79" s="2" t="str">
        <f>VLOOKUP(J79,Equipes!A:F,6,0)</f>
        <v>Temperate</v>
      </c>
      <c r="L79" s="2">
        <f>VLOOKUP(J79,Equipes!A:C,3,0)</f>
        <v>17</v>
      </c>
      <c r="M79" s="2" t="str">
        <f t="shared" si="4"/>
        <v>Group</v>
      </c>
      <c r="N79" s="11" t="s">
        <v>187</v>
      </c>
      <c r="O79" s="2">
        <f>VLOOKUP(N79,Equipes!A:C,3,0)</f>
        <v>2</v>
      </c>
      <c r="P79" s="2" t="str">
        <f t="shared" si="5"/>
        <v>Final</v>
      </c>
      <c r="Q79" s="2">
        <f t="shared" si="6"/>
        <v>15</v>
      </c>
      <c r="R79" s="2" t="str">
        <f>VLOOKUP(J79,Equipes!A:B,2,0)</f>
        <v>Atletico</v>
      </c>
      <c r="S79" s="6" t="s">
        <v>227</v>
      </c>
      <c r="T79" s="7">
        <v>14.0</v>
      </c>
      <c r="U79" s="7" t="s">
        <v>228</v>
      </c>
      <c r="V79" s="7" t="str">
        <f>VLOOKUP(U79,Jogadores!B:C,2,0)</f>
        <v>MF</v>
      </c>
      <c r="W79" s="8">
        <f>VLOOKUP(U79,Jogadores!B:D,3,0)</f>
        <v>30.51232877</v>
      </c>
      <c r="X79" s="7">
        <v>0.0</v>
      </c>
      <c r="Y79" s="7">
        <f t="shared" ref="Y79:Y81" si="252">45+AB79</f>
        <v>96</v>
      </c>
      <c r="Z79" s="7">
        <f>VLOOKUP(A79,Jogos!A:L,3,0)</f>
        <v>48</v>
      </c>
      <c r="AA79" s="7">
        <f t="shared" si="7"/>
        <v>48</v>
      </c>
      <c r="AB79" s="7">
        <f>VLOOKUP(A79,Jogos!A:L,4,0)</f>
        <v>51</v>
      </c>
      <c r="AC79" s="7">
        <f t="shared" si="8"/>
        <v>51</v>
      </c>
      <c r="AD79" s="7"/>
      <c r="AE79" s="7"/>
      <c r="AF79" s="7">
        <f t="shared" si="9"/>
        <v>99</v>
      </c>
      <c r="AG79" s="7">
        <v>10017.6</v>
      </c>
      <c r="AH79" s="7">
        <v>4126.3</v>
      </c>
      <c r="AI79" s="7">
        <v>3715.8</v>
      </c>
      <c r="AJ79" s="7">
        <v>1276.5</v>
      </c>
      <c r="AK79" s="7">
        <v>563.2</v>
      </c>
      <c r="AL79" s="7">
        <v>335.8</v>
      </c>
      <c r="AM79" s="7">
        <v>116.0</v>
      </c>
      <c r="AN79" s="7">
        <v>47.0</v>
      </c>
      <c r="AO79" s="7">
        <v>34.0</v>
      </c>
      <c r="AP79" s="9">
        <f t="shared" ref="AP79:AR79" si="249">AG79/$AF79</f>
        <v>101.1878788</v>
      </c>
      <c r="AQ79" s="9">
        <f t="shared" si="249"/>
        <v>41.67979798</v>
      </c>
      <c r="AR79" s="9">
        <f t="shared" si="249"/>
        <v>37.53333333</v>
      </c>
      <c r="AS79" s="9">
        <f t="shared" si="11"/>
        <v>79.21313131</v>
      </c>
      <c r="AT79" s="9">
        <f t="shared" ref="AT79:AV79" si="250">AJ79/$AF79</f>
        <v>12.89393939</v>
      </c>
      <c r="AU79" s="9">
        <f t="shared" si="250"/>
        <v>5.688888889</v>
      </c>
      <c r="AV79" s="9">
        <f t="shared" si="250"/>
        <v>3.391919192</v>
      </c>
      <c r="AW79" s="9">
        <f t="shared" si="13"/>
        <v>9.080808081</v>
      </c>
      <c r="AX79" s="9">
        <f t="shared" ref="AX79:AY79" si="251">AM79/$AF79</f>
        <v>1.171717172</v>
      </c>
      <c r="AY79" s="9">
        <f t="shared" si="251"/>
        <v>0.4747474747</v>
      </c>
      <c r="AZ79" s="9">
        <f>VLOOKUP(A79,Jogos!A:BN,58,0)</f>
        <v>33.085</v>
      </c>
      <c r="BA79" s="9">
        <f>VLOOKUP(A79,Jogos!A:BN,59,0)</f>
        <v>10.485</v>
      </c>
      <c r="BB79" s="9">
        <f>VLOOKUP(A79,Jogos!A:BN,60,0)</f>
        <v>24.5</v>
      </c>
      <c r="BC79" s="9">
        <f>VLOOKUP(A79,Jogos!A:BN,61,0)</f>
        <v>35.81</v>
      </c>
      <c r="BD79" s="9">
        <f>VLOOKUP(A79,Jogos!A:BN,62,0)</f>
        <v>1034.65</v>
      </c>
      <c r="BE79" s="9">
        <f>VLOOKUP(A79,Jogos!A:BN,63,0)</f>
        <v>1.905</v>
      </c>
      <c r="BF79" s="9">
        <f>VLOOKUP(A79,Jogos!A:BN,64,0)</f>
        <v>21.085</v>
      </c>
      <c r="BG79" s="9">
        <f>VLOOKUP(A79,Jogos!A:BN,65,0)</f>
        <v>45.615</v>
      </c>
      <c r="BH79" s="9">
        <f>VLOOKUP(A79,Jogos!A:BN,66,0)</f>
        <v>27.185</v>
      </c>
      <c r="BI79" s="9"/>
    </row>
    <row r="80" hidden="1">
      <c r="A80" s="10">
        <v>3.0</v>
      </c>
      <c r="B80" s="11" t="s">
        <v>185</v>
      </c>
      <c r="C80" s="2" t="s">
        <v>61</v>
      </c>
      <c r="D80" s="12">
        <v>45823.0</v>
      </c>
      <c r="E80" s="13">
        <v>0.5</v>
      </c>
      <c r="F80" s="5" t="str">
        <f>VLOOKUP(A80,Jogos!A:N,10,0)</f>
        <v>Afternoon</v>
      </c>
      <c r="G80" s="11" t="s">
        <v>186</v>
      </c>
      <c r="H80" s="6" t="str">
        <f>VLOOKUP(A80,Jogos!A:L,12,0)</f>
        <v>Open</v>
      </c>
      <c r="I80" s="6" t="str">
        <f>VLOOKUP(G80,'Estádios e Cidades'!A:B,2,0)</f>
        <v>Pasadena</v>
      </c>
      <c r="J80" s="11" t="s">
        <v>188</v>
      </c>
      <c r="K80" s="2" t="str">
        <f>VLOOKUP(J80,Equipes!A:F,6,0)</f>
        <v>Temperate</v>
      </c>
      <c r="L80" s="2">
        <f>VLOOKUP(J80,Equipes!A:C,3,0)</f>
        <v>17</v>
      </c>
      <c r="M80" s="2" t="str">
        <f t="shared" si="4"/>
        <v>Group</v>
      </c>
      <c r="N80" s="11" t="s">
        <v>187</v>
      </c>
      <c r="O80" s="2">
        <f>VLOOKUP(N80,Equipes!A:C,3,0)</f>
        <v>2</v>
      </c>
      <c r="P80" s="2" t="str">
        <f t="shared" si="5"/>
        <v>Final</v>
      </c>
      <c r="Q80" s="2">
        <f t="shared" si="6"/>
        <v>15</v>
      </c>
      <c r="R80" s="2" t="str">
        <f>VLOOKUP(J80,Equipes!A:B,2,0)</f>
        <v>Atletico</v>
      </c>
      <c r="S80" s="6" t="s">
        <v>229</v>
      </c>
      <c r="T80" s="7">
        <v>15.0</v>
      </c>
      <c r="U80" s="7" t="s">
        <v>230</v>
      </c>
      <c r="V80" s="7" t="str">
        <f>VLOOKUP(U80,Jogadores!B:C,2,0)</f>
        <v>DF</v>
      </c>
      <c r="W80" s="8">
        <f>VLOOKUP(U80,Jogadores!B:D,3,0)</f>
        <v>30.13424658</v>
      </c>
      <c r="X80" s="7">
        <v>0.0</v>
      </c>
      <c r="Y80" s="7">
        <f t="shared" si="252"/>
        <v>96</v>
      </c>
      <c r="Z80" s="7">
        <f>VLOOKUP(A80,Jogos!A:L,3,0)</f>
        <v>48</v>
      </c>
      <c r="AA80" s="7">
        <f t="shared" si="7"/>
        <v>48</v>
      </c>
      <c r="AB80" s="7">
        <f>VLOOKUP(A80,Jogos!A:L,4,0)</f>
        <v>51</v>
      </c>
      <c r="AC80" s="7">
        <f t="shared" si="8"/>
        <v>51</v>
      </c>
      <c r="AD80" s="7"/>
      <c r="AE80" s="7"/>
      <c r="AF80" s="7">
        <f t="shared" si="9"/>
        <v>99</v>
      </c>
      <c r="AG80" s="7">
        <v>8328.0</v>
      </c>
      <c r="AH80" s="7">
        <v>3019.0</v>
      </c>
      <c r="AI80" s="7">
        <v>3633.5</v>
      </c>
      <c r="AJ80" s="7">
        <v>1234.0</v>
      </c>
      <c r="AK80" s="7">
        <v>353.3</v>
      </c>
      <c r="AL80" s="7">
        <v>88.2</v>
      </c>
      <c r="AM80" s="7">
        <v>109.0</v>
      </c>
      <c r="AN80" s="7">
        <v>28.0</v>
      </c>
      <c r="AO80" s="7">
        <v>30.6</v>
      </c>
      <c r="AP80" s="9">
        <f t="shared" ref="AP80:AR80" si="253">AG80/$AF80</f>
        <v>84.12121212</v>
      </c>
      <c r="AQ80" s="9">
        <f t="shared" si="253"/>
        <v>30.49494949</v>
      </c>
      <c r="AR80" s="9">
        <f t="shared" si="253"/>
        <v>36.7020202</v>
      </c>
      <c r="AS80" s="9">
        <f t="shared" si="11"/>
        <v>67.1969697</v>
      </c>
      <c r="AT80" s="9">
        <f t="shared" ref="AT80:AV80" si="254">AJ80/$AF80</f>
        <v>12.46464646</v>
      </c>
      <c r="AU80" s="9">
        <f t="shared" si="254"/>
        <v>3.568686869</v>
      </c>
      <c r="AV80" s="9">
        <f t="shared" si="254"/>
        <v>0.8909090909</v>
      </c>
      <c r="AW80" s="9">
        <f t="shared" si="13"/>
        <v>4.45959596</v>
      </c>
      <c r="AX80" s="9">
        <f t="shared" ref="AX80:AY80" si="255">AM80/$AF80</f>
        <v>1.101010101</v>
      </c>
      <c r="AY80" s="9">
        <f t="shared" si="255"/>
        <v>0.2828282828</v>
      </c>
      <c r="AZ80" s="9">
        <f>VLOOKUP(A80,Jogos!A:BN,58,0)</f>
        <v>33.085</v>
      </c>
      <c r="BA80" s="9">
        <f>VLOOKUP(A80,Jogos!A:BN,59,0)</f>
        <v>10.485</v>
      </c>
      <c r="BB80" s="9">
        <f>VLOOKUP(A80,Jogos!A:BN,60,0)</f>
        <v>24.5</v>
      </c>
      <c r="BC80" s="9">
        <f>VLOOKUP(A80,Jogos!A:BN,61,0)</f>
        <v>35.81</v>
      </c>
      <c r="BD80" s="9">
        <f>VLOOKUP(A80,Jogos!A:BN,62,0)</f>
        <v>1034.65</v>
      </c>
      <c r="BE80" s="9">
        <f>VLOOKUP(A80,Jogos!A:BN,63,0)</f>
        <v>1.905</v>
      </c>
      <c r="BF80" s="9">
        <f>VLOOKUP(A80,Jogos!A:BN,64,0)</f>
        <v>21.085</v>
      </c>
      <c r="BG80" s="9">
        <f>VLOOKUP(A80,Jogos!A:BN,65,0)</f>
        <v>45.615</v>
      </c>
      <c r="BH80" s="9">
        <f>VLOOKUP(A80,Jogos!A:BN,66,0)</f>
        <v>27.185</v>
      </c>
      <c r="BI80" s="9"/>
    </row>
    <row r="81" hidden="1">
      <c r="A81" s="10">
        <v>3.0</v>
      </c>
      <c r="B81" s="11" t="s">
        <v>185</v>
      </c>
      <c r="C81" s="2" t="s">
        <v>61</v>
      </c>
      <c r="D81" s="12">
        <v>45823.0</v>
      </c>
      <c r="E81" s="13">
        <v>0.5</v>
      </c>
      <c r="F81" s="5" t="str">
        <f>VLOOKUP(A81,Jogos!A:N,10,0)</f>
        <v>Afternoon</v>
      </c>
      <c r="G81" s="11" t="s">
        <v>186</v>
      </c>
      <c r="H81" s="6" t="str">
        <f>VLOOKUP(A81,Jogos!A:L,12,0)</f>
        <v>Open</v>
      </c>
      <c r="I81" s="6" t="str">
        <f>VLOOKUP(G81,'Estádios e Cidades'!A:B,2,0)</f>
        <v>Pasadena</v>
      </c>
      <c r="J81" s="11" t="s">
        <v>188</v>
      </c>
      <c r="K81" s="2" t="str">
        <f>VLOOKUP(J81,Equipes!A:F,6,0)</f>
        <v>Temperate</v>
      </c>
      <c r="L81" s="2">
        <f>VLOOKUP(J81,Equipes!A:C,3,0)</f>
        <v>17</v>
      </c>
      <c r="M81" s="2" t="str">
        <f t="shared" si="4"/>
        <v>Group</v>
      </c>
      <c r="N81" s="11" t="s">
        <v>187</v>
      </c>
      <c r="O81" s="2">
        <f>VLOOKUP(N81,Equipes!A:C,3,0)</f>
        <v>2</v>
      </c>
      <c r="P81" s="2" t="str">
        <f t="shared" si="5"/>
        <v>Final</v>
      </c>
      <c r="Q81" s="2">
        <f t="shared" si="6"/>
        <v>15</v>
      </c>
      <c r="R81" s="2" t="str">
        <f>VLOOKUP(J81,Equipes!A:B,2,0)</f>
        <v>Atletico</v>
      </c>
      <c r="S81" s="6" t="s">
        <v>231</v>
      </c>
      <c r="T81" s="7">
        <v>19.0</v>
      </c>
      <c r="U81" s="7" t="s">
        <v>232</v>
      </c>
      <c r="V81" s="7" t="str">
        <f>VLOOKUP(U81,Jogadores!B:C,2,0)</f>
        <v>FW</v>
      </c>
      <c r="W81" s="8">
        <f>VLOOKUP(U81,Jogadores!B:D,3,0)</f>
        <v>25.50684932</v>
      </c>
      <c r="X81" s="7">
        <v>0.0</v>
      </c>
      <c r="Y81" s="7">
        <f t="shared" si="252"/>
        <v>96</v>
      </c>
      <c r="Z81" s="7">
        <f>VLOOKUP(A81,Jogos!A:L,3,0)</f>
        <v>48</v>
      </c>
      <c r="AA81" s="7">
        <f t="shared" si="7"/>
        <v>48</v>
      </c>
      <c r="AB81" s="7">
        <f>VLOOKUP(A81,Jogos!A:L,4,0)</f>
        <v>51</v>
      </c>
      <c r="AC81" s="7">
        <f t="shared" si="8"/>
        <v>51</v>
      </c>
      <c r="AD81" s="7"/>
      <c r="AE81" s="7"/>
      <c r="AF81" s="7">
        <f t="shared" si="9"/>
        <v>99</v>
      </c>
      <c r="AG81" s="7">
        <v>9878.9</v>
      </c>
      <c r="AH81" s="7">
        <v>3963.5</v>
      </c>
      <c r="AI81" s="7">
        <v>3803.2</v>
      </c>
      <c r="AJ81" s="7">
        <v>1185.8</v>
      </c>
      <c r="AK81" s="7">
        <v>678.6</v>
      </c>
      <c r="AL81" s="7">
        <v>247.9</v>
      </c>
      <c r="AM81" s="7">
        <v>119.0</v>
      </c>
      <c r="AN81" s="7">
        <v>56.0</v>
      </c>
      <c r="AO81" s="7">
        <v>32.6</v>
      </c>
      <c r="AP81" s="9">
        <f t="shared" ref="AP81:AR81" si="256">AG81/$AF81</f>
        <v>99.78686869</v>
      </c>
      <c r="AQ81" s="9">
        <f t="shared" si="256"/>
        <v>40.03535354</v>
      </c>
      <c r="AR81" s="9">
        <f t="shared" si="256"/>
        <v>38.41616162</v>
      </c>
      <c r="AS81" s="9">
        <f t="shared" si="11"/>
        <v>78.45151515</v>
      </c>
      <c r="AT81" s="9">
        <f t="shared" ref="AT81:AV81" si="257">AJ81/$AF81</f>
        <v>11.97777778</v>
      </c>
      <c r="AU81" s="9">
        <f t="shared" si="257"/>
        <v>6.854545455</v>
      </c>
      <c r="AV81" s="9">
        <f t="shared" si="257"/>
        <v>2.504040404</v>
      </c>
      <c r="AW81" s="9">
        <f t="shared" si="13"/>
        <v>9.358585859</v>
      </c>
      <c r="AX81" s="9">
        <f t="shared" ref="AX81:AY81" si="258">AM81/$AF81</f>
        <v>1.202020202</v>
      </c>
      <c r="AY81" s="9">
        <f t="shared" si="258"/>
        <v>0.5656565657</v>
      </c>
      <c r="AZ81" s="9">
        <f>VLOOKUP(A81,Jogos!A:BN,58,0)</f>
        <v>33.085</v>
      </c>
      <c r="BA81" s="9">
        <f>VLOOKUP(A81,Jogos!A:BN,59,0)</f>
        <v>10.485</v>
      </c>
      <c r="BB81" s="9">
        <f>VLOOKUP(A81,Jogos!A:BN,60,0)</f>
        <v>24.5</v>
      </c>
      <c r="BC81" s="9">
        <f>VLOOKUP(A81,Jogos!A:BN,61,0)</f>
        <v>35.81</v>
      </c>
      <c r="BD81" s="9">
        <f>VLOOKUP(A81,Jogos!A:BN,62,0)</f>
        <v>1034.65</v>
      </c>
      <c r="BE81" s="9">
        <f>VLOOKUP(A81,Jogos!A:BN,63,0)</f>
        <v>1.905</v>
      </c>
      <c r="BF81" s="9">
        <f>VLOOKUP(A81,Jogos!A:BN,64,0)</f>
        <v>21.085</v>
      </c>
      <c r="BG81" s="9">
        <f>VLOOKUP(A81,Jogos!A:BN,65,0)</f>
        <v>45.615</v>
      </c>
      <c r="BH81" s="9">
        <f>VLOOKUP(A81,Jogos!A:BN,66,0)</f>
        <v>27.185</v>
      </c>
      <c r="BI81" s="9"/>
    </row>
    <row r="82" hidden="1">
      <c r="A82" s="10">
        <v>3.0</v>
      </c>
      <c r="B82" s="11" t="s">
        <v>185</v>
      </c>
      <c r="C82" s="2" t="s">
        <v>61</v>
      </c>
      <c r="D82" s="12">
        <v>45823.0</v>
      </c>
      <c r="E82" s="13">
        <v>0.5</v>
      </c>
      <c r="F82" s="5" t="str">
        <f>VLOOKUP(A82,Jogos!A:N,10,0)</f>
        <v>Afternoon</v>
      </c>
      <c r="G82" s="11" t="s">
        <v>186</v>
      </c>
      <c r="H82" s="6" t="str">
        <f>VLOOKUP(A82,Jogos!A:L,12,0)</f>
        <v>Open</v>
      </c>
      <c r="I82" s="6" t="str">
        <f>VLOOKUP(G82,'Estádios e Cidades'!A:B,2,0)</f>
        <v>Pasadena</v>
      </c>
      <c r="J82" s="11" t="s">
        <v>188</v>
      </c>
      <c r="K82" s="2" t="str">
        <f>VLOOKUP(J82,Equipes!A:F,6,0)</f>
        <v>Temperate</v>
      </c>
      <c r="L82" s="2">
        <f>VLOOKUP(J82,Equipes!A:C,3,0)</f>
        <v>17</v>
      </c>
      <c r="M82" s="2" t="str">
        <f t="shared" si="4"/>
        <v>Group</v>
      </c>
      <c r="N82" s="11" t="s">
        <v>187</v>
      </c>
      <c r="O82" s="2">
        <f>VLOOKUP(N82,Equipes!A:C,3,0)</f>
        <v>2</v>
      </c>
      <c r="P82" s="2" t="str">
        <f t="shared" si="5"/>
        <v>Final</v>
      </c>
      <c r="Q82" s="2">
        <f t="shared" si="6"/>
        <v>15</v>
      </c>
      <c r="R82" s="2" t="str">
        <f>VLOOKUP(J82,Equipes!A:B,2,0)</f>
        <v>Atletico</v>
      </c>
      <c r="S82" s="6" t="s">
        <v>233</v>
      </c>
      <c r="T82" s="7">
        <v>21.0</v>
      </c>
      <c r="U82" s="7" t="s">
        <v>234</v>
      </c>
      <c r="V82" s="7" t="str">
        <f>VLOOKUP(U82,Jogadores!B:C,2,0)</f>
        <v>DF</v>
      </c>
      <c r="W82" s="8">
        <f>VLOOKUP(U82,Jogadores!B:D,3,0)</f>
        <v>30.70958904</v>
      </c>
      <c r="X82" s="7">
        <v>0.0</v>
      </c>
      <c r="Y82" s="7">
        <v>62.0</v>
      </c>
      <c r="Z82" s="7">
        <f>VLOOKUP(A82,Jogos!A:L,3,0)</f>
        <v>48</v>
      </c>
      <c r="AA82" s="7">
        <f t="shared" si="7"/>
        <v>48</v>
      </c>
      <c r="AB82" s="7">
        <f>VLOOKUP(A82,Jogos!A:L,4,0)</f>
        <v>51</v>
      </c>
      <c r="AC82" s="7">
        <f t="shared" si="8"/>
        <v>17</v>
      </c>
      <c r="AD82" s="7"/>
      <c r="AE82" s="7"/>
      <c r="AF82" s="7">
        <f t="shared" si="9"/>
        <v>65</v>
      </c>
      <c r="AG82" s="7">
        <v>6866.4</v>
      </c>
      <c r="AH82" s="7">
        <v>2620.1</v>
      </c>
      <c r="AI82" s="7">
        <v>2867.8</v>
      </c>
      <c r="AJ82" s="7">
        <v>888.8</v>
      </c>
      <c r="AK82" s="7">
        <v>353.5</v>
      </c>
      <c r="AL82" s="7">
        <v>136.2</v>
      </c>
      <c r="AM82" s="7">
        <v>78.0</v>
      </c>
      <c r="AN82" s="7">
        <v>25.0</v>
      </c>
      <c r="AO82" s="7">
        <v>31.6</v>
      </c>
      <c r="AP82" s="9">
        <f t="shared" ref="AP82:AR82" si="259">AG82/$AF82</f>
        <v>105.6369231</v>
      </c>
      <c r="AQ82" s="9">
        <f t="shared" si="259"/>
        <v>40.30923077</v>
      </c>
      <c r="AR82" s="9">
        <f t="shared" si="259"/>
        <v>44.12</v>
      </c>
      <c r="AS82" s="9">
        <f t="shared" si="11"/>
        <v>84.42923077</v>
      </c>
      <c r="AT82" s="9">
        <f t="shared" ref="AT82:AV82" si="260">AJ82/$AF82</f>
        <v>13.67384615</v>
      </c>
      <c r="AU82" s="9">
        <f t="shared" si="260"/>
        <v>5.438461538</v>
      </c>
      <c r="AV82" s="9">
        <f t="shared" si="260"/>
        <v>2.095384615</v>
      </c>
      <c r="AW82" s="9">
        <f t="shared" si="13"/>
        <v>7.533846154</v>
      </c>
      <c r="AX82" s="9">
        <f t="shared" ref="AX82:AY82" si="261">AM82/$AF82</f>
        <v>1.2</v>
      </c>
      <c r="AY82" s="9">
        <f t="shared" si="261"/>
        <v>0.3846153846</v>
      </c>
      <c r="AZ82" s="9">
        <f>VLOOKUP(A82,Jogos!A:BN,58,0)</f>
        <v>33.085</v>
      </c>
      <c r="BA82" s="9">
        <f>VLOOKUP(A82,Jogos!A:BN,59,0)</f>
        <v>10.485</v>
      </c>
      <c r="BB82" s="9">
        <f>VLOOKUP(A82,Jogos!A:BN,60,0)</f>
        <v>24.5</v>
      </c>
      <c r="BC82" s="9">
        <f>VLOOKUP(A82,Jogos!A:BN,61,0)</f>
        <v>35.81</v>
      </c>
      <c r="BD82" s="9">
        <f>VLOOKUP(A82,Jogos!A:BN,62,0)</f>
        <v>1034.65</v>
      </c>
      <c r="BE82" s="9">
        <f>VLOOKUP(A82,Jogos!A:BN,63,0)</f>
        <v>1.905</v>
      </c>
      <c r="BF82" s="9">
        <f>VLOOKUP(A82,Jogos!A:BN,64,0)</f>
        <v>21.085</v>
      </c>
      <c r="BG82" s="9">
        <f>VLOOKUP(A82,Jogos!A:BN,65,0)</f>
        <v>45.615</v>
      </c>
      <c r="BH82" s="9">
        <f>VLOOKUP(A82,Jogos!A:BN,66,0)</f>
        <v>27.185</v>
      </c>
      <c r="BI82" s="9"/>
    </row>
    <row r="83" hidden="1">
      <c r="A83" s="10">
        <v>3.0</v>
      </c>
      <c r="B83" s="11" t="s">
        <v>185</v>
      </c>
      <c r="C83" s="2" t="s">
        <v>61</v>
      </c>
      <c r="D83" s="12">
        <v>45823.0</v>
      </c>
      <c r="E83" s="13">
        <v>0.5</v>
      </c>
      <c r="F83" s="5" t="str">
        <f>VLOOKUP(A83,Jogos!A:N,10,0)</f>
        <v>Afternoon</v>
      </c>
      <c r="G83" s="11" t="s">
        <v>186</v>
      </c>
      <c r="H83" s="6" t="str">
        <f>VLOOKUP(A83,Jogos!A:L,12,0)</f>
        <v>Open</v>
      </c>
      <c r="I83" s="6" t="str">
        <f>VLOOKUP(G83,'Estádios e Cidades'!A:B,2,0)</f>
        <v>Pasadena</v>
      </c>
      <c r="J83" s="11" t="s">
        <v>188</v>
      </c>
      <c r="K83" s="2" t="str">
        <f>VLOOKUP(J83,Equipes!A:F,6,0)</f>
        <v>Temperate</v>
      </c>
      <c r="L83" s="2">
        <f>VLOOKUP(J83,Equipes!A:C,3,0)</f>
        <v>17</v>
      </c>
      <c r="M83" s="2" t="str">
        <f t="shared" si="4"/>
        <v>Group</v>
      </c>
      <c r="N83" s="11" t="s">
        <v>187</v>
      </c>
      <c r="O83" s="2">
        <f>VLOOKUP(N83,Equipes!A:C,3,0)</f>
        <v>2</v>
      </c>
      <c r="P83" s="2" t="str">
        <f t="shared" si="5"/>
        <v>Final</v>
      </c>
      <c r="Q83" s="2">
        <f t="shared" si="6"/>
        <v>15</v>
      </c>
      <c r="R83" s="2" t="str">
        <f>VLOOKUP(J83,Equipes!A:B,2,0)</f>
        <v>Atletico</v>
      </c>
      <c r="S83" s="6" t="s">
        <v>235</v>
      </c>
      <c r="T83" s="7">
        <v>22.0</v>
      </c>
      <c r="U83" s="7" t="s">
        <v>236</v>
      </c>
      <c r="V83" s="7" t="str">
        <f>VLOOKUP(U83,Jogadores!B:C,2,0)</f>
        <v>FW</v>
      </c>
      <c r="W83" s="8">
        <f>VLOOKUP(U83,Jogadores!B:D,3,0)</f>
        <v>22.62465753</v>
      </c>
      <c r="X83" s="7">
        <v>0.0</v>
      </c>
      <c r="Y83" s="7">
        <v>62.0</v>
      </c>
      <c r="Z83" s="7">
        <f>VLOOKUP(A83,Jogos!A:L,3,0)</f>
        <v>48</v>
      </c>
      <c r="AA83" s="7">
        <f t="shared" si="7"/>
        <v>48</v>
      </c>
      <c r="AB83" s="7">
        <f>VLOOKUP(A83,Jogos!A:L,4,0)</f>
        <v>51</v>
      </c>
      <c r="AC83" s="7">
        <f t="shared" si="8"/>
        <v>17</v>
      </c>
      <c r="AD83" s="7"/>
      <c r="AE83" s="7"/>
      <c r="AF83" s="7">
        <f t="shared" si="9"/>
        <v>65</v>
      </c>
      <c r="AG83" s="7">
        <v>7697.6</v>
      </c>
      <c r="AH83" s="7">
        <v>2502.3</v>
      </c>
      <c r="AI83" s="7">
        <v>3188.3</v>
      </c>
      <c r="AJ83" s="7">
        <v>1173.1</v>
      </c>
      <c r="AK83" s="7">
        <v>576.3</v>
      </c>
      <c r="AL83" s="7">
        <v>257.7</v>
      </c>
      <c r="AM83" s="7">
        <v>94.0</v>
      </c>
      <c r="AN83" s="7">
        <v>41.0</v>
      </c>
      <c r="AO83" s="7">
        <v>33.8</v>
      </c>
      <c r="AP83" s="9">
        <f t="shared" ref="AP83:AR83" si="262">AG83/$AF83</f>
        <v>118.4246154</v>
      </c>
      <c r="AQ83" s="9">
        <f t="shared" si="262"/>
        <v>38.49692308</v>
      </c>
      <c r="AR83" s="9">
        <f t="shared" si="262"/>
        <v>49.05076923</v>
      </c>
      <c r="AS83" s="9">
        <f t="shared" si="11"/>
        <v>87.54769231</v>
      </c>
      <c r="AT83" s="9">
        <f t="shared" ref="AT83:AV83" si="263">AJ83/$AF83</f>
        <v>18.04769231</v>
      </c>
      <c r="AU83" s="9">
        <f t="shared" si="263"/>
        <v>8.866153846</v>
      </c>
      <c r="AV83" s="9">
        <f t="shared" si="263"/>
        <v>3.964615385</v>
      </c>
      <c r="AW83" s="9">
        <f t="shared" si="13"/>
        <v>12.83076923</v>
      </c>
      <c r="AX83" s="9">
        <f t="shared" ref="AX83:AY83" si="264">AM83/$AF83</f>
        <v>1.446153846</v>
      </c>
      <c r="AY83" s="9">
        <f t="shared" si="264"/>
        <v>0.6307692308</v>
      </c>
      <c r="AZ83" s="9">
        <f>VLOOKUP(A83,Jogos!A:BN,58,0)</f>
        <v>33.085</v>
      </c>
      <c r="BA83" s="9">
        <f>VLOOKUP(A83,Jogos!A:BN,59,0)</f>
        <v>10.485</v>
      </c>
      <c r="BB83" s="9">
        <f>VLOOKUP(A83,Jogos!A:BN,60,0)</f>
        <v>24.5</v>
      </c>
      <c r="BC83" s="9">
        <f>VLOOKUP(A83,Jogos!A:BN,61,0)</f>
        <v>35.81</v>
      </c>
      <c r="BD83" s="9">
        <f>VLOOKUP(A83,Jogos!A:BN,62,0)</f>
        <v>1034.65</v>
      </c>
      <c r="BE83" s="9">
        <f>VLOOKUP(A83,Jogos!A:BN,63,0)</f>
        <v>1.905</v>
      </c>
      <c r="BF83" s="9">
        <f>VLOOKUP(A83,Jogos!A:BN,64,0)</f>
        <v>21.085</v>
      </c>
      <c r="BG83" s="9">
        <f>VLOOKUP(A83,Jogos!A:BN,65,0)</f>
        <v>45.615</v>
      </c>
      <c r="BH83" s="9">
        <f>VLOOKUP(A83,Jogos!A:BN,66,0)</f>
        <v>27.185</v>
      </c>
      <c r="BI83" s="9"/>
    </row>
    <row r="84" hidden="1">
      <c r="A84" s="10">
        <v>3.0</v>
      </c>
      <c r="B84" s="11" t="s">
        <v>185</v>
      </c>
      <c r="C84" s="2" t="s">
        <v>61</v>
      </c>
      <c r="D84" s="12">
        <v>45823.0</v>
      </c>
      <c r="E84" s="13">
        <v>0.5</v>
      </c>
      <c r="F84" s="5" t="str">
        <f>VLOOKUP(A84,Jogos!A:N,10,0)</f>
        <v>Afternoon</v>
      </c>
      <c r="G84" s="11" t="s">
        <v>186</v>
      </c>
      <c r="H84" s="6" t="str">
        <f>VLOOKUP(A84,Jogos!A:L,12,0)</f>
        <v>Open</v>
      </c>
      <c r="I84" s="6" t="str">
        <f>VLOOKUP(G84,'Estádios e Cidades'!A:B,2,0)</f>
        <v>Pasadena</v>
      </c>
      <c r="J84" s="11" t="s">
        <v>188</v>
      </c>
      <c r="K84" s="2" t="str">
        <f>VLOOKUP(J84,Equipes!A:F,6,0)</f>
        <v>Temperate</v>
      </c>
      <c r="L84" s="2">
        <f>VLOOKUP(J84,Equipes!A:C,3,0)</f>
        <v>17</v>
      </c>
      <c r="M84" s="2" t="str">
        <f t="shared" si="4"/>
        <v>Group</v>
      </c>
      <c r="N84" s="11" t="s">
        <v>187</v>
      </c>
      <c r="O84" s="2">
        <f>VLOOKUP(N84,Equipes!A:C,3,0)</f>
        <v>2</v>
      </c>
      <c r="P84" s="2" t="str">
        <f t="shared" si="5"/>
        <v>Final</v>
      </c>
      <c r="Q84" s="2">
        <f t="shared" si="6"/>
        <v>15</v>
      </c>
      <c r="R84" s="2" t="str">
        <f>VLOOKUP(J84,Equipes!A:B,2,0)</f>
        <v>Atletico</v>
      </c>
      <c r="S84" s="6" t="s">
        <v>237</v>
      </c>
      <c r="T84" s="7">
        <v>24.0</v>
      </c>
      <c r="U84" s="7" t="s">
        <v>238</v>
      </c>
      <c r="V84" s="7" t="str">
        <f>VLOOKUP(U84,Jogadores!B:C,2,0)</f>
        <v>DF</v>
      </c>
      <c r="W84" s="8">
        <f>VLOOKUP(U84,Jogadores!B:D,3,0)</f>
        <v>28.72876712</v>
      </c>
      <c r="X84" s="7">
        <v>0.0</v>
      </c>
      <c r="Y84" s="7">
        <f t="shared" ref="Y84:Y91" si="268">45+AB84</f>
        <v>96</v>
      </c>
      <c r="Z84" s="7">
        <f>VLOOKUP(A84,Jogos!A:L,3,0)</f>
        <v>48</v>
      </c>
      <c r="AA84" s="7">
        <f t="shared" si="7"/>
        <v>48</v>
      </c>
      <c r="AB84" s="7">
        <f>VLOOKUP(A84,Jogos!A:L,4,0)</f>
        <v>51</v>
      </c>
      <c r="AC84" s="7">
        <f t="shared" si="8"/>
        <v>51</v>
      </c>
      <c r="AD84" s="7"/>
      <c r="AE84" s="7"/>
      <c r="AF84" s="7">
        <f t="shared" si="9"/>
        <v>99</v>
      </c>
      <c r="AG84" s="7">
        <v>9889.1</v>
      </c>
      <c r="AH84" s="7">
        <v>3899.1</v>
      </c>
      <c r="AI84" s="7">
        <v>4040.2</v>
      </c>
      <c r="AJ84" s="7">
        <v>1391.4</v>
      </c>
      <c r="AK84" s="7">
        <v>432.9</v>
      </c>
      <c r="AL84" s="7">
        <v>125.5</v>
      </c>
      <c r="AM84" s="7">
        <v>117.0</v>
      </c>
      <c r="AN84" s="7">
        <v>30.0</v>
      </c>
      <c r="AO84" s="7">
        <v>33.1</v>
      </c>
      <c r="AP84" s="9">
        <f t="shared" ref="AP84:AR84" si="265">AG84/$AF84</f>
        <v>99.88989899</v>
      </c>
      <c r="AQ84" s="9">
        <f t="shared" si="265"/>
        <v>39.38484848</v>
      </c>
      <c r="AR84" s="9">
        <f t="shared" si="265"/>
        <v>40.81010101</v>
      </c>
      <c r="AS84" s="9">
        <f t="shared" si="11"/>
        <v>80.19494949</v>
      </c>
      <c r="AT84" s="9">
        <f t="shared" ref="AT84:AV84" si="266">AJ84/$AF84</f>
        <v>14.05454545</v>
      </c>
      <c r="AU84" s="9">
        <f t="shared" si="266"/>
        <v>4.372727273</v>
      </c>
      <c r="AV84" s="9">
        <f t="shared" si="266"/>
        <v>1.267676768</v>
      </c>
      <c r="AW84" s="9">
        <f t="shared" si="13"/>
        <v>5.64040404</v>
      </c>
      <c r="AX84" s="9">
        <f t="shared" ref="AX84:AY84" si="267">AM84/$AF84</f>
        <v>1.181818182</v>
      </c>
      <c r="AY84" s="9">
        <f t="shared" si="267"/>
        <v>0.303030303</v>
      </c>
      <c r="AZ84" s="9">
        <f>VLOOKUP(A84,Jogos!A:BN,58,0)</f>
        <v>33.085</v>
      </c>
      <c r="BA84" s="9">
        <f>VLOOKUP(A84,Jogos!A:BN,59,0)</f>
        <v>10.485</v>
      </c>
      <c r="BB84" s="9">
        <f>VLOOKUP(A84,Jogos!A:BN,60,0)</f>
        <v>24.5</v>
      </c>
      <c r="BC84" s="9">
        <f>VLOOKUP(A84,Jogos!A:BN,61,0)</f>
        <v>35.81</v>
      </c>
      <c r="BD84" s="9">
        <f>VLOOKUP(A84,Jogos!A:BN,62,0)</f>
        <v>1034.65</v>
      </c>
      <c r="BE84" s="9">
        <f>VLOOKUP(A84,Jogos!A:BN,63,0)</f>
        <v>1.905</v>
      </c>
      <c r="BF84" s="9">
        <f>VLOOKUP(A84,Jogos!A:BN,64,0)</f>
        <v>21.085</v>
      </c>
      <c r="BG84" s="9">
        <f>VLOOKUP(A84,Jogos!A:BN,65,0)</f>
        <v>45.615</v>
      </c>
      <c r="BH84" s="9">
        <f>VLOOKUP(A84,Jogos!A:BN,66,0)</f>
        <v>27.185</v>
      </c>
      <c r="BI84" s="9"/>
    </row>
    <row r="85" hidden="1">
      <c r="A85" s="10">
        <v>3.0</v>
      </c>
      <c r="B85" s="11" t="s">
        <v>185</v>
      </c>
      <c r="C85" s="2" t="s">
        <v>61</v>
      </c>
      <c r="D85" s="12">
        <v>45823.0</v>
      </c>
      <c r="E85" s="13">
        <v>0.5</v>
      </c>
      <c r="F85" s="5" t="str">
        <f>VLOOKUP(A85,Jogos!A:N,10,0)</f>
        <v>Afternoon</v>
      </c>
      <c r="G85" s="11" t="s">
        <v>186</v>
      </c>
      <c r="H85" s="6" t="str">
        <f>VLOOKUP(A85,Jogos!A:L,12,0)</f>
        <v>Open</v>
      </c>
      <c r="I85" s="6" t="str">
        <f>VLOOKUP(G85,'Estádios e Cidades'!A:B,2,0)</f>
        <v>Pasadena</v>
      </c>
      <c r="J85" s="11" t="s">
        <v>188</v>
      </c>
      <c r="K85" s="2" t="str">
        <f>VLOOKUP(J85,Equipes!A:F,6,0)</f>
        <v>Temperate</v>
      </c>
      <c r="L85" s="2">
        <f>VLOOKUP(J85,Equipes!A:C,3,0)</f>
        <v>17</v>
      </c>
      <c r="M85" s="2" t="str">
        <f t="shared" si="4"/>
        <v>Group</v>
      </c>
      <c r="N85" s="11" t="s">
        <v>187</v>
      </c>
      <c r="O85" s="2">
        <f>VLOOKUP(N85,Equipes!A:C,3,0)</f>
        <v>2</v>
      </c>
      <c r="P85" s="2" t="str">
        <f t="shared" si="5"/>
        <v>Final</v>
      </c>
      <c r="Q85" s="2">
        <f t="shared" si="6"/>
        <v>15</v>
      </c>
      <c r="R85" s="2" t="str">
        <f>VLOOKUP(J85,Equipes!A:B,2,0)</f>
        <v>Atletico</v>
      </c>
      <c r="S85" s="6" t="s">
        <v>239</v>
      </c>
      <c r="T85" s="7">
        <v>4.0</v>
      </c>
      <c r="U85" s="7" t="s">
        <v>240</v>
      </c>
      <c r="V85" s="7" t="str">
        <f>VLOOKUP(U85,Jogadores!B:C,2,0)</f>
        <v>MF</v>
      </c>
      <c r="W85" s="8">
        <f>VLOOKUP(U85,Jogadores!B:D,3,0)</f>
        <v>25.49041096</v>
      </c>
      <c r="X85" s="7">
        <v>62.0</v>
      </c>
      <c r="Y85" s="7">
        <f t="shared" si="268"/>
        <v>96</v>
      </c>
      <c r="Z85" s="7">
        <f>VLOOKUP(A85,Jogos!A:L,3,0)</f>
        <v>48</v>
      </c>
      <c r="AA85" s="7">
        <f t="shared" si="7"/>
        <v>0</v>
      </c>
      <c r="AB85" s="7">
        <f>VLOOKUP(A85,Jogos!A:L,4,0)</f>
        <v>51</v>
      </c>
      <c r="AC85" s="7">
        <f t="shared" si="8"/>
        <v>34</v>
      </c>
      <c r="AD85" s="7"/>
      <c r="AE85" s="7"/>
      <c r="AF85" s="7">
        <f t="shared" si="9"/>
        <v>34</v>
      </c>
      <c r="AG85" s="7">
        <v>3967.7</v>
      </c>
      <c r="AH85" s="7">
        <v>1329.2</v>
      </c>
      <c r="AI85" s="7">
        <v>1496.0</v>
      </c>
      <c r="AJ85" s="7">
        <v>598.1</v>
      </c>
      <c r="AK85" s="7">
        <v>343.3</v>
      </c>
      <c r="AL85" s="7">
        <v>201.1</v>
      </c>
      <c r="AM85" s="7">
        <v>48.0</v>
      </c>
      <c r="AN85" s="7">
        <v>26.0</v>
      </c>
      <c r="AO85" s="7">
        <v>30.7</v>
      </c>
      <c r="AP85" s="9">
        <f t="shared" ref="AP85:AR85" si="269">AG85/$AF85</f>
        <v>116.6970588</v>
      </c>
      <c r="AQ85" s="9">
        <f t="shared" si="269"/>
        <v>39.09411765</v>
      </c>
      <c r="AR85" s="9">
        <f t="shared" si="269"/>
        <v>44</v>
      </c>
      <c r="AS85" s="9">
        <f t="shared" si="11"/>
        <v>83.09411765</v>
      </c>
      <c r="AT85" s="9">
        <f t="shared" ref="AT85:AV85" si="270">AJ85/$AF85</f>
        <v>17.59117647</v>
      </c>
      <c r="AU85" s="9">
        <f t="shared" si="270"/>
        <v>10.09705882</v>
      </c>
      <c r="AV85" s="9">
        <f t="shared" si="270"/>
        <v>5.914705882</v>
      </c>
      <c r="AW85" s="9">
        <f t="shared" si="13"/>
        <v>16.01176471</v>
      </c>
      <c r="AX85" s="9">
        <f t="shared" ref="AX85:AY85" si="271">AM85/$AF85</f>
        <v>1.411764706</v>
      </c>
      <c r="AY85" s="9">
        <f t="shared" si="271"/>
        <v>0.7647058824</v>
      </c>
      <c r="AZ85" s="9">
        <f>VLOOKUP(A85,Jogos!A:BN,58,0)</f>
        <v>33.085</v>
      </c>
      <c r="BA85" s="9">
        <f>VLOOKUP(A85,Jogos!A:BN,59,0)</f>
        <v>10.485</v>
      </c>
      <c r="BB85" s="9">
        <f>VLOOKUP(A85,Jogos!A:BN,60,0)</f>
        <v>24.5</v>
      </c>
      <c r="BC85" s="9">
        <f>VLOOKUP(A85,Jogos!A:BN,61,0)</f>
        <v>35.81</v>
      </c>
      <c r="BD85" s="9">
        <f>VLOOKUP(A85,Jogos!A:BN,62,0)</f>
        <v>1034.65</v>
      </c>
      <c r="BE85" s="9">
        <f>VLOOKUP(A85,Jogos!A:BN,63,0)</f>
        <v>1.905</v>
      </c>
      <c r="BF85" s="9">
        <f>VLOOKUP(A85,Jogos!A:BN,64,0)</f>
        <v>21.085</v>
      </c>
      <c r="BG85" s="9">
        <f>VLOOKUP(A85,Jogos!A:BN,65,0)</f>
        <v>45.615</v>
      </c>
      <c r="BH85" s="9">
        <f>VLOOKUP(A85,Jogos!A:BN,66,0)</f>
        <v>27.185</v>
      </c>
      <c r="BI85" s="9"/>
    </row>
    <row r="86" hidden="1">
      <c r="A86" s="10">
        <v>3.0</v>
      </c>
      <c r="B86" s="11" t="s">
        <v>185</v>
      </c>
      <c r="C86" s="2" t="s">
        <v>61</v>
      </c>
      <c r="D86" s="12">
        <v>45823.0</v>
      </c>
      <c r="E86" s="13">
        <v>0.5</v>
      </c>
      <c r="F86" s="5" t="str">
        <f>VLOOKUP(A86,Jogos!A:N,10,0)</f>
        <v>Afternoon</v>
      </c>
      <c r="G86" s="11" t="s">
        <v>186</v>
      </c>
      <c r="H86" s="6" t="str">
        <f>VLOOKUP(A86,Jogos!A:L,12,0)</f>
        <v>Open</v>
      </c>
      <c r="I86" s="6" t="str">
        <f>VLOOKUP(G86,'Estádios e Cidades'!A:B,2,0)</f>
        <v>Pasadena</v>
      </c>
      <c r="J86" s="11" t="s">
        <v>188</v>
      </c>
      <c r="K86" s="2" t="str">
        <f>VLOOKUP(J86,Equipes!A:F,6,0)</f>
        <v>Temperate</v>
      </c>
      <c r="L86" s="2">
        <f>VLOOKUP(J86,Equipes!A:C,3,0)</f>
        <v>17</v>
      </c>
      <c r="M86" s="2" t="str">
        <f t="shared" si="4"/>
        <v>Group</v>
      </c>
      <c r="N86" s="11" t="s">
        <v>187</v>
      </c>
      <c r="O86" s="2">
        <f>VLOOKUP(N86,Equipes!A:C,3,0)</f>
        <v>2</v>
      </c>
      <c r="P86" s="2" t="str">
        <f t="shared" si="5"/>
        <v>Final</v>
      </c>
      <c r="Q86" s="2">
        <f t="shared" si="6"/>
        <v>15</v>
      </c>
      <c r="R86" s="2" t="str">
        <f>VLOOKUP(J86,Equipes!A:B,2,0)</f>
        <v>Atletico</v>
      </c>
      <c r="S86" s="6" t="s">
        <v>241</v>
      </c>
      <c r="T86" s="7">
        <v>6.0</v>
      </c>
      <c r="U86" s="7" t="s">
        <v>242</v>
      </c>
      <c r="V86" s="7" t="str">
        <f>VLOOKUP(U86,Jogadores!B:C,2,0)</f>
        <v>MF</v>
      </c>
      <c r="W86" s="8">
        <f>VLOOKUP(U86,Jogadores!B:D,3,0)</f>
        <v>33.57534247</v>
      </c>
      <c r="X86" s="7">
        <v>45.0</v>
      </c>
      <c r="Y86" s="7">
        <f t="shared" si="268"/>
        <v>96</v>
      </c>
      <c r="Z86" s="7">
        <f>VLOOKUP(A86,Jogos!A:L,3,0)</f>
        <v>48</v>
      </c>
      <c r="AA86" s="7">
        <f t="shared" si="7"/>
        <v>0</v>
      </c>
      <c r="AB86" s="7">
        <f>VLOOKUP(A86,Jogos!A:L,4,0)</f>
        <v>51</v>
      </c>
      <c r="AC86" s="7">
        <f t="shared" si="8"/>
        <v>51</v>
      </c>
      <c r="AD86" s="7"/>
      <c r="AE86" s="7"/>
      <c r="AF86" s="7">
        <f t="shared" si="9"/>
        <v>51</v>
      </c>
      <c r="AG86" s="7">
        <v>6153.8</v>
      </c>
      <c r="AH86" s="7">
        <v>1915.1</v>
      </c>
      <c r="AI86" s="7">
        <v>2506.2</v>
      </c>
      <c r="AJ86" s="7">
        <v>1145.1</v>
      </c>
      <c r="AK86" s="7">
        <v>548.4</v>
      </c>
      <c r="AL86" s="7">
        <v>39.0</v>
      </c>
      <c r="AM86" s="7">
        <v>98.0</v>
      </c>
      <c r="AN86" s="7">
        <v>33.0</v>
      </c>
      <c r="AO86" s="7">
        <v>27.3</v>
      </c>
      <c r="AP86" s="9">
        <f t="shared" ref="AP86:AR86" si="272">AG86/$AF86</f>
        <v>120.6627451</v>
      </c>
      <c r="AQ86" s="9">
        <f t="shared" si="272"/>
        <v>37.55098039</v>
      </c>
      <c r="AR86" s="9">
        <f t="shared" si="272"/>
        <v>49.14117647</v>
      </c>
      <c r="AS86" s="9">
        <f t="shared" si="11"/>
        <v>86.69215686</v>
      </c>
      <c r="AT86" s="9">
        <f t="shared" ref="AT86:AV86" si="273">AJ86/$AF86</f>
        <v>22.45294118</v>
      </c>
      <c r="AU86" s="9">
        <f t="shared" si="273"/>
        <v>10.75294118</v>
      </c>
      <c r="AV86" s="9">
        <f t="shared" si="273"/>
        <v>0.7647058824</v>
      </c>
      <c r="AW86" s="9">
        <f t="shared" si="13"/>
        <v>11.51764706</v>
      </c>
      <c r="AX86" s="9">
        <f t="shared" ref="AX86:AY86" si="274">AM86/$AF86</f>
        <v>1.921568627</v>
      </c>
      <c r="AY86" s="9">
        <f t="shared" si="274"/>
        <v>0.6470588235</v>
      </c>
      <c r="AZ86" s="9">
        <f>VLOOKUP(A86,Jogos!A:BN,58,0)</f>
        <v>33.085</v>
      </c>
      <c r="BA86" s="9">
        <f>VLOOKUP(A86,Jogos!A:BN,59,0)</f>
        <v>10.485</v>
      </c>
      <c r="BB86" s="9">
        <f>VLOOKUP(A86,Jogos!A:BN,60,0)</f>
        <v>24.5</v>
      </c>
      <c r="BC86" s="9">
        <f>VLOOKUP(A86,Jogos!A:BN,61,0)</f>
        <v>35.81</v>
      </c>
      <c r="BD86" s="9">
        <f>VLOOKUP(A86,Jogos!A:BN,62,0)</f>
        <v>1034.65</v>
      </c>
      <c r="BE86" s="9">
        <f>VLOOKUP(A86,Jogos!A:BN,63,0)</f>
        <v>1.905</v>
      </c>
      <c r="BF86" s="9">
        <f>VLOOKUP(A86,Jogos!A:BN,64,0)</f>
        <v>21.085</v>
      </c>
      <c r="BG86" s="9">
        <f>VLOOKUP(A86,Jogos!A:BN,65,0)</f>
        <v>45.615</v>
      </c>
      <c r="BH86" s="9">
        <f>VLOOKUP(A86,Jogos!A:BN,66,0)</f>
        <v>27.185</v>
      </c>
      <c r="BI86" s="9"/>
    </row>
    <row r="87" hidden="1">
      <c r="A87" s="10">
        <v>3.0</v>
      </c>
      <c r="B87" s="11" t="s">
        <v>185</v>
      </c>
      <c r="C87" s="2" t="s">
        <v>61</v>
      </c>
      <c r="D87" s="12">
        <v>45823.0</v>
      </c>
      <c r="E87" s="13">
        <v>0.5</v>
      </c>
      <c r="F87" s="5" t="str">
        <f>VLOOKUP(A87,Jogos!A:N,10,0)</f>
        <v>Afternoon</v>
      </c>
      <c r="G87" s="11" t="s">
        <v>186</v>
      </c>
      <c r="H87" s="6" t="str">
        <f>VLOOKUP(A87,Jogos!A:L,12,0)</f>
        <v>Open</v>
      </c>
      <c r="I87" s="6" t="str">
        <f>VLOOKUP(G87,'Estádios e Cidades'!A:B,2,0)</f>
        <v>Pasadena</v>
      </c>
      <c r="J87" s="11" t="s">
        <v>188</v>
      </c>
      <c r="K87" s="2" t="str">
        <f>VLOOKUP(J87,Equipes!A:F,6,0)</f>
        <v>Temperate</v>
      </c>
      <c r="L87" s="2">
        <f>VLOOKUP(J87,Equipes!A:C,3,0)</f>
        <v>17</v>
      </c>
      <c r="M87" s="2" t="str">
        <f t="shared" si="4"/>
        <v>Group</v>
      </c>
      <c r="N87" s="11" t="s">
        <v>187</v>
      </c>
      <c r="O87" s="2">
        <f>VLOOKUP(N87,Equipes!A:C,3,0)</f>
        <v>2</v>
      </c>
      <c r="P87" s="2" t="str">
        <f t="shared" si="5"/>
        <v>Final</v>
      </c>
      <c r="Q87" s="2">
        <f t="shared" si="6"/>
        <v>15</v>
      </c>
      <c r="R87" s="2" t="str">
        <f>VLOOKUP(J87,Equipes!A:B,2,0)</f>
        <v>Atletico</v>
      </c>
      <c r="S87" s="6" t="s">
        <v>243</v>
      </c>
      <c r="T87" s="7">
        <v>9.0</v>
      </c>
      <c r="U87" s="7" t="s">
        <v>244</v>
      </c>
      <c r="V87" s="7" t="str">
        <f>VLOOKUP(U87,Jogadores!B:C,2,0)</f>
        <v>FW</v>
      </c>
      <c r="W87" s="8">
        <f>VLOOKUP(U87,Jogadores!B:D,3,0)</f>
        <v>29.66575342</v>
      </c>
      <c r="X87" s="7">
        <v>70.0</v>
      </c>
      <c r="Y87" s="7">
        <f t="shared" si="268"/>
        <v>96</v>
      </c>
      <c r="Z87" s="7">
        <f>VLOOKUP(A87,Jogos!A:L,3,0)</f>
        <v>48</v>
      </c>
      <c r="AA87" s="7">
        <f t="shared" si="7"/>
        <v>0</v>
      </c>
      <c r="AB87" s="7">
        <f>VLOOKUP(A87,Jogos!A:L,4,0)</f>
        <v>51</v>
      </c>
      <c r="AC87" s="7">
        <f t="shared" si="8"/>
        <v>26</v>
      </c>
      <c r="AD87" s="7"/>
      <c r="AE87" s="7"/>
      <c r="AF87" s="7">
        <f t="shared" si="9"/>
        <v>26</v>
      </c>
      <c r="AG87" s="7">
        <v>2412.6</v>
      </c>
      <c r="AH87" s="7">
        <v>968.3</v>
      </c>
      <c r="AI87" s="7">
        <v>1008.8</v>
      </c>
      <c r="AJ87" s="7">
        <v>219.4</v>
      </c>
      <c r="AK87" s="7">
        <v>141.6</v>
      </c>
      <c r="AL87" s="7">
        <v>74.5</v>
      </c>
      <c r="AM87" s="7">
        <v>21.0</v>
      </c>
      <c r="AN87" s="7">
        <v>12.0</v>
      </c>
      <c r="AO87" s="7">
        <v>30.4</v>
      </c>
      <c r="AP87" s="9">
        <f t="shared" ref="AP87:AR87" si="275">AG87/$AF87</f>
        <v>92.79230769</v>
      </c>
      <c r="AQ87" s="9">
        <f t="shared" si="275"/>
        <v>37.24230769</v>
      </c>
      <c r="AR87" s="9">
        <f t="shared" si="275"/>
        <v>38.8</v>
      </c>
      <c r="AS87" s="9">
        <f t="shared" si="11"/>
        <v>76.04230769</v>
      </c>
      <c r="AT87" s="9">
        <f t="shared" ref="AT87:AV87" si="276">AJ87/$AF87</f>
        <v>8.438461538</v>
      </c>
      <c r="AU87" s="9">
        <f t="shared" si="276"/>
        <v>5.446153846</v>
      </c>
      <c r="AV87" s="9">
        <f t="shared" si="276"/>
        <v>2.865384615</v>
      </c>
      <c r="AW87" s="9">
        <f t="shared" si="13"/>
        <v>8.311538462</v>
      </c>
      <c r="AX87" s="9">
        <f t="shared" ref="AX87:AY87" si="277">AM87/$AF87</f>
        <v>0.8076923077</v>
      </c>
      <c r="AY87" s="9">
        <f t="shared" si="277"/>
        <v>0.4615384615</v>
      </c>
      <c r="AZ87" s="9">
        <f>VLOOKUP(A87,Jogos!A:BN,58,0)</f>
        <v>33.085</v>
      </c>
      <c r="BA87" s="9">
        <f>VLOOKUP(A87,Jogos!A:BN,59,0)</f>
        <v>10.485</v>
      </c>
      <c r="BB87" s="9">
        <f>VLOOKUP(A87,Jogos!A:BN,60,0)</f>
        <v>24.5</v>
      </c>
      <c r="BC87" s="9">
        <f>VLOOKUP(A87,Jogos!A:BN,61,0)</f>
        <v>35.81</v>
      </c>
      <c r="BD87" s="9">
        <f>VLOOKUP(A87,Jogos!A:BN,62,0)</f>
        <v>1034.65</v>
      </c>
      <c r="BE87" s="9">
        <f>VLOOKUP(A87,Jogos!A:BN,63,0)</f>
        <v>1.905</v>
      </c>
      <c r="BF87" s="9">
        <f>VLOOKUP(A87,Jogos!A:BN,64,0)</f>
        <v>21.085</v>
      </c>
      <c r="BG87" s="9">
        <f>VLOOKUP(A87,Jogos!A:BN,65,0)</f>
        <v>45.615</v>
      </c>
      <c r="BH87" s="9">
        <f>VLOOKUP(A87,Jogos!A:BN,66,0)</f>
        <v>27.185</v>
      </c>
      <c r="BI87" s="9"/>
    </row>
    <row r="88" hidden="1">
      <c r="A88" s="10">
        <v>3.0</v>
      </c>
      <c r="B88" s="11" t="s">
        <v>185</v>
      </c>
      <c r="C88" s="2" t="s">
        <v>61</v>
      </c>
      <c r="D88" s="12">
        <v>45823.0</v>
      </c>
      <c r="E88" s="13">
        <v>0.5</v>
      </c>
      <c r="F88" s="5" t="str">
        <f>VLOOKUP(A88,Jogos!A:N,10,0)</f>
        <v>Afternoon</v>
      </c>
      <c r="G88" s="11" t="s">
        <v>186</v>
      </c>
      <c r="H88" s="6" t="str">
        <f>VLOOKUP(A88,Jogos!A:L,12,0)</f>
        <v>Open</v>
      </c>
      <c r="I88" s="6" t="str">
        <f>VLOOKUP(G88,'Estádios e Cidades'!A:B,2,0)</f>
        <v>Pasadena</v>
      </c>
      <c r="J88" s="11" t="s">
        <v>188</v>
      </c>
      <c r="K88" s="2" t="str">
        <f>VLOOKUP(J88,Equipes!A:F,6,0)</f>
        <v>Temperate</v>
      </c>
      <c r="L88" s="2">
        <f>VLOOKUP(J88,Equipes!A:C,3,0)</f>
        <v>17</v>
      </c>
      <c r="M88" s="2" t="str">
        <f t="shared" si="4"/>
        <v>Group</v>
      </c>
      <c r="N88" s="11" t="s">
        <v>187</v>
      </c>
      <c r="O88" s="2">
        <f>VLOOKUP(N88,Equipes!A:C,3,0)</f>
        <v>2</v>
      </c>
      <c r="P88" s="2" t="str">
        <f t="shared" si="5"/>
        <v>Final</v>
      </c>
      <c r="Q88" s="2">
        <f t="shared" si="6"/>
        <v>15</v>
      </c>
      <c r="R88" s="2" t="str">
        <f>VLOOKUP(J88,Equipes!A:B,2,0)</f>
        <v>Atletico</v>
      </c>
      <c r="S88" s="6" t="s">
        <v>245</v>
      </c>
      <c r="T88" s="7">
        <v>10.0</v>
      </c>
      <c r="U88" s="7" t="s">
        <v>246</v>
      </c>
      <c r="V88" s="7" t="str">
        <f>VLOOKUP(U88,Jogadores!B:C,2,0)</f>
        <v>FW</v>
      </c>
      <c r="W88" s="8">
        <f>VLOOKUP(U88,Jogadores!B:D,3,0)</f>
        <v>30.40821918</v>
      </c>
      <c r="X88" s="7">
        <v>62.0</v>
      </c>
      <c r="Y88" s="7">
        <f t="shared" si="268"/>
        <v>96</v>
      </c>
      <c r="Z88" s="7">
        <f>VLOOKUP(A88,Jogos!A:L,3,0)</f>
        <v>48</v>
      </c>
      <c r="AA88" s="7">
        <f t="shared" si="7"/>
        <v>0</v>
      </c>
      <c r="AB88" s="7">
        <f>VLOOKUP(A88,Jogos!A:L,4,0)</f>
        <v>51</v>
      </c>
      <c r="AC88" s="7">
        <f t="shared" si="8"/>
        <v>34</v>
      </c>
      <c r="AD88" s="7"/>
      <c r="AE88" s="7"/>
      <c r="AF88" s="7">
        <f t="shared" si="9"/>
        <v>34</v>
      </c>
      <c r="AG88" s="7">
        <v>3234.8</v>
      </c>
      <c r="AH88" s="7">
        <v>1306.0</v>
      </c>
      <c r="AI88" s="7">
        <v>1175.5</v>
      </c>
      <c r="AJ88" s="7">
        <v>359.3</v>
      </c>
      <c r="AK88" s="7">
        <v>245.7</v>
      </c>
      <c r="AL88" s="7">
        <v>148.2</v>
      </c>
      <c r="AM88" s="7">
        <v>32.0</v>
      </c>
      <c r="AN88" s="7">
        <v>20.0</v>
      </c>
      <c r="AO88" s="7">
        <v>31.2</v>
      </c>
      <c r="AP88" s="9">
        <f t="shared" ref="AP88:AR88" si="278">AG88/$AF88</f>
        <v>95.14117647</v>
      </c>
      <c r="AQ88" s="9">
        <f t="shared" si="278"/>
        <v>38.41176471</v>
      </c>
      <c r="AR88" s="9">
        <f t="shared" si="278"/>
        <v>34.57352941</v>
      </c>
      <c r="AS88" s="9">
        <f t="shared" si="11"/>
        <v>72.98529412</v>
      </c>
      <c r="AT88" s="9">
        <f t="shared" ref="AT88:AV88" si="279">AJ88/$AF88</f>
        <v>10.56764706</v>
      </c>
      <c r="AU88" s="9">
        <f t="shared" si="279"/>
        <v>7.226470588</v>
      </c>
      <c r="AV88" s="9">
        <f t="shared" si="279"/>
        <v>4.358823529</v>
      </c>
      <c r="AW88" s="9">
        <f t="shared" si="13"/>
        <v>11.58529412</v>
      </c>
      <c r="AX88" s="9">
        <f t="shared" ref="AX88:AY88" si="280">AM88/$AF88</f>
        <v>0.9411764706</v>
      </c>
      <c r="AY88" s="9">
        <f t="shared" si="280"/>
        <v>0.5882352941</v>
      </c>
      <c r="AZ88" s="9">
        <f>VLOOKUP(A88,Jogos!A:BN,58,0)</f>
        <v>33.085</v>
      </c>
      <c r="BA88" s="9">
        <f>VLOOKUP(A88,Jogos!A:BN,59,0)</f>
        <v>10.485</v>
      </c>
      <c r="BB88" s="9">
        <f>VLOOKUP(A88,Jogos!A:BN,60,0)</f>
        <v>24.5</v>
      </c>
      <c r="BC88" s="9">
        <f>VLOOKUP(A88,Jogos!A:BN,61,0)</f>
        <v>35.81</v>
      </c>
      <c r="BD88" s="9">
        <f>VLOOKUP(A88,Jogos!A:BN,62,0)</f>
        <v>1034.65</v>
      </c>
      <c r="BE88" s="9">
        <f>VLOOKUP(A88,Jogos!A:BN,63,0)</f>
        <v>1.905</v>
      </c>
      <c r="BF88" s="9">
        <f>VLOOKUP(A88,Jogos!A:BN,64,0)</f>
        <v>21.085</v>
      </c>
      <c r="BG88" s="9">
        <f>VLOOKUP(A88,Jogos!A:BN,65,0)</f>
        <v>45.615</v>
      </c>
      <c r="BH88" s="9">
        <f>VLOOKUP(A88,Jogos!A:BN,66,0)</f>
        <v>27.185</v>
      </c>
      <c r="BI88" s="9"/>
    </row>
    <row r="89" hidden="1">
      <c r="A89" s="10">
        <v>3.0</v>
      </c>
      <c r="B89" s="11" t="s">
        <v>185</v>
      </c>
      <c r="C89" s="2" t="s">
        <v>61</v>
      </c>
      <c r="D89" s="12">
        <v>45823.0</v>
      </c>
      <c r="E89" s="13">
        <v>0.5</v>
      </c>
      <c r="F89" s="5" t="str">
        <f>VLOOKUP(A89,Jogos!A:N,10,0)</f>
        <v>Afternoon</v>
      </c>
      <c r="G89" s="11" t="s">
        <v>186</v>
      </c>
      <c r="H89" s="6" t="str">
        <f>VLOOKUP(A89,Jogos!A:L,12,0)</f>
        <v>Open</v>
      </c>
      <c r="I89" s="6" t="str">
        <f>VLOOKUP(G89,'Estádios e Cidades'!A:B,2,0)</f>
        <v>Pasadena</v>
      </c>
      <c r="J89" s="11" t="s">
        <v>188</v>
      </c>
      <c r="K89" s="2" t="str">
        <f>VLOOKUP(J89,Equipes!A:F,6,0)</f>
        <v>Temperate</v>
      </c>
      <c r="L89" s="2">
        <f>VLOOKUP(J89,Equipes!A:C,3,0)</f>
        <v>17</v>
      </c>
      <c r="M89" s="2" t="str">
        <f t="shared" si="4"/>
        <v>Group</v>
      </c>
      <c r="N89" s="11" t="s">
        <v>187</v>
      </c>
      <c r="O89" s="2">
        <f>VLOOKUP(N89,Equipes!A:C,3,0)</f>
        <v>2</v>
      </c>
      <c r="P89" s="2" t="str">
        <f t="shared" si="5"/>
        <v>Final</v>
      </c>
      <c r="Q89" s="2">
        <f t="shared" si="6"/>
        <v>15</v>
      </c>
      <c r="R89" s="2" t="str">
        <f>VLOOKUP(J89,Equipes!A:B,2,0)</f>
        <v>Atletico</v>
      </c>
      <c r="S89" s="6" t="s">
        <v>247</v>
      </c>
      <c r="T89" s="7">
        <v>23.0</v>
      </c>
      <c r="U89" s="7" t="s">
        <v>248</v>
      </c>
      <c r="V89" s="7" t="str">
        <f>VLOOKUP(U89,Jogadores!B:C,2,0)</f>
        <v>DF</v>
      </c>
      <c r="W89" s="8">
        <f>VLOOKUP(U89,Jogadores!B:D,3,0)</f>
        <v>31.5369863</v>
      </c>
      <c r="X89" s="7">
        <v>62.0</v>
      </c>
      <c r="Y89" s="7">
        <f t="shared" si="268"/>
        <v>96</v>
      </c>
      <c r="Z89" s="7">
        <f>VLOOKUP(A89,Jogos!A:L,3,0)</f>
        <v>48</v>
      </c>
      <c r="AA89" s="7">
        <f t="shared" si="7"/>
        <v>0</v>
      </c>
      <c r="AB89" s="7">
        <f>VLOOKUP(A89,Jogos!A:L,4,0)</f>
        <v>51</v>
      </c>
      <c r="AC89" s="7">
        <f t="shared" si="8"/>
        <v>34</v>
      </c>
      <c r="AD89" s="7"/>
      <c r="AE89" s="7"/>
      <c r="AF89" s="7">
        <f t="shared" si="9"/>
        <v>34</v>
      </c>
      <c r="AG89" s="7">
        <v>3265.2</v>
      </c>
      <c r="AH89" s="7">
        <v>1644.1</v>
      </c>
      <c r="AI89" s="7">
        <v>1105.2</v>
      </c>
      <c r="AJ89" s="7">
        <v>283.5</v>
      </c>
      <c r="AK89" s="7">
        <v>172.8</v>
      </c>
      <c r="AL89" s="7">
        <v>59.5</v>
      </c>
      <c r="AM89" s="7">
        <v>27.0</v>
      </c>
      <c r="AN89" s="7">
        <v>13.0</v>
      </c>
      <c r="AO89" s="7">
        <v>29.3</v>
      </c>
      <c r="AP89" s="9">
        <f t="shared" ref="AP89:AR89" si="281">AG89/$AF89</f>
        <v>96.03529412</v>
      </c>
      <c r="AQ89" s="9">
        <f t="shared" si="281"/>
        <v>48.35588235</v>
      </c>
      <c r="AR89" s="9">
        <f t="shared" si="281"/>
        <v>32.50588235</v>
      </c>
      <c r="AS89" s="9">
        <f t="shared" si="11"/>
        <v>80.86176471</v>
      </c>
      <c r="AT89" s="9">
        <f t="shared" ref="AT89:AV89" si="282">AJ89/$AF89</f>
        <v>8.338235294</v>
      </c>
      <c r="AU89" s="9">
        <f t="shared" si="282"/>
        <v>5.082352941</v>
      </c>
      <c r="AV89" s="9">
        <f t="shared" si="282"/>
        <v>1.75</v>
      </c>
      <c r="AW89" s="9">
        <f t="shared" si="13"/>
        <v>6.832352941</v>
      </c>
      <c r="AX89" s="9">
        <f t="shared" ref="AX89:AY89" si="283">AM89/$AF89</f>
        <v>0.7941176471</v>
      </c>
      <c r="AY89" s="9">
        <f t="shared" si="283"/>
        <v>0.3823529412</v>
      </c>
      <c r="AZ89" s="9">
        <f>VLOOKUP(A89,Jogos!A:BN,58,0)</f>
        <v>33.085</v>
      </c>
      <c r="BA89" s="9">
        <f>VLOOKUP(A89,Jogos!A:BN,59,0)</f>
        <v>10.485</v>
      </c>
      <c r="BB89" s="9">
        <f>VLOOKUP(A89,Jogos!A:BN,60,0)</f>
        <v>24.5</v>
      </c>
      <c r="BC89" s="9">
        <f>VLOOKUP(A89,Jogos!A:BN,61,0)</f>
        <v>35.81</v>
      </c>
      <c r="BD89" s="9">
        <f>VLOOKUP(A89,Jogos!A:BN,62,0)</f>
        <v>1034.65</v>
      </c>
      <c r="BE89" s="9">
        <f>VLOOKUP(A89,Jogos!A:BN,63,0)</f>
        <v>1.905</v>
      </c>
      <c r="BF89" s="9">
        <f>VLOOKUP(A89,Jogos!A:BN,64,0)</f>
        <v>21.085</v>
      </c>
      <c r="BG89" s="9">
        <f>VLOOKUP(A89,Jogos!A:BN,65,0)</f>
        <v>45.615</v>
      </c>
      <c r="BH89" s="9">
        <f>VLOOKUP(A89,Jogos!A:BN,66,0)</f>
        <v>27.185</v>
      </c>
      <c r="BI89" s="9"/>
    </row>
    <row r="90" hidden="1">
      <c r="A90" s="2">
        <v>4.0</v>
      </c>
      <c r="B90" s="2" t="s">
        <v>60</v>
      </c>
      <c r="C90" s="2" t="s">
        <v>61</v>
      </c>
      <c r="D90" s="3">
        <v>45823.0</v>
      </c>
      <c r="E90" s="4">
        <v>0.75</v>
      </c>
      <c r="F90" s="5" t="str">
        <f>VLOOKUP(A90,Jogos!A:N,10,0)</f>
        <v>Evening</v>
      </c>
      <c r="G90" s="2" t="s">
        <v>249</v>
      </c>
      <c r="H90" s="6" t="str">
        <f>VLOOKUP(A90,Jogos!A:L,12,0)</f>
        <v>Open</v>
      </c>
      <c r="I90" s="6" t="str">
        <f>VLOOKUP(G90,'Estádios e Cidades'!A:B,2,0)</f>
        <v>East Rutherford</v>
      </c>
      <c r="J90" s="2" t="s">
        <v>250</v>
      </c>
      <c r="K90" s="2" t="str">
        <f>VLOOKUP(J90,Equipes!A:F,6,0)</f>
        <v>Temperate</v>
      </c>
      <c r="L90" s="2">
        <f>VLOOKUP(J90,Equipes!A:C,3,0)</f>
        <v>8</v>
      </c>
      <c r="M90" s="2" t="str">
        <f t="shared" si="4"/>
        <v>Quarter-final</v>
      </c>
      <c r="N90" s="2" t="s">
        <v>251</v>
      </c>
      <c r="O90" s="2">
        <f>VLOOKUP(N90,Equipes!A:C,3,0)</f>
        <v>23</v>
      </c>
      <c r="P90" s="2" t="str">
        <f t="shared" si="5"/>
        <v>Group</v>
      </c>
      <c r="Q90" s="2">
        <f t="shared" si="6"/>
        <v>-15</v>
      </c>
      <c r="R90" s="2" t="str">
        <f>VLOOKUP(J90,Equipes!A:B,2,0)</f>
        <v>Palmeiras</v>
      </c>
      <c r="S90" s="6" t="s">
        <v>252</v>
      </c>
      <c r="T90" s="7">
        <v>4.0</v>
      </c>
      <c r="U90" s="7" t="s">
        <v>253</v>
      </c>
      <c r="V90" s="7" t="str">
        <f>VLOOKUP(U90,Jogadores!B:C,2,0)</f>
        <v>DF</v>
      </c>
      <c r="W90" s="8">
        <f>VLOOKUP(U90,Jogadores!B:D,3,0)</f>
        <v>21.54520548</v>
      </c>
      <c r="X90" s="7">
        <v>0.0</v>
      </c>
      <c r="Y90" s="7">
        <f t="shared" si="268"/>
        <v>94</v>
      </c>
      <c r="Z90" s="7">
        <f>VLOOKUP(A90,Jogos!A:L,3,0)</f>
        <v>48</v>
      </c>
      <c r="AA90" s="7">
        <f t="shared" si="7"/>
        <v>48</v>
      </c>
      <c r="AB90" s="7">
        <f>VLOOKUP(A90,Jogos!A:L,4,0)</f>
        <v>49</v>
      </c>
      <c r="AC90" s="7">
        <f t="shared" si="8"/>
        <v>49</v>
      </c>
      <c r="AD90" s="7"/>
      <c r="AE90" s="7"/>
      <c r="AF90" s="7">
        <f t="shared" si="9"/>
        <v>97</v>
      </c>
      <c r="AG90" s="7">
        <v>9809.1</v>
      </c>
      <c r="AH90" s="7">
        <v>3477.3</v>
      </c>
      <c r="AI90" s="7">
        <v>4272.5</v>
      </c>
      <c r="AJ90" s="7">
        <v>1361.6</v>
      </c>
      <c r="AK90" s="7">
        <v>507.0</v>
      </c>
      <c r="AL90" s="7">
        <v>190.8</v>
      </c>
      <c r="AM90" s="7">
        <v>108.0</v>
      </c>
      <c r="AN90" s="7">
        <v>41.0</v>
      </c>
      <c r="AO90" s="7">
        <v>30.9</v>
      </c>
      <c r="AP90" s="9">
        <f t="shared" ref="AP90:AR90" si="284">AG90/$AF90</f>
        <v>101.1247423</v>
      </c>
      <c r="AQ90" s="9">
        <f t="shared" si="284"/>
        <v>35.84845361</v>
      </c>
      <c r="AR90" s="9">
        <f t="shared" si="284"/>
        <v>44.04639175</v>
      </c>
      <c r="AS90" s="9">
        <f t="shared" si="11"/>
        <v>79.89484536</v>
      </c>
      <c r="AT90" s="9">
        <f t="shared" ref="AT90:AV90" si="285">AJ90/$AF90</f>
        <v>14.0371134</v>
      </c>
      <c r="AU90" s="9">
        <f t="shared" si="285"/>
        <v>5.226804124</v>
      </c>
      <c r="AV90" s="9">
        <f t="shared" si="285"/>
        <v>1.967010309</v>
      </c>
      <c r="AW90" s="9">
        <f t="shared" si="13"/>
        <v>7.193814433</v>
      </c>
      <c r="AX90" s="9">
        <f t="shared" ref="AX90:AY90" si="286">AM90/$AF90</f>
        <v>1.113402062</v>
      </c>
      <c r="AY90" s="9">
        <f t="shared" si="286"/>
        <v>0.4226804124</v>
      </c>
      <c r="AZ90" s="9">
        <f>VLOOKUP(A90,Jogos!A:BN,58,0)</f>
        <v>17.995</v>
      </c>
      <c r="BA90" s="9">
        <f>VLOOKUP(A90,Jogos!A:BN,59,0)</f>
        <v>13.725</v>
      </c>
      <c r="BB90" s="9">
        <f>VLOOKUP(A90,Jogos!A:BN,60,0)</f>
        <v>75.5</v>
      </c>
      <c r="BC90" s="9">
        <f>VLOOKUP(A90,Jogos!A:BN,61,0)</f>
        <v>15.345</v>
      </c>
      <c r="BD90" s="9">
        <f>VLOOKUP(A90,Jogos!A:BN,62,0)</f>
        <v>51.85</v>
      </c>
      <c r="BE90" s="9">
        <f>VLOOKUP(A90,Jogos!A:BN,63,0)</f>
        <v>0.94</v>
      </c>
      <c r="BF90" s="9">
        <f>VLOOKUP(A90,Jogos!A:BN,64,0)</f>
        <v>17.64</v>
      </c>
      <c r="BG90" s="9">
        <f>VLOOKUP(A90,Jogos!A:BN,65,0)</f>
        <v>30.13</v>
      </c>
      <c r="BH90" s="9">
        <f>VLOOKUP(A90,Jogos!A:BN,66,0)</f>
        <v>20.175</v>
      </c>
      <c r="BI90" s="9"/>
    </row>
    <row r="91" hidden="1">
      <c r="A91" s="2">
        <v>4.0</v>
      </c>
      <c r="B91" s="2" t="s">
        <v>60</v>
      </c>
      <c r="C91" s="2" t="s">
        <v>61</v>
      </c>
      <c r="D91" s="3">
        <v>45823.0</v>
      </c>
      <c r="E91" s="4">
        <v>0.75</v>
      </c>
      <c r="F91" s="5" t="str">
        <f>VLOOKUP(A91,Jogos!A:N,10,0)</f>
        <v>Evening</v>
      </c>
      <c r="G91" s="2" t="s">
        <v>249</v>
      </c>
      <c r="H91" s="6" t="str">
        <f>VLOOKUP(A91,Jogos!A:L,12,0)</f>
        <v>Open</v>
      </c>
      <c r="I91" s="6" t="str">
        <f>VLOOKUP(G91,'Estádios e Cidades'!A:B,2,0)</f>
        <v>East Rutherford</v>
      </c>
      <c r="J91" s="2" t="s">
        <v>250</v>
      </c>
      <c r="K91" s="2" t="str">
        <f>VLOOKUP(J91,Equipes!A:F,6,0)</f>
        <v>Temperate</v>
      </c>
      <c r="L91" s="2">
        <f>VLOOKUP(J91,Equipes!A:C,3,0)</f>
        <v>8</v>
      </c>
      <c r="M91" s="2" t="str">
        <f t="shared" si="4"/>
        <v>Quarter-final</v>
      </c>
      <c r="N91" s="2" t="s">
        <v>251</v>
      </c>
      <c r="O91" s="2">
        <f>VLOOKUP(N91,Equipes!A:C,3,0)</f>
        <v>23</v>
      </c>
      <c r="P91" s="2" t="str">
        <f t="shared" si="5"/>
        <v>Group</v>
      </c>
      <c r="Q91" s="2">
        <f t="shared" si="6"/>
        <v>-15</v>
      </c>
      <c r="R91" s="2" t="str">
        <f>VLOOKUP(J91,Equipes!A:B,2,0)</f>
        <v>Palmeiras</v>
      </c>
      <c r="S91" s="6" t="s">
        <v>254</v>
      </c>
      <c r="T91" s="7">
        <v>5.0</v>
      </c>
      <c r="U91" s="7" t="s">
        <v>255</v>
      </c>
      <c r="V91" s="7" t="str">
        <f>VLOOKUP(U91,Jogadores!B:C,2,0)</f>
        <v>MF</v>
      </c>
      <c r="W91" s="8">
        <f>VLOOKUP(U91,Jogadores!B:D,3,0)</f>
        <v>26.22739726</v>
      </c>
      <c r="X91" s="7">
        <v>0.0</v>
      </c>
      <c r="Y91" s="7">
        <f t="shared" si="268"/>
        <v>94</v>
      </c>
      <c r="Z91" s="7">
        <f>VLOOKUP(A91,Jogos!A:L,3,0)</f>
        <v>48</v>
      </c>
      <c r="AA91" s="7">
        <f t="shared" si="7"/>
        <v>48</v>
      </c>
      <c r="AB91" s="7">
        <f>VLOOKUP(A91,Jogos!A:L,4,0)</f>
        <v>49</v>
      </c>
      <c r="AC91" s="7">
        <f t="shared" si="8"/>
        <v>49</v>
      </c>
      <c r="AD91" s="7"/>
      <c r="AE91" s="7"/>
      <c r="AF91" s="7">
        <f t="shared" si="9"/>
        <v>97</v>
      </c>
      <c r="AG91" s="7">
        <v>10456.4</v>
      </c>
      <c r="AH91" s="7">
        <v>3769.3</v>
      </c>
      <c r="AI91" s="7">
        <v>4546.8</v>
      </c>
      <c r="AJ91" s="7">
        <v>1545.3</v>
      </c>
      <c r="AK91" s="7">
        <v>410.1</v>
      </c>
      <c r="AL91" s="7">
        <v>184.9</v>
      </c>
      <c r="AM91" s="7">
        <v>137.0</v>
      </c>
      <c r="AN91" s="7">
        <v>39.0</v>
      </c>
      <c r="AO91" s="7">
        <v>31.5</v>
      </c>
      <c r="AP91" s="9">
        <f t="shared" ref="AP91:AR91" si="287">AG91/$AF91</f>
        <v>107.7979381</v>
      </c>
      <c r="AQ91" s="9">
        <f t="shared" si="287"/>
        <v>38.85876289</v>
      </c>
      <c r="AR91" s="9">
        <f t="shared" si="287"/>
        <v>46.8742268</v>
      </c>
      <c r="AS91" s="9">
        <f t="shared" si="11"/>
        <v>85.73298969</v>
      </c>
      <c r="AT91" s="9">
        <f t="shared" ref="AT91:AV91" si="288">AJ91/$AF91</f>
        <v>15.93092784</v>
      </c>
      <c r="AU91" s="9">
        <f t="shared" si="288"/>
        <v>4.227835052</v>
      </c>
      <c r="AV91" s="9">
        <f t="shared" si="288"/>
        <v>1.906185567</v>
      </c>
      <c r="AW91" s="9">
        <f t="shared" si="13"/>
        <v>6.134020619</v>
      </c>
      <c r="AX91" s="9">
        <f t="shared" ref="AX91:AY91" si="289">AM91/$AF91</f>
        <v>1.412371134</v>
      </c>
      <c r="AY91" s="9">
        <f t="shared" si="289"/>
        <v>0.4020618557</v>
      </c>
      <c r="AZ91" s="9">
        <f>VLOOKUP(A91,Jogos!A:BN,58,0)</f>
        <v>17.995</v>
      </c>
      <c r="BA91" s="9">
        <f>VLOOKUP(A91,Jogos!A:BN,59,0)</f>
        <v>13.725</v>
      </c>
      <c r="BB91" s="9">
        <f>VLOOKUP(A91,Jogos!A:BN,60,0)</f>
        <v>75.5</v>
      </c>
      <c r="BC91" s="9">
        <f>VLOOKUP(A91,Jogos!A:BN,61,0)</f>
        <v>15.345</v>
      </c>
      <c r="BD91" s="9">
        <f>VLOOKUP(A91,Jogos!A:BN,62,0)</f>
        <v>51.85</v>
      </c>
      <c r="BE91" s="9">
        <f>VLOOKUP(A91,Jogos!A:BN,63,0)</f>
        <v>0.94</v>
      </c>
      <c r="BF91" s="9">
        <f>VLOOKUP(A91,Jogos!A:BN,64,0)</f>
        <v>17.64</v>
      </c>
      <c r="BG91" s="9">
        <f>VLOOKUP(A91,Jogos!A:BN,65,0)</f>
        <v>30.13</v>
      </c>
      <c r="BH91" s="9">
        <f>VLOOKUP(A91,Jogos!A:BN,66,0)</f>
        <v>20.175</v>
      </c>
      <c r="BI91" s="9"/>
    </row>
    <row r="92" hidden="1">
      <c r="A92" s="2">
        <v>4.0</v>
      </c>
      <c r="B92" s="2" t="s">
        <v>60</v>
      </c>
      <c r="C92" s="2" t="s">
        <v>61</v>
      </c>
      <c r="D92" s="3">
        <v>45823.0</v>
      </c>
      <c r="E92" s="4">
        <v>0.75</v>
      </c>
      <c r="F92" s="5" t="str">
        <f>VLOOKUP(A92,Jogos!A:N,10,0)</f>
        <v>Evening</v>
      </c>
      <c r="G92" s="2" t="s">
        <v>249</v>
      </c>
      <c r="H92" s="6" t="str">
        <f>VLOOKUP(A92,Jogos!A:L,12,0)</f>
        <v>Open</v>
      </c>
      <c r="I92" s="6" t="str">
        <f>VLOOKUP(G92,'Estádios e Cidades'!A:B,2,0)</f>
        <v>East Rutherford</v>
      </c>
      <c r="J92" s="2" t="s">
        <v>250</v>
      </c>
      <c r="K92" s="2" t="str">
        <f>VLOOKUP(J92,Equipes!A:F,6,0)</f>
        <v>Temperate</v>
      </c>
      <c r="L92" s="2">
        <f>VLOOKUP(J92,Equipes!A:C,3,0)</f>
        <v>8</v>
      </c>
      <c r="M92" s="2" t="str">
        <f t="shared" si="4"/>
        <v>Quarter-final</v>
      </c>
      <c r="N92" s="2" t="s">
        <v>251</v>
      </c>
      <c r="O92" s="2">
        <f>VLOOKUP(N92,Equipes!A:C,3,0)</f>
        <v>23</v>
      </c>
      <c r="P92" s="2" t="str">
        <f t="shared" si="5"/>
        <v>Group</v>
      </c>
      <c r="Q92" s="2">
        <f t="shared" si="6"/>
        <v>-15</v>
      </c>
      <c r="R92" s="2" t="str">
        <f>VLOOKUP(J92,Equipes!A:B,2,0)</f>
        <v>Palmeiras</v>
      </c>
      <c r="S92" s="6" t="s">
        <v>256</v>
      </c>
      <c r="T92" s="7">
        <v>7.0</v>
      </c>
      <c r="U92" s="7" t="s">
        <v>257</v>
      </c>
      <c r="V92" s="7" t="str">
        <f>VLOOKUP(U92,Jogadores!B:C,2,0)</f>
        <v>MF</v>
      </c>
      <c r="W92" s="8">
        <f>VLOOKUP(U92,Jogadores!B:D,3,0)</f>
        <v>32.30684932</v>
      </c>
      <c r="X92" s="7">
        <v>0.0</v>
      </c>
      <c r="Y92" s="7">
        <v>65.0</v>
      </c>
      <c r="Z92" s="7">
        <f>VLOOKUP(A92,Jogos!A:L,3,0)</f>
        <v>48</v>
      </c>
      <c r="AA92" s="7">
        <f t="shared" si="7"/>
        <v>48</v>
      </c>
      <c r="AB92" s="7">
        <f>VLOOKUP(A92,Jogos!A:L,4,0)</f>
        <v>49</v>
      </c>
      <c r="AC92" s="7">
        <f t="shared" si="8"/>
        <v>20</v>
      </c>
      <c r="AD92" s="7"/>
      <c r="AE92" s="7"/>
      <c r="AF92" s="7">
        <f t="shared" si="9"/>
        <v>68</v>
      </c>
      <c r="AG92" s="7">
        <v>7153.2</v>
      </c>
      <c r="AH92" s="7">
        <v>2482.9</v>
      </c>
      <c r="AI92" s="7">
        <v>2868.3</v>
      </c>
      <c r="AJ92" s="7">
        <v>1133.8</v>
      </c>
      <c r="AK92" s="7">
        <v>438.8</v>
      </c>
      <c r="AL92" s="7">
        <v>229.5</v>
      </c>
      <c r="AM92" s="7">
        <v>98.0</v>
      </c>
      <c r="AN92" s="7">
        <v>40.0</v>
      </c>
      <c r="AO92" s="7">
        <v>31.5</v>
      </c>
      <c r="AP92" s="9">
        <f t="shared" ref="AP92:AR92" si="290">AG92/$AF92</f>
        <v>105.1941176</v>
      </c>
      <c r="AQ92" s="9">
        <f t="shared" si="290"/>
        <v>36.51323529</v>
      </c>
      <c r="AR92" s="9">
        <f t="shared" si="290"/>
        <v>42.18088235</v>
      </c>
      <c r="AS92" s="9">
        <f t="shared" si="11"/>
        <v>78.69411765</v>
      </c>
      <c r="AT92" s="9">
        <f t="shared" ref="AT92:AV92" si="291">AJ92/$AF92</f>
        <v>16.67352941</v>
      </c>
      <c r="AU92" s="9">
        <f t="shared" si="291"/>
        <v>6.452941176</v>
      </c>
      <c r="AV92" s="9">
        <f t="shared" si="291"/>
        <v>3.375</v>
      </c>
      <c r="AW92" s="9">
        <f t="shared" si="13"/>
        <v>9.827941176</v>
      </c>
      <c r="AX92" s="9">
        <f t="shared" ref="AX92:AY92" si="292">AM92/$AF92</f>
        <v>1.441176471</v>
      </c>
      <c r="AY92" s="9">
        <f t="shared" si="292"/>
        <v>0.5882352941</v>
      </c>
      <c r="AZ92" s="9">
        <f>VLOOKUP(A92,Jogos!A:BN,58,0)</f>
        <v>17.995</v>
      </c>
      <c r="BA92" s="9">
        <f>VLOOKUP(A92,Jogos!A:BN,59,0)</f>
        <v>13.725</v>
      </c>
      <c r="BB92" s="9">
        <f>VLOOKUP(A92,Jogos!A:BN,60,0)</f>
        <v>75.5</v>
      </c>
      <c r="BC92" s="9">
        <f>VLOOKUP(A92,Jogos!A:BN,61,0)</f>
        <v>15.345</v>
      </c>
      <c r="BD92" s="9">
        <f>VLOOKUP(A92,Jogos!A:BN,62,0)</f>
        <v>51.85</v>
      </c>
      <c r="BE92" s="9">
        <f>VLOOKUP(A92,Jogos!A:BN,63,0)</f>
        <v>0.94</v>
      </c>
      <c r="BF92" s="9">
        <f>VLOOKUP(A92,Jogos!A:BN,64,0)</f>
        <v>17.64</v>
      </c>
      <c r="BG92" s="9">
        <f>VLOOKUP(A92,Jogos!A:BN,65,0)</f>
        <v>30.13</v>
      </c>
      <c r="BH92" s="9">
        <f>VLOOKUP(A92,Jogos!A:BN,66,0)</f>
        <v>20.175</v>
      </c>
      <c r="BI92" s="9"/>
    </row>
    <row r="93" hidden="1">
      <c r="A93" s="2">
        <v>4.0</v>
      </c>
      <c r="B93" s="2" t="s">
        <v>60</v>
      </c>
      <c r="C93" s="2" t="s">
        <v>61</v>
      </c>
      <c r="D93" s="3">
        <v>45823.0</v>
      </c>
      <c r="E93" s="4">
        <v>0.75</v>
      </c>
      <c r="F93" s="5" t="str">
        <f>VLOOKUP(A93,Jogos!A:N,10,0)</f>
        <v>Evening</v>
      </c>
      <c r="G93" s="2" t="s">
        <v>249</v>
      </c>
      <c r="H93" s="6" t="str">
        <f>VLOOKUP(A93,Jogos!A:L,12,0)</f>
        <v>Open</v>
      </c>
      <c r="I93" s="6" t="str">
        <f>VLOOKUP(G93,'Estádios e Cidades'!A:B,2,0)</f>
        <v>East Rutherford</v>
      </c>
      <c r="J93" s="2" t="s">
        <v>250</v>
      </c>
      <c r="K93" s="2" t="str">
        <f>VLOOKUP(J93,Equipes!A:F,6,0)</f>
        <v>Temperate</v>
      </c>
      <c r="L93" s="2">
        <f>VLOOKUP(J93,Equipes!A:C,3,0)</f>
        <v>8</v>
      </c>
      <c r="M93" s="2" t="str">
        <f t="shared" si="4"/>
        <v>Quarter-final</v>
      </c>
      <c r="N93" s="2" t="s">
        <v>251</v>
      </c>
      <c r="O93" s="2">
        <f>VLOOKUP(N93,Equipes!A:C,3,0)</f>
        <v>23</v>
      </c>
      <c r="P93" s="2" t="str">
        <f t="shared" si="5"/>
        <v>Group</v>
      </c>
      <c r="Q93" s="2">
        <f t="shared" si="6"/>
        <v>-15</v>
      </c>
      <c r="R93" s="2" t="str">
        <f>VLOOKUP(J93,Equipes!A:B,2,0)</f>
        <v>Palmeiras</v>
      </c>
      <c r="S93" s="6" t="s">
        <v>258</v>
      </c>
      <c r="T93" s="7">
        <v>8.0</v>
      </c>
      <c r="U93" s="7" t="s">
        <v>259</v>
      </c>
      <c r="V93" s="7" t="str">
        <f>VLOOKUP(U93,Jogadores!B:C,2,0)</f>
        <v>MF</v>
      </c>
      <c r="W93" s="8">
        <f>VLOOKUP(U93,Jogadores!B:D,3,0)</f>
        <v>25.16986301</v>
      </c>
      <c r="X93" s="7">
        <v>0.0</v>
      </c>
      <c r="Y93" s="7">
        <v>87.0</v>
      </c>
      <c r="Z93" s="7">
        <f>VLOOKUP(A93,Jogos!A:L,3,0)</f>
        <v>48</v>
      </c>
      <c r="AA93" s="7">
        <f t="shared" si="7"/>
        <v>48</v>
      </c>
      <c r="AB93" s="7">
        <f>VLOOKUP(A93,Jogos!A:L,4,0)</f>
        <v>49</v>
      </c>
      <c r="AC93" s="7">
        <f t="shared" si="8"/>
        <v>42</v>
      </c>
      <c r="AD93" s="7"/>
      <c r="AE93" s="7"/>
      <c r="AF93" s="7">
        <f t="shared" si="9"/>
        <v>90</v>
      </c>
      <c r="AG93" s="7">
        <v>9497.5</v>
      </c>
      <c r="AH93" s="7">
        <v>3444.5</v>
      </c>
      <c r="AI93" s="7">
        <v>3065.1</v>
      </c>
      <c r="AJ93" s="7">
        <v>1785.8</v>
      </c>
      <c r="AK93" s="7">
        <v>882.2</v>
      </c>
      <c r="AL93" s="7">
        <v>319.9</v>
      </c>
      <c r="AM93" s="7">
        <v>143.0</v>
      </c>
      <c r="AN93" s="7">
        <v>67.0</v>
      </c>
      <c r="AO93" s="7">
        <v>30.8</v>
      </c>
      <c r="AP93" s="9">
        <f t="shared" ref="AP93:AR93" si="293">AG93/$AF93</f>
        <v>105.5277778</v>
      </c>
      <c r="AQ93" s="9">
        <f t="shared" si="293"/>
        <v>38.27222222</v>
      </c>
      <c r="AR93" s="9">
        <f t="shared" si="293"/>
        <v>34.05666667</v>
      </c>
      <c r="AS93" s="9">
        <f t="shared" si="11"/>
        <v>72.32888889</v>
      </c>
      <c r="AT93" s="9">
        <f t="shared" ref="AT93:AV93" si="294">AJ93/$AF93</f>
        <v>19.84222222</v>
      </c>
      <c r="AU93" s="9">
        <f t="shared" si="294"/>
        <v>9.802222222</v>
      </c>
      <c r="AV93" s="9">
        <f t="shared" si="294"/>
        <v>3.554444444</v>
      </c>
      <c r="AW93" s="9">
        <f t="shared" si="13"/>
        <v>13.35666667</v>
      </c>
      <c r="AX93" s="9">
        <f t="shared" ref="AX93:AY93" si="295">AM93/$AF93</f>
        <v>1.588888889</v>
      </c>
      <c r="AY93" s="9">
        <f t="shared" si="295"/>
        <v>0.7444444444</v>
      </c>
      <c r="AZ93" s="9">
        <f>VLOOKUP(A93,Jogos!A:BN,58,0)</f>
        <v>17.995</v>
      </c>
      <c r="BA93" s="9">
        <f>VLOOKUP(A93,Jogos!A:BN,59,0)</f>
        <v>13.725</v>
      </c>
      <c r="BB93" s="9">
        <f>VLOOKUP(A93,Jogos!A:BN,60,0)</f>
        <v>75.5</v>
      </c>
      <c r="BC93" s="9">
        <f>VLOOKUP(A93,Jogos!A:BN,61,0)</f>
        <v>15.345</v>
      </c>
      <c r="BD93" s="9">
        <f>VLOOKUP(A93,Jogos!A:BN,62,0)</f>
        <v>51.85</v>
      </c>
      <c r="BE93" s="9">
        <f>VLOOKUP(A93,Jogos!A:BN,63,0)</f>
        <v>0.94</v>
      </c>
      <c r="BF93" s="9">
        <f>VLOOKUP(A93,Jogos!A:BN,64,0)</f>
        <v>17.64</v>
      </c>
      <c r="BG93" s="9">
        <f>VLOOKUP(A93,Jogos!A:BN,65,0)</f>
        <v>30.13</v>
      </c>
      <c r="BH93" s="9">
        <f>VLOOKUP(A93,Jogos!A:BN,66,0)</f>
        <v>20.175</v>
      </c>
      <c r="BI93" s="9"/>
    </row>
    <row r="94" hidden="1">
      <c r="A94" s="2">
        <v>4.0</v>
      </c>
      <c r="B94" s="2" t="s">
        <v>60</v>
      </c>
      <c r="C94" s="2" t="s">
        <v>61</v>
      </c>
      <c r="D94" s="3">
        <v>45823.0</v>
      </c>
      <c r="E94" s="4">
        <v>0.75</v>
      </c>
      <c r="F94" s="5" t="str">
        <f>VLOOKUP(A94,Jogos!A:N,10,0)</f>
        <v>Evening</v>
      </c>
      <c r="G94" s="2" t="s">
        <v>249</v>
      </c>
      <c r="H94" s="6" t="str">
        <f>VLOOKUP(A94,Jogos!A:L,12,0)</f>
        <v>Open</v>
      </c>
      <c r="I94" s="6" t="str">
        <f>VLOOKUP(G94,'Estádios e Cidades'!A:B,2,0)</f>
        <v>East Rutherford</v>
      </c>
      <c r="J94" s="2" t="s">
        <v>250</v>
      </c>
      <c r="K94" s="2" t="str">
        <f>VLOOKUP(J94,Equipes!A:F,6,0)</f>
        <v>Temperate</v>
      </c>
      <c r="L94" s="2">
        <f>VLOOKUP(J94,Equipes!A:C,3,0)</f>
        <v>8</v>
      </c>
      <c r="M94" s="2" t="str">
        <f t="shared" si="4"/>
        <v>Quarter-final</v>
      </c>
      <c r="N94" s="2" t="s">
        <v>251</v>
      </c>
      <c r="O94" s="2">
        <f>VLOOKUP(N94,Equipes!A:C,3,0)</f>
        <v>23</v>
      </c>
      <c r="P94" s="2" t="str">
        <f t="shared" si="5"/>
        <v>Group</v>
      </c>
      <c r="Q94" s="2">
        <f t="shared" si="6"/>
        <v>-15</v>
      </c>
      <c r="R94" s="2" t="str">
        <f>VLOOKUP(J94,Equipes!A:B,2,0)</f>
        <v>Palmeiras</v>
      </c>
      <c r="S94" s="6" t="s">
        <v>260</v>
      </c>
      <c r="T94" s="7">
        <v>9.0</v>
      </c>
      <c r="U94" s="7" t="s">
        <v>261</v>
      </c>
      <c r="V94" s="7" t="str">
        <f>VLOOKUP(U94,Jogadores!B:C,2,0)</f>
        <v>FW</v>
      </c>
      <c r="W94" s="8">
        <f>VLOOKUP(U94,Jogadores!B:D,3,0)</f>
        <v>20.42465753</v>
      </c>
      <c r="X94" s="7">
        <v>0.0</v>
      </c>
      <c r="Y94" s="7">
        <v>77.0</v>
      </c>
      <c r="Z94" s="7">
        <f>VLOOKUP(A94,Jogos!A:L,3,0)</f>
        <v>48</v>
      </c>
      <c r="AA94" s="7">
        <f t="shared" si="7"/>
        <v>48</v>
      </c>
      <c r="AB94" s="7">
        <f>VLOOKUP(A94,Jogos!A:L,4,0)</f>
        <v>49</v>
      </c>
      <c r="AC94" s="7">
        <f t="shared" si="8"/>
        <v>32</v>
      </c>
      <c r="AD94" s="7"/>
      <c r="AE94" s="7"/>
      <c r="AF94" s="7">
        <f t="shared" si="9"/>
        <v>80</v>
      </c>
      <c r="AG94" s="7">
        <v>8086.5</v>
      </c>
      <c r="AH94" s="7">
        <v>3268.2</v>
      </c>
      <c r="AI94" s="7">
        <v>3019.7</v>
      </c>
      <c r="AJ94" s="7">
        <v>966.3</v>
      </c>
      <c r="AK94" s="7">
        <v>524.3</v>
      </c>
      <c r="AL94" s="7">
        <v>308.0</v>
      </c>
      <c r="AM94" s="7">
        <v>81.0</v>
      </c>
      <c r="AN94" s="7">
        <v>50.0</v>
      </c>
      <c r="AO94" s="7">
        <v>33.7</v>
      </c>
      <c r="AP94" s="9">
        <f t="shared" ref="AP94:AR94" si="296">AG94/$AF94</f>
        <v>101.08125</v>
      </c>
      <c r="AQ94" s="9">
        <f t="shared" si="296"/>
        <v>40.8525</v>
      </c>
      <c r="AR94" s="9">
        <f t="shared" si="296"/>
        <v>37.74625</v>
      </c>
      <c r="AS94" s="9">
        <f t="shared" si="11"/>
        <v>78.59875</v>
      </c>
      <c r="AT94" s="9">
        <f t="shared" ref="AT94:AV94" si="297">AJ94/$AF94</f>
        <v>12.07875</v>
      </c>
      <c r="AU94" s="9">
        <f t="shared" si="297"/>
        <v>6.55375</v>
      </c>
      <c r="AV94" s="9">
        <f t="shared" si="297"/>
        <v>3.85</v>
      </c>
      <c r="AW94" s="9">
        <f t="shared" si="13"/>
        <v>10.40375</v>
      </c>
      <c r="AX94" s="9">
        <f t="shared" ref="AX94:AY94" si="298">AM94/$AF94</f>
        <v>1.0125</v>
      </c>
      <c r="AY94" s="9">
        <f t="shared" si="298"/>
        <v>0.625</v>
      </c>
      <c r="AZ94" s="9">
        <f>VLOOKUP(A94,Jogos!A:BN,58,0)</f>
        <v>17.995</v>
      </c>
      <c r="BA94" s="9">
        <f>VLOOKUP(A94,Jogos!A:BN,59,0)</f>
        <v>13.725</v>
      </c>
      <c r="BB94" s="9">
        <f>VLOOKUP(A94,Jogos!A:BN,60,0)</f>
        <v>75.5</v>
      </c>
      <c r="BC94" s="9">
        <f>VLOOKUP(A94,Jogos!A:BN,61,0)</f>
        <v>15.345</v>
      </c>
      <c r="BD94" s="9">
        <f>VLOOKUP(A94,Jogos!A:BN,62,0)</f>
        <v>51.85</v>
      </c>
      <c r="BE94" s="9">
        <f>VLOOKUP(A94,Jogos!A:BN,63,0)</f>
        <v>0.94</v>
      </c>
      <c r="BF94" s="9">
        <f>VLOOKUP(A94,Jogos!A:BN,64,0)</f>
        <v>17.64</v>
      </c>
      <c r="BG94" s="9">
        <f>VLOOKUP(A94,Jogos!A:BN,65,0)</f>
        <v>30.13</v>
      </c>
      <c r="BH94" s="9">
        <f>VLOOKUP(A94,Jogos!A:BN,66,0)</f>
        <v>20.175</v>
      </c>
      <c r="BI94" s="9"/>
    </row>
    <row r="95" hidden="1">
      <c r="A95" s="2">
        <v>4.0</v>
      </c>
      <c r="B95" s="2" t="s">
        <v>60</v>
      </c>
      <c r="C95" s="2" t="s">
        <v>61</v>
      </c>
      <c r="D95" s="3">
        <v>45823.0</v>
      </c>
      <c r="E95" s="4">
        <v>0.75</v>
      </c>
      <c r="F95" s="5" t="str">
        <f>VLOOKUP(A95,Jogos!A:N,10,0)</f>
        <v>Evening</v>
      </c>
      <c r="G95" s="2" t="s">
        <v>249</v>
      </c>
      <c r="H95" s="6" t="str">
        <f>VLOOKUP(A95,Jogos!A:L,12,0)</f>
        <v>Open</v>
      </c>
      <c r="I95" s="6" t="str">
        <f>VLOOKUP(G95,'Estádios e Cidades'!A:B,2,0)</f>
        <v>East Rutherford</v>
      </c>
      <c r="J95" s="2" t="s">
        <v>250</v>
      </c>
      <c r="K95" s="2" t="str">
        <f>VLOOKUP(J95,Equipes!A:F,6,0)</f>
        <v>Temperate</v>
      </c>
      <c r="L95" s="2">
        <f>VLOOKUP(J95,Equipes!A:C,3,0)</f>
        <v>8</v>
      </c>
      <c r="M95" s="2" t="str">
        <f t="shared" si="4"/>
        <v>Quarter-final</v>
      </c>
      <c r="N95" s="2" t="s">
        <v>251</v>
      </c>
      <c r="O95" s="2">
        <f>VLOOKUP(N95,Equipes!A:C,3,0)</f>
        <v>23</v>
      </c>
      <c r="P95" s="2" t="str">
        <f t="shared" si="5"/>
        <v>Group</v>
      </c>
      <c r="Q95" s="2">
        <f t="shared" si="6"/>
        <v>-15</v>
      </c>
      <c r="R95" s="2" t="str">
        <f>VLOOKUP(J95,Equipes!A:B,2,0)</f>
        <v>Palmeiras</v>
      </c>
      <c r="S95" s="6" t="s">
        <v>262</v>
      </c>
      <c r="T95" s="7">
        <v>15.0</v>
      </c>
      <c r="U95" s="7" t="s">
        <v>263</v>
      </c>
      <c r="V95" s="7" t="str">
        <f>VLOOKUP(U95,Jogadores!B:C,2,0)</f>
        <v>DF</v>
      </c>
      <c r="W95" s="8">
        <f>VLOOKUP(U95,Jogadores!B:D,3,0)</f>
        <v>32.24931507</v>
      </c>
      <c r="X95" s="7">
        <v>0.0</v>
      </c>
      <c r="Y95" s="7">
        <f>45+AB95</f>
        <v>94</v>
      </c>
      <c r="Z95" s="7">
        <f>VLOOKUP(A95,Jogos!A:L,3,0)</f>
        <v>48</v>
      </c>
      <c r="AA95" s="7">
        <f t="shared" si="7"/>
        <v>48</v>
      </c>
      <c r="AB95" s="7">
        <f>VLOOKUP(A95,Jogos!A:L,4,0)</f>
        <v>49</v>
      </c>
      <c r="AC95" s="7">
        <f t="shared" si="8"/>
        <v>49</v>
      </c>
      <c r="AD95" s="7"/>
      <c r="AE95" s="7"/>
      <c r="AF95" s="7">
        <f t="shared" si="9"/>
        <v>97</v>
      </c>
      <c r="AG95" s="7">
        <v>8972.7</v>
      </c>
      <c r="AH95" s="7">
        <v>4154.6</v>
      </c>
      <c r="AI95" s="7">
        <v>3300.9</v>
      </c>
      <c r="AJ95" s="7">
        <v>1029.9</v>
      </c>
      <c r="AK95" s="7">
        <v>398.5</v>
      </c>
      <c r="AL95" s="7">
        <v>88.7</v>
      </c>
      <c r="AM95" s="7">
        <v>94.0</v>
      </c>
      <c r="AN95" s="7">
        <v>31.0</v>
      </c>
      <c r="AO95" s="7">
        <v>29.4</v>
      </c>
      <c r="AP95" s="9">
        <f t="shared" ref="AP95:AR95" si="299">AG95/$AF95</f>
        <v>92.50206186</v>
      </c>
      <c r="AQ95" s="9">
        <f t="shared" si="299"/>
        <v>42.83092784</v>
      </c>
      <c r="AR95" s="9">
        <f t="shared" si="299"/>
        <v>34.02989691</v>
      </c>
      <c r="AS95" s="9">
        <f t="shared" si="11"/>
        <v>76.86082474</v>
      </c>
      <c r="AT95" s="9">
        <f t="shared" ref="AT95:AV95" si="300">AJ95/$AF95</f>
        <v>10.61752577</v>
      </c>
      <c r="AU95" s="9">
        <f t="shared" si="300"/>
        <v>4.108247423</v>
      </c>
      <c r="AV95" s="9">
        <f t="shared" si="300"/>
        <v>0.9144329897</v>
      </c>
      <c r="AW95" s="9">
        <f t="shared" si="13"/>
        <v>5.022680412</v>
      </c>
      <c r="AX95" s="9">
        <f t="shared" ref="AX95:AY95" si="301">AM95/$AF95</f>
        <v>0.9690721649</v>
      </c>
      <c r="AY95" s="9">
        <f t="shared" si="301"/>
        <v>0.3195876289</v>
      </c>
      <c r="AZ95" s="9">
        <f>VLOOKUP(A95,Jogos!A:BN,58,0)</f>
        <v>17.995</v>
      </c>
      <c r="BA95" s="9">
        <f>VLOOKUP(A95,Jogos!A:BN,59,0)</f>
        <v>13.725</v>
      </c>
      <c r="BB95" s="9">
        <f>VLOOKUP(A95,Jogos!A:BN,60,0)</f>
        <v>75.5</v>
      </c>
      <c r="BC95" s="9">
        <f>VLOOKUP(A95,Jogos!A:BN,61,0)</f>
        <v>15.345</v>
      </c>
      <c r="BD95" s="9">
        <f>VLOOKUP(A95,Jogos!A:BN,62,0)</f>
        <v>51.85</v>
      </c>
      <c r="BE95" s="9">
        <f>VLOOKUP(A95,Jogos!A:BN,63,0)</f>
        <v>0.94</v>
      </c>
      <c r="BF95" s="9">
        <f>VLOOKUP(A95,Jogos!A:BN,64,0)</f>
        <v>17.64</v>
      </c>
      <c r="BG95" s="9">
        <f>VLOOKUP(A95,Jogos!A:BN,65,0)</f>
        <v>30.13</v>
      </c>
      <c r="BH95" s="9">
        <f>VLOOKUP(A95,Jogos!A:BN,66,0)</f>
        <v>20.175</v>
      </c>
      <c r="BI95" s="9"/>
    </row>
    <row r="96" hidden="1">
      <c r="A96" s="2">
        <v>4.0</v>
      </c>
      <c r="B96" s="2" t="s">
        <v>60</v>
      </c>
      <c r="C96" s="2" t="s">
        <v>61</v>
      </c>
      <c r="D96" s="3">
        <v>45823.0</v>
      </c>
      <c r="E96" s="4">
        <v>0.75</v>
      </c>
      <c r="F96" s="5" t="str">
        <f>VLOOKUP(A96,Jogos!A:N,10,0)</f>
        <v>Evening</v>
      </c>
      <c r="G96" s="2" t="s">
        <v>249</v>
      </c>
      <c r="H96" s="6" t="str">
        <f>VLOOKUP(A96,Jogos!A:L,12,0)</f>
        <v>Open</v>
      </c>
      <c r="I96" s="6" t="str">
        <f>VLOOKUP(G96,'Estádios e Cidades'!A:B,2,0)</f>
        <v>East Rutherford</v>
      </c>
      <c r="J96" s="2" t="s">
        <v>250</v>
      </c>
      <c r="K96" s="2" t="str">
        <f>VLOOKUP(J96,Equipes!A:F,6,0)</f>
        <v>Temperate</v>
      </c>
      <c r="L96" s="2">
        <f>VLOOKUP(J96,Equipes!A:C,3,0)</f>
        <v>8</v>
      </c>
      <c r="M96" s="2" t="str">
        <f t="shared" si="4"/>
        <v>Quarter-final</v>
      </c>
      <c r="N96" s="2" t="s">
        <v>251</v>
      </c>
      <c r="O96" s="2">
        <f>VLOOKUP(N96,Equipes!A:C,3,0)</f>
        <v>23</v>
      </c>
      <c r="P96" s="2" t="str">
        <f t="shared" si="5"/>
        <v>Group</v>
      </c>
      <c r="Q96" s="2">
        <f t="shared" si="6"/>
        <v>-15</v>
      </c>
      <c r="R96" s="2" t="str">
        <f>VLOOKUP(J96,Equipes!A:B,2,0)</f>
        <v>Palmeiras</v>
      </c>
      <c r="S96" s="6" t="s">
        <v>264</v>
      </c>
      <c r="T96" s="7">
        <v>18.0</v>
      </c>
      <c r="U96" s="7" t="s">
        <v>265</v>
      </c>
      <c r="V96" s="7" t="str">
        <f>VLOOKUP(U96,Jogadores!B:C,2,0)</f>
        <v>FW</v>
      </c>
      <c r="W96" s="8">
        <f>VLOOKUP(U96,Jogadores!B:D,3,0)</f>
        <v>24.11506849</v>
      </c>
      <c r="X96" s="7">
        <v>0.0</v>
      </c>
      <c r="Y96" s="7">
        <v>65.0</v>
      </c>
      <c r="Z96" s="7">
        <f>VLOOKUP(A96,Jogos!A:L,3,0)</f>
        <v>48</v>
      </c>
      <c r="AA96" s="7">
        <f t="shared" si="7"/>
        <v>48</v>
      </c>
      <c r="AB96" s="7">
        <f>VLOOKUP(A96,Jogos!A:L,4,0)</f>
        <v>49</v>
      </c>
      <c r="AC96" s="7">
        <f t="shared" si="8"/>
        <v>20</v>
      </c>
      <c r="AD96" s="7"/>
      <c r="AE96" s="7"/>
      <c r="AF96" s="7">
        <f t="shared" si="9"/>
        <v>68</v>
      </c>
      <c r="AG96" s="7">
        <v>7512.0</v>
      </c>
      <c r="AH96" s="7">
        <v>2591.4</v>
      </c>
      <c r="AI96" s="7">
        <v>2892.1</v>
      </c>
      <c r="AJ96" s="7">
        <v>1335.0</v>
      </c>
      <c r="AK96" s="7">
        <v>532.3</v>
      </c>
      <c r="AL96" s="7">
        <v>161.1</v>
      </c>
      <c r="AM96" s="7">
        <v>128.0</v>
      </c>
      <c r="AN96" s="7">
        <v>44.0</v>
      </c>
      <c r="AO96" s="7">
        <v>30.6</v>
      </c>
      <c r="AP96" s="9">
        <f t="shared" ref="AP96:AR96" si="302">AG96/$AF96</f>
        <v>110.4705882</v>
      </c>
      <c r="AQ96" s="9">
        <f t="shared" si="302"/>
        <v>38.10882353</v>
      </c>
      <c r="AR96" s="9">
        <f t="shared" si="302"/>
        <v>42.53088235</v>
      </c>
      <c r="AS96" s="9">
        <f t="shared" si="11"/>
        <v>80.63970588</v>
      </c>
      <c r="AT96" s="9">
        <f t="shared" ref="AT96:AV96" si="303">AJ96/$AF96</f>
        <v>19.63235294</v>
      </c>
      <c r="AU96" s="9">
        <f t="shared" si="303"/>
        <v>7.827941176</v>
      </c>
      <c r="AV96" s="9">
        <f t="shared" si="303"/>
        <v>2.369117647</v>
      </c>
      <c r="AW96" s="9">
        <f t="shared" si="13"/>
        <v>10.19705882</v>
      </c>
      <c r="AX96" s="9">
        <f t="shared" ref="AX96:AY96" si="304">AM96/$AF96</f>
        <v>1.882352941</v>
      </c>
      <c r="AY96" s="9">
        <f t="shared" si="304"/>
        <v>0.6470588235</v>
      </c>
      <c r="AZ96" s="9">
        <f>VLOOKUP(A96,Jogos!A:BN,58,0)</f>
        <v>17.995</v>
      </c>
      <c r="BA96" s="9">
        <f>VLOOKUP(A96,Jogos!A:BN,59,0)</f>
        <v>13.725</v>
      </c>
      <c r="BB96" s="9">
        <f>VLOOKUP(A96,Jogos!A:BN,60,0)</f>
        <v>75.5</v>
      </c>
      <c r="BC96" s="9">
        <f>VLOOKUP(A96,Jogos!A:BN,61,0)</f>
        <v>15.345</v>
      </c>
      <c r="BD96" s="9">
        <f>VLOOKUP(A96,Jogos!A:BN,62,0)</f>
        <v>51.85</v>
      </c>
      <c r="BE96" s="9">
        <f>VLOOKUP(A96,Jogos!A:BN,63,0)</f>
        <v>0.94</v>
      </c>
      <c r="BF96" s="9">
        <f>VLOOKUP(A96,Jogos!A:BN,64,0)</f>
        <v>17.64</v>
      </c>
      <c r="BG96" s="9">
        <f>VLOOKUP(A96,Jogos!A:BN,65,0)</f>
        <v>30.13</v>
      </c>
      <c r="BH96" s="9">
        <f>VLOOKUP(A96,Jogos!A:BN,66,0)</f>
        <v>20.175</v>
      </c>
      <c r="BI96" s="9"/>
    </row>
    <row r="97" hidden="1">
      <c r="A97" s="2">
        <v>4.0</v>
      </c>
      <c r="B97" s="2" t="s">
        <v>60</v>
      </c>
      <c r="C97" s="2" t="s">
        <v>61</v>
      </c>
      <c r="D97" s="3">
        <v>45823.0</v>
      </c>
      <c r="E97" s="4">
        <v>0.75</v>
      </c>
      <c r="F97" s="5" t="str">
        <f>VLOOKUP(A97,Jogos!A:N,10,0)</f>
        <v>Evening</v>
      </c>
      <c r="G97" s="2" t="s">
        <v>249</v>
      </c>
      <c r="H97" s="6" t="str">
        <f>VLOOKUP(A97,Jogos!A:L,12,0)</f>
        <v>Open</v>
      </c>
      <c r="I97" s="6" t="str">
        <f>VLOOKUP(G97,'Estádios e Cidades'!A:B,2,0)</f>
        <v>East Rutherford</v>
      </c>
      <c r="J97" s="2" t="s">
        <v>250</v>
      </c>
      <c r="K97" s="2" t="str">
        <f>VLOOKUP(J97,Equipes!A:F,6,0)</f>
        <v>Temperate</v>
      </c>
      <c r="L97" s="2">
        <f>VLOOKUP(J97,Equipes!A:C,3,0)</f>
        <v>8</v>
      </c>
      <c r="M97" s="2" t="str">
        <f t="shared" si="4"/>
        <v>Quarter-final</v>
      </c>
      <c r="N97" s="2" t="s">
        <v>251</v>
      </c>
      <c r="O97" s="2">
        <f>VLOOKUP(N97,Equipes!A:C,3,0)</f>
        <v>23</v>
      </c>
      <c r="P97" s="2" t="str">
        <f t="shared" si="5"/>
        <v>Group</v>
      </c>
      <c r="Q97" s="2">
        <f t="shared" si="6"/>
        <v>-15</v>
      </c>
      <c r="R97" s="2" t="str">
        <f>VLOOKUP(J97,Equipes!A:B,2,0)</f>
        <v>Palmeiras</v>
      </c>
      <c r="S97" s="6" t="s">
        <v>266</v>
      </c>
      <c r="T97" s="7">
        <v>22.0</v>
      </c>
      <c r="U97" s="7" t="s">
        <v>267</v>
      </c>
      <c r="V97" s="7" t="str">
        <f>VLOOKUP(U97,Jogadores!B:C,2,0)</f>
        <v>DF</v>
      </c>
      <c r="W97" s="8">
        <f>VLOOKUP(U97,Jogadores!B:D,3,0)</f>
        <v>26.94520548</v>
      </c>
      <c r="X97" s="7">
        <v>0.0</v>
      </c>
      <c r="Y97" s="7">
        <f t="shared" ref="Y97:Y98" si="308">45+AB97</f>
        <v>94</v>
      </c>
      <c r="Z97" s="7">
        <f>VLOOKUP(A97,Jogos!A:L,3,0)</f>
        <v>48</v>
      </c>
      <c r="AA97" s="7">
        <f t="shared" si="7"/>
        <v>48</v>
      </c>
      <c r="AB97" s="7">
        <f>VLOOKUP(A97,Jogos!A:L,4,0)</f>
        <v>49</v>
      </c>
      <c r="AC97" s="7">
        <f t="shared" si="8"/>
        <v>49</v>
      </c>
      <c r="AD97" s="7"/>
      <c r="AE97" s="7"/>
      <c r="AF97" s="7">
        <f t="shared" si="9"/>
        <v>97</v>
      </c>
      <c r="AG97" s="7">
        <v>10014.0</v>
      </c>
      <c r="AH97" s="7">
        <v>4086.8</v>
      </c>
      <c r="AI97" s="7">
        <v>3282.9</v>
      </c>
      <c r="AJ97" s="7">
        <v>1499.1</v>
      </c>
      <c r="AK97" s="7">
        <v>806.2</v>
      </c>
      <c r="AL97" s="7">
        <v>339.1</v>
      </c>
      <c r="AM97" s="7">
        <v>129.0</v>
      </c>
      <c r="AN97" s="7">
        <v>61.0</v>
      </c>
      <c r="AO97" s="7">
        <v>32.4</v>
      </c>
      <c r="AP97" s="9">
        <f t="shared" ref="AP97:AR97" si="305">AG97/$AF97</f>
        <v>103.2371134</v>
      </c>
      <c r="AQ97" s="9">
        <f t="shared" si="305"/>
        <v>42.13195876</v>
      </c>
      <c r="AR97" s="9">
        <f t="shared" si="305"/>
        <v>33.8443299</v>
      </c>
      <c r="AS97" s="9">
        <f t="shared" si="11"/>
        <v>75.97628866</v>
      </c>
      <c r="AT97" s="9">
        <f t="shared" ref="AT97:AV97" si="306">AJ97/$AF97</f>
        <v>15.45463918</v>
      </c>
      <c r="AU97" s="9">
        <f t="shared" si="306"/>
        <v>8.311340206</v>
      </c>
      <c r="AV97" s="9">
        <f t="shared" si="306"/>
        <v>3.495876289</v>
      </c>
      <c r="AW97" s="9">
        <f t="shared" si="13"/>
        <v>11.80721649</v>
      </c>
      <c r="AX97" s="9">
        <f t="shared" ref="AX97:AY97" si="307">AM97/$AF97</f>
        <v>1.329896907</v>
      </c>
      <c r="AY97" s="9">
        <f t="shared" si="307"/>
        <v>0.6288659794</v>
      </c>
      <c r="AZ97" s="9">
        <f>VLOOKUP(A97,Jogos!A:BN,58,0)</f>
        <v>17.995</v>
      </c>
      <c r="BA97" s="9">
        <f>VLOOKUP(A97,Jogos!A:BN,59,0)</f>
        <v>13.725</v>
      </c>
      <c r="BB97" s="9">
        <f>VLOOKUP(A97,Jogos!A:BN,60,0)</f>
        <v>75.5</v>
      </c>
      <c r="BC97" s="9">
        <f>VLOOKUP(A97,Jogos!A:BN,61,0)</f>
        <v>15.345</v>
      </c>
      <c r="BD97" s="9">
        <f>VLOOKUP(A97,Jogos!A:BN,62,0)</f>
        <v>51.85</v>
      </c>
      <c r="BE97" s="9">
        <f>VLOOKUP(A97,Jogos!A:BN,63,0)</f>
        <v>0.94</v>
      </c>
      <c r="BF97" s="9">
        <f>VLOOKUP(A97,Jogos!A:BN,64,0)</f>
        <v>17.64</v>
      </c>
      <c r="BG97" s="9">
        <f>VLOOKUP(A97,Jogos!A:BN,65,0)</f>
        <v>30.13</v>
      </c>
      <c r="BH97" s="9">
        <f>VLOOKUP(A97,Jogos!A:BN,66,0)</f>
        <v>20.175</v>
      </c>
      <c r="BI97" s="9"/>
    </row>
    <row r="98" hidden="1">
      <c r="A98" s="2">
        <v>4.0</v>
      </c>
      <c r="B98" s="2" t="s">
        <v>60</v>
      </c>
      <c r="C98" s="2" t="s">
        <v>61</v>
      </c>
      <c r="D98" s="3">
        <v>45823.0</v>
      </c>
      <c r="E98" s="4">
        <v>0.75</v>
      </c>
      <c r="F98" s="5" t="str">
        <f>VLOOKUP(A98,Jogos!A:N,10,0)</f>
        <v>Evening</v>
      </c>
      <c r="G98" s="2" t="s">
        <v>249</v>
      </c>
      <c r="H98" s="6" t="str">
        <f>VLOOKUP(A98,Jogos!A:L,12,0)</f>
        <v>Open</v>
      </c>
      <c r="I98" s="6" t="str">
        <f>VLOOKUP(G98,'Estádios e Cidades'!A:B,2,0)</f>
        <v>East Rutherford</v>
      </c>
      <c r="J98" s="2" t="s">
        <v>250</v>
      </c>
      <c r="K98" s="2" t="str">
        <f>VLOOKUP(J98,Equipes!A:F,6,0)</f>
        <v>Temperate</v>
      </c>
      <c r="L98" s="2">
        <f>VLOOKUP(J98,Equipes!A:C,3,0)</f>
        <v>8</v>
      </c>
      <c r="M98" s="2" t="str">
        <f t="shared" si="4"/>
        <v>Quarter-final</v>
      </c>
      <c r="N98" s="2" t="s">
        <v>251</v>
      </c>
      <c r="O98" s="2">
        <f>VLOOKUP(N98,Equipes!A:C,3,0)</f>
        <v>23</v>
      </c>
      <c r="P98" s="2" t="str">
        <f t="shared" si="5"/>
        <v>Group</v>
      </c>
      <c r="Q98" s="2">
        <f t="shared" si="6"/>
        <v>-15</v>
      </c>
      <c r="R98" s="2" t="str">
        <f>VLOOKUP(J98,Equipes!A:B,2,0)</f>
        <v>Palmeiras</v>
      </c>
      <c r="S98" s="6" t="s">
        <v>268</v>
      </c>
      <c r="T98" s="7">
        <v>26.0</v>
      </c>
      <c r="U98" s="7" t="s">
        <v>269</v>
      </c>
      <c r="V98" s="7" t="str">
        <f>VLOOKUP(U98,Jogadores!B:C,2,0)</f>
        <v>DF</v>
      </c>
      <c r="W98" s="8">
        <f>VLOOKUP(U98,Jogadores!B:D,3,0)</f>
        <v>28.35616438</v>
      </c>
      <c r="X98" s="7">
        <v>0.0</v>
      </c>
      <c r="Y98" s="7">
        <f t="shared" si="308"/>
        <v>94</v>
      </c>
      <c r="Z98" s="7">
        <f>VLOOKUP(A98,Jogos!A:L,3,0)</f>
        <v>48</v>
      </c>
      <c r="AA98" s="7">
        <f t="shared" si="7"/>
        <v>48</v>
      </c>
      <c r="AB98" s="7">
        <f>VLOOKUP(A98,Jogos!A:L,4,0)</f>
        <v>49</v>
      </c>
      <c r="AC98" s="7">
        <f t="shared" si="8"/>
        <v>49</v>
      </c>
      <c r="AD98" s="7"/>
      <c r="AE98" s="7"/>
      <c r="AF98" s="7">
        <f t="shared" si="9"/>
        <v>97</v>
      </c>
      <c r="AG98" s="7">
        <v>8506.5</v>
      </c>
      <c r="AH98" s="7">
        <v>3487.0</v>
      </c>
      <c r="AI98" s="7">
        <v>3389.7</v>
      </c>
      <c r="AJ98" s="7">
        <v>1075.5</v>
      </c>
      <c r="AK98" s="7">
        <v>437.3</v>
      </c>
      <c r="AL98" s="7">
        <v>117.0</v>
      </c>
      <c r="AM98" s="7">
        <v>99.0</v>
      </c>
      <c r="AN98" s="7">
        <v>36.0</v>
      </c>
      <c r="AO98" s="7">
        <v>30.0</v>
      </c>
      <c r="AP98" s="9">
        <f t="shared" ref="AP98:AR98" si="309">AG98/$AF98</f>
        <v>87.69587629</v>
      </c>
      <c r="AQ98" s="9">
        <f t="shared" si="309"/>
        <v>35.94845361</v>
      </c>
      <c r="AR98" s="9">
        <f t="shared" si="309"/>
        <v>34.94536082</v>
      </c>
      <c r="AS98" s="9">
        <f t="shared" si="11"/>
        <v>70.89381443</v>
      </c>
      <c r="AT98" s="9">
        <f t="shared" ref="AT98:AV98" si="310">AJ98/$AF98</f>
        <v>11.08762887</v>
      </c>
      <c r="AU98" s="9">
        <f t="shared" si="310"/>
        <v>4.508247423</v>
      </c>
      <c r="AV98" s="9">
        <f t="shared" si="310"/>
        <v>1.206185567</v>
      </c>
      <c r="AW98" s="9">
        <f t="shared" si="13"/>
        <v>5.71443299</v>
      </c>
      <c r="AX98" s="9">
        <f t="shared" ref="AX98:AY98" si="311">AM98/$AF98</f>
        <v>1.020618557</v>
      </c>
      <c r="AY98" s="9">
        <f t="shared" si="311"/>
        <v>0.3711340206</v>
      </c>
      <c r="AZ98" s="9">
        <f>VLOOKUP(A98,Jogos!A:BN,58,0)</f>
        <v>17.995</v>
      </c>
      <c r="BA98" s="9">
        <f>VLOOKUP(A98,Jogos!A:BN,59,0)</f>
        <v>13.725</v>
      </c>
      <c r="BB98" s="9">
        <f>VLOOKUP(A98,Jogos!A:BN,60,0)</f>
        <v>75.5</v>
      </c>
      <c r="BC98" s="9">
        <f>VLOOKUP(A98,Jogos!A:BN,61,0)</f>
        <v>15.345</v>
      </c>
      <c r="BD98" s="9">
        <f>VLOOKUP(A98,Jogos!A:BN,62,0)</f>
        <v>51.85</v>
      </c>
      <c r="BE98" s="9">
        <f>VLOOKUP(A98,Jogos!A:BN,63,0)</f>
        <v>0.94</v>
      </c>
      <c r="BF98" s="9">
        <f>VLOOKUP(A98,Jogos!A:BN,64,0)</f>
        <v>17.64</v>
      </c>
      <c r="BG98" s="9">
        <f>VLOOKUP(A98,Jogos!A:BN,65,0)</f>
        <v>30.13</v>
      </c>
      <c r="BH98" s="9">
        <f>VLOOKUP(A98,Jogos!A:BN,66,0)</f>
        <v>20.175</v>
      </c>
      <c r="BI98" s="9"/>
    </row>
    <row r="99" hidden="1">
      <c r="A99" s="2">
        <v>4.0</v>
      </c>
      <c r="B99" s="2" t="s">
        <v>60</v>
      </c>
      <c r="C99" s="2" t="s">
        <v>61</v>
      </c>
      <c r="D99" s="3">
        <v>45823.0</v>
      </c>
      <c r="E99" s="4">
        <v>0.75</v>
      </c>
      <c r="F99" s="5" t="str">
        <f>VLOOKUP(A99,Jogos!A:N,10,0)</f>
        <v>Evening</v>
      </c>
      <c r="G99" s="2" t="s">
        <v>249</v>
      </c>
      <c r="H99" s="6" t="str">
        <f>VLOOKUP(A99,Jogos!A:L,12,0)</f>
        <v>Open</v>
      </c>
      <c r="I99" s="6" t="str">
        <f>VLOOKUP(G99,'Estádios e Cidades'!A:B,2,0)</f>
        <v>East Rutherford</v>
      </c>
      <c r="J99" s="2" t="s">
        <v>250</v>
      </c>
      <c r="K99" s="2" t="str">
        <f>VLOOKUP(J99,Equipes!A:F,6,0)</f>
        <v>Temperate</v>
      </c>
      <c r="L99" s="2">
        <f>VLOOKUP(J99,Equipes!A:C,3,0)</f>
        <v>8</v>
      </c>
      <c r="M99" s="2" t="str">
        <f t="shared" si="4"/>
        <v>Quarter-final</v>
      </c>
      <c r="N99" s="2" t="s">
        <v>251</v>
      </c>
      <c r="O99" s="2">
        <f>VLOOKUP(N99,Equipes!A:C,3,0)</f>
        <v>23</v>
      </c>
      <c r="P99" s="2" t="str">
        <f t="shared" si="5"/>
        <v>Group</v>
      </c>
      <c r="Q99" s="2">
        <f t="shared" si="6"/>
        <v>-15</v>
      </c>
      <c r="R99" s="2" t="str">
        <f>VLOOKUP(J99,Equipes!A:B,2,0)</f>
        <v>Palmeiras</v>
      </c>
      <c r="S99" s="6" t="s">
        <v>270</v>
      </c>
      <c r="T99" s="7">
        <v>41.0</v>
      </c>
      <c r="U99" s="7" t="s">
        <v>271</v>
      </c>
      <c r="V99" s="7" t="str">
        <f>VLOOKUP(U99,Jogadores!B:C,2,0)</f>
        <v>FW</v>
      </c>
      <c r="W99" s="8">
        <f>VLOOKUP(U99,Jogadores!B:D,3,0)</f>
        <v>18.2739726</v>
      </c>
      <c r="X99" s="7">
        <v>0.0</v>
      </c>
      <c r="Y99" s="7">
        <v>65.0</v>
      </c>
      <c r="Z99" s="7">
        <f>VLOOKUP(A99,Jogos!A:L,3,0)</f>
        <v>48</v>
      </c>
      <c r="AA99" s="7">
        <f t="shared" si="7"/>
        <v>48</v>
      </c>
      <c r="AB99" s="7">
        <f>VLOOKUP(A99,Jogos!A:L,4,0)</f>
        <v>49</v>
      </c>
      <c r="AC99" s="7">
        <f t="shared" si="8"/>
        <v>20</v>
      </c>
      <c r="AD99" s="7"/>
      <c r="AE99" s="7"/>
      <c r="AF99" s="7">
        <f t="shared" si="9"/>
        <v>68</v>
      </c>
      <c r="AG99" s="7">
        <v>6938.5</v>
      </c>
      <c r="AH99" s="7">
        <v>2599.7</v>
      </c>
      <c r="AI99" s="7">
        <v>2654.0</v>
      </c>
      <c r="AJ99" s="7">
        <v>1075.0</v>
      </c>
      <c r="AK99" s="7">
        <v>440.3</v>
      </c>
      <c r="AL99" s="7">
        <v>169.5</v>
      </c>
      <c r="AM99" s="7">
        <v>92.0</v>
      </c>
      <c r="AN99" s="7">
        <v>36.0</v>
      </c>
      <c r="AO99" s="7">
        <v>30.9</v>
      </c>
      <c r="AP99" s="9">
        <f t="shared" ref="AP99:AR99" si="312">AG99/$AF99</f>
        <v>102.0367647</v>
      </c>
      <c r="AQ99" s="9">
        <f t="shared" si="312"/>
        <v>38.23088235</v>
      </c>
      <c r="AR99" s="9">
        <f t="shared" si="312"/>
        <v>39.02941176</v>
      </c>
      <c r="AS99" s="9">
        <f t="shared" si="11"/>
        <v>77.26029412</v>
      </c>
      <c r="AT99" s="9">
        <f t="shared" ref="AT99:AV99" si="313">AJ99/$AF99</f>
        <v>15.80882353</v>
      </c>
      <c r="AU99" s="9">
        <f t="shared" si="313"/>
        <v>6.475</v>
      </c>
      <c r="AV99" s="9">
        <f t="shared" si="313"/>
        <v>2.492647059</v>
      </c>
      <c r="AW99" s="9">
        <f t="shared" si="13"/>
        <v>8.967647059</v>
      </c>
      <c r="AX99" s="9">
        <f t="shared" ref="AX99:AY99" si="314">AM99/$AF99</f>
        <v>1.352941176</v>
      </c>
      <c r="AY99" s="9">
        <f t="shared" si="314"/>
        <v>0.5294117647</v>
      </c>
      <c r="AZ99" s="9">
        <f>VLOOKUP(A99,Jogos!A:BN,58,0)</f>
        <v>17.995</v>
      </c>
      <c r="BA99" s="9">
        <f>VLOOKUP(A99,Jogos!A:BN,59,0)</f>
        <v>13.725</v>
      </c>
      <c r="BB99" s="9">
        <f>VLOOKUP(A99,Jogos!A:BN,60,0)</f>
        <v>75.5</v>
      </c>
      <c r="BC99" s="9">
        <f>VLOOKUP(A99,Jogos!A:BN,61,0)</f>
        <v>15.345</v>
      </c>
      <c r="BD99" s="9">
        <f>VLOOKUP(A99,Jogos!A:BN,62,0)</f>
        <v>51.85</v>
      </c>
      <c r="BE99" s="9">
        <f>VLOOKUP(A99,Jogos!A:BN,63,0)</f>
        <v>0.94</v>
      </c>
      <c r="BF99" s="9">
        <f>VLOOKUP(A99,Jogos!A:BN,64,0)</f>
        <v>17.64</v>
      </c>
      <c r="BG99" s="9">
        <f>VLOOKUP(A99,Jogos!A:BN,65,0)</f>
        <v>30.13</v>
      </c>
      <c r="BH99" s="9">
        <f>VLOOKUP(A99,Jogos!A:BN,66,0)</f>
        <v>20.175</v>
      </c>
      <c r="BI99" s="9"/>
    </row>
    <row r="100" hidden="1">
      <c r="A100" s="2">
        <v>4.0</v>
      </c>
      <c r="B100" s="2" t="s">
        <v>60</v>
      </c>
      <c r="C100" s="2" t="s">
        <v>61</v>
      </c>
      <c r="D100" s="3">
        <v>45823.0</v>
      </c>
      <c r="E100" s="4">
        <v>0.75</v>
      </c>
      <c r="F100" s="5" t="str">
        <f>VLOOKUP(A100,Jogos!A:N,10,0)</f>
        <v>Evening</v>
      </c>
      <c r="G100" s="2" t="s">
        <v>249</v>
      </c>
      <c r="H100" s="6" t="str">
        <f>VLOOKUP(A100,Jogos!A:L,12,0)</f>
        <v>Open</v>
      </c>
      <c r="I100" s="6" t="str">
        <f>VLOOKUP(G100,'Estádios e Cidades'!A:B,2,0)</f>
        <v>East Rutherford</v>
      </c>
      <c r="J100" s="2" t="s">
        <v>250</v>
      </c>
      <c r="K100" s="2" t="str">
        <f>VLOOKUP(J100,Equipes!A:F,6,0)</f>
        <v>Temperate</v>
      </c>
      <c r="L100" s="2">
        <f>VLOOKUP(J100,Equipes!A:C,3,0)</f>
        <v>8</v>
      </c>
      <c r="M100" s="2" t="str">
        <f t="shared" si="4"/>
        <v>Quarter-final</v>
      </c>
      <c r="N100" s="2" t="s">
        <v>251</v>
      </c>
      <c r="O100" s="2">
        <f>VLOOKUP(N100,Equipes!A:C,3,0)</f>
        <v>23</v>
      </c>
      <c r="P100" s="2" t="str">
        <f t="shared" si="5"/>
        <v>Group</v>
      </c>
      <c r="Q100" s="2">
        <f t="shared" si="6"/>
        <v>-15</v>
      </c>
      <c r="R100" s="2" t="str">
        <f>VLOOKUP(J100,Equipes!A:B,2,0)</f>
        <v>Palmeiras</v>
      </c>
      <c r="S100" s="6" t="s">
        <v>272</v>
      </c>
      <c r="T100" s="7">
        <v>10.0</v>
      </c>
      <c r="U100" s="7" t="s">
        <v>273</v>
      </c>
      <c r="V100" s="7" t="str">
        <f>VLOOKUP(U100,Jogadores!B:C,2,0)</f>
        <v>FW</v>
      </c>
      <c r="W100" s="8">
        <f>VLOOKUP(U100,Jogadores!B:D,3,0)</f>
        <v>25.05205479</v>
      </c>
      <c r="X100" s="7">
        <v>65.0</v>
      </c>
      <c r="Y100" s="7">
        <f t="shared" ref="Y100:Y106" si="318">45+AB100</f>
        <v>94</v>
      </c>
      <c r="Z100" s="7">
        <f>VLOOKUP(A100,Jogos!A:L,3,0)</f>
        <v>48</v>
      </c>
      <c r="AA100" s="7">
        <f t="shared" si="7"/>
        <v>0</v>
      </c>
      <c r="AB100" s="7">
        <f>VLOOKUP(A100,Jogos!A:L,4,0)</f>
        <v>49</v>
      </c>
      <c r="AC100" s="7">
        <f t="shared" si="8"/>
        <v>29</v>
      </c>
      <c r="AD100" s="7"/>
      <c r="AE100" s="7"/>
      <c r="AF100" s="7">
        <f t="shared" si="9"/>
        <v>29</v>
      </c>
      <c r="AG100" s="7">
        <v>3180.4</v>
      </c>
      <c r="AH100" s="7">
        <v>1172.1</v>
      </c>
      <c r="AI100" s="7">
        <v>1061.6</v>
      </c>
      <c r="AJ100" s="7">
        <v>496.5</v>
      </c>
      <c r="AK100" s="7">
        <v>320.1</v>
      </c>
      <c r="AL100" s="7">
        <v>130.1</v>
      </c>
      <c r="AM100" s="7">
        <v>38.0</v>
      </c>
      <c r="AN100" s="7">
        <v>26.0</v>
      </c>
      <c r="AO100" s="7">
        <v>30.2</v>
      </c>
      <c r="AP100" s="9">
        <f t="shared" ref="AP100:AR100" si="315">AG100/$AF100</f>
        <v>109.6689655</v>
      </c>
      <c r="AQ100" s="9">
        <f t="shared" si="315"/>
        <v>40.41724138</v>
      </c>
      <c r="AR100" s="9">
        <f t="shared" si="315"/>
        <v>36.60689655</v>
      </c>
      <c r="AS100" s="9">
        <f t="shared" si="11"/>
        <v>77.02413793</v>
      </c>
      <c r="AT100" s="9">
        <f t="shared" ref="AT100:AV100" si="316">AJ100/$AF100</f>
        <v>17.12068966</v>
      </c>
      <c r="AU100" s="9">
        <f t="shared" si="316"/>
        <v>11.03793103</v>
      </c>
      <c r="AV100" s="9">
        <f t="shared" si="316"/>
        <v>4.486206897</v>
      </c>
      <c r="AW100" s="9">
        <f t="shared" si="13"/>
        <v>15.52413793</v>
      </c>
      <c r="AX100" s="9">
        <f t="shared" ref="AX100:AY100" si="317">AM100/$AF100</f>
        <v>1.310344828</v>
      </c>
      <c r="AY100" s="9">
        <f t="shared" si="317"/>
        <v>0.8965517241</v>
      </c>
      <c r="AZ100" s="9">
        <f>VLOOKUP(A100,Jogos!A:BN,58,0)</f>
        <v>17.995</v>
      </c>
      <c r="BA100" s="9">
        <f>VLOOKUP(A100,Jogos!A:BN,59,0)</f>
        <v>13.725</v>
      </c>
      <c r="BB100" s="9">
        <f>VLOOKUP(A100,Jogos!A:BN,60,0)</f>
        <v>75.5</v>
      </c>
      <c r="BC100" s="9">
        <f>VLOOKUP(A100,Jogos!A:BN,61,0)</f>
        <v>15.345</v>
      </c>
      <c r="BD100" s="9">
        <f>VLOOKUP(A100,Jogos!A:BN,62,0)</f>
        <v>51.85</v>
      </c>
      <c r="BE100" s="9">
        <f>VLOOKUP(A100,Jogos!A:BN,63,0)</f>
        <v>0.94</v>
      </c>
      <c r="BF100" s="9">
        <f>VLOOKUP(A100,Jogos!A:BN,64,0)</f>
        <v>17.64</v>
      </c>
      <c r="BG100" s="9">
        <f>VLOOKUP(A100,Jogos!A:BN,65,0)</f>
        <v>30.13</v>
      </c>
      <c r="BH100" s="9">
        <f>VLOOKUP(A100,Jogos!A:BN,66,0)</f>
        <v>20.175</v>
      </c>
      <c r="BI100" s="9"/>
    </row>
    <row r="101" hidden="1">
      <c r="A101" s="2">
        <v>4.0</v>
      </c>
      <c r="B101" s="2" t="s">
        <v>60</v>
      </c>
      <c r="C101" s="2" t="s">
        <v>61</v>
      </c>
      <c r="D101" s="3">
        <v>45823.0</v>
      </c>
      <c r="E101" s="4">
        <v>0.75</v>
      </c>
      <c r="F101" s="5" t="str">
        <f>VLOOKUP(A101,Jogos!A:N,10,0)</f>
        <v>Evening</v>
      </c>
      <c r="G101" s="2" t="s">
        <v>249</v>
      </c>
      <c r="H101" s="6" t="str">
        <f>VLOOKUP(A101,Jogos!A:L,12,0)</f>
        <v>Open</v>
      </c>
      <c r="I101" s="6" t="str">
        <f>VLOOKUP(G101,'Estádios e Cidades'!A:B,2,0)</f>
        <v>East Rutherford</v>
      </c>
      <c r="J101" s="2" t="s">
        <v>250</v>
      </c>
      <c r="K101" s="2" t="str">
        <f>VLOOKUP(J101,Equipes!A:F,6,0)</f>
        <v>Temperate</v>
      </c>
      <c r="L101" s="2">
        <f>VLOOKUP(J101,Equipes!A:C,3,0)</f>
        <v>8</v>
      </c>
      <c r="M101" s="2" t="str">
        <f t="shared" si="4"/>
        <v>Quarter-final</v>
      </c>
      <c r="N101" s="2" t="s">
        <v>251</v>
      </c>
      <c r="O101" s="2">
        <f>VLOOKUP(N101,Equipes!A:C,3,0)</f>
        <v>23</v>
      </c>
      <c r="P101" s="2" t="str">
        <f t="shared" si="5"/>
        <v>Group</v>
      </c>
      <c r="Q101" s="2">
        <f t="shared" si="6"/>
        <v>-15</v>
      </c>
      <c r="R101" s="2" t="str">
        <f>VLOOKUP(J101,Equipes!A:B,2,0)</f>
        <v>Palmeiras</v>
      </c>
      <c r="S101" s="6" t="s">
        <v>274</v>
      </c>
      <c r="T101" s="7">
        <v>23.0</v>
      </c>
      <c r="U101" s="7" t="s">
        <v>275</v>
      </c>
      <c r="V101" s="7" t="str">
        <f>VLOOKUP(U101,Jogadores!B:C,2,0)</f>
        <v>MF</v>
      </c>
      <c r="W101" s="8">
        <f>VLOOKUP(U101,Jogadores!B:D,3,0)</f>
        <v>30.12876712</v>
      </c>
      <c r="X101" s="7">
        <v>65.0</v>
      </c>
      <c r="Y101" s="7">
        <f t="shared" si="318"/>
        <v>94</v>
      </c>
      <c r="Z101" s="7">
        <f>VLOOKUP(A101,Jogos!A:L,3,0)</f>
        <v>48</v>
      </c>
      <c r="AA101" s="7">
        <f t="shared" si="7"/>
        <v>0</v>
      </c>
      <c r="AB101" s="7">
        <f>VLOOKUP(A101,Jogos!A:L,4,0)</f>
        <v>49</v>
      </c>
      <c r="AC101" s="7">
        <f t="shared" si="8"/>
        <v>29</v>
      </c>
      <c r="AD101" s="7"/>
      <c r="AE101" s="7"/>
      <c r="AF101" s="7">
        <f t="shared" si="9"/>
        <v>29</v>
      </c>
      <c r="AG101" s="7">
        <v>3438.7</v>
      </c>
      <c r="AH101" s="7">
        <v>1159.5</v>
      </c>
      <c r="AI101" s="7">
        <v>1265.8</v>
      </c>
      <c r="AJ101" s="7">
        <v>680.1</v>
      </c>
      <c r="AK101" s="7">
        <v>282.0</v>
      </c>
      <c r="AL101" s="7">
        <v>51.3</v>
      </c>
      <c r="AM101" s="7">
        <v>63.0</v>
      </c>
      <c r="AN101" s="7">
        <v>24.0</v>
      </c>
      <c r="AO101" s="7">
        <v>31.4</v>
      </c>
      <c r="AP101" s="9">
        <f t="shared" ref="AP101:AR101" si="319">AG101/$AF101</f>
        <v>118.5758621</v>
      </c>
      <c r="AQ101" s="9">
        <f t="shared" si="319"/>
        <v>39.98275862</v>
      </c>
      <c r="AR101" s="9">
        <f t="shared" si="319"/>
        <v>43.64827586</v>
      </c>
      <c r="AS101" s="9">
        <f t="shared" si="11"/>
        <v>83.63103448</v>
      </c>
      <c r="AT101" s="9">
        <f t="shared" ref="AT101:AV101" si="320">AJ101/$AF101</f>
        <v>23.45172414</v>
      </c>
      <c r="AU101" s="9">
        <f t="shared" si="320"/>
        <v>9.724137931</v>
      </c>
      <c r="AV101" s="9">
        <f t="shared" si="320"/>
        <v>1.768965517</v>
      </c>
      <c r="AW101" s="9">
        <f t="shared" si="13"/>
        <v>11.49310345</v>
      </c>
      <c r="AX101" s="9">
        <f t="shared" ref="AX101:AY101" si="321">AM101/$AF101</f>
        <v>2.172413793</v>
      </c>
      <c r="AY101" s="9">
        <f t="shared" si="321"/>
        <v>0.8275862069</v>
      </c>
      <c r="AZ101" s="9">
        <f>VLOOKUP(A101,Jogos!A:BN,58,0)</f>
        <v>17.995</v>
      </c>
      <c r="BA101" s="9">
        <f>VLOOKUP(A101,Jogos!A:BN,59,0)</f>
        <v>13.725</v>
      </c>
      <c r="BB101" s="9">
        <f>VLOOKUP(A101,Jogos!A:BN,60,0)</f>
        <v>75.5</v>
      </c>
      <c r="BC101" s="9">
        <f>VLOOKUP(A101,Jogos!A:BN,61,0)</f>
        <v>15.345</v>
      </c>
      <c r="BD101" s="9">
        <f>VLOOKUP(A101,Jogos!A:BN,62,0)</f>
        <v>51.85</v>
      </c>
      <c r="BE101" s="9">
        <f>VLOOKUP(A101,Jogos!A:BN,63,0)</f>
        <v>0.94</v>
      </c>
      <c r="BF101" s="9">
        <f>VLOOKUP(A101,Jogos!A:BN,64,0)</f>
        <v>17.64</v>
      </c>
      <c r="BG101" s="9">
        <f>VLOOKUP(A101,Jogos!A:BN,65,0)</f>
        <v>30.13</v>
      </c>
      <c r="BH101" s="9">
        <f>VLOOKUP(A101,Jogos!A:BN,66,0)</f>
        <v>20.175</v>
      </c>
      <c r="BI101" s="9"/>
    </row>
    <row r="102" hidden="1">
      <c r="A102" s="2">
        <v>4.0</v>
      </c>
      <c r="B102" s="2" t="s">
        <v>60</v>
      </c>
      <c r="C102" s="2" t="s">
        <v>61</v>
      </c>
      <c r="D102" s="3">
        <v>45823.0</v>
      </c>
      <c r="E102" s="4">
        <v>0.75</v>
      </c>
      <c r="F102" s="5" t="str">
        <f>VLOOKUP(A102,Jogos!A:N,10,0)</f>
        <v>Evening</v>
      </c>
      <c r="G102" s="2" t="s">
        <v>249</v>
      </c>
      <c r="H102" s="6" t="str">
        <f>VLOOKUP(A102,Jogos!A:L,12,0)</f>
        <v>Open</v>
      </c>
      <c r="I102" s="6" t="str">
        <f>VLOOKUP(G102,'Estádios e Cidades'!A:B,2,0)</f>
        <v>East Rutherford</v>
      </c>
      <c r="J102" s="2" t="s">
        <v>250</v>
      </c>
      <c r="K102" s="2" t="str">
        <f>VLOOKUP(J102,Equipes!A:F,6,0)</f>
        <v>Temperate</v>
      </c>
      <c r="L102" s="2">
        <f>VLOOKUP(J102,Equipes!A:C,3,0)</f>
        <v>8</v>
      </c>
      <c r="M102" s="2" t="str">
        <f t="shared" si="4"/>
        <v>Quarter-final</v>
      </c>
      <c r="N102" s="2" t="s">
        <v>251</v>
      </c>
      <c r="O102" s="2">
        <f>VLOOKUP(N102,Equipes!A:C,3,0)</f>
        <v>23</v>
      </c>
      <c r="P102" s="2" t="str">
        <f t="shared" si="5"/>
        <v>Group</v>
      </c>
      <c r="Q102" s="2">
        <f t="shared" si="6"/>
        <v>-15</v>
      </c>
      <c r="R102" s="2" t="str">
        <f>VLOOKUP(J102,Equipes!A:B,2,0)</f>
        <v>Palmeiras</v>
      </c>
      <c r="S102" s="6" t="s">
        <v>276</v>
      </c>
      <c r="T102" s="7">
        <v>30.0</v>
      </c>
      <c r="U102" s="7" t="s">
        <v>277</v>
      </c>
      <c r="V102" s="7" t="str">
        <f>VLOOKUP(U102,Jogadores!B:C,2,0)</f>
        <v>MF</v>
      </c>
      <c r="W102" s="8">
        <f>VLOOKUP(U102,Jogadores!B:D,3,0)</f>
        <v>30.24931507</v>
      </c>
      <c r="X102" s="7">
        <v>87.0</v>
      </c>
      <c r="Y102" s="7">
        <f t="shared" si="318"/>
        <v>94</v>
      </c>
      <c r="Z102" s="7">
        <f>VLOOKUP(A102,Jogos!A:L,3,0)</f>
        <v>48</v>
      </c>
      <c r="AA102" s="7">
        <f t="shared" si="7"/>
        <v>0</v>
      </c>
      <c r="AB102" s="7">
        <f>VLOOKUP(A102,Jogos!A:L,4,0)</f>
        <v>49</v>
      </c>
      <c r="AC102" s="7">
        <f t="shared" si="8"/>
        <v>7</v>
      </c>
      <c r="AD102" s="7"/>
      <c r="AE102" s="7"/>
      <c r="AF102" s="7">
        <f t="shared" si="9"/>
        <v>7</v>
      </c>
      <c r="AG102" s="7">
        <v>1001.1</v>
      </c>
      <c r="AH102" s="7">
        <v>265.9</v>
      </c>
      <c r="AI102" s="7">
        <v>466.2</v>
      </c>
      <c r="AJ102" s="7">
        <v>169.3</v>
      </c>
      <c r="AK102" s="7">
        <v>86.1</v>
      </c>
      <c r="AL102" s="7">
        <v>13.5</v>
      </c>
      <c r="AM102" s="7">
        <v>16.0</v>
      </c>
      <c r="AN102" s="7">
        <v>9.0</v>
      </c>
      <c r="AO102" s="7">
        <v>26.9</v>
      </c>
      <c r="AP102" s="9">
        <f t="shared" ref="AP102:AR102" si="322">AG102/$AF102</f>
        <v>143.0142857</v>
      </c>
      <c r="AQ102" s="9">
        <f t="shared" si="322"/>
        <v>37.98571429</v>
      </c>
      <c r="AR102" s="9">
        <f t="shared" si="322"/>
        <v>66.6</v>
      </c>
      <c r="AS102" s="9">
        <f t="shared" si="11"/>
        <v>104.5857143</v>
      </c>
      <c r="AT102" s="9">
        <f t="shared" ref="AT102:AV102" si="323">AJ102/$AF102</f>
        <v>24.18571429</v>
      </c>
      <c r="AU102" s="9">
        <f t="shared" si="323"/>
        <v>12.3</v>
      </c>
      <c r="AV102" s="9">
        <f t="shared" si="323"/>
        <v>1.928571429</v>
      </c>
      <c r="AW102" s="9">
        <f t="shared" si="13"/>
        <v>14.22857143</v>
      </c>
      <c r="AX102" s="9">
        <f t="shared" ref="AX102:AY102" si="324">AM102/$AF102</f>
        <v>2.285714286</v>
      </c>
      <c r="AY102" s="9">
        <f t="shared" si="324"/>
        <v>1.285714286</v>
      </c>
      <c r="AZ102" s="9">
        <f>VLOOKUP(A102,Jogos!A:BN,58,0)</f>
        <v>17.995</v>
      </c>
      <c r="BA102" s="9">
        <f>VLOOKUP(A102,Jogos!A:BN,59,0)</f>
        <v>13.725</v>
      </c>
      <c r="BB102" s="9">
        <f>VLOOKUP(A102,Jogos!A:BN,60,0)</f>
        <v>75.5</v>
      </c>
      <c r="BC102" s="9">
        <f>VLOOKUP(A102,Jogos!A:BN,61,0)</f>
        <v>15.345</v>
      </c>
      <c r="BD102" s="9">
        <f>VLOOKUP(A102,Jogos!A:BN,62,0)</f>
        <v>51.85</v>
      </c>
      <c r="BE102" s="9">
        <f>VLOOKUP(A102,Jogos!A:BN,63,0)</f>
        <v>0.94</v>
      </c>
      <c r="BF102" s="9">
        <f>VLOOKUP(A102,Jogos!A:BN,64,0)</f>
        <v>17.64</v>
      </c>
      <c r="BG102" s="9">
        <f>VLOOKUP(A102,Jogos!A:BN,65,0)</f>
        <v>30.13</v>
      </c>
      <c r="BH102" s="9">
        <f>VLOOKUP(A102,Jogos!A:BN,66,0)</f>
        <v>20.175</v>
      </c>
      <c r="BI102" s="9"/>
    </row>
    <row r="103" hidden="1">
      <c r="A103" s="2">
        <v>4.0</v>
      </c>
      <c r="B103" s="2" t="s">
        <v>60</v>
      </c>
      <c r="C103" s="2" t="s">
        <v>61</v>
      </c>
      <c r="D103" s="3">
        <v>45823.0</v>
      </c>
      <c r="E103" s="4">
        <v>0.75</v>
      </c>
      <c r="F103" s="5" t="str">
        <f>VLOOKUP(A103,Jogos!A:N,10,0)</f>
        <v>Evening</v>
      </c>
      <c r="G103" s="2" t="s">
        <v>249</v>
      </c>
      <c r="H103" s="6" t="str">
        <f>VLOOKUP(A103,Jogos!A:L,12,0)</f>
        <v>Open</v>
      </c>
      <c r="I103" s="6" t="str">
        <f>VLOOKUP(G103,'Estádios e Cidades'!A:B,2,0)</f>
        <v>East Rutherford</v>
      </c>
      <c r="J103" s="2" t="s">
        <v>250</v>
      </c>
      <c r="K103" s="2" t="str">
        <f>VLOOKUP(J103,Equipes!A:F,6,0)</f>
        <v>Temperate</v>
      </c>
      <c r="L103" s="2">
        <f>VLOOKUP(J103,Equipes!A:C,3,0)</f>
        <v>8</v>
      </c>
      <c r="M103" s="2" t="str">
        <f t="shared" si="4"/>
        <v>Quarter-final</v>
      </c>
      <c r="N103" s="2" t="s">
        <v>251</v>
      </c>
      <c r="O103" s="2">
        <f>VLOOKUP(N103,Equipes!A:C,3,0)</f>
        <v>23</v>
      </c>
      <c r="P103" s="2" t="str">
        <f t="shared" si="5"/>
        <v>Group</v>
      </c>
      <c r="Q103" s="2">
        <f t="shared" si="6"/>
        <v>-15</v>
      </c>
      <c r="R103" s="2" t="str">
        <f>VLOOKUP(J103,Equipes!A:B,2,0)</f>
        <v>Palmeiras</v>
      </c>
      <c r="S103" s="6" t="s">
        <v>278</v>
      </c>
      <c r="T103" s="7">
        <v>40.0</v>
      </c>
      <c r="U103" s="7" t="s">
        <v>279</v>
      </c>
      <c r="V103" s="7" t="str">
        <f>VLOOKUP(U103,Jogadores!B:C,2,0)</f>
        <v>MF</v>
      </c>
      <c r="W103" s="8">
        <f>VLOOKUP(U103,Jogadores!B:D,3,0)</f>
        <v>21.28767123</v>
      </c>
      <c r="X103" s="7">
        <v>65.0</v>
      </c>
      <c r="Y103" s="7">
        <f t="shared" si="318"/>
        <v>94</v>
      </c>
      <c r="Z103" s="7">
        <f>VLOOKUP(A103,Jogos!A:L,3,0)</f>
        <v>48</v>
      </c>
      <c r="AA103" s="7">
        <f t="shared" si="7"/>
        <v>0</v>
      </c>
      <c r="AB103" s="7">
        <f>VLOOKUP(A103,Jogos!A:L,4,0)</f>
        <v>49</v>
      </c>
      <c r="AC103" s="7">
        <f t="shared" si="8"/>
        <v>29</v>
      </c>
      <c r="AD103" s="7"/>
      <c r="AE103" s="7"/>
      <c r="AF103" s="7">
        <f t="shared" si="9"/>
        <v>29</v>
      </c>
      <c r="AG103" s="7">
        <v>3174.0</v>
      </c>
      <c r="AH103" s="7">
        <v>1221.4</v>
      </c>
      <c r="AI103" s="7">
        <v>1013.3</v>
      </c>
      <c r="AJ103" s="7">
        <v>584.7</v>
      </c>
      <c r="AK103" s="7">
        <v>263.4</v>
      </c>
      <c r="AL103" s="7">
        <v>91.2</v>
      </c>
      <c r="AM103" s="7">
        <v>51.0</v>
      </c>
      <c r="AN103" s="7">
        <v>23.0</v>
      </c>
      <c r="AO103" s="7">
        <v>31.6</v>
      </c>
      <c r="AP103" s="9">
        <f t="shared" ref="AP103:AR103" si="325">AG103/$AF103</f>
        <v>109.4482759</v>
      </c>
      <c r="AQ103" s="9">
        <f t="shared" si="325"/>
        <v>42.11724138</v>
      </c>
      <c r="AR103" s="9">
        <f t="shared" si="325"/>
        <v>34.94137931</v>
      </c>
      <c r="AS103" s="9">
        <f t="shared" si="11"/>
        <v>77.05862069</v>
      </c>
      <c r="AT103" s="9">
        <f t="shared" ref="AT103:AV103" si="326">AJ103/$AF103</f>
        <v>20.16206897</v>
      </c>
      <c r="AU103" s="9">
        <f t="shared" si="326"/>
        <v>9.082758621</v>
      </c>
      <c r="AV103" s="9">
        <f t="shared" si="326"/>
        <v>3.144827586</v>
      </c>
      <c r="AW103" s="9">
        <f t="shared" si="13"/>
        <v>12.22758621</v>
      </c>
      <c r="AX103" s="9">
        <f t="shared" ref="AX103:AY103" si="327">AM103/$AF103</f>
        <v>1.75862069</v>
      </c>
      <c r="AY103" s="9">
        <f t="shared" si="327"/>
        <v>0.7931034483</v>
      </c>
      <c r="AZ103" s="9">
        <f>VLOOKUP(A103,Jogos!A:BN,58,0)</f>
        <v>17.995</v>
      </c>
      <c r="BA103" s="9">
        <f>VLOOKUP(A103,Jogos!A:BN,59,0)</f>
        <v>13.725</v>
      </c>
      <c r="BB103" s="9">
        <f>VLOOKUP(A103,Jogos!A:BN,60,0)</f>
        <v>75.5</v>
      </c>
      <c r="BC103" s="9">
        <f>VLOOKUP(A103,Jogos!A:BN,61,0)</f>
        <v>15.345</v>
      </c>
      <c r="BD103" s="9">
        <f>VLOOKUP(A103,Jogos!A:BN,62,0)</f>
        <v>51.85</v>
      </c>
      <c r="BE103" s="9">
        <f>VLOOKUP(A103,Jogos!A:BN,63,0)</f>
        <v>0.94</v>
      </c>
      <c r="BF103" s="9">
        <f>VLOOKUP(A103,Jogos!A:BN,64,0)</f>
        <v>17.64</v>
      </c>
      <c r="BG103" s="9">
        <f>VLOOKUP(A103,Jogos!A:BN,65,0)</f>
        <v>30.13</v>
      </c>
      <c r="BH103" s="9">
        <f>VLOOKUP(A103,Jogos!A:BN,66,0)</f>
        <v>20.175</v>
      </c>
      <c r="BI103" s="9"/>
    </row>
    <row r="104" hidden="1">
      <c r="A104" s="2">
        <v>4.0</v>
      </c>
      <c r="B104" s="2" t="s">
        <v>60</v>
      </c>
      <c r="C104" s="2" t="s">
        <v>61</v>
      </c>
      <c r="D104" s="3">
        <v>45823.0</v>
      </c>
      <c r="E104" s="4">
        <v>0.75</v>
      </c>
      <c r="F104" s="5" t="str">
        <f>VLOOKUP(A104,Jogos!A:N,10,0)</f>
        <v>Evening</v>
      </c>
      <c r="G104" s="2" t="s">
        <v>249</v>
      </c>
      <c r="H104" s="6" t="str">
        <f>VLOOKUP(A104,Jogos!A:L,12,0)</f>
        <v>Open</v>
      </c>
      <c r="I104" s="6" t="str">
        <f>VLOOKUP(G104,'Estádios e Cidades'!A:B,2,0)</f>
        <v>East Rutherford</v>
      </c>
      <c r="J104" s="2" t="s">
        <v>250</v>
      </c>
      <c r="K104" s="2" t="str">
        <f>VLOOKUP(J104,Equipes!A:F,6,0)</f>
        <v>Temperate</v>
      </c>
      <c r="L104" s="2">
        <f>VLOOKUP(J104,Equipes!A:C,3,0)</f>
        <v>8</v>
      </c>
      <c r="M104" s="2" t="str">
        <f t="shared" si="4"/>
        <v>Quarter-final</v>
      </c>
      <c r="N104" s="2" t="s">
        <v>251</v>
      </c>
      <c r="O104" s="2">
        <f>VLOOKUP(N104,Equipes!A:C,3,0)</f>
        <v>23</v>
      </c>
      <c r="P104" s="2" t="str">
        <f t="shared" si="5"/>
        <v>Group</v>
      </c>
      <c r="Q104" s="2">
        <f t="shared" si="6"/>
        <v>-15</v>
      </c>
      <c r="R104" s="2" t="str">
        <f>VLOOKUP(J104,Equipes!A:B,2,0)</f>
        <v>Palmeiras</v>
      </c>
      <c r="S104" s="6" t="s">
        <v>280</v>
      </c>
      <c r="T104" s="7">
        <v>42.0</v>
      </c>
      <c r="U104" s="7" t="s">
        <v>281</v>
      </c>
      <c r="V104" s="7" t="str">
        <f>VLOOKUP(U104,Jogadores!B:C,2,0)</f>
        <v>FW</v>
      </c>
      <c r="W104" s="8">
        <f>VLOOKUP(U104,Jogadores!B:D,3,0)</f>
        <v>24.65753425</v>
      </c>
      <c r="X104" s="7">
        <v>77.0</v>
      </c>
      <c r="Y104" s="7">
        <f t="shared" si="318"/>
        <v>94</v>
      </c>
      <c r="Z104" s="7">
        <f>VLOOKUP(A104,Jogos!A:L,3,0)</f>
        <v>48</v>
      </c>
      <c r="AA104" s="7">
        <f t="shared" si="7"/>
        <v>0</v>
      </c>
      <c r="AB104" s="7">
        <f>VLOOKUP(A104,Jogos!A:L,4,0)</f>
        <v>49</v>
      </c>
      <c r="AC104" s="7">
        <f t="shared" si="8"/>
        <v>17</v>
      </c>
      <c r="AD104" s="7"/>
      <c r="AE104" s="7"/>
      <c r="AF104" s="7">
        <f t="shared" si="9"/>
        <v>17</v>
      </c>
      <c r="AG104" s="7">
        <v>1733.1</v>
      </c>
      <c r="AH104" s="7">
        <v>633.7</v>
      </c>
      <c r="AI104" s="7">
        <v>702.2</v>
      </c>
      <c r="AJ104" s="7">
        <v>249.6</v>
      </c>
      <c r="AK104" s="7">
        <v>114.1</v>
      </c>
      <c r="AL104" s="7">
        <v>33.5</v>
      </c>
      <c r="AM104" s="7">
        <v>23.0</v>
      </c>
      <c r="AN104" s="7">
        <v>10.0</v>
      </c>
      <c r="AO104" s="7">
        <v>29.4</v>
      </c>
      <c r="AP104" s="9">
        <f t="shared" ref="AP104:AR104" si="328">AG104/$AF104</f>
        <v>101.9470588</v>
      </c>
      <c r="AQ104" s="9">
        <f t="shared" si="328"/>
        <v>37.27647059</v>
      </c>
      <c r="AR104" s="9">
        <f t="shared" si="328"/>
        <v>41.30588235</v>
      </c>
      <c r="AS104" s="9">
        <f t="shared" si="11"/>
        <v>78.58235294</v>
      </c>
      <c r="AT104" s="9">
        <f t="shared" ref="AT104:AV104" si="329">AJ104/$AF104</f>
        <v>14.68235294</v>
      </c>
      <c r="AU104" s="9">
        <f t="shared" si="329"/>
        <v>6.711764706</v>
      </c>
      <c r="AV104" s="9">
        <f t="shared" si="329"/>
        <v>1.970588235</v>
      </c>
      <c r="AW104" s="9">
        <f t="shared" si="13"/>
        <v>8.682352941</v>
      </c>
      <c r="AX104" s="9">
        <f t="shared" ref="AX104:AY104" si="330">AM104/$AF104</f>
        <v>1.352941176</v>
      </c>
      <c r="AY104" s="9">
        <f t="shared" si="330"/>
        <v>0.5882352941</v>
      </c>
      <c r="AZ104" s="9">
        <f>VLOOKUP(A104,Jogos!A:BN,58,0)</f>
        <v>17.995</v>
      </c>
      <c r="BA104" s="9">
        <f>VLOOKUP(A104,Jogos!A:BN,59,0)</f>
        <v>13.725</v>
      </c>
      <c r="BB104" s="9">
        <f>VLOOKUP(A104,Jogos!A:BN,60,0)</f>
        <v>75.5</v>
      </c>
      <c r="BC104" s="9">
        <f>VLOOKUP(A104,Jogos!A:BN,61,0)</f>
        <v>15.345</v>
      </c>
      <c r="BD104" s="9">
        <f>VLOOKUP(A104,Jogos!A:BN,62,0)</f>
        <v>51.85</v>
      </c>
      <c r="BE104" s="9">
        <f>VLOOKUP(A104,Jogos!A:BN,63,0)</f>
        <v>0.94</v>
      </c>
      <c r="BF104" s="9">
        <f>VLOOKUP(A104,Jogos!A:BN,64,0)</f>
        <v>17.64</v>
      </c>
      <c r="BG104" s="9">
        <f>VLOOKUP(A104,Jogos!A:BN,65,0)</f>
        <v>30.13</v>
      </c>
      <c r="BH104" s="9">
        <f>VLOOKUP(A104,Jogos!A:BN,66,0)</f>
        <v>20.175</v>
      </c>
      <c r="BI104" s="9"/>
    </row>
    <row r="105" hidden="1">
      <c r="A105" s="10">
        <v>4.0</v>
      </c>
      <c r="B105" s="11" t="s">
        <v>60</v>
      </c>
      <c r="C105" s="2" t="s">
        <v>61</v>
      </c>
      <c r="D105" s="12">
        <v>45823.0</v>
      </c>
      <c r="E105" s="13">
        <v>0.75</v>
      </c>
      <c r="F105" s="5" t="str">
        <f>VLOOKUP(A105,Jogos!A:N,10,0)</f>
        <v>Evening</v>
      </c>
      <c r="G105" s="11" t="s">
        <v>249</v>
      </c>
      <c r="H105" s="6" t="str">
        <f>VLOOKUP(A105,Jogos!A:L,12,0)</f>
        <v>Open</v>
      </c>
      <c r="I105" s="6" t="str">
        <f>VLOOKUP(G105,'Estádios e Cidades'!A:B,2,0)</f>
        <v>East Rutherford</v>
      </c>
      <c r="J105" s="11" t="s">
        <v>251</v>
      </c>
      <c r="K105" s="2" t="str">
        <f>VLOOKUP(J105,Equipes!A:F,6,0)</f>
        <v>Temperate</v>
      </c>
      <c r="L105" s="2">
        <f>VLOOKUP(J105,Equipes!A:C,3,0)</f>
        <v>23</v>
      </c>
      <c r="M105" s="2" t="str">
        <f t="shared" si="4"/>
        <v>Group</v>
      </c>
      <c r="N105" s="11" t="s">
        <v>250</v>
      </c>
      <c r="O105" s="2">
        <f>VLOOKUP(N105,Equipes!A:C,3,0)</f>
        <v>8</v>
      </c>
      <c r="P105" s="2" t="str">
        <f t="shared" si="5"/>
        <v>Quarter-final</v>
      </c>
      <c r="Q105" s="2">
        <f t="shared" si="6"/>
        <v>15</v>
      </c>
      <c r="R105" s="2" t="str">
        <f>VLOOKUP(J105,Equipes!A:B,2,0)</f>
        <v>Porto</v>
      </c>
      <c r="S105" s="14" t="s">
        <v>282</v>
      </c>
      <c r="T105" s="7">
        <v>5.0</v>
      </c>
      <c r="U105" s="7" t="s">
        <v>283</v>
      </c>
      <c r="V105" s="7" t="str">
        <f>VLOOKUP(U105,Jogadores!B:C,2,0)</f>
        <v>DF</v>
      </c>
      <c r="W105" s="8">
        <f>VLOOKUP(U105,Jogadores!B:D,3,0)</f>
        <v>38.12328767</v>
      </c>
      <c r="X105" s="7">
        <v>0.0</v>
      </c>
      <c r="Y105" s="7">
        <f t="shared" si="318"/>
        <v>94</v>
      </c>
      <c r="Z105" s="7">
        <f>VLOOKUP(A105,Jogos!A:L,3,0)</f>
        <v>48</v>
      </c>
      <c r="AA105" s="7">
        <f t="shared" si="7"/>
        <v>48</v>
      </c>
      <c r="AB105" s="7">
        <f>VLOOKUP(A105,Jogos!A:L,4,0)</f>
        <v>49</v>
      </c>
      <c r="AC105" s="7">
        <f t="shared" si="8"/>
        <v>49</v>
      </c>
      <c r="AD105" s="7"/>
      <c r="AE105" s="7"/>
      <c r="AF105" s="7">
        <f t="shared" si="9"/>
        <v>97</v>
      </c>
      <c r="AG105" s="7">
        <v>9824.0</v>
      </c>
      <c r="AH105" s="7">
        <v>3792.3</v>
      </c>
      <c r="AI105" s="7">
        <v>4002.0</v>
      </c>
      <c r="AJ105" s="7">
        <v>1464.1</v>
      </c>
      <c r="AK105" s="7">
        <v>415.5</v>
      </c>
      <c r="AL105" s="7">
        <v>150.2</v>
      </c>
      <c r="AM105" s="7">
        <v>138.0</v>
      </c>
      <c r="AN105" s="7">
        <v>36.0</v>
      </c>
      <c r="AO105" s="7">
        <v>31.8</v>
      </c>
      <c r="AP105" s="9">
        <f t="shared" ref="AP105:AR105" si="331">AG105/$AF105</f>
        <v>101.2783505</v>
      </c>
      <c r="AQ105" s="9">
        <f t="shared" si="331"/>
        <v>39.09587629</v>
      </c>
      <c r="AR105" s="9">
        <f t="shared" si="331"/>
        <v>41.25773196</v>
      </c>
      <c r="AS105" s="9">
        <f t="shared" si="11"/>
        <v>80.35360825</v>
      </c>
      <c r="AT105" s="9">
        <f t="shared" ref="AT105:AV105" si="332">AJ105/$AF105</f>
        <v>15.09381443</v>
      </c>
      <c r="AU105" s="9">
        <f t="shared" si="332"/>
        <v>4.283505155</v>
      </c>
      <c r="AV105" s="9">
        <f t="shared" si="332"/>
        <v>1.548453608</v>
      </c>
      <c r="AW105" s="9">
        <f t="shared" si="13"/>
        <v>5.831958763</v>
      </c>
      <c r="AX105" s="9">
        <f t="shared" ref="AX105:AY105" si="333">AM105/$AF105</f>
        <v>1.422680412</v>
      </c>
      <c r="AY105" s="9">
        <f t="shared" si="333"/>
        <v>0.3711340206</v>
      </c>
      <c r="AZ105" s="9">
        <f>VLOOKUP(A105,Jogos!A:BN,58,0)</f>
        <v>17.995</v>
      </c>
      <c r="BA105" s="9">
        <f>VLOOKUP(A105,Jogos!A:BN,59,0)</f>
        <v>13.725</v>
      </c>
      <c r="BB105" s="9">
        <f>VLOOKUP(A105,Jogos!A:BN,60,0)</f>
        <v>75.5</v>
      </c>
      <c r="BC105" s="9">
        <f>VLOOKUP(A105,Jogos!A:BN,61,0)</f>
        <v>15.345</v>
      </c>
      <c r="BD105" s="9">
        <f>VLOOKUP(A105,Jogos!A:BN,62,0)</f>
        <v>51.85</v>
      </c>
      <c r="BE105" s="9">
        <f>VLOOKUP(A105,Jogos!A:BN,63,0)</f>
        <v>0.94</v>
      </c>
      <c r="BF105" s="9">
        <f>VLOOKUP(A105,Jogos!A:BN,64,0)</f>
        <v>17.64</v>
      </c>
      <c r="BG105" s="9">
        <f>VLOOKUP(A105,Jogos!A:BN,65,0)</f>
        <v>30.13</v>
      </c>
      <c r="BH105" s="9">
        <f>VLOOKUP(A105,Jogos!A:BN,66,0)</f>
        <v>20.175</v>
      </c>
      <c r="BI105" s="9"/>
    </row>
    <row r="106" hidden="1">
      <c r="A106" s="10">
        <v>4.0</v>
      </c>
      <c r="B106" s="11" t="s">
        <v>60</v>
      </c>
      <c r="C106" s="2" t="s">
        <v>61</v>
      </c>
      <c r="D106" s="12">
        <v>45823.0</v>
      </c>
      <c r="E106" s="13">
        <v>0.75</v>
      </c>
      <c r="F106" s="5" t="str">
        <f>VLOOKUP(A106,Jogos!A:N,10,0)</f>
        <v>Evening</v>
      </c>
      <c r="G106" s="11" t="s">
        <v>249</v>
      </c>
      <c r="H106" s="6" t="str">
        <f>VLOOKUP(A106,Jogos!A:L,12,0)</f>
        <v>Open</v>
      </c>
      <c r="I106" s="6" t="str">
        <f>VLOOKUP(G106,'Estádios e Cidades'!A:B,2,0)</f>
        <v>East Rutherford</v>
      </c>
      <c r="J106" s="11" t="s">
        <v>251</v>
      </c>
      <c r="K106" s="2" t="str">
        <f>VLOOKUP(J106,Equipes!A:F,6,0)</f>
        <v>Temperate</v>
      </c>
      <c r="L106" s="2">
        <f>VLOOKUP(J106,Equipes!A:C,3,0)</f>
        <v>23</v>
      </c>
      <c r="M106" s="2" t="str">
        <f t="shared" si="4"/>
        <v>Group</v>
      </c>
      <c r="N106" s="11" t="s">
        <v>250</v>
      </c>
      <c r="O106" s="2">
        <f>VLOOKUP(N106,Equipes!A:C,3,0)</f>
        <v>8</v>
      </c>
      <c r="P106" s="2" t="str">
        <f t="shared" si="5"/>
        <v>Quarter-final</v>
      </c>
      <c r="Q106" s="2">
        <f t="shared" si="6"/>
        <v>15</v>
      </c>
      <c r="R106" s="2" t="str">
        <f>VLOOKUP(J106,Equipes!A:B,2,0)</f>
        <v>Porto</v>
      </c>
      <c r="S106" s="6" t="s">
        <v>284</v>
      </c>
      <c r="T106" s="7">
        <v>9.0</v>
      </c>
      <c r="U106" s="7" t="s">
        <v>285</v>
      </c>
      <c r="V106" s="7" t="str">
        <f>VLOOKUP(U106,Jogadores!B:C,2,0)</f>
        <v>FW</v>
      </c>
      <c r="W106" s="8">
        <f>VLOOKUP(U106,Jogadores!B:D,3,0)</f>
        <v>21.24383562</v>
      </c>
      <c r="X106" s="7">
        <v>0.0</v>
      </c>
      <c r="Y106" s="7">
        <f t="shared" si="318"/>
        <v>94</v>
      </c>
      <c r="Z106" s="7">
        <f>VLOOKUP(A106,Jogos!A:L,3,0)</f>
        <v>48</v>
      </c>
      <c r="AA106" s="7">
        <f t="shared" si="7"/>
        <v>48</v>
      </c>
      <c r="AB106" s="7">
        <f>VLOOKUP(A106,Jogos!A:L,4,0)</f>
        <v>49</v>
      </c>
      <c r="AC106" s="7">
        <f t="shared" si="8"/>
        <v>49</v>
      </c>
      <c r="AD106" s="7"/>
      <c r="AE106" s="7"/>
      <c r="AF106" s="7">
        <f t="shared" si="9"/>
        <v>97</v>
      </c>
      <c r="AG106" s="7">
        <v>9720.8</v>
      </c>
      <c r="AH106" s="7">
        <v>4445.3</v>
      </c>
      <c r="AI106" s="7">
        <v>3755.7</v>
      </c>
      <c r="AJ106" s="7">
        <v>773.7</v>
      </c>
      <c r="AK106" s="7">
        <v>437.6</v>
      </c>
      <c r="AL106" s="7">
        <v>308.5</v>
      </c>
      <c r="AM106" s="7">
        <v>69.0</v>
      </c>
      <c r="AN106" s="7">
        <v>45.0</v>
      </c>
      <c r="AO106" s="7">
        <v>33.8</v>
      </c>
      <c r="AP106" s="9">
        <f t="shared" ref="AP106:AR106" si="334">AG106/$AF106</f>
        <v>100.214433</v>
      </c>
      <c r="AQ106" s="9">
        <f t="shared" si="334"/>
        <v>45.82783505</v>
      </c>
      <c r="AR106" s="9">
        <f t="shared" si="334"/>
        <v>38.7185567</v>
      </c>
      <c r="AS106" s="9">
        <f t="shared" si="11"/>
        <v>84.54639175</v>
      </c>
      <c r="AT106" s="9">
        <f t="shared" ref="AT106:AV106" si="335">AJ106/$AF106</f>
        <v>7.97628866</v>
      </c>
      <c r="AU106" s="9">
        <f t="shared" si="335"/>
        <v>4.511340206</v>
      </c>
      <c r="AV106" s="9">
        <f t="shared" si="335"/>
        <v>3.180412371</v>
      </c>
      <c r="AW106" s="9">
        <f t="shared" si="13"/>
        <v>7.691752577</v>
      </c>
      <c r="AX106" s="9">
        <f t="shared" ref="AX106:AY106" si="336">AM106/$AF106</f>
        <v>0.7113402062</v>
      </c>
      <c r="AY106" s="9">
        <f t="shared" si="336"/>
        <v>0.4639175258</v>
      </c>
      <c r="AZ106" s="9">
        <f>VLOOKUP(A106,Jogos!A:BN,58,0)</f>
        <v>17.995</v>
      </c>
      <c r="BA106" s="9">
        <f>VLOOKUP(A106,Jogos!A:BN,59,0)</f>
        <v>13.725</v>
      </c>
      <c r="BB106" s="9">
        <f>VLOOKUP(A106,Jogos!A:BN,60,0)</f>
        <v>75.5</v>
      </c>
      <c r="BC106" s="9">
        <f>VLOOKUP(A106,Jogos!A:BN,61,0)</f>
        <v>15.345</v>
      </c>
      <c r="BD106" s="9">
        <f>VLOOKUP(A106,Jogos!A:BN,62,0)</f>
        <v>51.85</v>
      </c>
      <c r="BE106" s="9">
        <f>VLOOKUP(A106,Jogos!A:BN,63,0)</f>
        <v>0.94</v>
      </c>
      <c r="BF106" s="9">
        <f>VLOOKUP(A106,Jogos!A:BN,64,0)</f>
        <v>17.64</v>
      </c>
      <c r="BG106" s="9">
        <f>VLOOKUP(A106,Jogos!A:BN,65,0)</f>
        <v>30.13</v>
      </c>
      <c r="BH106" s="9">
        <f>VLOOKUP(A106,Jogos!A:BN,66,0)</f>
        <v>20.175</v>
      </c>
      <c r="BI106" s="9"/>
    </row>
    <row r="107" hidden="1">
      <c r="A107" s="10">
        <v>4.0</v>
      </c>
      <c r="B107" s="11" t="s">
        <v>60</v>
      </c>
      <c r="C107" s="2" t="s">
        <v>61</v>
      </c>
      <c r="D107" s="12">
        <v>45823.0</v>
      </c>
      <c r="E107" s="13">
        <v>0.75</v>
      </c>
      <c r="F107" s="5" t="str">
        <f>VLOOKUP(A107,Jogos!A:N,10,0)</f>
        <v>Evening</v>
      </c>
      <c r="G107" s="11" t="s">
        <v>249</v>
      </c>
      <c r="H107" s="6" t="str">
        <f>VLOOKUP(A107,Jogos!A:L,12,0)</f>
        <v>Open</v>
      </c>
      <c r="I107" s="6" t="str">
        <f>VLOOKUP(G107,'Estádios e Cidades'!A:B,2,0)</f>
        <v>East Rutherford</v>
      </c>
      <c r="J107" s="11" t="s">
        <v>251</v>
      </c>
      <c r="K107" s="2" t="str">
        <f>VLOOKUP(J107,Equipes!A:F,6,0)</f>
        <v>Temperate</v>
      </c>
      <c r="L107" s="2">
        <f>VLOOKUP(J107,Equipes!A:C,3,0)</f>
        <v>23</v>
      </c>
      <c r="M107" s="2" t="str">
        <f t="shared" si="4"/>
        <v>Group</v>
      </c>
      <c r="N107" s="11" t="s">
        <v>250</v>
      </c>
      <c r="O107" s="2">
        <f>VLOOKUP(N107,Equipes!A:C,3,0)</f>
        <v>8</v>
      </c>
      <c r="P107" s="2" t="str">
        <f t="shared" si="5"/>
        <v>Quarter-final</v>
      </c>
      <c r="Q107" s="2">
        <f t="shared" si="6"/>
        <v>15</v>
      </c>
      <c r="R107" s="2" t="str">
        <f>VLOOKUP(J107,Equipes!A:B,2,0)</f>
        <v>Porto</v>
      </c>
      <c r="S107" s="6" t="s">
        <v>286</v>
      </c>
      <c r="T107" s="7">
        <v>10.0</v>
      </c>
      <c r="U107" s="7" t="s">
        <v>287</v>
      </c>
      <c r="V107" s="7" t="str">
        <f>VLOOKUP(U107,Jogadores!B:C,2,0)</f>
        <v>MF</v>
      </c>
      <c r="W107" s="8">
        <f>VLOOKUP(U107,Jogadores!B:D,3,0)</f>
        <v>25.17808219</v>
      </c>
      <c r="X107" s="7">
        <v>0.0</v>
      </c>
      <c r="Y107" s="7">
        <v>82.0</v>
      </c>
      <c r="Z107" s="7">
        <f>VLOOKUP(A107,Jogos!A:L,3,0)</f>
        <v>48</v>
      </c>
      <c r="AA107" s="7">
        <f t="shared" si="7"/>
        <v>48</v>
      </c>
      <c r="AB107" s="7">
        <f>VLOOKUP(A107,Jogos!A:L,4,0)</f>
        <v>49</v>
      </c>
      <c r="AC107" s="7">
        <f t="shared" si="8"/>
        <v>37</v>
      </c>
      <c r="AD107" s="7"/>
      <c r="AE107" s="7"/>
      <c r="AF107" s="7">
        <f t="shared" si="9"/>
        <v>85</v>
      </c>
      <c r="AG107" s="7">
        <v>8630.4</v>
      </c>
      <c r="AH107" s="7">
        <v>3557.6</v>
      </c>
      <c r="AI107" s="7">
        <v>3293.3</v>
      </c>
      <c r="AJ107" s="7">
        <v>1147.0</v>
      </c>
      <c r="AK107" s="7">
        <v>543.0</v>
      </c>
      <c r="AL107" s="7">
        <v>89.5</v>
      </c>
      <c r="AM107" s="7">
        <v>102.0</v>
      </c>
      <c r="AN107" s="7">
        <v>41.0</v>
      </c>
      <c r="AO107" s="7">
        <v>31.2</v>
      </c>
      <c r="AP107" s="9">
        <f t="shared" ref="AP107:AR107" si="337">AG107/$AF107</f>
        <v>101.5341176</v>
      </c>
      <c r="AQ107" s="9">
        <f t="shared" si="337"/>
        <v>41.85411765</v>
      </c>
      <c r="AR107" s="9">
        <f t="shared" si="337"/>
        <v>38.74470588</v>
      </c>
      <c r="AS107" s="9">
        <f t="shared" si="11"/>
        <v>80.59882353</v>
      </c>
      <c r="AT107" s="9">
        <f t="shared" ref="AT107:AV107" si="338">AJ107/$AF107</f>
        <v>13.49411765</v>
      </c>
      <c r="AU107" s="9">
        <f t="shared" si="338"/>
        <v>6.388235294</v>
      </c>
      <c r="AV107" s="9">
        <f t="shared" si="338"/>
        <v>1.052941176</v>
      </c>
      <c r="AW107" s="9">
        <f t="shared" si="13"/>
        <v>7.441176471</v>
      </c>
      <c r="AX107" s="9">
        <f t="shared" ref="AX107:AY107" si="339">AM107/$AF107</f>
        <v>1.2</v>
      </c>
      <c r="AY107" s="9">
        <f t="shared" si="339"/>
        <v>0.4823529412</v>
      </c>
      <c r="AZ107" s="9">
        <f>VLOOKUP(A107,Jogos!A:BN,58,0)</f>
        <v>17.995</v>
      </c>
      <c r="BA107" s="9">
        <f>VLOOKUP(A107,Jogos!A:BN,59,0)</f>
        <v>13.725</v>
      </c>
      <c r="BB107" s="9">
        <f>VLOOKUP(A107,Jogos!A:BN,60,0)</f>
        <v>75.5</v>
      </c>
      <c r="BC107" s="9">
        <f>VLOOKUP(A107,Jogos!A:BN,61,0)</f>
        <v>15.345</v>
      </c>
      <c r="BD107" s="9">
        <f>VLOOKUP(A107,Jogos!A:BN,62,0)</f>
        <v>51.85</v>
      </c>
      <c r="BE107" s="9">
        <f>VLOOKUP(A107,Jogos!A:BN,63,0)</f>
        <v>0.94</v>
      </c>
      <c r="BF107" s="9">
        <f>VLOOKUP(A107,Jogos!A:BN,64,0)</f>
        <v>17.64</v>
      </c>
      <c r="BG107" s="9">
        <f>VLOOKUP(A107,Jogos!A:BN,65,0)</f>
        <v>30.13</v>
      </c>
      <c r="BH107" s="9">
        <f>VLOOKUP(A107,Jogos!A:BN,66,0)</f>
        <v>20.175</v>
      </c>
      <c r="BI107" s="9"/>
    </row>
    <row r="108" hidden="1">
      <c r="A108" s="10">
        <v>4.0</v>
      </c>
      <c r="B108" s="11" t="s">
        <v>60</v>
      </c>
      <c r="C108" s="2" t="s">
        <v>61</v>
      </c>
      <c r="D108" s="12">
        <v>45823.0</v>
      </c>
      <c r="E108" s="13">
        <v>0.75</v>
      </c>
      <c r="F108" s="5" t="str">
        <f>VLOOKUP(A108,Jogos!A:N,10,0)</f>
        <v>Evening</v>
      </c>
      <c r="G108" s="11" t="s">
        <v>249</v>
      </c>
      <c r="H108" s="6" t="str">
        <f>VLOOKUP(A108,Jogos!A:L,12,0)</f>
        <v>Open</v>
      </c>
      <c r="I108" s="6" t="str">
        <f>VLOOKUP(G108,'Estádios e Cidades'!A:B,2,0)</f>
        <v>East Rutherford</v>
      </c>
      <c r="J108" s="11" t="s">
        <v>251</v>
      </c>
      <c r="K108" s="2" t="str">
        <f>VLOOKUP(J108,Equipes!A:F,6,0)</f>
        <v>Temperate</v>
      </c>
      <c r="L108" s="2">
        <f>VLOOKUP(J108,Equipes!A:C,3,0)</f>
        <v>23</v>
      </c>
      <c r="M108" s="2" t="str">
        <f t="shared" si="4"/>
        <v>Group</v>
      </c>
      <c r="N108" s="11" t="s">
        <v>250</v>
      </c>
      <c r="O108" s="2">
        <f>VLOOKUP(N108,Equipes!A:C,3,0)</f>
        <v>8</v>
      </c>
      <c r="P108" s="2" t="str">
        <f t="shared" si="5"/>
        <v>Quarter-final</v>
      </c>
      <c r="Q108" s="2">
        <f t="shared" si="6"/>
        <v>15</v>
      </c>
      <c r="R108" s="2" t="str">
        <f>VLOOKUP(J108,Equipes!A:B,2,0)</f>
        <v>Porto</v>
      </c>
      <c r="S108" s="6" t="s">
        <v>288</v>
      </c>
      <c r="T108" s="7">
        <v>17.0</v>
      </c>
      <c r="U108" s="7" t="s">
        <v>289</v>
      </c>
      <c r="V108" s="7" t="str">
        <f>VLOOKUP(U108,Jogadores!B:C,2,0)</f>
        <v>MF</v>
      </c>
      <c r="W108" s="8">
        <f>VLOOKUP(U108,Jogadores!B:D,3,0)</f>
        <v>23.18630137</v>
      </c>
      <c r="X108" s="7">
        <v>0.0</v>
      </c>
      <c r="Y108" s="7">
        <v>67.0</v>
      </c>
      <c r="Z108" s="7">
        <f>VLOOKUP(A108,Jogos!A:L,3,0)</f>
        <v>48</v>
      </c>
      <c r="AA108" s="7">
        <f t="shared" si="7"/>
        <v>48</v>
      </c>
      <c r="AB108" s="7">
        <f>VLOOKUP(A108,Jogos!A:L,4,0)</f>
        <v>49</v>
      </c>
      <c r="AC108" s="7">
        <f t="shared" si="8"/>
        <v>22</v>
      </c>
      <c r="AD108" s="7"/>
      <c r="AE108" s="7"/>
      <c r="AF108" s="7">
        <f t="shared" si="9"/>
        <v>70</v>
      </c>
      <c r="AG108" s="7">
        <v>7178.7</v>
      </c>
      <c r="AH108" s="7">
        <v>2787.4</v>
      </c>
      <c r="AI108" s="7">
        <v>2814.4</v>
      </c>
      <c r="AJ108" s="7">
        <v>997.2</v>
      </c>
      <c r="AK108" s="7">
        <v>471.1</v>
      </c>
      <c r="AL108" s="7">
        <v>108.6</v>
      </c>
      <c r="AM108" s="7">
        <v>78.0</v>
      </c>
      <c r="AN108" s="7">
        <v>38.0</v>
      </c>
      <c r="AO108" s="7">
        <v>32.7</v>
      </c>
      <c r="AP108" s="9">
        <f t="shared" ref="AP108:AR108" si="340">AG108/$AF108</f>
        <v>102.5528571</v>
      </c>
      <c r="AQ108" s="9">
        <f t="shared" si="340"/>
        <v>39.82</v>
      </c>
      <c r="AR108" s="9">
        <f t="shared" si="340"/>
        <v>40.20571429</v>
      </c>
      <c r="AS108" s="9">
        <f t="shared" si="11"/>
        <v>80.02571429</v>
      </c>
      <c r="AT108" s="9">
        <f t="shared" ref="AT108:AV108" si="341">AJ108/$AF108</f>
        <v>14.24571429</v>
      </c>
      <c r="AU108" s="9">
        <f t="shared" si="341"/>
        <v>6.73</v>
      </c>
      <c r="AV108" s="9">
        <f t="shared" si="341"/>
        <v>1.551428571</v>
      </c>
      <c r="AW108" s="9">
        <f t="shared" si="13"/>
        <v>8.281428571</v>
      </c>
      <c r="AX108" s="9">
        <f t="shared" ref="AX108:AY108" si="342">AM108/$AF108</f>
        <v>1.114285714</v>
      </c>
      <c r="AY108" s="9">
        <f t="shared" si="342"/>
        <v>0.5428571429</v>
      </c>
      <c r="AZ108" s="9">
        <f>VLOOKUP(A108,Jogos!A:BN,58,0)</f>
        <v>17.995</v>
      </c>
      <c r="BA108" s="9">
        <f>VLOOKUP(A108,Jogos!A:BN,59,0)</f>
        <v>13.725</v>
      </c>
      <c r="BB108" s="9">
        <f>VLOOKUP(A108,Jogos!A:BN,60,0)</f>
        <v>75.5</v>
      </c>
      <c r="BC108" s="9">
        <f>VLOOKUP(A108,Jogos!A:BN,61,0)</f>
        <v>15.345</v>
      </c>
      <c r="BD108" s="9">
        <f>VLOOKUP(A108,Jogos!A:BN,62,0)</f>
        <v>51.85</v>
      </c>
      <c r="BE108" s="9">
        <f>VLOOKUP(A108,Jogos!A:BN,63,0)</f>
        <v>0.94</v>
      </c>
      <c r="BF108" s="9">
        <f>VLOOKUP(A108,Jogos!A:BN,64,0)</f>
        <v>17.64</v>
      </c>
      <c r="BG108" s="9">
        <f>VLOOKUP(A108,Jogos!A:BN,65,0)</f>
        <v>30.13</v>
      </c>
      <c r="BH108" s="9">
        <f>VLOOKUP(A108,Jogos!A:BN,66,0)</f>
        <v>20.175</v>
      </c>
      <c r="BI108" s="9"/>
    </row>
    <row r="109" hidden="1">
      <c r="A109" s="10">
        <v>4.0</v>
      </c>
      <c r="B109" s="11" t="s">
        <v>60</v>
      </c>
      <c r="C109" s="2" t="s">
        <v>61</v>
      </c>
      <c r="D109" s="12">
        <v>45823.0</v>
      </c>
      <c r="E109" s="13">
        <v>0.75</v>
      </c>
      <c r="F109" s="5" t="str">
        <f>VLOOKUP(A109,Jogos!A:N,10,0)</f>
        <v>Evening</v>
      </c>
      <c r="G109" s="11" t="s">
        <v>249</v>
      </c>
      <c r="H109" s="6" t="str">
        <f>VLOOKUP(A109,Jogos!A:L,12,0)</f>
        <v>Open</v>
      </c>
      <c r="I109" s="6" t="str">
        <f>VLOOKUP(G109,'Estádios e Cidades'!A:B,2,0)</f>
        <v>East Rutherford</v>
      </c>
      <c r="J109" s="11" t="s">
        <v>251</v>
      </c>
      <c r="K109" s="2" t="str">
        <f>VLOOKUP(J109,Equipes!A:F,6,0)</f>
        <v>Temperate</v>
      </c>
      <c r="L109" s="2">
        <f>VLOOKUP(J109,Equipes!A:C,3,0)</f>
        <v>23</v>
      </c>
      <c r="M109" s="2" t="str">
        <f t="shared" si="4"/>
        <v>Group</v>
      </c>
      <c r="N109" s="11" t="s">
        <v>250</v>
      </c>
      <c r="O109" s="2">
        <f>VLOOKUP(N109,Equipes!A:C,3,0)</f>
        <v>8</v>
      </c>
      <c r="P109" s="2" t="str">
        <f t="shared" si="5"/>
        <v>Quarter-final</v>
      </c>
      <c r="Q109" s="2">
        <f t="shared" si="6"/>
        <v>15</v>
      </c>
      <c r="R109" s="2" t="str">
        <f>VLOOKUP(J109,Equipes!A:B,2,0)</f>
        <v>Porto</v>
      </c>
      <c r="S109" s="6" t="s">
        <v>290</v>
      </c>
      <c r="T109" s="7">
        <v>22.0</v>
      </c>
      <c r="U109" s="7" t="s">
        <v>291</v>
      </c>
      <c r="V109" s="7" t="str">
        <f>VLOOKUP(U109,Jogadores!B:C,2,0)</f>
        <v>MF</v>
      </c>
      <c r="W109" s="8">
        <f>VLOOKUP(U109,Jogadores!B:D,3,0)</f>
        <v>24.08219178</v>
      </c>
      <c r="X109" s="7">
        <v>0.0</v>
      </c>
      <c r="Y109" s="7">
        <v>82.0</v>
      </c>
      <c r="Z109" s="7">
        <f>VLOOKUP(A109,Jogos!A:L,3,0)</f>
        <v>48</v>
      </c>
      <c r="AA109" s="7">
        <f t="shared" si="7"/>
        <v>48</v>
      </c>
      <c r="AB109" s="7">
        <f>VLOOKUP(A109,Jogos!A:L,4,0)</f>
        <v>49</v>
      </c>
      <c r="AC109" s="7">
        <f t="shared" si="8"/>
        <v>37</v>
      </c>
      <c r="AD109" s="7"/>
      <c r="AE109" s="7"/>
      <c r="AF109" s="7">
        <f t="shared" si="9"/>
        <v>85</v>
      </c>
      <c r="AG109" s="7">
        <v>9405.6</v>
      </c>
      <c r="AH109" s="7">
        <v>2962.5</v>
      </c>
      <c r="AI109" s="7">
        <v>4005.6</v>
      </c>
      <c r="AJ109" s="7">
        <v>1726.0</v>
      </c>
      <c r="AK109" s="7">
        <v>569.0</v>
      </c>
      <c r="AL109" s="7">
        <v>142.5</v>
      </c>
      <c r="AM109" s="7">
        <v>157.0</v>
      </c>
      <c r="AN109" s="7">
        <v>42.0</v>
      </c>
      <c r="AO109" s="7">
        <v>29.7</v>
      </c>
      <c r="AP109" s="9">
        <f t="shared" ref="AP109:AR109" si="343">AG109/$AF109</f>
        <v>110.6541176</v>
      </c>
      <c r="AQ109" s="9">
        <f t="shared" si="343"/>
        <v>34.85294118</v>
      </c>
      <c r="AR109" s="9">
        <f t="shared" si="343"/>
        <v>47.12470588</v>
      </c>
      <c r="AS109" s="9">
        <f t="shared" si="11"/>
        <v>81.97764706</v>
      </c>
      <c r="AT109" s="9">
        <f t="shared" ref="AT109:AV109" si="344">AJ109/$AF109</f>
        <v>20.30588235</v>
      </c>
      <c r="AU109" s="9">
        <f t="shared" si="344"/>
        <v>6.694117647</v>
      </c>
      <c r="AV109" s="9">
        <f t="shared" si="344"/>
        <v>1.676470588</v>
      </c>
      <c r="AW109" s="9">
        <f t="shared" si="13"/>
        <v>8.370588235</v>
      </c>
      <c r="AX109" s="9">
        <f t="shared" ref="AX109:AY109" si="345">AM109/$AF109</f>
        <v>1.847058824</v>
      </c>
      <c r="AY109" s="9">
        <f t="shared" si="345"/>
        <v>0.4941176471</v>
      </c>
      <c r="AZ109" s="9">
        <f>VLOOKUP(A109,Jogos!A:BN,58,0)</f>
        <v>17.995</v>
      </c>
      <c r="BA109" s="9">
        <f>VLOOKUP(A109,Jogos!A:BN,59,0)</f>
        <v>13.725</v>
      </c>
      <c r="BB109" s="9">
        <f>VLOOKUP(A109,Jogos!A:BN,60,0)</f>
        <v>75.5</v>
      </c>
      <c r="BC109" s="9">
        <f>VLOOKUP(A109,Jogos!A:BN,61,0)</f>
        <v>15.345</v>
      </c>
      <c r="BD109" s="9">
        <f>VLOOKUP(A109,Jogos!A:BN,62,0)</f>
        <v>51.85</v>
      </c>
      <c r="BE109" s="9">
        <f>VLOOKUP(A109,Jogos!A:BN,63,0)</f>
        <v>0.94</v>
      </c>
      <c r="BF109" s="9">
        <f>VLOOKUP(A109,Jogos!A:BN,64,0)</f>
        <v>17.64</v>
      </c>
      <c r="BG109" s="9">
        <f>VLOOKUP(A109,Jogos!A:BN,65,0)</f>
        <v>30.13</v>
      </c>
      <c r="BH109" s="9">
        <f>VLOOKUP(A109,Jogos!A:BN,66,0)</f>
        <v>20.175</v>
      </c>
      <c r="BI109" s="9"/>
    </row>
    <row r="110" hidden="1">
      <c r="A110" s="10">
        <v>4.0</v>
      </c>
      <c r="B110" s="11" t="s">
        <v>60</v>
      </c>
      <c r="C110" s="2" t="s">
        <v>61</v>
      </c>
      <c r="D110" s="12">
        <v>45823.0</v>
      </c>
      <c r="E110" s="13">
        <v>0.75</v>
      </c>
      <c r="F110" s="5" t="str">
        <f>VLOOKUP(A110,Jogos!A:N,10,0)</f>
        <v>Evening</v>
      </c>
      <c r="G110" s="11" t="s">
        <v>249</v>
      </c>
      <c r="H110" s="6" t="str">
        <f>VLOOKUP(A110,Jogos!A:L,12,0)</f>
        <v>Open</v>
      </c>
      <c r="I110" s="6" t="str">
        <f>VLOOKUP(G110,'Estádios e Cidades'!A:B,2,0)</f>
        <v>East Rutherford</v>
      </c>
      <c r="J110" s="11" t="s">
        <v>251</v>
      </c>
      <c r="K110" s="2" t="str">
        <f>VLOOKUP(J110,Equipes!A:F,6,0)</f>
        <v>Temperate</v>
      </c>
      <c r="L110" s="2">
        <f>VLOOKUP(J110,Equipes!A:C,3,0)</f>
        <v>23</v>
      </c>
      <c r="M110" s="2" t="str">
        <f t="shared" si="4"/>
        <v>Group</v>
      </c>
      <c r="N110" s="11" t="s">
        <v>250</v>
      </c>
      <c r="O110" s="2">
        <f>VLOOKUP(N110,Equipes!A:C,3,0)</f>
        <v>8</v>
      </c>
      <c r="P110" s="2" t="str">
        <f t="shared" si="5"/>
        <v>Quarter-final</v>
      </c>
      <c r="Q110" s="2">
        <f t="shared" si="6"/>
        <v>15</v>
      </c>
      <c r="R110" s="2" t="str">
        <f>VLOOKUP(J110,Equipes!A:B,2,0)</f>
        <v>Porto</v>
      </c>
      <c r="S110" s="6" t="s">
        <v>292</v>
      </c>
      <c r="T110" s="7">
        <v>23.0</v>
      </c>
      <c r="U110" s="7" t="s">
        <v>293</v>
      </c>
      <c r="V110" s="7" t="str">
        <f>VLOOKUP(U110,Jogadores!B:C,2,0)</f>
        <v>DF</v>
      </c>
      <c r="W110" s="8">
        <f>VLOOKUP(U110,Jogadores!B:D,3,0)</f>
        <v>25.58356164</v>
      </c>
      <c r="X110" s="7">
        <v>0.0</v>
      </c>
      <c r="Y110" s="7">
        <v>78.0</v>
      </c>
      <c r="Z110" s="7">
        <f>VLOOKUP(A110,Jogos!A:L,3,0)</f>
        <v>48</v>
      </c>
      <c r="AA110" s="7">
        <f t="shared" si="7"/>
        <v>48</v>
      </c>
      <c r="AB110" s="7">
        <f>VLOOKUP(A110,Jogos!A:L,4,0)</f>
        <v>49</v>
      </c>
      <c r="AC110" s="7">
        <f t="shared" si="8"/>
        <v>33</v>
      </c>
      <c r="AD110" s="7"/>
      <c r="AE110" s="7"/>
      <c r="AF110" s="7">
        <f t="shared" si="9"/>
        <v>81</v>
      </c>
      <c r="AG110" s="7">
        <v>8400.1</v>
      </c>
      <c r="AH110" s="7">
        <v>3095.9</v>
      </c>
      <c r="AI110" s="7">
        <v>3252.4</v>
      </c>
      <c r="AJ110" s="7">
        <v>1180.9</v>
      </c>
      <c r="AK110" s="7">
        <v>722.0</v>
      </c>
      <c r="AL110" s="7">
        <v>148.8</v>
      </c>
      <c r="AM110" s="7">
        <v>114.0</v>
      </c>
      <c r="AN110" s="7">
        <v>60.0</v>
      </c>
      <c r="AO110" s="7">
        <v>33.4</v>
      </c>
      <c r="AP110" s="9">
        <f t="shared" ref="AP110:AR110" si="346">AG110/$AF110</f>
        <v>103.7049383</v>
      </c>
      <c r="AQ110" s="9">
        <f t="shared" si="346"/>
        <v>38.22098765</v>
      </c>
      <c r="AR110" s="9">
        <f t="shared" si="346"/>
        <v>40.15308642</v>
      </c>
      <c r="AS110" s="9">
        <f t="shared" si="11"/>
        <v>78.37407407</v>
      </c>
      <c r="AT110" s="9">
        <f t="shared" ref="AT110:AV110" si="347">AJ110/$AF110</f>
        <v>14.57901235</v>
      </c>
      <c r="AU110" s="9">
        <f t="shared" si="347"/>
        <v>8.913580247</v>
      </c>
      <c r="AV110" s="9">
        <f t="shared" si="347"/>
        <v>1.837037037</v>
      </c>
      <c r="AW110" s="9">
        <f t="shared" si="13"/>
        <v>10.75061728</v>
      </c>
      <c r="AX110" s="9">
        <f t="shared" ref="AX110:AY110" si="348">AM110/$AF110</f>
        <v>1.407407407</v>
      </c>
      <c r="AY110" s="9">
        <f t="shared" si="348"/>
        <v>0.7407407407</v>
      </c>
      <c r="AZ110" s="9">
        <f>VLOOKUP(A110,Jogos!A:BN,58,0)</f>
        <v>17.995</v>
      </c>
      <c r="BA110" s="9">
        <f>VLOOKUP(A110,Jogos!A:BN,59,0)</f>
        <v>13.725</v>
      </c>
      <c r="BB110" s="9">
        <f>VLOOKUP(A110,Jogos!A:BN,60,0)</f>
        <v>75.5</v>
      </c>
      <c r="BC110" s="9">
        <f>VLOOKUP(A110,Jogos!A:BN,61,0)</f>
        <v>15.345</v>
      </c>
      <c r="BD110" s="9">
        <f>VLOOKUP(A110,Jogos!A:BN,62,0)</f>
        <v>51.85</v>
      </c>
      <c r="BE110" s="9">
        <f>VLOOKUP(A110,Jogos!A:BN,63,0)</f>
        <v>0.94</v>
      </c>
      <c r="BF110" s="9">
        <f>VLOOKUP(A110,Jogos!A:BN,64,0)</f>
        <v>17.64</v>
      </c>
      <c r="BG110" s="9">
        <f>VLOOKUP(A110,Jogos!A:BN,65,0)</f>
        <v>30.13</v>
      </c>
      <c r="BH110" s="9">
        <f>VLOOKUP(A110,Jogos!A:BN,66,0)</f>
        <v>20.175</v>
      </c>
      <c r="BI110" s="9"/>
    </row>
    <row r="111" hidden="1">
      <c r="A111" s="10">
        <v>4.0</v>
      </c>
      <c r="B111" s="11" t="s">
        <v>60</v>
      </c>
      <c r="C111" s="2" t="s">
        <v>61</v>
      </c>
      <c r="D111" s="12">
        <v>45823.0</v>
      </c>
      <c r="E111" s="13">
        <v>0.75</v>
      </c>
      <c r="F111" s="5" t="str">
        <f>VLOOKUP(A111,Jogos!A:N,10,0)</f>
        <v>Evening</v>
      </c>
      <c r="G111" s="11" t="s">
        <v>249</v>
      </c>
      <c r="H111" s="6" t="str">
        <f>VLOOKUP(A111,Jogos!A:L,12,0)</f>
        <v>Open</v>
      </c>
      <c r="I111" s="6" t="str">
        <f>VLOOKUP(G111,'Estádios e Cidades'!A:B,2,0)</f>
        <v>East Rutherford</v>
      </c>
      <c r="J111" s="11" t="s">
        <v>251</v>
      </c>
      <c r="K111" s="2" t="str">
        <f>VLOOKUP(J111,Equipes!A:F,6,0)</f>
        <v>Temperate</v>
      </c>
      <c r="L111" s="2">
        <f>VLOOKUP(J111,Equipes!A:C,3,0)</f>
        <v>23</v>
      </c>
      <c r="M111" s="2" t="str">
        <f t="shared" si="4"/>
        <v>Group</v>
      </c>
      <c r="N111" s="11" t="s">
        <v>250</v>
      </c>
      <c r="O111" s="2">
        <f>VLOOKUP(N111,Equipes!A:C,3,0)</f>
        <v>8</v>
      </c>
      <c r="P111" s="2" t="str">
        <f t="shared" si="5"/>
        <v>Quarter-final</v>
      </c>
      <c r="Q111" s="2">
        <f t="shared" si="6"/>
        <v>15</v>
      </c>
      <c r="R111" s="2" t="str">
        <f>VLOOKUP(J111,Equipes!A:B,2,0)</f>
        <v>Porto</v>
      </c>
      <c r="S111" s="6" t="s">
        <v>294</v>
      </c>
      <c r="T111" s="7">
        <v>52.0</v>
      </c>
      <c r="U111" s="7" t="s">
        <v>295</v>
      </c>
      <c r="V111" s="7" t="str">
        <f>VLOOKUP(U111,Jogadores!B:C,2,0)</f>
        <v>DF</v>
      </c>
      <c r="W111" s="8">
        <f>VLOOKUP(U111,Jogadores!B:D,3,0)</f>
        <v>19.5369863</v>
      </c>
      <c r="X111" s="7">
        <v>0.0</v>
      </c>
      <c r="Y111" s="7">
        <f t="shared" ref="Y111:Y112" si="352">45+AB111</f>
        <v>94</v>
      </c>
      <c r="Z111" s="7">
        <f>VLOOKUP(A111,Jogos!A:L,3,0)</f>
        <v>48</v>
      </c>
      <c r="AA111" s="7">
        <f t="shared" si="7"/>
        <v>48</v>
      </c>
      <c r="AB111" s="7">
        <f>VLOOKUP(A111,Jogos!A:L,4,0)</f>
        <v>49</v>
      </c>
      <c r="AC111" s="7">
        <f t="shared" si="8"/>
        <v>49</v>
      </c>
      <c r="AD111" s="7"/>
      <c r="AE111" s="7"/>
      <c r="AF111" s="7">
        <f t="shared" si="9"/>
        <v>97</v>
      </c>
      <c r="AG111" s="7">
        <v>9809.9</v>
      </c>
      <c r="AH111" s="7">
        <v>3523.4</v>
      </c>
      <c r="AI111" s="7">
        <v>4152.7</v>
      </c>
      <c r="AJ111" s="7">
        <v>1319.1</v>
      </c>
      <c r="AK111" s="7">
        <v>542.5</v>
      </c>
      <c r="AL111" s="7">
        <v>272.2</v>
      </c>
      <c r="AM111" s="7">
        <v>117.0</v>
      </c>
      <c r="AN111" s="7">
        <v>49.0</v>
      </c>
      <c r="AO111" s="7">
        <v>32.7</v>
      </c>
      <c r="AP111" s="9">
        <f t="shared" ref="AP111:AR111" si="349">AG111/$AF111</f>
        <v>101.1329897</v>
      </c>
      <c r="AQ111" s="9">
        <f t="shared" si="349"/>
        <v>36.32371134</v>
      </c>
      <c r="AR111" s="9">
        <f t="shared" si="349"/>
        <v>42.81134021</v>
      </c>
      <c r="AS111" s="9">
        <f t="shared" si="11"/>
        <v>79.13505155</v>
      </c>
      <c r="AT111" s="9">
        <f t="shared" ref="AT111:AV111" si="350">AJ111/$AF111</f>
        <v>13.59896907</v>
      </c>
      <c r="AU111" s="9">
        <f t="shared" si="350"/>
        <v>5.592783505</v>
      </c>
      <c r="AV111" s="9">
        <f t="shared" si="350"/>
        <v>2.806185567</v>
      </c>
      <c r="AW111" s="9">
        <f t="shared" si="13"/>
        <v>8.398969072</v>
      </c>
      <c r="AX111" s="9">
        <f t="shared" ref="AX111:AY111" si="351">AM111/$AF111</f>
        <v>1.206185567</v>
      </c>
      <c r="AY111" s="9">
        <f t="shared" si="351"/>
        <v>0.5051546392</v>
      </c>
      <c r="AZ111" s="9">
        <f>VLOOKUP(A111,Jogos!A:BN,58,0)</f>
        <v>17.995</v>
      </c>
      <c r="BA111" s="9">
        <f>VLOOKUP(A111,Jogos!A:BN,59,0)</f>
        <v>13.725</v>
      </c>
      <c r="BB111" s="9">
        <f>VLOOKUP(A111,Jogos!A:BN,60,0)</f>
        <v>75.5</v>
      </c>
      <c r="BC111" s="9">
        <f>VLOOKUP(A111,Jogos!A:BN,61,0)</f>
        <v>15.345</v>
      </c>
      <c r="BD111" s="9">
        <f>VLOOKUP(A111,Jogos!A:BN,62,0)</f>
        <v>51.85</v>
      </c>
      <c r="BE111" s="9">
        <f>VLOOKUP(A111,Jogos!A:BN,63,0)</f>
        <v>0.94</v>
      </c>
      <c r="BF111" s="9">
        <f>VLOOKUP(A111,Jogos!A:BN,64,0)</f>
        <v>17.64</v>
      </c>
      <c r="BG111" s="9">
        <f>VLOOKUP(A111,Jogos!A:BN,65,0)</f>
        <v>30.13</v>
      </c>
      <c r="BH111" s="9">
        <f>VLOOKUP(A111,Jogos!A:BN,66,0)</f>
        <v>20.175</v>
      </c>
      <c r="BI111" s="9"/>
    </row>
    <row r="112" hidden="1">
      <c r="A112" s="10">
        <v>4.0</v>
      </c>
      <c r="B112" s="11" t="s">
        <v>60</v>
      </c>
      <c r="C112" s="2" t="s">
        <v>61</v>
      </c>
      <c r="D112" s="12">
        <v>45823.0</v>
      </c>
      <c r="E112" s="13">
        <v>0.75</v>
      </c>
      <c r="F112" s="5" t="str">
        <f>VLOOKUP(A112,Jogos!A:N,10,0)</f>
        <v>Evening</v>
      </c>
      <c r="G112" s="11" t="s">
        <v>249</v>
      </c>
      <c r="H112" s="6" t="str">
        <f>VLOOKUP(A112,Jogos!A:L,12,0)</f>
        <v>Open</v>
      </c>
      <c r="I112" s="6" t="str">
        <f>VLOOKUP(G112,'Estádios e Cidades'!A:B,2,0)</f>
        <v>East Rutherford</v>
      </c>
      <c r="J112" s="11" t="s">
        <v>251</v>
      </c>
      <c r="K112" s="2" t="str">
        <f>VLOOKUP(J112,Equipes!A:F,6,0)</f>
        <v>Temperate</v>
      </c>
      <c r="L112" s="2">
        <f>VLOOKUP(J112,Equipes!A:C,3,0)</f>
        <v>23</v>
      </c>
      <c r="M112" s="2" t="str">
        <f t="shared" si="4"/>
        <v>Group</v>
      </c>
      <c r="N112" s="11" t="s">
        <v>250</v>
      </c>
      <c r="O112" s="2">
        <f>VLOOKUP(N112,Equipes!A:C,3,0)</f>
        <v>8</v>
      </c>
      <c r="P112" s="2" t="str">
        <f t="shared" si="5"/>
        <v>Quarter-final</v>
      </c>
      <c r="Q112" s="2">
        <f t="shared" si="6"/>
        <v>15</v>
      </c>
      <c r="R112" s="2" t="str">
        <f>VLOOKUP(J112,Equipes!A:B,2,0)</f>
        <v>Porto</v>
      </c>
      <c r="S112" s="6" t="s">
        <v>296</v>
      </c>
      <c r="T112" s="7">
        <v>74.0</v>
      </c>
      <c r="U112" s="7" t="s">
        <v>297</v>
      </c>
      <c r="V112" s="7" t="str">
        <f>VLOOKUP(U112,Jogadores!B:C,2,0)</f>
        <v>DF</v>
      </c>
      <c r="W112" s="8">
        <f>VLOOKUP(U112,Jogadores!B:D,3,0)</f>
        <v>25.96712329</v>
      </c>
      <c r="X112" s="7">
        <v>0.0</v>
      </c>
      <c r="Y112" s="7">
        <f t="shared" si="352"/>
        <v>94</v>
      </c>
      <c r="Z112" s="7">
        <f>VLOOKUP(A112,Jogos!A:L,3,0)</f>
        <v>48</v>
      </c>
      <c r="AA112" s="7">
        <f t="shared" si="7"/>
        <v>48</v>
      </c>
      <c r="AB112" s="7">
        <f>VLOOKUP(A112,Jogos!A:L,4,0)</f>
        <v>49</v>
      </c>
      <c r="AC112" s="7">
        <f t="shared" si="8"/>
        <v>49</v>
      </c>
      <c r="AD112" s="7"/>
      <c r="AE112" s="7"/>
      <c r="AF112" s="7">
        <f t="shared" si="9"/>
        <v>97</v>
      </c>
      <c r="AG112" s="7">
        <v>10466.9</v>
      </c>
      <c r="AH112" s="7">
        <v>3566.9</v>
      </c>
      <c r="AI112" s="7">
        <v>3956.2</v>
      </c>
      <c r="AJ112" s="7">
        <v>1460.8</v>
      </c>
      <c r="AK112" s="7">
        <v>1018.7</v>
      </c>
      <c r="AL112" s="7">
        <v>464.2</v>
      </c>
      <c r="AM112" s="7">
        <v>141.0</v>
      </c>
      <c r="AN112" s="7">
        <v>73.0</v>
      </c>
      <c r="AO112" s="7">
        <v>33.6</v>
      </c>
      <c r="AP112" s="9">
        <f t="shared" ref="AP112:AR112" si="353">AG112/$AF112</f>
        <v>107.9061856</v>
      </c>
      <c r="AQ112" s="9">
        <f t="shared" si="353"/>
        <v>36.77216495</v>
      </c>
      <c r="AR112" s="9">
        <f t="shared" si="353"/>
        <v>40.78556701</v>
      </c>
      <c r="AS112" s="9">
        <f t="shared" si="11"/>
        <v>77.55773196</v>
      </c>
      <c r="AT112" s="9">
        <f t="shared" ref="AT112:AV112" si="354">AJ112/$AF112</f>
        <v>15.05979381</v>
      </c>
      <c r="AU112" s="9">
        <f t="shared" si="354"/>
        <v>10.50206186</v>
      </c>
      <c r="AV112" s="9">
        <f t="shared" si="354"/>
        <v>4.78556701</v>
      </c>
      <c r="AW112" s="9">
        <f t="shared" si="13"/>
        <v>15.28762887</v>
      </c>
      <c r="AX112" s="9">
        <f t="shared" ref="AX112:AY112" si="355">AM112/$AF112</f>
        <v>1.453608247</v>
      </c>
      <c r="AY112" s="9">
        <f t="shared" si="355"/>
        <v>0.7525773196</v>
      </c>
      <c r="AZ112" s="9">
        <f>VLOOKUP(A112,Jogos!A:BN,58,0)</f>
        <v>17.995</v>
      </c>
      <c r="BA112" s="9">
        <f>VLOOKUP(A112,Jogos!A:BN,59,0)</f>
        <v>13.725</v>
      </c>
      <c r="BB112" s="9">
        <f>VLOOKUP(A112,Jogos!A:BN,60,0)</f>
        <v>75.5</v>
      </c>
      <c r="BC112" s="9">
        <f>VLOOKUP(A112,Jogos!A:BN,61,0)</f>
        <v>15.345</v>
      </c>
      <c r="BD112" s="9">
        <f>VLOOKUP(A112,Jogos!A:BN,62,0)</f>
        <v>51.85</v>
      </c>
      <c r="BE112" s="9">
        <f>VLOOKUP(A112,Jogos!A:BN,63,0)</f>
        <v>0.94</v>
      </c>
      <c r="BF112" s="9">
        <f>VLOOKUP(A112,Jogos!A:BN,64,0)</f>
        <v>17.64</v>
      </c>
      <c r="BG112" s="9">
        <f>VLOOKUP(A112,Jogos!A:BN,65,0)</f>
        <v>30.13</v>
      </c>
      <c r="BH112" s="9">
        <f>VLOOKUP(A112,Jogos!A:BN,66,0)</f>
        <v>20.175</v>
      </c>
      <c r="BI112" s="9"/>
    </row>
    <row r="113" hidden="1">
      <c r="A113" s="10">
        <v>4.0</v>
      </c>
      <c r="B113" s="11" t="s">
        <v>60</v>
      </c>
      <c r="C113" s="2" t="s">
        <v>61</v>
      </c>
      <c r="D113" s="12">
        <v>45823.0</v>
      </c>
      <c r="E113" s="13">
        <v>0.75</v>
      </c>
      <c r="F113" s="5" t="str">
        <f>VLOOKUP(A113,Jogos!A:N,10,0)</f>
        <v>Evening</v>
      </c>
      <c r="G113" s="11" t="s">
        <v>249</v>
      </c>
      <c r="H113" s="6" t="str">
        <f>VLOOKUP(A113,Jogos!A:L,12,0)</f>
        <v>Open</v>
      </c>
      <c r="I113" s="6" t="str">
        <f>VLOOKUP(G113,'Estádios e Cidades'!A:B,2,0)</f>
        <v>East Rutherford</v>
      </c>
      <c r="J113" s="11" t="s">
        <v>251</v>
      </c>
      <c r="K113" s="2" t="str">
        <f>VLOOKUP(J113,Equipes!A:F,6,0)</f>
        <v>Temperate</v>
      </c>
      <c r="L113" s="2">
        <f>VLOOKUP(J113,Equipes!A:C,3,0)</f>
        <v>23</v>
      </c>
      <c r="M113" s="2" t="str">
        <f t="shared" si="4"/>
        <v>Group</v>
      </c>
      <c r="N113" s="11" t="s">
        <v>250</v>
      </c>
      <c r="O113" s="2">
        <f>VLOOKUP(N113,Equipes!A:C,3,0)</f>
        <v>8</v>
      </c>
      <c r="P113" s="2" t="str">
        <f t="shared" si="5"/>
        <v>Quarter-final</v>
      </c>
      <c r="Q113" s="2">
        <f t="shared" si="6"/>
        <v>15</v>
      </c>
      <c r="R113" s="2" t="str">
        <f>VLOOKUP(J113,Equipes!A:B,2,0)</f>
        <v>Porto</v>
      </c>
      <c r="S113" s="6" t="s">
        <v>298</v>
      </c>
      <c r="T113" s="7">
        <v>86.0</v>
      </c>
      <c r="U113" s="7" t="s">
        <v>299</v>
      </c>
      <c r="V113" s="7" t="str">
        <f>VLOOKUP(U113,Jogadores!B:C,2,0)</f>
        <v>FW</v>
      </c>
      <c r="W113" s="8">
        <f>VLOOKUP(U113,Jogadores!B:D,3,0)</f>
        <v>18.24383562</v>
      </c>
      <c r="X113" s="7">
        <v>0.0</v>
      </c>
      <c r="Y113" s="7">
        <v>78.0</v>
      </c>
      <c r="Z113" s="7">
        <f>VLOOKUP(A113,Jogos!A:L,3,0)</f>
        <v>48</v>
      </c>
      <c r="AA113" s="7">
        <f t="shared" si="7"/>
        <v>48</v>
      </c>
      <c r="AB113" s="7">
        <f>VLOOKUP(A113,Jogos!A:L,4,0)</f>
        <v>49</v>
      </c>
      <c r="AC113" s="7">
        <f t="shared" si="8"/>
        <v>33</v>
      </c>
      <c r="AD113" s="7"/>
      <c r="AE113" s="7"/>
      <c r="AF113" s="7">
        <f t="shared" si="9"/>
        <v>81</v>
      </c>
      <c r="AG113" s="7">
        <v>8422.4</v>
      </c>
      <c r="AH113" s="7">
        <v>2954.9</v>
      </c>
      <c r="AI113" s="7">
        <v>3705.7</v>
      </c>
      <c r="AJ113" s="7">
        <v>1079.6</v>
      </c>
      <c r="AK113" s="7">
        <v>535.8</v>
      </c>
      <c r="AL113" s="7">
        <v>146.3</v>
      </c>
      <c r="AM113" s="7">
        <v>92.0</v>
      </c>
      <c r="AN113" s="7">
        <v>44.0</v>
      </c>
      <c r="AO113" s="7">
        <v>30.3</v>
      </c>
      <c r="AP113" s="9">
        <f t="shared" ref="AP113:AR113" si="356">AG113/$AF113</f>
        <v>103.9802469</v>
      </c>
      <c r="AQ113" s="9">
        <f t="shared" si="356"/>
        <v>36.48024691</v>
      </c>
      <c r="AR113" s="9">
        <f t="shared" si="356"/>
        <v>45.74938272</v>
      </c>
      <c r="AS113" s="9">
        <f t="shared" si="11"/>
        <v>82.22962963</v>
      </c>
      <c r="AT113" s="9">
        <f t="shared" ref="AT113:AV113" si="357">AJ113/$AF113</f>
        <v>13.32839506</v>
      </c>
      <c r="AU113" s="9">
        <f t="shared" si="357"/>
        <v>6.614814815</v>
      </c>
      <c r="AV113" s="9">
        <f t="shared" si="357"/>
        <v>1.80617284</v>
      </c>
      <c r="AW113" s="9">
        <f t="shared" si="13"/>
        <v>8.420987654</v>
      </c>
      <c r="AX113" s="9">
        <f t="shared" ref="AX113:AY113" si="358">AM113/$AF113</f>
        <v>1.135802469</v>
      </c>
      <c r="AY113" s="9">
        <f t="shared" si="358"/>
        <v>0.5432098765</v>
      </c>
      <c r="AZ113" s="9">
        <f>VLOOKUP(A113,Jogos!A:BN,58,0)</f>
        <v>17.995</v>
      </c>
      <c r="BA113" s="9">
        <f>VLOOKUP(A113,Jogos!A:BN,59,0)</f>
        <v>13.725</v>
      </c>
      <c r="BB113" s="9">
        <f>VLOOKUP(A113,Jogos!A:BN,60,0)</f>
        <v>75.5</v>
      </c>
      <c r="BC113" s="9">
        <f>VLOOKUP(A113,Jogos!A:BN,61,0)</f>
        <v>15.345</v>
      </c>
      <c r="BD113" s="9">
        <f>VLOOKUP(A113,Jogos!A:BN,62,0)</f>
        <v>51.85</v>
      </c>
      <c r="BE113" s="9">
        <f>VLOOKUP(A113,Jogos!A:BN,63,0)</f>
        <v>0.94</v>
      </c>
      <c r="BF113" s="9">
        <f>VLOOKUP(A113,Jogos!A:BN,64,0)</f>
        <v>17.64</v>
      </c>
      <c r="BG113" s="9">
        <f>VLOOKUP(A113,Jogos!A:BN,65,0)</f>
        <v>30.13</v>
      </c>
      <c r="BH113" s="9">
        <f>VLOOKUP(A113,Jogos!A:BN,66,0)</f>
        <v>20.175</v>
      </c>
      <c r="BI113" s="9"/>
    </row>
    <row r="114" hidden="1">
      <c r="A114" s="10">
        <v>4.0</v>
      </c>
      <c r="B114" s="11" t="s">
        <v>60</v>
      </c>
      <c r="C114" s="2" t="s">
        <v>61</v>
      </c>
      <c r="D114" s="12">
        <v>45823.0</v>
      </c>
      <c r="E114" s="13">
        <v>0.75</v>
      </c>
      <c r="F114" s="5" t="str">
        <f>VLOOKUP(A114,Jogos!A:N,10,0)</f>
        <v>Evening</v>
      </c>
      <c r="G114" s="11" t="s">
        <v>249</v>
      </c>
      <c r="H114" s="6" t="str">
        <f>VLOOKUP(A114,Jogos!A:L,12,0)</f>
        <v>Open</v>
      </c>
      <c r="I114" s="6" t="str">
        <f>VLOOKUP(G114,'Estádios e Cidades'!A:B,2,0)</f>
        <v>East Rutherford</v>
      </c>
      <c r="J114" s="11" t="s">
        <v>251</v>
      </c>
      <c r="K114" s="2" t="str">
        <f>VLOOKUP(J114,Equipes!A:F,6,0)</f>
        <v>Temperate</v>
      </c>
      <c r="L114" s="2">
        <f>VLOOKUP(J114,Equipes!A:C,3,0)</f>
        <v>23</v>
      </c>
      <c r="M114" s="2" t="str">
        <f t="shared" si="4"/>
        <v>Group</v>
      </c>
      <c r="N114" s="11" t="s">
        <v>250</v>
      </c>
      <c r="O114" s="2">
        <f>VLOOKUP(N114,Equipes!A:C,3,0)</f>
        <v>8</v>
      </c>
      <c r="P114" s="2" t="str">
        <f t="shared" si="5"/>
        <v>Quarter-final</v>
      </c>
      <c r="Q114" s="2">
        <f t="shared" si="6"/>
        <v>15</v>
      </c>
      <c r="R114" s="2" t="str">
        <f>VLOOKUP(J114,Equipes!A:B,2,0)</f>
        <v>Porto</v>
      </c>
      <c r="S114" s="6" t="s">
        <v>300</v>
      </c>
      <c r="T114" s="7">
        <v>97.0</v>
      </c>
      <c r="U114" s="7" t="s">
        <v>301</v>
      </c>
      <c r="V114" s="7" t="str">
        <f>VLOOKUP(U114,Jogadores!B:C,2,0)</f>
        <v>DF</v>
      </c>
      <c r="W114" s="8">
        <f>VLOOKUP(U114,Jogadores!B:D,3,0)</f>
        <v>28.16438356</v>
      </c>
      <c r="X114" s="7">
        <v>0.0</v>
      </c>
      <c r="Y114" s="7">
        <f t="shared" ref="Y114:Y121" si="362">45+AB114</f>
        <v>94</v>
      </c>
      <c r="Z114" s="7">
        <f>VLOOKUP(A114,Jogos!A:L,3,0)</f>
        <v>48</v>
      </c>
      <c r="AA114" s="7">
        <f t="shared" si="7"/>
        <v>48</v>
      </c>
      <c r="AB114" s="7">
        <f>VLOOKUP(A114,Jogos!A:L,4,0)</f>
        <v>49</v>
      </c>
      <c r="AC114" s="7">
        <f t="shared" si="8"/>
        <v>49</v>
      </c>
      <c r="AD114" s="7"/>
      <c r="AE114" s="7"/>
      <c r="AF114" s="7">
        <f t="shared" si="9"/>
        <v>97</v>
      </c>
      <c r="AG114" s="7">
        <v>9028.3</v>
      </c>
      <c r="AH114" s="7">
        <v>3327.6</v>
      </c>
      <c r="AI114" s="7">
        <v>3933.7</v>
      </c>
      <c r="AJ114" s="7">
        <v>1151.1</v>
      </c>
      <c r="AK114" s="7">
        <v>423.3</v>
      </c>
      <c r="AL114" s="7">
        <v>192.6</v>
      </c>
      <c r="AM114" s="7">
        <v>100.0</v>
      </c>
      <c r="AN114" s="7">
        <v>42.0</v>
      </c>
      <c r="AO114" s="7">
        <v>33.4</v>
      </c>
      <c r="AP114" s="9">
        <f t="shared" ref="AP114:AR114" si="359">AG114/$AF114</f>
        <v>93.07525773</v>
      </c>
      <c r="AQ114" s="9">
        <f t="shared" si="359"/>
        <v>34.30515464</v>
      </c>
      <c r="AR114" s="9">
        <f t="shared" si="359"/>
        <v>40.55360825</v>
      </c>
      <c r="AS114" s="9">
        <f t="shared" si="11"/>
        <v>74.85876289</v>
      </c>
      <c r="AT114" s="9">
        <f t="shared" ref="AT114:AV114" si="360">AJ114/$AF114</f>
        <v>11.86701031</v>
      </c>
      <c r="AU114" s="9">
        <f t="shared" si="360"/>
        <v>4.363917526</v>
      </c>
      <c r="AV114" s="9">
        <f t="shared" si="360"/>
        <v>1.98556701</v>
      </c>
      <c r="AW114" s="9">
        <f t="shared" si="13"/>
        <v>6.349484536</v>
      </c>
      <c r="AX114" s="9">
        <f t="shared" ref="AX114:AY114" si="361">AM114/$AF114</f>
        <v>1.030927835</v>
      </c>
      <c r="AY114" s="9">
        <f t="shared" si="361"/>
        <v>0.4329896907</v>
      </c>
      <c r="AZ114" s="9">
        <f>VLOOKUP(A114,Jogos!A:BN,58,0)</f>
        <v>17.995</v>
      </c>
      <c r="BA114" s="9">
        <f>VLOOKUP(A114,Jogos!A:BN,59,0)</f>
        <v>13.725</v>
      </c>
      <c r="BB114" s="9">
        <f>VLOOKUP(A114,Jogos!A:BN,60,0)</f>
        <v>75.5</v>
      </c>
      <c r="BC114" s="9">
        <f>VLOOKUP(A114,Jogos!A:BN,61,0)</f>
        <v>15.345</v>
      </c>
      <c r="BD114" s="9">
        <f>VLOOKUP(A114,Jogos!A:BN,62,0)</f>
        <v>51.85</v>
      </c>
      <c r="BE114" s="9">
        <f>VLOOKUP(A114,Jogos!A:BN,63,0)</f>
        <v>0.94</v>
      </c>
      <c r="BF114" s="9">
        <f>VLOOKUP(A114,Jogos!A:BN,64,0)</f>
        <v>17.64</v>
      </c>
      <c r="BG114" s="9">
        <f>VLOOKUP(A114,Jogos!A:BN,65,0)</f>
        <v>30.13</v>
      </c>
      <c r="BH114" s="9">
        <f>VLOOKUP(A114,Jogos!A:BN,66,0)</f>
        <v>20.175</v>
      </c>
      <c r="BI114" s="9"/>
    </row>
    <row r="115" hidden="1">
      <c r="A115" s="10">
        <v>4.0</v>
      </c>
      <c r="B115" s="11" t="s">
        <v>60</v>
      </c>
      <c r="C115" s="2" t="s">
        <v>61</v>
      </c>
      <c r="D115" s="12">
        <v>45823.0</v>
      </c>
      <c r="E115" s="13">
        <v>0.75</v>
      </c>
      <c r="F115" s="5" t="str">
        <f>VLOOKUP(A115,Jogos!A:N,10,0)</f>
        <v>Evening</v>
      </c>
      <c r="G115" s="11" t="s">
        <v>249</v>
      </c>
      <c r="H115" s="6" t="str">
        <f>VLOOKUP(A115,Jogos!A:L,12,0)</f>
        <v>Open</v>
      </c>
      <c r="I115" s="6" t="str">
        <f>VLOOKUP(G115,'Estádios e Cidades'!A:B,2,0)</f>
        <v>East Rutherford</v>
      </c>
      <c r="J115" s="11" t="s">
        <v>251</v>
      </c>
      <c r="K115" s="2" t="str">
        <f>VLOOKUP(J115,Equipes!A:F,6,0)</f>
        <v>Temperate</v>
      </c>
      <c r="L115" s="2">
        <f>VLOOKUP(J115,Equipes!A:C,3,0)</f>
        <v>23</v>
      </c>
      <c r="M115" s="2" t="str">
        <f t="shared" si="4"/>
        <v>Group</v>
      </c>
      <c r="N115" s="11" t="s">
        <v>250</v>
      </c>
      <c r="O115" s="2">
        <f>VLOOKUP(N115,Equipes!A:C,3,0)</f>
        <v>8</v>
      </c>
      <c r="P115" s="2" t="str">
        <f t="shared" si="5"/>
        <v>Quarter-final</v>
      </c>
      <c r="Q115" s="2">
        <f t="shared" si="6"/>
        <v>15</v>
      </c>
      <c r="R115" s="2" t="str">
        <f>VLOOKUP(J115,Equipes!A:B,2,0)</f>
        <v>Porto</v>
      </c>
      <c r="S115" s="6" t="s">
        <v>302</v>
      </c>
      <c r="T115" s="7">
        <v>6.0</v>
      </c>
      <c r="U115" s="7" t="s">
        <v>303</v>
      </c>
      <c r="V115" s="7" t="str">
        <f>VLOOKUP(U115,Jogadores!B:C,2,0)</f>
        <v>MF</v>
      </c>
      <c r="W115" s="8">
        <f>VLOOKUP(U115,Jogadores!B:D,3,0)</f>
        <v>28.61917808</v>
      </c>
      <c r="X115" s="7">
        <v>78.0</v>
      </c>
      <c r="Y115" s="7">
        <f t="shared" si="362"/>
        <v>94</v>
      </c>
      <c r="Z115" s="7">
        <f>VLOOKUP(A115,Jogos!A:L,3,0)</f>
        <v>48</v>
      </c>
      <c r="AA115" s="7">
        <f t="shared" si="7"/>
        <v>0</v>
      </c>
      <c r="AB115" s="7">
        <f>VLOOKUP(A115,Jogos!A:L,4,0)</f>
        <v>49</v>
      </c>
      <c r="AC115" s="7">
        <f t="shared" si="8"/>
        <v>16</v>
      </c>
      <c r="AD115" s="7"/>
      <c r="AE115" s="7"/>
      <c r="AF115" s="7">
        <f t="shared" si="9"/>
        <v>16</v>
      </c>
      <c r="AG115" s="7">
        <v>2017.0</v>
      </c>
      <c r="AH115" s="7">
        <v>663.7</v>
      </c>
      <c r="AI115" s="7">
        <v>838.6</v>
      </c>
      <c r="AJ115" s="7">
        <v>341.2</v>
      </c>
      <c r="AK115" s="7">
        <v>129.0</v>
      </c>
      <c r="AL115" s="7">
        <v>44.4</v>
      </c>
      <c r="AM115" s="7">
        <v>34.0</v>
      </c>
      <c r="AN115" s="7">
        <v>9.0</v>
      </c>
      <c r="AO115" s="7">
        <v>27.7</v>
      </c>
      <c r="AP115" s="9">
        <f t="shared" ref="AP115:AR115" si="363">AG115/$AF115</f>
        <v>126.0625</v>
      </c>
      <c r="AQ115" s="9">
        <f t="shared" si="363"/>
        <v>41.48125</v>
      </c>
      <c r="AR115" s="9">
        <f t="shared" si="363"/>
        <v>52.4125</v>
      </c>
      <c r="AS115" s="9">
        <f t="shared" si="11"/>
        <v>93.89375</v>
      </c>
      <c r="AT115" s="9">
        <f t="shared" ref="AT115:AV115" si="364">AJ115/$AF115</f>
        <v>21.325</v>
      </c>
      <c r="AU115" s="9">
        <f t="shared" si="364"/>
        <v>8.0625</v>
      </c>
      <c r="AV115" s="9">
        <f t="shared" si="364"/>
        <v>2.775</v>
      </c>
      <c r="AW115" s="9">
        <f t="shared" si="13"/>
        <v>10.8375</v>
      </c>
      <c r="AX115" s="9">
        <f t="shared" ref="AX115:AY115" si="365">AM115/$AF115</f>
        <v>2.125</v>
      </c>
      <c r="AY115" s="9">
        <f t="shared" si="365"/>
        <v>0.5625</v>
      </c>
      <c r="AZ115" s="9">
        <f>VLOOKUP(A115,Jogos!A:BN,58,0)</f>
        <v>17.995</v>
      </c>
      <c r="BA115" s="9">
        <f>VLOOKUP(A115,Jogos!A:BN,59,0)</f>
        <v>13.725</v>
      </c>
      <c r="BB115" s="9">
        <f>VLOOKUP(A115,Jogos!A:BN,60,0)</f>
        <v>75.5</v>
      </c>
      <c r="BC115" s="9">
        <f>VLOOKUP(A115,Jogos!A:BN,61,0)</f>
        <v>15.345</v>
      </c>
      <c r="BD115" s="9">
        <f>VLOOKUP(A115,Jogos!A:BN,62,0)</f>
        <v>51.85</v>
      </c>
      <c r="BE115" s="9">
        <f>VLOOKUP(A115,Jogos!A:BN,63,0)</f>
        <v>0.94</v>
      </c>
      <c r="BF115" s="9">
        <f>VLOOKUP(A115,Jogos!A:BN,64,0)</f>
        <v>17.64</v>
      </c>
      <c r="BG115" s="9">
        <f>VLOOKUP(A115,Jogos!A:BN,65,0)</f>
        <v>30.13</v>
      </c>
      <c r="BH115" s="9">
        <f>VLOOKUP(A115,Jogos!A:BN,66,0)</f>
        <v>20.175</v>
      </c>
      <c r="BI115" s="9"/>
    </row>
    <row r="116" hidden="1">
      <c r="A116" s="10">
        <v>4.0</v>
      </c>
      <c r="B116" s="11" t="s">
        <v>60</v>
      </c>
      <c r="C116" s="2" t="s">
        <v>61</v>
      </c>
      <c r="D116" s="12">
        <v>45823.0</v>
      </c>
      <c r="E116" s="13">
        <v>0.75</v>
      </c>
      <c r="F116" s="5" t="str">
        <f>VLOOKUP(A116,Jogos!A:N,10,0)</f>
        <v>Evening</v>
      </c>
      <c r="G116" s="11" t="s">
        <v>249</v>
      </c>
      <c r="H116" s="6" t="str">
        <f>VLOOKUP(A116,Jogos!A:L,12,0)</f>
        <v>Open</v>
      </c>
      <c r="I116" s="6" t="str">
        <f>VLOOKUP(G116,'Estádios e Cidades'!A:B,2,0)</f>
        <v>East Rutherford</v>
      </c>
      <c r="J116" s="11" t="s">
        <v>251</v>
      </c>
      <c r="K116" s="2" t="str">
        <f>VLOOKUP(J116,Equipes!A:F,6,0)</f>
        <v>Temperate</v>
      </c>
      <c r="L116" s="2">
        <f>VLOOKUP(J116,Equipes!A:C,3,0)</f>
        <v>23</v>
      </c>
      <c r="M116" s="2" t="str">
        <f t="shared" si="4"/>
        <v>Group</v>
      </c>
      <c r="N116" s="11" t="s">
        <v>250</v>
      </c>
      <c r="O116" s="2">
        <f>VLOOKUP(N116,Equipes!A:C,3,0)</f>
        <v>8</v>
      </c>
      <c r="P116" s="2" t="str">
        <f t="shared" si="5"/>
        <v>Quarter-final</v>
      </c>
      <c r="Q116" s="2">
        <f t="shared" si="6"/>
        <v>15</v>
      </c>
      <c r="R116" s="2" t="str">
        <f>VLOOKUP(J116,Equipes!A:B,2,0)</f>
        <v>Porto</v>
      </c>
      <c r="S116" s="6" t="s">
        <v>304</v>
      </c>
      <c r="T116" s="7">
        <v>11.0</v>
      </c>
      <c r="U116" s="7" t="s">
        <v>305</v>
      </c>
      <c r="V116" s="7" t="str">
        <f>VLOOKUP(U116,Jogadores!B:C,2,0)</f>
        <v>FW</v>
      </c>
      <c r="W116" s="8">
        <f>VLOOKUP(U116,Jogadores!B:D,3,0)</f>
        <v>42.44657534</v>
      </c>
      <c r="X116" s="7">
        <v>67.0</v>
      </c>
      <c r="Y116" s="7">
        <f t="shared" si="362"/>
        <v>94</v>
      </c>
      <c r="Z116" s="7">
        <f>VLOOKUP(A116,Jogos!A:L,3,0)</f>
        <v>48</v>
      </c>
      <c r="AA116" s="7">
        <f t="shared" si="7"/>
        <v>0</v>
      </c>
      <c r="AB116" s="7">
        <f>VLOOKUP(A116,Jogos!A:L,4,0)</f>
        <v>49</v>
      </c>
      <c r="AC116" s="7">
        <f t="shared" si="8"/>
        <v>27</v>
      </c>
      <c r="AD116" s="7"/>
      <c r="AE116" s="7"/>
      <c r="AF116" s="7">
        <f t="shared" si="9"/>
        <v>27</v>
      </c>
      <c r="AG116" s="7">
        <v>3131.5</v>
      </c>
      <c r="AH116" s="7">
        <v>998.3</v>
      </c>
      <c r="AI116" s="7">
        <v>1266.3</v>
      </c>
      <c r="AJ116" s="7">
        <v>549.8</v>
      </c>
      <c r="AK116" s="7">
        <v>246.7</v>
      </c>
      <c r="AL116" s="7">
        <v>70.4</v>
      </c>
      <c r="AM116" s="7">
        <v>49.0</v>
      </c>
      <c r="AN116" s="7">
        <v>22.0</v>
      </c>
      <c r="AO116" s="7">
        <v>30.0</v>
      </c>
      <c r="AP116" s="9">
        <f t="shared" ref="AP116:AR116" si="366">AG116/$AF116</f>
        <v>115.9814815</v>
      </c>
      <c r="AQ116" s="9">
        <f t="shared" si="366"/>
        <v>36.97407407</v>
      </c>
      <c r="AR116" s="9">
        <f t="shared" si="366"/>
        <v>46.9</v>
      </c>
      <c r="AS116" s="9">
        <f t="shared" si="11"/>
        <v>83.87407407</v>
      </c>
      <c r="AT116" s="9">
        <f t="shared" ref="AT116:AV116" si="367">AJ116/$AF116</f>
        <v>20.36296296</v>
      </c>
      <c r="AU116" s="9">
        <f t="shared" si="367"/>
        <v>9.137037037</v>
      </c>
      <c r="AV116" s="9">
        <f t="shared" si="367"/>
        <v>2.607407407</v>
      </c>
      <c r="AW116" s="9">
        <f t="shared" si="13"/>
        <v>11.74444444</v>
      </c>
      <c r="AX116" s="9">
        <f t="shared" ref="AX116:AY116" si="368">AM116/$AF116</f>
        <v>1.814814815</v>
      </c>
      <c r="AY116" s="9">
        <f t="shared" si="368"/>
        <v>0.8148148148</v>
      </c>
      <c r="AZ116" s="9">
        <f>VLOOKUP(A116,Jogos!A:BN,58,0)</f>
        <v>17.995</v>
      </c>
      <c r="BA116" s="9">
        <f>VLOOKUP(A116,Jogos!A:BN,59,0)</f>
        <v>13.725</v>
      </c>
      <c r="BB116" s="9">
        <f>VLOOKUP(A116,Jogos!A:BN,60,0)</f>
        <v>75.5</v>
      </c>
      <c r="BC116" s="9">
        <f>VLOOKUP(A116,Jogos!A:BN,61,0)</f>
        <v>15.345</v>
      </c>
      <c r="BD116" s="9">
        <f>VLOOKUP(A116,Jogos!A:BN,62,0)</f>
        <v>51.85</v>
      </c>
      <c r="BE116" s="9">
        <f>VLOOKUP(A116,Jogos!A:BN,63,0)</f>
        <v>0.94</v>
      </c>
      <c r="BF116" s="9">
        <f>VLOOKUP(A116,Jogos!A:BN,64,0)</f>
        <v>17.64</v>
      </c>
      <c r="BG116" s="9">
        <f>VLOOKUP(A116,Jogos!A:BN,65,0)</f>
        <v>30.13</v>
      </c>
      <c r="BH116" s="9">
        <f>VLOOKUP(A116,Jogos!A:BN,66,0)</f>
        <v>20.175</v>
      </c>
      <c r="BI116" s="9"/>
    </row>
    <row r="117" hidden="1">
      <c r="A117" s="10">
        <v>4.0</v>
      </c>
      <c r="B117" s="11" t="s">
        <v>60</v>
      </c>
      <c r="C117" s="2" t="s">
        <v>61</v>
      </c>
      <c r="D117" s="12">
        <v>45823.0</v>
      </c>
      <c r="E117" s="13">
        <v>0.75</v>
      </c>
      <c r="F117" s="5" t="str">
        <f>VLOOKUP(A117,Jogos!A:N,10,0)</f>
        <v>Evening</v>
      </c>
      <c r="G117" s="11" t="s">
        <v>249</v>
      </c>
      <c r="H117" s="6" t="str">
        <f>VLOOKUP(A117,Jogos!A:L,12,0)</f>
        <v>Open</v>
      </c>
      <c r="I117" s="6" t="str">
        <f>VLOOKUP(G117,'Estádios e Cidades'!A:B,2,0)</f>
        <v>East Rutherford</v>
      </c>
      <c r="J117" s="11" t="s">
        <v>251</v>
      </c>
      <c r="K117" s="2" t="str">
        <f>VLOOKUP(J117,Equipes!A:F,6,0)</f>
        <v>Temperate</v>
      </c>
      <c r="L117" s="2">
        <f>VLOOKUP(J117,Equipes!A:C,3,0)</f>
        <v>23</v>
      </c>
      <c r="M117" s="2" t="str">
        <f t="shared" si="4"/>
        <v>Group</v>
      </c>
      <c r="N117" s="11" t="s">
        <v>250</v>
      </c>
      <c r="O117" s="2">
        <f>VLOOKUP(N117,Equipes!A:C,3,0)</f>
        <v>8</v>
      </c>
      <c r="P117" s="2" t="str">
        <f t="shared" si="5"/>
        <v>Quarter-final</v>
      </c>
      <c r="Q117" s="2">
        <f t="shared" si="6"/>
        <v>15</v>
      </c>
      <c r="R117" s="2" t="str">
        <f>VLOOKUP(J117,Equipes!A:B,2,0)</f>
        <v>Porto</v>
      </c>
      <c r="S117" s="6" t="s">
        <v>306</v>
      </c>
      <c r="T117" s="7">
        <v>20.0</v>
      </c>
      <c r="U117" s="7" t="s">
        <v>307</v>
      </c>
      <c r="V117" s="7" t="str">
        <f>VLOOKUP(U117,Jogadores!B:C,2,0)</f>
        <v>MF</v>
      </c>
      <c r="W117" s="8">
        <f>VLOOKUP(U117,Jogadores!B:D,3,0)</f>
        <v>27.31232877</v>
      </c>
      <c r="X117" s="7">
        <v>82.0</v>
      </c>
      <c r="Y117" s="7">
        <f t="shared" si="362"/>
        <v>94</v>
      </c>
      <c r="Z117" s="7">
        <f>VLOOKUP(A117,Jogos!A:L,3,0)</f>
        <v>48</v>
      </c>
      <c r="AA117" s="7">
        <f t="shared" si="7"/>
        <v>0</v>
      </c>
      <c r="AB117" s="7">
        <f>VLOOKUP(A117,Jogos!A:L,4,0)</f>
        <v>49</v>
      </c>
      <c r="AC117" s="7">
        <f t="shared" si="8"/>
        <v>12</v>
      </c>
      <c r="AD117" s="7"/>
      <c r="AE117" s="7"/>
      <c r="AF117" s="7">
        <f t="shared" si="9"/>
        <v>12</v>
      </c>
      <c r="AG117" s="7">
        <v>1797.7</v>
      </c>
      <c r="AH117" s="7">
        <v>440.8</v>
      </c>
      <c r="AI117" s="7">
        <v>796.2</v>
      </c>
      <c r="AJ117" s="7">
        <v>319.3</v>
      </c>
      <c r="AK117" s="7">
        <v>209.2</v>
      </c>
      <c r="AL117" s="7">
        <v>32.3</v>
      </c>
      <c r="AM117" s="7">
        <v>25.0</v>
      </c>
      <c r="AN117" s="7">
        <v>15.0</v>
      </c>
      <c r="AO117" s="7">
        <v>29.4</v>
      </c>
      <c r="AP117" s="9">
        <f t="shared" ref="AP117:AR117" si="369">AG117/$AF117</f>
        <v>149.8083333</v>
      </c>
      <c r="AQ117" s="9">
        <f t="shared" si="369"/>
        <v>36.73333333</v>
      </c>
      <c r="AR117" s="9">
        <f t="shared" si="369"/>
        <v>66.35</v>
      </c>
      <c r="AS117" s="9">
        <f t="shared" si="11"/>
        <v>103.0833333</v>
      </c>
      <c r="AT117" s="9">
        <f t="shared" ref="AT117:AV117" si="370">AJ117/$AF117</f>
        <v>26.60833333</v>
      </c>
      <c r="AU117" s="9">
        <f t="shared" si="370"/>
        <v>17.43333333</v>
      </c>
      <c r="AV117" s="9">
        <f t="shared" si="370"/>
        <v>2.691666667</v>
      </c>
      <c r="AW117" s="9">
        <f t="shared" si="13"/>
        <v>20.125</v>
      </c>
      <c r="AX117" s="9">
        <f t="shared" ref="AX117:AY117" si="371">AM117/$AF117</f>
        <v>2.083333333</v>
      </c>
      <c r="AY117" s="9">
        <f t="shared" si="371"/>
        <v>1.25</v>
      </c>
      <c r="AZ117" s="9">
        <f>VLOOKUP(A117,Jogos!A:BN,58,0)</f>
        <v>17.995</v>
      </c>
      <c r="BA117" s="9">
        <f>VLOOKUP(A117,Jogos!A:BN,59,0)</f>
        <v>13.725</v>
      </c>
      <c r="BB117" s="9">
        <f>VLOOKUP(A117,Jogos!A:BN,60,0)</f>
        <v>75.5</v>
      </c>
      <c r="BC117" s="9">
        <f>VLOOKUP(A117,Jogos!A:BN,61,0)</f>
        <v>15.345</v>
      </c>
      <c r="BD117" s="9">
        <f>VLOOKUP(A117,Jogos!A:BN,62,0)</f>
        <v>51.85</v>
      </c>
      <c r="BE117" s="9">
        <f>VLOOKUP(A117,Jogos!A:BN,63,0)</f>
        <v>0.94</v>
      </c>
      <c r="BF117" s="9">
        <f>VLOOKUP(A117,Jogos!A:BN,64,0)</f>
        <v>17.64</v>
      </c>
      <c r="BG117" s="9">
        <f>VLOOKUP(A117,Jogos!A:BN,65,0)</f>
        <v>30.13</v>
      </c>
      <c r="BH117" s="9">
        <f>VLOOKUP(A117,Jogos!A:BN,66,0)</f>
        <v>20.175</v>
      </c>
      <c r="BI117" s="9"/>
    </row>
    <row r="118" hidden="1">
      <c r="A118" s="10">
        <v>4.0</v>
      </c>
      <c r="B118" s="11" t="s">
        <v>60</v>
      </c>
      <c r="C118" s="2" t="s">
        <v>61</v>
      </c>
      <c r="D118" s="12">
        <v>45823.0</v>
      </c>
      <c r="E118" s="13">
        <v>0.75</v>
      </c>
      <c r="F118" s="5" t="str">
        <f>VLOOKUP(A118,Jogos!A:N,10,0)</f>
        <v>Evening</v>
      </c>
      <c r="G118" s="11" t="s">
        <v>249</v>
      </c>
      <c r="H118" s="6" t="str">
        <f>VLOOKUP(A118,Jogos!A:L,12,0)</f>
        <v>Open</v>
      </c>
      <c r="I118" s="6" t="str">
        <f>VLOOKUP(G118,'Estádios e Cidades'!A:B,2,0)</f>
        <v>East Rutherford</v>
      </c>
      <c r="J118" s="11" t="s">
        <v>251</v>
      </c>
      <c r="K118" s="2" t="str">
        <f>VLOOKUP(J118,Equipes!A:F,6,0)</f>
        <v>Temperate</v>
      </c>
      <c r="L118" s="2">
        <f>VLOOKUP(J118,Equipes!A:C,3,0)</f>
        <v>23</v>
      </c>
      <c r="M118" s="2" t="str">
        <f t="shared" si="4"/>
        <v>Group</v>
      </c>
      <c r="N118" s="11" t="s">
        <v>250</v>
      </c>
      <c r="O118" s="2">
        <f>VLOOKUP(N118,Equipes!A:C,3,0)</f>
        <v>8</v>
      </c>
      <c r="P118" s="2" t="str">
        <f t="shared" si="5"/>
        <v>Quarter-final</v>
      </c>
      <c r="Q118" s="2">
        <f t="shared" si="6"/>
        <v>15</v>
      </c>
      <c r="R118" s="2" t="str">
        <f>VLOOKUP(J118,Equipes!A:B,2,0)</f>
        <v>Porto</v>
      </c>
      <c r="S118" s="6" t="s">
        <v>308</v>
      </c>
      <c r="T118" s="7">
        <v>24.0</v>
      </c>
      <c r="U118" s="7" t="s">
        <v>309</v>
      </c>
      <c r="V118" s="7" t="str">
        <f>VLOOKUP(U118,Jogadores!B:C,2,0)</f>
        <v>DF</v>
      </c>
      <c r="W118" s="8">
        <f>VLOOKUP(U118,Jogadores!B:D,3,0)</f>
        <v>25.10958904</v>
      </c>
      <c r="X118" s="7">
        <v>78.0</v>
      </c>
      <c r="Y118" s="7">
        <f t="shared" si="362"/>
        <v>94</v>
      </c>
      <c r="Z118" s="7">
        <f>VLOOKUP(A118,Jogos!A:L,3,0)</f>
        <v>48</v>
      </c>
      <c r="AA118" s="7">
        <f t="shared" si="7"/>
        <v>0</v>
      </c>
      <c r="AB118" s="7">
        <f>VLOOKUP(A118,Jogos!A:L,4,0)</f>
        <v>49</v>
      </c>
      <c r="AC118" s="7">
        <f t="shared" si="8"/>
        <v>16</v>
      </c>
      <c r="AD118" s="7"/>
      <c r="AE118" s="7"/>
      <c r="AF118" s="7">
        <f t="shared" si="9"/>
        <v>16</v>
      </c>
      <c r="AG118" s="7">
        <v>1823.0</v>
      </c>
      <c r="AH118" s="7">
        <v>762.9</v>
      </c>
      <c r="AI118" s="7">
        <v>636.8</v>
      </c>
      <c r="AJ118" s="7">
        <v>260.1</v>
      </c>
      <c r="AK118" s="7">
        <v>97.3</v>
      </c>
      <c r="AL118" s="7">
        <v>66.0</v>
      </c>
      <c r="AM118" s="7">
        <v>24.0</v>
      </c>
      <c r="AN118" s="7">
        <v>11.0</v>
      </c>
      <c r="AO118" s="7">
        <v>30.1</v>
      </c>
      <c r="AP118" s="9">
        <f t="shared" ref="AP118:AR118" si="372">AG118/$AF118</f>
        <v>113.9375</v>
      </c>
      <c r="AQ118" s="9">
        <f t="shared" si="372"/>
        <v>47.68125</v>
      </c>
      <c r="AR118" s="9">
        <f t="shared" si="372"/>
        <v>39.8</v>
      </c>
      <c r="AS118" s="9">
        <f t="shared" si="11"/>
        <v>87.48125</v>
      </c>
      <c r="AT118" s="9">
        <f t="shared" ref="AT118:AV118" si="373">AJ118/$AF118</f>
        <v>16.25625</v>
      </c>
      <c r="AU118" s="9">
        <f t="shared" si="373"/>
        <v>6.08125</v>
      </c>
      <c r="AV118" s="9">
        <f t="shared" si="373"/>
        <v>4.125</v>
      </c>
      <c r="AW118" s="9">
        <f t="shared" si="13"/>
        <v>10.20625</v>
      </c>
      <c r="AX118" s="9">
        <f t="shared" ref="AX118:AY118" si="374">AM118/$AF118</f>
        <v>1.5</v>
      </c>
      <c r="AY118" s="9">
        <f t="shared" si="374"/>
        <v>0.6875</v>
      </c>
      <c r="AZ118" s="9">
        <f>VLOOKUP(A118,Jogos!A:BN,58,0)</f>
        <v>17.995</v>
      </c>
      <c r="BA118" s="9">
        <f>VLOOKUP(A118,Jogos!A:BN,59,0)</f>
        <v>13.725</v>
      </c>
      <c r="BB118" s="9">
        <f>VLOOKUP(A118,Jogos!A:BN,60,0)</f>
        <v>75.5</v>
      </c>
      <c r="BC118" s="9">
        <f>VLOOKUP(A118,Jogos!A:BN,61,0)</f>
        <v>15.345</v>
      </c>
      <c r="BD118" s="9">
        <f>VLOOKUP(A118,Jogos!A:BN,62,0)</f>
        <v>51.85</v>
      </c>
      <c r="BE118" s="9">
        <f>VLOOKUP(A118,Jogos!A:BN,63,0)</f>
        <v>0.94</v>
      </c>
      <c r="BF118" s="9">
        <f>VLOOKUP(A118,Jogos!A:BN,64,0)</f>
        <v>17.64</v>
      </c>
      <c r="BG118" s="9">
        <f>VLOOKUP(A118,Jogos!A:BN,65,0)</f>
        <v>30.13</v>
      </c>
      <c r="BH118" s="9">
        <f>VLOOKUP(A118,Jogos!A:BN,66,0)</f>
        <v>20.175</v>
      </c>
      <c r="BI118" s="9"/>
    </row>
    <row r="119" hidden="1">
      <c r="A119" s="10">
        <v>4.0</v>
      </c>
      <c r="B119" s="11" t="s">
        <v>60</v>
      </c>
      <c r="C119" s="2" t="s">
        <v>61</v>
      </c>
      <c r="D119" s="12">
        <v>45823.0</v>
      </c>
      <c r="E119" s="13">
        <v>0.75</v>
      </c>
      <c r="F119" s="5" t="str">
        <f>VLOOKUP(A119,Jogos!A:N,10,0)</f>
        <v>Evening</v>
      </c>
      <c r="G119" s="11" t="s">
        <v>249</v>
      </c>
      <c r="H119" s="6" t="str">
        <f>VLOOKUP(A119,Jogos!A:L,12,0)</f>
        <v>Open</v>
      </c>
      <c r="I119" s="6" t="str">
        <f>VLOOKUP(G119,'Estádios e Cidades'!A:B,2,0)</f>
        <v>East Rutherford</v>
      </c>
      <c r="J119" s="11" t="s">
        <v>251</v>
      </c>
      <c r="K119" s="2" t="str">
        <f>VLOOKUP(J119,Equipes!A:F,6,0)</f>
        <v>Temperate</v>
      </c>
      <c r="L119" s="2">
        <f>VLOOKUP(J119,Equipes!A:C,3,0)</f>
        <v>23</v>
      </c>
      <c r="M119" s="2" t="str">
        <f t="shared" si="4"/>
        <v>Group</v>
      </c>
      <c r="N119" s="11" t="s">
        <v>250</v>
      </c>
      <c r="O119" s="2">
        <f>VLOOKUP(N119,Equipes!A:C,3,0)</f>
        <v>8</v>
      </c>
      <c r="P119" s="2" t="str">
        <f t="shared" si="5"/>
        <v>Quarter-final</v>
      </c>
      <c r="Q119" s="2">
        <f t="shared" si="6"/>
        <v>15</v>
      </c>
      <c r="R119" s="2" t="str">
        <f>VLOOKUP(J119,Equipes!A:B,2,0)</f>
        <v>Porto</v>
      </c>
      <c r="S119" s="6" t="s">
        <v>310</v>
      </c>
      <c r="T119" s="7">
        <v>25.0</v>
      </c>
      <c r="U119" s="7" t="s">
        <v>311</v>
      </c>
      <c r="V119" s="7" t="str">
        <f>VLOOKUP(U119,Jogadores!B:C,2,0)</f>
        <v>MF</v>
      </c>
      <c r="W119" s="8">
        <f>VLOOKUP(U119,Jogadores!B:D,3,0)</f>
        <v>19.93424658</v>
      </c>
      <c r="X119" s="7">
        <v>82.0</v>
      </c>
      <c r="Y119" s="7">
        <f t="shared" si="362"/>
        <v>94</v>
      </c>
      <c r="Z119" s="7">
        <f>VLOOKUP(A119,Jogos!A:L,3,0)</f>
        <v>48</v>
      </c>
      <c r="AA119" s="7">
        <f t="shared" si="7"/>
        <v>0</v>
      </c>
      <c r="AB119" s="7">
        <f>VLOOKUP(A119,Jogos!A:L,4,0)</f>
        <v>49</v>
      </c>
      <c r="AC119" s="7">
        <f t="shared" si="8"/>
        <v>12</v>
      </c>
      <c r="AD119" s="7"/>
      <c r="AE119" s="7"/>
      <c r="AF119" s="7">
        <f t="shared" si="9"/>
        <v>12</v>
      </c>
      <c r="AG119" s="7">
        <v>1720.8</v>
      </c>
      <c r="AH119" s="7">
        <v>407.3</v>
      </c>
      <c r="AI119" s="7">
        <v>912.7</v>
      </c>
      <c r="AJ119" s="7">
        <v>304.0</v>
      </c>
      <c r="AK119" s="7">
        <v>51.8</v>
      </c>
      <c r="AL119" s="7">
        <v>44.9</v>
      </c>
      <c r="AM119" s="7">
        <v>27.0</v>
      </c>
      <c r="AN119" s="7">
        <v>5.0</v>
      </c>
      <c r="AO119" s="7">
        <v>29.2</v>
      </c>
      <c r="AP119" s="9">
        <f t="shared" ref="AP119:AR119" si="375">AG119/$AF119</f>
        <v>143.4</v>
      </c>
      <c r="AQ119" s="9">
        <f t="shared" si="375"/>
        <v>33.94166667</v>
      </c>
      <c r="AR119" s="9">
        <f t="shared" si="375"/>
        <v>76.05833333</v>
      </c>
      <c r="AS119" s="9">
        <f t="shared" si="11"/>
        <v>110</v>
      </c>
      <c r="AT119" s="9">
        <f t="shared" ref="AT119:AV119" si="376">AJ119/$AF119</f>
        <v>25.33333333</v>
      </c>
      <c r="AU119" s="9">
        <f t="shared" si="376"/>
        <v>4.316666667</v>
      </c>
      <c r="AV119" s="9">
        <f t="shared" si="376"/>
        <v>3.741666667</v>
      </c>
      <c r="AW119" s="9">
        <f t="shared" si="13"/>
        <v>8.058333333</v>
      </c>
      <c r="AX119" s="9">
        <f t="shared" ref="AX119:AY119" si="377">AM119/$AF119</f>
        <v>2.25</v>
      </c>
      <c r="AY119" s="9">
        <f t="shared" si="377"/>
        <v>0.4166666667</v>
      </c>
      <c r="AZ119" s="9">
        <f>VLOOKUP(A119,Jogos!A:BN,58,0)</f>
        <v>17.995</v>
      </c>
      <c r="BA119" s="9">
        <f>VLOOKUP(A119,Jogos!A:BN,59,0)</f>
        <v>13.725</v>
      </c>
      <c r="BB119" s="9">
        <f>VLOOKUP(A119,Jogos!A:BN,60,0)</f>
        <v>75.5</v>
      </c>
      <c r="BC119" s="9">
        <f>VLOOKUP(A119,Jogos!A:BN,61,0)</f>
        <v>15.345</v>
      </c>
      <c r="BD119" s="9">
        <f>VLOOKUP(A119,Jogos!A:BN,62,0)</f>
        <v>51.85</v>
      </c>
      <c r="BE119" s="9">
        <f>VLOOKUP(A119,Jogos!A:BN,63,0)</f>
        <v>0.94</v>
      </c>
      <c r="BF119" s="9">
        <f>VLOOKUP(A119,Jogos!A:BN,64,0)</f>
        <v>17.64</v>
      </c>
      <c r="BG119" s="9">
        <f>VLOOKUP(A119,Jogos!A:BN,65,0)</f>
        <v>30.13</v>
      </c>
      <c r="BH119" s="9">
        <f>VLOOKUP(A119,Jogos!A:BN,66,0)</f>
        <v>20.175</v>
      </c>
      <c r="BI119" s="9"/>
    </row>
    <row r="120" hidden="1">
      <c r="A120" s="2">
        <v>5.0</v>
      </c>
      <c r="B120" s="11" t="s">
        <v>185</v>
      </c>
      <c r="C120" s="2" t="s">
        <v>61</v>
      </c>
      <c r="D120" s="3">
        <v>45823.0</v>
      </c>
      <c r="E120" s="4">
        <v>0.7916666666666666</v>
      </c>
      <c r="F120" s="5" t="str">
        <f>VLOOKUP(A120,Jogos!A:N,10,0)</f>
        <v>Evening</v>
      </c>
      <c r="G120" s="2" t="s">
        <v>312</v>
      </c>
      <c r="H120" s="6" t="str">
        <f>VLOOKUP(A120,Jogos!A:L,12,0)</f>
        <v>Open</v>
      </c>
      <c r="I120" s="6" t="str">
        <f>VLOOKUP(G120,'Estádios e Cidades'!A:B,2,0)</f>
        <v>Seatte</v>
      </c>
      <c r="J120" s="2" t="s">
        <v>313</v>
      </c>
      <c r="K120" s="2" t="str">
        <f>VLOOKUP(J120,Equipes!A:F,6,0)</f>
        <v>Tropical</v>
      </c>
      <c r="L120" s="2">
        <f>VLOOKUP(J120,Equipes!A:C,3,0)</f>
        <v>14</v>
      </c>
      <c r="M120" s="2" t="str">
        <f t="shared" si="4"/>
        <v>Round of 16</v>
      </c>
      <c r="N120" s="2" t="s">
        <v>314</v>
      </c>
      <c r="O120" s="2">
        <f>VLOOKUP(N120,Equipes!A:C,3,0)</f>
        <v>29</v>
      </c>
      <c r="P120" s="2" t="str">
        <f t="shared" si="5"/>
        <v>Group</v>
      </c>
      <c r="Q120" s="2">
        <f t="shared" si="6"/>
        <v>-15</v>
      </c>
      <c r="R120" s="2" t="str">
        <f>VLOOKUP(J120,Equipes!A:B,2,0)</f>
        <v>Botafogo</v>
      </c>
      <c r="S120" s="6" t="s">
        <v>315</v>
      </c>
      <c r="T120" s="7">
        <v>2.0</v>
      </c>
      <c r="U120" s="7" t="s">
        <v>316</v>
      </c>
      <c r="V120" s="7" t="str">
        <f>VLOOKUP(U120,Jogadores!B:C,2,0)</f>
        <v>DF</v>
      </c>
      <c r="W120" s="8">
        <f>VLOOKUP(U120,Jogadores!B:D,3,0)</f>
        <v>26.03287671</v>
      </c>
      <c r="X120" s="7">
        <v>0.0</v>
      </c>
      <c r="Y120" s="7">
        <f t="shared" si="362"/>
        <v>94</v>
      </c>
      <c r="Z120" s="7">
        <f>VLOOKUP(A120,Jogos!A:L,3,0)</f>
        <v>47</v>
      </c>
      <c r="AA120" s="7">
        <f t="shared" si="7"/>
        <v>47</v>
      </c>
      <c r="AB120" s="7">
        <f>VLOOKUP(A120,Jogos!A:L,4,0)</f>
        <v>49</v>
      </c>
      <c r="AC120" s="7">
        <f t="shared" si="8"/>
        <v>49</v>
      </c>
      <c r="AD120" s="7"/>
      <c r="AE120" s="7"/>
      <c r="AF120" s="7">
        <f t="shared" si="9"/>
        <v>96</v>
      </c>
      <c r="AG120" s="7">
        <v>11025.0</v>
      </c>
      <c r="AH120" s="7">
        <v>3584.5</v>
      </c>
      <c r="AI120" s="7">
        <v>4764.3</v>
      </c>
      <c r="AJ120" s="7">
        <v>1689.6</v>
      </c>
      <c r="AK120" s="7">
        <v>701.3</v>
      </c>
      <c r="AL120" s="7">
        <v>285.1</v>
      </c>
      <c r="AM120" s="7">
        <v>137.0</v>
      </c>
      <c r="AN120" s="7">
        <v>51.0</v>
      </c>
      <c r="AO120" s="7">
        <v>33.7</v>
      </c>
      <c r="AP120" s="9">
        <f t="shared" ref="AP120:AR120" si="378">AG120/$AF120</f>
        <v>114.84375</v>
      </c>
      <c r="AQ120" s="9">
        <f t="shared" si="378"/>
        <v>37.33854167</v>
      </c>
      <c r="AR120" s="9">
        <f t="shared" si="378"/>
        <v>49.628125</v>
      </c>
      <c r="AS120" s="9">
        <f t="shared" si="11"/>
        <v>86.96666667</v>
      </c>
      <c r="AT120" s="9">
        <f t="shared" ref="AT120:AV120" si="379">AJ120/$AF120</f>
        <v>17.6</v>
      </c>
      <c r="AU120" s="9">
        <f t="shared" si="379"/>
        <v>7.305208333</v>
      </c>
      <c r="AV120" s="9">
        <f t="shared" si="379"/>
        <v>2.969791667</v>
      </c>
      <c r="AW120" s="9">
        <f t="shared" si="13"/>
        <v>10.275</v>
      </c>
      <c r="AX120" s="9">
        <f t="shared" ref="AX120:AY120" si="380">AM120/$AF120</f>
        <v>1.427083333</v>
      </c>
      <c r="AY120" s="9">
        <f t="shared" si="380"/>
        <v>0.53125</v>
      </c>
      <c r="AZ120" s="9">
        <f>VLOOKUP(A120,Jogos!A:BN,58,0)</f>
        <v>19.38</v>
      </c>
      <c r="BA120" s="9">
        <f>VLOOKUP(A120,Jogos!A:BN,59,0)</f>
        <v>8.4525</v>
      </c>
      <c r="BB120" s="9">
        <f>VLOOKUP(A120,Jogos!A:BN,60,0)</f>
        <v>48.5</v>
      </c>
      <c r="BC120" s="9">
        <f>VLOOKUP(A120,Jogos!A:BN,61,0)</f>
        <v>16.665</v>
      </c>
      <c r="BD120" s="9">
        <f>VLOOKUP(A120,Jogos!A:BN,62,0)</f>
        <v>116.55</v>
      </c>
      <c r="BE120" s="9">
        <f>VLOOKUP(A120,Jogos!A:BN,63,0)</f>
        <v>1.21</v>
      </c>
      <c r="BF120" s="9">
        <f>VLOOKUP(A120,Jogos!A:BN,64,0)</f>
        <v>16.195</v>
      </c>
      <c r="BG120" s="9">
        <f>VLOOKUP(A120,Jogos!A:BN,65,0)</f>
        <v>29.515</v>
      </c>
      <c r="BH120" s="9">
        <f>VLOOKUP(A120,Jogos!A:BN,66,0)</f>
        <v>19.18</v>
      </c>
      <c r="BI120" s="9"/>
    </row>
    <row r="121" hidden="1">
      <c r="A121" s="2">
        <v>5.0</v>
      </c>
      <c r="B121" s="11" t="s">
        <v>185</v>
      </c>
      <c r="C121" s="2" t="s">
        <v>61</v>
      </c>
      <c r="D121" s="3">
        <v>45823.0</v>
      </c>
      <c r="E121" s="4">
        <v>0.7916666666666666</v>
      </c>
      <c r="F121" s="5" t="str">
        <f>VLOOKUP(A121,Jogos!A:N,10,0)</f>
        <v>Evening</v>
      </c>
      <c r="G121" s="2" t="s">
        <v>312</v>
      </c>
      <c r="H121" s="6" t="str">
        <f>VLOOKUP(A121,Jogos!A:L,12,0)</f>
        <v>Open</v>
      </c>
      <c r="I121" s="6" t="str">
        <f>VLOOKUP(G121,'Estádios e Cidades'!A:B,2,0)</f>
        <v>Seatte</v>
      </c>
      <c r="J121" s="2" t="s">
        <v>313</v>
      </c>
      <c r="K121" s="2" t="str">
        <f>VLOOKUP(J121,Equipes!A:F,6,0)</f>
        <v>Tropical</v>
      </c>
      <c r="L121" s="2">
        <f>VLOOKUP(J121,Equipes!A:C,3,0)</f>
        <v>14</v>
      </c>
      <c r="M121" s="2" t="str">
        <f t="shared" si="4"/>
        <v>Round of 16</v>
      </c>
      <c r="N121" s="2" t="s">
        <v>314</v>
      </c>
      <c r="O121" s="2">
        <f>VLOOKUP(N121,Equipes!A:C,3,0)</f>
        <v>29</v>
      </c>
      <c r="P121" s="2" t="str">
        <f t="shared" si="5"/>
        <v>Group</v>
      </c>
      <c r="Q121" s="2">
        <f t="shared" si="6"/>
        <v>-15</v>
      </c>
      <c r="R121" s="2" t="str">
        <f>VLOOKUP(J121,Equipes!A:B,2,0)</f>
        <v>Botafogo</v>
      </c>
      <c r="S121" s="6" t="s">
        <v>317</v>
      </c>
      <c r="T121" s="7">
        <v>7.0</v>
      </c>
      <c r="U121" s="7" t="s">
        <v>318</v>
      </c>
      <c r="V121" s="7" t="str">
        <f>VLOOKUP(U121,Jogadores!B:C,2,0)</f>
        <v>FW</v>
      </c>
      <c r="W121" s="8">
        <f>VLOOKUP(U121,Jogadores!B:D,3,0)</f>
        <v>27.46575342</v>
      </c>
      <c r="X121" s="7">
        <v>0.0</v>
      </c>
      <c r="Y121" s="7">
        <f t="shared" si="362"/>
        <v>94</v>
      </c>
      <c r="Z121" s="7">
        <f>VLOOKUP(A121,Jogos!A:L,3,0)</f>
        <v>47</v>
      </c>
      <c r="AA121" s="7">
        <f t="shared" si="7"/>
        <v>47</v>
      </c>
      <c r="AB121" s="7">
        <f>VLOOKUP(A121,Jogos!A:L,4,0)</f>
        <v>49</v>
      </c>
      <c r="AC121" s="7">
        <f t="shared" si="8"/>
        <v>49</v>
      </c>
      <c r="AD121" s="7"/>
      <c r="AE121" s="7"/>
      <c r="AF121" s="7">
        <f t="shared" si="9"/>
        <v>96</v>
      </c>
      <c r="AG121" s="7">
        <v>10844.9</v>
      </c>
      <c r="AH121" s="7">
        <v>3907.3</v>
      </c>
      <c r="AI121" s="7">
        <v>4295.7</v>
      </c>
      <c r="AJ121" s="7">
        <v>1620.0</v>
      </c>
      <c r="AK121" s="7">
        <v>747.9</v>
      </c>
      <c r="AL121" s="7">
        <v>274.1</v>
      </c>
      <c r="AM121" s="7">
        <v>143.0</v>
      </c>
      <c r="AN121" s="7">
        <v>61.0</v>
      </c>
      <c r="AO121" s="7">
        <v>33.3</v>
      </c>
      <c r="AP121" s="9">
        <f t="shared" ref="AP121:AR121" si="381">AG121/$AF121</f>
        <v>112.9677083</v>
      </c>
      <c r="AQ121" s="9">
        <f t="shared" si="381"/>
        <v>40.70104167</v>
      </c>
      <c r="AR121" s="9">
        <f t="shared" si="381"/>
        <v>44.746875</v>
      </c>
      <c r="AS121" s="9">
        <f t="shared" si="11"/>
        <v>85.44791667</v>
      </c>
      <c r="AT121" s="9">
        <f t="shared" ref="AT121:AV121" si="382">AJ121/$AF121</f>
        <v>16.875</v>
      </c>
      <c r="AU121" s="9">
        <f t="shared" si="382"/>
        <v>7.790625</v>
      </c>
      <c r="AV121" s="9">
        <f t="shared" si="382"/>
        <v>2.855208333</v>
      </c>
      <c r="AW121" s="9">
        <f t="shared" si="13"/>
        <v>10.64583333</v>
      </c>
      <c r="AX121" s="9">
        <f t="shared" ref="AX121:AY121" si="383">AM121/$AF121</f>
        <v>1.489583333</v>
      </c>
      <c r="AY121" s="9">
        <f t="shared" si="383"/>
        <v>0.6354166667</v>
      </c>
      <c r="AZ121" s="9">
        <f>VLOOKUP(A121,Jogos!A:BN,58,0)</f>
        <v>19.38</v>
      </c>
      <c r="BA121" s="9">
        <f>VLOOKUP(A121,Jogos!A:BN,59,0)</f>
        <v>8.4525</v>
      </c>
      <c r="BB121" s="9">
        <f>VLOOKUP(A121,Jogos!A:BN,60,0)</f>
        <v>48.5</v>
      </c>
      <c r="BC121" s="9">
        <f>VLOOKUP(A121,Jogos!A:BN,61,0)</f>
        <v>16.665</v>
      </c>
      <c r="BD121" s="9">
        <f>VLOOKUP(A121,Jogos!A:BN,62,0)</f>
        <v>116.55</v>
      </c>
      <c r="BE121" s="9">
        <f>VLOOKUP(A121,Jogos!A:BN,63,0)</f>
        <v>1.21</v>
      </c>
      <c r="BF121" s="9">
        <f>VLOOKUP(A121,Jogos!A:BN,64,0)</f>
        <v>16.195</v>
      </c>
      <c r="BG121" s="9">
        <f>VLOOKUP(A121,Jogos!A:BN,65,0)</f>
        <v>29.515</v>
      </c>
      <c r="BH121" s="9">
        <f>VLOOKUP(A121,Jogos!A:BN,66,0)</f>
        <v>19.18</v>
      </c>
      <c r="BI121" s="9"/>
    </row>
    <row r="122" hidden="1">
      <c r="A122" s="2">
        <v>5.0</v>
      </c>
      <c r="B122" s="11" t="s">
        <v>185</v>
      </c>
      <c r="C122" s="2" t="s">
        <v>61</v>
      </c>
      <c r="D122" s="3">
        <v>45823.0</v>
      </c>
      <c r="E122" s="4">
        <v>0.7916666666666666</v>
      </c>
      <c r="F122" s="5" t="str">
        <f>VLOOKUP(A122,Jogos!A:N,10,0)</f>
        <v>Evening</v>
      </c>
      <c r="G122" s="2" t="s">
        <v>312</v>
      </c>
      <c r="H122" s="6" t="str">
        <f>VLOOKUP(A122,Jogos!A:L,12,0)</f>
        <v>Open</v>
      </c>
      <c r="I122" s="6" t="str">
        <f>VLOOKUP(G122,'Estádios e Cidades'!A:B,2,0)</f>
        <v>Seatte</v>
      </c>
      <c r="J122" s="2" t="s">
        <v>313</v>
      </c>
      <c r="K122" s="2" t="str">
        <f>VLOOKUP(J122,Equipes!A:F,6,0)</f>
        <v>Tropical</v>
      </c>
      <c r="L122" s="2">
        <f>VLOOKUP(J122,Equipes!A:C,3,0)</f>
        <v>14</v>
      </c>
      <c r="M122" s="2" t="str">
        <f t="shared" si="4"/>
        <v>Round of 16</v>
      </c>
      <c r="N122" s="2" t="s">
        <v>314</v>
      </c>
      <c r="O122" s="2">
        <f>VLOOKUP(N122,Equipes!A:C,3,0)</f>
        <v>29</v>
      </c>
      <c r="P122" s="2" t="str">
        <f t="shared" si="5"/>
        <v>Group</v>
      </c>
      <c r="Q122" s="2">
        <f t="shared" si="6"/>
        <v>-15</v>
      </c>
      <c r="R122" s="2" t="str">
        <f>VLOOKUP(J122,Equipes!A:B,2,0)</f>
        <v>Botafogo</v>
      </c>
      <c r="S122" s="6" t="s">
        <v>319</v>
      </c>
      <c r="T122" s="7">
        <v>10.0</v>
      </c>
      <c r="U122" s="7" t="s">
        <v>320</v>
      </c>
      <c r="V122" s="7" t="str">
        <f>VLOOKUP(U122,Jogadores!B:C,2,0)</f>
        <v>MF</v>
      </c>
      <c r="W122" s="8">
        <f>VLOOKUP(U122,Jogadores!B:D,3,0)</f>
        <v>28.72876712</v>
      </c>
      <c r="X122" s="7">
        <v>0.0</v>
      </c>
      <c r="Y122" s="7">
        <v>70.0</v>
      </c>
      <c r="Z122" s="7">
        <f>VLOOKUP(A122,Jogos!A:L,3,0)</f>
        <v>47</v>
      </c>
      <c r="AA122" s="7">
        <f t="shared" si="7"/>
        <v>47</v>
      </c>
      <c r="AB122" s="7">
        <f>VLOOKUP(A122,Jogos!A:L,4,0)</f>
        <v>49</v>
      </c>
      <c r="AC122" s="7">
        <f t="shared" si="8"/>
        <v>25</v>
      </c>
      <c r="AD122" s="7"/>
      <c r="AE122" s="7"/>
      <c r="AF122" s="7">
        <f t="shared" si="9"/>
        <v>72</v>
      </c>
      <c r="AG122" s="7">
        <v>8406.1</v>
      </c>
      <c r="AH122" s="7">
        <v>3273.7</v>
      </c>
      <c r="AI122" s="7">
        <v>3166.6</v>
      </c>
      <c r="AJ122" s="7">
        <v>1309.3</v>
      </c>
      <c r="AK122" s="7">
        <v>500.4</v>
      </c>
      <c r="AL122" s="7">
        <v>156.1</v>
      </c>
      <c r="AM122" s="7">
        <v>108.0</v>
      </c>
      <c r="AN122" s="7">
        <v>37.0</v>
      </c>
      <c r="AO122" s="7">
        <v>30.8</v>
      </c>
      <c r="AP122" s="9">
        <f t="shared" ref="AP122:AR122" si="384">AG122/$AF122</f>
        <v>116.7513889</v>
      </c>
      <c r="AQ122" s="9">
        <f t="shared" si="384"/>
        <v>45.46805556</v>
      </c>
      <c r="AR122" s="9">
        <f t="shared" si="384"/>
        <v>43.98055556</v>
      </c>
      <c r="AS122" s="9">
        <f t="shared" si="11"/>
        <v>89.44861111</v>
      </c>
      <c r="AT122" s="9">
        <f t="shared" ref="AT122:AV122" si="385">AJ122/$AF122</f>
        <v>18.18472222</v>
      </c>
      <c r="AU122" s="9">
        <f t="shared" si="385"/>
        <v>6.95</v>
      </c>
      <c r="AV122" s="9">
        <f t="shared" si="385"/>
        <v>2.168055556</v>
      </c>
      <c r="AW122" s="9">
        <f t="shared" si="13"/>
        <v>9.118055556</v>
      </c>
      <c r="AX122" s="9">
        <f t="shared" ref="AX122:AY122" si="386">AM122/$AF122</f>
        <v>1.5</v>
      </c>
      <c r="AY122" s="9">
        <f t="shared" si="386"/>
        <v>0.5138888889</v>
      </c>
      <c r="AZ122" s="9">
        <f>VLOOKUP(A122,Jogos!A:BN,58,0)</f>
        <v>19.38</v>
      </c>
      <c r="BA122" s="9">
        <f>VLOOKUP(A122,Jogos!A:BN,59,0)</f>
        <v>8.4525</v>
      </c>
      <c r="BB122" s="9">
        <f>VLOOKUP(A122,Jogos!A:BN,60,0)</f>
        <v>48.5</v>
      </c>
      <c r="BC122" s="9">
        <f>VLOOKUP(A122,Jogos!A:BN,61,0)</f>
        <v>16.665</v>
      </c>
      <c r="BD122" s="9">
        <f>VLOOKUP(A122,Jogos!A:BN,62,0)</f>
        <v>116.55</v>
      </c>
      <c r="BE122" s="9">
        <f>VLOOKUP(A122,Jogos!A:BN,63,0)</f>
        <v>1.21</v>
      </c>
      <c r="BF122" s="9">
        <f>VLOOKUP(A122,Jogos!A:BN,64,0)</f>
        <v>16.195</v>
      </c>
      <c r="BG122" s="9">
        <f>VLOOKUP(A122,Jogos!A:BN,65,0)</f>
        <v>29.515</v>
      </c>
      <c r="BH122" s="9">
        <f>VLOOKUP(A122,Jogos!A:BN,66,0)</f>
        <v>19.18</v>
      </c>
      <c r="BI122" s="9"/>
    </row>
    <row r="123" hidden="1">
      <c r="A123" s="2">
        <v>5.0</v>
      </c>
      <c r="B123" s="11" t="s">
        <v>185</v>
      </c>
      <c r="C123" s="2" t="s">
        <v>61</v>
      </c>
      <c r="D123" s="3">
        <v>45823.0</v>
      </c>
      <c r="E123" s="4">
        <v>0.7916666666666666</v>
      </c>
      <c r="F123" s="5" t="str">
        <f>VLOOKUP(A123,Jogos!A:N,10,0)</f>
        <v>Evening</v>
      </c>
      <c r="G123" s="2" t="s">
        <v>312</v>
      </c>
      <c r="H123" s="6" t="str">
        <f>VLOOKUP(A123,Jogos!A:L,12,0)</f>
        <v>Open</v>
      </c>
      <c r="I123" s="6" t="str">
        <f>VLOOKUP(G123,'Estádios e Cidades'!A:B,2,0)</f>
        <v>Seatte</v>
      </c>
      <c r="J123" s="2" t="s">
        <v>313</v>
      </c>
      <c r="K123" s="2" t="str">
        <f>VLOOKUP(J123,Equipes!A:F,6,0)</f>
        <v>Tropical</v>
      </c>
      <c r="L123" s="2">
        <f>VLOOKUP(J123,Equipes!A:C,3,0)</f>
        <v>14</v>
      </c>
      <c r="M123" s="2" t="str">
        <f t="shared" si="4"/>
        <v>Round of 16</v>
      </c>
      <c r="N123" s="2" t="s">
        <v>314</v>
      </c>
      <c r="O123" s="2">
        <f>VLOOKUP(N123,Equipes!A:C,3,0)</f>
        <v>29</v>
      </c>
      <c r="P123" s="2" t="str">
        <f t="shared" si="5"/>
        <v>Group</v>
      </c>
      <c r="Q123" s="2">
        <f t="shared" si="6"/>
        <v>-15</v>
      </c>
      <c r="R123" s="2" t="str">
        <f>VLOOKUP(J123,Equipes!A:B,2,0)</f>
        <v>Botafogo</v>
      </c>
      <c r="S123" s="6" t="s">
        <v>321</v>
      </c>
      <c r="T123" s="7">
        <v>13.0</v>
      </c>
      <c r="U123" s="7" t="s">
        <v>322</v>
      </c>
      <c r="V123" s="7" t="str">
        <f>VLOOKUP(U123,Jogadores!B:C,2,0)</f>
        <v>DF</v>
      </c>
      <c r="W123" s="8">
        <f>VLOOKUP(U123,Jogadores!B:D,3,0)</f>
        <v>32.63835616</v>
      </c>
      <c r="X123" s="7">
        <v>0.0</v>
      </c>
      <c r="Y123" s="7">
        <v>69.0</v>
      </c>
      <c r="Z123" s="7">
        <f>VLOOKUP(A123,Jogos!A:L,3,0)</f>
        <v>47</v>
      </c>
      <c r="AA123" s="7">
        <f t="shared" si="7"/>
        <v>47</v>
      </c>
      <c r="AB123" s="7">
        <f>VLOOKUP(A123,Jogos!A:L,4,0)</f>
        <v>49</v>
      </c>
      <c r="AC123" s="7">
        <f t="shared" si="8"/>
        <v>24</v>
      </c>
      <c r="AD123" s="7"/>
      <c r="AE123" s="7"/>
      <c r="AF123" s="7">
        <f t="shared" si="9"/>
        <v>71</v>
      </c>
      <c r="AG123" s="7">
        <v>7783.3</v>
      </c>
      <c r="AH123" s="7">
        <v>2899.2</v>
      </c>
      <c r="AI123" s="7">
        <v>3132.7</v>
      </c>
      <c r="AJ123" s="7">
        <v>1219.2</v>
      </c>
      <c r="AK123" s="7">
        <v>414.4</v>
      </c>
      <c r="AL123" s="7">
        <v>117.7</v>
      </c>
      <c r="AM123" s="7">
        <v>107.0</v>
      </c>
      <c r="AN123" s="7">
        <v>34.0</v>
      </c>
      <c r="AO123" s="7">
        <v>30.1</v>
      </c>
      <c r="AP123" s="9">
        <f t="shared" ref="AP123:AR123" si="387">AG123/$AF123</f>
        <v>109.6239437</v>
      </c>
      <c r="AQ123" s="9">
        <f t="shared" si="387"/>
        <v>40.83380282</v>
      </c>
      <c r="AR123" s="9">
        <f t="shared" si="387"/>
        <v>44.12253521</v>
      </c>
      <c r="AS123" s="9">
        <f t="shared" si="11"/>
        <v>84.95633803</v>
      </c>
      <c r="AT123" s="9">
        <f t="shared" ref="AT123:AV123" si="388">AJ123/$AF123</f>
        <v>17.17183099</v>
      </c>
      <c r="AU123" s="9">
        <f t="shared" si="388"/>
        <v>5.836619718</v>
      </c>
      <c r="AV123" s="9">
        <f t="shared" si="388"/>
        <v>1.657746479</v>
      </c>
      <c r="AW123" s="9">
        <f t="shared" si="13"/>
        <v>7.494366197</v>
      </c>
      <c r="AX123" s="9">
        <f t="shared" ref="AX123:AY123" si="389">AM123/$AF123</f>
        <v>1.507042254</v>
      </c>
      <c r="AY123" s="9">
        <f t="shared" si="389"/>
        <v>0.4788732394</v>
      </c>
      <c r="AZ123" s="9">
        <f>VLOOKUP(A123,Jogos!A:BN,58,0)</f>
        <v>19.38</v>
      </c>
      <c r="BA123" s="9">
        <f>VLOOKUP(A123,Jogos!A:BN,59,0)</f>
        <v>8.4525</v>
      </c>
      <c r="BB123" s="9">
        <f>VLOOKUP(A123,Jogos!A:BN,60,0)</f>
        <v>48.5</v>
      </c>
      <c r="BC123" s="9">
        <f>VLOOKUP(A123,Jogos!A:BN,61,0)</f>
        <v>16.665</v>
      </c>
      <c r="BD123" s="9">
        <f>VLOOKUP(A123,Jogos!A:BN,62,0)</f>
        <v>116.55</v>
      </c>
      <c r="BE123" s="9">
        <f>VLOOKUP(A123,Jogos!A:BN,63,0)</f>
        <v>1.21</v>
      </c>
      <c r="BF123" s="9">
        <f>VLOOKUP(A123,Jogos!A:BN,64,0)</f>
        <v>16.195</v>
      </c>
      <c r="BG123" s="9">
        <f>VLOOKUP(A123,Jogos!A:BN,65,0)</f>
        <v>29.515</v>
      </c>
      <c r="BH123" s="9">
        <f>VLOOKUP(A123,Jogos!A:BN,66,0)</f>
        <v>19.18</v>
      </c>
      <c r="BI123" s="9"/>
    </row>
    <row r="124" hidden="1">
      <c r="A124" s="2">
        <v>5.0</v>
      </c>
      <c r="B124" s="11" t="s">
        <v>185</v>
      </c>
      <c r="C124" s="2" t="s">
        <v>61</v>
      </c>
      <c r="D124" s="3">
        <v>45823.0</v>
      </c>
      <c r="E124" s="4">
        <v>0.7916666666666666</v>
      </c>
      <c r="F124" s="5" t="str">
        <f>VLOOKUP(A124,Jogos!A:N,10,0)</f>
        <v>Evening</v>
      </c>
      <c r="G124" s="2" t="s">
        <v>312</v>
      </c>
      <c r="H124" s="6" t="str">
        <f>VLOOKUP(A124,Jogos!A:L,12,0)</f>
        <v>Open</v>
      </c>
      <c r="I124" s="6" t="str">
        <f>VLOOKUP(G124,'Estádios e Cidades'!A:B,2,0)</f>
        <v>Seatte</v>
      </c>
      <c r="J124" s="2" t="s">
        <v>313</v>
      </c>
      <c r="K124" s="2" t="str">
        <f>VLOOKUP(J124,Equipes!A:F,6,0)</f>
        <v>Tropical</v>
      </c>
      <c r="L124" s="2">
        <f>VLOOKUP(J124,Equipes!A:C,3,0)</f>
        <v>14</v>
      </c>
      <c r="M124" s="2" t="str">
        <f t="shared" si="4"/>
        <v>Round of 16</v>
      </c>
      <c r="N124" s="2" t="s">
        <v>314</v>
      </c>
      <c r="O124" s="2">
        <f>VLOOKUP(N124,Equipes!A:C,3,0)</f>
        <v>29</v>
      </c>
      <c r="P124" s="2" t="str">
        <f t="shared" si="5"/>
        <v>Group</v>
      </c>
      <c r="Q124" s="2">
        <f t="shared" si="6"/>
        <v>-15</v>
      </c>
      <c r="R124" s="2" t="str">
        <f>VLOOKUP(J124,Equipes!A:B,2,0)</f>
        <v>Botafogo</v>
      </c>
      <c r="S124" s="6" t="s">
        <v>323</v>
      </c>
      <c r="T124" s="7">
        <v>17.0</v>
      </c>
      <c r="U124" s="7" t="s">
        <v>324</v>
      </c>
      <c r="V124" s="7" t="str">
        <f>VLOOKUP(U124,Jogadores!B:C,2,0)</f>
        <v>MF</v>
      </c>
      <c r="W124" s="8">
        <f>VLOOKUP(U124,Jogadores!B:D,3,0)</f>
        <v>30.35890411</v>
      </c>
      <c r="X124" s="7">
        <v>0.0</v>
      </c>
      <c r="Y124" s="7">
        <v>86.0</v>
      </c>
      <c r="Z124" s="7">
        <f>VLOOKUP(A124,Jogos!A:L,3,0)</f>
        <v>47</v>
      </c>
      <c r="AA124" s="7">
        <f t="shared" si="7"/>
        <v>47</v>
      </c>
      <c r="AB124" s="7">
        <f>VLOOKUP(A124,Jogos!A:L,4,0)</f>
        <v>49</v>
      </c>
      <c r="AC124" s="7">
        <f t="shared" si="8"/>
        <v>41</v>
      </c>
      <c r="AD124" s="7"/>
      <c r="AE124" s="7"/>
      <c r="AF124" s="7">
        <f t="shared" si="9"/>
        <v>88</v>
      </c>
      <c r="AG124" s="7">
        <v>10908.2</v>
      </c>
      <c r="AH124" s="7">
        <v>2985.1</v>
      </c>
      <c r="AI124" s="7">
        <v>5493.1</v>
      </c>
      <c r="AJ124" s="7">
        <v>1959.6</v>
      </c>
      <c r="AK124" s="7">
        <v>386.7</v>
      </c>
      <c r="AL124" s="7">
        <v>83.8</v>
      </c>
      <c r="AM124" s="7">
        <v>166.0</v>
      </c>
      <c r="AN124" s="7">
        <v>27.0</v>
      </c>
      <c r="AO124" s="7">
        <v>26.7</v>
      </c>
      <c r="AP124" s="9">
        <f t="shared" ref="AP124:AR124" si="390">AG124/$AF124</f>
        <v>123.9568182</v>
      </c>
      <c r="AQ124" s="9">
        <f t="shared" si="390"/>
        <v>33.92159091</v>
      </c>
      <c r="AR124" s="9">
        <f t="shared" si="390"/>
        <v>62.42159091</v>
      </c>
      <c r="AS124" s="9">
        <f t="shared" si="11"/>
        <v>96.34318182</v>
      </c>
      <c r="AT124" s="9">
        <f t="shared" ref="AT124:AV124" si="391">AJ124/$AF124</f>
        <v>22.26818182</v>
      </c>
      <c r="AU124" s="9">
        <f t="shared" si="391"/>
        <v>4.394318182</v>
      </c>
      <c r="AV124" s="9">
        <f t="shared" si="391"/>
        <v>0.9522727273</v>
      </c>
      <c r="AW124" s="9">
        <f t="shared" si="13"/>
        <v>5.346590909</v>
      </c>
      <c r="AX124" s="9">
        <f t="shared" ref="AX124:AY124" si="392">AM124/$AF124</f>
        <v>1.886363636</v>
      </c>
      <c r="AY124" s="9">
        <f t="shared" si="392"/>
        <v>0.3068181818</v>
      </c>
      <c r="AZ124" s="9">
        <f>VLOOKUP(A124,Jogos!A:BN,58,0)</f>
        <v>19.38</v>
      </c>
      <c r="BA124" s="9">
        <f>VLOOKUP(A124,Jogos!A:BN,59,0)</f>
        <v>8.4525</v>
      </c>
      <c r="BB124" s="9">
        <f>VLOOKUP(A124,Jogos!A:BN,60,0)</f>
        <v>48.5</v>
      </c>
      <c r="BC124" s="9">
        <f>VLOOKUP(A124,Jogos!A:BN,61,0)</f>
        <v>16.665</v>
      </c>
      <c r="BD124" s="9">
        <f>VLOOKUP(A124,Jogos!A:BN,62,0)</f>
        <v>116.55</v>
      </c>
      <c r="BE124" s="9">
        <f>VLOOKUP(A124,Jogos!A:BN,63,0)</f>
        <v>1.21</v>
      </c>
      <c r="BF124" s="9">
        <f>VLOOKUP(A124,Jogos!A:BN,64,0)</f>
        <v>16.195</v>
      </c>
      <c r="BG124" s="9">
        <f>VLOOKUP(A124,Jogos!A:BN,65,0)</f>
        <v>29.515</v>
      </c>
      <c r="BH124" s="9">
        <f>VLOOKUP(A124,Jogos!A:BN,66,0)</f>
        <v>19.18</v>
      </c>
      <c r="BI124" s="9"/>
    </row>
    <row r="125" hidden="1">
      <c r="A125" s="2">
        <v>5.0</v>
      </c>
      <c r="B125" s="11" t="s">
        <v>185</v>
      </c>
      <c r="C125" s="2" t="s">
        <v>61</v>
      </c>
      <c r="D125" s="3">
        <v>45823.0</v>
      </c>
      <c r="E125" s="4">
        <v>0.7916666666666666</v>
      </c>
      <c r="F125" s="5" t="str">
        <f>VLOOKUP(A125,Jogos!A:N,10,0)</f>
        <v>Evening</v>
      </c>
      <c r="G125" s="2" t="s">
        <v>312</v>
      </c>
      <c r="H125" s="6" t="str">
        <f>VLOOKUP(A125,Jogos!A:L,12,0)</f>
        <v>Open</v>
      </c>
      <c r="I125" s="6" t="str">
        <f>VLOOKUP(G125,'Estádios e Cidades'!A:B,2,0)</f>
        <v>Seatte</v>
      </c>
      <c r="J125" s="2" t="s">
        <v>313</v>
      </c>
      <c r="K125" s="2" t="str">
        <f>VLOOKUP(J125,Equipes!A:F,6,0)</f>
        <v>Tropical</v>
      </c>
      <c r="L125" s="2">
        <f>VLOOKUP(J125,Equipes!A:C,3,0)</f>
        <v>14</v>
      </c>
      <c r="M125" s="2" t="str">
        <f t="shared" si="4"/>
        <v>Round of 16</v>
      </c>
      <c r="N125" s="2" t="s">
        <v>314</v>
      </c>
      <c r="O125" s="2">
        <f>VLOOKUP(N125,Equipes!A:C,3,0)</f>
        <v>29</v>
      </c>
      <c r="P125" s="2" t="str">
        <f t="shared" si="5"/>
        <v>Group</v>
      </c>
      <c r="Q125" s="2">
        <f t="shared" si="6"/>
        <v>-15</v>
      </c>
      <c r="R125" s="2" t="str">
        <f>VLOOKUP(J125,Equipes!A:B,2,0)</f>
        <v>Botafogo</v>
      </c>
      <c r="S125" s="6" t="s">
        <v>325</v>
      </c>
      <c r="T125" s="7">
        <v>20.0</v>
      </c>
      <c r="U125" s="7" t="s">
        <v>326</v>
      </c>
      <c r="V125" s="7" t="str">
        <f>VLOOKUP(U125,Jogadores!B:C,2,0)</f>
        <v>DF</v>
      </c>
      <c r="W125" s="8">
        <f>VLOOKUP(U125,Jogadores!B:D,3,0)</f>
        <v>30.3890411</v>
      </c>
      <c r="X125" s="7">
        <v>0.0</v>
      </c>
      <c r="Y125" s="7">
        <f t="shared" ref="Y125:Y127" si="396">45+AB125</f>
        <v>94</v>
      </c>
      <c r="Z125" s="7">
        <f>VLOOKUP(A125,Jogos!A:L,3,0)</f>
        <v>47</v>
      </c>
      <c r="AA125" s="7">
        <f t="shared" si="7"/>
        <v>47</v>
      </c>
      <c r="AB125" s="7">
        <f>VLOOKUP(A125,Jogos!A:L,4,0)</f>
        <v>49</v>
      </c>
      <c r="AC125" s="7">
        <f t="shared" si="8"/>
        <v>49</v>
      </c>
      <c r="AD125" s="7"/>
      <c r="AE125" s="7"/>
      <c r="AF125" s="7">
        <f t="shared" si="9"/>
        <v>96</v>
      </c>
      <c r="AG125" s="7">
        <v>10171.3</v>
      </c>
      <c r="AH125" s="7">
        <v>3459.5</v>
      </c>
      <c r="AI125" s="7">
        <v>5198.3</v>
      </c>
      <c r="AJ125" s="7">
        <v>1207.2</v>
      </c>
      <c r="AK125" s="7">
        <v>300.3</v>
      </c>
      <c r="AL125" s="7">
        <v>6.0</v>
      </c>
      <c r="AM125" s="7">
        <v>106.0</v>
      </c>
      <c r="AN125" s="7">
        <v>24.0</v>
      </c>
      <c r="AO125" s="7">
        <v>25.2</v>
      </c>
      <c r="AP125" s="9">
        <f t="shared" ref="AP125:AR125" si="393">AG125/$AF125</f>
        <v>105.9510417</v>
      </c>
      <c r="AQ125" s="9">
        <f t="shared" si="393"/>
        <v>36.03645833</v>
      </c>
      <c r="AR125" s="9">
        <f t="shared" si="393"/>
        <v>54.14895833</v>
      </c>
      <c r="AS125" s="9">
        <f t="shared" si="11"/>
        <v>90.18541667</v>
      </c>
      <c r="AT125" s="9">
        <f t="shared" ref="AT125:AV125" si="394">AJ125/$AF125</f>
        <v>12.575</v>
      </c>
      <c r="AU125" s="9">
        <f t="shared" si="394"/>
        <v>3.128125</v>
      </c>
      <c r="AV125" s="9">
        <f t="shared" si="394"/>
        <v>0.0625</v>
      </c>
      <c r="AW125" s="9">
        <f t="shared" si="13"/>
        <v>3.190625</v>
      </c>
      <c r="AX125" s="9">
        <f t="shared" ref="AX125:AY125" si="395">AM125/$AF125</f>
        <v>1.104166667</v>
      </c>
      <c r="AY125" s="9">
        <f t="shared" si="395"/>
        <v>0.25</v>
      </c>
      <c r="AZ125" s="9">
        <f>VLOOKUP(A125,Jogos!A:BN,58,0)</f>
        <v>19.38</v>
      </c>
      <c r="BA125" s="9">
        <f>VLOOKUP(A125,Jogos!A:BN,59,0)</f>
        <v>8.4525</v>
      </c>
      <c r="BB125" s="9">
        <f>VLOOKUP(A125,Jogos!A:BN,60,0)</f>
        <v>48.5</v>
      </c>
      <c r="BC125" s="9">
        <f>VLOOKUP(A125,Jogos!A:BN,61,0)</f>
        <v>16.665</v>
      </c>
      <c r="BD125" s="9">
        <f>VLOOKUP(A125,Jogos!A:BN,62,0)</f>
        <v>116.55</v>
      </c>
      <c r="BE125" s="9">
        <f>VLOOKUP(A125,Jogos!A:BN,63,0)</f>
        <v>1.21</v>
      </c>
      <c r="BF125" s="9">
        <f>VLOOKUP(A125,Jogos!A:BN,64,0)</f>
        <v>16.195</v>
      </c>
      <c r="BG125" s="9">
        <f>VLOOKUP(A125,Jogos!A:BN,65,0)</f>
        <v>29.515</v>
      </c>
      <c r="BH125" s="9">
        <f>VLOOKUP(A125,Jogos!A:BN,66,0)</f>
        <v>19.18</v>
      </c>
      <c r="BI125" s="9"/>
    </row>
    <row r="126" hidden="1">
      <c r="A126" s="2">
        <v>5.0</v>
      </c>
      <c r="B126" s="11" t="s">
        <v>185</v>
      </c>
      <c r="C126" s="2" t="s">
        <v>61</v>
      </c>
      <c r="D126" s="3">
        <v>45823.0</v>
      </c>
      <c r="E126" s="4">
        <v>0.7916666666666666</v>
      </c>
      <c r="F126" s="5" t="str">
        <f>VLOOKUP(A126,Jogos!A:N,10,0)</f>
        <v>Evening</v>
      </c>
      <c r="G126" s="2" t="s">
        <v>312</v>
      </c>
      <c r="H126" s="6" t="str">
        <f>VLOOKUP(A126,Jogos!A:L,12,0)</f>
        <v>Open</v>
      </c>
      <c r="I126" s="6" t="str">
        <f>VLOOKUP(G126,'Estádios e Cidades'!A:B,2,0)</f>
        <v>Seatte</v>
      </c>
      <c r="J126" s="2" t="s">
        <v>313</v>
      </c>
      <c r="K126" s="2" t="str">
        <f>VLOOKUP(J126,Equipes!A:F,6,0)</f>
        <v>Tropical</v>
      </c>
      <c r="L126" s="2">
        <f>VLOOKUP(J126,Equipes!A:C,3,0)</f>
        <v>14</v>
      </c>
      <c r="M126" s="2" t="str">
        <f t="shared" si="4"/>
        <v>Round of 16</v>
      </c>
      <c r="N126" s="2" t="s">
        <v>314</v>
      </c>
      <c r="O126" s="2">
        <f>VLOOKUP(N126,Equipes!A:C,3,0)</f>
        <v>29</v>
      </c>
      <c r="P126" s="2" t="str">
        <f t="shared" si="5"/>
        <v>Group</v>
      </c>
      <c r="Q126" s="2">
        <f t="shared" si="6"/>
        <v>-15</v>
      </c>
      <c r="R126" s="2" t="str">
        <f>VLOOKUP(J126,Equipes!A:B,2,0)</f>
        <v>Botafogo</v>
      </c>
      <c r="S126" s="6" t="s">
        <v>327</v>
      </c>
      <c r="T126" s="7">
        <v>26.0</v>
      </c>
      <c r="U126" s="7" t="s">
        <v>328</v>
      </c>
      <c r="V126" s="7" t="str">
        <f>VLOOKUP(U126,Jogadores!B:C,2,0)</f>
        <v>MF</v>
      </c>
      <c r="W126" s="8">
        <f>VLOOKUP(U126,Jogadores!B:D,3,0)</f>
        <v>31.42739726</v>
      </c>
      <c r="X126" s="7">
        <v>0.0</v>
      </c>
      <c r="Y126" s="7">
        <f t="shared" si="396"/>
        <v>94</v>
      </c>
      <c r="Z126" s="7">
        <f>VLOOKUP(A126,Jogos!A:L,3,0)</f>
        <v>47</v>
      </c>
      <c r="AA126" s="7">
        <f t="shared" si="7"/>
        <v>47</v>
      </c>
      <c r="AB126" s="7">
        <f>VLOOKUP(A126,Jogos!A:L,4,0)</f>
        <v>49</v>
      </c>
      <c r="AC126" s="7">
        <f t="shared" si="8"/>
        <v>49</v>
      </c>
      <c r="AD126" s="7"/>
      <c r="AE126" s="7"/>
      <c r="AF126" s="7">
        <f t="shared" si="9"/>
        <v>96</v>
      </c>
      <c r="AG126" s="7">
        <v>11171.5</v>
      </c>
      <c r="AH126" s="7">
        <v>3371.2</v>
      </c>
      <c r="AI126" s="7">
        <v>5103.7</v>
      </c>
      <c r="AJ126" s="7">
        <v>2051.9</v>
      </c>
      <c r="AK126" s="7">
        <v>541.3</v>
      </c>
      <c r="AL126" s="7">
        <v>103.4</v>
      </c>
      <c r="AM126" s="7">
        <v>178.0</v>
      </c>
      <c r="AN126" s="7">
        <v>46.0</v>
      </c>
      <c r="AO126" s="7">
        <v>29.4</v>
      </c>
      <c r="AP126" s="9">
        <f t="shared" ref="AP126:AR126" si="397">AG126/$AF126</f>
        <v>116.3697917</v>
      </c>
      <c r="AQ126" s="9">
        <f t="shared" si="397"/>
        <v>35.11666667</v>
      </c>
      <c r="AR126" s="9">
        <f t="shared" si="397"/>
        <v>53.16354167</v>
      </c>
      <c r="AS126" s="9">
        <f t="shared" si="11"/>
        <v>88.28020833</v>
      </c>
      <c r="AT126" s="9">
        <f t="shared" ref="AT126:AV126" si="398">AJ126/$AF126</f>
        <v>21.37395833</v>
      </c>
      <c r="AU126" s="9">
        <f t="shared" si="398"/>
        <v>5.638541667</v>
      </c>
      <c r="AV126" s="9">
        <f t="shared" si="398"/>
        <v>1.077083333</v>
      </c>
      <c r="AW126" s="9">
        <f t="shared" si="13"/>
        <v>6.715625</v>
      </c>
      <c r="AX126" s="9">
        <f t="shared" ref="AX126:AY126" si="399">AM126/$AF126</f>
        <v>1.854166667</v>
      </c>
      <c r="AY126" s="9">
        <f t="shared" si="399"/>
        <v>0.4791666667</v>
      </c>
      <c r="AZ126" s="9">
        <f>VLOOKUP(A126,Jogos!A:BN,58,0)</f>
        <v>19.38</v>
      </c>
      <c r="BA126" s="9">
        <f>VLOOKUP(A126,Jogos!A:BN,59,0)</f>
        <v>8.4525</v>
      </c>
      <c r="BB126" s="9">
        <f>VLOOKUP(A126,Jogos!A:BN,60,0)</f>
        <v>48.5</v>
      </c>
      <c r="BC126" s="9">
        <f>VLOOKUP(A126,Jogos!A:BN,61,0)</f>
        <v>16.665</v>
      </c>
      <c r="BD126" s="9">
        <f>VLOOKUP(A126,Jogos!A:BN,62,0)</f>
        <v>116.55</v>
      </c>
      <c r="BE126" s="9">
        <f>VLOOKUP(A126,Jogos!A:BN,63,0)</f>
        <v>1.21</v>
      </c>
      <c r="BF126" s="9">
        <f>VLOOKUP(A126,Jogos!A:BN,64,0)</f>
        <v>16.195</v>
      </c>
      <c r="BG126" s="9">
        <f>VLOOKUP(A126,Jogos!A:BN,65,0)</f>
        <v>29.515</v>
      </c>
      <c r="BH126" s="9">
        <f>VLOOKUP(A126,Jogos!A:BN,66,0)</f>
        <v>19.18</v>
      </c>
      <c r="BI126" s="9"/>
    </row>
    <row r="127" hidden="1">
      <c r="A127" s="2">
        <v>5.0</v>
      </c>
      <c r="B127" s="11" t="s">
        <v>185</v>
      </c>
      <c r="C127" s="2" t="s">
        <v>61</v>
      </c>
      <c r="D127" s="3">
        <v>45823.0</v>
      </c>
      <c r="E127" s="4">
        <v>0.7916666666666666</v>
      </c>
      <c r="F127" s="5" t="str">
        <f>VLOOKUP(A127,Jogos!A:N,10,0)</f>
        <v>Evening</v>
      </c>
      <c r="G127" s="2" t="s">
        <v>312</v>
      </c>
      <c r="H127" s="6" t="str">
        <f>VLOOKUP(A127,Jogos!A:L,12,0)</f>
        <v>Open</v>
      </c>
      <c r="I127" s="6" t="str">
        <f>VLOOKUP(G127,'Estádios e Cidades'!A:B,2,0)</f>
        <v>Seatte</v>
      </c>
      <c r="J127" s="2" t="s">
        <v>313</v>
      </c>
      <c r="K127" s="2" t="str">
        <f>VLOOKUP(J127,Equipes!A:F,6,0)</f>
        <v>Tropical</v>
      </c>
      <c r="L127" s="2">
        <f>VLOOKUP(J127,Equipes!A:C,3,0)</f>
        <v>14</v>
      </c>
      <c r="M127" s="2" t="str">
        <f t="shared" si="4"/>
        <v>Round of 16</v>
      </c>
      <c r="N127" s="2" t="s">
        <v>314</v>
      </c>
      <c r="O127" s="2">
        <f>VLOOKUP(N127,Equipes!A:C,3,0)</f>
        <v>29</v>
      </c>
      <c r="P127" s="2" t="str">
        <f t="shared" si="5"/>
        <v>Group</v>
      </c>
      <c r="Q127" s="2">
        <f t="shared" si="6"/>
        <v>-15</v>
      </c>
      <c r="R127" s="2" t="str">
        <f>VLOOKUP(J127,Equipes!A:B,2,0)</f>
        <v>Botafogo</v>
      </c>
      <c r="S127" s="6" t="s">
        <v>329</v>
      </c>
      <c r="T127" s="7">
        <v>32.0</v>
      </c>
      <c r="U127" s="7" t="s">
        <v>330</v>
      </c>
      <c r="V127" s="7" t="str">
        <f>VLOOKUP(U127,Jogadores!B:C,2,0)</f>
        <v>DF</v>
      </c>
      <c r="W127" s="8">
        <f>VLOOKUP(U127,Jogadores!B:D,3,0)</f>
        <v>20.40547945</v>
      </c>
      <c r="X127" s="7">
        <v>0.0</v>
      </c>
      <c r="Y127" s="7">
        <f t="shared" si="396"/>
        <v>94</v>
      </c>
      <c r="Z127" s="7">
        <f>VLOOKUP(A127,Jogos!A:L,3,0)</f>
        <v>47</v>
      </c>
      <c r="AA127" s="7">
        <f t="shared" si="7"/>
        <v>47</v>
      </c>
      <c r="AB127" s="7">
        <f>VLOOKUP(A127,Jogos!A:L,4,0)</f>
        <v>49</v>
      </c>
      <c r="AC127" s="7">
        <f t="shared" si="8"/>
        <v>49</v>
      </c>
      <c r="AD127" s="7"/>
      <c r="AE127" s="7"/>
      <c r="AF127" s="7">
        <f t="shared" si="9"/>
        <v>96</v>
      </c>
      <c r="AG127" s="7">
        <v>9789.8</v>
      </c>
      <c r="AH127" s="7">
        <v>3752.4</v>
      </c>
      <c r="AI127" s="7">
        <v>4602.1</v>
      </c>
      <c r="AJ127" s="7">
        <v>1114.0</v>
      </c>
      <c r="AK127" s="7">
        <v>246.6</v>
      </c>
      <c r="AL127" s="7">
        <v>74.7</v>
      </c>
      <c r="AM127" s="7">
        <v>97.0</v>
      </c>
      <c r="AN127" s="7">
        <v>19.0</v>
      </c>
      <c r="AO127" s="7">
        <v>30.5</v>
      </c>
      <c r="AP127" s="9">
        <f t="shared" ref="AP127:AR127" si="400">AG127/$AF127</f>
        <v>101.9770833</v>
      </c>
      <c r="AQ127" s="9">
        <f t="shared" si="400"/>
        <v>39.0875</v>
      </c>
      <c r="AR127" s="9">
        <f t="shared" si="400"/>
        <v>47.93854167</v>
      </c>
      <c r="AS127" s="9">
        <f t="shared" si="11"/>
        <v>87.02604167</v>
      </c>
      <c r="AT127" s="9">
        <f t="shared" ref="AT127:AV127" si="401">AJ127/$AF127</f>
        <v>11.60416667</v>
      </c>
      <c r="AU127" s="9">
        <f t="shared" si="401"/>
        <v>2.56875</v>
      </c>
      <c r="AV127" s="9">
        <f t="shared" si="401"/>
        <v>0.778125</v>
      </c>
      <c r="AW127" s="9">
        <f t="shared" si="13"/>
        <v>3.346875</v>
      </c>
      <c r="AX127" s="9">
        <f t="shared" ref="AX127:AY127" si="402">AM127/$AF127</f>
        <v>1.010416667</v>
      </c>
      <c r="AY127" s="9">
        <f t="shared" si="402"/>
        <v>0.1979166667</v>
      </c>
      <c r="AZ127" s="9">
        <f>VLOOKUP(A127,Jogos!A:BN,58,0)</f>
        <v>19.38</v>
      </c>
      <c r="BA127" s="9">
        <f>VLOOKUP(A127,Jogos!A:BN,59,0)</f>
        <v>8.4525</v>
      </c>
      <c r="BB127" s="9">
        <f>VLOOKUP(A127,Jogos!A:BN,60,0)</f>
        <v>48.5</v>
      </c>
      <c r="BC127" s="9">
        <f>VLOOKUP(A127,Jogos!A:BN,61,0)</f>
        <v>16.665</v>
      </c>
      <c r="BD127" s="9">
        <f>VLOOKUP(A127,Jogos!A:BN,62,0)</f>
        <v>116.55</v>
      </c>
      <c r="BE127" s="9">
        <f>VLOOKUP(A127,Jogos!A:BN,63,0)</f>
        <v>1.21</v>
      </c>
      <c r="BF127" s="9">
        <f>VLOOKUP(A127,Jogos!A:BN,64,0)</f>
        <v>16.195</v>
      </c>
      <c r="BG127" s="9">
        <f>VLOOKUP(A127,Jogos!A:BN,65,0)</f>
        <v>29.515</v>
      </c>
      <c r="BH127" s="9">
        <f>VLOOKUP(A127,Jogos!A:BN,66,0)</f>
        <v>19.18</v>
      </c>
      <c r="BI127" s="9"/>
    </row>
    <row r="128" hidden="1">
      <c r="A128" s="2">
        <v>5.0</v>
      </c>
      <c r="B128" s="11" t="s">
        <v>185</v>
      </c>
      <c r="C128" s="2" t="s">
        <v>61</v>
      </c>
      <c r="D128" s="3">
        <v>45823.0</v>
      </c>
      <c r="E128" s="4">
        <v>0.7916666666666666</v>
      </c>
      <c r="F128" s="5" t="str">
        <f>VLOOKUP(A128,Jogos!A:N,10,0)</f>
        <v>Evening</v>
      </c>
      <c r="G128" s="2" t="s">
        <v>312</v>
      </c>
      <c r="H128" s="6" t="str">
        <f>VLOOKUP(A128,Jogos!A:L,12,0)</f>
        <v>Open</v>
      </c>
      <c r="I128" s="6" t="str">
        <f>VLOOKUP(G128,'Estádios e Cidades'!A:B,2,0)</f>
        <v>Seatte</v>
      </c>
      <c r="J128" s="2" t="s">
        <v>313</v>
      </c>
      <c r="K128" s="2" t="str">
        <f>VLOOKUP(J128,Equipes!A:F,6,0)</f>
        <v>Tropical</v>
      </c>
      <c r="L128" s="2">
        <f>VLOOKUP(J128,Equipes!A:C,3,0)</f>
        <v>14</v>
      </c>
      <c r="M128" s="2" t="str">
        <f t="shared" si="4"/>
        <v>Round of 16</v>
      </c>
      <c r="N128" s="2" t="s">
        <v>314</v>
      </c>
      <c r="O128" s="2">
        <f>VLOOKUP(N128,Equipes!A:C,3,0)</f>
        <v>29</v>
      </c>
      <c r="P128" s="2" t="str">
        <f t="shared" si="5"/>
        <v>Group</v>
      </c>
      <c r="Q128" s="2">
        <f t="shared" si="6"/>
        <v>-15</v>
      </c>
      <c r="R128" s="2" t="str">
        <f>VLOOKUP(J128,Equipes!A:B,2,0)</f>
        <v>Botafogo</v>
      </c>
      <c r="S128" s="6" t="s">
        <v>331</v>
      </c>
      <c r="T128" s="7">
        <v>39.0</v>
      </c>
      <c r="U128" s="7" t="s">
        <v>332</v>
      </c>
      <c r="V128" s="7" t="str">
        <f>VLOOKUP(U128,Jogadores!B:C,2,0)</f>
        <v>FW</v>
      </c>
      <c r="W128" s="8">
        <f>VLOOKUP(U128,Jogadores!B:D,3,0)</f>
        <v>32.27123288</v>
      </c>
      <c r="X128" s="7">
        <v>0.0</v>
      </c>
      <c r="Y128" s="7">
        <v>45.0</v>
      </c>
      <c r="Z128" s="7">
        <f>VLOOKUP(A128,Jogos!A:L,3,0)</f>
        <v>47</v>
      </c>
      <c r="AA128" s="7">
        <f t="shared" si="7"/>
        <v>47</v>
      </c>
      <c r="AB128" s="7">
        <f>VLOOKUP(A128,Jogos!A:L,4,0)</f>
        <v>49</v>
      </c>
      <c r="AC128" s="7">
        <f t="shared" si="8"/>
        <v>0</v>
      </c>
      <c r="AD128" s="7"/>
      <c r="AE128" s="7"/>
      <c r="AF128" s="7">
        <f t="shared" si="9"/>
        <v>47</v>
      </c>
      <c r="AG128" s="7">
        <v>5307.1</v>
      </c>
      <c r="AH128" s="7">
        <v>1992.7</v>
      </c>
      <c r="AI128" s="7">
        <v>2218.0</v>
      </c>
      <c r="AJ128" s="7">
        <v>822.5</v>
      </c>
      <c r="AK128" s="7">
        <v>221.9</v>
      </c>
      <c r="AL128" s="7">
        <v>52.0</v>
      </c>
      <c r="AM128" s="7">
        <v>79.0</v>
      </c>
      <c r="AN128" s="7">
        <v>18.0</v>
      </c>
      <c r="AO128" s="7">
        <v>28.6</v>
      </c>
      <c r="AP128" s="9">
        <f t="shared" ref="AP128:AR128" si="403">AG128/$AF128</f>
        <v>112.9170213</v>
      </c>
      <c r="AQ128" s="9">
        <f t="shared" si="403"/>
        <v>42.39787234</v>
      </c>
      <c r="AR128" s="9">
        <f t="shared" si="403"/>
        <v>47.19148936</v>
      </c>
      <c r="AS128" s="9">
        <f t="shared" si="11"/>
        <v>89.5893617</v>
      </c>
      <c r="AT128" s="9">
        <f t="shared" ref="AT128:AV128" si="404">AJ128/$AF128</f>
        <v>17.5</v>
      </c>
      <c r="AU128" s="9">
        <f t="shared" si="404"/>
        <v>4.721276596</v>
      </c>
      <c r="AV128" s="9">
        <f t="shared" si="404"/>
        <v>1.106382979</v>
      </c>
      <c r="AW128" s="9">
        <f t="shared" si="13"/>
        <v>5.827659574</v>
      </c>
      <c r="AX128" s="9">
        <f t="shared" ref="AX128:AY128" si="405">AM128/$AF128</f>
        <v>1.680851064</v>
      </c>
      <c r="AY128" s="9">
        <f t="shared" si="405"/>
        <v>0.3829787234</v>
      </c>
      <c r="AZ128" s="9">
        <f>VLOOKUP(A128,Jogos!A:BN,58,0)</f>
        <v>19.38</v>
      </c>
      <c r="BA128" s="9">
        <f>VLOOKUP(A128,Jogos!A:BN,59,0)</f>
        <v>8.4525</v>
      </c>
      <c r="BB128" s="9">
        <f>VLOOKUP(A128,Jogos!A:BN,60,0)</f>
        <v>48.5</v>
      </c>
      <c r="BC128" s="9">
        <f>VLOOKUP(A128,Jogos!A:BN,61,0)</f>
        <v>16.665</v>
      </c>
      <c r="BD128" s="9">
        <f>VLOOKUP(A128,Jogos!A:BN,62,0)</f>
        <v>116.55</v>
      </c>
      <c r="BE128" s="9">
        <f>VLOOKUP(A128,Jogos!A:BN,63,0)</f>
        <v>1.21</v>
      </c>
      <c r="BF128" s="9">
        <f>VLOOKUP(A128,Jogos!A:BN,64,0)</f>
        <v>16.195</v>
      </c>
      <c r="BG128" s="9">
        <f>VLOOKUP(A128,Jogos!A:BN,65,0)</f>
        <v>29.515</v>
      </c>
      <c r="BH128" s="9">
        <f>VLOOKUP(A128,Jogos!A:BN,66,0)</f>
        <v>19.18</v>
      </c>
      <c r="BI128" s="9"/>
    </row>
    <row r="129" hidden="1">
      <c r="A129" s="2">
        <v>5.0</v>
      </c>
      <c r="B129" s="11" t="s">
        <v>185</v>
      </c>
      <c r="C129" s="2" t="s">
        <v>61</v>
      </c>
      <c r="D129" s="3">
        <v>45823.0</v>
      </c>
      <c r="E129" s="4">
        <v>0.7916666666666666</v>
      </c>
      <c r="F129" s="5" t="str">
        <f>VLOOKUP(A129,Jogos!A:N,10,0)</f>
        <v>Evening</v>
      </c>
      <c r="G129" s="2" t="s">
        <v>312</v>
      </c>
      <c r="H129" s="6" t="str">
        <f>VLOOKUP(A129,Jogos!A:L,12,0)</f>
        <v>Open</v>
      </c>
      <c r="I129" s="6" t="str">
        <f>VLOOKUP(G129,'Estádios e Cidades'!A:B,2,0)</f>
        <v>Seatte</v>
      </c>
      <c r="J129" s="2" t="s">
        <v>313</v>
      </c>
      <c r="K129" s="2" t="str">
        <f>VLOOKUP(J129,Equipes!A:F,6,0)</f>
        <v>Tropical</v>
      </c>
      <c r="L129" s="2">
        <f>VLOOKUP(J129,Equipes!A:C,3,0)</f>
        <v>14</v>
      </c>
      <c r="M129" s="2" t="str">
        <f t="shared" si="4"/>
        <v>Round of 16</v>
      </c>
      <c r="N129" s="2" t="s">
        <v>314</v>
      </c>
      <c r="O129" s="2">
        <f>VLOOKUP(N129,Equipes!A:C,3,0)</f>
        <v>29</v>
      </c>
      <c r="P129" s="2" t="str">
        <f t="shared" si="5"/>
        <v>Group</v>
      </c>
      <c r="Q129" s="2">
        <f t="shared" si="6"/>
        <v>-15</v>
      </c>
      <c r="R129" s="2" t="str">
        <f>VLOOKUP(J129,Equipes!A:B,2,0)</f>
        <v>Botafogo</v>
      </c>
      <c r="S129" s="6" t="s">
        <v>333</v>
      </c>
      <c r="T129" s="7">
        <v>99.0</v>
      </c>
      <c r="U129" s="7" t="s">
        <v>334</v>
      </c>
      <c r="V129" s="7" t="str">
        <f>VLOOKUP(U129,Jogadores!B:C,2,0)</f>
        <v>FW</v>
      </c>
      <c r="W129" s="8">
        <f>VLOOKUP(U129,Jogadores!B:D,3,0)</f>
        <v>24.43561644</v>
      </c>
      <c r="X129" s="7">
        <v>0.0</v>
      </c>
      <c r="Y129" s="7">
        <v>86.0</v>
      </c>
      <c r="Z129" s="7">
        <f>VLOOKUP(A129,Jogos!A:L,3,0)</f>
        <v>47</v>
      </c>
      <c r="AA129" s="7">
        <f t="shared" si="7"/>
        <v>47</v>
      </c>
      <c r="AB129" s="7">
        <f>VLOOKUP(A129,Jogos!A:L,4,0)</f>
        <v>49</v>
      </c>
      <c r="AC129" s="7">
        <f t="shared" si="8"/>
        <v>41</v>
      </c>
      <c r="AD129" s="7"/>
      <c r="AE129" s="7"/>
      <c r="AF129" s="7">
        <f t="shared" si="9"/>
        <v>88</v>
      </c>
      <c r="AG129" s="7">
        <v>9936.5</v>
      </c>
      <c r="AH129" s="7">
        <v>3458.6</v>
      </c>
      <c r="AI129" s="7">
        <v>4288.3</v>
      </c>
      <c r="AJ129" s="7">
        <v>1180.9</v>
      </c>
      <c r="AK129" s="7">
        <v>626.1</v>
      </c>
      <c r="AL129" s="7">
        <v>382.6</v>
      </c>
      <c r="AM129" s="7">
        <v>110.0</v>
      </c>
      <c r="AN129" s="7">
        <v>56.0</v>
      </c>
      <c r="AO129" s="7">
        <v>31.4</v>
      </c>
      <c r="AP129" s="9">
        <f t="shared" ref="AP129:AR129" si="406">AG129/$AF129</f>
        <v>112.9147727</v>
      </c>
      <c r="AQ129" s="9">
        <f t="shared" si="406"/>
        <v>39.30227273</v>
      </c>
      <c r="AR129" s="9">
        <f t="shared" si="406"/>
        <v>48.73068182</v>
      </c>
      <c r="AS129" s="9">
        <f t="shared" si="11"/>
        <v>88.03295455</v>
      </c>
      <c r="AT129" s="9">
        <f t="shared" ref="AT129:AV129" si="407">AJ129/$AF129</f>
        <v>13.41931818</v>
      </c>
      <c r="AU129" s="9">
        <f t="shared" si="407"/>
        <v>7.114772727</v>
      </c>
      <c r="AV129" s="9">
        <f t="shared" si="407"/>
        <v>4.347727273</v>
      </c>
      <c r="AW129" s="9">
        <f t="shared" si="13"/>
        <v>11.4625</v>
      </c>
      <c r="AX129" s="9">
        <f t="shared" ref="AX129:AY129" si="408">AM129/$AF129</f>
        <v>1.25</v>
      </c>
      <c r="AY129" s="9">
        <f t="shared" si="408"/>
        <v>0.6363636364</v>
      </c>
      <c r="AZ129" s="9">
        <f>VLOOKUP(A129,Jogos!A:BN,58,0)</f>
        <v>19.38</v>
      </c>
      <c r="BA129" s="9">
        <f>VLOOKUP(A129,Jogos!A:BN,59,0)</f>
        <v>8.4525</v>
      </c>
      <c r="BB129" s="9">
        <f>VLOOKUP(A129,Jogos!A:BN,60,0)</f>
        <v>48.5</v>
      </c>
      <c r="BC129" s="9">
        <f>VLOOKUP(A129,Jogos!A:BN,61,0)</f>
        <v>16.665</v>
      </c>
      <c r="BD129" s="9">
        <f>VLOOKUP(A129,Jogos!A:BN,62,0)</f>
        <v>116.55</v>
      </c>
      <c r="BE129" s="9">
        <f>VLOOKUP(A129,Jogos!A:BN,63,0)</f>
        <v>1.21</v>
      </c>
      <c r="BF129" s="9">
        <f>VLOOKUP(A129,Jogos!A:BN,64,0)</f>
        <v>16.195</v>
      </c>
      <c r="BG129" s="9">
        <f>VLOOKUP(A129,Jogos!A:BN,65,0)</f>
        <v>29.515</v>
      </c>
      <c r="BH129" s="9">
        <f>VLOOKUP(A129,Jogos!A:BN,66,0)</f>
        <v>19.18</v>
      </c>
      <c r="BI129" s="9"/>
    </row>
    <row r="130" hidden="1">
      <c r="A130" s="2">
        <v>5.0</v>
      </c>
      <c r="B130" s="11" t="s">
        <v>185</v>
      </c>
      <c r="C130" s="2" t="s">
        <v>61</v>
      </c>
      <c r="D130" s="3">
        <v>45823.0</v>
      </c>
      <c r="E130" s="4">
        <v>0.7916666666666666</v>
      </c>
      <c r="F130" s="5" t="str">
        <f>VLOOKUP(A130,Jogos!A:N,10,0)</f>
        <v>Evening</v>
      </c>
      <c r="G130" s="2" t="s">
        <v>312</v>
      </c>
      <c r="H130" s="6" t="str">
        <f>VLOOKUP(A130,Jogos!A:L,12,0)</f>
        <v>Open</v>
      </c>
      <c r="I130" s="6" t="str">
        <f>VLOOKUP(G130,'Estádios e Cidades'!A:B,2,0)</f>
        <v>Seatte</v>
      </c>
      <c r="J130" s="2" t="s">
        <v>313</v>
      </c>
      <c r="K130" s="2" t="str">
        <f>VLOOKUP(J130,Equipes!A:F,6,0)</f>
        <v>Tropical</v>
      </c>
      <c r="L130" s="2">
        <f>VLOOKUP(J130,Equipes!A:C,3,0)</f>
        <v>14</v>
      </c>
      <c r="M130" s="2" t="str">
        <f t="shared" si="4"/>
        <v>Round of 16</v>
      </c>
      <c r="N130" s="2" t="s">
        <v>314</v>
      </c>
      <c r="O130" s="2">
        <f>VLOOKUP(N130,Equipes!A:C,3,0)</f>
        <v>29</v>
      </c>
      <c r="P130" s="2" t="str">
        <f t="shared" si="5"/>
        <v>Group</v>
      </c>
      <c r="Q130" s="2">
        <f t="shared" si="6"/>
        <v>-15</v>
      </c>
      <c r="R130" s="2" t="str">
        <f>VLOOKUP(J130,Equipes!A:B,2,0)</f>
        <v>Botafogo</v>
      </c>
      <c r="S130" s="6" t="s">
        <v>335</v>
      </c>
      <c r="T130" s="7">
        <v>5.0</v>
      </c>
      <c r="U130" s="7" t="s">
        <v>336</v>
      </c>
      <c r="V130" s="7" t="str">
        <f>VLOOKUP(U130,Jogadores!B:C,2,0)</f>
        <v>MF</v>
      </c>
      <c r="W130" s="8">
        <f>VLOOKUP(U130,Jogadores!B:D,3,0)</f>
        <v>24.2630137</v>
      </c>
      <c r="X130" s="7">
        <v>86.0</v>
      </c>
      <c r="Y130" s="7">
        <f t="shared" ref="Y130:Y134" si="412">45+AB130</f>
        <v>94</v>
      </c>
      <c r="Z130" s="7">
        <f>VLOOKUP(A130,Jogos!A:L,3,0)</f>
        <v>47</v>
      </c>
      <c r="AA130" s="7">
        <f t="shared" si="7"/>
        <v>0</v>
      </c>
      <c r="AB130" s="7">
        <f>VLOOKUP(A130,Jogos!A:L,4,0)</f>
        <v>49</v>
      </c>
      <c r="AC130" s="7">
        <f t="shared" si="8"/>
        <v>8</v>
      </c>
      <c r="AD130" s="7"/>
      <c r="AE130" s="7"/>
      <c r="AF130" s="7">
        <f t="shared" si="9"/>
        <v>8</v>
      </c>
      <c r="AG130" s="7">
        <v>1132.6</v>
      </c>
      <c r="AH130" s="7">
        <v>340.7</v>
      </c>
      <c r="AI130" s="7">
        <v>548.0</v>
      </c>
      <c r="AJ130" s="7">
        <v>160.8</v>
      </c>
      <c r="AK130" s="7">
        <v>83.2</v>
      </c>
      <c r="AL130" s="7">
        <v>18.0</v>
      </c>
      <c r="AM130" s="7">
        <v>7.0</v>
      </c>
      <c r="AN130" s="7">
        <v>23.4</v>
      </c>
      <c r="AO130" s="7"/>
      <c r="AP130" s="9">
        <f t="shared" ref="AP130:AR130" si="409">AG130/$AF130</f>
        <v>141.575</v>
      </c>
      <c r="AQ130" s="9">
        <f t="shared" si="409"/>
        <v>42.5875</v>
      </c>
      <c r="AR130" s="9">
        <f t="shared" si="409"/>
        <v>68.5</v>
      </c>
      <c r="AS130" s="9">
        <f t="shared" si="11"/>
        <v>111.0875</v>
      </c>
      <c r="AT130" s="9">
        <f t="shared" ref="AT130:AV130" si="410">AJ130/$AF130</f>
        <v>20.1</v>
      </c>
      <c r="AU130" s="9">
        <f t="shared" si="410"/>
        <v>10.4</v>
      </c>
      <c r="AV130" s="9">
        <f t="shared" si="410"/>
        <v>2.25</v>
      </c>
      <c r="AW130" s="9">
        <f t="shared" si="13"/>
        <v>12.65</v>
      </c>
      <c r="AX130" s="9">
        <f t="shared" ref="AX130:AY130" si="411">AM130/$AF130</f>
        <v>0.875</v>
      </c>
      <c r="AY130" s="9">
        <f t="shared" si="411"/>
        <v>2.925</v>
      </c>
      <c r="AZ130" s="9">
        <f>VLOOKUP(A130,Jogos!A:BN,58,0)</f>
        <v>19.38</v>
      </c>
      <c r="BA130" s="9">
        <f>VLOOKUP(A130,Jogos!A:BN,59,0)</f>
        <v>8.4525</v>
      </c>
      <c r="BB130" s="9">
        <f>VLOOKUP(A130,Jogos!A:BN,60,0)</f>
        <v>48.5</v>
      </c>
      <c r="BC130" s="9">
        <f>VLOOKUP(A130,Jogos!A:BN,61,0)</f>
        <v>16.665</v>
      </c>
      <c r="BD130" s="9">
        <f>VLOOKUP(A130,Jogos!A:BN,62,0)</f>
        <v>116.55</v>
      </c>
      <c r="BE130" s="9">
        <f>VLOOKUP(A130,Jogos!A:BN,63,0)</f>
        <v>1.21</v>
      </c>
      <c r="BF130" s="9">
        <f>VLOOKUP(A130,Jogos!A:BN,64,0)</f>
        <v>16.195</v>
      </c>
      <c r="BG130" s="9">
        <f>VLOOKUP(A130,Jogos!A:BN,65,0)</f>
        <v>29.515</v>
      </c>
      <c r="BH130" s="9">
        <f>VLOOKUP(A130,Jogos!A:BN,66,0)</f>
        <v>19.18</v>
      </c>
      <c r="BI130" s="9"/>
    </row>
    <row r="131" hidden="1">
      <c r="A131" s="2">
        <v>5.0</v>
      </c>
      <c r="B131" s="11" t="s">
        <v>185</v>
      </c>
      <c r="C131" s="2" t="s">
        <v>61</v>
      </c>
      <c r="D131" s="3">
        <v>45823.0</v>
      </c>
      <c r="E131" s="4">
        <v>0.7916666666666666</v>
      </c>
      <c r="F131" s="5" t="str">
        <f>VLOOKUP(A131,Jogos!A:N,10,0)</f>
        <v>Evening</v>
      </c>
      <c r="G131" s="2" t="s">
        <v>312</v>
      </c>
      <c r="H131" s="6" t="str">
        <f>VLOOKUP(A131,Jogos!A:L,12,0)</f>
        <v>Open</v>
      </c>
      <c r="I131" s="6" t="str">
        <f>VLOOKUP(G131,'Estádios e Cidades'!A:B,2,0)</f>
        <v>Seatte</v>
      </c>
      <c r="J131" s="2" t="s">
        <v>313</v>
      </c>
      <c r="K131" s="2" t="str">
        <f>VLOOKUP(J131,Equipes!A:F,6,0)</f>
        <v>Tropical</v>
      </c>
      <c r="L131" s="2">
        <f>VLOOKUP(J131,Equipes!A:C,3,0)</f>
        <v>14</v>
      </c>
      <c r="M131" s="2" t="str">
        <f t="shared" si="4"/>
        <v>Round of 16</v>
      </c>
      <c r="N131" s="2" t="s">
        <v>314</v>
      </c>
      <c r="O131" s="2">
        <f>VLOOKUP(N131,Equipes!A:C,3,0)</f>
        <v>29</v>
      </c>
      <c r="P131" s="2" t="str">
        <f t="shared" si="5"/>
        <v>Group</v>
      </c>
      <c r="Q131" s="2">
        <f t="shared" si="6"/>
        <v>-15</v>
      </c>
      <c r="R131" s="2" t="str">
        <f>VLOOKUP(J131,Equipes!A:B,2,0)</f>
        <v>Botafogo</v>
      </c>
      <c r="S131" s="6" t="s">
        <v>337</v>
      </c>
      <c r="T131" s="7">
        <v>23.0</v>
      </c>
      <c r="U131" s="7" t="s">
        <v>338</v>
      </c>
      <c r="V131" s="7" t="str">
        <f>VLOOKUP(U131,Jogadores!B:C,2,0)</f>
        <v>MF</v>
      </c>
      <c r="W131" s="8">
        <f>VLOOKUP(U131,Jogadores!B:D,3,0)</f>
        <v>25.56986301</v>
      </c>
      <c r="X131" s="7">
        <v>86.0</v>
      </c>
      <c r="Y131" s="7">
        <f t="shared" si="412"/>
        <v>94</v>
      </c>
      <c r="Z131" s="7">
        <f>VLOOKUP(A131,Jogos!A:L,3,0)</f>
        <v>47</v>
      </c>
      <c r="AA131" s="7">
        <f t="shared" si="7"/>
        <v>0</v>
      </c>
      <c r="AB131" s="7">
        <f>VLOOKUP(A131,Jogos!A:L,4,0)</f>
        <v>49</v>
      </c>
      <c r="AC131" s="7">
        <f t="shared" si="8"/>
        <v>8</v>
      </c>
      <c r="AD131" s="7"/>
      <c r="AE131" s="7"/>
      <c r="AF131" s="7">
        <f t="shared" si="9"/>
        <v>8</v>
      </c>
      <c r="AG131" s="7">
        <v>1211.3</v>
      </c>
      <c r="AH131" s="7">
        <v>269.0</v>
      </c>
      <c r="AI131" s="7">
        <v>541.4</v>
      </c>
      <c r="AJ131" s="7">
        <v>240.3</v>
      </c>
      <c r="AK131" s="7">
        <v>133.3</v>
      </c>
      <c r="AL131" s="7">
        <v>27.4</v>
      </c>
      <c r="AM131" s="7">
        <v>19.0</v>
      </c>
      <c r="AN131" s="7">
        <v>10.0</v>
      </c>
      <c r="AO131" s="7">
        <v>26.0</v>
      </c>
      <c r="AP131" s="9">
        <f t="shared" ref="AP131:AR131" si="413">AG131/$AF131</f>
        <v>151.4125</v>
      </c>
      <c r="AQ131" s="9">
        <f t="shared" si="413"/>
        <v>33.625</v>
      </c>
      <c r="AR131" s="9">
        <f t="shared" si="413"/>
        <v>67.675</v>
      </c>
      <c r="AS131" s="9">
        <f t="shared" si="11"/>
        <v>101.3</v>
      </c>
      <c r="AT131" s="9">
        <f t="shared" ref="AT131:AV131" si="414">AJ131/$AF131</f>
        <v>30.0375</v>
      </c>
      <c r="AU131" s="9">
        <f t="shared" si="414"/>
        <v>16.6625</v>
      </c>
      <c r="AV131" s="9">
        <f t="shared" si="414"/>
        <v>3.425</v>
      </c>
      <c r="AW131" s="9">
        <f t="shared" si="13"/>
        <v>20.0875</v>
      </c>
      <c r="AX131" s="9">
        <f t="shared" ref="AX131:AY131" si="415">AM131/$AF131</f>
        <v>2.375</v>
      </c>
      <c r="AY131" s="9">
        <f t="shared" si="415"/>
        <v>1.25</v>
      </c>
      <c r="AZ131" s="9">
        <f>VLOOKUP(A131,Jogos!A:BN,58,0)</f>
        <v>19.38</v>
      </c>
      <c r="BA131" s="9">
        <f>VLOOKUP(A131,Jogos!A:BN,59,0)</f>
        <v>8.4525</v>
      </c>
      <c r="BB131" s="9">
        <f>VLOOKUP(A131,Jogos!A:BN,60,0)</f>
        <v>48.5</v>
      </c>
      <c r="BC131" s="9">
        <f>VLOOKUP(A131,Jogos!A:BN,61,0)</f>
        <v>16.665</v>
      </c>
      <c r="BD131" s="9">
        <f>VLOOKUP(A131,Jogos!A:BN,62,0)</f>
        <v>116.55</v>
      </c>
      <c r="BE131" s="9">
        <f>VLOOKUP(A131,Jogos!A:BN,63,0)</f>
        <v>1.21</v>
      </c>
      <c r="BF131" s="9">
        <f>VLOOKUP(A131,Jogos!A:BN,64,0)</f>
        <v>16.195</v>
      </c>
      <c r="BG131" s="9">
        <f>VLOOKUP(A131,Jogos!A:BN,65,0)</f>
        <v>29.515</v>
      </c>
      <c r="BH131" s="9">
        <f>VLOOKUP(A131,Jogos!A:BN,66,0)</f>
        <v>19.18</v>
      </c>
      <c r="BI131" s="9"/>
    </row>
    <row r="132" hidden="1">
      <c r="A132" s="2">
        <v>5.0</v>
      </c>
      <c r="B132" s="11" t="s">
        <v>185</v>
      </c>
      <c r="C132" s="2" t="s">
        <v>61</v>
      </c>
      <c r="D132" s="3">
        <v>45823.0</v>
      </c>
      <c r="E132" s="4">
        <v>0.7916666666666666</v>
      </c>
      <c r="F132" s="5" t="str">
        <f>VLOOKUP(A132,Jogos!A:N,10,0)</f>
        <v>Evening</v>
      </c>
      <c r="G132" s="2" t="s">
        <v>312</v>
      </c>
      <c r="H132" s="6" t="str">
        <f>VLOOKUP(A132,Jogos!A:L,12,0)</f>
        <v>Open</v>
      </c>
      <c r="I132" s="6" t="str">
        <f>VLOOKUP(G132,'Estádios e Cidades'!A:B,2,0)</f>
        <v>Seatte</v>
      </c>
      <c r="J132" s="2" t="s">
        <v>313</v>
      </c>
      <c r="K132" s="2" t="str">
        <f>VLOOKUP(J132,Equipes!A:F,6,0)</f>
        <v>Tropical</v>
      </c>
      <c r="L132" s="2">
        <f>VLOOKUP(J132,Equipes!A:C,3,0)</f>
        <v>14</v>
      </c>
      <c r="M132" s="2" t="str">
        <f t="shared" si="4"/>
        <v>Round of 16</v>
      </c>
      <c r="N132" s="2" t="s">
        <v>314</v>
      </c>
      <c r="O132" s="2">
        <f>VLOOKUP(N132,Equipes!A:C,3,0)</f>
        <v>29</v>
      </c>
      <c r="P132" s="2" t="str">
        <f t="shared" si="5"/>
        <v>Group</v>
      </c>
      <c r="Q132" s="2">
        <f t="shared" si="6"/>
        <v>-15</v>
      </c>
      <c r="R132" s="2" t="str">
        <f>VLOOKUP(J132,Equipes!A:B,2,0)</f>
        <v>Botafogo</v>
      </c>
      <c r="S132" s="6" t="s">
        <v>339</v>
      </c>
      <c r="T132" s="7">
        <v>30.0</v>
      </c>
      <c r="U132" s="7" t="s">
        <v>340</v>
      </c>
      <c r="V132" s="7" t="str">
        <f>VLOOKUP(U132,Jogadores!B:C,2,0)</f>
        <v>FW</v>
      </c>
      <c r="W132" s="8">
        <f>VLOOKUP(U132,Jogadores!B:D,3,0)</f>
        <v>30.97808219</v>
      </c>
      <c r="X132" s="7">
        <v>45.0</v>
      </c>
      <c r="Y132" s="7">
        <f t="shared" si="412"/>
        <v>94</v>
      </c>
      <c r="Z132" s="7">
        <f>VLOOKUP(A132,Jogos!A:L,3,0)</f>
        <v>47</v>
      </c>
      <c r="AA132" s="7">
        <f t="shared" si="7"/>
        <v>0</v>
      </c>
      <c r="AB132" s="7">
        <f>VLOOKUP(A132,Jogos!A:L,4,0)</f>
        <v>49</v>
      </c>
      <c r="AC132" s="7">
        <f t="shared" si="8"/>
        <v>49</v>
      </c>
      <c r="AD132" s="7"/>
      <c r="AE132" s="7"/>
      <c r="AF132" s="7">
        <f t="shared" si="9"/>
        <v>49</v>
      </c>
      <c r="AG132" s="7">
        <v>5837.2</v>
      </c>
      <c r="AH132" s="7">
        <v>1999.3</v>
      </c>
      <c r="AI132" s="7">
        <v>2417.2</v>
      </c>
      <c r="AJ132" s="7">
        <v>808.2</v>
      </c>
      <c r="AK132" s="7">
        <v>445.5</v>
      </c>
      <c r="AL132" s="7">
        <v>166.8</v>
      </c>
      <c r="AM132" s="7">
        <v>74.0</v>
      </c>
      <c r="AN132" s="7">
        <v>28.0</v>
      </c>
      <c r="AO132" s="7">
        <v>28.9</v>
      </c>
      <c r="AP132" s="9">
        <f t="shared" ref="AP132:AR132" si="416">AG132/$AF132</f>
        <v>119.1265306</v>
      </c>
      <c r="AQ132" s="9">
        <f t="shared" si="416"/>
        <v>40.80204082</v>
      </c>
      <c r="AR132" s="9">
        <f t="shared" si="416"/>
        <v>49.33061224</v>
      </c>
      <c r="AS132" s="9">
        <f t="shared" si="11"/>
        <v>90.13265306</v>
      </c>
      <c r="AT132" s="9">
        <f t="shared" ref="AT132:AV132" si="417">AJ132/$AF132</f>
        <v>16.49387755</v>
      </c>
      <c r="AU132" s="9">
        <f t="shared" si="417"/>
        <v>9.091836735</v>
      </c>
      <c r="AV132" s="9">
        <f t="shared" si="417"/>
        <v>3.404081633</v>
      </c>
      <c r="AW132" s="9">
        <f t="shared" si="13"/>
        <v>12.49591837</v>
      </c>
      <c r="AX132" s="9">
        <f t="shared" ref="AX132:AY132" si="418">AM132/$AF132</f>
        <v>1.510204082</v>
      </c>
      <c r="AY132" s="9">
        <f t="shared" si="418"/>
        <v>0.5714285714</v>
      </c>
      <c r="AZ132" s="9">
        <f>VLOOKUP(A132,Jogos!A:BN,58,0)</f>
        <v>19.38</v>
      </c>
      <c r="BA132" s="9">
        <f>VLOOKUP(A132,Jogos!A:BN,59,0)</f>
        <v>8.4525</v>
      </c>
      <c r="BB132" s="9">
        <f>VLOOKUP(A132,Jogos!A:BN,60,0)</f>
        <v>48.5</v>
      </c>
      <c r="BC132" s="9">
        <f>VLOOKUP(A132,Jogos!A:BN,61,0)</f>
        <v>16.665</v>
      </c>
      <c r="BD132" s="9">
        <f>VLOOKUP(A132,Jogos!A:BN,62,0)</f>
        <v>116.55</v>
      </c>
      <c r="BE132" s="9">
        <f>VLOOKUP(A132,Jogos!A:BN,63,0)</f>
        <v>1.21</v>
      </c>
      <c r="BF132" s="9">
        <f>VLOOKUP(A132,Jogos!A:BN,64,0)</f>
        <v>16.195</v>
      </c>
      <c r="BG132" s="9">
        <f>VLOOKUP(A132,Jogos!A:BN,65,0)</f>
        <v>29.515</v>
      </c>
      <c r="BH132" s="9">
        <f>VLOOKUP(A132,Jogos!A:BN,66,0)</f>
        <v>19.18</v>
      </c>
      <c r="BI132" s="9"/>
    </row>
    <row r="133" hidden="1">
      <c r="A133" s="2">
        <v>5.0</v>
      </c>
      <c r="B133" s="11" t="s">
        <v>185</v>
      </c>
      <c r="C133" s="2" t="s">
        <v>61</v>
      </c>
      <c r="D133" s="3">
        <v>45823.0</v>
      </c>
      <c r="E133" s="4">
        <v>0.7916666666666666</v>
      </c>
      <c r="F133" s="5" t="str">
        <f>VLOOKUP(A133,Jogos!A:N,10,0)</f>
        <v>Evening</v>
      </c>
      <c r="G133" s="2" t="s">
        <v>312</v>
      </c>
      <c r="H133" s="6" t="str">
        <f>VLOOKUP(A133,Jogos!A:L,12,0)</f>
        <v>Open</v>
      </c>
      <c r="I133" s="6" t="str">
        <f>VLOOKUP(G133,'Estádios e Cidades'!A:B,2,0)</f>
        <v>Seatte</v>
      </c>
      <c r="J133" s="2" t="s">
        <v>313</v>
      </c>
      <c r="K133" s="2" t="str">
        <f>VLOOKUP(J133,Equipes!A:F,6,0)</f>
        <v>Tropical</v>
      </c>
      <c r="L133" s="2">
        <f>VLOOKUP(J133,Equipes!A:C,3,0)</f>
        <v>14</v>
      </c>
      <c r="M133" s="2" t="str">
        <f t="shared" si="4"/>
        <v>Round of 16</v>
      </c>
      <c r="N133" s="2" t="s">
        <v>314</v>
      </c>
      <c r="O133" s="2">
        <f>VLOOKUP(N133,Equipes!A:C,3,0)</f>
        <v>29</v>
      </c>
      <c r="P133" s="2" t="str">
        <f t="shared" si="5"/>
        <v>Group</v>
      </c>
      <c r="Q133" s="2">
        <f t="shared" si="6"/>
        <v>-15</v>
      </c>
      <c r="R133" s="2" t="str">
        <f>VLOOKUP(J133,Equipes!A:B,2,0)</f>
        <v>Botafogo</v>
      </c>
      <c r="S133" s="6" t="s">
        <v>341</v>
      </c>
      <c r="T133" s="7">
        <v>66.0</v>
      </c>
      <c r="U133" s="7" t="s">
        <v>342</v>
      </c>
      <c r="V133" s="7" t="str">
        <f>VLOOKUP(U133,Jogadores!B:C,2,0)</f>
        <v>DF</v>
      </c>
      <c r="W133" s="8">
        <f>VLOOKUP(U133,Jogadores!B:D,3,0)</f>
        <v>22.46027397</v>
      </c>
      <c r="X133" s="7">
        <v>69.0</v>
      </c>
      <c r="Y133" s="7">
        <f t="shared" si="412"/>
        <v>94</v>
      </c>
      <c r="Z133" s="7">
        <f>VLOOKUP(A133,Jogos!A:L,3,0)</f>
        <v>47</v>
      </c>
      <c r="AA133" s="7">
        <f t="shared" si="7"/>
        <v>0</v>
      </c>
      <c r="AB133" s="7">
        <f>VLOOKUP(A133,Jogos!A:L,4,0)</f>
        <v>49</v>
      </c>
      <c r="AC133" s="7">
        <f t="shared" si="8"/>
        <v>25</v>
      </c>
      <c r="AD133" s="7"/>
      <c r="AE133" s="7"/>
      <c r="AF133" s="7">
        <f t="shared" si="9"/>
        <v>25</v>
      </c>
      <c r="AG133" s="7">
        <v>3041.7</v>
      </c>
      <c r="AH133" s="7">
        <v>997.8</v>
      </c>
      <c r="AI133" s="7">
        <v>1269.2</v>
      </c>
      <c r="AJ133" s="7">
        <v>509.0</v>
      </c>
      <c r="AK133" s="7">
        <v>221.4</v>
      </c>
      <c r="AL133" s="7">
        <v>44.4</v>
      </c>
      <c r="AM133" s="7">
        <v>41.0</v>
      </c>
      <c r="AN133" s="7">
        <v>16.0</v>
      </c>
      <c r="AO133" s="7">
        <v>29.3</v>
      </c>
      <c r="AP133" s="9">
        <f t="shared" ref="AP133:AR133" si="419">AG133/$AF133</f>
        <v>121.668</v>
      </c>
      <c r="AQ133" s="9">
        <f t="shared" si="419"/>
        <v>39.912</v>
      </c>
      <c r="AR133" s="9">
        <f t="shared" si="419"/>
        <v>50.768</v>
      </c>
      <c r="AS133" s="9">
        <f t="shared" si="11"/>
        <v>90.68</v>
      </c>
      <c r="AT133" s="9">
        <f t="shared" ref="AT133:AV133" si="420">AJ133/$AF133</f>
        <v>20.36</v>
      </c>
      <c r="AU133" s="9">
        <f t="shared" si="420"/>
        <v>8.856</v>
      </c>
      <c r="AV133" s="9">
        <f t="shared" si="420"/>
        <v>1.776</v>
      </c>
      <c r="AW133" s="9">
        <f t="shared" si="13"/>
        <v>10.632</v>
      </c>
      <c r="AX133" s="9">
        <f t="shared" ref="AX133:AY133" si="421">AM133/$AF133</f>
        <v>1.64</v>
      </c>
      <c r="AY133" s="9">
        <f t="shared" si="421"/>
        <v>0.64</v>
      </c>
      <c r="AZ133" s="9">
        <f>VLOOKUP(A133,Jogos!A:BN,58,0)</f>
        <v>19.38</v>
      </c>
      <c r="BA133" s="9">
        <f>VLOOKUP(A133,Jogos!A:BN,59,0)</f>
        <v>8.4525</v>
      </c>
      <c r="BB133" s="9">
        <f>VLOOKUP(A133,Jogos!A:BN,60,0)</f>
        <v>48.5</v>
      </c>
      <c r="BC133" s="9">
        <f>VLOOKUP(A133,Jogos!A:BN,61,0)</f>
        <v>16.665</v>
      </c>
      <c r="BD133" s="9">
        <f>VLOOKUP(A133,Jogos!A:BN,62,0)</f>
        <v>116.55</v>
      </c>
      <c r="BE133" s="9">
        <f>VLOOKUP(A133,Jogos!A:BN,63,0)</f>
        <v>1.21</v>
      </c>
      <c r="BF133" s="9">
        <f>VLOOKUP(A133,Jogos!A:BN,64,0)</f>
        <v>16.195</v>
      </c>
      <c r="BG133" s="9">
        <f>VLOOKUP(A133,Jogos!A:BN,65,0)</f>
        <v>29.515</v>
      </c>
      <c r="BH133" s="9">
        <f>VLOOKUP(A133,Jogos!A:BN,66,0)</f>
        <v>19.18</v>
      </c>
      <c r="BI133" s="9"/>
    </row>
    <row r="134" hidden="1">
      <c r="A134" s="2">
        <v>5.0</v>
      </c>
      <c r="B134" s="11" t="s">
        <v>185</v>
      </c>
      <c r="C134" s="2" t="s">
        <v>61</v>
      </c>
      <c r="D134" s="3">
        <v>45823.0</v>
      </c>
      <c r="E134" s="4">
        <v>0.7916666666666666</v>
      </c>
      <c r="F134" s="5" t="str">
        <f>VLOOKUP(A134,Jogos!A:N,10,0)</f>
        <v>Evening</v>
      </c>
      <c r="G134" s="2" t="s">
        <v>312</v>
      </c>
      <c r="H134" s="6" t="str">
        <f>VLOOKUP(A134,Jogos!A:L,12,0)</f>
        <v>Open</v>
      </c>
      <c r="I134" s="6" t="str">
        <f>VLOOKUP(G134,'Estádios e Cidades'!A:B,2,0)</f>
        <v>Seatte</v>
      </c>
      <c r="J134" s="2" t="s">
        <v>313</v>
      </c>
      <c r="K134" s="2" t="str">
        <f>VLOOKUP(J134,Equipes!A:F,6,0)</f>
        <v>Tropical</v>
      </c>
      <c r="L134" s="2">
        <f>VLOOKUP(J134,Equipes!A:C,3,0)</f>
        <v>14</v>
      </c>
      <c r="M134" s="2" t="str">
        <f t="shared" si="4"/>
        <v>Round of 16</v>
      </c>
      <c r="N134" s="2" t="s">
        <v>314</v>
      </c>
      <c r="O134" s="2">
        <f>VLOOKUP(N134,Equipes!A:C,3,0)</f>
        <v>29</v>
      </c>
      <c r="P134" s="2" t="str">
        <f t="shared" si="5"/>
        <v>Group</v>
      </c>
      <c r="Q134" s="2">
        <f t="shared" si="6"/>
        <v>-15</v>
      </c>
      <c r="R134" s="2" t="str">
        <f>VLOOKUP(J134,Equipes!A:B,2,0)</f>
        <v>Botafogo</v>
      </c>
      <c r="S134" s="6" t="s">
        <v>343</v>
      </c>
      <c r="T134" s="7">
        <v>98.0</v>
      </c>
      <c r="U134" s="7" t="s">
        <v>344</v>
      </c>
      <c r="V134" s="7" t="str">
        <f>VLOOKUP(U134,Jogadores!B:C,2,0)</f>
        <v>FW</v>
      </c>
      <c r="W134" s="8">
        <f>VLOOKUP(U134,Jogadores!B:D,3,0)</f>
        <v>27.27671233</v>
      </c>
      <c r="X134" s="7">
        <v>70.0</v>
      </c>
      <c r="Y134" s="7">
        <f t="shared" si="412"/>
        <v>94</v>
      </c>
      <c r="Z134" s="7">
        <f>VLOOKUP(A134,Jogos!A:L,3,0)</f>
        <v>47</v>
      </c>
      <c r="AA134" s="7">
        <f t="shared" si="7"/>
        <v>0</v>
      </c>
      <c r="AB134" s="7">
        <f>VLOOKUP(A134,Jogos!A:L,4,0)</f>
        <v>49</v>
      </c>
      <c r="AC134" s="7">
        <f t="shared" si="8"/>
        <v>24</v>
      </c>
      <c r="AD134" s="7"/>
      <c r="AE134" s="7"/>
      <c r="AF134" s="7">
        <f t="shared" si="9"/>
        <v>24</v>
      </c>
      <c r="AG134" s="7">
        <v>3019.5</v>
      </c>
      <c r="AH134" s="7">
        <v>1047.8</v>
      </c>
      <c r="AI134" s="7">
        <v>1267.0</v>
      </c>
      <c r="AJ134" s="7">
        <v>491.1</v>
      </c>
      <c r="AK134" s="7">
        <v>121.9</v>
      </c>
      <c r="AL134" s="7">
        <v>91.6</v>
      </c>
      <c r="AM134" s="7">
        <v>39.0</v>
      </c>
      <c r="AN134" s="7">
        <v>12.0</v>
      </c>
      <c r="AO134" s="7">
        <v>33.1</v>
      </c>
      <c r="AP134" s="9">
        <f t="shared" ref="AP134:AR134" si="422">AG134/$AF134</f>
        <v>125.8125</v>
      </c>
      <c r="AQ134" s="9">
        <f t="shared" si="422"/>
        <v>43.65833333</v>
      </c>
      <c r="AR134" s="9">
        <f t="shared" si="422"/>
        <v>52.79166667</v>
      </c>
      <c r="AS134" s="9">
        <f t="shared" si="11"/>
        <v>96.45</v>
      </c>
      <c r="AT134" s="9">
        <f t="shared" ref="AT134:AV134" si="423">AJ134/$AF134</f>
        <v>20.4625</v>
      </c>
      <c r="AU134" s="9">
        <f t="shared" si="423"/>
        <v>5.079166667</v>
      </c>
      <c r="AV134" s="9">
        <f t="shared" si="423"/>
        <v>3.816666667</v>
      </c>
      <c r="AW134" s="9">
        <f t="shared" si="13"/>
        <v>8.895833333</v>
      </c>
      <c r="AX134" s="9">
        <f t="shared" ref="AX134:AY134" si="424">AM134/$AF134</f>
        <v>1.625</v>
      </c>
      <c r="AY134" s="9">
        <f t="shared" si="424"/>
        <v>0.5</v>
      </c>
      <c r="AZ134" s="9">
        <f>VLOOKUP(A134,Jogos!A:BN,58,0)</f>
        <v>19.38</v>
      </c>
      <c r="BA134" s="9">
        <f>VLOOKUP(A134,Jogos!A:BN,59,0)</f>
        <v>8.4525</v>
      </c>
      <c r="BB134" s="9">
        <f>VLOOKUP(A134,Jogos!A:BN,60,0)</f>
        <v>48.5</v>
      </c>
      <c r="BC134" s="9">
        <f>VLOOKUP(A134,Jogos!A:BN,61,0)</f>
        <v>16.665</v>
      </c>
      <c r="BD134" s="9">
        <f>VLOOKUP(A134,Jogos!A:BN,62,0)</f>
        <v>116.55</v>
      </c>
      <c r="BE134" s="9">
        <f>VLOOKUP(A134,Jogos!A:BN,63,0)</f>
        <v>1.21</v>
      </c>
      <c r="BF134" s="9">
        <f>VLOOKUP(A134,Jogos!A:BN,64,0)</f>
        <v>16.195</v>
      </c>
      <c r="BG134" s="9">
        <f>VLOOKUP(A134,Jogos!A:BN,65,0)</f>
        <v>29.515</v>
      </c>
      <c r="BH134" s="9">
        <f>VLOOKUP(A134,Jogos!A:BN,66,0)</f>
        <v>19.18</v>
      </c>
      <c r="BI134" s="9"/>
    </row>
    <row r="135" hidden="1">
      <c r="A135" s="10">
        <v>5.0</v>
      </c>
      <c r="B135" s="11" t="s">
        <v>185</v>
      </c>
      <c r="C135" s="2" t="s">
        <v>61</v>
      </c>
      <c r="D135" s="12">
        <v>45823.0</v>
      </c>
      <c r="E135" s="13">
        <v>0.7916666666666666</v>
      </c>
      <c r="F135" s="5" t="str">
        <f>VLOOKUP(A135,Jogos!A:N,10,0)</f>
        <v>Evening</v>
      </c>
      <c r="G135" s="11" t="s">
        <v>312</v>
      </c>
      <c r="H135" s="6" t="str">
        <f>VLOOKUP(A135,Jogos!A:L,12,0)</f>
        <v>Open</v>
      </c>
      <c r="I135" s="6" t="str">
        <f>VLOOKUP(G135,'Estádios e Cidades'!A:B,2,0)</f>
        <v>Seatte</v>
      </c>
      <c r="J135" s="11" t="s">
        <v>314</v>
      </c>
      <c r="K135" s="2" t="str">
        <f>VLOOKUP(J135,Equipes!A:F,6,0)</f>
        <v>Temperate</v>
      </c>
      <c r="L135" s="2">
        <f>VLOOKUP(J135,Equipes!A:C,3,0)</f>
        <v>29</v>
      </c>
      <c r="M135" s="2" t="str">
        <f t="shared" si="4"/>
        <v>Group</v>
      </c>
      <c r="N135" s="11" t="s">
        <v>313</v>
      </c>
      <c r="O135" s="2">
        <f>VLOOKUP(N135,Equipes!A:C,3,0)</f>
        <v>14</v>
      </c>
      <c r="P135" s="2" t="str">
        <f t="shared" si="5"/>
        <v>Round of 16</v>
      </c>
      <c r="Q135" s="2">
        <f t="shared" si="6"/>
        <v>15</v>
      </c>
      <c r="R135" s="2" t="str">
        <f>VLOOKUP(J135,Equipes!A:B,2,0)</f>
        <v>Seattle</v>
      </c>
      <c r="S135" s="14" t="s">
        <v>345</v>
      </c>
      <c r="T135" s="7">
        <v>5.0</v>
      </c>
      <c r="U135" s="7" t="s">
        <v>346</v>
      </c>
      <c r="V135" s="7" t="str">
        <f>VLOOKUP(U135,Jogadores!B:C,2,0)</f>
        <v>DF</v>
      </c>
      <c r="W135" s="8">
        <f>VLOOKUP(U135,Jogadores!B:D,3,0)</f>
        <v>28.11506849</v>
      </c>
      <c r="X135" s="7">
        <v>0.0</v>
      </c>
      <c r="Y135" s="7">
        <v>45.0</v>
      </c>
      <c r="Z135" s="7">
        <f>VLOOKUP(A135,Jogos!A:L,3,0)</f>
        <v>47</v>
      </c>
      <c r="AA135" s="7">
        <f t="shared" si="7"/>
        <v>47</v>
      </c>
      <c r="AB135" s="7">
        <f>VLOOKUP(A135,Jogos!A:L,4,0)</f>
        <v>49</v>
      </c>
      <c r="AC135" s="7">
        <f t="shared" si="8"/>
        <v>0</v>
      </c>
      <c r="AD135" s="7"/>
      <c r="AE135" s="7"/>
      <c r="AF135" s="7">
        <f t="shared" si="9"/>
        <v>47</v>
      </c>
      <c r="AG135" s="7">
        <v>5079.7</v>
      </c>
      <c r="AH135" s="7">
        <v>1899.9</v>
      </c>
      <c r="AI135" s="7">
        <v>2042.7</v>
      </c>
      <c r="AJ135" s="7">
        <v>704.1</v>
      </c>
      <c r="AK135" s="7">
        <v>313.6</v>
      </c>
      <c r="AL135" s="7">
        <v>119.4</v>
      </c>
      <c r="AM135" s="7">
        <v>65.0</v>
      </c>
      <c r="AN135" s="7">
        <v>29.0</v>
      </c>
      <c r="AO135" s="7">
        <v>29.6</v>
      </c>
      <c r="AP135" s="9">
        <f t="shared" ref="AP135:AR135" si="425">AG135/$AF135</f>
        <v>108.0787234</v>
      </c>
      <c r="AQ135" s="9">
        <f t="shared" si="425"/>
        <v>40.42340426</v>
      </c>
      <c r="AR135" s="9">
        <f t="shared" si="425"/>
        <v>43.46170213</v>
      </c>
      <c r="AS135" s="9">
        <f t="shared" si="11"/>
        <v>83.88510638</v>
      </c>
      <c r="AT135" s="9">
        <f t="shared" ref="AT135:AV135" si="426">AJ135/$AF135</f>
        <v>14.98085106</v>
      </c>
      <c r="AU135" s="9">
        <f t="shared" si="426"/>
        <v>6.672340426</v>
      </c>
      <c r="AV135" s="9">
        <f t="shared" si="426"/>
        <v>2.540425532</v>
      </c>
      <c r="AW135" s="9">
        <f t="shared" si="13"/>
        <v>9.212765957</v>
      </c>
      <c r="AX135" s="9">
        <f t="shared" ref="AX135:AY135" si="427">AM135/$AF135</f>
        <v>1.382978723</v>
      </c>
      <c r="AY135" s="9">
        <f t="shared" si="427"/>
        <v>0.6170212766</v>
      </c>
      <c r="AZ135" s="9">
        <f>VLOOKUP(A135,Jogos!A:BN,58,0)</f>
        <v>19.38</v>
      </c>
      <c r="BA135" s="9">
        <f>VLOOKUP(A135,Jogos!A:BN,59,0)</f>
        <v>8.4525</v>
      </c>
      <c r="BB135" s="9">
        <f>VLOOKUP(A135,Jogos!A:BN,60,0)</f>
        <v>48.5</v>
      </c>
      <c r="BC135" s="9">
        <f>VLOOKUP(A135,Jogos!A:BN,61,0)</f>
        <v>16.665</v>
      </c>
      <c r="BD135" s="9">
        <f>VLOOKUP(A135,Jogos!A:BN,62,0)</f>
        <v>116.55</v>
      </c>
      <c r="BE135" s="9">
        <f>VLOOKUP(A135,Jogos!A:BN,63,0)</f>
        <v>1.21</v>
      </c>
      <c r="BF135" s="9">
        <f>VLOOKUP(A135,Jogos!A:BN,64,0)</f>
        <v>16.195</v>
      </c>
      <c r="BG135" s="9">
        <f>VLOOKUP(A135,Jogos!A:BN,65,0)</f>
        <v>29.515</v>
      </c>
      <c r="BH135" s="9">
        <f>VLOOKUP(A135,Jogos!A:BN,66,0)</f>
        <v>19.18</v>
      </c>
      <c r="BI135" s="9"/>
    </row>
    <row r="136" hidden="1">
      <c r="A136" s="10">
        <v>5.0</v>
      </c>
      <c r="B136" s="11" t="s">
        <v>185</v>
      </c>
      <c r="C136" s="2" t="s">
        <v>61</v>
      </c>
      <c r="D136" s="12">
        <v>45823.0</v>
      </c>
      <c r="E136" s="13">
        <v>0.7916666666666666</v>
      </c>
      <c r="F136" s="5" t="str">
        <f>VLOOKUP(A136,Jogos!A:N,10,0)</f>
        <v>Evening</v>
      </c>
      <c r="G136" s="11" t="s">
        <v>312</v>
      </c>
      <c r="H136" s="6" t="str">
        <f>VLOOKUP(A136,Jogos!A:L,12,0)</f>
        <v>Open</v>
      </c>
      <c r="I136" s="6" t="str">
        <f>VLOOKUP(G136,'Estádios e Cidades'!A:B,2,0)</f>
        <v>Seatte</v>
      </c>
      <c r="J136" s="11" t="s">
        <v>314</v>
      </c>
      <c r="K136" s="2" t="str">
        <f>VLOOKUP(J136,Equipes!A:F,6,0)</f>
        <v>Temperate</v>
      </c>
      <c r="L136" s="2">
        <f>VLOOKUP(J136,Equipes!A:C,3,0)</f>
        <v>29</v>
      </c>
      <c r="M136" s="2" t="str">
        <f t="shared" si="4"/>
        <v>Group</v>
      </c>
      <c r="N136" s="11" t="s">
        <v>313</v>
      </c>
      <c r="O136" s="2">
        <f>VLOOKUP(N136,Equipes!A:C,3,0)</f>
        <v>14</v>
      </c>
      <c r="P136" s="2" t="str">
        <f t="shared" si="5"/>
        <v>Round of 16</v>
      </c>
      <c r="Q136" s="2">
        <f t="shared" si="6"/>
        <v>15</v>
      </c>
      <c r="R136" s="2" t="str">
        <f>VLOOKUP(J136,Equipes!A:B,2,0)</f>
        <v>Seattle</v>
      </c>
      <c r="S136" s="6" t="s">
        <v>347</v>
      </c>
      <c r="T136" s="7">
        <v>7.0</v>
      </c>
      <c r="U136" s="7" t="s">
        <v>348</v>
      </c>
      <c r="V136" s="7" t="str">
        <f>VLOOKUP(U136,Jogadores!B:C,2,0)</f>
        <v>MF</v>
      </c>
      <c r="W136" s="8">
        <f>VLOOKUP(U136,Jogadores!B:D,3,0)</f>
        <v>30.17260274</v>
      </c>
      <c r="X136" s="7">
        <v>0.0</v>
      </c>
      <c r="Y136" s="7">
        <f>45+AB136</f>
        <v>94</v>
      </c>
      <c r="Z136" s="7">
        <f>VLOOKUP(A136,Jogos!A:L,3,0)</f>
        <v>47</v>
      </c>
      <c r="AA136" s="7">
        <f t="shared" si="7"/>
        <v>47</v>
      </c>
      <c r="AB136" s="7">
        <f>VLOOKUP(A136,Jogos!A:L,4,0)</f>
        <v>49</v>
      </c>
      <c r="AC136" s="7">
        <f t="shared" si="8"/>
        <v>49</v>
      </c>
      <c r="AD136" s="7"/>
      <c r="AE136" s="7"/>
      <c r="AF136" s="7">
        <f t="shared" si="9"/>
        <v>96</v>
      </c>
      <c r="AG136" s="7">
        <v>11865.2</v>
      </c>
      <c r="AH136" s="7">
        <v>3244.9</v>
      </c>
      <c r="AI136" s="7">
        <v>5892.7</v>
      </c>
      <c r="AJ136" s="7">
        <v>1897.2</v>
      </c>
      <c r="AK136" s="7">
        <v>561.3</v>
      </c>
      <c r="AL136" s="7">
        <v>269.1</v>
      </c>
      <c r="AM136" s="7">
        <v>149.0</v>
      </c>
      <c r="AN136" s="7">
        <v>43.0</v>
      </c>
      <c r="AO136" s="7">
        <v>32.0</v>
      </c>
      <c r="AP136" s="9">
        <f t="shared" ref="AP136:AR136" si="428">AG136/$AF136</f>
        <v>123.5958333</v>
      </c>
      <c r="AQ136" s="9">
        <f t="shared" si="428"/>
        <v>33.80104167</v>
      </c>
      <c r="AR136" s="9">
        <f t="shared" si="428"/>
        <v>61.38229167</v>
      </c>
      <c r="AS136" s="9">
        <f t="shared" si="11"/>
        <v>95.18333333</v>
      </c>
      <c r="AT136" s="9">
        <f t="shared" ref="AT136:AV136" si="429">AJ136/$AF136</f>
        <v>19.7625</v>
      </c>
      <c r="AU136" s="9">
        <f t="shared" si="429"/>
        <v>5.846875</v>
      </c>
      <c r="AV136" s="9">
        <f t="shared" si="429"/>
        <v>2.803125</v>
      </c>
      <c r="AW136" s="9">
        <f t="shared" si="13"/>
        <v>8.65</v>
      </c>
      <c r="AX136" s="9">
        <f t="shared" ref="AX136:AY136" si="430">AM136/$AF136</f>
        <v>1.552083333</v>
      </c>
      <c r="AY136" s="9">
        <f t="shared" si="430"/>
        <v>0.4479166667</v>
      </c>
      <c r="AZ136" s="9">
        <f>VLOOKUP(A136,Jogos!A:BN,58,0)</f>
        <v>19.38</v>
      </c>
      <c r="BA136" s="9">
        <f>VLOOKUP(A136,Jogos!A:BN,59,0)</f>
        <v>8.4525</v>
      </c>
      <c r="BB136" s="9">
        <f>VLOOKUP(A136,Jogos!A:BN,60,0)</f>
        <v>48.5</v>
      </c>
      <c r="BC136" s="9">
        <f>VLOOKUP(A136,Jogos!A:BN,61,0)</f>
        <v>16.665</v>
      </c>
      <c r="BD136" s="9">
        <f>VLOOKUP(A136,Jogos!A:BN,62,0)</f>
        <v>116.55</v>
      </c>
      <c r="BE136" s="9">
        <f>VLOOKUP(A136,Jogos!A:BN,63,0)</f>
        <v>1.21</v>
      </c>
      <c r="BF136" s="9">
        <f>VLOOKUP(A136,Jogos!A:BN,64,0)</f>
        <v>16.195</v>
      </c>
      <c r="BG136" s="9">
        <f>VLOOKUP(A136,Jogos!A:BN,65,0)</f>
        <v>29.515</v>
      </c>
      <c r="BH136" s="9">
        <f>VLOOKUP(A136,Jogos!A:BN,66,0)</f>
        <v>19.18</v>
      </c>
      <c r="BI136" s="9"/>
    </row>
    <row r="137" hidden="1">
      <c r="A137" s="10">
        <v>5.0</v>
      </c>
      <c r="B137" s="11" t="s">
        <v>185</v>
      </c>
      <c r="C137" s="2" t="s">
        <v>61</v>
      </c>
      <c r="D137" s="12">
        <v>45823.0</v>
      </c>
      <c r="E137" s="13">
        <v>0.7916666666666666</v>
      </c>
      <c r="F137" s="5" t="str">
        <f>VLOOKUP(A137,Jogos!A:N,10,0)</f>
        <v>Evening</v>
      </c>
      <c r="G137" s="11" t="s">
        <v>312</v>
      </c>
      <c r="H137" s="6" t="str">
        <f>VLOOKUP(A137,Jogos!A:L,12,0)</f>
        <v>Open</v>
      </c>
      <c r="I137" s="6" t="str">
        <f>VLOOKUP(G137,'Estádios e Cidades'!A:B,2,0)</f>
        <v>Seatte</v>
      </c>
      <c r="J137" s="11" t="s">
        <v>314</v>
      </c>
      <c r="K137" s="2" t="str">
        <f>VLOOKUP(J137,Equipes!A:F,6,0)</f>
        <v>Temperate</v>
      </c>
      <c r="L137" s="2">
        <f>VLOOKUP(J137,Equipes!A:C,3,0)</f>
        <v>29</v>
      </c>
      <c r="M137" s="2" t="str">
        <f t="shared" si="4"/>
        <v>Group</v>
      </c>
      <c r="N137" s="11" t="s">
        <v>313</v>
      </c>
      <c r="O137" s="2">
        <f>VLOOKUP(N137,Equipes!A:C,3,0)</f>
        <v>14</v>
      </c>
      <c r="P137" s="2" t="str">
        <f t="shared" si="5"/>
        <v>Round of 16</v>
      </c>
      <c r="Q137" s="2">
        <f t="shared" si="6"/>
        <v>15</v>
      </c>
      <c r="R137" s="2" t="str">
        <f>VLOOKUP(J137,Equipes!A:B,2,0)</f>
        <v>Seattle</v>
      </c>
      <c r="S137" s="6" t="s">
        <v>349</v>
      </c>
      <c r="T137" s="7">
        <v>9.0</v>
      </c>
      <c r="U137" s="7" t="s">
        <v>350</v>
      </c>
      <c r="V137" s="7" t="str">
        <f>VLOOKUP(U137,Jogadores!B:C,2,0)</f>
        <v>FW</v>
      </c>
      <c r="W137" s="8">
        <f>VLOOKUP(U137,Jogadores!B:D,3,0)</f>
        <v>24.60821918</v>
      </c>
      <c r="X137" s="7">
        <v>0.0</v>
      </c>
      <c r="Y137" s="7">
        <v>71.0</v>
      </c>
      <c r="Z137" s="7">
        <f>VLOOKUP(A137,Jogos!A:L,3,0)</f>
        <v>47</v>
      </c>
      <c r="AA137" s="7">
        <f t="shared" si="7"/>
        <v>47</v>
      </c>
      <c r="AB137" s="7">
        <f>VLOOKUP(A137,Jogos!A:L,4,0)</f>
        <v>49</v>
      </c>
      <c r="AC137" s="7">
        <f t="shared" si="8"/>
        <v>26</v>
      </c>
      <c r="AD137" s="7"/>
      <c r="AE137" s="7"/>
      <c r="AF137" s="7">
        <f t="shared" si="9"/>
        <v>73</v>
      </c>
      <c r="AG137" s="7">
        <v>8396.6</v>
      </c>
      <c r="AH137" s="7">
        <v>2651.6</v>
      </c>
      <c r="AI137" s="7">
        <v>3694.6</v>
      </c>
      <c r="AJ137" s="7">
        <v>1341.0</v>
      </c>
      <c r="AK137" s="7">
        <v>544.8</v>
      </c>
      <c r="AL137" s="7">
        <v>164.6</v>
      </c>
      <c r="AM137" s="7">
        <v>119.0</v>
      </c>
      <c r="AN137" s="7">
        <v>39.0</v>
      </c>
      <c r="AO137" s="7">
        <v>30.5</v>
      </c>
      <c r="AP137" s="9">
        <f t="shared" ref="AP137:AR137" si="431">AG137/$AF137</f>
        <v>115.0219178</v>
      </c>
      <c r="AQ137" s="9">
        <f t="shared" si="431"/>
        <v>36.32328767</v>
      </c>
      <c r="AR137" s="9">
        <f t="shared" si="431"/>
        <v>50.6109589</v>
      </c>
      <c r="AS137" s="9">
        <f t="shared" si="11"/>
        <v>86.93424658</v>
      </c>
      <c r="AT137" s="9">
        <f t="shared" ref="AT137:AV137" si="432">AJ137/$AF137</f>
        <v>18.36986301</v>
      </c>
      <c r="AU137" s="9">
        <f t="shared" si="432"/>
        <v>7.463013699</v>
      </c>
      <c r="AV137" s="9">
        <f t="shared" si="432"/>
        <v>2.254794521</v>
      </c>
      <c r="AW137" s="9">
        <f t="shared" si="13"/>
        <v>9.717808219</v>
      </c>
      <c r="AX137" s="9">
        <f t="shared" ref="AX137:AY137" si="433">AM137/$AF137</f>
        <v>1.630136986</v>
      </c>
      <c r="AY137" s="9">
        <f t="shared" si="433"/>
        <v>0.5342465753</v>
      </c>
      <c r="AZ137" s="9">
        <f>VLOOKUP(A137,Jogos!A:BN,58,0)</f>
        <v>19.38</v>
      </c>
      <c r="BA137" s="9">
        <f>VLOOKUP(A137,Jogos!A:BN,59,0)</f>
        <v>8.4525</v>
      </c>
      <c r="BB137" s="9">
        <f>VLOOKUP(A137,Jogos!A:BN,60,0)</f>
        <v>48.5</v>
      </c>
      <c r="BC137" s="9">
        <f>VLOOKUP(A137,Jogos!A:BN,61,0)</f>
        <v>16.665</v>
      </c>
      <c r="BD137" s="9">
        <f>VLOOKUP(A137,Jogos!A:BN,62,0)</f>
        <v>116.55</v>
      </c>
      <c r="BE137" s="9">
        <f>VLOOKUP(A137,Jogos!A:BN,63,0)</f>
        <v>1.21</v>
      </c>
      <c r="BF137" s="9">
        <f>VLOOKUP(A137,Jogos!A:BN,64,0)</f>
        <v>16.195</v>
      </c>
      <c r="BG137" s="9">
        <f>VLOOKUP(A137,Jogos!A:BN,65,0)</f>
        <v>29.515</v>
      </c>
      <c r="BH137" s="9">
        <f>VLOOKUP(A137,Jogos!A:BN,66,0)</f>
        <v>19.18</v>
      </c>
      <c r="BI137" s="9"/>
    </row>
    <row r="138" hidden="1">
      <c r="A138" s="10">
        <v>5.0</v>
      </c>
      <c r="B138" s="11" t="s">
        <v>185</v>
      </c>
      <c r="C138" s="2" t="s">
        <v>61</v>
      </c>
      <c r="D138" s="12">
        <v>45823.0</v>
      </c>
      <c r="E138" s="13">
        <v>0.7916666666666666</v>
      </c>
      <c r="F138" s="5" t="str">
        <f>VLOOKUP(A138,Jogos!A:N,10,0)</f>
        <v>Evening</v>
      </c>
      <c r="G138" s="11" t="s">
        <v>312</v>
      </c>
      <c r="H138" s="6" t="str">
        <f>VLOOKUP(A138,Jogos!A:L,12,0)</f>
        <v>Open</v>
      </c>
      <c r="I138" s="6" t="str">
        <f>VLOOKUP(G138,'Estádios e Cidades'!A:B,2,0)</f>
        <v>Seatte</v>
      </c>
      <c r="J138" s="11" t="s">
        <v>314</v>
      </c>
      <c r="K138" s="2" t="str">
        <f>VLOOKUP(J138,Equipes!A:F,6,0)</f>
        <v>Temperate</v>
      </c>
      <c r="L138" s="2">
        <f>VLOOKUP(J138,Equipes!A:C,3,0)</f>
        <v>29</v>
      </c>
      <c r="M138" s="2" t="str">
        <f t="shared" si="4"/>
        <v>Group</v>
      </c>
      <c r="N138" s="11" t="s">
        <v>313</v>
      </c>
      <c r="O138" s="2">
        <f>VLOOKUP(N138,Equipes!A:C,3,0)</f>
        <v>14</v>
      </c>
      <c r="P138" s="2" t="str">
        <f t="shared" si="5"/>
        <v>Round of 16</v>
      </c>
      <c r="Q138" s="2">
        <f t="shared" si="6"/>
        <v>15</v>
      </c>
      <c r="R138" s="2" t="str">
        <f>VLOOKUP(J138,Equipes!A:B,2,0)</f>
        <v>Seattle</v>
      </c>
      <c r="S138" s="6" t="s">
        <v>351</v>
      </c>
      <c r="T138" s="7">
        <v>11.0</v>
      </c>
      <c r="U138" s="7" t="s">
        <v>352</v>
      </c>
      <c r="V138" s="7" t="str">
        <f>VLOOKUP(U138,Jogadores!B:C,2,0)</f>
        <v>MF</v>
      </c>
      <c r="W138" s="8">
        <f>VLOOKUP(U138,Jogadores!B:D,3,0)</f>
        <v>31.07945205</v>
      </c>
      <c r="X138" s="7">
        <v>0.0</v>
      </c>
      <c r="Y138" s="7">
        <f t="shared" ref="Y138:Y140" si="437">45+AB138</f>
        <v>94</v>
      </c>
      <c r="Z138" s="7">
        <f>VLOOKUP(A138,Jogos!A:L,3,0)</f>
        <v>47</v>
      </c>
      <c r="AA138" s="7">
        <f t="shared" si="7"/>
        <v>47</v>
      </c>
      <c r="AB138" s="7">
        <f>VLOOKUP(A138,Jogos!A:L,4,0)</f>
        <v>49</v>
      </c>
      <c r="AC138" s="7">
        <f t="shared" si="8"/>
        <v>49</v>
      </c>
      <c r="AD138" s="7"/>
      <c r="AE138" s="7"/>
      <c r="AF138" s="7">
        <f t="shared" si="9"/>
        <v>96</v>
      </c>
      <c r="AG138" s="7">
        <v>11119.3</v>
      </c>
      <c r="AH138" s="7">
        <v>3782.7</v>
      </c>
      <c r="AI138" s="7">
        <v>5305.7</v>
      </c>
      <c r="AJ138" s="7">
        <v>1534.1</v>
      </c>
      <c r="AK138" s="7">
        <v>459.0</v>
      </c>
      <c r="AL138" s="7">
        <v>37.8</v>
      </c>
      <c r="AM138" s="7">
        <v>135.0</v>
      </c>
      <c r="AN138" s="7">
        <v>39.0</v>
      </c>
      <c r="AO138" s="7">
        <v>28.9</v>
      </c>
      <c r="AP138" s="9">
        <f t="shared" ref="AP138:AR138" si="434">AG138/$AF138</f>
        <v>115.8260417</v>
      </c>
      <c r="AQ138" s="9">
        <f t="shared" si="434"/>
        <v>39.403125</v>
      </c>
      <c r="AR138" s="9">
        <f t="shared" si="434"/>
        <v>55.26770833</v>
      </c>
      <c r="AS138" s="9">
        <f t="shared" si="11"/>
        <v>94.67083333</v>
      </c>
      <c r="AT138" s="9">
        <f t="shared" ref="AT138:AV138" si="435">AJ138/$AF138</f>
        <v>15.98020833</v>
      </c>
      <c r="AU138" s="9">
        <f t="shared" si="435"/>
        <v>4.78125</v>
      </c>
      <c r="AV138" s="9">
        <f t="shared" si="435"/>
        <v>0.39375</v>
      </c>
      <c r="AW138" s="9">
        <f t="shared" si="13"/>
        <v>5.175</v>
      </c>
      <c r="AX138" s="9">
        <f t="shared" ref="AX138:AY138" si="436">AM138/$AF138</f>
        <v>1.40625</v>
      </c>
      <c r="AY138" s="9">
        <f t="shared" si="436"/>
        <v>0.40625</v>
      </c>
      <c r="AZ138" s="9">
        <f>VLOOKUP(A138,Jogos!A:BN,58,0)</f>
        <v>19.38</v>
      </c>
      <c r="BA138" s="9">
        <f>VLOOKUP(A138,Jogos!A:BN,59,0)</f>
        <v>8.4525</v>
      </c>
      <c r="BB138" s="9">
        <f>VLOOKUP(A138,Jogos!A:BN,60,0)</f>
        <v>48.5</v>
      </c>
      <c r="BC138" s="9">
        <f>VLOOKUP(A138,Jogos!A:BN,61,0)</f>
        <v>16.665</v>
      </c>
      <c r="BD138" s="9">
        <f>VLOOKUP(A138,Jogos!A:BN,62,0)</f>
        <v>116.55</v>
      </c>
      <c r="BE138" s="9">
        <f>VLOOKUP(A138,Jogos!A:BN,63,0)</f>
        <v>1.21</v>
      </c>
      <c r="BF138" s="9">
        <f>VLOOKUP(A138,Jogos!A:BN,64,0)</f>
        <v>16.195</v>
      </c>
      <c r="BG138" s="9">
        <f>VLOOKUP(A138,Jogos!A:BN,65,0)</f>
        <v>29.515</v>
      </c>
      <c r="BH138" s="9">
        <f>VLOOKUP(A138,Jogos!A:BN,66,0)</f>
        <v>19.18</v>
      </c>
      <c r="BI138" s="9"/>
    </row>
    <row r="139" hidden="1">
      <c r="A139" s="10">
        <v>5.0</v>
      </c>
      <c r="B139" s="11" t="s">
        <v>185</v>
      </c>
      <c r="C139" s="2" t="s">
        <v>61</v>
      </c>
      <c r="D139" s="12">
        <v>45823.0</v>
      </c>
      <c r="E139" s="13">
        <v>0.7916666666666666</v>
      </c>
      <c r="F139" s="5" t="str">
        <f>VLOOKUP(A139,Jogos!A:N,10,0)</f>
        <v>Evening</v>
      </c>
      <c r="G139" s="11" t="s">
        <v>312</v>
      </c>
      <c r="H139" s="6" t="str">
        <f>VLOOKUP(A139,Jogos!A:L,12,0)</f>
        <v>Open</v>
      </c>
      <c r="I139" s="6" t="str">
        <f>VLOOKUP(G139,'Estádios e Cidades'!A:B,2,0)</f>
        <v>Seatte</v>
      </c>
      <c r="J139" s="11" t="s">
        <v>314</v>
      </c>
      <c r="K139" s="2" t="str">
        <f>VLOOKUP(J139,Equipes!A:F,6,0)</f>
        <v>Temperate</v>
      </c>
      <c r="L139" s="2">
        <f>VLOOKUP(J139,Equipes!A:C,3,0)</f>
        <v>29</v>
      </c>
      <c r="M139" s="2" t="str">
        <f t="shared" si="4"/>
        <v>Group</v>
      </c>
      <c r="N139" s="11" t="s">
        <v>313</v>
      </c>
      <c r="O139" s="2">
        <f>VLOOKUP(N139,Equipes!A:C,3,0)</f>
        <v>14</v>
      </c>
      <c r="P139" s="2" t="str">
        <f t="shared" si="5"/>
        <v>Round of 16</v>
      </c>
      <c r="Q139" s="2">
        <f t="shared" si="6"/>
        <v>15</v>
      </c>
      <c r="R139" s="2" t="str">
        <f>VLOOKUP(J139,Equipes!A:B,2,0)</f>
        <v>Seattle</v>
      </c>
      <c r="S139" s="6" t="s">
        <v>353</v>
      </c>
      <c r="T139" s="7">
        <v>16.0</v>
      </c>
      <c r="U139" s="7" t="s">
        <v>354</v>
      </c>
      <c r="V139" s="7" t="str">
        <f>VLOOKUP(U139,Jogadores!B:C,2,0)</f>
        <v>DF</v>
      </c>
      <c r="W139" s="8">
        <f>VLOOKUP(U139,Jogadores!B:D,3,0)</f>
        <v>29.01917808</v>
      </c>
      <c r="X139" s="7">
        <v>0.0</v>
      </c>
      <c r="Y139" s="7">
        <f t="shared" si="437"/>
        <v>94</v>
      </c>
      <c r="Z139" s="7">
        <f>VLOOKUP(A139,Jogos!A:L,3,0)</f>
        <v>47</v>
      </c>
      <c r="AA139" s="7">
        <f t="shared" si="7"/>
        <v>47</v>
      </c>
      <c r="AB139" s="7">
        <f>VLOOKUP(A139,Jogos!A:L,4,0)</f>
        <v>49</v>
      </c>
      <c r="AC139" s="7">
        <f t="shared" si="8"/>
        <v>49</v>
      </c>
      <c r="AD139" s="7"/>
      <c r="AE139" s="7"/>
      <c r="AF139" s="7">
        <f t="shared" si="9"/>
        <v>96</v>
      </c>
      <c r="AG139" s="7">
        <v>12061.8</v>
      </c>
      <c r="AH139" s="7">
        <v>3385.5</v>
      </c>
      <c r="AI139" s="7">
        <v>5870.5</v>
      </c>
      <c r="AJ139" s="7">
        <v>1693.9</v>
      </c>
      <c r="AK139" s="7">
        <v>760.8</v>
      </c>
      <c r="AL139" s="7">
        <v>351.2</v>
      </c>
      <c r="AM139" s="7">
        <v>149.0</v>
      </c>
      <c r="AN139" s="7">
        <v>59.0</v>
      </c>
      <c r="AO139" s="7">
        <v>32.7</v>
      </c>
      <c r="AP139" s="9">
        <f t="shared" ref="AP139:AR139" si="438">AG139/$AF139</f>
        <v>125.64375</v>
      </c>
      <c r="AQ139" s="9">
        <f t="shared" si="438"/>
        <v>35.265625</v>
      </c>
      <c r="AR139" s="9">
        <f t="shared" si="438"/>
        <v>61.15104167</v>
      </c>
      <c r="AS139" s="9">
        <f t="shared" si="11"/>
        <v>96.41666667</v>
      </c>
      <c r="AT139" s="9">
        <f t="shared" ref="AT139:AV139" si="439">AJ139/$AF139</f>
        <v>17.64479167</v>
      </c>
      <c r="AU139" s="9">
        <f t="shared" si="439"/>
        <v>7.925</v>
      </c>
      <c r="AV139" s="9">
        <f t="shared" si="439"/>
        <v>3.658333333</v>
      </c>
      <c r="AW139" s="9">
        <f t="shared" si="13"/>
        <v>11.58333333</v>
      </c>
      <c r="AX139" s="9">
        <f t="shared" ref="AX139:AY139" si="440">AM139/$AF139</f>
        <v>1.552083333</v>
      </c>
      <c r="AY139" s="9">
        <f t="shared" si="440"/>
        <v>0.6145833333</v>
      </c>
      <c r="AZ139" s="9">
        <f>VLOOKUP(A139,Jogos!A:BN,58,0)</f>
        <v>19.38</v>
      </c>
      <c r="BA139" s="9">
        <f>VLOOKUP(A139,Jogos!A:BN,59,0)</f>
        <v>8.4525</v>
      </c>
      <c r="BB139" s="9">
        <f>VLOOKUP(A139,Jogos!A:BN,60,0)</f>
        <v>48.5</v>
      </c>
      <c r="BC139" s="9">
        <f>VLOOKUP(A139,Jogos!A:BN,61,0)</f>
        <v>16.665</v>
      </c>
      <c r="BD139" s="9">
        <f>VLOOKUP(A139,Jogos!A:BN,62,0)</f>
        <v>116.55</v>
      </c>
      <c r="BE139" s="9">
        <f>VLOOKUP(A139,Jogos!A:BN,63,0)</f>
        <v>1.21</v>
      </c>
      <c r="BF139" s="9">
        <f>VLOOKUP(A139,Jogos!A:BN,64,0)</f>
        <v>16.195</v>
      </c>
      <c r="BG139" s="9">
        <f>VLOOKUP(A139,Jogos!A:BN,65,0)</f>
        <v>29.515</v>
      </c>
      <c r="BH139" s="9">
        <f>VLOOKUP(A139,Jogos!A:BN,66,0)</f>
        <v>19.18</v>
      </c>
      <c r="BI139" s="9"/>
    </row>
    <row r="140" hidden="1">
      <c r="A140" s="10">
        <v>5.0</v>
      </c>
      <c r="B140" s="11" t="s">
        <v>185</v>
      </c>
      <c r="C140" s="2" t="s">
        <v>61</v>
      </c>
      <c r="D140" s="12">
        <v>45823.0</v>
      </c>
      <c r="E140" s="13">
        <v>0.7916666666666666</v>
      </c>
      <c r="F140" s="5" t="str">
        <f>VLOOKUP(A140,Jogos!A:N,10,0)</f>
        <v>Evening</v>
      </c>
      <c r="G140" s="11" t="s">
        <v>312</v>
      </c>
      <c r="H140" s="6" t="str">
        <f>VLOOKUP(A140,Jogos!A:L,12,0)</f>
        <v>Open</v>
      </c>
      <c r="I140" s="6" t="str">
        <f>VLOOKUP(G140,'Estádios e Cidades'!A:B,2,0)</f>
        <v>Seatte</v>
      </c>
      <c r="J140" s="11" t="s">
        <v>314</v>
      </c>
      <c r="K140" s="2" t="str">
        <f>VLOOKUP(J140,Equipes!A:F,6,0)</f>
        <v>Temperate</v>
      </c>
      <c r="L140" s="2">
        <f>VLOOKUP(J140,Equipes!A:C,3,0)</f>
        <v>29</v>
      </c>
      <c r="M140" s="2" t="str">
        <f t="shared" si="4"/>
        <v>Group</v>
      </c>
      <c r="N140" s="11" t="s">
        <v>313</v>
      </c>
      <c r="O140" s="2">
        <f>VLOOKUP(N140,Equipes!A:C,3,0)</f>
        <v>14</v>
      </c>
      <c r="P140" s="2" t="str">
        <f t="shared" si="5"/>
        <v>Round of 16</v>
      </c>
      <c r="Q140" s="2">
        <f t="shared" si="6"/>
        <v>15</v>
      </c>
      <c r="R140" s="2" t="str">
        <f>VLOOKUP(J140,Equipes!A:B,2,0)</f>
        <v>Seattle</v>
      </c>
      <c r="S140" s="6" t="s">
        <v>355</v>
      </c>
      <c r="T140" s="7">
        <v>18.0</v>
      </c>
      <c r="U140" s="7" t="s">
        <v>356</v>
      </c>
      <c r="V140" s="7" t="str">
        <f>VLOOKUP(U140,Jogadores!B:C,2,0)</f>
        <v>MF</v>
      </c>
      <c r="W140" s="8">
        <f>VLOOKUP(U140,Jogadores!B:D,3,0)</f>
        <v>19.99178082</v>
      </c>
      <c r="X140" s="7">
        <v>0.0</v>
      </c>
      <c r="Y140" s="7">
        <f t="shared" si="437"/>
        <v>94</v>
      </c>
      <c r="Z140" s="7">
        <f>VLOOKUP(A140,Jogos!A:L,3,0)</f>
        <v>47</v>
      </c>
      <c r="AA140" s="7">
        <f t="shared" si="7"/>
        <v>47</v>
      </c>
      <c r="AB140" s="7">
        <f>VLOOKUP(A140,Jogos!A:L,4,0)</f>
        <v>49</v>
      </c>
      <c r="AC140" s="7">
        <f t="shared" si="8"/>
        <v>49</v>
      </c>
      <c r="AD140" s="7"/>
      <c r="AE140" s="7"/>
      <c r="AF140" s="7">
        <f t="shared" si="9"/>
        <v>96</v>
      </c>
      <c r="AG140" s="7">
        <v>12533.5</v>
      </c>
      <c r="AH140" s="7">
        <v>3010.3</v>
      </c>
      <c r="AI140" s="7">
        <v>5912.6</v>
      </c>
      <c r="AJ140" s="7">
        <v>2832.2</v>
      </c>
      <c r="AK140" s="7">
        <v>657.0</v>
      </c>
      <c r="AL140" s="7">
        <v>121.5</v>
      </c>
      <c r="AM140" s="7">
        <v>220.0</v>
      </c>
      <c r="AN140" s="7">
        <v>47.0</v>
      </c>
      <c r="AO140" s="7">
        <v>30.5</v>
      </c>
      <c r="AP140" s="9">
        <f t="shared" ref="AP140:AR140" si="441">AG140/$AF140</f>
        <v>130.5572917</v>
      </c>
      <c r="AQ140" s="9">
        <f t="shared" si="441"/>
        <v>31.35729167</v>
      </c>
      <c r="AR140" s="9">
        <f t="shared" si="441"/>
        <v>61.58958333</v>
      </c>
      <c r="AS140" s="9">
        <f t="shared" si="11"/>
        <v>92.946875</v>
      </c>
      <c r="AT140" s="9">
        <f t="shared" ref="AT140:AV140" si="442">AJ140/$AF140</f>
        <v>29.50208333</v>
      </c>
      <c r="AU140" s="9">
        <f t="shared" si="442"/>
        <v>6.84375</v>
      </c>
      <c r="AV140" s="9">
        <f t="shared" si="442"/>
        <v>1.265625</v>
      </c>
      <c r="AW140" s="9">
        <f t="shared" si="13"/>
        <v>8.109375</v>
      </c>
      <c r="AX140" s="9">
        <f t="shared" ref="AX140:AY140" si="443">AM140/$AF140</f>
        <v>2.291666667</v>
      </c>
      <c r="AY140" s="9">
        <f t="shared" si="443"/>
        <v>0.4895833333</v>
      </c>
      <c r="AZ140" s="9">
        <f>VLOOKUP(A140,Jogos!A:BN,58,0)</f>
        <v>19.38</v>
      </c>
      <c r="BA140" s="9">
        <f>VLOOKUP(A140,Jogos!A:BN,59,0)</f>
        <v>8.4525</v>
      </c>
      <c r="BB140" s="9">
        <f>VLOOKUP(A140,Jogos!A:BN,60,0)</f>
        <v>48.5</v>
      </c>
      <c r="BC140" s="9">
        <f>VLOOKUP(A140,Jogos!A:BN,61,0)</f>
        <v>16.665</v>
      </c>
      <c r="BD140" s="9">
        <f>VLOOKUP(A140,Jogos!A:BN,62,0)</f>
        <v>116.55</v>
      </c>
      <c r="BE140" s="9">
        <f>VLOOKUP(A140,Jogos!A:BN,63,0)</f>
        <v>1.21</v>
      </c>
      <c r="BF140" s="9">
        <f>VLOOKUP(A140,Jogos!A:BN,64,0)</f>
        <v>16.195</v>
      </c>
      <c r="BG140" s="9">
        <f>VLOOKUP(A140,Jogos!A:BN,65,0)</f>
        <v>29.515</v>
      </c>
      <c r="BH140" s="9">
        <f>VLOOKUP(A140,Jogos!A:BN,66,0)</f>
        <v>19.18</v>
      </c>
      <c r="BI140" s="9"/>
    </row>
    <row r="141" hidden="1">
      <c r="A141" s="10">
        <v>5.0</v>
      </c>
      <c r="B141" s="11" t="s">
        <v>185</v>
      </c>
      <c r="C141" s="2" t="s">
        <v>61</v>
      </c>
      <c r="D141" s="12">
        <v>45823.0</v>
      </c>
      <c r="E141" s="13">
        <v>0.7916666666666666</v>
      </c>
      <c r="F141" s="5" t="str">
        <f>VLOOKUP(A141,Jogos!A:N,10,0)</f>
        <v>Evening</v>
      </c>
      <c r="G141" s="11" t="s">
        <v>312</v>
      </c>
      <c r="H141" s="6" t="str">
        <f>VLOOKUP(A141,Jogos!A:L,12,0)</f>
        <v>Open</v>
      </c>
      <c r="I141" s="6" t="str">
        <f>VLOOKUP(G141,'Estádios e Cidades'!A:B,2,0)</f>
        <v>Seatte</v>
      </c>
      <c r="J141" s="11" t="s">
        <v>314</v>
      </c>
      <c r="K141" s="2" t="str">
        <f>VLOOKUP(J141,Equipes!A:F,6,0)</f>
        <v>Temperate</v>
      </c>
      <c r="L141" s="2">
        <f>VLOOKUP(J141,Equipes!A:C,3,0)</f>
        <v>29</v>
      </c>
      <c r="M141" s="2" t="str">
        <f t="shared" si="4"/>
        <v>Group</v>
      </c>
      <c r="N141" s="11" t="s">
        <v>313</v>
      </c>
      <c r="O141" s="2">
        <f>VLOOKUP(N141,Equipes!A:C,3,0)</f>
        <v>14</v>
      </c>
      <c r="P141" s="2" t="str">
        <f t="shared" si="5"/>
        <v>Round of 16</v>
      </c>
      <c r="Q141" s="2">
        <f t="shared" si="6"/>
        <v>15</v>
      </c>
      <c r="R141" s="2" t="str">
        <f>VLOOKUP(J141,Equipes!A:B,2,0)</f>
        <v>Seattle</v>
      </c>
      <c r="S141" s="6" t="s">
        <v>357</v>
      </c>
      <c r="T141" s="7">
        <v>19.0</v>
      </c>
      <c r="U141" s="7" t="s">
        <v>358</v>
      </c>
      <c r="V141" s="7" t="str">
        <f>VLOOKUP(U141,Jogadores!B:C,2,0)</f>
        <v>FW</v>
      </c>
      <c r="W141" s="8">
        <f>VLOOKUP(U141,Jogadores!B:D,3,0)</f>
        <v>29.67945205</v>
      </c>
      <c r="X141" s="7">
        <v>0.0</v>
      </c>
      <c r="Y141" s="7">
        <v>84.0</v>
      </c>
      <c r="Z141" s="7">
        <f>VLOOKUP(A141,Jogos!A:L,3,0)</f>
        <v>47</v>
      </c>
      <c r="AA141" s="7">
        <f t="shared" si="7"/>
        <v>47</v>
      </c>
      <c r="AB141" s="7">
        <f>VLOOKUP(A141,Jogos!A:L,4,0)</f>
        <v>49</v>
      </c>
      <c r="AC141" s="7">
        <f t="shared" si="8"/>
        <v>39</v>
      </c>
      <c r="AD141" s="7"/>
      <c r="AE141" s="7"/>
      <c r="AF141" s="7">
        <f t="shared" si="9"/>
        <v>86</v>
      </c>
      <c r="AG141" s="7">
        <v>9896.1</v>
      </c>
      <c r="AH141" s="7">
        <v>2659.8</v>
      </c>
      <c r="AI141" s="7">
        <v>5141.4</v>
      </c>
      <c r="AJ141" s="7">
        <v>1583.2</v>
      </c>
      <c r="AK141" s="7">
        <v>446.9</v>
      </c>
      <c r="AL141" s="7">
        <v>64.8</v>
      </c>
      <c r="AM141" s="7">
        <v>135.0</v>
      </c>
      <c r="AN141" s="7">
        <v>33.0</v>
      </c>
      <c r="AO141" s="7">
        <v>29.6</v>
      </c>
      <c r="AP141" s="9">
        <f t="shared" ref="AP141:AR141" si="444">AG141/$AF141</f>
        <v>115.0709302</v>
      </c>
      <c r="AQ141" s="9">
        <f t="shared" si="444"/>
        <v>30.92790698</v>
      </c>
      <c r="AR141" s="9">
        <f t="shared" si="444"/>
        <v>59.78372093</v>
      </c>
      <c r="AS141" s="9">
        <f t="shared" si="11"/>
        <v>90.71162791</v>
      </c>
      <c r="AT141" s="9">
        <f t="shared" ref="AT141:AV141" si="445">AJ141/$AF141</f>
        <v>18.40930233</v>
      </c>
      <c r="AU141" s="9">
        <f t="shared" si="445"/>
        <v>5.196511628</v>
      </c>
      <c r="AV141" s="9">
        <f t="shared" si="445"/>
        <v>0.7534883721</v>
      </c>
      <c r="AW141" s="9">
        <f t="shared" si="13"/>
        <v>5.95</v>
      </c>
      <c r="AX141" s="9">
        <f t="shared" ref="AX141:AY141" si="446">AM141/$AF141</f>
        <v>1.569767442</v>
      </c>
      <c r="AY141" s="9">
        <f t="shared" si="446"/>
        <v>0.3837209302</v>
      </c>
      <c r="AZ141" s="9">
        <f>VLOOKUP(A141,Jogos!A:BN,58,0)</f>
        <v>19.38</v>
      </c>
      <c r="BA141" s="9">
        <f>VLOOKUP(A141,Jogos!A:BN,59,0)</f>
        <v>8.4525</v>
      </c>
      <c r="BB141" s="9">
        <f>VLOOKUP(A141,Jogos!A:BN,60,0)</f>
        <v>48.5</v>
      </c>
      <c r="BC141" s="9">
        <f>VLOOKUP(A141,Jogos!A:BN,61,0)</f>
        <v>16.665</v>
      </c>
      <c r="BD141" s="9">
        <f>VLOOKUP(A141,Jogos!A:BN,62,0)</f>
        <v>116.55</v>
      </c>
      <c r="BE141" s="9">
        <f>VLOOKUP(A141,Jogos!A:BN,63,0)</f>
        <v>1.21</v>
      </c>
      <c r="BF141" s="9">
        <f>VLOOKUP(A141,Jogos!A:BN,64,0)</f>
        <v>16.195</v>
      </c>
      <c r="BG141" s="9">
        <f>VLOOKUP(A141,Jogos!A:BN,65,0)</f>
        <v>29.515</v>
      </c>
      <c r="BH141" s="9">
        <f>VLOOKUP(A141,Jogos!A:BN,66,0)</f>
        <v>19.18</v>
      </c>
      <c r="BI141" s="9"/>
    </row>
    <row r="142" hidden="1">
      <c r="A142" s="10">
        <v>5.0</v>
      </c>
      <c r="B142" s="11" t="s">
        <v>185</v>
      </c>
      <c r="C142" s="2" t="s">
        <v>61</v>
      </c>
      <c r="D142" s="12">
        <v>45823.0</v>
      </c>
      <c r="E142" s="13">
        <v>0.7916666666666666</v>
      </c>
      <c r="F142" s="5" t="str">
        <f>VLOOKUP(A142,Jogos!A:N,10,0)</f>
        <v>Evening</v>
      </c>
      <c r="G142" s="11" t="s">
        <v>312</v>
      </c>
      <c r="H142" s="6" t="str">
        <f>VLOOKUP(A142,Jogos!A:L,12,0)</f>
        <v>Open</v>
      </c>
      <c r="I142" s="6" t="str">
        <f>VLOOKUP(G142,'Estádios e Cidades'!A:B,2,0)</f>
        <v>Seatte</v>
      </c>
      <c r="J142" s="11" t="s">
        <v>314</v>
      </c>
      <c r="K142" s="2" t="str">
        <f>VLOOKUP(J142,Equipes!A:F,6,0)</f>
        <v>Temperate</v>
      </c>
      <c r="L142" s="2">
        <f>VLOOKUP(J142,Equipes!A:C,3,0)</f>
        <v>29</v>
      </c>
      <c r="M142" s="2" t="str">
        <f t="shared" si="4"/>
        <v>Group</v>
      </c>
      <c r="N142" s="11" t="s">
        <v>313</v>
      </c>
      <c r="O142" s="2">
        <f>VLOOKUP(N142,Equipes!A:C,3,0)</f>
        <v>14</v>
      </c>
      <c r="P142" s="2" t="str">
        <f t="shared" si="5"/>
        <v>Round of 16</v>
      </c>
      <c r="Q142" s="2">
        <f t="shared" si="6"/>
        <v>15</v>
      </c>
      <c r="R142" s="2" t="str">
        <f>VLOOKUP(J142,Equipes!A:B,2,0)</f>
        <v>Seattle</v>
      </c>
      <c r="S142" s="6" t="s">
        <v>359</v>
      </c>
      <c r="T142" s="7">
        <v>20.0</v>
      </c>
      <c r="U142" s="7" t="s">
        <v>360</v>
      </c>
      <c r="V142" s="7" t="str">
        <f>VLOOKUP(U142,Jogadores!B:C,2,0)</f>
        <v>DF</v>
      </c>
      <c r="W142" s="8">
        <f>VLOOKUP(U142,Jogadores!B:D,3,0)</f>
        <v>36.06575342</v>
      </c>
      <c r="X142" s="7">
        <v>0.0</v>
      </c>
      <c r="Y142" s="7">
        <v>45.0</v>
      </c>
      <c r="Z142" s="7">
        <f>VLOOKUP(A142,Jogos!A:L,3,0)</f>
        <v>47</v>
      </c>
      <c r="AA142" s="7">
        <f t="shared" si="7"/>
        <v>47</v>
      </c>
      <c r="AB142" s="7">
        <f>VLOOKUP(A142,Jogos!A:L,4,0)</f>
        <v>49</v>
      </c>
      <c r="AC142" s="7">
        <f t="shared" si="8"/>
        <v>0</v>
      </c>
      <c r="AD142" s="7"/>
      <c r="AE142" s="7"/>
      <c r="AF142" s="7">
        <f t="shared" si="9"/>
        <v>47</v>
      </c>
      <c r="AG142" s="7">
        <v>4913.0</v>
      </c>
      <c r="AH142" s="7">
        <v>2069.8</v>
      </c>
      <c r="AI142" s="7">
        <v>2111.4</v>
      </c>
      <c r="AJ142" s="7">
        <v>574.9</v>
      </c>
      <c r="AK142" s="7">
        <v>132.4</v>
      </c>
      <c r="AL142" s="7">
        <v>24.6</v>
      </c>
      <c r="AM142" s="7">
        <v>45.0</v>
      </c>
      <c r="AN142" s="7">
        <v>12.0</v>
      </c>
      <c r="AO142" s="7">
        <v>27.8</v>
      </c>
      <c r="AP142" s="9">
        <f t="shared" ref="AP142:AR142" si="447">AG142/$AF142</f>
        <v>104.5319149</v>
      </c>
      <c r="AQ142" s="9">
        <f t="shared" si="447"/>
        <v>44.03829787</v>
      </c>
      <c r="AR142" s="9">
        <f t="shared" si="447"/>
        <v>44.92340426</v>
      </c>
      <c r="AS142" s="9">
        <f t="shared" si="11"/>
        <v>88.96170213</v>
      </c>
      <c r="AT142" s="9">
        <f t="shared" ref="AT142:AV142" si="448">AJ142/$AF142</f>
        <v>12.23191489</v>
      </c>
      <c r="AU142" s="9">
        <f t="shared" si="448"/>
        <v>2.817021277</v>
      </c>
      <c r="AV142" s="9">
        <f t="shared" si="448"/>
        <v>0.5234042553</v>
      </c>
      <c r="AW142" s="9">
        <f t="shared" si="13"/>
        <v>3.340425532</v>
      </c>
      <c r="AX142" s="9">
        <f t="shared" ref="AX142:AY142" si="449">AM142/$AF142</f>
        <v>0.9574468085</v>
      </c>
      <c r="AY142" s="9">
        <f t="shared" si="449"/>
        <v>0.2553191489</v>
      </c>
      <c r="AZ142" s="9">
        <f>VLOOKUP(A142,Jogos!A:BN,58,0)</f>
        <v>19.38</v>
      </c>
      <c r="BA142" s="9">
        <f>VLOOKUP(A142,Jogos!A:BN,59,0)</f>
        <v>8.4525</v>
      </c>
      <c r="BB142" s="9">
        <f>VLOOKUP(A142,Jogos!A:BN,60,0)</f>
        <v>48.5</v>
      </c>
      <c r="BC142" s="9">
        <f>VLOOKUP(A142,Jogos!A:BN,61,0)</f>
        <v>16.665</v>
      </c>
      <c r="BD142" s="9">
        <f>VLOOKUP(A142,Jogos!A:BN,62,0)</f>
        <v>116.55</v>
      </c>
      <c r="BE142" s="9">
        <f>VLOOKUP(A142,Jogos!A:BN,63,0)</f>
        <v>1.21</v>
      </c>
      <c r="BF142" s="9">
        <f>VLOOKUP(A142,Jogos!A:BN,64,0)</f>
        <v>16.195</v>
      </c>
      <c r="BG142" s="9">
        <f>VLOOKUP(A142,Jogos!A:BN,65,0)</f>
        <v>29.515</v>
      </c>
      <c r="BH142" s="9">
        <f>VLOOKUP(A142,Jogos!A:BN,66,0)</f>
        <v>19.18</v>
      </c>
      <c r="BI142" s="9"/>
    </row>
    <row r="143" hidden="1">
      <c r="A143" s="10">
        <v>5.0</v>
      </c>
      <c r="B143" s="11" t="s">
        <v>185</v>
      </c>
      <c r="C143" s="2" t="s">
        <v>61</v>
      </c>
      <c r="D143" s="12">
        <v>45823.0</v>
      </c>
      <c r="E143" s="13">
        <v>0.7916666666666666</v>
      </c>
      <c r="F143" s="5" t="str">
        <f>VLOOKUP(A143,Jogos!A:N,10,0)</f>
        <v>Evening</v>
      </c>
      <c r="G143" s="11" t="s">
        <v>312</v>
      </c>
      <c r="H143" s="6" t="str">
        <f>VLOOKUP(A143,Jogos!A:L,12,0)</f>
        <v>Open</v>
      </c>
      <c r="I143" s="6" t="str">
        <f>VLOOKUP(G143,'Estádios e Cidades'!A:B,2,0)</f>
        <v>Seatte</v>
      </c>
      <c r="J143" s="11" t="s">
        <v>314</v>
      </c>
      <c r="K143" s="2" t="str">
        <f>VLOOKUP(J143,Equipes!A:F,6,0)</f>
        <v>Temperate</v>
      </c>
      <c r="L143" s="2">
        <f>VLOOKUP(J143,Equipes!A:C,3,0)</f>
        <v>29</v>
      </c>
      <c r="M143" s="2" t="str">
        <f t="shared" si="4"/>
        <v>Group</v>
      </c>
      <c r="N143" s="11" t="s">
        <v>313</v>
      </c>
      <c r="O143" s="2">
        <f>VLOOKUP(N143,Equipes!A:C,3,0)</f>
        <v>14</v>
      </c>
      <c r="P143" s="2" t="str">
        <f t="shared" si="5"/>
        <v>Round of 16</v>
      </c>
      <c r="Q143" s="2">
        <f t="shared" si="6"/>
        <v>15</v>
      </c>
      <c r="R143" s="2" t="str">
        <f>VLOOKUP(J143,Equipes!A:B,2,0)</f>
        <v>Seattle</v>
      </c>
      <c r="S143" s="6" t="s">
        <v>361</v>
      </c>
      <c r="T143" s="7">
        <v>25.0</v>
      </c>
      <c r="U143" s="7" t="s">
        <v>362</v>
      </c>
      <c r="V143" s="7" t="str">
        <f>VLOOKUP(U143,Jogadores!B:C,2,0)</f>
        <v>DF</v>
      </c>
      <c r="W143" s="8">
        <f>VLOOKUP(U143,Jogadores!B:D,3,0)</f>
        <v>26.86027397</v>
      </c>
      <c r="X143" s="7">
        <v>0.0</v>
      </c>
      <c r="Y143" s="7">
        <f>45+AB143</f>
        <v>94</v>
      </c>
      <c r="Z143" s="7">
        <f>VLOOKUP(A143,Jogos!A:L,3,0)</f>
        <v>47</v>
      </c>
      <c r="AA143" s="7">
        <f t="shared" si="7"/>
        <v>47</v>
      </c>
      <c r="AB143" s="7">
        <f>VLOOKUP(A143,Jogos!A:L,4,0)</f>
        <v>49</v>
      </c>
      <c r="AC143" s="7">
        <f t="shared" si="8"/>
        <v>49</v>
      </c>
      <c r="AD143" s="7"/>
      <c r="AE143" s="7"/>
      <c r="AF143" s="7">
        <f t="shared" si="9"/>
        <v>96</v>
      </c>
      <c r="AG143" s="7">
        <v>10661.4</v>
      </c>
      <c r="AH143" s="7">
        <v>3603.1</v>
      </c>
      <c r="AI143" s="7">
        <v>5301.1</v>
      </c>
      <c r="AJ143" s="7">
        <v>1256.9</v>
      </c>
      <c r="AK143" s="7">
        <v>389.5</v>
      </c>
      <c r="AL143" s="7">
        <v>110.9</v>
      </c>
      <c r="AM143" s="7">
        <v>115.0</v>
      </c>
      <c r="AN143" s="7">
        <v>27.0</v>
      </c>
      <c r="AO143" s="7">
        <v>29.7</v>
      </c>
      <c r="AP143" s="9">
        <f t="shared" ref="AP143:AR143" si="450">AG143/$AF143</f>
        <v>111.05625</v>
      </c>
      <c r="AQ143" s="9">
        <f t="shared" si="450"/>
        <v>37.53229167</v>
      </c>
      <c r="AR143" s="9">
        <f t="shared" si="450"/>
        <v>55.21979167</v>
      </c>
      <c r="AS143" s="9">
        <f t="shared" si="11"/>
        <v>92.75208333</v>
      </c>
      <c r="AT143" s="9">
        <f t="shared" ref="AT143:AV143" si="451">AJ143/$AF143</f>
        <v>13.09270833</v>
      </c>
      <c r="AU143" s="9">
        <f t="shared" si="451"/>
        <v>4.057291667</v>
      </c>
      <c r="AV143" s="9">
        <f t="shared" si="451"/>
        <v>1.155208333</v>
      </c>
      <c r="AW143" s="9">
        <f t="shared" si="13"/>
        <v>5.2125</v>
      </c>
      <c r="AX143" s="9">
        <f t="shared" ref="AX143:AY143" si="452">AM143/$AF143</f>
        <v>1.197916667</v>
      </c>
      <c r="AY143" s="9">
        <f t="shared" si="452"/>
        <v>0.28125</v>
      </c>
      <c r="AZ143" s="9">
        <f>VLOOKUP(A143,Jogos!A:BN,58,0)</f>
        <v>19.38</v>
      </c>
      <c r="BA143" s="9">
        <f>VLOOKUP(A143,Jogos!A:BN,59,0)</f>
        <v>8.4525</v>
      </c>
      <c r="BB143" s="9">
        <f>VLOOKUP(A143,Jogos!A:BN,60,0)</f>
        <v>48.5</v>
      </c>
      <c r="BC143" s="9">
        <f>VLOOKUP(A143,Jogos!A:BN,61,0)</f>
        <v>16.665</v>
      </c>
      <c r="BD143" s="9">
        <f>VLOOKUP(A143,Jogos!A:BN,62,0)</f>
        <v>116.55</v>
      </c>
      <c r="BE143" s="9">
        <f>VLOOKUP(A143,Jogos!A:BN,63,0)</f>
        <v>1.21</v>
      </c>
      <c r="BF143" s="9">
        <f>VLOOKUP(A143,Jogos!A:BN,64,0)</f>
        <v>16.195</v>
      </c>
      <c r="BG143" s="9">
        <f>VLOOKUP(A143,Jogos!A:BN,65,0)</f>
        <v>29.515</v>
      </c>
      <c r="BH143" s="9">
        <f>VLOOKUP(A143,Jogos!A:BN,66,0)</f>
        <v>19.18</v>
      </c>
      <c r="BI143" s="9"/>
    </row>
    <row r="144" hidden="1">
      <c r="A144" s="10">
        <v>5.0</v>
      </c>
      <c r="B144" s="11" t="s">
        <v>185</v>
      </c>
      <c r="C144" s="2" t="s">
        <v>61</v>
      </c>
      <c r="D144" s="12">
        <v>45823.0</v>
      </c>
      <c r="E144" s="13">
        <v>0.7916666666666666</v>
      </c>
      <c r="F144" s="5" t="str">
        <f>VLOOKUP(A144,Jogos!A:N,10,0)</f>
        <v>Evening</v>
      </c>
      <c r="G144" s="11" t="s">
        <v>312</v>
      </c>
      <c r="H144" s="6" t="str">
        <f>VLOOKUP(A144,Jogos!A:L,12,0)</f>
        <v>Open</v>
      </c>
      <c r="I144" s="6" t="str">
        <f>VLOOKUP(G144,'Estádios e Cidades'!A:B,2,0)</f>
        <v>Seatte</v>
      </c>
      <c r="J144" s="11" t="s">
        <v>314</v>
      </c>
      <c r="K144" s="2" t="str">
        <f>VLOOKUP(J144,Equipes!A:F,6,0)</f>
        <v>Temperate</v>
      </c>
      <c r="L144" s="2">
        <f>VLOOKUP(J144,Equipes!A:C,3,0)</f>
        <v>29</v>
      </c>
      <c r="M144" s="2" t="str">
        <f t="shared" si="4"/>
        <v>Group</v>
      </c>
      <c r="N144" s="11" t="s">
        <v>313</v>
      </c>
      <c r="O144" s="2">
        <f>VLOOKUP(N144,Equipes!A:C,3,0)</f>
        <v>14</v>
      </c>
      <c r="P144" s="2" t="str">
        <f t="shared" si="5"/>
        <v>Round of 16</v>
      </c>
      <c r="Q144" s="2">
        <f t="shared" si="6"/>
        <v>15</v>
      </c>
      <c r="R144" s="2" t="str">
        <f>VLOOKUP(J144,Equipes!A:B,2,0)</f>
        <v>Seattle</v>
      </c>
      <c r="S144" s="6" t="s">
        <v>363</v>
      </c>
      <c r="T144" s="7">
        <v>77.0</v>
      </c>
      <c r="U144" s="7" t="s">
        <v>364</v>
      </c>
      <c r="V144" s="7" t="str">
        <f>VLOOKUP(U144,Jogadores!B:C,2,0)</f>
        <v>FW</v>
      </c>
      <c r="W144" s="8">
        <f>VLOOKUP(U144,Jogadores!B:D,3,0)</f>
        <v>28.72876712</v>
      </c>
      <c r="X144" s="7">
        <v>0.0</v>
      </c>
      <c r="Y144" s="7">
        <v>71.0</v>
      </c>
      <c r="Z144" s="7">
        <f>VLOOKUP(A144,Jogos!A:L,3,0)</f>
        <v>47</v>
      </c>
      <c r="AA144" s="7">
        <f t="shared" si="7"/>
        <v>47</v>
      </c>
      <c r="AB144" s="7">
        <f>VLOOKUP(A144,Jogos!A:L,4,0)</f>
        <v>49</v>
      </c>
      <c r="AC144" s="7">
        <f t="shared" si="8"/>
        <v>26</v>
      </c>
      <c r="AD144" s="7"/>
      <c r="AE144" s="7"/>
      <c r="AF144" s="7">
        <f t="shared" si="9"/>
        <v>73</v>
      </c>
      <c r="AG144" s="7">
        <v>8319.0</v>
      </c>
      <c r="AH144" s="7">
        <v>2860.7</v>
      </c>
      <c r="AI144" s="7">
        <v>3284.3</v>
      </c>
      <c r="AJ144" s="7">
        <v>1527.4</v>
      </c>
      <c r="AK144" s="7">
        <v>481.3</v>
      </c>
      <c r="AL144" s="7">
        <v>165.3</v>
      </c>
      <c r="AM144" s="7">
        <v>119.0</v>
      </c>
      <c r="AN144" s="7">
        <v>36.0</v>
      </c>
      <c r="AO144" s="7">
        <v>31.6</v>
      </c>
      <c r="AP144" s="9">
        <f t="shared" ref="AP144:AR144" si="453">AG144/$AF144</f>
        <v>113.9589041</v>
      </c>
      <c r="AQ144" s="9">
        <f t="shared" si="453"/>
        <v>39.18767123</v>
      </c>
      <c r="AR144" s="9">
        <f t="shared" si="453"/>
        <v>44.99041096</v>
      </c>
      <c r="AS144" s="9">
        <f t="shared" si="11"/>
        <v>84.17808219</v>
      </c>
      <c r="AT144" s="9">
        <f t="shared" ref="AT144:AV144" si="454">AJ144/$AF144</f>
        <v>20.92328767</v>
      </c>
      <c r="AU144" s="9">
        <f t="shared" si="454"/>
        <v>6.593150685</v>
      </c>
      <c r="AV144" s="9">
        <f t="shared" si="454"/>
        <v>2.264383562</v>
      </c>
      <c r="AW144" s="9">
        <f t="shared" si="13"/>
        <v>8.857534247</v>
      </c>
      <c r="AX144" s="9">
        <f t="shared" ref="AX144:AY144" si="455">AM144/$AF144</f>
        <v>1.630136986</v>
      </c>
      <c r="AY144" s="9">
        <f t="shared" si="455"/>
        <v>0.4931506849</v>
      </c>
      <c r="AZ144" s="9">
        <f>VLOOKUP(A144,Jogos!A:BN,58,0)</f>
        <v>19.38</v>
      </c>
      <c r="BA144" s="9">
        <f>VLOOKUP(A144,Jogos!A:BN,59,0)</f>
        <v>8.4525</v>
      </c>
      <c r="BB144" s="9">
        <f>VLOOKUP(A144,Jogos!A:BN,60,0)</f>
        <v>48.5</v>
      </c>
      <c r="BC144" s="9">
        <f>VLOOKUP(A144,Jogos!A:BN,61,0)</f>
        <v>16.665</v>
      </c>
      <c r="BD144" s="9">
        <f>VLOOKUP(A144,Jogos!A:BN,62,0)</f>
        <v>116.55</v>
      </c>
      <c r="BE144" s="9">
        <f>VLOOKUP(A144,Jogos!A:BN,63,0)</f>
        <v>1.21</v>
      </c>
      <c r="BF144" s="9">
        <f>VLOOKUP(A144,Jogos!A:BN,64,0)</f>
        <v>16.195</v>
      </c>
      <c r="BG144" s="9">
        <f>VLOOKUP(A144,Jogos!A:BN,65,0)</f>
        <v>29.515</v>
      </c>
      <c r="BH144" s="9">
        <f>VLOOKUP(A144,Jogos!A:BN,66,0)</f>
        <v>19.18</v>
      </c>
      <c r="BI144" s="9"/>
    </row>
    <row r="145" hidden="1">
      <c r="A145" s="10">
        <v>5.0</v>
      </c>
      <c r="B145" s="11" t="s">
        <v>185</v>
      </c>
      <c r="C145" s="2" t="s">
        <v>61</v>
      </c>
      <c r="D145" s="12">
        <v>45823.0</v>
      </c>
      <c r="E145" s="13">
        <v>0.7916666666666666</v>
      </c>
      <c r="F145" s="5" t="str">
        <f>VLOOKUP(A145,Jogos!A:N,10,0)</f>
        <v>Evening</v>
      </c>
      <c r="G145" s="11" t="s">
        <v>312</v>
      </c>
      <c r="H145" s="6" t="str">
        <f>VLOOKUP(A145,Jogos!A:L,12,0)</f>
        <v>Open</v>
      </c>
      <c r="I145" s="6" t="str">
        <f>VLOOKUP(G145,'Estádios e Cidades'!A:B,2,0)</f>
        <v>Seatte</v>
      </c>
      <c r="J145" s="11" t="s">
        <v>314</v>
      </c>
      <c r="K145" s="2" t="str">
        <f>VLOOKUP(J145,Equipes!A:F,6,0)</f>
        <v>Temperate</v>
      </c>
      <c r="L145" s="2">
        <f>VLOOKUP(J145,Equipes!A:C,3,0)</f>
        <v>29</v>
      </c>
      <c r="M145" s="2" t="str">
        <f t="shared" si="4"/>
        <v>Group</v>
      </c>
      <c r="N145" s="11" t="s">
        <v>313</v>
      </c>
      <c r="O145" s="2">
        <f>VLOOKUP(N145,Equipes!A:C,3,0)</f>
        <v>14</v>
      </c>
      <c r="P145" s="2" t="str">
        <f t="shared" si="5"/>
        <v>Round of 16</v>
      </c>
      <c r="Q145" s="2">
        <f t="shared" si="6"/>
        <v>15</v>
      </c>
      <c r="R145" s="2" t="str">
        <f>VLOOKUP(J145,Equipes!A:B,2,0)</f>
        <v>Seattle</v>
      </c>
      <c r="S145" s="6" t="s">
        <v>365</v>
      </c>
      <c r="T145" s="7">
        <v>10.0</v>
      </c>
      <c r="U145" s="7" t="s">
        <v>366</v>
      </c>
      <c r="V145" s="7" t="str">
        <f>VLOOKUP(U145,Jogadores!B:C,2,0)</f>
        <v>FW</v>
      </c>
      <c r="W145" s="8">
        <f>VLOOKUP(U145,Jogadores!B:D,3,0)</f>
        <v>24.48493151</v>
      </c>
      <c r="X145" s="7">
        <v>71.0</v>
      </c>
      <c r="Y145" s="7">
        <f t="shared" ref="Y145:Y153" si="459">45+AB145</f>
        <v>94</v>
      </c>
      <c r="Z145" s="7">
        <f>VLOOKUP(A145,Jogos!A:L,3,0)</f>
        <v>47</v>
      </c>
      <c r="AA145" s="7">
        <f t="shared" si="7"/>
        <v>0</v>
      </c>
      <c r="AB145" s="7">
        <f>VLOOKUP(A145,Jogos!A:L,4,0)</f>
        <v>49</v>
      </c>
      <c r="AC145" s="7">
        <f t="shared" si="8"/>
        <v>23</v>
      </c>
      <c r="AD145" s="7"/>
      <c r="AE145" s="7"/>
      <c r="AF145" s="7">
        <f t="shared" si="9"/>
        <v>23</v>
      </c>
      <c r="AG145" s="7">
        <v>2841.0</v>
      </c>
      <c r="AH145" s="7">
        <v>839.3</v>
      </c>
      <c r="AI145" s="7">
        <v>1228.6</v>
      </c>
      <c r="AJ145" s="7">
        <v>463.5</v>
      </c>
      <c r="AK145" s="7">
        <v>225.7</v>
      </c>
      <c r="AL145" s="7">
        <v>83.9</v>
      </c>
      <c r="AM145" s="7">
        <v>36.0</v>
      </c>
      <c r="AN145" s="7">
        <v>22.0</v>
      </c>
      <c r="AO145" s="7">
        <v>30.0</v>
      </c>
      <c r="AP145" s="9">
        <f t="shared" ref="AP145:AR145" si="456">AG145/$AF145</f>
        <v>123.5217391</v>
      </c>
      <c r="AQ145" s="9">
        <f t="shared" si="456"/>
        <v>36.49130435</v>
      </c>
      <c r="AR145" s="9">
        <f t="shared" si="456"/>
        <v>53.4173913</v>
      </c>
      <c r="AS145" s="9">
        <f t="shared" si="11"/>
        <v>89.90869565</v>
      </c>
      <c r="AT145" s="9">
        <f t="shared" ref="AT145:AV145" si="457">AJ145/$AF145</f>
        <v>20.15217391</v>
      </c>
      <c r="AU145" s="9">
        <f t="shared" si="457"/>
        <v>9.813043478</v>
      </c>
      <c r="AV145" s="9">
        <f t="shared" si="457"/>
        <v>3.647826087</v>
      </c>
      <c r="AW145" s="9">
        <f t="shared" si="13"/>
        <v>13.46086957</v>
      </c>
      <c r="AX145" s="9">
        <f t="shared" ref="AX145:AY145" si="458">AM145/$AF145</f>
        <v>1.565217391</v>
      </c>
      <c r="AY145" s="9">
        <f t="shared" si="458"/>
        <v>0.9565217391</v>
      </c>
      <c r="AZ145" s="9">
        <f>VLOOKUP(A145,Jogos!A:BN,58,0)</f>
        <v>19.38</v>
      </c>
      <c r="BA145" s="9">
        <f>VLOOKUP(A145,Jogos!A:BN,59,0)</f>
        <v>8.4525</v>
      </c>
      <c r="BB145" s="9">
        <f>VLOOKUP(A145,Jogos!A:BN,60,0)</f>
        <v>48.5</v>
      </c>
      <c r="BC145" s="9">
        <f>VLOOKUP(A145,Jogos!A:BN,61,0)</f>
        <v>16.665</v>
      </c>
      <c r="BD145" s="9">
        <f>VLOOKUP(A145,Jogos!A:BN,62,0)</f>
        <v>116.55</v>
      </c>
      <c r="BE145" s="9">
        <f>VLOOKUP(A145,Jogos!A:BN,63,0)</f>
        <v>1.21</v>
      </c>
      <c r="BF145" s="9">
        <f>VLOOKUP(A145,Jogos!A:BN,64,0)</f>
        <v>16.195</v>
      </c>
      <c r="BG145" s="9">
        <f>VLOOKUP(A145,Jogos!A:BN,65,0)</f>
        <v>29.515</v>
      </c>
      <c r="BH145" s="9">
        <f>VLOOKUP(A145,Jogos!A:BN,66,0)</f>
        <v>19.18</v>
      </c>
      <c r="BI145" s="9"/>
    </row>
    <row r="146" hidden="1">
      <c r="A146" s="10">
        <v>5.0</v>
      </c>
      <c r="B146" s="11" t="s">
        <v>185</v>
      </c>
      <c r="C146" s="2" t="s">
        <v>61</v>
      </c>
      <c r="D146" s="12">
        <v>45823.0</v>
      </c>
      <c r="E146" s="13">
        <v>0.7916666666666666</v>
      </c>
      <c r="F146" s="5" t="str">
        <f>VLOOKUP(A146,Jogos!A:N,10,0)</f>
        <v>Evening</v>
      </c>
      <c r="G146" s="11" t="s">
        <v>312</v>
      </c>
      <c r="H146" s="6" t="str">
        <f>VLOOKUP(A146,Jogos!A:L,12,0)</f>
        <v>Open</v>
      </c>
      <c r="I146" s="6" t="str">
        <f>VLOOKUP(G146,'Estádios e Cidades'!A:B,2,0)</f>
        <v>Seatte</v>
      </c>
      <c r="J146" s="11" t="s">
        <v>314</v>
      </c>
      <c r="K146" s="2" t="str">
        <f>VLOOKUP(J146,Equipes!A:F,6,0)</f>
        <v>Temperate</v>
      </c>
      <c r="L146" s="2">
        <f>VLOOKUP(J146,Equipes!A:C,3,0)</f>
        <v>29</v>
      </c>
      <c r="M146" s="2" t="str">
        <f t="shared" si="4"/>
        <v>Group</v>
      </c>
      <c r="N146" s="11" t="s">
        <v>313</v>
      </c>
      <c r="O146" s="2">
        <f>VLOOKUP(N146,Equipes!A:C,3,0)</f>
        <v>14</v>
      </c>
      <c r="P146" s="2" t="str">
        <f t="shared" si="5"/>
        <v>Round of 16</v>
      </c>
      <c r="Q146" s="2">
        <f t="shared" si="6"/>
        <v>15</v>
      </c>
      <c r="R146" s="2" t="str">
        <f>VLOOKUP(J146,Equipes!A:B,2,0)</f>
        <v>Seattle</v>
      </c>
      <c r="S146" s="6" t="s">
        <v>367</v>
      </c>
      <c r="T146" s="7">
        <v>14.0</v>
      </c>
      <c r="U146" s="7" t="s">
        <v>368</v>
      </c>
      <c r="V146" s="7" t="str">
        <f>VLOOKUP(U146,Jogadores!B:C,2,0)</f>
        <v>FW</v>
      </c>
      <c r="W146" s="8">
        <f>VLOOKUP(U146,Jogadores!B:D,3,0)</f>
        <v>26.56712329</v>
      </c>
      <c r="X146" s="7">
        <v>71.0</v>
      </c>
      <c r="Y146" s="7">
        <f t="shared" si="459"/>
        <v>94</v>
      </c>
      <c r="Z146" s="7">
        <f>VLOOKUP(A146,Jogos!A:L,3,0)</f>
        <v>47</v>
      </c>
      <c r="AA146" s="7">
        <f t="shared" si="7"/>
        <v>0</v>
      </c>
      <c r="AB146" s="7">
        <f>VLOOKUP(A146,Jogos!A:L,4,0)</f>
        <v>49</v>
      </c>
      <c r="AC146" s="7">
        <f t="shared" si="8"/>
        <v>23</v>
      </c>
      <c r="AD146" s="7"/>
      <c r="AE146" s="7"/>
      <c r="AF146" s="7">
        <f t="shared" si="9"/>
        <v>23</v>
      </c>
      <c r="AG146" s="7">
        <v>2877.6</v>
      </c>
      <c r="AH146" s="7">
        <v>914.8</v>
      </c>
      <c r="AI146" s="7">
        <v>1157.2</v>
      </c>
      <c r="AJ146" s="7">
        <v>513.8</v>
      </c>
      <c r="AK146" s="7">
        <v>182.5</v>
      </c>
      <c r="AL146" s="7">
        <v>109.2</v>
      </c>
      <c r="AM146" s="7">
        <v>38.0</v>
      </c>
      <c r="AN146" s="7">
        <v>16.0</v>
      </c>
      <c r="AO146" s="7">
        <v>32.1</v>
      </c>
      <c r="AP146" s="9">
        <f t="shared" ref="AP146:AR146" si="460">AG146/$AF146</f>
        <v>125.1130435</v>
      </c>
      <c r="AQ146" s="9">
        <f t="shared" si="460"/>
        <v>39.77391304</v>
      </c>
      <c r="AR146" s="9">
        <f t="shared" si="460"/>
        <v>50.31304348</v>
      </c>
      <c r="AS146" s="9">
        <f t="shared" si="11"/>
        <v>90.08695652</v>
      </c>
      <c r="AT146" s="9">
        <f t="shared" ref="AT146:AV146" si="461">AJ146/$AF146</f>
        <v>22.33913043</v>
      </c>
      <c r="AU146" s="9">
        <f t="shared" si="461"/>
        <v>7.934782609</v>
      </c>
      <c r="AV146" s="9">
        <f t="shared" si="461"/>
        <v>4.747826087</v>
      </c>
      <c r="AW146" s="9">
        <f t="shared" si="13"/>
        <v>12.6826087</v>
      </c>
      <c r="AX146" s="9">
        <f t="shared" ref="AX146:AY146" si="462">AM146/$AF146</f>
        <v>1.652173913</v>
      </c>
      <c r="AY146" s="9">
        <f t="shared" si="462"/>
        <v>0.6956521739</v>
      </c>
      <c r="AZ146" s="9">
        <f>VLOOKUP(A146,Jogos!A:BN,58,0)</f>
        <v>19.38</v>
      </c>
      <c r="BA146" s="9">
        <f>VLOOKUP(A146,Jogos!A:BN,59,0)</f>
        <v>8.4525</v>
      </c>
      <c r="BB146" s="9">
        <f>VLOOKUP(A146,Jogos!A:BN,60,0)</f>
        <v>48.5</v>
      </c>
      <c r="BC146" s="9">
        <f>VLOOKUP(A146,Jogos!A:BN,61,0)</f>
        <v>16.665</v>
      </c>
      <c r="BD146" s="9">
        <f>VLOOKUP(A146,Jogos!A:BN,62,0)</f>
        <v>116.55</v>
      </c>
      <c r="BE146" s="9">
        <f>VLOOKUP(A146,Jogos!A:BN,63,0)</f>
        <v>1.21</v>
      </c>
      <c r="BF146" s="9">
        <f>VLOOKUP(A146,Jogos!A:BN,64,0)</f>
        <v>16.195</v>
      </c>
      <c r="BG146" s="9">
        <f>VLOOKUP(A146,Jogos!A:BN,65,0)</f>
        <v>29.515</v>
      </c>
      <c r="BH146" s="9">
        <f>VLOOKUP(A146,Jogos!A:BN,66,0)</f>
        <v>19.18</v>
      </c>
      <c r="BI146" s="9"/>
    </row>
    <row r="147" hidden="1">
      <c r="A147" s="10">
        <v>5.0</v>
      </c>
      <c r="B147" s="11" t="s">
        <v>185</v>
      </c>
      <c r="C147" s="2" t="s">
        <v>61</v>
      </c>
      <c r="D147" s="12">
        <v>45823.0</v>
      </c>
      <c r="E147" s="13">
        <v>0.7916666666666666</v>
      </c>
      <c r="F147" s="5" t="str">
        <f>VLOOKUP(A147,Jogos!A:N,10,0)</f>
        <v>Evening</v>
      </c>
      <c r="G147" s="11" t="s">
        <v>312</v>
      </c>
      <c r="H147" s="6" t="str">
        <f>VLOOKUP(A147,Jogos!A:L,12,0)</f>
        <v>Open</v>
      </c>
      <c r="I147" s="6" t="str">
        <f>VLOOKUP(G147,'Estádios e Cidades'!A:B,2,0)</f>
        <v>Seatte</v>
      </c>
      <c r="J147" s="11" t="s">
        <v>314</v>
      </c>
      <c r="K147" s="2" t="str">
        <f>VLOOKUP(J147,Equipes!A:F,6,0)</f>
        <v>Temperate</v>
      </c>
      <c r="L147" s="2">
        <f>VLOOKUP(J147,Equipes!A:C,3,0)</f>
        <v>29</v>
      </c>
      <c r="M147" s="2" t="str">
        <f t="shared" si="4"/>
        <v>Group</v>
      </c>
      <c r="N147" s="11" t="s">
        <v>313</v>
      </c>
      <c r="O147" s="2">
        <f>VLOOKUP(N147,Equipes!A:C,3,0)</f>
        <v>14</v>
      </c>
      <c r="P147" s="2" t="str">
        <f t="shared" si="5"/>
        <v>Round of 16</v>
      </c>
      <c r="Q147" s="2">
        <f t="shared" si="6"/>
        <v>15</v>
      </c>
      <c r="R147" s="2" t="str">
        <f>VLOOKUP(J147,Equipes!A:B,2,0)</f>
        <v>Seattle</v>
      </c>
      <c r="S147" s="6" t="s">
        <v>369</v>
      </c>
      <c r="T147" s="7">
        <v>15.0</v>
      </c>
      <c r="U147" s="7" t="s">
        <v>370</v>
      </c>
      <c r="V147" s="7" t="str">
        <f>VLOOKUP(U147,Jogadores!B:C,2,0)</f>
        <v>DF</v>
      </c>
      <c r="W147" s="8">
        <f>VLOOKUP(U147,Jogadores!B:D,3,0)</f>
        <v>27.93972603</v>
      </c>
      <c r="X147" s="7">
        <v>45.0</v>
      </c>
      <c r="Y147" s="7">
        <f t="shared" si="459"/>
        <v>94</v>
      </c>
      <c r="Z147" s="7">
        <f>VLOOKUP(A147,Jogos!A:L,3,0)</f>
        <v>47</v>
      </c>
      <c r="AA147" s="7">
        <f t="shared" si="7"/>
        <v>0</v>
      </c>
      <c r="AB147" s="7">
        <f>VLOOKUP(A147,Jogos!A:L,4,0)</f>
        <v>49</v>
      </c>
      <c r="AC147" s="7">
        <f t="shared" si="8"/>
        <v>49</v>
      </c>
      <c r="AD147" s="7"/>
      <c r="AE147" s="7"/>
      <c r="AF147" s="7">
        <f t="shared" si="9"/>
        <v>49</v>
      </c>
      <c r="AG147" s="7">
        <v>5579.3</v>
      </c>
      <c r="AH147" s="7">
        <v>2017.2</v>
      </c>
      <c r="AI147" s="7">
        <v>2240.2</v>
      </c>
      <c r="AJ147" s="7">
        <v>890.3</v>
      </c>
      <c r="AK147" s="7">
        <v>238.4</v>
      </c>
      <c r="AL147" s="7">
        <v>193.2</v>
      </c>
      <c r="AM147" s="7">
        <v>66.0</v>
      </c>
      <c r="AN147" s="7">
        <v>18.0</v>
      </c>
      <c r="AO147" s="7">
        <v>33.1</v>
      </c>
      <c r="AP147" s="9">
        <f t="shared" ref="AP147:AR147" si="463">AG147/$AF147</f>
        <v>113.8632653</v>
      </c>
      <c r="AQ147" s="9">
        <f t="shared" si="463"/>
        <v>41.16734694</v>
      </c>
      <c r="AR147" s="9">
        <f t="shared" si="463"/>
        <v>45.71836735</v>
      </c>
      <c r="AS147" s="9">
        <f t="shared" si="11"/>
        <v>86.88571429</v>
      </c>
      <c r="AT147" s="9">
        <f t="shared" ref="AT147:AV147" si="464">AJ147/$AF147</f>
        <v>18.16938776</v>
      </c>
      <c r="AU147" s="9">
        <f t="shared" si="464"/>
        <v>4.865306122</v>
      </c>
      <c r="AV147" s="9">
        <f t="shared" si="464"/>
        <v>3.942857143</v>
      </c>
      <c r="AW147" s="9">
        <f t="shared" si="13"/>
        <v>8.808163265</v>
      </c>
      <c r="AX147" s="9">
        <f t="shared" ref="AX147:AY147" si="465">AM147/$AF147</f>
        <v>1.346938776</v>
      </c>
      <c r="AY147" s="9">
        <f t="shared" si="465"/>
        <v>0.3673469388</v>
      </c>
      <c r="AZ147" s="9">
        <f>VLOOKUP(A147,Jogos!A:BN,58,0)</f>
        <v>19.38</v>
      </c>
      <c r="BA147" s="9">
        <f>VLOOKUP(A147,Jogos!A:BN,59,0)</f>
        <v>8.4525</v>
      </c>
      <c r="BB147" s="9">
        <f>VLOOKUP(A147,Jogos!A:BN,60,0)</f>
        <v>48.5</v>
      </c>
      <c r="BC147" s="9">
        <f>VLOOKUP(A147,Jogos!A:BN,61,0)</f>
        <v>16.665</v>
      </c>
      <c r="BD147" s="9">
        <f>VLOOKUP(A147,Jogos!A:BN,62,0)</f>
        <v>116.55</v>
      </c>
      <c r="BE147" s="9">
        <f>VLOOKUP(A147,Jogos!A:BN,63,0)</f>
        <v>1.21</v>
      </c>
      <c r="BF147" s="9">
        <f>VLOOKUP(A147,Jogos!A:BN,64,0)</f>
        <v>16.195</v>
      </c>
      <c r="BG147" s="9">
        <f>VLOOKUP(A147,Jogos!A:BN,65,0)</f>
        <v>29.515</v>
      </c>
      <c r="BH147" s="9">
        <f>VLOOKUP(A147,Jogos!A:BN,66,0)</f>
        <v>19.18</v>
      </c>
      <c r="BI147" s="9"/>
    </row>
    <row r="148" hidden="1">
      <c r="A148" s="10">
        <v>5.0</v>
      </c>
      <c r="B148" s="11" t="s">
        <v>185</v>
      </c>
      <c r="C148" s="2" t="s">
        <v>61</v>
      </c>
      <c r="D148" s="12">
        <v>45823.0</v>
      </c>
      <c r="E148" s="13">
        <v>0.7916666666666666</v>
      </c>
      <c r="F148" s="5" t="str">
        <f>VLOOKUP(A148,Jogos!A:N,10,0)</f>
        <v>Evening</v>
      </c>
      <c r="G148" s="11" t="s">
        <v>312</v>
      </c>
      <c r="H148" s="6" t="str">
        <f>VLOOKUP(A148,Jogos!A:L,12,0)</f>
        <v>Open</v>
      </c>
      <c r="I148" s="6" t="str">
        <f>VLOOKUP(G148,'Estádios e Cidades'!A:B,2,0)</f>
        <v>Seatte</v>
      </c>
      <c r="J148" s="11" t="s">
        <v>314</v>
      </c>
      <c r="K148" s="2" t="str">
        <f>VLOOKUP(J148,Equipes!A:F,6,0)</f>
        <v>Temperate</v>
      </c>
      <c r="L148" s="2">
        <f>VLOOKUP(J148,Equipes!A:C,3,0)</f>
        <v>29</v>
      </c>
      <c r="M148" s="2" t="str">
        <f t="shared" si="4"/>
        <v>Group</v>
      </c>
      <c r="N148" s="11" t="s">
        <v>313</v>
      </c>
      <c r="O148" s="2">
        <f>VLOOKUP(N148,Equipes!A:C,3,0)</f>
        <v>14</v>
      </c>
      <c r="P148" s="2" t="str">
        <f t="shared" si="5"/>
        <v>Round of 16</v>
      </c>
      <c r="Q148" s="2">
        <f t="shared" si="6"/>
        <v>15</v>
      </c>
      <c r="R148" s="2" t="str">
        <f>VLOOKUP(J148,Equipes!A:B,2,0)</f>
        <v>Seattle</v>
      </c>
      <c r="S148" s="6" t="s">
        <v>371</v>
      </c>
      <c r="T148" s="7">
        <v>21.0</v>
      </c>
      <c r="U148" s="7" t="s">
        <v>372</v>
      </c>
      <c r="V148" s="7" t="str">
        <f>VLOOKUP(U148,Jogadores!B:C,2,0)</f>
        <v>MF</v>
      </c>
      <c r="W148" s="8">
        <f>VLOOKUP(U148,Jogadores!B:D,3,0)</f>
        <v>20.33972603</v>
      </c>
      <c r="X148" s="7">
        <v>45.0</v>
      </c>
      <c r="Y148" s="7">
        <f t="shared" si="459"/>
        <v>94</v>
      </c>
      <c r="Z148" s="7">
        <f>VLOOKUP(A148,Jogos!A:L,3,0)</f>
        <v>47</v>
      </c>
      <c r="AA148" s="7">
        <f t="shared" si="7"/>
        <v>0</v>
      </c>
      <c r="AB148" s="7">
        <f>VLOOKUP(A148,Jogos!A:L,4,0)</f>
        <v>49</v>
      </c>
      <c r="AC148" s="7">
        <f t="shared" si="8"/>
        <v>49</v>
      </c>
      <c r="AD148" s="7"/>
      <c r="AE148" s="7"/>
      <c r="AF148" s="7">
        <f t="shared" si="9"/>
        <v>49</v>
      </c>
      <c r="AG148" s="7">
        <v>6341.3</v>
      </c>
      <c r="AH148" s="7">
        <v>1756.4</v>
      </c>
      <c r="AI148" s="7">
        <v>2709.3</v>
      </c>
      <c r="AJ148" s="7">
        <v>1003.9</v>
      </c>
      <c r="AK148" s="7">
        <v>573.6</v>
      </c>
      <c r="AL148" s="7">
        <v>298.1</v>
      </c>
      <c r="AM148" s="7">
        <v>90.0</v>
      </c>
      <c r="AN148" s="7">
        <v>40.0</v>
      </c>
      <c r="AO148" s="7">
        <v>32.4</v>
      </c>
      <c r="AP148" s="9">
        <f t="shared" ref="AP148:AR148" si="466">AG148/$AF148</f>
        <v>129.4142857</v>
      </c>
      <c r="AQ148" s="9">
        <f t="shared" si="466"/>
        <v>35.84489796</v>
      </c>
      <c r="AR148" s="9">
        <f t="shared" si="466"/>
        <v>55.29183673</v>
      </c>
      <c r="AS148" s="9">
        <f t="shared" si="11"/>
        <v>91.13673469</v>
      </c>
      <c r="AT148" s="9">
        <f t="shared" ref="AT148:AV148" si="467">AJ148/$AF148</f>
        <v>20.4877551</v>
      </c>
      <c r="AU148" s="9">
        <f t="shared" si="467"/>
        <v>11.70612245</v>
      </c>
      <c r="AV148" s="9">
        <f t="shared" si="467"/>
        <v>6.083673469</v>
      </c>
      <c r="AW148" s="9">
        <f t="shared" si="13"/>
        <v>17.78979592</v>
      </c>
      <c r="AX148" s="9">
        <f t="shared" ref="AX148:AY148" si="468">AM148/$AF148</f>
        <v>1.836734694</v>
      </c>
      <c r="AY148" s="9">
        <f t="shared" si="468"/>
        <v>0.8163265306</v>
      </c>
      <c r="AZ148" s="9">
        <f>VLOOKUP(A148,Jogos!A:BN,58,0)</f>
        <v>19.38</v>
      </c>
      <c r="BA148" s="9">
        <f>VLOOKUP(A148,Jogos!A:BN,59,0)</f>
        <v>8.4525</v>
      </c>
      <c r="BB148" s="9">
        <f>VLOOKUP(A148,Jogos!A:BN,60,0)</f>
        <v>48.5</v>
      </c>
      <c r="BC148" s="9">
        <f>VLOOKUP(A148,Jogos!A:BN,61,0)</f>
        <v>16.665</v>
      </c>
      <c r="BD148" s="9">
        <f>VLOOKUP(A148,Jogos!A:BN,62,0)</f>
        <v>116.55</v>
      </c>
      <c r="BE148" s="9">
        <f>VLOOKUP(A148,Jogos!A:BN,63,0)</f>
        <v>1.21</v>
      </c>
      <c r="BF148" s="9">
        <f>VLOOKUP(A148,Jogos!A:BN,64,0)</f>
        <v>16.195</v>
      </c>
      <c r="BG148" s="9">
        <f>VLOOKUP(A148,Jogos!A:BN,65,0)</f>
        <v>29.515</v>
      </c>
      <c r="BH148" s="9">
        <f>VLOOKUP(A148,Jogos!A:BN,66,0)</f>
        <v>19.18</v>
      </c>
      <c r="BI148" s="9"/>
    </row>
    <row r="149" hidden="1">
      <c r="A149" s="10">
        <v>5.0</v>
      </c>
      <c r="B149" s="11" t="s">
        <v>185</v>
      </c>
      <c r="C149" s="2" t="s">
        <v>61</v>
      </c>
      <c r="D149" s="12">
        <v>45823.0</v>
      </c>
      <c r="E149" s="13">
        <v>0.7916666666666666</v>
      </c>
      <c r="F149" s="5" t="str">
        <f>VLOOKUP(A149,Jogos!A:N,10,0)</f>
        <v>Evening</v>
      </c>
      <c r="G149" s="11" t="s">
        <v>312</v>
      </c>
      <c r="H149" s="6" t="str">
        <f>VLOOKUP(A149,Jogos!A:L,12,0)</f>
        <v>Open</v>
      </c>
      <c r="I149" s="6" t="str">
        <f>VLOOKUP(G149,'Estádios e Cidades'!A:B,2,0)</f>
        <v>Seatte</v>
      </c>
      <c r="J149" s="11" t="s">
        <v>314</v>
      </c>
      <c r="K149" s="2" t="str">
        <f>VLOOKUP(J149,Equipes!A:F,6,0)</f>
        <v>Temperate</v>
      </c>
      <c r="L149" s="2">
        <f>VLOOKUP(J149,Equipes!A:C,3,0)</f>
        <v>29</v>
      </c>
      <c r="M149" s="2" t="str">
        <f t="shared" si="4"/>
        <v>Group</v>
      </c>
      <c r="N149" s="11" t="s">
        <v>313</v>
      </c>
      <c r="O149" s="2">
        <f>VLOOKUP(N149,Equipes!A:C,3,0)</f>
        <v>14</v>
      </c>
      <c r="P149" s="2" t="str">
        <f t="shared" si="5"/>
        <v>Round of 16</v>
      </c>
      <c r="Q149" s="2">
        <f t="shared" si="6"/>
        <v>15</v>
      </c>
      <c r="R149" s="2" t="str">
        <f>VLOOKUP(J149,Equipes!A:B,2,0)</f>
        <v>Seattle</v>
      </c>
      <c r="S149" s="6" t="s">
        <v>373</v>
      </c>
      <c r="T149" s="7">
        <v>95.0</v>
      </c>
      <c r="U149" s="7" t="s">
        <v>374</v>
      </c>
      <c r="V149" s="7" t="str">
        <f>VLOOKUP(U149,Jogadores!B:C,2,0)</f>
        <v>FW</v>
      </c>
      <c r="W149" s="8">
        <f>VLOOKUP(U149,Jogadores!B:D,3,0)</f>
        <v>24.04109589</v>
      </c>
      <c r="X149" s="7">
        <v>84.0</v>
      </c>
      <c r="Y149" s="7">
        <f t="shared" si="459"/>
        <v>94</v>
      </c>
      <c r="Z149" s="7">
        <f>VLOOKUP(A149,Jogos!A:L,3,0)</f>
        <v>47</v>
      </c>
      <c r="AA149" s="7">
        <f t="shared" si="7"/>
        <v>0</v>
      </c>
      <c r="AB149" s="7">
        <f>VLOOKUP(A149,Jogos!A:L,4,0)</f>
        <v>49</v>
      </c>
      <c r="AC149" s="7">
        <f t="shared" si="8"/>
        <v>10</v>
      </c>
      <c r="AD149" s="7"/>
      <c r="AE149" s="7"/>
      <c r="AF149" s="7">
        <f t="shared" si="9"/>
        <v>10</v>
      </c>
      <c r="AG149" s="7">
        <v>1288.9</v>
      </c>
      <c r="AH149" s="7">
        <v>402.8</v>
      </c>
      <c r="AI149" s="7">
        <v>597.8</v>
      </c>
      <c r="AJ149" s="7">
        <v>161.4</v>
      </c>
      <c r="AK149" s="7">
        <v>117.5</v>
      </c>
      <c r="AL149" s="7">
        <v>9.3</v>
      </c>
      <c r="AM149" s="7">
        <v>15.0</v>
      </c>
      <c r="AN149" s="7">
        <v>10.0</v>
      </c>
      <c r="AO149" s="7">
        <v>26.6</v>
      </c>
      <c r="AP149" s="9">
        <f t="shared" ref="AP149:AR149" si="469">AG149/$AF149</f>
        <v>128.89</v>
      </c>
      <c r="AQ149" s="9">
        <f t="shared" si="469"/>
        <v>40.28</v>
      </c>
      <c r="AR149" s="9">
        <f t="shared" si="469"/>
        <v>59.78</v>
      </c>
      <c r="AS149" s="9">
        <f t="shared" si="11"/>
        <v>100.06</v>
      </c>
      <c r="AT149" s="9">
        <f t="shared" ref="AT149:AV149" si="470">AJ149/$AF149</f>
        <v>16.14</v>
      </c>
      <c r="AU149" s="9">
        <f t="shared" si="470"/>
        <v>11.75</v>
      </c>
      <c r="AV149" s="9">
        <f t="shared" si="470"/>
        <v>0.93</v>
      </c>
      <c r="AW149" s="9">
        <f t="shared" si="13"/>
        <v>12.68</v>
      </c>
      <c r="AX149" s="9">
        <f t="shared" ref="AX149:AY149" si="471">AM149/$AF149</f>
        <v>1.5</v>
      </c>
      <c r="AY149" s="9">
        <f t="shared" si="471"/>
        <v>1</v>
      </c>
      <c r="AZ149" s="9">
        <f>VLOOKUP(A149,Jogos!A:BN,58,0)</f>
        <v>19.38</v>
      </c>
      <c r="BA149" s="9">
        <f>VLOOKUP(A149,Jogos!A:BN,59,0)</f>
        <v>8.4525</v>
      </c>
      <c r="BB149" s="9">
        <f>VLOOKUP(A149,Jogos!A:BN,60,0)</f>
        <v>48.5</v>
      </c>
      <c r="BC149" s="9">
        <f>VLOOKUP(A149,Jogos!A:BN,61,0)</f>
        <v>16.665</v>
      </c>
      <c r="BD149" s="9">
        <f>VLOOKUP(A149,Jogos!A:BN,62,0)</f>
        <v>116.55</v>
      </c>
      <c r="BE149" s="9">
        <f>VLOOKUP(A149,Jogos!A:BN,63,0)</f>
        <v>1.21</v>
      </c>
      <c r="BF149" s="9">
        <f>VLOOKUP(A149,Jogos!A:BN,64,0)</f>
        <v>16.195</v>
      </c>
      <c r="BG149" s="9">
        <f>VLOOKUP(A149,Jogos!A:BN,65,0)</f>
        <v>29.515</v>
      </c>
      <c r="BH149" s="9">
        <f>VLOOKUP(A149,Jogos!A:BN,66,0)</f>
        <v>19.18</v>
      </c>
      <c r="BI149" s="9"/>
    </row>
    <row r="150" hidden="1">
      <c r="A150" s="2">
        <v>6.0</v>
      </c>
      <c r="B150" s="11" t="s">
        <v>375</v>
      </c>
      <c r="C150" s="2" t="s">
        <v>61</v>
      </c>
      <c r="D150" s="3">
        <v>45824.0</v>
      </c>
      <c r="E150" s="4">
        <v>0.625</v>
      </c>
      <c r="F150" s="5" t="str">
        <f>VLOOKUP(A150,Jogos!A:N,10,0)</f>
        <v>Afternoon</v>
      </c>
      <c r="G150" s="2" t="s">
        <v>376</v>
      </c>
      <c r="H150" s="6" t="str">
        <f>VLOOKUP(A150,Jogos!A:L,12,0)</f>
        <v>Closed</v>
      </c>
      <c r="I150" s="6" t="str">
        <f>VLOOKUP(G150,'Estádios e Cidades'!A:B,2,0)</f>
        <v>Atlanta</v>
      </c>
      <c r="J150" s="2" t="s">
        <v>377</v>
      </c>
      <c r="K150" s="2" t="str">
        <f>VLOOKUP(J150,Equipes!A:F,6,0)</f>
        <v>Temperate</v>
      </c>
      <c r="L150" s="2">
        <f>VLOOKUP(J150,Equipes!A:C,3,0)</f>
        <v>1</v>
      </c>
      <c r="M150" s="2" t="str">
        <f t="shared" si="4"/>
        <v>Final</v>
      </c>
      <c r="N150" s="2" t="s">
        <v>378</v>
      </c>
      <c r="O150" s="2">
        <f>VLOOKUP(N150,Equipes!A:C,3,0)</f>
        <v>26</v>
      </c>
      <c r="P150" s="2" t="str">
        <f t="shared" si="5"/>
        <v>Group</v>
      </c>
      <c r="Q150" s="2">
        <f t="shared" si="6"/>
        <v>-25</v>
      </c>
      <c r="R150" s="2" t="str">
        <f>VLOOKUP(J150,Equipes!A:B,2,0)</f>
        <v>Chelsea</v>
      </c>
      <c r="S150" s="6" t="s">
        <v>379</v>
      </c>
      <c r="T150" s="7">
        <v>3.0</v>
      </c>
      <c r="U150" s="7" t="s">
        <v>380</v>
      </c>
      <c r="V150" s="7" t="str">
        <f>VLOOKUP(U150,Jogadores!B:C,2,0)</f>
        <v>DF</v>
      </c>
      <c r="W150" s="8">
        <f>VLOOKUP(U150,Jogadores!B:D,3,0)</f>
        <v>27.03561644</v>
      </c>
      <c r="X150" s="7">
        <v>0.0</v>
      </c>
      <c r="Y150" s="7">
        <f t="shared" si="459"/>
        <v>93</v>
      </c>
      <c r="Z150" s="7">
        <f>VLOOKUP(A150,Jogos!A:L,3,0)</f>
        <v>47</v>
      </c>
      <c r="AA150" s="7">
        <f t="shared" si="7"/>
        <v>47</v>
      </c>
      <c r="AB150" s="7">
        <f>VLOOKUP(A150,Jogos!A:L,4,0)</f>
        <v>48</v>
      </c>
      <c r="AC150" s="7">
        <f t="shared" si="8"/>
        <v>48</v>
      </c>
      <c r="AD150" s="7"/>
      <c r="AE150" s="7"/>
      <c r="AF150" s="7">
        <f t="shared" si="9"/>
        <v>95</v>
      </c>
      <c r="AG150" s="7">
        <v>10884.7</v>
      </c>
      <c r="AH150" s="7">
        <v>3780.6</v>
      </c>
      <c r="AI150" s="7">
        <v>4663.2</v>
      </c>
      <c r="AJ150" s="7">
        <v>1399.2</v>
      </c>
      <c r="AK150" s="7">
        <v>650.2</v>
      </c>
      <c r="AL150" s="7">
        <v>391.3</v>
      </c>
      <c r="AM150" s="7">
        <v>116.0</v>
      </c>
      <c r="AN150" s="7">
        <v>56.0</v>
      </c>
      <c r="AO150" s="7">
        <v>32.1</v>
      </c>
      <c r="AP150" s="9">
        <f t="shared" ref="AP150:AR150" si="472">AG150/$AF150</f>
        <v>114.5757895</v>
      </c>
      <c r="AQ150" s="9">
        <f t="shared" si="472"/>
        <v>39.79578947</v>
      </c>
      <c r="AR150" s="9">
        <f t="shared" si="472"/>
        <v>49.08631579</v>
      </c>
      <c r="AS150" s="9">
        <f t="shared" si="11"/>
        <v>88.88210526</v>
      </c>
      <c r="AT150" s="9">
        <f t="shared" ref="AT150:AV150" si="473">AJ150/$AF150</f>
        <v>14.72842105</v>
      </c>
      <c r="AU150" s="9">
        <f t="shared" si="473"/>
        <v>6.844210526</v>
      </c>
      <c r="AV150" s="9">
        <f t="shared" si="473"/>
        <v>4.118947368</v>
      </c>
      <c r="AW150" s="9">
        <f t="shared" si="13"/>
        <v>10.96315789</v>
      </c>
      <c r="AX150" s="9">
        <f t="shared" ref="AX150:AY150" si="474">AM150/$AF150</f>
        <v>1.221052632</v>
      </c>
      <c r="AY150" s="9">
        <f t="shared" si="474"/>
        <v>0.5894736842</v>
      </c>
      <c r="AZ150" s="9">
        <f>VLOOKUP(A150,Jogos!A:BN,58,0)</f>
        <v>31.285</v>
      </c>
      <c r="BA150" s="9">
        <f>VLOOKUP(A150,Jogos!A:BN,59,0)</f>
        <v>21.16</v>
      </c>
      <c r="BB150" s="9">
        <f>VLOOKUP(A150,Jogos!A:BN,60,0)</f>
        <v>54.5</v>
      </c>
      <c r="BC150" s="9">
        <f>VLOOKUP(A150,Jogos!A:BN,61,0)</f>
        <v>32.535</v>
      </c>
      <c r="BD150" s="9">
        <f>VLOOKUP(A150,Jogos!A:BN,62,0)</f>
        <v>673.15</v>
      </c>
      <c r="BE150" s="9">
        <f>VLOOKUP(A150,Jogos!A:BN,63,0)</f>
        <v>1.915</v>
      </c>
      <c r="BF150" s="9">
        <f>VLOOKUP(A150,Jogos!A:BN,64,0)</f>
        <v>25.3</v>
      </c>
      <c r="BG150" s="9">
        <f>VLOOKUP(A150,Jogos!A:BN,65,0)</f>
        <v>45.645</v>
      </c>
      <c r="BH150" s="9">
        <f>VLOOKUP(A150,Jogos!A:BN,66,0)</f>
        <v>29.965</v>
      </c>
      <c r="BI150" s="9"/>
    </row>
    <row r="151" hidden="1">
      <c r="A151" s="2">
        <v>6.0</v>
      </c>
      <c r="B151" s="11" t="s">
        <v>375</v>
      </c>
      <c r="C151" s="2" t="s">
        <v>61</v>
      </c>
      <c r="D151" s="3">
        <v>45824.0</v>
      </c>
      <c r="E151" s="4">
        <v>0.625</v>
      </c>
      <c r="F151" s="5" t="str">
        <f>VLOOKUP(A151,Jogos!A:N,10,0)</f>
        <v>Afternoon</v>
      </c>
      <c r="G151" s="2" t="s">
        <v>376</v>
      </c>
      <c r="H151" s="6" t="str">
        <f>VLOOKUP(A151,Jogos!A:L,12,0)</f>
        <v>Closed</v>
      </c>
      <c r="I151" s="6" t="str">
        <f>VLOOKUP(G151,'Estádios e Cidades'!A:B,2,0)</f>
        <v>Atlanta</v>
      </c>
      <c r="J151" s="2" t="s">
        <v>377</v>
      </c>
      <c r="K151" s="2" t="str">
        <f>VLOOKUP(J151,Equipes!A:F,6,0)</f>
        <v>Temperate</v>
      </c>
      <c r="L151" s="2">
        <f>VLOOKUP(J151,Equipes!A:C,3,0)</f>
        <v>1</v>
      </c>
      <c r="M151" s="2" t="str">
        <f t="shared" si="4"/>
        <v>Final</v>
      </c>
      <c r="N151" s="2" t="s">
        <v>378</v>
      </c>
      <c r="O151" s="2">
        <f>VLOOKUP(N151,Equipes!A:C,3,0)</f>
        <v>26</v>
      </c>
      <c r="P151" s="2" t="str">
        <f t="shared" si="5"/>
        <v>Group</v>
      </c>
      <c r="Q151" s="2">
        <f t="shared" si="6"/>
        <v>-25</v>
      </c>
      <c r="R151" s="2" t="str">
        <f>VLOOKUP(J151,Equipes!A:B,2,0)</f>
        <v>Chelsea</v>
      </c>
      <c r="S151" s="6" t="s">
        <v>381</v>
      </c>
      <c r="T151" s="7">
        <v>4.0</v>
      </c>
      <c r="U151" s="7" t="s">
        <v>382</v>
      </c>
      <c r="V151" s="7" t="str">
        <f>VLOOKUP(U151,Jogadores!B:C,2,0)</f>
        <v>DF</v>
      </c>
      <c r="W151" s="8">
        <f>VLOOKUP(U151,Jogadores!B:D,3,0)</f>
        <v>27.86027397</v>
      </c>
      <c r="X151" s="7">
        <v>0.0</v>
      </c>
      <c r="Y151" s="7">
        <f t="shared" si="459"/>
        <v>93</v>
      </c>
      <c r="Z151" s="7">
        <f>VLOOKUP(A151,Jogos!A:L,3,0)</f>
        <v>47</v>
      </c>
      <c r="AA151" s="7">
        <f t="shared" si="7"/>
        <v>47</v>
      </c>
      <c r="AB151" s="7">
        <f>VLOOKUP(A151,Jogos!A:L,4,0)</f>
        <v>48</v>
      </c>
      <c r="AC151" s="7">
        <f t="shared" si="8"/>
        <v>48</v>
      </c>
      <c r="AD151" s="7"/>
      <c r="AE151" s="7"/>
      <c r="AF151" s="7">
        <f t="shared" si="9"/>
        <v>95</v>
      </c>
      <c r="AG151" s="7">
        <v>8803.8</v>
      </c>
      <c r="AH151" s="7">
        <v>4350.7</v>
      </c>
      <c r="AI151" s="7">
        <v>3328.8</v>
      </c>
      <c r="AJ151" s="7">
        <v>764.4</v>
      </c>
      <c r="AK151" s="7">
        <v>314.1</v>
      </c>
      <c r="AL151" s="7">
        <v>45.8</v>
      </c>
      <c r="AM151" s="7">
        <v>68.0</v>
      </c>
      <c r="AN151" s="7">
        <v>18.0</v>
      </c>
      <c r="AO151" s="7">
        <v>29.9</v>
      </c>
      <c r="AP151" s="9">
        <f t="shared" ref="AP151:AR151" si="475">AG151/$AF151</f>
        <v>92.67157895</v>
      </c>
      <c r="AQ151" s="9">
        <f t="shared" si="475"/>
        <v>45.79684211</v>
      </c>
      <c r="AR151" s="9">
        <f t="shared" si="475"/>
        <v>35.04</v>
      </c>
      <c r="AS151" s="9">
        <f t="shared" si="11"/>
        <v>80.83684211</v>
      </c>
      <c r="AT151" s="9">
        <f t="shared" ref="AT151:AV151" si="476">AJ151/$AF151</f>
        <v>8.046315789</v>
      </c>
      <c r="AU151" s="9">
        <f t="shared" si="476"/>
        <v>3.306315789</v>
      </c>
      <c r="AV151" s="9">
        <f t="shared" si="476"/>
        <v>0.4821052632</v>
      </c>
      <c r="AW151" s="9">
        <f t="shared" si="13"/>
        <v>3.788421053</v>
      </c>
      <c r="AX151" s="9">
        <f t="shared" ref="AX151:AY151" si="477">AM151/$AF151</f>
        <v>0.7157894737</v>
      </c>
      <c r="AY151" s="9">
        <f t="shared" si="477"/>
        <v>0.1894736842</v>
      </c>
      <c r="AZ151" s="9">
        <f>VLOOKUP(A151,Jogos!A:BN,58,0)</f>
        <v>31.285</v>
      </c>
      <c r="BA151" s="9">
        <f>VLOOKUP(A151,Jogos!A:BN,59,0)</f>
        <v>21.16</v>
      </c>
      <c r="BB151" s="9">
        <f>VLOOKUP(A151,Jogos!A:BN,60,0)</f>
        <v>54.5</v>
      </c>
      <c r="BC151" s="9">
        <f>VLOOKUP(A151,Jogos!A:BN,61,0)</f>
        <v>32.535</v>
      </c>
      <c r="BD151" s="9">
        <f>VLOOKUP(A151,Jogos!A:BN,62,0)</f>
        <v>673.15</v>
      </c>
      <c r="BE151" s="9">
        <f>VLOOKUP(A151,Jogos!A:BN,63,0)</f>
        <v>1.915</v>
      </c>
      <c r="BF151" s="9">
        <f>VLOOKUP(A151,Jogos!A:BN,64,0)</f>
        <v>25.3</v>
      </c>
      <c r="BG151" s="9">
        <f>VLOOKUP(A151,Jogos!A:BN,65,0)</f>
        <v>45.645</v>
      </c>
      <c r="BH151" s="9">
        <f>VLOOKUP(A151,Jogos!A:BN,66,0)</f>
        <v>29.965</v>
      </c>
      <c r="BI151" s="9"/>
    </row>
    <row r="152" hidden="1">
      <c r="A152" s="2">
        <v>6.0</v>
      </c>
      <c r="B152" s="11" t="s">
        <v>375</v>
      </c>
      <c r="C152" s="2" t="s">
        <v>61</v>
      </c>
      <c r="D152" s="3">
        <v>45824.0</v>
      </c>
      <c r="E152" s="4">
        <v>0.625</v>
      </c>
      <c r="F152" s="5" t="str">
        <f>VLOOKUP(A152,Jogos!A:N,10,0)</f>
        <v>Afternoon</v>
      </c>
      <c r="G152" s="2" t="s">
        <v>376</v>
      </c>
      <c r="H152" s="6" t="str">
        <f>VLOOKUP(A152,Jogos!A:L,12,0)</f>
        <v>Closed</v>
      </c>
      <c r="I152" s="6" t="str">
        <f>VLOOKUP(G152,'Estádios e Cidades'!A:B,2,0)</f>
        <v>Atlanta</v>
      </c>
      <c r="J152" s="2" t="s">
        <v>377</v>
      </c>
      <c r="K152" s="2" t="str">
        <f>VLOOKUP(J152,Equipes!A:F,6,0)</f>
        <v>Temperate</v>
      </c>
      <c r="L152" s="2">
        <f>VLOOKUP(J152,Equipes!A:C,3,0)</f>
        <v>1</v>
      </c>
      <c r="M152" s="2" t="str">
        <f t="shared" si="4"/>
        <v>Final</v>
      </c>
      <c r="N152" s="2" t="s">
        <v>378</v>
      </c>
      <c r="O152" s="2">
        <f>VLOOKUP(N152,Equipes!A:C,3,0)</f>
        <v>26</v>
      </c>
      <c r="P152" s="2" t="str">
        <f t="shared" si="5"/>
        <v>Group</v>
      </c>
      <c r="Q152" s="2">
        <f t="shared" si="6"/>
        <v>-25</v>
      </c>
      <c r="R152" s="2" t="str">
        <f>VLOOKUP(J152,Equipes!A:B,2,0)</f>
        <v>Chelsea</v>
      </c>
      <c r="S152" s="6" t="s">
        <v>383</v>
      </c>
      <c r="T152" s="7">
        <v>6.0</v>
      </c>
      <c r="U152" s="7" t="s">
        <v>384</v>
      </c>
      <c r="V152" s="7" t="str">
        <f>VLOOKUP(U152,Jogadores!B:C,2,0)</f>
        <v>DF</v>
      </c>
      <c r="W152" s="8">
        <f>VLOOKUP(U152,Jogadores!B:D,3,0)</f>
        <v>22.43287671</v>
      </c>
      <c r="X152" s="7">
        <v>0.0</v>
      </c>
      <c r="Y152" s="7">
        <f t="shared" si="459"/>
        <v>93</v>
      </c>
      <c r="Z152" s="7">
        <f>VLOOKUP(A152,Jogos!A:L,3,0)</f>
        <v>47</v>
      </c>
      <c r="AA152" s="7">
        <f t="shared" si="7"/>
        <v>47</v>
      </c>
      <c r="AB152" s="7">
        <f>VLOOKUP(A152,Jogos!A:L,4,0)</f>
        <v>48</v>
      </c>
      <c r="AC152" s="7">
        <f t="shared" si="8"/>
        <v>48</v>
      </c>
      <c r="AD152" s="7"/>
      <c r="AE152" s="7"/>
      <c r="AF152" s="7">
        <f t="shared" si="9"/>
        <v>95</v>
      </c>
      <c r="AG152" s="7">
        <v>9381.6</v>
      </c>
      <c r="AH152" s="7">
        <v>3873.7</v>
      </c>
      <c r="AI152" s="7">
        <v>3899.2</v>
      </c>
      <c r="AJ152" s="7">
        <v>1026.4</v>
      </c>
      <c r="AK152" s="7">
        <v>422.3</v>
      </c>
      <c r="AL152" s="7">
        <v>160.1</v>
      </c>
      <c r="AM152" s="7">
        <v>95.0</v>
      </c>
      <c r="AN152" s="7">
        <v>39.0</v>
      </c>
      <c r="AO152" s="7">
        <v>30.3</v>
      </c>
      <c r="AP152" s="9">
        <f t="shared" ref="AP152:AR152" si="478">AG152/$AF152</f>
        <v>98.75368421</v>
      </c>
      <c r="AQ152" s="9">
        <f t="shared" si="478"/>
        <v>40.77578947</v>
      </c>
      <c r="AR152" s="9">
        <f t="shared" si="478"/>
        <v>41.04421053</v>
      </c>
      <c r="AS152" s="9">
        <f t="shared" si="11"/>
        <v>81.82</v>
      </c>
      <c r="AT152" s="9">
        <f t="shared" ref="AT152:AV152" si="479">AJ152/$AF152</f>
        <v>10.80421053</v>
      </c>
      <c r="AU152" s="9">
        <f t="shared" si="479"/>
        <v>4.445263158</v>
      </c>
      <c r="AV152" s="9">
        <f t="shared" si="479"/>
        <v>1.685263158</v>
      </c>
      <c r="AW152" s="9">
        <f t="shared" si="13"/>
        <v>6.130526316</v>
      </c>
      <c r="AX152" s="9">
        <f t="shared" ref="AX152:AY152" si="480">AM152/$AF152</f>
        <v>1</v>
      </c>
      <c r="AY152" s="9">
        <f t="shared" si="480"/>
        <v>0.4105263158</v>
      </c>
      <c r="AZ152" s="9">
        <f>VLOOKUP(A152,Jogos!A:BN,58,0)</f>
        <v>31.285</v>
      </c>
      <c r="BA152" s="9">
        <f>VLOOKUP(A152,Jogos!A:BN,59,0)</f>
        <v>21.16</v>
      </c>
      <c r="BB152" s="9">
        <f>VLOOKUP(A152,Jogos!A:BN,60,0)</f>
        <v>54.5</v>
      </c>
      <c r="BC152" s="9">
        <f>VLOOKUP(A152,Jogos!A:BN,61,0)</f>
        <v>32.535</v>
      </c>
      <c r="BD152" s="9">
        <f>VLOOKUP(A152,Jogos!A:BN,62,0)</f>
        <v>673.15</v>
      </c>
      <c r="BE152" s="9">
        <f>VLOOKUP(A152,Jogos!A:BN,63,0)</f>
        <v>1.915</v>
      </c>
      <c r="BF152" s="9">
        <f>VLOOKUP(A152,Jogos!A:BN,64,0)</f>
        <v>25.3</v>
      </c>
      <c r="BG152" s="9">
        <f>VLOOKUP(A152,Jogos!A:BN,65,0)</f>
        <v>45.645</v>
      </c>
      <c r="BH152" s="9">
        <f>VLOOKUP(A152,Jogos!A:BN,66,0)</f>
        <v>29.965</v>
      </c>
      <c r="BI152" s="9"/>
    </row>
    <row r="153" hidden="1">
      <c r="A153" s="2">
        <v>6.0</v>
      </c>
      <c r="B153" s="11" t="s">
        <v>375</v>
      </c>
      <c r="C153" s="2" t="s">
        <v>61</v>
      </c>
      <c r="D153" s="3">
        <v>45824.0</v>
      </c>
      <c r="E153" s="4">
        <v>0.625</v>
      </c>
      <c r="F153" s="5" t="str">
        <f>VLOOKUP(A153,Jogos!A:N,10,0)</f>
        <v>Afternoon</v>
      </c>
      <c r="G153" s="2" t="s">
        <v>376</v>
      </c>
      <c r="H153" s="6" t="str">
        <f>VLOOKUP(A153,Jogos!A:L,12,0)</f>
        <v>Closed</v>
      </c>
      <c r="I153" s="6" t="str">
        <f>VLOOKUP(G153,'Estádios e Cidades'!A:B,2,0)</f>
        <v>Atlanta</v>
      </c>
      <c r="J153" s="2" t="s">
        <v>377</v>
      </c>
      <c r="K153" s="2" t="str">
        <f>VLOOKUP(J153,Equipes!A:F,6,0)</f>
        <v>Temperate</v>
      </c>
      <c r="L153" s="2">
        <f>VLOOKUP(J153,Equipes!A:C,3,0)</f>
        <v>1</v>
      </c>
      <c r="M153" s="2" t="str">
        <f t="shared" si="4"/>
        <v>Final</v>
      </c>
      <c r="N153" s="2" t="s">
        <v>378</v>
      </c>
      <c r="O153" s="2">
        <f>VLOOKUP(N153,Equipes!A:C,3,0)</f>
        <v>26</v>
      </c>
      <c r="P153" s="2" t="str">
        <f t="shared" si="5"/>
        <v>Group</v>
      </c>
      <c r="Q153" s="2">
        <f t="shared" si="6"/>
        <v>-25</v>
      </c>
      <c r="R153" s="2" t="str">
        <f>VLOOKUP(J153,Equipes!A:B,2,0)</f>
        <v>Chelsea</v>
      </c>
      <c r="S153" s="6" t="s">
        <v>385</v>
      </c>
      <c r="T153" s="7">
        <v>7.0</v>
      </c>
      <c r="U153" s="7" t="s">
        <v>386</v>
      </c>
      <c r="V153" s="7" t="str">
        <f>VLOOKUP(U153,Jogadores!B:C,2,0)</f>
        <v>FW</v>
      </c>
      <c r="W153" s="8">
        <f>VLOOKUP(U153,Jogadores!B:D,3,0)</f>
        <v>25.40273973</v>
      </c>
      <c r="X153" s="7">
        <v>0.0</v>
      </c>
      <c r="Y153" s="7">
        <f t="shared" si="459"/>
        <v>93</v>
      </c>
      <c r="Z153" s="7">
        <f>VLOOKUP(A153,Jogos!A:L,3,0)</f>
        <v>47</v>
      </c>
      <c r="AA153" s="7">
        <f t="shared" si="7"/>
        <v>47</v>
      </c>
      <c r="AB153" s="7">
        <f>VLOOKUP(A153,Jogos!A:L,4,0)</f>
        <v>48</v>
      </c>
      <c r="AC153" s="7">
        <f t="shared" si="8"/>
        <v>48</v>
      </c>
      <c r="AD153" s="7"/>
      <c r="AE153" s="7"/>
      <c r="AF153" s="7">
        <f t="shared" si="9"/>
        <v>95</v>
      </c>
      <c r="AG153" s="7">
        <v>10207.5</v>
      </c>
      <c r="AH153" s="7">
        <v>4141.2</v>
      </c>
      <c r="AI153" s="7">
        <v>3595.4</v>
      </c>
      <c r="AJ153" s="7">
        <v>1325.4</v>
      </c>
      <c r="AK153" s="7">
        <v>779.8</v>
      </c>
      <c r="AL153" s="7">
        <v>365.7</v>
      </c>
      <c r="AM153" s="7">
        <v>98.0</v>
      </c>
      <c r="AN153" s="7">
        <v>65.0</v>
      </c>
      <c r="AO153" s="7">
        <v>33.2</v>
      </c>
      <c r="AP153" s="9">
        <f t="shared" ref="AP153:AR153" si="481">AG153/$AF153</f>
        <v>107.4473684</v>
      </c>
      <c r="AQ153" s="9">
        <f t="shared" si="481"/>
        <v>43.59157895</v>
      </c>
      <c r="AR153" s="9">
        <f t="shared" si="481"/>
        <v>37.84631579</v>
      </c>
      <c r="AS153" s="9">
        <f t="shared" si="11"/>
        <v>81.43789474</v>
      </c>
      <c r="AT153" s="9">
        <f t="shared" ref="AT153:AV153" si="482">AJ153/$AF153</f>
        <v>13.95157895</v>
      </c>
      <c r="AU153" s="9">
        <f t="shared" si="482"/>
        <v>8.208421053</v>
      </c>
      <c r="AV153" s="9">
        <f t="shared" si="482"/>
        <v>3.849473684</v>
      </c>
      <c r="AW153" s="9">
        <f t="shared" si="13"/>
        <v>12.05789474</v>
      </c>
      <c r="AX153" s="9">
        <f t="shared" ref="AX153:AY153" si="483">AM153/$AF153</f>
        <v>1.031578947</v>
      </c>
      <c r="AY153" s="9">
        <f t="shared" si="483"/>
        <v>0.6842105263</v>
      </c>
      <c r="AZ153" s="9">
        <f>VLOOKUP(A153,Jogos!A:BN,58,0)</f>
        <v>31.285</v>
      </c>
      <c r="BA153" s="9">
        <f>VLOOKUP(A153,Jogos!A:BN,59,0)</f>
        <v>21.16</v>
      </c>
      <c r="BB153" s="9">
        <f>VLOOKUP(A153,Jogos!A:BN,60,0)</f>
        <v>54.5</v>
      </c>
      <c r="BC153" s="9">
        <f>VLOOKUP(A153,Jogos!A:BN,61,0)</f>
        <v>32.535</v>
      </c>
      <c r="BD153" s="9">
        <f>VLOOKUP(A153,Jogos!A:BN,62,0)</f>
        <v>673.15</v>
      </c>
      <c r="BE153" s="9">
        <f>VLOOKUP(A153,Jogos!A:BN,63,0)</f>
        <v>1.915</v>
      </c>
      <c r="BF153" s="9">
        <f>VLOOKUP(A153,Jogos!A:BN,64,0)</f>
        <v>25.3</v>
      </c>
      <c r="BG153" s="9">
        <f>VLOOKUP(A153,Jogos!A:BN,65,0)</f>
        <v>45.645</v>
      </c>
      <c r="BH153" s="9">
        <f>VLOOKUP(A153,Jogos!A:BN,66,0)</f>
        <v>29.965</v>
      </c>
      <c r="BI153" s="9"/>
    </row>
    <row r="154" hidden="1">
      <c r="A154" s="2">
        <v>6.0</v>
      </c>
      <c r="B154" s="11" t="s">
        <v>375</v>
      </c>
      <c r="C154" s="2" t="s">
        <v>61</v>
      </c>
      <c r="D154" s="3">
        <v>45824.0</v>
      </c>
      <c r="E154" s="4">
        <v>0.625</v>
      </c>
      <c r="F154" s="5" t="str">
        <f>VLOOKUP(A154,Jogos!A:N,10,0)</f>
        <v>Afternoon</v>
      </c>
      <c r="G154" s="2" t="s">
        <v>376</v>
      </c>
      <c r="H154" s="6" t="str">
        <f>VLOOKUP(A154,Jogos!A:L,12,0)</f>
        <v>Closed</v>
      </c>
      <c r="I154" s="6" t="str">
        <f>VLOOKUP(G154,'Estádios e Cidades'!A:B,2,0)</f>
        <v>Atlanta</v>
      </c>
      <c r="J154" s="2" t="s">
        <v>377</v>
      </c>
      <c r="K154" s="2" t="str">
        <f>VLOOKUP(J154,Equipes!A:F,6,0)</f>
        <v>Temperate</v>
      </c>
      <c r="L154" s="2">
        <f>VLOOKUP(J154,Equipes!A:C,3,0)</f>
        <v>1</v>
      </c>
      <c r="M154" s="2" t="str">
        <f t="shared" si="4"/>
        <v>Final</v>
      </c>
      <c r="N154" s="2" t="s">
        <v>378</v>
      </c>
      <c r="O154" s="2">
        <f>VLOOKUP(N154,Equipes!A:C,3,0)</f>
        <v>26</v>
      </c>
      <c r="P154" s="2" t="str">
        <f t="shared" si="5"/>
        <v>Group</v>
      </c>
      <c r="Q154" s="2">
        <f t="shared" si="6"/>
        <v>-25</v>
      </c>
      <c r="R154" s="2" t="str">
        <f>VLOOKUP(J154,Equipes!A:B,2,0)</f>
        <v>Chelsea</v>
      </c>
      <c r="S154" s="6" t="s">
        <v>387</v>
      </c>
      <c r="T154" s="7">
        <v>10.0</v>
      </c>
      <c r="U154" s="7" t="s">
        <v>388</v>
      </c>
      <c r="V154" s="7" t="str">
        <f>VLOOKUP(U154,Jogadores!B:C,2,0)</f>
        <v>MF</v>
      </c>
      <c r="W154" s="8">
        <f>VLOOKUP(U154,Jogadores!B:D,3,0)</f>
        <v>23.24383562</v>
      </c>
      <c r="X154" s="7">
        <v>0.0</v>
      </c>
      <c r="Y154" s="7">
        <v>84.0</v>
      </c>
      <c r="Z154" s="7">
        <f>VLOOKUP(A154,Jogos!A:L,3,0)</f>
        <v>47</v>
      </c>
      <c r="AA154" s="7">
        <f t="shared" si="7"/>
        <v>47</v>
      </c>
      <c r="AB154" s="7">
        <f>VLOOKUP(A154,Jogos!A:L,4,0)</f>
        <v>48</v>
      </c>
      <c r="AC154" s="7">
        <f t="shared" si="8"/>
        <v>39</v>
      </c>
      <c r="AD154" s="7"/>
      <c r="AE154" s="7"/>
      <c r="AF154" s="7">
        <f t="shared" si="9"/>
        <v>86</v>
      </c>
      <c r="AG154" s="7">
        <v>9281.1</v>
      </c>
      <c r="AH154" s="7">
        <v>3814.4</v>
      </c>
      <c r="AI154" s="7">
        <v>3442.0</v>
      </c>
      <c r="AJ154" s="7">
        <v>1279.0</v>
      </c>
      <c r="AK154" s="7">
        <v>473.6</v>
      </c>
      <c r="AL154" s="7">
        <v>272.1</v>
      </c>
      <c r="AM154" s="7">
        <v>110.0</v>
      </c>
      <c r="AN154" s="7">
        <v>40.0</v>
      </c>
      <c r="AO154" s="7">
        <v>31.6</v>
      </c>
      <c r="AP154" s="9">
        <f t="shared" ref="AP154:AR154" si="484">AG154/$AF154</f>
        <v>107.9197674</v>
      </c>
      <c r="AQ154" s="9">
        <f t="shared" si="484"/>
        <v>44.35348837</v>
      </c>
      <c r="AR154" s="9">
        <f t="shared" si="484"/>
        <v>40.02325581</v>
      </c>
      <c r="AS154" s="9">
        <f t="shared" si="11"/>
        <v>84.37674419</v>
      </c>
      <c r="AT154" s="9">
        <f t="shared" ref="AT154:AV154" si="485">AJ154/$AF154</f>
        <v>14.87209302</v>
      </c>
      <c r="AU154" s="9">
        <f t="shared" si="485"/>
        <v>5.506976744</v>
      </c>
      <c r="AV154" s="9">
        <f t="shared" si="485"/>
        <v>3.163953488</v>
      </c>
      <c r="AW154" s="9">
        <f t="shared" si="13"/>
        <v>8.670930233</v>
      </c>
      <c r="AX154" s="9">
        <f t="shared" ref="AX154:AY154" si="486">AM154/$AF154</f>
        <v>1.279069767</v>
      </c>
      <c r="AY154" s="9">
        <f t="shared" si="486"/>
        <v>0.4651162791</v>
      </c>
      <c r="AZ154" s="9">
        <f>VLOOKUP(A154,Jogos!A:BN,58,0)</f>
        <v>31.285</v>
      </c>
      <c r="BA154" s="9">
        <f>VLOOKUP(A154,Jogos!A:BN,59,0)</f>
        <v>21.16</v>
      </c>
      <c r="BB154" s="9">
        <f>VLOOKUP(A154,Jogos!A:BN,60,0)</f>
        <v>54.5</v>
      </c>
      <c r="BC154" s="9">
        <f>VLOOKUP(A154,Jogos!A:BN,61,0)</f>
        <v>32.535</v>
      </c>
      <c r="BD154" s="9">
        <f>VLOOKUP(A154,Jogos!A:BN,62,0)</f>
        <v>673.15</v>
      </c>
      <c r="BE154" s="9">
        <f>VLOOKUP(A154,Jogos!A:BN,63,0)</f>
        <v>1.915</v>
      </c>
      <c r="BF154" s="9">
        <f>VLOOKUP(A154,Jogos!A:BN,64,0)</f>
        <v>25.3</v>
      </c>
      <c r="BG154" s="9">
        <f>VLOOKUP(A154,Jogos!A:BN,65,0)</f>
        <v>45.645</v>
      </c>
      <c r="BH154" s="9">
        <f>VLOOKUP(A154,Jogos!A:BN,66,0)</f>
        <v>29.965</v>
      </c>
      <c r="BI154" s="9"/>
    </row>
    <row r="155" hidden="1">
      <c r="A155" s="2">
        <v>6.0</v>
      </c>
      <c r="B155" s="11" t="s">
        <v>375</v>
      </c>
      <c r="C155" s="2" t="s">
        <v>61</v>
      </c>
      <c r="D155" s="3">
        <v>45824.0</v>
      </c>
      <c r="E155" s="4">
        <v>0.625</v>
      </c>
      <c r="F155" s="5" t="str">
        <f>VLOOKUP(A155,Jogos!A:N,10,0)</f>
        <v>Afternoon</v>
      </c>
      <c r="G155" s="2" t="s">
        <v>376</v>
      </c>
      <c r="H155" s="6" t="str">
        <f>VLOOKUP(A155,Jogos!A:L,12,0)</f>
        <v>Closed</v>
      </c>
      <c r="I155" s="6" t="str">
        <f>VLOOKUP(G155,'Estádios e Cidades'!A:B,2,0)</f>
        <v>Atlanta</v>
      </c>
      <c r="J155" s="2" t="s">
        <v>377</v>
      </c>
      <c r="K155" s="2" t="str">
        <f>VLOOKUP(J155,Equipes!A:F,6,0)</f>
        <v>Temperate</v>
      </c>
      <c r="L155" s="2">
        <f>VLOOKUP(J155,Equipes!A:C,3,0)</f>
        <v>1</v>
      </c>
      <c r="M155" s="2" t="str">
        <f t="shared" si="4"/>
        <v>Final</v>
      </c>
      <c r="N155" s="2" t="s">
        <v>378</v>
      </c>
      <c r="O155" s="2">
        <f>VLOOKUP(N155,Equipes!A:C,3,0)</f>
        <v>26</v>
      </c>
      <c r="P155" s="2" t="str">
        <f t="shared" si="5"/>
        <v>Group</v>
      </c>
      <c r="Q155" s="2">
        <f t="shared" si="6"/>
        <v>-25</v>
      </c>
      <c r="R155" s="2" t="str">
        <f>VLOOKUP(J155,Equipes!A:B,2,0)</f>
        <v>Chelsea</v>
      </c>
      <c r="S155" s="6" t="s">
        <v>389</v>
      </c>
      <c r="T155" s="7">
        <v>11.0</v>
      </c>
      <c r="U155" s="7" t="s">
        <v>390</v>
      </c>
      <c r="V155" s="7" t="str">
        <f>VLOOKUP(U155,Jogadores!B:C,2,0)</f>
        <v>FW</v>
      </c>
      <c r="W155" s="8">
        <f>VLOOKUP(U155,Jogadores!B:D,3,0)</f>
        <v>23.4</v>
      </c>
      <c r="X155" s="7">
        <v>0.0</v>
      </c>
      <c r="Y155" s="7">
        <v>64.0</v>
      </c>
      <c r="Z155" s="7">
        <f>VLOOKUP(A155,Jogos!A:L,3,0)</f>
        <v>47</v>
      </c>
      <c r="AA155" s="7">
        <f t="shared" si="7"/>
        <v>47</v>
      </c>
      <c r="AB155" s="7">
        <f>VLOOKUP(A155,Jogos!A:L,4,0)</f>
        <v>48</v>
      </c>
      <c r="AC155" s="7">
        <f t="shared" si="8"/>
        <v>19</v>
      </c>
      <c r="AD155" s="7"/>
      <c r="AE155" s="7"/>
      <c r="AF155" s="7">
        <f t="shared" si="9"/>
        <v>66</v>
      </c>
      <c r="AG155" s="7">
        <v>6632.7</v>
      </c>
      <c r="AH155" s="7">
        <v>2919.1</v>
      </c>
      <c r="AI155" s="7">
        <v>2069.2</v>
      </c>
      <c r="AJ155" s="7">
        <v>870.4</v>
      </c>
      <c r="AK155" s="7">
        <v>514.3</v>
      </c>
      <c r="AL155" s="7">
        <v>259.7</v>
      </c>
      <c r="AM155" s="7">
        <v>73.0</v>
      </c>
      <c r="AN155" s="7">
        <v>38.0</v>
      </c>
      <c r="AO155" s="7">
        <v>31.9</v>
      </c>
      <c r="AP155" s="9">
        <f t="shared" ref="AP155:AR155" si="487">AG155/$AF155</f>
        <v>100.4954545</v>
      </c>
      <c r="AQ155" s="9">
        <f t="shared" si="487"/>
        <v>44.22878788</v>
      </c>
      <c r="AR155" s="9">
        <f t="shared" si="487"/>
        <v>31.35151515</v>
      </c>
      <c r="AS155" s="9">
        <f t="shared" si="11"/>
        <v>75.58030303</v>
      </c>
      <c r="AT155" s="9">
        <f t="shared" ref="AT155:AV155" si="488">AJ155/$AF155</f>
        <v>13.18787879</v>
      </c>
      <c r="AU155" s="9">
        <f t="shared" si="488"/>
        <v>7.792424242</v>
      </c>
      <c r="AV155" s="9">
        <f t="shared" si="488"/>
        <v>3.934848485</v>
      </c>
      <c r="AW155" s="9">
        <f t="shared" si="13"/>
        <v>11.72727273</v>
      </c>
      <c r="AX155" s="9">
        <f t="shared" ref="AX155:AY155" si="489">AM155/$AF155</f>
        <v>1.106060606</v>
      </c>
      <c r="AY155" s="9">
        <f t="shared" si="489"/>
        <v>0.5757575758</v>
      </c>
      <c r="AZ155" s="9">
        <f>VLOOKUP(A155,Jogos!A:BN,58,0)</f>
        <v>31.285</v>
      </c>
      <c r="BA155" s="9">
        <f>VLOOKUP(A155,Jogos!A:BN,59,0)</f>
        <v>21.16</v>
      </c>
      <c r="BB155" s="9">
        <f>VLOOKUP(A155,Jogos!A:BN,60,0)</f>
        <v>54.5</v>
      </c>
      <c r="BC155" s="9">
        <f>VLOOKUP(A155,Jogos!A:BN,61,0)</f>
        <v>32.535</v>
      </c>
      <c r="BD155" s="9">
        <f>VLOOKUP(A155,Jogos!A:BN,62,0)</f>
        <v>673.15</v>
      </c>
      <c r="BE155" s="9">
        <f>VLOOKUP(A155,Jogos!A:BN,63,0)</f>
        <v>1.915</v>
      </c>
      <c r="BF155" s="9">
        <f>VLOOKUP(A155,Jogos!A:BN,64,0)</f>
        <v>25.3</v>
      </c>
      <c r="BG155" s="9">
        <f>VLOOKUP(A155,Jogos!A:BN,65,0)</f>
        <v>45.645</v>
      </c>
      <c r="BH155" s="9">
        <f>VLOOKUP(A155,Jogos!A:BN,66,0)</f>
        <v>29.965</v>
      </c>
      <c r="BI155" s="9"/>
    </row>
    <row r="156" hidden="1">
      <c r="A156" s="2">
        <v>6.0</v>
      </c>
      <c r="B156" s="11" t="s">
        <v>375</v>
      </c>
      <c r="C156" s="2" t="s">
        <v>61</v>
      </c>
      <c r="D156" s="3">
        <v>45824.0</v>
      </c>
      <c r="E156" s="4">
        <v>0.625</v>
      </c>
      <c r="F156" s="5" t="str">
        <f>VLOOKUP(A156,Jogos!A:N,10,0)</f>
        <v>Afternoon</v>
      </c>
      <c r="G156" s="2" t="s">
        <v>376</v>
      </c>
      <c r="H156" s="6" t="str">
        <f>VLOOKUP(A156,Jogos!A:L,12,0)</f>
        <v>Closed</v>
      </c>
      <c r="I156" s="6" t="str">
        <f>VLOOKUP(G156,'Estádios e Cidades'!A:B,2,0)</f>
        <v>Atlanta</v>
      </c>
      <c r="J156" s="2" t="s">
        <v>377</v>
      </c>
      <c r="K156" s="2" t="str">
        <f>VLOOKUP(J156,Equipes!A:F,6,0)</f>
        <v>Temperate</v>
      </c>
      <c r="L156" s="2">
        <f>VLOOKUP(J156,Equipes!A:C,3,0)</f>
        <v>1</v>
      </c>
      <c r="M156" s="2" t="str">
        <f t="shared" si="4"/>
        <v>Final</v>
      </c>
      <c r="N156" s="2" t="s">
        <v>378</v>
      </c>
      <c r="O156" s="2">
        <f>VLOOKUP(N156,Equipes!A:C,3,0)</f>
        <v>26</v>
      </c>
      <c r="P156" s="2" t="str">
        <f t="shared" si="5"/>
        <v>Group</v>
      </c>
      <c r="Q156" s="2">
        <f t="shared" si="6"/>
        <v>-25</v>
      </c>
      <c r="R156" s="2" t="str">
        <f>VLOOKUP(J156,Equipes!A:B,2,0)</f>
        <v>Chelsea</v>
      </c>
      <c r="S156" s="6" t="s">
        <v>391</v>
      </c>
      <c r="T156" s="7">
        <v>15.0</v>
      </c>
      <c r="U156" s="7" t="s">
        <v>392</v>
      </c>
      <c r="V156" s="7" t="str">
        <f>VLOOKUP(U156,Jogadores!B:C,2,0)</f>
        <v>FW</v>
      </c>
      <c r="W156" s="8">
        <f>VLOOKUP(U156,Jogadores!B:D,3,0)</f>
        <v>24.12054795</v>
      </c>
      <c r="X156" s="7">
        <v>0.0</v>
      </c>
      <c r="Y156" s="7">
        <v>64.0</v>
      </c>
      <c r="Z156" s="7">
        <f>VLOOKUP(A156,Jogos!A:L,3,0)</f>
        <v>47</v>
      </c>
      <c r="AA156" s="7">
        <f t="shared" si="7"/>
        <v>47</v>
      </c>
      <c r="AB156" s="7">
        <f>VLOOKUP(A156,Jogos!A:L,4,0)</f>
        <v>48</v>
      </c>
      <c r="AC156" s="7">
        <f t="shared" si="8"/>
        <v>19</v>
      </c>
      <c r="AD156" s="7"/>
      <c r="AE156" s="7"/>
      <c r="AF156" s="7">
        <f t="shared" si="9"/>
        <v>66</v>
      </c>
      <c r="AG156" s="7">
        <v>7368.8</v>
      </c>
      <c r="AH156" s="7">
        <v>2747.7</v>
      </c>
      <c r="AI156" s="7">
        <v>3064.0</v>
      </c>
      <c r="AJ156" s="7">
        <v>816.5</v>
      </c>
      <c r="AK156" s="7">
        <v>463.7</v>
      </c>
      <c r="AL156" s="7">
        <v>276.8</v>
      </c>
      <c r="AM156" s="7">
        <v>66.0</v>
      </c>
      <c r="AN156" s="7">
        <v>47.0</v>
      </c>
      <c r="AO156" s="7">
        <v>35.4</v>
      </c>
      <c r="AP156" s="9">
        <f t="shared" ref="AP156:AR156" si="490">AG156/$AF156</f>
        <v>111.6484848</v>
      </c>
      <c r="AQ156" s="9">
        <f t="shared" si="490"/>
        <v>41.63181818</v>
      </c>
      <c r="AR156" s="9">
        <f t="shared" si="490"/>
        <v>46.42424242</v>
      </c>
      <c r="AS156" s="9">
        <f t="shared" si="11"/>
        <v>88.05606061</v>
      </c>
      <c r="AT156" s="9">
        <f t="shared" ref="AT156:AV156" si="491">AJ156/$AF156</f>
        <v>12.37121212</v>
      </c>
      <c r="AU156" s="9">
        <f t="shared" si="491"/>
        <v>7.025757576</v>
      </c>
      <c r="AV156" s="9">
        <f t="shared" si="491"/>
        <v>4.193939394</v>
      </c>
      <c r="AW156" s="9">
        <f t="shared" si="13"/>
        <v>11.21969697</v>
      </c>
      <c r="AX156" s="9">
        <f t="shared" ref="AX156:AY156" si="492">AM156/$AF156</f>
        <v>1</v>
      </c>
      <c r="AY156" s="9">
        <f t="shared" si="492"/>
        <v>0.7121212121</v>
      </c>
      <c r="AZ156" s="9">
        <f>VLOOKUP(A156,Jogos!A:BN,58,0)</f>
        <v>31.285</v>
      </c>
      <c r="BA156" s="9">
        <f>VLOOKUP(A156,Jogos!A:BN,59,0)</f>
        <v>21.16</v>
      </c>
      <c r="BB156" s="9">
        <f>VLOOKUP(A156,Jogos!A:BN,60,0)</f>
        <v>54.5</v>
      </c>
      <c r="BC156" s="9">
        <f>VLOOKUP(A156,Jogos!A:BN,61,0)</f>
        <v>32.535</v>
      </c>
      <c r="BD156" s="9">
        <f>VLOOKUP(A156,Jogos!A:BN,62,0)</f>
        <v>673.15</v>
      </c>
      <c r="BE156" s="9">
        <f>VLOOKUP(A156,Jogos!A:BN,63,0)</f>
        <v>1.915</v>
      </c>
      <c r="BF156" s="9">
        <f>VLOOKUP(A156,Jogos!A:BN,64,0)</f>
        <v>25.3</v>
      </c>
      <c r="BG156" s="9">
        <f>VLOOKUP(A156,Jogos!A:BN,65,0)</f>
        <v>45.645</v>
      </c>
      <c r="BH156" s="9">
        <f>VLOOKUP(A156,Jogos!A:BN,66,0)</f>
        <v>29.965</v>
      </c>
      <c r="BI156" s="9"/>
    </row>
    <row r="157" hidden="1">
      <c r="A157" s="2">
        <v>6.0</v>
      </c>
      <c r="B157" s="11" t="s">
        <v>375</v>
      </c>
      <c r="C157" s="2" t="s">
        <v>61</v>
      </c>
      <c r="D157" s="3">
        <v>45824.0</v>
      </c>
      <c r="E157" s="4">
        <v>0.625</v>
      </c>
      <c r="F157" s="5" t="str">
        <f>VLOOKUP(A157,Jogos!A:N,10,0)</f>
        <v>Afternoon</v>
      </c>
      <c r="G157" s="2" t="s">
        <v>376</v>
      </c>
      <c r="H157" s="6" t="str">
        <f>VLOOKUP(A157,Jogos!A:L,12,0)</f>
        <v>Closed</v>
      </c>
      <c r="I157" s="6" t="str">
        <f>VLOOKUP(G157,'Estádios e Cidades'!A:B,2,0)</f>
        <v>Atlanta</v>
      </c>
      <c r="J157" s="2" t="s">
        <v>377</v>
      </c>
      <c r="K157" s="2" t="str">
        <f>VLOOKUP(J157,Equipes!A:F,6,0)</f>
        <v>Temperate</v>
      </c>
      <c r="L157" s="2">
        <f>VLOOKUP(J157,Equipes!A:C,3,0)</f>
        <v>1</v>
      </c>
      <c r="M157" s="2" t="str">
        <f t="shared" si="4"/>
        <v>Final</v>
      </c>
      <c r="N157" s="2" t="s">
        <v>378</v>
      </c>
      <c r="O157" s="2">
        <f>VLOOKUP(N157,Equipes!A:C,3,0)</f>
        <v>26</v>
      </c>
      <c r="P157" s="2" t="str">
        <f t="shared" si="5"/>
        <v>Group</v>
      </c>
      <c r="Q157" s="2">
        <f t="shared" si="6"/>
        <v>-25</v>
      </c>
      <c r="R157" s="2" t="str">
        <f>VLOOKUP(J157,Equipes!A:B,2,0)</f>
        <v>Chelsea</v>
      </c>
      <c r="S157" s="6" t="s">
        <v>393</v>
      </c>
      <c r="T157" s="7">
        <v>24.0</v>
      </c>
      <c r="U157" s="7" t="s">
        <v>394</v>
      </c>
      <c r="V157" s="7" t="str">
        <f>VLOOKUP(U157,Jogadores!B:C,2,0)</f>
        <v>DF</v>
      </c>
      <c r="W157" s="8">
        <f>VLOOKUP(U157,Jogadores!B:D,3,0)</f>
        <v>25.65479452</v>
      </c>
      <c r="X157" s="7">
        <v>0.0</v>
      </c>
      <c r="Y157" s="7">
        <v>45.0</v>
      </c>
      <c r="Z157" s="7">
        <f>VLOOKUP(A157,Jogos!A:L,3,0)</f>
        <v>47</v>
      </c>
      <c r="AA157" s="7">
        <f t="shared" si="7"/>
        <v>47</v>
      </c>
      <c r="AB157" s="7">
        <f>VLOOKUP(A157,Jogos!A:L,4,0)</f>
        <v>48</v>
      </c>
      <c r="AC157" s="7">
        <f t="shared" si="8"/>
        <v>0</v>
      </c>
      <c r="AD157" s="7"/>
      <c r="AE157" s="7"/>
      <c r="AF157" s="7">
        <f t="shared" si="9"/>
        <v>47</v>
      </c>
      <c r="AG157" s="7">
        <v>4541.6</v>
      </c>
      <c r="AH157" s="7">
        <v>2200.3</v>
      </c>
      <c r="AI157" s="7">
        <v>1638.1</v>
      </c>
      <c r="AJ157" s="7">
        <v>362.8</v>
      </c>
      <c r="AK157" s="7">
        <v>242.4</v>
      </c>
      <c r="AL157" s="7">
        <v>98.1</v>
      </c>
      <c r="AM157" s="7">
        <v>35.0</v>
      </c>
      <c r="AN157" s="7">
        <v>21.0</v>
      </c>
      <c r="AO157" s="7">
        <v>34.8</v>
      </c>
      <c r="AP157" s="9">
        <f t="shared" ref="AP157:AR157" si="493">AG157/$AF157</f>
        <v>96.62978723</v>
      </c>
      <c r="AQ157" s="9">
        <f t="shared" si="493"/>
        <v>46.81489362</v>
      </c>
      <c r="AR157" s="9">
        <f t="shared" si="493"/>
        <v>34.85319149</v>
      </c>
      <c r="AS157" s="9">
        <f t="shared" si="11"/>
        <v>81.66808511</v>
      </c>
      <c r="AT157" s="9">
        <f t="shared" ref="AT157:AV157" si="494">AJ157/$AF157</f>
        <v>7.719148936</v>
      </c>
      <c r="AU157" s="9">
        <f t="shared" si="494"/>
        <v>5.157446809</v>
      </c>
      <c r="AV157" s="9">
        <f t="shared" si="494"/>
        <v>2.087234043</v>
      </c>
      <c r="AW157" s="9">
        <f t="shared" si="13"/>
        <v>7.244680851</v>
      </c>
      <c r="AX157" s="9">
        <f t="shared" ref="AX157:AY157" si="495">AM157/$AF157</f>
        <v>0.7446808511</v>
      </c>
      <c r="AY157" s="9">
        <f t="shared" si="495"/>
        <v>0.4468085106</v>
      </c>
      <c r="AZ157" s="9">
        <f>VLOOKUP(A157,Jogos!A:BN,58,0)</f>
        <v>31.285</v>
      </c>
      <c r="BA157" s="9">
        <f>VLOOKUP(A157,Jogos!A:BN,59,0)</f>
        <v>21.16</v>
      </c>
      <c r="BB157" s="9">
        <f>VLOOKUP(A157,Jogos!A:BN,60,0)</f>
        <v>54.5</v>
      </c>
      <c r="BC157" s="9">
        <f>VLOOKUP(A157,Jogos!A:BN,61,0)</f>
        <v>32.535</v>
      </c>
      <c r="BD157" s="9">
        <f>VLOOKUP(A157,Jogos!A:BN,62,0)</f>
        <v>673.15</v>
      </c>
      <c r="BE157" s="9">
        <f>VLOOKUP(A157,Jogos!A:BN,63,0)</f>
        <v>1.915</v>
      </c>
      <c r="BF157" s="9">
        <f>VLOOKUP(A157,Jogos!A:BN,64,0)</f>
        <v>25.3</v>
      </c>
      <c r="BG157" s="9">
        <f>VLOOKUP(A157,Jogos!A:BN,65,0)</f>
        <v>45.645</v>
      </c>
      <c r="BH157" s="9">
        <f>VLOOKUP(A157,Jogos!A:BN,66,0)</f>
        <v>29.965</v>
      </c>
      <c r="BI157" s="9"/>
    </row>
    <row r="158" hidden="1">
      <c r="A158" s="2">
        <v>6.0</v>
      </c>
      <c r="B158" s="11" t="s">
        <v>375</v>
      </c>
      <c r="C158" s="2" t="s">
        <v>61</v>
      </c>
      <c r="D158" s="3">
        <v>45824.0</v>
      </c>
      <c r="E158" s="4">
        <v>0.625</v>
      </c>
      <c r="F158" s="5" t="str">
        <f>VLOOKUP(A158,Jogos!A:N,10,0)</f>
        <v>Afternoon</v>
      </c>
      <c r="G158" s="2" t="s">
        <v>376</v>
      </c>
      <c r="H158" s="6" t="str">
        <f>VLOOKUP(A158,Jogos!A:L,12,0)</f>
        <v>Closed</v>
      </c>
      <c r="I158" s="6" t="str">
        <f>VLOOKUP(G158,'Estádios e Cidades'!A:B,2,0)</f>
        <v>Atlanta</v>
      </c>
      <c r="J158" s="2" t="s">
        <v>377</v>
      </c>
      <c r="K158" s="2" t="str">
        <f>VLOOKUP(J158,Equipes!A:F,6,0)</f>
        <v>Temperate</v>
      </c>
      <c r="L158" s="2">
        <f>VLOOKUP(J158,Equipes!A:C,3,0)</f>
        <v>1</v>
      </c>
      <c r="M158" s="2" t="str">
        <f t="shared" si="4"/>
        <v>Final</v>
      </c>
      <c r="N158" s="2" t="s">
        <v>378</v>
      </c>
      <c r="O158" s="2">
        <f>VLOOKUP(N158,Equipes!A:C,3,0)</f>
        <v>26</v>
      </c>
      <c r="P158" s="2" t="str">
        <f t="shared" si="5"/>
        <v>Group</v>
      </c>
      <c r="Q158" s="2">
        <f t="shared" si="6"/>
        <v>-25</v>
      </c>
      <c r="R158" s="2" t="str">
        <f>VLOOKUP(J158,Equipes!A:B,2,0)</f>
        <v>Chelsea</v>
      </c>
      <c r="S158" s="6" t="s">
        <v>395</v>
      </c>
      <c r="T158" s="7">
        <v>25.0</v>
      </c>
      <c r="U158" s="7" t="s">
        <v>396</v>
      </c>
      <c r="V158" s="7" t="str">
        <f>VLOOKUP(U158,Jogadores!B:C,2,0)</f>
        <v>MF</v>
      </c>
      <c r="W158" s="8">
        <f>VLOOKUP(U158,Jogadores!B:D,3,0)</f>
        <v>23.75068493</v>
      </c>
      <c r="X158" s="7">
        <v>0.0</v>
      </c>
      <c r="Y158" s="7">
        <v>84.0</v>
      </c>
      <c r="Z158" s="7">
        <f>VLOOKUP(A158,Jogos!A:L,3,0)</f>
        <v>47</v>
      </c>
      <c r="AA158" s="7">
        <f t="shared" si="7"/>
        <v>47</v>
      </c>
      <c r="AB158" s="7">
        <f>VLOOKUP(A158,Jogos!A:L,4,0)</f>
        <v>48</v>
      </c>
      <c r="AC158" s="7">
        <f t="shared" si="8"/>
        <v>39</v>
      </c>
      <c r="AD158" s="7"/>
      <c r="AE158" s="7"/>
      <c r="AF158" s="7">
        <f t="shared" si="9"/>
        <v>86</v>
      </c>
      <c r="AG158" s="7">
        <v>9121.0</v>
      </c>
      <c r="AH158" s="7">
        <v>3333.8</v>
      </c>
      <c r="AI158" s="7">
        <v>3915.0</v>
      </c>
      <c r="AJ158" s="7">
        <v>1308.7</v>
      </c>
      <c r="AK158" s="7">
        <v>428.8</v>
      </c>
      <c r="AL158" s="7">
        <v>134.7</v>
      </c>
      <c r="AM158" s="7">
        <v>110.0</v>
      </c>
      <c r="AN158" s="7">
        <v>33.0</v>
      </c>
      <c r="AO158" s="7">
        <v>30.8</v>
      </c>
      <c r="AP158" s="9">
        <f t="shared" ref="AP158:AR158" si="496">AG158/$AF158</f>
        <v>106.0581395</v>
      </c>
      <c r="AQ158" s="9">
        <f t="shared" si="496"/>
        <v>38.76511628</v>
      </c>
      <c r="AR158" s="9">
        <f t="shared" si="496"/>
        <v>45.52325581</v>
      </c>
      <c r="AS158" s="9">
        <f t="shared" si="11"/>
        <v>84.28837209</v>
      </c>
      <c r="AT158" s="9">
        <f t="shared" ref="AT158:AV158" si="497">AJ158/$AF158</f>
        <v>15.21744186</v>
      </c>
      <c r="AU158" s="9">
        <f t="shared" si="497"/>
        <v>4.986046512</v>
      </c>
      <c r="AV158" s="9">
        <f t="shared" si="497"/>
        <v>1.56627907</v>
      </c>
      <c r="AW158" s="9">
        <f t="shared" si="13"/>
        <v>6.552325581</v>
      </c>
      <c r="AX158" s="9">
        <f t="shared" ref="AX158:AY158" si="498">AM158/$AF158</f>
        <v>1.279069767</v>
      </c>
      <c r="AY158" s="9">
        <f t="shared" si="498"/>
        <v>0.3837209302</v>
      </c>
      <c r="AZ158" s="9">
        <f>VLOOKUP(A158,Jogos!A:BN,58,0)</f>
        <v>31.285</v>
      </c>
      <c r="BA158" s="9">
        <f>VLOOKUP(A158,Jogos!A:BN,59,0)</f>
        <v>21.16</v>
      </c>
      <c r="BB158" s="9">
        <f>VLOOKUP(A158,Jogos!A:BN,60,0)</f>
        <v>54.5</v>
      </c>
      <c r="BC158" s="9">
        <f>VLOOKUP(A158,Jogos!A:BN,61,0)</f>
        <v>32.535</v>
      </c>
      <c r="BD158" s="9">
        <f>VLOOKUP(A158,Jogos!A:BN,62,0)</f>
        <v>673.15</v>
      </c>
      <c r="BE158" s="9">
        <f>VLOOKUP(A158,Jogos!A:BN,63,0)</f>
        <v>1.915</v>
      </c>
      <c r="BF158" s="9">
        <f>VLOOKUP(A158,Jogos!A:BN,64,0)</f>
        <v>25.3</v>
      </c>
      <c r="BG158" s="9">
        <f>VLOOKUP(A158,Jogos!A:BN,65,0)</f>
        <v>45.645</v>
      </c>
      <c r="BH158" s="9">
        <f>VLOOKUP(A158,Jogos!A:BN,66,0)</f>
        <v>29.965</v>
      </c>
      <c r="BI158" s="9"/>
    </row>
    <row r="159" hidden="1">
      <c r="A159" s="2">
        <v>6.0</v>
      </c>
      <c r="B159" s="11" t="s">
        <v>375</v>
      </c>
      <c r="C159" s="2" t="s">
        <v>61</v>
      </c>
      <c r="D159" s="3">
        <v>45824.0</v>
      </c>
      <c r="E159" s="4">
        <v>0.625</v>
      </c>
      <c r="F159" s="5" t="str">
        <f>VLOOKUP(A159,Jogos!A:N,10,0)</f>
        <v>Afternoon</v>
      </c>
      <c r="G159" s="2" t="s">
        <v>376</v>
      </c>
      <c r="H159" s="6" t="str">
        <f>VLOOKUP(A159,Jogos!A:L,12,0)</f>
        <v>Closed</v>
      </c>
      <c r="I159" s="6" t="str">
        <f>VLOOKUP(G159,'Estádios e Cidades'!A:B,2,0)</f>
        <v>Atlanta</v>
      </c>
      <c r="J159" s="2" t="s">
        <v>377</v>
      </c>
      <c r="K159" s="2" t="str">
        <f>VLOOKUP(J159,Equipes!A:F,6,0)</f>
        <v>Temperate</v>
      </c>
      <c r="L159" s="2">
        <f>VLOOKUP(J159,Equipes!A:C,3,0)</f>
        <v>1</v>
      </c>
      <c r="M159" s="2" t="str">
        <f t="shared" si="4"/>
        <v>Final</v>
      </c>
      <c r="N159" s="2" t="s">
        <v>378</v>
      </c>
      <c r="O159" s="2">
        <f>VLOOKUP(N159,Equipes!A:C,3,0)</f>
        <v>26</v>
      </c>
      <c r="P159" s="2" t="str">
        <f t="shared" si="5"/>
        <v>Group</v>
      </c>
      <c r="Q159" s="2">
        <f t="shared" si="6"/>
        <v>-25</v>
      </c>
      <c r="R159" s="2" t="str">
        <f>VLOOKUP(J159,Equipes!A:B,2,0)</f>
        <v>Chelsea</v>
      </c>
      <c r="S159" s="6" t="s">
        <v>397</v>
      </c>
      <c r="T159" s="7">
        <v>45.0</v>
      </c>
      <c r="U159" s="7" t="s">
        <v>398</v>
      </c>
      <c r="V159" s="7" t="str">
        <f>VLOOKUP(U159,Jogadores!B:C,2,0)</f>
        <v>MF</v>
      </c>
      <c r="W159" s="8">
        <f>VLOOKUP(U159,Jogadores!B:D,3,0)</f>
        <v>21.57260274</v>
      </c>
      <c r="X159" s="7">
        <v>0.0</v>
      </c>
      <c r="Y159" s="7">
        <v>45.0</v>
      </c>
      <c r="Z159" s="7">
        <f>VLOOKUP(A159,Jogos!A:L,3,0)</f>
        <v>47</v>
      </c>
      <c r="AA159" s="7">
        <f t="shared" si="7"/>
        <v>47</v>
      </c>
      <c r="AB159" s="7">
        <f>VLOOKUP(A159,Jogos!A:L,4,0)</f>
        <v>48</v>
      </c>
      <c r="AC159" s="7">
        <f t="shared" si="8"/>
        <v>0</v>
      </c>
      <c r="AD159" s="7"/>
      <c r="AE159" s="7"/>
      <c r="AF159" s="7">
        <f t="shared" si="9"/>
        <v>47</v>
      </c>
      <c r="AG159" s="7">
        <v>5093.7</v>
      </c>
      <c r="AH159" s="7">
        <v>1745.1</v>
      </c>
      <c r="AI159" s="7">
        <v>2365.7</v>
      </c>
      <c r="AJ159" s="7">
        <v>614.8</v>
      </c>
      <c r="AK159" s="7">
        <v>294.5</v>
      </c>
      <c r="AL159" s="7">
        <v>73.6</v>
      </c>
      <c r="AM159" s="7">
        <v>62.0</v>
      </c>
      <c r="AN159" s="7">
        <v>21.0</v>
      </c>
      <c r="AO159" s="7">
        <v>30.3</v>
      </c>
      <c r="AP159" s="9">
        <f t="shared" ref="AP159:AR159" si="499">AG159/$AF159</f>
        <v>108.3765957</v>
      </c>
      <c r="AQ159" s="9">
        <f t="shared" si="499"/>
        <v>37.12978723</v>
      </c>
      <c r="AR159" s="9">
        <f t="shared" si="499"/>
        <v>50.33404255</v>
      </c>
      <c r="AS159" s="9">
        <f t="shared" si="11"/>
        <v>87.46382979</v>
      </c>
      <c r="AT159" s="9">
        <f t="shared" ref="AT159:AV159" si="500">AJ159/$AF159</f>
        <v>13.08085106</v>
      </c>
      <c r="AU159" s="9">
        <f t="shared" si="500"/>
        <v>6.265957447</v>
      </c>
      <c r="AV159" s="9">
        <f t="shared" si="500"/>
        <v>1.565957447</v>
      </c>
      <c r="AW159" s="9">
        <f t="shared" si="13"/>
        <v>7.831914894</v>
      </c>
      <c r="AX159" s="9">
        <f t="shared" ref="AX159:AY159" si="501">AM159/$AF159</f>
        <v>1.319148936</v>
      </c>
      <c r="AY159" s="9">
        <f t="shared" si="501"/>
        <v>0.4468085106</v>
      </c>
      <c r="AZ159" s="9">
        <f>VLOOKUP(A159,Jogos!A:BN,58,0)</f>
        <v>31.285</v>
      </c>
      <c r="BA159" s="9">
        <f>VLOOKUP(A159,Jogos!A:BN,59,0)</f>
        <v>21.16</v>
      </c>
      <c r="BB159" s="9">
        <f>VLOOKUP(A159,Jogos!A:BN,60,0)</f>
        <v>54.5</v>
      </c>
      <c r="BC159" s="9">
        <f>VLOOKUP(A159,Jogos!A:BN,61,0)</f>
        <v>32.535</v>
      </c>
      <c r="BD159" s="9">
        <f>VLOOKUP(A159,Jogos!A:BN,62,0)</f>
        <v>673.15</v>
      </c>
      <c r="BE159" s="9">
        <f>VLOOKUP(A159,Jogos!A:BN,63,0)</f>
        <v>1.915</v>
      </c>
      <c r="BF159" s="9">
        <f>VLOOKUP(A159,Jogos!A:BN,64,0)</f>
        <v>25.3</v>
      </c>
      <c r="BG159" s="9">
        <f>VLOOKUP(A159,Jogos!A:BN,65,0)</f>
        <v>45.645</v>
      </c>
      <c r="BH159" s="9">
        <f>VLOOKUP(A159,Jogos!A:BN,66,0)</f>
        <v>29.965</v>
      </c>
      <c r="BI159" s="9"/>
    </row>
    <row r="160" hidden="1">
      <c r="A160" s="2">
        <v>6.0</v>
      </c>
      <c r="B160" s="11" t="s">
        <v>375</v>
      </c>
      <c r="C160" s="2" t="s">
        <v>61</v>
      </c>
      <c r="D160" s="3">
        <v>45824.0</v>
      </c>
      <c r="E160" s="4">
        <v>0.625</v>
      </c>
      <c r="F160" s="5" t="str">
        <f>VLOOKUP(A160,Jogos!A:N,10,0)</f>
        <v>Afternoon</v>
      </c>
      <c r="G160" s="2" t="s">
        <v>376</v>
      </c>
      <c r="H160" s="6" t="str">
        <f>VLOOKUP(A160,Jogos!A:L,12,0)</f>
        <v>Closed</v>
      </c>
      <c r="I160" s="6" t="str">
        <f>VLOOKUP(G160,'Estádios e Cidades'!A:B,2,0)</f>
        <v>Atlanta</v>
      </c>
      <c r="J160" s="2" t="s">
        <v>377</v>
      </c>
      <c r="K160" s="2" t="str">
        <f>VLOOKUP(J160,Equipes!A:F,6,0)</f>
        <v>Temperate</v>
      </c>
      <c r="L160" s="2">
        <f>VLOOKUP(J160,Equipes!A:C,3,0)</f>
        <v>1</v>
      </c>
      <c r="M160" s="2" t="str">
        <f t="shared" si="4"/>
        <v>Final</v>
      </c>
      <c r="N160" s="2" t="s">
        <v>378</v>
      </c>
      <c r="O160" s="2">
        <f>VLOOKUP(N160,Equipes!A:C,3,0)</f>
        <v>26</v>
      </c>
      <c r="P160" s="2" t="str">
        <f t="shared" si="5"/>
        <v>Group</v>
      </c>
      <c r="Q160" s="2">
        <f t="shared" si="6"/>
        <v>-25</v>
      </c>
      <c r="R160" s="2" t="str">
        <f>VLOOKUP(J160,Equipes!A:B,2,0)</f>
        <v>Chelsea</v>
      </c>
      <c r="S160" s="6" t="s">
        <v>399</v>
      </c>
      <c r="T160" s="7">
        <v>8.0</v>
      </c>
      <c r="U160" s="7" t="s">
        <v>400</v>
      </c>
      <c r="V160" s="7" t="str">
        <f>VLOOKUP(U160,Jogadores!B:C,2,0)</f>
        <v>MF</v>
      </c>
      <c r="W160" s="8">
        <f>VLOOKUP(U160,Jogadores!B:D,3,0)</f>
        <v>24.54246575</v>
      </c>
      <c r="X160" s="7">
        <v>45.0</v>
      </c>
      <c r="Y160" s="7">
        <f t="shared" ref="Y160:Y166" si="505">45+AB160</f>
        <v>93</v>
      </c>
      <c r="Z160" s="7">
        <f>VLOOKUP(A160,Jogos!A:L,3,0)</f>
        <v>47</v>
      </c>
      <c r="AA160" s="7">
        <f t="shared" si="7"/>
        <v>0</v>
      </c>
      <c r="AB160" s="7">
        <f>VLOOKUP(A160,Jogos!A:L,4,0)</f>
        <v>48</v>
      </c>
      <c r="AC160" s="7">
        <f t="shared" si="8"/>
        <v>48</v>
      </c>
      <c r="AD160" s="7"/>
      <c r="AE160" s="7"/>
      <c r="AF160" s="7">
        <f t="shared" si="9"/>
        <v>48</v>
      </c>
      <c r="AG160" s="7">
        <v>5832.9</v>
      </c>
      <c r="AH160" s="7">
        <v>1797.8</v>
      </c>
      <c r="AI160" s="7">
        <v>2389.9</v>
      </c>
      <c r="AJ160" s="7">
        <v>1019.5</v>
      </c>
      <c r="AK160" s="7">
        <v>461.8</v>
      </c>
      <c r="AL160" s="7">
        <v>164.0</v>
      </c>
      <c r="AM160" s="7">
        <v>89.0</v>
      </c>
      <c r="AN160" s="7">
        <v>38.0</v>
      </c>
      <c r="AO160" s="7">
        <v>30.0</v>
      </c>
      <c r="AP160" s="9">
        <f t="shared" ref="AP160:AR160" si="502">AG160/$AF160</f>
        <v>121.51875</v>
      </c>
      <c r="AQ160" s="9">
        <f t="shared" si="502"/>
        <v>37.45416667</v>
      </c>
      <c r="AR160" s="9">
        <f t="shared" si="502"/>
        <v>49.78958333</v>
      </c>
      <c r="AS160" s="9">
        <f t="shared" si="11"/>
        <v>87.24375</v>
      </c>
      <c r="AT160" s="9">
        <f t="shared" ref="AT160:AV160" si="503">AJ160/$AF160</f>
        <v>21.23958333</v>
      </c>
      <c r="AU160" s="9">
        <f t="shared" si="503"/>
        <v>9.620833333</v>
      </c>
      <c r="AV160" s="9">
        <f t="shared" si="503"/>
        <v>3.416666667</v>
      </c>
      <c r="AW160" s="9">
        <f t="shared" si="13"/>
        <v>13.0375</v>
      </c>
      <c r="AX160" s="9">
        <f t="shared" ref="AX160:AY160" si="504">AM160/$AF160</f>
        <v>1.854166667</v>
      </c>
      <c r="AY160" s="9">
        <f t="shared" si="504"/>
        <v>0.7916666667</v>
      </c>
      <c r="AZ160" s="9">
        <f>VLOOKUP(A160,Jogos!A:BN,58,0)</f>
        <v>31.285</v>
      </c>
      <c r="BA160" s="9">
        <f>VLOOKUP(A160,Jogos!A:BN,59,0)</f>
        <v>21.16</v>
      </c>
      <c r="BB160" s="9">
        <f>VLOOKUP(A160,Jogos!A:BN,60,0)</f>
        <v>54.5</v>
      </c>
      <c r="BC160" s="9">
        <f>VLOOKUP(A160,Jogos!A:BN,61,0)</f>
        <v>32.535</v>
      </c>
      <c r="BD160" s="9">
        <f>VLOOKUP(A160,Jogos!A:BN,62,0)</f>
        <v>673.15</v>
      </c>
      <c r="BE160" s="9">
        <f>VLOOKUP(A160,Jogos!A:BN,63,0)</f>
        <v>1.915</v>
      </c>
      <c r="BF160" s="9">
        <f>VLOOKUP(A160,Jogos!A:BN,64,0)</f>
        <v>25.3</v>
      </c>
      <c r="BG160" s="9">
        <f>VLOOKUP(A160,Jogos!A:BN,65,0)</f>
        <v>45.645</v>
      </c>
      <c r="BH160" s="9">
        <f>VLOOKUP(A160,Jogos!A:BN,66,0)</f>
        <v>29.965</v>
      </c>
      <c r="BI160" s="9"/>
    </row>
    <row r="161" hidden="1">
      <c r="A161" s="2">
        <v>6.0</v>
      </c>
      <c r="B161" s="11" t="s">
        <v>375</v>
      </c>
      <c r="C161" s="2" t="s">
        <v>61</v>
      </c>
      <c r="D161" s="3">
        <v>45824.0</v>
      </c>
      <c r="E161" s="4">
        <v>0.625</v>
      </c>
      <c r="F161" s="5" t="str">
        <f>VLOOKUP(A161,Jogos!A:N,10,0)</f>
        <v>Afternoon</v>
      </c>
      <c r="G161" s="2" t="s">
        <v>376</v>
      </c>
      <c r="H161" s="6" t="str">
        <f>VLOOKUP(A161,Jogos!A:L,12,0)</f>
        <v>Closed</v>
      </c>
      <c r="I161" s="6" t="str">
        <f>VLOOKUP(G161,'Estádios e Cidades'!A:B,2,0)</f>
        <v>Atlanta</v>
      </c>
      <c r="J161" s="2" t="s">
        <v>377</v>
      </c>
      <c r="K161" s="2" t="str">
        <f>VLOOKUP(J161,Equipes!A:F,6,0)</f>
        <v>Temperate</v>
      </c>
      <c r="L161" s="2">
        <f>VLOOKUP(J161,Equipes!A:C,3,0)</f>
        <v>1</v>
      </c>
      <c r="M161" s="2" t="str">
        <f t="shared" si="4"/>
        <v>Final</v>
      </c>
      <c r="N161" s="2" t="s">
        <v>378</v>
      </c>
      <c r="O161" s="2">
        <f>VLOOKUP(N161,Equipes!A:C,3,0)</f>
        <v>26</v>
      </c>
      <c r="P161" s="2" t="str">
        <f t="shared" si="5"/>
        <v>Group</v>
      </c>
      <c r="Q161" s="2">
        <f t="shared" si="6"/>
        <v>-25</v>
      </c>
      <c r="R161" s="2" t="str">
        <f>VLOOKUP(J161,Equipes!A:B,2,0)</f>
        <v>Chelsea</v>
      </c>
      <c r="S161" s="6" t="s">
        <v>401</v>
      </c>
      <c r="T161" s="7">
        <v>9.0</v>
      </c>
      <c r="U161" s="7" t="s">
        <v>402</v>
      </c>
      <c r="V161" s="7" t="str">
        <f>VLOOKUP(U161,Jogadores!B:C,2,0)</f>
        <v>FW</v>
      </c>
      <c r="W161" s="8">
        <f>VLOOKUP(U161,Jogadores!B:D,3,0)</f>
        <v>22.48219178</v>
      </c>
      <c r="X161" s="7">
        <v>64.0</v>
      </c>
      <c r="Y161" s="7">
        <f t="shared" si="505"/>
        <v>93</v>
      </c>
      <c r="Z161" s="7">
        <f>VLOOKUP(A161,Jogos!A:L,3,0)</f>
        <v>47</v>
      </c>
      <c r="AA161" s="7">
        <f t="shared" si="7"/>
        <v>0</v>
      </c>
      <c r="AB161" s="7">
        <f>VLOOKUP(A161,Jogos!A:L,4,0)</f>
        <v>48</v>
      </c>
      <c r="AC161" s="7">
        <f t="shared" si="8"/>
        <v>29</v>
      </c>
      <c r="AD161" s="7"/>
      <c r="AE161" s="7"/>
      <c r="AF161" s="7">
        <f t="shared" si="9"/>
        <v>29</v>
      </c>
      <c r="AG161" s="7">
        <v>3655.8</v>
      </c>
      <c r="AH161" s="7">
        <v>1128.9</v>
      </c>
      <c r="AI161" s="7">
        <v>1446.3</v>
      </c>
      <c r="AJ161" s="7">
        <v>714.5</v>
      </c>
      <c r="AK161" s="7">
        <v>317.2</v>
      </c>
      <c r="AL161" s="7">
        <v>49.0</v>
      </c>
      <c r="AM161" s="7">
        <v>58.0</v>
      </c>
      <c r="AN161" s="7">
        <v>24.0</v>
      </c>
      <c r="AO161" s="7">
        <v>28.6</v>
      </c>
      <c r="AP161" s="9">
        <f t="shared" ref="AP161:AR161" si="506">AG161/$AF161</f>
        <v>126.062069</v>
      </c>
      <c r="AQ161" s="9">
        <f t="shared" si="506"/>
        <v>38.92758621</v>
      </c>
      <c r="AR161" s="9">
        <f t="shared" si="506"/>
        <v>49.87241379</v>
      </c>
      <c r="AS161" s="9">
        <f t="shared" si="11"/>
        <v>88.8</v>
      </c>
      <c r="AT161" s="9">
        <f t="shared" ref="AT161:AV161" si="507">AJ161/$AF161</f>
        <v>24.63793103</v>
      </c>
      <c r="AU161" s="9">
        <f t="shared" si="507"/>
        <v>10.93793103</v>
      </c>
      <c r="AV161" s="9">
        <f t="shared" si="507"/>
        <v>1.689655172</v>
      </c>
      <c r="AW161" s="9">
        <f t="shared" si="13"/>
        <v>12.62758621</v>
      </c>
      <c r="AX161" s="9">
        <f t="shared" ref="AX161:AY161" si="508">AM161/$AF161</f>
        <v>2</v>
      </c>
      <c r="AY161" s="9">
        <f t="shared" si="508"/>
        <v>0.8275862069</v>
      </c>
      <c r="AZ161" s="9">
        <f>VLOOKUP(A161,Jogos!A:BN,58,0)</f>
        <v>31.285</v>
      </c>
      <c r="BA161" s="9">
        <f>VLOOKUP(A161,Jogos!A:BN,59,0)</f>
        <v>21.16</v>
      </c>
      <c r="BB161" s="9">
        <f>VLOOKUP(A161,Jogos!A:BN,60,0)</f>
        <v>54.5</v>
      </c>
      <c r="BC161" s="9">
        <f>VLOOKUP(A161,Jogos!A:BN,61,0)</f>
        <v>32.535</v>
      </c>
      <c r="BD161" s="9">
        <f>VLOOKUP(A161,Jogos!A:BN,62,0)</f>
        <v>673.15</v>
      </c>
      <c r="BE161" s="9">
        <f>VLOOKUP(A161,Jogos!A:BN,63,0)</f>
        <v>1.915</v>
      </c>
      <c r="BF161" s="9">
        <f>VLOOKUP(A161,Jogos!A:BN,64,0)</f>
        <v>25.3</v>
      </c>
      <c r="BG161" s="9">
        <f>VLOOKUP(A161,Jogos!A:BN,65,0)</f>
        <v>45.645</v>
      </c>
      <c r="BH161" s="9">
        <f>VLOOKUP(A161,Jogos!A:BN,66,0)</f>
        <v>29.965</v>
      </c>
      <c r="BI161" s="9"/>
    </row>
    <row r="162" hidden="1">
      <c r="A162" s="2">
        <v>6.0</v>
      </c>
      <c r="B162" s="11" t="s">
        <v>375</v>
      </c>
      <c r="C162" s="2" t="s">
        <v>61</v>
      </c>
      <c r="D162" s="3">
        <v>45824.0</v>
      </c>
      <c r="E162" s="4">
        <v>0.625</v>
      </c>
      <c r="F162" s="5" t="str">
        <f>VLOOKUP(A162,Jogos!A:N,10,0)</f>
        <v>Afternoon</v>
      </c>
      <c r="G162" s="2" t="s">
        <v>376</v>
      </c>
      <c r="H162" s="6" t="str">
        <f>VLOOKUP(A162,Jogos!A:L,12,0)</f>
        <v>Closed</v>
      </c>
      <c r="I162" s="6" t="str">
        <f>VLOOKUP(G162,'Estádios e Cidades'!A:B,2,0)</f>
        <v>Atlanta</v>
      </c>
      <c r="J162" s="2" t="s">
        <v>377</v>
      </c>
      <c r="K162" s="2" t="str">
        <f>VLOOKUP(J162,Equipes!A:F,6,0)</f>
        <v>Temperate</v>
      </c>
      <c r="L162" s="2">
        <f>VLOOKUP(J162,Equipes!A:C,3,0)</f>
        <v>1</v>
      </c>
      <c r="M162" s="2" t="str">
        <f t="shared" si="4"/>
        <v>Final</v>
      </c>
      <c r="N162" s="2" t="s">
        <v>378</v>
      </c>
      <c r="O162" s="2">
        <f>VLOOKUP(N162,Equipes!A:C,3,0)</f>
        <v>26</v>
      </c>
      <c r="P162" s="2" t="str">
        <f t="shared" si="5"/>
        <v>Group</v>
      </c>
      <c r="Q162" s="2">
        <f t="shared" si="6"/>
        <v>-25</v>
      </c>
      <c r="R162" s="2" t="str">
        <f>VLOOKUP(J162,Equipes!A:B,2,0)</f>
        <v>Chelsea</v>
      </c>
      <c r="S162" s="6" t="s">
        <v>403</v>
      </c>
      <c r="T162" s="7">
        <v>14.0</v>
      </c>
      <c r="U162" s="7" t="s">
        <v>404</v>
      </c>
      <c r="V162" s="7" t="str">
        <f>VLOOKUP(U162,Jogadores!B:C,2,0)</f>
        <v>MF</v>
      </c>
      <c r="W162" s="8">
        <f>VLOOKUP(U162,Jogadores!B:D,3,0)</f>
        <v>20.38630137</v>
      </c>
      <c r="X162" s="7">
        <v>84.0</v>
      </c>
      <c r="Y162" s="7">
        <f t="shared" si="505"/>
        <v>93</v>
      </c>
      <c r="Z162" s="7">
        <f>VLOOKUP(A162,Jogos!A:L,3,0)</f>
        <v>47</v>
      </c>
      <c r="AA162" s="7">
        <f t="shared" si="7"/>
        <v>0</v>
      </c>
      <c r="AB162" s="7">
        <f>VLOOKUP(A162,Jogos!A:L,4,0)</f>
        <v>48</v>
      </c>
      <c r="AC162" s="7">
        <f t="shared" si="8"/>
        <v>9</v>
      </c>
      <c r="AD162" s="7"/>
      <c r="AE162" s="7"/>
      <c r="AF162" s="7">
        <f t="shared" si="9"/>
        <v>9</v>
      </c>
      <c r="AG162" s="7">
        <v>1372.1</v>
      </c>
      <c r="AH162" s="7">
        <v>300.1</v>
      </c>
      <c r="AI162" s="7">
        <v>556.2</v>
      </c>
      <c r="AJ162" s="7">
        <v>274.6</v>
      </c>
      <c r="AK162" s="7">
        <v>133.5</v>
      </c>
      <c r="AL162" s="7">
        <v>107.7</v>
      </c>
      <c r="AM162" s="7">
        <v>18.0</v>
      </c>
      <c r="AN162" s="7">
        <v>10.0</v>
      </c>
      <c r="AO162" s="7">
        <v>32.3</v>
      </c>
      <c r="AP162" s="9">
        <f t="shared" ref="AP162:AR162" si="509">AG162/$AF162</f>
        <v>152.4555556</v>
      </c>
      <c r="AQ162" s="9">
        <f t="shared" si="509"/>
        <v>33.34444444</v>
      </c>
      <c r="AR162" s="9">
        <f t="shared" si="509"/>
        <v>61.8</v>
      </c>
      <c r="AS162" s="9">
        <f t="shared" si="11"/>
        <v>95.14444444</v>
      </c>
      <c r="AT162" s="9">
        <f t="shared" ref="AT162:AV162" si="510">AJ162/$AF162</f>
        <v>30.51111111</v>
      </c>
      <c r="AU162" s="9">
        <f t="shared" si="510"/>
        <v>14.83333333</v>
      </c>
      <c r="AV162" s="9">
        <f t="shared" si="510"/>
        <v>11.96666667</v>
      </c>
      <c r="AW162" s="9">
        <f t="shared" si="13"/>
        <v>26.8</v>
      </c>
      <c r="AX162" s="9">
        <f t="shared" ref="AX162:AY162" si="511">AM162/$AF162</f>
        <v>2</v>
      </c>
      <c r="AY162" s="9">
        <f t="shared" si="511"/>
        <v>1.111111111</v>
      </c>
      <c r="AZ162" s="9">
        <f>VLOOKUP(A162,Jogos!A:BN,58,0)</f>
        <v>31.285</v>
      </c>
      <c r="BA162" s="9">
        <f>VLOOKUP(A162,Jogos!A:BN,59,0)</f>
        <v>21.16</v>
      </c>
      <c r="BB162" s="9">
        <f>VLOOKUP(A162,Jogos!A:BN,60,0)</f>
        <v>54.5</v>
      </c>
      <c r="BC162" s="9">
        <f>VLOOKUP(A162,Jogos!A:BN,61,0)</f>
        <v>32.535</v>
      </c>
      <c r="BD162" s="9">
        <f>VLOOKUP(A162,Jogos!A:BN,62,0)</f>
        <v>673.15</v>
      </c>
      <c r="BE162" s="9">
        <f>VLOOKUP(A162,Jogos!A:BN,63,0)</f>
        <v>1.915</v>
      </c>
      <c r="BF162" s="9">
        <f>VLOOKUP(A162,Jogos!A:BN,64,0)</f>
        <v>25.3</v>
      </c>
      <c r="BG162" s="9">
        <f>VLOOKUP(A162,Jogos!A:BN,65,0)</f>
        <v>45.645</v>
      </c>
      <c r="BH162" s="9">
        <f>VLOOKUP(A162,Jogos!A:BN,66,0)</f>
        <v>29.965</v>
      </c>
      <c r="BI162" s="9"/>
    </row>
    <row r="163" hidden="1">
      <c r="A163" s="2">
        <v>6.0</v>
      </c>
      <c r="B163" s="11" t="s">
        <v>375</v>
      </c>
      <c r="C163" s="2" t="s">
        <v>61</v>
      </c>
      <c r="D163" s="3">
        <v>45824.0</v>
      </c>
      <c r="E163" s="4">
        <v>0.625</v>
      </c>
      <c r="F163" s="5" t="str">
        <f>VLOOKUP(A163,Jogos!A:N,10,0)</f>
        <v>Afternoon</v>
      </c>
      <c r="G163" s="2" t="s">
        <v>376</v>
      </c>
      <c r="H163" s="6" t="str">
        <f>VLOOKUP(A163,Jogos!A:L,12,0)</f>
        <v>Closed</v>
      </c>
      <c r="I163" s="6" t="str">
        <f>VLOOKUP(G163,'Estádios e Cidades'!A:B,2,0)</f>
        <v>Atlanta</v>
      </c>
      <c r="J163" s="2" t="s">
        <v>377</v>
      </c>
      <c r="K163" s="2" t="str">
        <f>VLOOKUP(J163,Equipes!A:F,6,0)</f>
        <v>Temperate</v>
      </c>
      <c r="L163" s="2">
        <f>VLOOKUP(J163,Equipes!A:C,3,0)</f>
        <v>1</v>
      </c>
      <c r="M163" s="2" t="str">
        <f t="shared" si="4"/>
        <v>Final</v>
      </c>
      <c r="N163" s="2" t="s">
        <v>378</v>
      </c>
      <c r="O163" s="2">
        <f>VLOOKUP(N163,Equipes!A:C,3,0)</f>
        <v>26</v>
      </c>
      <c r="P163" s="2" t="str">
        <f t="shared" si="5"/>
        <v>Group</v>
      </c>
      <c r="Q163" s="2">
        <f t="shared" si="6"/>
        <v>-25</v>
      </c>
      <c r="R163" s="2" t="str">
        <f>VLOOKUP(J163,Equipes!A:B,2,0)</f>
        <v>Chelsea</v>
      </c>
      <c r="S163" s="6" t="s">
        <v>405</v>
      </c>
      <c r="T163" s="7">
        <v>18.0</v>
      </c>
      <c r="U163" s="7" t="s">
        <v>406</v>
      </c>
      <c r="V163" s="7" t="str">
        <f>VLOOKUP(U163,Jogadores!B:C,2,0)</f>
        <v>FW</v>
      </c>
      <c r="W163" s="8">
        <f>VLOOKUP(U163,Jogadores!B:D,3,0)</f>
        <v>27.72054795</v>
      </c>
      <c r="X163" s="7">
        <v>84.0</v>
      </c>
      <c r="Y163" s="7">
        <f t="shared" si="505"/>
        <v>93</v>
      </c>
      <c r="Z163" s="7">
        <f>VLOOKUP(A163,Jogos!A:L,3,0)</f>
        <v>47</v>
      </c>
      <c r="AA163" s="7">
        <f t="shared" si="7"/>
        <v>0</v>
      </c>
      <c r="AB163" s="7">
        <f>VLOOKUP(A163,Jogos!A:L,4,0)</f>
        <v>48</v>
      </c>
      <c r="AC163" s="7">
        <f t="shared" si="8"/>
        <v>9</v>
      </c>
      <c r="AD163" s="7"/>
      <c r="AE163" s="7"/>
      <c r="AF163" s="7">
        <f t="shared" si="9"/>
        <v>9</v>
      </c>
      <c r="AG163" s="7">
        <v>1302.2</v>
      </c>
      <c r="AH163" s="7">
        <v>288.7</v>
      </c>
      <c r="AI163" s="7">
        <v>520.4</v>
      </c>
      <c r="AJ163" s="7">
        <v>373.7</v>
      </c>
      <c r="AK163" s="7">
        <v>86.8</v>
      </c>
      <c r="AL163" s="7">
        <v>32.6</v>
      </c>
      <c r="AM163" s="7">
        <v>25.0</v>
      </c>
      <c r="AN163" s="7">
        <v>6.0</v>
      </c>
      <c r="AO163" s="7">
        <v>28.0</v>
      </c>
      <c r="AP163" s="9">
        <f t="shared" ref="AP163:AR163" si="512">AG163/$AF163</f>
        <v>144.6888889</v>
      </c>
      <c r="AQ163" s="9">
        <f t="shared" si="512"/>
        <v>32.07777778</v>
      </c>
      <c r="AR163" s="9">
        <f t="shared" si="512"/>
        <v>57.82222222</v>
      </c>
      <c r="AS163" s="9">
        <f t="shared" si="11"/>
        <v>89.9</v>
      </c>
      <c r="AT163" s="9">
        <f t="shared" ref="AT163:AV163" si="513">AJ163/$AF163</f>
        <v>41.52222222</v>
      </c>
      <c r="AU163" s="9">
        <f t="shared" si="513"/>
        <v>9.644444444</v>
      </c>
      <c r="AV163" s="9">
        <f t="shared" si="513"/>
        <v>3.622222222</v>
      </c>
      <c r="AW163" s="9">
        <f t="shared" si="13"/>
        <v>13.26666667</v>
      </c>
      <c r="AX163" s="9">
        <f t="shared" ref="AX163:AY163" si="514">AM163/$AF163</f>
        <v>2.777777778</v>
      </c>
      <c r="AY163" s="9">
        <f t="shared" si="514"/>
        <v>0.6666666667</v>
      </c>
      <c r="AZ163" s="9">
        <f>VLOOKUP(A163,Jogos!A:BN,58,0)</f>
        <v>31.285</v>
      </c>
      <c r="BA163" s="9">
        <f>VLOOKUP(A163,Jogos!A:BN,59,0)</f>
        <v>21.16</v>
      </c>
      <c r="BB163" s="9">
        <f>VLOOKUP(A163,Jogos!A:BN,60,0)</f>
        <v>54.5</v>
      </c>
      <c r="BC163" s="9">
        <f>VLOOKUP(A163,Jogos!A:BN,61,0)</f>
        <v>32.535</v>
      </c>
      <c r="BD163" s="9">
        <f>VLOOKUP(A163,Jogos!A:BN,62,0)</f>
        <v>673.15</v>
      </c>
      <c r="BE163" s="9">
        <f>VLOOKUP(A163,Jogos!A:BN,63,0)</f>
        <v>1.915</v>
      </c>
      <c r="BF163" s="9">
        <f>VLOOKUP(A163,Jogos!A:BN,64,0)</f>
        <v>25.3</v>
      </c>
      <c r="BG163" s="9">
        <f>VLOOKUP(A163,Jogos!A:BN,65,0)</f>
        <v>45.645</v>
      </c>
      <c r="BH163" s="9">
        <f>VLOOKUP(A163,Jogos!A:BN,66,0)</f>
        <v>29.965</v>
      </c>
      <c r="BI163" s="9"/>
    </row>
    <row r="164" hidden="1">
      <c r="A164" s="2">
        <v>6.0</v>
      </c>
      <c r="B164" s="11" t="s">
        <v>375</v>
      </c>
      <c r="C164" s="2" t="s">
        <v>61</v>
      </c>
      <c r="D164" s="3">
        <v>45824.0</v>
      </c>
      <c r="E164" s="4">
        <v>0.625</v>
      </c>
      <c r="F164" s="5" t="str">
        <f>VLOOKUP(A164,Jogos!A:N,10,0)</f>
        <v>Afternoon</v>
      </c>
      <c r="G164" s="2" t="s">
        <v>376</v>
      </c>
      <c r="H164" s="6" t="str">
        <f>VLOOKUP(A164,Jogos!A:L,12,0)</f>
        <v>Closed</v>
      </c>
      <c r="I164" s="6" t="str">
        <f>VLOOKUP(G164,'Estádios e Cidades'!A:B,2,0)</f>
        <v>Atlanta</v>
      </c>
      <c r="J164" s="2" t="s">
        <v>377</v>
      </c>
      <c r="K164" s="2" t="str">
        <f>VLOOKUP(J164,Equipes!A:F,6,0)</f>
        <v>Temperate</v>
      </c>
      <c r="L164" s="2">
        <f>VLOOKUP(J164,Equipes!A:C,3,0)</f>
        <v>1</v>
      </c>
      <c r="M164" s="2" t="str">
        <f t="shared" si="4"/>
        <v>Final</v>
      </c>
      <c r="N164" s="2" t="s">
        <v>378</v>
      </c>
      <c r="O164" s="2">
        <f>VLOOKUP(N164,Equipes!A:C,3,0)</f>
        <v>26</v>
      </c>
      <c r="P164" s="2" t="str">
        <f t="shared" si="5"/>
        <v>Group</v>
      </c>
      <c r="Q164" s="2">
        <f t="shared" si="6"/>
        <v>-25</v>
      </c>
      <c r="R164" s="2" t="str">
        <f>VLOOKUP(J164,Equipes!A:B,2,0)</f>
        <v>Chelsea</v>
      </c>
      <c r="S164" s="6" t="s">
        <v>407</v>
      </c>
      <c r="T164" s="7">
        <v>27.0</v>
      </c>
      <c r="U164" s="7" t="s">
        <v>408</v>
      </c>
      <c r="V164" s="7" t="str">
        <f>VLOOKUP(U164,Jogadores!B:C,2,0)</f>
        <v>DF</v>
      </c>
      <c r="W164" s="8">
        <f>VLOOKUP(U164,Jogadores!B:D,3,0)</f>
        <v>22.20821918</v>
      </c>
      <c r="X164" s="7">
        <v>45.0</v>
      </c>
      <c r="Y164" s="7">
        <f t="shared" si="505"/>
        <v>93</v>
      </c>
      <c r="Z164" s="7">
        <f>VLOOKUP(A164,Jogos!A:L,3,0)</f>
        <v>47</v>
      </c>
      <c r="AA164" s="7">
        <f t="shared" si="7"/>
        <v>0</v>
      </c>
      <c r="AB164" s="7">
        <f>VLOOKUP(A164,Jogos!A:L,4,0)</f>
        <v>48</v>
      </c>
      <c r="AC164" s="7">
        <f t="shared" si="8"/>
        <v>48</v>
      </c>
      <c r="AD164" s="7"/>
      <c r="AE164" s="7"/>
      <c r="AF164" s="7">
        <f t="shared" si="9"/>
        <v>48</v>
      </c>
      <c r="AG164" s="7">
        <v>5082.2</v>
      </c>
      <c r="AH164" s="7">
        <v>1963.8</v>
      </c>
      <c r="AI164" s="7">
        <v>1892.1</v>
      </c>
      <c r="AJ164" s="7">
        <v>787.4</v>
      </c>
      <c r="AK164" s="7">
        <v>345.6</v>
      </c>
      <c r="AL164" s="7">
        <v>93.3</v>
      </c>
      <c r="AM164" s="7">
        <v>70.0</v>
      </c>
      <c r="AN164" s="7">
        <v>33.0</v>
      </c>
      <c r="AO164" s="7">
        <v>30.1</v>
      </c>
      <c r="AP164" s="9">
        <f t="shared" ref="AP164:AR164" si="515">AG164/$AF164</f>
        <v>105.8791667</v>
      </c>
      <c r="AQ164" s="9">
        <f t="shared" si="515"/>
        <v>40.9125</v>
      </c>
      <c r="AR164" s="9">
        <f t="shared" si="515"/>
        <v>39.41875</v>
      </c>
      <c r="AS164" s="9">
        <f t="shared" si="11"/>
        <v>80.33125</v>
      </c>
      <c r="AT164" s="9">
        <f t="shared" ref="AT164:AV164" si="516">AJ164/$AF164</f>
        <v>16.40416667</v>
      </c>
      <c r="AU164" s="9">
        <f t="shared" si="516"/>
        <v>7.2</v>
      </c>
      <c r="AV164" s="9">
        <f t="shared" si="516"/>
        <v>1.94375</v>
      </c>
      <c r="AW164" s="9">
        <f t="shared" si="13"/>
        <v>9.14375</v>
      </c>
      <c r="AX164" s="9">
        <f t="shared" ref="AX164:AY164" si="517">AM164/$AF164</f>
        <v>1.458333333</v>
      </c>
      <c r="AY164" s="9">
        <f t="shared" si="517"/>
        <v>0.6875</v>
      </c>
      <c r="AZ164" s="9">
        <f>VLOOKUP(A164,Jogos!A:BN,58,0)</f>
        <v>31.285</v>
      </c>
      <c r="BA164" s="9">
        <f>VLOOKUP(A164,Jogos!A:BN,59,0)</f>
        <v>21.16</v>
      </c>
      <c r="BB164" s="9">
        <f>VLOOKUP(A164,Jogos!A:BN,60,0)</f>
        <v>54.5</v>
      </c>
      <c r="BC164" s="9">
        <f>VLOOKUP(A164,Jogos!A:BN,61,0)</f>
        <v>32.535</v>
      </c>
      <c r="BD164" s="9">
        <f>VLOOKUP(A164,Jogos!A:BN,62,0)</f>
        <v>673.15</v>
      </c>
      <c r="BE164" s="9">
        <f>VLOOKUP(A164,Jogos!A:BN,63,0)</f>
        <v>1.915</v>
      </c>
      <c r="BF164" s="9">
        <f>VLOOKUP(A164,Jogos!A:BN,64,0)</f>
        <v>25.3</v>
      </c>
      <c r="BG164" s="9">
        <f>VLOOKUP(A164,Jogos!A:BN,65,0)</f>
        <v>45.645</v>
      </c>
      <c r="BH164" s="9">
        <f>VLOOKUP(A164,Jogos!A:BN,66,0)</f>
        <v>29.965</v>
      </c>
      <c r="BI164" s="9"/>
    </row>
    <row r="165" hidden="1">
      <c r="A165" s="2">
        <v>6.0</v>
      </c>
      <c r="B165" s="11" t="s">
        <v>375</v>
      </c>
      <c r="C165" s="2" t="s">
        <v>61</v>
      </c>
      <c r="D165" s="3">
        <v>45824.0</v>
      </c>
      <c r="E165" s="4">
        <v>0.625</v>
      </c>
      <c r="F165" s="5" t="str">
        <f>VLOOKUP(A165,Jogos!A:N,10,0)</f>
        <v>Afternoon</v>
      </c>
      <c r="G165" s="2" t="s">
        <v>376</v>
      </c>
      <c r="H165" s="6" t="str">
        <f>VLOOKUP(A165,Jogos!A:L,12,0)</f>
        <v>Closed</v>
      </c>
      <c r="I165" s="6" t="str">
        <f>VLOOKUP(G165,'Estádios e Cidades'!A:B,2,0)</f>
        <v>Atlanta</v>
      </c>
      <c r="J165" s="2" t="s">
        <v>377</v>
      </c>
      <c r="K165" s="2" t="str">
        <f>VLOOKUP(J165,Equipes!A:F,6,0)</f>
        <v>Temperate</v>
      </c>
      <c r="L165" s="2">
        <f>VLOOKUP(J165,Equipes!A:C,3,0)</f>
        <v>1</v>
      </c>
      <c r="M165" s="2" t="str">
        <f t="shared" si="4"/>
        <v>Final</v>
      </c>
      <c r="N165" s="2" t="s">
        <v>378</v>
      </c>
      <c r="O165" s="2">
        <f>VLOOKUP(N165,Equipes!A:C,3,0)</f>
        <v>26</v>
      </c>
      <c r="P165" s="2" t="str">
        <f t="shared" si="5"/>
        <v>Group</v>
      </c>
      <c r="Q165" s="2">
        <f t="shared" si="6"/>
        <v>-25</v>
      </c>
      <c r="R165" s="2" t="str">
        <f>VLOOKUP(J165,Equipes!A:B,2,0)</f>
        <v>Chelsea</v>
      </c>
      <c r="S165" s="6" t="s">
        <v>409</v>
      </c>
      <c r="T165" s="7">
        <v>32.0</v>
      </c>
      <c r="U165" s="7" t="s">
        <v>410</v>
      </c>
      <c r="V165" s="7" t="str">
        <f>VLOOKUP(U165,Jogadores!B:C,2,0)</f>
        <v>FW</v>
      </c>
      <c r="W165" s="8">
        <f>VLOOKUP(U165,Jogadores!B:D,3,0)</f>
        <v>19.49041096</v>
      </c>
      <c r="X165" s="7">
        <v>64.0</v>
      </c>
      <c r="Y165" s="7">
        <f t="shared" si="505"/>
        <v>93</v>
      </c>
      <c r="Z165" s="7">
        <f>VLOOKUP(A165,Jogos!A:L,3,0)</f>
        <v>47</v>
      </c>
      <c r="AA165" s="7">
        <f t="shared" si="7"/>
        <v>0</v>
      </c>
      <c r="AB165" s="7">
        <f>VLOOKUP(A165,Jogos!A:L,4,0)</f>
        <v>48</v>
      </c>
      <c r="AC165" s="7">
        <f t="shared" si="8"/>
        <v>29</v>
      </c>
      <c r="AD165" s="7"/>
      <c r="AE165" s="7"/>
      <c r="AF165" s="7">
        <f t="shared" si="9"/>
        <v>29</v>
      </c>
      <c r="AG165" s="7">
        <v>3280.4</v>
      </c>
      <c r="AH165" s="7">
        <v>1156.2</v>
      </c>
      <c r="AI165" s="7">
        <v>1181.7</v>
      </c>
      <c r="AJ165" s="7">
        <v>471.4</v>
      </c>
      <c r="AK165" s="7">
        <v>277.2</v>
      </c>
      <c r="AL165" s="7">
        <v>194.0</v>
      </c>
      <c r="AM165" s="7">
        <v>41.0</v>
      </c>
      <c r="AN165" s="7">
        <v>24.0</v>
      </c>
      <c r="AO165" s="7">
        <v>31.9</v>
      </c>
      <c r="AP165" s="9">
        <f t="shared" ref="AP165:AR165" si="518">AG165/$AF165</f>
        <v>113.1172414</v>
      </c>
      <c r="AQ165" s="9">
        <f t="shared" si="518"/>
        <v>39.86896552</v>
      </c>
      <c r="AR165" s="9">
        <f t="shared" si="518"/>
        <v>40.74827586</v>
      </c>
      <c r="AS165" s="9">
        <f t="shared" si="11"/>
        <v>80.61724138</v>
      </c>
      <c r="AT165" s="9">
        <f t="shared" ref="AT165:AV165" si="519">AJ165/$AF165</f>
        <v>16.25517241</v>
      </c>
      <c r="AU165" s="9">
        <f t="shared" si="519"/>
        <v>9.55862069</v>
      </c>
      <c r="AV165" s="9">
        <f t="shared" si="519"/>
        <v>6.689655172</v>
      </c>
      <c r="AW165" s="9">
        <f t="shared" si="13"/>
        <v>16.24827586</v>
      </c>
      <c r="AX165" s="9">
        <f t="shared" ref="AX165:AY165" si="520">AM165/$AF165</f>
        <v>1.413793103</v>
      </c>
      <c r="AY165" s="9">
        <f t="shared" si="520"/>
        <v>0.8275862069</v>
      </c>
      <c r="AZ165" s="9">
        <f>VLOOKUP(A165,Jogos!A:BN,58,0)</f>
        <v>31.285</v>
      </c>
      <c r="BA165" s="9">
        <f>VLOOKUP(A165,Jogos!A:BN,59,0)</f>
        <v>21.16</v>
      </c>
      <c r="BB165" s="9">
        <f>VLOOKUP(A165,Jogos!A:BN,60,0)</f>
        <v>54.5</v>
      </c>
      <c r="BC165" s="9">
        <f>VLOOKUP(A165,Jogos!A:BN,61,0)</f>
        <v>32.535</v>
      </c>
      <c r="BD165" s="9">
        <f>VLOOKUP(A165,Jogos!A:BN,62,0)</f>
        <v>673.15</v>
      </c>
      <c r="BE165" s="9">
        <f>VLOOKUP(A165,Jogos!A:BN,63,0)</f>
        <v>1.915</v>
      </c>
      <c r="BF165" s="9">
        <f>VLOOKUP(A165,Jogos!A:BN,64,0)</f>
        <v>25.3</v>
      </c>
      <c r="BG165" s="9">
        <f>VLOOKUP(A165,Jogos!A:BN,65,0)</f>
        <v>45.645</v>
      </c>
      <c r="BH165" s="9">
        <f>VLOOKUP(A165,Jogos!A:BN,66,0)</f>
        <v>29.965</v>
      </c>
      <c r="BI165" s="9"/>
    </row>
    <row r="166" hidden="1">
      <c r="A166" s="10">
        <v>6.0</v>
      </c>
      <c r="B166" s="11" t="s">
        <v>375</v>
      </c>
      <c r="C166" s="2" t="s">
        <v>61</v>
      </c>
      <c r="D166" s="12">
        <v>45824.0</v>
      </c>
      <c r="E166" s="13">
        <v>0.625</v>
      </c>
      <c r="F166" s="5" t="str">
        <f>VLOOKUP(A166,Jogos!A:N,10,0)</f>
        <v>Afternoon</v>
      </c>
      <c r="G166" s="11" t="s">
        <v>376</v>
      </c>
      <c r="H166" s="6" t="str">
        <f>VLOOKUP(A166,Jogos!A:L,12,0)</f>
        <v>Closed</v>
      </c>
      <c r="I166" s="6" t="str">
        <f>VLOOKUP(G166,'Estádios e Cidades'!A:B,2,0)</f>
        <v>Atlanta</v>
      </c>
      <c r="J166" s="11" t="s">
        <v>378</v>
      </c>
      <c r="K166" s="2" t="str">
        <f>VLOOKUP(J166,Equipes!A:F,6,0)</f>
        <v>Temperate</v>
      </c>
      <c r="L166" s="2">
        <f>VLOOKUP(J166,Equipes!A:C,3,0)</f>
        <v>26</v>
      </c>
      <c r="M166" s="2" t="str">
        <f t="shared" si="4"/>
        <v>Group</v>
      </c>
      <c r="N166" s="11" t="s">
        <v>377</v>
      </c>
      <c r="O166" s="2">
        <f>VLOOKUP(N166,Equipes!A:C,3,0)</f>
        <v>1</v>
      </c>
      <c r="P166" s="2" t="str">
        <f t="shared" si="5"/>
        <v>Final</v>
      </c>
      <c r="Q166" s="2">
        <f t="shared" si="6"/>
        <v>25</v>
      </c>
      <c r="R166" s="2" t="str">
        <f>VLOOKUP(J166,Equipes!A:B,2,0)</f>
        <v>LAFC</v>
      </c>
      <c r="S166" s="14" t="s">
        <v>411</v>
      </c>
      <c r="T166" s="7">
        <v>4.0</v>
      </c>
      <c r="U166" s="7" t="s">
        <v>412</v>
      </c>
      <c r="V166" s="7" t="str">
        <f>VLOOKUP(U166,Jogadores!B:C,2,0)</f>
        <v>DF</v>
      </c>
      <c r="W166" s="8">
        <f>VLOOKUP(U166,Jogadores!B:D,3,0)</f>
        <v>28.50136986</v>
      </c>
      <c r="X166" s="7">
        <v>0.0</v>
      </c>
      <c r="Y166" s="7">
        <f t="shared" si="505"/>
        <v>93</v>
      </c>
      <c r="Z166" s="7">
        <f>VLOOKUP(A166,Jogos!A:L,3,0)</f>
        <v>47</v>
      </c>
      <c r="AA166" s="7">
        <f t="shared" si="7"/>
        <v>47</v>
      </c>
      <c r="AB166" s="7">
        <f>VLOOKUP(A166,Jogos!A:L,4,0)</f>
        <v>48</v>
      </c>
      <c r="AC166" s="7">
        <f t="shared" si="8"/>
        <v>48</v>
      </c>
      <c r="AD166" s="7"/>
      <c r="AE166" s="7"/>
      <c r="AF166" s="7">
        <f t="shared" si="9"/>
        <v>95</v>
      </c>
      <c r="AG166" s="7">
        <v>10202.4</v>
      </c>
      <c r="AH166" s="7">
        <v>3798.5</v>
      </c>
      <c r="AI166" s="7">
        <v>4324.5</v>
      </c>
      <c r="AJ166" s="7">
        <v>1548.1</v>
      </c>
      <c r="AK166" s="7">
        <v>430.1</v>
      </c>
      <c r="AL166" s="7">
        <v>101.2</v>
      </c>
      <c r="AM166" s="7">
        <v>135.0</v>
      </c>
      <c r="AN166" s="7">
        <v>32.0</v>
      </c>
      <c r="AO166" s="7">
        <v>29.3</v>
      </c>
      <c r="AP166" s="9">
        <f t="shared" ref="AP166:AR166" si="521">AG166/$AF166</f>
        <v>107.3936842</v>
      </c>
      <c r="AQ166" s="9">
        <f t="shared" si="521"/>
        <v>39.98421053</v>
      </c>
      <c r="AR166" s="9">
        <f t="shared" si="521"/>
        <v>45.52105263</v>
      </c>
      <c r="AS166" s="9">
        <f t="shared" si="11"/>
        <v>85.50526316</v>
      </c>
      <c r="AT166" s="9">
        <f t="shared" ref="AT166:AV166" si="522">AJ166/$AF166</f>
        <v>16.29578947</v>
      </c>
      <c r="AU166" s="9">
        <f t="shared" si="522"/>
        <v>4.527368421</v>
      </c>
      <c r="AV166" s="9">
        <f t="shared" si="522"/>
        <v>1.065263158</v>
      </c>
      <c r="AW166" s="9">
        <f t="shared" si="13"/>
        <v>5.592631579</v>
      </c>
      <c r="AX166" s="9">
        <f t="shared" ref="AX166:AY166" si="523">AM166/$AF166</f>
        <v>1.421052632</v>
      </c>
      <c r="AY166" s="9">
        <f t="shared" si="523"/>
        <v>0.3368421053</v>
      </c>
      <c r="AZ166" s="9">
        <f>VLOOKUP(A166,Jogos!A:BN,58,0)</f>
        <v>31.285</v>
      </c>
      <c r="BA166" s="9">
        <f>VLOOKUP(A166,Jogos!A:BN,59,0)</f>
        <v>21.16</v>
      </c>
      <c r="BB166" s="9">
        <f>VLOOKUP(A166,Jogos!A:BN,60,0)</f>
        <v>54.5</v>
      </c>
      <c r="BC166" s="9">
        <f>VLOOKUP(A166,Jogos!A:BN,61,0)</f>
        <v>32.535</v>
      </c>
      <c r="BD166" s="9">
        <f>VLOOKUP(A166,Jogos!A:BN,62,0)</f>
        <v>673.15</v>
      </c>
      <c r="BE166" s="9">
        <f>VLOOKUP(A166,Jogos!A:BN,63,0)</f>
        <v>1.915</v>
      </c>
      <c r="BF166" s="9">
        <f>VLOOKUP(A166,Jogos!A:BN,64,0)</f>
        <v>25.3</v>
      </c>
      <c r="BG166" s="9">
        <f>VLOOKUP(A166,Jogos!A:BN,65,0)</f>
        <v>45.645</v>
      </c>
      <c r="BH166" s="9">
        <f>VLOOKUP(A166,Jogos!A:BN,66,0)</f>
        <v>29.965</v>
      </c>
      <c r="BI166" s="9"/>
    </row>
    <row r="167" hidden="1">
      <c r="A167" s="10">
        <v>6.0</v>
      </c>
      <c r="B167" s="11" t="s">
        <v>375</v>
      </c>
      <c r="C167" s="2" t="s">
        <v>61</v>
      </c>
      <c r="D167" s="12">
        <v>45824.0</v>
      </c>
      <c r="E167" s="13">
        <v>0.625</v>
      </c>
      <c r="F167" s="5" t="str">
        <f>VLOOKUP(A167,Jogos!A:N,10,0)</f>
        <v>Afternoon</v>
      </c>
      <c r="G167" s="11" t="s">
        <v>376</v>
      </c>
      <c r="H167" s="6" t="str">
        <f>VLOOKUP(A167,Jogos!A:L,12,0)</f>
        <v>Closed</v>
      </c>
      <c r="I167" s="6" t="str">
        <f>VLOOKUP(G167,'Estádios e Cidades'!A:B,2,0)</f>
        <v>Atlanta</v>
      </c>
      <c r="J167" s="11" t="s">
        <v>378</v>
      </c>
      <c r="K167" s="2" t="str">
        <f>VLOOKUP(J167,Equipes!A:F,6,0)</f>
        <v>Temperate</v>
      </c>
      <c r="L167" s="2">
        <f>VLOOKUP(J167,Equipes!A:C,3,0)</f>
        <v>26</v>
      </c>
      <c r="M167" s="2" t="str">
        <f t="shared" si="4"/>
        <v>Group</v>
      </c>
      <c r="N167" s="11" t="s">
        <v>377</v>
      </c>
      <c r="O167" s="2">
        <f>VLOOKUP(N167,Equipes!A:C,3,0)</f>
        <v>1</v>
      </c>
      <c r="P167" s="2" t="str">
        <f t="shared" si="5"/>
        <v>Final</v>
      </c>
      <c r="Q167" s="2">
        <f t="shared" si="6"/>
        <v>25</v>
      </c>
      <c r="R167" s="2" t="str">
        <f>VLOOKUP(J167,Equipes!A:B,2,0)</f>
        <v>LAFC</v>
      </c>
      <c r="S167" s="6" t="s">
        <v>413</v>
      </c>
      <c r="T167" s="7">
        <v>6.0</v>
      </c>
      <c r="U167" s="7" t="s">
        <v>334</v>
      </c>
      <c r="V167" s="7" t="str">
        <f>VLOOKUP(U167,Jogadores!B:C,2,0)</f>
        <v>FW</v>
      </c>
      <c r="W167" s="8">
        <f>VLOOKUP(U167,Jogadores!B:D,3,0)</f>
        <v>24.43561644</v>
      </c>
      <c r="X167" s="7">
        <v>0.0</v>
      </c>
      <c r="Y167" s="7">
        <v>81.0</v>
      </c>
      <c r="Z167" s="7">
        <f>VLOOKUP(A167,Jogos!A:L,3,0)</f>
        <v>47</v>
      </c>
      <c r="AA167" s="7">
        <f t="shared" si="7"/>
        <v>47</v>
      </c>
      <c r="AB167" s="7">
        <f>VLOOKUP(A167,Jogos!A:L,4,0)</f>
        <v>48</v>
      </c>
      <c r="AC167" s="7">
        <f t="shared" si="8"/>
        <v>36</v>
      </c>
      <c r="AD167" s="7"/>
      <c r="AE167" s="7"/>
      <c r="AF167" s="7">
        <f t="shared" si="9"/>
        <v>83</v>
      </c>
      <c r="AG167" s="7">
        <v>9540.2</v>
      </c>
      <c r="AH167" s="7">
        <v>2655.1</v>
      </c>
      <c r="AI167" s="7">
        <v>4562.7</v>
      </c>
      <c r="AJ167" s="7">
        <v>1815.2</v>
      </c>
      <c r="AK167" s="7">
        <v>413.8</v>
      </c>
      <c r="AL167" s="7">
        <v>93.4</v>
      </c>
      <c r="AM167" s="7">
        <v>155.0</v>
      </c>
      <c r="AN167" s="7">
        <v>36.0</v>
      </c>
      <c r="AO167" s="7">
        <v>30.0</v>
      </c>
      <c r="AP167" s="9">
        <f t="shared" ref="AP167:AR167" si="524">AG167/$AF167</f>
        <v>114.9421687</v>
      </c>
      <c r="AQ167" s="9">
        <f t="shared" si="524"/>
        <v>31.98915663</v>
      </c>
      <c r="AR167" s="9">
        <f t="shared" si="524"/>
        <v>54.97228916</v>
      </c>
      <c r="AS167" s="9">
        <f t="shared" si="11"/>
        <v>86.96144578</v>
      </c>
      <c r="AT167" s="9">
        <f t="shared" ref="AT167:AV167" si="525">AJ167/$AF167</f>
        <v>21.86987952</v>
      </c>
      <c r="AU167" s="9">
        <f t="shared" si="525"/>
        <v>4.985542169</v>
      </c>
      <c r="AV167" s="9">
        <f t="shared" si="525"/>
        <v>1.125301205</v>
      </c>
      <c r="AW167" s="9">
        <f t="shared" si="13"/>
        <v>6.110843373</v>
      </c>
      <c r="AX167" s="9">
        <f t="shared" ref="AX167:AY167" si="526">AM167/$AF167</f>
        <v>1.86746988</v>
      </c>
      <c r="AY167" s="9">
        <f t="shared" si="526"/>
        <v>0.4337349398</v>
      </c>
      <c r="AZ167" s="9">
        <f>VLOOKUP(A167,Jogos!A:BN,58,0)</f>
        <v>31.285</v>
      </c>
      <c r="BA167" s="9">
        <f>VLOOKUP(A167,Jogos!A:BN,59,0)</f>
        <v>21.16</v>
      </c>
      <c r="BB167" s="9">
        <f>VLOOKUP(A167,Jogos!A:BN,60,0)</f>
        <v>54.5</v>
      </c>
      <c r="BC167" s="9">
        <f>VLOOKUP(A167,Jogos!A:BN,61,0)</f>
        <v>32.535</v>
      </c>
      <c r="BD167" s="9">
        <f>VLOOKUP(A167,Jogos!A:BN,62,0)</f>
        <v>673.15</v>
      </c>
      <c r="BE167" s="9">
        <f>VLOOKUP(A167,Jogos!A:BN,63,0)</f>
        <v>1.915</v>
      </c>
      <c r="BF167" s="9">
        <f>VLOOKUP(A167,Jogos!A:BN,64,0)</f>
        <v>25.3</v>
      </c>
      <c r="BG167" s="9">
        <f>VLOOKUP(A167,Jogos!A:BN,65,0)</f>
        <v>45.645</v>
      </c>
      <c r="BH167" s="9">
        <f>VLOOKUP(A167,Jogos!A:BN,66,0)</f>
        <v>29.965</v>
      </c>
      <c r="BI167" s="9"/>
    </row>
    <row r="168" hidden="1">
      <c r="A168" s="10">
        <v>6.0</v>
      </c>
      <c r="B168" s="11" t="s">
        <v>375</v>
      </c>
      <c r="C168" s="2" t="s">
        <v>61</v>
      </c>
      <c r="D168" s="12">
        <v>45824.0</v>
      </c>
      <c r="E168" s="13">
        <v>0.625</v>
      </c>
      <c r="F168" s="5" t="str">
        <f>VLOOKUP(A168,Jogos!A:N,10,0)</f>
        <v>Afternoon</v>
      </c>
      <c r="G168" s="11" t="s">
        <v>376</v>
      </c>
      <c r="H168" s="6" t="str">
        <f>VLOOKUP(A168,Jogos!A:L,12,0)</f>
        <v>Closed</v>
      </c>
      <c r="I168" s="6" t="str">
        <f>VLOOKUP(G168,'Estádios e Cidades'!A:B,2,0)</f>
        <v>Atlanta</v>
      </c>
      <c r="J168" s="11" t="s">
        <v>378</v>
      </c>
      <c r="K168" s="2" t="str">
        <f>VLOOKUP(J168,Equipes!A:F,6,0)</f>
        <v>Temperate</v>
      </c>
      <c r="L168" s="2">
        <f>VLOOKUP(J168,Equipes!A:C,3,0)</f>
        <v>26</v>
      </c>
      <c r="M168" s="2" t="str">
        <f t="shared" si="4"/>
        <v>Group</v>
      </c>
      <c r="N168" s="11" t="s">
        <v>377</v>
      </c>
      <c r="O168" s="2">
        <f>VLOOKUP(N168,Equipes!A:C,3,0)</f>
        <v>1</v>
      </c>
      <c r="P168" s="2" t="str">
        <f t="shared" si="5"/>
        <v>Final</v>
      </c>
      <c r="Q168" s="2">
        <f t="shared" si="6"/>
        <v>25</v>
      </c>
      <c r="R168" s="2" t="str">
        <f>VLOOKUP(J168,Equipes!A:B,2,0)</f>
        <v>LAFC</v>
      </c>
      <c r="S168" s="6" t="s">
        <v>414</v>
      </c>
      <c r="T168" s="7">
        <v>8.0</v>
      </c>
      <c r="U168" s="7" t="s">
        <v>415</v>
      </c>
      <c r="V168" s="7" t="str">
        <f>VLOOKUP(U168,Jogadores!B:C,2,0)</f>
        <v>MF</v>
      </c>
      <c r="W168" s="8">
        <f>VLOOKUP(U168,Jogadores!B:D,3,0)</f>
        <v>30.22191781</v>
      </c>
      <c r="X168" s="7">
        <v>0.0</v>
      </c>
      <c r="Y168" s="7">
        <v>87.0</v>
      </c>
      <c r="Z168" s="7">
        <f>VLOOKUP(A168,Jogos!A:L,3,0)</f>
        <v>47</v>
      </c>
      <c r="AA168" s="7">
        <f t="shared" si="7"/>
        <v>47</v>
      </c>
      <c r="AB168" s="7">
        <f>VLOOKUP(A168,Jogos!A:L,4,0)</f>
        <v>48</v>
      </c>
      <c r="AC168" s="7">
        <f t="shared" si="8"/>
        <v>42</v>
      </c>
      <c r="AD168" s="7"/>
      <c r="AE168" s="7"/>
      <c r="AF168" s="7">
        <f t="shared" si="9"/>
        <v>89</v>
      </c>
      <c r="AG168" s="7">
        <v>10938.2</v>
      </c>
      <c r="AH168" s="7">
        <v>2879.6</v>
      </c>
      <c r="AI168" s="7">
        <v>5315.9</v>
      </c>
      <c r="AJ168" s="7">
        <v>1811.1</v>
      </c>
      <c r="AK168" s="7">
        <v>802.9</v>
      </c>
      <c r="AL168" s="7">
        <v>128.7</v>
      </c>
      <c r="AM168" s="7">
        <v>161.0</v>
      </c>
      <c r="AN168" s="7">
        <v>58.0</v>
      </c>
      <c r="AO168" s="7">
        <v>28.2</v>
      </c>
      <c r="AP168" s="9">
        <f t="shared" ref="AP168:AR168" si="527">AG168/$AF168</f>
        <v>122.9011236</v>
      </c>
      <c r="AQ168" s="9">
        <f t="shared" si="527"/>
        <v>32.35505618</v>
      </c>
      <c r="AR168" s="9">
        <f t="shared" si="527"/>
        <v>59.72921348</v>
      </c>
      <c r="AS168" s="9">
        <f t="shared" si="11"/>
        <v>92.08426966</v>
      </c>
      <c r="AT168" s="9">
        <f t="shared" ref="AT168:AV168" si="528">AJ168/$AF168</f>
        <v>20.3494382</v>
      </c>
      <c r="AU168" s="9">
        <f t="shared" si="528"/>
        <v>9.021348315</v>
      </c>
      <c r="AV168" s="9">
        <f t="shared" si="528"/>
        <v>1.446067416</v>
      </c>
      <c r="AW168" s="9">
        <f t="shared" si="13"/>
        <v>10.46741573</v>
      </c>
      <c r="AX168" s="9">
        <f t="shared" ref="AX168:AY168" si="529">AM168/$AF168</f>
        <v>1.808988764</v>
      </c>
      <c r="AY168" s="9">
        <f t="shared" si="529"/>
        <v>0.6516853933</v>
      </c>
      <c r="AZ168" s="9">
        <f>VLOOKUP(A168,Jogos!A:BN,58,0)</f>
        <v>31.285</v>
      </c>
      <c r="BA168" s="9">
        <f>VLOOKUP(A168,Jogos!A:BN,59,0)</f>
        <v>21.16</v>
      </c>
      <c r="BB168" s="9">
        <f>VLOOKUP(A168,Jogos!A:BN,60,0)</f>
        <v>54.5</v>
      </c>
      <c r="BC168" s="9">
        <f>VLOOKUP(A168,Jogos!A:BN,61,0)</f>
        <v>32.535</v>
      </c>
      <c r="BD168" s="9">
        <f>VLOOKUP(A168,Jogos!A:BN,62,0)</f>
        <v>673.15</v>
      </c>
      <c r="BE168" s="9">
        <f>VLOOKUP(A168,Jogos!A:BN,63,0)</f>
        <v>1.915</v>
      </c>
      <c r="BF168" s="9">
        <f>VLOOKUP(A168,Jogos!A:BN,64,0)</f>
        <v>25.3</v>
      </c>
      <c r="BG168" s="9">
        <f>VLOOKUP(A168,Jogos!A:BN,65,0)</f>
        <v>45.645</v>
      </c>
      <c r="BH168" s="9">
        <f>VLOOKUP(A168,Jogos!A:BN,66,0)</f>
        <v>29.965</v>
      </c>
      <c r="BI168" s="9"/>
    </row>
    <row r="169" hidden="1">
      <c r="A169" s="10">
        <v>6.0</v>
      </c>
      <c r="B169" s="11" t="s">
        <v>375</v>
      </c>
      <c r="C169" s="2" t="s">
        <v>61</v>
      </c>
      <c r="D169" s="12">
        <v>45824.0</v>
      </c>
      <c r="E169" s="13">
        <v>0.625</v>
      </c>
      <c r="F169" s="5" t="str">
        <f>VLOOKUP(A169,Jogos!A:N,10,0)</f>
        <v>Afternoon</v>
      </c>
      <c r="G169" s="11" t="s">
        <v>376</v>
      </c>
      <c r="H169" s="6" t="str">
        <f>VLOOKUP(A169,Jogos!A:L,12,0)</f>
        <v>Closed</v>
      </c>
      <c r="I169" s="6" t="str">
        <f>VLOOKUP(G169,'Estádios e Cidades'!A:B,2,0)</f>
        <v>Atlanta</v>
      </c>
      <c r="J169" s="11" t="s">
        <v>378</v>
      </c>
      <c r="K169" s="2" t="str">
        <f>VLOOKUP(J169,Equipes!A:F,6,0)</f>
        <v>Temperate</v>
      </c>
      <c r="L169" s="2">
        <f>VLOOKUP(J169,Equipes!A:C,3,0)</f>
        <v>26</v>
      </c>
      <c r="M169" s="2" t="str">
        <f t="shared" si="4"/>
        <v>Group</v>
      </c>
      <c r="N169" s="11" t="s">
        <v>377</v>
      </c>
      <c r="O169" s="2">
        <f>VLOOKUP(N169,Equipes!A:C,3,0)</f>
        <v>1</v>
      </c>
      <c r="P169" s="2" t="str">
        <f t="shared" si="5"/>
        <v>Final</v>
      </c>
      <c r="Q169" s="2">
        <f t="shared" si="6"/>
        <v>25</v>
      </c>
      <c r="R169" s="2" t="str">
        <f>VLOOKUP(J169,Equipes!A:B,2,0)</f>
        <v>LAFC</v>
      </c>
      <c r="S169" s="6" t="s">
        <v>416</v>
      </c>
      <c r="T169" s="7">
        <v>11.0</v>
      </c>
      <c r="U169" s="7" t="s">
        <v>417</v>
      </c>
      <c r="V169" s="7" t="str">
        <f>VLOOKUP(U169,Jogadores!B:C,2,0)</f>
        <v>MF</v>
      </c>
      <c r="W169" s="8">
        <f>VLOOKUP(U169,Jogadores!B:D,3,0)</f>
        <v>26.58082192</v>
      </c>
      <c r="X169" s="7">
        <v>0.0</v>
      </c>
      <c r="Y169" s="7">
        <v>87.0</v>
      </c>
      <c r="Z169" s="7">
        <f>VLOOKUP(A169,Jogos!A:L,3,0)</f>
        <v>47</v>
      </c>
      <c r="AA169" s="7">
        <f t="shared" si="7"/>
        <v>47</v>
      </c>
      <c r="AB169" s="7">
        <f>VLOOKUP(A169,Jogos!A:L,4,0)</f>
        <v>48</v>
      </c>
      <c r="AC169" s="7">
        <f t="shared" si="8"/>
        <v>42</v>
      </c>
      <c r="AD169" s="7"/>
      <c r="AE169" s="7"/>
      <c r="AF169" s="7">
        <f t="shared" si="9"/>
        <v>89</v>
      </c>
      <c r="AG169" s="7">
        <v>10247.5</v>
      </c>
      <c r="AH169" s="7">
        <v>3402.0</v>
      </c>
      <c r="AI169" s="7">
        <v>4411.9</v>
      </c>
      <c r="AJ169" s="7">
        <v>1640.6</v>
      </c>
      <c r="AK169" s="7">
        <v>584.5</v>
      </c>
      <c r="AL169" s="7">
        <v>208.6</v>
      </c>
      <c r="AM169" s="7">
        <v>141.0</v>
      </c>
      <c r="AN169" s="7">
        <v>51.0</v>
      </c>
      <c r="AO169" s="7">
        <v>31.2</v>
      </c>
      <c r="AP169" s="9">
        <f t="shared" ref="AP169:AR169" si="530">AG169/$AF169</f>
        <v>115.1404494</v>
      </c>
      <c r="AQ169" s="9">
        <f t="shared" si="530"/>
        <v>38.2247191</v>
      </c>
      <c r="AR169" s="9">
        <f t="shared" si="530"/>
        <v>49.57191011</v>
      </c>
      <c r="AS169" s="9">
        <f t="shared" si="11"/>
        <v>87.79662921</v>
      </c>
      <c r="AT169" s="9">
        <f t="shared" ref="AT169:AV169" si="531">AJ169/$AF169</f>
        <v>18.43370787</v>
      </c>
      <c r="AU169" s="9">
        <f t="shared" si="531"/>
        <v>6.56741573</v>
      </c>
      <c r="AV169" s="9">
        <f t="shared" si="531"/>
        <v>2.343820225</v>
      </c>
      <c r="AW169" s="9">
        <f t="shared" si="13"/>
        <v>8.911235955</v>
      </c>
      <c r="AX169" s="9">
        <f t="shared" ref="AX169:AY169" si="532">AM169/$AF169</f>
        <v>1.584269663</v>
      </c>
      <c r="AY169" s="9">
        <f t="shared" si="532"/>
        <v>0.5730337079</v>
      </c>
      <c r="AZ169" s="9">
        <f>VLOOKUP(A169,Jogos!A:BN,58,0)</f>
        <v>31.285</v>
      </c>
      <c r="BA169" s="9">
        <f>VLOOKUP(A169,Jogos!A:BN,59,0)</f>
        <v>21.16</v>
      </c>
      <c r="BB169" s="9">
        <f>VLOOKUP(A169,Jogos!A:BN,60,0)</f>
        <v>54.5</v>
      </c>
      <c r="BC169" s="9">
        <f>VLOOKUP(A169,Jogos!A:BN,61,0)</f>
        <v>32.535</v>
      </c>
      <c r="BD169" s="9">
        <f>VLOOKUP(A169,Jogos!A:BN,62,0)</f>
        <v>673.15</v>
      </c>
      <c r="BE169" s="9">
        <f>VLOOKUP(A169,Jogos!A:BN,63,0)</f>
        <v>1.915</v>
      </c>
      <c r="BF169" s="9">
        <f>VLOOKUP(A169,Jogos!A:BN,64,0)</f>
        <v>25.3</v>
      </c>
      <c r="BG169" s="9">
        <f>VLOOKUP(A169,Jogos!A:BN,65,0)</f>
        <v>45.645</v>
      </c>
      <c r="BH169" s="9">
        <f>VLOOKUP(A169,Jogos!A:BN,66,0)</f>
        <v>29.965</v>
      </c>
      <c r="BI169" s="9"/>
    </row>
    <row r="170" hidden="1">
      <c r="A170" s="10">
        <v>6.0</v>
      </c>
      <c r="B170" s="11" t="s">
        <v>375</v>
      </c>
      <c r="C170" s="2" t="s">
        <v>61</v>
      </c>
      <c r="D170" s="12">
        <v>45824.0</v>
      </c>
      <c r="E170" s="13">
        <v>0.625</v>
      </c>
      <c r="F170" s="5" t="str">
        <f>VLOOKUP(A170,Jogos!A:N,10,0)</f>
        <v>Afternoon</v>
      </c>
      <c r="G170" s="11" t="s">
        <v>376</v>
      </c>
      <c r="H170" s="6" t="str">
        <f>VLOOKUP(A170,Jogos!A:L,12,0)</f>
        <v>Closed</v>
      </c>
      <c r="I170" s="6" t="str">
        <f>VLOOKUP(G170,'Estádios e Cidades'!A:B,2,0)</f>
        <v>Atlanta</v>
      </c>
      <c r="J170" s="11" t="s">
        <v>378</v>
      </c>
      <c r="K170" s="2" t="str">
        <f>VLOOKUP(J170,Equipes!A:F,6,0)</f>
        <v>Temperate</v>
      </c>
      <c r="L170" s="2">
        <f>VLOOKUP(J170,Equipes!A:C,3,0)</f>
        <v>26</v>
      </c>
      <c r="M170" s="2" t="str">
        <f t="shared" si="4"/>
        <v>Group</v>
      </c>
      <c r="N170" s="11" t="s">
        <v>377</v>
      </c>
      <c r="O170" s="2">
        <f>VLOOKUP(N170,Equipes!A:C,3,0)</f>
        <v>1</v>
      </c>
      <c r="P170" s="2" t="str">
        <f t="shared" si="5"/>
        <v>Final</v>
      </c>
      <c r="Q170" s="2">
        <f t="shared" si="6"/>
        <v>25</v>
      </c>
      <c r="R170" s="2" t="str">
        <f>VLOOKUP(J170,Equipes!A:B,2,0)</f>
        <v>LAFC</v>
      </c>
      <c r="S170" s="6" t="s">
        <v>418</v>
      </c>
      <c r="T170" s="7">
        <v>14.0</v>
      </c>
      <c r="U170" s="7" t="s">
        <v>419</v>
      </c>
      <c r="V170" s="7" t="str">
        <f>VLOOKUP(U170,Jogadores!B:C,2,0)</f>
        <v>DF</v>
      </c>
      <c r="W170" s="8">
        <f>VLOOKUP(U170,Jogadores!B:D,3,0)</f>
        <v>29.36712329</v>
      </c>
      <c r="X170" s="7">
        <v>0.0</v>
      </c>
      <c r="Y170" s="7">
        <f>45+AB170</f>
        <v>93</v>
      </c>
      <c r="Z170" s="7">
        <f>VLOOKUP(A170,Jogos!A:L,3,0)</f>
        <v>47</v>
      </c>
      <c r="AA170" s="7">
        <f t="shared" si="7"/>
        <v>47</v>
      </c>
      <c r="AB170" s="7">
        <f>VLOOKUP(A170,Jogos!A:L,4,0)</f>
        <v>48</v>
      </c>
      <c r="AC170" s="7">
        <f t="shared" si="8"/>
        <v>48</v>
      </c>
      <c r="AD170" s="7"/>
      <c r="AE170" s="7"/>
      <c r="AF170" s="7">
        <f t="shared" si="9"/>
        <v>95</v>
      </c>
      <c r="AG170" s="7">
        <v>10423.7</v>
      </c>
      <c r="AH170" s="7">
        <v>3514.0</v>
      </c>
      <c r="AI170" s="7">
        <v>4722.2</v>
      </c>
      <c r="AJ170" s="7">
        <v>1330.6</v>
      </c>
      <c r="AK170" s="7">
        <v>523.2</v>
      </c>
      <c r="AL170" s="7">
        <v>333.6</v>
      </c>
      <c r="AM170" s="7">
        <v>105.0</v>
      </c>
      <c r="AN170" s="7">
        <v>43.0</v>
      </c>
      <c r="AO170" s="7">
        <v>31.4</v>
      </c>
      <c r="AP170" s="9">
        <f t="shared" ref="AP170:AR170" si="533">AG170/$AF170</f>
        <v>109.7231579</v>
      </c>
      <c r="AQ170" s="9">
        <f t="shared" si="533"/>
        <v>36.98947368</v>
      </c>
      <c r="AR170" s="9">
        <f t="shared" si="533"/>
        <v>49.70736842</v>
      </c>
      <c r="AS170" s="9">
        <f t="shared" si="11"/>
        <v>86.69684211</v>
      </c>
      <c r="AT170" s="9">
        <f t="shared" ref="AT170:AV170" si="534">AJ170/$AF170</f>
        <v>14.00631579</v>
      </c>
      <c r="AU170" s="9">
        <f t="shared" si="534"/>
        <v>5.507368421</v>
      </c>
      <c r="AV170" s="9">
        <f t="shared" si="534"/>
        <v>3.511578947</v>
      </c>
      <c r="AW170" s="9">
        <f t="shared" si="13"/>
        <v>9.018947368</v>
      </c>
      <c r="AX170" s="9">
        <f t="shared" ref="AX170:AY170" si="535">AM170/$AF170</f>
        <v>1.105263158</v>
      </c>
      <c r="AY170" s="9">
        <f t="shared" si="535"/>
        <v>0.4526315789</v>
      </c>
      <c r="AZ170" s="9">
        <f>VLOOKUP(A170,Jogos!A:BN,58,0)</f>
        <v>31.285</v>
      </c>
      <c r="BA170" s="9">
        <f>VLOOKUP(A170,Jogos!A:BN,59,0)</f>
        <v>21.16</v>
      </c>
      <c r="BB170" s="9">
        <f>VLOOKUP(A170,Jogos!A:BN,60,0)</f>
        <v>54.5</v>
      </c>
      <c r="BC170" s="9">
        <f>VLOOKUP(A170,Jogos!A:BN,61,0)</f>
        <v>32.535</v>
      </c>
      <c r="BD170" s="9">
        <f>VLOOKUP(A170,Jogos!A:BN,62,0)</f>
        <v>673.15</v>
      </c>
      <c r="BE170" s="9">
        <f>VLOOKUP(A170,Jogos!A:BN,63,0)</f>
        <v>1.915</v>
      </c>
      <c r="BF170" s="9">
        <f>VLOOKUP(A170,Jogos!A:BN,64,0)</f>
        <v>25.3</v>
      </c>
      <c r="BG170" s="9">
        <f>VLOOKUP(A170,Jogos!A:BN,65,0)</f>
        <v>45.645</v>
      </c>
      <c r="BH170" s="9">
        <f>VLOOKUP(A170,Jogos!A:BN,66,0)</f>
        <v>29.965</v>
      </c>
      <c r="BI170" s="9"/>
    </row>
    <row r="171" hidden="1">
      <c r="A171" s="10">
        <v>6.0</v>
      </c>
      <c r="B171" s="11" t="s">
        <v>375</v>
      </c>
      <c r="C171" s="2" t="s">
        <v>61</v>
      </c>
      <c r="D171" s="12">
        <v>45824.0</v>
      </c>
      <c r="E171" s="13">
        <v>0.625</v>
      </c>
      <c r="F171" s="5" t="str">
        <f>VLOOKUP(A171,Jogos!A:N,10,0)</f>
        <v>Afternoon</v>
      </c>
      <c r="G171" s="11" t="s">
        <v>376</v>
      </c>
      <c r="H171" s="6" t="str">
        <f>VLOOKUP(A171,Jogos!A:L,12,0)</f>
        <v>Closed</v>
      </c>
      <c r="I171" s="6" t="str">
        <f>VLOOKUP(G171,'Estádios e Cidades'!A:B,2,0)</f>
        <v>Atlanta</v>
      </c>
      <c r="J171" s="11" t="s">
        <v>378</v>
      </c>
      <c r="K171" s="2" t="str">
        <f>VLOOKUP(J171,Equipes!A:F,6,0)</f>
        <v>Temperate</v>
      </c>
      <c r="L171" s="2">
        <f>VLOOKUP(J171,Equipes!A:C,3,0)</f>
        <v>26</v>
      </c>
      <c r="M171" s="2" t="str">
        <f t="shared" si="4"/>
        <v>Group</v>
      </c>
      <c r="N171" s="11" t="s">
        <v>377</v>
      </c>
      <c r="O171" s="2">
        <f>VLOOKUP(N171,Equipes!A:C,3,0)</f>
        <v>1</v>
      </c>
      <c r="P171" s="2" t="str">
        <f t="shared" si="5"/>
        <v>Final</v>
      </c>
      <c r="Q171" s="2">
        <f t="shared" si="6"/>
        <v>25</v>
      </c>
      <c r="R171" s="2" t="str">
        <f>VLOOKUP(J171,Equipes!A:B,2,0)</f>
        <v>LAFC</v>
      </c>
      <c r="S171" s="6" t="s">
        <v>420</v>
      </c>
      <c r="T171" s="7">
        <v>17.0</v>
      </c>
      <c r="U171" s="7" t="s">
        <v>421</v>
      </c>
      <c r="V171" s="7" t="str">
        <f>VLOOKUP(U171,Jogadores!B:C,2,0)</f>
        <v>FW</v>
      </c>
      <c r="W171" s="8">
        <f>VLOOKUP(U171,Jogadores!B:D,3,0)</f>
        <v>28.46849315</v>
      </c>
      <c r="X171" s="7">
        <v>0.0</v>
      </c>
      <c r="Y171" s="7">
        <v>45.0</v>
      </c>
      <c r="Z171" s="7">
        <f>VLOOKUP(A171,Jogos!A:L,3,0)</f>
        <v>47</v>
      </c>
      <c r="AA171" s="7">
        <f t="shared" si="7"/>
        <v>47</v>
      </c>
      <c r="AB171" s="7">
        <f>VLOOKUP(A171,Jogos!A:L,4,0)</f>
        <v>48</v>
      </c>
      <c r="AC171" s="7">
        <f t="shared" si="8"/>
        <v>0</v>
      </c>
      <c r="AD171" s="7"/>
      <c r="AE171" s="7"/>
      <c r="AF171" s="7">
        <f t="shared" si="9"/>
        <v>47</v>
      </c>
      <c r="AG171" s="7">
        <v>5299.5</v>
      </c>
      <c r="AH171" s="7">
        <v>1895.1</v>
      </c>
      <c r="AI171" s="7">
        <v>2232.1</v>
      </c>
      <c r="AJ171" s="7">
        <v>832.6</v>
      </c>
      <c r="AK171" s="7">
        <v>269.1</v>
      </c>
      <c r="AL171" s="7">
        <v>70.5</v>
      </c>
      <c r="AM171" s="7">
        <v>68.0</v>
      </c>
      <c r="AN171" s="7">
        <v>24.0</v>
      </c>
      <c r="AO171" s="7">
        <v>29.1</v>
      </c>
      <c r="AP171" s="9">
        <f t="shared" ref="AP171:AR171" si="536">AG171/$AF171</f>
        <v>112.7553191</v>
      </c>
      <c r="AQ171" s="9">
        <f t="shared" si="536"/>
        <v>40.3212766</v>
      </c>
      <c r="AR171" s="9">
        <f t="shared" si="536"/>
        <v>47.49148936</v>
      </c>
      <c r="AS171" s="9">
        <f t="shared" si="11"/>
        <v>87.81276596</v>
      </c>
      <c r="AT171" s="9">
        <f t="shared" ref="AT171:AV171" si="537">AJ171/$AF171</f>
        <v>17.71489362</v>
      </c>
      <c r="AU171" s="9">
        <f t="shared" si="537"/>
        <v>5.725531915</v>
      </c>
      <c r="AV171" s="9">
        <f t="shared" si="537"/>
        <v>1.5</v>
      </c>
      <c r="AW171" s="9">
        <f t="shared" si="13"/>
        <v>7.225531915</v>
      </c>
      <c r="AX171" s="9">
        <f t="shared" ref="AX171:AY171" si="538">AM171/$AF171</f>
        <v>1.446808511</v>
      </c>
      <c r="AY171" s="9">
        <f t="shared" si="538"/>
        <v>0.5106382979</v>
      </c>
      <c r="AZ171" s="9">
        <f>VLOOKUP(A171,Jogos!A:BN,58,0)</f>
        <v>31.285</v>
      </c>
      <c r="BA171" s="9">
        <f>VLOOKUP(A171,Jogos!A:BN,59,0)</f>
        <v>21.16</v>
      </c>
      <c r="BB171" s="9">
        <f>VLOOKUP(A171,Jogos!A:BN,60,0)</f>
        <v>54.5</v>
      </c>
      <c r="BC171" s="9">
        <f>VLOOKUP(A171,Jogos!A:BN,61,0)</f>
        <v>32.535</v>
      </c>
      <c r="BD171" s="9">
        <f>VLOOKUP(A171,Jogos!A:BN,62,0)</f>
        <v>673.15</v>
      </c>
      <c r="BE171" s="9">
        <f>VLOOKUP(A171,Jogos!A:BN,63,0)</f>
        <v>1.915</v>
      </c>
      <c r="BF171" s="9">
        <f>VLOOKUP(A171,Jogos!A:BN,64,0)</f>
        <v>25.3</v>
      </c>
      <c r="BG171" s="9">
        <f>VLOOKUP(A171,Jogos!A:BN,65,0)</f>
        <v>45.645</v>
      </c>
      <c r="BH171" s="9">
        <f>VLOOKUP(A171,Jogos!A:BN,66,0)</f>
        <v>29.965</v>
      </c>
      <c r="BI171" s="9"/>
    </row>
    <row r="172" hidden="1">
      <c r="A172" s="10">
        <v>6.0</v>
      </c>
      <c r="B172" s="11" t="s">
        <v>375</v>
      </c>
      <c r="C172" s="2" t="s">
        <v>61</v>
      </c>
      <c r="D172" s="12">
        <v>45824.0</v>
      </c>
      <c r="E172" s="13">
        <v>0.625</v>
      </c>
      <c r="F172" s="5" t="str">
        <f>VLOOKUP(A172,Jogos!A:N,10,0)</f>
        <v>Afternoon</v>
      </c>
      <c r="G172" s="11" t="s">
        <v>376</v>
      </c>
      <c r="H172" s="6" t="str">
        <f>VLOOKUP(A172,Jogos!A:L,12,0)</f>
        <v>Closed</v>
      </c>
      <c r="I172" s="6" t="str">
        <f>VLOOKUP(G172,'Estádios e Cidades'!A:B,2,0)</f>
        <v>Atlanta</v>
      </c>
      <c r="J172" s="11" t="s">
        <v>378</v>
      </c>
      <c r="K172" s="2" t="str">
        <f>VLOOKUP(J172,Equipes!A:F,6,0)</f>
        <v>Temperate</v>
      </c>
      <c r="L172" s="2">
        <f>VLOOKUP(J172,Equipes!A:C,3,0)</f>
        <v>26</v>
      </c>
      <c r="M172" s="2" t="str">
        <f t="shared" si="4"/>
        <v>Group</v>
      </c>
      <c r="N172" s="11" t="s">
        <v>377</v>
      </c>
      <c r="O172" s="2">
        <f>VLOOKUP(N172,Equipes!A:C,3,0)</f>
        <v>1</v>
      </c>
      <c r="P172" s="2" t="str">
        <f t="shared" si="5"/>
        <v>Final</v>
      </c>
      <c r="Q172" s="2">
        <f t="shared" si="6"/>
        <v>25</v>
      </c>
      <c r="R172" s="2" t="str">
        <f>VLOOKUP(J172,Equipes!A:B,2,0)</f>
        <v>LAFC</v>
      </c>
      <c r="S172" s="6" t="s">
        <v>422</v>
      </c>
      <c r="T172" s="7">
        <v>24.0</v>
      </c>
      <c r="U172" s="7" t="s">
        <v>423</v>
      </c>
      <c r="V172" s="7" t="str">
        <f>VLOOKUP(U172,Jogadores!B:C,2,0)</f>
        <v>DF</v>
      </c>
      <c r="W172" s="8">
        <f>VLOOKUP(U172,Jogadores!B:D,3,0)</f>
        <v>34.30684932</v>
      </c>
      <c r="X172" s="7">
        <v>0.0</v>
      </c>
      <c r="Y172" s="7">
        <f>45+AB172</f>
        <v>93</v>
      </c>
      <c r="Z172" s="7">
        <f>VLOOKUP(A172,Jogos!A:L,3,0)</f>
        <v>47</v>
      </c>
      <c r="AA172" s="7">
        <f t="shared" si="7"/>
        <v>47</v>
      </c>
      <c r="AB172" s="7">
        <f>VLOOKUP(A172,Jogos!A:L,4,0)</f>
        <v>48</v>
      </c>
      <c r="AC172" s="7">
        <f t="shared" si="8"/>
        <v>48</v>
      </c>
      <c r="AD172" s="7"/>
      <c r="AE172" s="7"/>
      <c r="AF172" s="7">
        <f t="shared" si="9"/>
        <v>95</v>
      </c>
      <c r="AG172" s="7">
        <v>10488.6</v>
      </c>
      <c r="AH172" s="7">
        <v>3523.7</v>
      </c>
      <c r="AI172" s="7">
        <v>4681.2</v>
      </c>
      <c r="AJ172" s="7">
        <v>1278.5</v>
      </c>
      <c r="AK172" s="7">
        <v>689.4</v>
      </c>
      <c r="AL172" s="7">
        <v>315.8</v>
      </c>
      <c r="AM172" s="7">
        <v>103.0</v>
      </c>
      <c r="AN172" s="7">
        <v>49.0</v>
      </c>
      <c r="AO172" s="7">
        <v>31.4</v>
      </c>
      <c r="AP172" s="9">
        <f t="shared" ref="AP172:AR172" si="539">AG172/$AF172</f>
        <v>110.4063158</v>
      </c>
      <c r="AQ172" s="9">
        <f t="shared" si="539"/>
        <v>37.09157895</v>
      </c>
      <c r="AR172" s="9">
        <f t="shared" si="539"/>
        <v>49.27578947</v>
      </c>
      <c r="AS172" s="9">
        <f t="shared" si="11"/>
        <v>86.36736842</v>
      </c>
      <c r="AT172" s="9">
        <f t="shared" ref="AT172:AV172" si="540">AJ172/$AF172</f>
        <v>13.45789474</v>
      </c>
      <c r="AU172" s="9">
        <f t="shared" si="540"/>
        <v>7.256842105</v>
      </c>
      <c r="AV172" s="9">
        <f t="shared" si="540"/>
        <v>3.324210526</v>
      </c>
      <c r="AW172" s="9">
        <f t="shared" si="13"/>
        <v>10.58105263</v>
      </c>
      <c r="AX172" s="9">
        <f t="shared" ref="AX172:AY172" si="541">AM172/$AF172</f>
        <v>1.084210526</v>
      </c>
      <c r="AY172" s="9">
        <f t="shared" si="541"/>
        <v>0.5157894737</v>
      </c>
      <c r="AZ172" s="9">
        <f>VLOOKUP(A172,Jogos!A:BN,58,0)</f>
        <v>31.285</v>
      </c>
      <c r="BA172" s="9">
        <f>VLOOKUP(A172,Jogos!A:BN,59,0)</f>
        <v>21.16</v>
      </c>
      <c r="BB172" s="9">
        <f>VLOOKUP(A172,Jogos!A:BN,60,0)</f>
        <v>54.5</v>
      </c>
      <c r="BC172" s="9">
        <f>VLOOKUP(A172,Jogos!A:BN,61,0)</f>
        <v>32.535</v>
      </c>
      <c r="BD172" s="9">
        <f>VLOOKUP(A172,Jogos!A:BN,62,0)</f>
        <v>673.15</v>
      </c>
      <c r="BE172" s="9">
        <f>VLOOKUP(A172,Jogos!A:BN,63,0)</f>
        <v>1.915</v>
      </c>
      <c r="BF172" s="9">
        <f>VLOOKUP(A172,Jogos!A:BN,64,0)</f>
        <v>25.3</v>
      </c>
      <c r="BG172" s="9">
        <f>VLOOKUP(A172,Jogos!A:BN,65,0)</f>
        <v>45.645</v>
      </c>
      <c r="BH172" s="9">
        <f>VLOOKUP(A172,Jogos!A:BN,66,0)</f>
        <v>29.965</v>
      </c>
      <c r="BI172" s="9"/>
    </row>
    <row r="173" hidden="1">
      <c r="A173" s="10">
        <v>6.0</v>
      </c>
      <c r="B173" s="11" t="s">
        <v>375</v>
      </c>
      <c r="C173" s="2" t="s">
        <v>61</v>
      </c>
      <c r="D173" s="12">
        <v>45824.0</v>
      </c>
      <c r="E173" s="13">
        <v>0.625</v>
      </c>
      <c r="F173" s="5" t="str">
        <f>VLOOKUP(A173,Jogos!A:N,10,0)</f>
        <v>Afternoon</v>
      </c>
      <c r="G173" s="11" t="s">
        <v>376</v>
      </c>
      <c r="H173" s="6" t="str">
        <f>VLOOKUP(A173,Jogos!A:L,12,0)</f>
        <v>Closed</v>
      </c>
      <c r="I173" s="6" t="str">
        <f>VLOOKUP(G173,'Estádios e Cidades'!A:B,2,0)</f>
        <v>Atlanta</v>
      </c>
      <c r="J173" s="11" t="s">
        <v>378</v>
      </c>
      <c r="K173" s="2" t="str">
        <f>VLOOKUP(J173,Equipes!A:F,6,0)</f>
        <v>Temperate</v>
      </c>
      <c r="L173" s="2">
        <f>VLOOKUP(J173,Equipes!A:C,3,0)</f>
        <v>26</v>
      </c>
      <c r="M173" s="2" t="str">
        <f t="shared" si="4"/>
        <v>Group</v>
      </c>
      <c r="N173" s="11" t="s">
        <v>377</v>
      </c>
      <c r="O173" s="2">
        <f>VLOOKUP(N173,Equipes!A:C,3,0)</f>
        <v>1</v>
      </c>
      <c r="P173" s="2" t="str">
        <f t="shared" si="5"/>
        <v>Final</v>
      </c>
      <c r="Q173" s="2">
        <f t="shared" si="6"/>
        <v>25</v>
      </c>
      <c r="R173" s="2" t="str">
        <f>VLOOKUP(J173,Equipes!A:B,2,0)</f>
        <v>LAFC</v>
      </c>
      <c r="S173" s="6" t="s">
        <v>424</v>
      </c>
      <c r="T173" s="7">
        <v>27.0</v>
      </c>
      <c r="U173" s="7" t="s">
        <v>425</v>
      </c>
      <c r="V173" s="7" t="str">
        <f>VLOOKUP(U173,Jogadores!B:C,2,0)</f>
        <v>FW</v>
      </c>
      <c r="W173" s="8">
        <f>VLOOKUP(U173,Jogadores!B:D,3,0)</f>
        <v>21.55616438</v>
      </c>
      <c r="X173" s="7">
        <v>0.0</v>
      </c>
      <c r="Y173" s="7">
        <v>38.0</v>
      </c>
      <c r="Z173" s="7">
        <f>VLOOKUP(A173,Jogos!A:L,3,0)</f>
        <v>47</v>
      </c>
      <c r="AA173" s="7">
        <f t="shared" si="7"/>
        <v>38</v>
      </c>
      <c r="AB173" s="7">
        <f>VLOOKUP(A173,Jogos!A:L,4,0)</f>
        <v>48</v>
      </c>
      <c r="AC173" s="7">
        <f t="shared" si="8"/>
        <v>0</v>
      </c>
      <c r="AD173" s="7"/>
      <c r="AE173" s="7"/>
      <c r="AF173" s="7">
        <f t="shared" si="9"/>
        <v>38</v>
      </c>
      <c r="AG173" s="7">
        <v>4735.1</v>
      </c>
      <c r="AH173" s="7">
        <v>1441.0</v>
      </c>
      <c r="AI173" s="7">
        <v>2147.0</v>
      </c>
      <c r="AJ173" s="7">
        <v>686.1</v>
      </c>
      <c r="AK173" s="7">
        <v>283.5</v>
      </c>
      <c r="AL173" s="7">
        <v>177.5</v>
      </c>
      <c r="AM173" s="7">
        <v>60.0</v>
      </c>
      <c r="AN173" s="7">
        <v>29.0</v>
      </c>
      <c r="AO173" s="7">
        <v>32.1</v>
      </c>
      <c r="AP173" s="9">
        <f t="shared" ref="AP173:AR173" si="542">AG173/$AF173</f>
        <v>124.6078947</v>
      </c>
      <c r="AQ173" s="9">
        <f t="shared" si="542"/>
        <v>37.92105263</v>
      </c>
      <c r="AR173" s="9">
        <f t="shared" si="542"/>
        <v>56.5</v>
      </c>
      <c r="AS173" s="9">
        <f t="shared" si="11"/>
        <v>94.42105263</v>
      </c>
      <c r="AT173" s="9">
        <f t="shared" ref="AT173:AV173" si="543">AJ173/$AF173</f>
        <v>18.05526316</v>
      </c>
      <c r="AU173" s="9">
        <f t="shared" si="543"/>
        <v>7.460526316</v>
      </c>
      <c r="AV173" s="9">
        <f t="shared" si="543"/>
        <v>4.671052632</v>
      </c>
      <c r="AW173" s="9">
        <f t="shared" si="13"/>
        <v>12.13157895</v>
      </c>
      <c r="AX173" s="9">
        <f t="shared" ref="AX173:AY173" si="544">AM173/$AF173</f>
        <v>1.578947368</v>
      </c>
      <c r="AY173" s="9">
        <f t="shared" si="544"/>
        <v>0.7631578947</v>
      </c>
      <c r="AZ173" s="9">
        <f>VLOOKUP(A173,Jogos!A:BN,58,0)</f>
        <v>31.285</v>
      </c>
      <c r="BA173" s="9">
        <f>VLOOKUP(A173,Jogos!A:BN,59,0)</f>
        <v>21.16</v>
      </c>
      <c r="BB173" s="9">
        <f>VLOOKUP(A173,Jogos!A:BN,60,0)</f>
        <v>54.5</v>
      </c>
      <c r="BC173" s="9">
        <f>VLOOKUP(A173,Jogos!A:BN,61,0)</f>
        <v>32.535</v>
      </c>
      <c r="BD173" s="9">
        <f>VLOOKUP(A173,Jogos!A:BN,62,0)</f>
        <v>673.15</v>
      </c>
      <c r="BE173" s="9">
        <f>VLOOKUP(A173,Jogos!A:BN,63,0)</f>
        <v>1.915</v>
      </c>
      <c r="BF173" s="9">
        <f>VLOOKUP(A173,Jogos!A:BN,64,0)</f>
        <v>25.3</v>
      </c>
      <c r="BG173" s="9">
        <f>VLOOKUP(A173,Jogos!A:BN,65,0)</f>
        <v>45.645</v>
      </c>
      <c r="BH173" s="9">
        <f>VLOOKUP(A173,Jogos!A:BN,66,0)</f>
        <v>29.965</v>
      </c>
      <c r="BI173" s="9"/>
    </row>
    <row r="174" hidden="1">
      <c r="A174" s="10">
        <v>6.0</v>
      </c>
      <c r="B174" s="11" t="s">
        <v>375</v>
      </c>
      <c r="C174" s="2" t="s">
        <v>61</v>
      </c>
      <c r="D174" s="12">
        <v>45824.0</v>
      </c>
      <c r="E174" s="13">
        <v>0.625</v>
      </c>
      <c r="F174" s="5" t="str">
        <f>VLOOKUP(A174,Jogos!A:N,10,0)</f>
        <v>Afternoon</v>
      </c>
      <c r="G174" s="11" t="s">
        <v>376</v>
      </c>
      <c r="H174" s="6" t="str">
        <f>VLOOKUP(A174,Jogos!A:L,12,0)</f>
        <v>Closed</v>
      </c>
      <c r="I174" s="6" t="str">
        <f>VLOOKUP(G174,'Estádios e Cidades'!A:B,2,0)</f>
        <v>Atlanta</v>
      </c>
      <c r="J174" s="11" t="s">
        <v>378</v>
      </c>
      <c r="K174" s="2" t="str">
        <f>VLOOKUP(J174,Equipes!A:F,6,0)</f>
        <v>Temperate</v>
      </c>
      <c r="L174" s="2">
        <f>VLOOKUP(J174,Equipes!A:C,3,0)</f>
        <v>26</v>
      </c>
      <c r="M174" s="2" t="str">
        <f t="shared" si="4"/>
        <v>Group</v>
      </c>
      <c r="N174" s="11" t="s">
        <v>377</v>
      </c>
      <c r="O174" s="2">
        <f>VLOOKUP(N174,Equipes!A:C,3,0)</f>
        <v>1</v>
      </c>
      <c r="P174" s="2" t="str">
        <f t="shared" si="5"/>
        <v>Final</v>
      </c>
      <c r="Q174" s="2">
        <f t="shared" si="6"/>
        <v>25</v>
      </c>
      <c r="R174" s="2" t="str">
        <f>VLOOKUP(J174,Equipes!A:B,2,0)</f>
        <v>LAFC</v>
      </c>
      <c r="S174" s="6" t="s">
        <v>426</v>
      </c>
      <c r="T174" s="7">
        <v>33.0</v>
      </c>
      <c r="U174" s="7" t="s">
        <v>427</v>
      </c>
      <c r="V174" s="7" t="str">
        <f>VLOOKUP(U174,Jogadores!B:C,2,0)</f>
        <v>DF</v>
      </c>
      <c r="W174" s="8">
        <f>VLOOKUP(U174,Jogadores!B:D,3,0)</f>
        <v>32.81369863</v>
      </c>
      <c r="X174" s="7">
        <v>0.0</v>
      </c>
      <c r="Y174" s="7">
        <f t="shared" ref="Y174:Y180" si="548">45+AB174</f>
        <v>93</v>
      </c>
      <c r="Z174" s="7">
        <f>VLOOKUP(A174,Jogos!A:L,3,0)</f>
        <v>47</v>
      </c>
      <c r="AA174" s="7">
        <f t="shared" si="7"/>
        <v>47</v>
      </c>
      <c r="AB174" s="7">
        <f>VLOOKUP(A174,Jogos!A:L,4,0)</f>
        <v>48</v>
      </c>
      <c r="AC174" s="7">
        <f t="shared" si="8"/>
        <v>48</v>
      </c>
      <c r="AD174" s="7"/>
      <c r="AE174" s="7"/>
      <c r="AF174" s="7">
        <f t="shared" si="9"/>
        <v>95</v>
      </c>
      <c r="AG174" s="7">
        <v>9349.0</v>
      </c>
      <c r="AH174" s="7">
        <v>3918.0</v>
      </c>
      <c r="AI174" s="7">
        <v>4070.3</v>
      </c>
      <c r="AJ174" s="7">
        <v>949.7</v>
      </c>
      <c r="AK174" s="7">
        <v>307.3</v>
      </c>
      <c r="AL174" s="7">
        <v>103.7</v>
      </c>
      <c r="AM174" s="7">
        <v>82.0</v>
      </c>
      <c r="AN174" s="7">
        <v>23.0</v>
      </c>
      <c r="AO174" s="7">
        <v>34.5</v>
      </c>
      <c r="AP174" s="9">
        <f t="shared" ref="AP174:AR174" si="545">AG174/$AF174</f>
        <v>98.41052632</v>
      </c>
      <c r="AQ174" s="9">
        <f t="shared" si="545"/>
        <v>41.24210526</v>
      </c>
      <c r="AR174" s="9">
        <f t="shared" si="545"/>
        <v>42.84526316</v>
      </c>
      <c r="AS174" s="9">
        <f t="shared" si="11"/>
        <v>84.08736842</v>
      </c>
      <c r="AT174" s="9">
        <f t="shared" ref="AT174:AV174" si="546">AJ174/$AF174</f>
        <v>9.996842105</v>
      </c>
      <c r="AU174" s="9">
        <f t="shared" si="546"/>
        <v>3.234736842</v>
      </c>
      <c r="AV174" s="9">
        <f t="shared" si="546"/>
        <v>1.091578947</v>
      </c>
      <c r="AW174" s="9">
        <f t="shared" si="13"/>
        <v>4.326315789</v>
      </c>
      <c r="AX174" s="9">
        <f t="shared" ref="AX174:AY174" si="547">AM174/$AF174</f>
        <v>0.8631578947</v>
      </c>
      <c r="AY174" s="9">
        <f t="shared" si="547"/>
        <v>0.2421052632</v>
      </c>
      <c r="AZ174" s="9">
        <f>VLOOKUP(A174,Jogos!A:BN,58,0)</f>
        <v>31.285</v>
      </c>
      <c r="BA174" s="9">
        <f>VLOOKUP(A174,Jogos!A:BN,59,0)</f>
        <v>21.16</v>
      </c>
      <c r="BB174" s="9">
        <f>VLOOKUP(A174,Jogos!A:BN,60,0)</f>
        <v>54.5</v>
      </c>
      <c r="BC174" s="9">
        <f>VLOOKUP(A174,Jogos!A:BN,61,0)</f>
        <v>32.535</v>
      </c>
      <c r="BD174" s="9">
        <f>VLOOKUP(A174,Jogos!A:BN,62,0)</f>
        <v>673.15</v>
      </c>
      <c r="BE174" s="9">
        <f>VLOOKUP(A174,Jogos!A:BN,63,0)</f>
        <v>1.915</v>
      </c>
      <c r="BF174" s="9">
        <f>VLOOKUP(A174,Jogos!A:BN,64,0)</f>
        <v>25.3</v>
      </c>
      <c r="BG174" s="9">
        <f>VLOOKUP(A174,Jogos!A:BN,65,0)</f>
        <v>45.645</v>
      </c>
      <c r="BH174" s="9">
        <f>VLOOKUP(A174,Jogos!A:BN,66,0)</f>
        <v>29.965</v>
      </c>
      <c r="BI174" s="9"/>
    </row>
    <row r="175" hidden="1">
      <c r="A175" s="10">
        <v>6.0</v>
      </c>
      <c r="B175" s="11" t="s">
        <v>375</v>
      </c>
      <c r="C175" s="2" t="s">
        <v>61</v>
      </c>
      <c r="D175" s="12">
        <v>45824.0</v>
      </c>
      <c r="E175" s="13">
        <v>0.625</v>
      </c>
      <c r="F175" s="5" t="str">
        <f>VLOOKUP(A175,Jogos!A:N,10,0)</f>
        <v>Afternoon</v>
      </c>
      <c r="G175" s="11" t="s">
        <v>376</v>
      </c>
      <c r="H175" s="6" t="str">
        <f>VLOOKUP(A175,Jogos!A:L,12,0)</f>
        <v>Closed</v>
      </c>
      <c r="I175" s="6" t="str">
        <f>VLOOKUP(G175,'Estádios e Cidades'!A:B,2,0)</f>
        <v>Atlanta</v>
      </c>
      <c r="J175" s="11" t="s">
        <v>378</v>
      </c>
      <c r="K175" s="2" t="str">
        <f>VLOOKUP(J175,Equipes!A:F,6,0)</f>
        <v>Temperate</v>
      </c>
      <c r="L175" s="2">
        <f>VLOOKUP(J175,Equipes!A:C,3,0)</f>
        <v>26</v>
      </c>
      <c r="M175" s="2" t="str">
        <f t="shared" si="4"/>
        <v>Group</v>
      </c>
      <c r="N175" s="11" t="s">
        <v>377</v>
      </c>
      <c r="O175" s="2">
        <f>VLOOKUP(N175,Equipes!A:C,3,0)</f>
        <v>1</v>
      </c>
      <c r="P175" s="2" t="str">
        <f t="shared" si="5"/>
        <v>Final</v>
      </c>
      <c r="Q175" s="2">
        <f t="shared" si="6"/>
        <v>25</v>
      </c>
      <c r="R175" s="2" t="str">
        <f>VLOOKUP(J175,Equipes!A:B,2,0)</f>
        <v>LAFC</v>
      </c>
      <c r="S175" s="6" t="s">
        <v>428</v>
      </c>
      <c r="T175" s="7">
        <v>99.0</v>
      </c>
      <c r="U175" s="7" t="s">
        <v>429</v>
      </c>
      <c r="V175" s="7" t="str">
        <f>VLOOKUP(U175,Jogadores!B:C,2,0)</f>
        <v>FW</v>
      </c>
      <c r="W175" s="8">
        <f>VLOOKUP(U175,Jogadores!B:D,3,0)</f>
        <v>30.73150685</v>
      </c>
      <c r="X175" s="7">
        <v>0.0</v>
      </c>
      <c r="Y175" s="7">
        <f t="shared" si="548"/>
        <v>93</v>
      </c>
      <c r="Z175" s="7">
        <f>VLOOKUP(A175,Jogos!A:L,3,0)</f>
        <v>47</v>
      </c>
      <c r="AA175" s="7">
        <f t="shared" si="7"/>
        <v>47</v>
      </c>
      <c r="AB175" s="7">
        <f>VLOOKUP(A175,Jogos!A:L,4,0)</f>
        <v>48</v>
      </c>
      <c r="AC175" s="7">
        <f t="shared" si="8"/>
        <v>48</v>
      </c>
      <c r="AD175" s="7"/>
      <c r="AE175" s="7"/>
      <c r="AF175" s="7">
        <f t="shared" si="9"/>
        <v>95</v>
      </c>
      <c r="AG175" s="7">
        <v>10502.6</v>
      </c>
      <c r="AH175" s="7">
        <v>4129.3</v>
      </c>
      <c r="AI175" s="7">
        <v>4426.5</v>
      </c>
      <c r="AJ175" s="7">
        <v>1112.7</v>
      </c>
      <c r="AK175" s="7">
        <v>535.4</v>
      </c>
      <c r="AL175" s="7">
        <v>298.6</v>
      </c>
      <c r="AM175" s="7">
        <v>100.0</v>
      </c>
      <c r="AN175" s="7">
        <v>40.0</v>
      </c>
      <c r="AO175" s="7">
        <v>34.6</v>
      </c>
      <c r="AP175" s="9">
        <f t="shared" ref="AP175:AR175" si="549">AG175/$AF175</f>
        <v>110.5536842</v>
      </c>
      <c r="AQ175" s="9">
        <f t="shared" si="549"/>
        <v>43.46631579</v>
      </c>
      <c r="AR175" s="9">
        <f t="shared" si="549"/>
        <v>46.59473684</v>
      </c>
      <c r="AS175" s="9">
        <f t="shared" si="11"/>
        <v>90.06105263</v>
      </c>
      <c r="AT175" s="9">
        <f t="shared" ref="AT175:AV175" si="550">AJ175/$AF175</f>
        <v>11.71263158</v>
      </c>
      <c r="AU175" s="9">
        <f t="shared" si="550"/>
        <v>5.635789474</v>
      </c>
      <c r="AV175" s="9">
        <f t="shared" si="550"/>
        <v>3.143157895</v>
      </c>
      <c r="AW175" s="9">
        <f t="shared" si="13"/>
        <v>8.778947368</v>
      </c>
      <c r="AX175" s="9">
        <f t="shared" ref="AX175:AY175" si="551">AM175/$AF175</f>
        <v>1.052631579</v>
      </c>
      <c r="AY175" s="9">
        <f t="shared" si="551"/>
        <v>0.4210526316</v>
      </c>
      <c r="AZ175" s="9">
        <f>VLOOKUP(A175,Jogos!A:BN,58,0)</f>
        <v>31.285</v>
      </c>
      <c r="BA175" s="9">
        <f>VLOOKUP(A175,Jogos!A:BN,59,0)</f>
        <v>21.16</v>
      </c>
      <c r="BB175" s="9">
        <f>VLOOKUP(A175,Jogos!A:BN,60,0)</f>
        <v>54.5</v>
      </c>
      <c r="BC175" s="9">
        <f>VLOOKUP(A175,Jogos!A:BN,61,0)</f>
        <v>32.535</v>
      </c>
      <c r="BD175" s="9">
        <f>VLOOKUP(A175,Jogos!A:BN,62,0)</f>
        <v>673.15</v>
      </c>
      <c r="BE175" s="9">
        <f>VLOOKUP(A175,Jogos!A:BN,63,0)</f>
        <v>1.915</v>
      </c>
      <c r="BF175" s="9">
        <f>VLOOKUP(A175,Jogos!A:BN,64,0)</f>
        <v>25.3</v>
      </c>
      <c r="BG175" s="9">
        <f>VLOOKUP(A175,Jogos!A:BN,65,0)</f>
        <v>45.645</v>
      </c>
      <c r="BH175" s="9">
        <f>VLOOKUP(A175,Jogos!A:BN,66,0)</f>
        <v>29.965</v>
      </c>
      <c r="BI175" s="9"/>
    </row>
    <row r="176" hidden="1">
      <c r="A176" s="10">
        <v>6.0</v>
      </c>
      <c r="B176" s="11" t="s">
        <v>375</v>
      </c>
      <c r="C176" s="2" t="s">
        <v>61</v>
      </c>
      <c r="D176" s="12">
        <v>45824.0</v>
      </c>
      <c r="E176" s="13">
        <v>0.625</v>
      </c>
      <c r="F176" s="5" t="str">
        <f>VLOOKUP(A176,Jogos!A:N,10,0)</f>
        <v>Afternoon</v>
      </c>
      <c r="G176" s="11" t="s">
        <v>376</v>
      </c>
      <c r="H176" s="6" t="str">
        <f>VLOOKUP(A176,Jogos!A:L,12,0)</f>
        <v>Closed</v>
      </c>
      <c r="I176" s="6" t="str">
        <f>VLOOKUP(G176,'Estádios e Cidades'!A:B,2,0)</f>
        <v>Atlanta</v>
      </c>
      <c r="J176" s="11" t="s">
        <v>378</v>
      </c>
      <c r="K176" s="2" t="str">
        <f>VLOOKUP(J176,Equipes!A:F,6,0)</f>
        <v>Temperate</v>
      </c>
      <c r="L176" s="2">
        <f>VLOOKUP(J176,Equipes!A:C,3,0)</f>
        <v>26</v>
      </c>
      <c r="M176" s="2" t="str">
        <f t="shared" si="4"/>
        <v>Group</v>
      </c>
      <c r="N176" s="11" t="s">
        <v>377</v>
      </c>
      <c r="O176" s="2">
        <f>VLOOKUP(N176,Equipes!A:C,3,0)</f>
        <v>1</v>
      </c>
      <c r="P176" s="2" t="str">
        <f t="shared" si="5"/>
        <v>Final</v>
      </c>
      <c r="Q176" s="2">
        <f t="shared" si="6"/>
        <v>25</v>
      </c>
      <c r="R176" s="2" t="str">
        <f>VLOOKUP(J176,Equipes!A:B,2,0)</f>
        <v>LAFC</v>
      </c>
      <c r="S176" s="6" t="s">
        <v>430</v>
      </c>
      <c r="T176" s="7">
        <v>5.0</v>
      </c>
      <c r="U176" s="7" t="s">
        <v>431</v>
      </c>
      <c r="V176" s="7" t="str">
        <f>VLOOKUP(U176,Jogadores!B:C,2,0)</f>
        <v>DF</v>
      </c>
      <c r="W176" s="8">
        <f>VLOOKUP(U176,Jogadores!B:D,3,0)</f>
        <v>29.90958904</v>
      </c>
      <c r="X176" s="7">
        <v>87.0</v>
      </c>
      <c r="Y176" s="7">
        <f t="shared" si="548"/>
        <v>93</v>
      </c>
      <c r="Z176" s="7">
        <f>VLOOKUP(A176,Jogos!A:L,3,0)</f>
        <v>47</v>
      </c>
      <c r="AA176" s="7">
        <f t="shared" si="7"/>
        <v>0</v>
      </c>
      <c r="AB176" s="7">
        <f>VLOOKUP(A176,Jogos!A:L,4,0)</f>
        <v>48</v>
      </c>
      <c r="AC176" s="7">
        <f t="shared" si="8"/>
        <v>6</v>
      </c>
      <c r="AD176" s="7"/>
      <c r="AE176" s="7"/>
      <c r="AF176" s="7">
        <f t="shared" si="9"/>
        <v>6</v>
      </c>
      <c r="AG176" s="7">
        <v>774.0</v>
      </c>
      <c r="AH176" s="7">
        <v>208.4</v>
      </c>
      <c r="AI176" s="7">
        <v>409.3</v>
      </c>
      <c r="AJ176" s="7">
        <v>100.6</v>
      </c>
      <c r="AK176" s="7">
        <v>31.1</v>
      </c>
      <c r="AL176" s="7">
        <v>24.6</v>
      </c>
      <c r="AM176" s="7">
        <v>10.0</v>
      </c>
      <c r="AN176" s="7">
        <v>2.0</v>
      </c>
      <c r="AO176" s="7">
        <v>27.3</v>
      </c>
      <c r="AP176" s="9">
        <f t="shared" ref="AP176:AR176" si="552">AG176/$AF176</f>
        <v>129</v>
      </c>
      <c r="AQ176" s="9">
        <f t="shared" si="552"/>
        <v>34.73333333</v>
      </c>
      <c r="AR176" s="9">
        <f t="shared" si="552"/>
        <v>68.21666667</v>
      </c>
      <c r="AS176" s="9">
        <f t="shared" si="11"/>
        <v>102.95</v>
      </c>
      <c r="AT176" s="9">
        <f t="shared" ref="AT176:AV176" si="553">AJ176/$AF176</f>
        <v>16.76666667</v>
      </c>
      <c r="AU176" s="9">
        <f t="shared" si="553"/>
        <v>5.183333333</v>
      </c>
      <c r="AV176" s="9">
        <f t="shared" si="553"/>
        <v>4.1</v>
      </c>
      <c r="AW176" s="9">
        <f t="shared" si="13"/>
        <v>9.283333333</v>
      </c>
      <c r="AX176" s="9">
        <f t="shared" ref="AX176:AY176" si="554">AM176/$AF176</f>
        <v>1.666666667</v>
      </c>
      <c r="AY176" s="9">
        <f t="shared" si="554"/>
        <v>0.3333333333</v>
      </c>
      <c r="AZ176" s="9">
        <f>VLOOKUP(A176,Jogos!A:BN,58,0)</f>
        <v>31.285</v>
      </c>
      <c r="BA176" s="9">
        <f>VLOOKUP(A176,Jogos!A:BN,59,0)</f>
        <v>21.16</v>
      </c>
      <c r="BB176" s="9">
        <f>VLOOKUP(A176,Jogos!A:BN,60,0)</f>
        <v>54.5</v>
      </c>
      <c r="BC176" s="9">
        <f>VLOOKUP(A176,Jogos!A:BN,61,0)</f>
        <v>32.535</v>
      </c>
      <c r="BD176" s="9">
        <f>VLOOKUP(A176,Jogos!A:BN,62,0)</f>
        <v>673.15</v>
      </c>
      <c r="BE176" s="9">
        <f>VLOOKUP(A176,Jogos!A:BN,63,0)</f>
        <v>1.915</v>
      </c>
      <c r="BF176" s="9">
        <f>VLOOKUP(A176,Jogos!A:BN,64,0)</f>
        <v>25.3</v>
      </c>
      <c r="BG176" s="9">
        <f>VLOOKUP(A176,Jogos!A:BN,65,0)</f>
        <v>45.645</v>
      </c>
      <c r="BH176" s="9">
        <f>VLOOKUP(A176,Jogos!A:BN,66,0)</f>
        <v>29.965</v>
      </c>
      <c r="BI176" s="9"/>
    </row>
    <row r="177" hidden="1">
      <c r="A177" s="10">
        <v>6.0</v>
      </c>
      <c r="B177" s="11" t="s">
        <v>375</v>
      </c>
      <c r="C177" s="2" t="s">
        <v>61</v>
      </c>
      <c r="D177" s="12">
        <v>45824.0</v>
      </c>
      <c r="E177" s="13">
        <v>0.625</v>
      </c>
      <c r="F177" s="5" t="str">
        <f>VLOOKUP(A177,Jogos!A:N,10,0)</f>
        <v>Afternoon</v>
      </c>
      <c r="G177" s="11" t="s">
        <v>376</v>
      </c>
      <c r="H177" s="6" t="str">
        <f>VLOOKUP(A177,Jogos!A:L,12,0)</f>
        <v>Closed</v>
      </c>
      <c r="I177" s="6" t="str">
        <f>VLOOKUP(G177,'Estádios e Cidades'!A:B,2,0)</f>
        <v>Atlanta</v>
      </c>
      <c r="J177" s="11" t="s">
        <v>378</v>
      </c>
      <c r="K177" s="2" t="str">
        <f>VLOOKUP(J177,Equipes!A:F,6,0)</f>
        <v>Temperate</v>
      </c>
      <c r="L177" s="2">
        <f>VLOOKUP(J177,Equipes!A:C,3,0)</f>
        <v>26</v>
      </c>
      <c r="M177" s="2" t="str">
        <f t="shared" si="4"/>
        <v>Group</v>
      </c>
      <c r="N177" s="11" t="s">
        <v>377</v>
      </c>
      <c r="O177" s="2">
        <f>VLOOKUP(N177,Equipes!A:C,3,0)</f>
        <v>1</v>
      </c>
      <c r="P177" s="2" t="str">
        <f t="shared" si="5"/>
        <v>Final</v>
      </c>
      <c r="Q177" s="2">
        <f t="shared" si="6"/>
        <v>25</v>
      </c>
      <c r="R177" s="2" t="str">
        <f>VLOOKUP(J177,Equipes!A:B,2,0)</f>
        <v>LAFC</v>
      </c>
      <c r="S177" s="6" t="s">
        <v>432</v>
      </c>
      <c r="T177" s="7">
        <v>9.0</v>
      </c>
      <c r="U177" s="7" t="s">
        <v>433</v>
      </c>
      <c r="V177" s="7" t="str">
        <f>VLOOKUP(U177,Jogadores!B:C,2,0)</f>
        <v>FW</v>
      </c>
      <c r="W177" s="8">
        <f>VLOOKUP(U177,Jogadores!B:D,3,0)</f>
        <v>38.85205479</v>
      </c>
      <c r="X177" s="7">
        <v>45.0</v>
      </c>
      <c r="Y177" s="7">
        <f t="shared" si="548"/>
        <v>93</v>
      </c>
      <c r="Z177" s="7">
        <f>VLOOKUP(A177,Jogos!A:L,3,0)</f>
        <v>47</v>
      </c>
      <c r="AA177" s="7">
        <f t="shared" si="7"/>
        <v>0</v>
      </c>
      <c r="AB177" s="7">
        <f>VLOOKUP(A177,Jogos!A:L,4,0)</f>
        <v>48</v>
      </c>
      <c r="AC177" s="7">
        <f t="shared" si="8"/>
        <v>48</v>
      </c>
      <c r="AD177" s="7"/>
      <c r="AE177" s="7"/>
      <c r="AF177" s="7">
        <f t="shared" si="9"/>
        <v>48</v>
      </c>
      <c r="AG177" s="7">
        <v>5234.9</v>
      </c>
      <c r="AH177" s="7">
        <v>1929.4</v>
      </c>
      <c r="AI177" s="7">
        <v>2032.3</v>
      </c>
      <c r="AJ177" s="7">
        <v>753.6</v>
      </c>
      <c r="AK177" s="7">
        <v>401.1</v>
      </c>
      <c r="AL177" s="7">
        <v>118.4</v>
      </c>
      <c r="AM177" s="7">
        <v>66.0</v>
      </c>
      <c r="AN177" s="7">
        <v>31.0</v>
      </c>
      <c r="AO177" s="7">
        <v>29.5</v>
      </c>
      <c r="AP177" s="9">
        <f t="shared" ref="AP177:AR177" si="555">AG177/$AF177</f>
        <v>109.0604167</v>
      </c>
      <c r="AQ177" s="9">
        <f t="shared" si="555"/>
        <v>40.19583333</v>
      </c>
      <c r="AR177" s="9">
        <f t="shared" si="555"/>
        <v>42.33958333</v>
      </c>
      <c r="AS177" s="9">
        <f t="shared" si="11"/>
        <v>82.53541667</v>
      </c>
      <c r="AT177" s="9">
        <f t="shared" ref="AT177:AV177" si="556">AJ177/$AF177</f>
        <v>15.7</v>
      </c>
      <c r="AU177" s="9">
        <f t="shared" si="556"/>
        <v>8.35625</v>
      </c>
      <c r="AV177" s="9">
        <f t="shared" si="556"/>
        <v>2.466666667</v>
      </c>
      <c r="AW177" s="9">
        <f t="shared" si="13"/>
        <v>10.82291667</v>
      </c>
      <c r="AX177" s="9">
        <f t="shared" ref="AX177:AY177" si="557">AM177/$AF177</f>
        <v>1.375</v>
      </c>
      <c r="AY177" s="9">
        <f t="shared" si="557"/>
        <v>0.6458333333</v>
      </c>
      <c r="AZ177" s="9">
        <f>VLOOKUP(A177,Jogos!A:BN,58,0)</f>
        <v>31.285</v>
      </c>
      <c r="BA177" s="9">
        <f>VLOOKUP(A177,Jogos!A:BN,59,0)</f>
        <v>21.16</v>
      </c>
      <c r="BB177" s="9">
        <f>VLOOKUP(A177,Jogos!A:BN,60,0)</f>
        <v>54.5</v>
      </c>
      <c r="BC177" s="9">
        <f>VLOOKUP(A177,Jogos!A:BN,61,0)</f>
        <v>32.535</v>
      </c>
      <c r="BD177" s="9">
        <f>VLOOKUP(A177,Jogos!A:BN,62,0)</f>
        <v>673.15</v>
      </c>
      <c r="BE177" s="9">
        <f>VLOOKUP(A177,Jogos!A:BN,63,0)</f>
        <v>1.915</v>
      </c>
      <c r="BF177" s="9">
        <f>VLOOKUP(A177,Jogos!A:BN,64,0)</f>
        <v>25.3</v>
      </c>
      <c r="BG177" s="9">
        <f>VLOOKUP(A177,Jogos!A:BN,65,0)</f>
        <v>45.645</v>
      </c>
      <c r="BH177" s="9">
        <f>VLOOKUP(A177,Jogos!A:BN,66,0)</f>
        <v>29.965</v>
      </c>
      <c r="BI177" s="9"/>
    </row>
    <row r="178" hidden="1">
      <c r="A178" s="10">
        <v>6.0</v>
      </c>
      <c r="B178" s="11" t="s">
        <v>375</v>
      </c>
      <c r="C178" s="2" t="s">
        <v>61</v>
      </c>
      <c r="D178" s="12">
        <v>45824.0</v>
      </c>
      <c r="E178" s="13">
        <v>0.625</v>
      </c>
      <c r="F178" s="5" t="str">
        <f>VLOOKUP(A178,Jogos!A:N,10,0)</f>
        <v>Afternoon</v>
      </c>
      <c r="G178" s="11" t="s">
        <v>376</v>
      </c>
      <c r="H178" s="6" t="str">
        <f>VLOOKUP(A178,Jogos!A:L,12,0)</f>
        <v>Closed</v>
      </c>
      <c r="I178" s="6" t="str">
        <f>VLOOKUP(G178,'Estádios e Cidades'!A:B,2,0)</f>
        <v>Atlanta</v>
      </c>
      <c r="J178" s="11" t="s">
        <v>378</v>
      </c>
      <c r="K178" s="2" t="str">
        <f>VLOOKUP(J178,Equipes!A:F,6,0)</f>
        <v>Temperate</v>
      </c>
      <c r="L178" s="2">
        <f>VLOOKUP(J178,Equipes!A:C,3,0)</f>
        <v>26</v>
      </c>
      <c r="M178" s="2" t="str">
        <f t="shared" si="4"/>
        <v>Group</v>
      </c>
      <c r="N178" s="11" t="s">
        <v>377</v>
      </c>
      <c r="O178" s="2">
        <f>VLOOKUP(N178,Equipes!A:C,3,0)</f>
        <v>1</v>
      </c>
      <c r="P178" s="2" t="str">
        <f t="shared" si="5"/>
        <v>Final</v>
      </c>
      <c r="Q178" s="2">
        <f t="shared" si="6"/>
        <v>25</v>
      </c>
      <c r="R178" s="2" t="str">
        <f>VLOOKUP(J178,Equipes!A:B,2,0)</f>
        <v>LAFC</v>
      </c>
      <c r="S178" s="6" t="s">
        <v>434</v>
      </c>
      <c r="T178" s="7">
        <v>20.0</v>
      </c>
      <c r="U178" s="7" t="s">
        <v>435</v>
      </c>
      <c r="V178" s="7" t="str">
        <f>VLOOKUP(U178,Jogadores!B:C,2,0)</f>
        <v>MF</v>
      </c>
      <c r="W178" s="8">
        <f>VLOOKUP(U178,Jogadores!B:D,3,0)</f>
        <v>28.35342466</v>
      </c>
      <c r="X178" s="7">
        <v>87.0</v>
      </c>
      <c r="Y178" s="7">
        <f t="shared" si="548"/>
        <v>93</v>
      </c>
      <c r="Z178" s="7">
        <f>VLOOKUP(A178,Jogos!A:L,3,0)</f>
        <v>47</v>
      </c>
      <c r="AA178" s="7">
        <f t="shared" si="7"/>
        <v>0</v>
      </c>
      <c r="AB178" s="7">
        <f>VLOOKUP(A178,Jogos!A:L,4,0)</f>
        <v>48</v>
      </c>
      <c r="AC178" s="7">
        <f t="shared" si="8"/>
        <v>6</v>
      </c>
      <c r="AD178" s="7"/>
      <c r="AE178" s="7"/>
      <c r="AF178" s="7">
        <f t="shared" si="9"/>
        <v>6</v>
      </c>
      <c r="AG178" s="7">
        <v>916.7</v>
      </c>
      <c r="AH178" s="7">
        <v>212.2</v>
      </c>
      <c r="AI178" s="7">
        <v>416.6</v>
      </c>
      <c r="AJ178" s="7">
        <v>182.7</v>
      </c>
      <c r="AK178" s="7">
        <v>73.0</v>
      </c>
      <c r="AL178" s="7">
        <v>32.2</v>
      </c>
      <c r="AM178" s="7">
        <v>19.0</v>
      </c>
      <c r="AN178" s="7">
        <v>6.0</v>
      </c>
      <c r="AO178" s="7">
        <v>28.1</v>
      </c>
      <c r="AP178" s="9">
        <f t="shared" ref="AP178:AR178" si="558">AG178/$AF178</f>
        <v>152.7833333</v>
      </c>
      <c r="AQ178" s="9">
        <f t="shared" si="558"/>
        <v>35.36666667</v>
      </c>
      <c r="AR178" s="9">
        <f t="shared" si="558"/>
        <v>69.43333333</v>
      </c>
      <c r="AS178" s="9">
        <f t="shared" si="11"/>
        <v>104.8</v>
      </c>
      <c r="AT178" s="9">
        <f t="shared" ref="AT178:AV178" si="559">AJ178/$AF178</f>
        <v>30.45</v>
      </c>
      <c r="AU178" s="9">
        <f t="shared" si="559"/>
        <v>12.16666667</v>
      </c>
      <c r="AV178" s="9">
        <f t="shared" si="559"/>
        <v>5.366666667</v>
      </c>
      <c r="AW178" s="9">
        <f t="shared" si="13"/>
        <v>17.53333333</v>
      </c>
      <c r="AX178" s="9">
        <f t="shared" ref="AX178:AY178" si="560">AM178/$AF178</f>
        <v>3.166666667</v>
      </c>
      <c r="AY178" s="9">
        <f t="shared" si="560"/>
        <v>1</v>
      </c>
      <c r="AZ178" s="9">
        <f>VLOOKUP(A178,Jogos!A:BN,58,0)</f>
        <v>31.285</v>
      </c>
      <c r="BA178" s="9">
        <f>VLOOKUP(A178,Jogos!A:BN,59,0)</f>
        <v>21.16</v>
      </c>
      <c r="BB178" s="9">
        <f>VLOOKUP(A178,Jogos!A:BN,60,0)</f>
        <v>54.5</v>
      </c>
      <c r="BC178" s="9">
        <f>VLOOKUP(A178,Jogos!A:BN,61,0)</f>
        <v>32.535</v>
      </c>
      <c r="BD178" s="9">
        <f>VLOOKUP(A178,Jogos!A:BN,62,0)</f>
        <v>673.15</v>
      </c>
      <c r="BE178" s="9">
        <f>VLOOKUP(A178,Jogos!A:BN,63,0)</f>
        <v>1.915</v>
      </c>
      <c r="BF178" s="9">
        <f>VLOOKUP(A178,Jogos!A:BN,64,0)</f>
        <v>25.3</v>
      </c>
      <c r="BG178" s="9">
        <f>VLOOKUP(A178,Jogos!A:BN,65,0)</f>
        <v>45.645</v>
      </c>
      <c r="BH178" s="9">
        <f>VLOOKUP(A178,Jogos!A:BN,66,0)</f>
        <v>29.965</v>
      </c>
      <c r="BI178" s="9"/>
    </row>
    <row r="179" hidden="1">
      <c r="A179" s="10">
        <v>6.0</v>
      </c>
      <c r="B179" s="11" t="s">
        <v>375</v>
      </c>
      <c r="C179" s="2" t="s">
        <v>61</v>
      </c>
      <c r="D179" s="12">
        <v>45824.0</v>
      </c>
      <c r="E179" s="13">
        <v>0.625</v>
      </c>
      <c r="F179" s="5" t="str">
        <f>VLOOKUP(A179,Jogos!A:N,10,0)</f>
        <v>Afternoon</v>
      </c>
      <c r="G179" s="11" t="s">
        <v>376</v>
      </c>
      <c r="H179" s="6" t="str">
        <f>VLOOKUP(A179,Jogos!A:L,12,0)</f>
        <v>Closed</v>
      </c>
      <c r="I179" s="6" t="str">
        <f>VLOOKUP(G179,'Estádios e Cidades'!A:B,2,0)</f>
        <v>Atlanta</v>
      </c>
      <c r="J179" s="11" t="s">
        <v>378</v>
      </c>
      <c r="K179" s="2" t="str">
        <f>VLOOKUP(J179,Equipes!A:F,6,0)</f>
        <v>Temperate</v>
      </c>
      <c r="L179" s="2">
        <f>VLOOKUP(J179,Equipes!A:C,3,0)</f>
        <v>26</v>
      </c>
      <c r="M179" s="2" t="str">
        <f t="shared" si="4"/>
        <v>Group</v>
      </c>
      <c r="N179" s="11" t="s">
        <v>377</v>
      </c>
      <c r="O179" s="2">
        <f>VLOOKUP(N179,Equipes!A:C,3,0)</f>
        <v>1</v>
      </c>
      <c r="P179" s="2" t="str">
        <f t="shared" si="5"/>
        <v>Final</v>
      </c>
      <c r="Q179" s="2">
        <f t="shared" si="6"/>
        <v>25</v>
      </c>
      <c r="R179" s="2" t="str">
        <f>VLOOKUP(J179,Equipes!A:B,2,0)</f>
        <v>LAFC</v>
      </c>
      <c r="S179" s="6" t="s">
        <v>436</v>
      </c>
      <c r="T179" s="7">
        <v>23.0</v>
      </c>
      <c r="U179" s="7" t="s">
        <v>437</v>
      </c>
      <c r="V179" s="7" t="str">
        <f>VLOOKUP(U179,Jogadores!B:C,2,0)</f>
        <v>MF</v>
      </c>
      <c r="W179" s="8">
        <f>VLOOKUP(U179,Jogadores!B:D,3,0)</f>
        <v>24.85205479</v>
      </c>
      <c r="X179" s="7">
        <v>81.0</v>
      </c>
      <c r="Y179" s="7">
        <f t="shared" si="548"/>
        <v>93</v>
      </c>
      <c r="Z179" s="7">
        <f>VLOOKUP(A179,Jogos!A:L,3,0)</f>
        <v>47</v>
      </c>
      <c r="AA179" s="7">
        <f t="shared" si="7"/>
        <v>0</v>
      </c>
      <c r="AB179" s="7">
        <f>VLOOKUP(A179,Jogos!A:L,4,0)</f>
        <v>48</v>
      </c>
      <c r="AC179" s="7">
        <f t="shared" si="8"/>
        <v>12</v>
      </c>
      <c r="AD179" s="7"/>
      <c r="AE179" s="7"/>
      <c r="AF179" s="7">
        <f t="shared" si="9"/>
        <v>12</v>
      </c>
      <c r="AG179" s="7">
        <v>1656.4</v>
      </c>
      <c r="AH179" s="7">
        <v>413.6</v>
      </c>
      <c r="AI179" s="7">
        <v>712.2</v>
      </c>
      <c r="AJ179" s="7">
        <v>302.8</v>
      </c>
      <c r="AK179" s="7">
        <v>128.1</v>
      </c>
      <c r="AL179" s="7">
        <v>99.7</v>
      </c>
      <c r="AM179" s="7">
        <v>28.0</v>
      </c>
      <c r="AN179" s="7">
        <v>8.0</v>
      </c>
      <c r="AO179" s="7">
        <v>30.9</v>
      </c>
      <c r="AP179" s="9">
        <f t="shared" ref="AP179:AR179" si="561">AG179/$AF179</f>
        <v>138.0333333</v>
      </c>
      <c r="AQ179" s="9">
        <f t="shared" si="561"/>
        <v>34.46666667</v>
      </c>
      <c r="AR179" s="9">
        <f t="shared" si="561"/>
        <v>59.35</v>
      </c>
      <c r="AS179" s="9">
        <f t="shared" si="11"/>
        <v>93.81666667</v>
      </c>
      <c r="AT179" s="9">
        <f t="shared" ref="AT179:AV179" si="562">AJ179/$AF179</f>
        <v>25.23333333</v>
      </c>
      <c r="AU179" s="9">
        <f t="shared" si="562"/>
        <v>10.675</v>
      </c>
      <c r="AV179" s="9">
        <f t="shared" si="562"/>
        <v>8.308333333</v>
      </c>
      <c r="AW179" s="9">
        <f t="shared" si="13"/>
        <v>18.98333333</v>
      </c>
      <c r="AX179" s="9">
        <f t="shared" ref="AX179:AY179" si="563">AM179/$AF179</f>
        <v>2.333333333</v>
      </c>
      <c r="AY179" s="9">
        <f t="shared" si="563"/>
        <v>0.6666666667</v>
      </c>
      <c r="AZ179" s="9">
        <f>VLOOKUP(A179,Jogos!A:BN,58,0)</f>
        <v>31.285</v>
      </c>
      <c r="BA179" s="9">
        <f>VLOOKUP(A179,Jogos!A:BN,59,0)</f>
        <v>21.16</v>
      </c>
      <c r="BB179" s="9">
        <f>VLOOKUP(A179,Jogos!A:BN,60,0)</f>
        <v>54.5</v>
      </c>
      <c r="BC179" s="9">
        <f>VLOOKUP(A179,Jogos!A:BN,61,0)</f>
        <v>32.535</v>
      </c>
      <c r="BD179" s="9">
        <f>VLOOKUP(A179,Jogos!A:BN,62,0)</f>
        <v>673.15</v>
      </c>
      <c r="BE179" s="9">
        <f>VLOOKUP(A179,Jogos!A:BN,63,0)</f>
        <v>1.915</v>
      </c>
      <c r="BF179" s="9">
        <f>VLOOKUP(A179,Jogos!A:BN,64,0)</f>
        <v>25.3</v>
      </c>
      <c r="BG179" s="9">
        <f>VLOOKUP(A179,Jogos!A:BN,65,0)</f>
        <v>45.645</v>
      </c>
      <c r="BH179" s="9">
        <f>VLOOKUP(A179,Jogos!A:BN,66,0)</f>
        <v>29.965</v>
      </c>
      <c r="BI179" s="9"/>
    </row>
    <row r="180" hidden="1">
      <c r="A180" s="10">
        <v>6.0</v>
      </c>
      <c r="B180" s="11" t="s">
        <v>375</v>
      </c>
      <c r="C180" s="2" t="s">
        <v>61</v>
      </c>
      <c r="D180" s="12">
        <v>45824.0</v>
      </c>
      <c r="E180" s="13">
        <v>0.625</v>
      </c>
      <c r="F180" s="5" t="str">
        <f>VLOOKUP(A180,Jogos!A:N,10,0)</f>
        <v>Afternoon</v>
      </c>
      <c r="G180" s="11" t="s">
        <v>376</v>
      </c>
      <c r="H180" s="6" t="str">
        <f>VLOOKUP(A180,Jogos!A:L,12,0)</f>
        <v>Closed</v>
      </c>
      <c r="I180" s="6" t="str">
        <f>VLOOKUP(G180,'Estádios e Cidades'!A:B,2,0)</f>
        <v>Atlanta</v>
      </c>
      <c r="J180" s="11" t="s">
        <v>378</v>
      </c>
      <c r="K180" s="2" t="str">
        <f>VLOOKUP(J180,Equipes!A:F,6,0)</f>
        <v>Temperate</v>
      </c>
      <c r="L180" s="2">
        <f>VLOOKUP(J180,Equipes!A:C,3,0)</f>
        <v>26</v>
      </c>
      <c r="M180" s="2" t="str">
        <f t="shared" si="4"/>
        <v>Group</v>
      </c>
      <c r="N180" s="11" t="s">
        <v>377</v>
      </c>
      <c r="O180" s="2">
        <f>VLOOKUP(N180,Equipes!A:C,3,0)</f>
        <v>1</v>
      </c>
      <c r="P180" s="2" t="str">
        <f t="shared" si="5"/>
        <v>Final</v>
      </c>
      <c r="Q180" s="2">
        <f t="shared" si="6"/>
        <v>25</v>
      </c>
      <c r="R180" s="2" t="str">
        <f>VLOOKUP(J180,Equipes!A:B,2,0)</f>
        <v>LAFC</v>
      </c>
      <c r="S180" s="6" t="s">
        <v>438</v>
      </c>
      <c r="T180" s="7">
        <v>30.0</v>
      </c>
      <c r="U180" s="7" t="s">
        <v>439</v>
      </c>
      <c r="V180" s="7" t="str">
        <f>VLOOKUP(U180,Jogadores!B:C,2,0)</f>
        <v>FW</v>
      </c>
      <c r="W180" s="8">
        <f>VLOOKUP(U180,Jogadores!B:D,3,0)</f>
        <v>19.08493151</v>
      </c>
      <c r="X180" s="7">
        <v>38.0</v>
      </c>
      <c r="Y180" s="7">
        <f t="shared" si="548"/>
        <v>93</v>
      </c>
      <c r="Z180" s="7">
        <f>VLOOKUP(A180,Jogos!A:L,3,0)</f>
        <v>47</v>
      </c>
      <c r="AA180" s="7">
        <f t="shared" si="7"/>
        <v>9</v>
      </c>
      <c r="AB180" s="7">
        <f>VLOOKUP(A180,Jogos!A:L,4,0)</f>
        <v>48</v>
      </c>
      <c r="AC180" s="7">
        <f t="shared" si="8"/>
        <v>48</v>
      </c>
      <c r="AD180" s="7"/>
      <c r="AE180" s="7"/>
      <c r="AF180" s="7">
        <f t="shared" si="9"/>
        <v>57</v>
      </c>
      <c r="AG180" s="7">
        <v>6626.5</v>
      </c>
      <c r="AH180" s="7">
        <v>2162.2</v>
      </c>
      <c r="AI180" s="7">
        <v>2920.4</v>
      </c>
      <c r="AJ180" s="7">
        <v>964.1</v>
      </c>
      <c r="AK180" s="7">
        <v>401.7</v>
      </c>
      <c r="AL180" s="7">
        <v>178.0</v>
      </c>
      <c r="AM180" s="7">
        <v>76.0</v>
      </c>
      <c r="AN180" s="7">
        <v>34.0</v>
      </c>
      <c r="AO180" s="7">
        <v>31.3</v>
      </c>
      <c r="AP180" s="9">
        <f t="shared" ref="AP180:AR180" si="564">AG180/$AF180</f>
        <v>116.254386</v>
      </c>
      <c r="AQ180" s="9">
        <f t="shared" si="564"/>
        <v>37.93333333</v>
      </c>
      <c r="AR180" s="9">
        <f t="shared" si="564"/>
        <v>51.23508772</v>
      </c>
      <c r="AS180" s="9">
        <f t="shared" si="11"/>
        <v>89.16842105</v>
      </c>
      <c r="AT180" s="9">
        <f t="shared" ref="AT180:AV180" si="565">AJ180/$AF180</f>
        <v>16.91403509</v>
      </c>
      <c r="AU180" s="9">
        <f t="shared" si="565"/>
        <v>7.047368421</v>
      </c>
      <c r="AV180" s="9">
        <f t="shared" si="565"/>
        <v>3.122807018</v>
      </c>
      <c r="AW180" s="9">
        <f t="shared" si="13"/>
        <v>10.17017544</v>
      </c>
      <c r="AX180" s="9">
        <f t="shared" ref="AX180:AY180" si="566">AM180/$AF180</f>
        <v>1.333333333</v>
      </c>
      <c r="AY180" s="9">
        <f t="shared" si="566"/>
        <v>0.5964912281</v>
      </c>
      <c r="AZ180" s="9">
        <f>VLOOKUP(A180,Jogos!A:BN,58,0)</f>
        <v>31.285</v>
      </c>
      <c r="BA180" s="9">
        <f>VLOOKUP(A180,Jogos!A:BN,59,0)</f>
        <v>21.16</v>
      </c>
      <c r="BB180" s="9">
        <f>VLOOKUP(A180,Jogos!A:BN,60,0)</f>
        <v>54.5</v>
      </c>
      <c r="BC180" s="9">
        <f>VLOOKUP(A180,Jogos!A:BN,61,0)</f>
        <v>32.535</v>
      </c>
      <c r="BD180" s="9">
        <f>VLOOKUP(A180,Jogos!A:BN,62,0)</f>
        <v>673.15</v>
      </c>
      <c r="BE180" s="9">
        <f>VLOOKUP(A180,Jogos!A:BN,63,0)</f>
        <v>1.915</v>
      </c>
      <c r="BF180" s="9">
        <f>VLOOKUP(A180,Jogos!A:BN,64,0)</f>
        <v>25.3</v>
      </c>
      <c r="BG180" s="9">
        <f>VLOOKUP(A180,Jogos!A:BN,65,0)</f>
        <v>45.645</v>
      </c>
      <c r="BH180" s="9">
        <f>VLOOKUP(A180,Jogos!A:BN,66,0)</f>
        <v>29.965</v>
      </c>
      <c r="BI180" s="9"/>
    </row>
    <row r="181" hidden="1">
      <c r="A181" s="2">
        <v>7.0</v>
      </c>
      <c r="B181" s="2" t="s">
        <v>121</v>
      </c>
      <c r="C181" s="2" t="s">
        <v>61</v>
      </c>
      <c r="D181" s="3">
        <v>45824.0</v>
      </c>
      <c r="E181" s="4">
        <v>0.75</v>
      </c>
      <c r="F181" s="5" t="str">
        <f>VLOOKUP(A181,Jogos!A:N,10,0)</f>
        <v>Evening</v>
      </c>
      <c r="G181" s="2" t="s">
        <v>62</v>
      </c>
      <c r="H181" s="6" t="str">
        <f>VLOOKUP(A181,Jogos!A:L,12,0)</f>
        <v>Open</v>
      </c>
      <c r="I181" s="6" t="str">
        <f>VLOOKUP(G181,'Estádios e Cidades'!A:B,2,0)</f>
        <v>Miami Gardens - Flórida</v>
      </c>
      <c r="J181" s="2" t="s">
        <v>440</v>
      </c>
      <c r="K181" s="2" t="str">
        <f>VLOOKUP(J181,Equipes!A:F,6,0)</f>
        <v>Temperate</v>
      </c>
      <c r="L181" s="2">
        <f>VLOOKUP(J181,Equipes!A:C,3,0)</f>
        <v>24</v>
      </c>
      <c r="M181" s="2" t="str">
        <f t="shared" si="4"/>
        <v>Group</v>
      </c>
      <c r="N181" s="2" t="s">
        <v>441</v>
      </c>
      <c r="O181" s="2">
        <f>VLOOKUP(N181,Equipes!A:C,3,0)</f>
        <v>10</v>
      </c>
      <c r="P181" s="2" t="str">
        <f t="shared" si="5"/>
        <v>Round of 16</v>
      </c>
      <c r="Q181" s="2">
        <f t="shared" si="6"/>
        <v>14</v>
      </c>
      <c r="R181" s="2" t="str">
        <f>VLOOKUP(J181,Equipes!A:B,2,0)</f>
        <v>Boca</v>
      </c>
      <c r="S181" s="6" t="s">
        <v>442</v>
      </c>
      <c r="T181" s="7">
        <v>4.0</v>
      </c>
      <c r="U181" s="7" t="s">
        <v>443</v>
      </c>
      <c r="V181" s="7" t="str">
        <f>VLOOKUP(U181,Jogadores!B:C,2,0)</f>
        <v>DF</v>
      </c>
      <c r="W181" s="8">
        <f>VLOOKUP(U181,Jogadores!B:D,3,0)</f>
        <v>31.33972603</v>
      </c>
      <c r="X181" s="7">
        <v>0.0</v>
      </c>
      <c r="Y181" s="7">
        <v>88.0</v>
      </c>
      <c r="Z181" s="7">
        <f>VLOOKUP(A181,Jogos!A:L,3,0)</f>
        <v>53</v>
      </c>
      <c r="AA181" s="7">
        <f t="shared" si="7"/>
        <v>53</v>
      </c>
      <c r="AB181" s="7">
        <f>VLOOKUP(A181,Jogos!A:L,4,0)</f>
        <v>50</v>
      </c>
      <c r="AC181" s="7">
        <f t="shared" si="8"/>
        <v>43</v>
      </c>
      <c r="AD181" s="7"/>
      <c r="AE181" s="7"/>
      <c r="AF181" s="7">
        <f t="shared" si="9"/>
        <v>96</v>
      </c>
      <c r="AG181" s="7">
        <v>9028.9</v>
      </c>
      <c r="AH181" s="7">
        <v>4488.8</v>
      </c>
      <c r="AI181" s="7">
        <v>3375.7</v>
      </c>
      <c r="AJ181" s="7">
        <v>854.3</v>
      </c>
      <c r="AK181" s="7">
        <v>247.8</v>
      </c>
      <c r="AL181" s="7">
        <v>62.4</v>
      </c>
      <c r="AM181" s="7">
        <v>77.0</v>
      </c>
      <c r="AN181" s="7">
        <v>18.0</v>
      </c>
      <c r="AO181" s="7">
        <v>30.1</v>
      </c>
      <c r="AP181" s="9">
        <f t="shared" ref="AP181:AR181" si="567">AG181/$AF181</f>
        <v>94.05104167</v>
      </c>
      <c r="AQ181" s="9">
        <f t="shared" si="567"/>
        <v>46.75833333</v>
      </c>
      <c r="AR181" s="9">
        <f t="shared" si="567"/>
        <v>35.16354167</v>
      </c>
      <c r="AS181" s="9">
        <f t="shared" si="11"/>
        <v>81.921875</v>
      </c>
      <c r="AT181" s="9">
        <f t="shared" ref="AT181:AV181" si="568">AJ181/$AF181</f>
        <v>8.898958333</v>
      </c>
      <c r="AU181" s="9">
        <f t="shared" si="568"/>
        <v>2.58125</v>
      </c>
      <c r="AV181" s="9">
        <f t="shared" si="568"/>
        <v>0.65</v>
      </c>
      <c r="AW181" s="9">
        <f t="shared" si="13"/>
        <v>3.23125</v>
      </c>
      <c r="AX181" s="9">
        <f t="shared" ref="AX181:AY181" si="569">AM181/$AF181</f>
        <v>0.8020833333</v>
      </c>
      <c r="AY181" s="9">
        <f t="shared" si="569"/>
        <v>0.1875</v>
      </c>
      <c r="AZ181" s="9">
        <f>VLOOKUP(A181,Jogos!A:BN,58,0)</f>
        <v>28.63</v>
      </c>
      <c r="BA181" s="9">
        <f>VLOOKUP(A181,Jogos!A:BN,59,0)</f>
        <v>22.83</v>
      </c>
      <c r="BB181" s="9">
        <f>VLOOKUP(A181,Jogos!A:BN,60,0)</f>
        <v>70.5</v>
      </c>
      <c r="BC181" s="9">
        <f>VLOOKUP(A181,Jogos!A:BN,61,0)</f>
        <v>28.175</v>
      </c>
      <c r="BD181" s="9">
        <f>VLOOKUP(A181,Jogos!A:BN,62,0)</f>
        <v>142.85</v>
      </c>
      <c r="BE181" s="9">
        <f>VLOOKUP(A181,Jogos!A:BN,63,0)</f>
        <v>2.34</v>
      </c>
      <c r="BF181" s="9">
        <f>VLOOKUP(A181,Jogos!A:BN,64,0)</f>
        <v>24.81</v>
      </c>
      <c r="BG181" s="9">
        <f>VLOOKUP(A181,Jogos!A:BN,65,0)</f>
        <v>42.885</v>
      </c>
      <c r="BH181" s="9">
        <f>VLOOKUP(A181,Jogos!A:BN,66,0)</f>
        <v>28.805</v>
      </c>
      <c r="BI181" s="9"/>
    </row>
    <row r="182" hidden="1">
      <c r="A182" s="2">
        <v>7.0</v>
      </c>
      <c r="B182" s="2" t="s">
        <v>121</v>
      </c>
      <c r="C182" s="2" t="s">
        <v>61</v>
      </c>
      <c r="D182" s="3">
        <v>45824.0</v>
      </c>
      <c r="E182" s="4">
        <v>0.75</v>
      </c>
      <c r="F182" s="5" t="str">
        <f>VLOOKUP(A182,Jogos!A:N,10,0)</f>
        <v>Evening</v>
      </c>
      <c r="G182" s="2" t="s">
        <v>62</v>
      </c>
      <c r="H182" s="6" t="str">
        <f>VLOOKUP(A182,Jogos!A:L,12,0)</f>
        <v>Open</v>
      </c>
      <c r="I182" s="6" t="str">
        <f>VLOOKUP(G182,'Estádios e Cidades'!A:B,2,0)</f>
        <v>Miami Gardens - Flórida</v>
      </c>
      <c r="J182" s="2" t="s">
        <v>440</v>
      </c>
      <c r="K182" s="2" t="str">
        <f>VLOOKUP(J182,Equipes!A:F,6,0)</f>
        <v>Temperate</v>
      </c>
      <c r="L182" s="2">
        <f>VLOOKUP(J182,Equipes!A:C,3,0)</f>
        <v>24</v>
      </c>
      <c r="M182" s="2" t="str">
        <f t="shared" si="4"/>
        <v>Group</v>
      </c>
      <c r="N182" s="2" t="s">
        <v>441</v>
      </c>
      <c r="O182" s="2">
        <f>VLOOKUP(N182,Equipes!A:C,3,0)</f>
        <v>10</v>
      </c>
      <c r="P182" s="2" t="str">
        <f t="shared" si="5"/>
        <v>Round of 16</v>
      </c>
      <c r="Q182" s="2">
        <f t="shared" si="6"/>
        <v>14</v>
      </c>
      <c r="R182" s="2" t="str">
        <f>VLOOKUP(J182,Equipes!A:B,2,0)</f>
        <v>Boca</v>
      </c>
      <c r="S182" s="6" t="s">
        <v>444</v>
      </c>
      <c r="T182" s="7">
        <v>5.0</v>
      </c>
      <c r="U182" s="7" t="s">
        <v>445</v>
      </c>
      <c r="V182" s="7" t="str">
        <f>VLOOKUP(U182,Jogadores!B:C,2,0)</f>
        <v>MF</v>
      </c>
      <c r="W182" s="8">
        <f>VLOOKUP(U182,Jogadores!B:D,3,0)</f>
        <v>34.06849315</v>
      </c>
      <c r="X182" s="7">
        <v>0.0</v>
      </c>
      <c r="Y182" s="7">
        <f>45+AB182</f>
        <v>95</v>
      </c>
      <c r="Z182" s="7">
        <f>VLOOKUP(A182,Jogos!A:L,3,0)</f>
        <v>53</v>
      </c>
      <c r="AA182" s="7">
        <f t="shared" si="7"/>
        <v>53</v>
      </c>
      <c r="AB182" s="7">
        <f>VLOOKUP(A182,Jogos!A:L,4,0)</f>
        <v>50</v>
      </c>
      <c r="AC182" s="7">
        <f t="shared" si="8"/>
        <v>50</v>
      </c>
      <c r="AD182" s="7"/>
      <c r="AE182" s="7"/>
      <c r="AF182" s="7">
        <f t="shared" si="9"/>
        <v>103</v>
      </c>
      <c r="AG182" s="7">
        <v>10124.9</v>
      </c>
      <c r="AH182" s="7">
        <v>4264.5</v>
      </c>
      <c r="AI182" s="7">
        <v>4386.0</v>
      </c>
      <c r="AJ182" s="7">
        <v>1158.6</v>
      </c>
      <c r="AK182" s="7">
        <v>308.9</v>
      </c>
      <c r="AL182" s="7">
        <v>6.9</v>
      </c>
      <c r="AM182" s="7">
        <v>105.0</v>
      </c>
      <c r="AN182" s="7">
        <v>23.0</v>
      </c>
      <c r="AO182" s="7">
        <v>25.5</v>
      </c>
      <c r="AP182" s="9">
        <f t="shared" ref="AP182:AR182" si="570">AG182/$AF182</f>
        <v>98.3</v>
      </c>
      <c r="AQ182" s="9">
        <f t="shared" si="570"/>
        <v>41.40291262</v>
      </c>
      <c r="AR182" s="9">
        <f t="shared" si="570"/>
        <v>42.58252427</v>
      </c>
      <c r="AS182" s="9">
        <f t="shared" si="11"/>
        <v>83.98543689</v>
      </c>
      <c r="AT182" s="9">
        <f t="shared" ref="AT182:AV182" si="571">AJ182/$AF182</f>
        <v>11.24854369</v>
      </c>
      <c r="AU182" s="9">
        <f t="shared" si="571"/>
        <v>2.999029126</v>
      </c>
      <c r="AV182" s="9">
        <f t="shared" si="571"/>
        <v>0.06699029126</v>
      </c>
      <c r="AW182" s="9">
        <f t="shared" si="13"/>
        <v>3.066019417</v>
      </c>
      <c r="AX182" s="9">
        <f t="shared" ref="AX182:AY182" si="572">AM182/$AF182</f>
        <v>1.019417476</v>
      </c>
      <c r="AY182" s="9">
        <f t="shared" si="572"/>
        <v>0.2233009709</v>
      </c>
      <c r="AZ182" s="9">
        <f>VLOOKUP(A182,Jogos!A:BN,58,0)</f>
        <v>28.63</v>
      </c>
      <c r="BA182" s="9">
        <f>VLOOKUP(A182,Jogos!A:BN,59,0)</f>
        <v>22.83</v>
      </c>
      <c r="BB182" s="9">
        <f>VLOOKUP(A182,Jogos!A:BN,60,0)</f>
        <v>70.5</v>
      </c>
      <c r="BC182" s="9">
        <f>VLOOKUP(A182,Jogos!A:BN,61,0)</f>
        <v>28.175</v>
      </c>
      <c r="BD182" s="9">
        <f>VLOOKUP(A182,Jogos!A:BN,62,0)</f>
        <v>142.85</v>
      </c>
      <c r="BE182" s="9">
        <f>VLOOKUP(A182,Jogos!A:BN,63,0)</f>
        <v>2.34</v>
      </c>
      <c r="BF182" s="9">
        <f>VLOOKUP(A182,Jogos!A:BN,64,0)</f>
        <v>24.81</v>
      </c>
      <c r="BG182" s="9">
        <f>VLOOKUP(A182,Jogos!A:BN,65,0)</f>
        <v>42.885</v>
      </c>
      <c r="BH182" s="9">
        <f>VLOOKUP(A182,Jogos!A:BN,66,0)</f>
        <v>28.805</v>
      </c>
      <c r="BI182" s="9"/>
    </row>
    <row r="183" hidden="1">
      <c r="A183" s="2">
        <v>7.0</v>
      </c>
      <c r="B183" s="2" t="s">
        <v>121</v>
      </c>
      <c r="C183" s="2" t="s">
        <v>61</v>
      </c>
      <c r="D183" s="3">
        <v>45824.0</v>
      </c>
      <c r="E183" s="4">
        <v>0.75</v>
      </c>
      <c r="F183" s="5" t="str">
        <f>VLOOKUP(A183,Jogos!A:N,10,0)</f>
        <v>Evening</v>
      </c>
      <c r="G183" s="2" t="s">
        <v>62</v>
      </c>
      <c r="H183" s="6" t="str">
        <f>VLOOKUP(A183,Jogos!A:L,12,0)</f>
        <v>Open</v>
      </c>
      <c r="I183" s="6" t="str">
        <f>VLOOKUP(G183,'Estádios e Cidades'!A:B,2,0)</f>
        <v>Miami Gardens - Flórida</v>
      </c>
      <c r="J183" s="2" t="s">
        <v>440</v>
      </c>
      <c r="K183" s="2" t="str">
        <f>VLOOKUP(J183,Equipes!A:F,6,0)</f>
        <v>Temperate</v>
      </c>
      <c r="L183" s="2">
        <f>VLOOKUP(J183,Equipes!A:C,3,0)</f>
        <v>24</v>
      </c>
      <c r="M183" s="2" t="str">
        <f t="shared" si="4"/>
        <v>Group</v>
      </c>
      <c r="N183" s="2" t="s">
        <v>441</v>
      </c>
      <c r="O183" s="2">
        <f>VLOOKUP(N183,Equipes!A:C,3,0)</f>
        <v>10</v>
      </c>
      <c r="P183" s="2" t="str">
        <f t="shared" si="5"/>
        <v>Round of 16</v>
      </c>
      <c r="Q183" s="2">
        <f t="shared" si="6"/>
        <v>14</v>
      </c>
      <c r="R183" s="2" t="str">
        <f>VLOOKUP(J183,Equipes!A:B,2,0)</f>
        <v>Boca</v>
      </c>
      <c r="S183" s="6" t="s">
        <v>446</v>
      </c>
      <c r="T183" s="7">
        <v>8.0</v>
      </c>
      <c r="U183" s="7" t="s">
        <v>447</v>
      </c>
      <c r="V183" s="7" t="str">
        <f>VLOOKUP(U183,Jogadores!B:C,2,0)</f>
        <v>MF</v>
      </c>
      <c r="W183" s="8">
        <f>VLOOKUP(U183,Jogadores!B:D,3,0)</f>
        <v>25.03835616</v>
      </c>
      <c r="X183" s="7">
        <v>0.0</v>
      </c>
      <c r="Y183" s="7">
        <v>66.0</v>
      </c>
      <c r="Z183" s="7">
        <f>VLOOKUP(A183,Jogos!A:L,3,0)</f>
        <v>53</v>
      </c>
      <c r="AA183" s="7">
        <f t="shared" si="7"/>
        <v>53</v>
      </c>
      <c r="AB183" s="7">
        <f>VLOOKUP(A183,Jogos!A:L,4,0)</f>
        <v>50</v>
      </c>
      <c r="AC183" s="7">
        <f t="shared" si="8"/>
        <v>21</v>
      </c>
      <c r="AD183" s="7"/>
      <c r="AE183" s="7"/>
      <c r="AF183" s="7">
        <f t="shared" si="9"/>
        <v>74</v>
      </c>
      <c r="AG183" s="7">
        <v>8094.0</v>
      </c>
      <c r="AH183" s="7">
        <v>3270.4</v>
      </c>
      <c r="AI183" s="7">
        <v>3126.3</v>
      </c>
      <c r="AJ183" s="7">
        <v>1124.6</v>
      </c>
      <c r="AK183" s="7">
        <v>396.3</v>
      </c>
      <c r="AL183" s="7">
        <v>176.5</v>
      </c>
      <c r="AM183" s="7">
        <v>111.0</v>
      </c>
      <c r="AN183" s="7">
        <v>29.0</v>
      </c>
      <c r="AO183" s="7">
        <v>29.9</v>
      </c>
      <c r="AP183" s="9">
        <f t="shared" ref="AP183:AR183" si="573">AG183/$AF183</f>
        <v>109.3783784</v>
      </c>
      <c r="AQ183" s="9">
        <f t="shared" si="573"/>
        <v>44.19459459</v>
      </c>
      <c r="AR183" s="9">
        <f t="shared" si="573"/>
        <v>42.2472973</v>
      </c>
      <c r="AS183" s="9">
        <f t="shared" si="11"/>
        <v>86.44189189</v>
      </c>
      <c r="AT183" s="9">
        <f t="shared" ref="AT183:AV183" si="574">AJ183/$AF183</f>
        <v>15.1972973</v>
      </c>
      <c r="AU183" s="9">
        <f t="shared" si="574"/>
        <v>5.355405405</v>
      </c>
      <c r="AV183" s="9">
        <f t="shared" si="574"/>
        <v>2.385135135</v>
      </c>
      <c r="AW183" s="9">
        <f t="shared" si="13"/>
        <v>7.740540541</v>
      </c>
      <c r="AX183" s="9">
        <f t="shared" ref="AX183:AY183" si="575">AM183/$AF183</f>
        <v>1.5</v>
      </c>
      <c r="AY183" s="9">
        <f t="shared" si="575"/>
        <v>0.3918918919</v>
      </c>
      <c r="AZ183" s="9">
        <f>VLOOKUP(A183,Jogos!A:BN,58,0)</f>
        <v>28.63</v>
      </c>
      <c r="BA183" s="9">
        <f>VLOOKUP(A183,Jogos!A:BN,59,0)</f>
        <v>22.83</v>
      </c>
      <c r="BB183" s="9">
        <f>VLOOKUP(A183,Jogos!A:BN,60,0)</f>
        <v>70.5</v>
      </c>
      <c r="BC183" s="9">
        <f>VLOOKUP(A183,Jogos!A:BN,61,0)</f>
        <v>28.175</v>
      </c>
      <c r="BD183" s="9">
        <f>VLOOKUP(A183,Jogos!A:BN,62,0)</f>
        <v>142.85</v>
      </c>
      <c r="BE183" s="9">
        <f>VLOOKUP(A183,Jogos!A:BN,63,0)</f>
        <v>2.34</v>
      </c>
      <c r="BF183" s="9">
        <f>VLOOKUP(A183,Jogos!A:BN,64,0)</f>
        <v>24.81</v>
      </c>
      <c r="BG183" s="9">
        <f>VLOOKUP(A183,Jogos!A:BN,65,0)</f>
        <v>42.885</v>
      </c>
      <c r="BH183" s="9">
        <f>VLOOKUP(A183,Jogos!A:BN,66,0)</f>
        <v>28.805</v>
      </c>
      <c r="BI183" s="9"/>
    </row>
    <row r="184" hidden="1">
      <c r="A184" s="2">
        <v>7.0</v>
      </c>
      <c r="B184" s="2" t="s">
        <v>121</v>
      </c>
      <c r="C184" s="2" t="s">
        <v>61</v>
      </c>
      <c r="D184" s="3">
        <v>45824.0</v>
      </c>
      <c r="E184" s="4">
        <v>0.75</v>
      </c>
      <c r="F184" s="5" t="str">
        <f>VLOOKUP(A184,Jogos!A:N,10,0)</f>
        <v>Evening</v>
      </c>
      <c r="G184" s="2" t="s">
        <v>62</v>
      </c>
      <c r="H184" s="6" t="str">
        <f>VLOOKUP(A184,Jogos!A:L,12,0)</f>
        <v>Open</v>
      </c>
      <c r="I184" s="6" t="str">
        <f>VLOOKUP(G184,'Estádios e Cidades'!A:B,2,0)</f>
        <v>Miami Gardens - Flórida</v>
      </c>
      <c r="J184" s="2" t="s">
        <v>440</v>
      </c>
      <c r="K184" s="2" t="str">
        <f>VLOOKUP(J184,Equipes!A:F,6,0)</f>
        <v>Temperate</v>
      </c>
      <c r="L184" s="2">
        <f>VLOOKUP(J184,Equipes!A:C,3,0)</f>
        <v>24</v>
      </c>
      <c r="M184" s="2" t="str">
        <f t="shared" si="4"/>
        <v>Group</v>
      </c>
      <c r="N184" s="2" t="s">
        <v>441</v>
      </c>
      <c r="O184" s="2">
        <f>VLOOKUP(N184,Equipes!A:C,3,0)</f>
        <v>10</v>
      </c>
      <c r="P184" s="2" t="str">
        <f t="shared" si="5"/>
        <v>Round of 16</v>
      </c>
      <c r="Q184" s="2">
        <f t="shared" si="6"/>
        <v>14</v>
      </c>
      <c r="R184" s="2" t="str">
        <f>VLOOKUP(J184,Equipes!A:B,2,0)</f>
        <v>Boca</v>
      </c>
      <c r="S184" s="6" t="s">
        <v>448</v>
      </c>
      <c r="T184" s="7">
        <v>16.0</v>
      </c>
      <c r="U184" s="7" t="s">
        <v>449</v>
      </c>
      <c r="V184" s="7" t="str">
        <f>VLOOKUP(U184,Jogadores!B:C,2,0)</f>
        <v>FW</v>
      </c>
      <c r="W184" s="8">
        <f>VLOOKUP(U184,Jogadores!B:D,3,0)</f>
        <v>29.44383562</v>
      </c>
      <c r="X184" s="7">
        <v>0.0</v>
      </c>
      <c r="Y184" s="7">
        <v>65.0</v>
      </c>
      <c r="Z184" s="7">
        <f>VLOOKUP(A184,Jogos!A:L,3,0)</f>
        <v>53</v>
      </c>
      <c r="AA184" s="7">
        <f t="shared" si="7"/>
        <v>53</v>
      </c>
      <c r="AB184" s="7">
        <f>VLOOKUP(A184,Jogos!A:L,4,0)</f>
        <v>50</v>
      </c>
      <c r="AC184" s="7">
        <f t="shared" si="8"/>
        <v>20</v>
      </c>
      <c r="AD184" s="7"/>
      <c r="AE184" s="7"/>
      <c r="AF184" s="7">
        <f t="shared" si="9"/>
        <v>73</v>
      </c>
      <c r="AG184" s="7">
        <v>7134.7</v>
      </c>
      <c r="AH184" s="7">
        <v>3163.0</v>
      </c>
      <c r="AI184" s="7">
        <v>2587.5</v>
      </c>
      <c r="AJ184" s="7">
        <v>806.2</v>
      </c>
      <c r="AK184" s="7">
        <v>435.1</v>
      </c>
      <c r="AL184" s="7">
        <v>142.9</v>
      </c>
      <c r="AM184" s="7">
        <v>70.0</v>
      </c>
      <c r="AN184" s="7">
        <v>30.0</v>
      </c>
      <c r="AO184" s="7">
        <v>32.9</v>
      </c>
      <c r="AP184" s="9">
        <f t="shared" ref="AP184:AR184" si="576">AG184/$AF184</f>
        <v>97.73561644</v>
      </c>
      <c r="AQ184" s="9">
        <f t="shared" si="576"/>
        <v>43.32876712</v>
      </c>
      <c r="AR184" s="9">
        <f t="shared" si="576"/>
        <v>35.44520548</v>
      </c>
      <c r="AS184" s="9">
        <f t="shared" si="11"/>
        <v>78.7739726</v>
      </c>
      <c r="AT184" s="9">
        <f t="shared" ref="AT184:AV184" si="577">AJ184/$AF184</f>
        <v>11.04383562</v>
      </c>
      <c r="AU184" s="9">
        <f t="shared" si="577"/>
        <v>5.960273973</v>
      </c>
      <c r="AV184" s="9">
        <f t="shared" si="577"/>
        <v>1.957534247</v>
      </c>
      <c r="AW184" s="9">
        <f t="shared" si="13"/>
        <v>7.917808219</v>
      </c>
      <c r="AX184" s="9">
        <f t="shared" ref="AX184:AY184" si="578">AM184/$AF184</f>
        <v>0.9589041096</v>
      </c>
      <c r="AY184" s="9">
        <f t="shared" si="578"/>
        <v>0.4109589041</v>
      </c>
      <c r="AZ184" s="9">
        <f>VLOOKUP(A184,Jogos!A:BN,58,0)</f>
        <v>28.63</v>
      </c>
      <c r="BA184" s="9">
        <f>VLOOKUP(A184,Jogos!A:BN,59,0)</f>
        <v>22.83</v>
      </c>
      <c r="BB184" s="9">
        <f>VLOOKUP(A184,Jogos!A:BN,60,0)</f>
        <v>70.5</v>
      </c>
      <c r="BC184" s="9">
        <f>VLOOKUP(A184,Jogos!A:BN,61,0)</f>
        <v>28.175</v>
      </c>
      <c r="BD184" s="9">
        <f>VLOOKUP(A184,Jogos!A:BN,62,0)</f>
        <v>142.85</v>
      </c>
      <c r="BE184" s="9">
        <f>VLOOKUP(A184,Jogos!A:BN,63,0)</f>
        <v>2.34</v>
      </c>
      <c r="BF184" s="9">
        <f>VLOOKUP(A184,Jogos!A:BN,64,0)</f>
        <v>24.81</v>
      </c>
      <c r="BG184" s="9">
        <f>VLOOKUP(A184,Jogos!A:BN,65,0)</f>
        <v>42.885</v>
      </c>
      <c r="BH184" s="9">
        <f>VLOOKUP(A184,Jogos!A:BN,66,0)</f>
        <v>28.805</v>
      </c>
      <c r="BI184" s="9"/>
    </row>
    <row r="185" hidden="1">
      <c r="A185" s="2">
        <v>7.0</v>
      </c>
      <c r="B185" s="2" t="s">
        <v>121</v>
      </c>
      <c r="C185" s="2" t="s">
        <v>61</v>
      </c>
      <c r="D185" s="3">
        <v>45824.0</v>
      </c>
      <c r="E185" s="4">
        <v>0.75</v>
      </c>
      <c r="F185" s="5" t="str">
        <f>VLOOKUP(A185,Jogos!A:N,10,0)</f>
        <v>Evening</v>
      </c>
      <c r="G185" s="2" t="s">
        <v>62</v>
      </c>
      <c r="H185" s="6" t="str">
        <f>VLOOKUP(A185,Jogos!A:L,12,0)</f>
        <v>Open</v>
      </c>
      <c r="I185" s="6" t="str">
        <f>VLOOKUP(G185,'Estádios e Cidades'!A:B,2,0)</f>
        <v>Miami Gardens - Flórida</v>
      </c>
      <c r="J185" s="2" t="s">
        <v>440</v>
      </c>
      <c r="K185" s="2" t="str">
        <f>VLOOKUP(J185,Equipes!A:F,6,0)</f>
        <v>Temperate</v>
      </c>
      <c r="L185" s="2">
        <f>VLOOKUP(J185,Equipes!A:C,3,0)</f>
        <v>24</v>
      </c>
      <c r="M185" s="2" t="str">
        <f t="shared" si="4"/>
        <v>Group</v>
      </c>
      <c r="N185" s="2" t="s">
        <v>441</v>
      </c>
      <c r="O185" s="2">
        <f>VLOOKUP(N185,Equipes!A:C,3,0)</f>
        <v>10</v>
      </c>
      <c r="P185" s="2" t="str">
        <f t="shared" si="5"/>
        <v>Round of 16</v>
      </c>
      <c r="Q185" s="2">
        <f t="shared" si="6"/>
        <v>14</v>
      </c>
      <c r="R185" s="2" t="str">
        <f>VLOOKUP(J185,Equipes!A:B,2,0)</f>
        <v>Boca</v>
      </c>
      <c r="S185" s="6" t="s">
        <v>450</v>
      </c>
      <c r="T185" s="7">
        <v>17.0</v>
      </c>
      <c r="U185" s="7" t="s">
        <v>451</v>
      </c>
      <c r="V185" s="7" t="str">
        <f>VLOOKUP(U185,Jogadores!B:C,2,0)</f>
        <v>DF</v>
      </c>
      <c r="W185" s="8">
        <f>VLOOKUP(U185,Jogadores!B:D,3,0)</f>
        <v>35.43013699</v>
      </c>
      <c r="X185" s="7">
        <v>0.0</v>
      </c>
      <c r="Y185" s="7">
        <f>45+AB185</f>
        <v>95</v>
      </c>
      <c r="Z185" s="7">
        <f>VLOOKUP(A185,Jogos!A:L,3,0)</f>
        <v>53</v>
      </c>
      <c r="AA185" s="7">
        <f t="shared" si="7"/>
        <v>53</v>
      </c>
      <c r="AB185" s="7">
        <f>VLOOKUP(A185,Jogos!A:L,4,0)</f>
        <v>50</v>
      </c>
      <c r="AC185" s="7">
        <f t="shared" si="8"/>
        <v>50</v>
      </c>
      <c r="AD185" s="7"/>
      <c r="AE185" s="7"/>
      <c r="AF185" s="7">
        <f t="shared" si="9"/>
        <v>103</v>
      </c>
      <c r="AG185" s="7">
        <v>8375.7</v>
      </c>
      <c r="AH185" s="7">
        <v>4413.7</v>
      </c>
      <c r="AI185" s="7">
        <v>2680.4</v>
      </c>
      <c r="AJ185" s="7">
        <v>810.0</v>
      </c>
      <c r="AK185" s="7">
        <v>376.0</v>
      </c>
      <c r="AL185" s="7">
        <v>95.6</v>
      </c>
      <c r="AM185" s="7">
        <v>78.0</v>
      </c>
      <c r="AN185" s="7">
        <v>36.0</v>
      </c>
      <c r="AO185" s="7">
        <v>32.9</v>
      </c>
      <c r="AP185" s="9">
        <f t="shared" ref="AP185:AR185" si="579">AG185/$AF185</f>
        <v>81.31747573</v>
      </c>
      <c r="AQ185" s="9">
        <f t="shared" si="579"/>
        <v>42.85145631</v>
      </c>
      <c r="AR185" s="9">
        <f t="shared" si="579"/>
        <v>26.02330097</v>
      </c>
      <c r="AS185" s="9">
        <f t="shared" si="11"/>
        <v>68.87475728</v>
      </c>
      <c r="AT185" s="9">
        <f t="shared" ref="AT185:AV185" si="580">AJ185/$AF185</f>
        <v>7.86407767</v>
      </c>
      <c r="AU185" s="9">
        <f t="shared" si="580"/>
        <v>3.650485437</v>
      </c>
      <c r="AV185" s="9">
        <f t="shared" si="580"/>
        <v>0.9281553398</v>
      </c>
      <c r="AW185" s="9">
        <f t="shared" si="13"/>
        <v>4.578640777</v>
      </c>
      <c r="AX185" s="9">
        <f t="shared" ref="AX185:AY185" si="581">AM185/$AF185</f>
        <v>0.7572815534</v>
      </c>
      <c r="AY185" s="9">
        <f t="shared" si="581"/>
        <v>0.3495145631</v>
      </c>
      <c r="AZ185" s="9">
        <f>VLOOKUP(A185,Jogos!A:BN,58,0)</f>
        <v>28.63</v>
      </c>
      <c r="BA185" s="9">
        <f>VLOOKUP(A185,Jogos!A:BN,59,0)</f>
        <v>22.83</v>
      </c>
      <c r="BB185" s="9">
        <f>VLOOKUP(A185,Jogos!A:BN,60,0)</f>
        <v>70.5</v>
      </c>
      <c r="BC185" s="9">
        <f>VLOOKUP(A185,Jogos!A:BN,61,0)</f>
        <v>28.175</v>
      </c>
      <c r="BD185" s="9">
        <f>VLOOKUP(A185,Jogos!A:BN,62,0)</f>
        <v>142.85</v>
      </c>
      <c r="BE185" s="9">
        <f>VLOOKUP(A185,Jogos!A:BN,63,0)</f>
        <v>2.34</v>
      </c>
      <c r="BF185" s="9">
        <f>VLOOKUP(A185,Jogos!A:BN,64,0)</f>
        <v>24.81</v>
      </c>
      <c r="BG185" s="9">
        <f>VLOOKUP(A185,Jogos!A:BN,65,0)</f>
        <v>42.885</v>
      </c>
      <c r="BH185" s="9">
        <f>VLOOKUP(A185,Jogos!A:BN,66,0)</f>
        <v>28.805</v>
      </c>
      <c r="BI185" s="9"/>
    </row>
    <row r="186" hidden="1">
      <c r="A186" s="2">
        <v>7.0</v>
      </c>
      <c r="B186" s="2" t="s">
        <v>121</v>
      </c>
      <c r="C186" s="2" t="s">
        <v>61</v>
      </c>
      <c r="D186" s="3">
        <v>45824.0</v>
      </c>
      <c r="E186" s="4">
        <v>0.75</v>
      </c>
      <c r="F186" s="5" t="str">
        <f>VLOOKUP(A186,Jogos!A:N,10,0)</f>
        <v>Evening</v>
      </c>
      <c r="G186" s="2" t="s">
        <v>62</v>
      </c>
      <c r="H186" s="6" t="str">
        <f>VLOOKUP(A186,Jogos!A:L,12,0)</f>
        <v>Open</v>
      </c>
      <c r="I186" s="6" t="str">
        <f>VLOOKUP(G186,'Estádios e Cidades'!A:B,2,0)</f>
        <v>Miami Gardens - Flórida</v>
      </c>
      <c r="J186" s="2" t="s">
        <v>440</v>
      </c>
      <c r="K186" s="2" t="str">
        <f>VLOOKUP(J186,Equipes!A:F,6,0)</f>
        <v>Temperate</v>
      </c>
      <c r="L186" s="2">
        <f>VLOOKUP(J186,Equipes!A:C,3,0)</f>
        <v>24</v>
      </c>
      <c r="M186" s="2" t="str">
        <f t="shared" si="4"/>
        <v>Group</v>
      </c>
      <c r="N186" s="2" t="s">
        <v>441</v>
      </c>
      <c r="O186" s="2">
        <f>VLOOKUP(N186,Equipes!A:C,3,0)</f>
        <v>10</v>
      </c>
      <c r="P186" s="2" t="str">
        <f t="shared" si="5"/>
        <v>Round of 16</v>
      </c>
      <c r="Q186" s="2">
        <f t="shared" si="6"/>
        <v>14</v>
      </c>
      <c r="R186" s="2" t="str">
        <f>VLOOKUP(J186,Equipes!A:B,2,0)</f>
        <v>Boca</v>
      </c>
      <c r="S186" s="6" t="s">
        <v>452</v>
      </c>
      <c r="T186" s="7">
        <v>20.0</v>
      </c>
      <c r="U186" s="7" t="s">
        <v>453</v>
      </c>
      <c r="V186" s="7" t="str">
        <f>VLOOKUP(U186,Jogadores!B:C,2,0)</f>
        <v>MF</v>
      </c>
      <c r="W186" s="8">
        <f>VLOOKUP(U186,Jogadores!B:D,3,0)</f>
        <v>23.01917808</v>
      </c>
      <c r="X186" s="7">
        <v>0.0</v>
      </c>
      <c r="Y186" s="7">
        <v>59.0</v>
      </c>
      <c r="Z186" s="7">
        <f>VLOOKUP(A186,Jogos!A:L,3,0)</f>
        <v>53</v>
      </c>
      <c r="AA186" s="7">
        <f t="shared" si="7"/>
        <v>53</v>
      </c>
      <c r="AB186" s="7">
        <f>VLOOKUP(A186,Jogos!A:L,4,0)</f>
        <v>50</v>
      </c>
      <c r="AC186" s="7">
        <f t="shared" si="8"/>
        <v>14</v>
      </c>
      <c r="AD186" s="7"/>
      <c r="AE186" s="7"/>
      <c r="AF186" s="7">
        <f t="shared" si="9"/>
        <v>67</v>
      </c>
      <c r="AG186" s="7">
        <v>7576.9</v>
      </c>
      <c r="AH186" s="7">
        <v>2882.2</v>
      </c>
      <c r="AI186" s="7">
        <v>3410.2</v>
      </c>
      <c r="AJ186" s="7">
        <v>929.0</v>
      </c>
      <c r="AK186" s="7">
        <v>311.4</v>
      </c>
      <c r="AL186" s="7">
        <v>44.1</v>
      </c>
      <c r="AM186" s="7">
        <v>93.0</v>
      </c>
      <c r="AN186" s="7">
        <v>26.0</v>
      </c>
      <c r="AO186" s="7">
        <v>27.8</v>
      </c>
      <c r="AP186" s="9">
        <f t="shared" ref="AP186:AR186" si="582">AG186/$AF186</f>
        <v>113.0880597</v>
      </c>
      <c r="AQ186" s="9">
        <f t="shared" si="582"/>
        <v>43.01791045</v>
      </c>
      <c r="AR186" s="9">
        <f t="shared" si="582"/>
        <v>50.89850746</v>
      </c>
      <c r="AS186" s="9">
        <f t="shared" si="11"/>
        <v>93.91641791</v>
      </c>
      <c r="AT186" s="9">
        <f t="shared" ref="AT186:AV186" si="583">AJ186/$AF186</f>
        <v>13.86567164</v>
      </c>
      <c r="AU186" s="9">
        <f t="shared" si="583"/>
        <v>4.647761194</v>
      </c>
      <c r="AV186" s="9">
        <f t="shared" si="583"/>
        <v>0.6582089552</v>
      </c>
      <c r="AW186" s="9">
        <f t="shared" si="13"/>
        <v>5.305970149</v>
      </c>
      <c r="AX186" s="9">
        <f t="shared" ref="AX186:AY186" si="584">AM186/$AF186</f>
        <v>1.388059701</v>
      </c>
      <c r="AY186" s="9">
        <f t="shared" si="584"/>
        <v>0.3880597015</v>
      </c>
      <c r="AZ186" s="9">
        <f>VLOOKUP(A186,Jogos!A:BN,58,0)</f>
        <v>28.63</v>
      </c>
      <c r="BA186" s="9">
        <f>VLOOKUP(A186,Jogos!A:BN,59,0)</f>
        <v>22.83</v>
      </c>
      <c r="BB186" s="9">
        <f>VLOOKUP(A186,Jogos!A:BN,60,0)</f>
        <v>70.5</v>
      </c>
      <c r="BC186" s="9">
        <f>VLOOKUP(A186,Jogos!A:BN,61,0)</f>
        <v>28.175</v>
      </c>
      <c r="BD186" s="9">
        <f>VLOOKUP(A186,Jogos!A:BN,62,0)</f>
        <v>142.85</v>
      </c>
      <c r="BE186" s="9">
        <f>VLOOKUP(A186,Jogos!A:BN,63,0)</f>
        <v>2.34</v>
      </c>
      <c r="BF186" s="9">
        <f>VLOOKUP(A186,Jogos!A:BN,64,0)</f>
        <v>24.81</v>
      </c>
      <c r="BG186" s="9">
        <f>VLOOKUP(A186,Jogos!A:BN,65,0)</f>
        <v>42.885</v>
      </c>
      <c r="BH186" s="9">
        <f>VLOOKUP(A186,Jogos!A:BN,66,0)</f>
        <v>28.805</v>
      </c>
      <c r="BI186" s="9"/>
    </row>
    <row r="187" hidden="1">
      <c r="A187" s="2">
        <v>7.0</v>
      </c>
      <c r="B187" s="2" t="s">
        <v>121</v>
      </c>
      <c r="C187" s="2" t="s">
        <v>61</v>
      </c>
      <c r="D187" s="3">
        <v>45824.0</v>
      </c>
      <c r="E187" s="4">
        <v>0.75</v>
      </c>
      <c r="F187" s="5" t="str">
        <f>VLOOKUP(A187,Jogos!A:N,10,0)</f>
        <v>Evening</v>
      </c>
      <c r="G187" s="2" t="s">
        <v>62</v>
      </c>
      <c r="H187" s="6" t="str">
        <f>VLOOKUP(A187,Jogos!A:L,12,0)</f>
        <v>Open</v>
      </c>
      <c r="I187" s="6" t="str">
        <f>VLOOKUP(G187,'Estádios e Cidades'!A:B,2,0)</f>
        <v>Miami Gardens - Flórida</v>
      </c>
      <c r="J187" s="2" t="s">
        <v>440</v>
      </c>
      <c r="K187" s="2" t="str">
        <f>VLOOKUP(J187,Equipes!A:F,6,0)</f>
        <v>Temperate</v>
      </c>
      <c r="L187" s="2">
        <f>VLOOKUP(J187,Equipes!A:C,3,0)</f>
        <v>24</v>
      </c>
      <c r="M187" s="2" t="str">
        <f t="shared" si="4"/>
        <v>Group</v>
      </c>
      <c r="N187" s="2" t="s">
        <v>441</v>
      </c>
      <c r="O187" s="2">
        <f>VLOOKUP(N187,Equipes!A:C,3,0)</f>
        <v>10</v>
      </c>
      <c r="P187" s="2" t="str">
        <f t="shared" si="5"/>
        <v>Round of 16</v>
      </c>
      <c r="Q187" s="2">
        <f t="shared" si="6"/>
        <v>14</v>
      </c>
      <c r="R187" s="2" t="str">
        <f>VLOOKUP(J187,Equipes!A:B,2,0)</f>
        <v>Boca</v>
      </c>
      <c r="S187" s="6" t="s">
        <v>454</v>
      </c>
      <c r="T187" s="7">
        <v>21.0</v>
      </c>
      <c r="U187" s="7" t="s">
        <v>455</v>
      </c>
      <c r="V187" s="7" t="str">
        <f>VLOOKUP(U187,Jogadores!B:C,2,0)</f>
        <v>MF</v>
      </c>
      <c r="W187" s="8">
        <f>VLOOKUP(U187,Jogadores!B:D,3,0)</f>
        <v>35.97808219</v>
      </c>
      <c r="X187" s="7">
        <v>0.0</v>
      </c>
      <c r="Y187" s="7">
        <v>20.0</v>
      </c>
      <c r="Z187" s="7">
        <f>VLOOKUP(A187,Jogos!A:L,3,0)</f>
        <v>53</v>
      </c>
      <c r="AA187" s="7">
        <f t="shared" si="7"/>
        <v>20</v>
      </c>
      <c r="AB187" s="7">
        <f>VLOOKUP(A187,Jogos!A:L,4,0)</f>
        <v>50</v>
      </c>
      <c r="AC187" s="7">
        <f t="shared" si="8"/>
        <v>0</v>
      </c>
      <c r="AD187" s="7"/>
      <c r="AE187" s="7"/>
      <c r="AF187" s="7">
        <f t="shared" si="9"/>
        <v>20</v>
      </c>
      <c r="AG187" s="7">
        <v>2535.2</v>
      </c>
      <c r="AH187" s="7">
        <v>745.4</v>
      </c>
      <c r="AI187" s="7">
        <v>1289.0</v>
      </c>
      <c r="AJ187" s="7">
        <v>419.4</v>
      </c>
      <c r="AK187" s="7">
        <v>81.4</v>
      </c>
      <c r="AL187" s="7">
        <v>38.0</v>
      </c>
      <c r="AM187" s="7">
        <v>8.0</v>
      </c>
      <c r="AN187" s="7">
        <v>24.4</v>
      </c>
      <c r="AO187" s="7"/>
      <c r="AP187" s="9">
        <f t="shared" ref="AP187:AR187" si="585">AG187/$AF187</f>
        <v>126.76</v>
      </c>
      <c r="AQ187" s="9">
        <f t="shared" si="585"/>
        <v>37.27</v>
      </c>
      <c r="AR187" s="9">
        <f t="shared" si="585"/>
        <v>64.45</v>
      </c>
      <c r="AS187" s="9">
        <f t="shared" si="11"/>
        <v>101.72</v>
      </c>
      <c r="AT187" s="9">
        <f t="shared" ref="AT187:AV187" si="586">AJ187/$AF187</f>
        <v>20.97</v>
      </c>
      <c r="AU187" s="9">
        <f t="shared" si="586"/>
        <v>4.07</v>
      </c>
      <c r="AV187" s="9">
        <f t="shared" si="586"/>
        <v>1.9</v>
      </c>
      <c r="AW187" s="9">
        <f t="shared" si="13"/>
        <v>5.97</v>
      </c>
      <c r="AX187" s="9">
        <f t="shared" ref="AX187:AY187" si="587">AM187/$AF187</f>
        <v>0.4</v>
      </c>
      <c r="AY187" s="9">
        <f t="shared" si="587"/>
        <v>1.22</v>
      </c>
      <c r="AZ187" s="9">
        <f>VLOOKUP(A187,Jogos!A:BN,58,0)</f>
        <v>28.63</v>
      </c>
      <c r="BA187" s="9">
        <f>VLOOKUP(A187,Jogos!A:BN,59,0)</f>
        <v>22.83</v>
      </c>
      <c r="BB187" s="9">
        <f>VLOOKUP(A187,Jogos!A:BN,60,0)</f>
        <v>70.5</v>
      </c>
      <c r="BC187" s="9">
        <f>VLOOKUP(A187,Jogos!A:BN,61,0)</f>
        <v>28.175</v>
      </c>
      <c r="BD187" s="9">
        <f>VLOOKUP(A187,Jogos!A:BN,62,0)</f>
        <v>142.85</v>
      </c>
      <c r="BE187" s="9">
        <f>VLOOKUP(A187,Jogos!A:BN,63,0)</f>
        <v>2.34</v>
      </c>
      <c r="BF187" s="9">
        <f>VLOOKUP(A187,Jogos!A:BN,64,0)</f>
        <v>24.81</v>
      </c>
      <c r="BG187" s="9">
        <f>VLOOKUP(A187,Jogos!A:BN,65,0)</f>
        <v>42.885</v>
      </c>
      <c r="BH187" s="9">
        <f>VLOOKUP(A187,Jogos!A:BN,66,0)</f>
        <v>28.805</v>
      </c>
      <c r="BI187" s="9"/>
    </row>
    <row r="188" hidden="1">
      <c r="A188" s="2">
        <v>7.0</v>
      </c>
      <c r="B188" s="2" t="s">
        <v>121</v>
      </c>
      <c r="C188" s="2" t="s">
        <v>61</v>
      </c>
      <c r="D188" s="3">
        <v>45824.0</v>
      </c>
      <c r="E188" s="4">
        <v>0.75</v>
      </c>
      <c r="F188" s="5" t="str">
        <f>VLOOKUP(A188,Jogos!A:N,10,0)</f>
        <v>Evening</v>
      </c>
      <c r="G188" s="2" t="s">
        <v>62</v>
      </c>
      <c r="H188" s="6" t="str">
        <f>VLOOKUP(A188,Jogos!A:L,12,0)</f>
        <v>Open</v>
      </c>
      <c r="I188" s="6" t="str">
        <f>VLOOKUP(G188,'Estádios e Cidades'!A:B,2,0)</f>
        <v>Miami Gardens - Flórida</v>
      </c>
      <c r="J188" s="2" t="s">
        <v>440</v>
      </c>
      <c r="K188" s="2" t="str">
        <f>VLOOKUP(J188,Equipes!A:F,6,0)</f>
        <v>Temperate</v>
      </c>
      <c r="L188" s="2">
        <f>VLOOKUP(J188,Equipes!A:C,3,0)</f>
        <v>24</v>
      </c>
      <c r="M188" s="2" t="str">
        <f t="shared" si="4"/>
        <v>Group</v>
      </c>
      <c r="N188" s="2" t="s">
        <v>441</v>
      </c>
      <c r="O188" s="2">
        <f>VLOOKUP(N188,Equipes!A:C,3,0)</f>
        <v>10</v>
      </c>
      <c r="P188" s="2" t="str">
        <f t="shared" si="5"/>
        <v>Round of 16</v>
      </c>
      <c r="Q188" s="2">
        <f t="shared" si="6"/>
        <v>14</v>
      </c>
      <c r="R188" s="2" t="str">
        <f>VLOOKUP(J188,Equipes!A:B,2,0)</f>
        <v>Boca</v>
      </c>
      <c r="S188" s="6" t="s">
        <v>456</v>
      </c>
      <c r="T188" s="7">
        <v>22.0</v>
      </c>
      <c r="U188" s="7" t="s">
        <v>457</v>
      </c>
      <c r="V188" s="7" t="str">
        <f>VLOOKUP(U188,Jogadores!B:C,2,0)</f>
        <v>MF</v>
      </c>
      <c r="W188" s="8">
        <f>VLOOKUP(U188,Jogadores!B:D,3,0)</f>
        <v>24.0109589</v>
      </c>
      <c r="X188" s="7">
        <v>0.0</v>
      </c>
      <c r="Y188" s="7">
        <f t="shared" ref="Y188:Y197" si="591">45+AB188</f>
        <v>95</v>
      </c>
      <c r="Z188" s="7">
        <f>VLOOKUP(A188,Jogos!A:L,3,0)</f>
        <v>53</v>
      </c>
      <c r="AA188" s="7">
        <f t="shared" si="7"/>
        <v>53</v>
      </c>
      <c r="AB188" s="7">
        <f>VLOOKUP(A188,Jogos!A:L,4,0)</f>
        <v>50</v>
      </c>
      <c r="AC188" s="7">
        <f t="shared" si="8"/>
        <v>50</v>
      </c>
      <c r="AD188" s="7"/>
      <c r="AE188" s="7"/>
      <c r="AF188" s="7">
        <f t="shared" si="9"/>
        <v>103</v>
      </c>
      <c r="AG188" s="7">
        <v>10773.3</v>
      </c>
      <c r="AH188" s="7">
        <v>4716.2</v>
      </c>
      <c r="AI188" s="7">
        <v>3756.1</v>
      </c>
      <c r="AJ188" s="7">
        <v>1286.6</v>
      </c>
      <c r="AK188" s="7">
        <v>705.5</v>
      </c>
      <c r="AL188" s="7">
        <v>308.9</v>
      </c>
      <c r="AM188" s="7">
        <v>112.0</v>
      </c>
      <c r="AN188" s="7">
        <v>63.0</v>
      </c>
      <c r="AO188" s="7">
        <v>31.4</v>
      </c>
      <c r="AP188" s="9">
        <f t="shared" ref="AP188:AR188" si="588">AG188/$AF188</f>
        <v>104.5951456</v>
      </c>
      <c r="AQ188" s="9">
        <f t="shared" si="588"/>
        <v>45.78834951</v>
      </c>
      <c r="AR188" s="9">
        <f t="shared" si="588"/>
        <v>36.46699029</v>
      </c>
      <c r="AS188" s="9">
        <f t="shared" si="11"/>
        <v>82.25533981</v>
      </c>
      <c r="AT188" s="9">
        <f t="shared" ref="AT188:AV188" si="589">AJ188/$AF188</f>
        <v>12.49126214</v>
      </c>
      <c r="AU188" s="9">
        <f t="shared" si="589"/>
        <v>6.849514563</v>
      </c>
      <c r="AV188" s="9">
        <f t="shared" si="589"/>
        <v>2.999029126</v>
      </c>
      <c r="AW188" s="9">
        <f t="shared" si="13"/>
        <v>9.848543689</v>
      </c>
      <c r="AX188" s="9">
        <f t="shared" ref="AX188:AY188" si="590">AM188/$AF188</f>
        <v>1.087378641</v>
      </c>
      <c r="AY188" s="9">
        <f t="shared" si="590"/>
        <v>0.6116504854</v>
      </c>
      <c r="AZ188" s="9">
        <f>VLOOKUP(A188,Jogos!A:BN,58,0)</f>
        <v>28.63</v>
      </c>
      <c r="BA188" s="9">
        <f>VLOOKUP(A188,Jogos!A:BN,59,0)</f>
        <v>22.83</v>
      </c>
      <c r="BB188" s="9">
        <f>VLOOKUP(A188,Jogos!A:BN,60,0)</f>
        <v>70.5</v>
      </c>
      <c r="BC188" s="9">
        <f>VLOOKUP(A188,Jogos!A:BN,61,0)</f>
        <v>28.175</v>
      </c>
      <c r="BD188" s="9">
        <f>VLOOKUP(A188,Jogos!A:BN,62,0)</f>
        <v>142.85</v>
      </c>
      <c r="BE188" s="9">
        <f>VLOOKUP(A188,Jogos!A:BN,63,0)</f>
        <v>2.34</v>
      </c>
      <c r="BF188" s="9">
        <f>VLOOKUP(A188,Jogos!A:BN,64,0)</f>
        <v>24.81</v>
      </c>
      <c r="BG188" s="9">
        <f>VLOOKUP(A188,Jogos!A:BN,65,0)</f>
        <v>42.885</v>
      </c>
      <c r="BH188" s="9">
        <f>VLOOKUP(A188,Jogos!A:BN,66,0)</f>
        <v>28.805</v>
      </c>
      <c r="BI188" s="9"/>
    </row>
    <row r="189" hidden="1">
      <c r="A189" s="2">
        <v>7.0</v>
      </c>
      <c r="B189" s="2" t="s">
        <v>121</v>
      </c>
      <c r="C189" s="2" t="s">
        <v>61</v>
      </c>
      <c r="D189" s="3">
        <v>45824.0</v>
      </c>
      <c r="E189" s="4">
        <v>0.75</v>
      </c>
      <c r="F189" s="5" t="str">
        <f>VLOOKUP(A189,Jogos!A:N,10,0)</f>
        <v>Evening</v>
      </c>
      <c r="G189" s="2" t="s">
        <v>62</v>
      </c>
      <c r="H189" s="6" t="str">
        <f>VLOOKUP(A189,Jogos!A:L,12,0)</f>
        <v>Open</v>
      </c>
      <c r="I189" s="6" t="str">
        <f>VLOOKUP(G189,'Estádios e Cidades'!A:B,2,0)</f>
        <v>Miami Gardens - Flórida</v>
      </c>
      <c r="J189" s="2" t="s">
        <v>440</v>
      </c>
      <c r="K189" s="2" t="str">
        <f>VLOOKUP(J189,Equipes!A:F,6,0)</f>
        <v>Temperate</v>
      </c>
      <c r="L189" s="2">
        <f>VLOOKUP(J189,Equipes!A:C,3,0)</f>
        <v>24</v>
      </c>
      <c r="M189" s="2" t="str">
        <f t="shared" si="4"/>
        <v>Group</v>
      </c>
      <c r="N189" s="2" t="s">
        <v>441</v>
      </c>
      <c r="O189" s="2">
        <f>VLOOKUP(N189,Equipes!A:C,3,0)</f>
        <v>10</v>
      </c>
      <c r="P189" s="2" t="str">
        <f t="shared" si="5"/>
        <v>Round of 16</v>
      </c>
      <c r="Q189" s="2">
        <f t="shared" si="6"/>
        <v>14</v>
      </c>
      <c r="R189" s="2" t="str">
        <f>VLOOKUP(J189,Equipes!A:B,2,0)</f>
        <v>Boca</v>
      </c>
      <c r="S189" s="6" t="s">
        <v>458</v>
      </c>
      <c r="T189" s="7">
        <v>23.0</v>
      </c>
      <c r="U189" s="7" t="s">
        <v>459</v>
      </c>
      <c r="V189" s="7" t="str">
        <f>VLOOKUP(U189,Jogadores!B:C,2,0)</f>
        <v>DF</v>
      </c>
      <c r="W189" s="8">
        <f>VLOOKUP(U189,Jogadores!B:D,3,0)</f>
        <v>26.45479452</v>
      </c>
      <c r="X189" s="7">
        <v>0.0</v>
      </c>
      <c r="Y189" s="7">
        <f t="shared" si="591"/>
        <v>95</v>
      </c>
      <c r="Z189" s="7">
        <f>VLOOKUP(A189,Jogos!A:L,3,0)</f>
        <v>53</v>
      </c>
      <c r="AA189" s="7">
        <f t="shared" si="7"/>
        <v>53</v>
      </c>
      <c r="AB189" s="7">
        <f>VLOOKUP(A189,Jogos!A:L,4,0)</f>
        <v>50</v>
      </c>
      <c r="AC189" s="7">
        <f t="shared" si="8"/>
        <v>50</v>
      </c>
      <c r="AD189" s="7"/>
      <c r="AE189" s="7"/>
      <c r="AF189" s="7">
        <f t="shared" si="9"/>
        <v>103</v>
      </c>
      <c r="AG189" s="7">
        <v>9924.5</v>
      </c>
      <c r="AH189" s="7">
        <v>5136.9</v>
      </c>
      <c r="AI189" s="7">
        <v>3231.6</v>
      </c>
      <c r="AJ189" s="7">
        <v>1086.0</v>
      </c>
      <c r="AK189" s="7">
        <v>357.2</v>
      </c>
      <c r="AL189" s="7">
        <v>112.9</v>
      </c>
      <c r="AM189" s="7">
        <v>100.0</v>
      </c>
      <c r="AN189" s="7">
        <v>36.0</v>
      </c>
      <c r="AO189" s="7">
        <v>33.6</v>
      </c>
      <c r="AP189" s="9">
        <f t="shared" ref="AP189:AR189" si="592">AG189/$AF189</f>
        <v>96.35436893</v>
      </c>
      <c r="AQ189" s="9">
        <f t="shared" si="592"/>
        <v>49.87281553</v>
      </c>
      <c r="AR189" s="9">
        <f t="shared" si="592"/>
        <v>31.37475728</v>
      </c>
      <c r="AS189" s="9">
        <f t="shared" si="11"/>
        <v>81.24757282</v>
      </c>
      <c r="AT189" s="9">
        <f t="shared" ref="AT189:AV189" si="593">AJ189/$AF189</f>
        <v>10.54368932</v>
      </c>
      <c r="AU189" s="9">
        <f t="shared" si="593"/>
        <v>3.467961165</v>
      </c>
      <c r="AV189" s="9">
        <f t="shared" si="593"/>
        <v>1.096116505</v>
      </c>
      <c r="AW189" s="9">
        <f t="shared" si="13"/>
        <v>4.56407767</v>
      </c>
      <c r="AX189" s="9">
        <f t="shared" ref="AX189:AY189" si="594">AM189/$AF189</f>
        <v>0.9708737864</v>
      </c>
      <c r="AY189" s="9">
        <f t="shared" si="594"/>
        <v>0.3495145631</v>
      </c>
      <c r="AZ189" s="9">
        <f>VLOOKUP(A189,Jogos!A:BN,58,0)</f>
        <v>28.63</v>
      </c>
      <c r="BA189" s="9">
        <f>VLOOKUP(A189,Jogos!A:BN,59,0)</f>
        <v>22.83</v>
      </c>
      <c r="BB189" s="9">
        <f>VLOOKUP(A189,Jogos!A:BN,60,0)</f>
        <v>70.5</v>
      </c>
      <c r="BC189" s="9">
        <f>VLOOKUP(A189,Jogos!A:BN,61,0)</f>
        <v>28.175</v>
      </c>
      <c r="BD189" s="9">
        <f>VLOOKUP(A189,Jogos!A:BN,62,0)</f>
        <v>142.85</v>
      </c>
      <c r="BE189" s="9">
        <f>VLOOKUP(A189,Jogos!A:BN,63,0)</f>
        <v>2.34</v>
      </c>
      <c r="BF189" s="9">
        <f>VLOOKUP(A189,Jogos!A:BN,64,0)</f>
        <v>24.81</v>
      </c>
      <c r="BG189" s="9">
        <f>VLOOKUP(A189,Jogos!A:BN,65,0)</f>
        <v>42.885</v>
      </c>
      <c r="BH189" s="9">
        <f>VLOOKUP(A189,Jogos!A:BN,66,0)</f>
        <v>28.805</v>
      </c>
      <c r="BI189" s="9"/>
    </row>
    <row r="190" hidden="1">
      <c r="A190" s="2">
        <v>7.0</v>
      </c>
      <c r="B190" s="2" t="s">
        <v>121</v>
      </c>
      <c r="C190" s="2" t="s">
        <v>61</v>
      </c>
      <c r="D190" s="3">
        <v>45824.0</v>
      </c>
      <c r="E190" s="4">
        <v>0.75</v>
      </c>
      <c r="F190" s="5" t="str">
        <f>VLOOKUP(A190,Jogos!A:N,10,0)</f>
        <v>Evening</v>
      </c>
      <c r="G190" s="2" t="s">
        <v>62</v>
      </c>
      <c r="H190" s="6" t="str">
        <f>VLOOKUP(A190,Jogos!A:L,12,0)</f>
        <v>Open</v>
      </c>
      <c r="I190" s="6" t="str">
        <f>VLOOKUP(G190,'Estádios e Cidades'!A:B,2,0)</f>
        <v>Miami Gardens - Flórida</v>
      </c>
      <c r="J190" s="2" t="s">
        <v>440</v>
      </c>
      <c r="K190" s="2" t="str">
        <f>VLOOKUP(J190,Equipes!A:F,6,0)</f>
        <v>Temperate</v>
      </c>
      <c r="L190" s="2">
        <f>VLOOKUP(J190,Equipes!A:C,3,0)</f>
        <v>24</v>
      </c>
      <c r="M190" s="2" t="str">
        <f t="shared" si="4"/>
        <v>Group</v>
      </c>
      <c r="N190" s="2" t="s">
        <v>441</v>
      </c>
      <c r="O190" s="2">
        <f>VLOOKUP(N190,Equipes!A:C,3,0)</f>
        <v>10</v>
      </c>
      <c r="P190" s="2" t="str">
        <f t="shared" si="5"/>
        <v>Round of 16</v>
      </c>
      <c r="Q190" s="2">
        <f t="shared" si="6"/>
        <v>14</v>
      </c>
      <c r="R190" s="2" t="str">
        <f>VLOOKUP(J190,Equipes!A:B,2,0)</f>
        <v>Boca</v>
      </c>
      <c r="S190" s="6" t="s">
        <v>460</v>
      </c>
      <c r="T190" s="7">
        <v>32.0</v>
      </c>
      <c r="U190" s="7" t="s">
        <v>461</v>
      </c>
      <c r="V190" s="7" t="str">
        <f>VLOOKUP(U190,Jogadores!B:C,2,0)</f>
        <v>DF</v>
      </c>
      <c r="W190" s="8">
        <f>VLOOKUP(U190,Jogadores!B:D,3,0)</f>
        <v>26.0630137</v>
      </c>
      <c r="X190" s="7">
        <v>0.0</v>
      </c>
      <c r="Y190" s="7">
        <f t="shared" si="591"/>
        <v>95</v>
      </c>
      <c r="Z190" s="7">
        <f>VLOOKUP(A190,Jogos!A:L,3,0)</f>
        <v>53</v>
      </c>
      <c r="AA190" s="7">
        <f t="shared" si="7"/>
        <v>53</v>
      </c>
      <c r="AB190" s="7">
        <f>VLOOKUP(A190,Jogos!A:L,4,0)</f>
        <v>50</v>
      </c>
      <c r="AC190" s="7">
        <f t="shared" si="8"/>
        <v>50</v>
      </c>
      <c r="AD190" s="7"/>
      <c r="AE190" s="7"/>
      <c r="AF190" s="7">
        <f t="shared" si="9"/>
        <v>103</v>
      </c>
      <c r="AG190" s="7">
        <v>9011.7</v>
      </c>
      <c r="AH190" s="7">
        <v>4676.6</v>
      </c>
      <c r="AI190" s="7">
        <v>3269.2</v>
      </c>
      <c r="AJ190" s="7">
        <v>738.1</v>
      </c>
      <c r="AK190" s="7">
        <v>255.4</v>
      </c>
      <c r="AL190" s="7">
        <v>72.4</v>
      </c>
      <c r="AM190" s="7">
        <v>67.0</v>
      </c>
      <c r="AN190" s="7">
        <v>25.0</v>
      </c>
      <c r="AO190" s="7">
        <v>30.1</v>
      </c>
      <c r="AP190" s="9">
        <f t="shared" ref="AP190:AR190" si="595">AG190/$AF190</f>
        <v>87.49223301</v>
      </c>
      <c r="AQ190" s="9">
        <f t="shared" si="595"/>
        <v>45.4038835</v>
      </c>
      <c r="AR190" s="9">
        <f t="shared" si="595"/>
        <v>31.73980583</v>
      </c>
      <c r="AS190" s="9">
        <f t="shared" si="11"/>
        <v>77.14368932</v>
      </c>
      <c r="AT190" s="9">
        <f t="shared" ref="AT190:AV190" si="596">AJ190/$AF190</f>
        <v>7.166019417</v>
      </c>
      <c r="AU190" s="9">
        <f t="shared" si="596"/>
        <v>2.47961165</v>
      </c>
      <c r="AV190" s="9">
        <f t="shared" si="596"/>
        <v>0.7029126214</v>
      </c>
      <c r="AW190" s="9">
        <f t="shared" si="13"/>
        <v>3.182524272</v>
      </c>
      <c r="AX190" s="9">
        <f t="shared" ref="AX190:AY190" si="597">AM190/$AF190</f>
        <v>0.6504854369</v>
      </c>
      <c r="AY190" s="9">
        <f t="shared" si="597"/>
        <v>0.2427184466</v>
      </c>
      <c r="AZ190" s="9">
        <f>VLOOKUP(A190,Jogos!A:BN,58,0)</f>
        <v>28.63</v>
      </c>
      <c r="BA190" s="9">
        <f>VLOOKUP(A190,Jogos!A:BN,59,0)</f>
        <v>22.83</v>
      </c>
      <c r="BB190" s="9">
        <f>VLOOKUP(A190,Jogos!A:BN,60,0)</f>
        <v>70.5</v>
      </c>
      <c r="BC190" s="9">
        <f>VLOOKUP(A190,Jogos!A:BN,61,0)</f>
        <v>28.175</v>
      </c>
      <c r="BD190" s="9">
        <f>VLOOKUP(A190,Jogos!A:BN,62,0)</f>
        <v>142.85</v>
      </c>
      <c r="BE190" s="9">
        <f>VLOOKUP(A190,Jogos!A:BN,63,0)</f>
        <v>2.34</v>
      </c>
      <c r="BF190" s="9">
        <f>VLOOKUP(A190,Jogos!A:BN,64,0)</f>
        <v>24.81</v>
      </c>
      <c r="BG190" s="9">
        <f>VLOOKUP(A190,Jogos!A:BN,65,0)</f>
        <v>42.885</v>
      </c>
      <c r="BH190" s="9">
        <f>VLOOKUP(A190,Jogos!A:BN,66,0)</f>
        <v>28.805</v>
      </c>
      <c r="BI190" s="9"/>
    </row>
    <row r="191" hidden="1">
      <c r="A191" s="2">
        <v>7.0</v>
      </c>
      <c r="B191" s="2" t="s">
        <v>121</v>
      </c>
      <c r="C191" s="2" t="s">
        <v>61</v>
      </c>
      <c r="D191" s="3">
        <v>45824.0</v>
      </c>
      <c r="E191" s="4">
        <v>0.75</v>
      </c>
      <c r="F191" s="5" t="str">
        <f>VLOOKUP(A191,Jogos!A:N,10,0)</f>
        <v>Evening</v>
      </c>
      <c r="G191" s="2" t="s">
        <v>62</v>
      </c>
      <c r="H191" s="6" t="str">
        <f>VLOOKUP(A191,Jogos!A:L,12,0)</f>
        <v>Open</v>
      </c>
      <c r="I191" s="6" t="str">
        <f>VLOOKUP(G191,'Estádios e Cidades'!A:B,2,0)</f>
        <v>Miami Gardens - Flórida</v>
      </c>
      <c r="J191" s="2" t="s">
        <v>440</v>
      </c>
      <c r="K191" s="2" t="str">
        <f>VLOOKUP(J191,Equipes!A:F,6,0)</f>
        <v>Temperate</v>
      </c>
      <c r="L191" s="2">
        <f>VLOOKUP(J191,Equipes!A:C,3,0)</f>
        <v>24</v>
      </c>
      <c r="M191" s="2" t="str">
        <f t="shared" si="4"/>
        <v>Group</v>
      </c>
      <c r="N191" s="2" t="s">
        <v>441</v>
      </c>
      <c r="O191" s="2">
        <f>VLOOKUP(N191,Equipes!A:C,3,0)</f>
        <v>10</v>
      </c>
      <c r="P191" s="2" t="str">
        <f t="shared" si="5"/>
        <v>Round of 16</v>
      </c>
      <c r="Q191" s="2">
        <f t="shared" si="6"/>
        <v>14</v>
      </c>
      <c r="R191" s="2" t="str">
        <f>VLOOKUP(J191,Equipes!A:B,2,0)</f>
        <v>Boca</v>
      </c>
      <c r="S191" s="6" t="s">
        <v>462</v>
      </c>
      <c r="T191" s="7">
        <v>7.0</v>
      </c>
      <c r="U191" s="7" t="s">
        <v>463</v>
      </c>
      <c r="V191" s="7" t="str">
        <f>VLOOKUP(U191,Jogadores!B:C,2,0)</f>
        <v>FW</v>
      </c>
      <c r="W191" s="8">
        <f>VLOOKUP(U191,Jogadores!B:D,3,0)</f>
        <v>23.27671233</v>
      </c>
      <c r="X191" s="7">
        <v>65.0</v>
      </c>
      <c r="Y191" s="7">
        <f t="shared" si="591"/>
        <v>95</v>
      </c>
      <c r="Z191" s="7">
        <f>VLOOKUP(A191,Jogos!A:L,3,0)</f>
        <v>53</v>
      </c>
      <c r="AA191" s="7">
        <f t="shared" si="7"/>
        <v>0</v>
      </c>
      <c r="AB191" s="7">
        <f>VLOOKUP(A191,Jogos!A:L,4,0)</f>
        <v>50</v>
      </c>
      <c r="AC191" s="7">
        <f t="shared" si="8"/>
        <v>30</v>
      </c>
      <c r="AD191" s="7"/>
      <c r="AE191" s="7"/>
      <c r="AF191" s="7">
        <f t="shared" si="9"/>
        <v>30</v>
      </c>
      <c r="AG191" s="7">
        <v>3251.2</v>
      </c>
      <c r="AH191" s="7">
        <v>1353.7</v>
      </c>
      <c r="AI191" s="7">
        <v>1182.7</v>
      </c>
      <c r="AJ191" s="7">
        <v>453.2</v>
      </c>
      <c r="AK191" s="7">
        <v>198.1</v>
      </c>
      <c r="AL191" s="7">
        <v>63.5</v>
      </c>
      <c r="AM191" s="7">
        <v>41.0</v>
      </c>
      <c r="AN191" s="7">
        <v>21.0</v>
      </c>
      <c r="AO191" s="7">
        <v>28.9</v>
      </c>
      <c r="AP191" s="9">
        <f t="shared" ref="AP191:AR191" si="598">AG191/$AF191</f>
        <v>108.3733333</v>
      </c>
      <c r="AQ191" s="9">
        <f t="shared" si="598"/>
        <v>45.12333333</v>
      </c>
      <c r="AR191" s="9">
        <f t="shared" si="598"/>
        <v>39.42333333</v>
      </c>
      <c r="AS191" s="9">
        <f t="shared" si="11"/>
        <v>84.54666667</v>
      </c>
      <c r="AT191" s="9">
        <f t="shared" ref="AT191:AV191" si="599">AJ191/$AF191</f>
        <v>15.10666667</v>
      </c>
      <c r="AU191" s="9">
        <f t="shared" si="599"/>
        <v>6.603333333</v>
      </c>
      <c r="AV191" s="9">
        <f t="shared" si="599"/>
        <v>2.116666667</v>
      </c>
      <c r="AW191" s="9">
        <f t="shared" si="13"/>
        <v>8.72</v>
      </c>
      <c r="AX191" s="9">
        <f t="shared" ref="AX191:AY191" si="600">AM191/$AF191</f>
        <v>1.366666667</v>
      </c>
      <c r="AY191" s="9">
        <f t="shared" si="600"/>
        <v>0.7</v>
      </c>
      <c r="AZ191" s="9">
        <f>VLOOKUP(A191,Jogos!A:BN,58,0)</f>
        <v>28.63</v>
      </c>
      <c r="BA191" s="9">
        <f>VLOOKUP(A191,Jogos!A:BN,59,0)</f>
        <v>22.83</v>
      </c>
      <c r="BB191" s="9">
        <f>VLOOKUP(A191,Jogos!A:BN,60,0)</f>
        <v>70.5</v>
      </c>
      <c r="BC191" s="9">
        <f>VLOOKUP(A191,Jogos!A:BN,61,0)</f>
        <v>28.175</v>
      </c>
      <c r="BD191" s="9">
        <f>VLOOKUP(A191,Jogos!A:BN,62,0)</f>
        <v>142.85</v>
      </c>
      <c r="BE191" s="9">
        <f>VLOOKUP(A191,Jogos!A:BN,63,0)</f>
        <v>2.34</v>
      </c>
      <c r="BF191" s="9">
        <f>VLOOKUP(A191,Jogos!A:BN,64,0)</f>
        <v>24.81</v>
      </c>
      <c r="BG191" s="9">
        <f>VLOOKUP(A191,Jogos!A:BN,65,0)</f>
        <v>42.885</v>
      </c>
      <c r="BH191" s="9">
        <f>VLOOKUP(A191,Jogos!A:BN,66,0)</f>
        <v>28.805</v>
      </c>
      <c r="BI191" s="9"/>
    </row>
    <row r="192" hidden="1">
      <c r="A192" s="2">
        <v>7.0</v>
      </c>
      <c r="B192" s="2" t="s">
        <v>121</v>
      </c>
      <c r="C192" s="2" t="s">
        <v>61</v>
      </c>
      <c r="D192" s="3">
        <v>45824.0</v>
      </c>
      <c r="E192" s="4">
        <v>0.75</v>
      </c>
      <c r="F192" s="5" t="str">
        <f>VLOOKUP(A192,Jogos!A:N,10,0)</f>
        <v>Evening</v>
      </c>
      <c r="G192" s="2" t="s">
        <v>62</v>
      </c>
      <c r="H192" s="6" t="str">
        <f>VLOOKUP(A192,Jogos!A:L,12,0)</f>
        <v>Open</v>
      </c>
      <c r="I192" s="6" t="str">
        <f>VLOOKUP(G192,'Estádios e Cidades'!A:B,2,0)</f>
        <v>Miami Gardens - Flórida</v>
      </c>
      <c r="J192" s="2" t="s">
        <v>440</v>
      </c>
      <c r="K192" s="2" t="str">
        <f>VLOOKUP(J192,Equipes!A:F,6,0)</f>
        <v>Temperate</v>
      </c>
      <c r="L192" s="2">
        <f>VLOOKUP(J192,Equipes!A:C,3,0)</f>
        <v>24</v>
      </c>
      <c r="M192" s="2" t="str">
        <f t="shared" si="4"/>
        <v>Group</v>
      </c>
      <c r="N192" s="2" t="s">
        <v>441</v>
      </c>
      <c r="O192" s="2">
        <f>VLOOKUP(N192,Equipes!A:C,3,0)</f>
        <v>10</v>
      </c>
      <c r="P192" s="2" t="str">
        <f t="shared" si="5"/>
        <v>Round of 16</v>
      </c>
      <c r="Q192" s="2">
        <f t="shared" si="6"/>
        <v>14</v>
      </c>
      <c r="R192" s="2" t="str">
        <f>VLOOKUP(J192,Equipes!A:B,2,0)</f>
        <v>Boca</v>
      </c>
      <c r="S192" s="6" t="s">
        <v>464</v>
      </c>
      <c r="T192" s="7">
        <v>9.0</v>
      </c>
      <c r="U192" s="7" t="s">
        <v>465</v>
      </c>
      <c r="V192" s="7" t="str">
        <f>VLOOKUP(U192,Jogadores!B:C,2,0)</f>
        <v>FW</v>
      </c>
      <c r="W192" s="8">
        <f>VLOOKUP(U192,Jogadores!B:D,3,0)</f>
        <v>28.97808219</v>
      </c>
      <c r="X192" s="7">
        <v>59.0</v>
      </c>
      <c r="Y192" s="7">
        <f t="shared" si="591"/>
        <v>95</v>
      </c>
      <c r="Z192" s="7">
        <f>VLOOKUP(A192,Jogos!A:L,3,0)</f>
        <v>53</v>
      </c>
      <c r="AA192" s="7">
        <f t="shared" si="7"/>
        <v>0</v>
      </c>
      <c r="AB192" s="7">
        <f>VLOOKUP(A192,Jogos!A:L,4,0)</f>
        <v>50</v>
      </c>
      <c r="AC192" s="7">
        <f t="shared" si="8"/>
        <v>36</v>
      </c>
      <c r="AD192" s="7"/>
      <c r="AE192" s="7"/>
      <c r="AF192" s="7">
        <f t="shared" si="9"/>
        <v>36</v>
      </c>
      <c r="AG192" s="7">
        <v>3491.6</v>
      </c>
      <c r="AH192" s="7">
        <v>1645.3</v>
      </c>
      <c r="AI192" s="7">
        <v>1192.3</v>
      </c>
      <c r="AJ192" s="7">
        <v>410.0</v>
      </c>
      <c r="AK192" s="7">
        <v>124.1</v>
      </c>
      <c r="AL192" s="7">
        <v>119.9</v>
      </c>
      <c r="AM192" s="7">
        <v>34.0</v>
      </c>
      <c r="AN192" s="7">
        <v>11.0</v>
      </c>
      <c r="AO192" s="7">
        <v>29.6</v>
      </c>
      <c r="AP192" s="9">
        <f t="shared" ref="AP192:AR192" si="601">AG192/$AF192</f>
        <v>96.98888889</v>
      </c>
      <c r="AQ192" s="9">
        <f t="shared" si="601"/>
        <v>45.70277778</v>
      </c>
      <c r="AR192" s="9">
        <f t="shared" si="601"/>
        <v>33.11944444</v>
      </c>
      <c r="AS192" s="9">
        <f t="shared" si="11"/>
        <v>78.82222222</v>
      </c>
      <c r="AT192" s="9">
        <f t="shared" ref="AT192:AV192" si="602">AJ192/$AF192</f>
        <v>11.38888889</v>
      </c>
      <c r="AU192" s="9">
        <f t="shared" si="602"/>
        <v>3.447222222</v>
      </c>
      <c r="AV192" s="9">
        <f t="shared" si="602"/>
        <v>3.330555556</v>
      </c>
      <c r="AW192" s="9">
        <f t="shared" si="13"/>
        <v>6.777777778</v>
      </c>
      <c r="AX192" s="9">
        <f t="shared" ref="AX192:AY192" si="603">AM192/$AF192</f>
        <v>0.9444444444</v>
      </c>
      <c r="AY192" s="9">
        <f t="shared" si="603"/>
        <v>0.3055555556</v>
      </c>
      <c r="AZ192" s="9">
        <f>VLOOKUP(A192,Jogos!A:BN,58,0)</f>
        <v>28.63</v>
      </c>
      <c r="BA192" s="9">
        <f>VLOOKUP(A192,Jogos!A:BN,59,0)</f>
        <v>22.83</v>
      </c>
      <c r="BB192" s="9">
        <f>VLOOKUP(A192,Jogos!A:BN,60,0)</f>
        <v>70.5</v>
      </c>
      <c r="BC192" s="9">
        <f>VLOOKUP(A192,Jogos!A:BN,61,0)</f>
        <v>28.175</v>
      </c>
      <c r="BD192" s="9">
        <f>VLOOKUP(A192,Jogos!A:BN,62,0)</f>
        <v>142.85</v>
      </c>
      <c r="BE192" s="9">
        <f>VLOOKUP(A192,Jogos!A:BN,63,0)</f>
        <v>2.34</v>
      </c>
      <c r="BF192" s="9">
        <f>VLOOKUP(A192,Jogos!A:BN,64,0)</f>
        <v>24.81</v>
      </c>
      <c r="BG192" s="9">
        <f>VLOOKUP(A192,Jogos!A:BN,65,0)</f>
        <v>42.885</v>
      </c>
      <c r="BH192" s="9">
        <f>VLOOKUP(A192,Jogos!A:BN,66,0)</f>
        <v>28.805</v>
      </c>
      <c r="BI192" s="9"/>
    </row>
    <row r="193" hidden="1">
      <c r="A193" s="2">
        <v>7.0</v>
      </c>
      <c r="B193" s="2" t="s">
        <v>121</v>
      </c>
      <c r="C193" s="2" t="s">
        <v>61</v>
      </c>
      <c r="D193" s="3">
        <v>45824.0</v>
      </c>
      <c r="E193" s="4">
        <v>0.75</v>
      </c>
      <c r="F193" s="5" t="str">
        <f>VLOOKUP(A193,Jogos!A:N,10,0)</f>
        <v>Evening</v>
      </c>
      <c r="G193" s="2" t="s">
        <v>62</v>
      </c>
      <c r="H193" s="6" t="str">
        <f>VLOOKUP(A193,Jogos!A:L,12,0)</f>
        <v>Open</v>
      </c>
      <c r="I193" s="6" t="str">
        <f>VLOOKUP(G193,'Estádios e Cidades'!A:B,2,0)</f>
        <v>Miami Gardens - Flórida</v>
      </c>
      <c r="J193" s="2" t="s">
        <v>440</v>
      </c>
      <c r="K193" s="2" t="str">
        <f>VLOOKUP(J193,Equipes!A:F,6,0)</f>
        <v>Temperate</v>
      </c>
      <c r="L193" s="2">
        <f>VLOOKUP(J193,Equipes!A:C,3,0)</f>
        <v>24</v>
      </c>
      <c r="M193" s="2" t="str">
        <f t="shared" si="4"/>
        <v>Group</v>
      </c>
      <c r="N193" s="2" t="s">
        <v>441</v>
      </c>
      <c r="O193" s="2">
        <f>VLOOKUP(N193,Equipes!A:C,3,0)</f>
        <v>10</v>
      </c>
      <c r="P193" s="2" t="str">
        <f t="shared" si="5"/>
        <v>Round of 16</v>
      </c>
      <c r="Q193" s="2">
        <f t="shared" si="6"/>
        <v>14</v>
      </c>
      <c r="R193" s="2" t="str">
        <f>VLOOKUP(J193,Equipes!A:B,2,0)</f>
        <v>Boca</v>
      </c>
      <c r="S193" s="6" t="s">
        <v>466</v>
      </c>
      <c r="T193" s="7">
        <v>15.0</v>
      </c>
      <c r="U193" s="7" t="s">
        <v>467</v>
      </c>
      <c r="V193" s="7" t="str">
        <f>VLOOKUP(U193,Jogadores!B:C,2,0)</f>
        <v>MF</v>
      </c>
      <c r="W193" s="8">
        <f>VLOOKUP(U193,Jogadores!B:D,3,0)</f>
        <v>24.67671233</v>
      </c>
      <c r="X193" s="7">
        <v>66.0</v>
      </c>
      <c r="Y193" s="7">
        <f t="shared" si="591"/>
        <v>95</v>
      </c>
      <c r="Z193" s="7">
        <f>VLOOKUP(A193,Jogos!A:L,3,0)</f>
        <v>53</v>
      </c>
      <c r="AA193" s="7">
        <f t="shared" si="7"/>
        <v>0</v>
      </c>
      <c r="AB193" s="7">
        <f>VLOOKUP(A193,Jogos!A:L,4,0)</f>
        <v>50</v>
      </c>
      <c r="AC193" s="7">
        <f t="shared" si="8"/>
        <v>29</v>
      </c>
      <c r="AD193" s="7"/>
      <c r="AE193" s="7"/>
      <c r="AF193" s="7">
        <f t="shared" si="9"/>
        <v>29</v>
      </c>
      <c r="AG193" s="7">
        <v>3204.4</v>
      </c>
      <c r="AH193" s="7">
        <v>1177.5</v>
      </c>
      <c r="AI193" s="7">
        <v>1368.7</v>
      </c>
      <c r="AJ193" s="7">
        <v>510.3</v>
      </c>
      <c r="AK193" s="7">
        <v>127.3</v>
      </c>
      <c r="AL193" s="7">
        <v>20.5</v>
      </c>
      <c r="AM193" s="7">
        <v>46.0</v>
      </c>
      <c r="AN193" s="7">
        <v>11.0</v>
      </c>
      <c r="AO193" s="7">
        <v>26.6</v>
      </c>
      <c r="AP193" s="9">
        <f t="shared" ref="AP193:AR193" si="604">AG193/$AF193</f>
        <v>110.4965517</v>
      </c>
      <c r="AQ193" s="9">
        <f t="shared" si="604"/>
        <v>40.60344828</v>
      </c>
      <c r="AR193" s="9">
        <f t="shared" si="604"/>
        <v>47.19655172</v>
      </c>
      <c r="AS193" s="9">
        <f t="shared" si="11"/>
        <v>87.8</v>
      </c>
      <c r="AT193" s="9">
        <f t="shared" ref="AT193:AV193" si="605">AJ193/$AF193</f>
        <v>17.59655172</v>
      </c>
      <c r="AU193" s="9">
        <f t="shared" si="605"/>
        <v>4.389655172</v>
      </c>
      <c r="AV193" s="9">
        <f t="shared" si="605"/>
        <v>0.7068965517</v>
      </c>
      <c r="AW193" s="9">
        <f t="shared" si="13"/>
        <v>5.096551724</v>
      </c>
      <c r="AX193" s="9">
        <f t="shared" ref="AX193:AY193" si="606">AM193/$AF193</f>
        <v>1.586206897</v>
      </c>
      <c r="AY193" s="9">
        <f t="shared" si="606"/>
        <v>0.3793103448</v>
      </c>
      <c r="AZ193" s="9">
        <f>VLOOKUP(A193,Jogos!A:BN,58,0)</f>
        <v>28.63</v>
      </c>
      <c r="BA193" s="9">
        <f>VLOOKUP(A193,Jogos!A:BN,59,0)</f>
        <v>22.83</v>
      </c>
      <c r="BB193" s="9">
        <f>VLOOKUP(A193,Jogos!A:BN,60,0)</f>
        <v>70.5</v>
      </c>
      <c r="BC193" s="9">
        <f>VLOOKUP(A193,Jogos!A:BN,61,0)</f>
        <v>28.175</v>
      </c>
      <c r="BD193" s="9">
        <f>VLOOKUP(A193,Jogos!A:BN,62,0)</f>
        <v>142.85</v>
      </c>
      <c r="BE193" s="9">
        <f>VLOOKUP(A193,Jogos!A:BN,63,0)</f>
        <v>2.34</v>
      </c>
      <c r="BF193" s="9">
        <f>VLOOKUP(A193,Jogos!A:BN,64,0)</f>
        <v>24.81</v>
      </c>
      <c r="BG193" s="9">
        <f>VLOOKUP(A193,Jogos!A:BN,65,0)</f>
        <v>42.885</v>
      </c>
      <c r="BH193" s="9">
        <f>VLOOKUP(A193,Jogos!A:BN,66,0)</f>
        <v>28.805</v>
      </c>
      <c r="BI193" s="9"/>
    </row>
    <row r="194" hidden="1">
      <c r="A194" s="2">
        <v>7.0</v>
      </c>
      <c r="B194" s="2" t="s">
        <v>121</v>
      </c>
      <c r="C194" s="2" t="s">
        <v>61</v>
      </c>
      <c r="D194" s="3">
        <v>45824.0</v>
      </c>
      <c r="E194" s="4">
        <v>0.75</v>
      </c>
      <c r="F194" s="5" t="str">
        <f>VLOOKUP(A194,Jogos!A:N,10,0)</f>
        <v>Evening</v>
      </c>
      <c r="G194" s="2" t="s">
        <v>62</v>
      </c>
      <c r="H194" s="6" t="str">
        <f>VLOOKUP(A194,Jogos!A:L,12,0)</f>
        <v>Open</v>
      </c>
      <c r="I194" s="6" t="str">
        <f>VLOOKUP(G194,'Estádios e Cidades'!A:B,2,0)</f>
        <v>Miami Gardens - Flórida</v>
      </c>
      <c r="J194" s="2" t="s">
        <v>440</v>
      </c>
      <c r="K194" s="2" t="str">
        <f>VLOOKUP(J194,Equipes!A:F,6,0)</f>
        <v>Temperate</v>
      </c>
      <c r="L194" s="2">
        <f>VLOOKUP(J194,Equipes!A:C,3,0)</f>
        <v>24</v>
      </c>
      <c r="M194" s="2" t="str">
        <f t="shared" si="4"/>
        <v>Group</v>
      </c>
      <c r="N194" s="2" t="s">
        <v>441</v>
      </c>
      <c r="O194" s="2">
        <f>VLOOKUP(N194,Equipes!A:C,3,0)</f>
        <v>10</v>
      </c>
      <c r="P194" s="2" t="str">
        <f t="shared" si="5"/>
        <v>Round of 16</v>
      </c>
      <c r="Q194" s="2">
        <f t="shared" si="6"/>
        <v>14</v>
      </c>
      <c r="R194" s="2" t="str">
        <f>VLOOKUP(J194,Equipes!A:B,2,0)</f>
        <v>Boca</v>
      </c>
      <c r="S194" s="6" t="s">
        <v>468</v>
      </c>
      <c r="T194" s="7">
        <v>30.0</v>
      </c>
      <c r="U194" s="7" t="s">
        <v>469</v>
      </c>
      <c r="V194" s="7" t="str">
        <f>VLOOKUP(U194,Jogadores!B:C,2,0)</f>
        <v>MF</v>
      </c>
      <c r="W194" s="8">
        <f>VLOOKUP(U194,Jogadores!B:D,3,0)</f>
        <v>27.1890411</v>
      </c>
      <c r="X194" s="7">
        <v>20.0</v>
      </c>
      <c r="Y194" s="7">
        <f t="shared" si="591"/>
        <v>95</v>
      </c>
      <c r="Z194" s="7">
        <f>VLOOKUP(A194,Jogos!A:L,3,0)</f>
        <v>53</v>
      </c>
      <c r="AA194" s="7">
        <f t="shared" si="7"/>
        <v>33</v>
      </c>
      <c r="AB194" s="7">
        <f>VLOOKUP(A194,Jogos!A:L,4,0)</f>
        <v>50</v>
      </c>
      <c r="AC194" s="7">
        <f t="shared" si="8"/>
        <v>50</v>
      </c>
      <c r="AD194" s="7"/>
      <c r="AE194" s="7"/>
      <c r="AF194" s="7">
        <f t="shared" si="9"/>
        <v>83</v>
      </c>
      <c r="AG194" s="7">
        <v>9111.8</v>
      </c>
      <c r="AH194" s="7">
        <v>2978.6</v>
      </c>
      <c r="AI194" s="7">
        <v>4444.7</v>
      </c>
      <c r="AJ194" s="7">
        <v>1364.9</v>
      </c>
      <c r="AK194" s="7">
        <v>314.1</v>
      </c>
      <c r="AL194" s="7">
        <v>9.5</v>
      </c>
      <c r="AM194" s="7">
        <v>110.0</v>
      </c>
      <c r="AN194" s="7">
        <v>18.0</v>
      </c>
      <c r="AO194" s="7">
        <v>25.6</v>
      </c>
      <c r="AP194" s="9">
        <f t="shared" ref="AP194:AR194" si="607">AG194/$AF194</f>
        <v>109.7807229</v>
      </c>
      <c r="AQ194" s="9">
        <f t="shared" si="607"/>
        <v>35.88674699</v>
      </c>
      <c r="AR194" s="9">
        <f t="shared" si="607"/>
        <v>53.55060241</v>
      </c>
      <c r="AS194" s="9">
        <f t="shared" si="11"/>
        <v>89.4373494</v>
      </c>
      <c r="AT194" s="9">
        <f t="shared" ref="AT194:AV194" si="608">AJ194/$AF194</f>
        <v>16.44457831</v>
      </c>
      <c r="AU194" s="9">
        <f t="shared" si="608"/>
        <v>3.784337349</v>
      </c>
      <c r="AV194" s="9">
        <f t="shared" si="608"/>
        <v>0.1144578313</v>
      </c>
      <c r="AW194" s="9">
        <f t="shared" si="13"/>
        <v>3.898795181</v>
      </c>
      <c r="AX194" s="9">
        <f t="shared" ref="AX194:AY194" si="609">AM194/$AF194</f>
        <v>1.325301205</v>
      </c>
      <c r="AY194" s="9">
        <f t="shared" si="609"/>
        <v>0.2168674699</v>
      </c>
      <c r="AZ194" s="9">
        <f>VLOOKUP(A194,Jogos!A:BN,58,0)</f>
        <v>28.63</v>
      </c>
      <c r="BA194" s="9">
        <f>VLOOKUP(A194,Jogos!A:BN,59,0)</f>
        <v>22.83</v>
      </c>
      <c r="BB194" s="9">
        <f>VLOOKUP(A194,Jogos!A:BN,60,0)</f>
        <v>70.5</v>
      </c>
      <c r="BC194" s="9">
        <f>VLOOKUP(A194,Jogos!A:BN,61,0)</f>
        <v>28.175</v>
      </c>
      <c r="BD194" s="9">
        <f>VLOOKUP(A194,Jogos!A:BN,62,0)</f>
        <v>142.85</v>
      </c>
      <c r="BE194" s="9">
        <f>VLOOKUP(A194,Jogos!A:BN,63,0)</f>
        <v>2.34</v>
      </c>
      <c r="BF194" s="9">
        <f>VLOOKUP(A194,Jogos!A:BN,64,0)</f>
        <v>24.81</v>
      </c>
      <c r="BG194" s="9">
        <f>VLOOKUP(A194,Jogos!A:BN,65,0)</f>
        <v>42.885</v>
      </c>
      <c r="BH194" s="9">
        <f>VLOOKUP(A194,Jogos!A:BN,66,0)</f>
        <v>28.805</v>
      </c>
      <c r="BI194" s="9"/>
    </row>
    <row r="195" hidden="1">
      <c r="A195" s="2">
        <v>7.0</v>
      </c>
      <c r="B195" s="2" t="s">
        <v>121</v>
      </c>
      <c r="C195" s="2" t="s">
        <v>61</v>
      </c>
      <c r="D195" s="3">
        <v>45824.0</v>
      </c>
      <c r="E195" s="4">
        <v>0.75</v>
      </c>
      <c r="F195" s="5" t="str">
        <f>VLOOKUP(A195,Jogos!A:N,10,0)</f>
        <v>Evening</v>
      </c>
      <c r="G195" s="2" t="s">
        <v>62</v>
      </c>
      <c r="H195" s="6" t="str">
        <f>VLOOKUP(A195,Jogos!A:L,12,0)</f>
        <v>Open</v>
      </c>
      <c r="I195" s="6" t="str">
        <f>VLOOKUP(G195,'Estádios e Cidades'!A:B,2,0)</f>
        <v>Miami Gardens - Flórida</v>
      </c>
      <c r="J195" s="2" t="s">
        <v>441</v>
      </c>
      <c r="K195" s="2" t="str">
        <f>VLOOKUP(J195,Equipes!A:F,6,0)</f>
        <v>Temperate</v>
      </c>
      <c r="L195" s="2">
        <f>VLOOKUP(J195,Equipes!A:C,3,0)</f>
        <v>10</v>
      </c>
      <c r="M195" s="2" t="str">
        <f t="shared" si="4"/>
        <v>Round of 16</v>
      </c>
      <c r="N195" s="2" t="s">
        <v>440</v>
      </c>
      <c r="O195" s="2">
        <f>VLOOKUP(N195,Equipes!A:C,3,0)</f>
        <v>24</v>
      </c>
      <c r="P195" s="2" t="str">
        <f t="shared" si="5"/>
        <v>Group</v>
      </c>
      <c r="Q195" s="2">
        <f t="shared" si="6"/>
        <v>-14</v>
      </c>
      <c r="R195" s="2" t="str">
        <f>VLOOKUP(J195,Equipes!A:B,2,0)</f>
        <v>Benfica</v>
      </c>
      <c r="S195" s="14" t="s">
        <v>470</v>
      </c>
      <c r="T195" s="7">
        <v>3.0</v>
      </c>
      <c r="U195" s="7" t="s">
        <v>471</v>
      </c>
      <c r="V195" s="7" t="str">
        <f>VLOOKUP(U195,Jogadores!B:C,2,0)</f>
        <v>DF</v>
      </c>
      <c r="W195" s="8">
        <f>VLOOKUP(U195,Jogadores!B:D,3,0)</f>
        <v>22.36438356</v>
      </c>
      <c r="X195" s="7">
        <v>0.0</v>
      </c>
      <c r="Y195" s="7">
        <f t="shared" si="591"/>
        <v>95</v>
      </c>
      <c r="Z195" s="7">
        <f>VLOOKUP(A195,Jogos!A:L,3,0)</f>
        <v>53</v>
      </c>
      <c r="AA195" s="7">
        <f t="shared" si="7"/>
        <v>53</v>
      </c>
      <c r="AB195" s="7">
        <f>VLOOKUP(A195,Jogos!A:L,4,0)</f>
        <v>50</v>
      </c>
      <c r="AC195" s="7">
        <f t="shared" si="8"/>
        <v>50</v>
      </c>
      <c r="AD195" s="7"/>
      <c r="AE195" s="7"/>
      <c r="AF195" s="7">
        <f t="shared" si="9"/>
        <v>103</v>
      </c>
      <c r="AG195" s="7">
        <v>9966.2</v>
      </c>
      <c r="AH195" s="7">
        <v>4510.0</v>
      </c>
      <c r="AI195" s="7">
        <v>3465.9</v>
      </c>
      <c r="AJ195" s="7">
        <v>1162.8</v>
      </c>
      <c r="AK195" s="7">
        <v>660.1</v>
      </c>
      <c r="AL195" s="7">
        <v>167.4</v>
      </c>
      <c r="AM195" s="7">
        <v>96.0</v>
      </c>
      <c r="AN195" s="7">
        <v>54.0</v>
      </c>
      <c r="AO195" s="7">
        <v>31.7</v>
      </c>
      <c r="AP195" s="9">
        <f t="shared" ref="AP195:AR195" si="610">AG195/$AF195</f>
        <v>96.7592233</v>
      </c>
      <c r="AQ195" s="9">
        <f t="shared" si="610"/>
        <v>43.78640777</v>
      </c>
      <c r="AR195" s="9">
        <f t="shared" si="610"/>
        <v>33.64951456</v>
      </c>
      <c r="AS195" s="9">
        <f t="shared" si="11"/>
        <v>77.43592233</v>
      </c>
      <c r="AT195" s="9">
        <f t="shared" ref="AT195:AV195" si="611">AJ195/$AF195</f>
        <v>11.28932039</v>
      </c>
      <c r="AU195" s="9">
        <f t="shared" si="611"/>
        <v>6.408737864</v>
      </c>
      <c r="AV195" s="9">
        <f t="shared" si="611"/>
        <v>1.625242718</v>
      </c>
      <c r="AW195" s="9">
        <f t="shared" si="13"/>
        <v>8.033980583</v>
      </c>
      <c r="AX195" s="9">
        <f t="shared" ref="AX195:AY195" si="612">AM195/$AF195</f>
        <v>0.932038835</v>
      </c>
      <c r="AY195" s="9">
        <f t="shared" si="612"/>
        <v>0.5242718447</v>
      </c>
      <c r="AZ195" s="9">
        <f>VLOOKUP(A195,Jogos!A:BN,58,0)</f>
        <v>28.63</v>
      </c>
      <c r="BA195" s="9">
        <f>VLOOKUP(A195,Jogos!A:BN,59,0)</f>
        <v>22.83</v>
      </c>
      <c r="BB195" s="9">
        <f>VLOOKUP(A195,Jogos!A:BN,60,0)</f>
        <v>70.5</v>
      </c>
      <c r="BC195" s="9">
        <f>VLOOKUP(A195,Jogos!A:BN,61,0)</f>
        <v>28.175</v>
      </c>
      <c r="BD195" s="9">
        <f>VLOOKUP(A195,Jogos!A:BN,62,0)</f>
        <v>142.85</v>
      </c>
      <c r="BE195" s="9">
        <f>VLOOKUP(A195,Jogos!A:BN,63,0)</f>
        <v>2.34</v>
      </c>
      <c r="BF195" s="9">
        <f>VLOOKUP(A195,Jogos!A:BN,64,0)</f>
        <v>24.81</v>
      </c>
      <c r="BG195" s="9">
        <f>VLOOKUP(A195,Jogos!A:BN,65,0)</f>
        <v>42.885</v>
      </c>
      <c r="BH195" s="9">
        <f>VLOOKUP(A195,Jogos!A:BN,66,0)</f>
        <v>28.805</v>
      </c>
      <c r="BI195" s="9"/>
    </row>
    <row r="196" hidden="1">
      <c r="A196" s="2">
        <v>7.0</v>
      </c>
      <c r="B196" s="2" t="s">
        <v>121</v>
      </c>
      <c r="C196" s="2" t="s">
        <v>61</v>
      </c>
      <c r="D196" s="3">
        <v>45824.0</v>
      </c>
      <c r="E196" s="4">
        <v>0.75</v>
      </c>
      <c r="F196" s="5" t="str">
        <f>VLOOKUP(A196,Jogos!A:N,10,0)</f>
        <v>Evening</v>
      </c>
      <c r="G196" s="2" t="s">
        <v>62</v>
      </c>
      <c r="H196" s="6" t="str">
        <f>VLOOKUP(A196,Jogos!A:L,12,0)</f>
        <v>Open</v>
      </c>
      <c r="I196" s="6" t="str">
        <f>VLOOKUP(G196,'Estádios e Cidades'!A:B,2,0)</f>
        <v>Miami Gardens - Flórida</v>
      </c>
      <c r="J196" s="2" t="s">
        <v>441</v>
      </c>
      <c r="K196" s="2" t="str">
        <f>VLOOKUP(J196,Equipes!A:F,6,0)</f>
        <v>Temperate</v>
      </c>
      <c r="L196" s="2">
        <f>VLOOKUP(J196,Equipes!A:C,3,0)</f>
        <v>10</v>
      </c>
      <c r="M196" s="2" t="str">
        <f t="shared" si="4"/>
        <v>Round of 16</v>
      </c>
      <c r="N196" s="2" t="s">
        <v>440</v>
      </c>
      <c r="O196" s="2">
        <f>VLOOKUP(N196,Equipes!A:C,3,0)</f>
        <v>24</v>
      </c>
      <c r="P196" s="2" t="str">
        <f t="shared" si="5"/>
        <v>Group</v>
      </c>
      <c r="Q196" s="2">
        <f t="shared" si="6"/>
        <v>-14</v>
      </c>
      <c r="R196" s="2" t="str">
        <f>VLOOKUP(J196,Equipes!A:B,2,0)</f>
        <v>Benfica</v>
      </c>
      <c r="S196" s="6" t="s">
        <v>472</v>
      </c>
      <c r="T196" s="7">
        <v>4.0</v>
      </c>
      <c r="U196" s="7" t="s">
        <v>473</v>
      </c>
      <c r="V196" s="7" t="str">
        <f>VLOOKUP(U196,Jogadores!B:C,2,0)</f>
        <v>DF</v>
      </c>
      <c r="W196" s="8">
        <f>VLOOKUP(U196,Jogadores!B:D,3,0)</f>
        <v>21.75890411</v>
      </c>
      <c r="X196" s="7">
        <v>0.0</v>
      </c>
      <c r="Y196" s="7">
        <f t="shared" si="591"/>
        <v>95</v>
      </c>
      <c r="Z196" s="7">
        <f>VLOOKUP(A196,Jogos!A:L,3,0)</f>
        <v>53</v>
      </c>
      <c r="AA196" s="7">
        <f t="shared" si="7"/>
        <v>53</v>
      </c>
      <c r="AB196" s="7">
        <f>VLOOKUP(A196,Jogos!A:L,4,0)</f>
        <v>50</v>
      </c>
      <c r="AC196" s="7">
        <f t="shared" si="8"/>
        <v>50</v>
      </c>
      <c r="AD196" s="7"/>
      <c r="AE196" s="7"/>
      <c r="AF196" s="7">
        <f t="shared" si="9"/>
        <v>103</v>
      </c>
      <c r="AG196" s="7">
        <v>9432.9</v>
      </c>
      <c r="AH196" s="7">
        <v>4193.1</v>
      </c>
      <c r="AI196" s="7">
        <v>3963.0</v>
      </c>
      <c r="AJ196" s="7">
        <v>875.7</v>
      </c>
      <c r="AK196" s="7">
        <v>350.6</v>
      </c>
      <c r="AL196" s="7">
        <v>50.5</v>
      </c>
      <c r="AM196" s="7">
        <v>82.0</v>
      </c>
      <c r="AN196" s="7">
        <v>27.0</v>
      </c>
      <c r="AO196" s="7">
        <v>27.0</v>
      </c>
      <c r="AP196" s="9">
        <f t="shared" ref="AP196:AR196" si="613">AG196/$AF196</f>
        <v>91.5815534</v>
      </c>
      <c r="AQ196" s="9">
        <f t="shared" si="613"/>
        <v>40.70970874</v>
      </c>
      <c r="AR196" s="9">
        <f t="shared" si="613"/>
        <v>38.47572816</v>
      </c>
      <c r="AS196" s="9">
        <f t="shared" si="11"/>
        <v>79.18543689</v>
      </c>
      <c r="AT196" s="9">
        <f t="shared" ref="AT196:AV196" si="614">AJ196/$AF196</f>
        <v>8.501941748</v>
      </c>
      <c r="AU196" s="9">
        <f t="shared" si="614"/>
        <v>3.403883495</v>
      </c>
      <c r="AV196" s="9">
        <f t="shared" si="614"/>
        <v>0.4902912621</v>
      </c>
      <c r="AW196" s="9">
        <f t="shared" si="13"/>
        <v>3.894174757</v>
      </c>
      <c r="AX196" s="9">
        <f t="shared" ref="AX196:AY196" si="615">AM196/$AF196</f>
        <v>0.7961165049</v>
      </c>
      <c r="AY196" s="9">
        <f t="shared" si="615"/>
        <v>0.2621359223</v>
      </c>
      <c r="AZ196" s="9">
        <f>VLOOKUP(A196,Jogos!A:BN,58,0)</f>
        <v>28.63</v>
      </c>
      <c r="BA196" s="9">
        <f>VLOOKUP(A196,Jogos!A:BN,59,0)</f>
        <v>22.83</v>
      </c>
      <c r="BB196" s="9">
        <f>VLOOKUP(A196,Jogos!A:BN,60,0)</f>
        <v>70.5</v>
      </c>
      <c r="BC196" s="9">
        <f>VLOOKUP(A196,Jogos!A:BN,61,0)</f>
        <v>28.175</v>
      </c>
      <c r="BD196" s="9">
        <f>VLOOKUP(A196,Jogos!A:BN,62,0)</f>
        <v>142.85</v>
      </c>
      <c r="BE196" s="9">
        <f>VLOOKUP(A196,Jogos!A:BN,63,0)</f>
        <v>2.34</v>
      </c>
      <c r="BF196" s="9">
        <f>VLOOKUP(A196,Jogos!A:BN,64,0)</f>
        <v>24.81</v>
      </c>
      <c r="BG196" s="9">
        <f>VLOOKUP(A196,Jogos!A:BN,65,0)</f>
        <v>42.885</v>
      </c>
      <c r="BH196" s="9">
        <f>VLOOKUP(A196,Jogos!A:BN,66,0)</f>
        <v>28.805</v>
      </c>
      <c r="BI196" s="9"/>
    </row>
    <row r="197" hidden="1">
      <c r="A197" s="2">
        <v>7.0</v>
      </c>
      <c r="B197" s="2" t="s">
        <v>121</v>
      </c>
      <c r="C197" s="2" t="s">
        <v>61</v>
      </c>
      <c r="D197" s="3">
        <v>45824.0</v>
      </c>
      <c r="E197" s="4">
        <v>0.75</v>
      </c>
      <c r="F197" s="5" t="str">
        <f>VLOOKUP(A197,Jogos!A:N,10,0)</f>
        <v>Evening</v>
      </c>
      <c r="G197" s="2" t="s">
        <v>62</v>
      </c>
      <c r="H197" s="6" t="str">
        <f>VLOOKUP(A197,Jogos!A:L,12,0)</f>
        <v>Open</v>
      </c>
      <c r="I197" s="6" t="str">
        <f>VLOOKUP(G197,'Estádios e Cidades'!A:B,2,0)</f>
        <v>Miami Gardens - Flórida</v>
      </c>
      <c r="J197" s="2" t="s">
        <v>441</v>
      </c>
      <c r="K197" s="2" t="str">
        <f>VLOOKUP(J197,Equipes!A:F,6,0)</f>
        <v>Temperate</v>
      </c>
      <c r="L197" s="2">
        <f>VLOOKUP(J197,Equipes!A:C,3,0)</f>
        <v>10</v>
      </c>
      <c r="M197" s="2" t="str">
        <f t="shared" si="4"/>
        <v>Round of 16</v>
      </c>
      <c r="N197" s="2" t="s">
        <v>440</v>
      </c>
      <c r="O197" s="2">
        <f>VLOOKUP(N197,Equipes!A:C,3,0)</f>
        <v>24</v>
      </c>
      <c r="P197" s="2" t="str">
        <f t="shared" si="5"/>
        <v>Group</v>
      </c>
      <c r="Q197" s="2">
        <f t="shared" si="6"/>
        <v>-14</v>
      </c>
      <c r="R197" s="2" t="str">
        <f>VLOOKUP(J197,Equipes!A:B,2,0)</f>
        <v>Benfica</v>
      </c>
      <c r="S197" s="6" t="s">
        <v>474</v>
      </c>
      <c r="T197" s="7">
        <v>8.0</v>
      </c>
      <c r="U197" s="7" t="s">
        <v>475</v>
      </c>
      <c r="V197" s="7" t="str">
        <f>VLOOKUP(U197,Jogadores!B:C,2,0)</f>
        <v>MF</v>
      </c>
      <c r="W197" s="8">
        <f>VLOOKUP(U197,Jogadores!B:D,3,0)</f>
        <v>29.65205479</v>
      </c>
      <c r="X197" s="7">
        <v>0.0</v>
      </c>
      <c r="Y197" s="7">
        <f t="shared" si="591"/>
        <v>95</v>
      </c>
      <c r="Z197" s="7">
        <f>VLOOKUP(A197,Jogos!A:L,3,0)</f>
        <v>53</v>
      </c>
      <c r="AA197" s="7">
        <f t="shared" si="7"/>
        <v>53</v>
      </c>
      <c r="AB197" s="7">
        <f>VLOOKUP(A197,Jogos!A:L,4,0)</f>
        <v>50</v>
      </c>
      <c r="AC197" s="7">
        <f t="shared" si="8"/>
        <v>50</v>
      </c>
      <c r="AD197" s="7"/>
      <c r="AE197" s="7"/>
      <c r="AF197" s="7">
        <f t="shared" si="9"/>
        <v>103</v>
      </c>
      <c r="AG197" s="7">
        <v>11442.5</v>
      </c>
      <c r="AH197" s="7">
        <v>4117.8</v>
      </c>
      <c r="AI197" s="7">
        <v>5097.2</v>
      </c>
      <c r="AJ197" s="7">
        <v>1663.9</v>
      </c>
      <c r="AK197" s="7">
        <v>479.8</v>
      </c>
      <c r="AL197" s="7">
        <v>83.9</v>
      </c>
      <c r="AM197" s="7">
        <v>158.0</v>
      </c>
      <c r="AN197" s="7">
        <v>46.0</v>
      </c>
      <c r="AO197" s="7">
        <v>30.4</v>
      </c>
      <c r="AP197" s="9">
        <f t="shared" ref="AP197:AR197" si="616">AG197/$AF197</f>
        <v>111.092233</v>
      </c>
      <c r="AQ197" s="9">
        <f t="shared" si="616"/>
        <v>39.97864078</v>
      </c>
      <c r="AR197" s="9">
        <f t="shared" si="616"/>
        <v>49.48737864</v>
      </c>
      <c r="AS197" s="9">
        <f t="shared" si="11"/>
        <v>89.46601942</v>
      </c>
      <c r="AT197" s="9">
        <f t="shared" ref="AT197:AV197" si="617">AJ197/$AF197</f>
        <v>16.15436893</v>
      </c>
      <c r="AU197" s="9">
        <f t="shared" si="617"/>
        <v>4.658252427</v>
      </c>
      <c r="AV197" s="9">
        <f t="shared" si="617"/>
        <v>0.8145631068</v>
      </c>
      <c r="AW197" s="9">
        <f t="shared" si="13"/>
        <v>5.472815534</v>
      </c>
      <c r="AX197" s="9">
        <f t="shared" ref="AX197:AY197" si="618">AM197/$AF197</f>
        <v>1.533980583</v>
      </c>
      <c r="AY197" s="9">
        <f t="shared" si="618"/>
        <v>0.4466019417</v>
      </c>
      <c r="AZ197" s="9">
        <f>VLOOKUP(A197,Jogos!A:BN,58,0)</f>
        <v>28.63</v>
      </c>
      <c r="BA197" s="9">
        <f>VLOOKUP(A197,Jogos!A:BN,59,0)</f>
        <v>22.83</v>
      </c>
      <c r="BB197" s="9">
        <f>VLOOKUP(A197,Jogos!A:BN,60,0)</f>
        <v>70.5</v>
      </c>
      <c r="BC197" s="9">
        <f>VLOOKUP(A197,Jogos!A:BN,61,0)</f>
        <v>28.175</v>
      </c>
      <c r="BD197" s="9">
        <f>VLOOKUP(A197,Jogos!A:BN,62,0)</f>
        <v>142.85</v>
      </c>
      <c r="BE197" s="9">
        <f>VLOOKUP(A197,Jogos!A:BN,63,0)</f>
        <v>2.34</v>
      </c>
      <c r="BF197" s="9">
        <f>VLOOKUP(A197,Jogos!A:BN,64,0)</f>
        <v>24.81</v>
      </c>
      <c r="BG197" s="9">
        <f>VLOOKUP(A197,Jogos!A:BN,65,0)</f>
        <v>42.885</v>
      </c>
      <c r="BH197" s="9">
        <f>VLOOKUP(A197,Jogos!A:BN,66,0)</f>
        <v>28.805</v>
      </c>
      <c r="BI197" s="9"/>
    </row>
    <row r="198" hidden="1">
      <c r="A198" s="2">
        <v>7.0</v>
      </c>
      <c r="B198" s="2" t="s">
        <v>121</v>
      </c>
      <c r="C198" s="2" t="s">
        <v>61</v>
      </c>
      <c r="D198" s="3">
        <v>45824.0</v>
      </c>
      <c r="E198" s="4">
        <v>0.75</v>
      </c>
      <c r="F198" s="5" t="str">
        <f>VLOOKUP(A198,Jogos!A:N,10,0)</f>
        <v>Evening</v>
      </c>
      <c r="G198" s="2" t="s">
        <v>62</v>
      </c>
      <c r="H198" s="6" t="str">
        <f>VLOOKUP(A198,Jogos!A:L,12,0)</f>
        <v>Open</v>
      </c>
      <c r="I198" s="6" t="str">
        <f>VLOOKUP(G198,'Estádios e Cidades'!A:B,2,0)</f>
        <v>Miami Gardens - Flórida</v>
      </c>
      <c r="J198" s="2" t="s">
        <v>441</v>
      </c>
      <c r="K198" s="2" t="str">
        <f>VLOOKUP(J198,Equipes!A:F,6,0)</f>
        <v>Temperate</v>
      </c>
      <c r="L198" s="2">
        <f>VLOOKUP(J198,Equipes!A:C,3,0)</f>
        <v>10</v>
      </c>
      <c r="M198" s="2" t="str">
        <f t="shared" si="4"/>
        <v>Round of 16</v>
      </c>
      <c r="N198" s="2" t="s">
        <v>440</v>
      </c>
      <c r="O198" s="2">
        <f>VLOOKUP(N198,Equipes!A:C,3,0)</f>
        <v>24</v>
      </c>
      <c r="P198" s="2" t="str">
        <f t="shared" si="5"/>
        <v>Group</v>
      </c>
      <c r="Q198" s="2">
        <f t="shared" si="6"/>
        <v>-14</v>
      </c>
      <c r="R198" s="2" t="str">
        <f>VLOOKUP(J198,Equipes!A:B,2,0)</f>
        <v>Benfica</v>
      </c>
      <c r="S198" s="6" t="s">
        <v>476</v>
      </c>
      <c r="T198" s="7">
        <v>11.0</v>
      </c>
      <c r="U198" s="7" t="s">
        <v>477</v>
      </c>
      <c r="V198" s="7" t="str">
        <f>VLOOKUP(U198,Jogadores!B:C,2,0)</f>
        <v>FW</v>
      </c>
      <c r="W198" s="8">
        <f>VLOOKUP(U198,Jogadores!B:D,3,0)</f>
        <v>37.47671233</v>
      </c>
      <c r="X198" s="7">
        <v>0.0</v>
      </c>
      <c r="Y198" s="7">
        <v>77.0</v>
      </c>
      <c r="Z198" s="7">
        <f>VLOOKUP(A198,Jogos!A:L,3,0)</f>
        <v>53</v>
      </c>
      <c r="AA198" s="7">
        <f t="shared" si="7"/>
        <v>53</v>
      </c>
      <c r="AB198" s="7">
        <f>VLOOKUP(A198,Jogos!A:L,4,0)</f>
        <v>50</v>
      </c>
      <c r="AC198" s="7">
        <f t="shared" si="8"/>
        <v>32</v>
      </c>
      <c r="AD198" s="7"/>
      <c r="AE198" s="7"/>
      <c r="AF198" s="7">
        <f t="shared" si="9"/>
        <v>85</v>
      </c>
      <c r="AG198" s="7">
        <v>7403.9</v>
      </c>
      <c r="AH198" s="7">
        <v>3613.2</v>
      </c>
      <c r="AI198" s="7">
        <v>2897.4</v>
      </c>
      <c r="AJ198" s="7">
        <v>727.1</v>
      </c>
      <c r="AK198" s="7">
        <v>142.2</v>
      </c>
      <c r="AL198" s="7">
        <v>23.9</v>
      </c>
      <c r="AM198" s="7">
        <v>71.0</v>
      </c>
      <c r="AN198" s="7">
        <v>15.0</v>
      </c>
      <c r="AO198" s="7">
        <v>29.4</v>
      </c>
      <c r="AP198" s="9">
        <f t="shared" ref="AP198:AR198" si="619">AG198/$AF198</f>
        <v>87.10470588</v>
      </c>
      <c r="AQ198" s="9">
        <f t="shared" si="619"/>
        <v>42.50823529</v>
      </c>
      <c r="AR198" s="9">
        <f t="shared" si="619"/>
        <v>34.08705882</v>
      </c>
      <c r="AS198" s="9">
        <f t="shared" si="11"/>
        <v>76.59529412</v>
      </c>
      <c r="AT198" s="9">
        <f t="shared" ref="AT198:AV198" si="620">AJ198/$AF198</f>
        <v>8.554117647</v>
      </c>
      <c r="AU198" s="9">
        <f t="shared" si="620"/>
        <v>1.672941176</v>
      </c>
      <c r="AV198" s="9">
        <f t="shared" si="620"/>
        <v>0.2811764706</v>
      </c>
      <c r="AW198" s="9">
        <f t="shared" si="13"/>
        <v>1.954117647</v>
      </c>
      <c r="AX198" s="9">
        <f t="shared" ref="AX198:AY198" si="621">AM198/$AF198</f>
        <v>0.8352941176</v>
      </c>
      <c r="AY198" s="9">
        <f t="shared" si="621"/>
        <v>0.1764705882</v>
      </c>
      <c r="AZ198" s="9">
        <f>VLOOKUP(A198,Jogos!A:BN,58,0)</f>
        <v>28.63</v>
      </c>
      <c r="BA198" s="9">
        <f>VLOOKUP(A198,Jogos!A:BN,59,0)</f>
        <v>22.83</v>
      </c>
      <c r="BB198" s="9">
        <f>VLOOKUP(A198,Jogos!A:BN,60,0)</f>
        <v>70.5</v>
      </c>
      <c r="BC198" s="9">
        <f>VLOOKUP(A198,Jogos!A:BN,61,0)</f>
        <v>28.175</v>
      </c>
      <c r="BD198" s="9">
        <f>VLOOKUP(A198,Jogos!A:BN,62,0)</f>
        <v>142.85</v>
      </c>
      <c r="BE198" s="9">
        <f>VLOOKUP(A198,Jogos!A:BN,63,0)</f>
        <v>2.34</v>
      </c>
      <c r="BF198" s="9">
        <f>VLOOKUP(A198,Jogos!A:BN,64,0)</f>
        <v>24.81</v>
      </c>
      <c r="BG198" s="9">
        <f>VLOOKUP(A198,Jogos!A:BN,65,0)</f>
        <v>42.885</v>
      </c>
      <c r="BH198" s="9">
        <f>VLOOKUP(A198,Jogos!A:BN,66,0)</f>
        <v>28.805</v>
      </c>
      <c r="BI198" s="9"/>
    </row>
    <row r="199" hidden="1">
      <c r="A199" s="2">
        <v>7.0</v>
      </c>
      <c r="B199" s="2" t="s">
        <v>121</v>
      </c>
      <c r="C199" s="2" t="s">
        <v>61</v>
      </c>
      <c r="D199" s="3">
        <v>45824.0</v>
      </c>
      <c r="E199" s="4">
        <v>0.75</v>
      </c>
      <c r="F199" s="5" t="str">
        <f>VLOOKUP(A199,Jogos!A:N,10,0)</f>
        <v>Evening</v>
      </c>
      <c r="G199" s="2" t="s">
        <v>62</v>
      </c>
      <c r="H199" s="6" t="str">
        <f>VLOOKUP(A199,Jogos!A:L,12,0)</f>
        <v>Open</v>
      </c>
      <c r="I199" s="6" t="str">
        <f>VLOOKUP(G199,'Estádios e Cidades'!A:B,2,0)</f>
        <v>Miami Gardens - Flórida</v>
      </c>
      <c r="J199" s="2" t="s">
        <v>441</v>
      </c>
      <c r="K199" s="2" t="str">
        <f>VLOOKUP(J199,Equipes!A:F,6,0)</f>
        <v>Temperate</v>
      </c>
      <c r="L199" s="2">
        <f>VLOOKUP(J199,Equipes!A:C,3,0)</f>
        <v>10</v>
      </c>
      <c r="M199" s="2" t="str">
        <f t="shared" si="4"/>
        <v>Round of 16</v>
      </c>
      <c r="N199" s="2" t="s">
        <v>440</v>
      </c>
      <c r="O199" s="2">
        <f>VLOOKUP(N199,Equipes!A:C,3,0)</f>
        <v>24</v>
      </c>
      <c r="P199" s="2" t="str">
        <f t="shared" si="5"/>
        <v>Group</v>
      </c>
      <c r="Q199" s="2">
        <f t="shared" si="6"/>
        <v>-14</v>
      </c>
      <c r="R199" s="2" t="str">
        <f>VLOOKUP(J199,Equipes!A:B,2,0)</f>
        <v>Benfica</v>
      </c>
      <c r="S199" s="6" t="s">
        <v>478</v>
      </c>
      <c r="T199" s="7">
        <v>14.0</v>
      </c>
      <c r="U199" s="7" t="s">
        <v>479</v>
      </c>
      <c r="V199" s="7" t="str">
        <f>VLOOKUP(U199,Jogadores!B:C,2,0)</f>
        <v>FW</v>
      </c>
      <c r="W199" s="8">
        <f>VLOOKUP(U199,Jogadores!B:D,3,0)</f>
        <v>26.70136986</v>
      </c>
      <c r="X199" s="7">
        <v>0.0</v>
      </c>
      <c r="Y199" s="7">
        <f>45+AB199</f>
        <v>95</v>
      </c>
      <c r="Z199" s="7">
        <f>VLOOKUP(A199,Jogos!A:L,3,0)</f>
        <v>53</v>
      </c>
      <c r="AA199" s="7">
        <f t="shared" si="7"/>
        <v>53</v>
      </c>
      <c r="AB199" s="7">
        <f>VLOOKUP(A199,Jogos!A:L,4,0)</f>
        <v>50</v>
      </c>
      <c r="AC199" s="7">
        <f t="shared" si="8"/>
        <v>50</v>
      </c>
      <c r="AD199" s="7"/>
      <c r="AE199" s="7"/>
      <c r="AF199" s="7">
        <f t="shared" si="9"/>
        <v>103</v>
      </c>
      <c r="AG199" s="7">
        <v>10592.8</v>
      </c>
      <c r="AH199" s="7">
        <v>4124.7</v>
      </c>
      <c r="AI199" s="7">
        <v>4326.3</v>
      </c>
      <c r="AJ199" s="7">
        <v>1557.3</v>
      </c>
      <c r="AK199" s="7">
        <v>423.1</v>
      </c>
      <c r="AL199" s="7">
        <v>161.3</v>
      </c>
      <c r="AM199" s="7">
        <v>138.0</v>
      </c>
      <c r="AN199" s="7">
        <v>40.0</v>
      </c>
      <c r="AO199" s="7">
        <v>30.5</v>
      </c>
      <c r="AP199" s="9">
        <f t="shared" ref="AP199:AR199" si="622">AG199/$AF199</f>
        <v>102.8427184</v>
      </c>
      <c r="AQ199" s="9">
        <f t="shared" si="622"/>
        <v>40.04563107</v>
      </c>
      <c r="AR199" s="9">
        <f t="shared" si="622"/>
        <v>42.00291262</v>
      </c>
      <c r="AS199" s="9">
        <f t="shared" si="11"/>
        <v>82.04854369</v>
      </c>
      <c r="AT199" s="9">
        <f t="shared" ref="AT199:AV199" si="623">AJ199/$AF199</f>
        <v>15.11941748</v>
      </c>
      <c r="AU199" s="9">
        <f t="shared" si="623"/>
        <v>4.10776699</v>
      </c>
      <c r="AV199" s="9">
        <f t="shared" si="623"/>
        <v>1.566019417</v>
      </c>
      <c r="AW199" s="9">
        <f t="shared" si="13"/>
        <v>5.673786408</v>
      </c>
      <c r="AX199" s="9">
        <f t="shared" ref="AX199:AY199" si="624">AM199/$AF199</f>
        <v>1.339805825</v>
      </c>
      <c r="AY199" s="9">
        <f t="shared" si="624"/>
        <v>0.3883495146</v>
      </c>
      <c r="AZ199" s="9">
        <f>VLOOKUP(A199,Jogos!A:BN,58,0)</f>
        <v>28.63</v>
      </c>
      <c r="BA199" s="9">
        <f>VLOOKUP(A199,Jogos!A:BN,59,0)</f>
        <v>22.83</v>
      </c>
      <c r="BB199" s="9">
        <f>VLOOKUP(A199,Jogos!A:BN,60,0)</f>
        <v>70.5</v>
      </c>
      <c r="BC199" s="9">
        <f>VLOOKUP(A199,Jogos!A:BN,61,0)</f>
        <v>28.175</v>
      </c>
      <c r="BD199" s="9">
        <f>VLOOKUP(A199,Jogos!A:BN,62,0)</f>
        <v>142.85</v>
      </c>
      <c r="BE199" s="9">
        <f>VLOOKUP(A199,Jogos!A:BN,63,0)</f>
        <v>2.34</v>
      </c>
      <c r="BF199" s="9">
        <f>VLOOKUP(A199,Jogos!A:BN,64,0)</f>
        <v>24.81</v>
      </c>
      <c r="BG199" s="9">
        <f>VLOOKUP(A199,Jogos!A:BN,65,0)</f>
        <v>42.885</v>
      </c>
      <c r="BH199" s="9">
        <f>VLOOKUP(A199,Jogos!A:BN,66,0)</f>
        <v>28.805</v>
      </c>
      <c r="BI199" s="9"/>
    </row>
    <row r="200" hidden="1">
      <c r="A200" s="2">
        <v>7.0</v>
      </c>
      <c r="B200" s="2" t="s">
        <v>121</v>
      </c>
      <c r="C200" s="2" t="s">
        <v>61</v>
      </c>
      <c r="D200" s="3">
        <v>45824.0</v>
      </c>
      <c r="E200" s="4">
        <v>0.75</v>
      </c>
      <c r="F200" s="5" t="str">
        <f>VLOOKUP(A200,Jogos!A:N,10,0)</f>
        <v>Evening</v>
      </c>
      <c r="G200" s="2" t="s">
        <v>62</v>
      </c>
      <c r="H200" s="6" t="str">
        <f>VLOOKUP(A200,Jogos!A:L,12,0)</f>
        <v>Open</v>
      </c>
      <c r="I200" s="6" t="str">
        <f>VLOOKUP(G200,'Estádios e Cidades'!A:B,2,0)</f>
        <v>Miami Gardens - Flórida</v>
      </c>
      <c r="J200" s="2" t="s">
        <v>441</v>
      </c>
      <c r="K200" s="2" t="str">
        <f>VLOOKUP(J200,Equipes!A:F,6,0)</f>
        <v>Temperate</v>
      </c>
      <c r="L200" s="2">
        <f>VLOOKUP(J200,Equipes!A:C,3,0)</f>
        <v>10</v>
      </c>
      <c r="M200" s="2" t="str">
        <f t="shared" si="4"/>
        <v>Round of 16</v>
      </c>
      <c r="N200" s="2" t="s">
        <v>440</v>
      </c>
      <c r="O200" s="2">
        <f>VLOOKUP(N200,Equipes!A:C,3,0)</f>
        <v>24</v>
      </c>
      <c r="P200" s="2" t="str">
        <f t="shared" si="5"/>
        <v>Group</v>
      </c>
      <c r="Q200" s="2">
        <f t="shared" si="6"/>
        <v>-14</v>
      </c>
      <c r="R200" s="2" t="str">
        <f>VLOOKUP(J200,Equipes!A:B,2,0)</f>
        <v>Benfica</v>
      </c>
      <c r="S200" s="6" t="s">
        <v>480</v>
      </c>
      <c r="T200" s="7">
        <v>26.0</v>
      </c>
      <c r="U200" s="7" t="s">
        <v>481</v>
      </c>
      <c r="V200" s="7" t="str">
        <f>VLOOKUP(U200,Jogadores!B:C,2,0)</f>
        <v>DF</v>
      </c>
      <c r="W200" s="8">
        <f>VLOOKUP(U200,Jogadores!B:D,3,0)</f>
        <v>22.41643836</v>
      </c>
      <c r="X200" s="7">
        <v>0.0</v>
      </c>
      <c r="Y200" s="7">
        <v>45.0</v>
      </c>
      <c r="Z200" s="7">
        <f>VLOOKUP(A200,Jogos!A:L,3,0)</f>
        <v>53</v>
      </c>
      <c r="AA200" s="7">
        <f t="shared" si="7"/>
        <v>53</v>
      </c>
      <c r="AB200" s="7">
        <f>VLOOKUP(A200,Jogos!A:L,4,0)</f>
        <v>50</v>
      </c>
      <c r="AC200" s="7">
        <f t="shared" si="8"/>
        <v>0</v>
      </c>
      <c r="AD200" s="7"/>
      <c r="AE200" s="7"/>
      <c r="AF200" s="7">
        <f t="shared" si="9"/>
        <v>53</v>
      </c>
      <c r="AG200" s="7">
        <v>5396.4</v>
      </c>
      <c r="AH200" s="7">
        <v>2111.0</v>
      </c>
      <c r="AI200" s="7">
        <v>2072.2</v>
      </c>
      <c r="AJ200" s="7">
        <v>850.9</v>
      </c>
      <c r="AK200" s="7">
        <v>307.5</v>
      </c>
      <c r="AL200" s="7">
        <v>54.8</v>
      </c>
      <c r="AM200" s="7">
        <v>76.0</v>
      </c>
      <c r="AN200" s="7">
        <v>27.0</v>
      </c>
      <c r="AO200" s="7">
        <v>29.5</v>
      </c>
      <c r="AP200" s="9">
        <f t="shared" ref="AP200:AR200" si="625">AG200/$AF200</f>
        <v>101.8188679</v>
      </c>
      <c r="AQ200" s="9">
        <f t="shared" si="625"/>
        <v>39.83018868</v>
      </c>
      <c r="AR200" s="9">
        <f t="shared" si="625"/>
        <v>39.09811321</v>
      </c>
      <c r="AS200" s="9">
        <f t="shared" si="11"/>
        <v>78.92830189</v>
      </c>
      <c r="AT200" s="9">
        <f t="shared" ref="AT200:AV200" si="626">AJ200/$AF200</f>
        <v>16.05471698</v>
      </c>
      <c r="AU200" s="9">
        <f t="shared" si="626"/>
        <v>5.801886792</v>
      </c>
      <c r="AV200" s="9">
        <f t="shared" si="626"/>
        <v>1.033962264</v>
      </c>
      <c r="AW200" s="9">
        <f t="shared" si="13"/>
        <v>6.835849057</v>
      </c>
      <c r="AX200" s="9">
        <f t="shared" ref="AX200:AY200" si="627">AM200/$AF200</f>
        <v>1.433962264</v>
      </c>
      <c r="AY200" s="9">
        <f t="shared" si="627"/>
        <v>0.5094339623</v>
      </c>
      <c r="AZ200" s="9">
        <f>VLOOKUP(A200,Jogos!A:BN,58,0)</f>
        <v>28.63</v>
      </c>
      <c r="BA200" s="9">
        <f>VLOOKUP(A200,Jogos!A:BN,59,0)</f>
        <v>22.83</v>
      </c>
      <c r="BB200" s="9">
        <f>VLOOKUP(A200,Jogos!A:BN,60,0)</f>
        <v>70.5</v>
      </c>
      <c r="BC200" s="9">
        <f>VLOOKUP(A200,Jogos!A:BN,61,0)</f>
        <v>28.175</v>
      </c>
      <c r="BD200" s="9">
        <f>VLOOKUP(A200,Jogos!A:BN,62,0)</f>
        <v>142.85</v>
      </c>
      <c r="BE200" s="9">
        <f>VLOOKUP(A200,Jogos!A:BN,63,0)</f>
        <v>2.34</v>
      </c>
      <c r="BF200" s="9">
        <f>VLOOKUP(A200,Jogos!A:BN,64,0)</f>
        <v>24.81</v>
      </c>
      <c r="BG200" s="9">
        <f>VLOOKUP(A200,Jogos!A:BN,65,0)</f>
        <v>42.885</v>
      </c>
      <c r="BH200" s="9">
        <f>VLOOKUP(A200,Jogos!A:BN,66,0)</f>
        <v>28.805</v>
      </c>
      <c r="BI200" s="9"/>
    </row>
    <row r="201" hidden="1">
      <c r="A201" s="2">
        <v>7.0</v>
      </c>
      <c r="B201" s="2" t="s">
        <v>121</v>
      </c>
      <c r="C201" s="2" t="s">
        <v>61</v>
      </c>
      <c r="D201" s="3">
        <v>45824.0</v>
      </c>
      <c r="E201" s="4">
        <v>0.75</v>
      </c>
      <c r="F201" s="5" t="str">
        <f>VLOOKUP(A201,Jogos!A:N,10,0)</f>
        <v>Evening</v>
      </c>
      <c r="G201" s="2" t="s">
        <v>62</v>
      </c>
      <c r="H201" s="6" t="str">
        <f>VLOOKUP(A201,Jogos!A:L,12,0)</f>
        <v>Open</v>
      </c>
      <c r="I201" s="6" t="str">
        <f>VLOOKUP(G201,'Estádios e Cidades'!A:B,2,0)</f>
        <v>Miami Gardens - Flórida</v>
      </c>
      <c r="J201" s="2" t="s">
        <v>441</v>
      </c>
      <c r="K201" s="2" t="str">
        <f>VLOOKUP(J201,Equipes!A:F,6,0)</f>
        <v>Temperate</v>
      </c>
      <c r="L201" s="2">
        <f>VLOOKUP(J201,Equipes!A:C,3,0)</f>
        <v>10</v>
      </c>
      <c r="M201" s="2" t="str">
        <f t="shared" si="4"/>
        <v>Round of 16</v>
      </c>
      <c r="N201" s="2" t="s">
        <v>440</v>
      </c>
      <c r="O201" s="2">
        <f>VLOOKUP(N201,Equipes!A:C,3,0)</f>
        <v>24</v>
      </c>
      <c r="P201" s="2" t="str">
        <f t="shared" si="5"/>
        <v>Group</v>
      </c>
      <c r="Q201" s="2">
        <f t="shared" si="6"/>
        <v>-14</v>
      </c>
      <c r="R201" s="2" t="str">
        <f>VLOOKUP(J201,Equipes!A:B,2,0)</f>
        <v>Benfica</v>
      </c>
      <c r="S201" s="6" t="s">
        <v>482</v>
      </c>
      <c r="T201" s="7">
        <v>27.0</v>
      </c>
      <c r="U201" s="7" t="s">
        <v>483</v>
      </c>
      <c r="V201" s="7" t="str">
        <f>VLOOKUP(U201,Jogadores!B:C,2,0)</f>
        <v>FW</v>
      </c>
      <c r="W201" s="8">
        <f>VLOOKUP(U201,Jogadores!B:D,3,0)</f>
        <v>30.78082192</v>
      </c>
      <c r="X201" s="7">
        <v>0.0</v>
      </c>
      <c r="Y201" s="7">
        <v>61.0</v>
      </c>
      <c r="Z201" s="7">
        <f>VLOOKUP(A201,Jogos!A:L,3,0)</f>
        <v>53</v>
      </c>
      <c r="AA201" s="7">
        <f t="shared" si="7"/>
        <v>53</v>
      </c>
      <c r="AB201" s="7">
        <f>VLOOKUP(A201,Jogos!A:L,4,0)</f>
        <v>50</v>
      </c>
      <c r="AC201" s="7">
        <f t="shared" si="8"/>
        <v>16</v>
      </c>
      <c r="AD201" s="7"/>
      <c r="AE201" s="7"/>
      <c r="AF201" s="7">
        <f t="shared" si="9"/>
        <v>69</v>
      </c>
      <c r="AG201" s="7">
        <v>7111.3</v>
      </c>
      <c r="AH201" s="7">
        <v>3178.1</v>
      </c>
      <c r="AI201" s="7">
        <v>2522.3</v>
      </c>
      <c r="AJ201" s="7">
        <v>964.6</v>
      </c>
      <c r="AK201" s="7">
        <v>363.2</v>
      </c>
      <c r="AL201" s="7">
        <v>83.0</v>
      </c>
      <c r="AM201" s="7">
        <v>75.0</v>
      </c>
      <c r="AN201" s="7">
        <v>26.0</v>
      </c>
      <c r="AO201" s="7">
        <v>29.4</v>
      </c>
      <c r="AP201" s="9">
        <f t="shared" ref="AP201:AR201" si="628">AG201/$AF201</f>
        <v>103.0623188</v>
      </c>
      <c r="AQ201" s="9">
        <f t="shared" si="628"/>
        <v>46.05942029</v>
      </c>
      <c r="AR201" s="9">
        <f t="shared" si="628"/>
        <v>36.55507246</v>
      </c>
      <c r="AS201" s="9">
        <f t="shared" si="11"/>
        <v>82.61449275</v>
      </c>
      <c r="AT201" s="9">
        <f t="shared" ref="AT201:AV201" si="629">AJ201/$AF201</f>
        <v>13.97971014</v>
      </c>
      <c r="AU201" s="9">
        <f t="shared" si="629"/>
        <v>5.263768116</v>
      </c>
      <c r="AV201" s="9">
        <f t="shared" si="629"/>
        <v>1.202898551</v>
      </c>
      <c r="AW201" s="9">
        <f t="shared" si="13"/>
        <v>6.466666667</v>
      </c>
      <c r="AX201" s="9">
        <f t="shared" ref="AX201:AY201" si="630">AM201/$AF201</f>
        <v>1.086956522</v>
      </c>
      <c r="AY201" s="9">
        <f t="shared" si="630"/>
        <v>0.3768115942</v>
      </c>
      <c r="AZ201" s="9">
        <f>VLOOKUP(A201,Jogos!A:BN,58,0)</f>
        <v>28.63</v>
      </c>
      <c r="BA201" s="9">
        <f>VLOOKUP(A201,Jogos!A:BN,59,0)</f>
        <v>22.83</v>
      </c>
      <c r="BB201" s="9">
        <f>VLOOKUP(A201,Jogos!A:BN,60,0)</f>
        <v>70.5</v>
      </c>
      <c r="BC201" s="9">
        <f>VLOOKUP(A201,Jogos!A:BN,61,0)</f>
        <v>28.175</v>
      </c>
      <c r="BD201" s="9">
        <f>VLOOKUP(A201,Jogos!A:BN,62,0)</f>
        <v>142.85</v>
      </c>
      <c r="BE201" s="9">
        <f>VLOOKUP(A201,Jogos!A:BN,63,0)</f>
        <v>2.34</v>
      </c>
      <c r="BF201" s="9">
        <f>VLOOKUP(A201,Jogos!A:BN,64,0)</f>
        <v>24.81</v>
      </c>
      <c r="BG201" s="9">
        <f>VLOOKUP(A201,Jogos!A:BN,65,0)</f>
        <v>42.885</v>
      </c>
      <c r="BH201" s="9">
        <f>VLOOKUP(A201,Jogos!A:BN,66,0)</f>
        <v>28.805</v>
      </c>
      <c r="BI201" s="9"/>
    </row>
    <row r="202" hidden="1">
      <c r="A202" s="2">
        <v>7.0</v>
      </c>
      <c r="B202" s="2" t="s">
        <v>121</v>
      </c>
      <c r="C202" s="2" t="s">
        <v>61</v>
      </c>
      <c r="D202" s="3">
        <v>45824.0</v>
      </c>
      <c r="E202" s="4">
        <v>0.75</v>
      </c>
      <c r="F202" s="5" t="str">
        <f>VLOOKUP(A202,Jogos!A:N,10,0)</f>
        <v>Evening</v>
      </c>
      <c r="G202" s="2" t="s">
        <v>62</v>
      </c>
      <c r="H202" s="6" t="str">
        <f>VLOOKUP(A202,Jogos!A:L,12,0)</f>
        <v>Open</v>
      </c>
      <c r="I202" s="6" t="str">
        <f>VLOOKUP(G202,'Estádios e Cidades'!A:B,2,0)</f>
        <v>Miami Gardens - Flórida</v>
      </c>
      <c r="J202" s="2" t="s">
        <v>441</v>
      </c>
      <c r="K202" s="2" t="str">
        <f>VLOOKUP(J202,Equipes!A:F,6,0)</f>
        <v>Temperate</v>
      </c>
      <c r="L202" s="2">
        <f>VLOOKUP(J202,Equipes!A:C,3,0)</f>
        <v>10</v>
      </c>
      <c r="M202" s="2" t="str">
        <f t="shared" si="4"/>
        <v>Round of 16</v>
      </c>
      <c r="N202" s="2" t="s">
        <v>440</v>
      </c>
      <c r="O202" s="2">
        <f>VLOOKUP(N202,Equipes!A:C,3,0)</f>
        <v>24</v>
      </c>
      <c r="P202" s="2" t="str">
        <f t="shared" si="5"/>
        <v>Group</v>
      </c>
      <c r="Q202" s="2">
        <f t="shared" si="6"/>
        <v>-14</v>
      </c>
      <c r="R202" s="2" t="str">
        <f>VLOOKUP(J202,Equipes!A:B,2,0)</f>
        <v>Benfica</v>
      </c>
      <c r="S202" s="6" t="s">
        <v>484</v>
      </c>
      <c r="T202" s="7">
        <v>30.0</v>
      </c>
      <c r="U202" s="7" t="s">
        <v>485</v>
      </c>
      <c r="V202" s="7" t="str">
        <f>VLOOKUP(U202,Jogadores!B:C,2,0)</f>
        <v>DF</v>
      </c>
      <c r="W202" s="8">
        <f>VLOOKUP(U202,Jogadores!B:D,3,0)</f>
        <v>37.48219178</v>
      </c>
      <c r="X202" s="7">
        <v>0.0</v>
      </c>
      <c r="Y202" s="7">
        <f>45+AB202</f>
        <v>95</v>
      </c>
      <c r="Z202" s="7">
        <f>VLOOKUP(A202,Jogos!A:L,3,0)</f>
        <v>53</v>
      </c>
      <c r="AA202" s="7">
        <f t="shared" si="7"/>
        <v>53</v>
      </c>
      <c r="AB202" s="7">
        <f>VLOOKUP(A202,Jogos!A:L,4,0)</f>
        <v>50</v>
      </c>
      <c r="AC202" s="7">
        <f t="shared" si="8"/>
        <v>50</v>
      </c>
      <c r="AD202" s="7"/>
      <c r="AE202" s="7"/>
      <c r="AF202" s="7">
        <f t="shared" si="9"/>
        <v>103</v>
      </c>
      <c r="AG202" s="7">
        <v>8924.0</v>
      </c>
      <c r="AH202" s="7">
        <v>4027.4</v>
      </c>
      <c r="AI202" s="7">
        <v>3498.7</v>
      </c>
      <c r="AJ202" s="7">
        <v>879.2</v>
      </c>
      <c r="AK202" s="7">
        <v>379.0</v>
      </c>
      <c r="AL202" s="7">
        <v>139.7</v>
      </c>
      <c r="AM202" s="7">
        <v>69.0</v>
      </c>
      <c r="AN202" s="7">
        <v>35.0</v>
      </c>
      <c r="AO202" s="7">
        <v>30.9</v>
      </c>
      <c r="AP202" s="9">
        <f t="shared" ref="AP202:AR202" si="631">AG202/$AF202</f>
        <v>86.6407767</v>
      </c>
      <c r="AQ202" s="9">
        <f t="shared" si="631"/>
        <v>39.10097087</v>
      </c>
      <c r="AR202" s="9">
        <f t="shared" si="631"/>
        <v>33.96796117</v>
      </c>
      <c r="AS202" s="9">
        <f t="shared" si="11"/>
        <v>73.06893204</v>
      </c>
      <c r="AT202" s="9">
        <f t="shared" ref="AT202:AV202" si="632">AJ202/$AF202</f>
        <v>8.53592233</v>
      </c>
      <c r="AU202" s="9">
        <f t="shared" si="632"/>
        <v>3.67961165</v>
      </c>
      <c r="AV202" s="9">
        <f t="shared" si="632"/>
        <v>1.35631068</v>
      </c>
      <c r="AW202" s="9">
        <f t="shared" si="13"/>
        <v>5.03592233</v>
      </c>
      <c r="AX202" s="9">
        <f t="shared" ref="AX202:AY202" si="633">AM202/$AF202</f>
        <v>0.6699029126</v>
      </c>
      <c r="AY202" s="9">
        <f t="shared" si="633"/>
        <v>0.3398058252</v>
      </c>
      <c r="AZ202" s="9">
        <f>VLOOKUP(A202,Jogos!A:BN,58,0)</f>
        <v>28.63</v>
      </c>
      <c r="BA202" s="9">
        <f>VLOOKUP(A202,Jogos!A:BN,59,0)</f>
        <v>22.83</v>
      </c>
      <c r="BB202" s="9">
        <f>VLOOKUP(A202,Jogos!A:BN,60,0)</f>
        <v>70.5</v>
      </c>
      <c r="BC202" s="9">
        <f>VLOOKUP(A202,Jogos!A:BN,61,0)</f>
        <v>28.175</v>
      </c>
      <c r="BD202" s="9">
        <f>VLOOKUP(A202,Jogos!A:BN,62,0)</f>
        <v>142.85</v>
      </c>
      <c r="BE202" s="9">
        <f>VLOOKUP(A202,Jogos!A:BN,63,0)</f>
        <v>2.34</v>
      </c>
      <c r="BF202" s="9">
        <f>VLOOKUP(A202,Jogos!A:BN,64,0)</f>
        <v>24.81</v>
      </c>
      <c r="BG202" s="9">
        <f>VLOOKUP(A202,Jogos!A:BN,65,0)</f>
        <v>42.885</v>
      </c>
      <c r="BH202" s="9">
        <f>VLOOKUP(A202,Jogos!A:BN,66,0)</f>
        <v>28.805</v>
      </c>
      <c r="BI202" s="9"/>
    </row>
    <row r="203" hidden="1">
      <c r="A203" s="2">
        <v>7.0</v>
      </c>
      <c r="B203" s="2" t="s">
        <v>121</v>
      </c>
      <c r="C203" s="2" t="s">
        <v>61</v>
      </c>
      <c r="D203" s="3">
        <v>45824.0</v>
      </c>
      <c r="E203" s="4">
        <v>0.75</v>
      </c>
      <c r="F203" s="5" t="str">
        <f>VLOOKUP(A203,Jogos!A:N,10,0)</f>
        <v>Evening</v>
      </c>
      <c r="G203" s="2" t="s">
        <v>62</v>
      </c>
      <c r="H203" s="6" t="str">
        <f>VLOOKUP(A203,Jogos!A:L,12,0)</f>
        <v>Open</v>
      </c>
      <c r="I203" s="6" t="str">
        <f>VLOOKUP(G203,'Estádios e Cidades'!A:B,2,0)</f>
        <v>Miami Gardens - Flórida</v>
      </c>
      <c r="J203" s="2" t="s">
        <v>441</v>
      </c>
      <c r="K203" s="2" t="str">
        <f>VLOOKUP(J203,Equipes!A:F,6,0)</f>
        <v>Temperate</v>
      </c>
      <c r="L203" s="2">
        <f>VLOOKUP(J203,Equipes!A:C,3,0)</f>
        <v>10</v>
      </c>
      <c r="M203" s="2" t="str">
        <f t="shared" si="4"/>
        <v>Round of 16</v>
      </c>
      <c r="N203" s="2" t="s">
        <v>440</v>
      </c>
      <c r="O203" s="2">
        <f>VLOOKUP(N203,Equipes!A:C,3,0)</f>
        <v>24</v>
      </c>
      <c r="P203" s="2" t="str">
        <f t="shared" si="5"/>
        <v>Group</v>
      </c>
      <c r="Q203" s="2">
        <f t="shared" si="6"/>
        <v>-14</v>
      </c>
      <c r="R203" s="2" t="str">
        <f>VLOOKUP(J203,Equipes!A:B,2,0)</f>
        <v>Benfica</v>
      </c>
      <c r="S203" s="6" t="s">
        <v>486</v>
      </c>
      <c r="T203" s="7">
        <v>61.0</v>
      </c>
      <c r="U203" s="7" t="s">
        <v>487</v>
      </c>
      <c r="V203" s="7" t="str">
        <f>VLOOKUP(U203,Jogadores!B:C,2,0)</f>
        <v>MF</v>
      </c>
      <c r="W203" s="8">
        <f>VLOOKUP(U203,Jogadores!B:D,3,0)</f>
        <v>25.95890411</v>
      </c>
      <c r="X203" s="7">
        <v>0.0</v>
      </c>
      <c r="Y203" s="7">
        <v>90.0</v>
      </c>
      <c r="Z203" s="7">
        <f>VLOOKUP(A203,Jogos!A:L,3,0)</f>
        <v>53</v>
      </c>
      <c r="AA203" s="7">
        <f t="shared" si="7"/>
        <v>53</v>
      </c>
      <c r="AB203" s="7">
        <f>VLOOKUP(A203,Jogos!A:L,4,0)</f>
        <v>50</v>
      </c>
      <c r="AC203" s="7">
        <f t="shared" si="8"/>
        <v>45</v>
      </c>
      <c r="AD203" s="7"/>
      <c r="AE203" s="7"/>
      <c r="AF203" s="7">
        <f t="shared" si="9"/>
        <v>98</v>
      </c>
      <c r="AG203" s="7">
        <v>10742.4</v>
      </c>
      <c r="AH203" s="7">
        <v>3315.1</v>
      </c>
      <c r="AI203" s="7">
        <v>5514.7</v>
      </c>
      <c r="AJ203" s="7">
        <v>1340.9</v>
      </c>
      <c r="AK203" s="7">
        <v>510.3</v>
      </c>
      <c r="AL203" s="7">
        <v>61.5</v>
      </c>
      <c r="AM203" s="7">
        <v>110.0</v>
      </c>
      <c r="AN203" s="7">
        <v>33.0</v>
      </c>
      <c r="AO203" s="7">
        <v>28.2</v>
      </c>
      <c r="AP203" s="9">
        <f t="shared" ref="AP203:AR203" si="634">AG203/$AF203</f>
        <v>109.6163265</v>
      </c>
      <c r="AQ203" s="9">
        <f t="shared" si="634"/>
        <v>33.82755102</v>
      </c>
      <c r="AR203" s="9">
        <f t="shared" si="634"/>
        <v>56.27244898</v>
      </c>
      <c r="AS203" s="9">
        <f t="shared" si="11"/>
        <v>90.1</v>
      </c>
      <c r="AT203" s="9">
        <f t="shared" ref="AT203:AV203" si="635">AJ203/$AF203</f>
        <v>13.68265306</v>
      </c>
      <c r="AU203" s="9">
        <f t="shared" si="635"/>
        <v>5.207142857</v>
      </c>
      <c r="AV203" s="9">
        <f t="shared" si="635"/>
        <v>0.6275510204</v>
      </c>
      <c r="AW203" s="9">
        <f t="shared" si="13"/>
        <v>5.834693878</v>
      </c>
      <c r="AX203" s="9">
        <f t="shared" ref="AX203:AY203" si="636">AM203/$AF203</f>
        <v>1.12244898</v>
      </c>
      <c r="AY203" s="9">
        <f t="shared" si="636"/>
        <v>0.3367346939</v>
      </c>
      <c r="AZ203" s="9">
        <f>VLOOKUP(A203,Jogos!A:BN,58,0)</f>
        <v>28.63</v>
      </c>
      <c r="BA203" s="9">
        <f>VLOOKUP(A203,Jogos!A:BN,59,0)</f>
        <v>22.83</v>
      </c>
      <c r="BB203" s="9">
        <f>VLOOKUP(A203,Jogos!A:BN,60,0)</f>
        <v>70.5</v>
      </c>
      <c r="BC203" s="9">
        <f>VLOOKUP(A203,Jogos!A:BN,61,0)</f>
        <v>28.175</v>
      </c>
      <c r="BD203" s="9">
        <f>VLOOKUP(A203,Jogos!A:BN,62,0)</f>
        <v>142.85</v>
      </c>
      <c r="BE203" s="9">
        <f>VLOOKUP(A203,Jogos!A:BN,63,0)</f>
        <v>2.34</v>
      </c>
      <c r="BF203" s="9">
        <f>VLOOKUP(A203,Jogos!A:BN,64,0)</f>
        <v>24.81</v>
      </c>
      <c r="BG203" s="9">
        <f>VLOOKUP(A203,Jogos!A:BN,65,0)</f>
        <v>42.885</v>
      </c>
      <c r="BH203" s="9">
        <f>VLOOKUP(A203,Jogos!A:BN,66,0)</f>
        <v>28.805</v>
      </c>
      <c r="BI203" s="9"/>
    </row>
    <row r="204" hidden="1">
      <c r="A204" s="2">
        <v>7.0</v>
      </c>
      <c r="B204" s="2" t="s">
        <v>121</v>
      </c>
      <c r="C204" s="2" t="s">
        <v>61</v>
      </c>
      <c r="D204" s="3">
        <v>45824.0</v>
      </c>
      <c r="E204" s="4">
        <v>0.75</v>
      </c>
      <c r="F204" s="5" t="str">
        <f>VLOOKUP(A204,Jogos!A:N,10,0)</f>
        <v>Evening</v>
      </c>
      <c r="G204" s="2" t="s">
        <v>62</v>
      </c>
      <c r="H204" s="6" t="str">
        <f>VLOOKUP(A204,Jogos!A:L,12,0)</f>
        <v>Open</v>
      </c>
      <c r="I204" s="6" t="str">
        <f>VLOOKUP(G204,'Estádios e Cidades'!A:B,2,0)</f>
        <v>Miami Gardens - Flórida</v>
      </c>
      <c r="J204" s="2" t="s">
        <v>441</v>
      </c>
      <c r="K204" s="2" t="str">
        <f>VLOOKUP(J204,Equipes!A:F,6,0)</f>
        <v>Temperate</v>
      </c>
      <c r="L204" s="2">
        <f>VLOOKUP(J204,Equipes!A:C,3,0)</f>
        <v>10</v>
      </c>
      <c r="M204" s="2" t="str">
        <f t="shared" si="4"/>
        <v>Round of 16</v>
      </c>
      <c r="N204" s="2" t="s">
        <v>440</v>
      </c>
      <c r="O204" s="2">
        <f>VLOOKUP(N204,Equipes!A:C,3,0)</f>
        <v>24</v>
      </c>
      <c r="P204" s="2" t="str">
        <f t="shared" si="5"/>
        <v>Group</v>
      </c>
      <c r="Q204" s="2">
        <f t="shared" si="6"/>
        <v>-14</v>
      </c>
      <c r="R204" s="2" t="str">
        <f>VLOOKUP(J204,Equipes!A:B,2,0)</f>
        <v>Benfica</v>
      </c>
      <c r="S204" s="6" t="s">
        <v>488</v>
      </c>
      <c r="T204" s="7">
        <v>85.0</v>
      </c>
      <c r="U204" s="7" t="s">
        <v>489</v>
      </c>
      <c r="V204" s="7" t="str">
        <f>VLOOKUP(U204,Jogadores!B:C,2,0)</f>
        <v>MF</v>
      </c>
      <c r="W204" s="8">
        <f>VLOOKUP(U204,Jogadores!B:D,3,0)</f>
        <v>27.96164384</v>
      </c>
      <c r="X204" s="7">
        <v>0.0</v>
      </c>
      <c r="Y204" s="7">
        <v>61.0</v>
      </c>
      <c r="Z204" s="7">
        <f>VLOOKUP(A204,Jogos!A:L,3,0)</f>
        <v>53</v>
      </c>
      <c r="AA204" s="7">
        <f t="shared" si="7"/>
        <v>53</v>
      </c>
      <c r="AB204" s="7">
        <f>VLOOKUP(A204,Jogos!A:L,4,0)</f>
        <v>50</v>
      </c>
      <c r="AC204" s="7">
        <f t="shared" si="8"/>
        <v>16</v>
      </c>
      <c r="AD204" s="7"/>
      <c r="AE204" s="7"/>
      <c r="AF204" s="7">
        <f t="shared" si="9"/>
        <v>69</v>
      </c>
      <c r="AG204" s="7">
        <v>7357.0</v>
      </c>
      <c r="AH204" s="7">
        <v>2945.6</v>
      </c>
      <c r="AI204" s="7">
        <v>2801.1</v>
      </c>
      <c r="AJ204" s="7">
        <v>1249.0</v>
      </c>
      <c r="AK204" s="7">
        <v>346.5</v>
      </c>
      <c r="AL204" s="7">
        <v>14.9</v>
      </c>
      <c r="AM204" s="7">
        <v>102.0</v>
      </c>
      <c r="AN204" s="7">
        <v>22.0</v>
      </c>
      <c r="AO204" s="7">
        <v>25.5</v>
      </c>
      <c r="AP204" s="9">
        <f t="shared" ref="AP204:AR204" si="637">AG204/$AF204</f>
        <v>106.6231884</v>
      </c>
      <c r="AQ204" s="9">
        <f t="shared" si="637"/>
        <v>42.68985507</v>
      </c>
      <c r="AR204" s="9">
        <f t="shared" si="637"/>
        <v>40.59565217</v>
      </c>
      <c r="AS204" s="9">
        <f t="shared" si="11"/>
        <v>83.28550725</v>
      </c>
      <c r="AT204" s="9">
        <f t="shared" ref="AT204:AV204" si="638">AJ204/$AF204</f>
        <v>18.10144928</v>
      </c>
      <c r="AU204" s="9">
        <f t="shared" si="638"/>
        <v>5.02173913</v>
      </c>
      <c r="AV204" s="9">
        <f t="shared" si="638"/>
        <v>0.215942029</v>
      </c>
      <c r="AW204" s="9">
        <f t="shared" si="13"/>
        <v>5.237681159</v>
      </c>
      <c r="AX204" s="9">
        <f t="shared" ref="AX204:AY204" si="639">AM204/$AF204</f>
        <v>1.47826087</v>
      </c>
      <c r="AY204" s="9">
        <f t="shared" si="639"/>
        <v>0.3188405797</v>
      </c>
      <c r="AZ204" s="9">
        <f>VLOOKUP(A204,Jogos!A:BN,58,0)</f>
        <v>28.63</v>
      </c>
      <c r="BA204" s="9">
        <f>VLOOKUP(A204,Jogos!A:BN,59,0)</f>
        <v>22.83</v>
      </c>
      <c r="BB204" s="9">
        <f>VLOOKUP(A204,Jogos!A:BN,60,0)</f>
        <v>70.5</v>
      </c>
      <c r="BC204" s="9">
        <f>VLOOKUP(A204,Jogos!A:BN,61,0)</f>
        <v>28.175</v>
      </c>
      <c r="BD204" s="9">
        <f>VLOOKUP(A204,Jogos!A:BN,62,0)</f>
        <v>142.85</v>
      </c>
      <c r="BE204" s="9">
        <f>VLOOKUP(A204,Jogos!A:BN,63,0)</f>
        <v>2.34</v>
      </c>
      <c r="BF204" s="9">
        <f>VLOOKUP(A204,Jogos!A:BN,64,0)</f>
        <v>24.81</v>
      </c>
      <c r="BG204" s="9">
        <f>VLOOKUP(A204,Jogos!A:BN,65,0)</f>
        <v>42.885</v>
      </c>
      <c r="BH204" s="9">
        <f>VLOOKUP(A204,Jogos!A:BN,66,0)</f>
        <v>28.805</v>
      </c>
      <c r="BI204" s="9"/>
    </row>
    <row r="205" hidden="1">
      <c r="A205" s="2">
        <v>7.0</v>
      </c>
      <c r="B205" s="2" t="s">
        <v>121</v>
      </c>
      <c r="C205" s="2" t="s">
        <v>61</v>
      </c>
      <c r="D205" s="3">
        <v>45824.0</v>
      </c>
      <c r="E205" s="4">
        <v>0.75</v>
      </c>
      <c r="F205" s="5" t="str">
        <f>VLOOKUP(A205,Jogos!A:N,10,0)</f>
        <v>Evening</v>
      </c>
      <c r="G205" s="2" t="s">
        <v>62</v>
      </c>
      <c r="H205" s="6" t="str">
        <f>VLOOKUP(A205,Jogos!A:L,12,0)</f>
        <v>Open</v>
      </c>
      <c r="I205" s="6" t="str">
        <f>VLOOKUP(G205,'Estádios e Cidades'!A:B,2,0)</f>
        <v>Miami Gardens - Flórida</v>
      </c>
      <c r="J205" s="2" t="s">
        <v>441</v>
      </c>
      <c r="K205" s="2" t="str">
        <f>VLOOKUP(J205,Equipes!A:F,6,0)</f>
        <v>Temperate</v>
      </c>
      <c r="L205" s="2">
        <f>VLOOKUP(J205,Equipes!A:C,3,0)</f>
        <v>10</v>
      </c>
      <c r="M205" s="2" t="str">
        <f t="shared" si="4"/>
        <v>Round of 16</v>
      </c>
      <c r="N205" s="2" t="s">
        <v>440</v>
      </c>
      <c r="O205" s="2">
        <f>VLOOKUP(N205,Equipes!A:C,3,0)</f>
        <v>24</v>
      </c>
      <c r="P205" s="2" t="str">
        <f t="shared" si="5"/>
        <v>Group</v>
      </c>
      <c r="Q205" s="2">
        <f t="shared" si="6"/>
        <v>-14</v>
      </c>
      <c r="R205" s="2" t="str">
        <f>VLOOKUP(J205,Equipes!A:B,2,0)</f>
        <v>Benfica</v>
      </c>
      <c r="S205" s="6" t="s">
        <v>490</v>
      </c>
      <c r="T205" s="7">
        <v>10.0</v>
      </c>
      <c r="U205" s="7" t="s">
        <v>491</v>
      </c>
      <c r="V205" s="7" t="str">
        <f>VLOOKUP(U205,Jogadores!B:C,2,0)</f>
        <v>MF</v>
      </c>
      <c r="W205" s="8">
        <f>VLOOKUP(U205,Jogadores!B:D,3,0)</f>
        <v>24.59452055</v>
      </c>
      <c r="X205" s="7">
        <v>61.0</v>
      </c>
      <c r="Y205" s="7">
        <f t="shared" ref="Y205:Y207" si="643">45+AB205</f>
        <v>95</v>
      </c>
      <c r="Z205" s="7">
        <f>VLOOKUP(A205,Jogos!A:L,3,0)</f>
        <v>53</v>
      </c>
      <c r="AA205" s="7">
        <f t="shared" si="7"/>
        <v>0</v>
      </c>
      <c r="AB205" s="7">
        <f>VLOOKUP(A205,Jogos!A:L,4,0)</f>
        <v>50</v>
      </c>
      <c r="AC205" s="7">
        <f t="shared" si="8"/>
        <v>34</v>
      </c>
      <c r="AD205" s="7"/>
      <c r="AE205" s="7"/>
      <c r="AF205" s="7">
        <f t="shared" si="9"/>
        <v>34</v>
      </c>
      <c r="AG205" s="7">
        <v>3245.4</v>
      </c>
      <c r="AH205" s="7">
        <v>1308.9</v>
      </c>
      <c r="AI205" s="7">
        <v>1410.3</v>
      </c>
      <c r="AJ205" s="7">
        <v>416.6</v>
      </c>
      <c r="AK205" s="7">
        <v>91.6</v>
      </c>
      <c r="AL205" s="7">
        <v>18.0</v>
      </c>
      <c r="AM205" s="7">
        <v>37.0</v>
      </c>
      <c r="AN205" s="7">
        <v>8.0</v>
      </c>
      <c r="AO205" s="7">
        <v>27.3</v>
      </c>
      <c r="AP205" s="9">
        <f t="shared" ref="AP205:AR205" si="640">AG205/$AF205</f>
        <v>95.45294118</v>
      </c>
      <c r="AQ205" s="9">
        <f t="shared" si="640"/>
        <v>38.49705882</v>
      </c>
      <c r="AR205" s="9">
        <f t="shared" si="640"/>
        <v>41.47941176</v>
      </c>
      <c r="AS205" s="9">
        <f t="shared" si="11"/>
        <v>79.97647059</v>
      </c>
      <c r="AT205" s="9">
        <f t="shared" ref="AT205:AV205" si="641">AJ205/$AF205</f>
        <v>12.25294118</v>
      </c>
      <c r="AU205" s="9">
        <f t="shared" si="641"/>
        <v>2.694117647</v>
      </c>
      <c r="AV205" s="9">
        <f t="shared" si="641"/>
        <v>0.5294117647</v>
      </c>
      <c r="AW205" s="9">
        <f t="shared" si="13"/>
        <v>3.223529412</v>
      </c>
      <c r="AX205" s="9">
        <f t="shared" ref="AX205:AY205" si="642">AM205/$AF205</f>
        <v>1.088235294</v>
      </c>
      <c r="AY205" s="9">
        <f t="shared" si="642"/>
        <v>0.2352941176</v>
      </c>
      <c r="AZ205" s="9">
        <f>VLOOKUP(A205,Jogos!A:BN,58,0)</f>
        <v>28.63</v>
      </c>
      <c r="BA205" s="9">
        <f>VLOOKUP(A205,Jogos!A:BN,59,0)</f>
        <v>22.83</v>
      </c>
      <c r="BB205" s="9">
        <f>VLOOKUP(A205,Jogos!A:BN,60,0)</f>
        <v>70.5</v>
      </c>
      <c r="BC205" s="9">
        <f>VLOOKUP(A205,Jogos!A:BN,61,0)</f>
        <v>28.175</v>
      </c>
      <c r="BD205" s="9">
        <f>VLOOKUP(A205,Jogos!A:BN,62,0)</f>
        <v>142.85</v>
      </c>
      <c r="BE205" s="9">
        <f>VLOOKUP(A205,Jogos!A:BN,63,0)</f>
        <v>2.34</v>
      </c>
      <c r="BF205" s="9">
        <f>VLOOKUP(A205,Jogos!A:BN,64,0)</f>
        <v>24.81</v>
      </c>
      <c r="BG205" s="9">
        <f>VLOOKUP(A205,Jogos!A:BN,65,0)</f>
        <v>42.885</v>
      </c>
      <c r="BH205" s="9">
        <f>VLOOKUP(A205,Jogos!A:BN,66,0)</f>
        <v>28.805</v>
      </c>
      <c r="BI205" s="9"/>
    </row>
    <row r="206" hidden="1">
      <c r="A206" s="2">
        <v>7.0</v>
      </c>
      <c r="B206" s="2" t="s">
        <v>121</v>
      </c>
      <c r="C206" s="2" t="s">
        <v>61</v>
      </c>
      <c r="D206" s="3">
        <v>45824.0</v>
      </c>
      <c r="E206" s="4">
        <v>0.75</v>
      </c>
      <c r="F206" s="5" t="str">
        <f>VLOOKUP(A206,Jogos!A:N,10,0)</f>
        <v>Evening</v>
      </c>
      <c r="G206" s="2" t="s">
        <v>62</v>
      </c>
      <c r="H206" s="6" t="str">
        <f>VLOOKUP(A206,Jogos!A:L,12,0)</f>
        <v>Open</v>
      </c>
      <c r="I206" s="6" t="str">
        <f>VLOOKUP(G206,'Estádios e Cidades'!A:B,2,0)</f>
        <v>Miami Gardens - Flórida</v>
      </c>
      <c r="J206" s="2" t="s">
        <v>441</v>
      </c>
      <c r="K206" s="2" t="str">
        <f>VLOOKUP(J206,Equipes!A:F,6,0)</f>
        <v>Temperate</v>
      </c>
      <c r="L206" s="2">
        <f>VLOOKUP(J206,Equipes!A:C,3,0)</f>
        <v>10</v>
      </c>
      <c r="M206" s="2" t="str">
        <f t="shared" si="4"/>
        <v>Round of 16</v>
      </c>
      <c r="N206" s="2" t="s">
        <v>440</v>
      </c>
      <c r="O206" s="2">
        <f>VLOOKUP(N206,Equipes!A:C,3,0)</f>
        <v>24</v>
      </c>
      <c r="P206" s="2" t="str">
        <f t="shared" si="5"/>
        <v>Group</v>
      </c>
      <c r="Q206" s="2">
        <f t="shared" si="6"/>
        <v>-14</v>
      </c>
      <c r="R206" s="2" t="str">
        <f>VLOOKUP(J206,Equipes!A:B,2,0)</f>
        <v>Benfica</v>
      </c>
      <c r="S206" s="6" t="s">
        <v>492</v>
      </c>
      <c r="T206" s="7">
        <v>17.0</v>
      </c>
      <c r="U206" s="7" t="s">
        <v>493</v>
      </c>
      <c r="V206" s="7" t="str">
        <f>VLOOKUP(U206,Jogadores!B:C,2,0)</f>
        <v>FW</v>
      </c>
      <c r="W206" s="8">
        <f>VLOOKUP(U206,Jogadores!B:D,3,0)</f>
        <v>26.78630137</v>
      </c>
      <c r="X206" s="7">
        <v>61.0</v>
      </c>
      <c r="Y206" s="7">
        <f t="shared" si="643"/>
        <v>95</v>
      </c>
      <c r="Z206" s="7">
        <f>VLOOKUP(A206,Jogos!A:L,3,0)</f>
        <v>53</v>
      </c>
      <c r="AA206" s="7">
        <f t="shared" si="7"/>
        <v>0</v>
      </c>
      <c r="AB206" s="7">
        <f>VLOOKUP(A206,Jogos!A:L,4,0)</f>
        <v>50</v>
      </c>
      <c r="AC206" s="7">
        <f t="shared" si="8"/>
        <v>34</v>
      </c>
      <c r="AD206" s="7"/>
      <c r="AE206" s="7"/>
      <c r="AF206" s="7">
        <f t="shared" si="9"/>
        <v>34</v>
      </c>
      <c r="AG206" s="7">
        <v>3508.9</v>
      </c>
      <c r="AH206" s="7">
        <v>1602.4</v>
      </c>
      <c r="AI206" s="7">
        <v>1232.1</v>
      </c>
      <c r="AJ206" s="7">
        <v>379.9</v>
      </c>
      <c r="AK206" s="7">
        <v>218.9</v>
      </c>
      <c r="AL206" s="7">
        <v>75.5</v>
      </c>
      <c r="AM206" s="7">
        <v>36.0</v>
      </c>
      <c r="AN206" s="7">
        <v>17.0</v>
      </c>
      <c r="AO206" s="7">
        <v>30.4</v>
      </c>
      <c r="AP206" s="9">
        <f t="shared" ref="AP206:AR206" si="644">AG206/$AF206</f>
        <v>103.2029412</v>
      </c>
      <c r="AQ206" s="9">
        <f t="shared" si="644"/>
        <v>47.12941176</v>
      </c>
      <c r="AR206" s="9">
        <f t="shared" si="644"/>
        <v>36.23823529</v>
      </c>
      <c r="AS206" s="9">
        <f t="shared" si="11"/>
        <v>83.36764706</v>
      </c>
      <c r="AT206" s="9">
        <f t="shared" ref="AT206:AV206" si="645">AJ206/$AF206</f>
        <v>11.17352941</v>
      </c>
      <c r="AU206" s="9">
        <f t="shared" si="645"/>
        <v>6.438235294</v>
      </c>
      <c r="AV206" s="9">
        <f t="shared" si="645"/>
        <v>2.220588235</v>
      </c>
      <c r="AW206" s="9">
        <f t="shared" si="13"/>
        <v>8.658823529</v>
      </c>
      <c r="AX206" s="9">
        <f t="shared" ref="AX206:AY206" si="646">AM206/$AF206</f>
        <v>1.058823529</v>
      </c>
      <c r="AY206" s="9">
        <f t="shared" si="646"/>
        <v>0.5</v>
      </c>
      <c r="AZ206" s="9">
        <f>VLOOKUP(A206,Jogos!A:BN,58,0)</f>
        <v>28.63</v>
      </c>
      <c r="BA206" s="9">
        <f>VLOOKUP(A206,Jogos!A:BN,59,0)</f>
        <v>22.83</v>
      </c>
      <c r="BB206" s="9">
        <f>VLOOKUP(A206,Jogos!A:BN,60,0)</f>
        <v>70.5</v>
      </c>
      <c r="BC206" s="9">
        <f>VLOOKUP(A206,Jogos!A:BN,61,0)</f>
        <v>28.175</v>
      </c>
      <c r="BD206" s="9">
        <f>VLOOKUP(A206,Jogos!A:BN,62,0)</f>
        <v>142.85</v>
      </c>
      <c r="BE206" s="9">
        <f>VLOOKUP(A206,Jogos!A:BN,63,0)</f>
        <v>2.34</v>
      </c>
      <c r="BF206" s="9">
        <f>VLOOKUP(A206,Jogos!A:BN,64,0)</f>
        <v>24.81</v>
      </c>
      <c r="BG206" s="9">
        <f>VLOOKUP(A206,Jogos!A:BN,65,0)</f>
        <v>42.885</v>
      </c>
      <c r="BH206" s="9">
        <f>VLOOKUP(A206,Jogos!A:BN,66,0)</f>
        <v>28.805</v>
      </c>
      <c r="BI206" s="9"/>
    </row>
    <row r="207" hidden="1">
      <c r="A207" s="2">
        <v>7.0</v>
      </c>
      <c r="B207" s="2" t="s">
        <v>121</v>
      </c>
      <c r="C207" s="2" t="s">
        <v>61</v>
      </c>
      <c r="D207" s="3">
        <v>45824.0</v>
      </c>
      <c r="E207" s="4">
        <v>0.75</v>
      </c>
      <c r="F207" s="5" t="str">
        <f>VLOOKUP(A207,Jogos!A:N,10,0)</f>
        <v>Evening</v>
      </c>
      <c r="G207" s="2" t="s">
        <v>62</v>
      </c>
      <c r="H207" s="6" t="str">
        <f>VLOOKUP(A207,Jogos!A:L,12,0)</f>
        <v>Open</v>
      </c>
      <c r="I207" s="6" t="str">
        <f>VLOOKUP(G207,'Estádios e Cidades'!A:B,2,0)</f>
        <v>Miami Gardens - Flórida</v>
      </c>
      <c r="J207" s="2" t="s">
        <v>441</v>
      </c>
      <c r="K207" s="2" t="str">
        <f>VLOOKUP(J207,Equipes!A:F,6,0)</f>
        <v>Temperate</v>
      </c>
      <c r="L207" s="2">
        <f>VLOOKUP(J207,Equipes!A:C,3,0)</f>
        <v>10</v>
      </c>
      <c r="M207" s="2" t="str">
        <f t="shared" si="4"/>
        <v>Round of 16</v>
      </c>
      <c r="N207" s="2" t="s">
        <v>440</v>
      </c>
      <c r="O207" s="2">
        <f>VLOOKUP(N207,Equipes!A:C,3,0)</f>
        <v>24</v>
      </c>
      <c r="P207" s="2" t="str">
        <f t="shared" si="5"/>
        <v>Group</v>
      </c>
      <c r="Q207" s="2">
        <f t="shared" si="6"/>
        <v>-14</v>
      </c>
      <c r="R207" s="2" t="str">
        <f>VLOOKUP(J207,Equipes!A:B,2,0)</f>
        <v>Benfica</v>
      </c>
      <c r="S207" s="6" t="s">
        <v>494</v>
      </c>
      <c r="T207" s="7">
        <v>18.0</v>
      </c>
      <c r="U207" s="7" t="s">
        <v>495</v>
      </c>
      <c r="V207" s="7" t="str">
        <f>VLOOKUP(U207,Jogadores!B:C,2,0)</f>
        <v>MF</v>
      </c>
      <c r="W207" s="8">
        <f>VLOOKUP(U207,Jogadores!B:D,3,0)</f>
        <v>25.58356164</v>
      </c>
      <c r="X207" s="7">
        <v>90.0</v>
      </c>
      <c r="Y207" s="7">
        <f t="shared" si="643"/>
        <v>95</v>
      </c>
      <c r="Z207" s="7">
        <f>VLOOKUP(A207,Jogos!A:L,3,0)</f>
        <v>53</v>
      </c>
      <c r="AA207" s="7">
        <f t="shared" si="7"/>
        <v>0</v>
      </c>
      <c r="AB207" s="7">
        <f>VLOOKUP(A207,Jogos!A:L,4,0)</f>
        <v>50</v>
      </c>
      <c r="AC207" s="7">
        <f t="shared" si="8"/>
        <v>5</v>
      </c>
      <c r="AD207" s="7"/>
      <c r="AE207" s="7"/>
      <c r="AF207" s="7">
        <f t="shared" si="9"/>
        <v>5</v>
      </c>
      <c r="AG207" s="7">
        <v>653.1</v>
      </c>
      <c r="AH207" s="7">
        <v>220.5</v>
      </c>
      <c r="AI207" s="7">
        <v>271.8</v>
      </c>
      <c r="AJ207" s="7">
        <v>128.7</v>
      </c>
      <c r="AK207" s="7">
        <v>32.1</v>
      </c>
      <c r="AL207" s="7">
        <v>10.0</v>
      </c>
      <c r="AM207" s="7">
        <v>3.0</v>
      </c>
      <c r="AN207" s="7">
        <v>24.0</v>
      </c>
      <c r="AO207" s="7"/>
      <c r="AP207" s="9">
        <f t="shared" ref="AP207:AR207" si="647">AG207/$AF207</f>
        <v>130.62</v>
      </c>
      <c r="AQ207" s="9">
        <f t="shared" si="647"/>
        <v>44.1</v>
      </c>
      <c r="AR207" s="9">
        <f t="shared" si="647"/>
        <v>54.36</v>
      </c>
      <c r="AS207" s="9">
        <f t="shared" si="11"/>
        <v>98.46</v>
      </c>
      <c r="AT207" s="9">
        <f t="shared" ref="AT207:AV207" si="648">AJ207/$AF207</f>
        <v>25.74</v>
      </c>
      <c r="AU207" s="9">
        <f t="shared" si="648"/>
        <v>6.42</v>
      </c>
      <c r="AV207" s="9">
        <f t="shared" si="648"/>
        <v>2</v>
      </c>
      <c r="AW207" s="9">
        <f t="shared" si="13"/>
        <v>8.42</v>
      </c>
      <c r="AX207" s="9">
        <f t="shared" ref="AX207:AY207" si="649">AM207/$AF207</f>
        <v>0.6</v>
      </c>
      <c r="AY207" s="9">
        <f t="shared" si="649"/>
        <v>4.8</v>
      </c>
      <c r="AZ207" s="9">
        <f>VLOOKUP(A207,Jogos!A:BN,58,0)</f>
        <v>28.63</v>
      </c>
      <c r="BA207" s="9">
        <f>VLOOKUP(A207,Jogos!A:BN,59,0)</f>
        <v>22.83</v>
      </c>
      <c r="BB207" s="9">
        <f>VLOOKUP(A207,Jogos!A:BN,60,0)</f>
        <v>70.5</v>
      </c>
      <c r="BC207" s="9">
        <f>VLOOKUP(A207,Jogos!A:BN,61,0)</f>
        <v>28.175</v>
      </c>
      <c r="BD207" s="9">
        <f>VLOOKUP(A207,Jogos!A:BN,62,0)</f>
        <v>142.85</v>
      </c>
      <c r="BE207" s="9">
        <f>VLOOKUP(A207,Jogos!A:BN,63,0)</f>
        <v>2.34</v>
      </c>
      <c r="BF207" s="9">
        <f>VLOOKUP(A207,Jogos!A:BN,64,0)</f>
        <v>24.81</v>
      </c>
      <c r="BG207" s="9">
        <f>VLOOKUP(A207,Jogos!A:BN,65,0)</f>
        <v>42.885</v>
      </c>
      <c r="BH207" s="9">
        <f>VLOOKUP(A207,Jogos!A:BN,66,0)</f>
        <v>28.805</v>
      </c>
      <c r="BI207" s="9"/>
    </row>
    <row r="208" hidden="1">
      <c r="A208" s="2">
        <v>7.0</v>
      </c>
      <c r="B208" s="2" t="s">
        <v>121</v>
      </c>
      <c r="C208" s="2" t="s">
        <v>61</v>
      </c>
      <c r="D208" s="3">
        <v>45824.0</v>
      </c>
      <c r="E208" s="4">
        <v>0.75</v>
      </c>
      <c r="F208" s="5" t="str">
        <f>VLOOKUP(A208,Jogos!A:N,10,0)</f>
        <v>Evening</v>
      </c>
      <c r="G208" s="2" t="s">
        <v>62</v>
      </c>
      <c r="H208" s="6" t="str">
        <f>VLOOKUP(A208,Jogos!A:L,12,0)</f>
        <v>Open</v>
      </c>
      <c r="I208" s="6" t="str">
        <f>VLOOKUP(G208,'Estádios e Cidades'!A:B,2,0)</f>
        <v>Miami Gardens - Flórida</v>
      </c>
      <c r="J208" s="2" t="s">
        <v>441</v>
      </c>
      <c r="K208" s="2" t="str">
        <f>VLOOKUP(J208,Equipes!A:F,6,0)</f>
        <v>Temperate</v>
      </c>
      <c r="L208" s="2">
        <f>VLOOKUP(J208,Equipes!A:C,3,0)</f>
        <v>10</v>
      </c>
      <c r="M208" s="2" t="str">
        <f t="shared" si="4"/>
        <v>Round of 16</v>
      </c>
      <c r="N208" s="2" t="s">
        <v>440</v>
      </c>
      <c r="O208" s="2">
        <f>VLOOKUP(N208,Equipes!A:C,3,0)</f>
        <v>24</v>
      </c>
      <c r="P208" s="2" t="str">
        <f t="shared" si="5"/>
        <v>Group</v>
      </c>
      <c r="Q208" s="2">
        <f t="shared" si="6"/>
        <v>-14</v>
      </c>
      <c r="R208" s="2" t="str">
        <f>VLOOKUP(J208,Equipes!A:B,2,0)</f>
        <v>Benfica</v>
      </c>
      <c r="S208" s="6" t="s">
        <v>496</v>
      </c>
      <c r="T208" s="7">
        <v>19.0</v>
      </c>
      <c r="U208" s="7" t="s">
        <v>497</v>
      </c>
      <c r="V208" s="7" t="str">
        <f>VLOOKUP(U208,Jogadores!B:C,2,0)</f>
        <v>FW</v>
      </c>
      <c r="W208" s="8">
        <f>VLOOKUP(U208,Jogadores!B:D,3,0)</f>
        <v>31.62465753</v>
      </c>
      <c r="X208" s="7">
        <v>45.0</v>
      </c>
      <c r="Y208" s="7">
        <v>70.0</v>
      </c>
      <c r="Z208" s="7">
        <f>VLOOKUP(A208,Jogos!A:L,3,0)</f>
        <v>53</v>
      </c>
      <c r="AA208" s="7">
        <f t="shared" si="7"/>
        <v>0</v>
      </c>
      <c r="AB208" s="7">
        <f>VLOOKUP(A208,Jogos!A:L,4,0)</f>
        <v>50</v>
      </c>
      <c r="AC208" s="16">
        <f>IF(X208&lt;45,if(Y208&lt;=45,0,Y208-45),if(Y208&lt;45+AB208,Y208-X208,AB208+45-X208))</f>
        <v>25</v>
      </c>
      <c r="AD208" s="7"/>
      <c r="AE208" s="7"/>
      <c r="AF208" s="7">
        <f t="shared" si="9"/>
        <v>25</v>
      </c>
      <c r="AG208" s="7">
        <v>2272.9</v>
      </c>
      <c r="AH208" s="7">
        <v>1191.8</v>
      </c>
      <c r="AI208" s="7">
        <v>723.9</v>
      </c>
      <c r="AJ208" s="7">
        <v>196.2</v>
      </c>
      <c r="AK208" s="7">
        <v>86.5</v>
      </c>
      <c r="AL208" s="7">
        <v>74.5</v>
      </c>
      <c r="AM208" s="7">
        <v>13.0</v>
      </c>
      <c r="AN208" s="7">
        <v>8.0</v>
      </c>
      <c r="AO208" s="7">
        <v>31.1</v>
      </c>
      <c r="AP208" s="9">
        <f t="shared" ref="AP208:AR208" si="650">AG208/$AF208</f>
        <v>90.916</v>
      </c>
      <c r="AQ208" s="9">
        <f t="shared" si="650"/>
        <v>47.672</v>
      </c>
      <c r="AR208" s="9">
        <f t="shared" si="650"/>
        <v>28.956</v>
      </c>
      <c r="AS208" s="9">
        <f t="shared" si="11"/>
        <v>76.628</v>
      </c>
      <c r="AT208" s="9">
        <f t="shared" ref="AT208:AV208" si="651">AJ208/$AF208</f>
        <v>7.848</v>
      </c>
      <c r="AU208" s="9">
        <f t="shared" si="651"/>
        <v>3.46</v>
      </c>
      <c r="AV208" s="9">
        <f t="shared" si="651"/>
        <v>2.98</v>
      </c>
      <c r="AW208" s="9">
        <f t="shared" si="13"/>
        <v>6.44</v>
      </c>
      <c r="AX208" s="9">
        <f t="shared" ref="AX208:AY208" si="652">AM208/$AF208</f>
        <v>0.52</v>
      </c>
      <c r="AY208" s="9">
        <f t="shared" si="652"/>
        <v>0.32</v>
      </c>
      <c r="AZ208" s="9">
        <f>VLOOKUP(A208,Jogos!A:BN,58,0)</f>
        <v>28.63</v>
      </c>
      <c r="BA208" s="9">
        <f>VLOOKUP(A208,Jogos!A:BN,59,0)</f>
        <v>22.83</v>
      </c>
      <c r="BB208" s="9">
        <f>VLOOKUP(A208,Jogos!A:BN,60,0)</f>
        <v>70.5</v>
      </c>
      <c r="BC208" s="9">
        <f>VLOOKUP(A208,Jogos!A:BN,61,0)</f>
        <v>28.175</v>
      </c>
      <c r="BD208" s="9">
        <f>VLOOKUP(A208,Jogos!A:BN,62,0)</f>
        <v>142.85</v>
      </c>
      <c r="BE208" s="9">
        <f>VLOOKUP(A208,Jogos!A:BN,63,0)</f>
        <v>2.34</v>
      </c>
      <c r="BF208" s="9">
        <f>VLOOKUP(A208,Jogos!A:BN,64,0)</f>
        <v>24.81</v>
      </c>
      <c r="BG208" s="9">
        <f>VLOOKUP(A208,Jogos!A:BN,65,0)</f>
        <v>42.885</v>
      </c>
      <c r="BH208" s="9">
        <f>VLOOKUP(A208,Jogos!A:BN,66,0)</f>
        <v>28.805</v>
      </c>
      <c r="BI208" s="9"/>
    </row>
    <row r="209" hidden="1">
      <c r="A209" s="2">
        <v>7.0</v>
      </c>
      <c r="B209" s="2" t="s">
        <v>121</v>
      </c>
      <c r="C209" s="2" t="s">
        <v>61</v>
      </c>
      <c r="D209" s="3">
        <v>45824.0</v>
      </c>
      <c r="E209" s="4">
        <v>0.75</v>
      </c>
      <c r="F209" s="5" t="str">
        <f>VLOOKUP(A209,Jogos!A:N,10,0)</f>
        <v>Evening</v>
      </c>
      <c r="G209" s="2" t="s">
        <v>62</v>
      </c>
      <c r="H209" s="6" t="str">
        <f>VLOOKUP(A209,Jogos!A:L,12,0)</f>
        <v>Open</v>
      </c>
      <c r="I209" s="6" t="str">
        <f>VLOOKUP(G209,'Estádios e Cidades'!A:B,2,0)</f>
        <v>Miami Gardens - Flórida</v>
      </c>
      <c r="J209" s="2" t="s">
        <v>441</v>
      </c>
      <c r="K209" s="2" t="str">
        <f>VLOOKUP(J209,Equipes!A:F,6,0)</f>
        <v>Temperate</v>
      </c>
      <c r="L209" s="2">
        <f>VLOOKUP(J209,Equipes!A:C,3,0)</f>
        <v>10</v>
      </c>
      <c r="M209" s="2" t="str">
        <f t="shared" si="4"/>
        <v>Round of 16</v>
      </c>
      <c r="N209" s="2" t="s">
        <v>440</v>
      </c>
      <c r="O209" s="2">
        <f>VLOOKUP(N209,Equipes!A:C,3,0)</f>
        <v>24</v>
      </c>
      <c r="P209" s="2" t="str">
        <f t="shared" si="5"/>
        <v>Group</v>
      </c>
      <c r="Q209" s="2">
        <f t="shared" si="6"/>
        <v>-14</v>
      </c>
      <c r="R209" s="2" t="str">
        <f>VLOOKUP(J209,Equipes!A:B,2,0)</f>
        <v>Benfica</v>
      </c>
      <c r="S209" s="6" t="s">
        <v>498</v>
      </c>
      <c r="T209" s="7">
        <v>25.0</v>
      </c>
      <c r="U209" s="7" t="s">
        <v>499</v>
      </c>
      <c r="V209" s="7" t="str">
        <f>VLOOKUP(U209,Jogadores!B:C,2,0)</f>
        <v>FW</v>
      </c>
      <c r="W209" s="8">
        <f>VLOOKUP(U209,Jogadores!B:D,3,0)</f>
        <v>19.50136986</v>
      </c>
      <c r="X209" s="7">
        <v>77.0</v>
      </c>
      <c r="Y209" s="7">
        <f t="shared" ref="Y209:Y214" si="656">45+AB209</f>
        <v>95</v>
      </c>
      <c r="Z209" s="7">
        <f>VLOOKUP(A209,Jogos!A:L,3,0)</f>
        <v>53</v>
      </c>
      <c r="AA209" s="7">
        <f t="shared" si="7"/>
        <v>0</v>
      </c>
      <c r="AB209" s="7">
        <f>VLOOKUP(A209,Jogos!A:L,4,0)</f>
        <v>50</v>
      </c>
      <c r="AC209" s="7">
        <f t="shared" ref="AC209:AC653" si="657">IF(X209&lt;45,if(Y209&lt;=45,0,Y209-45),AB209+45-X209)</f>
        <v>18</v>
      </c>
      <c r="AD209" s="7"/>
      <c r="AE209" s="7"/>
      <c r="AF209" s="7">
        <f t="shared" si="9"/>
        <v>18</v>
      </c>
      <c r="AG209" s="7">
        <v>1910.5</v>
      </c>
      <c r="AH209" s="7">
        <v>664.0</v>
      </c>
      <c r="AI209" s="7">
        <v>855.8</v>
      </c>
      <c r="AJ209" s="7">
        <v>281.3</v>
      </c>
      <c r="AK209" s="7">
        <v>91.3</v>
      </c>
      <c r="AL209" s="7">
        <v>18.1</v>
      </c>
      <c r="AM209" s="7">
        <v>20.0</v>
      </c>
      <c r="AN209" s="7">
        <v>8.0</v>
      </c>
      <c r="AO209" s="7">
        <v>28.2</v>
      </c>
      <c r="AP209" s="9">
        <f t="shared" ref="AP209:AR209" si="653">AG209/$AF209</f>
        <v>106.1388889</v>
      </c>
      <c r="AQ209" s="9">
        <f t="shared" si="653"/>
        <v>36.88888889</v>
      </c>
      <c r="AR209" s="9">
        <f t="shared" si="653"/>
        <v>47.54444444</v>
      </c>
      <c r="AS209" s="9">
        <f t="shared" si="11"/>
        <v>84.43333333</v>
      </c>
      <c r="AT209" s="9">
        <f t="shared" ref="AT209:AV209" si="654">AJ209/$AF209</f>
        <v>15.62777778</v>
      </c>
      <c r="AU209" s="9">
        <f t="shared" si="654"/>
        <v>5.072222222</v>
      </c>
      <c r="AV209" s="9">
        <f t="shared" si="654"/>
        <v>1.005555556</v>
      </c>
      <c r="AW209" s="9">
        <f t="shared" si="13"/>
        <v>6.077777778</v>
      </c>
      <c r="AX209" s="9">
        <f t="shared" ref="AX209:AY209" si="655">AM209/$AF209</f>
        <v>1.111111111</v>
      </c>
      <c r="AY209" s="9">
        <f t="shared" si="655"/>
        <v>0.4444444444</v>
      </c>
      <c r="AZ209" s="9">
        <f>VLOOKUP(A209,Jogos!A:BN,58,0)</f>
        <v>28.63</v>
      </c>
      <c r="BA209" s="9">
        <f>VLOOKUP(A209,Jogos!A:BN,59,0)</f>
        <v>22.83</v>
      </c>
      <c r="BB209" s="9">
        <f>VLOOKUP(A209,Jogos!A:BN,60,0)</f>
        <v>70.5</v>
      </c>
      <c r="BC209" s="9">
        <f>VLOOKUP(A209,Jogos!A:BN,61,0)</f>
        <v>28.175</v>
      </c>
      <c r="BD209" s="9">
        <f>VLOOKUP(A209,Jogos!A:BN,62,0)</f>
        <v>142.85</v>
      </c>
      <c r="BE209" s="9">
        <f>VLOOKUP(A209,Jogos!A:BN,63,0)</f>
        <v>2.34</v>
      </c>
      <c r="BF209" s="9">
        <f>VLOOKUP(A209,Jogos!A:BN,64,0)</f>
        <v>24.81</v>
      </c>
      <c r="BG209" s="9">
        <f>VLOOKUP(A209,Jogos!A:BN,65,0)</f>
        <v>42.885</v>
      </c>
      <c r="BH209" s="9">
        <f>VLOOKUP(A209,Jogos!A:BN,66,0)</f>
        <v>28.805</v>
      </c>
      <c r="BI209" s="9"/>
    </row>
    <row r="210" hidden="1">
      <c r="A210" s="17">
        <v>8.0</v>
      </c>
      <c r="B210" s="11" t="s">
        <v>375</v>
      </c>
      <c r="C210" s="2" t="s">
        <v>61</v>
      </c>
      <c r="D210" s="18">
        <v>45824.0</v>
      </c>
      <c r="E210" s="19">
        <v>0.875</v>
      </c>
      <c r="F210" s="5" t="str">
        <f>VLOOKUP(A210,Jogos!A:N,10,0)</f>
        <v>Evening</v>
      </c>
      <c r="G210" s="15" t="s">
        <v>500</v>
      </c>
      <c r="H210" s="6" t="str">
        <f>VLOOKUP(A210,Jogos!A:L,12,0)</f>
        <v>Open</v>
      </c>
      <c r="I210" s="6" t="str">
        <f>VLOOKUP(G210,'Estádios e Cidades'!A:B,2,0)</f>
        <v>Philadelphia</v>
      </c>
      <c r="J210" s="15" t="s">
        <v>501</v>
      </c>
      <c r="K210" s="2" t="str">
        <f>VLOOKUP(J210,Equipes!A:F,6,0)</f>
        <v>Tropical</v>
      </c>
      <c r="L210" s="2">
        <f>VLOOKUP(J210,Equipes!A:C,3,0)</f>
        <v>11</v>
      </c>
      <c r="M210" s="2" t="str">
        <f t="shared" si="4"/>
        <v>Round of 16</v>
      </c>
      <c r="N210" s="15" t="s">
        <v>502</v>
      </c>
      <c r="O210" s="2">
        <f>VLOOKUP(N210,Equipes!A:C,3,0)</f>
        <v>21</v>
      </c>
      <c r="P210" s="2" t="str">
        <f t="shared" si="5"/>
        <v>Group</v>
      </c>
      <c r="Q210" s="2">
        <f t="shared" si="6"/>
        <v>-10</v>
      </c>
      <c r="R210" s="2" t="str">
        <f>VLOOKUP(J210,Equipes!A:B,2,0)</f>
        <v>Flamengo</v>
      </c>
      <c r="S210" s="6" t="s">
        <v>503</v>
      </c>
      <c r="T210" s="7">
        <v>2.0</v>
      </c>
      <c r="U210" s="7" t="s">
        <v>504</v>
      </c>
      <c r="V210" s="7" t="str">
        <f>VLOOKUP(U210,Jogadores!B:C,2,0)</f>
        <v>DF</v>
      </c>
      <c r="W210" s="8">
        <f>VLOOKUP(U210,Jogadores!B:D,3,0)</f>
        <v>32.36712329</v>
      </c>
      <c r="X210" s="7">
        <v>0.0</v>
      </c>
      <c r="Y210" s="7">
        <f t="shared" si="656"/>
        <v>93</v>
      </c>
      <c r="Z210" s="7">
        <f>VLOOKUP(A210,Jogos!A:L,3,0)</f>
        <v>46</v>
      </c>
      <c r="AA210" s="7">
        <f t="shared" si="7"/>
        <v>46</v>
      </c>
      <c r="AB210" s="7">
        <f>VLOOKUP(A210,Jogos!A:L,4,0)</f>
        <v>48</v>
      </c>
      <c r="AC210" s="7">
        <f t="shared" si="657"/>
        <v>48</v>
      </c>
      <c r="AD210" s="7"/>
      <c r="AE210" s="7"/>
      <c r="AF210" s="7">
        <f t="shared" si="9"/>
        <v>94</v>
      </c>
      <c r="AG210" s="7">
        <v>10408.7</v>
      </c>
      <c r="AH210" s="7">
        <v>3797.9</v>
      </c>
      <c r="AI210" s="7">
        <v>4106.6</v>
      </c>
      <c r="AJ210" s="7">
        <v>1360.3</v>
      </c>
      <c r="AK210" s="7">
        <v>829.4</v>
      </c>
      <c r="AL210" s="7">
        <v>314.5</v>
      </c>
      <c r="AM210" s="7">
        <v>127.0</v>
      </c>
      <c r="AN210" s="7">
        <v>69.0</v>
      </c>
      <c r="AO210" s="7">
        <v>32.1</v>
      </c>
      <c r="AP210" s="9">
        <f t="shared" ref="AP210:AR210" si="658">AG210/$AF210</f>
        <v>110.7308511</v>
      </c>
      <c r="AQ210" s="9">
        <f t="shared" si="658"/>
        <v>40.40319149</v>
      </c>
      <c r="AR210" s="9">
        <f t="shared" si="658"/>
        <v>43.68723404</v>
      </c>
      <c r="AS210" s="9">
        <f t="shared" si="11"/>
        <v>84.09042553</v>
      </c>
      <c r="AT210" s="9">
        <f t="shared" ref="AT210:AV210" si="659">AJ210/$AF210</f>
        <v>14.4712766</v>
      </c>
      <c r="AU210" s="9">
        <f t="shared" si="659"/>
        <v>8.823404255</v>
      </c>
      <c r="AV210" s="9">
        <f t="shared" si="659"/>
        <v>3.345744681</v>
      </c>
      <c r="AW210" s="9">
        <f t="shared" si="13"/>
        <v>12.16914894</v>
      </c>
      <c r="AX210" s="9">
        <f t="shared" ref="AX210:AY210" si="660">AM210/$AF210</f>
        <v>1.35106383</v>
      </c>
      <c r="AY210" s="9">
        <f t="shared" si="660"/>
        <v>0.7340425532</v>
      </c>
      <c r="AZ210" s="9">
        <f>VLOOKUP(A210,Jogos!A:BN,58,0)</f>
        <v>17.715</v>
      </c>
      <c r="BA210" s="9">
        <f>VLOOKUP(A210,Jogos!A:BN,59,0)</f>
        <v>16.715</v>
      </c>
      <c r="BB210" s="9">
        <f>VLOOKUP(A210,Jogos!A:BN,60,0)</f>
        <v>93</v>
      </c>
      <c r="BC210" s="9">
        <f>VLOOKUP(A210,Jogos!A:BN,61,0)</f>
        <v>15.095</v>
      </c>
      <c r="BD210" s="9">
        <f>VLOOKUP(A210,Jogos!A:BN,62,0)</f>
        <v>0</v>
      </c>
      <c r="BE210" s="9">
        <f>VLOOKUP(A210,Jogos!A:BN,63,0)</f>
        <v>1.445</v>
      </c>
      <c r="BF210" s="9">
        <f>VLOOKUP(A210,Jogos!A:BN,64,0)</f>
        <v>18.245</v>
      </c>
      <c r="BG210" s="9">
        <f>VLOOKUP(A210,Jogos!A:BN,65,0)</f>
        <v>30.715</v>
      </c>
      <c r="BH210" s="9">
        <f>VLOOKUP(A210,Jogos!A:BN,66,0)</f>
        <v>20.69</v>
      </c>
      <c r="BI210" s="9"/>
    </row>
    <row r="211" hidden="1">
      <c r="A211" s="17">
        <v>8.0</v>
      </c>
      <c r="B211" s="11" t="s">
        <v>375</v>
      </c>
      <c r="C211" s="2" t="s">
        <v>61</v>
      </c>
      <c r="D211" s="18">
        <v>45824.0</v>
      </c>
      <c r="E211" s="19">
        <v>0.875</v>
      </c>
      <c r="F211" s="5" t="str">
        <f>VLOOKUP(A211,Jogos!A:N,10,0)</f>
        <v>Evening</v>
      </c>
      <c r="G211" s="15" t="s">
        <v>500</v>
      </c>
      <c r="H211" s="6" t="str">
        <f>VLOOKUP(A211,Jogos!A:L,12,0)</f>
        <v>Open</v>
      </c>
      <c r="I211" s="6" t="str">
        <f>VLOOKUP(G211,'Estádios e Cidades'!A:B,2,0)</f>
        <v>Philadelphia</v>
      </c>
      <c r="J211" s="15" t="s">
        <v>501</v>
      </c>
      <c r="K211" s="2" t="str">
        <f>VLOOKUP(J211,Equipes!A:F,6,0)</f>
        <v>Tropical</v>
      </c>
      <c r="L211" s="2">
        <f>VLOOKUP(J211,Equipes!A:C,3,0)</f>
        <v>11</v>
      </c>
      <c r="M211" s="2" t="str">
        <f t="shared" si="4"/>
        <v>Round of 16</v>
      </c>
      <c r="N211" s="15" t="s">
        <v>502</v>
      </c>
      <c r="O211" s="2">
        <f>VLOOKUP(N211,Equipes!A:C,3,0)</f>
        <v>21</v>
      </c>
      <c r="P211" s="2" t="str">
        <f t="shared" si="5"/>
        <v>Group</v>
      </c>
      <c r="Q211" s="2">
        <f t="shared" si="6"/>
        <v>-10</v>
      </c>
      <c r="R211" s="2" t="str">
        <f>VLOOKUP(J211,Equipes!A:B,2,0)</f>
        <v>Flamengo</v>
      </c>
      <c r="S211" s="6" t="s">
        <v>505</v>
      </c>
      <c r="T211" s="7">
        <v>3.0</v>
      </c>
      <c r="U211" s="7" t="s">
        <v>506</v>
      </c>
      <c r="V211" s="7" t="str">
        <f>VLOOKUP(U211,Jogadores!B:C,2,0)</f>
        <v>DF</v>
      </c>
      <c r="W211" s="8">
        <f>VLOOKUP(U211,Jogadores!B:D,3,0)</f>
        <v>29.58630137</v>
      </c>
      <c r="X211" s="7">
        <v>0.0</v>
      </c>
      <c r="Y211" s="7">
        <f t="shared" si="656"/>
        <v>93</v>
      </c>
      <c r="Z211" s="7">
        <f>VLOOKUP(A211,Jogos!A:L,3,0)</f>
        <v>46</v>
      </c>
      <c r="AA211" s="7">
        <f t="shared" si="7"/>
        <v>46</v>
      </c>
      <c r="AB211" s="7">
        <f>VLOOKUP(A211,Jogos!A:L,4,0)</f>
        <v>48</v>
      </c>
      <c r="AC211" s="7">
        <f t="shared" si="657"/>
        <v>48</v>
      </c>
      <c r="AD211" s="7"/>
      <c r="AE211" s="7"/>
      <c r="AF211" s="7">
        <f t="shared" si="9"/>
        <v>94</v>
      </c>
      <c r="AG211" s="7">
        <v>8864.1</v>
      </c>
      <c r="AH211" s="7">
        <v>3830.5</v>
      </c>
      <c r="AI211" s="7">
        <v>3504.3</v>
      </c>
      <c r="AJ211" s="7">
        <v>936.0</v>
      </c>
      <c r="AK211" s="7">
        <v>440.3</v>
      </c>
      <c r="AL211" s="7">
        <v>153.0</v>
      </c>
      <c r="AM211" s="7">
        <v>74.0</v>
      </c>
      <c r="AN211" s="7">
        <v>34.0</v>
      </c>
      <c r="AO211" s="7">
        <v>31.2</v>
      </c>
      <c r="AP211" s="9">
        <f t="shared" ref="AP211:AR211" si="661">AG211/$AF211</f>
        <v>94.29893617</v>
      </c>
      <c r="AQ211" s="9">
        <f t="shared" si="661"/>
        <v>40.75</v>
      </c>
      <c r="AR211" s="9">
        <f t="shared" si="661"/>
        <v>37.27978723</v>
      </c>
      <c r="AS211" s="9">
        <f t="shared" si="11"/>
        <v>78.02978723</v>
      </c>
      <c r="AT211" s="9">
        <f t="shared" ref="AT211:AV211" si="662">AJ211/$AF211</f>
        <v>9.957446809</v>
      </c>
      <c r="AU211" s="9">
        <f t="shared" si="662"/>
        <v>4.684042553</v>
      </c>
      <c r="AV211" s="9">
        <f t="shared" si="662"/>
        <v>1.627659574</v>
      </c>
      <c r="AW211" s="9">
        <f t="shared" si="13"/>
        <v>6.311702128</v>
      </c>
      <c r="AX211" s="9">
        <f t="shared" ref="AX211:AY211" si="663">AM211/$AF211</f>
        <v>0.7872340426</v>
      </c>
      <c r="AY211" s="9">
        <f t="shared" si="663"/>
        <v>0.3617021277</v>
      </c>
      <c r="AZ211" s="9">
        <f>VLOOKUP(A211,Jogos!A:BN,58,0)</f>
        <v>17.715</v>
      </c>
      <c r="BA211" s="9">
        <f>VLOOKUP(A211,Jogos!A:BN,59,0)</f>
        <v>16.715</v>
      </c>
      <c r="BB211" s="9">
        <f>VLOOKUP(A211,Jogos!A:BN,60,0)</f>
        <v>93</v>
      </c>
      <c r="BC211" s="9">
        <f>VLOOKUP(A211,Jogos!A:BN,61,0)</f>
        <v>15.095</v>
      </c>
      <c r="BD211" s="9">
        <f>VLOOKUP(A211,Jogos!A:BN,62,0)</f>
        <v>0</v>
      </c>
      <c r="BE211" s="9">
        <f>VLOOKUP(A211,Jogos!A:BN,63,0)</f>
        <v>1.445</v>
      </c>
      <c r="BF211" s="9">
        <f>VLOOKUP(A211,Jogos!A:BN,64,0)</f>
        <v>18.245</v>
      </c>
      <c r="BG211" s="9">
        <f>VLOOKUP(A211,Jogos!A:BN,65,0)</f>
        <v>30.715</v>
      </c>
      <c r="BH211" s="9">
        <f>VLOOKUP(A211,Jogos!A:BN,66,0)</f>
        <v>20.69</v>
      </c>
      <c r="BI211" s="9"/>
    </row>
    <row r="212" hidden="1">
      <c r="A212" s="17">
        <v>8.0</v>
      </c>
      <c r="B212" s="11" t="s">
        <v>375</v>
      </c>
      <c r="C212" s="2" t="s">
        <v>61</v>
      </c>
      <c r="D212" s="18">
        <v>45824.0</v>
      </c>
      <c r="E212" s="19">
        <v>0.875</v>
      </c>
      <c r="F212" s="5" t="str">
        <f>VLOOKUP(A212,Jogos!A:N,10,0)</f>
        <v>Evening</v>
      </c>
      <c r="G212" s="15" t="s">
        <v>500</v>
      </c>
      <c r="H212" s="6" t="str">
        <f>VLOOKUP(A212,Jogos!A:L,12,0)</f>
        <v>Open</v>
      </c>
      <c r="I212" s="6" t="str">
        <f>VLOOKUP(G212,'Estádios e Cidades'!A:B,2,0)</f>
        <v>Philadelphia</v>
      </c>
      <c r="J212" s="15" t="s">
        <v>501</v>
      </c>
      <c r="K212" s="2" t="str">
        <f>VLOOKUP(J212,Equipes!A:F,6,0)</f>
        <v>Tropical</v>
      </c>
      <c r="L212" s="2">
        <f>VLOOKUP(J212,Equipes!A:C,3,0)</f>
        <v>11</v>
      </c>
      <c r="M212" s="2" t="str">
        <f t="shared" si="4"/>
        <v>Round of 16</v>
      </c>
      <c r="N212" s="15" t="s">
        <v>502</v>
      </c>
      <c r="O212" s="2">
        <f>VLOOKUP(N212,Equipes!A:C,3,0)</f>
        <v>21</v>
      </c>
      <c r="P212" s="2" t="str">
        <f t="shared" si="5"/>
        <v>Group</v>
      </c>
      <c r="Q212" s="2">
        <f t="shared" si="6"/>
        <v>-10</v>
      </c>
      <c r="R212" s="2" t="str">
        <f>VLOOKUP(J212,Equipes!A:B,2,0)</f>
        <v>Flamengo</v>
      </c>
      <c r="S212" s="6" t="s">
        <v>507</v>
      </c>
      <c r="T212" s="7">
        <v>4.0</v>
      </c>
      <c r="U212" s="7" t="s">
        <v>508</v>
      </c>
      <c r="V212" s="7" t="str">
        <f>VLOOKUP(U212,Jogadores!B:C,2,0)</f>
        <v>DF</v>
      </c>
      <c r="W212" s="8">
        <f>VLOOKUP(U212,Jogadores!B:D,3,0)</f>
        <v>29.50958904</v>
      </c>
      <c r="X212" s="7">
        <v>0.0</v>
      </c>
      <c r="Y212" s="7">
        <f t="shared" si="656"/>
        <v>93</v>
      </c>
      <c r="Z212" s="7">
        <f>VLOOKUP(A212,Jogos!A:L,3,0)</f>
        <v>46</v>
      </c>
      <c r="AA212" s="7">
        <f t="shared" si="7"/>
        <v>46</v>
      </c>
      <c r="AB212" s="7">
        <f>VLOOKUP(A212,Jogos!A:L,4,0)</f>
        <v>48</v>
      </c>
      <c r="AC212" s="7">
        <f t="shared" si="657"/>
        <v>48</v>
      </c>
      <c r="AD212" s="7"/>
      <c r="AE212" s="7"/>
      <c r="AF212" s="7">
        <f t="shared" si="9"/>
        <v>94</v>
      </c>
      <c r="AG212" s="7">
        <v>9701.2</v>
      </c>
      <c r="AH212" s="7">
        <v>3740.7</v>
      </c>
      <c r="AI212" s="7">
        <v>4097.2</v>
      </c>
      <c r="AJ212" s="7">
        <v>1181.8</v>
      </c>
      <c r="AK212" s="7">
        <v>438.7</v>
      </c>
      <c r="AL212" s="7">
        <v>242.7</v>
      </c>
      <c r="AM212" s="7">
        <v>97.0</v>
      </c>
      <c r="AN212" s="7">
        <v>36.0</v>
      </c>
      <c r="AO212" s="7">
        <v>31.2</v>
      </c>
      <c r="AP212" s="9">
        <f t="shared" ref="AP212:AR212" si="664">AG212/$AF212</f>
        <v>103.2042553</v>
      </c>
      <c r="AQ212" s="9">
        <f t="shared" si="664"/>
        <v>39.79468085</v>
      </c>
      <c r="AR212" s="9">
        <f t="shared" si="664"/>
        <v>43.58723404</v>
      </c>
      <c r="AS212" s="9">
        <f t="shared" si="11"/>
        <v>83.38191489</v>
      </c>
      <c r="AT212" s="9">
        <f t="shared" ref="AT212:AV212" si="665">AJ212/$AF212</f>
        <v>12.57234043</v>
      </c>
      <c r="AU212" s="9">
        <f t="shared" si="665"/>
        <v>4.667021277</v>
      </c>
      <c r="AV212" s="9">
        <f t="shared" si="665"/>
        <v>2.581914894</v>
      </c>
      <c r="AW212" s="9">
        <f t="shared" si="13"/>
        <v>7.24893617</v>
      </c>
      <c r="AX212" s="9">
        <f t="shared" ref="AX212:AY212" si="666">AM212/$AF212</f>
        <v>1.031914894</v>
      </c>
      <c r="AY212" s="9">
        <f t="shared" si="666"/>
        <v>0.3829787234</v>
      </c>
      <c r="AZ212" s="9">
        <f>VLOOKUP(A212,Jogos!A:BN,58,0)</f>
        <v>17.715</v>
      </c>
      <c r="BA212" s="9">
        <f>VLOOKUP(A212,Jogos!A:BN,59,0)</f>
        <v>16.715</v>
      </c>
      <c r="BB212" s="9">
        <f>VLOOKUP(A212,Jogos!A:BN,60,0)</f>
        <v>93</v>
      </c>
      <c r="BC212" s="9">
        <f>VLOOKUP(A212,Jogos!A:BN,61,0)</f>
        <v>15.095</v>
      </c>
      <c r="BD212" s="9">
        <f>VLOOKUP(A212,Jogos!A:BN,62,0)</f>
        <v>0</v>
      </c>
      <c r="BE212" s="9">
        <f>VLOOKUP(A212,Jogos!A:BN,63,0)</f>
        <v>1.445</v>
      </c>
      <c r="BF212" s="9">
        <f>VLOOKUP(A212,Jogos!A:BN,64,0)</f>
        <v>18.245</v>
      </c>
      <c r="BG212" s="9">
        <f>VLOOKUP(A212,Jogos!A:BN,65,0)</f>
        <v>30.715</v>
      </c>
      <c r="BH212" s="9">
        <f>VLOOKUP(A212,Jogos!A:BN,66,0)</f>
        <v>20.69</v>
      </c>
      <c r="BI212" s="9"/>
    </row>
    <row r="213" hidden="1">
      <c r="A213" s="17">
        <v>8.0</v>
      </c>
      <c r="B213" s="11" t="s">
        <v>375</v>
      </c>
      <c r="C213" s="2" t="s">
        <v>61</v>
      </c>
      <c r="D213" s="18">
        <v>45824.0</v>
      </c>
      <c r="E213" s="19">
        <v>0.875</v>
      </c>
      <c r="F213" s="5" t="str">
        <f>VLOOKUP(A213,Jogos!A:N,10,0)</f>
        <v>Evening</v>
      </c>
      <c r="G213" s="15" t="s">
        <v>500</v>
      </c>
      <c r="H213" s="6" t="str">
        <f>VLOOKUP(A213,Jogos!A:L,12,0)</f>
        <v>Open</v>
      </c>
      <c r="I213" s="6" t="str">
        <f>VLOOKUP(G213,'Estádios e Cidades'!A:B,2,0)</f>
        <v>Philadelphia</v>
      </c>
      <c r="J213" s="15" t="s">
        <v>501</v>
      </c>
      <c r="K213" s="2" t="str">
        <f>VLOOKUP(J213,Equipes!A:F,6,0)</f>
        <v>Tropical</v>
      </c>
      <c r="L213" s="2">
        <f>VLOOKUP(J213,Equipes!A:C,3,0)</f>
        <v>11</v>
      </c>
      <c r="M213" s="2" t="str">
        <f t="shared" si="4"/>
        <v>Round of 16</v>
      </c>
      <c r="N213" s="15" t="s">
        <v>502</v>
      </c>
      <c r="O213" s="2">
        <f>VLOOKUP(N213,Equipes!A:C,3,0)</f>
        <v>21</v>
      </c>
      <c r="P213" s="2" t="str">
        <f t="shared" si="5"/>
        <v>Group</v>
      </c>
      <c r="Q213" s="2">
        <f t="shared" si="6"/>
        <v>-10</v>
      </c>
      <c r="R213" s="2" t="str">
        <f>VLOOKUP(J213,Equipes!A:B,2,0)</f>
        <v>Flamengo</v>
      </c>
      <c r="S213" s="6" t="s">
        <v>509</v>
      </c>
      <c r="T213" s="7">
        <v>5.0</v>
      </c>
      <c r="U213" s="7" t="s">
        <v>510</v>
      </c>
      <c r="V213" s="7" t="str">
        <f>VLOOKUP(U213,Jogadores!B:C,2,0)</f>
        <v>MF</v>
      </c>
      <c r="W213" s="8">
        <f>VLOOKUP(U213,Jogadores!B:D,3,0)</f>
        <v>31.55342466</v>
      </c>
      <c r="X213" s="7">
        <v>0.0</v>
      </c>
      <c r="Y213" s="7">
        <f t="shared" si="656"/>
        <v>93</v>
      </c>
      <c r="Z213" s="7">
        <f>VLOOKUP(A213,Jogos!A:L,3,0)</f>
        <v>46</v>
      </c>
      <c r="AA213" s="7">
        <f t="shared" si="7"/>
        <v>46</v>
      </c>
      <c r="AB213" s="7">
        <f>VLOOKUP(A213,Jogos!A:L,4,0)</f>
        <v>48</v>
      </c>
      <c r="AC213" s="7">
        <f t="shared" si="657"/>
        <v>48</v>
      </c>
      <c r="AD213" s="7"/>
      <c r="AE213" s="7"/>
      <c r="AF213" s="7">
        <f t="shared" si="9"/>
        <v>94</v>
      </c>
      <c r="AG213" s="7">
        <v>11108.5</v>
      </c>
      <c r="AH213" s="7">
        <v>3088.2</v>
      </c>
      <c r="AI213" s="7">
        <v>5699.9</v>
      </c>
      <c r="AJ213" s="7">
        <v>1733.0</v>
      </c>
      <c r="AK213" s="7">
        <v>452.0</v>
      </c>
      <c r="AL213" s="7">
        <v>135.3</v>
      </c>
      <c r="AM213" s="7">
        <v>159.0</v>
      </c>
      <c r="AN213" s="7">
        <v>36.0</v>
      </c>
      <c r="AO213" s="7">
        <v>30.4</v>
      </c>
      <c r="AP213" s="9">
        <f t="shared" ref="AP213:AR213" si="667">AG213/$AF213</f>
        <v>118.1755319</v>
      </c>
      <c r="AQ213" s="9">
        <f t="shared" si="667"/>
        <v>32.85319149</v>
      </c>
      <c r="AR213" s="9">
        <f t="shared" si="667"/>
        <v>60.63723404</v>
      </c>
      <c r="AS213" s="9">
        <f t="shared" si="11"/>
        <v>93.49042553</v>
      </c>
      <c r="AT213" s="9">
        <f t="shared" ref="AT213:AV213" si="668">AJ213/$AF213</f>
        <v>18.43617021</v>
      </c>
      <c r="AU213" s="9">
        <f t="shared" si="668"/>
        <v>4.808510638</v>
      </c>
      <c r="AV213" s="9">
        <f t="shared" si="668"/>
        <v>1.439361702</v>
      </c>
      <c r="AW213" s="9">
        <f t="shared" si="13"/>
        <v>6.24787234</v>
      </c>
      <c r="AX213" s="9">
        <f t="shared" ref="AX213:AY213" si="669">AM213/$AF213</f>
        <v>1.691489362</v>
      </c>
      <c r="AY213" s="9">
        <f t="shared" si="669"/>
        <v>0.3829787234</v>
      </c>
      <c r="AZ213" s="9">
        <f>VLOOKUP(A213,Jogos!A:BN,58,0)</f>
        <v>17.715</v>
      </c>
      <c r="BA213" s="9">
        <f>VLOOKUP(A213,Jogos!A:BN,59,0)</f>
        <v>16.715</v>
      </c>
      <c r="BB213" s="9">
        <f>VLOOKUP(A213,Jogos!A:BN,60,0)</f>
        <v>93</v>
      </c>
      <c r="BC213" s="9">
        <f>VLOOKUP(A213,Jogos!A:BN,61,0)</f>
        <v>15.095</v>
      </c>
      <c r="BD213" s="9">
        <f>VLOOKUP(A213,Jogos!A:BN,62,0)</f>
        <v>0</v>
      </c>
      <c r="BE213" s="9">
        <f>VLOOKUP(A213,Jogos!A:BN,63,0)</f>
        <v>1.445</v>
      </c>
      <c r="BF213" s="9">
        <f>VLOOKUP(A213,Jogos!A:BN,64,0)</f>
        <v>18.245</v>
      </c>
      <c r="BG213" s="9">
        <f>VLOOKUP(A213,Jogos!A:BN,65,0)</f>
        <v>30.715</v>
      </c>
      <c r="BH213" s="9">
        <f>VLOOKUP(A213,Jogos!A:BN,66,0)</f>
        <v>20.69</v>
      </c>
      <c r="BI213" s="9"/>
    </row>
    <row r="214" hidden="1">
      <c r="A214" s="17">
        <v>8.0</v>
      </c>
      <c r="B214" s="11" t="s">
        <v>375</v>
      </c>
      <c r="C214" s="2" t="s">
        <v>61</v>
      </c>
      <c r="D214" s="18">
        <v>45824.0</v>
      </c>
      <c r="E214" s="19">
        <v>0.875</v>
      </c>
      <c r="F214" s="5" t="str">
        <f>VLOOKUP(A214,Jogos!A:N,10,0)</f>
        <v>Evening</v>
      </c>
      <c r="G214" s="15" t="s">
        <v>500</v>
      </c>
      <c r="H214" s="6" t="str">
        <f>VLOOKUP(A214,Jogos!A:L,12,0)</f>
        <v>Open</v>
      </c>
      <c r="I214" s="6" t="str">
        <f>VLOOKUP(G214,'Estádios e Cidades'!A:B,2,0)</f>
        <v>Philadelphia</v>
      </c>
      <c r="J214" s="15" t="s">
        <v>501</v>
      </c>
      <c r="K214" s="2" t="str">
        <f>VLOOKUP(J214,Equipes!A:F,6,0)</f>
        <v>Tropical</v>
      </c>
      <c r="L214" s="2">
        <f>VLOOKUP(J214,Equipes!A:C,3,0)</f>
        <v>11</v>
      </c>
      <c r="M214" s="2" t="str">
        <f t="shared" si="4"/>
        <v>Round of 16</v>
      </c>
      <c r="N214" s="15" t="s">
        <v>502</v>
      </c>
      <c r="O214" s="2">
        <f>VLOOKUP(N214,Equipes!A:C,3,0)</f>
        <v>21</v>
      </c>
      <c r="P214" s="2" t="str">
        <f t="shared" si="5"/>
        <v>Group</v>
      </c>
      <c r="Q214" s="2">
        <f t="shared" si="6"/>
        <v>-10</v>
      </c>
      <c r="R214" s="2" t="str">
        <f>VLOOKUP(J214,Equipes!A:B,2,0)</f>
        <v>Flamengo</v>
      </c>
      <c r="S214" s="6" t="s">
        <v>511</v>
      </c>
      <c r="T214" s="7">
        <v>6.0</v>
      </c>
      <c r="U214" s="7" t="s">
        <v>512</v>
      </c>
      <c r="V214" s="7" t="str">
        <f>VLOOKUP(U214,Jogadores!B:C,2,0)</f>
        <v>DF</v>
      </c>
      <c r="W214" s="8">
        <f>VLOOKUP(U214,Jogadores!B:D,3,0)</f>
        <v>28.1260274</v>
      </c>
      <c r="X214" s="7">
        <v>0.0</v>
      </c>
      <c r="Y214" s="7">
        <f t="shared" si="656"/>
        <v>93</v>
      </c>
      <c r="Z214" s="7">
        <f>VLOOKUP(A214,Jogos!A:L,3,0)</f>
        <v>46</v>
      </c>
      <c r="AA214" s="7">
        <f t="shared" si="7"/>
        <v>46</v>
      </c>
      <c r="AB214" s="7">
        <f>VLOOKUP(A214,Jogos!A:L,4,0)</f>
        <v>48</v>
      </c>
      <c r="AC214" s="7">
        <f t="shared" si="657"/>
        <v>48</v>
      </c>
      <c r="AD214" s="7"/>
      <c r="AE214" s="7"/>
      <c r="AF214" s="7">
        <f t="shared" si="9"/>
        <v>94</v>
      </c>
      <c r="AG214" s="7">
        <v>10383.0</v>
      </c>
      <c r="AH214" s="7">
        <v>3839.0</v>
      </c>
      <c r="AI214" s="7">
        <v>4260.9</v>
      </c>
      <c r="AJ214" s="7">
        <v>1268.9</v>
      </c>
      <c r="AK214" s="7">
        <v>708.8</v>
      </c>
      <c r="AL214" s="7">
        <v>305.4</v>
      </c>
      <c r="AM214" s="7">
        <v>111.0</v>
      </c>
      <c r="AN214" s="7">
        <v>59.0</v>
      </c>
      <c r="AO214" s="7">
        <v>34.8</v>
      </c>
      <c r="AP214" s="9">
        <f t="shared" ref="AP214:AR214" si="670">AG214/$AF214</f>
        <v>110.4574468</v>
      </c>
      <c r="AQ214" s="9">
        <f t="shared" si="670"/>
        <v>40.84042553</v>
      </c>
      <c r="AR214" s="9">
        <f t="shared" si="670"/>
        <v>45.3287234</v>
      </c>
      <c r="AS214" s="9">
        <f t="shared" si="11"/>
        <v>86.16914894</v>
      </c>
      <c r="AT214" s="9">
        <f t="shared" ref="AT214:AV214" si="671">AJ214/$AF214</f>
        <v>13.49893617</v>
      </c>
      <c r="AU214" s="9">
        <f t="shared" si="671"/>
        <v>7.540425532</v>
      </c>
      <c r="AV214" s="9">
        <f t="shared" si="671"/>
        <v>3.24893617</v>
      </c>
      <c r="AW214" s="9">
        <f t="shared" si="13"/>
        <v>10.7893617</v>
      </c>
      <c r="AX214" s="9">
        <f t="shared" ref="AX214:AY214" si="672">AM214/$AF214</f>
        <v>1.180851064</v>
      </c>
      <c r="AY214" s="9">
        <f t="shared" si="672"/>
        <v>0.6276595745</v>
      </c>
      <c r="AZ214" s="9">
        <f>VLOOKUP(A214,Jogos!A:BN,58,0)</f>
        <v>17.715</v>
      </c>
      <c r="BA214" s="9">
        <f>VLOOKUP(A214,Jogos!A:BN,59,0)</f>
        <v>16.715</v>
      </c>
      <c r="BB214" s="9">
        <f>VLOOKUP(A214,Jogos!A:BN,60,0)</f>
        <v>93</v>
      </c>
      <c r="BC214" s="9">
        <f>VLOOKUP(A214,Jogos!A:BN,61,0)</f>
        <v>15.095</v>
      </c>
      <c r="BD214" s="9">
        <f>VLOOKUP(A214,Jogos!A:BN,62,0)</f>
        <v>0</v>
      </c>
      <c r="BE214" s="9">
        <f>VLOOKUP(A214,Jogos!A:BN,63,0)</f>
        <v>1.445</v>
      </c>
      <c r="BF214" s="9">
        <f>VLOOKUP(A214,Jogos!A:BN,64,0)</f>
        <v>18.245</v>
      </c>
      <c r="BG214" s="9">
        <f>VLOOKUP(A214,Jogos!A:BN,65,0)</f>
        <v>30.715</v>
      </c>
      <c r="BH214" s="9">
        <f>VLOOKUP(A214,Jogos!A:BN,66,0)</f>
        <v>20.69</v>
      </c>
      <c r="BI214" s="9"/>
    </row>
    <row r="215" hidden="1">
      <c r="A215" s="17">
        <v>8.0</v>
      </c>
      <c r="B215" s="11" t="s">
        <v>375</v>
      </c>
      <c r="C215" s="2" t="s">
        <v>61</v>
      </c>
      <c r="D215" s="18">
        <v>45824.0</v>
      </c>
      <c r="E215" s="19">
        <v>0.875</v>
      </c>
      <c r="F215" s="5" t="str">
        <f>VLOOKUP(A215,Jogos!A:N,10,0)</f>
        <v>Evening</v>
      </c>
      <c r="G215" s="15" t="s">
        <v>500</v>
      </c>
      <c r="H215" s="6" t="str">
        <f>VLOOKUP(A215,Jogos!A:L,12,0)</f>
        <v>Open</v>
      </c>
      <c r="I215" s="6" t="str">
        <f>VLOOKUP(G215,'Estádios e Cidades'!A:B,2,0)</f>
        <v>Philadelphia</v>
      </c>
      <c r="J215" s="15" t="s">
        <v>501</v>
      </c>
      <c r="K215" s="2" t="str">
        <f>VLOOKUP(J215,Equipes!A:F,6,0)</f>
        <v>Tropical</v>
      </c>
      <c r="L215" s="2">
        <f>VLOOKUP(J215,Equipes!A:C,3,0)</f>
        <v>11</v>
      </c>
      <c r="M215" s="2" t="str">
        <f t="shared" si="4"/>
        <v>Round of 16</v>
      </c>
      <c r="N215" s="15" t="s">
        <v>502</v>
      </c>
      <c r="O215" s="2">
        <f>VLOOKUP(N215,Equipes!A:C,3,0)</f>
        <v>21</v>
      </c>
      <c r="P215" s="2" t="str">
        <f t="shared" si="5"/>
        <v>Group</v>
      </c>
      <c r="Q215" s="2">
        <f t="shared" si="6"/>
        <v>-10</v>
      </c>
      <c r="R215" s="2" t="str">
        <f>VLOOKUP(J215,Equipes!A:B,2,0)</f>
        <v>Flamengo</v>
      </c>
      <c r="S215" s="6" t="s">
        <v>513</v>
      </c>
      <c r="T215" s="7">
        <v>7.0</v>
      </c>
      <c r="U215" s="7" t="s">
        <v>514</v>
      </c>
      <c r="V215" s="7" t="str">
        <f>VLOOKUP(U215,Jogadores!B:C,2,0)</f>
        <v>FW</v>
      </c>
      <c r="W215" s="8">
        <f>VLOOKUP(U215,Jogadores!B:D,3,0)</f>
        <v>29.17260274</v>
      </c>
      <c r="X215" s="7">
        <v>0.0</v>
      </c>
      <c r="Y215" s="7">
        <v>91.0</v>
      </c>
      <c r="Z215" s="7">
        <f>VLOOKUP(A215,Jogos!A:L,3,0)</f>
        <v>46</v>
      </c>
      <c r="AA215" s="7">
        <f t="shared" si="7"/>
        <v>46</v>
      </c>
      <c r="AB215" s="7">
        <f>VLOOKUP(A215,Jogos!A:L,4,0)</f>
        <v>48</v>
      </c>
      <c r="AC215" s="7">
        <f t="shared" si="657"/>
        <v>46</v>
      </c>
      <c r="AD215" s="7"/>
      <c r="AE215" s="7"/>
      <c r="AF215" s="7">
        <f t="shared" si="9"/>
        <v>92</v>
      </c>
      <c r="AG215" s="7">
        <v>10714.3</v>
      </c>
      <c r="AH215" s="7">
        <v>4196.2</v>
      </c>
      <c r="AI215" s="7">
        <v>4002.7</v>
      </c>
      <c r="AJ215" s="7">
        <v>1607.4</v>
      </c>
      <c r="AK215" s="7">
        <v>590.4</v>
      </c>
      <c r="AL215" s="7">
        <v>317.5</v>
      </c>
      <c r="AM215" s="7">
        <v>129.0</v>
      </c>
      <c r="AN215" s="7">
        <v>51.0</v>
      </c>
      <c r="AO215" s="7">
        <v>33.7</v>
      </c>
      <c r="AP215" s="9">
        <f t="shared" ref="AP215:AR215" si="673">AG215/$AF215</f>
        <v>116.4597826</v>
      </c>
      <c r="AQ215" s="9">
        <f t="shared" si="673"/>
        <v>45.61086957</v>
      </c>
      <c r="AR215" s="9">
        <f t="shared" si="673"/>
        <v>43.5076087</v>
      </c>
      <c r="AS215" s="9">
        <f t="shared" si="11"/>
        <v>89.11847826</v>
      </c>
      <c r="AT215" s="9">
        <f t="shared" ref="AT215:AV215" si="674">AJ215/$AF215</f>
        <v>17.47173913</v>
      </c>
      <c r="AU215" s="9">
        <f t="shared" si="674"/>
        <v>6.417391304</v>
      </c>
      <c r="AV215" s="9">
        <f t="shared" si="674"/>
        <v>3.451086957</v>
      </c>
      <c r="AW215" s="9">
        <f t="shared" si="13"/>
        <v>9.868478261</v>
      </c>
      <c r="AX215" s="9">
        <f t="shared" ref="AX215:AY215" si="675">AM215/$AF215</f>
        <v>1.402173913</v>
      </c>
      <c r="AY215" s="9">
        <f t="shared" si="675"/>
        <v>0.5543478261</v>
      </c>
      <c r="AZ215" s="9">
        <f>VLOOKUP(A215,Jogos!A:BN,58,0)</f>
        <v>17.715</v>
      </c>
      <c r="BA215" s="9">
        <f>VLOOKUP(A215,Jogos!A:BN,59,0)</f>
        <v>16.715</v>
      </c>
      <c r="BB215" s="9">
        <f>VLOOKUP(A215,Jogos!A:BN,60,0)</f>
        <v>93</v>
      </c>
      <c r="BC215" s="9">
        <f>VLOOKUP(A215,Jogos!A:BN,61,0)</f>
        <v>15.095</v>
      </c>
      <c r="BD215" s="9">
        <f>VLOOKUP(A215,Jogos!A:BN,62,0)</f>
        <v>0</v>
      </c>
      <c r="BE215" s="9">
        <f>VLOOKUP(A215,Jogos!A:BN,63,0)</f>
        <v>1.445</v>
      </c>
      <c r="BF215" s="9">
        <f>VLOOKUP(A215,Jogos!A:BN,64,0)</f>
        <v>18.245</v>
      </c>
      <c r="BG215" s="9">
        <f>VLOOKUP(A215,Jogos!A:BN,65,0)</f>
        <v>30.715</v>
      </c>
      <c r="BH215" s="9">
        <f>VLOOKUP(A215,Jogos!A:BN,66,0)</f>
        <v>20.69</v>
      </c>
      <c r="BI215" s="9"/>
    </row>
    <row r="216" hidden="1">
      <c r="A216" s="17">
        <v>8.0</v>
      </c>
      <c r="B216" s="11" t="s">
        <v>375</v>
      </c>
      <c r="C216" s="2" t="s">
        <v>61</v>
      </c>
      <c r="D216" s="18">
        <v>45824.0</v>
      </c>
      <c r="E216" s="19">
        <v>0.875</v>
      </c>
      <c r="F216" s="5" t="str">
        <f>VLOOKUP(A216,Jogos!A:N,10,0)</f>
        <v>Evening</v>
      </c>
      <c r="G216" s="15" t="s">
        <v>500</v>
      </c>
      <c r="H216" s="6" t="str">
        <f>VLOOKUP(A216,Jogos!A:L,12,0)</f>
        <v>Open</v>
      </c>
      <c r="I216" s="6" t="str">
        <f>VLOOKUP(G216,'Estádios e Cidades'!A:B,2,0)</f>
        <v>Philadelphia</v>
      </c>
      <c r="J216" s="15" t="s">
        <v>501</v>
      </c>
      <c r="K216" s="2" t="str">
        <f>VLOOKUP(J216,Equipes!A:F,6,0)</f>
        <v>Tropical</v>
      </c>
      <c r="L216" s="2">
        <f>VLOOKUP(J216,Equipes!A:C,3,0)</f>
        <v>11</v>
      </c>
      <c r="M216" s="2" t="str">
        <f t="shared" si="4"/>
        <v>Round of 16</v>
      </c>
      <c r="N216" s="15" t="s">
        <v>502</v>
      </c>
      <c r="O216" s="2">
        <f>VLOOKUP(N216,Equipes!A:C,3,0)</f>
        <v>21</v>
      </c>
      <c r="P216" s="2" t="str">
        <f t="shared" si="5"/>
        <v>Group</v>
      </c>
      <c r="Q216" s="2">
        <f t="shared" si="6"/>
        <v>-10</v>
      </c>
      <c r="R216" s="2" t="str">
        <f>VLOOKUP(J216,Equipes!A:B,2,0)</f>
        <v>Flamengo</v>
      </c>
      <c r="S216" s="6" t="s">
        <v>515</v>
      </c>
      <c r="T216" s="7">
        <v>8.0</v>
      </c>
      <c r="U216" s="7" t="s">
        <v>516</v>
      </c>
      <c r="V216" s="7" t="str">
        <f>VLOOKUP(U216,Jogadores!B:C,2,0)</f>
        <v>MF</v>
      </c>
      <c r="W216" s="8">
        <f>VLOOKUP(U216,Jogadores!B:D,3,0)</f>
        <v>28.20821918</v>
      </c>
      <c r="X216" s="7">
        <v>0.0</v>
      </c>
      <c r="Y216" s="7">
        <v>65.0</v>
      </c>
      <c r="Z216" s="7">
        <f>VLOOKUP(A216,Jogos!A:L,3,0)</f>
        <v>46</v>
      </c>
      <c r="AA216" s="7">
        <f t="shared" si="7"/>
        <v>46</v>
      </c>
      <c r="AB216" s="7">
        <f>VLOOKUP(A216,Jogos!A:L,4,0)</f>
        <v>48</v>
      </c>
      <c r="AC216" s="7">
        <f t="shared" si="657"/>
        <v>20</v>
      </c>
      <c r="AD216" s="7"/>
      <c r="AE216" s="7"/>
      <c r="AF216" s="7">
        <f t="shared" si="9"/>
        <v>66</v>
      </c>
      <c r="AG216" s="7">
        <v>7184.9</v>
      </c>
      <c r="AH216" s="7">
        <v>2823.4</v>
      </c>
      <c r="AI216" s="7">
        <v>2750.7</v>
      </c>
      <c r="AJ216" s="7">
        <v>1010.5</v>
      </c>
      <c r="AK216" s="7">
        <v>439.9</v>
      </c>
      <c r="AL216" s="7">
        <v>160.4</v>
      </c>
      <c r="AM216" s="7">
        <v>87.0</v>
      </c>
      <c r="AN216" s="7">
        <v>42.0</v>
      </c>
      <c r="AO216" s="7">
        <v>31.7</v>
      </c>
      <c r="AP216" s="9">
        <f t="shared" ref="AP216:AR216" si="676">AG216/$AF216</f>
        <v>108.8621212</v>
      </c>
      <c r="AQ216" s="9">
        <f t="shared" si="676"/>
        <v>42.77878788</v>
      </c>
      <c r="AR216" s="9">
        <f t="shared" si="676"/>
        <v>41.67727273</v>
      </c>
      <c r="AS216" s="9">
        <f t="shared" si="11"/>
        <v>84.45606061</v>
      </c>
      <c r="AT216" s="9">
        <f t="shared" ref="AT216:AV216" si="677">AJ216/$AF216</f>
        <v>15.31060606</v>
      </c>
      <c r="AU216" s="9">
        <f t="shared" si="677"/>
        <v>6.665151515</v>
      </c>
      <c r="AV216" s="9">
        <f t="shared" si="677"/>
        <v>2.43030303</v>
      </c>
      <c r="AW216" s="9">
        <f t="shared" si="13"/>
        <v>9.095454545</v>
      </c>
      <c r="AX216" s="9">
        <f t="shared" ref="AX216:AY216" si="678">AM216/$AF216</f>
        <v>1.318181818</v>
      </c>
      <c r="AY216" s="9">
        <f t="shared" si="678"/>
        <v>0.6363636364</v>
      </c>
      <c r="AZ216" s="9">
        <f>VLOOKUP(A216,Jogos!A:BN,58,0)</f>
        <v>17.715</v>
      </c>
      <c r="BA216" s="9">
        <f>VLOOKUP(A216,Jogos!A:BN,59,0)</f>
        <v>16.715</v>
      </c>
      <c r="BB216" s="9">
        <f>VLOOKUP(A216,Jogos!A:BN,60,0)</f>
        <v>93</v>
      </c>
      <c r="BC216" s="9">
        <f>VLOOKUP(A216,Jogos!A:BN,61,0)</f>
        <v>15.095</v>
      </c>
      <c r="BD216" s="9">
        <f>VLOOKUP(A216,Jogos!A:BN,62,0)</f>
        <v>0</v>
      </c>
      <c r="BE216" s="9">
        <f>VLOOKUP(A216,Jogos!A:BN,63,0)</f>
        <v>1.445</v>
      </c>
      <c r="BF216" s="9">
        <f>VLOOKUP(A216,Jogos!A:BN,64,0)</f>
        <v>18.245</v>
      </c>
      <c r="BG216" s="9">
        <f>VLOOKUP(A216,Jogos!A:BN,65,0)</f>
        <v>30.715</v>
      </c>
      <c r="BH216" s="9">
        <f>VLOOKUP(A216,Jogos!A:BN,66,0)</f>
        <v>20.69</v>
      </c>
      <c r="BI216" s="9"/>
    </row>
    <row r="217" hidden="1">
      <c r="A217" s="17">
        <v>8.0</v>
      </c>
      <c r="B217" s="11" t="s">
        <v>375</v>
      </c>
      <c r="C217" s="2" t="s">
        <v>61</v>
      </c>
      <c r="D217" s="18">
        <v>45824.0</v>
      </c>
      <c r="E217" s="19">
        <v>0.875</v>
      </c>
      <c r="F217" s="5" t="str">
        <f>VLOOKUP(A217,Jogos!A:N,10,0)</f>
        <v>Evening</v>
      </c>
      <c r="G217" s="15" t="s">
        <v>500</v>
      </c>
      <c r="H217" s="6" t="str">
        <f>VLOOKUP(A217,Jogos!A:L,12,0)</f>
        <v>Open</v>
      </c>
      <c r="I217" s="6" t="str">
        <f>VLOOKUP(G217,'Estádios e Cidades'!A:B,2,0)</f>
        <v>Philadelphia</v>
      </c>
      <c r="J217" s="15" t="s">
        <v>501</v>
      </c>
      <c r="K217" s="2" t="str">
        <f>VLOOKUP(J217,Equipes!A:F,6,0)</f>
        <v>Tropical</v>
      </c>
      <c r="L217" s="2">
        <f>VLOOKUP(J217,Equipes!A:C,3,0)</f>
        <v>11</v>
      </c>
      <c r="M217" s="2" t="str">
        <f t="shared" si="4"/>
        <v>Round of 16</v>
      </c>
      <c r="N217" s="15" t="s">
        <v>502</v>
      </c>
      <c r="O217" s="2">
        <f>VLOOKUP(N217,Equipes!A:C,3,0)</f>
        <v>21</v>
      </c>
      <c r="P217" s="2" t="str">
        <f t="shared" si="5"/>
        <v>Group</v>
      </c>
      <c r="Q217" s="2">
        <f t="shared" si="6"/>
        <v>-10</v>
      </c>
      <c r="R217" s="2" t="str">
        <f>VLOOKUP(J217,Equipes!A:B,2,0)</f>
        <v>Flamengo</v>
      </c>
      <c r="S217" s="6" t="s">
        <v>517</v>
      </c>
      <c r="T217" s="7">
        <v>9.0</v>
      </c>
      <c r="U217" s="7" t="s">
        <v>518</v>
      </c>
      <c r="V217" s="7" t="str">
        <f>VLOOKUP(U217,Jogadores!B:C,2,0)</f>
        <v>FW</v>
      </c>
      <c r="W217" s="8">
        <f>VLOOKUP(U217,Jogadores!B:D,3,0)</f>
        <v>28.12328767</v>
      </c>
      <c r="X217" s="7">
        <v>0.0</v>
      </c>
      <c r="Y217" s="7">
        <v>64.0</v>
      </c>
      <c r="Z217" s="7">
        <f>VLOOKUP(A217,Jogos!A:L,3,0)</f>
        <v>46</v>
      </c>
      <c r="AA217" s="7">
        <f t="shared" si="7"/>
        <v>46</v>
      </c>
      <c r="AB217" s="7">
        <f>VLOOKUP(A217,Jogos!A:L,4,0)</f>
        <v>48</v>
      </c>
      <c r="AC217" s="7">
        <f t="shared" si="657"/>
        <v>19</v>
      </c>
      <c r="AD217" s="7"/>
      <c r="AE217" s="7"/>
      <c r="AF217" s="7">
        <f t="shared" si="9"/>
        <v>65</v>
      </c>
      <c r="AG217" s="7">
        <v>7180.2</v>
      </c>
      <c r="AH217" s="7">
        <v>3113.8</v>
      </c>
      <c r="AI217" s="7">
        <v>2772.6</v>
      </c>
      <c r="AJ217" s="7">
        <v>858.8</v>
      </c>
      <c r="AK217" s="7">
        <v>362.4</v>
      </c>
      <c r="AL217" s="7">
        <v>72.5</v>
      </c>
      <c r="AM217" s="7">
        <v>88.0</v>
      </c>
      <c r="AN217" s="7">
        <v>28.0</v>
      </c>
      <c r="AO217" s="7">
        <v>28.1</v>
      </c>
      <c r="AP217" s="9">
        <f t="shared" ref="AP217:AR217" si="679">AG217/$AF217</f>
        <v>110.4646154</v>
      </c>
      <c r="AQ217" s="9">
        <f t="shared" si="679"/>
        <v>47.90461538</v>
      </c>
      <c r="AR217" s="9">
        <f t="shared" si="679"/>
        <v>42.65538462</v>
      </c>
      <c r="AS217" s="9">
        <f t="shared" si="11"/>
        <v>90.56</v>
      </c>
      <c r="AT217" s="9">
        <f t="shared" ref="AT217:AV217" si="680">AJ217/$AF217</f>
        <v>13.21230769</v>
      </c>
      <c r="AU217" s="9">
        <f t="shared" si="680"/>
        <v>5.575384615</v>
      </c>
      <c r="AV217" s="9">
        <f t="shared" si="680"/>
        <v>1.115384615</v>
      </c>
      <c r="AW217" s="9">
        <f t="shared" si="13"/>
        <v>6.690769231</v>
      </c>
      <c r="AX217" s="9">
        <f t="shared" ref="AX217:AY217" si="681">AM217/$AF217</f>
        <v>1.353846154</v>
      </c>
      <c r="AY217" s="9">
        <f t="shared" si="681"/>
        <v>0.4307692308</v>
      </c>
      <c r="AZ217" s="9">
        <f>VLOOKUP(A217,Jogos!A:BN,58,0)</f>
        <v>17.715</v>
      </c>
      <c r="BA217" s="9">
        <f>VLOOKUP(A217,Jogos!A:BN,59,0)</f>
        <v>16.715</v>
      </c>
      <c r="BB217" s="9">
        <f>VLOOKUP(A217,Jogos!A:BN,60,0)</f>
        <v>93</v>
      </c>
      <c r="BC217" s="9">
        <f>VLOOKUP(A217,Jogos!A:BN,61,0)</f>
        <v>15.095</v>
      </c>
      <c r="BD217" s="9">
        <f>VLOOKUP(A217,Jogos!A:BN,62,0)</f>
        <v>0</v>
      </c>
      <c r="BE217" s="9">
        <f>VLOOKUP(A217,Jogos!A:BN,63,0)</f>
        <v>1.445</v>
      </c>
      <c r="BF217" s="9">
        <f>VLOOKUP(A217,Jogos!A:BN,64,0)</f>
        <v>18.245</v>
      </c>
      <c r="BG217" s="9">
        <f>VLOOKUP(A217,Jogos!A:BN,65,0)</f>
        <v>30.715</v>
      </c>
      <c r="BH217" s="9">
        <f>VLOOKUP(A217,Jogos!A:BN,66,0)</f>
        <v>20.69</v>
      </c>
      <c r="BI217" s="9"/>
    </row>
    <row r="218" hidden="1">
      <c r="A218" s="17">
        <v>8.0</v>
      </c>
      <c r="B218" s="11" t="s">
        <v>375</v>
      </c>
      <c r="C218" s="2" t="s">
        <v>61</v>
      </c>
      <c r="D218" s="18">
        <v>45824.0</v>
      </c>
      <c r="E218" s="19">
        <v>0.875</v>
      </c>
      <c r="F218" s="5" t="str">
        <f>VLOOKUP(A218,Jogos!A:N,10,0)</f>
        <v>Evening</v>
      </c>
      <c r="G218" s="15" t="s">
        <v>500</v>
      </c>
      <c r="H218" s="6" t="str">
        <f>VLOOKUP(A218,Jogos!A:L,12,0)</f>
        <v>Open</v>
      </c>
      <c r="I218" s="6" t="str">
        <f>VLOOKUP(G218,'Estádios e Cidades'!A:B,2,0)</f>
        <v>Philadelphia</v>
      </c>
      <c r="J218" s="15" t="s">
        <v>501</v>
      </c>
      <c r="K218" s="2" t="str">
        <f>VLOOKUP(J218,Equipes!A:F,6,0)</f>
        <v>Tropical</v>
      </c>
      <c r="L218" s="2">
        <f>VLOOKUP(J218,Equipes!A:C,3,0)</f>
        <v>11</v>
      </c>
      <c r="M218" s="2" t="str">
        <f t="shared" si="4"/>
        <v>Round of 16</v>
      </c>
      <c r="N218" s="15" t="s">
        <v>502</v>
      </c>
      <c r="O218" s="2">
        <f>VLOOKUP(N218,Equipes!A:C,3,0)</f>
        <v>21</v>
      </c>
      <c r="P218" s="2" t="str">
        <f t="shared" si="5"/>
        <v>Group</v>
      </c>
      <c r="Q218" s="2">
        <f t="shared" si="6"/>
        <v>-10</v>
      </c>
      <c r="R218" s="2" t="str">
        <f>VLOOKUP(J218,Equipes!A:B,2,0)</f>
        <v>Flamengo</v>
      </c>
      <c r="S218" s="6" t="s">
        <v>519</v>
      </c>
      <c r="T218" s="7">
        <v>10.0</v>
      </c>
      <c r="U218" s="7" t="s">
        <v>520</v>
      </c>
      <c r="V218" s="7" t="str">
        <f>VLOOKUP(U218,Jogadores!B:C,2,0)</f>
        <v>MF</v>
      </c>
      <c r="W218" s="8">
        <f>VLOOKUP(U218,Jogadores!B:D,3,0)</f>
        <v>31.17808219</v>
      </c>
      <c r="X218" s="7">
        <v>0.0</v>
      </c>
      <c r="Y218" s="7">
        <v>73.0</v>
      </c>
      <c r="Z218" s="7">
        <f>VLOOKUP(A218,Jogos!A:L,3,0)</f>
        <v>46</v>
      </c>
      <c r="AA218" s="7">
        <f t="shared" si="7"/>
        <v>46</v>
      </c>
      <c r="AB218" s="7">
        <f>VLOOKUP(A218,Jogos!A:L,4,0)</f>
        <v>48</v>
      </c>
      <c r="AC218" s="7">
        <f t="shared" si="657"/>
        <v>28</v>
      </c>
      <c r="AD218" s="7"/>
      <c r="AE218" s="7"/>
      <c r="AF218" s="7">
        <f t="shared" si="9"/>
        <v>74</v>
      </c>
      <c r="AG218" s="7">
        <v>8726.9</v>
      </c>
      <c r="AH218" s="7">
        <v>3011.1</v>
      </c>
      <c r="AI218" s="7">
        <v>4075.3</v>
      </c>
      <c r="AJ218" s="7">
        <v>1140.4</v>
      </c>
      <c r="AK218" s="7">
        <v>417.8</v>
      </c>
      <c r="AL218" s="7">
        <v>82.3</v>
      </c>
      <c r="AM218" s="7">
        <v>103.0</v>
      </c>
      <c r="AN218" s="7">
        <v>34.0</v>
      </c>
      <c r="AO218" s="7">
        <v>32.0</v>
      </c>
      <c r="AP218" s="9">
        <f t="shared" ref="AP218:AR218" si="682">AG218/$AF218</f>
        <v>117.9310811</v>
      </c>
      <c r="AQ218" s="9">
        <f t="shared" si="682"/>
        <v>40.69054054</v>
      </c>
      <c r="AR218" s="9">
        <f t="shared" si="682"/>
        <v>55.07162162</v>
      </c>
      <c r="AS218" s="9">
        <f t="shared" si="11"/>
        <v>95.76216216</v>
      </c>
      <c r="AT218" s="9">
        <f t="shared" ref="AT218:AV218" si="683">AJ218/$AF218</f>
        <v>15.41081081</v>
      </c>
      <c r="AU218" s="9">
        <f t="shared" si="683"/>
        <v>5.645945946</v>
      </c>
      <c r="AV218" s="9">
        <f t="shared" si="683"/>
        <v>1.112162162</v>
      </c>
      <c r="AW218" s="9">
        <f t="shared" si="13"/>
        <v>6.758108108</v>
      </c>
      <c r="AX218" s="9">
        <f t="shared" ref="AX218:AY218" si="684">AM218/$AF218</f>
        <v>1.391891892</v>
      </c>
      <c r="AY218" s="9">
        <f t="shared" si="684"/>
        <v>0.4594594595</v>
      </c>
      <c r="AZ218" s="9">
        <f>VLOOKUP(A218,Jogos!A:BN,58,0)</f>
        <v>17.715</v>
      </c>
      <c r="BA218" s="9">
        <f>VLOOKUP(A218,Jogos!A:BN,59,0)</f>
        <v>16.715</v>
      </c>
      <c r="BB218" s="9">
        <f>VLOOKUP(A218,Jogos!A:BN,60,0)</f>
        <v>93</v>
      </c>
      <c r="BC218" s="9">
        <f>VLOOKUP(A218,Jogos!A:BN,61,0)</f>
        <v>15.095</v>
      </c>
      <c r="BD218" s="9">
        <f>VLOOKUP(A218,Jogos!A:BN,62,0)</f>
        <v>0</v>
      </c>
      <c r="BE218" s="9">
        <f>VLOOKUP(A218,Jogos!A:BN,63,0)</f>
        <v>1.445</v>
      </c>
      <c r="BF218" s="9">
        <f>VLOOKUP(A218,Jogos!A:BN,64,0)</f>
        <v>18.245</v>
      </c>
      <c r="BG218" s="9">
        <f>VLOOKUP(A218,Jogos!A:BN,65,0)</f>
        <v>30.715</v>
      </c>
      <c r="BH218" s="9">
        <f>VLOOKUP(A218,Jogos!A:BN,66,0)</f>
        <v>20.69</v>
      </c>
      <c r="BI218" s="9"/>
    </row>
    <row r="219" hidden="1">
      <c r="A219" s="17">
        <v>8.0</v>
      </c>
      <c r="B219" s="11" t="s">
        <v>375</v>
      </c>
      <c r="C219" s="2" t="s">
        <v>61</v>
      </c>
      <c r="D219" s="18">
        <v>45824.0</v>
      </c>
      <c r="E219" s="19">
        <v>0.875</v>
      </c>
      <c r="F219" s="5" t="str">
        <f>VLOOKUP(A219,Jogos!A:N,10,0)</f>
        <v>Evening</v>
      </c>
      <c r="G219" s="15" t="s">
        <v>500</v>
      </c>
      <c r="H219" s="6" t="str">
        <f>VLOOKUP(A219,Jogos!A:L,12,0)</f>
        <v>Open</v>
      </c>
      <c r="I219" s="6" t="str">
        <f>VLOOKUP(G219,'Estádios e Cidades'!A:B,2,0)</f>
        <v>Philadelphia</v>
      </c>
      <c r="J219" s="15" t="s">
        <v>501</v>
      </c>
      <c r="K219" s="2" t="str">
        <f>VLOOKUP(J219,Equipes!A:F,6,0)</f>
        <v>Tropical</v>
      </c>
      <c r="L219" s="2">
        <f>VLOOKUP(J219,Equipes!A:C,3,0)</f>
        <v>11</v>
      </c>
      <c r="M219" s="2" t="str">
        <f t="shared" si="4"/>
        <v>Round of 16</v>
      </c>
      <c r="N219" s="15" t="s">
        <v>502</v>
      </c>
      <c r="O219" s="2">
        <f>VLOOKUP(N219,Equipes!A:C,3,0)</f>
        <v>21</v>
      </c>
      <c r="P219" s="2" t="str">
        <f t="shared" si="5"/>
        <v>Group</v>
      </c>
      <c r="Q219" s="2">
        <f t="shared" si="6"/>
        <v>-10</v>
      </c>
      <c r="R219" s="2" t="str">
        <f>VLOOKUP(J219,Equipes!A:B,2,0)</f>
        <v>Flamengo</v>
      </c>
      <c r="S219" s="6" t="s">
        <v>521</v>
      </c>
      <c r="T219" s="7">
        <v>21.0</v>
      </c>
      <c r="U219" s="7" t="s">
        <v>522</v>
      </c>
      <c r="V219" s="7" t="str">
        <f>VLOOKUP(U219,Jogadores!B:C,2,0)</f>
        <v>MF</v>
      </c>
      <c r="W219" s="8">
        <f>VLOOKUP(U219,Jogadores!B:D,3,0)</f>
        <v>33.62739726</v>
      </c>
      <c r="X219" s="7">
        <v>0.0</v>
      </c>
      <c r="Y219" s="7">
        <v>74.0</v>
      </c>
      <c r="Z219" s="7">
        <f>VLOOKUP(A219,Jogos!A:L,3,0)</f>
        <v>46</v>
      </c>
      <c r="AA219" s="7">
        <f t="shared" si="7"/>
        <v>46</v>
      </c>
      <c r="AB219" s="7">
        <f>VLOOKUP(A219,Jogos!A:L,4,0)</f>
        <v>48</v>
      </c>
      <c r="AC219" s="7">
        <f t="shared" si="657"/>
        <v>29</v>
      </c>
      <c r="AD219" s="7"/>
      <c r="AE219" s="7"/>
      <c r="AF219" s="7">
        <f t="shared" si="9"/>
        <v>75</v>
      </c>
      <c r="AG219" s="7">
        <v>9280.3</v>
      </c>
      <c r="AH219" s="7">
        <v>2514.0</v>
      </c>
      <c r="AI219" s="7">
        <v>4738.6</v>
      </c>
      <c r="AJ219" s="7">
        <v>1744.6</v>
      </c>
      <c r="AK219" s="7">
        <v>272.4</v>
      </c>
      <c r="AL219" s="7">
        <v>10.6</v>
      </c>
      <c r="AM219" s="7">
        <v>145.0</v>
      </c>
      <c r="AN219" s="7">
        <v>22.0</v>
      </c>
      <c r="AO219" s="7">
        <v>26.3</v>
      </c>
      <c r="AP219" s="9">
        <f t="shared" ref="AP219:AR219" si="685">AG219/$AF219</f>
        <v>123.7373333</v>
      </c>
      <c r="AQ219" s="9">
        <f t="shared" si="685"/>
        <v>33.52</v>
      </c>
      <c r="AR219" s="9">
        <f t="shared" si="685"/>
        <v>63.18133333</v>
      </c>
      <c r="AS219" s="9">
        <f t="shared" si="11"/>
        <v>96.70133333</v>
      </c>
      <c r="AT219" s="9">
        <f t="shared" ref="AT219:AV219" si="686">AJ219/$AF219</f>
        <v>23.26133333</v>
      </c>
      <c r="AU219" s="9">
        <f t="shared" si="686"/>
        <v>3.632</v>
      </c>
      <c r="AV219" s="9">
        <f t="shared" si="686"/>
        <v>0.1413333333</v>
      </c>
      <c r="AW219" s="9">
        <f t="shared" si="13"/>
        <v>3.773333333</v>
      </c>
      <c r="AX219" s="9">
        <f t="shared" ref="AX219:AY219" si="687">AM219/$AF219</f>
        <v>1.933333333</v>
      </c>
      <c r="AY219" s="9">
        <f t="shared" si="687"/>
        <v>0.2933333333</v>
      </c>
      <c r="AZ219" s="9">
        <f>VLOOKUP(A219,Jogos!A:BN,58,0)</f>
        <v>17.715</v>
      </c>
      <c r="BA219" s="9">
        <f>VLOOKUP(A219,Jogos!A:BN,59,0)</f>
        <v>16.715</v>
      </c>
      <c r="BB219" s="9">
        <f>VLOOKUP(A219,Jogos!A:BN,60,0)</f>
        <v>93</v>
      </c>
      <c r="BC219" s="9">
        <f>VLOOKUP(A219,Jogos!A:BN,61,0)</f>
        <v>15.095</v>
      </c>
      <c r="BD219" s="9">
        <f>VLOOKUP(A219,Jogos!A:BN,62,0)</f>
        <v>0</v>
      </c>
      <c r="BE219" s="9">
        <f>VLOOKUP(A219,Jogos!A:BN,63,0)</f>
        <v>1.445</v>
      </c>
      <c r="BF219" s="9">
        <f>VLOOKUP(A219,Jogos!A:BN,64,0)</f>
        <v>18.245</v>
      </c>
      <c r="BG219" s="9">
        <f>VLOOKUP(A219,Jogos!A:BN,65,0)</f>
        <v>30.715</v>
      </c>
      <c r="BH219" s="9">
        <f>VLOOKUP(A219,Jogos!A:BN,66,0)</f>
        <v>20.69</v>
      </c>
      <c r="BI219" s="9"/>
    </row>
    <row r="220" hidden="1">
      <c r="A220" s="17">
        <v>8.0</v>
      </c>
      <c r="B220" s="11" t="s">
        <v>375</v>
      </c>
      <c r="C220" s="2" t="s">
        <v>61</v>
      </c>
      <c r="D220" s="18">
        <v>45824.0</v>
      </c>
      <c r="E220" s="19">
        <v>0.875</v>
      </c>
      <c r="F220" s="5" t="str">
        <f>VLOOKUP(A220,Jogos!A:N,10,0)</f>
        <v>Evening</v>
      </c>
      <c r="G220" s="15" t="s">
        <v>500</v>
      </c>
      <c r="H220" s="6" t="str">
        <f>VLOOKUP(A220,Jogos!A:L,12,0)</f>
        <v>Open</v>
      </c>
      <c r="I220" s="6" t="str">
        <f>VLOOKUP(G220,'Estádios e Cidades'!A:B,2,0)</f>
        <v>Philadelphia</v>
      </c>
      <c r="J220" s="15" t="s">
        <v>501</v>
      </c>
      <c r="K220" s="2" t="str">
        <f>VLOOKUP(J220,Equipes!A:F,6,0)</f>
        <v>Tropical</v>
      </c>
      <c r="L220" s="2">
        <f>VLOOKUP(J220,Equipes!A:C,3,0)</f>
        <v>11</v>
      </c>
      <c r="M220" s="2" t="str">
        <f t="shared" si="4"/>
        <v>Round of 16</v>
      </c>
      <c r="N220" s="15" t="s">
        <v>502</v>
      </c>
      <c r="O220" s="2">
        <f>VLOOKUP(N220,Equipes!A:C,3,0)</f>
        <v>21</v>
      </c>
      <c r="P220" s="2" t="str">
        <f t="shared" si="5"/>
        <v>Group</v>
      </c>
      <c r="Q220" s="2">
        <f t="shared" si="6"/>
        <v>-10</v>
      </c>
      <c r="R220" s="2" t="str">
        <f>VLOOKUP(J220,Equipes!A:B,2,0)</f>
        <v>Flamengo</v>
      </c>
      <c r="S220" s="6" t="s">
        <v>523</v>
      </c>
      <c r="T220" s="7">
        <v>11.0</v>
      </c>
      <c r="U220" s="7" t="s">
        <v>524</v>
      </c>
      <c r="V220" s="7" t="str">
        <f>VLOOKUP(U220,Jogadores!B:C,2,0)</f>
        <v>FW</v>
      </c>
      <c r="W220" s="8">
        <f>VLOOKUP(U220,Jogadores!B:D,3,0)</f>
        <v>29.36986301</v>
      </c>
      <c r="X220" s="7">
        <v>91.0</v>
      </c>
      <c r="Y220" s="7">
        <f t="shared" ref="Y220:Y224" si="691">45+AB220</f>
        <v>93</v>
      </c>
      <c r="Z220" s="7">
        <f>VLOOKUP(A220,Jogos!A:L,3,0)</f>
        <v>46</v>
      </c>
      <c r="AA220" s="7">
        <f t="shared" si="7"/>
        <v>0</v>
      </c>
      <c r="AB220" s="7">
        <f>VLOOKUP(A220,Jogos!A:L,4,0)</f>
        <v>48</v>
      </c>
      <c r="AC220" s="7">
        <f t="shared" si="657"/>
        <v>2</v>
      </c>
      <c r="AD220" s="7"/>
      <c r="AE220" s="7"/>
      <c r="AF220" s="7">
        <f t="shared" si="9"/>
        <v>2</v>
      </c>
      <c r="AG220" s="7">
        <v>328.3</v>
      </c>
      <c r="AH220" s="7">
        <v>98.8</v>
      </c>
      <c r="AI220" s="7">
        <v>103.2</v>
      </c>
      <c r="AJ220" s="7">
        <v>89.2</v>
      </c>
      <c r="AK220" s="7">
        <v>37.1</v>
      </c>
      <c r="AL220" s="7">
        <v>10.0</v>
      </c>
      <c r="AM220" s="7">
        <v>3.0</v>
      </c>
      <c r="AN220" s="7">
        <v>22.9</v>
      </c>
      <c r="AO220" s="7"/>
      <c r="AP220" s="9">
        <f t="shared" ref="AP220:AR220" si="688">AG220/$AF220</f>
        <v>164.15</v>
      </c>
      <c r="AQ220" s="9">
        <f t="shared" si="688"/>
        <v>49.4</v>
      </c>
      <c r="AR220" s="9">
        <f t="shared" si="688"/>
        <v>51.6</v>
      </c>
      <c r="AS220" s="9">
        <f t="shared" si="11"/>
        <v>101</v>
      </c>
      <c r="AT220" s="9">
        <f t="shared" ref="AT220:AV220" si="689">AJ220/$AF220</f>
        <v>44.6</v>
      </c>
      <c r="AU220" s="9">
        <f t="shared" si="689"/>
        <v>18.55</v>
      </c>
      <c r="AV220" s="9">
        <f t="shared" si="689"/>
        <v>5</v>
      </c>
      <c r="AW220" s="9">
        <f t="shared" si="13"/>
        <v>23.55</v>
      </c>
      <c r="AX220" s="9">
        <f t="shared" ref="AX220:AY220" si="690">AM220/$AF220</f>
        <v>1.5</v>
      </c>
      <c r="AY220" s="9">
        <f t="shared" si="690"/>
        <v>11.45</v>
      </c>
      <c r="AZ220" s="9">
        <f>VLOOKUP(A220,Jogos!A:BN,58,0)</f>
        <v>17.715</v>
      </c>
      <c r="BA220" s="9">
        <f>VLOOKUP(A220,Jogos!A:BN,59,0)</f>
        <v>16.715</v>
      </c>
      <c r="BB220" s="9">
        <f>VLOOKUP(A220,Jogos!A:BN,60,0)</f>
        <v>93</v>
      </c>
      <c r="BC220" s="9">
        <f>VLOOKUP(A220,Jogos!A:BN,61,0)</f>
        <v>15.095</v>
      </c>
      <c r="BD220" s="9">
        <f>VLOOKUP(A220,Jogos!A:BN,62,0)</f>
        <v>0</v>
      </c>
      <c r="BE220" s="9">
        <f>VLOOKUP(A220,Jogos!A:BN,63,0)</f>
        <v>1.445</v>
      </c>
      <c r="BF220" s="9">
        <f>VLOOKUP(A220,Jogos!A:BN,64,0)</f>
        <v>18.245</v>
      </c>
      <c r="BG220" s="9">
        <f>VLOOKUP(A220,Jogos!A:BN,65,0)</f>
        <v>30.715</v>
      </c>
      <c r="BH220" s="9">
        <f>VLOOKUP(A220,Jogos!A:BN,66,0)</f>
        <v>20.69</v>
      </c>
      <c r="BI220" s="9"/>
    </row>
    <row r="221" hidden="1">
      <c r="A221" s="17">
        <v>8.0</v>
      </c>
      <c r="B221" s="11" t="s">
        <v>375</v>
      </c>
      <c r="C221" s="2" t="s">
        <v>61</v>
      </c>
      <c r="D221" s="18">
        <v>45824.0</v>
      </c>
      <c r="E221" s="19">
        <v>0.875</v>
      </c>
      <c r="F221" s="5" t="str">
        <f>VLOOKUP(A221,Jogos!A:N,10,0)</f>
        <v>Evening</v>
      </c>
      <c r="G221" s="15" t="s">
        <v>500</v>
      </c>
      <c r="H221" s="6" t="str">
        <f>VLOOKUP(A221,Jogos!A:L,12,0)</f>
        <v>Open</v>
      </c>
      <c r="I221" s="6" t="str">
        <f>VLOOKUP(G221,'Estádios e Cidades'!A:B,2,0)</f>
        <v>Philadelphia</v>
      </c>
      <c r="J221" s="15" t="s">
        <v>501</v>
      </c>
      <c r="K221" s="2" t="str">
        <f>VLOOKUP(J221,Equipes!A:F,6,0)</f>
        <v>Tropical</v>
      </c>
      <c r="L221" s="2">
        <f>VLOOKUP(J221,Equipes!A:C,3,0)</f>
        <v>11</v>
      </c>
      <c r="M221" s="2" t="str">
        <f t="shared" si="4"/>
        <v>Round of 16</v>
      </c>
      <c r="N221" s="15" t="s">
        <v>502</v>
      </c>
      <c r="O221" s="2">
        <f>VLOOKUP(N221,Equipes!A:C,3,0)</f>
        <v>21</v>
      </c>
      <c r="P221" s="2" t="str">
        <f t="shared" si="5"/>
        <v>Group</v>
      </c>
      <c r="Q221" s="2">
        <f t="shared" si="6"/>
        <v>-10</v>
      </c>
      <c r="R221" s="2" t="str">
        <f>VLOOKUP(J221,Equipes!A:B,2,0)</f>
        <v>Flamengo</v>
      </c>
      <c r="S221" s="6" t="s">
        <v>525</v>
      </c>
      <c r="T221" s="7">
        <v>27.0</v>
      </c>
      <c r="U221" s="7" t="s">
        <v>526</v>
      </c>
      <c r="V221" s="7" t="str">
        <f>VLOOKUP(U221,Jogadores!B:C,2,0)</f>
        <v>FW</v>
      </c>
      <c r="W221" s="8">
        <f>VLOOKUP(U221,Jogadores!B:D,3,0)</f>
        <v>34.6</v>
      </c>
      <c r="X221" s="7">
        <v>64.0</v>
      </c>
      <c r="Y221" s="7">
        <f t="shared" si="691"/>
        <v>93</v>
      </c>
      <c r="Z221" s="7">
        <f>VLOOKUP(A221,Jogos!A:L,3,0)</f>
        <v>46</v>
      </c>
      <c r="AA221" s="7">
        <f t="shared" si="7"/>
        <v>0</v>
      </c>
      <c r="AB221" s="7">
        <f>VLOOKUP(A221,Jogos!A:L,4,0)</f>
        <v>48</v>
      </c>
      <c r="AC221" s="7">
        <f t="shared" si="657"/>
        <v>29</v>
      </c>
      <c r="AD221" s="7"/>
      <c r="AE221" s="7"/>
      <c r="AF221" s="7">
        <f t="shared" si="9"/>
        <v>29</v>
      </c>
      <c r="AG221" s="7">
        <v>2859.8</v>
      </c>
      <c r="AH221" s="7">
        <v>1138.4</v>
      </c>
      <c r="AI221" s="7">
        <v>1014.9</v>
      </c>
      <c r="AJ221" s="7">
        <v>337.7</v>
      </c>
      <c r="AK221" s="7">
        <v>224.6</v>
      </c>
      <c r="AL221" s="7">
        <v>144.2</v>
      </c>
      <c r="AM221" s="7">
        <v>31.0</v>
      </c>
      <c r="AN221" s="7">
        <v>21.0</v>
      </c>
      <c r="AO221" s="7">
        <v>35.2</v>
      </c>
      <c r="AP221" s="9">
        <f t="shared" ref="AP221:AR221" si="692">AG221/$AF221</f>
        <v>98.6137931</v>
      </c>
      <c r="AQ221" s="9">
        <f t="shared" si="692"/>
        <v>39.25517241</v>
      </c>
      <c r="AR221" s="9">
        <f t="shared" si="692"/>
        <v>34.99655172</v>
      </c>
      <c r="AS221" s="9">
        <f t="shared" si="11"/>
        <v>74.25172414</v>
      </c>
      <c r="AT221" s="9">
        <f t="shared" ref="AT221:AV221" si="693">AJ221/$AF221</f>
        <v>11.64482759</v>
      </c>
      <c r="AU221" s="9">
        <f t="shared" si="693"/>
        <v>7.744827586</v>
      </c>
      <c r="AV221" s="9">
        <f t="shared" si="693"/>
        <v>4.972413793</v>
      </c>
      <c r="AW221" s="9">
        <f t="shared" si="13"/>
        <v>12.71724138</v>
      </c>
      <c r="AX221" s="9">
        <f t="shared" ref="AX221:AY221" si="694">AM221/$AF221</f>
        <v>1.068965517</v>
      </c>
      <c r="AY221" s="9">
        <f t="shared" si="694"/>
        <v>0.724137931</v>
      </c>
      <c r="AZ221" s="9">
        <f>VLOOKUP(A221,Jogos!A:BN,58,0)</f>
        <v>17.715</v>
      </c>
      <c r="BA221" s="9">
        <f>VLOOKUP(A221,Jogos!A:BN,59,0)</f>
        <v>16.715</v>
      </c>
      <c r="BB221" s="9">
        <f>VLOOKUP(A221,Jogos!A:BN,60,0)</f>
        <v>93</v>
      </c>
      <c r="BC221" s="9">
        <f>VLOOKUP(A221,Jogos!A:BN,61,0)</f>
        <v>15.095</v>
      </c>
      <c r="BD221" s="9">
        <f>VLOOKUP(A221,Jogos!A:BN,62,0)</f>
        <v>0</v>
      </c>
      <c r="BE221" s="9">
        <f>VLOOKUP(A221,Jogos!A:BN,63,0)</f>
        <v>1.445</v>
      </c>
      <c r="BF221" s="9">
        <f>VLOOKUP(A221,Jogos!A:BN,64,0)</f>
        <v>18.245</v>
      </c>
      <c r="BG221" s="9">
        <f>VLOOKUP(A221,Jogos!A:BN,65,0)</f>
        <v>30.715</v>
      </c>
      <c r="BH221" s="9">
        <f>VLOOKUP(A221,Jogos!A:BN,66,0)</f>
        <v>20.69</v>
      </c>
      <c r="BI221" s="9"/>
    </row>
    <row r="222" hidden="1">
      <c r="A222" s="17">
        <v>8.0</v>
      </c>
      <c r="B222" s="11" t="s">
        <v>375</v>
      </c>
      <c r="C222" s="2" t="s">
        <v>61</v>
      </c>
      <c r="D222" s="18">
        <v>45824.0</v>
      </c>
      <c r="E222" s="19">
        <v>0.875</v>
      </c>
      <c r="F222" s="5" t="str">
        <f>VLOOKUP(A222,Jogos!A:N,10,0)</f>
        <v>Evening</v>
      </c>
      <c r="G222" s="15" t="s">
        <v>500</v>
      </c>
      <c r="H222" s="6" t="str">
        <f>VLOOKUP(A222,Jogos!A:L,12,0)</f>
        <v>Open</v>
      </c>
      <c r="I222" s="6" t="str">
        <f>VLOOKUP(G222,'Estádios e Cidades'!A:B,2,0)</f>
        <v>Philadelphia</v>
      </c>
      <c r="J222" s="15" t="s">
        <v>501</v>
      </c>
      <c r="K222" s="2" t="str">
        <f>VLOOKUP(J222,Equipes!A:F,6,0)</f>
        <v>Tropical</v>
      </c>
      <c r="L222" s="2">
        <f>VLOOKUP(J222,Equipes!A:C,3,0)</f>
        <v>11</v>
      </c>
      <c r="M222" s="2" t="str">
        <f t="shared" si="4"/>
        <v>Round of 16</v>
      </c>
      <c r="N222" s="15" t="s">
        <v>502</v>
      </c>
      <c r="O222" s="2">
        <f>VLOOKUP(N222,Equipes!A:C,3,0)</f>
        <v>21</v>
      </c>
      <c r="P222" s="2" t="str">
        <f t="shared" si="5"/>
        <v>Group</v>
      </c>
      <c r="Q222" s="2">
        <f t="shared" si="6"/>
        <v>-10</v>
      </c>
      <c r="R222" s="2" t="str">
        <f>VLOOKUP(J222,Equipes!A:B,2,0)</f>
        <v>Flamengo</v>
      </c>
      <c r="S222" s="6" t="s">
        <v>527</v>
      </c>
      <c r="T222" s="7">
        <v>29.0</v>
      </c>
      <c r="U222" s="7" t="s">
        <v>279</v>
      </c>
      <c r="V222" s="7" t="str">
        <f>VLOOKUP(U222,Jogadores!B:C,2,0)</f>
        <v>MF</v>
      </c>
      <c r="W222" s="8">
        <f>VLOOKUP(U222,Jogadores!B:D,3,0)</f>
        <v>21.28767123</v>
      </c>
      <c r="X222" s="7">
        <v>74.0</v>
      </c>
      <c r="Y222" s="7">
        <f t="shared" si="691"/>
        <v>93</v>
      </c>
      <c r="Z222" s="7">
        <f>VLOOKUP(A222,Jogos!A:L,3,0)</f>
        <v>46</v>
      </c>
      <c r="AA222" s="7">
        <f t="shared" si="7"/>
        <v>0</v>
      </c>
      <c r="AB222" s="7">
        <f>VLOOKUP(A222,Jogos!A:L,4,0)</f>
        <v>48</v>
      </c>
      <c r="AC222" s="7">
        <f t="shared" si="657"/>
        <v>19</v>
      </c>
      <c r="AD222" s="7"/>
      <c r="AE222" s="7"/>
      <c r="AF222" s="7">
        <f t="shared" si="9"/>
        <v>19</v>
      </c>
      <c r="AG222" s="7">
        <v>2408.4</v>
      </c>
      <c r="AH222" s="7">
        <v>563.3</v>
      </c>
      <c r="AI222" s="7">
        <v>1093.4</v>
      </c>
      <c r="AJ222" s="7">
        <v>563.0</v>
      </c>
      <c r="AK222" s="7">
        <v>188.6</v>
      </c>
      <c r="AL222" s="7">
        <v>53.0</v>
      </c>
      <c r="AM222" s="7">
        <v>13.0</v>
      </c>
      <c r="AN222" s="7">
        <v>24.8</v>
      </c>
      <c r="AO222" s="7"/>
      <c r="AP222" s="9">
        <f t="shared" ref="AP222:AR222" si="695">AG222/$AF222</f>
        <v>126.7578947</v>
      </c>
      <c r="AQ222" s="9">
        <f t="shared" si="695"/>
        <v>29.64736842</v>
      </c>
      <c r="AR222" s="9">
        <f t="shared" si="695"/>
        <v>57.54736842</v>
      </c>
      <c r="AS222" s="9">
        <f t="shared" si="11"/>
        <v>87.19473684</v>
      </c>
      <c r="AT222" s="9">
        <f t="shared" ref="AT222:AV222" si="696">AJ222/$AF222</f>
        <v>29.63157895</v>
      </c>
      <c r="AU222" s="9">
        <f t="shared" si="696"/>
        <v>9.926315789</v>
      </c>
      <c r="AV222" s="9">
        <f t="shared" si="696"/>
        <v>2.789473684</v>
      </c>
      <c r="AW222" s="9">
        <f t="shared" si="13"/>
        <v>12.71578947</v>
      </c>
      <c r="AX222" s="9">
        <f t="shared" ref="AX222:AY222" si="697">AM222/$AF222</f>
        <v>0.6842105263</v>
      </c>
      <c r="AY222" s="9">
        <f t="shared" si="697"/>
        <v>1.305263158</v>
      </c>
      <c r="AZ222" s="9">
        <f>VLOOKUP(A222,Jogos!A:BN,58,0)</f>
        <v>17.715</v>
      </c>
      <c r="BA222" s="9">
        <f>VLOOKUP(A222,Jogos!A:BN,59,0)</f>
        <v>16.715</v>
      </c>
      <c r="BB222" s="9">
        <f>VLOOKUP(A222,Jogos!A:BN,60,0)</f>
        <v>93</v>
      </c>
      <c r="BC222" s="9">
        <f>VLOOKUP(A222,Jogos!A:BN,61,0)</f>
        <v>15.095</v>
      </c>
      <c r="BD222" s="9">
        <f>VLOOKUP(A222,Jogos!A:BN,62,0)</f>
        <v>0</v>
      </c>
      <c r="BE222" s="9">
        <f>VLOOKUP(A222,Jogos!A:BN,63,0)</f>
        <v>1.445</v>
      </c>
      <c r="BF222" s="9">
        <f>VLOOKUP(A222,Jogos!A:BN,64,0)</f>
        <v>18.245</v>
      </c>
      <c r="BG222" s="9">
        <f>VLOOKUP(A222,Jogos!A:BN,65,0)</f>
        <v>30.715</v>
      </c>
      <c r="BH222" s="9">
        <f>VLOOKUP(A222,Jogos!A:BN,66,0)</f>
        <v>20.69</v>
      </c>
      <c r="BI222" s="9"/>
    </row>
    <row r="223" hidden="1">
      <c r="A223" s="17">
        <v>8.0</v>
      </c>
      <c r="B223" s="11" t="s">
        <v>375</v>
      </c>
      <c r="C223" s="2" t="s">
        <v>61</v>
      </c>
      <c r="D223" s="18">
        <v>45824.0</v>
      </c>
      <c r="E223" s="19">
        <v>0.875</v>
      </c>
      <c r="F223" s="5" t="str">
        <f>VLOOKUP(A223,Jogos!A:N,10,0)</f>
        <v>Evening</v>
      </c>
      <c r="G223" s="15" t="s">
        <v>500</v>
      </c>
      <c r="H223" s="6" t="str">
        <f>VLOOKUP(A223,Jogos!A:L,12,0)</f>
        <v>Open</v>
      </c>
      <c r="I223" s="6" t="str">
        <f>VLOOKUP(G223,'Estádios e Cidades'!A:B,2,0)</f>
        <v>Philadelphia</v>
      </c>
      <c r="J223" s="15" t="s">
        <v>501</v>
      </c>
      <c r="K223" s="2" t="str">
        <f>VLOOKUP(J223,Equipes!A:F,6,0)</f>
        <v>Tropical</v>
      </c>
      <c r="L223" s="2">
        <f>VLOOKUP(J223,Equipes!A:C,3,0)</f>
        <v>11</v>
      </c>
      <c r="M223" s="2" t="str">
        <f t="shared" si="4"/>
        <v>Round of 16</v>
      </c>
      <c r="N223" s="15" t="s">
        <v>502</v>
      </c>
      <c r="O223" s="2">
        <f>VLOOKUP(N223,Equipes!A:C,3,0)</f>
        <v>21</v>
      </c>
      <c r="P223" s="2" t="str">
        <f t="shared" si="5"/>
        <v>Group</v>
      </c>
      <c r="Q223" s="2">
        <f t="shared" si="6"/>
        <v>-10</v>
      </c>
      <c r="R223" s="2" t="str">
        <f>VLOOKUP(J223,Equipes!A:B,2,0)</f>
        <v>Flamengo</v>
      </c>
      <c r="S223" s="6" t="s">
        <v>528</v>
      </c>
      <c r="T223" s="7">
        <v>30.0</v>
      </c>
      <c r="U223" s="7" t="s">
        <v>529</v>
      </c>
      <c r="V223" s="7" t="str">
        <f>VLOOKUP(U223,Jogadores!B:C,2,0)</f>
        <v>FW</v>
      </c>
      <c r="W223" s="8">
        <f>VLOOKUP(U223,Jogadores!B:D,3,0)</f>
        <v>29.39726027</v>
      </c>
      <c r="X223" s="7">
        <v>73.0</v>
      </c>
      <c r="Y223" s="7">
        <f t="shared" si="691"/>
        <v>93</v>
      </c>
      <c r="Z223" s="7">
        <f>VLOOKUP(A223,Jogos!A:L,3,0)</f>
        <v>46</v>
      </c>
      <c r="AA223" s="7">
        <f t="shared" si="7"/>
        <v>0</v>
      </c>
      <c r="AB223" s="7">
        <f>VLOOKUP(A223,Jogos!A:L,4,0)</f>
        <v>48</v>
      </c>
      <c r="AC223" s="7">
        <f t="shared" si="657"/>
        <v>20</v>
      </c>
      <c r="AD223" s="7"/>
      <c r="AE223" s="7"/>
      <c r="AF223" s="7">
        <f t="shared" si="9"/>
        <v>20</v>
      </c>
      <c r="AG223" s="7">
        <v>2349.2</v>
      </c>
      <c r="AH223" s="7">
        <v>797.5</v>
      </c>
      <c r="AI223" s="7">
        <v>879.1</v>
      </c>
      <c r="AJ223" s="7">
        <v>318.1</v>
      </c>
      <c r="AK223" s="7">
        <v>188.8</v>
      </c>
      <c r="AL223" s="7">
        <v>165.7</v>
      </c>
      <c r="AM223" s="7">
        <v>28.0</v>
      </c>
      <c r="AN223" s="7">
        <v>15.0</v>
      </c>
      <c r="AO223" s="7">
        <v>30.4</v>
      </c>
      <c r="AP223" s="9">
        <f t="shared" ref="AP223:AR223" si="698">AG223/$AF223</f>
        <v>117.46</v>
      </c>
      <c r="AQ223" s="9">
        <f t="shared" si="698"/>
        <v>39.875</v>
      </c>
      <c r="AR223" s="9">
        <f t="shared" si="698"/>
        <v>43.955</v>
      </c>
      <c r="AS223" s="9">
        <f t="shared" si="11"/>
        <v>83.83</v>
      </c>
      <c r="AT223" s="9">
        <f t="shared" ref="AT223:AV223" si="699">AJ223/$AF223</f>
        <v>15.905</v>
      </c>
      <c r="AU223" s="9">
        <f t="shared" si="699"/>
        <v>9.44</v>
      </c>
      <c r="AV223" s="9">
        <f t="shared" si="699"/>
        <v>8.285</v>
      </c>
      <c r="AW223" s="9">
        <f t="shared" si="13"/>
        <v>17.725</v>
      </c>
      <c r="AX223" s="9">
        <f t="shared" ref="AX223:AY223" si="700">AM223/$AF223</f>
        <v>1.4</v>
      </c>
      <c r="AY223" s="9">
        <f t="shared" si="700"/>
        <v>0.75</v>
      </c>
      <c r="AZ223" s="9">
        <f>VLOOKUP(A223,Jogos!A:BN,58,0)</f>
        <v>17.715</v>
      </c>
      <c r="BA223" s="9">
        <f>VLOOKUP(A223,Jogos!A:BN,59,0)</f>
        <v>16.715</v>
      </c>
      <c r="BB223" s="9">
        <f>VLOOKUP(A223,Jogos!A:BN,60,0)</f>
        <v>93</v>
      </c>
      <c r="BC223" s="9">
        <f>VLOOKUP(A223,Jogos!A:BN,61,0)</f>
        <v>15.095</v>
      </c>
      <c r="BD223" s="9">
        <f>VLOOKUP(A223,Jogos!A:BN,62,0)</f>
        <v>0</v>
      </c>
      <c r="BE223" s="9">
        <f>VLOOKUP(A223,Jogos!A:BN,63,0)</f>
        <v>1.445</v>
      </c>
      <c r="BF223" s="9">
        <f>VLOOKUP(A223,Jogos!A:BN,64,0)</f>
        <v>18.245</v>
      </c>
      <c r="BG223" s="9">
        <f>VLOOKUP(A223,Jogos!A:BN,65,0)</f>
        <v>30.715</v>
      </c>
      <c r="BH223" s="9">
        <f>VLOOKUP(A223,Jogos!A:BN,66,0)</f>
        <v>20.69</v>
      </c>
      <c r="BI223" s="9"/>
    </row>
    <row r="224" hidden="1">
      <c r="A224" s="17">
        <v>8.0</v>
      </c>
      <c r="B224" s="11" t="s">
        <v>375</v>
      </c>
      <c r="C224" s="2" t="s">
        <v>61</v>
      </c>
      <c r="D224" s="18">
        <v>45824.0</v>
      </c>
      <c r="E224" s="19">
        <v>0.875</v>
      </c>
      <c r="F224" s="5" t="str">
        <f>VLOOKUP(A224,Jogos!A:N,10,0)</f>
        <v>Evening</v>
      </c>
      <c r="G224" s="15" t="s">
        <v>500</v>
      </c>
      <c r="H224" s="6" t="str">
        <f>VLOOKUP(A224,Jogos!A:L,12,0)</f>
        <v>Open</v>
      </c>
      <c r="I224" s="6" t="str">
        <f>VLOOKUP(G224,'Estádios e Cidades'!A:B,2,0)</f>
        <v>Philadelphia</v>
      </c>
      <c r="J224" s="15" t="s">
        <v>501</v>
      </c>
      <c r="K224" s="2" t="str">
        <f>VLOOKUP(J224,Equipes!A:F,6,0)</f>
        <v>Tropical</v>
      </c>
      <c r="L224" s="2">
        <f>VLOOKUP(J224,Equipes!A:C,3,0)</f>
        <v>11</v>
      </c>
      <c r="M224" s="2" t="str">
        <f t="shared" si="4"/>
        <v>Round of 16</v>
      </c>
      <c r="N224" s="15" t="s">
        <v>502</v>
      </c>
      <c r="O224" s="2">
        <f>VLOOKUP(N224,Equipes!A:C,3,0)</f>
        <v>21</v>
      </c>
      <c r="P224" s="2" t="str">
        <f t="shared" si="5"/>
        <v>Group</v>
      </c>
      <c r="Q224" s="2">
        <f t="shared" si="6"/>
        <v>-10</v>
      </c>
      <c r="R224" s="2" t="str">
        <f>VLOOKUP(J224,Equipes!A:B,2,0)</f>
        <v>Flamengo</v>
      </c>
      <c r="S224" s="6" t="s">
        <v>530</v>
      </c>
      <c r="T224" s="7">
        <v>50.0</v>
      </c>
      <c r="U224" s="7" t="s">
        <v>531</v>
      </c>
      <c r="V224" s="7" t="str">
        <f>VLOOKUP(U224,Jogadores!B:C,2,0)</f>
        <v>FW</v>
      </c>
      <c r="W224" s="8">
        <f>VLOOKUP(U224,Jogadores!B:D,3,0)</f>
        <v>24.75342466</v>
      </c>
      <c r="X224" s="7">
        <v>65.0</v>
      </c>
      <c r="Y224" s="7">
        <f t="shared" si="691"/>
        <v>93</v>
      </c>
      <c r="Z224" s="7">
        <f>VLOOKUP(A224,Jogos!A:L,3,0)</f>
        <v>46</v>
      </c>
      <c r="AA224" s="7">
        <f t="shared" si="7"/>
        <v>0</v>
      </c>
      <c r="AB224" s="7">
        <f>VLOOKUP(A224,Jogos!A:L,4,0)</f>
        <v>48</v>
      </c>
      <c r="AC224" s="7">
        <f t="shared" si="657"/>
        <v>28</v>
      </c>
      <c r="AD224" s="7"/>
      <c r="AE224" s="7"/>
      <c r="AF224" s="7">
        <f t="shared" si="9"/>
        <v>28</v>
      </c>
      <c r="AG224" s="7">
        <v>3178.1</v>
      </c>
      <c r="AH224" s="7">
        <v>1049.5</v>
      </c>
      <c r="AI224" s="7">
        <v>1433.1</v>
      </c>
      <c r="AJ224" s="7">
        <v>442.1</v>
      </c>
      <c r="AK224" s="7">
        <v>209.0</v>
      </c>
      <c r="AL224" s="7">
        <v>44.4</v>
      </c>
      <c r="AM224" s="7">
        <v>40.0</v>
      </c>
      <c r="AN224" s="7">
        <v>16.0</v>
      </c>
      <c r="AO224" s="7">
        <v>29.2</v>
      </c>
      <c r="AP224" s="9">
        <f t="shared" ref="AP224:AR224" si="701">AG224/$AF224</f>
        <v>113.5035714</v>
      </c>
      <c r="AQ224" s="9">
        <f t="shared" si="701"/>
        <v>37.48214286</v>
      </c>
      <c r="AR224" s="9">
        <f t="shared" si="701"/>
        <v>51.18214286</v>
      </c>
      <c r="AS224" s="9">
        <f t="shared" si="11"/>
        <v>88.66428571</v>
      </c>
      <c r="AT224" s="9">
        <f t="shared" ref="AT224:AV224" si="702">AJ224/$AF224</f>
        <v>15.78928571</v>
      </c>
      <c r="AU224" s="9">
        <f t="shared" si="702"/>
        <v>7.464285714</v>
      </c>
      <c r="AV224" s="9">
        <f t="shared" si="702"/>
        <v>1.585714286</v>
      </c>
      <c r="AW224" s="9">
        <f t="shared" si="13"/>
        <v>9.05</v>
      </c>
      <c r="AX224" s="9">
        <f t="shared" ref="AX224:AY224" si="703">AM224/$AF224</f>
        <v>1.428571429</v>
      </c>
      <c r="AY224" s="9">
        <f t="shared" si="703"/>
        <v>0.5714285714</v>
      </c>
      <c r="AZ224" s="9">
        <f>VLOOKUP(A224,Jogos!A:BN,58,0)</f>
        <v>17.715</v>
      </c>
      <c r="BA224" s="9">
        <f>VLOOKUP(A224,Jogos!A:BN,59,0)</f>
        <v>16.715</v>
      </c>
      <c r="BB224" s="9">
        <f>VLOOKUP(A224,Jogos!A:BN,60,0)</f>
        <v>93</v>
      </c>
      <c r="BC224" s="9">
        <f>VLOOKUP(A224,Jogos!A:BN,61,0)</f>
        <v>15.095</v>
      </c>
      <c r="BD224" s="9">
        <f>VLOOKUP(A224,Jogos!A:BN,62,0)</f>
        <v>0</v>
      </c>
      <c r="BE224" s="9">
        <f>VLOOKUP(A224,Jogos!A:BN,63,0)</f>
        <v>1.445</v>
      </c>
      <c r="BF224" s="9">
        <f>VLOOKUP(A224,Jogos!A:BN,64,0)</f>
        <v>18.245</v>
      </c>
      <c r="BG224" s="9">
        <f>VLOOKUP(A224,Jogos!A:BN,65,0)</f>
        <v>30.715</v>
      </c>
      <c r="BH224" s="9">
        <f>VLOOKUP(A224,Jogos!A:BN,66,0)</f>
        <v>20.69</v>
      </c>
      <c r="BI224" s="9"/>
    </row>
    <row r="225" hidden="1">
      <c r="A225" s="10">
        <v>8.0</v>
      </c>
      <c r="B225" s="11" t="s">
        <v>375</v>
      </c>
      <c r="C225" s="2" t="s">
        <v>61</v>
      </c>
      <c r="D225" s="12">
        <v>45824.0</v>
      </c>
      <c r="E225" s="13">
        <v>0.875</v>
      </c>
      <c r="F225" s="5" t="str">
        <f>VLOOKUP(A225,Jogos!A:N,10,0)</f>
        <v>Evening</v>
      </c>
      <c r="G225" s="11" t="s">
        <v>500</v>
      </c>
      <c r="H225" s="6" t="str">
        <f>VLOOKUP(A225,Jogos!A:L,12,0)</f>
        <v>Open</v>
      </c>
      <c r="I225" s="6" t="str">
        <f>VLOOKUP(G225,'Estádios e Cidades'!A:B,2,0)</f>
        <v>Philadelphia</v>
      </c>
      <c r="J225" s="11" t="s">
        <v>502</v>
      </c>
      <c r="K225" s="2" t="str">
        <f>VLOOKUP(J225,Equipes!A:F,6,0)</f>
        <v>Temperate</v>
      </c>
      <c r="L225" s="2">
        <f>VLOOKUP(J225,Equipes!A:C,3,0)</f>
        <v>21</v>
      </c>
      <c r="M225" s="2" t="str">
        <f t="shared" si="4"/>
        <v>Group</v>
      </c>
      <c r="N225" s="11" t="s">
        <v>501</v>
      </c>
      <c r="O225" s="2">
        <f>VLOOKUP(N225,Equipes!A:C,3,0)</f>
        <v>11</v>
      </c>
      <c r="P225" s="2" t="str">
        <f t="shared" si="5"/>
        <v>Round of 16</v>
      </c>
      <c r="Q225" s="2">
        <f t="shared" si="6"/>
        <v>10</v>
      </c>
      <c r="R225" s="2" t="str">
        <f>VLOOKUP(J225,Equipes!A:B,2,0)</f>
        <v>Esperance</v>
      </c>
      <c r="S225" s="14" t="s">
        <v>532</v>
      </c>
      <c r="T225" s="7">
        <v>2.0</v>
      </c>
      <c r="U225" s="7" t="s">
        <v>533</v>
      </c>
      <c r="V225" s="7" t="str">
        <f>VLOOKUP(U225,Jogadores!B:C,2,0)</f>
        <v>MF</v>
      </c>
      <c r="W225" s="8">
        <f>VLOOKUP(U225,Jogadores!B:D,3,0)</f>
        <v>30.46575342</v>
      </c>
      <c r="X225" s="7">
        <v>0.0</v>
      </c>
      <c r="Y225" s="7">
        <v>84.0</v>
      </c>
      <c r="Z225" s="7">
        <f>VLOOKUP(A225,Jogos!A:L,3,0)</f>
        <v>46</v>
      </c>
      <c r="AA225" s="7">
        <f t="shared" si="7"/>
        <v>46</v>
      </c>
      <c r="AB225" s="7">
        <f>VLOOKUP(A225,Jogos!A:L,4,0)</f>
        <v>48</v>
      </c>
      <c r="AC225" s="7">
        <f t="shared" si="657"/>
        <v>39</v>
      </c>
      <c r="AD225" s="7"/>
      <c r="AE225" s="7"/>
      <c r="AF225" s="7">
        <f t="shared" si="9"/>
        <v>85</v>
      </c>
      <c r="AG225" s="7">
        <v>8712.6</v>
      </c>
      <c r="AH225" s="7">
        <v>3431.5</v>
      </c>
      <c r="AI225" s="7">
        <v>3522.6</v>
      </c>
      <c r="AJ225" s="7">
        <v>1016.7</v>
      </c>
      <c r="AK225" s="7">
        <v>505.9</v>
      </c>
      <c r="AL225" s="7">
        <v>235.9</v>
      </c>
      <c r="AM225" s="7">
        <v>89.0</v>
      </c>
      <c r="AN225" s="7">
        <v>41.0</v>
      </c>
      <c r="AO225" s="7">
        <v>31.9</v>
      </c>
      <c r="AP225" s="9">
        <f t="shared" ref="AP225:AR225" si="704">AG225/$AF225</f>
        <v>102.5011765</v>
      </c>
      <c r="AQ225" s="9">
        <f t="shared" si="704"/>
        <v>40.37058824</v>
      </c>
      <c r="AR225" s="9">
        <f t="shared" si="704"/>
        <v>41.44235294</v>
      </c>
      <c r="AS225" s="9">
        <f t="shared" si="11"/>
        <v>81.81294118</v>
      </c>
      <c r="AT225" s="9">
        <f t="shared" ref="AT225:AV225" si="705">AJ225/$AF225</f>
        <v>11.96117647</v>
      </c>
      <c r="AU225" s="9">
        <f t="shared" si="705"/>
        <v>5.951764706</v>
      </c>
      <c r="AV225" s="9">
        <f t="shared" si="705"/>
        <v>2.775294118</v>
      </c>
      <c r="AW225" s="9">
        <f t="shared" si="13"/>
        <v>8.727058824</v>
      </c>
      <c r="AX225" s="9">
        <f t="shared" ref="AX225:AY225" si="706">AM225/$AF225</f>
        <v>1.047058824</v>
      </c>
      <c r="AY225" s="9">
        <f t="shared" si="706"/>
        <v>0.4823529412</v>
      </c>
      <c r="AZ225" s="9">
        <f>VLOOKUP(A225,Jogos!A:BN,58,0)</f>
        <v>17.715</v>
      </c>
      <c r="BA225" s="9">
        <f>VLOOKUP(A225,Jogos!A:BN,59,0)</f>
        <v>16.715</v>
      </c>
      <c r="BB225" s="9">
        <f>VLOOKUP(A225,Jogos!A:BN,60,0)</f>
        <v>93</v>
      </c>
      <c r="BC225" s="9">
        <f>VLOOKUP(A225,Jogos!A:BN,61,0)</f>
        <v>15.095</v>
      </c>
      <c r="BD225" s="9">
        <f>VLOOKUP(A225,Jogos!A:BN,62,0)</f>
        <v>0</v>
      </c>
      <c r="BE225" s="9">
        <f>VLOOKUP(A225,Jogos!A:BN,63,0)</f>
        <v>1.445</v>
      </c>
      <c r="BF225" s="9">
        <f>VLOOKUP(A225,Jogos!A:BN,64,0)</f>
        <v>18.245</v>
      </c>
      <c r="BG225" s="9">
        <f>VLOOKUP(A225,Jogos!A:BN,65,0)</f>
        <v>30.715</v>
      </c>
      <c r="BH225" s="9">
        <f>VLOOKUP(A225,Jogos!A:BN,66,0)</f>
        <v>20.69</v>
      </c>
      <c r="BI225" s="9"/>
    </row>
    <row r="226" hidden="1">
      <c r="A226" s="10">
        <v>8.0</v>
      </c>
      <c r="B226" s="11" t="s">
        <v>375</v>
      </c>
      <c r="C226" s="2" t="s">
        <v>61</v>
      </c>
      <c r="D226" s="12">
        <v>45824.0</v>
      </c>
      <c r="E226" s="13">
        <v>0.875</v>
      </c>
      <c r="F226" s="5" t="str">
        <f>VLOOKUP(A226,Jogos!A:N,10,0)</f>
        <v>Evening</v>
      </c>
      <c r="G226" s="11" t="s">
        <v>500</v>
      </c>
      <c r="H226" s="6" t="str">
        <f>VLOOKUP(A226,Jogos!A:L,12,0)</f>
        <v>Open</v>
      </c>
      <c r="I226" s="6" t="str">
        <f>VLOOKUP(G226,'Estádios e Cidades'!A:B,2,0)</f>
        <v>Philadelphia</v>
      </c>
      <c r="J226" s="11" t="s">
        <v>502</v>
      </c>
      <c r="K226" s="2" t="str">
        <f>VLOOKUP(J226,Equipes!A:F,6,0)</f>
        <v>Temperate</v>
      </c>
      <c r="L226" s="2">
        <f>VLOOKUP(J226,Equipes!A:C,3,0)</f>
        <v>21</v>
      </c>
      <c r="M226" s="2" t="str">
        <f t="shared" si="4"/>
        <v>Group</v>
      </c>
      <c r="N226" s="11" t="s">
        <v>501</v>
      </c>
      <c r="O226" s="2">
        <f>VLOOKUP(N226,Equipes!A:C,3,0)</f>
        <v>11</v>
      </c>
      <c r="P226" s="2" t="str">
        <f t="shared" si="5"/>
        <v>Round of 16</v>
      </c>
      <c r="Q226" s="2">
        <f t="shared" si="6"/>
        <v>10</v>
      </c>
      <c r="R226" s="2" t="str">
        <f>VLOOKUP(J226,Equipes!A:B,2,0)</f>
        <v>Esperance</v>
      </c>
      <c r="S226" s="6" t="s">
        <v>534</v>
      </c>
      <c r="T226" s="7">
        <v>5.0</v>
      </c>
      <c r="U226" s="7" t="s">
        <v>535</v>
      </c>
      <c r="V226" s="7" t="str">
        <f>VLOOKUP(U226,Jogadores!B:C,2,0)</f>
        <v>DF</v>
      </c>
      <c r="W226" s="8">
        <f>VLOOKUP(U226,Jogadores!B:D,3,0)</f>
        <v>32.09315068</v>
      </c>
      <c r="X226" s="7">
        <v>0.0</v>
      </c>
      <c r="Y226" s="7">
        <f>45+AB226</f>
        <v>93</v>
      </c>
      <c r="Z226" s="7">
        <f>VLOOKUP(A226,Jogos!A:L,3,0)</f>
        <v>46</v>
      </c>
      <c r="AA226" s="7">
        <f t="shared" si="7"/>
        <v>46</v>
      </c>
      <c r="AB226" s="7">
        <f>VLOOKUP(A226,Jogos!A:L,4,0)</f>
        <v>48</v>
      </c>
      <c r="AC226" s="7">
        <f t="shared" si="657"/>
        <v>48</v>
      </c>
      <c r="AD226" s="7"/>
      <c r="AE226" s="7"/>
      <c r="AF226" s="7">
        <f t="shared" si="9"/>
        <v>94</v>
      </c>
      <c r="AG226" s="7">
        <v>9289.1</v>
      </c>
      <c r="AH226" s="7">
        <v>3583.5</v>
      </c>
      <c r="AI226" s="7">
        <v>4497.4</v>
      </c>
      <c r="AJ226" s="7">
        <v>791.5</v>
      </c>
      <c r="AK226" s="7">
        <v>334.0</v>
      </c>
      <c r="AL226" s="7">
        <v>82.6</v>
      </c>
      <c r="AM226" s="7">
        <v>74.0</v>
      </c>
      <c r="AN226" s="7">
        <v>24.0</v>
      </c>
      <c r="AO226" s="7">
        <v>29.4</v>
      </c>
      <c r="AP226" s="9">
        <f t="shared" ref="AP226:AR226" si="707">AG226/$AF226</f>
        <v>98.82021277</v>
      </c>
      <c r="AQ226" s="9">
        <f t="shared" si="707"/>
        <v>38.12234043</v>
      </c>
      <c r="AR226" s="9">
        <f t="shared" si="707"/>
        <v>47.84468085</v>
      </c>
      <c r="AS226" s="9">
        <f t="shared" si="11"/>
        <v>85.96702128</v>
      </c>
      <c r="AT226" s="9">
        <f t="shared" ref="AT226:AV226" si="708">AJ226/$AF226</f>
        <v>8.420212766</v>
      </c>
      <c r="AU226" s="9">
        <f t="shared" si="708"/>
        <v>3.553191489</v>
      </c>
      <c r="AV226" s="9">
        <f t="shared" si="708"/>
        <v>0.8787234043</v>
      </c>
      <c r="AW226" s="9">
        <f t="shared" si="13"/>
        <v>4.431914894</v>
      </c>
      <c r="AX226" s="9">
        <f t="shared" ref="AX226:AY226" si="709">AM226/$AF226</f>
        <v>0.7872340426</v>
      </c>
      <c r="AY226" s="9">
        <f t="shared" si="709"/>
        <v>0.2553191489</v>
      </c>
      <c r="AZ226" s="9">
        <f>VLOOKUP(A226,Jogos!A:BN,58,0)</f>
        <v>17.715</v>
      </c>
      <c r="BA226" s="9">
        <f>VLOOKUP(A226,Jogos!A:BN,59,0)</f>
        <v>16.715</v>
      </c>
      <c r="BB226" s="9">
        <f>VLOOKUP(A226,Jogos!A:BN,60,0)</f>
        <v>93</v>
      </c>
      <c r="BC226" s="9">
        <f>VLOOKUP(A226,Jogos!A:BN,61,0)</f>
        <v>15.095</v>
      </c>
      <c r="BD226" s="9">
        <f>VLOOKUP(A226,Jogos!A:BN,62,0)</f>
        <v>0</v>
      </c>
      <c r="BE226" s="9">
        <f>VLOOKUP(A226,Jogos!A:BN,63,0)</f>
        <v>1.445</v>
      </c>
      <c r="BF226" s="9">
        <f>VLOOKUP(A226,Jogos!A:BN,64,0)</f>
        <v>18.245</v>
      </c>
      <c r="BG226" s="9">
        <f>VLOOKUP(A226,Jogos!A:BN,65,0)</f>
        <v>30.715</v>
      </c>
      <c r="BH226" s="9">
        <f>VLOOKUP(A226,Jogos!A:BN,66,0)</f>
        <v>20.69</v>
      </c>
      <c r="BI226" s="9"/>
    </row>
    <row r="227" hidden="1">
      <c r="A227" s="10">
        <v>8.0</v>
      </c>
      <c r="B227" s="11" t="s">
        <v>375</v>
      </c>
      <c r="C227" s="2" t="s">
        <v>61</v>
      </c>
      <c r="D227" s="12">
        <v>45824.0</v>
      </c>
      <c r="E227" s="13">
        <v>0.875</v>
      </c>
      <c r="F227" s="5" t="str">
        <f>VLOOKUP(A227,Jogos!A:N,10,0)</f>
        <v>Evening</v>
      </c>
      <c r="G227" s="11" t="s">
        <v>500</v>
      </c>
      <c r="H227" s="6" t="str">
        <f>VLOOKUP(A227,Jogos!A:L,12,0)</f>
        <v>Open</v>
      </c>
      <c r="I227" s="6" t="str">
        <f>VLOOKUP(G227,'Estádios e Cidades'!A:B,2,0)</f>
        <v>Philadelphia</v>
      </c>
      <c r="J227" s="11" t="s">
        <v>502</v>
      </c>
      <c r="K227" s="2" t="str">
        <f>VLOOKUP(J227,Equipes!A:F,6,0)</f>
        <v>Temperate</v>
      </c>
      <c r="L227" s="2">
        <f>VLOOKUP(J227,Equipes!A:C,3,0)</f>
        <v>21</v>
      </c>
      <c r="M227" s="2" t="str">
        <f t="shared" si="4"/>
        <v>Group</v>
      </c>
      <c r="N227" s="11" t="s">
        <v>501</v>
      </c>
      <c r="O227" s="2">
        <f>VLOOKUP(N227,Equipes!A:C,3,0)</f>
        <v>11</v>
      </c>
      <c r="P227" s="2" t="str">
        <f t="shared" si="5"/>
        <v>Round of 16</v>
      </c>
      <c r="Q227" s="2">
        <f t="shared" si="6"/>
        <v>10</v>
      </c>
      <c r="R227" s="2" t="str">
        <f>VLOOKUP(J227,Equipes!A:B,2,0)</f>
        <v>Esperance</v>
      </c>
      <c r="S227" s="6" t="s">
        <v>536</v>
      </c>
      <c r="T227" s="7">
        <v>9.0</v>
      </c>
      <c r="U227" s="7" t="s">
        <v>537</v>
      </c>
      <c r="V227" s="7" t="str">
        <f>VLOOKUP(U227,Jogadores!B:C,2,0)</f>
        <v>FW</v>
      </c>
      <c r="W227" s="8">
        <f>VLOOKUP(U227,Jogadores!B:D,3,0)</f>
        <v>29.12876712</v>
      </c>
      <c r="X227" s="7">
        <v>0.0</v>
      </c>
      <c r="Y227" s="7">
        <v>75.0</v>
      </c>
      <c r="Z227" s="7">
        <f>VLOOKUP(A227,Jogos!A:L,3,0)</f>
        <v>46</v>
      </c>
      <c r="AA227" s="7">
        <f t="shared" si="7"/>
        <v>46</v>
      </c>
      <c r="AB227" s="7">
        <f>VLOOKUP(A227,Jogos!A:L,4,0)</f>
        <v>48</v>
      </c>
      <c r="AC227" s="7">
        <f t="shared" si="657"/>
        <v>30</v>
      </c>
      <c r="AD227" s="7"/>
      <c r="AE227" s="7"/>
      <c r="AF227" s="7">
        <f t="shared" si="9"/>
        <v>76</v>
      </c>
      <c r="AG227" s="7">
        <v>8708.3</v>
      </c>
      <c r="AH227" s="7">
        <v>2814.8</v>
      </c>
      <c r="AI227" s="7">
        <v>3904.8</v>
      </c>
      <c r="AJ227" s="7">
        <v>1359.3</v>
      </c>
      <c r="AK227" s="7">
        <v>515.8</v>
      </c>
      <c r="AL227" s="7">
        <v>113.6</v>
      </c>
      <c r="AM227" s="7">
        <v>117.0</v>
      </c>
      <c r="AN227" s="7">
        <v>37.0</v>
      </c>
      <c r="AO227" s="7">
        <v>30.6</v>
      </c>
      <c r="AP227" s="9">
        <f t="shared" ref="AP227:AR227" si="710">AG227/$AF227</f>
        <v>114.5828947</v>
      </c>
      <c r="AQ227" s="9">
        <f t="shared" si="710"/>
        <v>37.03684211</v>
      </c>
      <c r="AR227" s="9">
        <f t="shared" si="710"/>
        <v>51.37894737</v>
      </c>
      <c r="AS227" s="9">
        <f t="shared" si="11"/>
        <v>88.41578947</v>
      </c>
      <c r="AT227" s="9">
        <f t="shared" ref="AT227:AV227" si="711">AJ227/$AF227</f>
        <v>17.88552632</v>
      </c>
      <c r="AU227" s="9">
        <f t="shared" si="711"/>
        <v>6.786842105</v>
      </c>
      <c r="AV227" s="9">
        <f t="shared" si="711"/>
        <v>1.494736842</v>
      </c>
      <c r="AW227" s="9">
        <f t="shared" si="13"/>
        <v>8.281578947</v>
      </c>
      <c r="AX227" s="9">
        <f t="shared" ref="AX227:AY227" si="712">AM227/$AF227</f>
        <v>1.539473684</v>
      </c>
      <c r="AY227" s="9">
        <f t="shared" si="712"/>
        <v>0.4868421053</v>
      </c>
      <c r="AZ227" s="9">
        <f>VLOOKUP(A227,Jogos!A:BN,58,0)</f>
        <v>17.715</v>
      </c>
      <c r="BA227" s="9">
        <f>VLOOKUP(A227,Jogos!A:BN,59,0)</f>
        <v>16.715</v>
      </c>
      <c r="BB227" s="9">
        <f>VLOOKUP(A227,Jogos!A:BN,60,0)</f>
        <v>93</v>
      </c>
      <c r="BC227" s="9">
        <f>VLOOKUP(A227,Jogos!A:BN,61,0)</f>
        <v>15.095</v>
      </c>
      <c r="BD227" s="9">
        <f>VLOOKUP(A227,Jogos!A:BN,62,0)</f>
        <v>0</v>
      </c>
      <c r="BE227" s="9">
        <f>VLOOKUP(A227,Jogos!A:BN,63,0)</f>
        <v>1.445</v>
      </c>
      <c r="BF227" s="9">
        <f>VLOOKUP(A227,Jogos!A:BN,64,0)</f>
        <v>18.245</v>
      </c>
      <c r="BG227" s="9">
        <f>VLOOKUP(A227,Jogos!A:BN,65,0)</f>
        <v>30.715</v>
      </c>
      <c r="BH227" s="9">
        <f>VLOOKUP(A227,Jogos!A:BN,66,0)</f>
        <v>20.69</v>
      </c>
      <c r="BI227" s="9"/>
    </row>
    <row r="228" hidden="1">
      <c r="A228" s="10">
        <v>8.0</v>
      </c>
      <c r="B228" s="11" t="s">
        <v>375</v>
      </c>
      <c r="C228" s="2" t="s">
        <v>61</v>
      </c>
      <c r="D228" s="12">
        <v>45824.0</v>
      </c>
      <c r="E228" s="13">
        <v>0.875</v>
      </c>
      <c r="F228" s="5" t="str">
        <f>VLOOKUP(A228,Jogos!A:N,10,0)</f>
        <v>Evening</v>
      </c>
      <c r="G228" s="11" t="s">
        <v>500</v>
      </c>
      <c r="H228" s="6" t="str">
        <f>VLOOKUP(A228,Jogos!A:L,12,0)</f>
        <v>Open</v>
      </c>
      <c r="I228" s="6" t="str">
        <f>VLOOKUP(G228,'Estádios e Cidades'!A:B,2,0)</f>
        <v>Philadelphia</v>
      </c>
      <c r="J228" s="11" t="s">
        <v>502</v>
      </c>
      <c r="K228" s="2" t="str">
        <f>VLOOKUP(J228,Equipes!A:F,6,0)</f>
        <v>Temperate</v>
      </c>
      <c r="L228" s="2">
        <f>VLOOKUP(J228,Equipes!A:C,3,0)</f>
        <v>21</v>
      </c>
      <c r="M228" s="2" t="str">
        <f t="shared" si="4"/>
        <v>Group</v>
      </c>
      <c r="N228" s="11" t="s">
        <v>501</v>
      </c>
      <c r="O228" s="2">
        <f>VLOOKUP(N228,Equipes!A:C,3,0)</f>
        <v>11</v>
      </c>
      <c r="P228" s="2" t="str">
        <f t="shared" si="5"/>
        <v>Round of 16</v>
      </c>
      <c r="Q228" s="2">
        <f t="shared" si="6"/>
        <v>10</v>
      </c>
      <c r="R228" s="2" t="str">
        <f>VLOOKUP(J228,Equipes!A:B,2,0)</f>
        <v>Esperance</v>
      </c>
      <c r="S228" s="6" t="s">
        <v>538</v>
      </c>
      <c r="T228" s="7">
        <v>10.0</v>
      </c>
      <c r="U228" s="7" t="s">
        <v>539</v>
      </c>
      <c r="V228" s="7" t="str">
        <f>VLOOKUP(U228,Jogadores!B:C,2,0)</f>
        <v>MF</v>
      </c>
      <c r="W228" s="8">
        <f>VLOOKUP(U228,Jogadores!B:D,3,0)</f>
        <v>28.11232877</v>
      </c>
      <c r="X228" s="7">
        <v>0.0</v>
      </c>
      <c r="Y228" s="7">
        <v>45.0</v>
      </c>
      <c r="Z228" s="7">
        <f>VLOOKUP(A228,Jogos!A:L,3,0)</f>
        <v>46</v>
      </c>
      <c r="AA228" s="7">
        <f t="shared" si="7"/>
        <v>46</v>
      </c>
      <c r="AB228" s="7">
        <f>VLOOKUP(A228,Jogos!A:L,4,0)</f>
        <v>48</v>
      </c>
      <c r="AC228" s="7">
        <f t="shared" si="657"/>
        <v>0</v>
      </c>
      <c r="AD228" s="7"/>
      <c r="AE228" s="7"/>
      <c r="AF228" s="7">
        <f t="shared" si="9"/>
        <v>46</v>
      </c>
      <c r="AG228" s="7">
        <v>5305.8</v>
      </c>
      <c r="AH228" s="7">
        <v>2197.0</v>
      </c>
      <c r="AI228" s="7">
        <v>1618.1</v>
      </c>
      <c r="AJ228" s="7">
        <v>926.1</v>
      </c>
      <c r="AK228" s="7">
        <v>438.7</v>
      </c>
      <c r="AL228" s="7">
        <v>125.9</v>
      </c>
      <c r="AM228" s="7">
        <v>81.0</v>
      </c>
      <c r="AN228" s="7">
        <v>37.0</v>
      </c>
      <c r="AO228" s="7">
        <v>30.5</v>
      </c>
      <c r="AP228" s="9">
        <f t="shared" ref="AP228:AR228" si="713">AG228/$AF228</f>
        <v>115.3434783</v>
      </c>
      <c r="AQ228" s="9">
        <f t="shared" si="713"/>
        <v>47.76086957</v>
      </c>
      <c r="AR228" s="9">
        <f t="shared" si="713"/>
        <v>35.17608696</v>
      </c>
      <c r="AS228" s="9">
        <f t="shared" si="11"/>
        <v>82.93695652</v>
      </c>
      <c r="AT228" s="9">
        <f t="shared" ref="AT228:AV228" si="714">AJ228/$AF228</f>
        <v>20.1326087</v>
      </c>
      <c r="AU228" s="9">
        <f t="shared" si="714"/>
        <v>9.536956522</v>
      </c>
      <c r="AV228" s="9">
        <f t="shared" si="714"/>
        <v>2.736956522</v>
      </c>
      <c r="AW228" s="9">
        <f t="shared" si="13"/>
        <v>12.27391304</v>
      </c>
      <c r="AX228" s="9">
        <f t="shared" ref="AX228:AY228" si="715">AM228/$AF228</f>
        <v>1.760869565</v>
      </c>
      <c r="AY228" s="9">
        <f t="shared" si="715"/>
        <v>0.8043478261</v>
      </c>
      <c r="AZ228" s="9">
        <f>VLOOKUP(A228,Jogos!A:BN,58,0)</f>
        <v>17.715</v>
      </c>
      <c r="BA228" s="9">
        <f>VLOOKUP(A228,Jogos!A:BN,59,0)</f>
        <v>16.715</v>
      </c>
      <c r="BB228" s="9">
        <f>VLOOKUP(A228,Jogos!A:BN,60,0)</f>
        <v>93</v>
      </c>
      <c r="BC228" s="9">
        <f>VLOOKUP(A228,Jogos!A:BN,61,0)</f>
        <v>15.095</v>
      </c>
      <c r="BD228" s="9">
        <f>VLOOKUP(A228,Jogos!A:BN,62,0)</f>
        <v>0</v>
      </c>
      <c r="BE228" s="9">
        <f>VLOOKUP(A228,Jogos!A:BN,63,0)</f>
        <v>1.445</v>
      </c>
      <c r="BF228" s="9">
        <f>VLOOKUP(A228,Jogos!A:BN,64,0)</f>
        <v>18.245</v>
      </c>
      <c r="BG228" s="9">
        <f>VLOOKUP(A228,Jogos!A:BN,65,0)</f>
        <v>30.715</v>
      </c>
      <c r="BH228" s="9">
        <f>VLOOKUP(A228,Jogos!A:BN,66,0)</f>
        <v>20.69</v>
      </c>
      <c r="BI228" s="9"/>
    </row>
    <row r="229" hidden="1">
      <c r="A229" s="10">
        <v>8.0</v>
      </c>
      <c r="B229" s="11" t="s">
        <v>375</v>
      </c>
      <c r="C229" s="2" t="s">
        <v>61</v>
      </c>
      <c r="D229" s="12">
        <v>45824.0</v>
      </c>
      <c r="E229" s="13">
        <v>0.875</v>
      </c>
      <c r="F229" s="5" t="str">
        <f>VLOOKUP(A229,Jogos!A:N,10,0)</f>
        <v>Evening</v>
      </c>
      <c r="G229" s="11" t="s">
        <v>500</v>
      </c>
      <c r="H229" s="6" t="str">
        <f>VLOOKUP(A229,Jogos!A:L,12,0)</f>
        <v>Open</v>
      </c>
      <c r="I229" s="6" t="str">
        <f>VLOOKUP(G229,'Estádios e Cidades'!A:B,2,0)</f>
        <v>Philadelphia</v>
      </c>
      <c r="J229" s="11" t="s">
        <v>502</v>
      </c>
      <c r="K229" s="2" t="str">
        <f>VLOOKUP(J229,Equipes!A:F,6,0)</f>
        <v>Temperate</v>
      </c>
      <c r="L229" s="2">
        <f>VLOOKUP(J229,Equipes!A:C,3,0)</f>
        <v>21</v>
      </c>
      <c r="M229" s="2" t="str">
        <f t="shared" si="4"/>
        <v>Group</v>
      </c>
      <c r="N229" s="11" t="s">
        <v>501</v>
      </c>
      <c r="O229" s="2">
        <f>VLOOKUP(N229,Equipes!A:C,3,0)</f>
        <v>11</v>
      </c>
      <c r="P229" s="2" t="str">
        <f t="shared" si="5"/>
        <v>Round of 16</v>
      </c>
      <c r="Q229" s="2">
        <f t="shared" si="6"/>
        <v>10</v>
      </c>
      <c r="R229" s="2" t="str">
        <f>VLOOKUP(J229,Equipes!A:B,2,0)</f>
        <v>Esperance</v>
      </c>
      <c r="S229" s="6" t="s">
        <v>540</v>
      </c>
      <c r="T229" s="7">
        <v>11.0</v>
      </c>
      <c r="U229" s="7" t="s">
        <v>541</v>
      </c>
      <c r="V229" s="7" t="str">
        <f>VLOOKUP(U229,Jogadores!B:C,2,0)</f>
        <v>MF</v>
      </c>
      <c r="W229" s="8">
        <f>VLOOKUP(U229,Jogadores!B:D,3,0)</f>
        <v>33.39452055</v>
      </c>
      <c r="X229" s="7">
        <v>0.0</v>
      </c>
      <c r="Y229" s="7">
        <f t="shared" ref="Y229:Y232" si="719">45+AB229</f>
        <v>93</v>
      </c>
      <c r="Z229" s="7">
        <f>VLOOKUP(A229,Jogos!A:L,3,0)</f>
        <v>46</v>
      </c>
      <c r="AA229" s="7">
        <f t="shared" si="7"/>
        <v>46</v>
      </c>
      <c r="AB229" s="7">
        <f>VLOOKUP(A229,Jogos!A:L,4,0)</f>
        <v>48</v>
      </c>
      <c r="AC229" s="7">
        <f t="shared" si="657"/>
        <v>48</v>
      </c>
      <c r="AD229" s="7"/>
      <c r="AE229" s="7"/>
      <c r="AF229" s="7">
        <f t="shared" si="9"/>
        <v>94</v>
      </c>
      <c r="AG229" s="7">
        <v>8352.0</v>
      </c>
      <c r="AH229" s="7">
        <v>3772.1</v>
      </c>
      <c r="AI229" s="7">
        <v>2568.3</v>
      </c>
      <c r="AJ229" s="7">
        <v>1095.7</v>
      </c>
      <c r="AK229" s="7">
        <v>573.8</v>
      </c>
      <c r="AL229" s="7">
        <v>342.0</v>
      </c>
      <c r="AM229" s="7">
        <v>89.0</v>
      </c>
      <c r="AN229" s="7">
        <v>54.0</v>
      </c>
      <c r="AO229" s="7">
        <v>32.6</v>
      </c>
      <c r="AP229" s="9">
        <f t="shared" ref="AP229:AR229" si="716">AG229/$AF229</f>
        <v>88.85106383</v>
      </c>
      <c r="AQ229" s="9">
        <f t="shared" si="716"/>
        <v>40.1287234</v>
      </c>
      <c r="AR229" s="9">
        <f t="shared" si="716"/>
        <v>27.32234043</v>
      </c>
      <c r="AS229" s="9">
        <f t="shared" si="11"/>
        <v>67.45106383</v>
      </c>
      <c r="AT229" s="9">
        <f t="shared" ref="AT229:AV229" si="717">AJ229/$AF229</f>
        <v>11.65638298</v>
      </c>
      <c r="AU229" s="9">
        <f t="shared" si="717"/>
        <v>6.104255319</v>
      </c>
      <c r="AV229" s="9">
        <f t="shared" si="717"/>
        <v>3.638297872</v>
      </c>
      <c r="AW229" s="9">
        <f t="shared" si="13"/>
        <v>9.742553191</v>
      </c>
      <c r="AX229" s="9">
        <f t="shared" ref="AX229:AY229" si="718">AM229/$AF229</f>
        <v>0.9468085106</v>
      </c>
      <c r="AY229" s="9">
        <f t="shared" si="718"/>
        <v>0.5744680851</v>
      </c>
      <c r="AZ229" s="9">
        <f>VLOOKUP(A229,Jogos!A:BN,58,0)</f>
        <v>17.715</v>
      </c>
      <c r="BA229" s="9">
        <f>VLOOKUP(A229,Jogos!A:BN,59,0)</f>
        <v>16.715</v>
      </c>
      <c r="BB229" s="9">
        <f>VLOOKUP(A229,Jogos!A:BN,60,0)</f>
        <v>93</v>
      </c>
      <c r="BC229" s="9">
        <f>VLOOKUP(A229,Jogos!A:BN,61,0)</f>
        <v>15.095</v>
      </c>
      <c r="BD229" s="9">
        <f>VLOOKUP(A229,Jogos!A:BN,62,0)</f>
        <v>0</v>
      </c>
      <c r="BE229" s="9">
        <f>VLOOKUP(A229,Jogos!A:BN,63,0)</f>
        <v>1.445</v>
      </c>
      <c r="BF229" s="9">
        <f>VLOOKUP(A229,Jogos!A:BN,64,0)</f>
        <v>18.245</v>
      </c>
      <c r="BG229" s="9">
        <f>VLOOKUP(A229,Jogos!A:BN,65,0)</f>
        <v>30.715</v>
      </c>
      <c r="BH229" s="9">
        <f>VLOOKUP(A229,Jogos!A:BN,66,0)</f>
        <v>20.69</v>
      </c>
      <c r="BI229" s="9"/>
    </row>
    <row r="230" hidden="1">
      <c r="A230" s="10">
        <v>8.0</v>
      </c>
      <c r="B230" s="11" t="s">
        <v>375</v>
      </c>
      <c r="C230" s="2" t="s">
        <v>61</v>
      </c>
      <c r="D230" s="12">
        <v>45824.0</v>
      </c>
      <c r="E230" s="13">
        <v>0.875</v>
      </c>
      <c r="F230" s="5" t="str">
        <f>VLOOKUP(A230,Jogos!A:N,10,0)</f>
        <v>Evening</v>
      </c>
      <c r="G230" s="11" t="s">
        <v>500</v>
      </c>
      <c r="H230" s="6" t="str">
        <f>VLOOKUP(A230,Jogos!A:L,12,0)</f>
        <v>Open</v>
      </c>
      <c r="I230" s="6" t="str">
        <f>VLOOKUP(G230,'Estádios e Cidades'!A:B,2,0)</f>
        <v>Philadelphia</v>
      </c>
      <c r="J230" s="11" t="s">
        <v>502</v>
      </c>
      <c r="K230" s="2" t="str">
        <f>VLOOKUP(J230,Equipes!A:F,6,0)</f>
        <v>Temperate</v>
      </c>
      <c r="L230" s="2">
        <f>VLOOKUP(J230,Equipes!A:C,3,0)</f>
        <v>21</v>
      </c>
      <c r="M230" s="2" t="str">
        <f t="shared" si="4"/>
        <v>Group</v>
      </c>
      <c r="N230" s="11" t="s">
        <v>501</v>
      </c>
      <c r="O230" s="2">
        <f>VLOOKUP(N230,Equipes!A:C,3,0)</f>
        <v>11</v>
      </c>
      <c r="P230" s="2" t="str">
        <f t="shared" si="5"/>
        <v>Round of 16</v>
      </c>
      <c r="Q230" s="2">
        <f t="shared" si="6"/>
        <v>10</v>
      </c>
      <c r="R230" s="2" t="str">
        <f>VLOOKUP(J230,Equipes!A:B,2,0)</f>
        <v>Esperance</v>
      </c>
      <c r="S230" s="6" t="s">
        <v>542</v>
      </c>
      <c r="T230" s="7">
        <v>14.0</v>
      </c>
      <c r="U230" s="7" t="s">
        <v>543</v>
      </c>
      <c r="V230" s="7" t="str">
        <f>VLOOKUP(U230,Jogadores!B:C,2,0)</f>
        <v>MF</v>
      </c>
      <c r="W230" s="8">
        <f>VLOOKUP(U230,Jogadores!B:D,3,0)</f>
        <v>22.23287671</v>
      </c>
      <c r="X230" s="7">
        <v>0.0</v>
      </c>
      <c r="Y230" s="7">
        <f t="shared" si="719"/>
        <v>93</v>
      </c>
      <c r="Z230" s="7">
        <f>VLOOKUP(A230,Jogos!A:L,3,0)</f>
        <v>46</v>
      </c>
      <c r="AA230" s="7">
        <f t="shared" si="7"/>
        <v>46</v>
      </c>
      <c r="AB230" s="7">
        <f>VLOOKUP(A230,Jogos!A:L,4,0)</f>
        <v>48</v>
      </c>
      <c r="AC230" s="7">
        <f t="shared" si="657"/>
        <v>48</v>
      </c>
      <c r="AD230" s="7"/>
      <c r="AE230" s="7"/>
      <c r="AF230" s="7">
        <f t="shared" si="9"/>
        <v>94</v>
      </c>
      <c r="AG230" s="7">
        <v>10107.7</v>
      </c>
      <c r="AH230" s="7">
        <v>3739.3</v>
      </c>
      <c r="AI230" s="7">
        <v>4411.4</v>
      </c>
      <c r="AJ230" s="7">
        <v>1322.0</v>
      </c>
      <c r="AK230" s="7">
        <v>528.8</v>
      </c>
      <c r="AL230" s="7">
        <v>106.2</v>
      </c>
      <c r="AM230" s="7">
        <v>117.0</v>
      </c>
      <c r="AN230" s="7">
        <v>41.0</v>
      </c>
      <c r="AO230" s="7">
        <v>31.0</v>
      </c>
      <c r="AP230" s="9">
        <f t="shared" ref="AP230:AR230" si="720">AG230/$AF230</f>
        <v>107.5287234</v>
      </c>
      <c r="AQ230" s="9">
        <f t="shared" si="720"/>
        <v>39.77978723</v>
      </c>
      <c r="AR230" s="9">
        <f t="shared" si="720"/>
        <v>46.92978723</v>
      </c>
      <c r="AS230" s="9">
        <f t="shared" si="11"/>
        <v>86.70957447</v>
      </c>
      <c r="AT230" s="9">
        <f t="shared" ref="AT230:AV230" si="721">AJ230/$AF230</f>
        <v>14.06382979</v>
      </c>
      <c r="AU230" s="9">
        <f t="shared" si="721"/>
        <v>5.625531915</v>
      </c>
      <c r="AV230" s="9">
        <f t="shared" si="721"/>
        <v>1.129787234</v>
      </c>
      <c r="AW230" s="9">
        <f t="shared" si="13"/>
        <v>6.755319149</v>
      </c>
      <c r="AX230" s="9">
        <f t="shared" ref="AX230:AY230" si="722">AM230/$AF230</f>
        <v>1.244680851</v>
      </c>
      <c r="AY230" s="9">
        <f t="shared" si="722"/>
        <v>0.4361702128</v>
      </c>
      <c r="AZ230" s="9">
        <f>VLOOKUP(A230,Jogos!A:BN,58,0)</f>
        <v>17.715</v>
      </c>
      <c r="BA230" s="9">
        <f>VLOOKUP(A230,Jogos!A:BN,59,0)</f>
        <v>16.715</v>
      </c>
      <c r="BB230" s="9">
        <f>VLOOKUP(A230,Jogos!A:BN,60,0)</f>
        <v>93</v>
      </c>
      <c r="BC230" s="9">
        <f>VLOOKUP(A230,Jogos!A:BN,61,0)</f>
        <v>15.095</v>
      </c>
      <c r="BD230" s="9">
        <f>VLOOKUP(A230,Jogos!A:BN,62,0)</f>
        <v>0</v>
      </c>
      <c r="BE230" s="9">
        <f>VLOOKUP(A230,Jogos!A:BN,63,0)</f>
        <v>1.445</v>
      </c>
      <c r="BF230" s="9">
        <f>VLOOKUP(A230,Jogos!A:BN,64,0)</f>
        <v>18.245</v>
      </c>
      <c r="BG230" s="9">
        <f>VLOOKUP(A230,Jogos!A:BN,65,0)</f>
        <v>30.715</v>
      </c>
      <c r="BH230" s="9">
        <f>VLOOKUP(A230,Jogos!A:BN,66,0)</f>
        <v>20.69</v>
      </c>
      <c r="BI230" s="9"/>
    </row>
    <row r="231" hidden="1">
      <c r="A231" s="10">
        <v>8.0</v>
      </c>
      <c r="B231" s="11" t="s">
        <v>375</v>
      </c>
      <c r="C231" s="2" t="s">
        <v>61</v>
      </c>
      <c r="D231" s="12">
        <v>45824.0</v>
      </c>
      <c r="E231" s="13">
        <v>0.875</v>
      </c>
      <c r="F231" s="5" t="str">
        <f>VLOOKUP(A231,Jogos!A:N,10,0)</f>
        <v>Evening</v>
      </c>
      <c r="G231" s="11" t="s">
        <v>500</v>
      </c>
      <c r="H231" s="6" t="str">
        <f>VLOOKUP(A231,Jogos!A:L,12,0)</f>
        <v>Open</v>
      </c>
      <c r="I231" s="6" t="str">
        <f>VLOOKUP(G231,'Estádios e Cidades'!A:B,2,0)</f>
        <v>Philadelphia</v>
      </c>
      <c r="J231" s="11" t="s">
        <v>502</v>
      </c>
      <c r="K231" s="2" t="str">
        <f>VLOOKUP(J231,Equipes!A:F,6,0)</f>
        <v>Temperate</v>
      </c>
      <c r="L231" s="2">
        <f>VLOOKUP(J231,Equipes!A:C,3,0)</f>
        <v>21</v>
      </c>
      <c r="M231" s="2" t="str">
        <f t="shared" si="4"/>
        <v>Group</v>
      </c>
      <c r="N231" s="11" t="s">
        <v>501</v>
      </c>
      <c r="O231" s="2">
        <f>VLOOKUP(N231,Equipes!A:C,3,0)</f>
        <v>11</v>
      </c>
      <c r="P231" s="2" t="str">
        <f t="shared" si="5"/>
        <v>Round of 16</v>
      </c>
      <c r="Q231" s="2">
        <f t="shared" si="6"/>
        <v>10</v>
      </c>
      <c r="R231" s="2" t="str">
        <f>VLOOKUP(J231,Equipes!A:B,2,0)</f>
        <v>Esperance</v>
      </c>
      <c r="S231" s="6" t="s">
        <v>544</v>
      </c>
      <c r="T231" s="7">
        <v>15.0</v>
      </c>
      <c r="U231" s="7" t="s">
        <v>545</v>
      </c>
      <c r="V231" s="7" t="str">
        <f>VLOOKUP(U231,Jogadores!B:C,2,0)</f>
        <v>DF</v>
      </c>
      <c r="W231" s="8">
        <f>VLOOKUP(U231,Jogadores!B:D,3,0)</f>
        <v>25.53150685</v>
      </c>
      <c r="X231" s="7">
        <v>0.0</v>
      </c>
      <c r="Y231" s="7">
        <f t="shared" si="719"/>
        <v>93</v>
      </c>
      <c r="Z231" s="7">
        <f>VLOOKUP(A231,Jogos!A:L,3,0)</f>
        <v>46</v>
      </c>
      <c r="AA231" s="7">
        <f t="shared" si="7"/>
        <v>46</v>
      </c>
      <c r="AB231" s="7">
        <f>VLOOKUP(A231,Jogos!A:L,4,0)</f>
        <v>48</v>
      </c>
      <c r="AC231" s="7">
        <f t="shared" si="657"/>
        <v>48</v>
      </c>
      <c r="AD231" s="7"/>
      <c r="AE231" s="7"/>
      <c r="AF231" s="7">
        <f t="shared" si="9"/>
        <v>94</v>
      </c>
      <c r="AG231" s="7">
        <v>9200.8</v>
      </c>
      <c r="AH231" s="7">
        <v>3724.1</v>
      </c>
      <c r="AI231" s="7">
        <v>4120.9</v>
      </c>
      <c r="AJ231" s="7">
        <v>988.3</v>
      </c>
      <c r="AK231" s="7">
        <v>317.6</v>
      </c>
      <c r="AL231" s="7">
        <v>50.0</v>
      </c>
      <c r="AM231" s="7">
        <v>83.0</v>
      </c>
      <c r="AN231" s="7">
        <v>25.0</v>
      </c>
      <c r="AO231" s="7">
        <v>30.8</v>
      </c>
      <c r="AP231" s="9">
        <f t="shared" ref="AP231:AR231" si="723">AG231/$AF231</f>
        <v>97.88085106</v>
      </c>
      <c r="AQ231" s="9">
        <f t="shared" si="723"/>
        <v>39.61808511</v>
      </c>
      <c r="AR231" s="9">
        <f t="shared" si="723"/>
        <v>43.8393617</v>
      </c>
      <c r="AS231" s="9">
        <f t="shared" si="11"/>
        <v>83.45744681</v>
      </c>
      <c r="AT231" s="9">
        <f t="shared" ref="AT231:AV231" si="724">AJ231/$AF231</f>
        <v>10.51382979</v>
      </c>
      <c r="AU231" s="9">
        <f t="shared" si="724"/>
        <v>3.378723404</v>
      </c>
      <c r="AV231" s="9">
        <f t="shared" si="724"/>
        <v>0.5319148936</v>
      </c>
      <c r="AW231" s="9">
        <f t="shared" si="13"/>
        <v>3.910638298</v>
      </c>
      <c r="AX231" s="9">
        <f t="shared" ref="AX231:AY231" si="725">AM231/$AF231</f>
        <v>0.8829787234</v>
      </c>
      <c r="AY231" s="9">
        <f t="shared" si="725"/>
        <v>0.2659574468</v>
      </c>
      <c r="AZ231" s="9">
        <f>VLOOKUP(A231,Jogos!A:BN,58,0)</f>
        <v>17.715</v>
      </c>
      <c r="BA231" s="9">
        <f>VLOOKUP(A231,Jogos!A:BN,59,0)</f>
        <v>16.715</v>
      </c>
      <c r="BB231" s="9">
        <f>VLOOKUP(A231,Jogos!A:BN,60,0)</f>
        <v>93</v>
      </c>
      <c r="BC231" s="9">
        <f>VLOOKUP(A231,Jogos!A:BN,61,0)</f>
        <v>15.095</v>
      </c>
      <c r="BD231" s="9">
        <f>VLOOKUP(A231,Jogos!A:BN,62,0)</f>
        <v>0</v>
      </c>
      <c r="BE231" s="9">
        <f>VLOOKUP(A231,Jogos!A:BN,63,0)</f>
        <v>1.445</v>
      </c>
      <c r="BF231" s="9">
        <f>VLOOKUP(A231,Jogos!A:BN,64,0)</f>
        <v>18.245</v>
      </c>
      <c r="BG231" s="9">
        <f>VLOOKUP(A231,Jogos!A:BN,65,0)</f>
        <v>30.715</v>
      </c>
      <c r="BH231" s="9">
        <f>VLOOKUP(A231,Jogos!A:BN,66,0)</f>
        <v>20.69</v>
      </c>
      <c r="BI231" s="9"/>
    </row>
    <row r="232" hidden="1">
      <c r="A232" s="10">
        <v>8.0</v>
      </c>
      <c r="B232" s="11" t="s">
        <v>375</v>
      </c>
      <c r="C232" s="2" t="s">
        <v>61</v>
      </c>
      <c r="D232" s="12">
        <v>45824.0</v>
      </c>
      <c r="E232" s="13">
        <v>0.875</v>
      </c>
      <c r="F232" s="5" t="str">
        <f>VLOOKUP(A232,Jogos!A:N,10,0)</f>
        <v>Evening</v>
      </c>
      <c r="G232" s="11" t="s">
        <v>500</v>
      </c>
      <c r="H232" s="6" t="str">
        <f>VLOOKUP(A232,Jogos!A:L,12,0)</f>
        <v>Open</v>
      </c>
      <c r="I232" s="6" t="str">
        <f>VLOOKUP(G232,'Estádios e Cidades'!A:B,2,0)</f>
        <v>Philadelphia</v>
      </c>
      <c r="J232" s="11" t="s">
        <v>502</v>
      </c>
      <c r="K232" s="2" t="str">
        <f>VLOOKUP(J232,Equipes!A:F,6,0)</f>
        <v>Temperate</v>
      </c>
      <c r="L232" s="2">
        <f>VLOOKUP(J232,Equipes!A:C,3,0)</f>
        <v>21</v>
      </c>
      <c r="M232" s="2" t="str">
        <f t="shared" si="4"/>
        <v>Group</v>
      </c>
      <c r="N232" s="11" t="s">
        <v>501</v>
      </c>
      <c r="O232" s="2">
        <f>VLOOKUP(N232,Equipes!A:C,3,0)</f>
        <v>11</v>
      </c>
      <c r="P232" s="2" t="str">
        <f t="shared" si="5"/>
        <v>Round of 16</v>
      </c>
      <c r="Q232" s="2">
        <f t="shared" si="6"/>
        <v>10</v>
      </c>
      <c r="R232" s="2" t="str">
        <f>VLOOKUP(J232,Equipes!A:B,2,0)</f>
        <v>Esperance</v>
      </c>
      <c r="S232" s="6" t="s">
        <v>546</v>
      </c>
      <c r="T232" s="7">
        <v>20.0</v>
      </c>
      <c r="U232" s="7" t="s">
        <v>547</v>
      </c>
      <c r="V232" s="7" t="str">
        <f>VLOOKUP(U232,Jogadores!B:C,2,0)</f>
        <v>DF</v>
      </c>
      <c r="W232" s="8">
        <f>VLOOKUP(U232,Jogadores!B:D,3,0)</f>
        <v>29.63835616</v>
      </c>
      <c r="X232" s="7">
        <v>0.0</v>
      </c>
      <c r="Y232" s="7">
        <f t="shared" si="719"/>
        <v>93</v>
      </c>
      <c r="Z232" s="7">
        <f>VLOOKUP(A232,Jogos!A:L,3,0)</f>
        <v>46</v>
      </c>
      <c r="AA232" s="7">
        <f t="shared" si="7"/>
        <v>46</v>
      </c>
      <c r="AB232" s="7">
        <f>VLOOKUP(A232,Jogos!A:L,4,0)</f>
        <v>48</v>
      </c>
      <c r="AC232" s="7">
        <f t="shared" si="657"/>
        <v>48</v>
      </c>
      <c r="AD232" s="7"/>
      <c r="AE232" s="7"/>
      <c r="AF232" s="7">
        <f t="shared" si="9"/>
        <v>94</v>
      </c>
      <c r="AG232" s="7">
        <v>10242.1</v>
      </c>
      <c r="AH232" s="7">
        <v>4113.2</v>
      </c>
      <c r="AI232" s="7">
        <v>4113.3</v>
      </c>
      <c r="AJ232" s="7">
        <v>1218.6</v>
      </c>
      <c r="AK232" s="7">
        <v>546.2</v>
      </c>
      <c r="AL232" s="7">
        <v>250.7</v>
      </c>
      <c r="AM232" s="7">
        <v>110.0</v>
      </c>
      <c r="AN232" s="7">
        <v>46.0</v>
      </c>
      <c r="AO232" s="7">
        <v>31.5</v>
      </c>
      <c r="AP232" s="9">
        <f t="shared" ref="AP232:AR232" si="726">AG232/$AF232</f>
        <v>108.9585106</v>
      </c>
      <c r="AQ232" s="9">
        <f t="shared" si="726"/>
        <v>43.75744681</v>
      </c>
      <c r="AR232" s="9">
        <f t="shared" si="726"/>
        <v>43.75851064</v>
      </c>
      <c r="AS232" s="9">
        <f t="shared" si="11"/>
        <v>87.51595745</v>
      </c>
      <c r="AT232" s="9">
        <f t="shared" ref="AT232:AV232" si="727">AJ232/$AF232</f>
        <v>12.96382979</v>
      </c>
      <c r="AU232" s="9">
        <f t="shared" si="727"/>
        <v>5.810638298</v>
      </c>
      <c r="AV232" s="9">
        <f t="shared" si="727"/>
        <v>2.667021277</v>
      </c>
      <c r="AW232" s="9">
        <f t="shared" si="13"/>
        <v>8.477659574</v>
      </c>
      <c r="AX232" s="9">
        <f t="shared" ref="AX232:AY232" si="728">AM232/$AF232</f>
        <v>1.170212766</v>
      </c>
      <c r="AY232" s="9">
        <f t="shared" si="728"/>
        <v>0.4893617021</v>
      </c>
      <c r="AZ232" s="9">
        <f>VLOOKUP(A232,Jogos!A:BN,58,0)</f>
        <v>17.715</v>
      </c>
      <c r="BA232" s="9">
        <f>VLOOKUP(A232,Jogos!A:BN,59,0)</f>
        <v>16.715</v>
      </c>
      <c r="BB232" s="9">
        <f>VLOOKUP(A232,Jogos!A:BN,60,0)</f>
        <v>93</v>
      </c>
      <c r="BC232" s="9">
        <f>VLOOKUP(A232,Jogos!A:BN,61,0)</f>
        <v>15.095</v>
      </c>
      <c r="BD232" s="9">
        <f>VLOOKUP(A232,Jogos!A:BN,62,0)</f>
        <v>0</v>
      </c>
      <c r="BE232" s="9">
        <f>VLOOKUP(A232,Jogos!A:BN,63,0)</f>
        <v>1.445</v>
      </c>
      <c r="BF232" s="9">
        <f>VLOOKUP(A232,Jogos!A:BN,64,0)</f>
        <v>18.245</v>
      </c>
      <c r="BG232" s="9">
        <f>VLOOKUP(A232,Jogos!A:BN,65,0)</f>
        <v>30.715</v>
      </c>
      <c r="BH232" s="9">
        <f>VLOOKUP(A232,Jogos!A:BN,66,0)</f>
        <v>20.69</v>
      </c>
      <c r="BI232" s="9"/>
    </row>
    <row r="233" hidden="1">
      <c r="A233" s="10">
        <v>8.0</v>
      </c>
      <c r="B233" s="11" t="s">
        <v>375</v>
      </c>
      <c r="C233" s="2" t="s">
        <v>61</v>
      </c>
      <c r="D233" s="12">
        <v>45824.0</v>
      </c>
      <c r="E233" s="13">
        <v>0.875</v>
      </c>
      <c r="F233" s="5" t="str">
        <f>VLOOKUP(A233,Jogos!A:N,10,0)</f>
        <v>Evening</v>
      </c>
      <c r="G233" s="11" t="s">
        <v>500</v>
      </c>
      <c r="H233" s="6" t="str">
        <f>VLOOKUP(A233,Jogos!A:L,12,0)</f>
        <v>Open</v>
      </c>
      <c r="I233" s="6" t="str">
        <f>VLOOKUP(G233,'Estádios e Cidades'!A:B,2,0)</f>
        <v>Philadelphia</v>
      </c>
      <c r="J233" s="11" t="s">
        <v>502</v>
      </c>
      <c r="K233" s="2" t="str">
        <f>VLOOKUP(J233,Equipes!A:F,6,0)</f>
        <v>Temperate</v>
      </c>
      <c r="L233" s="2">
        <f>VLOOKUP(J233,Equipes!A:C,3,0)</f>
        <v>21</v>
      </c>
      <c r="M233" s="2" t="str">
        <f t="shared" si="4"/>
        <v>Group</v>
      </c>
      <c r="N233" s="11" t="s">
        <v>501</v>
      </c>
      <c r="O233" s="2">
        <f>VLOOKUP(N233,Equipes!A:C,3,0)</f>
        <v>11</v>
      </c>
      <c r="P233" s="2" t="str">
        <f t="shared" si="5"/>
        <v>Round of 16</v>
      </c>
      <c r="Q233" s="2">
        <f t="shared" si="6"/>
        <v>10</v>
      </c>
      <c r="R233" s="2" t="str">
        <f>VLOOKUP(J233,Equipes!A:B,2,0)</f>
        <v>Esperance</v>
      </c>
      <c r="S233" s="6" t="s">
        <v>548</v>
      </c>
      <c r="T233" s="7">
        <v>36.0</v>
      </c>
      <c r="U233" s="7" t="s">
        <v>549</v>
      </c>
      <c r="V233" s="7" t="str">
        <f>VLOOKUP(U233,Jogadores!B:C,2,0)</f>
        <v>FW</v>
      </c>
      <c r="W233" s="8">
        <f>VLOOKUP(U233,Jogadores!B:D,3,0)</f>
        <v>29.19452055</v>
      </c>
      <c r="X233" s="7">
        <v>0.0</v>
      </c>
      <c r="Y233" s="7">
        <v>45.0</v>
      </c>
      <c r="Z233" s="7">
        <f>VLOOKUP(A233,Jogos!A:L,3,0)</f>
        <v>46</v>
      </c>
      <c r="AA233" s="7">
        <f t="shared" si="7"/>
        <v>46</v>
      </c>
      <c r="AB233" s="7">
        <f>VLOOKUP(A233,Jogos!A:L,4,0)</f>
        <v>48</v>
      </c>
      <c r="AC233" s="7">
        <f t="shared" si="657"/>
        <v>0</v>
      </c>
      <c r="AD233" s="7"/>
      <c r="AE233" s="7"/>
      <c r="AF233" s="7">
        <f t="shared" si="9"/>
        <v>46</v>
      </c>
      <c r="AG233" s="7">
        <v>6594.2</v>
      </c>
      <c r="AH233" s="7">
        <v>1425.4</v>
      </c>
      <c r="AI233" s="7">
        <v>3272.7</v>
      </c>
      <c r="AJ233" s="7">
        <v>1361.3</v>
      </c>
      <c r="AK233" s="7">
        <v>463.2</v>
      </c>
      <c r="AL233" s="7">
        <v>71.5</v>
      </c>
      <c r="AM233" s="7">
        <v>118.0</v>
      </c>
      <c r="AN233" s="7">
        <v>30.0</v>
      </c>
      <c r="AO233" s="7">
        <v>27.8</v>
      </c>
      <c r="AP233" s="9">
        <f t="shared" ref="AP233:AR233" si="729">AG233/$AF233</f>
        <v>143.3521739</v>
      </c>
      <c r="AQ233" s="9">
        <f t="shared" si="729"/>
        <v>30.98695652</v>
      </c>
      <c r="AR233" s="9">
        <f t="shared" si="729"/>
        <v>71.14565217</v>
      </c>
      <c r="AS233" s="9">
        <f t="shared" si="11"/>
        <v>102.1326087</v>
      </c>
      <c r="AT233" s="9">
        <f t="shared" ref="AT233:AV233" si="730">AJ233/$AF233</f>
        <v>29.59347826</v>
      </c>
      <c r="AU233" s="9">
        <f t="shared" si="730"/>
        <v>10.06956522</v>
      </c>
      <c r="AV233" s="9">
        <f t="shared" si="730"/>
        <v>1.554347826</v>
      </c>
      <c r="AW233" s="9">
        <f t="shared" si="13"/>
        <v>11.62391304</v>
      </c>
      <c r="AX233" s="9">
        <f t="shared" ref="AX233:AY233" si="731">AM233/$AF233</f>
        <v>2.565217391</v>
      </c>
      <c r="AY233" s="9">
        <f t="shared" si="731"/>
        <v>0.652173913</v>
      </c>
      <c r="AZ233" s="9">
        <f>VLOOKUP(A233,Jogos!A:BN,58,0)</f>
        <v>17.715</v>
      </c>
      <c r="BA233" s="9">
        <f>VLOOKUP(A233,Jogos!A:BN,59,0)</f>
        <v>16.715</v>
      </c>
      <c r="BB233" s="9">
        <f>VLOOKUP(A233,Jogos!A:BN,60,0)</f>
        <v>93</v>
      </c>
      <c r="BC233" s="9">
        <f>VLOOKUP(A233,Jogos!A:BN,61,0)</f>
        <v>15.095</v>
      </c>
      <c r="BD233" s="9">
        <f>VLOOKUP(A233,Jogos!A:BN,62,0)</f>
        <v>0</v>
      </c>
      <c r="BE233" s="9">
        <f>VLOOKUP(A233,Jogos!A:BN,63,0)</f>
        <v>1.445</v>
      </c>
      <c r="BF233" s="9">
        <f>VLOOKUP(A233,Jogos!A:BN,64,0)</f>
        <v>18.245</v>
      </c>
      <c r="BG233" s="9">
        <f>VLOOKUP(A233,Jogos!A:BN,65,0)</f>
        <v>30.715</v>
      </c>
      <c r="BH233" s="9">
        <f>VLOOKUP(A233,Jogos!A:BN,66,0)</f>
        <v>20.69</v>
      </c>
      <c r="BI233" s="9"/>
    </row>
    <row r="234" hidden="1">
      <c r="A234" s="10">
        <v>8.0</v>
      </c>
      <c r="B234" s="11" t="s">
        <v>375</v>
      </c>
      <c r="C234" s="2" t="s">
        <v>61</v>
      </c>
      <c r="D234" s="12">
        <v>45824.0</v>
      </c>
      <c r="E234" s="13">
        <v>0.875</v>
      </c>
      <c r="F234" s="5" t="str">
        <f>VLOOKUP(A234,Jogos!A:N,10,0)</f>
        <v>Evening</v>
      </c>
      <c r="G234" s="11" t="s">
        <v>500</v>
      </c>
      <c r="H234" s="6" t="str">
        <f>VLOOKUP(A234,Jogos!A:L,12,0)</f>
        <v>Open</v>
      </c>
      <c r="I234" s="6" t="str">
        <f>VLOOKUP(G234,'Estádios e Cidades'!A:B,2,0)</f>
        <v>Philadelphia</v>
      </c>
      <c r="J234" s="11" t="s">
        <v>502</v>
      </c>
      <c r="K234" s="2" t="str">
        <f>VLOOKUP(J234,Equipes!A:F,6,0)</f>
        <v>Temperate</v>
      </c>
      <c r="L234" s="2">
        <f>VLOOKUP(J234,Equipes!A:C,3,0)</f>
        <v>21</v>
      </c>
      <c r="M234" s="2" t="str">
        <f t="shared" si="4"/>
        <v>Group</v>
      </c>
      <c r="N234" s="11" t="s">
        <v>501</v>
      </c>
      <c r="O234" s="2">
        <f>VLOOKUP(N234,Equipes!A:C,3,0)</f>
        <v>11</v>
      </c>
      <c r="P234" s="2" t="str">
        <f t="shared" si="5"/>
        <v>Round of 16</v>
      </c>
      <c r="Q234" s="2">
        <f t="shared" si="6"/>
        <v>10</v>
      </c>
      <c r="R234" s="2" t="str">
        <f>VLOOKUP(J234,Equipes!A:B,2,0)</f>
        <v>Esperance</v>
      </c>
      <c r="S234" s="6" t="s">
        <v>550</v>
      </c>
      <c r="T234" s="7">
        <v>38.0</v>
      </c>
      <c r="U234" s="7" t="s">
        <v>551</v>
      </c>
      <c r="V234" s="7" t="str">
        <f>VLOOKUP(U234,Jogadores!B:C,2,0)</f>
        <v>MF</v>
      </c>
      <c r="W234" s="8">
        <f>VLOOKUP(U234,Jogadores!B:D,3,0)</f>
        <v>22.64383562</v>
      </c>
      <c r="X234" s="7">
        <v>0.0</v>
      </c>
      <c r="Y234" s="7">
        <v>75.0</v>
      </c>
      <c r="Z234" s="7">
        <f>VLOOKUP(A234,Jogos!A:L,3,0)</f>
        <v>46</v>
      </c>
      <c r="AA234" s="7">
        <f t="shared" si="7"/>
        <v>46</v>
      </c>
      <c r="AB234" s="7">
        <f>VLOOKUP(A234,Jogos!A:L,4,0)</f>
        <v>48</v>
      </c>
      <c r="AC234" s="7">
        <f t="shared" si="657"/>
        <v>30</v>
      </c>
      <c r="AD234" s="7"/>
      <c r="AE234" s="7"/>
      <c r="AF234" s="7">
        <f t="shared" si="9"/>
        <v>76</v>
      </c>
      <c r="AG234" s="7">
        <v>9893.1</v>
      </c>
      <c r="AH234" s="7">
        <v>2838.5</v>
      </c>
      <c r="AI234" s="7">
        <v>4790.9</v>
      </c>
      <c r="AJ234" s="7">
        <v>1800.4</v>
      </c>
      <c r="AK234" s="7">
        <v>412.3</v>
      </c>
      <c r="AL234" s="7">
        <v>50.9</v>
      </c>
      <c r="AM234" s="7">
        <v>157.0</v>
      </c>
      <c r="AN234" s="7">
        <v>32.0</v>
      </c>
      <c r="AO234" s="7">
        <v>28.0</v>
      </c>
      <c r="AP234" s="9">
        <f t="shared" ref="AP234:AR234" si="732">AG234/$AF234</f>
        <v>130.1723684</v>
      </c>
      <c r="AQ234" s="9">
        <f t="shared" si="732"/>
        <v>37.34868421</v>
      </c>
      <c r="AR234" s="9">
        <f t="shared" si="732"/>
        <v>63.03815789</v>
      </c>
      <c r="AS234" s="9">
        <f t="shared" si="11"/>
        <v>100.3868421</v>
      </c>
      <c r="AT234" s="9">
        <f t="shared" ref="AT234:AV234" si="733">AJ234/$AF234</f>
        <v>23.68947368</v>
      </c>
      <c r="AU234" s="9">
        <f t="shared" si="733"/>
        <v>5.425</v>
      </c>
      <c r="AV234" s="9">
        <f t="shared" si="733"/>
        <v>0.6697368421</v>
      </c>
      <c r="AW234" s="9">
        <f t="shared" si="13"/>
        <v>6.094736842</v>
      </c>
      <c r="AX234" s="9">
        <f t="shared" ref="AX234:AY234" si="734">AM234/$AF234</f>
        <v>2.065789474</v>
      </c>
      <c r="AY234" s="9">
        <f t="shared" si="734"/>
        <v>0.4210526316</v>
      </c>
      <c r="AZ234" s="9">
        <f>VLOOKUP(A234,Jogos!A:BN,58,0)</f>
        <v>17.715</v>
      </c>
      <c r="BA234" s="9">
        <f>VLOOKUP(A234,Jogos!A:BN,59,0)</f>
        <v>16.715</v>
      </c>
      <c r="BB234" s="9">
        <f>VLOOKUP(A234,Jogos!A:BN,60,0)</f>
        <v>93</v>
      </c>
      <c r="BC234" s="9">
        <f>VLOOKUP(A234,Jogos!A:BN,61,0)</f>
        <v>15.095</v>
      </c>
      <c r="BD234" s="9">
        <f>VLOOKUP(A234,Jogos!A:BN,62,0)</f>
        <v>0</v>
      </c>
      <c r="BE234" s="9">
        <f>VLOOKUP(A234,Jogos!A:BN,63,0)</f>
        <v>1.445</v>
      </c>
      <c r="BF234" s="9">
        <f>VLOOKUP(A234,Jogos!A:BN,64,0)</f>
        <v>18.245</v>
      </c>
      <c r="BG234" s="9">
        <f>VLOOKUP(A234,Jogos!A:BN,65,0)</f>
        <v>30.715</v>
      </c>
      <c r="BH234" s="9">
        <f>VLOOKUP(A234,Jogos!A:BN,66,0)</f>
        <v>20.69</v>
      </c>
      <c r="BI234" s="9"/>
    </row>
    <row r="235" hidden="1">
      <c r="A235" s="10">
        <v>8.0</v>
      </c>
      <c r="B235" s="11" t="s">
        <v>375</v>
      </c>
      <c r="C235" s="2" t="s">
        <v>61</v>
      </c>
      <c r="D235" s="12">
        <v>45824.0</v>
      </c>
      <c r="E235" s="13">
        <v>0.875</v>
      </c>
      <c r="F235" s="5" t="str">
        <f>VLOOKUP(A235,Jogos!A:N,10,0)</f>
        <v>Evening</v>
      </c>
      <c r="G235" s="11" t="s">
        <v>500</v>
      </c>
      <c r="H235" s="6" t="str">
        <f>VLOOKUP(A235,Jogos!A:L,12,0)</f>
        <v>Open</v>
      </c>
      <c r="I235" s="6" t="str">
        <f>VLOOKUP(G235,'Estádios e Cidades'!A:B,2,0)</f>
        <v>Philadelphia</v>
      </c>
      <c r="J235" s="11" t="s">
        <v>502</v>
      </c>
      <c r="K235" s="2" t="str">
        <f>VLOOKUP(J235,Equipes!A:F,6,0)</f>
        <v>Temperate</v>
      </c>
      <c r="L235" s="2">
        <f>VLOOKUP(J235,Equipes!A:C,3,0)</f>
        <v>21</v>
      </c>
      <c r="M235" s="2" t="str">
        <f t="shared" si="4"/>
        <v>Group</v>
      </c>
      <c r="N235" s="11" t="s">
        <v>501</v>
      </c>
      <c r="O235" s="2">
        <f>VLOOKUP(N235,Equipes!A:C,3,0)</f>
        <v>11</v>
      </c>
      <c r="P235" s="2" t="str">
        <f t="shared" si="5"/>
        <v>Round of 16</v>
      </c>
      <c r="Q235" s="2">
        <f t="shared" si="6"/>
        <v>10</v>
      </c>
      <c r="R235" s="2" t="str">
        <f>VLOOKUP(J235,Equipes!A:B,2,0)</f>
        <v>Esperance</v>
      </c>
      <c r="S235" s="6" t="s">
        <v>552</v>
      </c>
      <c r="T235" s="7">
        <v>4.0</v>
      </c>
      <c r="U235" s="7" t="s">
        <v>553</v>
      </c>
      <c r="V235" s="7" t="str">
        <f>VLOOKUP(U235,Jogadores!B:C,2,0)</f>
        <v>MF</v>
      </c>
      <c r="W235" s="8">
        <f>VLOOKUP(U235,Jogadores!B:D,3,0)</f>
        <v>22.1260274</v>
      </c>
      <c r="X235" s="7">
        <v>75.0</v>
      </c>
      <c r="Y235" s="7">
        <f t="shared" ref="Y235:Y242" si="738">45+AB235</f>
        <v>93</v>
      </c>
      <c r="Z235" s="7">
        <f>VLOOKUP(A235,Jogos!A:L,3,0)</f>
        <v>46</v>
      </c>
      <c r="AA235" s="7">
        <f t="shared" si="7"/>
        <v>0</v>
      </c>
      <c r="AB235" s="7">
        <f>VLOOKUP(A235,Jogos!A:L,4,0)</f>
        <v>48</v>
      </c>
      <c r="AC235" s="7">
        <f t="shared" si="657"/>
        <v>18</v>
      </c>
      <c r="AD235" s="7"/>
      <c r="AE235" s="7"/>
      <c r="AF235" s="7">
        <f t="shared" si="9"/>
        <v>18</v>
      </c>
      <c r="AG235" s="7">
        <v>2562.5</v>
      </c>
      <c r="AH235" s="7">
        <v>638.7</v>
      </c>
      <c r="AI235" s="7">
        <v>1131.9</v>
      </c>
      <c r="AJ235" s="7">
        <v>494.4</v>
      </c>
      <c r="AK235" s="7">
        <v>187.3</v>
      </c>
      <c r="AL235" s="7">
        <v>110.2</v>
      </c>
      <c r="AM235" s="7">
        <v>44.0</v>
      </c>
      <c r="AN235" s="7">
        <v>13.0</v>
      </c>
      <c r="AO235" s="7">
        <v>32.3</v>
      </c>
      <c r="AP235" s="9">
        <f t="shared" ref="AP235:AR235" si="735">AG235/$AF235</f>
        <v>142.3611111</v>
      </c>
      <c r="AQ235" s="9">
        <f t="shared" si="735"/>
        <v>35.48333333</v>
      </c>
      <c r="AR235" s="9">
        <f t="shared" si="735"/>
        <v>62.88333333</v>
      </c>
      <c r="AS235" s="9">
        <f t="shared" si="11"/>
        <v>98.36666667</v>
      </c>
      <c r="AT235" s="9">
        <f t="shared" ref="AT235:AV235" si="736">AJ235/$AF235</f>
        <v>27.46666667</v>
      </c>
      <c r="AU235" s="9">
        <f t="shared" si="736"/>
        <v>10.40555556</v>
      </c>
      <c r="AV235" s="9">
        <f t="shared" si="736"/>
        <v>6.122222222</v>
      </c>
      <c r="AW235" s="9">
        <f t="shared" si="13"/>
        <v>16.52777778</v>
      </c>
      <c r="AX235" s="9">
        <f t="shared" ref="AX235:AY235" si="737">AM235/$AF235</f>
        <v>2.444444444</v>
      </c>
      <c r="AY235" s="9">
        <f t="shared" si="737"/>
        <v>0.7222222222</v>
      </c>
      <c r="AZ235" s="9">
        <f>VLOOKUP(A235,Jogos!A:BN,58,0)</f>
        <v>17.715</v>
      </c>
      <c r="BA235" s="9">
        <f>VLOOKUP(A235,Jogos!A:BN,59,0)</f>
        <v>16.715</v>
      </c>
      <c r="BB235" s="9">
        <f>VLOOKUP(A235,Jogos!A:BN,60,0)</f>
        <v>93</v>
      </c>
      <c r="BC235" s="9">
        <f>VLOOKUP(A235,Jogos!A:BN,61,0)</f>
        <v>15.095</v>
      </c>
      <c r="BD235" s="9">
        <f>VLOOKUP(A235,Jogos!A:BN,62,0)</f>
        <v>0</v>
      </c>
      <c r="BE235" s="9">
        <f>VLOOKUP(A235,Jogos!A:BN,63,0)</f>
        <v>1.445</v>
      </c>
      <c r="BF235" s="9">
        <f>VLOOKUP(A235,Jogos!A:BN,64,0)</f>
        <v>18.245</v>
      </c>
      <c r="BG235" s="9">
        <f>VLOOKUP(A235,Jogos!A:BN,65,0)</f>
        <v>30.715</v>
      </c>
      <c r="BH235" s="9">
        <f>VLOOKUP(A235,Jogos!A:BN,66,0)</f>
        <v>20.69</v>
      </c>
      <c r="BI235" s="9"/>
    </row>
    <row r="236" hidden="1">
      <c r="A236" s="10">
        <v>8.0</v>
      </c>
      <c r="B236" s="11" t="s">
        <v>375</v>
      </c>
      <c r="C236" s="2" t="s">
        <v>61</v>
      </c>
      <c r="D236" s="12">
        <v>45824.0</v>
      </c>
      <c r="E236" s="13">
        <v>0.875</v>
      </c>
      <c r="F236" s="5" t="str">
        <f>VLOOKUP(A236,Jogos!A:N,10,0)</f>
        <v>Evening</v>
      </c>
      <c r="G236" s="11" t="s">
        <v>500</v>
      </c>
      <c r="H236" s="6" t="str">
        <f>VLOOKUP(A236,Jogos!A:L,12,0)</f>
        <v>Open</v>
      </c>
      <c r="I236" s="6" t="str">
        <f>VLOOKUP(G236,'Estádios e Cidades'!A:B,2,0)</f>
        <v>Philadelphia</v>
      </c>
      <c r="J236" s="11" t="s">
        <v>502</v>
      </c>
      <c r="K236" s="2" t="str">
        <f>VLOOKUP(J236,Equipes!A:F,6,0)</f>
        <v>Temperate</v>
      </c>
      <c r="L236" s="2">
        <f>VLOOKUP(J236,Equipes!A:C,3,0)</f>
        <v>21</v>
      </c>
      <c r="M236" s="2" t="str">
        <f t="shared" si="4"/>
        <v>Group</v>
      </c>
      <c r="N236" s="11" t="s">
        <v>501</v>
      </c>
      <c r="O236" s="2">
        <f>VLOOKUP(N236,Equipes!A:C,3,0)</f>
        <v>11</v>
      </c>
      <c r="P236" s="2" t="str">
        <f t="shared" si="5"/>
        <v>Round of 16</v>
      </c>
      <c r="Q236" s="2">
        <f t="shared" si="6"/>
        <v>10</v>
      </c>
      <c r="R236" s="2" t="str">
        <f>VLOOKUP(J236,Equipes!A:B,2,0)</f>
        <v>Esperance</v>
      </c>
      <c r="S236" s="6" t="s">
        <v>554</v>
      </c>
      <c r="T236" s="7">
        <v>13.0</v>
      </c>
      <c r="U236" s="7" t="s">
        <v>555</v>
      </c>
      <c r="V236" s="7" t="str">
        <f>VLOOKUP(U236,Jogadores!B:C,2,0)</f>
        <v>DF</v>
      </c>
      <c r="W236" s="8">
        <f>VLOOKUP(U236,Jogadores!B:D,3,0)</f>
        <v>21.85479452</v>
      </c>
      <c r="X236" s="7">
        <v>84.0</v>
      </c>
      <c r="Y236" s="7">
        <f t="shared" si="738"/>
        <v>93</v>
      </c>
      <c r="Z236" s="7">
        <f>VLOOKUP(A236,Jogos!A:L,3,0)</f>
        <v>46</v>
      </c>
      <c r="AA236" s="7">
        <f t="shared" si="7"/>
        <v>0</v>
      </c>
      <c r="AB236" s="7">
        <f>VLOOKUP(A236,Jogos!A:L,4,0)</f>
        <v>48</v>
      </c>
      <c r="AC236" s="7">
        <f t="shared" si="657"/>
        <v>9</v>
      </c>
      <c r="AD236" s="7"/>
      <c r="AE236" s="7"/>
      <c r="AF236" s="7">
        <f t="shared" si="9"/>
        <v>9</v>
      </c>
      <c r="AG236" s="7">
        <v>1122.5</v>
      </c>
      <c r="AH236" s="7">
        <v>327.3</v>
      </c>
      <c r="AI236" s="7">
        <v>494.0</v>
      </c>
      <c r="AJ236" s="7">
        <v>197.6</v>
      </c>
      <c r="AK236" s="7">
        <v>64.0</v>
      </c>
      <c r="AL236" s="7">
        <v>39.5</v>
      </c>
      <c r="AM236" s="7">
        <v>16.0</v>
      </c>
      <c r="AN236" s="7">
        <v>5.0</v>
      </c>
      <c r="AO236" s="7">
        <v>28.9</v>
      </c>
      <c r="AP236" s="9">
        <f t="shared" ref="AP236:AR236" si="739">AG236/$AF236</f>
        <v>124.7222222</v>
      </c>
      <c r="AQ236" s="9">
        <f t="shared" si="739"/>
        <v>36.36666667</v>
      </c>
      <c r="AR236" s="9">
        <f t="shared" si="739"/>
        <v>54.88888889</v>
      </c>
      <c r="AS236" s="9">
        <f t="shared" si="11"/>
        <v>91.25555556</v>
      </c>
      <c r="AT236" s="9">
        <f t="shared" ref="AT236:AV236" si="740">AJ236/$AF236</f>
        <v>21.95555556</v>
      </c>
      <c r="AU236" s="9">
        <f t="shared" si="740"/>
        <v>7.111111111</v>
      </c>
      <c r="AV236" s="9">
        <f t="shared" si="740"/>
        <v>4.388888889</v>
      </c>
      <c r="AW236" s="9">
        <f t="shared" si="13"/>
        <v>11.5</v>
      </c>
      <c r="AX236" s="9">
        <f t="shared" ref="AX236:AY236" si="741">AM236/$AF236</f>
        <v>1.777777778</v>
      </c>
      <c r="AY236" s="9">
        <f t="shared" si="741"/>
        <v>0.5555555556</v>
      </c>
      <c r="AZ236" s="9">
        <f>VLOOKUP(A236,Jogos!A:BN,58,0)</f>
        <v>17.715</v>
      </c>
      <c r="BA236" s="9">
        <f>VLOOKUP(A236,Jogos!A:BN,59,0)</f>
        <v>16.715</v>
      </c>
      <c r="BB236" s="9">
        <f>VLOOKUP(A236,Jogos!A:BN,60,0)</f>
        <v>93</v>
      </c>
      <c r="BC236" s="9">
        <f>VLOOKUP(A236,Jogos!A:BN,61,0)</f>
        <v>15.095</v>
      </c>
      <c r="BD236" s="9">
        <f>VLOOKUP(A236,Jogos!A:BN,62,0)</f>
        <v>0</v>
      </c>
      <c r="BE236" s="9">
        <f>VLOOKUP(A236,Jogos!A:BN,63,0)</f>
        <v>1.445</v>
      </c>
      <c r="BF236" s="9">
        <f>VLOOKUP(A236,Jogos!A:BN,64,0)</f>
        <v>18.245</v>
      </c>
      <c r="BG236" s="9">
        <f>VLOOKUP(A236,Jogos!A:BN,65,0)</f>
        <v>30.715</v>
      </c>
      <c r="BH236" s="9">
        <f>VLOOKUP(A236,Jogos!A:BN,66,0)</f>
        <v>20.69</v>
      </c>
      <c r="BI236" s="9"/>
    </row>
    <row r="237" hidden="1">
      <c r="A237" s="10">
        <v>8.0</v>
      </c>
      <c r="B237" s="11" t="s">
        <v>375</v>
      </c>
      <c r="C237" s="2" t="s">
        <v>61</v>
      </c>
      <c r="D237" s="12">
        <v>45824.0</v>
      </c>
      <c r="E237" s="13">
        <v>0.875</v>
      </c>
      <c r="F237" s="5" t="str">
        <f>VLOOKUP(A237,Jogos!A:N,10,0)</f>
        <v>Evening</v>
      </c>
      <c r="G237" s="11" t="s">
        <v>500</v>
      </c>
      <c r="H237" s="6" t="str">
        <f>VLOOKUP(A237,Jogos!A:L,12,0)</f>
        <v>Open</v>
      </c>
      <c r="I237" s="6" t="str">
        <f>VLOOKUP(G237,'Estádios e Cidades'!A:B,2,0)</f>
        <v>Philadelphia</v>
      </c>
      <c r="J237" s="11" t="s">
        <v>502</v>
      </c>
      <c r="K237" s="2" t="str">
        <f>VLOOKUP(J237,Equipes!A:F,6,0)</f>
        <v>Temperate</v>
      </c>
      <c r="L237" s="2">
        <f>VLOOKUP(J237,Equipes!A:C,3,0)</f>
        <v>21</v>
      </c>
      <c r="M237" s="2" t="str">
        <f t="shared" si="4"/>
        <v>Group</v>
      </c>
      <c r="N237" s="11" t="s">
        <v>501</v>
      </c>
      <c r="O237" s="2">
        <f>VLOOKUP(N237,Equipes!A:C,3,0)</f>
        <v>11</v>
      </c>
      <c r="P237" s="2" t="str">
        <f t="shared" si="5"/>
        <v>Round of 16</v>
      </c>
      <c r="Q237" s="2">
        <f t="shared" si="6"/>
        <v>10</v>
      </c>
      <c r="R237" s="2" t="str">
        <f>VLOOKUP(J237,Equipes!A:B,2,0)</f>
        <v>Esperance</v>
      </c>
      <c r="S237" s="6" t="s">
        <v>556</v>
      </c>
      <c r="T237" s="7">
        <v>19.0</v>
      </c>
      <c r="U237" s="7" t="s">
        <v>557</v>
      </c>
      <c r="V237" s="7" t="str">
        <f>VLOOKUP(U237,Jogadores!B:C,2,0)</f>
        <v>FW</v>
      </c>
      <c r="W237" s="8">
        <f>VLOOKUP(U237,Jogadores!B:D,3,0)</f>
        <v>23.63013699</v>
      </c>
      <c r="X237" s="7">
        <v>75.0</v>
      </c>
      <c r="Y237" s="7">
        <f t="shared" si="738"/>
        <v>93</v>
      </c>
      <c r="Z237" s="7">
        <f>VLOOKUP(A237,Jogos!A:L,3,0)</f>
        <v>46</v>
      </c>
      <c r="AA237" s="7">
        <f t="shared" si="7"/>
        <v>0</v>
      </c>
      <c r="AB237" s="7">
        <f>VLOOKUP(A237,Jogos!A:L,4,0)</f>
        <v>48</v>
      </c>
      <c r="AC237" s="7">
        <f t="shared" si="657"/>
        <v>18</v>
      </c>
      <c r="AD237" s="7"/>
      <c r="AE237" s="7"/>
      <c r="AF237" s="7">
        <f t="shared" si="9"/>
        <v>18</v>
      </c>
      <c r="AG237" s="7">
        <v>2193.2</v>
      </c>
      <c r="AH237" s="7">
        <v>695.8</v>
      </c>
      <c r="AI237" s="7">
        <v>945.7</v>
      </c>
      <c r="AJ237" s="7">
        <v>371.2</v>
      </c>
      <c r="AK237" s="7">
        <v>172.0</v>
      </c>
      <c r="AL237" s="7">
        <v>8.4</v>
      </c>
      <c r="AM237" s="7">
        <v>36.0</v>
      </c>
      <c r="AN237" s="7">
        <v>11.0</v>
      </c>
      <c r="AO237" s="7">
        <v>27.2</v>
      </c>
      <c r="AP237" s="9">
        <f t="shared" ref="AP237:AR237" si="742">AG237/$AF237</f>
        <v>121.8444444</v>
      </c>
      <c r="AQ237" s="9">
        <f t="shared" si="742"/>
        <v>38.65555556</v>
      </c>
      <c r="AR237" s="9">
        <f t="shared" si="742"/>
        <v>52.53888889</v>
      </c>
      <c r="AS237" s="9">
        <f t="shared" si="11"/>
        <v>91.19444444</v>
      </c>
      <c r="AT237" s="9">
        <f t="shared" ref="AT237:AV237" si="743">AJ237/$AF237</f>
        <v>20.62222222</v>
      </c>
      <c r="AU237" s="9">
        <f t="shared" si="743"/>
        <v>9.555555556</v>
      </c>
      <c r="AV237" s="9">
        <f t="shared" si="743"/>
        <v>0.4666666667</v>
      </c>
      <c r="AW237" s="9">
        <f t="shared" si="13"/>
        <v>10.02222222</v>
      </c>
      <c r="AX237" s="9">
        <f t="shared" ref="AX237:AY237" si="744">AM237/$AF237</f>
        <v>2</v>
      </c>
      <c r="AY237" s="9">
        <f t="shared" si="744"/>
        <v>0.6111111111</v>
      </c>
      <c r="AZ237" s="9">
        <f>VLOOKUP(A237,Jogos!A:BN,58,0)</f>
        <v>17.715</v>
      </c>
      <c r="BA237" s="9">
        <f>VLOOKUP(A237,Jogos!A:BN,59,0)</f>
        <v>16.715</v>
      </c>
      <c r="BB237" s="9">
        <f>VLOOKUP(A237,Jogos!A:BN,60,0)</f>
        <v>93</v>
      </c>
      <c r="BC237" s="9">
        <f>VLOOKUP(A237,Jogos!A:BN,61,0)</f>
        <v>15.095</v>
      </c>
      <c r="BD237" s="9">
        <f>VLOOKUP(A237,Jogos!A:BN,62,0)</f>
        <v>0</v>
      </c>
      <c r="BE237" s="9">
        <f>VLOOKUP(A237,Jogos!A:BN,63,0)</f>
        <v>1.445</v>
      </c>
      <c r="BF237" s="9">
        <f>VLOOKUP(A237,Jogos!A:BN,64,0)</f>
        <v>18.245</v>
      </c>
      <c r="BG237" s="9">
        <f>VLOOKUP(A237,Jogos!A:BN,65,0)</f>
        <v>30.715</v>
      </c>
      <c r="BH237" s="9">
        <f>VLOOKUP(A237,Jogos!A:BN,66,0)</f>
        <v>20.69</v>
      </c>
      <c r="BI237" s="9"/>
    </row>
    <row r="238" hidden="1">
      <c r="A238" s="10">
        <v>8.0</v>
      </c>
      <c r="B238" s="11" t="s">
        <v>375</v>
      </c>
      <c r="C238" s="2" t="s">
        <v>61</v>
      </c>
      <c r="D238" s="12">
        <v>45824.0</v>
      </c>
      <c r="E238" s="13">
        <v>0.875</v>
      </c>
      <c r="F238" s="5" t="str">
        <f>VLOOKUP(A238,Jogos!A:N,10,0)</f>
        <v>Evening</v>
      </c>
      <c r="G238" s="11" t="s">
        <v>500</v>
      </c>
      <c r="H238" s="6" t="str">
        <f>VLOOKUP(A238,Jogos!A:L,12,0)</f>
        <v>Open</v>
      </c>
      <c r="I238" s="6" t="str">
        <f>VLOOKUP(G238,'Estádios e Cidades'!A:B,2,0)</f>
        <v>Philadelphia</v>
      </c>
      <c r="J238" s="11" t="s">
        <v>502</v>
      </c>
      <c r="K238" s="2" t="str">
        <f>VLOOKUP(J238,Equipes!A:F,6,0)</f>
        <v>Temperate</v>
      </c>
      <c r="L238" s="2">
        <f>VLOOKUP(J238,Equipes!A:C,3,0)</f>
        <v>21</v>
      </c>
      <c r="M238" s="2" t="str">
        <f t="shared" si="4"/>
        <v>Group</v>
      </c>
      <c r="N238" s="11" t="s">
        <v>501</v>
      </c>
      <c r="O238" s="2">
        <f>VLOOKUP(N238,Equipes!A:C,3,0)</f>
        <v>11</v>
      </c>
      <c r="P238" s="2" t="str">
        <f t="shared" si="5"/>
        <v>Round of 16</v>
      </c>
      <c r="Q238" s="2">
        <f t="shared" si="6"/>
        <v>10</v>
      </c>
      <c r="R238" s="2" t="str">
        <f>VLOOKUP(J238,Equipes!A:B,2,0)</f>
        <v>Esperance</v>
      </c>
      <c r="S238" s="6" t="s">
        <v>558</v>
      </c>
      <c r="T238" s="7">
        <v>21.0</v>
      </c>
      <c r="U238" s="7" t="s">
        <v>559</v>
      </c>
      <c r="V238" s="7" t="str">
        <f>VLOOKUP(U238,Jogadores!B:C,2,0)</f>
        <v>MF</v>
      </c>
      <c r="W238" s="8">
        <f>VLOOKUP(U238,Jogadores!B:D,3,0)</f>
        <v>19.10410959</v>
      </c>
      <c r="X238" s="7">
        <v>45.0</v>
      </c>
      <c r="Y238" s="7">
        <f t="shared" si="738"/>
        <v>93</v>
      </c>
      <c r="Z238" s="7">
        <f>VLOOKUP(A238,Jogos!A:L,3,0)</f>
        <v>46</v>
      </c>
      <c r="AA238" s="7">
        <f t="shared" si="7"/>
        <v>0</v>
      </c>
      <c r="AB238" s="7">
        <f>VLOOKUP(A238,Jogos!A:L,4,0)</f>
        <v>48</v>
      </c>
      <c r="AC238" s="7">
        <f t="shared" si="657"/>
        <v>48</v>
      </c>
      <c r="AD238" s="7"/>
      <c r="AE238" s="7"/>
      <c r="AF238" s="7">
        <f t="shared" si="9"/>
        <v>48</v>
      </c>
      <c r="AG238" s="7">
        <v>5011.4</v>
      </c>
      <c r="AH238" s="7">
        <v>1868.4</v>
      </c>
      <c r="AI238" s="7">
        <v>1806.5</v>
      </c>
      <c r="AJ238" s="7">
        <v>781.5</v>
      </c>
      <c r="AK238" s="7">
        <v>344.7</v>
      </c>
      <c r="AL238" s="7">
        <v>210.3</v>
      </c>
      <c r="AM238" s="7">
        <v>74.0</v>
      </c>
      <c r="AN238" s="7">
        <v>30.0</v>
      </c>
      <c r="AO238" s="7">
        <v>31.5</v>
      </c>
      <c r="AP238" s="9">
        <f t="shared" ref="AP238:AR238" si="745">AG238/$AF238</f>
        <v>104.4041667</v>
      </c>
      <c r="AQ238" s="9">
        <f t="shared" si="745"/>
        <v>38.925</v>
      </c>
      <c r="AR238" s="9">
        <f t="shared" si="745"/>
        <v>37.63541667</v>
      </c>
      <c r="AS238" s="9">
        <f t="shared" si="11"/>
        <v>76.56041667</v>
      </c>
      <c r="AT238" s="9">
        <f t="shared" ref="AT238:AV238" si="746">AJ238/$AF238</f>
        <v>16.28125</v>
      </c>
      <c r="AU238" s="9">
        <f t="shared" si="746"/>
        <v>7.18125</v>
      </c>
      <c r="AV238" s="9">
        <f t="shared" si="746"/>
        <v>4.38125</v>
      </c>
      <c r="AW238" s="9">
        <f t="shared" si="13"/>
        <v>11.5625</v>
      </c>
      <c r="AX238" s="9">
        <f t="shared" ref="AX238:AY238" si="747">AM238/$AF238</f>
        <v>1.541666667</v>
      </c>
      <c r="AY238" s="9">
        <f t="shared" si="747"/>
        <v>0.625</v>
      </c>
      <c r="AZ238" s="9">
        <f>VLOOKUP(A238,Jogos!A:BN,58,0)</f>
        <v>17.715</v>
      </c>
      <c r="BA238" s="9">
        <f>VLOOKUP(A238,Jogos!A:BN,59,0)</f>
        <v>16.715</v>
      </c>
      <c r="BB238" s="9">
        <f>VLOOKUP(A238,Jogos!A:BN,60,0)</f>
        <v>93</v>
      </c>
      <c r="BC238" s="9">
        <f>VLOOKUP(A238,Jogos!A:BN,61,0)</f>
        <v>15.095</v>
      </c>
      <c r="BD238" s="9">
        <f>VLOOKUP(A238,Jogos!A:BN,62,0)</f>
        <v>0</v>
      </c>
      <c r="BE238" s="9">
        <f>VLOOKUP(A238,Jogos!A:BN,63,0)</f>
        <v>1.445</v>
      </c>
      <c r="BF238" s="9">
        <f>VLOOKUP(A238,Jogos!A:BN,64,0)</f>
        <v>18.245</v>
      </c>
      <c r="BG238" s="9">
        <f>VLOOKUP(A238,Jogos!A:BN,65,0)</f>
        <v>30.715</v>
      </c>
      <c r="BH238" s="9">
        <f>VLOOKUP(A238,Jogos!A:BN,66,0)</f>
        <v>20.69</v>
      </c>
      <c r="BI238" s="9"/>
    </row>
    <row r="239" hidden="1">
      <c r="A239" s="10">
        <v>8.0</v>
      </c>
      <c r="B239" s="11" t="s">
        <v>375</v>
      </c>
      <c r="C239" s="2" t="s">
        <v>61</v>
      </c>
      <c r="D239" s="12">
        <v>45824.0</v>
      </c>
      <c r="E239" s="13">
        <v>0.875</v>
      </c>
      <c r="F239" s="5" t="str">
        <f>VLOOKUP(A239,Jogos!A:N,10,0)</f>
        <v>Evening</v>
      </c>
      <c r="G239" s="11" t="s">
        <v>500</v>
      </c>
      <c r="H239" s="6" t="str">
        <f>VLOOKUP(A239,Jogos!A:L,12,0)</f>
        <v>Open</v>
      </c>
      <c r="I239" s="6" t="str">
        <f>VLOOKUP(G239,'Estádios e Cidades'!A:B,2,0)</f>
        <v>Philadelphia</v>
      </c>
      <c r="J239" s="11" t="s">
        <v>502</v>
      </c>
      <c r="K239" s="2" t="str">
        <f>VLOOKUP(J239,Equipes!A:F,6,0)</f>
        <v>Temperate</v>
      </c>
      <c r="L239" s="2">
        <f>VLOOKUP(J239,Equipes!A:C,3,0)</f>
        <v>21</v>
      </c>
      <c r="M239" s="2" t="str">
        <f t="shared" si="4"/>
        <v>Group</v>
      </c>
      <c r="N239" s="11" t="s">
        <v>501</v>
      </c>
      <c r="O239" s="2">
        <f>VLOOKUP(N239,Equipes!A:C,3,0)</f>
        <v>11</v>
      </c>
      <c r="P239" s="2" t="str">
        <f t="shared" si="5"/>
        <v>Round of 16</v>
      </c>
      <c r="Q239" s="2">
        <f t="shared" si="6"/>
        <v>10</v>
      </c>
      <c r="R239" s="2" t="str">
        <f>VLOOKUP(J239,Equipes!A:B,2,0)</f>
        <v>Esperance</v>
      </c>
      <c r="S239" s="6" t="s">
        <v>560</v>
      </c>
      <c r="T239" s="7">
        <v>24.0</v>
      </c>
      <c r="U239" s="7" t="s">
        <v>561</v>
      </c>
      <c r="V239" s="7" t="str">
        <f>VLOOKUP(U239,Jogadores!B:C,2,0)</f>
        <v>FW</v>
      </c>
      <c r="W239" s="8">
        <f>VLOOKUP(U239,Jogadores!B:D,3,0)</f>
        <v>25.90410959</v>
      </c>
      <c r="X239" s="7">
        <v>45.0</v>
      </c>
      <c r="Y239" s="7">
        <f t="shared" si="738"/>
        <v>93</v>
      </c>
      <c r="Z239" s="7">
        <f>VLOOKUP(A239,Jogos!A:L,3,0)</f>
        <v>46</v>
      </c>
      <c r="AA239" s="7">
        <f t="shared" si="7"/>
        <v>0</v>
      </c>
      <c r="AB239" s="7">
        <f>VLOOKUP(A239,Jogos!A:L,4,0)</f>
        <v>48</v>
      </c>
      <c r="AC239" s="7">
        <f t="shared" si="657"/>
        <v>48</v>
      </c>
      <c r="AD239" s="7"/>
      <c r="AE239" s="7"/>
      <c r="AF239" s="7">
        <f t="shared" si="9"/>
        <v>48</v>
      </c>
      <c r="AG239" s="7">
        <v>5288.1</v>
      </c>
      <c r="AH239" s="7">
        <v>1669.1</v>
      </c>
      <c r="AI239" s="7">
        <v>2074.6</v>
      </c>
      <c r="AJ239" s="7">
        <v>844.3</v>
      </c>
      <c r="AK239" s="7">
        <v>496.4</v>
      </c>
      <c r="AL239" s="7">
        <v>203.8</v>
      </c>
      <c r="AM239" s="7">
        <v>67.0</v>
      </c>
      <c r="AN239" s="7">
        <v>44.0</v>
      </c>
      <c r="AO239" s="7">
        <v>31.1</v>
      </c>
      <c r="AP239" s="9">
        <f t="shared" ref="AP239:AR239" si="748">AG239/$AF239</f>
        <v>110.16875</v>
      </c>
      <c r="AQ239" s="9">
        <f t="shared" si="748"/>
        <v>34.77291667</v>
      </c>
      <c r="AR239" s="9">
        <f t="shared" si="748"/>
        <v>43.22083333</v>
      </c>
      <c r="AS239" s="9">
        <f t="shared" si="11"/>
        <v>77.99375</v>
      </c>
      <c r="AT239" s="9">
        <f t="shared" ref="AT239:AV239" si="749">AJ239/$AF239</f>
        <v>17.58958333</v>
      </c>
      <c r="AU239" s="9">
        <f t="shared" si="749"/>
        <v>10.34166667</v>
      </c>
      <c r="AV239" s="9">
        <f t="shared" si="749"/>
        <v>4.245833333</v>
      </c>
      <c r="AW239" s="9">
        <f t="shared" si="13"/>
        <v>14.5875</v>
      </c>
      <c r="AX239" s="9">
        <f t="shared" ref="AX239:AY239" si="750">AM239/$AF239</f>
        <v>1.395833333</v>
      </c>
      <c r="AY239" s="9">
        <f t="shared" si="750"/>
        <v>0.9166666667</v>
      </c>
      <c r="AZ239" s="9">
        <f>VLOOKUP(A239,Jogos!A:BN,58,0)</f>
        <v>17.715</v>
      </c>
      <c r="BA239" s="9">
        <f>VLOOKUP(A239,Jogos!A:BN,59,0)</f>
        <v>16.715</v>
      </c>
      <c r="BB239" s="9">
        <f>VLOOKUP(A239,Jogos!A:BN,60,0)</f>
        <v>93</v>
      </c>
      <c r="BC239" s="9">
        <f>VLOOKUP(A239,Jogos!A:BN,61,0)</f>
        <v>15.095</v>
      </c>
      <c r="BD239" s="9">
        <f>VLOOKUP(A239,Jogos!A:BN,62,0)</f>
        <v>0</v>
      </c>
      <c r="BE239" s="9">
        <f>VLOOKUP(A239,Jogos!A:BN,63,0)</f>
        <v>1.445</v>
      </c>
      <c r="BF239" s="9">
        <f>VLOOKUP(A239,Jogos!A:BN,64,0)</f>
        <v>18.245</v>
      </c>
      <c r="BG239" s="9">
        <f>VLOOKUP(A239,Jogos!A:BN,65,0)</f>
        <v>30.715</v>
      </c>
      <c r="BH239" s="9">
        <f>VLOOKUP(A239,Jogos!A:BN,66,0)</f>
        <v>20.69</v>
      </c>
      <c r="BI239" s="9"/>
    </row>
    <row r="240" hidden="1">
      <c r="A240" s="2">
        <v>9.0</v>
      </c>
      <c r="B240" s="11" t="s">
        <v>562</v>
      </c>
      <c r="C240" s="2" t="s">
        <v>61</v>
      </c>
      <c r="D240" s="3">
        <v>45825.0</v>
      </c>
      <c r="E240" s="4">
        <v>0.5</v>
      </c>
      <c r="F240" s="5" t="str">
        <f>VLOOKUP(A240,Jogos!A:N,10,0)</f>
        <v>Afternoon</v>
      </c>
      <c r="G240" s="2" t="s">
        <v>249</v>
      </c>
      <c r="H240" s="6" t="str">
        <f>VLOOKUP(A240,Jogos!A:L,12,0)</f>
        <v>Open</v>
      </c>
      <c r="I240" s="6" t="str">
        <f>VLOOKUP(G240,'Estádios e Cidades'!A:B,2,0)</f>
        <v>East Rutherford</v>
      </c>
      <c r="J240" s="2" t="s">
        <v>563</v>
      </c>
      <c r="K240" s="2" t="str">
        <f>VLOOKUP(J240,Equipes!A:F,6,0)</f>
        <v>Tropical</v>
      </c>
      <c r="L240" s="2">
        <f>VLOOKUP(J240,Equipes!A:C,3,0)</f>
        <v>4</v>
      </c>
      <c r="M240" s="2" t="str">
        <f t="shared" si="4"/>
        <v>Semi-final</v>
      </c>
      <c r="N240" s="2" t="s">
        <v>564</v>
      </c>
      <c r="O240" s="2">
        <f>VLOOKUP(N240,Equipes!A:C,3,0)</f>
        <v>5</v>
      </c>
      <c r="P240" s="2" t="str">
        <f t="shared" si="5"/>
        <v>Quarter-final</v>
      </c>
      <c r="Q240" s="2">
        <f t="shared" si="6"/>
        <v>-1</v>
      </c>
      <c r="R240" s="2" t="str">
        <f>VLOOKUP(J240,Equipes!A:B,2,0)</f>
        <v>Fluminense</v>
      </c>
      <c r="S240" s="6" t="s">
        <v>565</v>
      </c>
      <c r="T240" s="7">
        <v>2.0</v>
      </c>
      <c r="U240" s="7" t="s">
        <v>566</v>
      </c>
      <c r="V240" s="7" t="str">
        <f>VLOOKUP(U240,Jogadores!B:C,2,0)</f>
        <v>DF</v>
      </c>
      <c r="W240" s="8">
        <f>VLOOKUP(U240,Jogadores!B:D,3,0)</f>
        <v>35.16712329</v>
      </c>
      <c r="X240" s="7">
        <v>0.0</v>
      </c>
      <c r="Y240" s="7">
        <f t="shared" si="738"/>
        <v>96</v>
      </c>
      <c r="Z240" s="7">
        <f>VLOOKUP(A240,Jogos!A:L,3,0)</f>
        <v>48</v>
      </c>
      <c r="AA240" s="7">
        <f t="shared" si="7"/>
        <v>48</v>
      </c>
      <c r="AB240" s="7">
        <f>VLOOKUP(A240,Jogos!A:L,4,0)</f>
        <v>51</v>
      </c>
      <c r="AC240" s="7">
        <f t="shared" si="657"/>
        <v>51</v>
      </c>
      <c r="AD240" s="7"/>
      <c r="AE240" s="7"/>
      <c r="AF240" s="7">
        <f t="shared" si="9"/>
        <v>99</v>
      </c>
      <c r="AG240" s="7">
        <v>9846.0</v>
      </c>
      <c r="AH240" s="7">
        <v>3983.7</v>
      </c>
      <c r="AI240" s="7">
        <v>3975.4</v>
      </c>
      <c r="AJ240" s="7">
        <v>1258.6</v>
      </c>
      <c r="AK240" s="7">
        <v>511.1</v>
      </c>
      <c r="AL240" s="7">
        <v>117.2</v>
      </c>
      <c r="AM240" s="7">
        <v>113.0</v>
      </c>
      <c r="AN240" s="7">
        <v>44.0</v>
      </c>
      <c r="AO240" s="7">
        <v>30.2</v>
      </c>
      <c r="AP240" s="9">
        <f t="shared" ref="AP240:AR240" si="751">AG240/$AF240</f>
        <v>99.45454545</v>
      </c>
      <c r="AQ240" s="9">
        <f t="shared" si="751"/>
        <v>40.23939394</v>
      </c>
      <c r="AR240" s="9">
        <f t="shared" si="751"/>
        <v>40.15555556</v>
      </c>
      <c r="AS240" s="9">
        <f t="shared" si="11"/>
        <v>80.39494949</v>
      </c>
      <c r="AT240" s="9">
        <f t="shared" ref="AT240:AV240" si="752">AJ240/$AF240</f>
        <v>12.71313131</v>
      </c>
      <c r="AU240" s="9">
        <f t="shared" si="752"/>
        <v>5.162626263</v>
      </c>
      <c r="AV240" s="9">
        <f t="shared" si="752"/>
        <v>1.183838384</v>
      </c>
      <c r="AW240" s="9">
        <f t="shared" si="13"/>
        <v>6.346464646</v>
      </c>
      <c r="AX240" s="9">
        <f t="shared" ref="AX240:AY240" si="753">AM240/$AF240</f>
        <v>1.141414141</v>
      </c>
      <c r="AY240" s="9">
        <f t="shared" si="753"/>
        <v>0.4444444444</v>
      </c>
      <c r="AZ240" s="9">
        <f>VLOOKUP(A240,Jogos!A:BN,58,0)</f>
        <v>19.865</v>
      </c>
      <c r="BA240" s="9">
        <f>VLOOKUP(A240,Jogos!A:BN,59,0)</f>
        <v>18.135</v>
      </c>
      <c r="BB240" s="9">
        <f>VLOOKUP(A240,Jogos!A:BN,60,0)</f>
        <v>89</v>
      </c>
      <c r="BC240" s="9">
        <f>VLOOKUP(A240,Jogos!A:BN,61,0)</f>
        <v>17.135</v>
      </c>
      <c r="BD240" s="9">
        <f>VLOOKUP(A240,Jogos!A:BN,62,0)</f>
        <v>107.45</v>
      </c>
      <c r="BE240" s="9">
        <f>VLOOKUP(A240,Jogos!A:BN,63,0)</f>
        <v>1.495</v>
      </c>
      <c r="BF240" s="9">
        <f>VLOOKUP(A240,Jogos!A:BN,64,0)</f>
        <v>19.675</v>
      </c>
      <c r="BG240" s="9">
        <f>VLOOKUP(A240,Jogos!A:BN,65,0)</f>
        <v>33.28</v>
      </c>
      <c r="BH240" s="9">
        <f>VLOOKUP(A240,Jogos!A:BN,66,0)</f>
        <v>22.415</v>
      </c>
      <c r="BI240" s="9"/>
    </row>
    <row r="241" hidden="1">
      <c r="A241" s="2">
        <v>9.0</v>
      </c>
      <c r="B241" s="11" t="s">
        <v>562</v>
      </c>
      <c r="C241" s="2" t="s">
        <v>61</v>
      </c>
      <c r="D241" s="3">
        <v>45825.0</v>
      </c>
      <c r="E241" s="4">
        <v>0.5</v>
      </c>
      <c r="F241" s="5" t="str">
        <f>VLOOKUP(A241,Jogos!A:N,10,0)</f>
        <v>Afternoon</v>
      </c>
      <c r="G241" s="2" t="s">
        <v>249</v>
      </c>
      <c r="H241" s="6" t="str">
        <f>VLOOKUP(A241,Jogos!A:L,12,0)</f>
        <v>Open</v>
      </c>
      <c r="I241" s="6" t="str">
        <f>VLOOKUP(G241,'Estádios e Cidades'!A:B,2,0)</f>
        <v>East Rutherford</v>
      </c>
      <c r="J241" s="2" t="s">
        <v>563</v>
      </c>
      <c r="K241" s="2" t="str">
        <f>VLOOKUP(J241,Equipes!A:F,6,0)</f>
        <v>Tropical</v>
      </c>
      <c r="L241" s="2">
        <f>VLOOKUP(J241,Equipes!A:C,3,0)</f>
        <v>4</v>
      </c>
      <c r="M241" s="2" t="str">
        <f t="shared" si="4"/>
        <v>Semi-final</v>
      </c>
      <c r="N241" s="2" t="s">
        <v>564</v>
      </c>
      <c r="O241" s="2">
        <f>VLOOKUP(N241,Equipes!A:C,3,0)</f>
        <v>5</v>
      </c>
      <c r="P241" s="2" t="str">
        <f t="shared" si="5"/>
        <v>Quarter-final</v>
      </c>
      <c r="Q241" s="2">
        <f t="shared" si="6"/>
        <v>-1</v>
      </c>
      <c r="R241" s="2" t="str">
        <f>VLOOKUP(J241,Equipes!A:B,2,0)</f>
        <v>Fluminense</v>
      </c>
      <c r="S241" s="6" t="s">
        <v>567</v>
      </c>
      <c r="T241" s="7">
        <v>3.0</v>
      </c>
      <c r="U241" s="7" t="s">
        <v>568</v>
      </c>
      <c r="V241" s="7" t="str">
        <f>VLOOKUP(U241,Jogadores!B:C,2,0)</f>
        <v>DF</v>
      </c>
      <c r="W241" s="8">
        <f>VLOOKUP(U241,Jogadores!B:D,3,0)</f>
        <v>40.8739726</v>
      </c>
      <c r="X241" s="7">
        <v>0.0</v>
      </c>
      <c r="Y241" s="7">
        <f t="shared" si="738"/>
        <v>96</v>
      </c>
      <c r="Z241" s="7">
        <f>VLOOKUP(A241,Jogos!A:L,3,0)</f>
        <v>48</v>
      </c>
      <c r="AA241" s="7">
        <f t="shared" si="7"/>
        <v>48</v>
      </c>
      <c r="AB241" s="7">
        <f>VLOOKUP(A241,Jogos!A:L,4,0)</f>
        <v>51</v>
      </c>
      <c r="AC241" s="7">
        <f t="shared" si="657"/>
        <v>51</v>
      </c>
      <c r="AD241" s="7"/>
      <c r="AE241" s="7"/>
      <c r="AF241" s="7">
        <f t="shared" si="9"/>
        <v>99</v>
      </c>
      <c r="AG241" s="7">
        <v>7961.8</v>
      </c>
      <c r="AH241" s="7">
        <v>4156.9</v>
      </c>
      <c r="AI241" s="7">
        <v>2753.1</v>
      </c>
      <c r="AJ241" s="7">
        <v>672.8</v>
      </c>
      <c r="AK241" s="7">
        <v>290.5</v>
      </c>
      <c r="AL241" s="7">
        <v>88.6</v>
      </c>
      <c r="AM241" s="7">
        <v>65.0</v>
      </c>
      <c r="AN241" s="7">
        <v>31.0</v>
      </c>
      <c r="AO241" s="7">
        <v>30.0</v>
      </c>
      <c r="AP241" s="9">
        <f t="shared" ref="AP241:AR241" si="754">AG241/$AF241</f>
        <v>80.42222222</v>
      </c>
      <c r="AQ241" s="9">
        <f t="shared" si="754"/>
        <v>41.98888889</v>
      </c>
      <c r="AR241" s="9">
        <f t="shared" si="754"/>
        <v>27.80909091</v>
      </c>
      <c r="AS241" s="9">
        <f t="shared" si="11"/>
        <v>69.7979798</v>
      </c>
      <c r="AT241" s="9">
        <f t="shared" ref="AT241:AV241" si="755">AJ241/$AF241</f>
        <v>6.795959596</v>
      </c>
      <c r="AU241" s="9">
        <f t="shared" si="755"/>
        <v>2.934343434</v>
      </c>
      <c r="AV241" s="9">
        <f t="shared" si="755"/>
        <v>0.8949494949</v>
      </c>
      <c r="AW241" s="9">
        <f t="shared" si="13"/>
        <v>3.829292929</v>
      </c>
      <c r="AX241" s="9">
        <f t="shared" ref="AX241:AY241" si="756">AM241/$AF241</f>
        <v>0.6565656566</v>
      </c>
      <c r="AY241" s="9">
        <f t="shared" si="756"/>
        <v>0.3131313131</v>
      </c>
      <c r="AZ241" s="9">
        <f>VLOOKUP(A241,Jogos!A:BN,58,0)</f>
        <v>19.865</v>
      </c>
      <c r="BA241" s="9">
        <f>VLOOKUP(A241,Jogos!A:BN,59,0)</f>
        <v>18.135</v>
      </c>
      <c r="BB241" s="9">
        <f>VLOOKUP(A241,Jogos!A:BN,60,0)</f>
        <v>89</v>
      </c>
      <c r="BC241" s="9">
        <f>VLOOKUP(A241,Jogos!A:BN,61,0)</f>
        <v>17.135</v>
      </c>
      <c r="BD241" s="9">
        <f>VLOOKUP(A241,Jogos!A:BN,62,0)</f>
        <v>107.45</v>
      </c>
      <c r="BE241" s="9">
        <f>VLOOKUP(A241,Jogos!A:BN,63,0)</f>
        <v>1.495</v>
      </c>
      <c r="BF241" s="9">
        <f>VLOOKUP(A241,Jogos!A:BN,64,0)</f>
        <v>19.675</v>
      </c>
      <c r="BG241" s="9">
        <f>VLOOKUP(A241,Jogos!A:BN,65,0)</f>
        <v>33.28</v>
      </c>
      <c r="BH241" s="9">
        <f>VLOOKUP(A241,Jogos!A:BN,66,0)</f>
        <v>22.415</v>
      </c>
      <c r="BI241" s="9"/>
    </row>
    <row r="242" hidden="1">
      <c r="A242" s="2">
        <v>9.0</v>
      </c>
      <c r="B242" s="11" t="s">
        <v>562</v>
      </c>
      <c r="C242" s="2" t="s">
        <v>61</v>
      </c>
      <c r="D242" s="3">
        <v>45825.0</v>
      </c>
      <c r="E242" s="4">
        <v>0.5</v>
      </c>
      <c r="F242" s="5" t="str">
        <f>VLOOKUP(A242,Jogos!A:N,10,0)</f>
        <v>Afternoon</v>
      </c>
      <c r="G242" s="2" t="s">
        <v>249</v>
      </c>
      <c r="H242" s="6" t="str">
        <f>VLOOKUP(A242,Jogos!A:L,12,0)</f>
        <v>Open</v>
      </c>
      <c r="I242" s="6" t="str">
        <f>VLOOKUP(G242,'Estádios e Cidades'!A:B,2,0)</f>
        <v>East Rutherford</v>
      </c>
      <c r="J242" s="2" t="s">
        <v>563</v>
      </c>
      <c r="K242" s="2" t="str">
        <f>VLOOKUP(J242,Equipes!A:F,6,0)</f>
        <v>Tropical</v>
      </c>
      <c r="L242" s="2">
        <f>VLOOKUP(J242,Equipes!A:C,3,0)</f>
        <v>4</v>
      </c>
      <c r="M242" s="2" t="str">
        <f t="shared" si="4"/>
        <v>Semi-final</v>
      </c>
      <c r="N242" s="2" t="s">
        <v>564</v>
      </c>
      <c r="O242" s="2">
        <f>VLOOKUP(N242,Equipes!A:C,3,0)</f>
        <v>5</v>
      </c>
      <c r="P242" s="2" t="str">
        <f t="shared" si="5"/>
        <v>Quarter-final</v>
      </c>
      <c r="Q242" s="2">
        <f t="shared" si="6"/>
        <v>-1</v>
      </c>
      <c r="R242" s="2" t="str">
        <f>VLOOKUP(J242,Equipes!A:B,2,0)</f>
        <v>Fluminense</v>
      </c>
      <c r="S242" s="6" t="s">
        <v>569</v>
      </c>
      <c r="T242" s="7">
        <v>6.0</v>
      </c>
      <c r="U242" s="7" t="s">
        <v>570</v>
      </c>
      <c r="V242" s="7" t="str">
        <f>VLOOKUP(U242,Jogadores!B:C,2,0)</f>
        <v>DF</v>
      </c>
      <c r="W242" s="8">
        <f>VLOOKUP(U242,Jogadores!B:D,3,0)</f>
        <v>32.89041096</v>
      </c>
      <c r="X242" s="7">
        <v>0.0</v>
      </c>
      <c r="Y242" s="7">
        <f t="shared" si="738"/>
        <v>96</v>
      </c>
      <c r="Z242" s="7">
        <f>VLOOKUP(A242,Jogos!A:L,3,0)</f>
        <v>48</v>
      </c>
      <c r="AA242" s="7">
        <f t="shared" si="7"/>
        <v>48</v>
      </c>
      <c r="AB242" s="7">
        <f>VLOOKUP(A242,Jogos!A:L,4,0)</f>
        <v>51</v>
      </c>
      <c r="AC242" s="7">
        <f t="shared" si="657"/>
        <v>51</v>
      </c>
      <c r="AD242" s="7"/>
      <c r="AE242" s="7"/>
      <c r="AF242" s="7">
        <f t="shared" si="9"/>
        <v>99</v>
      </c>
      <c r="AG242" s="7">
        <v>10586.6</v>
      </c>
      <c r="AH242" s="7">
        <v>4341.2</v>
      </c>
      <c r="AI242" s="7">
        <v>4065.1</v>
      </c>
      <c r="AJ242" s="7">
        <v>1331.2</v>
      </c>
      <c r="AK242" s="7">
        <v>618.7</v>
      </c>
      <c r="AL242" s="7">
        <v>230.4</v>
      </c>
      <c r="AM242" s="7">
        <v>113.0</v>
      </c>
      <c r="AN242" s="7">
        <v>43.0</v>
      </c>
      <c r="AO242" s="7">
        <v>31.7</v>
      </c>
      <c r="AP242" s="9">
        <f t="shared" ref="AP242:AR242" si="757">AG242/$AF242</f>
        <v>106.9353535</v>
      </c>
      <c r="AQ242" s="9">
        <f t="shared" si="757"/>
        <v>43.85050505</v>
      </c>
      <c r="AR242" s="9">
        <f t="shared" si="757"/>
        <v>41.06161616</v>
      </c>
      <c r="AS242" s="9">
        <f t="shared" si="11"/>
        <v>84.91212121</v>
      </c>
      <c r="AT242" s="9">
        <f t="shared" ref="AT242:AV242" si="758">AJ242/$AF242</f>
        <v>13.44646465</v>
      </c>
      <c r="AU242" s="9">
        <f t="shared" si="758"/>
        <v>6.249494949</v>
      </c>
      <c r="AV242" s="9">
        <f t="shared" si="758"/>
        <v>2.327272727</v>
      </c>
      <c r="AW242" s="9">
        <f t="shared" si="13"/>
        <v>8.576767677</v>
      </c>
      <c r="AX242" s="9">
        <f t="shared" ref="AX242:AY242" si="759">AM242/$AF242</f>
        <v>1.141414141</v>
      </c>
      <c r="AY242" s="9">
        <f t="shared" si="759"/>
        <v>0.4343434343</v>
      </c>
      <c r="AZ242" s="9">
        <f>VLOOKUP(A242,Jogos!A:BN,58,0)</f>
        <v>19.865</v>
      </c>
      <c r="BA242" s="9">
        <f>VLOOKUP(A242,Jogos!A:BN,59,0)</f>
        <v>18.135</v>
      </c>
      <c r="BB242" s="9">
        <f>VLOOKUP(A242,Jogos!A:BN,60,0)</f>
        <v>89</v>
      </c>
      <c r="BC242" s="9">
        <f>VLOOKUP(A242,Jogos!A:BN,61,0)</f>
        <v>17.135</v>
      </c>
      <c r="BD242" s="9">
        <f>VLOOKUP(A242,Jogos!A:BN,62,0)</f>
        <v>107.45</v>
      </c>
      <c r="BE242" s="9">
        <f>VLOOKUP(A242,Jogos!A:BN,63,0)</f>
        <v>1.495</v>
      </c>
      <c r="BF242" s="9">
        <f>VLOOKUP(A242,Jogos!A:BN,64,0)</f>
        <v>19.675</v>
      </c>
      <c r="BG242" s="9">
        <f>VLOOKUP(A242,Jogos!A:BN,65,0)</f>
        <v>33.28</v>
      </c>
      <c r="BH242" s="9">
        <f>VLOOKUP(A242,Jogos!A:BN,66,0)</f>
        <v>22.415</v>
      </c>
      <c r="BI242" s="9"/>
    </row>
    <row r="243" hidden="1">
      <c r="A243" s="2">
        <v>9.0</v>
      </c>
      <c r="B243" s="11" t="s">
        <v>562</v>
      </c>
      <c r="C243" s="2" t="s">
        <v>61</v>
      </c>
      <c r="D243" s="3">
        <v>45825.0</v>
      </c>
      <c r="E243" s="4">
        <v>0.5</v>
      </c>
      <c r="F243" s="5" t="str">
        <f>VLOOKUP(A243,Jogos!A:N,10,0)</f>
        <v>Afternoon</v>
      </c>
      <c r="G243" s="2" t="s">
        <v>249</v>
      </c>
      <c r="H243" s="6" t="str">
        <f>VLOOKUP(A243,Jogos!A:L,12,0)</f>
        <v>Open</v>
      </c>
      <c r="I243" s="6" t="str">
        <f>VLOOKUP(G243,'Estádios e Cidades'!A:B,2,0)</f>
        <v>East Rutherford</v>
      </c>
      <c r="J243" s="2" t="s">
        <v>563</v>
      </c>
      <c r="K243" s="2" t="str">
        <f>VLOOKUP(J243,Equipes!A:F,6,0)</f>
        <v>Tropical</v>
      </c>
      <c r="L243" s="2">
        <f>VLOOKUP(J243,Equipes!A:C,3,0)</f>
        <v>4</v>
      </c>
      <c r="M243" s="2" t="str">
        <f t="shared" si="4"/>
        <v>Semi-final</v>
      </c>
      <c r="N243" s="2" t="s">
        <v>564</v>
      </c>
      <c r="O243" s="2">
        <f>VLOOKUP(N243,Equipes!A:C,3,0)</f>
        <v>5</v>
      </c>
      <c r="P243" s="2" t="str">
        <f t="shared" si="5"/>
        <v>Quarter-final</v>
      </c>
      <c r="Q243" s="2">
        <f t="shared" si="6"/>
        <v>-1</v>
      </c>
      <c r="R243" s="2" t="str">
        <f>VLOOKUP(J243,Equipes!A:B,2,0)</f>
        <v>Fluminense</v>
      </c>
      <c r="S243" s="6" t="s">
        <v>571</v>
      </c>
      <c r="T243" s="7">
        <v>8.0</v>
      </c>
      <c r="U243" s="7" t="s">
        <v>572</v>
      </c>
      <c r="V243" s="7" t="str">
        <f>VLOOKUP(U243,Jogadores!B:C,2,0)</f>
        <v>MF</v>
      </c>
      <c r="W243" s="8">
        <f>VLOOKUP(U243,Jogadores!B:D,3,0)</f>
        <v>23.82739726</v>
      </c>
      <c r="X243" s="7">
        <v>0.0</v>
      </c>
      <c r="Y243" s="7">
        <v>76.0</v>
      </c>
      <c r="Z243" s="7">
        <f>VLOOKUP(A243,Jogos!A:L,3,0)</f>
        <v>48</v>
      </c>
      <c r="AA243" s="7">
        <f t="shared" si="7"/>
        <v>48</v>
      </c>
      <c r="AB243" s="7">
        <f>VLOOKUP(A243,Jogos!A:L,4,0)</f>
        <v>51</v>
      </c>
      <c r="AC243" s="7">
        <f t="shared" si="657"/>
        <v>31</v>
      </c>
      <c r="AD243" s="7"/>
      <c r="AE243" s="7"/>
      <c r="AF243" s="7">
        <f t="shared" si="9"/>
        <v>79</v>
      </c>
      <c r="AG243" s="7">
        <v>9476.7</v>
      </c>
      <c r="AH243" s="7">
        <v>2854.5</v>
      </c>
      <c r="AI243" s="7">
        <v>4310.4</v>
      </c>
      <c r="AJ243" s="7">
        <v>1717.1</v>
      </c>
      <c r="AK243" s="7">
        <v>461.1</v>
      </c>
      <c r="AL243" s="7">
        <v>133.6</v>
      </c>
      <c r="AM243" s="7">
        <v>139.0</v>
      </c>
      <c r="AN243" s="7">
        <v>32.0</v>
      </c>
      <c r="AO243" s="7">
        <v>32.1</v>
      </c>
      <c r="AP243" s="9">
        <f t="shared" ref="AP243:AR243" si="760">AG243/$AF243</f>
        <v>119.9582278</v>
      </c>
      <c r="AQ243" s="9">
        <f t="shared" si="760"/>
        <v>36.13291139</v>
      </c>
      <c r="AR243" s="9">
        <f t="shared" si="760"/>
        <v>54.56202532</v>
      </c>
      <c r="AS243" s="9">
        <f t="shared" si="11"/>
        <v>90.69493671</v>
      </c>
      <c r="AT243" s="9">
        <f t="shared" ref="AT243:AV243" si="761">AJ243/$AF243</f>
        <v>21.73544304</v>
      </c>
      <c r="AU243" s="9">
        <f t="shared" si="761"/>
        <v>5.836708861</v>
      </c>
      <c r="AV243" s="9">
        <f t="shared" si="761"/>
        <v>1.691139241</v>
      </c>
      <c r="AW243" s="9">
        <f t="shared" si="13"/>
        <v>7.527848101</v>
      </c>
      <c r="AX243" s="9">
        <f t="shared" ref="AX243:AY243" si="762">AM243/$AF243</f>
        <v>1.759493671</v>
      </c>
      <c r="AY243" s="9">
        <f t="shared" si="762"/>
        <v>0.4050632911</v>
      </c>
      <c r="AZ243" s="9">
        <f>VLOOKUP(A243,Jogos!A:BN,58,0)</f>
        <v>19.865</v>
      </c>
      <c r="BA243" s="9">
        <f>VLOOKUP(A243,Jogos!A:BN,59,0)</f>
        <v>18.135</v>
      </c>
      <c r="BB243" s="9">
        <f>VLOOKUP(A243,Jogos!A:BN,60,0)</f>
        <v>89</v>
      </c>
      <c r="BC243" s="9">
        <f>VLOOKUP(A243,Jogos!A:BN,61,0)</f>
        <v>17.135</v>
      </c>
      <c r="BD243" s="9">
        <f>VLOOKUP(A243,Jogos!A:BN,62,0)</f>
        <v>107.45</v>
      </c>
      <c r="BE243" s="9">
        <f>VLOOKUP(A243,Jogos!A:BN,63,0)</f>
        <v>1.495</v>
      </c>
      <c r="BF243" s="9">
        <f>VLOOKUP(A243,Jogos!A:BN,64,0)</f>
        <v>19.675</v>
      </c>
      <c r="BG243" s="9">
        <f>VLOOKUP(A243,Jogos!A:BN,65,0)</f>
        <v>33.28</v>
      </c>
      <c r="BH243" s="9">
        <f>VLOOKUP(A243,Jogos!A:BN,66,0)</f>
        <v>22.415</v>
      </c>
      <c r="BI243" s="9"/>
    </row>
    <row r="244" hidden="1">
      <c r="A244" s="2">
        <v>9.0</v>
      </c>
      <c r="B244" s="11" t="s">
        <v>562</v>
      </c>
      <c r="C244" s="2" t="s">
        <v>61</v>
      </c>
      <c r="D244" s="3">
        <v>45825.0</v>
      </c>
      <c r="E244" s="4">
        <v>0.5</v>
      </c>
      <c r="F244" s="5" t="str">
        <f>VLOOKUP(A244,Jogos!A:N,10,0)</f>
        <v>Afternoon</v>
      </c>
      <c r="G244" s="2" t="s">
        <v>249</v>
      </c>
      <c r="H244" s="6" t="str">
        <f>VLOOKUP(A244,Jogos!A:L,12,0)</f>
        <v>Open</v>
      </c>
      <c r="I244" s="6" t="str">
        <f>VLOOKUP(G244,'Estádios e Cidades'!A:B,2,0)</f>
        <v>East Rutherford</v>
      </c>
      <c r="J244" s="2" t="s">
        <v>563</v>
      </c>
      <c r="K244" s="2" t="str">
        <f>VLOOKUP(J244,Equipes!A:F,6,0)</f>
        <v>Tropical</v>
      </c>
      <c r="L244" s="2">
        <f>VLOOKUP(J244,Equipes!A:C,3,0)</f>
        <v>4</v>
      </c>
      <c r="M244" s="2" t="str">
        <f t="shared" si="4"/>
        <v>Semi-final</v>
      </c>
      <c r="N244" s="2" t="s">
        <v>564</v>
      </c>
      <c r="O244" s="2">
        <f>VLOOKUP(N244,Equipes!A:C,3,0)</f>
        <v>5</v>
      </c>
      <c r="P244" s="2" t="str">
        <f t="shared" si="5"/>
        <v>Quarter-final</v>
      </c>
      <c r="Q244" s="2">
        <f t="shared" si="6"/>
        <v>-1</v>
      </c>
      <c r="R244" s="2" t="str">
        <f>VLOOKUP(J244,Equipes!A:B,2,0)</f>
        <v>Fluminense</v>
      </c>
      <c r="S244" s="6" t="s">
        <v>573</v>
      </c>
      <c r="T244" s="7">
        <v>9.0</v>
      </c>
      <c r="U244" s="7" t="s">
        <v>574</v>
      </c>
      <c r="V244" s="7" t="str">
        <f>VLOOKUP(U244,Jogadores!B:C,2,0)</f>
        <v>FW</v>
      </c>
      <c r="W244" s="8">
        <f>VLOOKUP(U244,Jogadores!B:D,3,0)</f>
        <v>34.08767123</v>
      </c>
      <c r="X244" s="7">
        <v>0.0</v>
      </c>
      <c r="Y244" s="7">
        <v>70.0</v>
      </c>
      <c r="Z244" s="7">
        <f>VLOOKUP(A244,Jogos!A:L,3,0)</f>
        <v>48</v>
      </c>
      <c r="AA244" s="7">
        <f t="shared" si="7"/>
        <v>48</v>
      </c>
      <c r="AB244" s="7">
        <f>VLOOKUP(A244,Jogos!A:L,4,0)</f>
        <v>51</v>
      </c>
      <c r="AC244" s="7">
        <f t="shared" si="657"/>
        <v>25</v>
      </c>
      <c r="AD244" s="7"/>
      <c r="AE244" s="7"/>
      <c r="AF244" s="7">
        <f t="shared" si="9"/>
        <v>73</v>
      </c>
      <c r="AG244" s="7">
        <v>7735.3</v>
      </c>
      <c r="AH244" s="7">
        <v>3193.1</v>
      </c>
      <c r="AI244" s="7">
        <v>2811.9</v>
      </c>
      <c r="AJ244" s="7">
        <v>892.8</v>
      </c>
      <c r="AK244" s="7">
        <v>558.4</v>
      </c>
      <c r="AL244" s="7">
        <v>279.0</v>
      </c>
      <c r="AM244" s="7">
        <v>80.0</v>
      </c>
      <c r="AN244" s="7">
        <v>52.0</v>
      </c>
      <c r="AO244" s="7">
        <v>33.3</v>
      </c>
      <c r="AP244" s="9">
        <f t="shared" ref="AP244:AR244" si="763">AG244/$AF244</f>
        <v>105.9630137</v>
      </c>
      <c r="AQ244" s="9">
        <f t="shared" si="763"/>
        <v>43.74109589</v>
      </c>
      <c r="AR244" s="9">
        <f t="shared" si="763"/>
        <v>38.51917808</v>
      </c>
      <c r="AS244" s="9">
        <f t="shared" si="11"/>
        <v>82.26027397</v>
      </c>
      <c r="AT244" s="9">
        <f t="shared" ref="AT244:AV244" si="764">AJ244/$AF244</f>
        <v>12.23013699</v>
      </c>
      <c r="AU244" s="9">
        <f t="shared" si="764"/>
        <v>7.649315068</v>
      </c>
      <c r="AV244" s="9">
        <f t="shared" si="764"/>
        <v>3.821917808</v>
      </c>
      <c r="AW244" s="9">
        <f t="shared" si="13"/>
        <v>11.47123288</v>
      </c>
      <c r="AX244" s="9">
        <f t="shared" ref="AX244:AY244" si="765">AM244/$AF244</f>
        <v>1.095890411</v>
      </c>
      <c r="AY244" s="9">
        <f t="shared" si="765"/>
        <v>0.7123287671</v>
      </c>
      <c r="AZ244" s="9">
        <f>VLOOKUP(A244,Jogos!A:BN,58,0)</f>
        <v>19.865</v>
      </c>
      <c r="BA244" s="9">
        <f>VLOOKUP(A244,Jogos!A:BN,59,0)</f>
        <v>18.135</v>
      </c>
      <c r="BB244" s="9">
        <f>VLOOKUP(A244,Jogos!A:BN,60,0)</f>
        <v>89</v>
      </c>
      <c r="BC244" s="9">
        <f>VLOOKUP(A244,Jogos!A:BN,61,0)</f>
        <v>17.135</v>
      </c>
      <c r="BD244" s="9">
        <f>VLOOKUP(A244,Jogos!A:BN,62,0)</f>
        <v>107.45</v>
      </c>
      <c r="BE244" s="9">
        <f>VLOOKUP(A244,Jogos!A:BN,63,0)</f>
        <v>1.495</v>
      </c>
      <c r="BF244" s="9">
        <f>VLOOKUP(A244,Jogos!A:BN,64,0)</f>
        <v>19.675</v>
      </c>
      <c r="BG244" s="9">
        <f>VLOOKUP(A244,Jogos!A:BN,65,0)</f>
        <v>33.28</v>
      </c>
      <c r="BH244" s="9">
        <f>VLOOKUP(A244,Jogos!A:BN,66,0)</f>
        <v>22.415</v>
      </c>
      <c r="BI244" s="9"/>
    </row>
    <row r="245" hidden="1">
      <c r="A245" s="2">
        <v>9.0</v>
      </c>
      <c r="B245" s="11" t="s">
        <v>562</v>
      </c>
      <c r="C245" s="2" t="s">
        <v>61</v>
      </c>
      <c r="D245" s="3">
        <v>45825.0</v>
      </c>
      <c r="E245" s="4">
        <v>0.5</v>
      </c>
      <c r="F245" s="5" t="str">
        <f>VLOOKUP(A245,Jogos!A:N,10,0)</f>
        <v>Afternoon</v>
      </c>
      <c r="G245" s="2" t="s">
        <v>249</v>
      </c>
      <c r="H245" s="6" t="str">
        <f>VLOOKUP(A245,Jogos!A:L,12,0)</f>
        <v>Open</v>
      </c>
      <c r="I245" s="6" t="str">
        <f>VLOOKUP(G245,'Estádios e Cidades'!A:B,2,0)</f>
        <v>East Rutherford</v>
      </c>
      <c r="J245" s="2" t="s">
        <v>563</v>
      </c>
      <c r="K245" s="2" t="str">
        <f>VLOOKUP(J245,Equipes!A:F,6,0)</f>
        <v>Tropical</v>
      </c>
      <c r="L245" s="2">
        <f>VLOOKUP(J245,Equipes!A:C,3,0)</f>
        <v>4</v>
      </c>
      <c r="M245" s="2" t="str">
        <f t="shared" si="4"/>
        <v>Semi-final</v>
      </c>
      <c r="N245" s="2" t="s">
        <v>564</v>
      </c>
      <c r="O245" s="2">
        <f>VLOOKUP(N245,Equipes!A:C,3,0)</f>
        <v>5</v>
      </c>
      <c r="P245" s="2" t="str">
        <f t="shared" si="5"/>
        <v>Quarter-final</v>
      </c>
      <c r="Q245" s="2">
        <f t="shared" si="6"/>
        <v>-1</v>
      </c>
      <c r="R245" s="2" t="str">
        <f>VLOOKUP(J245,Equipes!A:B,2,0)</f>
        <v>Fluminense</v>
      </c>
      <c r="S245" s="6" t="s">
        <v>575</v>
      </c>
      <c r="T245" s="7">
        <v>16.0</v>
      </c>
      <c r="U245" s="7" t="s">
        <v>576</v>
      </c>
      <c r="V245" s="7" t="str">
        <f>VLOOKUP(U245,Jogadores!B:C,2,0)</f>
        <v>MF</v>
      </c>
      <c r="W245" s="8">
        <f>VLOOKUP(U245,Jogadores!B:D,3,0)</f>
        <v>27.42191781</v>
      </c>
      <c r="X245" s="7">
        <v>0.0</v>
      </c>
      <c r="Y245" s="7">
        <v>88.0</v>
      </c>
      <c r="Z245" s="7">
        <f>VLOOKUP(A245,Jogos!A:L,3,0)</f>
        <v>48</v>
      </c>
      <c r="AA245" s="7">
        <f t="shared" si="7"/>
        <v>48</v>
      </c>
      <c r="AB245" s="7">
        <f>VLOOKUP(A245,Jogos!A:L,4,0)</f>
        <v>51</v>
      </c>
      <c r="AC245" s="7">
        <f t="shared" si="657"/>
        <v>43</v>
      </c>
      <c r="AD245" s="7"/>
      <c r="AE245" s="7"/>
      <c r="AF245" s="7">
        <f t="shared" si="9"/>
        <v>91</v>
      </c>
      <c r="AG245" s="7">
        <v>10997.7</v>
      </c>
      <c r="AH245" s="7">
        <v>3491.8</v>
      </c>
      <c r="AI245" s="7">
        <v>4893.2</v>
      </c>
      <c r="AJ245" s="7">
        <v>1767.2</v>
      </c>
      <c r="AK245" s="7">
        <v>739.3</v>
      </c>
      <c r="AL245" s="7">
        <v>106.2</v>
      </c>
      <c r="AM245" s="7">
        <v>160.0</v>
      </c>
      <c r="AN245" s="7">
        <v>56.0</v>
      </c>
      <c r="AO245" s="7">
        <v>32.1</v>
      </c>
      <c r="AP245" s="9">
        <f t="shared" ref="AP245:AR245" si="766">AG245/$AF245</f>
        <v>120.8538462</v>
      </c>
      <c r="AQ245" s="9">
        <f t="shared" si="766"/>
        <v>38.37142857</v>
      </c>
      <c r="AR245" s="9">
        <f t="shared" si="766"/>
        <v>53.77142857</v>
      </c>
      <c r="AS245" s="9">
        <f t="shared" si="11"/>
        <v>92.14285714</v>
      </c>
      <c r="AT245" s="9">
        <f t="shared" ref="AT245:AV245" si="767">AJ245/$AF245</f>
        <v>19.41978022</v>
      </c>
      <c r="AU245" s="9">
        <f t="shared" si="767"/>
        <v>8.124175824</v>
      </c>
      <c r="AV245" s="9">
        <f t="shared" si="767"/>
        <v>1.167032967</v>
      </c>
      <c r="AW245" s="9">
        <f t="shared" si="13"/>
        <v>9.291208791</v>
      </c>
      <c r="AX245" s="9">
        <f t="shared" ref="AX245:AY245" si="768">AM245/$AF245</f>
        <v>1.758241758</v>
      </c>
      <c r="AY245" s="9">
        <f t="shared" si="768"/>
        <v>0.6153846154</v>
      </c>
      <c r="AZ245" s="9">
        <f>VLOOKUP(A245,Jogos!A:BN,58,0)</f>
        <v>19.865</v>
      </c>
      <c r="BA245" s="9">
        <f>VLOOKUP(A245,Jogos!A:BN,59,0)</f>
        <v>18.135</v>
      </c>
      <c r="BB245" s="9">
        <f>VLOOKUP(A245,Jogos!A:BN,60,0)</f>
        <v>89</v>
      </c>
      <c r="BC245" s="9">
        <f>VLOOKUP(A245,Jogos!A:BN,61,0)</f>
        <v>17.135</v>
      </c>
      <c r="BD245" s="9">
        <f>VLOOKUP(A245,Jogos!A:BN,62,0)</f>
        <v>107.45</v>
      </c>
      <c r="BE245" s="9">
        <f>VLOOKUP(A245,Jogos!A:BN,63,0)</f>
        <v>1.495</v>
      </c>
      <c r="BF245" s="9">
        <f>VLOOKUP(A245,Jogos!A:BN,64,0)</f>
        <v>19.675</v>
      </c>
      <c r="BG245" s="9">
        <f>VLOOKUP(A245,Jogos!A:BN,65,0)</f>
        <v>33.28</v>
      </c>
      <c r="BH245" s="9">
        <f>VLOOKUP(A245,Jogos!A:BN,66,0)</f>
        <v>22.415</v>
      </c>
      <c r="BI245" s="9"/>
    </row>
    <row r="246" hidden="1">
      <c r="A246" s="2">
        <v>9.0</v>
      </c>
      <c r="B246" s="11" t="s">
        <v>562</v>
      </c>
      <c r="C246" s="2" t="s">
        <v>61</v>
      </c>
      <c r="D246" s="3">
        <v>45825.0</v>
      </c>
      <c r="E246" s="4">
        <v>0.5</v>
      </c>
      <c r="F246" s="5" t="str">
        <f>VLOOKUP(A246,Jogos!A:N,10,0)</f>
        <v>Afternoon</v>
      </c>
      <c r="G246" s="2" t="s">
        <v>249</v>
      </c>
      <c r="H246" s="6" t="str">
        <f>VLOOKUP(A246,Jogos!A:L,12,0)</f>
        <v>Open</v>
      </c>
      <c r="I246" s="6" t="str">
        <f>VLOOKUP(G246,'Estádios e Cidades'!A:B,2,0)</f>
        <v>East Rutherford</v>
      </c>
      <c r="J246" s="2" t="s">
        <v>563</v>
      </c>
      <c r="K246" s="2" t="str">
        <f>VLOOKUP(J246,Equipes!A:F,6,0)</f>
        <v>Tropical</v>
      </c>
      <c r="L246" s="2">
        <f>VLOOKUP(J246,Equipes!A:C,3,0)</f>
        <v>4</v>
      </c>
      <c r="M246" s="2" t="str">
        <f t="shared" si="4"/>
        <v>Semi-final</v>
      </c>
      <c r="N246" s="2" t="s">
        <v>564</v>
      </c>
      <c r="O246" s="2">
        <f>VLOOKUP(N246,Equipes!A:C,3,0)</f>
        <v>5</v>
      </c>
      <c r="P246" s="2" t="str">
        <f t="shared" si="5"/>
        <v>Quarter-final</v>
      </c>
      <c r="Q246" s="2">
        <f t="shared" si="6"/>
        <v>-1</v>
      </c>
      <c r="R246" s="2" t="str">
        <f>VLOOKUP(J246,Equipes!A:B,2,0)</f>
        <v>Fluminense</v>
      </c>
      <c r="S246" s="6" t="s">
        <v>577</v>
      </c>
      <c r="T246" s="7">
        <v>17.0</v>
      </c>
      <c r="U246" s="7" t="s">
        <v>578</v>
      </c>
      <c r="V246" s="7" t="str">
        <f>VLOOKUP(U246,Jogadores!B:C,2,0)</f>
        <v>FW</v>
      </c>
      <c r="W246" s="8">
        <f>VLOOKUP(U246,Jogadores!B:D,3,0)</f>
        <v>26.84109589</v>
      </c>
      <c r="X246" s="7">
        <v>0.0</v>
      </c>
      <c r="Y246" s="7">
        <v>70.0</v>
      </c>
      <c r="Z246" s="7">
        <f>VLOOKUP(A246,Jogos!A:L,3,0)</f>
        <v>48</v>
      </c>
      <c r="AA246" s="7">
        <f t="shared" si="7"/>
        <v>48</v>
      </c>
      <c r="AB246" s="7">
        <f>VLOOKUP(A246,Jogos!A:L,4,0)</f>
        <v>51</v>
      </c>
      <c r="AC246" s="7">
        <f t="shared" si="657"/>
        <v>25</v>
      </c>
      <c r="AD246" s="7"/>
      <c r="AE246" s="7"/>
      <c r="AF246" s="7">
        <f t="shared" si="9"/>
        <v>73</v>
      </c>
      <c r="AG246" s="7">
        <v>9059.9</v>
      </c>
      <c r="AH246" s="7">
        <v>2439.8</v>
      </c>
      <c r="AI246" s="7">
        <v>3971.4</v>
      </c>
      <c r="AJ246" s="7">
        <v>1445.8</v>
      </c>
      <c r="AK246" s="7">
        <v>767.7</v>
      </c>
      <c r="AL246" s="7">
        <v>435.2</v>
      </c>
      <c r="AM246" s="7">
        <v>122.0</v>
      </c>
      <c r="AN246" s="7">
        <v>67.0</v>
      </c>
      <c r="AO246" s="7">
        <v>31.7</v>
      </c>
      <c r="AP246" s="9">
        <f t="shared" ref="AP246:AR246" si="769">AG246/$AF246</f>
        <v>124.1082192</v>
      </c>
      <c r="AQ246" s="9">
        <f t="shared" si="769"/>
        <v>33.42191781</v>
      </c>
      <c r="AR246" s="9">
        <f t="shared" si="769"/>
        <v>54.40273973</v>
      </c>
      <c r="AS246" s="9">
        <f t="shared" si="11"/>
        <v>87.82465753</v>
      </c>
      <c r="AT246" s="9">
        <f t="shared" ref="AT246:AV246" si="770">AJ246/$AF246</f>
        <v>19.80547945</v>
      </c>
      <c r="AU246" s="9">
        <f t="shared" si="770"/>
        <v>10.51643836</v>
      </c>
      <c r="AV246" s="9">
        <f t="shared" si="770"/>
        <v>5.961643836</v>
      </c>
      <c r="AW246" s="9">
        <f t="shared" si="13"/>
        <v>16.47808219</v>
      </c>
      <c r="AX246" s="9">
        <f t="shared" ref="AX246:AY246" si="771">AM246/$AF246</f>
        <v>1.671232877</v>
      </c>
      <c r="AY246" s="9">
        <f t="shared" si="771"/>
        <v>0.9178082192</v>
      </c>
      <c r="AZ246" s="9">
        <f>VLOOKUP(A246,Jogos!A:BN,58,0)</f>
        <v>19.865</v>
      </c>
      <c r="BA246" s="9">
        <f>VLOOKUP(A246,Jogos!A:BN,59,0)</f>
        <v>18.135</v>
      </c>
      <c r="BB246" s="9">
        <f>VLOOKUP(A246,Jogos!A:BN,60,0)</f>
        <v>89</v>
      </c>
      <c r="BC246" s="9">
        <f>VLOOKUP(A246,Jogos!A:BN,61,0)</f>
        <v>17.135</v>
      </c>
      <c r="BD246" s="9">
        <f>VLOOKUP(A246,Jogos!A:BN,62,0)</f>
        <v>107.45</v>
      </c>
      <c r="BE246" s="9">
        <f>VLOOKUP(A246,Jogos!A:BN,63,0)</f>
        <v>1.495</v>
      </c>
      <c r="BF246" s="9">
        <f>VLOOKUP(A246,Jogos!A:BN,64,0)</f>
        <v>19.675</v>
      </c>
      <c r="BG246" s="9">
        <f>VLOOKUP(A246,Jogos!A:BN,65,0)</f>
        <v>33.28</v>
      </c>
      <c r="BH246" s="9">
        <f>VLOOKUP(A246,Jogos!A:BN,66,0)</f>
        <v>22.415</v>
      </c>
      <c r="BI246" s="9"/>
    </row>
    <row r="247" hidden="1">
      <c r="A247" s="2">
        <v>9.0</v>
      </c>
      <c r="B247" s="11" t="s">
        <v>562</v>
      </c>
      <c r="C247" s="2" t="s">
        <v>61</v>
      </c>
      <c r="D247" s="3">
        <v>45825.0</v>
      </c>
      <c r="E247" s="4">
        <v>0.5</v>
      </c>
      <c r="F247" s="5" t="str">
        <f>VLOOKUP(A247,Jogos!A:N,10,0)</f>
        <v>Afternoon</v>
      </c>
      <c r="G247" s="2" t="s">
        <v>249</v>
      </c>
      <c r="H247" s="6" t="str">
        <f>VLOOKUP(A247,Jogos!A:L,12,0)</f>
        <v>Open</v>
      </c>
      <c r="I247" s="6" t="str">
        <f>VLOOKUP(G247,'Estádios e Cidades'!A:B,2,0)</f>
        <v>East Rutherford</v>
      </c>
      <c r="J247" s="2" t="s">
        <v>563</v>
      </c>
      <c r="K247" s="2" t="str">
        <f>VLOOKUP(J247,Equipes!A:F,6,0)</f>
        <v>Tropical</v>
      </c>
      <c r="L247" s="2">
        <f>VLOOKUP(J247,Equipes!A:C,3,0)</f>
        <v>4</v>
      </c>
      <c r="M247" s="2" t="str">
        <f t="shared" si="4"/>
        <v>Semi-final</v>
      </c>
      <c r="N247" s="2" t="s">
        <v>564</v>
      </c>
      <c r="O247" s="2">
        <f>VLOOKUP(N247,Equipes!A:C,3,0)</f>
        <v>5</v>
      </c>
      <c r="P247" s="2" t="str">
        <f t="shared" si="5"/>
        <v>Quarter-final</v>
      </c>
      <c r="Q247" s="2">
        <f t="shared" si="6"/>
        <v>-1</v>
      </c>
      <c r="R247" s="2" t="str">
        <f>VLOOKUP(J247,Equipes!A:B,2,0)</f>
        <v>Fluminense</v>
      </c>
      <c r="S247" s="6" t="s">
        <v>579</v>
      </c>
      <c r="T247" s="7">
        <v>21.0</v>
      </c>
      <c r="U247" s="7" t="s">
        <v>580</v>
      </c>
      <c r="V247" s="7" t="str">
        <f>VLOOKUP(U247,Jogadores!B:C,2,0)</f>
        <v>FW</v>
      </c>
      <c r="W247" s="8">
        <f>VLOOKUP(U247,Jogadores!B:D,3,0)</f>
        <v>27.86849315</v>
      </c>
      <c r="X247" s="7">
        <v>0.0</v>
      </c>
      <c r="Y247" s="7">
        <f t="shared" ref="Y247:Y256" si="775">45+AB247</f>
        <v>96</v>
      </c>
      <c r="Z247" s="7">
        <f>VLOOKUP(A247,Jogos!A:L,3,0)</f>
        <v>48</v>
      </c>
      <c r="AA247" s="7">
        <f t="shared" si="7"/>
        <v>48</v>
      </c>
      <c r="AB247" s="7">
        <f>VLOOKUP(A247,Jogos!A:L,4,0)</f>
        <v>51</v>
      </c>
      <c r="AC247" s="7">
        <f t="shared" si="657"/>
        <v>51</v>
      </c>
      <c r="AD247" s="7"/>
      <c r="AE247" s="7"/>
      <c r="AF247" s="7">
        <f t="shared" si="9"/>
        <v>99</v>
      </c>
      <c r="AG247" s="7">
        <v>9851.4</v>
      </c>
      <c r="AH247" s="7">
        <v>4620.2</v>
      </c>
      <c r="AI247" s="7">
        <v>3321.4</v>
      </c>
      <c r="AJ247" s="7">
        <v>1063.0</v>
      </c>
      <c r="AK247" s="7">
        <v>639.6</v>
      </c>
      <c r="AL247" s="7">
        <v>207.2</v>
      </c>
      <c r="AM247" s="7">
        <v>102.0</v>
      </c>
      <c r="AN247" s="7">
        <v>45.0</v>
      </c>
      <c r="AO247" s="7">
        <v>32.3</v>
      </c>
      <c r="AP247" s="9">
        <f t="shared" ref="AP247:AR247" si="772">AG247/$AF247</f>
        <v>99.50909091</v>
      </c>
      <c r="AQ247" s="9">
        <f t="shared" si="772"/>
        <v>46.66868687</v>
      </c>
      <c r="AR247" s="9">
        <f t="shared" si="772"/>
        <v>33.54949495</v>
      </c>
      <c r="AS247" s="9">
        <f t="shared" si="11"/>
        <v>80.21818182</v>
      </c>
      <c r="AT247" s="9">
        <f t="shared" ref="AT247:AV247" si="773">AJ247/$AF247</f>
        <v>10.73737374</v>
      </c>
      <c r="AU247" s="9">
        <f t="shared" si="773"/>
        <v>6.460606061</v>
      </c>
      <c r="AV247" s="9">
        <f t="shared" si="773"/>
        <v>2.092929293</v>
      </c>
      <c r="AW247" s="9">
        <f t="shared" si="13"/>
        <v>8.553535354</v>
      </c>
      <c r="AX247" s="9">
        <f t="shared" ref="AX247:AY247" si="774">AM247/$AF247</f>
        <v>1.03030303</v>
      </c>
      <c r="AY247" s="9">
        <f t="shared" si="774"/>
        <v>0.4545454545</v>
      </c>
      <c r="AZ247" s="9">
        <f>VLOOKUP(A247,Jogos!A:BN,58,0)</f>
        <v>19.865</v>
      </c>
      <c r="BA247" s="9">
        <f>VLOOKUP(A247,Jogos!A:BN,59,0)</f>
        <v>18.135</v>
      </c>
      <c r="BB247" s="9">
        <f>VLOOKUP(A247,Jogos!A:BN,60,0)</f>
        <v>89</v>
      </c>
      <c r="BC247" s="9">
        <f>VLOOKUP(A247,Jogos!A:BN,61,0)</f>
        <v>17.135</v>
      </c>
      <c r="BD247" s="9">
        <f>VLOOKUP(A247,Jogos!A:BN,62,0)</f>
        <v>107.45</v>
      </c>
      <c r="BE247" s="9">
        <f>VLOOKUP(A247,Jogos!A:BN,63,0)</f>
        <v>1.495</v>
      </c>
      <c r="BF247" s="9">
        <f>VLOOKUP(A247,Jogos!A:BN,64,0)</f>
        <v>19.675</v>
      </c>
      <c r="BG247" s="9">
        <f>VLOOKUP(A247,Jogos!A:BN,65,0)</f>
        <v>33.28</v>
      </c>
      <c r="BH247" s="9">
        <f>VLOOKUP(A247,Jogos!A:BN,66,0)</f>
        <v>22.415</v>
      </c>
      <c r="BI247" s="9"/>
    </row>
    <row r="248" hidden="1">
      <c r="A248" s="2">
        <v>9.0</v>
      </c>
      <c r="B248" s="11" t="s">
        <v>562</v>
      </c>
      <c r="C248" s="2" t="s">
        <v>61</v>
      </c>
      <c r="D248" s="3">
        <v>45825.0</v>
      </c>
      <c r="E248" s="4">
        <v>0.5</v>
      </c>
      <c r="F248" s="5" t="str">
        <f>VLOOKUP(A248,Jogos!A:N,10,0)</f>
        <v>Afternoon</v>
      </c>
      <c r="G248" s="2" t="s">
        <v>249</v>
      </c>
      <c r="H248" s="6" t="str">
        <f>VLOOKUP(A248,Jogos!A:L,12,0)</f>
        <v>Open</v>
      </c>
      <c r="I248" s="6" t="str">
        <f>VLOOKUP(G248,'Estádios e Cidades'!A:B,2,0)</f>
        <v>East Rutherford</v>
      </c>
      <c r="J248" s="2" t="s">
        <v>563</v>
      </c>
      <c r="K248" s="2" t="str">
        <f>VLOOKUP(J248,Equipes!A:F,6,0)</f>
        <v>Tropical</v>
      </c>
      <c r="L248" s="2">
        <f>VLOOKUP(J248,Equipes!A:C,3,0)</f>
        <v>4</v>
      </c>
      <c r="M248" s="2" t="str">
        <f t="shared" si="4"/>
        <v>Semi-final</v>
      </c>
      <c r="N248" s="2" t="s">
        <v>564</v>
      </c>
      <c r="O248" s="2">
        <f>VLOOKUP(N248,Equipes!A:C,3,0)</f>
        <v>5</v>
      </c>
      <c r="P248" s="2" t="str">
        <f t="shared" si="5"/>
        <v>Quarter-final</v>
      </c>
      <c r="Q248" s="2">
        <f t="shared" si="6"/>
        <v>-1</v>
      </c>
      <c r="R248" s="2" t="str">
        <f>VLOOKUP(J248,Equipes!A:B,2,0)</f>
        <v>Fluminense</v>
      </c>
      <c r="S248" s="6" t="s">
        <v>581</v>
      </c>
      <c r="T248" s="7">
        <v>22.0</v>
      </c>
      <c r="U248" s="7" t="s">
        <v>582</v>
      </c>
      <c r="V248" s="7" t="str">
        <f>VLOOKUP(U248,Jogadores!B:C,2,0)</f>
        <v>DF</v>
      </c>
      <c r="W248" s="8">
        <f>VLOOKUP(U248,Jogadores!B:D,3,0)</f>
        <v>25.56164384</v>
      </c>
      <c r="X248" s="7">
        <v>0.0</v>
      </c>
      <c r="Y248" s="7">
        <f t="shared" si="775"/>
        <v>96</v>
      </c>
      <c r="Z248" s="7">
        <f>VLOOKUP(A248,Jogos!A:L,3,0)</f>
        <v>48</v>
      </c>
      <c r="AA248" s="7">
        <f t="shared" si="7"/>
        <v>48</v>
      </c>
      <c r="AB248" s="7">
        <f>VLOOKUP(A248,Jogos!A:L,4,0)</f>
        <v>51</v>
      </c>
      <c r="AC248" s="7">
        <f t="shared" si="657"/>
        <v>51</v>
      </c>
      <c r="AD248" s="7"/>
      <c r="AE248" s="7"/>
      <c r="AF248" s="7">
        <f t="shared" si="9"/>
        <v>99</v>
      </c>
      <c r="AG248" s="7">
        <v>10648.9</v>
      </c>
      <c r="AH248" s="7">
        <v>3582.9</v>
      </c>
      <c r="AI248" s="7">
        <v>4974.5</v>
      </c>
      <c r="AJ248" s="7">
        <v>1454.7</v>
      </c>
      <c r="AK248" s="7">
        <v>485.0</v>
      </c>
      <c r="AL248" s="7">
        <v>151.7</v>
      </c>
      <c r="AM248" s="7">
        <v>130.0</v>
      </c>
      <c r="AN248" s="7">
        <v>47.0</v>
      </c>
      <c r="AO248" s="7">
        <v>30.1</v>
      </c>
      <c r="AP248" s="9">
        <f t="shared" ref="AP248:AR248" si="776">AG248/$AF248</f>
        <v>107.5646465</v>
      </c>
      <c r="AQ248" s="9">
        <f t="shared" si="776"/>
        <v>36.19090909</v>
      </c>
      <c r="AR248" s="9">
        <f t="shared" si="776"/>
        <v>50.24747475</v>
      </c>
      <c r="AS248" s="9">
        <f t="shared" si="11"/>
        <v>86.43838384</v>
      </c>
      <c r="AT248" s="9">
        <f t="shared" ref="AT248:AV248" si="777">AJ248/$AF248</f>
        <v>14.69393939</v>
      </c>
      <c r="AU248" s="9">
        <f t="shared" si="777"/>
        <v>4.898989899</v>
      </c>
      <c r="AV248" s="9">
        <f t="shared" si="777"/>
        <v>1.532323232</v>
      </c>
      <c r="AW248" s="9">
        <f t="shared" si="13"/>
        <v>6.431313131</v>
      </c>
      <c r="AX248" s="9">
        <f t="shared" ref="AX248:AY248" si="778">AM248/$AF248</f>
        <v>1.313131313</v>
      </c>
      <c r="AY248" s="9">
        <f t="shared" si="778"/>
        <v>0.4747474747</v>
      </c>
      <c r="AZ248" s="9">
        <f>VLOOKUP(A248,Jogos!A:BN,58,0)</f>
        <v>19.865</v>
      </c>
      <c r="BA248" s="9">
        <f>VLOOKUP(A248,Jogos!A:BN,59,0)</f>
        <v>18.135</v>
      </c>
      <c r="BB248" s="9">
        <f>VLOOKUP(A248,Jogos!A:BN,60,0)</f>
        <v>89</v>
      </c>
      <c r="BC248" s="9">
        <f>VLOOKUP(A248,Jogos!A:BN,61,0)</f>
        <v>17.135</v>
      </c>
      <c r="BD248" s="9">
        <f>VLOOKUP(A248,Jogos!A:BN,62,0)</f>
        <v>107.45</v>
      </c>
      <c r="BE248" s="9">
        <f>VLOOKUP(A248,Jogos!A:BN,63,0)</f>
        <v>1.495</v>
      </c>
      <c r="BF248" s="9">
        <f>VLOOKUP(A248,Jogos!A:BN,64,0)</f>
        <v>19.675</v>
      </c>
      <c r="BG248" s="9">
        <f>VLOOKUP(A248,Jogos!A:BN,65,0)</f>
        <v>33.28</v>
      </c>
      <c r="BH248" s="9">
        <f>VLOOKUP(A248,Jogos!A:BN,66,0)</f>
        <v>22.415</v>
      </c>
      <c r="BI248" s="9"/>
    </row>
    <row r="249" hidden="1">
      <c r="A249" s="2">
        <v>9.0</v>
      </c>
      <c r="B249" s="11" t="s">
        <v>562</v>
      </c>
      <c r="C249" s="2" t="s">
        <v>61</v>
      </c>
      <c r="D249" s="3">
        <v>45825.0</v>
      </c>
      <c r="E249" s="4">
        <v>0.5</v>
      </c>
      <c r="F249" s="5" t="str">
        <f>VLOOKUP(A249,Jogos!A:N,10,0)</f>
        <v>Afternoon</v>
      </c>
      <c r="G249" s="2" t="s">
        <v>249</v>
      </c>
      <c r="H249" s="6" t="str">
        <f>VLOOKUP(A249,Jogos!A:L,12,0)</f>
        <v>Open</v>
      </c>
      <c r="I249" s="6" t="str">
        <f>VLOOKUP(G249,'Estádios e Cidades'!A:B,2,0)</f>
        <v>East Rutherford</v>
      </c>
      <c r="J249" s="2" t="s">
        <v>563</v>
      </c>
      <c r="K249" s="2" t="str">
        <f>VLOOKUP(J249,Equipes!A:F,6,0)</f>
        <v>Tropical</v>
      </c>
      <c r="L249" s="2">
        <f>VLOOKUP(J249,Equipes!A:C,3,0)</f>
        <v>4</v>
      </c>
      <c r="M249" s="2" t="str">
        <f t="shared" si="4"/>
        <v>Semi-final</v>
      </c>
      <c r="N249" s="2" t="s">
        <v>564</v>
      </c>
      <c r="O249" s="2">
        <f>VLOOKUP(N249,Equipes!A:C,3,0)</f>
        <v>5</v>
      </c>
      <c r="P249" s="2" t="str">
        <f t="shared" si="5"/>
        <v>Quarter-final</v>
      </c>
      <c r="Q249" s="2">
        <f t="shared" si="6"/>
        <v>-1</v>
      </c>
      <c r="R249" s="2" t="str">
        <f>VLOOKUP(J249,Equipes!A:B,2,0)</f>
        <v>Fluminense</v>
      </c>
      <c r="S249" s="6" t="s">
        <v>583</v>
      </c>
      <c r="T249" s="7">
        <v>35.0</v>
      </c>
      <c r="U249" s="7" t="s">
        <v>584</v>
      </c>
      <c r="V249" s="7" t="str">
        <f>VLOOKUP(U249,Jogadores!B:C,2,0)</f>
        <v>MF</v>
      </c>
      <c r="W249" s="8">
        <f>VLOOKUP(U249,Jogadores!B:D,3,0)</f>
        <v>24.78630137</v>
      </c>
      <c r="X249" s="7">
        <v>0.0</v>
      </c>
      <c r="Y249" s="7">
        <f t="shared" si="775"/>
        <v>96</v>
      </c>
      <c r="Z249" s="7">
        <f>VLOOKUP(A249,Jogos!A:L,3,0)</f>
        <v>48</v>
      </c>
      <c r="AA249" s="7">
        <f t="shared" si="7"/>
        <v>48</v>
      </c>
      <c r="AB249" s="7">
        <f>VLOOKUP(A249,Jogos!A:L,4,0)</f>
        <v>51</v>
      </c>
      <c r="AC249" s="7">
        <f t="shared" si="657"/>
        <v>51</v>
      </c>
      <c r="AD249" s="7"/>
      <c r="AE249" s="7"/>
      <c r="AF249" s="7">
        <f t="shared" si="9"/>
        <v>99</v>
      </c>
      <c r="AG249" s="7">
        <v>11010.3</v>
      </c>
      <c r="AH249" s="7">
        <v>3845.3</v>
      </c>
      <c r="AI249" s="7">
        <v>5206.6</v>
      </c>
      <c r="AJ249" s="7">
        <v>1314.8</v>
      </c>
      <c r="AK249" s="7">
        <v>490.7</v>
      </c>
      <c r="AL249" s="7">
        <v>152.9</v>
      </c>
      <c r="AM249" s="7">
        <v>128.0</v>
      </c>
      <c r="AN249" s="7">
        <v>43.0</v>
      </c>
      <c r="AO249" s="7">
        <v>32.1</v>
      </c>
      <c r="AP249" s="9">
        <f t="shared" ref="AP249:AR249" si="779">AG249/$AF249</f>
        <v>111.2151515</v>
      </c>
      <c r="AQ249" s="9">
        <f t="shared" si="779"/>
        <v>38.84141414</v>
      </c>
      <c r="AR249" s="9">
        <f t="shared" si="779"/>
        <v>52.59191919</v>
      </c>
      <c r="AS249" s="9">
        <f t="shared" si="11"/>
        <v>91.43333333</v>
      </c>
      <c r="AT249" s="9">
        <f t="shared" ref="AT249:AV249" si="780">AJ249/$AF249</f>
        <v>13.28080808</v>
      </c>
      <c r="AU249" s="9">
        <f t="shared" si="780"/>
        <v>4.956565657</v>
      </c>
      <c r="AV249" s="9">
        <f t="shared" si="780"/>
        <v>1.544444444</v>
      </c>
      <c r="AW249" s="9">
        <f t="shared" si="13"/>
        <v>6.501010101</v>
      </c>
      <c r="AX249" s="9">
        <f t="shared" ref="AX249:AY249" si="781">AM249/$AF249</f>
        <v>1.292929293</v>
      </c>
      <c r="AY249" s="9">
        <f t="shared" si="781"/>
        <v>0.4343434343</v>
      </c>
      <c r="AZ249" s="9">
        <f>VLOOKUP(A249,Jogos!A:BN,58,0)</f>
        <v>19.865</v>
      </c>
      <c r="BA249" s="9">
        <f>VLOOKUP(A249,Jogos!A:BN,59,0)</f>
        <v>18.135</v>
      </c>
      <c r="BB249" s="9">
        <f>VLOOKUP(A249,Jogos!A:BN,60,0)</f>
        <v>89</v>
      </c>
      <c r="BC249" s="9">
        <f>VLOOKUP(A249,Jogos!A:BN,61,0)</f>
        <v>17.135</v>
      </c>
      <c r="BD249" s="9">
        <f>VLOOKUP(A249,Jogos!A:BN,62,0)</f>
        <v>107.45</v>
      </c>
      <c r="BE249" s="9">
        <f>VLOOKUP(A249,Jogos!A:BN,63,0)</f>
        <v>1.495</v>
      </c>
      <c r="BF249" s="9">
        <f>VLOOKUP(A249,Jogos!A:BN,64,0)</f>
        <v>19.675</v>
      </c>
      <c r="BG249" s="9">
        <f>VLOOKUP(A249,Jogos!A:BN,65,0)</f>
        <v>33.28</v>
      </c>
      <c r="BH249" s="9">
        <f>VLOOKUP(A249,Jogos!A:BN,66,0)</f>
        <v>22.415</v>
      </c>
      <c r="BI249" s="9"/>
    </row>
    <row r="250" hidden="1">
      <c r="A250" s="2">
        <v>9.0</v>
      </c>
      <c r="B250" s="11" t="s">
        <v>562</v>
      </c>
      <c r="C250" s="2" t="s">
        <v>61</v>
      </c>
      <c r="D250" s="3">
        <v>45825.0</v>
      </c>
      <c r="E250" s="4">
        <v>0.5</v>
      </c>
      <c r="F250" s="5" t="str">
        <f>VLOOKUP(A250,Jogos!A:N,10,0)</f>
        <v>Afternoon</v>
      </c>
      <c r="G250" s="2" t="s">
        <v>249</v>
      </c>
      <c r="H250" s="6" t="str">
        <f>VLOOKUP(A250,Jogos!A:L,12,0)</f>
        <v>Open</v>
      </c>
      <c r="I250" s="6" t="str">
        <f>VLOOKUP(G250,'Estádios e Cidades'!A:B,2,0)</f>
        <v>East Rutherford</v>
      </c>
      <c r="J250" s="2" t="s">
        <v>563</v>
      </c>
      <c r="K250" s="2" t="str">
        <f>VLOOKUP(J250,Equipes!A:F,6,0)</f>
        <v>Tropical</v>
      </c>
      <c r="L250" s="2">
        <f>VLOOKUP(J250,Equipes!A:C,3,0)</f>
        <v>4</v>
      </c>
      <c r="M250" s="2" t="str">
        <f t="shared" si="4"/>
        <v>Semi-final</v>
      </c>
      <c r="N250" s="2" t="s">
        <v>564</v>
      </c>
      <c r="O250" s="2">
        <f>VLOOKUP(N250,Equipes!A:C,3,0)</f>
        <v>5</v>
      </c>
      <c r="P250" s="2" t="str">
        <f t="shared" si="5"/>
        <v>Quarter-final</v>
      </c>
      <c r="Q250" s="2">
        <f t="shared" si="6"/>
        <v>-1</v>
      </c>
      <c r="R250" s="2" t="str">
        <f>VLOOKUP(J250,Equipes!A:B,2,0)</f>
        <v>Fluminense</v>
      </c>
      <c r="S250" s="6" t="s">
        <v>585</v>
      </c>
      <c r="T250" s="7">
        <v>14.0</v>
      </c>
      <c r="U250" s="7" t="s">
        <v>586</v>
      </c>
      <c r="V250" s="7" t="str">
        <f>VLOOKUP(U250,Jogadores!B:C,2,0)</f>
        <v>FW</v>
      </c>
      <c r="W250" s="8">
        <f>VLOOKUP(U250,Jogadores!B:D,3,0)</f>
        <v>37.50958904</v>
      </c>
      <c r="X250" s="7">
        <v>70.0</v>
      </c>
      <c r="Y250" s="7">
        <f t="shared" si="775"/>
        <v>96</v>
      </c>
      <c r="Z250" s="7">
        <f>VLOOKUP(A250,Jogos!A:L,3,0)</f>
        <v>48</v>
      </c>
      <c r="AA250" s="7">
        <f t="shared" si="7"/>
        <v>0</v>
      </c>
      <c r="AB250" s="7">
        <f>VLOOKUP(A250,Jogos!A:L,4,0)</f>
        <v>51</v>
      </c>
      <c r="AC250" s="7">
        <f t="shared" si="657"/>
        <v>26</v>
      </c>
      <c r="AD250" s="7"/>
      <c r="AE250" s="7"/>
      <c r="AF250" s="7">
        <f t="shared" si="9"/>
        <v>26</v>
      </c>
      <c r="AG250" s="7">
        <v>2818.3</v>
      </c>
      <c r="AH250" s="7">
        <v>1130.1</v>
      </c>
      <c r="AI250" s="7">
        <v>925.1</v>
      </c>
      <c r="AJ250" s="7">
        <v>489.2</v>
      </c>
      <c r="AK250" s="7">
        <v>210.4</v>
      </c>
      <c r="AL250" s="7">
        <v>63.5</v>
      </c>
      <c r="AM250" s="7">
        <v>46.0</v>
      </c>
      <c r="AN250" s="7">
        <v>19.0</v>
      </c>
      <c r="AO250" s="7">
        <v>29.7</v>
      </c>
      <c r="AP250" s="9">
        <f t="shared" ref="AP250:AR250" si="782">AG250/$AF250</f>
        <v>108.3961538</v>
      </c>
      <c r="AQ250" s="9">
        <f t="shared" si="782"/>
        <v>43.46538462</v>
      </c>
      <c r="AR250" s="9">
        <f t="shared" si="782"/>
        <v>35.58076923</v>
      </c>
      <c r="AS250" s="9">
        <f t="shared" si="11"/>
        <v>79.04615385</v>
      </c>
      <c r="AT250" s="9">
        <f t="shared" ref="AT250:AV250" si="783">AJ250/$AF250</f>
        <v>18.81538462</v>
      </c>
      <c r="AU250" s="9">
        <f t="shared" si="783"/>
        <v>8.092307692</v>
      </c>
      <c r="AV250" s="9">
        <f t="shared" si="783"/>
        <v>2.442307692</v>
      </c>
      <c r="AW250" s="9">
        <f t="shared" si="13"/>
        <v>10.53461538</v>
      </c>
      <c r="AX250" s="9">
        <f t="shared" ref="AX250:AY250" si="784">AM250/$AF250</f>
        <v>1.769230769</v>
      </c>
      <c r="AY250" s="9">
        <f t="shared" si="784"/>
        <v>0.7307692308</v>
      </c>
      <c r="AZ250" s="9">
        <f>VLOOKUP(A250,Jogos!A:BN,58,0)</f>
        <v>19.865</v>
      </c>
      <c r="BA250" s="9">
        <f>VLOOKUP(A250,Jogos!A:BN,59,0)</f>
        <v>18.135</v>
      </c>
      <c r="BB250" s="9">
        <f>VLOOKUP(A250,Jogos!A:BN,60,0)</f>
        <v>89</v>
      </c>
      <c r="BC250" s="9">
        <f>VLOOKUP(A250,Jogos!A:BN,61,0)</f>
        <v>17.135</v>
      </c>
      <c r="BD250" s="9">
        <f>VLOOKUP(A250,Jogos!A:BN,62,0)</f>
        <v>107.45</v>
      </c>
      <c r="BE250" s="9">
        <f>VLOOKUP(A250,Jogos!A:BN,63,0)</f>
        <v>1.495</v>
      </c>
      <c r="BF250" s="9">
        <f>VLOOKUP(A250,Jogos!A:BN,64,0)</f>
        <v>19.675</v>
      </c>
      <c r="BG250" s="9">
        <f>VLOOKUP(A250,Jogos!A:BN,65,0)</f>
        <v>33.28</v>
      </c>
      <c r="BH250" s="9">
        <f>VLOOKUP(A250,Jogos!A:BN,66,0)</f>
        <v>22.415</v>
      </c>
      <c r="BI250" s="9"/>
    </row>
    <row r="251" hidden="1">
      <c r="A251" s="2">
        <v>9.0</v>
      </c>
      <c r="B251" s="11" t="s">
        <v>562</v>
      </c>
      <c r="C251" s="2" t="s">
        <v>61</v>
      </c>
      <c r="D251" s="3">
        <v>45825.0</v>
      </c>
      <c r="E251" s="4">
        <v>0.5</v>
      </c>
      <c r="F251" s="5" t="str">
        <f>VLOOKUP(A251,Jogos!A:N,10,0)</f>
        <v>Afternoon</v>
      </c>
      <c r="G251" s="2" t="s">
        <v>249</v>
      </c>
      <c r="H251" s="6" t="str">
        <f>VLOOKUP(A251,Jogos!A:L,12,0)</f>
        <v>Open</v>
      </c>
      <c r="I251" s="6" t="str">
        <f>VLOOKUP(G251,'Estádios e Cidades'!A:B,2,0)</f>
        <v>East Rutherford</v>
      </c>
      <c r="J251" s="2" t="s">
        <v>563</v>
      </c>
      <c r="K251" s="2" t="str">
        <f>VLOOKUP(J251,Equipes!A:F,6,0)</f>
        <v>Tropical</v>
      </c>
      <c r="L251" s="2">
        <f>VLOOKUP(J251,Equipes!A:C,3,0)</f>
        <v>4</v>
      </c>
      <c r="M251" s="2" t="str">
        <f t="shared" si="4"/>
        <v>Semi-final</v>
      </c>
      <c r="N251" s="2" t="s">
        <v>564</v>
      </c>
      <c r="O251" s="2">
        <f>VLOOKUP(N251,Equipes!A:C,3,0)</f>
        <v>5</v>
      </c>
      <c r="P251" s="2" t="str">
        <f t="shared" si="5"/>
        <v>Quarter-final</v>
      </c>
      <c r="Q251" s="2">
        <f t="shared" si="6"/>
        <v>-1</v>
      </c>
      <c r="R251" s="2" t="str">
        <f>VLOOKUP(J251,Equipes!A:B,2,0)</f>
        <v>Fluminense</v>
      </c>
      <c r="S251" s="6" t="s">
        <v>587</v>
      </c>
      <c r="T251" s="7">
        <v>45.0</v>
      </c>
      <c r="U251" s="7" t="s">
        <v>588</v>
      </c>
      <c r="V251" s="7" t="str">
        <f>VLOOKUP(U251,Jogadores!B:C,2,0)</f>
        <v>MF</v>
      </c>
      <c r="W251" s="8">
        <f>VLOOKUP(U251,Jogadores!B:D,3,0)</f>
        <v>29.14794521</v>
      </c>
      <c r="X251" s="7">
        <v>76.0</v>
      </c>
      <c r="Y251" s="7">
        <f t="shared" si="775"/>
        <v>96</v>
      </c>
      <c r="Z251" s="7">
        <f>VLOOKUP(A251,Jogos!A:L,3,0)</f>
        <v>48</v>
      </c>
      <c r="AA251" s="7">
        <f t="shared" si="7"/>
        <v>0</v>
      </c>
      <c r="AB251" s="7">
        <f>VLOOKUP(A251,Jogos!A:L,4,0)</f>
        <v>51</v>
      </c>
      <c r="AC251" s="7">
        <f t="shared" si="657"/>
        <v>20</v>
      </c>
      <c r="AD251" s="7"/>
      <c r="AE251" s="7"/>
      <c r="AF251" s="7">
        <f t="shared" si="9"/>
        <v>20</v>
      </c>
      <c r="AG251" s="7">
        <v>2311.6</v>
      </c>
      <c r="AH251" s="7">
        <v>711.0</v>
      </c>
      <c r="AI251" s="7">
        <v>1019.7</v>
      </c>
      <c r="AJ251" s="7">
        <v>413.9</v>
      </c>
      <c r="AK251" s="7">
        <v>139.5</v>
      </c>
      <c r="AL251" s="7">
        <v>27.5</v>
      </c>
      <c r="AM251" s="7">
        <v>38.0</v>
      </c>
      <c r="AN251" s="7">
        <v>9.0</v>
      </c>
      <c r="AO251" s="7">
        <v>26.9</v>
      </c>
      <c r="AP251" s="9">
        <f t="shared" ref="AP251:AR251" si="785">AG251/$AF251</f>
        <v>115.58</v>
      </c>
      <c r="AQ251" s="9">
        <f t="shared" si="785"/>
        <v>35.55</v>
      </c>
      <c r="AR251" s="9">
        <f t="shared" si="785"/>
        <v>50.985</v>
      </c>
      <c r="AS251" s="9">
        <f t="shared" si="11"/>
        <v>86.535</v>
      </c>
      <c r="AT251" s="9">
        <f t="shared" ref="AT251:AV251" si="786">AJ251/$AF251</f>
        <v>20.695</v>
      </c>
      <c r="AU251" s="9">
        <f t="shared" si="786"/>
        <v>6.975</v>
      </c>
      <c r="AV251" s="9">
        <f t="shared" si="786"/>
        <v>1.375</v>
      </c>
      <c r="AW251" s="9">
        <f t="shared" si="13"/>
        <v>8.35</v>
      </c>
      <c r="AX251" s="9">
        <f t="shared" ref="AX251:AY251" si="787">AM251/$AF251</f>
        <v>1.9</v>
      </c>
      <c r="AY251" s="9">
        <f t="shared" si="787"/>
        <v>0.45</v>
      </c>
      <c r="AZ251" s="9">
        <f>VLOOKUP(A251,Jogos!A:BN,58,0)</f>
        <v>19.865</v>
      </c>
      <c r="BA251" s="9">
        <f>VLOOKUP(A251,Jogos!A:BN,59,0)</f>
        <v>18.135</v>
      </c>
      <c r="BB251" s="9">
        <f>VLOOKUP(A251,Jogos!A:BN,60,0)</f>
        <v>89</v>
      </c>
      <c r="BC251" s="9">
        <f>VLOOKUP(A251,Jogos!A:BN,61,0)</f>
        <v>17.135</v>
      </c>
      <c r="BD251" s="9">
        <f>VLOOKUP(A251,Jogos!A:BN,62,0)</f>
        <v>107.45</v>
      </c>
      <c r="BE251" s="9">
        <f>VLOOKUP(A251,Jogos!A:BN,63,0)</f>
        <v>1.495</v>
      </c>
      <c r="BF251" s="9">
        <f>VLOOKUP(A251,Jogos!A:BN,64,0)</f>
        <v>19.675</v>
      </c>
      <c r="BG251" s="9">
        <f>VLOOKUP(A251,Jogos!A:BN,65,0)</f>
        <v>33.28</v>
      </c>
      <c r="BH251" s="9">
        <f>VLOOKUP(A251,Jogos!A:BN,66,0)</f>
        <v>22.415</v>
      </c>
      <c r="BI251" s="9"/>
    </row>
    <row r="252" hidden="1">
      <c r="A252" s="2">
        <v>9.0</v>
      </c>
      <c r="B252" s="11" t="s">
        <v>562</v>
      </c>
      <c r="C252" s="2" t="s">
        <v>61</v>
      </c>
      <c r="D252" s="3">
        <v>45825.0</v>
      </c>
      <c r="E252" s="4">
        <v>0.5</v>
      </c>
      <c r="F252" s="5" t="str">
        <f>VLOOKUP(A252,Jogos!A:N,10,0)</f>
        <v>Afternoon</v>
      </c>
      <c r="G252" s="2" t="s">
        <v>249</v>
      </c>
      <c r="H252" s="6" t="str">
        <f>VLOOKUP(A252,Jogos!A:L,12,0)</f>
        <v>Open</v>
      </c>
      <c r="I252" s="6" t="str">
        <f>VLOOKUP(G252,'Estádios e Cidades'!A:B,2,0)</f>
        <v>East Rutherford</v>
      </c>
      <c r="J252" s="2" t="s">
        <v>563</v>
      </c>
      <c r="K252" s="2" t="str">
        <f>VLOOKUP(J252,Equipes!A:F,6,0)</f>
        <v>Tropical</v>
      </c>
      <c r="L252" s="2">
        <f>VLOOKUP(J252,Equipes!A:C,3,0)</f>
        <v>4</v>
      </c>
      <c r="M252" s="2" t="str">
        <f t="shared" si="4"/>
        <v>Semi-final</v>
      </c>
      <c r="N252" s="2" t="s">
        <v>564</v>
      </c>
      <c r="O252" s="2">
        <f>VLOOKUP(N252,Equipes!A:C,3,0)</f>
        <v>5</v>
      </c>
      <c r="P252" s="2" t="str">
        <f t="shared" si="5"/>
        <v>Quarter-final</v>
      </c>
      <c r="Q252" s="2">
        <f t="shared" si="6"/>
        <v>-1</v>
      </c>
      <c r="R252" s="2" t="str">
        <f>VLOOKUP(J252,Equipes!A:B,2,0)</f>
        <v>Fluminense</v>
      </c>
      <c r="S252" s="6" t="s">
        <v>589</v>
      </c>
      <c r="T252" s="7">
        <v>77.0</v>
      </c>
      <c r="U252" s="7" t="s">
        <v>590</v>
      </c>
      <c r="V252" s="7" t="str">
        <f>VLOOKUP(U252,Jogadores!B:C,2,0)</f>
        <v>FW</v>
      </c>
      <c r="W252" s="8">
        <f>VLOOKUP(U252,Jogadores!B:D,3,0)</f>
        <v>26.02465753</v>
      </c>
      <c r="X252" s="7">
        <v>88.0</v>
      </c>
      <c r="Y252" s="7">
        <f t="shared" si="775"/>
        <v>96</v>
      </c>
      <c r="Z252" s="7">
        <f>VLOOKUP(A252,Jogos!A:L,3,0)</f>
        <v>48</v>
      </c>
      <c r="AA252" s="7">
        <f t="shared" si="7"/>
        <v>0</v>
      </c>
      <c r="AB252" s="7">
        <f>VLOOKUP(A252,Jogos!A:L,4,0)</f>
        <v>51</v>
      </c>
      <c r="AC252" s="7">
        <f t="shared" si="657"/>
        <v>8</v>
      </c>
      <c r="AD252" s="7"/>
      <c r="AE252" s="7"/>
      <c r="AF252" s="7">
        <f t="shared" si="9"/>
        <v>8</v>
      </c>
      <c r="AG252" s="7">
        <v>1281.8</v>
      </c>
      <c r="AH252" s="7">
        <v>321.3</v>
      </c>
      <c r="AI252" s="7">
        <v>374.2</v>
      </c>
      <c r="AJ252" s="7">
        <v>262.0</v>
      </c>
      <c r="AK252" s="7">
        <v>219.6</v>
      </c>
      <c r="AL252" s="7">
        <v>104.6</v>
      </c>
      <c r="AM252" s="7">
        <v>22.0</v>
      </c>
      <c r="AN252" s="7">
        <v>20.0</v>
      </c>
      <c r="AO252" s="7">
        <v>31.7</v>
      </c>
      <c r="AP252" s="9">
        <f t="shared" ref="AP252:AR252" si="788">AG252/$AF252</f>
        <v>160.225</v>
      </c>
      <c r="AQ252" s="9">
        <f t="shared" si="788"/>
        <v>40.1625</v>
      </c>
      <c r="AR252" s="9">
        <f t="shared" si="788"/>
        <v>46.775</v>
      </c>
      <c r="AS252" s="9">
        <f t="shared" si="11"/>
        <v>86.9375</v>
      </c>
      <c r="AT252" s="9">
        <f t="shared" ref="AT252:AV252" si="789">AJ252/$AF252</f>
        <v>32.75</v>
      </c>
      <c r="AU252" s="9">
        <f t="shared" si="789"/>
        <v>27.45</v>
      </c>
      <c r="AV252" s="9">
        <f t="shared" si="789"/>
        <v>13.075</v>
      </c>
      <c r="AW252" s="9">
        <f t="shared" si="13"/>
        <v>40.525</v>
      </c>
      <c r="AX252" s="9">
        <f t="shared" ref="AX252:AY252" si="790">AM252/$AF252</f>
        <v>2.75</v>
      </c>
      <c r="AY252" s="9">
        <f t="shared" si="790"/>
        <v>2.5</v>
      </c>
      <c r="AZ252" s="9">
        <f>VLOOKUP(A252,Jogos!A:BN,58,0)</f>
        <v>19.865</v>
      </c>
      <c r="BA252" s="9">
        <f>VLOOKUP(A252,Jogos!A:BN,59,0)</f>
        <v>18.135</v>
      </c>
      <c r="BB252" s="9">
        <f>VLOOKUP(A252,Jogos!A:BN,60,0)</f>
        <v>89</v>
      </c>
      <c r="BC252" s="9">
        <f>VLOOKUP(A252,Jogos!A:BN,61,0)</f>
        <v>17.135</v>
      </c>
      <c r="BD252" s="9">
        <f>VLOOKUP(A252,Jogos!A:BN,62,0)</f>
        <v>107.45</v>
      </c>
      <c r="BE252" s="9">
        <f>VLOOKUP(A252,Jogos!A:BN,63,0)</f>
        <v>1.495</v>
      </c>
      <c r="BF252" s="9">
        <f>VLOOKUP(A252,Jogos!A:BN,64,0)</f>
        <v>19.675</v>
      </c>
      <c r="BG252" s="9">
        <f>VLOOKUP(A252,Jogos!A:BN,65,0)</f>
        <v>33.28</v>
      </c>
      <c r="BH252" s="9">
        <f>VLOOKUP(A252,Jogos!A:BN,66,0)</f>
        <v>22.415</v>
      </c>
      <c r="BI252" s="9"/>
    </row>
    <row r="253" hidden="1">
      <c r="A253" s="2">
        <v>9.0</v>
      </c>
      <c r="B253" s="11" t="s">
        <v>562</v>
      </c>
      <c r="C253" s="2" t="s">
        <v>61</v>
      </c>
      <c r="D253" s="3">
        <v>45825.0</v>
      </c>
      <c r="E253" s="4">
        <v>0.5</v>
      </c>
      <c r="F253" s="5" t="str">
        <f>VLOOKUP(A253,Jogos!A:N,10,0)</f>
        <v>Afternoon</v>
      </c>
      <c r="G253" s="2" t="s">
        <v>249</v>
      </c>
      <c r="H253" s="6" t="str">
        <f>VLOOKUP(A253,Jogos!A:L,12,0)</f>
        <v>Open</v>
      </c>
      <c r="I253" s="6" t="str">
        <f>VLOOKUP(G253,'Estádios e Cidades'!A:B,2,0)</f>
        <v>East Rutherford</v>
      </c>
      <c r="J253" s="2" t="s">
        <v>563</v>
      </c>
      <c r="K253" s="2" t="str">
        <f>VLOOKUP(J253,Equipes!A:F,6,0)</f>
        <v>Tropical</v>
      </c>
      <c r="L253" s="2">
        <f>VLOOKUP(J253,Equipes!A:C,3,0)</f>
        <v>4</v>
      </c>
      <c r="M253" s="2" t="str">
        <f t="shared" si="4"/>
        <v>Semi-final</v>
      </c>
      <c r="N253" s="2" t="s">
        <v>564</v>
      </c>
      <c r="O253" s="2">
        <f>VLOOKUP(N253,Equipes!A:C,3,0)</f>
        <v>5</v>
      </c>
      <c r="P253" s="2" t="str">
        <f t="shared" si="5"/>
        <v>Quarter-final</v>
      </c>
      <c r="Q253" s="2">
        <f t="shared" si="6"/>
        <v>-1</v>
      </c>
      <c r="R253" s="2" t="str">
        <f>VLOOKUP(J253,Equipes!A:B,2,0)</f>
        <v>Fluminense</v>
      </c>
      <c r="S253" s="6" t="s">
        <v>591</v>
      </c>
      <c r="T253" s="7">
        <v>90.0</v>
      </c>
      <c r="U253" s="7" t="s">
        <v>592</v>
      </c>
      <c r="V253" s="7" t="str">
        <f>VLOOKUP(U253,Jogadores!B:C,2,0)</f>
        <v>FW</v>
      </c>
      <c r="W253" s="8">
        <f>VLOOKUP(U253,Jogadores!B:D,3,0)</f>
        <v>27.63013699</v>
      </c>
      <c r="X253" s="7">
        <v>70.0</v>
      </c>
      <c r="Y253" s="7">
        <f t="shared" si="775"/>
        <v>96</v>
      </c>
      <c r="Z253" s="7">
        <f>VLOOKUP(A253,Jogos!A:L,3,0)</f>
        <v>48</v>
      </c>
      <c r="AA253" s="7">
        <f t="shared" si="7"/>
        <v>0</v>
      </c>
      <c r="AB253" s="7">
        <f>VLOOKUP(A253,Jogos!A:L,4,0)</f>
        <v>51</v>
      </c>
      <c r="AC253" s="7">
        <f t="shared" si="657"/>
        <v>26</v>
      </c>
      <c r="AD253" s="7"/>
      <c r="AE253" s="7"/>
      <c r="AF253" s="7">
        <f t="shared" si="9"/>
        <v>26</v>
      </c>
      <c r="AG253" s="7">
        <v>3229.0</v>
      </c>
      <c r="AH253" s="7">
        <v>1050.4</v>
      </c>
      <c r="AI253" s="7">
        <v>1362.8</v>
      </c>
      <c r="AJ253" s="7">
        <v>463.3</v>
      </c>
      <c r="AK253" s="7">
        <v>203.3</v>
      </c>
      <c r="AL253" s="7">
        <v>149.1</v>
      </c>
      <c r="AM253" s="7">
        <v>41.0</v>
      </c>
      <c r="AN253" s="7">
        <v>20.0</v>
      </c>
      <c r="AO253" s="7">
        <v>32.7</v>
      </c>
      <c r="AP253" s="9">
        <f t="shared" ref="AP253:AR253" si="791">AG253/$AF253</f>
        <v>124.1923077</v>
      </c>
      <c r="AQ253" s="9">
        <f t="shared" si="791"/>
        <v>40.4</v>
      </c>
      <c r="AR253" s="9">
        <f t="shared" si="791"/>
        <v>52.41538462</v>
      </c>
      <c r="AS253" s="9">
        <f t="shared" si="11"/>
        <v>92.81538462</v>
      </c>
      <c r="AT253" s="9">
        <f t="shared" ref="AT253:AV253" si="792">AJ253/$AF253</f>
        <v>17.81923077</v>
      </c>
      <c r="AU253" s="9">
        <f t="shared" si="792"/>
        <v>7.819230769</v>
      </c>
      <c r="AV253" s="9">
        <f t="shared" si="792"/>
        <v>5.734615385</v>
      </c>
      <c r="AW253" s="9">
        <f t="shared" si="13"/>
        <v>13.55384615</v>
      </c>
      <c r="AX253" s="9">
        <f t="shared" ref="AX253:AY253" si="793">AM253/$AF253</f>
        <v>1.576923077</v>
      </c>
      <c r="AY253" s="9">
        <f t="shared" si="793"/>
        <v>0.7692307692</v>
      </c>
      <c r="AZ253" s="9">
        <f>VLOOKUP(A253,Jogos!A:BN,58,0)</f>
        <v>19.865</v>
      </c>
      <c r="BA253" s="9">
        <f>VLOOKUP(A253,Jogos!A:BN,59,0)</f>
        <v>18.135</v>
      </c>
      <c r="BB253" s="9">
        <f>VLOOKUP(A253,Jogos!A:BN,60,0)</f>
        <v>89</v>
      </c>
      <c r="BC253" s="9">
        <f>VLOOKUP(A253,Jogos!A:BN,61,0)</f>
        <v>17.135</v>
      </c>
      <c r="BD253" s="9">
        <f>VLOOKUP(A253,Jogos!A:BN,62,0)</f>
        <v>107.45</v>
      </c>
      <c r="BE253" s="9">
        <f>VLOOKUP(A253,Jogos!A:BN,63,0)</f>
        <v>1.495</v>
      </c>
      <c r="BF253" s="9">
        <f>VLOOKUP(A253,Jogos!A:BN,64,0)</f>
        <v>19.675</v>
      </c>
      <c r="BG253" s="9">
        <f>VLOOKUP(A253,Jogos!A:BN,65,0)</f>
        <v>33.28</v>
      </c>
      <c r="BH253" s="9">
        <f>VLOOKUP(A253,Jogos!A:BN,66,0)</f>
        <v>22.415</v>
      </c>
      <c r="BI253" s="9"/>
    </row>
    <row r="254" hidden="1">
      <c r="A254" s="10">
        <v>9.0</v>
      </c>
      <c r="B254" s="11" t="s">
        <v>562</v>
      </c>
      <c r="C254" s="2" t="s">
        <v>61</v>
      </c>
      <c r="D254" s="12">
        <v>45825.0</v>
      </c>
      <c r="E254" s="13">
        <v>0.5</v>
      </c>
      <c r="F254" s="5" t="str">
        <f>VLOOKUP(A254,Jogos!A:N,10,0)</f>
        <v>Afternoon</v>
      </c>
      <c r="G254" s="11" t="s">
        <v>249</v>
      </c>
      <c r="H254" s="6" t="str">
        <f>VLOOKUP(A254,Jogos!A:L,12,0)</f>
        <v>Open</v>
      </c>
      <c r="I254" s="6" t="str">
        <f>VLOOKUP(G254,'Estádios e Cidades'!A:B,2,0)</f>
        <v>East Rutherford</v>
      </c>
      <c r="J254" s="11" t="s">
        <v>564</v>
      </c>
      <c r="K254" s="2" t="str">
        <f>VLOOKUP(J254,Equipes!A:F,6,0)</f>
        <v>Temperate</v>
      </c>
      <c r="L254" s="2">
        <f>VLOOKUP(J254,Equipes!A:C,3,0)</f>
        <v>5</v>
      </c>
      <c r="M254" s="2" t="str">
        <f t="shared" si="4"/>
        <v>Quarter-final</v>
      </c>
      <c r="N254" s="11" t="s">
        <v>563</v>
      </c>
      <c r="O254" s="2">
        <f>VLOOKUP(N254,Equipes!A:C,3,0)</f>
        <v>4</v>
      </c>
      <c r="P254" s="2" t="str">
        <f t="shared" si="5"/>
        <v>Semi-final</v>
      </c>
      <c r="Q254" s="2">
        <f t="shared" si="6"/>
        <v>1</v>
      </c>
      <c r="R254" s="2" t="str">
        <f>VLOOKUP(J254,Equipes!A:B,2,0)</f>
        <v>Borussia</v>
      </c>
      <c r="S254" s="14" t="s">
        <v>593</v>
      </c>
      <c r="T254" s="7">
        <v>3.0</v>
      </c>
      <c r="U254" s="7" t="s">
        <v>594</v>
      </c>
      <c r="V254" s="7" t="str">
        <f>VLOOKUP(U254,Jogadores!B:C,2,0)</f>
        <v>DF</v>
      </c>
      <c r="W254" s="8">
        <f>VLOOKUP(U254,Jogadores!B:D,3,0)</f>
        <v>29.04109589</v>
      </c>
      <c r="X254" s="7">
        <v>0.0</v>
      </c>
      <c r="Y254" s="7">
        <f t="shared" si="775"/>
        <v>96</v>
      </c>
      <c r="Z254" s="7">
        <f>VLOOKUP(A254,Jogos!A:L,3,0)</f>
        <v>48</v>
      </c>
      <c r="AA254" s="7">
        <f t="shared" si="7"/>
        <v>48</v>
      </c>
      <c r="AB254" s="7">
        <f>VLOOKUP(A254,Jogos!A:L,4,0)</f>
        <v>51</v>
      </c>
      <c r="AC254" s="7">
        <f t="shared" si="657"/>
        <v>51</v>
      </c>
      <c r="AD254" s="7"/>
      <c r="AE254" s="7"/>
      <c r="AF254" s="7">
        <f t="shared" si="9"/>
        <v>99</v>
      </c>
      <c r="AG254" s="7">
        <v>10784.4</v>
      </c>
      <c r="AH254" s="7">
        <v>3383.3</v>
      </c>
      <c r="AI254" s="7">
        <v>5099.1</v>
      </c>
      <c r="AJ254" s="7">
        <v>1424.3</v>
      </c>
      <c r="AK254" s="7">
        <v>519.0</v>
      </c>
      <c r="AL254" s="7">
        <v>358.7</v>
      </c>
      <c r="AM254" s="7">
        <v>135.0</v>
      </c>
      <c r="AN254" s="7">
        <v>43.0</v>
      </c>
      <c r="AO254" s="7">
        <v>32.7</v>
      </c>
      <c r="AP254" s="9">
        <f t="shared" ref="AP254:AR254" si="794">AG254/$AF254</f>
        <v>108.9333333</v>
      </c>
      <c r="AQ254" s="9">
        <f t="shared" si="794"/>
        <v>34.17474747</v>
      </c>
      <c r="AR254" s="9">
        <f t="shared" si="794"/>
        <v>51.50606061</v>
      </c>
      <c r="AS254" s="9">
        <f t="shared" si="11"/>
        <v>85.68080808</v>
      </c>
      <c r="AT254" s="9">
        <f t="shared" ref="AT254:AV254" si="795">AJ254/$AF254</f>
        <v>14.38686869</v>
      </c>
      <c r="AU254" s="9">
        <f t="shared" si="795"/>
        <v>5.242424242</v>
      </c>
      <c r="AV254" s="9">
        <f t="shared" si="795"/>
        <v>3.623232323</v>
      </c>
      <c r="AW254" s="9">
        <f t="shared" si="13"/>
        <v>8.865656566</v>
      </c>
      <c r="AX254" s="9">
        <f t="shared" ref="AX254:AY254" si="796">AM254/$AF254</f>
        <v>1.363636364</v>
      </c>
      <c r="AY254" s="9">
        <f t="shared" si="796"/>
        <v>0.4343434343</v>
      </c>
      <c r="AZ254" s="9">
        <f>VLOOKUP(A254,Jogos!A:BN,58,0)</f>
        <v>19.865</v>
      </c>
      <c r="BA254" s="9">
        <f>VLOOKUP(A254,Jogos!A:BN,59,0)</f>
        <v>18.135</v>
      </c>
      <c r="BB254" s="9">
        <f>VLOOKUP(A254,Jogos!A:BN,60,0)</f>
        <v>89</v>
      </c>
      <c r="BC254" s="9">
        <f>VLOOKUP(A254,Jogos!A:BN,61,0)</f>
        <v>17.135</v>
      </c>
      <c r="BD254" s="9">
        <f>VLOOKUP(A254,Jogos!A:BN,62,0)</f>
        <v>107.45</v>
      </c>
      <c r="BE254" s="9">
        <f>VLOOKUP(A254,Jogos!A:BN,63,0)</f>
        <v>1.495</v>
      </c>
      <c r="BF254" s="9">
        <f>VLOOKUP(A254,Jogos!A:BN,64,0)</f>
        <v>19.675</v>
      </c>
      <c r="BG254" s="9">
        <f>VLOOKUP(A254,Jogos!A:BN,65,0)</f>
        <v>33.28</v>
      </c>
      <c r="BH254" s="9">
        <f>VLOOKUP(A254,Jogos!A:BN,66,0)</f>
        <v>22.415</v>
      </c>
      <c r="BI254" s="9"/>
    </row>
    <row r="255" hidden="1">
      <c r="A255" s="10">
        <v>9.0</v>
      </c>
      <c r="B255" s="11" t="s">
        <v>562</v>
      </c>
      <c r="C255" s="2" t="s">
        <v>61</v>
      </c>
      <c r="D255" s="12">
        <v>45825.0</v>
      </c>
      <c r="E255" s="13">
        <v>0.5</v>
      </c>
      <c r="F255" s="5" t="str">
        <f>VLOOKUP(A255,Jogos!A:N,10,0)</f>
        <v>Afternoon</v>
      </c>
      <c r="G255" s="11" t="s">
        <v>249</v>
      </c>
      <c r="H255" s="6" t="str">
        <f>VLOOKUP(A255,Jogos!A:L,12,0)</f>
        <v>Open</v>
      </c>
      <c r="I255" s="6" t="str">
        <f>VLOOKUP(G255,'Estádios e Cidades'!A:B,2,0)</f>
        <v>East Rutherford</v>
      </c>
      <c r="J255" s="11" t="s">
        <v>564</v>
      </c>
      <c r="K255" s="2" t="str">
        <f>VLOOKUP(J255,Equipes!A:F,6,0)</f>
        <v>Temperate</v>
      </c>
      <c r="L255" s="2">
        <f>VLOOKUP(J255,Equipes!A:C,3,0)</f>
        <v>5</v>
      </c>
      <c r="M255" s="2" t="str">
        <f t="shared" si="4"/>
        <v>Quarter-final</v>
      </c>
      <c r="N255" s="11" t="s">
        <v>563</v>
      </c>
      <c r="O255" s="2">
        <f>VLOOKUP(N255,Equipes!A:C,3,0)</f>
        <v>4</v>
      </c>
      <c r="P255" s="2" t="str">
        <f t="shared" si="5"/>
        <v>Semi-final</v>
      </c>
      <c r="Q255" s="2">
        <f t="shared" si="6"/>
        <v>1</v>
      </c>
      <c r="R255" s="2" t="str">
        <f>VLOOKUP(J255,Equipes!A:B,2,0)</f>
        <v>Borussia</v>
      </c>
      <c r="S255" s="6" t="s">
        <v>595</v>
      </c>
      <c r="T255" s="7">
        <v>5.0</v>
      </c>
      <c r="U255" s="7" t="s">
        <v>596</v>
      </c>
      <c r="V255" s="7" t="str">
        <f>VLOOKUP(U255,Jogadores!B:C,2,0)</f>
        <v>DF</v>
      </c>
      <c r="W255" s="8">
        <f>VLOOKUP(U255,Jogadores!B:D,3,0)</f>
        <v>30.30410959</v>
      </c>
      <c r="X255" s="7">
        <v>0.0</v>
      </c>
      <c r="Y255" s="7">
        <f t="shared" si="775"/>
        <v>96</v>
      </c>
      <c r="Z255" s="7">
        <f>VLOOKUP(A255,Jogos!A:L,3,0)</f>
        <v>48</v>
      </c>
      <c r="AA255" s="7">
        <f t="shared" si="7"/>
        <v>48</v>
      </c>
      <c r="AB255" s="7">
        <f>VLOOKUP(A255,Jogos!A:L,4,0)</f>
        <v>51</v>
      </c>
      <c r="AC255" s="7">
        <f t="shared" si="657"/>
        <v>51</v>
      </c>
      <c r="AD255" s="7"/>
      <c r="AE255" s="7"/>
      <c r="AF255" s="7">
        <f t="shared" si="9"/>
        <v>99</v>
      </c>
      <c r="AG255" s="7">
        <v>10043.0</v>
      </c>
      <c r="AH255" s="7">
        <v>3825.4</v>
      </c>
      <c r="AI255" s="7">
        <v>4179.5</v>
      </c>
      <c r="AJ255" s="7">
        <v>1289.7</v>
      </c>
      <c r="AK255" s="7">
        <v>510.6</v>
      </c>
      <c r="AL255" s="7">
        <v>237.7</v>
      </c>
      <c r="AM255" s="7">
        <v>115.0</v>
      </c>
      <c r="AN255" s="7">
        <v>46.0</v>
      </c>
      <c r="AO255" s="7">
        <v>32.3</v>
      </c>
      <c r="AP255" s="9">
        <f t="shared" ref="AP255:AR255" si="797">AG255/$AF255</f>
        <v>101.4444444</v>
      </c>
      <c r="AQ255" s="9">
        <f t="shared" si="797"/>
        <v>38.64040404</v>
      </c>
      <c r="AR255" s="9">
        <f t="shared" si="797"/>
        <v>42.21717172</v>
      </c>
      <c r="AS255" s="9">
        <f t="shared" si="11"/>
        <v>80.85757576</v>
      </c>
      <c r="AT255" s="9">
        <f t="shared" ref="AT255:AV255" si="798">AJ255/$AF255</f>
        <v>13.02727273</v>
      </c>
      <c r="AU255" s="9">
        <f t="shared" si="798"/>
        <v>5.157575758</v>
      </c>
      <c r="AV255" s="9">
        <f t="shared" si="798"/>
        <v>2.401010101</v>
      </c>
      <c r="AW255" s="9">
        <f t="shared" si="13"/>
        <v>7.558585859</v>
      </c>
      <c r="AX255" s="9">
        <f t="shared" ref="AX255:AY255" si="799">AM255/$AF255</f>
        <v>1.161616162</v>
      </c>
      <c r="AY255" s="9">
        <f t="shared" si="799"/>
        <v>0.4646464646</v>
      </c>
      <c r="AZ255" s="9">
        <f>VLOOKUP(A255,Jogos!A:BN,58,0)</f>
        <v>19.865</v>
      </c>
      <c r="BA255" s="9">
        <f>VLOOKUP(A255,Jogos!A:BN,59,0)</f>
        <v>18.135</v>
      </c>
      <c r="BB255" s="9">
        <f>VLOOKUP(A255,Jogos!A:BN,60,0)</f>
        <v>89</v>
      </c>
      <c r="BC255" s="9">
        <f>VLOOKUP(A255,Jogos!A:BN,61,0)</f>
        <v>17.135</v>
      </c>
      <c r="BD255" s="9">
        <f>VLOOKUP(A255,Jogos!A:BN,62,0)</f>
        <v>107.45</v>
      </c>
      <c r="BE255" s="9">
        <f>VLOOKUP(A255,Jogos!A:BN,63,0)</f>
        <v>1.495</v>
      </c>
      <c r="BF255" s="9">
        <f>VLOOKUP(A255,Jogos!A:BN,64,0)</f>
        <v>19.675</v>
      </c>
      <c r="BG255" s="9">
        <f>VLOOKUP(A255,Jogos!A:BN,65,0)</f>
        <v>33.28</v>
      </c>
      <c r="BH255" s="9">
        <f>VLOOKUP(A255,Jogos!A:BN,66,0)</f>
        <v>22.415</v>
      </c>
      <c r="BI255" s="9"/>
    </row>
    <row r="256" hidden="1">
      <c r="A256" s="10">
        <v>9.0</v>
      </c>
      <c r="B256" s="11" t="s">
        <v>562</v>
      </c>
      <c r="C256" s="2" t="s">
        <v>61</v>
      </c>
      <c r="D256" s="12">
        <v>45825.0</v>
      </c>
      <c r="E256" s="13">
        <v>0.5</v>
      </c>
      <c r="F256" s="5" t="str">
        <f>VLOOKUP(A256,Jogos!A:N,10,0)</f>
        <v>Afternoon</v>
      </c>
      <c r="G256" s="11" t="s">
        <v>249</v>
      </c>
      <c r="H256" s="6" t="str">
        <f>VLOOKUP(A256,Jogos!A:L,12,0)</f>
        <v>Open</v>
      </c>
      <c r="I256" s="6" t="str">
        <f>VLOOKUP(G256,'Estádios e Cidades'!A:B,2,0)</f>
        <v>East Rutherford</v>
      </c>
      <c r="J256" s="11" t="s">
        <v>564</v>
      </c>
      <c r="K256" s="2" t="str">
        <f>VLOOKUP(J256,Equipes!A:F,6,0)</f>
        <v>Temperate</v>
      </c>
      <c r="L256" s="2">
        <f>VLOOKUP(J256,Equipes!A:C,3,0)</f>
        <v>5</v>
      </c>
      <c r="M256" s="2" t="str">
        <f t="shared" si="4"/>
        <v>Quarter-final</v>
      </c>
      <c r="N256" s="11" t="s">
        <v>563</v>
      </c>
      <c r="O256" s="2">
        <f>VLOOKUP(N256,Equipes!A:C,3,0)</f>
        <v>4</v>
      </c>
      <c r="P256" s="2" t="str">
        <f t="shared" si="5"/>
        <v>Semi-final</v>
      </c>
      <c r="Q256" s="2">
        <f t="shared" si="6"/>
        <v>1</v>
      </c>
      <c r="R256" s="2" t="str">
        <f>VLOOKUP(J256,Equipes!A:B,2,0)</f>
        <v>Borussia</v>
      </c>
      <c r="S256" s="6" t="s">
        <v>597</v>
      </c>
      <c r="T256" s="7">
        <v>9.0</v>
      </c>
      <c r="U256" s="7" t="s">
        <v>598</v>
      </c>
      <c r="V256" s="7" t="str">
        <f>VLOOKUP(U256,Jogadores!B:C,2,0)</f>
        <v>FW</v>
      </c>
      <c r="W256" s="8">
        <f>VLOOKUP(U256,Jogadores!B:D,3,0)</f>
        <v>29.39726027</v>
      </c>
      <c r="X256" s="7">
        <v>0.0</v>
      </c>
      <c r="Y256" s="7">
        <f t="shared" si="775"/>
        <v>96</v>
      </c>
      <c r="Z256" s="7">
        <f>VLOOKUP(A256,Jogos!A:L,3,0)</f>
        <v>48</v>
      </c>
      <c r="AA256" s="7">
        <f t="shared" si="7"/>
        <v>48</v>
      </c>
      <c r="AB256" s="7">
        <f>VLOOKUP(A256,Jogos!A:L,4,0)</f>
        <v>51</v>
      </c>
      <c r="AC256" s="7">
        <f t="shared" si="657"/>
        <v>51</v>
      </c>
      <c r="AD256" s="7"/>
      <c r="AE256" s="7"/>
      <c r="AF256" s="7">
        <f t="shared" si="9"/>
        <v>99</v>
      </c>
      <c r="AG256" s="7">
        <v>10040.1</v>
      </c>
      <c r="AH256" s="7">
        <v>3750.0</v>
      </c>
      <c r="AI256" s="7">
        <v>4105.0</v>
      </c>
      <c r="AJ256" s="7">
        <v>1313.7</v>
      </c>
      <c r="AK256" s="7">
        <v>584.9</v>
      </c>
      <c r="AL256" s="7">
        <v>286.5</v>
      </c>
      <c r="AM256" s="7">
        <v>109.0</v>
      </c>
      <c r="AN256" s="7">
        <v>59.0</v>
      </c>
      <c r="AO256" s="7">
        <v>31.1</v>
      </c>
      <c r="AP256" s="9">
        <f t="shared" ref="AP256:AR256" si="800">AG256/$AF256</f>
        <v>101.4151515</v>
      </c>
      <c r="AQ256" s="9">
        <f t="shared" si="800"/>
        <v>37.87878788</v>
      </c>
      <c r="AR256" s="9">
        <f t="shared" si="800"/>
        <v>41.46464646</v>
      </c>
      <c r="AS256" s="9">
        <f t="shared" si="11"/>
        <v>79.34343434</v>
      </c>
      <c r="AT256" s="9">
        <f t="shared" ref="AT256:AV256" si="801">AJ256/$AF256</f>
        <v>13.26969697</v>
      </c>
      <c r="AU256" s="9">
        <f t="shared" si="801"/>
        <v>5.908080808</v>
      </c>
      <c r="AV256" s="9">
        <f t="shared" si="801"/>
        <v>2.893939394</v>
      </c>
      <c r="AW256" s="9">
        <f t="shared" si="13"/>
        <v>8.802020202</v>
      </c>
      <c r="AX256" s="9">
        <f t="shared" ref="AX256:AY256" si="802">AM256/$AF256</f>
        <v>1.101010101</v>
      </c>
      <c r="AY256" s="9">
        <f t="shared" si="802"/>
        <v>0.595959596</v>
      </c>
      <c r="AZ256" s="9">
        <f>VLOOKUP(A256,Jogos!A:BN,58,0)</f>
        <v>19.865</v>
      </c>
      <c r="BA256" s="9">
        <f>VLOOKUP(A256,Jogos!A:BN,59,0)</f>
        <v>18.135</v>
      </c>
      <c r="BB256" s="9">
        <f>VLOOKUP(A256,Jogos!A:BN,60,0)</f>
        <v>89</v>
      </c>
      <c r="BC256" s="9">
        <f>VLOOKUP(A256,Jogos!A:BN,61,0)</f>
        <v>17.135</v>
      </c>
      <c r="BD256" s="9">
        <f>VLOOKUP(A256,Jogos!A:BN,62,0)</f>
        <v>107.45</v>
      </c>
      <c r="BE256" s="9">
        <f>VLOOKUP(A256,Jogos!A:BN,63,0)</f>
        <v>1.495</v>
      </c>
      <c r="BF256" s="9">
        <f>VLOOKUP(A256,Jogos!A:BN,64,0)</f>
        <v>19.675</v>
      </c>
      <c r="BG256" s="9">
        <f>VLOOKUP(A256,Jogos!A:BN,65,0)</f>
        <v>33.28</v>
      </c>
      <c r="BH256" s="9">
        <f>VLOOKUP(A256,Jogos!A:BN,66,0)</f>
        <v>22.415</v>
      </c>
      <c r="BI256" s="9"/>
    </row>
    <row r="257" hidden="1">
      <c r="A257" s="10">
        <v>9.0</v>
      </c>
      <c r="B257" s="11" t="s">
        <v>562</v>
      </c>
      <c r="C257" s="2" t="s">
        <v>61</v>
      </c>
      <c r="D257" s="12">
        <v>45825.0</v>
      </c>
      <c r="E257" s="13">
        <v>0.5</v>
      </c>
      <c r="F257" s="5" t="str">
        <f>VLOOKUP(A257,Jogos!A:N,10,0)</f>
        <v>Afternoon</v>
      </c>
      <c r="G257" s="11" t="s">
        <v>249</v>
      </c>
      <c r="H257" s="6" t="str">
        <f>VLOOKUP(A257,Jogos!A:L,12,0)</f>
        <v>Open</v>
      </c>
      <c r="I257" s="6" t="str">
        <f>VLOOKUP(G257,'Estádios e Cidades'!A:B,2,0)</f>
        <v>East Rutherford</v>
      </c>
      <c r="J257" s="11" t="s">
        <v>564</v>
      </c>
      <c r="K257" s="2" t="str">
        <f>VLOOKUP(J257,Equipes!A:F,6,0)</f>
        <v>Temperate</v>
      </c>
      <c r="L257" s="2">
        <f>VLOOKUP(J257,Equipes!A:C,3,0)</f>
        <v>5</v>
      </c>
      <c r="M257" s="2" t="str">
        <f t="shared" si="4"/>
        <v>Quarter-final</v>
      </c>
      <c r="N257" s="11" t="s">
        <v>563</v>
      </c>
      <c r="O257" s="2">
        <f>VLOOKUP(N257,Equipes!A:C,3,0)</f>
        <v>4</v>
      </c>
      <c r="P257" s="2" t="str">
        <f t="shared" si="5"/>
        <v>Semi-final</v>
      </c>
      <c r="Q257" s="2">
        <f t="shared" si="6"/>
        <v>1</v>
      </c>
      <c r="R257" s="2" t="str">
        <f>VLOOKUP(J257,Equipes!A:B,2,0)</f>
        <v>Borussia</v>
      </c>
      <c r="S257" s="6" t="s">
        <v>599</v>
      </c>
      <c r="T257" s="7">
        <v>10.0</v>
      </c>
      <c r="U257" s="7" t="s">
        <v>600</v>
      </c>
      <c r="V257" s="7" t="str">
        <f>VLOOKUP(U257,Jogadores!B:C,2,0)</f>
        <v>FW</v>
      </c>
      <c r="W257" s="8">
        <f>VLOOKUP(U257,Jogadores!B:D,3,0)</f>
        <v>28.92054795</v>
      </c>
      <c r="X257" s="7">
        <v>0.0</v>
      </c>
      <c r="Y257" s="7">
        <v>77.0</v>
      </c>
      <c r="Z257" s="7">
        <f>VLOOKUP(A257,Jogos!A:L,3,0)</f>
        <v>48</v>
      </c>
      <c r="AA257" s="7">
        <f t="shared" si="7"/>
        <v>48</v>
      </c>
      <c r="AB257" s="7">
        <f>VLOOKUP(A257,Jogos!A:L,4,0)</f>
        <v>51</v>
      </c>
      <c r="AC257" s="7">
        <f t="shared" si="657"/>
        <v>32</v>
      </c>
      <c r="AD257" s="7"/>
      <c r="AE257" s="7"/>
      <c r="AF257" s="7">
        <f t="shared" si="9"/>
        <v>80</v>
      </c>
      <c r="AG257" s="7">
        <v>9961.5</v>
      </c>
      <c r="AH257" s="7">
        <v>3033.0</v>
      </c>
      <c r="AI257" s="7">
        <v>4355.4</v>
      </c>
      <c r="AJ257" s="7">
        <v>1491.3</v>
      </c>
      <c r="AK257" s="7">
        <v>885.1</v>
      </c>
      <c r="AL257" s="7">
        <v>196.8</v>
      </c>
      <c r="AM257" s="7">
        <v>138.0</v>
      </c>
      <c r="AN257" s="7">
        <v>69.0</v>
      </c>
      <c r="AO257" s="7">
        <v>31.5</v>
      </c>
      <c r="AP257" s="9">
        <f t="shared" ref="AP257:AR257" si="803">AG257/$AF257</f>
        <v>124.51875</v>
      </c>
      <c r="AQ257" s="9">
        <f t="shared" si="803"/>
        <v>37.9125</v>
      </c>
      <c r="AR257" s="9">
        <f t="shared" si="803"/>
        <v>54.4425</v>
      </c>
      <c r="AS257" s="9">
        <f t="shared" si="11"/>
        <v>92.355</v>
      </c>
      <c r="AT257" s="9">
        <f t="shared" ref="AT257:AV257" si="804">AJ257/$AF257</f>
        <v>18.64125</v>
      </c>
      <c r="AU257" s="9">
        <f t="shared" si="804"/>
        <v>11.06375</v>
      </c>
      <c r="AV257" s="9">
        <f t="shared" si="804"/>
        <v>2.46</v>
      </c>
      <c r="AW257" s="9">
        <f t="shared" si="13"/>
        <v>13.52375</v>
      </c>
      <c r="AX257" s="9">
        <f t="shared" ref="AX257:AY257" si="805">AM257/$AF257</f>
        <v>1.725</v>
      </c>
      <c r="AY257" s="9">
        <f t="shared" si="805"/>
        <v>0.8625</v>
      </c>
      <c r="AZ257" s="9">
        <f>VLOOKUP(A257,Jogos!A:BN,58,0)</f>
        <v>19.865</v>
      </c>
      <c r="BA257" s="9">
        <f>VLOOKUP(A257,Jogos!A:BN,59,0)</f>
        <v>18.135</v>
      </c>
      <c r="BB257" s="9">
        <f>VLOOKUP(A257,Jogos!A:BN,60,0)</f>
        <v>89</v>
      </c>
      <c r="BC257" s="9">
        <f>VLOOKUP(A257,Jogos!A:BN,61,0)</f>
        <v>17.135</v>
      </c>
      <c r="BD257" s="9">
        <f>VLOOKUP(A257,Jogos!A:BN,62,0)</f>
        <v>107.45</v>
      </c>
      <c r="BE257" s="9">
        <f>VLOOKUP(A257,Jogos!A:BN,63,0)</f>
        <v>1.495</v>
      </c>
      <c r="BF257" s="9">
        <f>VLOOKUP(A257,Jogos!A:BN,64,0)</f>
        <v>19.675</v>
      </c>
      <c r="BG257" s="9">
        <f>VLOOKUP(A257,Jogos!A:BN,65,0)</f>
        <v>33.28</v>
      </c>
      <c r="BH257" s="9">
        <f>VLOOKUP(A257,Jogos!A:BN,66,0)</f>
        <v>22.415</v>
      </c>
      <c r="BI257" s="9"/>
    </row>
    <row r="258" hidden="1">
      <c r="A258" s="10">
        <v>9.0</v>
      </c>
      <c r="B258" s="11" t="s">
        <v>562</v>
      </c>
      <c r="C258" s="2" t="s">
        <v>61</v>
      </c>
      <c r="D258" s="12">
        <v>45825.0</v>
      </c>
      <c r="E258" s="13">
        <v>0.5</v>
      </c>
      <c r="F258" s="5" t="str">
        <f>VLOOKUP(A258,Jogos!A:N,10,0)</f>
        <v>Afternoon</v>
      </c>
      <c r="G258" s="11" t="s">
        <v>249</v>
      </c>
      <c r="H258" s="6" t="str">
        <f>VLOOKUP(A258,Jogos!A:L,12,0)</f>
        <v>Open</v>
      </c>
      <c r="I258" s="6" t="str">
        <f>VLOOKUP(G258,'Estádios e Cidades'!A:B,2,0)</f>
        <v>East Rutherford</v>
      </c>
      <c r="J258" s="11" t="s">
        <v>564</v>
      </c>
      <c r="K258" s="2" t="str">
        <f>VLOOKUP(J258,Equipes!A:F,6,0)</f>
        <v>Temperate</v>
      </c>
      <c r="L258" s="2">
        <f>VLOOKUP(J258,Equipes!A:C,3,0)</f>
        <v>5</v>
      </c>
      <c r="M258" s="2" t="str">
        <f t="shared" si="4"/>
        <v>Quarter-final</v>
      </c>
      <c r="N258" s="11" t="s">
        <v>563</v>
      </c>
      <c r="O258" s="2">
        <f>VLOOKUP(N258,Equipes!A:C,3,0)</f>
        <v>4</v>
      </c>
      <c r="P258" s="2" t="str">
        <f t="shared" si="5"/>
        <v>Semi-final</v>
      </c>
      <c r="Q258" s="2">
        <f t="shared" si="6"/>
        <v>1</v>
      </c>
      <c r="R258" s="2" t="str">
        <f>VLOOKUP(J258,Equipes!A:B,2,0)</f>
        <v>Borussia</v>
      </c>
      <c r="S258" s="6" t="s">
        <v>601</v>
      </c>
      <c r="T258" s="7">
        <v>13.0</v>
      </c>
      <c r="U258" s="7" t="s">
        <v>602</v>
      </c>
      <c r="V258" s="7" t="str">
        <f>VLOOKUP(U258,Jogadores!B:C,2,0)</f>
        <v>MF</v>
      </c>
      <c r="W258" s="8">
        <f>VLOOKUP(U258,Jogadores!B:D,3,0)</f>
        <v>34.14246575</v>
      </c>
      <c r="X258" s="7">
        <v>0.0</v>
      </c>
      <c r="Y258" s="7">
        <v>59.0</v>
      </c>
      <c r="Z258" s="7">
        <f>VLOOKUP(A258,Jogos!A:L,3,0)</f>
        <v>48</v>
      </c>
      <c r="AA258" s="7">
        <f t="shared" si="7"/>
        <v>48</v>
      </c>
      <c r="AB258" s="7">
        <f>VLOOKUP(A258,Jogos!A:L,4,0)</f>
        <v>51</v>
      </c>
      <c r="AC258" s="7">
        <f t="shared" si="657"/>
        <v>14</v>
      </c>
      <c r="AD258" s="7"/>
      <c r="AE258" s="7"/>
      <c r="AF258" s="7">
        <f t="shared" si="9"/>
        <v>62</v>
      </c>
      <c r="AG258" s="7">
        <v>7961.3</v>
      </c>
      <c r="AH258" s="7">
        <v>2087.0</v>
      </c>
      <c r="AI258" s="7">
        <v>3545.6</v>
      </c>
      <c r="AJ258" s="7">
        <v>1810.5</v>
      </c>
      <c r="AK258" s="7">
        <v>479.8</v>
      </c>
      <c r="AL258" s="7">
        <v>38.4</v>
      </c>
      <c r="AM258" s="7">
        <v>157.0</v>
      </c>
      <c r="AN258" s="7">
        <v>31.0</v>
      </c>
      <c r="AO258" s="7">
        <v>26.9</v>
      </c>
      <c r="AP258" s="9">
        <f t="shared" ref="AP258:AR258" si="806">AG258/$AF258</f>
        <v>128.4080645</v>
      </c>
      <c r="AQ258" s="9">
        <f t="shared" si="806"/>
        <v>33.66129032</v>
      </c>
      <c r="AR258" s="9">
        <f t="shared" si="806"/>
        <v>57.18709677</v>
      </c>
      <c r="AS258" s="9">
        <f t="shared" si="11"/>
        <v>90.8483871</v>
      </c>
      <c r="AT258" s="9">
        <f t="shared" ref="AT258:AV258" si="807">AJ258/$AF258</f>
        <v>29.2016129</v>
      </c>
      <c r="AU258" s="9">
        <f t="shared" si="807"/>
        <v>7.738709677</v>
      </c>
      <c r="AV258" s="9">
        <f t="shared" si="807"/>
        <v>0.6193548387</v>
      </c>
      <c r="AW258" s="9">
        <f t="shared" si="13"/>
        <v>8.358064516</v>
      </c>
      <c r="AX258" s="9">
        <f t="shared" ref="AX258:AY258" si="808">AM258/$AF258</f>
        <v>2.532258065</v>
      </c>
      <c r="AY258" s="9">
        <f t="shared" si="808"/>
        <v>0.5</v>
      </c>
      <c r="AZ258" s="9">
        <f>VLOOKUP(A258,Jogos!A:BN,58,0)</f>
        <v>19.865</v>
      </c>
      <c r="BA258" s="9">
        <f>VLOOKUP(A258,Jogos!A:BN,59,0)</f>
        <v>18.135</v>
      </c>
      <c r="BB258" s="9">
        <f>VLOOKUP(A258,Jogos!A:BN,60,0)</f>
        <v>89</v>
      </c>
      <c r="BC258" s="9">
        <f>VLOOKUP(A258,Jogos!A:BN,61,0)</f>
        <v>17.135</v>
      </c>
      <c r="BD258" s="9">
        <f>VLOOKUP(A258,Jogos!A:BN,62,0)</f>
        <v>107.45</v>
      </c>
      <c r="BE258" s="9">
        <f>VLOOKUP(A258,Jogos!A:BN,63,0)</f>
        <v>1.495</v>
      </c>
      <c r="BF258" s="9">
        <f>VLOOKUP(A258,Jogos!A:BN,64,0)</f>
        <v>19.675</v>
      </c>
      <c r="BG258" s="9">
        <f>VLOOKUP(A258,Jogos!A:BN,65,0)</f>
        <v>33.28</v>
      </c>
      <c r="BH258" s="9">
        <f>VLOOKUP(A258,Jogos!A:BN,66,0)</f>
        <v>22.415</v>
      </c>
      <c r="BI258" s="9"/>
    </row>
    <row r="259" hidden="1">
      <c r="A259" s="10">
        <v>9.0</v>
      </c>
      <c r="B259" s="11" t="s">
        <v>562</v>
      </c>
      <c r="C259" s="2" t="s">
        <v>61</v>
      </c>
      <c r="D259" s="12">
        <v>45825.0</v>
      </c>
      <c r="E259" s="13">
        <v>0.5</v>
      </c>
      <c r="F259" s="5" t="str">
        <f>VLOOKUP(A259,Jogos!A:N,10,0)</f>
        <v>Afternoon</v>
      </c>
      <c r="G259" s="11" t="s">
        <v>249</v>
      </c>
      <c r="H259" s="6" t="str">
        <f>VLOOKUP(A259,Jogos!A:L,12,0)</f>
        <v>Open</v>
      </c>
      <c r="I259" s="6" t="str">
        <f>VLOOKUP(G259,'Estádios e Cidades'!A:B,2,0)</f>
        <v>East Rutherford</v>
      </c>
      <c r="J259" s="11" t="s">
        <v>564</v>
      </c>
      <c r="K259" s="2" t="str">
        <f>VLOOKUP(J259,Equipes!A:F,6,0)</f>
        <v>Temperate</v>
      </c>
      <c r="L259" s="2">
        <f>VLOOKUP(J259,Equipes!A:C,3,0)</f>
        <v>5</v>
      </c>
      <c r="M259" s="2" t="str">
        <f t="shared" si="4"/>
        <v>Quarter-final</v>
      </c>
      <c r="N259" s="11" t="s">
        <v>563</v>
      </c>
      <c r="O259" s="2">
        <f>VLOOKUP(N259,Equipes!A:C,3,0)</f>
        <v>4</v>
      </c>
      <c r="P259" s="2" t="str">
        <f t="shared" si="5"/>
        <v>Semi-final</v>
      </c>
      <c r="Q259" s="2">
        <f t="shared" si="6"/>
        <v>1</v>
      </c>
      <c r="R259" s="2" t="str">
        <f>VLOOKUP(J259,Equipes!A:B,2,0)</f>
        <v>Borussia</v>
      </c>
      <c r="S259" s="6" t="s">
        <v>603</v>
      </c>
      <c r="T259" s="7">
        <v>20.0</v>
      </c>
      <c r="U259" s="7" t="s">
        <v>604</v>
      </c>
      <c r="V259" s="7" t="str">
        <f>VLOOKUP(U259,Jogadores!B:C,2,0)</f>
        <v>MF</v>
      </c>
      <c r="W259" s="8">
        <f>VLOOKUP(U259,Jogadores!B:D,3,0)</f>
        <v>31.38630137</v>
      </c>
      <c r="X259" s="7">
        <v>0.0</v>
      </c>
      <c r="Y259" s="7">
        <v>77.0</v>
      </c>
      <c r="Z259" s="7">
        <f>VLOOKUP(A259,Jogos!A:L,3,0)</f>
        <v>48</v>
      </c>
      <c r="AA259" s="7">
        <f t="shared" si="7"/>
        <v>48</v>
      </c>
      <c r="AB259" s="7">
        <f>VLOOKUP(A259,Jogos!A:L,4,0)</f>
        <v>51</v>
      </c>
      <c r="AC259" s="7">
        <f t="shared" si="657"/>
        <v>32</v>
      </c>
      <c r="AD259" s="7"/>
      <c r="AE259" s="7"/>
      <c r="AF259" s="7">
        <f t="shared" si="9"/>
        <v>80</v>
      </c>
      <c r="AG259" s="7">
        <v>9661.5</v>
      </c>
      <c r="AH259" s="7">
        <v>2743.3</v>
      </c>
      <c r="AI259" s="7">
        <v>4612.4</v>
      </c>
      <c r="AJ259" s="7">
        <v>1738.5</v>
      </c>
      <c r="AK259" s="7">
        <v>490.2</v>
      </c>
      <c r="AL259" s="7">
        <v>77.1</v>
      </c>
      <c r="AM259" s="7">
        <v>148.0</v>
      </c>
      <c r="AN259" s="7">
        <v>32.0</v>
      </c>
      <c r="AO259" s="7">
        <v>29.3</v>
      </c>
      <c r="AP259" s="9">
        <f t="shared" ref="AP259:AR259" si="809">AG259/$AF259</f>
        <v>120.76875</v>
      </c>
      <c r="AQ259" s="9">
        <f t="shared" si="809"/>
        <v>34.29125</v>
      </c>
      <c r="AR259" s="9">
        <f t="shared" si="809"/>
        <v>57.655</v>
      </c>
      <c r="AS259" s="9">
        <f t="shared" si="11"/>
        <v>91.94625</v>
      </c>
      <c r="AT259" s="9">
        <f t="shared" ref="AT259:AV259" si="810">AJ259/$AF259</f>
        <v>21.73125</v>
      </c>
      <c r="AU259" s="9">
        <f t="shared" si="810"/>
        <v>6.1275</v>
      </c>
      <c r="AV259" s="9">
        <f t="shared" si="810"/>
        <v>0.96375</v>
      </c>
      <c r="AW259" s="9">
        <f t="shared" si="13"/>
        <v>7.09125</v>
      </c>
      <c r="AX259" s="9">
        <f t="shared" ref="AX259:AY259" si="811">AM259/$AF259</f>
        <v>1.85</v>
      </c>
      <c r="AY259" s="9">
        <f t="shared" si="811"/>
        <v>0.4</v>
      </c>
      <c r="AZ259" s="9">
        <f>VLOOKUP(A259,Jogos!A:BN,58,0)</f>
        <v>19.865</v>
      </c>
      <c r="BA259" s="9">
        <f>VLOOKUP(A259,Jogos!A:BN,59,0)</f>
        <v>18.135</v>
      </c>
      <c r="BB259" s="9">
        <f>VLOOKUP(A259,Jogos!A:BN,60,0)</f>
        <v>89</v>
      </c>
      <c r="BC259" s="9">
        <f>VLOOKUP(A259,Jogos!A:BN,61,0)</f>
        <v>17.135</v>
      </c>
      <c r="BD259" s="9">
        <f>VLOOKUP(A259,Jogos!A:BN,62,0)</f>
        <v>107.45</v>
      </c>
      <c r="BE259" s="9">
        <f>VLOOKUP(A259,Jogos!A:BN,63,0)</f>
        <v>1.495</v>
      </c>
      <c r="BF259" s="9">
        <f>VLOOKUP(A259,Jogos!A:BN,64,0)</f>
        <v>19.675</v>
      </c>
      <c r="BG259" s="9">
        <f>VLOOKUP(A259,Jogos!A:BN,65,0)</f>
        <v>33.28</v>
      </c>
      <c r="BH259" s="9">
        <f>VLOOKUP(A259,Jogos!A:BN,66,0)</f>
        <v>22.415</v>
      </c>
      <c r="BI259" s="9"/>
    </row>
    <row r="260" hidden="1">
      <c r="A260" s="10">
        <v>9.0</v>
      </c>
      <c r="B260" s="11" t="s">
        <v>562</v>
      </c>
      <c r="C260" s="2" t="s">
        <v>61</v>
      </c>
      <c r="D260" s="12">
        <v>45825.0</v>
      </c>
      <c r="E260" s="13">
        <v>0.5</v>
      </c>
      <c r="F260" s="5" t="str">
        <f>VLOOKUP(A260,Jogos!A:N,10,0)</f>
        <v>Afternoon</v>
      </c>
      <c r="G260" s="11" t="s">
        <v>249</v>
      </c>
      <c r="H260" s="6" t="str">
        <f>VLOOKUP(A260,Jogos!A:L,12,0)</f>
        <v>Open</v>
      </c>
      <c r="I260" s="6" t="str">
        <f>VLOOKUP(G260,'Estádios e Cidades'!A:B,2,0)</f>
        <v>East Rutherford</v>
      </c>
      <c r="J260" s="11" t="s">
        <v>564</v>
      </c>
      <c r="K260" s="2" t="str">
        <f>VLOOKUP(J260,Equipes!A:F,6,0)</f>
        <v>Temperate</v>
      </c>
      <c r="L260" s="2">
        <f>VLOOKUP(J260,Equipes!A:C,3,0)</f>
        <v>5</v>
      </c>
      <c r="M260" s="2" t="str">
        <f t="shared" si="4"/>
        <v>Quarter-final</v>
      </c>
      <c r="N260" s="11" t="s">
        <v>563</v>
      </c>
      <c r="O260" s="2">
        <f>VLOOKUP(N260,Equipes!A:C,3,0)</f>
        <v>4</v>
      </c>
      <c r="P260" s="2" t="str">
        <f t="shared" si="5"/>
        <v>Semi-final</v>
      </c>
      <c r="Q260" s="2">
        <f t="shared" si="6"/>
        <v>1</v>
      </c>
      <c r="R260" s="2" t="str">
        <f>VLOOKUP(J260,Equipes!A:B,2,0)</f>
        <v>Borussia</v>
      </c>
      <c r="S260" s="6" t="s">
        <v>605</v>
      </c>
      <c r="T260" s="7">
        <v>24.0</v>
      </c>
      <c r="U260" s="7" t="s">
        <v>606</v>
      </c>
      <c r="V260" s="7" t="str">
        <f>VLOOKUP(U260,Jogadores!B:C,2,0)</f>
        <v>DF</v>
      </c>
      <c r="W260" s="8">
        <f>VLOOKUP(U260,Jogadores!B:D,3,0)</f>
        <v>23.47123288</v>
      </c>
      <c r="X260" s="7">
        <v>0.0</v>
      </c>
      <c r="Y260" s="7">
        <f t="shared" ref="Y260:Y261" si="815">45+AB260</f>
        <v>96</v>
      </c>
      <c r="Z260" s="7">
        <f>VLOOKUP(A260,Jogos!A:L,3,0)</f>
        <v>48</v>
      </c>
      <c r="AA260" s="7">
        <f t="shared" si="7"/>
        <v>48</v>
      </c>
      <c r="AB260" s="7">
        <f>VLOOKUP(A260,Jogos!A:L,4,0)</f>
        <v>51</v>
      </c>
      <c r="AC260" s="7">
        <f t="shared" si="657"/>
        <v>51</v>
      </c>
      <c r="AD260" s="7"/>
      <c r="AE260" s="7"/>
      <c r="AF260" s="7">
        <f t="shared" si="9"/>
        <v>99</v>
      </c>
      <c r="AG260" s="7">
        <v>12708.9</v>
      </c>
      <c r="AH260" s="7">
        <v>3421.1</v>
      </c>
      <c r="AI260" s="7">
        <v>5679.9</v>
      </c>
      <c r="AJ260" s="7">
        <v>2136.1</v>
      </c>
      <c r="AK260" s="7">
        <v>1155.6</v>
      </c>
      <c r="AL260" s="7">
        <v>316.1</v>
      </c>
      <c r="AM260" s="7">
        <v>197.0</v>
      </c>
      <c r="AN260" s="7">
        <v>82.0</v>
      </c>
      <c r="AO260" s="7">
        <v>32.0</v>
      </c>
      <c r="AP260" s="9">
        <f t="shared" ref="AP260:AR260" si="812">AG260/$AF260</f>
        <v>128.3727273</v>
      </c>
      <c r="AQ260" s="9">
        <f t="shared" si="812"/>
        <v>34.55656566</v>
      </c>
      <c r="AR260" s="9">
        <f t="shared" si="812"/>
        <v>57.37272727</v>
      </c>
      <c r="AS260" s="9">
        <f t="shared" si="11"/>
        <v>91.92929293</v>
      </c>
      <c r="AT260" s="9">
        <f t="shared" ref="AT260:AV260" si="813">AJ260/$AF260</f>
        <v>21.57676768</v>
      </c>
      <c r="AU260" s="9">
        <f t="shared" si="813"/>
        <v>11.67272727</v>
      </c>
      <c r="AV260" s="9">
        <f t="shared" si="813"/>
        <v>3.192929293</v>
      </c>
      <c r="AW260" s="9">
        <f t="shared" si="13"/>
        <v>14.86565657</v>
      </c>
      <c r="AX260" s="9">
        <f t="shared" ref="AX260:AY260" si="814">AM260/$AF260</f>
        <v>1.98989899</v>
      </c>
      <c r="AY260" s="9">
        <f t="shared" si="814"/>
        <v>0.8282828283</v>
      </c>
      <c r="AZ260" s="9">
        <f>VLOOKUP(A260,Jogos!A:BN,58,0)</f>
        <v>19.865</v>
      </c>
      <c r="BA260" s="9">
        <f>VLOOKUP(A260,Jogos!A:BN,59,0)</f>
        <v>18.135</v>
      </c>
      <c r="BB260" s="9">
        <f>VLOOKUP(A260,Jogos!A:BN,60,0)</f>
        <v>89</v>
      </c>
      <c r="BC260" s="9">
        <f>VLOOKUP(A260,Jogos!A:BN,61,0)</f>
        <v>17.135</v>
      </c>
      <c r="BD260" s="9">
        <f>VLOOKUP(A260,Jogos!A:BN,62,0)</f>
        <v>107.45</v>
      </c>
      <c r="BE260" s="9">
        <f>VLOOKUP(A260,Jogos!A:BN,63,0)</f>
        <v>1.495</v>
      </c>
      <c r="BF260" s="9">
        <f>VLOOKUP(A260,Jogos!A:BN,64,0)</f>
        <v>19.675</v>
      </c>
      <c r="BG260" s="9">
        <f>VLOOKUP(A260,Jogos!A:BN,65,0)</f>
        <v>33.28</v>
      </c>
      <c r="BH260" s="9">
        <f>VLOOKUP(A260,Jogos!A:BN,66,0)</f>
        <v>22.415</v>
      </c>
      <c r="BI260" s="9"/>
    </row>
    <row r="261" hidden="1">
      <c r="A261" s="10">
        <v>9.0</v>
      </c>
      <c r="B261" s="11" t="s">
        <v>562</v>
      </c>
      <c r="C261" s="2" t="s">
        <v>61</v>
      </c>
      <c r="D261" s="12">
        <v>45825.0</v>
      </c>
      <c r="E261" s="13">
        <v>0.5</v>
      </c>
      <c r="F261" s="5" t="str">
        <f>VLOOKUP(A261,Jogos!A:N,10,0)</f>
        <v>Afternoon</v>
      </c>
      <c r="G261" s="11" t="s">
        <v>249</v>
      </c>
      <c r="H261" s="6" t="str">
        <f>VLOOKUP(A261,Jogos!A:L,12,0)</f>
        <v>Open</v>
      </c>
      <c r="I261" s="6" t="str">
        <f>VLOOKUP(G261,'Estádios e Cidades'!A:B,2,0)</f>
        <v>East Rutherford</v>
      </c>
      <c r="J261" s="11" t="s">
        <v>564</v>
      </c>
      <c r="K261" s="2" t="str">
        <f>VLOOKUP(J261,Equipes!A:F,6,0)</f>
        <v>Temperate</v>
      </c>
      <c r="L261" s="2">
        <f>VLOOKUP(J261,Equipes!A:C,3,0)</f>
        <v>5</v>
      </c>
      <c r="M261" s="2" t="str">
        <f t="shared" si="4"/>
        <v>Quarter-final</v>
      </c>
      <c r="N261" s="11" t="s">
        <v>563</v>
      </c>
      <c r="O261" s="2">
        <f>VLOOKUP(N261,Equipes!A:C,3,0)</f>
        <v>4</v>
      </c>
      <c r="P261" s="2" t="str">
        <f t="shared" si="5"/>
        <v>Semi-final</v>
      </c>
      <c r="Q261" s="2">
        <f t="shared" si="6"/>
        <v>1</v>
      </c>
      <c r="R261" s="2" t="str">
        <f>VLOOKUP(J261,Equipes!A:B,2,0)</f>
        <v>Borussia</v>
      </c>
      <c r="S261" s="6" t="s">
        <v>607</v>
      </c>
      <c r="T261" s="7">
        <v>25.0</v>
      </c>
      <c r="U261" s="7" t="s">
        <v>608</v>
      </c>
      <c r="V261" s="7" t="str">
        <f>VLOOKUP(U261,Jogadores!B:C,2,0)</f>
        <v>DF</v>
      </c>
      <c r="W261" s="8">
        <f>VLOOKUP(U261,Jogadores!B:D,3,0)</f>
        <v>29.92054795</v>
      </c>
      <c r="X261" s="7">
        <v>0.0</v>
      </c>
      <c r="Y261" s="7">
        <f t="shared" si="815"/>
        <v>96</v>
      </c>
      <c r="Z261" s="7">
        <f>VLOOKUP(A261,Jogos!A:L,3,0)</f>
        <v>48</v>
      </c>
      <c r="AA261" s="7">
        <f t="shared" si="7"/>
        <v>48</v>
      </c>
      <c r="AB261" s="7">
        <f>VLOOKUP(A261,Jogos!A:L,4,0)</f>
        <v>51</v>
      </c>
      <c r="AC261" s="7">
        <f t="shared" si="657"/>
        <v>51</v>
      </c>
      <c r="AD261" s="7"/>
      <c r="AE261" s="7"/>
      <c r="AF261" s="7">
        <f t="shared" si="9"/>
        <v>99</v>
      </c>
      <c r="AG261" s="7">
        <v>9882.1</v>
      </c>
      <c r="AH261" s="7">
        <v>4067.1</v>
      </c>
      <c r="AI261" s="7">
        <v>4205.8</v>
      </c>
      <c r="AJ261" s="7">
        <v>1020.1</v>
      </c>
      <c r="AK261" s="7">
        <v>412.4</v>
      </c>
      <c r="AL261" s="7">
        <v>176.7</v>
      </c>
      <c r="AM261" s="7">
        <v>100.0</v>
      </c>
      <c r="AN261" s="7">
        <v>31.0</v>
      </c>
      <c r="AO261" s="7">
        <v>31.1</v>
      </c>
      <c r="AP261" s="9">
        <f t="shared" ref="AP261:AR261" si="816">AG261/$AF261</f>
        <v>99.81919192</v>
      </c>
      <c r="AQ261" s="9">
        <f t="shared" si="816"/>
        <v>41.08181818</v>
      </c>
      <c r="AR261" s="9">
        <f t="shared" si="816"/>
        <v>42.48282828</v>
      </c>
      <c r="AS261" s="9">
        <f t="shared" si="11"/>
        <v>83.56464646</v>
      </c>
      <c r="AT261" s="9">
        <f t="shared" ref="AT261:AV261" si="817">AJ261/$AF261</f>
        <v>10.3040404</v>
      </c>
      <c r="AU261" s="9">
        <f t="shared" si="817"/>
        <v>4.165656566</v>
      </c>
      <c r="AV261" s="9">
        <f t="shared" si="817"/>
        <v>1.784848485</v>
      </c>
      <c r="AW261" s="9">
        <f t="shared" si="13"/>
        <v>5.950505051</v>
      </c>
      <c r="AX261" s="9">
        <f t="shared" ref="AX261:AY261" si="818">AM261/$AF261</f>
        <v>1.01010101</v>
      </c>
      <c r="AY261" s="9">
        <f t="shared" si="818"/>
        <v>0.3131313131</v>
      </c>
      <c r="AZ261" s="9">
        <f>VLOOKUP(A261,Jogos!A:BN,58,0)</f>
        <v>19.865</v>
      </c>
      <c r="BA261" s="9">
        <f>VLOOKUP(A261,Jogos!A:BN,59,0)</f>
        <v>18.135</v>
      </c>
      <c r="BB261" s="9">
        <f>VLOOKUP(A261,Jogos!A:BN,60,0)</f>
        <v>89</v>
      </c>
      <c r="BC261" s="9">
        <f>VLOOKUP(A261,Jogos!A:BN,61,0)</f>
        <v>17.135</v>
      </c>
      <c r="BD261" s="9">
        <f>VLOOKUP(A261,Jogos!A:BN,62,0)</f>
        <v>107.45</v>
      </c>
      <c r="BE261" s="9">
        <f>VLOOKUP(A261,Jogos!A:BN,63,0)</f>
        <v>1.495</v>
      </c>
      <c r="BF261" s="9">
        <f>VLOOKUP(A261,Jogos!A:BN,64,0)</f>
        <v>19.675</v>
      </c>
      <c r="BG261" s="9">
        <f>VLOOKUP(A261,Jogos!A:BN,65,0)</f>
        <v>33.28</v>
      </c>
      <c r="BH261" s="9">
        <f>VLOOKUP(A261,Jogos!A:BN,66,0)</f>
        <v>22.415</v>
      </c>
      <c r="BI261" s="9"/>
    </row>
    <row r="262" hidden="1">
      <c r="A262" s="10">
        <v>9.0</v>
      </c>
      <c r="B262" s="11" t="s">
        <v>562</v>
      </c>
      <c r="C262" s="2" t="s">
        <v>61</v>
      </c>
      <c r="D262" s="12">
        <v>45825.0</v>
      </c>
      <c r="E262" s="13">
        <v>0.5</v>
      </c>
      <c r="F262" s="5" t="str">
        <f>VLOOKUP(A262,Jogos!A:N,10,0)</f>
        <v>Afternoon</v>
      </c>
      <c r="G262" s="11" t="s">
        <v>249</v>
      </c>
      <c r="H262" s="6" t="str">
        <f>VLOOKUP(A262,Jogos!A:L,12,0)</f>
        <v>Open</v>
      </c>
      <c r="I262" s="6" t="str">
        <f>VLOOKUP(G262,'Estádios e Cidades'!A:B,2,0)</f>
        <v>East Rutherford</v>
      </c>
      <c r="J262" s="11" t="s">
        <v>564</v>
      </c>
      <c r="K262" s="2" t="str">
        <f>VLOOKUP(J262,Equipes!A:F,6,0)</f>
        <v>Temperate</v>
      </c>
      <c r="L262" s="2">
        <f>VLOOKUP(J262,Equipes!A:C,3,0)</f>
        <v>5</v>
      </c>
      <c r="M262" s="2" t="str">
        <f t="shared" si="4"/>
        <v>Quarter-final</v>
      </c>
      <c r="N262" s="11" t="s">
        <v>563</v>
      </c>
      <c r="O262" s="2">
        <f>VLOOKUP(N262,Equipes!A:C,3,0)</f>
        <v>4</v>
      </c>
      <c r="P262" s="2" t="str">
        <f t="shared" si="5"/>
        <v>Semi-final</v>
      </c>
      <c r="Q262" s="2">
        <f t="shared" si="6"/>
        <v>1</v>
      </c>
      <c r="R262" s="2" t="str">
        <f>VLOOKUP(J262,Equipes!A:B,2,0)</f>
        <v>Borussia</v>
      </c>
      <c r="S262" s="6" t="s">
        <v>609</v>
      </c>
      <c r="T262" s="7">
        <v>26.0</v>
      </c>
      <c r="U262" s="7" t="s">
        <v>610</v>
      </c>
      <c r="V262" s="7" t="str">
        <f>VLOOKUP(U262,Jogadores!B:C,2,0)</f>
        <v>DF</v>
      </c>
      <c r="W262" s="8">
        <f>VLOOKUP(U262,Jogadores!B:D,3,0)</f>
        <v>27.71232877</v>
      </c>
      <c r="X262" s="7">
        <v>0.0</v>
      </c>
      <c r="Y262" s="7">
        <v>87.0</v>
      </c>
      <c r="Z262" s="7">
        <f>VLOOKUP(A262,Jogos!A:L,3,0)</f>
        <v>48</v>
      </c>
      <c r="AA262" s="7">
        <f t="shared" si="7"/>
        <v>48</v>
      </c>
      <c r="AB262" s="7">
        <f>VLOOKUP(A262,Jogos!A:L,4,0)</f>
        <v>51</v>
      </c>
      <c r="AC262" s="7">
        <f t="shared" si="657"/>
        <v>42</v>
      </c>
      <c r="AD262" s="7"/>
      <c r="AE262" s="7"/>
      <c r="AF262" s="7">
        <f t="shared" si="9"/>
        <v>90</v>
      </c>
      <c r="AG262" s="7">
        <v>10487.2</v>
      </c>
      <c r="AH262" s="7">
        <v>3500.3</v>
      </c>
      <c r="AI262" s="7">
        <v>4509.4</v>
      </c>
      <c r="AJ262" s="7">
        <v>1495.2</v>
      </c>
      <c r="AK262" s="7">
        <v>753.3</v>
      </c>
      <c r="AL262" s="7">
        <v>229.0</v>
      </c>
      <c r="AM262" s="7">
        <v>126.0</v>
      </c>
      <c r="AN262" s="7">
        <v>52.0</v>
      </c>
      <c r="AO262" s="7">
        <v>29.0</v>
      </c>
      <c r="AP262" s="9">
        <f t="shared" ref="AP262:AR262" si="819">AG262/$AF262</f>
        <v>116.5244444</v>
      </c>
      <c r="AQ262" s="9">
        <f t="shared" si="819"/>
        <v>38.89222222</v>
      </c>
      <c r="AR262" s="9">
        <f t="shared" si="819"/>
        <v>50.10444444</v>
      </c>
      <c r="AS262" s="9">
        <f t="shared" si="11"/>
        <v>88.99666667</v>
      </c>
      <c r="AT262" s="9">
        <f t="shared" ref="AT262:AV262" si="820">AJ262/$AF262</f>
        <v>16.61333333</v>
      </c>
      <c r="AU262" s="9">
        <f t="shared" si="820"/>
        <v>8.37</v>
      </c>
      <c r="AV262" s="9">
        <f t="shared" si="820"/>
        <v>2.544444444</v>
      </c>
      <c r="AW262" s="9">
        <f t="shared" si="13"/>
        <v>10.91444444</v>
      </c>
      <c r="AX262" s="9">
        <f t="shared" ref="AX262:AY262" si="821">AM262/$AF262</f>
        <v>1.4</v>
      </c>
      <c r="AY262" s="9">
        <f t="shared" si="821"/>
        <v>0.5777777778</v>
      </c>
      <c r="AZ262" s="9">
        <f>VLOOKUP(A262,Jogos!A:BN,58,0)</f>
        <v>19.865</v>
      </c>
      <c r="BA262" s="9">
        <f>VLOOKUP(A262,Jogos!A:BN,59,0)</f>
        <v>18.135</v>
      </c>
      <c r="BB262" s="9">
        <f>VLOOKUP(A262,Jogos!A:BN,60,0)</f>
        <v>89</v>
      </c>
      <c r="BC262" s="9">
        <f>VLOOKUP(A262,Jogos!A:BN,61,0)</f>
        <v>17.135</v>
      </c>
      <c r="BD262" s="9">
        <f>VLOOKUP(A262,Jogos!A:BN,62,0)</f>
        <v>107.45</v>
      </c>
      <c r="BE262" s="9">
        <f>VLOOKUP(A262,Jogos!A:BN,63,0)</f>
        <v>1.495</v>
      </c>
      <c r="BF262" s="9">
        <f>VLOOKUP(A262,Jogos!A:BN,64,0)</f>
        <v>19.675</v>
      </c>
      <c r="BG262" s="9">
        <f>VLOOKUP(A262,Jogos!A:BN,65,0)</f>
        <v>33.28</v>
      </c>
      <c r="BH262" s="9">
        <f>VLOOKUP(A262,Jogos!A:BN,66,0)</f>
        <v>22.415</v>
      </c>
      <c r="BI262" s="9"/>
    </row>
    <row r="263" hidden="1">
      <c r="A263" s="10">
        <v>9.0</v>
      </c>
      <c r="B263" s="11" t="s">
        <v>562</v>
      </c>
      <c r="C263" s="2" t="s">
        <v>61</v>
      </c>
      <c r="D263" s="12">
        <v>45825.0</v>
      </c>
      <c r="E263" s="13">
        <v>0.5</v>
      </c>
      <c r="F263" s="5" t="str">
        <f>VLOOKUP(A263,Jogos!A:N,10,0)</f>
        <v>Afternoon</v>
      </c>
      <c r="G263" s="11" t="s">
        <v>249</v>
      </c>
      <c r="H263" s="6" t="str">
        <f>VLOOKUP(A263,Jogos!A:L,12,0)</f>
        <v>Open</v>
      </c>
      <c r="I263" s="6" t="str">
        <f>VLOOKUP(G263,'Estádios e Cidades'!A:B,2,0)</f>
        <v>East Rutherford</v>
      </c>
      <c r="J263" s="11" t="s">
        <v>564</v>
      </c>
      <c r="K263" s="2" t="str">
        <f>VLOOKUP(J263,Equipes!A:F,6,0)</f>
        <v>Temperate</v>
      </c>
      <c r="L263" s="2">
        <f>VLOOKUP(J263,Equipes!A:C,3,0)</f>
        <v>5</v>
      </c>
      <c r="M263" s="2" t="str">
        <f t="shared" si="4"/>
        <v>Quarter-final</v>
      </c>
      <c r="N263" s="11" t="s">
        <v>563</v>
      </c>
      <c r="O263" s="2">
        <f>VLOOKUP(N263,Equipes!A:C,3,0)</f>
        <v>4</v>
      </c>
      <c r="P263" s="2" t="str">
        <f t="shared" si="5"/>
        <v>Semi-final</v>
      </c>
      <c r="Q263" s="2">
        <f t="shared" si="6"/>
        <v>1</v>
      </c>
      <c r="R263" s="2" t="str">
        <f>VLOOKUP(J263,Equipes!A:B,2,0)</f>
        <v>Borussia</v>
      </c>
      <c r="S263" s="6" t="s">
        <v>611</v>
      </c>
      <c r="T263" s="7">
        <v>27.0</v>
      </c>
      <c r="U263" s="7" t="s">
        <v>612</v>
      </c>
      <c r="V263" s="7" t="str">
        <f>VLOOKUP(U263,Jogadores!B:C,2,0)</f>
        <v>FW</v>
      </c>
      <c r="W263" s="8">
        <f>VLOOKUP(U263,Jogadores!B:D,3,0)</f>
        <v>23.53972603</v>
      </c>
      <c r="X263" s="7">
        <v>0.0</v>
      </c>
      <c r="Y263" s="7">
        <v>59.0</v>
      </c>
      <c r="Z263" s="7">
        <f>VLOOKUP(A263,Jogos!A:L,3,0)</f>
        <v>48</v>
      </c>
      <c r="AA263" s="7">
        <f t="shared" si="7"/>
        <v>48</v>
      </c>
      <c r="AB263" s="7">
        <f>VLOOKUP(A263,Jogos!A:L,4,0)</f>
        <v>51</v>
      </c>
      <c r="AC263" s="7">
        <f t="shared" si="657"/>
        <v>14</v>
      </c>
      <c r="AD263" s="7"/>
      <c r="AE263" s="7"/>
      <c r="AF263" s="7">
        <f t="shared" si="9"/>
        <v>62</v>
      </c>
      <c r="AG263" s="7">
        <v>6661.6</v>
      </c>
      <c r="AH263" s="7">
        <v>2475.3</v>
      </c>
      <c r="AI263" s="7">
        <v>2765.1</v>
      </c>
      <c r="AJ263" s="7">
        <v>834.8</v>
      </c>
      <c r="AK263" s="7">
        <v>386.9</v>
      </c>
      <c r="AL263" s="7">
        <v>199.4</v>
      </c>
      <c r="AM263" s="7">
        <v>79.0</v>
      </c>
      <c r="AN263" s="7">
        <v>35.0</v>
      </c>
      <c r="AO263" s="7">
        <v>31.1</v>
      </c>
      <c r="AP263" s="9">
        <f t="shared" ref="AP263:AR263" si="822">AG263/$AF263</f>
        <v>107.4451613</v>
      </c>
      <c r="AQ263" s="9">
        <f t="shared" si="822"/>
        <v>39.92419355</v>
      </c>
      <c r="AR263" s="9">
        <f t="shared" si="822"/>
        <v>44.5983871</v>
      </c>
      <c r="AS263" s="9">
        <f t="shared" si="11"/>
        <v>84.52258065</v>
      </c>
      <c r="AT263" s="9">
        <f t="shared" ref="AT263:AV263" si="823">AJ263/$AF263</f>
        <v>13.46451613</v>
      </c>
      <c r="AU263" s="9">
        <f t="shared" si="823"/>
        <v>6.240322581</v>
      </c>
      <c r="AV263" s="9">
        <f t="shared" si="823"/>
        <v>3.216129032</v>
      </c>
      <c r="AW263" s="9">
        <f t="shared" si="13"/>
        <v>9.456451613</v>
      </c>
      <c r="AX263" s="9">
        <f t="shared" ref="AX263:AY263" si="824">AM263/$AF263</f>
        <v>1.274193548</v>
      </c>
      <c r="AY263" s="9">
        <f t="shared" si="824"/>
        <v>0.564516129</v>
      </c>
      <c r="AZ263" s="9">
        <f>VLOOKUP(A263,Jogos!A:BN,58,0)</f>
        <v>19.865</v>
      </c>
      <c r="BA263" s="9">
        <f>VLOOKUP(A263,Jogos!A:BN,59,0)</f>
        <v>18.135</v>
      </c>
      <c r="BB263" s="9">
        <f>VLOOKUP(A263,Jogos!A:BN,60,0)</f>
        <v>89</v>
      </c>
      <c r="BC263" s="9">
        <f>VLOOKUP(A263,Jogos!A:BN,61,0)</f>
        <v>17.135</v>
      </c>
      <c r="BD263" s="9">
        <f>VLOOKUP(A263,Jogos!A:BN,62,0)</f>
        <v>107.45</v>
      </c>
      <c r="BE263" s="9">
        <f>VLOOKUP(A263,Jogos!A:BN,63,0)</f>
        <v>1.495</v>
      </c>
      <c r="BF263" s="9">
        <f>VLOOKUP(A263,Jogos!A:BN,64,0)</f>
        <v>19.675</v>
      </c>
      <c r="BG263" s="9">
        <f>VLOOKUP(A263,Jogos!A:BN,65,0)</f>
        <v>33.28</v>
      </c>
      <c r="BH263" s="9">
        <f>VLOOKUP(A263,Jogos!A:BN,66,0)</f>
        <v>22.415</v>
      </c>
      <c r="BI263" s="9"/>
    </row>
    <row r="264" hidden="1">
      <c r="A264" s="10">
        <v>9.0</v>
      </c>
      <c r="B264" s="11" t="s">
        <v>562</v>
      </c>
      <c r="C264" s="2" t="s">
        <v>61</v>
      </c>
      <c r="D264" s="12">
        <v>45825.0</v>
      </c>
      <c r="E264" s="13">
        <v>0.5</v>
      </c>
      <c r="F264" s="5" t="str">
        <f>VLOOKUP(A264,Jogos!A:N,10,0)</f>
        <v>Afternoon</v>
      </c>
      <c r="G264" s="11" t="s">
        <v>249</v>
      </c>
      <c r="H264" s="6" t="str">
        <f>VLOOKUP(A264,Jogos!A:L,12,0)</f>
        <v>Open</v>
      </c>
      <c r="I264" s="6" t="str">
        <f>VLOOKUP(G264,'Estádios e Cidades'!A:B,2,0)</f>
        <v>East Rutherford</v>
      </c>
      <c r="J264" s="11" t="s">
        <v>564</v>
      </c>
      <c r="K264" s="2" t="str">
        <f>VLOOKUP(J264,Equipes!A:F,6,0)</f>
        <v>Temperate</v>
      </c>
      <c r="L264" s="2">
        <f>VLOOKUP(J264,Equipes!A:C,3,0)</f>
        <v>5</v>
      </c>
      <c r="M264" s="2" t="str">
        <f t="shared" si="4"/>
        <v>Quarter-final</v>
      </c>
      <c r="N264" s="11" t="s">
        <v>563</v>
      </c>
      <c r="O264" s="2">
        <f>VLOOKUP(N264,Equipes!A:C,3,0)</f>
        <v>4</v>
      </c>
      <c r="P264" s="2" t="str">
        <f t="shared" si="5"/>
        <v>Semi-final</v>
      </c>
      <c r="Q264" s="2">
        <f t="shared" si="6"/>
        <v>1</v>
      </c>
      <c r="R264" s="2" t="str">
        <f>VLOOKUP(J264,Equipes!A:B,2,0)</f>
        <v>Borussia</v>
      </c>
      <c r="S264" s="6" t="s">
        <v>613</v>
      </c>
      <c r="T264" s="7">
        <v>2.0</v>
      </c>
      <c r="U264" s="7" t="s">
        <v>614</v>
      </c>
      <c r="V264" s="7" t="str">
        <f>VLOOKUP(U264,Jogadores!B:C,2,0)</f>
        <v>DF</v>
      </c>
      <c r="W264" s="8">
        <f>VLOOKUP(U264,Jogadores!B:D,3,0)</f>
        <v>23.16712329</v>
      </c>
      <c r="X264" s="7">
        <v>87.0</v>
      </c>
      <c r="Y264" s="7">
        <f t="shared" ref="Y264:Y270" si="828">45+AB264</f>
        <v>96</v>
      </c>
      <c r="Z264" s="7">
        <f>VLOOKUP(A264,Jogos!A:L,3,0)</f>
        <v>48</v>
      </c>
      <c r="AA264" s="7">
        <f t="shared" si="7"/>
        <v>0</v>
      </c>
      <c r="AB264" s="7">
        <f>VLOOKUP(A264,Jogos!A:L,4,0)</f>
        <v>51</v>
      </c>
      <c r="AC264" s="7">
        <f t="shared" si="657"/>
        <v>9</v>
      </c>
      <c r="AD264" s="7"/>
      <c r="AE264" s="7"/>
      <c r="AF264" s="7">
        <f t="shared" si="9"/>
        <v>9</v>
      </c>
      <c r="AG264" s="7">
        <v>1154.6</v>
      </c>
      <c r="AH264" s="7">
        <v>286.4</v>
      </c>
      <c r="AI264" s="7">
        <v>533.7</v>
      </c>
      <c r="AJ264" s="7">
        <v>147.9</v>
      </c>
      <c r="AK264" s="7">
        <v>112.2</v>
      </c>
      <c r="AL264" s="7">
        <v>74.4</v>
      </c>
      <c r="AM264" s="7">
        <v>12.0</v>
      </c>
      <c r="AN264" s="7">
        <v>10.0</v>
      </c>
      <c r="AO264" s="7">
        <v>31.0</v>
      </c>
      <c r="AP264" s="9">
        <f t="shared" ref="AP264:AR264" si="825">AG264/$AF264</f>
        <v>128.2888889</v>
      </c>
      <c r="AQ264" s="9">
        <f t="shared" si="825"/>
        <v>31.82222222</v>
      </c>
      <c r="AR264" s="9">
        <f t="shared" si="825"/>
        <v>59.3</v>
      </c>
      <c r="AS264" s="9">
        <f t="shared" si="11"/>
        <v>91.12222222</v>
      </c>
      <c r="AT264" s="9">
        <f t="shared" ref="AT264:AV264" si="826">AJ264/$AF264</f>
        <v>16.43333333</v>
      </c>
      <c r="AU264" s="9">
        <f t="shared" si="826"/>
        <v>12.46666667</v>
      </c>
      <c r="AV264" s="9">
        <f t="shared" si="826"/>
        <v>8.266666667</v>
      </c>
      <c r="AW264" s="9">
        <f t="shared" si="13"/>
        <v>20.73333333</v>
      </c>
      <c r="AX264" s="9">
        <f t="shared" ref="AX264:AY264" si="827">AM264/$AF264</f>
        <v>1.333333333</v>
      </c>
      <c r="AY264" s="9">
        <f t="shared" si="827"/>
        <v>1.111111111</v>
      </c>
      <c r="AZ264" s="9">
        <f>VLOOKUP(A264,Jogos!A:BN,58,0)</f>
        <v>19.865</v>
      </c>
      <c r="BA264" s="9">
        <f>VLOOKUP(A264,Jogos!A:BN,59,0)</f>
        <v>18.135</v>
      </c>
      <c r="BB264" s="9">
        <f>VLOOKUP(A264,Jogos!A:BN,60,0)</f>
        <v>89</v>
      </c>
      <c r="BC264" s="9">
        <f>VLOOKUP(A264,Jogos!A:BN,61,0)</f>
        <v>17.135</v>
      </c>
      <c r="BD264" s="9">
        <f>VLOOKUP(A264,Jogos!A:BN,62,0)</f>
        <v>107.45</v>
      </c>
      <c r="BE264" s="9">
        <f>VLOOKUP(A264,Jogos!A:BN,63,0)</f>
        <v>1.495</v>
      </c>
      <c r="BF264" s="9">
        <f>VLOOKUP(A264,Jogos!A:BN,64,0)</f>
        <v>19.675</v>
      </c>
      <c r="BG264" s="9">
        <f>VLOOKUP(A264,Jogos!A:BN,65,0)</f>
        <v>33.28</v>
      </c>
      <c r="BH264" s="9">
        <f>VLOOKUP(A264,Jogos!A:BN,66,0)</f>
        <v>22.415</v>
      </c>
      <c r="BI264" s="9"/>
    </row>
    <row r="265" hidden="1">
      <c r="A265" s="10">
        <v>9.0</v>
      </c>
      <c r="B265" s="11" t="s">
        <v>562</v>
      </c>
      <c r="C265" s="2" t="s">
        <v>61</v>
      </c>
      <c r="D265" s="12">
        <v>45825.0</v>
      </c>
      <c r="E265" s="13">
        <v>0.5</v>
      </c>
      <c r="F265" s="5" t="str">
        <f>VLOOKUP(A265,Jogos!A:N,10,0)</f>
        <v>Afternoon</v>
      </c>
      <c r="G265" s="11" t="s">
        <v>249</v>
      </c>
      <c r="H265" s="6" t="str">
        <f>VLOOKUP(A265,Jogos!A:L,12,0)</f>
        <v>Open</v>
      </c>
      <c r="I265" s="6" t="str">
        <f>VLOOKUP(G265,'Estádios e Cidades'!A:B,2,0)</f>
        <v>East Rutherford</v>
      </c>
      <c r="J265" s="11" t="s">
        <v>564</v>
      </c>
      <c r="K265" s="2" t="str">
        <f>VLOOKUP(J265,Equipes!A:F,6,0)</f>
        <v>Temperate</v>
      </c>
      <c r="L265" s="2">
        <f>VLOOKUP(J265,Equipes!A:C,3,0)</f>
        <v>5</v>
      </c>
      <c r="M265" s="2" t="str">
        <f t="shared" si="4"/>
        <v>Quarter-final</v>
      </c>
      <c r="N265" s="11" t="s">
        <v>563</v>
      </c>
      <c r="O265" s="2">
        <f>VLOOKUP(N265,Equipes!A:C,3,0)</f>
        <v>4</v>
      </c>
      <c r="P265" s="2" t="str">
        <f t="shared" si="5"/>
        <v>Semi-final</v>
      </c>
      <c r="Q265" s="2">
        <f t="shared" si="6"/>
        <v>1</v>
      </c>
      <c r="R265" s="2" t="str">
        <f>VLOOKUP(J265,Equipes!A:B,2,0)</f>
        <v>Borussia</v>
      </c>
      <c r="S265" s="6" t="s">
        <v>615</v>
      </c>
      <c r="T265" s="7">
        <v>8.0</v>
      </c>
      <c r="U265" s="7" t="s">
        <v>616</v>
      </c>
      <c r="V265" s="7" t="str">
        <f>VLOOKUP(U265,Jogadores!B:C,2,0)</f>
        <v>MF</v>
      </c>
      <c r="W265" s="8">
        <f>VLOOKUP(U265,Jogadores!B:D,3,0)</f>
        <v>24.81369863</v>
      </c>
      <c r="X265" s="7">
        <v>59.0</v>
      </c>
      <c r="Y265" s="7">
        <f t="shared" si="828"/>
        <v>96</v>
      </c>
      <c r="Z265" s="7">
        <f>VLOOKUP(A265,Jogos!A:L,3,0)</f>
        <v>48</v>
      </c>
      <c r="AA265" s="7">
        <f t="shared" si="7"/>
        <v>0</v>
      </c>
      <c r="AB265" s="7">
        <f>VLOOKUP(A265,Jogos!A:L,4,0)</f>
        <v>51</v>
      </c>
      <c r="AC265" s="7">
        <f t="shared" si="657"/>
        <v>37</v>
      </c>
      <c r="AD265" s="7"/>
      <c r="AE265" s="7"/>
      <c r="AF265" s="7">
        <f t="shared" si="9"/>
        <v>37</v>
      </c>
      <c r="AG265" s="7">
        <v>4310.4</v>
      </c>
      <c r="AH265" s="7">
        <v>1293.2</v>
      </c>
      <c r="AI265" s="7">
        <v>1868.9</v>
      </c>
      <c r="AJ265" s="7">
        <v>832.6</v>
      </c>
      <c r="AK265" s="7">
        <v>229.9</v>
      </c>
      <c r="AL265" s="7">
        <v>85.9</v>
      </c>
      <c r="AM265" s="7">
        <v>69.0</v>
      </c>
      <c r="AN265" s="7">
        <v>19.0</v>
      </c>
      <c r="AO265" s="7">
        <v>28.9</v>
      </c>
      <c r="AP265" s="9">
        <f t="shared" ref="AP265:AR265" si="829">AG265/$AF265</f>
        <v>116.4972973</v>
      </c>
      <c r="AQ265" s="9">
        <f t="shared" si="829"/>
        <v>34.95135135</v>
      </c>
      <c r="AR265" s="9">
        <f t="shared" si="829"/>
        <v>50.51081081</v>
      </c>
      <c r="AS265" s="9">
        <f t="shared" si="11"/>
        <v>85.46216216</v>
      </c>
      <c r="AT265" s="9">
        <f t="shared" ref="AT265:AV265" si="830">AJ265/$AF265</f>
        <v>22.5027027</v>
      </c>
      <c r="AU265" s="9">
        <f t="shared" si="830"/>
        <v>6.213513514</v>
      </c>
      <c r="AV265" s="9">
        <f t="shared" si="830"/>
        <v>2.321621622</v>
      </c>
      <c r="AW265" s="9">
        <f t="shared" si="13"/>
        <v>8.535135135</v>
      </c>
      <c r="AX265" s="9">
        <f t="shared" ref="AX265:AY265" si="831">AM265/$AF265</f>
        <v>1.864864865</v>
      </c>
      <c r="AY265" s="9">
        <f t="shared" si="831"/>
        <v>0.5135135135</v>
      </c>
      <c r="AZ265" s="9">
        <f>VLOOKUP(A265,Jogos!A:BN,58,0)</f>
        <v>19.865</v>
      </c>
      <c r="BA265" s="9">
        <f>VLOOKUP(A265,Jogos!A:BN,59,0)</f>
        <v>18.135</v>
      </c>
      <c r="BB265" s="9">
        <f>VLOOKUP(A265,Jogos!A:BN,60,0)</f>
        <v>89</v>
      </c>
      <c r="BC265" s="9">
        <f>VLOOKUP(A265,Jogos!A:BN,61,0)</f>
        <v>17.135</v>
      </c>
      <c r="BD265" s="9">
        <f>VLOOKUP(A265,Jogos!A:BN,62,0)</f>
        <v>107.45</v>
      </c>
      <c r="BE265" s="9">
        <f>VLOOKUP(A265,Jogos!A:BN,63,0)</f>
        <v>1.495</v>
      </c>
      <c r="BF265" s="9">
        <f>VLOOKUP(A265,Jogos!A:BN,64,0)</f>
        <v>19.675</v>
      </c>
      <c r="BG265" s="9">
        <f>VLOOKUP(A265,Jogos!A:BN,65,0)</f>
        <v>33.28</v>
      </c>
      <c r="BH265" s="9">
        <f>VLOOKUP(A265,Jogos!A:BN,66,0)</f>
        <v>22.415</v>
      </c>
      <c r="BI265" s="9"/>
    </row>
    <row r="266" hidden="1">
      <c r="A266" s="10">
        <v>9.0</v>
      </c>
      <c r="B266" s="11" t="s">
        <v>562</v>
      </c>
      <c r="C266" s="2" t="s">
        <v>61</v>
      </c>
      <c r="D266" s="12">
        <v>45825.0</v>
      </c>
      <c r="E266" s="13">
        <v>0.5</v>
      </c>
      <c r="F266" s="5" t="str">
        <f>VLOOKUP(A266,Jogos!A:N,10,0)</f>
        <v>Afternoon</v>
      </c>
      <c r="G266" s="11" t="s">
        <v>249</v>
      </c>
      <c r="H266" s="6" t="str">
        <f>VLOOKUP(A266,Jogos!A:L,12,0)</f>
        <v>Open</v>
      </c>
      <c r="I266" s="6" t="str">
        <f>VLOOKUP(G266,'Estádios e Cidades'!A:B,2,0)</f>
        <v>East Rutherford</v>
      </c>
      <c r="J266" s="11" t="s">
        <v>564</v>
      </c>
      <c r="K266" s="2" t="str">
        <f>VLOOKUP(J266,Equipes!A:F,6,0)</f>
        <v>Temperate</v>
      </c>
      <c r="L266" s="2">
        <f>VLOOKUP(J266,Equipes!A:C,3,0)</f>
        <v>5</v>
      </c>
      <c r="M266" s="2" t="str">
        <f t="shared" si="4"/>
        <v>Quarter-final</v>
      </c>
      <c r="N266" s="11" t="s">
        <v>563</v>
      </c>
      <c r="O266" s="2">
        <f>VLOOKUP(N266,Equipes!A:C,3,0)</f>
        <v>4</v>
      </c>
      <c r="P266" s="2" t="str">
        <f t="shared" si="5"/>
        <v>Semi-final</v>
      </c>
      <c r="Q266" s="2">
        <f t="shared" si="6"/>
        <v>1</v>
      </c>
      <c r="R266" s="2" t="str">
        <f>VLOOKUP(J266,Equipes!A:B,2,0)</f>
        <v>Borussia</v>
      </c>
      <c r="S266" s="6" t="s">
        <v>617</v>
      </c>
      <c r="T266" s="7">
        <v>17.0</v>
      </c>
      <c r="U266" s="7" t="s">
        <v>618</v>
      </c>
      <c r="V266" s="7" t="str">
        <f>VLOOKUP(U266,Jogadores!B:C,2,0)</f>
        <v>MF</v>
      </c>
      <c r="W266" s="8">
        <f>VLOOKUP(U266,Jogadores!B:D,3,0)</f>
        <v>21.78630137</v>
      </c>
      <c r="X266" s="7">
        <v>77.0</v>
      </c>
      <c r="Y266" s="7">
        <f t="shared" si="828"/>
        <v>96</v>
      </c>
      <c r="Z266" s="7">
        <f>VLOOKUP(A266,Jogos!A:L,3,0)</f>
        <v>48</v>
      </c>
      <c r="AA266" s="7">
        <f t="shared" si="7"/>
        <v>0</v>
      </c>
      <c r="AB266" s="7">
        <f>VLOOKUP(A266,Jogos!A:L,4,0)</f>
        <v>51</v>
      </c>
      <c r="AC266" s="7">
        <f t="shared" si="657"/>
        <v>19</v>
      </c>
      <c r="AD266" s="7"/>
      <c r="AE266" s="7"/>
      <c r="AF266" s="7">
        <f t="shared" si="9"/>
        <v>19</v>
      </c>
      <c r="AG266" s="7">
        <v>2412.5</v>
      </c>
      <c r="AH266" s="7">
        <v>785.9</v>
      </c>
      <c r="AI266" s="7">
        <v>954.1</v>
      </c>
      <c r="AJ266" s="7">
        <v>372.1</v>
      </c>
      <c r="AK266" s="7">
        <v>244.6</v>
      </c>
      <c r="AL266" s="7">
        <v>56.0</v>
      </c>
      <c r="AM266" s="7">
        <v>32.0</v>
      </c>
      <c r="AN266" s="7">
        <v>21.0</v>
      </c>
      <c r="AO266" s="7">
        <v>28.1</v>
      </c>
      <c r="AP266" s="9">
        <f t="shared" ref="AP266:AR266" si="832">AG266/$AF266</f>
        <v>126.9736842</v>
      </c>
      <c r="AQ266" s="9">
        <f t="shared" si="832"/>
        <v>41.36315789</v>
      </c>
      <c r="AR266" s="9">
        <f t="shared" si="832"/>
        <v>50.21578947</v>
      </c>
      <c r="AS266" s="9">
        <f t="shared" si="11"/>
        <v>91.57894737</v>
      </c>
      <c r="AT266" s="9">
        <f t="shared" ref="AT266:AV266" si="833">AJ266/$AF266</f>
        <v>19.58421053</v>
      </c>
      <c r="AU266" s="9">
        <f t="shared" si="833"/>
        <v>12.87368421</v>
      </c>
      <c r="AV266" s="9">
        <f t="shared" si="833"/>
        <v>2.947368421</v>
      </c>
      <c r="AW266" s="9">
        <f t="shared" si="13"/>
        <v>15.82105263</v>
      </c>
      <c r="AX266" s="9">
        <f t="shared" ref="AX266:AY266" si="834">AM266/$AF266</f>
        <v>1.684210526</v>
      </c>
      <c r="AY266" s="9">
        <f t="shared" si="834"/>
        <v>1.105263158</v>
      </c>
      <c r="AZ266" s="9">
        <f>VLOOKUP(A266,Jogos!A:BN,58,0)</f>
        <v>19.865</v>
      </c>
      <c r="BA266" s="9">
        <f>VLOOKUP(A266,Jogos!A:BN,59,0)</f>
        <v>18.135</v>
      </c>
      <c r="BB266" s="9">
        <f>VLOOKUP(A266,Jogos!A:BN,60,0)</f>
        <v>89</v>
      </c>
      <c r="BC266" s="9">
        <f>VLOOKUP(A266,Jogos!A:BN,61,0)</f>
        <v>17.135</v>
      </c>
      <c r="BD266" s="9">
        <f>VLOOKUP(A266,Jogos!A:BN,62,0)</f>
        <v>107.45</v>
      </c>
      <c r="BE266" s="9">
        <f>VLOOKUP(A266,Jogos!A:BN,63,0)</f>
        <v>1.495</v>
      </c>
      <c r="BF266" s="9">
        <f>VLOOKUP(A266,Jogos!A:BN,64,0)</f>
        <v>19.675</v>
      </c>
      <c r="BG266" s="9">
        <f>VLOOKUP(A266,Jogos!A:BN,65,0)</f>
        <v>33.28</v>
      </c>
      <c r="BH266" s="9">
        <f>VLOOKUP(A266,Jogos!A:BN,66,0)</f>
        <v>22.415</v>
      </c>
      <c r="BI266" s="9"/>
    </row>
    <row r="267" hidden="1">
      <c r="A267" s="10">
        <v>9.0</v>
      </c>
      <c r="B267" s="11" t="s">
        <v>562</v>
      </c>
      <c r="C267" s="2" t="s">
        <v>61</v>
      </c>
      <c r="D267" s="12">
        <v>45825.0</v>
      </c>
      <c r="E267" s="13">
        <v>0.5</v>
      </c>
      <c r="F267" s="5" t="str">
        <f>VLOOKUP(A267,Jogos!A:N,10,0)</f>
        <v>Afternoon</v>
      </c>
      <c r="G267" s="11" t="s">
        <v>249</v>
      </c>
      <c r="H267" s="6" t="str">
        <f>VLOOKUP(A267,Jogos!A:L,12,0)</f>
        <v>Open</v>
      </c>
      <c r="I267" s="6" t="str">
        <f>VLOOKUP(G267,'Estádios e Cidades'!A:B,2,0)</f>
        <v>East Rutherford</v>
      </c>
      <c r="J267" s="11" t="s">
        <v>564</v>
      </c>
      <c r="K267" s="2" t="str">
        <f>VLOOKUP(J267,Equipes!A:F,6,0)</f>
        <v>Temperate</v>
      </c>
      <c r="L267" s="2">
        <f>VLOOKUP(J267,Equipes!A:C,3,0)</f>
        <v>5</v>
      </c>
      <c r="M267" s="2" t="str">
        <f t="shared" si="4"/>
        <v>Quarter-final</v>
      </c>
      <c r="N267" s="11" t="s">
        <v>563</v>
      </c>
      <c r="O267" s="2">
        <f>VLOOKUP(N267,Equipes!A:C,3,0)</f>
        <v>4</v>
      </c>
      <c r="P267" s="2" t="str">
        <f t="shared" si="5"/>
        <v>Semi-final</v>
      </c>
      <c r="Q267" s="2">
        <f t="shared" si="6"/>
        <v>1</v>
      </c>
      <c r="R267" s="2" t="str">
        <f>VLOOKUP(J267,Equipes!A:B,2,0)</f>
        <v>Borussia</v>
      </c>
      <c r="S267" s="6" t="s">
        <v>619</v>
      </c>
      <c r="T267" s="7">
        <v>43.0</v>
      </c>
      <c r="U267" s="7" t="s">
        <v>620</v>
      </c>
      <c r="V267" s="7" t="str">
        <f>VLOOKUP(U267,Jogadores!B:C,2,0)</f>
        <v>FW</v>
      </c>
      <c r="W267" s="8">
        <f>VLOOKUP(U267,Jogadores!B:D,3,0)</f>
        <v>20.98356164</v>
      </c>
      <c r="X267" s="7">
        <v>77.0</v>
      </c>
      <c r="Y267" s="7">
        <f t="shared" si="828"/>
        <v>96</v>
      </c>
      <c r="Z267" s="7">
        <f>VLOOKUP(A267,Jogos!A:L,3,0)</f>
        <v>48</v>
      </c>
      <c r="AA267" s="7">
        <f t="shared" si="7"/>
        <v>0</v>
      </c>
      <c r="AB267" s="7">
        <f>VLOOKUP(A267,Jogos!A:L,4,0)</f>
        <v>51</v>
      </c>
      <c r="AC267" s="7">
        <f t="shared" si="657"/>
        <v>19</v>
      </c>
      <c r="AD267" s="7"/>
      <c r="AE267" s="7"/>
      <c r="AF267" s="7">
        <f t="shared" si="9"/>
        <v>19</v>
      </c>
      <c r="AG267" s="7">
        <v>2426.5</v>
      </c>
      <c r="AH267" s="7">
        <v>615.1</v>
      </c>
      <c r="AI267" s="7">
        <v>1106.3</v>
      </c>
      <c r="AJ267" s="7">
        <v>456.8</v>
      </c>
      <c r="AK267" s="7">
        <v>205.6</v>
      </c>
      <c r="AL267" s="7">
        <v>42.7</v>
      </c>
      <c r="AM267" s="7">
        <v>38.0</v>
      </c>
      <c r="AN267" s="7">
        <v>16.0</v>
      </c>
      <c r="AO267" s="7">
        <v>29.5</v>
      </c>
      <c r="AP267" s="9">
        <f t="shared" ref="AP267:AR267" si="835">AG267/$AF267</f>
        <v>127.7105263</v>
      </c>
      <c r="AQ267" s="9">
        <f t="shared" si="835"/>
        <v>32.37368421</v>
      </c>
      <c r="AR267" s="9">
        <f t="shared" si="835"/>
        <v>58.22631579</v>
      </c>
      <c r="AS267" s="9">
        <f t="shared" si="11"/>
        <v>90.6</v>
      </c>
      <c r="AT267" s="9">
        <f t="shared" ref="AT267:AV267" si="836">AJ267/$AF267</f>
        <v>24.04210526</v>
      </c>
      <c r="AU267" s="9">
        <f t="shared" si="836"/>
        <v>10.82105263</v>
      </c>
      <c r="AV267" s="9">
        <f t="shared" si="836"/>
        <v>2.247368421</v>
      </c>
      <c r="AW267" s="9">
        <f t="shared" si="13"/>
        <v>13.06842105</v>
      </c>
      <c r="AX267" s="9">
        <f t="shared" ref="AX267:AY267" si="837">AM267/$AF267</f>
        <v>2</v>
      </c>
      <c r="AY267" s="9">
        <f t="shared" si="837"/>
        <v>0.8421052632</v>
      </c>
      <c r="AZ267" s="9">
        <f>VLOOKUP(A267,Jogos!A:BN,58,0)</f>
        <v>19.865</v>
      </c>
      <c r="BA267" s="9">
        <f>VLOOKUP(A267,Jogos!A:BN,59,0)</f>
        <v>18.135</v>
      </c>
      <c r="BB267" s="9">
        <f>VLOOKUP(A267,Jogos!A:BN,60,0)</f>
        <v>89</v>
      </c>
      <c r="BC267" s="9">
        <f>VLOOKUP(A267,Jogos!A:BN,61,0)</f>
        <v>17.135</v>
      </c>
      <c r="BD267" s="9">
        <f>VLOOKUP(A267,Jogos!A:BN,62,0)</f>
        <v>107.45</v>
      </c>
      <c r="BE267" s="9">
        <f>VLOOKUP(A267,Jogos!A:BN,63,0)</f>
        <v>1.495</v>
      </c>
      <c r="BF267" s="9">
        <f>VLOOKUP(A267,Jogos!A:BN,64,0)</f>
        <v>19.675</v>
      </c>
      <c r="BG267" s="9">
        <f>VLOOKUP(A267,Jogos!A:BN,65,0)</f>
        <v>33.28</v>
      </c>
      <c r="BH267" s="9">
        <f>VLOOKUP(A267,Jogos!A:BN,66,0)</f>
        <v>22.415</v>
      </c>
      <c r="BI267" s="9"/>
    </row>
    <row r="268" hidden="1">
      <c r="A268" s="10">
        <v>9.0</v>
      </c>
      <c r="B268" s="11" t="s">
        <v>562</v>
      </c>
      <c r="C268" s="2" t="s">
        <v>61</v>
      </c>
      <c r="D268" s="12">
        <v>45825.0</v>
      </c>
      <c r="E268" s="13">
        <v>0.5</v>
      </c>
      <c r="F268" s="5" t="str">
        <f>VLOOKUP(A268,Jogos!A:N,10,0)</f>
        <v>Afternoon</v>
      </c>
      <c r="G268" s="11" t="s">
        <v>249</v>
      </c>
      <c r="H268" s="6" t="str">
        <f>VLOOKUP(A268,Jogos!A:L,12,0)</f>
        <v>Open</v>
      </c>
      <c r="I268" s="6" t="str">
        <f>VLOOKUP(G268,'Estádios e Cidades'!A:B,2,0)</f>
        <v>East Rutherford</v>
      </c>
      <c r="J268" s="11" t="s">
        <v>564</v>
      </c>
      <c r="K268" s="2" t="str">
        <f>VLOOKUP(J268,Equipes!A:F,6,0)</f>
        <v>Temperate</v>
      </c>
      <c r="L268" s="2">
        <f>VLOOKUP(J268,Equipes!A:C,3,0)</f>
        <v>5</v>
      </c>
      <c r="M268" s="2" t="str">
        <f t="shared" si="4"/>
        <v>Quarter-final</v>
      </c>
      <c r="N268" s="11" t="s">
        <v>563</v>
      </c>
      <c r="O268" s="2">
        <f>VLOOKUP(N268,Equipes!A:C,3,0)</f>
        <v>4</v>
      </c>
      <c r="P268" s="2" t="str">
        <f t="shared" si="5"/>
        <v>Semi-final</v>
      </c>
      <c r="Q268" s="2">
        <f t="shared" si="6"/>
        <v>1</v>
      </c>
      <c r="R268" s="2" t="str">
        <f>VLOOKUP(J268,Equipes!A:B,2,0)</f>
        <v>Borussia</v>
      </c>
      <c r="S268" s="6" t="s">
        <v>621</v>
      </c>
      <c r="T268" s="7">
        <v>77.0</v>
      </c>
      <c r="U268" s="7" t="s">
        <v>622</v>
      </c>
      <c r="V268" s="7" t="str">
        <f>VLOOKUP(U268,Jogadores!B:C,2,0)</f>
        <v>MF</v>
      </c>
      <c r="W268" s="8">
        <f>VLOOKUP(U268,Jogadores!B:D,3,0)</f>
        <v>19.85753425</v>
      </c>
      <c r="X268" s="7">
        <v>59.0</v>
      </c>
      <c r="Y268" s="7">
        <f t="shared" si="828"/>
        <v>96</v>
      </c>
      <c r="Z268" s="7">
        <f>VLOOKUP(A268,Jogos!A:L,3,0)</f>
        <v>48</v>
      </c>
      <c r="AA268" s="7">
        <f t="shared" si="7"/>
        <v>0</v>
      </c>
      <c r="AB268" s="7">
        <f>VLOOKUP(A268,Jogos!A:L,4,0)</f>
        <v>51</v>
      </c>
      <c r="AC268" s="7">
        <f t="shared" si="657"/>
        <v>37</v>
      </c>
      <c r="AD268" s="7"/>
      <c r="AE268" s="7"/>
      <c r="AF268" s="7">
        <f t="shared" si="9"/>
        <v>37</v>
      </c>
      <c r="AG268" s="7">
        <v>4369.7</v>
      </c>
      <c r="AH268" s="7">
        <v>1418.9</v>
      </c>
      <c r="AI268" s="7">
        <v>1724.1</v>
      </c>
      <c r="AJ268" s="7">
        <v>788.9</v>
      </c>
      <c r="AK268" s="7">
        <v>308.1</v>
      </c>
      <c r="AL268" s="7">
        <v>129.8</v>
      </c>
      <c r="AM268" s="7">
        <v>65.0</v>
      </c>
      <c r="AN268" s="7">
        <v>27.0</v>
      </c>
      <c r="AO268" s="7">
        <v>33.4</v>
      </c>
      <c r="AP268" s="9">
        <f t="shared" ref="AP268:AR268" si="838">AG268/$AF268</f>
        <v>118.1</v>
      </c>
      <c r="AQ268" s="9">
        <f t="shared" si="838"/>
        <v>38.34864865</v>
      </c>
      <c r="AR268" s="9">
        <f t="shared" si="838"/>
        <v>46.5972973</v>
      </c>
      <c r="AS268" s="9">
        <f t="shared" si="11"/>
        <v>84.94594595</v>
      </c>
      <c r="AT268" s="9">
        <f t="shared" ref="AT268:AV268" si="839">AJ268/$AF268</f>
        <v>21.32162162</v>
      </c>
      <c r="AU268" s="9">
        <f t="shared" si="839"/>
        <v>8.327027027</v>
      </c>
      <c r="AV268" s="9">
        <f t="shared" si="839"/>
        <v>3.508108108</v>
      </c>
      <c r="AW268" s="9">
        <f t="shared" si="13"/>
        <v>11.83513514</v>
      </c>
      <c r="AX268" s="9">
        <f t="shared" ref="AX268:AY268" si="840">AM268/$AF268</f>
        <v>1.756756757</v>
      </c>
      <c r="AY268" s="9">
        <f t="shared" si="840"/>
        <v>0.7297297297</v>
      </c>
      <c r="AZ268" s="9">
        <f>VLOOKUP(A268,Jogos!A:BN,58,0)</f>
        <v>19.865</v>
      </c>
      <c r="BA268" s="9">
        <f>VLOOKUP(A268,Jogos!A:BN,59,0)</f>
        <v>18.135</v>
      </c>
      <c r="BB268" s="9">
        <f>VLOOKUP(A268,Jogos!A:BN,60,0)</f>
        <v>89</v>
      </c>
      <c r="BC268" s="9">
        <f>VLOOKUP(A268,Jogos!A:BN,61,0)</f>
        <v>17.135</v>
      </c>
      <c r="BD268" s="9">
        <f>VLOOKUP(A268,Jogos!A:BN,62,0)</f>
        <v>107.45</v>
      </c>
      <c r="BE268" s="9">
        <f>VLOOKUP(A268,Jogos!A:BN,63,0)</f>
        <v>1.495</v>
      </c>
      <c r="BF268" s="9">
        <f>VLOOKUP(A268,Jogos!A:BN,64,0)</f>
        <v>19.675</v>
      </c>
      <c r="BG268" s="9">
        <f>VLOOKUP(A268,Jogos!A:BN,65,0)</f>
        <v>33.28</v>
      </c>
      <c r="BH268" s="9">
        <f>VLOOKUP(A268,Jogos!A:BN,66,0)</f>
        <v>22.415</v>
      </c>
      <c r="BI268" s="9"/>
    </row>
    <row r="269" hidden="1">
      <c r="A269" s="2">
        <v>10.0</v>
      </c>
      <c r="B269" s="11" t="s">
        <v>623</v>
      </c>
      <c r="C269" s="2" t="s">
        <v>61</v>
      </c>
      <c r="D269" s="3">
        <v>45825.0</v>
      </c>
      <c r="E269" s="4">
        <v>0.5</v>
      </c>
      <c r="F269" s="5" t="str">
        <f>VLOOKUP(A269,Jogos!A:N,10,0)</f>
        <v>Afternoon</v>
      </c>
      <c r="G269" s="2" t="s">
        <v>312</v>
      </c>
      <c r="H269" s="6" t="str">
        <f>VLOOKUP(A269,Jogos!A:L,12,0)</f>
        <v>Open</v>
      </c>
      <c r="I269" s="6" t="str">
        <f>VLOOKUP(G269,'Estádios e Cidades'!A:B,2,0)</f>
        <v>Seatte</v>
      </c>
      <c r="J269" s="2" t="s">
        <v>624</v>
      </c>
      <c r="K269" s="2" t="str">
        <f>VLOOKUP(J269,Equipes!A:F,6,0)</f>
        <v>Temperate</v>
      </c>
      <c r="L269" s="2">
        <f>VLOOKUP(J269,Equipes!A:C,3,0)</f>
        <v>19</v>
      </c>
      <c r="M269" s="2" t="str">
        <f t="shared" si="4"/>
        <v>Group</v>
      </c>
      <c r="N269" s="2" t="s">
        <v>625</v>
      </c>
      <c r="O269" s="2">
        <f>VLOOKUP(N269,Equipes!A:C,3,0)</f>
        <v>32</v>
      </c>
      <c r="P269" s="2" t="str">
        <f t="shared" si="5"/>
        <v>Group</v>
      </c>
      <c r="Q269" s="2">
        <f t="shared" si="6"/>
        <v>-13</v>
      </c>
      <c r="R269" s="2" t="str">
        <f>VLOOKUP(J269,Equipes!A:B,2,0)</f>
        <v>River</v>
      </c>
      <c r="S269" s="6" t="s">
        <v>626</v>
      </c>
      <c r="T269" s="7">
        <v>4.0</v>
      </c>
      <c r="U269" s="7" t="s">
        <v>627</v>
      </c>
      <c r="V269" s="7" t="str">
        <f>VLOOKUP(U269,Jogadores!B:C,2,0)</f>
        <v>DF</v>
      </c>
      <c r="W269" s="8">
        <f>VLOOKUP(U269,Jogadores!B:D,3,0)</f>
        <v>28.5890411</v>
      </c>
      <c r="X269" s="7">
        <v>0.0</v>
      </c>
      <c r="Y269" s="7">
        <f t="shared" si="828"/>
        <v>95</v>
      </c>
      <c r="Z269" s="7">
        <f>VLOOKUP(A269,Jogos!A:L,3,0)</f>
        <v>47</v>
      </c>
      <c r="AA269" s="7">
        <f t="shared" si="7"/>
        <v>47</v>
      </c>
      <c r="AB269" s="7">
        <f>VLOOKUP(A269,Jogos!A:L,4,0)</f>
        <v>50</v>
      </c>
      <c r="AC269" s="7">
        <f t="shared" si="657"/>
        <v>50</v>
      </c>
      <c r="AD269" s="7"/>
      <c r="AE269" s="7"/>
      <c r="AF269" s="7">
        <f t="shared" si="9"/>
        <v>97</v>
      </c>
      <c r="AG269" s="7">
        <v>10985.0</v>
      </c>
      <c r="AH269" s="7">
        <v>3577.6</v>
      </c>
      <c r="AI269" s="7">
        <v>4632.8</v>
      </c>
      <c r="AJ269" s="7">
        <v>1545.8</v>
      </c>
      <c r="AK269" s="7">
        <v>735.1</v>
      </c>
      <c r="AL269" s="7">
        <v>493.6</v>
      </c>
      <c r="AM269" s="7">
        <v>135.0</v>
      </c>
      <c r="AN269" s="7">
        <v>63.0</v>
      </c>
      <c r="AO269" s="7">
        <v>32.9</v>
      </c>
      <c r="AP269" s="9">
        <f t="shared" ref="AP269:AR269" si="841">AG269/$AF269</f>
        <v>113.2474227</v>
      </c>
      <c r="AQ269" s="9">
        <f t="shared" si="841"/>
        <v>36.88247423</v>
      </c>
      <c r="AR269" s="9">
        <f t="shared" si="841"/>
        <v>47.76082474</v>
      </c>
      <c r="AS269" s="9">
        <f t="shared" si="11"/>
        <v>84.64329897</v>
      </c>
      <c r="AT269" s="9">
        <f t="shared" ref="AT269:AV269" si="842">AJ269/$AF269</f>
        <v>15.93608247</v>
      </c>
      <c r="AU269" s="9">
        <f t="shared" si="842"/>
        <v>7.578350515</v>
      </c>
      <c r="AV269" s="9">
        <f t="shared" si="842"/>
        <v>5.088659794</v>
      </c>
      <c r="AW269" s="9">
        <f t="shared" si="13"/>
        <v>12.66701031</v>
      </c>
      <c r="AX269" s="9">
        <f t="shared" ref="AX269:AY269" si="843">AM269/$AF269</f>
        <v>1.391752577</v>
      </c>
      <c r="AY269" s="9">
        <f t="shared" si="843"/>
        <v>0.6494845361</v>
      </c>
      <c r="AZ269" s="9">
        <f>VLOOKUP(A269,Jogos!A:BN,58,0)</f>
        <v>20.155</v>
      </c>
      <c r="BA269" s="9">
        <f>VLOOKUP(A269,Jogos!A:BN,59,0)</f>
        <v>7.314</v>
      </c>
      <c r="BB269" s="9">
        <f>VLOOKUP(A269,Jogos!A:BN,60,0)</f>
        <v>43</v>
      </c>
      <c r="BC269" s="9">
        <f>VLOOKUP(A269,Jogos!A:BN,61,0)</f>
        <v>17.44</v>
      </c>
      <c r="BD269" s="9">
        <f>VLOOKUP(A269,Jogos!A:BN,62,0)</f>
        <v>649.8</v>
      </c>
      <c r="BE269" s="9">
        <f>VLOOKUP(A269,Jogos!A:BN,63,0)</f>
        <v>2.12</v>
      </c>
      <c r="BF269" s="9">
        <f>VLOOKUP(A269,Jogos!A:BN,64,0)</f>
        <v>15.76</v>
      </c>
      <c r="BG269" s="9">
        <f>VLOOKUP(A269,Jogos!A:BN,65,0)</f>
        <v>29.16</v>
      </c>
      <c r="BH269" s="9">
        <f>VLOOKUP(A269,Jogos!A:BN,66,0)</f>
        <v>18.88</v>
      </c>
      <c r="BI269" s="9"/>
    </row>
    <row r="270" hidden="1">
      <c r="A270" s="2">
        <v>10.0</v>
      </c>
      <c r="B270" s="11" t="s">
        <v>623</v>
      </c>
      <c r="C270" s="2" t="s">
        <v>61</v>
      </c>
      <c r="D270" s="3">
        <v>45825.0</v>
      </c>
      <c r="E270" s="4">
        <v>0.5</v>
      </c>
      <c r="F270" s="5" t="str">
        <f>VLOOKUP(A270,Jogos!A:N,10,0)</f>
        <v>Afternoon</v>
      </c>
      <c r="G270" s="2" t="s">
        <v>312</v>
      </c>
      <c r="H270" s="6" t="str">
        <f>VLOOKUP(A270,Jogos!A:L,12,0)</f>
        <v>Open</v>
      </c>
      <c r="I270" s="6" t="str">
        <f>VLOOKUP(G270,'Estádios e Cidades'!A:B,2,0)</f>
        <v>Seatte</v>
      </c>
      <c r="J270" s="2" t="s">
        <v>624</v>
      </c>
      <c r="K270" s="2" t="str">
        <f>VLOOKUP(J270,Equipes!A:F,6,0)</f>
        <v>Temperate</v>
      </c>
      <c r="L270" s="2">
        <f>VLOOKUP(J270,Equipes!A:C,3,0)</f>
        <v>19</v>
      </c>
      <c r="M270" s="2" t="str">
        <f t="shared" si="4"/>
        <v>Group</v>
      </c>
      <c r="N270" s="2" t="s">
        <v>625</v>
      </c>
      <c r="O270" s="2">
        <f>VLOOKUP(N270,Equipes!A:C,3,0)</f>
        <v>32</v>
      </c>
      <c r="P270" s="2" t="str">
        <f t="shared" si="5"/>
        <v>Group</v>
      </c>
      <c r="Q270" s="2">
        <f t="shared" si="6"/>
        <v>-13</v>
      </c>
      <c r="R270" s="2" t="str">
        <f>VLOOKUP(J270,Equipes!A:B,2,0)</f>
        <v>River</v>
      </c>
      <c r="S270" s="6" t="s">
        <v>628</v>
      </c>
      <c r="T270" s="7">
        <v>6.0</v>
      </c>
      <c r="U270" s="7" t="s">
        <v>629</v>
      </c>
      <c r="V270" s="7" t="str">
        <f>VLOOKUP(U270,Jogadores!B:C,2,0)</f>
        <v>DF</v>
      </c>
      <c r="W270" s="8">
        <f>VLOOKUP(U270,Jogadores!B:D,3,0)</f>
        <v>34.10958904</v>
      </c>
      <c r="X270" s="7">
        <v>0.0</v>
      </c>
      <c r="Y270" s="7">
        <f t="shared" si="828"/>
        <v>95</v>
      </c>
      <c r="Z270" s="7">
        <f>VLOOKUP(A270,Jogos!A:L,3,0)</f>
        <v>47</v>
      </c>
      <c r="AA270" s="7">
        <f t="shared" si="7"/>
        <v>47</v>
      </c>
      <c r="AB270" s="7">
        <f>VLOOKUP(A270,Jogos!A:L,4,0)</f>
        <v>50</v>
      </c>
      <c r="AC270" s="7">
        <f t="shared" si="657"/>
        <v>50</v>
      </c>
      <c r="AD270" s="7"/>
      <c r="AE270" s="7"/>
      <c r="AF270" s="7">
        <f t="shared" si="9"/>
        <v>97</v>
      </c>
      <c r="AG270" s="7">
        <v>10173.6</v>
      </c>
      <c r="AH270" s="7">
        <v>3989.6</v>
      </c>
      <c r="AI270" s="7">
        <v>4542.3</v>
      </c>
      <c r="AJ270" s="7">
        <v>1149.9</v>
      </c>
      <c r="AK270" s="7">
        <v>391.3</v>
      </c>
      <c r="AL270" s="7">
        <v>100.5</v>
      </c>
      <c r="AM270" s="7">
        <v>110.0</v>
      </c>
      <c r="AN270" s="7">
        <v>34.0</v>
      </c>
      <c r="AO270" s="7">
        <v>29.2</v>
      </c>
      <c r="AP270" s="9">
        <f t="shared" ref="AP270:AR270" si="844">AG270/$AF270</f>
        <v>104.8824742</v>
      </c>
      <c r="AQ270" s="9">
        <f t="shared" si="844"/>
        <v>41.12989691</v>
      </c>
      <c r="AR270" s="9">
        <f t="shared" si="844"/>
        <v>46.82783505</v>
      </c>
      <c r="AS270" s="9">
        <f t="shared" si="11"/>
        <v>87.95773196</v>
      </c>
      <c r="AT270" s="9">
        <f t="shared" ref="AT270:AV270" si="845">AJ270/$AF270</f>
        <v>11.85463918</v>
      </c>
      <c r="AU270" s="9">
        <f t="shared" si="845"/>
        <v>4.034020619</v>
      </c>
      <c r="AV270" s="9">
        <f t="shared" si="845"/>
        <v>1.036082474</v>
      </c>
      <c r="AW270" s="9">
        <f t="shared" si="13"/>
        <v>5.070103093</v>
      </c>
      <c r="AX270" s="9">
        <f t="shared" ref="AX270:AY270" si="846">AM270/$AF270</f>
        <v>1.134020619</v>
      </c>
      <c r="AY270" s="9">
        <f t="shared" si="846"/>
        <v>0.3505154639</v>
      </c>
      <c r="AZ270" s="9">
        <f>VLOOKUP(A270,Jogos!A:BN,58,0)</f>
        <v>20.155</v>
      </c>
      <c r="BA270" s="9">
        <f>VLOOKUP(A270,Jogos!A:BN,59,0)</f>
        <v>7.314</v>
      </c>
      <c r="BB270" s="9">
        <f>VLOOKUP(A270,Jogos!A:BN,60,0)</f>
        <v>43</v>
      </c>
      <c r="BC270" s="9">
        <f>VLOOKUP(A270,Jogos!A:BN,61,0)</f>
        <v>17.44</v>
      </c>
      <c r="BD270" s="9">
        <f>VLOOKUP(A270,Jogos!A:BN,62,0)</f>
        <v>649.8</v>
      </c>
      <c r="BE270" s="9">
        <f>VLOOKUP(A270,Jogos!A:BN,63,0)</f>
        <v>2.12</v>
      </c>
      <c r="BF270" s="9">
        <f>VLOOKUP(A270,Jogos!A:BN,64,0)</f>
        <v>15.76</v>
      </c>
      <c r="BG270" s="9">
        <f>VLOOKUP(A270,Jogos!A:BN,65,0)</f>
        <v>29.16</v>
      </c>
      <c r="BH270" s="9">
        <f>VLOOKUP(A270,Jogos!A:BN,66,0)</f>
        <v>18.88</v>
      </c>
      <c r="BI270" s="9"/>
    </row>
    <row r="271" hidden="1">
      <c r="A271" s="2">
        <v>10.0</v>
      </c>
      <c r="B271" s="11" t="s">
        <v>623</v>
      </c>
      <c r="C271" s="2" t="s">
        <v>61</v>
      </c>
      <c r="D271" s="3">
        <v>45825.0</v>
      </c>
      <c r="E271" s="4">
        <v>0.5</v>
      </c>
      <c r="F271" s="5" t="str">
        <f>VLOOKUP(A271,Jogos!A:N,10,0)</f>
        <v>Afternoon</v>
      </c>
      <c r="G271" s="2" t="s">
        <v>312</v>
      </c>
      <c r="H271" s="6" t="str">
        <f>VLOOKUP(A271,Jogos!A:L,12,0)</f>
        <v>Open</v>
      </c>
      <c r="I271" s="6" t="str">
        <f>VLOOKUP(G271,'Estádios e Cidades'!A:B,2,0)</f>
        <v>Seatte</v>
      </c>
      <c r="J271" s="2" t="s">
        <v>624</v>
      </c>
      <c r="K271" s="2" t="str">
        <f>VLOOKUP(J271,Equipes!A:F,6,0)</f>
        <v>Temperate</v>
      </c>
      <c r="L271" s="2">
        <f>VLOOKUP(J271,Equipes!A:C,3,0)</f>
        <v>19</v>
      </c>
      <c r="M271" s="2" t="str">
        <f t="shared" si="4"/>
        <v>Group</v>
      </c>
      <c r="N271" s="2" t="s">
        <v>625</v>
      </c>
      <c r="O271" s="2">
        <f>VLOOKUP(N271,Equipes!A:C,3,0)</f>
        <v>32</v>
      </c>
      <c r="P271" s="2" t="str">
        <f t="shared" si="5"/>
        <v>Group</v>
      </c>
      <c r="Q271" s="2">
        <f t="shared" si="6"/>
        <v>-13</v>
      </c>
      <c r="R271" s="2" t="str">
        <f>VLOOKUP(J271,Equipes!A:B,2,0)</f>
        <v>River</v>
      </c>
      <c r="S271" s="6" t="s">
        <v>630</v>
      </c>
      <c r="T271" s="7">
        <v>11.0</v>
      </c>
      <c r="U271" s="7" t="s">
        <v>631</v>
      </c>
      <c r="V271" s="7" t="str">
        <f>VLOOKUP(U271,Jogadores!B:C,2,0)</f>
        <v>FW</v>
      </c>
      <c r="W271" s="8">
        <f>VLOOKUP(U271,Jogadores!B:D,3,0)</f>
        <v>25.58082192</v>
      </c>
      <c r="X271" s="7">
        <v>0.0</v>
      </c>
      <c r="Y271" s="7">
        <v>75.0</v>
      </c>
      <c r="Z271" s="7">
        <f>VLOOKUP(A271,Jogos!A:L,3,0)</f>
        <v>47</v>
      </c>
      <c r="AA271" s="7">
        <f t="shared" si="7"/>
        <v>47</v>
      </c>
      <c r="AB271" s="7">
        <f>VLOOKUP(A271,Jogos!A:L,4,0)</f>
        <v>50</v>
      </c>
      <c r="AC271" s="7">
        <f t="shared" si="657"/>
        <v>30</v>
      </c>
      <c r="AD271" s="7"/>
      <c r="AE271" s="7"/>
      <c r="AF271" s="7">
        <f t="shared" si="9"/>
        <v>77</v>
      </c>
      <c r="AG271" s="7">
        <v>8177.4</v>
      </c>
      <c r="AH271" s="7">
        <v>2923.0</v>
      </c>
      <c r="AI271" s="7">
        <v>3136.4</v>
      </c>
      <c r="AJ271" s="7">
        <v>1297.8</v>
      </c>
      <c r="AK271" s="7">
        <v>604.5</v>
      </c>
      <c r="AL271" s="7">
        <v>215.7</v>
      </c>
      <c r="AM271" s="7">
        <v>111.0</v>
      </c>
      <c r="AN271" s="7">
        <v>47.0</v>
      </c>
      <c r="AO271" s="7">
        <v>30.9</v>
      </c>
      <c r="AP271" s="9">
        <f t="shared" ref="AP271:AR271" si="847">AG271/$AF271</f>
        <v>106.2</v>
      </c>
      <c r="AQ271" s="9">
        <f t="shared" si="847"/>
        <v>37.96103896</v>
      </c>
      <c r="AR271" s="9">
        <f t="shared" si="847"/>
        <v>40.73246753</v>
      </c>
      <c r="AS271" s="9">
        <f t="shared" si="11"/>
        <v>78.69350649</v>
      </c>
      <c r="AT271" s="9">
        <f t="shared" ref="AT271:AV271" si="848">AJ271/$AF271</f>
        <v>16.85454545</v>
      </c>
      <c r="AU271" s="9">
        <f t="shared" si="848"/>
        <v>7.850649351</v>
      </c>
      <c r="AV271" s="9">
        <f t="shared" si="848"/>
        <v>2.801298701</v>
      </c>
      <c r="AW271" s="9">
        <f t="shared" si="13"/>
        <v>10.65194805</v>
      </c>
      <c r="AX271" s="9">
        <f t="shared" ref="AX271:AY271" si="849">AM271/$AF271</f>
        <v>1.441558442</v>
      </c>
      <c r="AY271" s="9">
        <f t="shared" si="849"/>
        <v>0.6103896104</v>
      </c>
      <c r="AZ271" s="9">
        <f>VLOOKUP(A271,Jogos!A:BN,58,0)</f>
        <v>20.155</v>
      </c>
      <c r="BA271" s="9">
        <f>VLOOKUP(A271,Jogos!A:BN,59,0)</f>
        <v>7.314</v>
      </c>
      <c r="BB271" s="9">
        <f>VLOOKUP(A271,Jogos!A:BN,60,0)</f>
        <v>43</v>
      </c>
      <c r="BC271" s="9">
        <f>VLOOKUP(A271,Jogos!A:BN,61,0)</f>
        <v>17.44</v>
      </c>
      <c r="BD271" s="9">
        <f>VLOOKUP(A271,Jogos!A:BN,62,0)</f>
        <v>649.8</v>
      </c>
      <c r="BE271" s="9">
        <f>VLOOKUP(A271,Jogos!A:BN,63,0)</f>
        <v>2.12</v>
      </c>
      <c r="BF271" s="9">
        <f>VLOOKUP(A271,Jogos!A:BN,64,0)</f>
        <v>15.76</v>
      </c>
      <c r="BG271" s="9">
        <f>VLOOKUP(A271,Jogos!A:BN,65,0)</f>
        <v>29.16</v>
      </c>
      <c r="BH271" s="9">
        <f>VLOOKUP(A271,Jogos!A:BN,66,0)</f>
        <v>18.88</v>
      </c>
      <c r="BI271" s="9"/>
    </row>
    <row r="272" hidden="1">
      <c r="A272" s="2">
        <v>10.0</v>
      </c>
      <c r="B272" s="11" t="s">
        <v>623</v>
      </c>
      <c r="C272" s="2" t="s">
        <v>61</v>
      </c>
      <c r="D272" s="3">
        <v>45825.0</v>
      </c>
      <c r="E272" s="4">
        <v>0.5</v>
      </c>
      <c r="F272" s="5" t="str">
        <f>VLOOKUP(A272,Jogos!A:N,10,0)</f>
        <v>Afternoon</v>
      </c>
      <c r="G272" s="2" t="s">
        <v>312</v>
      </c>
      <c r="H272" s="6" t="str">
        <f>VLOOKUP(A272,Jogos!A:L,12,0)</f>
        <v>Open</v>
      </c>
      <c r="I272" s="6" t="str">
        <f>VLOOKUP(G272,'Estádios e Cidades'!A:B,2,0)</f>
        <v>Seatte</v>
      </c>
      <c r="J272" s="2" t="s">
        <v>624</v>
      </c>
      <c r="K272" s="2" t="str">
        <f>VLOOKUP(J272,Equipes!A:F,6,0)</f>
        <v>Temperate</v>
      </c>
      <c r="L272" s="2">
        <f>VLOOKUP(J272,Equipes!A:C,3,0)</f>
        <v>19</v>
      </c>
      <c r="M272" s="2" t="str">
        <f t="shared" si="4"/>
        <v>Group</v>
      </c>
      <c r="N272" s="2" t="s">
        <v>625</v>
      </c>
      <c r="O272" s="2">
        <f>VLOOKUP(N272,Equipes!A:C,3,0)</f>
        <v>32</v>
      </c>
      <c r="P272" s="2" t="str">
        <f t="shared" si="5"/>
        <v>Group</v>
      </c>
      <c r="Q272" s="2">
        <f t="shared" si="6"/>
        <v>-13</v>
      </c>
      <c r="R272" s="2" t="str">
        <f>VLOOKUP(J272,Equipes!A:B,2,0)</f>
        <v>River</v>
      </c>
      <c r="S272" s="6" t="s">
        <v>632</v>
      </c>
      <c r="T272" s="7">
        <v>15.0</v>
      </c>
      <c r="U272" s="7" t="s">
        <v>633</v>
      </c>
      <c r="V272" s="7" t="str">
        <f>VLOOKUP(U272,Jogadores!B:C,2,0)</f>
        <v>FW</v>
      </c>
      <c r="W272" s="8">
        <f>VLOOKUP(U272,Jogadores!B:D,3,0)</f>
        <v>29.48493151</v>
      </c>
      <c r="X272" s="7">
        <v>0.0</v>
      </c>
      <c r="Y272" s="7">
        <v>51.0</v>
      </c>
      <c r="Z272" s="7">
        <f>VLOOKUP(A272,Jogos!A:L,3,0)</f>
        <v>47</v>
      </c>
      <c r="AA272" s="7">
        <f t="shared" si="7"/>
        <v>47</v>
      </c>
      <c r="AB272" s="7">
        <f>VLOOKUP(A272,Jogos!A:L,4,0)</f>
        <v>50</v>
      </c>
      <c r="AC272" s="7">
        <f t="shared" si="657"/>
        <v>6</v>
      </c>
      <c r="AD272" s="7"/>
      <c r="AE272" s="7"/>
      <c r="AF272" s="7">
        <f t="shared" si="9"/>
        <v>53</v>
      </c>
      <c r="AG272" s="7">
        <v>6413.7</v>
      </c>
      <c r="AH272" s="7">
        <v>1977.8</v>
      </c>
      <c r="AI272" s="7">
        <v>2526.5</v>
      </c>
      <c r="AJ272" s="7">
        <v>1040.8</v>
      </c>
      <c r="AK272" s="7">
        <v>618.3</v>
      </c>
      <c r="AL272" s="7">
        <v>250.2</v>
      </c>
      <c r="AM272" s="7">
        <v>89.0</v>
      </c>
      <c r="AN272" s="7">
        <v>52.0</v>
      </c>
      <c r="AO272" s="7">
        <v>30.7</v>
      </c>
      <c r="AP272" s="9">
        <f t="shared" ref="AP272:AR272" si="850">AG272/$AF272</f>
        <v>121.0132075</v>
      </c>
      <c r="AQ272" s="9">
        <f t="shared" si="850"/>
        <v>37.31698113</v>
      </c>
      <c r="AR272" s="9">
        <f t="shared" si="850"/>
        <v>47.66981132</v>
      </c>
      <c r="AS272" s="9">
        <f t="shared" si="11"/>
        <v>84.98679245</v>
      </c>
      <c r="AT272" s="9">
        <f t="shared" ref="AT272:AV272" si="851">AJ272/$AF272</f>
        <v>19.63773585</v>
      </c>
      <c r="AU272" s="9">
        <f t="shared" si="851"/>
        <v>11.66603774</v>
      </c>
      <c r="AV272" s="9">
        <f t="shared" si="851"/>
        <v>4.720754717</v>
      </c>
      <c r="AW272" s="9">
        <f t="shared" si="13"/>
        <v>16.38679245</v>
      </c>
      <c r="AX272" s="9">
        <f t="shared" ref="AX272:AY272" si="852">AM272/$AF272</f>
        <v>1.679245283</v>
      </c>
      <c r="AY272" s="9">
        <f t="shared" si="852"/>
        <v>0.9811320755</v>
      </c>
      <c r="AZ272" s="9">
        <f>VLOOKUP(A272,Jogos!A:BN,58,0)</f>
        <v>20.155</v>
      </c>
      <c r="BA272" s="9">
        <f>VLOOKUP(A272,Jogos!A:BN,59,0)</f>
        <v>7.314</v>
      </c>
      <c r="BB272" s="9">
        <f>VLOOKUP(A272,Jogos!A:BN,60,0)</f>
        <v>43</v>
      </c>
      <c r="BC272" s="9">
        <f>VLOOKUP(A272,Jogos!A:BN,61,0)</f>
        <v>17.44</v>
      </c>
      <c r="BD272" s="9">
        <f>VLOOKUP(A272,Jogos!A:BN,62,0)</f>
        <v>649.8</v>
      </c>
      <c r="BE272" s="9">
        <f>VLOOKUP(A272,Jogos!A:BN,63,0)</f>
        <v>2.12</v>
      </c>
      <c r="BF272" s="9">
        <f>VLOOKUP(A272,Jogos!A:BN,64,0)</f>
        <v>15.76</v>
      </c>
      <c r="BG272" s="9">
        <f>VLOOKUP(A272,Jogos!A:BN,65,0)</f>
        <v>29.16</v>
      </c>
      <c r="BH272" s="9">
        <f>VLOOKUP(A272,Jogos!A:BN,66,0)</f>
        <v>18.88</v>
      </c>
      <c r="BI272" s="9"/>
    </row>
    <row r="273" hidden="1">
      <c r="A273" s="2">
        <v>10.0</v>
      </c>
      <c r="B273" s="11" t="s">
        <v>623</v>
      </c>
      <c r="C273" s="2" t="s">
        <v>61</v>
      </c>
      <c r="D273" s="3">
        <v>45825.0</v>
      </c>
      <c r="E273" s="4">
        <v>0.5</v>
      </c>
      <c r="F273" s="5" t="str">
        <f>VLOOKUP(A273,Jogos!A:N,10,0)</f>
        <v>Afternoon</v>
      </c>
      <c r="G273" s="2" t="s">
        <v>312</v>
      </c>
      <c r="H273" s="6" t="str">
        <f>VLOOKUP(A273,Jogos!A:L,12,0)</f>
        <v>Open</v>
      </c>
      <c r="I273" s="6" t="str">
        <f>VLOOKUP(G273,'Estádios e Cidades'!A:B,2,0)</f>
        <v>Seatte</v>
      </c>
      <c r="J273" s="2" t="s">
        <v>624</v>
      </c>
      <c r="K273" s="2" t="str">
        <f>VLOOKUP(J273,Equipes!A:F,6,0)</f>
        <v>Temperate</v>
      </c>
      <c r="L273" s="2">
        <f>VLOOKUP(J273,Equipes!A:C,3,0)</f>
        <v>19</v>
      </c>
      <c r="M273" s="2" t="str">
        <f t="shared" si="4"/>
        <v>Group</v>
      </c>
      <c r="N273" s="2" t="s">
        <v>625</v>
      </c>
      <c r="O273" s="2">
        <f>VLOOKUP(N273,Equipes!A:C,3,0)</f>
        <v>32</v>
      </c>
      <c r="P273" s="2" t="str">
        <f t="shared" si="5"/>
        <v>Group</v>
      </c>
      <c r="Q273" s="2">
        <f t="shared" si="6"/>
        <v>-13</v>
      </c>
      <c r="R273" s="2" t="str">
        <f>VLOOKUP(J273,Equipes!A:B,2,0)</f>
        <v>River</v>
      </c>
      <c r="S273" s="6" t="s">
        <v>634</v>
      </c>
      <c r="T273" s="7">
        <v>21.0</v>
      </c>
      <c r="U273" s="7" t="s">
        <v>635</v>
      </c>
      <c r="V273" s="7" t="str">
        <f>VLOOKUP(U273,Jogadores!B:C,2,0)</f>
        <v>DF</v>
      </c>
      <c r="W273" s="8">
        <f>VLOOKUP(U273,Jogadores!B:D,3,0)</f>
        <v>33.77260274</v>
      </c>
      <c r="X273" s="7">
        <v>0.0</v>
      </c>
      <c r="Y273" s="7">
        <v>89.0</v>
      </c>
      <c r="Z273" s="7">
        <f>VLOOKUP(A273,Jogos!A:L,3,0)</f>
        <v>47</v>
      </c>
      <c r="AA273" s="7">
        <f t="shared" si="7"/>
        <v>47</v>
      </c>
      <c r="AB273" s="7">
        <f>VLOOKUP(A273,Jogos!A:L,4,0)</f>
        <v>50</v>
      </c>
      <c r="AC273" s="7">
        <f t="shared" si="657"/>
        <v>44</v>
      </c>
      <c r="AD273" s="7"/>
      <c r="AE273" s="7"/>
      <c r="AF273" s="7">
        <f t="shared" si="9"/>
        <v>91</v>
      </c>
      <c r="AG273" s="7">
        <v>9083.5</v>
      </c>
      <c r="AH273" s="7">
        <v>3526.7</v>
      </c>
      <c r="AI273" s="7">
        <v>3739.0</v>
      </c>
      <c r="AJ273" s="7">
        <v>993.7</v>
      </c>
      <c r="AK273" s="7">
        <v>637.7</v>
      </c>
      <c r="AL273" s="7">
        <v>186.4</v>
      </c>
      <c r="AM273" s="7">
        <v>84.0</v>
      </c>
      <c r="AN273" s="7">
        <v>45.0</v>
      </c>
      <c r="AO273" s="7">
        <v>32.2</v>
      </c>
      <c r="AP273" s="9">
        <f t="shared" ref="AP273:AR273" si="853">AG273/$AF273</f>
        <v>99.81868132</v>
      </c>
      <c r="AQ273" s="9">
        <f t="shared" si="853"/>
        <v>38.75494505</v>
      </c>
      <c r="AR273" s="9">
        <f t="shared" si="853"/>
        <v>41.08791209</v>
      </c>
      <c r="AS273" s="9">
        <f t="shared" si="11"/>
        <v>79.84285714</v>
      </c>
      <c r="AT273" s="9">
        <f t="shared" ref="AT273:AV273" si="854">AJ273/$AF273</f>
        <v>10.91978022</v>
      </c>
      <c r="AU273" s="9">
        <f t="shared" si="854"/>
        <v>7.007692308</v>
      </c>
      <c r="AV273" s="9">
        <f t="shared" si="854"/>
        <v>2.048351648</v>
      </c>
      <c r="AW273" s="9">
        <f t="shared" si="13"/>
        <v>9.056043956</v>
      </c>
      <c r="AX273" s="9">
        <f t="shared" ref="AX273:AY273" si="855">AM273/$AF273</f>
        <v>0.9230769231</v>
      </c>
      <c r="AY273" s="9">
        <f t="shared" si="855"/>
        <v>0.4945054945</v>
      </c>
      <c r="AZ273" s="9">
        <f>VLOOKUP(A273,Jogos!A:BN,58,0)</f>
        <v>20.155</v>
      </c>
      <c r="BA273" s="9">
        <f>VLOOKUP(A273,Jogos!A:BN,59,0)</f>
        <v>7.314</v>
      </c>
      <c r="BB273" s="9">
        <f>VLOOKUP(A273,Jogos!A:BN,60,0)</f>
        <v>43</v>
      </c>
      <c r="BC273" s="9">
        <f>VLOOKUP(A273,Jogos!A:BN,61,0)</f>
        <v>17.44</v>
      </c>
      <c r="BD273" s="9">
        <f>VLOOKUP(A273,Jogos!A:BN,62,0)</f>
        <v>649.8</v>
      </c>
      <c r="BE273" s="9">
        <f>VLOOKUP(A273,Jogos!A:BN,63,0)</f>
        <v>2.12</v>
      </c>
      <c r="BF273" s="9">
        <f>VLOOKUP(A273,Jogos!A:BN,64,0)</f>
        <v>15.76</v>
      </c>
      <c r="BG273" s="9">
        <f>VLOOKUP(A273,Jogos!A:BN,65,0)</f>
        <v>29.16</v>
      </c>
      <c r="BH273" s="9">
        <f>VLOOKUP(A273,Jogos!A:BN,66,0)</f>
        <v>18.88</v>
      </c>
      <c r="BI273" s="9"/>
    </row>
    <row r="274" hidden="1">
      <c r="A274" s="2">
        <v>10.0</v>
      </c>
      <c r="B274" s="11" t="s">
        <v>623</v>
      </c>
      <c r="C274" s="2" t="s">
        <v>61</v>
      </c>
      <c r="D274" s="3">
        <v>45825.0</v>
      </c>
      <c r="E274" s="4">
        <v>0.5</v>
      </c>
      <c r="F274" s="5" t="str">
        <f>VLOOKUP(A274,Jogos!A:N,10,0)</f>
        <v>Afternoon</v>
      </c>
      <c r="G274" s="2" t="s">
        <v>312</v>
      </c>
      <c r="H274" s="6" t="str">
        <f>VLOOKUP(A274,Jogos!A:L,12,0)</f>
        <v>Open</v>
      </c>
      <c r="I274" s="6" t="str">
        <f>VLOOKUP(G274,'Estádios e Cidades'!A:B,2,0)</f>
        <v>Seatte</v>
      </c>
      <c r="J274" s="2" t="s">
        <v>624</v>
      </c>
      <c r="K274" s="2" t="str">
        <f>VLOOKUP(J274,Equipes!A:F,6,0)</f>
        <v>Temperate</v>
      </c>
      <c r="L274" s="2">
        <f>VLOOKUP(J274,Equipes!A:C,3,0)</f>
        <v>19</v>
      </c>
      <c r="M274" s="2" t="str">
        <f t="shared" si="4"/>
        <v>Group</v>
      </c>
      <c r="N274" s="2" t="s">
        <v>625</v>
      </c>
      <c r="O274" s="2">
        <f>VLOOKUP(N274,Equipes!A:C,3,0)</f>
        <v>32</v>
      </c>
      <c r="P274" s="2" t="str">
        <f t="shared" si="5"/>
        <v>Group</v>
      </c>
      <c r="Q274" s="2">
        <f t="shared" si="6"/>
        <v>-13</v>
      </c>
      <c r="R274" s="2" t="str">
        <f>VLOOKUP(J274,Equipes!A:B,2,0)</f>
        <v>River</v>
      </c>
      <c r="S274" s="6" t="s">
        <v>636</v>
      </c>
      <c r="T274" s="7">
        <v>22.0</v>
      </c>
      <c r="U274" s="7" t="s">
        <v>637</v>
      </c>
      <c r="V274" s="7" t="str">
        <f>VLOOKUP(U274,Jogadores!B:C,2,0)</f>
        <v>MF</v>
      </c>
      <c r="W274" s="8">
        <f>VLOOKUP(U274,Jogadores!B:D,3,0)</f>
        <v>24.84383562</v>
      </c>
      <c r="X274" s="7">
        <v>0.0</v>
      </c>
      <c r="Y274" s="7">
        <f>45+AB274</f>
        <v>95</v>
      </c>
      <c r="Z274" s="7">
        <f>VLOOKUP(A274,Jogos!A:L,3,0)</f>
        <v>47</v>
      </c>
      <c r="AA274" s="7">
        <f t="shared" si="7"/>
        <v>47</v>
      </c>
      <c r="AB274" s="7">
        <f>VLOOKUP(A274,Jogos!A:L,4,0)</f>
        <v>50</v>
      </c>
      <c r="AC274" s="7">
        <f t="shared" si="657"/>
        <v>50</v>
      </c>
      <c r="AD274" s="7"/>
      <c r="AE274" s="7"/>
      <c r="AF274" s="7">
        <f t="shared" si="9"/>
        <v>97</v>
      </c>
      <c r="AG274" s="7">
        <v>11116.4</v>
      </c>
      <c r="AH274" s="7">
        <v>3331.2</v>
      </c>
      <c r="AI274" s="7">
        <v>5184.5</v>
      </c>
      <c r="AJ274" s="7">
        <v>1994.4</v>
      </c>
      <c r="AK274" s="7">
        <v>511.7</v>
      </c>
      <c r="AL274" s="7">
        <v>94.7</v>
      </c>
      <c r="AM274" s="7">
        <v>184.0</v>
      </c>
      <c r="AN274" s="7">
        <v>36.0</v>
      </c>
      <c r="AO274" s="7">
        <v>30.8</v>
      </c>
      <c r="AP274" s="9">
        <f t="shared" ref="AP274:AR274" si="856">AG274/$AF274</f>
        <v>114.6020619</v>
      </c>
      <c r="AQ274" s="9">
        <f t="shared" si="856"/>
        <v>34.34226804</v>
      </c>
      <c r="AR274" s="9">
        <f t="shared" si="856"/>
        <v>53.44845361</v>
      </c>
      <c r="AS274" s="9">
        <f t="shared" si="11"/>
        <v>87.79072165</v>
      </c>
      <c r="AT274" s="9">
        <f t="shared" ref="AT274:AV274" si="857">AJ274/$AF274</f>
        <v>20.56082474</v>
      </c>
      <c r="AU274" s="9">
        <f t="shared" si="857"/>
        <v>5.275257732</v>
      </c>
      <c r="AV274" s="9">
        <f t="shared" si="857"/>
        <v>0.9762886598</v>
      </c>
      <c r="AW274" s="9">
        <f t="shared" si="13"/>
        <v>6.251546392</v>
      </c>
      <c r="AX274" s="9">
        <f t="shared" ref="AX274:AY274" si="858">AM274/$AF274</f>
        <v>1.896907216</v>
      </c>
      <c r="AY274" s="9">
        <f t="shared" si="858"/>
        <v>0.3711340206</v>
      </c>
      <c r="AZ274" s="9">
        <f>VLOOKUP(A274,Jogos!A:BN,58,0)</f>
        <v>20.155</v>
      </c>
      <c r="BA274" s="9">
        <f>VLOOKUP(A274,Jogos!A:BN,59,0)</f>
        <v>7.314</v>
      </c>
      <c r="BB274" s="9">
        <f>VLOOKUP(A274,Jogos!A:BN,60,0)</f>
        <v>43</v>
      </c>
      <c r="BC274" s="9">
        <f>VLOOKUP(A274,Jogos!A:BN,61,0)</f>
        <v>17.44</v>
      </c>
      <c r="BD274" s="9">
        <f>VLOOKUP(A274,Jogos!A:BN,62,0)</f>
        <v>649.8</v>
      </c>
      <c r="BE274" s="9">
        <f>VLOOKUP(A274,Jogos!A:BN,63,0)</f>
        <v>2.12</v>
      </c>
      <c r="BF274" s="9">
        <f>VLOOKUP(A274,Jogos!A:BN,64,0)</f>
        <v>15.76</v>
      </c>
      <c r="BG274" s="9">
        <f>VLOOKUP(A274,Jogos!A:BN,65,0)</f>
        <v>29.16</v>
      </c>
      <c r="BH274" s="9">
        <f>VLOOKUP(A274,Jogos!A:BN,66,0)</f>
        <v>18.88</v>
      </c>
      <c r="BI274" s="9"/>
    </row>
    <row r="275" hidden="1">
      <c r="A275" s="2">
        <v>10.0</v>
      </c>
      <c r="B275" s="11" t="s">
        <v>623</v>
      </c>
      <c r="C275" s="2" t="s">
        <v>61</v>
      </c>
      <c r="D275" s="3">
        <v>45825.0</v>
      </c>
      <c r="E275" s="4">
        <v>0.5</v>
      </c>
      <c r="F275" s="5" t="str">
        <f>VLOOKUP(A275,Jogos!A:N,10,0)</f>
        <v>Afternoon</v>
      </c>
      <c r="G275" s="2" t="s">
        <v>312</v>
      </c>
      <c r="H275" s="6" t="str">
        <f>VLOOKUP(A275,Jogos!A:L,12,0)</f>
        <v>Open</v>
      </c>
      <c r="I275" s="6" t="str">
        <f>VLOOKUP(G275,'Estádios e Cidades'!A:B,2,0)</f>
        <v>Seatte</v>
      </c>
      <c r="J275" s="2" t="s">
        <v>624</v>
      </c>
      <c r="K275" s="2" t="str">
        <f>VLOOKUP(J275,Equipes!A:F,6,0)</f>
        <v>Temperate</v>
      </c>
      <c r="L275" s="2">
        <f>VLOOKUP(J275,Equipes!A:C,3,0)</f>
        <v>19</v>
      </c>
      <c r="M275" s="2" t="str">
        <f t="shared" si="4"/>
        <v>Group</v>
      </c>
      <c r="N275" s="2" t="s">
        <v>625</v>
      </c>
      <c r="O275" s="2">
        <f>VLOOKUP(N275,Equipes!A:C,3,0)</f>
        <v>32</v>
      </c>
      <c r="P275" s="2" t="str">
        <f t="shared" si="5"/>
        <v>Group</v>
      </c>
      <c r="Q275" s="2">
        <f t="shared" si="6"/>
        <v>-13</v>
      </c>
      <c r="R275" s="2" t="str">
        <f>VLOOKUP(J275,Equipes!A:B,2,0)</f>
        <v>River</v>
      </c>
      <c r="S275" s="6" t="s">
        <v>638</v>
      </c>
      <c r="T275" s="7">
        <v>24.0</v>
      </c>
      <c r="U275" s="7" t="s">
        <v>639</v>
      </c>
      <c r="V275" s="7" t="str">
        <f>VLOOKUP(U275,Jogadores!B:C,2,0)</f>
        <v>MF</v>
      </c>
      <c r="W275" s="8">
        <f>VLOOKUP(U275,Jogadores!B:D,3,0)</f>
        <v>39.45479452</v>
      </c>
      <c r="X275" s="7">
        <v>0.0</v>
      </c>
      <c r="Y275" s="7">
        <v>45.0</v>
      </c>
      <c r="Z275" s="7">
        <f>VLOOKUP(A275,Jogos!A:L,3,0)</f>
        <v>47</v>
      </c>
      <c r="AA275" s="7">
        <f t="shared" si="7"/>
        <v>47</v>
      </c>
      <c r="AB275" s="7">
        <f>VLOOKUP(A275,Jogos!A:L,4,0)</f>
        <v>50</v>
      </c>
      <c r="AC275" s="7">
        <f t="shared" si="657"/>
        <v>0</v>
      </c>
      <c r="AD275" s="7"/>
      <c r="AE275" s="7"/>
      <c r="AF275" s="7">
        <f t="shared" si="9"/>
        <v>47</v>
      </c>
      <c r="AG275" s="7">
        <v>6021.4</v>
      </c>
      <c r="AH275" s="7">
        <v>1680.9</v>
      </c>
      <c r="AI275" s="7">
        <v>2957.8</v>
      </c>
      <c r="AJ275" s="7">
        <v>1032.7</v>
      </c>
      <c r="AK275" s="7">
        <v>278.7</v>
      </c>
      <c r="AL275" s="7">
        <v>71.2</v>
      </c>
      <c r="AM275" s="7">
        <v>90.0</v>
      </c>
      <c r="AN275" s="7">
        <v>19.0</v>
      </c>
      <c r="AO275" s="7">
        <v>30.4</v>
      </c>
      <c r="AP275" s="9">
        <f t="shared" ref="AP275:AR275" si="859">AG275/$AF275</f>
        <v>128.1148936</v>
      </c>
      <c r="AQ275" s="9">
        <f t="shared" si="859"/>
        <v>35.76382979</v>
      </c>
      <c r="AR275" s="9">
        <f t="shared" si="859"/>
        <v>62.93191489</v>
      </c>
      <c r="AS275" s="9">
        <f t="shared" si="11"/>
        <v>98.69574468</v>
      </c>
      <c r="AT275" s="9">
        <f t="shared" ref="AT275:AV275" si="860">AJ275/$AF275</f>
        <v>21.97234043</v>
      </c>
      <c r="AU275" s="9">
        <f t="shared" si="860"/>
        <v>5.929787234</v>
      </c>
      <c r="AV275" s="9">
        <f t="shared" si="860"/>
        <v>1.514893617</v>
      </c>
      <c r="AW275" s="9">
        <f t="shared" si="13"/>
        <v>7.444680851</v>
      </c>
      <c r="AX275" s="9">
        <f t="shared" ref="AX275:AY275" si="861">AM275/$AF275</f>
        <v>1.914893617</v>
      </c>
      <c r="AY275" s="9">
        <f t="shared" si="861"/>
        <v>0.4042553191</v>
      </c>
      <c r="AZ275" s="9">
        <f>VLOOKUP(A275,Jogos!A:BN,58,0)</f>
        <v>20.155</v>
      </c>
      <c r="BA275" s="9">
        <f>VLOOKUP(A275,Jogos!A:BN,59,0)</f>
        <v>7.314</v>
      </c>
      <c r="BB275" s="9">
        <f>VLOOKUP(A275,Jogos!A:BN,60,0)</f>
        <v>43</v>
      </c>
      <c r="BC275" s="9">
        <f>VLOOKUP(A275,Jogos!A:BN,61,0)</f>
        <v>17.44</v>
      </c>
      <c r="BD275" s="9">
        <f>VLOOKUP(A275,Jogos!A:BN,62,0)</f>
        <v>649.8</v>
      </c>
      <c r="BE275" s="9">
        <f>VLOOKUP(A275,Jogos!A:BN,63,0)</f>
        <v>2.12</v>
      </c>
      <c r="BF275" s="9">
        <f>VLOOKUP(A275,Jogos!A:BN,64,0)</f>
        <v>15.76</v>
      </c>
      <c r="BG275" s="9">
        <f>VLOOKUP(A275,Jogos!A:BN,65,0)</f>
        <v>29.16</v>
      </c>
      <c r="BH275" s="9">
        <f>VLOOKUP(A275,Jogos!A:BN,66,0)</f>
        <v>18.88</v>
      </c>
      <c r="BI275" s="9"/>
    </row>
    <row r="276" hidden="1">
      <c r="A276" s="2">
        <v>10.0</v>
      </c>
      <c r="B276" s="11" t="s">
        <v>623</v>
      </c>
      <c r="C276" s="2" t="s">
        <v>61</v>
      </c>
      <c r="D276" s="3">
        <v>45825.0</v>
      </c>
      <c r="E276" s="4">
        <v>0.5</v>
      </c>
      <c r="F276" s="5" t="str">
        <f>VLOOKUP(A276,Jogos!A:N,10,0)</f>
        <v>Afternoon</v>
      </c>
      <c r="G276" s="2" t="s">
        <v>312</v>
      </c>
      <c r="H276" s="6" t="str">
        <f>VLOOKUP(A276,Jogos!A:L,12,0)</f>
        <v>Open</v>
      </c>
      <c r="I276" s="6" t="str">
        <f>VLOOKUP(G276,'Estádios e Cidades'!A:B,2,0)</f>
        <v>Seatte</v>
      </c>
      <c r="J276" s="2" t="s">
        <v>624</v>
      </c>
      <c r="K276" s="2" t="str">
        <f>VLOOKUP(J276,Equipes!A:F,6,0)</f>
        <v>Temperate</v>
      </c>
      <c r="L276" s="2">
        <f>VLOOKUP(J276,Equipes!A:C,3,0)</f>
        <v>19</v>
      </c>
      <c r="M276" s="2" t="str">
        <f t="shared" si="4"/>
        <v>Group</v>
      </c>
      <c r="N276" s="2" t="s">
        <v>625</v>
      </c>
      <c r="O276" s="2">
        <f>VLOOKUP(N276,Equipes!A:C,3,0)</f>
        <v>32</v>
      </c>
      <c r="P276" s="2" t="str">
        <f t="shared" si="5"/>
        <v>Group</v>
      </c>
      <c r="Q276" s="2">
        <f t="shared" si="6"/>
        <v>-13</v>
      </c>
      <c r="R276" s="2" t="str">
        <f>VLOOKUP(J276,Equipes!A:B,2,0)</f>
        <v>River</v>
      </c>
      <c r="S276" s="6" t="s">
        <v>640</v>
      </c>
      <c r="T276" s="7">
        <v>26.0</v>
      </c>
      <c r="U276" s="7" t="s">
        <v>641</v>
      </c>
      <c r="V276" s="7" t="str">
        <f>VLOOKUP(U276,Jogadores!B:C,2,0)</f>
        <v>MF</v>
      </c>
      <c r="W276" s="8">
        <f>VLOOKUP(U276,Jogadores!B:D,3,0)</f>
        <v>35.56438356</v>
      </c>
      <c r="X276" s="7">
        <v>0.0</v>
      </c>
      <c r="Y276" s="7">
        <v>45.0</v>
      </c>
      <c r="Z276" s="7">
        <f>VLOOKUP(A276,Jogos!A:L,3,0)</f>
        <v>47</v>
      </c>
      <c r="AA276" s="7">
        <f t="shared" si="7"/>
        <v>47</v>
      </c>
      <c r="AB276" s="7">
        <f>VLOOKUP(A276,Jogos!A:L,4,0)</f>
        <v>50</v>
      </c>
      <c r="AC276" s="7">
        <f t="shared" si="657"/>
        <v>0</v>
      </c>
      <c r="AD276" s="7"/>
      <c r="AE276" s="7"/>
      <c r="AF276" s="7">
        <f t="shared" si="9"/>
        <v>47</v>
      </c>
      <c r="AG276" s="7">
        <v>5821.6</v>
      </c>
      <c r="AH276" s="7">
        <v>1595.0</v>
      </c>
      <c r="AI276" s="7">
        <v>2485.5</v>
      </c>
      <c r="AJ276" s="7">
        <v>1121.0</v>
      </c>
      <c r="AK276" s="7">
        <v>489.4</v>
      </c>
      <c r="AL276" s="7">
        <v>130.6</v>
      </c>
      <c r="AM276" s="7">
        <v>107.0</v>
      </c>
      <c r="AN276" s="7">
        <v>33.0</v>
      </c>
      <c r="AO276" s="7">
        <v>28.6</v>
      </c>
      <c r="AP276" s="9">
        <f t="shared" ref="AP276:AR276" si="862">AG276/$AF276</f>
        <v>123.8638298</v>
      </c>
      <c r="AQ276" s="9">
        <f t="shared" si="862"/>
        <v>33.93617021</v>
      </c>
      <c r="AR276" s="9">
        <f t="shared" si="862"/>
        <v>52.88297872</v>
      </c>
      <c r="AS276" s="9">
        <f t="shared" si="11"/>
        <v>86.81914894</v>
      </c>
      <c r="AT276" s="9">
        <f t="shared" ref="AT276:AV276" si="863">AJ276/$AF276</f>
        <v>23.85106383</v>
      </c>
      <c r="AU276" s="9">
        <f t="shared" si="863"/>
        <v>10.41276596</v>
      </c>
      <c r="AV276" s="9">
        <f t="shared" si="863"/>
        <v>2.778723404</v>
      </c>
      <c r="AW276" s="9">
        <f t="shared" si="13"/>
        <v>13.19148936</v>
      </c>
      <c r="AX276" s="9">
        <f t="shared" ref="AX276:AY276" si="864">AM276/$AF276</f>
        <v>2.276595745</v>
      </c>
      <c r="AY276" s="9">
        <f t="shared" si="864"/>
        <v>0.7021276596</v>
      </c>
      <c r="AZ276" s="9">
        <f>VLOOKUP(A276,Jogos!A:BN,58,0)</f>
        <v>20.155</v>
      </c>
      <c r="BA276" s="9">
        <f>VLOOKUP(A276,Jogos!A:BN,59,0)</f>
        <v>7.314</v>
      </c>
      <c r="BB276" s="9">
        <f>VLOOKUP(A276,Jogos!A:BN,60,0)</f>
        <v>43</v>
      </c>
      <c r="BC276" s="9">
        <f>VLOOKUP(A276,Jogos!A:BN,61,0)</f>
        <v>17.44</v>
      </c>
      <c r="BD276" s="9">
        <f>VLOOKUP(A276,Jogos!A:BN,62,0)</f>
        <v>649.8</v>
      </c>
      <c r="BE276" s="9">
        <f>VLOOKUP(A276,Jogos!A:BN,63,0)</f>
        <v>2.12</v>
      </c>
      <c r="BF276" s="9">
        <f>VLOOKUP(A276,Jogos!A:BN,64,0)</f>
        <v>15.76</v>
      </c>
      <c r="BG276" s="9">
        <f>VLOOKUP(A276,Jogos!A:BN,65,0)</f>
        <v>29.16</v>
      </c>
      <c r="BH276" s="9">
        <f>VLOOKUP(A276,Jogos!A:BN,66,0)</f>
        <v>18.88</v>
      </c>
      <c r="BI276" s="9"/>
    </row>
    <row r="277" hidden="1">
      <c r="A277" s="2">
        <v>10.0</v>
      </c>
      <c r="B277" s="11" t="s">
        <v>623</v>
      </c>
      <c r="C277" s="2" t="s">
        <v>61</v>
      </c>
      <c r="D277" s="3">
        <v>45825.0</v>
      </c>
      <c r="E277" s="4">
        <v>0.5</v>
      </c>
      <c r="F277" s="5" t="str">
        <f>VLOOKUP(A277,Jogos!A:N,10,0)</f>
        <v>Afternoon</v>
      </c>
      <c r="G277" s="2" t="s">
        <v>312</v>
      </c>
      <c r="H277" s="6" t="str">
        <f>VLOOKUP(A277,Jogos!A:L,12,0)</f>
        <v>Open</v>
      </c>
      <c r="I277" s="6" t="str">
        <f>VLOOKUP(G277,'Estádios e Cidades'!A:B,2,0)</f>
        <v>Seatte</v>
      </c>
      <c r="J277" s="2" t="s">
        <v>624</v>
      </c>
      <c r="K277" s="2" t="str">
        <f>VLOOKUP(J277,Equipes!A:F,6,0)</f>
        <v>Temperate</v>
      </c>
      <c r="L277" s="2">
        <f>VLOOKUP(J277,Equipes!A:C,3,0)</f>
        <v>19</v>
      </c>
      <c r="M277" s="2" t="str">
        <f t="shared" si="4"/>
        <v>Group</v>
      </c>
      <c r="N277" s="2" t="s">
        <v>625</v>
      </c>
      <c r="O277" s="2">
        <f>VLOOKUP(N277,Equipes!A:C,3,0)</f>
        <v>32</v>
      </c>
      <c r="P277" s="2" t="str">
        <f t="shared" si="5"/>
        <v>Group</v>
      </c>
      <c r="Q277" s="2">
        <f t="shared" si="6"/>
        <v>-13</v>
      </c>
      <c r="R277" s="2" t="str">
        <f>VLOOKUP(J277,Equipes!A:B,2,0)</f>
        <v>River</v>
      </c>
      <c r="S277" s="6" t="s">
        <v>642</v>
      </c>
      <c r="T277" s="7">
        <v>28.0</v>
      </c>
      <c r="U277" s="7" t="s">
        <v>643</v>
      </c>
      <c r="V277" s="7" t="str">
        <f>VLOOKUP(U277,Jogadores!B:C,2,0)</f>
        <v>DF</v>
      </c>
      <c r="W277" s="8">
        <f>VLOOKUP(U277,Jogadores!B:D,3,0)</f>
        <v>29.23561644</v>
      </c>
      <c r="X277" s="7">
        <v>0.0</v>
      </c>
      <c r="Y277" s="7">
        <f t="shared" ref="Y277:Y286" si="868">45+AB277</f>
        <v>95</v>
      </c>
      <c r="Z277" s="7">
        <f>VLOOKUP(A277,Jogos!A:L,3,0)</f>
        <v>47</v>
      </c>
      <c r="AA277" s="7">
        <f t="shared" si="7"/>
        <v>47</v>
      </c>
      <c r="AB277" s="7">
        <f>VLOOKUP(A277,Jogos!A:L,4,0)</f>
        <v>50</v>
      </c>
      <c r="AC277" s="7">
        <f t="shared" si="657"/>
        <v>50</v>
      </c>
      <c r="AD277" s="7"/>
      <c r="AE277" s="7"/>
      <c r="AF277" s="7">
        <f t="shared" si="9"/>
        <v>97</v>
      </c>
      <c r="AG277" s="7">
        <v>10587.4</v>
      </c>
      <c r="AH277" s="7">
        <v>3590.6</v>
      </c>
      <c r="AI277" s="7">
        <v>5150.2</v>
      </c>
      <c r="AJ277" s="7">
        <v>1273.6</v>
      </c>
      <c r="AK277" s="7">
        <v>436.1</v>
      </c>
      <c r="AL277" s="7">
        <v>136.9</v>
      </c>
      <c r="AM277" s="7">
        <v>119.0</v>
      </c>
      <c r="AN277" s="7">
        <v>39.0</v>
      </c>
      <c r="AO277" s="7">
        <v>30.3</v>
      </c>
      <c r="AP277" s="9">
        <f t="shared" ref="AP277:AR277" si="865">AG277/$AF277</f>
        <v>109.1484536</v>
      </c>
      <c r="AQ277" s="9">
        <f t="shared" si="865"/>
        <v>37.01649485</v>
      </c>
      <c r="AR277" s="9">
        <f t="shared" si="865"/>
        <v>53.09484536</v>
      </c>
      <c r="AS277" s="9">
        <f t="shared" si="11"/>
        <v>90.11134021</v>
      </c>
      <c r="AT277" s="9">
        <f t="shared" ref="AT277:AV277" si="866">AJ277/$AF277</f>
        <v>13.12989691</v>
      </c>
      <c r="AU277" s="9">
        <f t="shared" si="866"/>
        <v>4.495876289</v>
      </c>
      <c r="AV277" s="9">
        <f t="shared" si="866"/>
        <v>1.411340206</v>
      </c>
      <c r="AW277" s="9">
        <f t="shared" si="13"/>
        <v>5.907216495</v>
      </c>
      <c r="AX277" s="9">
        <f t="shared" ref="AX277:AY277" si="867">AM277/$AF277</f>
        <v>1.226804124</v>
      </c>
      <c r="AY277" s="9">
        <f t="shared" si="867"/>
        <v>0.4020618557</v>
      </c>
      <c r="AZ277" s="9">
        <f>VLOOKUP(A277,Jogos!A:BN,58,0)</f>
        <v>20.155</v>
      </c>
      <c r="BA277" s="9">
        <f>VLOOKUP(A277,Jogos!A:BN,59,0)</f>
        <v>7.314</v>
      </c>
      <c r="BB277" s="9">
        <f>VLOOKUP(A277,Jogos!A:BN,60,0)</f>
        <v>43</v>
      </c>
      <c r="BC277" s="9">
        <f>VLOOKUP(A277,Jogos!A:BN,61,0)</f>
        <v>17.44</v>
      </c>
      <c r="BD277" s="9">
        <f>VLOOKUP(A277,Jogos!A:BN,62,0)</f>
        <v>649.8</v>
      </c>
      <c r="BE277" s="9">
        <f>VLOOKUP(A277,Jogos!A:BN,63,0)</f>
        <v>2.12</v>
      </c>
      <c r="BF277" s="9">
        <f>VLOOKUP(A277,Jogos!A:BN,64,0)</f>
        <v>15.76</v>
      </c>
      <c r="BG277" s="9">
        <f>VLOOKUP(A277,Jogos!A:BN,65,0)</f>
        <v>29.16</v>
      </c>
      <c r="BH277" s="9">
        <f>VLOOKUP(A277,Jogos!A:BN,66,0)</f>
        <v>18.88</v>
      </c>
      <c r="BI277" s="9"/>
    </row>
    <row r="278" hidden="1">
      <c r="A278" s="2">
        <v>10.0</v>
      </c>
      <c r="B278" s="11" t="s">
        <v>623</v>
      </c>
      <c r="C278" s="2" t="s">
        <v>61</v>
      </c>
      <c r="D278" s="3">
        <v>45825.0</v>
      </c>
      <c r="E278" s="4">
        <v>0.5</v>
      </c>
      <c r="F278" s="5" t="str">
        <f>VLOOKUP(A278,Jogos!A:N,10,0)</f>
        <v>Afternoon</v>
      </c>
      <c r="G278" s="2" t="s">
        <v>312</v>
      </c>
      <c r="H278" s="6" t="str">
        <f>VLOOKUP(A278,Jogos!A:L,12,0)</f>
        <v>Open</v>
      </c>
      <c r="I278" s="6" t="str">
        <f>VLOOKUP(G278,'Estádios e Cidades'!A:B,2,0)</f>
        <v>Seatte</v>
      </c>
      <c r="J278" s="2" t="s">
        <v>624</v>
      </c>
      <c r="K278" s="2" t="str">
        <f>VLOOKUP(J278,Equipes!A:F,6,0)</f>
        <v>Temperate</v>
      </c>
      <c r="L278" s="2">
        <f>VLOOKUP(J278,Equipes!A:C,3,0)</f>
        <v>19</v>
      </c>
      <c r="M278" s="2" t="str">
        <f t="shared" si="4"/>
        <v>Group</v>
      </c>
      <c r="N278" s="2" t="s">
        <v>625</v>
      </c>
      <c r="O278" s="2">
        <f>VLOOKUP(N278,Equipes!A:C,3,0)</f>
        <v>32</v>
      </c>
      <c r="P278" s="2" t="str">
        <f t="shared" si="5"/>
        <v>Group</v>
      </c>
      <c r="Q278" s="2">
        <f t="shared" si="6"/>
        <v>-13</v>
      </c>
      <c r="R278" s="2" t="str">
        <f>VLOOKUP(J278,Equipes!A:B,2,0)</f>
        <v>River</v>
      </c>
      <c r="S278" s="6" t="s">
        <v>644</v>
      </c>
      <c r="T278" s="7">
        <v>30.0</v>
      </c>
      <c r="U278" s="7" t="s">
        <v>645</v>
      </c>
      <c r="V278" s="7" t="str">
        <f>VLOOKUP(U278,Jogadores!B:C,2,0)</f>
        <v>FW</v>
      </c>
      <c r="W278" s="8">
        <f>VLOOKUP(U278,Jogadores!B:D,3,0)</f>
        <v>17.96712329</v>
      </c>
      <c r="X278" s="7">
        <v>0.0</v>
      </c>
      <c r="Y278" s="7">
        <f t="shared" si="868"/>
        <v>95</v>
      </c>
      <c r="Z278" s="7">
        <f>VLOOKUP(A278,Jogos!A:L,3,0)</f>
        <v>47</v>
      </c>
      <c r="AA278" s="7">
        <f t="shared" si="7"/>
        <v>47</v>
      </c>
      <c r="AB278" s="7">
        <f>VLOOKUP(A278,Jogos!A:L,4,0)</f>
        <v>50</v>
      </c>
      <c r="AC278" s="7">
        <f t="shared" si="657"/>
        <v>50</v>
      </c>
      <c r="AD278" s="7"/>
      <c r="AE278" s="7"/>
      <c r="AF278" s="7">
        <f t="shared" si="9"/>
        <v>97</v>
      </c>
      <c r="AG278" s="7">
        <v>9493.2</v>
      </c>
      <c r="AH278" s="7">
        <v>4245.1</v>
      </c>
      <c r="AI278" s="7">
        <v>2809.2</v>
      </c>
      <c r="AJ278" s="7">
        <v>1477.4</v>
      </c>
      <c r="AK278" s="7">
        <v>662.8</v>
      </c>
      <c r="AL278" s="7">
        <v>298.8</v>
      </c>
      <c r="AM278" s="7">
        <v>121.0</v>
      </c>
      <c r="AN278" s="7">
        <v>60.0</v>
      </c>
      <c r="AO278" s="7">
        <v>32.6</v>
      </c>
      <c r="AP278" s="9">
        <f t="shared" ref="AP278:AR278" si="869">AG278/$AF278</f>
        <v>97.86804124</v>
      </c>
      <c r="AQ278" s="9">
        <f t="shared" si="869"/>
        <v>43.76391753</v>
      </c>
      <c r="AR278" s="9">
        <f t="shared" si="869"/>
        <v>28.96082474</v>
      </c>
      <c r="AS278" s="9">
        <f t="shared" si="11"/>
        <v>72.72474227</v>
      </c>
      <c r="AT278" s="9">
        <f t="shared" ref="AT278:AV278" si="870">AJ278/$AF278</f>
        <v>15.23092784</v>
      </c>
      <c r="AU278" s="9">
        <f t="shared" si="870"/>
        <v>6.832989691</v>
      </c>
      <c r="AV278" s="9">
        <f t="shared" si="870"/>
        <v>3.080412371</v>
      </c>
      <c r="AW278" s="9">
        <f t="shared" si="13"/>
        <v>9.913402062</v>
      </c>
      <c r="AX278" s="9">
        <f t="shared" ref="AX278:AY278" si="871">AM278/$AF278</f>
        <v>1.24742268</v>
      </c>
      <c r="AY278" s="9">
        <f t="shared" si="871"/>
        <v>0.618556701</v>
      </c>
      <c r="AZ278" s="9">
        <f>VLOOKUP(A278,Jogos!A:BN,58,0)</f>
        <v>20.155</v>
      </c>
      <c r="BA278" s="9">
        <f>VLOOKUP(A278,Jogos!A:BN,59,0)</f>
        <v>7.314</v>
      </c>
      <c r="BB278" s="9">
        <f>VLOOKUP(A278,Jogos!A:BN,60,0)</f>
        <v>43</v>
      </c>
      <c r="BC278" s="9">
        <f>VLOOKUP(A278,Jogos!A:BN,61,0)</f>
        <v>17.44</v>
      </c>
      <c r="BD278" s="9">
        <f>VLOOKUP(A278,Jogos!A:BN,62,0)</f>
        <v>649.8</v>
      </c>
      <c r="BE278" s="9">
        <f>VLOOKUP(A278,Jogos!A:BN,63,0)</f>
        <v>2.12</v>
      </c>
      <c r="BF278" s="9">
        <f>VLOOKUP(A278,Jogos!A:BN,64,0)</f>
        <v>15.76</v>
      </c>
      <c r="BG278" s="9">
        <f>VLOOKUP(A278,Jogos!A:BN,65,0)</f>
        <v>29.16</v>
      </c>
      <c r="BH278" s="9">
        <f>VLOOKUP(A278,Jogos!A:BN,66,0)</f>
        <v>18.88</v>
      </c>
      <c r="BI278" s="9"/>
    </row>
    <row r="279" hidden="1">
      <c r="A279" s="2">
        <v>10.0</v>
      </c>
      <c r="B279" s="11" t="s">
        <v>623</v>
      </c>
      <c r="C279" s="2" t="s">
        <v>61</v>
      </c>
      <c r="D279" s="3">
        <v>45825.0</v>
      </c>
      <c r="E279" s="4">
        <v>0.5</v>
      </c>
      <c r="F279" s="5" t="str">
        <f>VLOOKUP(A279,Jogos!A:N,10,0)</f>
        <v>Afternoon</v>
      </c>
      <c r="G279" s="2" t="s">
        <v>312</v>
      </c>
      <c r="H279" s="6" t="str">
        <f>VLOOKUP(A279,Jogos!A:L,12,0)</f>
        <v>Open</v>
      </c>
      <c r="I279" s="6" t="str">
        <f>VLOOKUP(G279,'Estádios e Cidades'!A:B,2,0)</f>
        <v>Seatte</v>
      </c>
      <c r="J279" s="2" t="s">
        <v>624</v>
      </c>
      <c r="K279" s="2" t="str">
        <f>VLOOKUP(J279,Equipes!A:F,6,0)</f>
        <v>Temperate</v>
      </c>
      <c r="L279" s="2">
        <f>VLOOKUP(J279,Equipes!A:C,3,0)</f>
        <v>19</v>
      </c>
      <c r="M279" s="2" t="str">
        <f t="shared" si="4"/>
        <v>Group</v>
      </c>
      <c r="N279" s="2" t="s">
        <v>625</v>
      </c>
      <c r="O279" s="2">
        <f>VLOOKUP(N279,Equipes!A:C,3,0)</f>
        <v>32</v>
      </c>
      <c r="P279" s="2" t="str">
        <f t="shared" si="5"/>
        <v>Group</v>
      </c>
      <c r="Q279" s="2">
        <f t="shared" si="6"/>
        <v>-13</v>
      </c>
      <c r="R279" s="2" t="str">
        <f>VLOOKUP(J279,Equipes!A:B,2,0)</f>
        <v>River</v>
      </c>
      <c r="S279" s="6" t="s">
        <v>646</v>
      </c>
      <c r="T279" s="7">
        <v>8.0</v>
      </c>
      <c r="U279" s="7" t="s">
        <v>647</v>
      </c>
      <c r="V279" s="7" t="str">
        <f>VLOOKUP(U279,Jogadores!B:C,2,0)</f>
        <v>MF</v>
      </c>
      <c r="W279" s="8">
        <f>VLOOKUP(U279,Jogadores!B:D,3,0)</f>
        <v>32.63835616</v>
      </c>
      <c r="X279" s="7">
        <v>45.0</v>
      </c>
      <c r="Y279" s="7">
        <f t="shared" si="868"/>
        <v>95</v>
      </c>
      <c r="Z279" s="7">
        <f>VLOOKUP(A279,Jogos!A:L,3,0)</f>
        <v>47</v>
      </c>
      <c r="AA279" s="7">
        <f t="shared" si="7"/>
        <v>0</v>
      </c>
      <c r="AB279" s="7">
        <f>VLOOKUP(A279,Jogos!A:L,4,0)</f>
        <v>50</v>
      </c>
      <c r="AC279" s="7">
        <f t="shared" si="657"/>
        <v>50</v>
      </c>
      <c r="AD279" s="7"/>
      <c r="AE279" s="7"/>
      <c r="AF279" s="7">
        <f t="shared" si="9"/>
        <v>50</v>
      </c>
      <c r="AG279" s="7">
        <v>5543.2</v>
      </c>
      <c r="AH279" s="7">
        <v>1846.1</v>
      </c>
      <c r="AI279" s="7">
        <v>2253.0</v>
      </c>
      <c r="AJ279" s="7">
        <v>963.6</v>
      </c>
      <c r="AK279" s="7">
        <v>416.4</v>
      </c>
      <c r="AL279" s="7">
        <v>64.2</v>
      </c>
      <c r="AM279" s="7">
        <v>96.0</v>
      </c>
      <c r="AN279" s="7">
        <v>27.0</v>
      </c>
      <c r="AO279" s="7">
        <v>28.7</v>
      </c>
      <c r="AP279" s="9">
        <f t="shared" ref="AP279:AR279" si="872">AG279/$AF279</f>
        <v>110.864</v>
      </c>
      <c r="AQ279" s="9">
        <f t="shared" si="872"/>
        <v>36.922</v>
      </c>
      <c r="AR279" s="9">
        <f t="shared" si="872"/>
        <v>45.06</v>
      </c>
      <c r="AS279" s="9">
        <f t="shared" si="11"/>
        <v>81.982</v>
      </c>
      <c r="AT279" s="9">
        <f t="shared" ref="AT279:AV279" si="873">AJ279/$AF279</f>
        <v>19.272</v>
      </c>
      <c r="AU279" s="9">
        <f t="shared" si="873"/>
        <v>8.328</v>
      </c>
      <c r="AV279" s="9">
        <f t="shared" si="873"/>
        <v>1.284</v>
      </c>
      <c r="AW279" s="9">
        <f t="shared" si="13"/>
        <v>9.612</v>
      </c>
      <c r="AX279" s="9">
        <f t="shared" ref="AX279:AY279" si="874">AM279/$AF279</f>
        <v>1.92</v>
      </c>
      <c r="AY279" s="9">
        <f t="shared" si="874"/>
        <v>0.54</v>
      </c>
      <c r="AZ279" s="9">
        <f>VLOOKUP(A279,Jogos!A:BN,58,0)</f>
        <v>20.155</v>
      </c>
      <c r="BA279" s="9">
        <f>VLOOKUP(A279,Jogos!A:BN,59,0)</f>
        <v>7.314</v>
      </c>
      <c r="BB279" s="9">
        <f>VLOOKUP(A279,Jogos!A:BN,60,0)</f>
        <v>43</v>
      </c>
      <c r="BC279" s="9">
        <f>VLOOKUP(A279,Jogos!A:BN,61,0)</f>
        <v>17.44</v>
      </c>
      <c r="BD279" s="9">
        <f>VLOOKUP(A279,Jogos!A:BN,62,0)</f>
        <v>649.8</v>
      </c>
      <c r="BE279" s="9">
        <f>VLOOKUP(A279,Jogos!A:BN,63,0)</f>
        <v>2.12</v>
      </c>
      <c r="BF279" s="9">
        <f>VLOOKUP(A279,Jogos!A:BN,64,0)</f>
        <v>15.76</v>
      </c>
      <c r="BG279" s="9">
        <f>VLOOKUP(A279,Jogos!A:BN,65,0)</f>
        <v>29.16</v>
      </c>
      <c r="BH279" s="9">
        <f>VLOOKUP(A279,Jogos!A:BN,66,0)</f>
        <v>18.88</v>
      </c>
      <c r="BI279" s="9"/>
    </row>
    <row r="280" hidden="1">
      <c r="A280" s="2">
        <v>10.0</v>
      </c>
      <c r="B280" s="11" t="s">
        <v>623</v>
      </c>
      <c r="C280" s="2" t="s">
        <v>61</v>
      </c>
      <c r="D280" s="3">
        <v>45825.0</v>
      </c>
      <c r="E280" s="4">
        <v>0.5</v>
      </c>
      <c r="F280" s="5" t="str">
        <f>VLOOKUP(A280,Jogos!A:N,10,0)</f>
        <v>Afternoon</v>
      </c>
      <c r="G280" s="2" t="s">
        <v>312</v>
      </c>
      <c r="H280" s="6" t="str">
        <f>VLOOKUP(A280,Jogos!A:L,12,0)</f>
        <v>Open</v>
      </c>
      <c r="I280" s="6" t="str">
        <f>VLOOKUP(G280,'Estádios e Cidades'!A:B,2,0)</f>
        <v>Seatte</v>
      </c>
      <c r="J280" s="2" t="s">
        <v>624</v>
      </c>
      <c r="K280" s="2" t="str">
        <f>VLOOKUP(J280,Equipes!A:F,6,0)</f>
        <v>Temperate</v>
      </c>
      <c r="L280" s="2">
        <f>VLOOKUP(J280,Equipes!A:C,3,0)</f>
        <v>19</v>
      </c>
      <c r="M280" s="2" t="str">
        <f t="shared" si="4"/>
        <v>Group</v>
      </c>
      <c r="N280" s="2" t="s">
        <v>625</v>
      </c>
      <c r="O280" s="2">
        <f>VLOOKUP(N280,Equipes!A:C,3,0)</f>
        <v>32</v>
      </c>
      <c r="P280" s="2" t="str">
        <f t="shared" si="5"/>
        <v>Group</v>
      </c>
      <c r="Q280" s="2">
        <f t="shared" si="6"/>
        <v>-13</v>
      </c>
      <c r="R280" s="2" t="str">
        <f>VLOOKUP(J280,Equipes!A:B,2,0)</f>
        <v>River</v>
      </c>
      <c r="S280" s="6" t="s">
        <v>648</v>
      </c>
      <c r="T280" s="7">
        <v>9.0</v>
      </c>
      <c r="U280" s="7" t="s">
        <v>649</v>
      </c>
      <c r="V280" s="7" t="str">
        <f>VLOOKUP(U280,Jogadores!B:C,2,0)</f>
        <v>FW</v>
      </c>
      <c r="W280" s="8">
        <f>VLOOKUP(U280,Jogadores!B:D,3,0)</f>
        <v>32.52328767</v>
      </c>
      <c r="X280" s="7">
        <v>51.0</v>
      </c>
      <c r="Y280" s="7">
        <f t="shared" si="868"/>
        <v>95</v>
      </c>
      <c r="Z280" s="7">
        <f>VLOOKUP(A280,Jogos!A:L,3,0)</f>
        <v>47</v>
      </c>
      <c r="AA280" s="7">
        <f t="shared" si="7"/>
        <v>0</v>
      </c>
      <c r="AB280" s="7">
        <f>VLOOKUP(A280,Jogos!A:L,4,0)</f>
        <v>50</v>
      </c>
      <c r="AC280" s="7">
        <f t="shared" si="657"/>
        <v>44</v>
      </c>
      <c r="AD280" s="7"/>
      <c r="AE280" s="7"/>
      <c r="AF280" s="7">
        <f t="shared" si="9"/>
        <v>44</v>
      </c>
      <c r="AG280" s="7">
        <v>4380.3</v>
      </c>
      <c r="AH280" s="7">
        <v>1767.8</v>
      </c>
      <c r="AI280" s="7">
        <v>1733.7</v>
      </c>
      <c r="AJ280" s="7">
        <v>507.1</v>
      </c>
      <c r="AK280" s="7">
        <v>259.8</v>
      </c>
      <c r="AL280" s="7">
        <v>111.8</v>
      </c>
      <c r="AM280" s="7">
        <v>52.0</v>
      </c>
      <c r="AN280" s="7">
        <v>20.0</v>
      </c>
      <c r="AO280" s="7">
        <v>32.3</v>
      </c>
      <c r="AP280" s="9">
        <f t="shared" ref="AP280:AR280" si="875">AG280/$AF280</f>
        <v>99.55227273</v>
      </c>
      <c r="AQ280" s="9">
        <f t="shared" si="875"/>
        <v>40.17727273</v>
      </c>
      <c r="AR280" s="9">
        <f t="shared" si="875"/>
        <v>39.40227273</v>
      </c>
      <c r="AS280" s="9">
        <f t="shared" si="11"/>
        <v>79.57954545</v>
      </c>
      <c r="AT280" s="9">
        <f t="shared" ref="AT280:AV280" si="876">AJ280/$AF280</f>
        <v>11.525</v>
      </c>
      <c r="AU280" s="9">
        <f t="shared" si="876"/>
        <v>5.904545455</v>
      </c>
      <c r="AV280" s="9">
        <f t="shared" si="876"/>
        <v>2.540909091</v>
      </c>
      <c r="AW280" s="9">
        <f t="shared" si="13"/>
        <v>8.445454545</v>
      </c>
      <c r="AX280" s="9">
        <f t="shared" ref="AX280:AY280" si="877">AM280/$AF280</f>
        <v>1.181818182</v>
      </c>
      <c r="AY280" s="9">
        <f t="shared" si="877"/>
        <v>0.4545454545</v>
      </c>
      <c r="AZ280" s="9">
        <f>VLOOKUP(A280,Jogos!A:BN,58,0)</f>
        <v>20.155</v>
      </c>
      <c r="BA280" s="9">
        <f>VLOOKUP(A280,Jogos!A:BN,59,0)</f>
        <v>7.314</v>
      </c>
      <c r="BB280" s="9">
        <f>VLOOKUP(A280,Jogos!A:BN,60,0)</f>
        <v>43</v>
      </c>
      <c r="BC280" s="9">
        <f>VLOOKUP(A280,Jogos!A:BN,61,0)</f>
        <v>17.44</v>
      </c>
      <c r="BD280" s="9">
        <f>VLOOKUP(A280,Jogos!A:BN,62,0)</f>
        <v>649.8</v>
      </c>
      <c r="BE280" s="9">
        <f>VLOOKUP(A280,Jogos!A:BN,63,0)</f>
        <v>2.12</v>
      </c>
      <c r="BF280" s="9">
        <f>VLOOKUP(A280,Jogos!A:BN,64,0)</f>
        <v>15.76</v>
      </c>
      <c r="BG280" s="9">
        <f>VLOOKUP(A280,Jogos!A:BN,65,0)</f>
        <v>29.16</v>
      </c>
      <c r="BH280" s="9">
        <f>VLOOKUP(A280,Jogos!A:BN,66,0)</f>
        <v>18.88</v>
      </c>
      <c r="BI280" s="9"/>
    </row>
    <row r="281" hidden="1">
      <c r="A281" s="2">
        <v>10.0</v>
      </c>
      <c r="B281" s="11" t="s">
        <v>623</v>
      </c>
      <c r="C281" s="2" t="s">
        <v>61</v>
      </c>
      <c r="D281" s="3">
        <v>45825.0</v>
      </c>
      <c r="E281" s="4">
        <v>0.5</v>
      </c>
      <c r="F281" s="5" t="str">
        <f>VLOOKUP(A281,Jogos!A:N,10,0)</f>
        <v>Afternoon</v>
      </c>
      <c r="G281" s="2" t="s">
        <v>312</v>
      </c>
      <c r="H281" s="6" t="str">
        <f>VLOOKUP(A281,Jogos!A:L,12,0)</f>
        <v>Open</v>
      </c>
      <c r="I281" s="6" t="str">
        <f>VLOOKUP(G281,'Estádios e Cidades'!A:B,2,0)</f>
        <v>Seatte</v>
      </c>
      <c r="J281" s="2" t="s">
        <v>624</v>
      </c>
      <c r="K281" s="2" t="str">
        <f>VLOOKUP(J281,Equipes!A:F,6,0)</f>
        <v>Temperate</v>
      </c>
      <c r="L281" s="2">
        <f>VLOOKUP(J281,Equipes!A:C,3,0)</f>
        <v>19</v>
      </c>
      <c r="M281" s="2" t="str">
        <f t="shared" si="4"/>
        <v>Group</v>
      </c>
      <c r="N281" s="2" t="s">
        <v>625</v>
      </c>
      <c r="O281" s="2">
        <f>VLOOKUP(N281,Equipes!A:C,3,0)</f>
        <v>32</v>
      </c>
      <c r="P281" s="2" t="str">
        <f t="shared" si="5"/>
        <v>Group</v>
      </c>
      <c r="Q281" s="2">
        <f t="shared" si="6"/>
        <v>-13</v>
      </c>
      <c r="R281" s="2" t="str">
        <f>VLOOKUP(J281,Equipes!A:B,2,0)</f>
        <v>River</v>
      </c>
      <c r="S281" s="6" t="s">
        <v>650</v>
      </c>
      <c r="T281" s="7">
        <v>18.0</v>
      </c>
      <c r="U281" s="7" t="s">
        <v>651</v>
      </c>
      <c r="V281" s="7" t="str">
        <f>VLOOKUP(U281,Jogadores!B:C,2,0)</f>
        <v>MF</v>
      </c>
      <c r="W281" s="8">
        <f>VLOOKUP(U281,Jogadores!B:D,3,0)</f>
        <v>32.14520548</v>
      </c>
      <c r="X281" s="7">
        <v>75.0</v>
      </c>
      <c r="Y281" s="7">
        <f t="shared" si="868"/>
        <v>95</v>
      </c>
      <c r="Z281" s="7">
        <f>VLOOKUP(A281,Jogos!A:L,3,0)</f>
        <v>47</v>
      </c>
      <c r="AA281" s="7">
        <f t="shared" si="7"/>
        <v>0</v>
      </c>
      <c r="AB281" s="7">
        <f>VLOOKUP(A281,Jogos!A:L,4,0)</f>
        <v>50</v>
      </c>
      <c r="AC281" s="7">
        <f t="shared" si="657"/>
        <v>20</v>
      </c>
      <c r="AD281" s="7"/>
      <c r="AE281" s="7"/>
      <c r="AF281" s="7">
        <f t="shared" si="9"/>
        <v>20</v>
      </c>
      <c r="AG281" s="7">
        <v>2400.9</v>
      </c>
      <c r="AH281" s="7">
        <v>778.3</v>
      </c>
      <c r="AI281" s="7">
        <v>1055.7</v>
      </c>
      <c r="AJ281" s="7">
        <v>314.8</v>
      </c>
      <c r="AK281" s="7">
        <v>196.0</v>
      </c>
      <c r="AL281" s="7">
        <v>56.2</v>
      </c>
      <c r="AM281" s="7">
        <v>27.0</v>
      </c>
      <c r="AN281" s="7">
        <v>16.0</v>
      </c>
      <c r="AO281" s="7">
        <v>30.0</v>
      </c>
      <c r="AP281" s="9">
        <f t="shared" ref="AP281:AR281" si="878">AG281/$AF281</f>
        <v>120.045</v>
      </c>
      <c r="AQ281" s="9">
        <f t="shared" si="878"/>
        <v>38.915</v>
      </c>
      <c r="AR281" s="9">
        <f t="shared" si="878"/>
        <v>52.785</v>
      </c>
      <c r="AS281" s="9">
        <f t="shared" si="11"/>
        <v>91.7</v>
      </c>
      <c r="AT281" s="9">
        <f t="shared" ref="AT281:AV281" si="879">AJ281/$AF281</f>
        <v>15.74</v>
      </c>
      <c r="AU281" s="9">
        <f t="shared" si="879"/>
        <v>9.8</v>
      </c>
      <c r="AV281" s="9">
        <f t="shared" si="879"/>
        <v>2.81</v>
      </c>
      <c r="AW281" s="9">
        <f t="shared" si="13"/>
        <v>12.61</v>
      </c>
      <c r="AX281" s="9">
        <f t="shared" ref="AX281:AY281" si="880">AM281/$AF281</f>
        <v>1.35</v>
      </c>
      <c r="AY281" s="9">
        <f t="shared" si="880"/>
        <v>0.8</v>
      </c>
      <c r="AZ281" s="9">
        <f>VLOOKUP(A281,Jogos!A:BN,58,0)</f>
        <v>20.155</v>
      </c>
      <c r="BA281" s="9">
        <f>VLOOKUP(A281,Jogos!A:BN,59,0)</f>
        <v>7.314</v>
      </c>
      <c r="BB281" s="9">
        <f>VLOOKUP(A281,Jogos!A:BN,60,0)</f>
        <v>43</v>
      </c>
      <c r="BC281" s="9">
        <f>VLOOKUP(A281,Jogos!A:BN,61,0)</f>
        <v>17.44</v>
      </c>
      <c r="BD281" s="9">
        <f>VLOOKUP(A281,Jogos!A:BN,62,0)</f>
        <v>649.8</v>
      </c>
      <c r="BE281" s="9">
        <f>VLOOKUP(A281,Jogos!A:BN,63,0)</f>
        <v>2.12</v>
      </c>
      <c r="BF281" s="9">
        <f>VLOOKUP(A281,Jogos!A:BN,64,0)</f>
        <v>15.76</v>
      </c>
      <c r="BG281" s="9">
        <f>VLOOKUP(A281,Jogos!A:BN,65,0)</f>
        <v>29.16</v>
      </c>
      <c r="BH281" s="9">
        <f>VLOOKUP(A281,Jogos!A:BN,66,0)</f>
        <v>18.88</v>
      </c>
      <c r="BI281" s="9"/>
    </row>
    <row r="282" hidden="1">
      <c r="A282" s="2">
        <v>10.0</v>
      </c>
      <c r="B282" s="11" t="s">
        <v>623</v>
      </c>
      <c r="C282" s="2" t="s">
        <v>61</v>
      </c>
      <c r="D282" s="3">
        <v>45825.0</v>
      </c>
      <c r="E282" s="4">
        <v>0.5</v>
      </c>
      <c r="F282" s="5" t="str">
        <f>VLOOKUP(A282,Jogos!A:N,10,0)</f>
        <v>Afternoon</v>
      </c>
      <c r="G282" s="2" t="s">
        <v>312</v>
      </c>
      <c r="H282" s="6" t="str">
        <f>VLOOKUP(A282,Jogos!A:L,12,0)</f>
        <v>Open</v>
      </c>
      <c r="I282" s="6" t="str">
        <f>VLOOKUP(G282,'Estádios e Cidades'!A:B,2,0)</f>
        <v>Seatte</v>
      </c>
      <c r="J282" s="2" t="s">
        <v>624</v>
      </c>
      <c r="K282" s="2" t="str">
        <f>VLOOKUP(J282,Equipes!A:F,6,0)</f>
        <v>Temperate</v>
      </c>
      <c r="L282" s="2">
        <f>VLOOKUP(J282,Equipes!A:C,3,0)</f>
        <v>19</v>
      </c>
      <c r="M282" s="2" t="str">
        <f t="shared" si="4"/>
        <v>Group</v>
      </c>
      <c r="N282" s="2" t="s">
        <v>625</v>
      </c>
      <c r="O282" s="2">
        <f>VLOOKUP(N282,Equipes!A:C,3,0)</f>
        <v>32</v>
      </c>
      <c r="P282" s="2" t="str">
        <f t="shared" si="5"/>
        <v>Group</v>
      </c>
      <c r="Q282" s="2">
        <f t="shared" si="6"/>
        <v>-13</v>
      </c>
      <c r="R282" s="2" t="str">
        <f>VLOOKUP(J282,Equipes!A:B,2,0)</f>
        <v>River</v>
      </c>
      <c r="S282" s="6" t="s">
        <v>652</v>
      </c>
      <c r="T282" s="7">
        <v>20.0</v>
      </c>
      <c r="U282" s="7" t="s">
        <v>653</v>
      </c>
      <c r="V282" s="7" t="str">
        <f>VLOOKUP(U282,Jogadores!B:C,2,0)</f>
        <v>DF</v>
      </c>
      <c r="W282" s="8">
        <f>VLOOKUP(U282,Jogadores!B:D,3,0)</f>
        <v>37.32054795</v>
      </c>
      <c r="X282" s="7">
        <v>89.0</v>
      </c>
      <c r="Y282" s="7">
        <f t="shared" si="868"/>
        <v>95</v>
      </c>
      <c r="Z282" s="7">
        <f>VLOOKUP(A282,Jogos!A:L,3,0)</f>
        <v>47</v>
      </c>
      <c r="AA282" s="7">
        <f t="shared" si="7"/>
        <v>0</v>
      </c>
      <c r="AB282" s="7">
        <f>VLOOKUP(A282,Jogos!A:L,4,0)</f>
        <v>50</v>
      </c>
      <c r="AC282" s="7">
        <f t="shared" si="657"/>
        <v>6</v>
      </c>
      <c r="AD282" s="7"/>
      <c r="AE282" s="7"/>
      <c r="AF282" s="7">
        <f t="shared" si="9"/>
        <v>6</v>
      </c>
      <c r="AG282" s="7">
        <v>912.3</v>
      </c>
      <c r="AH282" s="7">
        <v>206.3</v>
      </c>
      <c r="AI282" s="7">
        <v>563.6</v>
      </c>
      <c r="AJ282" s="7">
        <v>110.4</v>
      </c>
      <c r="AK282" s="7">
        <v>32.0</v>
      </c>
      <c r="AL282" s="7">
        <v>11.0</v>
      </c>
      <c r="AM282" s="7">
        <v>3.0</v>
      </c>
      <c r="AN282" s="7">
        <v>24.1</v>
      </c>
      <c r="AO282" s="7"/>
      <c r="AP282" s="9">
        <f t="shared" ref="AP282:AR282" si="881">AG282/$AF282</f>
        <v>152.05</v>
      </c>
      <c r="AQ282" s="9">
        <f t="shared" si="881"/>
        <v>34.38333333</v>
      </c>
      <c r="AR282" s="9">
        <f t="shared" si="881"/>
        <v>93.93333333</v>
      </c>
      <c r="AS282" s="9">
        <f t="shared" si="11"/>
        <v>128.3166667</v>
      </c>
      <c r="AT282" s="9">
        <f t="shared" ref="AT282:AV282" si="882">AJ282/$AF282</f>
        <v>18.4</v>
      </c>
      <c r="AU282" s="9">
        <f t="shared" si="882"/>
        <v>5.333333333</v>
      </c>
      <c r="AV282" s="9">
        <f t="shared" si="882"/>
        <v>1.833333333</v>
      </c>
      <c r="AW282" s="9">
        <f t="shared" si="13"/>
        <v>7.166666667</v>
      </c>
      <c r="AX282" s="9">
        <f t="shared" ref="AX282:AY282" si="883">AM282/$AF282</f>
        <v>0.5</v>
      </c>
      <c r="AY282" s="9">
        <f t="shared" si="883"/>
        <v>4.016666667</v>
      </c>
      <c r="AZ282" s="9">
        <f>VLOOKUP(A282,Jogos!A:BN,58,0)</f>
        <v>20.155</v>
      </c>
      <c r="BA282" s="9">
        <f>VLOOKUP(A282,Jogos!A:BN,59,0)</f>
        <v>7.314</v>
      </c>
      <c r="BB282" s="9">
        <f>VLOOKUP(A282,Jogos!A:BN,60,0)</f>
        <v>43</v>
      </c>
      <c r="BC282" s="9">
        <f>VLOOKUP(A282,Jogos!A:BN,61,0)</f>
        <v>17.44</v>
      </c>
      <c r="BD282" s="9">
        <f>VLOOKUP(A282,Jogos!A:BN,62,0)</f>
        <v>649.8</v>
      </c>
      <c r="BE282" s="9">
        <f>VLOOKUP(A282,Jogos!A:BN,63,0)</f>
        <v>2.12</v>
      </c>
      <c r="BF282" s="9">
        <f>VLOOKUP(A282,Jogos!A:BN,64,0)</f>
        <v>15.76</v>
      </c>
      <c r="BG282" s="9">
        <f>VLOOKUP(A282,Jogos!A:BN,65,0)</f>
        <v>29.16</v>
      </c>
      <c r="BH282" s="9">
        <f>VLOOKUP(A282,Jogos!A:BN,66,0)</f>
        <v>18.88</v>
      </c>
      <c r="BI282" s="9"/>
    </row>
    <row r="283" hidden="1">
      <c r="A283" s="2">
        <v>10.0</v>
      </c>
      <c r="B283" s="11" t="s">
        <v>623</v>
      </c>
      <c r="C283" s="2" t="s">
        <v>61</v>
      </c>
      <c r="D283" s="3">
        <v>45825.0</v>
      </c>
      <c r="E283" s="4">
        <v>0.5</v>
      </c>
      <c r="F283" s="5" t="str">
        <f>VLOOKUP(A283,Jogos!A:N,10,0)</f>
        <v>Afternoon</v>
      </c>
      <c r="G283" s="2" t="s">
        <v>312</v>
      </c>
      <c r="H283" s="6" t="str">
        <f>VLOOKUP(A283,Jogos!A:L,12,0)</f>
        <v>Open</v>
      </c>
      <c r="I283" s="6" t="str">
        <f>VLOOKUP(G283,'Estádios e Cidades'!A:B,2,0)</f>
        <v>Seatte</v>
      </c>
      <c r="J283" s="2" t="s">
        <v>624</v>
      </c>
      <c r="K283" s="2" t="str">
        <f>VLOOKUP(J283,Equipes!A:F,6,0)</f>
        <v>Temperate</v>
      </c>
      <c r="L283" s="2">
        <f>VLOOKUP(J283,Equipes!A:C,3,0)</f>
        <v>19</v>
      </c>
      <c r="M283" s="2" t="str">
        <f t="shared" si="4"/>
        <v>Group</v>
      </c>
      <c r="N283" s="2" t="s">
        <v>625</v>
      </c>
      <c r="O283" s="2">
        <f>VLOOKUP(N283,Equipes!A:C,3,0)</f>
        <v>32</v>
      </c>
      <c r="P283" s="2" t="str">
        <f t="shared" si="5"/>
        <v>Group</v>
      </c>
      <c r="Q283" s="2">
        <f t="shared" si="6"/>
        <v>-13</v>
      </c>
      <c r="R283" s="2" t="str">
        <f>VLOOKUP(J283,Equipes!A:B,2,0)</f>
        <v>River</v>
      </c>
      <c r="S283" s="6" t="s">
        <v>654</v>
      </c>
      <c r="T283" s="7">
        <v>34.0</v>
      </c>
      <c r="U283" s="7" t="s">
        <v>655</v>
      </c>
      <c r="V283" s="7" t="str">
        <f>VLOOKUP(U283,Jogadores!B:C,2,0)</f>
        <v>MF</v>
      </c>
      <c r="W283" s="8">
        <f>VLOOKUP(U283,Jogadores!B:D,3,0)</f>
        <v>26.12876712</v>
      </c>
      <c r="X283" s="7">
        <v>45.0</v>
      </c>
      <c r="Y283" s="7">
        <f t="shared" si="868"/>
        <v>95</v>
      </c>
      <c r="Z283" s="7">
        <f>VLOOKUP(A283,Jogos!A:L,3,0)</f>
        <v>47</v>
      </c>
      <c r="AA283" s="7">
        <f t="shared" si="7"/>
        <v>0</v>
      </c>
      <c r="AB283" s="7">
        <f>VLOOKUP(A283,Jogos!A:L,4,0)</f>
        <v>50</v>
      </c>
      <c r="AC283" s="7">
        <f t="shared" si="657"/>
        <v>50</v>
      </c>
      <c r="AD283" s="7"/>
      <c r="AE283" s="7"/>
      <c r="AF283" s="7">
        <f t="shared" si="9"/>
        <v>50</v>
      </c>
      <c r="AG283" s="7">
        <v>5791.5</v>
      </c>
      <c r="AH283" s="7">
        <v>1693.7</v>
      </c>
      <c r="AI283" s="7">
        <v>2537.7</v>
      </c>
      <c r="AJ283" s="7">
        <v>941.2</v>
      </c>
      <c r="AK283" s="7">
        <v>506.6</v>
      </c>
      <c r="AL283" s="7">
        <v>112.3</v>
      </c>
      <c r="AM283" s="7">
        <v>86.0</v>
      </c>
      <c r="AN283" s="7">
        <v>42.0</v>
      </c>
      <c r="AO283" s="7">
        <v>29.8</v>
      </c>
      <c r="AP283" s="9">
        <f t="shared" ref="AP283:AR283" si="884">AG283/$AF283</f>
        <v>115.83</v>
      </c>
      <c r="AQ283" s="9">
        <f t="shared" si="884"/>
        <v>33.874</v>
      </c>
      <c r="AR283" s="9">
        <f t="shared" si="884"/>
        <v>50.754</v>
      </c>
      <c r="AS283" s="9">
        <f t="shared" si="11"/>
        <v>84.628</v>
      </c>
      <c r="AT283" s="9">
        <f t="shared" ref="AT283:AV283" si="885">AJ283/$AF283</f>
        <v>18.824</v>
      </c>
      <c r="AU283" s="9">
        <f t="shared" si="885"/>
        <v>10.132</v>
      </c>
      <c r="AV283" s="9">
        <f t="shared" si="885"/>
        <v>2.246</v>
      </c>
      <c r="AW283" s="9">
        <f t="shared" si="13"/>
        <v>12.378</v>
      </c>
      <c r="AX283" s="9">
        <f t="shared" ref="AX283:AY283" si="886">AM283/$AF283</f>
        <v>1.72</v>
      </c>
      <c r="AY283" s="9">
        <f t="shared" si="886"/>
        <v>0.84</v>
      </c>
      <c r="AZ283" s="9">
        <f>VLOOKUP(A283,Jogos!A:BN,58,0)</f>
        <v>20.155</v>
      </c>
      <c r="BA283" s="9">
        <f>VLOOKUP(A283,Jogos!A:BN,59,0)</f>
        <v>7.314</v>
      </c>
      <c r="BB283" s="9">
        <f>VLOOKUP(A283,Jogos!A:BN,60,0)</f>
        <v>43</v>
      </c>
      <c r="BC283" s="9">
        <f>VLOOKUP(A283,Jogos!A:BN,61,0)</f>
        <v>17.44</v>
      </c>
      <c r="BD283" s="9">
        <f>VLOOKUP(A283,Jogos!A:BN,62,0)</f>
        <v>649.8</v>
      </c>
      <c r="BE283" s="9">
        <f>VLOOKUP(A283,Jogos!A:BN,63,0)</f>
        <v>2.12</v>
      </c>
      <c r="BF283" s="9">
        <f>VLOOKUP(A283,Jogos!A:BN,64,0)</f>
        <v>15.76</v>
      </c>
      <c r="BG283" s="9">
        <f>VLOOKUP(A283,Jogos!A:BN,65,0)</f>
        <v>29.16</v>
      </c>
      <c r="BH283" s="9">
        <f>VLOOKUP(A283,Jogos!A:BN,66,0)</f>
        <v>18.88</v>
      </c>
      <c r="BI283" s="9"/>
    </row>
    <row r="284" hidden="1">
      <c r="A284" s="10">
        <v>10.0</v>
      </c>
      <c r="B284" s="11" t="s">
        <v>623</v>
      </c>
      <c r="C284" s="2" t="s">
        <v>61</v>
      </c>
      <c r="D284" s="12">
        <v>45825.0</v>
      </c>
      <c r="E284" s="13">
        <v>0.5</v>
      </c>
      <c r="F284" s="5" t="str">
        <f>VLOOKUP(A284,Jogos!A:N,10,0)</f>
        <v>Afternoon</v>
      </c>
      <c r="G284" s="11" t="s">
        <v>312</v>
      </c>
      <c r="H284" s="6" t="str">
        <f>VLOOKUP(A284,Jogos!A:L,12,0)</f>
        <v>Open</v>
      </c>
      <c r="I284" s="6" t="str">
        <f>VLOOKUP(G284,'Estádios e Cidades'!A:B,2,0)</f>
        <v>Seatte</v>
      </c>
      <c r="J284" s="11" t="s">
        <v>625</v>
      </c>
      <c r="K284" s="2" t="str">
        <f>VLOOKUP(J284,Equipes!A:F,6,0)</f>
        <v>Temperate</v>
      </c>
      <c r="L284" s="2">
        <f>VLOOKUP(J284,Equipes!A:C,3,0)</f>
        <v>32</v>
      </c>
      <c r="M284" s="2" t="str">
        <f t="shared" si="4"/>
        <v>Group</v>
      </c>
      <c r="N284" s="11" t="s">
        <v>624</v>
      </c>
      <c r="O284" s="2">
        <f>VLOOKUP(N284,Equipes!A:C,3,0)</f>
        <v>19</v>
      </c>
      <c r="P284" s="2" t="str">
        <f t="shared" si="5"/>
        <v>Group</v>
      </c>
      <c r="Q284" s="2">
        <f t="shared" si="6"/>
        <v>13</v>
      </c>
      <c r="R284" s="2" t="str">
        <f>VLOOKUP(J284,Equipes!A:B,2,0)</f>
        <v>Urawa</v>
      </c>
      <c r="S284" s="14" t="s">
        <v>656</v>
      </c>
      <c r="T284" s="7">
        <v>3.0</v>
      </c>
      <c r="U284" s="7" t="s">
        <v>657</v>
      </c>
      <c r="V284" s="7" t="str">
        <f>VLOOKUP(U284,Jogadores!B:C,2,0)</f>
        <v>DF</v>
      </c>
      <c r="W284" s="8">
        <f>VLOOKUP(U284,Jogadores!B:D,3,0)</f>
        <v>27.24657534</v>
      </c>
      <c r="X284" s="7">
        <v>0.0</v>
      </c>
      <c r="Y284" s="7">
        <f t="shared" si="868"/>
        <v>95</v>
      </c>
      <c r="Z284" s="7">
        <f>VLOOKUP(A284,Jogos!A:L,3,0)</f>
        <v>47</v>
      </c>
      <c r="AA284" s="7">
        <f t="shared" si="7"/>
        <v>47</v>
      </c>
      <c r="AB284" s="7">
        <f>VLOOKUP(A284,Jogos!A:L,4,0)</f>
        <v>50</v>
      </c>
      <c r="AC284" s="7">
        <f t="shared" si="657"/>
        <v>50</v>
      </c>
      <c r="AD284" s="7"/>
      <c r="AE284" s="7"/>
      <c r="AF284" s="7">
        <f t="shared" si="9"/>
        <v>97</v>
      </c>
      <c r="AG284" s="7">
        <v>10662.1</v>
      </c>
      <c r="AH284" s="7">
        <v>4027.9</v>
      </c>
      <c r="AI284" s="7">
        <v>4585.8</v>
      </c>
      <c r="AJ284" s="7">
        <v>1416.7</v>
      </c>
      <c r="AK284" s="7">
        <v>516.5</v>
      </c>
      <c r="AL284" s="7">
        <v>115.2</v>
      </c>
      <c r="AM284" s="7">
        <v>119.0</v>
      </c>
      <c r="AN284" s="7">
        <v>43.0</v>
      </c>
      <c r="AO284" s="7">
        <v>32.2</v>
      </c>
      <c r="AP284" s="9">
        <f t="shared" ref="AP284:AR284" si="887">AG284/$AF284</f>
        <v>109.9185567</v>
      </c>
      <c r="AQ284" s="9">
        <f t="shared" si="887"/>
        <v>41.52474227</v>
      </c>
      <c r="AR284" s="9">
        <f t="shared" si="887"/>
        <v>47.27628866</v>
      </c>
      <c r="AS284" s="9">
        <f t="shared" si="11"/>
        <v>88.80103093</v>
      </c>
      <c r="AT284" s="9">
        <f t="shared" ref="AT284:AV284" si="888">AJ284/$AF284</f>
        <v>14.60515464</v>
      </c>
      <c r="AU284" s="9">
        <f t="shared" si="888"/>
        <v>5.324742268</v>
      </c>
      <c r="AV284" s="9">
        <f t="shared" si="888"/>
        <v>1.187628866</v>
      </c>
      <c r="AW284" s="9">
        <f t="shared" si="13"/>
        <v>6.512371134</v>
      </c>
      <c r="AX284" s="9">
        <f t="shared" ref="AX284:AY284" si="889">AM284/$AF284</f>
        <v>1.226804124</v>
      </c>
      <c r="AY284" s="9">
        <f t="shared" si="889"/>
        <v>0.4432989691</v>
      </c>
      <c r="AZ284" s="9">
        <f>VLOOKUP(A284,Jogos!A:BN,58,0)</f>
        <v>20.155</v>
      </c>
      <c r="BA284" s="9">
        <f>VLOOKUP(A284,Jogos!A:BN,59,0)</f>
        <v>7.314</v>
      </c>
      <c r="BB284" s="9">
        <f>VLOOKUP(A284,Jogos!A:BN,60,0)</f>
        <v>43</v>
      </c>
      <c r="BC284" s="9">
        <f>VLOOKUP(A284,Jogos!A:BN,61,0)</f>
        <v>17.44</v>
      </c>
      <c r="BD284" s="9">
        <f>VLOOKUP(A284,Jogos!A:BN,62,0)</f>
        <v>649.8</v>
      </c>
      <c r="BE284" s="9">
        <f>VLOOKUP(A284,Jogos!A:BN,63,0)</f>
        <v>2.12</v>
      </c>
      <c r="BF284" s="9">
        <f>VLOOKUP(A284,Jogos!A:BN,64,0)</f>
        <v>15.76</v>
      </c>
      <c r="BG284" s="9">
        <f>VLOOKUP(A284,Jogos!A:BN,65,0)</f>
        <v>29.16</v>
      </c>
      <c r="BH284" s="9">
        <f>VLOOKUP(A284,Jogos!A:BN,66,0)</f>
        <v>18.88</v>
      </c>
      <c r="BI284" s="9"/>
    </row>
    <row r="285" hidden="1">
      <c r="A285" s="10">
        <v>10.0</v>
      </c>
      <c r="B285" s="11" t="s">
        <v>623</v>
      </c>
      <c r="C285" s="2" t="s">
        <v>61</v>
      </c>
      <c r="D285" s="12">
        <v>45825.0</v>
      </c>
      <c r="E285" s="13">
        <v>0.5</v>
      </c>
      <c r="F285" s="5" t="str">
        <f>VLOOKUP(A285,Jogos!A:N,10,0)</f>
        <v>Afternoon</v>
      </c>
      <c r="G285" s="11" t="s">
        <v>312</v>
      </c>
      <c r="H285" s="6" t="str">
        <f>VLOOKUP(A285,Jogos!A:L,12,0)</f>
        <v>Open</v>
      </c>
      <c r="I285" s="6" t="str">
        <f>VLOOKUP(G285,'Estádios e Cidades'!A:B,2,0)</f>
        <v>Seatte</v>
      </c>
      <c r="J285" s="11" t="s">
        <v>625</v>
      </c>
      <c r="K285" s="2" t="str">
        <f>VLOOKUP(J285,Equipes!A:F,6,0)</f>
        <v>Temperate</v>
      </c>
      <c r="L285" s="2">
        <f>VLOOKUP(J285,Equipes!A:C,3,0)</f>
        <v>32</v>
      </c>
      <c r="M285" s="2" t="str">
        <f t="shared" si="4"/>
        <v>Group</v>
      </c>
      <c r="N285" s="11" t="s">
        <v>624</v>
      </c>
      <c r="O285" s="2">
        <f>VLOOKUP(N285,Equipes!A:C,3,0)</f>
        <v>19</v>
      </c>
      <c r="P285" s="2" t="str">
        <f t="shared" si="5"/>
        <v>Group</v>
      </c>
      <c r="Q285" s="2">
        <f t="shared" si="6"/>
        <v>13</v>
      </c>
      <c r="R285" s="2" t="str">
        <f>VLOOKUP(J285,Equipes!A:B,2,0)</f>
        <v>Urawa</v>
      </c>
      <c r="S285" s="6" t="s">
        <v>658</v>
      </c>
      <c r="T285" s="7">
        <v>4.0</v>
      </c>
      <c r="U285" s="7" t="s">
        <v>659</v>
      </c>
      <c r="V285" s="7" t="str">
        <f>VLOOKUP(U285,Jogadores!B:C,2,0)</f>
        <v>DF</v>
      </c>
      <c r="W285" s="8">
        <f>VLOOKUP(U285,Jogadores!B:D,3,0)</f>
        <v>26.43561644</v>
      </c>
      <c r="X285" s="7">
        <v>0.0</v>
      </c>
      <c r="Y285" s="7">
        <f t="shared" si="868"/>
        <v>95</v>
      </c>
      <c r="Z285" s="7">
        <f>VLOOKUP(A285,Jogos!A:L,3,0)</f>
        <v>47</v>
      </c>
      <c r="AA285" s="7">
        <f t="shared" si="7"/>
        <v>47</v>
      </c>
      <c r="AB285" s="7">
        <f>VLOOKUP(A285,Jogos!A:L,4,0)</f>
        <v>50</v>
      </c>
      <c r="AC285" s="7">
        <f t="shared" si="657"/>
        <v>50</v>
      </c>
      <c r="AD285" s="7"/>
      <c r="AE285" s="7"/>
      <c r="AF285" s="7">
        <f t="shared" si="9"/>
        <v>97</v>
      </c>
      <c r="AG285" s="7">
        <v>10988.4</v>
      </c>
      <c r="AH285" s="7">
        <v>3455.0</v>
      </c>
      <c r="AI285" s="7">
        <v>4849.1</v>
      </c>
      <c r="AJ285" s="7">
        <v>1571.5</v>
      </c>
      <c r="AK285" s="7">
        <v>762.8</v>
      </c>
      <c r="AL285" s="7">
        <v>349.9</v>
      </c>
      <c r="AM285" s="7">
        <v>142.0</v>
      </c>
      <c r="AN285" s="7">
        <v>67.0</v>
      </c>
      <c r="AO285" s="7">
        <v>32.2</v>
      </c>
      <c r="AP285" s="9">
        <f t="shared" ref="AP285:AR285" si="890">AG285/$AF285</f>
        <v>113.2824742</v>
      </c>
      <c r="AQ285" s="9">
        <f t="shared" si="890"/>
        <v>35.6185567</v>
      </c>
      <c r="AR285" s="9">
        <f t="shared" si="890"/>
        <v>49.99072165</v>
      </c>
      <c r="AS285" s="9">
        <f t="shared" si="11"/>
        <v>85.60927835</v>
      </c>
      <c r="AT285" s="9">
        <f t="shared" ref="AT285:AV285" si="891">AJ285/$AF285</f>
        <v>16.20103093</v>
      </c>
      <c r="AU285" s="9">
        <f t="shared" si="891"/>
        <v>7.863917526</v>
      </c>
      <c r="AV285" s="9">
        <f t="shared" si="891"/>
        <v>3.607216495</v>
      </c>
      <c r="AW285" s="9">
        <f t="shared" si="13"/>
        <v>11.47113402</v>
      </c>
      <c r="AX285" s="9">
        <f t="shared" ref="AX285:AY285" si="892">AM285/$AF285</f>
        <v>1.463917526</v>
      </c>
      <c r="AY285" s="9">
        <f t="shared" si="892"/>
        <v>0.6907216495</v>
      </c>
      <c r="AZ285" s="9">
        <f>VLOOKUP(A285,Jogos!A:BN,58,0)</f>
        <v>20.155</v>
      </c>
      <c r="BA285" s="9">
        <f>VLOOKUP(A285,Jogos!A:BN,59,0)</f>
        <v>7.314</v>
      </c>
      <c r="BB285" s="9">
        <f>VLOOKUP(A285,Jogos!A:BN,60,0)</f>
        <v>43</v>
      </c>
      <c r="BC285" s="9">
        <f>VLOOKUP(A285,Jogos!A:BN,61,0)</f>
        <v>17.44</v>
      </c>
      <c r="BD285" s="9">
        <f>VLOOKUP(A285,Jogos!A:BN,62,0)</f>
        <v>649.8</v>
      </c>
      <c r="BE285" s="9">
        <f>VLOOKUP(A285,Jogos!A:BN,63,0)</f>
        <v>2.12</v>
      </c>
      <c r="BF285" s="9">
        <f>VLOOKUP(A285,Jogos!A:BN,64,0)</f>
        <v>15.76</v>
      </c>
      <c r="BG285" s="9">
        <f>VLOOKUP(A285,Jogos!A:BN,65,0)</f>
        <v>29.16</v>
      </c>
      <c r="BH285" s="9">
        <f>VLOOKUP(A285,Jogos!A:BN,66,0)</f>
        <v>18.88</v>
      </c>
      <c r="BI285" s="9"/>
    </row>
    <row r="286" hidden="1">
      <c r="A286" s="10">
        <v>10.0</v>
      </c>
      <c r="B286" s="11" t="s">
        <v>623</v>
      </c>
      <c r="C286" s="2" t="s">
        <v>61</v>
      </c>
      <c r="D286" s="12">
        <v>45825.0</v>
      </c>
      <c r="E286" s="13">
        <v>0.5</v>
      </c>
      <c r="F286" s="5" t="str">
        <f>VLOOKUP(A286,Jogos!A:N,10,0)</f>
        <v>Afternoon</v>
      </c>
      <c r="G286" s="11" t="s">
        <v>312</v>
      </c>
      <c r="H286" s="6" t="str">
        <f>VLOOKUP(A286,Jogos!A:L,12,0)</f>
        <v>Open</v>
      </c>
      <c r="I286" s="6" t="str">
        <f>VLOOKUP(G286,'Estádios e Cidades'!A:B,2,0)</f>
        <v>Seatte</v>
      </c>
      <c r="J286" s="11" t="s">
        <v>625</v>
      </c>
      <c r="K286" s="2" t="str">
        <f>VLOOKUP(J286,Equipes!A:F,6,0)</f>
        <v>Temperate</v>
      </c>
      <c r="L286" s="2">
        <f>VLOOKUP(J286,Equipes!A:C,3,0)</f>
        <v>32</v>
      </c>
      <c r="M286" s="2" t="str">
        <f t="shared" si="4"/>
        <v>Group</v>
      </c>
      <c r="N286" s="11" t="s">
        <v>624</v>
      </c>
      <c r="O286" s="2">
        <f>VLOOKUP(N286,Equipes!A:C,3,0)</f>
        <v>19</v>
      </c>
      <c r="P286" s="2" t="str">
        <f t="shared" si="5"/>
        <v>Group</v>
      </c>
      <c r="Q286" s="2">
        <f t="shared" si="6"/>
        <v>13</v>
      </c>
      <c r="R286" s="2" t="str">
        <f>VLOOKUP(J286,Equipes!A:B,2,0)</f>
        <v>Urawa</v>
      </c>
      <c r="S286" s="6" t="s">
        <v>660</v>
      </c>
      <c r="T286" s="7">
        <v>5.0</v>
      </c>
      <c r="U286" s="7" t="s">
        <v>661</v>
      </c>
      <c r="V286" s="7" t="str">
        <f>VLOOKUP(U286,Jogadores!B:C,2,0)</f>
        <v>DF</v>
      </c>
      <c r="W286" s="8">
        <f>VLOOKUP(U286,Jogadores!B:D,3,0)</f>
        <v>30.53150685</v>
      </c>
      <c r="X286" s="7">
        <v>0.0</v>
      </c>
      <c r="Y286" s="7">
        <f t="shared" si="868"/>
        <v>95</v>
      </c>
      <c r="Z286" s="7">
        <f>VLOOKUP(A286,Jogos!A:L,3,0)</f>
        <v>47</v>
      </c>
      <c r="AA286" s="7">
        <f t="shared" si="7"/>
        <v>47</v>
      </c>
      <c r="AB286" s="7">
        <f>VLOOKUP(A286,Jogos!A:L,4,0)</f>
        <v>50</v>
      </c>
      <c r="AC286" s="7">
        <f t="shared" si="657"/>
        <v>50</v>
      </c>
      <c r="AD286" s="7"/>
      <c r="AE286" s="7"/>
      <c r="AF286" s="7">
        <f t="shared" si="9"/>
        <v>97</v>
      </c>
      <c r="AG286" s="7">
        <v>9993.1</v>
      </c>
      <c r="AH286" s="7">
        <v>3305.6</v>
      </c>
      <c r="AI286" s="7">
        <v>4833.1</v>
      </c>
      <c r="AJ286" s="7">
        <v>1305.8</v>
      </c>
      <c r="AK286" s="7">
        <v>438.8</v>
      </c>
      <c r="AL286" s="7">
        <v>109.9</v>
      </c>
      <c r="AM286" s="7">
        <v>121.0</v>
      </c>
      <c r="AN286" s="7">
        <v>35.0</v>
      </c>
      <c r="AO286" s="7">
        <v>31.0</v>
      </c>
      <c r="AP286" s="9">
        <f t="shared" ref="AP286:AR286" si="893">AG286/$AF286</f>
        <v>103.0216495</v>
      </c>
      <c r="AQ286" s="9">
        <f t="shared" si="893"/>
        <v>34.07835052</v>
      </c>
      <c r="AR286" s="9">
        <f t="shared" si="893"/>
        <v>49.8257732</v>
      </c>
      <c r="AS286" s="9">
        <f t="shared" si="11"/>
        <v>83.90412371</v>
      </c>
      <c r="AT286" s="9">
        <f t="shared" ref="AT286:AV286" si="894">AJ286/$AF286</f>
        <v>13.46185567</v>
      </c>
      <c r="AU286" s="9">
        <f t="shared" si="894"/>
        <v>4.52371134</v>
      </c>
      <c r="AV286" s="9">
        <f t="shared" si="894"/>
        <v>1.132989691</v>
      </c>
      <c r="AW286" s="9">
        <f t="shared" si="13"/>
        <v>5.656701031</v>
      </c>
      <c r="AX286" s="9">
        <f t="shared" ref="AX286:AY286" si="895">AM286/$AF286</f>
        <v>1.24742268</v>
      </c>
      <c r="AY286" s="9">
        <f t="shared" si="895"/>
        <v>0.3608247423</v>
      </c>
      <c r="AZ286" s="9">
        <f>VLOOKUP(A286,Jogos!A:BN,58,0)</f>
        <v>20.155</v>
      </c>
      <c r="BA286" s="9">
        <f>VLOOKUP(A286,Jogos!A:BN,59,0)</f>
        <v>7.314</v>
      </c>
      <c r="BB286" s="9">
        <f>VLOOKUP(A286,Jogos!A:BN,60,0)</f>
        <v>43</v>
      </c>
      <c r="BC286" s="9">
        <f>VLOOKUP(A286,Jogos!A:BN,61,0)</f>
        <v>17.44</v>
      </c>
      <c r="BD286" s="9">
        <f>VLOOKUP(A286,Jogos!A:BN,62,0)</f>
        <v>649.8</v>
      </c>
      <c r="BE286" s="9">
        <f>VLOOKUP(A286,Jogos!A:BN,63,0)</f>
        <v>2.12</v>
      </c>
      <c r="BF286" s="9">
        <f>VLOOKUP(A286,Jogos!A:BN,64,0)</f>
        <v>15.76</v>
      </c>
      <c r="BG286" s="9">
        <f>VLOOKUP(A286,Jogos!A:BN,65,0)</f>
        <v>29.16</v>
      </c>
      <c r="BH286" s="9">
        <f>VLOOKUP(A286,Jogos!A:BN,66,0)</f>
        <v>18.88</v>
      </c>
      <c r="BI286" s="9"/>
    </row>
    <row r="287" hidden="1">
      <c r="A287" s="10">
        <v>10.0</v>
      </c>
      <c r="B287" s="11" t="s">
        <v>623</v>
      </c>
      <c r="C287" s="2" t="s">
        <v>61</v>
      </c>
      <c r="D287" s="12">
        <v>45825.0</v>
      </c>
      <c r="E287" s="13">
        <v>0.5</v>
      </c>
      <c r="F287" s="5" t="str">
        <f>VLOOKUP(A287,Jogos!A:N,10,0)</f>
        <v>Afternoon</v>
      </c>
      <c r="G287" s="11" t="s">
        <v>312</v>
      </c>
      <c r="H287" s="6" t="str">
        <f>VLOOKUP(A287,Jogos!A:L,12,0)</f>
        <v>Open</v>
      </c>
      <c r="I287" s="6" t="str">
        <f>VLOOKUP(G287,'Estádios e Cidades'!A:B,2,0)</f>
        <v>Seatte</v>
      </c>
      <c r="J287" s="11" t="s">
        <v>625</v>
      </c>
      <c r="K287" s="2" t="str">
        <f>VLOOKUP(J287,Equipes!A:F,6,0)</f>
        <v>Temperate</v>
      </c>
      <c r="L287" s="2">
        <f>VLOOKUP(J287,Equipes!A:C,3,0)</f>
        <v>32</v>
      </c>
      <c r="M287" s="2" t="str">
        <f t="shared" si="4"/>
        <v>Group</v>
      </c>
      <c r="N287" s="11" t="s">
        <v>624</v>
      </c>
      <c r="O287" s="2">
        <f>VLOOKUP(N287,Equipes!A:C,3,0)</f>
        <v>19</v>
      </c>
      <c r="P287" s="2" t="str">
        <f t="shared" si="5"/>
        <v>Group</v>
      </c>
      <c r="Q287" s="2">
        <f t="shared" si="6"/>
        <v>13</v>
      </c>
      <c r="R287" s="2" t="str">
        <f>VLOOKUP(J287,Equipes!A:B,2,0)</f>
        <v>Urawa</v>
      </c>
      <c r="S287" s="6" t="s">
        <v>662</v>
      </c>
      <c r="T287" s="7">
        <v>8.0</v>
      </c>
      <c r="U287" s="7" t="s">
        <v>663</v>
      </c>
      <c r="V287" s="7" t="str">
        <f>VLOOKUP(U287,Jogadores!B:C,2,0)</f>
        <v>MF</v>
      </c>
      <c r="W287" s="8">
        <f>VLOOKUP(U287,Jogadores!B:D,3,0)</f>
        <v>28.30410959</v>
      </c>
      <c r="X287" s="7">
        <v>0.0</v>
      </c>
      <c r="Y287" s="7">
        <v>71.0</v>
      </c>
      <c r="Z287" s="7">
        <f>VLOOKUP(A287,Jogos!A:L,3,0)</f>
        <v>47</v>
      </c>
      <c r="AA287" s="7">
        <f t="shared" si="7"/>
        <v>47</v>
      </c>
      <c r="AB287" s="7">
        <f>VLOOKUP(A287,Jogos!A:L,4,0)</f>
        <v>50</v>
      </c>
      <c r="AC287" s="7">
        <f t="shared" si="657"/>
        <v>26</v>
      </c>
      <c r="AD287" s="7"/>
      <c r="AE287" s="7"/>
      <c r="AF287" s="7">
        <f t="shared" si="9"/>
        <v>73</v>
      </c>
      <c r="AG287" s="7">
        <v>9007.6</v>
      </c>
      <c r="AH287" s="7">
        <v>2535.1</v>
      </c>
      <c r="AI287" s="7">
        <v>4181.6</v>
      </c>
      <c r="AJ287" s="7">
        <v>1430.1</v>
      </c>
      <c r="AK287" s="7">
        <v>632.7</v>
      </c>
      <c r="AL287" s="7">
        <v>228.2</v>
      </c>
      <c r="AM287" s="7">
        <v>123.0</v>
      </c>
      <c r="AN287" s="7">
        <v>54.0</v>
      </c>
      <c r="AO287" s="7">
        <v>31.9</v>
      </c>
      <c r="AP287" s="9">
        <f t="shared" ref="AP287:AR287" si="896">AG287/$AF287</f>
        <v>123.3917808</v>
      </c>
      <c r="AQ287" s="9">
        <f t="shared" si="896"/>
        <v>34.72739726</v>
      </c>
      <c r="AR287" s="9">
        <f t="shared" si="896"/>
        <v>57.28219178</v>
      </c>
      <c r="AS287" s="9">
        <f t="shared" si="11"/>
        <v>92.00958904</v>
      </c>
      <c r="AT287" s="9">
        <f t="shared" ref="AT287:AV287" si="897">AJ287/$AF287</f>
        <v>19.59041096</v>
      </c>
      <c r="AU287" s="9">
        <f t="shared" si="897"/>
        <v>8.667123288</v>
      </c>
      <c r="AV287" s="9">
        <f t="shared" si="897"/>
        <v>3.126027397</v>
      </c>
      <c r="AW287" s="9">
        <f t="shared" si="13"/>
        <v>11.79315068</v>
      </c>
      <c r="AX287" s="9">
        <f t="shared" ref="AX287:AY287" si="898">AM287/$AF287</f>
        <v>1.684931507</v>
      </c>
      <c r="AY287" s="9">
        <f t="shared" si="898"/>
        <v>0.7397260274</v>
      </c>
      <c r="AZ287" s="9">
        <f>VLOOKUP(A287,Jogos!A:BN,58,0)</f>
        <v>20.155</v>
      </c>
      <c r="BA287" s="9">
        <f>VLOOKUP(A287,Jogos!A:BN,59,0)</f>
        <v>7.314</v>
      </c>
      <c r="BB287" s="9">
        <f>VLOOKUP(A287,Jogos!A:BN,60,0)</f>
        <v>43</v>
      </c>
      <c r="BC287" s="9">
        <f>VLOOKUP(A287,Jogos!A:BN,61,0)</f>
        <v>17.44</v>
      </c>
      <c r="BD287" s="9">
        <f>VLOOKUP(A287,Jogos!A:BN,62,0)</f>
        <v>649.8</v>
      </c>
      <c r="BE287" s="9">
        <f>VLOOKUP(A287,Jogos!A:BN,63,0)</f>
        <v>2.12</v>
      </c>
      <c r="BF287" s="9">
        <f>VLOOKUP(A287,Jogos!A:BN,64,0)</f>
        <v>15.76</v>
      </c>
      <c r="BG287" s="9">
        <f>VLOOKUP(A287,Jogos!A:BN,65,0)</f>
        <v>29.16</v>
      </c>
      <c r="BH287" s="9">
        <f>VLOOKUP(A287,Jogos!A:BN,66,0)</f>
        <v>18.88</v>
      </c>
      <c r="BI287" s="9"/>
    </row>
    <row r="288" hidden="1">
      <c r="A288" s="10">
        <v>10.0</v>
      </c>
      <c r="B288" s="11" t="s">
        <v>623</v>
      </c>
      <c r="C288" s="2" t="s">
        <v>61</v>
      </c>
      <c r="D288" s="12">
        <v>45825.0</v>
      </c>
      <c r="E288" s="13">
        <v>0.5</v>
      </c>
      <c r="F288" s="5" t="str">
        <f>VLOOKUP(A288,Jogos!A:N,10,0)</f>
        <v>Afternoon</v>
      </c>
      <c r="G288" s="11" t="s">
        <v>312</v>
      </c>
      <c r="H288" s="6" t="str">
        <f>VLOOKUP(A288,Jogos!A:L,12,0)</f>
        <v>Open</v>
      </c>
      <c r="I288" s="6" t="str">
        <f>VLOOKUP(G288,'Estádios e Cidades'!A:B,2,0)</f>
        <v>Seatte</v>
      </c>
      <c r="J288" s="11" t="s">
        <v>625</v>
      </c>
      <c r="K288" s="2" t="str">
        <f>VLOOKUP(J288,Equipes!A:F,6,0)</f>
        <v>Temperate</v>
      </c>
      <c r="L288" s="2">
        <f>VLOOKUP(J288,Equipes!A:C,3,0)</f>
        <v>32</v>
      </c>
      <c r="M288" s="2" t="str">
        <f t="shared" si="4"/>
        <v>Group</v>
      </c>
      <c r="N288" s="11" t="s">
        <v>624</v>
      </c>
      <c r="O288" s="2">
        <f>VLOOKUP(N288,Equipes!A:C,3,0)</f>
        <v>19</v>
      </c>
      <c r="P288" s="2" t="str">
        <f t="shared" si="5"/>
        <v>Group</v>
      </c>
      <c r="Q288" s="2">
        <f t="shared" si="6"/>
        <v>13</v>
      </c>
      <c r="R288" s="2" t="str">
        <f>VLOOKUP(J288,Equipes!A:B,2,0)</f>
        <v>Urawa</v>
      </c>
      <c r="S288" s="6" t="s">
        <v>664</v>
      </c>
      <c r="T288" s="7">
        <v>11.0</v>
      </c>
      <c r="U288" s="7" t="s">
        <v>665</v>
      </c>
      <c r="V288" s="7" t="str">
        <f>VLOOKUP(U288,Jogadores!B:C,2,0)</f>
        <v>MF</v>
      </c>
      <c r="W288" s="8">
        <f>VLOOKUP(U288,Jogadores!B:D,3,0)</f>
        <v>30.56438356</v>
      </c>
      <c r="X288" s="7">
        <v>0.0</v>
      </c>
      <c r="Y288" s="7">
        <v>87.0</v>
      </c>
      <c r="Z288" s="7">
        <f>VLOOKUP(A288,Jogos!A:L,3,0)</f>
        <v>47</v>
      </c>
      <c r="AA288" s="7">
        <f t="shared" si="7"/>
        <v>47</v>
      </c>
      <c r="AB288" s="7">
        <f>VLOOKUP(A288,Jogos!A:L,4,0)</f>
        <v>50</v>
      </c>
      <c r="AC288" s="7">
        <f t="shared" si="657"/>
        <v>42</v>
      </c>
      <c r="AD288" s="7"/>
      <c r="AE288" s="7"/>
      <c r="AF288" s="7">
        <f t="shared" si="9"/>
        <v>89</v>
      </c>
      <c r="AG288" s="7">
        <v>10852.4</v>
      </c>
      <c r="AH288" s="7">
        <v>3038.8</v>
      </c>
      <c r="AI288" s="7">
        <v>5200.3</v>
      </c>
      <c r="AJ288" s="7">
        <v>1891.3</v>
      </c>
      <c r="AK288" s="7">
        <v>520.7</v>
      </c>
      <c r="AL288" s="7">
        <v>201.4</v>
      </c>
      <c r="AM288" s="7">
        <v>163.0</v>
      </c>
      <c r="AN288" s="7">
        <v>39.0</v>
      </c>
      <c r="AO288" s="7">
        <v>31.3</v>
      </c>
      <c r="AP288" s="9">
        <f t="shared" ref="AP288:AR288" si="899">AG288/$AF288</f>
        <v>121.9370787</v>
      </c>
      <c r="AQ288" s="9">
        <f t="shared" si="899"/>
        <v>34.14382022</v>
      </c>
      <c r="AR288" s="9">
        <f t="shared" si="899"/>
        <v>58.43033708</v>
      </c>
      <c r="AS288" s="9">
        <f t="shared" si="11"/>
        <v>92.5741573</v>
      </c>
      <c r="AT288" s="9">
        <f t="shared" ref="AT288:AV288" si="900">AJ288/$AF288</f>
        <v>21.2505618</v>
      </c>
      <c r="AU288" s="9">
        <f t="shared" si="900"/>
        <v>5.850561798</v>
      </c>
      <c r="AV288" s="9">
        <f t="shared" si="900"/>
        <v>2.262921348</v>
      </c>
      <c r="AW288" s="9">
        <f t="shared" si="13"/>
        <v>8.113483146</v>
      </c>
      <c r="AX288" s="9">
        <f t="shared" ref="AX288:AY288" si="901">AM288/$AF288</f>
        <v>1.831460674</v>
      </c>
      <c r="AY288" s="9">
        <f t="shared" si="901"/>
        <v>0.4382022472</v>
      </c>
      <c r="AZ288" s="9">
        <f>VLOOKUP(A288,Jogos!A:BN,58,0)</f>
        <v>20.155</v>
      </c>
      <c r="BA288" s="9">
        <f>VLOOKUP(A288,Jogos!A:BN,59,0)</f>
        <v>7.314</v>
      </c>
      <c r="BB288" s="9">
        <f>VLOOKUP(A288,Jogos!A:BN,60,0)</f>
        <v>43</v>
      </c>
      <c r="BC288" s="9">
        <f>VLOOKUP(A288,Jogos!A:BN,61,0)</f>
        <v>17.44</v>
      </c>
      <c r="BD288" s="9">
        <f>VLOOKUP(A288,Jogos!A:BN,62,0)</f>
        <v>649.8</v>
      </c>
      <c r="BE288" s="9">
        <f>VLOOKUP(A288,Jogos!A:BN,63,0)</f>
        <v>2.12</v>
      </c>
      <c r="BF288" s="9">
        <f>VLOOKUP(A288,Jogos!A:BN,64,0)</f>
        <v>15.76</v>
      </c>
      <c r="BG288" s="9">
        <f>VLOOKUP(A288,Jogos!A:BN,65,0)</f>
        <v>29.16</v>
      </c>
      <c r="BH288" s="9">
        <f>VLOOKUP(A288,Jogos!A:BN,66,0)</f>
        <v>18.88</v>
      </c>
      <c r="BI288" s="9"/>
    </row>
    <row r="289" hidden="1">
      <c r="A289" s="10">
        <v>10.0</v>
      </c>
      <c r="B289" s="11" t="s">
        <v>623</v>
      </c>
      <c r="C289" s="2" t="s">
        <v>61</v>
      </c>
      <c r="D289" s="12">
        <v>45825.0</v>
      </c>
      <c r="E289" s="13">
        <v>0.5</v>
      </c>
      <c r="F289" s="5" t="str">
        <f>VLOOKUP(A289,Jogos!A:N,10,0)</f>
        <v>Afternoon</v>
      </c>
      <c r="G289" s="11" t="s">
        <v>312</v>
      </c>
      <c r="H289" s="6" t="str">
        <f>VLOOKUP(A289,Jogos!A:L,12,0)</f>
        <v>Open</v>
      </c>
      <c r="I289" s="6" t="str">
        <f>VLOOKUP(G289,'Estádios e Cidades'!A:B,2,0)</f>
        <v>Seatte</v>
      </c>
      <c r="J289" s="11" t="s">
        <v>625</v>
      </c>
      <c r="K289" s="2" t="str">
        <f>VLOOKUP(J289,Equipes!A:F,6,0)</f>
        <v>Temperate</v>
      </c>
      <c r="L289" s="2">
        <f>VLOOKUP(J289,Equipes!A:C,3,0)</f>
        <v>32</v>
      </c>
      <c r="M289" s="2" t="str">
        <f t="shared" si="4"/>
        <v>Group</v>
      </c>
      <c r="N289" s="11" t="s">
        <v>624</v>
      </c>
      <c r="O289" s="2">
        <f>VLOOKUP(N289,Equipes!A:C,3,0)</f>
        <v>19</v>
      </c>
      <c r="P289" s="2" t="str">
        <f t="shared" si="5"/>
        <v>Group</v>
      </c>
      <c r="Q289" s="2">
        <f t="shared" si="6"/>
        <v>13</v>
      </c>
      <c r="R289" s="2" t="str">
        <f>VLOOKUP(J289,Equipes!A:B,2,0)</f>
        <v>Urawa</v>
      </c>
      <c r="S289" s="6" t="s">
        <v>666</v>
      </c>
      <c r="T289" s="7">
        <v>13.0</v>
      </c>
      <c r="U289" s="7" t="s">
        <v>667</v>
      </c>
      <c r="V289" s="7" t="str">
        <f>VLOOKUP(U289,Jogadores!B:C,2,0)</f>
        <v>MF</v>
      </c>
      <c r="W289" s="8">
        <f>VLOOKUP(U289,Jogadores!B:D,3,0)</f>
        <v>28.83835616</v>
      </c>
      <c r="X289" s="7">
        <v>0.0</v>
      </c>
      <c r="Y289" s="7">
        <f t="shared" ref="Y289:Y290" si="905">45+AB289</f>
        <v>95</v>
      </c>
      <c r="Z289" s="7">
        <f>VLOOKUP(A289,Jogos!A:L,3,0)</f>
        <v>47</v>
      </c>
      <c r="AA289" s="7">
        <f t="shared" si="7"/>
        <v>47</v>
      </c>
      <c r="AB289" s="7">
        <f>VLOOKUP(A289,Jogos!A:L,4,0)</f>
        <v>50</v>
      </c>
      <c r="AC289" s="7">
        <f t="shared" si="657"/>
        <v>50</v>
      </c>
      <c r="AD289" s="7"/>
      <c r="AE289" s="7"/>
      <c r="AF289" s="7">
        <f t="shared" si="9"/>
        <v>97</v>
      </c>
      <c r="AG289" s="7">
        <v>12727.7</v>
      </c>
      <c r="AH289" s="7">
        <v>3325.6</v>
      </c>
      <c r="AI289" s="7">
        <v>5565.7</v>
      </c>
      <c r="AJ289" s="7">
        <v>2488.5</v>
      </c>
      <c r="AK289" s="7">
        <v>1052.0</v>
      </c>
      <c r="AL289" s="7">
        <v>295.9</v>
      </c>
      <c r="AM289" s="7">
        <v>216.0</v>
      </c>
      <c r="AN289" s="7">
        <v>80.0</v>
      </c>
      <c r="AO289" s="7">
        <v>30.4</v>
      </c>
      <c r="AP289" s="9">
        <f t="shared" ref="AP289:AR289" si="902">AG289/$AF289</f>
        <v>131.2134021</v>
      </c>
      <c r="AQ289" s="9">
        <f t="shared" si="902"/>
        <v>34.28453608</v>
      </c>
      <c r="AR289" s="9">
        <f t="shared" si="902"/>
        <v>57.37835052</v>
      </c>
      <c r="AS289" s="9">
        <f t="shared" si="11"/>
        <v>91.6628866</v>
      </c>
      <c r="AT289" s="9">
        <f t="shared" ref="AT289:AV289" si="903">AJ289/$AF289</f>
        <v>25.65463918</v>
      </c>
      <c r="AU289" s="9">
        <f t="shared" si="903"/>
        <v>10.84536082</v>
      </c>
      <c r="AV289" s="9">
        <f t="shared" si="903"/>
        <v>3.050515464</v>
      </c>
      <c r="AW289" s="9">
        <f t="shared" si="13"/>
        <v>13.89587629</v>
      </c>
      <c r="AX289" s="9">
        <f t="shared" ref="AX289:AY289" si="904">AM289/$AF289</f>
        <v>2.226804124</v>
      </c>
      <c r="AY289" s="9">
        <f t="shared" si="904"/>
        <v>0.824742268</v>
      </c>
      <c r="AZ289" s="9">
        <f>VLOOKUP(A289,Jogos!A:BN,58,0)</f>
        <v>20.155</v>
      </c>
      <c r="BA289" s="9">
        <f>VLOOKUP(A289,Jogos!A:BN,59,0)</f>
        <v>7.314</v>
      </c>
      <c r="BB289" s="9">
        <f>VLOOKUP(A289,Jogos!A:BN,60,0)</f>
        <v>43</v>
      </c>
      <c r="BC289" s="9">
        <f>VLOOKUP(A289,Jogos!A:BN,61,0)</f>
        <v>17.44</v>
      </c>
      <c r="BD289" s="9">
        <f>VLOOKUP(A289,Jogos!A:BN,62,0)</f>
        <v>649.8</v>
      </c>
      <c r="BE289" s="9">
        <f>VLOOKUP(A289,Jogos!A:BN,63,0)</f>
        <v>2.12</v>
      </c>
      <c r="BF289" s="9">
        <f>VLOOKUP(A289,Jogos!A:BN,64,0)</f>
        <v>15.76</v>
      </c>
      <c r="BG289" s="9">
        <f>VLOOKUP(A289,Jogos!A:BN,65,0)</f>
        <v>29.16</v>
      </c>
      <c r="BH289" s="9">
        <f>VLOOKUP(A289,Jogos!A:BN,66,0)</f>
        <v>18.88</v>
      </c>
      <c r="BI289" s="9"/>
    </row>
    <row r="290" hidden="1">
      <c r="A290" s="10">
        <v>10.0</v>
      </c>
      <c r="B290" s="11" t="s">
        <v>623</v>
      </c>
      <c r="C290" s="2" t="s">
        <v>61</v>
      </c>
      <c r="D290" s="12">
        <v>45825.0</v>
      </c>
      <c r="E290" s="13">
        <v>0.5</v>
      </c>
      <c r="F290" s="5" t="str">
        <f>VLOOKUP(A290,Jogos!A:N,10,0)</f>
        <v>Afternoon</v>
      </c>
      <c r="G290" s="11" t="s">
        <v>312</v>
      </c>
      <c r="H290" s="6" t="str">
        <f>VLOOKUP(A290,Jogos!A:L,12,0)</f>
        <v>Open</v>
      </c>
      <c r="I290" s="6" t="str">
        <f>VLOOKUP(G290,'Estádios e Cidades'!A:B,2,0)</f>
        <v>Seatte</v>
      </c>
      <c r="J290" s="11" t="s">
        <v>625</v>
      </c>
      <c r="K290" s="2" t="str">
        <f>VLOOKUP(J290,Equipes!A:F,6,0)</f>
        <v>Temperate</v>
      </c>
      <c r="L290" s="2">
        <f>VLOOKUP(J290,Equipes!A:C,3,0)</f>
        <v>32</v>
      </c>
      <c r="M290" s="2" t="str">
        <f t="shared" si="4"/>
        <v>Group</v>
      </c>
      <c r="N290" s="11" t="s">
        <v>624</v>
      </c>
      <c r="O290" s="2">
        <f>VLOOKUP(N290,Equipes!A:C,3,0)</f>
        <v>19</v>
      </c>
      <c r="P290" s="2" t="str">
        <f t="shared" si="5"/>
        <v>Group</v>
      </c>
      <c r="Q290" s="2">
        <f t="shared" si="6"/>
        <v>13</v>
      </c>
      <c r="R290" s="2" t="str">
        <f>VLOOKUP(J290,Equipes!A:B,2,0)</f>
        <v>Urawa</v>
      </c>
      <c r="S290" s="6" t="s">
        <v>668</v>
      </c>
      <c r="T290" s="7">
        <v>24.0</v>
      </c>
      <c r="U290" s="7" t="s">
        <v>669</v>
      </c>
      <c r="V290" s="7" t="str">
        <f>VLOOKUP(U290,Jogadores!B:C,2,0)</f>
        <v>MF</v>
      </c>
      <c r="W290" s="8">
        <f>VLOOKUP(U290,Jogadores!B:D,3,0)</f>
        <v>28.03287671</v>
      </c>
      <c r="X290" s="7">
        <v>0.0</v>
      </c>
      <c r="Y290" s="7">
        <f t="shared" si="905"/>
        <v>95</v>
      </c>
      <c r="Z290" s="7">
        <f>VLOOKUP(A290,Jogos!A:L,3,0)</f>
        <v>47</v>
      </c>
      <c r="AA290" s="7">
        <f t="shared" si="7"/>
        <v>47</v>
      </c>
      <c r="AB290" s="7">
        <f>VLOOKUP(A290,Jogos!A:L,4,0)</f>
        <v>50</v>
      </c>
      <c r="AC290" s="7">
        <f t="shared" si="657"/>
        <v>50</v>
      </c>
      <c r="AD290" s="7"/>
      <c r="AE290" s="7"/>
      <c r="AF290" s="7">
        <f t="shared" si="9"/>
        <v>97</v>
      </c>
      <c r="AG290" s="7">
        <v>10902.3</v>
      </c>
      <c r="AH290" s="7">
        <v>3927.7</v>
      </c>
      <c r="AI290" s="7">
        <v>4624.1</v>
      </c>
      <c r="AJ290" s="7">
        <v>1324.9</v>
      </c>
      <c r="AK290" s="7">
        <v>701.0</v>
      </c>
      <c r="AL290" s="7">
        <v>324.5</v>
      </c>
      <c r="AM290" s="7">
        <v>118.0</v>
      </c>
      <c r="AN290" s="7">
        <v>60.0</v>
      </c>
      <c r="AO290" s="7">
        <v>32.3</v>
      </c>
      <c r="AP290" s="9">
        <f t="shared" ref="AP290:AR290" si="906">AG290/$AF290</f>
        <v>112.3948454</v>
      </c>
      <c r="AQ290" s="9">
        <f t="shared" si="906"/>
        <v>40.49175258</v>
      </c>
      <c r="AR290" s="9">
        <f t="shared" si="906"/>
        <v>47.67113402</v>
      </c>
      <c r="AS290" s="9">
        <f t="shared" si="11"/>
        <v>88.1628866</v>
      </c>
      <c r="AT290" s="9">
        <f t="shared" ref="AT290:AV290" si="907">AJ290/$AF290</f>
        <v>13.65876289</v>
      </c>
      <c r="AU290" s="9">
        <f t="shared" si="907"/>
        <v>7.226804124</v>
      </c>
      <c r="AV290" s="9">
        <f t="shared" si="907"/>
        <v>3.345360825</v>
      </c>
      <c r="AW290" s="9">
        <f t="shared" si="13"/>
        <v>10.57216495</v>
      </c>
      <c r="AX290" s="9">
        <f t="shared" ref="AX290:AY290" si="908">AM290/$AF290</f>
        <v>1.216494845</v>
      </c>
      <c r="AY290" s="9">
        <f t="shared" si="908"/>
        <v>0.618556701</v>
      </c>
      <c r="AZ290" s="9">
        <f>VLOOKUP(A290,Jogos!A:BN,58,0)</f>
        <v>20.155</v>
      </c>
      <c r="BA290" s="9">
        <f>VLOOKUP(A290,Jogos!A:BN,59,0)</f>
        <v>7.314</v>
      </c>
      <c r="BB290" s="9">
        <f>VLOOKUP(A290,Jogos!A:BN,60,0)</f>
        <v>43</v>
      </c>
      <c r="BC290" s="9">
        <f>VLOOKUP(A290,Jogos!A:BN,61,0)</f>
        <v>17.44</v>
      </c>
      <c r="BD290" s="9">
        <f>VLOOKUP(A290,Jogos!A:BN,62,0)</f>
        <v>649.8</v>
      </c>
      <c r="BE290" s="9">
        <f>VLOOKUP(A290,Jogos!A:BN,63,0)</f>
        <v>2.12</v>
      </c>
      <c r="BF290" s="9">
        <f>VLOOKUP(A290,Jogos!A:BN,64,0)</f>
        <v>15.76</v>
      </c>
      <c r="BG290" s="9">
        <f>VLOOKUP(A290,Jogos!A:BN,65,0)</f>
        <v>29.16</v>
      </c>
      <c r="BH290" s="9">
        <f>VLOOKUP(A290,Jogos!A:BN,66,0)</f>
        <v>18.88</v>
      </c>
      <c r="BI290" s="9"/>
    </row>
    <row r="291" hidden="1">
      <c r="A291" s="10">
        <v>10.0</v>
      </c>
      <c r="B291" s="11" t="s">
        <v>623</v>
      </c>
      <c r="C291" s="2" t="s">
        <v>61</v>
      </c>
      <c r="D291" s="12">
        <v>45825.0</v>
      </c>
      <c r="E291" s="13">
        <v>0.5</v>
      </c>
      <c r="F291" s="5" t="str">
        <f>VLOOKUP(A291,Jogos!A:N,10,0)</f>
        <v>Afternoon</v>
      </c>
      <c r="G291" s="11" t="s">
        <v>312</v>
      </c>
      <c r="H291" s="6" t="str">
        <f>VLOOKUP(A291,Jogos!A:L,12,0)</f>
        <v>Open</v>
      </c>
      <c r="I291" s="6" t="str">
        <f>VLOOKUP(G291,'Estádios e Cidades'!A:B,2,0)</f>
        <v>Seatte</v>
      </c>
      <c r="J291" s="11" t="s">
        <v>625</v>
      </c>
      <c r="K291" s="2" t="str">
        <f>VLOOKUP(J291,Equipes!A:F,6,0)</f>
        <v>Temperate</v>
      </c>
      <c r="L291" s="2">
        <f>VLOOKUP(J291,Equipes!A:C,3,0)</f>
        <v>32</v>
      </c>
      <c r="M291" s="2" t="str">
        <f t="shared" si="4"/>
        <v>Group</v>
      </c>
      <c r="N291" s="11" t="s">
        <v>624</v>
      </c>
      <c r="O291" s="2">
        <f>VLOOKUP(N291,Equipes!A:C,3,0)</f>
        <v>19</v>
      </c>
      <c r="P291" s="2" t="str">
        <f t="shared" si="5"/>
        <v>Group</v>
      </c>
      <c r="Q291" s="2">
        <f t="shared" si="6"/>
        <v>13</v>
      </c>
      <c r="R291" s="2" t="str">
        <f>VLOOKUP(J291,Equipes!A:B,2,0)</f>
        <v>Urawa</v>
      </c>
      <c r="S291" s="6" t="s">
        <v>670</v>
      </c>
      <c r="T291" s="7">
        <v>25.0</v>
      </c>
      <c r="U291" s="7" t="s">
        <v>671</v>
      </c>
      <c r="V291" s="7" t="str">
        <f>VLOOKUP(U291,Jogadores!B:C,2,0)</f>
        <v>MF</v>
      </c>
      <c r="W291" s="8">
        <f>VLOOKUP(U291,Jogadores!B:D,3,0)</f>
        <v>25.48219178</v>
      </c>
      <c r="X291" s="7">
        <v>0.0</v>
      </c>
      <c r="Y291" s="7">
        <v>81.0</v>
      </c>
      <c r="Z291" s="7">
        <f>VLOOKUP(A291,Jogos!A:L,3,0)</f>
        <v>47</v>
      </c>
      <c r="AA291" s="7">
        <f t="shared" si="7"/>
        <v>47</v>
      </c>
      <c r="AB291" s="7">
        <f>VLOOKUP(A291,Jogos!A:L,4,0)</f>
        <v>50</v>
      </c>
      <c r="AC291" s="7">
        <f t="shared" si="657"/>
        <v>36</v>
      </c>
      <c r="AD291" s="7"/>
      <c r="AE291" s="7"/>
      <c r="AF291" s="7">
        <f t="shared" si="9"/>
        <v>83</v>
      </c>
      <c r="AG291" s="7">
        <v>9314.8</v>
      </c>
      <c r="AH291" s="7">
        <v>2857.0</v>
      </c>
      <c r="AI291" s="7">
        <v>4417.7</v>
      </c>
      <c r="AJ291" s="7">
        <v>1491.6</v>
      </c>
      <c r="AK291" s="7">
        <v>454.3</v>
      </c>
      <c r="AL291" s="7">
        <v>94.2</v>
      </c>
      <c r="AM291" s="7">
        <v>141.0</v>
      </c>
      <c r="AN291" s="7">
        <v>35.0</v>
      </c>
      <c r="AO291" s="7">
        <v>32.9</v>
      </c>
      <c r="AP291" s="9">
        <f t="shared" ref="AP291:AR291" si="909">AG291/$AF291</f>
        <v>112.226506</v>
      </c>
      <c r="AQ291" s="9">
        <f t="shared" si="909"/>
        <v>34.42168675</v>
      </c>
      <c r="AR291" s="9">
        <f t="shared" si="909"/>
        <v>53.2253012</v>
      </c>
      <c r="AS291" s="9">
        <f t="shared" si="11"/>
        <v>87.64698795</v>
      </c>
      <c r="AT291" s="9">
        <f t="shared" ref="AT291:AV291" si="910">AJ291/$AF291</f>
        <v>17.97108434</v>
      </c>
      <c r="AU291" s="9">
        <f t="shared" si="910"/>
        <v>5.473493976</v>
      </c>
      <c r="AV291" s="9">
        <f t="shared" si="910"/>
        <v>1.134939759</v>
      </c>
      <c r="AW291" s="9">
        <f t="shared" si="13"/>
        <v>6.608433735</v>
      </c>
      <c r="AX291" s="9">
        <f t="shared" ref="AX291:AY291" si="911">AM291/$AF291</f>
        <v>1.698795181</v>
      </c>
      <c r="AY291" s="9">
        <f t="shared" si="911"/>
        <v>0.421686747</v>
      </c>
      <c r="AZ291" s="9">
        <f>VLOOKUP(A291,Jogos!A:BN,58,0)</f>
        <v>20.155</v>
      </c>
      <c r="BA291" s="9">
        <f>VLOOKUP(A291,Jogos!A:BN,59,0)</f>
        <v>7.314</v>
      </c>
      <c r="BB291" s="9">
        <f>VLOOKUP(A291,Jogos!A:BN,60,0)</f>
        <v>43</v>
      </c>
      <c r="BC291" s="9">
        <f>VLOOKUP(A291,Jogos!A:BN,61,0)</f>
        <v>17.44</v>
      </c>
      <c r="BD291" s="9">
        <f>VLOOKUP(A291,Jogos!A:BN,62,0)</f>
        <v>649.8</v>
      </c>
      <c r="BE291" s="9">
        <f>VLOOKUP(A291,Jogos!A:BN,63,0)</f>
        <v>2.12</v>
      </c>
      <c r="BF291" s="9">
        <f>VLOOKUP(A291,Jogos!A:BN,64,0)</f>
        <v>15.76</v>
      </c>
      <c r="BG291" s="9">
        <f>VLOOKUP(A291,Jogos!A:BN,65,0)</f>
        <v>29.16</v>
      </c>
      <c r="BH291" s="9">
        <f>VLOOKUP(A291,Jogos!A:BN,66,0)</f>
        <v>18.88</v>
      </c>
      <c r="BI291" s="9"/>
    </row>
    <row r="292" hidden="1">
      <c r="A292" s="10">
        <v>10.0</v>
      </c>
      <c r="B292" s="11" t="s">
        <v>623</v>
      </c>
      <c r="C292" s="2" t="s">
        <v>61</v>
      </c>
      <c r="D292" s="12">
        <v>45825.0</v>
      </c>
      <c r="E292" s="13">
        <v>0.5</v>
      </c>
      <c r="F292" s="5" t="str">
        <f>VLOOKUP(A292,Jogos!A:N,10,0)</f>
        <v>Afternoon</v>
      </c>
      <c r="G292" s="11" t="s">
        <v>312</v>
      </c>
      <c r="H292" s="6" t="str">
        <f>VLOOKUP(A292,Jogos!A:L,12,0)</f>
        <v>Open</v>
      </c>
      <c r="I292" s="6" t="str">
        <f>VLOOKUP(G292,'Estádios e Cidades'!A:B,2,0)</f>
        <v>Seatte</v>
      </c>
      <c r="J292" s="11" t="s">
        <v>625</v>
      </c>
      <c r="K292" s="2" t="str">
        <f>VLOOKUP(J292,Equipes!A:F,6,0)</f>
        <v>Temperate</v>
      </c>
      <c r="L292" s="2">
        <f>VLOOKUP(J292,Equipes!A:C,3,0)</f>
        <v>32</v>
      </c>
      <c r="M292" s="2" t="str">
        <f t="shared" si="4"/>
        <v>Group</v>
      </c>
      <c r="N292" s="11" t="s">
        <v>624</v>
      </c>
      <c r="O292" s="2">
        <f>VLOOKUP(N292,Equipes!A:C,3,0)</f>
        <v>19</v>
      </c>
      <c r="P292" s="2" t="str">
        <f t="shared" si="5"/>
        <v>Group</v>
      </c>
      <c r="Q292" s="2">
        <f t="shared" si="6"/>
        <v>13</v>
      </c>
      <c r="R292" s="2" t="str">
        <f>VLOOKUP(J292,Equipes!A:B,2,0)</f>
        <v>Urawa</v>
      </c>
      <c r="S292" s="6" t="s">
        <v>672</v>
      </c>
      <c r="T292" s="7">
        <v>77.0</v>
      </c>
      <c r="U292" s="7" t="s">
        <v>673</v>
      </c>
      <c r="V292" s="7" t="str">
        <f>VLOOKUP(U292,Jogadores!B:C,2,0)</f>
        <v>MF</v>
      </c>
      <c r="W292" s="8">
        <f>VLOOKUP(U292,Jogadores!B:D,3,0)</f>
        <v>28.01369863</v>
      </c>
      <c r="X292" s="7">
        <v>0.0</v>
      </c>
      <c r="Y292" s="7">
        <v>71.0</v>
      </c>
      <c r="Z292" s="7">
        <f>VLOOKUP(A292,Jogos!A:L,3,0)</f>
        <v>47</v>
      </c>
      <c r="AA292" s="7">
        <f t="shared" si="7"/>
        <v>47</v>
      </c>
      <c r="AB292" s="7">
        <f>VLOOKUP(A292,Jogos!A:L,4,0)</f>
        <v>50</v>
      </c>
      <c r="AC292" s="7">
        <f t="shared" si="657"/>
        <v>26</v>
      </c>
      <c r="AD292" s="7"/>
      <c r="AE292" s="7"/>
      <c r="AF292" s="7">
        <f t="shared" si="9"/>
        <v>73</v>
      </c>
      <c r="AG292" s="7">
        <v>8297.3</v>
      </c>
      <c r="AH292" s="7">
        <v>2519.5</v>
      </c>
      <c r="AI292" s="7">
        <v>3439.7</v>
      </c>
      <c r="AJ292" s="7">
        <v>1485.3</v>
      </c>
      <c r="AK292" s="7">
        <v>663.8</v>
      </c>
      <c r="AL292" s="7">
        <v>189.0</v>
      </c>
      <c r="AM292" s="7">
        <v>127.0</v>
      </c>
      <c r="AN292" s="7">
        <v>58.0</v>
      </c>
      <c r="AO292" s="7">
        <v>32.5</v>
      </c>
      <c r="AP292" s="9">
        <f t="shared" ref="AP292:AR292" si="912">AG292/$AF292</f>
        <v>113.6616438</v>
      </c>
      <c r="AQ292" s="9">
        <f t="shared" si="912"/>
        <v>34.51369863</v>
      </c>
      <c r="AR292" s="9">
        <f t="shared" si="912"/>
        <v>47.11917808</v>
      </c>
      <c r="AS292" s="9">
        <f t="shared" si="11"/>
        <v>81.63287671</v>
      </c>
      <c r="AT292" s="9">
        <f t="shared" ref="AT292:AV292" si="913">AJ292/$AF292</f>
        <v>20.34657534</v>
      </c>
      <c r="AU292" s="9">
        <f t="shared" si="913"/>
        <v>9.093150685</v>
      </c>
      <c r="AV292" s="9">
        <f t="shared" si="913"/>
        <v>2.589041096</v>
      </c>
      <c r="AW292" s="9">
        <f t="shared" si="13"/>
        <v>11.68219178</v>
      </c>
      <c r="AX292" s="9">
        <f t="shared" ref="AX292:AY292" si="914">AM292/$AF292</f>
        <v>1.739726027</v>
      </c>
      <c r="AY292" s="9">
        <f t="shared" si="914"/>
        <v>0.7945205479</v>
      </c>
      <c r="AZ292" s="9">
        <f>VLOOKUP(A292,Jogos!A:BN,58,0)</f>
        <v>20.155</v>
      </c>
      <c r="BA292" s="9">
        <f>VLOOKUP(A292,Jogos!A:BN,59,0)</f>
        <v>7.314</v>
      </c>
      <c r="BB292" s="9">
        <f>VLOOKUP(A292,Jogos!A:BN,60,0)</f>
        <v>43</v>
      </c>
      <c r="BC292" s="9">
        <f>VLOOKUP(A292,Jogos!A:BN,61,0)</f>
        <v>17.44</v>
      </c>
      <c r="BD292" s="9">
        <f>VLOOKUP(A292,Jogos!A:BN,62,0)</f>
        <v>649.8</v>
      </c>
      <c r="BE292" s="9">
        <f>VLOOKUP(A292,Jogos!A:BN,63,0)</f>
        <v>2.12</v>
      </c>
      <c r="BF292" s="9">
        <f>VLOOKUP(A292,Jogos!A:BN,64,0)</f>
        <v>15.76</v>
      </c>
      <c r="BG292" s="9">
        <f>VLOOKUP(A292,Jogos!A:BN,65,0)</f>
        <v>29.16</v>
      </c>
      <c r="BH292" s="9">
        <f>VLOOKUP(A292,Jogos!A:BN,66,0)</f>
        <v>18.88</v>
      </c>
      <c r="BI292" s="9"/>
    </row>
    <row r="293" hidden="1">
      <c r="A293" s="10">
        <v>10.0</v>
      </c>
      <c r="B293" s="11" t="s">
        <v>623</v>
      </c>
      <c r="C293" s="2" t="s">
        <v>61</v>
      </c>
      <c r="D293" s="12">
        <v>45825.0</v>
      </c>
      <c r="E293" s="13">
        <v>0.5</v>
      </c>
      <c r="F293" s="5" t="str">
        <f>VLOOKUP(A293,Jogos!A:N,10,0)</f>
        <v>Afternoon</v>
      </c>
      <c r="G293" s="11" t="s">
        <v>312</v>
      </c>
      <c r="H293" s="6" t="str">
        <f>VLOOKUP(A293,Jogos!A:L,12,0)</f>
        <v>Open</v>
      </c>
      <c r="I293" s="6" t="str">
        <f>VLOOKUP(G293,'Estádios e Cidades'!A:B,2,0)</f>
        <v>Seatte</v>
      </c>
      <c r="J293" s="11" t="s">
        <v>625</v>
      </c>
      <c r="K293" s="2" t="str">
        <f>VLOOKUP(J293,Equipes!A:F,6,0)</f>
        <v>Temperate</v>
      </c>
      <c r="L293" s="2">
        <f>VLOOKUP(J293,Equipes!A:C,3,0)</f>
        <v>32</v>
      </c>
      <c r="M293" s="2" t="str">
        <f t="shared" si="4"/>
        <v>Group</v>
      </c>
      <c r="N293" s="11" t="s">
        <v>624</v>
      </c>
      <c r="O293" s="2">
        <f>VLOOKUP(N293,Equipes!A:C,3,0)</f>
        <v>19</v>
      </c>
      <c r="P293" s="2" t="str">
        <f t="shared" si="5"/>
        <v>Group</v>
      </c>
      <c r="Q293" s="2">
        <f t="shared" si="6"/>
        <v>13</v>
      </c>
      <c r="R293" s="2" t="str">
        <f>VLOOKUP(J293,Equipes!A:B,2,0)</f>
        <v>Urawa</v>
      </c>
      <c r="S293" s="6" t="s">
        <v>674</v>
      </c>
      <c r="T293" s="7">
        <v>88.0</v>
      </c>
      <c r="U293" s="7" t="s">
        <v>675</v>
      </c>
      <c r="V293" s="7" t="str">
        <f>VLOOKUP(U293,Jogadores!B:C,2,0)</f>
        <v>MF</v>
      </c>
      <c r="W293" s="8">
        <f>VLOOKUP(U293,Jogadores!B:D,3,0)</f>
        <v>28.30684932</v>
      </c>
      <c r="X293" s="7">
        <v>0.0</v>
      </c>
      <c r="Y293" s="7">
        <v>81.0</v>
      </c>
      <c r="Z293" s="7">
        <f>VLOOKUP(A293,Jogos!A:L,3,0)</f>
        <v>47</v>
      </c>
      <c r="AA293" s="7">
        <f t="shared" si="7"/>
        <v>47</v>
      </c>
      <c r="AB293" s="7">
        <f>VLOOKUP(A293,Jogos!A:L,4,0)</f>
        <v>50</v>
      </c>
      <c r="AC293" s="7">
        <f t="shared" si="657"/>
        <v>36</v>
      </c>
      <c r="AD293" s="7"/>
      <c r="AE293" s="7"/>
      <c r="AF293" s="7">
        <f t="shared" si="9"/>
        <v>83</v>
      </c>
      <c r="AG293" s="7">
        <v>8303.1</v>
      </c>
      <c r="AH293" s="7">
        <v>3185.3</v>
      </c>
      <c r="AI293" s="7">
        <v>3228.5</v>
      </c>
      <c r="AJ293" s="7">
        <v>1240.6</v>
      </c>
      <c r="AK293" s="7">
        <v>455.1</v>
      </c>
      <c r="AL293" s="7">
        <v>193.6</v>
      </c>
      <c r="AM293" s="7">
        <v>108.0</v>
      </c>
      <c r="AN293" s="7">
        <v>42.0</v>
      </c>
      <c r="AO293" s="7">
        <v>31.3</v>
      </c>
      <c r="AP293" s="9">
        <f t="shared" ref="AP293:AR293" si="915">AG293/$AF293</f>
        <v>100.0373494</v>
      </c>
      <c r="AQ293" s="9">
        <f t="shared" si="915"/>
        <v>38.37710843</v>
      </c>
      <c r="AR293" s="9">
        <f t="shared" si="915"/>
        <v>38.89759036</v>
      </c>
      <c r="AS293" s="9">
        <f t="shared" si="11"/>
        <v>77.2746988</v>
      </c>
      <c r="AT293" s="9">
        <f t="shared" ref="AT293:AV293" si="916">AJ293/$AF293</f>
        <v>14.94698795</v>
      </c>
      <c r="AU293" s="9">
        <f t="shared" si="916"/>
        <v>5.48313253</v>
      </c>
      <c r="AV293" s="9">
        <f t="shared" si="916"/>
        <v>2.33253012</v>
      </c>
      <c r="AW293" s="9">
        <f t="shared" si="13"/>
        <v>7.815662651</v>
      </c>
      <c r="AX293" s="9">
        <f t="shared" ref="AX293:AY293" si="917">AM293/$AF293</f>
        <v>1.301204819</v>
      </c>
      <c r="AY293" s="9">
        <f t="shared" si="917"/>
        <v>0.5060240964</v>
      </c>
      <c r="AZ293" s="9">
        <f>VLOOKUP(A293,Jogos!A:BN,58,0)</f>
        <v>20.155</v>
      </c>
      <c r="BA293" s="9">
        <f>VLOOKUP(A293,Jogos!A:BN,59,0)</f>
        <v>7.314</v>
      </c>
      <c r="BB293" s="9">
        <f>VLOOKUP(A293,Jogos!A:BN,60,0)</f>
        <v>43</v>
      </c>
      <c r="BC293" s="9">
        <f>VLOOKUP(A293,Jogos!A:BN,61,0)</f>
        <v>17.44</v>
      </c>
      <c r="BD293" s="9">
        <f>VLOOKUP(A293,Jogos!A:BN,62,0)</f>
        <v>649.8</v>
      </c>
      <c r="BE293" s="9">
        <f>VLOOKUP(A293,Jogos!A:BN,63,0)</f>
        <v>2.12</v>
      </c>
      <c r="BF293" s="9">
        <f>VLOOKUP(A293,Jogos!A:BN,64,0)</f>
        <v>15.76</v>
      </c>
      <c r="BG293" s="9">
        <f>VLOOKUP(A293,Jogos!A:BN,65,0)</f>
        <v>29.16</v>
      </c>
      <c r="BH293" s="9">
        <f>VLOOKUP(A293,Jogos!A:BN,66,0)</f>
        <v>18.88</v>
      </c>
      <c r="BI293" s="9"/>
    </row>
    <row r="294" hidden="1">
      <c r="A294" s="10">
        <v>10.0</v>
      </c>
      <c r="B294" s="11" t="s">
        <v>623</v>
      </c>
      <c r="C294" s="2" t="s">
        <v>61</v>
      </c>
      <c r="D294" s="12">
        <v>45825.0</v>
      </c>
      <c r="E294" s="13">
        <v>0.5</v>
      </c>
      <c r="F294" s="5" t="str">
        <f>VLOOKUP(A294,Jogos!A:N,10,0)</f>
        <v>Afternoon</v>
      </c>
      <c r="G294" s="11" t="s">
        <v>312</v>
      </c>
      <c r="H294" s="6" t="str">
        <f>VLOOKUP(A294,Jogos!A:L,12,0)</f>
        <v>Open</v>
      </c>
      <c r="I294" s="6" t="str">
        <f>VLOOKUP(G294,'Estádios e Cidades'!A:B,2,0)</f>
        <v>Seatte</v>
      </c>
      <c r="J294" s="11" t="s">
        <v>625</v>
      </c>
      <c r="K294" s="2" t="str">
        <f>VLOOKUP(J294,Equipes!A:F,6,0)</f>
        <v>Temperate</v>
      </c>
      <c r="L294" s="2">
        <f>VLOOKUP(J294,Equipes!A:C,3,0)</f>
        <v>32</v>
      </c>
      <c r="M294" s="2" t="str">
        <f t="shared" si="4"/>
        <v>Group</v>
      </c>
      <c r="N294" s="11" t="s">
        <v>624</v>
      </c>
      <c r="O294" s="2">
        <f>VLOOKUP(N294,Equipes!A:C,3,0)</f>
        <v>19</v>
      </c>
      <c r="P294" s="2" t="str">
        <f t="shared" si="5"/>
        <v>Group</v>
      </c>
      <c r="Q294" s="2">
        <f t="shared" si="6"/>
        <v>13</v>
      </c>
      <c r="R294" s="2" t="str">
        <f>VLOOKUP(J294,Equipes!A:B,2,0)</f>
        <v>Urawa</v>
      </c>
      <c r="S294" s="6" t="s">
        <v>676</v>
      </c>
      <c r="T294" s="7">
        <v>6.0</v>
      </c>
      <c r="U294" s="7" t="s">
        <v>677</v>
      </c>
      <c r="V294" s="7" t="str">
        <f>VLOOKUP(U294,Jogadores!B:C,2,0)</f>
        <v>MF</v>
      </c>
      <c r="W294" s="8">
        <f>VLOOKUP(U294,Jogadores!B:D,3,0)</f>
        <v>26.95068493</v>
      </c>
      <c r="X294" s="7">
        <v>81.0</v>
      </c>
      <c r="Y294" s="7">
        <f t="shared" ref="Y294:Y298" si="921">45+AB294</f>
        <v>95</v>
      </c>
      <c r="Z294" s="7">
        <f>VLOOKUP(A294,Jogos!A:L,3,0)</f>
        <v>47</v>
      </c>
      <c r="AA294" s="7">
        <f t="shared" si="7"/>
        <v>0</v>
      </c>
      <c r="AB294" s="7">
        <f>VLOOKUP(A294,Jogos!A:L,4,0)</f>
        <v>50</v>
      </c>
      <c r="AC294" s="7">
        <f t="shared" si="657"/>
        <v>14</v>
      </c>
      <c r="AD294" s="7"/>
      <c r="AE294" s="7"/>
      <c r="AF294" s="7">
        <f t="shared" si="9"/>
        <v>14</v>
      </c>
      <c r="AG294" s="7">
        <v>2289.7</v>
      </c>
      <c r="AH294" s="7">
        <v>436.2</v>
      </c>
      <c r="AI294" s="7">
        <v>1057.5</v>
      </c>
      <c r="AJ294" s="7">
        <v>594.6</v>
      </c>
      <c r="AK294" s="7">
        <v>158.1</v>
      </c>
      <c r="AL294" s="7">
        <v>43.4</v>
      </c>
      <c r="AM294" s="7">
        <v>49.0</v>
      </c>
      <c r="AN294" s="7">
        <v>12.0</v>
      </c>
      <c r="AO294" s="7">
        <v>26.6</v>
      </c>
      <c r="AP294" s="9">
        <f t="shared" ref="AP294:AR294" si="918">AG294/$AF294</f>
        <v>163.55</v>
      </c>
      <c r="AQ294" s="9">
        <f t="shared" si="918"/>
        <v>31.15714286</v>
      </c>
      <c r="AR294" s="9">
        <f t="shared" si="918"/>
        <v>75.53571429</v>
      </c>
      <c r="AS294" s="9">
        <f t="shared" si="11"/>
        <v>106.6928571</v>
      </c>
      <c r="AT294" s="9">
        <f t="shared" ref="AT294:AV294" si="919">AJ294/$AF294</f>
        <v>42.47142857</v>
      </c>
      <c r="AU294" s="9">
        <f t="shared" si="919"/>
        <v>11.29285714</v>
      </c>
      <c r="AV294" s="9">
        <f t="shared" si="919"/>
        <v>3.1</v>
      </c>
      <c r="AW294" s="9">
        <f t="shared" si="13"/>
        <v>14.39285714</v>
      </c>
      <c r="AX294" s="9">
        <f t="shared" ref="AX294:AY294" si="920">AM294/$AF294</f>
        <v>3.5</v>
      </c>
      <c r="AY294" s="9">
        <f t="shared" si="920"/>
        <v>0.8571428571</v>
      </c>
      <c r="AZ294" s="9">
        <f>VLOOKUP(A294,Jogos!A:BN,58,0)</f>
        <v>20.155</v>
      </c>
      <c r="BA294" s="9">
        <f>VLOOKUP(A294,Jogos!A:BN,59,0)</f>
        <v>7.314</v>
      </c>
      <c r="BB294" s="9">
        <f>VLOOKUP(A294,Jogos!A:BN,60,0)</f>
        <v>43</v>
      </c>
      <c r="BC294" s="9">
        <f>VLOOKUP(A294,Jogos!A:BN,61,0)</f>
        <v>17.44</v>
      </c>
      <c r="BD294" s="9">
        <f>VLOOKUP(A294,Jogos!A:BN,62,0)</f>
        <v>649.8</v>
      </c>
      <c r="BE294" s="9">
        <f>VLOOKUP(A294,Jogos!A:BN,63,0)</f>
        <v>2.12</v>
      </c>
      <c r="BF294" s="9">
        <f>VLOOKUP(A294,Jogos!A:BN,64,0)</f>
        <v>15.76</v>
      </c>
      <c r="BG294" s="9">
        <f>VLOOKUP(A294,Jogos!A:BN,65,0)</f>
        <v>29.16</v>
      </c>
      <c r="BH294" s="9">
        <f>VLOOKUP(A294,Jogos!A:BN,66,0)</f>
        <v>18.88</v>
      </c>
      <c r="BI294" s="9"/>
    </row>
    <row r="295" hidden="1">
      <c r="A295" s="10">
        <v>10.0</v>
      </c>
      <c r="B295" s="11" t="s">
        <v>623</v>
      </c>
      <c r="C295" s="2" t="s">
        <v>61</v>
      </c>
      <c r="D295" s="12">
        <v>45825.0</v>
      </c>
      <c r="E295" s="13">
        <v>0.5</v>
      </c>
      <c r="F295" s="5" t="str">
        <f>VLOOKUP(A295,Jogos!A:N,10,0)</f>
        <v>Afternoon</v>
      </c>
      <c r="G295" s="11" t="s">
        <v>312</v>
      </c>
      <c r="H295" s="6" t="str">
        <f>VLOOKUP(A295,Jogos!A:L,12,0)</f>
        <v>Open</v>
      </c>
      <c r="I295" s="6" t="str">
        <f>VLOOKUP(G295,'Estádios e Cidades'!A:B,2,0)</f>
        <v>Seatte</v>
      </c>
      <c r="J295" s="11" t="s">
        <v>625</v>
      </c>
      <c r="K295" s="2" t="str">
        <f>VLOOKUP(J295,Equipes!A:F,6,0)</f>
        <v>Temperate</v>
      </c>
      <c r="L295" s="2">
        <f>VLOOKUP(J295,Equipes!A:C,3,0)</f>
        <v>32</v>
      </c>
      <c r="M295" s="2" t="str">
        <f t="shared" si="4"/>
        <v>Group</v>
      </c>
      <c r="N295" s="11" t="s">
        <v>624</v>
      </c>
      <c r="O295" s="2">
        <f>VLOOKUP(N295,Equipes!A:C,3,0)</f>
        <v>19</v>
      </c>
      <c r="P295" s="2" t="str">
        <f t="shared" si="5"/>
        <v>Group</v>
      </c>
      <c r="Q295" s="2">
        <f t="shared" si="6"/>
        <v>13</v>
      </c>
      <c r="R295" s="2" t="str">
        <f>VLOOKUP(J295,Equipes!A:B,2,0)</f>
        <v>Urawa</v>
      </c>
      <c r="S295" s="6" t="s">
        <v>678</v>
      </c>
      <c r="T295" s="7">
        <v>9.0</v>
      </c>
      <c r="U295" s="7" t="s">
        <v>679</v>
      </c>
      <c r="V295" s="7" t="str">
        <f>VLOOKUP(U295,Jogadores!B:C,2,0)</f>
        <v>MF</v>
      </c>
      <c r="W295" s="8">
        <f>VLOOKUP(U295,Jogadores!B:D,3,0)</f>
        <v>34.24383562</v>
      </c>
      <c r="X295" s="7">
        <v>87.0</v>
      </c>
      <c r="Y295" s="7">
        <f t="shared" si="921"/>
        <v>95</v>
      </c>
      <c r="Z295" s="7">
        <f>VLOOKUP(A295,Jogos!A:L,3,0)</f>
        <v>47</v>
      </c>
      <c r="AA295" s="7">
        <f t="shared" si="7"/>
        <v>0</v>
      </c>
      <c r="AB295" s="7">
        <f>VLOOKUP(A295,Jogos!A:L,4,0)</f>
        <v>50</v>
      </c>
      <c r="AC295" s="7">
        <f t="shared" si="657"/>
        <v>8</v>
      </c>
      <c r="AD295" s="7"/>
      <c r="AE295" s="7"/>
      <c r="AF295" s="7">
        <f t="shared" si="9"/>
        <v>8</v>
      </c>
      <c r="AG295" s="7">
        <v>1237.3</v>
      </c>
      <c r="AH295" s="7">
        <v>253.1</v>
      </c>
      <c r="AI295" s="7">
        <v>539.1</v>
      </c>
      <c r="AJ295" s="7">
        <v>258.3</v>
      </c>
      <c r="AK295" s="7">
        <v>109.3</v>
      </c>
      <c r="AL295" s="7">
        <v>77.5</v>
      </c>
      <c r="AM295" s="7">
        <v>22.0</v>
      </c>
      <c r="AN295" s="7">
        <v>11.0</v>
      </c>
      <c r="AO295" s="7">
        <v>30.2</v>
      </c>
      <c r="AP295" s="9">
        <f t="shared" ref="AP295:AR295" si="922">AG295/$AF295</f>
        <v>154.6625</v>
      </c>
      <c r="AQ295" s="9">
        <f t="shared" si="922"/>
        <v>31.6375</v>
      </c>
      <c r="AR295" s="9">
        <f t="shared" si="922"/>
        <v>67.3875</v>
      </c>
      <c r="AS295" s="9">
        <f t="shared" si="11"/>
        <v>99.025</v>
      </c>
      <c r="AT295" s="9">
        <f t="shared" ref="AT295:AV295" si="923">AJ295/$AF295</f>
        <v>32.2875</v>
      </c>
      <c r="AU295" s="9">
        <f t="shared" si="923"/>
        <v>13.6625</v>
      </c>
      <c r="AV295" s="9">
        <f t="shared" si="923"/>
        <v>9.6875</v>
      </c>
      <c r="AW295" s="9">
        <f t="shared" si="13"/>
        <v>23.35</v>
      </c>
      <c r="AX295" s="9">
        <f t="shared" ref="AX295:AY295" si="924">AM295/$AF295</f>
        <v>2.75</v>
      </c>
      <c r="AY295" s="9">
        <f t="shared" si="924"/>
        <v>1.375</v>
      </c>
      <c r="AZ295" s="9">
        <f>VLOOKUP(A295,Jogos!A:BN,58,0)</f>
        <v>20.155</v>
      </c>
      <c r="BA295" s="9">
        <f>VLOOKUP(A295,Jogos!A:BN,59,0)</f>
        <v>7.314</v>
      </c>
      <c r="BB295" s="9">
        <f>VLOOKUP(A295,Jogos!A:BN,60,0)</f>
        <v>43</v>
      </c>
      <c r="BC295" s="9">
        <f>VLOOKUP(A295,Jogos!A:BN,61,0)</f>
        <v>17.44</v>
      </c>
      <c r="BD295" s="9">
        <f>VLOOKUP(A295,Jogos!A:BN,62,0)</f>
        <v>649.8</v>
      </c>
      <c r="BE295" s="9">
        <f>VLOOKUP(A295,Jogos!A:BN,63,0)</f>
        <v>2.12</v>
      </c>
      <c r="BF295" s="9">
        <f>VLOOKUP(A295,Jogos!A:BN,64,0)</f>
        <v>15.76</v>
      </c>
      <c r="BG295" s="9">
        <f>VLOOKUP(A295,Jogos!A:BN,65,0)</f>
        <v>29.16</v>
      </c>
      <c r="BH295" s="9">
        <f>VLOOKUP(A295,Jogos!A:BN,66,0)</f>
        <v>18.88</v>
      </c>
      <c r="BI295" s="9"/>
    </row>
    <row r="296" hidden="1">
      <c r="A296" s="10">
        <v>10.0</v>
      </c>
      <c r="B296" s="11" t="s">
        <v>623</v>
      </c>
      <c r="C296" s="2" t="s">
        <v>61</v>
      </c>
      <c r="D296" s="12">
        <v>45825.0</v>
      </c>
      <c r="E296" s="13">
        <v>0.5</v>
      </c>
      <c r="F296" s="5" t="str">
        <f>VLOOKUP(A296,Jogos!A:N,10,0)</f>
        <v>Afternoon</v>
      </c>
      <c r="G296" s="11" t="s">
        <v>312</v>
      </c>
      <c r="H296" s="6" t="str">
        <f>VLOOKUP(A296,Jogos!A:L,12,0)</f>
        <v>Open</v>
      </c>
      <c r="I296" s="6" t="str">
        <f>VLOOKUP(G296,'Estádios e Cidades'!A:B,2,0)</f>
        <v>Seatte</v>
      </c>
      <c r="J296" s="11" t="s">
        <v>625</v>
      </c>
      <c r="K296" s="2" t="str">
        <f>VLOOKUP(J296,Equipes!A:F,6,0)</f>
        <v>Temperate</v>
      </c>
      <c r="L296" s="2">
        <f>VLOOKUP(J296,Equipes!A:C,3,0)</f>
        <v>32</v>
      </c>
      <c r="M296" s="2" t="str">
        <f t="shared" si="4"/>
        <v>Group</v>
      </c>
      <c r="N296" s="11" t="s">
        <v>624</v>
      </c>
      <c r="O296" s="2">
        <f>VLOOKUP(N296,Equipes!A:C,3,0)</f>
        <v>19</v>
      </c>
      <c r="P296" s="2" t="str">
        <f t="shared" si="5"/>
        <v>Group</v>
      </c>
      <c r="Q296" s="2">
        <f t="shared" si="6"/>
        <v>13</v>
      </c>
      <c r="R296" s="2" t="str">
        <f>VLOOKUP(J296,Equipes!A:B,2,0)</f>
        <v>Urawa</v>
      </c>
      <c r="S296" s="6" t="s">
        <v>680</v>
      </c>
      <c r="T296" s="7">
        <v>12.0</v>
      </c>
      <c r="U296" s="7" t="s">
        <v>681</v>
      </c>
      <c r="V296" s="7" t="str">
        <f>VLOOKUP(U296,Jogadores!B:C,2,0)</f>
        <v>FW</v>
      </c>
      <c r="W296" s="8">
        <f>VLOOKUP(U296,Jogadores!B:D,3,0)</f>
        <v>32.49863014</v>
      </c>
      <c r="X296" s="7">
        <v>71.0</v>
      </c>
      <c r="Y296" s="7">
        <f t="shared" si="921"/>
        <v>95</v>
      </c>
      <c r="Z296" s="7">
        <f>VLOOKUP(A296,Jogos!A:L,3,0)</f>
        <v>47</v>
      </c>
      <c r="AA296" s="7">
        <f t="shared" si="7"/>
        <v>0</v>
      </c>
      <c r="AB296" s="7">
        <f>VLOOKUP(A296,Jogos!A:L,4,0)</f>
        <v>50</v>
      </c>
      <c r="AC296" s="7">
        <f t="shared" si="657"/>
        <v>24</v>
      </c>
      <c r="AD296" s="7"/>
      <c r="AE296" s="7"/>
      <c r="AF296" s="7">
        <f t="shared" si="9"/>
        <v>24</v>
      </c>
      <c r="AG296" s="7">
        <v>2614.2</v>
      </c>
      <c r="AH296" s="7">
        <v>903.9</v>
      </c>
      <c r="AI296" s="7">
        <v>984.6</v>
      </c>
      <c r="AJ296" s="7">
        <v>403.1</v>
      </c>
      <c r="AK296" s="7">
        <v>226.2</v>
      </c>
      <c r="AL296" s="7">
        <v>96.4</v>
      </c>
      <c r="AM296" s="7">
        <v>39.0</v>
      </c>
      <c r="AN296" s="7">
        <v>19.0</v>
      </c>
      <c r="AO296" s="7">
        <v>28.7</v>
      </c>
      <c r="AP296" s="9">
        <f t="shared" ref="AP296:AR296" si="925">AG296/$AF296</f>
        <v>108.925</v>
      </c>
      <c r="AQ296" s="9">
        <f t="shared" si="925"/>
        <v>37.6625</v>
      </c>
      <c r="AR296" s="9">
        <f t="shared" si="925"/>
        <v>41.025</v>
      </c>
      <c r="AS296" s="9">
        <f t="shared" si="11"/>
        <v>78.6875</v>
      </c>
      <c r="AT296" s="9">
        <f t="shared" ref="AT296:AV296" si="926">AJ296/$AF296</f>
        <v>16.79583333</v>
      </c>
      <c r="AU296" s="9">
        <f t="shared" si="926"/>
        <v>9.425</v>
      </c>
      <c r="AV296" s="9">
        <f t="shared" si="926"/>
        <v>4.016666667</v>
      </c>
      <c r="AW296" s="9">
        <f t="shared" si="13"/>
        <v>13.44166667</v>
      </c>
      <c r="AX296" s="9">
        <f t="shared" ref="AX296:AY296" si="927">AM296/$AF296</f>
        <v>1.625</v>
      </c>
      <c r="AY296" s="9">
        <f t="shared" si="927"/>
        <v>0.7916666667</v>
      </c>
      <c r="AZ296" s="9">
        <f>VLOOKUP(A296,Jogos!A:BN,58,0)</f>
        <v>20.155</v>
      </c>
      <c r="BA296" s="9">
        <f>VLOOKUP(A296,Jogos!A:BN,59,0)</f>
        <v>7.314</v>
      </c>
      <c r="BB296" s="9">
        <f>VLOOKUP(A296,Jogos!A:BN,60,0)</f>
        <v>43</v>
      </c>
      <c r="BC296" s="9">
        <f>VLOOKUP(A296,Jogos!A:BN,61,0)</f>
        <v>17.44</v>
      </c>
      <c r="BD296" s="9">
        <f>VLOOKUP(A296,Jogos!A:BN,62,0)</f>
        <v>649.8</v>
      </c>
      <c r="BE296" s="9">
        <f>VLOOKUP(A296,Jogos!A:BN,63,0)</f>
        <v>2.12</v>
      </c>
      <c r="BF296" s="9">
        <f>VLOOKUP(A296,Jogos!A:BN,64,0)</f>
        <v>15.76</v>
      </c>
      <c r="BG296" s="9">
        <f>VLOOKUP(A296,Jogos!A:BN,65,0)</f>
        <v>29.16</v>
      </c>
      <c r="BH296" s="9">
        <f>VLOOKUP(A296,Jogos!A:BN,66,0)</f>
        <v>18.88</v>
      </c>
      <c r="BI296" s="9"/>
    </row>
    <row r="297" hidden="1">
      <c r="A297" s="10">
        <v>10.0</v>
      </c>
      <c r="B297" s="11" t="s">
        <v>623</v>
      </c>
      <c r="C297" s="2" t="s">
        <v>61</v>
      </c>
      <c r="D297" s="12">
        <v>45825.0</v>
      </c>
      <c r="E297" s="13">
        <v>0.5</v>
      </c>
      <c r="F297" s="5" t="str">
        <f>VLOOKUP(A297,Jogos!A:N,10,0)</f>
        <v>Afternoon</v>
      </c>
      <c r="G297" s="11" t="s">
        <v>312</v>
      </c>
      <c r="H297" s="6" t="str">
        <f>VLOOKUP(A297,Jogos!A:L,12,0)</f>
        <v>Open</v>
      </c>
      <c r="I297" s="6" t="str">
        <f>VLOOKUP(G297,'Estádios e Cidades'!A:B,2,0)</f>
        <v>Seatte</v>
      </c>
      <c r="J297" s="11" t="s">
        <v>625</v>
      </c>
      <c r="K297" s="2" t="str">
        <f>VLOOKUP(J297,Equipes!A:F,6,0)</f>
        <v>Temperate</v>
      </c>
      <c r="L297" s="2">
        <f>VLOOKUP(J297,Equipes!A:C,3,0)</f>
        <v>32</v>
      </c>
      <c r="M297" s="2" t="str">
        <f t="shared" si="4"/>
        <v>Group</v>
      </c>
      <c r="N297" s="11" t="s">
        <v>624</v>
      </c>
      <c r="O297" s="2">
        <f>VLOOKUP(N297,Equipes!A:C,3,0)</f>
        <v>19</v>
      </c>
      <c r="P297" s="2" t="str">
        <f t="shared" si="5"/>
        <v>Group</v>
      </c>
      <c r="Q297" s="2">
        <f t="shared" si="6"/>
        <v>13</v>
      </c>
      <c r="R297" s="2" t="str">
        <f>VLOOKUP(J297,Equipes!A:B,2,0)</f>
        <v>Urawa</v>
      </c>
      <c r="S297" s="6" t="s">
        <v>682</v>
      </c>
      <c r="T297" s="7">
        <v>14.0</v>
      </c>
      <c r="U297" s="7" t="s">
        <v>683</v>
      </c>
      <c r="V297" s="7" t="str">
        <f>VLOOKUP(U297,Jogadores!B:C,2,0)</f>
        <v>MF</v>
      </c>
      <c r="W297" s="8">
        <f>VLOOKUP(U297,Jogadores!B:D,3,0)</f>
        <v>30.29589041</v>
      </c>
      <c r="X297" s="7">
        <v>71.0</v>
      </c>
      <c r="Y297" s="7">
        <f t="shared" si="921"/>
        <v>95</v>
      </c>
      <c r="Z297" s="7">
        <f>VLOOKUP(A297,Jogos!A:L,3,0)</f>
        <v>47</v>
      </c>
      <c r="AA297" s="7">
        <f t="shared" si="7"/>
        <v>0</v>
      </c>
      <c r="AB297" s="7">
        <f>VLOOKUP(A297,Jogos!A:L,4,0)</f>
        <v>50</v>
      </c>
      <c r="AC297" s="7">
        <f t="shared" si="657"/>
        <v>24</v>
      </c>
      <c r="AD297" s="7"/>
      <c r="AE297" s="7"/>
      <c r="AF297" s="7">
        <f t="shared" si="9"/>
        <v>24</v>
      </c>
      <c r="AG297" s="7">
        <v>2887.5</v>
      </c>
      <c r="AH297" s="7">
        <v>787.0</v>
      </c>
      <c r="AI297" s="7">
        <v>1281.1</v>
      </c>
      <c r="AJ297" s="7">
        <v>506.5</v>
      </c>
      <c r="AK297" s="7">
        <v>212.7</v>
      </c>
      <c r="AL297" s="7">
        <v>100.2</v>
      </c>
      <c r="AM297" s="7">
        <v>35.0</v>
      </c>
      <c r="AN297" s="7">
        <v>18.0</v>
      </c>
      <c r="AO297" s="7">
        <v>31.7</v>
      </c>
      <c r="AP297" s="9">
        <f t="shared" ref="AP297:AR297" si="928">AG297/$AF297</f>
        <v>120.3125</v>
      </c>
      <c r="AQ297" s="9">
        <f t="shared" si="928"/>
        <v>32.79166667</v>
      </c>
      <c r="AR297" s="9">
        <f t="shared" si="928"/>
        <v>53.37916667</v>
      </c>
      <c r="AS297" s="9">
        <f t="shared" si="11"/>
        <v>86.17083333</v>
      </c>
      <c r="AT297" s="9">
        <f t="shared" ref="AT297:AV297" si="929">AJ297/$AF297</f>
        <v>21.10416667</v>
      </c>
      <c r="AU297" s="9">
        <f t="shared" si="929"/>
        <v>8.8625</v>
      </c>
      <c r="AV297" s="9">
        <f t="shared" si="929"/>
        <v>4.175</v>
      </c>
      <c r="AW297" s="9">
        <f t="shared" si="13"/>
        <v>13.0375</v>
      </c>
      <c r="AX297" s="9">
        <f t="shared" ref="AX297:AY297" si="930">AM297/$AF297</f>
        <v>1.458333333</v>
      </c>
      <c r="AY297" s="9">
        <f t="shared" si="930"/>
        <v>0.75</v>
      </c>
      <c r="AZ297" s="9">
        <f>VLOOKUP(A297,Jogos!A:BN,58,0)</f>
        <v>20.155</v>
      </c>
      <c r="BA297" s="9">
        <f>VLOOKUP(A297,Jogos!A:BN,59,0)</f>
        <v>7.314</v>
      </c>
      <c r="BB297" s="9">
        <f>VLOOKUP(A297,Jogos!A:BN,60,0)</f>
        <v>43</v>
      </c>
      <c r="BC297" s="9">
        <f>VLOOKUP(A297,Jogos!A:BN,61,0)</f>
        <v>17.44</v>
      </c>
      <c r="BD297" s="9">
        <f>VLOOKUP(A297,Jogos!A:BN,62,0)</f>
        <v>649.8</v>
      </c>
      <c r="BE297" s="9">
        <f>VLOOKUP(A297,Jogos!A:BN,63,0)</f>
        <v>2.12</v>
      </c>
      <c r="BF297" s="9">
        <f>VLOOKUP(A297,Jogos!A:BN,64,0)</f>
        <v>15.76</v>
      </c>
      <c r="BG297" s="9">
        <f>VLOOKUP(A297,Jogos!A:BN,65,0)</f>
        <v>29.16</v>
      </c>
      <c r="BH297" s="9">
        <f>VLOOKUP(A297,Jogos!A:BN,66,0)</f>
        <v>18.88</v>
      </c>
      <c r="BI297" s="9"/>
    </row>
    <row r="298" hidden="1">
      <c r="A298" s="10">
        <v>10.0</v>
      </c>
      <c r="B298" s="11" t="s">
        <v>623</v>
      </c>
      <c r="C298" s="2" t="s">
        <v>61</v>
      </c>
      <c r="D298" s="12">
        <v>45825.0</v>
      </c>
      <c r="E298" s="13">
        <v>0.5</v>
      </c>
      <c r="F298" s="5" t="str">
        <f>VLOOKUP(A298,Jogos!A:N,10,0)</f>
        <v>Afternoon</v>
      </c>
      <c r="G298" s="11" t="s">
        <v>312</v>
      </c>
      <c r="H298" s="6" t="str">
        <f>VLOOKUP(A298,Jogos!A:L,12,0)</f>
        <v>Open</v>
      </c>
      <c r="I298" s="6" t="str">
        <f>VLOOKUP(G298,'Estádios e Cidades'!A:B,2,0)</f>
        <v>Seatte</v>
      </c>
      <c r="J298" s="11" t="s">
        <v>625</v>
      </c>
      <c r="K298" s="2" t="str">
        <f>VLOOKUP(J298,Equipes!A:F,6,0)</f>
        <v>Temperate</v>
      </c>
      <c r="L298" s="2">
        <f>VLOOKUP(J298,Equipes!A:C,3,0)</f>
        <v>32</v>
      </c>
      <c r="M298" s="2" t="str">
        <f t="shared" si="4"/>
        <v>Group</v>
      </c>
      <c r="N298" s="11" t="s">
        <v>624</v>
      </c>
      <c r="O298" s="2">
        <f>VLOOKUP(N298,Equipes!A:C,3,0)</f>
        <v>19</v>
      </c>
      <c r="P298" s="2" t="str">
        <f t="shared" si="5"/>
        <v>Group</v>
      </c>
      <c r="Q298" s="2">
        <f t="shared" si="6"/>
        <v>13</v>
      </c>
      <c r="R298" s="2" t="str">
        <f>VLOOKUP(J298,Equipes!A:B,2,0)</f>
        <v>Urawa</v>
      </c>
      <c r="S298" s="6" t="s">
        <v>684</v>
      </c>
      <c r="T298" s="7">
        <v>26.0</v>
      </c>
      <c r="U298" s="7" t="s">
        <v>685</v>
      </c>
      <c r="V298" s="7" t="str">
        <f>VLOOKUP(U298,Jogadores!B:C,2,0)</f>
        <v>DF</v>
      </c>
      <c r="W298" s="8">
        <f>VLOOKUP(U298,Jogadores!B:D,3,0)</f>
        <v>25.69589041</v>
      </c>
      <c r="X298" s="7">
        <v>81.0</v>
      </c>
      <c r="Y298" s="7">
        <f t="shared" si="921"/>
        <v>95</v>
      </c>
      <c r="Z298" s="7">
        <f>VLOOKUP(A298,Jogos!A:L,3,0)</f>
        <v>47</v>
      </c>
      <c r="AA298" s="7">
        <f t="shared" si="7"/>
        <v>0</v>
      </c>
      <c r="AB298" s="7">
        <f>VLOOKUP(A298,Jogos!A:L,4,0)</f>
        <v>50</v>
      </c>
      <c r="AC298" s="7">
        <f t="shared" si="657"/>
        <v>14</v>
      </c>
      <c r="AD298" s="7"/>
      <c r="AE298" s="7"/>
      <c r="AF298" s="7">
        <f t="shared" si="9"/>
        <v>14</v>
      </c>
      <c r="AG298" s="7">
        <v>1972.5</v>
      </c>
      <c r="AH298" s="7">
        <v>597.9</v>
      </c>
      <c r="AI298" s="7">
        <v>758.4</v>
      </c>
      <c r="AJ298" s="7">
        <v>255.3</v>
      </c>
      <c r="AK298" s="7">
        <v>249.5</v>
      </c>
      <c r="AL298" s="7">
        <v>111.5</v>
      </c>
      <c r="AM298" s="7">
        <v>21.0</v>
      </c>
      <c r="AN298" s="7">
        <v>20.0</v>
      </c>
      <c r="AO298" s="7">
        <v>31.9</v>
      </c>
      <c r="AP298" s="9">
        <f t="shared" ref="AP298:AR298" si="931">AG298/$AF298</f>
        <v>140.8928571</v>
      </c>
      <c r="AQ298" s="9">
        <f t="shared" si="931"/>
        <v>42.70714286</v>
      </c>
      <c r="AR298" s="9">
        <f t="shared" si="931"/>
        <v>54.17142857</v>
      </c>
      <c r="AS298" s="9">
        <f t="shared" si="11"/>
        <v>96.87857143</v>
      </c>
      <c r="AT298" s="9">
        <f t="shared" ref="AT298:AV298" si="932">AJ298/$AF298</f>
        <v>18.23571429</v>
      </c>
      <c r="AU298" s="9">
        <f t="shared" si="932"/>
        <v>17.82142857</v>
      </c>
      <c r="AV298" s="9">
        <f t="shared" si="932"/>
        <v>7.964285714</v>
      </c>
      <c r="AW298" s="9">
        <f t="shared" si="13"/>
        <v>25.78571429</v>
      </c>
      <c r="AX298" s="9">
        <f t="shared" ref="AX298:AY298" si="933">AM298/$AF298</f>
        <v>1.5</v>
      </c>
      <c r="AY298" s="9">
        <f t="shared" si="933"/>
        <v>1.428571429</v>
      </c>
      <c r="AZ298" s="9">
        <f>VLOOKUP(A298,Jogos!A:BN,58,0)</f>
        <v>20.155</v>
      </c>
      <c r="BA298" s="9">
        <f>VLOOKUP(A298,Jogos!A:BN,59,0)</f>
        <v>7.314</v>
      </c>
      <c r="BB298" s="9">
        <f>VLOOKUP(A298,Jogos!A:BN,60,0)</f>
        <v>43</v>
      </c>
      <c r="BC298" s="9">
        <f>VLOOKUP(A298,Jogos!A:BN,61,0)</f>
        <v>17.44</v>
      </c>
      <c r="BD298" s="9">
        <f>VLOOKUP(A298,Jogos!A:BN,62,0)</f>
        <v>649.8</v>
      </c>
      <c r="BE298" s="9">
        <f>VLOOKUP(A298,Jogos!A:BN,63,0)</f>
        <v>2.12</v>
      </c>
      <c r="BF298" s="9">
        <f>VLOOKUP(A298,Jogos!A:BN,64,0)</f>
        <v>15.76</v>
      </c>
      <c r="BG298" s="9">
        <f>VLOOKUP(A298,Jogos!A:BN,65,0)</f>
        <v>29.16</v>
      </c>
      <c r="BH298" s="9">
        <f>VLOOKUP(A298,Jogos!A:BN,66,0)</f>
        <v>18.88</v>
      </c>
      <c r="BI298" s="9"/>
    </row>
    <row r="299" hidden="1">
      <c r="A299" s="2">
        <v>11.0</v>
      </c>
      <c r="B299" s="11" t="s">
        <v>562</v>
      </c>
      <c r="C299" s="2" t="s">
        <v>61</v>
      </c>
      <c r="D299" s="3">
        <v>45825.0</v>
      </c>
      <c r="E299" s="4">
        <v>0.7951388888888888</v>
      </c>
      <c r="F299" s="5" t="str">
        <f>VLOOKUP(A299,Jogos!A:N,10,0)</f>
        <v>Evening</v>
      </c>
      <c r="G299" s="2" t="s">
        <v>686</v>
      </c>
      <c r="H299" s="6" t="str">
        <f>VLOOKUP(A299,Jogos!A:L,12,0)</f>
        <v>Open</v>
      </c>
      <c r="I299" s="6" t="str">
        <f>VLOOKUP(G299,'Estádios e Cidades'!A:B,2,0)</f>
        <v>Orlando</v>
      </c>
      <c r="J299" s="2" t="s">
        <v>687</v>
      </c>
      <c r="K299" s="2" t="str">
        <f>VLOOKUP(J299,Equipes!A:F,6,0)</f>
        <v>Temperate</v>
      </c>
      <c r="L299" s="2">
        <f>VLOOKUP(J299,Equipes!A:C,3,0)</f>
        <v>28</v>
      </c>
      <c r="M299" s="2" t="str">
        <f t="shared" si="4"/>
        <v>Group</v>
      </c>
      <c r="N299" s="2" t="s">
        <v>688</v>
      </c>
      <c r="O299" s="2">
        <f>VLOOKUP(N299,Equipes!A:C,3,0)</f>
        <v>18</v>
      </c>
      <c r="P299" s="2" t="str">
        <f t="shared" si="5"/>
        <v>Group</v>
      </c>
      <c r="Q299" s="2">
        <f t="shared" si="6"/>
        <v>10</v>
      </c>
      <c r="R299" s="2" t="str">
        <f>VLOOKUP(J299,Equipes!A:B,2,0)</f>
        <v>Ulsan</v>
      </c>
      <c r="S299" s="6" t="s">
        <v>689</v>
      </c>
      <c r="T299" s="7">
        <v>4.0</v>
      </c>
      <c r="U299" s="7" t="s">
        <v>690</v>
      </c>
      <c r="V299" s="7" t="str">
        <f>VLOOKUP(U299,Jogadores!B:C,2,0)</f>
        <v>DF</v>
      </c>
      <c r="W299" s="8">
        <f>VLOOKUP(U299,Jogadores!B:D,3,0)</f>
        <v>22.69315068</v>
      </c>
      <c r="X299" s="7">
        <v>0.0</v>
      </c>
      <c r="Y299" s="7">
        <v>80.0</v>
      </c>
      <c r="Z299" s="7">
        <f>VLOOKUP(A299,Jogos!A:L,3,0)</f>
        <v>48</v>
      </c>
      <c r="AA299" s="7">
        <f t="shared" si="7"/>
        <v>48</v>
      </c>
      <c r="AB299" s="7">
        <f>VLOOKUP(A299,Jogos!A:L,4,0)</f>
        <v>50</v>
      </c>
      <c r="AC299" s="7">
        <f t="shared" si="657"/>
        <v>35</v>
      </c>
      <c r="AD299" s="7"/>
      <c r="AE299" s="7"/>
      <c r="AF299" s="7">
        <f t="shared" si="9"/>
        <v>83</v>
      </c>
      <c r="AG299" s="7">
        <v>8216.0</v>
      </c>
      <c r="AH299" s="7">
        <v>3131.6</v>
      </c>
      <c r="AI299" s="7">
        <v>3525.2</v>
      </c>
      <c r="AJ299" s="7">
        <v>924.8</v>
      </c>
      <c r="AK299" s="7">
        <v>426.0</v>
      </c>
      <c r="AL299" s="7">
        <v>208.3</v>
      </c>
      <c r="AM299" s="7">
        <v>85.0</v>
      </c>
      <c r="AN299" s="7">
        <v>34.0</v>
      </c>
      <c r="AO299" s="7">
        <v>31.2</v>
      </c>
      <c r="AP299" s="9">
        <f t="shared" ref="AP299:AR299" si="934">AG299/$AF299</f>
        <v>98.98795181</v>
      </c>
      <c r="AQ299" s="9">
        <f t="shared" si="934"/>
        <v>37.73012048</v>
      </c>
      <c r="AR299" s="9">
        <f t="shared" si="934"/>
        <v>42.47228916</v>
      </c>
      <c r="AS299" s="9">
        <f t="shared" si="11"/>
        <v>80.20240964</v>
      </c>
      <c r="AT299" s="9">
        <f t="shared" ref="AT299:AV299" si="935">AJ299/$AF299</f>
        <v>11.14216867</v>
      </c>
      <c r="AU299" s="9">
        <f t="shared" si="935"/>
        <v>5.13253012</v>
      </c>
      <c r="AV299" s="9">
        <f t="shared" si="935"/>
        <v>2.509638554</v>
      </c>
      <c r="AW299" s="9">
        <f t="shared" si="13"/>
        <v>7.642168675</v>
      </c>
      <c r="AX299" s="9">
        <f t="shared" ref="AX299:AY299" si="936">AM299/$AF299</f>
        <v>1.024096386</v>
      </c>
      <c r="AY299" s="9">
        <f t="shared" si="936"/>
        <v>0.4096385542</v>
      </c>
      <c r="AZ299" s="9">
        <f>VLOOKUP(A299,Jogos!A:BN,58,0)</f>
        <v>29</v>
      </c>
      <c r="BA299" s="9">
        <f>VLOOKUP(A299,Jogos!A:BN,59,0)</f>
        <v>22.40333333</v>
      </c>
      <c r="BB299" s="9">
        <f>VLOOKUP(A299,Jogos!A:BN,60,0)</f>
        <v>67</v>
      </c>
      <c r="BC299" s="9">
        <f>VLOOKUP(A299,Jogos!A:BN,61,0)</f>
        <v>28.77666667</v>
      </c>
      <c r="BD299" s="9">
        <f>VLOOKUP(A299,Jogos!A:BN,62,0)</f>
        <v>105.8333333</v>
      </c>
      <c r="BE299" s="9">
        <f>VLOOKUP(A299,Jogos!A:BN,63,0)</f>
        <v>2.643333333</v>
      </c>
      <c r="BF299" s="9">
        <f>VLOOKUP(A299,Jogos!A:BN,64,0)</f>
        <v>24.72</v>
      </c>
      <c r="BG299" s="9">
        <f>VLOOKUP(A299,Jogos!A:BN,65,0)</f>
        <v>42.81333333</v>
      </c>
      <c r="BH299" s="9">
        <f>VLOOKUP(A299,Jogos!A:BN,66,0)</f>
        <v>28.76666667</v>
      </c>
      <c r="BI299" s="9"/>
    </row>
    <row r="300" hidden="1">
      <c r="A300" s="2">
        <v>11.0</v>
      </c>
      <c r="B300" s="11" t="s">
        <v>562</v>
      </c>
      <c r="C300" s="2" t="s">
        <v>61</v>
      </c>
      <c r="D300" s="3">
        <v>45825.0</v>
      </c>
      <c r="E300" s="4">
        <v>0.7951388888888888</v>
      </c>
      <c r="F300" s="5" t="str">
        <f>VLOOKUP(A300,Jogos!A:N,10,0)</f>
        <v>Evening</v>
      </c>
      <c r="G300" s="2" t="s">
        <v>686</v>
      </c>
      <c r="H300" s="6" t="str">
        <f>VLOOKUP(A300,Jogos!A:L,12,0)</f>
        <v>Open</v>
      </c>
      <c r="I300" s="6" t="str">
        <f>VLOOKUP(G300,'Estádios e Cidades'!A:B,2,0)</f>
        <v>Orlando</v>
      </c>
      <c r="J300" s="2" t="s">
        <v>687</v>
      </c>
      <c r="K300" s="2" t="str">
        <f>VLOOKUP(J300,Equipes!A:F,6,0)</f>
        <v>Temperate</v>
      </c>
      <c r="L300" s="2">
        <f>VLOOKUP(J300,Equipes!A:C,3,0)</f>
        <v>28</v>
      </c>
      <c r="M300" s="2" t="str">
        <f t="shared" si="4"/>
        <v>Group</v>
      </c>
      <c r="N300" s="2" t="s">
        <v>688</v>
      </c>
      <c r="O300" s="2">
        <f>VLOOKUP(N300,Equipes!A:C,3,0)</f>
        <v>18</v>
      </c>
      <c r="P300" s="2" t="str">
        <f t="shared" si="5"/>
        <v>Group</v>
      </c>
      <c r="Q300" s="2">
        <f t="shared" si="6"/>
        <v>10</v>
      </c>
      <c r="R300" s="2" t="str">
        <f>VLOOKUP(J300,Equipes!A:B,2,0)</f>
        <v>Ulsan</v>
      </c>
      <c r="S300" s="6" t="s">
        <v>691</v>
      </c>
      <c r="T300" s="7">
        <v>5.0</v>
      </c>
      <c r="U300" s="7" t="s">
        <v>692</v>
      </c>
      <c r="V300" s="7" t="str">
        <f>VLOOKUP(U300,Jogadores!B:C,2,0)</f>
        <v>MF</v>
      </c>
      <c r="W300" s="8">
        <f>VLOOKUP(U300,Jogadores!B:D,3,0)</f>
        <v>35.64383562</v>
      </c>
      <c r="X300" s="7">
        <v>0.0</v>
      </c>
      <c r="Y300" s="7">
        <v>73.0</v>
      </c>
      <c r="Z300" s="7">
        <f>VLOOKUP(A300,Jogos!A:L,3,0)</f>
        <v>48</v>
      </c>
      <c r="AA300" s="7">
        <f t="shared" si="7"/>
        <v>48</v>
      </c>
      <c r="AB300" s="7">
        <f>VLOOKUP(A300,Jogos!A:L,4,0)</f>
        <v>50</v>
      </c>
      <c r="AC300" s="7">
        <f t="shared" si="657"/>
        <v>28</v>
      </c>
      <c r="AD300" s="7"/>
      <c r="AE300" s="7"/>
      <c r="AF300" s="7">
        <f t="shared" si="9"/>
        <v>76</v>
      </c>
      <c r="AG300" s="7">
        <v>8696.6</v>
      </c>
      <c r="AH300" s="7">
        <v>3151.9</v>
      </c>
      <c r="AI300" s="7">
        <v>3765.9</v>
      </c>
      <c r="AJ300" s="7">
        <v>1282.7</v>
      </c>
      <c r="AK300" s="7">
        <v>420.6</v>
      </c>
      <c r="AL300" s="7">
        <v>75.6</v>
      </c>
      <c r="AM300" s="7">
        <v>116.0</v>
      </c>
      <c r="AN300" s="7">
        <v>31.0</v>
      </c>
      <c r="AO300" s="7">
        <v>28.6</v>
      </c>
      <c r="AP300" s="9">
        <f t="shared" ref="AP300:AR300" si="937">AG300/$AF300</f>
        <v>114.4289474</v>
      </c>
      <c r="AQ300" s="9">
        <f t="shared" si="937"/>
        <v>41.47236842</v>
      </c>
      <c r="AR300" s="9">
        <f t="shared" si="937"/>
        <v>49.55131579</v>
      </c>
      <c r="AS300" s="9">
        <f t="shared" si="11"/>
        <v>91.02368421</v>
      </c>
      <c r="AT300" s="9">
        <f t="shared" ref="AT300:AV300" si="938">AJ300/$AF300</f>
        <v>16.87763158</v>
      </c>
      <c r="AU300" s="9">
        <f t="shared" si="938"/>
        <v>5.534210526</v>
      </c>
      <c r="AV300" s="9">
        <f t="shared" si="938"/>
        <v>0.9947368421</v>
      </c>
      <c r="AW300" s="9">
        <f t="shared" si="13"/>
        <v>6.528947368</v>
      </c>
      <c r="AX300" s="9">
        <f t="shared" ref="AX300:AY300" si="939">AM300/$AF300</f>
        <v>1.526315789</v>
      </c>
      <c r="AY300" s="9">
        <f t="shared" si="939"/>
        <v>0.4078947368</v>
      </c>
      <c r="AZ300" s="9">
        <f>VLOOKUP(A300,Jogos!A:BN,58,0)</f>
        <v>29</v>
      </c>
      <c r="BA300" s="9">
        <f>VLOOKUP(A300,Jogos!A:BN,59,0)</f>
        <v>22.40333333</v>
      </c>
      <c r="BB300" s="9">
        <f>VLOOKUP(A300,Jogos!A:BN,60,0)</f>
        <v>67</v>
      </c>
      <c r="BC300" s="9">
        <f>VLOOKUP(A300,Jogos!A:BN,61,0)</f>
        <v>28.77666667</v>
      </c>
      <c r="BD300" s="9">
        <f>VLOOKUP(A300,Jogos!A:BN,62,0)</f>
        <v>105.8333333</v>
      </c>
      <c r="BE300" s="9">
        <f>VLOOKUP(A300,Jogos!A:BN,63,0)</f>
        <v>2.643333333</v>
      </c>
      <c r="BF300" s="9">
        <f>VLOOKUP(A300,Jogos!A:BN,64,0)</f>
        <v>24.72</v>
      </c>
      <c r="BG300" s="9">
        <f>VLOOKUP(A300,Jogos!A:BN,65,0)</f>
        <v>42.81333333</v>
      </c>
      <c r="BH300" s="9">
        <f>VLOOKUP(A300,Jogos!A:BN,66,0)</f>
        <v>28.76666667</v>
      </c>
      <c r="BI300" s="9"/>
    </row>
    <row r="301" hidden="1">
      <c r="A301" s="2">
        <v>11.0</v>
      </c>
      <c r="B301" s="11" t="s">
        <v>562</v>
      </c>
      <c r="C301" s="2" t="s">
        <v>61</v>
      </c>
      <c r="D301" s="3">
        <v>45825.0</v>
      </c>
      <c r="E301" s="4">
        <v>0.7951388888888888</v>
      </c>
      <c r="F301" s="5" t="str">
        <f>VLOOKUP(A301,Jogos!A:N,10,0)</f>
        <v>Evening</v>
      </c>
      <c r="G301" s="2" t="s">
        <v>686</v>
      </c>
      <c r="H301" s="6" t="str">
        <f>VLOOKUP(A301,Jogos!A:L,12,0)</f>
        <v>Open</v>
      </c>
      <c r="I301" s="6" t="str">
        <f>VLOOKUP(G301,'Estádios e Cidades'!A:B,2,0)</f>
        <v>Orlando</v>
      </c>
      <c r="J301" s="2" t="s">
        <v>687</v>
      </c>
      <c r="K301" s="2" t="str">
        <f>VLOOKUP(J301,Equipes!A:F,6,0)</f>
        <v>Temperate</v>
      </c>
      <c r="L301" s="2">
        <f>VLOOKUP(J301,Equipes!A:C,3,0)</f>
        <v>28</v>
      </c>
      <c r="M301" s="2" t="str">
        <f t="shared" si="4"/>
        <v>Group</v>
      </c>
      <c r="N301" s="2" t="s">
        <v>688</v>
      </c>
      <c r="O301" s="2">
        <f>VLOOKUP(N301,Equipes!A:C,3,0)</f>
        <v>18</v>
      </c>
      <c r="P301" s="2" t="str">
        <f t="shared" si="5"/>
        <v>Group</v>
      </c>
      <c r="Q301" s="2">
        <f t="shared" si="6"/>
        <v>10</v>
      </c>
      <c r="R301" s="2" t="str">
        <f>VLOOKUP(J301,Equipes!A:B,2,0)</f>
        <v>Ulsan</v>
      </c>
      <c r="S301" s="6" t="s">
        <v>693</v>
      </c>
      <c r="T301" s="7">
        <v>6.0</v>
      </c>
      <c r="U301" s="7" t="s">
        <v>694</v>
      </c>
      <c r="V301" s="7" t="str">
        <f>VLOOKUP(U301,Jogadores!B:C,2,0)</f>
        <v>MF</v>
      </c>
      <c r="W301" s="8">
        <f>VLOOKUP(U301,Jogadores!B:D,3,0)</f>
        <v>30.60273973</v>
      </c>
      <c r="X301" s="7">
        <v>0.0</v>
      </c>
      <c r="Y301" s="7">
        <v>73.0</v>
      </c>
      <c r="Z301" s="7">
        <f>VLOOKUP(A301,Jogos!A:L,3,0)</f>
        <v>48</v>
      </c>
      <c r="AA301" s="7">
        <f t="shared" si="7"/>
        <v>48</v>
      </c>
      <c r="AB301" s="7">
        <f>VLOOKUP(A301,Jogos!A:L,4,0)</f>
        <v>50</v>
      </c>
      <c r="AC301" s="7">
        <f t="shared" si="657"/>
        <v>28</v>
      </c>
      <c r="AD301" s="7"/>
      <c r="AE301" s="7"/>
      <c r="AF301" s="7">
        <f t="shared" si="9"/>
        <v>76</v>
      </c>
      <c r="AG301" s="7">
        <v>8711.0</v>
      </c>
      <c r="AH301" s="7">
        <v>2619.9</v>
      </c>
      <c r="AI301" s="7">
        <v>4549.6</v>
      </c>
      <c r="AJ301" s="7">
        <v>1190.5</v>
      </c>
      <c r="AK301" s="7">
        <v>298.6</v>
      </c>
      <c r="AL301" s="7">
        <v>52.4</v>
      </c>
      <c r="AM301" s="7">
        <v>105.0</v>
      </c>
      <c r="AN301" s="7">
        <v>20.0</v>
      </c>
      <c r="AO301" s="7">
        <v>28.8</v>
      </c>
      <c r="AP301" s="9">
        <f t="shared" ref="AP301:AR301" si="940">AG301/$AF301</f>
        <v>114.6184211</v>
      </c>
      <c r="AQ301" s="9">
        <f t="shared" si="940"/>
        <v>34.47236842</v>
      </c>
      <c r="AR301" s="9">
        <f t="shared" si="940"/>
        <v>59.86315789</v>
      </c>
      <c r="AS301" s="9">
        <f t="shared" si="11"/>
        <v>94.33552632</v>
      </c>
      <c r="AT301" s="9">
        <f t="shared" ref="AT301:AV301" si="941">AJ301/$AF301</f>
        <v>15.66447368</v>
      </c>
      <c r="AU301" s="9">
        <f t="shared" si="941"/>
        <v>3.928947368</v>
      </c>
      <c r="AV301" s="9">
        <f t="shared" si="941"/>
        <v>0.6894736842</v>
      </c>
      <c r="AW301" s="9">
        <f t="shared" si="13"/>
        <v>4.618421053</v>
      </c>
      <c r="AX301" s="9">
        <f t="shared" ref="AX301:AY301" si="942">AM301/$AF301</f>
        <v>1.381578947</v>
      </c>
      <c r="AY301" s="9">
        <f t="shared" si="942"/>
        <v>0.2631578947</v>
      </c>
      <c r="AZ301" s="9">
        <f>VLOOKUP(A301,Jogos!A:BN,58,0)</f>
        <v>29</v>
      </c>
      <c r="BA301" s="9">
        <f>VLOOKUP(A301,Jogos!A:BN,59,0)</f>
        <v>22.40333333</v>
      </c>
      <c r="BB301" s="9">
        <f>VLOOKUP(A301,Jogos!A:BN,60,0)</f>
        <v>67</v>
      </c>
      <c r="BC301" s="9">
        <f>VLOOKUP(A301,Jogos!A:BN,61,0)</f>
        <v>28.77666667</v>
      </c>
      <c r="BD301" s="9">
        <f>VLOOKUP(A301,Jogos!A:BN,62,0)</f>
        <v>105.8333333</v>
      </c>
      <c r="BE301" s="9">
        <f>VLOOKUP(A301,Jogos!A:BN,63,0)</f>
        <v>2.643333333</v>
      </c>
      <c r="BF301" s="9">
        <f>VLOOKUP(A301,Jogos!A:BN,64,0)</f>
        <v>24.72</v>
      </c>
      <c r="BG301" s="9">
        <f>VLOOKUP(A301,Jogos!A:BN,65,0)</f>
        <v>42.81333333</v>
      </c>
      <c r="BH301" s="9">
        <f>VLOOKUP(A301,Jogos!A:BN,66,0)</f>
        <v>28.76666667</v>
      </c>
      <c r="BI301" s="9"/>
    </row>
    <row r="302" hidden="1">
      <c r="A302" s="2">
        <v>11.0</v>
      </c>
      <c r="B302" s="11" t="s">
        <v>562</v>
      </c>
      <c r="C302" s="2" t="s">
        <v>61</v>
      </c>
      <c r="D302" s="3">
        <v>45825.0</v>
      </c>
      <c r="E302" s="4">
        <v>0.7951388888888888</v>
      </c>
      <c r="F302" s="5" t="str">
        <f>VLOOKUP(A302,Jogos!A:N,10,0)</f>
        <v>Evening</v>
      </c>
      <c r="G302" s="2" t="s">
        <v>686</v>
      </c>
      <c r="H302" s="6" t="str">
        <f>VLOOKUP(A302,Jogos!A:L,12,0)</f>
        <v>Open</v>
      </c>
      <c r="I302" s="6" t="str">
        <f>VLOOKUP(G302,'Estádios e Cidades'!A:B,2,0)</f>
        <v>Orlando</v>
      </c>
      <c r="J302" s="2" t="s">
        <v>687</v>
      </c>
      <c r="K302" s="2" t="str">
        <f>VLOOKUP(J302,Equipes!A:F,6,0)</f>
        <v>Temperate</v>
      </c>
      <c r="L302" s="2">
        <f>VLOOKUP(J302,Equipes!A:C,3,0)</f>
        <v>28</v>
      </c>
      <c r="M302" s="2" t="str">
        <f t="shared" si="4"/>
        <v>Group</v>
      </c>
      <c r="N302" s="2" t="s">
        <v>688</v>
      </c>
      <c r="O302" s="2">
        <f>VLOOKUP(N302,Equipes!A:C,3,0)</f>
        <v>18</v>
      </c>
      <c r="P302" s="2" t="str">
        <f t="shared" si="5"/>
        <v>Group</v>
      </c>
      <c r="Q302" s="2">
        <f t="shared" si="6"/>
        <v>10</v>
      </c>
      <c r="R302" s="2" t="str">
        <f>VLOOKUP(J302,Equipes!A:B,2,0)</f>
        <v>Ulsan</v>
      </c>
      <c r="S302" s="6" t="s">
        <v>695</v>
      </c>
      <c r="T302" s="7">
        <v>7.0</v>
      </c>
      <c r="U302" s="7" t="s">
        <v>696</v>
      </c>
      <c r="V302" s="7" t="str">
        <f>VLOOKUP(U302,Jogadores!B:C,2,0)</f>
        <v>MF</v>
      </c>
      <c r="W302" s="8">
        <f>VLOOKUP(U302,Jogadores!B:D,3,0)</f>
        <v>31.28219178</v>
      </c>
      <c r="X302" s="7">
        <v>0.0</v>
      </c>
      <c r="Y302" s="7">
        <f t="shared" ref="Y302:Y305" si="946">45+AB302</f>
        <v>95</v>
      </c>
      <c r="Z302" s="7">
        <f>VLOOKUP(A302,Jogos!A:L,3,0)</f>
        <v>48</v>
      </c>
      <c r="AA302" s="7">
        <f t="shared" si="7"/>
        <v>48</v>
      </c>
      <c r="AB302" s="7">
        <f>VLOOKUP(A302,Jogos!A:L,4,0)</f>
        <v>50</v>
      </c>
      <c r="AC302" s="7">
        <f t="shared" si="657"/>
        <v>50</v>
      </c>
      <c r="AD302" s="7"/>
      <c r="AE302" s="7"/>
      <c r="AF302" s="7">
        <f t="shared" si="9"/>
        <v>98</v>
      </c>
      <c r="AG302" s="7">
        <v>11990.3</v>
      </c>
      <c r="AH302" s="7">
        <v>3587.5</v>
      </c>
      <c r="AI302" s="7">
        <v>5319.2</v>
      </c>
      <c r="AJ302" s="7">
        <v>2037.7</v>
      </c>
      <c r="AK302" s="7">
        <v>835.0</v>
      </c>
      <c r="AL302" s="7">
        <v>210.9</v>
      </c>
      <c r="AM302" s="7">
        <v>190.0</v>
      </c>
      <c r="AN302" s="7">
        <v>69.0</v>
      </c>
      <c r="AO302" s="7">
        <v>30.0</v>
      </c>
      <c r="AP302" s="9">
        <f t="shared" ref="AP302:AR302" si="943">AG302/$AF302</f>
        <v>122.35</v>
      </c>
      <c r="AQ302" s="9">
        <f t="shared" si="943"/>
        <v>36.60714286</v>
      </c>
      <c r="AR302" s="9">
        <f t="shared" si="943"/>
        <v>54.27755102</v>
      </c>
      <c r="AS302" s="9">
        <f t="shared" si="11"/>
        <v>90.88469388</v>
      </c>
      <c r="AT302" s="9">
        <f t="shared" ref="AT302:AV302" si="944">AJ302/$AF302</f>
        <v>20.79285714</v>
      </c>
      <c r="AU302" s="9">
        <f t="shared" si="944"/>
        <v>8.520408163</v>
      </c>
      <c r="AV302" s="9">
        <f t="shared" si="944"/>
        <v>2.152040816</v>
      </c>
      <c r="AW302" s="9">
        <f t="shared" si="13"/>
        <v>10.67244898</v>
      </c>
      <c r="AX302" s="9">
        <f t="shared" ref="AX302:AY302" si="945">AM302/$AF302</f>
        <v>1.93877551</v>
      </c>
      <c r="AY302" s="9">
        <f t="shared" si="945"/>
        <v>0.7040816327</v>
      </c>
      <c r="AZ302" s="9">
        <f>VLOOKUP(A302,Jogos!A:BN,58,0)</f>
        <v>29</v>
      </c>
      <c r="BA302" s="9">
        <f>VLOOKUP(A302,Jogos!A:BN,59,0)</f>
        <v>22.40333333</v>
      </c>
      <c r="BB302" s="9">
        <f>VLOOKUP(A302,Jogos!A:BN,60,0)</f>
        <v>67</v>
      </c>
      <c r="BC302" s="9">
        <f>VLOOKUP(A302,Jogos!A:BN,61,0)</f>
        <v>28.77666667</v>
      </c>
      <c r="BD302" s="9">
        <f>VLOOKUP(A302,Jogos!A:BN,62,0)</f>
        <v>105.8333333</v>
      </c>
      <c r="BE302" s="9">
        <f>VLOOKUP(A302,Jogos!A:BN,63,0)</f>
        <v>2.643333333</v>
      </c>
      <c r="BF302" s="9">
        <f>VLOOKUP(A302,Jogos!A:BN,64,0)</f>
        <v>24.72</v>
      </c>
      <c r="BG302" s="9">
        <f>VLOOKUP(A302,Jogos!A:BN,65,0)</f>
        <v>42.81333333</v>
      </c>
      <c r="BH302" s="9">
        <f>VLOOKUP(A302,Jogos!A:BN,66,0)</f>
        <v>28.76666667</v>
      </c>
      <c r="BI302" s="9"/>
    </row>
    <row r="303" hidden="1">
      <c r="A303" s="2">
        <v>11.0</v>
      </c>
      <c r="B303" s="11" t="s">
        <v>562</v>
      </c>
      <c r="C303" s="2" t="s">
        <v>61</v>
      </c>
      <c r="D303" s="3">
        <v>45825.0</v>
      </c>
      <c r="E303" s="4">
        <v>0.7951388888888888</v>
      </c>
      <c r="F303" s="5" t="str">
        <f>VLOOKUP(A303,Jogos!A:N,10,0)</f>
        <v>Evening</v>
      </c>
      <c r="G303" s="2" t="s">
        <v>686</v>
      </c>
      <c r="H303" s="6" t="str">
        <f>VLOOKUP(A303,Jogos!A:L,12,0)</f>
        <v>Open</v>
      </c>
      <c r="I303" s="6" t="str">
        <f>VLOOKUP(G303,'Estádios e Cidades'!A:B,2,0)</f>
        <v>Orlando</v>
      </c>
      <c r="J303" s="2" t="s">
        <v>687</v>
      </c>
      <c r="K303" s="2" t="str">
        <f>VLOOKUP(J303,Equipes!A:F,6,0)</f>
        <v>Temperate</v>
      </c>
      <c r="L303" s="2">
        <f>VLOOKUP(J303,Equipes!A:C,3,0)</f>
        <v>28</v>
      </c>
      <c r="M303" s="2" t="str">
        <f t="shared" si="4"/>
        <v>Group</v>
      </c>
      <c r="N303" s="2" t="s">
        <v>688</v>
      </c>
      <c r="O303" s="2">
        <f>VLOOKUP(N303,Equipes!A:C,3,0)</f>
        <v>18</v>
      </c>
      <c r="P303" s="2" t="str">
        <f t="shared" si="5"/>
        <v>Group</v>
      </c>
      <c r="Q303" s="2">
        <f t="shared" si="6"/>
        <v>10</v>
      </c>
      <c r="R303" s="2" t="str">
        <f>VLOOKUP(J303,Equipes!A:B,2,0)</f>
        <v>Ulsan</v>
      </c>
      <c r="S303" s="6" t="s">
        <v>697</v>
      </c>
      <c r="T303" s="7">
        <v>11.0</v>
      </c>
      <c r="U303" s="7" t="s">
        <v>698</v>
      </c>
      <c r="V303" s="7" t="str">
        <f>VLOOKUP(U303,Jogadores!B:C,2,0)</f>
        <v>MF</v>
      </c>
      <c r="W303" s="8">
        <f>VLOOKUP(U303,Jogadores!B:D,3,0)</f>
        <v>26.57534247</v>
      </c>
      <c r="X303" s="7">
        <v>0.0</v>
      </c>
      <c r="Y303" s="7">
        <f t="shared" si="946"/>
        <v>95</v>
      </c>
      <c r="Z303" s="7">
        <f>VLOOKUP(A303,Jogos!A:L,3,0)</f>
        <v>48</v>
      </c>
      <c r="AA303" s="7">
        <f t="shared" si="7"/>
        <v>48</v>
      </c>
      <c r="AB303" s="7">
        <f>VLOOKUP(A303,Jogos!A:L,4,0)</f>
        <v>50</v>
      </c>
      <c r="AC303" s="7">
        <f t="shared" si="657"/>
        <v>50</v>
      </c>
      <c r="AD303" s="7"/>
      <c r="AE303" s="7"/>
      <c r="AF303" s="7">
        <f t="shared" si="9"/>
        <v>98</v>
      </c>
      <c r="AG303" s="7">
        <v>9693.8</v>
      </c>
      <c r="AH303" s="7">
        <v>3927.1</v>
      </c>
      <c r="AI303" s="7">
        <v>3931.7</v>
      </c>
      <c r="AJ303" s="7">
        <v>1136.5</v>
      </c>
      <c r="AK303" s="7">
        <v>460.7</v>
      </c>
      <c r="AL303" s="7">
        <v>237.8</v>
      </c>
      <c r="AM303" s="7">
        <v>100.0</v>
      </c>
      <c r="AN303" s="7">
        <v>44.0</v>
      </c>
      <c r="AO303" s="7">
        <v>33.6</v>
      </c>
      <c r="AP303" s="9">
        <f t="shared" ref="AP303:AR303" si="947">AG303/$AF303</f>
        <v>98.91632653</v>
      </c>
      <c r="AQ303" s="9">
        <f t="shared" si="947"/>
        <v>40.07244898</v>
      </c>
      <c r="AR303" s="9">
        <f t="shared" si="947"/>
        <v>40.11938776</v>
      </c>
      <c r="AS303" s="9">
        <f t="shared" si="11"/>
        <v>80.19183673</v>
      </c>
      <c r="AT303" s="9">
        <f t="shared" ref="AT303:AV303" si="948">AJ303/$AF303</f>
        <v>11.59693878</v>
      </c>
      <c r="AU303" s="9">
        <f t="shared" si="948"/>
        <v>4.701020408</v>
      </c>
      <c r="AV303" s="9">
        <f t="shared" si="948"/>
        <v>2.426530612</v>
      </c>
      <c r="AW303" s="9">
        <f t="shared" si="13"/>
        <v>7.12755102</v>
      </c>
      <c r="AX303" s="9">
        <f t="shared" ref="AX303:AY303" si="949">AM303/$AF303</f>
        <v>1.020408163</v>
      </c>
      <c r="AY303" s="9">
        <f t="shared" si="949"/>
        <v>0.4489795918</v>
      </c>
      <c r="AZ303" s="9">
        <f>VLOOKUP(A303,Jogos!A:BN,58,0)</f>
        <v>29</v>
      </c>
      <c r="BA303" s="9">
        <f>VLOOKUP(A303,Jogos!A:BN,59,0)</f>
        <v>22.40333333</v>
      </c>
      <c r="BB303" s="9">
        <f>VLOOKUP(A303,Jogos!A:BN,60,0)</f>
        <v>67</v>
      </c>
      <c r="BC303" s="9">
        <f>VLOOKUP(A303,Jogos!A:BN,61,0)</f>
        <v>28.77666667</v>
      </c>
      <c r="BD303" s="9">
        <f>VLOOKUP(A303,Jogos!A:BN,62,0)</f>
        <v>105.8333333</v>
      </c>
      <c r="BE303" s="9">
        <f>VLOOKUP(A303,Jogos!A:BN,63,0)</f>
        <v>2.643333333</v>
      </c>
      <c r="BF303" s="9">
        <f>VLOOKUP(A303,Jogos!A:BN,64,0)</f>
        <v>24.72</v>
      </c>
      <c r="BG303" s="9">
        <f>VLOOKUP(A303,Jogos!A:BN,65,0)</f>
        <v>42.81333333</v>
      </c>
      <c r="BH303" s="9">
        <f>VLOOKUP(A303,Jogos!A:BN,66,0)</f>
        <v>28.76666667</v>
      </c>
      <c r="BI303" s="9"/>
    </row>
    <row r="304" hidden="1">
      <c r="A304" s="2">
        <v>11.0</v>
      </c>
      <c r="B304" s="11" t="s">
        <v>562</v>
      </c>
      <c r="C304" s="2" t="s">
        <v>61</v>
      </c>
      <c r="D304" s="3">
        <v>45825.0</v>
      </c>
      <c r="E304" s="4">
        <v>0.7951388888888888</v>
      </c>
      <c r="F304" s="5" t="str">
        <f>VLOOKUP(A304,Jogos!A:N,10,0)</f>
        <v>Evening</v>
      </c>
      <c r="G304" s="2" t="s">
        <v>686</v>
      </c>
      <c r="H304" s="6" t="str">
        <f>VLOOKUP(A304,Jogos!A:L,12,0)</f>
        <v>Open</v>
      </c>
      <c r="I304" s="6" t="str">
        <f>VLOOKUP(G304,'Estádios e Cidades'!A:B,2,0)</f>
        <v>Orlando</v>
      </c>
      <c r="J304" s="2" t="s">
        <v>687</v>
      </c>
      <c r="K304" s="2" t="str">
        <f>VLOOKUP(J304,Equipes!A:F,6,0)</f>
        <v>Temperate</v>
      </c>
      <c r="L304" s="2">
        <f>VLOOKUP(J304,Equipes!A:C,3,0)</f>
        <v>28</v>
      </c>
      <c r="M304" s="2" t="str">
        <f t="shared" si="4"/>
        <v>Group</v>
      </c>
      <c r="N304" s="2" t="s">
        <v>688</v>
      </c>
      <c r="O304" s="2">
        <f>VLOOKUP(N304,Equipes!A:C,3,0)</f>
        <v>18</v>
      </c>
      <c r="P304" s="2" t="str">
        <f t="shared" si="5"/>
        <v>Group</v>
      </c>
      <c r="Q304" s="2">
        <f t="shared" si="6"/>
        <v>10</v>
      </c>
      <c r="R304" s="2" t="str">
        <f>VLOOKUP(J304,Equipes!A:B,2,0)</f>
        <v>Ulsan</v>
      </c>
      <c r="S304" s="6" t="s">
        <v>699</v>
      </c>
      <c r="T304" s="7">
        <v>17.0</v>
      </c>
      <c r="U304" s="7" t="s">
        <v>700</v>
      </c>
      <c r="V304" s="7" t="str">
        <f>VLOOKUP(U304,Jogadores!B:C,2,0)</f>
        <v>MF</v>
      </c>
      <c r="W304" s="8">
        <f>VLOOKUP(U304,Jogadores!B:D,3,0)</f>
        <v>31.79178082</v>
      </c>
      <c r="X304" s="7">
        <v>0.0</v>
      </c>
      <c r="Y304" s="7">
        <f t="shared" si="946"/>
        <v>95</v>
      </c>
      <c r="Z304" s="7">
        <f>VLOOKUP(A304,Jogos!A:L,3,0)</f>
        <v>48</v>
      </c>
      <c r="AA304" s="7">
        <f t="shared" si="7"/>
        <v>48</v>
      </c>
      <c r="AB304" s="7">
        <f>VLOOKUP(A304,Jogos!A:L,4,0)</f>
        <v>50</v>
      </c>
      <c r="AC304" s="7">
        <f t="shared" si="657"/>
        <v>50</v>
      </c>
      <c r="AD304" s="7"/>
      <c r="AE304" s="7"/>
      <c r="AF304" s="7">
        <f t="shared" si="9"/>
        <v>98</v>
      </c>
      <c r="AG304" s="7">
        <v>10329.2</v>
      </c>
      <c r="AH304" s="7">
        <v>4191.4</v>
      </c>
      <c r="AI304" s="7">
        <v>3782.1</v>
      </c>
      <c r="AJ304" s="7">
        <v>1263.0</v>
      </c>
      <c r="AK304" s="7">
        <v>706.9</v>
      </c>
      <c r="AL304" s="7">
        <v>385.8</v>
      </c>
      <c r="AM304" s="7">
        <v>102.0</v>
      </c>
      <c r="AN304" s="7">
        <v>60.0</v>
      </c>
      <c r="AO304" s="7">
        <v>33.2</v>
      </c>
      <c r="AP304" s="9">
        <f t="shared" ref="AP304:AR304" si="950">AG304/$AF304</f>
        <v>105.4</v>
      </c>
      <c r="AQ304" s="9">
        <f t="shared" si="950"/>
        <v>42.76938776</v>
      </c>
      <c r="AR304" s="9">
        <f t="shared" si="950"/>
        <v>38.59285714</v>
      </c>
      <c r="AS304" s="9">
        <f t="shared" si="11"/>
        <v>81.3622449</v>
      </c>
      <c r="AT304" s="9">
        <f t="shared" ref="AT304:AV304" si="951">AJ304/$AF304</f>
        <v>12.8877551</v>
      </c>
      <c r="AU304" s="9">
        <f t="shared" si="951"/>
        <v>7.213265306</v>
      </c>
      <c r="AV304" s="9">
        <f t="shared" si="951"/>
        <v>3.936734694</v>
      </c>
      <c r="AW304" s="9">
        <f t="shared" si="13"/>
        <v>11.15</v>
      </c>
      <c r="AX304" s="9">
        <f t="shared" ref="AX304:AY304" si="952">AM304/$AF304</f>
        <v>1.040816327</v>
      </c>
      <c r="AY304" s="9">
        <f t="shared" si="952"/>
        <v>0.612244898</v>
      </c>
      <c r="AZ304" s="9">
        <f>VLOOKUP(A304,Jogos!A:BN,58,0)</f>
        <v>29</v>
      </c>
      <c r="BA304" s="9">
        <f>VLOOKUP(A304,Jogos!A:BN,59,0)</f>
        <v>22.40333333</v>
      </c>
      <c r="BB304" s="9">
        <f>VLOOKUP(A304,Jogos!A:BN,60,0)</f>
        <v>67</v>
      </c>
      <c r="BC304" s="9">
        <f>VLOOKUP(A304,Jogos!A:BN,61,0)</f>
        <v>28.77666667</v>
      </c>
      <c r="BD304" s="9">
        <f>VLOOKUP(A304,Jogos!A:BN,62,0)</f>
        <v>105.8333333</v>
      </c>
      <c r="BE304" s="9">
        <f>VLOOKUP(A304,Jogos!A:BN,63,0)</f>
        <v>2.643333333</v>
      </c>
      <c r="BF304" s="9">
        <f>VLOOKUP(A304,Jogos!A:BN,64,0)</f>
        <v>24.72</v>
      </c>
      <c r="BG304" s="9">
        <f>VLOOKUP(A304,Jogos!A:BN,65,0)</f>
        <v>42.81333333</v>
      </c>
      <c r="BH304" s="9">
        <f>VLOOKUP(A304,Jogos!A:BN,66,0)</f>
        <v>28.76666667</v>
      </c>
      <c r="BI304" s="9"/>
    </row>
    <row r="305" hidden="1">
      <c r="A305" s="2">
        <v>11.0</v>
      </c>
      <c r="B305" s="11" t="s">
        <v>562</v>
      </c>
      <c r="C305" s="2" t="s">
        <v>61</v>
      </c>
      <c r="D305" s="3">
        <v>45825.0</v>
      </c>
      <c r="E305" s="4">
        <v>0.7951388888888888</v>
      </c>
      <c r="F305" s="5" t="str">
        <f>VLOOKUP(A305,Jogos!A:N,10,0)</f>
        <v>Evening</v>
      </c>
      <c r="G305" s="2" t="s">
        <v>686</v>
      </c>
      <c r="H305" s="6" t="str">
        <f>VLOOKUP(A305,Jogos!A:L,12,0)</f>
        <v>Open</v>
      </c>
      <c r="I305" s="6" t="str">
        <f>VLOOKUP(G305,'Estádios e Cidades'!A:B,2,0)</f>
        <v>Orlando</v>
      </c>
      <c r="J305" s="2" t="s">
        <v>687</v>
      </c>
      <c r="K305" s="2" t="str">
        <f>VLOOKUP(J305,Equipes!A:F,6,0)</f>
        <v>Temperate</v>
      </c>
      <c r="L305" s="2">
        <f>VLOOKUP(J305,Equipes!A:C,3,0)</f>
        <v>28</v>
      </c>
      <c r="M305" s="2" t="str">
        <f t="shared" si="4"/>
        <v>Group</v>
      </c>
      <c r="N305" s="2" t="s">
        <v>688</v>
      </c>
      <c r="O305" s="2">
        <f>VLOOKUP(N305,Equipes!A:C,3,0)</f>
        <v>18</v>
      </c>
      <c r="P305" s="2" t="str">
        <f t="shared" si="5"/>
        <v>Group</v>
      </c>
      <c r="Q305" s="2">
        <f t="shared" si="6"/>
        <v>10</v>
      </c>
      <c r="R305" s="2" t="str">
        <f>VLOOKUP(J305,Equipes!A:B,2,0)</f>
        <v>Ulsan</v>
      </c>
      <c r="S305" s="6" t="s">
        <v>701</v>
      </c>
      <c r="T305" s="7">
        <v>19.0</v>
      </c>
      <c r="U305" s="7" t="s">
        <v>702</v>
      </c>
      <c r="V305" s="7" t="str">
        <f>VLOOKUP(U305,Jogadores!B:C,2,0)</f>
        <v>DF</v>
      </c>
      <c r="W305" s="8">
        <f>VLOOKUP(U305,Jogadores!B:D,3,0)</f>
        <v>35.43835616</v>
      </c>
      <c r="X305" s="7">
        <v>0.0</v>
      </c>
      <c r="Y305" s="7">
        <f t="shared" si="946"/>
        <v>95</v>
      </c>
      <c r="Z305" s="7">
        <f>VLOOKUP(A305,Jogos!A:L,3,0)</f>
        <v>48</v>
      </c>
      <c r="AA305" s="7">
        <f t="shared" si="7"/>
        <v>48</v>
      </c>
      <c r="AB305" s="7">
        <f>VLOOKUP(A305,Jogos!A:L,4,0)</f>
        <v>50</v>
      </c>
      <c r="AC305" s="7">
        <f t="shared" si="657"/>
        <v>50</v>
      </c>
      <c r="AD305" s="7"/>
      <c r="AE305" s="7"/>
      <c r="AF305" s="7">
        <f t="shared" si="9"/>
        <v>98</v>
      </c>
      <c r="AG305" s="7">
        <v>8729.7</v>
      </c>
      <c r="AH305" s="7">
        <v>4646.2</v>
      </c>
      <c r="AI305" s="7">
        <v>3023.8</v>
      </c>
      <c r="AJ305" s="7">
        <v>699.7</v>
      </c>
      <c r="AK305" s="7">
        <v>291.7</v>
      </c>
      <c r="AL305" s="7">
        <v>68.4</v>
      </c>
      <c r="AM305" s="7">
        <v>70.0</v>
      </c>
      <c r="AN305" s="7">
        <v>22.0</v>
      </c>
      <c r="AO305" s="7">
        <v>29.2</v>
      </c>
      <c r="AP305" s="9">
        <f t="shared" ref="AP305:AR305" si="953">AG305/$AF305</f>
        <v>89.07857143</v>
      </c>
      <c r="AQ305" s="9">
        <f t="shared" si="953"/>
        <v>47.41020408</v>
      </c>
      <c r="AR305" s="9">
        <f t="shared" si="953"/>
        <v>30.85510204</v>
      </c>
      <c r="AS305" s="9">
        <f t="shared" si="11"/>
        <v>78.26530612</v>
      </c>
      <c r="AT305" s="9">
        <f t="shared" ref="AT305:AV305" si="954">AJ305/$AF305</f>
        <v>7.139795918</v>
      </c>
      <c r="AU305" s="9">
        <f t="shared" si="954"/>
        <v>2.976530612</v>
      </c>
      <c r="AV305" s="9">
        <f t="shared" si="954"/>
        <v>0.6979591837</v>
      </c>
      <c r="AW305" s="9">
        <f t="shared" si="13"/>
        <v>3.674489796</v>
      </c>
      <c r="AX305" s="9">
        <f t="shared" ref="AX305:AY305" si="955">AM305/$AF305</f>
        <v>0.7142857143</v>
      </c>
      <c r="AY305" s="9">
        <f t="shared" si="955"/>
        <v>0.2244897959</v>
      </c>
      <c r="AZ305" s="9">
        <f>VLOOKUP(A305,Jogos!A:BN,58,0)</f>
        <v>29</v>
      </c>
      <c r="BA305" s="9">
        <f>VLOOKUP(A305,Jogos!A:BN,59,0)</f>
        <v>22.40333333</v>
      </c>
      <c r="BB305" s="9">
        <f>VLOOKUP(A305,Jogos!A:BN,60,0)</f>
        <v>67</v>
      </c>
      <c r="BC305" s="9">
        <f>VLOOKUP(A305,Jogos!A:BN,61,0)</f>
        <v>28.77666667</v>
      </c>
      <c r="BD305" s="9">
        <f>VLOOKUP(A305,Jogos!A:BN,62,0)</f>
        <v>105.8333333</v>
      </c>
      <c r="BE305" s="9">
        <f>VLOOKUP(A305,Jogos!A:BN,63,0)</f>
        <v>2.643333333</v>
      </c>
      <c r="BF305" s="9">
        <f>VLOOKUP(A305,Jogos!A:BN,64,0)</f>
        <v>24.72</v>
      </c>
      <c r="BG305" s="9">
        <f>VLOOKUP(A305,Jogos!A:BN,65,0)</f>
        <v>42.81333333</v>
      </c>
      <c r="BH305" s="9">
        <f>VLOOKUP(A305,Jogos!A:BN,66,0)</f>
        <v>28.76666667</v>
      </c>
      <c r="BI305" s="9"/>
    </row>
    <row r="306" hidden="1">
      <c r="A306" s="2">
        <v>11.0</v>
      </c>
      <c r="B306" s="11" t="s">
        <v>562</v>
      </c>
      <c r="C306" s="2" t="s">
        <v>61</v>
      </c>
      <c r="D306" s="3">
        <v>45825.0</v>
      </c>
      <c r="E306" s="4">
        <v>0.7951388888888888</v>
      </c>
      <c r="F306" s="5" t="str">
        <f>VLOOKUP(A306,Jogos!A:N,10,0)</f>
        <v>Evening</v>
      </c>
      <c r="G306" s="2" t="s">
        <v>686</v>
      </c>
      <c r="H306" s="6" t="str">
        <f>VLOOKUP(A306,Jogos!A:L,12,0)</f>
        <v>Open</v>
      </c>
      <c r="I306" s="6" t="str">
        <f>VLOOKUP(G306,'Estádios e Cidades'!A:B,2,0)</f>
        <v>Orlando</v>
      </c>
      <c r="J306" s="2" t="s">
        <v>687</v>
      </c>
      <c r="K306" s="2" t="str">
        <f>VLOOKUP(J306,Equipes!A:F,6,0)</f>
        <v>Temperate</v>
      </c>
      <c r="L306" s="2">
        <f>VLOOKUP(J306,Equipes!A:C,3,0)</f>
        <v>28</v>
      </c>
      <c r="M306" s="2" t="str">
        <f t="shared" si="4"/>
        <v>Group</v>
      </c>
      <c r="N306" s="2" t="s">
        <v>688</v>
      </c>
      <c r="O306" s="2">
        <f>VLOOKUP(N306,Equipes!A:C,3,0)</f>
        <v>18</v>
      </c>
      <c r="P306" s="2" t="str">
        <f t="shared" si="5"/>
        <v>Group</v>
      </c>
      <c r="Q306" s="2">
        <f t="shared" si="6"/>
        <v>10</v>
      </c>
      <c r="R306" s="2" t="str">
        <f>VLOOKUP(J306,Equipes!A:B,2,0)</f>
        <v>Ulsan</v>
      </c>
      <c r="S306" s="6" t="s">
        <v>703</v>
      </c>
      <c r="T306" s="7">
        <v>27.0</v>
      </c>
      <c r="U306" s="7" t="s">
        <v>704</v>
      </c>
      <c r="V306" s="7" t="str">
        <f>VLOOKUP(U306,Jogadores!B:C,2,0)</f>
        <v>MF</v>
      </c>
      <c r="W306" s="8">
        <f>VLOOKUP(U306,Jogadores!B:D,3,0)</f>
        <v>37.09589041</v>
      </c>
      <c r="X306" s="7">
        <v>0.0</v>
      </c>
      <c r="Y306" s="7">
        <v>64.0</v>
      </c>
      <c r="Z306" s="7">
        <f>VLOOKUP(A306,Jogos!A:L,3,0)</f>
        <v>48</v>
      </c>
      <c r="AA306" s="7">
        <f t="shared" si="7"/>
        <v>48</v>
      </c>
      <c r="AB306" s="7">
        <f>VLOOKUP(A306,Jogos!A:L,4,0)</f>
        <v>50</v>
      </c>
      <c r="AC306" s="7">
        <f t="shared" si="657"/>
        <v>19</v>
      </c>
      <c r="AD306" s="7"/>
      <c r="AE306" s="7"/>
      <c r="AF306" s="7">
        <f t="shared" si="9"/>
        <v>67</v>
      </c>
      <c r="AG306" s="7">
        <v>7822.8</v>
      </c>
      <c r="AH306" s="7">
        <v>2715.9</v>
      </c>
      <c r="AI306" s="7">
        <v>3604.3</v>
      </c>
      <c r="AJ306" s="7">
        <v>1132.7</v>
      </c>
      <c r="AK306" s="7">
        <v>314.4</v>
      </c>
      <c r="AL306" s="7">
        <v>55.6</v>
      </c>
      <c r="AM306" s="7">
        <v>107.0</v>
      </c>
      <c r="AN306" s="7">
        <v>28.0</v>
      </c>
      <c r="AO306" s="7">
        <v>30.6</v>
      </c>
      <c r="AP306" s="9">
        <f t="shared" ref="AP306:AR306" si="956">AG306/$AF306</f>
        <v>116.758209</v>
      </c>
      <c r="AQ306" s="9">
        <f t="shared" si="956"/>
        <v>40.5358209</v>
      </c>
      <c r="AR306" s="9">
        <f t="shared" si="956"/>
        <v>53.79552239</v>
      </c>
      <c r="AS306" s="9">
        <f t="shared" si="11"/>
        <v>94.33134328</v>
      </c>
      <c r="AT306" s="9">
        <f t="shared" ref="AT306:AV306" si="957">AJ306/$AF306</f>
        <v>16.90597015</v>
      </c>
      <c r="AU306" s="9">
        <f t="shared" si="957"/>
        <v>4.692537313</v>
      </c>
      <c r="AV306" s="9">
        <f t="shared" si="957"/>
        <v>0.8298507463</v>
      </c>
      <c r="AW306" s="9">
        <f t="shared" si="13"/>
        <v>5.52238806</v>
      </c>
      <c r="AX306" s="9">
        <f t="shared" ref="AX306:AY306" si="958">AM306/$AF306</f>
        <v>1.597014925</v>
      </c>
      <c r="AY306" s="9">
        <f t="shared" si="958"/>
        <v>0.4179104478</v>
      </c>
      <c r="AZ306" s="9">
        <f>VLOOKUP(A306,Jogos!A:BN,58,0)</f>
        <v>29</v>
      </c>
      <c r="BA306" s="9">
        <f>VLOOKUP(A306,Jogos!A:BN,59,0)</f>
        <v>22.40333333</v>
      </c>
      <c r="BB306" s="9">
        <f>VLOOKUP(A306,Jogos!A:BN,60,0)</f>
        <v>67</v>
      </c>
      <c r="BC306" s="9">
        <f>VLOOKUP(A306,Jogos!A:BN,61,0)</f>
        <v>28.77666667</v>
      </c>
      <c r="BD306" s="9">
        <f>VLOOKUP(A306,Jogos!A:BN,62,0)</f>
        <v>105.8333333</v>
      </c>
      <c r="BE306" s="9">
        <f>VLOOKUP(A306,Jogos!A:BN,63,0)</f>
        <v>2.643333333</v>
      </c>
      <c r="BF306" s="9">
        <f>VLOOKUP(A306,Jogos!A:BN,64,0)</f>
        <v>24.72</v>
      </c>
      <c r="BG306" s="9">
        <f>VLOOKUP(A306,Jogos!A:BN,65,0)</f>
        <v>42.81333333</v>
      </c>
      <c r="BH306" s="9">
        <f>VLOOKUP(A306,Jogos!A:BN,66,0)</f>
        <v>28.76666667</v>
      </c>
      <c r="BI306" s="9"/>
    </row>
    <row r="307" hidden="1">
      <c r="A307" s="2">
        <v>11.0</v>
      </c>
      <c r="B307" s="11" t="s">
        <v>562</v>
      </c>
      <c r="C307" s="2" t="s">
        <v>61</v>
      </c>
      <c r="D307" s="3">
        <v>45825.0</v>
      </c>
      <c r="E307" s="4">
        <v>0.7951388888888888</v>
      </c>
      <c r="F307" s="5" t="str">
        <f>VLOOKUP(A307,Jogos!A:N,10,0)</f>
        <v>Evening</v>
      </c>
      <c r="G307" s="2" t="s">
        <v>686</v>
      </c>
      <c r="H307" s="6" t="str">
        <f>VLOOKUP(A307,Jogos!A:L,12,0)</f>
        <v>Open</v>
      </c>
      <c r="I307" s="6" t="str">
        <f>VLOOKUP(G307,'Estádios e Cidades'!A:B,2,0)</f>
        <v>Orlando</v>
      </c>
      <c r="J307" s="2" t="s">
        <v>687</v>
      </c>
      <c r="K307" s="2" t="str">
        <f>VLOOKUP(J307,Equipes!A:F,6,0)</f>
        <v>Temperate</v>
      </c>
      <c r="L307" s="2">
        <f>VLOOKUP(J307,Equipes!A:C,3,0)</f>
        <v>28</v>
      </c>
      <c r="M307" s="2" t="str">
        <f t="shared" si="4"/>
        <v>Group</v>
      </c>
      <c r="N307" s="2" t="s">
        <v>688</v>
      </c>
      <c r="O307" s="2">
        <f>VLOOKUP(N307,Equipes!A:C,3,0)</f>
        <v>18</v>
      </c>
      <c r="P307" s="2" t="str">
        <f t="shared" si="5"/>
        <v>Group</v>
      </c>
      <c r="Q307" s="2">
        <f t="shared" si="6"/>
        <v>10</v>
      </c>
      <c r="R307" s="2" t="str">
        <f>VLOOKUP(J307,Equipes!A:B,2,0)</f>
        <v>Ulsan</v>
      </c>
      <c r="S307" s="6" t="s">
        <v>705</v>
      </c>
      <c r="T307" s="7">
        <v>66.0</v>
      </c>
      <c r="U307" s="7" t="s">
        <v>706</v>
      </c>
      <c r="V307" s="7" t="str">
        <f>VLOOKUP(U307,Jogadores!B:C,2,0)</f>
        <v>DF</v>
      </c>
      <c r="W307" s="8">
        <f>VLOOKUP(U307,Jogadores!B:D,3,0)</f>
        <v>31.25205479</v>
      </c>
      <c r="X307" s="7">
        <v>0.0</v>
      </c>
      <c r="Y307" s="7">
        <f t="shared" ref="Y307:Y313" si="962">45+AB307</f>
        <v>95</v>
      </c>
      <c r="Z307" s="7">
        <f>VLOOKUP(A307,Jogos!A:L,3,0)</f>
        <v>48</v>
      </c>
      <c r="AA307" s="7">
        <f t="shared" si="7"/>
        <v>48</v>
      </c>
      <c r="AB307" s="7">
        <f>VLOOKUP(A307,Jogos!A:L,4,0)</f>
        <v>50</v>
      </c>
      <c r="AC307" s="7">
        <f t="shared" si="657"/>
        <v>50</v>
      </c>
      <c r="AD307" s="7"/>
      <c r="AE307" s="7"/>
      <c r="AF307" s="7">
        <f t="shared" si="9"/>
        <v>98</v>
      </c>
      <c r="AG307" s="7">
        <v>9304.8</v>
      </c>
      <c r="AH307" s="7">
        <v>4256.9</v>
      </c>
      <c r="AI307" s="7">
        <v>3843.5</v>
      </c>
      <c r="AJ307" s="7">
        <v>822.2</v>
      </c>
      <c r="AK307" s="7">
        <v>296.3</v>
      </c>
      <c r="AL307" s="7">
        <v>85.9</v>
      </c>
      <c r="AM307" s="7">
        <v>74.0</v>
      </c>
      <c r="AN307" s="7">
        <v>23.0</v>
      </c>
      <c r="AO307" s="7">
        <v>30.6</v>
      </c>
      <c r="AP307" s="9">
        <f t="shared" ref="AP307:AR307" si="959">AG307/$AF307</f>
        <v>94.94693878</v>
      </c>
      <c r="AQ307" s="9">
        <f t="shared" si="959"/>
        <v>43.4377551</v>
      </c>
      <c r="AR307" s="9">
        <f t="shared" si="959"/>
        <v>39.21938776</v>
      </c>
      <c r="AS307" s="9">
        <f t="shared" si="11"/>
        <v>82.65714286</v>
      </c>
      <c r="AT307" s="9">
        <f t="shared" ref="AT307:AV307" si="960">AJ307/$AF307</f>
        <v>8.389795918</v>
      </c>
      <c r="AU307" s="9">
        <f t="shared" si="960"/>
        <v>3.023469388</v>
      </c>
      <c r="AV307" s="9">
        <f t="shared" si="960"/>
        <v>0.8765306122</v>
      </c>
      <c r="AW307" s="9">
        <f t="shared" si="13"/>
        <v>3.9</v>
      </c>
      <c r="AX307" s="9">
        <f t="shared" ref="AX307:AY307" si="961">AM307/$AF307</f>
        <v>0.7551020408</v>
      </c>
      <c r="AY307" s="9">
        <f t="shared" si="961"/>
        <v>0.2346938776</v>
      </c>
      <c r="AZ307" s="9">
        <f>VLOOKUP(A307,Jogos!A:BN,58,0)</f>
        <v>29</v>
      </c>
      <c r="BA307" s="9">
        <f>VLOOKUP(A307,Jogos!A:BN,59,0)</f>
        <v>22.40333333</v>
      </c>
      <c r="BB307" s="9">
        <f>VLOOKUP(A307,Jogos!A:BN,60,0)</f>
        <v>67</v>
      </c>
      <c r="BC307" s="9">
        <f>VLOOKUP(A307,Jogos!A:BN,61,0)</f>
        <v>28.77666667</v>
      </c>
      <c r="BD307" s="9">
        <f>VLOOKUP(A307,Jogos!A:BN,62,0)</f>
        <v>105.8333333</v>
      </c>
      <c r="BE307" s="9">
        <f>VLOOKUP(A307,Jogos!A:BN,63,0)</f>
        <v>2.643333333</v>
      </c>
      <c r="BF307" s="9">
        <f>VLOOKUP(A307,Jogos!A:BN,64,0)</f>
        <v>24.72</v>
      </c>
      <c r="BG307" s="9">
        <f>VLOOKUP(A307,Jogos!A:BN,65,0)</f>
        <v>42.81333333</v>
      </c>
      <c r="BH307" s="9">
        <f>VLOOKUP(A307,Jogos!A:BN,66,0)</f>
        <v>28.76666667</v>
      </c>
      <c r="BI307" s="9"/>
    </row>
    <row r="308" hidden="1">
      <c r="A308" s="2">
        <v>11.0</v>
      </c>
      <c r="B308" s="11" t="s">
        <v>562</v>
      </c>
      <c r="C308" s="2" t="s">
        <v>61</v>
      </c>
      <c r="D308" s="3">
        <v>45825.0</v>
      </c>
      <c r="E308" s="4">
        <v>0.7951388888888888</v>
      </c>
      <c r="F308" s="5" t="str">
        <f>VLOOKUP(A308,Jogos!A:N,10,0)</f>
        <v>Evening</v>
      </c>
      <c r="G308" s="2" t="s">
        <v>686</v>
      </c>
      <c r="H308" s="6" t="str">
        <f>VLOOKUP(A308,Jogos!A:L,12,0)</f>
        <v>Open</v>
      </c>
      <c r="I308" s="6" t="str">
        <f>VLOOKUP(G308,'Estádios e Cidades'!A:B,2,0)</f>
        <v>Orlando</v>
      </c>
      <c r="J308" s="2" t="s">
        <v>687</v>
      </c>
      <c r="K308" s="2" t="str">
        <f>VLOOKUP(J308,Equipes!A:F,6,0)</f>
        <v>Temperate</v>
      </c>
      <c r="L308" s="2">
        <f>VLOOKUP(J308,Equipes!A:C,3,0)</f>
        <v>28</v>
      </c>
      <c r="M308" s="2" t="str">
        <f t="shared" si="4"/>
        <v>Group</v>
      </c>
      <c r="N308" s="2" t="s">
        <v>688</v>
      </c>
      <c r="O308" s="2">
        <f>VLOOKUP(N308,Equipes!A:C,3,0)</f>
        <v>18</v>
      </c>
      <c r="P308" s="2" t="str">
        <f t="shared" si="5"/>
        <v>Group</v>
      </c>
      <c r="Q308" s="2">
        <f t="shared" si="6"/>
        <v>10</v>
      </c>
      <c r="R308" s="2" t="str">
        <f>VLOOKUP(J308,Equipes!A:B,2,0)</f>
        <v>Ulsan</v>
      </c>
      <c r="S308" s="6" t="s">
        <v>707</v>
      </c>
      <c r="T308" s="7">
        <v>97.0</v>
      </c>
      <c r="U308" s="7" t="s">
        <v>708</v>
      </c>
      <c r="V308" s="7" t="str">
        <f>VLOOKUP(U308,Jogadores!B:C,2,0)</f>
        <v>MF</v>
      </c>
      <c r="W308" s="8">
        <f>VLOOKUP(U308,Jogadores!B:D,3,0)</f>
        <v>28.58356164</v>
      </c>
      <c r="X308" s="7">
        <v>0.0</v>
      </c>
      <c r="Y308" s="7">
        <f t="shared" si="962"/>
        <v>95</v>
      </c>
      <c r="Z308" s="7">
        <f>VLOOKUP(A308,Jogos!A:L,3,0)</f>
        <v>48</v>
      </c>
      <c r="AA308" s="7">
        <f t="shared" si="7"/>
        <v>48</v>
      </c>
      <c r="AB308" s="7">
        <f>VLOOKUP(A308,Jogos!A:L,4,0)</f>
        <v>50</v>
      </c>
      <c r="AC308" s="7">
        <f t="shared" si="657"/>
        <v>50</v>
      </c>
      <c r="AD308" s="7"/>
      <c r="AE308" s="7"/>
      <c r="AF308" s="7">
        <f t="shared" si="9"/>
        <v>98</v>
      </c>
      <c r="AG308" s="7">
        <v>10181.1</v>
      </c>
      <c r="AH308" s="7">
        <v>4025.6</v>
      </c>
      <c r="AI308" s="7">
        <v>4435.0</v>
      </c>
      <c r="AJ308" s="7">
        <v>1133.5</v>
      </c>
      <c r="AK308" s="7">
        <v>447.4</v>
      </c>
      <c r="AL308" s="7">
        <v>139.7</v>
      </c>
      <c r="AM308" s="7">
        <v>99.0</v>
      </c>
      <c r="AN308" s="7">
        <v>35.0</v>
      </c>
      <c r="AO308" s="7">
        <v>28.5</v>
      </c>
      <c r="AP308" s="9">
        <f t="shared" ref="AP308:AR308" si="963">AG308/$AF308</f>
        <v>103.8887755</v>
      </c>
      <c r="AQ308" s="9">
        <f t="shared" si="963"/>
        <v>41.07755102</v>
      </c>
      <c r="AR308" s="9">
        <f t="shared" si="963"/>
        <v>45.25510204</v>
      </c>
      <c r="AS308" s="9">
        <f t="shared" si="11"/>
        <v>86.33265306</v>
      </c>
      <c r="AT308" s="9">
        <f t="shared" ref="AT308:AV308" si="964">AJ308/$AF308</f>
        <v>11.56632653</v>
      </c>
      <c r="AU308" s="9">
        <f t="shared" si="964"/>
        <v>4.565306122</v>
      </c>
      <c r="AV308" s="9">
        <f t="shared" si="964"/>
        <v>1.425510204</v>
      </c>
      <c r="AW308" s="9">
        <f t="shared" si="13"/>
        <v>5.990816327</v>
      </c>
      <c r="AX308" s="9">
        <f t="shared" ref="AX308:AY308" si="965">AM308/$AF308</f>
        <v>1.010204082</v>
      </c>
      <c r="AY308" s="9">
        <f t="shared" si="965"/>
        <v>0.3571428571</v>
      </c>
      <c r="AZ308" s="9">
        <f>VLOOKUP(A308,Jogos!A:BN,58,0)</f>
        <v>29</v>
      </c>
      <c r="BA308" s="9">
        <f>VLOOKUP(A308,Jogos!A:BN,59,0)</f>
        <v>22.40333333</v>
      </c>
      <c r="BB308" s="9">
        <f>VLOOKUP(A308,Jogos!A:BN,60,0)</f>
        <v>67</v>
      </c>
      <c r="BC308" s="9">
        <f>VLOOKUP(A308,Jogos!A:BN,61,0)</f>
        <v>28.77666667</v>
      </c>
      <c r="BD308" s="9">
        <f>VLOOKUP(A308,Jogos!A:BN,62,0)</f>
        <v>105.8333333</v>
      </c>
      <c r="BE308" s="9">
        <f>VLOOKUP(A308,Jogos!A:BN,63,0)</f>
        <v>2.643333333</v>
      </c>
      <c r="BF308" s="9">
        <f>VLOOKUP(A308,Jogos!A:BN,64,0)</f>
        <v>24.72</v>
      </c>
      <c r="BG308" s="9">
        <f>VLOOKUP(A308,Jogos!A:BN,65,0)</f>
        <v>42.81333333</v>
      </c>
      <c r="BH308" s="9">
        <f>VLOOKUP(A308,Jogos!A:BN,66,0)</f>
        <v>28.76666667</v>
      </c>
      <c r="BI308" s="9"/>
    </row>
    <row r="309" hidden="1">
      <c r="A309" s="2">
        <v>11.0</v>
      </c>
      <c r="B309" s="11" t="s">
        <v>562</v>
      </c>
      <c r="C309" s="2" t="s">
        <v>61</v>
      </c>
      <c r="D309" s="3">
        <v>45825.0</v>
      </c>
      <c r="E309" s="4">
        <v>0.7951388888888888</v>
      </c>
      <c r="F309" s="5" t="str">
        <f>VLOOKUP(A309,Jogos!A:N,10,0)</f>
        <v>Evening</v>
      </c>
      <c r="G309" s="2" t="s">
        <v>686</v>
      </c>
      <c r="H309" s="6" t="str">
        <f>VLOOKUP(A309,Jogos!A:L,12,0)</f>
        <v>Open</v>
      </c>
      <c r="I309" s="6" t="str">
        <f>VLOOKUP(G309,'Estádios e Cidades'!A:B,2,0)</f>
        <v>Orlando</v>
      </c>
      <c r="J309" s="2" t="s">
        <v>687</v>
      </c>
      <c r="K309" s="2" t="str">
        <f>VLOOKUP(J309,Equipes!A:F,6,0)</f>
        <v>Temperate</v>
      </c>
      <c r="L309" s="2">
        <f>VLOOKUP(J309,Equipes!A:C,3,0)</f>
        <v>28</v>
      </c>
      <c r="M309" s="2" t="str">
        <f t="shared" si="4"/>
        <v>Group</v>
      </c>
      <c r="N309" s="2" t="s">
        <v>688</v>
      </c>
      <c r="O309" s="2">
        <f>VLOOKUP(N309,Equipes!A:C,3,0)</f>
        <v>18</v>
      </c>
      <c r="P309" s="2" t="str">
        <f t="shared" si="5"/>
        <v>Group</v>
      </c>
      <c r="Q309" s="2">
        <f t="shared" si="6"/>
        <v>10</v>
      </c>
      <c r="R309" s="2" t="str">
        <f>VLOOKUP(J309,Equipes!A:B,2,0)</f>
        <v>Ulsan</v>
      </c>
      <c r="S309" s="6" t="s">
        <v>709</v>
      </c>
      <c r="T309" s="7">
        <v>13.0</v>
      </c>
      <c r="U309" s="7" t="s">
        <v>710</v>
      </c>
      <c r="V309" s="7" t="str">
        <f>VLOOKUP(U309,Jogadores!B:C,2,0)</f>
        <v>DF</v>
      </c>
      <c r="W309" s="8">
        <f>VLOOKUP(U309,Jogadores!B:D,3,0)</f>
        <v>31.82739726</v>
      </c>
      <c r="X309" s="7">
        <v>80.0</v>
      </c>
      <c r="Y309" s="7">
        <f t="shared" si="962"/>
        <v>95</v>
      </c>
      <c r="Z309" s="7">
        <f>VLOOKUP(A309,Jogos!A:L,3,0)</f>
        <v>48</v>
      </c>
      <c r="AA309" s="7">
        <f t="shared" si="7"/>
        <v>0</v>
      </c>
      <c r="AB309" s="7">
        <f>VLOOKUP(A309,Jogos!A:L,4,0)</f>
        <v>50</v>
      </c>
      <c r="AC309" s="7">
        <f t="shared" si="657"/>
        <v>15</v>
      </c>
      <c r="AD309" s="7"/>
      <c r="AE309" s="7"/>
      <c r="AF309" s="7">
        <f t="shared" si="9"/>
        <v>15</v>
      </c>
      <c r="AG309" s="7">
        <v>1930.4</v>
      </c>
      <c r="AH309" s="7">
        <v>672.8</v>
      </c>
      <c r="AI309" s="7">
        <v>819.1</v>
      </c>
      <c r="AJ309" s="7">
        <v>261.5</v>
      </c>
      <c r="AK309" s="7">
        <v>153.4</v>
      </c>
      <c r="AL309" s="7">
        <v>23.5</v>
      </c>
      <c r="AM309" s="7">
        <v>21.0</v>
      </c>
      <c r="AN309" s="7">
        <v>12.0</v>
      </c>
      <c r="AO309" s="7">
        <v>27.9</v>
      </c>
      <c r="AP309" s="9">
        <f t="shared" ref="AP309:AR309" si="966">AG309/$AF309</f>
        <v>128.6933333</v>
      </c>
      <c r="AQ309" s="9">
        <f t="shared" si="966"/>
        <v>44.85333333</v>
      </c>
      <c r="AR309" s="9">
        <f t="shared" si="966"/>
        <v>54.60666667</v>
      </c>
      <c r="AS309" s="9">
        <f t="shared" si="11"/>
        <v>99.46</v>
      </c>
      <c r="AT309" s="9">
        <f t="shared" ref="AT309:AV309" si="967">AJ309/$AF309</f>
        <v>17.43333333</v>
      </c>
      <c r="AU309" s="9">
        <f t="shared" si="967"/>
        <v>10.22666667</v>
      </c>
      <c r="AV309" s="9">
        <f t="shared" si="967"/>
        <v>1.566666667</v>
      </c>
      <c r="AW309" s="9">
        <f t="shared" si="13"/>
        <v>11.79333333</v>
      </c>
      <c r="AX309" s="9">
        <f t="shared" ref="AX309:AY309" si="968">AM309/$AF309</f>
        <v>1.4</v>
      </c>
      <c r="AY309" s="9">
        <f t="shared" si="968"/>
        <v>0.8</v>
      </c>
      <c r="AZ309" s="9">
        <f>VLOOKUP(A309,Jogos!A:BN,58,0)</f>
        <v>29</v>
      </c>
      <c r="BA309" s="9">
        <f>VLOOKUP(A309,Jogos!A:BN,59,0)</f>
        <v>22.40333333</v>
      </c>
      <c r="BB309" s="9">
        <f>VLOOKUP(A309,Jogos!A:BN,60,0)</f>
        <v>67</v>
      </c>
      <c r="BC309" s="9">
        <f>VLOOKUP(A309,Jogos!A:BN,61,0)</f>
        <v>28.77666667</v>
      </c>
      <c r="BD309" s="9">
        <f>VLOOKUP(A309,Jogos!A:BN,62,0)</f>
        <v>105.8333333</v>
      </c>
      <c r="BE309" s="9">
        <f>VLOOKUP(A309,Jogos!A:BN,63,0)</f>
        <v>2.643333333</v>
      </c>
      <c r="BF309" s="9">
        <f>VLOOKUP(A309,Jogos!A:BN,64,0)</f>
        <v>24.72</v>
      </c>
      <c r="BG309" s="9">
        <f>VLOOKUP(A309,Jogos!A:BN,65,0)</f>
        <v>42.81333333</v>
      </c>
      <c r="BH309" s="9">
        <f>VLOOKUP(A309,Jogos!A:BN,66,0)</f>
        <v>28.76666667</v>
      </c>
      <c r="BI309" s="9"/>
    </row>
    <row r="310" hidden="1">
      <c r="A310" s="2">
        <v>11.0</v>
      </c>
      <c r="B310" s="11" t="s">
        <v>562</v>
      </c>
      <c r="C310" s="2" t="s">
        <v>61</v>
      </c>
      <c r="D310" s="3">
        <v>45825.0</v>
      </c>
      <c r="E310" s="4">
        <v>0.7951388888888888</v>
      </c>
      <c r="F310" s="5" t="str">
        <f>VLOOKUP(A310,Jogos!A:N,10,0)</f>
        <v>Evening</v>
      </c>
      <c r="G310" s="2" t="s">
        <v>686</v>
      </c>
      <c r="H310" s="6" t="str">
        <f>VLOOKUP(A310,Jogos!A:L,12,0)</f>
        <v>Open</v>
      </c>
      <c r="I310" s="6" t="str">
        <f>VLOOKUP(G310,'Estádios e Cidades'!A:B,2,0)</f>
        <v>Orlando</v>
      </c>
      <c r="J310" s="2" t="s">
        <v>687</v>
      </c>
      <c r="K310" s="2" t="str">
        <f>VLOOKUP(J310,Equipes!A:F,6,0)</f>
        <v>Temperate</v>
      </c>
      <c r="L310" s="2">
        <f>VLOOKUP(J310,Equipes!A:C,3,0)</f>
        <v>28</v>
      </c>
      <c r="M310" s="2" t="str">
        <f t="shared" si="4"/>
        <v>Group</v>
      </c>
      <c r="N310" s="2" t="s">
        <v>688</v>
      </c>
      <c r="O310" s="2">
        <f>VLOOKUP(N310,Equipes!A:C,3,0)</f>
        <v>18</v>
      </c>
      <c r="P310" s="2" t="str">
        <f t="shared" si="5"/>
        <v>Group</v>
      </c>
      <c r="Q310" s="2">
        <f t="shared" si="6"/>
        <v>10</v>
      </c>
      <c r="R310" s="2" t="str">
        <f>VLOOKUP(J310,Equipes!A:B,2,0)</f>
        <v>Ulsan</v>
      </c>
      <c r="S310" s="6" t="s">
        <v>711</v>
      </c>
      <c r="T310" s="7">
        <v>14.0</v>
      </c>
      <c r="U310" s="7" t="s">
        <v>712</v>
      </c>
      <c r="V310" s="7" t="str">
        <f>VLOOKUP(U310,Jogadores!B:C,2,0)</f>
        <v>MF</v>
      </c>
      <c r="W310" s="8">
        <f>VLOOKUP(U310,Jogadores!B:D,3,0)</f>
        <v>27.93972603</v>
      </c>
      <c r="X310" s="7">
        <v>73.0</v>
      </c>
      <c r="Y310" s="7">
        <f t="shared" si="962"/>
        <v>95</v>
      </c>
      <c r="Z310" s="7">
        <f>VLOOKUP(A310,Jogos!A:L,3,0)</f>
        <v>48</v>
      </c>
      <c r="AA310" s="7">
        <f t="shared" si="7"/>
        <v>0</v>
      </c>
      <c r="AB310" s="7">
        <f>VLOOKUP(A310,Jogos!A:L,4,0)</f>
        <v>50</v>
      </c>
      <c r="AC310" s="7">
        <f t="shared" si="657"/>
        <v>22</v>
      </c>
      <c r="AD310" s="7"/>
      <c r="AE310" s="7"/>
      <c r="AF310" s="7">
        <f t="shared" si="9"/>
        <v>22</v>
      </c>
      <c r="AG310" s="7">
        <v>3002.7</v>
      </c>
      <c r="AH310" s="7">
        <v>690.5</v>
      </c>
      <c r="AI310" s="7">
        <v>1296.3</v>
      </c>
      <c r="AJ310" s="7">
        <v>690.0</v>
      </c>
      <c r="AK310" s="7">
        <v>259.1</v>
      </c>
      <c r="AL310" s="7">
        <v>66.8</v>
      </c>
      <c r="AM310" s="7">
        <v>58.0</v>
      </c>
      <c r="AN310" s="7">
        <v>16.0</v>
      </c>
      <c r="AO310" s="7">
        <v>29.5</v>
      </c>
      <c r="AP310" s="9">
        <f t="shared" ref="AP310:AR310" si="969">AG310/$AF310</f>
        <v>136.4863636</v>
      </c>
      <c r="AQ310" s="9">
        <f t="shared" si="969"/>
        <v>31.38636364</v>
      </c>
      <c r="AR310" s="9">
        <f t="shared" si="969"/>
        <v>58.92272727</v>
      </c>
      <c r="AS310" s="9">
        <f t="shared" si="11"/>
        <v>90.30909091</v>
      </c>
      <c r="AT310" s="9">
        <f t="shared" ref="AT310:AV310" si="970">AJ310/$AF310</f>
        <v>31.36363636</v>
      </c>
      <c r="AU310" s="9">
        <f t="shared" si="970"/>
        <v>11.77727273</v>
      </c>
      <c r="AV310" s="9">
        <f t="shared" si="970"/>
        <v>3.036363636</v>
      </c>
      <c r="AW310" s="9">
        <f t="shared" si="13"/>
        <v>14.81363636</v>
      </c>
      <c r="AX310" s="9">
        <f t="shared" ref="AX310:AY310" si="971">AM310/$AF310</f>
        <v>2.636363636</v>
      </c>
      <c r="AY310" s="9">
        <f t="shared" si="971"/>
        <v>0.7272727273</v>
      </c>
      <c r="AZ310" s="9">
        <f>VLOOKUP(A310,Jogos!A:BN,58,0)</f>
        <v>29</v>
      </c>
      <c r="BA310" s="9">
        <f>VLOOKUP(A310,Jogos!A:BN,59,0)</f>
        <v>22.40333333</v>
      </c>
      <c r="BB310" s="9">
        <f>VLOOKUP(A310,Jogos!A:BN,60,0)</f>
        <v>67</v>
      </c>
      <c r="BC310" s="9">
        <f>VLOOKUP(A310,Jogos!A:BN,61,0)</f>
        <v>28.77666667</v>
      </c>
      <c r="BD310" s="9">
        <f>VLOOKUP(A310,Jogos!A:BN,62,0)</f>
        <v>105.8333333</v>
      </c>
      <c r="BE310" s="9">
        <f>VLOOKUP(A310,Jogos!A:BN,63,0)</f>
        <v>2.643333333</v>
      </c>
      <c r="BF310" s="9">
        <f>VLOOKUP(A310,Jogos!A:BN,64,0)</f>
        <v>24.72</v>
      </c>
      <c r="BG310" s="9">
        <f>VLOOKUP(A310,Jogos!A:BN,65,0)</f>
        <v>42.81333333</v>
      </c>
      <c r="BH310" s="9">
        <f>VLOOKUP(A310,Jogos!A:BN,66,0)</f>
        <v>28.76666667</v>
      </c>
      <c r="BI310" s="9"/>
    </row>
    <row r="311" hidden="1">
      <c r="A311" s="2">
        <v>11.0</v>
      </c>
      <c r="B311" s="11" t="s">
        <v>562</v>
      </c>
      <c r="C311" s="2" t="s">
        <v>61</v>
      </c>
      <c r="D311" s="3">
        <v>45825.0</v>
      </c>
      <c r="E311" s="4">
        <v>0.7951388888888888</v>
      </c>
      <c r="F311" s="5" t="str">
        <f>VLOOKUP(A311,Jogos!A:N,10,0)</f>
        <v>Evening</v>
      </c>
      <c r="G311" s="2" t="s">
        <v>686</v>
      </c>
      <c r="H311" s="6" t="str">
        <f>VLOOKUP(A311,Jogos!A:L,12,0)</f>
        <v>Open</v>
      </c>
      <c r="I311" s="6" t="str">
        <f>VLOOKUP(G311,'Estádios e Cidades'!A:B,2,0)</f>
        <v>Orlando</v>
      </c>
      <c r="J311" s="2" t="s">
        <v>687</v>
      </c>
      <c r="K311" s="2" t="str">
        <f>VLOOKUP(J311,Equipes!A:F,6,0)</f>
        <v>Temperate</v>
      </c>
      <c r="L311" s="2">
        <f>VLOOKUP(J311,Equipes!A:C,3,0)</f>
        <v>28</v>
      </c>
      <c r="M311" s="2" t="str">
        <f t="shared" si="4"/>
        <v>Group</v>
      </c>
      <c r="N311" s="2" t="s">
        <v>688</v>
      </c>
      <c r="O311" s="2">
        <f>VLOOKUP(N311,Equipes!A:C,3,0)</f>
        <v>18</v>
      </c>
      <c r="P311" s="2" t="str">
        <f t="shared" si="5"/>
        <v>Group</v>
      </c>
      <c r="Q311" s="2">
        <f t="shared" si="6"/>
        <v>10</v>
      </c>
      <c r="R311" s="2" t="str">
        <f>VLOOKUP(J311,Equipes!A:B,2,0)</f>
        <v>Ulsan</v>
      </c>
      <c r="S311" s="6" t="s">
        <v>713</v>
      </c>
      <c r="T311" s="7">
        <v>16.0</v>
      </c>
      <c r="U311" s="7" t="s">
        <v>714</v>
      </c>
      <c r="V311" s="7" t="str">
        <f>VLOOKUP(U311,Jogadores!B:C,2,0)</f>
        <v>MF</v>
      </c>
      <c r="W311" s="8">
        <f>VLOOKUP(U311,Jogadores!B:D,3,0)</f>
        <v>27.26575342</v>
      </c>
      <c r="X311" s="7">
        <v>73.0</v>
      </c>
      <c r="Y311" s="7">
        <f t="shared" si="962"/>
        <v>95</v>
      </c>
      <c r="Z311" s="7">
        <f>VLOOKUP(A311,Jogos!A:L,3,0)</f>
        <v>48</v>
      </c>
      <c r="AA311" s="7">
        <f t="shared" si="7"/>
        <v>0</v>
      </c>
      <c r="AB311" s="7">
        <f>VLOOKUP(A311,Jogos!A:L,4,0)</f>
        <v>50</v>
      </c>
      <c r="AC311" s="7">
        <f t="shared" si="657"/>
        <v>22</v>
      </c>
      <c r="AD311" s="7"/>
      <c r="AE311" s="7"/>
      <c r="AF311" s="7">
        <f t="shared" si="9"/>
        <v>22</v>
      </c>
      <c r="AG311" s="7">
        <v>2851.5</v>
      </c>
      <c r="AH311" s="7">
        <v>755.8</v>
      </c>
      <c r="AI311" s="7">
        <v>1202.5</v>
      </c>
      <c r="AJ311" s="7">
        <v>647.4</v>
      </c>
      <c r="AK311" s="7">
        <v>231.7</v>
      </c>
      <c r="AL311" s="7">
        <v>14.2</v>
      </c>
      <c r="AM311" s="7">
        <v>50.0</v>
      </c>
      <c r="AN311" s="7">
        <v>17.0</v>
      </c>
      <c r="AO311" s="7">
        <v>26.7</v>
      </c>
      <c r="AP311" s="9">
        <f t="shared" ref="AP311:AR311" si="972">AG311/$AF311</f>
        <v>129.6136364</v>
      </c>
      <c r="AQ311" s="9">
        <f t="shared" si="972"/>
        <v>34.35454545</v>
      </c>
      <c r="AR311" s="9">
        <f t="shared" si="972"/>
        <v>54.65909091</v>
      </c>
      <c r="AS311" s="9">
        <f t="shared" si="11"/>
        <v>89.01363636</v>
      </c>
      <c r="AT311" s="9">
        <f t="shared" ref="AT311:AV311" si="973">AJ311/$AF311</f>
        <v>29.42727273</v>
      </c>
      <c r="AU311" s="9">
        <f t="shared" si="973"/>
        <v>10.53181818</v>
      </c>
      <c r="AV311" s="9">
        <f t="shared" si="973"/>
        <v>0.6454545455</v>
      </c>
      <c r="AW311" s="9">
        <f t="shared" si="13"/>
        <v>11.17727273</v>
      </c>
      <c r="AX311" s="9">
        <f t="shared" ref="AX311:AY311" si="974">AM311/$AF311</f>
        <v>2.272727273</v>
      </c>
      <c r="AY311" s="9">
        <f t="shared" si="974"/>
        <v>0.7727272727</v>
      </c>
      <c r="AZ311" s="9">
        <f>VLOOKUP(A311,Jogos!A:BN,58,0)</f>
        <v>29</v>
      </c>
      <c r="BA311" s="9">
        <f>VLOOKUP(A311,Jogos!A:BN,59,0)</f>
        <v>22.40333333</v>
      </c>
      <c r="BB311" s="9">
        <f>VLOOKUP(A311,Jogos!A:BN,60,0)</f>
        <v>67</v>
      </c>
      <c r="BC311" s="9">
        <f>VLOOKUP(A311,Jogos!A:BN,61,0)</f>
        <v>28.77666667</v>
      </c>
      <c r="BD311" s="9">
        <f>VLOOKUP(A311,Jogos!A:BN,62,0)</f>
        <v>105.8333333</v>
      </c>
      <c r="BE311" s="9">
        <f>VLOOKUP(A311,Jogos!A:BN,63,0)</f>
        <v>2.643333333</v>
      </c>
      <c r="BF311" s="9">
        <f>VLOOKUP(A311,Jogos!A:BN,64,0)</f>
        <v>24.72</v>
      </c>
      <c r="BG311" s="9">
        <f>VLOOKUP(A311,Jogos!A:BN,65,0)</f>
        <v>42.81333333</v>
      </c>
      <c r="BH311" s="9">
        <f>VLOOKUP(A311,Jogos!A:BN,66,0)</f>
        <v>28.76666667</v>
      </c>
      <c r="BI311" s="9"/>
    </row>
    <row r="312" hidden="1">
      <c r="A312" s="2">
        <v>11.0</v>
      </c>
      <c r="B312" s="11" t="s">
        <v>562</v>
      </c>
      <c r="C312" s="2" t="s">
        <v>61</v>
      </c>
      <c r="D312" s="3">
        <v>45825.0</v>
      </c>
      <c r="E312" s="4">
        <v>0.7951388888888888</v>
      </c>
      <c r="F312" s="5" t="str">
        <f>VLOOKUP(A312,Jogos!A:N,10,0)</f>
        <v>Evening</v>
      </c>
      <c r="G312" s="2" t="s">
        <v>686</v>
      </c>
      <c r="H312" s="6" t="str">
        <f>VLOOKUP(A312,Jogos!A:L,12,0)</f>
        <v>Open</v>
      </c>
      <c r="I312" s="6" t="str">
        <f>VLOOKUP(G312,'Estádios e Cidades'!A:B,2,0)</f>
        <v>Orlando</v>
      </c>
      <c r="J312" s="2" t="s">
        <v>687</v>
      </c>
      <c r="K312" s="2" t="str">
        <f>VLOOKUP(J312,Equipes!A:F,6,0)</f>
        <v>Temperate</v>
      </c>
      <c r="L312" s="2">
        <f>VLOOKUP(J312,Equipes!A:C,3,0)</f>
        <v>28</v>
      </c>
      <c r="M312" s="2" t="str">
        <f t="shared" si="4"/>
        <v>Group</v>
      </c>
      <c r="N312" s="2" t="s">
        <v>688</v>
      </c>
      <c r="O312" s="2">
        <f>VLOOKUP(N312,Equipes!A:C,3,0)</f>
        <v>18</v>
      </c>
      <c r="P312" s="2" t="str">
        <f t="shared" si="5"/>
        <v>Group</v>
      </c>
      <c r="Q312" s="2">
        <f t="shared" si="6"/>
        <v>10</v>
      </c>
      <c r="R312" s="2" t="str">
        <f>VLOOKUP(J312,Equipes!A:B,2,0)</f>
        <v>Ulsan</v>
      </c>
      <c r="S312" s="6" t="s">
        <v>715</v>
      </c>
      <c r="T312" s="7">
        <v>36.0</v>
      </c>
      <c r="U312" s="7" t="s">
        <v>716</v>
      </c>
      <c r="V312" s="7" t="str">
        <f>VLOOKUP(U312,Jogadores!B:C,2,0)</f>
        <v>MF</v>
      </c>
      <c r="W312" s="8">
        <f>VLOOKUP(U312,Jogadores!B:D,3,0)</f>
        <v>22.77534247</v>
      </c>
      <c r="X312" s="7">
        <v>64.0</v>
      </c>
      <c r="Y312" s="7">
        <f t="shared" si="962"/>
        <v>95</v>
      </c>
      <c r="Z312" s="7">
        <f>VLOOKUP(A312,Jogos!A:L,3,0)</f>
        <v>48</v>
      </c>
      <c r="AA312" s="7">
        <f t="shared" si="7"/>
        <v>0</v>
      </c>
      <c r="AB312" s="7">
        <f>VLOOKUP(A312,Jogos!A:L,4,0)</f>
        <v>50</v>
      </c>
      <c r="AC312" s="7">
        <f t="shared" si="657"/>
        <v>31</v>
      </c>
      <c r="AD312" s="7"/>
      <c r="AE312" s="7"/>
      <c r="AF312" s="7">
        <f t="shared" si="9"/>
        <v>31</v>
      </c>
      <c r="AG312" s="7">
        <v>3656.1</v>
      </c>
      <c r="AH312" s="7">
        <v>1456.8</v>
      </c>
      <c r="AI312" s="7">
        <v>1252.3</v>
      </c>
      <c r="AJ312" s="7">
        <v>549.9</v>
      </c>
      <c r="AK312" s="7">
        <v>242.9</v>
      </c>
      <c r="AL312" s="7">
        <v>154.3</v>
      </c>
      <c r="AM312" s="7">
        <v>50.0</v>
      </c>
      <c r="AN312" s="7">
        <v>19.0</v>
      </c>
      <c r="AO312" s="7">
        <v>34.0</v>
      </c>
      <c r="AP312" s="9">
        <f t="shared" ref="AP312:AR312" si="975">AG312/$AF312</f>
        <v>117.9387097</v>
      </c>
      <c r="AQ312" s="9">
        <f t="shared" si="975"/>
        <v>46.99354839</v>
      </c>
      <c r="AR312" s="9">
        <f t="shared" si="975"/>
        <v>40.39677419</v>
      </c>
      <c r="AS312" s="9">
        <f t="shared" si="11"/>
        <v>87.39032258</v>
      </c>
      <c r="AT312" s="9">
        <f t="shared" ref="AT312:AV312" si="976">AJ312/$AF312</f>
        <v>17.73870968</v>
      </c>
      <c r="AU312" s="9">
        <f t="shared" si="976"/>
        <v>7.835483871</v>
      </c>
      <c r="AV312" s="9">
        <f t="shared" si="976"/>
        <v>4.977419355</v>
      </c>
      <c r="AW312" s="9">
        <f t="shared" si="13"/>
        <v>12.81290323</v>
      </c>
      <c r="AX312" s="9">
        <f t="shared" ref="AX312:AY312" si="977">AM312/$AF312</f>
        <v>1.612903226</v>
      </c>
      <c r="AY312" s="9">
        <f t="shared" si="977"/>
        <v>0.6129032258</v>
      </c>
      <c r="AZ312" s="9">
        <f>VLOOKUP(A312,Jogos!A:BN,58,0)</f>
        <v>29</v>
      </c>
      <c r="BA312" s="9">
        <f>VLOOKUP(A312,Jogos!A:BN,59,0)</f>
        <v>22.40333333</v>
      </c>
      <c r="BB312" s="9">
        <f>VLOOKUP(A312,Jogos!A:BN,60,0)</f>
        <v>67</v>
      </c>
      <c r="BC312" s="9">
        <f>VLOOKUP(A312,Jogos!A:BN,61,0)</f>
        <v>28.77666667</v>
      </c>
      <c r="BD312" s="9">
        <f>VLOOKUP(A312,Jogos!A:BN,62,0)</f>
        <v>105.8333333</v>
      </c>
      <c r="BE312" s="9">
        <f>VLOOKUP(A312,Jogos!A:BN,63,0)</f>
        <v>2.643333333</v>
      </c>
      <c r="BF312" s="9">
        <f>VLOOKUP(A312,Jogos!A:BN,64,0)</f>
        <v>24.72</v>
      </c>
      <c r="BG312" s="9">
        <f>VLOOKUP(A312,Jogos!A:BN,65,0)</f>
        <v>42.81333333</v>
      </c>
      <c r="BH312" s="9">
        <f>VLOOKUP(A312,Jogos!A:BN,66,0)</f>
        <v>28.76666667</v>
      </c>
      <c r="BI312" s="9"/>
    </row>
    <row r="313" hidden="1">
      <c r="A313" s="10">
        <v>11.0</v>
      </c>
      <c r="B313" s="11" t="s">
        <v>562</v>
      </c>
      <c r="C313" s="2" t="s">
        <v>61</v>
      </c>
      <c r="D313" s="12">
        <v>45825.0</v>
      </c>
      <c r="E313" s="13">
        <v>0.7951388888888888</v>
      </c>
      <c r="F313" s="5" t="str">
        <f>VLOOKUP(A313,Jogos!A:N,10,0)</f>
        <v>Evening</v>
      </c>
      <c r="G313" s="11" t="s">
        <v>686</v>
      </c>
      <c r="H313" s="6" t="str">
        <f>VLOOKUP(A313,Jogos!A:L,12,0)</f>
        <v>Open</v>
      </c>
      <c r="I313" s="6" t="str">
        <f>VLOOKUP(G313,'Estádios e Cidades'!A:B,2,0)</f>
        <v>Orlando</v>
      </c>
      <c r="J313" s="11" t="s">
        <v>688</v>
      </c>
      <c r="K313" s="2" t="str">
        <f>VLOOKUP(J313,Equipes!A:F,6,0)</f>
        <v>Tropical</v>
      </c>
      <c r="L313" s="2">
        <f>VLOOKUP(J313,Equipes!A:C,3,0)</f>
        <v>18</v>
      </c>
      <c r="M313" s="2" t="str">
        <f t="shared" si="4"/>
        <v>Group</v>
      </c>
      <c r="N313" s="11" t="s">
        <v>687</v>
      </c>
      <c r="O313" s="2">
        <f>VLOOKUP(N313,Equipes!A:C,3,0)</f>
        <v>28</v>
      </c>
      <c r="P313" s="2" t="str">
        <f t="shared" si="5"/>
        <v>Group</v>
      </c>
      <c r="Q313" s="2">
        <f t="shared" si="6"/>
        <v>-10</v>
      </c>
      <c r="R313" s="2" t="str">
        <f>VLOOKUP(J313,Equipes!A:B,2,0)</f>
        <v>Mamelodi</v>
      </c>
      <c r="S313" s="14" t="s">
        <v>717</v>
      </c>
      <c r="T313" s="7">
        <v>4.0</v>
      </c>
      <c r="U313" s="7" t="s">
        <v>718</v>
      </c>
      <c r="V313" s="7" t="str">
        <f>VLOOKUP(U313,Jogadores!B:C,2,0)</f>
        <v>MF</v>
      </c>
      <c r="W313" s="8">
        <f>VLOOKUP(U313,Jogadores!B:D,3,0)</f>
        <v>28.5260274</v>
      </c>
      <c r="X313" s="7">
        <v>0.0</v>
      </c>
      <c r="Y313" s="7">
        <f t="shared" si="962"/>
        <v>95</v>
      </c>
      <c r="Z313" s="7">
        <f>VLOOKUP(A313,Jogos!A:L,3,0)</f>
        <v>48</v>
      </c>
      <c r="AA313" s="7">
        <f t="shared" si="7"/>
        <v>48</v>
      </c>
      <c r="AB313" s="7">
        <f>VLOOKUP(A313,Jogos!A:L,4,0)</f>
        <v>50</v>
      </c>
      <c r="AC313" s="7">
        <f t="shared" si="657"/>
        <v>50</v>
      </c>
      <c r="AD313" s="7"/>
      <c r="AE313" s="7"/>
      <c r="AF313" s="7">
        <f t="shared" si="9"/>
        <v>98</v>
      </c>
      <c r="AG313" s="7">
        <v>9962.2</v>
      </c>
      <c r="AH313" s="7">
        <v>3284.2</v>
      </c>
      <c r="AI313" s="7">
        <v>4912.0</v>
      </c>
      <c r="AJ313" s="7">
        <v>1264.6</v>
      </c>
      <c r="AK313" s="7">
        <v>393.5</v>
      </c>
      <c r="AL313" s="7">
        <v>107.9</v>
      </c>
      <c r="AM313" s="7">
        <v>107.0</v>
      </c>
      <c r="AN313" s="7">
        <v>31.0</v>
      </c>
      <c r="AO313" s="7">
        <v>29.6</v>
      </c>
      <c r="AP313" s="9">
        <f t="shared" ref="AP313:AR313" si="978">AG313/$AF313</f>
        <v>101.655102</v>
      </c>
      <c r="AQ313" s="9">
        <f t="shared" si="978"/>
        <v>33.5122449</v>
      </c>
      <c r="AR313" s="9">
        <f t="shared" si="978"/>
        <v>50.12244898</v>
      </c>
      <c r="AS313" s="9">
        <f t="shared" si="11"/>
        <v>83.63469388</v>
      </c>
      <c r="AT313" s="9">
        <f t="shared" ref="AT313:AV313" si="979">AJ313/$AF313</f>
        <v>12.90408163</v>
      </c>
      <c r="AU313" s="9">
        <f t="shared" si="979"/>
        <v>4.015306122</v>
      </c>
      <c r="AV313" s="9">
        <f t="shared" si="979"/>
        <v>1.101020408</v>
      </c>
      <c r="AW313" s="9">
        <f t="shared" si="13"/>
        <v>5.116326531</v>
      </c>
      <c r="AX313" s="9">
        <f t="shared" ref="AX313:AY313" si="980">AM313/$AF313</f>
        <v>1.091836735</v>
      </c>
      <c r="AY313" s="9">
        <f t="shared" si="980"/>
        <v>0.3163265306</v>
      </c>
      <c r="AZ313" s="9">
        <f>VLOOKUP(A313,Jogos!A:BN,58,0)</f>
        <v>29</v>
      </c>
      <c r="BA313" s="9">
        <f>VLOOKUP(A313,Jogos!A:BN,59,0)</f>
        <v>22.40333333</v>
      </c>
      <c r="BB313" s="9">
        <f>VLOOKUP(A313,Jogos!A:BN,60,0)</f>
        <v>67</v>
      </c>
      <c r="BC313" s="9">
        <f>VLOOKUP(A313,Jogos!A:BN,61,0)</f>
        <v>28.77666667</v>
      </c>
      <c r="BD313" s="9">
        <f>VLOOKUP(A313,Jogos!A:BN,62,0)</f>
        <v>105.8333333</v>
      </c>
      <c r="BE313" s="9">
        <f>VLOOKUP(A313,Jogos!A:BN,63,0)</f>
        <v>2.643333333</v>
      </c>
      <c r="BF313" s="9">
        <f>VLOOKUP(A313,Jogos!A:BN,64,0)</f>
        <v>24.72</v>
      </c>
      <c r="BG313" s="9">
        <f>VLOOKUP(A313,Jogos!A:BN,65,0)</f>
        <v>42.81333333</v>
      </c>
      <c r="BH313" s="9">
        <f>VLOOKUP(A313,Jogos!A:BN,66,0)</f>
        <v>28.76666667</v>
      </c>
      <c r="BI313" s="9"/>
    </row>
    <row r="314" hidden="1">
      <c r="A314" s="10">
        <v>11.0</v>
      </c>
      <c r="B314" s="11" t="s">
        <v>562</v>
      </c>
      <c r="C314" s="2" t="s">
        <v>61</v>
      </c>
      <c r="D314" s="12">
        <v>45825.0</v>
      </c>
      <c r="E314" s="13">
        <v>0.7951388888888888</v>
      </c>
      <c r="F314" s="5" t="str">
        <f>VLOOKUP(A314,Jogos!A:N,10,0)</f>
        <v>Evening</v>
      </c>
      <c r="G314" s="11" t="s">
        <v>686</v>
      </c>
      <c r="H314" s="6" t="str">
        <f>VLOOKUP(A314,Jogos!A:L,12,0)</f>
        <v>Open</v>
      </c>
      <c r="I314" s="6" t="str">
        <f>VLOOKUP(G314,'Estádios e Cidades'!A:B,2,0)</f>
        <v>Orlando</v>
      </c>
      <c r="J314" s="11" t="s">
        <v>688</v>
      </c>
      <c r="K314" s="2" t="str">
        <f>VLOOKUP(J314,Equipes!A:F,6,0)</f>
        <v>Tropical</v>
      </c>
      <c r="L314" s="2">
        <f>VLOOKUP(J314,Equipes!A:C,3,0)</f>
        <v>18</v>
      </c>
      <c r="M314" s="2" t="str">
        <f t="shared" si="4"/>
        <v>Group</v>
      </c>
      <c r="N314" s="11" t="s">
        <v>687</v>
      </c>
      <c r="O314" s="2">
        <f>VLOOKUP(N314,Equipes!A:C,3,0)</f>
        <v>28</v>
      </c>
      <c r="P314" s="2" t="str">
        <f t="shared" si="5"/>
        <v>Group</v>
      </c>
      <c r="Q314" s="2">
        <f t="shared" si="6"/>
        <v>-10</v>
      </c>
      <c r="R314" s="2" t="str">
        <f>VLOOKUP(J314,Equipes!A:B,2,0)</f>
        <v>Mamelodi</v>
      </c>
      <c r="S314" s="6" t="s">
        <v>719</v>
      </c>
      <c r="T314" s="7">
        <v>9.0</v>
      </c>
      <c r="U314" s="7" t="s">
        <v>720</v>
      </c>
      <c r="V314" s="7" t="str">
        <f>VLOOKUP(U314,Jogadores!B:C,2,0)</f>
        <v>FW</v>
      </c>
      <c r="W314" s="8">
        <f>VLOOKUP(U314,Jogadores!B:D,3,0)</f>
        <v>23.08493151</v>
      </c>
      <c r="X314" s="7">
        <v>0.0</v>
      </c>
      <c r="Y314" s="7">
        <v>65.0</v>
      </c>
      <c r="Z314" s="7">
        <f>VLOOKUP(A314,Jogos!A:L,3,0)</f>
        <v>48</v>
      </c>
      <c r="AA314" s="7">
        <f t="shared" si="7"/>
        <v>48</v>
      </c>
      <c r="AB314" s="7">
        <f>VLOOKUP(A314,Jogos!A:L,4,0)</f>
        <v>50</v>
      </c>
      <c r="AC314" s="7">
        <f t="shared" si="657"/>
        <v>20</v>
      </c>
      <c r="AD314" s="7"/>
      <c r="AE314" s="7"/>
      <c r="AF314" s="7">
        <f t="shared" si="9"/>
        <v>68</v>
      </c>
      <c r="AG314" s="7">
        <v>7892.3</v>
      </c>
      <c r="AH314" s="7">
        <v>2871.9</v>
      </c>
      <c r="AI314" s="7">
        <v>3176.2</v>
      </c>
      <c r="AJ314" s="7">
        <v>1122.7</v>
      </c>
      <c r="AK314" s="7">
        <v>559.7</v>
      </c>
      <c r="AL314" s="7">
        <v>161.8</v>
      </c>
      <c r="AM314" s="7">
        <v>102.0</v>
      </c>
      <c r="AN314" s="7">
        <v>43.0</v>
      </c>
      <c r="AO314" s="7">
        <v>32.0</v>
      </c>
      <c r="AP314" s="9">
        <f t="shared" ref="AP314:AR314" si="981">AG314/$AF314</f>
        <v>116.0632353</v>
      </c>
      <c r="AQ314" s="9">
        <f t="shared" si="981"/>
        <v>42.23382353</v>
      </c>
      <c r="AR314" s="9">
        <f t="shared" si="981"/>
        <v>46.70882353</v>
      </c>
      <c r="AS314" s="9">
        <f t="shared" si="11"/>
        <v>88.94264706</v>
      </c>
      <c r="AT314" s="9">
        <f t="shared" ref="AT314:AV314" si="982">AJ314/$AF314</f>
        <v>16.51029412</v>
      </c>
      <c r="AU314" s="9">
        <f t="shared" si="982"/>
        <v>8.230882353</v>
      </c>
      <c r="AV314" s="9">
        <f t="shared" si="982"/>
        <v>2.379411765</v>
      </c>
      <c r="AW314" s="9">
        <f t="shared" si="13"/>
        <v>10.61029412</v>
      </c>
      <c r="AX314" s="9">
        <f t="shared" ref="AX314:AY314" si="983">AM314/$AF314</f>
        <v>1.5</v>
      </c>
      <c r="AY314" s="9">
        <f t="shared" si="983"/>
        <v>0.6323529412</v>
      </c>
      <c r="AZ314" s="9">
        <f>VLOOKUP(A314,Jogos!A:BN,58,0)</f>
        <v>29</v>
      </c>
      <c r="BA314" s="9">
        <f>VLOOKUP(A314,Jogos!A:BN,59,0)</f>
        <v>22.40333333</v>
      </c>
      <c r="BB314" s="9">
        <f>VLOOKUP(A314,Jogos!A:BN,60,0)</f>
        <v>67</v>
      </c>
      <c r="BC314" s="9">
        <f>VLOOKUP(A314,Jogos!A:BN,61,0)</f>
        <v>28.77666667</v>
      </c>
      <c r="BD314" s="9">
        <f>VLOOKUP(A314,Jogos!A:BN,62,0)</f>
        <v>105.8333333</v>
      </c>
      <c r="BE314" s="9">
        <f>VLOOKUP(A314,Jogos!A:BN,63,0)</f>
        <v>2.643333333</v>
      </c>
      <c r="BF314" s="9">
        <f>VLOOKUP(A314,Jogos!A:BN,64,0)</f>
        <v>24.72</v>
      </c>
      <c r="BG314" s="9">
        <f>VLOOKUP(A314,Jogos!A:BN,65,0)</f>
        <v>42.81333333</v>
      </c>
      <c r="BH314" s="9">
        <f>VLOOKUP(A314,Jogos!A:BN,66,0)</f>
        <v>28.76666667</v>
      </c>
      <c r="BI314" s="9"/>
    </row>
    <row r="315" hidden="1">
      <c r="A315" s="10">
        <v>11.0</v>
      </c>
      <c r="B315" s="11" t="s">
        <v>562</v>
      </c>
      <c r="C315" s="2" t="s">
        <v>61</v>
      </c>
      <c r="D315" s="12">
        <v>45825.0</v>
      </c>
      <c r="E315" s="13">
        <v>0.7951388888888888</v>
      </c>
      <c r="F315" s="5" t="str">
        <f>VLOOKUP(A315,Jogos!A:N,10,0)</f>
        <v>Evening</v>
      </c>
      <c r="G315" s="11" t="s">
        <v>686</v>
      </c>
      <c r="H315" s="6" t="str">
        <f>VLOOKUP(A315,Jogos!A:L,12,0)</f>
        <v>Open</v>
      </c>
      <c r="I315" s="6" t="str">
        <f>VLOOKUP(G315,'Estádios e Cidades'!A:B,2,0)</f>
        <v>Orlando</v>
      </c>
      <c r="J315" s="11" t="s">
        <v>688</v>
      </c>
      <c r="K315" s="2" t="str">
        <f>VLOOKUP(J315,Equipes!A:F,6,0)</f>
        <v>Tropical</v>
      </c>
      <c r="L315" s="2">
        <f>VLOOKUP(J315,Equipes!A:C,3,0)</f>
        <v>18</v>
      </c>
      <c r="M315" s="2" t="str">
        <f t="shared" si="4"/>
        <v>Group</v>
      </c>
      <c r="N315" s="11" t="s">
        <v>687</v>
      </c>
      <c r="O315" s="2">
        <f>VLOOKUP(N315,Equipes!A:C,3,0)</f>
        <v>28</v>
      </c>
      <c r="P315" s="2" t="str">
        <f t="shared" si="5"/>
        <v>Group</v>
      </c>
      <c r="Q315" s="2">
        <f t="shared" si="6"/>
        <v>-10</v>
      </c>
      <c r="R315" s="2" t="str">
        <f>VLOOKUP(J315,Equipes!A:B,2,0)</f>
        <v>Mamelodi</v>
      </c>
      <c r="S315" s="6" t="s">
        <v>721</v>
      </c>
      <c r="T315" s="7">
        <v>10.0</v>
      </c>
      <c r="U315" s="7" t="s">
        <v>722</v>
      </c>
      <c r="V315" s="7" t="str">
        <f>VLOOKUP(U315,Jogadores!B:C,2,0)</f>
        <v>FW</v>
      </c>
      <c r="W315" s="8">
        <f>VLOOKUP(U315,Jogadores!B:D,3,0)</f>
        <v>26.81917808</v>
      </c>
      <c r="X315" s="7">
        <v>0.0</v>
      </c>
      <c r="Y315" s="7">
        <v>84.0</v>
      </c>
      <c r="Z315" s="7">
        <f>VLOOKUP(A315,Jogos!A:L,3,0)</f>
        <v>48</v>
      </c>
      <c r="AA315" s="7">
        <f t="shared" si="7"/>
        <v>48</v>
      </c>
      <c r="AB315" s="7">
        <f>VLOOKUP(A315,Jogos!A:L,4,0)</f>
        <v>50</v>
      </c>
      <c r="AC315" s="7">
        <f t="shared" si="657"/>
        <v>39</v>
      </c>
      <c r="AD315" s="7"/>
      <c r="AE315" s="7"/>
      <c r="AF315" s="7">
        <f t="shared" si="9"/>
        <v>87</v>
      </c>
      <c r="AG315" s="7">
        <v>8331.2</v>
      </c>
      <c r="AH315" s="7">
        <v>4087.3</v>
      </c>
      <c r="AI315" s="7">
        <v>2950.0</v>
      </c>
      <c r="AJ315" s="7">
        <v>788.8</v>
      </c>
      <c r="AK315" s="7">
        <v>317.5</v>
      </c>
      <c r="AL315" s="7">
        <v>187.8</v>
      </c>
      <c r="AM315" s="7">
        <v>79.0</v>
      </c>
      <c r="AN315" s="7">
        <v>27.0</v>
      </c>
      <c r="AO315" s="7">
        <v>29.9</v>
      </c>
      <c r="AP315" s="9">
        <f t="shared" ref="AP315:AR315" si="984">AG315/$AF315</f>
        <v>95.76091954</v>
      </c>
      <c r="AQ315" s="9">
        <f t="shared" si="984"/>
        <v>46.98045977</v>
      </c>
      <c r="AR315" s="9">
        <f t="shared" si="984"/>
        <v>33.90804598</v>
      </c>
      <c r="AS315" s="9">
        <f t="shared" si="11"/>
        <v>80.88850575</v>
      </c>
      <c r="AT315" s="9">
        <f t="shared" ref="AT315:AV315" si="985">AJ315/$AF315</f>
        <v>9.066666667</v>
      </c>
      <c r="AU315" s="9">
        <f t="shared" si="985"/>
        <v>3.649425287</v>
      </c>
      <c r="AV315" s="9">
        <f t="shared" si="985"/>
        <v>2.15862069</v>
      </c>
      <c r="AW315" s="9">
        <f t="shared" si="13"/>
        <v>5.808045977</v>
      </c>
      <c r="AX315" s="9">
        <f t="shared" ref="AX315:AY315" si="986">AM315/$AF315</f>
        <v>0.908045977</v>
      </c>
      <c r="AY315" s="9">
        <f t="shared" si="986"/>
        <v>0.3103448276</v>
      </c>
      <c r="AZ315" s="9">
        <f>VLOOKUP(A315,Jogos!A:BN,58,0)</f>
        <v>29</v>
      </c>
      <c r="BA315" s="9">
        <f>VLOOKUP(A315,Jogos!A:BN,59,0)</f>
        <v>22.40333333</v>
      </c>
      <c r="BB315" s="9">
        <f>VLOOKUP(A315,Jogos!A:BN,60,0)</f>
        <v>67</v>
      </c>
      <c r="BC315" s="9">
        <f>VLOOKUP(A315,Jogos!A:BN,61,0)</f>
        <v>28.77666667</v>
      </c>
      <c r="BD315" s="9">
        <f>VLOOKUP(A315,Jogos!A:BN,62,0)</f>
        <v>105.8333333</v>
      </c>
      <c r="BE315" s="9">
        <f>VLOOKUP(A315,Jogos!A:BN,63,0)</f>
        <v>2.643333333</v>
      </c>
      <c r="BF315" s="9">
        <f>VLOOKUP(A315,Jogos!A:BN,64,0)</f>
        <v>24.72</v>
      </c>
      <c r="BG315" s="9">
        <f>VLOOKUP(A315,Jogos!A:BN,65,0)</f>
        <v>42.81333333</v>
      </c>
      <c r="BH315" s="9">
        <f>VLOOKUP(A315,Jogos!A:BN,66,0)</f>
        <v>28.76666667</v>
      </c>
      <c r="BI315" s="9"/>
    </row>
    <row r="316" hidden="1">
      <c r="A316" s="10">
        <v>11.0</v>
      </c>
      <c r="B316" s="11" t="s">
        <v>562</v>
      </c>
      <c r="C316" s="2" t="s">
        <v>61</v>
      </c>
      <c r="D316" s="12">
        <v>45825.0</v>
      </c>
      <c r="E316" s="13">
        <v>0.7951388888888888</v>
      </c>
      <c r="F316" s="5" t="str">
        <f>VLOOKUP(A316,Jogos!A:N,10,0)</f>
        <v>Evening</v>
      </c>
      <c r="G316" s="11" t="s">
        <v>686</v>
      </c>
      <c r="H316" s="6" t="str">
        <f>VLOOKUP(A316,Jogos!A:L,12,0)</f>
        <v>Open</v>
      </c>
      <c r="I316" s="6" t="str">
        <f>VLOOKUP(G316,'Estádios e Cidades'!A:B,2,0)</f>
        <v>Orlando</v>
      </c>
      <c r="J316" s="11" t="s">
        <v>688</v>
      </c>
      <c r="K316" s="2" t="str">
        <f>VLOOKUP(J316,Equipes!A:F,6,0)</f>
        <v>Tropical</v>
      </c>
      <c r="L316" s="2">
        <f>VLOOKUP(J316,Equipes!A:C,3,0)</f>
        <v>18</v>
      </c>
      <c r="M316" s="2" t="str">
        <f t="shared" si="4"/>
        <v>Group</v>
      </c>
      <c r="N316" s="11" t="s">
        <v>687</v>
      </c>
      <c r="O316" s="2">
        <f>VLOOKUP(N316,Equipes!A:C,3,0)</f>
        <v>28</v>
      </c>
      <c r="P316" s="2" t="str">
        <f t="shared" si="5"/>
        <v>Group</v>
      </c>
      <c r="Q316" s="2">
        <f t="shared" si="6"/>
        <v>-10</v>
      </c>
      <c r="R316" s="2" t="str">
        <f>VLOOKUP(J316,Equipes!A:B,2,0)</f>
        <v>Mamelodi</v>
      </c>
      <c r="S316" s="6" t="s">
        <v>723</v>
      </c>
      <c r="T316" s="7">
        <v>11.0</v>
      </c>
      <c r="U316" s="7" t="s">
        <v>724</v>
      </c>
      <c r="V316" s="7" t="str">
        <f>VLOOKUP(U316,Jogadores!B:C,2,0)</f>
        <v>MF</v>
      </c>
      <c r="W316" s="8">
        <f>VLOOKUP(U316,Jogadores!B:D,3,0)</f>
        <v>26.3260274</v>
      </c>
      <c r="X316" s="7">
        <v>0.0</v>
      </c>
      <c r="Y316" s="7">
        <f>45+AB316</f>
        <v>95</v>
      </c>
      <c r="Z316" s="7">
        <f>VLOOKUP(A316,Jogos!A:L,3,0)</f>
        <v>48</v>
      </c>
      <c r="AA316" s="7">
        <f t="shared" si="7"/>
        <v>48</v>
      </c>
      <c r="AB316" s="7">
        <f>VLOOKUP(A316,Jogos!A:L,4,0)</f>
        <v>50</v>
      </c>
      <c r="AC316" s="7">
        <f t="shared" si="657"/>
        <v>50</v>
      </c>
      <c r="AD316" s="7"/>
      <c r="AE316" s="7"/>
      <c r="AF316" s="7">
        <f t="shared" si="9"/>
        <v>98</v>
      </c>
      <c r="AG316" s="7">
        <v>12003.8</v>
      </c>
      <c r="AH316" s="7">
        <v>3743.9</v>
      </c>
      <c r="AI316" s="7">
        <v>5994.4</v>
      </c>
      <c r="AJ316" s="7">
        <v>1713.9</v>
      </c>
      <c r="AK316" s="7">
        <v>484.6</v>
      </c>
      <c r="AL316" s="7">
        <v>67.0</v>
      </c>
      <c r="AM316" s="7">
        <v>141.0</v>
      </c>
      <c r="AN316" s="7">
        <v>34.0</v>
      </c>
      <c r="AO316" s="7">
        <v>28.0</v>
      </c>
      <c r="AP316" s="9">
        <f t="shared" ref="AP316:AR316" si="987">AG316/$AF316</f>
        <v>122.4877551</v>
      </c>
      <c r="AQ316" s="9">
        <f t="shared" si="987"/>
        <v>38.20306122</v>
      </c>
      <c r="AR316" s="9">
        <f t="shared" si="987"/>
        <v>61.16734694</v>
      </c>
      <c r="AS316" s="9">
        <f t="shared" si="11"/>
        <v>99.37040816</v>
      </c>
      <c r="AT316" s="9">
        <f t="shared" ref="AT316:AV316" si="988">AJ316/$AF316</f>
        <v>17.48877551</v>
      </c>
      <c r="AU316" s="9">
        <f t="shared" si="988"/>
        <v>4.944897959</v>
      </c>
      <c r="AV316" s="9">
        <f t="shared" si="988"/>
        <v>0.6836734694</v>
      </c>
      <c r="AW316" s="9">
        <f t="shared" si="13"/>
        <v>5.628571429</v>
      </c>
      <c r="AX316" s="9">
        <f t="shared" ref="AX316:AY316" si="989">AM316/$AF316</f>
        <v>1.43877551</v>
      </c>
      <c r="AY316" s="9">
        <f t="shared" si="989"/>
        <v>0.3469387755</v>
      </c>
      <c r="AZ316" s="9">
        <f>VLOOKUP(A316,Jogos!A:BN,58,0)</f>
        <v>29</v>
      </c>
      <c r="BA316" s="9">
        <f>VLOOKUP(A316,Jogos!A:BN,59,0)</f>
        <v>22.40333333</v>
      </c>
      <c r="BB316" s="9">
        <f>VLOOKUP(A316,Jogos!A:BN,60,0)</f>
        <v>67</v>
      </c>
      <c r="BC316" s="9">
        <f>VLOOKUP(A316,Jogos!A:BN,61,0)</f>
        <v>28.77666667</v>
      </c>
      <c r="BD316" s="9">
        <f>VLOOKUP(A316,Jogos!A:BN,62,0)</f>
        <v>105.8333333</v>
      </c>
      <c r="BE316" s="9">
        <f>VLOOKUP(A316,Jogos!A:BN,63,0)</f>
        <v>2.643333333</v>
      </c>
      <c r="BF316" s="9">
        <f>VLOOKUP(A316,Jogos!A:BN,64,0)</f>
        <v>24.72</v>
      </c>
      <c r="BG316" s="9">
        <f>VLOOKUP(A316,Jogos!A:BN,65,0)</f>
        <v>42.81333333</v>
      </c>
      <c r="BH316" s="9">
        <f>VLOOKUP(A316,Jogos!A:BN,66,0)</f>
        <v>28.76666667</v>
      </c>
      <c r="BI316" s="9"/>
    </row>
    <row r="317" hidden="1">
      <c r="A317" s="10">
        <v>11.0</v>
      </c>
      <c r="B317" s="11" t="s">
        <v>562</v>
      </c>
      <c r="C317" s="2" t="s">
        <v>61</v>
      </c>
      <c r="D317" s="12">
        <v>45825.0</v>
      </c>
      <c r="E317" s="13">
        <v>0.7951388888888888</v>
      </c>
      <c r="F317" s="5" t="str">
        <f>VLOOKUP(A317,Jogos!A:N,10,0)</f>
        <v>Evening</v>
      </c>
      <c r="G317" s="11" t="s">
        <v>686</v>
      </c>
      <c r="H317" s="6" t="str">
        <f>VLOOKUP(A317,Jogos!A:L,12,0)</f>
        <v>Open</v>
      </c>
      <c r="I317" s="6" t="str">
        <f>VLOOKUP(G317,'Estádios e Cidades'!A:B,2,0)</f>
        <v>Orlando</v>
      </c>
      <c r="J317" s="11" t="s">
        <v>688</v>
      </c>
      <c r="K317" s="2" t="str">
        <f>VLOOKUP(J317,Equipes!A:F,6,0)</f>
        <v>Tropical</v>
      </c>
      <c r="L317" s="2">
        <f>VLOOKUP(J317,Equipes!A:C,3,0)</f>
        <v>18</v>
      </c>
      <c r="M317" s="2" t="str">
        <f t="shared" si="4"/>
        <v>Group</v>
      </c>
      <c r="N317" s="11" t="s">
        <v>687</v>
      </c>
      <c r="O317" s="2">
        <f>VLOOKUP(N317,Equipes!A:C,3,0)</f>
        <v>28</v>
      </c>
      <c r="P317" s="2" t="str">
        <f t="shared" si="5"/>
        <v>Group</v>
      </c>
      <c r="Q317" s="2">
        <f t="shared" si="6"/>
        <v>-10</v>
      </c>
      <c r="R317" s="2" t="str">
        <f>VLOOKUP(J317,Equipes!A:B,2,0)</f>
        <v>Mamelodi</v>
      </c>
      <c r="S317" s="6" t="s">
        <v>725</v>
      </c>
      <c r="T317" s="7">
        <v>13.0</v>
      </c>
      <c r="U317" s="7" t="s">
        <v>726</v>
      </c>
      <c r="V317" s="7" t="str">
        <f>VLOOKUP(U317,Jogadores!B:C,2,0)</f>
        <v>FW</v>
      </c>
      <c r="W317" s="8">
        <f>VLOOKUP(U317,Jogadores!B:D,3,0)</f>
        <v>29.62739726</v>
      </c>
      <c r="X317" s="7">
        <v>0.0</v>
      </c>
      <c r="Y317" s="7">
        <v>77.0</v>
      </c>
      <c r="Z317" s="7">
        <f>VLOOKUP(A317,Jogos!A:L,3,0)</f>
        <v>48</v>
      </c>
      <c r="AA317" s="7">
        <f t="shared" si="7"/>
        <v>48</v>
      </c>
      <c r="AB317" s="7">
        <f>VLOOKUP(A317,Jogos!A:L,4,0)</f>
        <v>50</v>
      </c>
      <c r="AC317" s="7">
        <f t="shared" si="657"/>
        <v>32</v>
      </c>
      <c r="AD317" s="7"/>
      <c r="AE317" s="7"/>
      <c r="AF317" s="7">
        <f t="shared" si="9"/>
        <v>80</v>
      </c>
      <c r="AG317" s="7">
        <v>7639.6</v>
      </c>
      <c r="AH317" s="7">
        <v>3743.9</v>
      </c>
      <c r="AI317" s="7">
        <v>2310.5</v>
      </c>
      <c r="AJ317" s="7">
        <v>861.3</v>
      </c>
      <c r="AK317" s="7">
        <v>473.7</v>
      </c>
      <c r="AL317" s="7">
        <v>250.2</v>
      </c>
      <c r="AM317" s="7">
        <v>83.0</v>
      </c>
      <c r="AN317" s="7">
        <v>43.0</v>
      </c>
      <c r="AO317" s="7">
        <v>31.2</v>
      </c>
      <c r="AP317" s="9">
        <f t="shared" ref="AP317:AR317" si="990">AG317/$AF317</f>
        <v>95.495</v>
      </c>
      <c r="AQ317" s="9">
        <f t="shared" si="990"/>
        <v>46.79875</v>
      </c>
      <c r="AR317" s="9">
        <f t="shared" si="990"/>
        <v>28.88125</v>
      </c>
      <c r="AS317" s="9">
        <f t="shared" si="11"/>
        <v>75.68</v>
      </c>
      <c r="AT317" s="9">
        <f t="shared" ref="AT317:AV317" si="991">AJ317/$AF317</f>
        <v>10.76625</v>
      </c>
      <c r="AU317" s="9">
        <f t="shared" si="991"/>
        <v>5.92125</v>
      </c>
      <c r="AV317" s="9">
        <f t="shared" si="991"/>
        <v>3.1275</v>
      </c>
      <c r="AW317" s="9">
        <f t="shared" si="13"/>
        <v>9.04875</v>
      </c>
      <c r="AX317" s="9">
        <f t="shared" ref="AX317:AY317" si="992">AM317/$AF317</f>
        <v>1.0375</v>
      </c>
      <c r="AY317" s="9">
        <f t="shared" si="992"/>
        <v>0.5375</v>
      </c>
      <c r="AZ317" s="9">
        <f>VLOOKUP(A317,Jogos!A:BN,58,0)</f>
        <v>29</v>
      </c>
      <c r="BA317" s="9">
        <f>VLOOKUP(A317,Jogos!A:BN,59,0)</f>
        <v>22.40333333</v>
      </c>
      <c r="BB317" s="9">
        <f>VLOOKUP(A317,Jogos!A:BN,60,0)</f>
        <v>67</v>
      </c>
      <c r="BC317" s="9">
        <f>VLOOKUP(A317,Jogos!A:BN,61,0)</f>
        <v>28.77666667</v>
      </c>
      <c r="BD317" s="9">
        <f>VLOOKUP(A317,Jogos!A:BN,62,0)</f>
        <v>105.8333333</v>
      </c>
      <c r="BE317" s="9">
        <f>VLOOKUP(A317,Jogos!A:BN,63,0)</f>
        <v>2.643333333</v>
      </c>
      <c r="BF317" s="9">
        <f>VLOOKUP(A317,Jogos!A:BN,64,0)</f>
        <v>24.72</v>
      </c>
      <c r="BG317" s="9">
        <f>VLOOKUP(A317,Jogos!A:BN,65,0)</f>
        <v>42.81333333</v>
      </c>
      <c r="BH317" s="9">
        <f>VLOOKUP(A317,Jogos!A:BN,66,0)</f>
        <v>28.76666667</v>
      </c>
      <c r="BI317" s="9"/>
    </row>
    <row r="318" hidden="1">
      <c r="A318" s="10">
        <v>11.0</v>
      </c>
      <c r="B318" s="11" t="s">
        <v>562</v>
      </c>
      <c r="C318" s="2" t="s">
        <v>61</v>
      </c>
      <c r="D318" s="12">
        <v>45825.0</v>
      </c>
      <c r="E318" s="13">
        <v>0.7951388888888888</v>
      </c>
      <c r="F318" s="5" t="str">
        <f>VLOOKUP(A318,Jogos!A:N,10,0)</f>
        <v>Evening</v>
      </c>
      <c r="G318" s="11" t="s">
        <v>686</v>
      </c>
      <c r="H318" s="6" t="str">
        <f>VLOOKUP(A318,Jogos!A:L,12,0)</f>
        <v>Open</v>
      </c>
      <c r="I318" s="6" t="str">
        <f>VLOOKUP(G318,'Estádios e Cidades'!A:B,2,0)</f>
        <v>Orlando</v>
      </c>
      <c r="J318" s="11" t="s">
        <v>688</v>
      </c>
      <c r="K318" s="2" t="str">
        <f>VLOOKUP(J318,Equipes!A:F,6,0)</f>
        <v>Tropical</v>
      </c>
      <c r="L318" s="2">
        <f>VLOOKUP(J318,Equipes!A:C,3,0)</f>
        <v>18</v>
      </c>
      <c r="M318" s="2" t="str">
        <f t="shared" si="4"/>
        <v>Group</v>
      </c>
      <c r="N318" s="11" t="s">
        <v>687</v>
      </c>
      <c r="O318" s="2">
        <f>VLOOKUP(N318,Equipes!A:C,3,0)</f>
        <v>28</v>
      </c>
      <c r="P318" s="2" t="str">
        <f t="shared" si="5"/>
        <v>Group</v>
      </c>
      <c r="Q318" s="2">
        <f t="shared" si="6"/>
        <v>-10</v>
      </c>
      <c r="R318" s="2" t="str">
        <f>VLOOKUP(J318,Equipes!A:B,2,0)</f>
        <v>Mamelodi</v>
      </c>
      <c r="S318" s="6" t="s">
        <v>727</v>
      </c>
      <c r="T318" s="7">
        <v>18.0</v>
      </c>
      <c r="U318" s="7" t="s">
        <v>728</v>
      </c>
      <c r="V318" s="7" t="str">
        <f>VLOOKUP(U318,Jogadores!B:C,2,0)</f>
        <v>MF</v>
      </c>
      <c r="W318" s="8">
        <f>VLOOKUP(U318,Jogadores!B:D,3,0)</f>
        <v>36.00821918</v>
      </c>
      <c r="X318" s="7">
        <v>0.0</v>
      </c>
      <c r="Y318" s="7">
        <v>76.0</v>
      </c>
      <c r="Z318" s="7">
        <f>VLOOKUP(A318,Jogos!A:L,3,0)</f>
        <v>48</v>
      </c>
      <c r="AA318" s="7">
        <f t="shared" si="7"/>
        <v>48</v>
      </c>
      <c r="AB318" s="7">
        <f>VLOOKUP(A318,Jogos!A:L,4,0)</f>
        <v>50</v>
      </c>
      <c r="AC318" s="7">
        <f t="shared" si="657"/>
        <v>31</v>
      </c>
      <c r="AD318" s="7"/>
      <c r="AE318" s="7"/>
      <c r="AF318" s="7">
        <f t="shared" si="9"/>
        <v>79</v>
      </c>
      <c r="AG318" s="7">
        <v>8976.6</v>
      </c>
      <c r="AH318" s="7">
        <v>3188.5</v>
      </c>
      <c r="AI318" s="7">
        <v>3824.9</v>
      </c>
      <c r="AJ318" s="7">
        <v>1504.6</v>
      </c>
      <c r="AK318" s="7">
        <v>423.8</v>
      </c>
      <c r="AL318" s="7">
        <v>34.8</v>
      </c>
      <c r="AM318" s="7">
        <v>124.0</v>
      </c>
      <c r="AN318" s="7">
        <v>29.0</v>
      </c>
      <c r="AO318" s="7">
        <v>27.1</v>
      </c>
      <c r="AP318" s="9">
        <f t="shared" ref="AP318:AR318" si="993">AG318/$AF318</f>
        <v>113.6278481</v>
      </c>
      <c r="AQ318" s="9">
        <f t="shared" si="993"/>
        <v>40.36075949</v>
      </c>
      <c r="AR318" s="9">
        <f t="shared" si="993"/>
        <v>48.4164557</v>
      </c>
      <c r="AS318" s="9">
        <f t="shared" si="11"/>
        <v>88.77721519</v>
      </c>
      <c r="AT318" s="9">
        <f t="shared" ref="AT318:AV318" si="994">AJ318/$AF318</f>
        <v>19.04556962</v>
      </c>
      <c r="AU318" s="9">
        <f t="shared" si="994"/>
        <v>5.364556962</v>
      </c>
      <c r="AV318" s="9">
        <f t="shared" si="994"/>
        <v>0.4405063291</v>
      </c>
      <c r="AW318" s="9">
        <f t="shared" si="13"/>
        <v>5.805063291</v>
      </c>
      <c r="AX318" s="9">
        <f t="shared" ref="AX318:AY318" si="995">AM318/$AF318</f>
        <v>1.569620253</v>
      </c>
      <c r="AY318" s="9">
        <f t="shared" si="995"/>
        <v>0.3670886076</v>
      </c>
      <c r="AZ318" s="9">
        <f>VLOOKUP(A318,Jogos!A:BN,58,0)</f>
        <v>29</v>
      </c>
      <c r="BA318" s="9">
        <f>VLOOKUP(A318,Jogos!A:BN,59,0)</f>
        <v>22.40333333</v>
      </c>
      <c r="BB318" s="9">
        <f>VLOOKUP(A318,Jogos!A:BN,60,0)</f>
        <v>67</v>
      </c>
      <c r="BC318" s="9">
        <f>VLOOKUP(A318,Jogos!A:BN,61,0)</f>
        <v>28.77666667</v>
      </c>
      <c r="BD318" s="9">
        <f>VLOOKUP(A318,Jogos!A:BN,62,0)</f>
        <v>105.8333333</v>
      </c>
      <c r="BE318" s="9">
        <f>VLOOKUP(A318,Jogos!A:BN,63,0)</f>
        <v>2.643333333</v>
      </c>
      <c r="BF318" s="9">
        <f>VLOOKUP(A318,Jogos!A:BN,64,0)</f>
        <v>24.72</v>
      </c>
      <c r="BG318" s="9">
        <f>VLOOKUP(A318,Jogos!A:BN,65,0)</f>
        <v>42.81333333</v>
      </c>
      <c r="BH318" s="9">
        <f>VLOOKUP(A318,Jogos!A:BN,66,0)</f>
        <v>28.76666667</v>
      </c>
      <c r="BI318" s="9"/>
    </row>
    <row r="319" hidden="1">
      <c r="A319" s="10">
        <v>11.0</v>
      </c>
      <c r="B319" s="11" t="s">
        <v>562</v>
      </c>
      <c r="C319" s="2" t="s">
        <v>61</v>
      </c>
      <c r="D319" s="12">
        <v>45825.0</v>
      </c>
      <c r="E319" s="13">
        <v>0.7951388888888888</v>
      </c>
      <c r="F319" s="5" t="str">
        <f>VLOOKUP(A319,Jogos!A:N,10,0)</f>
        <v>Evening</v>
      </c>
      <c r="G319" s="11" t="s">
        <v>686</v>
      </c>
      <c r="H319" s="6" t="str">
        <f>VLOOKUP(A319,Jogos!A:L,12,0)</f>
        <v>Open</v>
      </c>
      <c r="I319" s="6" t="str">
        <f>VLOOKUP(G319,'Estádios e Cidades'!A:B,2,0)</f>
        <v>Orlando</v>
      </c>
      <c r="J319" s="11" t="s">
        <v>688</v>
      </c>
      <c r="K319" s="2" t="str">
        <f>VLOOKUP(J319,Equipes!A:F,6,0)</f>
        <v>Tropical</v>
      </c>
      <c r="L319" s="2">
        <f>VLOOKUP(J319,Equipes!A:C,3,0)</f>
        <v>18</v>
      </c>
      <c r="M319" s="2" t="str">
        <f t="shared" si="4"/>
        <v>Group</v>
      </c>
      <c r="N319" s="11" t="s">
        <v>687</v>
      </c>
      <c r="O319" s="2">
        <f>VLOOKUP(N319,Equipes!A:C,3,0)</f>
        <v>28</v>
      </c>
      <c r="P319" s="2" t="str">
        <f t="shared" si="5"/>
        <v>Group</v>
      </c>
      <c r="Q319" s="2">
        <f t="shared" si="6"/>
        <v>-10</v>
      </c>
      <c r="R319" s="2" t="str">
        <f>VLOOKUP(J319,Equipes!A:B,2,0)</f>
        <v>Mamelodi</v>
      </c>
      <c r="S319" s="6" t="s">
        <v>729</v>
      </c>
      <c r="T319" s="7">
        <v>20.0</v>
      </c>
      <c r="U319" s="7" t="s">
        <v>730</v>
      </c>
      <c r="V319" s="7" t="str">
        <f>VLOOKUP(U319,Jogadores!B:C,2,0)</f>
        <v>DF</v>
      </c>
      <c r="W319" s="8">
        <f>VLOOKUP(U319,Jogadores!B:D,3,0)</f>
        <v>32.76164384</v>
      </c>
      <c r="X319" s="7">
        <v>0.0</v>
      </c>
      <c r="Y319" s="7">
        <f>45+AB319</f>
        <v>95</v>
      </c>
      <c r="Z319" s="7">
        <f>VLOOKUP(A319,Jogos!A:L,3,0)</f>
        <v>48</v>
      </c>
      <c r="AA319" s="7">
        <f t="shared" si="7"/>
        <v>48</v>
      </c>
      <c r="AB319" s="7">
        <f>VLOOKUP(A319,Jogos!A:L,4,0)</f>
        <v>50</v>
      </c>
      <c r="AC319" s="7">
        <f t="shared" si="657"/>
        <v>50</v>
      </c>
      <c r="AD319" s="7"/>
      <c r="AE319" s="7"/>
      <c r="AF319" s="7">
        <f t="shared" si="9"/>
        <v>98</v>
      </c>
      <c r="AG319" s="7">
        <v>9036.7</v>
      </c>
      <c r="AH319" s="7">
        <v>3680.8</v>
      </c>
      <c r="AI319" s="7">
        <v>4059.1</v>
      </c>
      <c r="AJ319" s="7">
        <v>943.5</v>
      </c>
      <c r="AK319" s="7">
        <v>297.6</v>
      </c>
      <c r="AL319" s="7">
        <v>55.7</v>
      </c>
      <c r="AM319" s="7">
        <v>92.0</v>
      </c>
      <c r="AN319" s="7">
        <v>23.0</v>
      </c>
      <c r="AO319" s="7">
        <v>29.9</v>
      </c>
      <c r="AP319" s="9">
        <f t="shared" ref="AP319:AR319" si="996">AG319/$AF319</f>
        <v>92.21122449</v>
      </c>
      <c r="AQ319" s="9">
        <f t="shared" si="996"/>
        <v>37.55918367</v>
      </c>
      <c r="AR319" s="9">
        <f t="shared" si="996"/>
        <v>41.41938776</v>
      </c>
      <c r="AS319" s="9">
        <f t="shared" si="11"/>
        <v>78.97857143</v>
      </c>
      <c r="AT319" s="9">
        <f t="shared" ref="AT319:AV319" si="997">AJ319/$AF319</f>
        <v>9.62755102</v>
      </c>
      <c r="AU319" s="9">
        <f t="shared" si="997"/>
        <v>3.036734694</v>
      </c>
      <c r="AV319" s="9">
        <f t="shared" si="997"/>
        <v>0.5683673469</v>
      </c>
      <c r="AW319" s="9">
        <f t="shared" si="13"/>
        <v>3.605102041</v>
      </c>
      <c r="AX319" s="9">
        <f t="shared" ref="AX319:AY319" si="998">AM319/$AF319</f>
        <v>0.9387755102</v>
      </c>
      <c r="AY319" s="9">
        <f t="shared" si="998"/>
        <v>0.2346938776</v>
      </c>
      <c r="AZ319" s="9">
        <f>VLOOKUP(A319,Jogos!A:BN,58,0)</f>
        <v>29</v>
      </c>
      <c r="BA319" s="9">
        <f>VLOOKUP(A319,Jogos!A:BN,59,0)</f>
        <v>22.40333333</v>
      </c>
      <c r="BB319" s="9">
        <f>VLOOKUP(A319,Jogos!A:BN,60,0)</f>
        <v>67</v>
      </c>
      <c r="BC319" s="9">
        <f>VLOOKUP(A319,Jogos!A:BN,61,0)</f>
        <v>28.77666667</v>
      </c>
      <c r="BD319" s="9">
        <f>VLOOKUP(A319,Jogos!A:BN,62,0)</f>
        <v>105.8333333</v>
      </c>
      <c r="BE319" s="9">
        <f>VLOOKUP(A319,Jogos!A:BN,63,0)</f>
        <v>2.643333333</v>
      </c>
      <c r="BF319" s="9">
        <f>VLOOKUP(A319,Jogos!A:BN,64,0)</f>
        <v>24.72</v>
      </c>
      <c r="BG319" s="9">
        <f>VLOOKUP(A319,Jogos!A:BN,65,0)</f>
        <v>42.81333333</v>
      </c>
      <c r="BH319" s="9">
        <f>VLOOKUP(A319,Jogos!A:BN,66,0)</f>
        <v>28.76666667</v>
      </c>
      <c r="BI319" s="9"/>
    </row>
    <row r="320" hidden="1">
      <c r="A320" s="10">
        <v>11.0</v>
      </c>
      <c r="B320" s="11" t="s">
        <v>562</v>
      </c>
      <c r="C320" s="2" t="s">
        <v>61</v>
      </c>
      <c r="D320" s="12">
        <v>45825.0</v>
      </c>
      <c r="E320" s="13">
        <v>0.7951388888888888</v>
      </c>
      <c r="F320" s="5" t="str">
        <f>VLOOKUP(A320,Jogos!A:N,10,0)</f>
        <v>Evening</v>
      </c>
      <c r="G320" s="11" t="s">
        <v>686</v>
      </c>
      <c r="H320" s="6" t="str">
        <f>VLOOKUP(A320,Jogos!A:L,12,0)</f>
        <v>Open</v>
      </c>
      <c r="I320" s="6" t="str">
        <f>VLOOKUP(G320,'Estádios e Cidades'!A:B,2,0)</f>
        <v>Orlando</v>
      </c>
      <c r="J320" s="11" t="s">
        <v>688</v>
      </c>
      <c r="K320" s="2" t="str">
        <f>VLOOKUP(J320,Equipes!A:F,6,0)</f>
        <v>Tropical</v>
      </c>
      <c r="L320" s="2">
        <f>VLOOKUP(J320,Equipes!A:C,3,0)</f>
        <v>18</v>
      </c>
      <c r="M320" s="2" t="str">
        <f t="shared" si="4"/>
        <v>Group</v>
      </c>
      <c r="N320" s="11" t="s">
        <v>687</v>
      </c>
      <c r="O320" s="2">
        <f>VLOOKUP(N320,Equipes!A:C,3,0)</f>
        <v>28</v>
      </c>
      <c r="P320" s="2" t="str">
        <f t="shared" si="5"/>
        <v>Group</v>
      </c>
      <c r="Q320" s="2">
        <f t="shared" si="6"/>
        <v>-10</v>
      </c>
      <c r="R320" s="2" t="str">
        <f>VLOOKUP(J320,Equipes!A:B,2,0)</f>
        <v>Mamelodi</v>
      </c>
      <c r="S320" s="6" t="s">
        <v>731</v>
      </c>
      <c r="T320" s="7">
        <v>24.0</v>
      </c>
      <c r="U320" s="7" t="s">
        <v>732</v>
      </c>
      <c r="V320" s="7" t="str">
        <f>VLOOKUP(U320,Jogadores!B:C,2,0)</f>
        <v>DF</v>
      </c>
      <c r="W320" s="8">
        <f>VLOOKUP(U320,Jogadores!B:D,3,0)</f>
        <v>27.55068493</v>
      </c>
      <c r="X320" s="7">
        <v>0.0</v>
      </c>
      <c r="Y320" s="7">
        <v>85.0</v>
      </c>
      <c r="Z320" s="7">
        <f>VLOOKUP(A320,Jogos!A:L,3,0)</f>
        <v>48</v>
      </c>
      <c r="AA320" s="7">
        <f t="shared" si="7"/>
        <v>48</v>
      </c>
      <c r="AB320" s="7">
        <f>VLOOKUP(A320,Jogos!A:L,4,0)</f>
        <v>50</v>
      </c>
      <c r="AC320" s="7">
        <f t="shared" si="657"/>
        <v>40</v>
      </c>
      <c r="AD320" s="7"/>
      <c r="AE320" s="7"/>
      <c r="AF320" s="7">
        <f t="shared" si="9"/>
        <v>88</v>
      </c>
      <c r="AG320" s="7">
        <v>8688.2</v>
      </c>
      <c r="AH320" s="7">
        <v>3436.2</v>
      </c>
      <c r="AI320" s="7">
        <v>3992.2</v>
      </c>
      <c r="AJ320" s="7">
        <v>854.7</v>
      </c>
      <c r="AK320" s="7">
        <v>317.9</v>
      </c>
      <c r="AL320" s="7">
        <v>87.3</v>
      </c>
      <c r="AM320" s="7">
        <v>72.0</v>
      </c>
      <c r="AN320" s="7">
        <v>25.0</v>
      </c>
      <c r="AO320" s="7">
        <v>30.0</v>
      </c>
      <c r="AP320" s="9">
        <f t="shared" ref="AP320:AR320" si="999">AG320/$AF320</f>
        <v>98.72954545</v>
      </c>
      <c r="AQ320" s="9">
        <f t="shared" si="999"/>
        <v>39.04772727</v>
      </c>
      <c r="AR320" s="9">
        <f t="shared" si="999"/>
        <v>45.36590909</v>
      </c>
      <c r="AS320" s="9">
        <f t="shared" si="11"/>
        <v>84.41363636</v>
      </c>
      <c r="AT320" s="9">
        <f t="shared" ref="AT320:AV320" si="1000">AJ320/$AF320</f>
        <v>9.7125</v>
      </c>
      <c r="AU320" s="9">
        <f t="shared" si="1000"/>
        <v>3.6125</v>
      </c>
      <c r="AV320" s="9">
        <f t="shared" si="1000"/>
        <v>0.9920454545</v>
      </c>
      <c r="AW320" s="9">
        <f t="shared" si="13"/>
        <v>4.604545455</v>
      </c>
      <c r="AX320" s="9">
        <f t="shared" ref="AX320:AY320" si="1001">AM320/$AF320</f>
        <v>0.8181818182</v>
      </c>
      <c r="AY320" s="9">
        <f t="shared" si="1001"/>
        <v>0.2840909091</v>
      </c>
      <c r="AZ320" s="9">
        <f>VLOOKUP(A320,Jogos!A:BN,58,0)</f>
        <v>29</v>
      </c>
      <c r="BA320" s="9">
        <f>VLOOKUP(A320,Jogos!A:BN,59,0)</f>
        <v>22.40333333</v>
      </c>
      <c r="BB320" s="9">
        <f>VLOOKUP(A320,Jogos!A:BN,60,0)</f>
        <v>67</v>
      </c>
      <c r="BC320" s="9">
        <f>VLOOKUP(A320,Jogos!A:BN,61,0)</f>
        <v>28.77666667</v>
      </c>
      <c r="BD320" s="9">
        <f>VLOOKUP(A320,Jogos!A:BN,62,0)</f>
        <v>105.8333333</v>
      </c>
      <c r="BE320" s="9">
        <f>VLOOKUP(A320,Jogos!A:BN,63,0)</f>
        <v>2.643333333</v>
      </c>
      <c r="BF320" s="9">
        <f>VLOOKUP(A320,Jogos!A:BN,64,0)</f>
        <v>24.72</v>
      </c>
      <c r="BG320" s="9">
        <f>VLOOKUP(A320,Jogos!A:BN,65,0)</f>
        <v>42.81333333</v>
      </c>
      <c r="BH320" s="9">
        <f>VLOOKUP(A320,Jogos!A:BN,66,0)</f>
        <v>28.76666667</v>
      </c>
      <c r="BI320" s="9"/>
    </row>
    <row r="321" hidden="1">
      <c r="A321" s="10">
        <v>11.0</v>
      </c>
      <c r="B321" s="11" t="s">
        <v>562</v>
      </c>
      <c r="C321" s="2" t="s">
        <v>61</v>
      </c>
      <c r="D321" s="12">
        <v>45825.0</v>
      </c>
      <c r="E321" s="13">
        <v>0.7951388888888888</v>
      </c>
      <c r="F321" s="5" t="str">
        <f>VLOOKUP(A321,Jogos!A:N,10,0)</f>
        <v>Evening</v>
      </c>
      <c r="G321" s="11" t="s">
        <v>686</v>
      </c>
      <c r="H321" s="6" t="str">
        <f>VLOOKUP(A321,Jogos!A:L,12,0)</f>
        <v>Open</v>
      </c>
      <c r="I321" s="6" t="str">
        <f>VLOOKUP(G321,'Estádios e Cidades'!A:B,2,0)</f>
        <v>Orlando</v>
      </c>
      <c r="J321" s="11" t="s">
        <v>688</v>
      </c>
      <c r="K321" s="2" t="str">
        <f>VLOOKUP(J321,Equipes!A:F,6,0)</f>
        <v>Tropical</v>
      </c>
      <c r="L321" s="2">
        <f>VLOOKUP(J321,Equipes!A:C,3,0)</f>
        <v>18</v>
      </c>
      <c r="M321" s="2" t="str">
        <f t="shared" si="4"/>
        <v>Group</v>
      </c>
      <c r="N321" s="11" t="s">
        <v>687</v>
      </c>
      <c r="O321" s="2">
        <f>VLOOKUP(N321,Equipes!A:C,3,0)</f>
        <v>28</v>
      </c>
      <c r="P321" s="2" t="str">
        <f t="shared" si="5"/>
        <v>Group</v>
      </c>
      <c r="Q321" s="2">
        <f t="shared" si="6"/>
        <v>-10</v>
      </c>
      <c r="R321" s="2" t="str">
        <f>VLOOKUP(J321,Equipes!A:B,2,0)</f>
        <v>Mamelodi</v>
      </c>
      <c r="S321" s="6" t="s">
        <v>733</v>
      </c>
      <c r="T321" s="7">
        <v>25.0</v>
      </c>
      <c r="U321" s="7" t="s">
        <v>734</v>
      </c>
      <c r="V321" s="7" t="str">
        <f>VLOOKUP(U321,Jogadores!B:C,2,0)</f>
        <v>DF</v>
      </c>
      <c r="W321" s="8">
        <f>VLOOKUP(U321,Jogadores!B:D,3,0)</f>
        <v>30.27671233</v>
      </c>
      <c r="X321" s="7">
        <v>0.0</v>
      </c>
      <c r="Y321" s="7">
        <f t="shared" ref="Y321:Y327" si="1005">45+AB321</f>
        <v>95</v>
      </c>
      <c r="Z321" s="7">
        <f>VLOOKUP(A321,Jogos!A:L,3,0)</f>
        <v>48</v>
      </c>
      <c r="AA321" s="7">
        <f t="shared" si="7"/>
        <v>48</v>
      </c>
      <c r="AB321" s="7">
        <f>VLOOKUP(A321,Jogos!A:L,4,0)</f>
        <v>50</v>
      </c>
      <c r="AC321" s="7">
        <f t="shared" si="657"/>
        <v>50</v>
      </c>
      <c r="AD321" s="7"/>
      <c r="AE321" s="7"/>
      <c r="AF321" s="7">
        <f t="shared" si="9"/>
        <v>98</v>
      </c>
      <c r="AG321" s="7">
        <v>9215.4</v>
      </c>
      <c r="AH321" s="7">
        <v>3815.6</v>
      </c>
      <c r="AI321" s="7">
        <v>3498.0</v>
      </c>
      <c r="AJ321" s="7">
        <v>1054.1</v>
      </c>
      <c r="AK321" s="7">
        <v>525.5</v>
      </c>
      <c r="AL321" s="7">
        <v>322.2</v>
      </c>
      <c r="AM321" s="7">
        <v>90.0</v>
      </c>
      <c r="AN321" s="7">
        <v>55.0</v>
      </c>
      <c r="AO321" s="7">
        <v>35.2</v>
      </c>
      <c r="AP321" s="9">
        <f t="shared" ref="AP321:AR321" si="1002">AG321/$AF321</f>
        <v>94.03469388</v>
      </c>
      <c r="AQ321" s="9">
        <f t="shared" si="1002"/>
        <v>38.93469388</v>
      </c>
      <c r="AR321" s="9">
        <f t="shared" si="1002"/>
        <v>35.69387755</v>
      </c>
      <c r="AS321" s="9">
        <f t="shared" si="11"/>
        <v>74.62857143</v>
      </c>
      <c r="AT321" s="9">
        <f t="shared" ref="AT321:AV321" si="1003">AJ321/$AF321</f>
        <v>10.75612245</v>
      </c>
      <c r="AU321" s="9">
        <f t="shared" si="1003"/>
        <v>5.362244898</v>
      </c>
      <c r="AV321" s="9">
        <f t="shared" si="1003"/>
        <v>3.287755102</v>
      </c>
      <c r="AW321" s="9">
        <f t="shared" si="13"/>
        <v>8.65</v>
      </c>
      <c r="AX321" s="9">
        <f t="shared" ref="AX321:AY321" si="1004">AM321/$AF321</f>
        <v>0.9183673469</v>
      </c>
      <c r="AY321" s="9">
        <f t="shared" si="1004"/>
        <v>0.5612244898</v>
      </c>
      <c r="AZ321" s="9">
        <f>VLOOKUP(A321,Jogos!A:BN,58,0)</f>
        <v>29</v>
      </c>
      <c r="BA321" s="9">
        <f>VLOOKUP(A321,Jogos!A:BN,59,0)</f>
        <v>22.40333333</v>
      </c>
      <c r="BB321" s="9">
        <f>VLOOKUP(A321,Jogos!A:BN,60,0)</f>
        <v>67</v>
      </c>
      <c r="BC321" s="9">
        <f>VLOOKUP(A321,Jogos!A:BN,61,0)</f>
        <v>28.77666667</v>
      </c>
      <c r="BD321" s="9">
        <f>VLOOKUP(A321,Jogos!A:BN,62,0)</f>
        <v>105.8333333</v>
      </c>
      <c r="BE321" s="9">
        <f>VLOOKUP(A321,Jogos!A:BN,63,0)</f>
        <v>2.643333333</v>
      </c>
      <c r="BF321" s="9">
        <f>VLOOKUP(A321,Jogos!A:BN,64,0)</f>
        <v>24.72</v>
      </c>
      <c r="BG321" s="9">
        <f>VLOOKUP(A321,Jogos!A:BN,65,0)</f>
        <v>42.81333333</v>
      </c>
      <c r="BH321" s="9">
        <f>VLOOKUP(A321,Jogos!A:BN,66,0)</f>
        <v>28.76666667</v>
      </c>
      <c r="BI321" s="9"/>
    </row>
    <row r="322" hidden="1">
      <c r="A322" s="10">
        <v>11.0</v>
      </c>
      <c r="B322" s="11" t="s">
        <v>562</v>
      </c>
      <c r="C322" s="2" t="s">
        <v>61</v>
      </c>
      <c r="D322" s="12">
        <v>45825.0</v>
      </c>
      <c r="E322" s="13">
        <v>0.7951388888888888</v>
      </c>
      <c r="F322" s="5" t="str">
        <f>VLOOKUP(A322,Jogos!A:N,10,0)</f>
        <v>Evening</v>
      </c>
      <c r="G322" s="11" t="s">
        <v>686</v>
      </c>
      <c r="H322" s="6" t="str">
        <f>VLOOKUP(A322,Jogos!A:L,12,0)</f>
        <v>Open</v>
      </c>
      <c r="I322" s="6" t="str">
        <f>VLOOKUP(G322,'Estádios e Cidades'!A:B,2,0)</f>
        <v>Orlando</v>
      </c>
      <c r="J322" s="11" t="s">
        <v>688</v>
      </c>
      <c r="K322" s="2" t="str">
        <f>VLOOKUP(J322,Equipes!A:F,6,0)</f>
        <v>Tropical</v>
      </c>
      <c r="L322" s="2">
        <f>VLOOKUP(J322,Equipes!A:C,3,0)</f>
        <v>18</v>
      </c>
      <c r="M322" s="2" t="str">
        <f t="shared" si="4"/>
        <v>Group</v>
      </c>
      <c r="N322" s="11" t="s">
        <v>687</v>
      </c>
      <c r="O322" s="2">
        <f>VLOOKUP(N322,Equipes!A:C,3,0)</f>
        <v>28</v>
      </c>
      <c r="P322" s="2" t="str">
        <f t="shared" si="5"/>
        <v>Group</v>
      </c>
      <c r="Q322" s="2">
        <f t="shared" si="6"/>
        <v>-10</v>
      </c>
      <c r="R322" s="2" t="str">
        <f>VLOOKUP(J322,Equipes!A:B,2,0)</f>
        <v>Mamelodi</v>
      </c>
      <c r="S322" s="6" t="s">
        <v>735</v>
      </c>
      <c r="T322" s="7">
        <v>29.0</v>
      </c>
      <c r="U322" s="7" t="s">
        <v>736</v>
      </c>
      <c r="V322" s="7" t="str">
        <f>VLOOKUP(U322,Jogadores!B:C,2,0)</f>
        <v>DF</v>
      </c>
      <c r="W322" s="8">
        <f>VLOOKUP(U322,Jogadores!B:D,3,0)</f>
        <v>30.1890411</v>
      </c>
      <c r="X322" s="7">
        <v>0.0</v>
      </c>
      <c r="Y322" s="7">
        <f t="shared" si="1005"/>
        <v>95</v>
      </c>
      <c r="Z322" s="7">
        <f>VLOOKUP(A322,Jogos!A:L,3,0)</f>
        <v>48</v>
      </c>
      <c r="AA322" s="7">
        <f t="shared" si="7"/>
        <v>48</v>
      </c>
      <c r="AB322" s="7">
        <f>VLOOKUP(A322,Jogos!A:L,4,0)</f>
        <v>50</v>
      </c>
      <c r="AC322" s="7">
        <f t="shared" si="657"/>
        <v>50</v>
      </c>
      <c r="AD322" s="7"/>
      <c r="AE322" s="7"/>
      <c r="AF322" s="7">
        <f t="shared" si="9"/>
        <v>98</v>
      </c>
      <c r="AG322" s="7">
        <v>9570.7</v>
      </c>
      <c r="AH322" s="7">
        <v>4037.7</v>
      </c>
      <c r="AI322" s="7">
        <v>3656.0</v>
      </c>
      <c r="AJ322" s="7">
        <v>1163.9</v>
      </c>
      <c r="AK322" s="7">
        <v>521.4</v>
      </c>
      <c r="AL322" s="7">
        <v>191.7</v>
      </c>
      <c r="AM322" s="7">
        <v>104.0</v>
      </c>
      <c r="AN322" s="7">
        <v>43.0</v>
      </c>
      <c r="AO322" s="7">
        <v>31.9</v>
      </c>
      <c r="AP322" s="9">
        <f t="shared" ref="AP322:AR322" si="1006">AG322/$AF322</f>
        <v>97.66020408</v>
      </c>
      <c r="AQ322" s="9">
        <f t="shared" si="1006"/>
        <v>41.20102041</v>
      </c>
      <c r="AR322" s="9">
        <f t="shared" si="1006"/>
        <v>37.30612245</v>
      </c>
      <c r="AS322" s="9">
        <f t="shared" si="11"/>
        <v>78.50714286</v>
      </c>
      <c r="AT322" s="9">
        <f t="shared" ref="AT322:AV322" si="1007">AJ322/$AF322</f>
        <v>11.87653061</v>
      </c>
      <c r="AU322" s="9">
        <f t="shared" si="1007"/>
        <v>5.320408163</v>
      </c>
      <c r="AV322" s="9">
        <f t="shared" si="1007"/>
        <v>1.956122449</v>
      </c>
      <c r="AW322" s="9">
        <f t="shared" si="13"/>
        <v>7.276530612</v>
      </c>
      <c r="AX322" s="9">
        <f t="shared" ref="AX322:AY322" si="1008">AM322/$AF322</f>
        <v>1.06122449</v>
      </c>
      <c r="AY322" s="9">
        <f t="shared" si="1008"/>
        <v>0.4387755102</v>
      </c>
      <c r="AZ322" s="9">
        <f>VLOOKUP(A322,Jogos!A:BN,58,0)</f>
        <v>29</v>
      </c>
      <c r="BA322" s="9">
        <f>VLOOKUP(A322,Jogos!A:BN,59,0)</f>
        <v>22.40333333</v>
      </c>
      <c r="BB322" s="9">
        <f>VLOOKUP(A322,Jogos!A:BN,60,0)</f>
        <v>67</v>
      </c>
      <c r="BC322" s="9">
        <f>VLOOKUP(A322,Jogos!A:BN,61,0)</f>
        <v>28.77666667</v>
      </c>
      <c r="BD322" s="9">
        <f>VLOOKUP(A322,Jogos!A:BN,62,0)</f>
        <v>105.8333333</v>
      </c>
      <c r="BE322" s="9">
        <f>VLOOKUP(A322,Jogos!A:BN,63,0)</f>
        <v>2.643333333</v>
      </c>
      <c r="BF322" s="9">
        <f>VLOOKUP(A322,Jogos!A:BN,64,0)</f>
        <v>24.72</v>
      </c>
      <c r="BG322" s="9">
        <f>VLOOKUP(A322,Jogos!A:BN,65,0)</f>
        <v>42.81333333</v>
      </c>
      <c r="BH322" s="9">
        <f>VLOOKUP(A322,Jogos!A:BN,66,0)</f>
        <v>28.76666667</v>
      </c>
      <c r="BI322" s="9"/>
    </row>
    <row r="323" hidden="1">
      <c r="A323" s="10">
        <v>11.0</v>
      </c>
      <c r="B323" s="11" t="s">
        <v>562</v>
      </c>
      <c r="C323" s="2" t="s">
        <v>61</v>
      </c>
      <c r="D323" s="12">
        <v>45825.0</v>
      </c>
      <c r="E323" s="13">
        <v>0.7951388888888888</v>
      </c>
      <c r="F323" s="5" t="str">
        <f>VLOOKUP(A323,Jogos!A:N,10,0)</f>
        <v>Evening</v>
      </c>
      <c r="G323" s="11" t="s">
        <v>686</v>
      </c>
      <c r="H323" s="6" t="str">
        <f>VLOOKUP(A323,Jogos!A:L,12,0)</f>
        <v>Open</v>
      </c>
      <c r="I323" s="6" t="str">
        <f>VLOOKUP(G323,'Estádios e Cidades'!A:B,2,0)</f>
        <v>Orlando</v>
      </c>
      <c r="J323" s="11" t="s">
        <v>688</v>
      </c>
      <c r="K323" s="2" t="str">
        <f>VLOOKUP(J323,Equipes!A:F,6,0)</f>
        <v>Tropical</v>
      </c>
      <c r="L323" s="2">
        <f>VLOOKUP(J323,Equipes!A:C,3,0)</f>
        <v>18</v>
      </c>
      <c r="M323" s="2" t="str">
        <f t="shared" si="4"/>
        <v>Group</v>
      </c>
      <c r="N323" s="11" t="s">
        <v>687</v>
      </c>
      <c r="O323" s="2">
        <f>VLOOKUP(N323,Equipes!A:C,3,0)</f>
        <v>28</v>
      </c>
      <c r="P323" s="2" t="str">
        <f t="shared" si="5"/>
        <v>Group</v>
      </c>
      <c r="Q323" s="2">
        <f t="shared" si="6"/>
        <v>-10</v>
      </c>
      <c r="R323" s="2" t="str">
        <f>VLOOKUP(J323,Equipes!A:B,2,0)</f>
        <v>Mamelodi</v>
      </c>
      <c r="S323" s="6" t="s">
        <v>737</v>
      </c>
      <c r="T323" s="7">
        <v>8.0</v>
      </c>
      <c r="U323" s="7" t="s">
        <v>738</v>
      </c>
      <c r="V323" s="7" t="str">
        <f>VLOOKUP(U323,Jogadores!B:C,2,0)</f>
        <v>MF</v>
      </c>
      <c r="W323" s="8">
        <f>VLOOKUP(U323,Jogadores!B:D,3,0)</f>
        <v>24.24657534</v>
      </c>
      <c r="X323" s="7">
        <v>84.0</v>
      </c>
      <c r="Y323" s="7">
        <f t="shared" si="1005"/>
        <v>95</v>
      </c>
      <c r="Z323" s="7">
        <f>VLOOKUP(A323,Jogos!A:L,3,0)</f>
        <v>48</v>
      </c>
      <c r="AA323" s="7">
        <f t="shared" si="7"/>
        <v>0</v>
      </c>
      <c r="AB323" s="7">
        <f>VLOOKUP(A323,Jogos!A:L,4,0)</f>
        <v>50</v>
      </c>
      <c r="AC323" s="7">
        <f t="shared" si="657"/>
        <v>11</v>
      </c>
      <c r="AD323" s="7"/>
      <c r="AE323" s="7"/>
      <c r="AF323" s="7">
        <f t="shared" si="9"/>
        <v>11</v>
      </c>
      <c r="AG323" s="7">
        <v>1469.4</v>
      </c>
      <c r="AH323" s="7">
        <v>406.0</v>
      </c>
      <c r="AI323" s="7">
        <v>611.6</v>
      </c>
      <c r="AJ323" s="7">
        <v>253.0</v>
      </c>
      <c r="AK323" s="7">
        <v>108.9</v>
      </c>
      <c r="AL323" s="7">
        <v>89.9</v>
      </c>
      <c r="AM323" s="7">
        <v>21.0</v>
      </c>
      <c r="AN323" s="7">
        <v>8.0</v>
      </c>
      <c r="AO323" s="7">
        <v>31.1</v>
      </c>
      <c r="AP323" s="9">
        <f t="shared" ref="AP323:AR323" si="1009">AG323/$AF323</f>
        <v>133.5818182</v>
      </c>
      <c r="AQ323" s="9">
        <f t="shared" si="1009"/>
        <v>36.90909091</v>
      </c>
      <c r="AR323" s="9">
        <f t="shared" si="1009"/>
        <v>55.6</v>
      </c>
      <c r="AS323" s="9">
        <f t="shared" si="11"/>
        <v>92.50909091</v>
      </c>
      <c r="AT323" s="9">
        <f t="shared" ref="AT323:AV323" si="1010">AJ323/$AF323</f>
        <v>23</v>
      </c>
      <c r="AU323" s="9">
        <f t="shared" si="1010"/>
        <v>9.9</v>
      </c>
      <c r="AV323" s="9">
        <f t="shared" si="1010"/>
        <v>8.172727273</v>
      </c>
      <c r="AW323" s="9">
        <f t="shared" si="13"/>
        <v>18.07272727</v>
      </c>
      <c r="AX323" s="9">
        <f t="shared" ref="AX323:AY323" si="1011">AM323/$AF323</f>
        <v>1.909090909</v>
      </c>
      <c r="AY323" s="9">
        <f t="shared" si="1011"/>
        <v>0.7272727273</v>
      </c>
      <c r="AZ323" s="9">
        <f>VLOOKUP(A323,Jogos!A:BN,58,0)</f>
        <v>29</v>
      </c>
      <c r="BA323" s="9">
        <f>VLOOKUP(A323,Jogos!A:BN,59,0)</f>
        <v>22.40333333</v>
      </c>
      <c r="BB323" s="9">
        <f>VLOOKUP(A323,Jogos!A:BN,60,0)</f>
        <v>67</v>
      </c>
      <c r="BC323" s="9">
        <f>VLOOKUP(A323,Jogos!A:BN,61,0)</f>
        <v>28.77666667</v>
      </c>
      <c r="BD323" s="9">
        <f>VLOOKUP(A323,Jogos!A:BN,62,0)</f>
        <v>105.8333333</v>
      </c>
      <c r="BE323" s="9">
        <f>VLOOKUP(A323,Jogos!A:BN,63,0)</f>
        <v>2.643333333</v>
      </c>
      <c r="BF323" s="9">
        <f>VLOOKUP(A323,Jogos!A:BN,64,0)</f>
        <v>24.72</v>
      </c>
      <c r="BG323" s="9">
        <f>VLOOKUP(A323,Jogos!A:BN,65,0)</f>
        <v>42.81333333</v>
      </c>
      <c r="BH323" s="9">
        <f>VLOOKUP(A323,Jogos!A:BN,66,0)</f>
        <v>28.76666667</v>
      </c>
      <c r="BI323" s="9"/>
    </row>
    <row r="324" hidden="1">
      <c r="A324" s="10">
        <v>11.0</v>
      </c>
      <c r="B324" s="11" t="s">
        <v>562</v>
      </c>
      <c r="C324" s="2" t="s">
        <v>61</v>
      </c>
      <c r="D324" s="12">
        <v>45825.0</v>
      </c>
      <c r="E324" s="13">
        <v>0.7951388888888888</v>
      </c>
      <c r="F324" s="5" t="str">
        <f>VLOOKUP(A324,Jogos!A:N,10,0)</f>
        <v>Evening</v>
      </c>
      <c r="G324" s="11" t="s">
        <v>686</v>
      </c>
      <c r="H324" s="6" t="str">
        <f>VLOOKUP(A324,Jogos!A:L,12,0)</f>
        <v>Open</v>
      </c>
      <c r="I324" s="6" t="str">
        <f>VLOOKUP(G324,'Estádios e Cidades'!A:B,2,0)</f>
        <v>Orlando</v>
      </c>
      <c r="J324" s="11" t="s">
        <v>688</v>
      </c>
      <c r="K324" s="2" t="str">
        <f>VLOOKUP(J324,Equipes!A:F,6,0)</f>
        <v>Tropical</v>
      </c>
      <c r="L324" s="2">
        <f>VLOOKUP(J324,Equipes!A:C,3,0)</f>
        <v>18</v>
      </c>
      <c r="M324" s="2" t="str">
        <f t="shared" si="4"/>
        <v>Group</v>
      </c>
      <c r="N324" s="11" t="s">
        <v>687</v>
      </c>
      <c r="O324" s="2">
        <f>VLOOKUP(N324,Equipes!A:C,3,0)</f>
        <v>28</v>
      </c>
      <c r="P324" s="2" t="str">
        <f t="shared" si="5"/>
        <v>Group</v>
      </c>
      <c r="Q324" s="2">
        <f t="shared" si="6"/>
        <v>-10</v>
      </c>
      <c r="R324" s="2" t="str">
        <f>VLOOKUP(J324,Equipes!A:B,2,0)</f>
        <v>Mamelodi</v>
      </c>
      <c r="S324" s="6" t="s">
        <v>739</v>
      </c>
      <c r="T324" s="7">
        <v>15.0</v>
      </c>
      <c r="U324" s="7" t="s">
        <v>740</v>
      </c>
      <c r="V324" s="7" t="str">
        <f>VLOOKUP(U324,Jogadores!B:C,2,0)</f>
        <v>MF</v>
      </c>
      <c r="W324" s="8">
        <f>VLOOKUP(U324,Jogadores!B:D,3,0)</f>
        <v>30.22739726</v>
      </c>
      <c r="X324" s="7">
        <v>76.0</v>
      </c>
      <c r="Y324" s="7">
        <f t="shared" si="1005"/>
        <v>95</v>
      </c>
      <c r="Z324" s="7">
        <f>VLOOKUP(A324,Jogos!A:L,3,0)</f>
        <v>48</v>
      </c>
      <c r="AA324" s="7">
        <f t="shared" si="7"/>
        <v>0</v>
      </c>
      <c r="AB324" s="7">
        <f>VLOOKUP(A324,Jogos!A:L,4,0)</f>
        <v>50</v>
      </c>
      <c r="AC324" s="7">
        <f t="shared" si="657"/>
        <v>19</v>
      </c>
      <c r="AD324" s="7"/>
      <c r="AE324" s="7"/>
      <c r="AF324" s="7">
        <f t="shared" si="9"/>
        <v>19</v>
      </c>
      <c r="AG324" s="7">
        <v>2275.2</v>
      </c>
      <c r="AH324" s="7">
        <v>484.9</v>
      </c>
      <c r="AI324" s="7">
        <v>1004.4</v>
      </c>
      <c r="AJ324" s="7">
        <v>580.3</v>
      </c>
      <c r="AK324" s="7">
        <v>148.6</v>
      </c>
      <c r="AL324" s="7">
        <v>56.9</v>
      </c>
      <c r="AM324" s="7">
        <v>51.0</v>
      </c>
      <c r="AN324" s="7">
        <v>11.0</v>
      </c>
      <c r="AO324" s="7">
        <v>29.7</v>
      </c>
      <c r="AP324" s="9">
        <f t="shared" ref="AP324:AR324" si="1012">AG324/$AF324</f>
        <v>119.7473684</v>
      </c>
      <c r="AQ324" s="9">
        <f t="shared" si="1012"/>
        <v>25.52105263</v>
      </c>
      <c r="AR324" s="9">
        <f t="shared" si="1012"/>
        <v>52.86315789</v>
      </c>
      <c r="AS324" s="9">
        <f t="shared" si="11"/>
        <v>78.38421053</v>
      </c>
      <c r="AT324" s="9">
        <f t="shared" ref="AT324:AV324" si="1013">AJ324/$AF324</f>
        <v>30.54210526</v>
      </c>
      <c r="AU324" s="9">
        <f t="shared" si="1013"/>
        <v>7.821052632</v>
      </c>
      <c r="AV324" s="9">
        <f t="shared" si="1013"/>
        <v>2.994736842</v>
      </c>
      <c r="AW324" s="9">
        <f t="shared" si="13"/>
        <v>10.81578947</v>
      </c>
      <c r="AX324" s="9">
        <f t="shared" ref="AX324:AY324" si="1014">AM324/$AF324</f>
        <v>2.684210526</v>
      </c>
      <c r="AY324" s="9">
        <f t="shared" si="1014"/>
        <v>0.5789473684</v>
      </c>
      <c r="AZ324" s="9">
        <f>VLOOKUP(A324,Jogos!A:BN,58,0)</f>
        <v>29</v>
      </c>
      <c r="BA324" s="9">
        <f>VLOOKUP(A324,Jogos!A:BN,59,0)</f>
        <v>22.40333333</v>
      </c>
      <c r="BB324" s="9">
        <f>VLOOKUP(A324,Jogos!A:BN,60,0)</f>
        <v>67</v>
      </c>
      <c r="BC324" s="9">
        <f>VLOOKUP(A324,Jogos!A:BN,61,0)</f>
        <v>28.77666667</v>
      </c>
      <c r="BD324" s="9">
        <f>VLOOKUP(A324,Jogos!A:BN,62,0)</f>
        <v>105.8333333</v>
      </c>
      <c r="BE324" s="9">
        <f>VLOOKUP(A324,Jogos!A:BN,63,0)</f>
        <v>2.643333333</v>
      </c>
      <c r="BF324" s="9">
        <f>VLOOKUP(A324,Jogos!A:BN,64,0)</f>
        <v>24.72</v>
      </c>
      <c r="BG324" s="9">
        <f>VLOOKUP(A324,Jogos!A:BN,65,0)</f>
        <v>42.81333333</v>
      </c>
      <c r="BH324" s="9">
        <f>VLOOKUP(A324,Jogos!A:BN,66,0)</f>
        <v>28.76666667</v>
      </c>
      <c r="BI324" s="9"/>
    </row>
    <row r="325" hidden="1">
      <c r="A325" s="10">
        <v>11.0</v>
      </c>
      <c r="B325" s="11" t="s">
        <v>562</v>
      </c>
      <c r="C325" s="2" t="s">
        <v>61</v>
      </c>
      <c r="D325" s="12">
        <v>45825.0</v>
      </c>
      <c r="E325" s="13">
        <v>0.7951388888888888</v>
      </c>
      <c r="F325" s="5" t="str">
        <f>VLOOKUP(A325,Jogos!A:N,10,0)</f>
        <v>Evening</v>
      </c>
      <c r="G325" s="11" t="s">
        <v>686</v>
      </c>
      <c r="H325" s="6" t="str">
        <f>VLOOKUP(A325,Jogos!A:L,12,0)</f>
        <v>Open</v>
      </c>
      <c r="I325" s="6" t="str">
        <f>VLOOKUP(G325,'Estádios e Cidades'!A:B,2,0)</f>
        <v>Orlando</v>
      </c>
      <c r="J325" s="11" t="s">
        <v>688</v>
      </c>
      <c r="K325" s="2" t="str">
        <f>VLOOKUP(J325,Equipes!A:F,6,0)</f>
        <v>Tropical</v>
      </c>
      <c r="L325" s="2">
        <f>VLOOKUP(J325,Equipes!A:C,3,0)</f>
        <v>18</v>
      </c>
      <c r="M325" s="2" t="str">
        <f t="shared" si="4"/>
        <v>Group</v>
      </c>
      <c r="N325" s="11" t="s">
        <v>687</v>
      </c>
      <c r="O325" s="2">
        <f>VLOOKUP(N325,Equipes!A:C,3,0)</f>
        <v>28</v>
      </c>
      <c r="P325" s="2" t="str">
        <f t="shared" si="5"/>
        <v>Group</v>
      </c>
      <c r="Q325" s="2">
        <f t="shared" si="6"/>
        <v>-10</v>
      </c>
      <c r="R325" s="2" t="str">
        <f>VLOOKUP(J325,Equipes!A:B,2,0)</f>
        <v>Mamelodi</v>
      </c>
      <c r="S325" s="6" t="s">
        <v>741</v>
      </c>
      <c r="T325" s="7">
        <v>17.0</v>
      </c>
      <c r="U325" s="7" t="s">
        <v>742</v>
      </c>
      <c r="V325" s="7" t="str">
        <f>VLOOKUP(U325,Jogadores!B:C,2,0)</f>
        <v>FW</v>
      </c>
      <c r="W325" s="8">
        <f>VLOOKUP(U325,Jogadores!B:D,3,0)</f>
        <v>24.89041096</v>
      </c>
      <c r="X325" s="7">
        <v>65.0</v>
      </c>
      <c r="Y325" s="7">
        <f t="shared" si="1005"/>
        <v>95</v>
      </c>
      <c r="Z325" s="7">
        <f>VLOOKUP(A325,Jogos!A:L,3,0)</f>
        <v>48</v>
      </c>
      <c r="AA325" s="7">
        <f t="shared" si="7"/>
        <v>0</v>
      </c>
      <c r="AB325" s="7">
        <f>VLOOKUP(A325,Jogos!A:L,4,0)</f>
        <v>50</v>
      </c>
      <c r="AC325" s="7">
        <f t="shared" si="657"/>
        <v>30</v>
      </c>
      <c r="AD325" s="7"/>
      <c r="AE325" s="7"/>
      <c r="AF325" s="7">
        <f t="shared" si="9"/>
        <v>30</v>
      </c>
      <c r="AG325" s="7">
        <v>3725.9</v>
      </c>
      <c r="AH325" s="7">
        <v>993.6</v>
      </c>
      <c r="AI325" s="7">
        <v>1464.2</v>
      </c>
      <c r="AJ325" s="7">
        <v>620.0</v>
      </c>
      <c r="AK325" s="7">
        <v>512.3</v>
      </c>
      <c r="AL325" s="7">
        <v>135.7</v>
      </c>
      <c r="AM325" s="7">
        <v>46.0</v>
      </c>
      <c r="AN325" s="7">
        <v>35.0</v>
      </c>
      <c r="AO325" s="7">
        <v>30.8</v>
      </c>
      <c r="AP325" s="9">
        <f t="shared" ref="AP325:AR325" si="1015">AG325/$AF325</f>
        <v>124.1966667</v>
      </c>
      <c r="AQ325" s="9">
        <f t="shared" si="1015"/>
        <v>33.12</v>
      </c>
      <c r="AR325" s="9">
        <f t="shared" si="1015"/>
        <v>48.80666667</v>
      </c>
      <c r="AS325" s="9">
        <f t="shared" si="11"/>
        <v>81.92666667</v>
      </c>
      <c r="AT325" s="9">
        <f t="shared" ref="AT325:AV325" si="1016">AJ325/$AF325</f>
        <v>20.66666667</v>
      </c>
      <c r="AU325" s="9">
        <f t="shared" si="1016"/>
        <v>17.07666667</v>
      </c>
      <c r="AV325" s="9">
        <f t="shared" si="1016"/>
        <v>4.523333333</v>
      </c>
      <c r="AW325" s="9">
        <f t="shared" si="13"/>
        <v>21.6</v>
      </c>
      <c r="AX325" s="9">
        <f t="shared" ref="AX325:AY325" si="1017">AM325/$AF325</f>
        <v>1.533333333</v>
      </c>
      <c r="AY325" s="9">
        <f t="shared" si="1017"/>
        <v>1.166666667</v>
      </c>
      <c r="AZ325" s="9">
        <f>VLOOKUP(A325,Jogos!A:BN,58,0)</f>
        <v>29</v>
      </c>
      <c r="BA325" s="9">
        <f>VLOOKUP(A325,Jogos!A:BN,59,0)</f>
        <v>22.40333333</v>
      </c>
      <c r="BB325" s="9">
        <f>VLOOKUP(A325,Jogos!A:BN,60,0)</f>
        <v>67</v>
      </c>
      <c r="BC325" s="9">
        <f>VLOOKUP(A325,Jogos!A:BN,61,0)</f>
        <v>28.77666667</v>
      </c>
      <c r="BD325" s="9">
        <f>VLOOKUP(A325,Jogos!A:BN,62,0)</f>
        <v>105.8333333</v>
      </c>
      <c r="BE325" s="9">
        <f>VLOOKUP(A325,Jogos!A:BN,63,0)</f>
        <v>2.643333333</v>
      </c>
      <c r="BF325" s="9">
        <f>VLOOKUP(A325,Jogos!A:BN,64,0)</f>
        <v>24.72</v>
      </c>
      <c r="BG325" s="9">
        <f>VLOOKUP(A325,Jogos!A:BN,65,0)</f>
        <v>42.81333333</v>
      </c>
      <c r="BH325" s="9">
        <f>VLOOKUP(A325,Jogos!A:BN,66,0)</f>
        <v>28.76666667</v>
      </c>
      <c r="BI325" s="9"/>
    </row>
    <row r="326" hidden="1">
      <c r="A326" s="10">
        <v>11.0</v>
      </c>
      <c r="B326" s="11" t="s">
        <v>562</v>
      </c>
      <c r="C326" s="2" t="s">
        <v>61</v>
      </c>
      <c r="D326" s="12">
        <v>45825.0</v>
      </c>
      <c r="E326" s="13">
        <v>0.7951388888888888</v>
      </c>
      <c r="F326" s="5" t="str">
        <f>VLOOKUP(A326,Jogos!A:N,10,0)</f>
        <v>Evening</v>
      </c>
      <c r="G326" s="11" t="s">
        <v>686</v>
      </c>
      <c r="H326" s="6" t="str">
        <f>VLOOKUP(A326,Jogos!A:L,12,0)</f>
        <v>Open</v>
      </c>
      <c r="I326" s="6" t="str">
        <f>VLOOKUP(G326,'Estádios e Cidades'!A:B,2,0)</f>
        <v>Orlando</v>
      </c>
      <c r="J326" s="11" t="s">
        <v>688</v>
      </c>
      <c r="K326" s="2" t="str">
        <f>VLOOKUP(J326,Equipes!A:F,6,0)</f>
        <v>Tropical</v>
      </c>
      <c r="L326" s="2">
        <f>VLOOKUP(J326,Equipes!A:C,3,0)</f>
        <v>18</v>
      </c>
      <c r="M326" s="2" t="str">
        <f t="shared" si="4"/>
        <v>Group</v>
      </c>
      <c r="N326" s="11" t="s">
        <v>687</v>
      </c>
      <c r="O326" s="2">
        <f>VLOOKUP(N326,Equipes!A:C,3,0)</f>
        <v>28</v>
      </c>
      <c r="P326" s="2" t="str">
        <f t="shared" si="5"/>
        <v>Group</v>
      </c>
      <c r="Q326" s="2">
        <f t="shared" si="6"/>
        <v>-10</v>
      </c>
      <c r="R326" s="2" t="str">
        <f>VLOOKUP(J326,Equipes!A:B,2,0)</f>
        <v>Mamelodi</v>
      </c>
      <c r="S326" s="6" t="s">
        <v>743</v>
      </c>
      <c r="T326" s="7">
        <v>34.0</v>
      </c>
      <c r="U326" s="7" t="s">
        <v>744</v>
      </c>
      <c r="V326" s="7" t="str">
        <f>VLOOKUP(U326,Jogadores!B:C,2,0)</f>
        <v>DF</v>
      </c>
      <c r="W326" s="8">
        <f>VLOOKUP(U326,Jogadores!B:D,3,0)</f>
        <v>31.14246575</v>
      </c>
      <c r="X326" s="7">
        <v>85.0</v>
      </c>
      <c r="Y326" s="7">
        <f t="shared" si="1005"/>
        <v>95</v>
      </c>
      <c r="Z326" s="7">
        <f>VLOOKUP(A326,Jogos!A:L,3,0)</f>
        <v>48</v>
      </c>
      <c r="AA326" s="7">
        <f t="shared" si="7"/>
        <v>0</v>
      </c>
      <c r="AB326" s="7">
        <f>VLOOKUP(A326,Jogos!A:L,4,0)</f>
        <v>50</v>
      </c>
      <c r="AC326" s="7">
        <f t="shared" si="657"/>
        <v>10</v>
      </c>
      <c r="AD326" s="7"/>
      <c r="AE326" s="7"/>
      <c r="AF326" s="7">
        <f t="shared" si="9"/>
        <v>10</v>
      </c>
      <c r="AG326" s="7">
        <v>1211.2</v>
      </c>
      <c r="AH326" s="7">
        <v>347.0</v>
      </c>
      <c r="AI326" s="7">
        <v>518.9</v>
      </c>
      <c r="AJ326" s="7">
        <v>223.7</v>
      </c>
      <c r="AK326" s="7">
        <v>113.9</v>
      </c>
      <c r="AL326" s="7">
        <v>7.8</v>
      </c>
      <c r="AM326" s="7">
        <v>19.0</v>
      </c>
      <c r="AN326" s="7">
        <v>8.0</v>
      </c>
      <c r="AO326" s="7">
        <v>25.7</v>
      </c>
      <c r="AP326" s="9">
        <f t="shared" ref="AP326:AR326" si="1018">AG326/$AF326</f>
        <v>121.12</v>
      </c>
      <c r="AQ326" s="9">
        <f t="shared" si="1018"/>
        <v>34.7</v>
      </c>
      <c r="AR326" s="9">
        <f t="shared" si="1018"/>
        <v>51.89</v>
      </c>
      <c r="AS326" s="9">
        <f t="shared" si="11"/>
        <v>86.59</v>
      </c>
      <c r="AT326" s="9">
        <f t="shared" ref="AT326:AV326" si="1019">AJ326/$AF326</f>
        <v>22.37</v>
      </c>
      <c r="AU326" s="9">
        <f t="shared" si="1019"/>
        <v>11.39</v>
      </c>
      <c r="AV326" s="9">
        <f t="shared" si="1019"/>
        <v>0.78</v>
      </c>
      <c r="AW326" s="9">
        <f t="shared" si="13"/>
        <v>12.17</v>
      </c>
      <c r="AX326" s="9">
        <f t="shared" ref="AX326:AY326" si="1020">AM326/$AF326</f>
        <v>1.9</v>
      </c>
      <c r="AY326" s="9">
        <f t="shared" si="1020"/>
        <v>0.8</v>
      </c>
      <c r="AZ326" s="9">
        <f>VLOOKUP(A326,Jogos!A:BN,58,0)</f>
        <v>29</v>
      </c>
      <c r="BA326" s="9">
        <f>VLOOKUP(A326,Jogos!A:BN,59,0)</f>
        <v>22.40333333</v>
      </c>
      <c r="BB326" s="9">
        <f>VLOOKUP(A326,Jogos!A:BN,60,0)</f>
        <v>67</v>
      </c>
      <c r="BC326" s="9">
        <f>VLOOKUP(A326,Jogos!A:BN,61,0)</f>
        <v>28.77666667</v>
      </c>
      <c r="BD326" s="9">
        <f>VLOOKUP(A326,Jogos!A:BN,62,0)</f>
        <v>105.8333333</v>
      </c>
      <c r="BE326" s="9">
        <f>VLOOKUP(A326,Jogos!A:BN,63,0)</f>
        <v>2.643333333</v>
      </c>
      <c r="BF326" s="9">
        <f>VLOOKUP(A326,Jogos!A:BN,64,0)</f>
        <v>24.72</v>
      </c>
      <c r="BG326" s="9">
        <f>VLOOKUP(A326,Jogos!A:BN,65,0)</f>
        <v>42.81333333</v>
      </c>
      <c r="BH326" s="9">
        <f>VLOOKUP(A326,Jogos!A:BN,66,0)</f>
        <v>28.76666667</v>
      </c>
      <c r="BI326" s="9"/>
    </row>
    <row r="327" hidden="1">
      <c r="A327" s="10">
        <v>11.0</v>
      </c>
      <c r="B327" s="11" t="s">
        <v>562</v>
      </c>
      <c r="C327" s="2" t="s">
        <v>61</v>
      </c>
      <c r="D327" s="12">
        <v>45825.0</v>
      </c>
      <c r="E327" s="13">
        <v>0.7951388888888888</v>
      </c>
      <c r="F327" s="5" t="str">
        <f>VLOOKUP(A327,Jogos!A:N,10,0)</f>
        <v>Evening</v>
      </c>
      <c r="G327" s="11" t="s">
        <v>686</v>
      </c>
      <c r="H327" s="6" t="str">
        <f>VLOOKUP(A327,Jogos!A:L,12,0)</f>
        <v>Open</v>
      </c>
      <c r="I327" s="6" t="str">
        <f>VLOOKUP(G327,'Estádios e Cidades'!A:B,2,0)</f>
        <v>Orlando</v>
      </c>
      <c r="J327" s="11" t="s">
        <v>688</v>
      </c>
      <c r="K327" s="2" t="str">
        <f>VLOOKUP(J327,Equipes!A:F,6,0)</f>
        <v>Tropical</v>
      </c>
      <c r="L327" s="2">
        <f>VLOOKUP(J327,Equipes!A:C,3,0)</f>
        <v>18</v>
      </c>
      <c r="M327" s="2" t="str">
        <f t="shared" si="4"/>
        <v>Group</v>
      </c>
      <c r="N327" s="11" t="s">
        <v>687</v>
      </c>
      <c r="O327" s="2">
        <f>VLOOKUP(N327,Equipes!A:C,3,0)</f>
        <v>28</v>
      </c>
      <c r="P327" s="2" t="str">
        <f t="shared" si="5"/>
        <v>Group</v>
      </c>
      <c r="Q327" s="2">
        <f t="shared" si="6"/>
        <v>-10</v>
      </c>
      <c r="R327" s="2" t="str">
        <f>VLOOKUP(J327,Equipes!A:B,2,0)</f>
        <v>Mamelodi</v>
      </c>
      <c r="S327" s="6" t="s">
        <v>745</v>
      </c>
      <c r="T327" s="7">
        <v>35.0</v>
      </c>
      <c r="U327" s="7" t="s">
        <v>746</v>
      </c>
      <c r="V327" s="7" t="str">
        <f>VLOOKUP(U327,Jogadores!B:C,2,0)</f>
        <v>FW</v>
      </c>
      <c r="W327" s="8">
        <f>VLOOKUP(U327,Jogadores!B:D,3,0)</f>
        <v>29.51780822</v>
      </c>
      <c r="X327" s="7">
        <v>77.0</v>
      </c>
      <c r="Y327" s="7">
        <f t="shared" si="1005"/>
        <v>95</v>
      </c>
      <c r="Z327" s="7">
        <f>VLOOKUP(A327,Jogos!A:L,3,0)</f>
        <v>48</v>
      </c>
      <c r="AA327" s="7">
        <f t="shared" si="7"/>
        <v>0</v>
      </c>
      <c r="AB327" s="7">
        <f>VLOOKUP(A327,Jogos!A:L,4,0)</f>
        <v>50</v>
      </c>
      <c r="AC327" s="7">
        <f t="shared" si="657"/>
        <v>18</v>
      </c>
      <c r="AD327" s="7"/>
      <c r="AE327" s="7"/>
      <c r="AF327" s="7">
        <f t="shared" si="9"/>
        <v>18</v>
      </c>
      <c r="AG327" s="7">
        <v>2216.3</v>
      </c>
      <c r="AH327" s="7">
        <v>780.0</v>
      </c>
      <c r="AI327" s="7">
        <v>795.0</v>
      </c>
      <c r="AJ327" s="7">
        <v>404.4</v>
      </c>
      <c r="AK327" s="7">
        <v>155.9</v>
      </c>
      <c r="AL327" s="7">
        <v>81.0</v>
      </c>
      <c r="AM327" s="7">
        <v>29.0</v>
      </c>
      <c r="AN327" s="7">
        <v>11.0</v>
      </c>
      <c r="AO327" s="7">
        <v>29.4</v>
      </c>
      <c r="AP327" s="9">
        <f t="shared" ref="AP327:AR327" si="1021">AG327/$AF327</f>
        <v>123.1277778</v>
      </c>
      <c r="AQ327" s="9">
        <f t="shared" si="1021"/>
        <v>43.33333333</v>
      </c>
      <c r="AR327" s="9">
        <f t="shared" si="1021"/>
        <v>44.16666667</v>
      </c>
      <c r="AS327" s="9">
        <f t="shared" si="11"/>
        <v>87.5</v>
      </c>
      <c r="AT327" s="9">
        <f t="shared" ref="AT327:AV327" si="1022">AJ327/$AF327</f>
        <v>22.46666667</v>
      </c>
      <c r="AU327" s="9">
        <f t="shared" si="1022"/>
        <v>8.661111111</v>
      </c>
      <c r="AV327" s="9">
        <f t="shared" si="1022"/>
        <v>4.5</v>
      </c>
      <c r="AW327" s="9">
        <f t="shared" si="13"/>
        <v>13.16111111</v>
      </c>
      <c r="AX327" s="9">
        <f t="shared" ref="AX327:AY327" si="1023">AM327/$AF327</f>
        <v>1.611111111</v>
      </c>
      <c r="AY327" s="9">
        <f t="shared" si="1023"/>
        <v>0.6111111111</v>
      </c>
      <c r="AZ327" s="9">
        <f>VLOOKUP(A327,Jogos!A:BN,58,0)</f>
        <v>29</v>
      </c>
      <c r="BA327" s="9">
        <f>VLOOKUP(A327,Jogos!A:BN,59,0)</f>
        <v>22.40333333</v>
      </c>
      <c r="BB327" s="9">
        <f>VLOOKUP(A327,Jogos!A:BN,60,0)</f>
        <v>67</v>
      </c>
      <c r="BC327" s="9">
        <f>VLOOKUP(A327,Jogos!A:BN,61,0)</f>
        <v>28.77666667</v>
      </c>
      <c r="BD327" s="9">
        <f>VLOOKUP(A327,Jogos!A:BN,62,0)</f>
        <v>105.8333333</v>
      </c>
      <c r="BE327" s="9">
        <f>VLOOKUP(A327,Jogos!A:BN,63,0)</f>
        <v>2.643333333</v>
      </c>
      <c r="BF327" s="9">
        <f>VLOOKUP(A327,Jogos!A:BN,64,0)</f>
        <v>24.72</v>
      </c>
      <c r="BG327" s="9">
        <f>VLOOKUP(A327,Jogos!A:BN,65,0)</f>
        <v>42.81333333</v>
      </c>
      <c r="BH327" s="9">
        <f>VLOOKUP(A327,Jogos!A:BN,66,0)</f>
        <v>28.76666667</v>
      </c>
      <c r="BI327" s="9"/>
    </row>
    <row r="328" hidden="1">
      <c r="A328" s="2">
        <v>12.0</v>
      </c>
      <c r="B328" s="11" t="s">
        <v>623</v>
      </c>
      <c r="C328" s="2" t="s">
        <v>61</v>
      </c>
      <c r="D328" s="3">
        <v>45825.0</v>
      </c>
      <c r="E328" s="4">
        <v>0.75</v>
      </c>
      <c r="F328" s="5" t="str">
        <f>VLOOKUP(A328,Jogos!A:N,10,0)</f>
        <v>Evening</v>
      </c>
      <c r="G328" s="2" t="s">
        <v>186</v>
      </c>
      <c r="H328" s="6" t="str">
        <f>VLOOKUP(A328,Jogos!A:L,12,0)</f>
        <v>Open</v>
      </c>
      <c r="I328" s="6" t="str">
        <f>VLOOKUP(G328,'Estádios e Cidades'!A:B,2,0)</f>
        <v>Pasadena</v>
      </c>
      <c r="J328" s="2" t="s">
        <v>747</v>
      </c>
      <c r="K328" s="2" t="str">
        <f>VLOOKUP(J328,Equipes!A:F,6,0)</f>
        <v>Tropical</v>
      </c>
      <c r="L328" s="2">
        <f>VLOOKUP(J328,Equipes!A:C,3,0)</f>
        <v>15</v>
      </c>
      <c r="M328" s="2" t="str">
        <f t="shared" si="4"/>
        <v>Round of 16</v>
      </c>
      <c r="N328" s="2" t="s">
        <v>748</v>
      </c>
      <c r="O328" s="2">
        <f>VLOOKUP(N328,Equipes!A:C,3,0)</f>
        <v>12</v>
      </c>
      <c r="P328" s="2" t="str">
        <f t="shared" si="5"/>
        <v>Round of 16</v>
      </c>
      <c r="Q328" s="2">
        <f t="shared" si="6"/>
        <v>3</v>
      </c>
      <c r="R328" s="2" t="str">
        <f>VLOOKUP(J328,Equipes!A:B,2,0)</f>
        <v>Monterrey</v>
      </c>
      <c r="S328" s="6" t="s">
        <v>749</v>
      </c>
      <c r="T328" s="7">
        <v>2.0</v>
      </c>
      <c r="U328" s="7" t="s">
        <v>750</v>
      </c>
      <c r="V328" s="7" t="str">
        <f>VLOOKUP(U328,Jogadores!B:C,2,0)</f>
        <v>DF</v>
      </c>
      <c r="W328" s="8">
        <f>VLOOKUP(U328,Jogadores!B:D,3,0)</f>
        <v>30.70958904</v>
      </c>
      <c r="X328" s="7">
        <v>0.0</v>
      </c>
      <c r="Y328" s="7">
        <v>58.0</v>
      </c>
      <c r="Z328" s="7">
        <f>VLOOKUP(A328,Jogos!A:L,3,0)</f>
        <v>49</v>
      </c>
      <c r="AA328" s="7">
        <f t="shared" si="7"/>
        <v>49</v>
      </c>
      <c r="AB328" s="7">
        <f>VLOOKUP(A328,Jogos!A:L,4,0)</f>
        <v>51</v>
      </c>
      <c r="AC328" s="7">
        <f t="shared" si="657"/>
        <v>13</v>
      </c>
      <c r="AD328" s="7"/>
      <c r="AE328" s="7"/>
      <c r="AF328" s="7">
        <f t="shared" si="9"/>
        <v>62</v>
      </c>
      <c r="AG328" s="7">
        <v>6878.3</v>
      </c>
      <c r="AH328" s="7">
        <v>2118.8</v>
      </c>
      <c r="AI328" s="7">
        <v>3253.6</v>
      </c>
      <c r="AJ328" s="7">
        <v>866.2</v>
      </c>
      <c r="AK328" s="7">
        <v>427.1</v>
      </c>
      <c r="AL328" s="7">
        <v>212.7</v>
      </c>
      <c r="AM328" s="7">
        <v>82.0</v>
      </c>
      <c r="AN328" s="7">
        <v>33.0</v>
      </c>
      <c r="AO328" s="7">
        <v>30.6</v>
      </c>
      <c r="AP328" s="9">
        <f t="shared" ref="AP328:AR328" si="1024">AG328/$AF328</f>
        <v>110.9403226</v>
      </c>
      <c r="AQ328" s="9">
        <f t="shared" si="1024"/>
        <v>34.17419355</v>
      </c>
      <c r="AR328" s="9">
        <f t="shared" si="1024"/>
        <v>52.47741935</v>
      </c>
      <c r="AS328" s="9">
        <f t="shared" si="11"/>
        <v>86.6516129</v>
      </c>
      <c r="AT328" s="9">
        <f t="shared" ref="AT328:AV328" si="1025">AJ328/$AF328</f>
        <v>13.97096774</v>
      </c>
      <c r="AU328" s="9">
        <f t="shared" si="1025"/>
        <v>6.888709677</v>
      </c>
      <c r="AV328" s="9">
        <f t="shared" si="1025"/>
        <v>3.430645161</v>
      </c>
      <c r="AW328" s="9">
        <f t="shared" si="13"/>
        <v>10.31935484</v>
      </c>
      <c r="AX328" s="9">
        <f t="shared" ref="AX328:AY328" si="1026">AM328/$AF328</f>
        <v>1.322580645</v>
      </c>
      <c r="AY328" s="9">
        <f t="shared" si="1026"/>
        <v>0.5322580645</v>
      </c>
      <c r="AZ328" s="9">
        <f>VLOOKUP(A328,Jogos!A:BN,58,0)</f>
        <v>26.525</v>
      </c>
      <c r="BA328" s="9">
        <f>VLOOKUP(A328,Jogos!A:BN,59,0)</f>
        <v>10.915</v>
      </c>
      <c r="BB328" s="9">
        <f>VLOOKUP(A328,Jogos!A:BN,60,0)</f>
        <v>37</v>
      </c>
      <c r="BC328" s="9">
        <f>VLOOKUP(A328,Jogos!A:BN,61,0)</f>
        <v>25.12</v>
      </c>
      <c r="BD328" s="9">
        <f>VLOOKUP(A328,Jogos!A:BN,62,0)</f>
        <v>161.1</v>
      </c>
      <c r="BE328" s="9">
        <f>VLOOKUP(A328,Jogos!A:BN,63,0)</f>
        <v>1.07</v>
      </c>
      <c r="BF328" s="9">
        <f>VLOOKUP(A328,Jogos!A:BN,64,0)</f>
        <v>19.63</v>
      </c>
      <c r="BG328" s="9">
        <f>VLOOKUP(A328,Jogos!A:BN,65,0)</f>
        <v>38.52</v>
      </c>
      <c r="BH328" s="9">
        <f>VLOOKUP(A328,Jogos!A:BN,66,0)</f>
        <v>24.1</v>
      </c>
      <c r="BI328" s="9"/>
    </row>
    <row r="329" hidden="1">
      <c r="A329" s="2">
        <v>12.0</v>
      </c>
      <c r="B329" s="11" t="s">
        <v>623</v>
      </c>
      <c r="C329" s="2" t="s">
        <v>61</v>
      </c>
      <c r="D329" s="3">
        <v>45825.0</v>
      </c>
      <c r="E329" s="4">
        <v>0.75</v>
      </c>
      <c r="F329" s="5" t="str">
        <f>VLOOKUP(A329,Jogos!A:N,10,0)</f>
        <v>Evening</v>
      </c>
      <c r="G329" s="2" t="s">
        <v>186</v>
      </c>
      <c r="H329" s="6" t="str">
        <f>VLOOKUP(A329,Jogos!A:L,12,0)</f>
        <v>Open</v>
      </c>
      <c r="I329" s="6" t="str">
        <f>VLOOKUP(G329,'Estádios e Cidades'!A:B,2,0)</f>
        <v>Pasadena</v>
      </c>
      <c r="J329" s="2" t="s">
        <v>747</v>
      </c>
      <c r="K329" s="2" t="str">
        <f>VLOOKUP(J329,Equipes!A:F,6,0)</f>
        <v>Tropical</v>
      </c>
      <c r="L329" s="2">
        <f>VLOOKUP(J329,Equipes!A:C,3,0)</f>
        <v>15</v>
      </c>
      <c r="M329" s="2" t="str">
        <f t="shared" si="4"/>
        <v>Round of 16</v>
      </c>
      <c r="N329" s="2" t="s">
        <v>748</v>
      </c>
      <c r="O329" s="2">
        <f>VLOOKUP(N329,Equipes!A:C,3,0)</f>
        <v>12</v>
      </c>
      <c r="P329" s="2" t="str">
        <f t="shared" si="5"/>
        <v>Round of 16</v>
      </c>
      <c r="Q329" s="2">
        <f t="shared" si="6"/>
        <v>3</v>
      </c>
      <c r="R329" s="2" t="str">
        <f>VLOOKUP(J329,Equipes!A:B,2,0)</f>
        <v>Monterrey</v>
      </c>
      <c r="S329" s="6" t="s">
        <v>751</v>
      </c>
      <c r="T329" s="7">
        <v>3.0</v>
      </c>
      <c r="U329" s="7" t="s">
        <v>752</v>
      </c>
      <c r="V329" s="7" t="str">
        <f>VLOOKUP(U329,Jogadores!B:C,2,0)</f>
        <v>DF</v>
      </c>
      <c r="W329" s="8">
        <f>VLOOKUP(U329,Jogadores!B:D,3,0)</f>
        <v>26.90684932</v>
      </c>
      <c r="X329" s="7">
        <v>0.0</v>
      </c>
      <c r="Y329" s="7">
        <f t="shared" ref="Y329:Y330" si="1030">45+AB329</f>
        <v>96</v>
      </c>
      <c r="Z329" s="7">
        <f>VLOOKUP(A329,Jogos!A:L,3,0)</f>
        <v>49</v>
      </c>
      <c r="AA329" s="7">
        <f t="shared" si="7"/>
        <v>49</v>
      </c>
      <c r="AB329" s="7">
        <f>VLOOKUP(A329,Jogos!A:L,4,0)</f>
        <v>51</v>
      </c>
      <c r="AC329" s="7">
        <f t="shared" si="657"/>
        <v>51</v>
      </c>
      <c r="AD329" s="7"/>
      <c r="AE329" s="7"/>
      <c r="AF329" s="7">
        <f t="shared" si="9"/>
        <v>100</v>
      </c>
      <c r="AG329" s="7">
        <v>10560.0</v>
      </c>
      <c r="AH329" s="7">
        <v>4085.0</v>
      </c>
      <c r="AI329" s="7">
        <v>4067.1</v>
      </c>
      <c r="AJ329" s="7">
        <v>1345.8</v>
      </c>
      <c r="AK329" s="7">
        <v>677.4</v>
      </c>
      <c r="AL329" s="7">
        <v>384.6</v>
      </c>
      <c r="AM329" s="7">
        <v>115.0</v>
      </c>
      <c r="AN329" s="7">
        <v>60.0</v>
      </c>
      <c r="AO329" s="7">
        <v>33.2</v>
      </c>
      <c r="AP329" s="9">
        <f t="shared" ref="AP329:AR329" si="1027">AG329/$AF329</f>
        <v>105.6</v>
      </c>
      <c r="AQ329" s="9">
        <f t="shared" si="1027"/>
        <v>40.85</v>
      </c>
      <c r="AR329" s="9">
        <f t="shared" si="1027"/>
        <v>40.671</v>
      </c>
      <c r="AS329" s="9">
        <f t="shared" si="11"/>
        <v>81.521</v>
      </c>
      <c r="AT329" s="9">
        <f t="shared" ref="AT329:AV329" si="1028">AJ329/$AF329</f>
        <v>13.458</v>
      </c>
      <c r="AU329" s="9">
        <f t="shared" si="1028"/>
        <v>6.774</v>
      </c>
      <c r="AV329" s="9">
        <f t="shared" si="1028"/>
        <v>3.846</v>
      </c>
      <c r="AW329" s="9">
        <f t="shared" si="13"/>
        <v>10.62</v>
      </c>
      <c r="AX329" s="9">
        <f t="shared" ref="AX329:AY329" si="1029">AM329/$AF329</f>
        <v>1.15</v>
      </c>
      <c r="AY329" s="9">
        <f t="shared" si="1029"/>
        <v>0.6</v>
      </c>
      <c r="AZ329" s="9">
        <f>VLOOKUP(A329,Jogos!A:BN,58,0)</f>
        <v>26.525</v>
      </c>
      <c r="BA329" s="9">
        <f>VLOOKUP(A329,Jogos!A:BN,59,0)</f>
        <v>10.915</v>
      </c>
      <c r="BB329" s="9">
        <f>VLOOKUP(A329,Jogos!A:BN,60,0)</f>
        <v>37</v>
      </c>
      <c r="BC329" s="9">
        <f>VLOOKUP(A329,Jogos!A:BN,61,0)</f>
        <v>25.12</v>
      </c>
      <c r="BD329" s="9">
        <f>VLOOKUP(A329,Jogos!A:BN,62,0)</f>
        <v>161.1</v>
      </c>
      <c r="BE329" s="9">
        <f>VLOOKUP(A329,Jogos!A:BN,63,0)</f>
        <v>1.07</v>
      </c>
      <c r="BF329" s="9">
        <f>VLOOKUP(A329,Jogos!A:BN,64,0)</f>
        <v>19.63</v>
      </c>
      <c r="BG329" s="9">
        <f>VLOOKUP(A329,Jogos!A:BN,65,0)</f>
        <v>38.52</v>
      </c>
      <c r="BH329" s="9">
        <f>VLOOKUP(A329,Jogos!A:BN,66,0)</f>
        <v>24.1</v>
      </c>
      <c r="BI329" s="9"/>
    </row>
    <row r="330" hidden="1">
      <c r="A330" s="2">
        <v>12.0</v>
      </c>
      <c r="B330" s="11" t="s">
        <v>623</v>
      </c>
      <c r="C330" s="2" t="s">
        <v>61</v>
      </c>
      <c r="D330" s="3">
        <v>45825.0</v>
      </c>
      <c r="E330" s="4">
        <v>0.75</v>
      </c>
      <c r="F330" s="5" t="str">
        <f>VLOOKUP(A330,Jogos!A:N,10,0)</f>
        <v>Evening</v>
      </c>
      <c r="G330" s="2" t="s">
        <v>186</v>
      </c>
      <c r="H330" s="6" t="str">
        <f>VLOOKUP(A330,Jogos!A:L,12,0)</f>
        <v>Open</v>
      </c>
      <c r="I330" s="6" t="str">
        <f>VLOOKUP(G330,'Estádios e Cidades'!A:B,2,0)</f>
        <v>Pasadena</v>
      </c>
      <c r="J330" s="2" t="s">
        <v>747</v>
      </c>
      <c r="K330" s="2" t="str">
        <f>VLOOKUP(J330,Equipes!A:F,6,0)</f>
        <v>Tropical</v>
      </c>
      <c r="L330" s="2">
        <f>VLOOKUP(J330,Equipes!A:C,3,0)</f>
        <v>15</v>
      </c>
      <c r="M330" s="2" t="str">
        <f t="shared" si="4"/>
        <v>Round of 16</v>
      </c>
      <c r="N330" s="2" t="s">
        <v>748</v>
      </c>
      <c r="O330" s="2">
        <f>VLOOKUP(N330,Equipes!A:C,3,0)</f>
        <v>12</v>
      </c>
      <c r="P330" s="2" t="str">
        <f t="shared" si="5"/>
        <v>Round of 16</v>
      </c>
      <c r="Q330" s="2">
        <f t="shared" si="6"/>
        <v>3</v>
      </c>
      <c r="R330" s="2" t="str">
        <f>VLOOKUP(J330,Equipes!A:B,2,0)</f>
        <v>Monterrey</v>
      </c>
      <c r="S330" s="6" t="s">
        <v>753</v>
      </c>
      <c r="T330" s="7">
        <v>4.0</v>
      </c>
      <c r="U330" s="7" t="s">
        <v>754</v>
      </c>
      <c r="V330" s="7" t="str">
        <f>VLOOKUP(U330,Jogadores!B:C,2,0)</f>
        <v>DF</v>
      </c>
      <c r="W330" s="8">
        <f>VLOOKUP(U330,Jogadores!B:D,3,0)</f>
        <v>23.40821918</v>
      </c>
      <c r="X330" s="7">
        <v>0.0</v>
      </c>
      <c r="Y330" s="7">
        <f t="shared" si="1030"/>
        <v>96</v>
      </c>
      <c r="Z330" s="7">
        <f>VLOOKUP(A330,Jogos!A:L,3,0)</f>
        <v>49</v>
      </c>
      <c r="AA330" s="7">
        <f t="shared" si="7"/>
        <v>49</v>
      </c>
      <c r="AB330" s="7">
        <f>VLOOKUP(A330,Jogos!A:L,4,0)</f>
        <v>51</v>
      </c>
      <c r="AC330" s="7">
        <f t="shared" si="657"/>
        <v>51</v>
      </c>
      <c r="AD330" s="7"/>
      <c r="AE330" s="7"/>
      <c r="AF330" s="7">
        <f t="shared" si="9"/>
        <v>100</v>
      </c>
      <c r="AG330" s="7">
        <v>9332.3</v>
      </c>
      <c r="AH330" s="7">
        <v>3755.0</v>
      </c>
      <c r="AI330" s="7">
        <v>4126.2</v>
      </c>
      <c r="AJ330" s="7">
        <v>929.5</v>
      </c>
      <c r="AK330" s="7">
        <v>416.4</v>
      </c>
      <c r="AL330" s="7">
        <v>105.3</v>
      </c>
      <c r="AM330" s="7">
        <v>82.0</v>
      </c>
      <c r="AN330" s="7">
        <v>33.0</v>
      </c>
      <c r="AO330" s="7">
        <v>32.5</v>
      </c>
      <c r="AP330" s="9">
        <f t="shared" ref="AP330:AR330" si="1031">AG330/$AF330</f>
        <v>93.323</v>
      </c>
      <c r="AQ330" s="9">
        <f t="shared" si="1031"/>
        <v>37.55</v>
      </c>
      <c r="AR330" s="9">
        <f t="shared" si="1031"/>
        <v>41.262</v>
      </c>
      <c r="AS330" s="9">
        <f t="shared" si="11"/>
        <v>78.812</v>
      </c>
      <c r="AT330" s="9">
        <f t="shared" ref="AT330:AV330" si="1032">AJ330/$AF330</f>
        <v>9.295</v>
      </c>
      <c r="AU330" s="9">
        <f t="shared" si="1032"/>
        <v>4.164</v>
      </c>
      <c r="AV330" s="9">
        <f t="shared" si="1032"/>
        <v>1.053</v>
      </c>
      <c r="AW330" s="9">
        <f t="shared" si="13"/>
        <v>5.217</v>
      </c>
      <c r="AX330" s="9">
        <f t="shared" ref="AX330:AY330" si="1033">AM330/$AF330</f>
        <v>0.82</v>
      </c>
      <c r="AY330" s="9">
        <f t="shared" si="1033"/>
        <v>0.33</v>
      </c>
      <c r="AZ330" s="9">
        <f>VLOOKUP(A330,Jogos!A:BN,58,0)</f>
        <v>26.525</v>
      </c>
      <c r="BA330" s="9">
        <f>VLOOKUP(A330,Jogos!A:BN,59,0)</f>
        <v>10.915</v>
      </c>
      <c r="BB330" s="9">
        <f>VLOOKUP(A330,Jogos!A:BN,60,0)</f>
        <v>37</v>
      </c>
      <c r="BC330" s="9">
        <f>VLOOKUP(A330,Jogos!A:BN,61,0)</f>
        <v>25.12</v>
      </c>
      <c r="BD330" s="9">
        <f>VLOOKUP(A330,Jogos!A:BN,62,0)</f>
        <v>161.1</v>
      </c>
      <c r="BE330" s="9">
        <f>VLOOKUP(A330,Jogos!A:BN,63,0)</f>
        <v>1.07</v>
      </c>
      <c r="BF330" s="9">
        <f>VLOOKUP(A330,Jogos!A:BN,64,0)</f>
        <v>19.63</v>
      </c>
      <c r="BG330" s="9">
        <f>VLOOKUP(A330,Jogos!A:BN,65,0)</f>
        <v>38.52</v>
      </c>
      <c r="BH330" s="9">
        <f>VLOOKUP(A330,Jogos!A:BN,66,0)</f>
        <v>24.1</v>
      </c>
      <c r="BI330" s="9"/>
    </row>
    <row r="331" hidden="1">
      <c r="A331" s="2">
        <v>12.0</v>
      </c>
      <c r="B331" s="11" t="s">
        <v>623</v>
      </c>
      <c r="C331" s="2" t="s">
        <v>61</v>
      </c>
      <c r="D331" s="3">
        <v>45825.0</v>
      </c>
      <c r="E331" s="4">
        <v>0.75</v>
      </c>
      <c r="F331" s="5" t="str">
        <f>VLOOKUP(A331,Jogos!A:N,10,0)</f>
        <v>Evening</v>
      </c>
      <c r="G331" s="2" t="s">
        <v>186</v>
      </c>
      <c r="H331" s="6" t="str">
        <f>VLOOKUP(A331,Jogos!A:L,12,0)</f>
        <v>Open</v>
      </c>
      <c r="I331" s="6" t="str">
        <f>VLOOKUP(G331,'Estádios e Cidades'!A:B,2,0)</f>
        <v>Pasadena</v>
      </c>
      <c r="J331" s="2" t="s">
        <v>747</v>
      </c>
      <c r="K331" s="2" t="str">
        <f>VLOOKUP(J331,Equipes!A:F,6,0)</f>
        <v>Tropical</v>
      </c>
      <c r="L331" s="2">
        <f>VLOOKUP(J331,Equipes!A:C,3,0)</f>
        <v>15</v>
      </c>
      <c r="M331" s="2" t="str">
        <f t="shared" si="4"/>
        <v>Round of 16</v>
      </c>
      <c r="N331" s="2" t="s">
        <v>748</v>
      </c>
      <c r="O331" s="2">
        <f>VLOOKUP(N331,Equipes!A:C,3,0)</f>
        <v>12</v>
      </c>
      <c r="P331" s="2" t="str">
        <f t="shared" si="5"/>
        <v>Round of 16</v>
      </c>
      <c r="Q331" s="2">
        <f t="shared" si="6"/>
        <v>3</v>
      </c>
      <c r="R331" s="2" t="str">
        <f>VLOOKUP(J331,Equipes!A:B,2,0)</f>
        <v>Monterrey</v>
      </c>
      <c r="S331" s="6" t="s">
        <v>755</v>
      </c>
      <c r="T331" s="7">
        <v>7.0</v>
      </c>
      <c r="U331" s="7" t="s">
        <v>756</v>
      </c>
      <c r="V331" s="7" t="str">
        <f>VLOOKUP(U331,Jogadores!B:C,2,0)</f>
        <v>FW</v>
      </c>
      <c r="W331" s="8">
        <f>VLOOKUP(U331,Jogadores!B:D,3,0)</f>
        <v>26.72328767</v>
      </c>
      <c r="X331" s="7">
        <v>0.0</v>
      </c>
      <c r="Y331" s="7">
        <v>79.0</v>
      </c>
      <c r="Z331" s="7">
        <f>VLOOKUP(A331,Jogos!A:L,3,0)</f>
        <v>49</v>
      </c>
      <c r="AA331" s="7">
        <f t="shared" si="7"/>
        <v>49</v>
      </c>
      <c r="AB331" s="7">
        <f>VLOOKUP(A331,Jogos!A:L,4,0)</f>
        <v>51</v>
      </c>
      <c r="AC331" s="7">
        <f t="shared" si="657"/>
        <v>34</v>
      </c>
      <c r="AD331" s="7"/>
      <c r="AE331" s="7"/>
      <c r="AF331" s="7">
        <f t="shared" si="9"/>
        <v>83</v>
      </c>
      <c r="AG331" s="7">
        <v>8887.4</v>
      </c>
      <c r="AH331" s="7">
        <v>3110.6</v>
      </c>
      <c r="AI331" s="7">
        <v>3807.3</v>
      </c>
      <c r="AJ331" s="7">
        <v>1234.4</v>
      </c>
      <c r="AK331" s="7">
        <v>589.9</v>
      </c>
      <c r="AL331" s="7">
        <v>145.2</v>
      </c>
      <c r="AM331" s="7">
        <v>104.0</v>
      </c>
      <c r="AN331" s="7">
        <v>45.0</v>
      </c>
      <c r="AO331" s="7">
        <v>30.8</v>
      </c>
      <c r="AP331" s="9">
        <f t="shared" ref="AP331:AR331" si="1034">AG331/$AF331</f>
        <v>107.0771084</v>
      </c>
      <c r="AQ331" s="9">
        <f t="shared" si="1034"/>
        <v>37.47710843</v>
      </c>
      <c r="AR331" s="9">
        <f t="shared" si="1034"/>
        <v>45.87108434</v>
      </c>
      <c r="AS331" s="9">
        <f t="shared" si="11"/>
        <v>83.34819277</v>
      </c>
      <c r="AT331" s="9">
        <f t="shared" ref="AT331:AV331" si="1035">AJ331/$AF331</f>
        <v>14.87228916</v>
      </c>
      <c r="AU331" s="9">
        <f t="shared" si="1035"/>
        <v>7.107228916</v>
      </c>
      <c r="AV331" s="9">
        <f t="shared" si="1035"/>
        <v>1.74939759</v>
      </c>
      <c r="AW331" s="9">
        <f t="shared" si="13"/>
        <v>8.856626506</v>
      </c>
      <c r="AX331" s="9">
        <f t="shared" ref="AX331:AY331" si="1036">AM331/$AF331</f>
        <v>1.253012048</v>
      </c>
      <c r="AY331" s="9">
        <f t="shared" si="1036"/>
        <v>0.5421686747</v>
      </c>
      <c r="AZ331" s="9">
        <f>VLOOKUP(A331,Jogos!A:BN,58,0)</f>
        <v>26.525</v>
      </c>
      <c r="BA331" s="9">
        <f>VLOOKUP(A331,Jogos!A:BN,59,0)</f>
        <v>10.915</v>
      </c>
      <c r="BB331" s="9">
        <f>VLOOKUP(A331,Jogos!A:BN,60,0)</f>
        <v>37</v>
      </c>
      <c r="BC331" s="9">
        <f>VLOOKUP(A331,Jogos!A:BN,61,0)</f>
        <v>25.12</v>
      </c>
      <c r="BD331" s="9">
        <f>VLOOKUP(A331,Jogos!A:BN,62,0)</f>
        <v>161.1</v>
      </c>
      <c r="BE331" s="9">
        <f>VLOOKUP(A331,Jogos!A:BN,63,0)</f>
        <v>1.07</v>
      </c>
      <c r="BF331" s="9">
        <f>VLOOKUP(A331,Jogos!A:BN,64,0)</f>
        <v>19.63</v>
      </c>
      <c r="BG331" s="9">
        <f>VLOOKUP(A331,Jogos!A:BN,65,0)</f>
        <v>38.52</v>
      </c>
      <c r="BH331" s="9">
        <f>VLOOKUP(A331,Jogos!A:BN,66,0)</f>
        <v>24.1</v>
      </c>
      <c r="BI331" s="9"/>
    </row>
    <row r="332" hidden="1">
      <c r="A332" s="2">
        <v>12.0</v>
      </c>
      <c r="B332" s="11" t="s">
        <v>623</v>
      </c>
      <c r="C332" s="2" t="s">
        <v>61</v>
      </c>
      <c r="D332" s="3">
        <v>45825.0</v>
      </c>
      <c r="E332" s="4">
        <v>0.75</v>
      </c>
      <c r="F332" s="5" t="str">
        <f>VLOOKUP(A332,Jogos!A:N,10,0)</f>
        <v>Evening</v>
      </c>
      <c r="G332" s="2" t="s">
        <v>186</v>
      </c>
      <c r="H332" s="6" t="str">
        <f>VLOOKUP(A332,Jogos!A:L,12,0)</f>
        <v>Open</v>
      </c>
      <c r="I332" s="6" t="str">
        <f>VLOOKUP(G332,'Estádios e Cidades'!A:B,2,0)</f>
        <v>Pasadena</v>
      </c>
      <c r="J332" s="2" t="s">
        <v>747</v>
      </c>
      <c r="K332" s="2" t="str">
        <f>VLOOKUP(J332,Equipes!A:F,6,0)</f>
        <v>Tropical</v>
      </c>
      <c r="L332" s="2">
        <f>VLOOKUP(J332,Equipes!A:C,3,0)</f>
        <v>15</v>
      </c>
      <c r="M332" s="2" t="str">
        <f t="shared" si="4"/>
        <v>Round of 16</v>
      </c>
      <c r="N332" s="2" t="s">
        <v>748</v>
      </c>
      <c r="O332" s="2">
        <f>VLOOKUP(N332,Equipes!A:C,3,0)</f>
        <v>12</v>
      </c>
      <c r="P332" s="2" t="str">
        <f t="shared" si="5"/>
        <v>Round of 16</v>
      </c>
      <c r="Q332" s="2">
        <f t="shared" si="6"/>
        <v>3</v>
      </c>
      <c r="R332" s="2" t="str">
        <f>VLOOKUP(J332,Equipes!A:B,2,0)</f>
        <v>Monterrey</v>
      </c>
      <c r="S332" s="6" t="s">
        <v>757</v>
      </c>
      <c r="T332" s="7">
        <v>8.0</v>
      </c>
      <c r="U332" s="7" t="s">
        <v>758</v>
      </c>
      <c r="V332" s="7" t="str">
        <f>VLOOKUP(U332,Jogadores!B:C,2,0)</f>
        <v>MF</v>
      </c>
      <c r="W332" s="8">
        <f>VLOOKUP(U332,Jogadores!B:D,3,0)</f>
        <v>30.73424658</v>
      </c>
      <c r="X332" s="7">
        <v>0.0</v>
      </c>
      <c r="Y332" s="7">
        <v>58.0</v>
      </c>
      <c r="Z332" s="7">
        <f>VLOOKUP(A332,Jogos!A:L,3,0)</f>
        <v>49</v>
      </c>
      <c r="AA332" s="7">
        <f t="shared" si="7"/>
        <v>49</v>
      </c>
      <c r="AB332" s="7">
        <f>VLOOKUP(A332,Jogos!A:L,4,0)</f>
        <v>51</v>
      </c>
      <c r="AC332" s="7">
        <f t="shared" si="657"/>
        <v>13</v>
      </c>
      <c r="AD332" s="7"/>
      <c r="AE332" s="7"/>
      <c r="AF332" s="7">
        <f t="shared" si="9"/>
        <v>62</v>
      </c>
      <c r="AG332" s="7">
        <v>7288.8</v>
      </c>
      <c r="AH332" s="7">
        <v>2422.7</v>
      </c>
      <c r="AI332" s="7">
        <v>3259.7</v>
      </c>
      <c r="AJ332" s="7">
        <v>1329.6</v>
      </c>
      <c r="AK332" s="7">
        <v>219.0</v>
      </c>
      <c r="AL332" s="7">
        <v>57.7</v>
      </c>
      <c r="AM332" s="7">
        <v>104.0</v>
      </c>
      <c r="AN332" s="7">
        <v>18.0</v>
      </c>
      <c r="AO332" s="7">
        <v>30.7</v>
      </c>
      <c r="AP332" s="9">
        <f t="shared" ref="AP332:AR332" si="1037">AG332/$AF332</f>
        <v>117.5612903</v>
      </c>
      <c r="AQ332" s="9">
        <f t="shared" si="1037"/>
        <v>39.07580645</v>
      </c>
      <c r="AR332" s="9">
        <f t="shared" si="1037"/>
        <v>52.57580645</v>
      </c>
      <c r="AS332" s="9">
        <f t="shared" si="11"/>
        <v>91.6516129</v>
      </c>
      <c r="AT332" s="9">
        <f t="shared" ref="AT332:AV332" si="1038">AJ332/$AF332</f>
        <v>21.44516129</v>
      </c>
      <c r="AU332" s="9">
        <f t="shared" si="1038"/>
        <v>3.532258065</v>
      </c>
      <c r="AV332" s="9">
        <f t="shared" si="1038"/>
        <v>0.9306451613</v>
      </c>
      <c r="AW332" s="9">
        <f t="shared" si="13"/>
        <v>4.462903226</v>
      </c>
      <c r="AX332" s="9">
        <f t="shared" ref="AX332:AY332" si="1039">AM332/$AF332</f>
        <v>1.677419355</v>
      </c>
      <c r="AY332" s="9">
        <f t="shared" si="1039"/>
        <v>0.2903225806</v>
      </c>
      <c r="AZ332" s="9">
        <f>VLOOKUP(A332,Jogos!A:BN,58,0)</f>
        <v>26.525</v>
      </c>
      <c r="BA332" s="9">
        <f>VLOOKUP(A332,Jogos!A:BN,59,0)</f>
        <v>10.915</v>
      </c>
      <c r="BB332" s="9">
        <f>VLOOKUP(A332,Jogos!A:BN,60,0)</f>
        <v>37</v>
      </c>
      <c r="BC332" s="9">
        <f>VLOOKUP(A332,Jogos!A:BN,61,0)</f>
        <v>25.12</v>
      </c>
      <c r="BD332" s="9">
        <f>VLOOKUP(A332,Jogos!A:BN,62,0)</f>
        <v>161.1</v>
      </c>
      <c r="BE332" s="9">
        <f>VLOOKUP(A332,Jogos!A:BN,63,0)</f>
        <v>1.07</v>
      </c>
      <c r="BF332" s="9">
        <f>VLOOKUP(A332,Jogos!A:BN,64,0)</f>
        <v>19.63</v>
      </c>
      <c r="BG332" s="9">
        <f>VLOOKUP(A332,Jogos!A:BN,65,0)</f>
        <v>38.52</v>
      </c>
      <c r="BH332" s="9">
        <f>VLOOKUP(A332,Jogos!A:BN,66,0)</f>
        <v>24.1</v>
      </c>
      <c r="BI332" s="9"/>
    </row>
    <row r="333" hidden="1">
      <c r="A333" s="2">
        <v>12.0</v>
      </c>
      <c r="B333" s="11" t="s">
        <v>623</v>
      </c>
      <c r="C333" s="2" t="s">
        <v>61</v>
      </c>
      <c r="D333" s="3">
        <v>45825.0</v>
      </c>
      <c r="E333" s="4">
        <v>0.75</v>
      </c>
      <c r="F333" s="5" t="str">
        <f>VLOOKUP(A333,Jogos!A:N,10,0)</f>
        <v>Evening</v>
      </c>
      <c r="G333" s="2" t="s">
        <v>186</v>
      </c>
      <c r="H333" s="6" t="str">
        <f>VLOOKUP(A333,Jogos!A:L,12,0)</f>
        <v>Open</v>
      </c>
      <c r="I333" s="6" t="str">
        <f>VLOOKUP(G333,'Estádios e Cidades'!A:B,2,0)</f>
        <v>Pasadena</v>
      </c>
      <c r="J333" s="2" t="s">
        <v>747</v>
      </c>
      <c r="K333" s="2" t="str">
        <f>VLOOKUP(J333,Equipes!A:F,6,0)</f>
        <v>Tropical</v>
      </c>
      <c r="L333" s="2">
        <f>VLOOKUP(J333,Equipes!A:C,3,0)</f>
        <v>15</v>
      </c>
      <c r="M333" s="2" t="str">
        <f t="shared" si="4"/>
        <v>Round of 16</v>
      </c>
      <c r="N333" s="2" t="s">
        <v>748</v>
      </c>
      <c r="O333" s="2">
        <f>VLOOKUP(N333,Equipes!A:C,3,0)</f>
        <v>12</v>
      </c>
      <c r="P333" s="2" t="str">
        <f t="shared" si="5"/>
        <v>Round of 16</v>
      </c>
      <c r="Q333" s="2">
        <f t="shared" si="6"/>
        <v>3</v>
      </c>
      <c r="R333" s="2" t="str">
        <f>VLOOKUP(J333,Equipes!A:B,2,0)</f>
        <v>Monterrey</v>
      </c>
      <c r="S333" s="6" t="s">
        <v>759</v>
      </c>
      <c r="T333" s="7">
        <v>10.0</v>
      </c>
      <c r="U333" s="7" t="s">
        <v>760</v>
      </c>
      <c r="V333" s="7" t="str">
        <f>VLOOKUP(U333,Jogadores!B:C,2,0)</f>
        <v>MF</v>
      </c>
      <c r="W333" s="8">
        <f>VLOOKUP(U333,Jogadores!B:D,3,0)</f>
        <v>34.46849315</v>
      </c>
      <c r="X333" s="7">
        <v>0.0</v>
      </c>
      <c r="Y333" s="7">
        <v>90.0</v>
      </c>
      <c r="Z333" s="7">
        <f>VLOOKUP(A333,Jogos!A:L,3,0)</f>
        <v>49</v>
      </c>
      <c r="AA333" s="7">
        <f t="shared" si="7"/>
        <v>49</v>
      </c>
      <c r="AB333" s="7">
        <f>VLOOKUP(A333,Jogos!A:L,4,0)</f>
        <v>51</v>
      </c>
      <c r="AC333" s="7">
        <f t="shared" si="657"/>
        <v>45</v>
      </c>
      <c r="AD333" s="7"/>
      <c r="AE333" s="7"/>
      <c r="AF333" s="7">
        <f t="shared" si="9"/>
        <v>94</v>
      </c>
      <c r="AG333" s="7">
        <v>10827.8</v>
      </c>
      <c r="AH333" s="7">
        <v>3545.8</v>
      </c>
      <c r="AI333" s="7">
        <v>4998.6</v>
      </c>
      <c r="AJ333" s="7">
        <v>1748.4</v>
      </c>
      <c r="AK333" s="7">
        <v>426.5</v>
      </c>
      <c r="AL333" s="7">
        <v>108.5</v>
      </c>
      <c r="AM333" s="7">
        <v>157.0</v>
      </c>
      <c r="AN333" s="7">
        <v>37.0</v>
      </c>
      <c r="AO333" s="7">
        <v>30.4</v>
      </c>
      <c r="AP333" s="9">
        <f t="shared" ref="AP333:AR333" si="1040">AG333/$AF333</f>
        <v>115.1893617</v>
      </c>
      <c r="AQ333" s="9">
        <f t="shared" si="1040"/>
        <v>37.7212766</v>
      </c>
      <c r="AR333" s="9">
        <f t="shared" si="1040"/>
        <v>53.17659574</v>
      </c>
      <c r="AS333" s="9">
        <f t="shared" si="11"/>
        <v>90.89787234</v>
      </c>
      <c r="AT333" s="9">
        <f t="shared" ref="AT333:AV333" si="1041">AJ333/$AF333</f>
        <v>18.6</v>
      </c>
      <c r="AU333" s="9">
        <f t="shared" si="1041"/>
        <v>4.537234043</v>
      </c>
      <c r="AV333" s="9">
        <f t="shared" si="1041"/>
        <v>1.154255319</v>
      </c>
      <c r="AW333" s="9">
        <f t="shared" si="13"/>
        <v>5.691489362</v>
      </c>
      <c r="AX333" s="9">
        <f t="shared" ref="AX333:AY333" si="1042">AM333/$AF333</f>
        <v>1.670212766</v>
      </c>
      <c r="AY333" s="9">
        <f t="shared" si="1042"/>
        <v>0.3936170213</v>
      </c>
      <c r="AZ333" s="9">
        <f>VLOOKUP(A333,Jogos!A:BN,58,0)</f>
        <v>26.525</v>
      </c>
      <c r="BA333" s="9">
        <f>VLOOKUP(A333,Jogos!A:BN,59,0)</f>
        <v>10.915</v>
      </c>
      <c r="BB333" s="9">
        <f>VLOOKUP(A333,Jogos!A:BN,60,0)</f>
        <v>37</v>
      </c>
      <c r="BC333" s="9">
        <f>VLOOKUP(A333,Jogos!A:BN,61,0)</f>
        <v>25.12</v>
      </c>
      <c r="BD333" s="9">
        <f>VLOOKUP(A333,Jogos!A:BN,62,0)</f>
        <v>161.1</v>
      </c>
      <c r="BE333" s="9">
        <f>VLOOKUP(A333,Jogos!A:BN,63,0)</f>
        <v>1.07</v>
      </c>
      <c r="BF333" s="9">
        <f>VLOOKUP(A333,Jogos!A:BN,64,0)</f>
        <v>19.63</v>
      </c>
      <c r="BG333" s="9">
        <f>VLOOKUP(A333,Jogos!A:BN,65,0)</f>
        <v>38.52</v>
      </c>
      <c r="BH333" s="9">
        <f>VLOOKUP(A333,Jogos!A:BN,66,0)</f>
        <v>24.1</v>
      </c>
      <c r="BI333" s="9"/>
    </row>
    <row r="334" hidden="1">
      <c r="A334" s="2">
        <v>12.0</v>
      </c>
      <c r="B334" s="11" t="s">
        <v>623</v>
      </c>
      <c r="C334" s="2" t="s">
        <v>61</v>
      </c>
      <c r="D334" s="3">
        <v>45825.0</v>
      </c>
      <c r="E334" s="4">
        <v>0.75</v>
      </c>
      <c r="F334" s="5" t="str">
        <f>VLOOKUP(A334,Jogos!A:N,10,0)</f>
        <v>Evening</v>
      </c>
      <c r="G334" s="2" t="s">
        <v>186</v>
      </c>
      <c r="H334" s="6" t="str">
        <f>VLOOKUP(A334,Jogos!A:L,12,0)</f>
        <v>Open</v>
      </c>
      <c r="I334" s="6" t="str">
        <f>VLOOKUP(G334,'Estádios e Cidades'!A:B,2,0)</f>
        <v>Pasadena</v>
      </c>
      <c r="J334" s="2" t="s">
        <v>747</v>
      </c>
      <c r="K334" s="2" t="str">
        <f>VLOOKUP(J334,Equipes!A:F,6,0)</f>
        <v>Tropical</v>
      </c>
      <c r="L334" s="2">
        <f>VLOOKUP(J334,Equipes!A:C,3,0)</f>
        <v>15</v>
      </c>
      <c r="M334" s="2" t="str">
        <f t="shared" si="4"/>
        <v>Round of 16</v>
      </c>
      <c r="N334" s="2" t="s">
        <v>748</v>
      </c>
      <c r="O334" s="2">
        <f>VLOOKUP(N334,Equipes!A:C,3,0)</f>
        <v>12</v>
      </c>
      <c r="P334" s="2" t="str">
        <f t="shared" si="5"/>
        <v>Round of 16</v>
      </c>
      <c r="Q334" s="2">
        <f t="shared" si="6"/>
        <v>3</v>
      </c>
      <c r="R334" s="2" t="str">
        <f>VLOOKUP(J334,Equipes!A:B,2,0)</f>
        <v>Monterrey</v>
      </c>
      <c r="S334" s="6" t="s">
        <v>761</v>
      </c>
      <c r="T334" s="7">
        <v>29.0</v>
      </c>
      <c r="U334" s="7" t="s">
        <v>762</v>
      </c>
      <c r="V334" s="7" t="str">
        <f>VLOOKUP(U334,Jogadores!B:C,2,0)</f>
        <v>MF</v>
      </c>
      <c r="W334" s="8">
        <f>VLOOKUP(U334,Jogadores!B:D,3,0)</f>
        <v>31.06849315</v>
      </c>
      <c r="X334" s="7">
        <v>0.0</v>
      </c>
      <c r="Y334" s="7">
        <v>90.0</v>
      </c>
      <c r="Z334" s="7">
        <f>VLOOKUP(A334,Jogos!A:L,3,0)</f>
        <v>49</v>
      </c>
      <c r="AA334" s="7">
        <f t="shared" si="7"/>
        <v>49</v>
      </c>
      <c r="AB334" s="7">
        <f>VLOOKUP(A334,Jogos!A:L,4,0)</f>
        <v>51</v>
      </c>
      <c r="AC334" s="7">
        <f t="shared" si="657"/>
        <v>45</v>
      </c>
      <c r="AD334" s="7"/>
      <c r="AE334" s="7"/>
      <c r="AF334" s="7">
        <f t="shared" si="9"/>
        <v>94</v>
      </c>
      <c r="AG334" s="7">
        <v>9402.0</v>
      </c>
      <c r="AH334" s="7">
        <v>4382.7</v>
      </c>
      <c r="AI334" s="7">
        <v>2877.6</v>
      </c>
      <c r="AJ334" s="7">
        <v>1162.5</v>
      </c>
      <c r="AK334" s="7">
        <v>674.8</v>
      </c>
      <c r="AL334" s="7">
        <v>304.4</v>
      </c>
      <c r="AM334" s="7">
        <v>110.0</v>
      </c>
      <c r="AN334" s="7">
        <v>55.0</v>
      </c>
      <c r="AO334" s="7">
        <v>31.3</v>
      </c>
      <c r="AP334" s="9">
        <f t="shared" ref="AP334:AR334" si="1043">AG334/$AF334</f>
        <v>100.0212766</v>
      </c>
      <c r="AQ334" s="9">
        <f t="shared" si="1043"/>
        <v>46.62446809</v>
      </c>
      <c r="AR334" s="9">
        <f t="shared" si="1043"/>
        <v>30.61276596</v>
      </c>
      <c r="AS334" s="9">
        <f t="shared" si="11"/>
        <v>77.23723404</v>
      </c>
      <c r="AT334" s="9">
        <f t="shared" ref="AT334:AV334" si="1044">AJ334/$AF334</f>
        <v>12.36702128</v>
      </c>
      <c r="AU334" s="9">
        <f t="shared" si="1044"/>
        <v>7.178723404</v>
      </c>
      <c r="AV334" s="9">
        <f t="shared" si="1044"/>
        <v>3.238297872</v>
      </c>
      <c r="AW334" s="9">
        <f t="shared" si="13"/>
        <v>10.41702128</v>
      </c>
      <c r="AX334" s="9">
        <f t="shared" ref="AX334:AY334" si="1045">AM334/$AF334</f>
        <v>1.170212766</v>
      </c>
      <c r="AY334" s="9">
        <f t="shared" si="1045"/>
        <v>0.585106383</v>
      </c>
      <c r="AZ334" s="9">
        <f>VLOOKUP(A334,Jogos!A:BN,58,0)</f>
        <v>26.525</v>
      </c>
      <c r="BA334" s="9">
        <f>VLOOKUP(A334,Jogos!A:BN,59,0)</f>
        <v>10.915</v>
      </c>
      <c r="BB334" s="9">
        <f>VLOOKUP(A334,Jogos!A:BN,60,0)</f>
        <v>37</v>
      </c>
      <c r="BC334" s="9">
        <f>VLOOKUP(A334,Jogos!A:BN,61,0)</f>
        <v>25.12</v>
      </c>
      <c r="BD334" s="9">
        <f>VLOOKUP(A334,Jogos!A:BN,62,0)</f>
        <v>161.1</v>
      </c>
      <c r="BE334" s="9">
        <f>VLOOKUP(A334,Jogos!A:BN,63,0)</f>
        <v>1.07</v>
      </c>
      <c r="BF334" s="9">
        <f>VLOOKUP(A334,Jogos!A:BN,64,0)</f>
        <v>19.63</v>
      </c>
      <c r="BG334" s="9">
        <f>VLOOKUP(A334,Jogos!A:BN,65,0)</f>
        <v>38.52</v>
      </c>
      <c r="BH334" s="9">
        <f>VLOOKUP(A334,Jogos!A:BN,66,0)</f>
        <v>24.1</v>
      </c>
      <c r="BI334" s="9"/>
    </row>
    <row r="335" hidden="1">
      <c r="A335" s="2">
        <v>12.0</v>
      </c>
      <c r="B335" s="11" t="s">
        <v>623</v>
      </c>
      <c r="C335" s="2" t="s">
        <v>61</v>
      </c>
      <c r="D335" s="3">
        <v>45825.0</v>
      </c>
      <c r="E335" s="4">
        <v>0.75</v>
      </c>
      <c r="F335" s="5" t="str">
        <f>VLOOKUP(A335,Jogos!A:N,10,0)</f>
        <v>Evening</v>
      </c>
      <c r="G335" s="2" t="s">
        <v>186</v>
      </c>
      <c r="H335" s="6" t="str">
        <f>VLOOKUP(A335,Jogos!A:L,12,0)</f>
        <v>Open</v>
      </c>
      <c r="I335" s="6" t="str">
        <f>VLOOKUP(G335,'Estádios e Cidades'!A:B,2,0)</f>
        <v>Pasadena</v>
      </c>
      <c r="J335" s="2" t="s">
        <v>747</v>
      </c>
      <c r="K335" s="2" t="str">
        <f>VLOOKUP(J335,Equipes!A:F,6,0)</f>
        <v>Tropical</v>
      </c>
      <c r="L335" s="2">
        <f>VLOOKUP(J335,Equipes!A:C,3,0)</f>
        <v>15</v>
      </c>
      <c r="M335" s="2" t="str">
        <f t="shared" si="4"/>
        <v>Round of 16</v>
      </c>
      <c r="N335" s="2" t="s">
        <v>748</v>
      </c>
      <c r="O335" s="2">
        <f>VLOOKUP(N335,Equipes!A:C,3,0)</f>
        <v>12</v>
      </c>
      <c r="P335" s="2" t="str">
        <f t="shared" si="5"/>
        <v>Round of 16</v>
      </c>
      <c r="Q335" s="2">
        <f t="shared" si="6"/>
        <v>3</v>
      </c>
      <c r="R335" s="2" t="str">
        <f>VLOOKUP(J335,Equipes!A:B,2,0)</f>
        <v>Monterrey</v>
      </c>
      <c r="S335" s="6" t="s">
        <v>763</v>
      </c>
      <c r="T335" s="7">
        <v>30.0</v>
      </c>
      <c r="U335" s="7" t="s">
        <v>764</v>
      </c>
      <c r="V335" s="7" t="str">
        <f>VLOOKUP(U335,Jogadores!B:C,2,0)</f>
        <v>MF</v>
      </c>
      <c r="W335" s="8">
        <f>VLOOKUP(U335,Jogadores!B:D,3,0)</f>
        <v>29.88767123</v>
      </c>
      <c r="X335" s="7">
        <v>0.0</v>
      </c>
      <c r="Y335" s="7">
        <f t="shared" ref="Y335:Y344" si="1049">45+AB335</f>
        <v>96</v>
      </c>
      <c r="Z335" s="7">
        <f>VLOOKUP(A335,Jogos!A:L,3,0)</f>
        <v>49</v>
      </c>
      <c r="AA335" s="7">
        <f t="shared" si="7"/>
        <v>49</v>
      </c>
      <c r="AB335" s="7">
        <f>VLOOKUP(A335,Jogos!A:L,4,0)</f>
        <v>51</v>
      </c>
      <c r="AC335" s="7">
        <f t="shared" si="657"/>
        <v>51</v>
      </c>
      <c r="AD335" s="7"/>
      <c r="AE335" s="7"/>
      <c r="AF335" s="7">
        <f t="shared" si="9"/>
        <v>100</v>
      </c>
      <c r="AG335" s="7">
        <v>11158.9</v>
      </c>
      <c r="AH335" s="7">
        <v>3386.1</v>
      </c>
      <c r="AI335" s="7">
        <v>5492.5</v>
      </c>
      <c r="AJ335" s="7">
        <v>1751.5</v>
      </c>
      <c r="AK335" s="7">
        <v>451.6</v>
      </c>
      <c r="AL335" s="7">
        <v>77.1</v>
      </c>
      <c r="AM335" s="7">
        <v>141.0</v>
      </c>
      <c r="AN335" s="7">
        <v>35.0</v>
      </c>
      <c r="AO335" s="7">
        <v>28.8</v>
      </c>
      <c r="AP335" s="9">
        <f t="shared" ref="AP335:AR335" si="1046">AG335/$AF335</f>
        <v>111.589</v>
      </c>
      <c r="AQ335" s="9">
        <f t="shared" si="1046"/>
        <v>33.861</v>
      </c>
      <c r="AR335" s="9">
        <f t="shared" si="1046"/>
        <v>54.925</v>
      </c>
      <c r="AS335" s="9">
        <f t="shared" si="11"/>
        <v>88.786</v>
      </c>
      <c r="AT335" s="9">
        <f t="shared" ref="AT335:AV335" si="1047">AJ335/$AF335</f>
        <v>17.515</v>
      </c>
      <c r="AU335" s="9">
        <f t="shared" si="1047"/>
        <v>4.516</v>
      </c>
      <c r="AV335" s="9">
        <f t="shared" si="1047"/>
        <v>0.771</v>
      </c>
      <c r="AW335" s="9">
        <f t="shared" si="13"/>
        <v>5.287</v>
      </c>
      <c r="AX335" s="9">
        <f t="shared" ref="AX335:AY335" si="1048">AM335/$AF335</f>
        <v>1.41</v>
      </c>
      <c r="AY335" s="9">
        <f t="shared" si="1048"/>
        <v>0.35</v>
      </c>
      <c r="AZ335" s="9">
        <f>VLOOKUP(A335,Jogos!A:BN,58,0)</f>
        <v>26.525</v>
      </c>
      <c r="BA335" s="9">
        <f>VLOOKUP(A335,Jogos!A:BN,59,0)</f>
        <v>10.915</v>
      </c>
      <c r="BB335" s="9">
        <f>VLOOKUP(A335,Jogos!A:BN,60,0)</f>
        <v>37</v>
      </c>
      <c r="BC335" s="9">
        <f>VLOOKUP(A335,Jogos!A:BN,61,0)</f>
        <v>25.12</v>
      </c>
      <c r="BD335" s="9">
        <f>VLOOKUP(A335,Jogos!A:BN,62,0)</f>
        <v>161.1</v>
      </c>
      <c r="BE335" s="9">
        <f>VLOOKUP(A335,Jogos!A:BN,63,0)</f>
        <v>1.07</v>
      </c>
      <c r="BF335" s="9">
        <f>VLOOKUP(A335,Jogos!A:BN,64,0)</f>
        <v>19.63</v>
      </c>
      <c r="BG335" s="9">
        <f>VLOOKUP(A335,Jogos!A:BN,65,0)</f>
        <v>38.52</v>
      </c>
      <c r="BH335" s="9">
        <f>VLOOKUP(A335,Jogos!A:BN,66,0)</f>
        <v>24.1</v>
      </c>
      <c r="BI335" s="9"/>
    </row>
    <row r="336" hidden="1">
      <c r="A336" s="2">
        <v>12.0</v>
      </c>
      <c r="B336" s="11" t="s">
        <v>623</v>
      </c>
      <c r="C336" s="2" t="s">
        <v>61</v>
      </c>
      <c r="D336" s="3">
        <v>45825.0</v>
      </c>
      <c r="E336" s="4">
        <v>0.75</v>
      </c>
      <c r="F336" s="5" t="str">
        <f>VLOOKUP(A336,Jogos!A:N,10,0)</f>
        <v>Evening</v>
      </c>
      <c r="G336" s="2" t="s">
        <v>186</v>
      </c>
      <c r="H336" s="6" t="str">
        <f>VLOOKUP(A336,Jogos!A:L,12,0)</f>
        <v>Open</v>
      </c>
      <c r="I336" s="6" t="str">
        <f>VLOOKUP(G336,'Estádios e Cidades'!A:B,2,0)</f>
        <v>Pasadena</v>
      </c>
      <c r="J336" s="2" t="s">
        <v>747</v>
      </c>
      <c r="K336" s="2" t="str">
        <f>VLOOKUP(J336,Equipes!A:F,6,0)</f>
        <v>Tropical</v>
      </c>
      <c r="L336" s="2">
        <f>VLOOKUP(J336,Equipes!A:C,3,0)</f>
        <v>15</v>
      </c>
      <c r="M336" s="2" t="str">
        <f t="shared" si="4"/>
        <v>Round of 16</v>
      </c>
      <c r="N336" s="2" t="s">
        <v>748</v>
      </c>
      <c r="O336" s="2">
        <f>VLOOKUP(N336,Equipes!A:C,3,0)</f>
        <v>12</v>
      </c>
      <c r="P336" s="2" t="str">
        <f t="shared" si="5"/>
        <v>Round of 16</v>
      </c>
      <c r="Q336" s="2">
        <f t="shared" si="6"/>
        <v>3</v>
      </c>
      <c r="R336" s="2" t="str">
        <f>VLOOKUP(J336,Equipes!A:B,2,0)</f>
        <v>Monterrey</v>
      </c>
      <c r="S336" s="6" t="s">
        <v>765</v>
      </c>
      <c r="T336" s="7">
        <v>33.0</v>
      </c>
      <c r="U336" s="7" t="s">
        <v>766</v>
      </c>
      <c r="V336" s="7" t="str">
        <f>VLOOKUP(U336,Jogadores!B:C,2,0)</f>
        <v>DF</v>
      </c>
      <c r="W336" s="8">
        <f>VLOOKUP(U336,Jogadores!B:D,3,0)</f>
        <v>33.14246575</v>
      </c>
      <c r="X336" s="7">
        <v>0.0</v>
      </c>
      <c r="Y336" s="7">
        <f t="shared" si="1049"/>
        <v>96</v>
      </c>
      <c r="Z336" s="7">
        <f>VLOOKUP(A336,Jogos!A:L,3,0)</f>
        <v>49</v>
      </c>
      <c r="AA336" s="7">
        <f t="shared" si="7"/>
        <v>49</v>
      </c>
      <c r="AB336" s="7">
        <f>VLOOKUP(A336,Jogos!A:L,4,0)</f>
        <v>51</v>
      </c>
      <c r="AC336" s="7">
        <f t="shared" si="657"/>
        <v>51</v>
      </c>
      <c r="AD336" s="7"/>
      <c r="AE336" s="7"/>
      <c r="AF336" s="7">
        <f t="shared" si="9"/>
        <v>100</v>
      </c>
      <c r="AG336" s="7">
        <v>9690.5</v>
      </c>
      <c r="AH336" s="7">
        <v>3996.8</v>
      </c>
      <c r="AI336" s="7">
        <v>3901.2</v>
      </c>
      <c r="AJ336" s="7">
        <v>1157.5</v>
      </c>
      <c r="AK336" s="7">
        <v>482.1</v>
      </c>
      <c r="AL336" s="7">
        <v>152.9</v>
      </c>
      <c r="AM336" s="7">
        <v>104.0</v>
      </c>
      <c r="AN336" s="7">
        <v>39.0</v>
      </c>
      <c r="AO336" s="7">
        <v>30.2</v>
      </c>
      <c r="AP336" s="9">
        <f t="shared" ref="AP336:AR336" si="1050">AG336/$AF336</f>
        <v>96.905</v>
      </c>
      <c r="AQ336" s="9">
        <f t="shared" si="1050"/>
        <v>39.968</v>
      </c>
      <c r="AR336" s="9">
        <f t="shared" si="1050"/>
        <v>39.012</v>
      </c>
      <c r="AS336" s="9">
        <f t="shared" si="11"/>
        <v>78.98</v>
      </c>
      <c r="AT336" s="9">
        <f t="shared" ref="AT336:AV336" si="1051">AJ336/$AF336</f>
        <v>11.575</v>
      </c>
      <c r="AU336" s="9">
        <f t="shared" si="1051"/>
        <v>4.821</v>
      </c>
      <c r="AV336" s="9">
        <f t="shared" si="1051"/>
        <v>1.529</v>
      </c>
      <c r="AW336" s="9">
        <f t="shared" si="13"/>
        <v>6.35</v>
      </c>
      <c r="AX336" s="9">
        <f t="shared" ref="AX336:AY336" si="1052">AM336/$AF336</f>
        <v>1.04</v>
      </c>
      <c r="AY336" s="9">
        <f t="shared" si="1052"/>
        <v>0.39</v>
      </c>
      <c r="AZ336" s="9">
        <f>VLOOKUP(A336,Jogos!A:BN,58,0)</f>
        <v>26.525</v>
      </c>
      <c r="BA336" s="9">
        <f>VLOOKUP(A336,Jogos!A:BN,59,0)</f>
        <v>10.915</v>
      </c>
      <c r="BB336" s="9">
        <f>VLOOKUP(A336,Jogos!A:BN,60,0)</f>
        <v>37</v>
      </c>
      <c r="BC336" s="9">
        <f>VLOOKUP(A336,Jogos!A:BN,61,0)</f>
        <v>25.12</v>
      </c>
      <c r="BD336" s="9">
        <f>VLOOKUP(A336,Jogos!A:BN,62,0)</f>
        <v>161.1</v>
      </c>
      <c r="BE336" s="9">
        <f>VLOOKUP(A336,Jogos!A:BN,63,0)</f>
        <v>1.07</v>
      </c>
      <c r="BF336" s="9">
        <f>VLOOKUP(A336,Jogos!A:BN,64,0)</f>
        <v>19.63</v>
      </c>
      <c r="BG336" s="9">
        <f>VLOOKUP(A336,Jogos!A:BN,65,0)</f>
        <v>38.52</v>
      </c>
      <c r="BH336" s="9">
        <f>VLOOKUP(A336,Jogos!A:BN,66,0)</f>
        <v>24.1</v>
      </c>
      <c r="BI336" s="9"/>
    </row>
    <row r="337" hidden="1">
      <c r="A337" s="2">
        <v>12.0</v>
      </c>
      <c r="B337" s="11" t="s">
        <v>623</v>
      </c>
      <c r="C337" s="2" t="s">
        <v>61</v>
      </c>
      <c r="D337" s="3">
        <v>45825.0</v>
      </c>
      <c r="E337" s="4">
        <v>0.75</v>
      </c>
      <c r="F337" s="5" t="str">
        <f>VLOOKUP(A337,Jogos!A:N,10,0)</f>
        <v>Evening</v>
      </c>
      <c r="G337" s="2" t="s">
        <v>186</v>
      </c>
      <c r="H337" s="6" t="str">
        <f>VLOOKUP(A337,Jogos!A:L,12,0)</f>
        <v>Open</v>
      </c>
      <c r="I337" s="6" t="str">
        <f>VLOOKUP(G337,'Estádios e Cidades'!A:B,2,0)</f>
        <v>Pasadena</v>
      </c>
      <c r="J337" s="2" t="s">
        <v>747</v>
      </c>
      <c r="K337" s="2" t="str">
        <f>VLOOKUP(J337,Equipes!A:F,6,0)</f>
        <v>Tropical</v>
      </c>
      <c r="L337" s="2">
        <f>VLOOKUP(J337,Equipes!A:C,3,0)</f>
        <v>15</v>
      </c>
      <c r="M337" s="2" t="str">
        <f t="shared" si="4"/>
        <v>Round of 16</v>
      </c>
      <c r="N337" s="2" t="s">
        <v>748</v>
      </c>
      <c r="O337" s="2">
        <f>VLOOKUP(N337,Equipes!A:C,3,0)</f>
        <v>12</v>
      </c>
      <c r="P337" s="2" t="str">
        <f t="shared" si="5"/>
        <v>Round of 16</v>
      </c>
      <c r="Q337" s="2">
        <f t="shared" si="6"/>
        <v>3</v>
      </c>
      <c r="R337" s="2" t="str">
        <f>VLOOKUP(J337,Equipes!A:B,2,0)</f>
        <v>Monterrey</v>
      </c>
      <c r="S337" s="6" t="s">
        <v>767</v>
      </c>
      <c r="T337" s="7">
        <v>93.0</v>
      </c>
      <c r="U337" s="7" t="s">
        <v>768</v>
      </c>
      <c r="V337" s="7" t="str">
        <f>VLOOKUP(U337,Jogadores!B:C,2,0)</f>
        <v>DF</v>
      </c>
      <c r="W337" s="8">
        <f>VLOOKUP(U337,Jogadores!B:D,3,0)</f>
        <v>39.35616438</v>
      </c>
      <c r="X337" s="7">
        <v>0.0</v>
      </c>
      <c r="Y337" s="7">
        <f t="shared" si="1049"/>
        <v>96</v>
      </c>
      <c r="Z337" s="7">
        <f>VLOOKUP(A337,Jogos!A:L,3,0)</f>
        <v>49</v>
      </c>
      <c r="AA337" s="7">
        <f t="shared" si="7"/>
        <v>49</v>
      </c>
      <c r="AB337" s="7">
        <f>VLOOKUP(A337,Jogos!A:L,4,0)</f>
        <v>51</v>
      </c>
      <c r="AC337" s="7">
        <f t="shared" si="657"/>
        <v>51</v>
      </c>
      <c r="AD337" s="7"/>
      <c r="AE337" s="7"/>
      <c r="AF337" s="7">
        <f t="shared" si="9"/>
        <v>100</v>
      </c>
      <c r="AG337" s="7">
        <v>9659.2</v>
      </c>
      <c r="AH337" s="7">
        <v>4187.6</v>
      </c>
      <c r="AI337" s="7">
        <v>4056.7</v>
      </c>
      <c r="AJ337" s="7">
        <v>954.0</v>
      </c>
      <c r="AK337" s="7">
        <v>412.9</v>
      </c>
      <c r="AL337" s="7">
        <v>48.1</v>
      </c>
      <c r="AM337" s="7">
        <v>89.0</v>
      </c>
      <c r="AN337" s="7">
        <v>32.0</v>
      </c>
      <c r="AO337" s="7">
        <v>27.5</v>
      </c>
      <c r="AP337" s="9">
        <f t="shared" ref="AP337:AR337" si="1053">AG337/$AF337</f>
        <v>96.592</v>
      </c>
      <c r="AQ337" s="9">
        <f t="shared" si="1053"/>
        <v>41.876</v>
      </c>
      <c r="AR337" s="9">
        <f t="shared" si="1053"/>
        <v>40.567</v>
      </c>
      <c r="AS337" s="9">
        <f t="shared" si="11"/>
        <v>82.443</v>
      </c>
      <c r="AT337" s="9">
        <f t="shared" ref="AT337:AV337" si="1054">AJ337/$AF337</f>
        <v>9.54</v>
      </c>
      <c r="AU337" s="9">
        <f t="shared" si="1054"/>
        <v>4.129</v>
      </c>
      <c r="AV337" s="9">
        <f t="shared" si="1054"/>
        <v>0.481</v>
      </c>
      <c r="AW337" s="9">
        <f t="shared" si="13"/>
        <v>4.61</v>
      </c>
      <c r="AX337" s="9">
        <f t="shared" ref="AX337:AY337" si="1055">AM337/$AF337</f>
        <v>0.89</v>
      </c>
      <c r="AY337" s="9">
        <f t="shared" si="1055"/>
        <v>0.32</v>
      </c>
      <c r="AZ337" s="9">
        <f>VLOOKUP(A337,Jogos!A:BN,58,0)</f>
        <v>26.525</v>
      </c>
      <c r="BA337" s="9">
        <f>VLOOKUP(A337,Jogos!A:BN,59,0)</f>
        <v>10.915</v>
      </c>
      <c r="BB337" s="9">
        <f>VLOOKUP(A337,Jogos!A:BN,60,0)</f>
        <v>37</v>
      </c>
      <c r="BC337" s="9">
        <f>VLOOKUP(A337,Jogos!A:BN,61,0)</f>
        <v>25.12</v>
      </c>
      <c r="BD337" s="9">
        <f>VLOOKUP(A337,Jogos!A:BN,62,0)</f>
        <v>161.1</v>
      </c>
      <c r="BE337" s="9">
        <f>VLOOKUP(A337,Jogos!A:BN,63,0)</f>
        <v>1.07</v>
      </c>
      <c r="BF337" s="9">
        <f>VLOOKUP(A337,Jogos!A:BN,64,0)</f>
        <v>19.63</v>
      </c>
      <c r="BG337" s="9">
        <f>VLOOKUP(A337,Jogos!A:BN,65,0)</f>
        <v>38.52</v>
      </c>
      <c r="BH337" s="9">
        <f>VLOOKUP(A337,Jogos!A:BN,66,0)</f>
        <v>24.1</v>
      </c>
      <c r="BI337" s="9"/>
    </row>
    <row r="338" hidden="1">
      <c r="A338" s="2">
        <v>12.0</v>
      </c>
      <c r="B338" s="11" t="s">
        <v>623</v>
      </c>
      <c r="C338" s="2" t="s">
        <v>61</v>
      </c>
      <c r="D338" s="3">
        <v>45825.0</v>
      </c>
      <c r="E338" s="4">
        <v>0.75</v>
      </c>
      <c r="F338" s="5" t="str">
        <f>VLOOKUP(A338,Jogos!A:N,10,0)</f>
        <v>Evening</v>
      </c>
      <c r="G338" s="2" t="s">
        <v>186</v>
      </c>
      <c r="H338" s="6" t="str">
        <f>VLOOKUP(A338,Jogos!A:L,12,0)</f>
        <v>Open</v>
      </c>
      <c r="I338" s="6" t="str">
        <f>VLOOKUP(G338,'Estádios e Cidades'!A:B,2,0)</f>
        <v>Pasadena</v>
      </c>
      <c r="J338" s="2" t="s">
        <v>747</v>
      </c>
      <c r="K338" s="2" t="str">
        <f>VLOOKUP(J338,Equipes!A:F,6,0)</f>
        <v>Tropical</v>
      </c>
      <c r="L338" s="2">
        <f>VLOOKUP(J338,Equipes!A:C,3,0)</f>
        <v>15</v>
      </c>
      <c r="M338" s="2" t="str">
        <f t="shared" si="4"/>
        <v>Round of 16</v>
      </c>
      <c r="N338" s="2" t="s">
        <v>748</v>
      </c>
      <c r="O338" s="2">
        <f>VLOOKUP(N338,Equipes!A:C,3,0)</f>
        <v>12</v>
      </c>
      <c r="P338" s="2" t="str">
        <f t="shared" si="5"/>
        <v>Round of 16</v>
      </c>
      <c r="Q338" s="2">
        <f t="shared" si="6"/>
        <v>3</v>
      </c>
      <c r="R338" s="2" t="str">
        <f>VLOOKUP(J338,Equipes!A:B,2,0)</f>
        <v>Monterrey</v>
      </c>
      <c r="S338" s="6" t="s">
        <v>769</v>
      </c>
      <c r="T338" s="7">
        <v>5.0</v>
      </c>
      <c r="U338" s="7" t="s">
        <v>770</v>
      </c>
      <c r="V338" s="7" t="str">
        <f>VLOOKUP(U338,Jogadores!B:C,2,0)</f>
        <v>MF</v>
      </c>
      <c r="W338" s="8">
        <f>VLOOKUP(U338,Jogadores!B:D,3,0)</f>
        <v>22.36986301</v>
      </c>
      <c r="X338" s="7">
        <v>79.0</v>
      </c>
      <c r="Y338" s="7">
        <f t="shared" si="1049"/>
        <v>96</v>
      </c>
      <c r="Z338" s="7">
        <f>VLOOKUP(A338,Jogos!A:L,3,0)</f>
        <v>49</v>
      </c>
      <c r="AA338" s="7">
        <f t="shared" si="7"/>
        <v>0</v>
      </c>
      <c r="AB338" s="7">
        <f>VLOOKUP(A338,Jogos!A:L,4,0)</f>
        <v>51</v>
      </c>
      <c r="AC338" s="7">
        <f t="shared" si="657"/>
        <v>17</v>
      </c>
      <c r="AD338" s="7"/>
      <c r="AE338" s="7"/>
      <c r="AF338" s="7">
        <f t="shared" si="9"/>
        <v>17</v>
      </c>
      <c r="AG338" s="7">
        <v>2229.7</v>
      </c>
      <c r="AH338" s="7">
        <v>712.5</v>
      </c>
      <c r="AI338" s="7">
        <v>946.8</v>
      </c>
      <c r="AJ338" s="7">
        <v>368.2</v>
      </c>
      <c r="AK338" s="7">
        <v>165.9</v>
      </c>
      <c r="AL338" s="7">
        <v>36.4</v>
      </c>
      <c r="AM338" s="7">
        <v>31.0</v>
      </c>
      <c r="AN338" s="7">
        <v>11.0</v>
      </c>
      <c r="AO338" s="7">
        <v>28.5</v>
      </c>
      <c r="AP338" s="9">
        <f t="shared" ref="AP338:AR338" si="1056">AG338/$AF338</f>
        <v>131.1588235</v>
      </c>
      <c r="AQ338" s="9">
        <f t="shared" si="1056"/>
        <v>41.91176471</v>
      </c>
      <c r="AR338" s="9">
        <f t="shared" si="1056"/>
        <v>55.69411765</v>
      </c>
      <c r="AS338" s="9">
        <f t="shared" si="11"/>
        <v>97.60588235</v>
      </c>
      <c r="AT338" s="9">
        <f t="shared" ref="AT338:AV338" si="1057">AJ338/$AF338</f>
        <v>21.65882353</v>
      </c>
      <c r="AU338" s="9">
        <f t="shared" si="1057"/>
        <v>9.758823529</v>
      </c>
      <c r="AV338" s="9">
        <f t="shared" si="1057"/>
        <v>2.141176471</v>
      </c>
      <c r="AW338" s="9">
        <f t="shared" si="13"/>
        <v>11.9</v>
      </c>
      <c r="AX338" s="9">
        <f t="shared" ref="AX338:AY338" si="1058">AM338/$AF338</f>
        <v>1.823529412</v>
      </c>
      <c r="AY338" s="9">
        <f t="shared" si="1058"/>
        <v>0.6470588235</v>
      </c>
      <c r="AZ338" s="9">
        <f>VLOOKUP(A338,Jogos!A:BN,58,0)</f>
        <v>26.525</v>
      </c>
      <c r="BA338" s="9">
        <f>VLOOKUP(A338,Jogos!A:BN,59,0)</f>
        <v>10.915</v>
      </c>
      <c r="BB338" s="9">
        <f>VLOOKUP(A338,Jogos!A:BN,60,0)</f>
        <v>37</v>
      </c>
      <c r="BC338" s="9">
        <f>VLOOKUP(A338,Jogos!A:BN,61,0)</f>
        <v>25.12</v>
      </c>
      <c r="BD338" s="9">
        <f>VLOOKUP(A338,Jogos!A:BN,62,0)</f>
        <v>161.1</v>
      </c>
      <c r="BE338" s="9">
        <f>VLOOKUP(A338,Jogos!A:BN,63,0)</f>
        <v>1.07</v>
      </c>
      <c r="BF338" s="9">
        <f>VLOOKUP(A338,Jogos!A:BN,64,0)</f>
        <v>19.63</v>
      </c>
      <c r="BG338" s="9">
        <f>VLOOKUP(A338,Jogos!A:BN,65,0)</f>
        <v>38.52</v>
      </c>
      <c r="BH338" s="9">
        <f>VLOOKUP(A338,Jogos!A:BN,66,0)</f>
        <v>24.1</v>
      </c>
      <c r="BI338" s="9"/>
    </row>
    <row r="339" hidden="1">
      <c r="A339" s="2">
        <v>12.0</v>
      </c>
      <c r="B339" s="11" t="s">
        <v>623</v>
      </c>
      <c r="C339" s="2" t="s">
        <v>61</v>
      </c>
      <c r="D339" s="3">
        <v>45825.0</v>
      </c>
      <c r="E339" s="4">
        <v>0.75</v>
      </c>
      <c r="F339" s="5" t="str">
        <f>VLOOKUP(A339,Jogos!A:N,10,0)</f>
        <v>Evening</v>
      </c>
      <c r="G339" s="2" t="s">
        <v>186</v>
      </c>
      <c r="H339" s="6" t="str">
        <f>VLOOKUP(A339,Jogos!A:L,12,0)</f>
        <v>Open</v>
      </c>
      <c r="I339" s="6" t="str">
        <f>VLOOKUP(G339,'Estádios e Cidades'!A:B,2,0)</f>
        <v>Pasadena</v>
      </c>
      <c r="J339" s="2" t="s">
        <v>747</v>
      </c>
      <c r="K339" s="2" t="str">
        <f>VLOOKUP(J339,Equipes!A:F,6,0)</f>
        <v>Tropical</v>
      </c>
      <c r="L339" s="2">
        <f>VLOOKUP(J339,Equipes!A:C,3,0)</f>
        <v>15</v>
      </c>
      <c r="M339" s="2" t="str">
        <f t="shared" si="4"/>
        <v>Round of 16</v>
      </c>
      <c r="N339" s="2" t="s">
        <v>748</v>
      </c>
      <c r="O339" s="2">
        <f>VLOOKUP(N339,Equipes!A:C,3,0)</f>
        <v>12</v>
      </c>
      <c r="P339" s="2" t="str">
        <f t="shared" si="5"/>
        <v>Round of 16</v>
      </c>
      <c r="Q339" s="2">
        <f t="shared" si="6"/>
        <v>3</v>
      </c>
      <c r="R339" s="2" t="str">
        <f>VLOOKUP(J339,Equipes!A:B,2,0)</f>
        <v>Monterrey</v>
      </c>
      <c r="S339" s="6" t="s">
        <v>771</v>
      </c>
      <c r="T339" s="7">
        <v>6.0</v>
      </c>
      <c r="U339" s="7" t="s">
        <v>772</v>
      </c>
      <c r="V339" s="7" t="str">
        <f>VLOOKUP(U339,Jogadores!B:C,2,0)</f>
        <v>MF</v>
      </c>
      <c r="W339" s="8">
        <f>VLOOKUP(U339,Jogadores!B:D,3,0)</f>
        <v>25.49041096</v>
      </c>
      <c r="X339" s="7">
        <v>58.0</v>
      </c>
      <c r="Y339" s="7">
        <f t="shared" si="1049"/>
        <v>96</v>
      </c>
      <c r="Z339" s="7">
        <f>VLOOKUP(A339,Jogos!A:L,3,0)</f>
        <v>49</v>
      </c>
      <c r="AA339" s="7">
        <f t="shared" si="7"/>
        <v>0</v>
      </c>
      <c r="AB339" s="7">
        <f>VLOOKUP(A339,Jogos!A:L,4,0)</f>
        <v>51</v>
      </c>
      <c r="AC339" s="7">
        <f t="shared" si="657"/>
        <v>38</v>
      </c>
      <c r="AD339" s="7"/>
      <c r="AE339" s="7"/>
      <c r="AF339" s="7">
        <f t="shared" si="9"/>
        <v>38</v>
      </c>
      <c r="AG339" s="7">
        <v>4195.8</v>
      </c>
      <c r="AH339" s="7">
        <v>1446.2</v>
      </c>
      <c r="AI339" s="7">
        <v>1513.0</v>
      </c>
      <c r="AJ339" s="7">
        <v>739.2</v>
      </c>
      <c r="AK339" s="7">
        <v>383.3</v>
      </c>
      <c r="AL339" s="7">
        <v>114.2</v>
      </c>
      <c r="AM339" s="7">
        <v>59.0</v>
      </c>
      <c r="AN339" s="7">
        <v>30.0</v>
      </c>
      <c r="AO339" s="7">
        <v>29.1</v>
      </c>
      <c r="AP339" s="9">
        <f t="shared" ref="AP339:AR339" si="1059">AG339/$AF339</f>
        <v>110.4157895</v>
      </c>
      <c r="AQ339" s="9">
        <f t="shared" si="1059"/>
        <v>38.05789474</v>
      </c>
      <c r="AR339" s="9">
        <f t="shared" si="1059"/>
        <v>39.81578947</v>
      </c>
      <c r="AS339" s="9">
        <f t="shared" si="11"/>
        <v>77.87368421</v>
      </c>
      <c r="AT339" s="9">
        <f t="shared" ref="AT339:AV339" si="1060">AJ339/$AF339</f>
        <v>19.45263158</v>
      </c>
      <c r="AU339" s="9">
        <f t="shared" si="1060"/>
        <v>10.08684211</v>
      </c>
      <c r="AV339" s="9">
        <f t="shared" si="1060"/>
        <v>3.005263158</v>
      </c>
      <c r="AW339" s="9">
        <f t="shared" si="13"/>
        <v>13.09210526</v>
      </c>
      <c r="AX339" s="9">
        <f t="shared" ref="AX339:AY339" si="1061">AM339/$AF339</f>
        <v>1.552631579</v>
      </c>
      <c r="AY339" s="9">
        <f t="shared" si="1061"/>
        <v>0.7894736842</v>
      </c>
      <c r="AZ339" s="9">
        <f>VLOOKUP(A339,Jogos!A:BN,58,0)</f>
        <v>26.525</v>
      </c>
      <c r="BA339" s="9">
        <f>VLOOKUP(A339,Jogos!A:BN,59,0)</f>
        <v>10.915</v>
      </c>
      <c r="BB339" s="9">
        <f>VLOOKUP(A339,Jogos!A:BN,60,0)</f>
        <v>37</v>
      </c>
      <c r="BC339" s="9">
        <f>VLOOKUP(A339,Jogos!A:BN,61,0)</f>
        <v>25.12</v>
      </c>
      <c r="BD339" s="9">
        <f>VLOOKUP(A339,Jogos!A:BN,62,0)</f>
        <v>161.1</v>
      </c>
      <c r="BE339" s="9">
        <f>VLOOKUP(A339,Jogos!A:BN,63,0)</f>
        <v>1.07</v>
      </c>
      <c r="BF339" s="9">
        <f>VLOOKUP(A339,Jogos!A:BN,64,0)</f>
        <v>19.63</v>
      </c>
      <c r="BG339" s="9">
        <f>VLOOKUP(A339,Jogos!A:BN,65,0)</f>
        <v>38.52</v>
      </c>
      <c r="BH339" s="9">
        <f>VLOOKUP(A339,Jogos!A:BN,66,0)</f>
        <v>24.1</v>
      </c>
      <c r="BI339" s="9"/>
    </row>
    <row r="340" hidden="1">
      <c r="A340" s="2">
        <v>12.0</v>
      </c>
      <c r="B340" s="11" t="s">
        <v>623</v>
      </c>
      <c r="C340" s="2" t="s">
        <v>61</v>
      </c>
      <c r="D340" s="3">
        <v>45825.0</v>
      </c>
      <c r="E340" s="4">
        <v>0.75</v>
      </c>
      <c r="F340" s="5" t="str">
        <f>VLOOKUP(A340,Jogos!A:N,10,0)</f>
        <v>Evening</v>
      </c>
      <c r="G340" s="2" t="s">
        <v>186</v>
      </c>
      <c r="H340" s="6" t="str">
        <f>VLOOKUP(A340,Jogos!A:L,12,0)</f>
        <v>Open</v>
      </c>
      <c r="I340" s="6" t="str">
        <f>VLOOKUP(G340,'Estádios e Cidades'!A:B,2,0)</f>
        <v>Pasadena</v>
      </c>
      <c r="J340" s="2" t="s">
        <v>747</v>
      </c>
      <c r="K340" s="2" t="str">
        <f>VLOOKUP(J340,Equipes!A:F,6,0)</f>
        <v>Tropical</v>
      </c>
      <c r="L340" s="2">
        <f>VLOOKUP(J340,Equipes!A:C,3,0)</f>
        <v>15</v>
      </c>
      <c r="M340" s="2" t="str">
        <f t="shared" si="4"/>
        <v>Round of 16</v>
      </c>
      <c r="N340" s="2" t="s">
        <v>748</v>
      </c>
      <c r="O340" s="2">
        <f>VLOOKUP(N340,Equipes!A:C,3,0)</f>
        <v>12</v>
      </c>
      <c r="P340" s="2" t="str">
        <f t="shared" si="5"/>
        <v>Round of 16</v>
      </c>
      <c r="Q340" s="2">
        <f t="shared" si="6"/>
        <v>3</v>
      </c>
      <c r="R340" s="2" t="str">
        <f>VLOOKUP(J340,Equipes!A:B,2,0)</f>
        <v>Monterrey</v>
      </c>
      <c r="S340" s="6" t="s">
        <v>773</v>
      </c>
      <c r="T340" s="7">
        <v>14.0</v>
      </c>
      <c r="U340" s="7" t="s">
        <v>774</v>
      </c>
      <c r="V340" s="7" t="str">
        <f>VLOOKUP(U340,Jogadores!B:C,2,0)</f>
        <v>DF</v>
      </c>
      <c r="W340" s="8">
        <f>VLOOKUP(U340,Jogadores!B:D,3,0)</f>
        <v>28.44383562</v>
      </c>
      <c r="X340" s="7">
        <v>58.0</v>
      </c>
      <c r="Y340" s="7">
        <f t="shared" si="1049"/>
        <v>96</v>
      </c>
      <c r="Z340" s="7">
        <f>VLOOKUP(A340,Jogos!A:L,3,0)</f>
        <v>49</v>
      </c>
      <c r="AA340" s="7">
        <f t="shared" si="7"/>
        <v>0</v>
      </c>
      <c r="AB340" s="7">
        <f>VLOOKUP(A340,Jogos!A:L,4,0)</f>
        <v>51</v>
      </c>
      <c r="AC340" s="7">
        <f t="shared" si="657"/>
        <v>38</v>
      </c>
      <c r="AD340" s="7"/>
      <c r="AE340" s="7"/>
      <c r="AF340" s="7">
        <f t="shared" si="9"/>
        <v>38</v>
      </c>
      <c r="AG340" s="7">
        <v>4263.1</v>
      </c>
      <c r="AH340" s="7">
        <v>1638.6</v>
      </c>
      <c r="AI340" s="7">
        <v>1619.0</v>
      </c>
      <c r="AJ340" s="7">
        <v>667.8</v>
      </c>
      <c r="AK340" s="7">
        <v>304.1</v>
      </c>
      <c r="AL340" s="7">
        <v>33.7</v>
      </c>
      <c r="AM340" s="7">
        <v>62.0</v>
      </c>
      <c r="AN340" s="7">
        <v>25.0</v>
      </c>
      <c r="AO340" s="7">
        <v>30.0</v>
      </c>
      <c r="AP340" s="9">
        <f t="shared" ref="AP340:AR340" si="1062">AG340/$AF340</f>
        <v>112.1868421</v>
      </c>
      <c r="AQ340" s="9">
        <f t="shared" si="1062"/>
        <v>43.12105263</v>
      </c>
      <c r="AR340" s="9">
        <f t="shared" si="1062"/>
        <v>42.60526316</v>
      </c>
      <c r="AS340" s="9">
        <f t="shared" si="11"/>
        <v>85.72631579</v>
      </c>
      <c r="AT340" s="9">
        <f t="shared" ref="AT340:AV340" si="1063">AJ340/$AF340</f>
        <v>17.57368421</v>
      </c>
      <c r="AU340" s="9">
        <f t="shared" si="1063"/>
        <v>8.002631579</v>
      </c>
      <c r="AV340" s="9">
        <f t="shared" si="1063"/>
        <v>0.8868421053</v>
      </c>
      <c r="AW340" s="9">
        <f t="shared" si="13"/>
        <v>8.889473684</v>
      </c>
      <c r="AX340" s="9">
        <f t="shared" ref="AX340:AY340" si="1064">AM340/$AF340</f>
        <v>1.631578947</v>
      </c>
      <c r="AY340" s="9">
        <f t="shared" si="1064"/>
        <v>0.6578947368</v>
      </c>
      <c r="AZ340" s="9">
        <f>VLOOKUP(A340,Jogos!A:BN,58,0)</f>
        <v>26.525</v>
      </c>
      <c r="BA340" s="9">
        <f>VLOOKUP(A340,Jogos!A:BN,59,0)</f>
        <v>10.915</v>
      </c>
      <c r="BB340" s="9">
        <f>VLOOKUP(A340,Jogos!A:BN,60,0)</f>
        <v>37</v>
      </c>
      <c r="BC340" s="9">
        <f>VLOOKUP(A340,Jogos!A:BN,61,0)</f>
        <v>25.12</v>
      </c>
      <c r="BD340" s="9">
        <f>VLOOKUP(A340,Jogos!A:BN,62,0)</f>
        <v>161.1</v>
      </c>
      <c r="BE340" s="9">
        <f>VLOOKUP(A340,Jogos!A:BN,63,0)</f>
        <v>1.07</v>
      </c>
      <c r="BF340" s="9">
        <f>VLOOKUP(A340,Jogos!A:BN,64,0)</f>
        <v>19.63</v>
      </c>
      <c r="BG340" s="9">
        <f>VLOOKUP(A340,Jogos!A:BN,65,0)</f>
        <v>38.52</v>
      </c>
      <c r="BH340" s="9">
        <f>VLOOKUP(A340,Jogos!A:BN,66,0)</f>
        <v>24.1</v>
      </c>
      <c r="BI340" s="9"/>
    </row>
    <row r="341" hidden="1">
      <c r="A341" s="2">
        <v>12.0</v>
      </c>
      <c r="B341" s="11" t="s">
        <v>623</v>
      </c>
      <c r="C341" s="2" t="s">
        <v>61</v>
      </c>
      <c r="D341" s="3">
        <v>45825.0</v>
      </c>
      <c r="E341" s="4">
        <v>0.75</v>
      </c>
      <c r="F341" s="5" t="str">
        <f>VLOOKUP(A341,Jogos!A:N,10,0)</f>
        <v>Evening</v>
      </c>
      <c r="G341" s="2" t="s">
        <v>186</v>
      </c>
      <c r="H341" s="6" t="str">
        <f>VLOOKUP(A341,Jogos!A:L,12,0)</f>
        <v>Open</v>
      </c>
      <c r="I341" s="6" t="str">
        <f>VLOOKUP(G341,'Estádios e Cidades'!A:B,2,0)</f>
        <v>Pasadena</v>
      </c>
      <c r="J341" s="2" t="s">
        <v>747</v>
      </c>
      <c r="K341" s="2" t="str">
        <f>VLOOKUP(J341,Equipes!A:F,6,0)</f>
        <v>Tropical</v>
      </c>
      <c r="L341" s="2">
        <f>VLOOKUP(J341,Equipes!A:C,3,0)</f>
        <v>15</v>
      </c>
      <c r="M341" s="2" t="str">
        <f t="shared" si="4"/>
        <v>Round of 16</v>
      </c>
      <c r="N341" s="2" t="s">
        <v>748</v>
      </c>
      <c r="O341" s="2">
        <f>VLOOKUP(N341,Equipes!A:C,3,0)</f>
        <v>12</v>
      </c>
      <c r="P341" s="2" t="str">
        <f t="shared" si="5"/>
        <v>Round of 16</v>
      </c>
      <c r="Q341" s="2">
        <f t="shared" si="6"/>
        <v>3</v>
      </c>
      <c r="R341" s="2" t="str">
        <f>VLOOKUP(J341,Equipes!A:B,2,0)</f>
        <v>Monterrey</v>
      </c>
      <c r="S341" s="6" t="s">
        <v>775</v>
      </c>
      <c r="T341" s="7">
        <v>16.0</v>
      </c>
      <c r="U341" s="7" t="s">
        <v>776</v>
      </c>
      <c r="V341" s="7" t="str">
        <f>VLOOKUP(U341,Jogadores!B:C,2,0)</f>
        <v>FW</v>
      </c>
      <c r="W341" s="8">
        <f>VLOOKUP(U341,Jogadores!B:D,3,0)</f>
        <v>22.86849315</v>
      </c>
      <c r="X341" s="7">
        <v>90.0</v>
      </c>
      <c r="Y341" s="7">
        <f t="shared" si="1049"/>
        <v>96</v>
      </c>
      <c r="Z341" s="7">
        <f>VLOOKUP(A341,Jogos!A:L,3,0)</f>
        <v>49</v>
      </c>
      <c r="AA341" s="7">
        <f t="shared" si="7"/>
        <v>0</v>
      </c>
      <c r="AB341" s="7">
        <f>VLOOKUP(A341,Jogos!A:L,4,0)</f>
        <v>51</v>
      </c>
      <c r="AC341" s="7">
        <f t="shared" si="657"/>
        <v>6</v>
      </c>
      <c r="AD341" s="7"/>
      <c r="AE341" s="7"/>
      <c r="AF341" s="7">
        <f t="shared" si="9"/>
        <v>6</v>
      </c>
      <c r="AG341" s="7">
        <v>849.1</v>
      </c>
      <c r="AH341" s="7">
        <v>273.5</v>
      </c>
      <c r="AI341" s="7">
        <v>378.1</v>
      </c>
      <c r="AJ341" s="7">
        <v>132.6</v>
      </c>
      <c r="AK341" s="7">
        <v>27.0</v>
      </c>
      <c r="AL341" s="7">
        <v>37.9</v>
      </c>
      <c r="AM341" s="7">
        <v>10.0</v>
      </c>
      <c r="AN341" s="7">
        <v>3.0</v>
      </c>
      <c r="AO341" s="7">
        <v>29.4</v>
      </c>
      <c r="AP341" s="9">
        <f t="shared" ref="AP341:AR341" si="1065">AG341/$AF341</f>
        <v>141.5166667</v>
      </c>
      <c r="AQ341" s="9">
        <f t="shared" si="1065"/>
        <v>45.58333333</v>
      </c>
      <c r="AR341" s="9">
        <f t="shared" si="1065"/>
        <v>63.01666667</v>
      </c>
      <c r="AS341" s="9">
        <f t="shared" si="11"/>
        <v>108.6</v>
      </c>
      <c r="AT341" s="9">
        <f t="shared" ref="AT341:AV341" si="1066">AJ341/$AF341</f>
        <v>22.1</v>
      </c>
      <c r="AU341" s="9">
        <f t="shared" si="1066"/>
        <v>4.5</v>
      </c>
      <c r="AV341" s="9">
        <f t="shared" si="1066"/>
        <v>6.316666667</v>
      </c>
      <c r="AW341" s="9">
        <f t="shared" si="13"/>
        <v>10.81666667</v>
      </c>
      <c r="AX341" s="9">
        <f t="shared" ref="AX341:AY341" si="1067">AM341/$AF341</f>
        <v>1.666666667</v>
      </c>
      <c r="AY341" s="9">
        <f t="shared" si="1067"/>
        <v>0.5</v>
      </c>
      <c r="AZ341" s="9">
        <f>VLOOKUP(A341,Jogos!A:BN,58,0)</f>
        <v>26.525</v>
      </c>
      <c r="BA341" s="9">
        <f>VLOOKUP(A341,Jogos!A:BN,59,0)</f>
        <v>10.915</v>
      </c>
      <c r="BB341" s="9">
        <f>VLOOKUP(A341,Jogos!A:BN,60,0)</f>
        <v>37</v>
      </c>
      <c r="BC341" s="9">
        <f>VLOOKUP(A341,Jogos!A:BN,61,0)</f>
        <v>25.12</v>
      </c>
      <c r="BD341" s="9">
        <f>VLOOKUP(A341,Jogos!A:BN,62,0)</f>
        <v>161.1</v>
      </c>
      <c r="BE341" s="9">
        <f>VLOOKUP(A341,Jogos!A:BN,63,0)</f>
        <v>1.07</v>
      </c>
      <c r="BF341" s="9">
        <f>VLOOKUP(A341,Jogos!A:BN,64,0)</f>
        <v>19.63</v>
      </c>
      <c r="BG341" s="9">
        <f>VLOOKUP(A341,Jogos!A:BN,65,0)</f>
        <v>38.52</v>
      </c>
      <c r="BH341" s="9">
        <f>VLOOKUP(A341,Jogos!A:BN,66,0)</f>
        <v>24.1</v>
      </c>
      <c r="BI341" s="9"/>
    </row>
    <row r="342" hidden="1">
      <c r="A342" s="2">
        <v>12.0</v>
      </c>
      <c r="B342" s="11" t="s">
        <v>623</v>
      </c>
      <c r="C342" s="2" t="s">
        <v>61</v>
      </c>
      <c r="D342" s="3">
        <v>45825.0</v>
      </c>
      <c r="E342" s="4">
        <v>0.75</v>
      </c>
      <c r="F342" s="5" t="str">
        <f>VLOOKUP(A342,Jogos!A:N,10,0)</f>
        <v>Evening</v>
      </c>
      <c r="G342" s="2" t="s">
        <v>186</v>
      </c>
      <c r="H342" s="6" t="str">
        <f>VLOOKUP(A342,Jogos!A:L,12,0)</f>
        <v>Open</v>
      </c>
      <c r="I342" s="6" t="str">
        <f>VLOOKUP(G342,'Estádios e Cidades'!A:B,2,0)</f>
        <v>Pasadena</v>
      </c>
      <c r="J342" s="2" t="s">
        <v>747</v>
      </c>
      <c r="K342" s="2" t="str">
        <f>VLOOKUP(J342,Equipes!A:F,6,0)</f>
        <v>Tropical</v>
      </c>
      <c r="L342" s="2">
        <f>VLOOKUP(J342,Equipes!A:C,3,0)</f>
        <v>15</v>
      </c>
      <c r="M342" s="2" t="str">
        <f t="shared" si="4"/>
        <v>Round of 16</v>
      </c>
      <c r="N342" s="2" t="s">
        <v>748</v>
      </c>
      <c r="O342" s="2">
        <f>VLOOKUP(N342,Equipes!A:C,3,0)</f>
        <v>12</v>
      </c>
      <c r="P342" s="2" t="str">
        <f t="shared" si="5"/>
        <v>Round of 16</v>
      </c>
      <c r="Q342" s="2">
        <f t="shared" si="6"/>
        <v>3</v>
      </c>
      <c r="R342" s="2" t="str">
        <f>VLOOKUP(J342,Equipes!A:B,2,0)</f>
        <v>Monterrey</v>
      </c>
      <c r="S342" s="6" t="s">
        <v>777</v>
      </c>
      <c r="T342" s="7">
        <v>19.0</v>
      </c>
      <c r="U342" s="7" t="s">
        <v>778</v>
      </c>
      <c r="V342" s="7" t="str">
        <f>VLOOKUP(U342,Jogadores!B:C,2,0)</f>
        <v>MF</v>
      </c>
      <c r="W342" s="8">
        <f>VLOOKUP(U342,Jogadores!B:D,3,0)</f>
        <v>29.09589041</v>
      </c>
      <c r="X342" s="7">
        <v>90.0</v>
      </c>
      <c r="Y342" s="7">
        <f t="shared" si="1049"/>
        <v>96</v>
      </c>
      <c r="Z342" s="7">
        <f>VLOOKUP(A342,Jogos!A:L,3,0)</f>
        <v>49</v>
      </c>
      <c r="AA342" s="7">
        <f t="shared" si="7"/>
        <v>0</v>
      </c>
      <c r="AB342" s="7">
        <f>VLOOKUP(A342,Jogos!A:L,4,0)</f>
        <v>51</v>
      </c>
      <c r="AC342" s="7">
        <f t="shared" si="657"/>
        <v>6</v>
      </c>
      <c r="AD342" s="7"/>
      <c r="AE342" s="7"/>
      <c r="AF342" s="7">
        <f t="shared" si="9"/>
        <v>6</v>
      </c>
      <c r="AG342" s="7">
        <v>1009.8</v>
      </c>
      <c r="AH342" s="7">
        <v>238.6</v>
      </c>
      <c r="AI342" s="7">
        <v>458.6</v>
      </c>
      <c r="AJ342" s="7">
        <v>178.5</v>
      </c>
      <c r="AK342" s="7">
        <v>111.9</v>
      </c>
      <c r="AL342" s="7">
        <v>22.2</v>
      </c>
      <c r="AM342" s="7">
        <v>15.0</v>
      </c>
      <c r="AN342" s="7">
        <v>7.0</v>
      </c>
      <c r="AO342" s="7">
        <v>27.4</v>
      </c>
      <c r="AP342" s="9">
        <f t="shared" ref="AP342:AR342" si="1068">AG342/$AF342</f>
        <v>168.3</v>
      </c>
      <c r="AQ342" s="9">
        <f t="shared" si="1068"/>
        <v>39.76666667</v>
      </c>
      <c r="AR342" s="9">
        <f t="shared" si="1068"/>
        <v>76.43333333</v>
      </c>
      <c r="AS342" s="9">
        <f t="shared" si="11"/>
        <v>116.2</v>
      </c>
      <c r="AT342" s="9">
        <f t="shared" ref="AT342:AV342" si="1069">AJ342/$AF342</f>
        <v>29.75</v>
      </c>
      <c r="AU342" s="9">
        <f t="shared" si="1069"/>
        <v>18.65</v>
      </c>
      <c r="AV342" s="9">
        <f t="shared" si="1069"/>
        <v>3.7</v>
      </c>
      <c r="AW342" s="9">
        <f t="shared" si="13"/>
        <v>22.35</v>
      </c>
      <c r="AX342" s="9">
        <f t="shared" ref="AX342:AY342" si="1070">AM342/$AF342</f>
        <v>2.5</v>
      </c>
      <c r="AY342" s="9">
        <f t="shared" si="1070"/>
        <v>1.166666667</v>
      </c>
      <c r="AZ342" s="9">
        <f>VLOOKUP(A342,Jogos!A:BN,58,0)</f>
        <v>26.525</v>
      </c>
      <c r="BA342" s="9">
        <f>VLOOKUP(A342,Jogos!A:BN,59,0)</f>
        <v>10.915</v>
      </c>
      <c r="BB342" s="9">
        <f>VLOOKUP(A342,Jogos!A:BN,60,0)</f>
        <v>37</v>
      </c>
      <c r="BC342" s="9">
        <f>VLOOKUP(A342,Jogos!A:BN,61,0)</f>
        <v>25.12</v>
      </c>
      <c r="BD342" s="9">
        <f>VLOOKUP(A342,Jogos!A:BN,62,0)</f>
        <v>161.1</v>
      </c>
      <c r="BE342" s="9">
        <f>VLOOKUP(A342,Jogos!A:BN,63,0)</f>
        <v>1.07</v>
      </c>
      <c r="BF342" s="9">
        <f>VLOOKUP(A342,Jogos!A:BN,64,0)</f>
        <v>19.63</v>
      </c>
      <c r="BG342" s="9">
        <f>VLOOKUP(A342,Jogos!A:BN,65,0)</f>
        <v>38.52</v>
      </c>
      <c r="BH342" s="9">
        <f>VLOOKUP(A342,Jogos!A:BN,66,0)</f>
        <v>24.1</v>
      </c>
      <c r="BI342" s="9"/>
    </row>
    <row r="343" hidden="1">
      <c r="A343" s="10">
        <v>12.0</v>
      </c>
      <c r="B343" s="11" t="s">
        <v>623</v>
      </c>
      <c r="C343" s="2" t="s">
        <v>61</v>
      </c>
      <c r="D343" s="12">
        <v>45825.0</v>
      </c>
      <c r="E343" s="13">
        <v>0.75</v>
      </c>
      <c r="F343" s="5" t="str">
        <f>VLOOKUP(A343,Jogos!A:N,10,0)</f>
        <v>Evening</v>
      </c>
      <c r="G343" s="15" t="s">
        <v>186</v>
      </c>
      <c r="H343" s="6" t="str">
        <f>VLOOKUP(A343,Jogos!A:L,12,0)</f>
        <v>Open</v>
      </c>
      <c r="I343" s="6" t="str">
        <f>VLOOKUP(G343,'Estádios e Cidades'!A:B,2,0)</f>
        <v>Pasadena</v>
      </c>
      <c r="J343" s="11" t="s">
        <v>748</v>
      </c>
      <c r="K343" s="2" t="str">
        <f>VLOOKUP(J343,Equipes!A:F,6,0)</f>
        <v>Temperate</v>
      </c>
      <c r="L343" s="2">
        <f>VLOOKUP(J343,Equipes!A:C,3,0)</f>
        <v>12</v>
      </c>
      <c r="M343" s="2" t="str">
        <f t="shared" si="4"/>
        <v>Round of 16</v>
      </c>
      <c r="N343" s="11" t="s">
        <v>747</v>
      </c>
      <c r="O343" s="2">
        <f>VLOOKUP(N343,Equipes!A:C,3,0)</f>
        <v>15</v>
      </c>
      <c r="P343" s="2" t="str">
        <f t="shared" si="5"/>
        <v>Round of 16</v>
      </c>
      <c r="Q343" s="2">
        <f t="shared" si="6"/>
        <v>-3</v>
      </c>
      <c r="R343" s="2" t="str">
        <f>VLOOKUP(J343,Equipes!A:B,2,0)</f>
        <v>InterMilano</v>
      </c>
      <c r="S343" s="14" t="s">
        <v>779</v>
      </c>
      <c r="T343" s="7">
        <v>10.0</v>
      </c>
      <c r="U343" s="7" t="s">
        <v>780</v>
      </c>
      <c r="V343" s="7" t="str">
        <f>VLOOKUP(U343,Jogadores!B:C,2,0)</f>
        <v>FW</v>
      </c>
      <c r="W343" s="8">
        <f>VLOOKUP(U343,Jogadores!B:D,3,0)</f>
        <v>27.95068493</v>
      </c>
      <c r="X343" s="7">
        <v>0.0</v>
      </c>
      <c r="Y343" s="7">
        <f t="shared" si="1049"/>
        <v>96</v>
      </c>
      <c r="Z343" s="7">
        <f>VLOOKUP(A343,Jogos!A:L,3,0)</f>
        <v>49</v>
      </c>
      <c r="AA343" s="7">
        <f t="shared" si="7"/>
        <v>49</v>
      </c>
      <c r="AB343" s="7">
        <f>VLOOKUP(A343,Jogos!A:L,4,0)</f>
        <v>51</v>
      </c>
      <c r="AC343" s="7">
        <f t="shared" si="657"/>
        <v>51</v>
      </c>
      <c r="AD343" s="7"/>
      <c r="AE343" s="7"/>
      <c r="AF343" s="7">
        <f t="shared" si="9"/>
        <v>100</v>
      </c>
      <c r="AG343" s="7">
        <v>10243.2</v>
      </c>
      <c r="AH343" s="7">
        <v>4030.2</v>
      </c>
      <c r="AI343" s="7">
        <v>4343.9</v>
      </c>
      <c r="AJ343" s="7">
        <v>1217.7</v>
      </c>
      <c r="AK343" s="7">
        <v>472.3</v>
      </c>
      <c r="AL343" s="7">
        <v>179.1</v>
      </c>
      <c r="AM343" s="7">
        <v>111.0</v>
      </c>
      <c r="AN343" s="7">
        <v>36.0</v>
      </c>
      <c r="AO343" s="7">
        <v>31.5</v>
      </c>
      <c r="AP343" s="9">
        <f t="shared" ref="AP343:AR343" si="1071">AG343/$AF343</f>
        <v>102.432</v>
      </c>
      <c r="AQ343" s="9">
        <f t="shared" si="1071"/>
        <v>40.302</v>
      </c>
      <c r="AR343" s="9">
        <f t="shared" si="1071"/>
        <v>43.439</v>
      </c>
      <c r="AS343" s="9">
        <f t="shared" si="11"/>
        <v>83.741</v>
      </c>
      <c r="AT343" s="9">
        <f t="shared" ref="AT343:AV343" si="1072">AJ343/$AF343</f>
        <v>12.177</v>
      </c>
      <c r="AU343" s="9">
        <f t="shared" si="1072"/>
        <v>4.723</v>
      </c>
      <c r="AV343" s="9">
        <f t="shared" si="1072"/>
        <v>1.791</v>
      </c>
      <c r="AW343" s="9">
        <f t="shared" si="13"/>
        <v>6.514</v>
      </c>
      <c r="AX343" s="9">
        <f t="shared" ref="AX343:AY343" si="1073">AM343/$AF343</f>
        <v>1.11</v>
      </c>
      <c r="AY343" s="9">
        <f t="shared" si="1073"/>
        <v>0.36</v>
      </c>
      <c r="AZ343" s="9">
        <f>VLOOKUP(A343,Jogos!A:BN,58,0)</f>
        <v>26.525</v>
      </c>
      <c r="BA343" s="9">
        <f>VLOOKUP(A343,Jogos!A:BN,59,0)</f>
        <v>10.915</v>
      </c>
      <c r="BB343" s="9">
        <f>VLOOKUP(A343,Jogos!A:BN,60,0)</f>
        <v>37</v>
      </c>
      <c r="BC343" s="9">
        <f>VLOOKUP(A343,Jogos!A:BN,61,0)</f>
        <v>25.12</v>
      </c>
      <c r="BD343" s="9">
        <f>VLOOKUP(A343,Jogos!A:BN,62,0)</f>
        <v>161.1</v>
      </c>
      <c r="BE343" s="9">
        <f>VLOOKUP(A343,Jogos!A:BN,63,0)</f>
        <v>1.07</v>
      </c>
      <c r="BF343" s="9">
        <f>VLOOKUP(A343,Jogos!A:BN,64,0)</f>
        <v>19.63</v>
      </c>
      <c r="BG343" s="9">
        <f>VLOOKUP(A343,Jogos!A:BN,65,0)</f>
        <v>38.52</v>
      </c>
      <c r="BH343" s="9">
        <f>VLOOKUP(A343,Jogos!A:BN,66,0)</f>
        <v>24.1</v>
      </c>
      <c r="BI343" s="9"/>
    </row>
    <row r="344" hidden="1">
      <c r="A344" s="10">
        <v>12.0</v>
      </c>
      <c r="B344" s="11" t="s">
        <v>623</v>
      </c>
      <c r="C344" s="2" t="s">
        <v>61</v>
      </c>
      <c r="D344" s="12">
        <v>45825.0</v>
      </c>
      <c r="E344" s="13">
        <v>0.75</v>
      </c>
      <c r="F344" s="5" t="str">
        <f>VLOOKUP(A344,Jogos!A:N,10,0)</f>
        <v>Evening</v>
      </c>
      <c r="G344" s="15" t="s">
        <v>186</v>
      </c>
      <c r="H344" s="6" t="str">
        <f>VLOOKUP(A344,Jogos!A:L,12,0)</f>
        <v>Open</v>
      </c>
      <c r="I344" s="6" t="str">
        <f>VLOOKUP(G344,'Estádios e Cidades'!A:B,2,0)</f>
        <v>Pasadena</v>
      </c>
      <c r="J344" s="11" t="s">
        <v>748</v>
      </c>
      <c r="K344" s="2" t="str">
        <f>VLOOKUP(J344,Equipes!A:F,6,0)</f>
        <v>Temperate</v>
      </c>
      <c r="L344" s="2">
        <f>VLOOKUP(J344,Equipes!A:C,3,0)</f>
        <v>12</v>
      </c>
      <c r="M344" s="2" t="str">
        <f t="shared" si="4"/>
        <v>Round of 16</v>
      </c>
      <c r="N344" s="11" t="s">
        <v>747</v>
      </c>
      <c r="O344" s="2">
        <f>VLOOKUP(N344,Equipes!A:C,3,0)</f>
        <v>15</v>
      </c>
      <c r="P344" s="2" t="str">
        <f t="shared" si="5"/>
        <v>Round of 16</v>
      </c>
      <c r="Q344" s="2">
        <f t="shared" si="6"/>
        <v>-3</v>
      </c>
      <c r="R344" s="2" t="str">
        <f>VLOOKUP(J344,Equipes!A:B,2,0)</f>
        <v>InterMilano</v>
      </c>
      <c r="S344" s="6" t="s">
        <v>781</v>
      </c>
      <c r="T344" s="7">
        <v>15.0</v>
      </c>
      <c r="U344" s="7" t="s">
        <v>782</v>
      </c>
      <c r="V344" s="7" t="str">
        <f>VLOOKUP(U344,Jogadores!B:C,2,0)</f>
        <v>DF</v>
      </c>
      <c r="W344" s="8">
        <f>VLOOKUP(U344,Jogadores!B:D,3,0)</f>
        <v>37.48767123</v>
      </c>
      <c r="X344" s="7">
        <v>0.0</v>
      </c>
      <c r="Y344" s="7">
        <f t="shared" si="1049"/>
        <v>96</v>
      </c>
      <c r="Z344" s="7">
        <f>VLOOKUP(A344,Jogos!A:L,3,0)</f>
        <v>49</v>
      </c>
      <c r="AA344" s="7">
        <f t="shared" si="7"/>
        <v>49</v>
      </c>
      <c r="AB344" s="7">
        <f>VLOOKUP(A344,Jogos!A:L,4,0)</f>
        <v>51</v>
      </c>
      <c r="AC344" s="7">
        <f t="shared" si="657"/>
        <v>51</v>
      </c>
      <c r="AD344" s="7"/>
      <c r="AE344" s="7"/>
      <c r="AF344" s="7">
        <f t="shared" si="9"/>
        <v>100</v>
      </c>
      <c r="AG344" s="7">
        <v>10693.6</v>
      </c>
      <c r="AH344" s="7">
        <v>3963.8</v>
      </c>
      <c r="AI344" s="7">
        <v>4521.2</v>
      </c>
      <c r="AJ344" s="7">
        <v>1462.8</v>
      </c>
      <c r="AK344" s="7">
        <v>575.0</v>
      </c>
      <c r="AL344" s="7">
        <v>170.9</v>
      </c>
      <c r="AM344" s="7">
        <v>145.0</v>
      </c>
      <c r="AN344" s="7">
        <v>42.0</v>
      </c>
      <c r="AO344" s="7">
        <v>28.9</v>
      </c>
      <c r="AP344" s="9">
        <f t="shared" ref="AP344:AR344" si="1074">AG344/$AF344</f>
        <v>106.936</v>
      </c>
      <c r="AQ344" s="9">
        <f t="shared" si="1074"/>
        <v>39.638</v>
      </c>
      <c r="AR344" s="9">
        <f t="shared" si="1074"/>
        <v>45.212</v>
      </c>
      <c r="AS344" s="9">
        <f t="shared" si="11"/>
        <v>84.85</v>
      </c>
      <c r="AT344" s="9">
        <f t="shared" ref="AT344:AV344" si="1075">AJ344/$AF344</f>
        <v>14.628</v>
      </c>
      <c r="AU344" s="9">
        <f t="shared" si="1075"/>
        <v>5.75</v>
      </c>
      <c r="AV344" s="9">
        <f t="shared" si="1075"/>
        <v>1.709</v>
      </c>
      <c r="AW344" s="9">
        <f t="shared" si="13"/>
        <v>7.459</v>
      </c>
      <c r="AX344" s="9">
        <f t="shared" ref="AX344:AY344" si="1076">AM344/$AF344</f>
        <v>1.45</v>
      </c>
      <c r="AY344" s="9">
        <f t="shared" si="1076"/>
        <v>0.42</v>
      </c>
      <c r="AZ344" s="9">
        <f>VLOOKUP(A344,Jogos!A:BN,58,0)</f>
        <v>26.525</v>
      </c>
      <c r="BA344" s="9">
        <f>VLOOKUP(A344,Jogos!A:BN,59,0)</f>
        <v>10.915</v>
      </c>
      <c r="BB344" s="9">
        <f>VLOOKUP(A344,Jogos!A:BN,60,0)</f>
        <v>37</v>
      </c>
      <c r="BC344" s="9">
        <f>VLOOKUP(A344,Jogos!A:BN,61,0)</f>
        <v>25.12</v>
      </c>
      <c r="BD344" s="9">
        <f>VLOOKUP(A344,Jogos!A:BN,62,0)</f>
        <v>161.1</v>
      </c>
      <c r="BE344" s="9">
        <f>VLOOKUP(A344,Jogos!A:BN,63,0)</f>
        <v>1.07</v>
      </c>
      <c r="BF344" s="9">
        <f>VLOOKUP(A344,Jogos!A:BN,64,0)</f>
        <v>19.63</v>
      </c>
      <c r="BG344" s="9">
        <f>VLOOKUP(A344,Jogos!A:BN,65,0)</f>
        <v>38.52</v>
      </c>
      <c r="BH344" s="9">
        <f>VLOOKUP(A344,Jogos!A:BN,66,0)</f>
        <v>24.1</v>
      </c>
      <c r="BI344" s="9"/>
    </row>
    <row r="345" hidden="1">
      <c r="A345" s="10">
        <v>12.0</v>
      </c>
      <c r="B345" s="11" t="s">
        <v>623</v>
      </c>
      <c r="C345" s="2" t="s">
        <v>61</v>
      </c>
      <c r="D345" s="12">
        <v>45825.0</v>
      </c>
      <c r="E345" s="13">
        <v>0.75</v>
      </c>
      <c r="F345" s="5" t="str">
        <f>VLOOKUP(A345,Jogos!A:N,10,0)</f>
        <v>Evening</v>
      </c>
      <c r="G345" s="15" t="s">
        <v>186</v>
      </c>
      <c r="H345" s="6" t="str">
        <f>VLOOKUP(A345,Jogos!A:L,12,0)</f>
        <v>Open</v>
      </c>
      <c r="I345" s="6" t="str">
        <f>VLOOKUP(G345,'Estádios e Cidades'!A:B,2,0)</f>
        <v>Pasadena</v>
      </c>
      <c r="J345" s="11" t="s">
        <v>748</v>
      </c>
      <c r="K345" s="2" t="str">
        <f>VLOOKUP(J345,Equipes!A:F,6,0)</f>
        <v>Temperate</v>
      </c>
      <c r="L345" s="2">
        <f>VLOOKUP(J345,Equipes!A:C,3,0)</f>
        <v>12</v>
      </c>
      <c r="M345" s="2" t="str">
        <f t="shared" si="4"/>
        <v>Round of 16</v>
      </c>
      <c r="N345" s="11" t="s">
        <v>747</v>
      </c>
      <c r="O345" s="2">
        <f>VLOOKUP(N345,Equipes!A:C,3,0)</f>
        <v>15</v>
      </c>
      <c r="P345" s="2" t="str">
        <f t="shared" si="5"/>
        <v>Round of 16</v>
      </c>
      <c r="Q345" s="2">
        <f t="shared" si="6"/>
        <v>-3</v>
      </c>
      <c r="R345" s="2" t="str">
        <f>VLOOKUP(J345,Equipes!A:B,2,0)</f>
        <v>InterMilano</v>
      </c>
      <c r="S345" s="6" t="s">
        <v>783</v>
      </c>
      <c r="T345" s="7">
        <v>21.0</v>
      </c>
      <c r="U345" s="7" t="s">
        <v>784</v>
      </c>
      <c r="V345" s="7" t="str">
        <f>VLOOKUP(U345,Jogadores!B:C,2,0)</f>
        <v>MF</v>
      </c>
      <c r="W345" s="8">
        <f>VLOOKUP(U345,Jogadores!B:D,3,0)</f>
        <v>23.40273973</v>
      </c>
      <c r="X345" s="7">
        <v>0.0</v>
      </c>
      <c r="Y345" s="7">
        <v>68.0</v>
      </c>
      <c r="Z345" s="7">
        <f>VLOOKUP(A345,Jogos!A:L,3,0)</f>
        <v>49</v>
      </c>
      <c r="AA345" s="7">
        <f t="shared" si="7"/>
        <v>49</v>
      </c>
      <c r="AB345" s="7">
        <f>VLOOKUP(A345,Jogos!A:L,4,0)</f>
        <v>51</v>
      </c>
      <c r="AC345" s="7">
        <f t="shared" si="657"/>
        <v>23</v>
      </c>
      <c r="AD345" s="7"/>
      <c r="AE345" s="7"/>
      <c r="AF345" s="7">
        <f t="shared" si="9"/>
        <v>72</v>
      </c>
      <c r="AG345" s="7">
        <v>8499.4</v>
      </c>
      <c r="AH345" s="7">
        <v>2476.4</v>
      </c>
      <c r="AI345" s="7">
        <v>4063.7</v>
      </c>
      <c r="AJ345" s="7">
        <v>1582.4</v>
      </c>
      <c r="AK345" s="7">
        <v>334.8</v>
      </c>
      <c r="AL345" s="7">
        <v>42.0</v>
      </c>
      <c r="AM345" s="7">
        <v>142.0</v>
      </c>
      <c r="AN345" s="7">
        <v>22.0</v>
      </c>
      <c r="AO345" s="7">
        <v>27.4</v>
      </c>
      <c r="AP345" s="9">
        <f t="shared" ref="AP345:AR345" si="1077">AG345/$AF345</f>
        <v>118.0472222</v>
      </c>
      <c r="AQ345" s="9">
        <f t="shared" si="1077"/>
        <v>34.39444444</v>
      </c>
      <c r="AR345" s="9">
        <f t="shared" si="1077"/>
        <v>56.44027778</v>
      </c>
      <c r="AS345" s="9">
        <f t="shared" si="11"/>
        <v>90.83472222</v>
      </c>
      <c r="AT345" s="9">
        <f t="shared" ref="AT345:AV345" si="1078">AJ345/$AF345</f>
        <v>21.97777778</v>
      </c>
      <c r="AU345" s="9">
        <f t="shared" si="1078"/>
        <v>4.65</v>
      </c>
      <c r="AV345" s="9">
        <f t="shared" si="1078"/>
        <v>0.5833333333</v>
      </c>
      <c r="AW345" s="9">
        <f t="shared" si="13"/>
        <v>5.233333333</v>
      </c>
      <c r="AX345" s="9">
        <f t="shared" ref="AX345:AY345" si="1079">AM345/$AF345</f>
        <v>1.972222222</v>
      </c>
      <c r="AY345" s="9">
        <f t="shared" si="1079"/>
        <v>0.3055555556</v>
      </c>
      <c r="AZ345" s="9">
        <f>VLOOKUP(A345,Jogos!A:BN,58,0)</f>
        <v>26.525</v>
      </c>
      <c r="BA345" s="9">
        <f>VLOOKUP(A345,Jogos!A:BN,59,0)</f>
        <v>10.915</v>
      </c>
      <c r="BB345" s="9">
        <f>VLOOKUP(A345,Jogos!A:BN,60,0)</f>
        <v>37</v>
      </c>
      <c r="BC345" s="9">
        <f>VLOOKUP(A345,Jogos!A:BN,61,0)</f>
        <v>25.12</v>
      </c>
      <c r="BD345" s="9">
        <f>VLOOKUP(A345,Jogos!A:BN,62,0)</f>
        <v>161.1</v>
      </c>
      <c r="BE345" s="9">
        <f>VLOOKUP(A345,Jogos!A:BN,63,0)</f>
        <v>1.07</v>
      </c>
      <c r="BF345" s="9">
        <f>VLOOKUP(A345,Jogos!A:BN,64,0)</f>
        <v>19.63</v>
      </c>
      <c r="BG345" s="9">
        <f>VLOOKUP(A345,Jogos!A:BN,65,0)</f>
        <v>38.52</v>
      </c>
      <c r="BH345" s="9">
        <f>VLOOKUP(A345,Jogos!A:BN,66,0)</f>
        <v>24.1</v>
      </c>
      <c r="BI345" s="9"/>
    </row>
    <row r="346" hidden="1">
      <c r="A346" s="10">
        <v>12.0</v>
      </c>
      <c r="B346" s="11" t="s">
        <v>623</v>
      </c>
      <c r="C346" s="2" t="s">
        <v>61</v>
      </c>
      <c r="D346" s="12">
        <v>45825.0</v>
      </c>
      <c r="E346" s="13">
        <v>0.75</v>
      </c>
      <c r="F346" s="5" t="str">
        <f>VLOOKUP(A346,Jogos!A:N,10,0)</f>
        <v>Evening</v>
      </c>
      <c r="G346" s="15" t="s">
        <v>186</v>
      </c>
      <c r="H346" s="6" t="str">
        <f>VLOOKUP(A346,Jogos!A:L,12,0)</f>
        <v>Open</v>
      </c>
      <c r="I346" s="6" t="str">
        <f>VLOOKUP(G346,'Estádios e Cidades'!A:B,2,0)</f>
        <v>Pasadena</v>
      </c>
      <c r="J346" s="11" t="s">
        <v>748</v>
      </c>
      <c r="K346" s="2" t="str">
        <f>VLOOKUP(J346,Equipes!A:F,6,0)</f>
        <v>Temperate</v>
      </c>
      <c r="L346" s="2">
        <f>VLOOKUP(J346,Equipes!A:C,3,0)</f>
        <v>12</v>
      </c>
      <c r="M346" s="2" t="str">
        <f t="shared" si="4"/>
        <v>Round of 16</v>
      </c>
      <c r="N346" s="11" t="s">
        <v>747</v>
      </c>
      <c r="O346" s="2">
        <f>VLOOKUP(N346,Equipes!A:C,3,0)</f>
        <v>15</v>
      </c>
      <c r="P346" s="2" t="str">
        <f t="shared" si="5"/>
        <v>Round of 16</v>
      </c>
      <c r="Q346" s="2">
        <f t="shared" si="6"/>
        <v>-3</v>
      </c>
      <c r="R346" s="2" t="str">
        <f>VLOOKUP(J346,Equipes!A:B,2,0)</f>
        <v>InterMilano</v>
      </c>
      <c r="S346" s="6" t="s">
        <v>785</v>
      </c>
      <c r="T346" s="7">
        <v>22.0</v>
      </c>
      <c r="U346" s="7" t="s">
        <v>786</v>
      </c>
      <c r="V346" s="7" t="str">
        <f>VLOOKUP(U346,Jogadores!B:C,2,0)</f>
        <v>MF</v>
      </c>
      <c r="W346" s="8">
        <f>VLOOKUP(U346,Jogadores!B:D,3,0)</f>
        <v>36.53972603</v>
      </c>
      <c r="X346" s="7">
        <v>0.0</v>
      </c>
      <c r="Y346" s="7">
        <v>78.0</v>
      </c>
      <c r="Z346" s="7">
        <f>VLOOKUP(A346,Jogos!A:L,3,0)</f>
        <v>49</v>
      </c>
      <c r="AA346" s="7">
        <f t="shared" si="7"/>
        <v>49</v>
      </c>
      <c r="AB346" s="7">
        <f>VLOOKUP(A346,Jogos!A:L,4,0)</f>
        <v>51</v>
      </c>
      <c r="AC346" s="7">
        <f t="shared" si="657"/>
        <v>33</v>
      </c>
      <c r="AD346" s="7"/>
      <c r="AE346" s="7"/>
      <c r="AF346" s="7">
        <f t="shared" si="9"/>
        <v>82</v>
      </c>
      <c r="AG346" s="7">
        <v>9334.0</v>
      </c>
      <c r="AH346" s="7">
        <v>2983.3</v>
      </c>
      <c r="AI346" s="7">
        <v>3783.3</v>
      </c>
      <c r="AJ346" s="7">
        <v>1669.9</v>
      </c>
      <c r="AK346" s="7">
        <v>676.3</v>
      </c>
      <c r="AL346" s="7">
        <v>221.3</v>
      </c>
      <c r="AM346" s="7">
        <v>150.0</v>
      </c>
      <c r="AN346" s="7">
        <v>54.0</v>
      </c>
      <c r="AO346" s="7">
        <v>30.9</v>
      </c>
      <c r="AP346" s="9">
        <f t="shared" ref="AP346:AR346" si="1080">AG346/$AF346</f>
        <v>113.8292683</v>
      </c>
      <c r="AQ346" s="9">
        <f t="shared" si="1080"/>
        <v>36.38170732</v>
      </c>
      <c r="AR346" s="9">
        <f t="shared" si="1080"/>
        <v>46.13780488</v>
      </c>
      <c r="AS346" s="9">
        <f t="shared" si="11"/>
        <v>82.5195122</v>
      </c>
      <c r="AT346" s="9">
        <f t="shared" ref="AT346:AV346" si="1081">AJ346/$AF346</f>
        <v>20.36463415</v>
      </c>
      <c r="AU346" s="9">
        <f t="shared" si="1081"/>
        <v>8.247560976</v>
      </c>
      <c r="AV346" s="9">
        <f t="shared" si="1081"/>
        <v>2.698780488</v>
      </c>
      <c r="AW346" s="9">
        <f t="shared" si="13"/>
        <v>10.94634146</v>
      </c>
      <c r="AX346" s="9">
        <f t="shared" ref="AX346:AY346" si="1082">AM346/$AF346</f>
        <v>1.829268293</v>
      </c>
      <c r="AY346" s="9">
        <f t="shared" si="1082"/>
        <v>0.6585365854</v>
      </c>
      <c r="AZ346" s="9">
        <f>VLOOKUP(A346,Jogos!A:BN,58,0)</f>
        <v>26.525</v>
      </c>
      <c r="BA346" s="9">
        <f>VLOOKUP(A346,Jogos!A:BN,59,0)</f>
        <v>10.915</v>
      </c>
      <c r="BB346" s="9">
        <f>VLOOKUP(A346,Jogos!A:BN,60,0)</f>
        <v>37</v>
      </c>
      <c r="BC346" s="9">
        <f>VLOOKUP(A346,Jogos!A:BN,61,0)</f>
        <v>25.12</v>
      </c>
      <c r="BD346" s="9">
        <f>VLOOKUP(A346,Jogos!A:BN,62,0)</f>
        <v>161.1</v>
      </c>
      <c r="BE346" s="9">
        <f>VLOOKUP(A346,Jogos!A:BN,63,0)</f>
        <v>1.07</v>
      </c>
      <c r="BF346" s="9">
        <f>VLOOKUP(A346,Jogos!A:BN,64,0)</f>
        <v>19.63</v>
      </c>
      <c r="BG346" s="9">
        <f>VLOOKUP(A346,Jogos!A:BN,65,0)</f>
        <v>38.52</v>
      </c>
      <c r="BH346" s="9">
        <f>VLOOKUP(A346,Jogos!A:BN,66,0)</f>
        <v>24.1</v>
      </c>
      <c r="BI346" s="9"/>
    </row>
    <row r="347" hidden="1">
      <c r="A347" s="10">
        <v>12.0</v>
      </c>
      <c r="B347" s="11" t="s">
        <v>623</v>
      </c>
      <c r="C347" s="2" t="s">
        <v>61</v>
      </c>
      <c r="D347" s="12">
        <v>45825.0</v>
      </c>
      <c r="E347" s="13">
        <v>0.75</v>
      </c>
      <c r="F347" s="5" t="str">
        <f>VLOOKUP(A347,Jogos!A:N,10,0)</f>
        <v>Evening</v>
      </c>
      <c r="G347" s="15" t="s">
        <v>186</v>
      </c>
      <c r="H347" s="6" t="str">
        <f>VLOOKUP(A347,Jogos!A:L,12,0)</f>
        <v>Open</v>
      </c>
      <c r="I347" s="6" t="str">
        <f>VLOOKUP(G347,'Estádios e Cidades'!A:B,2,0)</f>
        <v>Pasadena</v>
      </c>
      <c r="J347" s="11" t="s">
        <v>748</v>
      </c>
      <c r="K347" s="2" t="str">
        <f>VLOOKUP(J347,Equipes!A:F,6,0)</f>
        <v>Temperate</v>
      </c>
      <c r="L347" s="2">
        <f>VLOOKUP(J347,Equipes!A:C,3,0)</f>
        <v>12</v>
      </c>
      <c r="M347" s="2" t="str">
        <f t="shared" si="4"/>
        <v>Round of 16</v>
      </c>
      <c r="N347" s="11" t="s">
        <v>747</v>
      </c>
      <c r="O347" s="2">
        <f>VLOOKUP(N347,Equipes!A:C,3,0)</f>
        <v>15</v>
      </c>
      <c r="P347" s="2" t="str">
        <f t="shared" si="5"/>
        <v>Round of 16</v>
      </c>
      <c r="Q347" s="2">
        <f t="shared" si="6"/>
        <v>-3</v>
      </c>
      <c r="R347" s="2" t="str">
        <f>VLOOKUP(J347,Equipes!A:B,2,0)</f>
        <v>InterMilano</v>
      </c>
      <c r="S347" s="6" t="s">
        <v>787</v>
      </c>
      <c r="T347" s="7">
        <v>23.0</v>
      </c>
      <c r="U347" s="7" t="s">
        <v>788</v>
      </c>
      <c r="V347" s="7" t="str">
        <f>VLOOKUP(U347,Jogadores!B:C,2,0)</f>
        <v>MF</v>
      </c>
      <c r="W347" s="8">
        <f>VLOOKUP(U347,Jogadores!B:D,3,0)</f>
        <v>28.48767123</v>
      </c>
      <c r="X347" s="7">
        <v>0.0</v>
      </c>
      <c r="Y347" s="7">
        <f>45+AB347</f>
        <v>96</v>
      </c>
      <c r="Z347" s="7">
        <f>VLOOKUP(A347,Jogos!A:L,3,0)</f>
        <v>49</v>
      </c>
      <c r="AA347" s="7">
        <f t="shared" si="7"/>
        <v>49</v>
      </c>
      <c r="AB347" s="7">
        <f>VLOOKUP(A347,Jogos!A:L,4,0)</f>
        <v>51</v>
      </c>
      <c r="AC347" s="7">
        <f t="shared" si="657"/>
        <v>51</v>
      </c>
      <c r="AD347" s="7"/>
      <c r="AE347" s="7"/>
      <c r="AF347" s="7">
        <f t="shared" si="9"/>
        <v>100</v>
      </c>
      <c r="AG347" s="7">
        <v>11441.6</v>
      </c>
      <c r="AH347" s="7">
        <v>4206.5</v>
      </c>
      <c r="AI347" s="7">
        <v>4891.2</v>
      </c>
      <c r="AJ347" s="7">
        <v>1650.7</v>
      </c>
      <c r="AK347" s="7">
        <v>534.7</v>
      </c>
      <c r="AL347" s="7">
        <v>158.5</v>
      </c>
      <c r="AM347" s="7">
        <v>138.0</v>
      </c>
      <c r="AN347" s="7">
        <v>40.0</v>
      </c>
      <c r="AO347" s="7">
        <v>30.9</v>
      </c>
      <c r="AP347" s="9">
        <f t="shared" ref="AP347:AR347" si="1083">AG347/$AF347</f>
        <v>114.416</v>
      </c>
      <c r="AQ347" s="9">
        <f t="shared" si="1083"/>
        <v>42.065</v>
      </c>
      <c r="AR347" s="9">
        <f t="shared" si="1083"/>
        <v>48.912</v>
      </c>
      <c r="AS347" s="9">
        <f t="shared" si="11"/>
        <v>90.977</v>
      </c>
      <c r="AT347" s="9">
        <f t="shared" ref="AT347:AV347" si="1084">AJ347/$AF347</f>
        <v>16.507</v>
      </c>
      <c r="AU347" s="9">
        <f t="shared" si="1084"/>
        <v>5.347</v>
      </c>
      <c r="AV347" s="9">
        <f t="shared" si="1084"/>
        <v>1.585</v>
      </c>
      <c r="AW347" s="9">
        <f t="shared" si="13"/>
        <v>6.932</v>
      </c>
      <c r="AX347" s="9">
        <f t="shared" ref="AX347:AY347" si="1085">AM347/$AF347</f>
        <v>1.38</v>
      </c>
      <c r="AY347" s="9">
        <f t="shared" si="1085"/>
        <v>0.4</v>
      </c>
      <c r="AZ347" s="9">
        <f>VLOOKUP(A347,Jogos!A:BN,58,0)</f>
        <v>26.525</v>
      </c>
      <c r="BA347" s="9">
        <f>VLOOKUP(A347,Jogos!A:BN,59,0)</f>
        <v>10.915</v>
      </c>
      <c r="BB347" s="9">
        <f>VLOOKUP(A347,Jogos!A:BN,60,0)</f>
        <v>37</v>
      </c>
      <c r="BC347" s="9">
        <f>VLOOKUP(A347,Jogos!A:BN,61,0)</f>
        <v>25.12</v>
      </c>
      <c r="BD347" s="9">
        <f>VLOOKUP(A347,Jogos!A:BN,62,0)</f>
        <v>161.1</v>
      </c>
      <c r="BE347" s="9">
        <f>VLOOKUP(A347,Jogos!A:BN,63,0)</f>
        <v>1.07</v>
      </c>
      <c r="BF347" s="9">
        <f>VLOOKUP(A347,Jogos!A:BN,64,0)</f>
        <v>19.63</v>
      </c>
      <c r="BG347" s="9">
        <f>VLOOKUP(A347,Jogos!A:BN,65,0)</f>
        <v>38.52</v>
      </c>
      <c r="BH347" s="9">
        <f>VLOOKUP(A347,Jogos!A:BN,66,0)</f>
        <v>24.1</v>
      </c>
      <c r="BI347" s="9"/>
    </row>
    <row r="348" hidden="1">
      <c r="A348" s="10">
        <v>12.0</v>
      </c>
      <c r="B348" s="11" t="s">
        <v>623</v>
      </c>
      <c r="C348" s="2" t="s">
        <v>61</v>
      </c>
      <c r="D348" s="12">
        <v>45825.0</v>
      </c>
      <c r="E348" s="13">
        <v>0.75</v>
      </c>
      <c r="F348" s="5" t="str">
        <f>VLOOKUP(A348,Jogos!A:N,10,0)</f>
        <v>Evening</v>
      </c>
      <c r="G348" s="15" t="s">
        <v>186</v>
      </c>
      <c r="H348" s="6" t="str">
        <f>VLOOKUP(A348,Jogos!A:L,12,0)</f>
        <v>Open</v>
      </c>
      <c r="I348" s="6" t="str">
        <f>VLOOKUP(G348,'Estádios e Cidades'!A:B,2,0)</f>
        <v>Pasadena</v>
      </c>
      <c r="J348" s="11" t="s">
        <v>748</v>
      </c>
      <c r="K348" s="2" t="str">
        <f>VLOOKUP(J348,Equipes!A:F,6,0)</f>
        <v>Temperate</v>
      </c>
      <c r="L348" s="2">
        <f>VLOOKUP(J348,Equipes!A:C,3,0)</f>
        <v>12</v>
      </c>
      <c r="M348" s="2" t="str">
        <f t="shared" si="4"/>
        <v>Round of 16</v>
      </c>
      <c r="N348" s="11" t="s">
        <v>747</v>
      </c>
      <c r="O348" s="2">
        <f>VLOOKUP(N348,Equipes!A:C,3,0)</f>
        <v>15</v>
      </c>
      <c r="P348" s="2" t="str">
        <f t="shared" si="5"/>
        <v>Round of 16</v>
      </c>
      <c r="Q348" s="2">
        <f t="shared" si="6"/>
        <v>-3</v>
      </c>
      <c r="R348" s="2" t="str">
        <f>VLOOKUP(J348,Equipes!A:B,2,0)</f>
        <v>InterMilano</v>
      </c>
      <c r="S348" s="6" t="s">
        <v>789</v>
      </c>
      <c r="T348" s="7">
        <v>28.0</v>
      </c>
      <c r="U348" s="7" t="s">
        <v>790</v>
      </c>
      <c r="V348" s="7" t="str">
        <f>VLOOKUP(U348,Jogadores!B:C,2,0)</f>
        <v>DF</v>
      </c>
      <c r="W348" s="8">
        <f>VLOOKUP(U348,Jogadores!B:D,3,0)</f>
        <v>29.35342466</v>
      </c>
      <c r="X348" s="7">
        <v>0.0</v>
      </c>
      <c r="Y348" s="7">
        <v>59.0</v>
      </c>
      <c r="Z348" s="7">
        <f>VLOOKUP(A348,Jogos!A:L,3,0)</f>
        <v>49</v>
      </c>
      <c r="AA348" s="7">
        <f t="shared" si="7"/>
        <v>49</v>
      </c>
      <c r="AB348" s="7">
        <f>VLOOKUP(A348,Jogos!A:L,4,0)</f>
        <v>51</v>
      </c>
      <c r="AC348" s="7">
        <f t="shared" si="657"/>
        <v>14</v>
      </c>
      <c r="AD348" s="7"/>
      <c r="AE348" s="7"/>
      <c r="AF348" s="7">
        <f t="shared" si="9"/>
        <v>63</v>
      </c>
      <c r="AG348" s="7">
        <v>6747.5</v>
      </c>
      <c r="AH348" s="7">
        <v>2540.4</v>
      </c>
      <c r="AI348" s="7">
        <v>2853.7</v>
      </c>
      <c r="AJ348" s="7">
        <v>906.6</v>
      </c>
      <c r="AK348" s="7">
        <v>351.2</v>
      </c>
      <c r="AL348" s="7">
        <v>95.6</v>
      </c>
      <c r="AM348" s="7">
        <v>96.0</v>
      </c>
      <c r="AN348" s="7">
        <v>29.0</v>
      </c>
      <c r="AO348" s="7">
        <v>29.4</v>
      </c>
      <c r="AP348" s="9">
        <f t="shared" ref="AP348:AR348" si="1086">AG348/$AF348</f>
        <v>107.1031746</v>
      </c>
      <c r="AQ348" s="9">
        <f t="shared" si="1086"/>
        <v>40.32380952</v>
      </c>
      <c r="AR348" s="9">
        <f t="shared" si="1086"/>
        <v>45.2968254</v>
      </c>
      <c r="AS348" s="9">
        <f t="shared" si="11"/>
        <v>85.62063492</v>
      </c>
      <c r="AT348" s="9">
        <f t="shared" ref="AT348:AV348" si="1087">AJ348/$AF348</f>
        <v>14.39047619</v>
      </c>
      <c r="AU348" s="9">
        <f t="shared" si="1087"/>
        <v>5.574603175</v>
      </c>
      <c r="AV348" s="9">
        <f t="shared" si="1087"/>
        <v>1.517460317</v>
      </c>
      <c r="AW348" s="9">
        <f t="shared" si="13"/>
        <v>7.092063492</v>
      </c>
      <c r="AX348" s="9">
        <f t="shared" ref="AX348:AY348" si="1088">AM348/$AF348</f>
        <v>1.523809524</v>
      </c>
      <c r="AY348" s="9">
        <f t="shared" si="1088"/>
        <v>0.4603174603</v>
      </c>
      <c r="AZ348" s="9">
        <f>VLOOKUP(A348,Jogos!A:BN,58,0)</f>
        <v>26.525</v>
      </c>
      <c r="BA348" s="9">
        <f>VLOOKUP(A348,Jogos!A:BN,59,0)</f>
        <v>10.915</v>
      </c>
      <c r="BB348" s="9">
        <f>VLOOKUP(A348,Jogos!A:BN,60,0)</f>
        <v>37</v>
      </c>
      <c r="BC348" s="9">
        <f>VLOOKUP(A348,Jogos!A:BN,61,0)</f>
        <v>25.12</v>
      </c>
      <c r="BD348" s="9">
        <f>VLOOKUP(A348,Jogos!A:BN,62,0)</f>
        <v>161.1</v>
      </c>
      <c r="BE348" s="9">
        <f>VLOOKUP(A348,Jogos!A:BN,63,0)</f>
        <v>1.07</v>
      </c>
      <c r="BF348" s="9">
        <f>VLOOKUP(A348,Jogos!A:BN,64,0)</f>
        <v>19.63</v>
      </c>
      <c r="BG348" s="9">
        <f>VLOOKUP(A348,Jogos!A:BN,65,0)</f>
        <v>38.52</v>
      </c>
      <c r="BH348" s="9">
        <f>VLOOKUP(A348,Jogos!A:BN,66,0)</f>
        <v>24.1</v>
      </c>
      <c r="BI348" s="9"/>
    </row>
    <row r="349" hidden="1">
      <c r="A349" s="10">
        <v>12.0</v>
      </c>
      <c r="B349" s="11" t="s">
        <v>623</v>
      </c>
      <c r="C349" s="2" t="s">
        <v>61</v>
      </c>
      <c r="D349" s="12">
        <v>45825.0</v>
      </c>
      <c r="E349" s="13">
        <v>0.75</v>
      </c>
      <c r="F349" s="5" t="str">
        <f>VLOOKUP(A349,Jogos!A:N,10,0)</f>
        <v>Evening</v>
      </c>
      <c r="G349" s="15" t="s">
        <v>186</v>
      </c>
      <c r="H349" s="6" t="str">
        <f>VLOOKUP(A349,Jogos!A:L,12,0)</f>
        <v>Open</v>
      </c>
      <c r="I349" s="6" t="str">
        <f>VLOOKUP(G349,'Estádios e Cidades'!A:B,2,0)</f>
        <v>Pasadena</v>
      </c>
      <c r="J349" s="11" t="s">
        <v>748</v>
      </c>
      <c r="K349" s="2" t="str">
        <f>VLOOKUP(J349,Equipes!A:F,6,0)</f>
        <v>Temperate</v>
      </c>
      <c r="L349" s="2">
        <f>VLOOKUP(J349,Equipes!A:C,3,0)</f>
        <v>12</v>
      </c>
      <c r="M349" s="2" t="str">
        <f t="shared" si="4"/>
        <v>Round of 16</v>
      </c>
      <c r="N349" s="11" t="s">
        <v>747</v>
      </c>
      <c r="O349" s="2">
        <f>VLOOKUP(N349,Equipes!A:C,3,0)</f>
        <v>15</v>
      </c>
      <c r="P349" s="2" t="str">
        <f t="shared" si="5"/>
        <v>Round of 16</v>
      </c>
      <c r="Q349" s="2">
        <f t="shared" si="6"/>
        <v>-3</v>
      </c>
      <c r="R349" s="2" t="str">
        <f>VLOOKUP(J349,Equipes!A:B,2,0)</f>
        <v>InterMilano</v>
      </c>
      <c r="S349" s="6" t="s">
        <v>791</v>
      </c>
      <c r="T349" s="7">
        <v>30.0</v>
      </c>
      <c r="U349" s="7" t="s">
        <v>792</v>
      </c>
      <c r="V349" s="7" t="str">
        <f>VLOOKUP(U349,Jogadores!B:C,2,0)</f>
        <v>DF</v>
      </c>
      <c r="W349" s="8">
        <f>VLOOKUP(U349,Jogadores!B:D,3,0)</f>
        <v>26.57260274</v>
      </c>
      <c r="X349" s="7">
        <v>0.0</v>
      </c>
      <c r="Y349" s="7">
        <v>69.0</v>
      </c>
      <c r="Z349" s="7">
        <f>VLOOKUP(A349,Jogos!A:L,3,0)</f>
        <v>49</v>
      </c>
      <c r="AA349" s="7">
        <f t="shared" si="7"/>
        <v>49</v>
      </c>
      <c r="AB349" s="7">
        <f>VLOOKUP(A349,Jogos!A:L,4,0)</f>
        <v>51</v>
      </c>
      <c r="AC349" s="7">
        <f t="shared" si="657"/>
        <v>24</v>
      </c>
      <c r="AD349" s="7"/>
      <c r="AE349" s="7"/>
      <c r="AF349" s="7">
        <f t="shared" si="9"/>
        <v>73</v>
      </c>
      <c r="AG349" s="7">
        <v>7647.8</v>
      </c>
      <c r="AH349" s="7">
        <v>3146.2</v>
      </c>
      <c r="AI349" s="7">
        <v>2873.8</v>
      </c>
      <c r="AJ349" s="7">
        <v>911.3</v>
      </c>
      <c r="AK349" s="7">
        <v>440.9</v>
      </c>
      <c r="AL349" s="7">
        <v>275.7</v>
      </c>
      <c r="AM349" s="7">
        <v>74.0</v>
      </c>
      <c r="AN349" s="7">
        <v>38.0</v>
      </c>
      <c r="AO349" s="7">
        <v>33.6</v>
      </c>
      <c r="AP349" s="9">
        <f t="shared" ref="AP349:AR349" si="1089">AG349/$AF349</f>
        <v>104.7643836</v>
      </c>
      <c r="AQ349" s="9">
        <f t="shared" si="1089"/>
        <v>43.09863014</v>
      </c>
      <c r="AR349" s="9">
        <f t="shared" si="1089"/>
        <v>39.36712329</v>
      </c>
      <c r="AS349" s="9">
        <f t="shared" si="11"/>
        <v>82.46575342</v>
      </c>
      <c r="AT349" s="9">
        <f t="shared" ref="AT349:AV349" si="1090">AJ349/$AF349</f>
        <v>12.48356164</v>
      </c>
      <c r="AU349" s="9">
        <f t="shared" si="1090"/>
        <v>6.039726027</v>
      </c>
      <c r="AV349" s="9">
        <f t="shared" si="1090"/>
        <v>3.776712329</v>
      </c>
      <c r="AW349" s="9">
        <f t="shared" si="13"/>
        <v>9.816438356</v>
      </c>
      <c r="AX349" s="9">
        <f t="shared" ref="AX349:AY349" si="1091">AM349/$AF349</f>
        <v>1.01369863</v>
      </c>
      <c r="AY349" s="9">
        <f t="shared" si="1091"/>
        <v>0.5205479452</v>
      </c>
      <c r="AZ349" s="9">
        <f>VLOOKUP(A349,Jogos!A:BN,58,0)</f>
        <v>26.525</v>
      </c>
      <c r="BA349" s="9">
        <f>VLOOKUP(A349,Jogos!A:BN,59,0)</f>
        <v>10.915</v>
      </c>
      <c r="BB349" s="9">
        <f>VLOOKUP(A349,Jogos!A:BN,60,0)</f>
        <v>37</v>
      </c>
      <c r="BC349" s="9">
        <f>VLOOKUP(A349,Jogos!A:BN,61,0)</f>
        <v>25.12</v>
      </c>
      <c r="BD349" s="9">
        <f>VLOOKUP(A349,Jogos!A:BN,62,0)</f>
        <v>161.1</v>
      </c>
      <c r="BE349" s="9">
        <f>VLOOKUP(A349,Jogos!A:BN,63,0)</f>
        <v>1.07</v>
      </c>
      <c r="BF349" s="9">
        <f>VLOOKUP(A349,Jogos!A:BN,64,0)</f>
        <v>19.63</v>
      </c>
      <c r="BG349" s="9">
        <f>VLOOKUP(A349,Jogos!A:BN,65,0)</f>
        <v>38.52</v>
      </c>
      <c r="BH349" s="9">
        <f>VLOOKUP(A349,Jogos!A:BN,66,0)</f>
        <v>24.1</v>
      </c>
      <c r="BI349" s="9"/>
    </row>
    <row r="350" hidden="1">
      <c r="A350" s="10">
        <v>12.0</v>
      </c>
      <c r="B350" s="11" t="s">
        <v>623</v>
      </c>
      <c r="C350" s="2" t="s">
        <v>61</v>
      </c>
      <c r="D350" s="12">
        <v>45825.0</v>
      </c>
      <c r="E350" s="13">
        <v>0.75</v>
      </c>
      <c r="F350" s="5" t="str">
        <f>VLOOKUP(A350,Jogos!A:N,10,0)</f>
        <v>Evening</v>
      </c>
      <c r="G350" s="15" t="s">
        <v>186</v>
      </c>
      <c r="H350" s="6" t="str">
        <f>VLOOKUP(A350,Jogos!A:L,12,0)</f>
        <v>Open</v>
      </c>
      <c r="I350" s="6" t="str">
        <f>VLOOKUP(G350,'Estádios e Cidades'!A:B,2,0)</f>
        <v>Pasadena</v>
      </c>
      <c r="J350" s="11" t="s">
        <v>748</v>
      </c>
      <c r="K350" s="2" t="str">
        <f>VLOOKUP(J350,Equipes!A:F,6,0)</f>
        <v>Temperate</v>
      </c>
      <c r="L350" s="2">
        <f>VLOOKUP(J350,Equipes!A:C,3,0)</f>
        <v>12</v>
      </c>
      <c r="M350" s="2" t="str">
        <f t="shared" si="4"/>
        <v>Round of 16</v>
      </c>
      <c r="N350" s="11" t="s">
        <v>747</v>
      </c>
      <c r="O350" s="2">
        <f>VLOOKUP(N350,Equipes!A:C,3,0)</f>
        <v>15</v>
      </c>
      <c r="P350" s="2" t="str">
        <f t="shared" si="5"/>
        <v>Round of 16</v>
      </c>
      <c r="Q350" s="2">
        <f t="shared" si="6"/>
        <v>-3</v>
      </c>
      <c r="R350" s="2" t="str">
        <f>VLOOKUP(J350,Equipes!A:B,2,0)</f>
        <v>InterMilano</v>
      </c>
      <c r="S350" s="6" t="s">
        <v>793</v>
      </c>
      <c r="T350" s="7">
        <v>36.0</v>
      </c>
      <c r="U350" s="7" t="s">
        <v>794</v>
      </c>
      <c r="V350" s="7" t="str">
        <f>VLOOKUP(U350,Jogadores!B:C,2,0)</f>
        <v>DF</v>
      </c>
      <c r="W350" s="8">
        <f>VLOOKUP(U350,Jogadores!B:D,3,0)</f>
        <v>35.67671233</v>
      </c>
      <c r="X350" s="7">
        <v>0.0</v>
      </c>
      <c r="Y350" s="7">
        <f>45+AB350</f>
        <v>96</v>
      </c>
      <c r="Z350" s="7">
        <f>VLOOKUP(A350,Jogos!A:L,3,0)</f>
        <v>49</v>
      </c>
      <c r="AA350" s="7">
        <f t="shared" si="7"/>
        <v>49</v>
      </c>
      <c r="AB350" s="7">
        <f>VLOOKUP(A350,Jogos!A:L,4,0)</f>
        <v>51</v>
      </c>
      <c r="AC350" s="7">
        <f t="shared" si="657"/>
        <v>51</v>
      </c>
      <c r="AD350" s="7"/>
      <c r="AE350" s="7"/>
      <c r="AF350" s="7">
        <f t="shared" si="9"/>
        <v>100</v>
      </c>
      <c r="AG350" s="7">
        <v>10440.9</v>
      </c>
      <c r="AH350" s="7">
        <v>4444.8</v>
      </c>
      <c r="AI350" s="7">
        <v>3697.7</v>
      </c>
      <c r="AJ350" s="7">
        <v>1424.5</v>
      </c>
      <c r="AK350" s="7">
        <v>688.5</v>
      </c>
      <c r="AL350" s="7">
        <v>185.4</v>
      </c>
      <c r="AM350" s="7">
        <v>129.0</v>
      </c>
      <c r="AN350" s="7">
        <v>46.0</v>
      </c>
      <c r="AO350" s="7">
        <v>31.8</v>
      </c>
      <c r="AP350" s="9">
        <f t="shared" ref="AP350:AR350" si="1092">AG350/$AF350</f>
        <v>104.409</v>
      </c>
      <c r="AQ350" s="9">
        <f t="shared" si="1092"/>
        <v>44.448</v>
      </c>
      <c r="AR350" s="9">
        <f t="shared" si="1092"/>
        <v>36.977</v>
      </c>
      <c r="AS350" s="9">
        <f t="shared" si="11"/>
        <v>81.425</v>
      </c>
      <c r="AT350" s="9">
        <f t="shared" ref="AT350:AV350" si="1093">AJ350/$AF350</f>
        <v>14.245</v>
      </c>
      <c r="AU350" s="9">
        <f t="shared" si="1093"/>
        <v>6.885</v>
      </c>
      <c r="AV350" s="9">
        <f t="shared" si="1093"/>
        <v>1.854</v>
      </c>
      <c r="AW350" s="9">
        <f t="shared" si="13"/>
        <v>8.739</v>
      </c>
      <c r="AX350" s="9">
        <f t="shared" ref="AX350:AY350" si="1094">AM350/$AF350</f>
        <v>1.29</v>
      </c>
      <c r="AY350" s="9">
        <f t="shared" si="1094"/>
        <v>0.46</v>
      </c>
      <c r="AZ350" s="9">
        <f>VLOOKUP(A350,Jogos!A:BN,58,0)</f>
        <v>26.525</v>
      </c>
      <c r="BA350" s="9">
        <f>VLOOKUP(A350,Jogos!A:BN,59,0)</f>
        <v>10.915</v>
      </c>
      <c r="BB350" s="9">
        <f>VLOOKUP(A350,Jogos!A:BN,60,0)</f>
        <v>37</v>
      </c>
      <c r="BC350" s="9">
        <f>VLOOKUP(A350,Jogos!A:BN,61,0)</f>
        <v>25.12</v>
      </c>
      <c r="BD350" s="9">
        <f>VLOOKUP(A350,Jogos!A:BN,62,0)</f>
        <v>161.1</v>
      </c>
      <c r="BE350" s="9">
        <f>VLOOKUP(A350,Jogos!A:BN,63,0)</f>
        <v>1.07</v>
      </c>
      <c r="BF350" s="9">
        <f>VLOOKUP(A350,Jogos!A:BN,64,0)</f>
        <v>19.63</v>
      </c>
      <c r="BG350" s="9">
        <f>VLOOKUP(A350,Jogos!A:BN,65,0)</f>
        <v>38.52</v>
      </c>
      <c r="BH350" s="9">
        <f>VLOOKUP(A350,Jogos!A:BN,66,0)</f>
        <v>24.1</v>
      </c>
      <c r="BI350" s="9"/>
    </row>
    <row r="351" hidden="1">
      <c r="A351" s="10">
        <v>12.0</v>
      </c>
      <c r="B351" s="11" t="s">
        <v>623</v>
      </c>
      <c r="C351" s="2" t="s">
        <v>61</v>
      </c>
      <c r="D351" s="12">
        <v>45825.0</v>
      </c>
      <c r="E351" s="13">
        <v>0.75</v>
      </c>
      <c r="F351" s="5" t="str">
        <f>VLOOKUP(A351,Jogos!A:N,10,0)</f>
        <v>Evening</v>
      </c>
      <c r="G351" s="15" t="s">
        <v>186</v>
      </c>
      <c r="H351" s="6" t="str">
        <f>VLOOKUP(A351,Jogos!A:L,12,0)</f>
        <v>Open</v>
      </c>
      <c r="I351" s="6" t="str">
        <f>VLOOKUP(G351,'Estádios e Cidades'!A:B,2,0)</f>
        <v>Pasadena</v>
      </c>
      <c r="J351" s="11" t="s">
        <v>748</v>
      </c>
      <c r="K351" s="2" t="str">
        <f>VLOOKUP(J351,Equipes!A:F,6,0)</f>
        <v>Temperate</v>
      </c>
      <c r="L351" s="2">
        <f>VLOOKUP(J351,Equipes!A:C,3,0)</f>
        <v>12</v>
      </c>
      <c r="M351" s="2" t="str">
        <f t="shared" si="4"/>
        <v>Round of 16</v>
      </c>
      <c r="N351" s="11" t="s">
        <v>747</v>
      </c>
      <c r="O351" s="2">
        <f>VLOOKUP(N351,Equipes!A:C,3,0)</f>
        <v>15</v>
      </c>
      <c r="P351" s="2" t="str">
        <f t="shared" si="5"/>
        <v>Round of 16</v>
      </c>
      <c r="Q351" s="2">
        <f t="shared" si="6"/>
        <v>-3</v>
      </c>
      <c r="R351" s="2" t="str">
        <f>VLOOKUP(J351,Equipes!A:B,2,0)</f>
        <v>InterMilano</v>
      </c>
      <c r="S351" s="6" t="s">
        <v>795</v>
      </c>
      <c r="T351" s="7">
        <v>70.0</v>
      </c>
      <c r="U351" s="7" t="s">
        <v>796</v>
      </c>
      <c r="V351" s="7" t="str">
        <f>VLOOKUP(U351,Jogadores!B:C,2,0)</f>
        <v>FW</v>
      </c>
      <c r="W351" s="8">
        <f>VLOOKUP(U351,Jogadores!B:D,3,0)</f>
        <v>23.08767123</v>
      </c>
      <c r="X351" s="7">
        <v>0.0</v>
      </c>
      <c r="Y351" s="7">
        <v>58.0</v>
      </c>
      <c r="Z351" s="7">
        <f>VLOOKUP(A351,Jogos!A:L,3,0)</f>
        <v>49</v>
      </c>
      <c r="AA351" s="7">
        <f t="shared" si="7"/>
        <v>49</v>
      </c>
      <c r="AB351" s="7">
        <f>VLOOKUP(A351,Jogos!A:L,4,0)</f>
        <v>51</v>
      </c>
      <c r="AC351" s="7">
        <f t="shared" si="657"/>
        <v>13</v>
      </c>
      <c r="AD351" s="7"/>
      <c r="AE351" s="7"/>
      <c r="AF351" s="7">
        <f t="shared" si="9"/>
        <v>62</v>
      </c>
      <c r="AG351" s="7">
        <v>7258.1</v>
      </c>
      <c r="AH351" s="7">
        <v>2341.6</v>
      </c>
      <c r="AI351" s="7">
        <v>3102.4</v>
      </c>
      <c r="AJ351" s="7">
        <v>1172.0</v>
      </c>
      <c r="AK351" s="7">
        <v>544.0</v>
      </c>
      <c r="AL351" s="7">
        <v>98.0</v>
      </c>
      <c r="AM351" s="7">
        <v>105.0</v>
      </c>
      <c r="AN351" s="7">
        <v>40.0</v>
      </c>
      <c r="AO351" s="7">
        <v>30.1</v>
      </c>
      <c r="AP351" s="9">
        <f t="shared" ref="AP351:AR351" si="1095">AG351/$AF351</f>
        <v>117.066129</v>
      </c>
      <c r="AQ351" s="9">
        <f t="shared" si="1095"/>
        <v>37.76774194</v>
      </c>
      <c r="AR351" s="9">
        <f t="shared" si="1095"/>
        <v>50.03870968</v>
      </c>
      <c r="AS351" s="9">
        <f t="shared" si="11"/>
        <v>87.80645161</v>
      </c>
      <c r="AT351" s="9">
        <f t="shared" ref="AT351:AV351" si="1096">AJ351/$AF351</f>
        <v>18.90322581</v>
      </c>
      <c r="AU351" s="9">
        <f t="shared" si="1096"/>
        <v>8.774193548</v>
      </c>
      <c r="AV351" s="9">
        <f t="shared" si="1096"/>
        <v>1.580645161</v>
      </c>
      <c r="AW351" s="9">
        <f t="shared" si="13"/>
        <v>10.35483871</v>
      </c>
      <c r="AX351" s="9">
        <f t="shared" ref="AX351:AY351" si="1097">AM351/$AF351</f>
        <v>1.693548387</v>
      </c>
      <c r="AY351" s="9">
        <f t="shared" si="1097"/>
        <v>0.6451612903</v>
      </c>
      <c r="AZ351" s="9">
        <f>VLOOKUP(A351,Jogos!A:BN,58,0)</f>
        <v>26.525</v>
      </c>
      <c r="BA351" s="9">
        <f>VLOOKUP(A351,Jogos!A:BN,59,0)</f>
        <v>10.915</v>
      </c>
      <c r="BB351" s="9">
        <f>VLOOKUP(A351,Jogos!A:BN,60,0)</f>
        <v>37</v>
      </c>
      <c r="BC351" s="9">
        <f>VLOOKUP(A351,Jogos!A:BN,61,0)</f>
        <v>25.12</v>
      </c>
      <c r="BD351" s="9">
        <f>VLOOKUP(A351,Jogos!A:BN,62,0)</f>
        <v>161.1</v>
      </c>
      <c r="BE351" s="9">
        <f>VLOOKUP(A351,Jogos!A:BN,63,0)</f>
        <v>1.07</v>
      </c>
      <c r="BF351" s="9">
        <f>VLOOKUP(A351,Jogos!A:BN,64,0)</f>
        <v>19.63</v>
      </c>
      <c r="BG351" s="9">
        <f>VLOOKUP(A351,Jogos!A:BN,65,0)</f>
        <v>38.52</v>
      </c>
      <c r="BH351" s="9">
        <f>VLOOKUP(A351,Jogos!A:BN,66,0)</f>
        <v>24.1</v>
      </c>
      <c r="BI351" s="9"/>
    </row>
    <row r="352" hidden="1">
      <c r="A352" s="10">
        <v>12.0</v>
      </c>
      <c r="B352" s="11" t="s">
        <v>623</v>
      </c>
      <c r="C352" s="2" t="s">
        <v>61</v>
      </c>
      <c r="D352" s="12">
        <v>45825.0</v>
      </c>
      <c r="E352" s="13">
        <v>0.75</v>
      </c>
      <c r="F352" s="5" t="str">
        <f>VLOOKUP(A352,Jogos!A:N,10,0)</f>
        <v>Evening</v>
      </c>
      <c r="G352" s="15" t="s">
        <v>186</v>
      </c>
      <c r="H352" s="6" t="str">
        <f>VLOOKUP(A352,Jogos!A:L,12,0)</f>
        <v>Open</v>
      </c>
      <c r="I352" s="6" t="str">
        <f>VLOOKUP(G352,'Estádios e Cidades'!A:B,2,0)</f>
        <v>Pasadena</v>
      </c>
      <c r="J352" s="11" t="s">
        <v>748</v>
      </c>
      <c r="K352" s="2" t="str">
        <f>VLOOKUP(J352,Equipes!A:F,6,0)</f>
        <v>Temperate</v>
      </c>
      <c r="L352" s="2">
        <f>VLOOKUP(J352,Equipes!A:C,3,0)</f>
        <v>12</v>
      </c>
      <c r="M352" s="2" t="str">
        <f t="shared" si="4"/>
        <v>Round of 16</v>
      </c>
      <c r="N352" s="11" t="s">
        <v>747</v>
      </c>
      <c r="O352" s="2">
        <f>VLOOKUP(N352,Equipes!A:C,3,0)</f>
        <v>15</v>
      </c>
      <c r="P352" s="2" t="str">
        <f t="shared" si="5"/>
        <v>Round of 16</v>
      </c>
      <c r="Q352" s="2">
        <f t="shared" si="6"/>
        <v>-3</v>
      </c>
      <c r="R352" s="2" t="str">
        <f>VLOOKUP(J352,Equipes!A:B,2,0)</f>
        <v>InterMilano</v>
      </c>
      <c r="S352" s="6" t="s">
        <v>797</v>
      </c>
      <c r="T352" s="7">
        <v>95.0</v>
      </c>
      <c r="U352" s="7" t="s">
        <v>798</v>
      </c>
      <c r="V352" s="7" t="str">
        <f>VLOOKUP(U352,Jogadores!B:C,2,0)</f>
        <v>DF</v>
      </c>
      <c r="W352" s="8">
        <f>VLOOKUP(U352,Jogadores!B:D,3,0)</f>
        <v>26.30958904</v>
      </c>
      <c r="X352" s="7">
        <v>0.0</v>
      </c>
      <c r="Y352" s="7">
        <f t="shared" ref="Y352:Y359" si="1101">45+AB352</f>
        <v>96</v>
      </c>
      <c r="Z352" s="7">
        <f>VLOOKUP(A352,Jogos!A:L,3,0)</f>
        <v>49</v>
      </c>
      <c r="AA352" s="7">
        <f t="shared" si="7"/>
        <v>49</v>
      </c>
      <c r="AB352" s="7">
        <f>VLOOKUP(A352,Jogos!A:L,4,0)</f>
        <v>51</v>
      </c>
      <c r="AC352" s="7">
        <f t="shared" si="657"/>
        <v>51</v>
      </c>
      <c r="AD352" s="7"/>
      <c r="AE352" s="7"/>
      <c r="AF352" s="7">
        <f t="shared" si="9"/>
        <v>100</v>
      </c>
      <c r="AG352" s="7">
        <v>9945.7</v>
      </c>
      <c r="AH352" s="7">
        <v>4478.7</v>
      </c>
      <c r="AI352" s="7">
        <v>3837.2</v>
      </c>
      <c r="AJ352" s="7">
        <v>1085.3</v>
      </c>
      <c r="AK352" s="7">
        <v>421.4</v>
      </c>
      <c r="AL352" s="7">
        <v>123.1</v>
      </c>
      <c r="AM352" s="7">
        <v>93.0</v>
      </c>
      <c r="AN352" s="7">
        <v>34.0</v>
      </c>
      <c r="AO352" s="7">
        <v>30.9</v>
      </c>
      <c r="AP352" s="9">
        <f t="shared" ref="AP352:AR352" si="1098">AG352/$AF352</f>
        <v>99.457</v>
      </c>
      <c r="AQ352" s="9">
        <f t="shared" si="1098"/>
        <v>44.787</v>
      </c>
      <c r="AR352" s="9">
        <f t="shared" si="1098"/>
        <v>38.372</v>
      </c>
      <c r="AS352" s="9">
        <f t="shared" si="11"/>
        <v>83.159</v>
      </c>
      <c r="AT352" s="9">
        <f t="shared" ref="AT352:AV352" si="1099">AJ352/$AF352</f>
        <v>10.853</v>
      </c>
      <c r="AU352" s="9">
        <f t="shared" si="1099"/>
        <v>4.214</v>
      </c>
      <c r="AV352" s="9">
        <f t="shared" si="1099"/>
        <v>1.231</v>
      </c>
      <c r="AW352" s="9">
        <f t="shared" si="13"/>
        <v>5.445</v>
      </c>
      <c r="AX352" s="9">
        <f t="shared" ref="AX352:AY352" si="1100">AM352/$AF352</f>
        <v>0.93</v>
      </c>
      <c r="AY352" s="9">
        <f t="shared" si="1100"/>
        <v>0.34</v>
      </c>
      <c r="AZ352" s="9">
        <f>VLOOKUP(A352,Jogos!A:BN,58,0)</f>
        <v>26.525</v>
      </c>
      <c r="BA352" s="9">
        <f>VLOOKUP(A352,Jogos!A:BN,59,0)</f>
        <v>10.915</v>
      </c>
      <c r="BB352" s="9">
        <f>VLOOKUP(A352,Jogos!A:BN,60,0)</f>
        <v>37</v>
      </c>
      <c r="BC352" s="9">
        <f>VLOOKUP(A352,Jogos!A:BN,61,0)</f>
        <v>25.12</v>
      </c>
      <c r="BD352" s="9">
        <f>VLOOKUP(A352,Jogos!A:BN,62,0)</f>
        <v>161.1</v>
      </c>
      <c r="BE352" s="9">
        <f>VLOOKUP(A352,Jogos!A:BN,63,0)</f>
        <v>1.07</v>
      </c>
      <c r="BF352" s="9">
        <f>VLOOKUP(A352,Jogos!A:BN,64,0)</f>
        <v>19.63</v>
      </c>
      <c r="BG352" s="9">
        <f>VLOOKUP(A352,Jogos!A:BN,65,0)</f>
        <v>38.52</v>
      </c>
      <c r="BH352" s="9">
        <f>VLOOKUP(A352,Jogos!A:BN,66,0)</f>
        <v>24.1</v>
      </c>
      <c r="BI352" s="9"/>
    </row>
    <row r="353" hidden="1">
      <c r="A353" s="10">
        <v>12.0</v>
      </c>
      <c r="B353" s="11" t="s">
        <v>623</v>
      </c>
      <c r="C353" s="2" t="s">
        <v>61</v>
      </c>
      <c r="D353" s="12">
        <v>45825.0</v>
      </c>
      <c r="E353" s="13">
        <v>0.75</v>
      </c>
      <c r="F353" s="5" t="str">
        <f>VLOOKUP(A353,Jogos!A:N,10,0)</f>
        <v>Evening</v>
      </c>
      <c r="G353" s="15" t="s">
        <v>186</v>
      </c>
      <c r="H353" s="6" t="str">
        <f>VLOOKUP(A353,Jogos!A:L,12,0)</f>
        <v>Open</v>
      </c>
      <c r="I353" s="6" t="str">
        <f>VLOOKUP(G353,'Estádios e Cidades'!A:B,2,0)</f>
        <v>Pasadena</v>
      </c>
      <c r="J353" s="11" t="s">
        <v>748</v>
      </c>
      <c r="K353" s="2" t="str">
        <f>VLOOKUP(J353,Equipes!A:F,6,0)</f>
        <v>Temperate</v>
      </c>
      <c r="L353" s="2">
        <f>VLOOKUP(J353,Equipes!A:C,3,0)</f>
        <v>12</v>
      </c>
      <c r="M353" s="2" t="str">
        <f t="shared" si="4"/>
        <v>Round of 16</v>
      </c>
      <c r="N353" s="11" t="s">
        <v>747</v>
      </c>
      <c r="O353" s="2">
        <f>VLOOKUP(N353,Equipes!A:C,3,0)</f>
        <v>15</v>
      </c>
      <c r="P353" s="2" t="str">
        <f t="shared" si="5"/>
        <v>Round of 16</v>
      </c>
      <c r="Q353" s="2">
        <f t="shared" si="6"/>
        <v>-3</v>
      </c>
      <c r="R353" s="2" t="str">
        <f>VLOOKUP(J353,Equipes!A:B,2,0)</f>
        <v>InterMilano</v>
      </c>
      <c r="S353" s="6" t="s">
        <v>799</v>
      </c>
      <c r="T353" s="7">
        <v>8.0</v>
      </c>
      <c r="U353" s="7" t="s">
        <v>800</v>
      </c>
      <c r="V353" s="7" t="str">
        <f>VLOOKUP(U353,Jogadores!B:C,2,0)</f>
        <v>MF</v>
      </c>
      <c r="W353" s="8">
        <f>VLOOKUP(U353,Jogadores!B:D,3,0)</f>
        <v>21.77260274</v>
      </c>
      <c r="X353" s="7">
        <v>68.0</v>
      </c>
      <c r="Y353" s="7">
        <f t="shared" si="1101"/>
        <v>96</v>
      </c>
      <c r="Z353" s="7">
        <f>VLOOKUP(A353,Jogos!A:L,3,0)</f>
        <v>49</v>
      </c>
      <c r="AA353" s="7">
        <f t="shared" si="7"/>
        <v>0</v>
      </c>
      <c r="AB353" s="7">
        <f>VLOOKUP(A353,Jogos!A:L,4,0)</f>
        <v>51</v>
      </c>
      <c r="AC353" s="7">
        <f t="shared" si="657"/>
        <v>28</v>
      </c>
      <c r="AD353" s="7"/>
      <c r="AE353" s="7"/>
      <c r="AF353" s="7">
        <f t="shared" si="9"/>
        <v>28</v>
      </c>
      <c r="AG353" s="7">
        <v>3205.4</v>
      </c>
      <c r="AH353" s="7">
        <v>973.9</v>
      </c>
      <c r="AI353" s="7">
        <v>1481.0</v>
      </c>
      <c r="AJ353" s="7">
        <v>579.0</v>
      </c>
      <c r="AK353" s="7">
        <v>161.8</v>
      </c>
      <c r="AL353" s="7">
        <v>9.7</v>
      </c>
      <c r="AM353" s="7">
        <v>48.0</v>
      </c>
      <c r="AN353" s="7">
        <v>9.0</v>
      </c>
      <c r="AO353" s="7">
        <v>26.2</v>
      </c>
      <c r="AP353" s="9">
        <f t="shared" ref="AP353:AR353" si="1102">AG353/$AF353</f>
        <v>114.4785714</v>
      </c>
      <c r="AQ353" s="9">
        <f t="shared" si="1102"/>
        <v>34.78214286</v>
      </c>
      <c r="AR353" s="9">
        <f t="shared" si="1102"/>
        <v>52.89285714</v>
      </c>
      <c r="AS353" s="9">
        <f t="shared" si="11"/>
        <v>87.675</v>
      </c>
      <c r="AT353" s="9">
        <f t="shared" ref="AT353:AV353" si="1103">AJ353/$AF353</f>
        <v>20.67857143</v>
      </c>
      <c r="AU353" s="9">
        <f t="shared" si="1103"/>
        <v>5.778571429</v>
      </c>
      <c r="AV353" s="9">
        <f t="shared" si="1103"/>
        <v>0.3464285714</v>
      </c>
      <c r="AW353" s="9">
        <f t="shared" si="13"/>
        <v>6.125</v>
      </c>
      <c r="AX353" s="9">
        <f t="shared" ref="AX353:AY353" si="1104">AM353/$AF353</f>
        <v>1.714285714</v>
      </c>
      <c r="AY353" s="9">
        <f t="shared" si="1104"/>
        <v>0.3214285714</v>
      </c>
      <c r="AZ353" s="9">
        <f>VLOOKUP(A353,Jogos!A:BN,58,0)</f>
        <v>26.525</v>
      </c>
      <c r="BA353" s="9">
        <f>VLOOKUP(A353,Jogos!A:BN,59,0)</f>
        <v>10.915</v>
      </c>
      <c r="BB353" s="9">
        <f>VLOOKUP(A353,Jogos!A:BN,60,0)</f>
        <v>37</v>
      </c>
      <c r="BC353" s="9">
        <f>VLOOKUP(A353,Jogos!A:BN,61,0)</f>
        <v>25.12</v>
      </c>
      <c r="BD353" s="9">
        <f>VLOOKUP(A353,Jogos!A:BN,62,0)</f>
        <v>161.1</v>
      </c>
      <c r="BE353" s="9">
        <f>VLOOKUP(A353,Jogos!A:BN,63,0)</f>
        <v>1.07</v>
      </c>
      <c r="BF353" s="9">
        <f>VLOOKUP(A353,Jogos!A:BN,64,0)</f>
        <v>19.63</v>
      </c>
      <c r="BG353" s="9">
        <f>VLOOKUP(A353,Jogos!A:BN,65,0)</f>
        <v>38.52</v>
      </c>
      <c r="BH353" s="9">
        <f>VLOOKUP(A353,Jogos!A:BN,66,0)</f>
        <v>24.1</v>
      </c>
      <c r="BI353" s="9"/>
    </row>
    <row r="354" hidden="1">
      <c r="A354" s="10">
        <v>12.0</v>
      </c>
      <c r="B354" s="11" t="s">
        <v>623</v>
      </c>
      <c r="C354" s="2" t="s">
        <v>61</v>
      </c>
      <c r="D354" s="12">
        <v>45825.0</v>
      </c>
      <c r="E354" s="13">
        <v>0.75</v>
      </c>
      <c r="F354" s="5" t="str">
        <f>VLOOKUP(A354,Jogos!A:N,10,0)</f>
        <v>Evening</v>
      </c>
      <c r="G354" s="15" t="s">
        <v>186</v>
      </c>
      <c r="H354" s="6" t="str">
        <f>VLOOKUP(A354,Jogos!A:L,12,0)</f>
        <v>Open</v>
      </c>
      <c r="I354" s="6" t="str">
        <f>VLOOKUP(G354,'Estádios e Cidades'!A:B,2,0)</f>
        <v>Pasadena</v>
      </c>
      <c r="J354" s="11" t="s">
        <v>748</v>
      </c>
      <c r="K354" s="2" t="str">
        <f>VLOOKUP(J354,Equipes!A:F,6,0)</f>
        <v>Temperate</v>
      </c>
      <c r="L354" s="2">
        <f>VLOOKUP(J354,Equipes!A:C,3,0)</f>
        <v>12</v>
      </c>
      <c r="M354" s="2" t="str">
        <f t="shared" si="4"/>
        <v>Round of 16</v>
      </c>
      <c r="N354" s="11" t="s">
        <v>747</v>
      </c>
      <c r="O354" s="2">
        <f>VLOOKUP(N354,Equipes!A:C,3,0)</f>
        <v>15</v>
      </c>
      <c r="P354" s="2" t="str">
        <f t="shared" si="5"/>
        <v>Round of 16</v>
      </c>
      <c r="Q354" s="2">
        <f t="shared" si="6"/>
        <v>-3</v>
      </c>
      <c r="R354" s="2" t="str">
        <f>VLOOKUP(J354,Equipes!A:B,2,0)</f>
        <v>InterMilano</v>
      </c>
      <c r="S354" s="6" t="s">
        <v>801</v>
      </c>
      <c r="T354" s="7">
        <v>9.0</v>
      </c>
      <c r="U354" s="7" t="s">
        <v>802</v>
      </c>
      <c r="V354" s="7" t="str">
        <f>VLOOKUP(U354,Jogadores!B:C,2,0)</f>
        <v>FW</v>
      </c>
      <c r="W354" s="8">
        <f>VLOOKUP(U354,Jogadores!B:D,3,0)</f>
        <v>27.99452055</v>
      </c>
      <c r="X354" s="7">
        <v>58.0</v>
      </c>
      <c r="Y354" s="7">
        <f t="shared" si="1101"/>
        <v>96</v>
      </c>
      <c r="Z354" s="7">
        <f>VLOOKUP(A354,Jogos!A:L,3,0)</f>
        <v>49</v>
      </c>
      <c r="AA354" s="7">
        <f t="shared" si="7"/>
        <v>0</v>
      </c>
      <c r="AB354" s="7">
        <f>VLOOKUP(A354,Jogos!A:L,4,0)</f>
        <v>51</v>
      </c>
      <c r="AC354" s="7">
        <f t="shared" si="657"/>
        <v>38</v>
      </c>
      <c r="AD354" s="7"/>
      <c r="AE354" s="7"/>
      <c r="AF354" s="7">
        <f t="shared" si="9"/>
        <v>38</v>
      </c>
      <c r="AG354" s="7">
        <v>3654.5</v>
      </c>
      <c r="AH354" s="7">
        <v>1432.4</v>
      </c>
      <c r="AI354" s="7">
        <v>1348.8</v>
      </c>
      <c r="AJ354" s="7">
        <v>533.5</v>
      </c>
      <c r="AK354" s="7">
        <v>216.0</v>
      </c>
      <c r="AL354" s="7">
        <v>123.8</v>
      </c>
      <c r="AM354" s="7">
        <v>35.0</v>
      </c>
      <c r="AN354" s="7">
        <v>20.0</v>
      </c>
      <c r="AO354" s="7">
        <v>31.0</v>
      </c>
      <c r="AP354" s="9">
        <f t="shared" ref="AP354:AR354" si="1105">AG354/$AF354</f>
        <v>96.17105263</v>
      </c>
      <c r="AQ354" s="9">
        <f t="shared" si="1105"/>
        <v>37.69473684</v>
      </c>
      <c r="AR354" s="9">
        <f t="shared" si="1105"/>
        <v>35.49473684</v>
      </c>
      <c r="AS354" s="9">
        <f t="shared" si="11"/>
        <v>73.18947368</v>
      </c>
      <c r="AT354" s="9">
        <f t="shared" ref="AT354:AV354" si="1106">AJ354/$AF354</f>
        <v>14.03947368</v>
      </c>
      <c r="AU354" s="9">
        <f t="shared" si="1106"/>
        <v>5.684210526</v>
      </c>
      <c r="AV354" s="9">
        <f t="shared" si="1106"/>
        <v>3.257894737</v>
      </c>
      <c r="AW354" s="9">
        <f t="shared" si="13"/>
        <v>8.942105263</v>
      </c>
      <c r="AX354" s="9">
        <f t="shared" ref="AX354:AY354" si="1107">AM354/$AF354</f>
        <v>0.9210526316</v>
      </c>
      <c r="AY354" s="9">
        <f t="shared" si="1107"/>
        <v>0.5263157895</v>
      </c>
      <c r="AZ354" s="9">
        <f>VLOOKUP(A354,Jogos!A:BN,58,0)</f>
        <v>26.525</v>
      </c>
      <c r="BA354" s="9">
        <f>VLOOKUP(A354,Jogos!A:BN,59,0)</f>
        <v>10.915</v>
      </c>
      <c r="BB354" s="9">
        <f>VLOOKUP(A354,Jogos!A:BN,60,0)</f>
        <v>37</v>
      </c>
      <c r="BC354" s="9">
        <f>VLOOKUP(A354,Jogos!A:BN,61,0)</f>
        <v>25.12</v>
      </c>
      <c r="BD354" s="9">
        <f>VLOOKUP(A354,Jogos!A:BN,62,0)</f>
        <v>161.1</v>
      </c>
      <c r="BE354" s="9">
        <f>VLOOKUP(A354,Jogos!A:BN,63,0)</f>
        <v>1.07</v>
      </c>
      <c r="BF354" s="9">
        <f>VLOOKUP(A354,Jogos!A:BN,64,0)</f>
        <v>19.63</v>
      </c>
      <c r="BG354" s="9">
        <f>VLOOKUP(A354,Jogos!A:BN,65,0)</f>
        <v>38.52</v>
      </c>
      <c r="BH354" s="9">
        <f>VLOOKUP(A354,Jogos!A:BN,66,0)</f>
        <v>24.1</v>
      </c>
      <c r="BI354" s="9"/>
    </row>
    <row r="355" hidden="1">
      <c r="A355" s="10">
        <v>12.0</v>
      </c>
      <c r="B355" s="11" t="s">
        <v>623</v>
      </c>
      <c r="C355" s="2" t="s">
        <v>61</v>
      </c>
      <c r="D355" s="12">
        <v>45825.0</v>
      </c>
      <c r="E355" s="13">
        <v>0.75</v>
      </c>
      <c r="F355" s="5" t="str">
        <f>VLOOKUP(A355,Jogos!A:N,10,0)</f>
        <v>Evening</v>
      </c>
      <c r="G355" s="15" t="s">
        <v>186</v>
      </c>
      <c r="H355" s="6" t="str">
        <f>VLOOKUP(A355,Jogos!A:L,12,0)</f>
        <v>Open</v>
      </c>
      <c r="I355" s="6" t="str">
        <f>VLOOKUP(G355,'Estádios e Cidades'!A:B,2,0)</f>
        <v>Pasadena</v>
      </c>
      <c r="J355" s="11" t="s">
        <v>748</v>
      </c>
      <c r="K355" s="2" t="str">
        <f>VLOOKUP(J355,Equipes!A:F,6,0)</f>
        <v>Temperate</v>
      </c>
      <c r="L355" s="2">
        <f>VLOOKUP(J355,Equipes!A:C,3,0)</f>
        <v>12</v>
      </c>
      <c r="M355" s="2" t="str">
        <f t="shared" si="4"/>
        <v>Round of 16</v>
      </c>
      <c r="N355" s="11" t="s">
        <v>747</v>
      </c>
      <c r="O355" s="2">
        <f>VLOOKUP(N355,Equipes!A:C,3,0)</f>
        <v>15</v>
      </c>
      <c r="P355" s="2" t="str">
        <f t="shared" si="5"/>
        <v>Round of 16</v>
      </c>
      <c r="Q355" s="2">
        <f t="shared" si="6"/>
        <v>-3</v>
      </c>
      <c r="R355" s="2" t="str">
        <f>VLOOKUP(J355,Equipes!A:B,2,0)</f>
        <v>InterMilano</v>
      </c>
      <c r="S355" s="6" t="s">
        <v>803</v>
      </c>
      <c r="T355" s="7">
        <v>11.0</v>
      </c>
      <c r="U355" s="7" t="s">
        <v>804</v>
      </c>
      <c r="V355" s="7" t="str">
        <f>VLOOKUP(U355,Jogadores!B:C,2,0)</f>
        <v>MF</v>
      </c>
      <c r="W355" s="8">
        <f>VLOOKUP(U355,Jogadores!B:D,3,0)</f>
        <v>23.63561644</v>
      </c>
      <c r="X355" s="7">
        <v>59.0</v>
      </c>
      <c r="Y355" s="7">
        <f t="shared" si="1101"/>
        <v>96</v>
      </c>
      <c r="Z355" s="7">
        <f>VLOOKUP(A355,Jogos!A:L,3,0)</f>
        <v>49</v>
      </c>
      <c r="AA355" s="7">
        <f t="shared" si="7"/>
        <v>0</v>
      </c>
      <c r="AB355" s="7">
        <f>VLOOKUP(A355,Jogos!A:L,4,0)</f>
        <v>51</v>
      </c>
      <c r="AC355" s="7">
        <f t="shared" si="657"/>
        <v>37</v>
      </c>
      <c r="AD355" s="7"/>
      <c r="AE355" s="7"/>
      <c r="AF355" s="7">
        <f t="shared" si="9"/>
        <v>37</v>
      </c>
      <c r="AG355" s="7">
        <v>4321.1</v>
      </c>
      <c r="AH355" s="7">
        <v>1443.9</v>
      </c>
      <c r="AI355" s="7">
        <v>1749.7</v>
      </c>
      <c r="AJ355" s="7">
        <v>637.4</v>
      </c>
      <c r="AK355" s="7">
        <v>292.8</v>
      </c>
      <c r="AL355" s="7">
        <v>197.2</v>
      </c>
      <c r="AM355" s="7">
        <v>50.0</v>
      </c>
      <c r="AN355" s="7">
        <v>23.0</v>
      </c>
      <c r="AO355" s="7">
        <v>34.9</v>
      </c>
      <c r="AP355" s="9">
        <f t="shared" ref="AP355:AR355" si="1108">AG355/$AF355</f>
        <v>116.7864865</v>
      </c>
      <c r="AQ355" s="9">
        <f t="shared" si="1108"/>
        <v>39.02432432</v>
      </c>
      <c r="AR355" s="9">
        <f t="shared" si="1108"/>
        <v>47.28918919</v>
      </c>
      <c r="AS355" s="9">
        <f t="shared" si="11"/>
        <v>86.31351351</v>
      </c>
      <c r="AT355" s="9">
        <f t="shared" ref="AT355:AV355" si="1109">AJ355/$AF355</f>
        <v>17.22702703</v>
      </c>
      <c r="AU355" s="9">
        <f t="shared" si="1109"/>
        <v>7.913513514</v>
      </c>
      <c r="AV355" s="9">
        <f t="shared" si="1109"/>
        <v>5.32972973</v>
      </c>
      <c r="AW355" s="9">
        <f t="shared" si="13"/>
        <v>13.24324324</v>
      </c>
      <c r="AX355" s="9">
        <f t="shared" ref="AX355:AY355" si="1110">AM355/$AF355</f>
        <v>1.351351351</v>
      </c>
      <c r="AY355" s="9">
        <f t="shared" si="1110"/>
        <v>0.6216216216</v>
      </c>
      <c r="AZ355" s="9">
        <f>VLOOKUP(A355,Jogos!A:BN,58,0)</f>
        <v>26.525</v>
      </c>
      <c r="BA355" s="9">
        <f>VLOOKUP(A355,Jogos!A:BN,59,0)</f>
        <v>10.915</v>
      </c>
      <c r="BB355" s="9">
        <f>VLOOKUP(A355,Jogos!A:BN,60,0)</f>
        <v>37</v>
      </c>
      <c r="BC355" s="9">
        <f>VLOOKUP(A355,Jogos!A:BN,61,0)</f>
        <v>25.12</v>
      </c>
      <c r="BD355" s="9">
        <f>VLOOKUP(A355,Jogos!A:BN,62,0)</f>
        <v>161.1</v>
      </c>
      <c r="BE355" s="9">
        <f>VLOOKUP(A355,Jogos!A:BN,63,0)</f>
        <v>1.07</v>
      </c>
      <c r="BF355" s="9">
        <f>VLOOKUP(A355,Jogos!A:BN,64,0)</f>
        <v>19.63</v>
      </c>
      <c r="BG355" s="9">
        <f>VLOOKUP(A355,Jogos!A:BN,65,0)</f>
        <v>38.52</v>
      </c>
      <c r="BH355" s="9">
        <f>VLOOKUP(A355,Jogos!A:BN,66,0)</f>
        <v>24.1</v>
      </c>
      <c r="BI355" s="9"/>
    </row>
    <row r="356" hidden="1">
      <c r="A356" s="10">
        <v>12.0</v>
      </c>
      <c r="B356" s="11" t="s">
        <v>623</v>
      </c>
      <c r="C356" s="2" t="s">
        <v>61</v>
      </c>
      <c r="D356" s="12">
        <v>45825.0</v>
      </c>
      <c r="E356" s="13">
        <v>0.75</v>
      </c>
      <c r="F356" s="5" t="str">
        <f>VLOOKUP(A356,Jogos!A:N,10,0)</f>
        <v>Evening</v>
      </c>
      <c r="G356" s="15" t="s">
        <v>186</v>
      </c>
      <c r="H356" s="6" t="str">
        <f>VLOOKUP(A356,Jogos!A:L,12,0)</f>
        <v>Open</v>
      </c>
      <c r="I356" s="6" t="str">
        <f>VLOOKUP(G356,'Estádios e Cidades'!A:B,2,0)</f>
        <v>Pasadena</v>
      </c>
      <c r="J356" s="11" t="s">
        <v>748</v>
      </c>
      <c r="K356" s="2" t="str">
        <f>VLOOKUP(J356,Equipes!A:F,6,0)</f>
        <v>Temperate</v>
      </c>
      <c r="L356" s="2">
        <f>VLOOKUP(J356,Equipes!A:C,3,0)</f>
        <v>12</v>
      </c>
      <c r="M356" s="2" t="str">
        <f t="shared" si="4"/>
        <v>Round of 16</v>
      </c>
      <c r="N356" s="11" t="s">
        <v>747</v>
      </c>
      <c r="O356" s="2">
        <f>VLOOKUP(N356,Equipes!A:C,3,0)</f>
        <v>15</v>
      </c>
      <c r="P356" s="2" t="str">
        <f t="shared" si="5"/>
        <v>Round of 16</v>
      </c>
      <c r="Q356" s="2">
        <f t="shared" si="6"/>
        <v>-3</v>
      </c>
      <c r="R356" s="2" t="str">
        <f>VLOOKUP(J356,Equipes!A:B,2,0)</f>
        <v>InterMilano</v>
      </c>
      <c r="S356" s="6" t="s">
        <v>805</v>
      </c>
      <c r="T356" s="7">
        <v>32.0</v>
      </c>
      <c r="U356" s="7" t="s">
        <v>806</v>
      </c>
      <c r="V356" s="7" t="str">
        <f>VLOOKUP(U356,Jogadores!B:C,2,0)</f>
        <v>DF</v>
      </c>
      <c r="W356" s="8">
        <f>VLOOKUP(U356,Jogadores!B:D,3,0)</f>
        <v>27.73150685</v>
      </c>
      <c r="X356" s="7">
        <v>69.0</v>
      </c>
      <c r="Y356" s="7">
        <f t="shared" si="1101"/>
        <v>96</v>
      </c>
      <c r="Z356" s="7">
        <f>VLOOKUP(A356,Jogos!A:L,3,0)</f>
        <v>49</v>
      </c>
      <c r="AA356" s="7">
        <f t="shared" si="7"/>
        <v>0</v>
      </c>
      <c r="AB356" s="7">
        <f>VLOOKUP(A356,Jogos!A:L,4,0)</f>
        <v>51</v>
      </c>
      <c r="AC356" s="7">
        <f t="shared" si="657"/>
        <v>27</v>
      </c>
      <c r="AD356" s="7"/>
      <c r="AE356" s="7"/>
      <c r="AF356" s="7">
        <f t="shared" si="9"/>
        <v>27</v>
      </c>
      <c r="AG356" s="7">
        <v>2935.2</v>
      </c>
      <c r="AH356" s="7">
        <v>1093.8</v>
      </c>
      <c r="AI356" s="7">
        <v>1072.2</v>
      </c>
      <c r="AJ356" s="7">
        <v>456.2</v>
      </c>
      <c r="AK356" s="7">
        <v>230.4</v>
      </c>
      <c r="AL356" s="7">
        <v>82.7</v>
      </c>
      <c r="AM356" s="7">
        <v>39.0</v>
      </c>
      <c r="AN356" s="7">
        <v>17.0</v>
      </c>
      <c r="AO356" s="7">
        <v>30.2</v>
      </c>
      <c r="AP356" s="9">
        <f t="shared" ref="AP356:AR356" si="1111">AG356/$AF356</f>
        <v>108.7111111</v>
      </c>
      <c r="AQ356" s="9">
        <f t="shared" si="1111"/>
        <v>40.51111111</v>
      </c>
      <c r="AR356" s="9">
        <f t="shared" si="1111"/>
        <v>39.71111111</v>
      </c>
      <c r="AS356" s="9">
        <f t="shared" si="11"/>
        <v>80.22222222</v>
      </c>
      <c r="AT356" s="9">
        <f t="shared" ref="AT356:AV356" si="1112">AJ356/$AF356</f>
        <v>16.8962963</v>
      </c>
      <c r="AU356" s="9">
        <f t="shared" si="1112"/>
        <v>8.533333333</v>
      </c>
      <c r="AV356" s="9">
        <f t="shared" si="1112"/>
        <v>3.062962963</v>
      </c>
      <c r="AW356" s="9">
        <f t="shared" si="13"/>
        <v>11.5962963</v>
      </c>
      <c r="AX356" s="9">
        <f t="shared" ref="AX356:AY356" si="1113">AM356/$AF356</f>
        <v>1.444444444</v>
      </c>
      <c r="AY356" s="9">
        <f t="shared" si="1113"/>
        <v>0.6296296296</v>
      </c>
      <c r="AZ356" s="9">
        <f>VLOOKUP(A356,Jogos!A:BN,58,0)</f>
        <v>26.525</v>
      </c>
      <c r="BA356" s="9">
        <f>VLOOKUP(A356,Jogos!A:BN,59,0)</f>
        <v>10.915</v>
      </c>
      <c r="BB356" s="9">
        <f>VLOOKUP(A356,Jogos!A:BN,60,0)</f>
        <v>37</v>
      </c>
      <c r="BC356" s="9">
        <f>VLOOKUP(A356,Jogos!A:BN,61,0)</f>
        <v>25.12</v>
      </c>
      <c r="BD356" s="9">
        <f>VLOOKUP(A356,Jogos!A:BN,62,0)</f>
        <v>161.1</v>
      </c>
      <c r="BE356" s="9">
        <f>VLOOKUP(A356,Jogos!A:BN,63,0)</f>
        <v>1.07</v>
      </c>
      <c r="BF356" s="9">
        <f>VLOOKUP(A356,Jogos!A:BN,64,0)</f>
        <v>19.63</v>
      </c>
      <c r="BG356" s="9">
        <f>VLOOKUP(A356,Jogos!A:BN,65,0)</f>
        <v>38.52</v>
      </c>
      <c r="BH356" s="9">
        <f>VLOOKUP(A356,Jogos!A:BN,66,0)</f>
        <v>24.1</v>
      </c>
      <c r="BI356" s="9"/>
    </row>
    <row r="357" hidden="1">
      <c r="A357" s="10">
        <v>12.0</v>
      </c>
      <c r="B357" s="11" t="s">
        <v>623</v>
      </c>
      <c r="C357" s="2" t="s">
        <v>61</v>
      </c>
      <c r="D357" s="12">
        <v>45825.0</v>
      </c>
      <c r="E357" s="13">
        <v>0.75</v>
      </c>
      <c r="F357" s="5" t="str">
        <f>VLOOKUP(A357,Jogos!A:N,10,0)</f>
        <v>Evening</v>
      </c>
      <c r="G357" s="15" t="s">
        <v>186</v>
      </c>
      <c r="H357" s="6" t="str">
        <f>VLOOKUP(A357,Jogos!A:L,12,0)</f>
        <v>Open</v>
      </c>
      <c r="I357" s="6" t="str">
        <f>VLOOKUP(G357,'Estádios e Cidades'!A:B,2,0)</f>
        <v>Pasadena</v>
      </c>
      <c r="J357" s="11" t="s">
        <v>748</v>
      </c>
      <c r="K357" s="2" t="str">
        <f>VLOOKUP(J357,Equipes!A:F,6,0)</f>
        <v>Temperate</v>
      </c>
      <c r="L357" s="2">
        <f>VLOOKUP(J357,Equipes!A:C,3,0)</f>
        <v>12</v>
      </c>
      <c r="M357" s="2" t="str">
        <f t="shared" si="4"/>
        <v>Round of 16</v>
      </c>
      <c r="N357" s="11" t="s">
        <v>747</v>
      </c>
      <c r="O357" s="2">
        <f>VLOOKUP(N357,Equipes!A:C,3,0)</f>
        <v>15</v>
      </c>
      <c r="P357" s="2" t="str">
        <f t="shared" si="5"/>
        <v>Round of 16</v>
      </c>
      <c r="Q357" s="2">
        <f t="shared" si="6"/>
        <v>-3</v>
      </c>
      <c r="R357" s="2" t="str">
        <f>VLOOKUP(J357,Equipes!A:B,2,0)</f>
        <v>InterMilano</v>
      </c>
      <c r="S357" s="6" t="s">
        <v>807</v>
      </c>
      <c r="T357" s="7">
        <v>59.0</v>
      </c>
      <c r="U357" s="7" t="s">
        <v>808</v>
      </c>
      <c r="V357" s="7" t="str">
        <f>VLOOKUP(U357,Jogadores!B:C,2,0)</f>
        <v>MF</v>
      </c>
      <c r="W357" s="8">
        <f>VLOOKUP(U357,Jogadores!B:D,3,0)</f>
        <v>23.5260274</v>
      </c>
      <c r="X357" s="7">
        <v>78.0</v>
      </c>
      <c r="Y357" s="7">
        <f t="shared" si="1101"/>
        <v>96</v>
      </c>
      <c r="Z357" s="7">
        <f>VLOOKUP(A357,Jogos!A:L,3,0)</f>
        <v>49</v>
      </c>
      <c r="AA357" s="7">
        <f t="shared" si="7"/>
        <v>0</v>
      </c>
      <c r="AB357" s="7">
        <f>VLOOKUP(A357,Jogos!A:L,4,0)</f>
        <v>51</v>
      </c>
      <c r="AC357" s="7">
        <f t="shared" si="657"/>
        <v>18</v>
      </c>
      <c r="AD357" s="7"/>
      <c r="AE357" s="7"/>
      <c r="AF357" s="7">
        <f t="shared" si="9"/>
        <v>18</v>
      </c>
      <c r="AG357" s="7">
        <v>2168.5</v>
      </c>
      <c r="AH357" s="7">
        <v>759.0</v>
      </c>
      <c r="AI357" s="7">
        <v>783.4</v>
      </c>
      <c r="AJ357" s="7">
        <v>449.9</v>
      </c>
      <c r="AK357" s="7">
        <v>148.8</v>
      </c>
      <c r="AL357" s="7">
        <v>27.4</v>
      </c>
      <c r="AM357" s="7">
        <v>38.0</v>
      </c>
      <c r="AN357" s="7">
        <v>10.0</v>
      </c>
      <c r="AO357" s="7">
        <v>26.9</v>
      </c>
      <c r="AP357" s="9">
        <f t="shared" ref="AP357:AR357" si="1114">AG357/$AF357</f>
        <v>120.4722222</v>
      </c>
      <c r="AQ357" s="9">
        <f t="shared" si="1114"/>
        <v>42.16666667</v>
      </c>
      <c r="AR357" s="9">
        <f t="shared" si="1114"/>
        <v>43.52222222</v>
      </c>
      <c r="AS357" s="9">
        <f t="shared" si="11"/>
        <v>85.68888889</v>
      </c>
      <c r="AT357" s="9">
        <f t="shared" ref="AT357:AV357" si="1115">AJ357/$AF357</f>
        <v>24.99444444</v>
      </c>
      <c r="AU357" s="9">
        <f t="shared" si="1115"/>
        <v>8.266666667</v>
      </c>
      <c r="AV357" s="9">
        <f t="shared" si="1115"/>
        <v>1.522222222</v>
      </c>
      <c r="AW357" s="9">
        <f t="shared" si="13"/>
        <v>9.788888889</v>
      </c>
      <c r="AX357" s="9">
        <f t="shared" ref="AX357:AY357" si="1116">AM357/$AF357</f>
        <v>2.111111111</v>
      </c>
      <c r="AY357" s="9">
        <f t="shared" si="1116"/>
        <v>0.5555555556</v>
      </c>
      <c r="AZ357" s="9">
        <f>VLOOKUP(A357,Jogos!A:BN,58,0)</f>
        <v>26.525</v>
      </c>
      <c r="BA357" s="9">
        <f>VLOOKUP(A357,Jogos!A:BN,59,0)</f>
        <v>10.915</v>
      </c>
      <c r="BB357" s="9">
        <f>VLOOKUP(A357,Jogos!A:BN,60,0)</f>
        <v>37</v>
      </c>
      <c r="BC357" s="9">
        <f>VLOOKUP(A357,Jogos!A:BN,61,0)</f>
        <v>25.12</v>
      </c>
      <c r="BD357" s="9">
        <f>VLOOKUP(A357,Jogos!A:BN,62,0)</f>
        <v>161.1</v>
      </c>
      <c r="BE357" s="9">
        <f>VLOOKUP(A357,Jogos!A:BN,63,0)</f>
        <v>1.07</v>
      </c>
      <c r="BF357" s="9">
        <f>VLOOKUP(A357,Jogos!A:BN,64,0)</f>
        <v>19.63</v>
      </c>
      <c r="BG357" s="9">
        <f>VLOOKUP(A357,Jogos!A:BN,65,0)</f>
        <v>38.52</v>
      </c>
      <c r="BH357" s="9">
        <f>VLOOKUP(A357,Jogos!A:BN,66,0)</f>
        <v>24.1</v>
      </c>
      <c r="BI357" s="9"/>
    </row>
    <row r="358" hidden="1">
      <c r="A358" s="2">
        <v>13.0</v>
      </c>
      <c r="B358" s="11" t="s">
        <v>809</v>
      </c>
      <c r="C358" s="2" t="s">
        <v>61</v>
      </c>
      <c r="D358" s="3">
        <v>45826.0</v>
      </c>
      <c r="E358" s="4">
        <v>0.5</v>
      </c>
      <c r="F358" s="5" t="str">
        <f>VLOOKUP(A358,Jogos!A:N,10,0)</f>
        <v>Afternoon</v>
      </c>
      <c r="G358" s="2" t="s">
        <v>500</v>
      </c>
      <c r="H358" s="6" t="str">
        <f>VLOOKUP(A358,Jogos!A:L,12,0)</f>
        <v>Open</v>
      </c>
      <c r="I358" s="6" t="str">
        <f>VLOOKUP(G358,'Estádios e Cidades'!A:B,2,0)</f>
        <v>Philadelphia</v>
      </c>
      <c r="J358" s="2" t="s">
        <v>810</v>
      </c>
      <c r="K358" s="2" t="str">
        <f>VLOOKUP(J358,Equipes!A:F,6,0)</f>
        <v>Temperate</v>
      </c>
      <c r="L358" s="2">
        <f>VLOOKUP(J358,Equipes!A:C,3,0)</f>
        <v>9</v>
      </c>
      <c r="M358" s="2" t="str">
        <f t="shared" si="4"/>
        <v>Round of 16</v>
      </c>
      <c r="N358" s="2" t="s">
        <v>811</v>
      </c>
      <c r="O358" s="2">
        <f>VLOOKUP(N358,Equipes!A:C,3,0)</f>
        <v>31</v>
      </c>
      <c r="P358" s="2" t="str">
        <f t="shared" si="5"/>
        <v>Group</v>
      </c>
      <c r="Q358" s="2">
        <f t="shared" si="6"/>
        <v>-22</v>
      </c>
      <c r="R358" s="2" t="str">
        <f>VLOOKUP(J358,Equipes!A:B,2,0)</f>
        <v>City</v>
      </c>
      <c r="S358" s="6" t="s">
        <v>812</v>
      </c>
      <c r="T358" s="7">
        <v>4.0</v>
      </c>
      <c r="U358" s="7" t="s">
        <v>813</v>
      </c>
      <c r="V358" s="7" t="str">
        <f>VLOOKUP(U358,Jogadores!B:C,2,0)</f>
        <v>MF</v>
      </c>
      <c r="W358" s="8">
        <f>VLOOKUP(U358,Jogadores!B:D,3,0)</f>
        <v>27.01643836</v>
      </c>
      <c r="X358" s="7">
        <v>0.0</v>
      </c>
      <c r="Y358" s="7">
        <f t="shared" si="1101"/>
        <v>96</v>
      </c>
      <c r="Z358" s="7">
        <f>VLOOKUP(A358,Jogos!A:L,3,0)</f>
        <v>48</v>
      </c>
      <c r="AA358" s="7">
        <f t="shared" si="7"/>
        <v>48</v>
      </c>
      <c r="AB358" s="7">
        <f>VLOOKUP(A358,Jogos!A:L,4,0)</f>
        <v>51</v>
      </c>
      <c r="AC358" s="7">
        <f t="shared" si="657"/>
        <v>51</v>
      </c>
      <c r="AD358" s="7"/>
      <c r="AE358" s="7"/>
      <c r="AF358" s="7">
        <f t="shared" si="9"/>
        <v>99</v>
      </c>
      <c r="AG358" s="7">
        <v>10756.3</v>
      </c>
      <c r="AH358" s="7">
        <v>3727.2</v>
      </c>
      <c r="AI358" s="7">
        <v>4570.2</v>
      </c>
      <c r="AJ358" s="7">
        <v>1826.2</v>
      </c>
      <c r="AK358" s="7">
        <v>508.8</v>
      </c>
      <c r="AL358" s="7">
        <v>123.9</v>
      </c>
      <c r="AM358" s="7">
        <v>151.0</v>
      </c>
      <c r="AN358" s="7">
        <v>39.0</v>
      </c>
      <c r="AO358" s="7">
        <v>32.0</v>
      </c>
      <c r="AP358" s="9">
        <f t="shared" ref="AP358:AR358" si="1117">AG358/$AF358</f>
        <v>108.6494949</v>
      </c>
      <c r="AQ358" s="9">
        <f t="shared" si="1117"/>
        <v>37.64848485</v>
      </c>
      <c r="AR358" s="9">
        <f t="shared" si="1117"/>
        <v>46.16363636</v>
      </c>
      <c r="AS358" s="9">
        <f t="shared" si="11"/>
        <v>83.81212121</v>
      </c>
      <c r="AT358" s="9">
        <f t="shared" ref="AT358:AV358" si="1118">AJ358/$AF358</f>
        <v>18.44646465</v>
      </c>
      <c r="AU358" s="9">
        <f t="shared" si="1118"/>
        <v>5.139393939</v>
      </c>
      <c r="AV358" s="9">
        <f t="shared" si="1118"/>
        <v>1.251515152</v>
      </c>
      <c r="AW358" s="9">
        <f t="shared" si="13"/>
        <v>6.390909091</v>
      </c>
      <c r="AX358" s="9">
        <f t="shared" ref="AX358:AY358" si="1119">AM358/$AF358</f>
        <v>1.525252525</v>
      </c>
      <c r="AY358" s="9">
        <f t="shared" si="1119"/>
        <v>0.3939393939</v>
      </c>
      <c r="AZ358" s="9">
        <f>VLOOKUP(A358,Jogos!A:BN,58,0)</f>
        <v>28.235</v>
      </c>
      <c r="BA358" s="9">
        <f>VLOOKUP(A358,Jogos!A:BN,59,0)</f>
        <v>22.225</v>
      </c>
      <c r="BB358" s="9">
        <f>VLOOKUP(A358,Jogos!A:BN,60,0)</f>
        <v>69</v>
      </c>
      <c r="BC358" s="9">
        <f>VLOOKUP(A358,Jogos!A:BN,61,0)</f>
        <v>27.565</v>
      </c>
      <c r="BD358" s="9">
        <f>VLOOKUP(A358,Jogos!A:BN,62,0)</f>
        <v>277.7</v>
      </c>
      <c r="BE358" s="9">
        <f>VLOOKUP(A358,Jogos!A:BN,63,0)</f>
        <v>0.99</v>
      </c>
      <c r="BF358" s="9">
        <f>VLOOKUP(A358,Jogos!A:BN,64,0)</f>
        <v>24.795</v>
      </c>
      <c r="BG358" s="9">
        <f>VLOOKUP(A358,Jogos!A:BN,65,0)</f>
        <v>43.635</v>
      </c>
      <c r="BH358" s="9">
        <f>VLOOKUP(A358,Jogos!A:BN,66,0)</f>
        <v>28.905</v>
      </c>
      <c r="BI358" s="9"/>
    </row>
    <row r="359" hidden="1">
      <c r="A359" s="2">
        <v>13.0</v>
      </c>
      <c r="B359" s="11" t="s">
        <v>809</v>
      </c>
      <c r="C359" s="2" t="s">
        <v>61</v>
      </c>
      <c r="D359" s="3">
        <v>45826.0</v>
      </c>
      <c r="E359" s="4">
        <v>0.5</v>
      </c>
      <c r="F359" s="5" t="str">
        <f>VLOOKUP(A359,Jogos!A:N,10,0)</f>
        <v>Afternoon</v>
      </c>
      <c r="G359" s="2" t="s">
        <v>500</v>
      </c>
      <c r="H359" s="6" t="str">
        <f>VLOOKUP(A359,Jogos!A:L,12,0)</f>
        <v>Open</v>
      </c>
      <c r="I359" s="6" t="str">
        <f>VLOOKUP(G359,'Estádios e Cidades'!A:B,2,0)</f>
        <v>Philadelphia</v>
      </c>
      <c r="J359" s="2" t="s">
        <v>810</v>
      </c>
      <c r="K359" s="2" t="str">
        <f>VLOOKUP(J359,Equipes!A:F,6,0)</f>
        <v>Temperate</v>
      </c>
      <c r="L359" s="2">
        <f>VLOOKUP(J359,Equipes!A:C,3,0)</f>
        <v>9</v>
      </c>
      <c r="M359" s="2" t="str">
        <f t="shared" si="4"/>
        <v>Round of 16</v>
      </c>
      <c r="N359" s="2" t="s">
        <v>811</v>
      </c>
      <c r="O359" s="2">
        <f>VLOOKUP(N359,Equipes!A:C,3,0)</f>
        <v>31</v>
      </c>
      <c r="P359" s="2" t="str">
        <f t="shared" si="5"/>
        <v>Group</v>
      </c>
      <c r="Q359" s="2">
        <f t="shared" si="6"/>
        <v>-22</v>
      </c>
      <c r="R359" s="2" t="str">
        <f>VLOOKUP(J359,Equipes!A:B,2,0)</f>
        <v>City</v>
      </c>
      <c r="S359" s="6" t="s">
        <v>814</v>
      </c>
      <c r="T359" s="7">
        <v>6.0</v>
      </c>
      <c r="U359" s="7" t="s">
        <v>815</v>
      </c>
      <c r="V359" s="7" t="str">
        <f>VLOOKUP(U359,Jogadores!B:C,2,0)</f>
        <v>DF</v>
      </c>
      <c r="W359" s="8">
        <f>VLOOKUP(U359,Jogadores!B:D,3,0)</f>
        <v>30.46027397</v>
      </c>
      <c r="X359" s="7">
        <v>0.0</v>
      </c>
      <c r="Y359" s="7">
        <f t="shared" si="1101"/>
        <v>96</v>
      </c>
      <c r="Z359" s="7">
        <f>VLOOKUP(A359,Jogos!A:L,3,0)</f>
        <v>48</v>
      </c>
      <c r="AA359" s="7">
        <f t="shared" si="7"/>
        <v>48</v>
      </c>
      <c r="AB359" s="7">
        <f>VLOOKUP(A359,Jogos!A:L,4,0)</f>
        <v>51</v>
      </c>
      <c r="AC359" s="7">
        <f t="shared" si="657"/>
        <v>51</v>
      </c>
      <c r="AD359" s="7"/>
      <c r="AE359" s="7"/>
      <c r="AF359" s="7">
        <f t="shared" si="9"/>
        <v>99</v>
      </c>
      <c r="AG359" s="7">
        <v>9235.0</v>
      </c>
      <c r="AH359" s="7">
        <v>3739.6</v>
      </c>
      <c r="AI359" s="7">
        <v>3845.0</v>
      </c>
      <c r="AJ359" s="7">
        <v>1073.9</v>
      </c>
      <c r="AK359" s="7">
        <v>404.8</v>
      </c>
      <c r="AL359" s="7">
        <v>171.7</v>
      </c>
      <c r="AM359" s="7">
        <v>85.0</v>
      </c>
      <c r="AN359" s="7">
        <v>33.0</v>
      </c>
      <c r="AO359" s="7">
        <v>30.7</v>
      </c>
      <c r="AP359" s="9">
        <f t="shared" ref="AP359:AR359" si="1120">AG359/$AF359</f>
        <v>93.28282828</v>
      </c>
      <c r="AQ359" s="9">
        <f t="shared" si="1120"/>
        <v>37.77373737</v>
      </c>
      <c r="AR359" s="9">
        <f t="shared" si="1120"/>
        <v>38.83838384</v>
      </c>
      <c r="AS359" s="9">
        <f t="shared" si="11"/>
        <v>76.61212121</v>
      </c>
      <c r="AT359" s="9">
        <f t="shared" ref="AT359:AV359" si="1121">AJ359/$AF359</f>
        <v>10.84747475</v>
      </c>
      <c r="AU359" s="9">
        <f t="shared" si="1121"/>
        <v>4.088888889</v>
      </c>
      <c r="AV359" s="9">
        <f t="shared" si="1121"/>
        <v>1.734343434</v>
      </c>
      <c r="AW359" s="9">
        <f t="shared" si="13"/>
        <v>5.823232323</v>
      </c>
      <c r="AX359" s="9">
        <f t="shared" ref="AX359:AY359" si="1122">AM359/$AF359</f>
        <v>0.8585858586</v>
      </c>
      <c r="AY359" s="9">
        <f t="shared" si="1122"/>
        <v>0.3333333333</v>
      </c>
      <c r="AZ359" s="9">
        <f>VLOOKUP(A359,Jogos!A:BN,58,0)</f>
        <v>28.235</v>
      </c>
      <c r="BA359" s="9">
        <f>VLOOKUP(A359,Jogos!A:BN,59,0)</f>
        <v>22.225</v>
      </c>
      <c r="BB359" s="9">
        <f>VLOOKUP(A359,Jogos!A:BN,60,0)</f>
        <v>69</v>
      </c>
      <c r="BC359" s="9">
        <f>VLOOKUP(A359,Jogos!A:BN,61,0)</f>
        <v>27.565</v>
      </c>
      <c r="BD359" s="9">
        <f>VLOOKUP(A359,Jogos!A:BN,62,0)</f>
        <v>277.7</v>
      </c>
      <c r="BE359" s="9">
        <f>VLOOKUP(A359,Jogos!A:BN,63,0)</f>
        <v>0.99</v>
      </c>
      <c r="BF359" s="9">
        <f>VLOOKUP(A359,Jogos!A:BN,64,0)</f>
        <v>24.795</v>
      </c>
      <c r="BG359" s="9">
        <f>VLOOKUP(A359,Jogos!A:BN,65,0)</f>
        <v>43.635</v>
      </c>
      <c r="BH359" s="9">
        <f>VLOOKUP(A359,Jogos!A:BN,66,0)</f>
        <v>28.905</v>
      </c>
      <c r="BI359" s="9"/>
    </row>
    <row r="360" hidden="1">
      <c r="A360" s="2">
        <v>13.0</v>
      </c>
      <c r="B360" s="11" t="s">
        <v>809</v>
      </c>
      <c r="C360" s="2" t="s">
        <v>61</v>
      </c>
      <c r="D360" s="3">
        <v>45826.0</v>
      </c>
      <c r="E360" s="4">
        <v>0.5</v>
      </c>
      <c r="F360" s="5" t="str">
        <f>VLOOKUP(A360,Jogos!A:N,10,0)</f>
        <v>Afternoon</v>
      </c>
      <c r="G360" s="2" t="s">
        <v>500</v>
      </c>
      <c r="H360" s="6" t="str">
        <f>VLOOKUP(A360,Jogos!A:L,12,0)</f>
        <v>Open</v>
      </c>
      <c r="I360" s="6" t="str">
        <f>VLOOKUP(G360,'Estádios e Cidades'!A:B,2,0)</f>
        <v>Philadelphia</v>
      </c>
      <c r="J360" s="2" t="s">
        <v>810</v>
      </c>
      <c r="K360" s="2" t="str">
        <f>VLOOKUP(J360,Equipes!A:F,6,0)</f>
        <v>Temperate</v>
      </c>
      <c r="L360" s="2">
        <f>VLOOKUP(J360,Equipes!A:C,3,0)</f>
        <v>9</v>
      </c>
      <c r="M360" s="2" t="str">
        <f t="shared" si="4"/>
        <v>Round of 16</v>
      </c>
      <c r="N360" s="2" t="s">
        <v>811</v>
      </c>
      <c r="O360" s="2">
        <f>VLOOKUP(N360,Equipes!A:C,3,0)</f>
        <v>31</v>
      </c>
      <c r="P360" s="2" t="str">
        <f t="shared" si="5"/>
        <v>Group</v>
      </c>
      <c r="Q360" s="2">
        <f t="shared" si="6"/>
        <v>-22</v>
      </c>
      <c r="R360" s="2" t="str">
        <f>VLOOKUP(J360,Equipes!A:B,2,0)</f>
        <v>City</v>
      </c>
      <c r="S360" s="6" t="s">
        <v>816</v>
      </c>
      <c r="T360" s="7">
        <v>7.0</v>
      </c>
      <c r="U360" s="7" t="s">
        <v>817</v>
      </c>
      <c r="V360" s="7" t="str">
        <f>VLOOKUP(U360,Jogadores!B:C,2,0)</f>
        <v>FW</v>
      </c>
      <c r="W360" s="8">
        <f>VLOOKUP(U360,Jogadores!B:D,3,0)</f>
        <v>26.48767123</v>
      </c>
      <c r="X360" s="7">
        <v>0.0</v>
      </c>
      <c r="Y360" s="7">
        <v>69.0</v>
      </c>
      <c r="Z360" s="7">
        <f>VLOOKUP(A360,Jogos!A:L,3,0)</f>
        <v>48</v>
      </c>
      <c r="AA360" s="7">
        <f t="shared" si="7"/>
        <v>48</v>
      </c>
      <c r="AB360" s="7">
        <f>VLOOKUP(A360,Jogos!A:L,4,0)</f>
        <v>51</v>
      </c>
      <c r="AC360" s="7">
        <f t="shared" si="657"/>
        <v>24</v>
      </c>
      <c r="AD360" s="7"/>
      <c r="AE360" s="7"/>
      <c r="AF360" s="7">
        <f t="shared" si="9"/>
        <v>72</v>
      </c>
      <c r="AG360" s="7">
        <v>7267.1</v>
      </c>
      <c r="AH360" s="7">
        <v>2985.8</v>
      </c>
      <c r="AI360" s="7">
        <v>2848.0</v>
      </c>
      <c r="AJ360" s="7">
        <v>907.4</v>
      </c>
      <c r="AK360" s="7">
        <v>384.5</v>
      </c>
      <c r="AL360" s="7">
        <v>141.3</v>
      </c>
      <c r="AM360" s="7">
        <v>72.0</v>
      </c>
      <c r="AN360" s="7">
        <v>39.0</v>
      </c>
      <c r="AO360" s="7">
        <v>31.0</v>
      </c>
      <c r="AP360" s="9">
        <f t="shared" ref="AP360:AR360" si="1123">AG360/$AF360</f>
        <v>100.9319444</v>
      </c>
      <c r="AQ360" s="9">
        <f t="shared" si="1123"/>
        <v>41.46944444</v>
      </c>
      <c r="AR360" s="9">
        <f t="shared" si="1123"/>
        <v>39.55555556</v>
      </c>
      <c r="AS360" s="9">
        <f t="shared" si="11"/>
        <v>81.025</v>
      </c>
      <c r="AT360" s="9">
        <f t="shared" ref="AT360:AV360" si="1124">AJ360/$AF360</f>
        <v>12.60277778</v>
      </c>
      <c r="AU360" s="9">
        <f t="shared" si="1124"/>
        <v>5.340277778</v>
      </c>
      <c r="AV360" s="9">
        <f t="shared" si="1124"/>
        <v>1.9625</v>
      </c>
      <c r="AW360" s="9">
        <f t="shared" si="13"/>
        <v>7.302777778</v>
      </c>
      <c r="AX360" s="9">
        <f t="shared" ref="AX360:AY360" si="1125">AM360/$AF360</f>
        <v>1</v>
      </c>
      <c r="AY360" s="9">
        <f t="shared" si="1125"/>
        <v>0.5416666667</v>
      </c>
      <c r="AZ360" s="9">
        <f>VLOOKUP(A360,Jogos!A:BN,58,0)</f>
        <v>28.235</v>
      </c>
      <c r="BA360" s="9">
        <f>VLOOKUP(A360,Jogos!A:BN,59,0)</f>
        <v>22.225</v>
      </c>
      <c r="BB360" s="9">
        <f>VLOOKUP(A360,Jogos!A:BN,60,0)</f>
        <v>69</v>
      </c>
      <c r="BC360" s="9">
        <f>VLOOKUP(A360,Jogos!A:BN,61,0)</f>
        <v>27.565</v>
      </c>
      <c r="BD360" s="9">
        <f>VLOOKUP(A360,Jogos!A:BN,62,0)</f>
        <v>277.7</v>
      </c>
      <c r="BE360" s="9">
        <f>VLOOKUP(A360,Jogos!A:BN,63,0)</f>
        <v>0.99</v>
      </c>
      <c r="BF360" s="9">
        <f>VLOOKUP(A360,Jogos!A:BN,64,0)</f>
        <v>24.795</v>
      </c>
      <c r="BG360" s="9">
        <f>VLOOKUP(A360,Jogos!A:BN,65,0)</f>
        <v>43.635</v>
      </c>
      <c r="BH360" s="9">
        <f>VLOOKUP(A360,Jogos!A:BN,66,0)</f>
        <v>28.905</v>
      </c>
      <c r="BI360" s="9"/>
    </row>
    <row r="361" hidden="1">
      <c r="A361" s="2">
        <v>13.0</v>
      </c>
      <c r="B361" s="11" t="s">
        <v>809</v>
      </c>
      <c r="C361" s="2" t="s">
        <v>61</v>
      </c>
      <c r="D361" s="3">
        <v>45826.0</v>
      </c>
      <c r="E361" s="4">
        <v>0.5</v>
      </c>
      <c r="F361" s="5" t="str">
        <f>VLOOKUP(A361,Jogos!A:N,10,0)</f>
        <v>Afternoon</v>
      </c>
      <c r="G361" s="2" t="s">
        <v>500</v>
      </c>
      <c r="H361" s="6" t="str">
        <f>VLOOKUP(A361,Jogos!A:L,12,0)</f>
        <v>Open</v>
      </c>
      <c r="I361" s="6" t="str">
        <f>VLOOKUP(G361,'Estádios e Cidades'!A:B,2,0)</f>
        <v>Philadelphia</v>
      </c>
      <c r="J361" s="2" t="s">
        <v>810</v>
      </c>
      <c r="K361" s="2" t="str">
        <f>VLOOKUP(J361,Equipes!A:F,6,0)</f>
        <v>Temperate</v>
      </c>
      <c r="L361" s="2">
        <f>VLOOKUP(J361,Equipes!A:C,3,0)</f>
        <v>9</v>
      </c>
      <c r="M361" s="2" t="str">
        <f t="shared" si="4"/>
        <v>Round of 16</v>
      </c>
      <c r="N361" s="2" t="s">
        <v>811</v>
      </c>
      <c r="O361" s="2">
        <f>VLOOKUP(N361,Equipes!A:C,3,0)</f>
        <v>31</v>
      </c>
      <c r="P361" s="2" t="str">
        <f t="shared" si="5"/>
        <v>Group</v>
      </c>
      <c r="Q361" s="2">
        <f t="shared" si="6"/>
        <v>-22</v>
      </c>
      <c r="R361" s="2" t="str">
        <f>VLOOKUP(J361,Equipes!A:B,2,0)</f>
        <v>City</v>
      </c>
      <c r="S361" s="6" t="s">
        <v>818</v>
      </c>
      <c r="T361" s="7">
        <v>11.0</v>
      </c>
      <c r="U361" s="7" t="s">
        <v>819</v>
      </c>
      <c r="V361" s="7" t="str">
        <f>VLOOKUP(U361,Jogadores!B:C,2,0)</f>
        <v>MF</v>
      </c>
      <c r="W361" s="8">
        <f>VLOOKUP(U361,Jogadores!B:D,3,0)</f>
        <v>23.18630137</v>
      </c>
      <c r="X361" s="7">
        <v>0.0</v>
      </c>
      <c r="Y361" s="7">
        <v>59.0</v>
      </c>
      <c r="Z361" s="7">
        <f>VLOOKUP(A361,Jogos!A:L,3,0)</f>
        <v>48</v>
      </c>
      <c r="AA361" s="7">
        <f t="shared" si="7"/>
        <v>48</v>
      </c>
      <c r="AB361" s="7">
        <f>VLOOKUP(A361,Jogos!A:L,4,0)</f>
        <v>51</v>
      </c>
      <c r="AC361" s="7">
        <f t="shared" si="657"/>
        <v>14</v>
      </c>
      <c r="AD361" s="7"/>
      <c r="AE361" s="7"/>
      <c r="AF361" s="7">
        <f t="shared" si="9"/>
        <v>62</v>
      </c>
      <c r="AG361" s="7">
        <v>6397.4</v>
      </c>
      <c r="AH361" s="7">
        <v>2642.4</v>
      </c>
      <c r="AI361" s="7">
        <v>2169.8</v>
      </c>
      <c r="AJ361" s="7">
        <v>978.6</v>
      </c>
      <c r="AK361" s="7">
        <v>431.2</v>
      </c>
      <c r="AL361" s="7">
        <v>175.3</v>
      </c>
      <c r="AM361" s="7">
        <v>87.0</v>
      </c>
      <c r="AN361" s="7">
        <v>36.0</v>
      </c>
      <c r="AO361" s="7">
        <v>31.1</v>
      </c>
      <c r="AP361" s="9">
        <f t="shared" ref="AP361:AR361" si="1126">AG361/$AF361</f>
        <v>103.183871</v>
      </c>
      <c r="AQ361" s="9">
        <f t="shared" si="1126"/>
        <v>42.61935484</v>
      </c>
      <c r="AR361" s="9">
        <f t="shared" si="1126"/>
        <v>34.99677419</v>
      </c>
      <c r="AS361" s="9">
        <f t="shared" si="11"/>
        <v>77.61612903</v>
      </c>
      <c r="AT361" s="9">
        <f t="shared" ref="AT361:AV361" si="1127">AJ361/$AF361</f>
        <v>15.78387097</v>
      </c>
      <c r="AU361" s="9">
        <f t="shared" si="1127"/>
        <v>6.95483871</v>
      </c>
      <c r="AV361" s="9">
        <f t="shared" si="1127"/>
        <v>2.827419355</v>
      </c>
      <c r="AW361" s="9">
        <f t="shared" si="13"/>
        <v>9.782258065</v>
      </c>
      <c r="AX361" s="9">
        <f t="shared" ref="AX361:AY361" si="1128">AM361/$AF361</f>
        <v>1.403225806</v>
      </c>
      <c r="AY361" s="9">
        <f t="shared" si="1128"/>
        <v>0.5806451613</v>
      </c>
      <c r="AZ361" s="9">
        <f>VLOOKUP(A361,Jogos!A:BN,58,0)</f>
        <v>28.235</v>
      </c>
      <c r="BA361" s="9">
        <f>VLOOKUP(A361,Jogos!A:BN,59,0)</f>
        <v>22.225</v>
      </c>
      <c r="BB361" s="9">
        <f>VLOOKUP(A361,Jogos!A:BN,60,0)</f>
        <v>69</v>
      </c>
      <c r="BC361" s="9">
        <f>VLOOKUP(A361,Jogos!A:BN,61,0)</f>
        <v>27.565</v>
      </c>
      <c r="BD361" s="9">
        <f>VLOOKUP(A361,Jogos!A:BN,62,0)</f>
        <v>277.7</v>
      </c>
      <c r="BE361" s="9">
        <f>VLOOKUP(A361,Jogos!A:BN,63,0)</f>
        <v>0.99</v>
      </c>
      <c r="BF361" s="9">
        <f>VLOOKUP(A361,Jogos!A:BN,64,0)</f>
        <v>24.795</v>
      </c>
      <c r="BG361" s="9">
        <f>VLOOKUP(A361,Jogos!A:BN,65,0)</f>
        <v>43.635</v>
      </c>
      <c r="BH361" s="9">
        <f>VLOOKUP(A361,Jogos!A:BN,66,0)</f>
        <v>28.905</v>
      </c>
      <c r="BI361" s="9"/>
    </row>
    <row r="362" hidden="1">
      <c r="A362" s="2">
        <v>13.0</v>
      </c>
      <c r="B362" s="11" t="s">
        <v>809</v>
      </c>
      <c r="C362" s="2" t="s">
        <v>61</v>
      </c>
      <c r="D362" s="3">
        <v>45826.0</v>
      </c>
      <c r="E362" s="4">
        <v>0.5</v>
      </c>
      <c r="F362" s="5" t="str">
        <f>VLOOKUP(A362,Jogos!A:N,10,0)</f>
        <v>Afternoon</v>
      </c>
      <c r="G362" s="2" t="s">
        <v>500</v>
      </c>
      <c r="H362" s="6" t="str">
        <f>VLOOKUP(A362,Jogos!A:L,12,0)</f>
        <v>Open</v>
      </c>
      <c r="I362" s="6" t="str">
        <f>VLOOKUP(G362,'Estádios e Cidades'!A:B,2,0)</f>
        <v>Philadelphia</v>
      </c>
      <c r="J362" s="2" t="s">
        <v>810</v>
      </c>
      <c r="K362" s="2" t="str">
        <f>VLOOKUP(J362,Equipes!A:F,6,0)</f>
        <v>Temperate</v>
      </c>
      <c r="L362" s="2">
        <f>VLOOKUP(J362,Equipes!A:C,3,0)</f>
        <v>9</v>
      </c>
      <c r="M362" s="2" t="str">
        <f t="shared" si="4"/>
        <v>Round of 16</v>
      </c>
      <c r="N362" s="2" t="s">
        <v>811</v>
      </c>
      <c r="O362" s="2">
        <f>VLOOKUP(N362,Equipes!A:C,3,0)</f>
        <v>31</v>
      </c>
      <c r="P362" s="2" t="str">
        <f t="shared" si="5"/>
        <v>Group</v>
      </c>
      <c r="Q362" s="2">
        <f t="shared" si="6"/>
        <v>-22</v>
      </c>
      <c r="R362" s="2" t="str">
        <f>VLOOKUP(J362,Equipes!A:B,2,0)</f>
        <v>City</v>
      </c>
      <c r="S362" s="6" t="s">
        <v>820</v>
      </c>
      <c r="T362" s="7">
        <v>22.0</v>
      </c>
      <c r="U362" s="7" t="s">
        <v>821</v>
      </c>
      <c r="V362" s="7" t="str">
        <f>VLOOKUP(U362,Jogadores!B:C,2,0)</f>
        <v>DF</v>
      </c>
      <c r="W362" s="8">
        <f>VLOOKUP(U362,Jogadores!B:D,3,0)</f>
        <v>19.55342466</v>
      </c>
      <c r="X362" s="7">
        <v>0.0</v>
      </c>
      <c r="Y362" s="7">
        <f>45+AB362</f>
        <v>96</v>
      </c>
      <c r="Z362" s="7">
        <f>VLOOKUP(A362,Jogos!A:L,3,0)</f>
        <v>48</v>
      </c>
      <c r="AA362" s="7">
        <f t="shared" si="7"/>
        <v>48</v>
      </c>
      <c r="AB362" s="7">
        <f>VLOOKUP(A362,Jogos!A:L,4,0)</f>
        <v>51</v>
      </c>
      <c r="AC362" s="7">
        <f t="shared" si="657"/>
        <v>51</v>
      </c>
      <c r="AD362" s="7"/>
      <c r="AE362" s="7"/>
      <c r="AF362" s="7">
        <f t="shared" si="9"/>
        <v>99</v>
      </c>
      <c r="AG362" s="7">
        <v>9977.5</v>
      </c>
      <c r="AH362" s="7">
        <v>4343.8</v>
      </c>
      <c r="AI362" s="7">
        <v>3693.0</v>
      </c>
      <c r="AJ362" s="7">
        <v>1205.4</v>
      </c>
      <c r="AK362" s="7">
        <v>526.8</v>
      </c>
      <c r="AL362" s="7">
        <v>208.5</v>
      </c>
      <c r="AM362" s="7">
        <v>105.0</v>
      </c>
      <c r="AN362" s="7">
        <v>42.0</v>
      </c>
      <c r="AO362" s="7">
        <v>33.1</v>
      </c>
      <c r="AP362" s="9">
        <f t="shared" ref="AP362:AR362" si="1129">AG362/$AF362</f>
        <v>100.7828283</v>
      </c>
      <c r="AQ362" s="9">
        <f t="shared" si="1129"/>
        <v>43.87676768</v>
      </c>
      <c r="AR362" s="9">
        <f t="shared" si="1129"/>
        <v>37.3030303</v>
      </c>
      <c r="AS362" s="9">
        <f t="shared" si="11"/>
        <v>81.17979798</v>
      </c>
      <c r="AT362" s="9">
        <f t="shared" ref="AT362:AV362" si="1130">AJ362/$AF362</f>
        <v>12.17575758</v>
      </c>
      <c r="AU362" s="9">
        <f t="shared" si="1130"/>
        <v>5.321212121</v>
      </c>
      <c r="AV362" s="9">
        <f t="shared" si="1130"/>
        <v>2.106060606</v>
      </c>
      <c r="AW362" s="9">
        <f t="shared" si="13"/>
        <v>7.427272727</v>
      </c>
      <c r="AX362" s="9">
        <f t="shared" ref="AX362:AY362" si="1131">AM362/$AF362</f>
        <v>1.060606061</v>
      </c>
      <c r="AY362" s="9">
        <f t="shared" si="1131"/>
        <v>0.4242424242</v>
      </c>
      <c r="AZ362" s="9">
        <f>VLOOKUP(A362,Jogos!A:BN,58,0)</f>
        <v>28.235</v>
      </c>
      <c r="BA362" s="9">
        <f>VLOOKUP(A362,Jogos!A:BN,59,0)</f>
        <v>22.225</v>
      </c>
      <c r="BB362" s="9">
        <f>VLOOKUP(A362,Jogos!A:BN,60,0)</f>
        <v>69</v>
      </c>
      <c r="BC362" s="9">
        <f>VLOOKUP(A362,Jogos!A:BN,61,0)</f>
        <v>27.565</v>
      </c>
      <c r="BD362" s="9">
        <f>VLOOKUP(A362,Jogos!A:BN,62,0)</f>
        <v>277.7</v>
      </c>
      <c r="BE362" s="9">
        <f>VLOOKUP(A362,Jogos!A:BN,63,0)</f>
        <v>0.99</v>
      </c>
      <c r="BF362" s="9">
        <f>VLOOKUP(A362,Jogos!A:BN,64,0)</f>
        <v>24.795</v>
      </c>
      <c r="BG362" s="9">
        <f>VLOOKUP(A362,Jogos!A:BN,65,0)</f>
        <v>43.635</v>
      </c>
      <c r="BH362" s="9">
        <f>VLOOKUP(A362,Jogos!A:BN,66,0)</f>
        <v>28.905</v>
      </c>
      <c r="BI362" s="9"/>
    </row>
    <row r="363" hidden="1">
      <c r="A363" s="2">
        <v>13.0</v>
      </c>
      <c r="B363" s="11" t="s">
        <v>809</v>
      </c>
      <c r="C363" s="2" t="s">
        <v>61</v>
      </c>
      <c r="D363" s="3">
        <v>45826.0</v>
      </c>
      <c r="E363" s="4">
        <v>0.5</v>
      </c>
      <c r="F363" s="5" t="str">
        <f>VLOOKUP(A363,Jogos!A:N,10,0)</f>
        <v>Afternoon</v>
      </c>
      <c r="G363" s="2" t="s">
        <v>500</v>
      </c>
      <c r="H363" s="6" t="str">
        <f>VLOOKUP(A363,Jogos!A:L,12,0)</f>
        <v>Open</v>
      </c>
      <c r="I363" s="6" t="str">
        <f>VLOOKUP(G363,'Estádios e Cidades'!A:B,2,0)</f>
        <v>Philadelphia</v>
      </c>
      <c r="J363" s="2" t="s">
        <v>810</v>
      </c>
      <c r="K363" s="2" t="str">
        <f>VLOOKUP(J363,Equipes!A:F,6,0)</f>
        <v>Temperate</v>
      </c>
      <c r="L363" s="2">
        <f>VLOOKUP(J363,Equipes!A:C,3,0)</f>
        <v>9</v>
      </c>
      <c r="M363" s="2" t="str">
        <f t="shared" si="4"/>
        <v>Round of 16</v>
      </c>
      <c r="N363" s="2" t="s">
        <v>811</v>
      </c>
      <c r="O363" s="2">
        <f>VLOOKUP(N363,Equipes!A:C,3,0)</f>
        <v>31</v>
      </c>
      <c r="P363" s="2" t="str">
        <f t="shared" si="5"/>
        <v>Group</v>
      </c>
      <c r="Q363" s="2">
        <f t="shared" si="6"/>
        <v>-22</v>
      </c>
      <c r="R363" s="2" t="str">
        <f>VLOOKUP(J363,Equipes!A:B,2,0)</f>
        <v>City</v>
      </c>
      <c r="S363" s="6" t="s">
        <v>822</v>
      </c>
      <c r="T363" s="7">
        <v>26.0</v>
      </c>
      <c r="U363" s="7" t="s">
        <v>823</v>
      </c>
      <c r="V363" s="7" t="str">
        <f>VLOOKUP(U363,Jogadores!B:C,2,0)</f>
        <v>MF</v>
      </c>
      <c r="W363" s="8">
        <f>VLOOKUP(U363,Jogadores!B:D,3,0)</f>
        <v>21.31232877</v>
      </c>
      <c r="X363" s="7">
        <v>0.0</v>
      </c>
      <c r="Y363" s="7">
        <v>92.0</v>
      </c>
      <c r="Z363" s="7">
        <f>VLOOKUP(A363,Jogos!A:L,3,0)</f>
        <v>48</v>
      </c>
      <c r="AA363" s="7">
        <f t="shared" si="7"/>
        <v>48</v>
      </c>
      <c r="AB363" s="7">
        <f>VLOOKUP(A363,Jogos!A:L,4,0)</f>
        <v>51</v>
      </c>
      <c r="AC363" s="7">
        <f t="shared" si="657"/>
        <v>47</v>
      </c>
      <c r="AD363" s="7"/>
      <c r="AE363" s="7"/>
      <c r="AF363" s="7">
        <f t="shared" si="9"/>
        <v>95</v>
      </c>
      <c r="AG363" s="7">
        <v>8994.7</v>
      </c>
      <c r="AH363" s="7">
        <v>3933.3</v>
      </c>
      <c r="AI363" s="7">
        <v>3037.0</v>
      </c>
      <c r="AJ363" s="7">
        <v>1316.8</v>
      </c>
      <c r="AK363" s="7">
        <v>470.0</v>
      </c>
      <c r="AL363" s="7">
        <v>237.7</v>
      </c>
      <c r="AM363" s="7">
        <v>115.0</v>
      </c>
      <c r="AN363" s="7">
        <v>45.0</v>
      </c>
      <c r="AO363" s="7">
        <v>31.9</v>
      </c>
      <c r="AP363" s="9">
        <f t="shared" ref="AP363:AR363" si="1132">AG363/$AF363</f>
        <v>94.68105263</v>
      </c>
      <c r="AQ363" s="9">
        <f t="shared" si="1132"/>
        <v>41.40315789</v>
      </c>
      <c r="AR363" s="9">
        <f t="shared" si="1132"/>
        <v>31.96842105</v>
      </c>
      <c r="AS363" s="9">
        <f t="shared" si="11"/>
        <v>73.37157895</v>
      </c>
      <c r="AT363" s="9">
        <f t="shared" ref="AT363:AV363" si="1133">AJ363/$AF363</f>
        <v>13.86105263</v>
      </c>
      <c r="AU363" s="9">
        <f t="shared" si="1133"/>
        <v>4.947368421</v>
      </c>
      <c r="AV363" s="9">
        <f t="shared" si="1133"/>
        <v>2.502105263</v>
      </c>
      <c r="AW363" s="9">
        <f t="shared" si="13"/>
        <v>7.449473684</v>
      </c>
      <c r="AX363" s="9">
        <f t="shared" ref="AX363:AY363" si="1134">AM363/$AF363</f>
        <v>1.210526316</v>
      </c>
      <c r="AY363" s="9">
        <f t="shared" si="1134"/>
        <v>0.4736842105</v>
      </c>
      <c r="AZ363" s="9">
        <f>VLOOKUP(A363,Jogos!A:BN,58,0)</f>
        <v>28.235</v>
      </c>
      <c r="BA363" s="9">
        <f>VLOOKUP(A363,Jogos!A:BN,59,0)</f>
        <v>22.225</v>
      </c>
      <c r="BB363" s="9">
        <f>VLOOKUP(A363,Jogos!A:BN,60,0)</f>
        <v>69</v>
      </c>
      <c r="BC363" s="9">
        <f>VLOOKUP(A363,Jogos!A:BN,61,0)</f>
        <v>27.565</v>
      </c>
      <c r="BD363" s="9">
        <f>VLOOKUP(A363,Jogos!A:BN,62,0)</f>
        <v>277.7</v>
      </c>
      <c r="BE363" s="9">
        <f>VLOOKUP(A363,Jogos!A:BN,63,0)</f>
        <v>0.99</v>
      </c>
      <c r="BF363" s="9">
        <f>VLOOKUP(A363,Jogos!A:BN,64,0)</f>
        <v>24.795</v>
      </c>
      <c r="BG363" s="9">
        <f>VLOOKUP(A363,Jogos!A:BN,65,0)</f>
        <v>43.635</v>
      </c>
      <c r="BH363" s="9">
        <f>VLOOKUP(A363,Jogos!A:BN,66,0)</f>
        <v>28.905</v>
      </c>
      <c r="BI363" s="9"/>
    </row>
    <row r="364" hidden="1">
      <c r="A364" s="2">
        <v>13.0</v>
      </c>
      <c r="B364" s="11" t="s">
        <v>809</v>
      </c>
      <c r="C364" s="2" t="s">
        <v>61</v>
      </c>
      <c r="D364" s="3">
        <v>45826.0</v>
      </c>
      <c r="E364" s="4">
        <v>0.5</v>
      </c>
      <c r="F364" s="5" t="str">
        <f>VLOOKUP(A364,Jogos!A:N,10,0)</f>
        <v>Afternoon</v>
      </c>
      <c r="G364" s="2" t="s">
        <v>500</v>
      </c>
      <c r="H364" s="6" t="str">
        <f>VLOOKUP(A364,Jogos!A:L,12,0)</f>
        <v>Open</v>
      </c>
      <c r="I364" s="6" t="str">
        <f>VLOOKUP(G364,'Estádios e Cidades'!A:B,2,0)</f>
        <v>Philadelphia</v>
      </c>
      <c r="J364" s="2" t="s">
        <v>810</v>
      </c>
      <c r="K364" s="2" t="str">
        <f>VLOOKUP(J364,Equipes!A:F,6,0)</f>
        <v>Temperate</v>
      </c>
      <c r="L364" s="2">
        <f>VLOOKUP(J364,Equipes!A:C,3,0)</f>
        <v>9</v>
      </c>
      <c r="M364" s="2" t="str">
        <f t="shared" si="4"/>
        <v>Round of 16</v>
      </c>
      <c r="N364" s="2" t="s">
        <v>811</v>
      </c>
      <c r="O364" s="2">
        <f>VLOOKUP(N364,Equipes!A:C,3,0)</f>
        <v>31</v>
      </c>
      <c r="P364" s="2" t="str">
        <f t="shared" si="5"/>
        <v>Group</v>
      </c>
      <c r="Q364" s="2">
        <f t="shared" si="6"/>
        <v>-22</v>
      </c>
      <c r="R364" s="2" t="str">
        <f>VLOOKUP(J364,Equipes!A:B,2,0)</f>
        <v>City</v>
      </c>
      <c r="S364" s="6" t="s">
        <v>824</v>
      </c>
      <c r="T364" s="7">
        <v>29.0</v>
      </c>
      <c r="U364" s="7" t="s">
        <v>825</v>
      </c>
      <c r="V364" s="7" t="str">
        <f>VLOOKUP(U364,Jogadores!B:C,2,0)</f>
        <v>MF</v>
      </c>
      <c r="W364" s="8">
        <f>VLOOKUP(U364,Jogadores!B:D,3,0)</f>
        <v>21.96164384</v>
      </c>
      <c r="X364" s="7">
        <v>0.0</v>
      </c>
      <c r="Y364" s="7">
        <v>60.0</v>
      </c>
      <c r="Z364" s="7">
        <f>VLOOKUP(A364,Jogos!A:L,3,0)</f>
        <v>48</v>
      </c>
      <c r="AA364" s="7">
        <f t="shared" si="7"/>
        <v>48</v>
      </c>
      <c r="AB364" s="7">
        <f>VLOOKUP(A364,Jogos!A:L,4,0)</f>
        <v>51</v>
      </c>
      <c r="AC364" s="7">
        <f t="shared" si="657"/>
        <v>15</v>
      </c>
      <c r="AD364" s="7"/>
      <c r="AE364" s="7"/>
      <c r="AF364" s="7">
        <f t="shared" si="9"/>
        <v>63</v>
      </c>
      <c r="AG364" s="7">
        <v>7014.3</v>
      </c>
      <c r="AH364" s="7">
        <v>2507.7</v>
      </c>
      <c r="AI364" s="7">
        <v>2832.2</v>
      </c>
      <c r="AJ364" s="7">
        <v>948.6</v>
      </c>
      <c r="AK364" s="7">
        <v>482.0</v>
      </c>
      <c r="AL364" s="7">
        <v>243.8</v>
      </c>
      <c r="AM364" s="7">
        <v>79.0</v>
      </c>
      <c r="AN364" s="7">
        <v>41.0</v>
      </c>
      <c r="AO364" s="7">
        <v>32.5</v>
      </c>
      <c r="AP364" s="9">
        <f t="shared" ref="AP364:AR364" si="1135">AG364/$AF364</f>
        <v>111.3380952</v>
      </c>
      <c r="AQ364" s="9">
        <f t="shared" si="1135"/>
        <v>39.8047619</v>
      </c>
      <c r="AR364" s="9">
        <f t="shared" si="1135"/>
        <v>44.95555556</v>
      </c>
      <c r="AS364" s="9">
        <f t="shared" si="11"/>
        <v>84.76031746</v>
      </c>
      <c r="AT364" s="9">
        <f t="shared" ref="AT364:AV364" si="1136">AJ364/$AF364</f>
        <v>15.05714286</v>
      </c>
      <c r="AU364" s="9">
        <f t="shared" si="1136"/>
        <v>7.650793651</v>
      </c>
      <c r="AV364" s="9">
        <f t="shared" si="1136"/>
        <v>3.86984127</v>
      </c>
      <c r="AW364" s="9">
        <f t="shared" si="13"/>
        <v>11.52063492</v>
      </c>
      <c r="AX364" s="9">
        <f t="shared" ref="AX364:AY364" si="1137">AM364/$AF364</f>
        <v>1.253968254</v>
      </c>
      <c r="AY364" s="9">
        <f t="shared" si="1137"/>
        <v>0.6507936508</v>
      </c>
      <c r="AZ364" s="9">
        <f>VLOOKUP(A364,Jogos!A:BN,58,0)</f>
        <v>28.235</v>
      </c>
      <c r="BA364" s="9">
        <f>VLOOKUP(A364,Jogos!A:BN,59,0)</f>
        <v>22.225</v>
      </c>
      <c r="BB364" s="9">
        <f>VLOOKUP(A364,Jogos!A:BN,60,0)</f>
        <v>69</v>
      </c>
      <c r="BC364" s="9">
        <f>VLOOKUP(A364,Jogos!A:BN,61,0)</f>
        <v>27.565</v>
      </c>
      <c r="BD364" s="9">
        <f>VLOOKUP(A364,Jogos!A:BN,62,0)</f>
        <v>277.7</v>
      </c>
      <c r="BE364" s="9">
        <f>VLOOKUP(A364,Jogos!A:BN,63,0)</f>
        <v>0.99</v>
      </c>
      <c r="BF364" s="9">
        <f>VLOOKUP(A364,Jogos!A:BN,64,0)</f>
        <v>24.795</v>
      </c>
      <c r="BG364" s="9">
        <f>VLOOKUP(A364,Jogos!A:BN,65,0)</f>
        <v>43.635</v>
      </c>
      <c r="BH364" s="9">
        <f>VLOOKUP(A364,Jogos!A:BN,66,0)</f>
        <v>28.905</v>
      </c>
      <c r="BI364" s="9"/>
    </row>
    <row r="365" hidden="1">
      <c r="A365" s="2">
        <v>13.0</v>
      </c>
      <c r="B365" s="11" t="s">
        <v>809</v>
      </c>
      <c r="C365" s="2" t="s">
        <v>61</v>
      </c>
      <c r="D365" s="3">
        <v>45826.0</v>
      </c>
      <c r="E365" s="4">
        <v>0.5</v>
      </c>
      <c r="F365" s="5" t="str">
        <f>VLOOKUP(A365,Jogos!A:N,10,0)</f>
        <v>Afternoon</v>
      </c>
      <c r="G365" s="2" t="s">
        <v>500</v>
      </c>
      <c r="H365" s="6" t="str">
        <f>VLOOKUP(A365,Jogos!A:L,12,0)</f>
        <v>Open</v>
      </c>
      <c r="I365" s="6" t="str">
        <f>VLOOKUP(G365,'Estádios e Cidades'!A:B,2,0)</f>
        <v>Philadelphia</v>
      </c>
      <c r="J365" s="2" t="s">
        <v>810</v>
      </c>
      <c r="K365" s="2" t="str">
        <f>VLOOKUP(J365,Equipes!A:F,6,0)</f>
        <v>Temperate</v>
      </c>
      <c r="L365" s="2">
        <f>VLOOKUP(J365,Equipes!A:C,3,0)</f>
        <v>9</v>
      </c>
      <c r="M365" s="2" t="str">
        <f t="shared" si="4"/>
        <v>Round of 16</v>
      </c>
      <c r="N365" s="2" t="s">
        <v>811</v>
      </c>
      <c r="O365" s="2">
        <f>VLOOKUP(N365,Equipes!A:C,3,0)</f>
        <v>31</v>
      </c>
      <c r="P365" s="2" t="str">
        <f t="shared" si="5"/>
        <v>Group</v>
      </c>
      <c r="Q365" s="2">
        <f t="shared" si="6"/>
        <v>-22</v>
      </c>
      <c r="R365" s="2" t="str">
        <f>VLOOKUP(J365,Equipes!A:B,2,0)</f>
        <v>City</v>
      </c>
      <c r="S365" s="6" t="s">
        <v>826</v>
      </c>
      <c r="T365" s="7">
        <v>47.0</v>
      </c>
      <c r="U365" s="7" t="s">
        <v>827</v>
      </c>
      <c r="V365" s="7" t="str">
        <f>VLOOKUP(U365,Jogadores!B:C,2,0)</f>
        <v>MF</v>
      </c>
      <c r="W365" s="8">
        <f>VLOOKUP(U365,Jogadores!B:D,3,0)</f>
        <v>25.18356164</v>
      </c>
      <c r="X365" s="7">
        <v>0.0</v>
      </c>
      <c r="Y365" s="7">
        <v>60.0</v>
      </c>
      <c r="Z365" s="7">
        <f>VLOOKUP(A365,Jogos!A:L,3,0)</f>
        <v>48</v>
      </c>
      <c r="AA365" s="7">
        <f t="shared" si="7"/>
        <v>48</v>
      </c>
      <c r="AB365" s="7">
        <f>VLOOKUP(A365,Jogos!A:L,4,0)</f>
        <v>51</v>
      </c>
      <c r="AC365" s="7">
        <f t="shared" si="657"/>
        <v>15</v>
      </c>
      <c r="AD365" s="7"/>
      <c r="AE365" s="7"/>
      <c r="AF365" s="7">
        <f t="shared" si="9"/>
        <v>63</v>
      </c>
      <c r="AG365" s="7">
        <v>7549.4</v>
      </c>
      <c r="AH365" s="7">
        <v>2316.2</v>
      </c>
      <c r="AI365" s="7">
        <v>3601.0</v>
      </c>
      <c r="AJ365" s="7">
        <v>1094.1</v>
      </c>
      <c r="AK365" s="7">
        <v>417.9</v>
      </c>
      <c r="AL365" s="7">
        <v>120.2</v>
      </c>
      <c r="AM365" s="7">
        <v>93.0</v>
      </c>
      <c r="AN365" s="7">
        <v>33.0</v>
      </c>
      <c r="AO365" s="7">
        <v>30.4</v>
      </c>
      <c r="AP365" s="9">
        <f t="shared" ref="AP365:AR365" si="1138">AG365/$AF365</f>
        <v>119.831746</v>
      </c>
      <c r="AQ365" s="9">
        <f t="shared" si="1138"/>
        <v>36.76507937</v>
      </c>
      <c r="AR365" s="9">
        <f t="shared" si="1138"/>
        <v>57.15873016</v>
      </c>
      <c r="AS365" s="9">
        <f t="shared" si="11"/>
        <v>93.92380952</v>
      </c>
      <c r="AT365" s="9">
        <f t="shared" ref="AT365:AV365" si="1139">AJ365/$AF365</f>
        <v>17.36666667</v>
      </c>
      <c r="AU365" s="9">
        <f t="shared" si="1139"/>
        <v>6.633333333</v>
      </c>
      <c r="AV365" s="9">
        <f t="shared" si="1139"/>
        <v>1.907936508</v>
      </c>
      <c r="AW365" s="9">
        <f t="shared" si="13"/>
        <v>8.541269841</v>
      </c>
      <c r="AX365" s="9">
        <f t="shared" ref="AX365:AY365" si="1140">AM365/$AF365</f>
        <v>1.476190476</v>
      </c>
      <c r="AY365" s="9">
        <f t="shared" si="1140"/>
        <v>0.5238095238</v>
      </c>
      <c r="AZ365" s="9">
        <f>VLOOKUP(A365,Jogos!A:BN,58,0)</f>
        <v>28.235</v>
      </c>
      <c r="BA365" s="9">
        <f>VLOOKUP(A365,Jogos!A:BN,59,0)</f>
        <v>22.225</v>
      </c>
      <c r="BB365" s="9">
        <f>VLOOKUP(A365,Jogos!A:BN,60,0)</f>
        <v>69</v>
      </c>
      <c r="BC365" s="9">
        <f>VLOOKUP(A365,Jogos!A:BN,61,0)</f>
        <v>27.565</v>
      </c>
      <c r="BD365" s="9">
        <f>VLOOKUP(A365,Jogos!A:BN,62,0)</f>
        <v>277.7</v>
      </c>
      <c r="BE365" s="9">
        <f>VLOOKUP(A365,Jogos!A:BN,63,0)</f>
        <v>0.99</v>
      </c>
      <c r="BF365" s="9">
        <f>VLOOKUP(A365,Jogos!A:BN,64,0)</f>
        <v>24.795</v>
      </c>
      <c r="BG365" s="9">
        <f>VLOOKUP(A365,Jogos!A:BN,65,0)</f>
        <v>43.635</v>
      </c>
      <c r="BH365" s="9">
        <f>VLOOKUP(A365,Jogos!A:BN,66,0)</f>
        <v>28.905</v>
      </c>
      <c r="BI365" s="9"/>
    </row>
    <row r="366" hidden="1">
      <c r="A366" s="2">
        <v>13.0</v>
      </c>
      <c r="B366" s="11" t="s">
        <v>809</v>
      </c>
      <c r="C366" s="2" t="s">
        <v>61</v>
      </c>
      <c r="D366" s="3">
        <v>45826.0</v>
      </c>
      <c r="E366" s="4">
        <v>0.5</v>
      </c>
      <c r="F366" s="5" t="str">
        <f>VLOOKUP(A366,Jogos!A:N,10,0)</f>
        <v>Afternoon</v>
      </c>
      <c r="G366" s="2" t="s">
        <v>500</v>
      </c>
      <c r="H366" s="6" t="str">
        <f>VLOOKUP(A366,Jogos!A:L,12,0)</f>
        <v>Open</v>
      </c>
      <c r="I366" s="6" t="str">
        <f>VLOOKUP(G366,'Estádios e Cidades'!A:B,2,0)</f>
        <v>Philadelphia</v>
      </c>
      <c r="J366" s="2" t="s">
        <v>810</v>
      </c>
      <c r="K366" s="2" t="str">
        <f>VLOOKUP(J366,Equipes!A:F,6,0)</f>
        <v>Temperate</v>
      </c>
      <c r="L366" s="2">
        <f>VLOOKUP(J366,Equipes!A:C,3,0)</f>
        <v>9</v>
      </c>
      <c r="M366" s="2" t="str">
        <f t="shared" si="4"/>
        <v>Round of 16</v>
      </c>
      <c r="N366" s="2" t="s">
        <v>811</v>
      </c>
      <c r="O366" s="2">
        <f>VLOOKUP(N366,Equipes!A:C,3,0)</f>
        <v>31</v>
      </c>
      <c r="P366" s="2" t="str">
        <f t="shared" si="5"/>
        <v>Group</v>
      </c>
      <c r="Q366" s="2">
        <f t="shared" si="6"/>
        <v>-22</v>
      </c>
      <c r="R366" s="2" t="str">
        <f>VLOOKUP(J366,Equipes!A:B,2,0)</f>
        <v>City</v>
      </c>
      <c r="S366" s="6" t="s">
        <v>828</v>
      </c>
      <c r="T366" s="7">
        <v>75.0</v>
      </c>
      <c r="U366" s="7" t="s">
        <v>829</v>
      </c>
      <c r="V366" s="7" t="str">
        <f>VLOOKUP(U366,Jogadores!B:C,2,0)</f>
        <v>MF</v>
      </c>
      <c r="W366" s="8">
        <f>VLOOKUP(U366,Jogadores!B:D,3,0)</f>
        <v>20.36712329</v>
      </c>
      <c r="X366" s="7">
        <v>0.0</v>
      </c>
      <c r="Y366" s="7">
        <f>45+AB366</f>
        <v>96</v>
      </c>
      <c r="Z366" s="7">
        <f>VLOOKUP(A366,Jogos!A:L,3,0)</f>
        <v>48</v>
      </c>
      <c r="AA366" s="7">
        <f t="shared" si="7"/>
        <v>48</v>
      </c>
      <c r="AB366" s="7">
        <f>VLOOKUP(A366,Jogos!A:L,4,0)</f>
        <v>51</v>
      </c>
      <c r="AC366" s="7">
        <f t="shared" si="657"/>
        <v>51</v>
      </c>
      <c r="AD366" s="7"/>
      <c r="AE366" s="7"/>
      <c r="AF366" s="7">
        <f t="shared" si="9"/>
        <v>99</v>
      </c>
      <c r="AG366" s="7">
        <v>9580.0</v>
      </c>
      <c r="AH366" s="7">
        <v>4375.0</v>
      </c>
      <c r="AI366" s="7">
        <v>3478.1</v>
      </c>
      <c r="AJ366" s="7">
        <v>968.7</v>
      </c>
      <c r="AK366" s="7">
        <v>441.1</v>
      </c>
      <c r="AL366" s="7">
        <v>317.1</v>
      </c>
      <c r="AM366" s="7">
        <v>89.0</v>
      </c>
      <c r="AN366" s="7">
        <v>42.0</v>
      </c>
      <c r="AO366" s="7">
        <v>33.2</v>
      </c>
      <c r="AP366" s="9">
        <f t="shared" ref="AP366:AR366" si="1141">AG366/$AF366</f>
        <v>96.76767677</v>
      </c>
      <c r="AQ366" s="9">
        <f t="shared" si="1141"/>
        <v>44.19191919</v>
      </c>
      <c r="AR366" s="9">
        <f t="shared" si="1141"/>
        <v>35.13232323</v>
      </c>
      <c r="AS366" s="9">
        <f t="shared" si="11"/>
        <v>79.32424242</v>
      </c>
      <c r="AT366" s="9">
        <f t="shared" ref="AT366:AV366" si="1142">AJ366/$AF366</f>
        <v>9.784848485</v>
      </c>
      <c r="AU366" s="9">
        <f t="shared" si="1142"/>
        <v>4.455555556</v>
      </c>
      <c r="AV366" s="9">
        <f t="shared" si="1142"/>
        <v>3.203030303</v>
      </c>
      <c r="AW366" s="9">
        <f t="shared" si="13"/>
        <v>7.658585859</v>
      </c>
      <c r="AX366" s="9">
        <f t="shared" ref="AX366:AY366" si="1143">AM366/$AF366</f>
        <v>0.898989899</v>
      </c>
      <c r="AY366" s="9">
        <f t="shared" si="1143"/>
        <v>0.4242424242</v>
      </c>
      <c r="AZ366" s="9">
        <f>VLOOKUP(A366,Jogos!A:BN,58,0)</f>
        <v>28.235</v>
      </c>
      <c r="BA366" s="9">
        <f>VLOOKUP(A366,Jogos!A:BN,59,0)</f>
        <v>22.225</v>
      </c>
      <c r="BB366" s="9">
        <f>VLOOKUP(A366,Jogos!A:BN,60,0)</f>
        <v>69</v>
      </c>
      <c r="BC366" s="9">
        <f>VLOOKUP(A366,Jogos!A:BN,61,0)</f>
        <v>27.565</v>
      </c>
      <c r="BD366" s="9">
        <f>VLOOKUP(A366,Jogos!A:BN,62,0)</f>
        <v>277.7</v>
      </c>
      <c r="BE366" s="9">
        <f>VLOOKUP(A366,Jogos!A:BN,63,0)</f>
        <v>0.99</v>
      </c>
      <c r="BF366" s="9">
        <f>VLOOKUP(A366,Jogos!A:BN,64,0)</f>
        <v>24.795</v>
      </c>
      <c r="BG366" s="9">
        <f>VLOOKUP(A366,Jogos!A:BN,65,0)</f>
        <v>43.635</v>
      </c>
      <c r="BH366" s="9">
        <f>VLOOKUP(A366,Jogos!A:BN,66,0)</f>
        <v>28.905</v>
      </c>
      <c r="BI366" s="9"/>
    </row>
    <row r="367" hidden="1">
      <c r="A367" s="2">
        <v>13.0</v>
      </c>
      <c r="B367" s="11" t="s">
        <v>809</v>
      </c>
      <c r="C367" s="2" t="s">
        <v>61</v>
      </c>
      <c r="D367" s="3">
        <v>45826.0</v>
      </c>
      <c r="E367" s="4">
        <v>0.5</v>
      </c>
      <c r="F367" s="5" t="str">
        <f>VLOOKUP(A367,Jogos!A:N,10,0)</f>
        <v>Afternoon</v>
      </c>
      <c r="G367" s="2" t="s">
        <v>500</v>
      </c>
      <c r="H367" s="6" t="str">
        <f>VLOOKUP(A367,Jogos!A:L,12,0)</f>
        <v>Open</v>
      </c>
      <c r="I367" s="6" t="str">
        <f>VLOOKUP(G367,'Estádios e Cidades'!A:B,2,0)</f>
        <v>Philadelphia</v>
      </c>
      <c r="J367" s="2" t="s">
        <v>810</v>
      </c>
      <c r="K367" s="2" t="str">
        <f>VLOOKUP(J367,Equipes!A:F,6,0)</f>
        <v>Temperate</v>
      </c>
      <c r="L367" s="2">
        <f>VLOOKUP(J367,Equipes!A:C,3,0)</f>
        <v>9</v>
      </c>
      <c r="M367" s="2" t="str">
        <f t="shared" si="4"/>
        <v>Round of 16</v>
      </c>
      <c r="N367" s="2" t="s">
        <v>811</v>
      </c>
      <c r="O367" s="2">
        <f>VLOOKUP(N367,Equipes!A:C,3,0)</f>
        <v>31</v>
      </c>
      <c r="P367" s="2" t="str">
        <f t="shared" si="5"/>
        <v>Group</v>
      </c>
      <c r="Q367" s="2">
        <f t="shared" si="6"/>
        <v>-22</v>
      </c>
      <c r="R367" s="2" t="str">
        <f>VLOOKUP(J367,Equipes!A:B,2,0)</f>
        <v>City</v>
      </c>
      <c r="S367" s="6" t="s">
        <v>830</v>
      </c>
      <c r="T367" s="7">
        <v>82.0</v>
      </c>
      <c r="U367" s="7" t="s">
        <v>831</v>
      </c>
      <c r="V367" s="7" t="str">
        <f>VLOOKUP(U367,Jogadores!B:C,2,0)</f>
        <v>DF</v>
      </c>
      <c r="W367" s="8">
        <f>VLOOKUP(U367,Jogadores!B:D,3,0)</f>
        <v>20.69589041</v>
      </c>
      <c r="X367" s="7">
        <v>0.0</v>
      </c>
      <c r="Y367" s="7">
        <v>88.0</v>
      </c>
      <c r="Z367" s="7">
        <f>VLOOKUP(A367,Jogos!A:L,3,0)</f>
        <v>48</v>
      </c>
      <c r="AA367" s="7">
        <f t="shared" si="7"/>
        <v>48</v>
      </c>
      <c r="AB367" s="7">
        <f>VLOOKUP(A367,Jogos!A:L,4,0)</f>
        <v>51</v>
      </c>
      <c r="AC367" s="7">
        <f t="shared" si="657"/>
        <v>43</v>
      </c>
      <c r="AD367" s="7"/>
      <c r="AE367" s="7"/>
      <c r="AF367" s="7">
        <f t="shared" si="9"/>
        <v>91</v>
      </c>
      <c r="AG367" s="7">
        <v>9791.0</v>
      </c>
      <c r="AH367" s="7">
        <v>3553.6</v>
      </c>
      <c r="AI367" s="7">
        <v>4232.5</v>
      </c>
      <c r="AJ367" s="7">
        <v>1415.1</v>
      </c>
      <c r="AK367" s="7">
        <v>470.1</v>
      </c>
      <c r="AL367" s="7">
        <v>119.7</v>
      </c>
      <c r="AM367" s="7">
        <v>115.0</v>
      </c>
      <c r="AN367" s="7">
        <v>35.0</v>
      </c>
      <c r="AO367" s="7">
        <v>31.6</v>
      </c>
      <c r="AP367" s="9">
        <f t="shared" ref="AP367:AR367" si="1144">AG367/$AF367</f>
        <v>107.5934066</v>
      </c>
      <c r="AQ367" s="9">
        <f t="shared" si="1144"/>
        <v>39.05054945</v>
      </c>
      <c r="AR367" s="9">
        <f t="shared" si="1144"/>
        <v>46.51098901</v>
      </c>
      <c r="AS367" s="9">
        <f t="shared" si="11"/>
        <v>85.56153846</v>
      </c>
      <c r="AT367" s="9">
        <f t="shared" ref="AT367:AV367" si="1145">AJ367/$AF367</f>
        <v>15.55054945</v>
      </c>
      <c r="AU367" s="9">
        <f t="shared" si="1145"/>
        <v>5.165934066</v>
      </c>
      <c r="AV367" s="9">
        <f t="shared" si="1145"/>
        <v>1.315384615</v>
      </c>
      <c r="AW367" s="9">
        <f t="shared" si="13"/>
        <v>6.481318681</v>
      </c>
      <c r="AX367" s="9">
        <f t="shared" ref="AX367:AY367" si="1146">AM367/$AF367</f>
        <v>1.263736264</v>
      </c>
      <c r="AY367" s="9">
        <f t="shared" si="1146"/>
        <v>0.3846153846</v>
      </c>
      <c r="AZ367" s="9">
        <f>VLOOKUP(A367,Jogos!A:BN,58,0)</f>
        <v>28.235</v>
      </c>
      <c r="BA367" s="9">
        <f>VLOOKUP(A367,Jogos!A:BN,59,0)</f>
        <v>22.225</v>
      </c>
      <c r="BB367" s="9">
        <f>VLOOKUP(A367,Jogos!A:BN,60,0)</f>
        <v>69</v>
      </c>
      <c r="BC367" s="9">
        <f>VLOOKUP(A367,Jogos!A:BN,61,0)</f>
        <v>27.565</v>
      </c>
      <c r="BD367" s="9">
        <f>VLOOKUP(A367,Jogos!A:BN,62,0)</f>
        <v>277.7</v>
      </c>
      <c r="BE367" s="9">
        <f>VLOOKUP(A367,Jogos!A:BN,63,0)</f>
        <v>0.99</v>
      </c>
      <c r="BF367" s="9">
        <f>VLOOKUP(A367,Jogos!A:BN,64,0)</f>
        <v>24.795</v>
      </c>
      <c r="BG367" s="9">
        <f>VLOOKUP(A367,Jogos!A:BN,65,0)</f>
        <v>43.635</v>
      </c>
      <c r="BH367" s="9">
        <f>VLOOKUP(A367,Jogos!A:BN,66,0)</f>
        <v>28.905</v>
      </c>
      <c r="BI367" s="9"/>
    </row>
    <row r="368" hidden="1">
      <c r="A368" s="2">
        <v>13.0</v>
      </c>
      <c r="B368" s="11" t="s">
        <v>809</v>
      </c>
      <c r="C368" s="2" t="s">
        <v>61</v>
      </c>
      <c r="D368" s="3">
        <v>45826.0</v>
      </c>
      <c r="E368" s="4">
        <v>0.5</v>
      </c>
      <c r="F368" s="5" t="str">
        <f>VLOOKUP(A368,Jogos!A:N,10,0)</f>
        <v>Afternoon</v>
      </c>
      <c r="G368" s="2" t="s">
        <v>500</v>
      </c>
      <c r="H368" s="6" t="str">
        <f>VLOOKUP(A368,Jogos!A:L,12,0)</f>
        <v>Open</v>
      </c>
      <c r="I368" s="6" t="str">
        <f>VLOOKUP(G368,'Estádios e Cidades'!A:B,2,0)</f>
        <v>Philadelphia</v>
      </c>
      <c r="J368" s="2" t="s">
        <v>810</v>
      </c>
      <c r="K368" s="2" t="str">
        <f>VLOOKUP(J368,Equipes!A:F,6,0)</f>
        <v>Temperate</v>
      </c>
      <c r="L368" s="2">
        <f>VLOOKUP(J368,Equipes!A:C,3,0)</f>
        <v>9</v>
      </c>
      <c r="M368" s="2" t="str">
        <f t="shared" si="4"/>
        <v>Round of 16</v>
      </c>
      <c r="N368" s="2" t="s">
        <v>811</v>
      </c>
      <c r="O368" s="2">
        <f>VLOOKUP(N368,Equipes!A:C,3,0)</f>
        <v>31</v>
      </c>
      <c r="P368" s="2" t="str">
        <f t="shared" si="5"/>
        <v>Group</v>
      </c>
      <c r="Q368" s="2">
        <f t="shared" si="6"/>
        <v>-22</v>
      </c>
      <c r="R368" s="2" t="str">
        <f>VLOOKUP(J368,Equipes!A:B,2,0)</f>
        <v>City</v>
      </c>
      <c r="S368" s="6" t="s">
        <v>832</v>
      </c>
      <c r="T368" s="7">
        <v>9.0</v>
      </c>
      <c r="U368" s="7" t="s">
        <v>833</v>
      </c>
      <c r="V368" s="7" t="str">
        <f>VLOOKUP(U368,Jogadores!B:C,2,0)</f>
        <v>FW</v>
      </c>
      <c r="W368" s="8">
        <f>VLOOKUP(U368,Jogadores!B:D,3,0)</f>
        <v>25.03561644</v>
      </c>
      <c r="X368" s="7">
        <v>60.0</v>
      </c>
      <c r="Y368" s="7">
        <f t="shared" ref="Y368:Y373" si="1150">45+AB368</f>
        <v>96</v>
      </c>
      <c r="Z368" s="7">
        <f>VLOOKUP(A368,Jogos!A:L,3,0)</f>
        <v>48</v>
      </c>
      <c r="AA368" s="7">
        <f t="shared" si="7"/>
        <v>0</v>
      </c>
      <c r="AB368" s="7">
        <f>VLOOKUP(A368,Jogos!A:L,4,0)</f>
        <v>51</v>
      </c>
      <c r="AC368" s="7">
        <f t="shared" si="657"/>
        <v>36</v>
      </c>
      <c r="AD368" s="7"/>
      <c r="AE368" s="7"/>
      <c r="AF368" s="7">
        <f t="shared" si="9"/>
        <v>36</v>
      </c>
      <c r="AG368" s="7">
        <v>3619.3</v>
      </c>
      <c r="AH368" s="7">
        <v>1497.9</v>
      </c>
      <c r="AI368" s="7">
        <v>1444.2</v>
      </c>
      <c r="AJ368" s="7">
        <v>416.3</v>
      </c>
      <c r="AK368" s="7">
        <v>185.2</v>
      </c>
      <c r="AL368" s="7">
        <v>75.8</v>
      </c>
      <c r="AM368" s="7">
        <v>38.0</v>
      </c>
      <c r="AN368" s="7">
        <v>20.0</v>
      </c>
      <c r="AO368" s="7">
        <v>31.1</v>
      </c>
      <c r="AP368" s="9">
        <f t="shared" ref="AP368:AR368" si="1147">AG368/$AF368</f>
        <v>100.5361111</v>
      </c>
      <c r="AQ368" s="9">
        <f t="shared" si="1147"/>
        <v>41.60833333</v>
      </c>
      <c r="AR368" s="9">
        <f t="shared" si="1147"/>
        <v>40.11666667</v>
      </c>
      <c r="AS368" s="9">
        <f t="shared" si="11"/>
        <v>81.725</v>
      </c>
      <c r="AT368" s="9">
        <f t="shared" ref="AT368:AV368" si="1148">AJ368/$AF368</f>
        <v>11.56388889</v>
      </c>
      <c r="AU368" s="9">
        <f t="shared" si="1148"/>
        <v>5.144444444</v>
      </c>
      <c r="AV368" s="9">
        <f t="shared" si="1148"/>
        <v>2.105555556</v>
      </c>
      <c r="AW368" s="9">
        <f t="shared" si="13"/>
        <v>7.25</v>
      </c>
      <c r="AX368" s="9">
        <f t="shared" ref="AX368:AY368" si="1149">AM368/$AF368</f>
        <v>1.055555556</v>
      </c>
      <c r="AY368" s="9">
        <f t="shared" si="1149"/>
        <v>0.5555555556</v>
      </c>
      <c r="AZ368" s="9">
        <f>VLOOKUP(A368,Jogos!A:BN,58,0)</f>
        <v>28.235</v>
      </c>
      <c r="BA368" s="9">
        <f>VLOOKUP(A368,Jogos!A:BN,59,0)</f>
        <v>22.225</v>
      </c>
      <c r="BB368" s="9">
        <f>VLOOKUP(A368,Jogos!A:BN,60,0)</f>
        <v>69</v>
      </c>
      <c r="BC368" s="9">
        <f>VLOOKUP(A368,Jogos!A:BN,61,0)</f>
        <v>27.565</v>
      </c>
      <c r="BD368" s="9">
        <f>VLOOKUP(A368,Jogos!A:BN,62,0)</f>
        <v>277.7</v>
      </c>
      <c r="BE368" s="9">
        <f>VLOOKUP(A368,Jogos!A:BN,63,0)</f>
        <v>0.99</v>
      </c>
      <c r="BF368" s="9">
        <f>VLOOKUP(A368,Jogos!A:BN,64,0)</f>
        <v>24.795</v>
      </c>
      <c r="BG368" s="9">
        <f>VLOOKUP(A368,Jogos!A:BN,65,0)</f>
        <v>43.635</v>
      </c>
      <c r="BH368" s="9">
        <f>VLOOKUP(A368,Jogos!A:BN,66,0)</f>
        <v>28.905</v>
      </c>
      <c r="BI368" s="9"/>
    </row>
    <row r="369" hidden="1">
      <c r="A369" s="2">
        <v>13.0</v>
      </c>
      <c r="B369" s="11" t="s">
        <v>809</v>
      </c>
      <c r="C369" s="2" t="s">
        <v>61</v>
      </c>
      <c r="D369" s="3">
        <v>45826.0</v>
      </c>
      <c r="E369" s="4">
        <v>0.5</v>
      </c>
      <c r="F369" s="5" t="str">
        <f>VLOOKUP(A369,Jogos!A:N,10,0)</f>
        <v>Afternoon</v>
      </c>
      <c r="G369" s="2" t="s">
        <v>500</v>
      </c>
      <c r="H369" s="6" t="str">
        <f>VLOOKUP(A369,Jogos!A:L,12,0)</f>
        <v>Open</v>
      </c>
      <c r="I369" s="6" t="str">
        <f>VLOOKUP(G369,'Estádios e Cidades'!A:B,2,0)</f>
        <v>Philadelphia</v>
      </c>
      <c r="J369" s="2" t="s">
        <v>810</v>
      </c>
      <c r="K369" s="2" t="str">
        <f>VLOOKUP(J369,Equipes!A:F,6,0)</f>
        <v>Temperate</v>
      </c>
      <c r="L369" s="2">
        <f>VLOOKUP(J369,Equipes!A:C,3,0)</f>
        <v>9</v>
      </c>
      <c r="M369" s="2" t="str">
        <f t="shared" si="4"/>
        <v>Round of 16</v>
      </c>
      <c r="N369" s="2" t="s">
        <v>811</v>
      </c>
      <c r="O369" s="2">
        <f>VLOOKUP(N369,Equipes!A:C,3,0)</f>
        <v>31</v>
      </c>
      <c r="P369" s="2" t="str">
        <f t="shared" si="5"/>
        <v>Group</v>
      </c>
      <c r="Q369" s="2">
        <f t="shared" si="6"/>
        <v>-22</v>
      </c>
      <c r="R369" s="2" t="str">
        <f>VLOOKUP(J369,Equipes!A:B,2,0)</f>
        <v>City</v>
      </c>
      <c r="S369" s="6" t="s">
        <v>834</v>
      </c>
      <c r="T369" s="7">
        <v>16.0</v>
      </c>
      <c r="U369" s="7" t="s">
        <v>835</v>
      </c>
      <c r="V369" s="7" t="str">
        <f>VLOOKUP(U369,Jogadores!B:C,2,0)</f>
        <v>MF</v>
      </c>
      <c r="W369" s="8">
        <f>VLOOKUP(U369,Jogadores!B:D,3,0)</f>
        <v>29.11780822</v>
      </c>
      <c r="X369" s="7">
        <v>60.0</v>
      </c>
      <c r="Y369" s="7">
        <f t="shared" si="1150"/>
        <v>96</v>
      </c>
      <c r="Z369" s="7">
        <f>VLOOKUP(A369,Jogos!A:L,3,0)</f>
        <v>48</v>
      </c>
      <c r="AA369" s="7">
        <f t="shared" si="7"/>
        <v>0</v>
      </c>
      <c r="AB369" s="7">
        <f>VLOOKUP(A369,Jogos!A:L,4,0)</f>
        <v>51</v>
      </c>
      <c r="AC369" s="7">
        <f t="shared" si="657"/>
        <v>36</v>
      </c>
      <c r="AD369" s="7"/>
      <c r="AE369" s="7"/>
      <c r="AF369" s="7">
        <f t="shared" si="9"/>
        <v>36</v>
      </c>
      <c r="AG369" s="7">
        <v>3854.4</v>
      </c>
      <c r="AH369" s="7">
        <v>1341.2</v>
      </c>
      <c r="AI369" s="7">
        <v>1766.8</v>
      </c>
      <c r="AJ369" s="7">
        <v>599.0</v>
      </c>
      <c r="AK369" s="7">
        <v>124.6</v>
      </c>
      <c r="AL369" s="7">
        <v>22.8</v>
      </c>
      <c r="AM369" s="7">
        <v>52.0</v>
      </c>
      <c r="AN369" s="7">
        <v>11.0</v>
      </c>
      <c r="AO369" s="7">
        <v>26.9</v>
      </c>
      <c r="AP369" s="9">
        <f t="shared" ref="AP369:AR369" si="1151">AG369/$AF369</f>
        <v>107.0666667</v>
      </c>
      <c r="AQ369" s="9">
        <f t="shared" si="1151"/>
        <v>37.25555556</v>
      </c>
      <c r="AR369" s="9">
        <f t="shared" si="1151"/>
        <v>49.07777778</v>
      </c>
      <c r="AS369" s="9">
        <f t="shared" si="11"/>
        <v>86.33333333</v>
      </c>
      <c r="AT369" s="9">
        <f t="shared" ref="AT369:AV369" si="1152">AJ369/$AF369</f>
        <v>16.63888889</v>
      </c>
      <c r="AU369" s="9">
        <f t="shared" si="1152"/>
        <v>3.461111111</v>
      </c>
      <c r="AV369" s="9">
        <f t="shared" si="1152"/>
        <v>0.6333333333</v>
      </c>
      <c r="AW369" s="9">
        <f t="shared" si="13"/>
        <v>4.094444444</v>
      </c>
      <c r="AX369" s="9">
        <f t="shared" ref="AX369:AY369" si="1153">AM369/$AF369</f>
        <v>1.444444444</v>
      </c>
      <c r="AY369" s="9">
        <f t="shared" si="1153"/>
        <v>0.3055555556</v>
      </c>
      <c r="AZ369" s="9">
        <f>VLOOKUP(A369,Jogos!A:BN,58,0)</f>
        <v>28.235</v>
      </c>
      <c r="BA369" s="9">
        <f>VLOOKUP(A369,Jogos!A:BN,59,0)</f>
        <v>22.225</v>
      </c>
      <c r="BB369" s="9">
        <f>VLOOKUP(A369,Jogos!A:BN,60,0)</f>
        <v>69</v>
      </c>
      <c r="BC369" s="9">
        <f>VLOOKUP(A369,Jogos!A:BN,61,0)</f>
        <v>27.565</v>
      </c>
      <c r="BD369" s="9">
        <f>VLOOKUP(A369,Jogos!A:BN,62,0)</f>
        <v>277.7</v>
      </c>
      <c r="BE369" s="9">
        <f>VLOOKUP(A369,Jogos!A:BN,63,0)</f>
        <v>0.99</v>
      </c>
      <c r="BF369" s="9">
        <f>VLOOKUP(A369,Jogos!A:BN,64,0)</f>
        <v>24.795</v>
      </c>
      <c r="BG369" s="9">
        <f>VLOOKUP(A369,Jogos!A:BN,65,0)</f>
        <v>43.635</v>
      </c>
      <c r="BH369" s="9">
        <f>VLOOKUP(A369,Jogos!A:BN,66,0)</f>
        <v>28.905</v>
      </c>
      <c r="BI369" s="9"/>
    </row>
    <row r="370" hidden="1">
      <c r="A370" s="2">
        <v>13.0</v>
      </c>
      <c r="B370" s="11" t="s">
        <v>809</v>
      </c>
      <c r="C370" s="2" t="s">
        <v>61</v>
      </c>
      <c r="D370" s="3">
        <v>45826.0</v>
      </c>
      <c r="E370" s="4">
        <v>0.5</v>
      </c>
      <c r="F370" s="5" t="str">
        <f>VLOOKUP(A370,Jogos!A:N,10,0)</f>
        <v>Afternoon</v>
      </c>
      <c r="G370" s="2" t="s">
        <v>500</v>
      </c>
      <c r="H370" s="6" t="str">
        <f>VLOOKUP(A370,Jogos!A:L,12,0)</f>
        <v>Open</v>
      </c>
      <c r="I370" s="6" t="str">
        <f>VLOOKUP(G370,'Estádios e Cidades'!A:B,2,0)</f>
        <v>Philadelphia</v>
      </c>
      <c r="J370" s="2" t="s">
        <v>810</v>
      </c>
      <c r="K370" s="2" t="str">
        <f>VLOOKUP(J370,Equipes!A:F,6,0)</f>
        <v>Temperate</v>
      </c>
      <c r="L370" s="2">
        <f>VLOOKUP(J370,Equipes!A:C,3,0)</f>
        <v>9</v>
      </c>
      <c r="M370" s="2" t="str">
        <f t="shared" si="4"/>
        <v>Round of 16</v>
      </c>
      <c r="N370" s="2" t="s">
        <v>811</v>
      </c>
      <c r="O370" s="2">
        <f>VLOOKUP(N370,Equipes!A:C,3,0)</f>
        <v>31</v>
      </c>
      <c r="P370" s="2" t="str">
        <f t="shared" si="5"/>
        <v>Group</v>
      </c>
      <c r="Q370" s="2">
        <f t="shared" si="6"/>
        <v>-22</v>
      </c>
      <c r="R370" s="2" t="str">
        <f>VLOOKUP(J370,Equipes!A:B,2,0)</f>
        <v>City</v>
      </c>
      <c r="S370" s="6" t="s">
        <v>836</v>
      </c>
      <c r="T370" s="7">
        <v>19.0</v>
      </c>
      <c r="U370" s="7" t="s">
        <v>837</v>
      </c>
      <c r="V370" s="7" t="str">
        <f>VLOOKUP(U370,Jogadores!B:C,2,0)</f>
        <v>MF</v>
      </c>
      <c r="W370" s="8">
        <f>VLOOKUP(U370,Jogadores!B:D,3,0)</f>
        <v>34.78356164</v>
      </c>
      <c r="X370" s="7">
        <v>69.0</v>
      </c>
      <c r="Y370" s="7">
        <f t="shared" si="1150"/>
        <v>96</v>
      </c>
      <c r="Z370" s="7">
        <f>VLOOKUP(A370,Jogos!A:L,3,0)</f>
        <v>48</v>
      </c>
      <c r="AA370" s="7">
        <f t="shared" si="7"/>
        <v>0</v>
      </c>
      <c r="AB370" s="7">
        <f>VLOOKUP(A370,Jogos!A:L,4,0)</f>
        <v>51</v>
      </c>
      <c r="AC370" s="7">
        <f t="shared" si="657"/>
        <v>27</v>
      </c>
      <c r="AD370" s="7"/>
      <c r="AE370" s="7"/>
      <c r="AF370" s="7">
        <f t="shared" si="9"/>
        <v>27</v>
      </c>
      <c r="AG370" s="7">
        <v>2904.3</v>
      </c>
      <c r="AH370" s="7">
        <v>1017.4</v>
      </c>
      <c r="AI370" s="7">
        <v>1145.2</v>
      </c>
      <c r="AJ370" s="7">
        <v>468.1</v>
      </c>
      <c r="AK370" s="7">
        <v>197.9</v>
      </c>
      <c r="AL370" s="7">
        <v>75.6</v>
      </c>
      <c r="AM370" s="7">
        <v>38.0</v>
      </c>
      <c r="AN370" s="7">
        <v>17.0</v>
      </c>
      <c r="AO370" s="7">
        <v>27.3</v>
      </c>
      <c r="AP370" s="9">
        <f t="shared" ref="AP370:AR370" si="1154">AG370/$AF370</f>
        <v>107.5666667</v>
      </c>
      <c r="AQ370" s="9">
        <f t="shared" si="1154"/>
        <v>37.68148148</v>
      </c>
      <c r="AR370" s="9">
        <f t="shared" si="1154"/>
        <v>42.41481481</v>
      </c>
      <c r="AS370" s="9">
        <f t="shared" si="11"/>
        <v>80.0962963</v>
      </c>
      <c r="AT370" s="9">
        <f t="shared" ref="AT370:AV370" si="1155">AJ370/$AF370</f>
        <v>17.33703704</v>
      </c>
      <c r="AU370" s="9">
        <f t="shared" si="1155"/>
        <v>7.32962963</v>
      </c>
      <c r="AV370" s="9">
        <f t="shared" si="1155"/>
        <v>2.8</v>
      </c>
      <c r="AW370" s="9">
        <f t="shared" si="13"/>
        <v>10.12962963</v>
      </c>
      <c r="AX370" s="9">
        <f t="shared" ref="AX370:AY370" si="1156">AM370/$AF370</f>
        <v>1.407407407</v>
      </c>
      <c r="AY370" s="9">
        <f t="shared" si="1156"/>
        <v>0.6296296296</v>
      </c>
      <c r="AZ370" s="9">
        <f>VLOOKUP(A370,Jogos!A:BN,58,0)</f>
        <v>28.235</v>
      </c>
      <c r="BA370" s="9">
        <f>VLOOKUP(A370,Jogos!A:BN,59,0)</f>
        <v>22.225</v>
      </c>
      <c r="BB370" s="9">
        <f>VLOOKUP(A370,Jogos!A:BN,60,0)</f>
        <v>69</v>
      </c>
      <c r="BC370" s="9">
        <f>VLOOKUP(A370,Jogos!A:BN,61,0)</f>
        <v>27.565</v>
      </c>
      <c r="BD370" s="9">
        <f>VLOOKUP(A370,Jogos!A:BN,62,0)</f>
        <v>277.7</v>
      </c>
      <c r="BE370" s="9">
        <f>VLOOKUP(A370,Jogos!A:BN,63,0)</f>
        <v>0.99</v>
      </c>
      <c r="BF370" s="9">
        <f>VLOOKUP(A370,Jogos!A:BN,64,0)</f>
        <v>24.795</v>
      </c>
      <c r="BG370" s="9">
        <f>VLOOKUP(A370,Jogos!A:BN,65,0)</f>
        <v>43.635</v>
      </c>
      <c r="BH370" s="9">
        <f>VLOOKUP(A370,Jogos!A:BN,66,0)</f>
        <v>28.905</v>
      </c>
      <c r="BI370" s="9"/>
    </row>
    <row r="371" hidden="1">
      <c r="A371" s="2">
        <v>13.0</v>
      </c>
      <c r="B371" s="11" t="s">
        <v>809</v>
      </c>
      <c r="C371" s="2" t="s">
        <v>61</v>
      </c>
      <c r="D371" s="3">
        <v>45826.0</v>
      </c>
      <c r="E371" s="4">
        <v>0.5</v>
      </c>
      <c r="F371" s="5" t="str">
        <f>VLOOKUP(A371,Jogos!A:N,10,0)</f>
        <v>Afternoon</v>
      </c>
      <c r="G371" s="2" t="s">
        <v>500</v>
      </c>
      <c r="H371" s="6" t="str">
        <f>VLOOKUP(A371,Jogos!A:L,12,0)</f>
        <v>Open</v>
      </c>
      <c r="I371" s="6" t="str">
        <f>VLOOKUP(G371,'Estádios e Cidades'!A:B,2,0)</f>
        <v>Philadelphia</v>
      </c>
      <c r="J371" s="2" t="s">
        <v>810</v>
      </c>
      <c r="K371" s="2" t="str">
        <f>VLOOKUP(J371,Equipes!A:F,6,0)</f>
        <v>Temperate</v>
      </c>
      <c r="L371" s="2">
        <f>VLOOKUP(J371,Equipes!A:C,3,0)</f>
        <v>9</v>
      </c>
      <c r="M371" s="2" t="str">
        <f t="shared" si="4"/>
        <v>Round of 16</v>
      </c>
      <c r="N371" s="2" t="s">
        <v>811</v>
      </c>
      <c r="O371" s="2">
        <f>VLOOKUP(N371,Equipes!A:C,3,0)</f>
        <v>31</v>
      </c>
      <c r="P371" s="2" t="str">
        <f t="shared" si="5"/>
        <v>Group</v>
      </c>
      <c r="Q371" s="2">
        <f t="shared" si="6"/>
        <v>-22</v>
      </c>
      <c r="R371" s="2" t="str">
        <f>VLOOKUP(J371,Equipes!A:B,2,0)</f>
        <v>City</v>
      </c>
      <c r="S371" s="6" t="s">
        <v>838</v>
      </c>
      <c r="T371" s="7">
        <v>27.0</v>
      </c>
      <c r="U371" s="7" t="s">
        <v>839</v>
      </c>
      <c r="V371" s="7" t="str">
        <f>VLOOKUP(U371,Jogadores!B:C,2,0)</f>
        <v>MF</v>
      </c>
      <c r="W371" s="8">
        <f>VLOOKUP(U371,Jogadores!B:D,3,0)</f>
        <v>26.9369863</v>
      </c>
      <c r="X371" s="7">
        <v>92.0</v>
      </c>
      <c r="Y371" s="7">
        <f t="shared" si="1150"/>
        <v>96</v>
      </c>
      <c r="Z371" s="7">
        <f>VLOOKUP(A371,Jogos!A:L,3,0)</f>
        <v>48</v>
      </c>
      <c r="AA371" s="7">
        <f t="shared" si="7"/>
        <v>0</v>
      </c>
      <c r="AB371" s="7">
        <f>VLOOKUP(A371,Jogos!A:L,4,0)</f>
        <v>51</v>
      </c>
      <c r="AC371" s="7">
        <f t="shared" si="657"/>
        <v>4</v>
      </c>
      <c r="AD371" s="7"/>
      <c r="AE371" s="7"/>
      <c r="AF371" s="7">
        <f t="shared" si="9"/>
        <v>4</v>
      </c>
      <c r="AG371" s="7">
        <v>656.4</v>
      </c>
      <c r="AH371" s="7">
        <v>189.4</v>
      </c>
      <c r="AI371" s="7">
        <v>364.9</v>
      </c>
      <c r="AJ371" s="7">
        <v>41.2</v>
      </c>
      <c r="AK371" s="7">
        <v>39.1</v>
      </c>
      <c r="AL371" s="7">
        <v>21.8</v>
      </c>
      <c r="AM371" s="7">
        <v>4.0</v>
      </c>
      <c r="AN371" s="7">
        <v>2.0</v>
      </c>
      <c r="AO371" s="7">
        <v>32.8</v>
      </c>
      <c r="AP371" s="9">
        <f t="shared" ref="AP371:AR371" si="1157">AG371/$AF371</f>
        <v>164.1</v>
      </c>
      <c r="AQ371" s="9">
        <f t="shared" si="1157"/>
        <v>47.35</v>
      </c>
      <c r="AR371" s="9">
        <f t="shared" si="1157"/>
        <v>91.225</v>
      </c>
      <c r="AS371" s="9">
        <f t="shared" si="11"/>
        <v>138.575</v>
      </c>
      <c r="AT371" s="9">
        <f t="shared" ref="AT371:AV371" si="1158">AJ371/$AF371</f>
        <v>10.3</v>
      </c>
      <c r="AU371" s="9">
        <f t="shared" si="1158"/>
        <v>9.775</v>
      </c>
      <c r="AV371" s="9">
        <f t="shared" si="1158"/>
        <v>5.45</v>
      </c>
      <c r="AW371" s="9">
        <f t="shared" si="13"/>
        <v>15.225</v>
      </c>
      <c r="AX371" s="9">
        <f t="shared" ref="AX371:AY371" si="1159">AM371/$AF371</f>
        <v>1</v>
      </c>
      <c r="AY371" s="9">
        <f t="shared" si="1159"/>
        <v>0.5</v>
      </c>
      <c r="AZ371" s="9">
        <f>VLOOKUP(A371,Jogos!A:BN,58,0)</f>
        <v>28.235</v>
      </c>
      <c r="BA371" s="9">
        <f>VLOOKUP(A371,Jogos!A:BN,59,0)</f>
        <v>22.225</v>
      </c>
      <c r="BB371" s="9">
        <f>VLOOKUP(A371,Jogos!A:BN,60,0)</f>
        <v>69</v>
      </c>
      <c r="BC371" s="9">
        <f>VLOOKUP(A371,Jogos!A:BN,61,0)</f>
        <v>27.565</v>
      </c>
      <c r="BD371" s="9">
        <f>VLOOKUP(A371,Jogos!A:BN,62,0)</f>
        <v>277.7</v>
      </c>
      <c r="BE371" s="9">
        <f>VLOOKUP(A371,Jogos!A:BN,63,0)</f>
        <v>0.99</v>
      </c>
      <c r="BF371" s="9">
        <f>VLOOKUP(A371,Jogos!A:BN,64,0)</f>
        <v>24.795</v>
      </c>
      <c r="BG371" s="9">
        <f>VLOOKUP(A371,Jogos!A:BN,65,0)</f>
        <v>43.635</v>
      </c>
      <c r="BH371" s="9">
        <f>VLOOKUP(A371,Jogos!A:BN,66,0)</f>
        <v>28.905</v>
      </c>
      <c r="BI371" s="9"/>
    </row>
    <row r="372" hidden="1">
      <c r="A372" s="2">
        <v>13.0</v>
      </c>
      <c r="B372" s="11" t="s">
        <v>809</v>
      </c>
      <c r="C372" s="2" t="s">
        <v>61</v>
      </c>
      <c r="D372" s="3">
        <v>45826.0</v>
      </c>
      <c r="E372" s="4">
        <v>0.5</v>
      </c>
      <c r="F372" s="5" t="str">
        <f>VLOOKUP(A372,Jogos!A:N,10,0)</f>
        <v>Afternoon</v>
      </c>
      <c r="G372" s="2" t="s">
        <v>500</v>
      </c>
      <c r="H372" s="6" t="str">
        <f>VLOOKUP(A372,Jogos!A:L,12,0)</f>
        <v>Open</v>
      </c>
      <c r="I372" s="6" t="str">
        <f>VLOOKUP(G372,'Estádios e Cidades'!A:B,2,0)</f>
        <v>Philadelphia</v>
      </c>
      <c r="J372" s="2" t="s">
        <v>810</v>
      </c>
      <c r="K372" s="2" t="str">
        <f>VLOOKUP(J372,Equipes!A:F,6,0)</f>
        <v>Temperate</v>
      </c>
      <c r="L372" s="2">
        <f>VLOOKUP(J372,Equipes!A:C,3,0)</f>
        <v>9</v>
      </c>
      <c r="M372" s="2" t="str">
        <f t="shared" si="4"/>
        <v>Round of 16</v>
      </c>
      <c r="N372" s="2" t="s">
        <v>811</v>
      </c>
      <c r="O372" s="2">
        <f>VLOOKUP(N372,Equipes!A:C,3,0)</f>
        <v>31</v>
      </c>
      <c r="P372" s="2" t="str">
        <f t="shared" si="5"/>
        <v>Group</v>
      </c>
      <c r="Q372" s="2">
        <f t="shared" si="6"/>
        <v>-22</v>
      </c>
      <c r="R372" s="2" t="str">
        <f>VLOOKUP(J372,Equipes!A:B,2,0)</f>
        <v>City</v>
      </c>
      <c r="S372" s="6" t="s">
        <v>840</v>
      </c>
      <c r="T372" s="7">
        <v>52.0</v>
      </c>
      <c r="U372" s="7" t="s">
        <v>841</v>
      </c>
      <c r="V372" s="7" t="str">
        <f>VLOOKUP(U372,Jogadores!B:C,2,0)</f>
        <v>FW</v>
      </c>
      <c r="W372" s="8">
        <f>VLOOKUP(U372,Jogadores!B:D,3,0)</f>
        <v>22.06027397</v>
      </c>
      <c r="X372" s="7">
        <v>59.0</v>
      </c>
      <c r="Y372" s="7">
        <f t="shared" si="1150"/>
        <v>96</v>
      </c>
      <c r="Z372" s="7">
        <f>VLOOKUP(A372,Jogos!A:L,3,0)</f>
        <v>48</v>
      </c>
      <c r="AA372" s="7">
        <f t="shared" si="7"/>
        <v>0</v>
      </c>
      <c r="AB372" s="7">
        <f>VLOOKUP(A372,Jogos!A:L,4,0)</f>
        <v>51</v>
      </c>
      <c r="AC372" s="7">
        <f t="shared" si="657"/>
        <v>37</v>
      </c>
      <c r="AD372" s="7"/>
      <c r="AE372" s="7"/>
      <c r="AF372" s="7">
        <f t="shared" si="9"/>
        <v>37</v>
      </c>
      <c r="AG372" s="7">
        <v>3694.9</v>
      </c>
      <c r="AH372" s="7">
        <v>1404.4</v>
      </c>
      <c r="AI372" s="7">
        <v>1393.0</v>
      </c>
      <c r="AJ372" s="7">
        <v>531.0</v>
      </c>
      <c r="AK372" s="7">
        <v>292.4</v>
      </c>
      <c r="AL372" s="7">
        <v>74.2</v>
      </c>
      <c r="AM372" s="7">
        <v>39.0</v>
      </c>
      <c r="AN372" s="7">
        <v>22.0</v>
      </c>
      <c r="AO372" s="7">
        <v>29.5</v>
      </c>
      <c r="AP372" s="9">
        <f t="shared" ref="AP372:AR372" si="1160">AG372/$AF372</f>
        <v>99.86216216</v>
      </c>
      <c r="AQ372" s="9">
        <f t="shared" si="1160"/>
        <v>37.95675676</v>
      </c>
      <c r="AR372" s="9">
        <f t="shared" si="1160"/>
        <v>37.64864865</v>
      </c>
      <c r="AS372" s="9">
        <f t="shared" si="11"/>
        <v>75.60540541</v>
      </c>
      <c r="AT372" s="9">
        <f t="shared" ref="AT372:AV372" si="1161">AJ372/$AF372</f>
        <v>14.35135135</v>
      </c>
      <c r="AU372" s="9">
        <f t="shared" si="1161"/>
        <v>7.902702703</v>
      </c>
      <c r="AV372" s="9">
        <f t="shared" si="1161"/>
        <v>2.005405405</v>
      </c>
      <c r="AW372" s="9">
        <f t="shared" si="13"/>
        <v>9.908108108</v>
      </c>
      <c r="AX372" s="9">
        <f t="shared" ref="AX372:AY372" si="1162">AM372/$AF372</f>
        <v>1.054054054</v>
      </c>
      <c r="AY372" s="9">
        <f t="shared" si="1162"/>
        <v>0.5945945946</v>
      </c>
      <c r="AZ372" s="9">
        <f>VLOOKUP(A372,Jogos!A:BN,58,0)</f>
        <v>28.235</v>
      </c>
      <c r="BA372" s="9">
        <f>VLOOKUP(A372,Jogos!A:BN,59,0)</f>
        <v>22.225</v>
      </c>
      <c r="BB372" s="9">
        <f>VLOOKUP(A372,Jogos!A:BN,60,0)</f>
        <v>69</v>
      </c>
      <c r="BC372" s="9">
        <f>VLOOKUP(A372,Jogos!A:BN,61,0)</f>
        <v>27.565</v>
      </c>
      <c r="BD372" s="9">
        <f>VLOOKUP(A372,Jogos!A:BN,62,0)</f>
        <v>277.7</v>
      </c>
      <c r="BE372" s="9">
        <f>VLOOKUP(A372,Jogos!A:BN,63,0)</f>
        <v>0.99</v>
      </c>
      <c r="BF372" s="9">
        <f>VLOOKUP(A372,Jogos!A:BN,64,0)</f>
        <v>24.795</v>
      </c>
      <c r="BG372" s="9">
        <f>VLOOKUP(A372,Jogos!A:BN,65,0)</f>
        <v>43.635</v>
      </c>
      <c r="BH372" s="9">
        <f>VLOOKUP(A372,Jogos!A:BN,66,0)</f>
        <v>28.905</v>
      </c>
      <c r="BI372" s="9"/>
    </row>
    <row r="373" hidden="1">
      <c r="A373" s="10">
        <v>13.0</v>
      </c>
      <c r="B373" s="11" t="s">
        <v>809</v>
      </c>
      <c r="C373" s="2" t="s">
        <v>61</v>
      </c>
      <c r="D373" s="12">
        <v>45826.0</v>
      </c>
      <c r="E373" s="13">
        <v>0.5</v>
      </c>
      <c r="F373" s="5" t="str">
        <f>VLOOKUP(A373,Jogos!A:N,10,0)</f>
        <v>Afternoon</v>
      </c>
      <c r="G373" s="11" t="s">
        <v>500</v>
      </c>
      <c r="H373" s="6" t="str">
        <f>VLOOKUP(A373,Jogos!A:L,12,0)</f>
        <v>Open</v>
      </c>
      <c r="I373" s="6" t="str">
        <f>VLOOKUP(G373,'Estádios e Cidades'!A:B,2,0)</f>
        <v>Philadelphia</v>
      </c>
      <c r="J373" s="11" t="s">
        <v>811</v>
      </c>
      <c r="K373" s="2" t="str">
        <f>VLOOKUP(J373,Equipes!A:F,6,0)</f>
        <v>Temperate</v>
      </c>
      <c r="L373" s="2">
        <f>VLOOKUP(J373,Equipes!A:C,3,0)</f>
        <v>31</v>
      </c>
      <c r="M373" s="2" t="str">
        <f t="shared" si="4"/>
        <v>Group</v>
      </c>
      <c r="N373" s="11" t="s">
        <v>810</v>
      </c>
      <c r="O373" s="2">
        <f>VLOOKUP(N373,Equipes!A:C,3,0)</f>
        <v>9</v>
      </c>
      <c r="P373" s="2" t="str">
        <f t="shared" si="5"/>
        <v>Round of 16</v>
      </c>
      <c r="Q373" s="2">
        <f t="shared" si="6"/>
        <v>22</v>
      </c>
      <c r="R373" s="2" t="str">
        <f>VLOOKUP(J373,Equipes!A:B,2,0)</f>
        <v>Wydad</v>
      </c>
      <c r="S373" s="14" t="s">
        <v>842</v>
      </c>
      <c r="T373" s="7">
        <v>2.0</v>
      </c>
      <c r="U373" s="7" t="s">
        <v>843</v>
      </c>
      <c r="V373" s="7" t="str">
        <f>VLOOKUP(U373,Jogadores!B:C,2,0)</f>
        <v>DF</v>
      </c>
      <c r="W373" s="8">
        <f>VLOOKUP(U373,Jogadores!B:D,3,0)</f>
        <v>25.55890411</v>
      </c>
      <c r="X373" s="7">
        <v>0.0</v>
      </c>
      <c r="Y373" s="7">
        <f t="shared" si="1150"/>
        <v>96</v>
      </c>
      <c r="Z373" s="7">
        <f>VLOOKUP(A373,Jogos!A:L,3,0)</f>
        <v>48</v>
      </c>
      <c r="AA373" s="7">
        <f t="shared" si="7"/>
        <v>48</v>
      </c>
      <c r="AB373" s="7">
        <f>VLOOKUP(A373,Jogos!A:L,4,0)</f>
        <v>51</v>
      </c>
      <c r="AC373" s="7">
        <f t="shared" si="657"/>
        <v>51</v>
      </c>
      <c r="AD373" s="7"/>
      <c r="AE373" s="7"/>
      <c r="AF373" s="7">
        <f t="shared" si="9"/>
        <v>99</v>
      </c>
      <c r="AG373" s="7">
        <v>9446.1</v>
      </c>
      <c r="AH373" s="7">
        <v>4224.3</v>
      </c>
      <c r="AI373" s="7">
        <v>3843.4</v>
      </c>
      <c r="AJ373" s="7">
        <v>759.9</v>
      </c>
      <c r="AK373" s="7">
        <v>374.2</v>
      </c>
      <c r="AL373" s="7">
        <v>244.3</v>
      </c>
      <c r="AM373" s="7">
        <v>66.0</v>
      </c>
      <c r="AN373" s="7">
        <v>32.0</v>
      </c>
      <c r="AO373" s="7">
        <v>33.0</v>
      </c>
      <c r="AP373" s="9">
        <f t="shared" ref="AP373:AR373" si="1163">AG373/$AF373</f>
        <v>95.41515152</v>
      </c>
      <c r="AQ373" s="9">
        <f t="shared" si="1163"/>
        <v>42.66969697</v>
      </c>
      <c r="AR373" s="9">
        <f t="shared" si="1163"/>
        <v>38.82222222</v>
      </c>
      <c r="AS373" s="9">
        <f t="shared" si="11"/>
        <v>81.49191919</v>
      </c>
      <c r="AT373" s="9">
        <f t="shared" ref="AT373:AV373" si="1164">AJ373/$AF373</f>
        <v>7.675757576</v>
      </c>
      <c r="AU373" s="9">
        <f t="shared" si="1164"/>
        <v>3.77979798</v>
      </c>
      <c r="AV373" s="9">
        <f t="shared" si="1164"/>
        <v>2.467676768</v>
      </c>
      <c r="AW373" s="9">
        <f t="shared" si="13"/>
        <v>6.247474747</v>
      </c>
      <c r="AX373" s="9">
        <f t="shared" ref="AX373:AY373" si="1165">AM373/$AF373</f>
        <v>0.6666666667</v>
      </c>
      <c r="AY373" s="9">
        <f t="shared" si="1165"/>
        <v>0.3232323232</v>
      </c>
      <c r="AZ373" s="9">
        <f>VLOOKUP(A373,Jogos!A:BN,58,0)</f>
        <v>28.235</v>
      </c>
      <c r="BA373" s="9">
        <f>VLOOKUP(A373,Jogos!A:BN,59,0)</f>
        <v>22.225</v>
      </c>
      <c r="BB373" s="9">
        <f>VLOOKUP(A373,Jogos!A:BN,60,0)</f>
        <v>69</v>
      </c>
      <c r="BC373" s="9">
        <f>VLOOKUP(A373,Jogos!A:BN,61,0)</f>
        <v>27.565</v>
      </c>
      <c r="BD373" s="9">
        <f>VLOOKUP(A373,Jogos!A:BN,62,0)</f>
        <v>277.7</v>
      </c>
      <c r="BE373" s="9">
        <f>VLOOKUP(A373,Jogos!A:BN,63,0)</f>
        <v>0.99</v>
      </c>
      <c r="BF373" s="9">
        <f>VLOOKUP(A373,Jogos!A:BN,64,0)</f>
        <v>24.795</v>
      </c>
      <c r="BG373" s="9">
        <f>VLOOKUP(A373,Jogos!A:BN,65,0)</f>
        <v>43.635</v>
      </c>
      <c r="BH373" s="9">
        <f>VLOOKUP(A373,Jogos!A:BN,66,0)</f>
        <v>28.905</v>
      </c>
      <c r="BI373" s="9"/>
    </row>
    <row r="374" hidden="1">
      <c r="A374" s="10">
        <v>13.0</v>
      </c>
      <c r="B374" s="11" t="s">
        <v>809</v>
      </c>
      <c r="C374" s="2" t="s">
        <v>61</v>
      </c>
      <c r="D374" s="12">
        <v>45826.0</v>
      </c>
      <c r="E374" s="13">
        <v>0.5</v>
      </c>
      <c r="F374" s="5" t="str">
        <f>VLOOKUP(A374,Jogos!A:N,10,0)</f>
        <v>Afternoon</v>
      </c>
      <c r="G374" s="11" t="s">
        <v>500</v>
      </c>
      <c r="H374" s="6" t="str">
        <f>VLOOKUP(A374,Jogos!A:L,12,0)</f>
        <v>Open</v>
      </c>
      <c r="I374" s="6" t="str">
        <f>VLOOKUP(G374,'Estádios e Cidades'!A:B,2,0)</f>
        <v>Philadelphia</v>
      </c>
      <c r="J374" s="11" t="s">
        <v>811</v>
      </c>
      <c r="K374" s="2" t="str">
        <f>VLOOKUP(J374,Equipes!A:F,6,0)</f>
        <v>Temperate</v>
      </c>
      <c r="L374" s="2">
        <f>VLOOKUP(J374,Equipes!A:C,3,0)</f>
        <v>31</v>
      </c>
      <c r="M374" s="2" t="str">
        <f t="shared" si="4"/>
        <v>Group</v>
      </c>
      <c r="N374" s="11" t="s">
        <v>810</v>
      </c>
      <c r="O374" s="2">
        <f>VLOOKUP(N374,Equipes!A:C,3,0)</f>
        <v>9</v>
      </c>
      <c r="P374" s="2" t="str">
        <f t="shared" si="5"/>
        <v>Round of 16</v>
      </c>
      <c r="Q374" s="2">
        <f t="shared" si="6"/>
        <v>22</v>
      </c>
      <c r="R374" s="2" t="str">
        <f>VLOOKUP(J374,Equipes!A:B,2,0)</f>
        <v>Wydad</v>
      </c>
      <c r="S374" s="6" t="s">
        <v>844</v>
      </c>
      <c r="T374" s="7">
        <v>4.0</v>
      </c>
      <c r="U374" s="7" t="s">
        <v>845</v>
      </c>
      <c r="V374" s="7" t="str">
        <f>VLOOKUP(U374,Jogadores!B:C,2,0)</f>
        <v>FW</v>
      </c>
      <c r="W374" s="8">
        <f>VLOOKUP(U374,Jogadores!B:D,3,0)</f>
        <v>32.03835616</v>
      </c>
      <c r="X374" s="7">
        <v>0.0</v>
      </c>
      <c r="Y374" s="7">
        <v>84.0</v>
      </c>
      <c r="Z374" s="7">
        <f>VLOOKUP(A374,Jogos!A:L,3,0)</f>
        <v>48</v>
      </c>
      <c r="AA374" s="7">
        <f t="shared" si="7"/>
        <v>48</v>
      </c>
      <c r="AB374" s="7">
        <f>VLOOKUP(A374,Jogos!A:L,4,0)</f>
        <v>51</v>
      </c>
      <c r="AC374" s="7">
        <f t="shared" si="657"/>
        <v>39</v>
      </c>
      <c r="AD374" s="7"/>
      <c r="AE374" s="7"/>
      <c r="AF374" s="7">
        <f t="shared" si="9"/>
        <v>87</v>
      </c>
      <c r="AG374" s="7">
        <v>9040.5</v>
      </c>
      <c r="AH374" s="7">
        <v>3370.9</v>
      </c>
      <c r="AI374" s="7">
        <v>3673.8</v>
      </c>
      <c r="AJ374" s="7">
        <v>1088.0</v>
      </c>
      <c r="AK374" s="7">
        <v>543.7</v>
      </c>
      <c r="AL374" s="7">
        <v>364.0</v>
      </c>
      <c r="AM374" s="7">
        <v>100.0</v>
      </c>
      <c r="AN374" s="7">
        <v>49.0</v>
      </c>
      <c r="AO374" s="7">
        <v>32.1</v>
      </c>
      <c r="AP374" s="9">
        <f t="shared" ref="AP374:AR374" si="1166">AG374/$AF374</f>
        <v>103.9137931</v>
      </c>
      <c r="AQ374" s="9">
        <f t="shared" si="1166"/>
        <v>38.74597701</v>
      </c>
      <c r="AR374" s="9">
        <f t="shared" si="1166"/>
        <v>42.22758621</v>
      </c>
      <c r="AS374" s="9">
        <f t="shared" si="11"/>
        <v>80.97356322</v>
      </c>
      <c r="AT374" s="9">
        <f t="shared" ref="AT374:AV374" si="1167">AJ374/$AF374</f>
        <v>12.50574713</v>
      </c>
      <c r="AU374" s="9">
        <f t="shared" si="1167"/>
        <v>6.249425287</v>
      </c>
      <c r="AV374" s="9">
        <f t="shared" si="1167"/>
        <v>4.183908046</v>
      </c>
      <c r="AW374" s="9">
        <f t="shared" si="13"/>
        <v>10.43333333</v>
      </c>
      <c r="AX374" s="9">
        <f t="shared" ref="AX374:AY374" si="1168">AM374/$AF374</f>
        <v>1.149425287</v>
      </c>
      <c r="AY374" s="9">
        <f t="shared" si="1168"/>
        <v>0.5632183908</v>
      </c>
      <c r="AZ374" s="9">
        <f>VLOOKUP(A374,Jogos!A:BN,58,0)</f>
        <v>28.235</v>
      </c>
      <c r="BA374" s="9">
        <f>VLOOKUP(A374,Jogos!A:BN,59,0)</f>
        <v>22.225</v>
      </c>
      <c r="BB374" s="9">
        <f>VLOOKUP(A374,Jogos!A:BN,60,0)</f>
        <v>69</v>
      </c>
      <c r="BC374" s="9">
        <f>VLOOKUP(A374,Jogos!A:BN,61,0)</f>
        <v>27.565</v>
      </c>
      <c r="BD374" s="9">
        <f>VLOOKUP(A374,Jogos!A:BN,62,0)</f>
        <v>277.7</v>
      </c>
      <c r="BE374" s="9">
        <f>VLOOKUP(A374,Jogos!A:BN,63,0)</f>
        <v>0.99</v>
      </c>
      <c r="BF374" s="9">
        <f>VLOOKUP(A374,Jogos!A:BN,64,0)</f>
        <v>24.795</v>
      </c>
      <c r="BG374" s="9">
        <f>VLOOKUP(A374,Jogos!A:BN,65,0)</f>
        <v>43.635</v>
      </c>
      <c r="BH374" s="9">
        <f>VLOOKUP(A374,Jogos!A:BN,66,0)</f>
        <v>28.905</v>
      </c>
      <c r="BI374" s="9"/>
    </row>
    <row r="375" hidden="1">
      <c r="A375" s="10">
        <v>13.0</v>
      </c>
      <c r="B375" s="11" t="s">
        <v>809</v>
      </c>
      <c r="C375" s="2" t="s">
        <v>61</v>
      </c>
      <c r="D375" s="12">
        <v>45826.0</v>
      </c>
      <c r="E375" s="13">
        <v>0.5</v>
      </c>
      <c r="F375" s="5" t="str">
        <f>VLOOKUP(A375,Jogos!A:N,10,0)</f>
        <v>Afternoon</v>
      </c>
      <c r="G375" s="11" t="s">
        <v>500</v>
      </c>
      <c r="H375" s="6" t="str">
        <f>VLOOKUP(A375,Jogos!A:L,12,0)</f>
        <v>Open</v>
      </c>
      <c r="I375" s="6" t="str">
        <f>VLOOKUP(G375,'Estádios e Cidades'!A:B,2,0)</f>
        <v>Philadelphia</v>
      </c>
      <c r="J375" s="11" t="s">
        <v>811</v>
      </c>
      <c r="K375" s="2" t="str">
        <f>VLOOKUP(J375,Equipes!A:F,6,0)</f>
        <v>Temperate</v>
      </c>
      <c r="L375" s="2">
        <f>VLOOKUP(J375,Equipes!A:C,3,0)</f>
        <v>31</v>
      </c>
      <c r="M375" s="2" t="str">
        <f t="shared" si="4"/>
        <v>Group</v>
      </c>
      <c r="N375" s="11" t="s">
        <v>810</v>
      </c>
      <c r="O375" s="2">
        <f>VLOOKUP(N375,Equipes!A:C,3,0)</f>
        <v>9</v>
      </c>
      <c r="P375" s="2" t="str">
        <f t="shared" si="5"/>
        <v>Round of 16</v>
      </c>
      <c r="Q375" s="2">
        <f t="shared" si="6"/>
        <v>22</v>
      </c>
      <c r="R375" s="2" t="str">
        <f>VLOOKUP(J375,Equipes!A:B,2,0)</f>
        <v>Wydad</v>
      </c>
      <c r="S375" s="6" t="s">
        <v>846</v>
      </c>
      <c r="T375" s="7">
        <v>11.0</v>
      </c>
      <c r="U375" s="7" t="s">
        <v>847</v>
      </c>
      <c r="V375" s="7" t="str">
        <f>VLOOKUP(U375,Jogadores!B:C,2,0)</f>
        <v>FW</v>
      </c>
      <c r="W375" s="8">
        <f>VLOOKUP(U375,Jogadores!B:D,3,0)</f>
        <v>38.35342466</v>
      </c>
      <c r="X375" s="7">
        <v>0.0</v>
      </c>
      <c r="Y375" s="7">
        <v>62.0</v>
      </c>
      <c r="Z375" s="7">
        <f>VLOOKUP(A375,Jogos!A:L,3,0)</f>
        <v>48</v>
      </c>
      <c r="AA375" s="7">
        <f t="shared" si="7"/>
        <v>48</v>
      </c>
      <c r="AB375" s="7">
        <f>VLOOKUP(A375,Jogos!A:L,4,0)</f>
        <v>51</v>
      </c>
      <c r="AC375" s="7">
        <f t="shared" si="657"/>
        <v>17</v>
      </c>
      <c r="AD375" s="7"/>
      <c r="AE375" s="7"/>
      <c r="AF375" s="7">
        <f t="shared" si="9"/>
        <v>65</v>
      </c>
      <c r="AG375" s="7">
        <v>6013.9</v>
      </c>
      <c r="AH375" s="7">
        <v>2947.4</v>
      </c>
      <c r="AI375" s="7">
        <v>2113.2</v>
      </c>
      <c r="AJ375" s="7">
        <v>555.4</v>
      </c>
      <c r="AK375" s="7">
        <v>239.6</v>
      </c>
      <c r="AL375" s="7">
        <v>158.4</v>
      </c>
      <c r="AM375" s="7">
        <v>48.0</v>
      </c>
      <c r="AN375" s="7">
        <v>23.0</v>
      </c>
      <c r="AO375" s="7">
        <v>32.7</v>
      </c>
      <c r="AP375" s="9">
        <f t="shared" ref="AP375:AR375" si="1169">AG375/$AF375</f>
        <v>92.52153846</v>
      </c>
      <c r="AQ375" s="9">
        <f t="shared" si="1169"/>
        <v>45.34461538</v>
      </c>
      <c r="AR375" s="9">
        <f t="shared" si="1169"/>
        <v>32.51076923</v>
      </c>
      <c r="AS375" s="9">
        <f t="shared" si="11"/>
        <v>77.85538462</v>
      </c>
      <c r="AT375" s="9">
        <f t="shared" ref="AT375:AV375" si="1170">AJ375/$AF375</f>
        <v>8.544615385</v>
      </c>
      <c r="AU375" s="9">
        <f t="shared" si="1170"/>
        <v>3.686153846</v>
      </c>
      <c r="AV375" s="9">
        <f t="shared" si="1170"/>
        <v>2.436923077</v>
      </c>
      <c r="AW375" s="9">
        <f t="shared" si="13"/>
        <v>6.123076923</v>
      </c>
      <c r="AX375" s="9">
        <f t="shared" ref="AX375:AY375" si="1171">AM375/$AF375</f>
        <v>0.7384615385</v>
      </c>
      <c r="AY375" s="9">
        <f t="shared" si="1171"/>
        <v>0.3538461538</v>
      </c>
      <c r="AZ375" s="9">
        <f>VLOOKUP(A375,Jogos!A:BN,58,0)</f>
        <v>28.235</v>
      </c>
      <c r="BA375" s="9">
        <f>VLOOKUP(A375,Jogos!A:BN,59,0)</f>
        <v>22.225</v>
      </c>
      <c r="BB375" s="9">
        <f>VLOOKUP(A375,Jogos!A:BN,60,0)</f>
        <v>69</v>
      </c>
      <c r="BC375" s="9">
        <f>VLOOKUP(A375,Jogos!A:BN,61,0)</f>
        <v>27.565</v>
      </c>
      <c r="BD375" s="9">
        <f>VLOOKUP(A375,Jogos!A:BN,62,0)</f>
        <v>277.7</v>
      </c>
      <c r="BE375" s="9">
        <f>VLOOKUP(A375,Jogos!A:BN,63,0)</f>
        <v>0.99</v>
      </c>
      <c r="BF375" s="9">
        <f>VLOOKUP(A375,Jogos!A:BN,64,0)</f>
        <v>24.795</v>
      </c>
      <c r="BG375" s="9">
        <f>VLOOKUP(A375,Jogos!A:BN,65,0)</f>
        <v>43.635</v>
      </c>
      <c r="BH375" s="9">
        <f>VLOOKUP(A375,Jogos!A:BN,66,0)</f>
        <v>28.905</v>
      </c>
      <c r="BI375" s="9"/>
    </row>
    <row r="376" hidden="1">
      <c r="A376" s="10">
        <v>13.0</v>
      </c>
      <c r="B376" s="11" t="s">
        <v>809</v>
      </c>
      <c r="C376" s="2" t="s">
        <v>61</v>
      </c>
      <c r="D376" s="12">
        <v>45826.0</v>
      </c>
      <c r="E376" s="13">
        <v>0.5</v>
      </c>
      <c r="F376" s="5" t="str">
        <f>VLOOKUP(A376,Jogos!A:N,10,0)</f>
        <v>Afternoon</v>
      </c>
      <c r="G376" s="11" t="s">
        <v>500</v>
      </c>
      <c r="H376" s="6" t="str">
        <f>VLOOKUP(A376,Jogos!A:L,12,0)</f>
        <v>Open</v>
      </c>
      <c r="I376" s="6" t="str">
        <f>VLOOKUP(G376,'Estádios e Cidades'!A:B,2,0)</f>
        <v>Philadelphia</v>
      </c>
      <c r="J376" s="11" t="s">
        <v>811</v>
      </c>
      <c r="K376" s="2" t="str">
        <f>VLOOKUP(J376,Equipes!A:F,6,0)</f>
        <v>Temperate</v>
      </c>
      <c r="L376" s="2">
        <f>VLOOKUP(J376,Equipes!A:C,3,0)</f>
        <v>31</v>
      </c>
      <c r="M376" s="2" t="str">
        <f t="shared" si="4"/>
        <v>Group</v>
      </c>
      <c r="N376" s="11" t="s">
        <v>810</v>
      </c>
      <c r="O376" s="2">
        <f>VLOOKUP(N376,Equipes!A:C,3,0)</f>
        <v>9</v>
      </c>
      <c r="P376" s="2" t="str">
        <f t="shared" si="5"/>
        <v>Round of 16</v>
      </c>
      <c r="Q376" s="2">
        <f t="shared" si="6"/>
        <v>22</v>
      </c>
      <c r="R376" s="2" t="str">
        <f>VLOOKUP(J376,Equipes!A:B,2,0)</f>
        <v>Wydad</v>
      </c>
      <c r="S376" s="6" t="s">
        <v>848</v>
      </c>
      <c r="T376" s="7">
        <v>14.0</v>
      </c>
      <c r="U376" s="7" t="s">
        <v>849</v>
      </c>
      <c r="V376" s="7" t="str">
        <f>VLOOKUP(U376,Jogadores!B:C,2,0)</f>
        <v>DF</v>
      </c>
      <c r="W376" s="8">
        <f>VLOOKUP(U376,Jogadores!B:D,3,0)</f>
        <v>27.56712329</v>
      </c>
      <c r="X376" s="7">
        <v>0.0</v>
      </c>
      <c r="Y376" s="7">
        <f t="shared" ref="Y376:Y378" si="1175">45+AB376</f>
        <v>96</v>
      </c>
      <c r="Z376" s="7">
        <f>VLOOKUP(A376,Jogos!A:L,3,0)</f>
        <v>48</v>
      </c>
      <c r="AA376" s="7">
        <f t="shared" si="7"/>
        <v>48</v>
      </c>
      <c r="AB376" s="7">
        <f>VLOOKUP(A376,Jogos!A:L,4,0)</f>
        <v>51</v>
      </c>
      <c r="AC376" s="7">
        <f t="shared" si="657"/>
        <v>51</v>
      </c>
      <c r="AD376" s="7"/>
      <c r="AE376" s="7"/>
      <c r="AF376" s="7">
        <f t="shared" si="9"/>
        <v>99</v>
      </c>
      <c r="AG376" s="7">
        <v>8573.8</v>
      </c>
      <c r="AH376" s="7">
        <v>3962.1</v>
      </c>
      <c r="AI376" s="7">
        <v>3489.1</v>
      </c>
      <c r="AJ376" s="7">
        <v>752.2</v>
      </c>
      <c r="AK376" s="7">
        <v>261.6</v>
      </c>
      <c r="AL376" s="7">
        <v>108.8</v>
      </c>
      <c r="AM376" s="7">
        <v>69.0</v>
      </c>
      <c r="AN376" s="7">
        <v>20.0</v>
      </c>
      <c r="AO376" s="7">
        <v>30.8</v>
      </c>
      <c r="AP376" s="9">
        <f t="shared" ref="AP376:AR376" si="1172">AG376/$AF376</f>
        <v>86.6040404</v>
      </c>
      <c r="AQ376" s="9">
        <f t="shared" si="1172"/>
        <v>40.02121212</v>
      </c>
      <c r="AR376" s="9">
        <f t="shared" si="1172"/>
        <v>35.24343434</v>
      </c>
      <c r="AS376" s="9">
        <f t="shared" si="11"/>
        <v>75.26464646</v>
      </c>
      <c r="AT376" s="9">
        <f t="shared" ref="AT376:AV376" si="1173">AJ376/$AF376</f>
        <v>7.597979798</v>
      </c>
      <c r="AU376" s="9">
        <f t="shared" si="1173"/>
        <v>2.642424242</v>
      </c>
      <c r="AV376" s="9">
        <f t="shared" si="1173"/>
        <v>1.098989899</v>
      </c>
      <c r="AW376" s="9">
        <f t="shared" si="13"/>
        <v>3.741414141</v>
      </c>
      <c r="AX376" s="9">
        <f t="shared" ref="AX376:AY376" si="1174">AM376/$AF376</f>
        <v>0.696969697</v>
      </c>
      <c r="AY376" s="9">
        <f t="shared" si="1174"/>
        <v>0.202020202</v>
      </c>
      <c r="AZ376" s="9">
        <f>VLOOKUP(A376,Jogos!A:BN,58,0)</f>
        <v>28.235</v>
      </c>
      <c r="BA376" s="9">
        <f>VLOOKUP(A376,Jogos!A:BN,59,0)</f>
        <v>22.225</v>
      </c>
      <c r="BB376" s="9">
        <f>VLOOKUP(A376,Jogos!A:BN,60,0)</f>
        <v>69</v>
      </c>
      <c r="BC376" s="9">
        <f>VLOOKUP(A376,Jogos!A:BN,61,0)</f>
        <v>27.565</v>
      </c>
      <c r="BD376" s="9">
        <f>VLOOKUP(A376,Jogos!A:BN,62,0)</f>
        <v>277.7</v>
      </c>
      <c r="BE376" s="9">
        <f>VLOOKUP(A376,Jogos!A:BN,63,0)</f>
        <v>0.99</v>
      </c>
      <c r="BF376" s="9">
        <f>VLOOKUP(A376,Jogos!A:BN,64,0)</f>
        <v>24.795</v>
      </c>
      <c r="BG376" s="9">
        <f>VLOOKUP(A376,Jogos!A:BN,65,0)</f>
        <v>43.635</v>
      </c>
      <c r="BH376" s="9">
        <f>VLOOKUP(A376,Jogos!A:BN,66,0)</f>
        <v>28.905</v>
      </c>
      <c r="BI376" s="9"/>
    </row>
    <row r="377" hidden="1">
      <c r="A377" s="10">
        <v>13.0</v>
      </c>
      <c r="B377" s="11" t="s">
        <v>809</v>
      </c>
      <c r="C377" s="2" t="s">
        <v>61</v>
      </c>
      <c r="D377" s="12">
        <v>45826.0</v>
      </c>
      <c r="E377" s="13">
        <v>0.5</v>
      </c>
      <c r="F377" s="5" t="str">
        <f>VLOOKUP(A377,Jogos!A:N,10,0)</f>
        <v>Afternoon</v>
      </c>
      <c r="G377" s="11" t="s">
        <v>500</v>
      </c>
      <c r="H377" s="6" t="str">
        <f>VLOOKUP(A377,Jogos!A:L,12,0)</f>
        <v>Open</v>
      </c>
      <c r="I377" s="6" t="str">
        <f>VLOOKUP(G377,'Estádios e Cidades'!A:B,2,0)</f>
        <v>Philadelphia</v>
      </c>
      <c r="J377" s="11" t="s">
        <v>811</v>
      </c>
      <c r="K377" s="2" t="str">
        <f>VLOOKUP(J377,Equipes!A:F,6,0)</f>
        <v>Temperate</v>
      </c>
      <c r="L377" s="2">
        <f>VLOOKUP(J377,Equipes!A:C,3,0)</f>
        <v>31</v>
      </c>
      <c r="M377" s="2" t="str">
        <f t="shared" si="4"/>
        <v>Group</v>
      </c>
      <c r="N377" s="11" t="s">
        <v>810</v>
      </c>
      <c r="O377" s="2">
        <f>VLOOKUP(N377,Equipes!A:C,3,0)</f>
        <v>9</v>
      </c>
      <c r="P377" s="2" t="str">
        <f t="shared" si="5"/>
        <v>Round of 16</v>
      </c>
      <c r="Q377" s="2">
        <f t="shared" si="6"/>
        <v>22</v>
      </c>
      <c r="R377" s="2" t="str">
        <f>VLOOKUP(J377,Equipes!A:B,2,0)</f>
        <v>Wydad</v>
      </c>
      <c r="S377" s="6" t="s">
        <v>850</v>
      </c>
      <c r="T377" s="7">
        <v>18.0</v>
      </c>
      <c r="U377" s="7" t="s">
        <v>851</v>
      </c>
      <c r="V377" s="7" t="str">
        <f>VLOOKUP(U377,Jogadores!B:C,2,0)</f>
        <v>DF</v>
      </c>
      <c r="W377" s="8">
        <f>VLOOKUP(U377,Jogadores!B:D,3,0)</f>
        <v>29.24931507</v>
      </c>
      <c r="X377" s="7">
        <v>0.0</v>
      </c>
      <c r="Y377" s="7">
        <f t="shared" si="1175"/>
        <v>96</v>
      </c>
      <c r="Z377" s="7">
        <f>VLOOKUP(A377,Jogos!A:L,3,0)</f>
        <v>48</v>
      </c>
      <c r="AA377" s="7">
        <f t="shared" si="7"/>
        <v>48</v>
      </c>
      <c r="AB377" s="7">
        <f>VLOOKUP(A377,Jogos!A:L,4,0)</f>
        <v>51</v>
      </c>
      <c r="AC377" s="7">
        <f t="shared" si="657"/>
        <v>51</v>
      </c>
      <c r="AD377" s="7"/>
      <c r="AE377" s="7"/>
      <c r="AF377" s="7">
        <f t="shared" si="9"/>
        <v>99</v>
      </c>
      <c r="AG377" s="7">
        <v>9345.8</v>
      </c>
      <c r="AH377" s="7">
        <v>4264.6</v>
      </c>
      <c r="AI377" s="7">
        <v>3509.4</v>
      </c>
      <c r="AJ377" s="7">
        <v>1007.0</v>
      </c>
      <c r="AK377" s="7">
        <v>343.9</v>
      </c>
      <c r="AL377" s="7">
        <v>220.9</v>
      </c>
      <c r="AM377" s="7">
        <v>84.0</v>
      </c>
      <c r="AN377" s="7">
        <v>30.0</v>
      </c>
      <c r="AO377" s="7">
        <v>32.0</v>
      </c>
      <c r="AP377" s="9">
        <f t="shared" ref="AP377:AR377" si="1176">AG377/$AF377</f>
        <v>94.4020202</v>
      </c>
      <c r="AQ377" s="9">
        <f t="shared" si="1176"/>
        <v>43.07676768</v>
      </c>
      <c r="AR377" s="9">
        <f t="shared" si="1176"/>
        <v>35.44848485</v>
      </c>
      <c r="AS377" s="9">
        <f t="shared" si="11"/>
        <v>78.52525253</v>
      </c>
      <c r="AT377" s="9">
        <f t="shared" ref="AT377:AV377" si="1177">AJ377/$AF377</f>
        <v>10.17171717</v>
      </c>
      <c r="AU377" s="9">
        <f t="shared" si="1177"/>
        <v>3.473737374</v>
      </c>
      <c r="AV377" s="9">
        <f t="shared" si="1177"/>
        <v>2.231313131</v>
      </c>
      <c r="AW377" s="9">
        <f t="shared" si="13"/>
        <v>5.705050505</v>
      </c>
      <c r="AX377" s="9">
        <f t="shared" ref="AX377:AY377" si="1178">AM377/$AF377</f>
        <v>0.8484848485</v>
      </c>
      <c r="AY377" s="9">
        <f t="shared" si="1178"/>
        <v>0.303030303</v>
      </c>
      <c r="AZ377" s="9">
        <f>VLOOKUP(A377,Jogos!A:BN,58,0)</f>
        <v>28.235</v>
      </c>
      <c r="BA377" s="9">
        <f>VLOOKUP(A377,Jogos!A:BN,59,0)</f>
        <v>22.225</v>
      </c>
      <c r="BB377" s="9">
        <f>VLOOKUP(A377,Jogos!A:BN,60,0)</f>
        <v>69</v>
      </c>
      <c r="BC377" s="9">
        <f>VLOOKUP(A377,Jogos!A:BN,61,0)</f>
        <v>27.565</v>
      </c>
      <c r="BD377" s="9">
        <f>VLOOKUP(A377,Jogos!A:BN,62,0)</f>
        <v>277.7</v>
      </c>
      <c r="BE377" s="9">
        <f>VLOOKUP(A377,Jogos!A:BN,63,0)</f>
        <v>0.99</v>
      </c>
      <c r="BF377" s="9">
        <f>VLOOKUP(A377,Jogos!A:BN,64,0)</f>
        <v>24.795</v>
      </c>
      <c r="BG377" s="9">
        <f>VLOOKUP(A377,Jogos!A:BN,65,0)</f>
        <v>43.635</v>
      </c>
      <c r="BH377" s="9">
        <f>VLOOKUP(A377,Jogos!A:BN,66,0)</f>
        <v>28.905</v>
      </c>
      <c r="BI377" s="9"/>
    </row>
    <row r="378" hidden="1">
      <c r="A378" s="10">
        <v>13.0</v>
      </c>
      <c r="B378" s="11" t="s">
        <v>809</v>
      </c>
      <c r="C378" s="2" t="s">
        <v>61</v>
      </c>
      <c r="D378" s="12">
        <v>45826.0</v>
      </c>
      <c r="E378" s="13">
        <v>0.5</v>
      </c>
      <c r="F378" s="5" t="str">
        <f>VLOOKUP(A378,Jogos!A:N,10,0)</f>
        <v>Afternoon</v>
      </c>
      <c r="G378" s="11" t="s">
        <v>500</v>
      </c>
      <c r="H378" s="6" t="str">
        <f>VLOOKUP(A378,Jogos!A:L,12,0)</f>
        <v>Open</v>
      </c>
      <c r="I378" s="6" t="str">
        <f>VLOOKUP(G378,'Estádios e Cidades'!A:B,2,0)</f>
        <v>Philadelphia</v>
      </c>
      <c r="J378" s="11" t="s">
        <v>811</v>
      </c>
      <c r="K378" s="2" t="str">
        <f>VLOOKUP(J378,Equipes!A:F,6,0)</f>
        <v>Temperate</v>
      </c>
      <c r="L378" s="2">
        <f>VLOOKUP(J378,Equipes!A:C,3,0)</f>
        <v>31</v>
      </c>
      <c r="M378" s="2" t="str">
        <f t="shared" si="4"/>
        <v>Group</v>
      </c>
      <c r="N378" s="11" t="s">
        <v>810</v>
      </c>
      <c r="O378" s="2">
        <f>VLOOKUP(N378,Equipes!A:C,3,0)</f>
        <v>9</v>
      </c>
      <c r="P378" s="2" t="str">
        <f t="shared" si="5"/>
        <v>Round of 16</v>
      </c>
      <c r="Q378" s="2">
        <f t="shared" si="6"/>
        <v>22</v>
      </c>
      <c r="R378" s="2" t="str">
        <f>VLOOKUP(J378,Equipes!A:B,2,0)</f>
        <v>Wydad</v>
      </c>
      <c r="S378" s="6" t="s">
        <v>852</v>
      </c>
      <c r="T378" s="7">
        <v>19.0</v>
      </c>
      <c r="U378" s="7" t="s">
        <v>853</v>
      </c>
      <c r="V378" s="7" t="str">
        <f>VLOOKUP(U378,Jogadores!B:C,2,0)</f>
        <v>MF</v>
      </c>
      <c r="W378" s="8">
        <f>VLOOKUP(U378,Jogadores!B:D,3,0)</f>
        <v>24.52876712</v>
      </c>
      <c r="X378" s="7">
        <v>0.0</v>
      </c>
      <c r="Y378" s="7">
        <f t="shared" si="1175"/>
        <v>96</v>
      </c>
      <c r="Z378" s="7">
        <f>VLOOKUP(A378,Jogos!A:L,3,0)</f>
        <v>48</v>
      </c>
      <c r="AA378" s="7">
        <f t="shared" si="7"/>
        <v>48</v>
      </c>
      <c r="AB378" s="7">
        <f>VLOOKUP(A378,Jogos!A:L,4,0)</f>
        <v>51</v>
      </c>
      <c r="AC378" s="7">
        <f t="shared" si="657"/>
        <v>51</v>
      </c>
      <c r="AD378" s="7"/>
      <c r="AE378" s="7"/>
      <c r="AF378" s="7">
        <f t="shared" si="9"/>
        <v>99</v>
      </c>
      <c r="AG378" s="7">
        <v>10738.0</v>
      </c>
      <c r="AH378" s="7">
        <v>3383.1</v>
      </c>
      <c r="AI378" s="7">
        <v>5192.4</v>
      </c>
      <c r="AJ378" s="7">
        <v>1678.3</v>
      </c>
      <c r="AK378" s="7">
        <v>451.2</v>
      </c>
      <c r="AL378" s="7">
        <v>33.0</v>
      </c>
      <c r="AM378" s="7">
        <v>147.0</v>
      </c>
      <c r="AN378" s="7">
        <v>34.0</v>
      </c>
      <c r="AO378" s="7">
        <v>28.6</v>
      </c>
      <c r="AP378" s="9">
        <f t="shared" ref="AP378:AR378" si="1179">AG378/$AF378</f>
        <v>108.4646465</v>
      </c>
      <c r="AQ378" s="9">
        <f t="shared" si="1179"/>
        <v>34.17272727</v>
      </c>
      <c r="AR378" s="9">
        <f t="shared" si="1179"/>
        <v>52.44848485</v>
      </c>
      <c r="AS378" s="9">
        <f t="shared" si="11"/>
        <v>86.62121212</v>
      </c>
      <c r="AT378" s="9">
        <f t="shared" ref="AT378:AV378" si="1180">AJ378/$AF378</f>
        <v>16.95252525</v>
      </c>
      <c r="AU378" s="9">
        <f t="shared" si="1180"/>
        <v>4.557575758</v>
      </c>
      <c r="AV378" s="9">
        <f t="shared" si="1180"/>
        <v>0.3333333333</v>
      </c>
      <c r="AW378" s="9">
        <f t="shared" si="13"/>
        <v>4.890909091</v>
      </c>
      <c r="AX378" s="9">
        <f t="shared" ref="AX378:AY378" si="1181">AM378/$AF378</f>
        <v>1.484848485</v>
      </c>
      <c r="AY378" s="9">
        <f t="shared" si="1181"/>
        <v>0.3434343434</v>
      </c>
      <c r="AZ378" s="9">
        <f>VLOOKUP(A378,Jogos!A:BN,58,0)</f>
        <v>28.235</v>
      </c>
      <c r="BA378" s="9">
        <f>VLOOKUP(A378,Jogos!A:BN,59,0)</f>
        <v>22.225</v>
      </c>
      <c r="BB378" s="9">
        <f>VLOOKUP(A378,Jogos!A:BN,60,0)</f>
        <v>69</v>
      </c>
      <c r="BC378" s="9">
        <f>VLOOKUP(A378,Jogos!A:BN,61,0)</f>
        <v>27.565</v>
      </c>
      <c r="BD378" s="9">
        <f>VLOOKUP(A378,Jogos!A:BN,62,0)</f>
        <v>277.7</v>
      </c>
      <c r="BE378" s="9">
        <f>VLOOKUP(A378,Jogos!A:BN,63,0)</f>
        <v>0.99</v>
      </c>
      <c r="BF378" s="9">
        <f>VLOOKUP(A378,Jogos!A:BN,64,0)</f>
        <v>24.795</v>
      </c>
      <c r="BG378" s="9">
        <f>VLOOKUP(A378,Jogos!A:BN,65,0)</f>
        <v>43.635</v>
      </c>
      <c r="BH378" s="9">
        <f>VLOOKUP(A378,Jogos!A:BN,66,0)</f>
        <v>28.905</v>
      </c>
      <c r="BI378" s="9"/>
    </row>
    <row r="379" hidden="1">
      <c r="A379" s="10">
        <v>13.0</v>
      </c>
      <c r="B379" s="11" t="s">
        <v>809</v>
      </c>
      <c r="C379" s="2" t="s">
        <v>61</v>
      </c>
      <c r="D379" s="12">
        <v>45826.0</v>
      </c>
      <c r="E379" s="13">
        <v>0.5</v>
      </c>
      <c r="F379" s="5" t="str">
        <f>VLOOKUP(A379,Jogos!A:N,10,0)</f>
        <v>Afternoon</v>
      </c>
      <c r="G379" s="11" t="s">
        <v>500</v>
      </c>
      <c r="H379" s="6" t="str">
        <f>VLOOKUP(A379,Jogos!A:L,12,0)</f>
        <v>Open</v>
      </c>
      <c r="I379" s="6" t="str">
        <f>VLOOKUP(G379,'Estádios e Cidades'!A:B,2,0)</f>
        <v>Philadelphia</v>
      </c>
      <c r="J379" s="11" t="s">
        <v>811</v>
      </c>
      <c r="K379" s="2" t="str">
        <f>VLOOKUP(J379,Equipes!A:F,6,0)</f>
        <v>Temperate</v>
      </c>
      <c r="L379" s="2">
        <f>VLOOKUP(J379,Equipes!A:C,3,0)</f>
        <v>31</v>
      </c>
      <c r="M379" s="2" t="str">
        <f t="shared" si="4"/>
        <v>Group</v>
      </c>
      <c r="N379" s="11" t="s">
        <v>810</v>
      </c>
      <c r="O379" s="2">
        <f>VLOOKUP(N379,Equipes!A:C,3,0)</f>
        <v>9</v>
      </c>
      <c r="P379" s="2" t="str">
        <f t="shared" si="5"/>
        <v>Round of 16</v>
      </c>
      <c r="Q379" s="2">
        <f t="shared" si="6"/>
        <v>22</v>
      </c>
      <c r="R379" s="2" t="str">
        <f>VLOOKUP(J379,Equipes!A:B,2,0)</f>
        <v>Wydad</v>
      </c>
      <c r="S379" s="6" t="s">
        <v>854</v>
      </c>
      <c r="T379" s="7">
        <v>21.0</v>
      </c>
      <c r="U379" s="7" t="s">
        <v>855</v>
      </c>
      <c r="V379" s="7" t="str">
        <f>VLOOKUP(U379,Jogadores!B:C,2,0)</f>
        <v>FW</v>
      </c>
      <c r="W379" s="8">
        <f>VLOOKUP(U379,Jogadores!B:D,3,0)</f>
        <v>24.14246575</v>
      </c>
      <c r="X379" s="7">
        <v>0.0</v>
      </c>
      <c r="Y379" s="7">
        <v>45.0</v>
      </c>
      <c r="Z379" s="7">
        <f>VLOOKUP(A379,Jogos!A:L,3,0)</f>
        <v>48</v>
      </c>
      <c r="AA379" s="7">
        <f t="shared" si="7"/>
        <v>48</v>
      </c>
      <c r="AB379" s="7">
        <f>VLOOKUP(A379,Jogos!A:L,4,0)</f>
        <v>51</v>
      </c>
      <c r="AC379" s="7">
        <f t="shared" si="657"/>
        <v>0</v>
      </c>
      <c r="AD379" s="7"/>
      <c r="AE379" s="7"/>
      <c r="AF379" s="7">
        <f t="shared" si="9"/>
        <v>48</v>
      </c>
      <c r="AG379" s="7">
        <v>5809.7</v>
      </c>
      <c r="AH379" s="7">
        <v>1859.2</v>
      </c>
      <c r="AI379" s="7">
        <v>2659.4</v>
      </c>
      <c r="AJ379" s="7">
        <v>719.4</v>
      </c>
      <c r="AK379" s="7">
        <v>441.7</v>
      </c>
      <c r="AL379" s="7">
        <v>129.9</v>
      </c>
      <c r="AM379" s="7">
        <v>61.0</v>
      </c>
      <c r="AN379" s="7">
        <v>29.0</v>
      </c>
      <c r="AO379" s="7">
        <v>28.8</v>
      </c>
      <c r="AP379" s="9">
        <f t="shared" ref="AP379:AR379" si="1182">AG379/$AF379</f>
        <v>121.0354167</v>
      </c>
      <c r="AQ379" s="9">
        <f t="shared" si="1182"/>
        <v>38.73333333</v>
      </c>
      <c r="AR379" s="9">
        <f t="shared" si="1182"/>
        <v>55.40416667</v>
      </c>
      <c r="AS379" s="9">
        <f t="shared" si="11"/>
        <v>94.1375</v>
      </c>
      <c r="AT379" s="9">
        <f t="shared" ref="AT379:AV379" si="1183">AJ379/$AF379</f>
        <v>14.9875</v>
      </c>
      <c r="AU379" s="9">
        <f t="shared" si="1183"/>
        <v>9.202083333</v>
      </c>
      <c r="AV379" s="9">
        <f t="shared" si="1183"/>
        <v>2.70625</v>
      </c>
      <c r="AW379" s="9">
        <f t="shared" si="13"/>
        <v>11.90833333</v>
      </c>
      <c r="AX379" s="9">
        <f t="shared" ref="AX379:AY379" si="1184">AM379/$AF379</f>
        <v>1.270833333</v>
      </c>
      <c r="AY379" s="9">
        <f t="shared" si="1184"/>
        <v>0.6041666667</v>
      </c>
      <c r="AZ379" s="9">
        <f>VLOOKUP(A379,Jogos!A:BN,58,0)</f>
        <v>28.235</v>
      </c>
      <c r="BA379" s="9">
        <f>VLOOKUP(A379,Jogos!A:BN,59,0)</f>
        <v>22.225</v>
      </c>
      <c r="BB379" s="9">
        <f>VLOOKUP(A379,Jogos!A:BN,60,0)</f>
        <v>69</v>
      </c>
      <c r="BC379" s="9">
        <f>VLOOKUP(A379,Jogos!A:BN,61,0)</f>
        <v>27.565</v>
      </c>
      <c r="BD379" s="9">
        <f>VLOOKUP(A379,Jogos!A:BN,62,0)</f>
        <v>277.7</v>
      </c>
      <c r="BE379" s="9">
        <f>VLOOKUP(A379,Jogos!A:BN,63,0)</f>
        <v>0.99</v>
      </c>
      <c r="BF379" s="9">
        <f>VLOOKUP(A379,Jogos!A:BN,64,0)</f>
        <v>24.795</v>
      </c>
      <c r="BG379" s="9">
        <f>VLOOKUP(A379,Jogos!A:BN,65,0)</f>
        <v>43.635</v>
      </c>
      <c r="BH379" s="9">
        <f>VLOOKUP(A379,Jogos!A:BN,66,0)</f>
        <v>28.905</v>
      </c>
      <c r="BI379" s="9"/>
    </row>
    <row r="380" hidden="1">
      <c r="A380" s="10">
        <v>13.0</v>
      </c>
      <c r="B380" s="11" t="s">
        <v>809</v>
      </c>
      <c r="C380" s="2" t="s">
        <v>61</v>
      </c>
      <c r="D380" s="12">
        <v>45826.0</v>
      </c>
      <c r="E380" s="13">
        <v>0.5</v>
      </c>
      <c r="F380" s="5" t="str">
        <f>VLOOKUP(A380,Jogos!A:N,10,0)</f>
        <v>Afternoon</v>
      </c>
      <c r="G380" s="11" t="s">
        <v>500</v>
      </c>
      <c r="H380" s="6" t="str">
        <f>VLOOKUP(A380,Jogos!A:L,12,0)</f>
        <v>Open</v>
      </c>
      <c r="I380" s="6" t="str">
        <f>VLOOKUP(G380,'Estádios e Cidades'!A:B,2,0)</f>
        <v>Philadelphia</v>
      </c>
      <c r="J380" s="11" t="s">
        <v>811</v>
      </c>
      <c r="K380" s="2" t="str">
        <f>VLOOKUP(J380,Equipes!A:F,6,0)</f>
        <v>Temperate</v>
      </c>
      <c r="L380" s="2">
        <f>VLOOKUP(J380,Equipes!A:C,3,0)</f>
        <v>31</v>
      </c>
      <c r="M380" s="2" t="str">
        <f t="shared" si="4"/>
        <v>Group</v>
      </c>
      <c r="N380" s="11" t="s">
        <v>810</v>
      </c>
      <c r="O380" s="2">
        <f>VLOOKUP(N380,Equipes!A:C,3,0)</f>
        <v>9</v>
      </c>
      <c r="P380" s="2" t="str">
        <f t="shared" si="5"/>
        <v>Round of 16</v>
      </c>
      <c r="Q380" s="2">
        <f t="shared" si="6"/>
        <v>22</v>
      </c>
      <c r="R380" s="2" t="str">
        <f>VLOOKUP(J380,Equipes!A:B,2,0)</f>
        <v>Wydad</v>
      </c>
      <c r="S380" s="6" t="s">
        <v>856</v>
      </c>
      <c r="T380" s="7">
        <v>22.0</v>
      </c>
      <c r="U380" s="7" t="s">
        <v>857</v>
      </c>
      <c r="V380" s="7" t="str">
        <f>VLOOKUP(U380,Jogadores!B:C,2,0)</f>
        <v>DF</v>
      </c>
      <c r="W380" s="8">
        <f>VLOOKUP(U380,Jogadores!B:D,3,0)</f>
        <v>28.56438356</v>
      </c>
      <c r="X380" s="7">
        <v>0.0</v>
      </c>
      <c r="Y380" s="7">
        <v>75.0</v>
      </c>
      <c r="Z380" s="7">
        <f>VLOOKUP(A380,Jogos!A:L,3,0)</f>
        <v>48</v>
      </c>
      <c r="AA380" s="7">
        <f t="shared" si="7"/>
        <v>48</v>
      </c>
      <c r="AB380" s="7">
        <f>VLOOKUP(A380,Jogos!A:L,4,0)</f>
        <v>51</v>
      </c>
      <c r="AC380" s="7">
        <f t="shared" si="657"/>
        <v>30</v>
      </c>
      <c r="AD380" s="7"/>
      <c r="AE380" s="7"/>
      <c r="AF380" s="7">
        <f t="shared" si="9"/>
        <v>78</v>
      </c>
      <c r="AG380" s="7">
        <v>7385.0</v>
      </c>
      <c r="AH380" s="7">
        <v>3199.5</v>
      </c>
      <c r="AI380" s="7">
        <v>3141.8</v>
      </c>
      <c r="AJ380" s="7">
        <v>716.5</v>
      </c>
      <c r="AK380" s="7">
        <v>251.7</v>
      </c>
      <c r="AL380" s="7">
        <v>75.5</v>
      </c>
      <c r="AM380" s="7">
        <v>68.0</v>
      </c>
      <c r="AN380" s="7">
        <v>25.0</v>
      </c>
      <c r="AO380" s="7">
        <v>30.4</v>
      </c>
      <c r="AP380" s="9">
        <f t="shared" ref="AP380:AR380" si="1185">AG380/$AF380</f>
        <v>94.67948718</v>
      </c>
      <c r="AQ380" s="9">
        <f t="shared" si="1185"/>
        <v>41.01923077</v>
      </c>
      <c r="AR380" s="9">
        <f t="shared" si="1185"/>
        <v>40.27948718</v>
      </c>
      <c r="AS380" s="9">
        <f t="shared" si="11"/>
        <v>81.29871795</v>
      </c>
      <c r="AT380" s="9">
        <f t="shared" ref="AT380:AV380" si="1186">AJ380/$AF380</f>
        <v>9.185897436</v>
      </c>
      <c r="AU380" s="9">
        <f t="shared" si="1186"/>
        <v>3.226923077</v>
      </c>
      <c r="AV380" s="9">
        <f t="shared" si="1186"/>
        <v>0.9679487179</v>
      </c>
      <c r="AW380" s="9">
        <f t="shared" si="13"/>
        <v>4.194871795</v>
      </c>
      <c r="AX380" s="9">
        <f t="shared" ref="AX380:AY380" si="1187">AM380/$AF380</f>
        <v>0.8717948718</v>
      </c>
      <c r="AY380" s="9">
        <f t="shared" si="1187"/>
        <v>0.3205128205</v>
      </c>
      <c r="AZ380" s="9">
        <f>VLOOKUP(A380,Jogos!A:BN,58,0)</f>
        <v>28.235</v>
      </c>
      <c r="BA380" s="9">
        <f>VLOOKUP(A380,Jogos!A:BN,59,0)</f>
        <v>22.225</v>
      </c>
      <c r="BB380" s="9">
        <f>VLOOKUP(A380,Jogos!A:BN,60,0)</f>
        <v>69</v>
      </c>
      <c r="BC380" s="9">
        <f>VLOOKUP(A380,Jogos!A:BN,61,0)</f>
        <v>27.565</v>
      </c>
      <c r="BD380" s="9">
        <f>VLOOKUP(A380,Jogos!A:BN,62,0)</f>
        <v>277.7</v>
      </c>
      <c r="BE380" s="9">
        <f>VLOOKUP(A380,Jogos!A:BN,63,0)</f>
        <v>0.99</v>
      </c>
      <c r="BF380" s="9">
        <f>VLOOKUP(A380,Jogos!A:BN,64,0)</f>
        <v>24.795</v>
      </c>
      <c r="BG380" s="9">
        <f>VLOOKUP(A380,Jogos!A:BN,65,0)</f>
        <v>43.635</v>
      </c>
      <c r="BH380" s="9">
        <f>VLOOKUP(A380,Jogos!A:BN,66,0)</f>
        <v>28.905</v>
      </c>
      <c r="BI380" s="9"/>
    </row>
    <row r="381" hidden="1">
      <c r="A381" s="10">
        <v>13.0</v>
      </c>
      <c r="B381" s="11" t="s">
        <v>809</v>
      </c>
      <c r="C381" s="2" t="s">
        <v>61</v>
      </c>
      <c r="D381" s="12">
        <v>45826.0</v>
      </c>
      <c r="E381" s="13">
        <v>0.5</v>
      </c>
      <c r="F381" s="5" t="str">
        <f>VLOOKUP(A381,Jogos!A:N,10,0)</f>
        <v>Afternoon</v>
      </c>
      <c r="G381" s="11" t="s">
        <v>500</v>
      </c>
      <c r="H381" s="6" t="str">
        <f>VLOOKUP(A381,Jogos!A:L,12,0)</f>
        <v>Open</v>
      </c>
      <c r="I381" s="6" t="str">
        <f>VLOOKUP(G381,'Estádios e Cidades'!A:B,2,0)</f>
        <v>Philadelphia</v>
      </c>
      <c r="J381" s="11" t="s">
        <v>811</v>
      </c>
      <c r="K381" s="2" t="str">
        <f>VLOOKUP(J381,Equipes!A:F,6,0)</f>
        <v>Temperate</v>
      </c>
      <c r="L381" s="2">
        <f>VLOOKUP(J381,Equipes!A:C,3,0)</f>
        <v>31</v>
      </c>
      <c r="M381" s="2" t="str">
        <f t="shared" si="4"/>
        <v>Group</v>
      </c>
      <c r="N381" s="11" t="s">
        <v>810</v>
      </c>
      <c r="O381" s="2">
        <f>VLOOKUP(N381,Equipes!A:C,3,0)</f>
        <v>9</v>
      </c>
      <c r="P381" s="2" t="str">
        <f t="shared" si="5"/>
        <v>Round of 16</v>
      </c>
      <c r="Q381" s="2">
        <f t="shared" si="6"/>
        <v>22</v>
      </c>
      <c r="R381" s="2" t="str">
        <f>VLOOKUP(J381,Equipes!A:B,2,0)</f>
        <v>Wydad</v>
      </c>
      <c r="S381" s="6" t="s">
        <v>858</v>
      </c>
      <c r="T381" s="7">
        <v>23.0</v>
      </c>
      <c r="U381" s="7" t="s">
        <v>859</v>
      </c>
      <c r="V381" s="7" t="str">
        <f>VLOOKUP(U381,Jogadores!B:C,2,0)</f>
        <v>MF</v>
      </c>
      <c r="W381" s="8">
        <f>VLOOKUP(U381,Jogadores!B:D,3,0)</f>
        <v>23.42465753</v>
      </c>
      <c r="X381" s="7">
        <v>0.0</v>
      </c>
      <c r="Y381" s="7">
        <v>62.0</v>
      </c>
      <c r="Z381" s="7">
        <f>VLOOKUP(A381,Jogos!A:L,3,0)</f>
        <v>48</v>
      </c>
      <c r="AA381" s="7">
        <f t="shared" si="7"/>
        <v>48</v>
      </c>
      <c r="AB381" s="7">
        <f>VLOOKUP(A381,Jogos!A:L,4,0)</f>
        <v>51</v>
      </c>
      <c r="AC381" s="7">
        <f t="shared" si="657"/>
        <v>17</v>
      </c>
      <c r="AD381" s="7"/>
      <c r="AE381" s="7"/>
      <c r="AF381" s="7">
        <f t="shared" si="9"/>
        <v>65</v>
      </c>
      <c r="AG381" s="7">
        <v>7309.3</v>
      </c>
      <c r="AH381" s="7">
        <v>2431.6</v>
      </c>
      <c r="AI381" s="7">
        <v>3752.1</v>
      </c>
      <c r="AJ381" s="7">
        <v>772.9</v>
      </c>
      <c r="AK381" s="7">
        <v>265.3</v>
      </c>
      <c r="AL381" s="7">
        <v>87.5</v>
      </c>
      <c r="AM381" s="7">
        <v>62.0</v>
      </c>
      <c r="AN381" s="7">
        <v>17.0</v>
      </c>
      <c r="AO381" s="7">
        <v>31.9</v>
      </c>
      <c r="AP381" s="9">
        <f t="shared" ref="AP381:AR381" si="1188">AG381/$AF381</f>
        <v>112.4507692</v>
      </c>
      <c r="AQ381" s="9">
        <f t="shared" si="1188"/>
        <v>37.40923077</v>
      </c>
      <c r="AR381" s="9">
        <f t="shared" si="1188"/>
        <v>57.72461538</v>
      </c>
      <c r="AS381" s="9">
        <f t="shared" si="11"/>
        <v>95.13384615</v>
      </c>
      <c r="AT381" s="9">
        <f t="shared" ref="AT381:AV381" si="1189">AJ381/$AF381</f>
        <v>11.89076923</v>
      </c>
      <c r="AU381" s="9">
        <f t="shared" si="1189"/>
        <v>4.081538462</v>
      </c>
      <c r="AV381" s="9">
        <f t="shared" si="1189"/>
        <v>1.346153846</v>
      </c>
      <c r="AW381" s="9">
        <f t="shared" si="13"/>
        <v>5.427692308</v>
      </c>
      <c r="AX381" s="9">
        <f t="shared" ref="AX381:AY381" si="1190">AM381/$AF381</f>
        <v>0.9538461538</v>
      </c>
      <c r="AY381" s="9">
        <f t="shared" si="1190"/>
        <v>0.2615384615</v>
      </c>
      <c r="AZ381" s="9">
        <f>VLOOKUP(A381,Jogos!A:BN,58,0)</f>
        <v>28.235</v>
      </c>
      <c r="BA381" s="9">
        <f>VLOOKUP(A381,Jogos!A:BN,59,0)</f>
        <v>22.225</v>
      </c>
      <c r="BB381" s="9">
        <f>VLOOKUP(A381,Jogos!A:BN,60,0)</f>
        <v>69</v>
      </c>
      <c r="BC381" s="9">
        <f>VLOOKUP(A381,Jogos!A:BN,61,0)</f>
        <v>27.565</v>
      </c>
      <c r="BD381" s="9">
        <f>VLOOKUP(A381,Jogos!A:BN,62,0)</f>
        <v>277.7</v>
      </c>
      <c r="BE381" s="9">
        <f>VLOOKUP(A381,Jogos!A:BN,63,0)</f>
        <v>0.99</v>
      </c>
      <c r="BF381" s="9">
        <f>VLOOKUP(A381,Jogos!A:BN,64,0)</f>
        <v>24.795</v>
      </c>
      <c r="BG381" s="9">
        <f>VLOOKUP(A381,Jogos!A:BN,65,0)</f>
        <v>43.635</v>
      </c>
      <c r="BH381" s="9">
        <f>VLOOKUP(A381,Jogos!A:BN,66,0)</f>
        <v>28.905</v>
      </c>
      <c r="BI381" s="9"/>
    </row>
    <row r="382" hidden="1">
      <c r="A382" s="10">
        <v>13.0</v>
      </c>
      <c r="B382" s="11" t="s">
        <v>809</v>
      </c>
      <c r="C382" s="2" t="s">
        <v>61</v>
      </c>
      <c r="D382" s="12">
        <v>45826.0</v>
      </c>
      <c r="E382" s="13">
        <v>0.5</v>
      </c>
      <c r="F382" s="5" t="str">
        <f>VLOOKUP(A382,Jogos!A:N,10,0)</f>
        <v>Afternoon</v>
      </c>
      <c r="G382" s="11" t="s">
        <v>500</v>
      </c>
      <c r="H382" s="6" t="str">
        <f>VLOOKUP(A382,Jogos!A:L,12,0)</f>
        <v>Open</v>
      </c>
      <c r="I382" s="6" t="str">
        <f>VLOOKUP(G382,'Estádios e Cidades'!A:B,2,0)</f>
        <v>Philadelphia</v>
      </c>
      <c r="J382" s="11" t="s">
        <v>811</v>
      </c>
      <c r="K382" s="2" t="str">
        <f>VLOOKUP(J382,Equipes!A:F,6,0)</f>
        <v>Temperate</v>
      </c>
      <c r="L382" s="2">
        <f>VLOOKUP(J382,Equipes!A:C,3,0)</f>
        <v>31</v>
      </c>
      <c r="M382" s="2" t="str">
        <f t="shared" si="4"/>
        <v>Group</v>
      </c>
      <c r="N382" s="11" t="s">
        <v>810</v>
      </c>
      <c r="O382" s="2">
        <f>VLOOKUP(N382,Equipes!A:C,3,0)</f>
        <v>9</v>
      </c>
      <c r="P382" s="2" t="str">
        <f t="shared" si="5"/>
        <v>Round of 16</v>
      </c>
      <c r="Q382" s="2">
        <f t="shared" si="6"/>
        <v>22</v>
      </c>
      <c r="R382" s="2" t="str">
        <f>VLOOKUP(J382,Equipes!A:B,2,0)</f>
        <v>Wydad</v>
      </c>
      <c r="S382" s="6" t="s">
        <v>860</v>
      </c>
      <c r="T382" s="7">
        <v>72.0</v>
      </c>
      <c r="U382" s="7" t="s">
        <v>861</v>
      </c>
      <c r="V382" s="7" t="str">
        <f>VLOOKUP(U382,Jogadores!B:C,2,0)</f>
        <v>DF</v>
      </c>
      <c r="W382" s="8">
        <f>VLOOKUP(U382,Jogadores!B:D,3,0)</f>
        <v>25.67123288</v>
      </c>
      <c r="X382" s="7">
        <v>0.0</v>
      </c>
      <c r="Y382" s="7">
        <f t="shared" ref="Y382:Y387" si="1194">45+AB382</f>
        <v>96</v>
      </c>
      <c r="Z382" s="7">
        <f>VLOOKUP(A382,Jogos!A:L,3,0)</f>
        <v>48</v>
      </c>
      <c r="AA382" s="7">
        <f t="shared" si="7"/>
        <v>48</v>
      </c>
      <c r="AB382" s="7">
        <f>VLOOKUP(A382,Jogos!A:L,4,0)</f>
        <v>51</v>
      </c>
      <c r="AC382" s="7">
        <f t="shared" si="657"/>
        <v>51</v>
      </c>
      <c r="AD382" s="7"/>
      <c r="AE382" s="7"/>
      <c r="AF382" s="7">
        <f t="shared" si="9"/>
        <v>99</v>
      </c>
      <c r="AG382" s="7">
        <v>9022.1</v>
      </c>
      <c r="AH382" s="7">
        <v>4511.0</v>
      </c>
      <c r="AI382" s="7">
        <v>3278.5</v>
      </c>
      <c r="AJ382" s="7">
        <v>817.9</v>
      </c>
      <c r="AK382" s="7">
        <v>277.4</v>
      </c>
      <c r="AL382" s="7">
        <v>137.3</v>
      </c>
      <c r="AM382" s="7">
        <v>69.0</v>
      </c>
      <c r="AN382" s="7">
        <v>23.0</v>
      </c>
      <c r="AO382" s="7">
        <v>30.6</v>
      </c>
      <c r="AP382" s="9">
        <f t="shared" ref="AP382:AR382" si="1191">AG382/$AF382</f>
        <v>91.13232323</v>
      </c>
      <c r="AQ382" s="9">
        <f t="shared" si="1191"/>
        <v>45.56565657</v>
      </c>
      <c r="AR382" s="9">
        <f t="shared" si="1191"/>
        <v>33.11616162</v>
      </c>
      <c r="AS382" s="9">
        <f t="shared" si="11"/>
        <v>78.68181818</v>
      </c>
      <c r="AT382" s="9">
        <f t="shared" ref="AT382:AV382" si="1192">AJ382/$AF382</f>
        <v>8.261616162</v>
      </c>
      <c r="AU382" s="9">
        <f t="shared" si="1192"/>
        <v>2.802020202</v>
      </c>
      <c r="AV382" s="9">
        <f t="shared" si="1192"/>
        <v>1.386868687</v>
      </c>
      <c r="AW382" s="9">
        <f t="shared" si="13"/>
        <v>4.188888889</v>
      </c>
      <c r="AX382" s="9">
        <f t="shared" ref="AX382:AY382" si="1193">AM382/$AF382</f>
        <v>0.696969697</v>
      </c>
      <c r="AY382" s="9">
        <f t="shared" si="1193"/>
        <v>0.2323232323</v>
      </c>
      <c r="AZ382" s="9">
        <f>VLOOKUP(A382,Jogos!A:BN,58,0)</f>
        <v>28.235</v>
      </c>
      <c r="BA382" s="9">
        <f>VLOOKUP(A382,Jogos!A:BN,59,0)</f>
        <v>22.225</v>
      </c>
      <c r="BB382" s="9">
        <f>VLOOKUP(A382,Jogos!A:BN,60,0)</f>
        <v>69</v>
      </c>
      <c r="BC382" s="9">
        <f>VLOOKUP(A382,Jogos!A:BN,61,0)</f>
        <v>27.565</v>
      </c>
      <c r="BD382" s="9">
        <f>VLOOKUP(A382,Jogos!A:BN,62,0)</f>
        <v>277.7</v>
      </c>
      <c r="BE382" s="9">
        <f>VLOOKUP(A382,Jogos!A:BN,63,0)</f>
        <v>0.99</v>
      </c>
      <c r="BF382" s="9">
        <f>VLOOKUP(A382,Jogos!A:BN,64,0)</f>
        <v>24.795</v>
      </c>
      <c r="BG382" s="9">
        <f>VLOOKUP(A382,Jogos!A:BN,65,0)</f>
        <v>43.635</v>
      </c>
      <c r="BH382" s="9">
        <f>VLOOKUP(A382,Jogos!A:BN,66,0)</f>
        <v>28.905</v>
      </c>
      <c r="BI382" s="9"/>
    </row>
    <row r="383" hidden="1">
      <c r="A383" s="10">
        <v>13.0</v>
      </c>
      <c r="B383" s="11" t="s">
        <v>809</v>
      </c>
      <c r="C383" s="2" t="s">
        <v>61</v>
      </c>
      <c r="D383" s="12">
        <v>45826.0</v>
      </c>
      <c r="E383" s="13">
        <v>0.5</v>
      </c>
      <c r="F383" s="5" t="str">
        <f>VLOOKUP(A383,Jogos!A:N,10,0)</f>
        <v>Afternoon</v>
      </c>
      <c r="G383" s="11" t="s">
        <v>500</v>
      </c>
      <c r="H383" s="6" t="str">
        <f>VLOOKUP(A383,Jogos!A:L,12,0)</f>
        <v>Open</v>
      </c>
      <c r="I383" s="6" t="str">
        <f>VLOOKUP(G383,'Estádios e Cidades'!A:B,2,0)</f>
        <v>Philadelphia</v>
      </c>
      <c r="J383" s="11" t="s">
        <v>811</v>
      </c>
      <c r="K383" s="2" t="str">
        <f>VLOOKUP(J383,Equipes!A:F,6,0)</f>
        <v>Temperate</v>
      </c>
      <c r="L383" s="2">
        <f>VLOOKUP(J383,Equipes!A:C,3,0)</f>
        <v>31</v>
      </c>
      <c r="M383" s="2" t="str">
        <f t="shared" si="4"/>
        <v>Group</v>
      </c>
      <c r="N383" s="11" t="s">
        <v>810</v>
      </c>
      <c r="O383" s="2">
        <f>VLOOKUP(N383,Equipes!A:C,3,0)</f>
        <v>9</v>
      </c>
      <c r="P383" s="2" t="str">
        <f t="shared" si="5"/>
        <v>Round of 16</v>
      </c>
      <c r="Q383" s="2">
        <f t="shared" si="6"/>
        <v>22</v>
      </c>
      <c r="R383" s="2" t="str">
        <f>VLOOKUP(J383,Equipes!A:B,2,0)</f>
        <v>Wydad</v>
      </c>
      <c r="S383" s="6" t="s">
        <v>862</v>
      </c>
      <c r="T383" s="7">
        <v>5.0</v>
      </c>
      <c r="U383" s="7" t="s">
        <v>863</v>
      </c>
      <c r="V383" s="7" t="str">
        <f>VLOOKUP(U383,Jogadores!B:C,2,0)</f>
        <v>MF</v>
      </c>
      <c r="W383" s="8">
        <f>VLOOKUP(U383,Jogadores!B:D,3,0)</f>
        <v>25.50410959</v>
      </c>
      <c r="X383" s="7">
        <v>75.0</v>
      </c>
      <c r="Y383" s="7">
        <f t="shared" si="1194"/>
        <v>96</v>
      </c>
      <c r="Z383" s="7">
        <f>VLOOKUP(A383,Jogos!A:L,3,0)</f>
        <v>48</v>
      </c>
      <c r="AA383" s="7">
        <f t="shared" si="7"/>
        <v>0</v>
      </c>
      <c r="AB383" s="7">
        <f>VLOOKUP(A383,Jogos!A:L,4,0)</f>
        <v>51</v>
      </c>
      <c r="AC383" s="7">
        <f t="shared" si="657"/>
        <v>21</v>
      </c>
      <c r="AD383" s="7"/>
      <c r="AE383" s="7"/>
      <c r="AF383" s="7">
        <f t="shared" si="9"/>
        <v>21</v>
      </c>
      <c r="AG383" s="7">
        <v>2502.4</v>
      </c>
      <c r="AH383" s="7">
        <v>759.8</v>
      </c>
      <c r="AI383" s="7">
        <v>1099.2</v>
      </c>
      <c r="AJ383" s="7">
        <v>440.2</v>
      </c>
      <c r="AK383" s="7">
        <v>148.0</v>
      </c>
      <c r="AL383" s="7">
        <v>55.3</v>
      </c>
      <c r="AM383" s="7">
        <v>35.0</v>
      </c>
      <c r="AN383" s="7">
        <v>10.0</v>
      </c>
      <c r="AO383" s="7">
        <v>29.5</v>
      </c>
      <c r="AP383" s="9">
        <f t="shared" ref="AP383:AR383" si="1195">AG383/$AF383</f>
        <v>119.1619048</v>
      </c>
      <c r="AQ383" s="9">
        <f t="shared" si="1195"/>
        <v>36.18095238</v>
      </c>
      <c r="AR383" s="9">
        <f t="shared" si="1195"/>
        <v>52.34285714</v>
      </c>
      <c r="AS383" s="9">
        <f t="shared" si="11"/>
        <v>88.52380952</v>
      </c>
      <c r="AT383" s="9">
        <f t="shared" ref="AT383:AV383" si="1196">AJ383/$AF383</f>
        <v>20.96190476</v>
      </c>
      <c r="AU383" s="9">
        <f t="shared" si="1196"/>
        <v>7.047619048</v>
      </c>
      <c r="AV383" s="9">
        <f t="shared" si="1196"/>
        <v>2.633333333</v>
      </c>
      <c r="AW383" s="9">
        <f t="shared" si="13"/>
        <v>9.680952381</v>
      </c>
      <c r="AX383" s="9">
        <f t="shared" ref="AX383:AY383" si="1197">AM383/$AF383</f>
        <v>1.666666667</v>
      </c>
      <c r="AY383" s="9">
        <f t="shared" si="1197"/>
        <v>0.4761904762</v>
      </c>
      <c r="AZ383" s="9">
        <f>VLOOKUP(A383,Jogos!A:BN,58,0)</f>
        <v>28.235</v>
      </c>
      <c r="BA383" s="9">
        <f>VLOOKUP(A383,Jogos!A:BN,59,0)</f>
        <v>22.225</v>
      </c>
      <c r="BB383" s="9">
        <f>VLOOKUP(A383,Jogos!A:BN,60,0)</f>
        <v>69</v>
      </c>
      <c r="BC383" s="9">
        <f>VLOOKUP(A383,Jogos!A:BN,61,0)</f>
        <v>27.565</v>
      </c>
      <c r="BD383" s="9">
        <f>VLOOKUP(A383,Jogos!A:BN,62,0)</f>
        <v>277.7</v>
      </c>
      <c r="BE383" s="9">
        <f>VLOOKUP(A383,Jogos!A:BN,63,0)</f>
        <v>0.99</v>
      </c>
      <c r="BF383" s="9">
        <f>VLOOKUP(A383,Jogos!A:BN,64,0)</f>
        <v>24.795</v>
      </c>
      <c r="BG383" s="9">
        <f>VLOOKUP(A383,Jogos!A:BN,65,0)</f>
        <v>43.635</v>
      </c>
      <c r="BH383" s="9">
        <f>VLOOKUP(A383,Jogos!A:BN,66,0)</f>
        <v>28.905</v>
      </c>
      <c r="BI383" s="9"/>
    </row>
    <row r="384" hidden="1">
      <c r="A384" s="10">
        <v>13.0</v>
      </c>
      <c r="B384" s="11" t="s">
        <v>809</v>
      </c>
      <c r="C384" s="2" t="s">
        <v>61</v>
      </c>
      <c r="D384" s="12">
        <v>45826.0</v>
      </c>
      <c r="E384" s="13">
        <v>0.5</v>
      </c>
      <c r="F384" s="5" t="str">
        <f>VLOOKUP(A384,Jogos!A:N,10,0)</f>
        <v>Afternoon</v>
      </c>
      <c r="G384" s="11" t="s">
        <v>500</v>
      </c>
      <c r="H384" s="6" t="str">
        <f>VLOOKUP(A384,Jogos!A:L,12,0)</f>
        <v>Open</v>
      </c>
      <c r="I384" s="6" t="str">
        <f>VLOOKUP(G384,'Estádios e Cidades'!A:B,2,0)</f>
        <v>Philadelphia</v>
      </c>
      <c r="J384" s="11" t="s">
        <v>811</v>
      </c>
      <c r="K384" s="2" t="str">
        <f>VLOOKUP(J384,Equipes!A:F,6,0)</f>
        <v>Temperate</v>
      </c>
      <c r="L384" s="2">
        <f>VLOOKUP(J384,Equipes!A:C,3,0)</f>
        <v>31</v>
      </c>
      <c r="M384" s="2" t="str">
        <f t="shared" si="4"/>
        <v>Group</v>
      </c>
      <c r="N384" s="11" t="s">
        <v>810</v>
      </c>
      <c r="O384" s="2">
        <f>VLOOKUP(N384,Equipes!A:C,3,0)</f>
        <v>9</v>
      </c>
      <c r="P384" s="2" t="str">
        <f t="shared" si="5"/>
        <v>Round of 16</v>
      </c>
      <c r="Q384" s="2">
        <f t="shared" si="6"/>
        <v>22</v>
      </c>
      <c r="R384" s="2" t="str">
        <f>VLOOKUP(J384,Equipes!A:B,2,0)</f>
        <v>Wydad</v>
      </c>
      <c r="S384" s="6" t="s">
        <v>864</v>
      </c>
      <c r="T384" s="7">
        <v>7.0</v>
      </c>
      <c r="U384" s="7" t="s">
        <v>865</v>
      </c>
      <c r="V384" s="7" t="str">
        <f>VLOOKUP(U384,Jogadores!B:C,2,0)</f>
        <v>MF</v>
      </c>
      <c r="W384" s="8">
        <f>VLOOKUP(U384,Jogadores!B:D,3,0)</f>
        <v>29.81369863</v>
      </c>
      <c r="X384" s="7">
        <v>62.0</v>
      </c>
      <c r="Y384" s="7">
        <f t="shared" si="1194"/>
        <v>96</v>
      </c>
      <c r="Z384" s="7">
        <f>VLOOKUP(A384,Jogos!A:L,3,0)</f>
        <v>48</v>
      </c>
      <c r="AA384" s="7">
        <f t="shared" si="7"/>
        <v>0</v>
      </c>
      <c r="AB384" s="7">
        <f>VLOOKUP(A384,Jogos!A:L,4,0)</f>
        <v>51</v>
      </c>
      <c r="AC384" s="7">
        <f t="shared" si="657"/>
        <v>34</v>
      </c>
      <c r="AD384" s="7"/>
      <c r="AE384" s="7"/>
      <c r="AF384" s="7">
        <f t="shared" si="9"/>
        <v>34</v>
      </c>
      <c r="AG384" s="7">
        <v>3579.8</v>
      </c>
      <c r="AH384" s="7">
        <v>1501.8</v>
      </c>
      <c r="AI384" s="7">
        <v>1475.7</v>
      </c>
      <c r="AJ384" s="7">
        <v>430.7</v>
      </c>
      <c r="AK384" s="7">
        <v>124.0</v>
      </c>
      <c r="AL384" s="7">
        <v>47.6</v>
      </c>
      <c r="AM384" s="7">
        <v>37.0</v>
      </c>
      <c r="AN384" s="7">
        <v>10.0</v>
      </c>
      <c r="AO384" s="7">
        <v>29.0</v>
      </c>
      <c r="AP384" s="9">
        <f t="shared" ref="AP384:AR384" si="1198">AG384/$AF384</f>
        <v>105.2882353</v>
      </c>
      <c r="AQ384" s="9">
        <f t="shared" si="1198"/>
        <v>44.17058824</v>
      </c>
      <c r="AR384" s="9">
        <f t="shared" si="1198"/>
        <v>43.40294118</v>
      </c>
      <c r="AS384" s="9">
        <f t="shared" si="11"/>
        <v>87.57352941</v>
      </c>
      <c r="AT384" s="9">
        <f t="shared" ref="AT384:AV384" si="1199">AJ384/$AF384</f>
        <v>12.66764706</v>
      </c>
      <c r="AU384" s="9">
        <f t="shared" si="1199"/>
        <v>3.647058824</v>
      </c>
      <c r="AV384" s="9">
        <f t="shared" si="1199"/>
        <v>1.4</v>
      </c>
      <c r="AW384" s="9">
        <f t="shared" si="13"/>
        <v>5.047058824</v>
      </c>
      <c r="AX384" s="9">
        <f t="shared" ref="AX384:AY384" si="1200">AM384/$AF384</f>
        <v>1.088235294</v>
      </c>
      <c r="AY384" s="9">
        <f t="shared" si="1200"/>
        <v>0.2941176471</v>
      </c>
      <c r="AZ384" s="9">
        <f>VLOOKUP(A384,Jogos!A:BN,58,0)</f>
        <v>28.235</v>
      </c>
      <c r="BA384" s="9">
        <f>VLOOKUP(A384,Jogos!A:BN,59,0)</f>
        <v>22.225</v>
      </c>
      <c r="BB384" s="9">
        <f>VLOOKUP(A384,Jogos!A:BN,60,0)</f>
        <v>69</v>
      </c>
      <c r="BC384" s="9">
        <f>VLOOKUP(A384,Jogos!A:BN,61,0)</f>
        <v>27.565</v>
      </c>
      <c r="BD384" s="9">
        <f>VLOOKUP(A384,Jogos!A:BN,62,0)</f>
        <v>277.7</v>
      </c>
      <c r="BE384" s="9">
        <f>VLOOKUP(A384,Jogos!A:BN,63,0)</f>
        <v>0.99</v>
      </c>
      <c r="BF384" s="9">
        <f>VLOOKUP(A384,Jogos!A:BN,64,0)</f>
        <v>24.795</v>
      </c>
      <c r="BG384" s="9">
        <f>VLOOKUP(A384,Jogos!A:BN,65,0)</f>
        <v>43.635</v>
      </c>
      <c r="BH384" s="9">
        <f>VLOOKUP(A384,Jogos!A:BN,66,0)</f>
        <v>28.905</v>
      </c>
      <c r="BI384" s="9"/>
    </row>
    <row r="385" hidden="1">
      <c r="A385" s="10">
        <v>13.0</v>
      </c>
      <c r="B385" s="11" t="s">
        <v>809</v>
      </c>
      <c r="C385" s="2" t="s">
        <v>61</v>
      </c>
      <c r="D385" s="12">
        <v>45826.0</v>
      </c>
      <c r="E385" s="13">
        <v>0.5</v>
      </c>
      <c r="F385" s="5" t="str">
        <f>VLOOKUP(A385,Jogos!A:N,10,0)</f>
        <v>Afternoon</v>
      </c>
      <c r="G385" s="11" t="s">
        <v>500</v>
      </c>
      <c r="H385" s="6" t="str">
        <f>VLOOKUP(A385,Jogos!A:L,12,0)</f>
        <v>Open</v>
      </c>
      <c r="I385" s="6" t="str">
        <f>VLOOKUP(G385,'Estádios e Cidades'!A:B,2,0)</f>
        <v>Philadelphia</v>
      </c>
      <c r="J385" s="11" t="s">
        <v>811</v>
      </c>
      <c r="K385" s="2" t="str">
        <f>VLOOKUP(J385,Equipes!A:F,6,0)</f>
        <v>Temperate</v>
      </c>
      <c r="L385" s="2">
        <f>VLOOKUP(J385,Equipes!A:C,3,0)</f>
        <v>31</v>
      </c>
      <c r="M385" s="2" t="str">
        <f t="shared" si="4"/>
        <v>Group</v>
      </c>
      <c r="N385" s="11" t="s">
        <v>810</v>
      </c>
      <c r="O385" s="2">
        <f>VLOOKUP(N385,Equipes!A:C,3,0)</f>
        <v>9</v>
      </c>
      <c r="P385" s="2" t="str">
        <f t="shared" si="5"/>
        <v>Round of 16</v>
      </c>
      <c r="Q385" s="2">
        <f t="shared" si="6"/>
        <v>22</v>
      </c>
      <c r="R385" s="2" t="str">
        <f>VLOOKUP(J385,Equipes!A:B,2,0)</f>
        <v>Wydad</v>
      </c>
      <c r="S385" s="6" t="s">
        <v>866</v>
      </c>
      <c r="T385" s="7">
        <v>8.0</v>
      </c>
      <c r="U385" s="7" t="s">
        <v>867</v>
      </c>
      <c r="V385" s="7" t="str">
        <f>VLOOKUP(U385,Jogadores!B:C,2,0)</f>
        <v>FW</v>
      </c>
      <c r="W385" s="8">
        <f>VLOOKUP(U385,Jogadores!B:D,3,0)</f>
        <v>31.09589041</v>
      </c>
      <c r="X385" s="7">
        <v>45.0</v>
      </c>
      <c r="Y385" s="7">
        <f t="shared" si="1194"/>
        <v>96</v>
      </c>
      <c r="Z385" s="7">
        <f>VLOOKUP(A385,Jogos!A:L,3,0)</f>
        <v>48</v>
      </c>
      <c r="AA385" s="7">
        <f t="shared" si="7"/>
        <v>0</v>
      </c>
      <c r="AB385" s="7">
        <f>VLOOKUP(A385,Jogos!A:L,4,0)</f>
        <v>51</v>
      </c>
      <c r="AC385" s="7">
        <f t="shared" si="657"/>
        <v>51</v>
      </c>
      <c r="AD385" s="7"/>
      <c r="AE385" s="7"/>
      <c r="AF385" s="7">
        <f t="shared" si="9"/>
        <v>51</v>
      </c>
      <c r="AG385" s="7">
        <v>5827.9</v>
      </c>
      <c r="AH385" s="7">
        <v>1966.1</v>
      </c>
      <c r="AI385" s="7">
        <v>2063.8</v>
      </c>
      <c r="AJ385" s="7">
        <v>1052.0</v>
      </c>
      <c r="AK385" s="7">
        <v>596.2</v>
      </c>
      <c r="AL385" s="7">
        <v>149.9</v>
      </c>
      <c r="AM385" s="7">
        <v>95.0</v>
      </c>
      <c r="AN385" s="7">
        <v>40.0</v>
      </c>
      <c r="AO385" s="7">
        <v>29.7</v>
      </c>
      <c r="AP385" s="9">
        <f t="shared" ref="AP385:AR385" si="1201">AG385/$AF385</f>
        <v>114.272549</v>
      </c>
      <c r="AQ385" s="9">
        <f t="shared" si="1201"/>
        <v>38.55098039</v>
      </c>
      <c r="AR385" s="9">
        <f t="shared" si="1201"/>
        <v>40.46666667</v>
      </c>
      <c r="AS385" s="9">
        <f t="shared" si="11"/>
        <v>79.01764706</v>
      </c>
      <c r="AT385" s="9">
        <f t="shared" ref="AT385:AV385" si="1202">AJ385/$AF385</f>
        <v>20.62745098</v>
      </c>
      <c r="AU385" s="9">
        <f t="shared" si="1202"/>
        <v>11.69019608</v>
      </c>
      <c r="AV385" s="9">
        <f t="shared" si="1202"/>
        <v>2.939215686</v>
      </c>
      <c r="AW385" s="9">
        <f t="shared" si="13"/>
        <v>14.62941176</v>
      </c>
      <c r="AX385" s="9">
        <f t="shared" ref="AX385:AY385" si="1203">AM385/$AF385</f>
        <v>1.862745098</v>
      </c>
      <c r="AY385" s="9">
        <f t="shared" si="1203"/>
        <v>0.7843137255</v>
      </c>
      <c r="AZ385" s="9">
        <f>VLOOKUP(A385,Jogos!A:BN,58,0)</f>
        <v>28.235</v>
      </c>
      <c r="BA385" s="9">
        <f>VLOOKUP(A385,Jogos!A:BN,59,0)</f>
        <v>22.225</v>
      </c>
      <c r="BB385" s="9">
        <f>VLOOKUP(A385,Jogos!A:BN,60,0)</f>
        <v>69</v>
      </c>
      <c r="BC385" s="9">
        <f>VLOOKUP(A385,Jogos!A:BN,61,0)</f>
        <v>27.565</v>
      </c>
      <c r="BD385" s="9">
        <f>VLOOKUP(A385,Jogos!A:BN,62,0)</f>
        <v>277.7</v>
      </c>
      <c r="BE385" s="9">
        <f>VLOOKUP(A385,Jogos!A:BN,63,0)</f>
        <v>0.99</v>
      </c>
      <c r="BF385" s="9">
        <f>VLOOKUP(A385,Jogos!A:BN,64,0)</f>
        <v>24.795</v>
      </c>
      <c r="BG385" s="9">
        <f>VLOOKUP(A385,Jogos!A:BN,65,0)</f>
        <v>43.635</v>
      </c>
      <c r="BH385" s="9">
        <f>VLOOKUP(A385,Jogos!A:BN,66,0)</f>
        <v>28.905</v>
      </c>
      <c r="BI385" s="9"/>
    </row>
    <row r="386" hidden="1">
      <c r="A386" s="10">
        <v>13.0</v>
      </c>
      <c r="B386" s="11" t="s">
        <v>809</v>
      </c>
      <c r="C386" s="2" t="s">
        <v>61</v>
      </c>
      <c r="D386" s="12">
        <v>45826.0</v>
      </c>
      <c r="E386" s="13">
        <v>0.5</v>
      </c>
      <c r="F386" s="5" t="str">
        <f>VLOOKUP(A386,Jogos!A:N,10,0)</f>
        <v>Afternoon</v>
      </c>
      <c r="G386" s="11" t="s">
        <v>500</v>
      </c>
      <c r="H386" s="6" t="str">
        <f>VLOOKUP(A386,Jogos!A:L,12,0)</f>
        <v>Open</v>
      </c>
      <c r="I386" s="6" t="str">
        <f>VLOOKUP(G386,'Estádios e Cidades'!A:B,2,0)</f>
        <v>Philadelphia</v>
      </c>
      <c r="J386" s="11" t="s">
        <v>811</v>
      </c>
      <c r="K386" s="2" t="str">
        <f>VLOOKUP(J386,Equipes!A:F,6,0)</f>
        <v>Temperate</v>
      </c>
      <c r="L386" s="2">
        <f>VLOOKUP(J386,Equipes!A:C,3,0)</f>
        <v>31</v>
      </c>
      <c r="M386" s="2" t="str">
        <f t="shared" si="4"/>
        <v>Group</v>
      </c>
      <c r="N386" s="11" t="s">
        <v>810</v>
      </c>
      <c r="O386" s="2">
        <f>VLOOKUP(N386,Equipes!A:C,3,0)</f>
        <v>9</v>
      </c>
      <c r="P386" s="2" t="str">
        <f t="shared" si="5"/>
        <v>Round of 16</v>
      </c>
      <c r="Q386" s="2">
        <f t="shared" si="6"/>
        <v>22</v>
      </c>
      <c r="R386" s="2" t="str">
        <f>VLOOKUP(J386,Equipes!A:B,2,0)</f>
        <v>Wydad</v>
      </c>
      <c r="S386" s="6" t="s">
        <v>868</v>
      </c>
      <c r="T386" s="7">
        <v>9.0</v>
      </c>
      <c r="U386" s="7" t="s">
        <v>869</v>
      </c>
      <c r="V386" s="7" t="str">
        <f>VLOOKUP(U386,Jogadores!B:C,2,0)</f>
        <v>FW</v>
      </c>
      <c r="W386" s="8">
        <f>VLOOKUP(U386,Jogadores!B:D,3,0)</f>
        <v>28.22191781</v>
      </c>
      <c r="X386" s="7">
        <v>62.0</v>
      </c>
      <c r="Y386" s="7">
        <f t="shared" si="1194"/>
        <v>96</v>
      </c>
      <c r="Z386" s="7">
        <f>VLOOKUP(A386,Jogos!A:L,3,0)</f>
        <v>48</v>
      </c>
      <c r="AA386" s="7">
        <f t="shared" si="7"/>
        <v>0</v>
      </c>
      <c r="AB386" s="7">
        <f>VLOOKUP(A386,Jogos!A:L,4,0)</f>
        <v>51</v>
      </c>
      <c r="AC386" s="7">
        <f t="shared" si="657"/>
        <v>34</v>
      </c>
      <c r="AD386" s="7"/>
      <c r="AE386" s="7"/>
      <c r="AF386" s="7">
        <f t="shared" si="9"/>
        <v>34</v>
      </c>
      <c r="AG386" s="7">
        <v>3663.4</v>
      </c>
      <c r="AH386" s="7">
        <v>1219.7</v>
      </c>
      <c r="AI386" s="7">
        <v>1580.1</v>
      </c>
      <c r="AJ386" s="7">
        <v>574.4</v>
      </c>
      <c r="AK386" s="7">
        <v>204.7</v>
      </c>
      <c r="AL386" s="7">
        <v>84.5</v>
      </c>
      <c r="AM386" s="7">
        <v>44.0</v>
      </c>
      <c r="AN386" s="7">
        <v>20.0</v>
      </c>
      <c r="AO386" s="7">
        <v>29.6</v>
      </c>
      <c r="AP386" s="9">
        <f t="shared" ref="AP386:AR386" si="1204">AG386/$AF386</f>
        <v>107.7470588</v>
      </c>
      <c r="AQ386" s="9">
        <f t="shared" si="1204"/>
        <v>35.87352941</v>
      </c>
      <c r="AR386" s="9">
        <f t="shared" si="1204"/>
        <v>46.47352941</v>
      </c>
      <c r="AS386" s="9">
        <f t="shared" si="11"/>
        <v>82.34705882</v>
      </c>
      <c r="AT386" s="9">
        <f t="shared" ref="AT386:AV386" si="1205">AJ386/$AF386</f>
        <v>16.89411765</v>
      </c>
      <c r="AU386" s="9">
        <f t="shared" si="1205"/>
        <v>6.020588235</v>
      </c>
      <c r="AV386" s="9">
        <f t="shared" si="1205"/>
        <v>2.485294118</v>
      </c>
      <c r="AW386" s="9">
        <f t="shared" si="13"/>
        <v>8.505882353</v>
      </c>
      <c r="AX386" s="9">
        <f t="shared" ref="AX386:AY386" si="1206">AM386/$AF386</f>
        <v>1.294117647</v>
      </c>
      <c r="AY386" s="9">
        <f t="shared" si="1206"/>
        <v>0.5882352941</v>
      </c>
      <c r="AZ386" s="9">
        <f>VLOOKUP(A386,Jogos!A:BN,58,0)</f>
        <v>28.235</v>
      </c>
      <c r="BA386" s="9">
        <f>VLOOKUP(A386,Jogos!A:BN,59,0)</f>
        <v>22.225</v>
      </c>
      <c r="BB386" s="9">
        <f>VLOOKUP(A386,Jogos!A:BN,60,0)</f>
        <v>69</v>
      </c>
      <c r="BC386" s="9">
        <f>VLOOKUP(A386,Jogos!A:BN,61,0)</f>
        <v>27.565</v>
      </c>
      <c r="BD386" s="9">
        <f>VLOOKUP(A386,Jogos!A:BN,62,0)</f>
        <v>277.7</v>
      </c>
      <c r="BE386" s="9">
        <f>VLOOKUP(A386,Jogos!A:BN,63,0)</f>
        <v>0.99</v>
      </c>
      <c r="BF386" s="9">
        <f>VLOOKUP(A386,Jogos!A:BN,64,0)</f>
        <v>24.795</v>
      </c>
      <c r="BG386" s="9">
        <f>VLOOKUP(A386,Jogos!A:BN,65,0)</f>
        <v>43.635</v>
      </c>
      <c r="BH386" s="9">
        <f>VLOOKUP(A386,Jogos!A:BN,66,0)</f>
        <v>28.905</v>
      </c>
      <c r="BI386" s="9"/>
    </row>
    <row r="387" hidden="1">
      <c r="A387" s="10">
        <v>13.0</v>
      </c>
      <c r="B387" s="11" t="s">
        <v>809</v>
      </c>
      <c r="C387" s="2" t="s">
        <v>61</v>
      </c>
      <c r="D387" s="12">
        <v>45826.0</v>
      </c>
      <c r="E387" s="13">
        <v>0.5</v>
      </c>
      <c r="F387" s="5" t="str">
        <f>VLOOKUP(A387,Jogos!A:N,10,0)</f>
        <v>Afternoon</v>
      </c>
      <c r="G387" s="11" t="s">
        <v>500</v>
      </c>
      <c r="H387" s="6" t="str">
        <f>VLOOKUP(A387,Jogos!A:L,12,0)</f>
        <v>Open</v>
      </c>
      <c r="I387" s="6" t="str">
        <f>VLOOKUP(G387,'Estádios e Cidades'!A:B,2,0)</f>
        <v>Philadelphia</v>
      </c>
      <c r="J387" s="11" t="s">
        <v>811</v>
      </c>
      <c r="K387" s="2" t="str">
        <f>VLOOKUP(J387,Equipes!A:F,6,0)</f>
        <v>Temperate</v>
      </c>
      <c r="L387" s="2">
        <f>VLOOKUP(J387,Equipes!A:C,3,0)</f>
        <v>31</v>
      </c>
      <c r="M387" s="2" t="str">
        <f t="shared" si="4"/>
        <v>Group</v>
      </c>
      <c r="N387" s="11" t="s">
        <v>810</v>
      </c>
      <c r="O387" s="2">
        <f>VLOOKUP(N387,Equipes!A:C,3,0)</f>
        <v>9</v>
      </c>
      <c r="P387" s="2" t="str">
        <f t="shared" si="5"/>
        <v>Round of 16</v>
      </c>
      <c r="Q387" s="2">
        <f t="shared" si="6"/>
        <v>22</v>
      </c>
      <c r="R387" s="2" t="str">
        <f>VLOOKUP(J387,Equipes!A:B,2,0)</f>
        <v>Wydad</v>
      </c>
      <c r="S387" s="6" t="s">
        <v>870</v>
      </c>
      <c r="T387" s="7">
        <v>25.0</v>
      </c>
      <c r="U387" s="7" t="s">
        <v>871</v>
      </c>
      <c r="V387" s="7" t="str">
        <f>VLOOKUP(U387,Jogadores!B:C,2,0)</f>
        <v>MF</v>
      </c>
      <c r="W387" s="8">
        <f>VLOOKUP(U387,Jogadores!B:D,3,0)</f>
        <v>29.38630137</v>
      </c>
      <c r="X387" s="7">
        <v>84.0</v>
      </c>
      <c r="Y387" s="7">
        <f t="shared" si="1194"/>
        <v>96</v>
      </c>
      <c r="Z387" s="7">
        <f>VLOOKUP(A387,Jogos!A:L,3,0)</f>
        <v>48</v>
      </c>
      <c r="AA387" s="7">
        <f t="shared" si="7"/>
        <v>0</v>
      </c>
      <c r="AB387" s="7">
        <f>VLOOKUP(A387,Jogos!A:L,4,0)</f>
        <v>51</v>
      </c>
      <c r="AC387" s="7">
        <f t="shared" si="657"/>
        <v>12</v>
      </c>
      <c r="AD387" s="7"/>
      <c r="AE387" s="7"/>
      <c r="AF387" s="7">
        <f t="shared" si="9"/>
        <v>12</v>
      </c>
      <c r="AG387" s="7">
        <v>1177.1</v>
      </c>
      <c r="AH387" s="7">
        <v>439.0</v>
      </c>
      <c r="AI387" s="7">
        <v>352.0</v>
      </c>
      <c r="AJ387" s="7">
        <v>181.2</v>
      </c>
      <c r="AK387" s="7">
        <v>165.4</v>
      </c>
      <c r="AL387" s="7">
        <v>39.4</v>
      </c>
      <c r="AM387" s="7">
        <v>17.0</v>
      </c>
      <c r="AN387" s="7">
        <v>10.0</v>
      </c>
      <c r="AO387" s="7">
        <v>27.7</v>
      </c>
      <c r="AP387" s="9">
        <f t="shared" ref="AP387:AR387" si="1207">AG387/$AF387</f>
        <v>98.09166667</v>
      </c>
      <c r="AQ387" s="9">
        <f t="shared" si="1207"/>
        <v>36.58333333</v>
      </c>
      <c r="AR387" s="9">
        <f t="shared" si="1207"/>
        <v>29.33333333</v>
      </c>
      <c r="AS387" s="9">
        <f t="shared" si="11"/>
        <v>65.91666667</v>
      </c>
      <c r="AT387" s="9">
        <f t="shared" ref="AT387:AV387" si="1208">AJ387/$AF387</f>
        <v>15.1</v>
      </c>
      <c r="AU387" s="9">
        <f t="shared" si="1208"/>
        <v>13.78333333</v>
      </c>
      <c r="AV387" s="9">
        <f t="shared" si="1208"/>
        <v>3.283333333</v>
      </c>
      <c r="AW387" s="9">
        <f t="shared" si="13"/>
        <v>17.06666667</v>
      </c>
      <c r="AX387" s="9">
        <f t="shared" ref="AX387:AY387" si="1209">AM387/$AF387</f>
        <v>1.416666667</v>
      </c>
      <c r="AY387" s="9">
        <f t="shared" si="1209"/>
        <v>0.8333333333</v>
      </c>
      <c r="AZ387" s="9">
        <f>VLOOKUP(A387,Jogos!A:BN,58,0)</f>
        <v>28.235</v>
      </c>
      <c r="BA387" s="9">
        <f>VLOOKUP(A387,Jogos!A:BN,59,0)</f>
        <v>22.225</v>
      </c>
      <c r="BB387" s="9">
        <f>VLOOKUP(A387,Jogos!A:BN,60,0)</f>
        <v>69</v>
      </c>
      <c r="BC387" s="9">
        <f>VLOOKUP(A387,Jogos!A:BN,61,0)</f>
        <v>27.565</v>
      </c>
      <c r="BD387" s="9">
        <f>VLOOKUP(A387,Jogos!A:BN,62,0)</f>
        <v>277.7</v>
      </c>
      <c r="BE387" s="9">
        <f>VLOOKUP(A387,Jogos!A:BN,63,0)</f>
        <v>0.99</v>
      </c>
      <c r="BF387" s="9">
        <f>VLOOKUP(A387,Jogos!A:BN,64,0)</f>
        <v>24.795</v>
      </c>
      <c r="BG387" s="9">
        <f>VLOOKUP(A387,Jogos!A:BN,65,0)</f>
        <v>43.635</v>
      </c>
      <c r="BH387" s="9">
        <f>VLOOKUP(A387,Jogos!A:BN,66,0)</f>
        <v>28.905</v>
      </c>
      <c r="BI387" s="9"/>
    </row>
    <row r="388" hidden="1">
      <c r="A388" s="2">
        <v>14.0</v>
      </c>
      <c r="B388" s="11" t="s">
        <v>872</v>
      </c>
      <c r="C388" s="2" t="s">
        <v>61</v>
      </c>
      <c r="D388" s="3">
        <v>45826.0</v>
      </c>
      <c r="E388" s="4">
        <v>0.625</v>
      </c>
      <c r="F388" s="5" t="str">
        <f>VLOOKUP(A388,Jogos!A:N,10,0)</f>
        <v>Afternoon</v>
      </c>
      <c r="G388" s="2" t="s">
        <v>62</v>
      </c>
      <c r="H388" s="6" t="str">
        <f>VLOOKUP(A388,Jogos!A:L,12,0)</f>
        <v>Open</v>
      </c>
      <c r="I388" s="6" t="str">
        <f>VLOOKUP(G388,'Estádios e Cidades'!A:B,2,0)</f>
        <v>Miami Gardens - Flórida</v>
      </c>
      <c r="J388" s="2" t="s">
        <v>873</v>
      </c>
      <c r="K388" s="2" t="str">
        <f>VLOOKUP(J388,Equipes!A:F,6,0)</f>
        <v>Temperate</v>
      </c>
      <c r="L388" s="2">
        <f>VLOOKUP(J388,Equipes!A:C,3,0)</f>
        <v>3</v>
      </c>
      <c r="M388" s="2" t="str">
        <f t="shared" si="4"/>
        <v>Semi-final</v>
      </c>
      <c r="N388" s="2" t="s">
        <v>874</v>
      </c>
      <c r="O388" s="2">
        <f>VLOOKUP(N388,Equipes!A:C,3,0)</f>
        <v>7</v>
      </c>
      <c r="P388" s="2" t="str">
        <f t="shared" si="5"/>
        <v>Quarter-final</v>
      </c>
      <c r="Q388" s="2">
        <f t="shared" si="6"/>
        <v>-4</v>
      </c>
      <c r="R388" s="2" t="str">
        <f>VLOOKUP(J388,Equipes!A:B,2,0)</f>
        <v>Real</v>
      </c>
      <c r="S388" s="6" t="s">
        <v>875</v>
      </c>
      <c r="T388" s="7">
        <v>5.0</v>
      </c>
      <c r="U388" s="7" t="s">
        <v>876</v>
      </c>
      <c r="V388" s="7" t="str">
        <f>VLOOKUP(U388,Jogadores!B:C,2,0)</f>
        <v>MF</v>
      </c>
      <c r="W388" s="8">
        <f>VLOOKUP(U388,Jogadores!B:D,3,0)</f>
        <v>22.09589041</v>
      </c>
      <c r="X388" s="7">
        <v>0.0</v>
      </c>
      <c r="Y388" s="7">
        <v>84.0</v>
      </c>
      <c r="Z388" s="7">
        <f>VLOOKUP(A388,Jogos!A:L,3,0)</f>
        <v>50</v>
      </c>
      <c r="AA388" s="7">
        <f t="shared" si="7"/>
        <v>50</v>
      </c>
      <c r="AB388" s="7">
        <f>VLOOKUP(A388,Jogos!A:L,4,0)</f>
        <v>54</v>
      </c>
      <c r="AC388" s="7">
        <f t="shared" si="657"/>
        <v>39</v>
      </c>
      <c r="AD388" s="7"/>
      <c r="AE388" s="7"/>
      <c r="AF388" s="7">
        <f t="shared" si="9"/>
        <v>89</v>
      </c>
      <c r="AG388" s="7">
        <v>9205.3</v>
      </c>
      <c r="AH388" s="7">
        <v>4033.1</v>
      </c>
      <c r="AI388" s="7">
        <v>3462.6</v>
      </c>
      <c r="AJ388" s="7">
        <v>1255.0</v>
      </c>
      <c r="AK388" s="7">
        <v>337.7</v>
      </c>
      <c r="AL388" s="7">
        <v>117.0</v>
      </c>
      <c r="AM388" s="7">
        <v>100.0</v>
      </c>
      <c r="AN388" s="7">
        <v>29.0</v>
      </c>
      <c r="AO388" s="7">
        <v>30.4</v>
      </c>
      <c r="AP388" s="9">
        <f t="shared" ref="AP388:AR388" si="1210">AG388/$AF388</f>
        <v>103.4303371</v>
      </c>
      <c r="AQ388" s="9">
        <f t="shared" si="1210"/>
        <v>45.31573034</v>
      </c>
      <c r="AR388" s="9">
        <f t="shared" si="1210"/>
        <v>38.90561798</v>
      </c>
      <c r="AS388" s="9">
        <f t="shared" si="11"/>
        <v>84.22134831</v>
      </c>
      <c r="AT388" s="9">
        <f t="shared" ref="AT388:AV388" si="1211">AJ388/$AF388</f>
        <v>14.1011236</v>
      </c>
      <c r="AU388" s="9">
        <f t="shared" si="1211"/>
        <v>3.794382022</v>
      </c>
      <c r="AV388" s="9">
        <f t="shared" si="1211"/>
        <v>1.314606742</v>
      </c>
      <c r="AW388" s="9">
        <f t="shared" si="13"/>
        <v>5.108988764</v>
      </c>
      <c r="AX388" s="9">
        <f t="shared" ref="AX388:AY388" si="1212">AM388/$AF388</f>
        <v>1.123595506</v>
      </c>
      <c r="AY388" s="9">
        <f t="shared" si="1212"/>
        <v>0.3258426966</v>
      </c>
      <c r="AZ388" s="9">
        <f>VLOOKUP(A388,Jogos!A:BN,58,0)</f>
        <v>32.895</v>
      </c>
      <c r="BA388" s="9">
        <f>VLOOKUP(A388,Jogos!A:BN,59,0)</f>
        <v>21.005</v>
      </c>
      <c r="BB388" s="9">
        <f>VLOOKUP(A388,Jogos!A:BN,60,0)</f>
        <v>49</v>
      </c>
      <c r="BC388" s="9">
        <f>VLOOKUP(A388,Jogos!A:BN,61,0)</f>
        <v>35.455</v>
      </c>
      <c r="BD388" s="9">
        <f>VLOOKUP(A388,Jogos!A:BN,62,0)</f>
        <v>639.05</v>
      </c>
      <c r="BE388" s="9">
        <f>VLOOKUP(A388,Jogos!A:BN,63,0)</f>
        <v>1.775</v>
      </c>
      <c r="BF388" s="9">
        <f>VLOOKUP(A388,Jogos!A:BN,64,0)</f>
        <v>25.835</v>
      </c>
      <c r="BG388" s="9">
        <f>VLOOKUP(A388,Jogos!A:BN,65,0)</f>
        <v>47.545</v>
      </c>
      <c r="BH388" s="9">
        <f>VLOOKUP(A388,Jogos!A:BN,66,0)</f>
        <v>30.88</v>
      </c>
      <c r="BI388" s="9"/>
    </row>
    <row r="389" hidden="1">
      <c r="A389" s="2">
        <v>14.0</v>
      </c>
      <c r="B389" s="11" t="s">
        <v>872</v>
      </c>
      <c r="C389" s="2" t="s">
        <v>61</v>
      </c>
      <c r="D389" s="3">
        <v>45826.0</v>
      </c>
      <c r="E389" s="4">
        <v>0.625</v>
      </c>
      <c r="F389" s="5" t="str">
        <f>VLOOKUP(A389,Jogos!A:N,10,0)</f>
        <v>Afternoon</v>
      </c>
      <c r="G389" s="2" t="s">
        <v>62</v>
      </c>
      <c r="H389" s="6" t="str">
        <f>VLOOKUP(A389,Jogos!A:L,12,0)</f>
        <v>Open</v>
      </c>
      <c r="I389" s="6" t="str">
        <f>VLOOKUP(G389,'Estádios e Cidades'!A:B,2,0)</f>
        <v>Miami Gardens - Flórida</v>
      </c>
      <c r="J389" s="2" t="s">
        <v>873</v>
      </c>
      <c r="K389" s="2" t="str">
        <f>VLOOKUP(J389,Equipes!A:F,6,0)</f>
        <v>Temperate</v>
      </c>
      <c r="L389" s="2">
        <f>VLOOKUP(J389,Equipes!A:C,3,0)</f>
        <v>3</v>
      </c>
      <c r="M389" s="2" t="str">
        <f t="shared" si="4"/>
        <v>Semi-final</v>
      </c>
      <c r="N389" s="2" t="s">
        <v>874</v>
      </c>
      <c r="O389" s="2">
        <f>VLOOKUP(N389,Equipes!A:C,3,0)</f>
        <v>7</v>
      </c>
      <c r="P389" s="2" t="str">
        <f t="shared" si="5"/>
        <v>Quarter-final</v>
      </c>
      <c r="Q389" s="2">
        <f t="shared" si="6"/>
        <v>-4</v>
      </c>
      <c r="R389" s="2" t="str">
        <f>VLOOKUP(J389,Equipes!A:B,2,0)</f>
        <v>Real</v>
      </c>
      <c r="S389" s="6" t="s">
        <v>877</v>
      </c>
      <c r="T389" s="7">
        <v>7.0</v>
      </c>
      <c r="U389" s="7" t="s">
        <v>878</v>
      </c>
      <c r="V389" s="7" t="str">
        <f>VLOOKUP(U389,Jogadores!B:C,2,0)</f>
        <v>FW</v>
      </c>
      <c r="W389" s="8">
        <f>VLOOKUP(U389,Jogadores!B:D,3,0)</f>
        <v>25.06027397</v>
      </c>
      <c r="X389" s="7">
        <v>0.0</v>
      </c>
      <c r="Y389" s="7">
        <v>80.0</v>
      </c>
      <c r="Z389" s="7">
        <f>VLOOKUP(A389,Jogos!A:L,3,0)</f>
        <v>50</v>
      </c>
      <c r="AA389" s="7">
        <f t="shared" si="7"/>
        <v>50</v>
      </c>
      <c r="AB389" s="7">
        <f>VLOOKUP(A389,Jogos!A:L,4,0)</f>
        <v>54</v>
      </c>
      <c r="AC389" s="7">
        <f t="shared" si="657"/>
        <v>35</v>
      </c>
      <c r="AD389" s="7"/>
      <c r="AE389" s="7"/>
      <c r="AF389" s="7">
        <f t="shared" si="9"/>
        <v>85</v>
      </c>
      <c r="AG389" s="7">
        <v>7881.8</v>
      </c>
      <c r="AH389" s="7">
        <v>4086.6</v>
      </c>
      <c r="AI389" s="7">
        <v>2060.9</v>
      </c>
      <c r="AJ389" s="7">
        <v>1114.0</v>
      </c>
      <c r="AK389" s="7">
        <v>434.0</v>
      </c>
      <c r="AL389" s="7">
        <v>186.2</v>
      </c>
      <c r="AM389" s="7">
        <v>90.0</v>
      </c>
      <c r="AN389" s="7">
        <v>38.0</v>
      </c>
      <c r="AO389" s="7">
        <v>32.3</v>
      </c>
      <c r="AP389" s="9">
        <f t="shared" ref="AP389:AR389" si="1213">AG389/$AF389</f>
        <v>92.72705882</v>
      </c>
      <c r="AQ389" s="9">
        <f t="shared" si="1213"/>
        <v>48.07764706</v>
      </c>
      <c r="AR389" s="9">
        <f t="shared" si="1213"/>
        <v>24.24588235</v>
      </c>
      <c r="AS389" s="9">
        <f t="shared" si="11"/>
        <v>72.32352941</v>
      </c>
      <c r="AT389" s="9">
        <f t="shared" ref="AT389:AV389" si="1214">AJ389/$AF389</f>
        <v>13.10588235</v>
      </c>
      <c r="AU389" s="9">
        <f t="shared" si="1214"/>
        <v>5.105882353</v>
      </c>
      <c r="AV389" s="9">
        <f t="shared" si="1214"/>
        <v>2.190588235</v>
      </c>
      <c r="AW389" s="9">
        <f t="shared" si="13"/>
        <v>7.296470588</v>
      </c>
      <c r="AX389" s="9">
        <f t="shared" ref="AX389:AY389" si="1215">AM389/$AF389</f>
        <v>1.058823529</v>
      </c>
      <c r="AY389" s="9">
        <f t="shared" si="1215"/>
        <v>0.4470588235</v>
      </c>
      <c r="AZ389" s="9">
        <f>VLOOKUP(A389,Jogos!A:BN,58,0)</f>
        <v>32.895</v>
      </c>
      <c r="BA389" s="9">
        <f>VLOOKUP(A389,Jogos!A:BN,59,0)</f>
        <v>21.005</v>
      </c>
      <c r="BB389" s="9">
        <f>VLOOKUP(A389,Jogos!A:BN,60,0)</f>
        <v>49</v>
      </c>
      <c r="BC389" s="9">
        <f>VLOOKUP(A389,Jogos!A:BN,61,0)</f>
        <v>35.455</v>
      </c>
      <c r="BD389" s="9">
        <f>VLOOKUP(A389,Jogos!A:BN,62,0)</f>
        <v>639.05</v>
      </c>
      <c r="BE389" s="9">
        <f>VLOOKUP(A389,Jogos!A:BN,63,0)</f>
        <v>1.775</v>
      </c>
      <c r="BF389" s="9">
        <f>VLOOKUP(A389,Jogos!A:BN,64,0)</f>
        <v>25.835</v>
      </c>
      <c r="BG389" s="9">
        <f>VLOOKUP(A389,Jogos!A:BN,65,0)</f>
        <v>47.545</v>
      </c>
      <c r="BH389" s="9">
        <f>VLOOKUP(A389,Jogos!A:BN,66,0)</f>
        <v>30.88</v>
      </c>
      <c r="BI389" s="9"/>
    </row>
    <row r="390" hidden="1">
      <c r="A390" s="2">
        <v>14.0</v>
      </c>
      <c r="B390" s="11" t="s">
        <v>872</v>
      </c>
      <c r="C390" s="2" t="s">
        <v>61</v>
      </c>
      <c r="D390" s="3">
        <v>45826.0</v>
      </c>
      <c r="E390" s="4">
        <v>0.625</v>
      </c>
      <c r="F390" s="5" t="str">
        <f>VLOOKUP(A390,Jogos!A:N,10,0)</f>
        <v>Afternoon</v>
      </c>
      <c r="G390" s="2" t="s">
        <v>62</v>
      </c>
      <c r="H390" s="6" t="str">
        <f>VLOOKUP(A390,Jogos!A:L,12,0)</f>
        <v>Open</v>
      </c>
      <c r="I390" s="6" t="str">
        <f>VLOOKUP(G390,'Estádios e Cidades'!A:B,2,0)</f>
        <v>Miami Gardens - Flórida</v>
      </c>
      <c r="J390" s="2" t="s">
        <v>873</v>
      </c>
      <c r="K390" s="2" t="str">
        <f>VLOOKUP(J390,Equipes!A:F,6,0)</f>
        <v>Temperate</v>
      </c>
      <c r="L390" s="2">
        <f>VLOOKUP(J390,Equipes!A:C,3,0)</f>
        <v>3</v>
      </c>
      <c r="M390" s="2" t="str">
        <f t="shared" si="4"/>
        <v>Semi-final</v>
      </c>
      <c r="N390" s="2" t="s">
        <v>874</v>
      </c>
      <c r="O390" s="2">
        <f>VLOOKUP(N390,Equipes!A:C,3,0)</f>
        <v>7</v>
      </c>
      <c r="P390" s="2" t="str">
        <f t="shared" si="5"/>
        <v>Quarter-final</v>
      </c>
      <c r="Q390" s="2">
        <f t="shared" si="6"/>
        <v>-4</v>
      </c>
      <c r="R390" s="2" t="str">
        <f>VLOOKUP(J390,Equipes!A:B,2,0)</f>
        <v>Real</v>
      </c>
      <c r="S390" s="6" t="s">
        <v>879</v>
      </c>
      <c r="T390" s="7">
        <v>8.0</v>
      </c>
      <c r="U390" s="7" t="s">
        <v>880</v>
      </c>
      <c r="V390" s="7" t="str">
        <f>VLOOKUP(U390,Jogadores!B:C,2,0)</f>
        <v>MF</v>
      </c>
      <c r="W390" s="8">
        <f>VLOOKUP(U390,Jogadores!B:D,3,0)</f>
        <v>27.03561644</v>
      </c>
      <c r="X390" s="7">
        <v>0.0</v>
      </c>
      <c r="Y390" s="7">
        <f>45+AB390</f>
        <v>99</v>
      </c>
      <c r="Z390" s="7">
        <f>VLOOKUP(A390,Jogos!A:L,3,0)</f>
        <v>50</v>
      </c>
      <c r="AA390" s="7">
        <f t="shared" si="7"/>
        <v>50</v>
      </c>
      <c r="AB390" s="7">
        <f>VLOOKUP(A390,Jogos!A:L,4,0)</f>
        <v>54</v>
      </c>
      <c r="AC390" s="7">
        <f t="shared" si="657"/>
        <v>54</v>
      </c>
      <c r="AD390" s="7"/>
      <c r="AE390" s="7"/>
      <c r="AF390" s="7">
        <f t="shared" si="9"/>
        <v>104</v>
      </c>
      <c r="AG390" s="7">
        <v>10424.8</v>
      </c>
      <c r="AH390" s="7">
        <v>3838.5</v>
      </c>
      <c r="AI390" s="7">
        <v>4677.8</v>
      </c>
      <c r="AJ390" s="7">
        <v>1329.6</v>
      </c>
      <c r="AK390" s="7">
        <v>414.0</v>
      </c>
      <c r="AL390" s="7">
        <v>164.9</v>
      </c>
      <c r="AM390" s="7">
        <v>115.0</v>
      </c>
      <c r="AN390" s="7">
        <v>34.0</v>
      </c>
      <c r="AO390" s="7">
        <v>32.4</v>
      </c>
      <c r="AP390" s="9">
        <f t="shared" ref="AP390:AR390" si="1216">AG390/$AF390</f>
        <v>100.2384615</v>
      </c>
      <c r="AQ390" s="9">
        <f t="shared" si="1216"/>
        <v>36.90865385</v>
      </c>
      <c r="AR390" s="9">
        <f t="shared" si="1216"/>
        <v>44.97884615</v>
      </c>
      <c r="AS390" s="9">
        <f t="shared" si="11"/>
        <v>81.8875</v>
      </c>
      <c r="AT390" s="9">
        <f t="shared" ref="AT390:AV390" si="1217">AJ390/$AF390</f>
        <v>12.78461538</v>
      </c>
      <c r="AU390" s="9">
        <f t="shared" si="1217"/>
        <v>3.980769231</v>
      </c>
      <c r="AV390" s="9">
        <f t="shared" si="1217"/>
        <v>1.585576923</v>
      </c>
      <c r="AW390" s="9">
        <f t="shared" si="13"/>
        <v>5.566346154</v>
      </c>
      <c r="AX390" s="9">
        <f t="shared" ref="AX390:AY390" si="1218">AM390/$AF390</f>
        <v>1.105769231</v>
      </c>
      <c r="AY390" s="9">
        <f t="shared" si="1218"/>
        <v>0.3269230769</v>
      </c>
      <c r="AZ390" s="9">
        <f>VLOOKUP(A390,Jogos!A:BN,58,0)</f>
        <v>32.895</v>
      </c>
      <c r="BA390" s="9">
        <f>VLOOKUP(A390,Jogos!A:BN,59,0)</f>
        <v>21.005</v>
      </c>
      <c r="BB390" s="9">
        <f>VLOOKUP(A390,Jogos!A:BN,60,0)</f>
        <v>49</v>
      </c>
      <c r="BC390" s="9">
        <f>VLOOKUP(A390,Jogos!A:BN,61,0)</f>
        <v>35.455</v>
      </c>
      <c r="BD390" s="9">
        <f>VLOOKUP(A390,Jogos!A:BN,62,0)</f>
        <v>639.05</v>
      </c>
      <c r="BE390" s="9">
        <f>VLOOKUP(A390,Jogos!A:BN,63,0)</f>
        <v>1.775</v>
      </c>
      <c r="BF390" s="9">
        <f>VLOOKUP(A390,Jogos!A:BN,64,0)</f>
        <v>25.835</v>
      </c>
      <c r="BG390" s="9">
        <f>VLOOKUP(A390,Jogos!A:BN,65,0)</f>
        <v>47.545</v>
      </c>
      <c r="BH390" s="9">
        <f>VLOOKUP(A390,Jogos!A:BN,66,0)</f>
        <v>30.88</v>
      </c>
      <c r="BI390" s="9"/>
    </row>
    <row r="391" hidden="1">
      <c r="A391" s="2">
        <v>14.0</v>
      </c>
      <c r="B391" s="11" t="s">
        <v>872</v>
      </c>
      <c r="C391" s="2" t="s">
        <v>61</v>
      </c>
      <c r="D391" s="3">
        <v>45826.0</v>
      </c>
      <c r="E391" s="4">
        <v>0.625</v>
      </c>
      <c r="F391" s="5" t="str">
        <f>VLOOKUP(A391,Jogos!A:N,10,0)</f>
        <v>Afternoon</v>
      </c>
      <c r="G391" s="2" t="s">
        <v>62</v>
      </c>
      <c r="H391" s="6" t="str">
        <f>VLOOKUP(A391,Jogos!A:L,12,0)</f>
        <v>Open</v>
      </c>
      <c r="I391" s="6" t="str">
        <f>VLOOKUP(G391,'Estádios e Cidades'!A:B,2,0)</f>
        <v>Miami Gardens - Flórida</v>
      </c>
      <c r="J391" s="2" t="s">
        <v>873</v>
      </c>
      <c r="K391" s="2" t="str">
        <f>VLOOKUP(J391,Equipes!A:F,6,0)</f>
        <v>Temperate</v>
      </c>
      <c r="L391" s="2">
        <f>VLOOKUP(J391,Equipes!A:C,3,0)</f>
        <v>3</v>
      </c>
      <c r="M391" s="2" t="str">
        <f t="shared" si="4"/>
        <v>Semi-final</v>
      </c>
      <c r="N391" s="2" t="s">
        <v>874</v>
      </c>
      <c r="O391" s="2">
        <f>VLOOKUP(N391,Equipes!A:C,3,0)</f>
        <v>7</v>
      </c>
      <c r="P391" s="2" t="str">
        <f t="shared" si="5"/>
        <v>Quarter-final</v>
      </c>
      <c r="Q391" s="2">
        <f t="shared" si="6"/>
        <v>-4</v>
      </c>
      <c r="R391" s="2" t="str">
        <f>VLOOKUP(J391,Equipes!A:B,2,0)</f>
        <v>Real</v>
      </c>
      <c r="S391" s="6" t="s">
        <v>881</v>
      </c>
      <c r="T391" s="7">
        <v>11.0</v>
      </c>
      <c r="U391" s="7" t="s">
        <v>882</v>
      </c>
      <c r="V391" s="7" t="str">
        <f>VLOOKUP(U391,Jogadores!B:C,2,0)</f>
        <v>FW</v>
      </c>
      <c r="W391" s="8">
        <f>VLOOKUP(U391,Jogadores!B:D,3,0)</f>
        <v>24.56438356</v>
      </c>
      <c r="X391" s="7">
        <v>0.0</v>
      </c>
      <c r="Y391" s="7">
        <v>65.0</v>
      </c>
      <c r="Z391" s="7">
        <f>VLOOKUP(A391,Jogos!A:L,3,0)</f>
        <v>50</v>
      </c>
      <c r="AA391" s="7">
        <f t="shared" si="7"/>
        <v>50</v>
      </c>
      <c r="AB391" s="7">
        <f>VLOOKUP(A391,Jogos!A:L,4,0)</f>
        <v>54</v>
      </c>
      <c r="AC391" s="7">
        <f t="shared" si="657"/>
        <v>20</v>
      </c>
      <c r="AD391" s="7"/>
      <c r="AE391" s="7"/>
      <c r="AF391" s="7">
        <f t="shared" si="9"/>
        <v>70</v>
      </c>
      <c r="AG391" s="7">
        <v>7119.8</v>
      </c>
      <c r="AH391" s="7">
        <v>2578.9</v>
      </c>
      <c r="AI391" s="7">
        <v>3029.1</v>
      </c>
      <c r="AJ391" s="7">
        <v>979.5</v>
      </c>
      <c r="AK391" s="7">
        <v>362.8</v>
      </c>
      <c r="AL391" s="7">
        <v>169.5</v>
      </c>
      <c r="AM391" s="7">
        <v>90.0</v>
      </c>
      <c r="AN391" s="7">
        <v>28.0</v>
      </c>
      <c r="AO391" s="7">
        <v>32.5</v>
      </c>
      <c r="AP391" s="9">
        <f t="shared" ref="AP391:AR391" si="1219">AG391/$AF391</f>
        <v>101.7114286</v>
      </c>
      <c r="AQ391" s="9">
        <f t="shared" si="1219"/>
        <v>36.84142857</v>
      </c>
      <c r="AR391" s="9">
        <f t="shared" si="1219"/>
        <v>43.27285714</v>
      </c>
      <c r="AS391" s="9">
        <f t="shared" si="11"/>
        <v>80.11428571</v>
      </c>
      <c r="AT391" s="9">
        <f t="shared" ref="AT391:AV391" si="1220">AJ391/$AF391</f>
        <v>13.99285714</v>
      </c>
      <c r="AU391" s="9">
        <f t="shared" si="1220"/>
        <v>5.182857143</v>
      </c>
      <c r="AV391" s="9">
        <f t="shared" si="1220"/>
        <v>2.421428571</v>
      </c>
      <c r="AW391" s="9">
        <f t="shared" si="13"/>
        <v>7.604285714</v>
      </c>
      <c r="AX391" s="9">
        <f t="shared" ref="AX391:AY391" si="1221">AM391/$AF391</f>
        <v>1.285714286</v>
      </c>
      <c r="AY391" s="9">
        <f t="shared" si="1221"/>
        <v>0.4</v>
      </c>
      <c r="AZ391" s="9">
        <f>VLOOKUP(A391,Jogos!A:BN,58,0)</f>
        <v>32.895</v>
      </c>
      <c r="BA391" s="9">
        <f>VLOOKUP(A391,Jogos!A:BN,59,0)</f>
        <v>21.005</v>
      </c>
      <c r="BB391" s="9">
        <f>VLOOKUP(A391,Jogos!A:BN,60,0)</f>
        <v>49</v>
      </c>
      <c r="BC391" s="9">
        <f>VLOOKUP(A391,Jogos!A:BN,61,0)</f>
        <v>35.455</v>
      </c>
      <c r="BD391" s="9">
        <f>VLOOKUP(A391,Jogos!A:BN,62,0)</f>
        <v>639.05</v>
      </c>
      <c r="BE391" s="9">
        <f>VLOOKUP(A391,Jogos!A:BN,63,0)</f>
        <v>1.775</v>
      </c>
      <c r="BF391" s="9">
        <f>VLOOKUP(A391,Jogos!A:BN,64,0)</f>
        <v>25.835</v>
      </c>
      <c r="BG391" s="9">
        <f>VLOOKUP(A391,Jogos!A:BN,65,0)</f>
        <v>47.545</v>
      </c>
      <c r="BH391" s="9">
        <f>VLOOKUP(A391,Jogos!A:BN,66,0)</f>
        <v>30.88</v>
      </c>
      <c r="BI391" s="9"/>
    </row>
    <row r="392" hidden="1">
      <c r="A392" s="2">
        <v>14.0</v>
      </c>
      <c r="B392" s="11" t="s">
        <v>872</v>
      </c>
      <c r="C392" s="2" t="s">
        <v>61</v>
      </c>
      <c r="D392" s="3">
        <v>45826.0</v>
      </c>
      <c r="E392" s="4">
        <v>0.625</v>
      </c>
      <c r="F392" s="5" t="str">
        <f>VLOOKUP(A392,Jogos!A:N,10,0)</f>
        <v>Afternoon</v>
      </c>
      <c r="G392" s="2" t="s">
        <v>62</v>
      </c>
      <c r="H392" s="6" t="str">
        <f>VLOOKUP(A392,Jogos!A:L,12,0)</f>
        <v>Open</v>
      </c>
      <c r="I392" s="6" t="str">
        <f>VLOOKUP(G392,'Estádios e Cidades'!A:B,2,0)</f>
        <v>Miami Gardens - Flórida</v>
      </c>
      <c r="J392" s="2" t="s">
        <v>873</v>
      </c>
      <c r="K392" s="2" t="str">
        <f>VLOOKUP(J392,Equipes!A:F,6,0)</f>
        <v>Temperate</v>
      </c>
      <c r="L392" s="2">
        <f>VLOOKUP(J392,Equipes!A:C,3,0)</f>
        <v>3</v>
      </c>
      <c r="M392" s="2" t="str">
        <f t="shared" si="4"/>
        <v>Semi-final</v>
      </c>
      <c r="N392" s="2" t="s">
        <v>874</v>
      </c>
      <c r="O392" s="2">
        <f>VLOOKUP(N392,Equipes!A:C,3,0)</f>
        <v>7</v>
      </c>
      <c r="P392" s="2" t="str">
        <f t="shared" si="5"/>
        <v>Quarter-final</v>
      </c>
      <c r="Q392" s="2">
        <f t="shared" si="6"/>
        <v>-4</v>
      </c>
      <c r="R392" s="2" t="str">
        <f>VLOOKUP(J392,Equipes!A:B,2,0)</f>
        <v>Real</v>
      </c>
      <c r="S392" s="6" t="s">
        <v>883</v>
      </c>
      <c r="T392" s="7">
        <v>12.0</v>
      </c>
      <c r="U392" s="7" t="s">
        <v>884</v>
      </c>
      <c r="V392" s="7" t="str">
        <f>VLOOKUP(U392,Jogadores!B:C,2,0)</f>
        <v>DF</v>
      </c>
      <c r="W392" s="8">
        <f>VLOOKUP(U392,Jogadores!B:D,3,0)</f>
        <v>26.82465753</v>
      </c>
      <c r="X392" s="7">
        <v>0.0</v>
      </c>
      <c r="Y392" s="7">
        <v>65.0</v>
      </c>
      <c r="Z392" s="7">
        <f>VLOOKUP(A392,Jogos!A:L,3,0)</f>
        <v>50</v>
      </c>
      <c r="AA392" s="7">
        <f t="shared" si="7"/>
        <v>50</v>
      </c>
      <c r="AB392" s="7">
        <f>VLOOKUP(A392,Jogos!A:L,4,0)</f>
        <v>54</v>
      </c>
      <c r="AC392" s="7">
        <f t="shared" si="657"/>
        <v>20</v>
      </c>
      <c r="AD392" s="7"/>
      <c r="AE392" s="7"/>
      <c r="AF392" s="7">
        <f t="shared" si="9"/>
        <v>70</v>
      </c>
      <c r="AG392" s="7">
        <v>6958.1</v>
      </c>
      <c r="AH392" s="7">
        <v>3056.4</v>
      </c>
      <c r="AI392" s="7">
        <v>2688.4</v>
      </c>
      <c r="AJ392" s="7">
        <v>765.9</v>
      </c>
      <c r="AK392" s="7">
        <v>346.2</v>
      </c>
      <c r="AL392" s="7">
        <v>101.2</v>
      </c>
      <c r="AM392" s="7">
        <v>65.0</v>
      </c>
      <c r="AN392" s="7">
        <v>28.0</v>
      </c>
      <c r="AO392" s="7">
        <v>31.4</v>
      </c>
      <c r="AP392" s="9">
        <f t="shared" ref="AP392:AR392" si="1222">AG392/$AF392</f>
        <v>99.40142857</v>
      </c>
      <c r="AQ392" s="9">
        <f t="shared" si="1222"/>
        <v>43.66285714</v>
      </c>
      <c r="AR392" s="9">
        <f t="shared" si="1222"/>
        <v>38.40571429</v>
      </c>
      <c r="AS392" s="9">
        <f t="shared" si="11"/>
        <v>82.06857143</v>
      </c>
      <c r="AT392" s="9">
        <f t="shared" ref="AT392:AV392" si="1223">AJ392/$AF392</f>
        <v>10.94142857</v>
      </c>
      <c r="AU392" s="9">
        <f t="shared" si="1223"/>
        <v>4.945714286</v>
      </c>
      <c r="AV392" s="9">
        <f t="shared" si="1223"/>
        <v>1.445714286</v>
      </c>
      <c r="AW392" s="9">
        <f t="shared" si="13"/>
        <v>6.391428571</v>
      </c>
      <c r="AX392" s="9">
        <f t="shared" ref="AX392:AY392" si="1224">AM392/$AF392</f>
        <v>0.9285714286</v>
      </c>
      <c r="AY392" s="9">
        <f t="shared" si="1224"/>
        <v>0.4</v>
      </c>
      <c r="AZ392" s="9">
        <f>VLOOKUP(A392,Jogos!A:BN,58,0)</f>
        <v>32.895</v>
      </c>
      <c r="BA392" s="9">
        <f>VLOOKUP(A392,Jogos!A:BN,59,0)</f>
        <v>21.005</v>
      </c>
      <c r="BB392" s="9">
        <f>VLOOKUP(A392,Jogos!A:BN,60,0)</f>
        <v>49</v>
      </c>
      <c r="BC392" s="9">
        <f>VLOOKUP(A392,Jogos!A:BN,61,0)</f>
        <v>35.455</v>
      </c>
      <c r="BD392" s="9">
        <f>VLOOKUP(A392,Jogos!A:BN,62,0)</f>
        <v>639.05</v>
      </c>
      <c r="BE392" s="9">
        <f>VLOOKUP(A392,Jogos!A:BN,63,0)</f>
        <v>1.775</v>
      </c>
      <c r="BF392" s="9">
        <f>VLOOKUP(A392,Jogos!A:BN,64,0)</f>
        <v>25.835</v>
      </c>
      <c r="BG392" s="9">
        <f>VLOOKUP(A392,Jogos!A:BN,65,0)</f>
        <v>47.545</v>
      </c>
      <c r="BH392" s="9">
        <f>VLOOKUP(A392,Jogos!A:BN,66,0)</f>
        <v>30.88</v>
      </c>
      <c r="BI392" s="9"/>
    </row>
    <row r="393" hidden="1">
      <c r="A393" s="2">
        <v>14.0</v>
      </c>
      <c r="B393" s="11" t="s">
        <v>872</v>
      </c>
      <c r="C393" s="2" t="s">
        <v>61</v>
      </c>
      <c r="D393" s="3">
        <v>45826.0</v>
      </c>
      <c r="E393" s="4">
        <v>0.625</v>
      </c>
      <c r="F393" s="5" t="str">
        <f>VLOOKUP(A393,Jogos!A:N,10,0)</f>
        <v>Afternoon</v>
      </c>
      <c r="G393" s="2" t="s">
        <v>62</v>
      </c>
      <c r="H393" s="6" t="str">
        <f>VLOOKUP(A393,Jogos!A:L,12,0)</f>
        <v>Open</v>
      </c>
      <c r="I393" s="6" t="str">
        <f>VLOOKUP(G393,'Estádios e Cidades'!A:B,2,0)</f>
        <v>Miami Gardens - Flórida</v>
      </c>
      <c r="J393" s="2" t="s">
        <v>873</v>
      </c>
      <c r="K393" s="2" t="str">
        <f>VLOOKUP(J393,Equipes!A:F,6,0)</f>
        <v>Temperate</v>
      </c>
      <c r="L393" s="2">
        <f>VLOOKUP(J393,Equipes!A:C,3,0)</f>
        <v>3</v>
      </c>
      <c r="M393" s="2" t="str">
        <f t="shared" si="4"/>
        <v>Semi-final</v>
      </c>
      <c r="N393" s="2" t="s">
        <v>874</v>
      </c>
      <c r="O393" s="2">
        <f>VLOOKUP(N393,Equipes!A:C,3,0)</f>
        <v>7</v>
      </c>
      <c r="P393" s="2" t="str">
        <f t="shared" si="5"/>
        <v>Quarter-final</v>
      </c>
      <c r="Q393" s="2">
        <f t="shared" si="6"/>
        <v>-4</v>
      </c>
      <c r="R393" s="2" t="str">
        <f>VLOOKUP(J393,Equipes!A:B,2,0)</f>
        <v>Real</v>
      </c>
      <c r="S393" s="6" t="s">
        <v>885</v>
      </c>
      <c r="T393" s="7">
        <v>14.0</v>
      </c>
      <c r="U393" s="7" t="s">
        <v>886</v>
      </c>
      <c r="V393" s="7" t="str">
        <f>VLOOKUP(U393,Jogadores!B:C,2,0)</f>
        <v>MF</v>
      </c>
      <c r="W393" s="8">
        <f>VLOOKUP(U393,Jogadores!B:D,3,0)</f>
        <v>25.51780822</v>
      </c>
      <c r="X393" s="7">
        <v>0.0</v>
      </c>
      <c r="Y393" s="7">
        <f t="shared" ref="Y393:Y396" si="1228">45+AB393</f>
        <v>99</v>
      </c>
      <c r="Z393" s="7">
        <f>VLOOKUP(A393,Jogos!A:L,3,0)</f>
        <v>50</v>
      </c>
      <c r="AA393" s="7">
        <f t="shared" si="7"/>
        <v>50</v>
      </c>
      <c r="AB393" s="7">
        <f>VLOOKUP(A393,Jogos!A:L,4,0)</f>
        <v>54</v>
      </c>
      <c r="AC393" s="7">
        <f t="shared" si="657"/>
        <v>54</v>
      </c>
      <c r="AD393" s="7"/>
      <c r="AE393" s="7"/>
      <c r="AF393" s="7">
        <f t="shared" si="9"/>
        <v>104</v>
      </c>
      <c r="AG393" s="7">
        <v>10350.3</v>
      </c>
      <c r="AH393" s="7">
        <v>4174.0</v>
      </c>
      <c r="AI393" s="7">
        <v>4097.1</v>
      </c>
      <c r="AJ393" s="7">
        <v>1541.6</v>
      </c>
      <c r="AK393" s="7">
        <v>370.1</v>
      </c>
      <c r="AL393" s="7">
        <v>167.5</v>
      </c>
      <c r="AM393" s="7">
        <v>131.0</v>
      </c>
      <c r="AN393" s="7">
        <v>27.0</v>
      </c>
      <c r="AO393" s="7">
        <v>30.6</v>
      </c>
      <c r="AP393" s="9">
        <f t="shared" ref="AP393:AR393" si="1225">AG393/$AF393</f>
        <v>99.52211538</v>
      </c>
      <c r="AQ393" s="9">
        <f t="shared" si="1225"/>
        <v>40.13461538</v>
      </c>
      <c r="AR393" s="9">
        <f t="shared" si="1225"/>
        <v>39.39519231</v>
      </c>
      <c r="AS393" s="9">
        <f t="shared" si="11"/>
        <v>79.52980769</v>
      </c>
      <c r="AT393" s="9">
        <f t="shared" ref="AT393:AV393" si="1226">AJ393/$AF393</f>
        <v>14.82307692</v>
      </c>
      <c r="AU393" s="9">
        <f t="shared" si="1226"/>
        <v>3.558653846</v>
      </c>
      <c r="AV393" s="9">
        <f t="shared" si="1226"/>
        <v>1.610576923</v>
      </c>
      <c r="AW393" s="9">
        <f t="shared" si="13"/>
        <v>5.169230769</v>
      </c>
      <c r="AX393" s="9">
        <f t="shared" ref="AX393:AY393" si="1227">AM393/$AF393</f>
        <v>1.259615385</v>
      </c>
      <c r="AY393" s="9">
        <f t="shared" si="1227"/>
        <v>0.2596153846</v>
      </c>
      <c r="AZ393" s="9">
        <f>VLOOKUP(A393,Jogos!A:BN,58,0)</f>
        <v>32.895</v>
      </c>
      <c r="BA393" s="9">
        <f>VLOOKUP(A393,Jogos!A:BN,59,0)</f>
        <v>21.005</v>
      </c>
      <c r="BB393" s="9">
        <f>VLOOKUP(A393,Jogos!A:BN,60,0)</f>
        <v>49</v>
      </c>
      <c r="BC393" s="9">
        <f>VLOOKUP(A393,Jogos!A:BN,61,0)</f>
        <v>35.455</v>
      </c>
      <c r="BD393" s="9">
        <f>VLOOKUP(A393,Jogos!A:BN,62,0)</f>
        <v>639.05</v>
      </c>
      <c r="BE393" s="9">
        <f>VLOOKUP(A393,Jogos!A:BN,63,0)</f>
        <v>1.775</v>
      </c>
      <c r="BF393" s="9">
        <f>VLOOKUP(A393,Jogos!A:BN,64,0)</f>
        <v>25.835</v>
      </c>
      <c r="BG393" s="9">
        <f>VLOOKUP(A393,Jogos!A:BN,65,0)</f>
        <v>47.545</v>
      </c>
      <c r="BH393" s="9">
        <f>VLOOKUP(A393,Jogos!A:BN,66,0)</f>
        <v>30.88</v>
      </c>
      <c r="BI393" s="9"/>
    </row>
    <row r="394" hidden="1">
      <c r="A394" s="2">
        <v>14.0</v>
      </c>
      <c r="B394" s="11" t="s">
        <v>872</v>
      </c>
      <c r="C394" s="2" t="s">
        <v>61</v>
      </c>
      <c r="D394" s="3">
        <v>45826.0</v>
      </c>
      <c r="E394" s="4">
        <v>0.625</v>
      </c>
      <c r="F394" s="5" t="str">
        <f>VLOOKUP(A394,Jogos!A:N,10,0)</f>
        <v>Afternoon</v>
      </c>
      <c r="G394" s="2" t="s">
        <v>62</v>
      </c>
      <c r="H394" s="6" t="str">
        <f>VLOOKUP(A394,Jogos!A:L,12,0)</f>
        <v>Open</v>
      </c>
      <c r="I394" s="6" t="str">
        <f>VLOOKUP(G394,'Estádios e Cidades'!A:B,2,0)</f>
        <v>Miami Gardens - Flórida</v>
      </c>
      <c r="J394" s="2" t="s">
        <v>873</v>
      </c>
      <c r="K394" s="2" t="str">
        <f>VLOOKUP(J394,Equipes!A:F,6,0)</f>
        <v>Temperate</v>
      </c>
      <c r="L394" s="2">
        <f>VLOOKUP(J394,Equipes!A:C,3,0)</f>
        <v>3</v>
      </c>
      <c r="M394" s="2" t="str">
        <f t="shared" si="4"/>
        <v>Semi-final</v>
      </c>
      <c r="N394" s="2" t="s">
        <v>874</v>
      </c>
      <c r="O394" s="2">
        <f>VLOOKUP(N394,Equipes!A:C,3,0)</f>
        <v>7</v>
      </c>
      <c r="P394" s="2" t="str">
        <f t="shared" si="5"/>
        <v>Quarter-final</v>
      </c>
      <c r="Q394" s="2">
        <f t="shared" si="6"/>
        <v>-4</v>
      </c>
      <c r="R394" s="2" t="str">
        <f>VLOOKUP(J394,Equipes!A:B,2,0)</f>
        <v>Real</v>
      </c>
      <c r="S394" s="6" t="s">
        <v>887</v>
      </c>
      <c r="T394" s="7">
        <v>20.0</v>
      </c>
      <c r="U394" s="7" t="s">
        <v>888</v>
      </c>
      <c r="V394" s="7" t="str">
        <f>VLOOKUP(U394,Jogadores!B:C,2,0)</f>
        <v>DF</v>
      </c>
      <c r="W394" s="8">
        <f>VLOOKUP(U394,Jogadores!B:D,3,0)</f>
        <v>25.97260274</v>
      </c>
      <c r="X394" s="7">
        <v>0.0</v>
      </c>
      <c r="Y394" s="7">
        <f t="shared" si="1228"/>
        <v>99</v>
      </c>
      <c r="Z394" s="7">
        <f>VLOOKUP(A394,Jogos!A:L,3,0)</f>
        <v>50</v>
      </c>
      <c r="AA394" s="7">
        <f t="shared" si="7"/>
        <v>50</v>
      </c>
      <c r="AB394" s="7">
        <f>VLOOKUP(A394,Jogos!A:L,4,0)</f>
        <v>54</v>
      </c>
      <c r="AC394" s="7">
        <f t="shared" si="657"/>
        <v>54</v>
      </c>
      <c r="AD394" s="7"/>
      <c r="AE394" s="7"/>
      <c r="AF394" s="7">
        <f t="shared" si="9"/>
        <v>104</v>
      </c>
      <c r="AG394" s="7">
        <v>10363.8</v>
      </c>
      <c r="AH394" s="7">
        <v>4066.9</v>
      </c>
      <c r="AI394" s="7">
        <v>4144.9</v>
      </c>
      <c r="AJ394" s="7">
        <v>1241.8</v>
      </c>
      <c r="AK394" s="7">
        <v>626.1</v>
      </c>
      <c r="AL394" s="7">
        <v>284.1</v>
      </c>
      <c r="AM394" s="7">
        <v>112.0</v>
      </c>
      <c r="AN394" s="7">
        <v>54.0</v>
      </c>
      <c r="AO394" s="7">
        <v>31.9</v>
      </c>
      <c r="AP394" s="9">
        <f t="shared" ref="AP394:AR394" si="1229">AG394/$AF394</f>
        <v>99.65192308</v>
      </c>
      <c r="AQ394" s="9">
        <f t="shared" si="1229"/>
        <v>39.10480769</v>
      </c>
      <c r="AR394" s="9">
        <f t="shared" si="1229"/>
        <v>39.85480769</v>
      </c>
      <c r="AS394" s="9">
        <f t="shared" si="11"/>
        <v>78.95961538</v>
      </c>
      <c r="AT394" s="9">
        <f t="shared" ref="AT394:AV394" si="1230">AJ394/$AF394</f>
        <v>11.94038462</v>
      </c>
      <c r="AU394" s="9">
        <f t="shared" si="1230"/>
        <v>6.020192308</v>
      </c>
      <c r="AV394" s="9">
        <f t="shared" si="1230"/>
        <v>2.731730769</v>
      </c>
      <c r="AW394" s="9">
        <f t="shared" si="13"/>
        <v>8.751923077</v>
      </c>
      <c r="AX394" s="9">
        <f t="shared" ref="AX394:AY394" si="1231">AM394/$AF394</f>
        <v>1.076923077</v>
      </c>
      <c r="AY394" s="9">
        <f t="shared" si="1231"/>
        <v>0.5192307692</v>
      </c>
      <c r="AZ394" s="9">
        <f>VLOOKUP(A394,Jogos!A:BN,58,0)</f>
        <v>32.895</v>
      </c>
      <c r="BA394" s="9">
        <f>VLOOKUP(A394,Jogos!A:BN,59,0)</f>
        <v>21.005</v>
      </c>
      <c r="BB394" s="9">
        <f>VLOOKUP(A394,Jogos!A:BN,60,0)</f>
        <v>49</v>
      </c>
      <c r="BC394" s="9">
        <f>VLOOKUP(A394,Jogos!A:BN,61,0)</f>
        <v>35.455</v>
      </c>
      <c r="BD394" s="9">
        <f>VLOOKUP(A394,Jogos!A:BN,62,0)</f>
        <v>639.05</v>
      </c>
      <c r="BE394" s="9">
        <f>VLOOKUP(A394,Jogos!A:BN,63,0)</f>
        <v>1.775</v>
      </c>
      <c r="BF394" s="9">
        <f>VLOOKUP(A394,Jogos!A:BN,64,0)</f>
        <v>25.835</v>
      </c>
      <c r="BG394" s="9">
        <f>VLOOKUP(A394,Jogos!A:BN,65,0)</f>
        <v>47.545</v>
      </c>
      <c r="BH394" s="9">
        <f>VLOOKUP(A394,Jogos!A:BN,66,0)</f>
        <v>30.88</v>
      </c>
      <c r="BI394" s="9"/>
    </row>
    <row r="395" hidden="1">
      <c r="A395" s="2">
        <v>14.0</v>
      </c>
      <c r="B395" s="11" t="s">
        <v>872</v>
      </c>
      <c r="C395" s="2" t="s">
        <v>61</v>
      </c>
      <c r="D395" s="3">
        <v>45826.0</v>
      </c>
      <c r="E395" s="4">
        <v>0.625</v>
      </c>
      <c r="F395" s="5" t="str">
        <f>VLOOKUP(A395,Jogos!A:N,10,0)</f>
        <v>Afternoon</v>
      </c>
      <c r="G395" s="2" t="s">
        <v>62</v>
      </c>
      <c r="H395" s="6" t="str">
        <f>VLOOKUP(A395,Jogos!A:L,12,0)</f>
        <v>Open</v>
      </c>
      <c r="I395" s="6" t="str">
        <f>VLOOKUP(G395,'Estádios e Cidades'!A:B,2,0)</f>
        <v>Miami Gardens - Flórida</v>
      </c>
      <c r="J395" s="2" t="s">
        <v>873</v>
      </c>
      <c r="K395" s="2" t="str">
        <f>VLOOKUP(J395,Equipes!A:F,6,0)</f>
        <v>Temperate</v>
      </c>
      <c r="L395" s="2">
        <f>VLOOKUP(J395,Equipes!A:C,3,0)</f>
        <v>3</v>
      </c>
      <c r="M395" s="2" t="str">
        <f t="shared" si="4"/>
        <v>Semi-final</v>
      </c>
      <c r="N395" s="2" t="s">
        <v>874</v>
      </c>
      <c r="O395" s="2">
        <f>VLOOKUP(N395,Equipes!A:C,3,0)</f>
        <v>7</v>
      </c>
      <c r="P395" s="2" t="str">
        <f t="shared" si="5"/>
        <v>Quarter-final</v>
      </c>
      <c r="Q395" s="2">
        <f t="shared" si="6"/>
        <v>-4</v>
      </c>
      <c r="R395" s="2" t="str">
        <f>VLOOKUP(J395,Equipes!A:B,2,0)</f>
        <v>Real</v>
      </c>
      <c r="S395" s="6" t="s">
        <v>889</v>
      </c>
      <c r="T395" s="7">
        <v>24.0</v>
      </c>
      <c r="U395" s="7" t="s">
        <v>890</v>
      </c>
      <c r="V395" s="7" t="str">
        <f>VLOOKUP(U395,Jogadores!B:C,2,0)</f>
        <v>DF</v>
      </c>
      <c r="W395" s="8">
        <f>VLOOKUP(U395,Jogadores!B:D,3,0)</f>
        <v>20.30136986</v>
      </c>
      <c r="X395" s="7">
        <v>0.0</v>
      </c>
      <c r="Y395" s="7">
        <f t="shared" si="1228"/>
        <v>99</v>
      </c>
      <c r="Z395" s="7">
        <f>VLOOKUP(A395,Jogos!A:L,3,0)</f>
        <v>50</v>
      </c>
      <c r="AA395" s="7">
        <f t="shared" si="7"/>
        <v>50</v>
      </c>
      <c r="AB395" s="7">
        <f>VLOOKUP(A395,Jogos!A:L,4,0)</f>
        <v>54</v>
      </c>
      <c r="AC395" s="7">
        <f t="shared" si="657"/>
        <v>54</v>
      </c>
      <c r="AD395" s="7"/>
      <c r="AE395" s="7"/>
      <c r="AF395" s="7">
        <f t="shared" si="9"/>
        <v>104</v>
      </c>
      <c r="AG395" s="7">
        <v>9940.4</v>
      </c>
      <c r="AH395" s="7">
        <v>4336.9</v>
      </c>
      <c r="AI395" s="7">
        <v>3824.2</v>
      </c>
      <c r="AJ395" s="7">
        <v>1279.2</v>
      </c>
      <c r="AK395" s="7">
        <v>360.1</v>
      </c>
      <c r="AL395" s="7">
        <v>139.9</v>
      </c>
      <c r="AM395" s="7">
        <v>113.0</v>
      </c>
      <c r="AN395" s="7">
        <v>33.0</v>
      </c>
      <c r="AO395" s="7">
        <v>32.1</v>
      </c>
      <c r="AP395" s="9">
        <f t="shared" ref="AP395:AR395" si="1232">AG395/$AF395</f>
        <v>95.58076923</v>
      </c>
      <c r="AQ395" s="9">
        <f t="shared" si="1232"/>
        <v>41.70096154</v>
      </c>
      <c r="AR395" s="9">
        <f t="shared" si="1232"/>
        <v>36.77115385</v>
      </c>
      <c r="AS395" s="9">
        <f t="shared" si="11"/>
        <v>78.47211538</v>
      </c>
      <c r="AT395" s="9">
        <f t="shared" ref="AT395:AV395" si="1233">AJ395/$AF395</f>
        <v>12.3</v>
      </c>
      <c r="AU395" s="9">
        <f t="shared" si="1233"/>
        <v>3.4625</v>
      </c>
      <c r="AV395" s="9">
        <f t="shared" si="1233"/>
        <v>1.345192308</v>
      </c>
      <c r="AW395" s="9">
        <f t="shared" si="13"/>
        <v>4.807692308</v>
      </c>
      <c r="AX395" s="9">
        <f t="shared" ref="AX395:AY395" si="1234">AM395/$AF395</f>
        <v>1.086538462</v>
      </c>
      <c r="AY395" s="9">
        <f t="shared" si="1234"/>
        <v>0.3173076923</v>
      </c>
      <c r="AZ395" s="9">
        <f>VLOOKUP(A395,Jogos!A:BN,58,0)</f>
        <v>32.895</v>
      </c>
      <c r="BA395" s="9">
        <f>VLOOKUP(A395,Jogos!A:BN,59,0)</f>
        <v>21.005</v>
      </c>
      <c r="BB395" s="9">
        <f>VLOOKUP(A395,Jogos!A:BN,60,0)</f>
        <v>49</v>
      </c>
      <c r="BC395" s="9">
        <f>VLOOKUP(A395,Jogos!A:BN,61,0)</f>
        <v>35.455</v>
      </c>
      <c r="BD395" s="9">
        <f>VLOOKUP(A395,Jogos!A:BN,62,0)</f>
        <v>639.05</v>
      </c>
      <c r="BE395" s="9">
        <f>VLOOKUP(A395,Jogos!A:BN,63,0)</f>
        <v>1.775</v>
      </c>
      <c r="BF395" s="9">
        <f>VLOOKUP(A395,Jogos!A:BN,64,0)</f>
        <v>25.835</v>
      </c>
      <c r="BG395" s="9">
        <f>VLOOKUP(A395,Jogos!A:BN,65,0)</f>
        <v>47.545</v>
      </c>
      <c r="BH395" s="9">
        <f>VLOOKUP(A395,Jogos!A:BN,66,0)</f>
        <v>30.88</v>
      </c>
      <c r="BI395" s="9"/>
    </row>
    <row r="396" hidden="1">
      <c r="A396" s="2">
        <v>14.0</v>
      </c>
      <c r="B396" s="11" t="s">
        <v>872</v>
      </c>
      <c r="C396" s="2" t="s">
        <v>61</v>
      </c>
      <c r="D396" s="3">
        <v>45826.0</v>
      </c>
      <c r="E396" s="4">
        <v>0.625</v>
      </c>
      <c r="F396" s="5" t="str">
        <f>VLOOKUP(A396,Jogos!A:N,10,0)</f>
        <v>Afternoon</v>
      </c>
      <c r="G396" s="2" t="s">
        <v>62</v>
      </c>
      <c r="H396" s="6" t="str">
        <f>VLOOKUP(A396,Jogos!A:L,12,0)</f>
        <v>Open</v>
      </c>
      <c r="I396" s="6" t="str">
        <f>VLOOKUP(G396,'Estádios e Cidades'!A:B,2,0)</f>
        <v>Miami Gardens - Flórida</v>
      </c>
      <c r="J396" s="2" t="s">
        <v>873</v>
      </c>
      <c r="K396" s="2" t="str">
        <f>VLOOKUP(J396,Equipes!A:F,6,0)</f>
        <v>Temperate</v>
      </c>
      <c r="L396" s="2">
        <f>VLOOKUP(J396,Equipes!A:C,3,0)</f>
        <v>3</v>
      </c>
      <c r="M396" s="2" t="str">
        <f t="shared" si="4"/>
        <v>Semi-final</v>
      </c>
      <c r="N396" s="2" t="s">
        <v>874</v>
      </c>
      <c r="O396" s="2">
        <f>VLOOKUP(N396,Equipes!A:C,3,0)</f>
        <v>7</v>
      </c>
      <c r="P396" s="2" t="str">
        <f t="shared" si="5"/>
        <v>Quarter-final</v>
      </c>
      <c r="Q396" s="2">
        <f t="shared" si="6"/>
        <v>-4</v>
      </c>
      <c r="R396" s="2" t="str">
        <f>VLOOKUP(J396,Equipes!A:B,2,0)</f>
        <v>Real</v>
      </c>
      <c r="S396" s="6" t="s">
        <v>891</v>
      </c>
      <c r="T396" s="7">
        <v>30.0</v>
      </c>
      <c r="U396" s="7" t="s">
        <v>892</v>
      </c>
      <c r="V396" s="7" t="str">
        <f>VLOOKUP(U396,Jogadores!B:C,2,0)</f>
        <v>FW</v>
      </c>
      <c r="W396" s="8">
        <f>VLOOKUP(U396,Jogadores!B:D,3,0)</f>
        <v>21.35890411</v>
      </c>
      <c r="X396" s="7">
        <v>0.0</v>
      </c>
      <c r="Y396" s="7">
        <f t="shared" si="1228"/>
        <v>99</v>
      </c>
      <c r="Z396" s="7">
        <f>VLOOKUP(A396,Jogos!A:L,3,0)</f>
        <v>50</v>
      </c>
      <c r="AA396" s="7">
        <f t="shared" si="7"/>
        <v>50</v>
      </c>
      <c r="AB396" s="7">
        <f>VLOOKUP(A396,Jogos!A:L,4,0)</f>
        <v>54</v>
      </c>
      <c r="AC396" s="7">
        <f t="shared" si="657"/>
        <v>54</v>
      </c>
      <c r="AD396" s="7"/>
      <c r="AE396" s="7"/>
      <c r="AF396" s="7">
        <f t="shared" si="9"/>
        <v>104</v>
      </c>
      <c r="AG396" s="7">
        <v>10680.0</v>
      </c>
      <c r="AH396" s="7">
        <v>4880.0</v>
      </c>
      <c r="AI396" s="7">
        <v>3633.4</v>
      </c>
      <c r="AJ396" s="7">
        <v>1290.8</v>
      </c>
      <c r="AK396" s="7">
        <v>618.1</v>
      </c>
      <c r="AL396" s="7">
        <v>257.7</v>
      </c>
      <c r="AM396" s="7">
        <v>121.0</v>
      </c>
      <c r="AN396" s="7">
        <v>58.0</v>
      </c>
      <c r="AO396" s="7">
        <v>32.0</v>
      </c>
      <c r="AP396" s="9">
        <f t="shared" ref="AP396:AR396" si="1235">AG396/$AF396</f>
        <v>102.6923077</v>
      </c>
      <c r="AQ396" s="9">
        <f t="shared" si="1235"/>
        <v>46.92307692</v>
      </c>
      <c r="AR396" s="9">
        <f t="shared" si="1235"/>
        <v>34.93653846</v>
      </c>
      <c r="AS396" s="9">
        <f t="shared" si="11"/>
        <v>81.85961538</v>
      </c>
      <c r="AT396" s="9">
        <f t="shared" ref="AT396:AV396" si="1236">AJ396/$AF396</f>
        <v>12.41153846</v>
      </c>
      <c r="AU396" s="9">
        <f t="shared" si="1236"/>
        <v>5.943269231</v>
      </c>
      <c r="AV396" s="9">
        <f t="shared" si="1236"/>
        <v>2.477884615</v>
      </c>
      <c r="AW396" s="9">
        <f t="shared" si="13"/>
        <v>8.421153846</v>
      </c>
      <c r="AX396" s="9">
        <f t="shared" ref="AX396:AY396" si="1237">AM396/$AF396</f>
        <v>1.163461538</v>
      </c>
      <c r="AY396" s="9">
        <f t="shared" si="1237"/>
        <v>0.5576923077</v>
      </c>
      <c r="AZ396" s="9">
        <f>VLOOKUP(A396,Jogos!A:BN,58,0)</f>
        <v>32.895</v>
      </c>
      <c r="BA396" s="9">
        <f>VLOOKUP(A396,Jogos!A:BN,59,0)</f>
        <v>21.005</v>
      </c>
      <c r="BB396" s="9">
        <f>VLOOKUP(A396,Jogos!A:BN,60,0)</f>
        <v>49</v>
      </c>
      <c r="BC396" s="9">
        <f>VLOOKUP(A396,Jogos!A:BN,61,0)</f>
        <v>35.455</v>
      </c>
      <c r="BD396" s="9">
        <f>VLOOKUP(A396,Jogos!A:BN,62,0)</f>
        <v>639.05</v>
      </c>
      <c r="BE396" s="9">
        <f>VLOOKUP(A396,Jogos!A:BN,63,0)</f>
        <v>1.775</v>
      </c>
      <c r="BF396" s="9">
        <f>VLOOKUP(A396,Jogos!A:BN,64,0)</f>
        <v>25.835</v>
      </c>
      <c r="BG396" s="9">
        <f>VLOOKUP(A396,Jogos!A:BN,65,0)</f>
        <v>47.545</v>
      </c>
      <c r="BH396" s="9">
        <f>VLOOKUP(A396,Jogos!A:BN,66,0)</f>
        <v>30.88</v>
      </c>
      <c r="BI396" s="9"/>
    </row>
    <row r="397" hidden="1">
      <c r="A397" s="2">
        <v>14.0</v>
      </c>
      <c r="B397" s="11" t="s">
        <v>872</v>
      </c>
      <c r="C397" s="2" t="s">
        <v>61</v>
      </c>
      <c r="D397" s="3">
        <v>45826.0</v>
      </c>
      <c r="E397" s="4">
        <v>0.625</v>
      </c>
      <c r="F397" s="5" t="str">
        <f>VLOOKUP(A397,Jogos!A:N,10,0)</f>
        <v>Afternoon</v>
      </c>
      <c r="G397" s="2" t="s">
        <v>62</v>
      </c>
      <c r="H397" s="6" t="str">
        <f>VLOOKUP(A397,Jogos!A:L,12,0)</f>
        <v>Open</v>
      </c>
      <c r="I397" s="6" t="str">
        <f>VLOOKUP(G397,'Estádios e Cidades'!A:B,2,0)</f>
        <v>Miami Gardens - Flórida</v>
      </c>
      <c r="J397" s="2" t="s">
        <v>873</v>
      </c>
      <c r="K397" s="2" t="str">
        <f>VLOOKUP(J397,Equipes!A:F,6,0)</f>
        <v>Temperate</v>
      </c>
      <c r="L397" s="2">
        <f>VLOOKUP(J397,Equipes!A:C,3,0)</f>
        <v>3</v>
      </c>
      <c r="M397" s="2" t="str">
        <f t="shared" si="4"/>
        <v>Semi-final</v>
      </c>
      <c r="N397" s="2" t="s">
        <v>874</v>
      </c>
      <c r="O397" s="2">
        <f>VLOOKUP(N397,Equipes!A:C,3,0)</f>
        <v>7</v>
      </c>
      <c r="P397" s="2" t="str">
        <f t="shared" si="5"/>
        <v>Quarter-final</v>
      </c>
      <c r="Q397" s="2">
        <f t="shared" si="6"/>
        <v>-4</v>
      </c>
      <c r="R397" s="2" t="str">
        <f>VLOOKUP(J397,Equipes!A:B,2,0)</f>
        <v>Real</v>
      </c>
      <c r="S397" s="6" t="s">
        <v>893</v>
      </c>
      <c r="T397" s="7">
        <v>35.0</v>
      </c>
      <c r="U397" s="7" t="s">
        <v>894</v>
      </c>
      <c r="V397" s="7" t="str">
        <f>VLOOKUP(U397,Jogadores!B:C,2,0)</f>
        <v>DF</v>
      </c>
      <c r="W397" s="8">
        <f>VLOOKUP(U397,Jogadores!B:D,3,0)</f>
        <v>22.46849315</v>
      </c>
      <c r="X397" s="7">
        <v>0.0</v>
      </c>
      <c r="Y397" s="7">
        <v>45.0</v>
      </c>
      <c r="Z397" s="7">
        <f>VLOOKUP(A397,Jogos!A:L,3,0)</f>
        <v>50</v>
      </c>
      <c r="AA397" s="7">
        <f t="shared" si="7"/>
        <v>50</v>
      </c>
      <c r="AB397" s="7">
        <f>VLOOKUP(A397,Jogos!A:L,4,0)</f>
        <v>54</v>
      </c>
      <c r="AC397" s="7">
        <f t="shared" si="657"/>
        <v>0</v>
      </c>
      <c r="AD397" s="7"/>
      <c r="AE397" s="7"/>
      <c r="AF397" s="7">
        <f t="shared" si="9"/>
        <v>50</v>
      </c>
      <c r="AG397" s="7">
        <v>4245.2</v>
      </c>
      <c r="AH397" s="7">
        <v>2170.8</v>
      </c>
      <c r="AI397" s="7">
        <v>1481.6</v>
      </c>
      <c r="AJ397" s="7">
        <v>348.0</v>
      </c>
      <c r="AK397" s="7">
        <v>132.6</v>
      </c>
      <c r="AL397" s="7">
        <v>112.2</v>
      </c>
      <c r="AM397" s="7">
        <v>28.0</v>
      </c>
      <c r="AN397" s="7">
        <v>17.0</v>
      </c>
      <c r="AO397" s="7">
        <v>34.4</v>
      </c>
      <c r="AP397" s="9">
        <f t="shared" ref="AP397:AR397" si="1238">AG397/$AF397</f>
        <v>84.904</v>
      </c>
      <c r="AQ397" s="9">
        <f t="shared" si="1238"/>
        <v>43.416</v>
      </c>
      <c r="AR397" s="9">
        <f t="shared" si="1238"/>
        <v>29.632</v>
      </c>
      <c r="AS397" s="9">
        <f t="shared" si="11"/>
        <v>73.048</v>
      </c>
      <c r="AT397" s="9">
        <f t="shared" ref="AT397:AV397" si="1239">AJ397/$AF397</f>
        <v>6.96</v>
      </c>
      <c r="AU397" s="9">
        <f t="shared" si="1239"/>
        <v>2.652</v>
      </c>
      <c r="AV397" s="9">
        <f t="shared" si="1239"/>
        <v>2.244</v>
      </c>
      <c r="AW397" s="9">
        <f t="shared" si="13"/>
        <v>4.896</v>
      </c>
      <c r="AX397" s="9">
        <f t="shared" ref="AX397:AY397" si="1240">AM397/$AF397</f>
        <v>0.56</v>
      </c>
      <c r="AY397" s="9">
        <f t="shared" si="1240"/>
        <v>0.34</v>
      </c>
      <c r="AZ397" s="9">
        <f>VLOOKUP(A397,Jogos!A:BN,58,0)</f>
        <v>32.895</v>
      </c>
      <c r="BA397" s="9">
        <f>VLOOKUP(A397,Jogos!A:BN,59,0)</f>
        <v>21.005</v>
      </c>
      <c r="BB397" s="9">
        <f>VLOOKUP(A397,Jogos!A:BN,60,0)</f>
        <v>49</v>
      </c>
      <c r="BC397" s="9">
        <f>VLOOKUP(A397,Jogos!A:BN,61,0)</f>
        <v>35.455</v>
      </c>
      <c r="BD397" s="9">
        <f>VLOOKUP(A397,Jogos!A:BN,62,0)</f>
        <v>639.05</v>
      </c>
      <c r="BE397" s="9">
        <f>VLOOKUP(A397,Jogos!A:BN,63,0)</f>
        <v>1.775</v>
      </c>
      <c r="BF397" s="9">
        <f>VLOOKUP(A397,Jogos!A:BN,64,0)</f>
        <v>25.835</v>
      </c>
      <c r="BG397" s="9">
        <f>VLOOKUP(A397,Jogos!A:BN,65,0)</f>
        <v>47.545</v>
      </c>
      <c r="BH397" s="9">
        <f>VLOOKUP(A397,Jogos!A:BN,66,0)</f>
        <v>30.88</v>
      </c>
      <c r="BI397" s="9"/>
    </row>
    <row r="398" hidden="1">
      <c r="A398" s="2">
        <v>14.0</v>
      </c>
      <c r="B398" s="11" t="s">
        <v>872</v>
      </c>
      <c r="C398" s="2" t="s">
        <v>61</v>
      </c>
      <c r="D398" s="3">
        <v>45826.0</v>
      </c>
      <c r="E398" s="4">
        <v>0.625</v>
      </c>
      <c r="F398" s="5" t="str">
        <f>VLOOKUP(A398,Jogos!A:N,10,0)</f>
        <v>Afternoon</v>
      </c>
      <c r="G398" s="2" t="s">
        <v>62</v>
      </c>
      <c r="H398" s="6" t="str">
        <f>VLOOKUP(A398,Jogos!A:L,12,0)</f>
        <v>Open</v>
      </c>
      <c r="I398" s="6" t="str">
        <f>VLOOKUP(G398,'Estádios e Cidades'!A:B,2,0)</f>
        <v>Miami Gardens - Flórida</v>
      </c>
      <c r="J398" s="2" t="s">
        <v>873</v>
      </c>
      <c r="K398" s="2" t="str">
        <f>VLOOKUP(J398,Equipes!A:F,6,0)</f>
        <v>Temperate</v>
      </c>
      <c r="L398" s="2">
        <f>VLOOKUP(J398,Equipes!A:C,3,0)</f>
        <v>3</v>
      </c>
      <c r="M398" s="2" t="str">
        <f t="shared" si="4"/>
        <v>Semi-final</v>
      </c>
      <c r="N398" s="2" t="s">
        <v>874</v>
      </c>
      <c r="O398" s="2">
        <f>VLOOKUP(N398,Equipes!A:C,3,0)</f>
        <v>7</v>
      </c>
      <c r="P398" s="2" t="str">
        <f t="shared" si="5"/>
        <v>Quarter-final</v>
      </c>
      <c r="Q398" s="2">
        <f t="shared" si="6"/>
        <v>-4</v>
      </c>
      <c r="R398" s="2" t="str">
        <f>VLOOKUP(J398,Equipes!A:B,2,0)</f>
        <v>Real</v>
      </c>
      <c r="S398" s="6" t="s">
        <v>895</v>
      </c>
      <c r="T398" s="7">
        <v>10.0</v>
      </c>
      <c r="U398" s="7" t="s">
        <v>896</v>
      </c>
      <c r="V398" s="7" t="str">
        <f>VLOOKUP(U398,Jogadores!B:C,2,0)</f>
        <v>MF</v>
      </c>
      <c r="W398" s="8">
        <f>VLOOKUP(U398,Jogadores!B:D,3,0)</f>
        <v>39.90958904</v>
      </c>
      <c r="X398" s="7">
        <v>84.0</v>
      </c>
      <c r="Y398" s="7">
        <f t="shared" ref="Y398:Y403" si="1244">45+AB398</f>
        <v>99</v>
      </c>
      <c r="Z398" s="7">
        <f>VLOOKUP(A398,Jogos!A:L,3,0)</f>
        <v>50</v>
      </c>
      <c r="AA398" s="7">
        <f t="shared" si="7"/>
        <v>0</v>
      </c>
      <c r="AB398" s="7">
        <f>VLOOKUP(A398,Jogos!A:L,4,0)</f>
        <v>54</v>
      </c>
      <c r="AC398" s="7">
        <f t="shared" si="657"/>
        <v>15</v>
      </c>
      <c r="AD398" s="7"/>
      <c r="AE398" s="7"/>
      <c r="AF398" s="7">
        <f t="shared" si="9"/>
        <v>15</v>
      </c>
      <c r="AG398" s="7">
        <v>1607.7</v>
      </c>
      <c r="AH398" s="7">
        <v>565.0</v>
      </c>
      <c r="AI398" s="7">
        <v>581.1</v>
      </c>
      <c r="AJ398" s="7">
        <v>273.6</v>
      </c>
      <c r="AK398" s="7">
        <v>100.6</v>
      </c>
      <c r="AL398" s="7">
        <v>87.4</v>
      </c>
      <c r="AM398" s="7">
        <v>27.0</v>
      </c>
      <c r="AN398" s="7">
        <v>7.0</v>
      </c>
      <c r="AO398" s="7">
        <v>31.8</v>
      </c>
      <c r="AP398" s="9">
        <f t="shared" ref="AP398:AR398" si="1241">AG398/$AF398</f>
        <v>107.18</v>
      </c>
      <c r="AQ398" s="9">
        <f t="shared" si="1241"/>
        <v>37.66666667</v>
      </c>
      <c r="AR398" s="9">
        <f t="shared" si="1241"/>
        <v>38.74</v>
      </c>
      <c r="AS398" s="9">
        <f t="shared" si="11"/>
        <v>76.40666667</v>
      </c>
      <c r="AT398" s="9">
        <f t="shared" ref="AT398:AV398" si="1242">AJ398/$AF398</f>
        <v>18.24</v>
      </c>
      <c r="AU398" s="9">
        <f t="shared" si="1242"/>
        <v>6.706666667</v>
      </c>
      <c r="AV398" s="9">
        <f t="shared" si="1242"/>
        <v>5.826666667</v>
      </c>
      <c r="AW398" s="9">
        <f t="shared" si="13"/>
        <v>12.53333333</v>
      </c>
      <c r="AX398" s="9">
        <f t="shared" ref="AX398:AY398" si="1243">AM398/$AF398</f>
        <v>1.8</v>
      </c>
      <c r="AY398" s="9">
        <f t="shared" si="1243"/>
        <v>0.4666666667</v>
      </c>
      <c r="AZ398" s="9">
        <f>VLOOKUP(A398,Jogos!A:BN,58,0)</f>
        <v>32.895</v>
      </c>
      <c r="BA398" s="9">
        <f>VLOOKUP(A398,Jogos!A:BN,59,0)</f>
        <v>21.005</v>
      </c>
      <c r="BB398" s="9">
        <f>VLOOKUP(A398,Jogos!A:BN,60,0)</f>
        <v>49</v>
      </c>
      <c r="BC398" s="9">
        <f>VLOOKUP(A398,Jogos!A:BN,61,0)</f>
        <v>35.455</v>
      </c>
      <c r="BD398" s="9">
        <f>VLOOKUP(A398,Jogos!A:BN,62,0)</f>
        <v>639.05</v>
      </c>
      <c r="BE398" s="9">
        <f>VLOOKUP(A398,Jogos!A:BN,63,0)</f>
        <v>1.775</v>
      </c>
      <c r="BF398" s="9">
        <f>VLOOKUP(A398,Jogos!A:BN,64,0)</f>
        <v>25.835</v>
      </c>
      <c r="BG398" s="9">
        <f>VLOOKUP(A398,Jogos!A:BN,65,0)</f>
        <v>47.545</v>
      </c>
      <c r="BH398" s="9">
        <f>VLOOKUP(A398,Jogos!A:BN,66,0)</f>
        <v>30.88</v>
      </c>
      <c r="BI398" s="9"/>
    </row>
    <row r="399" hidden="1">
      <c r="A399" s="2">
        <v>14.0</v>
      </c>
      <c r="B399" s="11" t="s">
        <v>872</v>
      </c>
      <c r="C399" s="2" t="s">
        <v>61</v>
      </c>
      <c r="D399" s="3">
        <v>45826.0</v>
      </c>
      <c r="E399" s="4">
        <v>0.625</v>
      </c>
      <c r="F399" s="5" t="str">
        <f>VLOOKUP(A399,Jogos!A:N,10,0)</f>
        <v>Afternoon</v>
      </c>
      <c r="G399" s="2" t="s">
        <v>62</v>
      </c>
      <c r="H399" s="6" t="str">
        <f>VLOOKUP(A399,Jogos!A:L,12,0)</f>
        <v>Open</v>
      </c>
      <c r="I399" s="6" t="str">
        <f>VLOOKUP(G399,'Estádios e Cidades'!A:B,2,0)</f>
        <v>Miami Gardens - Flórida</v>
      </c>
      <c r="J399" s="2" t="s">
        <v>873</v>
      </c>
      <c r="K399" s="2" t="str">
        <f>VLOOKUP(J399,Equipes!A:F,6,0)</f>
        <v>Temperate</v>
      </c>
      <c r="L399" s="2">
        <f>VLOOKUP(J399,Equipes!A:C,3,0)</f>
        <v>3</v>
      </c>
      <c r="M399" s="2" t="str">
        <f t="shared" si="4"/>
        <v>Semi-final</v>
      </c>
      <c r="N399" s="2" t="s">
        <v>874</v>
      </c>
      <c r="O399" s="2">
        <f>VLOOKUP(N399,Equipes!A:C,3,0)</f>
        <v>7</v>
      </c>
      <c r="P399" s="2" t="str">
        <f t="shared" si="5"/>
        <v>Quarter-final</v>
      </c>
      <c r="Q399" s="2">
        <f t="shared" si="6"/>
        <v>-4</v>
      </c>
      <c r="R399" s="2" t="str">
        <f>VLOOKUP(J399,Equipes!A:B,2,0)</f>
        <v>Real</v>
      </c>
      <c r="S399" s="6" t="s">
        <v>897</v>
      </c>
      <c r="T399" s="7">
        <v>15.0</v>
      </c>
      <c r="U399" s="7" t="s">
        <v>898</v>
      </c>
      <c r="V399" s="7" t="str">
        <f>VLOOKUP(U399,Jogadores!B:C,2,0)</f>
        <v>MF</v>
      </c>
      <c r="W399" s="8">
        <f>VLOOKUP(U399,Jogadores!B:D,3,0)</f>
        <v>20.43287671</v>
      </c>
      <c r="X399" s="7">
        <v>45.0</v>
      </c>
      <c r="Y399" s="7">
        <f t="shared" si="1244"/>
        <v>99</v>
      </c>
      <c r="Z399" s="7">
        <f>VLOOKUP(A399,Jogos!A:L,3,0)</f>
        <v>50</v>
      </c>
      <c r="AA399" s="7">
        <f t="shared" si="7"/>
        <v>0</v>
      </c>
      <c r="AB399" s="7">
        <f>VLOOKUP(A399,Jogos!A:L,4,0)</f>
        <v>54</v>
      </c>
      <c r="AC399" s="7">
        <f t="shared" si="657"/>
        <v>54</v>
      </c>
      <c r="AD399" s="7"/>
      <c r="AE399" s="7"/>
      <c r="AF399" s="7">
        <f t="shared" si="9"/>
        <v>54</v>
      </c>
      <c r="AG399" s="7">
        <v>6361.1</v>
      </c>
      <c r="AH399" s="7">
        <v>1978.9</v>
      </c>
      <c r="AI399" s="7">
        <v>3019.6</v>
      </c>
      <c r="AJ399" s="7">
        <v>910.9</v>
      </c>
      <c r="AK399" s="7">
        <v>369.2</v>
      </c>
      <c r="AL399" s="7">
        <v>82.5</v>
      </c>
      <c r="AM399" s="7">
        <v>85.0</v>
      </c>
      <c r="AN399" s="7">
        <v>30.0</v>
      </c>
      <c r="AO399" s="7">
        <v>31.7</v>
      </c>
      <c r="AP399" s="9">
        <f t="shared" ref="AP399:AR399" si="1245">AG399/$AF399</f>
        <v>117.7981481</v>
      </c>
      <c r="AQ399" s="9">
        <f t="shared" si="1245"/>
        <v>36.6462963</v>
      </c>
      <c r="AR399" s="9">
        <f t="shared" si="1245"/>
        <v>55.91851852</v>
      </c>
      <c r="AS399" s="9">
        <f t="shared" si="11"/>
        <v>92.56481481</v>
      </c>
      <c r="AT399" s="9">
        <f t="shared" ref="AT399:AV399" si="1246">AJ399/$AF399</f>
        <v>16.86851852</v>
      </c>
      <c r="AU399" s="9">
        <f t="shared" si="1246"/>
        <v>6.837037037</v>
      </c>
      <c r="AV399" s="9">
        <f t="shared" si="1246"/>
        <v>1.527777778</v>
      </c>
      <c r="AW399" s="9">
        <f t="shared" si="13"/>
        <v>8.364814815</v>
      </c>
      <c r="AX399" s="9">
        <f t="shared" ref="AX399:AY399" si="1247">AM399/$AF399</f>
        <v>1.574074074</v>
      </c>
      <c r="AY399" s="9">
        <f t="shared" si="1247"/>
        <v>0.5555555556</v>
      </c>
      <c r="AZ399" s="9">
        <f>VLOOKUP(A399,Jogos!A:BN,58,0)</f>
        <v>32.895</v>
      </c>
      <c r="BA399" s="9">
        <f>VLOOKUP(A399,Jogos!A:BN,59,0)</f>
        <v>21.005</v>
      </c>
      <c r="BB399" s="9">
        <f>VLOOKUP(A399,Jogos!A:BN,60,0)</f>
        <v>49</v>
      </c>
      <c r="BC399" s="9">
        <f>VLOOKUP(A399,Jogos!A:BN,61,0)</f>
        <v>35.455</v>
      </c>
      <c r="BD399" s="9">
        <f>VLOOKUP(A399,Jogos!A:BN,62,0)</f>
        <v>639.05</v>
      </c>
      <c r="BE399" s="9">
        <f>VLOOKUP(A399,Jogos!A:BN,63,0)</f>
        <v>1.775</v>
      </c>
      <c r="BF399" s="9">
        <f>VLOOKUP(A399,Jogos!A:BN,64,0)</f>
        <v>25.835</v>
      </c>
      <c r="BG399" s="9">
        <f>VLOOKUP(A399,Jogos!A:BN,65,0)</f>
        <v>47.545</v>
      </c>
      <c r="BH399" s="9">
        <f>VLOOKUP(A399,Jogos!A:BN,66,0)</f>
        <v>30.88</v>
      </c>
      <c r="BI399" s="9"/>
    </row>
    <row r="400" hidden="1">
      <c r="A400" s="2">
        <v>14.0</v>
      </c>
      <c r="B400" s="11" t="s">
        <v>872</v>
      </c>
      <c r="C400" s="2" t="s">
        <v>61</v>
      </c>
      <c r="D400" s="3">
        <v>45826.0</v>
      </c>
      <c r="E400" s="4">
        <v>0.625</v>
      </c>
      <c r="F400" s="5" t="str">
        <f>VLOOKUP(A400,Jogos!A:N,10,0)</f>
        <v>Afternoon</v>
      </c>
      <c r="G400" s="2" t="s">
        <v>62</v>
      </c>
      <c r="H400" s="6" t="str">
        <f>VLOOKUP(A400,Jogos!A:L,12,0)</f>
        <v>Open</v>
      </c>
      <c r="I400" s="6" t="str">
        <f>VLOOKUP(G400,'Estádios e Cidades'!A:B,2,0)</f>
        <v>Miami Gardens - Flórida</v>
      </c>
      <c r="J400" s="2" t="s">
        <v>873</v>
      </c>
      <c r="K400" s="2" t="str">
        <f>VLOOKUP(J400,Equipes!A:F,6,0)</f>
        <v>Temperate</v>
      </c>
      <c r="L400" s="2">
        <f>VLOOKUP(J400,Equipes!A:C,3,0)</f>
        <v>3</v>
      </c>
      <c r="M400" s="2" t="str">
        <f t="shared" si="4"/>
        <v>Semi-final</v>
      </c>
      <c r="N400" s="2" t="s">
        <v>874</v>
      </c>
      <c r="O400" s="2">
        <f>VLOOKUP(N400,Equipes!A:C,3,0)</f>
        <v>7</v>
      </c>
      <c r="P400" s="2" t="str">
        <f t="shared" si="5"/>
        <v>Quarter-final</v>
      </c>
      <c r="Q400" s="2">
        <f t="shared" si="6"/>
        <v>-4</v>
      </c>
      <c r="R400" s="2" t="str">
        <f>VLOOKUP(J400,Equipes!A:B,2,0)</f>
        <v>Real</v>
      </c>
      <c r="S400" s="6" t="s">
        <v>899</v>
      </c>
      <c r="T400" s="7">
        <v>17.0</v>
      </c>
      <c r="U400" s="7" t="s">
        <v>900</v>
      </c>
      <c r="V400" s="7" t="str">
        <f>VLOOKUP(U400,Jogadores!B:C,2,0)</f>
        <v>DF</v>
      </c>
      <c r="W400" s="8">
        <f>VLOOKUP(U400,Jogadores!B:D,3,0)</f>
        <v>34.09863014</v>
      </c>
      <c r="X400" s="7">
        <v>65.0</v>
      </c>
      <c r="Y400" s="7">
        <f t="shared" si="1244"/>
        <v>99</v>
      </c>
      <c r="Z400" s="7">
        <f>VLOOKUP(A400,Jogos!A:L,3,0)</f>
        <v>50</v>
      </c>
      <c r="AA400" s="7">
        <f t="shared" si="7"/>
        <v>0</v>
      </c>
      <c r="AB400" s="7">
        <f>VLOOKUP(A400,Jogos!A:L,4,0)</f>
        <v>54</v>
      </c>
      <c r="AC400" s="7">
        <f t="shared" si="657"/>
        <v>34</v>
      </c>
      <c r="AD400" s="7"/>
      <c r="AE400" s="7"/>
      <c r="AF400" s="7">
        <f t="shared" si="9"/>
        <v>34</v>
      </c>
      <c r="AG400" s="7">
        <v>3536.6</v>
      </c>
      <c r="AH400" s="7">
        <v>1285.3</v>
      </c>
      <c r="AI400" s="7">
        <v>1450.8</v>
      </c>
      <c r="AJ400" s="7">
        <v>438.9</v>
      </c>
      <c r="AK400" s="7">
        <v>266.7</v>
      </c>
      <c r="AL400" s="7">
        <v>94.9</v>
      </c>
      <c r="AM400" s="7">
        <v>35.0</v>
      </c>
      <c r="AN400" s="7">
        <v>20.0</v>
      </c>
      <c r="AO400" s="7">
        <v>28.4</v>
      </c>
      <c r="AP400" s="9">
        <f t="shared" ref="AP400:AR400" si="1248">AG400/$AF400</f>
        <v>104.0176471</v>
      </c>
      <c r="AQ400" s="9">
        <f t="shared" si="1248"/>
        <v>37.80294118</v>
      </c>
      <c r="AR400" s="9">
        <f t="shared" si="1248"/>
        <v>42.67058824</v>
      </c>
      <c r="AS400" s="9">
        <f t="shared" si="11"/>
        <v>80.47352941</v>
      </c>
      <c r="AT400" s="9">
        <f t="shared" ref="AT400:AV400" si="1249">AJ400/$AF400</f>
        <v>12.90882353</v>
      </c>
      <c r="AU400" s="9">
        <f t="shared" si="1249"/>
        <v>7.844117647</v>
      </c>
      <c r="AV400" s="9">
        <f t="shared" si="1249"/>
        <v>2.791176471</v>
      </c>
      <c r="AW400" s="9">
        <f t="shared" si="13"/>
        <v>10.63529412</v>
      </c>
      <c r="AX400" s="9">
        <f t="shared" ref="AX400:AY400" si="1250">AM400/$AF400</f>
        <v>1.029411765</v>
      </c>
      <c r="AY400" s="9">
        <f t="shared" si="1250"/>
        <v>0.5882352941</v>
      </c>
      <c r="AZ400" s="9">
        <f>VLOOKUP(A400,Jogos!A:BN,58,0)</f>
        <v>32.895</v>
      </c>
      <c r="BA400" s="9">
        <f>VLOOKUP(A400,Jogos!A:BN,59,0)</f>
        <v>21.005</v>
      </c>
      <c r="BB400" s="9">
        <f>VLOOKUP(A400,Jogos!A:BN,60,0)</f>
        <v>49</v>
      </c>
      <c r="BC400" s="9">
        <f>VLOOKUP(A400,Jogos!A:BN,61,0)</f>
        <v>35.455</v>
      </c>
      <c r="BD400" s="9">
        <f>VLOOKUP(A400,Jogos!A:BN,62,0)</f>
        <v>639.05</v>
      </c>
      <c r="BE400" s="9">
        <f>VLOOKUP(A400,Jogos!A:BN,63,0)</f>
        <v>1.775</v>
      </c>
      <c r="BF400" s="9">
        <f>VLOOKUP(A400,Jogos!A:BN,64,0)</f>
        <v>25.835</v>
      </c>
      <c r="BG400" s="9">
        <f>VLOOKUP(A400,Jogos!A:BN,65,0)</f>
        <v>47.545</v>
      </c>
      <c r="BH400" s="9">
        <f>VLOOKUP(A400,Jogos!A:BN,66,0)</f>
        <v>30.88</v>
      </c>
      <c r="BI400" s="9"/>
    </row>
    <row r="401" hidden="1">
      <c r="A401" s="2">
        <v>14.0</v>
      </c>
      <c r="B401" s="11" t="s">
        <v>872</v>
      </c>
      <c r="C401" s="2" t="s">
        <v>61</v>
      </c>
      <c r="D401" s="3">
        <v>45826.0</v>
      </c>
      <c r="E401" s="4">
        <v>0.625</v>
      </c>
      <c r="F401" s="5" t="str">
        <f>VLOOKUP(A401,Jogos!A:N,10,0)</f>
        <v>Afternoon</v>
      </c>
      <c r="G401" s="2" t="s">
        <v>62</v>
      </c>
      <c r="H401" s="6" t="str">
        <f>VLOOKUP(A401,Jogos!A:L,12,0)</f>
        <v>Open</v>
      </c>
      <c r="I401" s="6" t="str">
        <f>VLOOKUP(G401,'Estádios e Cidades'!A:B,2,0)</f>
        <v>Miami Gardens - Flórida</v>
      </c>
      <c r="J401" s="2" t="s">
        <v>873</v>
      </c>
      <c r="K401" s="2" t="str">
        <f>VLOOKUP(J401,Equipes!A:F,6,0)</f>
        <v>Temperate</v>
      </c>
      <c r="L401" s="2">
        <f>VLOOKUP(J401,Equipes!A:C,3,0)</f>
        <v>3</v>
      </c>
      <c r="M401" s="2" t="str">
        <f t="shared" si="4"/>
        <v>Semi-final</v>
      </c>
      <c r="N401" s="2" t="s">
        <v>874</v>
      </c>
      <c r="O401" s="2">
        <f>VLOOKUP(N401,Equipes!A:C,3,0)</f>
        <v>7</v>
      </c>
      <c r="P401" s="2" t="str">
        <f t="shared" si="5"/>
        <v>Quarter-final</v>
      </c>
      <c r="Q401" s="2">
        <f t="shared" si="6"/>
        <v>-4</v>
      </c>
      <c r="R401" s="2" t="str">
        <f>VLOOKUP(J401,Equipes!A:B,2,0)</f>
        <v>Real</v>
      </c>
      <c r="S401" s="6" t="s">
        <v>901</v>
      </c>
      <c r="T401" s="7">
        <v>21.0</v>
      </c>
      <c r="U401" s="7" t="s">
        <v>902</v>
      </c>
      <c r="V401" s="7" t="str">
        <f>VLOOKUP(U401,Jogadores!B:C,2,0)</f>
        <v>FW</v>
      </c>
      <c r="W401" s="8">
        <f>VLOOKUP(U401,Jogadores!B:D,3,0)</f>
        <v>26.00273973</v>
      </c>
      <c r="X401" s="7">
        <v>65.0</v>
      </c>
      <c r="Y401" s="7">
        <f t="shared" si="1244"/>
        <v>99</v>
      </c>
      <c r="Z401" s="7">
        <f>VLOOKUP(A401,Jogos!A:L,3,0)</f>
        <v>50</v>
      </c>
      <c r="AA401" s="7">
        <f t="shared" si="7"/>
        <v>0</v>
      </c>
      <c r="AB401" s="7">
        <f>VLOOKUP(A401,Jogos!A:L,4,0)</f>
        <v>54</v>
      </c>
      <c r="AC401" s="7">
        <f t="shared" si="657"/>
        <v>34</v>
      </c>
      <c r="AD401" s="7"/>
      <c r="AE401" s="7"/>
      <c r="AF401" s="7">
        <f t="shared" si="9"/>
        <v>34</v>
      </c>
      <c r="AG401" s="7">
        <v>3305.0</v>
      </c>
      <c r="AH401" s="7">
        <v>1371.3</v>
      </c>
      <c r="AI401" s="7">
        <v>1261.3</v>
      </c>
      <c r="AJ401" s="7">
        <v>496.1</v>
      </c>
      <c r="AK401" s="7">
        <v>153.4</v>
      </c>
      <c r="AL401" s="7">
        <v>22.9</v>
      </c>
      <c r="AM401" s="7">
        <v>37.0</v>
      </c>
      <c r="AN401" s="7">
        <v>13.0</v>
      </c>
      <c r="AO401" s="7">
        <v>27.7</v>
      </c>
      <c r="AP401" s="9">
        <f t="shared" ref="AP401:AR401" si="1251">AG401/$AF401</f>
        <v>97.20588235</v>
      </c>
      <c r="AQ401" s="9">
        <f t="shared" si="1251"/>
        <v>40.33235294</v>
      </c>
      <c r="AR401" s="9">
        <f t="shared" si="1251"/>
        <v>37.09705882</v>
      </c>
      <c r="AS401" s="9">
        <f t="shared" si="11"/>
        <v>77.42941176</v>
      </c>
      <c r="AT401" s="9">
        <f t="shared" ref="AT401:AV401" si="1252">AJ401/$AF401</f>
        <v>14.59117647</v>
      </c>
      <c r="AU401" s="9">
        <f t="shared" si="1252"/>
        <v>4.511764706</v>
      </c>
      <c r="AV401" s="9">
        <f t="shared" si="1252"/>
        <v>0.6735294118</v>
      </c>
      <c r="AW401" s="9">
        <f t="shared" si="13"/>
        <v>5.185294118</v>
      </c>
      <c r="AX401" s="9">
        <f t="shared" ref="AX401:AY401" si="1253">AM401/$AF401</f>
        <v>1.088235294</v>
      </c>
      <c r="AY401" s="9">
        <f t="shared" si="1253"/>
        <v>0.3823529412</v>
      </c>
      <c r="AZ401" s="9">
        <f>VLOOKUP(A401,Jogos!A:BN,58,0)</f>
        <v>32.895</v>
      </c>
      <c r="BA401" s="9">
        <f>VLOOKUP(A401,Jogos!A:BN,59,0)</f>
        <v>21.005</v>
      </c>
      <c r="BB401" s="9">
        <f>VLOOKUP(A401,Jogos!A:BN,60,0)</f>
        <v>49</v>
      </c>
      <c r="BC401" s="9">
        <f>VLOOKUP(A401,Jogos!A:BN,61,0)</f>
        <v>35.455</v>
      </c>
      <c r="BD401" s="9">
        <f>VLOOKUP(A401,Jogos!A:BN,62,0)</f>
        <v>639.05</v>
      </c>
      <c r="BE401" s="9">
        <f>VLOOKUP(A401,Jogos!A:BN,63,0)</f>
        <v>1.775</v>
      </c>
      <c r="BF401" s="9">
        <f>VLOOKUP(A401,Jogos!A:BN,64,0)</f>
        <v>25.835</v>
      </c>
      <c r="BG401" s="9">
        <f>VLOOKUP(A401,Jogos!A:BN,65,0)</f>
        <v>47.545</v>
      </c>
      <c r="BH401" s="9">
        <f>VLOOKUP(A401,Jogos!A:BN,66,0)</f>
        <v>30.88</v>
      </c>
      <c r="BI401" s="9"/>
    </row>
    <row r="402" hidden="1">
      <c r="A402" s="2">
        <v>14.0</v>
      </c>
      <c r="B402" s="11" t="s">
        <v>872</v>
      </c>
      <c r="C402" s="2" t="s">
        <v>61</v>
      </c>
      <c r="D402" s="3">
        <v>45826.0</v>
      </c>
      <c r="E402" s="4">
        <v>0.625</v>
      </c>
      <c r="F402" s="5" t="str">
        <f>VLOOKUP(A402,Jogos!A:N,10,0)</f>
        <v>Afternoon</v>
      </c>
      <c r="G402" s="2" t="s">
        <v>62</v>
      </c>
      <c r="H402" s="6" t="str">
        <f>VLOOKUP(A402,Jogos!A:L,12,0)</f>
        <v>Open</v>
      </c>
      <c r="I402" s="6" t="str">
        <f>VLOOKUP(G402,'Estádios e Cidades'!A:B,2,0)</f>
        <v>Miami Gardens - Flórida</v>
      </c>
      <c r="J402" s="2" t="s">
        <v>873</v>
      </c>
      <c r="K402" s="2" t="str">
        <f>VLOOKUP(J402,Equipes!A:F,6,0)</f>
        <v>Temperate</v>
      </c>
      <c r="L402" s="2">
        <f>VLOOKUP(J402,Equipes!A:C,3,0)</f>
        <v>3</v>
      </c>
      <c r="M402" s="2" t="str">
        <f t="shared" si="4"/>
        <v>Semi-final</v>
      </c>
      <c r="N402" s="2" t="s">
        <v>874</v>
      </c>
      <c r="O402" s="2">
        <f>VLOOKUP(N402,Equipes!A:C,3,0)</f>
        <v>7</v>
      </c>
      <c r="P402" s="2" t="str">
        <f t="shared" si="5"/>
        <v>Quarter-final</v>
      </c>
      <c r="Q402" s="2">
        <f t="shared" si="6"/>
        <v>-4</v>
      </c>
      <c r="R402" s="2" t="str">
        <f>VLOOKUP(J402,Equipes!A:B,2,0)</f>
        <v>Real</v>
      </c>
      <c r="S402" s="6" t="s">
        <v>903</v>
      </c>
      <c r="T402" s="7">
        <v>44.0</v>
      </c>
      <c r="U402" s="7" t="s">
        <v>904</v>
      </c>
      <c r="V402" s="7" t="str">
        <f>VLOOKUP(U402,Jogadores!B:C,2,0)</f>
        <v>MF</v>
      </c>
      <c r="W402" s="8">
        <f>VLOOKUP(U402,Jogadores!B:D,3,0)</f>
        <v>22.05753425</v>
      </c>
      <c r="X402" s="7">
        <v>80.0</v>
      </c>
      <c r="Y402" s="7">
        <f t="shared" si="1244"/>
        <v>99</v>
      </c>
      <c r="Z402" s="7">
        <f>VLOOKUP(A402,Jogos!A:L,3,0)</f>
        <v>50</v>
      </c>
      <c r="AA402" s="7">
        <f t="shared" si="7"/>
        <v>0</v>
      </c>
      <c r="AB402" s="7">
        <f>VLOOKUP(A402,Jogos!A:L,4,0)</f>
        <v>54</v>
      </c>
      <c r="AC402" s="7">
        <f t="shared" si="657"/>
        <v>19</v>
      </c>
      <c r="AD402" s="7"/>
      <c r="AE402" s="7"/>
      <c r="AF402" s="7">
        <f t="shared" si="9"/>
        <v>19</v>
      </c>
      <c r="AG402" s="7">
        <v>2052.1</v>
      </c>
      <c r="AH402" s="7">
        <v>853.9</v>
      </c>
      <c r="AI402" s="7">
        <v>662.6</v>
      </c>
      <c r="AJ402" s="7">
        <v>281.2</v>
      </c>
      <c r="AK402" s="7">
        <v>117.2</v>
      </c>
      <c r="AL402" s="7">
        <v>137.2</v>
      </c>
      <c r="AM402" s="7">
        <v>23.0</v>
      </c>
      <c r="AN402" s="7">
        <v>14.0</v>
      </c>
      <c r="AO402" s="7">
        <v>33.1</v>
      </c>
      <c r="AP402" s="9">
        <f t="shared" ref="AP402:AR402" si="1254">AG402/$AF402</f>
        <v>108.0052632</v>
      </c>
      <c r="AQ402" s="9">
        <f t="shared" si="1254"/>
        <v>44.94210526</v>
      </c>
      <c r="AR402" s="9">
        <f t="shared" si="1254"/>
        <v>34.87368421</v>
      </c>
      <c r="AS402" s="9">
        <f t="shared" si="11"/>
        <v>79.81578947</v>
      </c>
      <c r="AT402" s="9">
        <f t="shared" ref="AT402:AV402" si="1255">AJ402/$AF402</f>
        <v>14.8</v>
      </c>
      <c r="AU402" s="9">
        <f t="shared" si="1255"/>
        <v>6.168421053</v>
      </c>
      <c r="AV402" s="9">
        <f t="shared" si="1255"/>
        <v>7.221052632</v>
      </c>
      <c r="AW402" s="9">
        <f t="shared" si="13"/>
        <v>13.38947368</v>
      </c>
      <c r="AX402" s="9">
        <f t="shared" ref="AX402:AY402" si="1256">AM402/$AF402</f>
        <v>1.210526316</v>
      </c>
      <c r="AY402" s="9">
        <f t="shared" si="1256"/>
        <v>0.7368421053</v>
      </c>
      <c r="AZ402" s="9">
        <f>VLOOKUP(A402,Jogos!A:BN,58,0)</f>
        <v>32.895</v>
      </c>
      <c r="BA402" s="9">
        <f>VLOOKUP(A402,Jogos!A:BN,59,0)</f>
        <v>21.005</v>
      </c>
      <c r="BB402" s="9">
        <f>VLOOKUP(A402,Jogos!A:BN,60,0)</f>
        <v>49</v>
      </c>
      <c r="BC402" s="9">
        <f>VLOOKUP(A402,Jogos!A:BN,61,0)</f>
        <v>35.455</v>
      </c>
      <c r="BD402" s="9">
        <f>VLOOKUP(A402,Jogos!A:BN,62,0)</f>
        <v>639.05</v>
      </c>
      <c r="BE402" s="9">
        <f>VLOOKUP(A402,Jogos!A:BN,63,0)</f>
        <v>1.775</v>
      </c>
      <c r="BF402" s="9">
        <f>VLOOKUP(A402,Jogos!A:BN,64,0)</f>
        <v>25.835</v>
      </c>
      <c r="BG402" s="9">
        <f>VLOOKUP(A402,Jogos!A:BN,65,0)</f>
        <v>47.545</v>
      </c>
      <c r="BH402" s="9">
        <f>VLOOKUP(A402,Jogos!A:BN,66,0)</f>
        <v>30.88</v>
      </c>
      <c r="BI402" s="9"/>
    </row>
    <row r="403" hidden="1">
      <c r="A403" s="10">
        <v>14.0</v>
      </c>
      <c r="B403" s="11" t="s">
        <v>872</v>
      </c>
      <c r="C403" s="2" t="s">
        <v>61</v>
      </c>
      <c r="D403" s="12">
        <v>45826.0</v>
      </c>
      <c r="E403" s="13">
        <v>0.625</v>
      </c>
      <c r="F403" s="5" t="str">
        <f>VLOOKUP(A403,Jogos!A:N,10,0)</f>
        <v>Afternoon</v>
      </c>
      <c r="G403" s="11" t="s">
        <v>62</v>
      </c>
      <c r="H403" s="6" t="str">
        <f>VLOOKUP(A403,Jogos!A:L,12,0)</f>
        <v>Open</v>
      </c>
      <c r="I403" s="6" t="str">
        <f>VLOOKUP(G403,'Estádios e Cidades'!A:B,2,0)</f>
        <v>Miami Gardens - Flórida</v>
      </c>
      <c r="J403" s="11" t="s">
        <v>874</v>
      </c>
      <c r="K403" s="2" t="str">
        <f>VLOOKUP(J403,Equipes!A:F,6,0)</f>
        <v>Tropical</v>
      </c>
      <c r="L403" s="2">
        <f>VLOOKUP(J403,Equipes!A:C,3,0)</f>
        <v>7</v>
      </c>
      <c r="M403" s="2" t="str">
        <f t="shared" si="4"/>
        <v>Quarter-final</v>
      </c>
      <c r="N403" s="11" t="s">
        <v>873</v>
      </c>
      <c r="O403" s="2">
        <f>VLOOKUP(N403,Equipes!A:C,3,0)</f>
        <v>3</v>
      </c>
      <c r="P403" s="2" t="str">
        <f t="shared" si="5"/>
        <v>Semi-final</v>
      </c>
      <c r="Q403" s="2">
        <f t="shared" si="6"/>
        <v>4</v>
      </c>
      <c r="R403" s="2" t="str">
        <f>VLOOKUP(J403,Equipes!A:B,2,0)</f>
        <v>AlHilal</v>
      </c>
      <c r="S403" s="14" t="s">
        <v>905</v>
      </c>
      <c r="T403" s="7">
        <v>3.0</v>
      </c>
      <c r="U403" s="7" t="s">
        <v>906</v>
      </c>
      <c r="V403" s="7" t="str">
        <f>VLOOKUP(U403,Jogadores!B:C,2,0)</f>
        <v>DF</v>
      </c>
      <c r="W403" s="8">
        <f>VLOOKUP(U403,Jogadores!B:D,3,0)</f>
        <v>34.12876712</v>
      </c>
      <c r="X403" s="7">
        <v>0.0</v>
      </c>
      <c r="Y403" s="7">
        <f t="shared" si="1244"/>
        <v>99</v>
      </c>
      <c r="Z403" s="7">
        <f>VLOOKUP(A403,Jogos!A:L,3,0)</f>
        <v>50</v>
      </c>
      <c r="AA403" s="7">
        <f t="shared" si="7"/>
        <v>50</v>
      </c>
      <c r="AB403" s="7">
        <f>VLOOKUP(A403,Jogos!A:L,4,0)</f>
        <v>54</v>
      </c>
      <c r="AC403" s="7">
        <f t="shared" si="657"/>
        <v>54</v>
      </c>
      <c r="AD403" s="7"/>
      <c r="AE403" s="7"/>
      <c r="AF403" s="7">
        <f t="shared" si="9"/>
        <v>104</v>
      </c>
      <c r="AG403" s="7">
        <v>8429.9</v>
      </c>
      <c r="AH403" s="7">
        <v>4417.7</v>
      </c>
      <c r="AI403" s="7">
        <v>2902.4</v>
      </c>
      <c r="AJ403" s="7">
        <v>772.9</v>
      </c>
      <c r="AK403" s="7">
        <v>264.5</v>
      </c>
      <c r="AL403" s="7">
        <v>72.5</v>
      </c>
      <c r="AM403" s="7">
        <v>65.0</v>
      </c>
      <c r="AN403" s="7">
        <v>18.0</v>
      </c>
      <c r="AO403" s="7">
        <v>30.5</v>
      </c>
      <c r="AP403" s="9">
        <f t="shared" ref="AP403:AR403" si="1257">AG403/$AF403</f>
        <v>81.05673077</v>
      </c>
      <c r="AQ403" s="9">
        <f t="shared" si="1257"/>
        <v>42.47788462</v>
      </c>
      <c r="AR403" s="9">
        <f t="shared" si="1257"/>
        <v>27.90769231</v>
      </c>
      <c r="AS403" s="9">
        <f t="shared" si="11"/>
        <v>70.38557692</v>
      </c>
      <c r="AT403" s="9">
        <f t="shared" ref="AT403:AV403" si="1258">AJ403/$AF403</f>
        <v>7.431730769</v>
      </c>
      <c r="AU403" s="9">
        <f t="shared" si="1258"/>
        <v>2.543269231</v>
      </c>
      <c r="AV403" s="9">
        <f t="shared" si="1258"/>
        <v>0.6971153846</v>
      </c>
      <c r="AW403" s="9">
        <f t="shared" si="13"/>
        <v>3.240384615</v>
      </c>
      <c r="AX403" s="9">
        <f t="shared" ref="AX403:AY403" si="1259">AM403/$AF403</f>
        <v>0.625</v>
      </c>
      <c r="AY403" s="9">
        <f t="shared" si="1259"/>
        <v>0.1730769231</v>
      </c>
      <c r="AZ403" s="9">
        <f>VLOOKUP(A403,Jogos!A:BN,58,0)</f>
        <v>32.895</v>
      </c>
      <c r="BA403" s="9">
        <f>VLOOKUP(A403,Jogos!A:BN,59,0)</f>
        <v>21.005</v>
      </c>
      <c r="BB403" s="9">
        <f>VLOOKUP(A403,Jogos!A:BN,60,0)</f>
        <v>49</v>
      </c>
      <c r="BC403" s="9">
        <f>VLOOKUP(A403,Jogos!A:BN,61,0)</f>
        <v>35.455</v>
      </c>
      <c r="BD403" s="9">
        <f>VLOOKUP(A403,Jogos!A:BN,62,0)</f>
        <v>639.05</v>
      </c>
      <c r="BE403" s="9">
        <f>VLOOKUP(A403,Jogos!A:BN,63,0)</f>
        <v>1.775</v>
      </c>
      <c r="BF403" s="9">
        <f>VLOOKUP(A403,Jogos!A:BN,64,0)</f>
        <v>25.835</v>
      </c>
      <c r="BG403" s="9">
        <f>VLOOKUP(A403,Jogos!A:BN,65,0)</f>
        <v>47.545</v>
      </c>
      <c r="BH403" s="9">
        <f>VLOOKUP(A403,Jogos!A:BN,66,0)</f>
        <v>30.88</v>
      </c>
      <c r="BI403" s="9"/>
    </row>
    <row r="404" hidden="1">
      <c r="A404" s="10">
        <v>14.0</v>
      </c>
      <c r="B404" s="11" t="s">
        <v>872</v>
      </c>
      <c r="C404" s="2" t="s">
        <v>61</v>
      </c>
      <c r="D404" s="12">
        <v>45826.0</v>
      </c>
      <c r="E404" s="13">
        <v>0.625</v>
      </c>
      <c r="F404" s="5" t="str">
        <f>VLOOKUP(A404,Jogos!A:N,10,0)</f>
        <v>Afternoon</v>
      </c>
      <c r="G404" s="11" t="s">
        <v>62</v>
      </c>
      <c r="H404" s="6" t="str">
        <f>VLOOKUP(A404,Jogos!A:L,12,0)</f>
        <v>Open</v>
      </c>
      <c r="I404" s="6" t="str">
        <f>VLOOKUP(G404,'Estádios e Cidades'!A:B,2,0)</f>
        <v>Miami Gardens - Flórida</v>
      </c>
      <c r="J404" s="11" t="s">
        <v>874</v>
      </c>
      <c r="K404" s="2" t="str">
        <f>VLOOKUP(J404,Equipes!A:F,6,0)</f>
        <v>Tropical</v>
      </c>
      <c r="L404" s="2">
        <f>VLOOKUP(J404,Equipes!A:C,3,0)</f>
        <v>7</v>
      </c>
      <c r="M404" s="2" t="str">
        <f t="shared" si="4"/>
        <v>Quarter-final</v>
      </c>
      <c r="N404" s="11" t="s">
        <v>873</v>
      </c>
      <c r="O404" s="2">
        <f>VLOOKUP(N404,Equipes!A:C,3,0)</f>
        <v>3</v>
      </c>
      <c r="P404" s="2" t="str">
        <f t="shared" si="5"/>
        <v>Semi-final</v>
      </c>
      <c r="Q404" s="2">
        <f t="shared" si="6"/>
        <v>4</v>
      </c>
      <c r="R404" s="2" t="str">
        <f>VLOOKUP(J404,Equipes!A:B,2,0)</f>
        <v>AlHilal</v>
      </c>
      <c r="S404" s="6" t="s">
        <v>907</v>
      </c>
      <c r="T404" s="7">
        <v>6.0</v>
      </c>
      <c r="U404" s="7" t="s">
        <v>908</v>
      </c>
      <c r="V404" s="7" t="str">
        <f>VLOOKUP(U404,Jogadores!B:C,2,0)</f>
        <v>MF</v>
      </c>
      <c r="W404" s="8">
        <f>VLOOKUP(U404,Jogadores!B:D,3,0)</f>
        <v>27.32328767</v>
      </c>
      <c r="X404" s="7">
        <v>0.0</v>
      </c>
      <c r="Y404" s="7">
        <v>83.0</v>
      </c>
      <c r="Z404" s="7">
        <f>VLOOKUP(A404,Jogos!A:L,3,0)</f>
        <v>50</v>
      </c>
      <c r="AA404" s="7">
        <f t="shared" si="7"/>
        <v>50</v>
      </c>
      <c r="AB404" s="7">
        <f>VLOOKUP(A404,Jogos!A:L,4,0)</f>
        <v>54</v>
      </c>
      <c r="AC404" s="7">
        <f t="shared" si="657"/>
        <v>38</v>
      </c>
      <c r="AD404" s="7"/>
      <c r="AE404" s="7"/>
      <c r="AF404" s="7">
        <f t="shared" si="9"/>
        <v>88</v>
      </c>
      <c r="AG404" s="7">
        <v>9119.0</v>
      </c>
      <c r="AH404" s="7">
        <v>3665.3</v>
      </c>
      <c r="AI404" s="7">
        <v>3686.6</v>
      </c>
      <c r="AJ404" s="7">
        <v>1055.6</v>
      </c>
      <c r="AK404" s="7">
        <v>468.0</v>
      </c>
      <c r="AL404" s="7">
        <v>243.4</v>
      </c>
      <c r="AM404" s="7">
        <v>105.0</v>
      </c>
      <c r="AN404" s="7">
        <v>38.0</v>
      </c>
      <c r="AO404" s="7">
        <v>32.0</v>
      </c>
      <c r="AP404" s="9">
        <f t="shared" ref="AP404:AR404" si="1260">AG404/$AF404</f>
        <v>103.625</v>
      </c>
      <c r="AQ404" s="9">
        <f t="shared" si="1260"/>
        <v>41.65113636</v>
      </c>
      <c r="AR404" s="9">
        <f t="shared" si="1260"/>
        <v>41.89318182</v>
      </c>
      <c r="AS404" s="9">
        <f t="shared" si="11"/>
        <v>83.54431818</v>
      </c>
      <c r="AT404" s="9">
        <f t="shared" ref="AT404:AV404" si="1261">AJ404/$AF404</f>
        <v>11.99545455</v>
      </c>
      <c r="AU404" s="9">
        <f t="shared" si="1261"/>
        <v>5.318181818</v>
      </c>
      <c r="AV404" s="9">
        <f t="shared" si="1261"/>
        <v>2.765909091</v>
      </c>
      <c r="AW404" s="9">
        <f t="shared" si="13"/>
        <v>8.084090909</v>
      </c>
      <c r="AX404" s="9">
        <f t="shared" ref="AX404:AY404" si="1262">AM404/$AF404</f>
        <v>1.193181818</v>
      </c>
      <c r="AY404" s="9">
        <f t="shared" si="1262"/>
        <v>0.4318181818</v>
      </c>
      <c r="AZ404" s="9">
        <f>VLOOKUP(A404,Jogos!A:BN,58,0)</f>
        <v>32.895</v>
      </c>
      <c r="BA404" s="9">
        <f>VLOOKUP(A404,Jogos!A:BN,59,0)</f>
        <v>21.005</v>
      </c>
      <c r="BB404" s="9">
        <f>VLOOKUP(A404,Jogos!A:BN,60,0)</f>
        <v>49</v>
      </c>
      <c r="BC404" s="9">
        <f>VLOOKUP(A404,Jogos!A:BN,61,0)</f>
        <v>35.455</v>
      </c>
      <c r="BD404" s="9">
        <f>VLOOKUP(A404,Jogos!A:BN,62,0)</f>
        <v>639.05</v>
      </c>
      <c r="BE404" s="9">
        <f>VLOOKUP(A404,Jogos!A:BN,63,0)</f>
        <v>1.775</v>
      </c>
      <c r="BF404" s="9">
        <f>VLOOKUP(A404,Jogos!A:BN,64,0)</f>
        <v>25.835</v>
      </c>
      <c r="BG404" s="9">
        <f>VLOOKUP(A404,Jogos!A:BN,65,0)</f>
        <v>47.545</v>
      </c>
      <c r="BH404" s="9">
        <f>VLOOKUP(A404,Jogos!A:BN,66,0)</f>
        <v>30.88</v>
      </c>
      <c r="BI404" s="9"/>
    </row>
    <row r="405" hidden="1">
      <c r="A405" s="10">
        <v>14.0</v>
      </c>
      <c r="B405" s="11" t="s">
        <v>872</v>
      </c>
      <c r="C405" s="2" t="s">
        <v>61</v>
      </c>
      <c r="D405" s="12">
        <v>45826.0</v>
      </c>
      <c r="E405" s="13">
        <v>0.625</v>
      </c>
      <c r="F405" s="5" t="str">
        <f>VLOOKUP(A405,Jogos!A:N,10,0)</f>
        <v>Afternoon</v>
      </c>
      <c r="G405" s="11" t="s">
        <v>62</v>
      </c>
      <c r="H405" s="6" t="str">
        <f>VLOOKUP(A405,Jogos!A:L,12,0)</f>
        <v>Open</v>
      </c>
      <c r="I405" s="6" t="str">
        <f>VLOOKUP(G405,'Estádios e Cidades'!A:B,2,0)</f>
        <v>Miami Gardens - Flórida</v>
      </c>
      <c r="J405" s="11" t="s">
        <v>874</v>
      </c>
      <c r="K405" s="2" t="str">
        <f>VLOOKUP(J405,Equipes!A:F,6,0)</f>
        <v>Tropical</v>
      </c>
      <c r="L405" s="2">
        <f>VLOOKUP(J405,Equipes!A:C,3,0)</f>
        <v>7</v>
      </c>
      <c r="M405" s="2" t="str">
        <f t="shared" si="4"/>
        <v>Quarter-final</v>
      </c>
      <c r="N405" s="11" t="s">
        <v>873</v>
      </c>
      <c r="O405" s="2">
        <f>VLOOKUP(N405,Equipes!A:C,3,0)</f>
        <v>3</v>
      </c>
      <c r="P405" s="2" t="str">
        <f t="shared" si="5"/>
        <v>Semi-final</v>
      </c>
      <c r="Q405" s="2">
        <f t="shared" si="6"/>
        <v>4</v>
      </c>
      <c r="R405" s="2" t="str">
        <f>VLOOKUP(J405,Equipes!A:B,2,0)</f>
        <v>AlHilal</v>
      </c>
      <c r="S405" s="6" t="s">
        <v>909</v>
      </c>
      <c r="T405" s="7">
        <v>8.0</v>
      </c>
      <c r="U405" s="7" t="s">
        <v>910</v>
      </c>
      <c r="V405" s="7" t="str">
        <f>VLOOKUP(U405,Jogadores!B:C,2,0)</f>
        <v>MF</v>
      </c>
      <c r="W405" s="8">
        <f>VLOOKUP(U405,Jogadores!B:D,3,0)</f>
        <v>28.39452055</v>
      </c>
      <c r="X405" s="7">
        <v>0.0</v>
      </c>
      <c r="Y405" s="7">
        <f>45+AB405</f>
        <v>99</v>
      </c>
      <c r="Z405" s="7">
        <f>VLOOKUP(A405,Jogos!A:L,3,0)</f>
        <v>50</v>
      </c>
      <c r="AA405" s="7">
        <f t="shared" si="7"/>
        <v>50</v>
      </c>
      <c r="AB405" s="7">
        <f>VLOOKUP(A405,Jogos!A:L,4,0)</f>
        <v>54</v>
      </c>
      <c r="AC405" s="7">
        <f t="shared" si="657"/>
        <v>54</v>
      </c>
      <c r="AD405" s="7"/>
      <c r="AE405" s="7"/>
      <c r="AF405" s="7">
        <f t="shared" si="9"/>
        <v>104</v>
      </c>
      <c r="AG405" s="7">
        <v>11802.8</v>
      </c>
      <c r="AH405" s="7">
        <v>4053.4</v>
      </c>
      <c r="AI405" s="7">
        <v>5494.2</v>
      </c>
      <c r="AJ405" s="7">
        <v>1599.2</v>
      </c>
      <c r="AK405" s="7">
        <v>501.9</v>
      </c>
      <c r="AL405" s="7">
        <v>154.1</v>
      </c>
      <c r="AM405" s="7">
        <v>143.0</v>
      </c>
      <c r="AN405" s="7">
        <v>38.0</v>
      </c>
      <c r="AO405" s="7">
        <v>29.8</v>
      </c>
      <c r="AP405" s="9">
        <f t="shared" ref="AP405:AR405" si="1263">AG405/$AF405</f>
        <v>113.4884615</v>
      </c>
      <c r="AQ405" s="9">
        <f t="shared" si="1263"/>
        <v>38.975</v>
      </c>
      <c r="AR405" s="9">
        <f t="shared" si="1263"/>
        <v>52.82884615</v>
      </c>
      <c r="AS405" s="9">
        <f t="shared" si="11"/>
        <v>91.80384615</v>
      </c>
      <c r="AT405" s="9">
        <f t="shared" ref="AT405:AV405" si="1264">AJ405/$AF405</f>
        <v>15.37692308</v>
      </c>
      <c r="AU405" s="9">
        <f t="shared" si="1264"/>
        <v>4.825961538</v>
      </c>
      <c r="AV405" s="9">
        <f t="shared" si="1264"/>
        <v>1.481730769</v>
      </c>
      <c r="AW405" s="9">
        <f t="shared" si="13"/>
        <v>6.307692308</v>
      </c>
      <c r="AX405" s="9">
        <f t="shared" ref="AX405:AY405" si="1265">AM405/$AF405</f>
        <v>1.375</v>
      </c>
      <c r="AY405" s="9">
        <f t="shared" si="1265"/>
        <v>0.3653846154</v>
      </c>
      <c r="AZ405" s="9">
        <f>VLOOKUP(A405,Jogos!A:BN,58,0)</f>
        <v>32.895</v>
      </c>
      <c r="BA405" s="9">
        <f>VLOOKUP(A405,Jogos!A:BN,59,0)</f>
        <v>21.005</v>
      </c>
      <c r="BB405" s="9">
        <f>VLOOKUP(A405,Jogos!A:BN,60,0)</f>
        <v>49</v>
      </c>
      <c r="BC405" s="9">
        <f>VLOOKUP(A405,Jogos!A:BN,61,0)</f>
        <v>35.455</v>
      </c>
      <c r="BD405" s="9">
        <f>VLOOKUP(A405,Jogos!A:BN,62,0)</f>
        <v>639.05</v>
      </c>
      <c r="BE405" s="9">
        <f>VLOOKUP(A405,Jogos!A:BN,63,0)</f>
        <v>1.775</v>
      </c>
      <c r="BF405" s="9">
        <f>VLOOKUP(A405,Jogos!A:BN,64,0)</f>
        <v>25.835</v>
      </c>
      <c r="BG405" s="9">
        <f>VLOOKUP(A405,Jogos!A:BN,65,0)</f>
        <v>47.545</v>
      </c>
      <c r="BH405" s="9">
        <f>VLOOKUP(A405,Jogos!A:BN,66,0)</f>
        <v>30.88</v>
      </c>
      <c r="BI405" s="9"/>
    </row>
    <row r="406" hidden="1">
      <c r="A406" s="10">
        <v>14.0</v>
      </c>
      <c r="B406" s="11" t="s">
        <v>872</v>
      </c>
      <c r="C406" s="2" t="s">
        <v>61</v>
      </c>
      <c r="D406" s="12">
        <v>45826.0</v>
      </c>
      <c r="E406" s="13">
        <v>0.625</v>
      </c>
      <c r="F406" s="5" t="str">
        <f>VLOOKUP(A406,Jogos!A:N,10,0)</f>
        <v>Afternoon</v>
      </c>
      <c r="G406" s="11" t="s">
        <v>62</v>
      </c>
      <c r="H406" s="6" t="str">
        <f>VLOOKUP(A406,Jogos!A:L,12,0)</f>
        <v>Open</v>
      </c>
      <c r="I406" s="6" t="str">
        <f>VLOOKUP(G406,'Estádios e Cidades'!A:B,2,0)</f>
        <v>Miami Gardens - Flórida</v>
      </c>
      <c r="J406" s="11" t="s">
        <v>874</v>
      </c>
      <c r="K406" s="2" t="str">
        <f>VLOOKUP(J406,Equipes!A:F,6,0)</f>
        <v>Tropical</v>
      </c>
      <c r="L406" s="2">
        <f>VLOOKUP(J406,Equipes!A:C,3,0)</f>
        <v>7</v>
      </c>
      <c r="M406" s="2" t="str">
        <f t="shared" si="4"/>
        <v>Quarter-final</v>
      </c>
      <c r="N406" s="11" t="s">
        <v>873</v>
      </c>
      <c r="O406" s="2">
        <f>VLOOKUP(N406,Equipes!A:C,3,0)</f>
        <v>3</v>
      </c>
      <c r="P406" s="2" t="str">
        <f t="shared" si="5"/>
        <v>Semi-final</v>
      </c>
      <c r="Q406" s="2">
        <f t="shared" si="6"/>
        <v>4</v>
      </c>
      <c r="R406" s="2" t="str">
        <f>VLOOKUP(J406,Equipes!A:B,2,0)</f>
        <v>AlHilal</v>
      </c>
      <c r="S406" s="6" t="s">
        <v>911</v>
      </c>
      <c r="T406" s="7">
        <v>11.0</v>
      </c>
      <c r="U406" s="7" t="s">
        <v>912</v>
      </c>
      <c r="V406" s="7" t="str">
        <f>VLOOKUP(U406,Jogadores!B:C,2,0)</f>
        <v>FW</v>
      </c>
      <c r="W406" s="8">
        <f>VLOOKUP(U406,Jogadores!B:D,3,0)</f>
        <v>22.25479452</v>
      </c>
      <c r="X406" s="7">
        <v>0.0</v>
      </c>
      <c r="Y406" s="7">
        <v>83.0</v>
      </c>
      <c r="Z406" s="7">
        <f>VLOOKUP(A406,Jogos!A:L,3,0)</f>
        <v>50</v>
      </c>
      <c r="AA406" s="7">
        <f t="shared" si="7"/>
        <v>50</v>
      </c>
      <c r="AB406" s="7">
        <f>VLOOKUP(A406,Jogos!A:L,4,0)</f>
        <v>54</v>
      </c>
      <c r="AC406" s="7">
        <f t="shared" si="657"/>
        <v>38</v>
      </c>
      <c r="AD406" s="7"/>
      <c r="AE406" s="7"/>
      <c r="AF406" s="7">
        <f t="shared" si="9"/>
        <v>88</v>
      </c>
      <c r="AG406" s="7">
        <v>8473.8</v>
      </c>
      <c r="AH406" s="7">
        <v>3616.2</v>
      </c>
      <c r="AI406" s="7">
        <v>3693.9</v>
      </c>
      <c r="AJ406" s="7">
        <v>743.5</v>
      </c>
      <c r="AK406" s="7">
        <v>288.0</v>
      </c>
      <c r="AL406" s="7">
        <v>132.2</v>
      </c>
      <c r="AM406" s="7">
        <v>68.0</v>
      </c>
      <c r="AN406" s="7">
        <v>27.0</v>
      </c>
      <c r="AO406" s="7">
        <v>30.8</v>
      </c>
      <c r="AP406" s="9">
        <f t="shared" ref="AP406:AR406" si="1266">AG406/$AF406</f>
        <v>96.29318182</v>
      </c>
      <c r="AQ406" s="9">
        <f t="shared" si="1266"/>
        <v>41.09318182</v>
      </c>
      <c r="AR406" s="9">
        <f t="shared" si="1266"/>
        <v>41.97613636</v>
      </c>
      <c r="AS406" s="9">
        <f t="shared" si="11"/>
        <v>83.06931818</v>
      </c>
      <c r="AT406" s="9">
        <f t="shared" ref="AT406:AV406" si="1267">AJ406/$AF406</f>
        <v>8.448863636</v>
      </c>
      <c r="AU406" s="9">
        <f t="shared" si="1267"/>
        <v>3.272727273</v>
      </c>
      <c r="AV406" s="9">
        <f t="shared" si="1267"/>
        <v>1.502272727</v>
      </c>
      <c r="AW406" s="9">
        <f t="shared" si="13"/>
        <v>4.775</v>
      </c>
      <c r="AX406" s="9">
        <f t="shared" ref="AX406:AY406" si="1268">AM406/$AF406</f>
        <v>0.7727272727</v>
      </c>
      <c r="AY406" s="9">
        <f t="shared" si="1268"/>
        <v>0.3068181818</v>
      </c>
      <c r="AZ406" s="9">
        <f>VLOOKUP(A406,Jogos!A:BN,58,0)</f>
        <v>32.895</v>
      </c>
      <c r="BA406" s="9">
        <f>VLOOKUP(A406,Jogos!A:BN,59,0)</f>
        <v>21.005</v>
      </c>
      <c r="BB406" s="9">
        <f>VLOOKUP(A406,Jogos!A:BN,60,0)</f>
        <v>49</v>
      </c>
      <c r="BC406" s="9">
        <f>VLOOKUP(A406,Jogos!A:BN,61,0)</f>
        <v>35.455</v>
      </c>
      <c r="BD406" s="9">
        <f>VLOOKUP(A406,Jogos!A:BN,62,0)</f>
        <v>639.05</v>
      </c>
      <c r="BE406" s="9">
        <f>VLOOKUP(A406,Jogos!A:BN,63,0)</f>
        <v>1.775</v>
      </c>
      <c r="BF406" s="9">
        <f>VLOOKUP(A406,Jogos!A:BN,64,0)</f>
        <v>25.835</v>
      </c>
      <c r="BG406" s="9">
        <f>VLOOKUP(A406,Jogos!A:BN,65,0)</f>
        <v>47.545</v>
      </c>
      <c r="BH406" s="9">
        <f>VLOOKUP(A406,Jogos!A:BN,66,0)</f>
        <v>30.88</v>
      </c>
      <c r="BI406" s="9"/>
    </row>
    <row r="407" hidden="1">
      <c r="A407" s="10">
        <v>14.0</v>
      </c>
      <c r="B407" s="11" t="s">
        <v>872</v>
      </c>
      <c r="C407" s="2" t="s">
        <v>61</v>
      </c>
      <c r="D407" s="12">
        <v>45826.0</v>
      </c>
      <c r="E407" s="13">
        <v>0.625</v>
      </c>
      <c r="F407" s="5" t="str">
        <f>VLOOKUP(A407,Jogos!A:N,10,0)</f>
        <v>Afternoon</v>
      </c>
      <c r="G407" s="11" t="s">
        <v>62</v>
      </c>
      <c r="H407" s="6" t="str">
        <f>VLOOKUP(A407,Jogos!A:L,12,0)</f>
        <v>Open</v>
      </c>
      <c r="I407" s="6" t="str">
        <f>VLOOKUP(G407,'Estádios e Cidades'!A:B,2,0)</f>
        <v>Miami Gardens - Flórida</v>
      </c>
      <c r="J407" s="11" t="s">
        <v>874</v>
      </c>
      <c r="K407" s="2" t="str">
        <f>VLOOKUP(J407,Equipes!A:F,6,0)</f>
        <v>Tropical</v>
      </c>
      <c r="L407" s="2">
        <f>VLOOKUP(J407,Equipes!A:C,3,0)</f>
        <v>7</v>
      </c>
      <c r="M407" s="2" t="str">
        <f t="shared" si="4"/>
        <v>Quarter-final</v>
      </c>
      <c r="N407" s="11" t="s">
        <v>873</v>
      </c>
      <c r="O407" s="2">
        <f>VLOOKUP(N407,Equipes!A:C,3,0)</f>
        <v>3</v>
      </c>
      <c r="P407" s="2" t="str">
        <f t="shared" si="5"/>
        <v>Semi-final</v>
      </c>
      <c r="Q407" s="2">
        <f t="shared" si="6"/>
        <v>4</v>
      </c>
      <c r="R407" s="2" t="str">
        <f>VLOOKUP(J407,Equipes!A:B,2,0)</f>
        <v>AlHilal</v>
      </c>
      <c r="S407" s="6" t="s">
        <v>913</v>
      </c>
      <c r="T407" s="7">
        <v>16.0</v>
      </c>
      <c r="U407" s="7" t="s">
        <v>914</v>
      </c>
      <c r="V407" s="7" t="str">
        <f>VLOOKUP(U407,Jogadores!B:C,2,0)</f>
        <v>MF</v>
      </c>
      <c r="W407" s="8">
        <f>VLOOKUP(U407,Jogadores!B:D,3,0)</f>
        <v>26.62465753</v>
      </c>
      <c r="X407" s="7">
        <v>0.0</v>
      </c>
      <c r="Y407" s="7">
        <v>76.0</v>
      </c>
      <c r="Z407" s="7">
        <f>VLOOKUP(A407,Jogos!A:L,3,0)</f>
        <v>50</v>
      </c>
      <c r="AA407" s="7">
        <f t="shared" si="7"/>
        <v>50</v>
      </c>
      <c r="AB407" s="7">
        <f>VLOOKUP(A407,Jogos!A:L,4,0)</f>
        <v>54</v>
      </c>
      <c r="AC407" s="7">
        <f t="shared" si="657"/>
        <v>31</v>
      </c>
      <c r="AD407" s="7"/>
      <c r="AE407" s="7"/>
      <c r="AF407" s="7">
        <f t="shared" si="9"/>
        <v>81</v>
      </c>
      <c r="AG407" s="7">
        <v>9516.5</v>
      </c>
      <c r="AH407" s="7">
        <v>2889.5</v>
      </c>
      <c r="AI407" s="7">
        <v>3981.9</v>
      </c>
      <c r="AJ407" s="7">
        <v>1925.0</v>
      </c>
      <c r="AK407" s="7">
        <v>594.6</v>
      </c>
      <c r="AL407" s="7">
        <v>125.6</v>
      </c>
      <c r="AM407" s="7">
        <v>174.0</v>
      </c>
      <c r="AN407" s="7">
        <v>46.0</v>
      </c>
      <c r="AO407" s="7">
        <v>30.1</v>
      </c>
      <c r="AP407" s="9">
        <f t="shared" ref="AP407:AR407" si="1269">AG407/$AF407</f>
        <v>117.4876543</v>
      </c>
      <c r="AQ407" s="9">
        <f t="shared" si="1269"/>
        <v>35.67283951</v>
      </c>
      <c r="AR407" s="9">
        <f t="shared" si="1269"/>
        <v>49.15925926</v>
      </c>
      <c r="AS407" s="9">
        <f t="shared" si="11"/>
        <v>84.83209877</v>
      </c>
      <c r="AT407" s="9">
        <f t="shared" ref="AT407:AV407" si="1270">AJ407/$AF407</f>
        <v>23.7654321</v>
      </c>
      <c r="AU407" s="9">
        <f t="shared" si="1270"/>
        <v>7.340740741</v>
      </c>
      <c r="AV407" s="9">
        <f t="shared" si="1270"/>
        <v>1.550617284</v>
      </c>
      <c r="AW407" s="9">
        <f t="shared" si="13"/>
        <v>8.891358025</v>
      </c>
      <c r="AX407" s="9">
        <f t="shared" ref="AX407:AY407" si="1271">AM407/$AF407</f>
        <v>2.148148148</v>
      </c>
      <c r="AY407" s="9">
        <f t="shared" si="1271"/>
        <v>0.5679012346</v>
      </c>
      <c r="AZ407" s="9">
        <f>VLOOKUP(A407,Jogos!A:BN,58,0)</f>
        <v>32.895</v>
      </c>
      <c r="BA407" s="9">
        <f>VLOOKUP(A407,Jogos!A:BN,59,0)</f>
        <v>21.005</v>
      </c>
      <c r="BB407" s="9">
        <f>VLOOKUP(A407,Jogos!A:BN,60,0)</f>
        <v>49</v>
      </c>
      <c r="BC407" s="9">
        <f>VLOOKUP(A407,Jogos!A:BN,61,0)</f>
        <v>35.455</v>
      </c>
      <c r="BD407" s="9">
        <f>VLOOKUP(A407,Jogos!A:BN,62,0)</f>
        <v>639.05</v>
      </c>
      <c r="BE407" s="9">
        <f>VLOOKUP(A407,Jogos!A:BN,63,0)</f>
        <v>1.775</v>
      </c>
      <c r="BF407" s="9">
        <f>VLOOKUP(A407,Jogos!A:BN,64,0)</f>
        <v>25.835</v>
      </c>
      <c r="BG407" s="9">
        <f>VLOOKUP(A407,Jogos!A:BN,65,0)</f>
        <v>47.545</v>
      </c>
      <c r="BH407" s="9">
        <f>VLOOKUP(A407,Jogos!A:BN,66,0)</f>
        <v>30.88</v>
      </c>
      <c r="BI407" s="9"/>
    </row>
    <row r="408" hidden="1">
      <c r="A408" s="10">
        <v>14.0</v>
      </c>
      <c r="B408" s="11" t="s">
        <v>872</v>
      </c>
      <c r="C408" s="2" t="s">
        <v>61</v>
      </c>
      <c r="D408" s="12">
        <v>45826.0</v>
      </c>
      <c r="E408" s="13">
        <v>0.625</v>
      </c>
      <c r="F408" s="5" t="str">
        <f>VLOOKUP(A408,Jogos!A:N,10,0)</f>
        <v>Afternoon</v>
      </c>
      <c r="G408" s="11" t="s">
        <v>62</v>
      </c>
      <c r="H408" s="6" t="str">
        <f>VLOOKUP(A408,Jogos!A:L,12,0)</f>
        <v>Open</v>
      </c>
      <c r="I408" s="6" t="str">
        <f>VLOOKUP(G408,'Estádios e Cidades'!A:B,2,0)</f>
        <v>Miami Gardens - Flórida</v>
      </c>
      <c r="J408" s="11" t="s">
        <v>874</v>
      </c>
      <c r="K408" s="2" t="str">
        <f>VLOOKUP(J408,Equipes!A:F,6,0)</f>
        <v>Tropical</v>
      </c>
      <c r="L408" s="2">
        <f>VLOOKUP(J408,Equipes!A:C,3,0)</f>
        <v>7</v>
      </c>
      <c r="M408" s="2" t="str">
        <f t="shared" si="4"/>
        <v>Quarter-final</v>
      </c>
      <c r="N408" s="11" t="s">
        <v>873</v>
      </c>
      <c r="O408" s="2">
        <f>VLOOKUP(N408,Equipes!A:C,3,0)</f>
        <v>3</v>
      </c>
      <c r="P408" s="2" t="str">
        <f t="shared" si="5"/>
        <v>Semi-final</v>
      </c>
      <c r="Q408" s="2">
        <f t="shared" si="6"/>
        <v>4</v>
      </c>
      <c r="R408" s="2" t="str">
        <f>VLOOKUP(J408,Equipes!A:B,2,0)</f>
        <v>AlHilal</v>
      </c>
      <c r="S408" s="6" t="s">
        <v>915</v>
      </c>
      <c r="T408" s="7">
        <v>20.0</v>
      </c>
      <c r="U408" s="7" t="s">
        <v>916</v>
      </c>
      <c r="V408" s="7" t="str">
        <f>VLOOKUP(U408,Jogadores!B:C,2,0)</f>
        <v>DF</v>
      </c>
      <c r="W408" s="8">
        <f>VLOOKUP(U408,Jogadores!B:D,3,0)</f>
        <v>31.19178082</v>
      </c>
      <c r="X408" s="7">
        <v>0.0</v>
      </c>
      <c r="Y408" s="7">
        <v>64.0</v>
      </c>
      <c r="Z408" s="7">
        <f>VLOOKUP(A408,Jogos!A:L,3,0)</f>
        <v>50</v>
      </c>
      <c r="AA408" s="7">
        <f t="shared" si="7"/>
        <v>50</v>
      </c>
      <c r="AB408" s="7">
        <f>VLOOKUP(A408,Jogos!A:L,4,0)</f>
        <v>54</v>
      </c>
      <c r="AC408" s="7">
        <f t="shared" si="657"/>
        <v>19</v>
      </c>
      <c r="AD408" s="7"/>
      <c r="AE408" s="7"/>
      <c r="AF408" s="7">
        <f t="shared" si="9"/>
        <v>69</v>
      </c>
      <c r="AG408" s="7">
        <v>7097.3</v>
      </c>
      <c r="AH408" s="7">
        <v>3222.2</v>
      </c>
      <c r="AI408" s="7">
        <v>2751.4</v>
      </c>
      <c r="AJ408" s="7">
        <v>782.9</v>
      </c>
      <c r="AK408" s="7">
        <v>238.9</v>
      </c>
      <c r="AL408" s="7">
        <v>101.9</v>
      </c>
      <c r="AM408" s="7">
        <v>64.0</v>
      </c>
      <c r="AN408" s="7">
        <v>20.0</v>
      </c>
      <c r="AO408" s="7">
        <v>29.2</v>
      </c>
      <c r="AP408" s="9">
        <f t="shared" ref="AP408:AR408" si="1272">AG408/$AF408</f>
        <v>102.8594203</v>
      </c>
      <c r="AQ408" s="9">
        <f t="shared" si="1272"/>
        <v>46.69855072</v>
      </c>
      <c r="AR408" s="9">
        <f t="shared" si="1272"/>
        <v>39.87536232</v>
      </c>
      <c r="AS408" s="9">
        <f t="shared" si="11"/>
        <v>86.57391304</v>
      </c>
      <c r="AT408" s="9">
        <f t="shared" ref="AT408:AV408" si="1273">AJ408/$AF408</f>
        <v>11.34637681</v>
      </c>
      <c r="AU408" s="9">
        <f t="shared" si="1273"/>
        <v>3.462318841</v>
      </c>
      <c r="AV408" s="9">
        <f t="shared" si="1273"/>
        <v>1.476811594</v>
      </c>
      <c r="AW408" s="9">
        <f t="shared" si="13"/>
        <v>4.939130435</v>
      </c>
      <c r="AX408" s="9">
        <f t="shared" ref="AX408:AY408" si="1274">AM408/$AF408</f>
        <v>0.9275362319</v>
      </c>
      <c r="AY408" s="9">
        <f t="shared" si="1274"/>
        <v>0.2898550725</v>
      </c>
      <c r="AZ408" s="9">
        <f>VLOOKUP(A408,Jogos!A:BN,58,0)</f>
        <v>32.895</v>
      </c>
      <c r="BA408" s="9">
        <f>VLOOKUP(A408,Jogos!A:BN,59,0)</f>
        <v>21.005</v>
      </c>
      <c r="BB408" s="9">
        <f>VLOOKUP(A408,Jogos!A:BN,60,0)</f>
        <v>49</v>
      </c>
      <c r="BC408" s="9">
        <f>VLOOKUP(A408,Jogos!A:BN,61,0)</f>
        <v>35.455</v>
      </c>
      <c r="BD408" s="9">
        <f>VLOOKUP(A408,Jogos!A:BN,62,0)</f>
        <v>639.05</v>
      </c>
      <c r="BE408" s="9">
        <f>VLOOKUP(A408,Jogos!A:BN,63,0)</f>
        <v>1.775</v>
      </c>
      <c r="BF408" s="9">
        <f>VLOOKUP(A408,Jogos!A:BN,64,0)</f>
        <v>25.835</v>
      </c>
      <c r="BG408" s="9">
        <f>VLOOKUP(A408,Jogos!A:BN,65,0)</f>
        <v>47.545</v>
      </c>
      <c r="BH408" s="9">
        <f>VLOOKUP(A408,Jogos!A:BN,66,0)</f>
        <v>30.88</v>
      </c>
      <c r="BI408" s="9"/>
    </row>
    <row r="409" hidden="1">
      <c r="A409" s="10">
        <v>14.0</v>
      </c>
      <c r="B409" s="11" t="s">
        <v>872</v>
      </c>
      <c r="C409" s="2" t="s">
        <v>61</v>
      </c>
      <c r="D409" s="12">
        <v>45826.0</v>
      </c>
      <c r="E409" s="13">
        <v>0.625</v>
      </c>
      <c r="F409" s="5" t="str">
        <f>VLOOKUP(A409,Jogos!A:N,10,0)</f>
        <v>Afternoon</v>
      </c>
      <c r="G409" s="11" t="s">
        <v>62</v>
      </c>
      <c r="H409" s="6" t="str">
        <f>VLOOKUP(A409,Jogos!A:L,12,0)</f>
        <v>Open</v>
      </c>
      <c r="I409" s="6" t="str">
        <f>VLOOKUP(G409,'Estádios e Cidades'!A:B,2,0)</f>
        <v>Miami Gardens - Flórida</v>
      </c>
      <c r="J409" s="11" t="s">
        <v>874</v>
      </c>
      <c r="K409" s="2" t="str">
        <f>VLOOKUP(J409,Equipes!A:F,6,0)</f>
        <v>Tropical</v>
      </c>
      <c r="L409" s="2">
        <f>VLOOKUP(J409,Equipes!A:C,3,0)</f>
        <v>7</v>
      </c>
      <c r="M409" s="2" t="str">
        <f t="shared" si="4"/>
        <v>Quarter-final</v>
      </c>
      <c r="N409" s="11" t="s">
        <v>873</v>
      </c>
      <c r="O409" s="2">
        <f>VLOOKUP(N409,Equipes!A:C,3,0)</f>
        <v>3</v>
      </c>
      <c r="P409" s="2" t="str">
        <f t="shared" si="5"/>
        <v>Semi-final</v>
      </c>
      <c r="Q409" s="2">
        <f t="shared" si="6"/>
        <v>4</v>
      </c>
      <c r="R409" s="2" t="str">
        <f>VLOOKUP(J409,Equipes!A:B,2,0)</f>
        <v>AlHilal</v>
      </c>
      <c r="S409" s="6" t="s">
        <v>917</v>
      </c>
      <c r="T409" s="7">
        <v>22.0</v>
      </c>
      <c r="U409" s="7" t="s">
        <v>918</v>
      </c>
      <c r="V409" s="7" t="str">
        <f>VLOOKUP(U409,Jogadores!B:C,2,0)</f>
        <v>MF</v>
      </c>
      <c r="W409" s="8">
        <f>VLOOKUP(U409,Jogadores!B:D,3,0)</f>
        <v>30.43561644</v>
      </c>
      <c r="X409" s="7">
        <v>0.0</v>
      </c>
      <c r="Y409" s="7">
        <f t="shared" ref="Y409:Y410" si="1278">45+AB409</f>
        <v>99</v>
      </c>
      <c r="Z409" s="7">
        <f>VLOOKUP(A409,Jogos!A:L,3,0)</f>
        <v>50</v>
      </c>
      <c r="AA409" s="7">
        <f t="shared" si="7"/>
        <v>50</v>
      </c>
      <c r="AB409" s="7">
        <f>VLOOKUP(A409,Jogos!A:L,4,0)</f>
        <v>54</v>
      </c>
      <c r="AC409" s="7">
        <f t="shared" si="657"/>
        <v>54</v>
      </c>
      <c r="AD409" s="7"/>
      <c r="AE409" s="7"/>
      <c r="AF409" s="7">
        <f t="shared" si="9"/>
        <v>104</v>
      </c>
      <c r="AG409" s="7">
        <v>11736.1</v>
      </c>
      <c r="AH409" s="7">
        <v>3996.8</v>
      </c>
      <c r="AI409" s="7">
        <v>5848.0</v>
      </c>
      <c r="AJ409" s="7">
        <v>1543.8</v>
      </c>
      <c r="AK409" s="7">
        <v>314.1</v>
      </c>
      <c r="AL409" s="7">
        <v>33.4</v>
      </c>
      <c r="AM409" s="7">
        <v>132.0</v>
      </c>
      <c r="AN409" s="7">
        <v>22.0</v>
      </c>
      <c r="AO409" s="7">
        <v>28.4</v>
      </c>
      <c r="AP409" s="9">
        <f t="shared" ref="AP409:AR409" si="1275">AG409/$AF409</f>
        <v>112.8471154</v>
      </c>
      <c r="AQ409" s="9">
        <f t="shared" si="1275"/>
        <v>38.43076923</v>
      </c>
      <c r="AR409" s="9">
        <f t="shared" si="1275"/>
        <v>56.23076923</v>
      </c>
      <c r="AS409" s="9">
        <f t="shared" si="11"/>
        <v>94.66153846</v>
      </c>
      <c r="AT409" s="9">
        <f t="shared" ref="AT409:AV409" si="1276">AJ409/$AF409</f>
        <v>14.84423077</v>
      </c>
      <c r="AU409" s="9">
        <f t="shared" si="1276"/>
        <v>3.020192308</v>
      </c>
      <c r="AV409" s="9">
        <f t="shared" si="1276"/>
        <v>0.3211538462</v>
      </c>
      <c r="AW409" s="9">
        <f t="shared" si="13"/>
        <v>3.341346154</v>
      </c>
      <c r="AX409" s="9">
        <f t="shared" ref="AX409:AY409" si="1277">AM409/$AF409</f>
        <v>1.269230769</v>
      </c>
      <c r="AY409" s="9">
        <f t="shared" si="1277"/>
        <v>0.2115384615</v>
      </c>
      <c r="AZ409" s="9">
        <f>VLOOKUP(A409,Jogos!A:BN,58,0)</f>
        <v>32.895</v>
      </c>
      <c r="BA409" s="9">
        <f>VLOOKUP(A409,Jogos!A:BN,59,0)</f>
        <v>21.005</v>
      </c>
      <c r="BB409" s="9">
        <f>VLOOKUP(A409,Jogos!A:BN,60,0)</f>
        <v>49</v>
      </c>
      <c r="BC409" s="9">
        <f>VLOOKUP(A409,Jogos!A:BN,61,0)</f>
        <v>35.455</v>
      </c>
      <c r="BD409" s="9">
        <f>VLOOKUP(A409,Jogos!A:BN,62,0)</f>
        <v>639.05</v>
      </c>
      <c r="BE409" s="9">
        <f>VLOOKUP(A409,Jogos!A:BN,63,0)</f>
        <v>1.775</v>
      </c>
      <c r="BF409" s="9">
        <f>VLOOKUP(A409,Jogos!A:BN,64,0)</f>
        <v>25.835</v>
      </c>
      <c r="BG409" s="9">
        <f>VLOOKUP(A409,Jogos!A:BN,65,0)</f>
        <v>47.545</v>
      </c>
      <c r="BH409" s="9">
        <f>VLOOKUP(A409,Jogos!A:BN,66,0)</f>
        <v>30.88</v>
      </c>
      <c r="BI409" s="9"/>
    </row>
    <row r="410" hidden="1">
      <c r="A410" s="10">
        <v>14.0</v>
      </c>
      <c r="B410" s="11" t="s">
        <v>872</v>
      </c>
      <c r="C410" s="2" t="s">
        <v>61</v>
      </c>
      <c r="D410" s="12">
        <v>45826.0</v>
      </c>
      <c r="E410" s="13">
        <v>0.625</v>
      </c>
      <c r="F410" s="5" t="str">
        <f>VLOOKUP(A410,Jogos!A:N,10,0)</f>
        <v>Afternoon</v>
      </c>
      <c r="G410" s="11" t="s">
        <v>62</v>
      </c>
      <c r="H410" s="6" t="str">
        <f>VLOOKUP(A410,Jogos!A:L,12,0)</f>
        <v>Open</v>
      </c>
      <c r="I410" s="6" t="str">
        <f>VLOOKUP(G410,'Estádios e Cidades'!A:B,2,0)</f>
        <v>Miami Gardens - Flórida</v>
      </c>
      <c r="J410" s="11" t="s">
        <v>874</v>
      </c>
      <c r="K410" s="2" t="str">
        <f>VLOOKUP(J410,Equipes!A:F,6,0)</f>
        <v>Tropical</v>
      </c>
      <c r="L410" s="2">
        <f>VLOOKUP(J410,Equipes!A:C,3,0)</f>
        <v>7</v>
      </c>
      <c r="M410" s="2" t="str">
        <f t="shared" si="4"/>
        <v>Quarter-final</v>
      </c>
      <c r="N410" s="11" t="s">
        <v>873</v>
      </c>
      <c r="O410" s="2">
        <f>VLOOKUP(N410,Equipes!A:C,3,0)</f>
        <v>3</v>
      </c>
      <c r="P410" s="2" t="str">
        <f t="shared" si="5"/>
        <v>Semi-final</v>
      </c>
      <c r="Q410" s="2">
        <f t="shared" si="6"/>
        <v>4</v>
      </c>
      <c r="R410" s="2" t="str">
        <f>VLOOKUP(J410,Equipes!A:B,2,0)</f>
        <v>AlHilal</v>
      </c>
      <c r="S410" s="6" t="s">
        <v>919</v>
      </c>
      <c r="T410" s="7">
        <v>29.0</v>
      </c>
      <c r="U410" s="7" t="s">
        <v>920</v>
      </c>
      <c r="V410" s="7" t="str">
        <f>VLOOKUP(U410,Jogadores!B:C,2,0)</f>
        <v>MF</v>
      </c>
      <c r="W410" s="8">
        <f>VLOOKUP(U410,Jogadores!B:D,3,0)</f>
        <v>33.96438356</v>
      </c>
      <c r="X410" s="7">
        <v>0.0</v>
      </c>
      <c r="Y410" s="7">
        <f t="shared" si="1278"/>
        <v>99</v>
      </c>
      <c r="Z410" s="7">
        <f>VLOOKUP(A410,Jogos!A:L,3,0)</f>
        <v>50</v>
      </c>
      <c r="AA410" s="7">
        <f t="shared" si="7"/>
        <v>50</v>
      </c>
      <c r="AB410" s="7">
        <f>VLOOKUP(A410,Jogos!A:L,4,0)</f>
        <v>54</v>
      </c>
      <c r="AC410" s="7">
        <f t="shared" si="657"/>
        <v>54</v>
      </c>
      <c r="AD410" s="7"/>
      <c r="AE410" s="7"/>
      <c r="AF410" s="7">
        <f t="shared" si="9"/>
        <v>104</v>
      </c>
      <c r="AG410" s="7">
        <v>10577.9</v>
      </c>
      <c r="AH410" s="7">
        <v>4565.9</v>
      </c>
      <c r="AI410" s="7">
        <v>3469.8</v>
      </c>
      <c r="AJ410" s="7">
        <v>1424.8</v>
      </c>
      <c r="AK410" s="7">
        <v>666.5</v>
      </c>
      <c r="AL410" s="7">
        <v>450.9</v>
      </c>
      <c r="AM410" s="7">
        <v>127.0</v>
      </c>
      <c r="AN410" s="7">
        <v>60.0</v>
      </c>
      <c r="AO410" s="7">
        <v>35.0</v>
      </c>
      <c r="AP410" s="9">
        <f t="shared" ref="AP410:AR410" si="1279">AG410/$AF410</f>
        <v>101.7105769</v>
      </c>
      <c r="AQ410" s="9">
        <f t="shared" si="1279"/>
        <v>43.90288462</v>
      </c>
      <c r="AR410" s="9">
        <f t="shared" si="1279"/>
        <v>33.36346154</v>
      </c>
      <c r="AS410" s="9">
        <f t="shared" si="11"/>
        <v>77.26634615</v>
      </c>
      <c r="AT410" s="9">
        <f t="shared" ref="AT410:AV410" si="1280">AJ410/$AF410</f>
        <v>13.7</v>
      </c>
      <c r="AU410" s="9">
        <f t="shared" si="1280"/>
        <v>6.408653846</v>
      </c>
      <c r="AV410" s="9">
        <f t="shared" si="1280"/>
        <v>4.335576923</v>
      </c>
      <c r="AW410" s="9">
        <f t="shared" si="13"/>
        <v>10.74423077</v>
      </c>
      <c r="AX410" s="9">
        <f t="shared" ref="AX410:AY410" si="1281">AM410/$AF410</f>
        <v>1.221153846</v>
      </c>
      <c r="AY410" s="9">
        <f t="shared" si="1281"/>
        <v>0.5769230769</v>
      </c>
      <c r="AZ410" s="9">
        <f>VLOOKUP(A410,Jogos!A:BN,58,0)</f>
        <v>32.895</v>
      </c>
      <c r="BA410" s="9">
        <f>VLOOKUP(A410,Jogos!A:BN,59,0)</f>
        <v>21.005</v>
      </c>
      <c r="BB410" s="9">
        <f>VLOOKUP(A410,Jogos!A:BN,60,0)</f>
        <v>49</v>
      </c>
      <c r="BC410" s="9">
        <f>VLOOKUP(A410,Jogos!A:BN,61,0)</f>
        <v>35.455</v>
      </c>
      <c r="BD410" s="9">
        <f>VLOOKUP(A410,Jogos!A:BN,62,0)</f>
        <v>639.05</v>
      </c>
      <c r="BE410" s="9">
        <f>VLOOKUP(A410,Jogos!A:BN,63,0)</f>
        <v>1.775</v>
      </c>
      <c r="BF410" s="9">
        <f>VLOOKUP(A410,Jogos!A:BN,64,0)</f>
        <v>25.835</v>
      </c>
      <c r="BG410" s="9">
        <f>VLOOKUP(A410,Jogos!A:BN,65,0)</f>
        <v>47.545</v>
      </c>
      <c r="BH410" s="9">
        <f>VLOOKUP(A410,Jogos!A:BN,66,0)</f>
        <v>30.88</v>
      </c>
      <c r="BI410" s="9"/>
    </row>
    <row r="411" hidden="1">
      <c r="A411" s="10">
        <v>14.0</v>
      </c>
      <c r="B411" s="11" t="s">
        <v>872</v>
      </c>
      <c r="C411" s="2" t="s">
        <v>61</v>
      </c>
      <c r="D411" s="12">
        <v>45826.0</v>
      </c>
      <c r="E411" s="13">
        <v>0.625</v>
      </c>
      <c r="F411" s="5" t="str">
        <f>VLOOKUP(A411,Jogos!A:N,10,0)</f>
        <v>Afternoon</v>
      </c>
      <c r="G411" s="11" t="s">
        <v>62</v>
      </c>
      <c r="H411" s="6" t="str">
        <f>VLOOKUP(A411,Jogos!A:L,12,0)</f>
        <v>Open</v>
      </c>
      <c r="I411" s="6" t="str">
        <f>VLOOKUP(G411,'Estádios e Cidades'!A:B,2,0)</f>
        <v>Miami Gardens - Flórida</v>
      </c>
      <c r="J411" s="11" t="s">
        <v>874</v>
      </c>
      <c r="K411" s="2" t="str">
        <f>VLOOKUP(J411,Equipes!A:F,6,0)</f>
        <v>Tropical</v>
      </c>
      <c r="L411" s="2">
        <f>VLOOKUP(J411,Equipes!A:C,3,0)</f>
        <v>7</v>
      </c>
      <c r="M411" s="2" t="str">
        <f t="shared" si="4"/>
        <v>Quarter-final</v>
      </c>
      <c r="N411" s="11" t="s">
        <v>873</v>
      </c>
      <c r="O411" s="2">
        <f>VLOOKUP(N411,Equipes!A:C,3,0)</f>
        <v>3</v>
      </c>
      <c r="P411" s="2" t="str">
        <f t="shared" si="5"/>
        <v>Semi-final</v>
      </c>
      <c r="Q411" s="2">
        <f t="shared" si="6"/>
        <v>4</v>
      </c>
      <c r="R411" s="2" t="str">
        <f>VLOOKUP(J411,Equipes!A:B,2,0)</f>
        <v>AlHilal</v>
      </c>
      <c r="S411" s="6" t="s">
        <v>921</v>
      </c>
      <c r="T411" s="7">
        <v>77.0</v>
      </c>
      <c r="U411" s="7" t="s">
        <v>922</v>
      </c>
      <c r="V411" s="7" t="str">
        <f>VLOOKUP(U411,Jogadores!B:C,2,0)</f>
        <v>MF</v>
      </c>
      <c r="W411" s="8">
        <f>VLOOKUP(U411,Jogadores!B:D,3,0)</f>
        <v>28.43561644</v>
      </c>
      <c r="X411" s="7">
        <v>0.0</v>
      </c>
      <c r="Y411" s="7">
        <v>64.0</v>
      </c>
      <c r="Z411" s="7">
        <f>VLOOKUP(A411,Jogos!A:L,3,0)</f>
        <v>50</v>
      </c>
      <c r="AA411" s="7">
        <f t="shared" si="7"/>
        <v>50</v>
      </c>
      <c r="AB411" s="7">
        <f>VLOOKUP(A411,Jogos!A:L,4,0)</f>
        <v>54</v>
      </c>
      <c r="AC411" s="7">
        <f t="shared" si="657"/>
        <v>19</v>
      </c>
      <c r="AD411" s="7"/>
      <c r="AE411" s="7"/>
      <c r="AF411" s="7">
        <f t="shared" si="9"/>
        <v>69</v>
      </c>
      <c r="AG411" s="7">
        <v>7070.2</v>
      </c>
      <c r="AH411" s="7">
        <v>2649.1</v>
      </c>
      <c r="AI411" s="7">
        <v>3223.3</v>
      </c>
      <c r="AJ411" s="7">
        <v>852.7</v>
      </c>
      <c r="AK411" s="7">
        <v>301.7</v>
      </c>
      <c r="AL411" s="7">
        <v>43.4</v>
      </c>
      <c r="AM411" s="7">
        <v>76.0</v>
      </c>
      <c r="AN411" s="7">
        <v>23.0</v>
      </c>
      <c r="AO411" s="7">
        <v>32.4</v>
      </c>
      <c r="AP411" s="9">
        <f t="shared" ref="AP411:AR411" si="1282">AG411/$AF411</f>
        <v>102.4666667</v>
      </c>
      <c r="AQ411" s="9">
        <f t="shared" si="1282"/>
        <v>38.39275362</v>
      </c>
      <c r="AR411" s="9">
        <f t="shared" si="1282"/>
        <v>46.71449275</v>
      </c>
      <c r="AS411" s="9">
        <f t="shared" si="11"/>
        <v>85.10724638</v>
      </c>
      <c r="AT411" s="9">
        <f t="shared" ref="AT411:AV411" si="1283">AJ411/$AF411</f>
        <v>12.35797101</v>
      </c>
      <c r="AU411" s="9">
        <f t="shared" si="1283"/>
        <v>4.372463768</v>
      </c>
      <c r="AV411" s="9">
        <f t="shared" si="1283"/>
        <v>0.6289855072</v>
      </c>
      <c r="AW411" s="9">
        <f t="shared" si="13"/>
        <v>5.001449275</v>
      </c>
      <c r="AX411" s="9">
        <f t="shared" ref="AX411:AY411" si="1284">AM411/$AF411</f>
        <v>1.101449275</v>
      </c>
      <c r="AY411" s="9">
        <f t="shared" si="1284"/>
        <v>0.3333333333</v>
      </c>
      <c r="AZ411" s="9">
        <f>VLOOKUP(A411,Jogos!A:BN,58,0)</f>
        <v>32.895</v>
      </c>
      <c r="BA411" s="9">
        <f>VLOOKUP(A411,Jogos!A:BN,59,0)</f>
        <v>21.005</v>
      </c>
      <c r="BB411" s="9">
        <f>VLOOKUP(A411,Jogos!A:BN,60,0)</f>
        <v>49</v>
      </c>
      <c r="BC411" s="9">
        <f>VLOOKUP(A411,Jogos!A:BN,61,0)</f>
        <v>35.455</v>
      </c>
      <c r="BD411" s="9">
        <f>VLOOKUP(A411,Jogos!A:BN,62,0)</f>
        <v>639.05</v>
      </c>
      <c r="BE411" s="9">
        <f>VLOOKUP(A411,Jogos!A:BN,63,0)</f>
        <v>1.775</v>
      </c>
      <c r="BF411" s="9">
        <f>VLOOKUP(A411,Jogos!A:BN,64,0)</f>
        <v>25.835</v>
      </c>
      <c r="BG411" s="9">
        <f>VLOOKUP(A411,Jogos!A:BN,65,0)</f>
        <v>47.545</v>
      </c>
      <c r="BH411" s="9">
        <f>VLOOKUP(A411,Jogos!A:BN,66,0)</f>
        <v>30.88</v>
      </c>
      <c r="BI411" s="9"/>
    </row>
    <row r="412" hidden="1">
      <c r="A412" s="10">
        <v>14.0</v>
      </c>
      <c r="B412" s="11" t="s">
        <v>872</v>
      </c>
      <c r="C412" s="2" t="s">
        <v>61</v>
      </c>
      <c r="D412" s="12">
        <v>45826.0</v>
      </c>
      <c r="E412" s="13">
        <v>0.625</v>
      </c>
      <c r="F412" s="5" t="str">
        <f>VLOOKUP(A412,Jogos!A:N,10,0)</f>
        <v>Afternoon</v>
      </c>
      <c r="G412" s="11" t="s">
        <v>62</v>
      </c>
      <c r="H412" s="6" t="str">
        <f>VLOOKUP(A412,Jogos!A:L,12,0)</f>
        <v>Open</v>
      </c>
      <c r="I412" s="6" t="str">
        <f>VLOOKUP(G412,'Estádios e Cidades'!A:B,2,0)</f>
        <v>Miami Gardens - Flórida</v>
      </c>
      <c r="J412" s="11" t="s">
        <v>874</v>
      </c>
      <c r="K412" s="2" t="str">
        <f>VLOOKUP(J412,Equipes!A:F,6,0)</f>
        <v>Tropical</v>
      </c>
      <c r="L412" s="2">
        <f>VLOOKUP(J412,Equipes!A:C,3,0)</f>
        <v>7</v>
      </c>
      <c r="M412" s="2" t="str">
        <f t="shared" si="4"/>
        <v>Quarter-final</v>
      </c>
      <c r="N412" s="11" t="s">
        <v>873</v>
      </c>
      <c r="O412" s="2">
        <f>VLOOKUP(N412,Equipes!A:C,3,0)</f>
        <v>3</v>
      </c>
      <c r="P412" s="2" t="str">
        <f t="shared" si="5"/>
        <v>Semi-final</v>
      </c>
      <c r="Q412" s="2">
        <f t="shared" si="6"/>
        <v>4</v>
      </c>
      <c r="R412" s="2" t="str">
        <f>VLOOKUP(J412,Equipes!A:B,2,0)</f>
        <v>AlHilal</v>
      </c>
      <c r="S412" s="6" t="s">
        <v>923</v>
      </c>
      <c r="T412" s="7">
        <v>87.0</v>
      </c>
      <c r="U412" s="7" t="s">
        <v>924</v>
      </c>
      <c r="V412" s="7" t="str">
        <f>VLOOKUP(U412,Jogadores!B:C,2,0)</f>
        <v>DF</v>
      </c>
      <c r="W412" s="8">
        <f>VLOOKUP(U412,Jogadores!B:D,3,0)</f>
        <v>26.48219178</v>
      </c>
      <c r="X412" s="7">
        <v>0.0</v>
      </c>
      <c r="Y412" s="7">
        <f t="shared" ref="Y412:Y418" si="1288">45+AB412</f>
        <v>99</v>
      </c>
      <c r="Z412" s="7">
        <f>VLOOKUP(A412,Jogos!A:L,3,0)</f>
        <v>50</v>
      </c>
      <c r="AA412" s="7">
        <f t="shared" si="7"/>
        <v>50</v>
      </c>
      <c r="AB412" s="7">
        <f>VLOOKUP(A412,Jogos!A:L,4,0)</f>
        <v>54</v>
      </c>
      <c r="AC412" s="7">
        <f t="shared" si="657"/>
        <v>54</v>
      </c>
      <c r="AD412" s="7"/>
      <c r="AE412" s="7"/>
      <c r="AF412" s="7">
        <f t="shared" si="9"/>
        <v>104</v>
      </c>
      <c r="AG412" s="7">
        <v>9432.7</v>
      </c>
      <c r="AH412" s="7">
        <v>4019.4</v>
      </c>
      <c r="AI412" s="7">
        <v>3855.0</v>
      </c>
      <c r="AJ412" s="7">
        <v>1013.7</v>
      </c>
      <c r="AK412" s="7">
        <v>351.7</v>
      </c>
      <c r="AL412" s="7">
        <v>192.9</v>
      </c>
      <c r="AM412" s="7">
        <v>92.0</v>
      </c>
      <c r="AN412" s="7">
        <v>33.0</v>
      </c>
      <c r="AO412" s="7">
        <v>33.5</v>
      </c>
      <c r="AP412" s="9">
        <f t="shared" ref="AP412:AR412" si="1285">AG412/$AF412</f>
        <v>90.69903846</v>
      </c>
      <c r="AQ412" s="9">
        <f t="shared" si="1285"/>
        <v>38.64807692</v>
      </c>
      <c r="AR412" s="9">
        <f t="shared" si="1285"/>
        <v>37.06730769</v>
      </c>
      <c r="AS412" s="9">
        <f t="shared" si="11"/>
        <v>75.71538462</v>
      </c>
      <c r="AT412" s="9">
        <f t="shared" ref="AT412:AV412" si="1286">AJ412/$AF412</f>
        <v>9.747115385</v>
      </c>
      <c r="AU412" s="9">
        <f t="shared" si="1286"/>
        <v>3.381730769</v>
      </c>
      <c r="AV412" s="9">
        <f t="shared" si="1286"/>
        <v>1.854807692</v>
      </c>
      <c r="AW412" s="9">
        <f t="shared" si="13"/>
        <v>5.236538462</v>
      </c>
      <c r="AX412" s="9">
        <f t="shared" ref="AX412:AY412" si="1287">AM412/$AF412</f>
        <v>0.8846153846</v>
      </c>
      <c r="AY412" s="9">
        <f t="shared" si="1287"/>
        <v>0.3173076923</v>
      </c>
      <c r="AZ412" s="9">
        <f>VLOOKUP(A412,Jogos!A:BN,58,0)</f>
        <v>32.895</v>
      </c>
      <c r="BA412" s="9">
        <f>VLOOKUP(A412,Jogos!A:BN,59,0)</f>
        <v>21.005</v>
      </c>
      <c r="BB412" s="9">
        <f>VLOOKUP(A412,Jogos!A:BN,60,0)</f>
        <v>49</v>
      </c>
      <c r="BC412" s="9">
        <f>VLOOKUP(A412,Jogos!A:BN,61,0)</f>
        <v>35.455</v>
      </c>
      <c r="BD412" s="9">
        <f>VLOOKUP(A412,Jogos!A:BN,62,0)</f>
        <v>639.05</v>
      </c>
      <c r="BE412" s="9">
        <f>VLOOKUP(A412,Jogos!A:BN,63,0)</f>
        <v>1.775</v>
      </c>
      <c r="BF412" s="9">
        <f>VLOOKUP(A412,Jogos!A:BN,64,0)</f>
        <v>25.835</v>
      </c>
      <c r="BG412" s="9">
        <f>VLOOKUP(A412,Jogos!A:BN,65,0)</f>
        <v>47.545</v>
      </c>
      <c r="BH412" s="9">
        <f>VLOOKUP(A412,Jogos!A:BN,66,0)</f>
        <v>30.88</v>
      </c>
      <c r="BI412" s="9"/>
    </row>
    <row r="413" hidden="1">
      <c r="A413" s="10">
        <v>14.0</v>
      </c>
      <c r="B413" s="11" t="s">
        <v>872</v>
      </c>
      <c r="C413" s="2" t="s">
        <v>61</v>
      </c>
      <c r="D413" s="12">
        <v>45826.0</v>
      </c>
      <c r="E413" s="13">
        <v>0.625</v>
      </c>
      <c r="F413" s="5" t="str">
        <f>VLOOKUP(A413,Jogos!A:N,10,0)</f>
        <v>Afternoon</v>
      </c>
      <c r="G413" s="11" t="s">
        <v>62</v>
      </c>
      <c r="H413" s="6" t="str">
        <f>VLOOKUP(A413,Jogos!A:L,12,0)</f>
        <v>Open</v>
      </c>
      <c r="I413" s="6" t="str">
        <f>VLOOKUP(G413,'Estádios e Cidades'!A:B,2,0)</f>
        <v>Miami Gardens - Flórida</v>
      </c>
      <c r="J413" s="11" t="s">
        <v>874</v>
      </c>
      <c r="K413" s="2" t="str">
        <f>VLOOKUP(J413,Equipes!A:F,6,0)</f>
        <v>Tropical</v>
      </c>
      <c r="L413" s="2">
        <f>VLOOKUP(J413,Equipes!A:C,3,0)</f>
        <v>7</v>
      </c>
      <c r="M413" s="2" t="str">
        <f t="shared" si="4"/>
        <v>Quarter-final</v>
      </c>
      <c r="N413" s="11" t="s">
        <v>873</v>
      </c>
      <c r="O413" s="2">
        <f>VLOOKUP(N413,Equipes!A:C,3,0)</f>
        <v>3</v>
      </c>
      <c r="P413" s="2" t="str">
        <f t="shared" si="5"/>
        <v>Semi-final</v>
      </c>
      <c r="Q413" s="2">
        <f t="shared" si="6"/>
        <v>4</v>
      </c>
      <c r="R413" s="2" t="str">
        <f>VLOOKUP(J413,Equipes!A:B,2,0)</f>
        <v>AlHilal</v>
      </c>
      <c r="S413" s="6" t="s">
        <v>925</v>
      </c>
      <c r="T413" s="7">
        <v>15.0</v>
      </c>
      <c r="U413" s="7" t="s">
        <v>926</v>
      </c>
      <c r="V413" s="7" t="str">
        <f>VLOOKUP(U413,Jogadores!B:C,2,0)</f>
        <v>MF</v>
      </c>
      <c r="W413" s="8">
        <f>VLOOKUP(U413,Jogadores!B:D,3,0)</f>
        <v>23.03013699</v>
      </c>
      <c r="X413" s="7">
        <v>64.0</v>
      </c>
      <c r="Y413" s="7">
        <f t="shared" si="1288"/>
        <v>99</v>
      </c>
      <c r="Z413" s="7">
        <f>VLOOKUP(A413,Jogos!A:L,3,0)</f>
        <v>50</v>
      </c>
      <c r="AA413" s="7">
        <f t="shared" si="7"/>
        <v>0</v>
      </c>
      <c r="AB413" s="7">
        <f>VLOOKUP(A413,Jogos!A:L,4,0)</f>
        <v>54</v>
      </c>
      <c r="AC413" s="7">
        <f t="shared" si="657"/>
        <v>35</v>
      </c>
      <c r="AD413" s="7"/>
      <c r="AE413" s="7"/>
      <c r="AF413" s="7">
        <f t="shared" si="9"/>
        <v>35</v>
      </c>
      <c r="AG413" s="7">
        <v>4085.5</v>
      </c>
      <c r="AH413" s="7">
        <v>1340.8</v>
      </c>
      <c r="AI413" s="7">
        <v>1520.9</v>
      </c>
      <c r="AJ413" s="7">
        <v>741.5</v>
      </c>
      <c r="AK413" s="7">
        <v>393.8</v>
      </c>
      <c r="AL413" s="7">
        <v>88.6</v>
      </c>
      <c r="AM413" s="7">
        <v>64.0</v>
      </c>
      <c r="AN413" s="7">
        <v>27.0</v>
      </c>
      <c r="AO413" s="7">
        <v>31.6</v>
      </c>
      <c r="AP413" s="9">
        <f t="shared" ref="AP413:AR413" si="1289">AG413/$AF413</f>
        <v>116.7285714</v>
      </c>
      <c r="AQ413" s="9">
        <f t="shared" si="1289"/>
        <v>38.30857143</v>
      </c>
      <c r="AR413" s="9">
        <f t="shared" si="1289"/>
        <v>43.45428571</v>
      </c>
      <c r="AS413" s="9">
        <f t="shared" si="11"/>
        <v>81.76285714</v>
      </c>
      <c r="AT413" s="9">
        <f t="shared" ref="AT413:AV413" si="1290">AJ413/$AF413</f>
        <v>21.18571429</v>
      </c>
      <c r="AU413" s="9">
        <f t="shared" si="1290"/>
        <v>11.25142857</v>
      </c>
      <c r="AV413" s="9">
        <f t="shared" si="1290"/>
        <v>2.531428571</v>
      </c>
      <c r="AW413" s="9">
        <f t="shared" si="13"/>
        <v>13.78285714</v>
      </c>
      <c r="AX413" s="9">
        <f t="shared" ref="AX413:AY413" si="1291">AM413/$AF413</f>
        <v>1.828571429</v>
      </c>
      <c r="AY413" s="9">
        <f t="shared" si="1291"/>
        <v>0.7714285714</v>
      </c>
      <c r="AZ413" s="9">
        <f>VLOOKUP(A413,Jogos!A:BN,58,0)</f>
        <v>32.895</v>
      </c>
      <c r="BA413" s="9">
        <f>VLOOKUP(A413,Jogos!A:BN,59,0)</f>
        <v>21.005</v>
      </c>
      <c r="BB413" s="9">
        <f>VLOOKUP(A413,Jogos!A:BN,60,0)</f>
        <v>49</v>
      </c>
      <c r="BC413" s="9">
        <f>VLOOKUP(A413,Jogos!A:BN,61,0)</f>
        <v>35.455</v>
      </c>
      <c r="BD413" s="9">
        <f>VLOOKUP(A413,Jogos!A:BN,62,0)</f>
        <v>639.05</v>
      </c>
      <c r="BE413" s="9">
        <f>VLOOKUP(A413,Jogos!A:BN,63,0)</f>
        <v>1.775</v>
      </c>
      <c r="BF413" s="9">
        <f>VLOOKUP(A413,Jogos!A:BN,64,0)</f>
        <v>25.835</v>
      </c>
      <c r="BG413" s="9">
        <f>VLOOKUP(A413,Jogos!A:BN,65,0)</f>
        <v>47.545</v>
      </c>
      <c r="BH413" s="9">
        <f>VLOOKUP(A413,Jogos!A:BN,66,0)</f>
        <v>30.88</v>
      </c>
      <c r="BI413" s="9"/>
    </row>
    <row r="414" hidden="1">
      <c r="A414" s="10">
        <v>14.0</v>
      </c>
      <c r="B414" s="11" t="s">
        <v>872</v>
      </c>
      <c r="C414" s="2" t="s">
        <v>61</v>
      </c>
      <c r="D414" s="12">
        <v>45826.0</v>
      </c>
      <c r="E414" s="13">
        <v>0.625</v>
      </c>
      <c r="F414" s="5" t="str">
        <f>VLOOKUP(A414,Jogos!A:N,10,0)</f>
        <v>Afternoon</v>
      </c>
      <c r="G414" s="11" t="s">
        <v>62</v>
      </c>
      <c r="H414" s="6" t="str">
        <f>VLOOKUP(A414,Jogos!A:L,12,0)</f>
        <v>Open</v>
      </c>
      <c r="I414" s="6" t="str">
        <f>VLOOKUP(G414,'Estádios e Cidades'!A:B,2,0)</f>
        <v>Miami Gardens - Flórida</v>
      </c>
      <c r="J414" s="11" t="s">
        <v>874</v>
      </c>
      <c r="K414" s="2" t="str">
        <f>VLOOKUP(J414,Equipes!A:F,6,0)</f>
        <v>Tropical</v>
      </c>
      <c r="L414" s="2">
        <f>VLOOKUP(J414,Equipes!A:C,3,0)</f>
        <v>7</v>
      </c>
      <c r="M414" s="2" t="str">
        <f t="shared" si="4"/>
        <v>Quarter-final</v>
      </c>
      <c r="N414" s="11" t="s">
        <v>873</v>
      </c>
      <c r="O414" s="2">
        <f>VLOOKUP(N414,Equipes!A:C,3,0)</f>
        <v>3</v>
      </c>
      <c r="P414" s="2" t="str">
        <f t="shared" si="5"/>
        <v>Semi-final</v>
      </c>
      <c r="Q414" s="2">
        <f t="shared" si="6"/>
        <v>4</v>
      </c>
      <c r="R414" s="2" t="str">
        <f>VLOOKUP(J414,Equipes!A:B,2,0)</f>
        <v>AlHilal</v>
      </c>
      <c r="S414" s="6" t="s">
        <v>927</v>
      </c>
      <c r="T414" s="7">
        <v>18.0</v>
      </c>
      <c r="U414" s="7" t="s">
        <v>928</v>
      </c>
      <c r="V414" s="7" t="str">
        <f>VLOOKUP(U414,Jogadores!B:C,2,0)</f>
        <v>MF</v>
      </c>
      <c r="W414" s="8">
        <f>VLOOKUP(U414,Jogadores!B:D,3,0)</f>
        <v>22.12054795</v>
      </c>
      <c r="X414" s="7">
        <v>83.0</v>
      </c>
      <c r="Y414" s="7">
        <f t="shared" si="1288"/>
        <v>99</v>
      </c>
      <c r="Z414" s="7">
        <f>VLOOKUP(A414,Jogos!A:L,3,0)</f>
        <v>50</v>
      </c>
      <c r="AA414" s="7">
        <f t="shared" si="7"/>
        <v>0</v>
      </c>
      <c r="AB414" s="7">
        <f>VLOOKUP(A414,Jogos!A:L,4,0)</f>
        <v>54</v>
      </c>
      <c r="AC414" s="7">
        <f t="shared" si="657"/>
        <v>16</v>
      </c>
      <c r="AD414" s="7"/>
      <c r="AE414" s="7"/>
      <c r="AF414" s="7">
        <f t="shared" si="9"/>
        <v>16</v>
      </c>
      <c r="AG414" s="7">
        <v>1843.7</v>
      </c>
      <c r="AH414" s="7">
        <v>554.9</v>
      </c>
      <c r="AI414" s="7">
        <v>775.7</v>
      </c>
      <c r="AJ414" s="7">
        <v>339.3</v>
      </c>
      <c r="AK414" s="7">
        <v>113.1</v>
      </c>
      <c r="AL414" s="7">
        <v>60.7</v>
      </c>
      <c r="AM414" s="7">
        <v>23.0</v>
      </c>
      <c r="AN414" s="7">
        <v>9.0</v>
      </c>
      <c r="AO414" s="7">
        <v>30.4</v>
      </c>
      <c r="AP414" s="9">
        <f t="shared" ref="AP414:AR414" si="1292">AG414/$AF414</f>
        <v>115.23125</v>
      </c>
      <c r="AQ414" s="9">
        <f t="shared" si="1292"/>
        <v>34.68125</v>
      </c>
      <c r="AR414" s="9">
        <f t="shared" si="1292"/>
        <v>48.48125</v>
      </c>
      <c r="AS414" s="9">
        <f t="shared" si="11"/>
        <v>83.1625</v>
      </c>
      <c r="AT414" s="9">
        <f t="shared" ref="AT414:AV414" si="1293">AJ414/$AF414</f>
        <v>21.20625</v>
      </c>
      <c r="AU414" s="9">
        <f t="shared" si="1293"/>
        <v>7.06875</v>
      </c>
      <c r="AV414" s="9">
        <f t="shared" si="1293"/>
        <v>3.79375</v>
      </c>
      <c r="AW414" s="9">
        <f t="shared" si="13"/>
        <v>10.8625</v>
      </c>
      <c r="AX414" s="9">
        <f t="shared" ref="AX414:AY414" si="1294">AM414/$AF414</f>
        <v>1.4375</v>
      </c>
      <c r="AY414" s="9">
        <f t="shared" si="1294"/>
        <v>0.5625</v>
      </c>
      <c r="AZ414" s="9">
        <f>VLOOKUP(A414,Jogos!A:BN,58,0)</f>
        <v>32.895</v>
      </c>
      <c r="BA414" s="9">
        <f>VLOOKUP(A414,Jogos!A:BN,59,0)</f>
        <v>21.005</v>
      </c>
      <c r="BB414" s="9">
        <f>VLOOKUP(A414,Jogos!A:BN,60,0)</f>
        <v>49</v>
      </c>
      <c r="BC414" s="9">
        <f>VLOOKUP(A414,Jogos!A:BN,61,0)</f>
        <v>35.455</v>
      </c>
      <c r="BD414" s="9">
        <f>VLOOKUP(A414,Jogos!A:BN,62,0)</f>
        <v>639.05</v>
      </c>
      <c r="BE414" s="9">
        <f>VLOOKUP(A414,Jogos!A:BN,63,0)</f>
        <v>1.775</v>
      </c>
      <c r="BF414" s="9">
        <f>VLOOKUP(A414,Jogos!A:BN,64,0)</f>
        <v>25.835</v>
      </c>
      <c r="BG414" s="9">
        <f>VLOOKUP(A414,Jogos!A:BN,65,0)</f>
        <v>47.545</v>
      </c>
      <c r="BH414" s="9">
        <f>VLOOKUP(A414,Jogos!A:BN,66,0)</f>
        <v>30.88</v>
      </c>
      <c r="BI414" s="9"/>
    </row>
    <row r="415" hidden="1">
      <c r="A415" s="10">
        <v>14.0</v>
      </c>
      <c r="B415" s="11" t="s">
        <v>872</v>
      </c>
      <c r="C415" s="2" t="s">
        <v>61</v>
      </c>
      <c r="D415" s="12">
        <v>45826.0</v>
      </c>
      <c r="E415" s="13">
        <v>0.625</v>
      </c>
      <c r="F415" s="5" t="str">
        <f>VLOOKUP(A415,Jogos!A:N,10,0)</f>
        <v>Afternoon</v>
      </c>
      <c r="G415" s="11" t="s">
        <v>62</v>
      </c>
      <c r="H415" s="6" t="str">
        <f>VLOOKUP(A415,Jogos!A:L,12,0)</f>
        <v>Open</v>
      </c>
      <c r="I415" s="6" t="str">
        <f>VLOOKUP(G415,'Estádios e Cidades'!A:B,2,0)</f>
        <v>Miami Gardens - Flórida</v>
      </c>
      <c r="J415" s="11" t="s">
        <v>874</v>
      </c>
      <c r="K415" s="2" t="str">
        <f>VLOOKUP(J415,Equipes!A:F,6,0)</f>
        <v>Tropical</v>
      </c>
      <c r="L415" s="2">
        <f>VLOOKUP(J415,Equipes!A:C,3,0)</f>
        <v>7</v>
      </c>
      <c r="M415" s="2" t="str">
        <f t="shared" si="4"/>
        <v>Quarter-final</v>
      </c>
      <c r="N415" s="11" t="s">
        <v>873</v>
      </c>
      <c r="O415" s="2">
        <f>VLOOKUP(N415,Equipes!A:C,3,0)</f>
        <v>3</v>
      </c>
      <c r="P415" s="2" t="str">
        <f t="shared" si="5"/>
        <v>Semi-final</v>
      </c>
      <c r="Q415" s="2">
        <f t="shared" si="6"/>
        <v>4</v>
      </c>
      <c r="R415" s="2" t="str">
        <f>VLOOKUP(J415,Equipes!A:B,2,0)</f>
        <v>AlHilal</v>
      </c>
      <c r="S415" s="6" t="s">
        <v>929</v>
      </c>
      <c r="T415" s="7">
        <v>24.0</v>
      </c>
      <c r="U415" s="7" t="s">
        <v>930</v>
      </c>
      <c r="V415" s="7" t="str">
        <f>VLOOKUP(U415,Jogadores!B:C,2,0)</f>
        <v>DF</v>
      </c>
      <c r="W415" s="8">
        <f>VLOOKUP(U415,Jogadores!B:D,3,0)</f>
        <v>25.45479452</v>
      </c>
      <c r="X415" s="7">
        <v>83.0</v>
      </c>
      <c r="Y415" s="7">
        <f t="shared" si="1288"/>
        <v>99</v>
      </c>
      <c r="Z415" s="7">
        <f>VLOOKUP(A415,Jogos!A:L,3,0)</f>
        <v>50</v>
      </c>
      <c r="AA415" s="7">
        <f t="shared" si="7"/>
        <v>0</v>
      </c>
      <c r="AB415" s="7">
        <f>VLOOKUP(A415,Jogos!A:L,4,0)</f>
        <v>54</v>
      </c>
      <c r="AC415" s="7">
        <f t="shared" si="657"/>
        <v>16</v>
      </c>
      <c r="AD415" s="7"/>
      <c r="AE415" s="7"/>
      <c r="AF415" s="7">
        <f t="shared" si="9"/>
        <v>16</v>
      </c>
      <c r="AG415" s="7">
        <v>1738.7</v>
      </c>
      <c r="AH415" s="7">
        <v>664.7</v>
      </c>
      <c r="AI415" s="7">
        <v>637.8</v>
      </c>
      <c r="AJ415" s="7">
        <v>241.6</v>
      </c>
      <c r="AK415" s="7">
        <v>117.0</v>
      </c>
      <c r="AL415" s="7">
        <v>77.6</v>
      </c>
      <c r="AM415" s="7">
        <v>22.0</v>
      </c>
      <c r="AN415" s="7">
        <v>8.0</v>
      </c>
      <c r="AO415" s="7">
        <v>31.7</v>
      </c>
      <c r="AP415" s="9">
        <f t="shared" ref="AP415:AR415" si="1295">AG415/$AF415</f>
        <v>108.66875</v>
      </c>
      <c r="AQ415" s="9">
        <f t="shared" si="1295"/>
        <v>41.54375</v>
      </c>
      <c r="AR415" s="9">
        <f t="shared" si="1295"/>
        <v>39.8625</v>
      </c>
      <c r="AS415" s="9">
        <f t="shared" si="11"/>
        <v>81.40625</v>
      </c>
      <c r="AT415" s="9">
        <f t="shared" ref="AT415:AV415" si="1296">AJ415/$AF415</f>
        <v>15.1</v>
      </c>
      <c r="AU415" s="9">
        <f t="shared" si="1296"/>
        <v>7.3125</v>
      </c>
      <c r="AV415" s="9">
        <f t="shared" si="1296"/>
        <v>4.85</v>
      </c>
      <c r="AW415" s="9">
        <f t="shared" si="13"/>
        <v>12.1625</v>
      </c>
      <c r="AX415" s="9">
        <f t="shared" ref="AX415:AY415" si="1297">AM415/$AF415</f>
        <v>1.375</v>
      </c>
      <c r="AY415" s="9">
        <f t="shared" si="1297"/>
        <v>0.5</v>
      </c>
      <c r="AZ415" s="9">
        <f>VLOOKUP(A415,Jogos!A:BN,58,0)</f>
        <v>32.895</v>
      </c>
      <c r="BA415" s="9">
        <f>VLOOKUP(A415,Jogos!A:BN,59,0)</f>
        <v>21.005</v>
      </c>
      <c r="BB415" s="9">
        <f>VLOOKUP(A415,Jogos!A:BN,60,0)</f>
        <v>49</v>
      </c>
      <c r="BC415" s="9">
        <f>VLOOKUP(A415,Jogos!A:BN,61,0)</f>
        <v>35.455</v>
      </c>
      <c r="BD415" s="9">
        <f>VLOOKUP(A415,Jogos!A:BN,62,0)</f>
        <v>639.05</v>
      </c>
      <c r="BE415" s="9">
        <f>VLOOKUP(A415,Jogos!A:BN,63,0)</f>
        <v>1.775</v>
      </c>
      <c r="BF415" s="9">
        <f>VLOOKUP(A415,Jogos!A:BN,64,0)</f>
        <v>25.835</v>
      </c>
      <c r="BG415" s="9">
        <f>VLOOKUP(A415,Jogos!A:BN,65,0)</f>
        <v>47.545</v>
      </c>
      <c r="BH415" s="9">
        <f>VLOOKUP(A415,Jogos!A:BN,66,0)</f>
        <v>30.88</v>
      </c>
      <c r="BI415" s="9"/>
    </row>
    <row r="416" hidden="1">
      <c r="A416" s="10">
        <v>14.0</v>
      </c>
      <c r="B416" s="11" t="s">
        <v>872</v>
      </c>
      <c r="C416" s="2" t="s">
        <v>61</v>
      </c>
      <c r="D416" s="12">
        <v>45826.0</v>
      </c>
      <c r="E416" s="13">
        <v>0.625</v>
      </c>
      <c r="F416" s="5" t="str">
        <f>VLOOKUP(A416,Jogos!A:N,10,0)</f>
        <v>Afternoon</v>
      </c>
      <c r="G416" s="11" t="s">
        <v>62</v>
      </c>
      <c r="H416" s="6" t="str">
        <f>VLOOKUP(A416,Jogos!A:L,12,0)</f>
        <v>Open</v>
      </c>
      <c r="I416" s="6" t="str">
        <f>VLOOKUP(G416,'Estádios e Cidades'!A:B,2,0)</f>
        <v>Miami Gardens - Flórida</v>
      </c>
      <c r="J416" s="11" t="s">
        <v>874</v>
      </c>
      <c r="K416" s="2" t="str">
        <f>VLOOKUP(J416,Equipes!A:F,6,0)</f>
        <v>Tropical</v>
      </c>
      <c r="L416" s="2">
        <f>VLOOKUP(J416,Equipes!A:C,3,0)</f>
        <v>7</v>
      </c>
      <c r="M416" s="2" t="str">
        <f t="shared" si="4"/>
        <v>Quarter-final</v>
      </c>
      <c r="N416" s="11" t="s">
        <v>873</v>
      </c>
      <c r="O416" s="2">
        <f>VLOOKUP(N416,Equipes!A:C,3,0)</f>
        <v>3</v>
      </c>
      <c r="P416" s="2" t="str">
        <f t="shared" si="5"/>
        <v>Semi-final</v>
      </c>
      <c r="Q416" s="2">
        <f t="shared" si="6"/>
        <v>4</v>
      </c>
      <c r="R416" s="2" t="str">
        <f>VLOOKUP(J416,Equipes!A:B,2,0)</f>
        <v>AlHilal</v>
      </c>
      <c r="S416" s="6" t="s">
        <v>931</v>
      </c>
      <c r="T416" s="7">
        <v>28.0</v>
      </c>
      <c r="U416" s="7" t="s">
        <v>932</v>
      </c>
      <c r="V416" s="7" t="str">
        <f>VLOOKUP(U416,Jogadores!B:C,2,0)</f>
        <v>MF</v>
      </c>
      <c r="W416" s="8">
        <f>VLOOKUP(U416,Jogadores!B:D,3,0)</f>
        <v>30.86849315</v>
      </c>
      <c r="X416" s="7">
        <v>76.0</v>
      </c>
      <c r="Y416" s="7">
        <f t="shared" si="1288"/>
        <v>99</v>
      </c>
      <c r="Z416" s="7">
        <f>VLOOKUP(A416,Jogos!A:L,3,0)</f>
        <v>50</v>
      </c>
      <c r="AA416" s="7">
        <f t="shared" si="7"/>
        <v>0</v>
      </c>
      <c r="AB416" s="7">
        <f>VLOOKUP(A416,Jogos!A:L,4,0)</f>
        <v>54</v>
      </c>
      <c r="AC416" s="7">
        <f t="shared" si="657"/>
        <v>23</v>
      </c>
      <c r="AD416" s="7"/>
      <c r="AE416" s="7"/>
      <c r="AF416" s="7">
        <f t="shared" si="9"/>
        <v>23</v>
      </c>
      <c r="AG416" s="7">
        <v>2290.7</v>
      </c>
      <c r="AH416" s="7">
        <v>935.1</v>
      </c>
      <c r="AI416" s="7">
        <v>750.8</v>
      </c>
      <c r="AJ416" s="7">
        <v>313.2</v>
      </c>
      <c r="AK416" s="7">
        <v>196.5</v>
      </c>
      <c r="AL416" s="7">
        <v>95.3</v>
      </c>
      <c r="AM416" s="7">
        <v>23.0</v>
      </c>
      <c r="AN416" s="7">
        <v>15.0</v>
      </c>
      <c r="AO416" s="7">
        <v>32.1</v>
      </c>
      <c r="AP416" s="9">
        <f t="shared" ref="AP416:AR416" si="1298">AG416/$AF416</f>
        <v>99.59565217</v>
      </c>
      <c r="AQ416" s="9">
        <f t="shared" si="1298"/>
        <v>40.65652174</v>
      </c>
      <c r="AR416" s="9">
        <f t="shared" si="1298"/>
        <v>32.64347826</v>
      </c>
      <c r="AS416" s="9">
        <f t="shared" si="11"/>
        <v>73.3</v>
      </c>
      <c r="AT416" s="9">
        <f t="shared" ref="AT416:AV416" si="1299">AJ416/$AF416</f>
        <v>13.6173913</v>
      </c>
      <c r="AU416" s="9">
        <f t="shared" si="1299"/>
        <v>8.543478261</v>
      </c>
      <c r="AV416" s="9">
        <f t="shared" si="1299"/>
        <v>4.143478261</v>
      </c>
      <c r="AW416" s="9">
        <f t="shared" si="13"/>
        <v>12.68695652</v>
      </c>
      <c r="AX416" s="9">
        <f t="shared" ref="AX416:AY416" si="1300">AM416/$AF416</f>
        <v>1</v>
      </c>
      <c r="AY416" s="9">
        <f t="shared" si="1300"/>
        <v>0.652173913</v>
      </c>
      <c r="AZ416" s="9">
        <f>VLOOKUP(A416,Jogos!A:BN,58,0)</f>
        <v>32.895</v>
      </c>
      <c r="BA416" s="9">
        <f>VLOOKUP(A416,Jogos!A:BN,59,0)</f>
        <v>21.005</v>
      </c>
      <c r="BB416" s="9">
        <f>VLOOKUP(A416,Jogos!A:BN,60,0)</f>
        <v>49</v>
      </c>
      <c r="BC416" s="9">
        <f>VLOOKUP(A416,Jogos!A:BN,61,0)</f>
        <v>35.455</v>
      </c>
      <c r="BD416" s="9">
        <f>VLOOKUP(A416,Jogos!A:BN,62,0)</f>
        <v>639.05</v>
      </c>
      <c r="BE416" s="9">
        <f>VLOOKUP(A416,Jogos!A:BN,63,0)</f>
        <v>1.775</v>
      </c>
      <c r="BF416" s="9">
        <f>VLOOKUP(A416,Jogos!A:BN,64,0)</f>
        <v>25.835</v>
      </c>
      <c r="BG416" s="9">
        <f>VLOOKUP(A416,Jogos!A:BN,65,0)</f>
        <v>47.545</v>
      </c>
      <c r="BH416" s="9">
        <f>VLOOKUP(A416,Jogos!A:BN,66,0)</f>
        <v>30.88</v>
      </c>
      <c r="BI416" s="9"/>
    </row>
    <row r="417" hidden="1">
      <c r="A417" s="10">
        <v>14.0</v>
      </c>
      <c r="B417" s="11" t="s">
        <v>872</v>
      </c>
      <c r="C417" s="2" t="s">
        <v>61</v>
      </c>
      <c r="D417" s="12">
        <v>45826.0</v>
      </c>
      <c r="E417" s="13">
        <v>0.625</v>
      </c>
      <c r="F417" s="5" t="str">
        <f>VLOOKUP(A417,Jogos!A:N,10,0)</f>
        <v>Afternoon</v>
      </c>
      <c r="G417" s="11" t="s">
        <v>62</v>
      </c>
      <c r="H417" s="6" t="str">
        <f>VLOOKUP(A417,Jogos!A:L,12,0)</f>
        <v>Open</v>
      </c>
      <c r="I417" s="6" t="str">
        <f>VLOOKUP(G417,'Estádios e Cidades'!A:B,2,0)</f>
        <v>Miami Gardens - Flórida</v>
      </c>
      <c r="J417" s="11" t="s">
        <v>874</v>
      </c>
      <c r="K417" s="2" t="str">
        <f>VLOOKUP(J417,Equipes!A:F,6,0)</f>
        <v>Tropical</v>
      </c>
      <c r="L417" s="2">
        <f>VLOOKUP(J417,Equipes!A:C,3,0)</f>
        <v>7</v>
      </c>
      <c r="M417" s="2" t="str">
        <f t="shared" si="4"/>
        <v>Quarter-final</v>
      </c>
      <c r="N417" s="11" t="s">
        <v>873</v>
      </c>
      <c r="O417" s="2">
        <f>VLOOKUP(N417,Equipes!A:C,3,0)</f>
        <v>3</v>
      </c>
      <c r="P417" s="2" t="str">
        <f t="shared" si="5"/>
        <v>Semi-final</v>
      </c>
      <c r="Q417" s="2">
        <f t="shared" si="6"/>
        <v>4</v>
      </c>
      <c r="R417" s="2" t="str">
        <f>VLOOKUP(J417,Equipes!A:B,2,0)</f>
        <v>AlHilal</v>
      </c>
      <c r="S417" s="6" t="s">
        <v>933</v>
      </c>
      <c r="T417" s="7">
        <v>88.0</v>
      </c>
      <c r="U417" s="7" t="s">
        <v>934</v>
      </c>
      <c r="V417" s="7" t="str">
        <f>VLOOKUP(U417,Jogadores!B:C,2,0)</f>
        <v>DF</v>
      </c>
      <c r="W417" s="8">
        <f>VLOOKUP(U417,Jogadores!B:D,3,0)</f>
        <v>26.21643836</v>
      </c>
      <c r="X417" s="7">
        <v>64.0</v>
      </c>
      <c r="Y417" s="7">
        <f t="shared" si="1288"/>
        <v>99</v>
      </c>
      <c r="Z417" s="7">
        <f>VLOOKUP(A417,Jogos!A:L,3,0)</f>
        <v>50</v>
      </c>
      <c r="AA417" s="7">
        <f t="shared" si="7"/>
        <v>0</v>
      </c>
      <c r="AB417" s="7">
        <f>VLOOKUP(A417,Jogos!A:L,4,0)</f>
        <v>54</v>
      </c>
      <c r="AC417" s="7">
        <f t="shared" si="657"/>
        <v>35</v>
      </c>
      <c r="AD417" s="7"/>
      <c r="AE417" s="7"/>
      <c r="AF417" s="7">
        <f t="shared" si="9"/>
        <v>35</v>
      </c>
      <c r="AG417" s="7">
        <v>3029.5</v>
      </c>
      <c r="AH417" s="7">
        <v>1268.1</v>
      </c>
      <c r="AI417" s="7">
        <v>1280.5</v>
      </c>
      <c r="AJ417" s="7">
        <v>336.0</v>
      </c>
      <c r="AK417" s="7">
        <v>71.1</v>
      </c>
      <c r="AL417" s="7">
        <v>73.8</v>
      </c>
      <c r="AM417" s="7">
        <v>24.0</v>
      </c>
      <c r="AN417" s="7">
        <v>6.0</v>
      </c>
      <c r="AO417" s="7">
        <v>31.6</v>
      </c>
      <c r="AP417" s="9">
        <f t="shared" ref="AP417:AR417" si="1301">AG417/$AF417</f>
        <v>86.55714286</v>
      </c>
      <c r="AQ417" s="9">
        <f t="shared" si="1301"/>
        <v>36.23142857</v>
      </c>
      <c r="AR417" s="9">
        <f t="shared" si="1301"/>
        <v>36.58571429</v>
      </c>
      <c r="AS417" s="9">
        <f t="shared" si="11"/>
        <v>72.81714286</v>
      </c>
      <c r="AT417" s="9">
        <f t="shared" ref="AT417:AV417" si="1302">AJ417/$AF417</f>
        <v>9.6</v>
      </c>
      <c r="AU417" s="9">
        <f t="shared" si="1302"/>
        <v>2.031428571</v>
      </c>
      <c r="AV417" s="9">
        <f t="shared" si="1302"/>
        <v>2.108571429</v>
      </c>
      <c r="AW417" s="9">
        <f t="shared" si="13"/>
        <v>4.14</v>
      </c>
      <c r="AX417" s="9">
        <f t="shared" ref="AX417:AY417" si="1303">AM417/$AF417</f>
        <v>0.6857142857</v>
      </c>
      <c r="AY417" s="9">
        <f t="shared" si="1303"/>
        <v>0.1714285714</v>
      </c>
      <c r="AZ417" s="9">
        <f>VLOOKUP(A417,Jogos!A:BN,58,0)</f>
        <v>32.895</v>
      </c>
      <c r="BA417" s="9">
        <f>VLOOKUP(A417,Jogos!A:BN,59,0)</f>
        <v>21.005</v>
      </c>
      <c r="BB417" s="9">
        <f>VLOOKUP(A417,Jogos!A:BN,60,0)</f>
        <v>49</v>
      </c>
      <c r="BC417" s="9">
        <f>VLOOKUP(A417,Jogos!A:BN,61,0)</f>
        <v>35.455</v>
      </c>
      <c r="BD417" s="9">
        <f>VLOOKUP(A417,Jogos!A:BN,62,0)</f>
        <v>639.05</v>
      </c>
      <c r="BE417" s="9">
        <f>VLOOKUP(A417,Jogos!A:BN,63,0)</f>
        <v>1.775</v>
      </c>
      <c r="BF417" s="9">
        <f>VLOOKUP(A417,Jogos!A:BN,64,0)</f>
        <v>25.835</v>
      </c>
      <c r="BG417" s="9">
        <f>VLOOKUP(A417,Jogos!A:BN,65,0)</f>
        <v>47.545</v>
      </c>
      <c r="BH417" s="9">
        <f>VLOOKUP(A417,Jogos!A:BN,66,0)</f>
        <v>30.88</v>
      </c>
      <c r="BI417" s="9"/>
    </row>
    <row r="418" hidden="1">
      <c r="A418" s="2">
        <v>15.0</v>
      </c>
      <c r="B418" s="11" t="s">
        <v>872</v>
      </c>
      <c r="C418" s="2" t="s">
        <v>61</v>
      </c>
      <c r="D418" s="3">
        <v>45826.0</v>
      </c>
      <c r="E418" s="4">
        <v>0.75</v>
      </c>
      <c r="F418" s="5" t="str">
        <f>VLOOKUP(A418,Jogos!A:N,10,0)</f>
        <v>Evening</v>
      </c>
      <c r="G418" s="2" t="s">
        <v>122</v>
      </c>
      <c r="H418" s="6" t="str">
        <f>VLOOKUP(A418,Jogos!A:L,12,0)</f>
        <v>Open</v>
      </c>
      <c r="I418" s="6" t="str">
        <f>VLOOKUP(G418,'Estádios e Cidades'!A:B,2,0)</f>
        <v>Cincinnati</v>
      </c>
      <c r="J418" s="2" t="s">
        <v>935</v>
      </c>
      <c r="K418" s="2" t="str">
        <f>VLOOKUP(J418,Equipes!A:F,6,0)</f>
        <v>Temperate</v>
      </c>
      <c r="L418" s="2">
        <f>VLOOKUP(J418,Equipes!A:C,3,0)</f>
        <v>30</v>
      </c>
      <c r="M418" s="2" t="str">
        <f t="shared" si="4"/>
        <v>Group</v>
      </c>
      <c r="N418" s="2" t="s">
        <v>936</v>
      </c>
      <c r="O418" s="2">
        <f>VLOOKUP(N418,Equipes!A:C,3,0)</f>
        <v>20</v>
      </c>
      <c r="P418" s="2" t="str">
        <f t="shared" si="5"/>
        <v>Group</v>
      </c>
      <c r="Q418" s="2">
        <f t="shared" si="6"/>
        <v>10</v>
      </c>
      <c r="R418" s="2" t="str">
        <f>VLOOKUP(J418,Equipes!A:B,2,0)</f>
        <v>Pachuca</v>
      </c>
      <c r="S418" s="6" t="s">
        <v>937</v>
      </c>
      <c r="T418" s="7">
        <v>4.0</v>
      </c>
      <c r="U418" s="7" t="s">
        <v>938</v>
      </c>
      <c r="V418" s="7" t="str">
        <f>VLOOKUP(U418,Jogadores!B:C,2,0)</f>
        <v>DF</v>
      </c>
      <c r="W418" s="8">
        <f>VLOOKUP(U418,Jogadores!B:D,3,0)</f>
        <v>29.4739726</v>
      </c>
      <c r="X418" s="7">
        <v>0.0</v>
      </c>
      <c r="Y418" s="7">
        <f t="shared" si="1288"/>
        <v>93</v>
      </c>
      <c r="Z418" s="7">
        <f>VLOOKUP(A418,Jogos!A:L,3,0)</f>
        <v>46</v>
      </c>
      <c r="AA418" s="7">
        <f t="shared" si="7"/>
        <v>46</v>
      </c>
      <c r="AB418" s="7">
        <f>VLOOKUP(A418,Jogos!A:L,4,0)</f>
        <v>48</v>
      </c>
      <c r="AC418" s="7">
        <f t="shared" si="657"/>
        <v>48</v>
      </c>
      <c r="AD418" s="7"/>
      <c r="AE418" s="7"/>
      <c r="AF418" s="7">
        <f t="shared" si="9"/>
        <v>94</v>
      </c>
      <c r="AG418" s="7">
        <v>9816.8</v>
      </c>
      <c r="AH418" s="7">
        <v>3937.2</v>
      </c>
      <c r="AI418" s="7">
        <v>4405.3</v>
      </c>
      <c r="AJ418" s="7">
        <v>995.9</v>
      </c>
      <c r="AK418" s="7">
        <v>333.0</v>
      </c>
      <c r="AL418" s="7">
        <v>145.5</v>
      </c>
      <c r="AM418" s="7">
        <v>97.0</v>
      </c>
      <c r="AN418" s="7">
        <v>29.0</v>
      </c>
      <c r="AO418" s="7">
        <v>44.9</v>
      </c>
      <c r="AP418" s="9">
        <f t="shared" ref="AP418:AR418" si="1304">AG418/$AF418</f>
        <v>104.4340426</v>
      </c>
      <c r="AQ418" s="9">
        <f t="shared" si="1304"/>
        <v>41.88510638</v>
      </c>
      <c r="AR418" s="9">
        <f t="shared" si="1304"/>
        <v>46.86489362</v>
      </c>
      <c r="AS418" s="9">
        <f t="shared" si="11"/>
        <v>88.75</v>
      </c>
      <c r="AT418" s="9">
        <f t="shared" ref="AT418:AV418" si="1305">AJ418/$AF418</f>
        <v>10.59468085</v>
      </c>
      <c r="AU418" s="9">
        <f t="shared" si="1305"/>
        <v>3.542553191</v>
      </c>
      <c r="AV418" s="9">
        <f t="shared" si="1305"/>
        <v>1.54787234</v>
      </c>
      <c r="AW418" s="9">
        <f t="shared" si="13"/>
        <v>5.090425532</v>
      </c>
      <c r="AX418" s="9">
        <f t="shared" ref="AX418:AY418" si="1306">AM418/$AF418</f>
        <v>1.031914894</v>
      </c>
      <c r="AY418" s="9">
        <f t="shared" si="1306"/>
        <v>0.3085106383</v>
      </c>
      <c r="AZ418" s="9">
        <f>VLOOKUP(A418,Jogos!A:BN,58,0)</f>
        <v>24.4075</v>
      </c>
      <c r="BA418" s="9">
        <f>VLOOKUP(A418,Jogos!A:BN,59,0)</f>
        <v>20.5975</v>
      </c>
      <c r="BB418" s="9">
        <f>VLOOKUP(A418,Jogos!A:BN,60,0)</f>
        <v>79</v>
      </c>
      <c r="BC418" s="9">
        <f>VLOOKUP(A418,Jogos!A:BN,61,0)</f>
        <v>22.3825</v>
      </c>
      <c r="BD418" s="9">
        <f>VLOOKUP(A418,Jogos!A:BN,62,0)</f>
        <v>103.675</v>
      </c>
      <c r="BE418" s="9">
        <f>VLOOKUP(A418,Jogos!A:BN,63,0)</f>
        <v>2.895</v>
      </c>
      <c r="BF418" s="9">
        <f>VLOOKUP(A418,Jogos!A:BN,64,0)</f>
        <v>22.1075</v>
      </c>
      <c r="BG418" s="9">
        <f>VLOOKUP(A418,Jogos!A:BN,65,0)</f>
        <v>37.2575</v>
      </c>
      <c r="BH418" s="9">
        <f>VLOOKUP(A418,Jogos!A:BN,66,0)</f>
        <v>25.3675</v>
      </c>
      <c r="BI418" s="9"/>
    </row>
    <row r="419" hidden="1">
      <c r="A419" s="2">
        <v>15.0</v>
      </c>
      <c r="B419" s="11" t="s">
        <v>872</v>
      </c>
      <c r="C419" s="2" t="s">
        <v>61</v>
      </c>
      <c r="D419" s="3">
        <v>45826.0</v>
      </c>
      <c r="E419" s="4">
        <v>0.75</v>
      </c>
      <c r="F419" s="5" t="str">
        <f>VLOOKUP(A419,Jogos!A:N,10,0)</f>
        <v>Evening</v>
      </c>
      <c r="G419" s="2" t="s">
        <v>122</v>
      </c>
      <c r="H419" s="6" t="str">
        <f>VLOOKUP(A419,Jogos!A:L,12,0)</f>
        <v>Open</v>
      </c>
      <c r="I419" s="6" t="str">
        <f>VLOOKUP(G419,'Estádios e Cidades'!A:B,2,0)</f>
        <v>Cincinnati</v>
      </c>
      <c r="J419" s="2" t="s">
        <v>935</v>
      </c>
      <c r="K419" s="2" t="str">
        <f>VLOOKUP(J419,Equipes!A:F,6,0)</f>
        <v>Temperate</v>
      </c>
      <c r="L419" s="2">
        <f>VLOOKUP(J419,Equipes!A:C,3,0)</f>
        <v>30</v>
      </c>
      <c r="M419" s="2" t="str">
        <f t="shared" si="4"/>
        <v>Group</v>
      </c>
      <c r="N419" s="2" t="s">
        <v>936</v>
      </c>
      <c r="O419" s="2">
        <f>VLOOKUP(N419,Equipes!A:C,3,0)</f>
        <v>20</v>
      </c>
      <c r="P419" s="2" t="str">
        <f t="shared" si="5"/>
        <v>Group</v>
      </c>
      <c r="Q419" s="2">
        <f t="shared" si="6"/>
        <v>10</v>
      </c>
      <c r="R419" s="2" t="str">
        <f>VLOOKUP(J419,Equipes!A:B,2,0)</f>
        <v>Pachuca</v>
      </c>
      <c r="S419" s="6" t="s">
        <v>939</v>
      </c>
      <c r="T419" s="7">
        <v>5.0</v>
      </c>
      <c r="U419" s="7" t="s">
        <v>940</v>
      </c>
      <c r="V419" s="7" t="str">
        <f>VLOOKUP(U419,Jogadores!B:C,2,0)</f>
        <v>MF</v>
      </c>
      <c r="W419" s="8">
        <f>VLOOKUP(U419,Jogadores!B:D,3,0)</f>
        <v>25.26027397</v>
      </c>
      <c r="X419" s="7">
        <v>0.0</v>
      </c>
      <c r="Y419" s="7">
        <v>54.0</v>
      </c>
      <c r="Z419" s="7">
        <f>VLOOKUP(A419,Jogos!A:L,3,0)</f>
        <v>46</v>
      </c>
      <c r="AA419" s="7">
        <f t="shared" si="7"/>
        <v>46</v>
      </c>
      <c r="AB419" s="7">
        <f>VLOOKUP(A419,Jogos!A:L,4,0)</f>
        <v>48</v>
      </c>
      <c r="AC419" s="7">
        <f t="shared" si="657"/>
        <v>9</v>
      </c>
      <c r="AD419" s="7"/>
      <c r="AE419" s="7"/>
      <c r="AF419" s="7">
        <f t="shared" si="9"/>
        <v>55</v>
      </c>
      <c r="AG419" s="7">
        <v>6598.5</v>
      </c>
      <c r="AH419" s="7">
        <v>2082.5</v>
      </c>
      <c r="AI419" s="7">
        <v>3347.0</v>
      </c>
      <c r="AJ419" s="7">
        <v>869.0</v>
      </c>
      <c r="AK419" s="7">
        <v>248.6</v>
      </c>
      <c r="AL419" s="7">
        <v>51.6</v>
      </c>
      <c r="AM419" s="7">
        <v>74.0</v>
      </c>
      <c r="AN419" s="7">
        <v>22.0</v>
      </c>
      <c r="AO419" s="7">
        <v>28.5</v>
      </c>
      <c r="AP419" s="9">
        <f t="shared" ref="AP419:AR419" si="1307">AG419/$AF419</f>
        <v>119.9727273</v>
      </c>
      <c r="AQ419" s="9">
        <f t="shared" si="1307"/>
        <v>37.86363636</v>
      </c>
      <c r="AR419" s="9">
        <f t="shared" si="1307"/>
        <v>60.85454545</v>
      </c>
      <c r="AS419" s="9">
        <f t="shared" si="11"/>
        <v>98.71818182</v>
      </c>
      <c r="AT419" s="9">
        <f t="shared" ref="AT419:AV419" si="1308">AJ419/$AF419</f>
        <v>15.8</v>
      </c>
      <c r="AU419" s="9">
        <f t="shared" si="1308"/>
        <v>4.52</v>
      </c>
      <c r="AV419" s="9">
        <f t="shared" si="1308"/>
        <v>0.9381818182</v>
      </c>
      <c r="AW419" s="9">
        <f t="shared" si="13"/>
        <v>5.458181818</v>
      </c>
      <c r="AX419" s="9">
        <f t="shared" ref="AX419:AY419" si="1309">AM419/$AF419</f>
        <v>1.345454545</v>
      </c>
      <c r="AY419" s="9">
        <f t="shared" si="1309"/>
        <v>0.4</v>
      </c>
      <c r="AZ419" s="9">
        <f>VLOOKUP(A419,Jogos!A:BN,58,0)</f>
        <v>24.4075</v>
      </c>
      <c r="BA419" s="9">
        <f>VLOOKUP(A419,Jogos!A:BN,59,0)</f>
        <v>20.5975</v>
      </c>
      <c r="BB419" s="9">
        <f>VLOOKUP(A419,Jogos!A:BN,60,0)</f>
        <v>79</v>
      </c>
      <c r="BC419" s="9">
        <f>VLOOKUP(A419,Jogos!A:BN,61,0)</f>
        <v>22.3825</v>
      </c>
      <c r="BD419" s="9">
        <f>VLOOKUP(A419,Jogos!A:BN,62,0)</f>
        <v>103.675</v>
      </c>
      <c r="BE419" s="9">
        <f>VLOOKUP(A419,Jogos!A:BN,63,0)</f>
        <v>2.895</v>
      </c>
      <c r="BF419" s="9">
        <f>VLOOKUP(A419,Jogos!A:BN,64,0)</f>
        <v>22.1075</v>
      </c>
      <c r="BG419" s="9">
        <f>VLOOKUP(A419,Jogos!A:BN,65,0)</f>
        <v>37.2575</v>
      </c>
      <c r="BH419" s="9">
        <f>VLOOKUP(A419,Jogos!A:BN,66,0)</f>
        <v>25.3675</v>
      </c>
      <c r="BI419" s="9"/>
    </row>
    <row r="420" hidden="1">
      <c r="A420" s="2">
        <v>15.0</v>
      </c>
      <c r="B420" s="11" t="s">
        <v>872</v>
      </c>
      <c r="C420" s="2" t="s">
        <v>61</v>
      </c>
      <c r="D420" s="3">
        <v>45826.0</v>
      </c>
      <c r="E420" s="4">
        <v>0.75</v>
      </c>
      <c r="F420" s="5" t="str">
        <f>VLOOKUP(A420,Jogos!A:N,10,0)</f>
        <v>Evening</v>
      </c>
      <c r="G420" s="2" t="s">
        <v>122</v>
      </c>
      <c r="H420" s="6" t="str">
        <f>VLOOKUP(A420,Jogos!A:L,12,0)</f>
        <v>Open</v>
      </c>
      <c r="I420" s="6" t="str">
        <f>VLOOKUP(G420,'Estádios e Cidades'!A:B,2,0)</f>
        <v>Cincinnati</v>
      </c>
      <c r="J420" s="2" t="s">
        <v>935</v>
      </c>
      <c r="K420" s="2" t="str">
        <f>VLOOKUP(J420,Equipes!A:F,6,0)</f>
        <v>Temperate</v>
      </c>
      <c r="L420" s="2">
        <f>VLOOKUP(J420,Equipes!A:C,3,0)</f>
        <v>30</v>
      </c>
      <c r="M420" s="2" t="str">
        <f t="shared" si="4"/>
        <v>Group</v>
      </c>
      <c r="N420" s="2" t="s">
        <v>936</v>
      </c>
      <c r="O420" s="2">
        <f>VLOOKUP(N420,Equipes!A:C,3,0)</f>
        <v>20</v>
      </c>
      <c r="P420" s="2" t="str">
        <f t="shared" si="5"/>
        <v>Group</v>
      </c>
      <c r="Q420" s="2">
        <f t="shared" si="6"/>
        <v>10</v>
      </c>
      <c r="R420" s="2" t="str">
        <f>VLOOKUP(J420,Equipes!A:B,2,0)</f>
        <v>Pachuca</v>
      </c>
      <c r="S420" s="6" t="s">
        <v>941</v>
      </c>
      <c r="T420" s="7">
        <v>8.0</v>
      </c>
      <c r="U420" s="7" t="s">
        <v>942</v>
      </c>
      <c r="V420" s="7" t="str">
        <f>VLOOKUP(U420,Jogadores!B:C,2,0)</f>
        <v>DF</v>
      </c>
      <c r="W420" s="8">
        <f>VLOOKUP(U420,Jogadores!B:D,3,0)</f>
        <v>22.31506849</v>
      </c>
      <c r="X420" s="7">
        <v>0.0</v>
      </c>
      <c r="Y420" s="7">
        <f>45+AB420</f>
        <v>93</v>
      </c>
      <c r="Z420" s="7">
        <f>VLOOKUP(A420,Jogos!A:L,3,0)</f>
        <v>46</v>
      </c>
      <c r="AA420" s="7">
        <f t="shared" si="7"/>
        <v>46</v>
      </c>
      <c r="AB420" s="7">
        <f>VLOOKUP(A420,Jogos!A:L,4,0)</f>
        <v>48</v>
      </c>
      <c r="AC420" s="7">
        <f t="shared" si="657"/>
        <v>48</v>
      </c>
      <c r="AD420" s="7"/>
      <c r="AE420" s="7"/>
      <c r="AF420" s="7">
        <f t="shared" si="9"/>
        <v>94</v>
      </c>
      <c r="AG420" s="7">
        <v>10418.0</v>
      </c>
      <c r="AH420" s="7">
        <v>3916.0</v>
      </c>
      <c r="AI420" s="7">
        <v>4411.9</v>
      </c>
      <c r="AJ420" s="7">
        <v>1290.9</v>
      </c>
      <c r="AK420" s="7">
        <v>571.0</v>
      </c>
      <c r="AL420" s="7">
        <v>228.3</v>
      </c>
      <c r="AM420" s="7">
        <v>116.0</v>
      </c>
      <c r="AN420" s="7">
        <v>48.0</v>
      </c>
      <c r="AO420" s="7">
        <v>43.2</v>
      </c>
      <c r="AP420" s="9">
        <f t="shared" ref="AP420:AR420" si="1310">AG420/$AF420</f>
        <v>110.8297872</v>
      </c>
      <c r="AQ420" s="9">
        <f t="shared" si="1310"/>
        <v>41.65957447</v>
      </c>
      <c r="AR420" s="9">
        <f t="shared" si="1310"/>
        <v>46.93510638</v>
      </c>
      <c r="AS420" s="9">
        <f t="shared" si="11"/>
        <v>88.59468085</v>
      </c>
      <c r="AT420" s="9">
        <f t="shared" ref="AT420:AV420" si="1311">AJ420/$AF420</f>
        <v>13.73297872</v>
      </c>
      <c r="AU420" s="9">
        <f t="shared" si="1311"/>
        <v>6.074468085</v>
      </c>
      <c r="AV420" s="9">
        <f t="shared" si="1311"/>
        <v>2.428723404</v>
      </c>
      <c r="AW420" s="9">
        <f t="shared" si="13"/>
        <v>8.503191489</v>
      </c>
      <c r="AX420" s="9">
        <f t="shared" ref="AX420:AY420" si="1312">AM420/$AF420</f>
        <v>1.234042553</v>
      </c>
      <c r="AY420" s="9">
        <f t="shared" si="1312"/>
        <v>0.5106382979</v>
      </c>
      <c r="AZ420" s="9">
        <f>VLOOKUP(A420,Jogos!A:BN,58,0)</f>
        <v>24.4075</v>
      </c>
      <c r="BA420" s="9">
        <f>VLOOKUP(A420,Jogos!A:BN,59,0)</f>
        <v>20.5975</v>
      </c>
      <c r="BB420" s="9">
        <f>VLOOKUP(A420,Jogos!A:BN,60,0)</f>
        <v>79</v>
      </c>
      <c r="BC420" s="9">
        <f>VLOOKUP(A420,Jogos!A:BN,61,0)</f>
        <v>22.3825</v>
      </c>
      <c r="BD420" s="9">
        <f>VLOOKUP(A420,Jogos!A:BN,62,0)</f>
        <v>103.675</v>
      </c>
      <c r="BE420" s="9">
        <f>VLOOKUP(A420,Jogos!A:BN,63,0)</f>
        <v>2.895</v>
      </c>
      <c r="BF420" s="9">
        <f>VLOOKUP(A420,Jogos!A:BN,64,0)</f>
        <v>22.1075</v>
      </c>
      <c r="BG420" s="9">
        <f>VLOOKUP(A420,Jogos!A:BN,65,0)</f>
        <v>37.2575</v>
      </c>
      <c r="BH420" s="9">
        <f>VLOOKUP(A420,Jogos!A:BN,66,0)</f>
        <v>25.3675</v>
      </c>
      <c r="BI420" s="9"/>
    </row>
    <row r="421" hidden="1">
      <c r="A421" s="2">
        <v>15.0</v>
      </c>
      <c r="B421" s="11" t="s">
        <v>872</v>
      </c>
      <c r="C421" s="2" t="s">
        <v>61</v>
      </c>
      <c r="D421" s="3">
        <v>45826.0</v>
      </c>
      <c r="E421" s="4">
        <v>0.75</v>
      </c>
      <c r="F421" s="5" t="str">
        <f>VLOOKUP(A421,Jogos!A:N,10,0)</f>
        <v>Evening</v>
      </c>
      <c r="G421" s="2" t="s">
        <v>122</v>
      </c>
      <c r="H421" s="6" t="str">
        <f>VLOOKUP(A421,Jogos!A:L,12,0)</f>
        <v>Open</v>
      </c>
      <c r="I421" s="6" t="str">
        <f>VLOOKUP(G421,'Estádios e Cidades'!A:B,2,0)</f>
        <v>Cincinnati</v>
      </c>
      <c r="J421" s="2" t="s">
        <v>935</v>
      </c>
      <c r="K421" s="2" t="str">
        <f>VLOOKUP(J421,Equipes!A:F,6,0)</f>
        <v>Temperate</v>
      </c>
      <c r="L421" s="2">
        <f>VLOOKUP(J421,Equipes!A:C,3,0)</f>
        <v>30</v>
      </c>
      <c r="M421" s="2" t="str">
        <f t="shared" si="4"/>
        <v>Group</v>
      </c>
      <c r="N421" s="2" t="s">
        <v>936</v>
      </c>
      <c r="O421" s="2">
        <f>VLOOKUP(N421,Equipes!A:C,3,0)</f>
        <v>20</v>
      </c>
      <c r="P421" s="2" t="str">
        <f t="shared" si="5"/>
        <v>Group</v>
      </c>
      <c r="Q421" s="2">
        <f t="shared" si="6"/>
        <v>10</v>
      </c>
      <c r="R421" s="2" t="str">
        <f>VLOOKUP(J421,Equipes!A:B,2,0)</f>
        <v>Pachuca</v>
      </c>
      <c r="S421" s="6" t="s">
        <v>943</v>
      </c>
      <c r="T421" s="7">
        <v>12.0</v>
      </c>
      <c r="U421" s="7" t="s">
        <v>944</v>
      </c>
      <c r="V421" s="7" t="str">
        <f>VLOOKUP(U421,Jogadores!B:C,2,0)</f>
        <v>FW</v>
      </c>
      <c r="W421" s="8">
        <f>VLOOKUP(U421,Jogadores!B:D,3,0)</f>
        <v>20.57808219</v>
      </c>
      <c r="X421" s="7">
        <v>0.0</v>
      </c>
      <c r="Y421" s="7">
        <v>87.0</v>
      </c>
      <c r="Z421" s="7">
        <f>VLOOKUP(A421,Jogos!A:L,3,0)</f>
        <v>46</v>
      </c>
      <c r="AA421" s="7">
        <f t="shared" si="7"/>
        <v>46</v>
      </c>
      <c r="AB421" s="7">
        <f>VLOOKUP(A421,Jogos!A:L,4,0)</f>
        <v>48</v>
      </c>
      <c r="AC421" s="7">
        <f t="shared" si="657"/>
        <v>42</v>
      </c>
      <c r="AD421" s="7"/>
      <c r="AE421" s="7"/>
      <c r="AF421" s="7">
        <f t="shared" si="9"/>
        <v>88</v>
      </c>
      <c r="AG421" s="7">
        <v>10520.2</v>
      </c>
      <c r="AH421" s="7">
        <v>3555.5</v>
      </c>
      <c r="AI421" s="7">
        <v>4739.0</v>
      </c>
      <c r="AJ421" s="7">
        <v>1381.3</v>
      </c>
      <c r="AK421" s="7">
        <v>538.6</v>
      </c>
      <c r="AL421" s="7">
        <v>305.8</v>
      </c>
      <c r="AM421" s="7">
        <v>134.0</v>
      </c>
      <c r="AN421" s="7">
        <v>51.0</v>
      </c>
      <c r="AO421" s="7">
        <v>43.7</v>
      </c>
      <c r="AP421" s="9">
        <f t="shared" ref="AP421:AR421" si="1313">AG421/$AF421</f>
        <v>119.5477273</v>
      </c>
      <c r="AQ421" s="9">
        <f t="shared" si="1313"/>
        <v>40.40340909</v>
      </c>
      <c r="AR421" s="9">
        <f t="shared" si="1313"/>
        <v>53.85227273</v>
      </c>
      <c r="AS421" s="9">
        <f t="shared" si="11"/>
        <v>94.25568182</v>
      </c>
      <c r="AT421" s="9">
        <f t="shared" ref="AT421:AV421" si="1314">AJ421/$AF421</f>
        <v>15.69659091</v>
      </c>
      <c r="AU421" s="9">
        <f t="shared" si="1314"/>
        <v>6.120454545</v>
      </c>
      <c r="AV421" s="9">
        <f t="shared" si="1314"/>
        <v>3.475</v>
      </c>
      <c r="AW421" s="9">
        <f t="shared" si="13"/>
        <v>9.595454545</v>
      </c>
      <c r="AX421" s="9">
        <f t="shared" ref="AX421:AY421" si="1315">AM421/$AF421</f>
        <v>1.522727273</v>
      </c>
      <c r="AY421" s="9">
        <f t="shared" si="1315"/>
        <v>0.5795454545</v>
      </c>
      <c r="AZ421" s="9">
        <f>VLOOKUP(A421,Jogos!A:BN,58,0)</f>
        <v>24.4075</v>
      </c>
      <c r="BA421" s="9">
        <f>VLOOKUP(A421,Jogos!A:BN,59,0)</f>
        <v>20.5975</v>
      </c>
      <c r="BB421" s="9">
        <f>VLOOKUP(A421,Jogos!A:BN,60,0)</f>
        <v>79</v>
      </c>
      <c r="BC421" s="9">
        <f>VLOOKUP(A421,Jogos!A:BN,61,0)</f>
        <v>22.3825</v>
      </c>
      <c r="BD421" s="9">
        <f>VLOOKUP(A421,Jogos!A:BN,62,0)</f>
        <v>103.675</v>
      </c>
      <c r="BE421" s="9">
        <f>VLOOKUP(A421,Jogos!A:BN,63,0)</f>
        <v>2.895</v>
      </c>
      <c r="BF421" s="9">
        <f>VLOOKUP(A421,Jogos!A:BN,64,0)</f>
        <v>22.1075</v>
      </c>
      <c r="BG421" s="9">
        <f>VLOOKUP(A421,Jogos!A:BN,65,0)</f>
        <v>37.2575</v>
      </c>
      <c r="BH421" s="9">
        <f>VLOOKUP(A421,Jogos!A:BN,66,0)</f>
        <v>25.3675</v>
      </c>
      <c r="BI421" s="9"/>
    </row>
    <row r="422" hidden="1">
      <c r="A422" s="2">
        <v>15.0</v>
      </c>
      <c r="B422" s="11" t="s">
        <v>872</v>
      </c>
      <c r="C422" s="2" t="s">
        <v>61</v>
      </c>
      <c r="D422" s="3">
        <v>45826.0</v>
      </c>
      <c r="E422" s="4">
        <v>0.75</v>
      </c>
      <c r="F422" s="5" t="str">
        <f>VLOOKUP(A422,Jogos!A:N,10,0)</f>
        <v>Evening</v>
      </c>
      <c r="G422" s="2" t="s">
        <v>122</v>
      </c>
      <c r="H422" s="6" t="str">
        <f>VLOOKUP(A422,Jogos!A:L,12,0)</f>
        <v>Open</v>
      </c>
      <c r="I422" s="6" t="str">
        <f>VLOOKUP(G422,'Estádios e Cidades'!A:B,2,0)</f>
        <v>Cincinnati</v>
      </c>
      <c r="J422" s="2" t="s">
        <v>935</v>
      </c>
      <c r="K422" s="2" t="str">
        <f>VLOOKUP(J422,Equipes!A:F,6,0)</f>
        <v>Temperate</v>
      </c>
      <c r="L422" s="2">
        <f>VLOOKUP(J422,Equipes!A:C,3,0)</f>
        <v>30</v>
      </c>
      <c r="M422" s="2" t="str">
        <f t="shared" si="4"/>
        <v>Group</v>
      </c>
      <c r="N422" s="2" t="s">
        <v>936</v>
      </c>
      <c r="O422" s="2">
        <f>VLOOKUP(N422,Equipes!A:C,3,0)</f>
        <v>20</v>
      </c>
      <c r="P422" s="2" t="str">
        <f t="shared" si="5"/>
        <v>Group</v>
      </c>
      <c r="Q422" s="2">
        <f t="shared" si="6"/>
        <v>10</v>
      </c>
      <c r="R422" s="2" t="str">
        <f>VLOOKUP(J422,Equipes!A:B,2,0)</f>
        <v>Pachuca</v>
      </c>
      <c r="S422" s="6" t="s">
        <v>945</v>
      </c>
      <c r="T422" s="7">
        <v>16.0</v>
      </c>
      <c r="U422" s="7" t="s">
        <v>946</v>
      </c>
      <c r="V422" s="7" t="str">
        <f>VLOOKUP(U422,Jogadores!B:C,2,0)</f>
        <v>DF</v>
      </c>
      <c r="W422" s="8">
        <f>VLOOKUP(U422,Jogadores!B:D,3,0)</f>
        <v>25.44109589</v>
      </c>
      <c r="X422" s="7">
        <v>0.0</v>
      </c>
      <c r="Y422" s="7">
        <f>45+AB422</f>
        <v>93</v>
      </c>
      <c r="Z422" s="7">
        <f>VLOOKUP(A422,Jogos!A:L,3,0)</f>
        <v>46</v>
      </c>
      <c r="AA422" s="7">
        <f t="shared" si="7"/>
        <v>46</v>
      </c>
      <c r="AB422" s="7">
        <f>VLOOKUP(A422,Jogos!A:L,4,0)</f>
        <v>48</v>
      </c>
      <c r="AC422" s="7">
        <f t="shared" si="657"/>
        <v>48</v>
      </c>
      <c r="AD422" s="7"/>
      <c r="AE422" s="7"/>
      <c r="AF422" s="7">
        <f t="shared" si="9"/>
        <v>94</v>
      </c>
      <c r="AG422" s="7">
        <v>9941.5</v>
      </c>
      <c r="AH422" s="7">
        <v>3799.6</v>
      </c>
      <c r="AI422" s="7">
        <v>4395.2</v>
      </c>
      <c r="AJ422" s="7">
        <v>1118.4</v>
      </c>
      <c r="AK422" s="7">
        <v>403.5</v>
      </c>
      <c r="AL422" s="7">
        <v>224.8</v>
      </c>
      <c r="AM422" s="7">
        <v>102.0</v>
      </c>
      <c r="AN422" s="7">
        <v>38.0</v>
      </c>
      <c r="AO422" s="7">
        <v>43.5</v>
      </c>
      <c r="AP422" s="9">
        <f t="shared" ref="AP422:AR422" si="1316">AG422/$AF422</f>
        <v>105.7606383</v>
      </c>
      <c r="AQ422" s="9">
        <f t="shared" si="1316"/>
        <v>40.4212766</v>
      </c>
      <c r="AR422" s="9">
        <f t="shared" si="1316"/>
        <v>46.75744681</v>
      </c>
      <c r="AS422" s="9">
        <f t="shared" si="11"/>
        <v>87.1787234</v>
      </c>
      <c r="AT422" s="9">
        <f t="shared" ref="AT422:AV422" si="1317">AJ422/$AF422</f>
        <v>11.89787234</v>
      </c>
      <c r="AU422" s="9">
        <f t="shared" si="1317"/>
        <v>4.292553191</v>
      </c>
      <c r="AV422" s="9">
        <f t="shared" si="1317"/>
        <v>2.391489362</v>
      </c>
      <c r="AW422" s="9">
        <f t="shared" si="13"/>
        <v>6.684042553</v>
      </c>
      <c r="AX422" s="9">
        <f t="shared" ref="AX422:AY422" si="1318">AM422/$AF422</f>
        <v>1.085106383</v>
      </c>
      <c r="AY422" s="9">
        <f t="shared" si="1318"/>
        <v>0.4042553191</v>
      </c>
      <c r="AZ422" s="9">
        <f>VLOOKUP(A422,Jogos!A:BN,58,0)</f>
        <v>24.4075</v>
      </c>
      <c r="BA422" s="9">
        <f>VLOOKUP(A422,Jogos!A:BN,59,0)</f>
        <v>20.5975</v>
      </c>
      <c r="BB422" s="9">
        <f>VLOOKUP(A422,Jogos!A:BN,60,0)</f>
        <v>79</v>
      </c>
      <c r="BC422" s="9">
        <f>VLOOKUP(A422,Jogos!A:BN,61,0)</f>
        <v>22.3825</v>
      </c>
      <c r="BD422" s="9">
        <f>VLOOKUP(A422,Jogos!A:BN,62,0)</f>
        <v>103.675</v>
      </c>
      <c r="BE422" s="9">
        <f>VLOOKUP(A422,Jogos!A:BN,63,0)</f>
        <v>2.895</v>
      </c>
      <c r="BF422" s="9">
        <f>VLOOKUP(A422,Jogos!A:BN,64,0)</f>
        <v>22.1075</v>
      </c>
      <c r="BG422" s="9">
        <f>VLOOKUP(A422,Jogos!A:BN,65,0)</f>
        <v>37.2575</v>
      </c>
      <c r="BH422" s="9">
        <f>VLOOKUP(A422,Jogos!A:BN,66,0)</f>
        <v>25.3675</v>
      </c>
      <c r="BI422" s="9"/>
    </row>
    <row r="423" hidden="1">
      <c r="A423" s="2">
        <v>15.0</v>
      </c>
      <c r="B423" s="11" t="s">
        <v>872</v>
      </c>
      <c r="C423" s="2" t="s">
        <v>61</v>
      </c>
      <c r="D423" s="3">
        <v>45826.0</v>
      </c>
      <c r="E423" s="4">
        <v>0.75</v>
      </c>
      <c r="F423" s="5" t="str">
        <f>VLOOKUP(A423,Jogos!A:N,10,0)</f>
        <v>Evening</v>
      </c>
      <c r="G423" s="2" t="s">
        <v>122</v>
      </c>
      <c r="H423" s="6" t="str">
        <f>VLOOKUP(A423,Jogos!A:L,12,0)</f>
        <v>Open</v>
      </c>
      <c r="I423" s="6" t="str">
        <f>VLOOKUP(G423,'Estádios e Cidades'!A:B,2,0)</f>
        <v>Cincinnati</v>
      </c>
      <c r="J423" s="2" t="s">
        <v>935</v>
      </c>
      <c r="K423" s="2" t="str">
        <f>VLOOKUP(J423,Equipes!A:F,6,0)</f>
        <v>Temperate</v>
      </c>
      <c r="L423" s="2">
        <f>VLOOKUP(J423,Equipes!A:C,3,0)</f>
        <v>30</v>
      </c>
      <c r="M423" s="2" t="str">
        <f t="shared" si="4"/>
        <v>Group</v>
      </c>
      <c r="N423" s="2" t="s">
        <v>936</v>
      </c>
      <c r="O423" s="2">
        <f>VLOOKUP(N423,Equipes!A:C,3,0)</f>
        <v>20</v>
      </c>
      <c r="P423" s="2" t="str">
        <f t="shared" si="5"/>
        <v>Group</v>
      </c>
      <c r="Q423" s="2">
        <f t="shared" si="6"/>
        <v>10</v>
      </c>
      <c r="R423" s="2" t="str">
        <f>VLOOKUP(J423,Equipes!A:B,2,0)</f>
        <v>Pachuca</v>
      </c>
      <c r="S423" s="6" t="s">
        <v>947</v>
      </c>
      <c r="T423" s="7">
        <v>18.0</v>
      </c>
      <c r="U423" s="7" t="s">
        <v>948</v>
      </c>
      <c r="V423" s="7" t="str">
        <f>VLOOKUP(U423,Jogadores!B:C,2,0)</f>
        <v>MF</v>
      </c>
      <c r="W423" s="8">
        <f>VLOOKUP(U423,Jogadores!B:D,3,0)</f>
        <v>28.73424658</v>
      </c>
      <c r="X423" s="7">
        <v>0.0</v>
      </c>
      <c r="Y423" s="7">
        <v>77.0</v>
      </c>
      <c r="Z423" s="7">
        <f>VLOOKUP(A423,Jogos!A:L,3,0)</f>
        <v>46</v>
      </c>
      <c r="AA423" s="7">
        <f t="shared" si="7"/>
        <v>46</v>
      </c>
      <c r="AB423" s="7">
        <f>VLOOKUP(A423,Jogos!A:L,4,0)</f>
        <v>48</v>
      </c>
      <c r="AC423" s="7">
        <f t="shared" si="657"/>
        <v>32</v>
      </c>
      <c r="AD423" s="7"/>
      <c r="AE423" s="7"/>
      <c r="AF423" s="7">
        <f t="shared" si="9"/>
        <v>78</v>
      </c>
      <c r="AG423" s="7">
        <v>10080.4</v>
      </c>
      <c r="AH423" s="7">
        <v>3034.4</v>
      </c>
      <c r="AI423" s="7">
        <v>4775.2</v>
      </c>
      <c r="AJ423" s="7">
        <v>1706.7</v>
      </c>
      <c r="AK423" s="7">
        <v>440.7</v>
      </c>
      <c r="AL423" s="7">
        <v>123.4</v>
      </c>
      <c r="AM423" s="7">
        <v>164.0</v>
      </c>
      <c r="AN423" s="7">
        <v>40.0</v>
      </c>
      <c r="AO423" s="7">
        <v>41.6</v>
      </c>
      <c r="AP423" s="9">
        <f t="shared" ref="AP423:AR423" si="1319">AG423/$AF423</f>
        <v>129.2358974</v>
      </c>
      <c r="AQ423" s="9">
        <f t="shared" si="1319"/>
        <v>38.9025641</v>
      </c>
      <c r="AR423" s="9">
        <f t="shared" si="1319"/>
        <v>61.22051282</v>
      </c>
      <c r="AS423" s="9">
        <f t="shared" si="11"/>
        <v>100.1230769</v>
      </c>
      <c r="AT423" s="9">
        <f t="shared" ref="AT423:AV423" si="1320">AJ423/$AF423</f>
        <v>21.88076923</v>
      </c>
      <c r="AU423" s="9">
        <f t="shared" si="1320"/>
        <v>5.65</v>
      </c>
      <c r="AV423" s="9">
        <f t="shared" si="1320"/>
        <v>1.582051282</v>
      </c>
      <c r="AW423" s="9">
        <f t="shared" si="13"/>
        <v>7.232051282</v>
      </c>
      <c r="AX423" s="9">
        <f t="shared" ref="AX423:AY423" si="1321">AM423/$AF423</f>
        <v>2.102564103</v>
      </c>
      <c r="AY423" s="9">
        <f t="shared" si="1321"/>
        <v>0.5128205128</v>
      </c>
      <c r="AZ423" s="9">
        <f>VLOOKUP(A423,Jogos!A:BN,58,0)</f>
        <v>24.4075</v>
      </c>
      <c r="BA423" s="9">
        <f>VLOOKUP(A423,Jogos!A:BN,59,0)</f>
        <v>20.5975</v>
      </c>
      <c r="BB423" s="9">
        <f>VLOOKUP(A423,Jogos!A:BN,60,0)</f>
        <v>79</v>
      </c>
      <c r="BC423" s="9">
        <f>VLOOKUP(A423,Jogos!A:BN,61,0)</f>
        <v>22.3825</v>
      </c>
      <c r="BD423" s="9">
        <f>VLOOKUP(A423,Jogos!A:BN,62,0)</f>
        <v>103.675</v>
      </c>
      <c r="BE423" s="9">
        <f>VLOOKUP(A423,Jogos!A:BN,63,0)</f>
        <v>2.895</v>
      </c>
      <c r="BF423" s="9">
        <f>VLOOKUP(A423,Jogos!A:BN,64,0)</f>
        <v>22.1075</v>
      </c>
      <c r="BG423" s="9">
        <f>VLOOKUP(A423,Jogos!A:BN,65,0)</f>
        <v>37.2575</v>
      </c>
      <c r="BH423" s="9">
        <f>VLOOKUP(A423,Jogos!A:BN,66,0)</f>
        <v>25.3675</v>
      </c>
      <c r="BI423" s="9"/>
    </row>
    <row r="424" hidden="1">
      <c r="A424" s="2">
        <v>15.0</v>
      </c>
      <c r="B424" s="11" t="s">
        <v>872</v>
      </c>
      <c r="C424" s="2" t="s">
        <v>61</v>
      </c>
      <c r="D424" s="3">
        <v>45826.0</v>
      </c>
      <c r="E424" s="4">
        <v>0.75</v>
      </c>
      <c r="F424" s="5" t="str">
        <f>VLOOKUP(A424,Jogos!A:N,10,0)</f>
        <v>Evening</v>
      </c>
      <c r="G424" s="2" t="s">
        <v>122</v>
      </c>
      <c r="H424" s="6" t="str">
        <f>VLOOKUP(A424,Jogos!A:L,12,0)</f>
        <v>Open</v>
      </c>
      <c r="I424" s="6" t="str">
        <f>VLOOKUP(G424,'Estádios e Cidades'!A:B,2,0)</f>
        <v>Cincinnati</v>
      </c>
      <c r="J424" s="2" t="s">
        <v>935</v>
      </c>
      <c r="K424" s="2" t="str">
        <f>VLOOKUP(J424,Equipes!A:F,6,0)</f>
        <v>Temperate</v>
      </c>
      <c r="L424" s="2">
        <f>VLOOKUP(J424,Equipes!A:C,3,0)</f>
        <v>30</v>
      </c>
      <c r="M424" s="2" t="str">
        <f t="shared" si="4"/>
        <v>Group</v>
      </c>
      <c r="N424" s="2" t="s">
        <v>936</v>
      </c>
      <c r="O424" s="2">
        <f>VLOOKUP(N424,Equipes!A:C,3,0)</f>
        <v>20</v>
      </c>
      <c r="P424" s="2" t="str">
        <f t="shared" si="5"/>
        <v>Group</v>
      </c>
      <c r="Q424" s="2">
        <f t="shared" si="6"/>
        <v>10</v>
      </c>
      <c r="R424" s="2" t="str">
        <f>VLOOKUP(J424,Equipes!A:B,2,0)</f>
        <v>Pachuca</v>
      </c>
      <c r="S424" s="6" t="s">
        <v>949</v>
      </c>
      <c r="T424" s="7">
        <v>23.0</v>
      </c>
      <c r="U424" s="7" t="s">
        <v>950</v>
      </c>
      <c r="V424" s="7" t="str">
        <f>VLOOKUP(U424,Jogadores!B:C,2,0)</f>
        <v>FW</v>
      </c>
      <c r="W424" s="8">
        <f>VLOOKUP(U424,Jogadores!B:D,3,0)</f>
        <v>35.88767123</v>
      </c>
      <c r="X424" s="7">
        <v>0.0</v>
      </c>
      <c r="Y424" s="7">
        <f t="shared" ref="Y424:Y425" si="1325">45+AB424</f>
        <v>93</v>
      </c>
      <c r="Z424" s="7">
        <f>VLOOKUP(A424,Jogos!A:L,3,0)</f>
        <v>46</v>
      </c>
      <c r="AA424" s="7">
        <f t="shared" si="7"/>
        <v>46</v>
      </c>
      <c r="AB424" s="7">
        <f>VLOOKUP(A424,Jogos!A:L,4,0)</f>
        <v>48</v>
      </c>
      <c r="AC424" s="7">
        <f t="shared" si="657"/>
        <v>48</v>
      </c>
      <c r="AD424" s="7"/>
      <c r="AE424" s="7"/>
      <c r="AF424" s="7">
        <f t="shared" si="9"/>
        <v>94</v>
      </c>
      <c r="AG424" s="7">
        <v>9626.1</v>
      </c>
      <c r="AH424" s="7">
        <v>4523.9</v>
      </c>
      <c r="AI424" s="7">
        <v>3814.6</v>
      </c>
      <c r="AJ424" s="7">
        <v>832.6</v>
      </c>
      <c r="AK424" s="7">
        <v>294.5</v>
      </c>
      <c r="AL424" s="7">
        <v>160.6</v>
      </c>
      <c r="AM424" s="7">
        <v>77.0</v>
      </c>
      <c r="AN424" s="7">
        <v>25.0</v>
      </c>
      <c r="AO424" s="7">
        <v>44.1</v>
      </c>
      <c r="AP424" s="9">
        <f t="shared" ref="AP424:AR424" si="1322">AG424/$AF424</f>
        <v>102.4053191</v>
      </c>
      <c r="AQ424" s="9">
        <f t="shared" si="1322"/>
        <v>48.12659574</v>
      </c>
      <c r="AR424" s="9">
        <f t="shared" si="1322"/>
        <v>40.58085106</v>
      </c>
      <c r="AS424" s="9">
        <f t="shared" si="11"/>
        <v>88.70744681</v>
      </c>
      <c r="AT424" s="9">
        <f t="shared" ref="AT424:AV424" si="1323">AJ424/$AF424</f>
        <v>8.857446809</v>
      </c>
      <c r="AU424" s="9">
        <f t="shared" si="1323"/>
        <v>3.132978723</v>
      </c>
      <c r="AV424" s="9">
        <f t="shared" si="1323"/>
        <v>1.708510638</v>
      </c>
      <c r="AW424" s="9">
        <f t="shared" si="13"/>
        <v>4.841489362</v>
      </c>
      <c r="AX424" s="9">
        <f t="shared" ref="AX424:AY424" si="1324">AM424/$AF424</f>
        <v>0.8191489362</v>
      </c>
      <c r="AY424" s="9">
        <f t="shared" si="1324"/>
        <v>0.2659574468</v>
      </c>
      <c r="AZ424" s="9">
        <f>VLOOKUP(A424,Jogos!A:BN,58,0)</f>
        <v>24.4075</v>
      </c>
      <c r="BA424" s="9">
        <f>VLOOKUP(A424,Jogos!A:BN,59,0)</f>
        <v>20.5975</v>
      </c>
      <c r="BB424" s="9">
        <f>VLOOKUP(A424,Jogos!A:BN,60,0)</f>
        <v>79</v>
      </c>
      <c r="BC424" s="9">
        <f>VLOOKUP(A424,Jogos!A:BN,61,0)</f>
        <v>22.3825</v>
      </c>
      <c r="BD424" s="9">
        <f>VLOOKUP(A424,Jogos!A:BN,62,0)</f>
        <v>103.675</v>
      </c>
      <c r="BE424" s="9">
        <f>VLOOKUP(A424,Jogos!A:BN,63,0)</f>
        <v>2.895</v>
      </c>
      <c r="BF424" s="9">
        <f>VLOOKUP(A424,Jogos!A:BN,64,0)</f>
        <v>22.1075</v>
      </c>
      <c r="BG424" s="9">
        <f>VLOOKUP(A424,Jogos!A:BN,65,0)</f>
        <v>37.2575</v>
      </c>
      <c r="BH424" s="9">
        <f>VLOOKUP(A424,Jogos!A:BN,66,0)</f>
        <v>25.3675</v>
      </c>
      <c r="BI424" s="9"/>
    </row>
    <row r="425" hidden="1">
      <c r="A425" s="2">
        <v>15.0</v>
      </c>
      <c r="B425" s="11" t="s">
        <v>872</v>
      </c>
      <c r="C425" s="2" t="s">
        <v>61</v>
      </c>
      <c r="D425" s="3">
        <v>45826.0</v>
      </c>
      <c r="E425" s="4">
        <v>0.75</v>
      </c>
      <c r="F425" s="5" t="str">
        <f>VLOOKUP(A425,Jogos!A:N,10,0)</f>
        <v>Evening</v>
      </c>
      <c r="G425" s="2" t="s">
        <v>122</v>
      </c>
      <c r="H425" s="6" t="str">
        <f>VLOOKUP(A425,Jogos!A:L,12,0)</f>
        <v>Open</v>
      </c>
      <c r="I425" s="6" t="str">
        <f>VLOOKUP(G425,'Estádios e Cidades'!A:B,2,0)</f>
        <v>Cincinnati</v>
      </c>
      <c r="J425" s="2" t="s">
        <v>935</v>
      </c>
      <c r="K425" s="2" t="str">
        <f>VLOOKUP(J425,Equipes!A:F,6,0)</f>
        <v>Temperate</v>
      </c>
      <c r="L425" s="2">
        <f>VLOOKUP(J425,Equipes!A:C,3,0)</f>
        <v>30</v>
      </c>
      <c r="M425" s="2" t="str">
        <f t="shared" si="4"/>
        <v>Group</v>
      </c>
      <c r="N425" s="2" t="s">
        <v>936</v>
      </c>
      <c r="O425" s="2">
        <f>VLOOKUP(N425,Equipes!A:C,3,0)</f>
        <v>20</v>
      </c>
      <c r="P425" s="2" t="str">
        <f t="shared" si="5"/>
        <v>Group</v>
      </c>
      <c r="Q425" s="2">
        <f t="shared" si="6"/>
        <v>10</v>
      </c>
      <c r="R425" s="2" t="str">
        <f>VLOOKUP(J425,Equipes!A:B,2,0)</f>
        <v>Pachuca</v>
      </c>
      <c r="S425" s="6" t="s">
        <v>951</v>
      </c>
      <c r="T425" s="7">
        <v>24.0</v>
      </c>
      <c r="U425" s="7" t="s">
        <v>952</v>
      </c>
      <c r="V425" s="7" t="str">
        <f>VLOOKUP(U425,Jogadores!B:C,2,0)</f>
        <v>DF</v>
      </c>
      <c r="W425" s="8">
        <f>VLOOKUP(U425,Jogadores!B:D,3,0)</f>
        <v>34.53972603</v>
      </c>
      <c r="X425" s="7">
        <v>0.0</v>
      </c>
      <c r="Y425" s="7">
        <f t="shared" si="1325"/>
        <v>93</v>
      </c>
      <c r="Z425" s="7">
        <f>VLOOKUP(A425,Jogos!A:L,3,0)</f>
        <v>46</v>
      </c>
      <c r="AA425" s="7">
        <f t="shared" si="7"/>
        <v>46</v>
      </c>
      <c r="AB425" s="7">
        <f>VLOOKUP(A425,Jogos!A:L,4,0)</f>
        <v>48</v>
      </c>
      <c r="AC425" s="7">
        <f t="shared" si="657"/>
        <v>48</v>
      </c>
      <c r="AD425" s="7"/>
      <c r="AE425" s="7"/>
      <c r="AF425" s="7">
        <f t="shared" si="9"/>
        <v>94</v>
      </c>
      <c r="AG425" s="7">
        <v>9639.7</v>
      </c>
      <c r="AH425" s="7">
        <v>3804.1</v>
      </c>
      <c r="AI425" s="7">
        <v>4084.8</v>
      </c>
      <c r="AJ425" s="7">
        <v>1125.6</v>
      </c>
      <c r="AK425" s="7">
        <v>423.4</v>
      </c>
      <c r="AL425" s="7">
        <v>201.8</v>
      </c>
      <c r="AM425" s="7">
        <v>108.0</v>
      </c>
      <c r="AN425" s="7">
        <v>38.0</v>
      </c>
      <c r="AO425" s="7">
        <v>44.3</v>
      </c>
      <c r="AP425" s="9">
        <f t="shared" ref="AP425:AR425" si="1326">AG425/$AF425</f>
        <v>102.55</v>
      </c>
      <c r="AQ425" s="9">
        <f t="shared" si="1326"/>
        <v>40.46914894</v>
      </c>
      <c r="AR425" s="9">
        <f t="shared" si="1326"/>
        <v>43.45531915</v>
      </c>
      <c r="AS425" s="9">
        <f t="shared" si="11"/>
        <v>83.92446809</v>
      </c>
      <c r="AT425" s="9">
        <f t="shared" ref="AT425:AV425" si="1327">AJ425/$AF425</f>
        <v>11.97446809</v>
      </c>
      <c r="AU425" s="9">
        <f t="shared" si="1327"/>
        <v>4.504255319</v>
      </c>
      <c r="AV425" s="9">
        <f t="shared" si="1327"/>
        <v>2.146808511</v>
      </c>
      <c r="AW425" s="9">
        <f t="shared" si="13"/>
        <v>6.65106383</v>
      </c>
      <c r="AX425" s="9">
        <f t="shared" ref="AX425:AY425" si="1328">AM425/$AF425</f>
        <v>1.14893617</v>
      </c>
      <c r="AY425" s="9">
        <f t="shared" si="1328"/>
        <v>0.4042553191</v>
      </c>
      <c r="AZ425" s="9">
        <f>VLOOKUP(A425,Jogos!A:BN,58,0)</f>
        <v>24.4075</v>
      </c>
      <c r="BA425" s="9">
        <f>VLOOKUP(A425,Jogos!A:BN,59,0)</f>
        <v>20.5975</v>
      </c>
      <c r="BB425" s="9">
        <f>VLOOKUP(A425,Jogos!A:BN,60,0)</f>
        <v>79</v>
      </c>
      <c r="BC425" s="9">
        <f>VLOOKUP(A425,Jogos!A:BN,61,0)</f>
        <v>22.3825</v>
      </c>
      <c r="BD425" s="9">
        <f>VLOOKUP(A425,Jogos!A:BN,62,0)</f>
        <v>103.675</v>
      </c>
      <c r="BE425" s="9">
        <f>VLOOKUP(A425,Jogos!A:BN,63,0)</f>
        <v>2.895</v>
      </c>
      <c r="BF425" s="9">
        <f>VLOOKUP(A425,Jogos!A:BN,64,0)</f>
        <v>22.1075</v>
      </c>
      <c r="BG425" s="9">
        <f>VLOOKUP(A425,Jogos!A:BN,65,0)</f>
        <v>37.2575</v>
      </c>
      <c r="BH425" s="9">
        <f>VLOOKUP(A425,Jogos!A:BN,66,0)</f>
        <v>25.3675</v>
      </c>
      <c r="BI425" s="9"/>
    </row>
    <row r="426" hidden="1">
      <c r="A426" s="2">
        <v>15.0</v>
      </c>
      <c r="B426" s="11" t="s">
        <v>872</v>
      </c>
      <c r="C426" s="2" t="s">
        <v>61</v>
      </c>
      <c r="D426" s="3">
        <v>45826.0</v>
      </c>
      <c r="E426" s="4">
        <v>0.75</v>
      </c>
      <c r="F426" s="5" t="str">
        <f>VLOOKUP(A426,Jogos!A:N,10,0)</f>
        <v>Evening</v>
      </c>
      <c r="G426" s="2" t="s">
        <v>122</v>
      </c>
      <c r="H426" s="6" t="str">
        <f>VLOOKUP(A426,Jogos!A:L,12,0)</f>
        <v>Open</v>
      </c>
      <c r="I426" s="6" t="str">
        <f>VLOOKUP(G426,'Estádios e Cidades'!A:B,2,0)</f>
        <v>Cincinnati</v>
      </c>
      <c r="J426" s="2" t="s">
        <v>935</v>
      </c>
      <c r="K426" s="2" t="str">
        <f>VLOOKUP(J426,Equipes!A:F,6,0)</f>
        <v>Temperate</v>
      </c>
      <c r="L426" s="2">
        <f>VLOOKUP(J426,Equipes!A:C,3,0)</f>
        <v>30</v>
      </c>
      <c r="M426" s="2" t="str">
        <f t="shared" si="4"/>
        <v>Group</v>
      </c>
      <c r="N426" s="2" t="s">
        <v>936</v>
      </c>
      <c r="O426" s="2">
        <f>VLOOKUP(N426,Equipes!A:C,3,0)</f>
        <v>20</v>
      </c>
      <c r="P426" s="2" t="str">
        <f t="shared" si="5"/>
        <v>Group</v>
      </c>
      <c r="Q426" s="2">
        <f t="shared" si="6"/>
        <v>10</v>
      </c>
      <c r="R426" s="2" t="str">
        <f>VLOOKUP(J426,Equipes!A:B,2,0)</f>
        <v>Pachuca</v>
      </c>
      <c r="S426" s="6" t="s">
        <v>953</v>
      </c>
      <c r="T426" s="7">
        <v>28.0</v>
      </c>
      <c r="U426" s="7" t="s">
        <v>954</v>
      </c>
      <c r="V426" s="7" t="str">
        <f>VLOOKUP(U426,Jogadores!B:C,2,0)</f>
        <v>MF</v>
      </c>
      <c r="W426" s="8">
        <f>VLOOKUP(U426,Jogadores!B:D,3,0)</f>
        <v>19.81917808</v>
      </c>
      <c r="X426" s="7">
        <v>0.0</v>
      </c>
      <c r="Y426" s="7">
        <v>87.0</v>
      </c>
      <c r="Z426" s="7">
        <f>VLOOKUP(A426,Jogos!A:L,3,0)</f>
        <v>46</v>
      </c>
      <c r="AA426" s="7">
        <f t="shared" si="7"/>
        <v>46</v>
      </c>
      <c r="AB426" s="7">
        <f>VLOOKUP(A426,Jogos!A:L,4,0)</f>
        <v>48</v>
      </c>
      <c r="AC426" s="7">
        <f t="shared" si="657"/>
        <v>42</v>
      </c>
      <c r="AD426" s="7"/>
      <c r="AE426" s="7"/>
      <c r="AF426" s="7">
        <f t="shared" si="9"/>
        <v>88</v>
      </c>
      <c r="AG426" s="7">
        <v>11440.7</v>
      </c>
      <c r="AH426" s="7">
        <v>2893.1</v>
      </c>
      <c r="AI426" s="7">
        <v>5694.0</v>
      </c>
      <c r="AJ426" s="7">
        <v>2228.3</v>
      </c>
      <c r="AK426" s="7">
        <v>601.1</v>
      </c>
      <c r="AL426" s="7">
        <v>24.2</v>
      </c>
      <c r="AM426" s="7">
        <v>172.0</v>
      </c>
      <c r="AN426" s="7">
        <v>47.0</v>
      </c>
      <c r="AO426" s="7">
        <v>39.4</v>
      </c>
      <c r="AP426" s="9">
        <f t="shared" ref="AP426:AR426" si="1329">AG426/$AF426</f>
        <v>130.0079545</v>
      </c>
      <c r="AQ426" s="9">
        <f t="shared" si="1329"/>
        <v>32.87613636</v>
      </c>
      <c r="AR426" s="9">
        <f t="shared" si="1329"/>
        <v>64.70454545</v>
      </c>
      <c r="AS426" s="9">
        <f t="shared" si="11"/>
        <v>97.58068182</v>
      </c>
      <c r="AT426" s="9">
        <f t="shared" ref="AT426:AV426" si="1330">AJ426/$AF426</f>
        <v>25.32159091</v>
      </c>
      <c r="AU426" s="9">
        <f t="shared" si="1330"/>
        <v>6.830681818</v>
      </c>
      <c r="AV426" s="9">
        <f t="shared" si="1330"/>
        <v>0.275</v>
      </c>
      <c r="AW426" s="9">
        <f t="shared" si="13"/>
        <v>7.105681818</v>
      </c>
      <c r="AX426" s="9">
        <f t="shared" ref="AX426:AY426" si="1331">AM426/$AF426</f>
        <v>1.954545455</v>
      </c>
      <c r="AY426" s="9">
        <f t="shared" si="1331"/>
        <v>0.5340909091</v>
      </c>
      <c r="AZ426" s="9">
        <f>VLOOKUP(A426,Jogos!A:BN,58,0)</f>
        <v>24.4075</v>
      </c>
      <c r="BA426" s="9">
        <f>VLOOKUP(A426,Jogos!A:BN,59,0)</f>
        <v>20.5975</v>
      </c>
      <c r="BB426" s="9">
        <f>VLOOKUP(A426,Jogos!A:BN,60,0)</f>
        <v>79</v>
      </c>
      <c r="BC426" s="9">
        <f>VLOOKUP(A426,Jogos!A:BN,61,0)</f>
        <v>22.3825</v>
      </c>
      <c r="BD426" s="9">
        <f>VLOOKUP(A426,Jogos!A:BN,62,0)</f>
        <v>103.675</v>
      </c>
      <c r="BE426" s="9">
        <f>VLOOKUP(A426,Jogos!A:BN,63,0)</f>
        <v>2.895</v>
      </c>
      <c r="BF426" s="9">
        <f>VLOOKUP(A426,Jogos!A:BN,64,0)</f>
        <v>22.1075</v>
      </c>
      <c r="BG426" s="9">
        <f>VLOOKUP(A426,Jogos!A:BN,65,0)</f>
        <v>37.2575</v>
      </c>
      <c r="BH426" s="9">
        <f>VLOOKUP(A426,Jogos!A:BN,66,0)</f>
        <v>25.3675</v>
      </c>
      <c r="BI426" s="9"/>
    </row>
    <row r="427" hidden="1">
      <c r="A427" s="2">
        <v>15.0</v>
      </c>
      <c r="B427" s="11" t="s">
        <v>872</v>
      </c>
      <c r="C427" s="2" t="s">
        <v>61</v>
      </c>
      <c r="D427" s="3">
        <v>45826.0</v>
      </c>
      <c r="E427" s="4">
        <v>0.75</v>
      </c>
      <c r="F427" s="5" t="str">
        <f>VLOOKUP(A427,Jogos!A:N,10,0)</f>
        <v>Evening</v>
      </c>
      <c r="G427" s="2" t="s">
        <v>122</v>
      </c>
      <c r="H427" s="6" t="str">
        <f>VLOOKUP(A427,Jogos!A:L,12,0)</f>
        <v>Open</v>
      </c>
      <c r="I427" s="6" t="str">
        <f>VLOOKUP(G427,'Estádios e Cidades'!A:B,2,0)</f>
        <v>Cincinnati</v>
      </c>
      <c r="J427" s="2" t="s">
        <v>935</v>
      </c>
      <c r="K427" s="2" t="str">
        <f>VLOOKUP(J427,Equipes!A:F,6,0)</f>
        <v>Temperate</v>
      </c>
      <c r="L427" s="2">
        <f>VLOOKUP(J427,Equipes!A:C,3,0)</f>
        <v>30</v>
      </c>
      <c r="M427" s="2" t="str">
        <f t="shared" si="4"/>
        <v>Group</v>
      </c>
      <c r="N427" s="2" t="s">
        <v>936</v>
      </c>
      <c r="O427" s="2">
        <f>VLOOKUP(N427,Equipes!A:C,3,0)</f>
        <v>20</v>
      </c>
      <c r="P427" s="2" t="str">
        <f t="shared" si="5"/>
        <v>Group</v>
      </c>
      <c r="Q427" s="2">
        <f t="shared" si="6"/>
        <v>10</v>
      </c>
      <c r="R427" s="2" t="str">
        <f>VLOOKUP(J427,Equipes!A:B,2,0)</f>
        <v>Pachuca</v>
      </c>
      <c r="S427" s="6" t="s">
        <v>955</v>
      </c>
      <c r="T427" s="7">
        <v>29.0</v>
      </c>
      <c r="U427" s="7" t="s">
        <v>956</v>
      </c>
      <c r="V427" s="7" t="str">
        <f>VLOOKUP(U427,Jogadores!B:C,2,0)</f>
        <v>FW</v>
      </c>
      <c r="W427" s="8">
        <f>VLOOKUP(U427,Jogadores!B:D,3,0)</f>
        <v>29.48767123</v>
      </c>
      <c r="X427" s="7">
        <v>0.0</v>
      </c>
      <c r="Y427" s="7">
        <v>77.0</v>
      </c>
      <c r="Z427" s="7">
        <f>VLOOKUP(A427,Jogos!A:L,3,0)</f>
        <v>46</v>
      </c>
      <c r="AA427" s="7">
        <f t="shared" si="7"/>
        <v>46</v>
      </c>
      <c r="AB427" s="7">
        <f>VLOOKUP(A427,Jogos!A:L,4,0)</f>
        <v>48</v>
      </c>
      <c r="AC427" s="7">
        <f t="shared" si="657"/>
        <v>32</v>
      </c>
      <c r="AD427" s="7"/>
      <c r="AE427" s="7"/>
      <c r="AF427" s="7">
        <f t="shared" si="9"/>
        <v>78</v>
      </c>
      <c r="AG427" s="7">
        <v>8994.5</v>
      </c>
      <c r="AH427" s="7">
        <v>3409.9</v>
      </c>
      <c r="AI427" s="7">
        <v>3400.6</v>
      </c>
      <c r="AJ427" s="7">
        <v>1302.1</v>
      </c>
      <c r="AK427" s="7">
        <v>633.8</v>
      </c>
      <c r="AL427" s="7">
        <v>248.0</v>
      </c>
      <c r="AM427" s="7">
        <v>109.0</v>
      </c>
      <c r="AN427" s="7">
        <v>58.0</v>
      </c>
      <c r="AO427" s="7">
        <v>43.6</v>
      </c>
      <c r="AP427" s="9">
        <f t="shared" ref="AP427:AR427" si="1332">AG427/$AF427</f>
        <v>115.3141026</v>
      </c>
      <c r="AQ427" s="9">
        <f t="shared" si="1332"/>
        <v>43.71666667</v>
      </c>
      <c r="AR427" s="9">
        <f t="shared" si="1332"/>
        <v>43.5974359</v>
      </c>
      <c r="AS427" s="9">
        <f t="shared" si="11"/>
        <v>87.31410256</v>
      </c>
      <c r="AT427" s="9">
        <f t="shared" ref="AT427:AV427" si="1333">AJ427/$AF427</f>
        <v>16.69358974</v>
      </c>
      <c r="AU427" s="9">
        <f t="shared" si="1333"/>
        <v>8.125641026</v>
      </c>
      <c r="AV427" s="9">
        <f t="shared" si="1333"/>
        <v>3.179487179</v>
      </c>
      <c r="AW427" s="9">
        <f t="shared" si="13"/>
        <v>11.30512821</v>
      </c>
      <c r="AX427" s="9">
        <f t="shared" ref="AX427:AY427" si="1334">AM427/$AF427</f>
        <v>1.397435897</v>
      </c>
      <c r="AY427" s="9">
        <f t="shared" si="1334"/>
        <v>0.7435897436</v>
      </c>
      <c r="AZ427" s="9">
        <f>VLOOKUP(A427,Jogos!A:BN,58,0)</f>
        <v>24.4075</v>
      </c>
      <c r="BA427" s="9">
        <f>VLOOKUP(A427,Jogos!A:BN,59,0)</f>
        <v>20.5975</v>
      </c>
      <c r="BB427" s="9">
        <f>VLOOKUP(A427,Jogos!A:BN,60,0)</f>
        <v>79</v>
      </c>
      <c r="BC427" s="9">
        <f>VLOOKUP(A427,Jogos!A:BN,61,0)</f>
        <v>22.3825</v>
      </c>
      <c r="BD427" s="9">
        <f>VLOOKUP(A427,Jogos!A:BN,62,0)</f>
        <v>103.675</v>
      </c>
      <c r="BE427" s="9">
        <f>VLOOKUP(A427,Jogos!A:BN,63,0)</f>
        <v>2.895</v>
      </c>
      <c r="BF427" s="9">
        <f>VLOOKUP(A427,Jogos!A:BN,64,0)</f>
        <v>22.1075</v>
      </c>
      <c r="BG427" s="9">
        <f>VLOOKUP(A427,Jogos!A:BN,65,0)</f>
        <v>37.2575</v>
      </c>
      <c r="BH427" s="9">
        <f>VLOOKUP(A427,Jogos!A:BN,66,0)</f>
        <v>25.3675</v>
      </c>
      <c r="BI427" s="9"/>
    </row>
    <row r="428" hidden="1">
      <c r="A428" s="2">
        <v>15.0</v>
      </c>
      <c r="B428" s="11" t="s">
        <v>872</v>
      </c>
      <c r="C428" s="2" t="s">
        <v>61</v>
      </c>
      <c r="D428" s="3">
        <v>45826.0</v>
      </c>
      <c r="E428" s="4">
        <v>0.75</v>
      </c>
      <c r="F428" s="5" t="str">
        <f>VLOOKUP(A428,Jogos!A:N,10,0)</f>
        <v>Evening</v>
      </c>
      <c r="G428" s="2" t="s">
        <v>122</v>
      </c>
      <c r="H428" s="6" t="str">
        <f>VLOOKUP(A428,Jogos!A:L,12,0)</f>
        <v>Open</v>
      </c>
      <c r="I428" s="6" t="str">
        <f>VLOOKUP(G428,'Estádios e Cidades'!A:B,2,0)</f>
        <v>Cincinnati</v>
      </c>
      <c r="J428" s="2" t="s">
        <v>935</v>
      </c>
      <c r="K428" s="2" t="str">
        <f>VLOOKUP(J428,Equipes!A:F,6,0)</f>
        <v>Temperate</v>
      </c>
      <c r="L428" s="2">
        <f>VLOOKUP(J428,Equipes!A:C,3,0)</f>
        <v>30</v>
      </c>
      <c r="M428" s="2" t="str">
        <f t="shared" si="4"/>
        <v>Group</v>
      </c>
      <c r="N428" s="2" t="s">
        <v>936</v>
      </c>
      <c r="O428" s="2">
        <f>VLOOKUP(N428,Equipes!A:C,3,0)</f>
        <v>20</v>
      </c>
      <c r="P428" s="2" t="str">
        <f t="shared" si="5"/>
        <v>Group</v>
      </c>
      <c r="Q428" s="2">
        <f t="shared" si="6"/>
        <v>10</v>
      </c>
      <c r="R428" s="2" t="str">
        <f>VLOOKUP(J428,Equipes!A:B,2,0)</f>
        <v>Pachuca</v>
      </c>
      <c r="S428" s="6" t="s">
        <v>957</v>
      </c>
      <c r="T428" s="7">
        <v>6.0</v>
      </c>
      <c r="U428" s="7" t="s">
        <v>958</v>
      </c>
      <c r="V428" s="7" t="str">
        <f>VLOOKUP(U428,Jogadores!B:C,2,0)</f>
        <v>MF</v>
      </c>
      <c r="W428" s="8">
        <f>VLOOKUP(U428,Jogadores!B:D,3,0)</f>
        <v>21.9260274</v>
      </c>
      <c r="X428" s="7">
        <v>77.0</v>
      </c>
      <c r="Y428" s="7">
        <f t="shared" ref="Y428:Y433" si="1338">45+AB428</f>
        <v>93</v>
      </c>
      <c r="Z428" s="7">
        <f>VLOOKUP(A428,Jogos!A:L,3,0)</f>
        <v>46</v>
      </c>
      <c r="AA428" s="7">
        <f t="shared" si="7"/>
        <v>0</v>
      </c>
      <c r="AB428" s="7">
        <f>VLOOKUP(A428,Jogos!A:L,4,0)</f>
        <v>48</v>
      </c>
      <c r="AC428" s="7">
        <f t="shared" si="657"/>
        <v>16</v>
      </c>
      <c r="AD428" s="7"/>
      <c r="AE428" s="7"/>
      <c r="AF428" s="7">
        <f t="shared" si="9"/>
        <v>16</v>
      </c>
      <c r="AG428" s="7">
        <v>2266.5</v>
      </c>
      <c r="AH428" s="7">
        <v>689.5</v>
      </c>
      <c r="AI428" s="7">
        <v>1087.0</v>
      </c>
      <c r="AJ428" s="7">
        <v>344.1</v>
      </c>
      <c r="AK428" s="7">
        <v>87.8</v>
      </c>
      <c r="AL428" s="7">
        <v>58.1</v>
      </c>
      <c r="AM428" s="7">
        <v>35.0</v>
      </c>
      <c r="AN428" s="7">
        <v>7.0</v>
      </c>
      <c r="AO428" s="7">
        <v>29.4</v>
      </c>
      <c r="AP428" s="9">
        <f t="shared" ref="AP428:AR428" si="1335">AG428/$AF428</f>
        <v>141.65625</v>
      </c>
      <c r="AQ428" s="9">
        <f t="shared" si="1335"/>
        <v>43.09375</v>
      </c>
      <c r="AR428" s="9">
        <f t="shared" si="1335"/>
        <v>67.9375</v>
      </c>
      <c r="AS428" s="9">
        <f t="shared" si="11"/>
        <v>111.03125</v>
      </c>
      <c r="AT428" s="9">
        <f t="shared" ref="AT428:AV428" si="1336">AJ428/$AF428</f>
        <v>21.50625</v>
      </c>
      <c r="AU428" s="9">
        <f t="shared" si="1336"/>
        <v>5.4875</v>
      </c>
      <c r="AV428" s="9">
        <f t="shared" si="1336"/>
        <v>3.63125</v>
      </c>
      <c r="AW428" s="9">
        <f t="shared" si="13"/>
        <v>9.11875</v>
      </c>
      <c r="AX428" s="9">
        <f t="shared" ref="AX428:AY428" si="1337">AM428/$AF428</f>
        <v>2.1875</v>
      </c>
      <c r="AY428" s="9">
        <f t="shared" si="1337"/>
        <v>0.4375</v>
      </c>
      <c r="AZ428" s="9">
        <f>VLOOKUP(A428,Jogos!A:BN,58,0)</f>
        <v>24.4075</v>
      </c>
      <c r="BA428" s="9">
        <f>VLOOKUP(A428,Jogos!A:BN,59,0)</f>
        <v>20.5975</v>
      </c>
      <c r="BB428" s="9">
        <f>VLOOKUP(A428,Jogos!A:BN,60,0)</f>
        <v>79</v>
      </c>
      <c r="BC428" s="9">
        <f>VLOOKUP(A428,Jogos!A:BN,61,0)</f>
        <v>22.3825</v>
      </c>
      <c r="BD428" s="9">
        <f>VLOOKUP(A428,Jogos!A:BN,62,0)</f>
        <v>103.675</v>
      </c>
      <c r="BE428" s="9">
        <f>VLOOKUP(A428,Jogos!A:BN,63,0)</f>
        <v>2.895</v>
      </c>
      <c r="BF428" s="9">
        <f>VLOOKUP(A428,Jogos!A:BN,64,0)</f>
        <v>22.1075</v>
      </c>
      <c r="BG428" s="9">
        <f>VLOOKUP(A428,Jogos!A:BN,65,0)</f>
        <v>37.2575</v>
      </c>
      <c r="BH428" s="9">
        <f>VLOOKUP(A428,Jogos!A:BN,66,0)</f>
        <v>25.3675</v>
      </c>
      <c r="BI428" s="9"/>
    </row>
    <row r="429" hidden="1">
      <c r="A429" s="2">
        <v>15.0</v>
      </c>
      <c r="B429" s="11" t="s">
        <v>872</v>
      </c>
      <c r="C429" s="2" t="s">
        <v>61</v>
      </c>
      <c r="D429" s="3">
        <v>45826.0</v>
      </c>
      <c r="E429" s="4">
        <v>0.75</v>
      </c>
      <c r="F429" s="5" t="str">
        <f>VLOOKUP(A429,Jogos!A:N,10,0)</f>
        <v>Evening</v>
      </c>
      <c r="G429" s="2" t="s">
        <v>122</v>
      </c>
      <c r="H429" s="6" t="str">
        <f>VLOOKUP(A429,Jogos!A:L,12,0)</f>
        <v>Open</v>
      </c>
      <c r="I429" s="6" t="str">
        <f>VLOOKUP(G429,'Estádios e Cidades'!A:B,2,0)</f>
        <v>Cincinnati</v>
      </c>
      <c r="J429" s="2" t="s">
        <v>935</v>
      </c>
      <c r="K429" s="2" t="str">
        <f>VLOOKUP(J429,Equipes!A:F,6,0)</f>
        <v>Temperate</v>
      </c>
      <c r="L429" s="2">
        <f>VLOOKUP(J429,Equipes!A:C,3,0)</f>
        <v>30</v>
      </c>
      <c r="M429" s="2" t="str">
        <f t="shared" si="4"/>
        <v>Group</v>
      </c>
      <c r="N429" s="2" t="s">
        <v>936</v>
      </c>
      <c r="O429" s="2">
        <f>VLOOKUP(N429,Equipes!A:C,3,0)</f>
        <v>20</v>
      </c>
      <c r="P429" s="2" t="str">
        <f t="shared" si="5"/>
        <v>Group</v>
      </c>
      <c r="Q429" s="2">
        <f t="shared" si="6"/>
        <v>10</v>
      </c>
      <c r="R429" s="2" t="str">
        <f>VLOOKUP(J429,Equipes!A:B,2,0)</f>
        <v>Pachuca</v>
      </c>
      <c r="S429" s="6" t="s">
        <v>959</v>
      </c>
      <c r="T429" s="7">
        <v>10.0</v>
      </c>
      <c r="U429" s="7" t="s">
        <v>960</v>
      </c>
      <c r="V429" s="7" t="str">
        <f>VLOOKUP(U429,Jogadores!B:C,2,0)</f>
        <v>FW</v>
      </c>
      <c r="W429" s="8">
        <f>VLOOKUP(U429,Jogadores!B:D,3,0)</f>
        <v>23.2109589</v>
      </c>
      <c r="X429" s="7">
        <v>54.0</v>
      </c>
      <c r="Y429" s="7">
        <f t="shared" si="1338"/>
        <v>93</v>
      </c>
      <c r="Z429" s="7">
        <f>VLOOKUP(A429,Jogos!A:L,3,0)</f>
        <v>46</v>
      </c>
      <c r="AA429" s="7">
        <f t="shared" si="7"/>
        <v>0</v>
      </c>
      <c r="AB429" s="7">
        <f>VLOOKUP(A429,Jogos!A:L,4,0)</f>
        <v>48</v>
      </c>
      <c r="AC429" s="7">
        <f t="shared" si="657"/>
        <v>39</v>
      </c>
      <c r="AD429" s="7"/>
      <c r="AE429" s="7"/>
      <c r="AF429" s="7">
        <f t="shared" si="9"/>
        <v>39</v>
      </c>
      <c r="AG429" s="7">
        <v>3738.2</v>
      </c>
      <c r="AH429" s="7">
        <v>1423.7</v>
      </c>
      <c r="AI429" s="7">
        <v>1653.4</v>
      </c>
      <c r="AJ429" s="7">
        <v>401.0</v>
      </c>
      <c r="AK429" s="7">
        <v>180.8</v>
      </c>
      <c r="AL429" s="7">
        <v>79.3</v>
      </c>
      <c r="AM429" s="7">
        <v>40.0</v>
      </c>
      <c r="AN429" s="7">
        <v>19.0</v>
      </c>
      <c r="AO429" s="7">
        <v>29.7</v>
      </c>
      <c r="AP429" s="9">
        <f t="shared" ref="AP429:AR429" si="1339">AG429/$AF429</f>
        <v>95.85128205</v>
      </c>
      <c r="AQ429" s="9">
        <f t="shared" si="1339"/>
        <v>36.50512821</v>
      </c>
      <c r="AR429" s="9">
        <f t="shared" si="1339"/>
        <v>42.39487179</v>
      </c>
      <c r="AS429" s="9">
        <f t="shared" si="11"/>
        <v>78.9</v>
      </c>
      <c r="AT429" s="9">
        <f t="shared" ref="AT429:AV429" si="1340">AJ429/$AF429</f>
        <v>10.28205128</v>
      </c>
      <c r="AU429" s="9">
        <f t="shared" si="1340"/>
        <v>4.635897436</v>
      </c>
      <c r="AV429" s="9">
        <f t="shared" si="1340"/>
        <v>2.033333333</v>
      </c>
      <c r="AW429" s="9">
        <f t="shared" si="13"/>
        <v>6.669230769</v>
      </c>
      <c r="AX429" s="9">
        <f t="shared" ref="AX429:AY429" si="1341">AM429/$AF429</f>
        <v>1.025641026</v>
      </c>
      <c r="AY429" s="9">
        <f t="shared" si="1341"/>
        <v>0.4871794872</v>
      </c>
      <c r="AZ429" s="9">
        <f>VLOOKUP(A429,Jogos!A:BN,58,0)</f>
        <v>24.4075</v>
      </c>
      <c r="BA429" s="9">
        <f>VLOOKUP(A429,Jogos!A:BN,59,0)</f>
        <v>20.5975</v>
      </c>
      <c r="BB429" s="9">
        <f>VLOOKUP(A429,Jogos!A:BN,60,0)</f>
        <v>79</v>
      </c>
      <c r="BC429" s="9">
        <f>VLOOKUP(A429,Jogos!A:BN,61,0)</f>
        <v>22.3825</v>
      </c>
      <c r="BD429" s="9">
        <f>VLOOKUP(A429,Jogos!A:BN,62,0)</f>
        <v>103.675</v>
      </c>
      <c r="BE429" s="9">
        <f>VLOOKUP(A429,Jogos!A:BN,63,0)</f>
        <v>2.895</v>
      </c>
      <c r="BF429" s="9">
        <f>VLOOKUP(A429,Jogos!A:BN,64,0)</f>
        <v>22.1075</v>
      </c>
      <c r="BG429" s="9">
        <f>VLOOKUP(A429,Jogos!A:BN,65,0)</f>
        <v>37.2575</v>
      </c>
      <c r="BH429" s="9">
        <f>VLOOKUP(A429,Jogos!A:BN,66,0)</f>
        <v>25.3675</v>
      </c>
      <c r="BI429" s="9"/>
    </row>
    <row r="430" hidden="1">
      <c r="A430" s="2">
        <v>15.0</v>
      </c>
      <c r="B430" s="11" t="s">
        <v>872</v>
      </c>
      <c r="C430" s="2" t="s">
        <v>61</v>
      </c>
      <c r="D430" s="3">
        <v>45826.0</v>
      </c>
      <c r="E430" s="4">
        <v>0.75</v>
      </c>
      <c r="F430" s="5" t="str">
        <f>VLOOKUP(A430,Jogos!A:N,10,0)</f>
        <v>Evening</v>
      </c>
      <c r="G430" s="2" t="s">
        <v>122</v>
      </c>
      <c r="H430" s="6" t="str">
        <f>VLOOKUP(A430,Jogos!A:L,12,0)</f>
        <v>Open</v>
      </c>
      <c r="I430" s="6" t="str">
        <f>VLOOKUP(G430,'Estádios e Cidades'!A:B,2,0)</f>
        <v>Cincinnati</v>
      </c>
      <c r="J430" s="2" t="s">
        <v>935</v>
      </c>
      <c r="K430" s="2" t="str">
        <f>VLOOKUP(J430,Equipes!A:F,6,0)</f>
        <v>Temperate</v>
      </c>
      <c r="L430" s="2">
        <f>VLOOKUP(J430,Equipes!A:C,3,0)</f>
        <v>30</v>
      </c>
      <c r="M430" s="2" t="str">
        <f t="shared" si="4"/>
        <v>Group</v>
      </c>
      <c r="N430" s="2" t="s">
        <v>936</v>
      </c>
      <c r="O430" s="2">
        <f>VLOOKUP(N430,Equipes!A:C,3,0)</f>
        <v>20</v>
      </c>
      <c r="P430" s="2" t="str">
        <f t="shared" si="5"/>
        <v>Group</v>
      </c>
      <c r="Q430" s="2">
        <f t="shared" si="6"/>
        <v>10</v>
      </c>
      <c r="R430" s="2" t="str">
        <f>VLOOKUP(J430,Equipes!A:B,2,0)</f>
        <v>Pachuca</v>
      </c>
      <c r="S430" s="6" t="s">
        <v>961</v>
      </c>
      <c r="T430" s="7">
        <v>14.0</v>
      </c>
      <c r="U430" s="7" t="s">
        <v>962</v>
      </c>
      <c r="V430" s="7" t="str">
        <f>VLOOKUP(U430,Jogadores!B:C,2,0)</f>
        <v>DF</v>
      </c>
      <c r="W430" s="8">
        <f>VLOOKUP(U430,Jogadores!B:D,3,0)</f>
        <v>23.30684932</v>
      </c>
      <c r="X430" s="7">
        <v>87.0</v>
      </c>
      <c r="Y430" s="7">
        <f t="shared" si="1338"/>
        <v>93</v>
      </c>
      <c r="Z430" s="7">
        <f>VLOOKUP(A430,Jogos!A:L,3,0)</f>
        <v>46</v>
      </c>
      <c r="AA430" s="7">
        <f t="shared" si="7"/>
        <v>0</v>
      </c>
      <c r="AB430" s="7">
        <f>VLOOKUP(A430,Jogos!A:L,4,0)</f>
        <v>48</v>
      </c>
      <c r="AC430" s="7">
        <f t="shared" si="657"/>
        <v>6</v>
      </c>
      <c r="AD430" s="7"/>
      <c r="AE430" s="7"/>
      <c r="AF430" s="7">
        <f t="shared" si="9"/>
        <v>6</v>
      </c>
      <c r="AG430" s="7">
        <v>833.6</v>
      </c>
      <c r="AH430" s="7">
        <v>239.2</v>
      </c>
      <c r="AI430" s="7">
        <v>317.9</v>
      </c>
      <c r="AJ430" s="7">
        <v>147.8</v>
      </c>
      <c r="AK430" s="7">
        <v>113.5</v>
      </c>
      <c r="AL430" s="7">
        <v>15.2</v>
      </c>
      <c r="AM430" s="7">
        <v>15.0</v>
      </c>
      <c r="AN430" s="7">
        <v>7.0</v>
      </c>
      <c r="AO430" s="7">
        <v>26.5</v>
      </c>
      <c r="AP430" s="9">
        <f t="shared" ref="AP430:AR430" si="1342">AG430/$AF430</f>
        <v>138.9333333</v>
      </c>
      <c r="AQ430" s="9">
        <f t="shared" si="1342"/>
        <v>39.86666667</v>
      </c>
      <c r="AR430" s="9">
        <f t="shared" si="1342"/>
        <v>52.98333333</v>
      </c>
      <c r="AS430" s="9">
        <f t="shared" si="11"/>
        <v>92.85</v>
      </c>
      <c r="AT430" s="9">
        <f t="shared" ref="AT430:AV430" si="1343">AJ430/$AF430</f>
        <v>24.63333333</v>
      </c>
      <c r="AU430" s="9">
        <f t="shared" si="1343"/>
        <v>18.91666667</v>
      </c>
      <c r="AV430" s="9">
        <f t="shared" si="1343"/>
        <v>2.533333333</v>
      </c>
      <c r="AW430" s="9">
        <f t="shared" si="13"/>
        <v>21.45</v>
      </c>
      <c r="AX430" s="9">
        <f t="shared" ref="AX430:AY430" si="1344">AM430/$AF430</f>
        <v>2.5</v>
      </c>
      <c r="AY430" s="9">
        <f t="shared" si="1344"/>
        <v>1.166666667</v>
      </c>
      <c r="AZ430" s="9">
        <f>VLOOKUP(A430,Jogos!A:BN,58,0)</f>
        <v>24.4075</v>
      </c>
      <c r="BA430" s="9">
        <f>VLOOKUP(A430,Jogos!A:BN,59,0)</f>
        <v>20.5975</v>
      </c>
      <c r="BB430" s="9">
        <f>VLOOKUP(A430,Jogos!A:BN,60,0)</f>
        <v>79</v>
      </c>
      <c r="BC430" s="9">
        <f>VLOOKUP(A430,Jogos!A:BN,61,0)</f>
        <v>22.3825</v>
      </c>
      <c r="BD430" s="9">
        <f>VLOOKUP(A430,Jogos!A:BN,62,0)</f>
        <v>103.675</v>
      </c>
      <c r="BE430" s="9">
        <f>VLOOKUP(A430,Jogos!A:BN,63,0)</f>
        <v>2.895</v>
      </c>
      <c r="BF430" s="9">
        <f>VLOOKUP(A430,Jogos!A:BN,64,0)</f>
        <v>22.1075</v>
      </c>
      <c r="BG430" s="9">
        <f>VLOOKUP(A430,Jogos!A:BN,65,0)</f>
        <v>37.2575</v>
      </c>
      <c r="BH430" s="9">
        <f>VLOOKUP(A430,Jogos!A:BN,66,0)</f>
        <v>25.3675</v>
      </c>
      <c r="BI430" s="9"/>
    </row>
    <row r="431" hidden="1">
      <c r="A431" s="2">
        <v>15.0</v>
      </c>
      <c r="B431" s="11" t="s">
        <v>872</v>
      </c>
      <c r="C431" s="2" t="s">
        <v>61</v>
      </c>
      <c r="D431" s="3">
        <v>45826.0</v>
      </c>
      <c r="E431" s="4">
        <v>0.75</v>
      </c>
      <c r="F431" s="5" t="str">
        <f>VLOOKUP(A431,Jogos!A:N,10,0)</f>
        <v>Evening</v>
      </c>
      <c r="G431" s="2" t="s">
        <v>122</v>
      </c>
      <c r="H431" s="6" t="str">
        <f>VLOOKUP(A431,Jogos!A:L,12,0)</f>
        <v>Open</v>
      </c>
      <c r="I431" s="6" t="str">
        <f>VLOOKUP(G431,'Estádios e Cidades'!A:B,2,0)</f>
        <v>Cincinnati</v>
      </c>
      <c r="J431" s="2" t="s">
        <v>935</v>
      </c>
      <c r="K431" s="2" t="str">
        <f>VLOOKUP(J431,Equipes!A:F,6,0)</f>
        <v>Temperate</v>
      </c>
      <c r="L431" s="2">
        <f>VLOOKUP(J431,Equipes!A:C,3,0)</f>
        <v>30</v>
      </c>
      <c r="M431" s="2" t="str">
        <f t="shared" si="4"/>
        <v>Group</v>
      </c>
      <c r="N431" s="2" t="s">
        <v>936</v>
      </c>
      <c r="O431" s="2">
        <f>VLOOKUP(N431,Equipes!A:C,3,0)</f>
        <v>20</v>
      </c>
      <c r="P431" s="2" t="str">
        <f t="shared" si="5"/>
        <v>Group</v>
      </c>
      <c r="Q431" s="2">
        <f t="shared" si="6"/>
        <v>10</v>
      </c>
      <c r="R431" s="2" t="str">
        <f>VLOOKUP(J431,Equipes!A:B,2,0)</f>
        <v>Pachuca</v>
      </c>
      <c r="S431" s="6" t="s">
        <v>963</v>
      </c>
      <c r="T431" s="7">
        <v>26.0</v>
      </c>
      <c r="U431" s="7" t="s">
        <v>964</v>
      </c>
      <c r="V431" s="7" t="str">
        <f>VLOOKUP(U431,Jogadores!B:C,2,0)</f>
        <v>MF</v>
      </c>
      <c r="W431" s="8">
        <f>VLOOKUP(U431,Jogadores!B:D,3,0)</f>
        <v>23.14520548</v>
      </c>
      <c r="X431" s="7">
        <v>77.0</v>
      </c>
      <c r="Y431" s="7">
        <f t="shared" si="1338"/>
        <v>93</v>
      </c>
      <c r="Z431" s="7">
        <f>VLOOKUP(A431,Jogos!A:L,3,0)</f>
        <v>46</v>
      </c>
      <c r="AA431" s="7">
        <f t="shared" si="7"/>
        <v>0</v>
      </c>
      <c r="AB431" s="7">
        <f>VLOOKUP(A431,Jogos!A:L,4,0)</f>
        <v>48</v>
      </c>
      <c r="AC431" s="7">
        <f t="shared" si="657"/>
        <v>16</v>
      </c>
      <c r="AD431" s="7"/>
      <c r="AE431" s="7"/>
      <c r="AF431" s="7">
        <f t="shared" si="9"/>
        <v>16</v>
      </c>
      <c r="AG431" s="7">
        <v>2292.3</v>
      </c>
      <c r="AH431" s="7">
        <v>546.4</v>
      </c>
      <c r="AI431" s="7">
        <v>1044.1</v>
      </c>
      <c r="AJ431" s="7">
        <v>426.2</v>
      </c>
      <c r="AK431" s="7">
        <v>186.7</v>
      </c>
      <c r="AL431" s="7">
        <v>89.0</v>
      </c>
      <c r="AM431" s="7">
        <v>35.0</v>
      </c>
      <c r="AN431" s="7">
        <v>16.0</v>
      </c>
      <c r="AO431" s="7">
        <v>29.6</v>
      </c>
      <c r="AP431" s="9">
        <f t="shared" ref="AP431:AR431" si="1345">AG431/$AF431</f>
        <v>143.26875</v>
      </c>
      <c r="AQ431" s="9">
        <f t="shared" si="1345"/>
        <v>34.15</v>
      </c>
      <c r="AR431" s="9">
        <f t="shared" si="1345"/>
        <v>65.25625</v>
      </c>
      <c r="AS431" s="9">
        <f t="shared" si="11"/>
        <v>99.40625</v>
      </c>
      <c r="AT431" s="9">
        <f t="shared" ref="AT431:AV431" si="1346">AJ431/$AF431</f>
        <v>26.6375</v>
      </c>
      <c r="AU431" s="9">
        <f t="shared" si="1346"/>
        <v>11.66875</v>
      </c>
      <c r="AV431" s="9">
        <f t="shared" si="1346"/>
        <v>5.5625</v>
      </c>
      <c r="AW431" s="9">
        <f t="shared" si="13"/>
        <v>17.23125</v>
      </c>
      <c r="AX431" s="9">
        <f t="shared" ref="AX431:AY431" si="1347">AM431/$AF431</f>
        <v>2.1875</v>
      </c>
      <c r="AY431" s="9">
        <f t="shared" si="1347"/>
        <v>1</v>
      </c>
      <c r="AZ431" s="9">
        <f>VLOOKUP(A431,Jogos!A:BN,58,0)</f>
        <v>24.4075</v>
      </c>
      <c r="BA431" s="9">
        <f>VLOOKUP(A431,Jogos!A:BN,59,0)</f>
        <v>20.5975</v>
      </c>
      <c r="BB431" s="9">
        <f>VLOOKUP(A431,Jogos!A:BN,60,0)</f>
        <v>79</v>
      </c>
      <c r="BC431" s="9">
        <f>VLOOKUP(A431,Jogos!A:BN,61,0)</f>
        <v>22.3825</v>
      </c>
      <c r="BD431" s="9">
        <f>VLOOKUP(A431,Jogos!A:BN,62,0)</f>
        <v>103.675</v>
      </c>
      <c r="BE431" s="9">
        <f>VLOOKUP(A431,Jogos!A:BN,63,0)</f>
        <v>2.895</v>
      </c>
      <c r="BF431" s="9">
        <f>VLOOKUP(A431,Jogos!A:BN,64,0)</f>
        <v>22.1075</v>
      </c>
      <c r="BG431" s="9">
        <f>VLOOKUP(A431,Jogos!A:BN,65,0)</f>
        <v>37.2575</v>
      </c>
      <c r="BH431" s="9">
        <f>VLOOKUP(A431,Jogos!A:BN,66,0)</f>
        <v>25.3675</v>
      </c>
      <c r="BI431" s="9"/>
    </row>
    <row r="432" hidden="1">
      <c r="A432" s="2">
        <v>15.0</v>
      </c>
      <c r="B432" s="11" t="s">
        <v>872</v>
      </c>
      <c r="C432" s="2" t="s">
        <v>61</v>
      </c>
      <c r="D432" s="3">
        <v>45826.0</v>
      </c>
      <c r="E432" s="4">
        <v>0.75</v>
      </c>
      <c r="F432" s="5" t="str">
        <f>VLOOKUP(A432,Jogos!A:N,10,0)</f>
        <v>Evening</v>
      </c>
      <c r="G432" s="2" t="s">
        <v>122</v>
      </c>
      <c r="H432" s="6" t="str">
        <f>VLOOKUP(A432,Jogos!A:L,12,0)</f>
        <v>Open</v>
      </c>
      <c r="I432" s="6" t="str">
        <f>VLOOKUP(G432,'Estádios e Cidades'!A:B,2,0)</f>
        <v>Cincinnati</v>
      </c>
      <c r="J432" s="2" t="s">
        <v>935</v>
      </c>
      <c r="K432" s="2" t="str">
        <f>VLOOKUP(J432,Equipes!A:F,6,0)</f>
        <v>Temperate</v>
      </c>
      <c r="L432" s="2">
        <f>VLOOKUP(J432,Equipes!A:C,3,0)</f>
        <v>30</v>
      </c>
      <c r="M432" s="2" t="str">
        <f t="shared" si="4"/>
        <v>Group</v>
      </c>
      <c r="N432" s="2" t="s">
        <v>936</v>
      </c>
      <c r="O432" s="2">
        <f>VLOOKUP(N432,Equipes!A:C,3,0)</f>
        <v>20</v>
      </c>
      <c r="P432" s="2" t="str">
        <f t="shared" si="5"/>
        <v>Group</v>
      </c>
      <c r="Q432" s="2">
        <f t="shared" si="6"/>
        <v>10</v>
      </c>
      <c r="R432" s="2" t="str">
        <f>VLOOKUP(J432,Equipes!A:B,2,0)</f>
        <v>Pachuca</v>
      </c>
      <c r="S432" s="6" t="s">
        <v>965</v>
      </c>
      <c r="T432" s="7">
        <v>30.0</v>
      </c>
      <c r="U432" s="7" t="s">
        <v>966</v>
      </c>
      <c r="V432" s="7" t="str">
        <f>VLOOKUP(U432,Jogadores!B:C,2,0)</f>
        <v>FW</v>
      </c>
      <c r="W432" s="8">
        <f>VLOOKUP(U432,Jogadores!B:D,3,0)</f>
        <v>38.29863014</v>
      </c>
      <c r="X432" s="7">
        <v>87.0</v>
      </c>
      <c r="Y432" s="7">
        <f t="shared" si="1338"/>
        <v>93</v>
      </c>
      <c r="Z432" s="7">
        <f>VLOOKUP(A432,Jogos!A:L,3,0)</f>
        <v>46</v>
      </c>
      <c r="AA432" s="7">
        <f t="shared" si="7"/>
        <v>0</v>
      </c>
      <c r="AB432" s="7">
        <f>VLOOKUP(A432,Jogos!A:L,4,0)</f>
        <v>48</v>
      </c>
      <c r="AC432" s="7">
        <f t="shared" si="657"/>
        <v>6</v>
      </c>
      <c r="AD432" s="7"/>
      <c r="AE432" s="7"/>
      <c r="AF432" s="7">
        <f t="shared" si="9"/>
        <v>6</v>
      </c>
      <c r="AG432" s="7">
        <v>782.0</v>
      </c>
      <c r="AH432" s="7">
        <v>196.6</v>
      </c>
      <c r="AI432" s="7">
        <v>370.9</v>
      </c>
      <c r="AJ432" s="7">
        <v>129.5</v>
      </c>
      <c r="AK432" s="7">
        <v>64.4</v>
      </c>
      <c r="AL432" s="7">
        <v>20.6</v>
      </c>
      <c r="AM432" s="7">
        <v>13.0</v>
      </c>
      <c r="AN432" s="7">
        <v>5.0</v>
      </c>
      <c r="AO432" s="7">
        <v>27.1</v>
      </c>
      <c r="AP432" s="9">
        <f t="shared" ref="AP432:AR432" si="1348">AG432/$AF432</f>
        <v>130.3333333</v>
      </c>
      <c r="AQ432" s="9">
        <f t="shared" si="1348"/>
        <v>32.76666667</v>
      </c>
      <c r="AR432" s="9">
        <f t="shared" si="1348"/>
        <v>61.81666667</v>
      </c>
      <c r="AS432" s="9">
        <f t="shared" si="11"/>
        <v>94.58333333</v>
      </c>
      <c r="AT432" s="9">
        <f t="shared" ref="AT432:AV432" si="1349">AJ432/$AF432</f>
        <v>21.58333333</v>
      </c>
      <c r="AU432" s="9">
        <f t="shared" si="1349"/>
        <v>10.73333333</v>
      </c>
      <c r="AV432" s="9">
        <f t="shared" si="1349"/>
        <v>3.433333333</v>
      </c>
      <c r="AW432" s="9">
        <f t="shared" si="13"/>
        <v>14.16666667</v>
      </c>
      <c r="AX432" s="9">
        <f t="shared" ref="AX432:AY432" si="1350">AM432/$AF432</f>
        <v>2.166666667</v>
      </c>
      <c r="AY432" s="9">
        <f t="shared" si="1350"/>
        <v>0.8333333333</v>
      </c>
      <c r="AZ432" s="9">
        <f>VLOOKUP(A432,Jogos!A:BN,58,0)</f>
        <v>24.4075</v>
      </c>
      <c r="BA432" s="9">
        <f>VLOOKUP(A432,Jogos!A:BN,59,0)</f>
        <v>20.5975</v>
      </c>
      <c r="BB432" s="9">
        <f>VLOOKUP(A432,Jogos!A:BN,60,0)</f>
        <v>79</v>
      </c>
      <c r="BC432" s="9">
        <f>VLOOKUP(A432,Jogos!A:BN,61,0)</f>
        <v>22.3825</v>
      </c>
      <c r="BD432" s="9">
        <f>VLOOKUP(A432,Jogos!A:BN,62,0)</f>
        <v>103.675</v>
      </c>
      <c r="BE432" s="9">
        <f>VLOOKUP(A432,Jogos!A:BN,63,0)</f>
        <v>2.895</v>
      </c>
      <c r="BF432" s="9">
        <f>VLOOKUP(A432,Jogos!A:BN,64,0)</f>
        <v>22.1075</v>
      </c>
      <c r="BG432" s="9">
        <f>VLOOKUP(A432,Jogos!A:BN,65,0)</f>
        <v>37.2575</v>
      </c>
      <c r="BH432" s="9">
        <f>VLOOKUP(A432,Jogos!A:BN,66,0)</f>
        <v>25.3675</v>
      </c>
      <c r="BI432" s="9"/>
    </row>
    <row r="433" hidden="1">
      <c r="A433" s="10">
        <v>15.0</v>
      </c>
      <c r="B433" s="11" t="s">
        <v>872</v>
      </c>
      <c r="C433" s="2" t="s">
        <v>61</v>
      </c>
      <c r="D433" s="12">
        <v>45826.0</v>
      </c>
      <c r="E433" s="13">
        <v>0.75</v>
      </c>
      <c r="F433" s="5" t="str">
        <f>VLOOKUP(A433,Jogos!A:N,10,0)</f>
        <v>Evening</v>
      </c>
      <c r="G433" s="11" t="s">
        <v>122</v>
      </c>
      <c r="H433" s="6" t="str">
        <f>VLOOKUP(A433,Jogos!A:L,12,0)</f>
        <v>Open</v>
      </c>
      <c r="I433" s="6" t="str">
        <f>VLOOKUP(G433,'Estádios e Cidades'!A:B,2,0)</f>
        <v>Cincinnati</v>
      </c>
      <c r="J433" s="11" t="s">
        <v>936</v>
      </c>
      <c r="K433" s="2" t="str">
        <f>VLOOKUP(J433,Equipes!A:F,6,0)</f>
        <v>Temperate</v>
      </c>
      <c r="L433" s="2">
        <f>VLOOKUP(J433,Equipes!A:C,3,0)</f>
        <v>20</v>
      </c>
      <c r="M433" s="2" t="str">
        <f t="shared" si="4"/>
        <v>Group</v>
      </c>
      <c r="N433" s="11" t="s">
        <v>935</v>
      </c>
      <c r="O433" s="2">
        <f>VLOOKUP(N433,Equipes!A:C,3,0)</f>
        <v>30</v>
      </c>
      <c r="P433" s="2" t="str">
        <f t="shared" si="5"/>
        <v>Group</v>
      </c>
      <c r="Q433" s="2">
        <f t="shared" si="6"/>
        <v>-10</v>
      </c>
      <c r="R433" s="2" t="str">
        <f>VLOOKUP(J433,Equipes!A:B,2,0)</f>
        <v>Salzburg</v>
      </c>
      <c r="S433" s="14" t="s">
        <v>967</v>
      </c>
      <c r="T433" s="7">
        <v>2.0</v>
      </c>
      <c r="U433" s="7" t="s">
        <v>968</v>
      </c>
      <c r="V433" s="7" t="str">
        <f>VLOOKUP(U433,Jogadores!B:C,2,0)</f>
        <v>DF</v>
      </c>
      <c r="W433" s="8">
        <f>VLOOKUP(U433,Jogadores!B:D,3,0)</f>
        <v>28.18630137</v>
      </c>
      <c r="X433" s="7">
        <v>0.0</v>
      </c>
      <c r="Y433" s="7">
        <f t="shared" si="1338"/>
        <v>93</v>
      </c>
      <c r="Z433" s="7">
        <f>VLOOKUP(A433,Jogos!A:L,3,0)</f>
        <v>46</v>
      </c>
      <c r="AA433" s="7">
        <f t="shared" si="7"/>
        <v>46</v>
      </c>
      <c r="AB433" s="7">
        <f>VLOOKUP(A433,Jogos!A:L,4,0)</f>
        <v>48</v>
      </c>
      <c r="AC433" s="7">
        <f t="shared" si="657"/>
        <v>48</v>
      </c>
      <c r="AD433" s="7"/>
      <c r="AE433" s="7"/>
      <c r="AF433" s="7">
        <f t="shared" si="9"/>
        <v>94</v>
      </c>
      <c r="AG433" s="7">
        <v>9483.5</v>
      </c>
      <c r="AH433" s="7">
        <v>4349.4</v>
      </c>
      <c r="AI433" s="7">
        <v>3748.5</v>
      </c>
      <c r="AJ433" s="7">
        <v>1006.4</v>
      </c>
      <c r="AK433" s="7">
        <v>243.7</v>
      </c>
      <c r="AL433" s="7">
        <v>135.5</v>
      </c>
      <c r="AM433" s="7">
        <v>92.0</v>
      </c>
      <c r="AN433" s="7">
        <v>21.0</v>
      </c>
      <c r="AO433" s="7">
        <v>39.0</v>
      </c>
      <c r="AP433" s="9">
        <f t="shared" ref="AP433:AR433" si="1351">AG433/$AF433</f>
        <v>100.8882979</v>
      </c>
      <c r="AQ433" s="9">
        <f t="shared" si="1351"/>
        <v>46.27021277</v>
      </c>
      <c r="AR433" s="9">
        <f t="shared" si="1351"/>
        <v>39.87765957</v>
      </c>
      <c r="AS433" s="9">
        <f t="shared" si="11"/>
        <v>86.14787234</v>
      </c>
      <c r="AT433" s="9">
        <f t="shared" ref="AT433:AV433" si="1352">AJ433/$AF433</f>
        <v>10.70638298</v>
      </c>
      <c r="AU433" s="9">
        <f t="shared" si="1352"/>
        <v>2.592553191</v>
      </c>
      <c r="AV433" s="9">
        <f t="shared" si="1352"/>
        <v>1.441489362</v>
      </c>
      <c r="AW433" s="9">
        <f t="shared" si="13"/>
        <v>4.034042553</v>
      </c>
      <c r="AX433" s="9">
        <f t="shared" ref="AX433:AY433" si="1353">AM433/$AF433</f>
        <v>0.9787234043</v>
      </c>
      <c r="AY433" s="9">
        <f t="shared" si="1353"/>
        <v>0.2234042553</v>
      </c>
      <c r="AZ433" s="9">
        <f>VLOOKUP(A433,Jogos!A:BN,58,0)</f>
        <v>24.4075</v>
      </c>
      <c r="BA433" s="9">
        <f>VLOOKUP(A433,Jogos!A:BN,59,0)</f>
        <v>20.5975</v>
      </c>
      <c r="BB433" s="9">
        <f>VLOOKUP(A433,Jogos!A:BN,60,0)</f>
        <v>79</v>
      </c>
      <c r="BC433" s="9">
        <f>VLOOKUP(A433,Jogos!A:BN,61,0)</f>
        <v>22.3825</v>
      </c>
      <c r="BD433" s="9">
        <f>VLOOKUP(A433,Jogos!A:BN,62,0)</f>
        <v>103.675</v>
      </c>
      <c r="BE433" s="9">
        <f>VLOOKUP(A433,Jogos!A:BN,63,0)</f>
        <v>2.895</v>
      </c>
      <c r="BF433" s="9">
        <f>VLOOKUP(A433,Jogos!A:BN,64,0)</f>
        <v>22.1075</v>
      </c>
      <c r="BG433" s="9">
        <f>VLOOKUP(A433,Jogos!A:BN,65,0)</f>
        <v>37.2575</v>
      </c>
      <c r="BH433" s="9">
        <f>VLOOKUP(A433,Jogos!A:BN,66,0)</f>
        <v>25.3675</v>
      </c>
      <c r="BI433" s="9"/>
    </row>
    <row r="434" hidden="1">
      <c r="A434" s="10">
        <v>15.0</v>
      </c>
      <c r="B434" s="11" t="s">
        <v>872</v>
      </c>
      <c r="C434" s="2" t="s">
        <v>61</v>
      </c>
      <c r="D434" s="12">
        <v>45826.0</v>
      </c>
      <c r="E434" s="13">
        <v>0.75</v>
      </c>
      <c r="F434" s="5" t="str">
        <f>VLOOKUP(A434,Jogos!A:N,10,0)</f>
        <v>Evening</v>
      </c>
      <c r="G434" s="11" t="s">
        <v>122</v>
      </c>
      <c r="H434" s="6" t="str">
        <f>VLOOKUP(A434,Jogos!A:L,12,0)</f>
        <v>Open</v>
      </c>
      <c r="I434" s="6" t="str">
        <f>VLOOKUP(G434,'Estádios e Cidades'!A:B,2,0)</f>
        <v>Cincinnati</v>
      </c>
      <c r="J434" s="11" t="s">
        <v>936</v>
      </c>
      <c r="K434" s="2" t="str">
        <f>VLOOKUP(J434,Equipes!A:F,6,0)</f>
        <v>Temperate</v>
      </c>
      <c r="L434" s="2">
        <f>VLOOKUP(J434,Equipes!A:C,3,0)</f>
        <v>20</v>
      </c>
      <c r="M434" s="2" t="str">
        <f t="shared" si="4"/>
        <v>Group</v>
      </c>
      <c r="N434" s="11" t="s">
        <v>935</v>
      </c>
      <c r="O434" s="2">
        <f>VLOOKUP(N434,Equipes!A:C,3,0)</f>
        <v>30</v>
      </c>
      <c r="P434" s="2" t="str">
        <f t="shared" si="5"/>
        <v>Group</v>
      </c>
      <c r="Q434" s="2">
        <f t="shared" si="6"/>
        <v>-10</v>
      </c>
      <c r="R434" s="2" t="str">
        <f>VLOOKUP(J434,Equipes!A:B,2,0)</f>
        <v>Salzburg</v>
      </c>
      <c r="S434" s="6" t="s">
        <v>969</v>
      </c>
      <c r="T434" s="7">
        <v>13.0</v>
      </c>
      <c r="U434" s="7" t="s">
        <v>970</v>
      </c>
      <c r="V434" s="7" t="str">
        <f>VLOOKUP(U434,Jogadores!B:C,2,0)</f>
        <v>DF</v>
      </c>
      <c r="W434" s="8">
        <f>VLOOKUP(U434,Jogadores!B:D,3,0)</f>
        <v>22.55068493</v>
      </c>
      <c r="X434" s="7">
        <v>0.0</v>
      </c>
      <c r="Y434" s="7">
        <v>88.0</v>
      </c>
      <c r="Z434" s="7">
        <f>VLOOKUP(A434,Jogos!A:L,3,0)</f>
        <v>46</v>
      </c>
      <c r="AA434" s="7">
        <f t="shared" si="7"/>
        <v>46</v>
      </c>
      <c r="AB434" s="7">
        <f>VLOOKUP(A434,Jogos!A:L,4,0)</f>
        <v>48</v>
      </c>
      <c r="AC434" s="7">
        <f t="shared" si="657"/>
        <v>43</v>
      </c>
      <c r="AD434" s="7"/>
      <c r="AE434" s="7"/>
      <c r="AF434" s="7">
        <f t="shared" si="9"/>
        <v>89</v>
      </c>
      <c r="AG434" s="7">
        <v>10245.2</v>
      </c>
      <c r="AH434" s="7">
        <v>3789.0</v>
      </c>
      <c r="AI434" s="7">
        <v>4205.2</v>
      </c>
      <c r="AJ434" s="7">
        <v>1616.3</v>
      </c>
      <c r="AK434" s="7">
        <v>529.0</v>
      </c>
      <c r="AL434" s="7">
        <v>105.8</v>
      </c>
      <c r="AM434" s="7">
        <v>145.0</v>
      </c>
      <c r="AN434" s="7">
        <v>39.0</v>
      </c>
      <c r="AO434" s="7">
        <v>39.6</v>
      </c>
      <c r="AP434" s="9">
        <f t="shared" ref="AP434:AR434" si="1354">AG434/$AF434</f>
        <v>115.1146067</v>
      </c>
      <c r="AQ434" s="9">
        <f t="shared" si="1354"/>
        <v>42.57303371</v>
      </c>
      <c r="AR434" s="9">
        <f t="shared" si="1354"/>
        <v>47.2494382</v>
      </c>
      <c r="AS434" s="9">
        <f t="shared" si="11"/>
        <v>89.82247191</v>
      </c>
      <c r="AT434" s="9">
        <f t="shared" ref="AT434:AV434" si="1355">AJ434/$AF434</f>
        <v>18.16067416</v>
      </c>
      <c r="AU434" s="9">
        <f t="shared" si="1355"/>
        <v>5.943820225</v>
      </c>
      <c r="AV434" s="9">
        <f t="shared" si="1355"/>
        <v>1.188764045</v>
      </c>
      <c r="AW434" s="9">
        <f t="shared" si="13"/>
        <v>7.13258427</v>
      </c>
      <c r="AX434" s="9">
        <f t="shared" ref="AX434:AY434" si="1356">AM434/$AF434</f>
        <v>1.629213483</v>
      </c>
      <c r="AY434" s="9">
        <f t="shared" si="1356"/>
        <v>0.4382022472</v>
      </c>
      <c r="AZ434" s="9">
        <f>VLOOKUP(A434,Jogos!A:BN,58,0)</f>
        <v>24.4075</v>
      </c>
      <c r="BA434" s="9">
        <f>VLOOKUP(A434,Jogos!A:BN,59,0)</f>
        <v>20.5975</v>
      </c>
      <c r="BB434" s="9">
        <f>VLOOKUP(A434,Jogos!A:BN,60,0)</f>
        <v>79</v>
      </c>
      <c r="BC434" s="9">
        <f>VLOOKUP(A434,Jogos!A:BN,61,0)</f>
        <v>22.3825</v>
      </c>
      <c r="BD434" s="9">
        <f>VLOOKUP(A434,Jogos!A:BN,62,0)</f>
        <v>103.675</v>
      </c>
      <c r="BE434" s="9">
        <f>VLOOKUP(A434,Jogos!A:BN,63,0)</f>
        <v>2.895</v>
      </c>
      <c r="BF434" s="9">
        <f>VLOOKUP(A434,Jogos!A:BN,64,0)</f>
        <v>22.1075</v>
      </c>
      <c r="BG434" s="9">
        <f>VLOOKUP(A434,Jogos!A:BN,65,0)</f>
        <v>37.2575</v>
      </c>
      <c r="BH434" s="9">
        <f>VLOOKUP(A434,Jogos!A:BN,66,0)</f>
        <v>25.3675</v>
      </c>
      <c r="BI434" s="9"/>
    </row>
    <row r="435" hidden="1">
      <c r="A435" s="10">
        <v>15.0</v>
      </c>
      <c r="B435" s="11" t="s">
        <v>872</v>
      </c>
      <c r="C435" s="2" t="s">
        <v>61</v>
      </c>
      <c r="D435" s="12">
        <v>45826.0</v>
      </c>
      <c r="E435" s="13">
        <v>0.75</v>
      </c>
      <c r="F435" s="5" t="str">
        <f>VLOOKUP(A435,Jogos!A:N,10,0)</f>
        <v>Evening</v>
      </c>
      <c r="G435" s="11" t="s">
        <v>122</v>
      </c>
      <c r="H435" s="6" t="str">
        <f>VLOOKUP(A435,Jogos!A:L,12,0)</f>
        <v>Open</v>
      </c>
      <c r="I435" s="6" t="str">
        <f>VLOOKUP(G435,'Estádios e Cidades'!A:B,2,0)</f>
        <v>Cincinnati</v>
      </c>
      <c r="J435" s="11" t="s">
        <v>936</v>
      </c>
      <c r="K435" s="2" t="str">
        <f>VLOOKUP(J435,Equipes!A:F,6,0)</f>
        <v>Temperate</v>
      </c>
      <c r="L435" s="2">
        <f>VLOOKUP(J435,Equipes!A:C,3,0)</f>
        <v>20</v>
      </c>
      <c r="M435" s="2" t="str">
        <f t="shared" si="4"/>
        <v>Group</v>
      </c>
      <c r="N435" s="11" t="s">
        <v>935</v>
      </c>
      <c r="O435" s="2">
        <f>VLOOKUP(N435,Equipes!A:C,3,0)</f>
        <v>30</v>
      </c>
      <c r="P435" s="2" t="str">
        <f t="shared" si="5"/>
        <v>Group</v>
      </c>
      <c r="Q435" s="2">
        <f t="shared" si="6"/>
        <v>-10</v>
      </c>
      <c r="R435" s="2" t="str">
        <f>VLOOKUP(J435,Equipes!A:B,2,0)</f>
        <v>Salzburg</v>
      </c>
      <c r="S435" s="6" t="s">
        <v>971</v>
      </c>
      <c r="T435" s="7">
        <v>18.0</v>
      </c>
      <c r="U435" s="7" t="s">
        <v>972</v>
      </c>
      <c r="V435" s="7" t="str">
        <f>VLOOKUP(U435,Jogadores!B:C,2,0)</f>
        <v>MF</v>
      </c>
      <c r="W435" s="8">
        <f>VLOOKUP(U435,Jogadores!B:D,3,0)</f>
        <v>24.43561644</v>
      </c>
      <c r="X435" s="7">
        <v>0.0</v>
      </c>
      <c r="Y435" s="7">
        <f>45+AB435</f>
        <v>93</v>
      </c>
      <c r="Z435" s="7">
        <f>VLOOKUP(A435,Jogos!A:L,3,0)</f>
        <v>46</v>
      </c>
      <c r="AA435" s="7">
        <f t="shared" si="7"/>
        <v>46</v>
      </c>
      <c r="AB435" s="7">
        <f>VLOOKUP(A435,Jogos!A:L,4,0)</f>
        <v>48</v>
      </c>
      <c r="AC435" s="7">
        <f t="shared" si="657"/>
        <v>48</v>
      </c>
      <c r="AD435" s="7"/>
      <c r="AE435" s="7"/>
      <c r="AF435" s="7">
        <f t="shared" si="9"/>
        <v>94</v>
      </c>
      <c r="AG435" s="7">
        <v>12216.2</v>
      </c>
      <c r="AH435" s="7">
        <v>3236.5</v>
      </c>
      <c r="AI435" s="7">
        <v>6220.7</v>
      </c>
      <c r="AJ435" s="7">
        <v>1932.0</v>
      </c>
      <c r="AK435" s="7">
        <v>640.0</v>
      </c>
      <c r="AL435" s="7">
        <v>187.0</v>
      </c>
      <c r="AM435" s="7">
        <v>164.0</v>
      </c>
      <c r="AN435" s="7">
        <v>55.0</v>
      </c>
      <c r="AO435" s="7">
        <v>44.9</v>
      </c>
      <c r="AP435" s="9">
        <f t="shared" ref="AP435:AR435" si="1357">AG435/$AF435</f>
        <v>129.9595745</v>
      </c>
      <c r="AQ435" s="9">
        <f t="shared" si="1357"/>
        <v>34.43085106</v>
      </c>
      <c r="AR435" s="9">
        <f t="shared" si="1357"/>
        <v>66.17765957</v>
      </c>
      <c r="AS435" s="9">
        <f t="shared" si="11"/>
        <v>100.6085106</v>
      </c>
      <c r="AT435" s="9">
        <f t="shared" ref="AT435:AV435" si="1358">AJ435/$AF435</f>
        <v>20.55319149</v>
      </c>
      <c r="AU435" s="9">
        <f t="shared" si="1358"/>
        <v>6.808510638</v>
      </c>
      <c r="AV435" s="9">
        <f t="shared" si="1358"/>
        <v>1.989361702</v>
      </c>
      <c r="AW435" s="9">
        <f t="shared" si="13"/>
        <v>8.79787234</v>
      </c>
      <c r="AX435" s="9">
        <f t="shared" ref="AX435:AY435" si="1359">AM435/$AF435</f>
        <v>1.744680851</v>
      </c>
      <c r="AY435" s="9">
        <f t="shared" si="1359"/>
        <v>0.585106383</v>
      </c>
      <c r="AZ435" s="9">
        <f>VLOOKUP(A435,Jogos!A:BN,58,0)</f>
        <v>24.4075</v>
      </c>
      <c r="BA435" s="9">
        <f>VLOOKUP(A435,Jogos!A:BN,59,0)</f>
        <v>20.5975</v>
      </c>
      <c r="BB435" s="9">
        <f>VLOOKUP(A435,Jogos!A:BN,60,0)</f>
        <v>79</v>
      </c>
      <c r="BC435" s="9">
        <f>VLOOKUP(A435,Jogos!A:BN,61,0)</f>
        <v>22.3825</v>
      </c>
      <c r="BD435" s="9">
        <f>VLOOKUP(A435,Jogos!A:BN,62,0)</f>
        <v>103.675</v>
      </c>
      <c r="BE435" s="9">
        <f>VLOOKUP(A435,Jogos!A:BN,63,0)</f>
        <v>2.895</v>
      </c>
      <c r="BF435" s="9">
        <f>VLOOKUP(A435,Jogos!A:BN,64,0)</f>
        <v>22.1075</v>
      </c>
      <c r="BG435" s="9">
        <f>VLOOKUP(A435,Jogos!A:BN,65,0)</f>
        <v>37.2575</v>
      </c>
      <c r="BH435" s="9">
        <f>VLOOKUP(A435,Jogos!A:BN,66,0)</f>
        <v>25.3675</v>
      </c>
      <c r="BI435" s="9"/>
    </row>
    <row r="436" hidden="1">
      <c r="A436" s="10">
        <v>15.0</v>
      </c>
      <c r="B436" s="11" t="s">
        <v>872</v>
      </c>
      <c r="C436" s="2" t="s">
        <v>61</v>
      </c>
      <c r="D436" s="12">
        <v>45826.0</v>
      </c>
      <c r="E436" s="13">
        <v>0.75</v>
      </c>
      <c r="F436" s="5" t="str">
        <f>VLOOKUP(A436,Jogos!A:N,10,0)</f>
        <v>Evening</v>
      </c>
      <c r="G436" s="11" t="s">
        <v>122</v>
      </c>
      <c r="H436" s="6" t="str">
        <f>VLOOKUP(A436,Jogos!A:L,12,0)</f>
        <v>Open</v>
      </c>
      <c r="I436" s="6" t="str">
        <f>VLOOKUP(G436,'Estádios e Cidades'!A:B,2,0)</f>
        <v>Cincinnati</v>
      </c>
      <c r="J436" s="11" t="s">
        <v>936</v>
      </c>
      <c r="K436" s="2" t="str">
        <f>VLOOKUP(J436,Equipes!A:F,6,0)</f>
        <v>Temperate</v>
      </c>
      <c r="L436" s="2">
        <f>VLOOKUP(J436,Equipes!A:C,3,0)</f>
        <v>20</v>
      </c>
      <c r="M436" s="2" t="str">
        <f t="shared" si="4"/>
        <v>Group</v>
      </c>
      <c r="N436" s="11" t="s">
        <v>935</v>
      </c>
      <c r="O436" s="2">
        <f>VLOOKUP(N436,Equipes!A:C,3,0)</f>
        <v>30</v>
      </c>
      <c r="P436" s="2" t="str">
        <f t="shared" si="5"/>
        <v>Group</v>
      </c>
      <c r="Q436" s="2">
        <f t="shared" si="6"/>
        <v>-10</v>
      </c>
      <c r="R436" s="2" t="str">
        <f>VLOOKUP(J436,Equipes!A:B,2,0)</f>
        <v>Salzburg</v>
      </c>
      <c r="S436" s="6" t="s">
        <v>973</v>
      </c>
      <c r="T436" s="7">
        <v>20.0</v>
      </c>
      <c r="U436" s="7" t="s">
        <v>974</v>
      </c>
      <c r="V436" s="7" t="str">
        <f>VLOOKUP(U436,Jogadores!B:C,2,0)</f>
        <v>FW</v>
      </c>
      <c r="W436" s="8">
        <f>VLOOKUP(U436,Jogadores!B:D,3,0)</f>
        <v>19.50410959</v>
      </c>
      <c r="X436" s="7">
        <v>0.0</v>
      </c>
      <c r="Y436" s="7">
        <v>54.0</v>
      </c>
      <c r="Z436" s="7">
        <f>VLOOKUP(A436,Jogos!A:L,3,0)</f>
        <v>46</v>
      </c>
      <c r="AA436" s="7">
        <f t="shared" si="7"/>
        <v>46</v>
      </c>
      <c r="AB436" s="7">
        <f>VLOOKUP(A436,Jogos!A:L,4,0)</f>
        <v>48</v>
      </c>
      <c r="AC436" s="7">
        <f t="shared" si="657"/>
        <v>9</v>
      </c>
      <c r="AD436" s="7"/>
      <c r="AE436" s="7"/>
      <c r="AF436" s="7">
        <f t="shared" si="9"/>
        <v>55</v>
      </c>
      <c r="AG436" s="7">
        <v>6914.4</v>
      </c>
      <c r="AH436" s="7">
        <v>2062.9</v>
      </c>
      <c r="AI436" s="7">
        <v>2976.1</v>
      </c>
      <c r="AJ436" s="7">
        <v>984.1</v>
      </c>
      <c r="AK436" s="7">
        <v>575.6</v>
      </c>
      <c r="AL436" s="7">
        <v>315.7</v>
      </c>
      <c r="AM436" s="7">
        <v>82.0</v>
      </c>
      <c r="AN436" s="7">
        <v>52.0</v>
      </c>
      <c r="AO436" s="7">
        <v>35.6</v>
      </c>
      <c r="AP436" s="9">
        <f t="shared" ref="AP436:AR436" si="1360">AG436/$AF436</f>
        <v>125.7163636</v>
      </c>
      <c r="AQ436" s="9">
        <f t="shared" si="1360"/>
        <v>37.50727273</v>
      </c>
      <c r="AR436" s="9">
        <f t="shared" si="1360"/>
        <v>54.11090909</v>
      </c>
      <c r="AS436" s="9">
        <f t="shared" si="11"/>
        <v>91.61818182</v>
      </c>
      <c r="AT436" s="9">
        <f t="shared" ref="AT436:AV436" si="1361">AJ436/$AF436</f>
        <v>17.89272727</v>
      </c>
      <c r="AU436" s="9">
        <f t="shared" si="1361"/>
        <v>10.46545455</v>
      </c>
      <c r="AV436" s="9">
        <f t="shared" si="1361"/>
        <v>5.74</v>
      </c>
      <c r="AW436" s="9">
        <f t="shared" si="13"/>
        <v>16.20545455</v>
      </c>
      <c r="AX436" s="9">
        <f t="shared" ref="AX436:AY436" si="1362">AM436/$AF436</f>
        <v>1.490909091</v>
      </c>
      <c r="AY436" s="9">
        <f t="shared" si="1362"/>
        <v>0.9454545455</v>
      </c>
      <c r="AZ436" s="9">
        <f>VLOOKUP(A436,Jogos!A:BN,58,0)</f>
        <v>24.4075</v>
      </c>
      <c r="BA436" s="9">
        <f>VLOOKUP(A436,Jogos!A:BN,59,0)</f>
        <v>20.5975</v>
      </c>
      <c r="BB436" s="9">
        <f>VLOOKUP(A436,Jogos!A:BN,60,0)</f>
        <v>79</v>
      </c>
      <c r="BC436" s="9">
        <f>VLOOKUP(A436,Jogos!A:BN,61,0)</f>
        <v>22.3825</v>
      </c>
      <c r="BD436" s="9">
        <f>VLOOKUP(A436,Jogos!A:BN,62,0)</f>
        <v>103.675</v>
      </c>
      <c r="BE436" s="9">
        <f>VLOOKUP(A436,Jogos!A:BN,63,0)</f>
        <v>2.895</v>
      </c>
      <c r="BF436" s="9">
        <f>VLOOKUP(A436,Jogos!A:BN,64,0)</f>
        <v>22.1075</v>
      </c>
      <c r="BG436" s="9">
        <f>VLOOKUP(A436,Jogos!A:BN,65,0)</f>
        <v>37.2575</v>
      </c>
      <c r="BH436" s="9">
        <f>VLOOKUP(A436,Jogos!A:BN,66,0)</f>
        <v>25.3675</v>
      </c>
      <c r="BI436" s="9"/>
    </row>
    <row r="437" hidden="1">
      <c r="A437" s="10">
        <v>15.0</v>
      </c>
      <c r="B437" s="11" t="s">
        <v>872</v>
      </c>
      <c r="C437" s="2" t="s">
        <v>61</v>
      </c>
      <c r="D437" s="12">
        <v>45826.0</v>
      </c>
      <c r="E437" s="13">
        <v>0.75</v>
      </c>
      <c r="F437" s="5" t="str">
        <f>VLOOKUP(A437,Jogos!A:N,10,0)</f>
        <v>Evening</v>
      </c>
      <c r="G437" s="11" t="s">
        <v>122</v>
      </c>
      <c r="H437" s="6" t="str">
        <f>VLOOKUP(A437,Jogos!A:L,12,0)</f>
        <v>Open</v>
      </c>
      <c r="I437" s="6" t="str">
        <f>VLOOKUP(G437,'Estádios e Cidades'!A:B,2,0)</f>
        <v>Cincinnati</v>
      </c>
      <c r="J437" s="11" t="s">
        <v>936</v>
      </c>
      <c r="K437" s="2" t="str">
        <f>VLOOKUP(J437,Equipes!A:F,6,0)</f>
        <v>Temperate</v>
      </c>
      <c r="L437" s="2">
        <f>VLOOKUP(J437,Equipes!A:C,3,0)</f>
        <v>20</v>
      </c>
      <c r="M437" s="2" t="str">
        <f t="shared" si="4"/>
        <v>Group</v>
      </c>
      <c r="N437" s="11" t="s">
        <v>935</v>
      </c>
      <c r="O437" s="2">
        <f>VLOOKUP(N437,Equipes!A:C,3,0)</f>
        <v>30</v>
      </c>
      <c r="P437" s="2" t="str">
        <f t="shared" si="5"/>
        <v>Group</v>
      </c>
      <c r="Q437" s="2">
        <f t="shared" si="6"/>
        <v>-10</v>
      </c>
      <c r="R437" s="2" t="str">
        <f>VLOOKUP(J437,Equipes!A:B,2,0)</f>
        <v>Salzburg</v>
      </c>
      <c r="S437" s="6" t="s">
        <v>975</v>
      </c>
      <c r="T437" s="7">
        <v>21.0</v>
      </c>
      <c r="U437" s="7" t="s">
        <v>976</v>
      </c>
      <c r="V437" s="7" t="str">
        <f>VLOOKUP(U437,Jogadores!B:C,2,0)</f>
        <v>FW</v>
      </c>
      <c r="W437" s="8">
        <f>VLOOKUP(U437,Jogadores!B:D,3,0)</f>
        <v>21.95890411</v>
      </c>
      <c r="X437" s="7">
        <v>0.0</v>
      </c>
      <c r="Y437" s="7">
        <v>54.0</v>
      </c>
      <c r="Z437" s="7">
        <f>VLOOKUP(A437,Jogos!A:L,3,0)</f>
        <v>46</v>
      </c>
      <c r="AA437" s="7">
        <f t="shared" si="7"/>
        <v>46</v>
      </c>
      <c r="AB437" s="7">
        <f>VLOOKUP(A437,Jogos!A:L,4,0)</f>
        <v>48</v>
      </c>
      <c r="AC437" s="7">
        <f t="shared" si="657"/>
        <v>9</v>
      </c>
      <c r="AD437" s="7"/>
      <c r="AE437" s="7"/>
      <c r="AF437" s="7">
        <f t="shared" si="9"/>
        <v>55</v>
      </c>
      <c r="AG437" s="7">
        <v>5972.8</v>
      </c>
      <c r="AH437" s="7">
        <v>2314.7</v>
      </c>
      <c r="AI437" s="7">
        <v>2741.5</v>
      </c>
      <c r="AJ437" s="7">
        <v>601.4</v>
      </c>
      <c r="AK437" s="7">
        <v>255.5</v>
      </c>
      <c r="AL437" s="7">
        <v>59.7</v>
      </c>
      <c r="AM437" s="7">
        <v>56.0</v>
      </c>
      <c r="AN437" s="7">
        <v>22.0</v>
      </c>
      <c r="AO437" s="7">
        <v>28.5</v>
      </c>
      <c r="AP437" s="9">
        <f t="shared" ref="AP437:AR437" si="1363">AG437/$AF437</f>
        <v>108.5963636</v>
      </c>
      <c r="AQ437" s="9">
        <f t="shared" si="1363"/>
        <v>42.08545455</v>
      </c>
      <c r="AR437" s="9">
        <f t="shared" si="1363"/>
        <v>49.84545455</v>
      </c>
      <c r="AS437" s="9">
        <f t="shared" si="11"/>
        <v>91.93090909</v>
      </c>
      <c r="AT437" s="9">
        <f t="shared" ref="AT437:AV437" si="1364">AJ437/$AF437</f>
        <v>10.93454545</v>
      </c>
      <c r="AU437" s="9">
        <f t="shared" si="1364"/>
        <v>4.645454545</v>
      </c>
      <c r="AV437" s="9">
        <f t="shared" si="1364"/>
        <v>1.085454545</v>
      </c>
      <c r="AW437" s="9">
        <f t="shared" si="13"/>
        <v>5.730909091</v>
      </c>
      <c r="AX437" s="9">
        <f t="shared" ref="AX437:AY437" si="1365">AM437/$AF437</f>
        <v>1.018181818</v>
      </c>
      <c r="AY437" s="9">
        <f t="shared" si="1365"/>
        <v>0.4</v>
      </c>
      <c r="AZ437" s="9">
        <f>VLOOKUP(A437,Jogos!A:BN,58,0)</f>
        <v>24.4075</v>
      </c>
      <c r="BA437" s="9">
        <f>VLOOKUP(A437,Jogos!A:BN,59,0)</f>
        <v>20.5975</v>
      </c>
      <c r="BB437" s="9">
        <f>VLOOKUP(A437,Jogos!A:BN,60,0)</f>
        <v>79</v>
      </c>
      <c r="BC437" s="9">
        <f>VLOOKUP(A437,Jogos!A:BN,61,0)</f>
        <v>22.3825</v>
      </c>
      <c r="BD437" s="9">
        <f>VLOOKUP(A437,Jogos!A:BN,62,0)</f>
        <v>103.675</v>
      </c>
      <c r="BE437" s="9">
        <f>VLOOKUP(A437,Jogos!A:BN,63,0)</f>
        <v>2.895</v>
      </c>
      <c r="BF437" s="9">
        <f>VLOOKUP(A437,Jogos!A:BN,64,0)</f>
        <v>22.1075</v>
      </c>
      <c r="BG437" s="9">
        <f>VLOOKUP(A437,Jogos!A:BN,65,0)</f>
        <v>37.2575</v>
      </c>
      <c r="BH437" s="9">
        <f>VLOOKUP(A437,Jogos!A:BN,66,0)</f>
        <v>25.3675</v>
      </c>
      <c r="BI437" s="9"/>
    </row>
    <row r="438" hidden="1">
      <c r="A438" s="10">
        <v>15.0</v>
      </c>
      <c r="B438" s="11" t="s">
        <v>872</v>
      </c>
      <c r="C438" s="2" t="s">
        <v>61</v>
      </c>
      <c r="D438" s="12">
        <v>45826.0</v>
      </c>
      <c r="E438" s="13">
        <v>0.75</v>
      </c>
      <c r="F438" s="5" t="str">
        <f>VLOOKUP(A438,Jogos!A:N,10,0)</f>
        <v>Evening</v>
      </c>
      <c r="G438" s="11" t="s">
        <v>122</v>
      </c>
      <c r="H438" s="6" t="str">
        <f>VLOOKUP(A438,Jogos!A:L,12,0)</f>
        <v>Open</v>
      </c>
      <c r="I438" s="6" t="str">
        <f>VLOOKUP(G438,'Estádios e Cidades'!A:B,2,0)</f>
        <v>Cincinnati</v>
      </c>
      <c r="J438" s="11" t="s">
        <v>936</v>
      </c>
      <c r="K438" s="2" t="str">
        <f>VLOOKUP(J438,Equipes!A:F,6,0)</f>
        <v>Temperate</v>
      </c>
      <c r="L438" s="2">
        <f>VLOOKUP(J438,Equipes!A:C,3,0)</f>
        <v>20</v>
      </c>
      <c r="M438" s="2" t="str">
        <f t="shared" si="4"/>
        <v>Group</v>
      </c>
      <c r="N438" s="11" t="s">
        <v>935</v>
      </c>
      <c r="O438" s="2">
        <f>VLOOKUP(N438,Equipes!A:C,3,0)</f>
        <v>30</v>
      </c>
      <c r="P438" s="2" t="str">
        <f t="shared" si="5"/>
        <v>Group</v>
      </c>
      <c r="Q438" s="2">
        <f t="shared" si="6"/>
        <v>-10</v>
      </c>
      <c r="R438" s="2" t="str">
        <f>VLOOKUP(J438,Equipes!A:B,2,0)</f>
        <v>Salzburg</v>
      </c>
      <c r="S438" s="6" t="s">
        <v>977</v>
      </c>
      <c r="T438" s="7">
        <v>22.0</v>
      </c>
      <c r="U438" s="7" t="s">
        <v>978</v>
      </c>
      <c r="V438" s="7" t="str">
        <f>VLOOKUP(U438,Jogadores!B:C,2,0)</f>
        <v>DF</v>
      </c>
      <c r="W438" s="8">
        <f>VLOOKUP(U438,Jogadores!B:D,3,0)</f>
        <v>32.93972603</v>
      </c>
      <c r="X438" s="7">
        <v>0.0</v>
      </c>
      <c r="Y438" s="7">
        <f t="shared" ref="Y438:Y439" si="1369">45+AB438</f>
        <v>93</v>
      </c>
      <c r="Z438" s="7">
        <f>VLOOKUP(A438,Jogos!A:L,3,0)</f>
        <v>46</v>
      </c>
      <c r="AA438" s="7">
        <f t="shared" si="7"/>
        <v>46</v>
      </c>
      <c r="AB438" s="7">
        <f>VLOOKUP(A438,Jogos!A:L,4,0)</f>
        <v>48</v>
      </c>
      <c r="AC438" s="7">
        <f t="shared" si="657"/>
        <v>48</v>
      </c>
      <c r="AD438" s="7"/>
      <c r="AE438" s="7"/>
      <c r="AF438" s="7">
        <f t="shared" si="9"/>
        <v>94</v>
      </c>
      <c r="AG438" s="7">
        <v>10600.8</v>
      </c>
      <c r="AH438" s="7">
        <v>3744.5</v>
      </c>
      <c r="AI438" s="7">
        <v>4812.5</v>
      </c>
      <c r="AJ438" s="7">
        <v>1327.9</v>
      </c>
      <c r="AK438" s="7">
        <v>441.8</v>
      </c>
      <c r="AL438" s="7">
        <v>274.1</v>
      </c>
      <c r="AM438" s="7">
        <v>114.0</v>
      </c>
      <c r="AN438" s="7">
        <v>48.0</v>
      </c>
      <c r="AO438" s="7">
        <v>42.4</v>
      </c>
      <c r="AP438" s="9">
        <f t="shared" ref="AP438:AR438" si="1366">AG438/$AF438</f>
        <v>112.7744681</v>
      </c>
      <c r="AQ438" s="9">
        <f t="shared" si="1366"/>
        <v>39.83510638</v>
      </c>
      <c r="AR438" s="9">
        <f t="shared" si="1366"/>
        <v>51.19680851</v>
      </c>
      <c r="AS438" s="9">
        <f t="shared" si="11"/>
        <v>91.03191489</v>
      </c>
      <c r="AT438" s="9">
        <f t="shared" ref="AT438:AV438" si="1367">AJ438/$AF438</f>
        <v>14.12659574</v>
      </c>
      <c r="AU438" s="9">
        <f t="shared" si="1367"/>
        <v>4.7</v>
      </c>
      <c r="AV438" s="9">
        <f t="shared" si="1367"/>
        <v>2.915957447</v>
      </c>
      <c r="AW438" s="9">
        <f t="shared" si="13"/>
        <v>7.615957447</v>
      </c>
      <c r="AX438" s="9">
        <f t="shared" ref="AX438:AY438" si="1368">AM438/$AF438</f>
        <v>1.212765957</v>
      </c>
      <c r="AY438" s="9">
        <f t="shared" si="1368"/>
        <v>0.5106382979</v>
      </c>
      <c r="AZ438" s="9">
        <f>VLOOKUP(A438,Jogos!A:BN,58,0)</f>
        <v>24.4075</v>
      </c>
      <c r="BA438" s="9">
        <f>VLOOKUP(A438,Jogos!A:BN,59,0)</f>
        <v>20.5975</v>
      </c>
      <c r="BB438" s="9">
        <f>VLOOKUP(A438,Jogos!A:BN,60,0)</f>
        <v>79</v>
      </c>
      <c r="BC438" s="9">
        <f>VLOOKUP(A438,Jogos!A:BN,61,0)</f>
        <v>22.3825</v>
      </c>
      <c r="BD438" s="9">
        <f>VLOOKUP(A438,Jogos!A:BN,62,0)</f>
        <v>103.675</v>
      </c>
      <c r="BE438" s="9">
        <f>VLOOKUP(A438,Jogos!A:BN,63,0)</f>
        <v>2.895</v>
      </c>
      <c r="BF438" s="9">
        <f>VLOOKUP(A438,Jogos!A:BN,64,0)</f>
        <v>22.1075</v>
      </c>
      <c r="BG438" s="9">
        <f>VLOOKUP(A438,Jogos!A:BN,65,0)</f>
        <v>37.2575</v>
      </c>
      <c r="BH438" s="9">
        <f>VLOOKUP(A438,Jogos!A:BN,66,0)</f>
        <v>25.3675</v>
      </c>
      <c r="BI438" s="9"/>
    </row>
    <row r="439" hidden="1">
      <c r="A439" s="10">
        <v>15.0</v>
      </c>
      <c r="B439" s="11" t="s">
        <v>872</v>
      </c>
      <c r="C439" s="2" t="s">
        <v>61</v>
      </c>
      <c r="D439" s="12">
        <v>45826.0</v>
      </c>
      <c r="E439" s="13">
        <v>0.75</v>
      </c>
      <c r="F439" s="5" t="str">
        <f>VLOOKUP(A439,Jogos!A:N,10,0)</f>
        <v>Evening</v>
      </c>
      <c r="G439" s="11" t="s">
        <v>122</v>
      </c>
      <c r="H439" s="6" t="str">
        <f>VLOOKUP(A439,Jogos!A:L,12,0)</f>
        <v>Open</v>
      </c>
      <c r="I439" s="6" t="str">
        <f>VLOOKUP(G439,'Estádios e Cidades'!A:B,2,0)</f>
        <v>Cincinnati</v>
      </c>
      <c r="J439" s="11" t="s">
        <v>936</v>
      </c>
      <c r="K439" s="2" t="str">
        <f>VLOOKUP(J439,Equipes!A:F,6,0)</f>
        <v>Temperate</v>
      </c>
      <c r="L439" s="2">
        <f>VLOOKUP(J439,Equipes!A:C,3,0)</f>
        <v>20</v>
      </c>
      <c r="M439" s="2" t="str">
        <f t="shared" si="4"/>
        <v>Group</v>
      </c>
      <c r="N439" s="11" t="s">
        <v>935</v>
      </c>
      <c r="O439" s="2">
        <f>VLOOKUP(N439,Equipes!A:C,3,0)</f>
        <v>30</v>
      </c>
      <c r="P439" s="2" t="str">
        <f t="shared" si="5"/>
        <v>Group</v>
      </c>
      <c r="Q439" s="2">
        <f t="shared" si="6"/>
        <v>-10</v>
      </c>
      <c r="R439" s="2" t="str">
        <f>VLOOKUP(J439,Equipes!A:B,2,0)</f>
        <v>Salzburg</v>
      </c>
      <c r="S439" s="6" t="s">
        <v>979</v>
      </c>
      <c r="T439" s="7">
        <v>23.0</v>
      </c>
      <c r="U439" s="7" t="s">
        <v>980</v>
      </c>
      <c r="V439" s="7" t="str">
        <f>VLOOKUP(U439,Jogadores!B:C,2,0)</f>
        <v>DF</v>
      </c>
      <c r="W439" s="8">
        <f>VLOOKUP(U439,Jogadores!B:D,3,0)</f>
        <v>18.53972603</v>
      </c>
      <c r="X439" s="7">
        <v>0.0</v>
      </c>
      <c r="Y439" s="7">
        <f t="shared" si="1369"/>
        <v>93</v>
      </c>
      <c r="Z439" s="7">
        <f>VLOOKUP(A439,Jogos!A:L,3,0)</f>
        <v>46</v>
      </c>
      <c r="AA439" s="7">
        <f t="shared" si="7"/>
        <v>46</v>
      </c>
      <c r="AB439" s="7">
        <f>VLOOKUP(A439,Jogos!A:L,4,0)</f>
        <v>48</v>
      </c>
      <c r="AC439" s="7">
        <f t="shared" si="657"/>
        <v>48</v>
      </c>
      <c r="AD439" s="7"/>
      <c r="AE439" s="7"/>
      <c r="AF439" s="7">
        <f t="shared" si="9"/>
        <v>94</v>
      </c>
      <c r="AG439" s="7">
        <v>9150.6</v>
      </c>
      <c r="AH439" s="7">
        <v>4011.6</v>
      </c>
      <c r="AI439" s="7">
        <v>3910.3</v>
      </c>
      <c r="AJ439" s="7">
        <v>714.9</v>
      </c>
      <c r="AK439" s="7">
        <v>357.9</v>
      </c>
      <c r="AL439" s="7">
        <v>155.9</v>
      </c>
      <c r="AM439" s="7">
        <v>59.0</v>
      </c>
      <c r="AN439" s="7">
        <v>35.0</v>
      </c>
      <c r="AO439" s="7">
        <v>34.0</v>
      </c>
      <c r="AP439" s="9">
        <f t="shared" ref="AP439:AR439" si="1370">AG439/$AF439</f>
        <v>97.34680851</v>
      </c>
      <c r="AQ439" s="9">
        <f t="shared" si="1370"/>
        <v>42.67659574</v>
      </c>
      <c r="AR439" s="9">
        <f t="shared" si="1370"/>
        <v>41.59893617</v>
      </c>
      <c r="AS439" s="9">
        <f t="shared" si="11"/>
        <v>84.27553191</v>
      </c>
      <c r="AT439" s="9">
        <f t="shared" ref="AT439:AV439" si="1371">AJ439/$AF439</f>
        <v>7.605319149</v>
      </c>
      <c r="AU439" s="9">
        <f t="shared" si="1371"/>
        <v>3.807446809</v>
      </c>
      <c r="AV439" s="9">
        <f t="shared" si="1371"/>
        <v>1.658510638</v>
      </c>
      <c r="AW439" s="9">
        <f t="shared" si="13"/>
        <v>5.465957447</v>
      </c>
      <c r="AX439" s="9">
        <f t="shared" ref="AX439:AY439" si="1372">AM439/$AF439</f>
        <v>0.6276595745</v>
      </c>
      <c r="AY439" s="9">
        <f t="shared" si="1372"/>
        <v>0.3723404255</v>
      </c>
      <c r="AZ439" s="9">
        <f>VLOOKUP(A439,Jogos!A:BN,58,0)</f>
        <v>24.4075</v>
      </c>
      <c r="BA439" s="9">
        <f>VLOOKUP(A439,Jogos!A:BN,59,0)</f>
        <v>20.5975</v>
      </c>
      <c r="BB439" s="9">
        <f>VLOOKUP(A439,Jogos!A:BN,60,0)</f>
        <v>79</v>
      </c>
      <c r="BC439" s="9">
        <f>VLOOKUP(A439,Jogos!A:BN,61,0)</f>
        <v>22.3825</v>
      </c>
      <c r="BD439" s="9">
        <f>VLOOKUP(A439,Jogos!A:BN,62,0)</f>
        <v>103.675</v>
      </c>
      <c r="BE439" s="9">
        <f>VLOOKUP(A439,Jogos!A:BN,63,0)</f>
        <v>2.895</v>
      </c>
      <c r="BF439" s="9">
        <f>VLOOKUP(A439,Jogos!A:BN,64,0)</f>
        <v>22.1075</v>
      </c>
      <c r="BG439" s="9">
        <f>VLOOKUP(A439,Jogos!A:BN,65,0)</f>
        <v>37.2575</v>
      </c>
      <c r="BH439" s="9">
        <f>VLOOKUP(A439,Jogos!A:BN,66,0)</f>
        <v>25.3675</v>
      </c>
      <c r="BI439" s="9"/>
    </row>
    <row r="440" hidden="1">
      <c r="A440" s="10">
        <v>15.0</v>
      </c>
      <c r="B440" s="11" t="s">
        <v>872</v>
      </c>
      <c r="C440" s="2" t="s">
        <v>61</v>
      </c>
      <c r="D440" s="12">
        <v>45826.0</v>
      </c>
      <c r="E440" s="13">
        <v>0.75</v>
      </c>
      <c r="F440" s="5" t="str">
        <f>VLOOKUP(A440,Jogos!A:N,10,0)</f>
        <v>Evening</v>
      </c>
      <c r="G440" s="11" t="s">
        <v>122</v>
      </c>
      <c r="H440" s="6" t="str">
        <f>VLOOKUP(A440,Jogos!A:L,12,0)</f>
        <v>Open</v>
      </c>
      <c r="I440" s="6" t="str">
        <f>VLOOKUP(G440,'Estádios e Cidades'!A:B,2,0)</f>
        <v>Cincinnati</v>
      </c>
      <c r="J440" s="11" t="s">
        <v>936</v>
      </c>
      <c r="K440" s="2" t="str">
        <f>VLOOKUP(J440,Equipes!A:F,6,0)</f>
        <v>Temperate</v>
      </c>
      <c r="L440" s="2">
        <f>VLOOKUP(J440,Equipes!A:C,3,0)</f>
        <v>20</v>
      </c>
      <c r="M440" s="2" t="str">
        <f t="shared" si="4"/>
        <v>Group</v>
      </c>
      <c r="N440" s="11" t="s">
        <v>935</v>
      </c>
      <c r="O440" s="2">
        <f>VLOOKUP(N440,Equipes!A:C,3,0)</f>
        <v>30</v>
      </c>
      <c r="P440" s="2" t="str">
        <f t="shared" si="5"/>
        <v>Group</v>
      </c>
      <c r="Q440" s="2">
        <f t="shared" si="6"/>
        <v>-10</v>
      </c>
      <c r="R440" s="2" t="str">
        <f>VLOOKUP(J440,Equipes!A:B,2,0)</f>
        <v>Salzburg</v>
      </c>
      <c r="S440" s="6" t="s">
        <v>981</v>
      </c>
      <c r="T440" s="7">
        <v>30.0</v>
      </c>
      <c r="U440" s="7" t="s">
        <v>982</v>
      </c>
      <c r="V440" s="7" t="str">
        <f>VLOOKUP(U440,Jogadores!B:C,2,0)</f>
        <v>MF</v>
      </c>
      <c r="W440" s="8">
        <f>VLOOKUP(U440,Jogadores!B:D,3,0)</f>
        <v>21.3369863</v>
      </c>
      <c r="X440" s="7">
        <v>0.0</v>
      </c>
      <c r="Y440" s="7">
        <v>79.0</v>
      </c>
      <c r="Z440" s="7">
        <f>VLOOKUP(A440,Jogos!A:L,3,0)</f>
        <v>46</v>
      </c>
      <c r="AA440" s="7">
        <f t="shared" si="7"/>
        <v>46</v>
      </c>
      <c r="AB440" s="7">
        <f>VLOOKUP(A440,Jogos!A:L,4,0)</f>
        <v>48</v>
      </c>
      <c r="AC440" s="7">
        <f t="shared" si="657"/>
        <v>34</v>
      </c>
      <c r="AD440" s="7"/>
      <c r="AE440" s="7"/>
      <c r="AF440" s="7">
        <f t="shared" si="9"/>
        <v>80</v>
      </c>
      <c r="AG440" s="7">
        <v>8732.7</v>
      </c>
      <c r="AH440" s="7">
        <v>3621.1</v>
      </c>
      <c r="AI440" s="7">
        <v>3533.2</v>
      </c>
      <c r="AJ440" s="7">
        <v>1072.7</v>
      </c>
      <c r="AK440" s="7">
        <v>356.8</v>
      </c>
      <c r="AL440" s="7">
        <v>148.9</v>
      </c>
      <c r="AM440" s="7">
        <v>98.0</v>
      </c>
      <c r="AN440" s="7">
        <v>32.0</v>
      </c>
      <c r="AO440" s="7">
        <v>44.9</v>
      </c>
      <c r="AP440" s="9">
        <f t="shared" ref="AP440:AR440" si="1373">AG440/$AF440</f>
        <v>109.15875</v>
      </c>
      <c r="AQ440" s="9">
        <f t="shared" si="1373"/>
        <v>45.26375</v>
      </c>
      <c r="AR440" s="9">
        <f t="shared" si="1373"/>
        <v>44.165</v>
      </c>
      <c r="AS440" s="9">
        <f t="shared" si="11"/>
        <v>89.42875</v>
      </c>
      <c r="AT440" s="9">
        <f t="shared" ref="AT440:AV440" si="1374">AJ440/$AF440</f>
        <v>13.40875</v>
      </c>
      <c r="AU440" s="9">
        <f t="shared" si="1374"/>
        <v>4.46</v>
      </c>
      <c r="AV440" s="9">
        <f t="shared" si="1374"/>
        <v>1.86125</v>
      </c>
      <c r="AW440" s="9">
        <f t="shared" si="13"/>
        <v>6.32125</v>
      </c>
      <c r="AX440" s="9">
        <f t="shared" ref="AX440:AY440" si="1375">AM440/$AF440</f>
        <v>1.225</v>
      </c>
      <c r="AY440" s="9">
        <f t="shared" si="1375"/>
        <v>0.4</v>
      </c>
      <c r="AZ440" s="9">
        <f>VLOOKUP(A440,Jogos!A:BN,58,0)</f>
        <v>24.4075</v>
      </c>
      <c r="BA440" s="9">
        <f>VLOOKUP(A440,Jogos!A:BN,59,0)</f>
        <v>20.5975</v>
      </c>
      <c r="BB440" s="9">
        <f>VLOOKUP(A440,Jogos!A:BN,60,0)</f>
        <v>79</v>
      </c>
      <c r="BC440" s="9">
        <f>VLOOKUP(A440,Jogos!A:BN,61,0)</f>
        <v>22.3825</v>
      </c>
      <c r="BD440" s="9">
        <f>VLOOKUP(A440,Jogos!A:BN,62,0)</f>
        <v>103.675</v>
      </c>
      <c r="BE440" s="9">
        <f>VLOOKUP(A440,Jogos!A:BN,63,0)</f>
        <v>2.895</v>
      </c>
      <c r="BF440" s="9">
        <f>VLOOKUP(A440,Jogos!A:BN,64,0)</f>
        <v>22.1075</v>
      </c>
      <c r="BG440" s="9">
        <f>VLOOKUP(A440,Jogos!A:BN,65,0)</f>
        <v>37.2575</v>
      </c>
      <c r="BH440" s="9">
        <f>VLOOKUP(A440,Jogos!A:BN,66,0)</f>
        <v>25.3675</v>
      </c>
      <c r="BI440" s="9"/>
    </row>
    <row r="441" hidden="1">
      <c r="A441" s="10">
        <v>15.0</v>
      </c>
      <c r="B441" s="11" t="s">
        <v>872</v>
      </c>
      <c r="C441" s="2" t="s">
        <v>61</v>
      </c>
      <c r="D441" s="12">
        <v>45826.0</v>
      </c>
      <c r="E441" s="13">
        <v>0.75</v>
      </c>
      <c r="F441" s="5" t="str">
        <f>VLOOKUP(A441,Jogos!A:N,10,0)</f>
        <v>Evening</v>
      </c>
      <c r="G441" s="11" t="s">
        <v>122</v>
      </c>
      <c r="H441" s="6" t="str">
        <f>VLOOKUP(A441,Jogos!A:L,12,0)</f>
        <v>Open</v>
      </c>
      <c r="I441" s="6" t="str">
        <f>VLOOKUP(G441,'Estádios e Cidades'!A:B,2,0)</f>
        <v>Cincinnati</v>
      </c>
      <c r="J441" s="11" t="s">
        <v>936</v>
      </c>
      <c r="K441" s="2" t="str">
        <f>VLOOKUP(J441,Equipes!A:F,6,0)</f>
        <v>Temperate</v>
      </c>
      <c r="L441" s="2">
        <f>VLOOKUP(J441,Equipes!A:C,3,0)</f>
        <v>20</v>
      </c>
      <c r="M441" s="2" t="str">
        <f t="shared" si="4"/>
        <v>Group</v>
      </c>
      <c r="N441" s="11" t="s">
        <v>935</v>
      </c>
      <c r="O441" s="2">
        <f>VLOOKUP(N441,Equipes!A:C,3,0)</f>
        <v>30</v>
      </c>
      <c r="P441" s="2" t="str">
        <f t="shared" si="5"/>
        <v>Group</v>
      </c>
      <c r="Q441" s="2">
        <f t="shared" si="6"/>
        <v>-10</v>
      </c>
      <c r="R441" s="2" t="str">
        <f>VLOOKUP(J441,Equipes!A:B,2,0)</f>
        <v>Salzburg</v>
      </c>
      <c r="S441" s="6" t="s">
        <v>983</v>
      </c>
      <c r="T441" s="7">
        <v>38.0</v>
      </c>
      <c r="U441" s="7" t="s">
        <v>984</v>
      </c>
      <c r="V441" s="7" t="str">
        <f>VLOOKUP(U441,Jogadores!B:C,2,0)</f>
        <v>MF</v>
      </c>
      <c r="W441" s="8">
        <f>VLOOKUP(U441,Jogadores!B:D,3,0)</f>
        <v>20.39452055</v>
      </c>
      <c r="X441" s="7">
        <v>0.0</v>
      </c>
      <c r="Y441" s="7">
        <v>54.0</v>
      </c>
      <c r="Z441" s="7">
        <f>VLOOKUP(A441,Jogos!A:L,3,0)</f>
        <v>46</v>
      </c>
      <c r="AA441" s="7">
        <f t="shared" si="7"/>
        <v>46</v>
      </c>
      <c r="AB441" s="7">
        <f>VLOOKUP(A441,Jogos!A:L,4,0)</f>
        <v>48</v>
      </c>
      <c r="AC441" s="7">
        <f t="shared" si="657"/>
        <v>9</v>
      </c>
      <c r="AD441" s="7"/>
      <c r="AE441" s="7"/>
      <c r="AF441" s="7">
        <f t="shared" si="9"/>
        <v>55</v>
      </c>
      <c r="AG441" s="7">
        <v>7015.5</v>
      </c>
      <c r="AH441" s="7">
        <v>2200.2</v>
      </c>
      <c r="AI441" s="7">
        <v>3375.3</v>
      </c>
      <c r="AJ441" s="7">
        <v>976.8</v>
      </c>
      <c r="AK441" s="7">
        <v>401.2</v>
      </c>
      <c r="AL441" s="7">
        <v>62.0</v>
      </c>
      <c r="AM441" s="7">
        <v>94.0</v>
      </c>
      <c r="AN441" s="7">
        <v>25.0</v>
      </c>
      <c r="AO441" s="7">
        <v>28.4</v>
      </c>
      <c r="AP441" s="9">
        <f t="shared" ref="AP441:AR441" si="1376">AG441/$AF441</f>
        <v>127.5545455</v>
      </c>
      <c r="AQ441" s="9">
        <f t="shared" si="1376"/>
        <v>40.00363636</v>
      </c>
      <c r="AR441" s="9">
        <f t="shared" si="1376"/>
        <v>61.36909091</v>
      </c>
      <c r="AS441" s="9">
        <f t="shared" si="11"/>
        <v>101.3727273</v>
      </c>
      <c r="AT441" s="9">
        <f t="shared" ref="AT441:AV441" si="1377">AJ441/$AF441</f>
        <v>17.76</v>
      </c>
      <c r="AU441" s="9">
        <f t="shared" si="1377"/>
        <v>7.294545455</v>
      </c>
      <c r="AV441" s="9">
        <f t="shared" si="1377"/>
        <v>1.127272727</v>
      </c>
      <c r="AW441" s="9">
        <f t="shared" si="13"/>
        <v>8.421818182</v>
      </c>
      <c r="AX441" s="9">
        <f t="shared" ref="AX441:AY441" si="1378">AM441/$AF441</f>
        <v>1.709090909</v>
      </c>
      <c r="AY441" s="9">
        <f t="shared" si="1378"/>
        <v>0.4545454545</v>
      </c>
      <c r="AZ441" s="9">
        <f>VLOOKUP(A441,Jogos!A:BN,58,0)</f>
        <v>24.4075</v>
      </c>
      <c r="BA441" s="9">
        <f>VLOOKUP(A441,Jogos!A:BN,59,0)</f>
        <v>20.5975</v>
      </c>
      <c r="BB441" s="9">
        <f>VLOOKUP(A441,Jogos!A:BN,60,0)</f>
        <v>79</v>
      </c>
      <c r="BC441" s="9">
        <f>VLOOKUP(A441,Jogos!A:BN,61,0)</f>
        <v>22.3825</v>
      </c>
      <c r="BD441" s="9">
        <f>VLOOKUP(A441,Jogos!A:BN,62,0)</f>
        <v>103.675</v>
      </c>
      <c r="BE441" s="9">
        <f>VLOOKUP(A441,Jogos!A:BN,63,0)</f>
        <v>2.895</v>
      </c>
      <c r="BF441" s="9">
        <f>VLOOKUP(A441,Jogos!A:BN,64,0)</f>
        <v>22.1075</v>
      </c>
      <c r="BG441" s="9">
        <f>VLOOKUP(A441,Jogos!A:BN,65,0)</f>
        <v>37.2575</v>
      </c>
      <c r="BH441" s="9">
        <f>VLOOKUP(A441,Jogos!A:BN,66,0)</f>
        <v>25.3675</v>
      </c>
      <c r="BI441" s="9"/>
    </row>
    <row r="442" hidden="1">
      <c r="A442" s="10">
        <v>15.0</v>
      </c>
      <c r="B442" s="11" t="s">
        <v>872</v>
      </c>
      <c r="C442" s="2" t="s">
        <v>61</v>
      </c>
      <c r="D442" s="12">
        <v>45826.0</v>
      </c>
      <c r="E442" s="13">
        <v>0.75</v>
      </c>
      <c r="F442" s="5" t="str">
        <f>VLOOKUP(A442,Jogos!A:N,10,0)</f>
        <v>Evening</v>
      </c>
      <c r="G442" s="11" t="s">
        <v>122</v>
      </c>
      <c r="H442" s="6" t="str">
        <f>VLOOKUP(A442,Jogos!A:L,12,0)</f>
        <v>Open</v>
      </c>
      <c r="I442" s="6" t="str">
        <f>VLOOKUP(G442,'Estádios e Cidades'!A:B,2,0)</f>
        <v>Cincinnati</v>
      </c>
      <c r="J442" s="11" t="s">
        <v>936</v>
      </c>
      <c r="K442" s="2" t="str">
        <f>VLOOKUP(J442,Equipes!A:F,6,0)</f>
        <v>Temperate</v>
      </c>
      <c r="L442" s="2">
        <f>VLOOKUP(J442,Equipes!A:C,3,0)</f>
        <v>20</v>
      </c>
      <c r="M442" s="2" t="str">
        <f t="shared" si="4"/>
        <v>Group</v>
      </c>
      <c r="N442" s="11" t="s">
        <v>935</v>
      </c>
      <c r="O442" s="2">
        <f>VLOOKUP(N442,Equipes!A:C,3,0)</f>
        <v>30</v>
      </c>
      <c r="P442" s="2" t="str">
        <f t="shared" si="5"/>
        <v>Group</v>
      </c>
      <c r="Q442" s="2">
        <f t="shared" si="6"/>
        <v>-10</v>
      </c>
      <c r="R442" s="2" t="str">
        <f>VLOOKUP(J442,Equipes!A:B,2,0)</f>
        <v>Salzburg</v>
      </c>
      <c r="S442" s="6" t="s">
        <v>985</v>
      </c>
      <c r="T442" s="7">
        <v>45.0</v>
      </c>
      <c r="U442" s="7" t="s">
        <v>986</v>
      </c>
      <c r="V442" s="7" t="str">
        <f>VLOOKUP(U442,Jogadores!B:C,2,0)</f>
        <v>FW</v>
      </c>
      <c r="W442" s="8">
        <f>VLOOKUP(U442,Jogadores!B:D,3,0)</f>
        <v>22.6109589</v>
      </c>
      <c r="X442" s="7">
        <v>0.0</v>
      </c>
      <c r="Y442" s="7">
        <f t="shared" ref="Y442:Y447" si="1382">45+AB442</f>
        <v>93</v>
      </c>
      <c r="Z442" s="7">
        <f>VLOOKUP(A442,Jogos!A:L,3,0)</f>
        <v>46</v>
      </c>
      <c r="AA442" s="7">
        <f t="shared" si="7"/>
        <v>46</v>
      </c>
      <c r="AB442" s="7">
        <f>VLOOKUP(A442,Jogos!A:L,4,0)</f>
        <v>48</v>
      </c>
      <c r="AC442" s="7">
        <f t="shared" si="657"/>
        <v>48</v>
      </c>
      <c r="AD442" s="7"/>
      <c r="AE442" s="7"/>
      <c r="AF442" s="7">
        <f t="shared" si="9"/>
        <v>94</v>
      </c>
      <c r="AG442" s="7">
        <v>11129.5</v>
      </c>
      <c r="AH442" s="7">
        <v>4240.5</v>
      </c>
      <c r="AI442" s="7">
        <v>4269.5</v>
      </c>
      <c r="AJ442" s="7">
        <v>1722.9</v>
      </c>
      <c r="AK442" s="7">
        <v>661.7</v>
      </c>
      <c r="AL442" s="7">
        <v>234.9</v>
      </c>
      <c r="AM442" s="7">
        <v>149.0</v>
      </c>
      <c r="AN442" s="7">
        <v>55.0</v>
      </c>
      <c r="AO442" s="7">
        <v>44.2</v>
      </c>
      <c r="AP442" s="9">
        <f t="shared" ref="AP442:AR442" si="1379">AG442/$AF442</f>
        <v>118.3989362</v>
      </c>
      <c r="AQ442" s="9">
        <f t="shared" si="1379"/>
        <v>45.11170213</v>
      </c>
      <c r="AR442" s="9">
        <f t="shared" si="1379"/>
        <v>45.42021277</v>
      </c>
      <c r="AS442" s="9">
        <f t="shared" si="11"/>
        <v>90.53191489</v>
      </c>
      <c r="AT442" s="9">
        <f t="shared" ref="AT442:AV442" si="1380">AJ442/$AF442</f>
        <v>18.3287234</v>
      </c>
      <c r="AU442" s="9">
        <f t="shared" si="1380"/>
        <v>7.039361702</v>
      </c>
      <c r="AV442" s="9">
        <f t="shared" si="1380"/>
        <v>2.49893617</v>
      </c>
      <c r="AW442" s="9">
        <f t="shared" si="13"/>
        <v>9.538297872</v>
      </c>
      <c r="AX442" s="9">
        <f t="shared" ref="AX442:AY442" si="1381">AM442/$AF442</f>
        <v>1.585106383</v>
      </c>
      <c r="AY442" s="9">
        <f t="shared" si="1381"/>
        <v>0.585106383</v>
      </c>
      <c r="AZ442" s="9">
        <f>VLOOKUP(A442,Jogos!A:BN,58,0)</f>
        <v>24.4075</v>
      </c>
      <c r="BA442" s="9">
        <f>VLOOKUP(A442,Jogos!A:BN,59,0)</f>
        <v>20.5975</v>
      </c>
      <c r="BB442" s="9">
        <f>VLOOKUP(A442,Jogos!A:BN,60,0)</f>
        <v>79</v>
      </c>
      <c r="BC442" s="9">
        <f>VLOOKUP(A442,Jogos!A:BN,61,0)</f>
        <v>22.3825</v>
      </c>
      <c r="BD442" s="9">
        <f>VLOOKUP(A442,Jogos!A:BN,62,0)</f>
        <v>103.675</v>
      </c>
      <c r="BE442" s="9">
        <f>VLOOKUP(A442,Jogos!A:BN,63,0)</f>
        <v>2.895</v>
      </c>
      <c r="BF442" s="9">
        <f>VLOOKUP(A442,Jogos!A:BN,64,0)</f>
        <v>22.1075</v>
      </c>
      <c r="BG442" s="9">
        <f>VLOOKUP(A442,Jogos!A:BN,65,0)</f>
        <v>37.2575</v>
      </c>
      <c r="BH442" s="9">
        <f>VLOOKUP(A442,Jogos!A:BN,66,0)</f>
        <v>25.3675</v>
      </c>
      <c r="BI442" s="9"/>
    </row>
    <row r="443" hidden="1">
      <c r="A443" s="10">
        <v>15.0</v>
      </c>
      <c r="B443" s="11" t="s">
        <v>872</v>
      </c>
      <c r="C443" s="2" t="s">
        <v>61</v>
      </c>
      <c r="D443" s="12">
        <v>45826.0</v>
      </c>
      <c r="E443" s="13">
        <v>0.75</v>
      </c>
      <c r="F443" s="5" t="str">
        <f>VLOOKUP(A443,Jogos!A:N,10,0)</f>
        <v>Evening</v>
      </c>
      <c r="G443" s="11" t="s">
        <v>122</v>
      </c>
      <c r="H443" s="6" t="str">
        <f>VLOOKUP(A443,Jogos!A:L,12,0)</f>
        <v>Open</v>
      </c>
      <c r="I443" s="6" t="str">
        <f>VLOOKUP(G443,'Estádios e Cidades'!A:B,2,0)</f>
        <v>Cincinnati</v>
      </c>
      <c r="J443" s="11" t="s">
        <v>936</v>
      </c>
      <c r="K443" s="2" t="str">
        <f>VLOOKUP(J443,Equipes!A:F,6,0)</f>
        <v>Temperate</v>
      </c>
      <c r="L443" s="2">
        <f>VLOOKUP(J443,Equipes!A:C,3,0)</f>
        <v>20</v>
      </c>
      <c r="M443" s="2" t="str">
        <f t="shared" si="4"/>
        <v>Group</v>
      </c>
      <c r="N443" s="11" t="s">
        <v>935</v>
      </c>
      <c r="O443" s="2">
        <f>VLOOKUP(N443,Equipes!A:C,3,0)</f>
        <v>30</v>
      </c>
      <c r="P443" s="2" t="str">
        <f t="shared" si="5"/>
        <v>Group</v>
      </c>
      <c r="Q443" s="2">
        <f t="shared" si="6"/>
        <v>-10</v>
      </c>
      <c r="R443" s="2" t="str">
        <f>VLOOKUP(J443,Equipes!A:B,2,0)</f>
        <v>Salzburg</v>
      </c>
      <c r="S443" s="6" t="s">
        <v>987</v>
      </c>
      <c r="T443" s="7">
        <v>5.0</v>
      </c>
      <c r="U443" s="7" t="s">
        <v>988</v>
      </c>
      <c r="V443" s="7" t="str">
        <f>VLOOKUP(U443,Jogadores!B:C,2,0)</f>
        <v>MF</v>
      </c>
      <c r="W443" s="8">
        <f>VLOOKUP(U443,Jogadores!B:D,3,0)</f>
        <v>20.69315068</v>
      </c>
      <c r="X443" s="7">
        <v>54.0</v>
      </c>
      <c r="Y443" s="7">
        <f t="shared" si="1382"/>
        <v>93</v>
      </c>
      <c r="Z443" s="7">
        <f>VLOOKUP(A443,Jogos!A:L,3,0)</f>
        <v>46</v>
      </c>
      <c r="AA443" s="7">
        <f t="shared" si="7"/>
        <v>0</v>
      </c>
      <c r="AB443" s="7">
        <f>VLOOKUP(A443,Jogos!A:L,4,0)</f>
        <v>48</v>
      </c>
      <c r="AC443" s="7">
        <f t="shared" si="657"/>
        <v>39</v>
      </c>
      <c r="AD443" s="7"/>
      <c r="AE443" s="7"/>
      <c r="AF443" s="7">
        <f t="shared" si="9"/>
        <v>39</v>
      </c>
      <c r="AG443" s="7">
        <v>4844.9</v>
      </c>
      <c r="AH443" s="7">
        <v>1343.0</v>
      </c>
      <c r="AI443" s="7">
        <v>2389.8</v>
      </c>
      <c r="AJ443" s="7">
        <v>826.9</v>
      </c>
      <c r="AK443" s="7">
        <v>206.7</v>
      </c>
      <c r="AL443" s="7">
        <v>78.5</v>
      </c>
      <c r="AM443" s="7">
        <v>76.0</v>
      </c>
      <c r="AN443" s="7">
        <v>18.0</v>
      </c>
      <c r="AO443" s="7">
        <v>32.1</v>
      </c>
      <c r="AP443" s="9">
        <f t="shared" ref="AP443:AR443" si="1383">AG443/$AF443</f>
        <v>124.2282051</v>
      </c>
      <c r="AQ443" s="9">
        <f t="shared" si="1383"/>
        <v>34.43589744</v>
      </c>
      <c r="AR443" s="9">
        <f t="shared" si="1383"/>
        <v>61.27692308</v>
      </c>
      <c r="AS443" s="9">
        <f t="shared" si="11"/>
        <v>95.71282051</v>
      </c>
      <c r="AT443" s="9">
        <f t="shared" ref="AT443:AV443" si="1384">AJ443/$AF443</f>
        <v>21.2025641</v>
      </c>
      <c r="AU443" s="9">
        <f t="shared" si="1384"/>
        <v>5.3</v>
      </c>
      <c r="AV443" s="9">
        <f t="shared" si="1384"/>
        <v>2.012820513</v>
      </c>
      <c r="AW443" s="9">
        <f t="shared" si="13"/>
        <v>7.312820513</v>
      </c>
      <c r="AX443" s="9">
        <f t="shared" ref="AX443:AY443" si="1385">AM443/$AF443</f>
        <v>1.948717949</v>
      </c>
      <c r="AY443" s="9">
        <f t="shared" si="1385"/>
        <v>0.4615384615</v>
      </c>
      <c r="AZ443" s="9">
        <f>VLOOKUP(A443,Jogos!A:BN,58,0)</f>
        <v>24.4075</v>
      </c>
      <c r="BA443" s="9">
        <f>VLOOKUP(A443,Jogos!A:BN,59,0)</f>
        <v>20.5975</v>
      </c>
      <c r="BB443" s="9">
        <f>VLOOKUP(A443,Jogos!A:BN,60,0)</f>
        <v>79</v>
      </c>
      <c r="BC443" s="9">
        <f>VLOOKUP(A443,Jogos!A:BN,61,0)</f>
        <v>22.3825</v>
      </c>
      <c r="BD443" s="9">
        <f>VLOOKUP(A443,Jogos!A:BN,62,0)</f>
        <v>103.675</v>
      </c>
      <c r="BE443" s="9">
        <f>VLOOKUP(A443,Jogos!A:BN,63,0)</f>
        <v>2.895</v>
      </c>
      <c r="BF443" s="9">
        <f>VLOOKUP(A443,Jogos!A:BN,64,0)</f>
        <v>22.1075</v>
      </c>
      <c r="BG443" s="9">
        <f>VLOOKUP(A443,Jogos!A:BN,65,0)</f>
        <v>37.2575</v>
      </c>
      <c r="BH443" s="9">
        <f>VLOOKUP(A443,Jogos!A:BN,66,0)</f>
        <v>25.3675</v>
      </c>
      <c r="BI443" s="9"/>
    </row>
    <row r="444" hidden="1">
      <c r="A444" s="10">
        <v>15.0</v>
      </c>
      <c r="B444" s="11" t="s">
        <v>872</v>
      </c>
      <c r="C444" s="2" t="s">
        <v>61</v>
      </c>
      <c r="D444" s="12">
        <v>45826.0</v>
      </c>
      <c r="E444" s="13">
        <v>0.75</v>
      </c>
      <c r="F444" s="5" t="str">
        <f>VLOOKUP(A444,Jogos!A:N,10,0)</f>
        <v>Evening</v>
      </c>
      <c r="G444" s="11" t="s">
        <v>122</v>
      </c>
      <c r="H444" s="6" t="str">
        <f>VLOOKUP(A444,Jogos!A:L,12,0)</f>
        <v>Open</v>
      </c>
      <c r="I444" s="6" t="str">
        <f>VLOOKUP(G444,'Estádios e Cidades'!A:B,2,0)</f>
        <v>Cincinnati</v>
      </c>
      <c r="J444" s="11" t="s">
        <v>936</v>
      </c>
      <c r="K444" s="2" t="str">
        <f>VLOOKUP(J444,Equipes!A:F,6,0)</f>
        <v>Temperate</v>
      </c>
      <c r="L444" s="2">
        <f>VLOOKUP(J444,Equipes!A:C,3,0)</f>
        <v>20</v>
      </c>
      <c r="M444" s="2" t="str">
        <f t="shared" si="4"/>
        <v>Group</v>
      </c>
      <c r="N444" s="11" t="s">
        <v>935</v>
      </c>
      <c r="O444" s="2">
        <f>VLOOKUP(N444,Equipes!A:C,3,0)</f>
        <v>30</v>
      </c>
      <c r="P444" s="2" t="str">
        <f t="shared" si="5"/>
        <v>Group</v>
      </c>
      <c r="Q444" s="2">
        <f t="shared" si="6"/>
        <v>-10</v>
      </c>
      <c r="R444" s="2" t="str">
        <f>VLOOKUP(J444,Equipes!A:B,2,0)</f>
        <v>Salzburg</v>
      </c>
      <c r="S444" s="6" t="s">
        <v>989</v>
      </c>
      <c r="T444" s="7">
        <v>9.0</v>
      </c>
      <c r="U444" s="7" t="s">
        <v>990</v>
      </c>
      <c r="V444" s="7" t="str">
        <f>VLOOKUP(U444,Jogadores!B:C,2,0)</f>
        <v>FW</v>
      </c>
      <c r="W444" s="8">
        <f>VLOOKUP(U444,Jogadores!B:D,3,0)</f>
        <v>33.38630137</v>
      </c>
      <c r="X444" s="7">
        <v>54.0</v>
      </c>
      <c r="Y444" s="7">
        <f t="shared" si="1382"/>
        <v>93</v>
      </c>
      <c r="Z444" s="7">
        <f>VLOOKUP(A444,Jogos!A:L,3,0)</f>
        <v>46</v>
      </c>
      <c r="AA444" s="7">
        <f t="shared" si="7"/>
        <v>0</v>
      </c>
      <c r="AB444" s="7">
        <f>VLOOKUP(A444,Jogos!A:L,4,0)</f>
        <v>48</v>
      </c>
      <c r="AC444" s="7">
        <f t="shared" si="657"/>
        <v>39</v>
      </c>
      <c r="AD444" s="7"/>
      <c r="AE444" s="7"/>
      <c r="AF444" s="7">
        <f t="shared" si="9"/>
        <v>39</v>
      </c>
      <c r="AG444" s="7">
        <v>4679.8</v>
      </c>
      <c r="AH444" s="7">
        <v>1334.4</v>
      </c>
      <c r="AI444" s="7">
        <v>2258.5</v>
      </c>
      <c r="AJ444" s="7">
        <v>706.7</v>
      </c>
      <c r="AK444" s="7">
        <v>257.2</v>
      </c>
      <c r="AL444" s="7">
        <v>123.0</v>
      </c>
      <c r="AM444" s="7">
        <v>65.0</v>
      </c>
      <c r="AN444" s="7">
        <v>24.0</v>
      </c>
      <c r="AO444" s="7">
        <v>31.4</v>
      </c>
      <c r="AP444" s="9">
        <f t="shared" ref="AP444:AR444" si="1386">AG444/$AF444</f>
        <v>119.9948718</v>
      </c>
      <c r="AQ444" s="9">
        <f t="shared" si="1386"/>
        <v>34.21538462</v>
      </c>
      <c r="AR444" s="9">
        <f t="shared" si="1386"/>
        <v>57.91025641</v>
      </c>
      <c r="AS444" s="9">
        <f t="shared" si="11"/>
        <v>92.12564103</v>
      </c>
      <c r="AT444" s="9">
        <f t="shared" ref="AT444:AV444" si="1387">AJ444/$AF444</f>
        <v>18.12051282</v>
      </c>
      <c r="AU444" s="9">
        <f t="shared" si="1387"/>
        <v>6.594871795</v>
      </c>
      <c r="AV444" s="9">
        <f t="shared" si="1387"/>
        <v>3.153846154</v>
      </c>
      <c r="AW444" s="9">
        <f t="shared" si="13"/>
        <v>9.748717949</v>
      </c>
      <c r="AX444" s="9">
        <f t="shared" ref="AX444:AY444" si="1388">AM444/$AF444</f>
        <v>1.666666667</v>
      </c>
      <c r="AY444" s="9">
        <f t="shared" si="1388"/>
        <v>0.6153846154</v>
      </c>
      <c r="AZ444" s="9">
        <f>VLOOKUP(A444,Jogos!A:BN,58,0)</f>
        <v>24.4075</v>
      </c>
      <c r="BA444" s="9">
        <f>VLOOKUP(A444,Jogos!A:BN,59,0)</f>
        <v>20.5975</v>
      </c>
      <c r="BB444" s="9">
        <f>VLOOKUP(A444,Jogos!A:BN,60,0)</f>
        <v>79</v>
      </c>
      <c r="BC444" s="9">
        <f>VLOOKUP(A444,Jogos!A:BN,61,0)</f>
        <v>22.3825</v>
      </c>
      <c r="BD444" s="9">
        <f>VLOOKUP(A444,Jogos!A:BN,62,0)</f>
        <v>103.675</v>
      </c>
      <c r="BE444" s="9">
        <f>VLOOKUP(A444,Jogos!A:BN,63,0)</f>
        <v>2.895</v>
      </c>
      <c r="BF444" s="9">
        <f>VLOOKUP(A444,Jogos!A:BN,64,0)</f>
        <v>22.1075</v>
      </c>
      <c r="BG444" s="9">
        <f>VLOOKUP(A444,Jogos!A:BN,65,0)</f>
        <v>37.2575</v>
      </c>
      <c r="BH444" s="9">
        <f>VLOOKUP(A444,Jogos!A:BN,66,0)</f>
        <v>25.3675</v>
      </c>
      <c r="BI444" s="9"/>
    </row>
    <row r="445" hidden="1">
      <c r="A445" s="10">
        <v>15.0</v>
      </c>
      <c r="B445" s="11" t="s">
        <v>872</v>
      </c>
      <c r="C445" s="2" t="s">
        <v>61</v>
      </c>
      <c r="D445" s="12">
        <v>45826.0</v>
      </c>
      <c r="E445" s="13">
        <v>0.75</v>
      </c>
      <c r="F445" s="5" t="str">
        <f>VLOOKUP(A445,Jogos!A:N,10,0)</f>
        <v>Evening</v>
      </c>
      <c r="G445" s="11" t="s">
        <v>122</v>
      </c>
      <c r="H445" s="6" t="str">
        <f>VLOOKUP(A445,Jogos!A:L,12,0)</f>
        <v>Open</v>
      </c>
      <c r="I445" s="6" t="str">
        <f>VLOOKUP(G445,'Estádios e Cidades'!A:B,2,0)</f>
        <v>Cincinnati</v>
      </c>
      <c r="J445" s="11" t="s">
        <v>936</v>
      </c>
      <c r="K445" s="2" t="str">
        <f>VLOOKUP(J445,Equipes!A:F,6,0)</f>
        <v>Temperate</v>
      </c>
      <c r="L445" s="2">
        <f>VLOOKUP(J445,Equipes!A:C,3,0)</f>
        <v>20</v>
      </c>
      <c r="M445" s="2" t="str">
        <f t="shared" si="4"/>
        <v>Group</v>
      </c>
      <c r="N445" s="11" t="s">
        <v>935</v>
      </c>
      <c r="O445" s="2">
        <f>VLOOKUP(N445,Equipes!A:C,3,0)</f>
        <v>30</v>
      </c>
      <c r="P445" s="2" t="str">
        <f t="shared" si="5"/>
        <v>Group</v>
      </c>
      <c r="Q445" s="2">
        <f t="shared" si="6"/>
        <v>-10</v>
      </c>
      <c r="R445" s="2" t="str">
        <f>VLOOKUP(J445,Equipes!A:B,2,0)</f>
        <v>Salzburg</v>
      </c>
      <c r="S445" s="6" t="s">
        <v>991</v>
      </c>
      <c r="T445" s="7">
        <v>11.0</v>
      </c>
      <c r="U445" s="7" t="s">
        <v>992</v>
      </c>
      <c r="V445" s="7" t="str">
        <f>VLOOKUP(U445,Jogadores!B:C,2,0)</f>
        <v>FW</v>
      </c>
      <c r="W445" s="8">
        <f>VLOOKUP(U445,Jogadores!B:D,3,0)</f>
        <v>24.56712329</v>
      </c>
      <c r="X445" s="7">
        <v>54.0</v>
      </c>
      <c r="Y445" s="7">
        <f t="shared" si="1382"/>
        <v>93</v>
      </c>
      <c r="Z445" s="7">
        <f>VLOOKUP(A445,Jogos!A:L,3,0)</f>
        <v>46</v>
      </c>
      <c r="AA445" s="7">
        <f t="shared" si="7"/>
        <v>0</v>
      </c>
      <c r="AB445" s="7">
        <f>VLOOKUP(A445,Jogos!A:L,4,0)</f>
        <v>48</v>
      </c>
      <c r="AC445" s="7">
        <f t="shared" si="657"/>
        <v>39</v>
      </c>
      <c r="AD445" s="7"/>
      <c r="AE445" s="7"/>
      <c r="AF445" s="7">
        <f t="shared" si="9"/>
        <v>39</v>
      </c>
      <c r="AG445" s="7">
        <v>4922.0</v>
      </c>
      <c r="AH445" s="7">
        <v>1288.3</v>
      </c>
      <c r="AI445" s="7">
        <v>2460.3</v>
      </c>
      <c r="AJ445" s="7">
        <v>722.6</v>
      </c>
      <c r="AK445" s="7">
        <v>293.2</v>
      </c>
      <c r="AL445" s="7">
        <v>157.4</v>
      </c>
      <c r="AM445" s="7">
        <v>73.0</v>
      </c>
      <c r="AN445" s="7">
        <v>27.0</v>
      </c>
      <c r="AO445" s="7">
        <v>32.6</v>
      </c>
      <c r="AP445" s="9">
        <f t="shared" ref="AP445:AR445" si="1389">AG445/$AF445</f>
        <v>126.2051282</v>
      </c>
      <c r="AQ445" s="9">
        <f t="shared" si="1389"/>
        <v>33.03333333</v>
      </c>
      <c r="AR445" s="9">
        <f t="shared" si="1389"/>
        <v>63.08461538</v>
      </c>
      <c r="AS445" s="9">
        <f t="shared" si="11"/>
        <v>96.11794872</v>
      </c>
      <c r="AT445" s="9">
        <f t="shared" ref="AT445:AV445" si="1390">AJ445/$AF445</f>
        <v>18.52820513</v>
      </c>
      <c r="AU445" s="9">
        <f t="shared" si="1390"/>
        <v>7.517948718</v>
      </c>
      <c r="AV445" s="9">
        <f t="shared" si="1390"/>
        <v>4.035897436</v>
      </c>
      <c r="AW445" s="9">
        <f t="shared" si="13"/>
        <v>11.55384615</v>
      </c>
      <c r="AX445" s="9">
        <f t="shared" ref="AX445:AY445" si="1391">AM445/$AF445</f>
        <v>1.871794872</v>
      </c>
      <c r="AY445" s="9">
        <f t="shared" si="1391"/>
        <v>0.6923076923</v>
      </c>
      <c r="AZ445" s="9">
        <f>VLOOKUP(A445,Jogos!A:BN,58,0)</f>
        <v>24.4075</v>
      </c>
      <c r="BA445" s="9">
        <f>VLOOKUP(A445,Jogos!A:BN,59,0)</f>
        <v>20.5975</v>
      </c>
      <c r="BB445" s="9">
        <f>VLOOKUP(A445,Jogos!A:BN,60,0)</f>
        <v>79</v>
      </c>
      <c r="BC445" s="9">
        <f>VLOOKUP(A445,Jogos!A:BN,61,0)</f>
        <v>22.3825</v>
      </c>
      <c r="BD445" s="9">
        <f>VLOOKUP(A445,Jogos!A:BN,62,0)</f>
        <v>103.675</v>
      </c>
      <c r="BE445" s="9">
        <f>VLOOKUP(A445,Jogos!A:BN,63,0)</f>
        <v>2.895</v>
      </c>
      <c r="BF445" s="9">
        <f>VLOOKUP(A445,Jogos!A:BN,64,0)</f>
        <v>22.1075</v>
      </c>
      <c r="BG445" s="9">
        <f>VLOOKUP(A445,Jogos!A:BN,65,0)</f>
        <v>37.2575</v>
      </c>
      <c r="BH445" s="9">
        <f>VLOOKUP(A445,Jogos!A:BN,66,0)</f>
        <v>25.3675</v>
      </c>
      <c r="BI445" s="9"/>
    </row>
    <row r="446" hidden="1">
      <c r="A446" s="10">
        <v>15.0</v>
      </c>
      <c r="B446" s="11" t="s">
        <v>872</v>
      </c>
      <c r="C446" s="2" t="s">
        <v>61</v>
      </c>
      <c r="D446" s="12">
        <v>45826.0</v>
      </c>
      <c r="E446" s="13">
        <v>0.75</v>
      </c>
      <c r="F446" s="5" t="str">
        <f>VLOOKUP(A446,Jogos!A:N,10,0)</f>
        <v>Evening</v>
      </c>
      <c r="G446" s="11" t="s">
        <v>122</v>
      </c>
      <c r="H446" s="6" t="str">
        <f>VLOOKUP(A446,Jogos!A:L,12,0)</f>
        <v>Open</v>
      </c>
      <c r="I446" s="6" t="str">
        <f>VLOOKUP(G446,'Estádios e Cidades'!A:B,2,0)</f>
        <v>Cincinnati</v>
      </c>
      <c r="J446" s="11" t="s">
        <v>936</v>
      </c>
      <c r="K446" s="2" t="str">
        <f>VLOOKUP(J446,Equipes!A:F,6,0)</f>
        <v>Temperate</v>
      </c>
      <c r="L446" s="2">
        <f>VLOOKUP(J446,Equipes!A:C,3,0)</f>
        <v>20</v>
      </c>
      <c r="M446" s="2" t="str">
        <f t="shared" si="4"/>
        <v>Group</v>
      </c>
      <c r="N446" s="11" t="s">
        <v>935</v>
      </c>
      <c r="O446" s="2">
        <f>VLOOKUP(N446,Equipes!A:C,3,0)</f>
        <v>30</v>
      </c>
      <c r="P446" s="2" t="str">
        <f t="shared" si="5"/>
        <v>Group</v>
      </c>
      <c r="Q446" s="2">
        <f t="shared" si="6"/>
        <v>-10</v>
      </c>
      <c r="R446" s="2" t="str">
        <f>VLOOKUP(J446,Equipes!A:B,2,0)</f>
        <v>Salzburg</v>
      </c>
      <c r="S446" s="6" t="s">
        <v>993</v>
      </c>
      <c r="T446" s="7">
        <v>28.0</v>
      </c>
      <c r="U446" s="7" t="s">
        <v>994</v>
      </c>
      <c r="V446" s="7" t="str">
        <f>VLOOKUP(U446,Jogadores!B:C,2,0)</f>
        <v>FW</v>
      </c>
      <c r="W446" s="8">
        <f>VLOOKUP(U446,Jogadores!B:D,3,0)</f>
        <v>19.84383562</v>
      </c>
      <c r="X446" s="7">
        <v>79.0</v>
      </c>
      <c r="Y446" s="7">
        <f t="shared" si="1382"/>
        <v>93</v>
      </c>
      <c r="Z446" s="7">
        <f>VLOOKUP(A446,Jogos!A:L,3,0)</f>
        <v>46</v>
      </c>
      <c r="AA446" s="7">
        <f t="shared" si="7"/>
        <v>0</v>
      </c>
      <c r="AB446" s="7">
        <f>VLOOKUP(A446,Jogos!A:L,4,0)</f>
        <v>48</v>
      </c>
      <c r="AC446" s="7">
        <f t="shared" si="657"/>
        <v>14</v>
      </c>
      <c r="AD446" s="7"/>
      <c r="AE446" s="7"/>
      <c r="AF446" s="7">
        <f t="shared" si="9"/>
        <v>14</v>
      </c>
      <c r="AG446" s="7">
        <v>2200.4</v>
      </c>
      <c r="AH446" s="7">
        <v>527.3</v>
      </c>
      <c r="AI446" s="7">
        <v>945.5</v>
      </c>
      <c r="AJ446" s="7">
        <v>354.8</v>
      </c>
      <c r="AK446" s="7">
        <v>215.5</v>
      </c>
      <c r="AL446" s="7">
        <v>157.3</v>
      </c>
      <c r="AM446" s="7">
        <v>30.0</v>
      </c>
      <c r="AN446" s="7">
        <v>18.0</v>
      </c>
      <c r="AO446" s="7">
        <v>32.0</v>
      </c>
      <c r="AP446" s="9">
        <f t="shared" ref="AP446:AR446" si="1392">AG446/$AF446</f>
        <v>157.1714286</v>
      </c>
      <c r="AQ446" s="9">
        <f t="shared" si="1392"/>
        <v>37.66428571</v>
      </c>
      <c r="AR446" s="9">
        <f t="shared" si="1392"/>
        <v>67.53571429</v>
      </c>
      <c r="AS446" s="9">
        <f t="shared" si="11"/>
        <v>105.2</v>
      </c>
      <c r="AT446" s="9">
        <f t="shared" ref="AT446:AV446" si="1393">AJ446/$AF446</f>
        <v>25.34285714</v>
      </c>
      <c r="AU446" s="9">
        <f t="shared" si="1393"/>
        <v>15.39285714</v>
      </c>
      <c r="AV446" s="9">
        <f t="shared" si="1393"/>
        <v>11.23571429</v>
      </c>
      <c r="AW446" s="9">
        <f t="shared" si="13"/>
        <v>26.62857143</v>
      </c>
      <c r="AX446" s="9">
        <f t="shared" ref="AX446:AY446" si="1394">AM446/$AF446</f>
        <v>2.142857143</v>
      </c>
      <c r="AY446" s="9">
        <f t="shared" si="1394"/>
        <v>1.285714286</v>
      </c>
      <c r="AZ446" s="9">
        <f>VLOOKUP(A446,Jogos!A:BN,58,0)</f>
        <v>24.4075</v>
      </c>
      <c r="BA446" s="9">
        <f>VLOOKUP(A446,Jogos!A:BN,59,0)</f>
        <v>20.5975</v>
      </c>
      <c r="BB446" s="9">
        <f>VLOOKUP(A446,Jogos!A:BN,60,0)</f>
        <v>79</v>
      </c>
      <c r="BC446" s="9">
        <f>VLOOKUP(A446,Jogos!A:BN,61,0)</f>
        <v>22.3825</v>
      </c>
      <c r="BD446" s="9">
        <f>VLOOKUP(A446,Jogos!A:BN,62,0)</f>
        <v>103.675</v>
      </c>
      <c r="BE446" s="9">
        <f>VLOOKUP(A446,Jogos!A:BN,63,0)</f>
        <v>2.895</v>
      </c>
      <c r="BF446" s="9">
        <f>VLOOKUP(A446,Jogos!A:BN,64,0)</f>
        <v>22.1075</v>
      </c>
      <c r="BG446" s="9">
        <f>VLOOKUP(A446,Jogos!A:BN,65,0)</f>
        <v>37.2575</v>
      </c>
      <c r="BH446" s="9">
        <f>VLOOKUP(A446,Jogos!A:BN,66,0)</f>
        <v>25.3675</v>
      </c>
      <c r="BI446" s="9"/>
    </row>
    <row r="447" hidden="1">
      <c r="A447" s="10">
        <v>15.0</v>
      </c>
      <c r="B447" s="11" t="s">
        <v>872</v>
      </c>
      <c r="C447" s="2" t="s">
        <v>61</v>
      </c>
      <c r="D447" s="12">
        <v>45826.0</v>
      </c>
      <c r="E447" s="13">
        <v>0.75</v>
      </c>
      <c r="F447" s="5" t="str">
        <f>VLOOKUP(A447,Jogos!A:N,10,0)</f>
        <v>Evening</v>
      </c>
      <c r="G447" s="11" t="s">
        <v>122</v>
      </c>
      <c r="H447" s="6" t="str">
        <f>VLOOKUP(A447,Jogos!A:L,12,0)</f>
        <v>Open</v>
      </c>
      <c r="I447" s="6" t="str">
        <f>VLOOKUP(G447,'Estádios e Cidades'!A:B,2,0)</f>
        <v>Cincinnati</v>
      </c>
      <c r="J447" s="11" t="s">
        <v>936</v>
      </c>
      <c r="K447" s="2" t="str">
        <f>VLOOKUP(J447,Equipes!A:F,6,0)</f>
        <v>Temperate</v>
      </c>
      <c r="L447" s="2">
        <f>VLOOKUP(J447,Equipes!A:C,3,0)</f>
        <v>20</v>
      </c>
      <c r="M447" s="2" t="str">
        <f t="shared" si="4"/>
        <v>Group</v>
      </c>
      <c r="N447" s="11" t="s">
        <v>935</v>
      </c>
      <c r="O447" s="2">
        <f>VLOOKUP(N447,Equipes!A:C,3,0)</f>
        <v>30</v>
      </c>
      <c r="P447" s="2" t="str">
        <f t="shared" si="5"/>
        <v>Group</v>
      </c>
      <c r="Q447" s="2">
        <f t="shared" si="6"/>
        <v>-10</v>
      </c>
      <c r="R447" s="2" t="str">
        <f>VLOOKUP(J447,Equipes!A:B,2,0)</f>
        <v>Salzburg</v>
      </c>
      <c r="S447" s="6" t="s">
        <v>995</v>
      </c>
      <c r="T447" s="7">
        <v>36.0</v>
      </c>
      <c r="U447" s="7" t="s">
        <v>996</v>
      </c>
      <c r="V447" s="7" t="str">
        <f>VLOOKUP(U447,Jogadores!B:C,2,0)</f>
        <v>DF</v>
      </c>
      <c r="W447" s="8">
        <f>VLOOKUP(U447,Jogadores!B:D,3,0)</f>
        <v>19.00821918</v>
      </c>
      <c r="X447" s="7">
        <v>88.0</v>
      </c>
      <c r="Y447" s="7">
        <f t="shared" si="1382"/>
        <v>93</v>
      </c>
      <c r="Z447" s="7">
        <f>VLOOKUP(A447,Jogos!A:L,3,0)</f>
        <v>46</v>
      </c>
      <c r="AA447" s="7">
        <f t="shared" si="7"/>
        <v>0</v>
      </c>
      <c r="AB447" s="7">
        <f>VLOOKUP(A447,Jogos!A:L,4,0)</f>
        <v>48</v>
      </c>
      <c r="AC447" s="7">
        <f t="shared" si="657"/>
        <v>5</v>
      </c>
      <c r="AD447" s="7"/>
      <c r="AE447" s="7"/>
      <c r="AF447" s="7">
        <f t="shared" si="9"/>
        <v>5</v>
      </c>
      <c r="AG447" s="7">
        <v>788.0</v>
      </c>
      <c r="AH447" s="7">
        <v>208.7</v>
      </c>
      <c r="AI447" s="7">
        <v>376.3</v>
      </c>
      <c r="AJ447" s="7">
        <v>98.7</v>
      </c>
      <c r="AK447" s="7">
        <v>72.1</v>
      </c>
      <c r="AL447" s="7">
        <v>32.2</v>
      </c>
      <c r="AM447" s="7">
        <v>8.0</v>
      </c>
      <c r="AN447" s="7">
        <v>6.0</v>
      </c>
      <c r="AO447" s="7">
        <v>27.3</v>
      </c>
      <c r="AP447" s="9">
        <f t="shared" ref="AP447:AR447" si="1395">AG447/$AF447</f>
        <v>157.6</v>
      </c>
      <c r="AQ447" s="9">
        <f t="shared" si="1395"/>
        <v>41.74</v>
      </c>
      <c r="AR447" s="9">
        <f t="shared" si="1395"/>
        <v>75.26</v>
      </c>
      <c r="AS447" s="9">
        <f t="shared" si="11"/>
        <v>117</v>
      </c>
      <c r="AT447" s="9">
        <f t="shared" ref="AT447:AV447" si="1396">AJ447/$AF447</f>
        <v>19.74</v>
      </c>
      <c r="AU447" s="9">
        <f t="shared" si="1396"/>
        <v>14.42</v>
      </c>
      <c r="AV447" s="9">
        <f t="shared" si="1396"/>
        <v>6.44</v>
      </c>
      <c r="AW447" s="9">
        <f t="shared" si="13"/>
        <v>20.86</v>
      </c>
      <c r="AX447" s="9">
        <f t="shared" ref="AX447:AY447" si="1397">AM447/$AF447</f>
        <v>1.6</v>
      </c>
      <c r="AY447" s="9">
        <f t="shared" si="1397"/>
        <v>1.2</v>
      </c>
      <c r="AZ447" s="9">
        <f>VLOOKUP(A447,Jogos!A:BN,58,0)</f>
        <v>24.4075</v>
      </c>
      <c r="BA447" s="9">
        <f>VLOOKUP(A447,Jogos!A:BN,59,0)</f>
        <v>20.5975</v>
      </c>
      <c r="BB447" s="9">
        <f>VLOOKUP(A447,Jogos!A:BN,60,0)</f>
        <v>79</v>
      </c>
      <c r="BC447" s="9">
        <f>VLOOKUP(A447,Jogos!A:BN,61,0)</f>
        <v>22.3825</v>
      </c>
      <c r="BD447" s="9">
        <f>VLOOKUP(A447,Jogos!A:BN,62,0)</f>
        <v>103.675</v>
      </c>
      <c r="BE447" s="9">
        <f>VLOOKUP(A447,Jogos!A:BN,63,0)</f>
        <v>2.895</v>
      </c>
      <c r="BF447" s="9">
        <f>VLOOKUP(A447,Jogos!A:BN,64,0)</f>
        <v>22.1075</v>
      </c>
      <c r="BG447" s="9">
        <f>VLOOKUP(A447,Jogos!A:BN,65,0)</f>
        <v>37.2575</v>
      </c>
      <c r="BH447" s="9">
        <f>VLOOKUP(A447,Jogos!A:BN,66,0)</f>
        <v>25.3675</v>
      </c>
      <c r="BI447" s="9"/>
    </row>
    <row r="448" hidden="1">
      <c r="A448" s="2">
        <v>16.0</v>
      </c>
      <c r="B448" s="11" t="s">
        <v>809</v>
      </c>
      <c r="C448" s="2" t="s">
        <v>61</v>
      </c>
      <c r="D448" s="3">
        <v>45826.0</v>
      </c>
      <c r="E448" s="4">
        <v>0.875</v>
      </c>
      <c r="F448" s="5" t="str">
        <f>VLOOKUP(A448,Jogos!A:N,10,0)</f>
        <v>Evening</v>
      </c>
      <c r="G448" s="2" t="s">
        <v>997</v>
      </c>
      <c r="H448" s="6" t="str">
        <f>VLOOKUP(A448,Jogos!A:L,12,0)</f>
        <v>Open</v>
      </c>
      <c r="I448" s="6" t="str">
        <f>VLOOKUP(G448,'Estádios e Cidades'!A:B,2,0)</f>
        <v>Washington, D.C.</v>
      </c>
      <c r="J448" s="2" t="s">
        <v>998</v>
      </c>
      <c r="K448" s="2" t="str">
        <f>VLOOKUP(J448,Equipes!A:F,6,0)</f>
        <v>Tropical</v>
      </c>
      <c r="L448" s="2">
        <f>VLOOKUP(J448,Equipes!A:C,3,0)</f>
        <v>22</v>
      </c>
      <c r="M448" s="2" t="str">
        <f t="shared" si="4"/>
        <v>Group</v>
      </c>
      <c r="N448" s="2" t="s">
        <v>999</v>
      </c>
      <c r="O448" s="2">
        <f>VLOOKUP(N448,Equipes!A:C,3,0)</f>
        <v>13</v>
      </c>
      <c r="P448" s="2" t="str">
        <f t="shared" si="5"/>
        <v>Round of 16</v>
      </c>
      <c r="Q448" s="2">
        <f t="shared" si="6"/>
        <v>9</v>
      </c>
      <c r="R448" s="2" t="str">
        <f>VLOOKUP(J448,Equipes!A:B,2,0)</f>
        <v>AlAin</v>
      </c>
      <c r="S448" s="6" t="s">
        <v>1000</v>
      </c>
      <c r="T448" s="7">
        <v>3.0</v>
      </c>
      <c r="U448" s="7" t="s">
        <v>1001</v>
      </c>
      <c r="V448" s="7" t="str">
        <f>VLOOKUP(U448,Jogadores!B:C,2,0)</f>
        <v>DF</v>
      </c>
      <c r="W448" s="8">
        <f>VLOOKUP(U448,Jogadores!B:D,3,0)</f>
        <v>24.8630137</v>
      </c>
      <c r="X448" s="7">
        <v>0.0</v>
      </c>
      <c r="Y448" s="7">
        <v>68.0</v>
      </c>
      <c r="Z448" s="7">
        <f>VLOOKUP(A448,Jogos!A:L,3,0)</f>
        <v>51</v>
      </c>
      <c r="AA448" s="7">
        <f t="shared" si="7"/>
        <v>51</v>
      </c>
      <c r="AB448" s="7">
        <f>VLOOKUP(A448,Jogos!A:L,4,0)</f>
        <v>48</v>
      </c>
      <c r="AC448" s="7">
        <f t="shared" si="657"/>
        <v>23</v>
      </c>
      <c r="AD448" s="7"/>
      <c r="AE448" s="7"/>
      <c r="AF448" s="7">
        <f t="shared" si="9"/>
        <v>74</v>
      </c>
      <c r="AG448" s="7">
        <v>7047.5</v>
      </c>
      <c r="AH448" s="7">
        <v>2957.0</v>
      </c>
      <c r="AI448" s="7">
        <v>2779.2</v>
      </c>
      <c r="AJ448" s="7">
        <v>753.1</v>
      </c>
      <c r="AK448" s="7">
        <v>397.0</v>
      </c>
      <c r="AL448" s="7">
        <v>161.2</v>
      </c>
      <c r="AM448" s="7">
        <v>73.0</v>
      </c>
      <c r="AN448" s="7">
        <v>30.0</v>
      </c>
      <c r="AO448" s="7">
        <v>33.0</v>
      </c>
      <c r="AP448" s="9">
        <f t="shared" ref="AP448:AR448" si="1398">AG448/$AF448</f>
        <v>95.23648649</v>
      </c>
      <c r="AQ448" s="9">
        <f t="shared" si="1398"/>
        <v>39.95945946</v>
      </c>
      <c r="AR448" s="9">
        <f t="shared" si="1398"/>
        <v>37.55675676</v>
      </c>
      <c r="AS448" s="9">
        <f t="shared" si="11"/>
        <v>77.51621622</v>
      </c>
      <c r="AT448" s="9">
        <f t="shared" ref="AT448:AV448" si="1399">AJ448/$AF448</f>
        <v>10.17702703</v>
      </c>
      <c r="AU448" s="9">
        <f t="shared" si="1399"/>
        <v>5.364864865</v>
      </c>
      <c r="AV448" s="9">
        <f t="shared" si="1399"/>
        <v>2.178378378</v>
      </c>
      <c r="AW448" s="9">
        <f t="shared" si="13"/>
        <v>7.543243243</v>
      </c>
      <c r="AX448" s="9">
        <f t="shared" ref="AX448:AY448" si="1400">AM448/$AF448</f>
        <v>0.9864864865</v>
      </c>
      <c r="AY448" s="9">
        <f t="shared" si="1400"/>
        <v>0.4054054054</v>
      </c>
      <c r="AZ448" s="9">
        <f>VLOOKUP(A448,Jogos!A:BN,58,0)</f>
        <v>25.475</v>
      </c>
      <c r="BA448" s="9">
        <f>VLOOKUP(A448,Jogos!A:BN,59,0)</f>
        <v>23.695</v>
      </c>
      <c r="BB448" s="9">
        <f>VLOOKUP(A448,Jogos!A:BN,60,0)</f>
        <v>89.5</v>
      </c>
      <c r="BC448" s="9">
        <f>VLOOKUP(A448,Jogos!A:BN,61,0)</f>
        <v>23.645</v>
      </c>
      <c r="BD448" s="9">
        <f>VLOOKUP(A448,Jogos!A:BN,62,0)</f>
        <v>0</v>
      </c>
      <c r="BE448" s="9">
        <f>VLOOKUP(A448,Jogos!A:BN,63,0)</f>
        <v>1.88</v>
      </c>
      <c r="BF448" s="9">
        <f>VLOOKUP(A448,Jogos!A:BN,64,0)</f>
        <v>23.835</v>
      </c>
      <c r="BG448" s="9">
        <f>VLOOKUP(A448,Jogos!A:BN,65,0)</f>
        <v>40.61</v>
      </c>
      <c r="BH448" s="9">
        <f>VLOOKUP(A448,Jogos!A:BN,66,0)</f>
        <v>27.355</v>
      </c>
      <c r="BI448" s="9"/>
    </row>
    <row r="449" hidden="1">
      <c r="A449" s="2">
        <v>16.0</v>
      </c>
      <c r="B449" s="11" t="s">
        <v>809</v>
      </c>
      <c r="C449" s="2" t="s">
        <v>61</v>
      </c>
      <c r="D449" s="3">
        <v>45826.0</v>
      </c>
      <c r="E449" s="4">
        <v>0.875</v>
      </c>
      <c r="F449" s="5" t="str">
        <f>VLOOKUP(A449,Jogos!A:N,10,0)</f>
        <v>Evening</v>
      </c>
      <c r="G449" s="2" t="s">
        <v>997</v>
      </c>
      <c r="H449" s="6" t="str">
        <f>VLOOKUP(A449,Jogos!A:L,12,0)</f>
        <v>Open</v>
      </c>
      <c r="I449" s="6" t="str">
        <f>VLOOKUP(G449,'Estádios e Cidades'!A:B,2,0)</f>
        <v>Washington, D.C.</v>
      </c>
      <c r="J449" s="2" t="s">
        <v>998</v>
      </c>
      <c r="K449" s="2" t="str">
        <f>VLOOKUP(J449,Equipes!A:F,6,0)</f>
        <v>Tropical</v>
      </c>
      <c r="L449" s="2">
        <f>VLOOKUP(J449,Equipes!A:C,3,0)</f>
        <v>22</v>
      </c>
      <c r="M449" s="2" t="str">
        <f t="shared" si="4"/>
        <v>Group</v>
      </c>
      <c r="N449" s="2" t="s">
        <v>999</v>
      </c>
      <c r="O449" s="2">
        <f>VLOOKUP(N449,Equipes!A:C,3,0)</f>
        <v>13</v>
      </c>
      <c r="P449" s="2" t="str">
        <f t="shared" si="5"/>
        <v>Round of 16</v>
      </c>
      <c r="Q449" s="2">
        <f t="shared" si="6"/>
        <v>9</v>
      </c>
      <c r="R449" s="2" t="str">
        <f>VLOOKUP(J449,Equipes!A:B,2,0)</f>
        <v>AlAin</v>
      </c>
      <c r="S449" s="6" t="s">
        <v>1002</v>
      </c>
      <c r="T449" s="7">
        <v>5.0</v>
      </c>
      <c r="U449" s="7" t="s">
        <v>1003</v>
      </c>
      <c r="V449" s="7" t="str">
        <f>VLOOKUP(U449,Jogadores!B:C,2,0)</f>
        <v>MF</v>
      </c>
      <c r="W449" s="8">
        <f>VLOOKUP(U449,Jogadores!B:D,3,0)</f>
        <v>31.90136986</v>
      </c>
      <c r="X449" s="7">
        <v>0.0</v>
      </c>
      <c r="Y449" s="7">
        <v>76.0</v>
      </c>
      <c r="Z449" s="7">
        <f>VLOOKUP(A449,Jogos!A:L,3,0)</f>
        <v>51</v>
      </c>
      <c r="AA449" s="7">
        <f t="shared" si="7"/>
        <v>51</v>
      </c>
      <c r="AB449" s="7">
        <f>VLOOKUP(A449,Jogos!A:L,4,0)</f>
        <v>48</v>
      </c>
      <c r="AC449" s="7">
        <f t="shared" si="657"/>
        <v>31</v>
      </c>
      <c r="AD449" s="7"/>
      <c r="AE449" s="7"/>
      <c r="AF449" s="7">
        <f t="shared" si="9"/>
        <v>82</v>
      </c>
      <c r="AG449" s="7">
        <v>9915.1</v>
      </c>
      <c r="AH449" s="7">
        <v>2971.6</v>
      </c>
      <c r="AI449" s="7">
        <v>4384.4</v>
      </c>
      <c r="AJ449" s="7">
        <v>1902.2</v>
      </c>
      <c r="AK449" s="7">
        <v>551.0</v>
      </c>
      <c r="AL449" s="7">
        <v>106.0</v>
      </c>
      <c r="AM449" s="7">
        <v>160.0</v>
      </c>
      <c r="AN449" s="7">
        <v>47.0</v>
      </c>
      <c r="AO449" s="7">
        <v>29.7</v>
      </c>
      <c r="AP449" s="9">
        <f t="shared" ref="AP449:AR449" si="1401">AG449/$AF449</f>
        <v>120.9158537</v>
      </c>
      <c r="AQ449" s="9">
        <f t="shared" si="1401"/>
        <v>36.23902439</v>
      </c>
      <c r="AR449" s="9">
        <f t="shared" si="1401"/>
        <v>53.46829268</v>
      </c>
      <c r="AS449" s="9">
        <f t="shared" si="11"/>
        <v>89.70731707</v>
      </c>
      <c r="AT449" s="9">
        <f t="shared" ref="AT449:AV449" si="1402">AJ449/$AF449</f>
        <v>23.19756098</v>
      </c>
      <c r="AU449" s="9">
        <f t="shared" si="1402"/>
        <v>6.719512195</v>
      </c>
      <c r="AV449" s="9">
        <f t="shared" si="1402"/>
        <v>1.292682927</v>
      </c>
      <c r="AW449" s="9">
        <f t="shared" si="13"/>
        <v>8.012195122</v>
      </c>
      <c r="AX449" s="9">
        <f t="shared" ref="AX449:AY449" si="1403">AM449/$AF449</f>
        <v>1.951219512</v>
      </c>
      <c r="AY449" s="9">
        <f t="shared" si="1403"/>
        <v>0.5731707317</v>
      </c>
      <c r="AZ449" s="9">
        <f>VLOOKUP(A449,Jogos!A:BN,58,0)</f>
        <v>25.475</v>
      </c>
      <c r="BA449" s="9">
        <f>VLOOKUP(A449,Jogos!A:BN,59,0)</f>
        <v>23.695</v>
      </c>
      <c r="BB449" s="9">
        <f>VLOOKUP(A449,Jogos!A:BN,60,0)</f>
        <v>89.5</v>
      </c>
      <c r="BC449" s="9">
        <f>VLOOKUP(A449,Jogos!A:BN,61,0)</f>
        <v>23.645</v>
      </c>
      <c r="BD449" s="9">
        <f>VLOOKUP(A449,Jogos!A:BN,62,0)</f>
        <v>0</v>
      </c>
      <c r="BE449" s="9">
        <f>VLOOKUP(A449,Jogos!A:BN,63,0)</f>
        <v>1.88</v>
      </c>
      <c r="BF449" s="9">
        <f>VLOOKUP(A449,Jogos!A:BN,64,0)</f>
        <v>23.835</v>
      </c>
      <c r="BG449" s="9">
        <f>VLOOKUP(A449,Jogos!A:BN,65,0)</f>
        <v>40.61</v>
      </c>
      <c r="BH449" s="9">
        <f>VLOOKUP(A449,Jogos!A:BN,66,0)</f>
        <v>27.355</v>
      </c>
      <c r="BI449" s="9"/>
    </row>
    <row r="450" hidden="1">
      <c r="A450" s="2">
        <v>16.0</v>
      </c>
      <c r="B450" s="11" t="s">
        <v>809</v>
      </c>
      <c r="C450" s="2" t="s">
        <v>61</v>
      </c>
      <c r="D450" s="3">
        <v>45826.0</v>
      </c>
      <c r="E450" s="4">
        <v>0.875</v>
      </c>
      <c r="F450" s="5" t="str">
        <f>VLOOKUP(A450,Jogos!A:N,10,0)</f>
        <v>Evening</v>
      </c>
      <c r="G450" s="2" t="s">
        <v>997</v>
      </c>
      <c r="H450" s="6" t="str">
        <f>VLOOKUP(A450,Jogos!A:L,12,0)</f>
        <v>Open</v>
      </c>
      <c r="I450" s="6" t="str">
        <f>VLOOKUP(G450,'Estádios e Cidades'!A:B,2,0)</f>
        <v>Washington, D.C.</v>
      </c>
      <c r="J450" s="2" t="s">
        <v>998</v>
      </c>
      <c r="K450" s="2" t="str">
        <f>VLOOKUP(J450,Equipes!A:F,6,0)</f>
        <v>Tropical</v>
      </c>
      <c r="L450" s="2">
        <f>VLOOKUP(J450,Equipes!A:C,3,0)</f>
        <v>22</v>
      </c>
      <c r="M450" s="2" t="str">
        <f t="shared" si="4"/>
        <v>Group</v>
      </c>
      <c r="N450" s="2" t="s">
        <v>999</v>
      </c>
      <c r="O450" s="2">
        <f>VLOOKUP(N450,Equipes!A:C,3,0)</f>
        <v>13</v>
      </c>
      <c r="P450" s="2" t="str">
        <f t="shared" si="5"/>
        <v>Round of 16</v>
      </c>
      <c r="Q450" s="2">
        <f t="shared" si="6"/>
        <v>9</v>
      </c>
      <c r="R450" s="2" t="str">
        <f>VLOOKUP(J450,Equipes!A:B,2,0)</f>
        <v>AlAin</v>
      </c>
      <c r="S450" s="6" t="s">
        <v>1004</v>
      </c>
      <c r="T450" s="7">
        <v>9.0</v>
      </c>
      <c r="U450" s="7" t="s">
        <v>1005</v>
      </c>
      <c r="V450" s="7" t="str">
        <f>VLOOKUP(U450,Jogadores!B:C,2,0)</f>
        <v>FW</v>
      </c>
      <c r="W450" s="8">
        <f>VLOOKUP(U450,Jogadores!B:D,3,0)</f>
        <v>33.52328767</v>
      </c>
      <c r="X450" s="7">
        <v>0.0</v>
      </c>
      <c r="Y450" s="7">
        <f>45+AB450</f>
        <v>93</v>
      </c>
      <c r="Z450" s="7">
        <f>VLOOKUP(A450,Jogos!A:L,3,0)</f>
        <v>51</v>
      </c>
      <c r="AA450" s="7">
        <f t="shared" si="7"/>
        <v>51</v>
      </c>
      <c r="AB450" s="7">
        <f>VLOOKUP(A450,Jogos!A:L,4,0)</f>
        <v>48</v>
      </c>
      <c r="AC450" s="7">
        <f t="shared" si="657"/>
        <v>48</v>
      </c>
      <c r="AD450" s="7"/>
      <c r="AE450" s="7"/>
      <c r="AF450" s="7">
        <f t="shared" si="9"/>
        <v>99</v>
      </c>
      <c r="AG450" s="7">
        <v>9418.9</v>
      </c>
      <c r="AH450" s="7">
        <v>4047.2</v>
      </c>
      <c r="AI450" s="7">
        <v>3627.4</v>
      </c>
      <c r="AJ450" s="7">
        <v>1026.9</v>
      </c>
      <c r="AK450" s="7">
        <v>496.8</v>
      </c>
      <c r="AL450" s="7">
        <v>220.6</v>
      </c>
      <c r="AM450" s="7">
        <v>102.0</v>
      </c>
      <c r="AN450" s="7">
        <v>40.0</v>
      </c>
      <c r="AO450" s="7">
        <v>30.4</v>
      </c>
      <c r="AP450" s="9">
        <f t="shared" ref="AP450:AR450" si="1404">AG450/$AF450</f>
        <v>95.14040404</v>
      </c>
      <c r="AQ450" s="9">
        <f t="shared" si="1404"/>
        <v>40.88080808</v>
      </c>
      <c r="AR450" s="9">
        <f t="shared" si="1404"/>
        <v>36.64040404</v>
      </c>
      <c r="AS450" s="9">
        <f t="shared" si="11"/>
        <v>77.52121212</v>
      </c>
      <c r="AT450" s="9">
        <f t="shared" ref="AT450:AV450" si="1405">AJ450/$AF450</f>
        <v>10.37272727</v>
      </c>
      <c r="AU450" s="9">
        <f t="shared" si="1405"/>
        <v>5.018181818</v>
      </c>
      <c r="AV450" s="9">
        <f t="shared" si="1405"/>
        <v>2.228282828</v>
      </c>
      <c r="AW450" s="9">
        <f t="shared" si="13"/>
        <v>7.246464646</v>
      </c>
      <c r="AX450" s="9">
        <f t="shared" ref="AX450:AY450" si="1406">AM450/$AF450</f>
        <v>1.03030303</v>
      </c>
      <c r="AY450" s="9">
        <f t="shared" si="1406"/>
        <v>0.404040404</v>
      </c>
      <c r="AZ450" s="9">
        <f>VLOOKUP(A450,Jogos!A:BN,58,0)</f>
        <v>25.475</v>
      </c>
      <c r="BA450" s="9">
        <f>VLOOKUP(A450,Jogos!A:BN,59,0)</f>
        <v>23.695</v>
      </c>
      <c r="BB450" s="9">
        <f>VLOOKUP(A450,Jogos!A:BN,60,0)</f>
        <v>89.5</v>
      </c>
      <c r="BC450" s="9">
        <f>VLOOKUP(A450,Jogos!A:BN,61,0)</f>
        <v>23.645</v>
      </c>
      <c r="BD450" s="9">
        <f>VLOOKUP(A450,Jogos!A:BN,62,0)</f>
        <v>0</v>
      </c>
      <c r="BE450" s="9">
        <f>VLOOKUP(A450,Jogos!A:BN,63,0)</f>
        <v>1.88</v>
      </c>
      <c r="BF450" s="9">
        <f>VLOOKUP(A450,Jogos!A:BN,64,0)</f>
        <v>23.835</v>
      </c>
      <c r="BG450" s="9">
        <f>VLOOKUP(A450,Jogos!A:BN,65,0)</f>
        <v>40.61</v>
      </c>
      <c r="BH450" s="9">
        <f>VLOOKUP(A450,Jogos!A:BN,66,0)</f>
        <v>27.355</v>
      </c>
      <c r="BI450" s="9"/>
    </row>
    <row r="451" hidden="1">
      <c r="A451" s="2">
        <v>16.0</v>
      </c>
      <c r="B451" s="11" t="s">
        <v>809</v>
      </c>
      <c r="C451" s="2" t="s">
        <v>61</v>
      </c>
      <c r="D451" s="3">
        <v>45826.0</v>
      </c>
      <c r="E451" s="4">
        <v>0.875</v>
      </c>
      <c r="F451" s="5" t="str">
        <f>VLOOKUP(A451,Jogos!A:N,10,0)</f>
        <v>Evening</v>
      </c>
      <c r="G451" s="2" t="s">
        <v>997</v>
      </c>
      <c r="H451" s="6" t="str">
        <f>VLOOKUP(A451,Jogos!A:L,12,0)</f>
        <v>Open</v>
      </c>
      <c r="I451" s="6" t="str">
        <f>VLOOKUP(G451,'Estádios e Cidades'!A:B,2,0)</f>
        <v>Washington, D.C.</v>
      </c>
      <c r="J451" s="2" t="s">
        <v>998</v>
      </c>
      <c r="K451" s="2" t="str">
        <f>VLOOKUP(J451,Equipes!A:F,6,0)</f>
        <v>Tropical</v>
      </c>
      <c r="L451" s="2">
        <f>VLOOKUP(J451,Equipes!A:C,3,0)</f>
        <v>22</v>
      </c>
      <c r="M451" s="2" t="str">
        <f t="shared" si="4"/>
        <v>Group</v>
      </c>
      <c r="N451" s="2" t="s">
        <v>999</v>
      </c>
      <c r="O451" s="2">
        <f>VLOOKUP(N451,Equipes!A:C,3,0)</f>
        <v>13</v>
      </c>
      <c r="P451" s="2" t="str">
        <f t="shared" si="5"/>
        <v>Round of 16</v>
      </c>
      <c r="Q451" s="2">
        <f t="shared" si="6"/>
        <v>9</v>
      </c>
      <c r="R451" s="2" t="str">
        <f>VLOOKUP(J451,Equipes!A:B,2,0)</f>
        <v>AlAin</v>
      </c>
      <c r="S451" s="6" t="s">
        <v>1006</v>
      </c>
      <c r="T451" s="7">
        <v>10.0</v>
      </c>
      <c r="U451" s="7" t="s">
        <v>1007</v>
      </c>
      <c r="V451" s="7" t="str">
        <f>VLOOKUP(U451,Jogadores!B:C,2,0)</f>
        <v>FW</v>
      </c>
      <c r="W451" s="8">
        <f>VLOOKUP(U451,Jogadores!B:D,3,0)</f>
        <v>30.56438356</v>
      </c>
      <c r="X451" s="7">
        <v>0.0</v>
      </c>
      <c r="Y451" s="7">
        <v>77.0</v>
      </c>
      <c r="Z451" s="7">
        <f>VLOOKUP(A451,Jogos!A:L,3,0)</f>
        <v>51</v>
      </c>
      <c r="AA451" s="7">
        <f t="shared" si="7"/>
        <v>51</v>
      </c>
      <c r="AB451" s="7">
        <f>VLOOKUP(A451,Jogos!A:L,4,0)</f>
        <v>48</v>
      </c>
      <c r="AC451" s="7">
        <f t="shared" si="657"/>
        <v>32</v>
      </c>
      <c r="AD451" s="7"/>
      <c r="AE451" s="7"/>
      <c r="AF451" s="7">
        <f t="shared" si="9"/>
        <v>83</v>
      </c>
      <c r="AG451" s="7">
        <v>8999.0</v>
      </c>
      <c r="AH451" s="7">
        <v>2977.4</v>
      </c>
      <c r="AI451" s="7">
        <v>3584.8</v>
      </c>
      <c r="AJ451" s="7">
        <v>1724.3</v>
      </c>
      <c r="AK451" s="7">
        <v>550.4</v>
      </c>
      <c r="AL451" s="7">
        <v>162.1</v>
      </c>
      <c r="AM451" s="7">
        <v>150.0</v>
      </c>
      <c r="AN451" s="7">
        <v>39.0</v>
      </c>
      <c r="AO451" s="7">
        <v>29.6</v>
      </c>
      <c r="AP451" s="9">
        <f t="shared" ref="AP451:AR451" si="1407">AG451/$AF451</f>
        <v>108.4216867</v>
      </c>
      <c r="AQ451" s="9">
        <f t="shared" si="1407"/>
        <v>35.87228916</v>
      </c>
      <c r="AR451" s="9">
        <f t="shared" si="1407"/>
        <v>43.19036145</v>
      </c>
      <c r="AS451" s="9">
        <f t="shared" si="11"/>
        <v>79.0626506</v>
      </c>
      <c r="AT451" s="9">
        <f t="shared" ref="AT451:AV451" si="1408">AJ451/$AF451</f>
        <v>20.7746988</v>
      </c>
      <c r="AU451" s="9">
        <f t="shared" si="1408"/>
        <v>6.631325301</v>
      </c>
      <c r="AV451" s="9">
        <f t="shared" si="1408"/>
        <v>1.953012048</v>
      </c>
      <c r="AW451" s="9">
        <f t="shared" si="13"/>
        <v>8.584337349</v>
      </c>
      <c r="AX451" s="9">
        <f t="shared" ref="AX451:AY451" si="1409">AM451/$AF451</f>
        <v>1.807228916</v>
      </c>
      <c r="AY451" s="9">
        <f t="shared" si="1409"/>
        <v>0.4698795181</v>
      </c>
      <c r="AZ451" s="9">
        <f>VLOOKUP(A451,Jogos!A:BN,58,0)</f>
        <v>25.475</v>
      </c>
      <c r="BA451" s="9">
        <f>VLOOKUP(A451,Jogos!A:BN,59,0)</f>
        <v>23.695</v>
      </c>
      <c r="BB451" s="9">
        <f>VLOOKUP(A451,Jogos!A:BN,60,0)</f>
        <v>89.5</v>
      </c>
      <c r="BC451" s="9">
        <f>VLOOKUP(A451,Jogos!A:BN,61,0)</f>
        <v>23.645</v>
      </c>
      <c r="BD451" s="9">
        <f>VLOOKUP(A451,Jogos!A:BN,62,0)</f>
        <v>0</v>
      </c>
      <c r="BE451" s="9">
        <f>VLOOKUP(A451,Jogos!A:BN,63,0)</f>
        <v>1.88</v>
      </c>
      <c r="BF451" s="9">
        <f>VLOOKUP(A451,Jogos!A:BN,64,0)</f>
        <v>23.835</v>
      </c>
      <c r="BG451" s="9">
        <f>VLOOKUP(A451,Jogos!A:BN,65,0)</f>
        <v>40.61</v>
      </c>
      <c r="BH451" s="9">
        <f>VLOOKUP(A451,Jogos!A:BN,66,0)</f>
        <v>27.355</v>
      </c>
      <c r="BI451" s="9"/>
    </row>
    <row r="452" hidden="1">
      <c r="A452" s="2">
        <v>16.0</v>
      </c>
      <c r="B452" s="11" t="s">
        <v>809</v>
      </c>
      <c r="C452" s="2" t="s">
        <v>61</v>
      </c>
      <c r="D452" s="3">
        <v>45826.0</v>
      </c>
      <c r="E452" s="4">
        <v>0.875</v>
      </c>
      <c r="F452" s="5" t="str">
        <f>VLOOKUP(A452,Jogos!A:N,10,0)</f>
        <v>Evening</v>
      </c>
      <c r="G452" s="2" t="s">
        <v>997</v>
      </c>
      <c r="H452" s="6" t="str">
        <f>VLOOKUP(A452,Jogos!A:L,12,0)</f>
        <v>Open</v>
      </c>
      <c r="I452" s="6" t="str">
        <f>VLOOKUP(G452,'Estádios e Cidades'!A:B,2,0)</f>
        <v>Washington, D.C.</v>
      </c>
      <c r="J452" s="2" t="s">
        <v>998</v>
      </c>
      <c r="K452" s="2" t="str">
        <f>VLOOKUP(J452,Equipes!A:F,6,0)</f>
        <v>Tropical</v>
      </c>
      <c r="L452" s="2">
        <f>VLOOKUP(J452,Equipes!A:C,3,0)</f>
        <v>22</v>
      </c>
      <c r="M452" s="2" t="str">
        <f t="shared" si="4"/>
        <v>Group</v>
      </c>
      <c r="N452" s="2" t="s">
        <v>999</v>
      </c>
      <c r="O452" s="2">
        <f>VLOOKUP(N452,Equipes!A:C,3,0)</f>
        <v>13</v>
      </c>
      <c r="P452" s="2" t="str">
        <f t="shared" si="5"/>
        <v>Round of 16</v>
      </c>
      <c r="Q452" s="2">
        <f t="shared" si="6"/>
        <v>9</v>
      </c>
      <c r="R452" s="2" t="str">
        <f>VLOOKUP(J452,Equipes!A:B,2,0)</f>
        <v>AlAin</v>
      </c>
      <c r="S452" s="6" t="s">
        <v>1008</v>
      </c>
      <c r="T452" s="7">
        <v>14.0</v>
      </c>
      <c r="U452" s="7" t="s">
        <v>1009</v>
      </c>
      <c r="V452" s="7" t="str">
        <f>VLOOKUP(U452,Jogadores!B:C,2,0)</f>
        <v>DF</v>
      </c>
      <c r="W452" s="8">
        <f>VLOOKUP(U452,Jogadores!B:D,3,0)</f>
        <v>21.6109589</v>
      </c>
      <c r="X452" s="7">
        <v>0.0</v>
      </c>
      <c r="Y452" s="7">
        <f>45+AB452</f>
        <v>93</v>
      </c>
      <c r="Z452" s="7">
        <f>VLOOKUP(A452,Jogos!A:L,3,0)</f>
        <v>51</v>
      </c>
      <c r="AA452" s="7">
        <f t="shared" si="7"/>
        <v>51</v>
      </c>
      <c r="AB452" s="7">
        <f>VLOOKUP(A452,Jogos!A:L,4,0)</f>
        <v>48</v>
      </c>
      <c r="AC452" s="7">
        <f t="shared" si="657"/>
        <v>48</v>
      </c>
      <c r="AD452" s="7"/>
      <c r="AE452" s="7"/>
      <c r="AF452" s="7">
        <f t="shared" si="9"/>
        <v>99</v>
      </c>
      <c r="AG452" s="7">
        <v>9974.7</v>
      </c>
      <c r="AH452" s="7">
        <v>3955.4</v>
      </c>
      <c r="AI452" s="7">
        <v>4735.6</v>
      </c>
      <c r="AJ452" s="7">
        <v>799.8</v>
      </c>
      <c r="AK452" s="7">
        <v>425.1</v>
      </c>
      <c r="AL452" s="7">
        <v>58.8</v>
      </c>
      <c r="AM452" s="7">
        <v>88.0</v>
      </c>
      <c r="AN452" s="7">
        <v>26.0</v>
      </c>
      <c r="AO452" s="7">
        <v>28.8</v>
      </c>
      <c r="AP452" s="9">
        <f t="shared" ref="AP452:AR452" si="1410">AG452/$AF452</f>
        <v>100.7545455</v>
      </c>
      <c r="AQ452" s="9">
        <f t="shared" si="1410"/>
        <v>39.95353535</v>
      </c>
      <c r="AR452" s="9">
        <f t="shared" si="1410"/>
        <v>47.83434343</v>
      </c>
      <c r="AS452" s="9">
        <f t="shared" si="11"/>
        <v>87.78787879</v>
      </c>
      <c r="AT452" s="9">
        <f t="shared" ref="AT452:AV452" si="1411">AJ452/$AF452</f>
        <v>8.078787879</v>
      </c>
      <c r="AU452" s="9">
        <f t="shared" si="1411"/>
        <v>4.293939394</v>
      </c>
      <c r="AV452" s="9">
        <f t="shared" si="1411"/>
        <v>0.5939393939</v>
      </c>
      <c r="AW452" s="9">
        <f t="shared" si="13"/>
        <v>4.887878788</v>
      </c>
      <c r="AX452" s="9">
        <f t="shared" ref="AX452:AY452" si="1412">AM452/$AF452</f>
        <v>0.8888888889</v>
      </c>
      <c r="AY452" s="9">
        <f t="shared" si="1412"/>
        <v>0.2626262626</v>
      </c>
      <c r="AZ452" s="9">
        <f>VLOOKUP(A452,Jogos!A:BN,58,0)</f>
        <v>25.475</v>
      </c>
      <c r="BA452" s="9">
        <f>VLOOKUP(A452,Jogos!A:BN,59,0)</f>
        <v>23.695</v>
      </c>
      <c r="BB452" s="9">
        <f>VLOOKUP(A452,Jogos!A:BN,60,0)</f>
        <v>89.5</v>
      </c>
      <c r="BC452" s="9">
        <f>VLOOKUP(A452,Jogos!A:BN,61,0)</f>
        <v>23.645</v>
      </c>
      <c r="BD452" s="9">
        <f>VLOOKUP(A452,Jogos!A:BN,62,0)</f>
        <v>0</v>
      </c>
      <c r="BE452" s="9">
        <f>VLOOKUP(A452,Jogos!A:BN,63,0)</f>
        <v>1.88</v>
      </c>
      <c r="BF452" s="9">
        <f>VLOOKUP(A452,Jogos!A:BN,64,0)</f>
        <v>23.835</v>
      </c>
      <c r="BG452" s="9">
        <f>VLOOKUP(A452,Jogos!A:BN,65,0)</f>
        <v>40.61</v>
      </c>
      <c r="BH452" s="9">
        <f>VLOOKUP(A452,Jogos!A:BN,66,0)</f>
        <v>27.355</v>
      </c>
      <c r="BI452" s="9"/>
    </row>
    <row r="453" hidden="1">
      <c r="A453" s="2">
        <v>16.0</v>
      </c>
      <c r="B453" s="11" t="s">
        <v>809</v>
      </c>
      <c r="C453" s="2" t="s">
        <v>61</v>
      </c>
      <c r="D453" s="3">
        <v>45826.0</v>
      </c>
      <c r="E453" s="4">
        <v>0.875</v>
      </c>
      <c r="F453" s="5" t="str">
        <f>VLOOKUP(A453,Jogos!A:N,10,0)</f>
        <v>Evening</v>
      </c>
      <c r="G453" s="2" t="s">
        <v>997</v>
      </c>
      <c r="H453" s="6" t="str">
        <f>VLOOKUP(A453,Jogos!A:L,12,0)</f>
        <v>Open</v>
      </c>
      <c r="I453" s="6" t="str">
        <f>VLOOKUP(G453,'Estádios e Cidades'!A:B,2,0)</f>
        <v>Washington, D.C.</v>
      </c>
      <c r="J453" s="2" t="s">
        <v>998</v>
      </c>
      <c r="K453" s="2" t="str">
        <f>VLOOKUP(J453,Equipes!A:F,6,0)</f>
        <v>Tropical</v>
      </c>
      <c r="L453" s="2">
        <f>VLOOKUP(J453,Equipes!A:C,3,0)</f>
        <v>22</v>
      </c>
      <c r="M453" s="2" t="str">
        <f t="shared" si="4"/>
        <v>Group</v>
      </c>
      <c r="N453" s="2" t="s">
        <v>999</v>
      </c>
      <c r="O453" s="2">
        <f>VLOOKUP(N453,Equipes!A:C,3,0)</f>
        <v>13</v>
      </c>
      <c r="P453" s="2" t="str">
        <f t="shared" si="5"/>
        <v>Round of 16</v>
      </c>
      <c r="Q453" s="2">
        <f t="shared" si="6"/>
        <v>9</v>
      </c>
      <c r="R453" s="2" t="str">
        <f>VLOOKUP(J453,Equipes!A:B,2,0)</f>
        <v>AlAin</v>
      </c>
      <c r="S453" s="6" t="s">
        <v>1010</v>
      </c>
      <c r="T453" s="7">
        <v>20.0</v>
      </c>
      <c r="U453" s="7" t="s">
        <v>1011</v>
      </c>
      <c r="V453" s="7" t="str">
        <f>VLOOKUP(U453,Jogadores!B:C,2,0)</f>
        <v>MF</v>
      </c>
      <c r="W453" s="8">
        <f>VLOOKUP(U453,Jogadores!B:D,3,0)</f>
        <v>23.23287671</v>
      </c>
      <c r="X453" s="7">
        <v>0.0</v>
      </c>
      <c r="Y453" s="7">
        <v>68.0</v>
      </c>
      <c r="Z453" s="7">
        <f>VLOOKUP(A453,Jogos!A:L,3,0)</f>
        <v>51</v>
      </c>
      <c r="AA453" s="7">
        <f t="shared" si="7"/>
        <v>51</v>
      </c>
      <c r="AB453" s="7">
        <f>VLOOKUP(A453,Jogos!A:L,4,0)</f>
        <v>48</v>
      </c>
      <c r="AC453" s="7">
        <f t="shared" si="657"/>
        <v>23</v>
      </c>
      <c r="AD453" s="7"/>
      <c r="AE453" s="7"/>
      <c r="AF453" s="7">
        <f t="shared" si="9"/>
        <v>74</v>
      </c>
      <c r="AG453" s="7">
        <v>8907.2</v>
      </c>
      <c r="AH453" s="7">
        <v>2394.3</v>
      </c>
      <c r="AI453" s="7">
        <v>3756.6</v>
      </c>
      <c r="AJ453" s="7">
        <v>2006.5</v>
      </c>
      <c r="AK453" s="7">
        <v>592.0</v>
      </c>
      <c r="AL453" s="7">
        <v>157.9</v>
      </c>
      <c r="AM453" s="7">
        <v>172.0</v>
      </c>
      <c r="AN453" s="7">
        <v>47.0</v>
      </c>
      <c r="AO453" s="7">
        <v>33.1</v>
      </c>
      <c r="AP453" s="9">
        <f t="shared" ref="AP453:AR453" si="1413">AG453/$AF453</f>
        <v>120.3675676</v>
      </c>
      <c r="AQ453" s="9">
        <f t="shared" si="1413"/>
        <v>32.35540541</v>
      </c>
      <c r="AR453" s="9">
        <f t="shared" si="1413"/>
        <v>50.76486486</v>
      </c>
      <c r="AS453" s="9">
        <f t="shared" si="11"/>
        <v>83.12027027</v>
      </c>
      <c r="AT453" s="9">
        <f t="shared" ref="AT453:AV453" si="1414">AJ453/$AF453</f>
        <v>27.11486486</v>
      </c>
      <c r="AU453" s="9">
        <f t="shared" si="1414"/>
        <v>8</v>
      </c>
      <c r="AV453" s="9">
        <f t="shared" si="1414"/>
        <v>2.133783784</v>
      </c>
      <c r="AW453" s="9">
        <f t="shared" si="13"/>
        <v>10.13378378</v>
      </c>
      <c r="AX453" s="9">
        <f t="shared" ref="AX453:AY453" si="1415">AM453/$AF453</f>
        <v>2.324324324</v>
      </c>
      <c r="AY453" s="9">
        <f t="shared" si="1415"/>
        <v>0.6351351351</v>
      </c>
      <c r="AZ453" s="9">
        <f>VLOOKUP(A453,Jogos!A:BN,58,0)</f>
        <v>25.475</v>
      </c>
      <c r="BA453" s="9">
        <f>VLOOKUP(A453,Jogos!A:BN,59,0)</f>
        <v>23.695</v>
      </c>
      <c r="BB453" s="9">
        <f>VLOOKUP(A453,Jogos!A:BN,60,0)</f>
        <v>89.5</v>
      </c>
      <c r="BC453" s="9">
        <f>VLOOKUP(A453,Jogos!A:BN,61,0)</f>
        <v>23.645</v>
      </c>
      <c r="BD453" s="9">
        <f>VLOOKUP(A453,Jogos!A:BN,62,0)</f>
        <v>0</v>
      </c>
      <c r="BE453" s="9">
        <f>VLOOKUP(A453,Jogos!A:BN,63,0)</f>
        <v>1.88</v>
      </c>
      <c r="BF453" s="9">
        <f>VLOOKUP(A453,Jogos!A:BN,64,0)</f>
        <v>23.835</v>
      </c>
      <c r="BG453" s="9">
        <f>VLOOKUP(A453,Jogos!A:BN,65,0)</f>
        <v>40.61</v>
      </c>
      <c r="BH453" s="9">
        <f>VLOOKUP(A453,Jogos!A:BN,66,0)</f>
        <v>27.355</v>
      </c>
      <c r="BI453" s="9"/>
    </row>
    <row r="454" hidden="1">
      <c r="A454" s="2">
        <v>16.0</v>
      </c>
      <c r="B454" s="11" t="s">
        <v>809</v>
      </c>
      <c r="C454" s="2" t="s">
        <v>61</v>
      </c>
      <c r="D454" s="3">
        <v>45826.0</v>
      </c>
      <c r="E454" s="4">
        <v>0.875</v>
      </c>
      <c r="F454" s="5" t="str">
        <f>VLOOKUP(A454,Jogos!A:N,10,0)</f>
        <v>Evening</v>
      </c>
      <c r="G454" s="2" t="s">
        <v>997</v>
      </c>
      <c r="H454" s="6" t="str">
        <f>VLOOKUP(A454,Jogos!A:L,12,0)</f>
        <v>Open</v>
      </c>
      <c r="I454" s="6" t="str">
        <f>VLOOKUP(G454,'Estádios e Cidades'!A:B,2,0)</f>
        <v>Washington, D.C.</v>
      </c>
      <c r="J454" s="2" t="s">
        <v>998</v>
      </c>
      <c r="K454" s="2" t="str">
        <f>VLOOKUP(J454,Equipes!A:F,6,0)</f>
        <v>Tropical</v>
      </c>
      <c r="L454" s="2">
        <f>VLOOKUP(J454,Equipes!A:C,3,0)</f>
        <v>22</v>
      </c>
      <c r="M454" s="2" t="str">
        <f t="shared" si="4"/>
        <v>Group</v>
      </c>
      <c r="N454" s="2" t="s">
        <v>999</v>
      </c>
      <c r="O454" s="2">
        <f>VLOOKUP(N454,Equipes!A:C,3,0)</f>
        <v>13</v>
      </c>
      <c r="P454" s="2" t="str">
        <f t="shared" si="5"/>
        <v>Round of 16</v>
      </c>
      <c r="Q454" s="2">
        <f t="shared" si="6"/>
        <v>9</v>
      </c>
      <c r="R454" s="2" t="str">
        <f>VLOOKUP(J454,Equipes!A:B,2,0)</f>
        <v>AlAin</v>
      </c>
      <c r="S454" s="6" t="s">
        <v>1012</v>
      </c>
      <c r="T454" s="7">
        <v>21.0</v>
      </c>
      <c r="U454" s="7" t="s">
        <v>1013</v>
      </c>
      <c r="V454" s="7" t="str">
        <f>VLOOKUP(U454,Jogadores!B:C,2,0)</f>
        <v>MF</v>
      </c>
      <c r="W454" s="8">
        <f>VLOOKUP(U454,Jogadores!B:D,3,0)</f>
        <v>29.17260274</v>
      </c>
      <c r="X454" s="7">
        <v>0.0</v>
      </c>
      <c r="Y454" s="7">
        <v>92.0</v>
      </c>
      <c r="Z454" s="7">
        <f>VLOOKUP(A454,Jogos!A:L,3,0)</f>
        <v>51</v>
      </c>
      <c r="AA454" s="7">
        <f t="shared" si="7"/>
        <v>51</v>
      </c>
      <c r="AB454" s="7">
        <f>VLOOKUP(A454,Jogos!A:L,4,0)</f>
        <v>48</v>
      </c>
      <c r="AC454" s="7">
        <f t="shared" si="657"/>
        <v>47</v>
      </c>
      <c r="AD454" s="7"/>
      <c r="AE454" s="7"/>
      <c r="AF454" s="7">
        <f t="shared" si="9"/>
        <v>98</v>
      </c>
      <c r="AG454" s="7">
        <v>10575.9</v>
      </c>
      <c r="AH454" s="7">
        <v>4492.9</v>
      </c>
      <c r="AI454" s="7">
        <v>3848.8</v>
      </c>
      <c r="AJ454" s="7">
        <v>1271.9</v>
      </c>
      <c r="AK454" s="7">
        <v>612.9</v>
      </c>
      <c r="AL454" s="7">
        <v>349.4</v>
      </c>
      <c r="AM454" s="7">
        <v>127.0</v>
      </c>
      <c r="AN454" s="7">
        <v>51.0</v>
      </c>
      <c r="AO454" s="7">
        <v>34.3</v>
      </c>
      <c r="AP454" s="9">
        <f t="shared" ref="AP454:AR454" si="1416">AG454/$AF454</f>
        <v>107.9173469</v>
      </c>
      <c r="AQ454" s="9">
        <f t="shared" si="1416"/>
        <v>45.84591837</v>
      </c>
      <c r="AR454" s="9">
        <f t="shared" si="1416"/>
        <v>39.27346939</v>
      </c>
      <c r="AS454" s="9">
        <f t="shared" si="11"/>
        <v>85.11938776</v>
      </c>
      <c r="AT454" s="9">
        <f t="shared" ref="AT454:AV454" si="1417">AJ454/$AF454</f>
        <v>12.97857143</v>
      </c>
      <c r="AU454" s="9">
        <f t="shared" si="1417"/>
        <v>6.254081633</v>
      </c>
      <c r="AV454" s="9">
        <f t="shared" si="1417"/>
        <v>3.565306122</v>
      </c>
      <c r="AW454" s="9">
        <f t="shared" si="13"/>
        <v>9.819387755</v>
      </c>
      <c r="AX454" s="9">
        <f t="shared" ref="AX454:AY454" si="1418">AM454/$AF454</f>
        <v>1.295918367</v>
      </c>
      <c r="AY454" s="9">
        <f t="shared" si="1418"/>
        <v>0.5204081633</v>
      </c>
      <c r="AZ454" s="9">
        <f>VLOOKUP(A454,Jogos!A:BN,58,0)</f>
        <v>25.475</v>
      </c>
      <c r="BA454" s="9">
        <f>VLOOKUP(A454,Jogos!A:BN,59,0)</f>
        <v>23.695</v>
      </c>
      <c r="BB454" s="9">
        <f>VLOOKUP(A454,Jogos!A:BN,60,0)</f>
        <v>89.5</v>
      </c>
      <c r="BC454" s="9">
        <f>VLOOKUP(A454,Jogos!A:BN,61,0)</f>
        <v>23.645</v>
      </c>
      <c r="BD454" s="9">
        <f>VLOOKUP(A454,Jogos!A:BN,62,0)</f>
        <v>0</v>
      </c>
      <c r="BE454" s="9">
        <f>VLOOKUP(A454,Jogos!A:BN,63,0)</f>
        <v>1.88</v>
      </c>
      <c r="BF454" s="9">
        <f>VLOOKUP(A454,Jogos!A:BN,64,0)</f>
        <v>23.835</v>
      </c>
      <c r="BG454" s="9">
        <f>VLOOKUP(A454,Jogos!A:BN,65,0)</f>
        <v>40.61</v>
      </c>
      <c r="BH454" s="9">
        <f>VLOOKUP(A454,Jogos!A:BN,66,0)</f>
        <v>27.355</v>
      </c>
      <c r="BI454" s="9"/>
    </row>
    <row r="455" hidden="1">
      <c r="A455" s="2">
        <v>16.0</v>
      </c>
      <c r="B455" s="11" t="s">
        <v>809</v>
      </c>
      <c r="C455" s="2" t="s">
        <v>61</v>
      </c>
      <c r="D455" s="3">
        <v>45826.0</v>
      </c>
      <c r="E455" s="4">
        <v>0.875</v>
      </c>
      <c r="F455" s="5" t="str">
        <f>VLOOKUP(A455,Jogos!A:N,10,0)</f>
        <v>Evening</v>
      </c>
      <c r="G455" s="2" t="s">
        <v>997</v>
      </c>
      <c r="H455" s="6" t="str">
        <f>VLOOKUP(A455,Jogos!A:L,12,0)</f>
        <v>Open</v>
      </c>
      <c r="I455" s="6" t="str">
        <f>VLOOKUP(G455,'Estádios e Cidades'!A:B,2,0)</f>
        <v>Washington, D.C.</v>
      </c>
      <c r="J455" s="2" t="s">
        <v>998</v>
      </c>
      <c r="K455" s="2" t="str">
        <f>VLOOKUP(J455,Equipes!A:F,6,0)</f>
        <v>Tropical</v>
      </c>
      <c r="L455" s="2">
        <f>VLOOKUP(J455,Equipes!A:C,3,0)</f>
        <v>22</v>
      </c>
      <c r="M455" s="2" t="str">
        <f t="shared" si="4"/>
        <v>Group</v>
      </c>
      <c r="N455" s="2" t="s">
        <v>999</v>
      </c>
      <c r="O455" s="2">
        <f>VLOOKUP(N455,Equipes!A:C,3,0)</f>
        <v>13</v>
      </c>
      <c r="P455" s="2" t="str">
        <f t="shared" si="5"/>
        <v>Round of 16</v>
      </c>
      <c r="Q455" s="2">
        <f t="shared" si="6"/>
        <v>9</v>
      </c>
      <c r="R455" s="2" t="str">
        <f>VLOOKUP(J455,Equipes!A:B,2,0)</f>
        <v>AlAin</v>
      </c>
      <c r="S455" s="6" t="s">
        <v>1014</v>
      </c>
      <c r="T455" s="7">
        <v>25.0</v>
      </c>
      <c r="U455" s="7" t="s">
        <v>1015</v>
      </c>
      <c r="V455" s="7" t="str">
        <f>VLOOKUP(U455,Jogadores!B:C,2,0)</f>
        <v>DF</v>
      </c>
      <c r="W455" s="8">
        <f>VLOOKUP(U455,Jogadores!B:D,3,0)</f>
        <v>32.2109589</v>
      </c>
      <c r="X455" s="7">
        <v>0.0</v>
      </c>
      <c r="Y455" s="7">
        <f t="shared" ref="Y455:Y465" si="1422">45+AB455</f>
        <v>93</v>
      </c>
      <c r="Z455" s="7">
        <f>VLOOKUP(A455,Jogos!A:L,3,0)</f>
        <v>51</v>
      </c>
      <c r="AA455" s="7">
        <f t="shared" si="7"/>
        <v>51</v>
      </c>
      <c r="AB455" s="7">
        <f>VLOOKUP(A455,Jogos!A:L,4,0)</f>
        <v>48</v>
      </c>
      <c r="AC455" s="7">
        <f t="shared" si="657"/>
        <v>48</v>
      </c>
      <c r="AD455" s="7"/>
      <c r="AE455" s="7"/>
      <c r="AF455" s="7">
        <f t="shared" si="9"/>
        <v>99</v>
      </c>
      <c r="AG455" s="7">
        <v>9949.0</v>
      </c>
      <c r="AH455" s="7">
        <v>3543.0</v>
      </c>
      <c r="AI455" s="7">
        <v>4879.9</v>
      </c>
      <c r="AJ455" s="7">
        <v>975.3</v>
      </c>
      <c r="AK455" s="7">
        <v>412.2</v>
      </c>
      <c r="AL455" s="7">
        <v>138.5</v>
      </c>
      <c r="AM455" s="7">
        <v>89.0</v>
      </c>
      <c r="AN455" s="7">
        <v>29.0</v>
      </c>
      <c r="AO455" s="7">
        <v>30.8</v>
      </c>
      <c r="AP455" s="9">
        <f t="shared" ref="AP455:AR455" si="1419">AG455/$AF455</f>
        <v>100.4949495</v>
      </c>
      <c r="AQ455" s="9">
        <f t="shared" si="1419"/>
        <v>35.78787879</v>
      </c>
      <c r="AR455" s="9">
        <f t="shared" si="1419"/>
        <v>49.29191919</v>
      </c>
      <c r="AS455" s="9">
        <f t="shared" si="11"/>
        <v>85.07979798</v>
      </c>
      <c r="AT455" s="9">
        <f t="shared" ref="AT455:AV455" si="1420">AJ455/$AF455</f>
        <v>9.851515152</v>
      </c>
      <c r="AU455" s="9">
        <f t="shared" si="1420"/>
        <v>4.163636364</v>
      </c>
      <c r="AV455" s="9">
        <f t="shared" si="1420"/>
        <v>1.398989899</v>
      </c>
      <c r="AW455" s="9">
        <f t="shared" si="13"/>
        <v>5.562626263</v>
      </c>
      <c r="AX455" s="9">
        <f t="shared" ref="AX455:AY455" si="1421">AM455/$AF455</f>
        <v>0.898989899</v>
      </c>
      <c r="AY455" s="9">
        <f t="shared" si="1421"/>
        <v>0.2929292929</v>
      </c>
      <c r="AZ455" s="9">
        <f>VLOOKUP(A455,Jogos!A:BN,58,0)</f>
        <v>25.475</v>
      </c>
      <c r="BA455" s="9">
        <f>VLOOKUP(A455,Jogos!A:BN,59,0)</f>
        <v>23.695</v>
      </c>
      <c r="BB455" s="9">
        <f>VLOOKUP(A455,Jogos!A:BN,60,0)</f>
        <v>89.5</v>
      </c>
      <c r="BC455" s="9">
        <f>VLOOKUP(A455,Jogos!A:BN,61,0)</f>
        <v>23.645</v>
      </c>
      <c r="BD455" s="9">
        <f>VLOOKUP(A455,Jogos!A:BN,62,0)</f>
        <v>0</v>
      </c>
      <c r="BE455" s="9">
        <f>VLOOKUP(A455,Jogos!A:BN,63,0)</f>
        <v>1.88</v>
      </c>
      <c r="BF455" s="9">
        <f>VLOOKUP(A455,Jogos!A:BN,64,0)</f>
        <v>23.835</v>
      </c>
      <c r="BG455" s="9">
        <f>VLOOKUP(A455,Jogos!A:BN,65,0)</f>
        <v>40.61</v>
      </c>
      <c r="BH455" s="9">
        <f>VLOOKUP(A455,Jogos!A:BN,66,0)</f>
        <v>27.355</v>
      </c>
      <c r="BI455" s="9"/>
    </row>
    <row r="456" hidden="1">
      <c r="A456" s="2">
        <v>16.0</v>
      </c>
      <c r="B456" s="11" t="s">
        <v>809</v>
      </c>
      <c r="C456" s="2" t="s">
        <v>61</v>
      </c>
      <c r="D456" s="3">
        <v>45826.0</v>
      </c>
      <c r="E456" s="4">
        <v>0.875</v>
      </c>
      <c r="F456" s="5" t="str">
        <f>VLOOKUP(A456,Jogos!A:N,10,0)</f>
        <v>Evening</v>
      </c>
      <c r="G456" s="2" t="s">
        <v>997</v>
      </c>
      <c r="H456" s="6" t="str">
        <f>VLOOKUP(A456,Jogos!A:L,12,0)</f>
        <v>Open</v>
      </c>
      <c r="I456" s="6" t="str">
        <f>VLOOKUP(G456,'Estádios e Cidades'!A:B,2,0)</f>
        <v>Washington, D.C.</v>
      </c>
      <c r="J456" s="2" t="s">
        <v>998</v>
      </c>
      <c r="K456" s="2" t="str">
        <f>VLOOKUP(J456,Equipes!A:F,6,0)</f>
        <v>Tropical</v>
      </c>
      <c r="L456" s="2">
        <f>VLOOKUP(J456,Equipes!A:C,3,0)</f>
        <v>22</v>
      </c>
      <c r="M456" s="2" t="str">
        <f t="shared" si="4"/>
        <v>Group</v>
      </c>
      <c r="N456" s="2" t="s">
        <v>999</v>
      </c>
      <c r="O456" s="2">
        <f>VLOOKUP(N456,Equipes!A:C,3,0)</f>
        <v>13</v>
      </c>
      <c r="P456" s="2" t="str">
        <f t="shared" si="5"/>
        <v>Round of 16</v>
      </c>
      <c r="Q456" s="2">
        <f t="shared" si="6"/>
        <v>9</v>
      </c>
      <c r="R456" s="2" t="str">
        <f>VLOOKUP(J456,Equipes!A:B,2,0)</f>
        <v>AlAin</v>
      </c>
      <c r="S456" s="6" t="s">
        <v>1016</v>
      </c>
      <c r="T456" s="7">
        <v>36.0</v>
      </c>
      <c r="U456" s="7" t="s">
        <v>1017</v>
      </c>
      <c r="V456" s="7" t="str">
        <f>VLOOKUP(U456,Jogadores!B:C,2,0)</f>
        <v>DF</v>
      </c>
      <c r="W456" s="8">
        <f>VLOOKUP(U456,Jogadores!B:D,3,0)</f>
        <v>26.58630137</v>
      </c>
      <c r="X456" s="7">
        <v>0.0</v>
      </c>
      <c r="Y456" s="7">
        <f t="shared" si="1422"/>
        <v>93</v>
      </c>
      <c r="Z456" s="7">
        <f>VLOOKUP(A456,Jogos!A:L,3,0)</f>
        <v>51</v>
      </c>
      <c r="AA456" s="7">
        <f t="shared" si="7"/>
        <v>51</v>
      </c>
      <c r="AB456" s="7">
        <f>VLOOKUP(A456,Jogos!A:L,4,0)</f>
        <v>48</v>
      </c>
      <c r="AC456" s="7">
        <f t="shared" si="657"/>
        <v>48</v>
      </c>
      <c r="AD456" s="7"/>
      <c r="AE456" s="7"/>
      <c r="AF456" s="7">
        <f t="shared" si="9"/>
        <v>99</v>
      </c>
      <c r="AG456" s="7">
        <v>10879.8</v>
      </c>
      <c r="AH456" s="7">
        <v>4827.3</v>
      </c>
      <c r="AI456" s="7">
        <v>3975.6</v>
      </c>
      <c r="AJ456" s="7">
        <v>1236.9</v>
      </c>
      <c r="AK456" s="7">
        <v>643.2</v>
      </c>
      <c r="AL456" s="7">
        <v>196.9</v>
      </c>
      <c r="AM456" s="7">
        <v>113.0</v>
      </c>
      <c r="AN456" s="7">
        <v>47.0</v>
      </c>
      <c r="AO456" s="7">
        <v>30.9</v>
      </c>
      <c r="AP456" s="9">
        <f t="shared" ref="AP456:AR456" si="1423">AG456/$AF456</f>
        <v>109.8969697</v>
      </c>
      <c r="AQ456" s="9">
        <f t="shared" si="1423"/>
        <v>48.76060606</v>
      </c>
      <c r="AR456" s="9">
        <f t="shared" si="1423"/>
        <v>40.15757576</v>
      </c>
      <c r="AS456" s="9">
        <f t="shared" si="11"/>
        <v>88.91818182</v>
      </c>
      <c r="AT456" s="9">
        <f t="shared" ref="AT456:AV456" si="1424">AJ456/$AF456</f>
        <v>12.49393939</v>
      </c>
      <c r="AU456" s="9">
        <f t="shared" si="1424"/>
        <v>6.496969697</v>
      </c>
      <c r="AV456" s="9">
        <f t="shared" si="1424"/>
        <v>1.988888889</v>
      </c>
      <c r="AW456" s="9">
        <f t="shared" si="13"/>
        <v>8.485858586</v>
      </c>
      <c r="AX456" s="9">
        <f t="shared" ref="AX456:AY456" si="1425">AM456/$AF456</f>
        <v>1.141414141</v>
      </c>
      <c r="AY456" s="9">
        <f t="shared" si="1425"/>
        <v>0.4747474747</v>
      </c>
      <c r="AZ456" s="9">
        <f>VLOOKUP(A456,Jogos!A:BN,58,0)</f>
        <v>25.475</v>
      </c>
      <c r="BA456" s="9">
        <f>VLOOKUP(A456,Jogos!A:BN,59,0)</f>
        <v>23.695</v>
      </c>
      <c r="BB456" s="9">
        <f>VLOOKUP(A456,Jogos!A:BN,60,0)</f>
        <v>89.5</v>
      </c>
      <c r="BC456" s="9">
        <f>VLOOKUP(A456,Jogos!A:BN,61,0)</f>
        <v>23.645</v>
      </c>
      <c r="BD456" s="9">
        <f>VLOOKUP(A456,Jogos!A:BN,62,0)</f>
        <v>0</v>
      </c>
      <c r="BE456" s="9">
        <f>VLOOKUP(A456,Jogos!A:BN,63,0)</f>
        <v>1.88</v>
      </c>
      <c r="BF456" s="9">
        <f>VLOOKUP(A456,Jogos!A:BN,64,0)</f>
        <v>23.835</v>
      </c>
      <c r="BG456" s="9">
        <f>VLOOKUP(A456,Jogos!A:BN,65,0)</f>
        <v>40.61</v>
      </c>
      <c r="BH456" s="9">
        <f>VLOOKUP(A456,Jogos!A:BN,66,0)</f>
        <v>27.355</v>
      </c>
      <c r="BI456" s="9"/>
    </row>
    <row r="457" hidden="1">
      <c r="A457" s="2">
        <v>16.0</v>
      </c>
      <c r="B457" s="11" t="s">
        <v>809</v>
      </c>
      <c r="C457" s="2" t="s">
        <v>61</v>
      </c>
      <c r="D457" s="3">
        <v>45826.0</v>
      </c>
      <c r="E457" s="4">
        <v>0.875</v>
      </c>
      <c r="F457" s="5" t="str">
        <f>VLOOKUP(A457,Jogos!A:N,10,0)</f>
        <v>Evening</v>
      </c>
      <c r="G457" s="2" t="s">
        <v>997</v>
      </c>
      <c r="H457" s="6" t="str">
        <f>VLOOKUP(A457,Jogos!A:L,12,0)</f>
        <v>Open</v>
      </c>
      <c r="I457" s="6" t="str">
        <f>VLOOKUP(G457,'Estádios e Cidades'!A:B,2,0)</f>
        <v>Washington, D.C.</v>
      </c>
      <c r="J457" s="2" t="s">
        <v>998</v>
      </c>
      <c r="K457" s="2" t="str">
        <f>VLOOKUP(J457,Equipes!A:F,6,0)</f>
        <v>Tropical</v>
      </c>
      <c r="L457" s="2">
        <f>VLOOKUP(J457,Equipes!A:C,3,0)</f>
        <v>22</v>
      </c>
      <c r="M457" s="2" t="str">
        <f t="shared" si="4"/>
        <v>Group</v>
      </c>
      <c r="N457" s="2" t="s">
        <v>999</v>
      </c>
      <c r="O457" s="2">
        <f>VLOOKUP(N457,Equipes!A:C,3,0)</f>
        <v>13</v>
      </c>
      <c r="P457" s="2" t="str">
        <f t="shared" si="5"/>
        <v>Round of 16</v>
      </c>
      <c r="Q457" s="2">
        <f t="shared" si="6"/>
        <v>9</v>
      </c>
      <c r="R457" s="2" t="str">
        <f>VLOOKUP(J457,Equipes!A:B,2,0)</f>
        <v>AlAin</v>
      </c>
      <c r="S457" s="6" t="s">
        <v>1018</v>
      </c>
      <c r="T457" s="7">
        <v>70.0</v>
      </c>
      <c r="U457" s="7" t="s">
        <v>1019</v>
      </c>
      <c r="V457" s="7" t="str">
        <f>VLOOKUP(U457,Jogadores!B:C,2,0)</f>
        <v>MF</v>
      </c>
      <c r="W457" s="8">
        <f>VLOOKUP(U457,Jogadores!B:D,3,0)</f>
        <v>20.55616438</v>
      </c>
      <c r="X457" s="7">
        <v>0.0</v>
      </c>
      <c r="Y457" s="7">
        <f t="shared" si="1422"/>
        <v>93</v>
      </c>
      <c r="Z457" s="7">
        <f>VLOOKUP(A457,Jogos!A:L,3,0)</f>
        <v>51</v>
      </c>
      <c r="AA457" s="7">
        <f t="shared" si="7"/>
        <v>51</v>
      </c>
      <c r="AB457" s="7">
        <f>VLOOKUP(A457,Jogos!A:L,4,0)</f>
        <v>48</v>
      </c>
      <c r="AC457" s="7">
        <f t="shared" si="657"/>
        <v>48</v>
      </c>
      <c r="AD457" s="7"/>
      <c r="AE457" s="7"/>
      <c r="AF457" s="7">
        <f t="shared" si="9"/>
        <v>99</v>
      </c>
      <c r="AG457" s="7">
        <v>11195.4</v>
      </c>
      <c r="AH457" s="7">
        <v>4018.7</v>
      </c>
      <c r="AI457" s="7">
        <v>5036.4</v>
      </c>
      <c r="AJ457" s="7">
        <v>1443.4</v>
      </c>
      <c r="AK457" s="7">
        <v>510.8</v>
      </c>
      <c r="AL457" s="7">
        <v>186.1</v>
      </c>
      <c r="AM457" s="7">
        <v>127.0</v>
      </c>
      <c r="AN457" s="7">
        <v>42.0</v>
      </c>
      <c r="AO457" s="7">
        <v>30.5</v>
      </c>
      <c r="AP457" s="9">
        <f t="shared" ref="AP457:AR457" si="1426">AG457/$AF457</f>
        <v>113.0848485</v>
      </c>
      <c r="AQ457" s="9">
        <f t="shared" si="1426"/>
        <v>40.59292929</v>
      </c>
      <c r="AR457" s="9">
        <f t="shared" si="1426"/>
        <v>50.87272727</v>
      </c>
      <c r="AS457" s="9">
        <f t="shared" si="11"/>
        <v>91.46565657</v>
      </c>
      <c r="AT457" s="9">
        <f t="shared" ref="AT457:AV457" si="1427">AJ457/$AF457</f>
        <v>14.57979798</v>
      </c>
      <c r="AU457" s="9">
        <f t="shared" si="1427"/>
        <v>5.15959596</v>
      </c>
      <c r="AV457" s="9">
        <f t="shared" si="1427"/>
        <v>1.87979798</v>
      </c>
      <c r="AW457" s="9">
        <f t="shared" si="13"/>
        <v>7.039393939</v>
      </c>
      <c r="AX457" s="9">
        <f t="shared" ref="AX457:AY457" si="1428">AM457/$AF457</f>
        <v>1.282828283</v>
      </c>
      <c r="AY457" s="9">
        <f t="shared" si="1428"/>
        <v>0.4242424242</v>
      </c>
      <c r="AZ457" s="9">
        <f>VLOOKUP(A457,Jogos!A:BN,58,0)</f>
        <v>25.475</v>
      </c>
      <c r="BA457" s="9">
        <f>VLOOKUP(A457,Jogos!A:BN,59,0)</f>
        <v>23.695</v>
      </c>
      <c r="BB457" s="9">
        <f>VLOOKUP(A457,Jogos!A:BN,60,0)</f>
        <v>89.5</v>
      </c>
      <c r="BC457" s="9">
        <f>VLOOKUP(A457,Jogos!A:BN,61,0)</f>
        <v>23.645</v>
      </c>
      <c r="BD457" s="9">
        <f>VLOOKUP(A457,Jogos!A:BN,62,0)</f>
        <v>0</v>
      </c>
      <c r="BE457" s="9">
        <f>VLOOKUP(A457,Jogos!A:BN,63,0)</f>
        <v>1.88</v>
      </c>
      <c r="BF457" s="9">
        <f>VLOOKUP(A457,Jogos!A:BN,64,0)</f>
        <v>23.835</v>
      </c>
      <c r="BG457" s="9">
        <f>VLOOKUP(A457,Jogos!A:BN,65,0)</f>
        <v>40.61</v>
      </c>
      <c r="BH457" s="9">
        <f>VLOOKUP(A457,Jogos!A:BN,66,0)</f>
        <v>27.355</v>
      </c>
      <c r="BI457" s="9"/>
    </row>
    <row r="458" hidden="1">
      <c r="A458" s="2">
        <v>16.0</v>
      </c>
      <c r="B458" s="11" t="s">
        <v>809</v>
      </c>
      <c r="C458" s="2" t="s">
        <v>61</v>
      </c>
      <c r="D458" s="3">
        <v>45826.0</v>
      </c>
      <c r="E458" s="4">
        <v>0.875</v>
      </c>
      <c r="F458" s="5" t="str">
        <f>VLOOKUP(A458,Jogos!A:N,10,0)</f>
        <v>Evening</v>
      </c>
      <c r="G458" s="2" t="s">
        <v>997</v>
      </c>
      <c r="H458" s="6" t="str">
        <f>VLOOKUP(A458,Jogos!A:L,12,0)</f>
        <v>Open</v>
      </c>
      <c r="I458" s="6" t="str">
        <f>VLOOKUP(G458,'Estádios e Cidades'!A:B,2,0)</f>
        <v>Washington, D.C.</v>
      </c>
      <c r="J458" s="2" t="s">
        <v>998</v>
      </c>
      <c r="K458" s="2" t="str">
        <f>VLOOKUP(J458,Equipes!A:F,6,0)</f>
        <v>Tropical</v>
      </c>
      <c r="L458" s="2">
        <f>VLOOKUP(J458,Equipes!A:C,3,0)</f>
        <v>22</v>
      </c>
      <c r="M458" s="2" t="str">
        <f t="shared" si="4"/>
        <v>Group</v>
      </c>
      <c r="N458" s="2" t="s">
        <v>999</v>
      </c>
      <c r="O458" s="2">
        <f>VLOOKUP(N458,Equipes!A:C,3,0)</f>
        <v>13</v>
      </c>
      <c r="P458" s="2" t="str">
        <f t="shared" si="5"/>
        <v>Round of 16</v>
      </c>
      <c r="Q458" s="2">
        <f t="shared" si="6"/>
        <v>9</v>
      </c>
      <c r="R458" s="2" t="str">
        <f>VLOOKUP(J458,Equipes!A:B,2,0)</f>
        <v>AlAin</v>
      </c>
      <c r="S458" s="6" t="s">
        <v>1020</v>
      </c>
      <c r="T458" s="7">
        <v>6.0</v>
      </c>
      <c r="U458" s="7" t="s">
        <v>1021</v>
      </c>
      <c r="V458" s="7" t="str">
        <f>VLOOKUP(U458,Jogadores!B:C,2,0)</f>
        <v>MF</v>
      </c>
      <c r="W458" s="8">
        <f>VLOOKUP(U458,Jogadores!B:D,3,0)</f>
        <v>26.89589041</v>
      </c>
      <c r="X458" s="7">
        <v>68.0</v>
      </c>
      <c r="Y458" s="7">
        <f t="shared" si="1422"/>
        <v>93</v>
      </c>
      <c r="Z458" s="7">
        <f>VLOOKUP(A458,Jogos!A:L,3,0)</f>
        <v>51</v>
      </c>
      <c r="AA458" s="7">
        <f t="shared" si="7"/>
        <v>0</v>
      </c>
      <c r="AB458" s="7">
        <f>VLOOKUP(A458,Jogos!A:L,4,0)</f>
        <v>48</v>
      </c>
      <c r="AC458" s="7">
        <f t="shared" si="657"/>
        <v>25</v>
      </c>
      <c r="AD458" s="7"/>
      <c r="AE458" s="7"/>
      <c r="AF458" s="7">
        <f t="shared" si="9"/>
        <v>25</v>
      </c>
      <c r="AG458" s="7">
        <v>3323.5</v>
      </c>
      <c r="AH458" s="7">
        <v>827.8</v>
      </c>
      <c r="AI458" s="7">
        <v>1729.1</v>
      </c>
      <c r="AJ458" s="7">
        <v>580.3</v>
      </c>
      <c r="AK458" s="7">
        <v>161.3</v>
      </c>
      <c r="AL458" s="7">
        <v>25.0</v>
      </c>
      <c r="AM458" s="7">
        <v>52.0</v>
      </c>
      <c r="AN458" s="7">
        <v>13.0</v>
      </c>
      <c r="AO458" s="7">
        <v>27.4</v>
      </c>
      <c r="AP458" s="9">
        <f t="shared" ref="AP458:AR458" si="1429">AG458/$AF458</f>
        <v>132.94</v>
      </c>
      <c r="AQ458" s="9">
        <f t="shared" si="1429"/>
        <v>33.112</v>
      </c>
      <c r="AR458" s="9">
        <f t="shared" si="1429"/>
        <v>69.164</v>
      </c>
      <c r="AS458" s="9">
        <f t="shared" si="11"/>
        <v>102.276</v>
      </c>
      <c r="AT458" s="9">
        <f t="shared" ref="AT458:AV458" si="1430">AJ458/$AF458</f>
        <v>23.212</v>
      </c>
      <c r="AU458" s="9">
        <f t="shared" si="1430"/>
        <v>6.452</v>
      </c>
      <c r="AV458" s="9">
        <f t="shared" si="1430"/>
        <v>1</v>
      </c>
      <c r="AW458" s="9">
        <f t="shared" si="13"/>
        <v>7.452</v>
      </c>
      <c r="AX458" s="9">
        <f t="shared" ref="AX458:AY458" si="1431">AM458/$AF458</f>
        <v>2.08</v>
      </c>
      <c r="AY458" s="9">
        <f t="shared" si="1431"/>
        <v>0.52</v>
      </c>
      <c r="AZ458" s="9">
        <f>VLOOKUP(A458,Jogos!A:BN,58,0)</f>
        <v>25.475</v>
      </c>
      <c r="BA458" s="9">
        <f>VLOOKUP(A458,Jogos!A:BN,59,0)</f>
        <v>23.695</v>
      </c>
      <c r="BB458" s="9">
        <f>VLOOKUP(A458,Jogos!A:BN,60,0)</f>
        <v>89.5</v>
      </c>
      <c r="BC458" s="9">
        <f>VLOOKUP(A458,Jogos!A:BN,61,0)</f>
        <v>23.645</v>
      </c>
      <c r="BD458" s="9">
        <f>VLOOKUP(A458,Jogos!A:BN,62,0)</f>
        <v>0</v>
      </c>
      <c r="BE458" s="9">
        <f>VLOOKUP(A458,Jogos!A:BN,63,0)</f>
        <v>1.88</v>
      </c>
      <c r="BF458" s="9">
        <f>VLOOKUP(A458,Jogos!A:BN,64,0)</f>
        <v>23.835</v>
      </c>
      <c r="BG458" s="9">
        <f>VLOOKUP(A458,Jogos!A:BN,65,0)</f>
        <v>40.61</v>
      </c>
      <c r="BH458" s="9">
        <f>VLOOKUP(A458,Jogos!A:BN,66,0)</f>
        <v>27.355</v>
      </c>
      <c r="BI458" s="9"/>
    </row>
    <row r="459" hidden="1">
      <c r="A459" s="2">
        <v>16.0</v>
      </c>
      <c r="B459" s="11" t="s">
        <v>809</v>
      </c>
      <c r="C459" s="2" t="s">
        <v>61</v>
      </c>
      <c r="D459" s="3">
        <v>45826.0</v>
      </c>
      <c r="E459" s="4">
        <v>0.875</v>
      </c>
      <c r="F459" s="5" t="str">
        <f>VLOOKUP(A459,Jogos!A:N,10,0)</f>
        <v>Evening</v>
      </c>
      <c r="G459" s="2" t="s">
        <v>997</v>
      </c>
      <c r="H459" s="6" t="str">
        <f>VLOOKUP(A459,Jogos!A:L,12,0)</f>
        <v>Open</v>
      </c>
      <c r="I459" s="6" t="str">
        <f>VLOOKUP(G459,'Estádios e Cidades'!A:B,2,0)</f>
        <v>Washington, D.C.</v>
      </c>
      <c r="J459" s="2" t="s">
        <v>998</v>
      </c>
      <c r="K459" s="2" t="str">
        <f>VLOOKUP(J459,Equipes!A:F,6,0)</f>
        <v>Tropical</v>
      </c>
      <c r="L459" s="2">
        <f>VLOOKUP(J459,Equipes!A:C,3,0)</f>
        <v>22</v>
      </c>
      <c r="M459" s="2" t="str">
        <f t="shared" si="4"/>
        <v>Group</v>
      </c>
      <c r="N459" s="2" t="s">
        <v>999</v>
      </c>
      <c r="O459" s="2">
        <f>VLOOKUP(N459,Equipes!A:C,3,0)</f>
        <v>13</v>
      </c>
      <c r="P459" s="2" t="str">
        <f t="shared" si="5"/>
        <v>Round of 16</v>
      </c>
      <c r="Q459" s="2">
        <f t="shared" si="6"/>
        <v>9</v>
      </c>
      <c r="R459" s="2" t="str">
        <f>VLOOKUP(J459,Equipes!A:B,2,0)</f>
        <v>AlAin</v>
      </c>
      <c r="S459" s="6" t="s">
        <v>1022</v>
      </c>
      <c r="T459" s="7">
        <v>28.0</v>
      </c>
      <c r="U459" s="7" t="s">
        <v>1023</v>
      </c>
      <c r="V459" s="7" t="str">
        <f>VLOOKUP(U459,Jogadores!B:C,2,0)</f>
        <v>MF</v>
      </c>
      <c r="W459" s="8">
        <f>VLOOKUP(U459,Jogadores!B:D,3,0)</f>
        <v>24.01643836</v>
      </c>
      <c r="X459" s="7">
        <v>76.0</v>
      </c>
      <c r="Y459" s="7">
        <f t="shared" si="1422"/>
        <v>93</v>
      </c>
      <c r="Z459" s="7">
        <f>VLOOKUP(A459,Jogos!A:L,3,0)</f>
        <v>51</v>
      </c>
      <c r="AA459" s="7">
        <f t="shared" si="7"/>
        <v>0</v>
      </c>
      <c r="AB459" s="7">
        <f>VLOOKUP(A459,Jogos!A:L,4,0)</f>
        <v>48</v>
      </c>
      <c r="AC459" s="7">
        <f t="shared" si="657"/>
        <v>17</v>
      </c>
      <c r="AD459" s="7"/>
      <c r="AE459" s="7"/>
      <c r="AF459" s="7">
        <f t="shared" si="9"/>
        <v>17</v>
      </c>
      <c r="AG459" s="7">
        <v>2473.9</v>
      </c>
      <c r="AH459" s="7">
        <v>684.6</v>
      </c>
      <c r="AI459" s="7">
        <v>960.2</v>
      </c>
      <c r="AJ459" s="7">
        <v>499.5</v>
      </c>
      <c r="AK459" s="7">
        <v>207.0</v>
      </c>
      <c r="AL459" s="7">
        <v>122.6</v>
      </c>
      <c r="AM459" s="7">
        <v>39.0</v>
      </c>
      <c r="AN459" s="7">
        <v>14.0</v>
      </c>
      <c r="AO459" s="7">
        <v>31.0</v>
      </c>
      <c r="AP459" s="9">
        <f t="shared" ref="AP459:AR459" si="1432">AG459/$AF459</f>
        <v>145.5235294</v>
      </c>
      <c r="AQ459" s="9">
        <f t="shared" si="1432"/>
        <v>40.27058824</v>
      </c>
      <c r="AR459" s="9">
        <f t="shared" si="1432"/>
        <v>56.48235294</v>
      </c>
      <c r="AS459" s="9">
        <f t="shared" si="11"/>
        <v>96.75294118</v>
      </c>
      <c r="AT459" s="9">
        <f t="shared" ref="AT459:AV459" si="1433">AJ459/$AF459</f>
        <v>29.38235294</v>
      </c>
      <c r="AU459" s="9">
        <f t="shared" si="1433"/>
        <v>12.17647059</v>
      </c>
      <c r="AV459" s="9">
        <f t="shared" si="1433"/>
        <v>7.211764706</v>
      </c>
      <c r="AW459" s="9">
        <f t="shared" si="13"/>
        <v>19.38823529</v>
      </c>
      <c r="AX459" s="9">
        <f t="shared" ref="AX459:AY459" si="1434">AM459/$AF459</f>
        <v>2.294117647</v>
      </c>
      <c r="AY459" s="9">
        <f t="shared" si="1434"/>
        <v>0.8235294118</v>
      </c>
      <c r="AZ459" s="9">
        <f>VLOOKUP(A459,Jogos!A:BN,58,0)</f>
        <v>25.475</v>
      </c>
      <c r="BA459" s="9">
        <f>VLOOKUP(A459,Jogos!A:BN,59,0)</f>
        <v>23.695</v>
      </c>
      <c r="BB459" s="9">
        <f>VLOOKUP(A459,Jogos!A:BN,60,0)</f>
        <v>89.5</v>
      </c>
      <c r="BC459" s="9">
        <f>VLOOKUP(A459,Jogos!A:BN,61,0)</f>
        <v>23.645</v>
      </c>
      <c r="BD459" s="9">
        <f>VLOOKUP(A459,Jogos!A:BN,62,0)</f>
        <v>0</v>
      </c>
      <c r="BE459" s="9">
        <f>VLOOKUP(A459,Jogos!A:BN,63,0)</f>
        <v>1.88</v>
      </c>
      <c r="BF459" s="9">
        <f>VLOOKUP(A459,Jogos!A:BN,64,0)</f>
        <v>23.835</v>
      </c>
      <c r="BG459" s="9">
        <f>VLOOKUP(A459,Jogos!A:BN,65,0)</f>
        <v>40.61</v>
      </c>
      <c r="BH459" s="9">
        <f>VLOOKUP(A459,Jogos!A:BN,66,0)</f>
        <v>27.355</v>
      </c>
      <c r="BI459" s="9"/>
    </row>
    <row r="460" hidden="1">
      <c r="A460" s="2">
        <v>16.0</v>
      </c>
      <c r="B460" s="11" t="s">
        <v>809</v>
      </c>
      <c r="C460" s="2" t="s">
        <v>61</v>
      </c>
      <c r="D460" s="3">
        <v>45826.0</v>
      </c>
      <c r="E460" s="4">
        <v>0.875</v>
      </c>
      <c r="F460" s="5" t="str">
        <f>VLOOKUP(A460,Jogos!A:N,10,0)</f>
        <v>Evening</v>
      </c>
      <c r="G460" s="2" t="s">
        <v>997</v>
      </c>
      <c r="H460" s="6" t="str">
        <f>VLOOKUP(A460,Jogos!A:L,12,0)</f>
        <v>Open</v>
      </c>
      <c r="I460" s="6" t="str">
        <f>VLOOKUP(G460,'Estádios e Cidades'!A:B,2,0)</f>
        <v>Washington, D.C.</v>
      </c>
      <c r="J460" s="2" t="s">
        <v>998</v>
      </c>
      <c r="K460" s="2" t="str">
        <f>VLOOKUP(J460,Equipes!A:F,6,0)</f>
        <v>Tropical</v>
      </c>
      <c r="L460" s="2">
        <f>VLOOKUP(J460,Equipes!A:C,3,0)</f>
        <v>22</v>
      </c>
      <c r="M460" s="2" t="str">
        <f t="shared" si="4"/>
        <v>Group</v>
      </c>
      <c r="N460" s="2" t="s">
        <v>999</v>
      </c>
      <c r="O460" s="2">
        <f>VLOOKUP(N460,Equipes!A:C,3,0)</f>
        <v>13</v>
      </c>
      <c r="P460" s="2" t="str">
        <f t="shared" si="5"/>
        <v>Round of 16</v>
      </c>
      <c r="Q460" s="2">
        <f t="shared" si="6"/>
        <v>9</v>
      </c>
      <c r="R460" s="2" t="str">
        <f>VLOOKUP(J460,Equipes!A:B,2,0)</f>
        <v>AlAin</v>
      </c>
      <c r="S460" s="6" t="s">
        <v>1024</v>
      </c>
      <c r="T460" s="7">
        <v>56.0</v>
      </c>
      <c r="U460" s="7" t="s">
        <v>1025</v>
      </c>
      <c r="V460" s="7" t="str">
        <f>VLOOKUP(U460,Jogadores!B:C,2,0)</f>
        <v>DF</v>
      </c>
      <c r="W460" s="8">
        <f>VLOOKUP(U460,Jogadores!B:D,3,0)</f>
        <v>19.92328767</v>
      </c>
      <c r="X460" s="7">
        <v>68.0</v>
      </c>
      <c r="Y460" s="7">
        <f t="shared" si="1422"/>
        <v>93</v>
      </c>
      <c r="Z460" s="7">
        <f>VLOOKUP(A460,Jogos!A:L,3,0)</f>
        <v>51</v>
      </c>
      <c r="AA460" s="7">
        <f t="shared" si="7"/>
        <v>0</v>
      </c>
      <c r="AB460" s="7">
        <f>VLOOKUP(A460,Jogos!A:L,4,0)</f>
        <v>48</v>
      </c>
      <c r="AC460" s="7">
        <f t="shared" si="657"/>
        <v>25</v>
      </c>
      <c r="AD460" s="7"/>
      <c r="AE460" s="7"/>
      <c r="AF460" s="7">
        <f t="shared" si="9"/>
        <v>25</v>
      </c>
      <c r="AG460" s="7">
        <v>2687.8</v>
      </c>
      <c r="AH460" s="7">
        <v>894.7</v>
      </c>
      <c r="AI460" s="7">
        <v>1372.1</v>
      </c>
      <c r="AJ460" s="7">
        <v>252.1</v>
      </c>
      <c r="AK460" s="7">
        <v>118.5</v>
      </c>
      <c r="AL460" s="7">
        <v>50.5</v>
      </c>
      <c r="AM460" s="7">
        <v>22.0</v>
      </c>
      <c r="AN460" s="7">
        <v>12.0</v>
      </c>
      <c r="AO460" s="7">
        <v>31.8</v>
      </c>
      <c r="AP460" s="9">
        <f t="shared" ref="AP460:AR460" si="1435">AG460/$AF460</f>
        <v>107.512</v>
      </c>
      <c r="AQ460" s="9">
        <f t="shared" si="1435"/>
        <v>35.788</v>
      </c>
      <c r="AR460" s="9">
        <f t="shared" si="1435"/>
        <v>54.884</v>
      </c>
      <c r="AS460" s="9">
        <f t="shared" si="11"/>
        <v>90.672</v>
      </c>
      <c r="AT460" s="9">
        <f t="shared" ref="AT460:AV460" si="1436">AJ460/$AF460</f>
        <v>10.084</v>
      </c>
      <c r="AU460" s="9">
        <f t="shared" si="1436"/>
        <v>4.74</v>
      </c>
      <c r="AV460" s="9">
        <f t="shared" si="1436"/>
        <v>2.02</v>
      </c>
      <c r="AW460" s="9">
        <f t="shared" si="13"/>
        <v>6.76</v>
      </c>
      <c r="AX460" s="9">
        <f t="shared" ref="AX460:AY460" si="1437">AM460/$AF460</f>
        <v>0.88</v>
      </c>
      <c r="AY460" s="9">
        <f t="shared" si="1437"/>
        <v>0.48</v>
      </c>
      <c r="AZ460" s="9">
        <f>VLOOKUP(A460,Jogos!A:BN,58,0)</f>
        <v>25.475</v>
      </c>
      <c r="BA460" s="9">
        <f>VLOOKUP(A460,Jogos!A:BN,59,0)</f>
        <v>23.695</v>
      </c>
      <c r="BB460" s="9">
        <f>VLOOKUP(A460,Jogos!A:BN,60,0)</f>
        <v>89.5</v>
      </c>
      <c r="BC460" s="9">
        <f>VLOOKUP(A460,Jogos!A:BN,61,0)</f>
        <v>23.645</v>
      </c>
      <c r="BD460" s="9">
        <f>VLOOKUP(A460,Jogos!A:BN,62,0)</f>
        <v>0</v>
      </c>
      <c r="BE460" s="9">
        <f>VLOOKUP(A460,Jogos!A:BN,63,0)</f>
        <v>1.88</v>
      </c>
      <c r="BF460" s="9">
        <f>VLOOKUP(A460,Jogos!A:BN,64,0)</f>
        <v>23.835</v>
      </c>
      <c r="BG460" s="9">
        <f>VLOOKUP(A460,Jogos!A:BN,65,0)</f>
        <v>40.61</v>
      </c>
      <c r="BH460" s="9">
        <f>VLOOKUP(A460,Jogos!A:BN,66,0)</f>
        <v>27.355</v>
      </c>
      <c r="BI460" s="9"/>
    </row>
    <row r="461" hidden="1">
      <c r="A461" s="2">
        <v>16.0</v>
      </c>
      <c r="B461" s="11" t="s">
        <v>809</v>
      </c>
      <c r="C461" s="2" t="s">
        <v>61</v>
      </c>
      <c r="D461" s="3">
        <v>45826.0</v>
      </c>
      <c r="E461" s="4">
        <v>0.875</v>
      </c>
      <c r="F461" s="5" t="str">
        <f>VLOOKUP(A461,Jogos!A:N,10,0)</f>
        <v>Evening</v>
      </c>
      <c r="G461" s="2" t="s">
        <v>997</v>
      </c>
      <c r="H461" s="6" t="str">
        <f>VLOOKUP(A461,Jogos!A:L,12,0)</f>
        <v>Open</v>
      </c>
      <c r="I461" s="6" t="str">
        <f>VLOOKUP(G461,'Estádios e Cidades'!A:B,2,0)</f>
        <v>Washington, D.C.</v>
      </c>
      <c r="J461" s="2" t="s">
        <v>998</v>
      </c>
      <c r="K461" s="2" t="str">
        <f>VLOOKUP(J461,Equipes!A:F,6,0)</f>
        <v>Tropical</v>
      </c>
      <c r="L461" s="2">
        <f>VLOOKUP(J461,Equipes!A:C,3,0)</f>
        <v>22</v>
      </c>
      <c r="M461" s="2" t="str">
        <f t="shared" si="4"/>
        <v>Group</v>
      </c>
      <c r="N461" s="2" t="s">
        <v>999</v>
      </c>
      <c r="O461" s="2">
        <f>VLOOKUP(N461,Equipes!A:C,3,0)</f>
        <v>13</v>
      </c>
      <c r="P461" s="2" t="str">
        <f t="shared" si="5"/>
        <v>Round of 16</v>
      </c>
      <c r="Q461" s="2">
        <f t="shared" si="6"/>
        <v>9</v>
      </c>
      <c r="R461" s="2" t="str">
        <f>VLOOKUP(J461,Equipes!A:B,2,0)</f>
        <v>AlAin</v>
      </c>
      <c r="S461" s="6" t="s">
        <v>1026</v>
      </c>
      <c r="T461" s="7">
        <v>80.0</v>
      </c>
      <c r="U461" s="7" t="s">
        <v>1027</v>
      </c>
      <c r="V461" s="7" t="str">
        <f>VLOOKUP(U461,Jogadores!B:C,2,0)</f>
        <v>MF</v>
      </c>
      <c r="W461" s="8">
        <f>VLOOKUP(U461,Jogadores!B:D,3,0)</f>
        <v>18.07671233</v>
      </c>
      <c r="X461" s="7">
        <v>92.0</v>
      </c>
      <c r="Y461" s="7">
        <f t="shared" si="1422"/>
        <v>93</v>
      </c>
      <c r="Z461" s="7">
        <f>VLOOKUP(A461,Jogos!A:L,3,0)</f>
        <v>51</v>
      </c>
      <c r="AA461" s="7">
        <f t="shared" si="7"/>
        <v>0</v>
      </c>
      <c r="AB461" s="7">
        <f>VLOOKUP(A461,Jogos!A:L,4,0)</f>
        <v>48</v>
      </c>
      <c r="AC461" s="7">
        <f t="shared" si="657"/>
        <v>1</v>
      </c>
      <c r="AD461" s="7"/>
      <c r="AE461" s="7"/>
      <c r="AF461" s="7">
        <f t="shared" si="9"/>
        <v>1</v>
      </c>
      <c r="AG461" s="7">
        <v>220.9</v>
      </c>
      <c r="AH461" s="7">
        <v>87.9</v>
      </c>
      <c r="AI461" s="7">
        <v>78.4</v>
      </c>
      <c r="AJ461" s="7">
        <v>52.4</v>
      </c>
      <c r="AK461" s="7">
        <v>2.2</v>
      </c>
      <c r="AL461" s="7">
        <v>20.4</v>
      </c>
      <c r="AM461" s="7"/>
      <c r="AN461" s="7"/>
      <c r="AO461" s="7"/>
      <c r="AP461" s="9">
        <f t="shared" ref="AP461:AR461" si="1438">AG461/$AF461</f>
        <v>220.9</v>
      </c>
      <c r="AQ461" s="9">
        <f t="shared" si="1438"/>
        <v>87.9</v>
      </c>
      <c r="AR461" s="9">
        <f t="shared" si="1438"/>
        <v>78.4</v>
      </c>
      <c r="AS461" s="9">
        <f t="shared" si="11"/>
        <v>166.3</v>
      </c>
      <c r="AT461" s="9">
        <f t="shared" ref="AT461:AV461" si="1439">AJ461/$AF461</f>
        <v>52.4</v>
      </c>
      <c r="AU461" s="9">
        <f t="shared" si="1439"/>
        <v>2.2</v>
      </c>
      <c r="AV461" s="9">
        <f t="shared" si="1439"/>
        <v>20.4</v>
      </c>
      <c r="AW461" s="9">
        <f t="shared" si="13"/>
        <v>22.6</v>
      </c>
      <c r="AX461" s="9">
        <f t="shared" ref="AX461:AY461" si="1440">AM461/$AF461</f>
        <v>0</v>
      </c>
      <c r="AY461" s="9">
        <f t="shared" si="1440"/>
        <v>0</v>
      </c>
      <c r="AZ461" s="9">
        <f>VLOOKUP(A461,Jogos!A:BN,58,0)</f>
        <v>25.475</v>
      </c>
      <c r="BA461" s="9">
        <f>VLOOKUP(A461,Jogos!A:BN,59,0)</f>
        <v>23.695</v>
      </c>
      <c r="BB461" s="9">
        <f>VLOOKUP(A461,Jogos!A:BN,60,0)</f>
        <v>89.5</v>
      </c>
      <c r="BC461" s="9">
        <f>VLOOKUP(A461,Jogos!A:BN,61,0)</f>
        <v>23.645</v>
      </c>
      <c r="BD461" s="9">
        <f>VLOOKUP(A461,Jogos!A:BN,62,0)</f>
        <v>0</v>
      </c>
      <c r="BE461" s="9">
        <f>VLOOKUP(A461,Jogos!A:BN,63,0)</f>
        <v>1.88</v>
      </c>
      <c r="BF461" s="9">
        <f>VLOOKUP(A461,Jogos!A:BN,64,0)</f>
        <v>23.835</v>
      </c>
      <c r="BG461" s="9">
        <f>VLOOKUP(A461,Jogos!A:BN,65,0)</f>
        <v>40.61</v>
      </c>
      <c r="BH461" s="9">
        <f>VLOOKUP(A461,Jogos!A:BN,66,0)</f>
        <v>27.355</v>
      </c>
      <c r="BI461" s="9"/>
    </row>
    <row r="462" hidden="1">
      <c r="A462" s="2">
        <v>16.0</v>
      </c>
      <c r="B462" s="11" t="s">
        <v>809</v>
      </c>
      <c r="C462" s="2" t="s">
        <v>61</v>
      </c>
      <c r="D462" s="3">
        <v>45826.0</v>
      </c>
      <c r="E462" s="4">
        <v>0.875</v>
      </c>
      <c r="F462" s="5" t="str">
        <f>VLOOKUP(A462,Jogos!A:N,10,0)</f>
        <v>Evening</v>
      </c>
      <c r="G462" s="2" t="s">
        <v>997</v>
      </c>
      <c r="H462" s="6" t="str">
        <f>VLOOKUP(A462,Jogos!A:L,12,0)</f>
        <v>Open</v>
      </c>
      <c r="I462" s="6" t="str">
        <f>VLOOKUP(G462,'Estádios e Cidades'!A:B,2,0)</f>
        <v>Washington, D.C.</v>
      </c>
      <c r="J462" s="2" t="s">
        <v>998</v>
      </c>
      <c r="K462" s="2" t="str">
        <f>VLOOKUP(J462,Equipes!A:F,6,0)</f>
        <v>Tropical</v>
      </c>
      <c r="L462" s="2">
        <f>VLOOKUP(J462,Equipes!A:C,3,0)</f>
        <v>22</v>
      </c>
      <c r="M462" s="2" t="str">
        <f t="shared" si="4"/>
        <v>Group</v>
      </c>
      <c r="N462" s="2" t="s">
        <v>999</v>
      </c>
      <c r="O462" s="2">
        <f>VLOOKUP(N462,Equipes!A:C,3,0)</f>
        <v>13</v>
      </c>
      <c r="P462" s="2" t="str">
        <f t="shared" si="5"/>
        <v>Round of 16</v>
      </c>
      <c r="Q462" s="2">
        <f t="shared" si="6"/>
        <v>9</v>
      </c>
      <c r="R462" s="2" t="str">
        <f>VLOOKUP(J462,Equipes!A:B,2,0)</f>
        <v>AlAin</v>
      </c>
      <c r="S462" s="6" t="s">
        <v>1028</v>
      </c>
      <c r="T462" s="7">
        <v>97.0</v>
      </c>
      <c r="U462" s="7" t="s">
        <v>1029</v>
      </c>
      <c r="V462" s="7" t="str">
        <f>VLOOKUP(U462,Jogadores!B:C,2,0)</f>
        <v>DF</v>
      </c>
      <c r="W462" s="8">
        <f>VLOOKUP(U462,Jogadores!B:D,3,0)</f>
        <v>22.47123288</v>
      </c>
      <c r="X462" s="7">
        <v>77.0</v>
      </c>
      <c r="Y462" s="7">
        <f t="shared" si="1422"/>
        <v>93</v>
      </c>
      <c r="Z462" s="7">
        <f>VLOOKUP(A462,Jogos!A:L,3,0)</f>
        <v>51</v>
      </c>
      <c r="AA462" s="7">
        <f t="shared" si="7"/>
        <v>0</v>
      </c>
      <c r="AB462" s="7">
        <f>VLOOKUP(A462,Jogos!A:L,4,0)</f>
        <v>48</v>
      </c>
      <c r="AC462" s="7">
        <f t="shared" si="657"/>
        <v>16</v>
      </c>
      <c r="AD462" s="7"/>
      <c r="AE462" s="7"/>
      <c r="AF462" s="7">
        <f t="shared" si="9"/>
        <v>16</v>
      </c>
      <c r="AG462" s="7">
        <v>2257.1</v>
      </c>
      <c r="AH462" s="7">
        <v>566.0</v>
      </c>
      <c r="AI462" s="7">
        <v>1000.0</v>
      </c>
      <c r="AJ462" s="7">
        <v>450.1</v>
      </c>
      <c r="AK462" s="7">
        <v>196.0</v>
      </c>
      <c r="AL462" s="7">
        <v>44.8</v>
      </c>
      <c r="AM462" s="7">
        <v>37.0</v>
      </c>
      <c r="AN462" s="7">
        <v>16.0</v>
      </c>
      <c r="AO462" s="7">
        <v>27.9</v>
      </c>
      <c r="AP462" s="9">
        <f t="shared" ref="AP462:AR462" si="1441">AG462/$AF462</f>
        <v>141.06875</v>
      </c>
      <c r="AQ462" s="9">
        <f t="shared" si="1441"/>
        <v>35.375</v>
      </c>
      <c r="AR462" s="9">
        <f t="shared" si="1441"/>
        <v>62.5</v>
      </c>
      <c r="AS462" s="9">
        <f t="shared" si="11"/>
        <v>97.875</v>
      </c>
      <c r="AT462" s="9">
        <f t="shared" ref="AT462:AV462" si="1442">AJ462/$AF462</f>
        <v>28.13125</v>
      </c>
      <c r="AU462" s="9">
        <f t="shared" si="1442"/>
        <v>12.25</v>
      </c>
      <c r="AV462" s="9">
        <f t="shared" si="1442"/>
        <v>2.8</v>
      </c>
      <c r="AW462" s="9">
        <f t="shared" si="13"/>
        <v>15.05</v>
      </c>
      <c r="AX462" s="9">
        <f t="shared" ref="AX462:AY462" si="1443">AM462/$AF462</f>
        <v>2.3125</v>
      </c>
      <c r="AY462" s="9">
        <f t="shared" si="1443"/>
        <v>1</v>
      </c>
      <c r="AZ462" s="9">
        <f>VLOOKUP(A462,Jogos!A:BN,58,0)</f>
        <v>25.475</v>
      </c>
      <c r="BA462" s="9">
        <f>VLOOKUP(A462,Jogos!A:BN,59,0)</f>
        <v>23.695</v>
      </c>
      <c r="BB462" s="9">
        <f>VLOOKUP(A462,Jogos!A:BN,60,0)</f>
        <v>89.5</v>
      </c>
      <c r="BC462" s="9">
        <f>VLOOKUP(A462,Jogos!A:BN,61,0)</f>
        <v>23.645</v>
      </c>
      <c r="BD462" s="9">
        <f>VLOOKUP(A462,Jogos!A:BN,62,0)</f>
        <v>0</v>
      </c>
      <c r="BE462" s="9">
        <f>VLOOKUP(A462,Jogos!A:BN,63,0)</f>
        <v>1.88</v>
      </c>
      <c r="BF462" s="9">
        <f>VLOOKUP(A462,Jogos!A:BN,64,0)</f>
        <v>23.835</v>
      </c>
      <c r="BG462" s="9">
        <f>VLOOKUP(A462,Jogos!A:BN,65,0)</f>
        <v>40.61</v>
      </c>
      <c r="BH462" s="9">
        <f>VLOOKUP(A462,Jogos!A:BN,66,0)</f>
        <v>27.355</v>
      </c>
      <c r="BI462" s="9"/>
    </row>
    <row r="463" hidden="1">
      <c r="A463" s="10">
        <v>16.0</v>
      </c>
      <c r="B463" s="11" t="s">
        <v>809</v>
      </c>
      <c r="C463" s="2" t="s">
        <v>61</v>
      </c>
      <c r="D463" s="12">
        <v>45826.0</v>
      </c>
      <c r="E463" s="13">
        <v>0.875</v>
      </c>
      <c r="F463" s="5" t="str">
        <f>VLOOKUP(A463,Jogos!A:N,10,0)</f>
        <v>Evening</v>
      </c>
      <c r="G463" s="11" t="s">
        <v>997</v>
      </c>
      <c r="H463" s="6" t="str">
        <f>VLOOKUP(A463,Jogos!A:L,12,0)</f>
        <v>Open</v>
      </c>
      <c r="I463" s="6" t="str">
        <f>VLOOKUP(G463,'Estádios e Cidades'!A:B,2,0)</f>
        <v>Washington, D.C.</v>
      </c>
      <c r="J463" s="11" t="s">
        <v>999</v>
      </c>
      <c r="K463" s="2" t="str">
        <f>VLOOKUP(J463,Equipes!A:F,6,0)</f>
        <v>Temperate</v>
      </c>
      <c r="L463" s="2">
        <f>VLOOKUP(J463,Equipes!A:C,3,0)</f>
        <v>13</v>
      </c>
      <c r="M463" s="2" t="str">
        <f t="shared" si="4"/>
        <v>Round of 16</v>
      </c>
      <c r="N463" s="11" t="s">
        <v>998</v>
      </c>
      <c r="O463" s="2">
        <f>VLOOKUP(N463,Equipes!A:C,3,0)</f>
        <v>22</v>
      </c>
      <c r="P463" s="2" t="str">
        <f t="shared" si="5"/>
        <v>Group</v>
      </c>
      <c r="Q463" s="2">
        <f t="shared" si="6"/>
        <v>-9</v>
      </c>
      <c r="R463" s="2" t="str">
        <f>VLOOKUP(J463,Equipes!A:B,2,0)</f>
        <v>Juventus</v>
      </c>
      <c r="S463" s="14" t="s">
        <v>1030</v>
      </c>
      <c r="T463" s="7">
        <v>2.0</v>
      </c>
      <c r="U463" s="7" t="s">
        <v>1031</v>
      </c>
      <c r="V463" s="7" t="str">
        <f>VLOOKUP(U463,Jogadores!B:C,2,0)</f>
        <v>DF</v>
      </c>
      <c r="W463" s="8">
        <f>VLOOKUP(U463,Jogadores!B:D,3,0)</f>
        <v>21.84383562</v>
      </c>
      <c r="X463" s="7">
        <v>0.0</v>
      </c>
      <c r="Y463" s="7">
        <f t="shared" si="1422"/>
        <v>93</v>
      </c>
      <c r="Z463" s="7">
        <f>VLOOKUP(A463,Jogos!A:L,3,0)</f>
        <v>51</v>
      </c>
      <c r="AA463" s="7">
        <f t="shared" si="7"/>
        <v>51</v>
      </c>
      <c r="AB463" s="7">
        <f>VLOOKUP(A463,Jogos!A:L,4,0)</f>
        <v>48</v>
      </c>
      <c r="AC463" s="7">
        <f t="shared" si="657"/>
        <v>48</v>
      </c>
      <c r="AD463" s="7"/>
      <c r="AE463" s="7"/>
      <c r="AF463" s="7">
        <f t="shared" si="9"/>
        <v>99</v>
      </c>
      <c r="AG463" s="7">
        <v>11475.5</v>
      </c>
      <c r="AH463" s="7">
        <v>3907.9</v>
      </c>
      <c r="AI463" s="7">
        <v>4468.5</v>
      </c>
      <c r="AJ463" s="7">
        <v>1818.7</v>
      </c>
      <c r="AK463" s="7">
        <v>877.9</v>
      </c>
      <c r="AL463" s="7">
        <v>402.6</v>
      </c>
      <c r="AM463" s="7">
        <v>152.0</v>
      </c>
      <c r="AN463" s="7">
        <v>66.0</v>
      </c>
      <c r="AO463" s="7">
        <v>32.1</v>
      </c>
      <c r="AP463" s="9">
        <f t="shared" ref="AP463:AR463" si="1444">AG463/$AF463</f>
        <v>115.9141414</v>
      </c>
      <c r="AQ463" s="9">
        <f t="shared" si="1444"/>
        <v>39.47373737</v>
      </c>
      <c r="AR463" s="9">
        <f t="shared" si="1444"/>
        <v>45.13636364</v>
      </c>
      <c r="AS463" s="9">
        <f t="shared" si="11"/>
        <v>84.61010101</v>
      </c>
      <c r="AT463" s="9">
        <f t="shared" ref="AT463:AV463" si="1445">AJ463/$AF463</f>
        <v>18.37070707</v>
      </c>
      <c r="AU463" s="9">
        <f t="shared" si="1445"/>
        <v>8.867676768</v>
      </c>
      <c r="AV463" s="9">
        <f t="shared" si="1445"/>
        <v>4.066666667</v>
      </c>
      <c r="AW463" s="9">
        <f t="shared" si="13"/>
        <v>12.93434343</v>
      </c>
      <c r="AX463" s="9">
        <f t="shared" ref="AX463:AY463" si="1446">AM463/$AF463</f>
        <v>1.535353535</v>
      </c>
      <c r="AY463" s="9">
        <f t="shared" si="1446"/>
        <v>0.6666666667</v>
      </c>
      <c r="AZ463" s="9">
        <f>VLOOKUP(A463,Jogos!A:BN,58,0)</f>
        <v>25.475</v>
      </c>
      <c r="BA463" s="9">
        <f>VLOOKUP(A463,Jogos!A:BN,59,0)</f>
        <v>23.695</v>
      </c>
      <c r="BB463" s="9">
        <f>VLOOKUP(A463,Jogos!A:BN,60,0)</f>
        <v>89.5</v>
      </c>
      <c r="BC463" s="9">
        <f>VLOOKUP(A463,Jogos!A:BN,61,0)</f>
        <v>23.645</v>
      </c>
      <c r="BD463" s="9">
        <f>VLOOKUP(A463,Jogos!A:BN,62,0)</f>
        <v>0</v>
      </c>
      <c r="BE463" s="9">
        <f>VLOOKUP(A463,Jogos!A:BN,63,0)</f>
        <v>1.88</v>
      </c>
      <c r="BF463" s="9">
        <f>VLOOKUP(A463,Jogos!A:BN,64,0)</f>
        <v>23.835</v>
      </c>
      <c r="BG463" s="9">
        <f>VLOOKUP(A463,Jogos!A:BN,65,0)</f>
        <v>40.61</v>
      </c>
      <c r="BH463" s="9">
        <f>VLOOKUP(A463,Jogos!A:BN,66,0)</f>
        <v>27.355</v>
      </c>
      <c r="BI463" s="9"/>
    </row>
    <row r="464" hidden="1">
      <c r="A464" s="10">
        <v>16.0</v>
      </c>
      <c r="B464" s="11" t="s">
        <v>809</v>
      </c>
      <c r="C464" s="2" t="s">
        <v>61</v>
      </c>
      <c r="D464" s="12">
        <v>45826.0</v>
      </c>
      <c r="E464" s="13">
        <v>0.875</v>
      </c>
      <c r="F464" s="5" t="str">
        <f>VLOOKUP(A464,Jogos!A:N,10,0)</f>
        <v>Evening</v>
      </c>
      <c r="G464" s="11" t="s">
        <v>997</v>
      </c>
      <c r="H464" s="6" t="str">
        <f>VLOOKUP(A464,Jogos!A:L,12,0)</f>
        <v>Open</v>
      </c>
      <c r="I464" s="6" t="str">
        <f>VLOOKUP(G464,'Estádios e Cidades'!A:B,2,0)</f>
        <v>Washington, D.C.</v>
      </c>
      <c r="J464" s="11" t="s">
        <v>999</v>
      </c>
      <c r="K464" s="2" t="str">
        <f>VLOOKUP(J464,Equipes!A:F,6,0)</f>
        <v>Temperate</v>
      </c>
      <c r="L464" s="2">
        <f>VLOOKUP(J464,Equipes!A:C,3,0)</f>
        <v>13</v>
      </c>
      <c r="M464" s="2" t="str">
        <f t="shared" si="4"/>
        <v>Round of 16</v>
      </c>
      <c r="N464" s="11" t="s">
        <v>998</v>
      </c>
      <c r="O464" s="2">
        <f>VLOOKUP(N464,Equipes!A:C,3,0)</f>
        <v>22</v>
      </c>
      <c r="P464" s="2" t="str">
        <f t="shared" si="5"/>
        <v>Group</v>
      </c>
      <c r="Q464" s="2">
        <f t="shared" si="6"/>
        <v>-9</v>
      </c>
      <c r="R464" s="2" t="str">
        <f>VLOOKUP(J464,Equipes!A:B,2,0)</f>
        <v>Juventus</v>
      </c>
      <c r="S464" s="6" t="s">
        <v>1032</v>
      </c>
      <c r="T464" s="7">
        <v>6.0</v>
      </c>
      <c r="U464" s="7" t="s">
        <v>1033</v>
      </c>
      <c r="V464" s="7" t="str">
        <f>VLOOKUP(U464,Jogadores!B:C,2,0)</f>
        <v>DF</v>
      </c>
      <c r="W464" s="8">
        <f>VLOOKUP(U464,Jogadores!B:D,3,0)</f>
        <v>26.82739726</v>
      </c>
      <c r="X464" s="7">
        <v>0.0</v>
      </c>
      <c r="Y464" s="7">
        <f t="shared" si="1422"/>
        <v>93</v>
      </c>
      <c r="Z464" s="7">
        <f>VLOOKUP(A464,Jogos!A:L,3,0)</f>
        <v>51</v>
      </c>
      <c r="AA464" s="7">
        <f t="shared" si="7"/>
        <v>51</v>
      </c>
      <c r="AB464" s="7">
        <f>VLOOKUP(A464,Jogos!A:L,4,0)</f>
        <v>48</v>
      </c>
      <c r="AC464" s="7">
        <f t="shared" si="657"/>
        <v>48</v>
      </c>
      <c r="AD464" s="7"/>
      <c r="AE464" s="7"/>
      <c r="AF464" s="7">
        <f t="shared" si="9"/>
        <v>99</v>
      </c>
      <c r="AG464" s="7">
        <v>11114.8</v>
      </c>
      <c r="AH464" s="7">
        <v>4304.2</v>
      </c>
      <c r="AI464" s="7">
        <v>4149.6</v>
      </c>
      <c r="AJ464" s="7">
        <v>1720.1</v>
      </c>
      <c r="AK464" s="7">
        <v>627.3</v>
      </c>
      <c r="AL464" s="7">
        <v>313.6</v>
      </c>
      <c r="AM464" s="7">
        <v>159.0</v>
      </c>
      <c r="AN464" s="7">
        <v>51.0</v>
      </c>
      <c r="AO464" s="7">
        <v>31.1</v>
      </c>
      <c r="AP464" s="9">
        <f t="shared" ref="AP464:AR464" si="1447">AG464/$AF464</f>
        <v>112.2707071</v>
      </c>
      <c r="AQ464" s="9">
        <f t="shared" si="1447"/>
        <v>43.47676768</v>
      </c>
      <c r="AR464" s="9">
        <f t="shared" si="1447"/>
        <v>41.91515152</v>
      </c>
      <c r="AS464" s="9">
        <f t="shared" si="11"/>
        <v>85.39191919</v>
      </c>
      <c r="AT464" s="9">
        <f t="shared" ref="AT464:AV464" si="1448">AJ464/$AF464</f>
        <v>17.37474747</v>
      </c>
      <c r="AU464" s="9">
        <f t="shared" si="1448"/>
        <v>6.336363636</v>
      </c>
      <c r="AV464" s="9">
        <f t="shared" si="1448"/>
        <v>3.167676768</v>
      </c>
      <c r="AW464" s="9">
        <f t="shared" si="13"/>
        <v>9.504040404</v>
      </c>
      <c r="AX464" s="9">
        <f t="shared" ref="AX464:AY464" si="1449">AM464/$AF464</f>
        <v>1.606060606</v>
      </c>
      <c r="AY464" s="9">
        <f t="shared" si="1449"/>
        <v>0.5151515152</v>
      </c>
      <c r="AZ464" s="9">
        <f>VLOOKUP(A464,Jogos!A:BN,58,0)</f>
        <v>25.475</v>
      </c>
      <c r="BA464" s="9">
        <f>VLOOKUP(A464,Jogos!A:BN,59,0)</f>
        <v>23.695</v>
      </c>
      <c r="BB464" s="9">
        <f>VLOOKUP(A464,Jogos!A:BN,60,0)</f>
        <v>89.5</v>
      </c>
      <c r="BC464" s="9">
        <f>VLOOKUP(A464,Jogos!A:BN,61,0)</f>
        <v>23.645</v>
      </c>
      <c r="BD464" s="9">
        <f>VLOOKUP(A464,Jogos!A:BN,62,0)</f>
        <v>0</v>
      </c>
      <c r="BE464" s="9">
        <f>VLOOKUP(A464,Jogos!A:BN,63,0)</f>
        <v>1.88</v>
      </c>
      <c r="BF464" s="9">
        <f>VLOOKUP(A464,Jogos!A:BN,64,0)</f>
        <v>23.835</v>
      </c>
      <c r="BG464" s="9">
        <f>VLOOKUP(A464,Jogos!A:BN,65,0)</f>
        <v>40.61</v>
      </c>
      <c r="BH464" s="9">
        <f>VLOOKUP(A464,Jogos!A:BN,66,0)</f>
        <v>27.355</v>
      </c>
      <c r="BI464" s="9"/>
    </row>
    <row r="465" hidden="1">
      <c r="A465" s="10">
        <v>16.0</v>
      </c>
      <c r="B465" s="11" t="s">
        <v>809</v>
      </c>
      <c r="C465" s="2" t="s">
        <v>61</v>
      </c>
      <c r="D465" s="12">
        <v>45826.0</v>
      </c>
      <c r="E465" s="13">
        <v>0.875</v>
      </c>
      <c r="F465" s="5" t="str">
        <f>VLOOKUP(A465,Jogos!A:N,10,0)</f>
        <v>Evening</v>
      </c>
      <c r="G465" s="11" t="s">
        <v>997</v>
      </c>
      <c r="H465" s="6" t="str">
        <f>VLOOKUP(A465,Jogos!A:L,12,0)</f>
        <v>Open</v>
      </c>
      <c r="I465" s="6" t="str">
        <f>VLOOKUP(G465,'Estádios e Cidades'!A:B,2,0)</f>
        <v>Washington, D.C.</v>
      </c>
      <c r="J465" s="11" t="s">
        <v>999</v>
      </c>
      <c r="K465" s="2" t="str">
        <f>VLOOKUP(J465,Equipes!A:F,6,0)</f>
        <v>Temperate</v>
      </c>
      <c r="L465" s="2">
        <f>VLOOKUP(J465,Equipes!A:C,3,0)</f>
        <v>13</v>
      </c>
      <c r="M465" s="2" t="str">
        <f t="shared" si="4"/>
        <v>Round of 16</v>
      </c>
      <c r="N465" s="11" t="s">
        <v>998</v>
      </c>
      <c r="O465" s="2">
        <f>VLOOKUP(N465,Equipes!A:C,3,0)</f>
        <v>22</v>
      </c>
      <c r="P465" s="2" t="str">
        <f t="shared" si="5"/>
        <v>Group</v>
      </c>
      <c r="Q465" s="2">
        <f t="shared" si="6"/>
        <v>-9</v>
      </c>
      <c r="R465" s="2" t="str">
        <f>VLOOKUP(J465,Equipes!A:B,2,0)</f>
        <v>Juventus</v>
      </c>
      <c r="S465" s="6" t="s">
        <v>1034</v>
      </c>
      <c r="T465" s="7">
        <v>7.0</v>
      </c>
      <c r="U465" s="7" t="s">
        <v>1035</v>
      </c>
      <c r="V465" s="7" t="str">
        <f>VLOOKUP(U465,Jogadores!B:C,2,0)</f>
        <v>FW</v>
      </c>
      <c r="W465" s="8">
        <f>VLOOKUP(U465,Jogadores!B:D,3,0)</f>
        <v>22.63561644</v>
      </c>
      <c r="X465" s="7">
        <v>0.0</v>
      </c>
      <c r="Y465" s="7">
        <f t="shared" si="1422"/>
        <v>93</v>
      </c>
      <c r="Z465" s="7">
        <f>VLOOKUP(A465,Jogos!A:L,3,0)</f>
        <v>51</v>
      </c>
      <c r="AA465" s="7">
        <f t="shared" si="7"/>
        <v>51</v>
      </c>
      <c r="AB465" s="7">
        <f>VLOOKUP(A465,Jogos!A:L,4,0)</f>
        <v>48</v>
      </c>
      <c r="AC465" s="7">
        <f t="shared" si="657"/>
        <v>48</v>
      </c>
      <c r="AD465" s="7"/>
      <c r="AE465" s="7"/>
      <c r="AF465" s="7">
        <f t="shared" si="9"/>
        <v>99</v>
      </c>
      <c r="AG465" s="7">
        <v>11702.8</v>
      </c>
      <c r="AH465" s="7">
        <v>3938.1</v>
      </c>
      <c r="AI465" s="7">
        <v>5090.1</v>
      </c>
      <c r="AJ465" s="7">
        <v>1848.2</v>
      </c>
      <c r="AK465" s="7">
        <v>624.6</v>
      </c>
      <c r="AL465" s="7">
        <v>201.7</v>
      </c>
      <c r="AM465" s="7">
        <v>162.0</v>
      </c>
      <c r="AN465" s="7">
        <v>51.0</v>
      </c>
      <c r="AO465" s="7">
        <v>31.2</v>
      </c>
      <c r="AP465" s="9">
        <f t="shared" ref="AP465:AR465" si="1450">AG465/$AF465</f>
        <v>118.210101</v>
      </c>
      <c r="AQ465" s="9">
        <f t="shared" si="1450"/>
        <v>39.77878788</v>
      </c>
      <c r="AR465" s="9">
        <f t="shared" si="1450"/>
        <v>51.41515152</v>
      </c>
      <c r="AS465" s="9">
        <f t="shared" si="11"/>
        <v>91.19393939</v>
      </c>
      <c r="AT465" s="9">
        <f t="shared" ref="AT465:AV465" si="1451">AJ465/$AF465</f>
        <v>18.66868687</v>
      </c>
      <c r="AU465" s="9">
        <f t="shared" si="1451"/>
        <v>6.309090909</v>
      </c>
      <c r="AV465" s="9">
        <f t="shared" si="1451"/>
        <v>2.037373737</v>
      </c>
      <c r="AW465" s="9">
        <f t="shared" si="13"/>
        <v>8.346464646</v>
      </c>
      <c r="AX465" s="9">
        <f t="shared" ref="AX465:AY465" si="1452">AM465/$AF465</f>
        <v>1.636363636</v>
      </c>
      <c r="AY465" s="9">
        <f t="shared" si="1452"/>
        <v>0.5151515152</v>
      </c>
      <c r="AZ465" s="9">
        <f>VLOOKUP(A465,Jogos!A:BN,58,0)</f>
        <v>25.475</v>
      </c>
      <c r="BA465" s="9">
        <f>VLOOKUP(A465,Jogos!A:BN,59,0)</f>
        <v>23.695</v>
      </c>
      <c r="BB465" s="9">
        <f>VLOOKUP(A465,Jogos!A:BN,60,0)</f>
        <v>89.5</v>
      </c>
      <c r="BC465" s="9">
        <f>VLOOKUP(A465,Jogos!A:BN,61,0)</f>
        <v>23.645</v>
      </c>
      <c r="BD465" s="9">
        <f>VLOOKUP(A465,Jogos!A:BN,62,0)</f>
        <v>0</v>
      </c>
      <c r="BE465" s="9">
        <f>VLOOKUP(A465,Jogos!A:BN,63,0)</f>
        <v>1.88</v>
      </c>
      <c r="BF465" s="9">
        <f>VLOOKUP(A465,Jogos!A:BN,64,0)</f>
        <v>23.835</v>
      </c>
      <c r="BG465" s="9">
        <f>VLOOKUP(A465,Jogos!A:BN,65,0)</f>
        <v>40.61</v>
      </c>
      <c r="BH465" s="9">
        <f>VLOOKUP(A465,Jogos!A:BN,66,0)</f>
        <v>27.355</v>
      </c>
      <c r="BI465" s="9"/>
    </row>
    <row r="466" hidden="1">
      <c r="A466" s="10">
        <v>16.0</v>
      </c>
      <c r="B466" s="11" t="s">
        <v>809</v>
      </c>
      <c r="C466" s="2" t="s">
        <v>61</v>
      </c>
      <c r="D466" s="12">
        <v>45826.0</v>
      </c>
      <c r="E466" s="13">
        <v>0.875</v>
      </c>
      <c r="F466" s="5" t="str">
        <f>VLOOKUP(A466,Jogos!A:N,10,0)</f>
        <v>Evening</v>
      </c>
      <c r="G466" s="11" t="s">
        <v>997</v>
      </c>
      <c r="H466" s="6" t="str">
        <f>VLOOKUP(A466,Jogos!A:L,12,0)</f>
        <v>Open</v>
      </c>
      <c r="I466" s="6" t="str">
        <f>VLOOKUP(G466,'Estádios e Cidades'!A:B,2,0)</f>
        <v>Washington, D.C.</v>
      </c>
      <c r="J466" s="11" t="s">
        <v>999</v>
      </c>
      <c r="K466" s="2" t="str">
        <f>VLOOKUP(J466,Equipes!A:F,6,0)</f>
        <v>Temperate</v>
      </c>
      <c r="L466" s="2">
        <f>VLOOKUP(J466,Equipes!A:C,3,0)</f>
        <v>13</v>
      </c>
      <c r="M466" s="2" t="str">
        <f t="shared" si="4"/>
        <v>Round of 16</v>
      </c>
      <c r="N466" s="11" t="s">
        <v>998</v>
      </c>
      <c r="O466" s="2">
        <f>VLOOKUP(N466,Equipes!A:C,3,0)</f>
        <v>22</v>
      </c>
      <c r="P466" s="2" t="str">
        <f t="shared" si="5"/>
        <v>Group</v>
      </c>
      <c r="Q466" s="2">
        <f t="shared" si="6"/>
        <v>-9</v>
      </c>
      <c r="R466" s="2" t="str">
        <f>VLOOKUP(J466,Equipes!A:B,2,0)</f>
        <v>Juventus</v>
      </c>
      <c r="S466" s="6" t="s">
        <v>1036</v>
      </c>
      <c r="T466" s="7">
        <v>10.0</v>
      </c>
      <c r="U466" s="7" t="s">
        <v>1037</v>
      </c>
      <c r="V466" s="7" t="str">
        <f>VLOOKUP(U466,Jogadores!B:C,2,0)</f>
        <v>FW</v>
      </c>
      <c r="W466" s="8">
        <f>VLOOKUP(U466,Jogadores!B:D,3,0)</f>
        <v>20.24657534</v>
      </c>
      <c r="X466" s="7">
        <v>0.0</v>
      </c>
      <c r="Y466" s="7">
        <v>62.0</v>
      </c>
      <c r="Z466" s="7">
        <f>VLOOKUP(A466,Jogos!A:L,3,0)</f>
        <v>51</v>
      </c>
      <c r="AA466" s="7">
        <f t="shared" si="7"/>
        <v>51</v>
      </c>
      <c r="AB466" s="7">
        <f>VLOOKUP(A466,Jogos!A:L,4,0)</f>
        <v>48</v>
      </c>
      <c r="AC466" s="7">
        <f t="shared" si="657"/>
        <v>17</v>
      </c>
      <c r="AD466" s="7"/>
      <c r="AE466" s="7"/>
      <c r="AF466" s="7">
        <f t="shared" si="9"/>
        <v>68</v>
      </c>
      <c r="AG466" s="7">
        <v>7817.2</v>
      </c>
      <c r="AH466" s="7">
        <v>2883.0</v>
      </c>
      <c r="AI466" s="7">
        <v>3361.2</v>
      </c>
      <c r="AJ466" s="7">
        <v>993.2</v>
      </c>
      <c r="AK466" s="7">
        <v>479.6</v>
      </c>
      <c r="AL466" s="7">
        <v>100.2</v>
      </c>
      <c r="AM466" s="7">
        <v>87.0</v>
      </c>
      <c r="AN466" s="7">
        <v>39.0</v>
      </c>
      <c r="AO466" s="7">
        <v>31.3</v>
      </c>
      <c r="AP466" s="9">
        <f t="shared" ref="AP466:AR466" si="1453">AG466/$AF466</f>
        <v>114.9588235</v>
      </c>
      <c r="AQ466" s="9">
        <f t="shared" si="1453"/>
        <v>42.39705882</v>
      </c>
      <c r="AR466" s="9">
        <f t="shared" si="1453"/>
        <v>49.42941176</v>
      </c>
      <c r="AS466" s="9">
        <f t="shared" si="11"/>
        <v>91.82647059</v>
      </c>
      <c r="AT466" s="9">
        <f t="shared" ref="AT466:AV466" si="1454">AJ466/$AF466</f>
        <v>14.60588235</v>
      </c>
      <c r="AU466" s="9">
        <f t="shared" si="1454"/>
        <v>7.052941176</v>
      </c>
      <c r="AV466" s="9">
        <f t="shared" si="1454"/>
        <v>1.473529412</v>
      </c>
      <c r="AW466" s="9">
        <f t="shared" si="13"/>
        <v>8.526470588</v>
      </c>
      <c r="AX466" s="9">
        <f t="shared" ref="AX466:AY466" si="1455">AM466/$AF466</f>
        <v>1.279411765</v>
      </c>
      <c r="AY466" s="9">
        <f t="shared" si="1455"/>
        <v>0.5735294118</v>
      </c>
      <c r="AZ466" s="9">
        <f>VLOOKUP(A466,Jogos!A:BN,58,0)</f>
        <v>25.475</v>
      </c>
      <c r="BA466" s="9">
        <f>VLOOKUP(A466,Jogos!A:BN,59,0)</f>
        <v>23.695</v>
      </c>
      <c r="BB466" s="9">
        <f>VLOOKUP(A466,Jogos!A:BN,60,0)</f>
        <v>89.5</v>
      </c>
      <c r="BC466" s="9">
        <f>VLOOKUP(A466,Jogos!A:BN,61,0)</f>
        <v>23.645</v>
      </c>
      <c r="BD466" s="9">
        <f>VLOOKUP(A466,Jogos!A:BN,62,0)</f>
        <v>0</v>
      </c>
      <c r="BE466" s="9">
        <f>VLOOKUP(A466,Jogos!A:BN,63,0)</f>
        <v>1.88</v>
      </c>
      <c r="BF466" s="9">
        <f>VLOOKUP(A466,Jogos!A:BN,64,0)</f>
        <v>23.835</v>
      </c>
      <c r="BG466" s="9">
        <f>VLOOKUP(A466,Jogos!A:BN,65,0)</f>
        <v>40.61</v>
      </c>
      <c r="BH466" s="9">
        <f>VLOOKUP(A466,Jogos!A:BN,66,0)</f>
        <v>27.355</v>
      </c>
      <c r="BI466" s="9"/>
    </row>
    <row r="467" hidden="1">
      <c r="A467" s="10">
        <v>16.0</v>
      </c>
      <c r="B467" s="11" t="s">
        <v>809</v>
      </c>
      <c r="C467" s="2" t="s">
        <v>61</v>
      </c>
      <c r="D467" s="12">
        <v>45826.0</v>
      </c>
      <c r="E467" s="13">
        <v>0.875</v>
      </c>
      <c r="F467" s="5" t="str">
        <f>VLOOKUP(A467,Jogos!A:N,10,0)</f>
        <v>Evening</v>
      </c>
      <c r="G467" s="11" t="s">
        <v>997</v>
      </c>
      <c r="H467" s="6" t="str">
        <f>VLOOKUP(A467,Jogos!A:L,12,0)</f>
        <v>Open</v>
      </c>
      <c r="I467" s="6" t="str">
        <f>VLOOKUP(G467,'Estádios e Cidades'!A:B,2,0)</f>
        <v>Washington, D.C.</v>
      </c>
      <c r="J467" s="11" t="s">
        <v>999</v>
      </c>
      <c r="K467" s="2" t="str">
        <f>VLOOKUP(J467,Equipes!A:F,6,0)</f>
        <v>Temperate</v>
      </c>
      <c r="L467" s="2">
        <f>VLOOKUP(J467,Equipes!A:C,3,0)</f>
        <v>13</v>
      </c>
      <c r="M467" s="2" t="str">
        <f t="shared" si="4"/>
        <v>Round of 16</v>
      </c>
      <c r="N467" s="11" t="s">
        <v>998</v>
      </c>
      <c r="O467" s="2">
        <f>VLOOKUP(N467,Equipes!A:C,3,0)</f>
        <v>22</v>
      </c>
      <c r="P467" s="2" t="str">
        <f t="shared" si="5"/>
        <v>Group</v>
      </c>
      <c r="Q467" s="2">
        <f t="shared" si="6"/>
        <v>-9</v>
      </c>
      <c r="R467" s="2" t="str">
        <f>VLOOKUP(J467,Equipes!A:B,2,0)</f>
        <v>Juventus</v>
      </c>
      <c r="S467" s="6" t="s">
        <v>1038</v>
      </c>
      <c r="T467" s="7">
        <v>15.0</v>
      </c>
      <c r="U467" s="7" t="s">
        <v>1039</v>
      </c>
      <c r="V467" s="7" t="str">
        <f>VLOOKUP(U467,Jogadores!B:C,2,0)</f>
        <v>DF</v>
      </c>
      <c r="W467" s="8">
        <f>VLOOKUP(U467,Jogadores!B:D,3,0)</f>
        <v>25.16164384</v>
      </c>
      <c r="X467" s="7">
        <v>0.0</v>
      </c>
      <c r="Y467" s="7">
        <f t="shared" ref="Y467:Y468" si="1459">45+AB467</f>
        <v>93</v>
      </c>
      <c r="Z467" s="7">
        <f>VLOOKUP(A467,Jogos!A:L,3,0)</f>
        <v>51</v>
      </c>
      <c r="AA467" s="7">
        <f t="shared" si="7"/>
        <v>51</v>
      </c>
      <c r="AB467" s="7">
        <f>VLOOKUP(A467,Jogos!A:L,4,0)</f>
        <v>48</v>
      </c>
      <c r="AC467" s="7">
        <f t="shared" si="657"/>
        <v>48</v>
      </c>
      <c r="AD467" s="7"/>
      <c r="AE467" s="7"/>
      <c r="AF467" s="7">
        <f t="shared" si="9"/>
        <v>99</v>
      </c>
      <c r="AG467" s="7">
        <v>10525.2</v>
      </c>
      <c r="AH467" s="7">
        <v>4224.7</v>
      </c>
      <c r="AI467" s="7">
        <v>3988.3</v>
      </c>
      <c r="AJ467" s="7">
        <v>1410.7</v>
      </c>
      <c r="AK467" s="7">
        <v>661.8</v>
      </c>
      <c r="AL467" s="7">
        <v>239.6</v>
      </c>
      <c r="AM467" s="7">
        <v>136.0</v>
      </c>
      <c r="AN467" s="7">
        <v>54.0</v>
      </c>
      <c r="AO467" s="7">
        <v>33.9</v>
      </c>
      <c r="AP467" s="9">
        <f t="shared" ref="AP467:AR467" si="1456">AG467/$AF467</f>
        <v>106.3151515</v>
      </c>
      <c r="AQ467" s="9">
        <f t="shared" si="1456"/>
        <v>42.67373737</v>
      </c>
      <c r="AR467" s="9">
        <f t="shared" si="1456"/>
        <v>40.28585859</v>
      </c>
      <c r="AS467" s="9">
        <f t="shared" si="11"/>
        <v>82.95959596</v>
      </c>
      <c r="AT467" s="9">
        <f t="shared" ref="AT467:AV467" si="1457">AJ467/$AF467</f>
        <v>14.24949495</v>
      </c>
      <c r="AU467" s="9">
        <f t="shared" si="1457"/>
        <v>6.684848485</v>
      </c>
      <c r="AV467" s="9">
        <f t="shared" si="1457"/>
        <v>2.42020202</v>
      </c>
      <c r="AW467" s="9">
        <f t="shared" si="13"/>
        <v>9.105050505</v>
      </c>
      <c r="AX467" s="9">
        <f t="shared" ref="AX467:AY467" si="1458">AM467/$AF467</f>
        <v>1.373737374</v>
      </c>
      <c r="AY467" s="9">
        <f t="shared" si="1458"/>
        <v>0.5454545455</v>
      </c>
      <c r="AZ467" s="9">
        <f>VLOOKUP(A467,Jogos!A:BN,58,0)</f>
        <v>25.475</v>
      </c>
      <c r="BA467" s="9">
        <f>VLOOKUP(A467,Jogos!A:BN,59,0)</f>
        <v>23.695</v>
      </c>
      <c r="BB467" s="9">
        <f>VLOOKUP(A467,Jogos!A:BN,60,0)</f>
        <v>89.5</v>
      </c>
      <c r="BC467" s="9">
        <f>VLOOKUP(A467,Jogos!A:BN,61,0)</f>
        <v>23.645</v>
      </c>
      <c r="BD467" s="9">
        <f>VLOOKUP(A467,Jogos!A:BN,62,0)</f>
        <v>0</v>
      </c>
      <c r="BE467" s="9">
        <f>VLOOKUP(A467,Jogos!A:BN,63,0)</f>
        <v>1.88</v>
      </c>
      <c r="BF467" s="9">
        <f>VLOOKUP(A467,Jogos!A:BN,64,0)</f>
        <v>23.835</v>
      </c>
      <c r="BG467" s="9">
        <f>VLOOKUP(A467,Jogos!A:BN,65,0)</f>
        <v>40.61</v>
      </c>
      <c r="BH467" s="9">
        <f>VLOOKUP(A467,Jogos!A:BN,66,0)</f>
        <v>27.355</v>
      </c>
      <c r="BI467" s="9"/>
    </row>
    <row r="468" hidden="1">
      <c r="A468" s="10">
        <v>16.0</v>
      </c>
      <c r="B468" s="11" t="s">
        <v>809</v>
      </c>
      <c r="C468" s="2" t="s">
        <v>61</v>
      </c>
      <c r="D468" s="12">
        <v>45826.0</v>
      </c>
      <c r="E468" s="13">
        <v>0.875</v>
      </c>
      <c r="F468" s="5" t="str">
        <f>VLOOKUP(A468,Jogos!A:N,10,0)</f>
        <v>Evening</v>
      </c>
      <c r="G468" s="11" t="s">
        <v>997</v>
      </c>
      <c r="H468" s="6" t="str">
        <f>VLOOKUP(A468,Jogos!A:L,12,0)</f>
        <v>Open</v>
      </c>
      <c r="I468" s="6" t="str">
        <f>VLOOKUP(G468,'Estádios e Cidades'!A:B,2,0)</f>
        <v>Washington, D.C.</v>
      </c>
      <c r="J468" s="11" t="s">
        <v>999</v>
      </c>
      <c r="K468" s="2" t="str">
        <f>VLOOKUP(J468,Equipes!A:F,6,0)</f>
        <v>Temperate</v>
      </c>
      <c r="L468" s="2">
        <f>VLOOKUP(J468,Equipes!A:C,3,0)</f>
        <v>13</v>
      </c>
      <c r="M468" s="2" t="str">
        <f t="shared" si="4"/>
        <v>Round of 16</v>
      </c>
      <c r="N468" s="11" t="s">
        <v>998</v>
      </c>
      <c r="O468" s="2">
        <f>VLOOKUP(N468,Equipes!A:C,3,0)</f>
        <v>22</v>
      </c>
      <c r="P468" s="2" t="str">
        <f t="shared" si="5"/>
        <v>Group</v>
      </c>
      <c r="Q468" s="2">
        <f t="shared" si="6"/>
        <v>-9</v>
      </c>
      <c r="R468" s="2" t="str">
        <f>VLOOKUP(J468,Equipes!A:B,2,0)</f>
        <v>Juventus</v>
      </c>
      <c r="S468" s="6" t="s">
        <v>1040</v>
      </c>
      <c r="T468" s="7">
        <v>16.0</v>
      </c>
      <c r="U468" s="7" t="s">
        <v>1041</v>
      </c>
      <c r="V468" s="7" t="str">
        <f>VLOOKUP(U468,Jogadores!B:C,2,0)</f>
        <v>MF</v>
      </c>
      <c r="W468" s="8">
        <f>VLOOKUP(U468,Jogadores!B:D,3,0)</f>
        <v>26.93424658</v>
      </c>
      <c r="X468" s="7">
        <v>0.0</v>
      </c>
      <c r="Y468" s="7">
        <f t="shared" si="1459"/>
        <v>93</v>
      </c>
      <c r="Z468" s="7">
        <f>VLOOKUP(A468,Jogos!A:L,3,0)</f>
        <v>51</v>
      </c>
      <c r="AA468" s="7">
        <f t="shared" si="7"/>
        <v>51</v>
      </c>
      <c r="AB468" s="7">
        <f>VLOOKUP(A468,Jogos!A:L,4,0)</f>
        <v>48</v>
      </c>
      <c r="AC468" s="7">
        <f t="shared" si="657"/>
        <v>48</v>
      </c>
      <c r="AD468" s="7"/>
      <c r="AE468" s="7"/>
      <c r="AF468" s="7">
        <f t="shared" si="9"/>
        <v>99</v>
      </c>
      <c r="AG468" s="7">
        <v>11825.2</v>
      </c>
      <c r="AH468" s="7">
        <v>4231.1</v>
      </c>
      <c r="AI468" s="7">
        <v>4570.8</v>
      </c>
      <c r="AJ468" s="7">
        <v>2267.8</v>
      </c>
      <c r="AK468" s="7">
        <v>659.0</v>
      </c>
      <c r="AL468" s="7">
        <v>96.6</v>
      </c>
      <c r="AM468" s="7">
        <v>191.0</v>
      </c>
      <c r="AN468" s="7">
        <v>48.0</v>
      </c>
      <c r="AO468" s="7">
        <v>28.7</v>
      </c>
      <c r="AP468" s="9">
        <f t="shared" ref="AP468:AR468" si="1460">AG468/$AF468</f>
        <v>119.4464646</v>
      </c>
      <c r="AQ468" s="9">
        <f t="shared" si="1460"/>
        <v>42.73838384</v>
      </c>
      <c r="AR468" s="9">
        <f t="shared" si="1460"/>
        <v>46.16969697</v>
      </c>
      <c r="AS468" s="9">
        <f t="shared" si="11"/>
        <v>88.90808081</v>
      </c>
      <c r="AT468" s="9">
        <f t="shared" ref="AT468:AV468" si="1461">AJ468/$AF468</f>
        <v>22.90707071</v>
      </c>
      <c r="AU468" s="9">
        <f t="shared" si="1461"/>
        <v>6.656565657</v>
      </c>
      <c r="AV468" s="9">
        <f t="shared" si="1461"/>
        <v>0.9757575758</v>
      </c>
      <c r="AW468" s="9">
        <f t="shared" si="13"/>
        <v>7.632323232</v>
      </c>
      <c r="AX468" s="9">
        <f t="shared" ref="AX468:AY468" si="1462">AM468/$AF468</f>
        <v>1.929292929</v>
      </c>
      <c r="AY468" s="9">
        <f t="shared" si="1462"/>
        <v>0.4848484848</v>
      </c>
      <c r="AZ468" s="9">
        <f>VLOOKUP(A468,Jogos!A:BN,58,0)</f>
        <v>25.475</v>
      </c>
      <c r="BA468" s="9">
        <f>VLOOKUP(A468,Jogos!A:BN,59,0)</f>
        <v>23.695</v>
      </c>
      <c r="BB468" s="9">
        <f>VLOOKUP(A468,Jogos!A:BN,60,0)</f>
        <v>89.5</v>
      </c>
      <c r="BC468" s="9">
        <f>VLOOKUP(A468,Jogos!A:BN,61,0)</f>
        <v>23.645</v>
      </c>
      <c r="BD468" s="9">
        <f>VLOOKUP(A468,Jogos!A:BN,62,0)</f>
        <v>0</v>
      </c>
      <c r="BE468" s="9">
        <f>VLOOKUP(A468,Jogos!A:BN,63,0)</f>
        <v>1.88</v>
      </c>
      <c r="BF468" s="9">
        <f>VLOOKUP(A468,Jogos!A:BN,64,0)</f>
        <v>23.835</v>
      </c>
      <c r="BG468" s="9">
        <f>VLOOKUP(A468,Jogos!A:BN,65,0)</f>
        <v>40.61</v>
      </c>
      <c r="BH468" s="9">
        <f>VLOOKUP(A468,Jogos!A:BN,66,0)</f>
        <v>27.355</v>
      </c>
      <c r="BI468" s="9"/>
    </row>
    <row r="469" hidden="1">
      <c r="A469" s="10">
        <v>16.0</v>
      </c>
      <c r="B469" s="11" t="s">
        <v>809</v>
      </c>
      <c r="C469" s="2" t="s">
        <v>61</v>
      </c>
      <c r="D469" s="12">
        <v>45826.0</v>
      </c>
      <c r="E469" s="13">
        <v>0.875</v>
      </c>
      <c r="F469" s="5" t="str">
        <f>VLOOKUP(A469,Jogos!A:N,10,0)</f>
        <v>Evening</v>
      </c>
      <c r="G469" s="11" t="s">
        <v>997</v>
      </c>
      <c r="H469" s="6" t="str">
        <f>VLOOKUP(A469,Jogos!A:L,12,0)</f>
        <v>Open</v>
      </c>
      <c r="I469" s="6" t="str">
        <f>VLOOKUP(G469,'Estádios e Cidades'!A:B,2,0)</f>
        <v>Washington, D.C.</v>
      </c>
      <c r="J469" s="11" t="s">
        <v>999</v>
      </c>
      <c r="K469" s="2" t="str">
        <f>VLOOKUP(J469,Equipes!A:F,6,0)</f>
        <v>Temperate</v>
      </c>
      <c r="L469" s="2">
        <f>VLOOKUP(J469,Equipes!A:C,3,0)</f>
        <v>13</v>
      </c>
      <c r="M469" s="2" t="str">
        <f t="shared" si="4"/>
        <v>Round of 16</v>
      </c>
      <c r="N469" s="11" t="s">
        <v>998</v>
      </c>
      <c r="O469" s="2">
        <f>VLOOKUP(N469,Equipes!A:C,3,0)</f>
        <v>22</v>
      </c>
      <c r="P469" s="2" t="str">
        <f t="shared" si="5"/>
        <v>Group</v>
      </c>
      <c r="Q469" s="2">
        <f t="shared" si="6"/>
        <v>-9</v>
      </c>
      <c r="R469" s="2" t="str">
        <f>VLOOKUP(J469,Equipes!A:B,2,0)</f>
        <v>Juventus</v>
      </c>
      <c r="S469" s="6" t="s">
        <v>1042</v>
      </c>
      <c r="T469" s="7">
        <v>19.0</v>
      </c>
      <c r="U469" s="7" t="s">
        <v>1043</v>
      </c>
      <c r="V469" s="7" t="str">
        <f>VLOOKUP(U469,Jogadores!B:C,2,0)</f>
        <v>MF</v>
      </c>
      <c r="W469" s="8">
        <f>VLOOKUP(U469,Jogadores!B:D,3,0)</f>
        <v>24.35616438</v>
      </c>
      <c r="X469" s="7">
        <v>0.0</v>
      </c>
      <c r="Y469" s="7">
        <v>45.0</v>
      </c>
      <c r="Z469" s="7">
        <f>VLOOKUP(A469,Jogos!A:L,3,0)</f>
        <v>51</v>
      </c>
      <c r="AA469" s="7">
        <f t="shared" si="7"/>
        <v>51</v>
      </c>
      <c r="AB469" s="7">
        <f>VLOOKUP(A469,Jogos!A:L,4,0)</f>
        <v>48</v>
      </c>
      <c r="AC469" s="7">
        <f t="shared" si="657"/>
        <v>0</v>
      </c>
      <c r="AD469" s="7"/>
      <c r="AE469" s="7"/>
      <c r="AF469" s="7">
        <f t="shared" si="9"/>
        <v>51</v>
      </c>
      <c r="AG469" s="7">
        <v>6043.6</v>
      </c>
      <c r="AH469" s="7">
        <v>1977.9</v>
      </c>
      <c r="AI469" s="7">
        <v>2585.9</v>
      </c>
      <c r="AJ469" s="7">
        <v>1100.7</v>
      </c>
      <c r="AK469" s="7">
        <v>304.8</v>
      </c>
      <c r="AL469" s="7">
        <v>74.3</v>
      </c>
      <c r="AM469" s="7">
        <v>91.0</v>
      </c>
      <c r="AN469" s="7">
        <v>21.0</v>
      </c>
      <c r="AO469" s="7">
        <v>29.3</v>
      </c>
      <c r="AP469" s="9">
        <f t="shared" ref="AP469:AR469" si="1463">AG469/$AF469</f>
        <v>118.5019608</v>
      </c>
      <c r="AQ469" s="9">
        <f t="shared" si="1463"/>
        <v>38.78235294</v>
      </c>
      <c r="AR469" s="9">
        <f t="shared" si="1463"/>
        <v>50.70392157</v>
      </c>
      <c r="AS469" s="9">
        <f t="shared" si="11"/>
        <v>89.48627451</v>
      </c>
      <c r="AT469" s="9">
        <f t="shared" ref="AT469:AV469" si="1464">AJ469/$AF469</f>
        <v>21.58235294</v>
      </c>
      <c r="AU469" s="9">
        <f t="shared" si="1464"/>
        <v>5.976470588</v>
      </c>
      <c r="AV469" s="9">
        <f t="shared" si="1464"/>
        <v>1.456862745</v>
      </c>
      <c r="AW469" s="9">
        <f t="shared" si="13"/>
        <v>7.433333333</v>
      </c>
      <c r="AX469" s="9">
        <f t="shared" ref="AX469:AY469" si="1465">AM469/$AF469</f>
        <v>1.784313725</v>
      </c>
      <c r="AY469" s="9">
        <f t="shared" si="1465"/>
        <v>0.4117647059</v>
      </c>
      <c r="AZ469" s="9">
        <f>VLOOKUP(A469,Jogos!A:BN,58,0)</f>
        <v>25.475</v>
      </c>
      <c r="BA469" s="9">
        <f>VLOOKUP(A469,Jogos!A:BN,59,0)</f>
        <v>23.695</v>
      </c>
      <c r="BB469" s="9">
        <f>VLOOKUP(A469,Jogos!A:BN,60,0)</f>
        <v>89.5</v>
      </c>
      <c r="BC469" s="9">
        <f>VLOOKUP(A469,Jogos!A:BN,61,0)</f>
        <v>23.645</v>
      </c>
      <c r="BD469" s="9">
        <f>VLOOKUP(A469,Jogos!A:BN,62,0)</f>
        <v>0</v>
      </c>
      <c r="BE469" s="9">
        <f>VLOOKUP(A469,Jogos!A:BN,63,0)</f>
        <v>1.88</v>
      </c>
      <c r="BF469" s="9">
        <f>VLOOKUP(A469,Jogos!A:BN,64,0)</f>
        <v>23.835</v>
      </c>
      <c r="BG469" s="9">
        <f>VLOOKUP(A469,Jogos!A:BN,65,0)</f>
        <v>40.61</v>
      </c>
      <c r="BH469" s="9">
        <f>VLOOKUP(A469,Jogos!A:BN,66,0)</f>
        <v>27.355</v>
      </c>
      <c r="BI469" s="9"/>
    </row>
    <row r="470" hidden="1">
      <c r="A470" s="10">
        <v>16.0</v>
      </c>
      <c r="B470" s="11" t="s">
        <v>809</v>
      </c>
      <c r="C470" s="2" t="s">
        <v>61</v>
      </c>
      <c r="D470" s="12">
        <v>45826.0</v>
      </c>
      <c r="E470" s="13">
        <v>0.875</v>
      </c>
      <c r="F470" s="5" t="str">
        <f>VLOOKUP(A470,Jogos!A:N,10,0)</f>
        <v>Evening</v>
      </c>
      <c r="G470" s="11" t="s">
        <v>997</v>
      </c>
      <c r="H470" s="6" t="str">
        <f>VLOOKUP(A470,Jogos!A:L,12,0)</f>
        <v>Open</v>
      </c>
      <c r="I470" s="6" t="str">
        <f>VLOOKUP(G470,'Estádios e Cidades'!A:B,2,0)</f>
        <v>Washington, D.C.</v>
      </c>
      <c r="J470" s="11" t="s">
        <v>999</v>
      </c>
      <c r="K470" s="2" t="str">
        <f>VLOOKUP(J470,Equipes!A:F,6,0)</f>
        <v>Temperate</v>
      </c>
      <c r="L470" s="2">
        <f>VLOOKUP(J470,Equipes!A:C,3,0)</f>
        <v>13</v>
      </c>
      <c r="M470" s="2" t="str">
        <f t="shared" si="4"/>
        <v>Round of 16</v>
      </c>
      <c r="N470" s="11" t="s">
        <v>998</v>
      </c>
      <c r="O470" s="2">
        <f>VLOOKUP(N470,Equipes!A:C,3,0)</f>
        <v>22</v>
      </c>
      <c r="P470" s="2" t="str">
        <f t="shared" si="5"/>
        <v>Group</v>
      </c>
      <c r="Q470" s="2">
        <f t="shared" si="6"/>
        <v>-9</v>
      </c>
      <c r="R470" s="2" t="str">
        <f>VLOOKUP(J470,Equipes!A:B,2,0)</f>
        <v>Juventus</v>
      </c>
      <c r="S470" s="6" t="s">
        <v>1044</v>
      </c>
      <c r="T470" s="7">
        <v>20.0</v>
      </c>
      <c r="U470" s="7" t="s">
        <v>1045</v>
      </c>
      <c r="V470" s="7" t="str">
        <f>VLOOKUP(U470,Jogadores!B:C,2,0)</f>
        <v>FW</v>
      </c>
      <c r="W470" s="8">
        <f>VLOOKUP(U470,Jogadores!B:D,3,0)</f>
        <v>26.6630137</v>
      </c>
      <c r="X470" s="7">
        <v>0.0</v>
      </c>
      <c r="Y470" s="7">
        <v>71.0</v>
      </c>
      <c r="Z470" s="7">
        <f>VLOOKUP(A470,Jogos!A:L,3,0)</f>
        <v>51</v>
      </c>
      <c r="AA470" s="7">
        <f t="shared" si="7"/>
        <v>51</v>
      </c>
      <c r="AB470" s="7">
        <f>VLOOKUP(A470,Jogos!A:L,4,0)</f>
        <v>48</v>
      </c>
      <c r="AC470" s="7">
        <f t="shared" si="657"/>
        <v>26</v>
      </c>
      <c r="AD470" s="7"/>
      <c r="AE470" s="7"/>
      <c r="AF470" s="7">
        <f t="shared" si="9"/>
        <v>77</v>
      </c>
      <c r="AG470" s="7">
        <v>8112.0</v>
      </c>
      <c r="AH470" s="7">
        <v>3039.8</v>
      </c>
      <c r="AI470" s="7">
        <v>3262.2</v>
      </c>
      <c r="AJ470" s="7">
        <v>945.7</v>
      </c>
      <c r="AK470" s="7">
        <v>501.5</v>
      </c>
      <c r="AL470" s="7">
        <v>362.9</v>
      </c>
      <c r="AM470" s="7">
        <v>79.0</v>
      </c>
      <c r="AN470" s="7">
        <v>47.0</v>
      </c>
      <c r="AO470" s="7">
        <v>34.1</v>
      </c>
      <c r="AP470" s="9">
        <f t="shared" ref="AP470:AR470" si="1466">AG470/$AF470</f>
        <v>105.3506494</v>
      </c>
      <c r="AQ470" s="9">
        <f t="shared" si="1466"/>
        <v>39.47792208</v>
      </c>
      <c r="AR470" s="9">
        <f t="shared" si="1466"/>
        <v>42.36623377</v>
      </c>
      <c r="AS470" s="9">
        <f t="shared" si="11"/>
        <v>81.84415584</v>
      </c>
      <c r="AT470" s="9">
        <f t="shared" ref="AT470:AV470" si="1467">AJ470/$AF470</f>
        <v>12.28181818</v>
      </c>
      <c r="AU470" s="9">
        <f t="shared" si="1467"/>
        <v>6.512987013</v>
      </c>
      <c r="AV470" s="9">
        <f t="shared" si="1467"/>
        <v>4.712987013</v>
      </c>
      <c r="AW470" s="9">
        <f t="shared" si="13"/>
        <v>11.22597403</v>
      </c>
      <c r="AX470" s="9">
        <f t="shared" ref="AX470:AY470" si="1468">AM470/$AF470</f>
        <v>1.025974026</v>
      </c>
      <c r="AY470" s="9">
        <f t="shared" si="1468"/>
        <v>0.6103896104</v>
      </c>
      <c r="AZ470" s="9">
        <f>VLOOKUP(A470,Jogos!A:BN,58,0)</f>
        <v>25.475</v>
      </c>
      <c r="BA470" s="9">
        <f>VLOOKUP(A470,Jogos!A:BN,59,0)</f>
        <v>23.695</v>
      </c>
      <c r="BB470" s="9">
        <f>VLOOKUP(A470,Jogos!A:BN,60,0)</f>
        <v>89.5</v>
      </c>
      <c r="BC470" s="9">
        <f>VLOOKUP(A470,Jogos!A:BN,61,0)</f>
        <v>23.645</v>
      </c>
      <c r="BD470" s="9">
        <f>VLOOKUP(A470,Jogos!A:BN,62,0)</f>
        <v>0</v>
      </c>
      <c r="BE470" s="9">
        <f>VLOOKUP(A470,Jogos!A:BN,63,0)</f>
        <v>1.88</v>
      </c>
      <c r="BF470" s="9">
        <f>VLOOKUP(A470,Jogos!A:BN,64,0)</f>
        <v>23.835</v>
      </c>
      <c r="BG470" s="9">
        <f>VLOOKUP(A470,Jogos!A:BN,65,0)</f>
        <v>40.61</v>
      </c>
      <c r="BH470" s="9">
        <f>VLOOKUP(A470,Jogos!A:BN,66,0)</f>
        <v>27.355</v>
      </c>
      <c r="BI470" s="9"/>
    </row>
    <row r="471" hidden="1">
      <c r="A471" s="10">
        <v>16.0</v>
      </c>
      <c r="B471" s="11" t="s">
        <v>809</v>
      </c>
      <c r="C471" s="2" t="s">
        <v>61</v>
      </c>
      <c r="D471" s="12">
        <v>45826.0</v>
      </c>
      <c r="E471" s="13">
        <v>0.875</v>
      </c>
      <c r="F471" s="5" t="str">
        <f>VLOOKUP(A471,Jogos!A:N,10,0)</f>
        <v>Evening</v>
      </c>
      <c r="G471" s="11" t="s">
        <v>997</v>
      </c>
      <c r="H471" s="6" t="str">
        <f>VLOOKUP(A471,Jogos!A:L,12,0)</f>
        <v>Open</v>
      </c>
      <c r="I471" s="6" t="str">
        <f>VLOOKUP(G471,'Estádios e Cidades'!A:B,2,0)</f>
        <v>Washington, D.C.</v>
      </c>
      <c r="J471" s="11" t="s">
        <v>999</v>
      </c>
      <c r="K471" s="2" t="str">
        <f>VLOOKUP(J471,Equipes!A:F,6,0)</f>
        <v>Temperate</v>
      </c>
      <c r="L471" s="2">
        <f>VLOOKUP(J471,Equipes!A:C,3,0)</f>
        <v>13</v>
      </c>
      <c r="M471" s="2" t="str">
        <f t="shared" si="4"/>
        <v>Round of 16</v>
      </c>
      <c r="N471" s="11" t="s">
        <v>998</v>
      </c>
      <c r="O471" s="2">
        <f>VLOOKUP(N471,Equipes!A:C,3,0)</f>
        <v>22</v>
      </c>
      <c r="P471" s="2" t="str">
        <f t="shared" si="5"/>
        <v>Group</v>
      </c>
      <c r="Q471" s="2">
        <f t="shared" si="6"/>
        <v>-9</v>
      </c>
      <c r="R471" s="2" t="str">
        <f>VLOOKUP(J471,Equipes!A:B,2,0)</f>
        <v>Juventus</v>
      </c>
      <c r="S471" s="6" t="s">
        <v>1046</v>
      </c>
      <c r="T471" s="7">
        <v>27.0</v>
      </c>
      <c r="U471" s="7" t="s">
        <v>1047</v>
      </c>
      <c r="V471" s="7" t="str">
        <f>VLOOKUP(U471,Jogadores!B:C,2,0)</f>
        <v>DF</v>
      </c>
      <c r="W471" s="8">
        <f>VLOOKUP(U471,Jogadores!B:D,3,0)</f>
        <v>25.45205479</v>
      </c>
      <c r="X471" s="7">
        <v>0.0</v>
      </c>
      <c r="Y471" s="7">
        <v>45.0</v>
      </c>
      <c r="Z471" s="7">
        <f>VLOOKUP(A471,Jogos!A:L,3,0)</f>
        <v>51</v>
      </c>
      <c r="AA471" s="7">
        <f t="shared" si="7"/>
        <v>51</v>
      </c>
      <c r="AB471" s="7">
        <f>VLOOKUP(A471,Jogos!A:L,4,0)</f>
        <v>48</v>
      </c>
      <c r="AC471" s="7">
        <f t="shared" si="657"/>
        <v>0</v>
      </c>
      <c r="AD471" s="7"/>
      <c r="AE471" s="7"/>
      <c r="AF471" s="7">
        <f t="shared" si="9"/>
        <v>51</v>
      </c>
      <c r="AG471" s="7">
        <v>5986.9</v>
      </c>
      <c r="AH471" s="7">
        <v>2058.3</v>
      </c>
      <c r="AI471" s="7">
        <v>2595.5</v>
      </c>
      <c r="AJ471" s="7">
        <v>826.7</v>
      </c>
      <c r="AK471" s="7">
        <v>385.1</v>
      </c>
      <c r="AL471" s="7">
        <v>121.3</v>
      </c>
      <c r="AM471" s="7">
        <v>75.0</v>
      </c>
      <c r="AN471" s="7">
        <v>31.0</v>
      </c>
      <c r="AO471" s="7">
        <v>32.4</v>
      </c>
      <c r="AP471" s="9">
        <f t="shared" ref="AP471:AR471" si="1469">AG471/$AF471</f>
        <v>117.3901961</v>
      </c>
      <c r="AQ471" s="9">
        <f t="shared" si="1469"/>
        <v>40.35882353</v>
      </c>
      <c r="AR471" s="9">
        <f t="shared" si="1469"/>
        <v>50.89215686</v>
      </c>
      <c r="AS471" s="9">
        <f t="shared" si="11"/>
        <v>91.25098039</v>
      </c>
      <c r="AT471" s="9">
        <f t="shared" ref="AT471:AV471" si="1470">AJ471/$AF471</f>
        <v>16.20980392</v>
      </c>
      <c r="AU471" s="9">
        <f t="shared" si="1470"/>
        <v>7.550980392</v>
      </c>
      <c r="AV471" s="9">
        <f t="shared" si="1470"/>
        <v>2.378431373</v>
      </c>
      <c r="AW471" s="9">
        <f t="shared" si="13"/>
        <v>9.929411765</v>
      </c>
      <c r="AX471" s="9">
        <f t="shared" ref="AX471:AY471" si="1471">AM471/$AF471</f>
        <v>1.470588235</v>
      </c>
      <c r="AY471" s="9">
        <f t="shared" si="1471"/>
        <v>0.6078431373</v>
      </c>
      <c r="AZ471" s="9">
        <f>VLOOKUP(A471,Jogos!A:BN,58,0)</f>
        <v>25.475</v>
      </c>
      <c r="BA471" s="9">
        <f>VLOOKUP(A471,Jogos!A:BN,59,0)</f>
        <v>23.695</v>
      </c>
      <c r="BB471" s="9">
        <f>VLOOKUP(A471,Jogos!A:BN,60,0)</f>
        <v>89.5</v>
      </c>
      <c r="BC471" s="9">
        <f>VLOOKUP(A471,Jogos!A:BN,61,0)</f>
        <v>23.645</v>
      </c>
      <c r="BD471" s="9">
        <f>VLOOKUP(A471,Jogos!A:BN,62,0)</f>
        <v>0</v>
      </c>
      <c r="BE471" s="9">
        <f>VLOOKUP(A471,Jogos!A:BN,63,0)</f>
        <v>1.88</v>
      </c>
      <c r="BF471" s="9">
        <f>VLOOKUP(A471,Jogos!A:BN,64,0)</f>
        <v>23.835</v>
      </c>
      <c r="BG471" s="9">
        <f>VLOOKUP(A471,Jogos!A:BN,65,0)</f>
        <v>40.61</v>
      </c>
      <c r="BH471" s="9">
        <f>VLOOKUP(A471,Jogos!A:BN,66,0)</f>
        <v>27.355</v>
      </c>
      <c r="BI471" s="9"/>
    </row>
    <row r="472" hidden="1">
      <c r="A472" s="10">
        <v>16.0</v>
      </c>
      <c r="B472" s="11" t="s">
        <v>809</v>
      </c>
      <c r="C472" s="2" t="s">
        <v>61</v>
      </c>
      <c r="D472" s="12">
        <v>45826.0</v>
      </c>
      <c r="E472" s="13">
        <v>0.875</v>
      </c>
      <c r="F472" s="5" t="str">
        <f>VLOOKUP(A472,Jogos!A:N,10,0)</f>
        <v>Evening</v>
      </c>
      <c r="G472" s="11" t="s">
        <v>997</v>
      </c>
      <c r="H472" s="6" t="str">
        <f>VLOOKUP(A472,Jogos!A:L,12,0)</f>
        <v>Open</v>
      </c>
      <c r="I472" s="6" t="str">
        <f>VLOOKUP(G472,'Estádios e Cidades'!A:B,2,0)</f>
        <v>Washington, D.C.</v>
      </c>
      <c r="J472" s="11" t="s">
        <v>999</v>
      </c>
      <c r="K472" s="2" t="str">
        <f>VLOOKUP(J472,Equipes!A:F,6,0)</f>
        <v>Temperate</v>
      </c>
      <c r="L472" s="2">
        <f>VLOOKUP(J472,Equipes!A:C,3,0)</f>
        <v>13</v>
      </c>
      <c r="M472" s="2" t="str">
        <f t="shared" si="4"/>
        <v>Round of 16</v>
      </c>
      <c r="N472" s="11" t="s">
        <v>998</v>
      </c>
      <c r="O472" s="2">
        <f>VLOOKUP(N472,Equipes!A:C,3,0)</f>
        <v>22</v>
      </c>
      <c r="P472" s="2" t="str">
        <f t="shared" si="5"/>
        <v>Group</v>
      </c>
      <c r="Q472" s="2">
        <f t="shared" si="6"/>
        <v>-9</v>
      </c>
      <c r="R472" s="2" t="str">
        <f>VLOOKUP(J472,Equipes!A:B,2,0)</f>
        <v>Juventus</v>
      </c>
      <c r="S472" s="6" t="s">
        <v>1048</v>
      </c>
      <c r="T472" s="7">
        <v>37.0</v>
      </c>
      <c r="U472" s="7" t="s">
        <v>1049</v>
      </c>
      <c r="V472" s="7" t="str">
        <f>VLOOKUP(U472,Jogadores!B:C,2,0)</f>
        <v>DF</v>
      </c>
      <c r="W472" s="8">
        <f>VLOOKUP(U472,Jogadores!B:D,3,0)</f>
        <v>22.37534247</v>
      </c>
      <c r="X472" s="7">
        <v>0.0</v>
      </c>
      <c r="Y472" s="7">
        <v>71.0</v>
      </c>
      <c r="Z472" s="7">
        <f>VLOOKUP(A472,Jogos!A:L,3,0)</f>
        <v>51</v>
      </c>
      <c r="AA472" s="7">
        <f t="shared" si="7"/>
        <v>51</v>
      </c>
      <c r="AB472" s="7">
        <f>VLOOKUP(A472,Jogos!A:L,4,0)</f>
        <v>48</v>
      </c>
      <c r="AC472" s="7">
        <f t="shared" si="657"/>
        <v>26</v>
      </c>
      <c r="AD472" s="7"/>
      <c r="AE472" s="7"/>
      <c r="AF472" s="7">
        <f t="shared" si="9"/>
        <v>77</v>
      </c>
      <c r="AG472" s="7">
        <v>8038.1</v>
      </c>
      <c r="AH472" s="7">
        <v>3170.2</v>
      </c>
      <c r="AI472" s="7">
        <v>3424.0</v>
      </c>
      <c r="AJ472" s="7">
        <v>900.7</v>
      </c>
      <c r="AK472" s="7">
        <v>338.6</v>
      </c>
      <c r="AL472" s="7">
        <v>204.7</v>
      </c>
      <c r="AM472" s="7">
        <v>86.0</v>
      </c>
      <c r="AN472" s="7">
        <v>30.0</v>
      </c>
      <c r="AO472" s="7">
        <v>31.9</v>
      </c>
      <c r="AP472" s="9">
        <f t="shared" ref="AP472:AR472" si="1472">AG472/$AF472</f>
        <v>104.3909091</v>
      </c>
      <c r="AQ472" s="9">
        <f t="shared" si="1472"/>
        <v>41.17142857</v>
      </c>
      <c r="AR472" s="9">
        <f t="shared" si="1472"/>
        <v>44.46753247</v>
      </c>
      <c r="AS472" s="9">
        <f t="shared" si="11"/>
        <v>85.63896104</v>
      </c>
      <c r="AT472" s="9">
        <f t="shared" ref="AT472:AV472" si="1473">AJ472/$AF472</f>
        <v>11.6974026</v>
      </c>
      <c r="AU472" s="9">
        <f t="shared" si="1473"/>
        <v>4.397402597</v>
      </c>
      <c r="AV472" s="9">
        <f t="shared" si="1473"/>
        <v>2.658441558</v>
      </c>
      <c r="AW472" s="9">
        <f t="shared" si="13"/>
        <v>7.055844156</v>
      </c>
      <c r="AX472" s="9">
        <f t="shared" ref="AX472:AY472" si="1474">AM472/$AF472</f>
        <v>1.116883117</v>
      </c>
      <c r="AY472" s="9">
        <f t="shared" si="1474"/>
        <v>0.3896103896</v>
      </c>
      <c r="AZ472" s="9">
        <f>VLOOKUP(A472,Jogos!A:BN,58,0)</f>
        <v>25.475</v>
      </c>
      <c r="BA472" s="9">
        <f>VLOOKUP(A472,Jogos!A:BN,59,0)</f>
        <v>23.695</v>
      </c>
      <c r="BB472" s="9">
        <f>VLOOKUP(A472,Jogos!A:BN,60,0)</f>
        <v>89.5</v>
      </c>
      <c r="BC472" s="9">
        <f>VLOOKUP(A472,Jogos!A:BN,61,0)</f>
        <v>23.645</v>
      </c>
      <c r="BD472" s="9">
        <f>VLOOKUP(A472,Jogos!A:BN,62,0)</f>
        <v>0</v>
      </c>
      <c r="BE472" s="9">
        <f>VLOOKUP(A472,Jogos!A:BN,63,0)</f>
        <v>1.88</v>
      </c>
      <c r="BF472" s="9">
        <f>VLOOKUP(A472,Jogos!A:BN,64,0)</f>
        <v>23.835</v>
      </c>
      <c r="BG472" s="9">
        <f>VLOOKUP(A472,Jogos!A:BN,65,0)</f>
        <v>40.61</v>
      </c>
      <c r="BH472" s="9">
        <f>VLOOKUP(A472,Jogos!A:BN,66,0)</f>
        <v>27.355</v>
      </c>
      <c r="BI472" s="9"/>
    </row>
    <row r="473" hidden="1">
      <c r="A473" s="10">
        <v>16.0</v>
      </c>
      <c r="B473" s="11" t="s">
        <v>809</v>
      </c>
      <c r="C473" s="2" t="s">
        <v>61</v>
      </c>
      <c r="D473" s="12">
        <v>45826.0</v>
      </c>
      <c r="E473" s="13">
        <v>0.875</v>
      </c>
      <c r="F473" s="5" t="str">
        <f>VLOOKUP(A473,Jogos!A:N,10,0)</f>
        <v>Evening</v>
      </c>
      <c r="G473" s="11" t="s">
        <v>997</v>
      </c>
      <c r="H473" s="6" t="str">
        <f>VLOOKUP(A473,Jogos!A:L,12,0)</f>
        <v>Open</v>
      </c>
      <c r="I473" s="6" t="str">
        <f>VLOOKUP(G473,'Estádios e Cidades'!A:B,2,0)</f>
        <v>Washington, D.C.</v>
      </c>
      <c r="J473" s="11" t="s">
        <v>999</v>
      </c>
      <c r="K473" s="2" t="str">
        <f>VLOOKUP(J473,Equipes!A:F,6,0)</f>
        <v>Temperate</v>
      </c>
      <c r="L473" s="2">
        <f>VLOOKUP(J473,Equipes!A:C,3,0)</f>
        <v>13</v>
      </c>
      <c r="M473" s="2" t="str">
        <f t="shared" si="4"/>
        <v>Round of 16</v>
      </c>
      <c r="N473" s="11" t="s">
        <v>998</v>
      </c>
      <c r="O473" s="2">
        <f>VLOOKUP(N473,Equipes!A:C,3,0)</f>
        <v>22</v>
      </c>
      <c r="P473" s="2" t="str">
        <f t="shared" si="5"/>
        <v>Group</v>
      </c>
      <c r="Q473" s="2">
        <f t="shared" si="6"/>
        <v>-9</v>
      </c>
      <c r="R473" s="2" t="str">
        <f>VLOOKUP(J473,Equipes!A:B,2,0)</f>
        <v>Juventus</v>
      </c>
      <c r="S473" s="6" t="s">
        <v>1050</v>
      </c>
      <c r="T473" s="7">
        <v>4.0</v>
      </c>
      <c r="U473" s="7" t="s">
        <v>1051</v>
      </c>
      <c r="V473" s="7" t="str">
        <f>VLOOKUP(U473,Jogadores!B:C,2,0)</f>
        <v>DF</v>
      </c>
      <c r="W473" s="8">
        <f>VLOOKUP(U473,Jogadores!B:D,3,0)</f>
        <v>27.11232877</v>
      </c>
      <c r="X473" s="7">
        <v>71.0</v>
      </c>
      <c r="Y473" s="7">
        <f t="shared" ref="Y473:Y478" si="1478">45+AB473</f>
        <v>93</v>
      </c>
      <c r="Z473" s="7">
        <f>VLOOKUP(A473,Jogos!A:L,3,0)</f>
        <v>51</v>
      </c>
      <c r="AA473" s="7">
        <f t="shared" si="7"/>
        <v>0</v>
      </c>
      <c r="AB473" s="7">
        <f>VLOOKUP(A473,Jogos!A:L,4,0)</f>
        <v>48</v>
      </c>
      <c r="AC473" s="7">
        <f t="shared" si="657"/>
        <v>22</v>
      </c>
      <c r="AD473" s="7"/>
      <c r="AE473" s="7"/>
      <c r="AF473" s="7">
        <f t="shared" si="9"/>
        <v>22</v>
      </c>
      <c r="AG473" s="7">
        <v>2578.9</v>
      </c>
      <c r="AH473" s="7">
        <v>920.7</v>
      </c>
      <c r="AI473" s="7">
        <v>1190.3</v>
      </c>
      <c r="AJ473" s="7">
        <v>300.7</v>
      </c>
      <c r="AK473" s="7">
        <v>114.3</v>
      </c>
      <c r="AL473" s="7">
        <v>52.9</v>
      </c>
      <c r="AM473" s="7">
        <v>27.0</v>
      </c>
      <c r="AN473" s="7">
        <v>10.0</v>
      </c>
      <c r="AO473" s="7">
        <v>29.5</v>
      </c>
      <c r="AP473" s="9">
        <f t="shared" ref="AP473:AR473" si="1475">AG473/$AF473</f>
        <v>117.2227273</v>
      </c>
      <c r="AQ473" s="9">
        <f t="shared" si="1475"/>
        <v>41.85</v>
      </c>
      <c r="AR473" s="9">
        <f t="shared" si="1475"/>
        <v>54.10454545</v>
      </c>
      <c r="AS473" s="9">
        <f t="shared" si="11"/>
        <v>95.95454545</v>
      </c>
      <c r="AT473" s="9">
        <f t="shared" ref="AT473:AV473" si="1476">AJ473/$AF473</f>
        <v>13.66818182</v>
      </c>
      <c r="AU473" s="9">
        <f t="shared" si="1476"/>
        <v>5.195454545</v>
      </c>
      <c r="AV473" s="9">
        <f t="shared" si="1476"/>
        <v>2.404545455</v>
      </c>
      <c r="AW473" s="9">
        <f t="shared" si="13"/>
        <v>7.6</v>
      </c>
      <c r="AX473" s="9">
        <f t="shared" ref="AX473:AY473" si="1477">AM473/$AF473</f>
        <v>1.227272727</v>
      </c>
      <c r="AY473" s="9">
        <f t="shared" si="1477"/>
        <v>0.4545454545</v>
      </c>
      <c r="AZ473" s="9">
        <f>VLOOKUP(A473,Jogos!A:BN,58,0)</f>
        <v>25.475</v>
      </c>
      <c r="BA473" s="9">
        <f>VLOOKUP(A473,Jogos!A:BN,59,0)</f>
        <v>23.695</v>
      </c>
      <c r="BB473" s="9">
        <f>VLOOKUP(A473,Jogos!A:BN,60,0)</f>
        <v>89.5</v>
      </c>
      <c r="BC473" s="9">
        <f>VLOOKUP(A473,Jogos!A:BN,61,0)</f>
        <v>23.645</v>
      </c>
      <c r="BD473" s="9">
        <f>VLOOKUP(A473,Jogos!A:BN,62,0)</f>
        <v>0</v>
      </c>
      <c r="BE473" s="9">
        <f>VLOOKUP(A473,Jogos!A:BN,63,0)</f>
        <v>1.88</v>
      </c>
      <c r="BF473" s="9">
        <f>VLOOKUP(A473,Jogos!A:BN,64,0)</f>
        <v>23.835</v>
      </c>
      <c r="BG473" s="9">
        <f>VLOOKUP(A473,Jogos!A:BN,65,0)</f>
        <v>40.61</v>
      </c>
      <c r="BH473" s="9">
        <f>VLOOKUP(A473,Jogos!A:BN,66,0)</f>
        <v>27.355</v>
      </c>
      <c r="BI473" s="9"/>
    </row>
    <row r="474" hidden="1">
      <c r="A474" s="10">
        <v>16.0</v>
      </c>
      <c r="B474" s="11" t="s">
        <v>809</v>
      </c>
      <c r="C474" s="2" t="s">
        <v>61</v>
      </c>
      <c r="D474" s="12">
        <v>45826.0</v>
      </c>
      <c r="E474" s="13">
        <v>0.875</v>
      </c>
      <c r="F474" s="5" t="str">
        <f>VLOOKUP(A474,Jogos!A:N,10,0)</f>
        <v>Evening</v>
      </c>
      <c r="G474" s="11" t="s">
        <v>997</v>
      </c>
      <c r="H474" s="6" t="str">
        <f>VLOOKUP(A474,Jogos!A:L,12,0)</f>
        <v>Open</v>
      </c>
      <c r="I474" s="6" t="str">
        <f>VLOOKUP(G474,'Estádios e Cidades'!A:B,2,0)</f>
        <v>Washington, D.C.</v>
      </c>
      <c r="J474" s="11" t="s">
        <v>999</v>
      </c>
      <c r="K474" s="2" t="str">
        <f>VLOOKUP(J474,Equipes!A:F,6,0)</f>
        <v>Temperate</v>
      </c>
      <c r="L474" s="2">
        <f>VLOOKUP(J474,Equipes!A:C,3,0)</f>
        <v>13</v>
      </c>
      <c r="M474" s="2" t="str">
        <f t="shared" si="4"/>
        <v>Round of 16</v>
      </c>
      <c r="N474" s="11" t="s">
        <v>998</v>
      </c>
      <c r="O474" s="2">
        <f>VLOOKUP(N474,Equipes!A:C,3,0)</f>
        <v>22</v>
      </c>
      <c r="P474" s="2" t="str">
        <f t="shared" si="5"/>
        <v>Group</v>
      </c>
      <c r="Q474" s="2">
        <f t="shared" si="6"/>
        <v>-9</v>
      </c>
      <c r="R474" s="2" t="str">
        <f>VLOOKUP(J474,Equipes!A:B,2,0)</f>
        <v>Juventus</v>
      </c>
      <c r="S474" s="6" t="s">
        <v>1052</v>
      </c>
      <c r="T474" s="7">
        <v>8.0</v>
      </c>
      <c r="U474" s="7" t="s">
        <v>1053</v>
      </c>
      <c r="V474" s="7" t="str">
        <f>VLOOKUP(U474,Jogadores!B:C,2,0)</f>
        <v>MF</v>
      </c>
      <c r="W474" s="8">
        <f>VLOOKUP(U474,Jogadores!B:D,3,0)</f>
        <v>27.43013699</v>
      </c>
      <c r="X474" s="7">
        <v>62.0</v>
      </c>
      <c r="Y474" s="7">
        <f t="shared" si="1478"/>
        <v>93</v>
      </c>
      <c r="Z474" s="7">
        <f>VLOOKUP(A474,Jogos!A:L,3,0)</f>
        <v>51</v>
      </c>
      <c r="AA474" s="7">
        <f t="shared" si="7"/>
        <v>0</v>
      </c>
      <c r="AB474" s="7">
        <f>VLOOKUP(A474,Jogos!A:L,4,0)</f>
        <v>48</v>
      </c>
      <c r="AC474" s="7">
        <f t="shared" si="657"/>
        <v>31</v>
      </c>
      <c r="AD474" s="7"/>
      <c r="AE474" s="7"/>
      <c r="AF474" s="7">
        <f t="shared" si="9"/>
        <v>31</v>
      </c>
      <c r="AG474" s="7">
        <v>4197.5</v>
      </c>
      <c r="AH474" s="7">
        <v>962.2</v>
      </c>
      <c r="AI474" s="7">
        <v>2146.6</v>
      </c>
      <c r="AJ474" s="7">
        <v>775.9</v>
      </c>
      <c r="AK474" s="7">
        <v>240.9</v>
      </c>
      <c r="AL474" s="7">
        <v>71.8</v>
      </c>
      <c r="AM474" s="7">
        <v>67.0</v>
      </c>
      <c r="AN474" s="7">
        <v>18.0</v>
      </c>
      <c r="AO474" s="7">
        <v>29.0</v>
      </c>
      <c r="AP474" s="9">
        <f t="shared" ref="AP474:AR474" si="1479">AG474/$AF474</f>
        <v>135.4032258</v>
      </c>
      <c r="AQ474" s="9">
        <f t="shared" si="1479"/>
        <v>31.03870968</v>
      </c>
      <c r="AR474" s="9">
        <f t="shared" si="1479"/>
        <v>69.24516129</v>
      </c>
      <c r="AS474" s="9">
        <f t="shared" si="11"/>
        <v>100.283871</v>
      </c>
      <c r="AT474" s="9">
        <f t="shared" ref="AT474:AV474" si="1480">AJ474/$AF474</f>
        <v>25.02903226</v>
      </c>
      <c r="AU474" s="9">
        <f t="shared" si="1480"/>
        <v>7.770967742</v>
      </c>
      <c r="AV474" s="9">
        <f t="shared" si="1480"/>
        <v>2.316129032</v>
      </c>
      <c r="AW474" s="9">
        <f t="shared" si="13"/>
        <v>10.08709677</v>
      </c>
      <c r="AX474" s="9">
        <f t="shared" ref="AX474:AY474" si="1481">AM474/$AF474</f>
        <v>2.161290323</v>
      </c>
      <c r="AY474" s="9">
        <f t="shared" si="1481"/>
        <v>0.5806451613</v>
      </c>
      <c r="AZ474" s="9">
        <f>VLOOKUP(A474,Jogos!A:BN,58,0)</f>
        <v>25.475</v>
      </c>
      <c r="BA474" s="9">
        <f>VLOOKUP(A474,Jogos!A:BN,59,0)</f>
        <v>23.695</v>
      </c>
      <c r="BB474" s="9">
        <f>VLOOKUP(A474,Jogos!A:BN,60,0)</f>
        <v>89.5</v>
      </c>
      <c r="BC474" s="9">
        <f>VLOOKUP(A474,Jogos!A:BN,61,0)</f>
        <v>23.645</v>
      </c>
      <c r="BD474" s="9">
        <f>VLOOKUP(A474,Jogos!A:BN,62,0)</f>
        <v>0</v>
      </c>
      <c r="BE474" s="9">
        <f>VLOOKUP(A474,Jogos!A:BN,63,0)</f>
        <v>1.88</v>
      </c>
      <c r="BF474" s="9">
        <f>VLOOKUP(A474,Jogos!A:BN,64,0)</f>
        <v>23.835</v>
      </c>
      <c r="BG474" s="9">
        <f>VLOOKUP(A474,Jogos!A:BN,65,0)</f>
        <v>40.61</v>
      </c>
      <c r="BH474" s="9">
        <f>VLOOKUP(A474,Jogos!A:BN,66,0)</f>
        <v>27.355</v>
      </c>
      <c r="BI474" s="9"/>
    </row>
    <row r="475" hidden="1">
      <c r="A475" s="10">
        <v>16.0</v>
      </c>
      <c r="B475" s="11" t="s">
        <v>809</v>
      </c>
      <c r="C475" s="2" t="s">
        <v>61</v>
      </c>
      <c r="D475" s="12">
        <v>45826.0</v>
      </c>
      <c r="E475" s="13">
        <v>0.875</v>
      </c>
      <c r="F475" s="5" t="str">
        <f>VLOOKUP(A475,Jogos!A:N,10,0)</f>
        <v>Evening</v>
      </c>
      <c r="G475" s="11" t="s">
        <v>997</v>
      </c>
      <c r="H475" s="6" t="str">
        <f>VLOOKUP(A475,Jogos!A:L,12,0)</f>
        <v>Open</v>
      </c>
      <c r="I475" s="6" t="str">
        <f>VLOOKUP(G475,'Estádios e Cidades'!A:B,2,0)</f>
        <v>Washington, D.C.</v>
      </c>
      <c r="J475" s="11" t="s">
        <v>999</v>
      </c>
      <c r="K475" s="2" t="str">
        <f>VLOOKUP(J475,Equipes!A:F,6,0)</f>
        <v>Temperate</v>
      </c>
      <c r="L475" s="2">
        <f>VLOOKUP(J475,Equipes!A:C,3,0)</f>
        <v>13</v>
      </c>
      <c r="M475" s="2" t="str">
        <f t="shared" si="4"/>
        <v>Round of 16</v>
      </c>
      <c r="N475" s="11" t="s">
        <v>998</v>
      </c>
      <c r="O475" s="2">
        <f>VLOOKUP(N475,Equipes!A:C,3,0)</f>
        <v>22</v>
      </c>
      <c r="P475" s="2" t="str">
        <f t="shared" si="5"/>
        <v>Group</v>
      </c>
      <c r="Q475" s="2">
        <f t="shared" si="6"/>
        <v>-9</v>
      </c>
      <c r="R475" s="2" t="str">
        <f>VLOOKUP(J475,Equipes!A:B,2,0)</f>
        <v>Juventus</v>
      </c>
      <c r="S475" s="6" t="s">
        <v>1054</v>
      </c>
      <c r="T475" s="7">
        <v>9.0</v>
      </c>
      <c r="U475" s="7" t="s">
        <v>1055</v>
      </c>
      <c r="V475" s="7" t="str">
        <f>VLOOKUP(U475,Jogadores!B:C,2,0)</f>
        <v>FW</v>
      </c>
      <c r="W475" s="8">
        <f>VLOOKUP(U475,Jogadores!B:D,3,0)</f>
        <v>25.51506849</v>
      </c>
      <c r="X475" s="7">
        <v>71.0</v>
      </c>
      <c r="Y475" s="7">
        <f t="shared" si="1478"/>
        <v>93</v>
      </c>
      <c r="Z475" s="7">
        <f>VLOOKUP(A475,Jogos!A:L,3,0)</f>
        <v>51</v>
      </c>
      <c r="AA475" s="7">
        <f t="shared" si="7"/>
        <v>0</v>
      </c>
      <c r="AB475" s="7">
        <f>VLOOKUP(A475,Jogos!A:L,4,0)</f>
        <v>48</v>
      </c>
      <c r="AC475" s="7">
        <f t="shared" si="657"/>
        <v>22</v>
      </c>
      <c r="AD475" s="7"/>
      <c r="AE475" s="7"/>
      <c r="AF475" s="7">
        <f t="shared" si="9"/>
        <v>22</v>
      </c>
      <c r="AG475" s="7">
        <v>2478.3</v>
      </c>
      <c r="AH475" s="7">
        <v>991.0</v>
      </c>
      <c r="AI475" s="7">
        <v>1016.6</v>
      </c>
      <c r="AJ475" s="7">
        <v>309.0</v>
      </c>
      <c r="AK475" s="7">
        <v>117.4</v>
      </c>
      <c r="AL475" s="7">
        <v>44.3</v>
      </c>
      <c r="AM475" s="7">
        <v>24.0</v>
      </c>
      <c r="AN475" s="7">
        <v>10.0</v>
      </c>
      <c r="AO475" s="7">
        <v>30.3</v>
      </c>
      <c r="AP475" s="9">
        <f t="shared" ref="AP475:AR475" si="1482">AG475/$AF475</f>
        <v>112.65</v>
      </c>
      <c r="AQ475" s="9">
        <f t="shared" si="1482"/>
        <v>45.04545455</v>
      </c>
      <c r="AR475" s="9">
        <f t="shared" si="1482"/>
        <v>46.20909091</v>
      </c>
      <c r="AS475" s="9">
        <f t="shared" si="11"/>
        <v>91.25454545</v>
      </c>
      <c r="AT475" s="9">
        <f t="shared" ref="AT475:AV475" si="1483">AJ475/$AF475</f>
        <v>14.04545455</v>
      </c>
      <c r="AU475" s="9">
        <f t="shared" si="1483"/>
        <v>5.336363636</v>
      </c>
      <c r="AV475" s="9">
        <f t="shared" si="1483"/>
        <v>2.013636364</v>
      </c>
      <c r="AW475" s="9">
        <f t="shared" si="13"/>
        <v>7.35</v>
      </c>
      <c r="AX475" s="9">
        <f t="shared" ref="AX475:AY475" si="1484">AM475/$AF475</f>
        <v>1.090909091</v>
      </c>
      <c r="AY475" s="9">
        <f t="shared" si="1484"/>
        <v>0.4545454545</v>
      </c>
      <c r="AZ475" s="9">
        <f>VLOOKUP(A475,Jogos!A:BN,58,0)</f>
        <v>25.475</v>
      </c>
      <c r="BA475" s="9">
        <f>VLOOKUP(A475,Jogos!A:BN,59,0)</f>
        <v>23.695</v>
      </c>
      <c r="BB475" s="9">
        <f>VLOOKUP(A475,Jogos!A:BN,60,0)</f>
        <v>89.5</v>
      </c>
      <c r="BC475" s="9">
        <f>VLOOKUP(A475,Jogos!A:BN,61,0)</f>
        <v>23.645</v>
      </c>
      <c r="BD475" s="9">
        <f>VLOOKUP(A475,Jogos!A:BN,62,0)</f>
        <v>0</v>
      </c>
      <c r="BE475" s="9">
        <f>VLOOKUP(A475,Jogos!A:BN,63,0)</f>
        <v>1.88</v>
      </c>
      <c r="BF475" s="9">
        <f>VLOOKUP(A475,Jogos!A:BN,64,0)</f>
        <v>23.835</v>
      </c>
      <c r="BG475" s="9">
        <f>VLOOKUP(A475,Jogos!A:BN,65,0)</f>
        <v>40.61</v>
      </c>
      <c r="BH475" s="9">
        <f>VLOOKUP(A475,Jogos!A:BN,66,0)</f>
        <v>27.355</v>
      </c>
      <c r="BI475" s="9"/>
    </row>
    <row r="476" hidden="1">
      <c r="A476" s="10">
        <v>16.0</v>
      </c>
      <c r="B476" s="11" t="s">
        <v>809</v>
      </c>
      <c r="C476" s="2" t="s">
        <v>61</v>
      </c>
      <c r="D476" s="12">
        <v>45826.0</v>
      </c>
      <c r="E476" s="13">
        <v>0.875</v>
      </c>
      <c r="F476" s="5" t="str">
        <f>VLOOKUP(A476,Jogos!A:N,10,0)</f>
        <v>Evening</v>
      </c>
      <c r="G476" s="11" t="s">
        <v>997</v>
      </c>
      <c r="H476" s="6" t="str">
        <f>VLOOKUP(A476,Jogos!A:L,12,0)</f>
        <v>Open</v>
      </c>
      <c r="I476" s="6" t="str">
        <f>VLOOKUP(G476,'Estádios e Cidades'!A:B,2,0)</f>
        <v>Washington, D.C.</v>
      </c>
      <c r="J476" s="11" t="s">
        <v>999</v>
      </c>
      <c r="K476" s="2" t="str">
        <f>VLOOKUP(J476,Equipes!A:F,6,0)</f>
        <v>Temperate</v>
      </c>
      <c r="L476" s="2">
        <f>VLOOKUP(J476,Equipes!A:C,3,0)</f>
        <v>13</v>
      </c>
      <c r="M476" s="2" t="str">
        <f t="shared" si="4"/>
        <v>Round of 16</v>
      </c>
      <c r="N476" s="11" t="s">
        <v>998</v>
      </c>
      <c r="O476" s="2">
        <f>VLOOKUP(N476,Equipes!A:C,3,0)</f>
        <v>22</v>
      </c>
      <c r="P476" s="2" t="str">
        <f t="shared" si="5"/>
        <v>Group</v>
      </c>
      <c r="Q476" s="2">
        <f t="shared" si="6"/>
        <v>-9</v>
      </c>
      <c r="R476" s="2" t="str">
        <f>VLOOKUP(J476,Equipes!A:B,2,0)</f>
        <v>Juventus</v>
      </c>
      <c r="S476" s="6" t="s">
        <v>1056</v>
      </c>
      <c r="T476" s="7">
        <v>22.0</v>
      </c>
      <c r="U476" s="7" t="s">
        <v>1057</v>
      </c>
      <c r="V476" s="7" t="str">
        <f>VLOOKUP(U476,Jogadores!B:C,2,0)</f>
        <v>FW</v>
      </c>
      <c r="W476" s="8">
        <f>VLOOKUP(U476,Jogadores!B:D,3,0)</f>
        <v>25.44657534</v>
      </c>
      <c r="X476" s="7">
        <v>45.0</v>
      </c>
      <c r="Y476" s="7">
        <f t="shared" si="1478"/>
        <v>93</v>
      </c>
      <c r="Z476" s="7">
        <f>VLOOKUP(A476,Jogos!A:L,3,0)</f>
        <v>51</v>
      </c>
      <c r="AA476" s="7">
        <f t="shared" si="7"/>
        <v>0</v>
      </c>
      <c r="AB476" s="7">
        <f>VLOOKUP(A476,Jogos!A:L,4,0)</f>
        <v>48</v>
      </c>
      <c r="AC476" s="7">
        <f t="shared" si="657"/>
        <v>48</v>
      </c>
      <c r="AD476" s="7"/>
      <c r="AE476" s="7"/>
      <c r="AF476" s="7">
        <f t="shared" si="9"/>
        <v>48</v>
      </c>
      <c r="AG476" s="7">
        <v>5580.3</v>
      </c>
      <c r="AH476" s="7">
        <v>1881.2</v>
      </c>
      <c r="AI476" s="7">
        <v>2221.9</v>
      </c>
      <c r="AJ476" s="7">
        <v>1017.8</v>
      </c>
      <c r="AK476" s="7">
        <v>370.7</v>
      </c>
      <c r="AL476" s="7">
        <v>88.8</v>
      </c>
      <c r="AM476" s="7">
        <v>86.0</v>
      </c>
      <c r="AN476" s="7">
        <v>29.0</v>
      </c>
      <c r="AO476" s="7">
        <v>28.8</v>
      </c>
      <c r="AP476" s="9">
        <f t="shared" ref="AP476:AR476" si="1485">AG476/$AF476</f>
        <v>116.25625</v>
      </c>
      <c r="AQ476" s="9">
        <f t="shared" si="1485"/>
        <v>39.19166667</v>
      </c>
      <c r="AR476" s="9">
        <f t="shared" si="1485"/>
        <v>46.28958333</v>
      </c>
      <c r="AS476" s="9">
        <f t="shared" si="11"/>
        <v>85.48125</v>
      </c>
      <c r="AT476" s="9">
        <f t="shared" ref="AT476:AV476" si="1486">AJ476/$AF476</f>
        <v>21.20416667</v>
      </c>
      <c r="AU476" s="9">
        <f t="shared" si="1486"/>
        <v>7.722916667</v>
      </c>
      <c r="AV476" s="9">
        <f t="shared" si="1486"/>
        <v>1.85</v>
      </c>
      <c r="AW476" s="9">
        <f t="shared" si="13"/>
        <v>9.572916667</v>
      </c>
      <c r="AX476" s="9">
        <f t="shared" ref="AX476:AY476" si="1487">AM476/$AF476</f>
        <v>1.791666667</v>
      </c>
      <c r="AY476" s="9">
        <f t="shared" si="1487"/>
        <v>0.6041666667</v>
      </c>
      <c r="AZ476" s="9">
        <f>VLOOKUP(A476,Jogos!A:BN,58,0)</f>
        <v>25.475</v>
      </c>
      <c r="BA476" s="9">
        <f>VLOOKUP(A476,Jogos!A:BN,59,0)</f>
        <v>23.695</v>
      </c>
      <c r="BB476" s="9">
        <f>VLOOKUP(A476,Jogos!A:BN,60,0)</f>
        <v>89.5</v>
      </c>
      <c r="BC476" s="9">
        <f>VLOOKUP(A476,Jogos!A:BN,61,0)</f>
        <v>23.645</v>
      </c>
      <c r="BD476" s="9">
        <f>VLOOKUP(A476,Jogos!A:BN,62,0)</f>
        <v>0</v>
      </c>
      <c r="BE476" s="9">
        <f>VLOOKUP(A476,Jogos!A:BN,63,0)</f>
        <v>1.88</v>
      </c>
      <c r="BF476" s="9">
        <f>VLOOKUP(A476,Jogos!A:BN,64,0)</f>
        <v>23.835</v>
      </c>
      <c r="BG476" s="9">
        <f>VLOOKUP(A476,Jogos!A:BN,65,0)</f>
        <v>40.61</v>
      </c>
      <c r="BH476" s="9">
        <f>VLOOKUP(A476,Jogos!A:BN,66,0)</f>
        <v>27.355</v>
      </c>
      <c r="BI476" s="9"/>
    </row>
    <row r="477" hidden="1">
      <c r="A477" s="10">
        <v>16.0</v>
      </c>
      <c r="B477" s="11" t="s">
        <v>809</v>
      </c>
      <c r="C477" s="2" t="s">
        <v>61</v>
      </c>
      <c r="D477" s="12">
        <v>45826.0</v>
      </c>
      <c r="E477" s="13">
        <v>0.875</v>
      </c>
      <c r="F477" s="5" t="str">
        <f>VLOOKUP(A477,Jogos!A:N,10,0)</f>
        <v>Evening</v>
      </c>
      <c r="G477" s="11" t="s">
        <v>997</v>
      </c>
      <c r="H477" s="6" t="str">
        <f>VLOOKUP(A477,Jogos!A:L,12,0)</f>
        <v>Open</v>
      </c>
      <c r="I477" s="6" t="str">
        <f>VLOOKUP(G477,'Estádios e Cidades'!A:B,2,0)</f>
        <v>Washington, D.C.</v>
      </c>
      <c r="J477" s="11" t="s">
        <v>999</v>
      </c>
      <c r="K477" s="2" t="str">
        <f>VLOOKUP(J477,Equipes!A:F,6,0)</f>
        <v>Temperate</v>
      </c>
      <c r="L477" s="2">
        <f>VLOOKUP(J477,Equipes!A:C,3,0)</f>
        <v>13</v>
      </c>
      <c r="M477" s="2" t="str">
        <f t="shared" si="4"/>
        <v>Round of 16</v>
      </c>
      <c r="N477" s="11" t="s">
        <v>998</v>
      </c>
      <c r="O477" s="2">
        <f>VLOOKUP(N477,Equipes!A:C,3,0)</f>
        <v>22</v>
      </c>
      <c r="P477" s="2" t="str">
        <f t="shared" si="5"/>
        <v>Group</v>
      </c>
      <c r="Q477" s="2">
        <f t="shared" si="6"/>
        <v>-9</v>
      </c>
      <c r="R477" s="2" t="str">
        <f>VLOOKUP(J477,Equipes!A:B,2,0)</f>
        <v>Juventus</v>
      </c>
      <c r="S477" s="6" t="s">
        <v>1058</v>
      </c>
      <c r="T477" s="7">
        <v>26.0</v>
      </c>
      <c r="U477" s="7" t="s">
        <v>1059</v>
      </c>
      <c r="V477" s="7" t="str">
        <f>VLOOKUP(U477,Jogadores!B:C,2,0)</f>
        <v>MF</v>
      </c>
      <c r="W477" s="8">
        <f>VLOOKUP(U477,Jogadores!B:D,3,0)</f>
        <v>27.23835616</v>
      </c>
      <c r="X477" s="7">
        <v>45.0</v>
      </c>
      <c r="Y477" s="7">
        <f t="shared" si="1478"/>
        <v>93</v>
      </c>
      <c r="Z477" s="7">
        <f>VLOOKUP(A477,Jogos!A:L,3,0)</f>
        <v>51</v>
      </c>
      <c r="AA477" s="7">
        <f t="shared" si="7"/>
        <v>0</v>
      </c>
      <c r="AB477" s="7">
        <f>VLOOKUP(A477,Jogos!A:L,4,0)</f>
        <v>48</v>
      </c>
      <c r="AC477" s="7">
        <f t="shared" si="657"/>
        <v>48</v>
      </c>
      <c r="AD477" s="7"/>
      <c r="AE477" s="7"/>
      <c r="AF477" s="7">
        <f t="shared" si="9"/>
        <v>48</v>
      </c>
      <c r="AG477" s="7">
        <v>5798.9</v>
      </c>
      <c r="AH477" s="7">
        <v>1486.0</v>
      </c>
      <c r="AI477" s="7">
        <v>3087.1</v>
      </c>
      <c r="AJ477" s="7">
        <v>971.8</v>
      </c>
      <c r="AK477" s="7">
        <v>204.5</v>
      </c>
      <c r="AL477" s="7">
        <v>49.5</v>
      </c>
      <c r="AM477" s="7">
        <v>77.0</v>
      </c>
      <c r="AN477" s="7">
        <v>17.0</v>
      </c>
      <c r="AO477" s="7">
        <v>28.4</v>
      </c>
      <c r="AP477" s="9">
        <f t="shared" ref="AP477:AR477" si="1488">AG477/$AF477</f>
        <v>120.8104167</v>
      </c>
      <c r="AQ477" s="9">
        <f t="shared" si="1488"/>
        <v>30.95833333</v>
      </c>
      <c r="AR477" s="9">
        <f t="shared" si="1488"/>
        <v>64.31458333</v>
      </c>
      <c r="AS477" s="9">
        <f t="shared" si="11"/>
        <v>95.27291667</v>
      </c>
      <c r="AT477" s="9">
        <f t="shared" ref="AT477:AV477" si="1489">AJ477/$AF477</f>
        <v>20.24583333</v>
      </c>
      <c r="AU477" s="9">
        <f t="shared" si="1489"/>
        <v>4.260416667</v>
      </c>
      <c r="AV477" s="9">
        <f t="shared" si="1489"/>
        <v>1.03125</v>
      </c>
      <c r="AW477" s="9">
        <f t="shared" si="13"/>
        <v>5.291666667</v>
      </c>
      <c r="AX477" s="9">
        <f t="shared" ref="AX477:AY477" si="1490">AM477/$AF477</f>
        <v>1.604166667</v>
      </c>
      <c r="AY477" s="9">
        <f t="shared" si="1490"/>
        <v>0.3541666667</v>
      </c>
      <c r="AZ477" s="9">
        <f>VLOOKUP(A477,Jogos!A:BN,58,0)</f>
        <v>25.475</v>
      </c>
      <c r="BA477" s="9">
        <f>VLOOKUP(A477,Jogos!A:BN,59,0)</f>
        <v>23.695</v>
      </c>
      <c r="BB477" s="9">
        <f>VLOOKUP(A477,Jogos!A:BN,60,0)</f>
        <v>89.5</v>
      </c>
      <c r="BC477" s="9">
        <f>VLOOKUP(A477,Jogos!A:BN,61,0)</f>
        <v>23.645</v>
      </c>
      <c r="BD477" s="9">
        <f>VLOOKUP(A477,Jogos!A:BN,62,0)</f>
        <v>0</v>
      </c>
      <c r="BE477" s="9">
        <f>VLOOKUP(A477,Jogos!A:BN,63,0)</f>
        <v>1.88</v>
      </c>
      <c r="BF477" s="9">
        <f>VLOOKUP(A477,Jogos!A:BN,64,0)</f>
        <v>23.835</v>
      </c>
      <c r="BG477" s="9">
        <f>VLOOKUP(A477,Jogos!A:BN,65,0)</f>
        <v>40.61</v>
      </c>
      <c r="BH477" s="9">
        <f>VLOOKUP(A477,Jogos!A:BN,66,0)</f>
        <v>27.355</v>
      </c>
      <c r="BI477" s="9"/>
    </row>
    <row r="478" hidden="1">
      <c r="A478" s="2">
        <v>17.0</v>
      </c>
      <c r="B478" s="2" t="s">
        <v>60</v>
      </c>
      <c r="C478" s="2" t="s">
        <v>61</v>
      </c>
      <c r="D478" s="3">
        <v>45827.0</v>
      </c>
      <c r="E478" s="4">
        <v>0.5</v>
      </c>
      <c r="F478" s="5" t="str">
        <f>VLOOKUP(A478,Jogos!A:N,10,0)</f>
        <v>Afternoon</v>
      </c>
      <c r="G478" s="2" t="s">
        <v>249</v>
      </c>
      <c r="H478" s="6" t="str">
        <f>VLOOKUP(A478,Jogos!A:L,12,0)</f>
        <v>Open</v>
      </c>
      <c r="I478" s="6" t="str">
        <f>VLOOKUP(G478,'Estádios e Cidades'!A:B,2,0)</f>
        <v>East Rutherford</v>
      </c>
      <c r="J478" s="2" t="s">
        <v>250</v>
      </c>
      <c r="K478" s="2" t="str">
        <f>VLOOKUP(J478,Equipes!A:F,6,0)</f>
        <v>Temperate</v>
      </c>
      <c r="L478" s="2">
        <f>VLOOKUP(J478,Equipes!A:C,3,0)</f>
        <v>8</v>
      </c>
      <c r="M478" s="2" t="str">
        <f t="shared" si="4"/>
        <v>Quarter-final</v>
      </c>
      <c r="N478" s="2" t="s">
        <v>63</v>
      </c>
      <c r="O478" s="2">
        <f>VLOOKUP(N478,Equipes!A:C,3,0)</f>
        <v>25</v>
      </c>
      <c r="P478" s="2" t="str">
        <f t="shared" si="5"/>
        <v>Group</v>
      </c>
      <c r="Q478" s="2">
        <f t="shared" si="6"/>
        <v>-17</v>
      </c>
      <c r="R478" s="2" t="str">
        <f>VLOOKUP(J478,Equipes!A:B,2,0)</f>
        <v>Palmeiras</v>
      </c>
      <c r="S478" s="6" t="s">
        <v>252</v>
      </c>
      <c r="T478" s="7">
        <v>4.0</v>
      </c>
      <c r="U478" s="7" t="s">
        <v>253</v>
      </c>
      <c r="V478" s="7" t="str">
        <f>VLOOKUP(U478,Jogadores!B:C,2,0)</f>
        <v>DF</v>
      </c>
      <c r="W478" s="8">
        <f>VLOOKUP(U478,Jogadores!B:D,3,0)</f>
        <v>21.54520548</v>
      </c>
      <c r="X478" s="7">
        <v>0.0</v>
      </c>
      <c r="Y478" s="7">
        <f t="shared" si="1478"/>
        <v>96</v>
      </c>
      <c r="Z478" s="7">
        <f>VLOOKUP(A478,Jogos!A:L,3,0)</f>
        <v>51</v>
      </c>
      <c r="AA478" s="7">
        <f t="shared" si="7"/>
        <v>51</v>
      </c>
      <c r="AB478" s="7">
        <f>VLOOKUP(A478,Jogos!A:L,4,0)</f>
        <v>51</v>
      </c>
      <c r="AC478" s="7">
        <f t="shared" si="657"/>
        <v>51</v>
      </c>
      <c r="AD478" s="7"/>
      <c r="AE478" s="7"/>
      <c r="AF478" s="7">
        <f t="shared" si="9"/>
        <v>102</v>
      </c>
      <c r="AG478" s="7">
        <v>9270.7</v>
      </c>
      <c r="AH478" s="7">
        <v>3843.8</v>
      </c>
      <c r="AI478" s="7">
        <v>3774.0</v>
      </c>
      <c r="AJ478" s="7">
        <v>937.1</v>
      </c>
      <c r="AK478" s="7">
        <v>538.3</v>
      </c>
      <c r="AL478" s="7">
        <v>177.5</v>
      </c>
      <c r="AM478" s="7">
        <v>82.0</v>
      </c>
      <c r="AN478" s="7">
        <v>38.0</v>
      </c>
      <c r="AO478" s="7">
        <v>42.7</v>
      </c>
      <c r="AP478" s="9">
        <f t="shared" ref="AP478:AR478" si="1491">AG478/$AF478</f>
        <v>90.88921569</v>
      </c>
      <c r="AQ478" s="9">
        <f t="shared" si="1491"/>
        <v>37.68431373</v>
      </c>
      <c r="AR478" s="9">
        <f t="shared" si="1491"/>
        <v>37</v>
      </c>
      <c r="AS478" s="9">
        <f t="shared" si="11"/>
        <v>74.68431373</v>
      </c>
      <c r="AT478" s="9">
        <f t="shared" ref="AT478:AV478" si="1492">AJ478/$AF478</f>
        <v>9.187254902</v>
      </c>
      <c r="AU478" s="9">
        <f t="shared" si="1492"/>
        <v>5.27745098</v>
      </c>
      <c r="AV478" s="9">
        <f t="shared" si="1492"/>
        <v>1.740196078</v>
      </c>
      <c r="AW478" s="9">
        <f t="shared" si="13"/>
        <v>7.017647059</v>
      </c>
      <c r="AX478" s="9">
        <f t="shared" ref="AX478:AY478" si="1493">AM478/$AF478</f>
        <v>0.8039215686</v>
      </c>
      <c r="AY478" s="9">
        <f t="shared" si="1493"/>
        <v>0.3725490196</v>
      </c>
      <c r="AZ478" s="9">
        <f>VLOOKUP(A478,Jogos!A:BN,58,0)</f>
        <v>30.63</v>
      </c>
      <c r="BA478" s="9">
        <f>VLOOKUP(A478,Jogos!A:BN,59,0)</f>
        <v>20.56666667</v>
      </c>
      <c r="BB478" s="9">
        <f>VLOOKUP(A478,Jogos!A:BN,60,0)</f>
        <v>54.33333333</v>
      </c>
      <c r="BC478" s="9">
        <f>VLOOKUP(A478,Jogos!A:BN,61,0)</f>
        <v>31.41666667</v>
      </c>
      <c r="BD478" s="9">
        <f>VLOOKUP(A478,Jogos!A:BN,62,0)</f>
        <v>708.3333333</v>
      </c>
      <c r="BE478" s="9">
        <f>VLOOKUP(A478,Jogos!A:BN,63,0)</f>
        <v>2.436666667</v>
      </c>
      <c r="BF478" s="9">
        <f>VLOOKUP(A478,Jogos!A:BN,64,0)</f>
        <v>24.69333333</v>
      </c>
      <c r="BG478" s="9">
        <f>VLOOKUP(A478,Jogos!A:BN,65,0)</f>
        <v>44.21</v>
      </c>
      <c r="BH478" s="9">
        <f>VLOOKUP(A478,Jogos!A:BN,66,0)</f>
        <v>29.19</v>
      </c>
      <c r="BI478" s="9"/>
    </row>
    <row r="479" hidden="1">
      <c r="A479" s="2">
        <v>17.0</v>
      </c>
      <c r="B479" s="2" t="s">
        <v>60</v>
      </c>
      <c r="C479" s="2" t="s">
        <v>61</v>
      </c>
      <c r="D479" s="3">
        <v>45827.0</v>
      </c>
      <c r="E479" s="4">
        <v>0.5</v>
      </c>
      <c r="F479" s="5" t="str">
        <f>VLOOKUP(A479,Jogos!A:N,10,0)</f>
        <v>Afternoon</v>
      </c>
      <c r="G479" s="2" t="s">
        <v>249</v>
      </c>
      <c r="H479" s="6" t="str">
        <f>VLOOKUP(A479,Jogos!A:L,12,0)</f>
        <v>Open</v>
      </c>
      <c r="I479" s="6" t="str">
        <f>VLOOKUP(G479,'Estádios e Cidades'!A:B,2,0)</f>
        <v>East Rutherford</v>
      </c>
      <c r="J479" s="2" t="s">
        <v>250</v>
      </c>
      <c r="K479" s="2" t="str">
        <f>VLOOKUP(J479,Equipes!A:F,6,0)</f>
        <v>Temperate</v>
      </c>
      <c r="L479" s="2">
        <f>VLOOKUP(J479,Equipes!A:C,3,0)</f>
        <v>8</v>
      </c>
      <c r="M479" s="2" t="str">
        <f t="shared" si="4"/>
        <v>Quarter-final</v>
      </c>
      <c r="N479" s="2" t="s">
        <v>63</v>
      </c>
      <c r="O479" s="2">
        <f>VLOOKUP(N479,Equipes!A:C,3,0)</f>
        <v>25</v>
      </c>
      <c r="P479" s="2" t="str">
        <f t="shared" si="5"/>
        <v>Group</v>
      </c>
      <c r="Q479" s="2">
        <f t="shared" si="6"/>
        <v>-17</v>
      </c>
      <c r="R479" s="2" t="str">
        <f>VLOOKUP(J479,Equipes!A:B,2,0)</f>
        <v>Palmeiras</v>
      </c>
      <c r="S479" s="6" t="s">
        <v>254</v>
      </c>
      <c r="T479" s="7">
        <v>5.0</v>
      </c>
      <c r="U479" s="7" t="s">
        <v>255</v>
      </c>
      <c r="V479" s="7" t="str">
        <f>VLOOKUP(U479,Jogadores!B:C,2,0)</f>
        <v>MF</v>
      </c>
      <c r="W479" s="8">
        <f>VLOOKUP(U479,Jogadores!B:D,3,0)</f>
        <v>26.22739726</v>
      </c>
      <c r="X479" s="7">
        <v>0.0</v>
      </c>
      <c r="Y479" s="7">
        <v>67.0</v>
      </c>
      <c r="Z479" s="7">
        <f>VLOOKUP(A479,Jogos!A:L,3,0)</f>
        <v>51</v>
      </c>
      <c r="AA479" s="7">
        <f t="shared" si="7"/>
        <v>51</v>
      </c>
      <c r="AB479" s="7">
        <f>VLOOKUP(A479,Jogos!A:L,4,0)</f>
        <v>51</v>
      </c>
      <c r="AC479" s="7">
        <f t="shared" si="657"/>
        <v>22</v>
      </c>
      <c r="AD479" s="7"/>
      <c r="AE479" s="7"/>
      <c r="AF479" s="7">
        <f t="shared" si="9"/>
        <v>73</v>
      </c>
      <c r="AG479" s="7">
        <v>7088.7</v>
      </c>
      <c r="AH479" s="7">
        <v>2894.5</v>
      </c>
      <c r="AI479" s="7">
        <v>2931.2</v>
      </c>
      <c r="AJ479" s="7">
        <v>853.6</v>
      </c>
      <c r="AK479" s="7">
        <v>374.9</v>
      </c>
      <c r="AL479" s="7">
        <v>34.4</v>
      </c>
      <c r="AM479" s="7">
        <v>88.0</v>
      </c>
      <c r="AN479" s="7">
        <v>26.0</v>
      </c>
      <c r="AO479" s="7">
        <v>28.6</v>
      </c>
      <c r="AP479" s="9">
        <f t="shared" ref="AP479:AR479" si="1494">AG479/$AF479</f>
        <v>97.10547945</v>
      </c>
      <c r="AQ479" s="9">
        <f t="shared" si="1494"/>
        <v>39.65068493</v>
      </c>
      <c r="AR479" s="9">
        <f t="shared" si="1494"/>
        <v>40.15342466</v>
      </c>
      <c r="AS479" s="9">
        <f t="shared" si="11"/>
        <v>79.80410959</v>
      </c>
      <c r="AT479" s="9">
        <f t="shared" ref="AT479:AV479" si="1495">AJ479/$AF479</f>
        <v>11.69315068</v>
      </c>
      <c r="AU479" s="9">
        <f t="shared" si="1495"/>
        <v>5.135616438</v>
      </c>
      <c r="AV479" s="9">
        <f t="shared" si="1495"/>
        <v>0.4712328767</v>
      </c>
      <c r="AW479" s="9">
        <f t="shared" si="13"/>
        <v>5.606849315</v>
      </c>
      <c r="AX479" s="9">
        <f t="shared" ref="AX479:AY479" si="1496">AM479/$AF479</f>
        <v>1.205479452</v>
      </c>
      <c r="AY479" s="9">
        <f t="shared" si="1496"/>
        <v>0.3561643836</v>
      </c>
      <c r="AZ479" s="9">
        <f>VLOOKUP(A479,Jogos!A:BN,58,0)</f>
        <v>30.63</v>
      </c>
      <c r="BA479" s="9">
        <f>VLOOKUP(A479,Jogos!A:BN,59,0)</f>
        <v>20.56666667</v>
      </c>
      <c r="BB479" s="9">
        <f>VLOOKUP(A479,Jogos!A:BN,60,0)</f>
        <v>54.33333333</v>
      </c>
      <c r="BC479" s="9">
        <f>VLOOKUP(A479,Jogos!A:BN,61,0)</f>
        <v>31.41666667</v>
      </c>
      <c r="BD479" s="9">
        <f>VLOOKUP(A479,Jogos!A:BN,62,0)</f>
        <v>708.3333333</v>
      </c>
      <c r="BE479" s="9">
        <f>VLOOKUP(A479,Jogos!A:BN,63,0)</f>
        <v>2.436666667</v>
      </c>
      <c r="BF479" s="9">
        <f>VLOOKUP(A479,Jogos!A:BN,64,0)</f>
        <v>24.69333333</v>
      </c>
      <c r="BG479" s="9">
        <f>VLOOKUP(A479,Jogos!A:BN,65,0)</f>
        <v>44.21</v>
      </c>
      <c r="BH479" s="9">
        <f>VLOOKUP(A479,Jogos!A:BN,66,0)</f>
        <v>29.19</v>
      </c>
      <c r="BI479" s="9"/>
    </row>
    <row r="480" hidden="1">
      <c r="A480" s="2">
        <v>17.0</v>
      </c>
      <c r="B480" s="2" t="s">
        <v>60</v>
      </c>
      <c r="C480" s="2" t="s">
        <v>61</v>
      </c>
      <c r="D480" s="3">
        <v>45827.0</v>
      </c>
      <c r="E480" s="4">
        <v>0.5</v>
      </c>
      <c r="F480" s="5" t="str">
        <f>VLOOKUP(A480,Jogos!A:N,10,0)</f>
        <v>Afternoon</v>
      </c>
      <c r="G480" s="2" t="s">
        <v>249</v>
      </c>
      <c r="H480" s="6" t="str">
        <f>VLOOKUP(A480,Jogos!A:L,12,0)</f>
        <v>Open</v>
      </c>
      <c r="I480" s="6" t="str">
        <f>VLOOKUP(G480,'Estádios e Cidades'!A:B,2,0)</f>
        <v>East Rutherford</v>
      </c>
      <c r="J480" s="2" t="s">
        <v>250</v>
      </c>
      <c r="K480" s="2" t="str">
        <f>VLOOKUP(J480,Equipes!A:F,6,0)</f>
        <v>Temperate</v>
      </c>
      <c r="L480" s="2">
        <f>VLOOKUP(J480,Equipes!A:C,3,0)</f>
        <v>8</v>
      </c>
      <c r="M480" s="2" t="str">
        <f t="shared" si="4"/>
        <v>Quarter-final</v>
      </c>
      <c r="N480" s="2" t="s">
        <v>63</v>
      </c>
      <c r="O480" s="2">
        <f>VLOOKUP(N480,Equipes!A:C,3,0)</f>
        <v>25</v>
      </c>
      <c r="P480" s="2" t="str">
        <f t="shared" si="5"/>
        <v>Group</v>
      </c>
      <c r="Q480" s="2">
        <f t="shared" si="6"/>
        <v>-17</v>
      </c>
      <c r="R480" s="2" t="str">
        <f>VLOOKUP(J480,Equipes!A:B,2,0)</f>
        <v>Palmeiras</v>
      </c>
      <c r="S480" s="6" t="s">
        <v>258</v>
      </c>
      <c r="T480" s="7">
        <v>8.0</v>
      </c>
      <c r="U480" s="7" t="s">
        <v>259</v>
      </c>
      <c r="V480" s="7" t="str">
        <f>VLOOKUP(U480,Jogadores!B:C,2,0)</f>
        <v>MF</v>
      </c>
      <c r="W480" s="8">
        <f>VLOOKUP(U480,Jogadores!B:D,3,0)</f>
        <v>25.16986301</v>
      </c>
      <c r="X480" s="7">
        <v>0.0</v>
      </c>
      <c r="Y480" s="7">
        <f>45+AB480</f>
        <v>96</v>
      </c>
      <c r="Z480" s="7">
        <f>VLOOKUP(A480,Jogos!A:L,3,0)</f>
        <v>51</v>
      </c>
      <c r="AA480" s="7">
        <f t="shared" si="7"/>
        <v>51</v>
      </c>
      <c r="AB480" s="7">
        <f>VLOOKUP(A480,Jogos!A:L,4,0)</f>
        <v>51</v>
      </c>
      <c r="AC480" s="7">
        <f t="shared" si="657"/>
        <v>51</v>
      </c>
      <c r="AD480" s="7"/>
      <c r="AE480" s="7"/>
      <c r="AF480" s="7">
        <f t="shared" si="9"/>
        <v>102</v>
      </c>
      <c r="AG480" s="7">
        <v>10216.7</v>
      </c>
      <c r="AH480" s="7">
        <v>4350.2</v>
      </c>
      <c r="AI480" s="7">
        <v>3406.5</v>
      </c>
      <c r="AJ480" s="7">
        <v>1487.1</v>
      </c>
      <c r="AK480" s="7">
        <v>677.2</v>
      </c>
      <c r="AL480" s="7">
        <v>295.8</v>
      </c>
      <c r="AM480" s="7">
        <v>117.0</v>
      </c>
      <c r="AN480" s="7">
        <v>52.0</v>
      </c>
      <c r="AO480" s="7">
        <v>31.7</v>
      </c>
      <c r="AP480" s="9">
        <f t="shared" ref="AP480:AR480" si="1497">AG480/$AF480</f>
        <v>100.1637255</v>
      </c>
      <c r="AQ480" s="9">
        <f t="shared" si="1497"/>
        <v>42.64901961</v>
      </c>
      <c r="AR480" s="9">
        <f t="shared" si="1497"/>
        <v>33.39705882</v>
      </c>
      <c r="AS480" s="9">
        <f t="shared" si="11"/>
        <v>76.04607843</v>
      </c>
      <c r="AT480" s="9">
        <f t="shared" ref="AT480:AV480" si="1498">AJ480/$AF480</f>
        <v>14.57941176</v>
      </c>
      <c r="AU480" s="9">
        <f t="shared" si="1498"/>
        <v>6.639215686</v>
      </c>
      <c r="AV480" s="9">
        <f t="shared" si="1498"/>
        <v>2.9</v>
      </c>
      <c r="AW480" s="9">
        <f t="shared" si="13"/>
        <v>9.539215686</v>
      </c>
      <c r="AX480" s="9">
        <f t="shared" ref="AX480:AY480" si="1499">AM480/$AF480</f>
        <v>1.147058824</v>
      </c>
      <c r="AY480" s="9">
        <f t="shared" si="1499"/>
        <v>0.5098039216</v>
      </c>
      <c r="AZ480" s="9">
        <f>VLOOKUP(A480,Jogos!A:BN,58,0)</f>
        <v>30.63</v>
      </c>
      <c r="BA480" s="9">
        <f>VLOOKUP(A480,Jogos!A:BN,59,0)</f>
        <v>20.56666667</v>
      </c>
      <c r="BB480" s="9">
        <f>VLOOKUP(A480,Jogos!A:BN,60,0)</f>
        <v>54.33333333</v>
      </c>
      <c r="BC480" s="9">
        <f>VLOOKUP(A480,Jogos!A:BN,61,0)</f>
        <v>31.41666667</v>
      </c>
      <c r="BD480" s="9">
        <f>VLOOKUP(A480,Jogos!A:BN,62,0)</f>
        <v>708.3333333</v>
      </c>
      <c r="BE480" s="9">
        <f>VLOOKUP(A480,Jogos!A:BN,63,0)</f>
        <v>2.436666667</v>
      </c>
      <c r="BF480" s="9">
        <f>VLOOKUP(A480,Jogos!A:BN,64,0)</f>
        <v>24.69333333</v>
      </c>
      <c r="BG480" s="9">
        <f>VLOOKUP(A480,Jogos!A:BN,65,0)</f>
        <v>44.21</v>
      </c>
      <c r="BH480" s="9">
        <f>VLOOKUP(A480,Jogos!A:BN,66,0)</f>
        <v>29.19</v>
      </c>
      <c r="BI480" s="9"/>
    </row>
    <row r="481" hidden="1">
      <c r="A481" s="2">
        <v>17.0</v>
      </c>
      <c r="B481" s="2" t="s">
        <v>60</v>
      </c>
      <c r="C481" s="2" t="s">
        <v>61</v>
      </c>
      <c r="D481" s="3">
        <v>45827.0</v>
      </c>
      <c r="E481" s="4">
        <v>0.5</v>
      </c>
      <c r="F481" s="5" t="str">
        <f>VLOOKUP(A481,Jogos!A:N,10,0)</f>
        <v>Afternoon</v>
      </c>
      <c r="G481" s="2" t="s">
        <v>249</v>
      </c>
      <c r="H481" s="6" t="str">
        <f>VLOOKUP(A481,Jogos!A:L,12,0)</f>
        <v>Open</v>
      </c>
      <c r="I481" s="6" t="str">
        <f>VLOOKUP(G481,'Estádios e Cidades'!A:B,2,0)</f>
        <v>East Rutherford</v>
      </c>
      <c r="J481" s="2" t="s">
        <v>250</v>
      </c>
      <c r="K481" s="2" t="str">
        <f>VLOOKUP(J481,Equipes!A:F,6,0)</f>
        <v>Temperate</v>
      </c>
      <c r="L481" s="2">
        <f>VLOOKUP(J481,Equipes!A:C,3,0)</f>
        <v>8</v>
      </c>
      <c r="M481" s="2" t="str">
        <f t="shared" si="4"/>
        <v>Quarter-final</v>
      </c>
      <c r="N481" s="2" t="s">
        <v>63</v>
      </c>
      <c r="O481" s="2">
        <f>VLOOKUP(N481,Equipes!A:C,3,0)</f>
        <v>25</v>
      </c>
      <c r="P481" s="2" t="str">
        <f t="shared" si="5"/>
        <v>Group</v>
      </c>
      <c r="Q481" s="2">
        <f t="shared" si="6"/>
        <v>-17</v>
      </c>
      <c r="R481" s="2" t="str">
        <f>VLOOKUP(J481,Equipes!A:B,2,0)</f>
        <v>Palmeiras</v>
      </c>
      <c r="S481" s="6" t="s">
        <v>260</v>
      </c>
      <c r="T481" s="7">
        <v>9.0</v>
      </c>
      <c r="U481" s="7" t="s">
        <v>261</v>
      </c>
      <c r="V481" s="7" t="str">
        <f>VLOOKUP(U481,Jogadores!B:C,2,0)</f>
        <v>FW</v>
      </c>
      <c r="W481" s="8">
        <f>VLOOKUP(U481,Jogadores!B:D,3,0)</f>
        <v>20.42465753</v>
      </c>
      <c r="X481" s="7">
        <v>0.0</v>
      </c>
      <c r="Y481" s="7">
        <v>45.0</v>
      </c>
      <c r="Z481" s="7">
        <f>VLOOKUP(A481,Jogos!A:L,3,0)</f>
        <v>51</v>
      </c>
      <c r="AA481" s="7">
        <f t="shared" si="7"/>
        <v>51</v>
      </c>
      <c r="AB481" s="7">
        <f>VLOOKUP(A481,Jogos!A:L,4,0)</f>
        <v>51</v>
      </c>
      <c r="AC481" s="7">
        <f t="shared" si="657"/>
        <v>0</v>
      </c>
      <c r="AD481" s="7"/>
      <c r="AE481" s="7"/>
      <c r="AF481" s="7">
        <f t="shared" si="9"/>
        <v>51</v>
      </c>
      <c r="AG481" s="7">
        <v>4795.4</v>
      </c>
      <c r="AH481" s="7">
        <v>2358.4</v>
      </c>
      <c r="AI481" s="7">
        <v>1550.4</v>
      </c>
      <c r="AJ481" s="7">
        <v>474.9</v>
      </c>
      <c r="AK481" s="7">
        <v>218.2</v>
      </c>
      <c r="AL481" s="7">
        <v>193.5</v>
      </c>
      <c r="AM481" s="7">
        <v>42.0</v>
      </c>
      <c r="AN481" s="7">
        <v>18.0</v>
      </c>
      <c r="AO481" s="7">
        <v>30.9</v>
      </c>
      <c r="AP481" s="9">
        <f t="shared" ref="AP481:AR481" si="1500">AG481/$AF481</f>
        <v>94.02745098</v>
      </c>
      <c r="AQ481" s="9">
        <f t="shared" si="1500"/>
        <v>46.24313725</v>
      </c>
      <c r="AR481" s="9">
        <f t="shared" si="1500"/>
        <v>30.4</v>
      </c>
      <c r="AS481" s="9">
        <f t="shared" si="11"/>
        <v>76.64313725</v>
      </c>
      <c r="AT481" s="9">
        <f t="shared" ref="AT481:AV481" si="1501">AJ481/$AF481</f>
        <v>9.311764706</v>
      </c>
      <c r="AU481" s="9">
        <f t="shared" si="1501"/>
        <v>4.278431373</v>
      </c>
      <c r="AV481" s="9">
        <f t="shared" si="1501"/>
        <v>3.794117647</v>
      </c>
      <c r="AW481" s="9">
        <f t="shared" si="13"/>
        <v>8.07254902</v>
      </c>
      <c r="AX481" s="9">
        <f t="shared" ref="AX481:AY481" si="1502">AM481/$AF481</f>
        <v>0.8235294118</v>
      </c>
      <c r="AY481" s="9">
        <f t="shared" si="1502"/>
        <v>0.3529411765</v>
      </c>
      <c r="AZ481" s="9">
        <f>VLOOKUP(A481,Jogos!A:BN,58,0)</f>
        <v>30.63</v>
      </c>
      <c r="BA481" s="9">
        <f>VLOOKUP(A481,Jogos!A:BN,59,0)</f>
        <v>20.56666667</v>
      </c>
      <c r="BB481" s="9">
        <f>VLOOKUP(A481,Jogos!A:BN,60,0)</f>
        <v>54.33333333</v>
      </c>
      <c r="BC481" s="9">
        <f>VLOOKUP(A481,Jogos!A:BN,61,0)</f>
        <v>31.41666667</v>
      </c>
      <c r="BD481" s="9">
        <f>VLOOKUP(A481,Jogos!A:BN,62,0)</f>
        <v>708.3333333</v>
      </c>
      <c r="BE481" s="9">
        <f>VLOOKUP(A481,Jogos!A:BN,63,0)</f>
        <v>2.436666667</v>
      </c>
      <c r="BF481" s="9">
        <f>VLOOKUP(A481,Jogos!A:BN,64,0)</f>
        <v>24.69333333</v>
      </c>
      <c r="BG481" s="9">
        <f>VLOOKUP(A481,Jogos!A:BN,65,0)</f>
        <v>44.21</v>
      </c>
      <c r="BH481" s="9">
        <f>VLOOKUP(A481,Jogos!A:BN,66,0)</f>
        <v>29.19</v>
      </c>
      <c r="BI481" s="9"/>
    </row>
    <row r="482" hidden="1">
      <c r="A482" s="2">
        <v>17.0</v>
      </c>
      <c r="B482" s="2" t="s">
        <v>60</v>
      </c>
      <c r="C482" s="2" t="s">
        <v>61</v>
      </c>
      <c r="D482" s="3">
        <v>45827.0</v>
      </c>
      <c r="E482" s="4">
        <v>0.5</v>
      </c>
      <c r="F482" s="5" t="str">
        <f>VLOOKUP(A482,Jogos!A:N,10,0)</f>
        <v>Afternoon</v>
      </c>
      <c r="G482" s="2" t="s">
        <v>249</v>
      </c>
      <c r="H482" s="6" t="str">
        <f>VLOOKUP(A482,Jogos!A:L,12,0)</f>
        <v>Open</v>
      </c>
      <c r="I482" s="6" t="str">
        <f>VLOOKUP(G482,'Estádios e Cidades'!A:B,2,0)</f>
        <v>East Rutherford</v>
      </c>
      <c r="J482" s="2" t="s">
        <v>250</v>
      </c>
      <c r="K482" s="2" t="str">
        <f>VLOOKUP(J482,Equipes!A:F,6,0)</f>
        <v>Temperate</v>
      </c>
      <c r="L482" s="2">
        <f>VLOOKUP(J482,Equipes!A:C,3,0)</f>
        <v>8</v>
      </c>
      <c r="M482" s="2" t="str">
        <f t="shared" si="4"/>
        <v>Quarter-final</v>
      </c>
      <c r="N482" s="2" t="s">
        <v>63</v>
      </c>
      <c r="O482" s="2">
        <f>VLOOKUP(N482,Equipes!A:C,3,0)</f>
        <v>25</v>
      </c>
      <c r="P482" s="2" t="str">
        <f t="shared" si="5"/>
        <v>Group</v>
      </c>
      <c r="Q482" s="2">
        <f t="shared" si="6"/>
        <v>-17</v>
      </c>
      <c r="R482" s="2" t="str">
        <f>VLOOKUP(J482,Equipes!A:B,2,0)</f>
        <v>Palmeiras</v>
      </c>
      <c r="S482" s="6" t="s">
        <v>262</v>
      </c>
      <c r="T482" s="7">
        <v>15.0</v>
      </c>
      <c r="U482" s="7" t="s">
        <v>263</v>
      </c>
      <c r="V482" s="7" t="str">
        <f>VLOOKUP(U482,Jogadores!B:C,2,0)</f>
        <v>DF</v>
      </c>
      <c r="W482" s="8">
        <f>VLOOKUP(U482,Jogadores!B:D,3,0)</f>
        <v>32.24931507</v>
      </c>
      <c r="X482" s="7">
        <v>0.0</v>
      </c>
      <c r="Y482" s="7">
        <f>45+AB482</f>
        <v>96</v>
      </c>
      <c r="Z482" s="7">
        <f>VLOOKUP(A482,Jogos!A:L,3,0)</f>
        <v>51</v>
      </c>
      <c r="AA482" s="7">
        <f t="shared" si="7"/>
        <v>51</v>
      </c>
      <c r="AB482" s="7">
        <f>VLOOKUP(A482,Jogos!A:L,4,0)</f>
        <v>51</v>
      </c>
      <c r="AC482" s="7">
        <f t="shared" si="657"/>
        <v>51</v>
      </c>
      <c r="AD482" s="7"/>
      <c r="AE482" s="7"/>
      <c r="AF482" s="7">
        <f t="shared" si="9"/>
        <v>102</v>
      </c>
      <c r="AG482" s="7">
        <v>9363.3</v>
      </c>
      <c r="AH482" s="7">
        <v>4508.5</v>
      </c>
      <c r="AI482" s="7">
        <v>3125.1</v>
      </c>
      <c r="AJ482" s="7">
        <v>1122.6</v>
      </c>
      <c r="AK482" s="7">
        <v>472.4</v>
      </c>
      <c r="AL482" s="7">
        <v>134.6</v>
      </c>
      <c r="AM482" s="7">
        <v>89.0</v>
      </c>
      <c r="AN482" s="7">
        <v>39.0</v>
      </c>
      <c r="AO482" s="7">
        <v>31.1</v>
      </c>
      <c r="AP482" s="9">
        <f t="shared" ref="AP482:AR482" si="1503">AG482/$AF482</f>
        <v>91.79705882</v>
      </c>
      <c r="AQ482" s="9">
        <f t="shared" si="1503"/>
        <v>44.20098039</v>
      </c>
      <c r="AR482" s="9">
        <f t="shared" si="1503"/>
        <v>30.63823529</v>
      </c>
      <c r="AS482" s="9">
        <f t="shared" si="11"/>
        <v>74.83921569</v>
      </c>
      <c r="AT482" s="9">
        <f t="shared" ref="AT482:AV482" si="1504">AJ482/$AF482</f>
        <v>11.00588235</v>
      </c>
      <c r="AU482" s="9">
        <f t="shared" si="1504"/>
        <v>4.631372549</v>
      </c>
      <c r="AV482" s="9">
        <f t="shared" si="1504"/>
        <v>1.319607843</v>
      </c>
      <c r="AW482" s="9">
        <f t="shared" si="13"/>
        <v>5.950980392</v>
      </c>
      <c r="AX482" s="9">
        <f t="shared" ref="AX482:AY482" si="1505">AM482/$AF482</f>
        <v>0.8725490196</v>
      </c>
      <c r="AY482" s="9">
        <f t="shared" si="1505"/>
        <v>0.3823529412</v>
      </c>
      <c r="AZ482" s="9">
        <f>VLOOKUP(A482,Jogos!A:BN,58,0)</f>
        <v>30.63</v>
      </c>
      <c r="BA482" s="9">
        <f>VLOOKUP(A482,Jogos!A:BN,59,0)</f>
        <v>20.56666667</v>
      </c>
      <c r="BB482" s="9">
        <f>VLOOKUP(A482,Jogos!A:BN,60,0)</f>
        <v>54.33333333</v>
      </c>
      <c r="BC482" s="9">
        <f>VLOOKUP(A482,Jogos!A:BN,61,0)</f>
        <v>31.41666667</v>
      </c>
      <c r="BD482" s="9">
        <f>VLOOKUP(A482,Jogos!A:BN,62,0)</f>
        <v>708.3333333</v>
      </c>
      <c r="BE482" s="9">
        <f>VLOOKUP(A482,Jogos!A:BN,63,0)</f>
        <v>2.436666667</v>
      </c>
      <c r="BF482" s="9">
        <f>VLOOKUP(A482,Jogos!A:BN,64,0)</f>
        <v>24.69333333</v>
      </c>
      <c r="BG482" s="9">
        <f>VLOOKUP(A482,Jogos!A:BN,65,0)</f>
        <v>44.21</v>
      </c>
      <c r="BH482" s="9">
        <f>VLOOKUP(A482,Jogos!A:BN,66,0)</f>
        <v>29.19</v>
      </c>
      <c r="BI482" s="9"/>
    </row>
    <row r="483" hidden="1">
      <c r="A483" s="2">
        <v>17.0</v>
      </c>
      <c r="B483" s="2" t="s">
        <v>60</v>
      </c>
      <c r="C483" s="2" t="s">
        <v>61</v>
      </c>
      <c r="D483" s="3">
        <v>45827.0</v>
      </c>
      <c r="E483" s="4">
        <v>0.5</v>
      </c>
      <c r="F483" s="5" t="str">
        <f>VLOOKUP(A483,Jogos!A:N,10,0)</f>
        <v>Afternoon</v>
      </c>
      <c r="G483" s="2" t="s">
        <v>249</v>
      </c>
      <c r="H483" s="6" t="str">
        <f>VLOOKUP(A483,Jogos!A:L,12,0)</f>
        <v>Open</v>
      </c>
      <c r="I483" s="6" t="str">
        <f>VLOOKUP(G483,'Estádios e Cidades'!A:B,2,0)</f>
        <v>East Rutherford</v>
      </c>
      <c r="J483" s="2" t="s">
        <v>250</v>
      </c>
      <c r="K483" s="2" t="str">
        <f>VLOOKUP(J483,Equipes!A:F,6,0)</f>
        <v>Temperate</v>
      </c>
      <c r="L483" s="2">
        <f>VLOOKUP(J483,Equipes!A:C,3,0)</f>
        <v>8</v>
      </c>
      <c r="M483" s="2" t="str">
        <f t="shared" si="4"/>
        <v>Quarter-final</v>
      </c>
      <c r="N483" s="2" t="s">
        <v>63</v>
      </c>
      <c r="O483" s="2">
        <f>VLOOKUP(N483,Equipes!A:C,3,0)</f>
        <v>25</v>
      </c>
      <c r="P483" s="2" t="str">
        <f t="shared" si="5"/>
        <v>Group</v>
      </c>
      <c r="Q483" s="2">
        <f t="shared" si="6"/>
        <v>-17</v>
      </c>
      <c r="R483" s="2" t="str">
        <f>VLOOKUP(J483,Equipes!A:B,2,0)</f>
        <v>Palmeiras</v>
      </c>
      <c r="S483" s="6" t="s">
        <v>1060</v>
      </c>
      <c r="T483" s="7">
        <v>17.0</v>
      </c>
      <c r="U483" s="7" t="s">
        <v>1061</v>
      </c>
      <c r="V483" s="7" t="str">
        <f>VLOOKUP(U483,Jogadores!B:C,2,0)</f>
        <v>FW</v>
      </c>
      <c r="W483" s="8">
        <f>VLOOKUP(U483,Jogadores!B:D,3,0)</f>
        <v>25.30684932</v>
      </c>
      <c r="X483" s="7">
        <v>0.0</v>
      </c>
      <c r="Y483" s="7">
        <v>76.0</v>
      </c>
      <c r="Z483" s="7">
        <f>VLOOKUP(A483,Jogos!A:L,3,0)</f>
        <v>51</v>
      </c>
      <c r="AA483" s="7">
        <f t="shared" si="7"/>
        <v>51</v>
      </c>
      <c r="AB483" s="7">
        <f>VLOOKUP(A483,Jogos!A:L,4,0)</f>
        <v>51</v>
      </c>
      <c r="AC483" s="7">
        <f t="shared" si="657"/>
        <v>31</v>
      </c>
      <c r="AD483" s="7"/>
      <c r="AE483" s="7"/>
      <c r="AF483" s="7">
        <f t="shared" si="9"/>
        <v>82</v>
      </c>
      <c r="AG483" s="7">
        <v>8429.3</v>
      </c>
      <c r="AH483" s="7">
        <v>3122.7</v>
      </c>
      <c r="AI483" s="7">
        <v>3357.7</v>
      </c>
      <c r="AJ483" s="7">
        <v>1189.1</v>
      </c>
      <c r="AK483" s="7">
        <v>580.6</v>
      </c>
      <c r="AL483" s="7">
        <v>179.2</v>
      </c>
      <c r="AM483" s="7">
        <v>103.0</v>
      </c>
      <c r="AN483" s="7">
        <v>44.0</v>
      </c>
      <c r="AO483" s="7">
        <v>40.0</v>
      </c>
      <c r="AP483" s="9">
        <f t="shared" ref="AP483:AR483" si="1506">AG483/$AF483</f>
        <v>102.7963415</v>
      </c>
      <c r="AQ483" s="9">
        <f t="shared" si="1506"/>
        <v>38.08170732</v>
      </c>
      <c r="AR483" s="9">
        <f t="shared" si="1506"/>
        <v>40.94756098</v>
      </c>
      <c r="AS483" s="9">
        <f t="shared" si="11"/>
        <v>79.02926829</v>
      </c>
      <c r="AT483" s="9">
        <f t="shared" ref="AT483:AV483" si="1507">AJ483/$AF483</f>
        <v>14.50121951</v>
      </c>
      <c r="AU483" s="9">
        <f t="shared" si="1507"/>
        <v>7.080487805</v>
      </c>
      <c r="AV483" s="9">
        <f t="shared" si="1507"/>
        <v>2.185365854</v>
      </c>
      <c r="AW483" s="9">
        <f t="shared" si="13"/>
        <v>9.265853659</v>
      </c>
      <c r="AX483" s="9">
        <f t="shared" ref="AX483:AY483" si="1508">AM483/$AF483</f>
        <v>1.256097561</v>
      </c>
      <c r="AY483" s="9">
        <f t="shared" si="1508"/>
        <v>0.5365853659</v>
      </c>
      <c r="AZ483" s="9">
        <f>VLOOKUP(A483,Jogos!A:BN,58,0)</f>
        <v>30.63</v>
      </c>
      <c r="BA483" s="9">
        <f>VLOOKUP(A483,Jogos!A:BN,59,0)</f>
        <v>20.56666667</v>
      </c>
      <c r="BB483" s="9">
        <f>VLOOKUP(A483,Jogos!A:BN,60,0)</f>
        <v>54.33333333</v>
      </c>
      <c r="BC483" s="9">
        <f>VLOOKUP(A483,Jogos!A:BN,61,0)</f>
        <v>31.41666667</v>
      </c>
      <c r="BD483" s="9">
        <f>VLOOKUP(A483,Jogos!A:BN,62,0)</f>
        <v>708.3333333</v>
      </c>
      <c r="BE483" s="9">
        <f>VLOOKUP(A483,Jogos!A:BN,63,0)</f>
        <v>2.436666667</v>
      </c>
      <c r="BF483" s="9">
        <f>VLOOKUP(A483,Jogos!A:BN,64,0)</f>
        <v>24.69333333</v>
      </c>
      <c r="BG483" s="9">
        <f>VLOOKUP(A483,Jogos!A:BN,65,0)</f>
        <v>44.21</v>
      </c>
      <c r="BH483" s="9">
        <f>VLOOKUP(A483,Jogos!A:BN,66,0)</f>
        <v>29.19</v>
      </c>
      <c r="BI483" s="9"/>
    </row>
    <row r="484" hidden="1">
      <c r="A484" s="2">
        <v>17.0</v>
      </c>
      <c r="B484" s="2" t="s">
        <v>60</v>
      </c>
      <c r="C484" s="2" t="s">
        <v>61</v>
      </c>
      <c r="D484" s="3">
        <v>45827.0</v>
      </c>
      <c r="E484" s="4">
        <v>0.5</v>
      </c>
      <c r="F484" s="5" t="str">
        <f>VLOOKUP(A484,Jogos!A:N,10,0)</f>
        <v>Afternoon</v>
      </c>
      <c r="G484" s="2" t="s">
        <v>249</v>
      </c>
      <c r="H484" s="6" t="str">
        <f>VLOOKUP(A484,Jogos!A:L,12,0)</f>
        <v>Open</v>
      </c>
      <c r="I484" s="6" t="str">
        <f>VLOOKUP(G484,'Estádios e Cidades'!A:B,2,0)</f>
        <v>East Rutherford</v>
      </c>
      <c r="J484" s="2" t="s">
        <v>250</v>
      </c>
      <c r="K484" s="2" t="str">
        <f>VLOOKUP(J484,Equipes!A:F,6,0)</f>
        <v>Temperate</v>
      </c>
      <c r="L484" s="2">
        <f>VLOOKUP(J484,Equipes!A:C,3,0)</f>
        <v>8</v>
      </c>
      <c r="M484" s="2" t="str">
        <f t="shared" si="4"/>
        <v>Quarter-final</v>
      </c>
      <c r="N484" s="2" t="s">
        <v>63</v>
      </c>
      <c r="O484" s="2">
        <f>VLOOKUP(N484,Equipes!A:C,3,0)</f>
        <v>25</v>
      </c>
      <c r="P484" s="2" t="str">
        <f t="shared" si="5"/>
        <v>Group</v>
      </c>
      <c r="Q484" s="2">
        <f t="shared" si="6"/>
        <v>-17</v>
      </c>
      <c r="R484" s="2" t="str">
        <f>VLOOKUP(J484,Equipes!A:B,2,0)</f>
        <v>Palmeiras</v>
      </c>
      <c r="S484" s="6" t="s">
        <v>266</v>
      </c>
      <c r="T484" s="7">
        <v>22.0</v>
      </c>
      <c r="U484" s="7" t="s">
        <v>267</v>
      </c>
      <c r="V484" s="7" t="str">
        <f>VLOOKUP(U484,Jogadores!B:C,2,0)</f>
        <v>DF</v>
      </c>
      <c r="W484" s="8">
        <f>VLOOKUP(U484,Jogadores!B:D,3,0)</f>
        <v>26.94520548</v>
      </c>
      <c r="X484" s="7">
        <v>0.0</v>
      </c>
      <c r="Y484" s="7">
        <f>45+AB484</f>
        <v>96</v>
      </c>
      <c r="Z484" s="7">
        <f>VLOOKUP(A484,Jogos!A:L,3,0)</f>
        <v>51</v>
      </c>
      <c r="AA484" s="7">
        <f t="shared" si="7"/>
        <v>51</v>
      </c>
      <c r="AB484" s="7">
        <f>VLOOKUP(A484,Jogos!A:L,4,0)</f>
        <v>51</v>
      </c>
      <c r="AC484" s="7">
        <f t="shared" si="657"/>
        <v>51</v>
      </c>
      <c r="AD484" s="7"/>
      <c r="AE484" s="7"/>
      <c r="AF484" s="7">
        <f t="shared" si="9"/>
        <v>102</v>
      </c>
      <c r="AG484" s="7">
        <v>9699.2</v>
      </c>
      <c r="AH484" s="7">
        <v>4534.1</v>
      </c>
      <c r="AI484" s="7">
        <v>3216.7</v>
      </c>
      <c r="AJ484" s="7">
        <v>1058.2</v>
      </c>
      <c r="AK484" s="7">
        <v>582.9</v>
      </c>
      <c r="AL484" s="7">
        <v>307.2</v>
      </c>
      <c r="AM484" s="7">
        <v>92.0</v>
      </c>
      <c r="AN484" s="7">
        <v>47.0</v>
      </c>
      <c r="AO484" s="7">
        <v>43.6</v>
      </c>
      <c r="AP484" s="9">
        <f t="shared" ref="AP484:AR484" si="1509">AG484/$AF484</f>
        <v>95.09019608</v>
      </c>
      <c r="AQ484" s="9">
        <f t="shared" si="1509"/>
        <v>44.45196078</v>
      </c>
      <c r="AR484" s="9">
        <f t="shared" si="1509"/>
        <v>31.53627451</v>
      </c>
      <c r="AS484" s="9">
        <f t="shared" si="11"/>
        <v>75.98823529</v>
      </c>
      <c r="AT484" s="9">
        <f t="shared" ref="AT484:AV484" si="1510">AJ484/$AF484</f>
        <v>10.3745098</v>
      </c>
      <c r="AU484" s="9">
        <f t="shared" si="1510"/>
        <v>5.714705882</v>
      </c>
      <c r="AV484" s="9">
        <f t="shared" si="1510"/>
        <v>3.011764706</v>
      </c>
      <c r="AW484" s="9">
        <f t="shared" si="13"/>
        <v>8.726470588</v>
      </c>
      <c r="AX484" s="9">
        <f t="shared" ref="AX484:AY484" si="1511">AM484/$AF484</f>
        <v>0.9019607843</v>
      </c>
      <c r="AY484" s="9">
        <f t="shared" si="1511"/>
        <v>0.4607843137</v>
      </c>
      <c r="AZ484" s="9">
        <f>VLOOKUP(A484,Jogos!A:BN,58,0)</f>
        <v>30.63</v>
      </c>
      <c r="BA484" s="9">
        <f>VLOOKUP(A484,Jogos!A:BN,59,0)</f>
        <v>20.56666667</v>
      </c>
      <c r="BB484" s="9">
        <f>VLOOKUP(A484,Jogos!A:BN,60,0)</f>
        <v>54.33333333</v>
      </c>
      <c r="BC484" s="9">
        <f>VLOOKUP(A484,Jogos!A:BN,61,0)</f>
        <v>31.41666667</v>
      </c>
      <c r="BD484" s="9">
        <f>VLOOKUP(A484,Jogos!A:BN,62,0)</f>
        <v>708.3333333</v>
      </c>
      <c r="BE484" s="9">
        <f>VLOOKUP(A484,Jogos!A:BN,63,0)</f>
        <v>2.436666667</v>
      </c>
      <c r="BF484" s="9">
        <f>VLOOKUP(A484,Jogos!A:BN,64,0)</f>
        <v>24.69333333</v>
      </c>
      <c r="BG484" s="9">
        <f>VLOOKUP(A484,Jogos!A:BN,65,0)</f>
        <v>44.21</v>
      </c>
      <c r="BH484" s="9">
        <f>VLOOKUP(A484,Jogos!A:BN,66,0)</f>
        <v>29.19</v>
      </c>
      <c r="BI484" s="9"/>
    </row>
    <row r="485" hidden="1">
      <c r="A485" s="2">
        <v>17.0</v>
      </c>
      <c r="B485" s="2" t="s">
        <v>60</v>
      </c>
      <c r="C485" s="2" t="s">
        <v>61</v>
      </c>
      <c r="D485" s="3">
        <v>45827.0</v>
      </c>
      <c r="E485" s="4">
        <v>0.5</v>
      </c>
      <c r="F485" s="5" t="str">
        <f>VLOOKUP(A485,Jogos!A:N,10,0)</f>
        <v>Afternoon</v>
      </c>
      <c r="G485" s="2" t="s">
        <v>249</v>
      </c>
      <c r="H485" s="6" t="str">
        <f>VLOOKUP(A485,Jogos!A:L,12,0)</f>
        <v>Open</v>
      </c>
      <c r="I485" s="6" t="str">
        <f>VLOOKUP(G485,'Estádios e Cidades'!A:B,2,0)</f>
        <v>East Rutherford</v>
      </c>
      <c r="J485" s="2" t="s">
        <v>250</v>
      </c>
      <c r="K485" s="2" t="str">
        <f>VLOOKUP(J485,Equipes!A:F,6,0)</f>
        <v>Temperate</v>
      </c>
      <c r="L485" s="2">
        <f>VLOOKUP(J485,Equipes!A:C,3,0)</f>
        <v>8</v>
      </c>
      <c r="M485" s="2" t="str">
        <f t="shared" si="4"/>
        <v>Quarter-final</v>
      </c>
      <c r="N485" s="2" t="s">
        <v>63</v>
      </c>
      <c r="O485" s="2">
        <f>VLOOKUP(N485,Equipes!A:C,3,0)</f>
        <v>25</v>
      </c>
      <c r="P485" s="2" t="str">
        <f t="shared" si="5"/>
        <v>Group</v>
      </c>
      <c r="Q485" s="2">
        <f t="shared" si="6"/>
        <v>-17</v>
      </c>
      <c r="R485" s="2" t="str">
        <f>VLOOKUP(J485,Equipes!A:B,2,0)</f>
        <v>Palmeiras</v>
      </c>
      <c r="S485" s="6" t="s">
        <v>274</v>
      </c>
      <c r="T485" s="7">
        <v>23.0</v>
      </c>
      <c r="U485" s="7" t="s">
        <v>275</v>
      </c>
      <c r="V485" s="7" t="str">
        <f>VLOOKUP(U485,Jogadores!B:C,2,0)</f>
        <v>MF</v>
      </c>
      <c r="W485" s="8">
        <f>VLOOKUP(U485,Jogadores!B:D,3,0)</f>
        <v>30.12876712</v>
      </c>
      <c r="X485" s="7">
        <v>0.0</v>
      </c>
      <c r="Y485" s="7">
        <v>45.0</v>
      </c>
      <c r="Z485" s="7">
        <f>VLOOKUP(A485,Jogos!A:L,3,0)</f>
        <v>51</v>
      </c>
      <c r="AA485" s="7">
        <f t="shared" si="7"/>
        <v>51</v>
      </c>
      <c r="AB485" s="7">
        <f>VLOOKUP(A485,Jogos!A:L,4,0)</f>
        <v>51</v>
      </c>
      <c r="AC485" s="7">
        <f t="shared" si="657"/>
        <v>0</v>
      </c>
      <c r="AD485" s="7"/>
      <c r="AE485" s="7"/>
      <c r="AF485" s="7">
        <f t="shared" si="9"/>
        <v>51</v>
      </c>
      <c r="AG485" s="7">
        <v>5720.2</v>
      </c>
      <c r="AH485" s="7">
        <v>2078.7</v>
      </c>
      <c r="AI485" s="7">
        <v>2196.4</v>
      </c>
      <c r="AJ485" s="7">
        <v>982.9</v>
      </c>
      <c r="AK485" s="7">
        <v>319.8</v>
      </c>
      <c r="AL485" s="7">
        <v>142.4</v>
      </c>
      <c r="AM485" s="7">
        <v>80.0</v>
      </c>
      <c r="AN485" s="7">
        <v>35.0</v>
      </c>
      <c r="AO485" s="7">
        <v>30.8</v>
      </c>
      <c r="AP485" s="9">
        <f t="shared" ref="AP485:AR485" si="1512">AG485/$AF485</f>
        <v>112.1607843</v>
      </c>
      <c r="AQ485" s="9">
        <f t="shared" si="1512"/>
        <v>40.75882353</v>
      </c>
      <c r="AR485" s="9">
        <f t="shared" si="1512"/>
        <v>43.06666667</v>
      </c>
      <c r="AS485" s="9">
        <f t="shared" si="11"/>
        <v>83.8254902</v>
      </c>
      <c r="AT485" s="9">
        <f t="shared" ref="AT485:AV485" si="1513">AJ485/$AF485</f>
        <v>19.27254902</v>
      </c>
      <c r="AU485" s="9">
        <f t="shared" si="1513"/>
        <v>6.270588235</v>
      </c>
      <c r="AV485" s="9">
        <f t="shared" si="1513"/>
        <v>2.792156863</v>
      </c>
      <c r="AW485" s="9">
        <f t="shared" si="13"/>
        <v>9.062745098</v>
      </c>
      <c r="AX485" s="9">
        <f t="shared" ref="AX485:AY485" si="1514">AM485/$AF485</f>
        <v>1.568627451</v>
      </c>
      <c r="AY485" s="9">
        <f t="shared" si="1514"/>
        <v>0.6862745098</v>
      </c>
      <c r="AZ485" s="9">
        <f>VLOOKUP(A485,Jogos!A:BN,58,0)</f>
        <v>30.63</v>
      </c>
      <c r="BA485" s="9">
        <f>VLOOKUP(A485,Jogos!A:BN,59,0)</f>
        <v>20.56666667</v>
      </c>
      <c r="BB485" s="9">
        <f>VLOOKUP(A485,Jogos!A:BN,60,0)</f>
        <v>54.33333333</v>
      </c>
      <c r="BC485" s="9">
        <f>VLOOKUP(A485,Jogos!A:BN,61,0)</f>
        <v>31.41666667</v>
      </c>
      <c r="BD485" s="9">
        <f>VLOOKUP(A485,Jogos!A:BN,62,0)</f>
        <v>708.3333333</v>
      </c>
      <c r="BE485" s="9">
        <f>VLOOKUP(A485,Jogos!A:BN,63,0)</f>
        <v>2.436666667</v>
      </c>
      <c r="BF485" s="9">
        <f>VLOOKUP(A485,Jogos!A:BN,64,0)</f>
        <v>24.69333333</v>
      </c>
      <c r="BG485" s="9">
        <f>VLOOKUP(A485,Jogos!A:BN,65,0)</f>
        <v>44.21</v>
      </c>
      <c r="BH485" s="9">
        <f>VLOOKUP(A485,Jogos!A:BN,66,0)</f>
        <v>29.19</v>
      </c>
      <c r="BI485" s="9"/>
    </row>
    <row r="486" hidden="1">
      <c r="A486" s="2">
        <v>17.0</v>
      </c>
      <c r="B486" s="2" t="s">
        <v>60</v>
      </c>
      <c r="C486" s="2" t="s">
        <v>61</v>
      </c>
      <c r="D486" s="3">
        <v>45827.0</v>
      </c>
      <c r="E486" s="4">
        <v>0.5</v>
      </c>
      <c r="F486" s="5" t="str">
        <f>VLOOKUP(A486,Jogos!A:N,10,0)</f>
        <v>Afternoon</v>
      </c>
      <c r="G486" s="2" t="s">
        <v>249</v>
      </c>
      <c r="H486" s="6" t="str">
        <f>VLOOKUP(A486,Jogos!A:L,12,0)</f>
        <v>Open</v>
      </c>
      <c r="I486" s="6" t="str">
        <f>VLOOKUP(G486,'Estádios e Cidades'!A:B,2,0)</f>
        <v>East Rutherford</v>
      </c>
      <c r="J486" s="2" t="s">
        <v>250</v>
      </c>
      <c r="K486" s="2" t="str">
        <f>VLOOKUP(J486,Equipes!A:F,6,0)</f>
        <v>Temperate</v>
      </c>
      <c r="L486" s="2">
        <f>VLOOKUP(J486,Equipes!A:C,3,0)</f>
        <v>8</v>
      </c>
      <c r="M486" s="2" t="str">
        <f t="shared" si="4"/>
        <v>Quarter-final</v>
      </c>
      <c r="N486" s="2" t="s">
        <v>63</v>
      </c>
      <c r="O486" s="2">
        <f>VLOOKUP(N486,Equipes!A:C,3,0)</f>
        <v>25</v>
      </c>
      <c r="P486" s="2" t="str">
        <f t="shared" si="5"/>
        <v>Group</v>
      </c>
      <c r="Q486" s="2">
        <f t="shared" si="6"/>
        <v>-17</v>
      </c>
      <c r="R486" s="2" t="str">
        <f>VLOOKUP(J486,Equipes!A:B,2,0)</f>
        <v>Palmeiras</v>
      </c>
      <c r="S486" s="6" t="s">
        <v>268</v>
      </c>
      <c r="T486" s="7">
        <v>26.0</v>
      </c>
      <c r="U486" s="7" t="s">
        <v>269</v>
      </c>
      <c r="V486" s="7" t="str">
        <f>VLOOKUP(U486,Jogadores!B:C,2,0)</f>
        <v>DF</v>
      </c>
      <c r="W486" s="8">
        <f>VLOOKUP(U486,Jogadores!B:D,3,0)</f>
        <v>28.35616438</v>
      </c>
      <c r="X486" s="7">
        <v>0.0</v>
      </c>
      <c r="Y486" s="7">
        <f>45+AB486</f>
        <v>96</v>
      </c>
      <c r="Z486" s="7">
        <f>VLOOKUP(A486,Jogos!A:L,3,0)</f>
        <v>51</v>
      </c>
      <c r="AA486" s="7">
        <f t="shared" si="7"/>
        <v>51</v>
      </c>
      <c r="AB486" s="7">
        <f>VLOOKUP(A486,Jogos!A:L,4,0)</f>
        <v>51</v>
      </c>
      <c r="AC486" s="7">
        <f t="shared" si="657"/>
        <v>51</v>
      </c>
      <c r="AD486" s="7"/>
      <c r="AE486" s="7"/>
      <c r="AF486" s="7">
        <f t="shared" si="9"/>
        <v>102</v>
      </c>
      <c r="AG486" s="7">
        <v>8743.9</v>
      </c>
      <c r="AH486" s="7">
        <v>3918.0</v>
      </c>
      <c r="AI486" s="7">
        <v>3306.0</v>
      </c>
      <c r="AJ486" s="7">
        <v>885.5</v>
      </c>
      <c r="AK486" s="7">
        <v>446.7</v>
      </c>
      <c r="AL486" s="7">
        <v>187.6</v>
      </c>
      <c r="AM486" s="7">
        <v>79.0</v>
      </c>
      <c r="AN486" s="7">
        <v>29.0</v>
      </c>
      <c r="AO486" s="7">
        <v>31.8</v>
      </c>
      <c r="AP486" s="9">
        <f t="shared" ref="AP486:AR486" si="1515">AG486/$AF486</f>
        <v>85.7245098</v>
      </c>
      <c r="AQ486" s="9">
        <f t="shared" si="1515"/>
        <v>38.41176471</v>
      </c>
      <c r="AR486" s="9">
        <f t="shared" si="1515"/>
        <v>32.41176471</v>
      </c>
      <c r="AS486" s="9">
        <f t="shared" si="11"/>
        <v>70.82352941</v>
      </c>
      <c r="AT486" s="9">
        <f t="shared" ref="AT486:AV486" si="1516">AJ486/$AF486</f>
        <v>8.681372549</v>
      </c>
      <c r="AU486" s="9">
        <f t="shared" si="1516"/>
        <v>4.379411765</v>
      </c>
      <c r="AV486" s="9">
        <f t="shared" si="1516"/>
        <v>1.839215686</v>
      </c>
      <c r="AW486" s="9">
        <f t="shared" si="13"/>
        <v>6.218627451</v>
      </c>
      <c r="AX486" s="9">
        <f t="shared" ref="AX486:AY486" si="1517">AM486/$AF486</f>
        <v>0.7745098039</v>
      </c>
      <c r="AY486" s="9">
        <f t="shared" si="1517"/>
        <v>0.2843137255</v>
      </c>
      <c r="AZ486" s="9">
        <f>VLOOKUP(A486,Jogos!A:BN,58,0)</f>
        <v>30.63</v>
      </c>
      <c r="BA486" s="9">
        <f>VLOOKUP(A486,Jogos!A:BN,59,0)</f>
        <v>20.56666667</v>
      </c>
      <c r="BB486" s="9">
        <f>VLOOKUP(A486,Jogos!A:BN,60,0)</f>
        <v>54.33333333</v>
      </c>
      <c r="BC486" s="9">
        <f>VLOOKUP(A486,Jogos!A:BN,61,0)</f>
        <v>31.41666667</v>
      </c>
      <c r="BD486" s="9">
        <f>VLOOKUP(A486,Jogos!A:BN,62,0)</f>
        <v>708.3333333</v>
      </c>
      <c r="BE486" s="9">
        <f>VLOOKUP(A486,Jogos!A:BN,63,0)</f>
        <v>2.436666667</v>
      </c>
      <c r="BF486" s="9">
        <f>VLOOKUP(A486,Jogos!A:BN,64,0)</f>
        <v>24.69333333</v>
      </c>
      <c r="BG486" s="9">
        <f>VLOOKUP(A486,Jogos!A:BN,65,0)</f>
        <v>44.21</v>
      </c>
      <c r="BH486" s="9">
        <f>VLOOKUP(A486,Jogos!A:BN,66,0)</f>
        <v>29.19</v>
      </c>
      <c r="BI486" s="9"/>
    </row>
    <row r="487" hidden="1">
      <c r="A487" s="2">
        <v>17.0</v>
      </c>
      <c r="B487" s="2" t="s">
        <v>60</v>
      </c>
      <c r="C487" s="2" t="s">
        <v>61</v>
      </c>
      <c r="D487" s="3">
        <v>45827.0</v>
      </c>
      <c r="E487" s="4">
        <v>0.5</v>
      </c>
      <c r="F487" s="5" t="str">
        <f>VLOOKUP(A487,Jogos!A:N,10,0)</f>
        <v>Afternoon</v>
      </c>
      <c r="G487" s="2" t="s">
        <v>249</v>
      </c>
      <c r="H487" s="6" t="str">
        <f>VLOOKUP(A487,Jogos!A:L,12,0)</f>
        <v>Open</v>
      </c>
      <c r="I487" s="6" t="str">
        <f>VLOOKUP(G487,'Estádios e Cidades'!A:B,2,0)</f>
        <v>East Rutherford</v>
      </c>
      <c r="J487" s="2" t="s">
        <v>250</v>
      </c>
      <c r="K487" s="2" t="str">
        <f>VLOOKUP(J487,Equipes!A:F,6,0)</f>
        <v>Temperate</v>
      </c>
      <c r="L487" s="2">
        <f>VLOOKUP(J487,Equipes!A:C,3,0)</f>
        <v>8</v>
      </c>
      <c r="M487" s="2" t="str">
        <f t="shared" si="4"/>
        <v>Quarter-final</v>
      </c>
      <c r="N487" s="2" t="s">
        <v>63</v>
      </c>
      <c r="O487" s="2">
        <f>VLOOKUP(N487,Equipes!A:C,3,0)</f>
        <v>25</v>
      </c>
      <c r="P487" s="2" t="str">
        <f t="shared" si="5"/>
        <v>Group</v>
      </c>
      <c r="Q487" s="2">
        <f t="shared" si="6"/>
        <v>-17</v>
      </c>
      <c r="R487" s="2" t="str">
        <f>VLOOKUP(J487,Equipes!A:B,2,0)</f>
        <v>Palmeiras</v>
      </c>
      <c r="S487" s="6" t="s">
        <v>270</v>
      </c>
      <c r="T487" s="7">
        <v>41.0</v>
      </c>
      <c r="U487" s="7" t="s">
        <v>271</v>
      </c>
      <c r="V487" s="7" t="str">
        <f>VLOOKUP(U487,Jogadores!B:C,2,0)</f>
        <v>FW</v>
      </c>
      <c r="W487" s="8">
        <f>VLOOKUP(U487,Jogadores!B:D,3,0)</f>
        <v>18.2739726</v>
      </c>
      <c r="X487" s="7">
        <v>0.0</v>
      </c>
      <c r="Y487" s="7">
        <v>77.0</v>
      </c>
      <c r="Z487" s="7">
        <f>VLOOKUP(A487,Jogos!A:L,3,0)</f>
        <v>51</v>
      </c>
      <c r="AA487" s="7">
        <f t="shared" si="7"/>
        <v>51</v>
      </c>
      <c r="AB487" s="7">
        <f>VLOOKUP(A487,Jogos!A:L,4,0)</f>
        <v>51</v>
      </c>
      <c r="AC487" s="7">
        <f t="shared" si="657"/>
        <v>32</v>
      </c>
      <c r="AD487" s="7"/>
      <c r="AE487" s="7"/>
      <c r="AF487" s="7">
        <f t="shared" si="9"/>
        <v>83</v>
      </c>
      <c r="AG487" s="7">
        <v>7593.0</v>
      </c>
      <c r="AH487" s="7">
        <v>3024.3</v>
      </c>
      <c r="AI487" s="7">
        <v>2660.8</v>
      </c>
      <c r="AJ487" s="7">
        <v>955.3</v>
      </c>
      <c r="AK487" s="7">
        <v>541.1</v>
      </c>
      <c r="AL487" s="7">
        <v>411.6</v>
      </c>
      <c r="AM487" s="7">
        <v>76.0</v>
      </c>
      <c r="AN487" s="7">
        <v>48.0</v>
      </c>
      <c r="AO487" s="7">
        <v>44.9</v>
      </c>
      <c r="AP487" s="9">
        <f t="shared" ref="AP487:AR487" si="1518">AG487/$AF487</f>
        <v>91.48192771</v>
      </c>
      <c r="AQ487" s="9">
        <f t="shared" si="1518"/>
        <v>36.4373494</v>
      </c>
      <c r="AR487" s="9">
        <f t="shared" si="1518"/>
        <v>32.05783133</v>
      </c>
      <c r="AS487" s="9">
        <f t="shared" si="11"/>
        <v>68.49518072</v>
      </c>
      <c r="AT487" s="9">
        <f t="shared" ref="AT487:AV487" si="1519">AJ487/$AF487</f>
        <v>11.50963855</v>
      </c>
      <c r="AU487" s="9">
        <f t="shared" si="1519"/>
        <v>6.519277108</v>
      </c>
      <c r="AV487" s="9">
        <f t="shared" si="1519"/>
        <v>4.959036145</v>
      </c>
      <c r="AW487" s="9">
        <f t="shared" si="13"/>
        <v>11.47831325</v>
      </c>
      <c r="AX487" s="9">
        <f t="shared" ref="AX487:AY487" si="1520">AM487/$AF487</f>
        <v>0.9156626506</v>
      </c>
      <c r="AY487" s="9">
        <f t="shared" si="1520"/>
        <v>0.578313253</v>
      </c>
      <c r="AZ487" s="9">
        <f>VLOOKUP(A487,Jogos!A:BN,58,0)</f>
        <v>30.63</v>
      </c>
      <c r="BA487" s="9">
        <f>VLOOKUP(A487,Jogos!A:BN,59,0)</f>
        <v>20.56666667</v>
      </c>
      <c r="BB487" s="9">
        <f>VLOOKUP(A487,Jogos!A:BN,60,0)</f>
        <v>54.33333333</v>
      </c>
      <c r="BC487" s="9">
        <f>VLOOKUP(A487,Jogos!A:BN,61,0)</f>
        <v>31.41666667</v>
      </c>
      <c r="BD487" s="9">
        <f>VLOOKUP(A487,Jogos!A:BN,62,0)</f>
        <v>708.3333333</v>
      </c>
      <c r="BE487" s="9">
        <f>VLOOKUP(A487,Jogos!A:BN,63,0)</f>
        <v>2.436666667</v>
      </c>
      <c r="BF487" s="9">
        <f>VLOOKUP(A487,Jogos!A:BN,64,0)</f>
        <v>24.69333333</v>
      </c>
      <c r="BG487" s="9">
        <f>VLOOKUP(A487,Jogos!A:BN,65,0)</f>
        <v>44.21</v>
      </c>
      <c r="BH487" s="9">
        <f>VLOOKUP(A487,Jogos!A:BN,66,0)</f>
        <v>29.19</v>
      </c>
      <c r="BI487" s="9"/>
    </row>
    <row r="488" hidden="1">
      <c r="A488" s="2">
        <v>17.0</v>
      </c>
      <c r="B488" s="2" t="s">
        <v>60</v>
      </c>
      <c r="C488" s="2" t="s">
        <v>61</v>
      </c>
      <c r="D488" s="3">
        <v>45827.0</v>
      </c>
      <c r="E488" s="4">
        <v>0.5</v>
      </c>
      <c r="F488" s="5" t="str">
        <f>VLOOKUP(A488,Jogos!A:N,10,0)</f>
        <v>Afternoon</v>
      </c>
      <c r="G488" s="2" t="s">
        <v>249</v>
      </c>
      <c r="H488" s="6" t="str">
        <f>VLOOKUP(A488,Jogos!A:L,12,0)</f>
        <v>Open</v>
      </c>
      <c r="I488" s="6" t="str">
        <f>VLOOKUP(G488,'Estádios e Cidades'!A:B,2,0)</f>
        <v>East Rutherford</v>
      </c>
      <c r="J488" s="2" t="s">
        <v>250</v>
      </c>
      <c r="K488" s="2" t="str">
        <f>VLOOKUP(J488,Equipes!A:F,6,0)</f>
        <v>Temperate</v>
      </c>
      <c r="L488" s="2">
        <f>VLOOKUP(J488,Equipes!A:C,3,0)</f>
        <v>8</v>
      </c>
      <c r="M488" s="2" t="str">
        <f t="shared" si="4"/>
        <v>Quarter-final</v>
      </c>
      <c r="N488" s="2" t="s">
        <v>63</v>
      </c>
      <c r="O488" s="2">
        <f>VLOOKUP(N488,Equipes!A:C,3,0)</f>
        <v>25</v>
      </c>
      <c r="P488" s="2" t="str">
        <f t="shared" si="5"/>
        <v>Group</v>
      </c>
      <c r="Q488" s="2">
        <f t="shared" si="6"/>
        <v>-17</v>
      </c>
      <c r="R488" s="2" t="str">
        <f>VLOOKUP(J488,Equipes!A:B,2,0)</f>
        <v>Palmeiras</v>
      </c>
      <c r="S488" s="6" t="s">
        <v>1062</v>
      </c>
      <c r="T488" s="7">
        <v>6.0</v>
      </c>
      <c r="U488" s="7" t="s">
        <v>1063</v>
      </c>
      <c r="V488" s="7" t="str">
        <f>VLOOKUP(U488,Jogadores!B:C,2,0)</f>
        <v>DF</v>
      </c>
      <c r="W488" s="8">
        <f>VLOOKUP(U488,Jogadores!B:D,3,0)</f>
        <v>22.90410959</v>
      </c>
      <c r="X488" s="7">
        <v>77.0</v>
      </c>
      <c r="Y488" s="7">
        <f t="shared" ref="Y488:Y494" si="1524">45+AB488</f>
        <v>96</v>
      </c>
      <c r="Z488" s="7">
        <f>VLOOKUP(A488,Jogos!A:L,3,0)</f>
        <v>51</v>
      </c>
      <c r="AA488" s="7">
        <f t="shared" si="7"/>
        <v>0</v>
      </c>
      <c r="AB488" s="7">
        <f>VLOOKUP(A488,Jogos!A:L,4,0)</f>
        <v>51</v>
      </c>
      <c r="AC488" s="7">
        <f t="shared" si="657"/>
        <v>19</v>
      </c>
      <c r="AD488" s="7"/>
      <c r="AE488" s="7"/>
      <c r="AF488" s="7">
        <f t="shared" si="9"/>
        <v>19</v>
      </c>
      <c r="AG488" s="7">
        <v>2255.0</v>
      </c>
      <c r="AH488" s="7">
        <v>862.5</v>
      </c>
      <c r="AI488" s="7">
        <v>829.7</v>
      </c>
      <c r="AJ488" s="7">
        <v>265.7</v>
      </c>
      <c r="AK488" s="7">
        <v>202.9</v>
      </c>
      <c r="AL488" s="7">
        <v>94.2</v>
      </c>
      <c r="AM488" s="7">
        <v>23.0</v>
      </c>
      <c r="AN488" s="7">
        <v>17.0</v>
      </c>
      <c r="AO488" s="7">
        <v>32.0</v>
      </c>
      <c r="AP488" s="9">
        <f t="shared" ref="AP488:AR488" si="1521">AG488/$AF488</f>
        <v>118.6842105</v>
      </c>
      <c r="AQ488" s="9">
        <f t="shared" si="1521"/>
        <v>45.39473684</v>
      </c>
      <c r="AR488" s="9">
        <f t="shared" si="1521"/>
        <v>43.66842105</v>
      </c>
      <c r="AS488" s="9">
        <f t="shared" si="11"/>
        <v>89.06315789</v>
      </c>
      <c r="AT488" s="9">
        <f t="shared" ref="AT488:AV488" si="1522">AJ488/$AF488</f>
        <v>13.98421053</v>
      </c>
      <c r="AU488" s="9">
        <f t="shared" si="1522"/>
        <v>10.67894737</v>
      </c>
      <c r="AV488" s="9">
        <f t="shared" si="1522"/>
        <v>4.957894737</v>
      </c>
      <c r="AW488" s="9">
        <f t="shared" si="13"/>
        <v>15.63684211</v>
      </c>
      <c r="AX488" s="9">
        <f t="shared" ref="AX488:AY488" si="1523">AM488/$AF488</f>
        <v>1.210526316</v>
      </c>
      <c r="AY488" s="9">
        <f t="shared" si="1523"/>
        <v>0.8947368421</v>
      </c>
      <c r="AZ488" s="9">
        <f>VLOOKUP(A488,Jogos!A:BN,58,0)</f>
        <v>30.63</v>
      </c>
      <c r="BA488" s="9">
        <f>VLOOKUP(A488,Jogos!A:BN,59,0)</f>
        <v>20.56666667</v>
      </c>
      <c r="BB488" s="9">
        <f>VLOOKUP(A488,Jogos!A:BN,60,0)</f>
        <v>54.33333333</v>
      </c>
      <c r="BC488" s="9">
        <f>VLOOKUP(A488,Jogos!A:BN,61,0)</f>
        <v>31.41666667</v>
      </c>
      <c r="BD488" s="9">
        <f>VLOOKUP(A488,Jogos!A:BN,62,0)</f>
        <v>708.3333333</v>
      </c>
      <c r="BE488" s="9">
        <f>VLOOKUP(A488,Jogos!A:BN,63,0)</f>
        <v>2.436666667</v>
      </c>
      <c r="BF488" s="9">
        <f>VLOOKUP(A488,Jogos!A:BN,64,0)</f>
        <v>24.69333333</v>
      </c>
      <c r="BG488" s="9">
        <f>VLOOKUP(A488,Jogos!A:BN,65,0)</f>
        <v>44.21</v>
      </c>
      <c r="BH488" s="9">
        <f>VLOOKUP(A488,Jogos!A:BN,66,0)</f>
        <v>29.19</v>
      </c>
      <c r="BI488" s="9"/>
    </row>
    <row r="489" hidden="1">
      <c r="A489" s="2">
        <v>17.0</v>
      </c>
      <c r="B489" s="2" t="s">
        <v>60</v>
      </c>
      <c r="C489" s="2" t="s">
        <v>61</v>
      </c>
      <c r="D489" s="3">
        <v>45827.0</v>
      </c>
      <c r="E489" s="4">
        <v>0.5</v>
      </c>
      <c r="F489" s="5" t="str">
        <f>VLOOKUP(A489,Jogos!A:N,10,0)</f>
        <v>Afternoon</v>
      </c>
      <c r="G489" s="2" t="s">
        <v>249</v>
      </c>
      <c r="H489" s="6" t="str">
        <f>VLOOKUP(A489,Jogos!A:L,12,0)</f>
        <v>Open</v>
      </c>
      <c r="I489" s="6" t="str">
        <f>VLOOKUP(G489,'Estádios e Cidades'!A:B,2,0)</f>
        <v>East Rutherford</v>
      </c>
      <c r="J489" s="2" t="s">
        <v>250</v>
      </c>
      <c r="K489" s="2" t="str">
        <f>VLOOKUP(J489,Equipes!A:F,6,0)</f>
        <v>Temperate</v>
      </c>
      <c r="L489" s="2">
        <f>VLOOKUP(J489,Equipes!A:C,3,0)</f>
        <v>8</v>
      </c>
      <c r="M489" s="2" t="str">
        <f t="shared" si="4"/>
        <v>Quarter-final</v>
      </c>
      <c r="N489" s="2" t="s">
        <v>63</v>
      </c>
      <c r="O489" s="2">
        <f>VLOOKUP(N489,Equipes!A:C,3,0)</f>
        <v>25</v>
      </c>
      <c r="P489" s="2" t="str">
        <f t="shared" si="5"/>
        <v>Group</v>
      </c>
      <c r="Q489" s="2">
        <f t="shared" si="6"/>
        <v>-17</v>
      </c>
      <c r="R489" s="2" t="str">
        <f>VLOOKUP(J489,Equipes!A:B,2,0)</f>
        <v>Palmeiras</v>
      </c>
      <c r="S489" s="6" t="s">
        <v>272</v>
      </c>
      <c r="T489" s="7">
        <v>10.0</v>
      </c>
      <c r="U489" s="7" t="s">
        <v>273</v>
      </c>
      <c r="V489" s="7" t="str">
        <f>VLOOKUP(U489,Jogadores!B:C,2,0)</f>
        <v>FW</v>
      </c>
      <c r="W489" s="8">
        <f>VLOOKUP(U489,Jogadores!B:D,3,0)</f>
        <v>25.05205479</v>
      </c>
      <c r="X489" s="7">
        <v>76.0</v>
      </c>
      <c r="Y489" s="7">
        <f t="shared" si="1524"/>
        <v>96</v>
      </c>
      <c r="Z489" s="7">
        <f>VLOOKUP(A489,Jogos!A:L,3,0)</f>
        <v>51</v>
      </c>
      <c r="AA489" s="7">
        <f t="shared" si="7"/>
        <v>0</v>
      </c>
      <c r="AB489" s="7">
        <f>VLOOKUP(A489,Jogos!A:L,4,0)</f>
        <v>51</v>
      </c>
      <c r="AC489" s="7">
        <f t="shared" si="657"/>
        <v>20</v>
      </c>
      <c r="AD489" s="7"/>
      <c r="AE489" s="7"/>
      <c r="AF489" s="7">
        <f t="shared" si="9"/>
        <v>20</v>
      </c>
      <c r="AG489" s="7">
        <v>2375.7</v>
      </c>
      <c r="AH489" s="7">
        <v>841.4</v>
      </c>
      <c r="AI489" s="7">
        <v>949.2</v>
      </c>
      <c r="AJ489" s="7">
        <v>340.5</v>
      </c>
      <c r="AK489" s="7">
        <v>143.3</v>
      </c>
      <c r="AL489" s="7">
        <v>101.2</v>
      </c>
      <c r="AM489" s="7">
        <v>27.0</v>
      </c>
      <c r="AN489" s="7">
        <v>14.0</v>
      </c>
      <c r="AO489" s="7">
        <v>29.3</v>
      </c>
      <c r="AP489" s="9">
        <f t="shared" ref="AP489:AR489" si="1525">AG489/$AF489</f>
        <v>118.785</v>
      </c>
      <c r="AQ489" s="9">
        <f t="shared" si="1525"/>
        <v>42.07</v>
      </c>
      <c r="AR489" s="9">
        <f t="shared" si="1525"/>
        <v>47.46</v>
      </c>
      <c r="AS489" s="9">
        <f t="shared" si="11"/>
        <v>89.53</v>
      </c>
      <c r="AT489" s="9">
        <f t="shared" ref="AT489:AV489" si="1526">AJ489/$AF489</f>
        <v>17.025</v>
      </c>
      <c r="AU489" s="9">
        <f t="shared" si="1526"/>
        <v>7.165</v>
      </c>
      <c r="AV489" s="9">
        <f t="shared" si="1526"/>
        <v>5.06</v>
      </c>
      <c r="AW489" s="9">
        <f t="shared" si="13"/>
        <v>12.225</v>
      </c>
      <c r="AX489" s="9">
        <f t="shared" ref="AX489:AY489" si="1527">AM489/$AF489</f>
        <v>1.35</v>
      </c>
      <c r="AY489" s="9">
        <f t="shared" si="1527"/>
        <v>0.7</v>
      </c>
      <c r="AZ489" s="9">
        <f>VLOOKUP(A489,Jogos!A:BN,58,0)</f>
        <v>30.63</v>
      </c>
      <c r="BA489" s="9">
        <f>VLOOKUP(A489,Jogos!A:BN,59,0)</f>
        <v>20.56666667</v>
      </c>
      <c r="BB489" s="9">
        <f>VLOOKUP(A489,Jogos!A:BN,60,0)</f>
        <v>54.33333333</v>
      </c>
      <c r="BC489" s="9">
        <f>VLOOKUP(A489,Jogos!A:BN,61,0)</f>
        <v>31.41666667</v>
      </c>
      <c r="BD489" s="9">
        <f>VLOOKUP(A489,Jogos!A:BN,62,0)</f>
        <v>708.3333333</v>
      </c>
      <c r="BE489" s="9">
        <f>VLOOKUP(A489,Jogos!A:BN,63,0)</f>
        <v>2.436666667</v>
      </c>
      <c r="BF489" s="9">
        <f>VLOOKUP(A489,Jogos!A:BN,64,0)</f>
        <v>24.69333333</v>
      </c>
      <c r="BG489" s="9">
        <f>VLOOKUP(A489,Jogos!A:BN,65,0)</f>
        <v>44.21</v>
      </c>
      <c r="BH489" s="9">
        <f>VLOOKUP(A489,Jogos!A:BN,66,0)</f>
        <v>29.19</v>
      </c>
      <c r="BI489" s="9"/>
    </row>
    <row r="490" hidden="1">
      <c r="A490" s="2">
        <v>17.0</v>
      </c>
      <c r="B490" s="2" t="s">
        <v>60</v>
      </c>
      <c r="C490" s="2" t="s">
        <v>61</v>
      </c>
      <c r="D490" s="3">
        <v>45827.0</v>
      </c>
      <c r="E490" s="4">
        <v>0.5</v>
      </c>
      <c r="F490" s="5" t="str">
        <f>VLOOKUP(A490,Jogos!A:N,10,0)</f>
        <v>Afternoon</v>
      </c>
      <c r="G490" s="2" t="s">
        <v>249</v>
      </c>
      <c r="H490" s="6" t="str">
        <f>VLOOKUP(A490,Jogos!A:L,12,0)</f>
        <v>Open</v>
      </c>
      <c r="I490" s="6" t="str">
        <f>VLOOKUP(G490,'Estádios e Cidades'!A:B,2,0)</f>
        <v>East Rutherford</v>
      </c>
      <c r="J490" s="2" t="s">
        <v>250</v>
      </c>
      <c r="K490" s="2" t="str">
        <f>VLOOKUP(J490,Equipes!A:F,6,0)</f>
        <v>Temperate</v>
      </c>
      <c r="L490" s="2">
        <f>VLOOKUP(J490,Equipes!A:C,3,0)</f>
        <v>8</v>
      </c>
      <c r="M490" s="2" t="str">
        <f t="shared" si="4"/>
        <v>Quarter-final</v>
      </c>
      <c r="N490" s="2" t="s">
        <v>63</v>
      </c>
      <c r="O490" s="2">
        <f>VLOOKUP(N490,Equipes!A:C,3,0)</f>
        <v>25</v>
      </c>
      <c r="P490" s="2" t="str">
        <f t="shared" si="5"/>
        <v>Group</v>
      </c>
      <c r="Q490" s="2">
        <f t="shared" si="6"/>
        <v>-17</v>
      </c>
      <c r="R490" s="2" t="str">
        <f>VLOOKUP(J490,Equipes!A:B,2,0)</f>
        <v>Palmeiras</v>
      </c>
      <c r="S490" s="6" t="s">
        <v>264</v>
      </c>
      <c r="T490" s="7">
        <v>18.0</v>
      </c>
      <c r="U490" s="7" t="s">
        <v>265</v>
      </c>
      <c r="V490" s="7" t="str">
        <f>VLOOKUP(U490,Jogadores!B:C,2,0)</f>
        <v>FW</v>
      </c>
      <c r="W490" s="8">
        <f>VLOOKUP(U490,Jogadores!B:D,3,0)</f>
        <v>24.11506849</v>
      </c>
      <c r="X490" s="7">
        <v>45.0</v>
      </c>
      <c r="Y490" s="7">
        <f t="shared" si="1524"/>
        <v>96</v>
      </c>
      <c r="Z490" s="7">
        <f>VLOOKUP(A490,Jogos!A:L,3,0)</f>
        <v>51</v>
      </c>
      <c r="AA490" s="7">
        <f t="shared" si="7"/>
        <v>0</v>
      </c>
      <c r="AB490" s="7">
        <f>VLOOKUP(A490,Jogos!A:L,4,0)</f>
        <v>51</v>
      </c>
      <c r="AC490" s="7">
        <f t="shared" si="657"/>
        <v>51</v>
      </c>
      <c r="AD490" s="7"/>
      <c r="AE490" s="7"/>
      <c r="AF490" s="7">
        <f t="shared" si="9"/>
        <v>51</v>
      </c>
      <c r="AG490" s="7">
        <v>5728.8</v>
      </c>
      <c r="AH490" s="7">
        <v>2006.4</v>
      </c>
      <c r="AI490" s="7">
        <v>2190.6</v>
      </c>
      <c r="AJ490" s="7">
        <v>926.4</v>
      </c>
      <c r="AK490" s="7">
        <v>488.2</v>
      </c>
      <c r="AL490" s="7">
        <v>117.1</v>
      </c>
      <c r="AM490" s="7">
        <v>84.0</v>
      </c>
      <c r="AN490" s="7">
        <v>30.0</v>
      </c>
      <c r="AO490" s="7">
        <v>40.2</v>
      </c>
      <c r="AP490" s="9">
        <f t="shared" ref="AP490:AR490" si="1528">AG490/$AF490</f>
        <v>112.3294118</v>
      </c>
      <c r="AQ490" s="9">
        <f t="shared" si="1528"/>
        <v>39.34117647</v>
      </c>
      <c r="AR490" s="9">
        <f t="shared" si="1528"/>
        <v>42.95294118</v>
      </c>
      <c r="AS490" s="9">
        <f t="shared" si="11"/>
        <v>82.29411765</v>
      </c>
      <c r="AT490" s="9">
        <f t="shared" ref="AT490:AV490" si="1529">AJ490/$AF490</f>
        <v>18.16470588</v>
      </c>
      <c r="AU490" s="9">
        <f t="shared" si="1529"/>
        <v>9.57254902</v>
      </c>
      <c r="AV490" s="9">
        <f t="shared" si="1529"/>
        <v>2.296078431</v>
      </c>
      <c r="AW490" s="9">
        <f t="shared" si="13"/>
        <v>11.86862745</v>
      </c>
      <c r="AX490" s="9">
        <f t="shared" ref="AX490:AY490" si="1530">AM490/$AF490</f>
        <v>1.647058824</v>
      </c>
      <c r="AY490" s="9">
        <f t="shared" si="1530"/>
        <v>0.5882352941</v>
      </c>
      <c r="AZ490" s="9">
        <f>VLOOKUP(A490,Jogos!A:BN,58,0)</f>
        <v>30.63</v>
      </c>
      <c r="BA490" s="9">
        <f>VLOOKUP(A490,Jogos!A:BN,59,0)</f>
        <v>20.56666667</v>
      </c>
      <c r="BB490" s="9">
        <f>VLOOKUP(A490,Jogos!A:BN,60,0)</f>
        <v>54.33333333</v>
      </c>
      <c r="BC490" s="9">
        <f>VLOOKUP(A490,Jogos!A:BN,61,0)</f>
        <v>31.41666667</v>
      </c>
      <c r="BD490" s="9">
        <f>VLOOKUP(A490,Jogos!A:BN,62,0)</f>
        <v>708.3333333</v>
      </c>
      <c r="BE490" s="9">
        <f>VLOOKUP(A490,Jogos!A:BN,63,0)</f>
        <v>2.436666667</v>
      </c>
      <c r="BF490" s="9">
        <f>VLOOKUP(A490,Jogos!A:BN,64,0)</f>
        <v>24.69333333</v>
      </c>
      <c r="BG490" s="9">
        <f>VLOOKUP(A490,Jogos!A:BN,65,0)</f>
        <v>44.21</v>
      </c>
      <c r="BH490" s="9">
        <f>VLOOKUP(A490,Jogos!A:BN,66,0)</f>
        <v>29.19</v>
      </c>
      <c r="BI490" s="9"/>
    </row>
    <row r="491" hidden="1">
      <c r="A491" s="2">
        <v>17.0</v>
      </c>
      <c r="B491" s="2" t="s">
        <v>60</v>
      </c>
      <c r="C491" s="2" t="s">
        <v>61</v>
      </c>
      <c r="D491" s="3">
        <v>45827.0</v>
      </c>
      <c r="E491" s="4">
        <v>0.5</v>
      </c>
      <c r="F491" s="5" t="str">
        <f>VLOOKUP(A491,Jogos!A:N,10,0)</f>
        <v>Afternoon</v>
      </c>
      <c r="G491" s="2" t="s">
        <v>249</v>
      </c>
      <c r="H491" s="6" t="str">
        <f>VLOOKUP(A491,Jogos!A:L,12,0)</f>
        <v>Open</v>
      </c>
      <c r="I491" s="6" t="str">
        <f>VLOOKUP(G491,'Estádios e Cidades'!A:B,2,0)</f>
        <v>East Rutherford</v>
      </c>
      <c r="J491" s="2" t="s">
        <v>250</v>
      </c>
      <c r="K491" s="2" t="str">
        <f>VLOOKUP(J491,Equipes!A:F,6,0)</f>
        <v>Temperate</v>
      </c>
      <c r="L491" s="2">
        <f>VLOOKUP(J491,Equipes!A:C,3,0)</f>
        <v>8</v>
      </c>
      <c r="M491" s="2" t="str">
        <f t="shared" si="4"/>
        <v>Quarter-final</v>
      </c>
      <c r="N491" s="2" t="s">
        <v>63</v>
      </c>
      <c r="O491" s="2">
        <f>VLOOKUP(N491,Equipes!A:C,3,0)</f>
        <v>25</v>
      </c>
      <c r="P491" s="2" t="str">
        <f t="shared" si="5"/>
        <v>Group</v>
      </c>
      <c r="Q491" s="2">
        <f t="shared" si="6"/>
        <v>-17</v>
      </c>
      <c r="R491" s="2" t="str">
        <f>VLOOKUP(J491,Equipes!A:B,2,0)</f>
        <v>Palmeiras</v>
      </c>
      <c r="S491" s="6" t="s">
        <v>1064</v>
      </c>
      <c r="T491" s="7">
        <v>32.0</v>
      </c>
      <c r="U491" s="7" t="s">
        <v>1065</v>
      </c>
      <c r="V491" s="7" t="str">
        <f>VLOOKUP(U491,Jogadores!B:C,2,0)</f>
        <v>MF</v>
      </c>
      <c r="W491" s="8">
        <f>VLOOKUP(U491,Jogadores!B:D,3,0)</f>
        <v>25.96438356</v>
      </c>
      <c r="X491" s="7">
        <v>67.0</v>
      </c>
      <c r="Y491" s="7">
        <f t="shared" si="1524"/>
        <v>96</v>
      </c>
      <c r="Z491" s="7">
        <f>VLOOKUP(A491,Jogos!A:L,3,0)</f>
        <v>51</v>
      </c>
      <c r="AA491" s="7">
        <f t="shared" si="7"/>
        <v>0</v>
      </c>
      <c r="AB491" s="7">
        <f>VLOOKUP(A491,Jogos!A:L,4,0)</f>
        <v>51</v>
      </c>
      <c r="AC491" s="7">
        <f t="shared" si="657"/>
        <v>29</v>
      </c>
      <c r="AD491" s="7"/>
      <c r="AE491" s="7"/>
      <c r="AF491" s="7">
        <f t="shared" si="9"/>
        <v>29</v>
      </c>
      <c r="AG491" s="7">
        <v>3462.5</v>
      </c>
      <c r="AH491" s="7">
        <v>1292.9</v>
      </c>
      <c r="AI491" s="7">
        <v>1449.8</v>
      </c>
      <c r="AJ491" s="7">
        <v>498.4</v>
      </c>
      <c r="AK491" s="7">
        <v>163.8</v>
      </c>
      <c r="AL491" s="7">
        <v>57.7</v>
      </c>
      <c r="AM491" s="7">
        <v>44.0</v>
      </c>
      <c r="AN491" s="7">
        <v>14.0</v>
      </c>
      <c r="AO491" s="7">
        <v>28.6</v>
      </c>
      <c r="AP491" s="9">
        <f t="shared" ref="AP491:AR491" si="1531">AG491/$AF491</f>
        <v>119.3965517</v>
      </c>
      <c r="AQ491" s="9">
        <f t="shared" si="1531"/>
        <v>44.58275862</v>
      </c>
      <c r="AR491" s="9">
        <f t="shared" si="1531"/>
        <v>49.99310345</v>
      </c>
      <c r="AS491" s="9">
        <f t="shared" si="11"/>
        <v>94.57586207</v>
      </c>
      <c r="AT491" s="9">
        <f t="shared" ref="AT491:AV491" si="1532">AJ491/$AF491</f>
        <v>17.1862069</v>
      </c>
      <c r="AU491" s="9">
        <f t="shared" si="1532"/>
        <v>5.648275862</v>
      </c>
      <c r="AV491" s="9">
        <f t="shared" si="1532"/>
        <v>1.989655172</v>
      </c>
      <c r="AW491" s="9">
        <f t="shared" si="13"/>
        <v>7.637931034</v>
      </c>
      <c r="AX491" s="9">
        <f t="shared" ref="AX491:AY491" si="1533">AM491/$AF491</f>
        <v>1.517241379</v>
      </c>
      <c r="AY491" s="9">
        <f t="shared" si="1533"/>
        <v>0.4827586207</v>
      </c>
      <c r="AZ491" s="9">
        <f>VLOOKUP(A491,Jogos!A:BN,58,0)</f>
        <v>30.63</v>
      </c>
      <c r="BA491" s="9">
        <f>VLOOKUP(A491,Jogos!A:BN,59,0)</f>
        <v>20.56666667</v>
      </c>
      <c r="BB491" s="9">
        <f>VLOOKUP(A491,Jogos!A:BN,60,0)</f>
        <v>54.33333333</v>
      </c>
      <c r="BC491" s="9">
        <f>VLOOKUP(A491,Jogos!A:BN,61,0)</f>
        <v>31.41666667</v>
      </c>
      <c r="BD491" s="9">
        <f>VLOOKUP(A491,Jogos!A:BN,62,0)</f>
        <v>708.3333333</v>
      </c>
      <c r="BE491" s="9">
        <f>VLOOKUP(A491,Jogos!A:BN,63,0)</f>
        <v>2.436666667</v>
      </c>
      <c r="BF491" s="9">
        <f>VLOOKUP(A491,Jogos!A:BN,64,0)</f>
        <v>24.69333333</v>
      </c>
      <c r="BG491" s="9">
        <f>VLOOKUP(A491,Jogos!A:BN,65,0)</f>
        <v>44.21</v>
      </c>
      <c r="BH491" s="9">
        <f>VLOOKUP(A491,Jogos!A:BN,66,0)</f>
        <v>29.19</v>
      </c>
      <c r="BI491" s="9"/>
    </row>
    <row r="492" hidden="1">
      <c r="A492" s="2">
        <v>17.0</v>
      </c>
      <c r="B492" s="2" t="s">
        <v>60</v>
      </c>
      <c r="C492" s="2" t="s">
        <v>61</v>
      </c>
      <c r="D492" s="3">
        <v>45827.0</v>
      </c>
      <c r="E492" s="4">
        <v>0.5</v>
      </c>
      <c r="F492" s="5" t="str">
        <f>VLOOKUP(A492,Jogos!A:N,10,0)</f>
        <v>Afternoon</v>
      </c>
      <c r="G492" s="2" t="s">
        <v>249</v>
      </c>
      <c r="H492" s="6" t="str">
        <f>VLOOKUP(A492,Jogos!A:L,12,0)</f>
        <v>Open</v>
      </c>
      <c r="I492" s="6" t="str">
        <f>VLOOKUP(G492,'Estádios e Cidades'!A:B,2,0)</f>
        <v>East Rutherford</v>
      </c>
      <c r="J492" s="2" t="s">
        <v>250</v>
      </c>
      <c r="K492" s="2" t="str">
        <f>VLOOKUP(J492,Equipes!A:F,6,0)</f>
        <v>Temperate</v>
      </c>
      <c r="L492" s="2">
        <f>VLOOKUP(J492,Equipes!A:C,3,0)</f>
        <v>8</v>
      </c>
      <c r="M492" s="2" t="str">
        <f t="shared" si="4"/>
        <v>Quarter-final</v>
      </c>
      <c r="N492" s="2" t="s">
        <v>63</v>
      </c>
      <c r="O492" s="2">
        <f>VLOOKUP(N492,Equipes!A:C,3,0)</f>
        <v>25</v>
      </c>
      <c r="P492" s="2" t="str">
        <f t="shared" si="5"/>
        <v>Group</v>
      </c>
      <c r="Q492" s="2">
        <f t="shared" si="6"/>
        <v>-17</v>
      </c>
      <c r="R492" s="2" t="str">
        <f>VLOOKUP(J492,Equipes!A:B,2,0)</f>
        <v>Palmeiras</v>
      </c>
      <c r="S492" s="6" t="s">
        <v>280</v>
      </c>
      <c r="T492" s="7">
        <v>42.0</v>
      </c>
      <c r="U492" s="7" t="s">
        <v>281</v>
      </c>
      <c r="V492" s="7" t="str">
        <f>VLOOKUP(U492,Jogadores!B:C,2,0)</f>
        <v>FW</v>
      </c>
      <c r="W492" s="8">
        <f>VLOOKUP(U492,Jogadores!B:D,3,0)</f>
        <v>24.65753425</v>
      </c>
      <c r="X492" s="7">
        <v>45.0</v>
      </c>
      <c r="Y492" s="7">
        <f t="shared" si="1524"/>
        <v>96</v>
      </c>
      <c r="Z492" s="7">
        <f>VLOOKUP(A492,Jogos!A:L,3,0)</f>
        <v>51</v>
      </c>
      <c r="AA492" s="7">
        <f t="shared" si="7"/>
        <v>0</v>
      </c>
      <c r="AB492" s="7">
        <f>VLOOKUP(A492,Jogos!A:L,4,0)</f>
        <v>51</v>
      </c>
      <c r="AC492" s="7">
        <f t="shared" si="657"/>
        <v>51</v>
      </c>
      <c r="AD492" s="7"/>
      <c r="AE492" s="7"/>
      <c r="AF492" s="7">
        <f t="shared" si="9"/>
        <v>51</v>
      </c>
      <c r="AG492" s="7">
        <v>5234.0</v>
      </c>
      <c r="AH492" s="7">
        <v>1837.7</v>
      </c>
      <c r="AI492" s="7">
        <v>2197.8</v>
      </c>
      <c r="AJ492" s="7">
        <v>573.5</v>
      </c>
      <c r="AK492" s="7">
        <v>404.5</v>
      </c>
      <c r="AL492" s="7">
        <v>220.5</v>
      </c>
      <c r="AM492" s="7">
        <v>51.0</v>
      </c>
      <c r="AN492" s="7">
        <v>29.0</v>
      </c>
      <c r="AO492" s="7">
        <v>36.8</v>
      </c>
      <c r="AP492" s="9">
        <f t="shared" ref="AP492:AR492" si="1534">AG492/$AF492</f>
        <v>102.627451</v>
      </c>
      <c r="AQ492" s="9">
        <f t="shared" si="1534"/>
        <v>36.03333333</v>
      </c>
      <c r="AR492" s="9">
        <f t="shared" si="1534"/>
        <v>43.09411765</v>
      </c>
      <c r="AS492" s="9">
        <f t="shared" si="11"/>
        <v>79.12745098</v>
      </c>
      <c r="AT492" s="9">
        <f t="shared" ref="AT492:AV492" si="1535">AJ492/$AF492</f>
        <v>11.24509804</v>
      </c>
      <c r="AU492" s="9">
        <f t="shared" si="1535"/>
        <v>7.931372549</v>
      </c>
      <c r="AV492" s="9">
        <f t="shared" si="1535"/>
        <v>4.323529412</v>
      </c>
      <c r="AW492" s="9">
        <f t="shared" si="13"/>
        <v>12.25490196</v>
      </c>
      <c r="AX492" s="9">
        <f t="shared" ref="AX492:AY492" si="1536">AM492/$AF492</f>
        <v>1</v>
      </c>
      <c r="AY492" s="9">
        <f t="shared" si="1536"/>
        <v>0.568627451</v>
      </c>
      <c r="AZ492" s="9">
        <f>VLOOKUP(A492,Jogos!A:BN,58,0)</f>
        <v>30.63</v>
      </c>
      <c r="BA492" s="9">
        <f>VLOOKUP(A492,Jogos!A:BN,59,0)</f>
        <v>20.56666667</v>
      </c>
      <c r="BB492" s="9">
        <f>VLOOKUP(A492,Jogos!A:BN,60,0)</f>
        <v>54.33333333</v>
      </c>
      <c r="BC492" s="9">
        <f>VLOOKUP(A492,Jogos!A:BN,61,0)</f>
        <v>31.41666667</v>
      </c>
      <c r="BD492" s="9">
        <f>VLOOKUP(A492,Jogos!A:BN,62,0)</f>
        <v>708.3333333</v>
      </c>
      <c r="BE492" s="9">
        <f>VLOOKUP(A492,Jogos!A:BN,63,0)</f>
        <v>2.436666667</v>
      </c>
      <c r="BF492" s="9">
        <f>VLOOKUP(A492,Jogos!A:BN,64,0)</f>
        <v>24.69333333</v>
      </c>
      <c r="BG492" s="9">
        <f>VLOOKUP(A492,Jogos!A:BN,65,0)</f>
        <v>44.21</v>
      </c>
      <c r="BH492" s="9">
        <f>VLOOKUP(A492,Jogos!A:BN,66,0)</f>
        <v>29.19</v>
      </c>
      <c r="BI492" s="9"/>
    </row>
    <row r="493" hidden="1">
      <c r="A493" s="10">
        <v>17.0</v>
      </c>
      <c r="B493" s="11" t="s">
        <v>60</v>
      </c>
      <c r="C493" s="2" t="s">
        <v>61</v>
      </c>
      <c r="D493" s="12">
        <v>45827.0</v>
      </c>
      <c r="E493" s="13">
        <v>0.5</v>
      </c>
      <c r="F493" s="5" t="str">
        <f>VLOOKUP(A493,Jogos!A:N,10,0)</f>
        <v>Afternoon</v>
      </c>
      <c r="G493" s="11" t="s">
        <v>249</v>
      </c>
      <c r="H493" s="6" t="str">
        <f>VLOOKUP(A493,Jogos!A:L,12,0)</f>
        <v>Open</v>
      </c>
      <c r="I493" s="6" t="str">
        <f>VLOOKUP(G493,'Estádios e Cidades'!A:B,2,0)</f>
        <v>East Rutherford</v>
      </c>
      <c r="J493" s="11" t="s">
        <v>63</v>
      </c>
      <c r="K493" s="2" t="str">
        <f>VLOOKUP(J493,Equipes!A:F,6,0)</f>
        <v>Tropical</v>
      </c>
      <c r="L493" s="2">
        <f>VLOOKUP(J493,Equipes!A:C,3,0)</f>
        <v>25</v>
      </c>
      <c r="M493" s="2" t="str">
        <f t="shared" si="4"/>
        <v>Group</v>
      </c>
      <c r="N493" s="11" t="s">
        <v>250</v>
      </c>
      <c r="O493" s="2">
        <f>VLOOKUP(N493,Equipes!A:C,3,0)</f>
        <v>8</v>
      </c>
      <c r="P493" s="2" t="str">
        <f t="shared" si="5"/>
        <v>Quarter-final</v>
      </c>
      <c r="Q493" s="2">
        <f t="shared" si="6"/>
        <v>17</v>
      </c>
      <c r="R493" s="2" t="str">
        <f>VLOOKUP(J493,Equipes!A:B,2,0)</f>
        <v>AlAhly</v>
      </c>
      <c r="S493" s="14" t="s">
        <v>65</v>
      </c>
      <c r="T493" s="7">
        <v>5.0</v>
      </c>
      <c r="U493" s="7" t="s">
        <v>66</v>
      </c>
      <c r="V493" s="7" t="str">
        <f>VLOOKUP(U493,Jogadores!B:C,2,0)</f>
        <v>MF</v>
      </c>
      <c r="W493" s="8">
        <f>VLOOKUP(U493,Jogadores!B:D,3,0)</f>
        <v>25.90958904</v>
      </c>
      <c r="X493" s="7">
        <v>0.0</v>
      </c>
      <c r="Y493" s="7">
        <f t="shared" si="1524"/>
        <v>96</v>
      </c>
      <c r="Z493" s="7">
        <f>VLOOKUP(A493,Jogos!A:L,3,0)</f>
        <v>51</v>
      </c>
      <c r="AA493" s="7">
        <f t="shared" si="7"/>
        <v>51</v>
      </c>
      <c r="AB493" s="7">
        <f>VLOOKUP(A493,Jogos!A:L,4,0)</f>
        <v>51</v>
      </c>
      <c r="AC493" s="7">
        <f t="shared" si="657"/>
        <v>51</v>
      </c>
      <c r="AD493" s="7"/>
      <c r="AE493" s="7"/>
      <c r="AF493" s="7">
        <f t="shared" si="9"/>
        <v>102</v>
      </c>
      <c r="AG493" s="7">
        <v>10512.8</v>
      </c>
      <c r="AH493" s="7">
        <v>3803.1</v>
      </c>
      <c r="AI493" s="7">
        <v>4465.0</v>
      </c>
      <c r="AJ493" s="7">
        <v>1600.5</v>
      </c>
      <c r="AK493" s="7">
        <v>542.1</v>
      </c>
      <c r="AL493" s="7">
        <v>102.2</v>
      </c>
      <c r="AM493" s="7">
        <v>139.0</v>
      </c>
      <c r="AN493" s="7">
        <v>33.0</v>
      </c>
      <c r="AO493" s="7">
        <v>28.7</v>
      </c>
      <c r="AP493" s="9">
        <f t="shared" ref="AP493:AR493" si="1537">AG493/$AF493</f>
        <v>103.0666667</v>
      </c>
      <c r="AQ493" s="9">
        <f t="shared" si="1537"/>
        <v>37.28529412</v>
      </c>
      <c r="AR493" s="9">
        <f t="shared" si="1537"/>
        <v>43.7745098</v>
      </c>
      <c r="AS493" s="9">
        <f t="shared" si="11"/>
        <v>81.05980392</v>
      </c>
      <c r="AT493" s="9">
        <f t="shared" ref="AT493:AV493" si="1538">AJ493/$AF493</f>
        <v>15.69117647</v>
      </c>
      <c r="AU493" s="9">
        <f t="shared" si="1538"/>
        <v>5.314705882</v>
      </c>
      <c r="AV493" s="9">
        <f t="shared" si="1538"/>
        <v>1.001960784</v>
      </c>
      <c r="AW493" s="9">
        <f t="shared" si="13"/>
        <v>6.316666667</v>
      </c>
      <c r="AX493" s="9">
        <f t="shared" ref="AX493:AY493" si="1539">AM493/$AF493</f>
        <v>1.362745098</v>
      </c>
      <c r="AY493" s="9">
        <f t="shared" si="1539"/>
        <v>0.3235294118</v>
      </c>
      <c r="AZ493" s="9">
        <f>VLOOKUP(A493,Jogos!A:BN,58,0)</f>
        <v>30.63</v>
      </c>
      <c r="BA493" s="9">
        <f>VLOOKUP(A493,Jogos!A:BN,59,0)</f>
        <v>20.56666667</v>
      </c>
      <c r="BB493" s="9">
        <f>VLOOKUP(A493,Jogos!A:BN,60,0)</f>
        <v>54.33333333</v>
      </c>
      <c r="BC493" s="9">
        <f>VLOOKUP(A493,Jogos!A:BN,61,0)</f>
        <v>31.41666667</v>
      </c>
      <c r="BD493" s="9">
        <f>VLOOKUP(A493,Jogos!A:BN,62,0)</f>
        <v>708.3333333</v>
      </c>
      <c r="BE493" s="9">
        <f>VLOOKUP(A493,Jogos!A:BN,63,0)</f>
        <v>2.436666667</v>
      </c>
      <c r="BF493" s="9">
        <f>VLOOKUP(A493,Jogos!A:BN,64,0)</f>
        <v>24.69333333</v>
      </c>
      <c r="BG493" s="9">
        <f>VLOOKUP(A493,Jogos!A:BN,65,0)</f>
        <v>44.21</v>
      </c>
      <c r="BH493" s="9">
        <f>VLOOKUP(A493,Jogos!A:BN,66,0)</f>
        <v>29.19</v>
      </c>
      <c r="BI493" s="9"/>
    </row>
    <row r="494" hidden="1">
      <c r="A494" s="10">
        <v>17.0</v>
      </c>
      <c r="B494" s="11" t="s">
        <v>60</v>
      </c>
      <c r="C494" s="2" t="s">
        <v>61</v>
      </c>
      <c r="D494" s="12">
        <v>45827.0</v>
      </c>
      <c r="E494" s="13">
        <v>0.5</v>
      </c>
      <c r="F494" s="5" t="str">
        <f>VLOOKUP(A494,Jogos!A:N,10,0)</f>
        <v>Afternoon</v>
      </c>
      <c r="G494" s="11" t="s">
        <v>249</v>
      </c>
      <c r="H494" s="6" t="str">
        <f>VLOOKUP(A494,Jogos!A:L,12,0)</f>
        <v>Open</v>
      </c>
      <c r="I494" s="6" t="str">
        <f>VLOOKUP(G494,'Estádios e Cidades'!A:B,2,0)</f>
        <v>East Rutherford</v>
      </c>
      <c r="J494" s="11" t="s">
        <v>63</v>
      </c>
      <c r="K494" s="2" t="str">
        <f>VLOOKUP(J494,Equipes!A:F,6,0)</f>
        <v>Tropical</v>
      </c>
      <c r="L494" s="2">
        <f>VLOOKUP(J494,Equipes!A:C,3,0)</f>
        <v>25</v>
      </c>
      <c r="M494" s="2" t="str">
        <f t="shared" si="4"/>
        <v>Group</v>
      </c>
      <c r="N494" s="11" t="s">
        <v>250</v>
      </c>
      <c r="O494" s="2">
        <f>VLOOKUP(N494,Equipes!A:C,3,0)</f>
        <v>8</v>
      </c>
      <c r="P494" s="2" t="str">
        <f t="shared" si="5"/>
        <v>Quarter-final</v>
      </c>
      <c r="Q494" s="2">
        <f t="shared" si="6"/>
        <v>17</v>
      </c>
      <c r="R494" s="2" t="str">
        <f>VLOOKUP(J494,Equipes!A:B,2,0)</f>
        <v>AlAhly</v>
      </c>
      <c r="S494" s="6" t="s">
        <v>67</v>
      </c>
      <c r="T494" s="7">
        <v>6.0</v>
      </c>
      <c r="U494" s="7" t="s">
        <v>68</v>
      </c>
      <c r="V494" s="7" t="str">
        <f>VLOOKUP(U494,Jogadores!B:C,2,0)</f>
        <v>DF</v>
      </c>
      <c r="W494" s="8">
        <f>VLOOKUP(U494,Jogadores!B:D,3,0)</f>
        <v>32.48219178</v>
      </c>
      <c r="X494" s="7">
        <v>0.0</v>
      </c>
      <c r="Y494" s="7">
        <f t="shared" si="1524"/>
        <v>96</v>
      </c>
      <c r="Z494" s="7">
        <f>VLOOKUP(A494,Jogos!A:L,3,0)</f>
        <v>51</v>
      </c>
      <c r="AA494" s="7">
        <f t="shared" si="7"/>
        <v>51</v>
      </c>
      <c r="AB494" s="7">
        <f>VLOOKUP(A494,Jogos!A:L,4,0)</f>
        <v>51</v>
      </c>
      <c r="AC494" s="7">
        <f t="shared" si="657"/>
        <v>51</v>
      </c>
      <c r="AD494" s="7"/>
      <c r="AE494" s="7"/>
      <c r="AF494" s="7">
        <f t="shared" si="9"/>
        <v>102</v>
      </c>
      <c r="AG494" s="7">
        <v>9204.4</v>
      </c>
      <c r="AH494" s="7">
        <v>4141.3</v>
      </c>
      <c r="AI494" s="7">
        <v>3178.3</v>
      </c>
      <c r="AJ494" s="7">
        <v>1177.1</v>
      </c>
      <c r="AK494" s="7">
        <v>555.3</v>
      </c>
      <c r="AL494" s="7">
        <v>152.4</v>
      </c>
      <c r="AM494" s="7">
        <v>104.0</v>
      </c>
      <c r="AN494" s="7">
        <v>46.0</v>
      </c>
      <c r="AO494" s="7">
        <v>42.3</v>
      </c>
      <c r="AP494" s="9">
        <f t="shared" ref="AP494:AR494" si="1540">AG494/$AF494</f>
        <v>90.23921569</v>
      </c>
      <c r="AQ494" s="9">
        <f t="shared" si="1540"/>
        <v>40.60098039</v>
      </c>
      <c r="AR494" s="9">
        <f t="shared" si="1540"/>
        <v>31.15980392</v>
      </c>
      <c r="AS494" s="9">
        <f t="shared" si="11"/>
        <v>71.76078431</v>
      </c>
      <c r="AT494" s="9">
        <f t="shared" ref="AT494:AV494" si="1541">AJ494/$AF494</f>
        <v>11.54019608</v>
      </c>
      <c r="AU494" s="9">
        <f t="shared" si="1541"/>
        <v>5.444117647</v>
      </c>
      <c r="AV494" s="9">
        <f t="shared" si="1541"/>
        <v>1.494117647</v>
      </c>
      <c r="AW494" s="9">
        <f t="shared" si="13"/>
        <v>6.938235294</v>
      </c>
      <c r="AX494" s="9">
        <f t="shared" ref="AX494:AY494" si="1542">AM494/$AF494</f>
        <v>1.019607843</v>
      </c>
      <c r="AY494" s="9">
        <f t="shared" si="1542"/>
        <v>0.4509803922</v>
      </c>
      <c r="AZ494" s="9">
        <f>VLOOKUP(A494,Jogos!A:BN,58,0)</f>
        <v>30.63</v>
      </c>
      <c r="BA494" s="9">
        <f>VLOOKUP(A494,Jogos!A:BN,59,0)</f>
        <v>20.56666667</v>
      </c>
      <c r="BB494" s="9">
        <f>VLOOKUP(A494,Jogos!A:BN,60,0)</f>
        <v>54.33333333</v>
      </c>
      <c r="BC494" s="9">
        <f>VLOOKUP(A494,Jogos!A:BN,61,0)</f>
        <v>31.41666667</v>
      </c>
      <c r="BD494" s="9">
        <f>VLOOKUP(A494,Jogos!A:BN,62,0)</f>
        <v>708.3333333</v>
      </c>
      <c r="BE494" s="9">
        <f>VLOOKUP(A494,Jogos!A:BN,63,0)</f>
        <v>2.436666667</v>
      </c>
      <c r="BF494" s="9">
        <f>VLOOKUP(A494,Jogos!A:BN,64,0)</f>
        <v>24.69333333</v>
      </c>
      <c r="BG494" s="9">
        <f>VLOOKUP(A494,Jogos!A:BN,65,0)</f>
        <v>44.21</v>
      </c>
      <c r="BH494" s="9">
        <f>VLOOKUP(A494,Jogos!A:BN,66,0)</f>
        <v>29.19</v>
      </c>
      <c r="BI494" s="9"/>
    </row>
    <row r="495" hidden="1">
      <c r="A495" s="10">
        <v>17.0</v>
      </c>
      <c r="B495" s="11" t="s">
        <v>60</v>
      </c>
      <c r="C495" s="2" t="s">
        <v>61</v>
      </c>
      <c r="D495" s="12">
        <v>45827.0</v>
      </c>
      <c r="E495" s="13">
        <v>0.5</v>
      </c>
      <c r="F495" s="5" t="str">
        <f>VLOOKUP(A495,Jogos!A:N,10,0)</f>
        <v>Afternoon</v>
      </c>
      <c r="G495" s="11" t="s">
        <v>249</v>
      </c>
      <c r="H495" s="6" t="str">
        <f>VLOOKUP(A495,Jogos!A:L,12,0)</f>
        <v>Open</v>
      </c>
      <c r="I495" s="6" t="str">
        <f>VLOOKUP(G495,'Estádios e Cidades'!A:B,2,0)</f>
        <v>East Rutherford</v>
      </c>
      <c r="J495" s="11" t="s">
        <v>63</v>
      </c>
      <c r="K495" s="2" t="str">
        <f>VLOOKUP(J495,Equipes!A:F,6,0)</f>
        <v>Tropical</v>
      </c>
      <c r="L495" s="2">
        <f>VLOOKUP(J495,Equipes!A:C,3,0)</f>
        <v>25</v>
      </c>
      <c r="M495" s="2" t="str">
        <f t="shared" si="4"/>
        <v>Group</v>
      </c>
      <c r="N495" s="11" t="s">
        <v>250</v>
      </c>
      <c r="O495" s="2">
        <f>VLOOKUP(N495,Equipes!A:C,3,0)</f>
        <v>8</v>
      </c>
      <c r="P495" s="2" t="str">
        <f t="shared" si="5"/>
        <v>Quarter-final</v>
      </c>
      <c r="Q495" s="2">
        <f t="shared" si="6"/>
        <v>17</v>
      </c>
      <c r="R495" s="2" t="str">
        <f>VLOOKUP(J495,Equipes!A:B,2,0)</f>
        <v>AlAhly</v>
      </c>
      <c r="S495" s="6" t="s">
        <v>69</v>
      </c>
      <c r="T495" s="7">
        <v>7.0</v>
      </c>
      <c r="U495" s="7" t="s">
        <v>70</v>
      </c>
      <c r="V495" s="7" t="str">
        <f>VLOOKUP(U495,Jogadores!B:C,2,0)</f>
        <v>MF</v>
      </c>
      <c r="W495" s="8">
        <f>VLOOKUP(U495,Jogadores!B:D,3,0)</f>
        <v>30.84383562</v>
      </c>
      <c r="X495" s="7">
        <v>0.0</v>
      </c>
      <c r="Y495" s="7">
        <v>61.0</v>
      </c>
      <c r="Z495" s="7">
        <f>VLOOKUP(A495,Jogos!A:L,3,0)</f>
        <v>51</v>
      </c>
      <c r="AA495" s="7">
        <f t="shared" si="7"/>
        <v>51</v>
      </c>
      <c r="AB495" s="7">
        <f>VLOOKUP(A495,Jogos!A:L,4,0)</f>
        <v>51</v>
      </c>
      <c r="AC495" s="7">
        <f t="shared" si="657"/>
        <v>16</v>
      </c>
      <c r="AD495" s="7"/>
      <c r="AE495" s="7"/>
      <c r="AF495" s="7">
        <f t="shared" si="9"/>
        <v>67</v>
      </c>
      <c r="AG495" s="7">
        <v>6439.2</v>
      </c>
      <c r="AH495" s="7">
        <v>3139.8</v>
      </c>
      <c r="AI495" s="7">
        <v>1780.7</v>
      </c>
      <c r="AJ495" s="7">
        <v>856.0</v>
      </c>
      <c r="AK495" s="7">
        <v>478.3</v>
      </c>
      <c r="AL495" s="7">
        <v>184.5</v>
      </c>
      <c r="AM495" s="7">
        <v>75.0</v>
      </c>
      <c r="AN495" s="7">
        <v>34.0</v>
      </c>
      <c r="AO495" s="7">
        <v>31.2</v>
      </c>
      <c r="AP495" s="9">
        <f t="shared" ref="AP495:AR495" si="1543">AG495/$AF495</f>
        <v>96.10746269</v>
      </c>
      <c r="AQ495" s="9">
        <f t="shared" si="1543"/>
        <v>46.86268657</v>
      </c>
      <c r="AR495" s="9">
        <f t="shared" si="1543"/>
        <v>26.57761194</v>
      </c>
      <c r="AS495" s="9">
        <f t="shared" si="11"/>
        <v>73.44029851</v>
      </c>
      <c r="AT495" s="9">
        <f t="shared" ref="AT495:AV495" si="1544">AJ495/$AF495</f>
        <v>12.7761194</v>
      </c>
      <c r="AU495" s="9">
        <f t="shared" si="1544"/>
        <v>7.13880597</v>
      </c>
      <c r="AV495" s="9">
        <f t="shared" si="1544"/>
        <v>2.753731343</v>
      </c>
      <c r="AW495" s="9">
        <f t="shared" si="13"/>
        <v>9.892537313</v>
      </c>
      <c r="AX495" s="9">
        <f t="shared" ref="AX495:AY495" si="1545">AM495/$AF495</f>
        <v>1.119402985</v>
      </c>
      <c r="AY495" s="9">
        <f t="shared" si="1545"/>
        <v>0.5074626866</v>
      </c>
      <c r="AZ495" s="9">
        <f>VLOOKUP(A495,Jogos!A:BN,58,0)</f>
        <v>30.63</v>
      </c>
      <c r="BA495" s="9">
        <f>VLOOKUP(A495,Jogos!A:BN,59,0)</f>
        <v>20.56666667</v>
      </c>
      <c r="BB495" s="9">
        <f>VLOOKUP(A495,Jogos!A:BN,60,0)</f>
        <v>54.33333333</v>
      </c>
      <c r="BC495" s="9">
        <f>VLOOKUP(A495,Jogos!A:BN,61,0)</f>
        <v>31.41666667</v>
      </c>
      <c r="BD495" s="9">
        <f>VLOOKUP(A495,Jogos!A:BN,62,0)</f>
        <v>708.3333333</v>
      </c>
      <c r="BE495" s="9">
        <f>VLOOKUP(A495,Jogos!A:BN,63,0)</f>
        <v>2.436666667</v>
      </c>
      <c r="BF495" s="9">
        <f>VLOOKUP(A495,Jogos!A:BN,64,0)</f>
        <v>24.69333333</v>
      </c>
      <c r="BG495" s="9">
        <f>VLOOKUP(A495,Jogos!A:BN,65,0)</f>
        <v>44.21</v>
      </c>
      <c r="BH495" s="9">
        <f>VLOOKUP(A495,Jogos!A:BN,66,0)</f>
        <v>29.19</v>
      </c>
      <c r="BI495" s="9"/>
    </row>
    <row r="496" hidden="1">
      <c r="A496" s="10">
        <v>17.0</v>
      </c>
      <c r="B496" s="11" t="s">
        <v>60</v>
      </c>
      <c r="C496" s="2" t="s">
        <v>61</v>
      </c>
      <c r="D496" s="12">
        <v>45827.0</v>
      </c>
      <c r="E496" s="13">
        <v>0.5</v>
      </c>
      <c r="F496" s="5" t="str">
        <f>VLOOKUP(A496,Jogos!A:N,10,0)</f>
        <v>Afternoon</v>
      </c>
      <c r="G496" s="11" t="s">
        <v>249</v>
      </c>
      <c r="H496" s="6" t="str">
        <f>VLOOKUP(A496,Jogos!A:L,12,0)</f>
        <v>Open</v>
      </c>
      <c r="I496" s="6" t="str">
        <f>VLOOKUP(G496,'Estádios e Cidades'!A:B,2,0)</f>
        <v>East Rutherford</v>
      </c>
      <c r="J496" s="11" t="s">
        <v>63</v>
      </c>
      <c r="K496" s="2" t="str">
        <f>VLOOKUP(J496,Equipes!A:F,6,0)</f>
        <v>Tropical</v>
      </c>
      <c r="L496" s="2">
        <f>VLOOKUP(J496,Equipes!A:C,3,0)</f>
        <v>25</v>
      </c>
      <c r="M496" s="2" t="str">
        <f t="shared" si="4"/>
        <v>Group</v>
      </c>
      <c r="N496" s="11" t="s">
        <v>250</v>
      </c>
      <c r="O496" s="2">
        <f>VLOOKUP(N496,Equipes!A:C,3,0)</f>
        <v>8</v>
      </c>
      <c r="P496" s="2" t="str">
        <f t="shared" si="5"/>
        <v>Quarter-final</v>
      </c>
      <c r="Q496" s="2">
        <f t="shared" si="6"/>
        <v>17</v>
      </c>
      <c r="R496" s="2" t="str">
        <f>VLOOKUP(J496,Equipes!A:B,2,0)</f>
        <v>AlAhly</v>
      </c>
      <c r="S496" s="6" t="s">
        <v>71</v>
      </c>
      <c r="T496" s="7">
        <v>8.0</v>
      </c>
      <c r="U496" s="7" t="s">
        <v>72</v>
      </c>
      <c r="V496" s="7" t="str">
        <f>VLOOKUP(U496,Jogadores!B:C,2,0)</f>
        <v>MF</v>
      </c>
      <c r="W496" s="8">
        <f>VLOOKUP(U496,Jogadores!B:D,3,0)</f>
        <v>30.84931507</v>
      </c>
      <c r="X496" s="7">
        <v>0.0</v>
      </c>
      <c r="Y496" s="7">
        <v>61.0</v>
      </c>
      <c r="Z496" s="7">
        <f>VLOOKUP(A496,Jogos!A:L,3,0)</f>
        <v>51</v>
      </c>
      <c r="AA496" s="7">
        <f t="shared" si="7"/>
        <v>51</v>
      </c>
      <c r="AB496" s="7">
        <f>VLOOKUP(A496,Jogos!A:L,4,0)</f>
        <v>51</v>
      </c>
      <c r="AC496" s="7">
        <f t="shared" si="657"/>
        <v>16</v>
      </c>
      <c r="AD496" s="7"/>
      <c r="AE496" s="7"/>
      <c r="AF496" s="7">
        <f t="shared" si="9"/>
        <v>67</v>
      </c>
      <c r="AG496" s="7">
        <v>6764.8</v>
      </c>
      <c r="AH496" s="7">
        <v>2607.8</v>
      </c>
      <c r="AI496" s="7">
        <v>2683.2</v>
      </c>
      <c r="AJ496" s="7">
        <v>942.5</v>
      </c>
      <c r="AK496" s="7">
        <v>322.2</v>
      </c>
      <c r="AL496" s="7">
        <v>209.0</v>
      </c>
      <c r="AM496" s="7">
        <v>76.0</v>
      </c>
      <c r="AN496" s="7">
        <v>24.0</v>
      </c>
      <c r="AO496" s="7">
        <v>32.3</v>
      </c>
      <c r="AP496" s="9">
        <f t="shared" ref="AP496:AR496" si="1546">AG496/$AF496</f>
        <v>100.9671642</v>
      </c>
      <c r="AQ496" s="9">
        <f t="shared" si="1546"/>
        <v>38.92238806</v>
      </c>
      <c r="AR496" s="9">
        <f t="shared" si="1546"/>
        <v>40.04776119</v>
      </c>
      <c r="AS496" s="9">
        <f t="shared" si="11"/>
        <v>78.97014925</v>
      </c>
      <c r="AT496" s="9">
        <f t="shared" ref="AT496:AV496" si="1547">AJ496/$AF496</f>
        <v>14.06716418</v>
      </c>
      <c r="AU496" s="9">
        <f t="shared" si="1547"/>
        <v>4.808955224</v>
      </c>
      <c r="AV496" s="9">
        <f t="shared" si="1547"/>
        <v>3.119402985</v>
      </c>
      <c r="AW496" s="9">
        <f t="shared" si="13"/>
        <v>7.928358209</v>
      </c>
      <c r="AX496" s="9">
        <f t="shared" ref="AX496:AY496" si="1548">AM496/$AF496</f>
        <v>1.134328358</v>
      </c>
      <c r="AY496" s="9">
        <f t="shared" si="1548"/>
        <v>0.3582089552</v>
      </c>
      <c r="AZ496" s="9">
        <f>VLOOKUP(A496,Jogos!A:BN,58,0)</f>
        <v>30.63</v>
      </c>
      <c r="BA496" s="9">
        <f>VLOOKUP(A496,Jogos!A:BN,59,0)</f>
        <v>20.56666667</v>
      </c>
      <c r="BB496" s="9">
        <f>VLOOKUP(A496,Jogos!A:BN,60,0)</f>
        <v>54.33333333</v>
      </c>
      <c r="BC496" s="9">
        <f>VLOOKUP(A496,Jogos!A:BN,61,0)</f>
        <v>31.41666667</v>
      </c>
      <c r="BD496" s="9">
        <f>VLOOKUP(A496,Jogos!A:BN,62,0)</f>
        <v>708.3333333</v>
      </c>
      <c r="BE496" s="9">
        <f>VLOOKUP(A496,Jogos!A:BN,63,0)</f>
        <v>2.436666667</v>
      </c>
      <c r="BF496" s="9">
        <f>VLOOKUP(A496,Jogos!A:BN,64,0)</f>
        <v>24.69333333</v>
      </c>
      <c r="BG496" s="9">
        <f>VLOOKUP(A496,Jogos!A:BN,65,0)</f>
        <v>44.21</v>
      </c>
      <c r="BH496" s="9">
        <f>VLOOKUP(A496,Jogos!A:BN,66,0)</f>
        <v>29.19</v>
      </c>
      <c r="BI496" s="9"/>
    </row>
    <row r="497" hidden="1">
      <c r="A497" s="10">
        <v>17.0</v>
      </c>
      <c r="B497" s="11" t="s">
        <v>60</v>
      </c>
      <c r="C497" s="2" t="s">
        <v>61</v>
      </c>
      <c r="D497" s="12">
        <v>45827.0</v>
      </c>
      <c r="E497" s="13">
        <v>0.5</v>
      </c>
      <c r="F497" s="5" t="str">
        <f>VLOOKUP(A497,Jogos!A:N,10,0)</f>
        <v>Afternoon</v>
      </c>
      <c r="G497" s="11" t="s">
        <v>249</v>
      </c>
      <c r="H497" s="6" t="str">
        <f>VLOOKUP(A497,Jogos!A:L,12,0)</f>
        <v>Open</v>
      </c>
      <c r="I497" s="6" t="str">
        <f>VLOOKUP(G497,'Estádios e Cidades'!A:B,2,0)</f>
        <v>East Rutherford</v>
      </c>
      <c r="J497" s="11" t="s">
        <v>63</v>
      </c>
      <c r="K497" s="2" t="str">
        <f>VLOOKUP(J497,Equipes!A:F,6,0)</f>
        <v>Tropical</v>
      </c>
      <c r="L497" s="2">
        <f>VLOOKUP(J497,Equipes!A:C,3,0)</f>
        <v>25</v>
      </c>
      <c r="M497" s="2" t="str">
        <f t="shared" si="4"/>
        <v>Group</v>
      </c>
      <c r="N497" s="11" t="s">
        <v>250</v>
      </c>
      <c r="O497" s="2">
        <f>VLOOKUP(N497,Equipes!A:C,3,0)</f>
        <v>8</v>
      </c>
      <c r="P497" s="2" t="str">
        <f t="shared" si="5"/>
        <v>Quarter-final</v>
      </c>
      <c r="Q497" s="2">
        <f t="shared" si="6"/>
        <v>17</v>
      </c>
      <c r="R497" s="2" t="str">
        <f>VLOOKUP(J497,Equipes!A:B,2,0)</f>
        <v>AlAhly</v>
      </c>
      <c r="S497" s="6" t="s">
        <v>73</v>
      </c>
      <c r="T497" s="7">
        <v>9.0</v>
      </c>
      <c r="U497" s="7" t="s">
        <v>74</v>
      </c>
      <c r="V497" s="7" t="str">
        <f>VLOOKUP(U497,Jogadores!B:C,2,0)</f>
        <v>FW</v>
      </c>
      <c r="W497" s="8">
        <f>VLOOKUP(U497,Jogadores!B:D,3,0)</f>
        <v>26.58082192</v>
      </c>
      <c r="X497" s="7">
        <v>0.0</v>
      </c>
      <c r="Y497" s="7">
        <v>61.0</v>
      </c>
      <c r="Z497" s="7">
        <f>VLOOKUP(A497,Jogos!A:L,3,0)</f>
        <v>51</v>
      </c>
      <c r="AA497" s="7">
        <f t="shared" si="7"/>
        <v>51</v>
      </c>
      <c r="AB497" s="7">
        <f>VLOOKUP(A497,Jogos!A:L,4,0)</f>
        <v>51</v>
      </c>
      <c r="AC497" s="7">
        <f t="shared" si="657"/>
        <v>16</v>
      </c>
      <c r="AD497" s="7"/>
      <c r="AE497" s="7"/>
      <c r="AF497" s="7">
        <f t="shared" si="9"/>
        <v>67</v>
      </c>
      <c r="AG497" s="7">
        <v>6002.1</v>
      </c>
      <c r="AH497" s="7">
        <v>2611.6</v>
      </c>
      <c r="AI497" s="7">
        <v>1902.3</v>
      </c>
      <c r="AJ497" s="7">
        <v>1047.0</v>
      </c>
      <c r="AK497" s="7">
        <v>317.7</v>
      </c>
      <c r="AL497" s="7">
        <v>123.5</v>
      </c>
      <c r="AM497" s="7">
        <v>88.0</v>
      </c>
      <c r="AN497" s="7">
        <v>29.0</v>
      </c>
      <c r="AO497" s="7">
        <v>30.1</v>
      </c>
      <c r="AP497" s="9">
        <f t="shared" ref="AP497:AR497" si="1549">AG497/$AF497</f>
        <v>89.58358209</v>
      </c>
      <c r="AQ497" s="9">
        <f t="shared" si="1549"/>
        <v>38.97910448</v>
      </c>
      <c r="AR497" s="9">
        <f t="shared" si="1549"/>
        <v>28.39253731</v>
      </c>
      <c r="AS497" s="9">
        <f t="shared" si="11"/>
        <v>67.37164179</v>
      </c>
      <c r="AT497" s="9">
        <f t="shared" ref="AT497:AV497" si="1550">AJ497/$AF497</f>
        <v>15.62686567</v>
      </c>
      <c r="AU497" s="9">
        <f t="shared" si="1550"/>
        <v>4.741791045</v>
      </c>
      <c r="AV497" s="9">
        <f t="shared" si="1550"/>
        <v>1.843283582</v>
      </c>
      <c r="AW497" s="9">
        <f t="shared" si="13"/>
        <v>6.585074627</v>
      </c>
      <c r="AX497" s="9">
        <f t="shared" ref="AX497:AY497" si="1551">AM497/$AF497</f>
        <v>1.313432836</v>
      </c>
      <c r="AY497" s="9">
        <f t="shared" si="1551"/>
        <v>0.4328358209</v>
      </c>
      <c r="AZ497" s="9">
        <f>VLOOKUP(A497,Jogos!A:BN,58,0)</f>
        <v>30.63</v>
      </c>
      <c r="BA497" s="9">
        <f>VLOOKUP(A497,Jogos!A:BN,59,0)</f>
        <v>20.56666667</v>
      </c>
      <c r="BB497" s="9">
        <f>VLOOKUP(A497,Jogos!A:BN,60,0)</f>
        <v>54.33333333</v>
      </c>
      <c r="BC497" s="9">
        <f>VLOOKUP(A497,Jogos!A:BN,61,0)</f>
        <v>31.41666667</v>
      </c>
      <c r="BD497" s="9">
        <f>VLOOKUP(A497,Jogos!A:BN,62,0)</f>
        <v>708.3333333</v>
      </c>
      <c r="BE497" s="9">
        <f>VLOOKUP(A497,Jogos!A:BN,63,0)</f>
        <v>2.436666667</v>
      </c>
      <c r="BF497" s="9">
        <f>VLOOKUP(A497,Jogos!A:BN,64,0)</f>
        <v>24.69333333</v>
      </c>
      <c r="BG497" s="9">
        <f>VLOOKUP(A497,Jogos!A:BN,65,0)</f>
        <v>44.21</v>
      </c>
      <c r="BH497" s="9">
        <f>VLOOKUP(A497,Jogos!A:BN,66,0)</f>
        <v>29.19</v>
      </c>
      <c r="BI497" s="9"/>
    </row>
    <row r="498" hidden="1">
      <c r="A498" s="10">
        <v>17.0</v>
      </c>
      <c r="B498" s="11" t="s">
        <v>60</v>
      </c>
      <c r="C498" s="2" t="s">
        <v>61</v>
      </c>
      <c r="D498" s="12">
        <v>45827.0</v>
      </c>
      <c r="E498" s="13">
        <v>0.5</v>
      </c>
      <c r="F498" s="5" t="str">
        <f>VLOOKUP(A498,Jogos!A:N,10,0)</f>
        <v>Afternoon</v>
      </c>
      <c r="G498" s="11" t="s">
        <v>249</v>
      </c>
      <c r="H498" s="6" t="str">
        <f>VLOOKUP(A498,Jogos!A:L,12,0)</f>
        <v>Open</v>
      </c>
      <c r="I498" s="6" t="str">
        <f>VLOOKUP(G498,'Estádios e Cidades'!A:B,2,0)</f>
        <v>East Rutherford</v>
      </c>
      <c r="J498" s="11" t="s">
        <v>63</v>
      </c>
      <c r="K498" s="2" t="str">
        <f>VLOOKUP(J498,Equipes!A:F,6,0)</f>
        <v>Tropical</v>
      </c>
      <c r="L498" s="2">
        <f>VLOOKUP(J498,Equipes!A:C,3,0)</f>
        <v>25</v>
      </c>
      <c r="M498" s="2" t="str">
        <f t="shared" si="4"/>
        <v>Group</v>
      </c>
      <c r="N498" s="11" t="s">
        <v>250</v>
      </c>
      <c r="O498" s="2">
        <f>VLOOKUP(N498,Equipes!A:C,3,0)</f>
        <v>8</v>
      </c>
      <c r="P498" s="2" t="str">
        <f t="shared" si="5"/>
        <v>Quarter-final</v>
      </c>
      <c r="Q498" s="2">
        <f t="shared" si="6"/>
        <v>17</v>
      </c>
      <c r="R498" s="2" t="str">
        <f>VLOOKUP(J498,Equipes!A:B,2,0)</f>
        <v>AlAhly</v>
      </c>
      <c r="S498" s="6" t="s">
        <v>75</v>
      </c>
      <c r="T498" s="7">
        <v>13.0</v>
      </c>
      <c r="U498" s="7" t="s">
        <v>76</v>
      </c>
      <c r="V498" s="7" t="str">
        <f>VLOOKUP(U498,Jogadores!B:C,2,0)</f>
        <v>MF</v>
      </c>
      <c r="W498" s="8">
        <f>VLOOKUP(U498,Jogadores!B:D,3,0)</f>
        <v>26.97808219</v>
      </c>
      <c r="X498" s="7">
        <v>0.0</v>
      </c>
      <c r="Y498" s="7">
        <f>45+AB498</f>
        <v>96</v>
      </c>
      <c r="Z498" s="7">
        <f>VLOOKUP(A498,Jogos!A:L,3,0)</f>
        <v>51</v>
      </c>
      <c r="AA498" s="7">
        <f t="shared" si="7"/>
        <v>51</v>
      </c>
      <c r="AB498" s="7">
        <f>VLOOKUP(A498,Jogos!A:L,4,0)</f>
        <v>51</v>
      </c>
      <c r="AC498" s="7">
        <f t="shared" si="657"/>
        <v>51</v>
      </c>
      <c r="AD498" s="7"/>
      <c r="AE498" s="7"/>
      <c r="AF498" s="7">
        <f t="shared" si="9"/>
        <v>102</v>
      </c>
      <c r="AG498" s="7">
        <v>10187.3</v>
      </c>
      <c r="AH498" s="7">
        <v>3991.0</v>
      </c>
      <c r="AI498" s="7">
        <v>3940.5</v>
      </c>
      <c r="AJ498" s="7">
        <v>1499.9</v>
      </c>
      <c r="AK498" s="7">
        <v>621.7</v>
      </c>
      <c r="AL498" s="7">
        <v>134.2</v>
      </c>
      <c r="AM498" s="7">
        <v>135.0</v>
      </c>
      <c r="AN498" s="7">
        <v>45.0</v>
      </c>
      <c r="AO498" s="7">
        <v>29.8</v>
      </c>
      <c r="AP498" s="9">
        <f t="shared" ref="AP498:AR498" si="1552">AG498/$AF498</f>
        <v>99.8754902</v>
      </c>
      <c r="AQ498" s="9">
        <f t="shared" si="1552"/>
        <v>39.12745098</v>
      </c>
      <c r="AR498" s="9">
        <f t="shared" si="1552"/>
        <v>38.63235294</v>
      </c>
      <c r="AS498" s="9">
        <f t="shared" si="11"/>
        <v>77.75980392</v>
      </c>
      <c r="AT498" s="9">
        <f t="shared" ref="AT498:AV498" si="1553">AJ498/$AF498</f>
        <v>14.70490196</v>
      </c>
      <c r="AU498" s="9">
        <f t="shared" si="1553"/>
        <v>6.095098039</v>
      </c>
      <c r="AV498" s="9">
        <f t="shared" si="1553"/>
        <v>1.315686275</v>
      </c>
      <c r="AW498" s="9">
        <f t="shared" si="13"/>
        <v>7.410784314</v>
      </c>
      <c r="AX498" s="9">
        <f t="shared" ref="AX498:AY498" si="1554">AM498/$AF498</f>
        <v>1.323529412</v>
      </c>
      <c r="AY498" s="9">
        <f t="shared" si="1554"/>
        <v>0.4411764706</v>
      </c>
      <c r="AZ498" s="9">
        <f>VLOOKUP(A498,Jogos!A:BN,58,0)</f>
        <v>30.63</v>
      </c>
      <c r="BA498" s="9">
        <f>VLOOKUP(A498,Jogos!A:BN,59,0)</f>
        <v>20.56666667</v>
      </c>
      <c r="BB498" s="9">
        <f>VLOOKUP(A498,Jogos!A:BN,60,0)</f>
        <v>54.33333333</v>
      </c>
      <c r="BC498" s="9">
        <f>VLOOKUP(A498,Jogos!A:BN,61,0)</f>
        <v>31.41666667</v>
      </c>
      <c r="BD498" s="9">
        <f>VLOOKUP(A498,Jogos!A:BN,62,0)</f>
        <v>708.3333333</v>
      </c>
      <c r="BE498" s="9">
        <f>VLOOKUP(A498,Jogos!A:BN,63,0)</f>
        <v>2.436666667</v>
      </c>
      <c r="BF498" s="9">
        <f>VLOOKUP(A498,Jogos!A:BN,64,0)</f>
        <v>24.69333333</v>
      </c>
      <c r="BG498" s="9">
        <f>VLOOKUP(A498,Jogos!A:BN,65,0)</f>
        <v>44.21</v>
      </c>
      <c r="BH498" s="9">
        <f>VLOOKUP(A498,Jogos!A:BN,66,0)</f>
        <v>29.19</v>
      </c>
      <c r="BI498" s="9"/>
    </row>
    <row r="499" hidden="1">
      <c r="A499" s="10">
        <v>17.0</v>
      </c>
      <c r="B499" s="11" t="s">
        <v>60</v>
      </c>
      <c r="C499" s="2" t="s">
        <v>61</v>
      </c>
      <c r="D499" s="12">
        <v>45827.0</v>
      </c>
      <c r="E499" s="13">
        <v>0.5</v>
      </c>
      <c r="F499" s="5" t="str">
        <f>VLOOKUP(A499,Jogos!A:N,10,0)</f>
        <v>Afternoon</v>
      </c>
      <c r="G499" s="11" t="s">
        <v>249</v>
      </c>
      <c r="H499" s="6" t="str">
        <f>VLOOKUP(A499,Jogos!A:L,12,0)</f>
        <v>Open</v>
      </c>
      <c r="I499" s="6" t="str">
        <f>VLOOKUP(G499,'Estádios e Cidades'!A:B,2,0)</f>
        <v>East Rutherford</v>
      </c>
      <c r="J499" s="11" t="s">
        <v>63</v>
      </c>
      <c r="K499" s="2" t="str">
        <f>VLOOKUP(J499,Equipes!A:F,6,0)</f>
        <v>Tropical</v>
      </c>
      <c r="L499" s="2">
        <f>VLOOKUP(J499,Equipes!A:C,3,0)</f>
        <v>25</v>
      </c>
      <c r="M499" s="2" t="str">
        <f t="shared" si="4"/>
        <v>Group</v>
      </c>
      <c r="N499" s="11" t="s">
        <v>250</v>
      </c>
      <c r="O499" s="2">
        <f>VLOOKUP(N499,Equipes!A:C,3,0)</f>
        <v>8</v>
      </c>
      <c r="P499" s="2" t="str">
        <f t="shared" si="5"/>
        <v>Quarter-final</v>
      </c>
      <c r="Q499" s="2">
        <f t="shared" si="6"/>
        <v>17</v>
      </c>
      <c r="R499" s="2" t="str">
        <f>VLOOKUP(J499,Equipes!A:B,2,0)</f>
        <v>AlAhly</v>
      </c>
      <c r="S499" s="6" t="s">
        <v>77</v>
      </c>
      <c r="T499" s="7">
        <v>15.0</v>
      </c>
      <c r="U499" s="7" t="s">
        <v>78</v>
      </c>
      <c r="V499" s="7" t="str">
        <f>VLOOKUP(U499,Jogadores!B:C,2,0)</f>
        <v>DF</v>
      </c>
      <c r="W499" s="8">
        <f>VLOOKUP(U499,Jogadores!B:D,3,0)</f>
        <v>26.24657534</v>
      </c>
      <c r="X499" s="7">
        <v>0.0</v>
      </c>
      <c r="Y499" s="7">
        <v>61.0</v>
      </c>
      <c r="Z499" s="7">
        <f>VLOOKUP(A499,Jogos!A:L,3,0)</f>
        <v>51</v>
      </c>
      <c r="AA499" s="7">
        <f t="shared" si="7"/>
        <v>51</v>
      </c>
      <c r="AB499" s="7">
        <f>VLOOKUP(A499,Jogos!A:L,4,0)</f>
        <v>51</v>
      </c>
      <c r="AC499" s="7">
        <f t="shared" si="657"/>
        <v>16</v>
      </c>
      <c r="AD499" s="7"/>
      <c r="AE499" s="7"/>
      <c r="AF499" s="7">
        <f t="shared" si="9"/>
        <v>67</v>
      </c>
      <c r="AG499" s="7">
        <v>5859.8</v>
      </c>
      <c r="AH499" s="7">
        <v>2766.7</v>
      </c>
      <c r="AI499" s="7">
        <v>2143.7</v>
      </c>
      <c r="AJ499" s="7">
        <v>559.3</v>
      </c>
      <c r="AK499" s="7">
        <v>271.7</v>
      </c>
      <c r="AL499" s="7">
        <v>118.4</v>
      </c>
      <c r="AM499" s="7">
        <v>49.0</v>
      </c>
      <c r="AN499" s="7">
        <v>24.0</v>
      </c>
      <c r="AO499" s="7">
        <v>30.4</v>
      </c>
      <c r="AP499" s="9">
        <f t="shared" ref="AP499:AR499" si="1555">AG499/$AF499</f>
        <v>87.45970149</v>
      </c>
      <c r="AQ499" s="9">
        <f t="shared" si="1555"/>
        <v>41.29402985</v>
      </c>
      <c r="AR499" s="9">
        <f t="shared" si="1555"/>
        <v>31.99552239</v>
      </c>
      <c r="AS499" s="9">
        <f t="shared" si="11"/>
        <v>73.28955224</v>
      </c>
      <c r="AT499" s="9">
        <f t="shared" ref="AT499:AV499" si="1556">AJ499/$AF499</f>
        <v>8.347761194</v>
      </c>
      <c r="AU499" s="9">
        <f t="shared" si="1556"/>
        <v>4.055223881</v>
      </c>
      <c r="AV499" s="9">
        <f t="shared" si="1556"/>
        <v>1.767164179</v>
      </c>
      <c r="AW499" s="9">
        <f t="shared" si="13"/>
        <v>5.82238806</v>
      </c>
      <c r="AX499" s="9">
        <f t="shared" ref="AX499:AY499" si="1557">AM499/$AF499</f>
        <v>0.7313432836</v>
      </c>
      <c r="AY499" s="9">
        <f t="shared" si="1557"/>
        <v>0.3582089552</v>
      </c>
      <c r="AZ499" s="9">
        <f>VLOOKUP(A499,Jogos!A:BN,58,0)</f>
        <v>30.63</v>
      </c>
      <c r="BA499" s="9">
        <f>VLOOKUP(A499,Jogos!A:BN,59,0)</f>
        <v>20.56666667</v>
      </c>
      <c r="BB499" s="9">
        <f>VLOOKUP(A499,Jogos!A:BN,60,0)</f>
        <v>54.33333333</v>
      </c>
      <c r="BC499" s="9">
        <f>VLOOKUP(A499,Jogos!A:BN,61,0)</f>
        <v>31.41666667</v>
      </c>
      <c r="BD499" s="9">
        <f>VLOOKUP(A499,Jogos!A:BN,62,0)</f>
        <v>708.3333333</v>
      </c>
      <c r="BE499" s="9">
        <f>VLOOKUP(A499,Jogos!A:BN,63,0)</f>
        <v>2.436666667</v>
      </c>
      <c r="BF499" s="9">
        <f>VLOOKUP(A499,Jogos!A:BN,64,0)</f>
        <v>24.69333333</v>
      </c>
      <c r="BG499" s="9">
        <f>VLOOKUP(A499,Jogos!A:BN,65,0)</f>
        <v>44.21</v>
      </c>
      <c r="BH499" s="9">
        <f>VLOOKUP(A499,Jogos!A:BN,66,0)</f>
        <v>29.19</v>
      </c>
      <c r="BI499" s="9"/>
    </row>
    <row r="500" hidden="1">
      <c r="A500" s="10">
        <v>17.0</v>
      </c>
      <c r="B500" s="11" t="s">
        <v>60</v>
      </c>
      <c r="C500" s="2" t="s">
        <v>61</v>
      </c>
      <c r="D500" s="12">
        <v>45827.0</v>
      </c>
      <c r="E500" s="13">
        <v>0.5</v>
      </c>
      <c r="F500" s="5" t="str">
        <f>VLOOKUP(A500,Jogos!A:N,10,0)</f>
        <v>Afternoon</v>
      </c>
      <c r="G500" s="11" t="s">
        <v>249</v>
      </c>
      <c r="H500" s="6" t="str">
        <f>VLOOKUP(A500,Jogos!A:L,12,0)</f>
        <v>Open</v>
      </c>
      <c r="I500" s="6" t="str">
        <f>VLOOKUP(G500,'Estádios e Cidades'!A:B,2,0)</f>
        <v>East Rutherford</v>
      </c>
      <c r="J500" s="11" t="s">
        <v>63</v>
      </c>
      <c r="K500" s="2" t="str">
        <f>VLOOKUP(J500,Equipes!A:F,6,0)</f>
        <v>Tropical</v>
      </c>
      <c r="L500" s="2">
        <f>VLOOKUP(J500,Equipes!A:C,3,0)</f>
        <v>25</v>
      </c>
      <c r="M500" s="2" t="str">
        <f t="shared" si="4"/>
        <v>Group</v>
      </c>
      <c r="N500" s="11" t="s">
        <v>250</v>
      </c>
      <c r="O500" s="2">
        <f>VLOOKUP(N500,Equipes!A:C,3,0)</f>
        <v>8</v>
      </c>
      <c r="P500" s="2" t="str">
        <f t="shared" si="5"/>
        <v>Quarter-final</v>
      </c>
      <c r="Q500" s="2">
        <f t="shared" si="6"/>
        <v>17</v>
      </c>
      <c r="R500" s="2" t="str">
        <f>VLOOKUP(J500,Equipes!A:B,2,0)</f>
        <v>AlAhly</v>
      </c>
      <c r="S500" s="6" t="s">
        <v>91</v>
      </c>
      <c r="T500" s="7">
        <v>25.0</v>
      </c>
      <c r="U500" s="7" t="s">
        <v>92</v>
      </c>
      <c r="V500" s="7" t="str">
        <f>VLOOKUP(U500,Jogadores!B:C,2,0)</f>
        <v>MF</v>
      </c>
      <c r="W500" s="8">
        <f>VLOOKUP(U500,Jogadores!B:D,3,0)</f>
        <v>29.56712329</v>
      </c>
      <c r="X500" s="7">
        <v>0.0</v>
      </c>
      <c r="Y500" s="7">
        <f t="shared" ref="Y500:Y501" si="1561">45+AB500</f>
        <v>96</v>
      </c>
      <c r="Z500" s="7">
        <f>VLOOKUP(A500,Jogos!A:L,3,0)</f>
        <v>51</v>
      </c>
      <c r="AA500" s="7">
        <f t="shared" si="7"/>
        <v>51</v>
      </c>
      <c r="AB500" s="7">
        <f>VLOOKUP(A500,Jogos!A:L,4,0)</f>
        <v>51</v>
      </c>
      <c r="AC500" s="7">
        <f t="shared" si="657"/>
        <v>51</v>
      </c>
      <c r="AD500" s="7"/>
      <c r="AE500" s="7"/>
      <c r="AF500" s="7">
        <f t="shared" si="9"/>
        <v>102</v>
      </c>
      <c r="AG500" s="7">
        <v>9968.3</v>
      </c>
      <c r="AH500" s="7">
        <v>3946.4</v>
      </c>
      <c r="AI500" s="7">
        <v>3890.3</v>
      </c>
      <c r="AJ500" s="7">
        <v>1077.0</v>
      </c>
      <c r="AK500" s="7">
        <v>617.7</v>
      </c>
      <c r="AL500" s="7">
        <v>436.9</v>
      </c>
      <c r="AM500" s="7">
        <v>101.0</v>
      </c>
      <c r="AN500" s="7">
        <v>52.0</v>
      </c>
      <c r="AO500" s="7">
        <v>43.5</v>
      </c>
      <c r="AP500" s="9">
        <f t="shared" ref="AP500:AR500" si="1558">AG500/$AF500</f>
        <v>97.72843137</v>
      </c>
      <c r="AQ500" s="9">
        <f t="shared" si="1558"/>
        <v>38.69019608</v>
      </c>
      <c r="AR500" s="9">
        <f t="shared" si="1558"/>
        <v>38.14019608</v>
      </c>
      <c r="AS500" s="9">
        <f t="shared" si="11"/>
        <v>76.83039216</v>
      </c>
      <c r="AT500" s="9">
        <f t="shared" ref="AT500:AV500" si="1559">AJ500/$AF500</f>
        <v>10.55882353</v>
      </c>
      <c r="AU500" s="9">
        <f t="shared" si="1559"/>
        <v>6.055882353</v>
      </c>
      <c r="AV500" s="9">
        <f t="shared" si="1559"/>
        <v>4.283333333</v>
      </c>
      <c r="AW500" s="9">
        <f t="shared" si="13"/>
        <v>10.33921569</v>
      </c>
      <c r="AX500" s="9">
        <f t="shared" ref="AX500:AY500" si="1560">AM500/$AF500</f>
        <v>0.9901960784</v>
      </c>
      <c r="AY500" s="9">
        <f t="shared" si="1560"/>
        <v>0.5098039216</v>
      </c>
      <c r="AZ500" s="9">
        <f>VLOOKUP(A500,Jogos!A:BN,58,0)</f>
        <v>30.63</v>
      </c>
      <c r="BA500" s="9">
        <f>VLOOKUP(A500,Jogos!A:BN,59,0)</f>
        <v>20.56666667</v>
      </c>
      <c r="BB500" s="9">
        <f>VLOOKUP(A500,Jogos!A:BN,60,0)</f>
        <v>54.33333333</v>
      </c>
      <c r="BC500" s="9">
        <f>VLOOKUP(A500,Jogos!A:BN,61,0)</f>
        <v>31.41666667</v>
      </c>
      <c r="BD500" s="9">
        <f>VLOOKUP(A500,Jogos!A:BN,62,0)</f>
        <v>708.3333333</v>
      </c>
      <c r="BE500" s="9">
        <f>VLOOKUP(A500,Jogos!A:BN,63,0)</f>
        <v>2.436666667</v>
      </c>
      <c r="BF500" s="9">
        <f>VLOOKUP(A500,Jogos!A:BN,64,0)</f>
        <v>24.69333333</v>
      </c>
      <c r="BG500" s="9">
        <f>VLOOKUP(A500,Jogos!A:BN,65,0)</f>
        <v>44.21</v>
      </c>
      <c r="BH500" s="9">
        <f>VLOOKUP(A500,Jogos!A:BN,66,0)</f>
        <v>29.19</v>
      </c>
      <c r="BI500" s="9"/>
    </row>
    <row r="501" hidden="1">
      <c r="A501" s="10">
        <v>17.0</v>
      </c>
      <c r="B501" s="11" t="s">
        <v>60</v>
      </c>
      <c r="C501" s="2" t="s">
        <v>61</v>
      </c>
      <c r="D501" s="12">
        <v>45827.0</v>
      </c>
      <c r="E501" s="13">
        <v>0.5</v>
      </c>
      <c r="F501" s="5" t="str">
        <f>VLOOKUP(A501,Jogos!A:N,10,0)</f>
        <v>Afternoon</v>
      </c>
      <c r="G501" s="11" t="s">
        <v>249</v>
      </c>
      <c r="H501" s="6" t="str">
        <f>VLOOKUP(A501,Jogos!A:L,12,0)</f>
        <v>Open</v>
      </c>
      <c r="I501" s="6" t="str">
        <f>VLOOKUP(G501,'Estádios e Cidades'!A:B,2,0)</f>
        <v>East Rutherford</v>
      </c>
      <c r="J501" s="11" t="s">
        <v>63</v>
      </c>
      <c r="K501" s="2" t="str">
        <f>VLOOKUP(J501,Equipes!A:F,6,0)</f>
        <v>Tropical</v>
      </c>
      <c r="L501" s="2">
        <f>VLOOKUP(J501,Equipes!A:C,3,0)</f>
        <v>25</v>
      </c>
      <c r="M501" s="2" t="str">
        <f t="shared" si="4"/>
        <v>Group</v>
      </c>
      <c r="N501" s="11" t="s">
        <v>250</v>
      </c>
      <c r="O501" s="2">
        <f>VLOOKUP(N501,Equipes!A:C,3,0)</f>
        <v>8</v>
      </c>
      <c r="P501" s="2" t="str">
        <f t="shared" si="5"/>
        <v>Quarter-final</v>
      </c>
      <c r="Q501" s="2">
        <f t="shared" si="6"/>
        <v>17</v>
      </c>
      <c r="R501" s="2" t="str">
        <f>VLOOKUP(J501,Equipes!A:B,2,0)</f>
        <v>AlAhly</v>
      </c>
      <c r="S501" s="6" t="s">
        <v>81</v>
      </c>
      <c r="T501" s="7">
        <v>30.0</v>
      </c>
      <c r="U501" s="7" t="s">
        <v>82</v>
      </c>
      <c r="V501" s="7" t="str">
        <f>VLOOKUP(U501,Jogadores!B:C,2,0)</f>
        <v>DF</v>
      </c>
      <c r="W501" s="8">
        <f>VLOOKUP(U501,Jogadores!B:D,3,0)</f>
        <v>29.5260274</v>
      </c>
      <c r="X501" s="7">
        <v>0.0</v>
      </c>
      <c r="Y501" s="7">
        <f t="shared" si="1561"/>
        <v>96</v>
      </c>
      <c r="Z501" s="7">
        <f>VLOOKUP(A501,Jogos!A:L,3,0)</f>
        <v>51</v>
      </c>
      <c r="AA501" s="7">
        <f t="shared" si="7"/>
        <v>51</v>
      </c>
      <c r="AB501" s="7">
        <f>VLOOKUP(A501,Jogos!A:L,4,0)</f>
        <v>51</v>
      </c>
      <c r="AC501" s="7">
        <f t="shared" si="657"/>
        <v>51</v>
      </c>
      <c r="AD501" s="7"/>
      <c r="AE501" s="7"/>
      <c r="AF501" s="7">
        <f t="shared" si="9"/>
        <v>102</v>
      </c>
      <c r="AG501" s="7">
        <v>9077.8</v>
      </c>
      <c r="AH501" s="7">
        <v>3946.1</v>
      </c>
      <c r="AI501" s="7">
        <v>3519.2</v>
      </c>
      <c r="AJ501" s="7">
        <v>1037.9</v>
      </c>
      <c r="AK501" s="7">
        <v>452.4</v>
      </c>
      <c r="AL501" s="7">
        <v>122.2</v>
      </c>
      <c r="AM501" s="7">
        <v>90.0</v>
      </c>
      <c r="AN501" s="7">
        <v>33.0</v>
      </c>
      <c r="AO501" s="7">
        <v>43.9</v>
      </c>
      <c r="AP501" s="9">
        <f t="shared" ref="AP501:AR501" si="1562">AG501/$AF501</f>
        <v>88.99803922</v>
      </c>
      <c r="AQ501" s="9">
        <f t="shared" si="1562"/>
        <v>38.6872549</v>
      </c>
      <c r="AR501" s="9">
        <f t="shared" si="1562"/>
        <v>34.50196078</v>
      </c>
      <c r="AS501" s="9">
        <f t="shared" si="11"/>
        <v>73.18921569</v>
      </c>
      <c r="AT501" s="9">
        <f t="shared" ref="AT501:AV501" si="1563">AJ501/$AF501</f>
        <v>10.1754902</v>
      </c>
      <c r="AU501" s="9">
        <f t="shared" si="1563"/>
        <v>4.435294118</v>
      </c>
      <c r="AV501" s="9">
        <f t="shared" si="1563"/>
        <v>1.198039216</v>
      </c>
      <c r="AW501" s="9">
        <f t="shared" si="13"/>
        <v>5.633333333</v>
      </c>
      <c r="AX501" s="9">
        <f t="shared" ref="AX501:AY501" si="1564">AM501/$AF501</f>
        <v>0.8823529412</v>
      </c>
      <c r="AY501" s="9">
        <f t="shared" si="1564"/>
        <v>0.3235294118</v>
      </c>
      <c r="AZ501" s="9">
        <f>VLOOKUP(A501,Jogos!A:BN,58,0)</f>
        <v>30.63</v>
      </c>
      <c r="BA501" s="9">
        <f>VLOOKUP(A501,Jogos!A:BN,59,0)</f>
        <v>20.56666667</v>
      </c>
      <c r="BB501" s="9">
        <f>VLOOKUP(A501,Jogos!A:BN,60,0)</f>
        <v>54.33333333</v>
      </c>
      <c r="BC501" s="9">
        <f>VLOOKUP(A501,Jogos!A:BN,61,0)</f>
        <v>31.41666667</v>
      </c>
      <c r="BD501" s="9">
        <f>VLOOKUP(A501,Jogos!A:BN,62,0)</f>
        <v>708.3333333</v>
      </c>
      <c r="BE501" s="9">
        <f>VLOOKUP(A501,Jogos!A:BN,63,0)</f>
        <v>2.436666667</v>
      </c>
      <c r="BF501" s="9">
        <f>VLOOKUP(A501,Jogos!A:BN,64,0)</f>
        <v>24.69333333</v>
      </c>
      <c r="BG501" s="9">
        <f>VLOOKUP(A501,Jogos!A:BN,65,0)</f>
        <v>44.21</v>
      </c>
      <c r="BH501" s="9">
        <f>VLOOKUP(A501,Jogos!A:BN,66,0)</f>
        <v>29.19</v>
      </c>
      <c r="BI501" s="9"/>
    </row>
    <row r="502" hidden="1">
      <c r="A502" s="10">
        <v>17.0</v>
      </c>
      <c r="B502" s="11" t="s">
        <v>60</v>
      </c>
      <c r="C502" s="2" t="s">
        <v>61</v>
      </c>
      <c r="D502" s="12">
        <v>45827.0</v>
      </c>
      <c r="E502" s="13">
        <v>0.5</v>
      </c>
      <c r="F502" s="5" t="str">
        <f>VLOOKUP(A502,Jogos!A:N,10,0)</f>
        <v>Afternoon</v>
      </c>
      <c r="G502" s="11" t="s">
        <v>249</v>
      </c>
      <c r="H502" s="6" t="str">
        <f>VLOOKUP(A502,Jogos!A:L,12,0)</f>
        <v>Open</v>
      </c>
      <c r="I502" s="6" t="str">
        <f>VLOOKUP(G502,'Estádios e Cidades'!A:B,2,0)</f>
        <v>East Rutherford</v>
      </c>
      <c r="J502" s="11" t="s">
        <v>63</v>
      </c>
      <c r="K502" s="2" t="str">
        <f>VLOOKUP(J502,Equipes!A:F,6,0)</f>
        <v>Tropical</v>
      </c>
      <c r="L502" s="2">
        <f>VLOOKUP(J502,Equipes!A:C,3,0)</f>
        <v>25</v>
      </c>
      <c r="M502" s="2" t="str">
        <f t="shared" si="4"/>
        <v>Group</v>
      </c>
      <c r="N502" s="11" t="s">
        <v>250</v>
      </c>
      <c r="O502" s="2">
        <f>VLOOKUP(N502,Equipes!A:C,3,0)</f>
        <v>8</v>
      </c>
      <c r="P502" s="2" t="str">
        <f t="shared" si="5"/>
        <v>Quarter-final</v>
      </c>
      <c r="Q502" s="2">
        <f t="shared" si="6"/>
        <v>17</v>
      </c>
      <c r="R502" s="2" t="str">
        <f>VLOOKUP(J502,Equipes!A:B,2,0)</f>
        <v>AlAhly</v>
      </c>
      <c r="S502" s="6" t="s">
        <v>1066</v>
      </c>
      <c r="T502" s="7">
        <v>54.0</v>
      </c>
      <c r="U502" s="7" t="s">
        <v>1067</v>
      </c>
      <c r="V502" s="7" t="str">
        <f>VLOOKUP(U502,Jogadores!B:C,2,0)</f>
        <v>DF</v>
      </c>
      <c r="W502" s="8">
        <f>VLOOKUP(U502,Jogadores!B:D,3,0)</f>
        <v>30.42739726</v>
      </c>
      <c r="X502" s="7">
        <v>0.0</v>
      </c>
      <c r="Y502" s="7">
        <v>87.0</v>
      </c>
      <c r="Z502" s="7">
        <f>VLOOKUP(A502,Jogos!A:L,3,0)</f>
        <v>51</v>
      </c>
      <c r="AA502" s="7">
        <f t="shared" si="7"/>
        <v>51</v>
      </c>
      <c r="AB502" s="7">
        <f>VLOOKUP(A502,Jogos!A:L,4,0)</f>
        <v>51</v>
      </c>
      <c r="AC502" s="7">
        <f t="shared" si="657"/>
        <v>42</v>
      </c>
      <c r="AD502" s="7"/>
      <c r="AE502" s="7"/>
      <c r="AF502" s="7">
        <f t="shared" si="9"/>
        <v>93</v>
      </c>
      <c r="AG502" s="7">
        <v>9284.2</v>
      </c>
      <c r="AH502" s="7">
        <v>3723.1</v>
      </c>
      <c r="AI502" s="7">
        <v>3397.8</v>
      </c>
      <c r="AJ502" s="7">
        <v>1222.5</v>
      </c>
      <c r="AK502" s="7">
        <v>660.8</v>
      </c>
      <c r="AL502" s="7">
        <v>280.1</v>
      </c>
      <c r="AM502" s="7">
        <v>102.0</v>
      </c>
      <c r="AN502" s="7">
        <v>48.0</v>
      </c>
      <c r="AO502" s="7">
        <v>44.9</v>
      </c>
      <c r="AP502" s="9">
        <f t="shared" ref="AP502:AR502" si="1565">AG502/$AF502</f>
        <v>99.83010753</v>
      </c>
      <c r="AQ502" s="9">
        <f t="shared" si="1565"/>
        <v>40.03333333</v>
      </c>
      <c r="AR502" s="9">
        <f t="shared" si="1565"/>
        <v>36.53548387</v>
      </c>
      <c r="AS502" s="9">
        <f t="shared" si="11"/>
        <v>76.5688172</v>
      </c>
      <c r="AT502" s="9">
        <f t="shared" ref="AT502:AV502" si="1566">AJ502/$AF502</f>
        <v>13.14516129</v>
      </c>
      <c r="AU502" s="9">
        <f t="shared" si="1566"/>
        <v>7.105376344</v>
      </c>
      <c r="AV502" s="9">
        <f t="shared" si="1566"/>
        <v>3.011827957</v>
      </c>
      <c r="AW502" s="9">
        <f t="shared" si="13"/>
        <v>10.1172043</v>
      </c>
      <c r="AX502" s="9">
        <f t="shared" ref="AX502:AY502" si="1567">AM502/$AF502</f>
        <v>1.096774194</v>
      </c>
      <c r="AY502" s="9">
        <f t="shared" si="1567"/>
        <v>0.5161290323</v>
      </c>
      <c r="AZ502" s="9">
        <f>VLOOKUP(A502,Jogos!A:BN,58,0)</f>
        <v>30.63</v>
      </c>
      <c r="BA502" s="9">
        <f>VLOOKUP(A502,Jogos!A:BN,59,0)</f>
        <v>20.56666667</v>
      </c>
      <c r="BB502" s="9">
        <f>VLOOKUP(A502,Jogos!A:BN,60,0)</f>
        <v>54.33333333</v>
      </c>
      <c r="BC502" s="9">
        <f>VLOOKUP(A502,Jogos!A:BN,61,0)</f>
        <v>31.41666667</v>
      </c>
      <c r="BD502" s="9">
        <f>VLOOKUP(A502,Jogos!A:BN,62,0)</f>
        <v>708.3333333</v>
      </c>
      <c r="BE502" s="9">
        <f>VLOOKUP(A502,Jogos!A:BN,63,0)</f>
        <v>2.436666667</v>
      </c>
      <c r="BF502" s="9">
        <f>VLOOKUP(A502,Jogos!A:BN,64,0)</f>
        <v>24.69333333</v>
      </c>
      <c r="BG502" s="9">
        <f>VLOOKUP(A502,Jogos!A:BN,65,0)</f>
        <v>44.21</v>
      </c>
      <c r="BH502" s="9">
        <f>VLOOKUP(A502,Jogos!A:BN,66,0)</f>
        <v>29.19</v>
      </c>
      <c r="BI502" s="9"/>
    </row>
    <row r="503" hidden="1">
      <c r="A503" s="10">
        <v>17.0</v>
      </c>
      <c r="B503" s="11" t="s">
        <v>60</v>
      </c>
      <c r="C503" s="2" t="s">
        <v>61</v>
      </c>
      <c r="D503" s="12">
        <v>45827.0</v>
      </c>
      <c r="E503" s="13">
        <v>0.5</v>
      </c>
      <c r="F503" s="5" t="str">
        <f>VLOOKUP(A503,Jogos!A:N,10,0)</f>
        <v>Afternoon</v>
      </c>
      <c r="G503" s="11" t="s">
        <v>249</v>
      </c>
      <c r="H503" s="6" t="str">
        <f>VLOOKUP(A503,Jogos!A:L,12,0)</f>
        <v>Open</v>
      </c>
      <c r="I503" s="6" t="str">
        <f>VLOOKUP(G503,'Estádios e Cidades'!A:B,2,0)</f>
        <v>East Rutherford</v>
      </c>
      <c r="J503" s="11" t="s">
        <v>63</v>
      </c>
      <c r="K503" s="2" t="str">
        <f>VLOOKUP(J503,Equipes!A:F,6,0)</f>
        <v>Tropical</v>
      </c>
      <c r="L503" s="2">
        <f>VLOOKUP(J503,Equipes!A:C,3,0)</f>
        <v>25</v>
      </c>
      <c r="M503" s="2" t="str">
        <f t="shared" si="4"/>
        <v>Group</v>
      </c>
      <c r="N503" s="11" t="s">
        <v>250</v>
      </c>
      <c r="O503" s="2">
        <f>VLOOKUP(N503,Equipes!A:C,3,0)</f>
        <v>8</v>
      </c>
      <c r="P503" s="2" t="str">
        <f t="shared" si="5"/>
        <v>Quarter-final</v>
      </c>
      <c r="Q503" s="2">
        <f t="shared" si="6"/>
        <v>17</v>
      </c>
      <c r="R503" s="2" t="str">
        <f>VLOOKUP(J503,Equipes!A:B,2,0)</f>
        <v>AlAhly</v>
      </c>
      <c r="S503" s="6" t="s">
        <v>1068</v>
      </c>
      <c r="T503" s="7">
        <v>4.0</v>
      </c>
      <c r="U503" s="7" t="s">
        <v>1069</v>
      </c>
      <c r="V503" s="7" t="str">
        <f>VLOOKUP(U503,Jogadores!B:C,2,0)</f>
        <v>DF</v>
      </c>
      <c r="W503" s="8">
        <f>VLOOKUP(U503,Jogadores!B:D,3,0)</f>
        <v>28.36712329</v>
      </c>
      <c r="X503" s="7">
        <v>61.0</v>
      </c>
      <c r="Y503" s="7">
        <f t="shared" ref="Y503:Y508" si="1571">45+AB503</f>
        <v>96</v>
      </c>
      <c r="Z503" s="7">
        <f>VLOOKUP(A503,Jogos!A:L,3,0)</f>
        <v>51</v>
      </c>
      <c r="AA503" s="7">
        <f t="shared" si="7"/>
        <v>0</v>
      </c>
      <c r="AB503" s="7">
        <f>VLOOKUP(A503,Jogos!A:L,4,0)</f>
        <v>51</v>
      </c>
      <c r="AC503" s="7">
        <f t="shared" si="657"/>
        <v>35</v>
      </c>
      <c r="AD503" s="7"/>
      <c r="AE503" s="7"/>
      <c r="AF503" s="7">
        <f t="shared" si="9"/>
        <v>35</v>
      </c>
      <c r="AG503" s="7">
        <v>3265.5</v>
      </c>
      <c r="AH503" s="7">
        <v>1414.8</v>
      </c>
      <c r="AI503" s="7">
        <v>1206.9</v>
      </c>
      <c r="AJ503" s="7">
        <v>356.0</v>
      </c>
      <c r="AK503" s="7">
        <v>166.9</v>
      </c>
      <c r="AL503" s="7">
        <v>120.8</v>
      </c>
      <c r="AM503" s="7">
        <v>29.0</v>
      </c>
      <c r="AN503" s="7">
        <v>17.0</v>
      </c>
      <c r="AO503" s="7">
        <v>32.2</v>
      </c>
      <c r="AP503" s="9">
        <f t="shared" ref="AP503:AR503" si="1568">AG503/$AF503</f>
        <v>93.3</v>
      </c>
      <c r="AQ503" s="9">
        <f t="shared" si="1568"/>
        <v>40.42285714</v>
      </c>
      <c r="AR503" s="9">
        <f t="shared" si="1568"/>
        <v>34.48285714</v>
      </c>
      <c r="AS503" s="9">
        <f t="shared" si="11"/>
        <v>74.90571429</v>
      </c>
      <c r="AT503" s="9">
        <f t="shared" ref="AT503:AV503" si="1569">AJ503/$AF503</f>
        <v>10.17142857</v>
      </c>
      <c r="AU503" s="9">
        <f t="shared" si="1569"/>
        <v>4.768571429</v>
      </c>
      <c r="AV503" s="9">
        <f t="shared" si="1569"/>
        <v>3.451428571</v>
      </c>
      <c r="AW503" s="9">
        <f t="shared" si="13"/>
        <v>8.22</v>
      </c>
      <c r="AX503" s="9">
        <f t="shared" ref="AX503:AY503" si="1570">AM503/$AF503</f>
        <v>0.8285714286</v>
      </c>
      <c r="AY503" s="9">
        <f t="shared" si="1570"/>
        <v>0.4857142857</v>
      </c>
      <c r="AZ503" s="9">
        <f>VLOOKUP(A503,Jogos!A:BN,58,0)</f>
        <v>30.63</v>
      </c>
      <c r="BA503" s="9">
        <f>VLOOKUP(A503,Jogos!A:BN,59,0)</f>
        <v>20.56666667</v>
      </c>
      <c r="BB503" s="9">
        <f>VLOOKUP(A503,Jogos!A:BN,60,0)</f>
        <v>54.33333333</v>
      </c>
      <c r="BC503" s="9">
        <f>VLOOKUP(A503,Jogos!A:BN,61,0)</f>
        <v>31.41666667</v>
      </c>
      <c r="BD503" s="9">
        <f>VLOOKUP(A503,Jogos!A:BN,62,0)</f>
        <v>708.3333333</v>
      </c>
      <c r="BE503" s="9">
        <f>VLOOKUP(A503,Jogos!A:BN,63,0)</f>
        <v>2.436666667</v>
      </c>
      <c r="BF503" s="9">
        <f>VLOOKUP(A503,Jogos!A:BN,64,0)</f>
        <v>24.69333333</v>
      </c>
      <c r="BG503" s="9">
        <f>VLOOKUP(A503,Jogos!A:BN,65,0)</f>
        <v>44.21</v>
      </c>
      <c r="BH503" s="9">
        <f>VLOOKUP(A503,Jogos!A:BN,66,0)</f>
        <v>29.19</v>
      </c>
      <c r="BI503" s="9"/>
    </row>
    <row r="504" hidden="1">
      <c r="A504" s="10">
        <v>17.0</v>
      </c>
      <c r="B504" s="11" t="s">
        <v>60</v>
      </c>
      <c r="C504" s="2" t="s">
        <v>61</v>
      </c>
      <c r="D504" s="12">
        <v>45827.0</v>
      </c>
      <c r="E504" s="13">
        <v>0.5</v>
      </c>
      <c r="F504" s="5" t="str">
        <f>VLOOKUP(A504,Jogos!A:N,10,0)</f>
        <v>Afternoon</v>
      </c>
      <c r="G504" s="11" t="s">
        <v>249</v>
      </c>
      <c r="H504" s="6" t="str">
        <f>VLOOKUP(A504,Jogos!A:L,12,0)</f>
        <v>Open</v>
      </c>
      <c r="I504" s="6" t="str">
        <f>VLOOKUP(G504,'Estádios e Cidades'!A:B,2,0)</f>
        <v>East Rutherford</v>
      </c>
      <c r="J504" s="11" t="s">
        <v>63</v>
      </c>
      <c r="K504" s="2" t="str">
        <f>VLOOKUP(J504,Equipes!A:F,6,0)</f>
        <v>Tropical</v>
      </c>
      <c r="L504" s="2">
        <f>VLOOKUP(J504,Equipes!A:C,3,0)</f>
        <v>25</v>
      </c>
      <c r="M504" s="2" t="str">
        <f t="shared" si="4"/>
        <v>Group</v>
      </c>
      <c r="N504" s="11" t="s">
        <v>250</v>
      </c>
      <c r="O504" s="2">
        <f>VLOOKUP(N504,Equipes!A:C,3,0)</f>
        <v>8</v>
      </c>
      <c r="P504" s="2" t="str">
        <f t="shared" si="5"/>
        <v>Quarter-final</v>
      </c>
      <c r="Q504" s="2">
        <f t="shared" si="6"/>
        <v>17</v>
      </c>
      <c r="R504" s="2" t="str">
        <f>VLOOKUP(J504,Equipes!A:B,2,0)</f>
        <v>AlAhly</v>
      </c>
      <c r="S504" s="6" t="s">
        <v>85</v>
      </c>
      <c r="T504" s="7">
        <v>10.0</v>
      </c>
      <c r="U504" s="7" t="s">
        <v>86</v>
      </c>
      <c r="V504" s="7" t="str">
        <f>VLOOKUP(U504,Jogadores!B:C,2,0)</f>
        <v>FW</v>
      </c>
      <c r="W504" s="8">
        <f>VLOOKUP(U504,Jogadores!B:D,3,0)</f>
        <v>22.99178082</v>
      </c>
      <c r="X504" s="7">
        <v>61.0</v>
      </c>
      <c r="Y504" s="7">
        <f t="shared" si="1571"/>
        <v>96</v>
      </c>
      <c r="Z504" s="7">
        <f>VLOOKUP(A504,Jogos!A:L,3,0)</f>
        <v>51</v>
      </c>
      <c r="AA504" s="7">
        <f t="shared" si="7"/>
        <v>0</v>
      </c>
      <c r="AB504" s="7">
        <f>VLOOKUP(A504,Jogos!A:L,4,0)</f>
        <v>51</v>
      </c>
      <c r="AC504" s="7">
        <f t="shared" si="657"/>
        <v>35</v>
      </c>
      <c r="AD504" s="7"/>
      <c r="AE504" s="7"/>
      <c r="AF504" s="7">
        <f t="shared" si="9"/>
        <v>35</v>
      </c>
      <c r="AG504" s="7">
        <v>3786.5</v>
      </c>
      <c r="AH504" s="7">
        <v>1334.7</v>
      </c>
      <c r="AI504" s="7">
        <v>1539.5</v>
      </c>
      <c r="AJ504" s="7">
        <v>530.7</v>
      </c>
      <c r="AK504" s="7">
        <v>298.1</v>
      </c>
      <c r="AL504" s="7">
        <v>83.4</v>
      </c>
      <c r="AM504" s="7">
        <v>44.0</v>
      </c>
      <c r="AN504" s="7">
        <v>22.0</v>
      </c>
      <c r="AO504" s="7">
        <v>32.2</v>
      </c>
      <c r="AP504" s="9">
        <f t="shared" ref="AP504:AR504" si="1572">AG504/$AF504</f>
        <v>108.1857143</v>
      </c>
      <c r="AQ504" s="9">
        <f t="shared" si="1572"/>
        <v>38.13428571</v>
      </c>
      <c r="AR504" s="9">
        <f t="shared" si="1572"/>
        <v>43.98571429</v>
      </c>
      <c r="AS504" s="9">
        <f t="shared" si="11"/>
        <v>82.12</v>
      </c>
      <c r="AT504" s="9">
        <f t="shared" ref="AT504:AV504" si="1573">AJ504/$AF504</f>
        <v>15.16285714</v>
      </c>
      <c r="AU504" s="9">
        <f t="shared" si="1573"/>
        <v>8.517142857</v>
      </c>
      <c r="AV504" s="9">
        <f t="shared" si="1573"/>
        <v>2.382857143</v>
      </c>
      <c r="AW504" s="9">
        <f t="shared" si="13"/>
        <v>10.9</v>
      </c>
      <c r="AX504" s="9">
        <f t="shared" ref="AX504:AY504" si="1574">AM504/$AF504</f>
        <v>1.257142857</v>
      </c>
      <c r="AY504" s="9">
        <f t="shared" si="1574"/>
        <v>0.6285714286</v>
      </c>
      <c r="AZ504" s="9">
        <f>VLOOKUP(A504,Jogos!A:BN,58,0)</f>
        <v>30.63</v>
      </c>
      <c r="BA504" s="9">
        <f>VLOOKUP(A504,Jogos!A:BN,59,0)</f>
        <v>20.56666667</v>
      </c>
      <c r="BB504" s="9">
        <f>VLOOKUP(A504,Jogos!A:BN,60,0)</f>
        <v>54.33333333</v>
      </c>
      <c r="BC504" s="9">
        <f>VLOOKUP(A504,Jogos!A:BN,61,0)</f>
        <v>31.41666667</v>
      </c>
      <c r="BD504" s="9">
        <f>VLOOKUP(A504,Jogos!A:BN,62,0)</f>
        <v>708.3333333</v>
      </c>
      <c r="BE504" s="9">
        <f>VLOOKUP(A504,Jogos!A:BN,63,0)</f>
        <v>2.436666667</v>
      </c>
      <c r="BF504" s="9">
        <f>VLOOKUP(A504,Jogos!A:BN,64,0)</f>
        <v>24.69333333</v>
      </c>
      <c r="BG504" s="9">
        <f>VLOOKUP(A504,Jogos!A:BN,65,0)</f>
        <v>44.21</v>
      </c>
      <c r="BH504" s="9">
        <f>VLOOKUP(A504,Jogos!A:BN,66,0)</f>
        <v>29.19</v>
      </c>
      <c r="BI504" s="9"/>
    </row>
    <row r="505" hidden="1">
      <c r="A505" s="10">
        <v>17.0</v>
      </c>
      <c r="B505" s="11" t="s">
        <v>60</v>
      </c>
      <c r="C505" s="2" t="s">
        <v>61</v>
      </c>
      <c r="D505" s="12">
        <v>45827.0</v>
      </c>
      <c r="E505" s="13">
        <v>0.5</v>
      </c>
      <c r="F505" s="5" t="str">
        <f>VLOOKUP(A505,Jogos!A:N,10,0)</f>
        <v>Afternoon</v>
      </c>
      <c r="G505" s="11" t="s">
        <v>249</v>
      </c>
      <c r="H505" s="6" t="str">
        <f>VLOOKUP(A505,Jogos!A:L,12,0)</f>
        <v>Open</v>
      </c>
      <c r="I505" s="6" t="str">
        <f>VLOOKUP(G505,'Estádios e Cidades'!A:B,2,0)</f>
        <v>East Rutherford</v>
      </c>
      <c r="J505" s="11" t="s">
        <v>63</v>
      </c>
      <c r="K505" s="2" t="str">
        <f>VLOOKUP(J505,Equipes!A:F,6,0)</f>
        <v>Tropical</v>
      </c>
      <c r="L505" s="2">
        <f>VLOOKUP(J505,Equipes!A:C,3,0)</f>
        <v>25</v>
      </c>
      <c r="M505" s="2" t="str">
        <f t="shared" si="4"/>
        <v>Group</v>
      </c>
      <c r="N505" s="11" t="s">
        <v>250</v>
      </c>
      <c r="O505" s="2">
        <f>VLOOKUP(N505,Equipes!A:C,3,0)</f>
        <v>8</v>
      </c>
      <c r="P505" s="2" t="str">
        <f t="shared" si="5"/>
        <v>Quarter-final</v>
      </c>
      <c r="Q505" s="2">
        <f t="shared" si="6"/>
        <v>17</v>
      </c>
      <c r="R505" s="2" t="str">
        <f>VLOOKUP(J505,Equipes!A:B,2,0)</f>
        <v>AlAhly</v>
      </c>
      <c r="S505" s="6" t="s">
        <v>87</v>
      </c>
      <c r="T505" s="7">
        <v>14.0</v>
      </c>
      <c r="U505" s="7" t="s">
        <v>88</v>
      </c>
      <c r="V505" s="7" t="str">
        <f>VLOOKUP(U505,Jogadores!B:C,2,0)</f>
        <v>MF</v>
      </c>
      <c r="W505" s="8">
        <f>VLOOKUP(U505,Jogadores!B:D,3,0)</f>
        <v>33.12328767</v>
      </c>
      <c r="X505" s="7">
        <v>87.0</v>
      </c>
      <c r="Y505" s="7">
        <f t="shared" si="1571"/>
        <v>96</v>
      </c>
      <c r="Z505" s="7">
        <f>VLOOKUP(A505,Jogos!A:L,3,0)</f>
        <v>51</v>
      </c>
      <c r="AA505" s="7">
        <f t="shared" si="7"/>
        <v>0</v>
      </c>
      <c r="AB505" s="7">
        <f>VLOOKUP(A505,Jogos!A:L,4,0)</f>
        <v>51</v>
      </c>
      <c r="AC505" s="7">
        <f t="shared" si="657"/>
        <v>9</v>
      </c>
      <c r="AD505" s="7"/>
      <c r="AE505" s="7"/>
      <c r="AF505" s="7">
        <f t="shared" si="9"/>
        <v>9</v>
      </c>
      <c r="AG505" s="7">
        <v>1103.2</v>
      </c>
      <c r="AH505" s="7">
        <v>439.9</v>
      </c>
      <c r="AI505" s="7">
        <v>490.3</v>
      </c>
      <c r="AJ505" s="7">
        <v>86.3</v>
      </c>
      <c r="AK505" s="7">
        <v>49.9</v>
      </c>
      <c r="AL505" s="7">
        <v>36.8</v>
      </c>
      <c r="AM505" s="7">
        <v>6.0</v>
      </c>
      <c r="AN505" s="7">
        <v>5.0</v>
      </c>
      <c r="AO505" s="7">
        <v>28.6</v>
      </c>
      <c r="AP505" s="9">
        <f t="shared" ref="AP505:AR505" si="1575">AG505/$AF505</f>
        <v>122.5777778</v>
      </c>
      <c r="AQ505" s="9">
        <f t="shared" si="1575"/>
        <v>48.87777778</v>
      </c>
      <c r="AR505" s="9">
        <f t="shared" si="1575"/>
        <v>54.47777778</v>
      </c>
      <c r="AS505" s="9">
        <f t="shared" si="11"/>
        <v>103.3555556</v>
      </c>
      <c r="AT505" s="9">
        <f t="shared" ref="AT505:AV505" si="1576">AJ505/$AF505</f>
        <v>9.588888889</v>
      </c>
      <c r="AU505" s="9">
        <f t="shared" si="1576"/>
        <v>5.544444444</v>
      </c>
      <c r="AV505" s="9">
        <f t="shared" si="1576"/>
        <v>4.088888889</v>
      </c>
      <c r="AW505" s="9">
        <f t="shared" si="13"/>
        <v>9.633333333</v>
      </c>
      <c r="AX505" s="9">
        <f t="shared" ref="AX505:AY505" si="1577">AM505/$AF505</f>
        <v>0.6666666667</v>
      </c>
      <c r="AY505" s="9">
        <f t="shared" si="1577"/>
        <v>0.5555555556</v>
      </c>
      <c r="AZ505" s="9">
        <f>VLOOKUP(A505,Jogos!A:BN,58,0)</f>
        <v>30.63</v>
      </c>
      <c r="BA505" s="9">
        <f>VLOOKUP(A505,Jogos!A:BN,59,0)</f>
        <v>20.56666667</v>
      </c>
      <c r="BB505" s="9">
        <f>VLOOKUP(A505,Jogos!A:BN,60,0)</f>
        <v>54.33333333</v>
      </c>
      <c r="BC505" s="9">
        <f>VLOOKUP(A505,Jogos!A:BN,61,0)</f>
        <v>31.41666667</v>
      </c>
      <c r="BD505" s="9">
        <f>VLOOKUP(A505,Jogos!A:BN,62,0)</f>
        <v>708.3333333</v>
      </c>
      <c r="BE505" s="9">
        <f>VLOOKUP(A505,Jogos!A:BN,63,0)</f>
        <v>2.436666667</v>
      </c>
      <c r="BF505" s="9">
        <f>VLOOKUP(A505,Jogos!A:BN,64,0)</f>
        <v>24.69333333</v>
      </c>
      <c r="BG505" s="9">
        <f>VLOOKUP(A505,Jogos!A:BN,65,0)</f>
        <v>44.21</v>
      </c>
      <c r="BH505" s="9">
        <f>VLOOKUP(A505,Jogos!A:BN,66,0)</f>
        <v>29.19</v>
      </c>
      <c r="BI505" s="9"/>
    </row>
    <row r="506" hidden="1">
      <c r="A506" s="10">
        <v>17.0</v>
      </c>
      <c r="B506" s="11" t="s">
        <v>60</v>
      </c>
      <c r="C506" s="2" t="s">
        <v>61</v>
      </c>
      <c r="D506" s="12">
        <v>45827.0</v>
      </c>
      <c r="E506" s="13">
        <v>0.5</v>
      </c>
      <c r="F506" s="5" t="str">
        <f>VLOOKUP(A506,Jogos!A:N,10,0)</f>
        <v>Afternoon</v>
      </c>
      <c r="G506" s="11" t="s">
        <v>249</v>
      </c>
      <c r="H506" s="6" t="str">
        <f>VLOOKUP(A506,Jogos!A:L,12,0)</f>
        <v>Open</v>
      </c>
      <c r="I506" s="6" t="str">
        <f>VLOOKUP(G506,'Estádios e Cidades'!A:B,2,0)</f>
        <v>East Rutherford</v>
      </c>
      <c r="J506" s="11" t="s">
        <v>63</v>
      </c>
      <c r="K506" s="2" t="str">
        <f>VLOOKUP(J506,Equipes!A:F,6,0)</f>
        <v>Tropical</v>
      </c>
      <c r="L506" s="2">
        <f>VLOOKUP(J506,Equipes!A:C,3,0)</f>
        <v>25</v>
      </c>
      <c r="M506" s="2" t="str">
        <f t="shared" si="4"/>
        <v>Group</v>
      </c>
      <c r="N506" s="11" t="s">
        <v>250</v>
      </c>
      <c r="O506" s="2">
        <f>VLOOKUP(N506,Equipes!A:C,3,0)</f>
        <v>8</v>
      </c>
      <c r="P506" s="2" t="str">
        <f t="shared" si="5"/>
        <v>Quarter-final</v>
      </c>
      <c r="Q506" s="2">
        <f t="shared" si="6"/>
        <v>17</v>
      </c>
      <c r="R506" s="2" t="str">
        <f>VLOOKUP(J506,Equipes!A:B,2,0)</f>
        <v>AlAhly</v>
      </c>
      <c r="S506" s="6" t="s">
        <v>1070</v>
      </c>
      <c r="T506" s="7">
        <v>17.0</v>
      </c>
      <c r="U506" s="7" t="s">
        <v>1071</v>
      </c>
      <c r="V506" s="7" t="str">
        <f>VLOOKUP(U506,Jogadores!B:C,2,0)</f>
        <v>MF</v>
      </c>
      <c r="W506" s="8">
        <f>VLOOKUP(U506,Jogadores!B:D,3,0)</f>
        <v>30.8630137</v>
      </c>
      <c r="X506" s="7">
        <v>61.0</v>
      </c>
      <c r="Y506" s="7">
        <f t="shared" si="1571"/>
        <v>96</v>
      </c>
      <c r="Z506" s="7">
        <f>VLOOKUP(A506,Jogos!A:L,3,0)</f>
        <v>51</v>
      </c>
      <c r="AA506" s="7">
        <f t="shared" si="7"/>
        <v>0</v>
      </c>
      <c r="AB506" s="7">
        <f>VLOOKUP(A506,Jogos!A:L,4,0)</f>
        <v>51</v>
      </c>
      <c r="AC506" s="7">
        <f t="shared" si="657"/>
        <v>35</v>
      </c>
      <c r="AD506" s="7"/>
      <c r="AE506" s="7"/>
      <c r="AF506" s="7">
        <f t="shared" si="9"/>
        <v>35</v>
      </c>
      <c r="AG506" s="7">
        <v>3981.3</v>
      </c>
      <c r="AH506" s="7">
        <v>1398.2</v>
      </c>
      <c r="AI506" s="7">
        <v>1502.8</v>
      </c>
      <c r="AJ506" s="7">
        <v>555.6</v>
      </c>
      <c r="AK506" s="7">
        <v>332.4</v>
      </c>
      <c r="AL506" s="7">
        <v>192.3</v>
      </c>
      <c r="AM506" s="7">
        <v>47.0</v>
      </c>
      <c r="AN506" s="7">
        <v>28.0</v>
      </c>
      <c r="AO506" s="7">
        <v>32.4</v>
      </c>
      <c r="AP506" s="9">
        <f t="shared" ref="AP506:AR506" si="1578">AG506/$AF506</f>
        <v>113.7514286</v>
      </c>
      <c r="AQ506" s="9">
        <f t="shared" si="1578"/>
        <v>39.94857143</v>
      </c>
      <c r="AR506" s="9">
        <f t="shared" si="1578"/>
        <v>42.93714286</v>
      </c>
      <c r="AS506" s="9">
        <f t="shared" si="11"/>
        <v>82.88571429</v>
      </c>
      <c r="AT506" s="9">
        <f t="shared" ref="AT506:AV506" si="1579">AJ506/$AF506</f>
        <v>15.87428571</v>
      </c>
      <c r="AU506" s="9">
        <f t="shared" si="1579"/>
        <v>9.497142857</v>
      </c>
      <c r="AV506" s="9">
        <f t="shared" si="1579"/>
        <v>5.494285714</v>
      </c>
      <c r="AW506" s="9">
        <f t="shared" si="13"/>
        <v>14.99142857</v>
      </c>
      <c r="AX506" s="9">
        <f t="shared" ref="AX506:AY506" si="1580">AM506/$AF506</f>
        <v>1.342857143</v>
      </c>
      <c r="AY506" s="9">
        <f t="shared" si="1580"/>
        <v>0.8</v>
      </c>
      <c r="AZ506" s="9">
        <f>VLOOKUP(A506,Jogos!A:BN,58,0)</f>
        <v>30.63</v>
      </c>
      <c r="BA506" s="9">
        <f>VLOOKUP(A506,Jogos!A:BN,59,0)</f>
        <v>20.56666667</v>
      </c>
      <c r="BB506" s="9">
        <f>VLOOKUP(A506,Jogos!A:BN,60,0)</f>
        <v>54.33333333</v>
      </c>
      <c r="BC506" s="9">
        <f>VLOOKUP(A506,Jogos!A:BN,61,0)</f>
        <v>31.41666667</v>
      </c>
      <c r="BD506" s="9">
        <f>VLOOKUP(A506,Jogos!A:BN,62,0)</f>
        <v>708.3333333</v>
      </c>
      <c r="BE506" s="9">
        <f>VLOOKUP(A506,Jogos!A:BN,63,0)</f>
        <v>2.436666667</v>
      </c>
      <c r="BF506" s="9">
        <f>VLOOKUP(A506,Jogos!A:BN,64,0)</f>
        <v>24.69333333</v>
      </c>
      <c r="BG506" s="9">
        <f>VLOOKUP(A506,Jogos!A:BN,65,0)</f>
        <v>44.21</v>
      </c>
      <c r="BH506" s="9">
        <f>VLOOKUP(A506,Jogos!A:BN,66,0)</f>
        <v>29.19</v>
      </c>
      <c r="BI506" s="9"/>
    </row>
    <row r="507" hidden="1">
      <c r="A507" s="10">
        <v>17.0</v>
      </c>
      <c r="B507" s="11" t="s">
        <v>60</v>
      </c>
      <c r="C507" s="2" t="s">
        <v>61</v>
      </c>
      <c r="D507" s="12">
        <v>45827.0</v>
      </c>
      <c r="E507" s="13">
        <v>0.5</v>
      </c>
      <c r="F507" s="5" t="str">
        <f>VLOOKUP(A507,Jogos!A:N,10,0)</f>
        <v>Afternoon</v>
      </c>
      <c r="G507" s="11" t="s">
        <v>249</v>
      </c>
      <c r="H507" s="6" t="str">
        <f>VLOOKUP(A507,Jogos!A:L,12,0)</f>
        <v>Open</v>
      </c>
      <c r="I507" s="6" t="str">
        <f>VLOOKUP(G507,'Estádios e Cidades'!A:B,2,0)</f>
        <v>East Rutherford</v>
      </c>
      <c r="J507" s="11" t="s">
        <v>63</v>
      </c>
      <c r="K507" s="2" t="str">
        <f>VLOOKUP(J507,Equipes!A:F,6,0)</f>
        <v>Tropical</v>
      </c>
      <c r="L507" s="2">
        <f>VLOOKUP(J507,Equipes!A:C,3,0)</f>
        <v>25</v>
      </c>
      <c r="M507" s="2" t="str">
        <f t="shared" si="4"/>
        <v>Group</v>
      </c>
      <c r="N507" s="11" t="s">
        <v>250</v>
      </c>
      <c r="O507" s="2">
        <f>VLOOKUP(N507,Equipes!A:C,3,0)</f>
        <v>8</v>
      </c>
      <c r="P507" s="2" t="str">
        <f t="shared" si="5"/>
        <v>Quarter-final</v>
      </c>
      <c r="Q507" s="2">
        <f t="shared" si="6"/>
        <v>17</v>
      </c>
      <c r="R507" s="2" t="str">
        <f>VLOOKUP(J507,Equipes!A:B,2,0)</f>
        <v>AlAhly</v>
      </c>
      <c r="S507" s="6" t="s">
        <v>89</v>
      </c>
      <c r="T507" s="7">
        <v>19.0</v>
      </c>
      <c r="U507" s="7" t="s">
        <v>90</v>
      </c>
      <c r="V507" s="7" t="str">
        <f>VLOOKUP(U507,Jogadores!B:C,2,0)</f>
        <v>MF</v>
      </c>
      <c r="W507" s="8">
        <f>VLOOKUP(U507,Jogadores!B:D,3,0)</f>
        <v>29.16986301</v>
      </c>
      <c r="X507" s="7">
        <v>61.0</v>
      </c>
      <c r="Y507" s="7">
        <f t="shared" si="1571"/>
        <v>96</v>
      </c>
      <c r="Z507" s="7">
        <f>VLOOKUP(A507,Jogos!A:L,3,0)</f>
        <v>51</v>
      </c>
      <c r="AA507" s="7">
        <f t="shared" si="7"/>
        <v>0</v>
      </c>
      <c r="AB507" s="7">
        <f>VLOOKUP(A507,Jogos!A:L,4,0)</f>
        <v>51</v>
      </c>
      <c r="AC507" s="7">
        <f t="shared" si="657"/>
        <v>35</v>
      </c>
      <c r="AD507" s="7"/>
      <c r="AE507" s="7"/>
      <c r="AF507" s="7">
        <f t="shared" si="9"/>
        <v>35</v>
      </c>
      <c r="AG507" s="7">
        <v>3759.6</v>
      </c>
      <c r="AH507" s="7">
        <v>1372.2</v>
      </c>
      <c r="AI507" s="7">
        <v>1554.4</v>
      </c>
      <c r="AJ507" s="7">
        <v>660.3</v>
      </c>
      <c r="AK507" s="7">
        <v>159.8</v>
      </c>
      <c r="AL507" s="7">
        <v>12.9</v>
      </c>
      <c r="AM507" s="7">
        <v>57.0</v>
      </c>
      <c r="AN507" s="7">
        <v>15.0</v>
      </c>
      <c r="AO507" s="7">
        <v>28.3</v>
      </c>
      <c r="AP507" s="9">
        <f t="shared" ref="AP507:AR507" si="1581">AG507/$AF507</f>
        <v>107.4171429</v>
      </c>
      <c r="AQ507" s="9">
        <f t="shared" si="1581"/>
        <v>39.20571429</v>
      </c>
      <c r="AR507" s="9">
        <f t="shared" si="1581"/>
        <v>44.41142857</v>
      </c>
      <c r="AS507" s="9">
        <f t="shared" si="11"/>
        <v>83.61714286</v>
      </c>
      <c r="AT507" s="9">
        <f t="shared" ref="AT507:AV507" si="1582">AJ507/$AF507</f>
        <v>18.86571429</v>
      </c>
      <c r="AU507" s="9">
        <f t="shared" si="1582"/>
        <v>4.565714286</v>
      </c>
      <c r="AV507" s="9">
        <f t="shared" si="1582"/>
        <v>0.3685714286</v>
      </c>
      <c r="AW507" s="9">
        <f t="shared" si="13"/>
        <v>4.934285714</v>
      </c>
      <c r="AX507" s="9">
        <f t="shared" ref="AX507:AY507" si="1583">AM507/$AF507</f>
        <v>1.628571429</v>
      </c>
      <c r="AY507" s="9">
        <f t="shared" si="1583"/>
        <v>0.4285714286</v>
      </c>
      <c r="AZ507" s="9">
        <f>VLOOKUP(A507,Jogos!A:BN,58,0)</f>
        <v>30.63</v>
      </c>
      <c r="BA507" s="9">
        <f>VLOOKUP(A507,Jogos!A:BN,59,0)</f>
        <v>20.56666667</v>
      </c>
      <c r="BB507" s="9">
        <f>VLOOKUP(A507,Jogos!A:BN,60,0)</f>
        <v>54.33333333</v>
      </c>
      <c r="BC507" s="9">
        <f>VLOOKUP(A507,Jogos!A:BN,61,0)</f>
        <v>31.41666667</v>
      </c>
      <c r="BD507" s="9">
        <f>VLOOKUP(A507,Jogos!A:BN,62,0)</f>
        <v>708.3333333</v>
      </c>
      <c r="BE507" s="9">
        <f>VLOOKUP(A507,Jogos!A:BN,63,0)</f>
        <v>2.436666667</v>
      </c>
      <c r="BF507" s="9">
        <f>VLOOKUP(A507,Jogos!A:BN,64,0)</f>
        <v>24.69333333</v>
      </c>
      <c r="BG507" s="9">
        <f>VLOOKUP(A507,Jogos!A:BN,65,0)</f>
        <v>44.21</v>
      </c>
      <c r="BH507" s="9">
        <f>VLOOKUP(A507,Jogos!A:BN,66,0)</f>
        <v>29.19</v>
      </c>
      <c r="BI507" s="9"/>
    </row>
    <row r="508" hidden="1">
      <c r="A508" s="2">
        <v>18.0</v>
      </c>
      <c r="B508" s="2" t="s">
        <v>60</v>
      </c>
      <c r="C508" s="2" t="s">
        <v>61</v>
      </c>
      <c r="D508" s="3">
        <v>45827.0</v>
      </c>
      <c r="E508" s="4">
        <v>0.625</v>
      </c>
      <c r="F508" s="5" t="str">
        <f>VLOOKUP(A508,Jogos!A:N,10,0)</f>
        <v>Afternoon</v>
      </c>
      <c r="G508" s="2" t="s">
        <v>376</v>
      </c>
      <c r="H508" s="6" t="str">
        <f>VLOOKUP(A508,Jogos!A:L,12,0)</f>
        <v>Closed</v>
      </c>
      <c r="I508" s="6" t="str">
        <f>VLOOKUP(G508,'Estádios e Cidades'!A:B,2,0)</f>
        <v>Atlanta</v>
      </c>
      <c r="J508" s="2" t="s">
        <v>64</v>
      </c>
      <c r="K508" s="2" t="str">
        <f>VLOOKUP(J508,Equipes!A:F,6,0)</f>
        <v>Tropical</v>
      </c>
      <c r="L508" s="2">
        <f>VLOOKUP(J508,Equipes!A:C,3,0)</f>
        <v>16</v>
      </c>
      <c r="M508" s="2" t="str">
        <f t="shared" si="4"/>
        <v>Round of 16</v>
      </c>
      <c r="N508" s="2" t="s">
        <v>251</v>
      </c>
      <c r="O508" s="2">
        <f>VLOOKUP(N508,Equipes!A:C,3,0)</f>
        <v>23</v>
      </c>
      <c r="P508" s="2" t="str">
        <f t="shared" si="5"/>
        <v>Group</v>
      </c>
      <c r="Q508" s="2">
        <f t="shared" si="6"/>
        <v>-7</v>
      </c>
      <c r="R508" s="2" t="str">
        <f>VLOOKUP(J508,Equipes!A:B,2,0)</f>
        <v>InterMiami</v>
      </c>
      <c r="S508" s="6" t="s">
        <v>95</v>
      </c>
      <c r="T508" s="7">
        <v>5.0</v>
      </c>
      <c r="U508" s="7" t="s">
        <v>96</v>
      </c>
      <c r="V508" s="7" t="str">
        <f>VLOOKUP(U508,Jogadores!B:C,2,0)</f>
        <v>MF</v>
      </c>
      <c r="W508" s="8">
        <f>VLOOKUP(U508,Jogadores!B:D,3,0)</f>
        <v>37.05753425</v>
      </c>
      <c r="X508" s="7">
        <v>0.0</v>
      </c>
      <c r="Y508" s="7">
        <f t="shared" si="1571"/>
        <v>97</v>
      </c>
      <c r="Z508" s="7">
        <f>VLOOKUP(A508,Jogos!A:L,3,0)</f>
        <v>47</v>
      </c>
      <c r="AA508" s="7">
        <f t="shared" si="7"/>
        <v>47</v>
      </c>
      <c r="AB508" s="7">
        <f>VLOOKUP(A508,Jogos!A:L,4,0)</f>
        <v>52</v>
      </c>
      <c r="AC508" s="7">
        <f t="shared" si="657"/>
        <v>52</v>
      </c>
      <c r="AD508" s="7"/>
      <c r="AE508" s="7"/>
      <c r="AF508" s="7">
        <f t="shared" si="9"/>
        <v>99</v>
      </c>
      <c r="AG508" s="7">
        <v>10923.3</v>
      </c>
      <c r="AH508" s="7">
        <v>3925.7</v>
      </c>
      <c r="AI508" s="7">
        <v>5050.1</v>
      </c>
      <c r="AJ508" s="7">
        <v>1508.6</v>
      </c>
      <c r="AK508" s="7">
        <v>401.2</v>
      </c>
      <c r="AL508" s="7">
        <v>37.8</v>
      </c>
      <c r="AM508" s="7">
        <v>146.0</v>
      </c>
      <c r="AN508" s="7">
        <v>30.0</v>
      </c>
      <c r="AO508" s="7">
        <v>27.9</v>
      </c>
      <c r="AP508" s="9">
        <f t="shared" ref="AP508:AR508" si="1584">AG508/$AF508</f>
        <v>110.3363636</v>
      </c>
      <c r="AQ508" s="9">
        <f t="shared" si="1584"/>
        <v>39.65353535</v>
      </c>
      <c r="AR508" s="9">
        <f t="shared" si="1584"/>
        <v>51.01111111</v>
      </c>
      <c r="AS508" s="9">
        <f t="shared" si="11"/>
        <v>90.66464646</v>
      </c>
      <c r="AT508" s="9">
        <f t="shared" ref="AT508:AV508" si="1585">AJ508/$AF508</f>
        <v>15.23838384</v>
      </c>
      <c r="AU508" s="9">
        <f t="shared" si="1585"/>
        <v>4.052525253</v>
      </c>
      <c r="AV508" s="9">
        <f t="shared" si="1585"/>
        <v>0.3818181818</v>
      </c>
      <c r="AW508" s="9">
        <f t="shared" si="13"/>
        <v>4.434343434</v>
      </c>
      <c r="AX508" s="9">
        <f t="shared" ref="AX508:AY508" si="1586">AM508/$AF508</f>
        <v>1.474747475</v>
      </c>
      <c r="AY508" s="9">
        <f t="shared" si="1586"/>
        <v>0.303030303</v>
      </c>
      <c r="AZ508" s="9">
        <f>VLOOKUP(A508,Jogos!A:BN,58,0)</f>
        <v>24.995</v>
      </c>
      <c r="BA508" s="9">
        <f>VLOOKUP(A508,Jogos!A:BN,59,0)</f>
        <v>20.455</v>
      </c>
      <c r="BB508" s="9">
        <f>VLOOKUP(A508,Jogos!A:BN,60,0)</f>
        <v>75</v>
      </c>
      <c r="BC508" s="9">
        <f>VLOOKUP(A508,Jogos!A:BN,61,0)</f>
        <v>23.02</v>
      </c>
      <c r="BD508" s="9">
        <f>VLOOKUP(A508,Jogos!A:BN,62,0)</f>
        <v>474</v>
      </c>
      <c r="BE508" s="9">
        <f>VLOOKUP(A508,Jogos!A:BN,63,0)</f>
        <v>2.795</v>
      </c>
      <c r="BF508" s="9">
        <f>VLOOKUP(A508,Jogos!A:BN,64,0)</f>
        <v>22.365</v>
      </c>
      <c r="BG508" s="9">
        <f>VLOOKUP(A508,Jogos!A:BN,65,0)</f>
        <v>37.84</v>
      </c>
      <c r="BH508" s="9">
        <f>VLOOKUP(A508,Jogos!A:BN,66,0)</f>
        <v>25.72</v>
      </c>
      <c r="BI508" s="9"/>
    </row>
    <row r="509" hidden="1">
      <c r="A509" s="2">
        <v>18.0</v>
      </c>
      <c r="B509" s="2" t="s">
        <v>60</v>
      </c>
      <c r="C509" s="2" t="s">
        <v>61</v>
      </c>
      <c r="D509" s="3">
        <v>45827.0</v>
      </c>
      <c r="E509" s="4">
        <v>0.625</v>
      </c>
      <c r="F509" s="5" t="str">
        <f>VLOOKUP(A509,Jogos!A:N,10,0)</f>
        <v>Afternoon</v>
      </c>
      <c r="G509" s="2" t="s">
        <v>376</v>
      </c>
      <c r="H509" s="6" t="str">
        <f>VLOOKUP(A509,Jogos!A:L,12,0)</f>
        <v>Closed</v>
      </c>
      <c r="I509" s="6" t="str">
        <f>VLOOKUP(G509,'Estádios e Cidades'!A:B,2,0)</f>
        <v>Atlanta</v>
      </c>
      <c r="J509" s="2" t="s">
        <v>64</v>
      </c>
      <c r="K509" s="2" t="str">
        <f>VLOOKUP(J509,Equipes!A:F,6,0)</f>
        <v>Tropical</v>
      </c>
      <c r="L509" s="2">
        <f>VLOOKUP(J509,Equipes!A:C,3,0)</f>
        <v>16</v>
      </c>
      <c r="M509" s="2" t="str">
        <f t="shared" si="4"/>
        <v>Round of 16</v>
      </c>
      <c r="N509" s="2" t="s">
        <v>251</v>
      </c>
      <c r="O509" s="2">
        <f>VLOOKUP(N509,Equipes!A:C,3,0)</f>
        <v>23</v>
      </c>
      <c r="P509" s="2" t="str">
        <f t="shared" si="5"/>
        <v>Group</v>
      </c>
      <c r="Q509" s="2">
        <f t="shared" si="6"/>
        <v>-7</v>
      </c>
      <c r="R509" s="2" t="str">
        <f>VLOOKUP(J509,Equipes!A:B,2,0)</f>
        <v>InterMiami</v>
      </c>
      <c r="S509" s="6" t="s">
        <v>99</v>
      </c>
      <c r="T509" s="7">
        <v>8.0</v>
      </c>
      <c r="U509" s="7" t="s">
        <v>100</v>
      </c>
      <c r="V509" s="7" t="str">
        <f>VLOOKUP(U509,Jogadores!B:C,2,0)</f>
        <v>MF</v>
      </c>
      <c r="W509" s="8">
        <f>VLOOKUP(U509,Jogadores!B:D,3,0)</f>
        <v>22.3369863</v>
      </c>
      <c r="X509" s="7">
        <v>0.0</v>
      </c>
      <c r="Y509" s="7">
        <v>71.0</v>
      </c>
      <c r="Z509" s="7">
        <f>VLOOKUP(A509,Jogos!A:L,3,0)</f>
        <v>47</v>
      </c>
      <c r="AA509" s="7">
        <f t="shared" si="7"/>
        <v>47</v>
      </c>
      <c r="AB509" s="7">
        <f>VLOOKUP(A509,Jogos!A:L,4,0)</f>
        <v>52</v>
      </c>
      <c r="AC509" s="7">
        <f t="shared" si="657"/>
        <v>26</v>
      </c>
      <c r="AD509" s="7"/>
      <c r="AE509" s="7"/>
      <c r="AF509" s="7">
        <f t="shared" si="9"/>
        <v>73</v>
      </c>
      <c r="AG509" s="7">
        <v>8757.6</v>
      </c>
      <c r="AH509" s="7">
        <v>3319.2</v>
      </c>
      <c r="AI509" s="7">
        <v>3264.4</v>
      </c>
      <c r="AJ509" s="7">
        <v>1479.8</v>
      </c>
      <c r="AK509" s="7">
        <v>594.5</v>
      </c>
      <c r="AL509" s="7">
        <v>99.7</v>
      </c>
      <c r="AM509" s="7">
        <v>134.0</v>
      </c>
      <c r="AN509" s="7">
        <v>43.0</v>
      </c>
      <c r="AO509" s="7">
        <v>29.4</v>
      </c>
      <c r="AP509" s="9">
        <f t="shared" ref="AP509:AR509" si="1587">AG509/$AF509</f>
        <v>119.9671233</v>
      </c>
      <c r="AQ509" s="9">
        <f t="shared" si="1587"/>
        <v>45.46849315</v>
      </c>
      <c r="AR509" s="9">
        <f t="shared" si="1587"/>
        <v>44.71780822</v>
      </c>
      <c r="AS509" s="9">
        <f t="shared" si="11"/>
        <v>90.18630137</v>
      </c>
      <c r="AT509" s="9">
        <f t="shared" ref="AT509:AV509" si="1588">AJ509/$AF509</f>
        <v>20.27123288</v>
      </c>
      <c r="AU509" s="9">
        <f t="shared" si="1588"/>
        <v>8.143835616</v>
      </c>
      <c r="AV509" s="9">
        <f t="shared" si="1588"/>
        <v>1.365753425</v>
      </c>
      <c r="AW509" s="9">
        <f t="shared" si="13"/>
        <v>9.509589041</v>
      </c>
      <c r="AX509" s="9">
        <f t="shared" ref="AX509:AY509" si="1589">AM509/$AF509</f>
        <v>1.835616438</v>
      </c>
      <c r="AY509" s="9">
        <f t="shared" si="1589"/>
        <v>0.5890410959</v>
      </c>
      <c r="AZ509" s="9">
        <f>VLOOKUP(A509,Jogos!A:BN,58,0)</f>
        <v>24.995</v>
      </c>
      <c r="BA509" s="9">
        <f>VLOOKUP(A509,Jogos!A:BN,59,0)</f>
        <v>20.455</v>
      </c>
      <c r="BB509" s="9">
        <f>VLOOKUP(A509,Jogos!A:BN,60,0)</f>
        <v>75</v>
      </c>
      <c r="BC509" s="9">
        <f>VLOOKUP(A509,Jogos!A:BN,61,0)</f>
        <v>23.02</v>
      </c>
      <c r="BD509" s="9">
        <f>VLOOKUP(A509,Jogos!A:BN,62,0)</f>
        <v>474</v>
      </c>
      <c r="BE509" s="9">
        <f>VLOOKUP(A509,Jogos!A:BN,63,0)</f>
        <v>2.795</v>
      </c>
      <c r="BF509" s="9">
        <f>VLOOKUP(A509,Jogos!A:BN,64,0)</f>
        <v>22.365</v>
      </c>
      <c r="BG509" s="9">
        <f>VLOOKUP(A509,Jogos!A:BN,65,0)</f>
        <v>37.84</v>
      </c>
      <c r="BH509" s="9">
        <f>VLOOKUP(A509,Jogos!A:BN,66,0)</f>
        <v>25.72</v>
      </c>
      <c r="BI509" s="9"/>
    </row>
    <row r="510" hidden="1">
      <c r="A510" s="2">
        <v>18.0</v>
      </c>
      <c r="B510" s="2" t="s">
        <v>60</v>
      </c>
      <c r="C510" s="2" t="s">
        <v>61</v>
      </c>
      <c r="D510" s="3">
        <v>45827.0</v>
      </c>
      <c r="E510" s="4">
        <v>0.625</v>
      </c>
      <c r="F510" s="5" t="str">
        <f>VLOOKUP(A510,Jogos!A:N,10,0)</f>
        <v>Afternoon</v>
      </c>
      <c r="G510" s="2" t="s">
        <v>376</v>
      </c>
      <c r="H510" s="6" t="str">
        <f>VLOOKUP(A510,Jogos!A:L,12,0)</f>
        <v>Closed</v>
      </c>
      <c r="I510" s="6" t="str">
        <f>VLOOKUP(G510,'Estádios e Cidades'!A:B,2,0)</f>
        <v>Atlanta</v>
      </c>
      <c r="J510" s="2" t="s">
        <v>64</v>
      </c>
      <c r="K510" s="2" t="str">
        <f>VLOOKUP(J510,Equipes!A:F,6,0)</f>
        <v>Tropical</v>
      </c>
      <c r="L510" s="2">
        <f>VLOOKUP(J510,Equipes!A:C,3,0)</f>
        <v>16</v>
      </c>
      <c r="M510" s="2" t="str">
        <f t="shared" si="4"/>
        <v>Round of 16</v>
      </c>
      <c r="N510" s="2" t="s">
        <v>251</v>
      </c>
      <c r="O510" s="2">
        <f>VLOOKUP(N510,Equipes!A:C,3,0)</f>
        <v>23</v>
      </c>
      <c r="P510" s="2" t="str">
        <f t="shared" si="5"/>
        <v>Group</v>
      </c>
      <c r="Q510" s="2">
        <f t="shared" si="6"/>
        <v>-7</v>
      </c>
      <c r="R510" s="2" t="str">
        <f>VLOOKUP(J510,Equipes!A:B,2,0)</f>
        <v>InterMiami</v>
      </c>
      <c r="S510" s="6" t="s">
        <v>101</v>
      </c>
      <c r="T510" s="7">
        <v>9.0</v>
      </c>
      <c r="U510" s="7" t="s">
        <v>102</v>
      </c>
      <c r="V510" s="7" t="str">
        <f>VLOOKUP(U510,Jogadores!B:C,2,0)</f>
        <v>FW</v>
      </c>
      <c r="W510" s="8">
        <f>VLOOKUP(U510,Jogadores!B:D,3,0)</f>
        <v>38.53424658</v>
      </c>
      <c r="X510" s="7">
        <v>0.0</v>
      </c>
      <c r="Y510" s="7">
        <f t="shared" ref="Y510:Y511" si="1593">45+AB510</f>
        <v>97</v>
      </c>
      <c r="Z510" s="7">
        <f>VLOOKUP(A510,Jogos!A:L,3,0)</f>
        <v>47</v>
      </c>
      <c r="AA510" s="7">
        <f t="shared" si="7"/>
        <v>47</v>
      </c>
      <c r="AB510" s="7">
        <f>VLOOKUP(A510,Jogos!A:L,4,0)</f>
        <v>52</v>
      </c>
      <c r="AC510" s="7">
        <f t="shared" si="657"/>
        <v>52</v>
      </c>
      <c r="AD510" s="7"/>
      <c r="AE510" s="7"/>
      <c r="AF510" s="7">
        <f t="shared" si="9"/>
        <v>99</v>
      </c>
      <c r="AG510" s="7">
        <v>10192.1</v>
      </c>
      <c r="AH510" s="7">
        <v>3920.2</v>
      </c>
      <c r="AI510" s="7">
        <v>3985.0</v>
      </c>
      <c r="AJ510" s="7">
        <v>1567.2</v>
      </c>
      <c r="AK510" s="7">
        <v>552.0</v>
      </c>
      <c r="AL510" s="7">
        <v>167.8</v>
      </c>
      <c r="AM510" s="7">
        <v>132.0</v>
      </c>
      <c r="AN510" s="7">
        <v>46.0</v>
      </c>
      <c r="AO510" s="7">
        <v>28.8</v>
      </c>
      <c r="AP510" s="9">
        <f t="shared" ref="AP510:AR510" si="1590">AG510/$AF510</f>
        <v>102.9505051</v>
      </c>
      <c r="AQ510" s="9">
        <f t="shared" si="1590"/>
        <v>39.5979798</v>
      </c>
      <c r="AR510" s="9">
        <f t="shared" si="1590"/>
        <v>40.25252525</v>
      </c>
      <c r="AS510" s="9">
        <f t="shared" si="11"/>
        <v>79.85050505</v>
      </c>
      <c r="AT510" s="9">
        <f t="shared" ref="AT510:AV510" si="1591">AJ510/$AF510</f>
        <v>15.83030303</v>
      </c>
      <c r="AU510" s="9">
        <f t="shared" si="1591"/>
        <v>5.575757576</v>
      </c>
      <c r="AV510" s="9">
        <f t="shared" si="1591"/>
        <v>1.694949495</v>
      </c>
      <c r="AW510" s="9">
        <f t="shared" si="13"/>
        <v>7.270707071</v>
      </c>
      <c r="AX510" s="9">
        <f t="shared" ref="AX510:AY510" si="1592">AM510/$AF510</f>
        <v>1.333333333</v>
      </c>
      <c r="AY510" s="9">
        <f t="shared" si="1592"/>
        <v>0.4646464646</v>
      </c>
      <c r="AZ510" s="9">
        <f>VLOOKUP(A510,Jogos!A:BN,58,0)</f>
        <v>24.995</v>
      </c>
      <c r="BA510" s="9">
        <f>VLOOKUP(A510,Jogos!A:BN,59,0)</f>
        <v>20.455</v>
      </c>
      <c r="BB510" s="9">
        <f>VLOOKUP(A510,Jogos!A:BN,60,0)</f>
        <v>75</v>
      </c>
      <c r="BC510" s="9">
        <f>VLOOKUP(A510,Jogos!A:BN,61,0)</f>
        <v>23.02</v>
      </c>
      <c r="BD510" s="9">
        <f>VLOOKUP(A510,Jogos!A:BN,62,0)</f>
        <v>474</v>
      </c>
      <c r="BE510" s="9">
        <f>VLOOKUP(A510,Jogos!A:BN,63,0)</f>
        <v>2.795</v>
      </c>
      <c r="BF510" s="9">
        <f>VLOOKUP(A510,Jogos!A:BN,64,0)</f>
        <v>22.365</v>
      </c>
      <c r="BG510" s="9">
        <f>VLOOKUP(A510,Jogos!A:BN,65,0)</f>
        <v>37.84</v>
      </c>
      <c r="BH510" s="9">
        <f>VLOOKUP(A510,Jogos!A:BN,66,0)</f>
        <v>25.72</v>
      </c>
      <c r="BI510" s="9"/>
    </row>
    <row r="511" hidden="1">
      <c r="A511" s="2">
        <v>18.0</v>
      </c>
      <c r="B511" s="2" t="s">
        <v>60</v>
      </c>
      <c r="C511" s="2" t="s">
        <v>61</v>
      </c>
      <c r="D511" s="3">
        <v>45827.0</v>
      </c>
      <c r="E511" s="4">
        <v>0.625</v>
      </c>
      <c r="F511" s="5" t="str">
        <f>VLOOKUP(A511,Jogos!A:N,10,0)</f>
        <v>Afternoon</v>
      </c>
      <c r="G511" s="2" t="s">
        <v>376</v>
      </c>
      <c r="H511" s="6" t="str">
        <f>VLOOKUP(A511,Jogos!A:L,12,0)</f>
        <v>Closed</v>
      </c>
      <c r="I511" s="6" t="str">
        <f>VLOOKUP(G511,'Estádios e Cidades'!A:B,2,0)</f>
        <v>Atlanta</v>
      </c>
      <c r="J511" s="2" t="s">
        <v>64</v>
      </c>
      <c r="K511" s="2" t="str">
        <f>VLOOKUP(J511,Equipes!A:F,6,0)</f>
        <v>Tropical</v>
      </c>
      <c r="L511" s="2">
        <f>VLOOKUP(J511,Equipes!A:C,3,0)</f>
        <v>16</v>
      </c>
      <c r="M511" s="2" t="str">
        <f t="shared" si="4"/>
        <v>Round of 16</v>
      </c>
      <c r="N511" s="2" t="s">
        <v>251</v>
      </c>
      <c r="O511" s="2">
        <f>VLOOKUP(N511,Equipes!A:C,3,0)</f>
        <v>23</v>
      </c>
      <c r="P511" s="2" t="str">
        <f t="shared" si="5"/>
        <v>Group</v>
      </c>
      <c r="Q511" s="2">
        <f t="shared" si="6"/>
        <v>-7</v>
      </c>
      <c r="R511" s="2" t="str">
        <f>VLOOKUP(J511,Equipes!A:B,2,0)</f>
        <v>InterMiami</v>
      </c>
      <c r="S511" s="6" t="s">
        <v>103</v>
      </c>
      <c r="T511" s="7">
        <v>10.0</v>
      </c>
      <c r="U511" s="7" t="s">
        <v>104</v>
      </c>
      <c r="V511" s="7" t="str">
        <f>VLOOKUP(U511,Jogadores!B:C,2,0)</f>
        <v>FW</v>
      </c>
      <c r="W511" s="8">
        <f>VLOOKUP(U511,Jogadores!B:D,3,0)</f>
        <v>38.12054795</v>
      </c>
      <c r="X511" s="7">
        <v>0.0</v>
      </c>
      <c r="Y511" s="7">
        <f t="shared" si="1593"/>
        <v>97</v>
      </c>
      <c r="Z511" s="7">
        <f>VLOOKUP(A511,Jogos!A:L,3,0)</f>
        <v>47</v>
      </c>
      <c r="AA511" s="7">
        <f t="shared" si="7"/>
        <v>47</v>
      </c>
      <c r="AB511" s="7">
        <f>VLOOKUP(A511,Jogos!A:L,4,0)</f>
        <v>52</v>
      </c>
      <c r="AC511" s="7">
        <f t="shared" si="657"/>
        <v>52</v>
      </c>
      <c r="AD511" s="7"/>
      <c r="AE511" s="7"/>
      <c r="AF511" s="7">
        <f t="shared" si="9"/>
        <v>99</v>
      </c>
      <c r="AG511" s="7">
        <v>7934.0</v>
      </c>
      <c r="AH511" s="7">
        <v>4729.0</v>
      </c>
      <c r="AI511" s="7">
        <v>2057.9</v>
      </c>
      <c r="AJ511" s="7">
        <v>756.3</v>
      </c>
      <c r="AK511" s="7">
        <v>295.2</v>
      </c>
      <c r="AL511" s="7">
        <v>95.6</v>
      </c>
      <c r="AM511" s="7">
        <v>64.0</v>
      </c>
      <c r="AN511" s="7">
        <v>25.0</v>
      </c>
      <c r="AO511" s="7">
        <v>29.2</v>
      </c>
      <c r="AP511" s="9">
        <f t="shared" ref="AP511:AR511" si="1594">AG511/$AF511</f>
        <v>80.14141414</v>
      </c>
      <c r="AQ511" s="9">
        <f t="shared" si="1594"/>
        <v>47.76767677</v>
      </c>
      <c r="AR511" s="9">
        <f t="shared" si="1594"/>
        <v>20.78686869</v>
      </c>
      <c r="AS511" s="9">
        <f t="shared" si="11"/>
        <v>68.55454545</v>
      </c>
      <c r="AT511" s="9">
        <f t="shared" ref="AT511:AV511" si="1595">AJ511/$AF511</f>
        <v>7.639393939</v>
      </c>
      <c r="AU511" s="9">
        <f t="shared" si="1595"/>
        <v>2.981818182</v>
      </c>
      <c r="AV511" s="9">
        <f t="shared" si="1595"/>
        <v>0.9656565657</v>
      </c>
      <c r="AW511" s="9">
        <f t="shared" si="13"/>
        <v>3.947474747</v>
      </c>
      <c r="AX511" s="9">
        <f t="shared" ref="AX511:AY511" si="1596">AM511/$AF511</f>
        <v>0.6464646465</v>
      </c>
      <c r="AY511" s="9">
        <f t="shared" si="1596"/>
        <v>0.2525252525</v>
      </c>
      <c r="AZ511" s="9">
        <f>VLOOKUP(A511,Jogos!A:BN,58,0)</f>
        <v>24.995</v>
      </c>
      <c r="BA511" s="9">
        <f>VLOOKUP(A511,Jogos!A:BN,59,0)</f>
        <v>20.455</v>
      </c>
      <c r="BB511" s="9">
        <f>VLOOKUP(A511,Jogos!A:BN,60,0)</f>
        <v>75</v>
      </c>
      <c r="BC511" s="9">
        <f>VLOOKUP(A511,Jogos!A:BN,61,0)</f>
        <v>23.02</v>
      </c>
      <c r="BD511" s="9">
        <f>VLOOKUP(A511,Jogos!A:BN,62,0)</f>
        <v>474</v>
      </c>
      <c r="BE511" s="9">
        <f>VLOOKUP(A511,Jogos!A:BN,63,0)</f>
        <v>2.795</v>
      </c>
      <c r="BF511" s="9">
        <f>VLOOKUP(A511,Jogos!A:BN,64,0)</f>
        <v>22.365</v>
      </c>
      <c r="BG511" s="9">
        <f>VLOOKUP(A511,Jogos!A:BN,65,0)</f>
        <v>37.84</v>
      </c>
      <c r="BH511" s="9">
        <f>VLOOKUP(A511,Jogos!A:BN,66,0)</f>
        <v>25.72</v>
      </c>
      <c r="BI511" s="9"/>
    </row>
    <row r="512" hidden="1">
      <c r="A512" s="2">
        <v>18.0</v>
      </c>
      <c r="B512" s="2" t="s">
        <v>60</v>
      </c>
      <c r="C512" s="2" t="s">
        <v>61</v>
      </c>
      <c r="D512" s="3">
        <v>45827.0</v>
      </c>
      <c r="E512" s="4">
        <v>0.625</v>
      </c>
      <c r="F512" s="5" t="str">
        <f>VLOOKUP(A512,Jogos!A:N,10,0)</f>
        <v>Afternoon</v>
      </c>
      <c r="G512" s="2" t="s">
        <v>376</v>
      </c>
      <c r="H512" s="6" t="str">
        <f>VLOOKUP(A512,Jogos!A:L,12,0)</f>
        <v>Closed</v>
      </c>
      <c r="I512" s="6" t="str">
        <f>VLOOKUP(G512,'Estádios e Cidades'!A:B,2,0)</f>
        <v>Atlanta</v>
      </c>
      <c r="J512" s="2" t="s">
        <v>64</v>
      </c>
      <c r="K512" s="2" t="str">
        <f>VLOOKUP(J512,Equipes!A:F,6,0)</f>
        <v>Tropical</v>
      </c>
      <c r="L512" s="2">
        <f>VLOOKUP(J512,Equipes!A:C,3,0)</f>
        <v>16</v>
      </c>
      <c r="M512" s="2" t="str">
        <f t="shared" si="4"/>
        <v>Round of 16</v>
      </c>
      <c r="N512" s="2" t="s">
        <v>251</v>
      </c>
      <c r="O512" s="2">
        <f>VLOOKUP(N512,Equipes!A:C,3,0)</f>
        <v>23</v>
      </c>
      <c r="P512" s="2" t="str">
        <f t="shared" si="5"/>
        <v>Group</v>
      </c>
      <c r="Q512" s="2">
        <f t="shared" si="6"/>
        <v>-7</v>
      </c>
      <c r="R512" s="2" t="str">
        <f>VLOOKUP(J512,Equipes!A:B,2,0)</f>
        <v>InterMiami</v>
      </c>
      <c r="S512" s="6" t="s">
        <v>105</v>
      </c>
      <c r="T512" s="7">
        <v>17.0</v>
      </c>
      <c r="U512" s="7" t="s">
        <v>106</v>
      </c>
      <c r="V512" s="7" t="str">
        <f>VLOOKUP(U512,Jogadores!B:C,2,0)</f>
        <v>DF</v>
      </c>
      <c r="W512" s="8">
        <f>VLOOKUP(U512,Jogadores!B:D,3,0)</f>
        <v>22.92328767</v>
      </c>
      <c r="X512" s="7">
        <v>0.0</v>
      </c>
      <c r="Y512" s="7">
        <v>79.0</v>
      </c>
      <c r="Z512" s="7">
        <f>VLOOKUP(A512,Jogos!A:L,3,0)</f>
        <v>47</v>
      </c>
      <c r="AA512" s="7">
        <f t="shared" si="7"/>
        <v>47</v>
      </c>
      <c r="AB512" s="7">
        <f>VLOOKUP(A512,Jogos!A:L,4,0)</f>
        <v>52</v>
      </c>
      <c r="AC512" s="7">
        <f t="shared" si="657"/>
        <v>34</v>
      </c>
      <c r="AD512" s="7"/>
      <c r="AE512" s="7"/>
      <c r="AF512" s="7">
        <f t="shared" si="9"/>
        <v>81</v>
      </c>
      <c r="AG512" s="7">
        <v>8587.0</v>
      </c>
      <c r="AH512" s="7">
        <v>3079.7</v>
      </c>
      <c r="AI512" s="7">
        <v>3852.5</v>
      </c>
      <c r="AJ512" s="7">
        <v>1089.2</v>
      </c>
      <c r="AK512" s="7">
        <v>337.8</v>
      </c>
      <c r="AL512" s="7">
        <v>227.8</v>
      </c>
      <c r="AM512" s="7">
        <v>92.0</v>
      </c>
      <c r="AN512" s="7">
        <v>36.0</v>
      </c>
      <c r="AO512" s="7">
        <v>31.6</v>
      </c>
      <c r="AP512" s="9">
        <f t="shared" ref="AP512:AR512" si="1597">AG512/$AF512</f>
        <v>106.0123457</v>
      </c>
      <c r="AQ512" s="9">
        <f t="shared" si="1597"/>
        <v>38.02098765</v>
      </c>
      <c r="AR512" s="9">
        <f t="shared" si="1597"/>
        <v>47.5617284</v>
      </c>
      <c r="AS512" s="9">
        <f t="shared" si="11"/>
        <v>85.58271605</v>
      </c>
      <c r="AT512" s="9">
        <f t="shared" ref="AT512:AV512" si="1598">AJ512/$AF512</f>
        <v>13.44691358</v>
      </c>
      <c r="AU512" s="9">
        <f t="shared" si="1598"/>
        <v>4.17037037</v>
      </c>
      <c r="AV512" s="9">
        <f t="shared" si="1598"/>
        <v>2.812345679</v>
      </c>
      <c r="AW512" s="9">
        <f t="shared" si="13"/>
        <v>6.982716049</v>
      </c>
      <c r="AX512" s="9">
        <f t="shared" ref="AX512:AY512" si="1599">AM512/$AF512</f>
        <v>1.135802469</v>
      </c>
      <c r="AY512" s="9">
        <f t="shared" si="1599"/>
        <v>0.4444444444</v>
      </c>
      <c r="AZ512" s="9">
        <f>VLOOKUP(A512,Jogos!A:BN,58,0)</f>
        <v>24.995</v>
      </c>
      <c r="BA512" s="9">
        <f>VLOOKUP(A512,Jogos!A:BN,59,0)</f>
        <v>20.455</v>
      </c>
      <c r="BB512" s="9">
        <f>VLOOKUP(A512,Jogos!A:BN,60,0)</f>
        <v>75</v>
      </c>
      <c r="BC512" s="9">
        <f>VLOOKUP(A512,Jogos!A:BN,61,0)</f>
        <v>23.02</v>
      </c>
      <c r="BD512" s="9">
        <f>VLOOKUP(A512,Jogos!A:BN,62,0)</f>
        <v>474</v>
      </c>
      <c r="BE512" s="9">
        <f>VLOOKUP(A512,Jogos!A:BN,63,0)</f>
        <v>2.795</v>
      </c>
      <c r="BF512" s="9">
        <f>VLOOKUP(A512,Jogos!A:BN,64,0)</f>
        <v>22.365</v>
      </c>
      <c r="BG512" s="9">
        <f>VLOOKUP(A512,Jogos!A:BN,65,0)</f>
        <v>37.84</v>
      </c>
      <c r="BH512" s="9">
        <f>VLOOKUP(A512,Jogos!A:BN,66,0)</f>
        <v>25.72</v>
      </c>
      <c r="BI512" s="9"/>
    </row>
    <row r="513" hidden="1">
      <c r="A513" s="2">
        <v>18.0</v>
      </c>
      <c r="B513" s="2" t="s">
        <v>60</v>
      </c>
      <c r="C513" s="2" t="s">
        <v>61</v>
      </c>
      <c r="D513" s="3">
        <v>45827.0</v>
      </c>
      <c r="E513" s="4">
        <v>0.625</v>
      </c>
      <c r="F513" s="5" t="str">
        <f>VLOOKUP(A513,Jogos!A:N,10,0)</f>
        <v>Afternoon</v>
      </c>
      <c r="G513" s="2" t="s">
        <v>376</v>
      </c>
      <c r="H513" s="6" t="str">
        <f>VLOOKUP(A513,Jogos!A:L,12,0)</f>
        <v>Closed</v>
      </c>
      <c r="I513" s="6" t="str">
        <f>VLOOKUP(G513,'Estádios e Cidades'!A:B,2,0)</f>
        <v>Atlanta</v>
      </c>
      <c r="J513" s="2" t="s">
        <v>64</v>
      </c>
      <c r="K513" s="2" t="str">
        <f>VLOOKUP(J513,Equipes!A:F,6,0)</f>
        <v>Tropical</v>
      </c>
      <c r="L513" s="2">
        <f>VLOOKUP(J513,Equipes!A:C,3,0)</f>
        <v>16</v>
      </c>
      <c r="M513" s="2" t="str">
        <f t="shared" si="4"/>
        <v>Round of 16</v>
      </c>
      <c r="N513" s="2" t="s">
        <v>251</v>
      </c>
      <c r="O513" s="2">
        <f>VLOOKUP(N513,Equipes!A:C,3,0)</f>
        <v>23</v>
      </c>
      <c r="P513" s="2" t="str">
        <f t="shared" si="5"/>
        <v>Group</v>
      </c>
      <c r="Q513" s="2">
        <f t="shared" si="6"/>
        <v>-7</v>
      </c>
      <c r="R513" s="2" t="str">
        <f>VLOOKUP(J513,Equipes!A:B,2,0)</f>
        <v>InterMiami</v>
      </c>
      <c r="S513" s="6" t="s">
        <v>107</v>
      </c>
      <c r="T513" s="7">
        <v>21.0</v>
      </c>
      <c r="U513" s="7" t="s">
        <v>108</v>
      </c>
      <c r="V513" s="7" t="str">
        <f>VLOOKUP(U513,Jogadores!B:C,2,0)</f>
        <v>FW</v>
      </c>
      <c r="W513" s="8">
        <f>VLOOKUP(U513,Jogadores!B:D,3,0)</f>
        <v>26.45205479</v>
      </c>
      <c r="X513" s="7">
        <v>0.0</v>
      </c>
      <c r="Y513" s="7">
        <v>79.0</v>
      </c>
      <c r="Z513" s="7">
        <f>VLOOKUP(A513,Jogos!A:L,3,0)</f>
        <v>47</v>
      </c>
      <c r="AA513" s="7">
        <f t="shared" si="7"/>
        <v>47</v>
      </c>
      <c r="AB513" s="7">
        <f>VLOOKUP(A513,Jogos!A:L,4,0)</f>
        <v>52</v>
      </c>
      <c r="AC513" s="7">
        <f t="shared" si="657"/>
        <v>34</v>
      </c>
      <c r="AD513" s="7"/>
      <c r="AE513" s="7"/>
      <c r="AF513" s="7">
        <f t="shared" si="9"/>
        <v>81</v>
      </c>
      <c r="AG513" s="7">
        <v>9008.1</v>
      </c>
      <c r="AH513" s="7">
        <v>3218.3</v>
      </c>
      <c r="AI513" s="7">
        <v>3633.9</v>
      </c>
      <c r="AJ513" s="7">
        <v>1253.6</v>
      </c>
      <c r="AK513" s="7">
        <v>631.8</v>
      </c>
      <c r="AL513" s="7">
        <v>270.5</v>
      </c>
      <c r="AM513" s="7">
        <v>103.0</v>
      </c>
      <c r="AN513" s="7">
        <v>53.0</v>
      </c>
      <c r="AO513" s="7">
        <v>33.2</v>
      </c>
      <c r="AP513" s="9">
        <f t="shared" ref="AP513:AR513" si="1600">AG513/$AF513</f>
        <v>111.2111111</v>
      </c>
      <c r="AQ513" s="9">
        <f t="shared" si="1600"/>
        <v>39.73209877</v>
      </c>
      <c r="AR513" s="9">
        <f t="shared" si="1600"/>
        <v>44.86296296</v>
      </c>
      <c r="AS513" s="9">
        <f t="shared" si="11"/>
        <v>84.59506173</v>
      </c>
      <c r="AT513" s="9">
        <f t="shared" ref="AT513:AV513" si="1601">AJ513/$AF513</f>
        <v>15.47654321</v>
      </c>
      <c r="AU513" s="9">
        <f t="shared" si="1601"/>
        <v>7.8</v>
      </c>
      <c r="AV513" s="9">
        <f t="shared" si="1601"/>
        <v>3.339506173</v>
      </c>
      <c r="AW513" s="9">
        <f t="shared" si="13"/>
        <v>11.13950617</v>
      </c>
      <c r="AX513" s="9">
        <f t="shared" ref="AX513:AY513" si="1602">AM513/$AF513</f>
        <v>1.271604938</v>
      </c>
      <c r="AY513" s="9">
        <f t="shared" si="1602"/>
        <v>0.6543209877</v>
      </c>
      <c r="AZ513" s="9">
        <f>VLOOKUP(A513,Jogos!A:BN,58,0)</f>
        <v>24.995</v>
      </c>
      <c r="BA513" s="9">
        <f>VLOOKUP(A513,Jogos!A:BN,59,0)</f>
        <v>20.455</v>
      </c>
      <c r="BB513" s="9">
        <f>VLOOKUP(A513,Jogos!A:BN,60,0)</f>
        <v>75</v>
      </c>
      <c r="BC513" s="9">
        <f>VLOOKUP(A513,Jogos!A:BN,61,0)</f>
        <v>23.02</v>
      </c>
      <c r="BD513" s="9">
        <f>VLOOKUP(A513,Jogos!A:BN,62,0)</f>
        <v>474</v>
      </c>
      <c r="BE513" s="9">
        <f>VLOOKUP(A513,Jogos!A:BN,63,0)</f>
        <v>2.795</v>
      </c>
      <c r="BF513" s="9">
        <f>VLOOKUP(A513,Jogos!A:BN,64,0)</f>
        <v>22.365</v>
      </c>
      <c r="BG513" s="9">
        <f>VLOOKUP(A513,Jogos!A:BN,65,0)</f>
        <v>37.84</v>
      </c>
      <c r="BH513" s="9">
        <f>VLOOKUP(A513,Jogos!A:BN,66,0)</f>
        <v>25.72</v>
      </c>
      <c r="BI513" s="9"/>
    </row>
    <row r="514" hidden="1">
      <c r="A514" s="2">
        <v>18.0</v>
      </c>
      <c r="B514" s="2" t="s">
        <v>60</v>
      </c>
      <c r="C514" s="2" t="s">
        <v>61</v>
      </c>
      <c r="D514" s="3">
        <v>45827.0</v>
      </c>
      <c r="E514" s="4">
        <v>0.625</v>
      </c>
      <c r="F514" s="5" t="str">
        <f>VLOOKUP(A514,Jogos!A:N,10,0)</f>
        <v>Afternoon</v>
      </c>
      <c r="G514" s="2" t="s">
        <v>376</v>
      </c>
      <c r="H514" s="6" t="str">
        <f>VLOOKUP(A514,Jogos!A:L,12,0)</f>
        <v>Closed</v>
      </c>
      <c r="I514" s="6" t="str">
        <f>VLOOKUP(G514,'Estádios e Cidades'!A:B,2,0)</f>
        <v>Atlanta</v>
      </c>
      <c r="J514" s="2" t="s">
        <v>64</v>
      </c>
      <c r="K514" s="2" t="str">
        <f>VLOOKUP(J514,Equipes!A:F,6,0)</f>
        <v>Tropical</v>
      </c>
      <c r="L514" s="2">
        <f>VLOOKUP(J514,Equipes!A:C,3,0)</f>
        <v>16</v>
      </c>
      <c r="M514" s="2" t="str">
        <f t="shared" si="4"/>
        <v>Round of 16</v>
      </c>
      <c r="N514" s="2" t="s">
        <v>251</v>
      </c>
      <c r="O514" s="2">
        <f>VLOOKUP(N514,Equipes!A:C,3,0)</f>
        <v>23</v>
      </c>
      <c r="P514" s="2" t="str">
        <f t="shared" si="5"/>
        <v>Group</v>
      </c>
      <c r="Q514" s="2">
        <f t="shared" si="6"/>
        <v>-7</v>
      </c>
      <c r="R514" s="2" t="str">
        <f>VLOOKUP(J514,Equipes!A:B,2,0)</f>
        <v>InterMiami</v>
      </c>
      <c r="S514" s="6" t="s">
        <v>117</v>
      </c>
      <c r="T514" s="7">
        <v>30.0</v>
      </c>
      <c r="U514" s="7" t="s">
        <v>118</v>
      </c>
      <c r="V514" s="7" t="str">
        <f>VLOOKUP(U514,Jogadores!B:C,2,0)</f>
        <v>MF</v>
      </c>
      <c r="W514" s="8">
        <f>VLOOKUP(U514,Jogadores!B:D,3,0)</f>
        <v>20.41917808</v>
      </c>
      <c r="X514" s="7">
        <v>0.0</v>
      </c>
      <c r="Y514" s="7">
        <f t="shared" ref="Y514:Y516" si="1606">45+AB514</f>
        <v>97</v>
      </c>
      <c r="Z514" s="7">
        <f>VLOOKUP(A514,Jogos!A:L,3,0)</f>
        <v>47</v>
      </c>
      <c r="AA514" s="7">
        <f t="shared" si="7"/>
        <v>47</v>
      </c>
      <c r="AB514" s="7">
        <f>VLOOKUP(A514,Jogos!A:L,4,0)</f>
        <v>52</v>
      </c>
      <c r="AC514" s="7">
        <f t="shared" si="657"/>
        <v>52</v>
      </c>
      <c r="AD514" s="7"/>
      <c r="AE514" s="7"/>
      <c r="AF514" s="7">
        <f t="shared" si="9"/>
        <v>99</v>
      </c>
      <c r="AG514" s="7">
        <v>12051.7</v>
      </c>
      <c r="AH514" s="7">
        <v>3677.2</v>
      </c>
      <c r="AI514" s="7">
        <v>5315.5</v>
      </c>
      <c r="AJ514" s="7">
        <v>2148.9</v>
      </c>
      <c r="AK514" s="7">
        <v>802.4</v>
      </c>
      <c r="AL514" s="7">
        <v>107.7</v>
      </c>
      <c r="AM514" s="7">
        <v>179.0</v>
      </c>
      <c r="AN514" s="7">
        <v>69.0</v>
      </c>
      <c r="AO514" s="7">
        <v>29.2</v>
      </c>
      <c r="AP514" s="9">
        <f t="shared" ref="AP514:AR514" si="1603">AG514/$AF514</f>
        <v>121.7343434</v>
      </c>
      <c r="AQ514" s="9">
        <f t="shared" si="1603"/>
        <v>37.14343434</v>
      </c>
      <c r="AR514" s="9">
        <f t="shared" si="1603"/>
        <v>53.69191919</v>
      </c>
      <c r="AS514" s="9">
        <f t="shared" si="11"/>
        <v>90.83535354</v>
      </c>
      <c r="AT514" s="9">
        <f t="shared" ref="AT514:AV514" si="1604">AJ514/$AF514</f>
        <v>21.70606061</v>
      </c>
      <c r="AU514" s="9">
        <f t="shared" si="1604"/>
        <v>8.105050505</v>
      </c>
      <c r="AV514" s="9">
        <f t="shared" si="1604"/>
        <v>1.087878788</v>
      </c>
      <c r="AW514" s="9">
        <f t="shared" si="13"/>
        <v>9.192929293</v>
      </c>
      <c r="AX514" s="9">
        <f t="shared" ref="AX514:AY514" si="1605">AM514/$AF514</f>
        <v>1.808080808</v>
      </c>
      <c r="AY514" s="9">
        <f t="shared" si="1605"/>
        <v>0.696969697</v>
      </c>
      <c r="AZ514" s="9">
        <f>VLOOKUP(A514,Jogos!A:BN,58,0)</f>
        <v>24.995</v>
      </c>
      <c r="BA514" s="9">
        <f>VLOOKUP(A514,Jogos!A:BN,59,0)</f>
        <v>20.455</v>
      </c>
      <c r="BB514" s="9">
        <f>VLOOKUP(A514,Jogos!A:BN,60,0)</f>
        <v>75</v>
      </c>
      <c r="BC514" s="9">
        <f>VLOOKUP(A514,Jogos!A:BN,61,0)</f>
        <v>23.02</v>
      </c>
      <c r="BD514" s="9">
        <f>VLOOKUP(A514,Jogos!A:BN,62,0)</f>
        <v>474</v>
      </c>
      <c r="BE514" s="9">
        <f>VLOOKUP(A514,Jogos!A:BN,63,0)</f>
        <v>2.795</v>
      </c>
      <c r="BF514" s="9">
        <f>VLOOKUP(A514,Jogos!A:BN,64,0)</f>
        <v>22.365</v>
      </c>
      <c r="BG514" s="9">
        <f>VLOOKUP(A514,Jogos!A:BN,65,0)</f>
        <v>37.84</v>
      </c>
      <c r="BH514" s="9">
        <f>VLOOKUP(A514,Jogos!A:BN,66,0)</f>
        <v>25.72</v>
      </c>
      <c r="BI514" s="9"/>
    </row>
    <row r="515" hidden="1">
      <c r="A515" s="2">
        <v>18.0</v>
      </c>
      <c r="B515" s="2" t="s">
        <v>60</v>
      </c>
      <c r="C515" s="2" t="s">
        <v>61</v>
      </c>
      <c r="D515" s="3">
        <v>45827.0</v>
      </c>
      <c r="E515" s="4">
        <v>0.625</v>
      </c>
      <c r="F515" s="5" t="str">
        <f>VLOOKUP(A515,Jogos!A:N,10,0)</f>
        <v>Afternoon</v>
      </c>
      <c r="G515" s="2" t="s">
        <v>376</v>
      </c>
      <c r="H515" s="6" t="str">
        <f>VLOOKUP(A515,Jogos!A:L,12,0)</f>
        <v>Closed</v>
      </c>
      <c r="I515" s="6" t="str">
        <f>VLOOKUP(G515,'Estádios e Cidades'!A:B,2,0)</f>
        <v>Atlanta</v>
      </c>
      <c r="J515" s="2" t="s">
        <v>64</v>
      </c>
      <c r="K515" s="2" t="str">
        <f>VLOOKUP(J515,Equipes!A:F,6,0)</f>
        <v>Tropical</v>
      </c>
      <c r="L515" s="2">
        <f>VLOOKUP(J515,Equipes!A:C,3,0)</f>
        <v>16</v>
      </c>
      <c r="M515" s="2" t="str">
        <f t="shared" si="4"/>
        <v>Round of 16</v>
      </c>
      <c r="N515" s="2" t="s">
        <v>251</v>
      </c>
      <c r="O515" s="2">
        <f>VLOOKUP(N515,Equipes!A:C,3,0)</f>
        <v>23</v>
      </c>
      <c r="P515" s="2" t="str">
        <f t="shared" si="5"/>
        <v>Group</v>
      </c>
      <c r="Q515" s="2">
        <f t="shared" si="6"/>
        <v>-7</v>
      </c>
      <c r="R515" s="2" t="str">
        <f>VLOOKUP(J515,Equipes!A:B,2,0)</f>
        <v>InterMiami</v>
      </c>
      <c r="S515" s="6" t="s">
        <v>109</v>
      </c>
      <c r="T515" s="7">
        <v>32.0</v>
      </c>
      <c r="U515" s="7" t="s">
        <v>110</v>
      </c>
      <c r="V515" s="7" t="str">
        <f>VLOOKUP(U515,Jogadores!B:C,2,0)</f>
        <v>DF</v>
      </c>
      <c r="W515" s="8">
        <f>VLOOKUP(U515,Jogadores!B:D,3,0)</f>
        <v>21.2630137</v>
      </c>
      <c r="X515" s="7">
        <v>0.0</v>
      </c>
      <c r="Y515" s="7">
        <f t="shared" si="1606"/>
        <v>97</v>
      </c>
      <c r="Z515" s="7">
        <f>VLOOKUP(A515,Jogos!A:L,3,0)</f>
        <v>47</v>
      </c>
      <c r="AA515" s="7">
        <f t="shared" si="7"/>
        <v>47</v>
      </c>
      <c r="AB515" s="7">
        <f>VLOOKUP(A515,Jogos!A:L,4,0)</f>
        <v>52</v>
      </c>
      <c r="AC515" s="7">
        <f t="shared" si="657"/>
        <v>52</v>
      </c>
      <c r="AD515" s="7"/>
      <c r="AE515" s="7"/>
      <c r="AF515" s="7">
        <f t="shared" si="9"/>
        <v>99</v>
      </c>
      <c r="AG515" s="7">
        <v>11099.6</v>
      </c>
      <c r="AH515" s="7">
        <v>3704.0</v>
      </c>
      <c r="AI515" s="7">
        <v>4979.6</v>
      </c>
      <c r="AJ515" s="7">
        <v>1458.9</v>
      </c>
      <c r="AK515" s="7">
        <v>622.3</v>
      </c>
      <c r="AL515" s="7">
        <v>334.8</v>
      </c>
      <c r="AM515" s="7">
        <v>127.0</v>
      </c>
      <c r="AN515" s="7">
        <v>61.0</v>
      </c>
      <c r="AO515" s="7">
        <v>33.9</v>
      </c>
      <c r="AP515" s="9">
        <f t="shared" ref="AP515:AR515" si="1607">AG515/$AF515</f>
        <v>112.1171717</v>
      </c>
      <c r="AQ515" s="9">
        <f t="shared" si="1607"/>
        <v>37.41414141</v>
      </c>
      <c r="AR515" s="9">
        <f t="shared" si="1607"/>
        <v>50.2989899</v>
      </c>
      <c r="AS515" s="9">
        <f t="shared" si="11"/>
        <v>87.71313131</v>
      </c>
      <c r="AT515" s="9">
        <f t="shared" ref="AT515:AV515" si="1608">AJ515/$AF515</f>
        <v>14.73636364</v>
      </c>
      <c r="AU515" s="9">
        <f t="shared" si="1608"/>
        <v>6.285858586</v>
      </c>
      <c r="AV515" s="9">
        <f t="shared" si="1608"/>
        <v>3.381818182</v>
      </c>
      <c r="AW515" s="9">
        <f t="shared" si="13"/>
        <v>9.667676768</v>
      </c>
      <c r="AX515" s="9">
        <f t="shared" ref="AX515:AY515" si="1609">AM515/$AF515</f>
        <v>1.282828283</v>
      </c>
      <c r="AY515" s="9">
        <f t="shared" si="1609"/>
        <v>0.6161616162</v>
      </c>
      <c r="AZ515" s="9">
        <f>VLOOKUP(A515,Jogos!A:BN,58,0)</f>
        <v>24.995</v>
      </c>
      <c r="BA515" s="9">
        <f>VLOOKUP(A515,Jogos!A:BN,59,0)</f>
        <v>20.455</v>
      </c>
      <c r="BB515" s="9">
        <f>VLOOKUP(A515,Jogos!A:BN,60,0)</f>
        <v>75</v>
      </c>
      <c r="BC515" s="9">
        <f>VLOOKUP(A515,Jogos!A:BN,61,0)</f>
        <v>23.02</v>
      </c>
      <c r="BD515" s="9">
        <f>VLOOKUP(A515,Jogos!A:BN,62,0)</f>
        <v>474</v>
      </c>
      <c r="BE515" s="9">
        <f>VLOOKUP(A515,Jogos!A:BN,63,0)</f>
        <v>2.795</v>
      </c>
      <c r="BF515" s="9">
        <f>VLOOKUP(A515,Jogos!A:BN,64,0)</f>
        <v>22.365</v>
      </c>
      <c r="BG515" s="9">
        <f>VLOOKUP(A515,Jogos!A:BN,65,0)</f>
        <v>37.84</v>
      </c>
      <c r="BH515" s="9">
        <f>VLOOKUP(A515,Jogos!A:BN,66,0)</f>
        <v>25.72</v>
      </c>
      <c r="BI515" s="9"/>
    </row>
    <row r="516" hidden="1">
      <c r="A516" s="2">
        <v>18.0</v>
      </c>
      <c r="B516" s="2" t="s">
        <v>60</v>
      </c>
      <c r="C516" s="2" t="s">
        <v>61</v>
      </c>
      <c r="D516" s="3">
        <v>45827.0</v>
      </c>
      <c r="E516" s="4">
        <v>0.625</v>
      </c>
      <c r="F516" s="5" t="str">
        <f>VLOOKUP(A516,Jogos!A:N,10,0)</f>
        <v>Afternoon</v>
      </c>
      <c r="G516" s="2" t="s">
        <v>376</v>
      </c>
      <c r="H516" s="6" t="str">
        <f>VLOOKUP(A516,Jogos!A:L,12,0)</f>
        <v>Closed</v>
      </c>
      <c r="I516" s="6" t="str">
        <f>VLOOKUP(G516,'Estádios e Cidades'!A:B,2,0)</f>
        <v>Atlanta</v>
      </c>
      <c r="J516" s="2" t="s">
        <v>64</v>
      </c>
      <c r="K516" s="2" t="str">
        <f>VLOOKUP(J516,Equipes!A:F,6,0)</f>
        <v>Tropical</v>
      </c>
      <c r="L516" s="2">
        <f>VLOOKUP(J516,Equipes!A:C,3,0)</f>
        <v>16</v>
      </c>
      <c r="M516" s="2" t="str">
        <f t="shared" si="4"/>
        <v>Round of 16</v>
      </c>
      <c r="N516" s="2" t="s">
        <v>251</v>
      </c>
      <c r="O516" s="2">
        <f>VLOOKUP(N516,Equipes!A:C,3,0)</f>
        <v>23</v>
      </c>
      <c r="P516" s="2" t="str">
        <f t="shared" si="5"/>
        <v>Group</v>
      </c>
      <c r="Q516" s="2">
        <f t="shared" si="6"/>
        <v>-7</v>
      </c>
      <c r="R516" s="2" t="str">
        <f>VLOOKUP(J516,Equipes!A:B,2,0)</f>
        <v>InterMiami</v>
      </c>
      <c r="S516" s="6" t="s">
        <v>111</v>
      </c>
      <c r="T516" s="7">
        <v>37.0</v>
      </c>
      <c r="U516" s="7" t="s">
        <v>112</v>
      </c>
      <c r="V516" s="7" t="str">
        <f>VLOOKUP(U516,Jogadores!B:C,2,0)</f>
        <v>DF</v>
      </c>
      <c r="W516" s="8">
        <f>VLOOKUP(U516,Jogadores!B:D,3,0)</f>
        <v>28.26027397</v>
      </c>
      <c r="X516" s="7">
        <v>0.0</v>
      </c>
      <c r="Y516" s="7">
        <f t="shared" si="1606"/>
        <v>97</v>
      </c>
      <c r="Z516" s="7">
        <f>VLOOKUP(A516,Jogos!A:L,3,0)</f>
        <v>47</v>
      </c>
      <c r="AA516" s="7">
        <f t="shared" si="7"/>
        <v>47</v>
      </c>
      <c r="AB516" s="7">
        <f>VLOOKUP(A516,Jogos!A:L,4,0)</f>
        <v>52</v>
      </c>
      <c r="AC516" s="7">
        <f t="shared" si="657"/>
        <v>52</v>
      </c>
      <c r="AD516" s="7"/>
      <c r="AE516" s="7"/>
      <c r="AF516" s="7">
        <f t="shared" si="9"/>
        <v>99</v>
      </c>
      <c r="AG516" s="7">
        <v>9222.2</v>
      </c>
      <c r="AH516" s="7">
        <v>4240.4</v>
      </c>
      <c r="AI516" s="7">
        <v>3875.9</v>
      </c>
      <c r="AJ516" s="7">
        <v>711.9</v>
      </c>
      <c r="AK516" s="7">
        <v>282.9</v>
      </c>
      <c r="AL516" s="7">
        <v>111.1</v>
      </c>
      <c r="AM516" s="7">
        <v>63.0</v>
      </c>
      <c r="AN516" s="7">
        <v>28.0</v>
      </c>
      <c r="AO516" s="7">
        <v>31.5</v>
      </c>
      <c r="AP516" s="9">
        <f t="shared" ref="AP516:AR516" si="1610">AG516/$AF516</f>
        <v>93.15353535</v>
      </c>
      <c r="AQ516" s="9">
        <f t="shared" si="1610"/>
        <v>42.83232323</v>
      </c>
      <c r="AR516" s="9">
        <f t="shared" si="1610"/>
        <v>39.15050505</v>
      </c>
      <c r="AS516" s="9">
        <f t="shared" si="11"/>
        <v>81.98282828</v>
      </c>
      <c r="AT516" s="9">
        <f t="shared" ref="AT516:AV516" si="1611">AJ516/$AF516</f>
        <v>7.190909091</v>
      </c>
      <c r="AU516" s="9">
        <f t="shared" si="1611"/>
        <v>2.857575758</v>
      </c>
      <c r="AV516" s="9">
        <f t="shared" si="1611"/>
        <v>1.122222222</v>
      </c>
      <c r="AW516" s="9">
        <f t="shared" si="13"/>
        <v>3.97979798</v>
      </c>
      <c r="AX516" s="9">
        <f t="shared" ref="AX516:AY516" si="1612">AM516/$AF516</f>
        <v>0.6363636364</v>
      </c>
      <c r="AY516" s="9">
        <f t="shared" si="1612"/>
        <v>0.2828282828</v>
      </c>
      <c r="AZ516" s="9">
        <f>VLOOKUP(A516,Jogos!A:BN,58,0)</f>
        <v>24.995</v>
      </c>
      <c r="BA516" s="9">
        <f>VLOOKUP(A516,Jogos!A:BN,59,0)</f>
        <v>20.455</v>
      </c>
      <c r="BB516" s="9">
        <f>VLOOKUP(A516,Jogos!A:BN,60,0)</f>
        <v>75</v>
      </c>
      <c r="BC516" s="9">
        <f>VLOOKUP(A516,Jogos!A:BN,61,0)</f>
        <v>23.02</v>
      </c>
      <c r="BD516" s="9">
        <f>VLOOKUP(A516,Jogos!A:BN,62,0)</f>
        <v>474</v>
      </c>
      <c r="BE516" s="9">
        <f>VLOOKUP(A516,Jogos!A:BN,63,0)</f>
        <v>2.795</v>
      </c>
      <c r="BF516" s="9">
        <f>VLOOKUP(A516,Jogos!A:BN,64,0)</f>
        <v>22.365</v>
      </c>
      <c r="BG516" s="9">
        <f>VLOOKUP(A516,Jogos!A:BN,65,0)</f>
        <v>37.84</v>
      </c>
      <c r="BH516" s="9">
        <f>VLOOKUP(A516,Jogos!A:BN,66,0)</f>
        <v>25.72</v>
      </c>
      <c r="BI516" s="9"/>
    </row>
    <row r="517" hidden="1">
      <c r="A517" s="2">
        <v>18.0</v>
      </c>
      <c r="B517" s="2" t="s">
        <v>60</v>
      </c>
      <c r="C517" s="2" t="s">
        <v>61</v>
      </c>
      <c r="D517" s="3">
        <v>45827.0</v>
      </c>
      <c r="E517" s="4">
        <v>0.625</v>
      </c>
      <c r="F517" s="5" t="str">
        <f>VLOOKUP(A517,Jogos!A:N,10,0)</f>
        <v>Afternoon</v>
      </c>
      <c r="G517" s="2" t="s">
        <v>376</v>
      </c>
      <c r="H517" s="6" t="str">
        <f>VLOOKUP(A517,Jogos!A:L,12,0)</f>
        <v>Closed</v>
      </c>
      <c r="I517" s="6" t="str">
        <f>VLOOKUP(G517,'Estádios e Cidades'!A:B,2,0)</f>
        <v>Atlanta</v>
      </c>
      <c r="J517" s="2" t="s">
        <v>64</v>
      </c>
      <c r="K517" s="2" t="str">
        <f>VLOOKUP(J517,Equipes!A:F,6,0)</f>
        <v>Tropical</v>
      </c>
      <c r="L517" s="2">
        <f>VLOOKUP(J517,Equipes!A:C,3,0)</f>
        <v>16</v>
      </c>
      <c r="M517" s="2" t="str">
        <f t="shared" si="4"/>
        <v>Round of 16</v>
      </c>
      <c r="N517" s="2" t="s">
        <v>251</v>
      </c>
      <c r="O517" s="2">
        <f>VLOOKUP(N517,Equipes!A:C,3,0)</f>
        <v>23</v>
      </c>
      <c r="P517" s="2" t="str">
        <f t="shared" si="5"/>
        <v>Group</v>
      </c>
      <c r="Q517" s="2">
        <f t="shared" si="6"/>
        <v>-7</v>
      </c>
      <c r="R517" s="2" t="str">
        <f>VLOOKUP(J517,Equipes!A:B,2,0)</f>
        <v>InterMiami</v>
      </c>
      <c r="S517" s="6" t="s">
        <v>119</v>
      </c>
      <c r="T517" s="7">
        <v>57.0</v>
      </c>
      <c r="U517" s="7" t="s">
        <v>120</v>
      </c>
      <c r="V517" s="7" t="str">
        <f>VLOOKUP(U517,Jogadores!B:C,2,0)</f>
        <v>DF</v>
      </c>
      <c r="W517" s="8">
        <f>VLOOKUP(U517,Jogadores!B:D,3,0)</f>
        <v>25.56164384</v>
      </c>
      <c r="X517" s="7">
        <v>0.0</v>
      </c>
      <c r="Y517" s="7">
        <v>63.0</v>
      </c>
      <c r="Z517" s="7">
        <f>VLOOKUP(A517,Jogos!A:L,3,0)</f>
        <v>47</v>
      </c>
      <c r="AA517" s="7">
        <f t="shared" si="7"/>
        <v>47</v>
      </c>
      <c r="AB517" s="7">
        <f>VLOOKUP(A517,Jogos!A:L,4,0)</f>
        <v>52</v>
      </c>
      <c r="AC517" s="7">
        <f t="shared" si="657"/>
        <v>18</v>
      </c>
      <c r="AD517" s="7"/>
      <c r="AE517" s="7"/>
      <c r="AF517" s="7">
        <f t="shared" si="9"/>
        <v>65</v>
      </c>
      <c r="AG517" s="7">
        <v>6756.4</v>
      </c>
      <c r="AH517" s="7">
        <v>2382.2</v>
      </c>
      <c r="AI517" s="7">
        <v>2862.2</v>
      </c>
      <c r="AJ517" s="7">
        <v>950.5</v>
      </c>
      <c r="AK517" s="7">
        <v>382.1</v>
      </c>
      <c r="AL517" s="7">
        <v>179.4</v>
      </c>
      <c r="AM517" s="7">
        <v>86.0</v>
      </c>
      <c r="AN517" s="7">
        <v>37.0</v>
      </c>
      <c r="AO517" s="7">
        <v>31.7</v>
      </c>
      <c r="AP517" s="9">
        <f t="shared" ref="AP517:AR517" si="1613">AG517/$AF517</f>
        <v>103.9446154</v>
      </c>
      <c r="AQ517" s="9">
        <f t="shared" si="1613"/>
        <v>36.64923077</v>
      </c>
      <c r="AR517" s="9">
        <f t="shared" si="1613"/>
        <v>44.03384615</v>
      </c>
      <c r="AS517" s="9">
        <f t="shared" si="11"/>
        <v>80.68307692</v>
      </c>
      <c r="AT517" s="9">
        <f t="shared" ref="AT517:AV517" si="1614">AJ517/$AF517</f>
        <v>14.62307692</v>
      </c>
      <c r="AU517" s="9">
        <f t="shared" si="1614"/>
        <v>5.878461538</v>
      </c>
      <c r="AV517" s="9">
        <f t="shared" si="1614"/>
        <v>2.76</v>
      </c>
      <c r="AW517" s="9">
        <f t="shared" si="13"/>
        <v>8.638461538</v>
      </c>
      <c r="AX517" s="9">
        <f t="shared" ref="AX517:AY517" si="1615">AM517/$AF517</f>
        <v>1.323076923</v>
      </c>
      <c r="AY517" s="9">
        <f t="shared" si="1615"/>
        <v>0.5692307692</v>
      </c>
      <c r="AZ517" s="9">
        <f>VLOOKUP(A517,Jogos!A:BN,58,0)</f>
        <v>24.995</v>
      </c>
      <c r="BA517" s="9">
        <f>VLOOKUP(A517,Jogos!A:BN,59,0)</f>
        <v>20.455</v>
      </c>
      <c r="BB517" s="9">
        <f>VLOOKUP(A517,Jogos!A:BN,60,0)</f>
        <v>75</v>
      </c>
      <c r="BC517" s="9">
        <f>VLOOKUP(A517,Jogos!A:BN,61,0)</f>
        <v>23.02</v>
      </c>
      <c r="BD517" s="9">
        <f>VLOOKUP(A517,Jogos!A:BN,62,0)</f>
        <v>474</v>
      </c>
      <c r="BE517" s="9">
        <f>VLOOKUP(A517,Jogos!A:BN,63,0)</f>
        <v>2.795</v>
      </c>
      <c r="BF517" s="9">
        <f>VLOOKUP(A517,Jogos!A:BN,64,0)</f>
        <v>22.365</v>
      </c>
      <c r="BG517" s="9">
        <f>VLOOKUP(A517,Jogos!A:BN,65,0)</f>
        <v>37.84</v>
      </c>
      <c r="BH517" s="9">
        <f>VLOOKUP(A517,Jogos!A:BN,66,0)</f>
        <v>25.72</v>
      </c>
      <c r="BI517" s="9"/>
    </row>
    <row r="518" hidden="1">
      <c r="A518" s="2">
        <v>18.0</v>
      </c>
      <c r="B518" s="2" t="s">
        <v>60</v>
      </c>
      <c r="C518" s="2" t="s">
        <v>61</v>
      </c>
      <c r="D518" s="3">
        <v>45827.0</v>
      </c>
      <c r="E518" s="4">
        <v>0.625</v>
      </c>
      <c r="F518" s="5" t="str">
        <f>VLOOKUP(A518,Jogos!A:N,10,0)</f>
        <v>Afternoon</v>
      </c>
      <c r="G518" s="2" t="s">
        <v>376</v>
      </c>
      <c r="H518" s="6" t="str">
        <f>VLOOKUP(A518,Jogos!A:L,12,0)</f>
        <v>Closed</v>
      </c>
      <c r="I518" s="6" t="str">
        <f>VLOOKUP(G518,'Estádios e Cidades'!A:B,2,0)</f>
        <v>Atlanta</v>
      </c>
      <c r="J518" s="2" t="s">
        <v>64</v>
      </c>
      <c r="K518" s="2" t="str">
        <f>VLOOKUP(J518,Equipes!A:F,6,0)</f>
        <v>Tropical</v>
      </c>
      <c r="L518" s="2">
        <f>VLOOKUP(J518,Equipes!A:C,3,0)</f>
        <v>16</v>
      </c>
      <c r="M518" s="2" t="str">
        <f t="shared" si="4"/>
        <v>Round of 16</v>
      </c>
      <c r="N518" s="2" t="s">
        <v>251</v>
      </c>
      <c r="O518" s="2">
        <f>VLOOKUP(N518,Equipes!A:C,3,0)</f>
        <v>23</v>
      </c>
      <c r="P518" s="2" t="str">
        <f t="shared" si="5"/>
        <v>Group</v>
      </c>
      <c r="Q518" s="2">
        <f t="shared" si="6"/>
        <v>-7</v>
      </c>
      <c r="R518" s="2" t="str">
        <f>VLOOKUP(J518,Equipes!A:B,2,0)</f>
        <v>InterMiami</v>
      </c>
      <c r="S518" s="6" t="s">
        <v>97</v>
      </c>
      <c r="T518" s="7">
        <v>6.0</v>
      </c>
      <c r="U518" s="7" t="s">
        <v>98</v>
      </c>
      <c r="V518" s="7" t="str">
        <f>VLOOKUP(U518,Jogadores!B:C,2,0)</f>
        <v>DF</v>
      </c>
      <c r="W518" s="8">
        <f>VLOOKUP(U518,Jogadores!B:D,3,0)</f>
        <v>21.49589041</v>
      </c>
      <c r="X518" s="7">
        <v>63.0</v>
      </c>
      <c r="Y518" s="7">
        <f t="shared" ref="Y518:Y521" si="1619">45+AB518</f>
        <v>97</v>
      </c>
      <c r="Z518" s="7">
        <f>VLOOKUP(A518,Jogos!A:L,3,0)</f>
        <v>47</v>
      </c>
      <c r="AA518" s="7">
        <f t="shared" si="7"/>
        <v>0</v>
      </c>
      <c r="AB518" s="7">
        <f>VLOOKUP(A518,Jogos!A:L,4,0)</f>
        <v>52</v>
      </c>
      <c r="AC518" s="7">
        <f t="shared" si="657"/>
        <v>34</v>
      </c>
      <c r="AD518" s="7"/>
      <c r="AE518" s="7"/>
      <c r="AF518" s="7">
        <f t="shared" si="9"/>
        <v>34</v>
      </c>
      <c r="AG518" s="7">
        <v>3304.0</v>
      </c>
      <c r="AH518" s="7">
        <v>1405.0</v>
      </c>
      <c r="AI518" s="7">
        <v>1421.6</v>
      </c>
      <c r="AJ518" s="7">
        <v>376.6</v>
      </c>
      <c r="AK518" s="7">
        <v>74.8</v>
      </c>
      <c r="AL518" s="7">
        <v>26.0</v>
      </c>
      <c r="AM518" s="7">
        <v>31.0</v>
      </c>
      <c r="AN518" s="7">
        <v>7.0</v>
      </c>
      <c r="AO518" s="7">
        <v>32.5</v>
      </c>
      <c r="AP518" s="9">
        <f t="shared" ref="AP518:AR518" si="1616">AG518/$AF518</f>
        <v>97.17647059</v>
      </c>
      <c r="AQ518" s="9">
        <f t="shared" si="1616"/>
        <v>41.32352941</v>
      </c>
      <c r="AR518" s="9">
        <f t="shared" si="1616"/>
        <v>41.81176471</v>
      </c>
      <c r="AS518" s="9">
        <f t="shared" si="11"/>
        <v>83.13529412</v>
      </c>
      <c r="AT518" s="9">
        <f t="shared" ref="AT518:AV518" si="1617">AJ518/$AF518</f>
        <v>11.07647059</v>
      </c>
      <c r="AU518" s="9">
        <f t="shared" si="1617"/>
        <v>2.2</v>
      </c>
      <c r="AV518" s="9">
        <f t="shared" si="1617"/>
        <v>0.7647058824</v>
      </c>
      <c r="AW518" s="9">
        <f t="shared" si="13"/>
        <v>2.964705882</v>
      </c>
      <c r="AX518" s="9">
        <f t="shared" ref="AX518:AY518" si="1618">AM518/$AF518</f>
        <v>0.9117647059</v>
      </c>
      <c r="AY518" s="9">
        <f t="shared" si="1618"/>
        <v>0.2058823529</v>
      </c>
      <c r="AZ518" s="9">
        <f>VLOOKUP(A518,Jogos!A:BN,58,0)</f>
        <v>24.995</v>
      </c>
      <c r="BA518" s="9">
        <f>VLOOKUP(A518,Jogos!A:BN,59,0)</f>
        <v>20.455</v>
      </c>
      <c r="BB518" s="9">
        <f>VLOOKUP(A518,Jogos!A:BN,60,0)</f>
        <v>75</v>
      </c>
      <c r="BC518" s="9">
        <f>VLOOKUP(A518,Jogos!A:BN,61,0)</f>
        <v>23.02</v>
      </c>
      <c r="BD518" s="9">
        <f>VLOOKUP(A518,Jogos!A:BN,62,0)</f>
        <v>474</v>
      </c>
      <c r="BE518" s="9">
        <f>VLOOKUP(A518,Jogos!A:BN,63,0)</f>
        <v>2.795</v>
      </c>
      <c r="BF518" s="9">
        <f>VLOOKUP(A518,Jogos!A:BN,64,0)</f>
        <v>22.365</v>
      </c>
      <c r="BG518" s="9">
        <f>VLOOKUP(A518,Jogos!A:BN,65,0)</f>
        <v>37.84</v>
      </c>
      <c r="BH518" s="9">
        <f>VLOOKUP(A518,Jogos!A:BN,66,0)</f>
        <v>25.72</v>
      </c>
      <c r="BI518" s="9"/>
    </row>
    <row r="519" hidden="1">
      <c r="A519" s="2">
        <v>18.0</v>
      </c>
      <c r="B519" s="2" t="s">
        <v>60</v>
      </c>
      <c r="C519" s="2" t="s">
        <v>61</v>
      </c>
      <c r="D519" s="3">
        <v>45827.0</v>
      </c>
      <c r="E519" s="4">
        <v>0.625</v>
      </c>
      <c r="F519" s="5" t="str">
        <f>VLOOKUP(A519,Jogos!A:N,10,0)</f>
        <v>Afternoon</v>
      </c>
      <c r="G519" s="2" t="s">
        <v>376</v>
      </c>
      <c r="H519" s="6" t="str">
        <f>VLOOKUP(A519,Jogos!A:L,12,0)</f>
        <v>Closed</v>
      </c>
      <c r="I519" s="6" t="str">
        <f>VLOOKUP(G519,'Estádios e Cidades'!A:B,2,0)</f>
        <v>Atlanta</v>
      </c>
      <c r="J519" s="2" t="s">
        <v>64</v>
      </c>
      <c r="K519" s="2" t="str">
        <f>VLOOKUP(J519,Equipes!A:F,6,0)</f>
        <v>Tropical</v>
      </c>
      <c r="L519" s="2">
        <f>VLOOKUP(J519,Equipes!A:C,3,0)</f>
        <v>16</v>
      </c>
      <c r="M519" s="2" t="str">
        <f t="shared" si="4"/>
        <v>Round of 16</v>
      </c>
      <c r="N519" s="2" t="s">
        <v>251</v>
      </c>
      <c r="O519" s="2">
        <f>VLOOKUP(N519,Equipes!A:C,3,0)</f>
        <v>23</v>
      </c>
      <c r="P519" s="2" t="str">
        <f t="shared" si="5"/>
        <v>Group</v>
      </c>
      <c r="Q519" s="2">
        <f t="shared" si="6"/>
        <v>-7</v>
      </c>
      <c r="R519" s="2" t="str">
        <f>VLOOKUP(J519,Equipes!A:B,2,0)</f>
        <v>InterMiami</v>
      </c>
      <c r="S519" s="6" t="s">
        <v>115</v>
      </c>
      <c r="T519" s="7">
        <v>7.0</v>
      </c>
      <c r="U519" s="7" t="s">
        <v>116</v>
      </c>
      <c r="V519" s="7" t="str">
        <f>VLOOKUP(U519,Jogadores!B:C,2,0)</f>
        <v>FW</v>
      </c>
      <c r="W519" s="8">
        <f>VLOOKUP(U519,Jogadores!B:D,3,0)</f>
        <v>34.44931507</v>
      </c>
      <c r="X519" s="7">
        <v>79.0</v>
      </c>
      <c r="Y519" s="7">
        <f t="shared" si="1619"/>
        <v>97</v>
      </c>
      <c r="Z519" s="7">
        <f>VLOOKUP(A519,Jogos!A:L,3,0)</f>
        <v>47</v>
      </c>
      <c r="AA519" s="7">
        <f t="shared" si="7"/>
        <v>0</v>
      </c>
      <c r="AB519" s="7">
        <f>VLOOKUP(A519,Jogos!A:L,4,0)</f>
        <v>52</v>
      </c>
      <c r="AC519" s="7">
        <f t="shared" si="657"/>
        <v>18</v>
      </c>
      <c r="AD519" s="7"/>
      <c r="AE519" s="7"/>
      <c r="AF519" s="7">
        <f t="shared" si="9"/>
        <v>18</v>
      </c>
      <c r="AG519" s="7">
        <v>2203.0</v>
      </c>
      <c r="AH519" s="7">
        <v>652.9</v>
      </c>
      <c r="AI519" s="7">
        <v>951.5</v>
      </c>
      <c r="AJ519" s="7">
        <v>330.1</v>
      </c>
      <c r="AK519" s="7">
        <v>171.8</v>
      </c>
      <c r="AL519" s="7">
        <v>96.7</v>
      </c>
      <c r="AM519" s="7">
        <v>27.0</v>
      </c>
      <c r="AN519" s="7">
        <v>16.0</v>
      </c>
      <c r="AO519" s="7">
        <v>32.8</v>
      </c>
      <c r="AP519" s="9">
        <f t="shared" ref="AP519:AR519" si="1620">AG519/$AF519</f>
        <v>122.3888889</v>
      </c>
      <c r="AQ519" s="9">
        <f t="shared" si="1620"/>
        <v>36.27222222</v>
      </c>
      <c r="AR519" s="9">
        <f t="shared" si="1620"/>
        <v>52.86111111</v>
      </c>
      <c r="AS519" s="9">
        <f t="shared" si="11"/>
        <v>89.13333333</v>
      </c>
      <c r="AT519" s="9">
        <f t="shared" ref="AT519:AV519" si="1621">AJ519/$AF519</f>
        <v>18.33888889</v>
      </c>
      <c r="AU519" s="9">
        <f t="shared" si="1621"/>
        <v>9.544444444</v>
      </c>
      <c r="AV519" s="9">
        <f t="shared" si="1621"/>
        <v>5.372222222</v>
      </c>
      <c r="AW519" s="9">
        <f t="shared" si="13"/>
        <v>14.91666667</v>
      </c>
      <c r="AX519" s="9">
        <f t="shared" ref="AX519:AY519" si="1622">AM519/$AF519</f>
        <v>1.5</v>
      </c>
      <c r="AY519" s="9">
        <f t="shared" si="1622"/>
        <v>0.8888888889</v>
      </c>
      <c r="AZ519" s="9">
        <f>VLOOKUP(A519,Jogos!A:BN,58,0)</f>
        <v>24.995</v>
      </c>
      <c r="BA519" s="9">
        <f>VLOOKUP(A519,Jogos!A:BN,59,0)</f>
        <v>20.455</v>
      </c>
      <c r="BB519" s="9">
        <f>VLOOKUP(A519,Jogos!A:BN,60,0)</f>
        <v>75</v>
      </c>
      <c r="BC519" s="9">
        <f>VLOOKUP(A519,Jogos!A:BN,61,0)</f>
        <v>23.02</v>
      </c>
      <c r="BD519" s="9">
        <f>VLOOKUP(A519,Jogos!A:BN,62,0)</f>
        <v>474</v>
      </c>
      <c r="BE519" s="9">
        <f>VLOOKUP(A519,Jogos!A:BN,63,0)</f>
        <v>2.795</v>
      </c>
      <c r="BF519" s="9">
        <f>VLOOKUP(A519,Jogos!A:BN,64,0)</f>
        <v>22.365</v>
      </c>
      <c r="BG519" s="9">
        <f>VLOOKUP(A519,Jogos!A:BN,65,0)</f>
        <v>37.84</v>
      </c>
      <c r="BH519" s="9">
        <f>VLOOKUP(A519,Jogos!A:BN,66,0)</f>
        <v>25.72</v>
      </c>
      <c r="BI519" s="9"/>
    </row>
    <row r="520" hidden="1">
      <c r="A520" s="2">
        <v>18.0</v>
      </c>
      <c r="B520" s="2" t="s">
        <v>60</v>
      </c>
      <c r="C520" s="2" t="s">
        <v>61</v>
      </c>
      <c r="D520" s="3">
        <v>45827.0</v>
      </c>
      <c r="E520" s="4">
        <v>0.625</v>
      </c>
      <c r="F520" s="5" t="str">
        <f>VLOOKUP(A520,Jogos!A:N,10,0)</f>
        <v>Afternoon</v>
      </c>
      <c r="G520" s="2" t="s">
        <v>376</v>
      </c>
      <c r="H520" s="6" t="str">
        <f>VLOOKUP(A520,Jogos!A:L,12,0)</f>
        <v>Closed</v>
      </c>
      <c r="I520" s="6" t="str">
        <f>VLOOKUP(G520,'Estádios e Cidades'!A:B,2,0)</f>
        <v>Atlanta</v>
      </c>
      <c r="J520" s="2" t="s">
        <v>64</v>
      </c>
      <c r="K520" s="2" t="str">
        <f>VLOOKUP(J520,Equipes!A:F,6,0)</f>
        <v>Tropical</v>
      </c>
      <c r="L520" s="2">
        <f>VLOOKUP(J520,Equipes!A:C,3,0)</f>
        <v>16</v>
      </c>
      <c r="M520" s="2" t="str">
        <f t="shared" si="4"/>
        <v>Round of 16</v>
      </c>
      <c r="N520" s="2" t="s">
        <v>251</v>
      </c>
      <c r="O520" s="2">
        <f>VLOOKUP(N520,Equipes!A:C,3,0)</f>
        <v>23</v>
      </c>
      <c r="P520" s="2" t="str">
        <f t="shared" si="5"/>
        <v>Group</v>
      </c>
      <c r="Q520" s="2">
        <f t="shared" si="6"/>
        <v>-7</v>
      </c>
      <c r="R520" s="2" t="str">
        <f>VLOOKUP(J520,Equipes!A:B,2,0)</f>
        <v>InterMiami</v>
      </c>
      <c r="S520" s="6" t="s">
        <v>1072</v>
      </c>
      <c r="T520" s="7">
        <v>18.0</v>
      </c>
      <c r="U520" s="7" t="s">
        <v>1073</v>
      </c>
      <c r="V520" s="7" t="str">
        <f>VLOOKUP(U520,Jogadores!B:C,2,0)</f>
        <v>DF</v>
      </c>
      <c r="W520" s="8">
        <f>VLOOKUP(U520,Jogadores!B:D,3,0)</f>
        <v>36.37808219</v>
      </c>
      <c r="X520" s="7">
        <v>79.0</v>
      </c>
      <c r="Y520" s="7">
        <f t="shared" si="1619"/>
        <v>97</v>
      </c>
      <c r="Z520" s="7">
        <f>VLOOKUP(A520,Jogos!A:L,3,0)</f>
        <v>47</v>
      </c>
      <c r="AA520" s="7">
        <f t="shared" si="7"/>
        <v>0</v>
      </c>
      <c r="AB520" s="7">
        <f>VLOOKUP(A520,Jogos!A:L,4,0)</f>
        <v>52</v>
      </c>
      <c r="AC520" s="7">
        <f t="shared" si="657"/>
        <v>18</v>
      </c>
      <c r="AD520" s="7"/>
      <c r="AE520" s="7"/>
      <c r="AF520" s="7">
        <f t="shared" si="9"/>
        <v>18</v>
      </c>
      <c r="AG520" s="7">
        <v>2245.8</v>
      </c>
      <c r="AH520" s="7">
        <v>746.8</v>
      </c>
      <c r="AI520" s="7">
        <v>940.2</v>
      </c>
      <c r="AJ520" s="7">
        <v>372.4</v>
      </c>
      <c r="AK520" s="7">
        <v>147.4</v>
      </c>
      <c r="AL520" s="7">
        <v>39.0</v>
      </c>
      <c r="AM520" s="7">
        <v>24.0</v>
      </c>
      <c r="AN520" s="7">
        <v>10.0</v>
      </c>
      <c r="AO520" s="7">
        <v>30.0</v>
      </c>
      <c r="AP520" s="9">
        <f t="shared" ref="AP520:AR520" si="1623">AG520/$AF520</f>
        <v>124.7666667</v>
      </c>
      <c r="AQ520" s="9">
        <f t="shared" si="1623"/>
        <v>41.48888889</v>
      </c>
      <c r="AR520" s="9">
        <f t="shared" si="1623"/>
        <v>52.23333333</v>
      </c>
      <c r="AS520" s="9">
        <f t="shared" si="11"/>
        <v>93.72222222</v>
      </c>
      <c r="AT520" s="9">
        <f t="shared" ref="AT520:AV520" si="1624">AJ520/$AF520</f>
        <v>20.68888889</v>
      </c>
      <c r="AU520" s="9">
        <f t="shared" si="1624"/>
        <v>8.188888889</v>
      </c>
      <c r="AV520" s="9">
        <f t="shared" si="1624"/>
        <v>2.166666667</v>
      </c>
      <c r="AW520" s="9">
        <f t="shared" si="13"/>
        <v>10.35555556</v>
      </c>
      <c r="AX520" s="9">
        <f t="shared" ref="AX520:AY520" si="1625">AM520/$AF520</f>
        <v>1.333333333</v>
      </c>
      <c r="AY520" s="9">
        <f t="shared" si="1625"/>
        <v>0.5555555556</v>
      </c>
      <c r="AZ520" s="9">
        <f>VLOOKUP(A520,Jogos!A:BN,58,0)</f>
        <v>24.995</v>
      </c>
      <c r="BA520" s="9">
        <f>VLOOKUP(A520,Jogos!A:BN,59,0)</f>
        <v>20.455</v>
      </c>
      <c r="BB520" s="9">
        <f>VLOOKUP(A520,Jogos!A:BN,60,0)</f>
        <v>75</v>
      </c>
      <c r="BC520" s="9">
        <f>VLOOKUP(A520,Jogos!A:BN,61,0)</f>
        <v>23.02</v>
      </c>
      <c r="BD520" s="9">
        <f>VLOOKUP(A520,Jogos!A:BN,62,0)</f>
        <v>474</v>
      </c>
      <c r="BE520" s="9">
        <f>VLOOKUP(A520,Jogos!A:BN,63,0)</f>
        <v>2.795</v>
      </c>
      <c r="BF520" s="9">
        <f>VLOOKUP(A520,Jogos!A:BN,64,0)</f>
        <v>22.365</v>
      </c>
      <c r="BG520" s="9">
        <f>VLOOKUP(A520,Jogos!A:BN,65,0)</f>
        <v>37.84</v>
      </c>
      <c r="BH520" s="9">
        <f>VLOOKUP(A520,Jogos!A:BN,66,0)</f>
        <v>25.72</v>
      </c>
      <c r="BI520" s="9"/>
    </row>
    <row r="521" hidden="1">
      <c r="A521" s="2">
        <v>18.0</v>
      </c>
      <c r="B521" s="2" t="s">
        <v>60</v>
      </c>
      <c r="C521" s="2" t="s">
        <v>61</v>
      </c>
      <c r="D521" s="3">
        <v>45827.0</v>
      </c>
      <c r="E521" s="4">
        <v>0.625</v>
      </c>
      <c r="F521" s="5" t="str">
        <f>VLOOKUP(A521,Jogos!A:N,10,0)</f>
        <v>Afternoon</v>
      </c>
      <c r="G521" s="2" t="s">
        <v>376</v>
      </c>
      <c r="H521" s="6" t="str">
        <f>VLOOKUP(A521,Jogos!A:L,12,0)</f>
        <v>Closed</v>
      </c>
      <c r="I521" s="6" t="str">
        <f>VLOOKUP(G521,'Estádios e Cidades'!A:B,2,0)</f>
        <v>Atlanta</v>
      </c>
      <c r="J521" s="2" t="s">
        <v>64</v>
      </c>
      <c r="K521" s="2" t="str">
        <f>VLOOKUP(J521,Equipes!A:F,6,0)</f>
        <v>Tropical</v>
      </c>
      <c r="L521" s="2">
        <f>VLOOKUP(J521,Equipes!A:C,3,0)</f>
        <v>16</v>
      </c>
      <c r="M521" s="2" t="str">
        <f t="shared" si="4"/>
        <v>Round of 16</v>
      </c>
      <c r="N521" s="2" t="s">
        <v>251</v>
      </c>
      <c r="O521" s="2">
        <f>VLOOKUP(N521,Equipes!A:C,3,0)</f>
        <v>23</v>
      </c>
      <c r="P521" s="2" t="str">
        <f t="shared" si="5"/>
        <v>Group</v>
      </c>
      <c r="Q521" s="2">
        <f t="shared" si="6"/>
        <v>-7</v>
      </c>
      <c r="R521" s="2" t="str">
        <f>VLOOKUP(J521,Equipes!A:B,2,0)</f>
        <v>InterMiami</v>
      </c>
      <c r="S521" s="6" t="s">
        <v>113</v>
      </c>
      <c r="T521" s="7">
        <v>55.0</v>
      </c>
      <c r="U521" s="7" t="s">
        <v>114</v>
      </c>
      <c r="V521" s="7" t="str">
        <f>VLOOKUP(U521,Jogadores!B:C,2,0)</f>
        <v>MF</v>
      </c>
      <c r="W521" s="8">
        <f>VLOOKUP(U521,Jogadores!B:D,3,0)</f>
        <v>22.53972603</v>
      </c>
      <c r="X521" s="7">
        <v>71.0</v>
      </c>
      <c r="Y521" s="7">
        <f t="shared" si="1619"/>
        <v>97</v>
      </c>
      <c r="Z521" s="7">
        <f>VLOOKUP(A521,Jogos!A:L,3,0)</f>
        <v>47</v>
      </c>
      <c r="AA521" s="7">
        <f t="shared" si="7"/>
        <v>0</v>
      </c>
      <c r="AB521" s="7">
        <f>VLOOKUP(A521,Jogos!A:L,4,0)</f>
        <v>52</v>
      </c>
      <c r="AC521" s="7">
        <f t="shared" si="657"/>
        <v>26</v>
      </c>
      <c r="AD521" s="7"/>
      <c r="AE521" s="7"/>
      <c r="AF521" s="7">
        <f t="shared" si="9"/>
        <v>26</v>
      </c>
      <c r="AG521" s="7">
        <v>2782.4</v>
      </c>
      <c r="AH521" s="7">
        <v>1073.5</v>
      </c>
      <c r="AI521" s="7">
        <v>1064.2</v>
      </c>
      <c r="AJ521" s="7">
        <v>411.9</v>
      </c>
      <c r="AK521" s="7">
        <v>228.7</v>
      </c>
      <c r="AL521" s="7">
        <v>4.1</v>
      </c>
      <c r="AM521" s="7">
        <v>38.0</v>
      </c>
      <c r="AN521" s="7">
        <v>14.0</v>
      </c>
      <c r="AO521" s="7">
        <v>25.8</v>
      </c>
      <c r="AP521" s="9">
        <f t="shared" ref="AP521:AR521" si="1626">AG521/$AF521</f>
        <v>107.0153846</v>
      </c>
      <c r="AQ521" s="9">
        <f t="shared" si="1626"/>
        <v>41.28846154</v>
      </c>
      <c r="AR521" s="9">
        <f t="shared" si="1626"/>
        <v>40.93076923</v>
      </c>
      <c r="AS521" s="9">
        <f t="shared" si="11"/>
        <v>82.21923077</v>
      </c>
      <c r="AT521" s="9">
        <f t="shared" ref="AT521:AV521" si="1627">AJ521/$AF521</f>
        <v>15.84230769</v>
      </c>
      <c r="AU521" s="9">
        <f t="shared" si="1627"/>
        <v>8.796153846</v>
      </c>
      <c r="AV521" s="9">
        <f t="shared" si="1627"/>
        <v>0.1576923077</v>
      </c>
      <c r="AW521" s="9">
        <f t="shared" si="13"/>
        <v>8.953846154</v>
      </c>
      <c r="AX521" s="9">
        <f t="shared" ref="AX521:AY521" si="1628">AM521/$AF521</f>
        <v>1.461538462</v>
      </c>
      <c r="AY521" s="9">
        <f t="shared" si="1628"/>
        <v>0.5384615385</v>
      </c>
      <c r="AZ521" s="9">
        <f>VLOOKUP(A521,Jogos!A:BN,58,0)</f>
        <v>24.995</v>
      </c>
      <c r="BA521" s="9">
        <f>VLOOKUP(A521,Jogos!A:BN,59,0)</f>
        <v>20.455</v>
      </c>
      <c r="BB521" s="9">
        <f>VLOOKUP(A521,Jogos!A:BN,60,0)</f>
        <v>75</v>
      </c>
      <c r="BC521" s="9">
        <f>VLOOKUP(A521,Jogos!A:BN,61,0)</f>
        <v>23.02</v>
      </c>
      <c r="BD521" s="9">
        <f>VLOOKUP(A521,Jogos!A:BN,62,0)</f>
        <v>474</v>
      </c>
      <c r="BE521" s="9">
        <f>VLOOKUP(A521,Jogos!A:BN,63,0)</f>
        <v>2.795</v>
      </c>
      <c r="BF521" s="9">
        <f>VLOOKUP(A521,Jogos!A:BN,64,0)</f>
        <v>22.365</v>
      </c>
      <c r="BG521" s="9">
        <f>VLOOKUP(A521,Jogos!A:BN,65,0)</f>
        <v>37.84</v>
      </c>
      <c r="BH521" s="9">
        <f>VLOOKUP(A521,Jogos!A:BN,66,0)</f>
        <v>25.72</v>
      </c>
      <c r="BI521" s="9"/>
    </row>
    <row r="522" hidden="1">
      <c r="A522" s="10">
        <v>18.0</v>
      </c>
      <c r="B522" s="11" t="s">
        <v>60</v>
      </c>
      <c r="C522" s="2" t="s">
        <v>61</v>
      </c>
      <c r="D522" s="12">
        <v>45827.0</v>
      </c>
      <c r="E522" s="13">
        <v>0.625</v>
      </c>
      <c r="F522" s="5" t="str">
        <f>VLOOKUP(A522,Jogos!A:N,10,0)</f>
        <v>Afternoon</v>
      </c>
      <c r="G522" s="11" t="s">
        <v>376</v>
      </c>
      <c r="H522" s="6" t="str">
        <f>VLOOKUP(A522,Jogos!A:L,12,0)</f>
        <v>Closed</v>
      </c>
      <c r="I522" s="6" t="str">
        <f>VLOOKUP(G522,'Estádios e Cidades'!A:B,2,0)</f>
        <v>Atlanta</v>
      </c>
      <c r="J522" s="11" t="s">
        <v>251</v>
      </c>
      <c r="K522" s="2" t="str">
        <f>VLOOKUP(J522,Equipes!A:F,6,0)</f>
        <v>Temperate</v>
      </c>
      <c r="L522" s="2">
        <f>VLOOKUP(J522,Equipes!A:C,3,0)</f>
        <v>23</v>
      </c>
      <c r="M522" s="2" t="str">
        <f t="shared" si="4"/>
        <v>Group</v>
      </c>
      <c r="N522" s="11" t="s">
        <v>64</v>
      </c>
      <c r="O522" s="2">
        <f>VLOOKUP(N522,Equipes!A:C,3,0)</f>
        <v>16</v>
      </c>
      <c r="P522" s="2" t="str">
        <f t="shared" si="5"/>
        <v>Round of 16</v>
      </c>
      <c r="Q522" s="2">
        <f t="shared" si="6"/>
        <v>7</v>
      </c>
      <c r="R522" s="2" t="str">
        <f>VLOOKUP(J522,Equipes!A:B,2,0)</f>
        <v>Porto</v>
      </c>
      <c r="S522" s="14" t="s">
        <v>282</v>
      </c>
      <c r="T522" s="7">
        <v>5.0</v>
      </c>
      <c r="U522" s="7" t="s">
        <v>283</v>
      </c>
      <c r="V522" s="7" t="str">
        <f>VLOOKUP(U522,Jogadores!B:C,2,0)</f>
        <v>DF</v>
      </c>
      <c r="W522" s="8">
        <f>VLOOKUP(U522,Jogadores!B:D,3,0)</f>
        <v>38.12328767</v>
      </c>
      <c r="X522" s="7">
        <v>0.0</v>
      </c>
      <c r="Y522" s="7">
        <v>87.0</v>
      </c>
      <c r="Z522" s="7">
        <f>VLOOKUP(A522,Jogos!A:L,3,0)</f>
        <v>47</v>
      </c>
      <c r="AA522" s="7">
        <f t="shared" si="7"/>
        <v>47</v>
      </c>
      <c r="AB522" s="7">
        <f>VLOOKUP(A522,Jogos!A:L,4,0)</f>
        <v>52</v>
      </c>
      <c r="AC522" s="7">
        <f t="shared" si="657"/>
        <v>42</v>
      </c>
      <c r="AD522" s="7"/>
      <c r="AE522" s="7"/>
      <c r="AF522" s="7">
        <f t="shared" si="9"/>
        <v>89</v>
      </c>
      <c r="AG522" s="7">
        <v>9052.5</v>
      </c>
      <c r="AH522" s="7">
        <v>3743.5</v>
      </c>
      <c r="AI522" s="7">
        <v>3589.2</v>
      </c>
      <c r="AJ522" s="7">
        <v>1012.4</v>
      </c>
      <c r="AK522" s="7">
        <v>463.5</v>
      </c>
      <c r="AL522" s="7">
        <v>244.0</v>
      </c>
      <c r="AM522" s="7">
        <v>85.0</v>
      </c>
      <c r="AN522" s="7">
        <v>41.0</v>
      </c>
      <c r="AO522" s="7">
        <v>30.5</v>
      </c>
      <c r="AP522" s="9">
        <f t="shared" ref="AP522:AR522" si="1629">AG522/$AF522</f>
        <v>101.7134831</v>
      </c>
      <c r="AQ522" s="9">
        <f t="shared" si="1629"/>
        <v>42.06179775</v>
      </c>
      <c r="AR522" s="9">
        <f t="shared" si="1629"/>
        <v>40.32808989</v>
      </c>
      <c r="AS522" s="9">
        <f t="shared" si="11"/>
        <v>82.38988764</v>
      </c>
      <c r="AT522" s="9">
        <f t="shared" ref="AT522:AV522" si="1630">AJ522/$AF522</f>
        <v>11.3752809</v>
      </c>
      <c r="AU522" s="9">
        <f t="shared" si="1630"/>
        <v>5.207865169</v>
      </c>
      <c r="AV522" s="9">
        <f t="shared" si="1630"/>
        <v>2.741573034</v>
      </c>
      <c r="AW522" s="9">
        <f t="shared" si="13"/>
        <v>7.949438202</v>
      </c>
      <c r="AX522" s="9">
        <f t="shared" ref="AX522:AY522" si="1631">AM522/$AF522</f>
        <v>0.9550561798</v>
      </c>
      <c r="AY522" s="9">
        <f t="shared" si="1631"/>
        <v>0.4606741573</v>
      </c>
      <c r="AZ522" s="9">
        <f>VLOOKUP(A522,Jogos!A:BN,58,0)</f>
        <v>24.995</v>
      </c>
      <c r="BA522" s="9">
        <f>VLOOKUP(A522,Jogos!A:BN,59,0)</f>
        <v>20.455</v>
      </c>
      <c r="BB522" s="9">
        <f>VLOOKUP(A522,Jogos!A:BN,60,0)</f>
        <v>75</v>
      </c>
      <c r="BC522" s="9">
        <f>VLOOKUP(A522,Jogos!A:BN,61,0)</f>
        <v>23.02</v>
      </c>
      <c r="BD522" s="9">
        <f>VLOOKUP(A522,Jogos!A:BN,62,0)</f>
        <v>474</v>
      </c>
      <c r="BE522" s="9">
        <f>VLOOKUP(A522,Jogos!A:BN,63,0)</f>
        <v>2.795</v>
      </c>
      <c r="BF522" s="9">
        <f>VLOOKUP(A522,Jogos!A:BN,64,0)</f>
        <v>22.365</v>
      </c>
      <c r="BG522" s="9">
        <f>VLOOKUP(A522,Jogos!A:BN,65,0)</f>
        <v>37.84</v>
      </c>
      <c r="BH522" s="9">
        <f>VLOOKUP(A522,Jogos!A:BN,66,0)</f>
        <v>25.72</v>
      </c>
      <c r="BI522" s="9"/>
    </row>
    <row r="523" hidden="1">
      <c r="A523" s="10">
        <v>18.0</v>
      </c>
      <c r="B523" s="11" t="s">
        <v>60</v>
      </c>
      <c r="C523" s="2" t="s">
        <v>61</v>
      </c>
      <c r="D523" s="12">
        <v>45827.0</v>
      </c>
      <c r="E523" s="13">
        <v>0.625</v>
      </c>
      <c r="F523" s="5" t="str">
        <f>VLOOKUP(A523,Jogos!A:N,10,0)</f>
        <v>Afternoon</v>
      </c>
      <c r="G523" s="11" t="s">
        <v>376</v>
      </c>
      <c r="H523" s="6" t="str">
        <f>VLOOKUP(A523,Jogos!A:L,12,0)</f>
        <v>Closed</v>
      </c>
      <c r="I523" s="6" t="str">
        <f>VLOOKUP(G523,'Estádios e Cidades'!A:B,2,0)</f>
        <v>Atlanta</v>
      </c>
      <c r="J523" s="11" t="s">
        <v>251</v>
      </c>
      <c r="K523" s="2" t="str">
        <f>VLOOKUP(J523,Equipes!A:F,6,0)</f>
        <v>Temperate</v>
      </c>
      <c r="L523" s="2">
        <f>VLOOKUP(J523,Equipes!A:C,3,0)</f>
        <v>23</v>
      </c>
      <c r="M523" s="2" t="str">
        <f t="shared" si="4"/>
        <v>Group</v>
      </c>
      <c r="N523" s="11" t="s">
        <v>64</v>
      </c>
      <c r="O523" s="2">
        <f>VLOOKUP(N523,Equipes!A:C,3,0)</f>
        <v>16</v>
      </c>
      <c r="P523" s="2" t="str">
        <f t="shared" si="5"/>
        <v>Round of 16</v>
      </c>
      <c r="Q523" s="2">
        <f t="shared" si="6"/>
        <v>7</v>
      </c>
      <c r="R523" s="2" t="str">
        <f>VLOOKUP(J523,Equipes!A:B,2,0)</f>
        <v>Porto</v>
      </c>
      <c r="S523" s="6" t="s">
        <v>284</v>
      </c>
      <c r="T523" s="7">
        <v>9.0</v>
      </c>
      <c r="U523" s="7" t="s">
        <v>285</v>
      </c>
      <c r="V523" s="7" t="str">
        <f>VLOOKUP(U523,Jogadores!B:C,2,0)</f>
        <v>FW</v>
      </c>
      <c r="W523" s="8">
        <f>VLOOKUP(U523,Jogadores!B:D,3,0)</f>
        <v>21.24383562</v>
      </c>
      <c r="X523" s="7">
        <v>0.0</v>
      </c>
      <c r="Y523" s="7">
        <f t="shared" ref="Y523:Y524" si="1635">45+AB523</f>
        <v>97</v>
      </c>
      <c r="Z523" s="7">
        <f>VLOOKUP(A523,Jogos!A:L,3,0)</f>
        <v>47</v>
      </c>
      <c r="AA523" s="7">
        <f t="shared" si="7"/>
        <v>47</v>
      </c>
      <c r="AB523" s="7">
        <f>VLOOKUP(A523,Jogos!A:L,4,0)</f>
        <v>52</v>
      </c>
      <c r="AC523" s="7">
        <f t="shared" si="657"/>
        <v>52</v>
      </c>
      <c r="AD523" s="7"/>
      <c r="AE523" s="7"/>
      <c r="AF523" s="7">
        <f t="shared" si="9"/>
        <v>99</v>
      </c>
      <c r="AG523" s="7">
        <v>9143.6</v>
      </c>
      <c r="AH523" s="7">
        <v>4644.7</v>
      </c>
      <c r="AI523" s="7">
        <v>3078.9</v>
      </c>
      <c r="AJ523" s="7">
        <v>758.8</v>
      </c>
      <c r="AK523" s="7">
        <v>393.5</v>
      </c>
      <c r="AL523" s="7">
        <v>267.6</v>
      </c>
      <c r="AM523" s="7">
        <v>77.0</v>
      </c>
      <c r="AN523" s="7">
        <v>39.0</v>
      </c>
      <c r="AO523" s="7">
        <v>33.7</v>
      </c>
      <c r="AP523" s="9">
        <f t="shared" ref="AP523:AR523" si="1632">AG523/$AF523</f>
        <v>92.35959596</v>
      </c>
      <c r="AQ523" s="9">
        <f t="shared" si="1632"/>
        <v>46.91616162</v>
      </c>
      <c r="AR523" s="9">
        <f t="shared" si="1632"/>
        <v>31.1</v>
      </c>
      <c r="AS523" s="9">
        <f t="shared" si="11"/>
        <v>78.01616162</v>
      </c>
      <c r="AT523" s="9">
        <f t="shared" ref="AT523:AV523" si="1633">AJ523/$AF523</f>
        <v>7.664646465</v>
      </c>
      <c r="AU523" s="9">
        <f t="shared" si="1633"/>
        <v>3.974747475</v>
      </c>
      <c r="AV523" s="9">
        <f t="shared" si="1633"/>
        <v>2.703030303</v>
      </c>
      <c r="AW523" s="9">
        <f t="shared" si="13"/>
        <v>6.677777778</v>
      </c>
      <c r="AX523" s="9">
        <f t="shared" ref="AX523:AY523" si="1634">AM523/$AF523</f>
        <v>0.7777777778</v>
      </c>
      <c r="AY523" s="9">
        <f t="shared" si="1634"/>
        <v>0.3939393939</v>
      </c>
      <c r="AZ523" s="9">
        <f>VLOOKUP(A523,Jogos!A:BN,58,0)</f>
        <v>24.995</v>
      </c>
      <c r="BA523" s="9">
        <f>VLOOKUP(A523,Jogos!A:BN,59,0)</f>
        <v>20.455</v>
      </c>
      <c r="BB523" s="9">
        <f>VLOOKUP(A523,Jogos!A:BN,60,0)</f>
        <v>75</v>
      </c>
      <c r="BC523" s="9">
        <f>VLOOKUP(A523,Jogos!A:BN,61,0)</f>
        <v>23.02</v>
      </c>
      <c r="BD523" s="9">
        <f>VLOOKUP(A523,Jogos!A:BN,62,0)</f>
        <v>474</v>
      </c>
      <c r="BE523" s="9">
        <f>VLOOKUP(A523,Jogos!A:BN,63,0)</f>
        <v>2.795</v>
      </c>
      <c r="BF523" s="9">
        <f>VLOOKUP(A523,Jogos!A:BN,64,0)</f>
        <v>22.365</v>
      </c>
      <c r="BG523" s="9">
        <f>VLOOKUP(A523,Jogos!A:BN,65,0)</f>
        <v>37.84</v>
      </c>
      <c r="BH523" s="9">
        <f>VLOOKUP(A523,Jogos!A:BN,66,0)</f>
        <v>25.72</v>
      </c>
      <c r="BI523" s="9"/>
    </row>
    <row r="524" hidden="1">
      <c r="A524" s="10">
        <v>18.0</v>
      </c>
      <c r="B524" s="11" t="s">
        <v>60</v>
      </c>
      <c r="C524" s="2" t="s">
        <v>61</v>
      </c>
      <c r="D524" s="12">
        <v>45827.0</v>
      </c>
      <c r="E524" s="13">
        <v>0.625</v>
      </c>
      <c r="F524" s="5" t="str">
        <f>VLOOKUP(A524,Jogos!A:N,10,0)</f>
        <v>Afternoon</v>
      </c>
      <c r="G524" s="11" t="s">
        <v>376</v>
      </c>
      <c r="H524" s="6" t="str">
        <f>VLOOKUP(A524,Jogos!A:L,12,0)</f>
        <v>Closed</v>
      </c>
      <c r="I524" s="6" t="str">
        <f>VLOOKUP(G524,'Estádios e Cidades'!A:B,2,0)</f>
        <v>Atlanta</v>
      </c>
      <c r="J524" s="11" t="s">
        <v>251</v>
      </c>
      <c r="K524" s="2" t="str">
        <f>VLOOKUP(J524,Equipes!A:F,6,0)</f>
        <v>Temperate</v>
      </c>
      <c r="L524" s="2">
        <f>VLOOKUP(J524,Equipes!A:C,3,0)</f>
        <v>23</v>
      </c>
      <c r="M524" s="2" t="str">
        <f t="shared" si="4"/>
        <v>Group</v>
      </c>
      <c r="N524" s="11" t="s">
        <v>64</v>
      </c>
      <c r="O524" s="2">
        <f>VLOOKUP(N524,Equipes!A:C,3,0)</f>
        <v>16</v>
      </c>
      <c r="P524" s="2" t="str">
        <f t="shared" si="5"/>
        <v>Round of 16</v>
      </c>
      <c r="Q524" s="2">
        <f t="shared" si="6"/>
        <v>7</v>
      </c>
      <c r="R524" s="2" t="str">
        <f>VLOOKUP(J524,Equipes!A:B,2,0)</f>
        <v>Porto</v>
      </c>
      <c r="S524" s="6" t="s">
        <v>286</v>
      </c>
      <c r="T524" s="7">
        <v>10.0</v>
      </c>
      <c r="U524" s="7" t="s">
        <v>287</v>
      </c>
      <c r="V524" s="7" t="str">
        <f>VLOOKUP(U524,Jogadores!B:C,2,0)</f>
        <v>MF</v>
      </c>
      <c r="W524" s="8">
        <f>VLOOKUP(U524,Jogadores!B:D,3,0)</f>
        <v>25.17808219</v>
      </c>
      <c r="X524" s="7">
        <v>0.0</v>
      </c>
      <c r="Y524" s="7">
        <f t="shared" si="1635"/>
        <v>97</v>
      </c>
      <c r="Z524" s="7">
        <f>VLOOKUP(A524,Jogos!A:L,3,0)</f>
        <v>47</v>
      </c>
      <c r="AA524" s="7">
        <f t="shared" si="7"/>
        <v>47</v>
      </c>
      <c r="AB524" s="7">
        <f>VLOOKUP(A524,Jogos!A:L,4,0)</f>
        <v>52</v>
      </c>
      <c r="AC524" s="7">
        <f t="shared" si="657"/>
        <v>52</v>
      </c>
      <c r="AD524" s="7"/>
      <c r="AE524" s="7"/>
      <c r="AF524" s="7">
        <f t="shared" si="9"/>
        <v>99</v>
      </c>
      <c r="AG524" s="7">
        <v>10729.9</v>
      </c>
      <c r="AH524" s="7">
        <v>4005.5</v>
      </c>
      <c r="AI524" s="7">
        <v>4624.0</v>
      </c>
      <c r="AJ524" s="7">
        <v>1640.5</v>
      </c>
      <c r="AK524" s="7">
        <v>391.7</v>
      </c>
      <c r="AL524" s="7">
        <v>68.1</v>
      </c>
      <c r="AM524" s="7">
        <v>144.0</v>
      </c>
      <c r="AN524" s="7">
        <v>31.0</v>
      </c>
      <c r="AO524" s="7">
        <v>30.0</v>
      </c>
      <c r="AP524" s="9">
        <f t="shared" ref="AP524:AR524" si="1636">AG524/$AF524</f>
        <v>108.3828283</v>
      </c>
      <c r="AQ524" s="9">
        <f t="shared" si="1636"/>
        <v>40.45959596</v>
      </c>
      <c r="AR524" s="9">
        <f t="shared" si="1636"/>
        <v>46.70707071</v>
      </c>
      <c r="AS524" s="9">
        <f t="shared" si="11"/>
        <v>87.16666667</v>
      </c>
      <c r="AT524" s="9">
        <f t="shared" ref="AT524:AV524" si="1637">AJ524/$AF524</f>
        <v>16.57070707</v>
      </c>
      <c r="AU524" s="9">
        <f t="shared" si="1637"/>
        <v>3.956565657</v>
      </c>
      <c r="AV524" s="9">
        <f t="shared" si="1637"/>
        <v>0.6878787879</v>
      </c>
      <c r="AW524" s="9">
        <f t="shared" si="13"/>
        <v>4.644444444</v>
      </c>
      <c r="AX524" s="9">
        <f t="shared" ref="AX524:AY524" si="1638">AM524/$AF524</f>
        <v>1.454545455</v>
      </c>
      <c r="AY524" s="9">
        <f t="shared" si="1638"/>
        <v>0.3131313131</v>
      </c>
      <c r="AZ524" s="9">
        <f>VLOOKUP(A524,Jogos!A:BN,58,0)</f>
        <v>24.995</v>
      </c>
      <c r="BA524" s="9">
        <f>VLOOKUP(A524,Jogos!A:BN,59,0)</f>
        <v>20.455</v>
      </c>
      <c r="BB524" s="9">
        <f>VLOOKUP(A524,Jogos!A:BN,60,0)</f>
        <v>75</v>
      </c>
      <c r="BC524" s="9">
        <f>VLOOKUP(A524,Jogos!A:BN,61,0)</f>
        <v>23.02</v>
      </c>
      <c r="BD524" s="9">
        <f>VLOOKUP(A524,Jogos!A:BN,62,0)</f>
        <v>474</v>
      </c>
      <c r="BE524" s="9">
        <f>VLOOKUP(A524,Jogos!A:BN,63,0)</f>
        <v>2.795</v>
      </c>
      <c r="BF524" s="9">
        <f>VLOOKUP(A524,Jogos!A:BN,64,0)</f>
        <v>22.365</v>
      </c>
      <c r="BG524" s="9">
        <f>VLOOKUP(A524,Jogos!A:BN,65,0)</f>
        <v>37.84</v>
      </c>
      <c r="BH524" s="9">
        <f>VLOOKUP(A524,Jogos!A:BN,66,0)</f>
        <v>25.72</v>
      </c>
      <c r="BI524" s="9"/>
    </row>
    <row r="525" hidden="1">
      <c r="A525" s="10">
        <v>18.0</v>
      </c>
      <c r="B525" s="11" t="s">
        <v>60</v>
      </c>
      <c r="C525" s="2" t="s">
        <v>61</v>
      </c>
      <c r="D525" s="12">
        <v>45827.0</v>
      </c>
      <c r="E525" s="13">
        <v>0.625</v>
      </c>
      <c r="F525" s="5" t="str">
        <f>VLOOKUP(A525,Jogos!A:N,10,0)</f>
        <v>Afternoon</v>
      </c>
      <c r="G525" s="11" t="s">
        <v>376</v>
      </c>
      <c r="H525" s="6" t="str">
        <f>VLOOKUP(A525,Jogos!A:L,12,0)</f>
        <v>Closed</v>
      </c>
      <c r="I525" s="6" t="str">
        <f>VLOOKUP(G525,'Estádios e Cidades'!A:B,2,0)</f>
        <v>Atlanta</v>
      </c>
      <c r="J525" s="11" t="s">
        <v>251</v>
      </c>
      <c r="K525" s="2" t="str">
        <f>VLOOKUP(J525,Equipes!A:F,6,0)</f>
        <v>Temperate</v>
      </c>
      <c r="L525" s="2">
        <f>VLOOKUP(J525,Equipes!A:C,3,0)</f>
        <v>23</v>
      </c>
      <c r="M525" s="2" t="str">
        <f t="shared" si="4"/>
        <v>Group</v>
      </c>
      <c r="N525" s="11" t="s">
        <v>64</v>
      </c>
      <c r="O525" s="2">
        <f>VLOOKUP(N525,Equipes!A:C,3,0)</f>
        <v>16</v>
      </c>
      <c r="P525" s="2" t="str">
        <f t="shared" si="5"/>
        <v>Round of 16</v>
      </c>
      <c r="Q525" s="2">
        <f t="shared" si="6"/>
        <v>7</v>
      </c>
      <c r="R525" s="2" t="str">
        <f>VLOOKUP(J525,Equipes!A:B,2,0)</f>
        <v>Porto</v>
      </c>
      <c r="S525" s="6" t="s">
        <v>288</v>
      </c>
      <c r="T525" s="7">
        <v>17.0</v>
      </c>
      <c r="U525" s="7" t="s">
        <v>289</v>
      </c>
      <c r="V525" s="7" t="str">
        <f>VLOOKUP(U525,Jogadores!B:C,2,0)</f>
        <v>MF</v>
      </c>
      <c r="W525" s="8">
        <f>VLOOKUP(U525,Jogadores!B:D,3,0)</f>
        <v>23.18630137</v>
      </c>
      <c r="X525" s="7">
        <v>0.0</v>
      </c>
      <c r="Y525" s="7">
        <v>59.0</v>
      </c>
      <c r="Z525" s="7">
        <f>VLOOKUP(A525,Jogos!A:L,3,0)</f>
        <v>47</v>
      </c>
      <c r="AA525" s="7">
        <f t="shared" si="7"/>
        <v>47</v>
      </c>
      <c r="AB525" s="7">
        <f>VLOOKUP(A525,Jogos!A:L,4,0)</f>
        <v>52</v>
      </c>
      <c r="AC525" s="7">
        <f t="shared" si="657"/>
        <v>14</v>
      </c>
      <c r="AD525" s="7"/>
      <c r="AE525" s="7"/>
      <c r="AF525" s="7">
        <f t="shared" si="9"/>
        <v>61</v>
      </c>
      <c r="AG525" s="7">
        <v>6671.8</v>
      </c>
      <c r="AH525" s="7">
        <v>2454.3</v>
      </c>
      <c r="AI525" s="7">
        <v>2664.6</v>
      </c>
      <c r="AJ525" s="7">
        <v>980.7</v>
      </c>
      <c r="AK525" s="7">
        <v>354.0</v>
      </c>
      <c r="AL525" s="7">
        <v>218.3</v>
      </c>
      <c r="AM525" s="7">
        <v>85.0</v>
      </c>
      <c r="AN525" s="7">
        <v>39.0</v>
      </c>
      <c r="AO525" s="7">
        <v>32.2</v>
      </c>
      <c r="AP525" s="9">
        <f t="shared" ref="AP525:AR525" si="1639">AG525/$AF525</f>
        <v>109.3737705</v>
      </c>
      <c r="AQ525" s="9">
        <f t="shared" si="1639"/>
        <v>40.23442623</v>
      </c>
      <c r="AR525" s="9">
        <f t="shared" si="1639"/>
        <v>43.68196721</v>
      </c>
      <c r="AS525" s="9">
        <f t="shared" si="11"/>
        <v>83.91639344</v>
      </c>
      <c r="AT525" s="9">
        <f t="shared" ref="AT525:AV525" si="1640">AJ525/$AF525</f>
        <v>16.07704918</v>
      </c>
      <c r="AU525" s="9">
        <f t="shared" si="1640"/>
        <v>5.803278689</v>
      </c>
      <c r="AV525" s="9">
        <f t="shared" si="1640"/>
        <v>3.578688525</v>
      </c>
      <c r="AW525" s="9">
        <f t="shared" si="13"/>
        <v>9.381967213</v>
      </c>
      <c r="AX525" s="9">
        <f t="shared" ref="AX525:AY525" si="1641">AM525/$AF525</f>
        <v>1.393442623</v>
      </c>
      <c r="AY525" s="9">
        <f t="shared" si="1641"/>
        <v>0.6393442623</v>
      </c>
      <c r="AZ525" s="9">
        <f>VLOOKUP(A525,Jogos!A:BN,58,0)</f>
        <v>24.995</v>
      </c>
      <c r="BA525" s="9">
        <f>VLOOKUP(A525,Jogos!A:BN,59,0)</f>
        <v>20.455</v>
      </c>
      <c r="BB525" s="9">
        <f>VLOOKUP(A525,Jogos!A:BN,60,0)</f>
        <v>75</v>
      </c>
      <c r="BC525" s="9">
        <f>VLOOKUP(A525,Jogos!A:BN,61,0)</f>
        <v>23.02</v>
      </c>
      <c r="BD525" s="9">
        <f>VLOOKUP(A525,Jogos!A:BN,62,0)</f>
        <v>474</v>
      </c>
      <c r="BE525" s="9">
        <f>VLOOKUP(A525,Jogos!A:BN,63,0)</f>
        <v>2.795</v>
      </c>
      <c r="BF525" s="9">
        <f>VLOOKUP(A525,Jogos!A:BN,64,0)</f>
        <v>22.365</v>
      </c>
      <c r="BG525" s="9">
        <f>VLOOKUP(A525,Jogos!A:BN,65,0)</f>
        <v>37.84</v>
      </c>
      <c r="BH525" s="9">
        <f>VLOOKUP(A525,Jogos!A:BN,66,0)</f>
        <v>25.72</v>
      </c>
      <c r="BI525" s="9"/>
    </row>
    <row r="526" hidden="1">
      <c r="A526" s="10">
        <v>18.0</v>
      </c>
      <c r="B526" s="11" t="s">
        <v>60</v>
      </c>
      <c r="C526" s="2" t="s">
        <v>61</v>
      </c>
      <c r="D526" s="12">
        <v>45827.0</v>
      </c>
      <c r="E526" s="13">
        <v>0.625</v>
      </c>
      <c r="F526" s="5" t="str">
        <f>VLOOKUP(A526,Jogos!A:N,10,0)</f>
        <v>Afternoon</v>
      </c>
      <c r="G526" s="11" t="s">
        <v>376</v>
      </c>
      <c r="H526" s="6" t="str">
        <f>VLOOKUP(A526,Jogos!A:L,12,0)</f>
        <v>Closed</v>
      </c>
      <c r="I526" s="6" t="str">
        <f>VLOOKUP(G526,'Estádios e Cidades'!A:B,2,0)</f>
        <v>Atlanta</v>
      </c>
      <c r="J526" s="11" t="s">
        <v>251</v>
      </c>
      <c r="K526" s="2" t="str">
        <f>VLOOKUP(J526,Equipes!A:F,6,0)</f>
        <v>Temperate</v>
      </c>
      <c r="L526" s="2">
        <f>VLOOKUP(J526,Equipes!A:C,3,0)</f>
        <v>23</v>
      </c>
      <c r="M526" s="2" t="str">
        <f t="shared" si="4"/>
        <v>Group</v>
      </c>
      <c r="N526" s="11" t="s">
        <v>64</v>
      </c>
      <c r="O526" s="2">
        <f>VLOOKUP(N526,Equipes!A:C,3,0)</f>
        <v>16</v>
      </c>
      <c r="P526" s="2" t="str">
        <f t="shared" si="5"/>
        <v>Round of 16</v>
      </c>
      <c r="Q526" s="2">
        <f t="shared" si="6"/>
        <v>7</v>
      </c>
      <c r="R526" s="2" t="str">
        <f>VLOOKUP(J526,Equipes!A:B,2,0)</f>
        <v>Porto</v>
      </c>
      <c r="S526" s="6" t="s">
        <v>290</v>
      </c>
      <c r="T526" s="7">
        <v>22.0</v>
      </c>
      <c r="U526" s="7" t="s">
        <v>291</v>
      </c>
      <c r="V526" s="7" t="str">
        <f>VLOOKUP(U526,Jogadores!B:C,2,0)</f>
        <v>MF</v>
      </c>
      <c r="W526" s="8">
        <f>VLOOKUP(U526,Jogadores!B:D,3,0)</f>
        <v>24.08219178</v>
      </c>
      <c r="X526" s="7">
        <v>0.0</v>
      </c>
      <c r="Y526" s="7">
        <v>74.0</v>
      </c>
      <c r="Z526" s="7">
        <f>VLOOKUP(A526,Jogos!A:L,3,0)</f>
        <v>47</v>
      </c>
      <c r="AA526" s="7">
        <f t="shared" si="7"/>
        <v>47</v>
      </c>
      <c r="AB526" s="7">
        <f>VLOOKUP(A526,Jogos!A:L,4,0)</f>
        <v>52</v>
      </c>
      <c r="AC526" s="7">
        <f t="shared" si="657"/>
        <v>29</v>
      </c>
      <c r="AD526" s="7"/>
      <c r="AE526" s="7"/>
      <c r="AF526" s="7">
        <f t="shared" si="9"/>
        <v>76</v>
      </c>
      <c r="AG526" s="7">
        <v>8966.0</v>
      </c>
      <c r="AH526" s="7">
        <v>2745.4</v>
      </c>
      <c r="AI526" s="7">
        <v>4041.8</v>
      </c>
      <c r="AJ526" s="7">
        <v>1592.1</v>
      </c>
      <c r="AK526" s="7">
        <v>515.2</v>
      </c>
      <c r="AL526" s="7">
        <v>71.5</v>
      </c>
      <c r="AM526" s="7">
        <v>144.0</v>
      </c>
      <c r="AN526" s="7">
        <v>37.0</v>
      </c>
      <c r="AO526" s="7">
        <v>30.6</v>
      </c>
      <c r="AP526" s="9">
        <f t="shared" ref="AP526:AR526" si="1642">AG526/$AF526</f>
        <v>117.9736842</v>
      </c>
      <c r="AQ526" s="9">
        <f t="shared" si="1642"/>
        <v>36.12368421</v>
      </c>
      <c r="AR526" s="9">
        <f t="shared" si="1642"/>
        <v>53.18157895</v>
      </c>
      <c r="AS526" s="9">
        <f t="shared" si="11"/>
        <v>89.30526316</v>
      </c>
      <c r="AT526" s="9">
        <f t="shared" ref="AT526:AV526" si="1643">AJ526/$AF526</f>
        <v>20.94868421</v>
      </c>
      <c r="AU526" s="9">
        <f t="shared" si="1643"/>
        <v>6.778947368</v>
      </c>
      <c r="AV526" s="9">
        <f t="shared" si="1643"/>
        <v>0.9407894737</v>
      </c>
      <c r="AW526" s="9">
        <f t="shared" si="13"/>
        <v>7.719736842</v>
      </c>
      <c r="AX526" s="9">
        <f t="shared" ref="AX526:AY526" si="1644">AM526/$AF526</f>
        <v>1.894736842</v>
      </c>
      <c r="AY526" s="9">
        <f t="shared" si="1644"/>
        <v>0.4868421053</v>
      </c>
      <c r="AZ526" s="9">
        <f>VLOOKUP(A526,Jogos!A:BN,58,0)</f>
        <v>24.995</v>
      </c>
      <c r="BA526" s="9">
        <f>VLOOKUP(A526,Jogos!A:BN,59,0)</f>
        <v>20.455</v>
      </c>
      <c r="BB526" s="9">
        <f>VLOOKUP(A526,Jogos!A:BN,60,0)</f>
        <v>75</v>
      </c>
      <c r="BC526" s="9">
        <f>VLOOKUP(A526,Jogos!A:BN,61,0)</f>
        <v>23.02</v>
      </c>
      <c r="BD526" s="9">
        <f>VLOOKUP(A526,Jogos!A:BN,62,0)</f>
        <v>474</v>
      </c>
      <c r="BE526" s="9">
        <f>VLOOKUP(A526,Jogos!A:BN,63,0)</f>
        <v>2.795</v>
      </c>
      <c r="BF526" s="9">
        <f>VLOOKUP(A526,Jogos!A:BN,64,0)</f>
        <v>22.365</v>
      </c>
      <c r="BG526" s="9">
        <f>VLOOKUP(A526,Jogos!A:BN,65,0)</f>
        <v>37.84</v>
      </c>
      <c r="BH526" s="9">
        <f>VLOOKUP(A526,Jogos!A:BN,66,0)</f>
        <v>25.72</v>
      </c>
      <c r="BI526" s="9"/>
    </row>
    <row r="527" hidden="1">
      <c r="A527" s="10">
        <v>18.0</v>
      </c>
      <c r="B527" s="11" t="s">
        <v>60</v>
      </c>
      <c r="C527" s="2" t="s">
        <v>61</v>
      </c>
      <c r="D527" s="12">
        <v>45827.0</v>
      </c>
      <c r="E527" s="13">
        <v>0.625</v>
      </c>
      <c r="F527" s="5" t="str">
        <f>VLOOKUP(A527,Jogos!A:N,10,0)</f>
        <v>Afternoon</v>
      </c>
      <c r="G527" s="11" t="s">
        <v>376</v>
      </c>
      <c r="H527" s="6" t="str">
        <f>VLOOKUP(A527,Jogos!A:L,12,0)</f>
        <v>Closed</v>
      </c>
      <c r="I527" s="6" t="str">
        <f>VLOOKUP(G527,'Estádios e Cidades'!A:B,2,0)</f>
        <v>Atlanta</v>
      </c>
      <c r="J527" s="11" t="s">
        <v>251</v>
      </c>
      <c r="K527" s="2" t="str">
        <f>VLOOKUP(J527,Equipes!A:F,6,0)</f>
        <v>Temperate</v>
      </c>
      <c r="L527" s="2">
        <f>VLOOKUP(J527,Equipes!A:C,3,0)</f>
        <v>23</v>
      </c>
      <c r="M527" s="2" t="str">
        <f t="shared" si="4"/>
        <v>Group</v>
      </c>
      <c r="N527" s="11" t="s">
        <v>64</v>
      </c>
      <c r="O527" s="2">
        <f>VLOOKUP(N527,Equipes!A:C,3,0)</f>
        <v>16</v>
      </c>
      <c r="P527" s="2" t="str">
        <f t="shared" si="5"/>
        <v>Round of 16</v>
      </c>
      <c r="Q527" s="2">
        <f t="shared" si="6"/>
        <v>7</v>
      </c>
      <c r="R527" s="2" t="str">
        <f>VLOOKUP(J527,Equipes!A:B,2,0)</f>
        <v>Porto</v>
      </c>
      <c r="S527" s="6" t="s">
        <v>292</v>
      </c>
      <c r="T527" s="7">
        <v>23.0</v>
      </c>
      <c r="U527" s="7" t="s">
        <v>293</v>
      </c>
      <c r="V527" s="7" t="str">
        <f>VLOOKUP(U527,Jogadores!B:C,2,0)</f>
        <v>DF</v>
      </c>
      <c r="W527" s="8">
        <f>VLOOKUP(U527,Jogadores!B:D,3,0)</f>
        <v>25.58356164</v>
      </c>
      <c r="X527" s="7">
        <v>0.0</v>
      </c>
      <c r="Y527" s="7">
        <f>45+AB527</f>
        <v>97</v>
      </c>
      <c r="Z527" s="7">
        <f>VLOOKUP(A527,Jogos!A:L,3,0)</f>
        <v>47</v>
      </c>
      <c r="AA527" s="7">
        <f t="shared" si="7"/>
        <v>47</v>
      </c>
      <c r="AB527" s="7">
        <f>VLOOKUP(A527,Jogos!A:L,4,0)</f>
        <v>52</v>
      </c>
      <c r="AC527" s="7">
        <f t="shared" si="657"/>
        <v>52</v>
      </c>
      <c r="AD527" s="7"/>
      <c r="AE527" s="7"/>
      <c r="AF527" s="7">
        <f t="shared" si="9"/>
        <v>99</v>
      </c>
      <c r="AG527" s="7">
        <v>10776.5</v>
      </c>
      <c r="AH527" s="7">
        <v>3863.5</v>
      </c>
      <c r="AI527" s="7">
        <v>4656.4</v>
      </c>
      <c r="AJ527" s="7">
        <v>1567.3</v>
      </c>
      <c r="AK527" s="7">
        <v>597.2</v>
      </c>
      <c r="AL527" s="7">
        <v>92.0</v>
      </c>
      <c r="AM527" s="7">
        <v>127.0</v>
      </c>
      <c r="AN527" s="7">
        <v>45.0</v>
      </c>
      <c r="AO527" s="7">
        <v>33.0</v>
      </c>
      <c r="AP527" s="9">
        <f t="shared" ref="AP527:AR527" si="1645">AG527/$AF527</f>
        <v>108.8535354</v>
      </c>
      <c r="AQ527" s="9">
        <f t="shared" si="1645"/>
        <v>39.02525253</v>
      </c>
      <c r="AR527" s="9">
        <f t="shared" si="1645"/>
        <v>47.03434343</v>
      </c>
      <c r="AS527" s="9">
        <f t="shared" si="11"/>
        <v>86.05959596</v>
      </c>
      <c r="AT527" s="9">
        <f t="shared" ref="AT527:AV527" si="1646">AJ527/$AF527</f>
        <v>15.83131313</v>
      </c>
      <c r="AU527" s="9">
        <f t="shared" si="1646"/>
        <v>6.032323232</v>
      </c>
      <c r="AV527" s="9">
        <f t="shared" si="1646"/>
        <v>0.9292929293</v>
      </c>
      <c r="AW527" s="9">
        <f t="shared" si="13"/>
        <v>6.961616162</v>
      </c>
      <c r="AX527" s="9">
        <f t="shared" ref="AX527:AY527" si="1647">AM527/$AF527</f>
        <v>1.282828283</v>
      </c>
      <c r="AY527" s="9">
        <f t="shared" si="1647"/>
        <v>0.4545454545</v>
      </c>
      <c r="AZ527" s="9">
        <f>VLOOKUP(A527,Jogos!A:BN,58,0)</f>
        <v>24.995</v>
      </c>
      <c r="BA527" s="9">
        <f>VLOOKUP(A527,Jogos!A:BN,59,0)</f>
        <v>20.455</v>
      </c>
      <c r="BB527" s="9">
        <f>VLOOKUP(A527,Jogos!A:BN,60,0)</f>
        <v>75</v>
      </c>
      <c r="BC527" s="9">
        <f>VLOOKUP(A527,Jogos!A:BN,61,0)</f>
        <v>23.02</v>
      </c>
      <c r="BD527" s="9">
        <f>VLOOKUP(A527,Jogos!A:BN,62,0)</f>
        <v>474</v>
      </c>
      <c r="BE527" s="9">
        <f>VLOOKUP(A527,Jogos!A:BN,63,0)</f>
        <v>2.795</v>
      </c>
      <c r="BF527" s="9">
        <f>VLOOKUP(A527,Jogos!A:BN,64,0)</f>
        <v>22.365</v>
      </c>
      <c r="BG527" s="9">
        <f>VLOOKUP(A527,Jogos!A:BN,65,0)</f>
        <v>37.84</v>
      </c>
      <c r="BH527" s="9">
        <f>VLOOKUP(A527,Jogos!A:BN,66,0)</f>
        <v>25.72</v>
      </c>
      <c r="BI527" s="9"/>
    </row>
    <row r="528" hidden="1">
      <c r="A528" s="10">
        <v>18.0</v>
      </c>
      <c r="B528" s="11" t="s">
        <v>60</v>
      </c>
      <c r="C528" s="2" t="s">
        <v>61</v>
      </c>
      <c r="D528" s="12">
        <v>45827.0</v>
      </c>
      <c r="E528" s="13">
        <v>0.625</v>
      </c>
      <c r="F528" s="5" t="str">
        <f>VLOOKUP(A528,Jogos!A:N,10,0)</f>
        <v>Afternoon</v>
      </c>
      <c r="G528" s="11" t="s">
        <v>376</v>
      </c>
      <c r="H528" s="6" t="str">
        <f>VLOOKUP(A528,Jogos!A:L,12,0)</f>
        <v>Closed</v>
      </c>
      <c r="I528" s="6" t="str">
        <f>VLOOKUP(G528,'Estádios e Cidades'!A:B,2,0)</f>
        <v>Atlanta</v>
      </c>
      <c r="J528" s="11" t="s">
        <v>251</v>
      </c>
      <c r="K528" s="2" t="str">
        <f>VLOOKUP(J528,Equipes!A:F,6,0)</f>
        <v>Temperate</v>
      </c>
      <c r="L528" s="2">
        <f>VLOOKUP(J528,Equipes!A:C,3,0)</f>
        <v>23</v>
      </c>
      <c r="M528" s="2" t="str">
        <f t="shared" si="4"/>
        <v>Group</v>
      </c>
      <c r="N528" s="11" t="s">
        <v>64</v>
      </c>
      <c r="O528" s="2">
        <f>VLOOKUP(N528,Equipes!A:C,3,0)</f>
        <v>16</v>
      </c>
      <c r="P528" s="2" t="str">
        <f t="shared" si="5"/>
        <v>Round of 16</v>
      </c>
      <c r="Q528" s="2">
        <f t="shared" si="6"/>
        <v>7</v>
      </c>
      <c r="R528" s="2" t="str">
        <f>VLOOKUP(J528,Equipes!A:B,2,0)</f>
        <v>Porto</v>
      </c>
      <c r="S528" s="6" t="s">
        <v>294</v>
      </c>
      <c r="T528" s="7">
        <v>52.0</v>
      </c>
      <c r="U528" s="7" t="s">
        <v>295</v>
      </c>
      <c r="V528" s="7" t="str">
        <f>VLOOKUP(U528,Jogadores!B:C,2,0)</f>
        <v>DF</v>
      </c>
      <c r="W528" s="8">
        <f>VLOOKUP(U528,Jogadores!B:D,3,0)</f>
        <v>19.5369863</v>
      </c>
      <c r="X528" s="7">
        <v>0.0</v>
      </c>
      <c r="Y528" s="7">
        <v>59.0</v>
      </c>
      <c r="Z528" s="7">
        <f>VLOOKUP(A528,Jogos!A:L,3,0)</f>
        <v>47</v>
      </c>
      <c r="AA528" s="7">
        <f t="shared" si="7"/>
        <v>47</v>
      </c>
      <c r="AB528" s="7">
        <f>VLOOKUP(A528,Jogos!A:L,4,0)</f>
        <v>52</v>
      </c>
      <c r="AC528" s="7">
        <f t="shared" si="657"/>
        <v>14</v>
      </c>
      <c r="AD528" s="7"/>
      <c r="AE528" s="7"/>
      <c r="AF528" s="7">
        <f t="shared" si="9"/>
        <v>61</v>
      </c>
      <c r="AG528" s="7">
        <v>6860.7</v>
      </c>
      <c r="AH528" s="7">
        <v>2258.1</v>
      </c>
      <c r="AI528" s="7">
        <v>3130.4</v>
      </c>
      <c r="AJ528" s="7">
        <v>927.8</v>
      </c>
      <c r="AK528" s="7">
        <v>371.7</v>
      </c>
      <c r="AL528" s="7">
        <v>172.8</v>
      </c>
      <c r="AM528" s="7">
        <v>79.0</v>
      </c>
      <c r="AN528" s="7">
        <v>33.0</v>
      </c>
      <c r="AO528" s="7">
        <v>32.3</v>
      </c>
      <c r="AP528" s="9">
        <f t="shared" ref="AP528:AR528" si="1648">AG528/$AF528</f>
        <v>112.4704918</v>
      </c>
      <c r="AQ528" s="9">
        <f t="shared" si="1648"/>
        <v>37.01803279</v>
      </c>
      <c r="AR528" s="9">
        <f t="shared" si="1648"/>
        <v>51.31803279</v>
      </c>
      <c r="AS528" s="9">
        <f t="shared" si="11"/>
        <v>88.33606557</v>
      </c>
      <c r="AT528" s="9">
        <f t="shared" ref="AT528:AV528" si="1649">AJ528/$AF528</f>
        <v>15.20983607</v>
      </c>
      <c r="AU528" s="9">
        <f t="shared" si="1649"/>
        <v>6.093442623</v>
      </c>
      <c r="AV528" s="9">
        <f t="shared" si="1649"/>
        <v>2.832786885</v>
      </c>
      <c r="AW528" s="9">
        <f t="shared" si="13"/>
        <v>8.926229508</v>
      </c>
      <c r="AX528" s="9">
        <f t="shared" ref="AX528:AY528" si="1650">AM528/$AF528</f>
        <v>1.295081967</v>
      </c>
      <c r="AY528" s="9">
        <f t="shared" si="1650"/>
        <v>0.5409836066</v>
      </c>
      <c r="AZ528" s="9">
        <f>VLOOKUP(A528,Jogos!A:BN,58,0)</f>
        <v>24.995</v>
      </c>
      <c r="BA528" s="9">
        <f>VLOOKUP(A528,Jogos!A:BN,59,0)</f>
        <v>20.455</v>
      </c>
      <c r="BB528" s="9">
        <f>VLOOKUP(A528,Jogos!A:BN,60,0)</f>
        <v>75</v>
      </c>
      <c r="BC528" s="9">
        <f>VLOOKUP(A528,Jogos!A:BN,61,0)</f>
        <v>23.02</v>
      </c>
      <c r="BD528" s="9">
        <f>VLOOKUP(A528,Jogos!A:BN,62,0)</f>
        <v>474</v>
      </c>
      <c r="BE528" s="9">
        <f>VLOOKUP(A528,Jogos!A:BN,63,0)</f>
        <v>2.795</v>
      </c>
      <c r="BF528" s="9">
        <f>VLOOKUP(A528,Jogos!A:BN,64,0)</f>
        <v>22.365</v>
      </c>
      <c r="BG528" s="9">
        <f>VLOOKUP(A528,Jogos!A:BN,65,0)</f>
        <v>37.84</v>
      </c>
      <c r="BH528" s="9">
        <f>VLOOKUP(A528,Jogos!A:BN,66,0)</f>
        <v>25.72</v>
      </c>
      <c r="BI528" s="9"/>
    </row>
    <row r="529" hidden="1">
      <c r="A529" s="10">
        <v>18.0</v>
      </c>
      <c r="B529" s="11" t="s">
        <v>60</v>
      </c>
      <c r="C529" s="2" t="s">
        <v>61</v>
      </c>
      <c r="D529" s="12">
        <v>45827.0</v>
      </c>
      <c r="E529" s="13">
        <v>0.625</v>
      </c>
      <c r="F529" s="5" t="str">
        <f>VLOOKUP(A529,Jogos!A:N,10,0)</f>
        <v>Afternoon</v>
      </c>
      <c r="G529" s="11" t="s">
        <v>376</v>
      </c>
      <c r="H529" s="6" t="str">
        <f>VLOOKUP(A529,Jogos!A:L,12,0)</f>
        <v>Closed</v>
      </c>
      <c r="I529" s="6" t="str">
        <f>VLOOKUP(G529,'Estádios e Cidades'!A:B,2,0)</f>
        <v>Atlanta</v>
      </c>
      <c r="J529" s="11" t="s">
        <v>251</v>
      </c>
      <c r="K529" s="2" t="str">
        <f>VLOOKUP(J529,Equipes!A:F,6,0)</f>
        <v>Temperate</v>
      </c>
      <c r="L529" s="2">
        <f>VLOOKUP(J529,Equipes!A:C,3,0)</f>
        <v>23</v>
      </c>
      <c r="M529" s="2" t="str">
        <f t="shared" si="4"/>
        <v>Group</v>
      </c>
      <c r="N529" s="11" t="s">
        <v>64</v>
      </c>
      <c r="O529" s="2">
        <f>VLOOKUP(N529,Equipes!A:C,3,0)</f>
        <v>16</v>
      </c>
      <c r="P529" s="2" t="str">
        <f t="shared" si="5"/>
        <v>Round of 16</v>
      </c>
      <c r="Q529" s="2">
        <f t="shared" si="6"/>
        <v>7</v>
      </c>
      <c r="R529" s="2" t="str">
        <f>VLOOKUP(J529,Equipes!A:B,2,0)</f>
        <v>Porto</v>
      </c>
      <c r="S529" s="6" t="s">
        <v>296</v>
      </c>
      <c r="T529" s="7">
        <v>74.0</v>
      </c>
      <c r="U529" s="7" t="s">
        <v>297</v>
      </c>
      <c r="V529" s="7" t="str">
        <f>VLOOKUP(U529,Jogadores!B:C,2,0)</f>
        <v>DF</v>
      </c>
      <c r="W529" s="8">
        <f>VLOOKUP(U529,Jogadores!B:D,3,0)</f>
        <v>25.96712329</v>
      </c>
      <c r="X529" s="7">
        <v>0.0</v>
      </c>
      <c r="Y529" s="7">
        <v>87.0</v>
      </c>
      <c r="Z529" s="7">
        <f>VLOOKUP(A529,Jogos!A:L,3,0)</f>
        <v>47</v>
      </c>
      <c r="AA529" s="7">
        <f t="shared" si="7"/>
        <v>47</v>
      </c>
      <c r="AB529" s="7">
        <f>VLOOKUP(A529,Jogos!A:L,4,0)</f>
        <v>52</v>
      </c>
      <c r="AC529" s="7">
        <f t="shared" si="657"/>
        <v>42</v>
      </c>
      <c r="AD529" s="7"/>
      <c r="AE529" s="7"/>
      <c r="AF529" s="7">
        <f t="shared" si="9"/>
        <v>89</v>
      </c>
      <c r="AG529" s="7">
        <v>9682.6</v>
      </c>
      <c r="AH529" s="7">
        <v>3212.9</v>
      </c>
      <c r="AI529" s="7">
        <v>3871.8</v>
      </c>
      <c r="AJ529" s="7">
        <v>1345.4</v>
      </c>
      <c r="AK529" s="7">
        <v>823.3</v>
      </c>
      <c r="AL529" s="7">
        <v>429.3</v>
      </c>
      <c r="AM529" s="7">
        <v>113.0</v>
      </c>
      <c r="AN529" s="7">
        <v>59.0</v>
      </c>
      <c r="AO529" s="7">
        <v>34.0</v>
      </c>
      <c r="AP529" s="9">
        <f t="shared" ref="AP529:AR529" si="1651">AG529/$AF529</f>
        <v>108.7932584</v>
      </c>
      <c r="AQ529" s="9">
        <f t="shared" si="1651"/>
        <v>36.1</v>
      </c>
      <c r="AR529" s="9">
        <f t="shared" si="1651"/>
        <v>43.50337079</v>
      </c>
      <c r="AS529" s="9">
        <f t="shared" si="11"/>
        <v>79.60337079</v>
      </c>
      <c r="AT529" s="9">
        <f t="shared" ref="AT529:AV529" si="1652">AJ529/$AF529</f>
        <v>15.11685393</v>
      </c>
      <c r="AU529" s="9">
        <f t="shared" si="1652"/>
        <v>9.250561798</v>
      </c>
      <c r="AV529" s="9">
        <f t="shared" si="1652"/>
        <v>4.823595506</v>
      </c>
      <c r="AW529" s="9">
        <f t="shared" si="13"/>
        <v>14.0741573</v>
      </c>
      <c r="AX529" s="9">
        <f t="shared" ref="AX529:AY529" si="1653">AM529/$AF529</f>
        <v>1.269662921</v>
      </c>
      <c r="AY529" s="9">
        <f t="shared" si="1653"/>
        <v>0.6629213483</v>
      </c>
      <c r="AZ529" s="9">
        <f>VLOOKUP(A529,Jogos!A:BN,58,0)</f>
        <v>24.995</v>
      </c>
      <c r="BA529" s="9">
        <f>VLOOKUP(A529,Jogos!A:BN,59,0)</f>
        <v>20.455</v>
      </c>
      <c r="BB529" s="9">
        <f>VLOOKUP(A529,Jogos!A:BN,60,0)</f>
        <v>75</v>
      </c>
      <c r="BC529" s="9">
        <f>VLOOKUP(A529,Jogos!A:BN,61,0)</f>
        <v>23.02</v>
      </c>
      <c r="BD529" s="9">
        <f>VLOOKUP(A529,Jogos!A:BN,62,0)</f>
        <v>474</v>
      </c>
      <c r="BE529" s="9">
        <f>VLOOKUP(A529,Jogos!A:BN,63,0)</f>
        <v>2.795</v>
      </c>
      <c r="BF529" s="9">
        <f>VLOOKUP(A529,Jogos!A:BN,64,0)</f>
        <v>22.365</v>
      </c>
      <c r="BG529" s="9">
        <f>VLOOKUP(A529,Jogos!A:BN,65,0)</f>
        <v>37.84</v>
      </c>
      <c r="BH529" s="9">
        <f>VLOOKUP(A529,Jogos!A:BN,66,0)</f>
        <v>25.72</v>
      </c>
      <c r="BI529" s="9"/>
    </row>
    <row r="530" hidden="1">
      <c r="A530" s="10">
        <v>18.0</v>
      </c>
      <c r="B530" s="11" t="s">
        <v>60</v>
      </c>
      <c r="C530" s="2" t="s">
        <v>61</v>
      </c>
      <c r="D530" s="12">
        <v>45827.0</v>
      </c>
      <c r="E530" s="13">
        <v>0.625</v>
      </c>
      <c r="F530" s="5" t="str">
        <f>VLOOKUP(A530,Jogos!A:N,10,0)</f>
        <v>Afternoon</v>
      </c>
      <c r="G530" s="11" t="s">
        <v>376</v>
      </c>
      <c r="H530" s="6" t="str">
        <f>VLOOKUP(A530,Jogos!A:L,12,0)</f>
        <v>Closed</v>
      </c>
      <c r="I530" s="6" t="str">
        <f>VLOOKUP(G530,'Estádios e Cidades'!A:B,2,0)</f>
        <v>Atlanta</v>
      </c>
      <c r="J530" s="11" t="s">
        <v>251</v>
      </c>
      <c r="K530" s="2" t="str">
        <f>VLOOKUP(J530,Equipes!A:F,6,0)</f>
        <v>Temperate</v>
      </c>
      <c r="L530" s="2">
        <f>VLOOKUP(J530,Equipes!A:C,3,0)</f>
        <v>23</v>
      </c>
      <c r="M530" s="2" t="str">
        <f t="shared" si="4"/>
        <v>Group</v>
      </c>
      <c r="N530" s="11" t="s">
        <v>64</v>
      </c>
      <c r="O530" s="2">
        <f>VLOOKUP(N530,Equipes!A:C,3,0)</f>
        <v>16</v>
      </c>
      <c r="P530" s="2" t="str">
        <f t="shared" si="5"/>
        <v>Round of 16</v>
      </c>
      <c r="Q530" s="2">
        <f t="shared" si="6"/>
        <v>7</v>
      </c>
      <c r="R530" s="2" t="str">
        <f>VLOOKUP(J530,Equipes!A:B,2,0)</f>
        <v>Porto</v>
      </c>
      <c r="S530" s="6" t="s">
        <v>298</v>
      </c>
      <c r="T530" s="7">
        <v>86.0</v>
      </c>
      <c r="U530" s="7" t="s">
        <v>299</v>
      </c>
      <c r="V530" s="7" t="str">
        <f>VLOOKUP(U530,Jogadores!B:C,2,0)</f>
        <v>FW</v>
      </c>
      <c r="W530" s="8">
        <f>VLOOKUP(U530,Jogadores!B:D,3,0)</f>
        <v>18.24383562</v>
      </c>
      <c r="X530" s="7">
        <v>0.0</v>
      </c>
      <c r="Y530" s="7">
        <f t="shared" ref="Y530:Y537" si="1657">45+AB530</f>
        <v>97</v>
      </c>
      <c r="Z530" s="7">
        <f>VLOOKUP(A530,Jogos!A:L,3,0)</f>
        <v>47</v>
      </c>
      <c r="AA530" s="7">
        <f t="shared" si="7"/>
        <v>47</v>
      </c>
      <c r="AB530" s="7">
        <f>VLOOKUP(A530,Jogos!A:L,4,0)</f>
        <v>52</v>
      </c>
      <c r="AC530" s="7">
        <f t="shared" si="657"/>
        <v>52</v>
      </c>
      <c r="AD530" s="7"/>
      <c r="AE530" s="7"/>
      <c r="AF530" s="7">
        <f t="shared" si="9"/>
        <v>99</v>
      </c>
      <c r="AG530" s="7">
        <v>10528.0</v>
      </c>
      <c r="AH530" s="7">
        <v>3929.0</v>
      </c>
      <c r="AI530" s="7">
        <v>4327.2</v>
      </c>
      <c r="AJ530" s="7">
        <v>1458.0</v>
      </c>
      <c r="AK530" s="7">
        <v>675.6</v>
      </c>
      <c r="AL530" s="7">
        <v>138.2</v>
      </c>
      <c r="AM530" s="7">
        <v>129.0</v>
      </c>
      <c r="AN530" s="7">
        <v>52.0</v>
      </c>
      <c r="AO530" s="7">
        <v>30.5</v>
      </c>
      <c r="AP530" s="9">
        <f t="shared" ref="AP530:AR530" si="1654">AG530/$AF530</f>
        <v>106.3434343</v>
      </c>
      <c r="AQ530" s="9">
        <f t="shared" si="1654"/>
        <v>39.68686869</v>
      </c>
      <c r="AR530" s="9">
        <f t="shared" si="1654"/>
        <v>43.70909091</v>
      </c>
      <c r="AS530" s="9">
        <f t="shared" si="11"/>
        <v>83.3959596</v>
      </c>
      <c r="AT530" s="9">
        <f t="shared" ref="AT530:AV530" si="1655">AJ530/$AF530</f>
        <v>14.72727273</v>
      </c>
      <c r="AU530" s="9">
        <f t="shared" si="1655"/>
        <v>6.824242424</v>
      </c>
      <c r="AV530" s="9">
        <f t="shared" si="1655"/>
        <v>1.395959596</v>
      </c>
      <c r="AW530" s="9">
        <f t="shared" si="13"/>
        <v>8.22020202</v>
      </c>
      <c r="AX530" s="9">
        <f t="shared" ref="AX530:AY530" si="1656">AM530/$AF530</f>
        <v>1.303030303</v>
      </c>
      <c r="AY530" s="9">
        <f t="shared" si="1656"/>
        <v>0.5252525253</v>
      </c>
      <c r="AZ530" s="9">
        <f>VLOOKUP(A530,Jogos!A:BN,58,0)</f>
        <v>24.995</v>
      </c>
      <c r="BA530" s="9">
        <f>VLOOKUP(A530,Jogos!A:BN,59,0)</f>
        <v>20.455</v>
      </c>
      <c r="BB530" s="9">
        <f>VLOOKUP(A530,Jogos!A:BN,60,0)</f>
        <v>75</v>
      </c>
      <c r="BC530" s="9">
        <f>VLOOKUP(A530,Jogos!A:BN,61,0)</f>
        <v>23.02</v>
      </c>
      <c r="BD530" s="9">
        <f>VLOOKUP(A530,Jogos!A:BN,62,0)</f>
        <v>474</v>
      </c>
      <c r="BE530" s="9">
        <f>VLOOKUP(A530,Jogos!A:BN,63,0)</f>
        <v>2.795</v>
      </c>
      <c r="BF530" s="9">
        <f>VLOOKUP(A530,Jogos!A:BN,64,0)</f>
        <v>22.365</v>
      </c>
      <c r="BG530" s="9">
        <f>VLOOKUP(A530,Jogos!A:BN,65,0)</f>
        <v>37.84</v>
      </c>
      <c r="BH530" s="9">
        <f>VLOOKUP(A530,Jogos!A:BN,66,0)</f>
        <v>25.72</v>
      </c>
      <c r="BI530" s="9"/>
    </row>
    <row r="531" hidden="1">
      <c r="A531" s="10">
        <v>18.0</v>
      </c>
      <c r="B531" s="11" t="s">
        <v>60</v>
      </c>
      <c r="C531" s="2" t="s">
        <v>61</v>
      </c>
      <c r="D531" s="12">
        <v>45827.0</v>
      </c>
      <c r="E531" s="13">
        <v>0.625</v>
      </c>
      <c r="F531" s="5" t="str">
        <f>VLOOKUP(A531,Jogos!A:N,10,0)</f>
        <v>Afternoon</v>
      </c>
      <c r="G531" s="11" t="s">
        <v>376</v>
      </c>
      <c r="H531" s="6" t="str">
        <f>VLOOKUP(A531,Jogos!A:L,12,0)</f>
        <v>Closed</v>
      </c>
      <c r="I531" s="6" t="str">
        <f>VLOOKUP(G531,'Estádios e Cidades'!A:B,2,0)</f>
        <v>Atlanta</v>
      </c>
      <c r="J531" s="11" t="s">
        <v>251</v>
      </c>
      <c r="K531" s="2" t="str">
        <f>VLOOKUP(J531,Equipes!A:F,6,0)</f>
        <v>Temperate</v>
      </c>
      <c r="L531" s="2">
        <f>VLOOKUP(J531,Equipes!A:C,3,0)</f>
        <v>23</v>
      </c>
      <c r="M531" s="2" t="str">
        <f t="shared" si="4"/>
        <v>Group</v>
      </c>
      <c r="N531" s="11" t="s">
        <v>64</v>
      </c>
      <c r="O531" s="2">
        <f>VLOOKUP(N531,Equipes!A:C,3,0)</f>
        <v>16</v>
      </c>
      <c r="P531" s="2" t="str">
        <f t="shared" si="5"/>
        <v>Round of 16</v>
      </c>
      <c r="Q531" s="2">
        <f t="shared" si="6"/>
        <v>7</v>
      </c>
      <c r="R531" s="2" t="str">
        <f>VLOOKUP(J531,Equipes!A:B,2,0)</f>
        <v>Porto</v>
      </c>
      <c r="S531" s="6" t="s">
        <v>300</v>
      </c>
      <c r="T531" s="7">
        <v>97.0</v>
      </c>
      <c r="U531" s="7" t="s">
        <v>301</v>
      </c>
      <c r="V531" s="7" t="str">
        <f>VLOOKUP(U531,Jogadores!B:C,2,0)</f>
        <v>DF</v>
      </c>
      <c r="W531" s="8">
        <f>VLOOKUP(U531,Jogadores!B:D,3,0)</f>
        <v>28.16438356</v>
      </c>
      <c r="X531" s="7">
        <v>0.0</v>
      </c>
      <c r="Y531" s="7">
        <f t="shared" si="1657"/>
        <v>97</v>
      </c>
      <c r="Z531" s="7">
        <f>VLOOKUP(A531,Jogos!A:L,3,0)</f>
        <v>47</v>
      </c>
      <c r="AA531" s="7">
        <f t="shared" si="7"/>
        <v>47</v>
      </c>
      <c r="AB531" s="7">
        <f>VLOOKUP(A531,Jogos!A:L,4,0)</f>
        <v>52</v>
      </c>
      <c r="AC531" s="7">
        <f t="shared" si="657"/>
        <v>52</v>
      </c>
      <c r="AD531" s="7"/>
      <c r="AE531" s="7"/>
      <c r="AF531" s="7">
        <f t="shared" si="9"/>
        <v>99</v>
      </c>
      <c r="AG531" s="7">
        <v>9633.6</v>
      </c>
      <c r="AH531" s="7">
        <v>3460.7</v>
      </c>
      <c r="AI531" s="7">
        <v>4429.5</v>
      </c>
      <c r="AJ531" s="7">
        <v>1226.0</v>
      </c>
      <c r="AK531" s="7">
        <v>369.6</v>
      </c>
      <c r="AL531" s="7">
        <v>147.8</v>
      </c>
      <c r="AM531" s="7">
        <v>104.0</v>
      </c>
      <c r="AN531" s="7">
        <v>32.0</v>
      </c>
      <c r="AO531" s="7">
        <v>30.8</v>
      </c>
      <c r="AP531" s="9">
        <f t="shared" ref="AP531:AR531" si="1658">AG531/$AF531</f>
        <v>97.30909091</v>
      </c>
      <c r="AQ531" s="9">
        <f t="shared" si="1658"/>
        <v>34.95656566</v>
      </c>
      <c r="AR531" s="9">
        <f t="shared" si="1658"/>
        <v>44.74242424</v>
      </c>
      <c r="AS531" s="9">
        <f t="shared" si="11"/>
        <v>79.6989899</v>
      </c>
      <c r="AT531" s="9">
        <f t="shared" ref="AT531:AV531" si="1659">AJ531/$AF531</f>
        <v>12.38383838</v>
      </c>
      <c r="AU531" s="9">
        <f t="shared" si="1659"/>
        <v>3.733333333</v>
      </c>
      <c r="AV531" s="9">
        <f t="shared" si="1659"/>
        <v>1.492929293</v>
      </c>
      <c r="AW531" s="9">
        <f t="shared" si="13"/>
        <v>5.226262626</v>
      </c>
      <c r="AX531" s="9">
        <f t="shared" ref="AX531:AY531" si="1660">AM531/$AF531</f>
        <v>1.050505051</v>
      </c>
      <c r="AY531" s="9">
        <f t="shared" si="1660"/>
        <v>0.3232323232</v>
      </c>
      <c r="AZ531" s="9">
        <f>VLOOKUP(A531,Jogos!A:BN,58,0)</f>
        <v>24.995</v>
      </c>
      <c r="BA531" s="9">
        <f>VLOOKUP(A531,Jogos!A:BN,59,0)</f>
        <v>20.455</v>
      </c>
      <c r="BB531" s="9">
        <f>VLOOKUP(A531,Jogos!A:BN,60,0)</f>
        <v>75</v>
      </c>
      <c r="BC531" s="9">
        <f>VLOOKUP(A531,Jogos!A:BN,61,0)</f>
        <v>23.02</v>
      </c>
      <c r="BD531" s="9">
        <f>VLOOKUP(A531,Jogos!A:BN,62,0)</f>
        <v>474</v>
      </c>
      <c r="BE531" s="9">
        <f>VLOOKUP(A531,Jogos!A:BN,63,0)</f>
        <v>2.795</v>
      </c>
      <c r="BF531" s="9">
        <f>VLOOKUP(A531,Jogos!A:BN,64,0)</f>
        <v>22.365</v>
      </c>
      <c r="BG531" s="9">
        <f>VLOOKUP(A531,Jogos!A:BN,65,0)</f>
        <v>37.84</v>
      </c>
      <c r="BH531" s="9">
        <f>VLOOKUP(A531,Jogos!A:BN,66,0)</f>
        <v>25.72</v>
      </c>
      <c r="BI531" s="9"/>
    </row>
    <row r="532" hidden="1">
      <c r="A532" s="10">
        <v>18.0</v>
      </c>
      <c r="B532" s="11" t="s">
        <v>60</v>
      </c>
      <c r="C532" s="2" t="s">
        <v>61</v>
      </c>
      <c r="D532" s="12">
        <v>45827.0</v>
      </c>
      <c r="E532" s="13">
        <v>0.625</v>
      </c>
      <c r="F532" s="5" t="str">
        <f>VLOOKUP(A532,Jogos!A:N,10,0)</f>
        <v>Afternoon</v>
      </c>
      <c r="G532" s="11" t="s">
        <v>376</v>
      </c>
      <c r="H532" s="6" t="str">
        <f>VLOOKUP(A532,Jogos!A:L,12,0)</f>
        <v>Closed</v>
      </c>
      <c r="I532" s="6" t="str">
        <f>VLOOKUP(G532,'Estádios e Cidades'!A:B,2,0)</f>
        <v>Atlanta</v>
      </c>
      <c r="J532" s="11" t="s">
        <v>251</v>
      </c>
      <c r="K532" s="2" t="str">
        <f>VLOOKUP(J532,Equipes!A:F,6,0)</f>
        <v>Temperate</v>
      </c>
      <c r="L532" s="2">
        <f>VLOOKUP(J532,Equipes!A:C,3,0)</f>
        <v>23</v>
      </c>
      <c r="M532" s="2" t="str">
        <f t="shared" si="4"/>
        <v>Group</v>
      </c>
      <c r="N532" s="11" t="s">
        <v>64</v>
      </c>
      <c r="O532" s="2">
        <f>VLOOKUP(N532,Equipes!A:C,3,0)</f>
        <v>16</v>
      </c>
      <c r="P532" s="2" t="str">
        <f t="shared" si="5"/>
        <v>Round of 16</v>
      </c>
      <c r="Q532" s="2">
        <f t="shared" si="6"/>
        <v>7</v>
      </c>
      <c r="R532" s="2" t="str">
        <f>VLOOKUP(J532,Equipes!A:B,2,0)</f>
        <v>Porto</v>
      </c>
      <c r="S532" s="6" t="s">
        <v>1074</v>
      </c>
      <c r="T532" s="7">
        <v>4.0</v>
      </c>
      <c r="U532" s="7" t="s">
        <v>1075</v>
      </c>
      <c r="V532" s="7" t="str">
        <f>VLOOKUP(U532,Jogadores!B:C,2,0)</f>
        <v>DF</v>
      </c>
      <c r="W532" s="8">
        <f>VLOOKUP(U532,Jogadores!B:D,3,0)</f>
        <v>30.48493151</v>
      </c>
      <c r="X532" s="7">
        <v>87.0</v>
      </c>
      <c r="Y532" s="7">
        <f t="shared" si="1657"/>
        <v>97</v>
      </c>
      <c r="Z532" s="7">
        <f>VLOOKUP(A532,Jogos!A:L,3,0)</f>
        <v>47</v>
      </c>
      <c r="AA532" s="7">
        <f t="shared" si="7"/>
        <v>0</v>
      </c>
      <c r="AB532" s="7">
        <f>VLOOKUP(A532,Jogos!A:L,4,0)</f>
        <v>52</v>
      </c>
      <c r="AC532" s="7">
        <f t="shared" si="657"/>
        <v>10</v>
      </c>
      <c r="AD532" s="7"/>
      <c r="AE532" s="7"/>
      <c r="AF532" s="7">
        <f t="shared" si="9"/>
        <v>10</v>
      </c>
      <c r="AG532" s="7">
        <v>1336.5</v>
      </c>
      <c r="AH532" s="7">
        <v>369.2</v>
      </c>
      <c r="AI532" s="7">
        <v>541.4</v>
      </c>
      <c r="AJ532" s="7">
        <v>255.6</v>
      </c>
      <c r="AK532" s="7">
        <v>88.0</v>
      </c>
      <c r="AL532" s="7">
        <v>82.3</v>
      </c>
      <c r="AM532" s="7">
        <v>24.0</v>
      </c>
      <c r="AN532" s="7">
        <v>10.0</v>
      </c>
      <c r="AO532" s="7">
        <v>32.9</v>
      </c>
      <c r="AP532" s="9">
        <f t="shared" ref="AP532:AR532" si="1661">AG532/$AF532</f>
        <v>133.65</v>
      </c>
      <c r="AQ532" s="9">
        <f t="shared" si="1661"/>
        <v>36.92</v>
      </c>
      <c r="AR532" s="9">
        <f t="shared" si="1661"/>
        <v>54.14</v>
      </c>
      <c r="AS532" s="9">
        <f t="shared" si="11"/>
        <v>91.06</v>
      </c>
      <c r="AT532" s="9">
        <f t="shared" ref="AT532:AV532" si="1662">AJ532/$AF532</f>
        <v>25.56</v>
      </c>
      <c r="AU532" s="9">
        <f t="shared" si="1662"/>
        <v>8.8</v>
      </c>
      <c r="AV532" s="9">
        <f t="shared" si="1662"/>
        <v>8.23</v>
      </c>
      <c r="AW532" s="9">
        <f t="shared" si="13"/>
        <v>17.03</v>
      </c>
      <c r="AX532" s="9">
        <f t="shared" ref="AX532:AY532" si="1663">AM532/$AF532</f>
        <v>2.4</v>
      </c>
      <c r="AY532" s="9">
        <f t="shared" si="1663"/>
        <v>1</v>
      </c>
      <c r="AZ532" s="9">
        <f>VLOOKUP(A532,Jogos!A:BN,58,0)</f>
        <v>24.995</v>
      </c>
      <c r="BA532" s="9">
        <f>VLOOKUP(A532,Jogos!A:BN,59,0)</f>
        <v>20.455</v>
      </c>
      <c r="BB532" s="9">
        <f>VLOOKUP(A532,Jogos!A:BN,60,0)</f>
        <v>75</v>
      </c>
      <c r="BC532" s="9">
        <f>VLOOKUP(A532,Jogos!A:BN,61,0)</f>
        <v>23.02</v>
      </c>
      <c r="BD532" s="9">
        <f>VLOOKUP(A532,Jogos!A:BN,62,0)</f>
        <v>474</v>
      </c>
      <c r="BE532" s="9">
        <f>VLOOKUP(A532,Jogos!A:BN,63,0)</f>
        <v>2.795</v>
      </c>
      <c r="BF532" s="9">
        <f>VLOOKUP(A532,Jogos!A:BN,64,0)</f>
        <v>22.365</v>
      </c>
      <c r="BG532" s="9">
        <f>VLOOKUP(A532,Jogos!A:BN,65,0)</f>
        <v>37.84</v>
      </c>
      <c r="BH532" s="9">
        <f>VLOOKUP(A532,Jogos!A:BN,66,0)</f>
        <v>25.72</v>
      </c>
      <c r="BI532" s="9"/>
    </row>
    <row r="533" hidden="1">
      <c r="A533" s="10">
        <v>18.0</v>
      </c>
      <c r="B533" s="11" t="s">
        <v>60</v>
      </c>
      <c r="C533" s="2" t="s">
        <v>61</v>
      </c>
      <c r="D533" s="12">
        <v>45827.0</v>
      </c>
      <c r="E533" s="13">
        <v>0.625</v>
      </c>
      <c r="F533" s="5" t="str">
        <f>VLOOKUP(A533,Jogos!A:N,10,0)</f>
        <v>Afternoon</v>
      </c>
      <c r="G533" s="11" t="s">
        <v>376</v>
      </c>
      <c r="H533" s="6" t="str">
        <f>VLOOKUP(A533,Jogos!A:L,12,0)</f>
        <v>Closed</v>
      </c>
      <c r="I533" s="6" t="str">
        <f>VLOOKUP(G533,'Estádios e Cidades'!A:B,2,0)</f>
        <v>Atlanta</v>
      </c>
      <c r="J533" s="11" t="s">
        <v>251</v>
      </c>
      <c r="K533" s="2" t="str">
        <f>VLOOKUP(J533,Equipes!A:F,6,0)</f>
        <v>Temperate</v>
      </c>
      <c r="L533" s="2">
        <f>VLOOKUP(J533,Equipes!A:C,3,0)</f>
        <v>23</v>
      </c>
      <c r="M533" s="2" t="str">
        <f t="shared" si="4"/>
        <v>Group</v>
      </c>
      <c r="N533" s="11" t="s">
        <v>64</v>
      </c>
      <c r="O533" s="2">
        <f>VLOOKUP(N533,Equipes!A:C,3,0)</f>
        <v>16</v>
      </c>
      <c r="P533" s="2" t="str">
        <f t="shared" si="5"/>
        <v>Round of 16</v>
      </c>
      <c r="Q533" s="2">
        <f t="shared" si="6"/>
        <v>7</v>
      </c>
      <c r="R533" s="2" t="str">
        <f>VLOOKUP(J533,Equipes!A:B,2,0)</f>
        <v>Porto</v>
      </c>
      <c r="S533" s="6" t="s">
        <v>302</v>
      </c>
      <c r="T533" s="7">
        <v>6.0</v>
      </c>
      <c r="U533" s="7" t="s">
        <v>303</v>
      </c>
      <c r="V533" s="7" t="str">
        <f>VLOOKUP(U533,Jogadores!B:C,2,0)</f>
        <v>MF</v>
      </c>
      <c r="W533" s="8">
        <f>VLOOKUP(U533,Jogadores!B:D,3,0)</f>
        <v>28.61917808</v>
      </c>
      <c r="X533" s="7">
        <v>59.0</v>
      </c>
      <c r="Y533" s="7">
        <f t="shared" si="1657"/>
        <v>97</v>
      </c>
      <c r="Z533" s="7">
        <f>VLOOKUP(A533,Jogos!A:L,3,0)</f>
        <v>47</v>
      </c>
      <c r="AA533" s="7">
        <f t="shared" si="7"/>
        <v>0</v>
      </c>
      <c r="AB533" s="7">
        <f>VLOOKUP(A533,Jogos!A:L,4,0)</f>
        <v>52</v>
      </c>
      <c r="AC533" s="7">
        <f t="shared" si="657"/>
        <v>38</v>
      </c>
      <c r="AD533" s="7"/>
      <c r="AE533" s="7"/>
      <c r="AF533" s="7">
        <f t="shared" si="9"/>
        <v>38</v>
      </c>
      <c r="AG533" s="7">
        <v>4844.0</v>
      </c>
      <c r="AH533" s="7">
        <v>1718.2</v>
      </c>
      <c r="AI533" s="7">
        <v>1643.5</v>
      </c>
      <c r="AJ533" s="7">
        <v>1077.3</v>
      </c>
      <c r="AK533" s="7">
        <v>387.1</v>
      </c>
      <c r="AL533" s="7">
        <v>18.0</v>
      </c>
      <c r="AM533" s="7">
        <v>82.0</v>
      </c>
      <c r="AN533" s="7">
        <v>26.0</v>
      </c>
      <c r="AO533" s="7">
        <v>27.8</v>
      </c>
      <c r="AP533" s="9">
        <f t="shared" ref="AP533:AR533" si="1664">AG533/$AF533</f>
        <v>127.4736842</v>
      </c>
      <c r="AQ533" s="9">
        <f t="shared" si="1664"/>
        <v>45.21578947</v>
      </c>
      <c r="AR533" s="9">
        <f t="shared" si="1664"/>
        <v>43.25</v>
      </c>
      <c r="AS533" s="9">
        <f t="shared" si="11"/>
        <v>88.46578947</v>
      </c>
      <c r="AT533" s="9">
        <f t="shared" ref="AT533:AV533" si="1665">AJ533/$AF533</f>
        <v>28.35</v>
      </c>
      <c r="AU533" s="9">
        <f t="shared" si="1665"/>
        <v>10.18684211</v>
      </c>
      <c r="AV533" s="9">
        <f t="shared" si="1665"/>
        <v>0.4736842105</v>
      </c>
      <c r="AW533" s="9">
        <f t="shared" si="13"/>
        <v>10.66052632</v>
      </c>
      <c r="AX533" s="9">
        <f t="shared" ref="AX533:AY533" si="1666">AM533/$AF533</f>
        <v>2.157894737</v>
      </c>
      <c r="AY533" s="9">
        <f t="shared" si="1666"/>
        <v>0.6842105263</v>
      </c>
      <c r="AZ533" s="9">
        <f>VLOOKUP(A533,Jogos!A:BN,58,0)</f>
        <v>24.995</v>
      </c>
      <c r="BA533" s="9">
        <f>VLOOKUP(A533,Jogos!A:BN,59,0)</f>
        <v>20.455</v>
      </c>
      <c r="BB533" s="9">
        <f>VLOOKUP(A533,Jogos!A:BN,60,0)</f>
        <v>75</v>
      </c>
      <c r="BC533" s="9">
        <f>VLOOKUP(A533,Jogos!A:BN,61,0)</f>
        <v>23.02</v>
      </c>
      <c r="BD533" s="9">
        <f>VLOOKUP(A533,Jogos!A:BN,62,0)</f>
        <v>474</v>
      </c>
      <c r="BE533" s="9">
        <f>VLOOKUP(A533,Jogos!A:BN,63,0)</f>
        <v>2.795</v>
      </c>
      <c r="BF533" s="9">
        <f>VLOOKUP(A533,Jogos!A:BN,64,0)</f>
        <v>22.365</v>
      </c>
      <c r="BG533" s="9">
        <f>VLOOKUP(A533,Jogos!A:BN,65,0)</f>
        <v>37.84</v>
      </c>
      <c r="BH533" s="9">
        <f>VLOOKUP(A533,Jogos!A:BN,66,0)</f>
        <v>25.72</v>
      </c>
      <c r="BI533" s="9"/>
    </row>
    <row r="534" hidden="1">
      <c r="A534" s="10">
        <v>18.0</v>
      </c>
      <c r="B534" s="11" t="s">
        <v>60</v>
      </c>
      <c r="C534" s="2" t="s">
        <v>61</v>
      </c>
      <c r="D534" s="12">
        <v>45827.0</v>
      </c>
      <c r="E534" s="13">
        <v>0.625</v>
      </c>
      <c r="F534" s="5" t="str">
        <f>VLOOKUP(A534,Jogos!A:N,10,0)</f>
        <v>Afternoon</v>
      </c>
      <c r="G534" s="11" t="s">
        <v>376</v>
      </c>
      <c r="H534" s="6" t="str">
        <f>VLOOKUP(A534,Jogos!A:L,12,0)</f>
        <v>Closed</v>
      </c>
      <c r="I534" s="6" t="str">
        <f>VLOOKUP(G534,'Estádios e Cidades'!A:B,2,0)</f>
        <v>Atlanta</v>
      </c>
      <c r="J534" s="11" t="s">
        <v>251</v>
      </c>
      <c r="K534" s="2" t="str">
        <f>VLOOKUP(J534,Equipes!A:F,6,0)</f>
        <v>Temperate</v>
      </c>
      <c r="L534" s="2">
        <f>VLOOKUP(J534,Equipes!A:C,3,0)</f>
        <v>23</v>
      </c>
      <c r="M534" s="2" t="str">
        <f t="shared" si="4"/>
        <v>Group</v>
      </c>
      <c r="N534" s="11" t="s">
        <v>64</v>
      </c>
      <c r="O534" s="2">
        <f>VLOOKUP(N534,Equipes!A:C,3,0)</f>
        <v>16</v>
      </c>
      <c r="P534" s="2" t="str">
        <f t="shared" si="5"/>
        <v>Round of 16</v>
      </c>
      <c r="Q534" s="2">
        <f t="shared" si="6"/>
        <v>7</v>
      </c>
      <c r="R534" s="2" t="str">
        <f>VLOOKUP(J534,Equipes!A:B,2,0)</f>
        <v>Porto</v>
      </c>
      <c r="S534" s="6" t="s">
        <v>1076</v>
      </c>
      <c r="T534" s="7">
        <v>7.0</v>
      </c>
      <c r="U534" s="7" t="s">
        <v>1077</v>
      </c>
      <c r="V534" s="7" t="str">
        <f>VLOOKUP(U534,Jogadores!B:C,2,0)</f>
        <v>FW</v>
      </c>
      <c r="W534" s="8">
        <f>VLOOKUP(U534,Jogadores!B:D,3,0)</f>
        <v>19.38356164</v>
      </c>
      <c r="X534" s="7">
        <v>74.0</v>
      </c>
      <c r="Y534" s="7">
        <f t="shared" si="1657"/>
        <v>97</v>
      </c>
      <c r="Z534" s="7">
        <f>VLOOKUP(A534,Jogos!A:L,3,0)</f>
        <v>47</v>
      </c>
      <c r="AA534" s="7">
        <f t="shared" si="7"/>
        <v>0</v>
      </c>
      <c r="AB534" s="7">
        <f>VLOOKUP(A534,Jogos!A:L,4,0)</f>
        <v>52</v>
      </c>
      <c r="AC534" s="7">
        <f t="shared" si="657"/>
        <v>23</v>
      </c>
      <c r="AD534" s="7"/>
      <c r="AE534" s="7"/>
      <c r="AF534" s="7">
        <f t="shared" si="9"/>
        <v>23</v>
      </c>
      <c r="AG534" s="7">
        <v>2408.6</v>
      </c>
      <c r="AH534" s="7">
        <v>863.6</v>
      </c>
      <c r="AI534" s="7">
        <v>927.8</v>
      </c>
      <c r="AJ534" s="7">
        <v>335.9</v>
      </c>
      <c r="AK534" s="7">
        <v>163.0</v>
      </c>
      <c r="AL534" s="7">
        <v>118.2</v>
      </c>
      <c r="AM534" s="7">
        <v>27.0</v>
      </c>
      <c r="AN534" s="7">
        <v>15.0</v>
      </c>
      <c r="AO534" s="7">
        <v>32.6</v>
      </c>
      <c r="AP534" s="9">
        <f t="shared" ref="AP534:AR534" si="1667">AG534/$AF534</f>
        <v>104.7217391</v>
      </c>
      <c r="AQ534" s="9">
        <f t="shared" si="1667"/>
        <v>37.54782609</v>
      </c>
      <c r="AR534" s="9">
        <f t="shared" si="1667"/>
        <v>40.33913043</v>
      </c>
      <c r="AS534" s="9">
        <f t="shared" si="11"/>
        <v>77.88695652</v>
      </c>
      <c r="AT534" s="9">
        <f t="shared" ref="AT534:AV534" si="1668">AJ534/$AF534</f>
        <v>14.60434783</v>
      </c>
      <c r="AU534" s="9">
        <f t="shared" si="1668"/>
        <v>7.086956522</v>
      </c>
      <c r="AV534" s="9">
        <f t="shared" si="1668"/>
        <v>5.139130435</v>
      </c>
      <c r="AW534" s="9">
        <f t="shared" si="13"/>
        <v>12.22608696</v>
      </c>
      <c r="AX534" s="9">
        <f t="shared" ref="AX534:AY534" si="1669">AM534/$AF534</f>
        <v>1.173913043</v>
      </c>
      <c r="AY534" s="9">
        <f t="shared" si="1669"/>
        <v>0.652173913</v>
      </c>
      <c r="AZ534" s="9">
        <f>VLOOKUP(A534,Jogos!A:BN,58,0)</f>
        <v>24.995</v>
      </c>
      <c r="BA534" s="9">
        <f>VLOOKUP(A534,Jogos!A:BN,59,0)</f>
        <v>20.455</v>
      </c>
      <c r="BB534" s="9">
        <f>VLOOKUP(A534,Jogos!A:BN,60,0)</f>
        <v>75</v>
      </c>
      <c r="BC534" s="9">
        <f>VLOOKUP(A534,Jogos!A:BN,61,0)</f>
        <v>23.02</v>
      </c>
      <c r="BD534" s="9">
        <f>VLOOKUP(A534,Jogos!A:BN,62,0)</f>
        <v>474</v>
      </c>
      <c r="BE534" s="9">
        <f>VLOOKUP(A534,Jogos!A:BN,63,0)</f>
        <v>2.795</v>
      </c>
      <c r="BF534" s="9">
        <f>VLOOKUP(A534,Jogos!A:BN,64,0)</f>
        <v>22.365</v>
      </c>
      <c r="BG534" s="9">
        <f>VLOOKUP(A534,Jogos!A:BN,65,0)</f>
        <v>37.84</v>
      </c>
      <c r="BH534" s="9">
        <f>VLOOKUP(A534,Jogos!A:BN,66,0)</f>
        <v>25.72</v>
      </c>
      <c r="BI534" s="9"/>
    </row>
    <row r="535" hidden="1">
      <c r="A535" s="10">
        <v>18.0</v>
      </c>
      <c r="B535" s="11" t="s">
        <v>60</v>
      </c>
      <c r="C535" s="2" t="s">
        <v>61</v>
      </c>
      <c r="D535" s="12">
        <v>45827.0</v>
      </c>
      <c r="E535" s="13">
        <v>0.625</v>
      </c>
      <c r="F535" s="5" t="str">
        <f>VLOOKUP(A535,Jogos!A:N,10,0)</f>
        <v>Afternoon</v>
      </c>
      <c r="G535" s="11" t="s">
        <v>376</v>
      </c>
      <c r="H535" s="6" t="str">
        <f>VLOOKUP(A535,Jogos!A:L,12,0)</f>
        <v>Closed</v>
      </c>
      <c r="I535" s="6" t="str">
        <f>VLOOKUP(G535,'Estádios e Cidades'!A:B,2,0)</f>
        <v>Atlanta</v>
      </c>
      <c r="J535" s="11" t="s">
        <v>251</v>
      </c>
      <c r="K535" s="2" t="str">
        <f>VLOOKUP(J535,Equipes!A:F,6,0)</f>
        <v>Temperate</v>
      </c>
      <c r="L535" s="2">
        <f>VLOOKUP(J535,Equipes!A:C,3,0)</f>
        <v>23</v>
      </c>
      <c r="M535" s="2" t="str">
        <f t="shared" si="4"/>
        <v>Group</v>
      </c>
      <c r="N535" s="11" t="s">
        <v>64</v>
      </c>
      <c r="O535" s="2">
        <f>VLOOKUP(N535,Equipes!A:C,3,0)</f>
        <v>16</v>
      </c>
      <c r="P535" s="2" t="str">
        <f t="shared" si="5"/>
        <v>Round of 16</v>
      </c>
      <c r="Q535" s="2">
        <f t="shared" si="6"/>
        <v>7</v>
      </c>
      <c r="R535" s="2" t="str">
        <f>VLOOKUP(J535,Equipes!A:B,2,0)</f>
        <v>Porto</v>
      </c>
      <c r="S535" s="6" t="s">
        <v>1078</v>
      </c>
      <c r="T535" s="7">
        <v>27.0</v>
      </c>
      <c r="U535" s="7" t="s">
        <v>1079</v>
      </c>
      <c r="V535" s="7" t="str">
        <f>VLOOKUP(U535,Jogadores!B:C,2,0)</f>
        <v>FW</v>
      </c>
      <c r="W535" s="8">
        <f>VLOOKUP(U535,Jogadores!B:D,3,0)</f>
        <v>21.08493151</v>
      </c>
      <c r="X535" s="7">
        <v>87.0</v>
      </c>
      <c r="Y535" s="7">
        <f t="shared" si="1657"/>
        <v>97</v>
      </c>
      <c r="Z535" s="7">
        <f>VLOOKUP(A535,Jogos!A:L,3,0)</f>
        <v>47</v>
      </c>
      <c r="AA535" s="7">
        <f t="shared" si="7"/>
        <v>0</v>
      </c>
      <c r="AB535" s="7">
        <f>VLOOKUP(A535,Jogos!A:L,4,0)</f>
        <v>52</v>
      </c>
      <c r="AC535" s="7">
        <f t="shared" si="657"/>
        <v>10</v>
      </c>
      <c r="AD535" s="7"/>
      <c r="AE535" s="7"/>
      <c r="AF535" s="7">
        <f t="shared" si="9"/>
        <v>10</v>
      </c>
      <c r="AG535" s="7">
        <v>1184.4</v>
      </c>
      <c r="AH535" s="7">
        <v>467.2</v>
      </c>
      <c r="AI535" s="7">
        <v>467.3</v>
      </c>
      <c r="AJ535" s="7">
        <v>159.6</v>
      </c>
      <c r="AK535" s="7">
        <v>51.0</v>
      </c>
      <c r="AL535" s="7">
        <v>39.2</v>
      </c>
      <c r="AM535" s="7">
        <v>13.0</v>
      </c>
      <c r="AN535" s="7">
        <v>3.0</v>
      </c>
      <c r="AO535" s="7">
        <v>30.6</v>
      </c>
      <c r="AP535" s="9">
        <f t="shared" ref="AP535:AR535" si="1670">AG535/$AF535</f>
        <v>118.44</v>
      </c>
      <c r="AQ535" s="9">
        <f t="shared" si="1670"/>
        <v>46.72</v>
      </c>
      <c r="AR535" s="9">
        <f t="shared" si="1670"/>
        <v>46.73</v>
      </c>
      <c r="AS535" s="9">
        <f t="shared" si="11"/>
        <v>93.45</v>
      </c>
      <c r="AT535" s="9">
        <f t="shared" ref="AT535:AV535" si="1671">AJ535/$AF535</f>
        <v>15.96</v>
      </c>
      <c r="AU535" s="9">
        <f t="shared" si="1671"/>
        <v>5.1</v>
      </c>
      <c r="AV535" s="9">
        <f t="shared" si="1671"/>
        <v>3.92</v>
      </c>
      <c r="AW535" s="9">
        <f t="shared" si="13"/>
        <v>9.02</v>
      </c>
      <c r="AX535" s="9">
        <f t="shared" ref="AX535:AY535" si="1672">AM535/$AF535</f>
        <v>1.3</v>
      </c>
      <c r="AY535" s="9">
        <f t="shared" si="1672"/>
        <v>0.3</v>
      </c>
      <c r="AZ535" s="9">
        <f>VLOOKUP(A535,Jogos!A:BN,58,0)</f>
        <v>24.995</v>
      </c>
      <c r="BA535" s="9">
        <f>VLOOKUP(A535,Jogos!A:BN,59,0)</f>
        <v>20.455</v>
      </c>
      <c r="BB535" s="9">
        <f>VLOOKUP(A535,Jogos!A:BN,60,0)</f>
        <v>75</v>
      </c>
      <c r="BC535" s="9">
        <f>VLOOKUP(A535,Jogos!A:BN,61,0)</f>
        <v>23.02</v>
      </c>
      <c r="BD535" s="9">
        <f>VLOOKUP(A535,Jogos!A:BN,62,0)</f>
        <v>474</v>
      </c>
      <c r="BE535" s="9">
        <f>VLOOKUP(A535,Jogos!A:BN,63,0)</f>
        <v>2.795</v>
      </c>
      <c r="BF535" s="9">
        <f>VLOOKUP(A535,Jogos!A:BN,64,0)</f>
        <v>22.365</v>
      </c>
      <c r="BG535" s="9">
        <f>VLOOKUP(A535,Jogos!A:BN,65,0)</f>
        <v>37.84</v>
      </c>
      <c r="BH535" s="9">
        <f>VLOOKUP(A535,Jogos!A:BN,66,0)</f>
        <v>25.72</v>
      </c>
      <c r="BI535" s="9"/>
    </row>
    <row r="536" hidden="1">
      <c r="A536" s="10">
        <v>18.0</v>
      </c>
      <c r="B536" s="11" t="s">
        <v>60</v>
      </c>
      <c r="C536" s="2" t="s">
        <v>61</v>
      </c>
      <c r="D536" s="12">
        <v>45827.0</v>
      </c>
      <c r="E536" s="13">
        <v>0.625</v>
      </c>
      <c r="F536" s="5" t="str">
        <f>VLOOKUP(A536,Jogos!A:N,10,0)</f>
        <v>Afternoon</v>
      </c>
      <c r="G536" s="11" t="s">
        <v>376</v>
      </c>
      <c r="H536" s="6" t="str">
        <f>VLOOKUP(A536,Jogos!A:L,12,0)</f>
        <v>Closed</v>
      </c>
      <c r="I536" s="6" t="str">
        <f>VLOOKUP(G536,'Estádios e Cidades'!A:B,2,0)</f>
        <v>Atlanta</v>
      </c>
      <c r="J536" s="11" t="s">
        <v>251</v>
      </c>
      <c r="K536" s="2" t="str">
        <f>VLOOKUP(J536,Equipes!A:F,6,0)</f>
        <v>Temperate</v>
      </c>
      <c r="L536" s="2">
        <f>VLOOKUP(J536,Equipes!A:C,3,0)</f>
        <v>23</v>
      </c>
      <c r="M536" s="2" t="str">
        <f t="shared" si="4"/>
        <v>Group</v>
      </c>
      <c r="N536" s="11" t="s">
        <v>64</v>
      </c>
      <c r="O536" s="2">
        <f>VLOOKUP(N536,Equipes!A:C,3,0)</f>
        <v>16</v>
      </c>
      <c r="P536" s="2" t="str">
        <f t="shared" si="5"/>
        <v>Round of 16</v>
      </c>
      <c r="Q536" s="2">
        <f t="shared" si="6"/>
        <v>7</v>
      </c>
      <c r="R536" s="2" t="str">
        <f>VLOOKUP(J536,Equipes!A:B,2,0)</f>
        <v>Porto</v>
      </c>
      <c r="S536" s="6" t="s">
        <v>1080</v>
      </c>
      <c r="T536" s="7">
        <v>70.0</v>
      </c>
      <c r="U536" s="7" t="s">
        <v>1081</v>
      </c>
      <c r="V536" s="7" t="str">
        <f>VLOOKUP(U536,Jogadores!B:C,2,0)</f>
        <v>FW</v>
      </c>
      <c r="W536" s="8">
        <f>VLOOKUP(U536,Jogadores!B:D,3,0)</f>
        <v>24.34794521</v>
      </c>
      <c r="X536" s="7">
        <v>59.0</v>
      </c>
      <c r="Y536" s="7">
        <f t="shared" si="1657"/>
        <v>97</v>
      </c>
      <c r="Z536" s="7">
        <f>VLOOKUP(A536,Jogos!A:L,3,0)</f>
        <v>47</v>
      </c>
      <c r="AA536" s="7">
        <f t="shared" si="7"/>
        <v>0</v>
      </c>
      <c r="AB536" s="7">
        <f>VLOOKUP(A536,Jogos!A:L,4,0)</f>
        <v>52</v>
      </c>
      <c r="AC536" s="7">
        <f t="shared" si="657"/>
        <v>38</v>
      </c>
      <c r="AD536" s="7"/>
      <c r="AE536" s="7"/>
      <c r="AF536" s="7">
        <f t="shared" si="9"/>
        <v>38</v>
      </c>
      <c r="AG536" s="7">
        <v>3802.0</v>
      </c>
      <c r="AH536" s="7">
        <v>1723.7</v>
      </c>
      <c r="AI536" s="7">
        <v>1484.9</v>
      </c>
      <c r="AJ536" s="7">
        <v>373.7</v>
      </c>
      <c r="AK536" s="7">
        <v>152.4</v>
      </c>
      <c r="AL536" s="7">
        <v>67.3</v>
      </c>
      <c r="AM536" s="7">
        <v>29.0</v>
      </c>
      <c r="AN536" s="7">
        <v>13.0</v>
      </c>
      <c r="AO536" s="7">
        <v>34.7</v>
      </c>
      <c r="AP536" s="9">
        <f t="shared" ref="AP536:AR536" si="1673">AG536/$AF536</f>
        <v>100.0526316</v>
      </c>
      <c r="AQ536" s="9">
        <f t="shared" si="1673"/>
        <v>45.36052632</v>
      </c>
      <c r="AR536" s="9">
        <f t="shared" si="1673"/>
        <v>39.07631579</v>
      </c>
      <c r="AS536" s="9">
        <f t="shared" si="11"/>
        <v>84.43684211</v>
      </c>
      <c r="AT536" s="9">
        <f t="shared" ref="AT536:AV536" si="1674">AJ536/$AF536</f>
        <v>9.834210526</v>
      </c>
      <c r="AU536" s="9">
        <f t="shared" si="1674"/>
        <v>4.010526316</v>
      </c>
      <c r="AV536" s="9">
        <f t="shared" si="1674"/>
        <v>1.771052632</v>
      </c>
      <c r="AW536" s="9">
        <f t="shared" si="13"/>
        <v>5.781578947</v>
      </c>
      <c r="AX536" s="9">
        <f t="shared" ref="AX536:AY536" si="1675">AM536/$AF536</f>
        <v>0.7631578947</v>
      </c>
      <c r="AY536" s="9">
        <f t="shared" si="1675"/>
        <v>0.3421052632</v>
      </c>
      <c r="AZ536" s="9">
        <f>VLOOKUP(A536,Jogos!A:BN,58,0)</f>
        <v>24.995</v>
      </c>
      <c r="BA536" s="9">
        <f>VLOOKUP(A536,Jogos!A:BN,59,0)</f>
        <v>20.455</v>
      </c>
      <c r="BB536" s="9">
        <f>VLOOKUP(A536,Jogos!A:BN,60,0)</f>
        <v>75</v>
      </c>
      <c r="BC536" s="9">
        <f>VLOOKUP(A536,Jogos!A:BN,61,0)</f>
        <v>23.02</v>
      </c>
      <c r="BD536" s="9">
        <f>VLOOKUP(A536,Jogos!A:BN,62,0)</f>
        <v>474</v>
      </c>
      <c r="BE536" s="9">
        <f>VLOOKUP(A536,Jogos!A:BN,63,0)</f>
        <v>2.795</v>
      </c>
      <c r="BF536" s="9">
        <f>VLOOKUP(A536,Jogos!A:BN,64,0)</f>
        <v>22.365</v>
      </c>
      <c r="BG536" s="9">
        <f>VLOOKUP(A536,Jogos!A:BN,65,0)</f>
        <v>37.84</v>
      </c>
      <c r="BH536" s="9">
        <f>VLOOKUP(A536,Jogos!A:BN,66,0)</f>
        <v>25.72</v>
      </c>
      <c r="BI536" s="9"/>
    </row>
    <row r="537" hidden="1">
      <c r="A537" s="2">
        <v>19.0</v>
      </c>
      <c r="B537" s="11" t="s">
        <v>185</v>
      </c>
      <c r="C537" s="2" t="s">
        <v>61</v>
      </c>
      <c r="D537" s="3">
        <v>45827.0</v>
      </c>
      <c r="E537" s="4">
        <v>0.625</v>
      </c>
      <c r="F537" s="5" t="str">
        <f>VLOOKUP(A537,Jogos!A:N,10,0)</f>
        <v>Afternoon</v>
      </c>
      <c r="G537" s="2" t="s">
        <v>312</v>
      </c>
      <c r="H537" s="6" t="str">
        <f>VLOOKUP(A537,Jogos!A:L,12,0)</f>
        <v>Open</v>
      </c>
      <c r="I537" s="6" t="str">
        <f>VLOOKUP(G537,'Estádios e Cidades'!A:B,2,0)</f>
        <v>Seatte</v>
      </c>
      <c r="J537" s="2" t="s">
        <v>314</v>
      </c>
      <c r="K537" s="2" t="str">
        <f>VLOOKUP(J537,Equipes!A:F,6,0)</f>
        <v>Temperate</v>
      </c>
      <c r="L537" s="2">
        <f>VLOOKUP(J537,Equipes!A:C,3,0)</f>
        <v>29</v>
      </c>
      <c r="M537" s="2" t="str">
        <f t="shared" si="4"/>
        <v>Group</v>
      </c>
      <c r="N537" s="2" t="s">
        <v>188</v>
      </c>
      <c r="O537" s="2">
        <f>VLOOKUP(N537,Equipes!A:C,3,0)</f>
        <v>17</v>
      </c>
      <c r="P537" s="2" t="str">
        <f t="shared" si="5"/>
        <v>Group</v>
      </c>
      <c r="Q537" s="2">
        <f t="shared" si="6"/>
        <v>12</v>
      </c>
      <c r="R537" s="2" t="str">
        <f>VLOOKUP(J537,Equipes!A:B,2,0)</f>
        <v>Seattle</v>
      </c>
      <c r="S537" s="6" t="s">
        <v>347</v>
      </c>
      <c r="T537" s="7">
        <v>7.0</v>
      </c>
      <c r="U537" s="7" t="s">
        <v>348</v>
      </c>
      <c r="V537" s="7" t="str">
        <f>VLOOKUP(U537,Jogadores!B:C,2,0)</f>
        <v>MF</v>
      </c>
      <c r="W537" s="8">
        <f>VLOOKUP(U537,Jogadores!B:D,3,0)</f>
        <v>30.17260274</v>
      </c>
      <c r="X537" s="7">
        <v>0.0</v>
      </c>
      <c r="Y537" s="7">
        <f t="shared" si="1657"/>
        <v>95</v>
      </c>
      <c r="Z537" s="7">
        <f>VLOOKUP(A537,Jogos!A:L,3,0)</f>
        <v>48</v>
      </c>
      <c r="AA537" s="7">
        <f t="shared" si="7"/>
        <v>48</v>
      </c>
      <c r="AB537" s="7">
        <f>VLOOKUP(A537,Jogos!A:L,4,0)</f>
        <v>50</v>
      </c>
      <c r="AC537" s="7">
        <f t="shared" si="657"/>
        <v>50</v>
      </c>
      <c r="AD537" s="7"/>
      <c r="AE537" s="7"/>
      <c r="AF537" s="7">
        <f t="shared" si="9"/>
        <v>98</v>
      </c>
      <c r="AG537" s="7">
        <v>11452.8</v>
      </c>
      <c r="AH537" s="7">
        <v>3103.1</v>
      </c>
      <c r="AI537" s="7">
        <v>5904.8</v>
      </c>
      <c r="AJ537" s="7">
        <v>1628.6</v>
      </c>
      <c r="AK537" s="7">
        <v>562.0</v>
      </c>
      <c r="AL537" s="7">
        <v>254.4</v>
      </c>
      <c r="AM537" s="7">
        <v>133.0</v>
      </c>
      <c r="AN537" s="7">
        <v>40.0</v>
      </c>
      <c r="AO537" s="7">
        <v>33.8</v>
      </c>
      <c r="AP537" s="9">
        <f t="shared" ref="AP537:AR537" si="1676">AG537/$AF537</f>
        <v>116.8653061</v>
      </c>
      <c r="AQ537" s="9">
        <f t="shared" si="1676"/>
        <v>31.66428571</v>
      </c>
      <c r="AR537" s="9">
        <f t="shared" si="1676"/>
        <v>60.25306122</v>
      </c>
      <c r="AS537" s="9">
        <f t="shared" si="11"/>
        <v>91.91734694</v>
      </c>
      <c r="AT537" s="9">
        <f t="shared" ref="AT537:AV537" si="1677">AJ537/$AF537</f>
        <v>16.61836735</v>
      </c>
      <c r="AU537" s="9">
        <f t="shared" si="1677"/>
        <v>5.734693878</v>
      </c>
      <c r="AV537" s="9">
        <f t="shared" si="1677"/>
        <v>2.595918367</v>
      </c>
      <c r="AW537" s="9">
        <f t="shared" si="13"/>
        <v>8.330612245</v>
      </c>
      <c r="AX537" s="9">
        <f t="shared" ref="AX537:AY537" si="1678">AM537/$AF537</f>
        <v>1.357142857</v>
      </c>
      <c r="AY537" s="9">
        <f t="shared" si="1678"/>
        <v>0.4081632653</v>
      </c>
      <c r="AZ537" s="9">
        <f>VLOOKUP(A537,Jogos!A:BN,58,0)</f>
        <v>19.135</v>
      </c>
      <c r="BA537" s="9">
        <f>VLOOKUP(A537,Jogos!A:BN,59,0)</f>
        <v>7.739</v>
      </c>
      <c r="BB537" s="9">
        <f>VLOOKUP(A537,Jogos!A:BN,60,0)</f>
        <v>47</v>
      </c>
      <c r="BC537" s="9">
        <f>VLOOKUP(A537,Jogos!A:BN,61,0)</f>
        <v>16.42</v>
      </c>
      <c r="BD537" s="9">
        <f>VLOOKUP(A537,Jogos!A:BN,62,0)</f>
        <v>385.5</v>
      </c>
      <c r="BE537" s="9">
        <f>VLOOKUP(A537,Jogos!A:BN,63,0)</f>
        <v>1.225</v>
      </c>
      <c r="BF537" s="9">
        <f>VLOOKUP(A537,Jogos!A:BN,64,0)</f>
        <v>15.825</v>
      </c>
      <c r="BG537" s="9">
        <f>VLOOKUP(A537,Jogos!A:BN,65,0)</f>
        <v>29.025</v>
      </c>
      <c r="BH537" s="9">
        <f>VLOOKUP(A537,Jogos!A:BN,66,0)</f>
        <v>18.795</v>
      </c>
      <c r="BI537" s="9"/>
    </row>
    <row r="538" hidden="1">
      <c r="A538" s="2">
        <v>19.0</v>
      </c>
      <c r="B538" s="11" t="s">
        <v>185</v>
      </c>
      <c r="C538" s="2" t="s">
        <v>61</v>
      </c>
      <c r="D538" s="3">
        <v>45827.0</v>
      </c>
      <c r="E538" s="4">
        <v>0.625</v>
      </c>
      <c r="F538" s="5" t="str">
        <f>VLOOKUP(A538,Jogos!A:N,10,0)</f>
        <v>Afternoon</v>
      </c>
      <c r="G538" s="2" t="s">
        <v>312</v>
      </c>
      <c r="H538" s="6" t="str">
        <f>VLOOKUP(A538,Jogos!A:L,12,0)</f>
        <v>Open</v>
      </c>
      <c r="I538" s="6" t="str">
        <f>VLOOKUP(G538,'Estádios e Cidades'!A:B,2,0)</f>
        <v>Seatte</v>
      </c>
      <c r="J538" s="2" t="s">
        <v>314</v>
      </c>
      <c r="K538" s="2" t="str">
        <f>VLOOKUP(J538,Equipes!A:F,6,0)</f>
        <v>Temperate</v>
      </c>
      <c r="L538" s="2">
        <f>VLOOKUP(J538,Equipes!A:C,3,0)</f>
        <v>29</v>
      </c>
      <c r="M538" s="2" t="str">
        <f t="shared" si="4"/>
        <v>Group</v>
      </c>
      <c r="N538" s="2" t="s">
        <v>188</v>
      </c>
      <c r="O538" s="2">
        <f>VLOOKUP(N538,Equipes!A:C,3,0)</f>
        <v>17</v>
      </c>
      <c r="P538" s="2" t="str">
        <f t="shared" si="5"/>
        <v>Group</v>
      </c>
      <c r="Q538" s="2">
        <f t="shared" si="6"/>
        <v>12</v>
      </c>
      <c r="R538" s="2" t="str">
        <f>VLOOKUP(J538,Equipes!A:B,2,0)</f>
        <v>Seattle</v>
      </c>
      <c r="S538" s="6" t="s">
        <v>365</v>
      </c>
      <c r="T538" s="7">
        <v>10.0</v>
      </c>
      <c r="U538" s="7" t="s">
        <v>366</v>
      </c>
      <c r="V538" s="7" t="str">
        <f>VLOOKUP(U538,Jogadores!B:C,2,0)</f>
        <v>FW</v>
      </c>
      <c r="W538" s="8">
        <f>VLOOKUP(U538,Jogadores!B:D,3,0)</f>
        <v>24.48493151</v>
      </c>
      <c r="X538" s="7">
        <v>0.0</v>
      </c>
      <c r="Y538" s="7">
        <v>60.0</v>
      </c>
      <c r="Z538" s="7">
        <f>VLOOKUP(A538,Jogos!A:L,3,0)</f>
        <v>48</v>
      </c>
      <c r="AA538" s="7">
        <f t="shared" si="7"/>
        <v>48</v>
      </c>
      <c r="AB538" s="7">
        <f>VLOOKUP(A538,Jogos!A:L,4,0)</f>
        <v>50</v>
      </c>
      <c r="AC538" s="7">
        <f t="shared" si="657"/>
        <v>15</v>
      </c>
      <c r="AD538" s="7"/>
      <c r="AE538" s="7"/>
      <c r="AF538" s="7">
        <f t="shared" si="9"/>
        <v>63</v>
      </c>
      <c r="AG538" s="7">
        <v>7075.9</v>
      </c>
      <c r="AH538" s="7">
        <v>2627.9</v>
      </c>
      <c r="AI538" s="7">
        <v>2814.7</v>
      </c>
      <c r="AJ538" s="7">
        <v>897.2</v>
      </c>
      <c r="AK538" s="7">
        <v>501.2</v>
      </c>
      <c r="AL538" s="7">
        <v>234.8</v>
      </c>
      <c r="AM538" s="7">
        <v>84.0</v>
      </c>
      <c r="AN538" s="7">
        <v>43.0</v>
      </c>
      <c r="AO538" s="7">
        <v>32.5</v>
      </c>
      <c r="AP538" s="9">
        <f t="shared" ref="AP538:AR538" si="1679">AG538/$AF538</f>
        <v>112.315873</v>
      </c>
      <c r="AQ538" s="9">
        <f t="shared" si="1679"/>
        <v>41.71269841</v>
      </c>
      <c r="AR538" s="9">
        <f t="shared" si="1679"/>
        <v>44.67777778</v>
      </c>
      <c r="AS538" s="9">
        <f t="shared" si="11"/>
        <v>86.39047619</v>
      </c>
      <c r="AT538" s="9">
        <f t="shared" ref="AT538:AV538" si="1680">AJ538/$AF538</f>
        <v>14.24126984</v>
      </c>
      <c r="AU538" s="9">
        <f t="shared" si="1680"/>
        <v>7.955555556</v>
      </c>
      <c r="AV538" s="9">
        <f t="shared" si="1680"/>
        <v>3.726984127</v>
      </c>
      <c r="AW538" s="9">
        <f t="shared" si="13"/>
        <v>11.68253968</v>
      </c>
      <c r="AX538" s="9">
        <f t="shared" ref="AX538:AY538" si="1681">AM538/$AF538</f>
        <v>1.333333333</v>
      </c>
      <c r="AY538" s="9">
        <f t="shared" si="1681"/>
        <v>0.6825396825</v>
      </c>
      <c r="AZ538" s="9">
        <f>VLOOKUP(A538,Jogos!A:BN,58,0)</f>
        <v>19.135</v>
      </c>
      <c r="BA538" s="9">
        <f>VLOOKUP(A538,Jogos!A:BN,59,0)</f>
        <v>7.739</v>
      </c>
      <c r="BB538" s="9">
        <f>VLOOKUP(A538,Jogos!A:BN,60,0)</f>
        <v>47</v>
      </c>
      <c r="BC538" s="9">
        <f>VLOOKUP(A538,Jogos!A:BN,61,0)</f>
        <v>16.42</v>
      </c>
      <c r="BD538" s="9">
        <f>VLOOKUP(A538,Jogos!A:BN,62,0)</f>
        <v>385.5</v>
      </c>
      <c r="BE538" s="9">
        <f>VLOOKUP(A538,Jogos!A:BN,63,0)</f>
        <v>1.225</v>
      </c>
      <c r="BF538" s="9">
        <f>VLOOKUP(A538,Jogos!A:BN,64,0)</f>
        <v>15.825</v>
      </c>
      <c r="BG538" s="9">
        <f>VLOOKUP(A538,Jogos!A:BN,65,0)</f>
        <v>29.025</v>
      </c>
      <c r="BH538" s="9">
        <f>VLOOKUP(A538,Jogos!A:BN,66,0)</f>
        <v>18.795</v>
      </c>
      <c r="BI538" s="9"/>
    </row>
    <row r="539" hidden="1">
      <c r="A539" s="2">
        <v>19.0</v>
      </c>
      <c r="B539" s="11" t="s">
        <v>185</v>
      </c>
      <c r="C539" s="2" t="s">
        <v>61</v>
      </c>
      <c r="D539" s="3">
        <v>45827.0</v>
      </c>
      <c r="E539" s="4">
        <v>0.625</v>
      </c>
      <c r="F539" s="5" t="str">
        <f>VLOOKUP(A539,Jogos!A:N,10,0)</f>
        <v>Afternoon</v>
      </c>
      <c r="G539" s="2" t="s">
        <v>312</v>
      </c>
      <c r="H539" s="6" t="str">
        <f>VLOOKUP(A539,Jogos!A:L,12,0)</f>
        <v>Open</v>
      </c>
      <c r="I539" s="6" t="str">
        <f>VLOOKUP(G539,'Estádios e Cidades'!A:B,2,0)</f>
        <v>Seatte</v>
      </c>
      <c r="J539" s="2" t="s">
        <v>314</v>
      </c>
      <c r="K539" s="2" t="str">
        <f>VLOOKUP(J539,Equipes!A:F,6,0)</f>
        <v>Temperate</v>
      </c>
      <c r="L539" s="2">
        <f>VLOOKUP(J539,Equipes!A:C,3,0)</f>
        <v>29</v>
      </c>
      <c r="M539" s="2" t="str">
        <f t="shared" si="4"/>
        <v>Group</v>
      </c>
      <c r="N539" s="2" t="s">
        <v>188</v>
      </c>
      <c r="O539" s="2">
        <f>VLOOKUP(N539,Equipes!A:C,3,0)</f>
        <v>17</v>
      </c>
      <c r="P539" s="2" t="str">
        <f t="shared" si="5"/>
        <v>Group</v>
      </c>
      <c r="Q539" s="2">
        <f t="shared" si="6"/>
        <v>12</v>
      </c>
      <c r="R539" s="2" t="str">
        <f>VLOOKUP(J539,Equipes!A:B,2,0)</f>
        <v>Seattle</v>
      </c>
      <c r="S539" s="6" t="s">
        <v>351</v>
      </c>
      <c r="T539" s="7">
        <v>11.0</v>
      </c>
      <c r="U539" s="7" t="s">
        <v>352</v>
      </c>
      <c r="V539" s="7" t="str">
        <f>VLOOKUP(U539,Jogadores!B:C,2,0)</f>
        <v>MF</v>
      </c>
      <c r="W539" s="8">
        <f>VLOOKUP(U539,Jogadores!B:D,3,0)</f>
        <v>31.07945205</v>
      </c>
      <c r="X539" s="7">
        <v>0.0</v>
      </c>
      <c r="Y539" s="7">
        <v>79.0</v>
      </c>
      <c r="Z539" s="7">
        <f>VLOOKUP(A539,Jogos!A:L,3,0)</f>
        <v>48</v>
      </c>
      <c r="AA539" s="7">
        <f t="shared" si="7"/>
        <v>48</v>
      </c>
      <c r="AB539" s="7">
        <f>VLOOKUP(A539,Jogos!A:L,4,0)</f>
        <v>50</v>
      </c>
      <c r="AC539" s="7">
        <f t="shared" si="657"/>
        <v>34</v>
      </c>
      <c r="AD539" s="7"/>
      <c r="AE539" s="7"/>
      <c r="AF539" s="7">
        <f t="shared" si="9"/>
        <v>82</v>
      </c>
      <c r="AG539" s="7">
        <v>8899.1</v>
      </c>
      <c r="AH539" s="7">
        <v>3021.2</v>
      </c>
      <c r="AI539" s="7">
        <v>4260.9</v>
      </c>
      <c r="AJ539" s="7">
        <v>1115.0</v>
      </c>
      <c r="AK539" s="7">
        <v>316.4</v>
      </c>
      <c r="AL539" s="7">
        <v>185.4</v>
      </c>
      <c r="AM539" s="7">
        <v>90.0</v>
      </c>
      <c r="AN539" s="7">
        <v>27.0</v>
      </c>
      <c r="AO539" s="7">
        <v>31.1</v>
      </c>
      <c r="AP539" s="9">
        <f t="shared" ref="AP539:AR539" si="1682">AG539/$AF539</f>
        <v>108.5256098</v>
      </c>
      <c r="AQ539" s="9">
        <f t="shared" si="1682"/>
        <v>36.84390244</v>
      </c>
      <c r="AR539" s="9">
        <f t="shared" si="1682"/>
        <v>51.96219512</v>
      </c>
      <c r="AS539" s="9">
        <f t="shared" si="11"/>
        <v>88.80609756</v>
      </c>
      <c r="AT539" s="9">
        <f t="shared" ref="AT539:AV539" si="1683">AJ539/$AF539</f>
        <v>13.59756098</v>
      </c>
      <c r="AU539" s="9">
        <f t="shared" si="1683"/>
        <v>3.858536585</v>
      </c>
      <c r="AV539" s="9">
        <f t="shared" si="1683"/>
        <v>2.26097561</v>
      </c>
      <c r="AW539" s="9">
        <f t="shared" si="13"/>
        <v>6.119512195</v>
      </c>
      <c r="AX539" s="9">
        <f t="shared" ref="AX539:AY539" si="1684">AM539/$AF539</f>
        <v>1.097560976</v>
      </c>
      <c r="AY539" s="9">
        <f t="shared" si="1684"/>
        <v>0.3292682927</v>
      </c>
      <c r="AZ539" s="9">
        <f>VLOOKUP(A539,Jogos!A:BN,58,0)</f>
        <v>19.135</v>
      </c>
      <c r="BA539" s="9">
        <f>VLOOKUP(A539,Jogos!A:BN,59,0)</f>
        <v>7.739</v>
      </c>
      <c r="BB539" s="9">
        <f>VLOOKUP(A539,Jogos!A:BN,60,0)</f>
        <v>47</v>
      </c>
      <c r="BC539" s="9">
        <f>VLOOKUP(A539,Jogos!A:BN,61,0)</f>
        <v>16.42</v>
      </c>
      <c r="BD539" s="9">
        <f>VLOOKUP(A539,Jogos!A:BN,62,0)</f>
        <v>385.5</v>
      </c>
      <c r="BE539" s="9">
        <f>VLOOKUP(A539,Jogos!A:BN,63,0)</f>
        <v>1.225</v>
      </c>
      <c r="BF539" s="9">
        <f>VLOOKUP(A539,Jogos!A:BN,64,0)</f>
        <v>15.825</v>
      </c>
      <c r="BG539" s="9">
        <f>VLOOKUP(A539,Jogos!A:BN,65,0)</f>
        <v>29.025</v>
      </c>
      <c r="BH539" s="9">
        <f>VLOOKUP(A539,Jogos!A:BN,66,0)</f>
        <v>18.795</v>
      </c>
      <c r="BI539" s="9"/>
    </row>
    <row r="540" hidden="1">
      <c r="A540" s="2">
        <v>19.0</v>
      </c>
      <c r="B540" s="11" t="s">
        <v>185</v>
      </c>
      <c r="C540" s="2" t="s">
        <v>61</v>
      </c>
      <c r="D540" s="3">
        <v>45827.0</v>
      </c>
      <c r="E540" s="4">
        <v>0.625</v>
      </c>
      <c r="F540" s="5" t="str">
        <f>VLOOKUP(A540,Jogos!A:N,10,0)</f>
        <v>Afternoon</v>
      </c>
      <c r="G540" s="2" t="s">
        <v>312</v>
      </c>
      <c r="H540" s="6" t="str">
        <f>VLOOKUP(A540,Jogos!A:L,12,0)</f>
        <v>Open</v>
      </c>
      <c r="I540" s="6" t="str">
        <f>VLOOKUP(G540,'Estádios e Cidades'!A:B,2,0)</f>
        <v>Seatte</v>
      </c>
      <c r="J540" s="2" t="s">
        <v>314</v>
      </c>
      <c r="K540" s="2" t="str">
        <f>VLOOKUP(J540,Equipes!A:F,6,0)</f>
        <v>Temperate</v>
      </c>
      <c r="L540" s="2">
        <f>VLOOKUP(J540,Equipes!A:C,3,0)</f>
        <v>29</v>
      </c>
      <c r="M540" s="2" t="str">
        <f t="shared" si="4"/>
        <v>Group</v>
      </c>
      <c r="N540" s="2" t="s">
        <v>188</v>
      </c>
      <c r="O540" s="2">
        <f>VLOOKUP(N540,Equipes!A:C,3,0)</f>
        <v>17</v>
      </c>
      <c r="P540" s="2" t="str">
        <f t="shared" si="5"/>
        <v>Group</v>
      </c>
      <c r="Q540" s="2">
        <f t="shared" si="6"/>
        <v>12</v>
      </c>
      <c r="R540" s="2" t="str">
        <f>VLOOKUP(J540,Equipes!A:B,2,0)</f>
        <v>Seattle</v>
      </c>
      <c r="S540" s="6" t="s">
        <v>367</v>
      </c>
      <c r="T540" s="7">
        <v>14.0</v>
      </c>
      <c r="U540" s="7" t="s">
        <v>368</v>
      </c>
      <c r="V540" s="7" t="str">
        <f>VLOOKUP(U540,Jogadores!B:C,2,0)</f>
        <v>FW</v>
      </c>
      <c r="W540" s="8">
        <f>VLOOKUP(U540,Jogadores!B:D,3,0)</f>
        <v>26.56712329</v>
      </c>
      <c r="X540" s="7">
        <v>0.0</v>
      </c>
      <c r="Y540" s="7">
        <v>66.0</v>
      </c>
      <c r="Z540" s="7">
        <f>VLOOKUP(A540,Jogos!A:L,3,0)</f>
        <v>48</v>
      </c>
      <c r="AA540" s="7">
        <f t="shared" si="7"/>
        <v>48</v>
      </c>
      <c r="AB540" s="7">
        <f>VLOOKUP(A540,Jogos!A:L,4,0)</f>
        <v>50</v>
      </c>
      <c r="AC540" s="7">
        <f t="shared" si="657"/>
        <v>21</v>
      </c>
      <c r="AD540" s="7"/>
      <c r="AE540" s="7"/>
      <c r="AF540" s="7">
        <f t="shared" si="9"/>
        <v>69</v>
      </c>
      <c r="AG540" s="7">
        <v>7895.9</v>
      </c>
      <c r="AH540" s="7">
        <v>2864.5</v>
      </c>
      <c r="AI540" s="7">
        <v>2772.4</v>
      </c>
      <c r="AJ540" s="7">
        <v>1273.1</v>
      </c>
      <c r="AK540" s="7">
        <v>666.5</v>
      </c>
      <c r="AL540" s="7">
        <v>319.4</v>
      </c>
      <c r="AM540" s="7">
        <v>101.0</v>
      </c>
      <c r="AN540" s="7">
        <v>54.0</v>
      </c>
      <c r="AO540" s="7">
        <v>33.2</v>
      </c>
      <c r="AP540" s="9">
        <f t="shared" ref="AP540:AR540" si="1685">AG540/$AF540</f>
        <v>114.4333333</v>
      </c>
      <c r="AQ540" s="9">
        <f t="shared" si="1685"/>
        <v>41.51449275</v>
      </c>
      <c r="AR540" s="9">
        <f t="shared" si="1685"/>
        <v>40.17971014</v>
      </c>
      <c r="AS540" s="9">
        <f t="shared" si="11"/>
        <v>81.6942029</v>
      </c>
      <c r="AT540" s="9">
        <f t="shared" ref="AT540:AV540" si="1686">AJ540/$AF540</f>
        <v>18.45072464</v>
      </c>
      <c r="AU540" s="9">
        <f t="shared" si="1686"/>
        <v>9.65942029</v>
      </c>
      <c r="AV540" s="9">
        <f t="shared" si="1686"/>
        <v>4.628985507</v>
      </c>
      <c r="AW540" s="9">
        <f t="shared" si="13"/>
        <v>14.2884058</v>
      </c>
      <c r="AX540" s="9">
        <f t="shared" ref="AX540:AY540" si="1687">AM540/$AF540</f>
        <v>1.463768116</v>
      </c>
      <c r="AY540" s="9">
        <f t="shared" si="1687"/>
        <v>0.7826086957</v>
      </c>
      <c r="AZ540" s="9">
        <f>VLOOKUP(A540,Jogos!A:BN,58,0)</f>
        <v>19.135</v>
      </c>
      <c r="BA540" s="9">
        <f>VLOOKUP(A540,Jogos!A:BN,59,0)</f>
        <v>7.739</v>
      </c>
      <c r="BB540" s="9">
        <f>VLOOKUP(A540,Jogos!A:BN,60,0)</f>
        <v>47</v>
      </c>
      <c r="BC540" s="9">
        <f>VLOOKUP(A540,Jogos!A:BN,61,0)</f>
        <v>16.42</v>
      </c>
      <c r="BD540" s="9">
        <f>VLOOKUP(A540,Jogos!A:BN,62,0)</f>
        <v>385.5</v>
      </c>
      <c r="BE540" s="9">
        <f>VLOOKUP(A540,Jogos!A:BN,63,0)</f>
        <v>1.225</v>
      </c>
      <c r="BF540" s="9">
        <f>VLOOKUP(A540,Jogos!A:BN,64,0)</f>
        <v>15.825</v>
      </c>
      <c r="BG540" s="9">
        <f>VLOOKUP(A540,Jogos!A:BN,65,0)</f>
        <v>29.025</v>
      </c>
      <c r="BH540" s="9">
        <f>VLOOKUP(A540,Jogos!A:BN,66,0)</f>
        <v>18.795</v>
      </c>
      <c r="BI540" s="9"/>
    </row>
    <row r="541" hidden="1">
      <c r="A541" s="2">
        <v>19.0</v>
      </c>
      <c r="B541" s="11" t="s">
        <v>185</v>
      </c>
      <c r="C541" s="2" t="s">
        <v>61</v>
      </c>
      <c r="D541" s="3">
        <v>45827.0</v>
      </c>
      <c r="E541" s="4">
        <v>0.625</v>
      </c>
      <c r="F541" s="5" t="str">
        <f>VLOOKUP(A541,Jogos!A:N,10,0)</f>
        <v>Afternoon</v>
      </c>
      <c r="G541" s="2" t="s">
        <v>312</v>
      </c>
      <c r="H541" s="6" t="str">
        <f>VLOOKUP(A541,Jogos!A:L,12,0)</f>
        <v>Open</v>
      </c>
      <c r="I541" s="6" t="str">
        <f>VLOOKUP(G541,'Estádios e Cidades'!A:B,2,0)</f>
        <v>Seatte</v>
      </c>
      <c r="J541" s="2" t="s">
        <v>314</v>
      </c>
      <c r="K541" s="2" t="str">
        <f>VLOOKUP(J541,Equipes!A:F,6,0)</f>
        <v>Temperate</v>
      </c>
      <c r="L541" s="2">
        <f>VLOOKUP(J541,Equipes!A:C,3,0)</f>
        <v>29</v>
      </c>
      <c r="M541" s="2" t="str">
        <f t="shared" si="4"/>
        <v>Group</v>
      </c>
      <c r="N541" s="2" t="s">
        <v>188</v>
      </c>
      <c r="O541" s="2">
        <f>VLOOKUP(N541,Equipes!A:C,3,0)</f>
        <v>17</v>
      </c>
      <c r="P541" s="2" t="str">
        <f t="shared" si="5"/>
        <v>Group</v>
      </c>
      <c r="Q541" s="2">
        <f t="shared" si="6"/>
        <v>12</v>
      </c>
      <c r="R541" s="2" t="str">
        <f>VLOOKUP(J541,Equipes!A:B,2,0)</f>
        <v>Seattle</v>
      </c>
      <c r="S541" s="6" t="s">
        <v>369</v>
      </c>
      <c r="T541" s="7">
        <v>15.0</v>
      </c>
      <c r="U541" s="7" t="s">
        <v>370</v>
      </c>
      <c r="V541" s="7" t="str">
        <f>VLOOKUP(U541,Jogadores!B:C,2,0)</f>
        <v>DF</v>
      </c>
      <c r="W541" s="8">
        <f>VLOOKUP(U541,Jogadores!B:D,3,0)</f>
        <v>27.93972603</v>
      </c>
      <c r="X541" s="7">
        <v>0.0</v>
      </c>
      <c r="Y541" s="7">
        <f t="shared" ref="Y541:Y542" si="1691">45+AB541</f>
        <v>95</v>
      </c>
      <c r="Z541" s="7">
        <f>VLOOKUP(A541,Jogos!A:L,3,0)</f>
        <v>48</v>
      </c>
      <c r="AA541" s="7">
        <f t="shared" si="7"/>
        <v>48</v>
      </c>
      <c r="AB541" s="7">
        <f>VLOOKUP(A541,Jogos!A:L,4,0)</f>
        <v>50</v>
      </c>
      <c r="AC541" s="7">
        <f t="shared" si="657"/>
        <v>50</v>
      </c>
      <c r="AD541" s="7"/>
      <c r="AE541" s="7"/>
      <c r="AF541" s="7">
        <f t="shared" si="9"/>
        <v>98</v>
      </c>
      <c r="AG541" s="7">
        <v>9927.0</v>
      </c>
      <c r="AH541" s="7">
        <v>3755.7</v>
      </c>
      <c r="AI541" s="7">
        <v>4307.5</v>
      </c>
      <c r="AJ541" s="7">
        <v>1207.7</v>
      </c>
      <c r="AK541" s="7">
        <v>392.1</v>
      </c>
      <c r="AL541" s="7">
        <v>264.1</v>
      </c>
      <c r="AM541" s="7">
        <v>105.0</v>
      </c>
      <c r="AN541" s="7">
        <v>33.0</v>
      </c>
      <c r="AO541" s="7">
        <v>34.8</v>
      </c>
      <c r="AP541" s="9">
        <f t="shared" ref="AP541:AR541" si="1688">AG541/$AF541</f>
        <v>101.2959184</v>
      </c>
      <c r="AQ541" s="9">
        <f t="shared" si="1688"/>
        <v>38.32346939</v>
      </c>
      <c r="AR541" s="9">
        <f t="shared" si="1688"/>
        <v>43.95408163</v>
      </c>
      <c r="AS541" s="9">
        <f t="shared" si="11"/>
        <v>82.27755102</v>
      </c>
      <c r="AT541" s="9">
        <f t="shared" ref="AT541:AV541" si="1689">AJ541/$AF541</f>
        <v>12.32346939</v>
      </c>
      <c r="AU541" s="9">
        <f t="shared" si="1689"/>
        <v>4.001020408</v>
      </c>
      <c r="AV541" s="9">
        <f t="shared" si="1689"/>
        <v>2.694897959</v>
      </c>
      <c r="AW541" s="9">
        <f t="shared" si="13"/>
        <v>6.695918367</v>
      </c>
      <c r="AX541" s="9">
        <f t="shared" ref="AX541:AY541" si="1690">AM541/$AF541</f>
        <v>1.071428571</v>
      </c>
      <c r="AY541" s="9">
        <f t="shared" si="1690"/>
        <v>0.3367346939</v>
      </c>
      <c r="AZ541" s="9">
        <f>VLOOKUP(A541,Jogos!A:BN,58,0)</f>
        <v>19.135</v>
      </c>
      <c r="BA541" s="9">
        <f>VLOOKUP(A541,Jogos!A:BN,59,0)</f>
        <v>7.739</v>
      </c>
      <c r="BB541" s="9">
        <f>VLOOKUP(A541,Jogos!A:BN,60,0)</f>
        <v>47</v>
      </c>
      <c r="BC541" s="9">
        <f>VLOOKUP(A541,Jogos!A:BN,61,0)</f>
        <v>16.42</v>
      </c>
      <c r="BD541" s="9">
        <f>VLOOKUP(A541,Jogos!A:BN,62,0)</f>
        <v>385.5</v>
      </c>
      <c r="BE541" s="9">
        <f>VLOOKUP(A541,Jogos!A:BN,63,0)</f>
        <v>1.225</v>
      </c>
      <c r="BF541" s="9">
        <f>VLOOKUP(A541,Jogos!A:BN,64,0)</f>
        <v>15.825</v>
      </c>
      <c r="BG541" s="9">
        <f>VLOOKUP(A541,Jogos!A:BN,65,0)</f>
        <v>29.025</v>
      </c>
      <c r="BH541" s="9">
        <f>VLOOKUP(A541,Jogos!A:BN,66,0)</f>
        <v>18.795</v>
      </c>
      <c r="BI541" s="9"/>
    </row>
    <row r="542" hidden="1">
      <c r="A542" s="2">
        <v>19.0</v>
      </c>
      <c r="B542" s="11" t="s">
        <v>185</v>
      </c>
      <c r="C542" s="2" t="s">
        <v>61</v>
      </c>
      <c r="D542" s="3">
        <v>45827.0</v>
      </c>
      <c r="E542" s="4">
        <v>0.625</v>
      </c>
      <c r="F542" s="5" t="str">
        <f>VLOOKUP(A542,Jogos!A:N,10,0)</f>
        <v>Afternoon</v>
      </c>
      <c r="G542" s="2" t="s">
        <v>312</v>
      </c>
      <c r="H542" s="6" t="str">
        <f>VLOOKUP(A542,Jogos!A:L,12,0)</f>
        <v>Open</v>
      </c>
      <c r="I542" s="6" t="str">
        <f>VLOOKUP(G542,'Estádios e Cidades'!A:B,2,0)</f>
        <v>Seatte</v>
      </c>
      <c r="J542" s="2" t="s">
        <v>314</v>
      </c>
      <c r="K542" s="2" t="str">
        <f>VLOOKUP(J542,Equipes!A:F,6,0)</f>
        <v>Temperate</v>
      </c>
      <c r="L542" s="2">
        <f>VLOOKUP(J542,Equipes!A:C,3,0)</f>
        <v>29</v>
      </c>
      <c r="M542" s="2" t="str">
        <f t="shared" si="4"/>
        <v>Group</v>
      </c>
      <c r="N542" s="2" t="s">
        <v>188</v>
      </c>
      <c r="O542" s="2">
        <f>VLOOKUP(N542,Equipes!A:C,3,0)</f>
        <v>17</v>
      </c>
      <c r="P542" s="2" t="str">
        <f t="shared" si="5"/>
        <v>Group</v>
      </c>
      <c r="Q542" s="2">
        <f t="shared" si="6"/>
        <v>12</v>
      </c>
      <c r="R542" s="2" t="str">
        <f>VLOOKUP(J542,Equipes!A:B,2,0)</f>
        <v>Seattle</v>
      </c>
      <c r="S542" s="6" t="s">
        <v>355</v>
      </c>
      <c r="T542" s="7">
        <v>18.0</v>
      </c>
      <c r="U542" s="7" t="s">
        <v>356</v>
      </c>
      <c r="V542" s="7" t="str">
        <f>VLOOKUP(U542,Jogadores!B:C,2,0)</f>
        <v>MF</v>
      </c>
      <c r="W542" s="8">
        <f>VLOOKUP(U542,Jogadores!B:D,3,0)</f>
        <v>19.99178082</v>
      </c>
      <c r="X542" s="7">
        <v>0.0</v>
      </c>
      <c r="Y542" s="7">
        <f t="shared" si="1691"/>
        <v>95</v>
      </c>
      <c r="Z542" s="7">
        <f>VLOOKUP(A542,Jogos!A:L,3,0)</f>
        <v>48</v>
      </c>
      <c r="AA542" s="7">
        <f t="shared" si="7"/>
        <v>48</v>
      </c>
      <c r="AB542" s="7">
        <f>VLOOKUP(A542,Jogos!A:L,4,0)</f>
        <v>50</v>
      </c>
      <c r="AC542" s="7">
        <f t="shared" si="657"/>
        <v>50</v>
      </c>
      <c r="AD542" s="7"/>
      <c r="AE542" s="7"/>
      <c r="AF542" s="7">
        <f t="shared" si="9"/>
        <v>98</v>
      </c>
      <c r="AG542" s="7">
        <v>12352.1</v>
      </c>
      <c r="AH542" s="7">
        <v>3018.4</v>
      </c>
      <c r="AI542" s="7">
        <v>5680.1</v>
      </c>
      <c r="AJ542" s="7">
        <v>2575.5</v>
      </c>
      <c r="AK542" s="7">
        <v>861.8</v>
      </c>
      <c r="AL542" s="7">
        <v>216.3</v>
      </c>
      <c r="AM542" s="7">
        <v>216.0</v>
      </c>
      <c r="AN542" s="7">
        <v>62.0</v>
      </c>
      <c r="AO542" s="7">
        <v>30.3</v>
      </c>
      <c r="AP542" s="9">
        <f t="shared" ref="AP542:AR542" si="1692">AG542/$AF542</f>
        <v>126.0418367</v>
      </c>
      <c r="AQ542" s="9">
        <f t="shared" si="1692"/>
        <v>30.8</v>
      </c>
      <c r="AR542" s="9">
        <f t="shared" si="1692"/>
        <v>57.96020408</v>
      </c>
      <c r="AS542" s="9">
        <f t="shared" si="11"/>
        <v>88.76020408</v>
      </c>
      <c r="AT542" s="9">
        <f t="shared" ref="AT542:AV542" si="1693">AJ542/$AF542</f>
        <v>26.28061224</v>
      </c>
      <c r="AU542" s="9">
        <f t="shared" si="1693"/>
        <v>8.793877551</v>
      </c>
      <c r="AV542" s="9">
        <f t="shared" si="1693"/>
        <v>2.207142857</v>
      </c>
      <c r="AW542" s="9">
        <f t="shared" si="13"/>
        <v>11.00102041</v>
      </c>
      <c r="AX542" s="9">
        <f t="shared" ref="AX542:AY542" si="1694">AM542/$AF542</f>
        <v>2.204081633</v>
      </c>
      <c r="AY542" s="9">
        <f t="shared" si="1694"/>
        <v>0.6326530612</v>
      </c>
      <c r="AZ542" s="9">
        <f>VLOOKUP(A542,Jogos!A:BN,58,0)</f>
        <v>19.135</v>
      </c>
      <c r="BA542" s="9">
        <f>VLOOKUP(A542,Jogos!A:BN,59,0)</f>
        <v>7.739</v>
      </c>
      <c r="BB542" s="9">
        <f>VLOOKUP(A542,Jogos!A:BN,60,0)</f>
        <v>47</v>
      </c>
      <c r="BC542" s="9">
        <f>VLOOKUP(A542,Jogos!A:BN,61,0)</f>
        <v>16.42</v>
      </c>
      <c r="BD542" s="9">
        <f>VLOOKUP(A542,Jogos!A:BN,62,0)</f>
        <v>385.5</v>
      </c>
      <c r="BE542" s="9">
        <f>VLOOKUP(A542,Jogos!A:BN,63,0)</f>
        <v>1.225</v>
      </c>
      <c r="BF542" s="9">
        <f>VLOOKUP(A542,Jogos!A:BN,64,0)</f>
        <v>15.825</v>
      </c>
      <c r="BG542" s="9">
        <f>VLOOKUP(A542,Jogos!A:BN,65,0)</f>
        <v>29.025</v>
      </c>
      <c r="BH542" s="9">
        <f>VLOOKUP(A542,Jogos!A:BN,66,0)</f>
        <v>18.795</v>
      </c>
      <c r="BI542" s="9"/>
    </row>
    <row r="543" hidden="1">
      <c r="A543" s="2">
        <v>19.0</v>
      </c>
      <c r="B543" s="11" t="s">
        <v>185</v>
      </c>
      <c r="C543" s="2" t="s">
        <v>61</v>
      </c>
      <c r="D543" s="3">
        <v>45827.0</v>
      </c>
      <c r="E543" s="4">
        <v>0.625</v>
      </c>
      <c r="F543" s="5" t="str">
        <f>VLOOKUP(A543,Jogos!A:N,10,0)</f>
        <v>Afternoon</v>
      </c>
      <c r="G543" s="2" t="s">
        <v>312</v>
      </c>
      <c r="H543" s="6" t="str">
        <f>VLOOKUP(A543,Jogos!A:L,12,0)</f>
        <v>Open</v>
      </c>
      <c r="I543" s="6" t="str">
        <f>VLOOKUP(G543,'Estádios e Cidades'!A:B,2,0)</f>
        <v>Seatte</v>
      </c>
      <c r="J543" s="2" t="s">
        <v>314</v>
      </c>
      <c r="K543" s="2" t="str">
        <f>VLOOKUP(J543,Equipes!A:F,6,0)</f>
        <v>Temperate</v>
      </c>
      <c r="L543" s="2">
        <f>VLOOKUP(J543,Equipes!A:C,3,0)</f>
        <v>29</v>
      </c>
      <c r="M543" s="2" t="str">
        <f t="shared" si="4"/>
        <v>Group</v>
      </c>
      <c r="N543" s="2" t="s">
        <v>188</v>
      </c>
      <c r="O543" s="2">
        <f>VLOOKUP(N543,Equipes!A:C,3,0)</f>
        <v>17</v>
      </c>
      <c r="P543" s="2" t="str">
        <f t="shared" si="5"/>
        <v>Group</v>
      </c>
      <c r="Q543" s="2">
        <f t="shared" si="6"/>
        <v>12</v>
      </c>
      <c r="R543" s="2" t="str">
        <f>VLOOKUP(J543,Equipes!A:B,2,0)</f>
        <v>Seattle</v>
      </c>
      <c r="S543" s="6" t="s">
        <v>357</v>
      </c>
      <c r="T543" s="7">
        <v>19.0</v>
      </c>
      <c r="U543" s="7" t="s">
        <v>358</v>
      </c>
      <c r="V543" s="7" t="str">
        <f>VLOOKUP(U543,Jogadores!B:C,2,0)</f>
        <v>FW</v>
      </c>
      <c r="W543" s="8">
        <f>VLOOKUP(U543,Jogadores!B:D,3,0)</f>
        <v>29.67945205</v>
      </c>
      <c r="X543" s="7">
        <v>0.0</v>
      </c>
      <c r="Y543" s="7">
        <v>60.0</v>
      </c>
      <c r="Z543" s="7">
        <f>VLOOKUP(A543,Jogos!A:L,3,0)</f>
        <v>48</v>
      </c>
      <c r="AA543" s="7">
        <f t="shared" si="7"/>
        <v>48</v>
      </c>
      <c r="AB543" s="7">
        <f>VLOOKUP(A543,Jogos!A:L,4,0)</f>
        <v>50</v>
      </c>
      <c r="AC543" s="7">
        <f t="shared" si="657"/>
        <v>15</v>
      </c>
      <c r="AD543" s="7"/>
      <c r="AE543" s="7"/>
      <c r="AF543" s="7">
        <f t="shared" si="9"/>
        <v>63</v>
      </c>
      <c r="AG543" s="7">
        <v>6797.9</v>
      </c>
      <c r="AH543" s="7">
        <v>2043.3</v>
      </c>
      <c r="AI543" s="7">
        <v>3248.4</v>
      </c>
      <c r="AJ543" s="7">
        <v>947.6</v>
      </c>
      <c r="AK543" s="7">
        <v>389.0</v>
      </c>
      <c r="AL543" s="7">
        <v>169.6</v>
      </c>
      <c r="AM543" s="7">
        <v>83.0</v>
      </c>
      <c r="AN543" s="7">
        <v>31.0</v>
      </c>
      <c r="AO543" s="7">
        <v>30.5</v>
      </c>
      <c r="AP543" s="9">
        <f t="shared" ref="AP543:AR543" si="1695">AG543/$AF543</f>
        <v>107.9031746</v>
      </c>
      <c r="AQ543" s="9">
        <f t="shared" si="1695"/>
        <v>32.43333333</v>
      </c>
      <c r="AR543" s="9">
        <f t="shared" si="1695"/>
        <v>51.56190476</v>
      </c>
      <c r="AS543" s="9">
        <f t="shared" si="11"/>
        <v>83.9952381</v>
      </c>
      <c r="AT543" s="9">
        <f t="shared" ref="AT543:AV543" si="1696">AJ543/$AF543</f>
        <v>15.04126984</v>
      </c>
      <c r="AU543" s="9">
        <f t="shared" si="1696"/>
        <v>6.174603175</v>
      </c>
      <c r="AV543" s="9">
        <f t="shared" si="1696"/>
        <v>2.692063492</v>
      </c>
      <c r="AW543" s="9">
        <f t="shared" si="13"/>
        <v>8.866666667</v>
      </c>
      <c r="AX543" s="9">
        <f t="shared" ref="AX543:AY543" si="1697">AM543/$AF543</f>
        <v>1.317460317</v>
      </c>
      <c r="AY543" s="9">
        <f t="shared" si="1697"/>
        <v>0.4920634921</v>
      </c>
      <c r="AZ543" s="9">
        <f>VLOOKUP(A543,Jogos!A:BN,58,0)</f>
        <v>19.135</v>
      </c>
      <c r="BA543" s="9">
        <f>VLOOKUP(A543,Jogos!A:BN,59,0)</f>
        <v>7.739</v>
      </c>
      <c r="BB543" s="9">
        <f>VLOOKUP(A543,Jogos!A:BN,60,0)</f>
        <v>47</v>
      </c>
      <c r="BC543" s="9">
        <f>VLOOKUP(A543,Jogos!A:BN,61,0)</f>
        <v>16.42</v>
      </c>
      <c r="BD543" s="9">
        <f>VLOOKUP(A543,Jogos!A:BN,62,0)</f>
        <v>385.5</v>
      </c>
      <c r="BE543" s="9">
        <f>VLOOKUP(A543,Jogos!A:BN,63,0)</f>
        <v>1.225</v>
      </c>
      <c r="BF543" s="9">
        <f>VLOOKUP(A543,Jogos!A:BN,64,0)</f>
        <v>15.825</v>
      </c>
      <c r="BG543" s="9">
        <f>VLOOKUP(A543,Jogos!A:BN,65,0)</f>
        <v>29.025</v>
      </c>
      <c r="BH543" s="9">
        <f>VLOOKUP(A543,Jogos!A:BN,66,0)</f>
        <v>18.795</v>
      </c>
      <c r="BI543" s="9"/>
    </row>
    <row r="544" hidden="1">
      <c r="A544" s="2">
        <v>19.0</v>
      </c>
      <c r="B544" s="11" t="s">
        <v>185</v>
      </c>
      <c r="C544" s="2" t="s">
        <v>61</v>
      </c>
      <c r="D544" s="3">
        <v>45827.0</v>
      </c>
      <c r="E544" s="4">
        <v>0.625</v>
      </c>
      <c r="F544" s="5" t="str">
        <f>VLOOKUP(A544,Jogos!A:N,10,0)</f>
        <v>Afternoon</v>
      </c>
      <c r="G544" s="2" t="s">
        <v>312</v>
      </c>
      <c r="H544" s="6" t="str">
        <f>VLOOKUP(A544,Jogos!A:L,12,0)</f>
        <v>Open</v>
      </c>
      <c r="I544" s="6" t="str">
        <f>VLOOKUP(G544,'Estádios e Cidades'!A:B,2,0)</f>
        <v>Seatte</v>
      </c>
      <c r="J544" s="2" t="s">
        <v>314</v>
      </c>
      <c r="K544" s="2" t="str">
        <f>VLOOKUP(J544,Equipes!A:F,6,0)</f>
        <v>Temperate</v>
      </c>
      <c r="L544" s="2">
        <f>VLOOKUP(J544,Equipes!A:C,3,0)</f>
        <v>29</v>
      </c>
      <c r="M544" s="2" t="str">
        <f t="shared" si="4"/>
        <v>Group</v>
      </c>
      <c r="N544" s="2" t="s">
        <v>188</v>
      </c>
      <c r="O544" s="2">
        <f>VLOOKUP(N544,Equipes!A:C,3,0)</f>
        <v>17</v>
      </c>
      <c r="P544" s="2" t="str">
        <f t="shared" si="5"/>
        <v>Group</v>
      </c>
      <c r="Q544" s="2">
        <f t="shared" si="6"/>
        <v>12</v>
      </c>
      <c r="R544" s="2" t="str">
        <f>VLOOKUP(J544,Equipes!A:B,2,0)</f>
        <v>Seattle</v>
      </c>
      <c r="S544" s="6" t="s">
        <v>371</v>
      </c>
      <c r="T544" s="7">
        <v>21.0</v>
      </c>
      <c r="U544" s="7" t="s">
        <v>372</v>
      </c>
      <c r="V544" s="7" t="str">
        <f>VLOOKUP(U544,Jogadores!B:C,2,0)</f>
        <v>MF</v>
      </c>
      <c r="W544" s="8">
        <f>VLOOKUP(U544,Jogadores!B:D,3,0)</f>
        <v>20.33972603</v>
      </c>
      <c r="X544" s="7">
        <v>0.0</v>
      </c>
      <c r="Y544" s="7">
        <f t="shared" ref="Y544:Y545" si="1701">45+AB544</f>
        <v>95</v>
      </c>
      <c r="Z544" s="7">
        <f>VLOOKUP(A544,Jogos!A:L,3,0)</f>
        <v>48</v>
      </c>
      <c r="AA544" s="7">
        <f t="shared" si="7"/>
        <v>48</v>
      </c>
      <c r="AB544" s="7">
        <f>VLOOKUP(A544,Jogos!A:L,4,0)</f>
        <v>50</v>
      </c>
      <c r="AC544" s="7">
        <f t="shared" si="657"/>
        <v>50</v>
      </c>
      <c r="AD544" s="7"/>
      <c r="AE544" s="7"/>
      <c r="AF544" s="7">
        <f t="shared" si="9"/>
        <v>98</v>
      </c>
      <c r="AG544" s="7">
        <v>10902.9</v>
      </c>
      <c r="AH544" s="7">
        <v>3791.5</v>
      </c>
      <c r="AI544" s="7">
        <v>4642.2</v>
      </c>
      <c r="AJ544" s="7">
        <v>1577.9</v>
      </c>
      <c r="AK544" s="7">
        <v>623.0</v>
      </c>
      <c r="AL544" s="7">
        <v>268.2</v>
      </c>
      <c r="AM544" s="7">
        <v>141.0</v>
      </c>
      <c r="AN544" s="7">
        <v>50.0</v>
      </c>
      <c r="AO544" s="7">
        <v>32.1</v>
      </c>
      <c r="AP544" s="9">
        <f t="shared" ref="AP544:AR544" si="1698">AG544/$AF544</f>
        <v>111.2540816</v>
      </c>
      <c r="AQ544" s="9">
        <f t="shared" si="1698"/>
        <v>38.68877551</v>
      </c>
      <c r="AR544" s="9">
        <f t="shared" si="1698"/>
        <v>47.36938776</v>
      </c>
      <c r="AS544" s="9">
        <f t="shared" si="11"/>
        <v>86.05816327</v>
      </c>
      <c r="AT544" s="9">
        <f t="shared" ref="AT544:AV544" si="1699">AJ544/$AF544</f>
        <v>16.10102041</v>
      </c>
      <c r="AU544" s="9">
        <f t="shared" si="1699"/>
        <v>6.357142857</v>
      </c>
      <c r="AV544" s="9">
        <f t="shared" si="1699"/>
        <v>2.736734694</v>
      </c>
      <c r="AW544" s="9">
        <f t="shared" si="13"/>
        <v>9.093877551</v>
      </c>
      <c r="AX544" s="9">
        <f t="shared" ref="AX544:AY544" si="1700">AM544/$AF544</f>
        <v>1.43877551</v>
      </c>
      <c r="AY544" s="9">
        <f t="shared" si="1700"/>
        <v>0.5102040816</v>
      </c>
      <c r="AZ544" s="9">
        <f>VLOOKUP(A544,Jogos!A:BN,58,0)</f>
        <v>19.135</v>
      </c>
      <c r="BA544" s="9">
        <f>VLOOKUP(A544,Jogos!A:BN,59,0)</f>
        <v>7.739</v>
      </c>
      <c r="BB544" s="9">
        <f>VLOOKUP(A544,Jogos!A:BN,60,0)</f>
        <v>47</v>
      </c>
      <c r="BC544" s="9">
        <f>VLOOKUP(A544,Jogos!A:BN,61,0)</f>
        <v>16.42</v>
      </c>
      <c r="BD544" s="9">
        <f>VLOOKUP(A544,Jogos!A:BN,62,0)</f>
        <v>385.5</v>
      </c>
      <c r="BE544" s="9">
        <f>VLOOKUP(A544,Jogos!A:BN,63,0)</f>
        <v>1.225</v>
      </c>
      <c r="BF544" s="9">
        <f>VLOOKUP(A544,Jogos!A:BN,64,0)</f>
        <v>15.825</v>
      </c>
      <c r="BG544" s="9">
        <f>VLOOKUP(A544,Jogos!A:BN,65,0)</f>
        <v>29.025</v>
      </c>
      <c r="BH544" s="9">
        <f>VLOOKUP(A544,Jogos!A:BN,66,0)</f>
        <v>18.795</v>
      </c>
      <c r="BI544" s="9"/>
    </row>
    <row r="545" hidden="1">
      <c r="A545" s="2">
        <v>19.0</v>
      </c>
      <c r="B545" s="11" t="s">
        <v>185</v>
      </c>
      <c r="C545" s="2" t="s">
        <v>61</v>
      </c>
      <c r="D545" s="3">
        <v>45827.0</v>
      </c>
      <c r="E545" s="4">
        <v>0.625</v>
      </c>
      <c r="F545" s="5" t="str">
        <f>VLOOKUP(A545,Jogos!A:N,10,0)</f>
        <v>Afternoon</v>
      </c>
      <c r="G545" s="2" t="s">
        <v>312</v>
      </c>
      <c r="H545" s="6" t="str">
        <f>VLOOKUP(A545,Jogos!A:L,12,0)</f>
        <v>Open</v>
      </c>
      <c r="I545" s="6" t="str">
        <f>VLOOKUP(G545,'Estádios e Cidades'!A:B,2,0)</f>
        <v>Seatte</v>
      </c>
      <c r="J545" s="2" t="s">
        <v>314</v>
      </c>
      <c r="K545" s="2" t="str">
        <f>VLOOKUP(J545,Equipes!A:F,6,0)</f>
        <v>Temperate</v>
      </c>
      <c r="L545" s="2">
        <f>VLOOKUP(J545,Equipes!A:C,3,0)</f>
        <v>29</v>
      </c>
      <c r="M545" s="2" t="str">
        <f t="shared" si="4"/>
        <v>Group</v>
      </c>
      <c r="N545" s="2" t="s">
        <v>188</v>
      </c>
      <c r="O545" s="2">
        <f>VLOOKUP(N545,Equipes!A:C,3,0)</f>
        <v>17</v>
      </c>
      <c r="P545" s="2" t="str">
        <f t="shared" si="5"/>
        <v>Group</v>
      </c>
      <c r="Q545" s="2">
        <f t="shared" si="6"/>
        <v>12</v>
      </c>
      <c r="R545" s="2" t="str">
        <f>VLOOKUP(J545,Equipes!A:B,2,0)</f>
        <v>Seattle</v>
      </c>
      <c r="S545" s="6" t="s">
        <v>361</v>
      </c>
      <c r="T545" s="7">
        <v>25.0</v>
      </c>
      <c r="U545" s="7" t="s">
        <v>362</v>
      </c>
      <c r="V545" s="7" t="str">
        <f>VLOOKUP(U545,Jogadores!B:C,2,0)</f>
        <v>DF</v>
      </c>
      <c r="W545" s="8">
        <f>VLOOKUP(U545,Jogadores!B:D,3,0)</f>
        <v>26.86027397</v>
      </c>
      <c r="X545" s="7">
        <v>0.0</v>
      </c>
      <c r="Y545" s="7">
        <f t="shared" si="1701"/>
        <v>95</v>
      </c>
      <c r="Z545" s="7">
        <f>VLOOKUP(A545,Jogos!A:L,3,0)</f>
        <v>48</v>
      </c>
      <c r="AA545" s="7">
        <f t="shared" si="7"/>
        <v>48</v>
      </c>
      <c r="AB545" s="7">
        <f>VLOOKUP(A545,Jogos!A:L,4,0)</f>
        <v>50</v>
      </c>
      <c r="AC545" s="7">
        <f t="shared" si="657"/>
        <v>50</v>
      </c>
      <c r="AD545" s="7"/>
      <c r="AE545" s="7"/>
      <c r="AF545" s="7">
        <f t="shared" si="9"/>
        <v>98</v>
      </c>
      <c r="AG545" s="7">
        <v>9969.9</v>
      </c>
      <c r="AH545" s="7">
        <v>3605.6</v>
      </c>
      <c r="AI545" s="7">
        <v>4642.1</v>
      </c>
      <c r="AJ545" s="7">
        <v>1095.2</v>
      </c>
      <c r="AK545" s="7">
        <v>514.4</v>
      </c>
      <c r="AL545" s="7">
        <v>112.5</v>
      </c>
      <c r="AM545" s="7">
        <v>100.0</v>
      </c>
      <c r="AN545" s="7">
        <v>35.0</v>
      </c>
      <c r="AO545" s="7">
        <v>30.4</v>
      </c>
      <c r="AP545" s="9">
        <f t="shared" ref="AP545:AR545" si="1702">AG545/$AF545</f>
        <v>101.7336735</v>
      </c>
      <c r="AQ545" s="9">
        <f t="shared" si="1702"/>
        <v>36.79183673</v>
      </c>
      <c r="AR545" s="9">
        <f t="shared" si="1702"/>
        <v>47.36836735</v>
      </c>
      <c r="AS545" s="9">
        <f t="shared" si="11"/>
        <v>84.16020408</v>
      </c>
      <c r="AT545" s="9">
        <f t="shared" ref="AT545:AV545" si="1703">AJ545/$AF545</f>
        <v>11.1755102</v>
      </c>
      <c r="AU545" s="9">
        <f t="shared" si="1703"/>
        <v>5.248979592</v>
      </c>
      <c r="AV545" s="9">
        <f t="shared" si="1703"/>
        <v>1.147959184</v>
      </c>
      <c r="AW545" s="9">
        <f t="shared" si="13"/>
        <v>6.396938776</v>
      </c>
      <c r="AX545" s="9">
        <f t="shared" ref="AX545:AY545" si="1704">AM545/$AF545</f>
        <v>1.020408163</v>
      </c>
      <c r="AY545" s="9">
        <f t="shared" si="1704"/>
        <v>0.3571428571</v>
      </c>
      <c r="AZ545" s="9">
        <f>VLOOKUP(A545,Jogos!A:BN,58,0)</f>
        <v>19.135</v>
      </c>
      <c r="BA545" s="9">
        <f>VLOOKUP(A545,Jogos!A:BN,59,0)</f>
        <v>7.739</v>
      </c>
      <c r="BB545" s="9">
        <f>VLOOKUP(A545,Jogos!A:BN,60,0)</f>
        <v>47</v>
      </c>
      <c r="BC545" s="9">
        <f>VLOOKUP(A545,Jogos!A:BN,61,0)</f>
        <v>16.42</v>
      </c>
      <c r="BD545" s="9">
        <f>VLOOKUP(A545,Jogos!A:BN,62,0)</f>
        <v>385.5</v>
      </c>
      <c r="BE545" s="9">
        <f>VLOOKUP(A545,Jogos!A:BN,63,0)</f>
        <v>1.225</v>
      </c>
      <c r="BF545" s="9">
        <f>VLOOKUP(A545,Jogos!A:BN,64,0)</f>
        <v>15.825</v>
      </c>
      <c r="BG545" s="9">
        <f>VLOOKUP(A545,Jogos!A:BN,65,0)</f>
        <v>29.025</v>
      </c>
      <c r="BH545" s="9">
        <f>VLOOKUP(A545,Jogos!A:BN,66,0)</f>
        <v>18.795</v>
      </c>
      <c r="BI545" s="9"/>
    </row>
    <row r="546" hidden="1">
      <c r="A546" s="2">
        <v>19.0</v>
      </c>
      <c r="B546" s="11" t="s">
        <v>185</v>
      </c>
      <c r="C546" s="2" t="s">
        <v>61</v>
      </c>
      <c r="D546" s="3">
        <v>45827.0</v>
      </c>
      <c r="E546" s="4">
        <v>0.625</v>
      </c>
      <c r="F546" s="5" t="str">
        <f>VLOOKUP(A546,Jogos!A:N,10,0)</f>
        <v>Afternoon</v>
      </c>
      <c r="G546" s="2" t="s">
        <v>312</v>
      </c>
      <c r="H546" s="6" t="str">
        <f>VLOOKUP(A546,Jogos!A:L,12,0)</f>
        <v>Open</v>
      </c>
      <c r="I546" s="6" t="str">
        <f>VLOOKUP(G546,'Estádios e Cidades'!A:B,2,0)</f>
        <v>Seatte</v>
      </c>
      <c r="J546" s="2" t="s">
        <v>314</v>
      </c>
      <c r="K546" s="2" t="str">
        <f>VLOOKUP(J546,Equipes!A:F,6,0)</f>
        <v>Temperate</v>
      </c>
      <c r="L546" s="2">
        <f>VLOOKUP(J546,Equipes!A:C,3,0)</f>
        <v>29</v>
      </c>
      <c r="M546" s="2" t="str">
        <f t="shared" si="4"/>
        <v>Group</v>
      </c>
      <c r="N546" s="2" t="s">
        <v>188</v>
      </c>
      <c r="O546" s="2">
        <f>VLOOKUP(N546,Equipes!A:C,3,0)</f>
        <v>17</v>
      </c>
      <c r="P546" s="2" t="str">
        <f t="shared" si="5"/>
        <v>Group</v>
      </c>
      <c r="Q546" s="2">
        <f t="shared" si="6"/>
        <v>12</v>
      </c>
      <c r="R546" s="2" t="str">
        <f>VLOOKUP(J546,Equipes!A:B,2,0)</f>
        <v>Seattle</v>
      </c>
      <c r="S546" s="6" t="s">
        <v>1082</v>
      </c>
      <c r="T546" s="7">
        <v>85.0</v>
      </c>
      <c r="U546" s="7" t="s">
        <v>1083</v>
      </c>
      <c r="V546" s="7" t="str">
        <f>VLOOKUP(U546,Jogadores!B:C,2,0)</f>
        <v>DF</v>
      </c>
      <c r="W546" s="8">
        <f>VLOOKUP(U546,Jogadores!B:D,3,0)</f>
        <v>23.10136986</v>
      </c>
      <c r="X546" s="7">
        <v>0.0</v>
      </c>
      <c r="Y546" s="7">
        <v>79.0</v>
      </c>
      <c r="Z546" s="7">
        <f>VLOOKUP(A546,Jogos!A:L,3,0)</f>
        <v>48</v>
      </c>
      <c r="AA546" s="7">
        <f t="shared" si="7"/>
        <v>48</v>
      </c>
      <c r="AB546" s="7">
        <f>VLOOKUP(A546,Jogos!A:L,4,0)</f>
        <v>50</v>
      </c>
      <c r="AC546" s="7">
        <f t="shared" si="657"/>
        <v>34</v>
      </c>
      <c r="AD546" s="7"/>
      <c r="AE546" s="7"/>
      <c r="AF546" s="7">
        <f t="shared" si="9"/>
        <v>82</v>
      </c>
      <c r="AG546" s="7">
        <v>9368.7</v>
      </c>
      <c r="AH546" s="7">
        <v>2718.3</v>
      </c>
      <c r="AI546" s="7">
        <v>4643.6</v>
      </c>
      <c r="AJ546" s="7">
        <v>1313.6</v>
      </c>
      <c r="AK546" s="7">
        <v>550.0</v>
      </c>
      <c r="AL546" s="7">
        <v>143.1</v>
      </c>
      <c r="AM546" s="7">
        <v>121.0</v>
      </c>
      <c r="AN546" s="7">
        <v>37.0</v>
      </c>
      <c r="AO546" s="7">
        <v>30.9</v>
      </c>
      <c r="AP546" s="9">
        <f t="shared" ref="AP546:AR546" si="1705">AG546/$AF546</f>
        <v>114.252439</v>
      </c>
      <c r="AQ546" s="9">
        <f t="shared" si="1705"/>
        <v>33.15</v>
      </c>
      <c r="AR546" s="9">
        <f t="shared" si="1705"/>
        <v>56.62926829</v>
      </c>
      <c r="AS546" s="9">
        <f t="shared" si="11"/>
        <v>89.77926829</v>
      </c>
      <c r="AT546" s="9">
        <f t="shared" ref="AT546:AV546" si="1706">AJ546/$AF546</f>
        <v>16.0195122</v>
      </c>
      <c r="AU546" s="9">
        <f t="shared" si="1706"/>
        <v>6.707317073</v>
      </c>
      <c r="AV546" s="9">
        <f t="shared" si="1706"/>
        <v>1.745121951</v>
      </c>
      <c r="AW546" s="9">
        <f t="shared" si="13"/>
        <v>8.452439024</v>
      </c>
      <c r="AX546" s="9">
        <f t="shared" ref="AX546:AY546" si="1707">AM546/$AF546</f>
        <v>1.475609756</v>
      </c>
      <c r="AY546" s="9">
        <f t="shared" si="1707"/>
        <v>0.4512195122</v>
      </c>
      <c r="AZ546" s="9">
        <f>VLOOKUP(A546,Jogos!A:BN,58,0)</f>
        <v>19.135</v>
      </c>
      <c r="BA546" s="9">
        <f>VLOOKUP(A546,Jogos!A:BN,59,0)</f>
        <v>7.739</v>
      </c>
      <c r="BB546" s="9">
        <f>VLOOKUP(A546,Jogos!A:BN,60,0)</f>
        <v>47</v>
      </c>
      <c r="BC546" s="9">
        <f>VLOOKUP(A546,Jogos!A:BN,61,0)</f>
        <v>16.42</v>
      </c>
      <c r="BD546" s="9">
        <f>VLOOKUP(A546,Jogos!A:BN,62,0)</f>
        <v>385.5</v>
      </c>
      <c r="BE546" s="9">
        <f>VLOOKUP(A546,Jogos!A:BN,63,0)</f>
        <v>1.225</v>
      </c>
      <c r="BF546" s="9">
        <f>VLOOKUP(A546,Jogos!A:BN,64,0)</f>
        <v>15.825</v>
      </c>
      <c r="BG546" s="9">
        <f>VLOOKUP(A546,Jogos!A:BN,65,0)</f>
        <v>29.025</v>
      </c>
      <c r="BH546" s="9">
        <f>VLOOKUP(A546,Jogos!A:BN,66,0)</f>
        <v>18.795</v>
      </c>
      <c r="BI546" s="9"/>
    </row>
    <row r="547" hidden="1">
      <c r="A547" s="2">
        <v>19.0</v>
      </c>
      <c r="B547" s="11" t="s">
        <v>185</v>
      </c>
      <c r="C547" s="2" t="s">
        <v>61</v>
      </c>
      <c r="D547" s="3">
        <v>45827.0</v>
      </c>
      <c r="E547" s="4">
        <v>0.625</v>
      </c>
      <c r="F547" s="5" t="str">
        <f>VLOOKUP(A547,Jogos!A:N,10,0)</f>
        <v>Afternoon</v>
      </c>
      <c r="G547" s="2" t="s">
        <v>312</v>
      </c>
      <c r="H547" s="6" t="str">
        <f>VLOOKUP(A547,Jogos!A:L,12,0)</f>
        <v>Open</v>
      </c>
      <c r="I547" s="6" t="str">
        <f>VLOOKUP(G547,'Estádios e Cidades'!A:B,2,0)</f>
        <v>Seatte</v>
      </c>
      <c r="J547" s="2" t="s">
        <v>314</v>
      </c>
      <c r="K547" s="2" t="str">
        <f>VLOOKUP(J547,Equipes!A:F,6,0)</f>
        <v>Temperate</v>
      </c>
      <c r="L547" s="2">
        <f>VLOOKUP(J547,Equipes!A:C,3,0)</f>
        <v>29</v>
      </c>
      <c r="M547" s="2" t="str">
        <f t="shared" si="4"/>
        <v>Group</v>
      </c>
      <c r="N547" s="2" t="s">
        <v>188</v>
      </c>
      <c r="O547" s="2">
        <f>VLOOKUP(N547,Equipes!A:C,3,0)</f>
        <v>17</v>
      </c>
      <c r="P547" s="2" t="str">
        <f t="shared" si="5"/>
        <v>Group</v>
      </c>
      <c r="Q547" s="2">
        <f t="shared" si="6"/>
        <v>12</v>
      </c>
      <c r="R547" s="2" t="str">
        <f>VLOOKUP(J547,Equipes!A:B,2,0)</f>
        <v>Seattle</v>
      </c>
      <c r="S547" s="6" t="s">
        <v>1084</v>
      </c>
      <c r="T547" s="7">
        <v>6.0</v>
      </c>
      <c r="U547" s="7" t="s">
        <v>1085</v>
      </c>
      <c r="V547" s="7" t="str">
        <f>VLOOKUP(U547,Jogadores!B:C,2,0)</f>
        <v>MF</v>
      </c>
      <c r="W547" s="8">
        <f>VLOOKUP(U547,Jogadores!B:D,3,0)</f>
        <v>34.41369863</v>
      </c>
      <c r="X547" s="7">
        <v>79.0</v>
      </c>
      <c r="Y547" s="7">
        <f t="shared" ref="Y547:Y551" si="1711">45+AB547</f>
        <v>95</v>
      </c>
      <c r="Z547" s="7">
        <f>VLOOKUP(A547,Jogos!A:L,3,0)</f>
        <v>48</v>
      </c>
      <c r="AA547" s="7">
        <f t="shared" si="7"/>
        <v>0</v>
      </c>
      <c r="AB547" s="7">
        <f>VLOOKUP(A547,Jogos!A:L,4,0)</f>
        <v>50</v>
      </c>
      <c r="AC547" s="7">
        <f t="shared" si="657"/>
        <v>16</v>
      </c>
      <c r="AD547" s="7"/>
      <c r="AE547" s="7"/>
      <c r="AF547" s="7">
        <f t="shared" si="9"/>
        <v>16</v>
      </c>
      <c r="AG547" s="7">
        <v>2219.3</v>
      </c>
      <c r="AH547" s="7">
        <v>594.9</v>
      </c>
      <c r="AI547" s="7">
        <v>1057.1</v>
      </c>
      <c r="AJ547" s="7">
        <v>401.0</v>
      </c>
      <c r="AK547" s="7">
        <v>158.2</v>
      </c>
      <c r="AL547" s="7">
        <v>8.0</v>
      </c>
      <c r="AM547" s="7">
        <v>38.0</v>
      </c>
      <c r="AN547" s="7">
        <v>7.0</v>
      </c>
      <c r="AO547" s="7">
        <v>26.2</v>
      </c>
      <c r="AP547" s="9">
        <f t="shared" ref="AP547:AR547" si="1708">AG547/$AF547</f>
        <v>138.70625</v>
      </c>
      <c r="AQ547" s="9">
        <f t="shared" si="1708"/>
        <v>37.18125</v>
      </c>
      <c r="AR547" s="9">
        <f t="shared" si="1708"/>
        <v>66.06875</v>
      </c>
      <c r="AS547" s="9">
        <f t="shared" si="11"/>
        <v>103.25</v>
      </c>
      <c r="AT547" s="9">
        <f t="shared" ref="AT547:AV547" si="1709">AJ547/$AF547</f>
        <v>25.0625</v>
      </c>
      <c r="AU547" s="9">
        <f t="shared" si="1709"/>
        <v>9.8875</v>
      </c>
      <c r="AV547" s="9">
        <f t="shared" si="1709"/>
        <v>0.5</v>
      </c>
      <c r="AW547" s="9">
        <f t="shared" si="13"/>
        <v>10.3875</v>
      </c>
      <c r="AX547" s="9">
        <f t="shared" ref="AX547:AY547" si="1710">AM547/$AF547</f>
        <v>2.375</v>
      </c>
      <c r="AY547" s="9">
        <f t="shared" si="1710"/>
        <v>0.4375</v>
      </c>
      <c r="AZ547" s="9">
        <f>VLOOKUP(A547,Jogos!A:BN,58,0)</f>
        <v>19.135</v>
      </c>
      <c r="BA547" s="9">
        <f>VLOOKUP(A547,Jogos!A:BN,59,0)</f>
        <v>7.739</v>
      </c>
      <c r="BB547" s="9">
        <f>VLOOKUP(A547,Jogos!A:BN,60,0)</f>
        <v>47</v>
      </c>
      <c r="BC547" s="9">
        <f>VLOOKUP(A547,Jogos!A:BN,61,0)</f>
        <v>16.42</v>
      </c>
      <c r="BD547" s="9">
        <f>VLOOKUP(A547,Jogos!A:BN,62,0)</f>
        <v>385.5</v>
      </c>
      <c r="BE547" s="9">
        <f>VLOOKUP(A547,Jogos!A:BN,63,0)</f>
        <v>1.225</v>
      </c>
      <c r="BF547" s="9">
        <f>VLOOKUP(A547,Jogos!A:BN,64,0)</f>
        <v>15.825</v>
      </c>
      <c r="BG547" s="9">
        <f>VLOOKUP(A547,Jogos!A:BN,65,0)</f>
        <v>29.025</v>
      </c>
      <c r="BH547" s="9">
        <f>VLOOKUP(A547,Jogos!A:BN,66,0)</f>
        <v>18.795</v>
      </c>
      <c r="BI547" s="9"/>
    </row>
    <row r="548" hidden="1">
      <c r="A548" s="2">
        <v>19.0</v>
      </c>
      <c r="B548" s="11" t="s">
        <v>185</v>
      </c>
      <c r="C548" s="2" t="s">
        <v>61</v>
      </c>
      <c r="D548" s="3">
        <v>45827.0</v>
      </c>
      <c r="E548" s="4">
        <v>0.625</v>
      </c>
      <c r="F548" s="5" t="str">
        <f>VLOOKUP(A548,Jogos!A:N,10,0)</f>
        <v>Afternoon</v>
      </c>
      <c r="G548" s="2" t="s">
        <v>312</v>
      </c>
      <c r="H548" s="6" t="str">
        <f>VLOOKUP(A548,Jogos!A:L,12,0)</f>
        <v>Open</v>
      </c>
      <c r="I548" s="6" t="str">
        <f>VLOOKUP(G548,'Estádios e Cidades'!A:B,2,0)</f>
        <v>Seatte</v>
      </c>
      <c r="J548" s="2" t="s">
        <v>314</v>
      </c>
      <c r="K548" s="2" t="str">
        <f>VLOOKUP(J548,Equipes!A:F,6,0)</f>
        <v>Temperate</v>
      </c>
      <c r="L548" s="2">
        <f>VLOOKUP(J548,Equipes!A:C,3,0)</f>
        <v>29</v>
      </c>
      <c r="M548" s="2" t="str">
        <f t="shared" si="4"/>
        <v>Group</v>
      </c>
      <c r="N548" s="2" t="s">
        <v>188</v>
      </c>
      <c r="O548" s="2">
        <f>VLOOKUP(N548,Equipes!A:C,3,0)</f>
        <v>17</v>
      </c>
      <c r="P548" s="2" t="str">
        <f t="shared" si="5"/>
        <v>Group</v>
      </c>
      <c r="Q548" s="2">
        <f t="shared" si="6"/>
        <v>12</v>
      </c>
      <c r="R548" s="2" t="str">
        <f>VLOOKUP(J548,Equipes!A:B,2,0)</f>
        <v>Seattle</v>
      </c>
      <c r="S548" s="6" t="s">
        <v>349</v>
      </c>
      <c r="T548" s="7">
        <v>9.0</v>
      </c>
      <c r="U548" s="7" t="s">
        <v>350</v>
      </c>
      <c r="V548" s="7" t="str">
        <f>VLOOKUP(U548,Jogadores!B:C,2,0)</f>
        <v>FW</v>
      </c>
      <c r="W548" s="8">
        <f>VLOOKUP(U548,Jogadores!B:D,3,0)</f>
        <v>24.60821918</v>
      </c>
      <c r="X548" s="7">
        <v>60.0</v>
      </c>
      <c r="Y548" s="7">
        <f t="shared" si="1711"/>
        <v>95</v>
      </c>
      <c r="Z548" s="7">
        <f>VLOOKUP(A548,Jogos!A:L,3,0)</f>
        <v>48</v>
      </c>
      <c r="AA548" s="7">
        <f t="shared" si="7"/>
        <v>0</v>
      </c>
      <c r="AB548" s="7">
        <f>VLOOKUP(A548,Jogos!A:L,4,0)</f>
        <v>50</v>
      </c>
      <c r="AC548" s="7">
        <f t="shared" si="657"/>
        <v>35</v>
      </c>
      <c r="AD548" s="7"/>
      <c r="AE548" s="7"/>
      <c r="AF548" s="7">
        <f t="shared" si="9"/>
        <v>35</v>
      </c>
      <c r="AG548" s="7">
        <v>3951.2</v>
      </c>
      <c r="AH548" s="7">
        <v>1291.1</v>
      </c>
      <c r="AI548" s="7">
        <v>1638.5</v>
      </c>
      <c r="AJ548" s="7">
        <v>706.6</v>
      </c>
      <c r="AK548" s="7">
        <v>250.1</v>
      </c>
      <c r="AL548" s="7">
        <v>65.0</v>
      </c>
      <c r="AM548" s="7">
        <v>49.0</v>
      </c>
      <c r="AN548" s="7">
        <v>21.0</v>
      </c>
      <c r="AO548" s="7">
        <v>30.3</v>
      </c>
      <c r="AP548" s="9">
        <f t="shared" ref="AP548:AR548" si="1712">AG548/$AF548</f>
        <v>112.8914286</v>
      </c>
      <c r="AQ548" s="9">
        <f t="shared" si="1712"/>
        <v>36.88857143</v>
      </c>
      <c r="AR548" s="9">
        <f t="shared" si="1712"/>
        <v>46.81428571</v>
      </c>
      <c r="AS548" s="9">
        <f t="shared" si="11"/>
        <v>83.70285714</v>
      </c>
      <c r="AT548" s="9">
        <f t="shared" ref="AT548:AV548" si="1713">AJ548/$AF548</f>
        <v>20.18857143</v>
      </c>
      <c r="AU548" s="9">
        <f t="shared" si="1713"/>
        <v>7.145714286</v>
      </c>
      <c r="AV548" s="9">
        <f t="shared" si="1713"/>
        <v>1.857142857</v>
      </c>
      <c r="AW548" s="9">
        <f t="shared" si="13"/>
        <v>9.002857143</v>
      </c>
      <c r="AX548" s="9">
        <f t="shared" ref="AX548:AY548" si="1714">AM548/$AF548</f>
        <v>1.4</v>
      </c>
      <c r="AY548" s="9">
        <f t="shared" si="1714"/>
        <v>0.6</v>
      </c>
      <c r="AZ548" s="9">
        <f>VLOOKUP(A548,Jogos!A:BN,58,0)</f>
        <v>19.135</v>
      </c>
      <c r="BA548" s="9">
        <f>VLOOKUP(A548,Jogos!A:BN,59,0)</f>
        <v>7.739</v>
      </c>
      <c r="BB548" s="9">
        <f>VLOOKUP(A548,Jogos!A:BN,60,0)</f>
        <v>47</v>
      </c>
      <c r="BC548" s="9">
        <f>VLOOKUP(A548,Jogos!A:BN,61,0)</f>
        <v>16.42</v>
      </c>
      <c r="BD548" s="9">
        <f>VLOOKUP(A548,Jogos!A:BN,62,0)</f>
        <v>385.5</v>
      </c>
      <c r="BE548" s="9">
        <f>VLOOKUP(A548,Jogos!A:BN,63,0)</f>
        <v>1.225</v>
      </c>
      <c r="BF548" s="9">
        <f>VLOOKUP(A548,Jogos!A:BN,64,0)</f>
        <v>15.825</v>
      </c>
      <c r="BG548" s="9">
        <f>VLOOKUP(A548,Jogos!A:BN,65,0)</f>
        <v>29.025</v>
      </c>
      <c r="BH548" s="9">
        <f>VLOOKUP(A548,Jogos!A:BN,66,0)</f>
        <v>18.795</v>
      </c>
      <c r="BI548" s="9"/>
    </row>
    <row r="549" hidden="1">
      <c r="A549" s="2">
        <v>19.0</v>
      </c>
      <c r="B549" s="11" t="s">
        <v>185</v>
      </c>
      <c r="C549" s="2" t="s">
        <v>61</v>
      </c>
      <c r="D549" s="3">
        <v>45827.0</v>
      </c>
      <c r="E549" s="4">
        <v>0.625</v>
      </c>
      <c r="F549" s="5" t="str">
        <f>VLOOKUP(A549,Jogos!A:N,10,0)</f>
        <v>Afternoon</v>
      </c>
      <c r="G549" s="2" t="s">
        <v>312</v>
      </c>
      <c r="H549" s="6" t="str">
        <f>VLOOKUP(A549,Jogos!A:L,12,0)</f>
        <v>Open</v>
      </c>
      <c r="I549" s="6" t="str">
        <f>VLOOKUP(G549,'Estádios e Cidades'!A:B,2,0)</f>
        <v>Seatte</v>
      </c>
      <c r="J549" s="2" t="s">
        <v>314</v>
      </c>
      <c r="K549" s="2" t="str">
        <f>VLOOKUP(J549,Equipes!A:F,6,0)</f>
        <v>Temperate</v>
      </c>
      <c r="L549" s="2">
        <f>VLOOKUP(J549,Equipes!A:C,3,0)</f>
        <v>29</v>
      </c>
      <c r="M549" s="2" t="str">
        <f t="shared" si="4"/>
        <v>Group</v>
      </c>
      <c r="N549" s="2" t="s">
        <v>188</v>
      </c>
      <c r="O549" s="2">
        <f>VLOOKUP(N549,Equipes!A:C,3,0)</f>
        <v>17</v>
      </c>
      <c r="P549" s="2" t="str">
        <f t="shared" si="5"/>
        <v>Group</v>
      </c>
      <c r="Q549" s="2">
        <f t="shared" si="6"/>
        <v>12</v>
      </c>
      <c r="R549" s="2" t="str">
        <f>VLOOKUP(J549,Equipes!A:B,2,0)</f>
        <v>Seattle</v>
      </c>
      <c r="S549" s="6" t="s">
        <v>353</v>
      </c>
      <c r="T549" s="7">
        <v>16.0</v>
      </c>
      <c r="U549" s="7" t="s">
        <v>354</v>
      </c>
      <c r="V549" s="7" t="str">
        <f>VLOOKUP(U549,Jogadores!B:C,2,0)</f>
        <v>DF</v>
      </c>
      <c r="W549" s="8">
        <f>VLOOKUP(U549,Jogadores!B:D,3,0)</f>
        <v>29.01917808</v>
      </c>
      <c r="X549" s="7">
        <v>66.0</v>
      </c>
      <c r="Y549" s="7">
        <f t="shared" si="1711"/>
        <v>95</v>
      </c>
      <c r="Z549" s="7">
        <f>VLOOKUP(A549,Jogos!A:L,3,0)</f>
        <v>48</v>
      </c>
      <c r="AA549" s="7">
        <f t="shared" si="7"/>
        <v>0</v>
      </c>
      <c r="AB549" s="7">
        <f>VLOOKUP(A549,Jogos!A:L,4,0)</f>
        <v>50</v>
      </c>
      <c r="AC549" s="7">
        <f t="shared" si="657"/>
        <v>29</v>
      </c>
      <c r="AD549" s="7"/>
      <c r="AE549" s="7"/>
      <c r="AF549" s="7">
        <f t="shared" si="9"/>
        <v>29</v>
      </c>
      <c r="AG549" s="7">
        <v>3608.7</v>
      </c>
      <c r="AH549" s="7">
        <v>1062.9</v>
      </c>
      <c r="AI549" s="7">
        <v>1752.9</v>
      </c>
      <c r="AJ549" s="7">
        <v>423.5</v>
      </c>
      <c r="AK549" s="7">
        <v>221.9</v>
      </c>
      <c r="AL549" s="7">
        <v>147.5</v>
      </c>
      <c r="AM549" s="7">
        <v>39.0</v>
      </c>
      <c r="AN549" s="7">
        <v>16.0</v>
      </c>
      <c r="AO549" s="7">
        <v>31.5</v>
      </c>
      <c r="AP549" s="9">
        <f t="shared" ref="AP549:AR549" si="1715">AG549/$AF549</f>
        <v>124.437931</v>
      </c>
      <c r="AQ549" s="9">
        <f t="shared" si="1715"/>
        <v>36.65172414</v>
      </c>
      <c r="AR549" s="9">
        <f t="shared" si="1715"/>
        <v>60.44482759</v>
      </c>
      <c r="AS549" s="9">
        <f t="shared" si="11"/>
        <v>97.09655172</v>
      </c>
      <c r="AT549" s="9">
        <f t="shared" ref="AT549:AV549" si="1716">AJ549/$AF549</f>
        <v>14.60344828</v>
      </c>
      <c r="AU549" s="9">
        <f t="shared" si="1716"/>
        <v>7.651724138</v>
      </c>
      <c r="AV549" s="9">
        <f t="shared" si="1716"/>
        <v>5.086206897</v>
      </c>
      <c r="AW549" s="9">
        <f t="shared" si="13"/>
        <v>12.73793103</v>
      </c>
      <c r="AX549" s="9">
        <f t="shared" ref="AX549:AY549" si="1717">AM549/$AF549</f>
        <v>1.344827586</v>
      </c>
      <c r="AY549" s="9">
        <f t="shared" si="1717"/>
        <v>0.5517241379</v>
      </c>
      <c r="AZ549" s="9">
        <f>VLOOKUP(A549,Jogos!A:BN,58,0)</f>
        <v>19.135</v>
      </c>
      <c r="BA549" s="9">
        <f>VLOOKUP(A549,Jogos!A:BN,59,0)</f>
        <v>7.739</v>
      </c>
      <c r="BB549" s="9">
        <f>VLOOKUP(A549,Jogos!A:BN,60,0)</f>
        <v>47</v>
      </c>
      <c r="BC549" s="9">
        <f>VLOOKUP(A549,Jogos!A:BN,61,0)</f>
        <v>16.42</v>
      </c>
      <c r="BD549" s="9">
        <f>VLOOKUP(A549,Jogos!A:BN,62,0)</f>
        <v>385.5</v>
      </c>
      <c r="BE549" s="9">
        <f>VLOOKUP(A549,Jogos!A:BN,63,0)</f>
        <v>1.225</v>
      </c>
      <c r="BF549" s="9">
        <f>VLOOKUP(A549,Jogos!A:BN,64,0)</f>
        <v>15.825</v>
      </c>
      <c r="BG549" s="9">
        <f>VLOOKUP(A549,Jogos!A:BN,65,0)</f>
        <v>29.025</v>
      </c>
      <c r="BH549" s="9">
        <f>VLOOKUP(A549,Jogos!A:BN,66,0)</f>
        <v>18.795</v>
      </c>
      <c r="BI549" s="9"/>
    </row>
    <row r="550" hidden="1">
      <c r="A550" s="2">
        <v>19.0</v>
      </c>
      <c r="B550" s="11" t="s">
        <v>185</v>
      </c>
      <c r="C550" s="2" t="s">
        <v>61</v>
      </c>
      <c r="D550" s="3">
        <v>45827.0</v>
      </c>
      <c r="E550" s="4">
        <v>0.625</v>
      </c>
      <c r="F550" s="5" t="str">
        <f>VLOOKUP(A550,Jogos!A:N,10,0)</f>
        <v>Afternoon</v>
      </c>
      <c r="G550" s="2" t="s">
        <v>312</v>
      </c>
      <c r="H550" s="6" t="str">
        <f>VLOOKUP(A550,Jogos!A:L,12,0)</f>
        <v>Open</v>
      </c>
      <c r="I550" s="6" t="str">
        <f>VLOOKUP(G550,'Estádios e Cidades'!A:B,2,0)</f>
        <v>Seatte</v>
      </c>
      <c r="J550" s="2" t="s">
        <v>314</v>
      </c>
      <c r="K550" s="2" t="str">
        <f>VLOOKUP(J550,Equipes!A:F,6,0)</f>
        <v>Temperate</v>
      </c>
      <c r="L550" s="2">
        <f>VLOOKUP(J550,Equipes!A:C,3,0)</f>
        <v>29</v>
      </c>
      <c r="M550" s="2" t="str">
        <f t="shared" si="4"/>
        <v>Group</v>
      </c>
      <c r="N550" s="2" t="s">
        <v>188</v>
      </c>
      <c r="O550" s="2">
        <f>VLOOKUP(N550,Equipes!A:C,3,0)</f>
        <v>17</v>
      </c>
      <c r="P550" s="2" t="str">
        <f t="shared" si="5"/>
        <v>Group</v>
      </c>
      <c r="Q550" s="2">
        <f t="shared" si="6"/>
        <v>12</v>
      </c>
      <c r="R550" s="2" t="str">
        <f>VLOOKUP(J550,Equipes!A:B,2,0)</f>
        <v>Seattle</v>
      </c>
      <c r="S550" s="6" t="s">
        <v>363</v>
      </c>
      <c r="T550" s="7">
        <v>77.0</v>
      </c>
      <c r="U550" s="7" t="s">
        <v>364</v>
      </c>
      <c r="V550" s="7" t="str">
        <f>VLOOKUP(U550,Jogadores!B:C,2,0)</f>
        <v>FW</v>
      </c>
      <c r="W550" s="8">
        <f>VLOOKUP(U550,Jogadores!B:D,3,0)</f>
        <v>28.72876712</v>
      </c>
      <c r="X550" s="7">
        <v>60.0</v>
      </c>
      <c r="Y550" s="7">
        <f t="shared" si="1711"/>
        <v>95</v>
      </c>
      <c r="Z550" s="7">
        <f>VLOOKUP(A550,Jogos!A:L,3,0)</f>
        <v>48</v>
      </c>
      <c r="AA550" s="7">
        <f t="shared" si="7"/>
        <v>0</v>
      </c>
      <c r="AB550" s="7">
        <f>VLOOKUP(A550,Jogos!A:L,4,0)</f>
        <v>50</v>
      </c>
      <c r="AC550" s="7">
        <f t="shared" si="657"/>
        <v>35</v>
      </c>
      <c r="AD550" s="7"/>
      <c r="AE550" s="7"/>
      <c r="AF550" s="7">
        <f t="shared" si="9"/>
        <v>35</v>
      </c>
      <c r="AG550" s="7">
        <v>3781.2</v>
      </c>
      <c r="AH550" s="7">
        <v>1392.3</v>
      </c>
      <c r="AI550" s="7">
        <v>1314.4</v>
      </c>
      <c r="AJ550" s="7">
        <v>686.4</v>
      </c>
      <c r="AK550" s="7">
        <v>333.5</v>
      </c>
      <c r="AL550" s="7">
        <v>54.6</v>
      </c>
      <c r="AM550" s="7">
        <v>54.0</v>
      </c>
      <c r="AN550" s="7">
        <v>24.0</v>
      </c>
      <c r="AO550" s="7">
        <v>26.9</v>
      </c>
      <c r="AP550" s="9">
        <f t="shared" ref="AP550:AR550" si="1718">AG550/$AF550</f>
        <v>108.0342857</v>
      </c>
      <c r="AQ550" s="9">
        <f t="shared" si="1718"/>
        <v>39.78</v>
      </c>
      <c r="AR550" s="9">
        <f t="shared" si="1718"/>
        <v>37.55428571</v>
      </c>
      <c r="AS550" s="9">
        <f t="shared" si="11"/>
        <v>77.33428571</v>
      </c>
      <c r="AT550" s="9">
        <f t="shared" ref="AT550:AV550" si="1719">AJ550/$AF550</f>
        <v>19.61142857</v>
      </c>
      <c r="AU550" s="9">
        <f t="shared" si="1719"/>
        <v>9.528571429</v>
      </c>
      <c r="AV550" s="9">
        <f t="shared" si="1719"/>
        <v>1.56</v>
      </c>
      <c r="AW550" s="9">
        <f t="shared" si="13"/>
        <v>11.08857143</v>
      </c>
      <c r="AX550" s="9">
        <f t="shared" ref="AX550:AY550" si="1720">AM550/$AF550</f>
        <v>1.542857143</v>
      </c>
      <c r="AY550" s="9">
        <f t="shared" si="1720"/>
        <v>0.6857142857</v>
      </c>
      <c r="AZ550" s="9">
        <f>VLOOKUP(A550,Jogos!A:BN,58,0)</f>
        <v>19.135</v>
      </c>
      <c r="BA550" s="9">
        <f>VLOOKUP(A550,Jogos!A:BN,59,0)</f>
        <v>7.739</v>
      </c>
      <c r="BB550" s="9">
        <f>VLOOKUP(A550,Jogos!A:BN,60,0)</f>
        <v>47</v>
      </c>
      <c r="BC550" s="9">
        <f>VLOOKUP(A550,Jogos!A:BN,61,0)</f>
        <v>16.42</v>
      </c>
      <c r="BD550" s="9">
        <f>VLOOKUP(A550,Jogos!A:BN,62,0)</f>
        <v>385.5</v>
      </c>
      <c r="BE550" s="9">
        <f>VLOOKUP(A550,Jogos!A:BN,63,0)</f>
        <v>1.225</v>
      </c>
      <c r="BF550" s="9">
        <f>VLOOKUP(A550,Jogos!A:BN,64,0)</f>
        <v>15.825</v>
      </c>
      <c r="BG550" s="9">
        <f>VLOOKUP(A550,Jogos!A:BN,65,0)</f>
        <v>29.025</v>
      </c>
      <c r="BH550" s="9">
        <f>VLOOKUP(A550,Jogos!A:BN,66,0)</f>
        <v>18.795</v>
      </c>
      <c r="BI550" s="9"/>
    </row>
    <row r="551" hidden="1">
      <c r="A551" s="2">
        <v>19.0</v>
      </c>
      <c r="B551" s="11" t="s">
        <v>185</v>
      </c>
      <c r="C551" s="2" t="s">
        <v>61</v>
      </c>
      <c r="D551" s="3">
        <v>45827.0</v>
      </c>
      <c r="E551" s="4">
        <v>0.625</v>
      </c>
      <c r="F551" s="5" t="str">
        <f>VLOOKUP(A551,Jogos!A:N,10,0)</f>
        <v>Afternoon</v>
      </c>
      <c r="G551" s="2" t="s">
        <v>312</v>
      </c>
      <c r="H551" s="6" t="str">
        <f>VLOOKUP(A551,Jogos!A:L,12,0)</f>
        <v>Open</v>
      </c>
      <c r="I551" s="6" t="str">
        <f>VLOOKUP(G551,'Estádios e Cidades'!A:B,2,0)</f>
        <v>Seatte</v>
      </c>
      <c r="J551" s="2" t="s">
        <v>314</v>
      </c>
      <c r="K551" s="2" t="str">
        <f>VLOOKUP(J551,Equipes!A:F,6,0)</f>
        <v>Temperate</v>
      </c>
      <c r="L551" s="2">
        <f>VLOOKUP(J551,Equipes!A:C,3,0)</f>
        <v>29</v>
      </c>
      <c r="M551" s="2" t="str">
        <f t="shared" si="4"/>
        <v>Group</v>
      </c>
      <c r="N551" s="2" t="s">
        <v>188</v>
      </c>
      <c r="O551" s="2">
        <f>VLOOKUP(N551,Equipes!A:C,3,0)</f>
        <v>17</v>
      </c>
      <c r="P551" s="2" t="str">
        <f t="shared" si="5"/>
        <v>Group</v>
      </c>
      <c r="Q551" s="2">
        <f t="shared" si="6"/>
        <v>12</v>
      </c>
      <c r="R551" s="2" t="str">
        <f>VLOOKUP(J551,Equipes!A:B,2,0)</f>
        <v>Seattle</v>
      </c>
      <c r="S551" s="6" t="s">
        <v>1086</v>
      </c>
      <c r="T551" s="7">
        <v>93.0</v>
      </c>
      <c r="U551" s="7" t="s">
        <v>1087</v>
      </c>
      <c r="V551" s="7" t="str">
        <f>VLOOKUP(U551,Jogadores!B:C,2,0)</f>
        <v>FW</v>
      </c>
      <c r="W551" s="8">
        <f>VLOOKUP(U551,Jogadores!B:D,3,0)</f>
        <v>23.02465753</v>
      </c>
      <c r="X551" s="7">
        <v>79.0</v>
      </c>
      <c r="Y551" s="7">
        <f t="shared" si="1711"/>
        <v>95</v>
      </c>
      <c r="Z551" s="7">
        <f>VLOOKUP(A551,Jogos!A:L,3,0)</f>
        <v>48</v>
      </c>
      <c r="AA551" s="7">
        <f t="shared" si="7"/>
        <v>0</v>
      </c>
      <c r="AB551" s="7">
        <f>VLOOKUP(A551,Jogos!A:L,4,0)</f>
        <v>50</v>
      </c>
      <c r="AC551" s="7">
        <f t="shared" si="657"/>
        <v>16</v>
      </c>
      <c r="AD551" s="7"/>
      <c r="AE551" s="7"/>
      <c r="AF551" s="7">
        <f t="shared" si="9"/>
        <v>16</v>
      </c>
      <c r="AG551" s="7">
        <v>2266.4</v>
      </c>
      <c r="AH551" s="7">
        <v>643.7</v>
      </c>
      <c r="AI551" s="7">
        <v>960.3</v>
      </c>
      <c r="AJ551" s="7">
        <v>330.4</v>
      </c>
      <c r="AK551" s="7">
        <v>178.3</v>
      </c>
      <c r="AL551" s="7">
        <v>153.7</v>
      </c>
      <c r="AM551" s="7">
        <v>27.0</v>
      </c>
      <c r="AN551" s="7">
        <v>18.0</v>
      </c>
      <c r="AO551" s="7">
        <v>32.3</v>
      </c>
      <c r="AP551" s="9">
        <f t="shared" ref="AP551:AR551" si="1721">AG551/$AF551</f>
        <v>141.65</v>
      </c>
      <c r="AQ551" s="9">
        <f t="shared" si="1721"/>
        <v>40.23125</v>
      </c>
      <c r="AR551" s="9">
        <f t="shared" si="1721"/>
        <v>60.01875</v>
      </c>
      <c r="AS551" s="9">
        <f t="shared" si="11"/>
        <v>100.25</v>
      </c>
      <c r="AT551" s="9">
        <f t="shared" ref="AT551:AV551" si="1722">AJ551/$AF551</f>
        <v>20.65</v>
      </c>
      <c r="AU551" s="9">
        <f t="shared" si="1722"/>
        <v>11.14375</v>
      </c>
      <c r="AV551" s="9">
        <f t="shared" si="1722"/>
        <v>9.60625</v>
      </c>
      <c r="AW551" s="9">
        <f t="shared" si="13"/>
        <v>20.75</v>
      </c>
      <c r="AX551" s="9">
        <f t="shared" ref="AX551:AY551" si="1723">AM551/$AF551</f>
        <v>1.6875</v>
      </c>
      <c r="AY551" s="9">
        <f t="shared" si="1723"/>
        <v>1.125</v>
      </c>
      <c r="AZ551" s="9">
        <f>VLOOKUP(A551,Jogos!A:BN,58,0)</f>
        <v>19.135</v>
      </c>
      <c r="BA551" s="9">
        <f>VLOOKUP(A551,Jogos!A:BN,59,0)</f>
        <v>7.739</v>
      </c>
      <c r="BB551" s="9">
        <f>VLOOKUP(A551,Jogos!A:BN,60,0)</f>
        <v>47</v>
      </c>
      <c r="BC551" s="9">
        <f>VLOOKUP(A551,Jogos!A:BN,61,0)</f>
        <v>16.42</v>
      </c>
      <c r="BD551" s="9">
        <f>VLOOKUP(A551,Jogos!A:BN,62,0)</f>
        <v>385.5</v>
      </c>
      <c r="BE551" s="9">
        <f>VLOOKUP(A551,Jogos!A:BN,63,0)</f>
        <v>1.225</v>
      </c>
      <c r="BF551" s="9">
        <f>VLOOKUP(A551,Jogos!A:BN,64,0)</f>
        <v>15.825</v>
      </c>
      <c r="BG551" s="9">
        <f>VLOOKUP(A551,Jogos!A:BN,65,0)</f>
        <v>29.025</v>
      </c>
      <c r="BH551" s="9">
        <f>VLOOKUP(A551,Jogos!A:BN,66,0)</f>
        <v>18.795</v>
      </c>
      <c r="BI551" s="9"/>
    </row>
    <row r="552" hidden="1">
      <c r="A552" s="10">
        <v>19.0</v>
      </c>
      <c r="B552" s="11" t="s">
        <v>185</v>
      </c>
      <c r="C552" s="2" t="s">
        <v>61</v>
      </c>
      <c r="D552" s="12">
        <v>45827.0</v>
      </c>
      <c r="E552" s="13">
        <v>0.625</v>
      </c>
      <c r="F552" s="5" t="str">
        <f>VLOOKUP(A552,Jogos!A:N,10,0)</f>
        <v>Afternoon</v>
      </c>
      <c r="G552" s="11" t="s">
        <v>312</v>
      </c>
      <c r="H552" s="6" t="str">
        <f>VLOOKUP(A552,Jogos!A:L,12,0)</f>
        <v>Open</v>
      </c>
      <c r="I552" s="6" t="str">
        <f>VLOOKUP(G552,'Estádios e Cidades'!A:B,2,0)</f>
        <v>Seatte</v>
      </c>
      <c r="J552" s="11" t="s">
        <v>188</v>
      </c>
      <c r="K552" s="2" t="str">
        <f>VLOOKUP(J552,Equipes!A:F,6,0)</f>
        <v>Temperate</v>
      </c>
      <c r="L552" s="2">
        <f>VLOOKUP(J552,Equipes!A:C,3,0)</f>
        <v>17</v>
      </c>
      <c r="M552" s="2" t="str">
        <f t="shared" si="4"/>
        <v>Group</v>
      </c>
      <c r="N552" s="11" t="s">
        <v>314</v>
      </c>
      <c r="O552" s="2">
        <f>VLOOKUP(N552,Equipes!A:C,3,0)</f>
        <v>29</v>
      </c>
      <c r="P552" s="2" t="str">
        <f t="shared" si="5"/>
        <v>Group</v>
      </c>
      <c r="Q552" s="2">
        <f t="shared" si="6"/>
        <v>-12</v>
      </c>
      <c r="R552" s="2" t="str">
        <f>VLOOKUP(J552,Equipes!A:B,2,0)</f>
        <v>Atletico</v>
      </c>
      <c r="S552" s="14" t="s">
        <v>1088</v>
      </c>
      <c r="T552" s="7">
        <v>2.0</v>
      </c>
      <c r="U552" s="7" t="s">
        <v>1089</v>
      </c>
      <c r="V552" s="7" t="str">
        <f>VLOOKUP(U552,Jogadores!B:C,2,0)</f>
        <v>DF</v>
      </c>
      <c r="W552" s="8">
        <f>VLOOKUP(U552,Jogadores!B:D,3,0)</f>
        <v>30.53972603</v>
      </c>
      <c r="X552" s="7">
        <v>0.0</v>
      </c>
      <c r="Y552" s="7">
        <v>45.0</v>
      </c>
      <c r="Z552" s="7">
        <f>VLOOKUP(A552,Jogos!A:L,3,0)</f>
        <v>48</v>
      </c>
      <c r="AA552" s="7">
        <f t="shared" si="7"/>
        <v>48</v>
      </c>
      <c r="AB552" s="7">
        <f>VLOOKUP(A552,Jogos!A:L,4,0)</f>
        <v>50</v>
      </c>
      <c r="AC552" s="7">
        <f t="shared" si="657"/>
        <v>0</v>
      </c>
      <c r="AD552" s="7"/>
      <c r="AE552" s="7"/>
      <c r="AF552" s="7">
        <f t="shared" si="9"/>
        <v>48</v>
      </c>
      <c r="AG552" s="7">
        <v>5220.2</v>
      </c>
      <c r="AH552" s="7">
        <v>1981.3</v>
      </c>
      <c r="AI552" s="7">
        <v>2084.3</v>
      </c>
      <c r="AJ552" s="7">
        <v>797.8</v>
      </c>
      <c r="AK552" s="7">
        <v>289.2</v>
      </c>
      <c r="AL552" s="7">
        <v>67.6</v>
      </c>
      <c r="AM552" s="7">
        <v>67.0</v>
      </c>
      <c r="AN552" s="7">
        <v>24.0</v>
      </c>
      <c r="AO552" s="7">
        <v>29.7</v>
      </c>
      <c r="AP552" s="9">
        <f t="shared" ref="AP552:AR552" si="1724">AG552/$AF552</f>
        <v>108.7541667</v>
      </c>
      <c r="AQ552" s="9">
        <f t="shared" si="1724"/>
        <v>41.27708333</v>
      </c>
      <c r="AR552" s="9">
        <f t="shared" si="1724"/>
        <v>43.42291667</v>
      </c>
      <c r="AS552" s="9">
        <f t="shared" si="11"/>
        <v>84.7</v>
      </c>
      <c r="AT552" s="9">
        <f t="shared" ref="AT552:AV552" si="1725">AJ552/$AF552</f>
        <v>16.62083333</v>
      </c>
      <c r="AU552" s="9">
        <f t="shared" si="1725"/>
        <v>6.025</v>
      </c>
      <c r="AV552" s="9">
        <f t="shared" si="1725"/>
        <v>1.408333333</v>
      </c>
      <c r="AW552" s="9">
        <f t="shared" si="13"/>
        <v>7.433333333</v>
      </c>
      <c r="AX552" s="9">
        <f t="shared" ref="AX552:AY552" si="1726">AM552/$AF552</f>
        <v>1.395833333</v>
      </c>
      <c r="AY552" s="9">
        <f t="shared" si="1726"/>
        <v>0.5</v>
      </c>
      <c r="AZ552" s="9">
        <f>VLOOKUP(A552,Jogos!A:BN,58,0)</f>
        <v>19.135</v>
      </c>
      <c r="BA552" s="9">
        <f>VLOOKUP(A552,Jogos!A:BN,59,0)</f>
        <v>7.739</v>
      </c>
      <c r="BB552" s="9">
        <f>VLOOKUP(A552,Jogos!A:BN,60,0)</f>
        <v>47</v>
      </c>
      <c r="BC552" s="9">
        <f>VLOOKUP(A552,Jogos!A:BN,61,0)</f>
        <v>16.42</v>
      </c>
      <c r="BD552" s="9">
        <f>VLOOKUP(A552,Jogos!A:BN,62,0)</f>
        <v>385.5</v>
      </c>
      <c r="BE552" s="9">
        <f>VLOOKUP(A552,Jogos!A:BN,63,0)</f>
        <v>1.225</v>
      </c>
      <c r="BF552" s="9">
        <f>VLOOKUP(A552,Jogos!A:BN,64,0)</f>
        <v>15.825</v>
      </c>
      <c r="BG552" s="9">
        <f>VLOOKUP(A552,Jogos!A:BN,65,0)</f>
        <v>29.025</v>
      </c>
      <c r="BH552" s="9">
        <f>VLOOKUP(A552,Jogos!A:BN,66,0)</f>
        <v>18.795</v>
      </c>
      <c r="BI552" s="9"/>
    </row>
    <row r="553" hidden="1">
      <c r="A553" s="10">
        <v>19.0</v>
      </c>
      <c r="B553" s="11" t="s">
        <v>185</v>
      </c>
      <c r="C553" s="2" t="s">
        <v>61</v>
      </c>
      <c r="D553" s="12">
        <v>45827.0</v>
      </c>
      <c r="E553" s="13">
        <v>0.625</v>
      </c>
      <c r="F553" s="5" t="str">
        <f>VLOOKUP(A553,Jogos!A:N,10,0)</f>
        <v>Afternoon</v>
      </c>
      <c r="G553" s="11" t="s">
        <v>312</v>
      </c>
      <c r="H553" s="6" t="str">
        <f>VLOOKUP(A553,Jogos!A:L,12,0)</f>
        <v>Open</v>
      </c>
      <c r="I553" s="6" t="str">
        <f>VLOOKUP(G553,'Estádios e Cidades'!A:B,2,0)</f>
        <v>Seatte</v>
      </c>
      <c r="J553" s="11" t="s">
        <v>188</v>
      </c>
      <c r="K553" s="2" t="str">
        <f>VLOOKUP(J553,Equipes!A:F,6,0)</f>
        <v>Temperate</v>
      </c>
      <c r="L553" s="2">
        <f>VLOOKUP(J553,Equipes!A:C,3,0)</f>
        <v>17</v>
      </c>
      <c r="M553" s="2" t="str">
        <f t="shared" si="4"/>
        <v>Group</v>
      </c>
      <c r="N553" s="11" t="s">
        <v>314</v>
      </c>
      <c r="O553" s="2">
        <f>VLOOKUP(N553,Equipes!A:C,3,0)</f>
        <v>29</v>
      </c>
      <c r="P553" s="2" t="str">
        <f t="shared" si="5"/>
        <v>Group</v>
      </c>
      <c r="Q553" s="2">
        <f t="shared" si="6"/>
        <v>-12</v>
      </c>
      <c r="R553" s="2" t="str">
        <f>VLOOKUP(J553,Equipes!A:B,2,0)</f>
        <v>Atletico</v>
      </c>
      <c r="S553" s="6" t="s">
        <v>219</v>
      </c>
      <c r="T553" s="7">
        <v>5.0</v>
      </c>
      <c r="U553" s="7" t="s">
        <v>220</v>
      </c>
      <c r="V553" s="7" t="str">
        <f>VLOOKUP(U553,Jogadores!B:C,2,0)</f>
        <v>MF</v>
      </c>
      <c r="W553" s="8">
        <f>VLOOKUP(U553,Jogadores!B:D,3,0)</f>
        <v>31.2</v>
      </c>
      <c r="X553" s="7">
        <v>0.0</v>
      </c>
      <c r="Y553" s="7">
        <v>66.0</v>
      </c>
      <c r="Z553" s="7">
        <f>VLOOKUP(A553,Jogos!A:L,3,0)</f>
        <v>48</v>
      </c>
      <c r="AA553" s="7">
        <f t="shared" si="7"/>
        <v>48</v>
      </c>
      <c r="AB553" s="7">
        <f>VLOOKUP(A553,Jogos!A:L,4,0)</f>
        <v>50</v>
      </c>
      <c r="AC553" s="7">
        <f t="shared" si="657"/>
        <v>21</v>
      </c>
      <c r="AD553" s="7"/>
      <c r="AE553" s="7"/>
      <c r="AF553" s="7">
        <f t="shared" si="9"/>
        <v>69</v>
      </c>
      <c r="AG553" s="7">
        <v>7870.9</v>
      </c>
      <c r="AH553" s="7">
        <v>2721.5</v>
      </c>
      <c r="AI553" s="7">
        <v>3114.9</v>
      </c>
      <c r="AJ553" s="7">
        <v>1243.6</v>
      </c>
      <c r="AK553" s="7">
        <v>573.2</v>
      </c>
      <c r="AL553" s="7">
        <v>217.8</v>
      </c>
      <c r="AM553" s="7">
        <v>108.0</v>
      </c>
      <c r="AN553" s="7">
        <v>43.0</v>
      </c>
      <c r="AO553" s="7">
        <v>31.7</v>
      </c>
      <c r="AP553" s="9">
        <f t="shared" ref="AP553:AR553" si="1727">AG553/$AF553</f>
        <v>114.0710145</v>
      </c>
      <c r="AQ553" s="9">
        <f t="shared" si="1727"/>
        <v>39.44202899</v>
      </c>
      <c r="AR553" s="9">
        <f t="shared" si="1727"/>
        <v>45.14347826</v>
      </c>
      <c r="AS553" s="9">
        <f t="shared" si="11"/>
        <v>84.58550725</v>
      </c>
      <c r="AT553" s="9">
        <f t="shared" ref="AT553:AV553" si="1728">AJ553/$AF553</f>
        <v>18.02318841</v>
      </c>
      <c r="AU553" s="9">
        <f t="shared" si="1728"/>
        <v>8.307246377</v>
      </c>
      <c r="AV553" s="9">
        <f t="shared" si="1728"/>
        <v>3.156521739</v>
      </c>
      <c r="AW553" s="9">
        <f t="shared" si="13"/>
        <v>11.46376812</v>
      </c>
      <c r="AX553" s="9">
        <f t="shared" ref="AX553:AY553" si="1729">AM553/$AF553</f>
        <v>1.565217391</v>
      </c>
      <c r="AY553" s="9">
        <f t="shared" si="1729"/>
        <v>0.6231884058</v>
      </c>
      <c r="AZ553" s="9">
        <f>VLOOKUP(A553,Jogos!A:BN,58,0)</f>
        <v>19.135</v>
      </c>
      <c r="BA553" s="9">
        <f>VLOOKUP(A553,Jogos!A:BN,59,0)</f>
        <v>7.739</v>
      </c>
      <c r="BB553" s="9">
        <f>VLOOKUP(A553,Jogos!A:BN,60,0)</f>
        <v>47</v>
      </c>
      <c r="BC553" s="9">
        <f>VLOOKUP(A553,Jogos!A:BN,61,0)</f>
        <v>16.42</v>
      </c>
      <c r="BD553" s="9">
        <f>VLOOKUP(A553,Jogos!A:BN,62,0)</f>
        <v>385.5</v>
      </c>
      <c r="BE553" s="9">
        <f>VLOOKUP(A553,Jogos!A:BN,63,0)</f>
        <v>1.225</v>
      </c>
      <c r="BF553" s="9">
        <f>VLOOKUP(A553,Jogos!A:BN,64,0)</f>
        <v>15.825</v>
      </c>
      <c r="BG553" s="9">
        <f>VLOOKUP(A553,Jogos!A:BN,65,0)</f>
        <v>29.025</v>
      </c>
      <c r="BH553" s="9">
        <f>VLOOKUP(A553,Jogos!A:BN,66,0)</f>
        <v>18.795</v>
      </c>
      <c r="BI553" s="9"/>
    </row>
    <row r="554" hidden="1">
      <c r="A554" s="10">
        <v>19.0</v>
      </c>
      <c r="B554" s="11" t="s">
        <v>185</v>
      </c>
      <c r="C554" s="2" t="s">
        <v>61</v>
      </c>
      <c r="D554" s="12">
        <v>45827.0</v>
      </c>
      <c r="E554" s="13">
        <v>0.625</v>
      </c>
      <c r="F554" s="5" t="str">
        <f>VLOOKUP(A554,Jogos!A:N,10,0)</f>
        <v>Afternoon</v>
      </c>
      <c r="G554" s="11" t="s">
        <v>312</v>
      </c>
      <c r="H554" s="6" t="str">
        <f>VLOOKUP(A554,Jogos!A:L,12,0)</f>
        <v>Open</v>
      </c>
      <c r="I554" s="6" t="str">
        <f>VLOOKUP(G554,'Estádios e Cidades'!A:B,2,0)</f>
        <v>Seatte</v>
      </c>
      <c r="J554" s="11" t="s">
        <v>188</v>
      </c>
      <c r="K554" s="2" t="str">
        <f>VLOOKUP(J554,Equipes!A:F,6,0)</f>
        <v>Temperate</v>
      </c>
      <c r="L554" s="2">
        <f>VLOOKUP(J554,Equipes!A:C,3,0)</f>
        <v>17</v>
      </c>
      <c r="M554" s="2" t="str">
        <f t="shared" si="4"/>
        <v>Group</v>
      </c>
      <c r="N554" s="11" t="s">
        <v>314</v>
      </c>
      <c r="O554" s="2">
        <f>VLOOKUP(N554,Equipes!A:C,3,0)</f>
        <v>29</v>
      </c>
      <c r="P554" s="2" t="str">
        <f t="shared" si="5"/>
        <v>Group</v>
      </c>
      <c r="Q554" s="2">
        <f t="shared" si="6"/>
        <v>-12</v>
      </c>
      <c r="R554" s="2" t="str">
        <f>VLOOKUP(J554,Equipes!A:B,2,0)</f>
        <v>Atletico</v>
      </c>
      <c r="S554" s="6" t="s">
        <v>241</v>
      </c>
      <c r="T554" s="7">
        <v>6.0</v>
      </c>
      <c r="U554" s="7" t="s">
        <v>242</v>
      </c>
      <c r="V554" s="7" t="str">
        <f>VLOOKUP(U554,Jogadores!B:C,2,0)</f>
        <v>MF</v>
      </c>
      <c r="W554" s="8">
        <f>VLOOKUP(U554,Jogadores!B:D,3,0)</f>
        <v>33.57534247</v>
      </c>
      <c r="X554" s="7">
        <v>0.0</v>
      </c>
      <c r="Y554" s="7">
        <v>70.0</v>
      </c>
      <c r="Z554" s="7">
        <f>VLOOKUP(A554,Jogos!A:L,3,0)</f>
        <v>48</v>
      </c>
      <c r="AA554" s="7">
        <f t="shared" si="7"/>
        <v>48</v>
      </c>
      <c r="AB554" s="7">
        <f>VLOOKUP(A554,Jogos!A:L,4,0)</f>
        <v>50</v>
      </c>
      <c r="AC554" s="7">
        <f t="shared" si="657"/>
        <v>25</v>
      </c>
      <c r="AD554" s="7"/>
      <c r="AE554" s="7"/>
      <c r="AF554" s="7">
        <f t="shared" si="9"/>
        <v>73</v>
      </c>
      <c r="AG554" s="7">
        <v>9359.2</v>
      </c>
      <c r="AH554" s="7">
        <v>2450.1</v>
      </c>
      <c r="AI554" s="7">
        <v>3897.3</v>
      </c>
      <c r="AJ554" s="7">
        <v>2392.3</v>
      </c>
      <c r="AK554" s="7">
        <v>592.1</v>
      </c>
      <c r="AL554" s="7">
        <v>27.3</v>
      </c>
      <c r="AM554" s="7">
        <v>185.0</v>
      </c>
      <c r="AN554" s="7">
        <v>43.0</v>
      </c>
      <c r="AO554" s="7">
        <v>26.2</v>
      </c>
      <c r="AP554" s="9">
        <f t="shared" ref="AP554:AR554" si="1730">AG554/$AF554</f>
        <v>128.2082192</v>
      </c>
      <c r="AQ554" s="9">
        <f t="shared" si="1730"/>
        <v>33.5630137</v>
      </c>
      <c r="AR554" s="9">
        <f t="shared" si="1730"/>
        <v>53.38767123</v>
      </c>
      <c r="AS554" s="9">
        <f t="shared" si="11"/>
        <v>86.95068493</v>
      </c>
      <c r="AT554" s="9">
        <f t="shared" ref="AT554:AV554" si="1731">AJ554/$AF554</f>
        <v>32.77123288</v>
      </c>
      <c r="AU554" s="9">
        <f t="shared" si="1731"/>
        <v>8.110958904</v>
      </c>
      <c r="AV554" s="9">
        <f t="shared" si="1731"/>
        <v>0.3739726027</v>
      </c>
      <c r="AW554" s="9">
        <f t="shared" si="13"/>
        <v>8.484931507</v>
      </c>
      <c r="AX554" s="9">
        <f t="shared" ref="AX554:AY554" si="1732">AM554/$AF554</f>
        <v>2.534246575</v>
      </c>
      <c r="AY554" s="9">
        <f t="shared" si="1732"/>
        <v>0.5890410959</v>
      </c>
      <c r="AZ554" s="9">
        <f>VLOOKUP(A554,Jogos!A:BN,58,0)</f>
        <v>19.135</v>
      </c>
      <c r="BA554" s="9">
        <f>VLOOKUP(A554,Jogos!A:BN,59,0)</f>
        <v>7.739</v>
      </c>
      <c r="BB554" s="9">
        <f>VLOOKUP(A554,Jogos!A:BN,60,0)</f>
        <v>47</v>
      </c>
      <c r="BC554" s="9">
        <f>VLOOKUP(A554,Jogos!A:BN,61,0)</f>
        <v>16.42</v>
      </c>
      <c r="BD554" s="9">
        <f>VLOOKUP(A554,Jogos!A:BN,62,0)</f>
        <v>385.5</v>
      </c>
      <c r="BE554" s="9">
        <f>VLOOKUP(A554,Jogos!A:BN,63,0)</f>
        <v>1.225</v>
      </c>
      <c r="BF554" s="9">
        <f>VLOOKUP(A554,Jogos!A:BN,64,0)</f>
        <v>15.825</v>
      </c>
      <c r="BG554" s="9">
        <f>VLOOKUP(A554,Jogos!A:BN,65,0)</f>
        <v>29.025</v>
      </c>
      <c r="BH554" s="9">
        <f>VLOOKUP(A554,Jogos!A:BN,66,0)</f>
        <v>18.795</v>
      </c>
      <c r="BI554" s="9"/>
    </row>
    <row r="555" hidden="1">
      <c r="A555" s="10">
        <v>19.0</v>
      </c>
      <c r="B555" s="11" t="s">
        <v>185</v>
      </c>
      <c r="C555" s="2" t="s">
        <v>61</v>
      </c>
      <c r="D555" s="12">
        <v>45827.0</v>
      </c>
      <c r="E555" s="13">
        <v>0.625</v>
      </c>
      <c r="F555" s="5" t="str">
        <f>VLOOKUP(A555,Jogos!A:N,10,0)</f>
        <v>Afternoon</v>
      </c>
      <c r="G555" s="11" t="s">
        <v>312</v>
      </c>
      <c r="H555" s="6" t="str">
        <f>VLOOKUP(A555,Jogos!A:L,12,0)</f>
        <v>Open</v>
      </c>
      <c r="I555" s="6" t="str">
        <f>VLOOKUP(G555,'Estádios e Cidades'!A:B,2,0)</f>
        <v>Seatte</v>
      </c>
      <c r="J555" s="11" t="s">
        <v>188</v>
      </c>
      <c r="K555" s="2" t="str">
        <f>VLOOKUP(J555,Equipes!A:F,6,0)</f>
        <v>Temperate</v>
      </c>
      <c r="L555" s="2">
        <f>VLOOKUP(J555,Equipes!A:C,3,0)</f>
        <v>17</v>
      </c>
      <c r="M555" s="2" t="str">
        <f t="shared" si="4"/>
        <v>Group</v>
      </c>
      <c r="N555" s="11" t="s">
        <v>314</v>
      </c>
      <c r="O555" s="2">
        <f>VLOOKUP(N555,Equipes!A:C,3,0)</f>
        <v>29</v>
      </c>
      <c r="P555" s="2" t="str">
        <f t="shared" si="5"/>
        <v>Group</v>
      </c>
      <c r="Q555" s="2">
        <f t="shared" si="6"/>
        <v>-12</v>
      </c>
      <c r="R555" s="2" t="str">
        <f>VLOOKUP(J555,Equipes!A:B,2,0)</f>
        <v>Atletico</v>
      </c>
      <c r="S555" s="6" t="s">
        <v>223</v>
      </c>
      <c r="T555" s="7">
        <v>8.0</v>
      </c>
      <c r="U555" s="7" t="s">
        <v>224</v>
      </c>
      <c r="V555" s="7" t="str">
        <f>VLOOKUP(U555,Jogadores!B:C,2,0)</f>
        <v>MF</v>
      </c>
      <c r="W555" s="8">
        <f>VLOOKUP(U555,Jogadores!B:D,3,0)</f>
        <v>22.13424658</v>
      </c>
      <c r="X555" s="7">
        <v>0.0</v>
      </c>
      <c r="Y555" s="7">
        <f>45+AB555</f>
        <v>95</v>
      </c>
      <c r="Z555" s="7">
        <f>VLOOKUP(A555,Jogos!A:L,3,0)</f>
        <v>48</v>
      </c>
      <c r="AA555" s="7">
        <f t="shared" si="7"/>
        <v>48</v>
      </c>
      <c r="AB555" s="7">
        <f>VLOOKUP(A555,Jogos!A:L,4,0)</f>
        <v>50</v>
      </c>
      <c r="AC555" s="7">
        <f t="shared" si="657"/>
        <v>50</v>
      </c>
      <c r="AD555" s="7"/>
      <c r="AE555" s="7"/>
      <c r="AF555" s="7">
        <f t="shared" si="9"/>
        <v>98</v>
      </c>
      <c r="AG555" s="7">
        <v>11445.0</v>
      </c>
      <c r="AH555" s="7">
        <v>3587.4</v>
      </c>
      <c r="AI555" s="7">
        <v>4999.4</v>
      </c>
      <c r="AJ555" s="7">
        <v>1927.3</v>
      </c>
      <c r="AK555" s="7">
        <v>676.5</v>
      </c>
      <c r="AL555" s="7">
        <v>254.5</v>
      </c>
      <c r="AM555" s="7">
        <v>178.0</v>
      </c>
      <c r="AN555" s="7">
        <v>52.0</v>
      </c>
      <c r="AO555" s="7">
        <v>32.7</v>
      </c>
      <c r="AP555" s="9">
        <f t="shared" ref="AP555:AR555" si="1733">AG555/$AF555</f>
        <v>116.7857143</v>
      </c>
      <c r="AQ555" s="9">
        <f t="shared" si="1733"/>
        <v>36.60612245</v>
      </c>
      <c r="AR555" s="9">
        <f t="shared" si="1733"/>
        <v>51.01428571</v>
      </c>
      <c r="AS555" s="9">
        <f t="shared" si="11"/>
        <v>87.62040816</v>
      </c>
      <c r="AT555" s="9">
        <f t="shared" ref="AT555:AV555" si="1734">AJ555/$AF555</f>
        <v>19.66632653</v>
      </c>
      <c r="AU555" s="9">
        <f t="shared" si="1734"/>
        <v>6.903061224</v>
      </c>
      <c r="AV555" s="9">
        <f t="shared" si="1734"/>
        <v>2.596938776</v>
      </c>
      <c r="AW555" s="9">
        <f t="shared" si="13"/>
        <v>9.5</v>
      </c>
      <c r="AX555" s="9">
        <f t="shared" ref="AX555:AY555" si="1735">AM555/$AF555</f>
        <v>1.816326531</v>
      </c>
      <c r="AY555" s="9">
        <f t="shared" si="1735"/>
        <v>0.5306122449</v>
      </c>
      <c r="AZ555" s="9">
        <f>VLOOKUP(A555,Jogos!A:BN,58,0)</f>
        <v>19.135</v>
      </c>
      <c r="BA555" s="9">
        <f>VLOOKUP(A555,Jogos!A:BN,59,0)</f>
        <v>7.739</v>
      </c>
      <c r="BB555" s="9">
        <f>VLOOKUP(A555,Jogos!A:BN,60,0)</f>
        <v>47</v>
      </c>
      <c r="BC555" s="9">
        <f>VLOOKUP(A555,Jogos!A:BN,61,0)</f>
        <v>16.42</v>
      </c>
      <c r="BD555" s="9">
        <f>VLOOKUP(A555,Jogos!A:BN,62,0)</f>
        <v>385.5</v>
      </c>
      <c r="BE555" s="9">
        <f>VLOOKUP(A555,Jogos!A:BN,63,0)</f>
        <v>1.225</v>
      </c>
      <c r="BF555" s="9">
        <f>VLOOKUP(A555,Jogos!A:BN,64,0)</f>
        <v>15.825</v>
      </c>
      <c r="BG555" s="9">
        <f>VLOOKUP(A555,Jogos!A:BN,65,0)</f>
        <v>29.025</v>
      </c>
      <c r="BH555" s="9">
        <f>VLOOKUP(A555,Jogos!A:BN,66,0)</f>
        <v>18.795</v>
      </c>
      <c r="BI555" s="9"/>
    </row>
    <row r="556" hidden="1">
      <c r="A556" s="10">
        <v>19.0</v>
      </c>
      <c r="B556" s="11" t="s">
        <v>185</v>
      </c>
      <c r="C556" s="2" t="s">
        <v>61</v>
      </c>
      <c r="D556" s="12">
        <v>45827.0</v>
      </c>
      <c r="E556" s="13">
        <v>0.625</v>
      </c>
      <c r="F556" s="5" t="str">
        <f>VLOOKUP(A556,Jogos!A:N,10,0)</f>
        <v>Afternoon</v>
      </c>
      <c r="G556" s="11" t="s">
        <v>312</v>
      </c>
      <c r="H556" s="6" t="str">
        <f>VLOOKUP(A556,Jogos!A:L,12,0)</f>
        <v>Open</v>
      </c>
      <c r="I556" s="6" t="str">
        <f>VLOOKUP(G556,'Estádios e Cidades'!A:B,2,0)</f>
        <v>Seatte</v>
      </c>
      <c r="J556" s="11" t="s">
        <v>188</v>
      </c>
      <c r="K556" s="2" t="str">
        <f>VLOOKUP(J556,Equipes!A:F,6,0)</f>
        <v>Temperate</v>
      </c>
      <c r="L556" s="2">
        <f>VLOOKUP(J556,Equipes!A:C,3,0)</f>
        <v>17</v>
      </c>
      <c r="M556" s="2" t="str">
        <f t="shared" si="4"/>
        <v>Group</v>
      </c>
      <c r="N556" s="11" t="s">
        <v>314</v>
      </c>
      <c r="O556" s="2">
        <f>VLOOKUP(N556,Equipes!A:C,3,0)</f>
        <v>29</v>
      </c>
      <c r="P556" s="2" t="str">
        <f t="shared" si="5"/>
        <v>Group</v>
      </c>
      <c r="Q556" s="2">
        <f t="shared" si="6"/>
        <v>-12</v>
      </c>
      <c r="R556" s="2" t="str">
        <f>VLOOKUP(J556,Equipes!A:B,2,0)</f>
        <v>Atletico</v>
      </c>
      <c r="S556" s="6" t="s">
        <v>243</v>
      </c>
      <c r="T556" s="7">
        <v>9.0</v>
      </c>
      <c r="U556" s="7" t="s">
        <v>244</v>
      </c>
      <c r="V556" s="7" t="str">
        <f>VLOOKUP(U556,Jogadores!B:C,2,0)</f>
        <v>FW</v>
      </c>
      <c r="W556" s="8">
        <f>VLOOKUP(U556,Jogadores!B:D,3,0)</f>
        <v>29.66575342</v>
      </c>
      <c r="X556" s="7">
        <v>0.0</v>
      </c>
      <c r="Y556" s="7">
        <v>66.0</v>
      </c>
      <c r="Z556" s="7">
        <f>VLOOKUP(A556,Jogos!A:L,3,0)</f>
        <v>48</v>
      </c>
      <c r="AA556" s="7">
        <f t="shared" si="7"/>
        <v>48</v>
      </c>
      <c r="AB556" s="7">
        <f>VLOOKUP(A556,Jogos!A:L,4,0)</f>
        <v>50</v>
      </c>
      <c r="AC556" s="7">
        <f t="shared" si="657"/>
        <v>21</v>
      </c>
      <c r="AD556" s="7"/>
      <c r="AE556" s="7"/>
      <c r="AF556" s="7">
        <f t="shared" si="9"/>
        <v>69</v>
      </c>
      <c r="AG556" s="7">
        <v>7008.3</v>
      </c>
      <c r="AH556" s="7">
        <v>2576.8</v>
      </c>
      <c r="AI556" s="7">
        <v>2992.2</v>
      </c>
      <c r="AJ556" s="7">
        <v>840.3</v>
      </c>
      <c r="AK556" s="7">
        <v>407.0</v>
      </c>
      <c r="AL556" s="7">
        <v>191.9</v>
      </c>
      <c r="AM556" s="7">
        <v>68.0</v>
      </c>
      <c r="AN556" s="7">
        <v>35.0</v>
      </c>
      <c r="AO556" s="7">
        <v>32.3</v>
      </c>
      <c r="AP556" s="9">
        <f t="shared" ref="AP556:AR556" si="1736">AG556/$AF556</f>
        <v>101.5695652</v>
      </c>
      <c r="AQ556" s="9">
        <f t="shared" si="1736"/>
        <v>37.34492754</v>
      </c>
      <c r="AR556" s="9">
        <f t="shared" si="1736"/>
        <v>43.36521739</v>
      </c>
      <c r="AS556" s="9">
        <f t="shared" si="11"/>
        <v>80.71014493</v>
      </c>
      <c r="AT556" s="9">
        <f t="shared" ref="AT556:AV556" si="1737">AJ556/$AF556</f>
        <v>12.17826087</v>
      </c>
      <c r="AU556" s="9">
        <f t="shared" si="1737"/>
        <v>5.898550725</v>
      </c>
      <c r="AV556" s="9">
        <f t="shared" si="1737"/>
        <v>2.78115942</v>
      </c>
      <c r="AW556" s="9">
        <f t="shared" si="13"/>
        <v>8.679710145</v>
      </c>
      <c r="AX556" s="9">
        <f t="shared" ref="AX556:AY556" si="1738">AM556/$AF556</f>
        <v>0.9855072464</v>
      </c>
      <c r="AY556" s="9">
        <f t="shared" si="1738"/>
        <v>0.5072463768</v>
      </c>
      <c r="AZ556" s="9">
        <f>VLOOKUP(A556,Jogos!A:BN,58,0)</f>
        <v>19.135</v>
      </c>
      <c r="BA556" s="9">
        <f>VLOOKUP(A556,Jogos!A:BN,59,0)</f>
        <v>7.739</v>
      </c>
      <c r="BB556" s="9">
        <f>VLOOKUP(A556,Jogos!A:BN,60,0)</f>
        <v>47</v>
      </c>
      <c r="BC556" s="9">
        <f>VLOOKUP(A556,Jogos!A:BN,61,0)</f>
        <v>16.42</v>
      </c>
      <c r="BD556" s="9">
        <f>VLOOKUP(A556,Jogos!A:BN,62,0)</f>
        <v>385.5</v>
      </c>
      <c r="BE556" s="9">
        <f>VLOOKUP(A556,Jogos!A:BN,63,0)</f>
        <v>1.225</v>
      </c>
      <c r="BF556" s="9">
        <f>VLOOKUP(A556,Jogos!A:BN,64,0)</f>
        <v>15.825</v>
      </c>
      <c r="BG556" s="9">
        <f>VLOOKUP(A556,Jogos!A:BN,65,0)</f>
        <v>29.025</v>
      </c>
      <c r="BH556" s="9">
        <f>VLOOKUP(A556,Jogos!A:BN,66,0)</f>
        <v>18.795</v>
      </c>
      <c r="BI556" s="9"/>
    </row>
    <row r="557" hidden="1">
      <c r="A557" s="10">
        <v>19.0</v>
      </c>
      <c r="B557" s="11" t="s">
        <v>185</v>
      </c>
      <c r="C557" s="2" t="s">
        <v>61</v>
      </c>
      <c r="D557" s="12">
        <v>45827.0</v>
      </c>
      <c r="E557" s="13">
        <v>0.625</v>
      </c>
      <c r="F557" s="5" t="str">
        <f>VLOOKUP(A557,Jogos!A:N,10,0)</f>
        <v>Afternoon</v>
      </c>
      <c r="G557" s="11" t="s">
        <v>312</v>
      </c>
      <c r="H557" s="6" t="str">
        <f>VLOOKUP(A557,Jogos!A:L,12,0)</f>
        <v>Open</v>
      </c>
      <c r="I557" s="6" t="str">
        <f>VLOOKUP(G557,'Estádios e Cidades'!A:B,2,0)</f>
        <v>Seatte</v>
      </c>
      <c r="J557" s="11" t="s">
        <v>188</v>
      </c>
      <c r="K557" s="2" t="str">
        <f>VLOOKUP(J557,Equipes!A:F,6,0)</f>
        <v>Temperate</v>
      </c>
      <c r="L557" s="2">
        <f>VLOOKUP(J557,Equipes!A:C,3,0)</f>
        <v>17</v>
      </c>
      <c r="M557" s="2" t="str">
        <f t="shared" si="4"/>
        <v>Group</v>
      </c>
      <c r="N557" s="11" t="s">
        <v>314</v>
      </c>
      <c r="O557" s="2">
        <f>VLOOKUP(N557,Equipes!A:C,3,0)</f>
        <v>29</v>
      </c>
      <c r="P557" s="2" t="str">
        <f t="shared" si="5"/>
        <v>Group</v>
      </c>
      <c r="Q557" s="2">
        <f t="shared" si="6"/>
        <v>-12</v>
      </c>
      <c r="R557" s="2" t="str">
        <f>VLOOKUP(J557,Equipes!A:B,2,0)</f>
        <v>Atletico</v>
      </c>
      <c r="S557" s="6" t="s">
        <v>227</v>
      </c>
      <c r="T557" s="7">
        <v>14.0</v>
      </c>
      <c r="U557" s="7" t="s">
        <v>228</v>
      </c>
      <c r="V557" s="7" t="str">
        <f>VLOOKUP(U557,Jogadores!B:C,2,0)</f>
        <v>MF</v>
      </c>
      <c r="W557" s="8">
        <f>VLOOKUP(U557,Jogadores!B:D,3,0)</f>
        <v>30.51232877</v>
      </c>
      <c r="X557" s="7">
        <v>0.0</v>
      </c>
      <c r="Y557" s="7">
        <f>45+AB557</f>
        <v>95</v>
      </c>
      <c r="Z557" s="7">
        <f>VLOOKUP(A557,Jogos!A:L,3,0)</f>
        <v>48</v>
      </c>
      <c r="AA557" s="7">
        <f t="shared" si="7"/>
        <v>48</v>
      </c>
      <c r="AB557" s="7">
        <f>VLOOKUP(A557,Jogos!A:L,4,0)</f>
        <v>50</v>
      </c>
      <c r="AC557" s="7">
        <f t="shared" si="657"/>
        <v>50</v>
      </c>
      <c r="AD557" s="7"/>
      <c r="AE557" s="7"/>
      <c r="AF557" s="7">
        <f t="shared" si="9"/>
        <v>98</v>
      </c>
      <c r="AG557" s="7">
        <v>10428.6</v>
      </c>
      <c r="AH557" s="7">
        <v>3897.9</v>
      </c>
      <c r="AI557" s="7">
        <v>4412.5</v>
      </c>
      <c r="AJ557" s="7">
        <v>1194.9</v>
      </c>
      <c r="AK557" s="7">
        <v>567.2</v>
      </c>
      <c r="AL557" s="7">
        <v>356.0</v>
      </c>
      <c r="AM557" s="7">
        <v>105.0</v>
      </c>
      <c r="AN557" s="7">
        <v>52.0</v>
      </c>
      <c r="AO557" s="7">
        <v>32.2</v>
      </c>
      <c r="AP557" s="9">
        <f t="shared" ref="AP557:AR557" si="1739">AG557/$AF557</f>
        <v>106.4142857</v>
      </c>
      <c r="AQ557" s="9">
        <f t="shared" si="1739"/>
        <v>39.7744898</v>
      </c>
      <c r="AR557" s="9">
        <f t="shared" si="1739"/>
        <v>45.0255102</v>
      </c>
      <c r="AS557" s="9">
        <f t="shared" si="11"/>
        <v>84.8</v>
      </c>
      <c r="AT557" s="9">
        <f t="shared" ref="AT557:AV557" si="1740">AJ557/$AF557</f>
        <v>12.19285714</v>
      </c>
      <c r="AU557" s="9">
        <f t="shared" si="1740"/>
        <v>5.787755102</v>
      </c>
      <c r="AV557" s="9">
        <f t="shared" si="1740"/>
        <v>3.632653061</v>
      </c>
      <c r="AW557" s="9">
        <f t="shared" si="13"/>
        <v>9.420408163</v>
      </c>
      <c r="AX557" s="9">
        <f t="shared" ref="AX557:AY557" si="1741">AM557/$AF557</f>
        <v>1.071428571</v>
      </c>
      <c r="AY557" s="9">
        <f t="shared" si="1741"/>
        <v>0.5306122449</v>
      </c>
      <c r="AZ557" s="9">
        <f>VLOOKUP(A557,Jogos!A:BN,58,0)</f>
        <v>19.135</v>
      </c>
      <c r="BA557" s="9">
        <f>VLOOKUP(A557,Jogos!A:BN,59,0)</f>
        <v>7.739</v>
      </c>
      <c r="BB557" s="9">
        <f>VLOOKUP(A557,Jogos!A:BN,60,0)</f>
        <v>47</v>
      </c>
      <c r="BC557" s="9">
        <f>VLOOKUP(A557,Jogos!A:BN,61,0)</f>
        <v>16.42</v>
      </c>
      <c r="BD557" s="9">
        <f>VLOOKUP(A557,Jogos!A:BN,62,0)</f>
        <v>385.5</v>
      </c>
      <c r="BE557" s="9">
        <f>VLOOKUP(A557,Jogos!A:BN,63,0)</f>
        <v>1.225</v>
      </c>
      <c r="BF557" s="9">
        <f>VLOOKUP(A557,Jogos!A:BN,64,0)</f>
        <v>15.825</v>
      </c>
      <c r="BG557" s="9">
        <f>VLOOKUP(A557,Jogos!A:BN,65,0)</f>
        <v>29.025</v>
      </c>
      <c r="BH557" s="9">
        <f>VLOOKUP(A557,Jogos!A:BN,66,0)</f>
        <v>18.795</v>
      </c>
      <c r="BI557" s="9"/>
    </row>
    <row r="558" hidden="1">
      <c r="A558" s="10">
        <v>19.0</v>
      </c>
      <c r="B558" s="11" t="s">
        <v>185</v>
      </c>
      <c r="C558" s="2" t="s">
        <v>61</v>
      </c>
      <c r="D558" s="12">
        <v>45827.0</v>
      </c>
      <c r="E558" s="13">
        <v>0.625</v>
      </c>
      <c r="F558" s="5" t="str">
        <f>VLOOKUP(A558,Jogos!A:N,10,0)</f>
        <v>Afternoon</v>
      </c>
      <c r="G558" s="11" t="s">
        <v>312</v>
      </c>
      <c r="H558" s="6" t="str">
        <f>VLOOKUP(A558,Jogos!A:L,12,0)</f>
        <v>Open</v>
      </c>
      <c r="I558" s="6" t="str">
        <f>VLOOKUP(G558,'Estádios e Cidades'!A:B,2,0)</f>
        <v>Seatte</v>
      </c>
      <c r="J558" s="11" t="s">
        <v>188</v>
      </c>
      <c r="K558" s="2" t="str">
        <f>VLOOKUP(J558,Equipes!A:F,6,0)</f>
        <v>Temperate</v>
      </c>
      <c r="L558" s="2">
        <f>VLOOKUP(J558,Equipes!A:C,3,0)</f>
        <v>17</v>
      </c>
      <c r="M558" s="2" t="str">
        <f t="shared" si="4"/>
        <v>Group</v>
      </c>
      <c r="N558" s="11" t="s">
        <v>314</v>
      </c>
      <c r="O558" s="2">
        <f>VLOOKUP(N558,Equipes!A:C,3,0)</f>
        <v>29</v>
      </c>
      <c r="P558" s="2" t="str">
        <f t="shared" si="5"/>
        <v>Group</v>
      </c>
      <c r="Q558" s="2">
        <f t="shared" si="6"/>
        <v>-12</v>
      </c>
      <c r="R558" s="2" t="str">
        <f>VLOOKUP(J558,Equipes!A:B,2,0)</f>
        <v>Atletico</v>
      </c>
      <c r="S558" s="6" t="s">
        <v>231</v>
      </c>
      <c r="T558" s="7">
        <v>19.0</v>
      </c>
      <c r="U558" s="7" t="s">
        <v>232</v>
      </c>
      <c r="V558" s="7" t="str">
        <f>VLOOKUP(U558,Jogadores!B:C,2,0)</f>
        <v>FW</v>
      </c>
      <c r="W558" s="8">
        <f>VLOOKUP(U558,Jogadores!B:D,3,0)</f>
        <v>25.50684932</v>
      </c>
      <c r="X558" s="7">
        <v>0.0</v>
      </c>
      <c r="Y558" s="7">
        <v>82.0</v>
      </c>
      <c r="Z558" s="7">
        <f>VLOOKUP(A558,Jogos!A:L,3,0)</f>
        <v>48</v>
      </c>
      <c r="AA558" s="7">
        <f t="shared" si="7"/>
        <v>48</v>
      </c>
      <c r="AB558" s="7">
        <f>VLOOKUP(A558,Jogos!A:L,4,0)</f>
        <v>50</v>
      </c>
      <c r="AC558" s="7">
        <f t="shared" si="657"/>
        <v>37</v>
      </c>
      <c r="AD558" s="7"/>
      <c r="AE558" s="7"/>
      <c r="AF558" s="7">
        <f t="shared" si="9"/>
        <v>85</v>
      </c>
      <c r="AG558" s="7">
        <v>9198.2</v>
      </c>
      <c r="AH558" s="7">
        <v>2878.4</v>
      </c>
      <c r="AI558" s="7">
        <v>4407.2</v>
      </c>
      <c r="AJ558" s="7">
        <v>1262.4</v>
      </c>
      <c r="AK558" s="7">
        <v>493.8</v>
      </c>
      <c r="AL558" s="7">
        <v>156.4</v>
      </c>
      <c r="AM558" s="7">
        <v>107.0</v>
      </c>
      <c r="AN558" s="7">
        <v>40.0</v>
      </c>
      <c r="AO558" s="7">
        <v>31.8</v>
      </c>
      <c r="AP558" s="9">
        <f t="shared" ref="AP558:AR558" si="1742">AG558/$AF558</f>
        <v>108.2141176</v>
      </c>
      <c r="AQ558" s="9">
        <f t="shared" si="1742"/>
        <v>33.86352941</v>
      </c>
      <c r="AR558" s="9">
        <f t="shared" si="1742"/>
        <v>51.84941176</v>
      </c>
      <c r="AS558" s="9">
        <f t="shared" si="11"/>
        <v>85.71294118</v>
      </c>
      <c r="AT558" s="9">
        <f t="shared" ref="AT558:AV558" si="1743">AJ558/$AF558</f>
        <v>14.85176471</v>
      </c>
      <c r="AU558" s="9">
        <f t="shared" si="1743"/>
        <v>5.809411765</v>
      </c>
      <c r="AV558" s="9">
        <f t="shared" si="1743"/>
        <v>1.84</v>
      </c>
      <c r="AW558" s="9">
        <f t="shared" si="13"/>
        <v>7.649411765</v>
      </c>
      <c r="AX558" s="9">
        <f t="shared" ref="AX558:AY558" si="1744">AM558/$AF558</f>
        <v>1.258823529</v>
      </c>
      <c r="AY558" s="9">
        <f t="shared" si="1744"/>
        <v>0.4705882353</v>
      </c>
      <c r="AZ558" s="9">
        <f>VLOOKUP(A558,Jogos!A:BN,58,0)</f>
        <v>19.135</v>
      </c>
      <c r="BA558" s="9">
        <f>VLOOKUP(A558,Jogos!A:BN,59,0)</f>
        <v>7.739</v>
      </c>
      <c r="BB558" s="9">
        <f>VLOOKUP(A558,Jogos!A:BN,60,0)</f>
        <v>47</v>
      </c>
      <c r="BC558" s="9">
        <f>VLOOKUP(A558,Jogos!A:BN,61,0)</f>
        <v>16.42</v>
      </c>
      <c r="BD558" s="9">
        <f>VLOOKUP(A558,Jogos!A:BN,62,0)</f>
        <v>385.5</v>
      </c>
      <c r="BE558" s="9">
        <f>VLOOKUP(A558,Jogos!A:BN,63,0)</f>
        <v>1.225</v>
      </c>
      <c r="BF558" s="9">
        <f>VLOOKUP(A558,Jogos!A:BN,64,0)</f>
        <v>15.825</v>
      </c>
      <c r="BG558" s="9">
        <f>VLOOKUP(A558,Jogos!A:BN,65,0)</f>
        <v>29.025</v>
      </c>
      <c r="BH558" s="9">
        <f>VLOOKUP(A558,Jogos!A:BN,66,0)</f>
        <v>18.795</v>
      </c>
      <c r="BI558" s="9"/>
    </row>
    <row r="559" hidden="1">
      <c r="A559" s="10">
        <v>19.0</v>
      </c>
      <c r="B559" s="11" t="s">
        <v>185</v>
      </c>
      <c r="C559" s="2" t="s">
        <v>61</v>
      </c>
      <c r="D559" s="12">
        <v>45827.0</v>
      </c>
      <c r="E559" s="13">
        <v>0.625</v>
      </c>
      <c r="F559" s="5" t="str">
        <f>VLOOKUP(A559,Jogos!A:N,10,0)</f>
        <v>Afternoon</v>
      </c>
      <c r="G559" s="11" t="s">
        <v>312</v>
      </c>
      <c r="H559" s="6" t="str">
        <f>VLOOKUP(A559,Jogos!A:L,12,0)</f>
        <v>Open</v>
      </c>
      <c r="I559" s="6" t="str">
        <f>VLOOKUP(G559,'Estádios e Cidades'!A:B,2,0)</f>
        <v>Seatte</v>
      </c>
      <c r="J559" s="11" t="s">
        <v>188</v>
      </c>
      <c r="K559" s="2" t="str">
        <f>VLOOKUP(J559,Equipes!A:F,6,0)</f>
        <v>Temperate</v>
      </c>
      <c r="L559" s="2">
        <f>VLOOKUP(J559,Equipes!A:C,3,0)</f>
        <v>17</v>
      </c>
      <c r="M559" s="2" t="str">
        <f t="shared" si="4"/>
        <v>Group</v>
      </c>
      <c r="N559" s="11" t="s">
        <v>314</v>
      </c>
      <c r="O559" s="2">
        <f>VLOOKUP(N559,Equipes!A:C,3,0)</f>
        <v>29</v>
      </c>
      <c r="P559" s="2" t="str">
        <f t="shared" si="5"/>
        <v>Group</v>
      </c>
      <c r="Q559" s="2">
        <f t="shared" si="6"/>
        <v>-12</v>
      </c>
      <c r="R559" s="2" t="str">
        <f>VLOOKUP(J559,Equipes!A:B,2,0)</f>
        <v>Atletico</v>
      </c>
      <c r="S559" s="6" t="s">
        <v>233</v>
      </c>
      <c r="T559" s="7">
        <v>21.0</v>
      </c>
      <c r="U559" s="7" t="s">
        <v>234</v>
      </c>
      <c r="V559" s="7" t="str">
        <f>VLOOKUP(U559,Jogadores!B:C,2,0)</f>
        <v>DF</v>
      </c>
      <c r="W559" s="8">
        <f>VLOOKUP(U559,Jogadores!B:D,3,0)</f>
        <v>30.70958904</v>
      </c>
      <c r="X559" s="7">
        <v>0.0</v>
      </c>
      <c r="Y559" s="7">
        <f t="shared" ref="Y559:Y569" si="1748">45+AB559</f>
        <v>95</v>
      </c>
      <c r="Z559" s="7">
        <f>VLOOKUP(A559,Jogos!A:L,3,0)</f>
        <v>48</v>
      </c>
      <c r="AA559" s="7">
        <f t="shared" si="7"/>
        <v>48</v>
      </c>
      <c r="AB559" s="7">
        <f>VLOOKUP(A559,Jogos!A:L,4,0)</f>
        <v>50</v>
      </c>
      <c r="AC559" s="7">
        <f t="shared" si="657"/>
        <v>50</v>
      </c>
      <c r="AD559" s="7"/>
      <c r="AE559" s="7"/>
      <c r="AF559" s="7">
        <f t="shared" si="9"/>
        <v>98</v>
      </c>
      <c r="AG559" s="7">
        <v>10594.2</v>
      </c>
      <c r="AH559" s="7">
        <v>4073.5</v>
      </c>
      <c r="AI559" s="7">
        <v>4284.7</v>
      </c>
      <c r="AJ559" s="7">
        <v>1359.8</v>
      </c>
      <c r="AK559" s="7">
        <v>508.2</v>
      </c>
      <c r="AL559" s="7">
        <v>368.1</v>
      </c>
      <c r="AM559" s="7">
        <v>112.0</v>
      </c>
      <c r="AN559" s="7">
        <v>45.0</v>
      </c>
      <c r="AO559" s="7">
        <v>32.4</v>
      </c>
      <c r="AP559" s="9">
        <f t="shared" ref="AP559:AR559" si="1745">AG559/$AF559</f>
        <v>108.1040816</v>
      </c>
      <c r="AQ559" s="9">
        <f t="shared" si="1745"/>
        <v>41.56632653</v>
      </c>
      <c r="AR559" s="9">
        <f t="shared" si="1745"/>
        <v>43.72142857</v>
      </c>
      <c r="AS559" s="9">
        <f t="shared" si="11"/>
        <v>85.2877551</v>
      </c>
      <c r="AT559" s="9">
        <f t="shared" ref="AT559:AV559" si="1746">AJ559/$AF559</f>
        <v>13.8755102</v>
      </c>
      <c r="AU559" s="9">
        <f t="shared" si="1746"/>
        <v>5.185714286</v>
      </c>
      <c r="AV559" s="9">
        <f t="shared" si="1746"/>
        <v>3.756122449</v>
      </c>
      <c r="AW559" s="9">
        <f t="shared" si="13"/>
        <v>8.941836735</v>
      </c>
      <c r="AX559" s="9">
        <f t="shared" ref="AX559:AY559" si="1747">AM559/$AF559</f>
        <v>1.142857143</v>
      </c>
      <c r="AY559" s="9">
        <f t="shared" si="1747"/>
        <v>0.4591836735</v>
      </c>
      <c r="AZ559" s="9">
        <f>VLOOKUP(A559,Jogos!A:BN,58,0)</f>
        <v>19.135</v>
      </c>
      <c r="BA559" s="9">
        <f>VLOOKUP(A559,Jogos!A:BN,59,0)</f>
        <v>7.739</v>
      </c>
      <c r="BB559" s="9">
        <f>VLOOKUP(A559,Jogos!A:BN,60,0)</f>
        <v>47</v>
      </c>
      <c r="BC559" s="9">
        <f>VLOOKUP(A559,Jogos!A:BN,61,0)</f>
        <v>16.42</v>
      </c>
      <c r="BD559" s="9">
        <f>VLOOKUP(A559,Jogos!A:BN,62,0)</f>
        <v>385.5</v>
      </c>
      <c r="BE559" s="9">
        <f>VLOOKUP(A559,Jogos!A:BN,63,0)</f>
        <v>1.225</v>
      </c>
      <c r="BF559" s="9">
        <f>VLOOKUP(A559,Jogos!A:BN,64,0)</f>
        <v>15.825</v>
      </c>
      <c r="BG559" s="9">
        <f>VLOOKUP(A559,Jogos!A:BN,65,0)</f>
        <v>29.025</v>
      </c>
      <c r="BH559" s="9">
        <f>VLOOKUP(A559,Jogos!A:BN,66,0)</f>
        <v>18.795</v>
      </c>
      <c r="BI559" s="9"/>
    </row>
    <row r="560" hidden="1">
      <c r="A560" s="10">
        <v>19.0</v>
      </c>
      <c r="B560" s="11" t="s">
        <v>185</v>
      </c>
      <c r="C560" s="2" t="s">
        <v>61</v>
      </c>
      <c r="D560" s="12">
        <v>45827.0</v>
      </c>
      <c r="E560" s="13">
        <v>0.625</v>
      </c>
      <c r="F560" s="5" t="str">
        <f>VLOOKUP(A560,Jogos!A:N,10,0)</f>
        <v>Afternoon</v>
      </c>
      <c r="G560" s="11" t="s">
        <v>312</v>
      </c>
      <c r="H560" s="6" t="str">
        <f>VLOOKUP(A560,Jogos!A:L,12,0)</f>
        <v>Open</v>
      </c>
      <c r="I560" s="6" t="str">
        <f>VLOOKUP(G560,'Estádios e Cidades'!A:B,2,0)</f>
        <v>Seatte</v>
      </c>
      <c r="J560" s="11" t="s">
        <v>188</v>
      </c>
      <c r="K560" s="2" t="str">
        <f>VLOOKUP(J560,Equipes!A:F,6,0)</f>
        <v>Temperate</v>
      </c>
      <c r="L560" s="2">
        <f>VLOOKUP(J560,Equipes!A:C,3,0)</f>
        <v>17</v>
      </c>
      <c r="M560" s="2" t="str">
        <f t="shared" si="4"/>
        <v>Group</v>
      </c>
      <c r="N560" s="11" t="s">
        <v>314</v>
      </c>
      <c r="O560" s="2">
        <f>VLOOKUP(N560,Equipes!A:C,3,0)</f>
        <v>29</v>
      </c>
      <c r="P560" s="2" t="str">
        <f t="shared" si="5"/>
        <v>Group</v>
      </c>
      <c r="Q560" s="2">
        <f t="shared" si="6"/>
        <v>-12</v>
      </c>
      <c r="R560" s="2" t="str">
        <f>VLOOKUP(J560,Equipes!A:B,2,0)</f>
        <v>Atletico</v>
      </c>
      <c r="S560" s="6" t="s">
        <v>235</v>
      </c>
      <c r="T560" s="7">
        <v>22.0</v>
      </c>
      <c r="U560" s="7" t="s">
        <v>236</v>
      </c>
      <c r="V560" s="7" t="str">
        <f>VLOOKUP(U560,Jogadores!B:C,2,0)</f>
        <v>FW</v>
      </c>
      <c r="W560" s="8">
        <f>VLOOKUP(U560,Jogadores!B:D,3,0)</f>
        <v>22.62465753</v>
      </c>
      <c r="X560" s="7">
        <v>0.0</v>
      </c>
      <c r="Y560" s="7">
        <f t="shared" si="1748"/>
        <v>95</v>
      </c>
      <c r="Z560" s="7">
        <f>VLOOKUP(A560,Jogos!A:L,3,0)</f>
        <v>48</v>
      </c>
      <c r="AA560" s="7">
        <f t="shared" si="7"/>
        <v>48</v>
      </c>
      <c r="AB560" s="7">
        <f>VLOOKUP(A560,Jogos!A:L,4,0)</f>
        <v>50</v>
      </c>
      <c r="AC560" s="7">
        <f t="shared" si="657"/>
        <v>50</v>
      </c>
      <c r="AD560" s="7"/>
      <c r="AE560" s="7"/>
      <c r="AF560" s="7">
        <f t="shared" si="9"/>
        <v>98</v>
      </c>
      <c r="AG560" s="7">
        <v>11508.4</v>
      </c>
      <c r="AH560" s="7">
        <v>3735.5</v>
      </c>
      <c r="AI560" s="7">
        <v>4765.2</v>
      </c>
      <c r="AJ560" s="7">
        <v>1729.3</v>
      </c>
      <c r="AK560" s="7">
        <v>752.9</v>
      </c>
      <c r="AL560" s="7">
        <v>525.5</v>
      </c>
      <c r="AM560" s="7">
        <v>144.0</v>
      </c>
      <c r="AN560" s="7">
        <v>64.0</v>
      </c>
      <c r="AO560" s="7">
        <v>34.9</v>
      </c>
      <c r="AP560" s="9">
        <f t="shared" ref="AP560:AR560" si="1749">AG560/$AF560</f>
        <v>117.4326531</v>
      </c>
      <c r="AQ560" s="9">
        <f t="shared" si="1749"/>
        <v>38.11734694</v>
      </c>
      <c r="AR560" s="9">
        <f t="shared" si="1749"/>
        <v>48.6244898</v>
      </c>
      <c r="AS560" s="9">
        <f t="shared" si="11"/>
        <v>86.74183673</v>
      </c>
      <c r="AT560" s="9">
        <f t="shared" ref="AT560:AV560" si="1750">AJ560/$AF560</f>
        <v>17.64591837</v>
      </c>
      <c r="AU560" s="9">
        <f t="shared" si="1750"/>
        <v>7.682653061</v>
      </c>
      <c r="AV560" s="9">
        <f t="shared" si="1750"/>
        <v>5.362244898</v>
      </c>
      <c r="AW560" s="9">
        <f t="shared" si="13"/>
        <v>13.04489796</v>
      </c>
      <c r="AX560" s="9">
        <f t="shared" ref="AX560:AY560" si="1751">AM560/$AF560</f>
        <v>1.469387755</v>
      </c>
      <c r="AY560" s="9">
        <f t="shared" si="1751"/>
        <v>0.6530612245</v>
      </c>
      <c r="AZ560" s="9">
        <f>VLOOKUP(A560,Jogos!A:BN,58,0)</f>
        <v>19.135</v>
      </c>
      <c r="BA560" s="9">
        <f>VLOOKUP(A560,Jogos!A:BN,59,0)</f>
        <v>7.739</v>
      </c>
      <c r="BB560" s="9">
        <f>VLOOKUP(A560,Jogos!A:BN,60,0)</f>
        <v>47</v>
      </c>
      <c r="BC560" s="9">
        <f>VLOOKUP(A560,Jogos!A:BN,61,0)</f>
        <v>16.42</v>
      </c>
      <c r="BD560" s="9">
        <f>VLOOKUP(A560,Jogos!A:BN,62,0)</f>
        <v>385.5</v>
      </c>
      <c r="BE560" s="9">
        <f>VLOOKUP(A560,Jogos!A:BN,63,0)</f>
        <v>1.225</v>
      </c>
      <c r="BF560" s="9">
        <f>VLOOKUP(A560,Jogos!A:BN,64,0)</f>
        <v>15.825</v>
      </c>
      <c r="BG560" s="9">
        <f>VLOOKUP(A560,Jogos!A:BN,65,0)</f>
        <v>29.025</v>
      </c>
      <c r="BH560" s="9">
        <f>VLOOKUP(A560,Jogos!A:BN,66,0)</f>
        <v>18.795</v>
      </c>
      <c r="BI560" s="9"/>
    </row>
    <row r="561" hidden="1">
      <c r="A561" s="10">
        <v>19.0</v>
      </c>
      <c r="B561" s="11" t="s">
        <v>185</v>
      </c>
      <c r="C561" s="2" t="s">
        <v>61</v>
      </c>
      <c r="D561" s="12">
        <v>45827.0</v>
      </c>
      <c r="E561" s="13">
        <v>0.625</v>
      </c>
      <c r="F561" s="5" t="str">
        <f>VLOOKUP(A561,Jogos!A:N,10,0)</f>
        <v>Afternoon</v>
      </c>
      <c r="G561" s="11" t="s">
        <v>312</v>
      </c>
      <c r="H561" s="6" t="str">
        <f>VLOOKUP(A561,Jogos!A:L,12,0)</f>
        <v>Open</v>
      </c>
      <c r="I561" s="6" t="str">
        <f>VLOOKUP(G561,'Estádios e Cidades'!A:B,2,0)</f>
        <v>Seatte</v>
      </c>
      <c r="J561" s="11" t="s">
        <v>188</v>
      </c>
      <c r="K561" s="2" t="str">
        <f>VLOOKUP(J561,Equipes!A:F,6,0)</f>
        <v>Temperate</v>
      </c>
      <c r="L561" s="2">
        <f>VLOOKUP(J561,Equipes!A:C,3,0)</f>
        <v>17</v>
      </c>
      <c r="M561" s="2" t="str">
        <f t="shared" si="4"/>
        <v>Group</v>
      </c>
      <c r="N561" s="11" t="s">
        <v>314</v>
      </c>
      <c r="O561" s="2">
        <f>VLOOKUP(N561,Equipes!A:C,3,0)</f>
        <v>29</v>
      </c>
      <c r="P561" s="2" t="str">
        <f t="shared" si="5"/>
        <v>Group</v>
      </c>
      <c r="Q561" s="2">
        <f t="shared" si="6"/>
        <v>-12</v>
      </c>
      <c r="R561" s="2" t="str">
        <f>VLOOKUP(J561,Equipes!A:B,2,0)</f>
        <v>Atletico</v>
      </c>
      <c r="S561" s="6" t="s">
        <v>237</v>
      </c>
      <c r="T561" s="7">
        <v>24.0</v>
      </c>
      <c r="U561" s="7" t="s">
        <v>238</v>
      </c>
      <c r="V561" s="7" t="str">
        <f>VLOOKUP(U561,Jogadores!B:C,2,0)</f>
        <v>DF</v>
      </c>
      <c r="W561" s="8">
        <f>VLOOKUP(U561,Jogadores!B:D,3,0)</f>
        <v>28.72876712</v>
      </c>
      <c r="X561" s="7">
        <v>0.0</v>
      </c>
      <c r="Y561" s="7">
        <f t="shared" si="1748"/>
        <v>95</v>
      </c>
      <c r="Z561" s="7">
        <f>VLOOKUP(A561,Jogos!A:L,3,0)</f>
        <v>48</v>
      </c>
      <c r="AA561" s="7">
        <f t="shared" si="7"/>
        <v>48</v>
      </c>
      <c r="AB561" s="7">
        <f>VLOOKUP(A561,Jogos!A:L,4,0)</f>
        <v>50</v>
      </c>
      <c r="AC561" s="7">
        <f t="shared" si="657"/>
        <v>50</v>
      </c>
      <c r="AD561" s="7"/>
      <c r="AE561" s="7"/>
      <c r="AF561" s="7">
        <f t="shared" si="9"/>
        <v>98</v>
      </c>
      <c r="AG561" s="7">
        <v>10155.8</v>
      </c>
      <c r="AH561" s="7">
        <v>3965.6</v>
      </c>
      <c r="AI561" s="7">
        <v>4384.6</v>
      </c>
      <c r="AJ561" s="7">
        <v>1367.7</v>
      </c>
      <c r="AK561" s="7">
        <v>292.5</v>
      </c>
      <c r="AL561" s="7">
        <v>145.4</v>
      </c>
      <c r="AM561" s="7">
        <v>117.0</v>
      </c>
      <c r="AN561" s="7">
        <v>30.0</v>
      </c>
      <c r="AO561" s="7">
        <v>30.8</v>
      </c>
      <c r="AP561" s="9">
        <f t="shared" ref="AP561:AR561" si="1752">AG561/$AF561</f>
        <v>103.6306122</v>
      </c>
      <c r="AQ561" s="9">
        <f t="shared" si="1752"/>
        <v>40.46530612</v>
      </c>
      <c r="AR561" s="9">
        <f t="shared" si="1752"/>
        <v>44.74081633</v>
      </c>
      <c r="AS561" s="9">
        <f t="shared" si="11"/>
        <v>85.20612245</v>
      </c>
      <c r="AT561" s="9">
        <f t="shared" ref="AT561:AV561" si="1753">AJ561/$AF561</f>
        <v>13.95612245</v>
      </c>
      <c r="AU561" s="9">
        <f t="shared" si="1753"/>
        <v>2.984693878</v>
      </c>
      <c r="AV561" s="9">
        <f t="shared" si="1753"/>
        <v>1.483673469</v>
      </c>
      <c r="AW561" s="9">
        <f t="shared" si="13"/>
        <v>4.468367347</v>
      </c>
      <c r="AX561" s="9">
        <f t="shared" ref="AX561:AY561" si="1754">AM561/$AF561</f>
        <v>1.193877551</v>
      </c>
      <c r="AY561" s="9">
        <f t="shared" si="1754"/>
        <v>0.306122449</v>
      </c>
      <c r="AZ561" s="9">
        <f>VLOOKUP(A561,Jogos!A:BN,58,0)</f>
        <v>19.135</v>
      </c>
      <c r="BA561" s="9">
        <f>VLOOKUP(A561,Jogos!A:BN,59,0)</f>
        <v>7.739</v>
      </c>
      <c r="BB561" s="9">
        <f>VLOOKUP(A561,Jogos!A:BN,60,0)</f>
        <v>47</v>
      </c>
      <c r="BC561" s="9">
        <f>VLOOKUP(A561,Jogos!A:BN,61,0)</f>
        <v>16.42</v>
      </c>
      <c r="BD561" s="9">
        <f>VLOOKUP(A561,Jogos!A:BN,62,0)</f>
        <v>385.5</v>
      </c>
      <c r="BE561" s="9">
        <f>VLOOKUP(A561,Jogos!A:BN,63,0)</f>
        <v>1.225</v>
      </c>
      <c r="BF561" s="9">
        <f>VLOOKUP(A561,Jogos!A:BN,64,0)</f>
        <v>15.825</v>
      </c>
      <c r="BG561" s="9">
        <f>VLOOKUP(A561,Jogos!A:BN,65,0)</f>
        <v>29.025</v>
      </c>
      <c r="BH561" s="9">
        <f>VLOOKUP(A561,Jogos!A:BN,66,0)</f>
        <v>18.795</v>
      </c>
      <c r="BI561" s="9"/>
    </row>
    <row r="562" hidden="1">
      <c r="A562" s="10">
        <v>19.0</v>
      </c>
      <c r="B562" s="11" t="s">
        <v>185</v>
      </c>
      <c r="C562" s="2" t="s">
        <v>61</v>
      </c>
      <c r="D562" s="12">
        <v>45827.0</v>
      </c>
      <c r="E562" s="13">
        <v>0.625</v>
      </c>
      <c r="F562" s="5" t="str">
        <f>VLOOKUP(A562,Jogos!A:N,10,0)</f>
        <v>Afternoon</v>
      </c>
      <c r="G562" s="11" t="s">
        <v>312</v>
      </c>
      <c r="H562" s="6" t="str">
        <f>VLOOKUP(A562,Jogos!A:L,12,0)</f>
        <v>Open</v>
      </c>
      <c r="I562" s="6" t="str">
        <f>VLOOKUP(G562,'Estádios e Cidades'!A:B,2,0)</f>
        <v>Seatte</v>
      </c>
      <c r="J562" s="11" t="s">
        <v>188</v>
      </c>
      <c r="K562" s="2" t="str">
        <f>VLOOKUP(J562,Equipes!A:F,6,0)</f>
        <v>Temperate</v>
      </c>
      <c r="L562" s="2">
        <f>VLOOKUP(J562,Equipes!A:C,3,0)</f>
        <v>17</v>
      </c>
      <c r="M562" s="2" t="str">
        <f t="shared" si="4"/>
        <v>Group</v>
      </c>
      <c r="N562" s="11" t="s">
        <v>314</v>
      </c>
      <c r="O562" s="2">
        <f>VLOOKUP(N562,Equipes!A:C,3,0)</f>
        <v>29</v>
      </c>
      <c r="P562" s="2" t="str">
        <f t="shared" si="5"/>
        <v>Group</v>
      </c>
      <c r="Q562" s="2">
        <f t="shared" si="6"/>
        <v>-12</v>
      </c>
      <c r="R562" s="2" t="str">
        <f>VLOOKUP(J562,Equipes!A:B,2,0)</f>
        <v>Atletico</v>
      </c>
      <c r="S562" s="6" t="s">
        <v>239</v>
      </c>
      <c r="T562" s="7">
        <v>4.0</v>
      </c>
      <c r="U562" s="7" t="s">
        <v>240</v>
      </c>
      <c r="V562" s="7" t="str">
        <f>VLOOKUP(U562,Jogadores!B:C,2,0)</f>
        <v>MF</v>
      </c>
      <c r="W562" s="8">
        <f>VLOOKUP(U562,Jogadores!B:D,3,0)</f>
        <v>25.49041096</v>
      </c>
      <c r="X562" s="7">
        <v>66.0</v>
      </c>
      <c r="Y562" s="7">
        <f t="shared" si="1748"/>
        <v>95</v>
      </c>
      <c r="Z562" s="7">
        <f>VLOOKUP(A562,Jogos!A:L,3,0)</f>
        <v>48</v>
      </c>
      <c r="AA562" s="7">
        <f t="shared" si="7"/>
        <v>0</v>
      </c>
      <c r="AB562" s="7">
        <f>VLOOKUP(A562,Jogos!A:L,4,0)</f>
        <v>50</v>
      </c>
      <c r="AC562" s="7">
        <f t="shared" si="657"/>
        <v>29</v>
      </c>
      <c r="AD562" s="7"/>
      <c r="AE562" s="7"/>
      <c r="AF562" s="7">
        <f t="shared" si="9"/>
        <v>29</v>
      </c>
      <c r="AG562" s="7">
        <v>3807.6</v>
      </c>
      <c r="AH562" s="7">
        <v>1021.7</v>
      </c>
      <c r="AI562" s="7">
        <v>1776.5</v>
      </c>
      <c r="AJ562" s="7">
        <v>759.1</v>
      </c>
      <c r="AK562" s="7">
        <v>225.5</v>
      </c>
      <c r="AL562" s="7">
        <v>24.8</v>
      </c>
      <c r="AM562" s="7">
        <v>57.0</v>
      </c>
      <c r="AN562" s="7">
        <v>18.0</v>
      </c>
      <c r="AO562" s="7">
        <v>27.6</v>
      </c>
      <c r="AP562" s="9">
        <f t="shared" ref="AP562:AR562" si="1755">AG562/$AF562</f>
        <v>131.2965517</v>
      </c>
      <c r="AQ562" s="9">
        <f t="shared" si="1755"/>
        <v>35.23103448</v>
      </c>
      <c r="AR562" s="9">
        <f t="shared" si="1755"/>
        <v>61.25862069</v>
      </c>
      <c r="AS562" s="9">
        <f t="shared" si="11"/>
        <v>96.48965517</v>
      </c>
      <c r="AT562" s="9">
        <f t="shared" ref="AT562:AV562" si="1756">AJ562/$AF562</f>
        <v>26.17586207</v>
      </c>
      <c r="AU562" s="9">
        <f t="shared" si="1756"/>
        <v>7.775862069</v>
      </c>
      <c r="AV562" s="9">
        <f t="shared" si="1756"/>
        <v>0.8551724138</v>
      </c>
      <c r="AW562" s="9">
        <f t="shared" si="13"/>
        <v>8.631034483</v>
      </c>
      <c r="AX562" s="9">
        <f t="shared" ref="AX562:AY562" si="1757">AM562/$AF562</f>
        <v>1.965517241</v>
      </c>
      <c r="AY562" s="9">
        <f t="shared" si="1757"/>
        <v>0.6206896552</v>
      </c>
      <c r="AZ562" s="9">
        <f>VLOOKUP(A562,Jogos!A:BN,58,0)</f>
        <v>19.135</v>
      </c>
      <c r="BA562" s="9">
        <f>VLOOKUP(A562,Jogos!A:BN,59,0)</f>
        <v>7.739</v>
      </c>
      <c r="BB562" s="9">
        <f>VLOOKUP(A562,Jogos!A:BN,60,0)</f>
        <v>47</v>
      </c>
      <c r="BC562" s="9">
        <f>VLOOKUP(A562,Jogos!A:BN,61,0)</f>
        <v>16.42</v>
      </c>
      <c r="BD562" s="9">
        <f>VLOOKUP(A562,Jogos!A:BN,62,0)</f>
        <v>385.5</v>
      </c>
      <c r="BE562" s="9">
        <f>VLOOKUP(A562,Jogos!A:BN,63,0)</f>
        <v>1.225</v>
      </c>
      <c r="BF562" s="9">
        <f>VLOOKUP(A562,Jogos!A:BN,64,0)</f>
        <v>15.825</v>
      </c>
      <c r="BG562" s="9">
        <f>VLOOKUP(A562,Jogos!A:BN,65,0)</f>
        <v>29.025</v>
      </c>
      <c r="BH562" s="9">
        <f>VLOOKUP(A562,Jogos!A:BN,66,0)</f>
        <v>18.795</v>
      </c>
      <c r="BI562" s="9"/>
    </row>
    <row r="563" hidden="1">
      <c r="A563" s="10">
        <v>19.0</v>
      </c>
      <c r="B563" s="11" t="s">
        <v>185</v>
      </c>
      <c r="C563" s="2" t="s">
        <v>61</v>
      </c>
      <c r="D563" s="12">
        <v>45827.0</v>
      </c>
      <c r="E563" s="13">
        <v>0.625</v>
      </c>
      <c r="F563" s="5" t="str">
        <f>VLOOKUP(A563,Jogos!A:N,10,0)</f>
        <v>Afternoon</v>
      </c>
      <c r="G563" s="11" t="s">
        <v>312</v>
      </c>
      <c r="H563" s="6" t="str">
        <f>VLOOKUP(A563,Jogos!A:L,12,0)</f>
        <v>Open</v>
      </c>
      <c r="I563" s="6" t="str">
        <f>VLOOKUP(G563,'Estádios e Cidades'!A:B,2,0)</f>
        <v>Seatte</v>
      </c>
      <c r="J563" s="11" t="s">
        <v>188</v>
      </c>
      <c r="K563" s="2" t="str">
        <f>VLOOKUP(J563,Equipes!A:F,6,0)</f>
        <v>Temperate</v>
      </c>
      <c r="L563" s="2">
        <f>VLOOKUP(J563,Equipes!A:C,3,0)</f>
        <v>17</v>
      </c>
      <c r="M563" s="2" t="str">
        <f t="shared" si="4"/>
        <v>Group</v>
      </c>
      <c r="N563" s="11" t="s">
        <v>314</v>
      </c>
      <c r="O563" s="2">
        <f>VLOOKUP(N563,Equipes!A:C,3,0)</f>
        <v>29</v>
      </c>
      <c r="P563" s="2" t="str">
        <f t="shared" si="5"/>
        <v>Group</v>
      </c>
      <c r="Q563" s="2">
        <f t="shared" si="6"/>
        <v>-12</v>
      </c>
      <c r="R563" s="2" t="str">
        <f>VLOOKUP(J563,Equipes!A:B,2,0)</f>
        <v>Atletico</v>
      </c>
      <c r="S563" s="6" t="s">
        <v>221</v>
      </c>
      <c r="T563" s="7">
        <v>7.0</v>
      </c>
      <c r="U563" s="7" t="s">
        <v>222</v>
      </c>
      <c r="V563" s="7" t="str">
        <f>VLOOKUP(U563,Jogadores!B:C,2,0)</f>
        <v>FW</v>
      </c>
      <c r="W563" s="8">
        <f>VLOOKUP(U563,Jogadores!B:D,3,0)</f>
        <v>34.37808219</v>
      </c>
      <c r="X563" s="7">
        <v>66.0</v>
      </c>
      <c r="Y563" s="7">
        <f t="shared" si="1748"/>
        <v>95</v>
      </c>
      <c r="Z563" s="7">
        <f>VLOOKUP(A563,Jogos!A:L,3,0)</f>
        <v>48</v>
      </c>
      <c r="AA563" s="7">
        <f t="shared" si="7"/>
        <v>0</v>
      </c>
      <c r="AB563" s="7">
        <f>VLOOKUP(A563,Jogos!A:L,4,0)</f>
        <v>50</v>
      </c>
      <c r="AC563" s="7">
        <f t="shared" si="657"/>
        <v>29</v>
      </c>
      <c r="AD563" s="7"/>
      <c r="AE563" s="7"/>
      <c r="AF563" s="7">
        <f t="shared" si="9"/>
        <v>29</v>
      </c>
      <c r="AG563" s="7">
        <v>3238.9</v>
      </c>
      <c r="AH563" s="7">
        <v>1278.5</v>
      </c>
      <c r="AI563" s="7">
        <v>1295.1</v>
      </c>
      <c r="AJ563" s="7">
        <v>435.0</v>
      </c>
      <c r="AK563" s="7">
        <v>176.0</v>
      </c>
      <c r="AL563" s="7">
        <v>54.3</v>
      </c>
      <c r="AM563" s="7">
        <v>42.0</v>
      </c>
      <c r="AN563" s="7">
        <v>14.0</v>
      </c>
      <c r="AO563" s="7">
        <v>29.2</v>
      </c>
      <c r="AP563" s="9">
        <f t="shared" ref="AP563:AR563" si="1758">AG563/$AF563</f>
        <v>111.6862069</v>
      </c>
      <c r="AQ563" s="9">
        <f t="shared" si="1758"/>
        <v>44.0862069</v>
      </c>
      <c r="AR563" s="9">
        <f t="shared" si="1758"/>
        <v>44.65862069</v>
      </c>
      <c r="AS563" s="9">
        <f t="shared" si="11"/>
        <v>88.74482759</v>
      </c>
      <c r="AT563" s="9">
        <f t="shared" ref="AT563:AV563" si="1759">AJ563/$AF563</f>
        <v>15</v>
      </c>
      <c r="AU563" s="9">
        <f t="shared" si="1759"/>
        <v>6.068965517</v>
      </c>
      <c r="AV563" s="9">
        <f t="shared" si="1759"/>
        <v>1.872413793</v>
      </c>
      <c r="AW563" s="9">
        <f t="shared" si="13"/>
        <v>7.94137931</v>
      </c>
      <c r="AX563" s="9">
        <f t="shared" ref="AX563:AY563" si="1760">AM563/$AF563</f>
        <v>1.448275862</v>
      </c>
      <c r="AY563" s="9">
        <f t="shared" si="1760"/>
        <v>0.4827586207</v>
      </c>
      <c r="AZ563" s="9">
        <f>VLOOKUP(A563,Jogos!A:BN,58,0)</f>
        <v>19.135</v>
      </c>
      <c r="BA563" s="9">
        <f>VLOOKUP(A563,Jogos!A:BN,59,0)</f>
        <v>7.739</v>
      </c>
      <c r="BB563" s="9">
        <f>VLOOKUP(A563,Jogos!A:BN,60,0)</f>
        <v>47</v>
      </c>
      <c r="BC563" s="9">
        <f>VLOOKUP(A563,Jogos!A:BN,61,0)</f>
        <v>16.42</v>
      </c>
      <c r="BD563" s="9">
        <f>VLOOKUP(A563,Jogos!A:BN,62,0)</f>
        <v>385.5</v>
      </c>
      <c r="BE563" s="9">
        <f>VLOOKUP(A563,Jogos!A:BN,63,0)</f>
        <v>1.225</v>
      </c>
      <c r="BF563" s="9">
        <f>VLOOKUP(A563,Jogos!A:BN,64,0)</f>
        <v>15.825</v>
      </c>
      <c r="BG563" s="9">
        <f>VLOOKUP(A563,Jogos!A:BN,65,0)</f>
        <v>29.025</v>
      </c>
      <c r="BH563" s="9">
        <f>VLOOKUP(A563,Jogos!A:BN,66,0)</f>
        <v>18.795</v>
      </c>
      <c r="BI563" s="9"/>
    </row>
    <row r="564" hidden="1">
      <c r="A564" s="10">
        <v>19.0</v>
      </c>
      <c r="B564" s="11" t="s">
        <v>185</v>
      </c>
      <c r="C564" s="2" t="s">
        <v>61</v>
      </c>
      <c r="D564" s="12">
        <v>45827.0</v>
      </c>
      <c r="E564" s="13">
        <v>0.625</v>
      </c>
      <c r="F564" s="5" t="str">
        <f>VLOOKUP(A564,Jogos!A:N,10,0)</f>
        <v>Afternoon</v>
      </c>
      <c r="G564" s="11" t="s">
        <v>312</v>
      </c>
      <c r="H564" s="6" t="str">
        <f>VLOOKUP(A564,Jogos!A:L,12,0)</f>
        <v>Open</v>
      </c>
      <c r="I564" s="6" t="str">
        <f>VLOOKUP(G564,'Estádios e Cidades'!A:B,2,0)</f>
        <v>Seatte</v>
      </c>
      <c r="J564" s="11" t="s">
        <v>188</v>
      </c>
      <c r="K564" s="2" t="str">
        <f>VLOOKUP(J564,Equipes!A:F,6,0)</f>
        <v>Temperate</v>
      </c>
      <c r="L564" s="2">
        <f>VLOOKUP(J564,Equipes!A:C,3,0)</f>
        <v>17</v>
      </c>
      <c r="M564" s="2" t="str">
        <f t="shared" si="4"/>
        <v>Group</v>
      </c>
      <c r="N564" s="11" t="s">
        <v>314</v>
      </c>
      <c r="O564" s="2">
        <f>VLOOKUP(N564,Equipes!A:C,3,0)</f>
        <v>29</v>
      </c>
      <c r="P564" s="2" t="str">
        <f t="shared" si="5"/>
        <v>Group</v>
      </c>
      <c r="Q564" s="2">
        <f t="shared" si="6"/>
        <v>-12</v>
      </c>
      <c r="R564" s="2" t="str">
        <f>VLOOKUP(J564,Equipes!A:B,2,0)</f>
        <v>Atletico</v>
      </c>
      <c r="S564" s="6" t="s">
        <v>245</v>
      </c>
      <c r="T564" s="7">
        <v>10.0</v>
      </c>
      <c r="U564" s="7" t="s">
        <v>246</v>
      </c>
      <c r="V564" s="7" t="str">
        <f>VLOOKUP(U564,Jogadores!B:C,2,0)</f>
        <v>FW</v>
      </c>
      <c r="W564" s="8">
        <f>VLOOKUP(U564,Jogadores!B:D,3,0)</f>
        <v>30.40821918</v>
      </c>
      <c r="X564" s="7">
        <v>70.0</v>
      </c>
      <c r="Y564" s="7">
        <f t="shared" si="1748"/>
        <v>95</v>
      </c>
      <c r="Z564" s="7">
        <f>VLOOKUP(A564,Jogos!A:L,3,0)</f>
        <v>48</v>
      </c>
      <c r="AA564" s="7">
        <f t="shared" si="7"/>
        <v>0</v>
      </c>
      <c r="AB564" s="7">
        <f>VLOOKUP(A564,Jogos!A:L,4,0)</f>
        <v>50</v>
      </c>
      <c r="AC564" s="7">
        <f t="shared" si="657"/>
        <v>25</v>
      </c>
      <c r="AD564" s="7"/>
      <c r="AE564" s="7"/>
      <c r="AF564" s="7">
        <f t="shared" si="9"/>
        <v>25</v>
      </c>
      <c r="AG564" s="7">
        <v>3000.0</v>
      </c>
      <c r="AH564" s="7">
        <v>1039.0</v>
      </c>
      <c r="AI564" s="7">
        <v>1160.2</v>
      </c>
      <c r="AJ564" s="7">
        <v>458.5</v>
      </c>
      <c r="AK564" s="7">
        <v>218.3</v>
      </c>
      <c r="AL564" s="7">
        <v>124.0</v>
      </c>
      <c r="AM564" s="7">
        <v>41.0</v>
      </c>
      <c r="AN564" s="7">
        <v>14.0</v>
      </c>
      <c r="AO564" s="7">
        <v>31.8</v>
      </c>
      <c r="AP564" s="9">
        <f t="shared" ref="AP564:AR564" si="1761">AG564/$AF564</f>
        <v>120</v>
      </c>
      <c r="AQ564" s="9">
        <f t="shared" si="1761"/>
        <v>41.56</v>
      </c>
      <c r="AR564" s="9">
        <f t="shared" si="1761"/>
        <v>46.408</v>
      </c>
      <c r="AS564" s="9">
        <f t="shared" si="11"/>
        <v>87.968</v>
      </c>
      <c r="AT564" s="9">
        <f t="shared" ref="AT564:AV564" si="1762">AJ564/$AF564</f>
        <v>18.34</v>
      </c>
      <c r="AU564" s="9">
        <f t="shared" si="1762"/>
        <v>8.732</v>
      </c>
      <c r="AV564" s="9">
        <f t="shared" si="1762"/>
        <v>4.96</v>
      </c>
      <c r="AW564" s="9">
        <f t="shared" si="13"/>
        <v>13.692</v>
      </c>
      <c r="AX564" s="9">
        <f t="shared" ref="AX564:AY564" si="1763">AM564/$AF564</f>
        <v>1.64</v>
      </c>
      <c r="AY564" s="9">
        <f t="shared" si="1763"/>
        <v>0.56</v>
      </c>
      <c r="AZ564" s="9">
        <f>VLOOKUP(A564,Jogos!A:BN,58,0)</f>
        <v>19.135</v>
      </c>
      <c r="BA564" s="9">
        <f>VLOOKUP(A564,Jogos!A:BN,59,0)</f>
        <v>7.739</v>
      </c>
      <c r="BB564" s="9">
        <f>VLOOKUP(A564,Jogos!A:BN,60,0)</f>
        <v>47</v>
      </c>
      <c r="BC564" s="9">
        <f>VLOOKUP(A564,Jogos!A:BN,61,0)</f>
        <v>16.42</v>
      </c>
      <c r="BD564" s="9">
        <f>VLOOKUP(A564,Jogos!A:BN,62,0)</f>
        <v>385.5</v>
      </c>
      <c r="BE564" s="9">
        <f>VLOOKUP(A564,Jogos!A:BN,63,0)</f>
        <v>1.225</v>
      </c>
      <c r="BF564" s="9">
        <f>VLOOKUP(A564,Jogos!A:BN,64,0)</f>
        <v>15.825</v>
      </c>
      <c r="BG564" s="9">
        <f>VLOOKUP(A564,Jogos!A:BN,65,0)</f>
        <v>29.025</v>
      </c>
      <c r="BH564" s="9">
        <f>VLOOKUP(A564,Jogos!A:BN,66,0)</f>
        <v>18.795</v>
      </c>
      <c r="BI564" s="9"/>
    </row>
    <row r="565" hidden="1">
      <c r="A565" s="10">
        <v>19.0</v>
      </c>
      <c r="B565" s="11" t="s">
        <v>185</v>
      </c>
      <c r="C565" s="2" t="s">
        <v>61</v>
      </c>
      <c r="D565" s="12">
        <v>45827.0</v>
      </c>
      <c r="E565" s="13">
        <v>0.625</v>
      </c>
      <c r="F565" s="5" t="str">
        <f>VLOOKUP(A565,Jogos!A:N,10,0)</f>
        <v>Afternoon</v>
      </c>
      <c r="G565" s="11" t="s">
        <v>312</v>
      </c>
      <c r="H565" s="6" t="str">
        <f>VLOOKUP(A565,Jogos!A:L,12,0)</f>
        <v>Open</v>
      </c>
      <c r="I565" s="6" t="str">
        <f>VLOOKUP(G565,'Estádios e Cidades'!A:B,2,0)</f>
        <v>Seatte</v>
      </c>
      <c r="J565" s="11" t="s">
        <v>188</v>
      </c>
      <c r="K565" s="2" t="str">
        <f>VLOOKUP(J565,Equipes!A:F,6,0)</f>
        <v>Temperate</v>
      </c>
      <c r="L565" s="2">
        <f>VLOOKUP(J565,Equipes!A:C,3,0)</f>
        <v>17</v>
      </c>
      <c r="M565" s="2" t="str">
        <f t="shared" si="4"/>
        <v>Group</v>
      </c>
      <c r="N565" s="11" t="s">
        <v>314</v>
      </c>
      <c r="O565" s="2">
        <f>VLOOKUP(N565,Equipes!A:C,3,0)</f>
        <v>29</v>
      </c>
      <c r="P565" s="2" t="str">
        <f t="shared" si="5"/>
        <v>Group</v>
      </c>
      <c r="Q565" s="2">
        <f t="shared" si="6"/>
        <v>-12</v>
      </c>
      <c r="R565" s="2" t="str">
        <f>VLOOKUP(J565,Equipes!A:B,2,0)</f>
        <v>Atletico</v>
      </c>
      <c r="S565" s="6" t="s">
        <v>1090</v>
      </c>
      <c r="T565" s="7">
        <v>16.0</v>
      </c>
      <c r="U565" s="7" t="s">
        <v>1091</v>
      </c>
      <c r="V565" s="7" t="str">
        <f>VLOOKUP(U565,Jogadores!B:C,2,0)</f>
        <v>DF</v>
      </c>
      <c r="W565" s="8">
        <f>VLOOKUP(U565,Jogadores!B:D,3,0)</f>
        <v>27.32876712</v>
      </c>
      <c r="X565" s="7">
        <v>82.0</v>
      </c>
      <c r="Y565" s="7">
        <f t="shared" si="1748"/>
        <v>95</v>
      </c>
      <c r="Z565" s="7">
        <f>VLOOKUP(A565,Jogos!A:L,3,0)</f>
        <v>48</v>
      </c>
      <c r="AA565" s="7">
        <f t="shared" si="7"/>
        <v>0</v>
      </c>
      <c r="AB565" s="7">
        <f>VLOOKUP(A565,Jogos!A:L,4,0)</f>
        <v>50</v>
      </c>
      <c r="AC565" s="7">
        <f t="shared" si="657"/>
        <v>13</v>
      </c>
      <c r="AD565" s="7"/>
      <c r="AE565" s="7"/>
      <c r="AF565" s="7">
        <f t="shared" si="9"/>
        <v>13</v>
      </c>
      <c r="AG565" s="7">
        <v>1708.5</v>
      </c>
      <c r="AH565" s="7">
        <v>512.0</v>
      </c>
      <c r="AI565" s="7">
        <v>661.7</v>
      </c>
      <c r="AJ565" s="7">
        <v>299.6</v>
      </c>
      <c r="AK565" s="7">
        <v>163.5</v>
      </c>
      <c r="AL565" s="7">
        <v>71.7</v>
      </c>
      <c r="AM565" s="7">
        <v>27.0</v>
      </c>
      <c r="AN565" s="7">
        <v>14.0</v>
      </c>
      <c r="AO565" s="7">
        <v>31.3</v>
      </c>
      <c r="AP565" s="9">
        <f t="shared" ref="AP565:AR565" si="1764">AG565/$AF565</f>
        <v>131.4230769</v>
      </c>
      <c r="AQ565" s="9">
        <f t="shared" si="1764"/>
        <v>39.38461538</v>
      </c>
      <c r="AR565" s="9">
        <f t="shared" si="1764"/>
        <v>50.9</v>
      </c>
      <c r="AS565" s="9">
        <f t="shared" si="11"/>
        <v>90.28461538</v>
      </c>
      <c r="AT565" s="9">
        <f t="shared" ref="AT565:AV565" si="1765">AJ565/$AF565</f>
        <v>23.04615385</v>
      </c>
      <c r="AU565" s="9">
        <f t="shared" si="1765"/>
        <v>12.57692308</v>
      </c>
      <c r="AV565" s="9">
        <f t="shared" si="1765"/>
        <v>5.515384615</v>
      </c>
      <c r="AW565" s="9">
        <f t="shared" si="13"/>
        <v>18.09230769</v>
      </c>
      <c r="AX565" s="9">
        <f t="shared" ref="AX565:AY565" si="1766">AM565/$AF565</f>
        <v>2.076923077</v>
      </c>
      <c r="AY565" s="9">
        <f t="shared" si="1766"/>
        <v>1.076923077</v>
      </c>
      <c r="AZ565" s="9">
        <f>VLOOKUP(A565,Jogos!A:BN,58,0)</f>
        <v>19.135</v>
      </c>
      <c r="BA565" s="9">
        <f>VLOOKUP(A565,Jogos!A:BN,59,0)</f>
        <v>7.739</v>
      </c>
      <c r="BB565" s="9">
        <f>VLOOKUP(A565,Jogos!A:BN,60,0)</f>
        <v>47</v>
      </c>
      <c r="BC565" s="9">
        <f>VLOOKUP(A565,Jogos!A:BN,61,0)</f>
        <v>16.42</v>
      </c>
      <c r="BD565" s="9">
        <f>VLOOKUP(A565,Jogos!A:BN,62,0)</f>
        <v>385.5</v>
      </c>
      <c r="BE565" s="9">
        <f>VLOOKUP(A565,Jogos!A:BN,63,0)</f>
        <v>1.225</v>
      </c>
      <c r="BF565" s="9">
        <f>VLOOKUP(A565,Jogos!A:BN,64,0)</f>
        <v>15.825</v>
      </c>
      <c r="BG565" s="9">
        <f>VLOOKUP(A565,Jogos!A:BN,65,0)</f>
        <v>29.025</v>
      </c>
      <c r="BH565" s="9">
        <f>VLOOKUP(A565,Jogos!A:BN,66,0)</f>
        <v>18.795</v>
      </c>
      <c r="BI565" s="9"/>
    </row>
    <row r="566" hidden="1">
      <c r="A566" s="10">
        <v>19.0</v>
      </c>
      <c r="B566" s="11" t="s">
        <v>185</v>
      </c>
      <c r="C566" s="2" t="s">
        <v>61</v>
      </c>
      <c r="D566" s="12">
        <v>45827.0</v>
      </c>
      <c r="E566" s="13">
        <v>0.625</v>
      </c>
      <c r="F566" s="5" t="str">
        <f>VLOOKUP(A566,Jogos!A:N,10,0)</f>
        <v>Afternoon</v>
      </c>
      <c r="G566" s="11" t="s">
        <v>312</v>
      </c>
      <c r="H566" s="6" t="str">
        <f>VLOOKUP(A566,Jogos!A:L,12,0)</f>
        <v>Open</v>
      </c>
      <c r="I566" s="6" t="str">
        <f>VLOOKUP(G566,'Estádios e Cidades'!A:B,2,0)</f>
        <v>Seatte</v>
      </c>
      <c r="J566" s="11" t="s">
        <v>188</v>
      </c>
      <c r="K566" s="2" t="str">
        <f>VLOOKUP(J566,Equipes!A:F,6,0)</f>
        <v>Temperate</v>
      </c>
      <c r="L566" s="2">
        <f>VLOOKUP(J566,Equipes!A:C,3,0)</f>
        <v>17</v>
      </c>
      <c r="M566" s="2" t="str">
        <f t="shared" si="4"/>
        <v>Group</v>
      </c>
      <c r="N566" s="11" t="s">
        <v>314</v>
      </c>
      <c r="O566" s="2">
        <f>VLOOKUP(N566,Equipes!A:C,3,0)</f>
        <v>29</v>
      </c>
      <c r="P566" s="2" t="str">
        <f t="shared" si="5"/>
        <v>Group</v>
      </c>
      <c r="Q566" s="2">
        <f t="shared" si="6"/>
        <v>-12</v>
      </c>
      <c r="R566" s="2" t="str">
        <f>VLOOKUP(J566,Equipes!A:B,2,0)</f>
        <v>Atletico</v>
      </c>
      <c r="S566" s="6" t="s">
        <v>1092</v>
      </c>
      <c r="T566" s="7">
        <v>20.0</v>
      </c>
      <c r="U566" s="7" t="s">
        <v>1093</v>
      </c>
      <c r="V566" s="7" t="str">
        <f>VLOOKUP(U566,Jogadores!B:C,2,0)</f>
        <v>MF</v>
      </c>
      <c r="W566" s="8">
        <f>VLOOKUP(U566,Jogadores!B:D,3,0)</f>
        <v>36.56438356</v>
      </c>
      <c r="X566" s="7">
        <v>45.0</v>
      </c>
      <c r="Y566" s="7">
        <f t="shared" si="1748"/>
        <v>95</v>
      </c>
      <c r="Z566" s="7">
        <f>VLOOKUP(A566,Jogos!A:L,3,0)</f>
        <v>48</v>
      </c>
      <c r="AA566" s="7">
        <f t="shared" si="7"/>
        <v>0</v>
      </c>
      <c r="AB566" s="7">
        <f>VLOOKUP(A566,Jogos!A:L,4,0)</f>
        <v>50</v>
      </c>
      <c r="AC566" s="7">
        <f t="shared" si="657"/>
        <v>50</v>
      </c>
      <c r="AD566" s="7"/>
      <c r="AE566" s="7"/>
      <c r="AF566" s="7">
        <f t="shared" si="9"/>
        <v>50</v>
      </c>
      <c r="AG566" s="7">
        <v>4997.7</v>
      </c>
      <c r="AH566" s="7">
        <v>1831.9</v>
      </c>
      <c r="AI566" s="7">
        <v>2225.8</v>
      </c>
      <c r="AJ566" s="7">
        <v>702.1</v>
      </c>
      <c r="AK566" s="7">
        <v>207.9</v>
      </c>
      <c r="AL566" s="7">
        <v>30.0</v>
      </c>
      <c r="AM566" s="7">
        <v>58.0</v>
      </c>
      <c r="AN566" s="7">
        <v>15.0</v>
      </c>
      <c r="AO566" s="7">
        <v>26.5</v>
      </c>
      <c r="AP566" s="9">
        <f t="shared" ref="AP566:AR566" si="1767">AG566/$AF566</f>
        <v>99.954</v>
      </c>
      <c r="AQ566" s="9">
        <f t="shared" si="1767"/>
        <v>36.638</v>
      </c>
      <c r="AR566" s="9">
        <f t="shared" si="1767"/>
        <v>44.516</v>
      </c>
      <c r="AS566" s="9">
        <f t="shared" si="11"/>
        <v>81.154</v>
      </c>
      <c r="AT566" s="9">
        <f t="shared" ref="AT566:AV566" si="1768">AJ566/$AF566</f>
        <v>14.042</v>
      </c>
      <c r="AU566" s="9">
        <f t="shared" si="1768"/>
        <v>4.158</v>
      </c>
      <c r="AV566" s="9">
        <f t="shared" si="1768"/>
        <v>0.6</v>
      </c>
      <c r="AW566" s="9">
        <f t="shared" si="13"/>
        <v>4.758</v>
      </c>
      <c r="AX566" s="9">
        <f t="shared" ref="AX566:AY566" si="1769">AM566/$AF566</f>
        <v>1.16</v>
      </c>
      <c r="AY566" s="9">
        <f t="shared" si="1769"/>
        <v>0.3</v>
      </c>
      <c r="AZ566" s="9">
        <f>VLOOKUP(A566,Jogos!A:BN,58,0)</f>
        <v>19.135</v>
      </c>
      <c r="BA566" s="9">
        <f>VLOOKUP(A566,Jogos!A:BN,59,0)</f>
        <v>7.739</v>
      </c>
      <c r="BB566" s="9">
        <f>VLOOKUP(A566,Jogos!A:BN,60,0)</f>
        <v>47</v>
      </c>
      <c r="BC566" s="9">
        <f>VLOOKUP(A566,Jogos!A:BN,61,0)</f>
        <v>16.42</v>
      </c>
      <c r="BD566" s="9">
        <f>VLOOKUP(A566,Jogos!A:BN,62,0)</f>
        <v>385.5</v>
      </c>
      <c r="BE566" s="9">
        <f>VLOOKUP(A566,Jogos!A:BN,63,0)</f>
        <v>1.225</v>
      </c>
      <c r="BF566" s="9">
        <f>VLOOKUP(A566,Jogos!A:BN,64,0)</f>
        <v>15.825</v>
      </c>
      <c r="BG566" s="9">
        <f>VLOOKUP(A566,Jogos!A:BN,65,0)</f>
        <v>29.025</v>
      </c>
      <c r="BH566" s="9">
        <f>VLOOKUP(A566,Jogos!A:BN,66,0)</f>
        <v>18.795</v>
      </c>
      <c r="BI566" s="9"/>
    </row>
    <row r="567" hidden="1">
      <c r="A567" s="2">
        <v>20.0</v>
      </c>
      <c r="B567" s="2" t="s">
        <v>185</v>
      </c>
      <c r="C567" s="2" t="s">
        <v>61</v>
      </c>
      <c r="D567" s="3">
        <v>45827.0</v>
      </c>
      <c r="E567" s="4">
        <v>0.75</v>
      </c>
      <c r="F567" s="5" t="str">
        <f>VLOOKUP(A567,Jogos!A:N,10,0)</f>
        <v>Evening</v>
      </c>
      <c r="G567" s="2" t="s">
        <v>186</v>
      </c>
      <c r="H567" s="6" t="str">
        <f>VLOOKUP(A567,Jogos!A:L,12,0)</f>
        <v>Open</v>
      </c>
      <c r="I567" s="6" t="str">
        <f>VLOOKUP(G567,'Estádios e Cidades'!A:B,2,0)</f>
        <v>Pasadena</v>
      </c>
      <c r="J567" s="2" t="s">
        <v>187</v>
      </c>
      <c r="K567" s="2" t="str">
        <f>VLOOKUP(J567,Equipes!A:F,6,0)</f>
        <v>Temperate</v>
      </c>
      <c r="L567" s="2">
        <f>VLOOKUP(J567,Equipes!A:C,3,0)</f>
        <v>2</v>
      </c>
      <c r="M567" s="2" t="str">
        <f t="shared" si="4"/>
        <v>Final</v>
      </c>
      <c r="N567" s="2" t="s">
        <v>313</v>
      </c>
      <c r="O567" s="2">
        <f>VLOOKUP(N567,Equipes!A:C,3,0)</f>
        <v>14</v>
      </c>
      <c r="P567" s="2" t="str">
        <f t="shared" si="5"/>
        <v>Round of 16</v>
      </c>
      <c r="Q567" s="2">
        <f t="shared" si="6"/>
        <v>-12</v>
      </c>
      <c r="R567" s="2" t="str">
        <f>VLOOKUP(J567,Equipes!A:B,2,0)</f>
        <v>PSG</v>
      </c>
      <c r="S567" s="6" t="s">
        <v>189</v>
      </c>
      <c r="T567" s="7">
        <v>2.0</v>
      </c>
      <c r="U567" s="7" t="s">
        <v>190</v>
      </c>
      <c r="V567" s="7" t="str">
        <f>VLOOKUP(U567,Jogadores!B:C,2,0)</f>
        <v>DF</v>
      </c>
      <c r="W567" s="8">
        <f>VLOOKUP(U567,Jogadores!B:D,3,0)</f>
        <v>26.74794521</v>
      </c>
      <c r="X567" s="7">
        <v>0.0</v>
      </c>
      <c r="Y567" s="7">
        <f t="shared" si="1748"/>
        <v>96</v>
      </c>
      <c r="Z567" s="7">
        <f>VLOOKUP(A567,Jogos!A:L,3,0)</f>
        <v>51</v>
      </c>
      <c r="AA567" s="7">
        <f t="shared" si="7"/>
        <v>51</v>
      </c>
      <c r="AB567" s="7">
        <f>VLOOKUP(A567,Jogos!A:L,4,0)</f>
        <v>51</v>
      </c>
      <c r="AC567" s="7">
        <f t="shared" si="657"/>
        <v>51</v>
      </c>
      <c r="AD567" s="7"/>
      <c r="AE567" s="7"/>
      <c r="AF567" s="7">
        <f t="shared" si="9"/>
        <v>102</v>
      </c>
      <c r="AG567" s="7">
        <v>11097.5</v>
      </c>
      <c r="AH567" s="7">
        <v>3895.5</v>
      </c>
      <c r="AI567" s="7">
        <v>4715.2</v>
      </c>
      <c r="AJ567" s="7">
        <v>1646.6</v>
      </c>
      <c r="AK567" s="7">
        <v>600.6</v>
      </c>
      <c r="AL567" s="7">
        <v>239.6</v>
      </c>
      <c r="AM567" s="7">
        <v>139.0</v>
      </c>
      <c r="AN567" s="7">
        <v>53.0</v>
      </c>
      <c r="AO567" s="7">
        <v>34.7</v>
      </c>
      <c r="AP567" s="9">
        <f t="shared" ref="AP567:AR567" si="1770">AG567/$AF567</f>
        <v>108.7990196</v>
      </c>
      <c r="AQ567" s="9">
        <f t="shared" si="1770"/>
        <v>38.19117647</v>
      </c>
      <c r="AR567" s="9">
        <f t="shared" si="1770"/>
        <v>46.22745098</v>
      </c>
      <c r="AS567" s="9">
        <f t="shared" si="11"/>
        <v>84.41862745</v>
      </c>
      <c r="AT567" s="9">
        <f t="shared" ref="AT567:AV567" si="1771">AJ567/$AF567</f>
        <v>16.14313725</v>
      </c>
      <c r="AU567" s="9">
        <f t="shared" si="1771"/>
        <v>5.888235294</v>
      </c>
      <c r="AV567" s="9">
        <f t="shared" si="1771"/>
        <v>2.349019608</v>
      </c>
      <c r="AW567" s="9">
        <f t="shared" si="13"/>
        <v>8.237254902</v>
      </c>
      <c r="AX567" s="9">
        <f t="shared" ref="AX567:AY567" si="1772">AM567/$AF567</f>
        <v>1.362745098</v>
      </c>
      <c r="AY567" s="9">
        <f t="shared" si="1772"/>
        <v>0.5196078431</v>
      </c>
      <c r="AZ567" s="9">
        <f>VLOOKUP(A567,Jogos!A:BN,58,0)</f>
        <v>22.845</v>
      </c>
      <c r="BA567" s="9">
        <f>VLOOKUP(A567,Jogos!A:BN,59,0)</f>
        <v>11.63</v>
      </c>
      <c r="BB567" s="9">
        <f>VLOOKUP(A567,Jogos!A:BN,60,0)</f>
        <v>48.5</v>
      </c>
      <c r="BC567" s="9">
        <f>VLOOKUP(A567,Jogos!A:BN,61,0)</f>
        <v>20.39</v>
      </c>
      <c r="BD567" s="9">
        <f>VLOOKUP(A567,Jogos!A:BN,62,0)</f>
        <v>156.8</v>
      </c>
      <c r="BE567" s="9">
        <f>VLOOKUP(A567,Jogos!A:BN,63,0)</f>
        <v>1.32</v>
      </c>
      <c r="BF567" s="9">
        <f>VLOOKUP(A567,Jogos!A:BN,64,0)</f>
        <v>18.66</v>
      </c>
      <c r="BG567" s="9">
        <f>VLOOKUP(A567,Jogos!A:BN,65,0)</f>
        <v>34.165</v>
      </c>
      <c r="BH567" s="9">
        <f>VLOOKUP(A567,Jogos!A:BN,66,0)</f>
        <v>22.18</v>
      </c>
      <c r="BI567" s="9"/>
    </row>
    <row r="568" hidden="1">
      <c r="A568" s="2">
        <v>20.0</v>
      </c>
      <c r="B568" s="2" t="s">
        <v>185</v>
      </c>
      <c r="C568" s="2" t="s">
        <v>61</v>
      </c>
      <c r="D568" s="3">
        <v>45827.0</v>
      </c>
      <c r="E568" s="4">
        <v>0.75</v>
      </c>
      <c r="F568" s="5" t="str">
        <f>VLOOKUP(A568,Jogos!A:N,10,0)</f>
        <v>Evening</v>
      </c>
      <c r="G568" s="2" t="s">
        <v>186</v>
      </c>
      <c r="H568" s="6" t="str">
        <f>VLOOKUP(A568,Jogos!A:L,12,0)</f>
        <v>Open</v>
      </c>
      <c r="I568" s="6" t="str">
        <f>VLOOKUP(G568,'Estádios e Cidades'!A:B,2,0)</f>
        <v>Pasadena</v>
      </c>
      <c r="J568" s="2" t="s">
        <v>187</v>
      </c>
      <c r="K568" s="2" t="str">
        <f>VLOOKUP(J568,Equipes!A:F,6,0)</f>
        <v>Temperate</v>
      </c>
      <c r="L568" s="2">
        <f>VLOOKUP(J568,Equipes!A:C,3,0)</f>
        <v>2</v>
      </c>
      <c r="M568" s="2" t="str">
        <f t="shared" si="4"/>
        <v>Final</v>
      </c>
      <c r="N568" s="2" t="s">
        <v>313</v>
      </c>
      <c r="O568" s="2">
        <f>VLOOKUP(N568,Equipes!A:C,3,0)</f>
        <v>14</v>
      </c>
      <c r="P568" s="2" t="str">
        <f t="shared" si="5"/>
        <v>Round of 16</v>
      </c>
      <c r="Q568" s="2">
        <f t="shared" si="6"/>
        <v>-12</v>
      </c>
      <c r="R568" s="2" t="str">
        <f>VLOOKUP(J568,Equipes!A:B,2,0)</f>
        <v>PSG</v>
      </c>
      <c r="S568" s="6" t="s">
        <v>1094</v>
      </c>
      <c r="T568" s="7">
        <v>4.0</v>
      </c>
      <c r="U568" s="7" t="s">
        <v>1095</v>
      </c>
      <c r="V568" s="7" t="str">
        <f>VLOOKUP(U568,Jogadores!B:C,2,0)</f>
        <v>DF</v>
      </c>
      <c r="W568" s="8">
        <f>VLOOKUP(U568,Jogadores!B:D,3,0)</f>
        <v>21.69041096</v>
      </c>
      <c r="X568" s="7">
        <v>0.0</v>
      </c>
      <c r="Y568" s="7">
        <f t="shared" si="1748"/>
        <v>96</v>
      </c>
      <c r="Z568" s="7">
        <f>VLOOKUP(A568,Jogos!A:L,3,0)</f>
        <v>51</v>
      </c>
      <c r="AA568" s="7">
        <f t="shared" si="7"/>
        <v>51</v>
      </c>
      <c r="AB568" s="7">
        <f>VLOOKUP(A568,Jogos!A:L,4,0)</f>
        <v>51</v>
      </c>
      <c r="AC568" s="7">
        <f t="shared" si="657"/>
        <v>51</v>
      </c>
      <c r="AD568" s="7"/>
      <c r="AE568" s="7"/>
      <c r="AF568" s="7">
        <f t="shared" si="9"/>
        <v>102</v>
      </c>
      <c r="AG568" s="7">
        <v>9473.7</v>
      </c>
      <c r="AH568" s="7">
        <v>4588.7</v>
      </c>
      <c r="AI568" s="7">
        <v>3337.9</v>
      </c>
      <c r="AJ568" s="7">
        <v>1125.5</v>
      </c>
      <c r="AK568" s="7">
        <v>282.8</v>
      </c>
      <c r="AL568" s="7">
        <v>138.8</v>
      </c>
      <c r="AM568" s="7">
        <v>92.0</v>
      </c>
      <c r="AN568" s="7">
        <v>20.0</v>
      </c>
      <c r="AO568" s="7">
        <v>31.0</v>
      </c>
      <c r="AP568" s="9">
        <f t="shared" ref="AP568:AR568" si="1773">AG568/$AF568</f>
        <v>92.87941176</v>
      </c>
      <c r="AQ568" s="9">
        <f t="shared" si="1773"/>
        <v>44.9872549</v>
      </c>
      <c r="AR568" s="9">
        <f t="shared" si="1773"/>
        <v>32.7245098</v>
      </c>
      <c r="AS568" s="9">
        <f t="shared" si="11"/>
        <v>77.71176471</v>
      </c>
      <c r="AT568" s="9">
        <f t="shared" ref="AT568:AV568" si="1774">AJ568/$AF568</f>
        <v>11.03431373</v>
      </c>
      <c r="AU568" s="9">
        <f t="shared" si="1774"/>
        <v>2.77254902</v>
      </c>
      <c r="AV568" s="9">
        <f t="shared" si="1774"/>
        <v>1.360784314</v>
      </c>
      <c r="AW568" s="9">
        <f t="shared" si="13"/>
        <v>4.133333333</v>
      </c>
      <c r="AX568" s="9">
        <f t="shared" ref="AX568:AY568" si="1775">AM568/$AF568</f>
        <v>0.9019607843</v>
      </c>
      <c r="AY568" s="9">
        <f t="shared" si="1775"/>
        <v>0.1960784314</v>
      </c>
      <c r="AZ568" s="9">
        <f>VLOOKUP(A568,Jogos!A:BN,58,0)</f>
        <v>22.845</v>
      </c>
      <c r="BA568" s="9">
        <f>VLOOKUP(A568,Jogos!A:BN,59,0)</f>
        <v>11.63</v>
      </c>
      <c r="BB568" s="9">
        <f>VLOOKUP(A568,Jogos!A:BN,60,0)</f>
        <v>48.5</v>
      </c>
      <c r="BC568" s="9">
        <f>VLOOKUP(A568,Jogos!A:BN,61,0)</f>
        <v>20.39</v>
      </c>
      <c r="BD568" s="9">
        <f>VLOOKUP(A568,Jogos!A:BN,62,0)</f>
        <v>156.8</v>
      </c>
      <c r="BE568" s="9">
        <f>VLOOKUP(A568,Jogos!A:BN,63,0)</f>
        <v>1.32</v>
      </c>
      <c r="BF568" s="9">
        <f>VLOOKUP(A568,Jogos!A:BN,64,0)</f>
        <v>18.66</v>
      </c>
      <c r="BG568" s="9">
        <f>VLOOKUP(A568,Jogos!A:BN,65,0)</f>
        <v>34.165</v>
      </c>
      <c r="BH568" s="9">
        <f>VLOOKUP(A568,Jogos!A:BN,66,0)</f>
        <v>22.18</v>
      </c>
      <c r="BI568" s="9"/>
    </row>
    <row r="569" hidden="1">
      <c r="A569" s="2">
        <v>20.0</v>
      </c>
      <c r="B569" s="2" t="s">
        <v>185</v>
      </c>
      <c r="C569" s="2" t="s">
        <v>61</v>
      </c>
      <c r="D569" s="3">
        <v>45827.0</v>
      </c>
      <c r="E569" s="4">
        <v>0.75</v>
      </c>
      <c r="F569" s="5" t="str">
        <f>VLOOKUP(A569,Jogos!A:N,10,0)</f>
        <v>Evening</v>
      </c>
      <c r="G569" s="2" t="s">
        <v>186</v>
      </c>
      <c r="H569" s="6" t="str">
        <f>VLOOKUP(A569,Jogos!A:L,12,0)</f>
        <v>Open</v>
      </c>
      <c r="I569" s="6" t="str">
        <f>VLOOKUP(G569,'Estádios e Cidades'!A:B,2,0)</f>
        <v>Pasadena</v>
      </c>
      <c r="J569" s="2" t="s">
        <v>187</v>
      </c>
      <c r="K569" s="2" t="str">
        <f>VLOOKUP(J569,Equipes!A:F,6,0)</f>
        <v>Temperate</v>
      </c>
      <c r="L569" s="2">
        <f>VLOOKUP(J569,Equipes!A:C,3,0)</f>
        <v>2</v>
      </c>
      <c r="M569" s="2" t="str">
        <f t="shared" si="4"/>
        <v>Final</v>
      </c>
      <c r="N569" s="2" t="s">
        <v>313</v>
      </c>
      <c r="O569" s="2">
        <f>VLOOKUP(N569,Equipes!A:C,3,0)</f>
        <v>14</v>
      </c>
      <c r="P569" s="2" t="str">
        <f t="shared" si="5"/>
        <v>Round of 16</v>
      </c>
      <c r="Q569" s="2">
        <f t="shared" si="6"/>
        <v>-12</v>
      </c>
      <c r="R569" s="2" t="str">
        <f>VLOOKUP(J569,Equipes!A:B,2,0)</f>
        <v>PSG</v>
      </c>
      <c r="S569" s="6" t="s">
        <v>193</v>
      </c>
      <c r="T569" s="7">
        <v>7.0</v>
      </c>
      <c r="U569" s="7" t="s">
        <v>194</v>
      </c>
      <c r="V569" s="7" t="str">
        <f>VLOOKUP(U569,Jogadores!B:C,2,0)</f>
        <v>FW</v>
      </c>
      <c r="W569" s="8">
        <f>VLOOKUP(U569,Jogadores!B:D,3,0)</f>
        <v>24.47123288</v>
      </c>
      <c r="X569" s="7">
        <v>0.0</v>
      </c>
      <c r="Y569" s="7">
        <f t="shared" si="1748"/>
        <v>96</v>
      </c>
      <c r="Z569" s="7">
        <f>VLOOKUP(A569,Jogos!A:L,3,0)</f>
        <v>51</v>
      </c>
      <c r="AA569" s="7">
        <f t="shared" si="7"/>
        <v>51</v>
      </c>
      <c r="AB569" s="7">
        <f>VLOOKUP(A569,Jogos!A:L,4,0)</f>
        <v>51</v>
      </c>
      <c r="AC569" s="7">
        <f t="shared" si="657"/>
        <v>51</v>
      </c>
      <c r="AD569" s="7"/>
      <c r="AE569" s="7"/>
      <c r="AF569" s="7">
        <f t="shared" si="9"/>
        <v>102</v>
      </c>
      <c r="AG569" s="7">
        <v>9871.2</v>
      </c>
      <c r="AH569" s="7">
        <v>4599.9</v>
      </c>
      <c r="AI569" s="7">
        <v>3647.1</v>
      </c>
      <c r="AJ569" s="7">
        <v>949.3</v>
      </c>
      <c r="AK569" s="7">
        <v>456.2</v>
      </c>
      <c r="AL569" s="7">
        <v>218.7</v>
      </c>
      <c r="AM569" s="7">
        <v>86.0</v>
      </c>
      <c r="AN569" s="7">
        <v>37.0</v>
      </c>
      <c r="AO569" s="7">
        <v>33.0</v>
      </c>
      <c r="AP569" s="9">
        <f t="shared" ref="AP569:AR569" si="1776">AG569/$AF569</f>
        <v>96.77647059</v>
      </c>
      <c r="AQ569" s="9">
        <f t="shared" si="1776"/>
        <v>45.09705882</v>
      </c>
      <c r="AR569" s="9">
        <f t="shared" si="1776"/>
        <v>35.75588235</v>
      </c>
      <c r="AS569" s="9">
        <f t="shared" si="11"/>
        <v>80.85294118</v>
      </c>
      <c r="AT569" s="9">
        <f t="shared" ref="AT569:AV569" si="1777">AJ569/$AF569</f>
        <v>9.306862745</v>
      </c>
      <c r="AU569" s="9">
        <f t="shared" si="1777"/>
        <v>4.47254902</v>
      </c>
      <c r="AV569" s="9">
        <f t="shared" si="1777"/>
        <v>2.144117647</v>
      </c>
      <c r="AW569" s="9">
        <f t="shared" si="13"/>
        <v>6.616666667</v>
      </c>
      <c r="AX569" s="9">
        <f t="shared" ref="AX569:AY569" si="1778">AM569/$AF569</f>
        <v>0.8431372549</v>
      </c>
      <c r="AY569" s="9">
        <f t="shared" si="1778"/>
        <v>0.362745098</v>
      </c>
      <c r="AZ569" s="9">
        <f>VLOOKUP(A569,Jogos!A:BN,58,0)</f>
        <v>22.845</v>
      </c>
      <c r="BA569" s="9">
        <f>VLOOKUP(A569,Jogos!A:BN,59,0)</f>
        <v>11.63</v>
      </c>
      <c r="BB569" s="9">
        <f>VLOOKUP(A569,Jogos!A:BN,60,0)</f>
        <v>48.5</v>
      </c>
      <c r="BC569" s="9">
        <f>VLOOKUP(A569,Jogos!A:BN,61,0)</f>
        <v>20.39</v>
      </c>
      <c r="BD569" s="9">
        <f>VLOOKUP(A569,Jogos!A:BN,62,0)</f>
        <v>156.8</v>
      </c>
      <c r="BE569" s="9">
        <f>VLOOKUP(A569,Jogos!A:BN,63,0)</f>
        <v>1.32</v>
      </c>
      <c r="BF569" s="9">
        <f>VLOOKUP(A569,Jogos!A:BN,64,0)</f>
        <v>18.66</v>
      </c>
      <c r="BG569" s="9">
        <f>VLOOKUP(A569,Jogos!A:BN,65,0)</f>
        <v>34.165</v>
      </c>
      <c r="BH569" s="9">
        <f>VLOOKUP(A569,Jogos!A:BN,66,0)</f>
        <v>22.18</v>
      </c>
      <c r="BI569" s="9"/>
    </row>
    <row r="570" hidden="1">
      <c r="A570" s="2">
        <v>20.0</v>
      </c>
      <c r="B570" s="2" t="s">
        <v>185</v>
      </c>
      <c r="C570" s="2" t="s">
        <v>61</v>
      </c>
      <c r="D570" s="3">
        <v>45827.0</v>
      </c>
      <c r="E570" s="4">
        <v>0.75</v>
      </c>
      <c r="F570" s="5" t="str">
        <f>VLOOKUP(A570,Jogos!A:N,10,0)</f>
        <v>Evening</v>
      </c>
      <c r="G570" s="2" t="s">
        <v>186</v>
      </c>
      <c r="H570" s="6" t="str">
        <f>VLOOKUP(A570,Jogos!A:L,12,0)</f>
        <v>Open</v>
      </c>
      <c r="I570" s="6" t="str">
        <f>VLOOKUP(G570,'Estádios e Cidades'!A:B,2,0)</f>
        <v>Pasadena</v>
      </c>
      <c r="J570" s="2" t="s">
        <v>187</v>
      </c>
      <c r="K570" s="2" t="str">
        <f>VLOOKUP(J570,Equipes!A:F,6,0)</f>
        <v>Temperate</v>
      </c>
      <c r="L570" s="2">
        <f>VLOOKUP(J570,Equipes!A:C,3,0)</f>
        <v>2</v>
      </c>
      <c r="M570" s="2" t="str">
        <f t="shared" si="4"/>
        <v>Final</v>
      </c>
      <c r="N570" s="2" t="s">
        <v>313</v>
      </c>
      <c r="O570" s="2">
        <f>VLOOKUP(N570,Equipes!A:C,3,0)</f>
        <v>14</v>
      </c>
      <c r="P570" s="2" t="str">
        <f t="shared" si="5"/>
        <v>Round of 16</v>
      </c>
      <c r="Q570" s="2">
        <f t="shared" si="6"/>
        <v>-12</v>
      </c>
      <c r="R570" s="2" t="str">
        <f>VLOOKUP(J570,Equipes!A:B,2,0)</f>
        <v>PSG</v>
      </c>
      <c r="S570" s="6" t="s">
        <v>197</v>
      </c>
      <c r="T570" s="7">
        <v>9.0</v>
      </c>
      <c r="U570" s="7" t="s">
        <v>198</v>
      </c>
      <c r="V570" s="7" t="str">
        <f>VLOOKUP(U570,Jogadores!B:C,2,0)</f>
        <v>FW</v>
      </c>
      <c r="W570" s="8">
        <f>VLOOKUP(U570,Jogadores!B:D,3,0)</f>
        <v>24.12328767</v>
      </c>
      <c r="X570" s="7">
        <v>0.0</v>
      </c>
      <c r="Y570" s="7">
        <v>55.0</v>
      </c>
      <c r="Z570" s="7">
        <f>VLOOKUP(A570,Jogos!A:L,3,0)</f>
        <v>51</v>
      </c>
      <c r="AA570" s="7">
        <f t="shared" si="7"/>
        <v>51</v>
      </c>
      <c r="AB570" s="7">
        <f>VLOOKUP(A570,Jogos!A:L,4,0)</f>
        <v>51</v>
      </c>
      <c r="AC570" s="7">
        <f t="shared" si="657"/>
        <v>10</v>
      </c>
      <c r="AD570" s="7"/>
      <c r="AE570" s="7"/>
      <c r="AF570" s="7">
        <f t="shared" si="9"/>
        <v>61</v>
      </c>
      <c r="AG570" s="7">
        <v>7319.5</v>
      </c>
      <c r="AH570" s="7">
        <v>2209.5</v>
      </c>
      <c r="AI570" s="7">
        <v>3137.7</v>
      </c>
      <c r="AJ570" s="7">
        <v>1260.1</v>
      </c>
      <c r="AK570" s="7">
        <v>532.4</v>
      </c>
      <c r="AL570" s="7">
        <v>179.8</v>
      </c>
      <c r="AM570" s="7">
        <v>111.0</v>
      </c>
      <c r="AN570" s="7">
        <v>39.0</v>
      </c>
      <c r="AO570" s="7">
        <v>31.4</v>
      </c>
      <c r="AP570" s="9">
        <f t="shared" ref="AP570:AR570" si="1779">AG570/$AF570</f>
        <v>119.9918033</v>
      </c>
      <c r="AQ570" s="9">
        <f t="shared" si="1779"/>
        <v>36.22131148</v>
      </c>
      <c r="AR570" s="9">
        <f t="shared" si="1779"/>
        <v>51.43770492</v>
      </c>
      <c r="AS570" s="9">
        <f t="shared" si="11"/>
        <v>87.65901639</v>
      </c>
      <c r="AT570" s="9">
        <f t="shared" ref="AT570:AV570" si="1780">AJ570/$AF570</f>
        <v>20.65737705</v>
      </c>
      <c r="AU570" s="9">
        <f t="shared" si="1780"/>
        <v>8.727868852</v>
      </c>
      <c r="AV570" s="9">
        <f t="shared" si="1780"/>
        <v>2.947540984</v>
      </c>
      <c r="AW570" s="9">
        <f t="shared" si="13"/>
        <v>11.67540984</v>
      </c>
      <c r="AX570" s="9">
        <f t="shared" ref="AX570:AY570" si="1781">AM570/$AF570</f>
        <v>1.819672131</v>
      </c>
      <c r="AY570" s="9">
        <f t="shared" si="1781"/>
        <v>0.6393442623</v>
      </c>
      <c r="AZ570" s="9">
        <f>VLOOKUP(A570,Jogos!A:BN,58,0)</f>
        <v>22.845</v>
      </c>
      <c r="BA570" s="9">
        <f>VLOOKUP(A570,Jogos!A:BN,59,0)</f>
        <v>11.63</v>
      </c>
      <c r="BB570" s="9">
        <f>VLOOKUP(A570,Jogos!A:BN,60,0)</f>
        <v>48.5</v>
      </c>
      <c r="BC570" s="9">
        <f>VLOOKUP(A570,Jogos!A:BN,61,0)</f>
        <v>20.39</v>
      </c>
      <c r="BD570" s="9">
        <f>VLOOKUP(A570,Jogos!A:BN,62,0)</f>
        <v>156.8</v>
      </c>
      <c r="BE570" s="9">
        <f>VLOOKUP(A570,Jogos!A:BN,63,0)</f>
        <v>1.32</v>
      </c>
      <c r="BF570" s="9">
        <f>VLOOKUP(A570,Jogos!A:BN,64,0)</f>
        <v>18.66</v>
      </c>
      <c r="BG570" s="9">
        <f>VLOOKUP(A570,Jogos!A:BN,65,0)</f>
        <v>34.165</v>
      </c>
      <c r="BH570" s="9">
        <f>VLOOKUP(A570,Jogos!A:BN,66,0)</f>
        <v>22.18</v>
      </c>
      <c r="BI570" s="9"/>
    </row>
    <row r="571" hidden="1">
      <c r="A571" s="2">
        <v>20.0</v>
      </c>
      <c r="B571" s="2" t="s">
        <v>185</v>
      </c>
      <c r="C571" s="2" t="s">
        <v>61</v>
      </c>
      <c r="D571" s="3">
        <v>45827.0</v>
      </c>
      <c r="E571" s="4">
        <v>0.75</v>
      </c>
      <c r="F571" s="5" t="str">
        <f>VLOOKUP(A571,Jogos!A:N,10,0)</f>
        <v>Evening</v>
      </c>
      <c r="G571" s="2" t="s">
        <v>186</v>
      </c>
      <c r="H571" s="6" t="str">
        <f>VLOOKUP(A571,Jogos!A:L,12,0)</f>
        <v>Open</v>
      </c>
      <c r="I571" s="6" t="str">
        <f>VLOOKUP(G571,'Estádios e Cidades'!A:B,2,0)</f>
        <v>Pasadena</v>
      </c>
      <c r="J571" s="2" t="s">
        <v>187</v>
      </c>
      <c r="K571" s="2" t="str">
        <f>VLOOKUP(J571,Equipes!A:F,6,0)</f>
        <v>Temperate</v>
      </c>
      <c r="L571" s="2">
        <f>VLOOKUP(J571,Equipes!A:C,3,0)</f>
        <v>2</v>
      </c>
      <c r="M571" s="2" t="str">
        <f t="shared" si="4"/>
        <v>Final</v>
      </c>
      <c r="N571" s="2" t="s">
        <v>313</v>
      </c>
      <c r="O571" s="2">
        <f>VLOOKUP(N571,Equipes!A:C,3,0)</f>
        <v>14</v>
      </c>
      <c r="P571" s="2" t="str">
        <f t="shared" si="5"/>
        <v>Round of 16</v>
      </c>
      <c r="Q571" s="2">
        <f t="shared" si="6"/>
        <v>-12</v>
      </c>
      <c r="R571" s="2" t="str">
        <f>VLOOKUP(J571,Equipes!A:B,2,0)</f>
        <v>PSG</v>
      </c>
      <c r="S571" s="6" t="s">
        <v>199</v>
      </c>
      <c r="T571" s="7">
        <v>14.0</v>
      </c>
      <c r="U571" s="7" t="s">
        <v>200</v>
      </c>
      <c r="V571" s="7" t="str">
        <f>VLOOKUP(U571,Jogadores!B:C,2,0)</f>
        <v>FW</v>
      </c>
      <c r="W571" s="8">
        <f>VLOOKUP(U571,Jogadores!B:D,3,0)</f>
        <v>20.16438356</v>
      </c>
      <c r="X571" s="7">
        <v>0.0</v>
      </c>
      <c r="Y571" s="7">
        <v>79.0</v>
      </c>
      <c r="Z571" s="7">
        <f>VLOOKUP(A571,Jogos!A:L,3,0)</f>
        <v>51</v>
      </c>
      <c r="AA571" s="7">
        <f t="shared" si="7"/>
        <v>51</v>
      </c>
      <c r="AB571" s="7">
        <f>VLOOKUP(A571,Jogos!A:L,4,0)</f>
        <v>51</v>
      </c>
      <c r="AC571" s="7">
        <f t="shared" si="657"/>
        <v>34</v>
      </c>
      <c r="AD571" s="7"/>
      <c r="AE571" s="7"/>
      <c r="AF571" s="7">
        <f t="shared" si="9"/>
        <v>85</v>
      </c>
      <c r="AG571" s="7">
        <v>10016.7</v>
      </c>
      <c r="AH571" s="7">
        <v>3069.2</v>
      </c>
      <c r="AI571" s="7">
        <v>4445.0</v>
      </c>
      <c r="AJ571" s="7">
        <v>1680.4</v>
      </c>
      <c r="AK571" s="7">
        <v>638.1</v>
      </c>
      <c r="AL571" s="7">
        <v>184.1</v>
      </c>
      <c r="AM571" s="7">
        <v>151.0</v>
      </c>
      <c r="AN571" s="7">
        <v>49.0</v>
      </c>
      <c r="AO571" s="7">
        <v>31.9</v>
      </c>
      <c r="AP571" s="9">
        <f t="shared" ref="AP571:AR571" si="1782">AG571/$AF571</f>
        <v>117.8435294</v>
      </c>
      <c r="AQ571" s="9">
        <f t="shared" si="1782"/>
        <v>36.10823529</v>
      </c>
      <c r="AR571" s="9">
        <f t="shared" si="1782"/>
        <v>52.29411765</v>
      </c>
      <c r="AS571" s="9">
        <f t="shared" si="11"/>
        <v>88.40235294</v>
      </c>
      <c r="AT571" s="9">
        <f t="shared" ref="AT571:AV571" si="1783">AJ571/$AF571</f>
        <v>19.76941176</v>
      </c>
      <c r="AU571" s="9">
        <f t="shared" si="1783"/>
        <v>7.507058824</v>
      </c>
      <c r="AV571" s="9">
        <f t="shared" si="1783"/>
        <v>2.165882353</v>
      </c>
      <c r="AW571" s="9">
        <f t="shared" si="13"/>
        <v>9.672941176</v>
      </c>
      <c r="AX571" s="9">
        <f t="shared" ref="AX571:AY571" si="1784">AM571/$AF571</f>
        <v>1.776470588</v>
      </c>
      <c r="AY571" s="9">
        <f t="shared" si="1784"/>
        <v>0.5764705882</v>
      </c>
      <c r="AZ571" s="9">
        <f>VLOOKUP(A571,Jogos!A:BN,58,0)</f>
        <v>22.845</v>
      </c>
      <c r="BA571" s="9">
        <f>VLOOKUP(A571,Jogos!A:BN,59,0)</f>
        <v>11.63</v>
      </c>
      <c r="BB571" s="9">
        <f>VLOOKUP(A571,Jogos!A:BN,60,0)</f>
        <v>48.5</v>
      </c>
      <c r="BC571" s="9">
        <f>VLOOKUP(A571,Jogos!A:BN,61,0)</f>
        <v>20.39</v>
      </c>
      <c r="BD571" s="9">
        <f>VLOOKUP(A571,Jogos!A:BN,62,0)</f>
        <v>156.8</v>
      </c>
      <c r="BE571" s="9">
        <f>VLOOKUP(A571,Jogos!A:BN,63,0)</f>
        <v>1.32</v>
      </c>
      <c r="BF571" s="9">
        <f>VLOOKUP(A571,Jogos!A:BN,64,0)</f>
        <v>18.66</v>
      </c>
      <c r="BG571" s="9">
        <f>VLOOKUP(A571,Jogos!A:BN,65,0)</f>
        <v>34.165</v>
      </c>
      <c r="BH571" s="9">
        <f>VLOOKUP(A571,Jogos!A:BN,66,0)</f>
        <v>22.18</v>
      </c>
      <c r="BI571" s="9"/>
    </row>
    <row r="572" hidden="1">
      <c r="A572" s="2">
        <v>20.0</v>
      </c>
      <c r="B572" s="2" t="s">
        <v>185</v>
      </c>
      <c r="C572" s="2" t="s">
        <v>61</v>
      </c>
      <c r="D572" s="3">
        <v>45827.0</v>
      </c>
      <c r="E572" s="4">
        <v>0.75</v>
      </c>
      <c r="F572" s="5" t="str">
        <f>VLOOKUP(A572,Jogos!A:N,10,0)</f>
        <v>Evening</v>
      </c>
      <c r="G572" s="2" t="s">
        <v>186</v>
      </c>
      <c r="H572" s="6" t="str">
        <f>VLOOKUP(A572,Jogos!A:L,12,0)</f>
        <v>Open</v>
      </c>
      <c r="I572" s="6" t="str">
        <f>VLOOKUP(G572,'Estádios e Cidades'!A:B,2,0)</f>
        <v>Pasadena</v>
      </c>
      <c r="J572" s="2" t="s">
        <v>187</v>
      </c>
      <c r="K572" s="2" t="str">
        <f>VLOOKUP(J572,Equipes!A:F,6,0)</f>
        <v>Temperate</v>
      </c>
      <c r="L572" s="2">
        <f>VLOOKUP(J572,Equipes!A:C,3,0)</f>
        <v>2</v>
      </c>
      <c r="M572" s="2" t="str">
        <f t="shared" si="4"/>
        <v>Final</v>
      </c>
      <c r="N572" s="2" t="s">
        <v>313</v>
      </c>
      <c r="O572" s="2">
        <f>VLOOKUP(N572,Equipes!A:C,3,0)</f>
        <v>14</v>
      </c>
      <c r="P572" s="2" t="str">
        <f t="shared" si="5"/>
        <v>Round of 16</v>
      </c>
      <c r="Q572" s="2">
        <f t="shared" si="6"/>
        <v>-12</v>
      </c>
      <c r="R572" s="2" t="str">
        <f>VLOOKUP(J572,Equipes!A:B,2,0)</f>
        <v>PSG</v>
      </c>
      <c r="S572" s="6" t="s">
        <v>201</v>
      </c>
      <c r="T572" s="7">
        <v>17.0</v>
      </c>
      <c r="U572" s="7" t="s">
        <v>202</v>
      </c>
      <c r="V572" s="7" t="str">
        <f>VLOOKUP(U572,Jogadores!B:C,2,0)</f>
        <v>MF</v>
      </c>
      <c r="W572" s="8">
        <f>VLOOKUP(U572,Jogadores!B:D,3,0)</f>
        <v>25.47123288</v>
      </c>
      <c r="X572" s="7">
        <v>0.0</v>
      </c>
      <c r="Y572" s="7">
        <f>45+AB572</f>
        <v>96</v>
      </c>
      <c r="Z572" s="7">
        <f>VLOOKUP(A572,Jogos!A:L,3,0)</f>
        <v>51</v>
      </c>
      <c r="AA572" s="7">
        <f t="shared" si="7"/>
        <v>51</v>
      </c>
      <c r="AB572" s="7">
        <f>VLOOKUP(A572,Jogos!A:L,4,0)</f>
        <v>51</v>
      </c>
      <c r="AC572" s="7">
        <f t="shared" si="657"/>
        <v>51</v>
      </c>
      <c r="AD572" s="7"/>
      <c r="AE572" s="7"/>
      <c r="AF572" s="7">
        <f t="shared" si="9"/>
        <v>102</v>
      </c>
      <c r="AG572" s="7">
        <v>11817.2</v>
      </c>
      <c r="AH572" s="7">
        <v>3382.9</v>
      </c>
      <c r="AI572" s="7">
        <v>6180.1</v>
      </c>
      <c r="AJ572" s="7">
        <v>1689.9</v>
      </c>
      <c r="AK572" s="7">
        <v>399.1</v>
      </c>
      <c r="AL572" s="7">
        <v>165.1</v>
      </c>
      <c r="AM572" s="7">
        <v>139.0</v>
      </c>
      <c r="AN572" s="7">
        <v>34.0</v>
      </c>
      <c r="AO572" s="7">
        <v>30.0</v>
      </c>
      <c r="AP572" s="9">
        <f t="shared" ref="AP572:AR572" si="1785">AG572/$AF572</f>
        <v>115.854902</v>
      </c>
      <c r="AQ572" s="9">
        <f t="shared" si="1785"/>
        <v>33.16568627</v>
      </c>
      <c r="AR572" s="9">
        <f t="shared" si="1785"/>
        <v>60.58921569</v>
      </c>
      <c r="AS572" s="9">
        <f t="shared" si="11"/>
        <v>93.75490196</v>
      </c>
      <c r="AT572" s="9">
        <f t="shared" ref="AT572:AV572" si="1786">AJ572/$AF572</f>
        <v>16.56764706</v>
      </c>
      <c r="AU572" s="9">
        <f t="shared" si="1786"/>
        <v>3.912745098</v>
      </c>
      <c r="AV572" s="9">
        <f t="shared" si="1786"/>
        <v>1.618627451</v>
      </c>
      <c r="AW572" s="9">
        <f t="shared" si="13"/>
        <v>5.531372549</v>
      </c>
      <c r="AX572" s="9">
        <f t="shared" ref="AX572:AY572" si="1787">AM572/$AF572</f>
        <v>1.362745098</v>
      </c>
      <c r="AY572" s="9">
        <f t="shared" si="1787"/>
        <v>0.3333333333</v>
      </c>
      <c r="AZ572" s="9">
        <f>VLOOKUP(A572,Jogos!A:BN,58,0)</f>
        <v>22.845</v>
      </c>
      <c r="BA572" s="9">
        <f>VLOOKUP(A572,Jogos!A:BN,59,0)</f>
        <v>11.63</v>
      </c>
      <c r="BB572" s="9">
        <f>VLOOKUP(A572,Jogos!A:BN,60,0)</f>
        <v>48.5</v>
      </c>
      <c r="BC572" s="9">
        <f>VLOOKUP(A572,Jogos!A:BN,61,0)</f>
        <v>20.39</v>
      </c>
      <c r="BD572" s="9">
        <f>VLOOKUP(A572,Jogos!A:BN,62,0)</f>
        <v>156.8</v>
      </c>
      <c r="BE572" s="9">
        <f>VLOOKUP(A572,Jogos!A:BN,63,0)</f>
        <v>1.32</v>
      </c>
      <c r="BF572" s="9">
        <f>VLOOKUP(A572,Jogos!A:BN,64,0)</f>
        <v>18.66</v>
      </c>
      <c r="BG572" s="9">
        <f>VLOOKUP(A572,Jogos!A:BN,65,0)</f>
        <v>34.165</v>
      </c>
      <c r="BH572" s="9">
        <f>VLOOKUP(A572,Jogos!A:BN,66,0)</f>
        <v>22.18</v>
      </c>
      <c r="BI572" s="9"/>
    </row>
    <row r="573" hidden="1">
      <c r="A573" s="2">
        <v>20.0</v>
      </c>
      <c r="B573" s="2" t="s">
        <v>185</v>
      </c>
      <c r="C573" s="2" t="s">
        <v>61</v>
      </c>
      <c r="D573" s="3">
        <v>45827.0</v>
      </c>
      <c r="E573" s="4">
        <v>0.75</v>
      </c>
      <c r="F573" s="5" t="str">
        <f>VLOOKUP(A573,Jogos!A:N,10,0)</f>
        <v>Evening</v>
      </c>
      <c r="G573" s="2" t="s">
        <v>186</v>
      </c>
      <c r="H573" s="6" t="str">
        <f>VLOOKUP(A573,Jogos!A:L,12,0)</f>
        <v>Open</v>
      </c>
      <c r="I573" s="6" t="str">
        <f>VLOOKUP(G573,'Estádios e Cidades'!A:B,2,0)</f>
        <v>Pasadena</v>
      </c>
      <c r="J573" s="2" t="s">
        <v>187</v>
      </c>
      <c r="K573" s="2" t="str">
        <f>VLOOKUP(J573,Equipes!A:F,6,0)</f>
        <v>Temperate</v>
      </c>
      <c r="L573" s="2">
        <f>VLOOKUP(J573,Equipes!A:C,3,0)</f>
        <v>2</v>
      </c>
      <c r="M573" s="2" t="str">
        <f t="shared" si="4"/>
        <v>Final</v>
      </c>
      <c r="N573" s="2" t="s">
        <v>313</v>
      </c>
      <c r="O573" s="2">
        <f>VLOOKUP(N573,Equipes!A:C,3,0)</f>
        <v>14</v>
      </c>
      <c r="P573" s="2" t="str">
        <f t="shared" si="5"/>
        <v>Round of 16</v>
      </c>
      <c r="Q573" s="2">
        <f t="shared" si="6"/>
        <v>-12</v>
      </c>
      <c r="R573" s="2" t="str">
        <f>VLOOKUP(J573,Equipes!A:B,2,0)</f>
        <v>PSG</v>
      </c>
      <c r="S573" s="6" t="s">
        <v>211</v>
      </c>
      <c r="T573" s="7">
        <v>21.0</v>
      </c>
      <c r="U573" s="7" t="s">
        <v>212</v>
      </c>
      <c r="V573" s="7" t="str">
        <f>VLOOKUP(U573,Jogadores!B:C,2,0)</f>
        <v>DF</v>
      </c>
      <c r="W573" s="8">
        <f>VLOOKUP(U573,Jogadores!B:D,3,0)</f>
        <v>29.47123288</v>
      </c>
      <c r="X573" s="7">
        <v>0.0</v>
      </c>
      <c r="Y573" s="7">
        <v>55.0</v>
      </c>
      <c r="Z573" s="7">
        <f>VLOOKUP(A573,Jogos!A:L,3,0)</f>
        <v>51</v>
      </c>
      <c r="AA573" s="7">
        <f t="shared" si="7"/>
        <v>51</v>
      </c>
      <c r="AB573" s="7">
        <f>VLOOKUP(A573,Jogos!A:L,4,0)</f>
        <v>51</v>
      </c>
      <c r="AC573" s="7">
        <f t="shared" si="657"/>
        <v>10</v>
      </c>
      <c r="AD573" s="7"/>
      <c r="AE573" s="7"/>
      <c r="AF573" s="7">
        <f t="shared" si="9"/>
        <v>61</v>
      </c>
      <c r="AG573" s="7">
        <v>6577.3</v>
      </c>
      <c r="AH573" s="7">
        <v>2165.8</v>
      </c>
      <c r="AI573" s="7">
        <v>2949.0</v>
      </c>
      <c r="AJ573" s="7">
        <v>883.7</v>
      </c>
      <c r="AK573" s="7">
        <v>391.5</v>
      </c>
      <c r="AL573" s="7">
        <v>187.4</v>
      </c>
      <c r="AM573" s="7">
        <v>74.0</v>
      </c>
      <c r="AN573" s="7">
        <v>33.0</v>
      </c>
      <c r="AO573" s="7">
        <v>32.6</v>
      </c>
      <c r="AP573" s="9">
        <f t="shared" ref="AP573:AR573" si="1788">AG573/$AF573</f>
        <v>107.8245902</v>
      </c>
      <c r="AQ573" s="9">
        <f t="shared" si="1788"/>
        <v>35.50491803</v>
      </c>
      <c r="AR573" s="9">
        <f t="shared" si="1788"/>
        <v>48.3442623</v>
      </c>
      <c r="AS573" s="9">
        <f t="shared" si="11"/>
        <v>83.84918033</v>
      </c>
      <c r="AT573" s="9">
        <f t="shared" ref="AT573:AV573" si="1789">AJ573/$AF573</f>
        <v>14.48688525</v>
      </c>
      <c r="AU573" s="9">
        <f t="shared" si="1789"/>
        <v>6.418032787</v>
      </c>
      <c r="AV573" s="9">
        <f t="shared" si="1789"/>
        <v>3.072131148</v>
      </c>
      <c r="AW573" s="9">
        <f t="shared" si="13"/>
        <v>9.490163934</v>
      </c>
      <c r="AX573" s="9">
        <f t="shared" ref="AX573:AY573" si="1790">AM573/$AF573</f>
        <v>1.213114754</v>
      </c>
      <c r="AY573" s="9">
        <f t="shared" si="1790"/>
        <v>0.5409836066</v>
      </c>
      <c r="AZ573" s="9">
        <f>VLOOKUP(A573,Jogos!A:BN,58,0)</f>
        <v>22.845</v>
      </c>
      <c r="BA573" s="9">
        <f>VLOOKUP(A573,Jogos!A:BN,59,0)</f>
        <v>11.63</v>
      </c>
      <c r="BB573" s="9">
        <f>VLOOKUP(A573,Jogos!A:BN,60,0)</f>
        <v>48.5</v>
      </c>
      <c r="BC573" s="9">
        <f>VLOOKUP(A573,Jogos!A:BN,61,0)</f>
        <v>20.39</v>
      </c>
      <c r="BD573" s="9">
        <f>VLOOKUP(A573,Jogos!A:BN,62,0)</f>
        <v>156.8</v>
      </c>
      <c r="BE573" s="9">
        <f>VLOOKUP(A573,Jogos!A:BN,63,0)</f>
        <v>1.32</v>
      </c>
      <c r="BF573" s="9">
        <f>VLOOKUP(A573,Jogos!A:BN,64,0)</f>
        <v>18.66</v>
      </c>
      <c r="BG573" s="9">
        <f>VLOOKUP(A573,Jogos!A:BN,65,0)</f>
        <v>34.165</v>
      </c>
      <c r="BH573" s="9">
        <f>VLOOKUP(A573,Jogos!A:BN,66,0)</f>
        <v>22.18</v>
      </c>
      <c r="BI573" s="9"/>
    </row>
    <row r="574" hidden="1">
      <c r="A574" s="2">
        <v>20.0</v>
      </c>
      <c r="B574" s="2" t="s">
        <v>185</v>
      </c>
      <c r="C574" s="2" t="s">
        <v>61</v>
      </c>
      <c r="D574" s="3">
        <v>45827.0</v>
      </c>
      <c r="E574" s="4">
        <v>0.75</v>
      </c>
      <c r="F574" s="5" t="str">
        <f>VLOOKUP(A574,Jogos!A:N,10,0)</f>
        <v>Evening</v>
      </c>
      <c r="G574" s="2" t="s">
        <v>186</v>
      </c>
      <c r="H574" s="6" t="str">
        <f>VLOOKUP(A574,Jogos!A:L,12,0)</f>
        <v>Open</v>
      </c>
      <c r="I574" s="6" t="str">
        <f>VLOOKUP(G574,'Estádios e Cidades'!A:B,2,0)</f>
        <v>Pasadena</v>
      </c>
      <c r="J574" s="2" t="s">
        <v>187</v>
      </c>
      <c r="K574" s="2" t="str">
        <f>VLOOKUP(J574,Equipes!A:F,6,0)</f>
        <v>Temperate</v>
      </c>
      <c r="L574" s="2">
        <f>VLOOKUP(J574,Equipes!A:C,3,0)</f>
        <v>2</v>
      </c>
      <c r="M574" s="2" t="str">
        <f t="shared" si="4"/>
        <v>Final</v>
      </c>
      <c r="N574" s="2" t="s">
        <v>313</v>
      </c>
      <c r="O574" s="2">
        <f>VLOOKUP(N574,Equipes!A:C,3,0)</f>
        <v>14</v>
      </c>
      <c r="P574" s="2" t="str">
        <f t="shared" si="5"/>
        <v>Round of 16</v>
      </c>
      <c r="Q574" s="2">
        <f t="shared" si="6"/>
        <v>-12</v>
      </c>
      <c r="R574" s="2" t="str">
        <f>VLOOKUP(J574,Equipes!A:B,2,0)</f>
        <v>PSG</v>
      </c>
      <c r="S574" s="6" t="s">
        <v>213</v>
      </c>
      <c r="T574" s="7">
        <v>24.0</v>
      </c>
      <c r="U574" s="7" t="s">
        <v>214</v>
      </c>
      <c r="V574" s="7" t="str">
        <f>VLOOKUP(U574,Jogadores!B:C,2,0)</f>
        <v>MF</v>
      </c>
      <c r="W574" s="8">
        <f>VLOOKUP(U574,Jogadores!B:D,3,0)</f>
        <v>19.2109589</v>
      </c>
      <c r="X574" s="7">
        <v>0.0</v>
      </c>
      <c r="Y574" s="7">
        <v>55.0</v>
      </c>
      <c r="Z574" s="7">
        <f>VLOOKUP(A574,Jogos!A:L,3,0)</f>
        <v>51</v>
      </c>
      <c r="AA574" s="7">
        <f t="shared" si="7"/>
        <v>51</v>
      </c>
      <c r="AB574" s="7">
        <f>VLOOKUP(A574,Jogos!A:L,4,0)</f>
        <v>51</v>
      </c>
      <c r="AC574" s="7">
        <f t="shared" si="657"/>
        <v>10</v>
      </c>
      <c r="AD574" s="7"/>
      <c r="AE574" s="7"/>
      <c r="AF574" s="7">
        <f t="shared" si="9"/>
        <v>61</v>
      </c>
      <c r="AG574" s="7">
        <v>7506.7</v>
      </c>
      <c r="AH574" s="7">
        <v>2062.2</v>
      </c>
      <c r="AI574" s="7">
        <v>3558.1</v>
      </c>
      <c r="AJ574" s="7">
        <v>1271.2</v>
      </c>
      <c r="AK574" s="7">
        <v>509.0</v>
      </c>
      <c r="AL574" s="7">
        <v>106.2</v>
      </c>
      <c r="AM574" s="7">
        <v>115.0</v>
      </c>
      <c r="AN574" s="7">
        <v>38.0</v>
      </c>
      <c r="AO574" s="7">
        <v>32.6</v>
      </c>
      <c r="AP574" s="9">
        <f t="shared" ref="AP574:AR574" si="1791">AG574/$AF574</f>
        <v>123.0606557</v>
      </c>
      <c r="AQ574" s="9">
        <f t="shared" si="1791"/>
        <v>33.80655738</v>
      </c>
      <c r="AR574" s="9">
        <f t="shared" si="1791"/>
        <v>58.3295082</v>
      </c>
      <c r="AS574" s="9">
        <f t="shared" si="11"/>
        <v>92.13606557</v>
      </c>
      <c r="AT574" s="9">
        <f t="shared" ref="AT574:AV574" si="1792">AJ574/$AF574</f>
        <v>20.83934426</v>
      </c>
      <c r="AU574" s="9">
        <f t="shared" si="1792"/>
        <v>8.344262295</v>
      </c>
      <c r="AV574" s="9">
        <f t="shared" si="1792"/>
        <v>1.740983607</v>
      </c>
      <c r="AW574" s="9">
        <f t="shared" si="13"/>
        <v>10.0852459</v>
      </c>
      <c r="AX574" s="9">
        <f t="shared" ref="AX574:AY574" si="1793">AM574/$AF574</f>
        <v>1.885245902</v>
      </c>
      <c r="AY574" s="9">
        <f t="shared" si="1793"/>
        <v>0.6229508197</v>
      </c>
      <c r="AZ574" s="9">
        <f>VLOOKUP(A574,Jogos!A:BN,58,0)</f>
        <v>22.845</v>
      </c>
      <c r="BA574" s="9">
        <f>VLOOKUP(A574,Jogos!A:BN,59,0)</f>
        <v>11.63</v>
      </c>
      <c r="BB574" s="9">
        <f>VLOOKUP(A574,Jogos!A:BN,60,0)</f>
        <v>48.5</v>
      </c>
      <c r="BC574" s="9">
        <f>VLOOKUP(A574,Jogos!A:BN,61,0)</f>
        <v>20.39</v>
      </c>
      <c r="BD574" s="9">
        <f>VLOOKUP(A574,Jogos!A:BN,62,0)</f>
        <v>156.8</v>
      </c>
      <c r="BE574" s="9">
        <f>VLOOKUP(A574,Jogos!A:BN,63,0)</f>
        <v>1.32</v>
      </c>
      <c r="BF574" s="9">
        <f>VLOOKUP(A574,Jogos!A:BN,64,0)</f>
        <v>18.66</v>
      </c>
      <c r="BG574" s="9">
        <f>VLOOKUP(A574,Jogos!A:BN,65,0)</f>
        <v>34.165</v>
      </c>
      <c r="BH574" s="9">
        <f>VLOOKUP(A574,Jogos!A:BN,66,0)</f>
        <v>22.18</v>
      </c>
      <c r="BI574" s="9"/>
    </row>
    <row r="575" hidden="1">
      <c r="A575" s="2">
        <v>20.0</v>
      </c>
      <c r="B575" s="2" t="s">
        <v>185</v>
      </c>
      <c r="C575" s="2" t="s">
        <v>61</v>
      </c>
      <c r="D575" s="3">
        <v>45827.0</v>
      </c>
      <c r="E575" s="4">
        <v>0.75</v>
      </c>
      <c r="F575" s="5" t="str">
        <f>VLOOKUP(A575,Jogos!A:N,10,0)</f>
        <v>Evening</v>
      </c>
      <c r="G575" s="2" t="s">
        <v>186</v>
      </c>
      <c r="H575" s="6" t="str">
        <f>VLOOKUP(A575,Jogos!A:L,12,0)</f>
        <v>Open</v>
      </c>
      <c r="I575" s="6" t="str">
        <f>VLOOKUP(G575,'Estádios e Cidades'!A:B,2,0)</f>
        <v>Pasadena</v>
      </c>
      <c r="J575" s="2" t="s">
        <v>187</v>
      </c>
      <c r="K575" s="2" t="str">
        <f>VLOOKUP(J575,Equipes!A:F,6,0)</f>
        <v>Temperate</v>
      </c>
      <c r="L575" s="2">
        <f>VLOOKUP(J575,Equipes!A:C,3,0)</f>
        <v>2</v>
      </c>
      <c r="M575" s="2" t="str">
        <f t="shared" si="4"/>
        <v>Final</v>
      </c>
      <c r="N575" s="2" t="s">
        <v>313</v>
      </c>
      <c r="O575" s="2">
        <f>VLOOKUP(N575,Equipes!A:C,3,0)</f>
        <v>14</v>
      </c>
      <c r="P575" s="2" t="str">
        <f t="shared" si="5"/>
        <v>Round of 16</v>
      </c>
      <c r="Q575" s="2">
        <f t="shared" si="6"/>
        <v>-12</v>
      </c>
      <c r="R575" s="2" t="str">
        <f>VLOOKUP(J575,Equipes!A:B,2,0)</f>
        <v>PSG</v>
      </c>
      <c r="S575" s="6" t="s">
        <v>215</v>
      </c>
      <c r="T575" s="7">
        <v>33.0</v>
      </c>
      <c r="U575" s="7" t="s">
        <v>216</v>
      </c>
      <c r="V575" s="7" t="str">
        <f>VLOOKUP(U575,Jogadores!B:C,2,0)</f>
        <v>MF</v>
      </c>
      <c r="W575" s="8">
        <f>VLOOKUP(U575,Jogadores!B:D,3,0)</f>
        <v>19.40273973</v>
      </c>
      <c r="X575" s="7">
        <v>0.0</v>
      </c>
      <c r="Y575" s="7">
        <v>56.0</v>
      </c>
      <c r="Z575" s="7">
        <f>VLOOKUP(A575,Jogos!A:L,3,0)</f>
        <v>51</v>
      </c>
      <c r="AA575" s="7">
        <f t="shared" si="7"/>
        <v>51</v>
      </c>
      <c r="AB575" s="7">
        <f>VLOOKUP(A575,Jogos!A:L,4,0)</f>
        <v>51</v>
      </c>
      <c r="AC575" s="7">
        <f t="shared" si="657"/>
        <v>11</v>
      </c>
      <c r="AD575" s="7"/>
      <c r="AE575" s="7"/>
      <c r="AF575" s="7">
        <f t="shared" si="9"/>
        <v>62</v>
      </c>
      <c r="AG575" s="7">
        <v>7806.2</v>
      </c>
      <c r="AH575" s="7">
        <v>1902.5</v>
      </c>
      <c r="AI575" s="7">
        <v>3758.1</v>
      </c>
      <c r="AJ575" s="7">
        <v>1637.3</v>
      </c>
      <c r="AK575" s="7">
        <v>414.8</v>
      </c>
      <c r="AL575" s="7">
        <v>93.5</v>
      </c>
      <c r="AM575" s="7">
        <v>140.0</v>
      </c>
      <c r="AN575" s="7">
        <v>28.0</v>
      </c>
      <c r="AO575" s="7">
        <v>31.4</v>
      </c>
      <c r="AP575" s="9">
        <f t="shared" ref="AP575:AR575" si="1794">AG575/$AF575</f>
        <v>125.9064516</v>
      </c>
      <c r="AQ575" s="9">
        <f t="shared" si="1794"/>
        <v>30.68548387</v>
      </c>
      <c r="AR575" s="9">
        <f t="shared" si="1794"/>
        <v>60.61451613</v>
      </c>
      <c r="AS575" s="9">
        <f t="shared" si="11"/>
        <v>91.3</v>
      </c>
      <c r="AT575" s="9">
        <f t="shared" ref="AT575:AV575" si="1795">AJ575/$AF575</f>
        <v>26.40806452</v>
      </c>
      <c r="AU575" s="9">
        <f t="shared" si="1795"/>
        <v>6.690322581</v>
      </c>
      <c r="AV575" s="9">
        <f t="shared" si="1795"/>
        <v>1.508064516</v>
      </c>
      <c r="AW575" s="9">
        <f t="shared" si="13"/>
        <v>8.198387097</v>
      </c>
      <c r="AX575" s="9">
        <f t="shared" ref="AX575:AY575" si="1796">AM575/$AF575</f>
        <v>2.258064516</v>
      </c>
      <c r="AY575" s="9">
        <f t="shared" si="1796"/>
        <v>0.4516129032</v>
      </c>
      <c r="AZ575" s="9">
        <f>VLOOKUP(A575,Jogos!A:BN,58,0)</f>
        <v>22.845</v>
      </c>
      <c r="BA575" s="9">
        <f>VLOOKUP(A575,Jogos!A:BN,59,0)</f>
        <v>11.63</v>
      </c>
      <c r="BB575" s="9">
        <f>VLOOKUP(A575,Jogos!A:BN,60,0)</f>
        <v>48.5</v>
      </c>
      <c r="BC575" s="9">
        <f>VLOOKUP(A575,Jogos!A:BN,61,0)</f>
        <v>20.39</v>
      </c>
      <c r="BD575" s="9">
        <f>VLOOKUP(A575,Jogos!A:BN,62,0)</f>
        <v>156.8</v>
      </c>
      <c r="BE575" s="9">
        <f>VLOOKUP(A575,Jogos!A:BN,63,0)</f>
        <v>1.32</v>
      </c>
      <c r="BF575" s="9">
        <f>VLOOKUP(A575,Jogos!A:BN,64,0)</f>
        <v>18.66</v>
      </c>
      <c r="BG575" s="9">
        <f>VLOOKUP(A575,Jogos!A:BN,65,0)</f>
        <v>34.165</v>
      </c>
      <c r="BH575" s="9">
        <f>VLOOKUP(A575,Jogos!A:BN,66,0)</f>
        <v>22.18</v>
      </c>
      <c r="BI575" s="9"/>
    </row>
    <row r="576" hidden="1">
      <c r="A576" s="2">
        <v>20.0</v>
      </c>
      <c r="B576" s="2" t="s">
        <v>185</v>
      </c>
      <c r="C576" s="2" t="s">
        <v>61</v>
      </c>
      <c r="D576" s="3">
        <v>45827.0</v>
      </c>
      <c r="E576" s="4">
        <v>0.75</v>
      </c>
      <c r="F576" s="5" t="str">
        <f>VLOOKUP(A576,Jogos!A:N,10,0)</f>
        <v>Evening</v>
      </c>
      <c r="G576" s="2" t="s">
        <v>186</v>
      </c>
      <c r="H576" s="6" t="str">
        <f>VLOOKUP(A576,Jogos!A:L,12,0)</f>
        <v>Open</v>
      </c>
      <c r="I576" s="6" t="str">
        <f>VLOOKUP(G576,'Estádios e Cidades'!A:B,2,0)</f>
        <v>Pasadena</v>
      </c>
      <c r="J576" s="2" t="s">
        <v>187</v>
      </c>
      <c r="K576" s="2" t="str">
        <f>VLOOKUP(J576,Equipes!A:F,6,0)</f>
        <v>Temperate</v>
      </c>
      <c r="L576" s="2">
        <f>VLOOKUP(J576,Equipes!A:C,3,0)</f>
        <v>2</v>
      </c>
      <c r="M576" s="2" t="str">
        <f t="shared" si="4"/>
        <v>Final</v>
      </c>
      <c r="N576" s="2" t="s">
        <v>313</v>
      </c>
      <c r="O576" s="2">
        <f>VLOOKUP(N576,Equipes!A:C,3,0)</f>
        <v>14</v>
      </c>
      <c r="P576" s="2" t="str">
        <f t="shared" si="5"/>
        <v>Round of 16</v>
      </c>
      <c r="Q576" s="2">
        <f t="shared" si="6"/>
        <v>-12</v>
      </c>
      <c r="R576" s="2" t="str">
        <f>VLOOKUP(J576,Equipes!A:B,2,0)</f>
        <v>PSG</v>
      </c>
      <c r="S576" s="6" t="s">
        <v>205</v>
      </c>
      <c r="T576" s="7">
        <v>51.0</v>
      </c>
      <c r="U576" s="7" t="s">
        <v>206</v>
      </c>
      <c r="V576" s="7" t="str">
        <f>VLOOKUP(U576,Jogadores!B:C,2,0)</f>
        <v>DF</v>
      </c>
      <c r="W576" s="8">
        <f>VLOOKUP(U576,Jogadores!B:D,3,0)</f>
        <v>23.79726027</v>
      </c>
      <c r="X576" s="7">
        <v>0.0</v>
      </c>
      <c r="Y576" s="7">
        <f t="shared" ref="Y576:Y582" si="1800">45+AB576</f>
        <v>96</v>
      </c>
      <c r="Z576" s="7">
        <f>VLOOKUP(A576,Jogos!A:L,3,0)</f>
        <v>51</v>
      </c>
      <c r="AA576" s="7">
        <f t="shared" si="7"/>
        <v>51</v>
      </c>
      <c r="AB576" s="7">
        <f>VLOOKUP(A576,Jogos!A:L,4,0)</f>
        <v>51</v>
      </c>
      <c r="AC576" s="7">
        <f t="shared" si="657"/>
        <v>51</v>
      </c>
      <c r="AD576" s="7"/>
      <c r="AE576" s="7"/>
      <c r="AF576" s="7">
        <f t="shared" si="9"/>
        <v>102</v>
      </c>
      <c r="AG576" s="7">
        <v>9640.9</v>
      </c>
      <c r="AH576" s="7">
        <v>4300.1</v>
      </c>
      <c r="AI576" s="7">
        <v>3559.0</v>
      </c>
      <c r="AJ576" s="7">
        <v>1044.7</v>
      </c>
      <c r="AK576" s="7">
        <v>521.7</v>
      </c>
      <c r="AL576" s="7">
        <v>215.3</v>
      </c>
      <c r="AM576" s="7">
        <v>96.0</v>
      </c>
      <c r="AN576" s="7">
        <v>39.0</v>
      </c>
      <c r="AO576" s="7">
        <v>33.1</v>
      </c>
      <c r="AP576" s="9">
        <f t="shared" ref="AP576:AR576" si="1797">AG576/$AF576</f>
        <v>94.51862745</v>
      </c>
      <c r="AQ576" s="9">
        <f t="shared" si="1797"/>
        <v>42.15784314</v>
      </c>
      <c r="AR576" s="9">
        <f t="shared" si="1797"/>
        <v>34.89215686</v>
      </c>
      <c r="AS576" s="9">
        <f t="shared" si="11"/>
        <v>77.05</v>
      </c>
      <c r="AT576" s="9">
        <f t="shared" ref="AT576:AV576" si="1798">AJ576/$AF576</f>
        <v>10.24215686</v>
      </c>
      <c r="AU576" s="9">
        <f t="shared" si="1798"/>
        <v>5.114705882</v>
      </c>
      <c r="AV576" s="9">
        <f t="shared" si="1798"/>
        <v>2.110784314</v>
      </c>
      <c r="AW576" s="9">
        <f t="shared" si="13"/>
        <v>7.225490196</v>
      </c>
      <c r="AX576" s="9">
        <f t="shared" ref="AX576:AY576" si="1799">AM576/$AF576</f>
        <v>0.9411764706</v>
      </c>
      <c r="AY576" s="9">
        <f t="shared" si="1799"/>
        <v>0.3823529412</v>
      </c>
      <c r="AZ576" s="9">
        <f>VLOOKUP(A576,Jogos!A:BN,58,0)</f>
        <v>22.845</v>
      </c>
      <c r="BA576" s="9">
        <f>VLOOKUP(A576,Jogos!A:BN,59,0)</f>
        <v>11.63</v>
      </c>
      <c r="BB576" s="9">
        <f>VLOOKUP(A576,Jogos!A:BN,60,0)</f>
        <v>48.5</v>
      </c>
      <c r="BC576" s="9">
        <f>VLOOKUP(A576,Jogos!A:BN,61,0)</f>
        <v>20.39</v>
      </c>
      <c r="BD576" s="9">
        <f>VLOOKUP(A576,Jogos!A:BN,62,0)</f>
        <v>156.8</v>
      </c>
      <c r="BE576" s="9">
        <f>VLOOKUP(A576,Jogos!A:BN,63,0)</f>
        <v>1.32</v>
      </c>
      <c r="BF576" s="9">
        <f>VLOOKUP(A576,Jogos!A:BN,64,0)</f>
        <v>18.66</v>
      </c>
      <c r="BG576" s="9">
        <f>VLOOKUP(A576,Jogos!A:BN,65,0)</f>
        <v>34.165</v>
      </c>
      <c r="BH576" s="9">
        <f>VLOOKUP(A576,Jogos!A:BN,66,0)</f>
        <v>22.18</v>
      </c>
      <c r="BI576" s="9"/>
    </row>
    <row r="577" hidden="1">
      <c r="A577" s="2">
        <v>20.0</v>
      </c>
      <c r="B577" s="2" t="s">
        <v>185</v>
      </c>
      <c r="C577" s="2" t="s">
        <v>61</v>
      </c>
      <c r="D577" s="3">
        <v>45827.0</v>
      </c>
      <c r="E577" s="4">
        <v>0.75</v>
      </c>
      <c r="F577" s="5" t="str">
        <f>VLOOKUP(A577,Jogos!A:N,10,0)</f>
        <v>Evening</v>
      </c>
      <c r="G577" s="2" t="s">
        <v>186</v>
      </c>
      <c r="H577" s="6" t="str">
        <f>VLOOKUP(A577,Jogos!A:L,12,0)</f>
        <v>Open</v>
      </c>
      <c r="I577" s="6" t="str">
        <f>VLOOKUP(G577,'Estádios e Cidades'!A:B,2,0)</f>
        <v>Pasadena</v>
      </c>
      <c r="J577" s="2" t="s">
        <v>187</v>
      </c>
      <c r="K577" s="2" t="str">
        <f>VLOOKUP(J577,Equipes!A:F,6,0)</f>
        <v>Temperate</v>
      </c>
      <c r="L577" s="2">
        <f>VLOOKUP(J577,Equipes!A:C,3,0)</f>
        <v>2</v>
      </c>
      <c r="M577" s="2" t="str">
        <f t="shared" si="4"/>
        <v>Final</v>
      </c>
      <c r="N577" s="2" t="s">
        <v>313</v>
      </c>
      <c r="O577" s="2">
        <f>VLOOKUP(N577,Equipes!A:C,3,0)</f>
        <v>14</v>
      </c>
      <c r="P577" s="2" t="str">
        <f t="shared" si="5"/>
        <v>Round of 16</v>
      </c>
      <c r="Q577" s="2">
        <f t="shared" si="6"/>
        <v>-12</v>
      </c>
      <c r="R577" s="2" t="str">
        <f>VLOOKUP(J577,Equipes!A:B,2,0)</f>
        <v>PSG</v>
      </c>
      <c r="S577" s="6" t="s">
        <v>195</v>
      </c>
      <c r="T577" s="7">
        <v>8.0</v>
      </c>
      <c r="U577" s="7" t="s">
        <v>196</v>
      </c>
      <c r="V577" s="7" t="str">
        <f>VLOOKUP(U577,Jogadores!B:C,2,0)</f>
        <v>MF</v>
      </c>
      <c r="W577" s="8">
        <f>VLOOKUP(U577,Jogadores!B:D,3,0)</f>
        <v>29.3369863</v>
      </c>
      <c r="X577" s="7">
        <v>55.0</v>
      </c>
      <c r="Y577" s="7">
        <f t="shared" si="1800"/>
        <v>96</v>
      </c>
      <c r="Z577" s="7">
        <f>VLOOKUP(A577,Jogos!A:L,3,0)</f>
        <v>51</v>
      </c>
      <c r="AA577" s="7">
        <f t="shared" si="7"/>
        <v>0</v>
      </c>
      <c r="AB577" s="7">
        <f>VLOOKUP(A577,Jogos!A:L,4,0)</f>
        <v>51</v>
      </c>
      <c r="AC577" s="7">
        <f t="shared" si="657"/>
        <v>41</v>
      </c>
      <c r="AD577" s="7"/>
      <c r="AE577" s="7"/>
      <c r="AF577" s="7">
        <f t="shared" si="9"/>
        <v>41</v>
      </c>
      <c r="AG577" s="7">
        <v>4661.4</v>
      </c>
      <c r="AH577" s="7">
        <v>1662.8</v>
      </c>
      <c r="AI577" s="7">
        <v>2037.5</v>
      </c>
      <c r="AJ577" s="7">
        <v>744.0</v>
      </c>
      <c r="AK577" s="7">
        <v>213.5</v>
      </c>
      <c r="AL577" s="7">
        <v>3.6</v>
      </c>
      <c r="AM577" s="7">
        <v>66.0</v>
      </c>
      <c r="AN577" s="7">
        <v>16.0</v>
      </c>
      <c r="AO577" s="7">
        <v>25.2</v>
      </c>
      <c r="AP577" s="9">
        <f t="shared" ref="AP577:AR577" si="1801">AG577/$AF577</f>
        <v>113.6926829</v>
      </c>
      <c r="AQ577" s="9">
        <f t="shared" si="1801"/>
        <v>40.55609756</v>
      </c>
      <c r="AR577" s="9">
        <f t="shared" si="1801"/>
        <v>49.69512195</v>
      </c>
      <c r="AS577" s="9">
        <f t="shared" si="11"/>
        <v>90.25121951</v>
      </c>
      <c r="AT577" s="9">
        <f t="shared" ref="AT577:AV577" si="1802">AJ577/$AF577</f>
        <v>18.14634146</v>
      </c>
      <c r="AU577" s="9">
        <f t="shared" si="1802"/>
        <v>5.207317073</v>
      </c>
      <c r="AV577" s="9">
        <f t="shared" si="1802"/>
        <v>0.08780487805</v>
      </c>
      <c r="AW577" s="9">
        <f t="shared" si="13"/>
        <v>5.295121951</v>
      </c>
      <c r="AX577" s="9">
        <f t="shared" ref="AX577:AY577" si="1803">AM577/$AF577</f>
        <v>1.609756098</v>
      </c>
      <c r="AY577" s="9">
        <f t="shared" si="1803"/>
        <v>0.3902439024</v>
      </c>
      <c r="AZ577" s="9">
        <f>VLOOKUP(A577,Jogos!A:BN,58,0)</f>
        <v>22.845</v>
      </c>
      <c r="BA577" s="9">
        <f>VLOOKUP(A577,Jogos!A:BN,59,0)</f>
        <v>11.63</v>
      </c>
      <c r="BB577" s="9">
        <f>VLOOKUP(A577,Jogos!A:BN,60,0)</f>
        <v>48.5</v>
      </c>
      <c r="BC577" s="9">
        <f>VLOOKUP(A577,Jogos!A:BN,61,0)</f>
        <v>20.39</v>
      </c>
      <c r="BD577" s="9">
        <f>VLOOKUP(A577,Jogos!A:BN,62,0)</f>
        <v>156.8</v>
      </c>
      <c r="BE577" s="9">
        <f>VLOOKUP(A577,Jogos!A:BN,63,0)</f>
        <v>1.32</v>
      </c>
      <c r="BF577" s="9">
        <f>VLOOKUP(A577,Jogos!A:BN,64,0)</f>
        <v>18.66</v>
      </c>
      <c r="BG577" s="9">
        <f>VLOOKUP(A577,Jogos!A:BN,65,0)</f>
        <v>34.165</v>
      </c>
      <c r="BH577" s="9">
        <f>VLOOKUP(A577,Jogos!A:BN,66,0)</f>
        <v>22.18</v>
      </c>
      <c r="BI577" s="9"/>
    </row>
    <row r="578" hidden="1">
      <c r="A578" s="2">
        <v>20.0</v>
      </c>
      <c r="B578" s="2" t="s">
        <v>185</v>
      </c>
      <c r="C578" s="2" t="s">
        <v>61</v>
      </c>
      <c r="D578" s="3">
        <v>45827.0</v>
      </c>
      <c r="E578" s="4">
        <v>0.75</v>
      </c>
      <c r="F578" s="5" t="str">
        <f>VLOOKUP(A578,Jogos!A:N,10,0)</f>
        <v>Evening</v>
      </c>
      <c r="G578" s="2" t="s">
        <v>186</v>
      </c>
      <c r="H578" s="6" t="str">
        <f>VLOOKUP(A578,Jogos!A:L,12,0)</f>
        <v>Open</v>
      </c>
      <c r="I578" s="6" t="str">
        <f>VLOOKUP(G578,'Estádios e Cidades'!A:B,2,0)</f>
        <v>Pasadena</v>
      </c>
      <c r="J578" s="2" t="s">
        <v>187</v>
      </c>
      <c r="K578" s="2" t="str">
        <f>VLOOKUP(J578,Equipes!A:F,6,0)</f>
        <v>Temperate</v>
      </c>
      <c r="L578" s="2">
        <f>VLOOKUP(J578,Equipes!A:C,3,0)</f>
        <v>2</v>
      </c>
      <c r="M578" s="2" t="str">
        <f t="shared" si="4"/>
        <v>Final</v>
      </c>
      <c r="N578" s="2" t="s">
        <v>313</v>
      </c>
      <c r="O578" s="2">
        <f>VLOOKUP(N578,Equipes!A:C,3,0)</f>
        <v>14</v>
      </c>
      <c r="P578" s="2" t="str">
        <f t="shared" si="5"/>
        <v>Round of 16</v>
      </c>
      <c r="Q578" s="2">
        <f t="shared" si="6"/>
        <v>-12</v>
      </c>
      <c r="R578" s="2" t="str">
        <f>VLOOKUP(J578,Equipes!A:B,2,0)</f>
        <v>PSG</v>
      </c>
      <c r="S578" s="6" t="s">
        <v>209</v>
      </c>
      <c r="T578" s="7">
        <v>19.0</v>
      </c>
      <c r="U578" s="7" t="s">
        <v>210</v>
      </c>
      <c r="V578" s="7" t="str">
        <f>VLOOKUP(U578,Jogadores!B:C,2,0)</f>
        <v>MF</v>
      </c>
      <c r="W578" s="8">
        <f>VLOOKUP(U578,Jogadores!B:D,3,0)</f>
        <v>24.45205479</v>
      </c>
      <c r="X578" s="7">
        <v>79.0</v>
      </c>
      <c r="Y578" s="7">
        <f t="shared" si="1800"/>
        <v>96</v>
      </c>
      <c r="Z578" s="7">
        <f>VLOOKUP(A578,Jogos!A:L,3,0)</f>
        <v>51</v>
      </c>
      <c r="AA578" s="7">
        <f t="shared" si="7"/>
        <v>0</v>
      </c>
      <c r="AB578" s="7">
        <f>VLOOKUP(A578,Jogos!A:L,4,0)</f>
        <v>51</v>
      </c>
      <c r="AC578" s="7">
        <f t="shared" si="657"/>
        <v>17</v>
      </c>
      <c r="AD578" s="7"/>
      <c r="AE578" s="7"/>
      <c r="AF578" s="7">
        <f t="shared" si="9"/>
        <v>17</v>
      </c>
      <c r="AG578" s="7">
        <v>1983.2</v>
      </c>
      <c r="AH578" s="7">
        <v>591.3</v>
      </c>
      <c r="AI578" s="7">
        <v>929.8</v>
      </c>
      <c r="AJ578" s="7">
        <v>308.0</v>
      </c>
      <c r="AK578" s="7">
        <v>124.8</v>
      </c>
      <c r="AL578" s="7">
        <v>29.3</v>
      </c>
      <c r="AM578" s="7">
        <v>28.0</v>
      </c>
      <c r="AN578" s="7">
        <v>12.0</v>
      </c>
      <c r="AO578" s="7">
        <v>27.1</v>
      </c>
      <c r="AP578" s="9">
        <f t="shared" ref="AP578:AR578" si="1804">AG578/$AF578</f>
        <v>116.6588235</v>
      </c>
      <c r="AQ578" s="9">
        <f t="shared" si="1804"/>
        <v>34.78235294</v>
      </c>
      <c r="AR578" s="9">
        <f t="shared" si="1804"/>
        <v>54.69411765</v>
      </c>
      <c r="AS578" s="9">
        <f t="shared" si="11"/>
        <v>89.47647059</v>
      </c>
      <c r="AT578" s="9">
        <f t="shared" ref="AT578:AV578" si="1805">AJ578/$AF578</f>
        <v>18.11764706</v>
      </c>
      <c r="AU578" s="9">
        <f t="shared" si="1805"/>
        <v>7.341176471</v>
      </c>
      <c r="AV578" s="9">
        <f t="shared" si="1805"/>
        <v>1.723529412</v>
      </c>
      <c r="AW578" s="9">
        <f t="shared" si="13"/>
        <v>9.064705882</v>
      </c>
      <c r="AX578" s="9">
        <f t="shared" ref="AX578:AY578" si="1806">AM578/$AF578</f>
        <v>1.647058824</v>
      </c>
      <c r="AY578" s="9">
        <f t="shared" si="1806"/>
        <v>0.7058823529</v>
      </c>
      <c r="AZ578" s="9">
        <f>VLOOKUP(A578,Jogos!A:BN,58,0)</f>
        <v>22.845</v>
      </c>
      <c r="BA578" s="9">
        <f>VLOOKUP(A578,Jogos!A:BN,59,0)</f>
        <v>11.63</v>
      </c>
      <c r="BB578" s="9">
        <f>VLOOKUP(A578,Jogos!A:BN,60,0)</f>
        <v>48.5</v>
      </c>
      <c r="BC578" s="9">
        <f>VLOOKUP(A578,Jogos!A:BN,61,0)</f>
        <v>20.39</v>
      </c>
      <c r="BD578" s="9">
        <f>VLOOKUP(A578,Jogos!A:BN,62,0)</f>
        <v>156.8</v>
      </c>
      <c r="BE578" s="9">
        <f>VLOOKUP(A578,Jogos!A:BN,63,0)</f>
        <v>1.32</v>
      </c>
      <c r="BF578" s="9">
        <f>VLOOKUP(A578,Jogos!A:BN,64,0)</f>
        <v>18.66</v>
      </c>
      <c r="BG578" s="9">
        <f>VLOOKUP(A578,Jogos!A:BN,65,0)</f>
        <v>34.165</v>
      </c>
      <c r="BH578" s="9">
        <f>VLOOKUP(A578,Jogos!A:BN,66,0)</f>
        <v>22.18</v>
      </c>
      <c r="BI578" s="9"/>
    </row>
    <row r="579" hidden="1">
      <c r="A579" s="2">
        <v>20.0</v>
      </c>
      <c r="B579" s="2" t="s">
        <v>185</v>
      </c>
      <c r="C579" s="2" t="s">
        <v>61</v>
      </c>
      <c r="D579" s="3">
        <v>45827.0</v>
      </c>
      <c r="E579" s="4">
        <v>0.75</v>
      </c>
      <c r="F579" s="5" t="str">
        <f>VLOOKUP(A579,Jogos!A:N,10,0)</f>
        <v>Evening</v>
      </c>
      <c r="G579" s="2" t="s">
        <v>186</v>
      </c>
      <c r="H579" s="6" t="str">
        <f>VLOOKUP(A579,Jogos!A:L,12,0)</f>
        <v>Open</v>
      </c>
      <c r="I579" s="6" t="str">
        <f>VLOOKUP(G579,'Estádios e Cidades'!A:B,2,0)</f>
        <v>Pasadena</v>
      </c>
      <c r="J579" s="2" t="s">
        <v>187</v>
      </c>
      <c r="K579" s="2" t="str">
        <f>VLOOKUP(J579,Equipes!A:F,6,0)</f>
        <v>Temperate</v>
      </c>
      <c r="L579" s="2">
        <f>VLOOKUP(J579,Equipes!A:C,3,0)</f>
        <v>2</v>
      </c>
      <c r="M579" s="2" t="str">
        <f t="shared" si="4"/>
        <v>Final</v>
      </c>
      <c r="N579" s="2" t="s">
        <v>313</v>
      </c>
      <c r="O579" s="2">
        <f>VLOOKUP(N579,Equipes!A:C,3,0)</f>
        <v>14</v>
      </c>
      <c r="P579" s="2" t="str">
        <f t="shared" si="5"/>
        <v>Round of 16</v>
      </c>
      <c r="Q579" s="2">
        <f t="shared" si="6"/>
        <v>-12</v>
      </c>
      <c r="R579" s="2" t="str">
        <f>VLOOKUP(J579,Equipes!A:B,2,0)</f>
        <v>PSG</v>
      </c>
      <c r="S579" s="6" t="s">
        <v>203</v>
      </c>
      <c r="T579" s="7">
        <v>25.0</v>
      </c>
      <c r="U579" s="7" t="s">
        <v>204</v>
      </c>
      <c r="V579" s="7" t="str">
        <f>VLOOKUP(U579,Jogadores!B:C,2,0)</f>
        <v>DF</v>
      </c>
      <c r="W579" s="8">
        <f>VLOOKUP(U579,Jogadores!B:D,3,0)</f>
        <v>23.12328767</v>
      </c>
      <c r="X579" s="7">
        <v>55.0</v>
      </c>
      <c r="Y579" s="7">
        <f t="shared" si="1800"/>
        <v>96</v>
      </c>
      <c r="Z579" s="7">
        <f>VLOOKUP(A579,Jogos!A:L,3,0)</f>
        <v>51</v>
      </c>
      <c r="AA579" s="7">
        <f t="shared" si="7"/>
        <v>0</v>
      </c>
      <c r="AB579" s="7">
        <f>VLOOKUP(A579,Jogos!A:L,4,0)</f>
        <v>51</v>
      </c>
      <c r="AC579" s="7">
        <f t="shared" si="657"/>
        <v>41</v>
      </c>
      <c r="AD579" s="7"/>
      <c r="AE579" s="7"/>
      <c r="AF579" s="7">
        <f t="shared" si="9"/>
        <v>41</v>
      </c>
      <c r="AG579" s="7">
        <v>3986.5</v>
      </c>
      <c r="AH579" s="7">
        <v>1497.0</v>
      </c>
      <c r="AI579" s="7">
        <v>1645.6</v>
      </c>
      <c r="AJ579" s="7">
        <v>520.8</v>
      </c>
      <c r="AK579" s="7">
        <v>283.5</v>
      </c>
      <c r="AL579" s="7">
        <v>39.6</v>
      </c>
      <c r="AM579" s="7">
        <v>42.0</v>
      </c>
      <c r="AN579" s="7">
        <v>22.0</v>
      </c>
      <c r="AO579" s="7">
        <v>32.8</v>
      </c>
      <c r="AP579" s="9">
        <f t="shared" ref="AP579:AR579" si="1807">AG579/$AF579</f>
        <v>97.23170732</v>
      </c>
      <c r="AQ579" s="9">
        <f t="shared" si="1807"/>
        <v>36.51219512</v>
      </c>
      <c r="AR579" s="9">
        <f t="shared" si="1807"/>
        <v>40.13658537</v>
      </c>
      <c r="AS579" s="9">
        <f t="shared" si="11"/>
        <v>76.64878049</v>
      </c>
      <c r="AT579" s="9">
        <f t="shared" ref="AT579:AV579" si="1808">AJ579/$AF579</f>
        <v>12.70243902</v>
      </c>
      <c r="AU579" s="9">
        <f t="shared" si="1808"/>
        <v>6.914634146</v>
      </c>
      <c r="AV579" s="9">
        <f t="shared" si="1808"/>
        <v>0.9658536585</v>
      </c>
      <c r="AW579" s="9">
        <f t="shared" si="13"/>
        <v>7.880487805</v>
      </c>
      <c r="AX579" s="9">
        <f t="shared" ref="AX579:AY579" si="1809">AM579/$AF579</f>
        <v>1.024390244</v>
      </c>
      <c r="AY579" s="9">
        <f t="shared" si="1809"/>
        <v>0.5365853659</v>
      </c>
      <c r="AZ579" s="9">
        <f>VLOOKUP(A579,Jogos!A:BN,58,0)</f>
        <v>22.845</v>
      </c>
      <c r="BA579" s="9">
        <f>VLOOKUP(A579,Jogos!A:BN,59,0)</f>
        <v>11.63</v>
      </c>
      <c r="BB579" s="9">
        <f>VLOOKUP(A579,Jogos!A:BN,60,0)</f>
        <v>48.5</v>
      </c>
      <c r="BC579" s="9">
        <f>VLOOKUP(A579,Jogos!A:BN,61,0)</f>
        <v>20.39</v>
      </c>
      <c r="BD579" s="9">
        <f>VLOOKUP(A579,Jogos!A:BN,62,0)</f>
        <v>156.8</v>
      </c>
      <c r="BE579" s="9">
        <f>VLOOKUP(A579,Jogos!A:BN,63,0)</f>
        <v>1.32</v>
      </c>
      <c r="BF579" s="9">
        <f>VLOOKUP(A579,Jogos!A:BN,64,0)</f>
        <v>18.66</v>
      </c>
      <c r="BG579" s="9">
        <f>VLOOKUP(A579,Jogos!A:BN,65,0)</f>
        <v>34.165</v>
      </c>
      <c r="BH579" s="9">
        <f>VLOOKUP(A579,Jogos!A:BN,66,0)</f>
        <v>22.18</v>
      </c>
      <c r="BI579" s="9"/>
    </row>
    <row r="580" hidden="1">
      <c r="A580" s="2">
        <v>20.0</v>
      </c>
      <c r="B580" s="2" t="s">
        <v>185</v>
      </c>
      <c r="C580" s="2" t="s">
        <v>61</v>
      </c>
      <c r="D580" s="3">
        <v>45827.0</v>
      </c>
      <c r="E580" s="4">
        <v>0.75</v>
      </c>
      <c r="F580" s="5" t="str">
        <f>VLOOKUP(A580,Jogos!A:N,10,0)</f>
        <v>Evening</v>
      </c>
      <c r="G580" s="2" t="s">
        <v>186</v>
      </c>
      <c r="H580" s="6" t="str">
        <f>VLOOKUP(A580,Jogos!A:L,12,0)</f>
        <v>Open</v>
      </c>
      <c r="I580" s="6" t="str">
        <f>VLOOKUP(G580,'Estádios e Cidades'!A:B,2,0)</f>
        <v>Pasadena</v>
      </c>
      <c r="J580" s="2" t="s">
        <v>187</v>
      </c>
      <c r="K580" s="2" t="str">
        <f>VLOOKUP(J580,Equipes!A:F,6,0)</f>
        <v>Temperate</v>
      </c>
      <c r="L580" s="2">
        <f>VLOOKUP(J580,Equipes!A:C,3,0)</f>
        <v>2</v>
      </c>
      <c r="M580" s="2" t="str">
        <f t="shared" si="4"/>
        <v>Final</v>
      </c>
      <c r="N580" s="2" t="s">
        <v>313</v>
      </c>
      <c r="O580" s="2">
        <f>VLOOKUP(N580,Equipes!A:C,3,0)</f>
        <v>14</v>
      </c>
      <c r="P580" s="2" t="str">
        <f t="shared" si="5"/>
        <v>Round of 16</v>
      </c>
      <c r="Q580" s="2">
        <f t="shared" si="6"/>
        <v>-12</v>
      </c>
      <c r="R580" s="2" t="str">
        <f>VLOOKUP(J580,Equipes!A:B,2,0)</f>
        <v>PSG</v>
      </c>
      <c r="S580" s="6" t="s">
        <v>1096</v>
      </c>
      <c r="T580" s="7">
        <v>29.0</v>
      </c>
      <c r="U580" s="7" t="s">
        <v>1097</v>
      </c>
      <c r="V580" s="7" t="str">
        <f>VLOOKUP(U580,Jogadores!B:C,2,0)</f>
        <v>FW</v>
      </c>
      <c r="W580" s="8">
        <f>VLOOKUP(U580,Jogadores!B:D,3,0)</f>
        <v>22.91780822</v>
      </c>
      <c r="X580" s="7">
        <v>55.0</v>
      </c>
      <c r="Y580" s="7">
        <f t="shared" si="1800"/>
        <v>96</v>
      </c>
      <c r="Z580" s="7">
        <f>VLOOKUP(A580,Jogos!A:L,3,0)</f>
        <v>51</v>
      </c>
      <c r="AA580" s="7">
        <f t="shared" si="7"/>
        <v>0</v>
      </c>
      <c r="AB580" s="7">
        <f>VLOOKUP(A580,Jogos!A:L,4,0)</f>
        <v>51</v>
      </c>
      <c r="AC580" s="7">
        <f t="shared" si="657"/>
        <v>41</v>
      </c>
      <c r="AD580" s="7"/>
      <c r="AE580" s="7"/>
      <c r="AF580" s="7">
        <f t="shared" si="9"/>
        <v>41</v>
      </c>
      <c r="AG580" s="7">
        <v>4193.0</v>
      </c>
      <c r="AH580" s="7">
        <v>1728.3</v>
      </c>
      <c r="AI580" s="7">
        <v>1834.4</v>
      </c>
      <c r="AJ580" s="7">
        <v>470.9</v>
      </c>
      <c r="AK580" s="7">
        <v>107.6</v>
      </c>
      <c r="AL580" s="7">
        <v>51.9</v>
      </c>
      <c r="AM580" s="7">
        <v>40.0</v>
      </c>
      <c r="AN580" s="7">
        <v>11.0</v>
      </c>
      <c r="AO580" s="7">
        <v>31.9</v>
      </c>
      <c r="AP580" s="9">
        <f t="shared" ref="AP580:AR580" si="1810">AG580/$AF580</f>
        <v>102.2682927</v>
      </c>
      <c r="AQ580" s="9">
        <f t="shared" si="1810"/>
        <v>42.15365854</v>
      </c>
      <c r="AR580" s="9">
        <f t="shared" si="1810"/>
        <v>44.74146341</v>
      </c>
      <c r="AS580" s="9">
        <f t="shared" si="11"/>
        <v>86.89512195</v>
      </c>
      <c r="AT580" s="9">
        <f t="shared" ref="AT580:AV580" si="1811">AJ580/$AF580</f>
        <v>11.48536585</v>
      </c>
      <c r="AU580" s="9">
        <f t="shared" si="1811"/>
        <v>2.624390244</v>
      </c>
      <c r="AV580" s="9">
        <f t="shared" si="1811"/>
        <v>1.265853659</v>
      </c>
      <c r="AW580" s="9">
        <f t="shared" si="13"/>
        <v>3.890243902</v>
      </c>
      <c r="AX580" s="9">
        <f t="shared" ref="AX580:AY580" si="1812">AM580/$AF580</f>
        <v>0.9756097561</v>
      </c>
      <c r="AY580" s="9">
        <f t="shared" si="1812"/>
        <v>0.2682926829</v>
      </c>
      <c r="AZ580" s="9">
        <f>VLOOKUP(A580,Jogos!A:BN,58,0)</f>
        <v>22.845</v>
      </c>
      <c r="BA580" s="9">
        <f>VLOOKUP(A580,Jogos!A:BN,59,0)</f>
        <v>11.63</v>
      </c>
      <c r="BB580" s="9">
        <f>VLOOKUP(A580,Jogos!A:BN,60,0)</f>
        <v>48.5</v>
      </c>
      <c r="BC580" s="9">
        <f>VLOOKUP(A580,Jogos!A:BN,61,0)</f>
        <v>20.39</v>
      </c>
      <c r="BD580" s="9">
        <f>VLOOKUP(A580,Jogos!A:BN,62,0)</f>
        <v>156.8</v>
      </c>
      <c r="BE580" s="9">
        <f>VLOOKUP(A580,Jogos!A:BN,63,0)</f>
        <v>1.32</v>
      </c>
      <c r="BF580" s="9">
        <f>VLOOKUP(A580,Jogos!A:BN,64,0)</f>
        <v>18.66</v>
      </c>
      <c r="BG580" s="9">
        <f>VLOOKUP(A580,Jogos!A:BN,65,0)</f>
        <v>34.165</v>
      </c>
      <c r="BH580" s="9">
        <f>VLOOKUP(A580,Jogos!A:BN,66,0)</f>
        <v>22.18</v>
      </c>
      <c r="BI580" s="9"/>
    </row>
    <row r="581" hidden="1">
      <c r="A581" s="2">
        <v>20.0</v>
      </c>
      <c r="B581" s="2" t="s">
        <v>185</v>
      </c>
      <c r="C581" s="2" t="s">
        <v>61</v>
      </c>
      <c r="D581" s="3">
        <v>45827.0</v>
      </c>
      <c r="E581" s="4">
        <v>0.75</v>
      </c>
      <c r="F581" s="5" t="str">
        <f>VLOOKUP(A581,Jogos!A:N,10,0)</f>
        <v>Evening</v>
      </c>
      <c r="G581" s="2" t="s">
        <v>186</v>
      </c>
      <c r="H581" s="6" t="str">
        <f>VLOOKUP(A581,Jogos!A:L,12,0)</f>
        <v>Open</v>
      </c>
      <c r="I581" s="6" t="str">
        <f>VLOOKUP(G581,'Estádios e Cidades'!A:B,2,0)</f>
        <v>Pasadena</v>
      </c>
      <c r="J581" s="2" t="s">
        <v>187</v>
      </c>
      <c r="K581" s="2" t="str">
        <f>VLOOKUP(J581,Equipes!A:F,6,0)</f>
        <v>Temperate</v>
      </c>
      <c r="L581" s="2">
        <f>VLOOKUP(J581,Equipes!A:C,3,0)</f>
        <v>2</v>
      </c>
      <c r="M581" s="2" t="str">
        <f t="shared" si="4"/>
        <v>Final</v>
      </c>
      <c r="N581" s="2" t="s">
        <v>313</v>
      </c>
      <c r="O581" s="2">
        <f>VLOOKUP(N581,Equipes!A:C,3,0)</f>
        <v>14</v>
      </c>
      <c r="P581" s="2" t="str">
        <f t="shared" si="5"/>
        <v>Round of 16</v>
      </c>
      <c r="Q581" s="2">
        <f t="shared" si="6"/>
        <v>-12</v>
      </c>
      <c r="R581" s="2" t="str">
        <f>VLOOKUP(J581,Equipes!A:B,2,0)</f>
        <v>PSG</v>
      </c>
      <c r="S581" s="6" t="s">
        <v>207</v>
      </c>
      <c r="T581" s="7">
        <v>87.0</v>
      </c>
      <c r="U581" s="7" t="s">
        <v>208</v>
      </c>
      <c r="V581" s="7" t="str">
        <f>VLOOKUP(U581,Jogadores!B:C,2,0)</f>
        <v>MF</v>
      </c>
      <c r="W581" s="8">
        <f>VLOOKUP(U581,Jogadores!B:D,3,0)</f>
        <v>20.84657534</v>
      </c>
      <c r="X581" s="7">
        <v>56.0</v>
      </c>
      <c r="Y581" s="7">
        <f t="shared" si="1800"/>
        <v>96</v>
      </c>
      <c r="Z581" s="7">
        <f>VLOOKUP(A581,Jogos!A:L,3,0)</f>
        <v>51</v>
      </c>
      <c r="AA581" s="7">
        <f t="shared" si="7"/>
        <v>0</v>
      </c>
      <c r="AB581" s="7">
        <f>VLOOKUP(A581,Jogos!A:L,4,0)</f>
        <v>51</v>
      </c>
      <c r="AC581" s="7">
        <f t="shared" si="657"/>
        <v>40</v>
      </c>
      <c r="AD581" s="7"/>
      <c r="AE581" s="7"/>
      <c r="AF581" s="7">
        <f t="shared" si="9"/>
        <v>40</v>
      </c>
      <c r="AG581" s="7">
        <v>4932.9</v>
      </c>
      <c r="AH581" s="7">
        <v>1591.6</v>
      </c>
      <c r="AI581" s="7">
        <v>2031.1</v>
      </c>
      <c r="AJ581" s="7">
        <v>850.7</v>
      </c>
      <c r="AK581" s="7">
        <v>325.6</v>
      </c>
      <c r="AL581" s="7">
        <v>134.0</v>
      </c>
      <c r="AM581" s="7">
        <v>76.0</v>
      </c>
      <c r="AN581" s="7">
        <v>25.0</v>
      </c>
      <c r="AO581" s="7">
        <v>31.4</v>
      </c>
      <c r="AP581" s="9">
        <f t="shared" ref="AP581:AR581" si="1813">AG581/$AF581</f>
        <v>123.3225</v>
      </c>
      <c r="AQ581" s="9">
        <f t="shared" si="1813"/>
        <v>39.79</v>
      </c>
      <c r="AR581" s="9">
        <f t="shared" si="1813"/>
        <v>50.7775</v>
      </c>
      <c r="AS581" s="9">
        <f t="shared" si="11"/>
        <v>90.5675</v>
      </c>
      <c r="AT581" s="9">
        <f t="shared" ref="AT581:AV581" si="1814">AJ581/$AF581</f>
        <v>21.2675</v>
      </c>
      <c r="AU581" s="9">
        <f t="shared" si="1814"/>
        <v>8.14</v>
      </c>
      <c r="AV581" s="9">
        <f t="shared" si="1814"/>
        <v>3.35</v>
      </c>
      <c r="AW581" s="9">
        <f t="shared" si="13"/>
        <v>11.49</v>
      </c>
      <c r="AX581" s="9">
        <f t="shared" ref="AX581:AY581" si="1815">AM581/$AF581</f>
        <v>1.9</v>
      </c>
      <c r="AY581" s="9">
        <f t="shared" si="1815"/>
        <v>0.625</v>
      </c>
      <c r="AZ581" s="9">
        <f>VLOOKUP(A581,Jogos!A:BN,58,0)</f>
        <v>22.845</v>
      </c>
      <c r="BA581" s="9">
        <f>VLOOKUP(A581,Jogos!A:BN,59,0)</f>
        <v>11.63</v>
      </c>
      <c r="BB581" s="9">
        <f>VLOOKUP(A581,Jogos!A:BN,60,0)</f>
        <v>48.5</v>
      </c>
      <c r="BC581" s="9">
        <f>VLOOKUP(A581,Jogos!A:BN,61,0)</f>
        <v>20.39</v>
      </c>
      <c r="BD581" s="9">
        <f>VLOOKUP(A581,Jogos!A:BN,62,0)</f>
        <v>156.8</v>
      </c>
      <c r="BE581" s="9">
        <f>VLOOKUP(A581,Jogos!A:BN,63,0)</f>
        <v>1.32</v>
      </c>
      <c r="BF581" s="9">
        <f>VLOOKUP(A581,Jogos!A:BN,64,0)</f>
        <v>18.66</v>
      </c>
      <c r="BG581" s="9">
        <f>VLOOKUP(A581,Jogos!A:BN,65,0)</f>
        <v>34.165</v>
      </c>
      <c r="BH581" s="9">
        <f>VLOOKUP(A581,Jogos!A:BN,66,0)</f>
        <v>22.18</v>
      </c>
      <c r="BI581" s="9"/>
    </row>
    <row r="582" hidden="1">
      <c r="A582" s="10">
        <v>20.0</v>
      </c>
      <c r="B582" s="11" t="s">
        <v>185</v>
      </c>
      <c r="C582" s="2" t="s">
        <v>61</v>
      </c>
      <c r="D582" s="12">
        <v>45827.0</v>
      </c>
      <c r="E582" s="13">
        <v>0.75</v>
      </c>
      <c r="F582" s="5" t="str">
        <f>VLOOKUP(A582,Jogos!A:N,10,0)</f>
        <v>Evening</v>
      </c>
      <c r="G582" s="11" t="s">
        <v>186</v>
      </c>
      <c r="H582" s="6" t="str">
        <f>VLOOKUP(A582,Jogos!A:L,12,0)</f>
        <v>Open</v>
      </c>
      <c r="I582" s="6" t="str">
        <f>VLOOKUP(G582,'Estádios e Cidades'!A:B,2,0)</f>
        <v>Pasadena</v>
      </c>
      <c r="J582" s="11" t="s">
        <v>313</v>
      </c>
      <c r="K582" s="2" t="str">
        <f>VLOOKUP(J582,Equipes!A:F,6,0)</f>
        <v>Tropical</v>
      </c>
      <c r="L582" s="2">
        <f>VLOOKUP(J582,Equipes!A:C,3,0)</f>
        <v>14</v>
      </c>
      <c r="M582" s="2" t="str">
        <f t="shared" si="4"/>
        <v>Round of 16</v>
      </c>
      <c r="N582" s="11" t="s">
        <v>187</v>
      </c>
      <c r="O582" s="2">
        <f>VLOOKUP(N582,Equipes!A:C,3,0)</f>
        <v>2</v>
      </c>
      <c r="P582" s="2" t="str">
        <f t="shared" si="5"/>
        <v>Final</v>
      </c>
      <c r="Q582" s="2">
        <f t="shared" si="6"/>
        <v>12</v>
      </c>
      <c r="R582" s="2" t="str">
        <f>VLOOKUP(J582,Equipes!A:B,2,0)</f>
        <v>Botafogo</v>
      </c>
      <c r="S582" s="14" t="s">
        <v>315</v>
      </c>
      <c r="T582" s="7">
        <v>2.0</v>
      </c>
      <c r="U582" s="7" t="s">
        <v>316</v>
      </c>
      <c r="V582" s="7" t="str">
        <f>VLOOKUP(U582,Jogadores!B:C,2,0)</f>
        <v>DF</v>
      </c>
      <c r="W582" s="8">
        <f>VLOOKUP(U582,Jogadores!B:D,3,0)</f>
        <v>26.03287671</v>
      </c>
      <c r="X582" s="7">
        <v>0.0</v>
      </c>
      <c r="Y582" s="7">
        <f t="shared" si="1800"/>
        <v>96</v>
      </c>
      <c r="Z582" s="7">
        <f>VLOOKUP(A582,Jogos!A:L,3,0)</f>
        <v>51</v>
      </c>
      <c r="AA582" s="7">
        <f t="shared" si="7"/>
        <v>51</v>
      </c>
      <c r="AB582" s="7">
        <f>VLOOKUP(A582,Jogos!A:L,4,0)</f>
        <v>51</v>
      </c>
      <c r="AC582" s="7">
        <f t="shared" si="657"/>
        <v>51</v>
      </c>
      <c r="AD582" s="7"/>
      <c r="AE582" s="7"/>
      <c r="AF582" s="7">
        <f t="shared" si="9"/>
        <v>102</v>
      </c>
      <c r="AG582" s="7">
        <v>11398.7</v>
      </c>
      <c r="AH582" s="7">
        <v>3825.8</v>
      </c>
      <c r="AI582" s="7">
        <v>5133.0</v>
      </c>
      <c r="AJ582" s="7">
        <v>1609.8</v>
      </c>
      <c r="AK582" s="7">
        <v>583.3</v>
      </c>
      <c r="AL582" s="7">
        <v>246.9</v>
      </c>
      <c r="AM582" s="7">
        <v>135.0</v>
      </c>
      <c r="AN582" s="7">
        <v>44.0</v>
      </c>
      <c r="AO582" s="7">
        <v>34.4</v>
      </c>
      <c r="AP582" s="9">
        <f t="shared" ref="AP582:AR582" si="1816">AG582/$AF582</f>
        <v>111.7519608</v>
      </c>
      <c r="AQ582" s="9">
        <f t="shared" si="1816"/>
        <v>37.50784314</v>
      </c>
      <c r="AR582" s="9">
        <f t="shared" si="1816"/>
        <v>50.32352941</v>
      </c>
      <c r="AS582" s="9">
        <f t="shared" si="11"/>
        <v>87.83137255</v>
      </c>
      <c r="AT582" s="9">
        <f t="shared" ref="AT582:AV582" si="1817">AJ582/$AF582</f>
        <v>15.78235294</v>
      </c>
      <c r="AU582" s="9">
        <f t="shared" si="1817"/>
        <v>5.718627451</v>
      </c>
      <c r="AV582" s="9">
        <f t="shared" si="1817"/>
        <v>2.420588235</v>
      </c>
      <c r="AW582" s="9">
        <f t="shared" si="13"/>
        <v>8.139215686</v>
      </c>
      <c r="AX582" s="9">
        <f t="shared" ref="AX582:AY582" si="1818">AM582/$AF582</f>
        <v>1.323529412</v>
      </c>
      <c r="AY582" s="9">
        <f t="shared" si="1818"/>
        <v>0.431372549</v>
      </c>
      <c r="AZ582" s="9">
        <f>VLOOKUP(A582,Jogos!A:BN,58,0)</f>
        <v>22.845</v>
      </c>
      <c r="BA582" s="9">
        <f>VLOOKUP(A582,Jogos!A:BN,59,0)</f>
        <v>11.63</v>
      </c>
      <c r="BB582" s="9">
        <f>VLOOKUP(A582,Jogos!A:BN,60,0)</f>
        <v>48.5</v>
      </c>
      <c r="BC582" s="9">
        <f>VLOOKUP(A582,Jogos!A:BN,61,0)</f>
        <v>20.39</v>
      </c>
      <c r="BD582" s="9">
        <f>VLOOKUP(A582,Jogos!A:BN,62,0)</f>
        <v>156.8</v>
      </c>
      <c r="BE582" s="9">
        <f>VLOOKUP(A582,Jogos!A:BN,63,0)</f>
        <v>1.32</v>
      </c>
      <c r="BF582" s="9">
        <f>VLOOKUP(A582,Jogos!A:BN,64,0)</f>
        <v>18.66</v>
      </c>
      <c r="BG582" s="9">
        <f>VLOOKUP(A582,Jogos!A:BN,65,0)</f>
        <v>34.165</v>
      </c>
      <c r="BH582" s="9">
        <f>VLOOKUP(A582,Jogos!A:BN,66,0)</f>
        <v>22.18</v>
      </c>
      <c r="BI582" s="9"/>
    </row>
    <row r="583" hidden="1">
      <c r="A583" s="10">
        <v>20.0</v>
      </c>
      <c r="B583" s="11" t="s">
        <v>185</v>
      </c>
      <c r="C583" s="2" t="s">
        <v>61</v>
      </c>
      <c r="D583" s="12">
        <v>45827.0</v>
      </c>
      <c r="E583" s="13">
        <v>0.75</v>
      </c>
      <c r="F583" s="5" t="str">
        <f>VLOOKUP(A583,Jogos!A:N,10,0)</f>
        <v>Evening</v>
      </c>
      <c r="G583" s="11" t="s">
        <v>186</v>
      </c>
      <c r="H583" s="6" t="str">
        <f>VLOOKUP(A583,Jogos!A:L,12,0)</f>
        <v>Open</v>
      </c>
      <c r="I583" s="6" t="str">
        <f>VLOOKUP(G583,'Estádios e Cidades'!A:B,2,0)</f>
        <v>Pasadena</v>
      </c>
      <c r="J583" s="11" t="s">
        <v>313</v>
      </c>
      <c r="K583" s="2" t="str">
        <f>VLOOKUP(J583,Equipes!A:F,6,0)</f>
        <v>Tropical</v>
      </c>
      <c r="L583" s="2">
        <f>VLOOKUP(J583,Equipes!A:C,3,0)</f>
        <v>14</v>
      </c>
      <c r="M583" s="2" t="str">
        <f t="shared" si="4"/>
        <v>Round of 16</v>
      </c>
      <c r="N583" s="11" t="s">
        <v>187</v>
      </c>
      <c r="O583" s="2">
        <f>VLOOKUP(N583,Equipes!A:C,3,0)</f>
        <v>2</v>
      </c>
      <c r="P583" s="2" t="str">
        <f t="shared" si="5"/>
        <v>Final</v>
      </c>
      <c r="Q583" s="2">
        <f t="shared" si="6"/>
        <v>12</v>
      </c>
      <c r="R583" s="2" t="str">
        <f>VLOOKUP(J583,Equipes!A:B,2,0)</f>
        <v>Botafogo</v>
      </c>
      <c r="S583" s="6" t="s">
        <v>317</v>
      </c>
      <c r="T583" s="7">
        <v>7.0</v>
      </c>
      <c r="U583" s="7" t="s">
        <v>318</v>
      </c>
      <c r="V583" s="7" t="str">
        <f>VLOOKUP(U583,Jogadores!B:C,2,0)</f>
        <v>FW</v>
      </c>
      <c r="W583" s="8">
        <f>VLOOKUP(U583,Jogadores!B:D,3,0)</f>
        <v>27.46575342</v>
      </c>
      <c r="X583" s="7">
        <v>0.0</v>
      </c>
      <c r="Y583" s="7">
        <v>77.0</v>
      </c>
      <c r="Z583" s="7">
        <f>VLOOKUP(A583,Jogos!A:L,3,0)</f>
        <v>51</v>
      </c>
      <c r="AA583" s="7">
        <f t="shared" si="7"/>
        <v>51</v>
      </c>
      <c r="AB583" s="7">
        <f>VLOOKUP(A583,Jogos!A:L,4,0)</f>
        <v>51</v>
      </c>
      <c r="AC583" s="7">
        <f t="shared" si="657"/>
        <v>32</v>
      </c>
      <c r="AD583" s="7"/>
      <c r="AE583" s="7"/>
      <c r="AF583" s="7">
        <f t="shared" si="9"/>
        <v>83</v>
      </c>
      <c r="AG583" s="7">
        <v>8495.0</v>
      </c>
      <c r="AH583" s="7">
        <v>3469.4</v>
      </c>
      <c r="AI583" s="7">
        <v>3343.0</v>
      </c>
      <c r="AJ583" s="7">
        <v>952.8</v>
      </c>
      <c r="AK583" s="7">
        <v>467.0</v>
      </c>
      <c r="AL583" s="7">
        <v>262.8</v>
      </c>
      <c r="AM583" s="7">
        <v>94.0</v>
      </c>
      <c r="AN583" s="7">
        <v>42.0</v>
      </c>
      <c r="AO583" s="7">
        <v>32.6</v>
      </c>
      <c r="AP583" s="9">
        <f t="shared" ref="AP583:AR583" si="1819">AG583/$AF583</f>
        <v>102.3493976</v>
      </c>
      <c r="AQ583" s="9">
        <f t="shared" si="1819"/>
        <v>41.8</v>
      </c>
      <c r="AR583" s="9">
        <f t="shared" si="1819"/>
        <v>40.27710843</v>
      </c>
      <c r="AS583" s="9">
        <f t="shared" si="11"/>
        <v>82.07710843</v>
      </c>
      <c r="AT583" s="9">
        <f t="shared" ref="AT583:AV583" si="1820">AJ583/$AF583</f>
        <v>11.47951807</v>
      </c>
      <c r="AU583" s="9">
        <f t="shared" si="1820"/>
        <v>5.626506024</v>
      </c>
      <c r="AV583" s="9">
        <f t="shared" si="1820"/>
        <v>3.16626506</v>
      </c>
      <c r="AW583" s="9">
        <f t="shared" si="13"/>
        <v>8.792771084</v>
      </c>
      <c r="AX583" s="9">
        <f t="shared" ref="AX583:AY583" si="1821">AM583/$AF583</f>
        <v>1.13253012</v>
      </c>
      <c r="AY583" s="9">
        <f t="shared" si="1821"/>
        <v>0.5060240964</v>
      </c>
      <c r="AZ583" s="9">
        <f>VLOOKUP(A583,Jogos!A:BN,58,0)</f>
        <v>22.845</v>
      </c>
      <c r="BA583" s="9">
        <f>VLOOKUP(A583,Jogos!A:BN,59,0)</f>
        <v>11.63</v>
      </c>
      <c r="BB583" s="9">
        <f>VLOOKUP(A583,Jogos!A:BN,60,0)</f>
        <v>48.5</v>
      </c>
      <c r="BC583" s="9">
        <f>VLOOKUP(A583,Jogos!A:BN,61,0)</f>
        <v>20.39</v>
      </c>
      <c r="BD583" s="9">
        <f>VLOOKUP(A583,Jogos!A:BN,62,0)</f>
        <v>156.8</v>
      </c>
      <c r="BE583" s="9">
        <f>VLOOKUP(A583,Jogos!A:BN,63,0)</f>
        <v>1.32</v>
      </c>
      <c r="BF583" s="9">
        <f>VLOOKUP(A583,Jogos!A:BN,64,0)</f>
        <v>18.66</v>
      </c>
      <c r="BG583" s="9">
        <f>VLOOKUP(A583,Jogos!A:BN,65,0)</f>
        <v>34.165</v>
      </c>
      <c r="BH583" s="9">
        <f>VLOOKUP(A583,Jogos!A:BN,66,0)</f>
        <v>22.18</v>
      </c>
      <c r="BI583" s="9"/>
    </row>
    <row r="584" hidden="1">
      <c r="A584" s="10">
        <v>20.0</v>
      </c>
      <c r="B584" s="11" t="s">
        <v>185</v>
      </c>
      <c r="C584" s="2" t="s">
        <v>61</v>
      </c>
      <c r="D584" s="12">
        <v>45827.0</v>
      </c>
      <c r="E584" s="13">
        <v>0.75</v>
      </c>
      <c r="F584" s="5" t="str">
        <f>VLOOKUP(A584,Jogos!A:N,10,0)</f>
        <v>Evening</v>
      </c>
      <c r="G584" s="11" t="s">
        <v>186</v>
      </c>
      <c r="H584" s="6" t="str">
        <f>VLOOKUP(A584,Jogos!A:L,12,0)</f>
        <v>Open</v>
      </c>
      <c r="I584" s="6" t="str">
        <f>VLOOKUP(G584,'Estádios e Cidades'!A:B,2,0)</f>
        <v>Pasadena</v>
      </c>
      <c r="J584" s="11" t="s">
        <v>313</v>
      </c>
      <c r="K584" s="2" t="str">
        <f>VLOOKUP(J584,Equipes!A:F,6,0)</f>
        <v>Tropical</v>
      </c>
      <c r="L584" s="2">
        <f>VLOOKUP(J584,Equipes!A:C,3,0)</f>
        <v>14</v>
      </c>
      <c r="M584" s="2" t="str">
        <f t="shared" si="4"/>
        <v>Round of 16</v>
      </c>
      <c r="N584" s="11" t="s">
        <v>187</v>
      </c>
      <c r="O584" s="2">
        <f>VLOOKUP(N584,Equipes!A:C,3,0)</f>
        <v>2</v>
      </c>
      <c r="P584" s="2" t="str">
        <f t="shared" si="5"/>
        <v>Final</v>
      </c>
      <c r="Q584" s="2">
        <f t="shared" si="6"/>
        <v>12</v>
      </c>
      <c r="R584" s="2" t="str">
        <f>VLOOKUP(J584,Equipes!A:B,2,0)</f>
        <v>Botafogo</v>
      </c>
      <c r="S584" s="6" t="s">
        <v>319</v>
      </c>
      <c r="T584" s="7">
        <v>10.0</v>
      </c>
      <c r="U584" s="7" t="s">
        <v>320</v>
      </c>
      <c r="V584" s="7" t="str">
        <f>VLOOKUP(U584,Jogadores!B:C,2,0)</f>
        <v>MF</v>
      </c>
      <c r="W584" s="8">
        <f>VLOOKUP(U584,Jogadores!B:D,3,0)</f>
        <v>28.72876712</v>
      </c>
      <c r="X584" s="7">
        <v>0.0</v>
      </c>
      <c r="Y584" s="7">
        <v>68.0</v>
      </c>
      <c r="Z584" s="7">
        <f>VLOOKUP(A584,Jogos!A:L,3,0)</f>
        <v>51</v>
      </c>
      <c r="AA584" s="7">
        <f t="shared" si="7"/>
        <v>51</v>
      </c>
      <c r="AB584" s="7">
        <f>VLOOKUP(A584,Jogos!A:L,4,0)</f>
        <v>51</v>
      </c>
      <c r="AC584" s="7">
        <f t="shared" si="657"/>
        <v>23</v>
      </c>
      <c r="AD584" s="7"/>
      <c r="AE584" s="7"/>
      <c r="AF584" s="7">
        <f t="shared" si="9"/>
        <v>74</v>
      </c>
      <c r="AG584" s="7">
        <v>9445.2</v>
      </c>
      <c r="AH584" s="7">
        <v>3085.3</v>
      </c>
      <c r="AI584" s="7">
        <v>3727.2</v>
      </c>
      <c r="AJ584" s="7">
        <v>1846.6</v>
      </c>
      <c r="AK584" s="7">
        <v>623.5</v>
      </c>
      <c r="AL584" s="7">
        <v>162.6</v>
      </c>
      <c r="AM584" s="7">
        <v>153.0</v>
      </c>
      <c r="AN584" s="7">
        <v>53.0</v>
      </c>
      <c r="AO584" s="7">
        <v>31.4</v>
      </c>
      <c r="AP584" s="9">
        <f t="shared" ref="AP584:AR584" si="1822">AG584/$AF584</f>
        <v>127.6378378</v>
      </c>
      <c r="AQ584" s="9">
        <f t="shared" si="1822"/>
        <v>41.69324324</v>
      </c>
      <c r="AR584" s="9">
        <f t="shared" si="1822"/>
        <v>50.36756757</v>
      </c>
      <c r="AS584" s="9">
        <f t="shared" si="11"/>
        <v>92.06081081</v>
      </c>
      <c r="AT584" s="9">
        <f t="shared" ref="AT584:AV584" si="1823">AJ584/$AF584</f>
        <v>24.95405405</v>
      </c>
      <c r="AU584" s="9">
        <f t="shared" si="1823"/>
        <v>8.425675676</v>
      </c>
      <c r="AV584" s="9">
        <f t="shared" si="1823"/>
        <v>2.197297297</v>
      </c>
      <c r="AW584" s="9">
        <f t="shared" si="13"/>
        <v>10.62297297</v>
      </c>
      <c r="AX584" s="9">
        <f t="shared" ref="AX584:AY584" si="1824">AM584/$AF584</f>
        <v>2.067567568</v>
      </c>
      <c r="AY584" s="9">
        <f t="shared" si="1824"/>
        <v>0.7162162162</v>
      </c>
      <c r="AZ584" s="9">
        <f>VLOOKUP(A584,Jogos!A:BN,58,0)</f>
        <v>22.845</v>
      </c>
      <c r="BA584" s="9">
        <f>VLOOKUP(A584,Jogos!A:BN,59,0)</f>
        <v>11.63</v>
      </c>
      <c r="BB584" s="9">
        <f>VLOOKUP(A584,Jogos!A:BN,60,0)</f>
        <v>48.5</v>
      </c>
      <c r="BC584" s="9">
        <f>VLOOKUP(A584,Jogos!A:BN,61,0)</f>
        <v>20.39</v>
      </c>
      <c r="BD584" s="9">
        <f>VLOOKUP(A584,Jogos!A:BN,62,0)</f>
        <v>156.8</v>
      </c>
      <c r="BE584" s="9">
        <f>VLOOKUP(A584,Jogos!A:BN,63,0)</f>
        <v>1.32</v>
      </c>
      <c r="BF584" s="9">
        <f>VLOOKUP(A584,Jogos!A:BN,64,0)</f>
        <v>18.66</v>
      </c>
      <c r="BG584" s="9">
        <f>VLOOKUP(A584,Jogos!A:BN,65,0)</f>
        <v>34.165</v>
      </c>
      <c r="BH584" s="9">
        <f>VLOOKUP(A584,Jogos!A:BN,66,0)</f>
        <v>22.18</v>
      </c>
      <c r="BI584" s="9"/>
    </row>
    <row r="585" hidden="1">
      <c r="A585" s="10">
        <v>20.0</v>
      </c>
      <c r="B585" s="11" t="s">
        <v>185</v>
      </c>
      <c r="C585" s="2" t="s">
        <v>61</v>
      </c>
      <c r="D585" s="12">
        <v>45827.0</v>
      </c>
      <c r="E585" s="13">
        <v>0.75</v>
      </c>
      <c r="F585" s="5" t="str">
        <f>VLOOKUP(A585,Jogos!A:N,10,0)</f>
        <v>Evening</v>
      </c>
      <c r="G585" s="11" t="s">
        <v>186</v>
      </c>
      <c r="H585" s="6" t="str">
        <f>VLOOKUP(A585,Jogos!A:L,12,0)</f>
        <v>Open</v>
      </c>
      <c r="I585" s="6" t="str">
        <f>VLOOKUP(G585,'Estádios e Cidades'!A:B,2,0)</f>
        <v>Pasadena</v>
      </c>
      <c r="J585" s="11" t="s">
        <v>313</v>
      </c>
      <c r="K585" s="2" t="str">
        <f>VLOOKUP(J585,Equipes!A:F,6,0)</f>
        <v>Tropical</v>
      </c>
      <c r="L585" s="2">
        <f>VLOOKUP(J585,Equipes!A:C,3,0)</f>
        <v>14</v>
      </c>
      <c r="M585" s="2" t="str">
        <f t="shared" si="4"/>
        <v>Round of 16</v>
      </c>
      <c r="N585" s="11" t="s">
        <v>187</v>
      </c>
      <c r="O585" s="2">
        <f>VLOOKUP(N585,Equipes!A:C,3,0)</f>
        <v>2</v>
      </c>
      <c r="P585" s="2" t="str">
        <f t="shared" si="5"/>
        <v>Final</v>
      </c>
      <c r="Q585" s="2">
        <f t="shared" si="6"/>
        <v>12</v>
      </c>
      <c r="R585" s="2" t="str">
        <f>VLOOKUP(J585,Equipes!A:B,2,0)</f>
        <v>Botafogo</v>
      </c>
      <c r="S585" s="6" t="s">
        <v>321</v>
      </c>
      <c r="T585" s="7">
        <v>13.0</v>
      </c>
      <c r="U585" s="7" t="s">
        <v>322</v>
      </c>
      <c r="V585" s="7" t="str">
        <f>VLOOKUP(U585,Jogadores!B:C,2,0)</f>
        <v>DF</v>
      </c>
      <c r="W585" s="8">
        <f>VLOOKUP(U585,Jogadores!B:D,3,0)</f>
        <v>32.63835616</v>
      </c>
      <c r="X585" s="7">
        <v>0.0</v>
      </c>
      <c r="Y585" s="7">
        <v>68.0</v>
      </c>
      <c r="Z585" s="7">
        <f>VLOOKUP(A585,Jogos!A:L,3,0)</f>
        <v>51</v>
      </c>
      <c r="AA585" s="7">
        <f t="shared" si="7"/>
        <v>51</v>
      </c>
      <c r="AB585" s="7">
        <f>VLOOKUP(A585,Jogos!A:L,4,0)</f>
        <v>51</v>
      </c>
      <c r="AC585" s="7">
        <f t="shared" si="657"/>
        <v>23</v>
      </c>
      <c r="AD585" s="7"/>
      <c r="AE585" s="7"/>
      <c r="AF585" s="7">
        <f t="shared" si="9"/>
        <v>74</v>
      </c>
      <c r="AG585" s="7">
        <v>7837.7</v>
      </c>
      <c r="AH585" s="7">
        <v>3032.7</v>
      </c>
      <c r="AI585" s="7">
        <v>3570.2</v>
      </c>
      <c r="AJ585" s="7">
        <v>878.0</v>
      </c>
      <c r="AK585" s="7">
        <v>293.3</v>
      </c>
      <c r="AL585" s="7">
        <v>63.6</v>
      </c>
      <c r="AM585" s="7">
        <v>82.0</v>
      </c>
      <c r="AN585" s="7">
        <v>19.0</v>
      </c>
      <c r="AO585" s="7">
        <v>29.5</v>
      </c>
      <c r="AP585" s="9">
        <f t="shared" ref="AP585:AR585" si="1825">AG585/$AF585</f>
        <v>105.9148649</v>
      </c>
      <c r="AQ585" s="9">
        <f t="shared" si="1825"/>
        <v>40.98243243</v>
      </c>
      <c r="AR585" s="9">
        <f t="shared" si="1825"/>
        <v>48.24594595</v>
      </c>
      <c r="AS585" s="9">
        <f t="shared" si="11"/>
        <v>89.22837838</v>
      </c>
      <c r="AT585" s="9">
        <f t="shared" ref="AT585:AV585" si="1826">AJ585/$AF585</f>
        <v>11.86486486</v>
      </c>
      <c r="AU585" s="9">
        <f t="shared" si="1826"/>
        <v>3.963513514</v>
      </c>
      <c r="AV585" s="9">
        <f t="shared" si="1826"/>
        <v>0.8594594595</v>
      </c>
      <c r="AW585" s="9">
        <f t="shared" si="13"/>
        <v>4.822972973</v>
      </c>
      <c r="AX585" s="9">
        <f t="shared" ref="AX585:AY585" si="1827">AM585/$AF585</f>
        <v>1.108108108</v>
      </c>
      <c r="AY585" s="9">
        <f t="shared" si="1827"/>
        <v>0.2567567568</v>
      </c>
      <c r="AZ585" s="9">
        <f>VLOOKUP(A585,Jogos!A:BN,58,0)</f>
        <v>22.845</v>
      </c>
      <c r="BA585" s="9">
        <f>VLOOKUP(A585,Jogos!A:BN,59,0)</f>
        <v>11.63</v>
      </c>
      <c r="BB585" s="9">
        <f>VLOOKUP(A585,Jogos!A:BN,60,0)</f>
        <v>48.5</v>
      </c>
      <c r="BC585" s="9">
        <f>VLOOKUP(A585,Jogos!A:BN,61,0)</f>
        <v>20.39</v>
      </c>
      <c r="BD585" s="9">
        <f>VLOOKUP(A585,Jogos!A:BN,62,0)</f>
        <v>156.8</v>
      </c>
      <c r="BE585" s="9">
        <f>VLOOKUP(A585,Jogos!A:BN,63,0)</f>
        <v>1.32</v>
      </c>
      <c r="BF585" s="9">
        <f>VLOOKUP(A585,Jogos!A:BN,64,0)</f>
        <v>18.66</v>
      </c>
      <c r="BG585" s="9">
        <f>VLOOKUP(A585,Jogos!A:BN,65,0)</f>
        <v>34.165</v>
      </c>
      <c r="BH585" s="9">
        <f>VLOOKUP(A585,Jogos!A:BN,66,0)</f>
        <v>22.18</v>
      </c>
      <c r="BI585" s="9"/>
    </row>
    <row r="586" hidden="1">
      <c r="A586" s="10">
        <v>20.0</v>
      </c>
      <c r="B586" s="11" t="s">
        <v>185</v>
      </c>
      <c r="C586" s="2" t="s">
        <v>61</v>
      </c>
      <c r="D586" s="12">
        <v>45827.0</v>
      </c>
      <c r="E586" s="13">
        <v>0.75</v>
      </c>
      <c r="F586" s="5" t="str">
        <f>VLOOKUP(A586,Jogos!A:N,10,0)</f>
        <v>Evening</v>
      </c>
      <c r="G586" s="11" t="s">
        <v>186</v>
      </c>
      <c r="H586" s="6" t="str">
        <f>VLOOKUP(A586,Jogos!A:L,12,0)</f>
        <v>Open</v>
      </c>
      <c r="I586" s="6" t="str">
        <f>VLOOKUP(G586,'Estádios e Cidades'!A:B,2,0)</f>
        <v>Pasadena</v>
      </c>
      <c r="J586" s="11" t="s">
        <v>313</v>
      </c>
      <c r="K586" s="2" t="str">
        <f>VLOOKUP(J586,Equipes!A:F,6,0)</f>
        <v>Tropical</v>
      </c>
      <c r="L586" s="2">
        <f>VLOOKUP(J586,Equipes!A:C,3,0)</f>
        <v>14</v>
      </c>
      <c r="M586" s="2" t="str">
        <f t="shared" si="4"/>
        <v>Round of 16</v>
      </c>
      <c r="N586" s="11" t="s">
        <v>187</v>
      </c>
      <c r="O586" s="2">
        <f>VLOOKUP(N586,Equipes!A:C,3,0)</f>
        <v>2</v>
      </c>
      <c r="P586" s="2" t="str">
        <f t="shared" si="5"/>
        <v>Final</v>
      </c>
      <c r="Q586" s="2">
        <f t="shared" si="6"/>
        <v>12</v>
      </c>
      <c r="R586" s="2" t="str">
        <f>VLOOKUP(J586,Equipes!A:B,2,0)</f>
        <v>Botafogo</v>
      </c>
      <c r="S586" s="6" t="s">
        <v>323</v>
      </c>
      <c r="T586" s="7">
        <v>17.0</v>
      </c>
      <c r="U586" s="7" t="s">
        <v>324</v>
      </c>
      <c r="V586" s="7" t="str">
        <f>VLOOKUP(U586,Jogadores!B:C,2,0)</f>
        <v>MF</v>
      </c>
      <c r="W586" s="8">
        <f>VLOOKUP(U586,Jogadores!B:D,3,0)</f>
        <v>30.35890411</v>
      </c>
      <c r="X586" s="7">
        <v>0.0</v>
      </c>
      <c r="Y586" s="7">
        <f t="shared" ref="Y586:Y587" si="1831">45+AB586</f>
        <v>96</v>
      </c>
      <c r="Z586" s="7">
        <f>VLOOKUP(A586,Jogos!A:L,3,0)</f>
        <v>51</v>
      </c>
      <c r="AA586" s="7">
        <f t="shared" si="7"/>
        <v>51</v>
      </c>
      <c r="AB586" s="7">
        <f>VLOOKUP(A586,Jogos!A:L,4,0)</f>
        <v>51</v>
      </c>
      <c r="AC586" s="7">
        <f t="shared" si="657"/>
        <v>51</v>
      </c>
      <c r="AD586" s="7"/>
      <c r="AE586" s="7"/>
      <c r="AF586" s="7">
        <f t="shared" si="9"/>
        <v>102</v>
      </c>
      <c r="AG586" s="7">
        <v>12417.7</v>
      </c>
      <c r="AH586" s="7">
        <v>3407.9</v>
      </c>
      <c r="AI586" s="7">
        <v>6365.7</v>
      </c>
      <c r="AJ586" s="7">
        <v>2089.3</v>
      </c>
      <c r="AK586" s="7">
        <v>460.8</v>
      </c>
      <c r="AL586" s="7">
        <v>94.1</v>
      </c>
      <c r="AM586" s="7">
        <v>164.0</v>
      </c>
      <c r="AN586" s="7">
        <v>32.0</v>
      </c>
      <c r="AO586" s="7">
        <v>33.7</v>
      </c>
      <c r="AP586" s="9">
        <f t="shared" ref="AP586:AR586" si="1828">AG586/$AF586</f>
        <v>121.7421569</v>
      </c>
      <c r="AQ586" s="9">
        <f t="shared" si="1828"/>
        <v>33.41078431</v>
      </c>
      <c r="AR586" s="9">
        <f t="shared" si="1828"/>
        <v>62.40882353</v>
      </c>
      <c r="AS586" s="9">
        <f t="shared" si="11"/>
        <v>95.81960784</v>
      </c>
      <c r="AT586" s="9">
        <f t="shared" ref="AT586:AV586" si="1829">AJ586/$AF586</f>
        <v>20.48333333</v>
      </c>
      <c r="AU586" s="9">
        <f t="shared" si="1829"/>
        <v>4.517647059</v>
      </c>
      <c r="AV586" s="9">
        <f t="shared" si="1829"/>
        <v>0.9225490196</v>
      </c>
      <c r="AW586" s="9">
        <f t="shared" si="13"/>
        <v>5.440196078</v>
      </c>
      <c r="AX586" s="9">
        <f t="shared" ref="AX586:AY586" si="1830">AM586/$AF586</f>
        <v>1.607843137</v>
      </c>
      <c r="AY586" s="9">
        <f t="shared" si="1830"/>
        <v>0.3137254902</v>
      </c>
      <c r="AZ586" s="9">
        <f>VLOOKUP(A586,Jogos!A:BN,58,0)</f>
        <v>22.845</v>
      </c>
      <c r="BA586" s="9">
        <f>VLOOKUP(A586,Jogos!A:BN,59,0)</f>
        <v>11.63</v>
      </c>
      <c r="BB586" s="9">
        <f>VLOOKUP(A586,Jogos!A:BN,60,0)</f>
        <v>48.5</v>
      </c>
      <c r="BC586" s="9">
        <f>VLOOKUP(A586,Jogos!A:BN,61,0)</f>
        <v>20.39</v>
      </c>
      <c r="BD586" s="9">
        <f>VLOOKUP(A586,Jogos!A:BN,62,0)</f>
        <v>156.8</v>
      </c>
      <c r="BE586" s="9">
        <f>VLOOKUP(A586,Jogos!A:BN,63,0)</f>
        <v>1.32</v>
      </c>
      <c r="BF586" s="9">
        <f>VLOOKUP(A586,Jogos!A:BN,64,0)</f>
        <v>18.66</v>
      </c>
      <c r="BG586" s="9">
        <f>VLOOKUP(A586,Jogos!A:BN,65,0)</f>
        <v>34.165</v>
      </c>
      <c r="BH586" s="9">
        <f>VLOOKUP(A586,Jogos!A:BN,66,0)</f>
        <v>22.18</v>
      </c>
      <c r="BI586" s="9"/>
    </row>
    <row r="587" hidden="1">
      <c r="A587" s="10">
        <v>20.0</v>
      </c>
      <c r="B587" s="11" t="s">
        <v>185</v>
      </c>
      <c r="C587" s="2" t="s">
        <v>61</v>
      </c>
      <c r="D587" s="12">
        <v>45827.0</v>
      </c>
      <c r="E587" s="13">
        <v>0.75</v>
      </c>
      <c r="F587" s="5" t="str">
        <f>VLOOKUP(A587,Jogos!A:N,10,0)</f>
        <v>Evening</v>
      </c>
      <c r="G587" s="11" t="s">
        <v>186</v>
      </c>
      <c r="H587" s="6" t="str">
        <f>VLOOKUP(A587,Jogos!A:L,12,0)</f>
        <v>Open</v>
      </c>
      <c r="I587" s="6" t="str">
        <f>VLOOKUP(G587,'Estádios e Cidades'!A:B,2,0)</f>
        <v>Pasadena</v>
      </c>
      <c r="J587" s="11" t="s">
        <v>313</v>
      </c>
      <c r="K587" s="2" t="str">
        <f>VLOOKUP(J587,Equipes!A:F,6,0)</f>
        <v>Tropical</v>
      </c>
      <c r="L587" s="2">
        <f>VLOOKUP(J587,Equipes!A:C,3,0)</f>
        <v>14</v>
      </c>
      <c r="M587" s="2" t="str">
        <f t="shared" si="4"/>
        <v>Round of 16</v>
      </c>
      <c r="N587" s="11" t="s">
        <v>187</v>
      </c>
      <c r="O587" s="2">
        <f>VLOOKUP(N587,Equipes!A:C,3,0)</f>
        <v>2</v>
      </c>
      <c r="P587" s="2" t="str">
        <f t="shared" si="5"/>
        <v>Final</v>
      </c>
      <c r="Q587" s="2">
        <f t="shared" si="6"/>
        <v>12</v>
      </c>
      <c r="R587" s="2" t="str">
        <f>VLOOKUP(J587,Equipes!A:B,2,0)</f>
        <v>Botafogo</v>
      </c>
      <c r="S587" s="6" t="s">
        <v>325</v>
      </c>
      <c r="T587" s="7">
        <v>20.0</v>
      </c>
      <c r="U587" s="7" t="s">
        <v>326</v>
      </c>
      <c r="V587" s="7" t="str">
        <f>VLOOKUP(U587,Jogadores!B:C,2,0)</f>
        <v>DF</v>
      </c>
      <c r="W587" s="8">
        <f>VLOOKUP(U587,Jogadores!B:D,3,0)</f>
        <v>30.3890411</v>
      </c>
      <c r="X587" s="7">
        <v>0.0</v>
      </c>
      <c r="Y587" s="7">
        <f t="shared" si="1831"/>
        <v>96</v>
      </c>
      <c r="Z587" s="7">
        <f>VLOOKUP(A587,Jogos!A:L,3,0)</f>
        <v>51</v>
      </c>
      <c r="AA587" s="7">
        <f t="shared" si="7"/>
        <v>51</v>
      </c>
      <c r="AB587" s="7">
        <f>VLOOKUP(A587,Jogos!A:L,4,0)</f>
        <v>51</v>
      </c>
      <c r="AC587" s="7">
        <f t="shared" si="657"/>
        <v>51</v>
      </c>
      <c r="AD587" s="7"/>
      <c r="AE587" s="7"/>
      <c r="AF587" s="7">
        <f t="shared" si="9"/>
        <v>102</v>
      </c>
      <c r="AG587" s="7">
        <v>11024.4</v>
      </c>
      <c r="AH587" s="7">
        <v>3483.2</v>
      </c>
      <c r="AI587" s="7">
        <v>5897.6</v>
      </c>
      <c r="AJ587" s="7">
        <v>1283.3</v>
      </c>
      <c r="AK587" s="7">
        <v>288.9</v>
      </c>
      <c r="AL587" s="7">
        <v>71.5</v>
      </c>
      <c r="AM587" s="7">
        <v>108.0</v>
      </c>
      <c r="AN587" s="7">
        <v>24.0</v>
      </c>
      <c r="AO587" s="7">
        <v>29.5</v>
      </c>
      <c r="AP587" s="9">
        <f t="shared" ref="AP587:AR587" si="1832">AG587/$AF587</f>
        <v>108.0823529</v>
      </c>
      <c r="AQ587" s="9">
        <f t="shared" si="1832"/>
        <v>34.14901961</v>
      </c>
      <c r="AR587" s="9">
        <f t="shared" si="1832"/>
        <v>57.81960784</v>
      </c>
      <c r="AS587" s="9">
        <f t="shared" si="11"/>
        <v>91.96862745</v>
      </c>
      <c r="AT587" s="9">
        <f t="shared" ref="AT587:AV587" si="1833">AJ587/$AF587</f>
        <v>12.58137255</v>
      </c>
      <c r="AU587" s="9">
        <f t="shared" si="1833"/>
        <v>2.832352941</v>
      </c>
      <c r="AV587" s="9">
        <f t="shared" si="1833"/>
        <v>0.7009803922</v>
      </c>
      <c r="AW587" s="9">
        <f t="shared" si="13"/>
        <v>3.533333333</v>
      </c>
      <c r="AX587" s="9">
        <f t="shared" ref="AX587:AY587" si="1834">AM587/$AF587</f>
        <v>1.058823529</v>
      </c>
      <c r="AY587" s="9">
        <f t="shared" si="1834"/>
        <v>0.2352941176</v>
      </c>
      <c r="AZ587" s="9">
        <f>VLOOKUP(A587,Jogos!A:BN,58,0)</f>
        <v>22.845</v>
      </c>
      <c r="BA587" s="9">
        <f>VLOOKUP(A587,Jogos!A:BN,59,0)</f>
        <v>11.63</v>
      </c>
      <c r="BB587" s="9">
        <f>VLOOKUP(A587,Jogos!A:BN,60,0)</f>
        <v>48.5</v>
      </c>
      <c r="BC587" s="9">
        <f>VLOOKUP(A587,Jogos!A:BN,61,0)</f>
        <v>20.39</v>
      </c>
      <c r="BD587" s="9">
        <f>VLOOKUP(A587,Jogos!A:BN,62,0)</f>
        <v>156.8</v>
      </c>
      <c r="BE587" s="9">
        <f>VLOOKUP(A587,Jogos!A:BN,63,0)</f>
        <v>1.32</v>
      </c>
      <c r="BF587" s="9">
        <f>VLOOKUP(A587,Jogos!A:BN,64,0)</f>
        <v>18.66</v>
      </c>
      <c r="BG587" s="9">
        <f>VLOOKUP(A587,Jogos!A:BN,65,0)</f>
        <v>34.165</v>
      </c>
      <c r="BH587" s="9">
        <f>VLOOKUP(A587,Jogos!A:BN,66,0)</f>
        <v>22.18</v>
      </c>
      <c r="BI587" s="9"/>
    </row>
    <row r="588" hidden="1">
      <c r="A588" s="10">
        <v>20.0</v>
      </c>
      <c r="B588" s="11" t="s">
        <v>185</v>
      </c>
      <c r="C588" s="2" t="s">
        <v>61</v>
      </c>
      <c r="D588" s="12">
        <v>45827.0</v>
      </c>
      <c r="E588" s="13">
        <v>0.75</v>
      </c>
      <c r="F588" s="5" t="str">
        <f>VLOOKUP(A588,Jogos!A:N,10,0)</f>
        <v>Evening</v>
      </c>
      <c r="G588" s="11" t="s">
        <v>186</v>
      </c>
      <c r="H588" s="6" t="str">
        <f>VLOOKUP(A588,Jogos!A:L,12,0)</f>
        <v>Open</v>
      </c>
      <c r="I588" s="6" t="str">
        <f>VLOOKUP(G588,'Estádios e Cidades'!A:B,2,0)</f>
        <v>Pasadena</v>
      </c>
      <c r="J588" s="11" t="s">
        <v>313</v>
      </c>
      <c r="K588" s="2" t="str">
        <f>VLOOKUP(J588,Equipes!A:F,6,0)</f>
        <v>Tropical</v>
      </c>
      <c r="L588" s="2">
        <f>VLOOKUP(J588,Equipes!A:C,3,0)</f>
        <v>14</v>
      </c>
      <c r="M588" s="2" t="str">
        <f t="shared" si="4"/>
        <v>Round of 16</v>
      </c>
      <c r="N588" s="11" t="s">
        <v>187</v>
      </c>
      <c r="O588" s="2">
        <f>VLOOKUP(N588,Equipes!A:C,3,0)</f>
        <v>2</v>
      </c>
      <c r="P588" s="2" t="str">
        <f t="shared" si="5"/>
        <v>Final</v>
      </c>
      <c r="Q588" s="2">
        <f t="shared" si="6"/>
        <v>12</v>
      </c>
      <c r="R588" s="2" t="str">
        <f>VLOOKUP(J588,Equipes!A:B,2,0)</f>
        <v>Botafogo</v>
      </c>
      <c r="S588" s="6" t="s">
        <v>1098</v>
      </c>
      <c r="T588" s="7">
        <v>25.0</v>
      </c>
      <c r="U588" s="7" t="s">
        <v>279</v>
      </c>
      <c r="V588" s="7" t="str">
        <f>VLOOKUP(U588,Jogadores!B:C,2,0)</f>
        <v>MF</v>
      </c>
      <c r="W588" s="8">
        <f>VLOOKUP(U588,Jogadores!B:D,3,0)</f>
        <v>21.28767123</v>
      </c>
      <c r="X588" s="7">
        <v>0.0</v>
      </c>
      <c r="Y588" s="7">
        <v>87.0</v>
      </c>
      <c r="Z588" s="7">
        <f>VLOOKUP(A588,Jogos!A:L,3,0)</f>
        <v>51</v>
      </c>
      <c r="AA588" s="7">
        <f t="shared" si="7"/>
        <v>51</v>
      </c>
      <c r="AB588" s="7">
        <f>VLOOKUP(A588,Jogos!A:L,4,0)</f>
        <v>51</v>
      </c>
      <c r="AC588" s="7">
        <f t="shared" si="657"/>
        <v>42</v>
      </c>
      <c r="AD588" s="7"/>
      <c r="AE588" s="7"/>
      <c r="AF588" s="7">
        <f t="shared" si="9"/>
        <v>93</v>
      </c>
      <c r="AG588" s="7">
        <v>10447.8</v>
      </c>
      <c r="AH588" s="7">
        <v>3747.6</v>
      </c>
      <c r="AI588" s="7">
        <v>4375.9</v>
      </c>
      <c r="AJ588" s="7">
        <v>1739.4</v>
      </c>
      <c r="AK588" s="7">
        <v>498.6</v>
      </c>
      <c r="AL588" s="7">
        <v>86.4</v>
      </c>
      <c r="AM588" s="7">
        <v>161.0</v>
      </c>
      <c r="AN588" s="7">
        <v>40.0</v>
      </c>
      <c r="AO588" s="7">
        <v>28.5</v>
      </c>
      <c r="AP588" s="9">
        <f t="shared" ref="AP588:AR588" si="1835">AG588/$AF588</f>
        <v>112.3419355</v>
      </c>
      <c r="AQ588" s="9">
        <f t="shared" si="1835"/>
        <v>40.29677419</v>
      </c>
      <c r="AR588" s="9">
        <f t="shared" si="1835"/>
        <v>47.05268817</v>
      </c>
      <c r="AS588" s="9">
        <f t="shared" si="11"/>
        <v>87.34946237</v>
      </c>
      <c r="AT588" s="9">
        <f t="shared" ref="AT588:AV588" si="1836">AJ588/$AF588</f>
        <v>18.70322581</v>
      </c>
      <c r="AU588" s="9">
        <f t="shared" si="1836"/>
        <v>5.361290323</v>
      </c>
      <c r="AV588" s="9">
        <f t="shared" si="1836"/>
        <v>0.9290322581</v>
      </c>
      <c r="AW588" s="9">
        <f t="shared" si="13"/>
        <v>6.290322581</v>
      </c>
      <c r="AX588" s="9">
        <f t="shared" ref="AX588:AY588" si="1837">AM588/$AF588</f>
        <v>1.731182796</v>
      </c>
      <c r="AY588" s="9">
        <f t="shared" si="1837"/>
        <v>0.4301075269</v>
      </c>
      <c r="AZ588" s="9">
        <f>VLOOKUP(A588,Jogos!A:BN,58,0)</f>
        <v>22.845</v>
      </c>
      <c r="BA588" s="9">
        <f>VLOOKUP(A588,Jogos!A:BN,59,0)</f>
        <v>11.63</v>
      </c>
      <c r="BB588" s="9">
        <f>VLOOKUP(A588,Jogos!A:BN,60,0)</f>
        <v>48.5</v>
      </c>
      <c r="BC588" s="9">
        <f>VLOOKUP(A588,Jogos!A:BN,61,0)</f>
        <v>20.39</v>
      </c>
      <c r="BD588" s="9">
        <f>VLOOKUP(A588,Jogos!A:BN,62,0)</f>
        <v>156.8</v>
      </c>
      <c r="BE588" s="9">
        <f>VLOOKUP(A588,Jogos!A:BN,63,0)</f>
        <v>1.32</v>
      </c>
      <c r="BF588" s="9">
        <f>VLOOKUP(A588,Jogos!A:BN,64,0)</f>
        <v>18.66</v>
      </c>
      <c r="BG588" s="9">
        <f>VLOOKUP(A588,Jogos!A:BN,65,0)</f>
        <v>34.165</v>
      </c>
      <c r="BH588" s="9">
        <f>VLOOKUP(A588,Jogos!A:BN,66,0)</f>
        <v>22.18</v>
      </c>
      <c r="BI588" s="9"/>
    </row>
    <row r="589" hidden="1">
      <c r="A589" s="10">
        <v>20.0</v>
      </c>
      <c r="B589" s="11" t="s">
        <v>185</v>
      </c>
      <c r="C589" s="2" t="s">
        <v>61</v>
      </c>
      <c r="D589" s="12">
        <v>45827.0</v>
      </c>
      <c r="E589" s="13">
        <v>0.75</v>
      </c>
      <c r="F589" s="5" t="str">
        <f>VLOOKUP(A589,Jogos!A:N,10,0)</f>
        <v>Evening</v>
      </c>
      <c r="G589" s="11" t="s">
        <v>186</v>
      </c>
      <c r="H589" s="6" t="str">
        <f>VLOOKUP(A589,Jogos!A:L,12,0)</f>
        <v>Open</v>
      </c>
      <c r="I589" s="6" t="str">
        <f>VLOOKUP(G589,'Estádios e Cidades'!A:B,2,0)</f>
        <v>Pasadena</v>
      </c>
      <c r="J589" s="11" t="s">
        <v>313</v>
      </c>
      <c r="K589" s="2" t="str">
        <f>VLOOKUP(J589,Equipes!A:F,6,0)</f>
        <v>Tropical</v>
      </c>
      <c r="L589" s="2">
        <f>VLOOKUP(J589,Equipes!A:C,3,0)</f>
        <v>14</v>
      </c>
      <c r="M589" s="2" t="str">
        <f t="shared" si="4"/>
        <v>Round of 16</v>
      </c>
      <c r="N589" s="11" t="s">
        <v>187</v>
      </c>
      <c r="O589" s="2">
        <f>VLOOKUP(N589,Equipes!A:C,3,0)</f>
        <v>2</v>
      </c>
      <c r="P589" s="2" t="str">
        <f t="shared" si="5"/>
        <v>Final</v>
      </c>
      <c r="Q589" s="2">
        <f t="shared" si="6"/>
        <v>12</v>
      </c>
      <c r="R589" s="2" t="str">
        <f>VLOOKUP(J589,Equipes!A:B,2,0)</f>
        <v>Botafogo</v>
      </c>
      <c r="S589" s="6" t="s">
        <v>327</v>
      </c>
      <c r="T589" s="7">
        <v>26.0</v>
      </c>
      <c r="U589" s="7" t="s">
        <v>328</v>
      </c>
      <c r="V589" s="7" t="str">
        <f>VLOOKUP(U589,Jogadores!B:C,2,0)</f>
        <v>MF</v>
      </c>
      <c r="W589" s="8">
        <f>VLOOKUP(U589,Jogadores!B:D,3,0)</f>
        <v>31.42739726</v>
      </c>
      <c r="X589" s="7">
        <v>0.0</v>
      </c>
      <c r="Y589" s="7">
        <f t="shared" ref="Y589:Y595" si="1841">45+AB589</f>
        <v>96</v>
      </c>
      <c r="Z589" s="7">
        <f>VLOOKUP(A589,Jogos!A:L,3,0)</f>
        <v>51</v>
      </c>
      <c r="AA589" s="7">
        <f t="shared" si="7"/>
        <v>51</v>
      </c>
      <c r="AB589" s="7">
        <f>VLOOKUP(A589,Jogos!A:L,4,0)</f>
        <v>51</v>
      </c>
      <c r="AC589" s="7">
        <f t="shared" si="657"/>
        <v>51</v>
      </c>
      <c r="AD589" s="7"/>
      <c r="AE589" s="7"/>
      <c r="AF589" s="7">
        <f t="shared" si="9"/>
        <v>102</v>
      </c>
      <c r="AG589" s="7">
        <v>11520.2</v>
      </c>
      <c r="AH589" s="7">
        <v>3463.0</v>
      </c>
      <c r="AI589" s="7">
        <v>5414.8</v>
      </c>
      <c r="AJ589" s="7">
        <v>1857.2</v>
      </c>
      <c r="AK589" s="7">
        <v>669.5</v>
      </c>
      <c r="AL589" s="7">
        <v>115.7</v>
      </c>
      <c r="AM589" s="7">
        <v>164.0</v>
      </c>
      <c r="AN589" s="7">
        <v>52.0</v>
      </c>
      <c r="AO589" s="7">
        <v>29.3</v>
      </c>
      <c r="AP589" s="9">
        <f t="shared" ref="AP589:AR589" si="1838">AG589/$AF589</f>
        <v>112.9431373</v>
      </c>
      <c r="AQ589" s="9">
        <f t="shared" si="1838"/>
        <v>33.95098039</v>
      </c>
      <c r="AR589" s="9">
        <f t="shared" si="1838"/>
        <v>53.08627451</v>
      </c>
      <c r="AS589" s="9">
        <f t="shared" si="11"/>
        <v>87.0372549</v>
      </c>
      <c r="AT589" s="9">
        <f t="shared" ref="AT589:AV589" si="1839">AJ589/$AF589</f>
        <v>18.20784314</v>
      </c>
      <c r="AU589" s="9">
        <f t="shared" si="1839"/>
        <v>6.56372549</v>
      </c>
      <c r="AV589" s="9">
        <f t="shared" si="1839"/>
        <v>1.134313725</v>
      </c>
      <c r="AW589" s="9">
        <f t="shared" si="13"/>
        <v>7.698039216</v>
      </c>
      <c r="AX589" s="9">
        <f t="shared" ref="AX589:AY589" si="1840">AM589/$AF589</f>
        <v>1.607843137</v>
      </c>
      <c r="AY589" s="9">
        <f t="shared" si="1840"/>
        <v>0.5098039216</v>
      </c>
      <c r="AZ589" s="9">
        <f>VLOOKUP(A589,Jogos!A:BN,58,0)</f>
        <v>22.845</v>
      </c>
      <c r="BA589" s="9">
        <f>VLOOKUP(A589,Jogos!A:BN,59,0)</f>
        <v>11.63</v>
      </c>
      <c r="BB589" s="9">
        <f>VLOOKUP(A589,Jogos!A:BN,60,0)</f>
        <v>48.5</v>
      </c>
      <c r="BC589" s="9">
        <f>VLOOKUP(A589,Jogos!A:BN,61,0)</f>
        <v>20.39</v>
      </c>
      <c r="BD589" s="9">
        <f>VLOOKUP(A589,Jogos!A:BN,62,0)</f>
        <v>156.8</v>
      </c>
      <c r="BE589" s="9">
        <f>VLOOKUP(A589,Jogos!A:BN,63,0)</f>
        <v>1.32</v>
      </c>
      <c r="BF589" s="9">
        <f>VLOOKUP(A589,Jogos!A:BN,64,0)</f>
        <v>18.66</v>
      </c>
      <c r="BG589" s="9">
        <f>VLOOKUP(A589,Jogos!A:BN,65,0)</f>
        <v>34.165</v>
      </c>
      <c r="BH589" s="9">
        <f>VLOOKUP(A589,Jogos!A:BN,66,0)</f>
        <v>22.18</v>
      </c>
      <c r="BI589" s="9"/>
    </row>
    <row r="590" hidden="1">
      <c r="A590" s="10">
        <v>20.0</v>
      </c>
      <c r="B590" s="11" t="s">
        <v>185</v>
      </c>
      <c r="C590" s="2" t="s">
        <v>61</v>
      </c>
      <c r="D590" s="12">
        <v>45827.0</v>
      </c>
      <c r="E590" s="13">
        <v>0.75</v>
      </c>
      <c r="F590" s="5" t="str">
        <f>VLOOKUP(A590,Jogos!A:N,10,0)</f>
        <v>Evening</v>
      </c>
      <c r="G590" s="11" t="s">
        <v>186</v>
      </c>
      <c r="H590" s="6" t="str">
        <f>VLOOKUP(A590,Jogos!A:L,12,0)</f>
        <v>Open</v>
      </c>
      <c r="I590" s="6" t="str">
        <f>VLOOKUP(G590,'Estádios e Cidades'!A:B,2,0)</f>
        <v>Pasadena</v>
      </c>
      <c r="J590" s="11" t="s">
        <v>313</v>
      </c>
      <c r="K590" s="2" t="str">
        <f>VLOOKUP(J590,Equipes!A:F,6,0)</f>
        <v>Tropical</v>
      </c>
      <c r="L590" s="2">
        <f>VLOOKUP(J590,Equipes!A:C,3,0)</f>
        <v>14</v>
      </c>
      <c r="M590" s="2" t="str">
        <f t="shared" si="4"/>
        <v>Round of 16</v>
      </c>
      <c r="N590" s="11" t="s">
        <v>187</v>
      </c>
      <c r="O590" s="2">
        <f>VLOOKUP(N590,Equipes!A:C,3,0)</f>
        <v>2</v>
      </c>
      <c r="P590" s="2" t="str">
        <f t="shared" si="5"/>
        <v>Final</v>
      </c>
      <c r="Q590" s="2">
        <f t="shared" si="6"/>
        <v>12</v>
      </c>
      <c r="R590" s="2" t="str">
        <f>VLOOKUP(J590,Equipes!A:B,2,0)</f>
        <v>Botafogo</v>
      </c>
      <c r="S590" s="6" t="s">
        <v>329</v>
      </c>
      <c r="T590" s="7">
        <v>32.0</v>
      </c>
      <c r="U590" s="7" t="s">
        <v>330</v>
      </c>
      <c r="V590" s="7" t="str">
        <f>VLOOKUP(U590,Jogadores!B:C,2,0)</f>
        <v>DF</v>
      </c>
      <c r="W590" s="8">
        <f>VLOOKUP(U590,Jogadores!B:D,3,0)</f>
        <v>20.40547945</v>
      </c>
      <c r="X590" s="7">
        <v>0.0</v>
      </c>
      <c r="Y590" s="7">
        <f t="shared" si="1841"/>
        <v>96</v>
      </c>
      <c r="Z590" s="7">
        <f>VLOOKUP(A590,Jogos!A:L,3,0)</f>
        <v>51</v>
      </c>
      <c r="AA590" s="7">
        <f t="shared" si="7"/>
        <v>51</v>
      </c>
      <c r="AB590" s="7">
        <f>VLOOKUP(A590,Jogos!A:L,4,0)</f>
        <v>51</v>
      </c>
      <c r="AC590" s="7">
        <f t="shared" si="657"/>
        <v>51</v>
      </c>
      <c r="AD590" s="7"/>
      <c r="AE590" s="7"/>
      <c r="AF590" s="7">
        <f t="shared" si="9"/>
        <v>102</v>
      </c>
      <c r="AG590" s="7">
        <v>10612.4</v>
      </c>
      <c r="AH590" s="7">
        <v>3633.4</v>
      </c>
      <c r="AI590" s="7">
        <v>5475.2</v>
      </c>
      <c r="AJ590" s="7">
        <v>1185.7</v>
      </c>
      <c r="AK590" s="7">
        <v>263.9</v>
      </c>
      <c r="AL590" s="7">
        <v>54.3</v>
      </c>
      <c r="AM590" s="7">
        <v>102.0</v>
      </c>
      <c r="AN590" s="7">
        <v>24.0</v>
      </c>
      <c r="AO590" s="7">
        <v>30.2</v>
      </c>
      <c r="AP590" s="9">
        <f t="shared" ref="AP590:AR590" si="1842">AG590/$AF590</f>
        <v>104.0431373</v>
      </c>
      <c r="AQ590" s="9">
        <f t="shared" si="1842"/>
        <v>35.62156863</v>
      </c>
      <c r="AR590" s="9">
        <f t="shared" si="1842"/>
        <v>53.67843137</v>
      </c>
      <c r="AS590" s="9">
        <f t="shared" si="11"/>
        <v>89.3</v>
      </c>
      <c r="AT590" s="9">
        <f t="shared" ref="AT590:AV590" si="1843">AJ590/$AF590</f>
        <v>11.6245098</v>
      </c>
      <c r="AU590" s="9">
        <f t="shared" si="1843"/>
        <v>2.587254902</v>
      </c>
      <c r="AV590" s="9">
        <f t="shared" si="1843"/>
        <v>0.5323529412</v>
      </c>
      <c r="AW590" s="9">
        <f t="shared" si="13"/>
        <v>3.119607843</v>
      </c>
      <c r="AX590" s="9">
        <f t="shared" ref="AX590:AY590" si="1844">AM590/$AF590</f>
        <v>1</v>
      </c>
      <c r="AY590" s="9">
        <f t="shared" si="1844"/>
        <v>0.2352941176</v>
      </c>
      <c r="AZ590" s="9">
        <f>VLOOKUP(A590,Jogos!A:BN,58,0)</f>
        <v>22.845</v>
      </c>
      <c r="BA590" s="9">
        <f>VLOOKUP(A590,Jogos!A:BN,59,0)</f>
        <v>11.63</v>
      </c>
      <c r="BB590" s="9">
        <f>VLOOKUP(A590,Jogos!A:BN,60,0)</f>
        <v>48.5</v>
      </c>
      <c r="BC590" s="9">
        <f>VLOOKUP(A590,Jogos!A:BN,61,0)</f>
        <v>20.39</v>
      </c>
      <c r="BD590" s="9">
        <f>VLOOKUP(A590,Jogos!A:BN,62,0)</f>
        <v>156.8</v>
      </c>
      <c r="BE590" s="9">
        <f>VLOOKUP(A590,Jogos!A:BN,63,0)</f>
        <v>1.32</v>
      </c>
      <c r="BF590" s="9">
        <f>VLOOKUP(A590,Jogos!A:BN,64,0)</f>
        <v>18.66</v>
      </c>
      <c r="BG590" s="9">
        <f>VLOOKUP(A590,Jogos!A:BN,65,0)</f>
        <v>34.165</v>
      </c>
      <c r="BH590" s="9">
        <f>VLOOKUP(A590,Jogos!A:BN,66,0)</f>
        <v>22.18</v>
      </c>
      <c r="BI590" s="9"/>
    </row>
    <row r="591" hidden="1">
      <c r="A591" s="10">
        <v>20.0</v>
      </c>
      <c r="B591" s="11" t="s">
        <v>185</v>
      </c>
      <c r="C591" s="2" t="s">
        <v>61</v>
      </c>
      <c r="D591" s="12">
        <v>45827.0</v>
      </c>
      <c r="E591" s="13">
        <v>0.75</v>
      </c>
      <c r="F591" s="5" t="str">
        <f>VLOOKUP(A591,Jogos!A:N,10,0)</f>
        <v>Evening</v>
      </c>
      <c r="G591" s="11" t="s">
        <v>186</v>
      </c>
      <c r="H591" s="6" t="str">
        <f>VLOOKUP(A591,Jogos!A:L,12,0)</f>
        <v>Open</v>
      </c>
      <c r="I591" s="6" t="str">
        <f>VLOOKUP(G591,'Estádios e Cidades'!A:B,2,0)</f>
        <v>Pasadena</v>
      </c>
      <c r="J591" s="11" t="s">
        <v>313</v>
      </c>
      <c r="K591" s="2" t="str">
        <f>VLOOKUP(J591,Equipes!A:F,6,0)</f>
        <v>Tropical</v>
      </c>
      <c r="L591" s="2">
        <f>VLOOKUP(J591,Equipes!A:C,3,0)</f>
        <v>14</v>
      </c>
      <c r="M591" s="2" t="str">
        <f t="shared" si="4"/>
        <v>Round of 16</v>
      </c>
      <c r="N591" s="11" t="s">
        <v>187</v>
      </c>
      <c r="O591" s="2">
        <f>VLOOKUP(N591,Equipes!A:C,3,0)</f>
        <v>2</v>
      </c>
      <c r="P591" s="2" t="str">
        <f t="shared" si="5"/>
        <v>Final</v>
      </c>
      <c r="Q591" s="2">
        <f t="shared" si="6"/>
        <v>12</v>
      </c>
      <c r="R591" s="2" t="str">
        <f>VLOOKUP(J591,Equipes!A:B,2,0)</f>
        <v>Botafogo</v>
      </c>
      <c r="S591" s="6" t="s">
        <v>333</v>
      </c>
      <c r="T591" s="7">
        <v>99.0</v>
      </c>
      <c r="U591" s="7" t="s">
        <v>334</v>
      </c>
      <c r="V591" s="7" t="str">
        <f>VLOOKUP(U591,Jogadores!B:C,2,0)</f>
        <v>FW</v>
      </c>
      <c r="W591" s="8">
        <f>VLOOKUP(U591,Jogadores!B:D,3,0)</f>
        <v>24.43561644</v>
      </c>
      <c r="X591" s="7">
        <v>0.0</v>
      </c>
      <c r="Y591" s="7">
        <f t="shared" si="1841"/>
        <v>96</v>
      </c>
      <c r="Z591" s="7">
        <f>VLOOKUP(A591,Jogos!A:L,3,0)</f>
        <v>51</v>
      </c>
      <c r="AA591" s="7">
        <f t="shared" si="7"/>
        <v>51</v>
      </c>
      <c r="AB591" s="7">
        <f>VLOOKUP(A591,Jogos!A:L,4,0)</f>
        <v>51</v>
      </c>
      <c r="AC591" s="7">
        <f t="shared" si="657"/>
        <v>51</v>
      </c>
      <c r="AD591" s="7"/>
      <c r="AE591" s="7"/>
      <c r="AF591" s="7">
        <f t="shared" si="9"/>
        <v>102</v>
      </c>
      <c r="AG591" s="7">
        <v>10902.9</v>
      </c>
      <c r="AH591" s="7">
        <v>3984.8</v>
      </c>
      <c r="AI591" s="7">
        <v>4803.3</v>
      </c>
      <c r="AJ591" s="7">
        <v>1118.1</v>
      </c>
      <c r="AK591" s="7">
        <v>609.2</v>
      </c>
      <c r="AL591" s="7">
        <v>387.4</v>
      </c>
      <c r="AM591" s="7">
        <v>85.0</v>
      </c>
      <c r="AN591" s="7">
        <v>53.0</v>
      </c>
      <c r="AO591" s="7">
        <v>33.3</v>
      </c>
      <c r="AP591" s="9">
        <f t="shared" ref="AP591:AR591" si="1845">AG591/$AF591</f>
        <v>106.8911765</v>
      </c>
      <c r="AQ591" s="9">
        <f t="shared" si="1845"/>
        <v>39.06666667</v>
      </c>
      <c r="AR591" s="9">
        <f t="shared" si="1845"/>
        <v>47.09117647</v>
      </c>
      <c r="AS591" s="9">
        <f t="shared" si="11"/>
        <v>86.15784314</v>
      </c>
      <c r="AT591" s="9">
        <f t="shared" ref="AT591:AV591" si="1846">AJ591/$AF591</f>
        <v>10.96176471</v>
      </c>
      <c r="AU591" s="9">
        <f t="shared" si="1846"/>
        <v>5.97254902</v>
      </c>
      <c r="AV591" s="9">
        <f t="shared" si="1846"/>
        <v>3.798039216</v>
      </c>
      <c r="AW591" s="9">
        <f t="shared" si="13"/>
        <v>9.770588235</v>
      </c>
      <c r="AX591" s="9">
        <f t="shared" ref="AX591:AY591" si="1847">AM591/$AF591</f>
        <v>0.8333333333</v>
      </c>
      <c r="AY591" s="9">
        <f t="shared" si="1847"/>
        <v>0.5196078431</v>
      </c>
      <c r="AZ591" s="9">
        <f>VLOOKUP(A591,Jogos!A:BN,58,0)</f>
        <v>22.845</v>
      </c>
      <c r="BA591" s="9">
        <f>VLOOKUP(A591,Jogos!A:BN,59,0)</f>
        <v>11.63</v>
      </c>
      <c r="BB591" s="9">
        <f>VLOOKUP(A591,Jogos!A:BN,60,0)</f>
        <v>48.5</v>
      </c>
      <c r="BC591" s="9">
        <f>VLOOKUP(A591,Jogos!A:BN,61,0)</f>
        <v>20.39</v>
      </c>
      <c r="BD591" s="9">
        <f>VLOOKUP(A591,Jogos!A:BN,62,0)</f>
        <v>156.8</v>
      </c>
      <c r="BE591" s="9">
        <f>VLOOKUP(A591,Jogos!A:BN,63,0)</f>
        <v>1.32</v>
      </c>
      <c r="BF591" s="9">
        <f>VLOOKUP(A591,Jogos!A:BN,64,0)</f>
        <v>18.66</v>
      </c>
      <c r="BG591" s="9">
        <f>VLOOKUP(A591,Jogos!A:BN,65,0)</f>
        <v>34.165</v>
      </c>
      <c r="BH591" s="9">
        <f>VLOOKUP(A591,Jogos!A:BN,66,0)</f>
        <v>22.18</v>
      </c>
      <c r="BI591" s="9"/>
    </row>
    <row r="592" hidden="1">
      <c r="A592" s="10">
        <v>20.0</v>
      </c>
      <c r="B592" s="11" t="s">
        <v>185</v>
      </c>
      <c r="C592" s="2" t="s">
        <v>61</v>
      </c>
      <c r="D592" s="12">
        <v>45827.0</v>
      </c>
      <c r="E592" s="13">
        <v>0.75</v>
      </c>
      <c r="F592" s="5" t="str">
        <f>VLOOKUP(A592,Jogos!A:N,10,0)</f>
        <v>Evening</v>
      </c>
      <c r="G592" s="11" t="s">
        <v>186</v>
      </c>
      <c r="H592" s="6" t="str">
        <f>VLOOKUP(A592,Jogos!A:L,12,0)</f>
        <v>Open</v>
      </c>
      <c r="I592" s="6" t="str">
        <f>VLOOKUP(G592,'Estádios e Cidades'!A:B,2,0)</f>
        <v>Pasadena</v>
      </c>
      <c r="J592" s="11" t="s">
        <v>313</v>
      </c>
      <c r="K592" s="2" t="str">
        <f>VLOOKUP(J592,Equipes!A:F,6,0)</f>
        <v>Tropical</v>
      </c>
      <c r="L592" s="2">
        <f>VLOOKUP(J592,Equipes!A:C,3,0)</f>
        <v>14</v>
      </c>
      <c r="M592" s="2" t="str">
        <f t="shared" si="4"/>
        <v>Round of 16</v>
      </c>
      <c r="N592" s="11" t="s">
        <v>187</v>
      </c>
      <c r="O592" s="2">
        <f>VLOOKUP(N592,Equipes!A:C,3,0)</f>
        <v>2</v>
      </c>
      <c r="P592" s="2" t="str">
        <f t="shared" si="5"/>
        <v>Final</v>
      </c>
      <c r="Q592" s="2">
        <f t="shared" si="6"/>
        <v>12</v>
      </c>
      <c r="R592" s="2" t="str">
        <f>VLOOKUP(J592,Equipes!A:B,2,0)</f>
        <v>Botafogo</v>
      </c>
      <c r="S592" s="6" t="s">
        <v>1099</v>
      </c>
      <c r="T592" s="7">
        <v>8.0</v>
      </c>
      <c r="U592" s="7" t="s">
        <v>1100</v>
      </c>
      <c r="V592" s="7" t="str">
        <f>VLOOKUP(U592,Jogadores!B:C,2,0)</f>
        <v>MF</v>
      </c>
      <c r="W592" s="8">
        <f>VLOOKUP(U592,Jogadores!B:D,3,0)</f>
        <v>18.29315068</v>
      </c>
      <c r="X592" s="7">
        <v>77.0</v>
      </c>
      <c r="Y592" s="7">
        <f t="shared" si="1841"/>
        <v>96</v>
      </c>
      <c r="Z592" s="7">
        <f>VLOOKUP(A592,Jogos!A:L,3,0)</f>
        <v>51</v>
      </c>
      <c r="AA592" s="7">
        <f t="shared" si="7"/>
        <v>0</v>
      </c>
      <c r="AB592" s="7">
        <f>VLOOKUP(A592,Jogos!A:L,4,0)</f>
        <v>51</v>
      </c>
      <c r="AC592" s="7">
        <f t="shared" si="657"/>
        <v>19</v>
      </c>
      <c r="AD592" s="7"/>
      <c r="AE592" s="7"/>
      <c r="AF592" s="7">
        <f t="shared" si="9"/>
        <v>19</v>
      </c>
      <c r="AG592" s="7">
        <v>2295.8</v>
      </c>
      <c r="AH592" s="7">
        <v>709.8</v>
      </c>
      <c r="AI592" s="7">
        <v>1103.9</v>
      </c>
      <c r="AJ592" s="7">
        <v>422.8</v>
      </c>
      <c r="AK592" s="7">
        <v>53.1</v>
      </c>
      <c r="AL592" s="7">
        <v>6.2</v>
      </c>
      <c r="AM592" s="7">
        <v>47.0</v>
      </c>
      <c r="AN592" s="7">
        <v>6.0</v>
      </c>
      <c r="AO592" s="7">
        <v>25.5</v>
      </c>
      <c r="AP592" s="9">
        <f t="shared" ref="AP592:AR592" si="1848">AG592/$AF592</f>
        <v>120.8315789</v>
      </c>
      <c r="AQ592" s="9">
        <f t="shared" si="1848"/>
        <v>37.35789474</v>
      </c>
      <c r="AR592" s="9">
        <f t="shared" si="1848"/>
        <v>58.1</v>
      </c>
      <c r="AS592" s="9">
        <f t="shared" si="11"/>
        <v>95.45789474</v>
      </c>
      <c r="AT592" s="9">
        <f t="shared" ref="AT592:AV592" si="1849">AJ592/$AF592</f>
        <v>22.25263158</v>
      </c>
      <c r="AU592" s="9">
        <f t="shared" si="1849"/>
        <v>2.794736842</v>
      </c>
      <c r="AV592" s="9">
        <f t="shared" si="1849"/>
        <v>0.3263157895</v>
      </c>
      <c r="AW592" s="9">
        <f t="shared" si="13"/>
        <v>3.121052632</v>
      </c>
      <c r="AX592" s="9">
        <f t="shared" ref="AX592:AY592" si="1850">AM592/$AF592</f>
        <v>2.473684211</v>
      </c>
      <c r="AY592" s="9">
        <f t="shared" si="1850"/>
        <v>0.3157894737</v>
      </c>
      <c r="AZ592" s="9">
        <f>VLOOKUP(A592,Jogos!A:BN,58,0)</f>
        <v>22.845</v>
      </c>
      <c r="BA592" s="9">
        <f>VLOOKUP(A592,Jogos!A:BN,59,0)</f>
        <v>11.63</v>
      </c>
      <c r="BB592" s="9">
        <f>VLOOKUP(A592,Jogos!A:BN,60,0)</f>
        <v>48.5</v>
      </c>
      <c r="BC592" s="9">
        <f>VLOOKUP(A592,Jogos!A:BN,61,0)</f>
        <v>20.39</v>
      </c>
      <c r="BD592" s="9">
        <f>VLOOKUP(A592,Jogos!A:BN,62,0)</f>
        <v>156.8</v>
      </c>
      <c r="BE592" s="9">
        <f>VLOOKUP(A592,Jogos!A:BN,63,0)</f>
        <v>1.32</v>
      </c>
      <c r="BF592" s="9">
        <f>VLOOKUP(A592,Jogos!A:BN,64,0)</f>
        <v>18.66</v>
      </c>
      <c r="BG592" s="9">
        <f>VLOOKUP(A592,Jogos!A:BN,65,0)</f>
        <v>34.165</v>
      </c>
      <c r="BH592" s="9">
        <f>VLOOKUP(A592,Jogos!A:BN,66,0)</f>
        <v>22.18</v>
      </c>
      <c r="BI592" s="9"/>
    </row>
    <row r="593" hidden="1">
      <c r="A593" s="10">
        <v>20.0</v>
      </c>
      <c r="B593" s="11" t="s">
        <v>185</v>
      </c>
      <c r="C593" s="2" t="s">
        <v>61</v>
      </c>
      <c r="D593" s="12">
        <v>45827.0</v>
      </c>
      <c r="E593" s="13">
        <v>0.75</v>
      </c>
      <c r="F593" s="5" t="str">
        <f>VLOOKUP(A593,Jogos!A:N,10,0)</f>
        <v>Evening</v>
      </c>
      <c r="G593" s="11" t="s">
        <v>186</v>
      </c>
      <c r="H593" s="6" t="str">
        <f>VLOOKUP(A593,Jogos!A:L,12,0)</f>
        <v>Open</v>
      </c>
      <c r="I593" s="6" t="str">
        <f>VLOOKUP(G593,'Estádios e Cidades'!A:B,2,0)</f>
        <v>Pasadena</v>
      </c>
      <c r="J593" s="11" t="s">
        <v>313</v>
      </c>
      <c r="K593" s="2" t="str">
        <f>VLOOKUP(J593,Equipes!A:F,6,0)</f>
        <v>Tropical</v>
      </c>
      <c r="L593" s="2">
        <f>VLOOKUP(J593,Equipes!A:C,3,0)</f>
        <v>14</v>
      </c>
      <c r="M593" s="2" t="str">
        <f t="shared" si="4"/>
        <v>Round of 16</v>
      </c>
      <c r="N593" s="11" t="s">
        <v>187</v>
      </c>
      <c r="O593" s="2">
        <f>VLOOKUP(N593,Equipes!A:C,3,0)</f>
        <v>2</v>
      </c>
      <c r="P593" s="2" t="str">
        <f t="shared" si="5"/>
        <v>Final</v>
      </c>
      <c r="Q593" s="2">
        <f t="shared" si="6"/>
        <v>12</v>
      </c>
      <c r="R593" s="2" t="str">
        <f>VLOOKUP(J593,Equipes!A:B,2,0)</f>
        <v>Botafogo</v>
      </c>
      <c r="S593" s="6" t="s">
        <v>337</v>
      </c>
      <c r="T593" s="7">
        <v>23.0</v>
      </c>
      <c r="U593" s="7" t="s">
        <v>338</v>
      </c>
      <c r="V593" s="7" t="str">
        <f>VLOOKUP(U593,Jogadores!B:C,2,0)</f>
        <v>MF</v>
      </c>
      <c r="W593" s="8">
        <f>VLOOKUP(U593,Jogadores!B:D,3,0)</f>
        <v>25.56986301</v>
      </c>
      <c r="X593" s="7">
        <v>68.0</v>
      </c>
      <c r="Y593" s="7">
        <f t="shared" si="1841"/>
        <v>96</v>
      </c>
      <c r="Z593" s="7">
        <f>VLOOKUP(A593,Jogos!A:L,3,0)</f>
        <v>51</v>
      </c>
      <c r="AA593" s="7">
        <f t="shared" si="7"/>
        <v>0</v>
      </c>
      <c r="AB593" s="7">
        <f>VLOOKUP(A593,Jogos!A:L,4,0)</f>
        <v>51</v>
      </c>
      <c r="AC593" s="7">
        <f t="shared" si="657"/>
        <v>28</v>
      </c>
      <c r="AD593" s="7"/>
      <c r="AE593" s="7"/>
      <c r="AF593" s="7">
        <f t="shared" si="9"/>
        <v>28</v>
      </c>
      <c r="AG593" s="7">
        <v>3464.0</v>
      </c>
      <c r="AH593" s="7">
        <v>1008.7</v>
      </c>
      <c r="AI593" s="7">
        <v>1389.6</v>
      </c>
      <c r="AJ593" s="7">
        <v>632.4</v>
      </c>
      <c r="AK593" s="7">
        <v>388.8</v>
      </c>
      <c r="AL593" s="7">
        <v>44.6</v>
      </c>
      <c r="AM593" s="7">
        <v>54.0</v>
      </c>
      <c r="AN593" s="7">
        <v>31.0</v>
      </c>
      <c r="AO593" s="7">
        <v>28.8</v>
      </c>
      <c r="AP593" s="9">
        <f t="shared" ref="AP593:AR593" si="1851">AG593/$AF593</f>
        <v>123.7142857</v>
      </c>
      <c r="AQ593" s="9">
        <f t="shared" si="1851"/>
        <v>36.025</v>
      </c>
      <c r="AR593" s="9">
        <f t="shared" si="1851"/>
        <v>49.62857143</v>
      </c>
      <c r="AS593" s="9">
        <f t="shared" si="11"/>
        <v>85.65357143</v>
      </c>
      <c r="AT593" s="9">
        <f t="shared" ref="AT593:AV593" si="1852">AJ593/$AF593</f>
        <v>22.58571429</v>
      </c>
      <c r="AU593" s="9">
        <f t="shared" si="1852"/>
        <v>13.88571429</v>
      </c>
      <c r="AV593" s="9">
        <f t="shared" si="1852"/>
        <v>1.592857143</v>
      </c>
      <c r="AW593" s="9">
        <f t="shared" si="13"/>
        <v>15.47857143</v>
      </c>
      <c r="AX593" s="9">
        <f t="shared" ref="AX593:AY593" si="1853">AM593/$AF593</f>
        <v>1.928571429</v>
      </c>
      <c r="AY593" s="9">
        <f t="shared" si="1853"/>
        <v>1.107142857</v>
      </c>
      <c r="AZ593" s="9">
        <f>VLOOKUP(A593,Jogos!A:BN,58,0)</f>
        <v>22.845</v>
      </c>
      <c r="BA593" s="9">
        <f>VLOOKUP(A593,Jogos!A:BN,59,0)</f>
        <v>11.63</v>
      </c>
      <c r="BB593" s="9">
        <f>VLOOKUP(A593,Jogos!A:BN,60,0)</f>
        <v>48.5</v>
      </c>
      <c r="BC593" s="9">
        <f>VLOOKUP(A593,Jogos!A:BN,61,0)</f>
        <v>20.39</v>
      </c>
      <c r="BD593" s="9">
        <f>VLOOKUP(A593,Jogos!A:BN,62,0)</f>
        <v>156.8</v>
      </c>
      <c r="BE593" s="9">
        <f>VLOOKUP(A593,Jogos!A:BN,63,0)</f>
        <v>1.32</v>
      </c>
      <c r="BF593" s="9">
        <f>VLOOKUP(A593,Jogos!A:BN,64,0)</f>
        <v>18.66</v>
      </c>
      <c r="BG593" s="9">
        <f>VLOOKUP(A593,Jogos!A:BN,65,0)</f>
        <v>34.165</v>
      </c>
      <c r="BH593" s="9">
        <f>VLOOKUP(A593,Jogos!A:BN,66,0)</f>
        <v>22.18</v>
      </c>
      <c r="BI593" s="9"/>
    </row>
    <row r="594" hidden="1">
      <c r="A594" s="10">
        <v>20.0</v>
      </c>
      <c r="B594" s="11" t="s">
        <v>185</v>
      </c>
      <c r="C594" s="2" t="s">
        <v>61</v>
      </c>
      <c r="D594" s="12">
        <v>45827.0</v>
      </c>
      <c r="E594" s="13">
        <v>0.75</v>
      </c>
      <c r="F594" s="5" t="str">
        <f>VLOOKUP(A594,Jogos!A:N,10,0)</f>
        <v>Evening</v>
      </c>
      <c r="G594" s="11" t="s">
        <v>186</v>
      </c>
      <c r="H594" s="6" t="str">
        <f>VLOOKUP(A594,Jogos!A:L,12,0)</f>
        <v>Open</v>
      </c>
      <c r="I594" s="6" t="str">
        <f>VLOOKUP(G594,'Estádios e Cidades'!A:B,2,0)</f>
        <v>Pasadena</v>
      </c>
      <c r="J594" s="11" t="s">
        <v>313</v>
      </c>
      <c r="K594" s="2" t="str">
        <f>VLOOKUP(J594,Equipes!A:F,6,0)</f>
        <v>Tropical</v>
      </c>
      <c r="L594" s="2">
        <f>VLOOKUP(J594,Equipes!A:C,3,0)</f>
        <v>14</v>
      </c>
      <c r="M594" s="2" t="str">
        <f t="shared" si="4"/>
        <v>Round of 16</v>
      </c>
      <c r="N594" s="11" t="s">
        <v>187</v>
      </c>
      <c r="O594" s="2">
        <f>VLOOKUP(N594,Equipes!A:C,3,0)</f>
        <v>2</v>
      </c>
      <c r="P594" s="2" t="str">
        <f t="shared" si="5"/>
        <v>Final</v>
      </c>
      <c r="Q594" s="2">
        <f t="shared" si="6"/>
        <v>12</v>
      </c>
      <c r="R594" s="2" t="str">
        <f>VLOOKUP(J594,Equipes!A:B,2,0)</f>
        <v>Botafogo</v>
      </c>
      <c r="S594" s="6" t="s">
        <v>1101</v>
      </c>
      <c r="T594" s="7">
        <v>28.0</v>
      </c>
      <c r="U594" s="7" t="s">
        <v>1102</v>
      </c>
      <c r="V594" s="7" t="str">
        <f>VLOOKUP(U594,Jogadores!B:C,2,0)</f>
        <v>MF</v>
      </c>
      <c r="W594" s="8">
        <f>VLOOKUP(U594,Jogadores!B:D,3,0)</f>
        <v>25.39452055</v>
      </c>
      <c r="X594" s="7">
        <v>87.0</v>
      </c>
      <c r="Y594" s="7">
        <f t="shared" si="1841"/>
        <v>96</v>
      </c>
      <c r="Z594" s="7">
        <f>VLOOKUP(A594,Jogos!A:L,3,0)</f>
        <v>51</v>
      </c>
      <c r="AA594" s="7">
        <f t="shared" si="7"/>
        <v>0</v>
      </c>
      <c r="AB594" s="7">
        <f>VLOOKUP(A594,Jogos!A:L,4,0)</f>
        <v>51</v>
      </c>
      <c r="AC594" s="7">
        <f t="shared" si="657"/>
        <v>9</v>
      </c>
      <c r="AD594" s="7"/>
      <c r="AE594" s="7"/>
      <c r="AF594" s="7">
        <f t="shared" si="9"/>
        <v>9</v>
      </c>
      <c r="AG594" s="7">
        <v>1418.7</v>
      </c>
      <c r="AH594" s="7">
        <v>243.3</v>
      </c>
      <c r="AI594" s="7">
        <v>704.6</v>
      </c>
      <c r="AJ594" s="7">
        <v>338.8</v>
      </c>
      <c r="AK594" s="7">
        <v>115.4</v>
      </c>
      <c r="AL594" s="7">
        <v>16.6</v>
      </c>
      <c r="AM594" s="7">
        <v>32.0</v>
      </c>
      <c r="AN594" s="7">
        <v>10.0</v>
      </c>
      <c r="AO594" s="7">
        <v>29.0</v>
      </c>
      <c r="AP594" s="9">
        <f t="shared" ref="AP594:AR594" si="1854">AG594/$AF594</f>
        <v>157.6333333</v>
      </c>
      <c r="AQ594" s="9">
        <f t="shared" si="1854"/>
        <v>27.03333333</v>
      </c>
      <c r="AR594" s="9">
        <f t="shared" si="1854"/>
        <v>78.28888889</v>
      </c>
      <c r="AS594" s="9">
        <f t="shared" si="11"/>
        <v>105.3222222</v>
      </c>
      <c r="AT594" s="9">
        <f t="shared" ref="AT594:AV594" si="1855">AJ594/$AF594</f>
        <v>37.64444444</v>
      </c>
      <c r="AU594" s="9">
        <f t="shared" si="1855"/>
        <v>12.82222222</v>
      </c>
      <c r="AV594" s="9">
        <f t="shared" si="1855"/>
        <v>1.844444444</v>
      </c>
      <c r="AW594" s="9">
        <f t="shared" si="13"/>
        <v>14.66666667</v>
      </c>
      <c r="AX594" s="9">
        <f t="shared" ref="AX594:AY594" si="1856">AM594/$AF594</f>
        <v>3.555555556</v>
      </c>
      <c r="AY594" s="9">
        <f t="shared" si="1856"/>
        <v>1.111111111</v>
      </c>
      <c r="AZ594" s="9">
        <f>VLOOKUP(A594,Jogos!A:BN,58,0)</f>
        <v>22.845</v>
      </c>
      <c r="BA594" s="9">
        <f>VLOOKUP(A594,Jogos!A:BN,59,0)</f>
        <v>11.63</v>
      </c>
      <c r="BB594" s="9">
        <f>VLOOKUP(A594,Jogos!A:BN,60,0)</f>
        <v>48.5</v>
      </c>
      <c r="BC594" s="9">
        <f>VLOOKUP(A594,Jogos!A:BN,61,0)</f>
        <v>20.39</v>
      </c>
      <c r="BD594" s="9">
        <f>VLOOKUP(A594,Jogos!A:BN,62,0)</f>
        <v>156.8</v>
      </c>
      <c r="BE594" s="9">
        <f>VLOOKUP(A594,Jogos!A:BN,63,0)</f>
        <v>1.32</v>
      </c>
      <c r="BF594" s="9">
        <f>VLOOKUP(A594,Jogos!A:BN,64,0)</f>
        <v>18.66</v>
      </c>
      <c r="BG594" s="9">
        <f>VLOOKUP(A594,Jogos!A:BN,65,0)</f>
        <v>34.165</v>
      </c>
      <c r="BH594" s="9">
        <f>VLOOKUP(A594,Jogos!A:BN,66,0)</f>
        <v>22.18</v>
      </c>
      <c r="BI594" s="9"/>
    </row>
    <row r="595" hidden="1">
      <c r="A595" s="10">
        <v>20.0</v>
      </c>
      <c r="B595" s="11" t="s">
        <v>185</v>
      </c>
      <c r="C595" s="2" t="s">
        <v>61</v>
      </c>
      <c r="D595" s="12">
        <v>45827.0</v>
      </c>
      <c r="E595" s="13">
        <v>0.75</v>
      </c>
      <c r="F595" s="5" t="str">
        <f>VLOOKUP(A595,Jogos!A:N,10,0)</f>
        <v>Evening</v>
      </c>
      <c r="G595" s="11" t="s">
        <v>186</v>
      </c>
      <c r="H595" s="6" t="str">
        <f>VLOOKUP(A595,Jogos!A:L,12,0)</f>
        <v>Open</v>
      </c>
      <c r="I595" s="6" t="str">
        <f>VLOOKUP(G595,'Estádios e Cidades'!A:B,2,0)</f>
        <v>Pasadena</v>
      </c>
      <c r="J595" s="11" t="s">
        <v>313</v>
      </c>
      <c r="K595" s="2" t="str">
        <f>VLOOKUP(J595,Equipes!A:F,6,0)</f>
        <v>Tropical</v>
      </c>
      <c r="L595" s="2">
        <f>VLOOKUP(J595,Equipes!A:C,3,0)</f>
        <v>14</v>
      </c>
      <c r="M595" s="2" t="str">
        <f t="shared" si="4"/>
        <v>Round of 16</v>
      </c>
      <c r="N595" s="11" t="s">
        <v>187</v>
      </c>
      <c r="O595" s="2">
        <f>VLOOKUP(N595,Equipes!A:C,3,0)</f>
        <v>2</v>
      </c>
      <c r="P595" s="2" t="str">
        <f t="shared" si="5"/>
        <v>Final</v>
      </c>
      <c r="Q595" s="2">
        <f t="shared" si="6"/>
        <v>12</v>
      </c>
      <c r="R595" s="2" t="str">
        <f>VLOOKUP(J595,Equipes!A:B,2,0)</f>
        <v>Botafogo</v>
      </c>
      <c r="S595" s="6" t="s">
        <v>341</v>
      </c>
      <c r="T595" s="7">
        <v>66.0</v>
      </c>
      <c r="U595" s="7" t="s">
        <v>342</v>
      </c>
      <c r="V595" s="7" t="str">
        <f>VLOOKUP(U595,Jogadores!B:C,2,0)</f>
        <v>DF</v>
      </c>
      <c r="W595" s="8">
        <f>VLOOKUP(U595,Jogadores!B:D,3,0)</f>
        <v>22.46027397</v>
      </c>
      <c r="X595" s="7">
        <v>68.0</v>
      </c>
      <c r="Y595" s="7">
        <f t="shared" si="1841"/>
        <v>96</v>
      </c>
      <c r="Z595" s="7">
        <f>VLOOKUP(A595,Jogos!A:L,3,0)</f>
        <v>51</v>
      </c>
      <c r="AA595" s="7">
        <f t="shared" si="7"/>
        <v>0</v>
      </c>
      <c r="AB595" s="7">
        <f>VLOOKUP(A595,Jogos!A:L,4,0)</f>
        <v>51</v>
      </c>
      <c r="AC595" s="7">
        <f t="shared" si="657"/>
        <v>28</v>
      </c>
      <c r="AD595" s="7"/>
      <c r="AE595" s="7"/>
      <c r="AF595" s="7">
        <f t="shared" si="9"/>
        <v>28</v>
      </c>
      <c r="AG595" s="7">
        <v>2961.5</v>
      </c>
      <c r="AH595" s="7">
        <v>1011.3</v>
      </c>
      <c r="AI595" s="7">
        <v>1489.4</v>
      </c>
      <c r="AJ595" s="7">
        <v>348.5</v>
      </c>
      <c r="AK595" s="7">
        <v>105.8</v>
      </c>
      <c r="AL595" s="7">
        <v>6.5</v>
      </c>
      <c r="AM595" s="7">
        <v>31.0</v>
      </c>
      <c r="AN595" s="7">
        <v>10.0</v>
      </c>
      <c r="AO595" s="7">
        <v>25.5</v>
      </c>
      <c r="AP595" s="9">
        <f t="shared" ref="AP595:AR595" si="1857">AG595/$AF595</f>
        <v>105.7678571</v>
      </c>
      <c r="AQ595" s="9">
        <f t="shared" si="1857"/>
        <v>36.11785714</v>
      </c>
      <c r="AR595" s="9">
        <f t="shared" si="1857"/>
        <v>53.19285714</v>
      </c>
      <c r="AS595" s="9">
        <f t="shared" si="11"/>
        <v>89.31071429</v>
      </c>
      <c r="AT595" s="9">
        <f t="shared" ref="AT595:AV595" si="1858">AJ595/$AF595</f>
        <v>12.44642857</v>
      </c>
      <c r="AU595" s="9">
        <f t="shared" si="1858"/>
        <v>3.778571429</v>
      </c>
      <c r="AV595" s="9">
        <f t="shared" si="1858"/>
        <v>0.2321428571</v>
      </c>
      <c r="AW595" s="9">
        <f t="shared" si="13"/>
        <v>4.010714286</v>
      </c>
      <c r="AX595" s="9">
        <f t="shared" ref="AX595:AY595" si="1859">AM595/$AF595</f>
        <v>1.107142857</v>
      </c>
      <c r="AY595" s="9">
        <f t="shared" si="1859"/>
        <v>0.3571428571</v>
      </c>
      <c r="AZ595" s="9">
        <f>VLOOKUP(A595,Jogos!A:BN,58,0)</f>
        <v>22.845</v>
      </c>
      <c r="BA595" s="9">
        <f>VLOOKUP(A595,Jogos!A:BN,59,0)</f>
        <v>11.63</v>
      </c>
      <c r="BB595" s="9">
        <f>VLOOKUP(A595,Jogos!A:BN,60,0)</f>
        <v>48.5</v>
      </c>
      <c r="BC595" s="9">
        <f>VLOOKUP(A595,Jogos!A:BN,61,0)</f>
        <v>20.39</v>
      </c>
      <c r="BD595" s="9">
        <f>VLOOKUP(A595,Jogos!A:BN,62,0)</f>
        <v>156.8</v>
      </c>
      <c r="BE595" s="9">
        <f>VLOOKUP(A595,Jogos!A:BN,63,0)</f>
        <v>1.32</v>
      </c>
      <c r="BF595" s="9">
        <f>VLOOKUP(A595,Jogos!A:BN,64,0)</f>
        <v>18.66</v>
      </c>
      <c r="BG595" s="9">
        <f>VLOOKUP(A595,Jogos!A:BN,65,0)</f>
        <v>34.165</v>
      </c>
      <c r="BH595" s="9">
        <f>VLOOKUP(A595,Jogos!A:BN,66,0)</f>
        <v>22.18</v>
      </c>
      <c r="BI595" s="9"/>
    </row>
    <row r="596" hidden="1">
      <c r="A596" s="2">
        <v>21.0</v>
      </c>
      <c r="B596" s="11" t="s">
        <v>121</v>
      </c>
      <c r="C596" s="2" t="s">
        <v>61</v>
      </c>
      <c r="D596" s="3">
        <v>45828.0</v>
      </c>
      <c r="E596" s="4">
        <v>0.5</v>
      </c>
      <c r="F596" s="5" t="str">
        <f>VLOOKUP(A596,Jogos!A:N,10,0)</f>
        <v>Afternoon</v>
      </c>
      <c r="G596" s="2" t="s">
        <v>686</v>
      </c>
      <c r="H596" s="6" t="str">
        <f>VLOOKUP(A596,Jogos!A:L,12,0)</f>
        <v>Open</v>
      </c>
      <c r="I596" s="6" t="str">
        <f>VLOOKUP(G596,'Estádios e Cidades'!A:B,2,0)</f>
        <v>Orlando</v>
      </c>
      <c r="J596" s="2" t="s">
        <v>441</v>
      </c>
      <c r="K596" s="2" t="str">
        <f>VLOOKUP(J596,Equipes!A:F,6,0)</f>
        <v>Temperate</v>
      </c>
      <c r="L596" s="2">
        <f>VLOOKUP(J596,Equipes!A:C,3,0)</f>
        <v>10</v>
      </c>
      <c r="M596" s="2" t="str">
        <f t="shared" si="4"/>
        <v>Round of 16</v>
      </c>
      <c r="N596" s="2" t="s">
        <v>124</v>
      </c>
      <c r="O596" s="2">
        <f>VLOOKUP(N596,Equipes!A:C,3,0)</f>
        <v>27</v>
      </c>
      <c r="P596" s="2" t="str">
        <f t="shared" si="5"/>
        <v>Group</v>
      </c>
      <c r="Q596" s="2">
        <f t="shared" si="6"/>
        <v>-17</v>
      </c>
      <c r="R596" s="2" t="str">
        <f>VLOOKUP(J596,Equipes!A:B,2,0)</f>
        <v>Benfica</v>
      </c>
      <c r="S596" s="6" t="s">
        <v>470</v>
      </c>
      <c r="T596" s="7">
        <v>3.0</v>
      </c>
      <c r="U596" s="7" t="s">
        <v>471</v>
      </c>
      <c r="V596" s="7" t="str">
        <f>VLOOKUP(U596,Jogadores!B:C,2,0)</f>
        <v>DF</v>
      </c>
      <c r="W596" s="8">
        <f>VLOOKUP(U596,Jogadores!B:D,3,0)</f>
        <v>22.36438356</v>
      </c>
      <c r="X596" s="7">
        <v>0.0</v>
      </c>
      <c r="Y596" s="7">
        <v>45.0</v>
      </c>
      <c r="Z596" s="7">
        <f>VLOOKUP(A596,Jogos!A:L,3,0)</f>
        <v>54</v>
      </c>
      <c r="AA596" s="7">
        <f t="shared" si="7"/>
        <v>54</v>
      </c>
      <c r="AB596" s="7">
        <f>VLOOKUP(A596,Jogos!A:L,4,0)</f>
        <v>53</v>
      </c>
      <c r="AC596" s="7">
        <f t="shared" si="657"/>
        <v>0</v>
      </c>
      <c r="AD596" s="7"/>
      <c r="AE596" s="7"/>
      <c r="AF596" s="7">
        <f t="shared" si="9"/>
        <v>54</v>
      </c>
      <c r="AG596" s="7">
        <v>5680.6</v>
      </c>
      <c r="AH596" s="7">
        <v>2291.3</v>
      </c>
      <c r="AI596" s="7">
        <v>2093.0</v>
      </c>
      <c r="AJ596" s="7">
        <v>807.6</v>
      </c>
      <c r="AK596" s="7">
        <v>383.1</v>
      </c>
      <c r="AL596" s="7">
        <v>105.6</v>
      </c>
      <c r="AM596" s="7">
        <v>63.0</v>
      </c>
      <c r="AN596" s="7">
        <v>34.0</v>
      </c>
      <c r="AO596" s="7">
        <v>30.5</v>
      </c>
      <c r="AP596" s="9">
        <f t="shared" ref="AP596:AR596" si="1860">AG596/$AF596</f>
        <v>105.1962963</v>
      </c>
      <c r="AQ596" s="9">
        <f t="shared" si="1860"/>
        <v>42.43148148</v>
      </c>
      <c r="AR596" s="9">
        <f t="shared" si="1860"/>
        <v>38.75925926</v>
      </c>
      <c r="AS596" s="9">
        <f t="shared" si="11"/>
        <v>81.19074074</v>
      </c>
      <c r="AT596" s="9">
        <f t="shared" ref="AT596:AV596" si="1861">AJ596/$AF596</f>
        <v>14.95555556</v>
      </c>
      <c r="AU596" s="9">
        <f t="shared" si="1861"/>
        <v>7.094444444</v>
      </c>
      <c r="AV596" s="9">
        <f t="shared" si="1861"/>
        <v>1.955555556</v>
      </c>
      <c r="AW596" s="9">
        <f t="shared" si="13"/>
        <v>9.05</v>
      </c>
      <c r="AX596" s="9">
        <f t="shared" ref="AX596:AY596" si="1862">AM596/$AF596</f>
        <v>1.166666667</v>
      </c>
      <c r="AY596" s="9">
        <f t="shared" si="1862"/>
        <v>0.6296296296</v>
      </c>
      <c r="AZ596" s="9">
        <f>VLOOKUP(A596,Jogos!A:BN,58,0)</f>
        <v>29.3875</v>
      </c>
      <c r="BA596" s="9">
        <f>VLOOKUP(A596,Jogos!A:BN,59,0)</f>
        <v>23.7125</v>
      </c>
      <c r="BB596" s="9">
        <f>VLOOKUP(A596,Jogos!A:BN,60,0)</f>
        <v>71</v>
      </c>
      <c r="BC596" s="9">
        <f>VLOOKUP(A596,Jogos!A:BN,61,0)</f>
        <v>29.3875</v>
      </c>
      <c r="BD596" s="9">
        <f>VLOOKUP(A596,Jogos!A:BN,62,0)</f>
        <v>752.7</v>
      </c>
      <c r="BE596" s="9">
        <f>VLOOKUP(A596,Jogos!A:BN,63,0)</f>
        <v>1.0775</v>
      </c>
      <c r="BF596" s="9">
        <f>VLOOKUP(A596,Jogos!A:BN,64,0)</f>
        <v>25.7575</v>
      </c>
      <c r="BG596" s="9">
        <f>VLOOKUP(A596,Jogos!A:BN,65,0)</f>
        <v>45.2725</v>
      </c>
      <c r="BH596" s="9">
        <f>VLOOKUP(A596,Jogos!A:BN,66,0)</f>
        <v>30.0225</v>
      </c>
      <c r="BI596" s="9"/>
    </row>
    <row r="597" hidden="1">
      <c r="A597" s="2">
        <v>21.0</v>
      </c>
      <c r="B597" s="11" t="s">
        <v>121</v>
      </c>
      <c r="C597" s="2" t="s">
        <v>61</v>
      </c>
      <c r="D597" s="3">
        <v>45828.0</v>
      </c>
      <c r="E597" s="4">
        <v>0.5</v>
      </c>
      <c r="F597" s="5" t="str">
        <f>VLOOKUP(A597,Jogos!A:N,10,0)</f>
        <v>Afternoon</v>
      </c>
      <c r="G597" s="2" t="s">
        <v>686</v>
      </c>
      <c r="H597" s="6" t="str">
        <f>VLOOKUP(A597,Jogos!A:L,12,0)</f>
        <v>Open</v>
      </c>
      <c r="I597" s="6" t="str">
        <f>VLOOKUP(G597,'Estádios e Cidades'!A:B,2,0)</f>
        <v>Orlando</v>
      </c>
      <c r="J597" s="2" t="s">
        <v>441</v>
      </c>
      <c r="K597" s="2" t="str">
        <f>VLOOKUP(J597,Equipes!A:F,6,0)</f>
        <v>Temperate</v>
      </c>
      <c r="L597" s="2">
        <f>VLOOKUP(J597,Equipes!A:C,3,0)</f>
        <v>10</v>
      </c>
      <c r="M597" s="2" t="str">
        <f t="shared" si="4"/>
        <v>Round of 16</v>
      </c>
      <c r="N597" s="2" t="s">
        <v>124</v>
      </c>
      <c r="O597" s="2">
        <f>VLOOKUP(N597,Equipes!A:C,3,0)</f>
        <v>27</v>
      </c>
      <c r="P597" s="2" t="str">
        <f t="shared" si="5"/>
        <v>Group</v>
      </c>
      <c r="Q597" s="2">
        <f t="shared" si="6"/>
        <v>-17</v>
      </c>
      <c r="R597" s="2" t="str">
        <f>VLOOKUP(J597,Equipes!A:B,2,0)</f>
        <v>Benfica</v>
      </c>
      <c r="S597" s="6" t="s">
        <v>472</v>
      </c>
      <c r="T597" s="7">
        <v>4.0</v>
      </c>
      <c r="U597" s="7" t="s">
        <v>473</v>
      </c>
      <c r="V597" s="7" t="str">
        <f>VLOOKUP(U597,Jogadores!B:C,2,0)</f>
        <v>DF</v>
      </c>
      <c r="W597" s="8">
        <f>VLOOKUP(U597,Jogadores!B:D,3,0)</f>
        <v>21.75890411</v>
      </c>
      <c r="X597" s="7">
        <v>0.0</v>
      </c>
      <c r="Y597" s="7">
        <v>86.0</v>
      </c>
      <c r="Z597" s="7">
        <f>VLOOKUP(A597,Jogos!A:L,3,0)</f>
        <v>54</v>
      </c>
      <c r="AA597" s="7">
        <f t="shared" si="7"/>
        <v>54</v>
      </c>
      <c r="AB597" s="7">
        <f>VLOOKUP(A597,Jogos!A:L,4,0)</f>
        <v>53</v>
      </c>
      <c r="AC597" s="7">
        <f t="shared" si="657"/>
        <v>41</v>
      </c>
      <c r="AD597" s="7"/>
      <c r="AE597" s="7"/>
      <c r="AF597" s="7">
        <f t="shared" si="9"/>
        <v>95</v>
      </c>
      <c r="AG597" s="7">
        <v>9440.5</v>
      </c>
      <c r="AH597" s="7">
        <v>4121.6</v>
      </c>
      <c r="AI597" s="7">
        <v>3991.0</v>
      </c>
      <c r="AJ597" s="7">
        <v>817.8</v>
      </c>
      <c r="AK597" s="7">
        <v>368.3</v>
      </c>
      <c r="AL597" s="7">
        <v>141.7</v>
      </c>
      <c r="AM597" s="7">
        <v>62.0</v>
      </c>
      <c r="AN597" s="7">
        <v>25.0</v>
      </c>
      <c r="AO597" s="7">
        <v>31.3</v>
      </c>
      <c r="AP597" s="9">
        <f t="shared" ref="AP597:AR597" si="1863">AG597/$AF597</f>
        <v>99.37368421</v>
      </c>
      <c r="AQ597" s="9">
        <f t="shared" si="1863"/>
        <v>43.38526316</v>
      </c>
      <c r="AR597" s="9">
        <f t="shared" si="1863"/>
        <v>42.01052632</v>
      </c>
      <c r="AS597" s="9">
        <f t="shared" si="11"/>
        <v>85.39578947</v>
      </c>
      <c r="AT597" s="9">
        <f t="shared" ref="AT597:AV597" si="1864">AJ597/$AF597</f>
        <v>8.608421053</v>
      </c>
      <c r="AU597" s="9">
        <f t="shared" si="1864"/>
        <v>3.876842105</v>
      </c>
      <c r="AV597" s="9">
        <f t="shared" si="1864"/>
        <v>1.491578947</v>
      </c>
      <c r="AW597" s="9">
        <f t="shared" si="13"/>
        <v>5.368421053</v>
      </c>
      <c r="AX597" s="9">
        <f t="shared" ref="AX597:AY597" si="1865">AM597/$AF597</f>
        <v>0.6526315789</v>
      </c>
      <c r="AY597" s="9">
        <f t="shared" si="1865"/>
        <v>0.2631578947</v>
      </c>
      <c r="AZ597" s="9">
        <f>VLOOKUP(A597,Jogos!A:BN,58,0)</f>
        <v>29.3875</v>
      </c>
      <c r="BA597" s="9">
        <f>VLOOKUP(A597,Jogos!A:BN,59,0)</f>
        <v>23.7125</v>
      </c>
      <c r="BB597" s="9">
        <f>VLOOKUP(A597,Jogos!A:BN,60,0)</f>
        <v>71</v>
      </c>
      <c r="BC597" s="9">
        <f>VLOOKUP(A597,Jogos!A:BN,61,0)</f>
        <v>29.3875</v>
      </c>
      <c r="BD597" s="9">
        <f>VLOOKUP(A597,Jogos!A:BN,62,0)</f>
        <v>752.7</v>
      </c>
      <c r="BE597" s="9">
        <f>VLOOKUP(A597,Jogos!A:BN,63,0)</f>
        <v>1.0775</v>
      </c>
      <c r="BF597" s="9">
        <f>VLOOKUP(A597,Jogos!A:BN,64,0)</f>
        <v>25.7575</v>
      </c>
      <c r="BG597" s="9">
        <f>VLOOKUP(A597,Jogos!A:BN,65,0)</f>
        <v>45.2725</v>
      </c>
      <c r="BH597" s="9">
        <f>VLOOKUP(A597,Jogos!A:BN,66,0)</f>
        <v>30.0225</v>
      </c>
      <c r="BI597" s="9"/>
    </row>
    <row r="598" hidden="1">
      <c r="A598" s="2">
        <v>21.0</v>
      </c>
      <c r="B598" s="11" t="s">
        <v>121</v>
      </c>
      <c r="C598" s="2" t="s">
        <v>61</v>
      </c>
      <c r="D598" s="3">
        <v>45828.0</v>
      </c>
      <c r="E598" s="4">
        <v>0.5</v>
      </c>
      <c r="F598" s="5" t="str">
        <f>VLOOKUP(A598,Jogos!A:N,10,0)</f>
        <v>Afternoon</v>
      </c>
      <c r="G598" s="2" t="s">
        <v>686</v>
      </c>
      <c r="H598" s="6" t="str">
        <f>VLOOKUP(A598,Jogos!A:L,12,0)</f>
        <v>Open</v>
      </c>
      <c r="I598" s="6" t="str">
        <f>VLOOKUP(G598,'Estádios e Cidades'!A:B,2,0)</f>
        <v>Orlando</v>
      </c>
      <c r="J598" s="2" t="s">
        <v>441</v>
      </c>
      <c r="K598" s="2" t="str">
        <f>VLOOKUP(J598,Equipes!A:F,6,0)</f>
        <v>Temperate</v>
      </c>
      <c r="L598" s="2">
        <f>VLOOKUP(J598,Equipes!A:C,3,0)</f>
        <v>10</v>
      </c>
      <c r="M598" s="2" t="str">
        <f t="shared" si="4"/>
        <v>Round of 16</v>
      </c>
      <c r="N598" s="2" t="s">
        <v>124</v>
      </c>
      <c r="O598" s="2">
        <f>VLOOKUP(N598,Equipes!A:C,3,0)</f>
        <v>27</v>
      </c>
      <c r="P598" s="2" t="str">
        <f t="shared" si="5"/>
        <v>Group</v>
      </c>
      <c r="Q598" s="2">
        <f t="shared" si="6"/>
        <v>-17</v>
      </c>
      <c r="R598" s="2" t="str">
        <f>VLOOKUP(J598,Equipes!A:B,2,0)</f>
        <v>Benfica</v>
      </c>
      <c r="S598" s="6" t="s">
        <v>474</v>
      </c>
      <c r="T598" s="7">
        <v>8.0</v>
      </c>
      <c r="U598" s="7" t="s">
        <v>475</v>
      </c>
      <c r="V598" s="7" t="str">
        <f>VLOOKUP(U598,Jogadores!B:C,2,0)</f>
        <v>MF</v>
      </c>
      <c r="W598" s="8">
        <f>VLOOKUP(U598,Jogadores!B:D,3,0)</f>
        <v>29.65205479</v>
      </c>
      <c r="X598" s="7">
        <v>0.0</v>
      </c>
      <c r="Y598" s="7">
        <v>71.0</v>
      </c>
      <c r="Z598" s="7">
        <f>VLOOKUP(A598,Jogos!A:L,3,0)</f>
        <v>54</v>
      </c>
      <c r="AA598" s="7">
        <f t="shared" si="7"/>
        <v>54</v>
      </c>
      <c r="AB598" s="7">
        <f>VLOOKUP(A598,Jogos!A:L,4,0)</f>
        <v>53</v>
      </c>
      <c r="AC598" s="7">
        <f t="shared" si="657"/>
        <v>26</v>
      </c>
      <c r="AD598" s="7"/>
      <c r="AE598" s="7"/>
      <c r="AF598" s="7">
        <f t="shared" si="9"/>
        <v>80</v>
      </c>
      <c r="AG598" s="7">
        <v>9034.4</v>
      </c>
      <c r="AH598" s="7">
        <v>3086.5</v>
      </c>
      <c r="AI598" s="7">
        <v>4270.1</v>
      </c>
      <c r="AJ598" s="7">
        <v>1076.4</v>
      </c>
      <c r="AK598" s="7">
        <v>440.2</v>
      </c>
      <c r="AL598" s="7">
        <v>161.2</v>
      </c>
      <c r="AM598" s="7">
        <v>99.0</v>
      </c>
      <c r="AN598" s="7">
        <v>37.0</v>
      </c>
      <c r="AO598" s="7">
        <v>31.2</v>
      </c>
      <c r="AP598" s="9">
        <f t="shared" ref="AP598:AR598" si="1866">AG598/$AF598</f>
        <v>112.93</v>
      </c>
      <c r="AQ598" s="9">
        <f t="shared" si="1866"/>
        <v>38.58125</v>
      </c>
      <c r="AR598" s="9">
        <f t="shared" si="1866"/>
        <v>53.37625</v>
      </c>
      <c r="AS598" s="9">
        <f t="shared" si="11"/>
        <v>91.9575</v>
      </c>
      <c r="AT598" s="9">
        <f t="shared" ref="AT598:AV598" si="1867">AJ598/$AF598</f>
        <v>13.455</v>
      </c>
      <c r="AU598" s="9">
        <f t="shared" si="1867"/>
        <v>5.5025</v>
      </c>
      <c r="AV598" s="9">
        <f t="shared" si="1867"/>
        <v>2.015</v>
      </c>
      <c r="AW598" s="9">
        <f t="shared" si="13"/>
        <v>7.5175</v>
      </c>
      <c r="AX598" s="9">
        <f t="shared" ref="AX598:AY598" si="1868">AM598/$AF598</f>
        <v>1.2375</v>
      </c>
      <c r="AY598" s="9">
        <f t="shared" si="1868"/>
        <v>0.4625</v>
      </c>
      <c r="AZ598" s="9">
        <f>VLOOKUP(A598,Jogos!A:BN,58,0)</f>
        <v>29.3875</v>
      </c>
      <c r="BA598" s="9">
        <f>VLOOKUP(A598,Jogos!A:BN,59,0)</f>
        <v>23.7125</v>
      </c>
      <c r="BB598" s="9">
        <f>VLOOKUP(A598,Jogos!A:BN,60,0)</f>
        <v>71</v>
      </c>
      <c r="BC598" s="9">
        <f>VLOOKUP(A598,Jogos!A:BN,61,0)</f>
        <v>29.3875</v>
      </c>
      <c r="BD598" s="9">
        <f>VLOOKUP(A598,Jogos!A:BN,62,0)</f>
        <v>752.7</v>
      </c>
      <c r="BE598" s="9">
        <f>VLOOKUP(A598,Jogos!A:BN,63,0)</f>
        <v>1.0775</v>
      </c>
      <c r="BF598" s="9">
        <f>VLOOKUP(A598,Jogos!A:BN,64,0)</f>
        <v>25.7575</v>
      </c>
      <c r="BG598" s="9">
        <f>VLOOKUP(A598,Jogos!A:BN,65,0)</f>
        <v>45.2725</v>
      </c>
      <c r="BH598" s="9">
        <f>VLOOKUP(A598,Jogos!A:BN,66,0)</f>
        <v>30.0225</v>
      </c>
      <c r="BI598" s="9"/>
    </row>
    <row r="599" hidden="1">
      <c r="A599" s="2">
        <v>21.0</v>
      </c>
      <c r="B599" s="11" t="s">
        <v>121</v>
      </c>
      <c r="C599" s="2" t="s">
        <v>61</v>
      </c>
      <c r="D599" s="3">
        <v>45828.0</v>
      </c>
      <c r="E599" s="4">
        <v>0.5</v>
      </c>
      <c r="F599" s="5" t="str">
        <f>VLOOKUP(A599,Jogos!A:N,10,0)</f>
        <v>Afternoon</v>
      </c>
      <c r="G599" s="2" t="s">
        <v>686</v>
      </c>
      <c r="H599" s="6" t="str">
        <f>VLOOKUP(A599,Jogos!A:L,12,0)</f>
        <v>Open</v>
      </c>
      <c r="I599" s="6" t="str">
        <f>VLOOKUP(G599,'Estádios e Cidades'!A:B,2,0)</f>
        <v>Orlando</v>
      </c>
      <c r="J599" s="2" t="s">
        <v>441</v>
      </c>
      <c r="K599" s="2" t="str">
        <f>VLOOKUP(J599,Equipes!A:F,6,0)</f>
        <v>Temperate</v>
      </c>
      <c r="L599" s="2">
        <f>VLOOKUP(J599,Equipes!A:C,3,0)</f>
        <v>10</v>
      </c>
      <c r="M599" s="2" t="str">
        <f t="shared" si="4"/>
        <v>Round of 16</v>
      </c>
      <c r="N599" s="2" t="s">
        <v>124</v>
      </c>
      <c r="O599" s="2">
        <f>VLOOKUP(N599,Equipes!A:C,3,0)</f>
        <v>27</v>
      </c>
      <c r="P599" s="2" t="str">
        <f t="shared" si="5"/>
        <v>Group</v>
      </c>
      <c r="Q599" s="2">
        <f t="shared" si="6"/>
        <v>-17</v>
      </c>
      <c r="R599" s="2" t="str">
        <f>VLOOKUP(J599,Equipes!A:B,2,0)</f>
        <v>Benfica</v>
      </c>
      <c r="S599" s="6" t="s">
        <v>490</v>
      </c>
      <c r="T599" s="7">
        <v>10.0</v>
      </c>
      <c r="U599" s="7" t="s">
        <v>491</v>
      </c>
      <c r="V599" s="7" t="str">
        <f>VLOOKUP(U599,Jogadores!B:C,2,0)</f>
        <v>MF</v>
      </c>
      <c r="W599" s="8">
        <f>VLOOKUP(U599,Jogadores!B:D,3,0)</f>
        <v>24.59452055</v>
      </c>
      <c r="X599" s="7">
        <v>0.0</v>
      </c>
      <c r="Y599" s="7">
        <v>61.0</v>
      </c>
      <c r="Z599" s="7">
        <f>VLOOKUP(A599,Jogos!A:L,3,0)</f>
        <v>54</v>
      </c>
      <c r="AA599" s="7">
        <f t="shared" si="7"/>
        <v>54</v>
      </c>
      <c r="AB599" s="7">
        <f>VLOOKUP(A599,Jogos!A:L,4,0)</f>
        <v>53</v>
      </c>
      <c r="AC599" s="7">
        <f t="shared" si="657"/>
        <v>16</v>
      </c>
      <c r="AD599" s="7"/>
      <c r="AE599" s="7"/>
      <c r="AF599" s="7">
        <f t="shared" si="9"/>
        <v>70</v>
      </c>
      <c r="AG599" s="7">
        <v>6942.7</v>
      </c>
      <c r="AH599" s="7">
        <v>2889.1</v>
      </c>
      <c r="AI599" s="7">
        <v>3018.8</v>
      </c>
      <c r="AJ599" s="7">
        <v>820.9</v>
      </c>
      <c r="AK599" s="7">
        <v>195.5</v>
      </c>
      <c r="AL599" s="7">
        <v>18.5</v>
      </c>
      <c r="AM599" s="7">
        <v>60.0</v>
      </c>
      <c r="AN599" s="7">
        <v>14.0</v>
      </c>
      <c r="AO599" s="7">
        <v>28.0</v>
      </c>
      <c r="AP599" s="9">
        <f t="shared" ref="AP599:AR599" si="1869">AG599/$AF599</f>
        <v>99.18142857</v>
      </c>
      <c r="AQ599" s="9">
        <f t="shared" si="1869"/>
        <v>41.27285714</v>
      </c>
      <c r="AR599" s="9">
        <f t="shared" si="1869"/>
        <v>43.12571429</v>
      </c>
      <c r="AS599" s="9">
        <f t="shared" si="11"/>
        <v>84.39857143</v>
      </c>
      <c r="AT599" s="9">
        <f t="shared" ref="AT599:AV599" si="1870">AJ599/$AF599</f>
        <v>11.72714286</v>
      </c>
      <c r="AU599" s="9">
        <f t="shared" si="1870"/>
        <v>2.792857143</v>
      </c>
      <c r="AV599" s="9">
        <f t="shared" si="1870"/>
        <v>0.2642857143</v>
      </c>
      <c r="AW599" s="9">
        <f t="shared" si="13"/>
        <v>3.057142857</v>
      </c>
      <c r="AX599" s="9">
        <f t="shared" ref="AX599:AY599" si="1871">AM599/$AF599</f>
        <v>0.8571428571</v>
      </c>
      <c r="AY599" s="9">
        <f t="shared" si="1871"/>
        <v>0.2</v>
      </c>
      <c r="AZ599" s="9">
        <f>VLOOKUP(A599,Jogos!A:BN,58,0)</f>
        <v>29.3875</v>
      </c>
      <c r="BA599" s="9">
        <f>VLOOKUP(A599,Jogos!A:BN,59,0)</f>
        <v>23.7125</v>
      </c>
      <c r="BB599" s="9">
        <f>VLOOKUP(A599,Jogos!A:BN,60,0)</f>
        <v>71</v>
      </c>
      <c r="BC599" s="9">
        <f>VLOOKUP(A599,Jogos!A:BN,61,0)</f>
        <v>29.3875</v>
      </c>
      <c r="BD599" s="9">
        <f>VLOOKUP(A599,Jogos!A:BN,62,0)</f>
        <v>752.7</v>
      </c>
      <c r="BE599" s="9">
        <f>VLOOKUP(A599,Jogos!A:BN,63,0)</f>
        <v>1.0775</v>
      </c>
      <c r="BF599" s="9">
        <f>VLOOKUP(A599,Jogos!A:BN,64,0)</f>
        <v>25.7575</v>
      </c>
      <c r="BG599" s="9">
        <f>VLOOKUP(A599,Jogos!A:BN,65,0)</f>
        <v>45.2725</v>
      </c>
      <c r="BH599" s="9">
        <f>VLOOKUP(A599,Jogos!A:BN,66,0)</f>
        <v>30.0225</v>
      </c>
      <c r="BI599" s="9"/>
    </row>
    <row r="600" hidden="1">
      <c r="A600" s="2">
        <v>21.0</v>
      </c>
      <c r="B600" s="11" t="s">
        <v>121</v>
      </c>
      <c r="C600" s="2" t="s">
        <v>61</v>
      </c>
      <c r="D600" s="3">
        <v>45828.0</v>
      </c>
      <c r="E600" s="4">
        <v>0.5</v>
      </c>
      <c r="F600" s="5" t="str">
        <f>VLOOKUP(A600,Jogos!A:N,10,0)</f>
        <v>Afternoon</v>
      </c>
      <c r="G600" s="2" t="s">
        <v>686</v>
      </c>
      <c r="H600" s="6" t="str">
        <f>VLOOKUP(A600,Jogos!A:L,12,0)</f>
        <v>Open</v>
      </c>
      <c r="I600" s="6" t="str">
        <f>VLOOKUP(G600,'Estádios e Cidades'!A:B,2,0)</f>
        <v>Orlando</v>
      </c>
      <c r="J600" s="2" t="s">
        <v>441</v>
      </c>
      <c r="K600" s="2" t="str">
        <f>VLOOKUP(J600,Equipes!A:F,6,0)</f>
        <v>Temperate</v>
      </c>
      <c r="L600" s="2">
        <f>VLOOKUP(J600,Equipes!A:C,3,0)</f>
        <v>10</v>
      </c>
      <c r="M600" s="2" t="str">
        <f t="shared" si="4"/>
        <v>Round of 16</v>
      </c>
      <c r="N600" s="2" t="s">
        <v>124</v>
      </c>
      <c r="O600" s="2">
        <f>VLOOKUP(N600,Equipes!A:C,3,0)</f>
        <v>27</v>
      </c>
      <c r="P600" s="2" t="str">
        <f t="shared" si="5"/>
        <v>Group</v>
      </c>
      <c r="Q600" s="2">
        <f t="shared" si="6"/>
        <v>-17</v>
      </c>
      <c r="R600" s="2" t="str">
        <f>VLOOKUP(J600,Equipes!A:B,2,0)</f>
        <v>Benfica</v>
      </c>
      <c r="S600" s="6" t="s">
        <v>476</v>
      </c>
      <c r="T600" s="7">
        <v>11.0</v>
      </c>
      <c r="U600" s="7" t="s">
        <v>477</v>
      </c>
      <c r="V600" s="7" t="str">
        <f>VLOOKUP(U600,Jogadores!B:C,2,0)</f>
        <v>FW</v>
      </c>
      <c r="W600" s="8">
        <f>VLOOKUP(U600,Jogadores!B:D,3,0)</f>
        <v>37.47671233</v>
      </c>
      <c r="X600" s="7">
        <v>0.0</v>
      </c>
      <c r="Y600" s="7">
        <f t="shared" ref="Y600:Y601" si="1875">45+AB600</f>
        <v>98</v>
      </c>
      <c r="Z600" s="7">
        <f>VLOOKUP(A600,Jogos!A:L,3,0)</f>
        <v>54</v>
      </c>
      <c r="AA600" s="7">
        <f t="shared" si="7"/>
        <v>54</v>
      </c>
      <c r="AB600" s="7">
        <f>VLOOKUP(A600,Jogos!A:L,4,0)</f>
        <v>53</v>
      </c>
      <c r="AC600" s="7">
        <f t="shared" si="657"/>
        <v>53</v>
      </c>
      <c r="AD600" s="7"/>
      <c r="AE600" s="7"/>
      <c r="AF600" s="7">
        <f t="shared" si="9"/>
        <v>107</v>
      </c>
      <c r="AG600" s="7">
        <v>10019.2</v>
      </c>
      <c r="AH600" s="7">
        <v>4496.9</v>
      </c>
      <c r="AI600" s="7">
        <v>3810.7</v>
      </c>
      <c r="AJ600" s="7">
        <v>1340.5</v>
      </c>
      <c r="AK600" s="7">
        <v>357.5</v>
      </c>
      <c r="AL600" s="7">
        <v>13.5</v>
      </c>
      <c r="AM600" s="7">
        <v>124.0</v>
      </c>
      <c r="AN600" s="7">
        <v>27.0</v>
      </c>
      <c r="AO600" s="7">
        <v>25.6</v>
      </c>
      <c r="AP600" s="9">
        <f t="shared" ref="AP600:AR600" si="1872">AG600/$AF600</f>
        <v>93.63738318</v>
      </c>
      <c r="AQ600" s="9">
        <f t="shared" si="1872"/>
        <v>42.0271028</v>
      </c>
      <c r="AR600" s="9">
        <f t="shared" si="1872"/>
        <v>35.61401869</v>
      </c>
      <c r="AS600" s="9">
        <f t="shared" si="11"/>
        <v>77.6411215</v>
      </c>
      <c r="AT600" s="9">
        <f t="shared" ref="AT600:AV600" si="1873">AJ600/$AF600</f>
        <v>12.52803738</v>
      </c>
      <c r="AU600" s="9">
        <f t="shared" si="1873"/>
        <v>3.341121495</v>
      </c>
      <c r="AV600" s="9">
        <f t="shared" si="1873"/>
        <v>0.1261682243</v>
      </c>
      <c r="AW600" s="9">
        <f t="shared" si="13"/>
        <v>3.46728972</v>
      </c>
      <c r="AX600" s="9">
        <f t="shared" ref="AX600:AY600" si="1874">AM600/$AF600</f>
        <v>1.158878505</v>
      </c>
      <c r="AY600" s="9">
        <f t="shared" si="1874"/>
        <v>0.2523364486</v>
      </c>
      <c r="AZ600" s="9">
        <f>VLOOKUP(A600,Jogos!A:BN,58,0)</f>
        <v>29.3875</v>
      </c>
      <c r="BA600" s="9">
        <f>VLOOKUP(A600,Jogos!A:BN,59,0)</f>
        <v>23.7125</v>
      </c>
      <c r="BB600" s="9">
        <f>VLOOKUP(A600,Jogos!A:BN,60,0)</f>
        <v>71</v>
      </c>
      <c r="BC600" s="9">
        <f>VLOOKUP(A600,Jogos!A:BN,61,0)</f>
        <v>29.3875</v>
      </c>
      <c r="BD600" s="9">
        <f>VLOOKUP(A600,Jogos!A:BN,62,0)</f>
        <v>752.7</v>
      </c>
      <c r="BE600" s="9">
        <f>VLOOKUP(A600,Jogos!A:BN,63,0)</f>
        <v>1.0775</v>
      </c>
      <c r="BF600" s="9">
        <f>VLOOKUP(A600,Jogos!A:BN,64,0)</f>
        <v>25.7575</v>
      </c>
      <c r="BG600" s="9">
        <f>VLOOKUP(A600,Jogos!A:BN,65,0)</f>
        <v>45.2725</v>
      </c>
      <c r="BH600" s="9">
        <f>VLOOKUP(A600,Jogos!A:BN,66,0)</f>
        <v>30.0225</v>
      </c>
      <c r="BI600" s="9"/>
    </row>
    <row r="601" hidden="1">
      <c r="A601" s="2">
        <v>21.0</v>
      </c>
      <c r="B601" s="11" t="s">
        <v>121</v>
      </c>
      <c r="C601" s="2" t="s">
        <v>61</v>
      </c>
      <c r="D601" s="3">
        <v>45828.0</v>
      </c>
      <c r="E601" s="4">
        <v>0.5</v>
      </c>
      <c r="F601" s="5" t="str">
        <f>VLOOKUP(A601,Jogos!A:N,10,0)</f>
        <v>Afternoon</v>
      </c>
      <c r="G601" s="2" t="s">
        <v>686</v>
      </c>
      <c r="H601" s="6" t="str">
        <f>VLOOKUP(A601,Jogos!A:L,12,0)</f>
        <v>Open</v>
      </c>
      <c r="I601" s="6" t="str">
        <f>VLOOKUP(G601,'Estádios e Cidades'!A:B,2,0)</f>
        <v>Orlando</v>
      </c>
      <c r="J601" s="2" t="s">
        <v>441</v>
      </c>
      <c r="K601" s="2" t="str">
        <f>VLOOKUP(J601,Equipes!A:F,6,0)</f>
        <v>Temperate</v>
      </c>
      <c r="L601" s="2">
        <f>VLOOKUP(J601,Equipes!A:C,3,0)</f>
        <v>10</v>
      </c>
      <c r="M601" s="2" t="str">
        <f t="shared" si="4"/>
        <v>Round of 16</v>
      </c>
      <c r="N601" s="2" t="s">
        <v>124</v>
      </c>
      <c r="O601" s="2">
        <f>VLOOKUP(N601,Equipes!A:C,3,0)</f>
        <v>27</v>
      </c>
      <c r="P601" s="2" t="str">
        <f t="shared" si="5"/>
        <v>Group</v>
      </c>
      <c r="Q601" s="2">
        <f t="shared" si="6"/>
        <v>-17</v>
      </c>
      <c r="R601" s="2" t="str">
        <f>VLOOKUP(J601,Equipes!A:B,2,0)</f>
        <v>Benfica</v>
      </c>
      <c r="S601" s="6" t="s">
        <v>478</v>
      </c>
      <c r="T601" s="7">
        <v>14.0</v>
      </c>
      <c r="U601" s="7" t="s">
        <v>479</v>
      </c>
      <c r="V601" s="7" t="str">
        <f>VLOOKUP(U601,Jogadores!B:C,2,0)</f>
        <v>FW</v>
      </c>
      <c r="W601" s="8">
        <f>VLOOKUP(U601,Jogadores!B:D,3,0)</f>
        <v>26.70136986</v>
      </c>
      <c r="X601" s="7">
        <v>0.0</v>
      </c>
      <c r="Y601" s="7">
        <f t="shared" si="1875"/>
        <v>98</v>
      </c>
      <c r="Z601" s="7">
        <f>VLOOKUP(A601,Jogos!A:L,3,0)</f>
        <v>54</v>
      </c>
      <c r="AA601" s="7">
        <f t="shared" si="7"/>
        <v>54</v>
      </c>
      <c r="AB601" s="7">
        <f>VLOOKUP(A601,Jogos!A:L,4,0)</f>
        <v>53</v>
      </c>
      <c r="AC601" s="7">
        <f t="shared" si="657"/>
        <v>53</v>
      </c>
      <c r="AD601" s="7"/>
      <c r="AE601" s="7"/>
      <c r="AF601" s="7">
        <f t="shared" si="9"/>
        <v>107</v>
      </c>
      <c r="AG601" s="7">
        <v>10383.7</v>
      </c>
      <c r="AH601" s="7">
        <v>4520.3</v>
      </c>
      <c r="AI601" s="7">
        <v>4335.9</v>
      </c>
      <c r="AJ601" s="7">
        <v>1089.1</v>
      </c>
      <c r="AK601" s="7">
        <v>297.2</v>
      </c>
      <c r="AL601" s="7">
        <v>141.2</v>
      </c>
      <c r="AM601" s="7">
        <v>101.0</v>
      </c>
      <c r="AN601" s="7">
        <v>26.0</v>
      </c>
      <c r="AO601" s="7">
        <v>29.4</v>
      </c>
      <c r="AP601" s="9">
        <f t="shared" ref="AP601:AR601" si="1876">AG601/$AF601</f>
        <v>97.04392523</v>
      </c>
      <c r="AQ601" s="9">
        <f t="shared" si="1876"/>
        <v>42.24579439</v>
      </c>
      <c r="AR601" s="9">
        <f t="shared" si="1876"/>
        <v>40.52242991</v>
      </c>
      <c r="AS601" s="9">
        <f t="shared" si="11"/>
        <v>82.7682243</v>
      </c>
      <c r="AT601" s="9">
        <f t="shared" ref="AT601:AV601" si="1877">AJ601/$AF601</f>
        <v>10.17850467</v>
      </c>
      <c r="AU601" s="9">
        <f t="shared" si="1877"/>
        <v>2.777570093</v>
      </c>
      <c r="AV601" s="9">
        <f t="shared" si="1877"/>
        <v>1.319626168</v>
      </c>
      <c r="AW601" s="9">
        <f t="shared" si="13"/>
        <v>4.097196262</v>
      </c>
      <c r="AX601" s="9">
        <f t="shared" ref="AX601:AY601" si="1878">AM601/$AF601</f>
        <v>0.9439252336</v>
      </c>
      <c r="AY601" s="9">
        <f t="shared" si="1878"/>
        <v>0.2429906542</v>
      </c>
      <c r="AZ601" s="9">
        <f>VLOOKUP(A601,Jogos!A:BN,58,0)</f>
        <v>29.3875</v>
      </c>
      <c r="BA601" s="9">
        <f>VLOOKUP(A601,Jogos!A:BN,59,0)</f>
        <v>23.7125</v>
      </c>
      <c r="BB601" s="9">
        <f>VLOOKUP(A601,Jogos!A:BN,60,0)</f>
        <v>71</v>
      </c>
      <c r="BC601" s="9">
        <f>VLOOKUP(A601,Jogos!A:BN,61,0)</f>
        <v>29.3875</v>
      </c>
      <c r="BD601" s="9">
        <f>VLOOKUP(A601,Jogos!A:BN,62,0)</f>
        <v>752.7</v>
      </c>
      <c r="BE601" s="9">
        <f>VLOOKUP(A601,Jogos!A:BN,63,0)</f>
        <v>1.0775</v>
      </c>
      <c r="BF601" s="9">
        <f>VLOOKUP(A601,Jogos!A:BN,64,0)</f>
        <v>25.7575</v>
      </c>
      <c r="BG601" s="9">
        <f>VLOOKUP(A601,Jogos!A:BN,65,0)</f>
        <v>45.2725</v>
      </c>
      <c r="BH601" s="9">
        <f>VLOOKUP(A601,Jogos!A:BN,66,0)</f>
        <v>30.0225</v>
      </c>
      <c r="BI601" s="9"/>
    </row>
    <row r="602" hidden="1">
      <c r="A602" s="2">
        <v>21.0</v>
      </c>
      <c r="B602" s="11" t="s">
        <v>121</v>
      </c>
      <c r="C602" s="2" t="s">
        <v>61</v>
      </c>
      <c r="D602" s="3">
        <v>45828.0</v>
      </c>
      <c r="E602" s="4">
        <v>0.5</v>
      </c>
      <c r="F602" s="5" t="str">
        <f>VLOOKUP(A602,Jogos!A:N,10,0)</f>
        <v>Afternoon</v>
      </c>
      <c r="G602" s="2" t="s">
        <v>686</v>
      </c>
      <c r="H602" s="6" t="str">
        <f>VLOOKUP(A602,Jogos!A:L,12,0)</f>
        <v>Open</v>
      </c>
      <c r="I602" s="6" t="str">
        <f>VLOOKUP(G602,'Estádios e Cidades'!A:B,2,0)</f>
        <v>Orlando</v>
      </c>
      <c r="J602" s="2" t="s">
        <v>441</v>
      </c>
      <c r="K602" s="2" t="str">
        <f>VLOOKUP(J602,Equipes!A:F,6,0)</f>
        <v>Temperate</v>
      </c>
      <c r="L602" s="2">
        <f>VLOOKUP(J602,Equipes!A:C,3,0)</f>
        <v>10</v>
      </c>
      <c r="M602" s="2" t="str">
        <f t="shared" si="4"/>
        <v>Round of 16</v>
      </c>
      <c r="N602" s="2" t="s">
        <v>124</v>
      </c>
      <c r="O602" s="2">
        <f>VLOOKUP(N602,Equipes!A:C,3,0)</f>
        <v>27</v>
      </c>
      <c r="P602" s="2" t="str">
        <f t="shared" si="5"/>
        <v>Group</v>
      </c>
      <c r="Q602" s="2">
        <f t="shared" si="6"/>
        <v>-17</v>
      </c>
      <c r="R602" s="2" t="str">
        <f>VLOOKUP(J602,Equipes!A:B,2,0)</f>
        <v>Benfica</v>
      </c>
      <c r="S602" s="6" t="s">
        <v>492</v>
      </c>
      <c r="T602" s="7">
        <v>17.0</v>
      </c>
      <c r="U602" s="7" t="s">
        <v>493</v>
      </c>
      <c r="V602" s="7" t="str">
        <f>VLOOKUP(U602,Jogadores!B:C,2,0)</f>
        <v>FW</v>
      </c>
      <c r="W602" s="8">
        <f>VLOOKUP(U602,Jogadores!B:D,3,0)</f>
        <v>26.78630137</v>
      </c>
      <c r="X602" s="7">
        <v>0.0</v>
      </c>
      <c r="Y602" s="7">
        <v>62.0</v>
      </c>
      <c r="Z602" s="7">
        <f>VLOOKUP(A602,Jogos!A:L,3,0)</f>
        <v>54</v>
      </c>
      <c r="AA602" s="7">
        <f t="shared" si="7"/>
        <v>54</v>
      </c>
      <c r="AB602" s="7">
        <f>VLOOKUP(A602,Jogos!A:L,4,0)</f>
        <v>53</v>
      </c>
      <c r="AC602" s="7">
        <f t="shared" si="657"/>
        <v>17</v>
      </c>
      <c r="AD602" s="7"/>
      <c r="AE602" s="7"/>
      <c r="AF602" s="7">
        <f t="shared" si="9"/>
        <v>71</v>
      </c>
      <c r="AG602" s="7">
        <v>7312.4</v>
      </c>
      <c r="AH602" s="7">
        <v>3203.4</v>
      </c>
      <c r="AI602" s="7">
        <v>3070.2</v>
      </c>
      <c r="AJ602" s="7">
        <v>736.3</v>
      </c>
      <c r="AK602" s="7">
        <v>239.1</v>
      </c>
      <c r="AL602" s="7">
        <v>63.5</v>
      </c>
      <c r="AM602" s="7">
        <v>63.0</v>
      </c>
      <c r="AN602" s="7">
        <v>22.0</v>
      </c>
      <c r="AO602" s="7">
        <v>30.5</v>
      </c>
      <c r="AP602" s="9">
        <f t="shared" ref="AP602:AR602" si="1879">AG602/$AF602</f>
        <v>102.9915493</v>
      </c>
      <c r="AQ602" s="9">
        <f t="shared" si="1879"/>
        <v>45.11830986</v>
      </c>
      <c r="AR602" s="9">
        <f t="shared" si="1879"/>
        <v>43.24225352</v>
      </c>
      <c r="AS602" s="9">
        <f t="shared" si="11"/>
        <v>88.36056338</v>
      </c>
      <c r="AT602" s="9">
        <f t="shared" ref="AT602:AV602" si="1880">AJ602/$AF602</f>
        <v>10.37042254</v>
      </c>
      <c r="AU602" s="9">
        <f t="shared" si="1880"/>
        <v>3.367605634</v>
      </c>
      <c r="AV602" s="9">
        <f t="shared" si="1880"/>
        <v>0.8943661972</v>
      </c>
      <c r="AW602" s="9">
        <f t="shared" si="13"/>
        <v>4.261971831</v>
      </c>
      <c r="AX602" s="9">
        <f t="shared" ref="AX602:AY602" si="1881">AM602/$AF602</f>
        <v>0.8873239437</v>
      </c>
      <c r="AY602" s="9">
        <f t="shared" si="1881"/>
        <v>0.3098591549</v>
      </c>
      <c r="AZ602" s="9">
        <f>VLOOKUP(A602,Jogos!A:BN,58,0)</f>
        <v>29.3875</v>
      </c>
      <c r="BA602" s="9">
        <f>VLOOKUP(A602,Jogos!A:BN,59,0)</f>
        <v>23.7125</v>
      </c>
      <c r="BB602" s="9">
        <f>VLOOKUP(A602,Jogos!A:BN,60,0)</f>
        <v>71</v>
      </c>
      <c r="BC602" s="9">
        <f>VLOOKUP(A602,Jogos!A:BN,61,0)</f>
        <v>29.3875</v>
      </c>
      <c r="BD602" s="9">
        <f>VLOOKUP(A602,Jogos!A:BN,62,0)</f>
        <v>752.7</v>
      </c>
      <c r="BE602" s="9">
        <f>VLOOKUP(A602,Jogos!A:BN,63,0)</f>
        <v>1.0775</v>
      </c>
      <c r="BF602" s="9">
        <f>VLOOKUP(A602,Jogos!A:BN,64,0)</f>
        <v>25.7575</v>
      </c>
      <c r="BG602" s="9">
        <f>VLOOKUP(A602,Jogos!A:BN,65,0)</f>
        <v>45.2725</v>
      </c>
      <c r="BH602" s="9">
        <f>VLOOKUP(A602,Jogos!A:BN,66,0)</f>
        <v>30.0225</v>
      </c>
      <c r="BI602" s="9"/>
    </row>
    <row r="603" hidden="1">
      <c r="A603" s="2">
        <v>21.0</v>
      </c>
      <c r="B603" s="11" t="s">
        <v>121</v>
      </c>
      <c r="C603" s="2" t="s">
        <v>61</v>
      </c>
      <c r="D603" s="3">
        <v>45828.0</v>
      </c>
      <c r="E603" s="4">
        <v>0.5</v>
      </c>
      <c r="F603" s="5" t="str">
        <f>VLOOKUP(A603,Jogos!A:N,10,0)</f>
        <v>Afternoon</v>
      </c>
      <c r="G603" s="2" t="s">
        <v>686</v>
      </c>
      <c r="H603" s="6" t="str">
        <f>VLOOKUP(A603,Jogos!A:L,12,0)</f>
        <v>Open</v>
      </c>
      <c r="I603" s="6" t="str">
        <f>VLOOKUP(G603,'Estádios e Cidades'!A:B,2,0)</f>
        <v>Orlando</v>
      </c>
      <c r="J603" s="2" t="s">
        <v>441</v>
      </c>
      <c r="K603" s="2" t="str">
        <f>VLOOKUP(J603,Equipes!A:F,6,0)</f>
        <v>Temperate</v>
      </c>
      <c r="L603" s="2">
        <f>VLOOKUP(J603,Equipes!A:C,3,0)</f>
        <v>10</v>
      </c>
      <c r="M603" s="2" t="str">
        <f t="shared" si="4"/>
        <v>Round of 16</v>
      </c>
      <c r="N603" s="2" t="s">
        <v>124</v>
      </c>
      <c r="O603" s="2">
        <f>VLOOKUP(N603,Equipes!A:C,3,0)</f>
        <v>27</v>
      </c>
      <c r="P603" s="2" t="str">
        <f t="shared" si="5"/>
        <v>Group</v>
      </c>
      <c r="Q603" s="2">
        <f t="shared" si="6"/>
        <v>-17</v>
      </c>
      <c r="R603" s="2" t="str">
        <f>VLOOKUP(J603,Equipes!A:B,2,0)</f>
        <v>Benfica</v>
      </c>
      <c r="S603" s="6" t="s">
        <v>494</v>
      </c>
      <c r="T603" s="7">
        <v>18.0</v>
      </c>
      <c r="U603" s="7" t="s">
        <v>495</v>
      </c>
      <c r="V603" s="7" t="str">
        <f>VLOOKUP(U603,Jogadores!B:C,2,0)</f>
        <v>MF</v>
      </c>
      <c r="W603" s="8">
        <f>VLOOKUP(U603,Jogadores!B:D,3,0)</f>
        <v>25.58356164</v>
      </c>
      <c r="X603" s="7">
        <v>0.0</v>
      </c>
      <c r="Y603" s="7">
        <f>45+AB603</f>
        <v>98</v>
      </c>
      <c r="Z603" s="7">
        <f>VLOOKUP(A603,Jogos!A:L,3,0)</f>
        <v>54</v>
      </c>
      <c r="AA603" s="7">
        <f t="shared" si="7"/>
        <v>54</v>
      </c>
      <c r="AB603" s="7">
        <f>VLOOKUP(A603,Jogos!A:L,4,0)</f>
        <v>53</v>
      </c>
      <c r="AC603" s="7">
        <f t="shared" si="657"/>
        <v>53</v>
      </c>
      <c r="AD603" s="7"/>
      <c r="AE603" s="7"/>
      <c r="AF603" s="7">
        <f t="shared" si="9"/>
        <v>107</v>
      </c>
      <c r="AG603" s="7">
        <v>11992.4</v>
      </c>
      <c r="AH603" s="7">
        <v>4623.4</v>
      </c>
      <c r="AI603" s="7">
        <v>5433.7</v>
      </c>
      <c r="AJ603" s="7">
        <v>1539.5</v>
      </c>
      <c r="AK603" s="7">
        <v>346.4</v>
      </c>
      <c r="AL603" s="7">
        <v>49.4</v>
      </c>
      <c r="AM603" s="7">
        <v>128.0</v>
      </c>
      <c r="AN603" s="7">
        <v>31.0</v>
      </c>
      <c r="AO603" s="7">
        <v>28.0</v>
      </c>
      <c r="AP603" s="9">
        <f t="shared" ref="AP603:AR603" si="1882">AG603/$AF603</f>
        <v>112.0785047</v>
      </c>
      <c r="AQ603" s="9">
        <f t="shared" si="1882"/>
        <v>43.20934579</v>
      </c>
      <c r="AR603" s="9">
        <f t="shared" si="1882"/>
        <v>50.78224299</v>
      </c>
      <c r="AS603" s="9">
        <f t="shared" si="11"/>
        <v>93.99158879</v>
      </c>
      <c r="AT603" s="9">
        <f t="shared" ref="AT603:AV603" si="1883">AJ603/$AF603</f>
        <v>14.38785047</v>
      </c>
      <c r="AU603" s="9">
        <f t="shared" si="1883"/>
        <v>3.237383178</v>
      </c>
      <c r="AV603" s="9">
        <f t="shared" si="1883"/>
        <v>0.461682243</v>
      </c>
      <c r="AW603" s="9">
        <f t="shared" si="13"/>
        <v>3.699065421</v>
      </c>
      <c r="AX603" s="9">
        <f t="shared" ref="AX603:AY603" si="1884">AM603/$AF603</f>
        <v>1.196261682</v>
      </c>
      <c r="AY603" s="9">
        <f t="shared" si="1884"/>
        <v>0.2897196262</v>
      </c>
      <c r="AZ603" s="9">
        <f>VLOOKUP(A603,Jogos!A:BN,58,0)</f>
        <v>29.3875</v>
      </c>
      <c r="BA603" s="9">
        <f>VLOOKUP(A603,Jogos!A:BN,59,0)</f>
        <v>23.7125</v>
      </c>
      <c r="BB603" s="9">
        <f>VLOOKUP(A603,Jogos!A:BN,60,0)</f>
        <v>71</v>
      </c>
      <c r="BC603" s="9">
        <f>VLOOKUP(A603,Jogos!A:BN,61,0)</f>
        <v>29.3875</v>
      </c>
      <c r="BD603" s="9">
        <f>VLOOKUP(A603,Jogos!A:BN,62,0)</f>
        <v>752.7</v>
      </c>
      <c r="BE603" s="9">
        <f>VLOOKUP(A603,Jogos!A:BN,63,0)</f>
        <v>1.0775</v>
      </c>
      <c r="BF603" s="9">
        <f>VLOOKUP(A603,Jogos!A:BN,64,0)</f>
        <v>25.7575</v>
      </c>
      <c r="BG603" s="9">
        <f>VLOOKUP(A603,Jogos!A:BN,65,0)</f>
        <v>45.2725</v>
      </c>
      <c r="BH603" s="9">
        <f>VLOOKUP(A603,Jogos!A:BN,66,0)</f>
        <v>30.0225</v>
      </c>
      <c r="BI603" s="9"/>
    </row>
    <row r="604" hidden="1">
      <c r="A604" s="2">
        <v>21.0</v>
      </c>
      <c r="B604" s="11" t="s">
        <v>121</v>
      </c>
      <c r="C604" s="2" t="s">
        <v>61</v>
      </c>
      <c r="D604" s="3">
        <v>45828.0</v>
      </c>
      <c r="E604" s="4">
        <v>0.5</v>
      </c>
      <c r="F604" s="5" t="str">
        <f>VLOOKUP(A604,Jogos!A:N,10,0)</f>
        <v>Afternoon</v>
      </c>
      <c r="G604" s="2" t="s">
        <v>686</v>
      </c>
      <c r="H604" s="6" t="str">
        <f>VLOOKUP(A604,Jogos!A:L,12,0)</f>
        <v>Open</v>
      </c>
      <c r="I604" s="6" t="str">
        <f>VLOOKUP(G604,'Estádios e Cidades'!A:B,2,0)</f>
        <v>Orlando</v>
      </c>
      <c r="J604" s="2" t="s">
        <v>441</v>
      </c>
      <c r="K604" s="2" t="str">
        <f>VLOOKUP(J604,Equipes!A:F,6,0)</f>
        <v>Temperate</v>
      </c>
      <c r="L604" s="2">
        <f>VLOOKUP(J604,Equipes!A:C,3,0)</f>
        <v>10</v>
      </c>
      <c r="M604" s="2" t="str">
        <f t="shared" si="4"/>
        <v>Round of 16</v>
      </c>
      <c r="N604" s="2" t="s">
        <v>124</v>
      </c>
      <c r="O604" s="2">
        <f>VLOOKUP(N604,Equipes!A:C,3,0)</f>
        <v>27</v>
      </c>
      <c r="P604" s="2" t="str">
        <f t="shared" si="5"/>
        <v>Group</v>
      </c>
      <c r="Q604" s="2">
        <f t="shared" si="6"/>
        <v>-17</v>
      </c>
      <c r="R604" s="2" t="str">
        <f>VLOOKUP(J604,Equipes!A:B,2,0)</f>
        <v>Benfica</v>
      </c>
      <c r="S604" s="6" t="s">
        <v>498</v>
      </c>
      <c r="T604" s="7">
        <v>25.0</v>
      </c>
      <c r="U604" s="7" t="s">
        <v>499</v>
      </c>
      <c r="V604" s="7" t="str">
        <f>VLOOKUP(U604,Jogadores!B:C,2,0)</f>
        <v>FW</v>
      </c>
      <c r="W604" s="8">
        <f>VLOOKUP(U604,Jogadores!B:D,3,0)</f>
        <v>19.50136986</v>
      </c>
      <c r="X604" s="7">
        <v>0.0</v>
      </c>
      <c r="Y604" s="7">
        <v>71.0</v>
      </c>
      <c r="Z604" s="7">
        <f>VLOOKUP(A604,Jogos!A:L,3,0)</f>
        <v>54</v>
      </c>
      <c r="AA604" s="7">
        <f t="shared" si="7"/>
        <v>54</v>
      </c>
      <c r="AB604" s="7">
        <f>VLOOKUP(A604,Jogos!A:L,4,0)</f>
        <v>53</v>
      </c>
      <c r="AC604" s="7">
        <f t="shared" si="657"/>
        <v>26</v>
      </c>
      <c r="AD604" s="7"/>
      <c r="AE604" s="7"/>
      <c r="AF604" s="7">
        <f t="shared" si="9"/>
        <v>80</v>
      </c>
      <c r="AG604" s="7">
        <v>8464.0</v>
      </c>
      <c r="AH604" s="7">
        <v>3015.4</v>
      </c>
      <c r="AI604" s="7">
        <v>3915.5</v>
      </c>
      <c r="AJ604" s="7">
        <v>1068.2</v>
      </c>
      <c r="AK604" s="7">
        <v>368.0</v>
      </c>
      <c r="AL604" s="7">
        <v>96.9</v>
      </c>
      <c r="AM604" s="7">
        <v>95.0</v>
      </c>
      <c r="AN604" s="7">
        <v>30.0</v>
      </c>
      <c r="AO604" s="7">
        <v>30.8</v>
      </c>
      <c r="AP604" s="9">
        <f t="shared" ref="AP604:AR604" si="1885">AG604/$AF604</f>
        <v>105.8</v>
      </c>
      <c r="AQ604" s="9">
        <f t="shared" si="1885"/>
        <v>37.6925</v>
      </c>
      <c r="AR604" s="9">
        <f t="shared" si="1885"/>
        <v>48.94375</v>
      </c>
      <c r="AS604" s="9">
        <f t="shared" si="11"/>
        <v>86.63625</v>
      </c>
      <c r="AT604" s="9">
        <f t="shared" ref="AT604:AV604" si="1886">AJ604/$AF604</f>
        <v>13.3525</v>
      </c>
      <c r="AU604" s="9">
        <f t="shared" si="1886"/>
        <v>4.6</v>
      </c>
      <c r="AV604" s="9">
        <f t="shared" si="1886"/>
        <v>1.21125</v>
      </c>
      <c r="AW604" s="9">
        <f t="shared" si="13"/>
        <v>5.81125</v>
      </c>
      <c r="AX604" s="9">
        <f t="shared" ref="AX604:AY604" si="1887">AM604/$AF604</f>
        <v>1.1875</v>
      </c>
      <c r="AY604" s="9">
        <f t="shared" si="1887"/>
        <v>0.375</v>
      </c>
      <c r="AZ604" s="9">
        <f>VLOOKUP(A604,Jogos!A:BN,58,0)</f>
        <v>29.3875</v>
      </c>
      <c r="BA604" s="9">
        <f>VLOOKUP(A604,Jogos!A:BN,59,0)</f>
        <v>23.7125</v>
      </c>
      <c r="BB604" s="9">
        <f>VLOOKUP(A604,Jogos!A:BN,60,0)</f>
        <v>71</v>
      </c>
      <c r="BC604" s="9">
        <f>VLOOKUP(A604,Jogos!A:BN,61,0)</f>
        <v>29.3875</v>
      </c>
      <c r="BD604" s="9">
        <f>VLOOKUP(A604,Jogos!A:BN,62,0)</f>
        <v>752.7</v>
      </c>
      <c r="BE604" s="9">
        <f>VLOOKUP(A604,Jogos!A:BN,63,0)</f>
        <v>1.0775</v>
      </c>
      <c r="BF604" s="9">
        <f>VLOOKUP(A604,Jogos!A:BN,64,0)</f>
        <v>25.7575</v>
      </c>
      <c r="BG604" s="9">
        <f>VLOOKUP(A604,Jogos!A:BN,65,0)</f>
        <v>45.2725</v>
      </c>
      <c r="BH604" s="9">
        <f>VLOOKUP(A604,Jogos!A:BN,66,0)</f>
        <v>30.0225</v>
      </c>
      <c r="BI604" s="9"/>
    </row>
    <row r="605" hidden="1">
      <c r="A605" s="2">
        <v>21.0</v>
      </c>
      <c r="B605" s="11" t="s">
        <v>121</v>
      </c>
      <c r="C605" s="2" t="s">
        <v>61</v>
      </c>
      <c r="D605" s="3">
        <v>45828.0</v>
      </c>
      <c r="E605" s="4">
        <v>0.5</v>
      </c>
      <c r="F605" s="5" t="str">
        <f>VLOOKUP(A605,Jogos!A:N,10,0)</f>
        <v>Afternoon</v>
      </c>
      <c r="G605" s="2" t="s">
        <v>686</v>
      </c>
      <c r="H605" s="6" t="str">
        <f>VLOOKUP(A605,Jogos!A:L,12,0)</f>
        <v>Open</v>
      </c>
      <c r="I605" s="6" t="str">
        <f>VLOOKUP(G605,'Estádios e Cidades'!A:B,2,0)</f>
        <v>Orlando</v>
      </c>
      <c r="J605" s="2" t="s">
        <v>441</v>
      </c>
      <c r="K605" s="2" t="str">
        <f>VLOOKUP(J605,Equipes!A:F,6,0)</f>
        <v>Temperate</v>
      </c>
      <c r="L605" s="2">
        <f>VLOOKUP(J605,Equipes!A:C,3,0)</f>
        <v>10</v>
      </c>
      <c r="M605" s="2" t="str">
        <f t="shared" si="4"/>
        <v>Round of 16</v>
      </c>
      <c r="N605" s="2" t="s">
        <v>124</v>
      </c>
      <c r="O605" s="2">
        <f>VLOOKUP(N605,Equipes!A:C,3,0)</f>
        <v>27</v>
      </c>
      <c r="P605" s="2" t="str">
        <f t="shared" si="5"/>
        <v>Group</v>
      </c>
      <c r="Q605" s="2">
        <f t="shared" si="6"/>
        <v>-17</v>
      </c>
      <c r="R605" s="2" t="str">
        <f>VLOOKUP(J605,Equipes!A:B,2,0)</f>
        <v>Benfica</v>
      </c>
      <c r="S605" s="6" t="s">
        <v>484</v>
      </c>
      <c r="T605" s="7">
        <v>30.0</v>
      </c>
      <c r="U605" s="7" t="s">
        <v>485</v>
      </c>
      <c r="V605" s="7" t="str">
        <f>VLOOKUP(U605,Jogadores!B:C,2,0)</f>
        <v>DF</v>
      </c>
      <c r="W605" s="8">
        <f>VLOOKUP(U605,Jogadores!B:D,3,0)</f>
        <v>37.48219178</v>
      </c>
      <c r="X605" s="7">
        <v>0.0</v>
      </c>
      <c r="Y605" s="7">
        <f t="shared" ref="Y605:Y611" si="1891">45+AB605</f>
        <v>98</v>
      </c>
      <c r="Z605" s="7">
        <f>VLOOKUP(A605,Jogos!A:L,3,0)</f>
        <v>54</v>
      </c>
      <c r="AA605" s="7">
        <f t="shared" si="7"/>
        <v>54</v>
      </c>
      <c r="AB605" s="7">
        <f>VLOOKUP(A605,Jogos!A:L,4,0)</f>
        <v>53</v>
      </c>
      <c r="AC605" s="7">
        <f t="shared" si="657"/>
        <v>53</v>
      </c>
      <c r="AD605" s="7"/>
      <c r="AE605" s="7"/>
      <c r="AF605" s="7">
        <f t="shared" si="9"/>
        <v>107</v>
      </c>
      <c r="AG605" s="7">
        <v>9768.1</v>
      </c>
      <c r="AH605" s="7">
        <v>4296.5</v>
      </c>
      <c r="AI605" s="7">
        <v>3621.1</v>
      </c>
      <c r="AJ605" s="7">
        <v>1232.2</v>
      </c>
      <c r="AK605" s="7">
        <v>501.2</v>
      </c>
      <c r="AL605" s="7">
        <v>117.0</v>
      </c>
      <c r="AM605" s="7">
        <v>107.0</v>
      </c>
      <c r="AN605" s="7">
        <v>35.0</v>
      </c>
      <c r="AO605" s="7">
        <v>29.3</v>
      </c>
      <c r="AP605" s="9">
        <f t="shared" ref="AP605:AR605" si="1888">AG605/$AF605</f>
        <v>91.29065421</v>
      </c>
      <c r="AQ605" s="9">
        <f t="shared" si="1888"/>
        <v>40.15420561</v>
      </c>
      <c r="AR605" s="9">
        <f t="shared" si="1888"/>
        <v>33.84205607</v>
      </c>
      <c r="AS605" s="9">
        <f t="shared" si="11"/>
        <v>73.99626168</v>
      </c>
      <c r="AT605" s="9">
        <f t="shared" ref="AT605:AV605" si="1889">AJ605/$AF605</f>
        <v>11.51588785</v>
      </c>
      <c r="AU605" s="9">
        <f t="shared" si="1889"/>
        <v>4.68411215</v>
      </c>
      <c r="AV605" s="9">
        <f t="shared" si="1889"/>
        <v>1.093457944</v>
      </c>
      <c r="AW605" s="9">
        <f t="shared" si="13"/>
        <v>5.777570093</v>
      </c>
      <c r="AX605" s="9">
        <f t="shared" ref="AX605:AY605" si="1890">AM605/$AF605</f>
        <v>1</v>
      </c>
      <c r="AY605" s="9">
        <f t="shared" si="1890"/>
        <v>0.3271028037</v>
      </c>
      <c r="AZ605" s="9">
        <f>VLOOKUP(A605,Jogos!A:BN,58,0)</f>
        <v>29.3875</v>
      </c>
      <c r="BA605" s="9">
        <f>VLOOKUP(A605,Jogos!A:BN,59,0)</f>
        <v>23.7125</v>
      </c>
      <c r="BB605" s="9">
        <f>VLOOKUP(A605,Jogos!A:BN,60,0)</f>
        <v>71</v>
      </c>
      <c r="BC605" s="9">
        <f>VLOOKUP(A605,Jogos!A:BN,61,0)</f>
        <v>29.3875</v>
      </c>
      <c r="BD605" s="9">
        <f>VLOOKUP(A605,Jogos!A:BN,62,0)</f>
        <v>752.7</v>
      </c>
      <c r="BE605" s="9">
        <f>VLOOKUP(A605,Jogos!A:BN,63,0)</f>
        <v>1.0775</v>
      </c>
      <c r="BF605" s="9">
        <f>VLOOKUP(A605,Jogos!A:BN,64,0)</f>
        <v>25.7575</v>
      </c>
      <c r="BG605" s="9">
        <f>VLOOKUP(A605,Jogos!A:BN,65,0)</f>
        <v>45.2725</v>
      </c>
      <c r="BH605" s="9">
        <f>VLOOKUP(A605,Jogos!A:BN,66,0)</f>
        <v>30.0225</v>
      </c>
      <c r="BI605" s="9"/>
    </row>
    <row r="606" hidden="1">
      <c r="A606" s="2">
        <v>21.0</v>
      </c>
      <c r="B606" s="11" t="s">
        <v>121</v>
      </c>
      <c r="C606" s="2" t="s">
        <v>61</v>
      </c>
      <c r="D606" s="3">
        <v>45828.0</v>
      </c>
      <c r="E606" s="4">
        <v>0.5</v>
      </c>
      <c r="F606" s="5" t="str">
        <f>VLOOKUP(A606,Jogos!A:N,10,0)</f>
        <v>Afternoon</v>
      </c>
      <c r="G606" s="2" t="s">
        <v>686</v>
      </c>
      <c r="H606" s="6" t="str">
        <f>VLOOKUP(A606,Jogos!A:L,12,0)</f>
        <v>Open</v>
      </c>
      <c r="I606" s="6" t="str">
        <f>VLOOKUP(G606,'Estádios e Cidades'!A:B,2,0)</f>
        <v>Orlando</v>
      </c>
      <c r="J606" s="2" t="s">
        <v>441</v>
      </c>
      <c r="K606" s="2" t="str">
        <f>VLOOKUP(J606,Equipes!A:F,6,0)</f>
        <v>Temperate</v>
      </c>
      <c r="L606" s="2">
        <f>VLOOKUP(J606,Equipes!A:C,3,0)</f>
        <v>10</v>
      </c>
      <c r="M606" s="2" t="str">
        <f t="shared" si="4"/>
        <v>Round of 16</v>
      </c>
      <c r="N606" s="2" t="s">
        <v>124</v>
      </c>
      <c r="O606" s="2">
        <f>VLOOKUP(N606,Equipes!A:C,3,0)</f>
        <v>27</v>
      </c>
      <c r="P606" s="2" t="str">
        <f t="shared" si="5"/>
        <v>Group</v>
      </c>
      <c r="Q606" s="2">
        <f t="shared" si="6"/>
        <v>-17</v>
      </c>
      <c r="R606" s="2" t="str">
        <f>VLOOKUP(J606,Equipes!A:B,2,0)</f>
        <v>Benfica</v>
      </c>
      <c r="S606" s="6" t="s">
        <v>1103</v>
      </c>
      <c r="T606" s="7">
        <v>21.0</v>
      </c>
      <c r="U606" s="7" t="s">
        <v>1104</v>
      </c>
      <c r="V606" s="7" t="str">
        <f>VLOOKUP(U606,Jogadores!B:C,2,0)</f>
        <v>FW</v>
      </c>
      <c r="W606" s="8">
        <f>VLOOKUP(U606,Jogadores!B:D,3,0)</f>
        <v>21.16986301</v>
      </c>
      <c r="X606" s="7">
        <v>62.0</v>
      </c>
      <c r="Y606" s="7">
        <f t="shared" si="1891"/>
        <v>98</v>
      </c>
      <c r="Z606" s="7">
        <f>VLOOKUP(A606,Jogos!A:L,3,0)</f>
        <v>54</v>
      </c>
      <c r="AA606" s="7">
        <f t="shared" si="7"/>
        <v>0</v>
      </c>
      <c r="AB606" s="7">
        <f>VLOOKUP(A606,Jogos!A:L,4,0)</f>
        <v>53</v>
      </c>
      <c r="AC606" s="7">
        <f t="shared" si="657"/>
        <v>36</v>
      </c>
      <c r="AD606" s="7"/>
      <c r="AE606" s="7"/>
      <c r="AF606" s="7">
        <f t="shared" si="9"/>
        <v>36</v>
      </c>
      <c r="AG606" s="7">
        <v>4486.2</v>
      </c>
      <c r="AH606" s="7">
        <v>1550.5</v>
      </c>
      <c r="AI606" s="7">
        <v>1884.5</v>
      </c>
      <c r="AJ606" s="7">
        <v>654.3</v>
      </c>
      <c r="AK606" s="7">
        <v>297.4</v>
      </c>
      <c r="AL606" s="7">
        <v>99.5</v>
      </c>
      <c r="AM606" s="7">
        <v>55.0</v>
      </c>
      <c r="AN606" s="7">
        <v>25.0</v>
      </c>
      <c r="AO606" s="7">
        <v>31.8</v>
      </c>
      <c r="AP606" s="9">
        <f t="shared" ref="AP606:AR606" si="1892">AG606/$AF606</f>
        <v>124.6166667</v>
      </c>
      <c r="AQ606" s="9">
        <f t="shared" si="1892"/>
        <v>43.06944444</v>
      </c>
      <c r="AR606" s="9">
        <f t="shared" si="1892"/>
        <v>52.34722222</v>
      </c>
      <c r="AS606" s="9">
        <f t="shared" si="11"/>
        <v>95.41666667</v>
      </c>
      <c r="AT606" s="9">
        <f t="shared" ref="AT606:AV606" si="1893">AJ606/$AF606</f>
        <v>18.175</v>
      </c>
      <c r="AU606" s="9">
        <f t="shared" si="1893"/>
        <v>8.261111111</v>
      </c>
      <c r="AV606" s="9">
        <f t="shared" si="1893"/>
        <v>2.763888889</v>
      </c>
      <c r="AW606" s="9">
        <f t="shared" si="13"/>
        <v>11.025</v>
      </c>
      <c r="AX606" s="9">
        <f t="shared" ref="AX606:AY606" si="1894">AM606/$AF606</f>
        <v>1.527777778</v>
      </c>
      <c r="AY606" s="9">
        <f t="shared" si="1894"/>
        <v>0.6944444444</v>
      </c>
      <c r="AZ606" s="9">
        <f>VLOOKUP(A606,Jogos!A:BN,58,0)</f>
        <v>29.3875</v>
      </c>
      <c r="BA606" s="9">
        <f>VLOOKUP(A606,Jogos!A:BN,59,0)</f>
        <v>23.7125</v>
      </c>
      <c r="BB606" s="9">
        <f>VLOOKUP(A606,Jogos!A:BN,60,0)</f>
        <v>71</v>
      </c>
      <c r="BC606" s="9">
        <f>VLOOKUP(A606,Jogos!A:BN,61,0)</f>
        <v>29.3875</v>
      </c>
      <c r="BD606" s="9">
        <f>VLOOKUP(A606,Jogos!A:BN,62,0)</f>
        <v>752.7</v>
      </c>
      <c r="BE606" s="9">
        <f>VLOOKUP(A606,Jogos!A:BN,63,0)</f>
        <v>1.0775</v>
      </c>
      <c r="BF606" s="9">
        <f>VLOOKUP(A606,Jogos!A:BN,64,0)</f>
        <v>25.7575</v>
      </c>
      <c r="BG606" s="9">
        <f>VLOOKUP(A606,Jogos!A:BN,65,0)</f>
        <v>45.2725</v>
      </c>
      <c r="BH606" s="9">
        <f>VLOOKUP(A606,Jogos!A:BN,66,0)</f>
        <v>30.0225</v>
      </c>
      <c r="BI606" s="9"/>
    </row>
    <row r="607" hidden="1">
      <c r="A607" s="2">
        <v>21.0</v>
      </c>
      <c r="B607" s="11" t="s">
        <v>121</v>
      </c>
      <c r="C607" s="2" t="s">
        <v>61</v>
      </c>
      <c r="D607" s="3">
        <v>45828.0</v>
      </c>
      <c r="E607" s="4">
        <v>0.5</v>
      </c>
      <c r="F607" s="5" t="str">
        <f>VLOOKUP(A607,Jogos!A:N,10,0)</f>
        <v>Afternoon</v>
      </c>
      <c r="G607" s="2" t="s">
        <v>686</v>
      </c>
      <c r="H607" s="6" t="str">
        <f>VLOOKUP(A607,Jogos!A:L,12,0)</f>
        <v>Open</v>
      </c>
      <c r="I607" s="6" t="str">
        <f>VLOOKUP(G607,'Estádios e Cidades'!A:B,2,0)</f>
        <v>Orlando</v>
      </c>
      <c r="J607" s="2" t="s">
        <v>441</v>
      </c>
      <c r="K607" s="2" t="str">
        <f>VLOOKUP(J607,Equipes!A:F,6,0)</f>
        <v>Temperate</v>
      </c>
      <c r="L607" s="2">
        <f>VLOOKUP(J607,Equipes!A:C,3,0)</f>
        <v>10</v>
      </c>
      <c r="M607" s="2" t="str">
        <f t="shared" si="4"/>
        <v>Round of 16</v>
      </c>
      <c r="N607" s="2" t="s">
        <v>124</v>
      </c>
      <c r="O607" s="2">
        <f>VLOOKUP(N607,Equipes!A:C,3,0)</f>
        <v>27</v>
      </c>
      <c r="P607" s="2" t="str">
        <f t="shared" si="5"/>
        <v>Group</v>
      </c>
      <c r="Q607" s="2">
        <f t="shared" si="6"/>
        <v>-17</v>
      </c>
      <c r="R607" s="2" t="str">
        <f>VLOOKUP(J607,Equipes!A:B,2,0)</f>
        <v>Benfica</v>
      </c>
      <c r="S607" s="6" t="s">
        <v>480</v>
      </c>
      <c r="T607" s="7">
        <v>26.0</v>
      </c>
      <c r="U607" s="7" t="s">
        <v>481</v>
      </c>
      <c r="V607" s="7" t="str">
        <f>VLOOKUP(U607,Jogadores!B:C,2,0)</f>
        <v>DF</v>
      </c>
      <c r="W607" s="8">
        <f>VLOOKUP(U607,Jogadores!B:D,3,0)</f>
        <v>22.41643836</v>
      </c>
      <c r="X607" s="7">
        <v>45.0</v>
      </c>
      <c r="Y607" s="7">
        <f t="shared" si="1891"/>
        <v>98</v>
      </c>
      <c r="Z607" s="7">
        <f>VLOOKUP(A607,Jogos!A:L,3,0)</f>
        <v>54</v>
      </c>
      <c r="AA607" s="7">
        <f t="shared" si="7"/>
        <v>0</v>
      </c>
      <c r="AB607" s="7">
        <f>VLOOKUP(A607,Jogos!A:L,4,0)</f>
        <v>53</v>
      </c>
      <c r="AC607" s="7">
        <f t="shared" si="657"/>
        <v>53</v>
      </c>
      <c r="AD607" s="7"/>
      <c r="AE607" s="7"/>
      <c r="AF607" s="7">
        <f t="shared" si="9"/>
        <v>53</v>
      </c>
      <c r="AG607" s="7">
        <v>5769.5</v>
      </c>
      <c r="AH607" s="7">
        <v>2002.3</v>
      </c>
      <c r="AI607" s="7">
        <v>2348.5</v>
      </c>
      <c r="AJ607" s="7">
        <v>970.4</v>
      </c>
      <c r="AK607" s="7">
        <v>380.8</v>
      </c>
      <c r="AL607" s="7">
        <v>67.5</v>
      </c>
      <c r="AM607" s="7">
        <v>79.0</v>
      </c>
      <c r="AN607" s="7">
        <v>31.0</v>
      </c>
      <c r="AO607" s="7">
        <v>28.9</v>
      </c>
      <c r="AP607" s="9">
        <f t="shared" ref="AP607:AR607" si="1895">AG607/$AF607</f>
        <v>108.8584906</v>
      </c>
      <c r="AQ607" s="9">
        <f t="shared" si="1895"/>
        <v>37.77924528</v>
      </c>
      <c r="AR607" s="9">
        <f t="shared" si="1895"/>
        <v>44.31132075</v>
      </c>
      <c r="AS607" s="9">
        <f t="shared" si="11"/>
        <v>82.09056604</v>
      </c>
      <c r="AT607" s="9">
        <f t="shared" ref="AT607:AV607" si="1896">AJ607/$AF607</f>
        <v>18.30943396</v>
      </c>
      <c r="AU607" s="9">
        <f t="shared" si="1896"/>
        <v>7.18490566</v>
      </c>
      <c r="AV607" s="9">
        <f t="shared" si="1896"/>
        <v>1.273584906</v>
      </c>
      <c r="AW607" s="9">
        <f t="shared" si="13"/>
        <v>8.458490566</v>
      </c>
      <c r="AX607" s="9">
        <f t="shared" ref="AX607:AY607" si="1897">AM607/$AF607</f>
        <v>1.490566038</v>
      </c>
      <c r="AY607" s="9">
        <f t="shared" si="1897"/>
        <v>0.5849056604</v>
      </c>
      <c r="AZ607" s="9">
        <f>VLOOKUP(A607,Jogos!A:BN,58,0)</f>
        <v>29.3875</v>
      </c>
      <c r="BA607" s="9">
        <f>VLOOKUP(A607,Jogos!A:BN,59,0)</f>
        <v>23.7125</v>
      </c>
      <c r="BB607" s="9">
        <f>VLOOKUP(A607,Jogos!A:BN,60,0)</f>
        <v>71</v>
      </c>
      <c r="BC607" s="9">
        <f>VLOOKUP(A607,Jogos!A:BN,61,0)</f>
        <v>29.3875</v>
      </c>
      <c r="BD607" s="9">
        <f>VLOOKUP(A607,Jogos!A:BN,62,0)</f>
        <v>752.7</v>
      </c>
      <c r="BE607" s="9">
        <f>VLOOKUP(A607,Jogos!A:BN,63,0)</f>
        <v>1.0775</v>
      </c>
      <c r="BF607" s="9">
        <f>VLOOKUP(A607,Jogos!A:BN,64,0)</f>
        <v>25.7575</v>
      </c>
      <c r="BG607" s="9">
        <f>VLOOKUP(A607,Jogos!A:BN,65,0)</f>
        <v>45.2725</v>
      </c>
      <c r="BH607" s="9">
        <f>VLOOKUP(A607,Jogos!A:BN,66,0)</f>
        <v>30.0225</v>
      </c>
      <c r="BI607" s="9"/>
    </row>
    <row r="608" hidden="1">
      <c r="A608" s="2">
        <v>21.0</v>
      </c>
      <c r="B608" s="11" t="s">
        <v>121</v>
      </c>
      <c r="C608" s="2" t="s">
        <v>61</v>
      </c>
      <c r="D608" s="3">
        <v>45828.0</v>
      </c>
      <c r="E608" s="4">
        <v>0.5</v>
      </c>
      <c r="F608" s="5" t="str">
        <f>VLOOKUP(A608,Jogos!A:N,10,0)</f>
        <v>Afternoon</v>
      </c>
      <c r="G608" s="2" t="s">
        <v>686</v>
      </c>
      <c r="H608" s="6" t="str">
        <f>VLOOKUP(A608,Jogos!A:L,12,0)</f>
        <v>Open</v>
      </c>
      <c r="I608" s="6" t="str">
        <f>VLOOKUP(G608,'Estádios e Cidades'!A:B,2,0)</f>
        <v>Orlando</v>
      </c>
      <c r="J608" s="2" t="s">
        <v>441</v>
      </c>
      <c r="K608" s="2" t="str">
        <f>VLOOKUP(J608,Equipes!A:F,6,0)</f>
        <v>Temperate</v>
      </c>
      <c r="L608" s="2">
        <f>VLOOKUP(J608,Equipes!A:C,3,0)</f>
        <v>10</v>
      </c>
      <c r="M608" s="2" t="str">
        <f t="shared" si="4"/>
        <v>Round of 16</v>
      </c>
      <c r="N608" s="2" t="s">
        <v>124</v>
      </c>
      <c r="O608" s="2">
        <f>VLOOKUP(N608,Equipes!A:C,3,0)</f>
        <v>27</v>
      </c>
      <c r="P608" s="2" t="str">
        <f t="shared" si="5"/>
        <v>Group</v>
      </c>
      <c r="Q608" s="2">
        <f t="shared" si="6"/>
        <v>-17</v>
      </c>
      <c r="R608" s="2" t="str">
        <f>VLOOKUP(J608,Equipes!A:B,2,0)</f>
        <v>Benfica</v>
      </c>
      <c r="S608" s="6" t="s">
        <v>1105</v>
      </c>
      <c r="T608" s="7">
        <v>47.0</v>
      </c>
      <c r="U608" s="7" t="s">
        <v>1106</v>
      </c>
      <c r="V608" s="7" t="str">
        <f>VLOOKUP(U608,Jogadores!B:C,2,0)</f>
        <v>FW</v>
      </c>
      <c r="W608" s="8">
        <f>VLOOKUP(U608,Jogadores!B:D,3,0)</f>
        <v>24.1260274</v>
      </c>
      <c r="X608" s="7">
        <v>71.0</v>
      </c>
      <c r="Y608" s="7">
        <f t="shared" si="1891"/>
        <v>98</v>
      </c>
      <c r="Z608" s="7">
        <f>VLOOKUP(A608,Jogos!A:L,3,0)</f>
        <v>54</v>
      </c>
      <c r="AA608" s="7">
        <f t="shared" si="7"/>
        <v>0</v>
      </c>
      <c r="AB608" s="7">
        <f>VLOOKUP(A608,Jogos!A:L,4,0)</f>
        <v>53</v>
      </c>
      <c r="AC608" s="7">
        <f t="shared" si="657"/>
        <v>27</v>
      </c>
      <c r="AD608" s="7"/>
      <c r="AE608" s="7"/>
      <c r="AF608" s="7">
        <f t="shared" si="9"/>
        <v>27</v>
      </c>
      <c r="AG608" s="7">
        <v>3059.9</v>
      </c>
      <c r="AH608" s="7">
        <v>1050.4</v>
      </c>
      <c r="AI608" s="7">
        <v>1169.4</v>
      </c>
      <c r="AJ608" s="7">
        <v>464.3</v>
      </c>
      <c r="AK608" s="7">
        <v>207.1</v>
      </c>
      <c r="AL608" s="7">
        <v>168.8</v>
      </c>
      <c r="AM608" s="7">
        <v>37.0</v>
      </c>
      <c r="AN608" s="7">
        <v>23.0</v>
      </c>
      <c r="AO608" s="7">
        <v>31.5</v>
      </c>
      <c r="AP608" s="9">
        <f t="shared" ref="AP608:AR608" si="1898">AG608/$AF608</f>
        <v>113.3296296</v>
      </c>
      <c r="AQ608" s="9">
        <f t="shared" si="1898"/>
        <v>38.9037037</v>
      </c>
      <c r="AR608" s="9">
        <f t="shared" si="1898"/>
        <v>43.31111111</v>
      </c>
      <c r="AS608" s="9">
        <f t="shared" si="11"/>
        <v>82.21481481</v>
      </c>
      <c r="AT608" s="9">
        <f t="shared" ref="AT608:AV608" si="1899">AJ608/$AF608</f>
        <v>17.1962963</v>
      </c>
      <c r="AU608" s="9">
        <f t="shared" si="1899"/>
        <v>7.67037037</v>
      </c>
      <c r="AV608" s="9">
        <f t="shared" si="1899"/>
        <v>6.251851852</v>
      </c>
      <c r="AW608" s="9">
        <f t="shared" si="13"/>
        <v>13.92222222</v>
      </c>
      <c r="AX608" s="9">
        <f t="shared" ref="AX608:AY608" si="1900">AM608/$AF608</f>
        <v>1.37037037</v>
      </c>
      <c r="AY608" s="9">
        <f t="shared" si="1900"/>
        <v>0.8518518519</v>
      </c>
      <c r="AZ608" s="9">
        <f>VLOOKUP(A608,Jogos!A:BN,58,0)</f>
        <v>29.3875</v>
      </c>
      <c r="BA608" s="9">
        <f>VLOOKUP(A608,Jogos!A:BN,59,0)</f>
        <v>23.7125</v>
      </c>
      <c r="BB608" s="9">
        <f>VLOOKUP(A608,Jogos!A:BN,60,0)</f>
        <v>71</v>
      </c>
      <c r="BC608" s="9">
        <f>VLOOKUP(A608,Jogos!A:BN,61,0)</f>
        <v>29.3875</v>
      </c>
      <c r="BD608" s="9">
        <f>VLOOKUP(A608,Jogos!A:BN,62,0)</f>
        <v>752.7</v>
      </c>
      <c r="BE608" s="9">
        <f>VLOOKUP(A608,Jogos!A:BN,63,0)</f>
        <v>1.0775</v>
      </c>
      <c r="BF608" s="9">
        <f>VLOOKUP(A608,Jogos!A:BN,64,0)</f>
        <v>25.7575</v>
      </c>
      <c r="BG608" s="9">
        <f>VLOOKUP(A608,Jogos!A:BN,65,0)</f>
        <v>45.2725</v>
      </c>
      <c r="BH608" s="9">
        <f>VLOOKUP(A608,Jogos!A:BN,66,0)</f>
        <v>30.0225</v>
      </c>
      <c r="BI608" s="9"/>
    </row>
    <row r="609" hidden="1">
      <c r="A609" s="2">
        <v>21.0</v>
      </c>
      <c r="B609" s="11" t="s">
        <v>121</v>
      </c>
      <c r="C609" s="2" t="s">
        <v>61</v>
      </c>
      <c r="D609" s="3">
        <v>45828.0</v>
      </c>
      <c r="E609" s="4">
        <v>0.5</v>
      </c>
      <c r="F609" s="5" t="str">
        <f>VLOOKUP(A609,Jogos!A:N,10,0)</f>
        <v>Afternoon</v>
      </c>
      <c r="G609" s="2" t="s">
        <v>686</v>
      </c>
      <c r="H609" s="6" t="str">
        <f>VLOOKUP(A609,Jogos!A:L,12,0)</f>
        <v>Open</v>
      </c>
      <c r="I609" s="6" t="str">
        <f>VLOOKUP(G609,'Estádios e Cidades'!A:B,2,0)</f>
        <v>Orlando</v>
      </c>
      <c r="J609" s="2" t="s">
        <v>441</v>
      </c>
      <c r="K609" s="2" t="str">
        <f>VLOOKUP(J609,Equipes!A:F,6,0)</f>
        <v>Temperate</v>
      </c>
      <c r="L609" s="2">
        <f>VLOOKUP(J609,Equipes!A:C,3,0)</f>
        <v>10</v>
      </c>
      <c r="M609" s="2" t="str">
        <f t="shared" si="4"/>
        <v>Round of 16</v>
      </c>
      <c r="N609" s="2" t="s">
        <v>124</v>
      </c>
      <c r="O609" s="2">
        <f>VLOOKUP(N609,Equipes!A:C,3,0)</f>
        <v>27</v>
      </c>
      <c r="P609" s="2" t="str">
        <f t="shared" si="5"/>
        <v>Group</v>
      </c>
      <c r="Q609" s="2">
        <f t="shared" si="6"/>
        <v>-17</v>
      </c>
      <c r="R609" s="2" t="str">
        <f>VLOOKUP(J609,Equipes!A:B,2,0)</f>
        <v>Benfica</v>
      </c>
      <c r="S609" s="6" t="s">
        <v>1107</v>
      </c>
      <c r="T609" s="7">
        <v>81.0</v>
      </c>
      <c r="U609" s="7" t="s">
        <v>1108</v>
      </c>
      <c r="V609" s="7" t="str">
        <f>VLOOKUP(U609,Jogadores!B:C,2,0)</f>
        <v>DF</v>
      </c>
      <c r="W609" s="8">
        <f>VLOOKUP(U609,Jogadores!B:D,3,0)</f>
        <v>23.32876712</v>
      </c>
      <c r="X609" s="7">
        <v>86.0</v>
      </c>
      <c r="Y609" s="7">
        <f t="shared" si="1891"/>
        <v>98</v>
      </c>
      <c r="Z609" s="7">
        <f>VLOOKUP(A609,Jogos!A:L,3,0)</f>
        <v>54</v>
      </c>
      <c r="AA609" s="7">
        <f t="shared" si="7"/>
        <v>0</v>
      </c>
      <c r="AB609" s="7">
        <f>VLOOKUP(A609,Jogos!A:L,4,0)</f>
        <v>53</v>
      </c>
      <c r="AC609" s="7">
        <f t="shared" si="657"/>
        <v>12</v>
      </c>
      <c r="AD609" s="7"/>
      <c r="AE609" s="7"/>
      <c r="AF609" s="7">
        <f t="shared" si="9"/>
        <v>12</v>
      </c>
      <c r="AG609" s="7">
        <v>1141.3</v>
      </c>
      <c r="AH609" s="7">
        <v>355.1</v>
      </c>
      <c r="AI609" s="7">
        <v>544.5</v>
      </c>
      <c r="AJ609" s="7">
        <v>203.9</v>
      </c>
      <c r="AK609" s="7">
        <v>37.8</v>
      </c>
      <c r="AL609" s="7">
        <v>19.0</v>
      </c>
      <c r="AM609" s="7">
        <v>3.0</v>
      </c>
      <c r="AN609" s="7">
        <v>23.7</v>
      </c>
      <c r="AO609" s="7"/>
      <c r="AP609" s="9">
        <f t="shared" ref="AP609:AR609" si="1901">AG609/$AF609</f>
        <v>95.10833333</v>
      </c>
      <c r="AQ609" s="9">
        <f t="shared" si="1901"/>
        <v>29.59166667</v>
      </c>
      <c r="AR609" s="9">
        <f t="shared" si="1901"/>
        <v>45.375</v>
      </c>
      <c r="AS609" s="9">
        <f t="shared" si="11"/>
        <v>74.96666667</v>
      </c>
      <c r="AT609" s="9">
        <f t="shared" ref="AT609:AV609" si="1902">AJ609/$AF609</f>
        <v>16.99166667</v>
      </c>
      <c r="AU609" s="9">
        <f t="shared" si="1902"/>
        <v>3.15</v>
      </c>
      <c r="AV609" s="9">
        <f t="shared" si="1902"/>
        <v>1.583333333</v>
      </c>
      <c r="AW609" s="9">
        <f t="shared" si="13"/>
        <v>4.733333333</v>
      </c>
      <c r="AX609" s="9">
        <f t="shared" ref="AX609:AY609" si="1903">AM609/$AF609</f>
        <v>0.25</v>
      </c>
      <c r="AY609" s="9">
        <f t="shared" si="1903"/>
        <v>1.975</v>
      </c>
      <c r="AZ609" s="9">
        <f>VLOOKUP(A609,Jogos!A:BN,58,0)</f>
        <v>29.3875</v>
      </c>
      <c r="BA609" s="9">
        <f>VLOOKUP(A609,Jogos!A:BN,59,0)</f>
        <v>23.7125</v>
      </c>
      <c r="BB609" s="9">
        <f>VLOOKUP(A609,Jogos!A:BN,60,0)</f>
        <v>71</v>
      </c>
      <c r="BC609" s="9">
        <f>VLOOKUP(A609,Jogos!A:BN,61,0)</f>
        <v>29.3875</v>
      </c>
      <c r="BD609" s="9">
        <f>VLOOKUP(A609,Jogos!A:BN,62,0)</f>
        <v>752.7</v>
      </c>
      <c r="BE609" s="9">
        <f>VLOOKUP(A609,Jogos!A:BN,63,0)</f>
        <v>1.0775</v>
      </c>
      <c r="BF609" s="9">
        <f>VLOOKUP(A609,Jogos!A:BN,64,0)</f>
        <v>25.7575</v>
      </c>
      <c r="BG609" s="9">
        <f>VLOOKUP(A609,Jogos!A:BN,65,0)</f>
        <v>45.2725</v>
      </c>
      <c r="BH609" s="9">
        <f>VLOOKUP(A609,Jogos!A:BN,66,0)</f>
        <v>30.0225</v>
      </c>
      <c r="BI609" s="9"/>
    </row>
    <row r="610" hidden="1">
      <c r="A610" s="2">
        <v>21.0</v>
      </c>
      <c r="B610" s="11" t="s">
        <v>121</v>
      </c>
      <c r="C610" s="2" t="s">
        <v>61</v>
      </c>
      <c r="D610" s="3">
        <v>45828.0</v>
      </c>
      <c r="E610" s="4">
        <v>0.5</v>
      </c>
      <c r="F610" s="5" t="str">
        <f>VLOOKUP(A610,Jogos!A:N,10,0)</f>
        <v>Afternoon</v>
      </c>
      <c r="G610" s="2" t="s">
        <v>686</v>
      </c>
      <c r="H610" s="6" t="str">
        <f>VLOOKUP(A610,Jogos!A:L,12,0)</f>
        <v>Open</v>
      </c>
      <c r="I610" s="6" t="str">
        <f>VLOOKUP(G610,'Estádios e Cidades'!A:B,2,0)</f>
        <v>Orlando</v>
      </c>
      <c r="J610" s="2" t="s">
        <v>441</v>
      </c>
      <c r="K610" s="2" t="str">
        <f>VLOOKUP(J610,Equipes!A:F,6,0)</f>
        <v>Temperate</v>
      </c>
      <c r="L610" s="2">
        <f>VLOOKUP(J610,Equipes!A:C,3,0)</f>
        <v>10</v>
      </c>
      <c r="M610" s="2" t="str">
        <f t="shared" si="4"/>
        <v>Round of 16</v>
      </c>
      <c r="N610" s="2" t="s">
        <v>124</v>
      </c>
      <c r="O610" s="2">
        <f>VLOOKUP(N610,Equipes!A:C,3,0)</f>
        <v>27</v>
      </c>
      <c r="P610" s="2" t="str">
        <f t="shared" si="5"/>
        <v>Group</v>
      </c>
      <c r="Q610" s="2">
        <f t="shared" si="6"/>
        <v>-17</v>
      </c>
      <c r="R610" s="2" t="str">
        <f>VLOOKUP(J610,Equipes!A:B,2,0)</f>
        <v>Benfica</v>
      </c>
      <c r="S610" s="6" t="s">
        <v>1109</v>
      </c>
      <c r="T610" s="7">
        <v>84.0</v>
      </c>
      <c r="U610" s="7" t="s">
        <v>1110</v>
      </c>
      <c r="V610" s="7" t="str">
        <f>VLOOKUP(U610,Jogadores!B:C,2,0)</f>
        <v>FW</v>
      </c>
      <c r="W610" s="8">
        <f>VLOOKUP(U610,Jogadores!B:D,3,0)</f>
        <v>20.11780822</v>
      </c>
      <c r="X610" s="7">
        <v>71.0</v>
      </c>
      <c r="Y610" s="7">
        <f t="shared" si="1891"/>
        <v>98</v>
      </c>
      <c r="Z610" s="7">
        <f>VLOOKUP(A610,Jogos!A:L,3,0)</f>
        <v>54</v>
      </c>
      <c r="AA610" s="7">
        <f t="shared" si="7"/>
        <v>0</v>
      </c>
      <c r="AB610" s="7">
        <f>VLOOKUP(A610,Jogos!A:L,4,0)</f>
        <v>53</v>
      </c>
      <c r="AC610" s="7">
        <f t="shared" si="657"/>
        <v>27</v>
      </c>
      <c r="AD610" s="7"/>
      <c r="AE610" s="7"/>
      <c r="AF610" s="7">
        <f t="shared" si="9"/>
        <v>27</v>
      </c>
      <c r="AG610" s="7">
        <v>3075.0</v>
      </c>
      <c r="AH610" s="7">
        <v>1016.5</v>
      </c>
      <c r="AI610" s="7">
        <v>1372.7</v>
      </c>
      <c r="AJ610" s="7">
        <v>475.2</v>
      </c>
      <c r="AK610" s="7">
        <v>158.9</v>
      </c>
      <c r="AL610" s="7">
        <v>51.8</v>
      </c>
      <c r="AM610" s="7">
        <v>40.0</v>
      </c>
      <c r="AN610" s="7">
        <v>14.0</v>
      </c>
      <c r="AO610" s="7">
        <v>29.6</v>
      </c>
      <c r="AP610" s="9">
        <f t="shared" ref="AP610:AR610" si="1904">AG610/$AF610</f>
        <v>113.8888889</v>
      </c>
      <c r="AQ610" s="9">
        <f t="shared" si="1904"/>
        <v>37.64814815</v>
      </c>
      <c r="AR610" s="9">
        <f t="shared" si="1904"/>
        <v>50.84074074</v>
      </c>
      <c r="AS610" s="9">
        <f t="shared" si="11"/>
        <v>88.48888889</v>
      </c>
      <c r="AT610" s="9">
        <f t="shared" ref="AT610:AV610" si="1905">AJ610/$AF610</f>
        <v>17.6</v>
      </c>
      <c r="AU610" s="9">
        <f t="shared" si="1905"/>
        <v>5.885185185</v>
      </c>
      <c r="AV610" s="9">
        <f t="shared" si="1905"/>
        <v>1.918518519</v>
      </c>
      <c r="AW610" s="9">
        <f t="shared" si="13"/>
        <v>7.803703704</v>
      </c>
      <c r="AX610" s="9">
        <f t="shared" ref="AX610:AY610" si="1906">AM610/$AF610</f>
        <v>1.481481481</v>
      </c>
      <c r="AY610" s="9">
        <f t="shared" si="1906"/>
        <v>0.5185185185</v>
      </c>
      <c r="AZ610" s="9">
        <f>VLOOKUP(A610,Jogos!A:BN,58,0)</f>
        <v>29.3875</v>
      </c>
      <c r="BA610" s="9">
        <f>VLOOKUP(A610,Jogos!A:BN,59,0)</f>
        <v>23.7125</v>
      </c>
      <c r="BB610" s="9">
        <f>VLOOKUP(A610,Jogos!A:BN,60,0)</f>
        <v>71</v>
      </c>
      <c r="BC610" s="9">
        <f>VLOOKUP(A610,Jogos!A:BN,61,0)</f>
        <v>29.3875</v>
      </c>
      <c r="BD610" s="9">
        <f>VLOOKUP(A610,Jogos!A:BN,62,0)</f>
        <v>752.7</v>
      </c>
      <c r="BE610" s="9">
        <f>VLOOKUP(A610,Jogos!A:BN,63,0)</f>
        <v>1.0775</v>
      </c>
      <c r="BF610" s="9">
        <f>VLOOKUP(A610,Jogos!A:BN,64,0)</f>
        <v>25.7575</v>
      </c>
      <c r="BG610" s="9">
        <f>VLOOKUP(A610,Jogos!A:BN,65,0)</f>
        <v>45.2725</v>
      </c>
      <c r="BH610" s="9">
        <f>VLOOKUP(A610,Jogos!A:BN,66,0)</f>
        <v>30.0225</v>
      </c>
      <c r="BI610" s="9"/>
    </row>
    <row r="611" hidden="1">
      <c r="A611" s="2">
        <v>21.0</v>
      </c>
      <c r="B611" s="11" t="s">
        <v>121</v>
      </c>
      <c r="C611" s="2" t="s">
        <v>61</v>
      </c>
      <c r="D611" s="3">
        <v>45828.0</v>
      </c>
      <c r="E611" s="4">
        <v>0.5</v>
      </c>
      <c r="F611" s="5" t="str">
        <f>VLOOKUP(A611,Jogos!A:N,10,0)</f>
        <v>Afternoon</v>
      </c>
      <c r="G611" s="2" t="s">
        <v>686</v>
      </c>
      <c r="H611" s="6" t="str">
        <f>VLOOKUP(A611,Jogos!A:L,12,0)</f>
        <v>Open</v>
      </c>
      <c r="I611" s="6" t="str">
        <f>VLOOKUP(G611,'Estádios e Cidades'!A:B,2,0)</f>
        <v>Orlando</v>
      </c>
      <c r="J611" s="2" t="s">
        <v>441</v>
      </c>
      <c r="K611" s="2" t="str">
        <f>VLOOKUP(J611,Equipes!A:F,6,0)</f>
        <v>Temperate</v>
      </c>
      <c r="L611" s="2">
        <f>VLOOKUP(J611,Equipes!A:C,3,0)</f>
        <v>10</v>
      </c>
      <c r="M611" s="2" t="str">
        <f t="shared" si="4"/>
        <v>Round of 16</v>
      </c>
      <c r="N611" s="2" t="s">
        <v>124</v>
      </c>
      <c r="O611" s="2">
        <f>VLOOKUP(N611,Equipes!A:C,3,0)</f>
        <v>27</v>
      </c>
      <c r="P611" s="2" t="str">
        <f t="shared" si="5"/>
        <v>Group</v>
      </c>
      <c r="Q611" s="2">
        <f t="shared" si="6"/>
        <v>-17</v>
      </c>
      <c r="R611" s="2" t="str">
        <f>VLOOKUP(J611,Equipes!A:B,2,0)</f>
        <v>Benfica</v>
      </c>
      <c r="S611" s="6" t="s">
        <v>488</v>
      </c>
      <c r="T611" s="7">
        <v>85.0</v>
      </c>
      <c r="U611" s="7" t="s">
        <v>489</v>
      </c>
      <c r="V611" s="7" t="str">
        <f>VLOOKUP(U611,Jogadores!B:C,2,0)</f>
        <v>MF</v>
      </c>
      <c r="W611" s="8">
        <f>VLOOKUP(U611,Jogadores!B:D,3,0)</f>
        <v>27.96164384</v>
      </c>
      <c r="X611" s="7">
        <v>61.0</v>
      </c>
      <c r="Y611" s="7">
        <f t="shared" si="1891"/>
        <v>98</v>
      </c>
      <c r="Z611" s="7">
        <f>VLOOKUP(A611,Jogos!A:L,3,0)</f>
        <v>54</v>
      </c>
      <c r="AA611" s="7">
        <f t="shared" si="7"/>
        <v>0</v>
      </c>
      <c r="AB611" s="7">
        <f>VLOOKUP(A611,Jogos!A:L,4,0)</f>
        <v>53</v>
      </c>
      <c r="AC611" s="7">
        <f t="shared" si="657"/>
        <v>37</v>
      </c>
      <c r="AD611" s="7"/>
      <c r="AE611" s="7"/>
      <c r="AF611" s="7">
        <f t="shared" si="9"/>
        <v>37</v>
      </c>
      <c r="AG611" s="7">
        <v>4149.8</v>
      </c>
      <c r="AH611" s="7">
        <v>1645.0</v>
      </c>
      <c r="AI611" s="7">
        <v>1620.4</v>
      </c>
      <c r="AJ611" s="7">
        <v>630.5</v>
      </c>
      <c r="AK611" s="7">
        <v>220.3</v>
      </c>
      <c r="AL611" s="7">
        <v>33.7</v>
      </c>
      <c r="AM611" s="7">
        <v>56.0</v>
      </c>
      <c r="AN611" s="7">
        <v>14.0</v>
      </c>
      <c r="AO611" s="7">
        <v>26.5</v>
      </c>
      <c r="AP611" s="9">
        <f t="shared" ref="AP611:AR611" si="1907">AG611/$AF611</f>
        <v>112.1567568</v>
      </c>
      <c r="AQ611" s="9">
        <f t="shared" si="1907"/>
        <v>44.45945946</v>
      </c>
      <c r="AR611" s="9">
        <f t="shared" si="1907"/>
        <v>43.79459459</v>
      </c>
      <c r="AS611" s="9">
        <f t="shared" si="11"/>
        <v>88.25405405</v>
      </c>
      <c r="AT611" s="9">
        <f t="shared" ref="AT611:AV611" si="1908">AJ611/$AF611</f>
        <v>17.04054054</v>
      </c>
      <c r="AU611" s="9">
        <f t="shared" si="1908"/>
        <v>5.954054054</v>
      </c>
      <c r="AV611" s="9">
        <f t="shared" si="1908"/>
        <v>0.9108108108</v>
      </c>
      <c r="AW611" s="9">
        <f t="shared" si="13"/>
        <v>6.864864865</v>
      </c>
      <c r="AX611" s="9">
        <f t="shared" ref="AX611:AY611" si="1909">AM611/$AF611</f>
        <v>1.513513514</v>
      </c>
      <c r="AY611" s="9">
        <f t="shared" si="1909"/>
        <v>0.3783783784</v>
      </c>
      <c r="AZ611" s="9">
        <f>VLOOKUP(A611,Jogos!A:BN,58,0)</f>
        <v>29.3875</v>
      </c>
      <c r="BA611" s="9">
        <f>VLOOKUP(A611,Jogos!A:BN,59,0)</f>
        <v>23.7125</v>
      </c>
      <c r="BB611" s="9">
        <f>VLOOKUP(A611,Jogos!A:BN,60,0)</f>
        <v>71</v>
      </c>
      <c r="BC611" s="9">
        <f>VLOOKUP(A611,Jogos!A:BN,61,0)</f>
        <v>29.3875</v>
      </c>
      <c r="BD611" s="9">
        <f>VLOOKUP(A611,Jogos!A:BN,62,0)</f>
        <v>752.7</v>
      </c>
      <c r="BE611" s="9">
        <f>VLOOKUP(A611,Jogos!A:BN,63,0)</f>
        <v>1.0775</v>
      </c>
      <c r="BF611" s="9">
        <f>VLOOKUP(A611,Jogos!A:BN,64,0)</f>
        <v>25.7575</v>
      </c>
      <c r="BG611" s="9">
        <f>VLOOKUP(A611,Jogos!A:BN,65,0)</f>
        <v>45.2725</v>
      </c>
      <c r="BH611" s="9">
        <f>VLOOKUP(A611,Jogos!A:BN,66,0)</f>
        <v>30.0225</v>
      </c>
      <c r="BI611" s="9"/>
    </row>
    <row r="612" hidden="1">
      <c r="A612" s="10">
        <v>21.0</v>
      </c>
      <c r="B612" s="11" t="s">
        <v>121</v>
      </c>
      <c r="C612" s="2" t="s">
        <v>61</v>
      </c>
      <c r="D612" s="12">
        <v>45828.0</v>
      </c>
      <c r="E612" s="13">
        <v>0.5</v>
      </c>
      <c r="F612" s="5" t="str">
        <f>VLOOKUP(A612,Jogos!A:N,10,0)</f>
        <v>Afternoon</v>
      </c>
      <c r="G612" s="11" t="s">
        <v>686</v>
      </c>
      <c r="H612" s="6" t="str">
        <f>VLOOKUP(A612,Jogos!A:L,12,0)</f>
        <v>Open</v>
      </c>
      <c r="I612" s="6" t="str">
        <f>VLOOKUP(G612,'Estádios e Cidades'!A:B,2,0)</f>
        <v>Orlando</v>
      </c>
      <c r="J612" s="11" t="s">
        <v>124</v>
      </c>
      <c r="K612" s="2" t="str">
        <f>VLOOKUP(J612,Equipes!A:F,6,0)</f>
        <v>Temperate</v>
      </c>
      <c r="L612" s="2">
        <f>VLOOKUP(J612,Equipes!A:C,3,0)</f>
        <v>27</v>
      </c>
      <c r="M612" s="2" t="str">
        <f t="shared" si="4"/>
        <v>Group</v>
      </c>
      <c r="N612" s="11" t="s">
        <v>441</v>
      </c>
      <c r="O612" s="2">
        <f>VLOOKUP(N612,Equipes!A:C,3,0)</f>
        <v>10</v>
      </c>
      <c r="P612" s="2" t="str">
        <f t="shared" si="5"/>
        <v>Round of 16</v>
      </c>
      <c r="Q612" s="2">
        <f t="shared" si="6"/>
        <v>17</v>
      </c>
      <c r="R612" s="2" t="str">
        <f>VLOOKUP(J612,Equipes!A:B,2,0)</f>
        <v>Auckland</v>
      </c>
      <c r="S612" s="14" t="s">
        <v>155</v>
      </c>
      <c r="T612" s="7">
        <v>2.0</v>
      </c>
      <c r="U612" s="7" t="s">
        <v>156</v>
      </c>
      <c r="V612" s="7" t="str">
        <f>VLOOKUP(U612,Jogadores!B:C,2,0)</f>
        <v>DF</v>
      </c>
      <c r="W612" s="8">
        <f>VLOOKUP(U612,Jogadores!B:D,3,0)</f>
        <v>30.11780822</v>
      </c>
      <c r="X612" s="7">
        <v>0.0</v>
      </c>
      <c r="Y612" s="7">
        <v>60.0</v>
      </c>
      <c r="Z612" s="7">
        <f>VLOOKUP(A612,Jogos!A:L,3,0)</f>
        <v>54</v>
      </c>
      <c r="AA612" s="7">
        <f t="shared" si="7"/>
        <v>54</v>
      </c>
      <c r="AB612" s="7">
        <f>VLOOKUP(A612,Jogos!A:L,4,0)</f>
        <v>53</v>
      </c>
      <c r="AC612" s="7">
        <f t="shared" si="657"/>
        <v>15</v>
      </c>
      <c r="AD612" s="7"/>
      <c r="AE612" s="7"/>
      <c r="AF612" s="7">
        <f t="shared" si="9"/>
        <v>69</v>
      </c>
      <c r="AG612" s="7">
        <v>8120.1</v>
      </c>
      <c r="AH612" s="7">
        <v>2495.1</v>
      </c>
      <c r="AI612" s="7">
        <v>3825.5</v>
      </c>
      <c r="AJ612" s="7">
        <v>1631.9</v>
      </c>
      <c r="AK612" s="7">
        <v>167.5</v>
      </c>
      <c r="AL612" s="7">
        <v>147.0</v>
      </c>
      <c r="AM612" s="7">
        <v>12.0</v>
      </c>
      <c r="AN612" s="7">
        <v>24.5</v>
      </c>
      <c r="AO612" s="7"/>
      <c r="AP612" s="9">
        <f t="shared" ref="AP612:AR612" si="1910">AG612/$AF612</f>
        <v>117.6826087</v>
      </c>
      <c r="AQ612" s="9">
        <f t="shared" si="1910"/>
        <v>36.16086957</v>
      </c>
      <c r="AR612" s="9">
        <f t="shared" si="1910"/>
        <v>55.44202899</v>
      </c>
      <c r="AS612" s="9">
        <f t="shared" si="11"/>
        <v>91.60289855</v>
      </c>
      <c r="AT612" s="9">
        <f t="shared" ref="AT612:AV612" si="1911">AJ612/$AF612</f>
        <v>23.65072464</v>
      </c>
      <c r="AU612" s="9">
        <f t="shared" si="1911"/>
        <v>2.427536232</v>
      </c>
      <c r="AV612" s="9">
        <f t="shared" si="1911"/>
        <v>2.130434783</v>
      </c>
      <c r="AW612" s="9">
        <f t="shared" si="13"/>
        <v>4.557971014</v>
      </c>
      <c r="AX612" s="9">
        <f t="shared" ref="AX612:AY612" si="1912">AM612/$AF612</f>
        <v>0.1739130435</v>
      </c>
      <c r="AY612" s="9">
        <f t="shared" si="1912"/>
        <v>0.3550724638</v>
      </c>
      <c r="AZ612" s="9">
        <f>VLOOKUP(A612,Jogos!A:BN,58,0)</f>
        <v>29.3875</v>
      </c>
      <c r="BA612" s="9">
        <f>VLOOKUP(A612,Jogos!A:BN,59,0)</f>
        <v>23.7125</v>
      </c>
      <c r="BB612" s="9">
        <f>VLOOKUP(A612,Jogos!A:BN,60,0)</f>
        <v>71</v>
      </c>
      <c r="BC612" s="9">
        <f>VLOOKUP(A612,Jogos!A:BN,61,0)</f>
        <v>29.3875</v>
      </c>
      <c r="BD612" s="9">
        <f>VLOOKUP(A612,Jogos!A:BN,62,0)</f>
        <v>752.7</v>
      </c>
      <c r="BE612" s="9">
        <f>VLOOKUP(A612,Jogos!A:BN,63,0)</f>
        <v>1.0775</v>
      </c>
      <c r="BF612" s="9">
        <f>VLOOKUP(A612,Jogos!A:BN,64,0)</f>
        <v>25.7575</v>
      </c>
      <c r="BG612" s="9">
        <f>VLOOKUP(A612,Jogos!A:BN,65,0)</f>
        <v>45.2725</v>
      </c>
      <c r="BH612" s="9">
        <f>VLOOKUP(A612,Jogos!A:BN,66,0)</f>
        <v>30.0225</v>
      </c>
      <c r="BI612" s="9"/>
    </row>
    <row r="613" hidden="1">
      <c r="A613" s="10">
        <v>21.0</v>
      </c>
      <c r="B613" s="11" t="s">
        <v>121</v>
      </c>
      <c r="C613" s="2" t="s">
        <v>61</v>
      </c>
      <c r="D613" s="12">
        <v>45828.0</v>
      </c>
      <c r="E613" s="13">
        <v>0.5</v>
      </c>
      <c r="F613" s="5" t="str">
        <f>VLOOKUP(A613,Jogos!A:N,10,0)</f>
        <v>Afternoon</v>
      </c>
      <c r="G613" s="11" t="s">
        <v>686</v>
      </c>
      <c r="H613" s="6" t="str">
        <f>VLOOKUP(A613,Jogos!A:L,12,0)</f>
        <v>Open</v>
      </c>
      <c r="I613" s="6" t="str">
        <f>VLOOKUP(G613,'Estádios e Cidades'!A:B,2,0)</f>
        <v>Orlando</v>
      </c>
      <c r="J613" s="11" t="s">
        <v>124</v>
      </c>
      <c r="K613" s="2" t="str">
        <f>VLOOKUP(J613,Equipes!A:F,6,0)</f>
        <v>Temperate</v>
      </c>
      <c r="L613" s="2">
        <f>VLOOKUP(J613,Equipes!A:C,3,0)</f>
        <v>27</v>
      </c>
      <c r="M613" s="2" t="str">
        <f t="shared" si="4"/>
        <v>Group</v>
      </c>
      <c r="N613" s="11" t="s">
        <v>441</v>
      </c>
      <c r="O613" s="2">
        <f>VLOOKUP(N613,Equipes!A:C,3,0)</f>
        <v>10</v>
      </c>
      <c r="P613" s="2" t="str">
        <f t="shared" si="5"/>
        <v>Round of 16</v>
      </c>
      <c r="Q613" s="2">
        <f t="shared" si="6"/>
        <v>17</v>
      </c>
      <c r="R613" s="2" t="str">
        <f>VLOOKUP(J613,Equipes!A:B,2,0)</f>
        <v>Auckland</v>
      </c>
      <c r="S613" s="6" t="s">
        <v>157</v>
      </c>
      <c r="T613" s="7">
        <v>3.0</v>
      </c>
      <c r="U613" s="7" t="s">
        <v>158</v>
      </c>
      <c r="V613" s="7" t="str">
        <f>VLOOKUP(U613,Jogadores!B:C,2,0)</f>
        <v>DF</v>
      </c>
      <c r="W613" s="8">
        <f>VLOOKUP(U613,Jogadores!B:D,3,0)</f>
        <v>29.17534247</v>
      </c>
      <c r="X613" s="7">
        <v>0.0</v>
      </c>
      <c r="Y613" s="7">
        <f t="shared" ref="Y613:Y614" si="1916">45+AB613</f>
        <v>98</v>
      </c>
      <c r="Z613" s="7">
        <f>VLOOKUP(A613,Jogos!A:L,3,0)</f>
        <v>54</v>
      </c>
      <c r="AA613" s="7">
        <f t="shared" si="7"/>
        <v>54</v>
      </c>
      <c r="AB613" s="7">
        <f>VLOOKUP(A613,Jogos!A:L,4,0)</f>
        <v>53</v>
      </c>
      <c r="AC613" s="7">
        <f t="shared" si="657"/>
        <v>53</v>
      </c>
      <c r="AD613" s="7"/>
      <c r="AE613" s="7"/>
      <c r="AF613" s="7">
        <f t="shared" si="9"/>
        <v>107</v>
      </c>
      <c r="AG613" s="7">
        <v>10570.0</v>
      </c>
      <c r="AH613" s="7">
        <v>4425.3</v>
      </c>
      <c r="AI613" s="7">
        <v>4545.0</v>
      </c>
      <c r="AJ613" s="7">
        <v>1188.3</v>
      </c>
      <c r="AK613" s="7">
        <v>365.9</v>
      </c>
      <c r="AL613" s="7">
        <v>45.6</v>
      </c>
      <c r="AM613" s="7">
        <v>103.0</v>
      </c>
      <c r="AN613" s="7">
        <v>24.0</v>
      </c>
      <c r="AO613" s="7"/>
      <c r="AP613" s="9">
        <f t="shared" ref="AP613:AR613" si="1913">AG613/$AF613</f>
        <v>98.78504673</v>
      </c>
      <c r="AQ613" s="9">
        <f t="shared" si="1913"/>
        <v>41.35794393</v>
      </c>
      <c r="AR613" s="9">
        <f t="shared" si="1913"/>
        <v>42.47663551</v>
      </c>
      <c r="AS613" s="9">
        <f t="shared" si="11"/>
        <v>83.83457944</v>
      </c>
      <c r="AT613" s="9">
        <f t="shared" ref="AT613:AV613" si="1914">AJ613/$AF613</f>
        <v>11.10560748</v>
      </c>
      <c r="AU613" s="9">
        <f t="shared" si="1914"/>
        <v>3.419626168</v>
      </c>
      <c r="AV613" s="9">
        <f t="shared" si="1914"/>
        <v>0.4261682243</v>
      </c>
      <c r="AW613" s="9">
        <f t="shared" si="13"/>
        <v>3.845794393</v>
      </c>
      <c r="AX613" s="9">
        <f t="shared" ref="AX613:AY613" si="1915">AM613/$AF613</f>
        <v>0.9626168224</v>
      </c>
      <c r="AY613" s="9">
        <f t="shared" si="1915"/>
        <v>0.2242990654</v>
      </c>
      <c r="AZ613" s="9">
        <f>VLOOKUP(A613,Jogos!A:BN,58,0)</f>
        <v>29.3875</v>
      </c>
      <c r="BA613" s="9">
        <f>VLOOKUP(A613,Jogos!A:BN,59,0)</f>
        <v>23.7125</v>
      </c>
      <c r="BB613" s="9">
        <f>VLOOKUP(A613,Jogos!A:BN,60,0)</f>
        <v>71</v>
      </c>
      <c r="BC613" s="9">
        <f>VLOOKUP(A613,Jogos!A:BN,61,0)</f>
        <v>29.3875</v>
      </c>
      <c r="BD613" s="9">
        <f>VLOOKUP(A613,Jogos!A:BN,62,0)</f>
        <v>752.7</v>
      </c>
      <c r="BE613" s="9">
        <f>VLOOKUP(A613,Jogos!A:BN,63,0)</f>
        <v>1.0775</v>
      </c>
      <c r="BF613" s="9">
        <f>VLOOKUP(A613,Jogos!A:BN,64,0)</f>
        <v>25.7575</v>
      </c>
      <c r="BG613" s="9">
        <f>VLOOKUP(A613,Jogos!A:BN,65,0)</f>
        <v>45.2725</v>
      </c>
      <c r="BH613" s="9">
        <f>VLOOKUP(A613,Jogos!A:BN,66,0)</f>
        <v>30.0225</v>
      </c>
      <c r="BI613" s="9"/>
    </row>
    <row r="614" hidden="1">
      <c r="A614" s="10">
        <v>21.0</v>
      </c>
      <c r="B614" s="11" t="s">
        <v>121</v>
      </c>
      <c r="C614" s="2" t="s">
        <v>61</v>
      </c>
      <c r="D614" s="12">
        <v>45828.0</v>
      </c>
      <c r="E614" s="13">
        <v>0.5</v>
      </c>
      <c r="F614" s="5" t="str">
        <f>VLOOKUP(A614,Jogos!A:N,10,0)</f>
        <v>Afternoon</v>
      </c>
      <c r="G614" s="11" t="s">
        <v>686</v>
      </c>
      <c r="H614" s="6" t="str">
        <f>VLOOKUP(A614,Jogos!A:L,12,0)</f>
        <v>Open</v>
      </c>
      <c r="I614" s="6" t="str">
        <f>VLOOKUP(G614,'Estádios e Cidades'!A:B,2,0)</f>
        <v>Orlando</v>
      </c>
      <c r="J614" s="11" t="s">
        <v>124</v>
      </c>
      <c r="K614" s="2" t="str">
        <f>VLOOKUP(J614,Equipes!A:F,6,0)</f>
        <v>Temperate</v>
      </c>
      <c r="L614" s="2">
        <f>VLOOKUP(J614,Equipes!A:C,3,0)</f>
        <v>27</v>
      </c>
      <c r="M614" s="2" t="str">
        <f t="shared" si="4"/>
        <v>Group</v>
      </c>
      <c r="N614" s="11" t="s">
        <v>441</v>
      </c>
      <c r="O614" s="2">
        <f>VLOOKUP(N614,Equipes!A:C,3,0)</f>
        <v>10</v>
      </c>
      <c r="P614" s="2" t="str">
        <f t="shared" si="5"/>
        <v>Round of 16</v>
      </c>
      <c r="Q614" s="2">
        <f t="shared" si="6"/>
        <v>17</v>
      </c>
      <c r="R614" s="2" t="str">
        <f>VLOOKUP(J614,Equipes!A:B,2,0)</f>
        <v>Auckland</v>
      </c>
      <c r="S614" s="6" t="s">
        <v>159</v>
      </c>
      <c r="T614" s="7">
        <v>5.0</v>
      </c>
      <c r="U614" s="7" t="s">
        <v>160</v>
      </c>
      <c r="V614" s="7" t="str">
        <f>VLOOKUP(U614,Jogadores!B:C,2,0)</f>
        <v>DF</v>
      </c>
      <c r="W614" s="8">
        <f>VLOOKUP(U614,Jogadores!B:D,3,0)</f>
        <v>33.44657534</v>
      </c>
      <c r="X614" s="7">
        <v>0.0</v>
      </c>
      <c r="Y614" s="7">
        <f t="shared" si="1916"/>
        <v>98</v>
      </c>
      <c r="Z614" s="7">
        <f>VLOOKUP(A614,Jogos!A:L,3,0)</f>
        <v>54</v>
      </c>
      <c r="AA614" s="7">
        <f t="shared" si="7"/>
        <v>54</v>
      </c>
      <c r="AB614" s="7">
        <f>VLOOKUP(A614,Jogos!A:L,4,0)</f>
        <v>53</v>
      </c>
      <c r="AC614" s="7">
        <f t="shared" si="657"/>
        <v>53</v>
      </c>
      <c r="AD614" s="7"/>
      <c r="AE614" s="7"/>
      <c r="AF614" s="7">
        <f t="shared" si="9"/>
        <v>107</v>
      </c>
      <c r="AG614" s="7">
        <v>9700.4</v>
      </c>
      <c r="AH614" s="7">
        <v>4118.2</v>
      </c>
      <c r="AI614" s="7">
        <v>4359.2</v>
      </c>
      <c r="AJ614" s="7">
        <v>894.0</v>
      </c>
      <c r="AK614" s="7">
        <v>270.3</v>
      </c>
      <c r="AL614" s="7">
        <v>58.7</v>
      </c>
      <c r="AM614" s="7">
        <v>70.0</v>
      </c>
      <c r="AN614" s="7">
        <v>26.0</v>
      </c>
      <c r="AO614" s="7">
        <v>29.7</v>
      </c>
      <c r="AP614" s="9">
        <f t="shared" ref="AP614:AR614" si="1917">AG614/$AF614</f>
        <v>90.65794393</v>
      </c>
      <c r="AQ614" s="9">
        <f t="shared" si="1917"/>
        <v>38.48785047</v>
      </c>
      <c r="AR614" s="9">
        <f t="shared" si="1917"/>
        <v>40.74018692</v>
      </c>
      <c r="AS614" s="9">
        <f t="shared" si="11"/>
        <v>79.22803738</v>
      </c>
      <c r="AT614" s="9">
        <f t="shared" ref="AT614:AV614" si="1918">AJ614/$AF614</f>
        <v>8.355140187</v>
      </c>
      <c r="AU614" s="9">
        <f t="shared" si="1918"/>
        <v>2.526168224</v>
      </c>
      <c r="AV614" s="9">
        <f t="shared" si="1918"/>
        <v>0.5485981308</v>
      </c>
      <c r="AW614" s="9">
        <f t="shared" si="13"/>
        <v>3.074766355</v>
      </c>
      <c r="AX614" s="9">
        <f t="shared" ref="AX614:AY614" si="1919">AM614/$AF614</f>
        <v>0.6542056075</v>
      </c>
      <c r="AY614" s="9">
        <f t="shared" si="1919"/>
        <v>0.2429906542</v>
      </c>
      <c r="AZ614" s="9">
        <f>VLOOKUP(A614,Jogos!A:BN,58,0)</f>
        <v>29.3875</v>
      </c>
      <c r="BA614" s="9">
        <f>VLOOKUP(A614,Jogos!A:BN,59,0)</f>
        <v>23.7125</v>
      </c>
      <c r="BB614" s="9">
        <f>VLOOKUP(A614,Jogos!A:BN,60,0)</f>
        <v>71</v>
      </c>
      <c r="BC614" s="9">
        <f>VLOOKUP(A614,Jogos!A:BN,61,0)</f>
        <v>29.3875</v>
      </c>
      <c r="BD614" s="9">
        <f>VLOOKUP(A614,Jogos!A:BN,62,0)</f>
        <v>752.7</v>
      </c>
      <c r="BE614" s="9">
        <f>VLOOKUP(A614,Jogos!A:BN,63,0)</f>
        <v>1.0775</v>
      </c>
      <c r="BF614" s="9">
        <f>VLOOKUP(A614,Jogos!A:BN,64,0)</f>
        <v>25.7575</v>
      </c>
      <c r="BG614" s="9">
        <f>VLOOKUP(A614,Jogos!A:BN,65,0)</f>
        <v>45.2725</v>
      </c>
      <c r="BH614" s="9">
        <f>VLOOKUP(A614,Jogos!A:BN,66,0)</f>
        <v>30.0225</v>
      </c>
      <c r="BI614" s="9"/>
    </row>
    <row r="615" hidden="1">
      <c r="A615" s="10">
        <v>21.0</v>
      </c>
      <c r="B615" s="11" t="s">
        <v>121</v>
      </c>
      <c r="C615" s="2" t="s">
        <v>61</v>
      </c>
      <c r="D615" s="12">
        <v>45828.0</v>
      </c>
      <c r="E615" s="13">
        <v>0.5</v>
      </c>
      <c r="F615" s="5" t="str">
        <f>VLOOKUP(A615,Jogos!A:N,10,0)</f>
        <v>Afternoon</v>
      </c>
      <c r="G615" s="11" t="s">
        <v>686</v>
      </c>
      <c r="H615" s="6" t="str">
        <f>VLOOKUP(A615,Jogos!A:L,12,0)</f>
        <v>Open</v>
      </c>
      <c r="I615" s="6" t="str">
        <f>VLOOKUP(G615,'Estádios e Cidades'!A:B,2,0)</f>
        <v>Orlando</v>
      </c>
      <c r="J615" s="11" t="s">
        <v>124</v>
      </c>
      <c r="K615" s="2" t="str">
        <f>VLOOKUP(J615,Equipes!A:F,6,0)</f>
        <v>Temperate</v>
      </c>
      <c r="L615" s="2">
        <f>VLOOKUP(J615,Equipes!A:C,3,0)</f>
        <v>27</v>
      </c>
      <c r="M615" s="2" t="str">
        <f t="shared" si="4"/>
        <v>Group</v>
      </c>
      <c r="N615" s="11" t="s">
        <v>441</v>
      </c>
      <c r="O615" s="2">
        <f>VLOOKUP(N615,Equipes!A:C,3,0)</f>
        <v>10</v>
      </c>
      <c r="P615" s="2" t="str">
        <f t="shared" si="5"/>
        <v>Round of 16</v>
      </c>
      <c r="Q615" s="2">
        <f t="shared" si="6"/>
        <v>17</v>
      </c>
      <c r="R615" s="2" t="str">
        <f>VLOOKUP(J615,Equipes!A:B,2,0)</f>
        <v>Auckland</v>
      </c>
      <c r="S615" s="6" t="s">
        <v>161</v>
      </c>
      <c r="T615" s="7">
        <v>7.0</v>
      </c>
      <c r="U615" s="7" t="s">
        <v>162</v>
      </c>
      <c r="V615" s="7" t="str">
        <f>VLOOKUP(U615,Jogadores!B:C,2,0)</f>
        <v>FW</v>
      </c>
      <c r="W615" s="8">
        <f>VLOOKUP(U615,Jogadores!B:D,3,0)</f>
        <v>28.28219178</v>
      </c>
      <c r="X615" s="7">
        <v>0.0</v>
      </c>
      <c r="Y615" s="7">
        <v>73.0</v>
      </c>
      <c r="Z615" s="7">
        <f>VLOOKUP(A615,Jogos!A:L,3,0)</f>
        <v>54</v>
      </c>
      <c r="AA615" s="7">
        <f t="shared" si="7"/>
        <v>54</v>
      </c>
      <c r="AB615" s="7">
        <f>VLOOKUP(A615,Jogos!A:L,4,0)</f>
        <v>53</v>
      </c>
      <c r="AC615" s="7">
        <f t="shared" si="657"/>
        <v>28</v>
      </c>
      <c r="AD615" s="7"/>
      <c r="AE615" s="7"/>
      <c r="AF615" s="7">
        <f t="shared" si="9"/>
        <v>82</v>
      </c>
      <c r="AG615" s="7">
        <v>9434.8</v>
      </c>
      <c r="AH615" s="7">
        <v>3233.3</v>
      </c>
      <c r="AI615" s="7">
        <v>4346.2</v>
      </c>
      <c r="AJ615" s="7">
        <v>1260.4</v>
      </c>
      <c r="AK615" s="7">
        <v>349.1</v>
      </c>
      <c r="AL615" s="7">
        <v>245.9</v>
      </c>
      <c r="AM615" s="7">
        <v>101.0</v>
      </c>
      <c r="AN615" s="7">
        <v>33.0</v>
      </c>
      <c r="AO615" s="7">
        <v>30.1</v>
      </c>
      <c r="AP615" s="9">
        <f t="shared" ref="AP615:AR615" si="1920">AG615/$AF615</f>
        <v>115.0585366</v>
      </c>
      <c r="AQ615" s="9">
        <f t="shared" si="1920"/>
        <v>39.4304878</v>
      </c>
      <c r="AR615" s="9">
        <f t="shared" si="1920"/>
        <v>53.00243902</v>
      </c>
      <c r="AS615" s="9">
        <f t="shared" si="11"/>
        <v>92.43292683</v>
      </c>
      <c r="AT615" s="9">
        <f t="shared" ref="AT615:AV615" si="1921">AJ615/$AF615</f>
        <v>15.37073171</v>
      </c>
      <c r="AU615" s="9">
        <f t="shared" si="1921"/>
        <v>4.257317073</v>
      </c>
      <c r="AV615" s="9">
        <f t="shared" si="1921"/>
        <v>2.998780488</v>
      </c>
      <c r="AW615" s="9">
        <f t="shared" si="13"/>
        <v>7.256097561</v>
      </c>
      <c r="AX615" s="9">
        <f t="shared" ref="AX615:AY615" si="1922">AM615/$AF615</f>
        <v>1.231707317</v>
      </c>
      <c r="AY615" s="9">
        <f t="shared" si="1922"/>
        <v>0.4024390244</v>
      </c>
      <c r="AZ615" s="9">
        <f>VLOOKUP(A615,Jogos!A:BN,58,0)</f>
        <v>29.3875</v>
      </c>
      <c r="BA615" s="9">
        <f>VLOOKUP(A615,Jogos!A:BN,59,0)</f>
        <v>23.7125</v>
      </c>
      <c r="BB615" s="9">
        <f>VLOOKUP(A615,Jogos!A:BN,60,0)</f>
        <v>71</v>
      </c>
      <c r="BC615" s="9">
        <f>VLOOKUP(A615,Jogos!A:BN,61,0)</f>
        <v>29.3875</v>
      </c>
      <c r="BD615" s="9">
        <f>VLOOKUP(A615,Jogos!A:BN,62,0)</f>
        <v>752.7</v>
      </c>
      <c r="BE615" s="9">
        <f>VLOOKUP(A615,Jogos!A:BN,63,0)</f>
        <v>1.0775</v>
      </c>
      <c r="BF615" s="9">
        <f>VLOOKUP(A615,Jogos!A:BN,64,0)</f>
        <v>25.7575</v>
      </c>
      <c r="BG615" s="9">
        <f>VLOOKUP(A615,Jogos!A:BN,65,0)</f>
        <v>45.2725</v>
      </c>
      <c r="BH615" s="9">
        <f>VLOOKUP(A615,Jogos!A:BN,66,0)</f>
        <v>30.0225</v>
      </c>
      <c r="BI615" s="9"/>
    </row>
    <row r="616" hidden="1">
      <c r="A616" s="10">
        <v>21.0</v>
      </c>
      <c r="B616" s="11" t="s">
        <v>121</v>
      </c>
      <c r="C616" s="2" t="s">
        <v>61</v>
      </c>
      <c r="D616" s="12">
        <v>45828.0</v>
      </c>
      <c r="E616" s="13">
        <v>0.5</v>
      </c>
      <c r="F616" s="5" t="str">
        <f>VLOOKUP(A616,Jogos!A:N,10,0)</f>
        <v>Afternoon</v>
      </c>
      <c r="G616" s="11" t="s">
        <v>686</v>
      </c>
      <c r="H616" s="6" t="str">
        <f>VLOOKUP(A616,Jogos!A:L,12,0)</f>
        <v>Open</v>
      </c>
      <c r="I616" s="6" t="str">
        <f>VLOOKUP(G616,'Estádios e Cidades'!A:B,2,0)</f>
        <v>Orlando</v>
      </c>
      <c r="J616" s="11" t="s">
        <v>124</v>
      </c>
      <c r="K616" s="2" t="str">
        <f>VLOOKUP(J616,Equipes!A:F,6,0)</f>
        <v>Temperate</v>
      </c>
      <c r="L616" s="2">
        <f>VLOOKUP(J616,Equipes!A:C,3,0)</f>
        <v>27</v>
      </c>
      <c r="M616" s="2" t="str">
        <f t="shared" si="4"/>
        <v>Group</v>
      </c>
      <c r="N616" s="11" t="s">
        <v>441</v>
      </c>
      <c r="O616" s="2">
        <f>VLOOKUP(N616,Equipes!A:C,3,0)</f>
        <v>10</v>
      </c>
      <c r="P616" s="2" t="str">
        <f t="shared" si="5"/>
        <v>Round of 16</v>
      </c>
      <c r="Q616" s="2">
        <f t="shared" si="6"/>
        <v>17</v>
      </c>
      <c r="R616" s="2" t="str">
        <f>VLOOKUP(J616,Equipes!A:B,2,0)</f>
        <v>Auckland</v>
      </c>
      <c r="S616" s="6" t="s">
        <v>179</v>
      </c>
      <c r="T616" s="7">
        <v>17.0</v>
      </c>
      <c r="U616" s="7" t="s">
        <v>180</v>
      </c>
      <c r="V616" s="7" t="str">
        <f>VLOOKUP(U616,Jogadores!B:C,2,0)</f>
        <v>FW</v>
      </c>
      <c r="W616" s="8">
        <f>VLOOKUP(U616,Jogadores!B:D,3,0)</f>
        <v>23.56164384</v>
      </c>
      <c r="X616" s="7">
        <v>0.0</v>
      </c>
      <c r="Y616" s="7">
        <f t="shared" ref="Y616:Y617" si="1926">45+AB616</f>
        <v>98</v>
      </c>
      <c r="Z616" s="7">
        <f>VLOOKUP(A616,Jogos!A:L,3,0)</f>
        <v>54</v>
      </c>
      <c r="AA616" s="7">
        <f t="shared" si="7"/>
        <v>54</v>
      </c>
      <c r="AB616" s="7">
        <f>VLOOKUP(A616,Jogos!A:L,4,0)</f>
        <v>53</v>
      </c>
      <c r="AC616" s="7">
        <f t="shared" si="657"/>
        <v>53</v>
      </c>
      <c r="AD616" s="7"/>
      <c r="AE616" s="7"/>
      <c r="AF616" s="7">
        <f t="shared" si="9"/>
        <v>107</v>
      </c>
      <c r="AG616" s="7">
        <v>10891.3</v>
      </c>
      <c r="AH616" s="7">
        <v>4164.3</v>
      </c>
      <c r="AI616" s="7">
        <v>4772.3</v>
      </c>
      <c r="AJ616" s="7">
        <v>1303.9</v>
      </c>
      <c r="AK616" s="7">
        <v>428.5</v>
      </c>
      <c r="AL616" s="7">
        <v>222.2</v>
      </c>
      <c r="AM616" s="7">
        <v>115.0</v>
      </c>
      <c r="AN616" s="7">
        <v>34.0</v>
      </c>
      <c r="AO616" s="7">
        <v>31.8</v>
      </c>
      <c r="AP616" s="9">
        <f t="shared" ref="AP616:AR616" si="1923">AG616/$AF616</f>
        <v>101.7878505</v>
      </c>
      <c r="AQ616" s="9">
        <f t="shared" si="1923"/>
        <v>38.91869159</v>
      </c>
      <c r="AR616" s="9">
        <f t="shared" si="1923"/>
        <v>44.60093458</v>
      </c>
      <c r="AS616" s="9">
        <f t="shared" si="11"/>
        <v>83.51962617</v>
      </c>
      <c r="AT616" s="9">
        <f t="shared" ref="AT616:AV616" si="1924">AJ616/$AF616</f>
        <v>12.18598131</v>
      </c>
      <c r="AU616" s="9">
        <f t="shared" si="1924"/>
        <v>4.004672897</v>
      </c>
      <c r="AV616" s="9">
        <f t="shared" si="1924"/>
        <v>2.076635514</v>
      </c>
      <c r="AW616" s="9">
        <f t="shared" si="13"/>
        <v>6.081308411</v>
      </c>
      <c r="AX616" s="9">
        <f t="shared" ref="AX616:AY616" si="1925">AM616/$AF616</f>
        <v>1.074766355</v>
      </c>
      <c r="AY616" s="9">
        <f t="shared" si="1925"/>
        <v>0.3177570093</v>
      </c>
      <c r="AZ616" s="9">
        <f>VLOOKUP(A616,Jogos!A:BN,58,0)</f>
        <v>29.3875</v>
      </c>
      <c r="BA616" s="9">
        <f>VLOOKUP(A616,Jogos!A:BN,59,0)</f>
        <v>23.7125</v>
      </c>
      <c r="BB616" s="9">
        <f>VLOOKUP(A616,Jogos!A:BN,60,0)</f>
        <v>71</v>
      </c>
      <c r="BC616" s="9">
        <f>VLOOKUP(A616,Jogos!A:BN,61,0)</f>
        <v>29.3875</v>
      </c>
      <c r="BD616" s="9">
        <f>VLOOKUP(A616,Jogos!A:BN,62,0)</f>
        <v>752.7</v>
      </c>
      <c r="BE616" s="9">
        <f>VLOOKUP(A616,Jogos!A:BN,63,0)</f>
        <v>1.0775</v>
      </c>
      <c r="BF616" s="9">
        <f>VLOOKUP(A616,Jogos!A:BN,64,0)</f>
        <v>25.7575</v>
      </c>
      <c r="BG616" s="9">
        <f>VLOOKUP(A616,Jogos!A:BN,65,0)</f>
        <v>45.2725</v>
      </c>
      <c r="BH616" s="9">
        <f>VLOOKUP(A616,Jogos!A:BN,66,0)</f>
        <v>30.0225</v>
      </c>
      <c r="BI616" s="9"/>
    </row>
    <row r="617" hidden="1">
      <c r="A617" s="10">
        <v>21.0</v>
      </c>
      <c r="B617" s="11" t="s">
        <v>121</v>
      </c>
      <c r="C617" s="2" t="s">
        <v>61</v>
      </c>
      <c r="D617" s="12">
        <v>45828.0</v>
      </c>
      <c r="E617" s="13">
        <v>0.5</v>
      </c>
      <c r="F617" s="5" t="str">
        <f>VLOOKUP(A617,Jogos!A:N,10,0)</f>
        <v>Afternoon</v>
      </c>
      <c r="G617" s="11" t="s">
        <v>686</v>
      </c>
      <c r="H617" s="6" t="str">
        <f>VLOOKUP(A617,Jogos!A:L,12,0)</f>
        <v>Open</v>
      </c>
      <c r="I617" s="6" t="str">
        <f>VLOOKUP(G617,'Estádios e Cidades'!A:B,2,0)</f>
        <v>Orlando</v>
      </c>
      <c r="J617" s="11" t="s">
        <v>124</v>
      </c>
      <c r="K617" s="2" t="str">
        <f>VLOOKUP(J617,Equipes!A:F,6,0)</f>
        <v>Temperate</v>
      </c>
      <c r="L617" s="2">
        <f>VLOOKUP(J617,Equipes!A:C,3,0)</f>
        <v>27</v>
      </c>
      <c r="M617" s="2" t="str">
        <f t="shared" si="4"/>
        <v>Group</v>
      </c>
      <c r="N617" s="11" t="s">
        <v>441</v>
      </c>
      <c r="O617" s="2">
        <f>VLOOKUP(N617,Equipes!A:C,3,0)</f>
        <v>10</v>
      </c>
      <c r="P617" s="2" t="str">
        <f t="shared" si="5"/>
        <v>Round of 16</v>
      </c>
      <c r="Q617" s="2">
        <f t="shared" si="6"/>
        <v>17</v>
      </c>
      <c r="R617" s="2" t="str">
        <f>VLOOKUP(J617,Equipes!A:B,2,0)</f>
        <v>Auckland</v>
      </c>
      <c r="S617" s="6" t="s">
        <v>1111</v>
      </c>
      <c r="T617" s="7">
        <v>21.0</v>
      </c>
      <c r="U617" s="7" t="s">
        <v>1112</v>
      </c>
      <c r="V617" s="7" t="str">
        <f>VLOOKUP(U617,Jogadores!B:C,2,0)</f>
        <v>DF</v>
      </c>
      <c r="W617" s="8">
        <f>VLOOKUP(U617,Jogadores!B:D,3,0)</f>
        <v>21.47123288</v>
      </c>
      <c r="X617" s="7">
        <v>0.0</v>
      </c>
      <c r="Y617" s="7">
        <f t="shared" si="1926"/>
        <v>98</v>
      </c>
      <c r="Z617" s="7">
        <f>VLOOKUP(A617,Jogos!A:L,3,0)</f>
        <v>54</v>
      </c>
      <c r="AA617" s="7">
        <f t="shared" si="7"/>
        <v>54</v>
      </c>
      <c r="AB617" s="7">
        <f>VLOOKUP(A617,Jogos!A:L,4,0)</f>
        <v>53</v>
      </c>
      <c r="AC617" s="7">
        <f t="shared" si="657"/>
        <v>53</v>
      </c>
      <c r="AD617" s="7"/>
      <c r="AE617" s="7"/>
      <c r="AF617" s="7">
        <f t="shared" si="9"/>
        <v>107</v>
      </c>
      <c r="AG617" s="7">
        <v>11511.9</v>
      </c>
      <c r="AH617" s="7">
        <v>4272.5</v>
      </c>
      <c r="AI617" s="7">
        <v>5024.4</v>
      </c>
      <c r="AJ617" s="7">
        <v>1505.9</v>
      </c>
      <c r="AK617" s="7">
        <v>541.6</v>
      </c>
      <c r="AL617" s="7">
        <v>167.6</v>
      </c>
      <c r="AM617" s="7">
        <v>136.0</v>
      </c>
      <c r="AN617" s="7">
        <v>45.0</v>
      </c>
      <c r="AO617" s="7">
        <v>32.7</v>
      </c>
      <c r="AP617" s="9">
        <f t="shared" ref="AP617:AR617" si="1927">AG617/$AF617</f>
        <v>107.5878505</v>
      </c>
      <c r="AQ617" s="9">
        <f t="shared" si="1927"/>
        <v>39.92990654</v>
      </c>
      <c r="AR617" s="9">
        <f t="shared" si="1927"/>
        <v>46.95700935</v>
      </c>
      <c r="AS617" s="9">
        <f t="shared" si="11"/>
        <v>86.88691589</v>
      </c>
      <c r="AT617" s="9">
        <f t="shared" ref="AT617:AV617" si="1928">AJ617/$AF617</f>
        <v>14.07383178</v>
      </c>
      <c r="AU617" s="9">
        <f t="shared" si="1928"/>
        <v>5.061682243</v>
      </c>
      <c r="AV617" s="9">
        <f t="shared" si="1928"/>
        <v>1.56635514</v>
      </c>
      <c r="AW617" s="9">
        <f t="shared" si="13"/>
        <v>6.628037383</v>
      </c>
      <c r="AX617" s="9">
        <f t="shared" ref="AX617:AY617" si="1929">AM617/$AF617</f>
        <v>1.271028037</v>
      </c>
      <c r="AY617" s="9">
        <f t="shared" si="1929"/>
        <v>0.4205607477</v>
      </c>
      <c r="AZ617" s="9">
        <f>VLOOKUP(A617,Jogos!A:BN,58,0)</f>
        <v>29.3875</v>
      </c>
      <c r="BA617" s="9">
        <f>VLOOKUP(A617,Jogos!A:BN,59,0)</f>
        <v>23.7125</v>
      </c>
      <c r="BB617" s="9">
        <f>VLOOKUP(A617,Jogos!A:BN,60,0)</f>
        <v>71</v>
      </c>
      <c r="BC617" s="9">
        <f>VLOOKUP(A617,Jogos!A:BN,61,0)</f>
        <v>29.3875</v>
      </c>
      <c r="BD617" s="9">
        <f>VLOOKUP(A617,Jogos!A:BN,62,0)</f>
        <v>752.7</v>
      </c>
      <c r="BE617" s="9">
        <f>VLOOKUP(A617,Jogos!A:BN,63,0)</f>
        <v>1.0775</v>
      </c>
      <c r="BF617" s="9">
        <f>VLOOKUP(A617,Jogos!A:BN,64,0)</f>
        <v>25.7575</v>
      </c>
      <c r="BG617" s="9">
        <f>VLOOKUP(A617,Jogos!A:BN,65,0)</f>
        <v>45.2725</v>
      </c>
      <c r="BH617" s="9">
        <f>VLOOKUP(A617,Jogos!A:BN,66,0)</f>
        <v>30.0225</v>
      </c>
      <c r="BI617" s="9"/>
    </row>
    <row r="618" hidden="1">
      <c r="A618" s="10">
        <v>21.0</v>
      </c>
      <c r="B618" s="11" t="s">
        <v>121</v>
      </c>
      <c r="C618" s="2" t="s">
        <v>61</v>
      </c>
      <c r="D618" s="12">
        <v>45828.0</v>
      </c>
      <c r="E618" s="13">
        <v>0.5</v>
      </c>
      <c r="F618" s="5" t="str">
        <f>VLOOKUP(A618,Jogos!A:N,10,0)</f>
        <v>Afternoon</v>
      </c>
      <c r="G618" s="11" t="s">
        <v>686</v>
      </c>
      <c r="H618" s="6" t="str">
        <f>VLOOKUP(A618,Jogos!A:L,12,0)</f>
        <v>Open</v>
      </c>
      <c r="I618" s="6" t="str">
        <f>VLOOKUP(G618,'Estádios e Cidades'!A:B,2,0)</f>
        <v>Orlando</v>
      </c>
      <c r="J618" s="11" t="s">
        <v>124</v>
      </c>
      <c r="K618" s="2" t="str">
        <f>VLOOKUP(J618,Equipes!A:F,6,0)</f>
        <v>Temperate</v>
      </c>
      <c r="L618" s="2">
        <f>VLOOKUP(J618,Equipes!A:C,3,0)</f>
        <v>27</v>
      </c>
      <c r="M618" s="2" t="str">
        <f t="shared" si="4"/>
        <v>Group</v>
      </c>
      <c r="N618" s="11" t="s">
        <v>441</v>
      </c>
      <c r="O618" s="2">
        <f>VLOOKUP(N618,Equipes!A:C,3,0)</f>
        <v>10</v>
      </c>
      <c r="P618" s="2" t="str">
        <f t="shared" si="5"/>
        <v>Round of 16</v>
      </c>
      <c r="Q618" s="2">
        <f t="shared" si="6"/>
        <v>17</v>
      </c>
      <c r="R618" s="2" t="str">
        <f>VLOOKUP(J618,Equipes!A:B,2,0)</f>
        <v>Auckland</v>
      </c>
      <c r="S618" s="6" t="s">
        <v>181</v>
      </c>
      <c r="T618" s="7">
        <v>22.0</v>
      </c>
      <c r="U618" s="7" t="s">
        <v>182</v>
      </c>
      <c r="V618" s="7" t="str">
        <f>VLOOKUP(U618,Jogadores!B:C,2,0)</f>
        <v>MF</v>
      </c>
      <c r="W618" s="8">
        <f>VLOOKUP(U618,Jogadores!B:D,3,0)</f>
        <v>35.56438356</v>
      </c>
      <c r="X618" s="7">
        <v>0.0</v>
      </c>
      <c r="Y618" s="7">
        <v>45.0</v>
      </c>
      <c r="Z618" s="7">
        <f>VLOOKUP(A618,Jogos!A:L,3,0)</f>
        <v>54</v>
      </c>
      <c r="AA618" s="7">
        <f t="shared" si="7"/>
        <v>54</v>
      </c>
      <c r="AB618" s="7">
        <f>VLOOKUP(A618,Jogos!A:L,4,0)</f>
        <v>53</v>
      </c>
      <c r="AC618" s="7">
        <f t="shared" si="657"/>
        <v>0</v>
      </c>
      <c r="AD618" s="7"/>
      <c r="AE618" s="7"/>
      <c r="AF618" s="7">
        <f t="shared" si="9"/>
        <v>54</v>
      </c>
      <c r="AG618" s="7">
        <v>5509.4</v>
      </c>
      <c r="AH618" s="7">
        <v>2095.4</v>
      </c>
      <c r="AI618" s="7">
        <v>2463.1</v>
      </c>
      <c r="AJ618" s="7">
        <v>748.0</v>
      </c>
      <c r="AK618" s="7">
        <v>187.2</v>
      </c>
      <c r="AL618" s="7">
        <v>15.8</v>
      </c>
      <c r="AM618" s="7">
        <v>52.0</v>
      </c>
      <c r="AN618" s="7">
        <v>13.0</v>
      </c>
      <c r="AO618" s="7">
        <v>32.7</v>
      </c>
      <c r="AP618" s="9">
        <f t="shared" ref="AP618:AR618" si="1930">AG618/$AF618</f>
        <v>102.0259259</v>
      </c>
      <c r="AQ618" s="9">
        <f t="shared" si="1930"/>
        <v>38.8037037</v>
      </c>
      <c r="AR618" s="9">
        <f t="shared" si="1930"/>
        <v>45.61296296</v>
      </c>
      <c r="AS618" s="9">
        <f t="shared" si="11"/>
        <v>84.41666667</v>
      </c>
      <c r="AT618" s="9">
        <f t="shared" ref="AT618:AV618" si="1931">AJ618/$AF618</f>
        <v>13.85185185</v>
      </c>
      <c r="AU618" s="9">
        <f t="shared" si="1931"/>
        <v>3.466666667</v>
      </c>
      <c r="AV618" s="9">
        <f t="shared" si="1931"/>
        <v>0.2925925926</v>
      </c>
      <c r="AW618" s="9">
        <f t="shared" si="13"/>
        <v>3.759259259</v>
      </c>
      <c r="AX618" s="9">
        <f t="shared" ref="AX618:AY618" si="1932">AM618/$AF618</f>
        <v>0.962962963</v>
      </c>
      <c r="AY618" s="9">
        <f t="shared" si="1932"/>
        <v>0.2407407407</v>
      </c>
      <c r="AZ618" s="9">
        <f>VLOOKUP(A618,Jogos!A:BN,58,0)</f>
        <v>29.3875</v>
      </c>
      <c r="BA618" s="9">
        <f>VLOOKUP(A618,Jogos!A:BN,59,0)</f>
        <v>23.7125</v>
      </c>
      <c r="BB618" s="9">
        <f>VLOOKUP(A618,Jogos!A:BN,60,0)</f>
        <v>71</v>
      </c>
      <c r="BC618" s="9">
        <f>VLOOKUP(A618,Jogos!A:BN,61,0)</f>
        <v>29.3875</v>
      </c>
      <c r="BD618" s="9">
        <f>VLOOKUP(A618,Jogos!A:BN,62,0)</f>
        <v>752.7</v>
      </c>
      <c r="BE618" s="9">
        <f>VLOOKUP(A618,Jogos!A:BN,63,0)</f>
        <v>1.0775</v>
      </c>
      <c r="BF618" s="9">
        <f>VLOOKUP(A618,Jogos!A:BN,64,0)</f>
        <v>25.7575</v>
      </c>
      <c r="BG618" s="9">
        <f>VLOOKUP(A618,Jogos!A:BN,65,0)</f>
        <v>45.2725</v>
      </c>
      <c r="BH618" s="9">
        <f>VLOOKUP(A618,Jogos!A:BN,66,0)</f>
        <v>30.0225</v>
      </c>
      <c r="BI618" s="9"/>
    </row>
    <row r="619" hidden="1">
      <c r="A619" s="10">
        <v>21.0</v>
      </c>
      <c r="B619" s="11" t="s">
        <v>121</v>
      </c>
      <c r="C619" s="2" t="s">
        <v>61</v>
      </c>
      <c r="D619" s="12">
        <v>45828.0</v>
      </c>
      <c r="E619" s="13">
        <v>0.5</v>
      </c>
      <c r="F619" s="5" t="str">
        <f>VLOOKUP(A619,Jogos!A:N,10,0)</f>
        <v>Afternoon</v>
      </c>
      <c r="G619" s="11" t="s">
        <v>686</v>
      </c>
      <c r="H619" s="6" t="str">
        <f>VLOOKUP(A619,Jogos!A:L,12,0)</f>
        <v>Open</v>
      </c>
      <c r="I619" s="6" t="str">
        <f>VLOOKUP(G619,'Estádios e Cidades'!A:B,2,0)</f>
        <v>Orlando</v>
      </c>
      <c r="J619" s="11" t="s">
        <v>124</v>
      </c>
      <c r="K619" s="2" t="str">
        <f>VLOOKUP(J619,Equipes!A:F,6,0)</f>
        <v>Temperate</v>
      </c>
      <c r="L619" s="2">
        <f>VLOOKUP(J619,Equipes!A:C,3,0)</f>
        <v>27</v>
      </c>
      <c r="M619" s="2" t="str">
        <f t="shared" si="4"/>
        <v>Group</v>
      </c>
      <c r="N619" s="11" t="s">
        <v>441</v>
      </c>
      <c r="O619" s="2">
        <f>VLOOKUP(N619,Equipes!A:C,3,0)</f>
        <v>10</v>
      </c>
      <c r="P619" s="2" t="str">
        <f t="shared" si="5"/>
        <v>Round of 16</v>
      </c>
      <c r="Q619" s="2">
        <f t="shared" si="6"/>
        <v>17</v>
      </c>
      <c r="R619" s="2" t="str">
        <f>VLOOKUP(J619,Equipes!A:B,2,0)</f>
        <v>Auckland</v>
      </c>
      <c r="S619" s="6" t="s">
        <v>171</v>
      </c>
      <c r="T619" s="7">
        <v>25.0</v>
      </c>
      <c r="U619" s="7" t="s">
        <v>172</v>
      </c>
      <c r="V619" s="7" t="str">
        <f>VLOOKUP(U619,Jogadores!B:C,2,0)</f>
        <v>MF</v>
      </c>
      <c r="W619" s="8">
        <f>VLOOKUP(U619,Jogadores!B:D,3,0)</f>
        <v>29.30684932</v>
      </c>
      <c r="X619" s="7">
        <v>0.0</v>
      </c>
      <c r="Y619" s="7">
        <v>79.0</v>
      </c>
      <c r="Z619" s="7">
        <f>VLOOKUP(A619,Jogos!A:L,3,0)</f>
        <v>54</v>
      </c>
      <c r="AA619" s="7">
        <f t="shared" si="7"/>
        <v>54</v>
      </c>
      <c r="AB619" s="7">
        <f>VLOOKUP(A619,Jogos!A:L,4,0)</f>
        <v>53</v>
      </c>
      <c r="AC619" s="7">
        <f t="shared" si="657"/>
        <v>34</v>
      </c>
      <c r="AD619" s="7"/>
      <c r="AE619" s="7"/>
      <c r="AF619" s="7">
        <f t="shared" si="9"/>
        <v>88</v>
      </c>
      <c r="AG619" s="7">
        <v>8551.8</v>
      </c>
      <c r="AH619" s="7">
        <v>4022.5</v>
      </c>
      <c r="AI619" s="7">
        <v>3590.1</v>
      </c>
      <c r="AJ619" s="7">
        <v>664.7</v>
      </c>
      <c r="AK619" s="7">
        <v>235.7</v>
      </c>
      <c r="AL619" s="7">
        <v>38.8</v>
      </c>
      <c r="AM619" s="7">
        <v>62.0</v>
      </c>
      <c r="AN619" s="7">
        <v>16.0</v>
      </c>
      <c r="AO619" s="7">
        <v>26.2</v>
      </c>
      <c r="AP619" s="9">
        <f t="shared" ref="AP619:AR619" si="1933">AG619/$AF619</f>
        <v>97.17954545</v>
      </c>
      <c r="AQ619" s="9">
        <f t="shared" si="1933"/>
        <v>45.71022727</v>
      </c>
      <c r="AR619" s="9">
        <f t="shared" si="1933"/>
        <v>40.79659091</v>
      </c>
      <c r="AS619" s="9">
        <f t="shared" si="11"/>
        <v>86.50681818</v>
      </c>
      <c r="AT619" s="9">
        <f t="shared" ref="AT619:AV619" si="1934">AJ619/$AF619</f>
        <v>7.553409091</v>
      </c>
      <c r="AU619" s="9">
        <f t="shared" si="1934"/>
        <v>2.678409091</v>
      </c>
      <c r="AV619" s="9">
        <f t="shared" si="1934"/>
        <v>0.4409090909</v>
      </c>
      <c r="AW619" s="9">
        <f t="shared" si="13"/>
        <v>3.119318182</v>
      </c>
      <c r="AX619" s="9">
        <f t="shared" ref="AX619:AY619" si="1935">AM619/$AF619</f>
        <v>0.7045454545</v>
      </c>
      <c r="AY619" s="9">
        <f t="shared" si="1935"/>
        <v>0.1818181818</v>
      </c>
      <c r="AZ619" s="9">
        <f>VLOOKUP(A619,Jogos!A:BN,58,0)</f>
        <v>29.3875</v>
      </c>
      <c r="BA619" s="9">
        <f>VLOOKUP(A619,Jogos!A:BN,59,0)</f>
        <v>23.7125</v>
      </c>
      <c r="BB619" s="9">
        <f>VLOOKUP(A619,Jogos!A:BN,60,0)</f>
        <v>71</v>
      </c>
      <c r="BC619" s="9">
        <f>VLOOKUP(A619,Jogos!A:BN,61,0)</f>
        <v>29.3875</v>
      </c>
      <c r="BD619" s="9">
        <f>VLOOKUP(A619,Jogos!A:BN,62,0)</f>
        <v>752.7</v>
      </c>
      <c r="BE619" s="9">
        <f>VLOOKUP(A619,Jogos!A:BN,63,0)</f>
        <v>1.0775</v>
      </c>
      <c r="BF619" s="9">
        <f>VLOOKUP(A619,Jogos!A:BN,64,0)</f>
        <v>25.7575</v>
      </c>
      <c r="BG619" s="9">
        <f>VLOOKUP(A619,Jogos!A:BN,65,0)</f>
        <v>45.2725</v>
      </c>
      <c r="BH619" s="9">
        <f>VLOOKUP(A619,Jogos!A:BN,66,0)</f>
        <v>30.0225</v>
      </c>
      <c r="BI619" s="9"/>
    </row>
    <row r="620" hidden="1">
      <c r="A620" s="10">
        <v>21.0</v>
      </c>
      <c r="B620" s="11" t="s">
        <v>121</v>
      </c>
      <c r="C620" s="2" t="s">
        <v>61</v>
      </c>
      <c r="D620" s="12">
        <v>45828.0</v>
      </c>
      <c r="E620" s="13">
        <v>0.5</v>
      </c>
      <c r="F620" s="5" t="str">
        <f>VLOOKUP(A620,Jogos!A:N,10,0)</f>
        <v>Afternoon</v>
      </c>
      <c r="G620" s="11" t="s">
        <v>686</v>
      </c>
      <c r="H620" s="6" t="str">
        <f>VLOOKUP(A620,Jogos!A:L,12,0)</f>
        <v>Open</v>
      </c>
      <c r="I620" s="6" t="str">
        <f>VLOOKUP(G620,'Estádios e Cidades'!A:B,2,0)</f>
        <v>Orlando</v>
      </c>
      <c r="J620" s="11" t="s">
        <v>124</v>
      </c>
      <c r="K620" s="2" t="str">
        <f>VLOOKUP(J620,Equipes!A:F,6,0)</f>
        <v>Temperate</v>
      </c>
      <c r="L620" s="2">
        <f>VLOOKUP(J620,Equipes!A:C,3,0)</f>
        <v>27</v>
      </c>
      <c r="M620" s="2" t="str">
        <f t="shared" si="4"/>
        <v>Group</v>
      </c>
      <c r="N620" s="11" t="s">
        <v>441</v>
      </c>
      <c r="O620" s="2">
        <f>VLOOKUP(N620,Equipes!A:C,3,0)</f>
        <v>10</v>
      </c>
      <c r="P620" s="2" t="str">
        <f t="shared" si="5"/>
        <v>Round of 16</v>
      </c>
      <c r="Q620" s="2">
        <f t="shared" si="6"/>
        <v>17</v>
      </c>
      <c r="R620" s="2" t="str">
        <f>VLOOKUP(J620,Equipes!A:B,2,0)</f>
        <v>Auckland</v>
      </c>
      <c r="S620" s="6" t="s">
        <v>173</v>
      </c>
      <c r="T620" s="7">
        <v>26.0</v>
      </c>
      <c r="U620" s="7" t="s">
        <v>174</v>
      </c>
      <c r="V620" s="7" t="str">
        <f>VLOOKUP(U620,Jogadores!B:C,2,0)</f>
        <v>FW</v>
      </c>
      <c r="W620" s="8">
        <f>VLOOKUP(U620,Jogadores!B:D,3,0)</f>
        <v>25.65753425</v>
      </c>
      <c r="X620" s="7">
        <v>0.0</v>
      </c>
      <c r="Y620" s="7">
        <v>61.0</v>
      </c>
      <c r="Z620" s="7">
        <f>VLOOKUP(A620,Jogos!A:L,3,0)</f>
        <v>54</v>
      </c>
      <c r="AA620" s="7">
        <f t="shared" si="7"/>
        <v>54</v>
      </c>
      <c r="AB620" s="7">
        <f>VLOOKUP(A620,Jogos!A:L,4,0)</f>
        <v>53</v>
      </c>
      <c r="AC620" s="7">
        <f t="shared" si="657"/>
        <v>16</v>
      </c>
      <c r="AD620" s="7"/>
      <c r="AE620" s="7"/>
      <c r="AF620" s="7">
        <f t="shared" si="9"/>
        <v>70</v>
      </c>
      <c r="AG620" s="7">
        <v>8022.4</v>
      </c>
      <c r="AH620" s="7">
        <v>2448.8</v>
      </c>
      <c r="AI620" s="7">
        <v>4167.2</v>
      </c>
      <c r="AJ620" s="7">
        <v>1080.4</v>
      </c>
      <c r="AK620" s="7">
        <v>262.8</v>
      </c>
      <c r="AL620" s="7">
        <v>63.3</v>
      </c>
      <c r="AM620" s="7">
        <v>90.0</v>
      </c>
      <c r="AN620" s="7">
        <v>20.0</v>
      </c>
      <c r="AO620" s="7">
        <v>30.4</v>
      </c>
      <c r="AP620" s="9">
        <f t="shared" ref="AP620:AR620" si="1936">AG620/$AF620</f>
        <v>114.6057143</v>
      </c>
      <c r="AQ620" s="9">
        <f t="shared" si="1936"/>
        <v>34.98285714</v>
      </c>
      <c r="AR620" s="9">
        <f t="shared" si="1936"/>
        <v>59.53142857</v>
      </c>
      <c r="AS620" s="9">
        <f t="shared" si="11"/>
        <v>94.51428571</v>
      </c>
      <c r="AT620" s="9">
        <f t="shared" ref="AT620:AV620" si="1937">AJ620/$AF620</f>
        <v>15.43428571</v>
      </c>
      <c r="AU620" s="9">
        <f t="shared" si="1937"/>
        <v>3.754285714</v>
      </c>
      <c r="AV620" s="9">
        <f t="shared" si="1937"/>
        <v>0.9042857143</v>
      </c>
      <c r="AW620" s="9">
        <f t="shared" si="13"/>
        <v>4.658571429</v>
      </c>
      <c r="AX620" s="9">
        <f t="shared" ref="AX620:AY620" si="1938">AM620/$AF620</f>
        <v>1.285714286</v>
      </c>
      <c r="AY620" s="9">
        <f t="shared" si="1938"/>
        <v>0.2857142857</v>
      </c>
      <c r="AZ620" s="9">
        <f>VLOOKUP(A620,Jogos!A:BN,58,0)</f>
        <v>29.3875</v>
      </c>
      <c r="BA620" s="9">
        <f>VLOOKUP(A620,Jogos!A:BN,59,0)</f>
        <v>23.7125</v>
      </c>
      <c r="BB620" s="9">
        <f>VLOOKUP(A620,Jogos!A:BN,60,0)</f>
        <v>71</v>
      </c>
      <c r="BC620" s="9">
        <f>VLOOKUP(A620,Jogos!A:BN,61,0)</f>
        <v>29.3875</v>
      </c>
      <c r="BD620" s="9">
        <f>VLOOKUP(A620,Jogos!A:BN,62,0)</f>
        <v>752.7</v>
      </c>
      <c r="BE620" s="9">
        <f>VLOOKUP(A620,Jogos!A:BN,63,0)</f>
        <v>1.0775</v>
      </c>
      <c r="BF620" s="9">
        <f>VLOOKUP(A620,Jogos!A:BN,64,0)</f>
        <v>25.7575</v>
      </c>
      <c r="BG620" s="9">
        <f>VLOOKUP(A620,Jogos!A:BN,65,0)</f>
        <v>45.2725</v>
      </c>
      <c r="BH620" s="9">
        <f>VLOOKUP(A620,Jogos!A:BN,66,0)</f>
        <v>30.0225</v>
      </c>
      <c r="BI620" s="9"/>
    </row>
    <row r="621" hidden="1">
      <c r="A621" s="10">
        <v>21.0</v>
      </c>
      <c r="B621" s="11" t="s">
        <v>121</v>
      </c>
      <c r="C621" s="2" t="s">
        <v>61</v>
      </c>
      <c r="D621" s="12">
        <v>45828.0</v>
      </c>
      <c r="E621" s="13">
        <v>0.5</v>
      </c>
      <c r="F621" s="5" t="str">
        <f>VLOOKUP(A621,Jogos!A:N,10,0)</f>
        <v>Afternoon</v>
      </c>
      <c r="G621" s="11" t="s">
        <v>686</v>
      </c>
      <c r="H621" s="6" t="str">
        <f>VLOOKUP(A621,Jogos!A:L,12,0)</f>
        <v>Open</v>
      </c>
      <c r="I621" s="6" t="str">
        <f>VLOOKUP(G621,'Estádios e Cidades'!A:B,2,0)</f>
        <v>Orlando</v>
      </c>
      <c r="J621" s="11" t="s">
        <v>124</v>
      </c>
      <c r="K621" s="2" t="str">
        <f>VLOOKUP(J621,Equipes!A:F,6,0)</f>
        <v>Temperate</v>
      </c>
      <c r="L621" s="2">
        <f>VLOOKUP(J621,Equipes!A:C,3,0)</f>
        <v>27</v>
      </c>
      <c r="M621" s="2" t="str">
        <f t="shared" si="4"/>
        <v>Group</v>
      </c>
      <c r="N621" s="11" t="s">
        <v>441</v>
      </c>
      <c r="O621" s="2">
        <f>VLOOKUP(N621,Equipes!A:C,3,0)</f>
        <v>10</v>
      </c>
      <c r="P621" s="2" t="str">
        <f t="shared" si="5"/>
        <v>Round of 16</v>
      </c>
      <c r="Q621" s="2">
        <f t="shared" si="6"/>
        <v>17</v>
      </c>
      <c r="R621" s="2" t="str">
        <f>VLOOKUP(J621,Equipes!A:B,2,0)</f>
        <v>Auckland</v>
      </c>
      <c r="S621" s="6" t="s">
        <v>1113</v>
      </c>
      <c r="T621" s="7">
        <v>27.0</v>
      </c>
      <c r="U621" s="7" t="s">
        <v>1114</v>
      </c>
      <c r="V621" s="7" t="str">
        <f>VLOOKUP(U621,Jogadores!B:C,2,0)</f>
        <v>FW</v>
      </c>
      <c r="W621" s="8">
        <f>VLOOKUP(U621,Jogadores!B:D,3,0)</f>
        <v>24.21917808</v>
      </c>
      <c r="X621" s="7">
        <v>0.0</v>
      </c>
      <c r="Y621" s="7">
        <v>60.0</v>
      </c>
      <c r="Z621" s="7">
        <f>VLOOKUP(A621,Jogos!A:L,3,0)</f>
        <v>54</v>
      </c>
      <c r="AA621" s="7">
        <f t="shared" si="7"/>
        <v>54</v>
      </c>
      <c r="AB621" s="7">
        <f>VLOOKUP(A621,Jogos!A:L,4,0)</f>
        <v>53</v>
      </c>
      <c r="AC621" s="7">
        <f t="shared" si="657"/>
        <v>15</v>
      </c>
      <c r="AD621" s="7"/>
      <c r="AE621" s="7"/>
      <c r="AF621" s="7">
        <f t="shared" si="9"/>
        <v>69</v>
      </c>
      <c r="AG621" s="7">
        <v>7178.0</v>
      </c>
      <c r="AH621" s="7">
        <v>2823.4</v>
      </c>
      <c r="AI621" s="7">
        <v>3052.3</v>
      </c>
      <c r="AJ621" s="7">
        <v>1017.6</v>
      </c>
      <c r="AK621" s="7">
        <v>207.6</v>
      </c>
      <c r="AL621" s="7">
        <v>77.1</v>
      </c>
      <c r="AM621" s="7">
        <v>72.0</v>
      </c>
      <c r="AN621" s="7">
        <v>16.0</v>
      </c>
      <c r="AO621" s="7">
        <v>31.0</v>
      </c>
      <c r="AP621" s="9">
        <f t="shared" ref="AP621:AR621" si="1939">AG621/$AF621</f>
        <v>104.0289855</v>
      </c>
      <c r="AQ621" s="9">
        <f t="shared" si="1939"/>
        <v>40.91884058</v>
      </c>
      <c r="AR621" s="9">
        <f t="shared" si="1939"/>
        <v>44.23623188</v>
      </c>
      <c r="AS621" s="9">
        <f t="shared" si="11"/>
        <v>85.15507246</v>
      </c>
      <c r="AT621" s="9">
        <f t="shared" ref="AT621:AV621" si="1940">AJ621/$AF621</f>
        <v>14.74782609</v>
      </c>
      <c r="AU621" s="9">
        <f t="shared" si="1940"/>
        <v>3.008695652</v>
      </c>
      <c r="AV621" s="9">
        <f t="shared" si="1940"/>
        <v>1.117391304</v>
      </c>
      <c r="AW621" s="9">
        <f t="shared" si="13"/>
        <v>4.126086957</v>
      </c>
      <c r="AX621" s="9">
        <f t="shared" ref="AX621:AY621" si="1941">AM621/$AF621</f>
        <v>1.043478261</v>
      </c>
      <c r="AY621" s="9">
        <f t="shared" si="1941"/>
        <v>0.231884058</v>
      </c>
      <c r="AZ621" s="9">
        <f>VLOOKUP(A621,Jogos!A:BN,58,0)</f>
        <v>29.3875</v>
      </c>
      <c r="BA621" s="9">
        <f>VLOOKUP(A621,Jogos!A:BN,59,0)</f>
        <v>23.7125</v>
      </c>
      <c r="BB621" s="9">
        <f>VLOOKUP(A621,Jogos!A:BN,60,0)</f>
        <v>71</v>
      </c>
      <c r="BC621" s="9">
        <f>VLOOKUP(A621,Jogos!A:BN,61,0)</f>
        <v>29.3875</v>
      </c>
      <c r="BD621" s="9">
        <f>VLOOKUP(A621,Jogos!A:BN,62,0)</f>
        <v>752.7</v>
      </c>
      <c r="BE621" s="9">
        <f>VLOOKUP(A621,Jogos!A:BN,63,0)</f>
        <v>1.0775</v>
      </c>
      <c r="BF621" s="9">
        <f>VLOOKUP(A621,Jogos!A:BN,64,0)</f>
        <v>25.7575</v>
      </c>
      <c r="BG621" s="9">
        <f>VLOOKUP(A621,Jogos!A:BN,65,0)</f>
        <v>45.2725</v>
      </c>
      <c r="BH621" s="9">
        <f>VLOOKUP(A621,Jogos!A:BN,66,0)</f>
        <v>30.0225</v>
      </c>
      <c r="BI621" s="9"/>
    </row>
    <row r="622" hidden="1">
      <c r="A622" s="10">
        <v>21.0</v>
      </c>
      <c r="B622" s="11" t="s">
        <v>121</v>
      </c>
      <c r="C622" s="2" t="s">
        <v>61</v>
      </c>
      <c r="D622" s="12">
        <v>45828.0</v>
      </c>
      <c r="E622" s="13">
        <v>0.5</v>
      </c>
      <c r="F622" s="5" t="str">
        <f>VLOOKUP(A622,Jogos!A:N,10,0)</f>
        <v>Afternoon</v>
      </c>
      <c r="G622" s="11" t="s">
        <v>686</v>
      </c>
      <c r="H622" s="6" t="str">
        <f>VLOOKUP(A622,Jogos!A:L,12,0)</f>
        <v>Open</v>
      </c>
      <c r="I622" s="6" t="str">
        <f>VLOOKUP(G622,'Estádios e Cidades'!A:B,2,0)</f>
        <v>Orlando</v>
      </c>
      <c r="J622" s="11" t="s">
        <v>124</v>
      </c>
      <c r="K622" s="2" t="str">
        <f>VLOOKUP(J622,Equipes!A:F,6,0)</f>
        <v>Temperate</v>
      </c>
      <c r="L622" s="2">
        <f>VLOOKUP(J622,Equipes!A:C,3,0)</f>
        <v>27</v>
      </c>
      <c r="M622" s="2" t="str">
        <f t="shared" si="4"/>
        <v>Group</v>
      </c>
      <c r="N622" s="11" t="s">
        <v>441</v>
      </c>
      <c r="O622" s="2">
        <f>VLOOKUP(N622,Equipes!A:C,3,0)</f>
        <v>10</v>
      </c>
      <c r="P622" s="2" t="str">
        <f t="shared" si="5"/>
        <v>Round of 16</v>
      </c>
      <c r="Q622" s="2">
        <f t="shared" si="6"/>
        <v>17</v>
      </c>
      <c r="R622" s="2" t="str">
        <f>VLOOKUP(J622,Equipes!A:B,2,0)</f>
        <v>Auckland</v>
      </c>
      <c r="S622" s="6" t="s">
        <v>1115</v>
      </c>
      <c r="T622" s="7">
        <v>4.0</v>
      </c>
      <c r="U622" s="7" t="s">
        <v>1116</v>
      </c>
      <c r="V622" s="7" t="str">
        <f>VLOOKUP(U622,Jogadores!B:C,2,0)</f>
        <v>DF</v>
      </c>
      <c r="W622" s="8">
        <f>VLOOKUP(U622,Jogadores!B:D,3,0)</f>
        <v>28.67945205</v>
      </c>
      <c r="X622" s="7">
        <v>79.0</v>
      </c>
      <c r="Y622" s="7">
        <f t="shared" ref="Y622:Y630" si="1945">45+AB622</f>
        <v>98</v>
      </c>
      <c r="Z622" s="7">
        <f>VLOOKUP(A622,Jogos!A:L,3,0)</f>
        <v>54</v>
      </c>
      <c r="AA622" s="7">
        <f t="shared" si="7"/>
        <v>0</v>
      </c>
      <c r="AB622" s="7">
        <f>VLOOKUP(A622,Jogos!A:L,4,0)</f>
        <v>53</v>
      </c>
      <c r="AC622" s="7">
        <f t="shared" si="657"/>
        <v>19</v>
      </c>
      <c r="AD622" s="7"/>
      <c r="AE622" s="7"/>
      <c r="AF622" s="7">
        <f t="shared" si="9"/>
        <v>19</v>
      </c>
      <c r="AG622" s="7">
        <v>1811.9</v>
      </c>
      <c r="AH622" s="7">
        <v>768.2</v>
      </c>
      <c r="AI622" s="7">
        <v>703.1</v>
      </c>
      <c r="AJ622" s="7">
        <v>201.0</v>
      </c>
      <c r="AK622" s="7">
        <v>116.6</v>
      </c>
      <c r="AL622" s="7">
        <v>23.0</v>
      </c>
      <c r="AM622" s="7">
        <v>15.0</v>
      </c>
      <c r="AN622" s="7">
        <v>7.0</v>
      </c>
      <c r="AO622" s="7">
        <v>32.3</v>
      </c>
      <c r="AP622" s="9">
        <f t="shared" ref="AP622:AR622" si="1942">AG622/$AF622</f>
        <v>95.36315789</v>
      </c>
      <c r="AQ622" s="9">
        <f t="shared" si="1942"/>
        <v>40.43157895</v>
      </c>
      <c r="AR622" s="9">
        <f t="shared" si="1942"/>
        <v>37.00526316</v>
      </c>
      <c r="AS622" s="9">
        <f t="shared" si="11"/>
        <v>77.43684211</v>
      </c>
      <c r="AT622" s="9">
        <f t="shared" ref="AT622:AV622" si="1943">AJ622/$AF622</f>
        <v>10.57894737</v>
      </c>
      <c r="AU622" s="9">
        <f t="shared" si="1943"/>
        <v>6.136842105</v>
      </c>
      <c r="AV622" s="9">
        <f t="shared" si="1943"/>
        <v>1.210526316</v>
      </c>
      <c r="AW622" s="9">
        <f t="shared" si="13"/>
        <v>7.347368421</v>
      </c>
      <c r="AX622" s="9">
        <f t="shared" ref="AX622:AY622" si="1944">AM622/$AF622</f>
        <v>0.7894736842</v>
      </c>
      <c r="AY622" s="9">
        <f t="shared" si="1944"/>
        <v>0.3684210526</v>
      </c>
      <c r="AZ622" s="9">
        <f>VLOOKUP(A622,Jogos!A:BN,58,0)</f>
        <v>29.3875</v>
      </c>
      <c r="BA622" s="9">
        <f>VLOOKUP(A622,Jogos!A:BN,59,0)</f>
        <v>23.7125</v>
      </c>
      <c r="BB622" s="9">
        <f>VLOOKUP(A622,Jogos!A:BN,60,0)</f>
        <v>71</v>
      </c>
      <c r="BC622" s="9">
        <f>VLOOKUP(A622,Jogos!A:BN,61,0)</f>
        <v>29.3875</v>
      </c>
      <c r="BD622" s="9">
        <f>VLOOKUP(A622,Jogos!A:BN,62,0)</f>
        <v>752.7</v>
      </c>
      <c r="BE622" s="9">
        <f>VLOOKUP(A622,Jogos!A:BN,63,0)</f>
        <v>1.0775</v>
      </c>
      <c r="BF622" s="9">
        <f>VLOOKUP(A622,Jogos!A:BN,64,0)</f>
        <v>25.7575</v>
      </c>
      <c r="BG622" s="9">
        <f>VLOOKUP(A622,Jogos!A:BN,65,0)</f>
        <v>45.2725</v>
      </c>
      <c r="BH622" s="9">
        <f>VLOOKUP(A622,Jogos!A:BN,66,0)</f>
        <v>30.0225</v>
      </c>
      <c r="BI622" s="9"/>
    </row>
    <row r="623" hidden="1">
      <c r="A623" s="10">
        <v>21.0</v>
      </c>
      <c r="B623" s="11" t="s">
        <v>121</v>
      </c>
      <c r="C623" s="2" t="s">
        <v>61</v>
      </c>
      <c r="D623" s="12">
        <v>45828.0</v>
      </c>
      <c r="E623" s="13">
        <v>0.5</v>
      </c>
      <c r="F623" s="5" t="str">
        <f>VLOOKUP(A623,Jogos!A:N,10,0)</f>
        <v>Afternoon</v>
      </c>
      <c r="G623" s="11" t="s">
        <v>686</v>
      </c>
      <c r="H623" s="6" t="str">
        <f>VLOOKUP(A623,Jogos!A:L,12,0)</f>
        <v>Open</v>
      </c>
      <c r="I623" s="6" t="str">
        <f>VLOOKUP(G623,'Estádios e Cidades'!A:B,2,0)</f>
        <v>Orlando</v>
      </c>
      <c r="J623" s="11" t="s">
        <v>124</v>
      </c>
      <c r="K623" s="2" t="str">
        <f>VLOOKUP(J623,Equipes!A:F,6,0)</f>
        <v>Temperate</v>
      </c>
      <c r="L623" s="2">
        <f>VLOOKUP(J623,Equipes!A:C,3,0)</f>
        <v>27</v>
      </c>
      <c r="M623" s="2" t="str">
        <f t="shared" si="4"/>
        <v>Group</v>
      </c>
      <c r="N623" s="11" t="s">
        <v>441</v>
      </c>
      <c r="O623" s="2">
        <f>VLOOKUP(N623,Equipes!A:C,3,0)</f>
        <v>10</v>
      </c>
      <c r="P623" s="2" t="str">
        <f t="shared" si="5"/>
        <v>Round of 16</v>
      </c>
      <c r="Q623" s="2">
        <f t="shared" si="6"/>
        <v>17</v>
      </c>
      <c r="R623" s="2" t="str">
        <f>VLOOKUP(J623,Equipes!A:B,2,0)</f>
        <v>Auckland</v>
      </c>
      <c r="S623" s="6" t="s">
        <v>1117</v>
      </c>
      <c r="T623" s="7">
        <v>6.0</v>
      </c>
      <c r="U623" s="7" t="s">
        <v>1118</v>
      </c>
      <c r="V623" s="7" t="str">
        <f>VLOOKUP(U623,Jogadores!B:C,2,0)</f>
        <v>MF</v>
      </c>
      <c r="W623" s="8">
        <f>VLOOKUP(U623,Jogadores!B:D,3,0)</f>
        <v>22.43835616</v>
      </c>
      <c r="X623" s="7">
        <v>60.0</v>
      </c>
      <c r="Y623" s="7">
        <f t="shared" si="1945"/>
        <v>98</v>
      </c>
      <c r="Z623" s="7">
        <f>VLOOKUP(A623,Jogos!A:L,3,0)</f>
        <v>54</v>
      </c>
      <c r="AA623" s="7">
        <f t="shared" si="7"/>
        <v>0</v>
      </c>
      <c r="AB623" s="7">
        <f>VLOOKUP(A623,Jogos!A:L,4,0)</f>
        <v>53</v>
      </c>
      <c r="AC623" s="7">
        <f t="shared" si="657"/>
        <v>38</v>
      </c>
      <c r="AD623" s="7"/>
      <c r="AE623" s="7"/>
      <c r="AF623" s="7">
        <f t="shared" si="9"/>
        <v>38</v>
      </c>
      <c r="AG623" s="7">
        <v>4201.7</v>
      </c>
      <c r="AH623" s="7">
        <v>1361.6</v>
      </c>
      <c r="AI623" s="7">
        <v>1935.7</v>
      </c>
      <c r="AJ623" s="7">
        <v>701.5</v>
      </c>
      <c r="AK623" s="7">
        <v>190.4</v>
      </c>
      <c r="AL623" s="7">
        <v>12.5</v>
      </c>
      <c r="AM623" s="7">
        <v>57.0</v>
      </c>
      <c r="AN623" s="7">
        <v>11.0</v>
      </c>
      <c r="AO623" s="7">
        <v>28.6</v>
      </c>
      <c r="AP623" s="9">
        <f t="shared" ref="AP623:AR623" si="1946">AG623/$AF623</f>
        <v>110.5710526</v>
      </c>
      <c r="AQ623" s="9">
        <f t="shared" si="1946"/>
        <v>35.83157895</v>
      </c>
      <c r="AR623" s="9">
        <f t="shared" si="1946"/>
        <v>50.93947368</v>
      </c>
      <c r="AS623" s="9">
        <f t="shared" si="11"/>
        <v>86.77105263</v>
      </c>
      <c r="AT623" s="9">
        <f t="shared" ref="AT623:AV623" si="1947">AJ623/$AF623</f>
        <v>18.46052632</v>
      </c>
      <c r="AU623" s="9">
        <f t="shared" si="1947"/>
        <v>5.010526316</v>
      </c>
      <c r="AV623" s="9">
        <f t="shared" si="1947"/>
        <v>0.3289473684</v>
      </c>
      <c r="AW623" s="9">
        <f t="shared" si="13"/>
        <v>5.339473684</v>
      </c>
      <c r="AX623" s="9">
        <f t="shared" ref="AX623:AY623" si="1948">AM623/$AF623</f>
        <v>1.5</v>
      </c>
      <c r="AY623" s="9">
        <f t="shared" si="1948"/>
        <v>0.2894736842</v>
      </c>
      <c r="AZ623" s="9">
        <f>VLOOKUP(A623,Jogos!A:BN,58,0)</f>
        <v>29.3875</v>
      </c>
      <c r="BA623" s="9">
        <f>VLOOKUP(A623,Jogos!A:BN,59,0)</f>
        <v>23.7125</v>
      </c>
      <c r="BB623" s="9">
        <f>VLOOKUP(A623,Jogos!A:BN,60,0)</f>
        <v>71</v>
      </c>
      <c r="BC623" s="9">
        <f>VLOOKUP(A623,Jogos!A:BN,61,0)</f>
        <v>29.3875</v>
      </c>
      <c r="BD623" s="9">
        <f>VLOOKUP(A623,Jogos!A:BN,62,0)</f>
        <v>752.7</v>
      </c>
      <c r="BE623" s="9">
        <f>VLOOKUP(A623,Jogos!A:BN,63,0)</f>
        <v>1.0775</v>
      </c>
      <c r="BF623" s="9">
        <f>VLOOKUP(A623,Jogos!A:BN,64,0)</f>
        <v>25.7575</v>
      </c>
      <c r="BG623" s="9">
        <f>VLOOKUP(A623,Jogos!A:BN,65,0)</f>
        <v>45.2725</v>
      </c>
      <c r="BH623" s="9">
        <f>VLOOKUP(A623,Jogos!A:BN,66,0)</f>
        <v>30.0225</v>
      </c>
      <c r="BI623" s="9"/>
    </row>
    <row r="624" hidden="1">
      <c r="A624" s="10">
        <v>21.0</v>
      </c>
      <c r="B624" s="11" t="s">
        <v>121</v>
      </c>
      <c r="C624" s="2" t="s">
        <v>61</v>
      </c>
      <c r="D624" s="12">
        <v>45828.0</v>
      </c>
      <c r="E624" s="13">
        <v>0.5</v>
      </c>
      <c r="F624" s="5" t="str">
        <f>VLOOKUP(A624,Jogos!A:N,10,0)</f>
        <v>Afternoon</v>
      </c>
      <c r="G624" s="11" t="s">
        <v>686</v>
      </c>
      <c r="H624" s="6" t="str">
        <f>VLOOKUP(A624,Jogos!A:L,12,0)</f>
        <v>Open</v>
      </c>
      <c r="I624" s="6" t="str">
        <f>VLOOKUP(G624,'Estádios e Cidades'!A:B,2,0)</f>
        <v>Orlando</v>
      </c>
      <c r="J624" s="11" t="s">
        <v>124</v>
      </c>
      <c r="K624" s="2" t="str">
        <f>VLOOKUP(J624,Equipes!A:F,6,0)</f>
        <v>Temperate</v>
      </c>
      <c r="L624" s="2">
        <f>VLOOKUP(J624,Equipes!A:C,3,0)</f>
        <v>27</v>
      </c>
      <c r="M624" s="2" t="str">
        <f t="shared" si="4"/>
        <v>Group</v>
      </c>
      <c r="N624" s="11" t="s">
        <v>441</v>
      </c>
      <c r="O624" s="2">
        <f>VLOOKUP(N624,Equipes!A:C,3,0)</f>
        <v>10</v>
      </c>
      <c r="P624" s="2" t="str">
        <f t="shared" si="5"/>
        <v>Round of 16</v>
      </c>
      <c r="Q624" s="2">
        <f t="shared" si="6"/>
        <v>17</v>
      </c>
      <c r="R624" s="2" t="str">
        <f>VLOOKUP(J624,Equipes!A:B,2,0)</f>
        <v>Auckland</v>
      </c>
      <c r="S624" s="6" t="s">
        <v>163</v>
      </c>
      <c r="T624" s="7">
        <v>8.0</v>
      </c>
      <c r="U624" s="7" t="s">
        <v>164</v>
      </c>
      <c r="V624" s="7" t="str">
        <f>VLOOKUP(U624,Jogadores!B:C,2,0)</f>
        <v>MF</v>
      </c>
      <c r="W624" s="8">
        <f>VLOOKUP(U624,Jogadores!B:D,3,0)</f>
        <v>32.1890411</v>
      </c>
      <c r="X624" s="7">
        <v>45.0</v>
      </c>
      <c r="Y624" s="7">
        <f t="shared" si="1945"/>
        <v>98</v>
      </c>
      <c r="Z624" s="7">
        <f>VLOOKUP(A624,Jogos!A:L,3,0)</f>
        <v>54</v>
      </c>
      <c r="AA624" s="7">
        <f t="shared" si="7"/>
        <v>0</v>
      </c>
      <c r="AB624" s="7">
        <f>VLOOKUP(A624,Jogos!A:L,4,0)</f>
        <v>53</v>
      </c>
      <c r="AC624" s="7">
        <f t="shared" si="657"/>
        <v>53</v>
      </c>
      <c r="AD624" s="7"/>
      <c r="AE624" s="7"/>
      <c r="AF624" s="7">
        <f t="shared" si="9"/>
        <v>53</v>
      </c>
      <c r="AG624" s="7">
        <v>7036.2</v>
      </c>
      <c r="AH624" s="7">
        <v>1894.7</v>
      </c>
      <c r="AI624" s="7">
        <v>3039.1</v>
      </c>
      <c r="AJ624" s="7">
        <v>1656.5</v>
      </c>
      <c r="AK624" s="7">
        <v>362.4</v>
      </c>
      <c r="AL624" s="7">
        <v>83.6</v>
      </c>
      <c r="AM624" s="7">
        <v>121.0</v>
      </c>
      <c r="AN624" s="7">
        <v>28.0</v>
      </c>
      <c r="AO624" s="7">
        <v>27.0</v>
      </c>
      <c r="AP624" s="9">
        <f t="shared" ref="AP624:AR624" si="1949">AG624/$AF624</f>
        <v>132.7584906</v>
      </c>
      <c r="AQ624" s="9">
        <f t="shared" si="1949"/>
        <v>35.7490566</v>
      </c>
      <c r="AR624" s="9">
        <f t="shared" si="1949"/>
        <v>57.34150943</v>
      </c>
      <c r="AS624" s="9">
        <f t="shared" si="11"/>
        <v>93.09056604</v>
      </c>
      <c r="AT624" s="9">
        <f t="shared" ref="AT624:AV624" si="1950">AJ624/$AF624</f>
        <v>31.25471698</v>
      </c>
      <c r="AU624" s="9">
        <f t="shared" si="1950"/>
        <v>6.837735849</v>
      </c>
      <c r="AV624" s="9">
        <f t="shared" si="1950"/>
        <v>1.577358491</v>
      </c>
      <c r="AW624" s="9">
        <f t="shared" si="13"/>
        <v>8.41509434</v>
      </c>
      <c r="AX624" s="9">
        <f t="shared" ref="AX624:AY624" si="1951">AM624/$AF624</f>
        <v>2.283018868</v>
      </c>
      <c r="AY624" s="9">
        <f t="shared" si="1951"/>
        <v>0.5283018868</v>
      </c>
      <c r="AZ624" s="9">
        <f>VLOOKUP(A624,Jogos!A:BN,58,0)</f>
        <v>29.3875</v>
      </c>
      <c r="BA624" s="9">
        <f>VLOOKUP(A624,Jogos!A:BN,59,0)</f>
        <v>23.7125</v>
      </c>
      <c r="BB624" s="9">
        <f>VLOOKUP(A624,Jogos!A:BN,60,0)</f>
        <v>71</v>
      </c>
      <c r="BC624" s="9">
        <f>VLOOKUP(A624,Jogos!A:BN,61,0)</f>
        <v>29.3875</v>
      </c>
      <c r="BD624" s="9">
        <f>VLOOKUP(A624,Jogos!A:BN,62,0)</f>
        <v>752.7</v>
      </c>
      <c r="BE624" s="9">
        <f>VLOOKUP(A624,Jogos!A:BN,63,0)</f>
        <v>1.0775</v>
      </c>
      <c r="BF624" s="9">
        <f>VLOOKUP(A624,Jogos!A:BN,64,0)</f>
        <v>25.7575</v>
      </c>
      <c r="BG624" s="9">
        <f>VLOOKUP(A624,Jogos!A:BN,65,0)</f>
        <v>45.2725</v>
      </c>
      <c r="BH624" s="9">
        <f>VLOOKUP(A624,Jogos!A:BN,66,0)</f>
        <v>30.0225</v>
      </c>
      <c r="BI624" s="9"/>
    </row>
    <row r="625" hidden="1">
      <c r="A625" s="10">
        <v>21.0</v>
      </c>
      <c r="B625" s="11" t="s">
        <v>121</v>
      </c>
      <c r="C625" s="2" t="s">
        <v>61</v>
      </c>
      <c r="D625" s="12">
        <v>45828.0</v>
      </c>
      <c r="E625" s="13">
        <v>0.5</v>
      </c>
      <c r="F625" s="5" t="str">
        <f>VLOOKUP(A625,Jogos!A:N,10,0)</f>
        <v>Afternoon</v>
      </c>
      <c r="G625" s="11" t="s">
        <v>686</v>
      </c>
      <c r="H625" s="6" t="str">
        <f>VLOOKUP(A625,Jogos!A:L,12,0)</f>
        <v>Open</v>
      </c>
      <c r="I625" s="6" t="str">
        <f>VLOOKUP(G625,'Estádios e Cidades'!A:B,2,0)</f>
        <v>Orlando</v>
      </c>
      <c r="J625" s="11" t="s">
        <v>124</v>
      </c>
      <c r="K625" s="2" t="str">
        <f>VLOOKUP(J625,Equipes!A:F,6,0)</f>
        <v>Temperate</v>
      </c>
      <c r="L625" s="2">
        <f>VLOOKUP(J625,Equipes!A:C,3,0)</f>
        <v>27</v>
      </c>
      <c r="M625" s="2" t="str">
        <f t="shared" si="4"/>
        <v>Group</v>
      </c>
      <c r="N625" s="11" t="s">
        <v>441</v>
      </c>
      <c r="O625" s="2">
        <f>VLOOKUP(N625,Equipes!A:C,3,0)</f>
        <v>10</v>
      </c>
      <c r="P625" s="2" t="str">
        <f t="shared" si="5"/>
        <v>Round of 16</v>
      </c>
      <c r="Q625" s="2">
        <f t="shared" si="6"/>
        <v>17</v>
      </c>
      <c r="R625" s="2" t="str">
        <f>VLOOKUP(J625,Equipes!A:B,2,0)</f>
        <v>Auckland</v>
      </c>
      <c r="S625" s="6" t="s">
        <v>165</v>
      </c>
      <c r="T625" s="7">
        <v>10.0</v>
      </c>
      <c r="U625" s="7" t="s">
        <v>166</v>
      </c>
      <c r="V625" s="7" t="str">
        <f>VLOOKUP(U625,Jogadores!B:C,2,0)</f>
        <v>FW</v>
      </c>
      <c r="W625" s="8">
        <f>VLOOKUP(U625,Jogadores!B:D,3,0)</f>
        <v>33.1369863</v>
      </c>
      <c r="X625" s="7">
        <v>60.0</v>
      </c>
      <c r="Y625" s="7">
        <f t="shared" si="1945"/>
        <v>98</v>
      </c>
      <c r="Z625" s="7">
        <f>VLOOKUP(A625,Jogos!A:L,3,0)</f>
        <v>54</v>
      </c>
      <c r="AA625" s="7">
        <f t="shared" si="7"/>
        <v>0</v>
      </c>
      <c r="AB625" s="7">
        <f>VLOOKUP(A625,Jogos!A:L,4,0)</f>
        <v>53</v>
      </c>
      <c r="AC625" s="7">
        <f t="shared" si="657"/>
        <v>38</v>
      </c>
      <c r="AD625" s="7"/>
      <c r="AE625" s="7"/>
      <c r="AF625" s="7">
        <f t="shared" si="9"/>
        <v>38</v>
      </c>
      <c r="AG625" s="7">
        <v>4640.5</v>
      </c>
      <c r="AH625" s="7">
        <v>1290.1</v>
      </c>
      <c r="AI625" s="7">
        <v>2076.7</v>
      </c>
      <c r="AJ625" s="7">
        <v>855.4</v>
      </c>
      <c r="AK625" s="7">
        <v>364.4</v>
      </c>
      <c r="AL625" s="7">
        <v>53.9</v>
      </c>
      <c r="AM625" s="7">
        <v>76.0</v>
      </c>
      <c r="AN625" s="7">
        <v>22.0</v>
      </c>
      <c r="AO625" s="7">
        <v>28.6</v>
      </c>
      <c r="AP625" s="9">
        <f t="shared" ref="AP625:AR625" si="1952">AG625/$AF625</f>
        <v>122.1184211</v>
      </c>
      <c r="AQ625" s="9">
        <f t="shared" si="1952"/>
        <v>33.95</v>
      </c>
      <c r="AR625" s="9">
        <f t="shared" si="1952"/>
        <v>54.65</v>
      </c>
      <c r="AS625" s="9">
        <f t="shared" si="11"/>
        <v>88.6</v>
      </c>
      <c r="AT625" s="9">
        <f t="shared" ref="AT625:AV625" si="1953">AJ625/$AF625</f>
        <v>22.51052632</v>
      </c>
      <c r="AU625" s="9">
        <f t="shared" si="1953"/>
        <v>9.589473684</v>
      </c>
      <c r="AV625" s="9">
        <f t="shared" si="1953"/>
        <v>1.418421053</v>
      </c>
      <c r="AW625" s="9">
        <f t="shared" si="13"/>
        <v>11.00789474</v>
      </c>
      <c r="AX625" s="9">
        <f t="shared" ref="AX625:AY625" si="1954">AM625/$AF625</f>
        <v>2</v>
      </c>
      <c r="AY625" s="9">
        <f t="shared" si="1954"/>
        <v>0.5789473684</v>
      </c>
      <c r="AZ625" s="9">
        <f>VLOOKUP(A625,Jogos!A:BN,58,0)</f>
        <v>29.3875</v>
      </c>
      <c r="BA625" s="9">
        <f>VLOOKUP(A625,Jogos!A:BN,59,0)</f>
        <v>23.7125</v>
      </c>
      <c r="BB625" s="9">
        <f>VLOOKUP(A625,Jogos!A:BN,60,0)</f>
        <v>71</v>
      </c>
      <c r="BC625" s="9">
        <f>VLOOKUP(A625,Jogos!A:BN,61,0)</f>
        <v>29.3875</v>
      </c>
      <c r="BD625" s="9">
        <f>VLOOKUP(A625,Jogos!A:BN,62,0)</f>
        <v>752.7</v>
      </c>
      <c r="BE625" s="9">
        <f>VLOOKUP(A625,Jogos!A:BN,63,0)</f>
        <v>1.0775</v>
      </c>
      <c r="BF625" s="9">
        <f>VLOOKUP(A625,Jogos!A:BN,64,0)</f>
        <v>25.7575</v>
      </c>
      <c r="BG625" s="9">
        <f>VLOOKUP(A625,Jogos!A:BN,65,0)</f>
        <v>45.2725</v>
      </c>
      <c r="BH625" s="9">
        <f>VLOOKUP(A625,Jogos!A:BN,66,0)</f>
        <v>30.0225</v>
      </c>
      <c r="BI625" s="9"/>
    </row>
    <row r="626" hidden="1">
      <c r="A626" s="10">
        <v>21.0</v>
      </c>
      <c r="B626" s="11" t="s">
        <v>121</v>
      </c>
      <c r="C626" s="2" t="s">
        <v>61</v>
      </c>
      <c r="D626" s="12">
        <v>45828.0</v>
      </c>
      <c r="E626" s="13">
        <v>0.5</v>
      </c>
      <c r="F626" s="5" t="str">
        <f>VLOOKUP(A626,Jogos!A:N,10,0)</f>
        <v>Afternoon</v>
      </c>
      <c r="G626" s="11" t="s">
        <v>686</v>
      </c>
      <c r="H626" s="6" t="str">
        <f>VLOOKUP(A626,Jogos!A:L,12,0)</f>
        <v>Open</v>
      </c>
      <c r="I626" s="6" t="str">
        <f>VLOOKUP(G626,'Estádios e Cidades'!A:B,2,0)</f>
        <v>Orlando</v>
      </c>
      <c r="J626" s="11" t="s">
        <v>124</v>
      </c>
      <c r="K626" s="2" t="str">
        <f>VLOOKUP(J626,Equipes!A:F,6,0)</f>
        <v>Temperate</v>
      </c>
      <c r="L626" s="2">
        <f>VLOOKUP(J626,Equipes!A:C,3,0)</f>
        <v>27</v>
      </c>
      <c r="M626" s="2" t="str">
        <f t="shared" si="4"/>
        <v>Group</v>
      </c>
      <c r="N626" s="11" t="s">
        <v>441</v>
      </c>
      <c r="O626" s="2">
        <f>VLOOKUP(N626,Equipes!A:C,3,0)</f>
        <v>10</v>
      </c>
      <c r="P626" s="2" t="str">
        <f t="shared" si="5"/>
        <v>Round of 16</v>
      </c>
      <c r="Q626" s="2">
        <f t="shared" si="6"/>
        <v>17</v>
      </c>
      <c r="R626" s="2" t="str">
        <f>VLOOKUP(J626,Equipes!A:B,2,0)</f>
        <v>Auckland</v>
      </c>
      <c r="S626" s="6" t="s">
        <v>177</v>
      </c>
      <c r="T626" s="7">
        <v>11.0</v>
      </c>
      <c r="U626" s="7" t="s">
        <v>178</v>
      </c>
      <c r="V626" s="7" t="str">
        <f>VLOOKUP(U626,Jogadores!B:C,2,0)</f>
        <v>FW</v>
      </c>
      <c r="W626" s="8">
        <f>VLOOKUP(U626,Jogadores!B:D,3,0)</f>
        <v>33.89315068</v>
      </c>
      <c r="X626" s="7">
        <v>73.0</v>
      </c>
      <c r="Y626" s="7">
        <f t="shared" si="1945"/>
        <v>98</v>
      </c>
      <c r="Z626" s="7">
        <f>VLOOKUP(A626,Jogos!A:L,3,0)</f>
        <v>54</v>
      </c>
      <c r="AA626" s="7">
        <f t="shared" si="7"/>
        <v>0</v>
      </c>
      <c r="AB626" s="7">
        <f>VLOOKUP(A626,Jogos!A:L,4,0)</f>
        <v>53</v>
      </c>
      <c r="AC626" s="7">
        <f t="shared" si="657"/>
        <v>25</v>
      </c>
      <c r="AD626" s="7"/>
      <c r="AE626" s="7"/>
      <c r="AF626" s="7">
        <f t="shared" si="9"/>
        <v>25</v>
      </c>
      <c r="AG626" s="7">
        <v>2732.0</v>
      </c>
      <c r="AH626" s="7">
        <v>1057.0</v>
      </c>
      <c r="AI626" s="7">
        <v>1158.6</v>
      </c>
      <c r="AJ626" s="7">
        <v>401.9</v>
      </c>
      <c r="AK626" s="7">
        <v>114.4</v>
      </c>
      <c r="AL626" s="7">
        <v>33.0</v>
      </c>
      <c r="AM626" s="7">
        <v>8.0</v>
      </c>
      <c r="AN626" s="7">
        <v>25.0</v>
      </c>
      <c r="AO626" s="7">
        <v>30.4</v>
      </c>
      <c r="AP626" s="9">
        <f t="shared" ref="AP626:AR626" si="1955">AG626/$AF626</f>
        <v>109.28</v>
      </c>
      <c r="AQ626" s="9">
        <f t="shared" si="1955"/>
        <v>42.28</v>
      </c>
      <c r="AR626" s="9">
        <f t="shared" si="1955"/>
        <v>46.344</v>
      </c>
      <c r="AS626" s="9">
        <f t="shared" si="11"/>
        <v>88.624</v>
      </c>
      <c r="AT626" s="9">
        <f t="shared" ref="AT626:AV626" si="1956">AJ626/$AF626</f>
        <v>16.076</v>
      </c>
      <c r="AU626" s="9">
        <f t="shared" si="1956"/>
        <v>4.576</v>
      </c>
      <c r="AV626" s="9">
        <f t="shared" si="1956"/>
        <v>1.32</v>
      </c>
      <c r="AW626" s="9">
        <f t="shared" si="13"/>
        <v>5.896</v>
      </c>
      <c r="AX626" s="9">
        <f t="shared" ref="AX626:AY626" si="1957">AM626/$AF626</f>
        <v>0.32</v>
      </c>
      <c r="AY626" s="9">
        <f t="shared" si="1957"/>
        <v>1</v>
      </c>
      <c r="AZ626" s="9">
        <f>VLOOKUP(A626,Jogos!A:BN,58,0)</f>
        <v>29.3875</v>
      </c>
      <c r="BA626" s="9">
        <f>VLOOKUP(A626,Jogos!A:BN,59,0)</f>
        <v>23.7125</v>
      </c>
      <c r="BB626" s="9">
        <f>VLOOKUP(A626,Jogos!A:BN,60,0)</f>
        <v>71</v>
      </c>
      <c r="BC626" s="9">
        <f>VLOOKUP(A626,Jogos!A:BN,61,0)</f>
        <v>29.3875</v>
      </c>
      <c r="BD626" s="9">
        <f>VLOOKUP(A626,Jogos!A:BN,62,0)</f>
        <v>752.7</v>
      </c>
      <c r="BE626" s="9">
        <f>VLOOKUP(A626,Jogos!A:BN,63,0)</f>
        <v>1.0775</v>
      </c>
      <c r="BF626" s="9">
        <f>VLOOKUP(A626,Jogos!A:BN,64,0)</f>
        <v>25.7575</v>
      </c>
      <c r="BG626" s="9">
        <f>VLOOKUP(A626,Jogos!A:BN,65,0)</f>
        <v>45.2725</v>
      </c>
      <c r="BH626" s="9">
        <f>VLOOKUP(A626,Jogos!A:BN,66,0)</f>
        <v>30.0225</v>
      </c>
      <c r="BI626" s="9"/>
    </row>
    <row r="627" hidden="1">
      <c r="A627" s="10">
        <v>21.0</v>
      </c>
      <c r="B627" s="11" t="s">
        <v>121</v>
      </c>
      <c r="C627" s="2" t="s">
        <v>61</v>
      </c>
      <c r="D627" s="12">
        <v>45828.0</v>
      </c>
      <c r="E627" s="13">
        <v>0.5</v>
      </c>
      <c r="F627" s="5" t="str">
        <f>VLOOKUP(A627,Jogos!A:N,10,0)</f>
        <v>Afternoon</v>
      </c>
      <c r="G627" s="11" t="s">
        <v>686</v>
      </c>
      <c r="H627" s="6" t="str">
        <f>VLOOKUP(A627,Jogos!A:L,12,0)</f>
        <v>Open</v>
      </c>
      <c r="I627" s="6" t="str">
        <f>VLOOKUP(G627,'Estádios e Cidades'!A:B,2,0)</f>
        <v>Orlando</v>
      </c>
      <c r="J627" s="11" t="s">
        <v>124</v>
      </c>
      <c r="K627" s="2" t="str">
        <f>VLOOKUP(J627,Equipes!A:F,6,0)</f>
        <v>Temperate</v>
      </c>
      <c r="L627" s="2">
        <f>VLOOKUP(J627,Equipes!A:C,3,0)</f>
        <v>27</v>
      </c>
      <c r="M627" s="2" t="str">
        <f t="shared" si="4"/>
        <v>Group</v>
      </c>
      <c r="N627" s="11" t="s">
        <v>441</v>
      </c>
      <c r="O627" s="2">
        <f>VLOOKUP(N627,Equipes!A:C,3,0)</f>
        <v>10</v>
      </c>
      <c r="P627" s="2" t="str">
        <f t="shared" si="5"/>
        <v>Round of 16</v>
      </c>
      <c r="Q627" s="2">
        <f t="shared" si="6"/>
        <v>17</v>
      </c>
      <c r="R627" s="2" t="str">
        <f>VLOOKUP(J627,Equipes!A:B,2,0)</f>
        <v>Auckland</v>
      </c>
      <c r="S627" s="6" t="s">
        <v>1119</v>
      </c>
      <c r="T627" s="7">
        <v>20.0</v>
      </c>
      <c r="U627" s="7" t="s">
        <v>1120</v>
      </c>
      <c r="V627" s="7" t="str">
        <f>VLOOKUP(U627,Jogadores!B:C,2,0)</f>
        <v>MF</v>
      </c>
      <c r="W627" s="8">
        <f>VLOOKUP(U627,Jogadores!B:D,3,0)</f>
        <v>24.43013699</v>
      </c>
      <c r="X627" s="7">
        <v>61.0</v>
      </c>
      <c r="Y627" s="7">
        <f t="shared" si="1945"/>
        <v>98</v>
      </c>
      <c r="Z627" s="7">
        <f>VLOOKUP(A627,Jogos!A:L,3,0)</f>
        <v>54</v>
      </c>
      <c r="AA627" s="7">
        <f t="shared" si="7"/>
        <v>0</v>
      </c>
      <c r="AB627" s="7">
        <f>VLOOKUP(A627,Jogos!A:L,4,0)</f>
        <v>53</v>
      </c>
      <c r="AC627" s="7">
        <f t="shared" si="657"/>
        <v>37</v>
      </c>
      <c r="AD627" s="7"/>
      <c r="AE627" s="7"/>
      <c r="AF627" s="7">
        <f t="shared" si="9"/>
        <v>37</v>
      </c>
      <c r="AG627" s="7">
        <v>4610.0</v>
      </c>
      <c r="AH627" s="7">
        <v>1468.4</v>
      </c>
      <c r="AI627" s="7">
        <v>1796.2</v>
      </c>
      <c r="AJ627" s="7">
        <v>944.2</v>
      </c>
      <c r="AK627" s="7">
        <v>260.8</v>
      </c>
      <c r="AL627" s="7">
        <v>140.4</v>
      </c>
      <c r="AM627" s="7">
        <v>70.0</v>
      </c>
      <c r="AN627" s="7">
        <v>21.0</v>
      </c>
      <c r="AO627" s="7"/>
      <c r="AP627" s="9">
        <f t="shared" ref="AP627:AR627" si="1958">AG627/$AF627</f>
        <v>124.5945946</v>
      </c>
      <c r="AQ627" s="9">
        <f t="shared" si="1958"/>
        <v>39.68648649</v>
      </c>
      <c r="AR627" s="9">
        <f t="shared" si="1958"/>
        <v>48.54594595</v>
      </c>
      <c r="AS627" s="9">
        <f t="shared" si="11"/>
        <v>88.23243243</v>
      </c>
      <c r="AT627" s="9">
        <f t="shared" ref="AT627:AV627" si="1959">AJ627/$AF627</f>
        <v>25.51891892</v>
      </c>
      <c r="AU627" s="9">
        <f t="shared" si="1959"/>
        <v>7.048648649</v>
      </c>
      <c r="AV627" s="9">
        <f t="shared" si="1959"/>
        <v>3.794594595</v>
      </c>
      <c r="AW627" s="9">
        <f t="shared" si="13"/>
        <v>10.84324324</v>
      </c>
      <c r="AX627" s="9">
        <f t="shared" ref="AX627:AY627" si="1960">AM627/$AF627</f>
        <v>1.891891892</v>
      </c>
      <c r="AY627" s="9">
        <f t="shared" si="1960"/>
        <v>0.5675675676</v>
      </c>
      <c r="AZ627" s="9">
        <f>VLOOKUP(A627,Jogos!A:BN,58,0)</f>
        <v>29.3875</v>
      </c>
      <c r="BA627" s="9">
        <f>VLOOKUP(A627,Jogos!A:BN,59,0)</f>
        <v>23.7125</v>
      </c>
      <c r="BB627" s="9">
        <f>VLOOKUP(A627,Jogos!A:BN,60,0)</f>
        <v>71</v>
      </c>
      <c r="BC627" s="9">
        <f>VLOOKUP(A627,Jogos!A:BN,61,0)</f>
        <v>29.3875</v>
      </c>
      <c r="BD627" s="9">
        <f>VLOOKUP(A627,Jogos!A:BN,62,0)</f>
        <v>752.7</v>
      </c>
      <c r="BE627" s="9">
        <f>VLOOKUP(A627,Jogos!A:BN,63,0)</f>
        <v>1.0775</v>
      </c>
      <c r="BF627" s="9">
        <f>VLOOKUP(A627,Jogos!A:BN,64,0)</f>
        <v>25.7575</v>
      </c>
      <c r="BG627" s="9">
        <f>VLOOKUP(A627,Jogos!A:BN,65,0)</f>
        <v>45.2725</v>
      </c>
      <c r="BH627" s="9">
        <f>VLOOKUP(A627,Jogos!A:BN,66,0)</f>
        <v>30.0225</v>
      </c>
      <c r="BI627" s="9"/>
    </row>
    <row r="628" hidden="1">
      <c r="A628" s="2">
        <v>22.0</v>
      </c>
      <c r="B628" s="11" t="s">
        <v>375</v>
      </c>
      <c r="C628" s="2" t="s">
        <v>61</v>
      </c>
      <c r="D628" s="3">
        <v>45828.0</v>
      </c>
      <c r="E628" s="4">
        <v>0.5833333333333334</v>
      </c>
      <c r="F628" s="5" t="str">
        <f>VLOOKUP(A628,Jogos!A:N,10,0)</f>
        <v>Afternoon</v>
      </c>
      <c r="G628" s="2" t="s">
        <v>500</v>
      </c>
      <c r="H628" s="6" t="str">
        <f>VLOOKUP(A628,Jogos!A:L,12,0)</f>
        <v>Open</v>
      </c>
      <c r="I628" s="6" t="str">
        <f>VLOOKUP(G628,'Estádios e Cidades'!A:B,2,0)</f>
        <v>Philadelphia</v>
      </c>
      <c r="J628" s="2" t="s">
        <v>501</v>
      </c>
      <c r="K628" s="2" t="str">
        <f>VLOOKUP(J628,Equipes!A:F,6,0)</f>
        <v>Tropical</v>
      </c>
      <c r="L628" s="2">
        <f>VLOOKUP(J628,Equipes!A:C,3,0)</f>
        <v>11</v>
      </c>
      <c r="M628" s="2" t="str">
        <f t="shared" si="4"/>
        <v>Round of 16</v>
      </c>
      <c r="N628" s="2" t="s">
        <v>377</v>
      </c>
      <c r="O628" s="2">
        <f>VLOOKUP(N628,Equipes!A:C,3,0)</f>
        <v>1</v>
      </c>
      <c r="P628" s="2" t="str">
        <f t="shared" si="5"/>
        <v>Final</v>
      </c>
      <c r="Q628" s="2">
        <f t="shared" si="6"/>
        <v>10</v>
      </c>
      <c r="R628" s="2" t="str">
        <f>VLOOKUP(J628,Equipes!A:B,2,0)</f>
        <v>Flamengo</v>
      </c>
      <c r="S628" s="6" t="s">
        <v>507</v>
      </c>
      <c r="T628" s="7">
        <v>4.0</v>
      </c>
      <c r="U628" s="7" t="s">
        <v>508</v>
      </c>
      <c r="V628" s="7" t="str">
        <f>VLOOKUP(U628,Jogadores!B:C,2,0)</f>
        <v>DF</v>
      </c>
      <c r="W628" s="8">
        <f>VLOOKUP(U628,Jogadores!B:D,3,0)</f>
        <v>29.50958904</v>
      </c>
      <c r="X628" s="7">
        <v>0.0</v>
      </c>
      <c r="Y628" s="7">
        <f t="shared" si="1945"/>
        <v>97</v>
      </c>
      <c r="Z628" s="7">
        <f>VLOOKUP(A628,Jogos!A:L,3,0)</f>
        <v>48</v>
      </c>
      <c r="AA628" s="7">
        <f t="shared" si="7"/>
        <v>48</v>
      </c>
      <c r="AB628" s="7">
        <f>VLOOKUP(A628,Jogos!A:L,4,0)</f>
        <v>52</v>
      </c>
      <c r="AC628" s="7">
        <f t="shared" si="657"/>
        <v>52</v>
      </c>
      <c r="AD628" s="7"/>
      <c r="AE628" s="7"/>
      <c r="AF628" s="7">
        <f t="shared" si="9"/>
        <v>100</v>
      </c>
      <c r="AG628" s="7">
        <v>9751.1</v>
      </c>
      <c r="AH628" s="7">
        <v>3845.7</v>
      </c>
      <c r="AI628" s="7">
        <v>4043.7</v>
      </c>
      <c r="AJ628" s="7">
        <v>1293.3</v>
      </c>
      <c r="AK628" s="7">
        <v>436.3</v>
      </c>
      <c r="AL628" s="7">
        <v>132.1</v>
      </c>
      <c r="AM628" s="7">
        <v>107.0</v>
      </c>
      <c r="AN628" s="7">
        <v>32.0</v>
      </c>
      <c r="AO628" s="7">
        <v>30.8</v>
      </c>
      <c r="AP628" s="9">
        <f t="shared" ref="AP628:AR628" si="1961">AG628/$AF628</f>
        <v>97.511</v>
      </c>
      <c r="AQ628" s="9">
        <f t="shared" si="1961"/>
        <v>38.457</v>
      </c>
      <c r="AR628" s="9">
        <f t="shared" si="1961"/>
        <v>40.437</v>
      </c>
      <c r="AS628" s="9">
        <f t="shared" si="11"/>
        <v>78.894</v>
      </c>
      <c r="AT628" s="9">
        <f t="shared" ref="AT628:AV628" si="1962">AJ628/$AF628</f>
        <v>12.933</v>
      </c>
      <c r="AU628" s="9">
        <f t="shared" si="1962"/>
        <v>4.363</v>
      </c>
      <c r="AV628" s="9">
        <f t="shared" si="1962"/>
        <v>1.321</v>
      </c>
      <c r="AW628" s="9">
        <f t="shared" si="13"/>
        <v>5.684</v>
      </c>
      <c r="AX628" s="9">
        <f t="shared" ref="AX628:AY628" si="1963">AM628/$AF628</f>
        <v>1.07</v>
      </c>
      <c r="AY628" s="9">
        <f t="shared" si="1963"/>
        <v>0.32</v>
      </c>
      <c r="AZ628" s="9">
        <f>VLOOKUP(A628,Jogos!A:BN,58,0)</f>
        <v>28.915</v>
      </c>
      <c r="BA628" s="9">
        <f>VLOOKUP(A628,Jogos!A:BN,59,0)</f>
        <v>15.335</v>
      </c>
      <c r="BB628" s="9">
        <f>VLOOKUP(A628,Jogos!A:BN,60,0)</f>
        <v>43</v>
      </c>
      <c r="BC628" s="9">
        <f>VLOOKUP(A628,Jogos!A:BN,61,0)</f>
        <v>28.61</v>
      </c>
      <c r="BD628" s="9">
        <f>VLOOKUP(A628,Jogos!A:BN,62,0)</f>
        <v>642.4</v>
      </c>
      <c r="BE628" s="9">
        <f>VLOOKUP(A628,Jogos!A:BN,63,0)</f>
        <v>2.945</v>
      </c>
      <c r="BF628" s="9">
        <f>VLOOKUP(A628,Jogos!A:BN,64,0)</f>
        <v>21.815</v>
      </c>
      <c r="BG628" s="9">
        <f>VLOOKUP(A628,Jogos!A:BN,65,0)</f>
        <v>40.38</v>
      </c>
      <c r="BH628" s="9">
        <f>VLOOKUP(A628,Jogos!A:BN,66,0)</f>
        <v>26.24</v>
      </c>
      <c r="BI628" s="9"/>
    </row>
    <row r="629" hidden="1">
      <c r="A629" s="2">
        <v>22.0</v>
      </c>
      <c r="B629" s="11" t="s">
        <v>375</v>
      </c>
      <c r="C629" s="2" t="s">
        <v>61</v>
      </c>
      <c r="D629" s="3">
        <v>45828.0</v>
      </c>
      <c r="E629" s="4">
        <v>0.5833333333333334</v>
      </c>
      <c r="F629" s="5" t="str">
        <f>VLOOKUP(A629,Jogos!A:N,10,0)</f>
        <v>Afternoon</v>
      </c>
      <c r="G629" s="2" t="s">
        <v>500</v>
      </c>
      <c r="H629" s="6" t="str">
        <f>VLOOKUP(A629,Jogos!A:L,12,0)</f>
        <v>Open</v>
      </c>
      <c r="I629" s="6" t="str">
        <f>VLOOKUP(G629,'Estádios e Cidades'!A:B,2,0)</f>
        <v>Philadelphia</v>
      </c>
      <c r="J629" s="2" t="s">
        <v>501</v>
      </c>
      <c r="K629" s="2" t="str">
        <f>VLOOKUP(J629,Equipes!A:F,6,0)</f>
        <v>Tropical</v>
      </c>
      <c r="L629" s="2">
        <f>VLOOKUP(J629,Equipes!A:C,3,0)</f>
        <v>11</v>
      </c>
      <c r="M629" s="2" t="str">
        <f t="shared" si="4"/>
        <v>Round of 16</v>
      </c>
      <c r="N629" s="2" t="s">
        <v>377</v>
      </c>
      <c r="O629" s="2">
        <f>VLOOKUP(N629,Equipes!A:C,3,0)</f>
        <v>1</v>
      </c>
      <c r="P629" s="2" t="str">
        <f t="shared" si="5"/>
        <v>Final</v>
      </c>
      <c r="Q629" s="2">
        <f t="shared" si="6"/>
        <v>10</v>
      </c>
      <c r="R629" s="2" t="str">
        <f>VLOOKUP(J629,Equipes!A:B,2,0)</f>
        <v>Flamengo</v>
      </c>
      <c r="S629" s="6" t="s">
        <v>509</v>
      </c>
      <c r="T629" s="7">
        <v>5.0</v>
      </c>
      <c r="U629" s="7" t="s">
        <v>510</v>
      </c>
      <c r="V629" s="7" t="str">
        <f>VLOOKUP(U629,Jogadores!B:C,2,0)</f>
        <v>MF</v>
      </c>
      <c r="W629" s="8">
        <f>VLOOKUP(U629,Jogadores!B:D,3,0)</f>
        <v>31.55342466</v>
      </c>
      <c r="X629" s="7">
        <v>0.0</v>
      </c>
      <c r="Y629" s="7">
        <f t="shared" si="1945"/>
        <v>97</v>
      </c>
      <c r="Z629" s="7">
        <f>VLOOKUP(A629,Jogos!A:L,3,0)</f>
        <v>48</v>
      </c>
      <c r="AA629" s="7">
        <f t="shared" si="7"/>
        <v>48</v>
      </c>
      <c r="AB629" s="7">
        <f>VLOOKUP(A629,Jogos!A:L,4,0)</f>
        <v>52</v>
      </c>
      <c r="AC629" s="7">
        <f t="shared" si="657"/>
        <v>52</v>
      </c>
      <c r="AD629" s="7"/>
      <c r="AE629" s="7"/>
      <c r="AF629" s="7">
        <f t="shared" si="9"/>
        <v>100</v>
      </c>
      <c r="AG629" s="7">
        <v>10068.4</v>
      </c>
      <c r="AH629" s="7">
        <v>3439.2</v>
      </c>
      <c r="AI629" s="7">
        <v>4730.4</v>
      </c>
      <c r="AJ629" s="7">
        <v>1306.1</v>
      </c>
      <c r="AK629" s="7">
        <v>449.0</v>
      </c>
      <c r="AL629" s="7">
        <v>143.6</v>
      </c>
      <c r="AM629" s="7">
        <v>114.0</v>
      </c>
      <c r="AN629" s="7">
        <v>30.0</v>
      </c>
      <c r="AO629" s="7">
        <v>32.5</v>
      </c>
      <c r="AP629" s="9">
        <f t="shared" ref="AP629:AR629" si="1964">AG629/$AF629</f>
        <v>100.684</v>
      </c>
      <c r="AQ629" s="9">
        <f t="shared" si="1964"/>
        <v>34.392</v>
      </c>
      <c r="AR629" s="9">
        <f t="shared" si="1964"/>
        <v>47.304</v>
      </c>
      <c r="AS629" s="9">
        <f t="shared" si="11"/>
        <v>81.696</v>
      </c>
      <c r="AT629" s="9">
        <f t="shared" ref="AT629:AV629" si="1965">AJ629/$AF629</f>
        <v>13.061</v>
      </c>
      <c r="AU629" s="9">
        <f t="shared" si="1965"/>
        <v>4.49</v>
      </c>
      <c r="AV629" s="9">
        <f t="shared" si="1965"/>
        <v>1.436</v>
      </c>
      <c r="AW629" s="9">
        <f t="shared" si="13"/>
        <v>5.926</v>
      </c>
      <c r="AX629" s="9">
        <f t="shared" ref="AX629:AY629" si="1966">AM629/$AF629</f>
        <v>1.14</v>
      </c>
      <c r="AY629" s="9">
        <f t="shared" si="1966"/>
        <v>0.3</v>
      </c>
      <c r="AZ629" s="9">
        <f>VLOOKUP(A629,Jogos!A:BN,58,0)</f>
        <v>28.915</v>
      </c>
      <c r="BA629" s="9">
        <f>VLOOKUP(A629,Jogos!A:BN,59,0)</f>
        <v>15.335</v>
      </c>
      <c r="BB629" s="9">
        <f>VLOOKUP(A629,Jogos!A:BN,60,0)</f>
        <v>43</v>
      </c>
      <c r="BC629" s="9">
        <f>VLOOKUP(A629,Jogos!A:BN,61,0)</f>
        <v>28.61</v>
      </c>
      <c r="BD629" s="9">
        <f>VLOOKUP(A629,Jogos!A:BN,62,0)</f>
        <v>642.4</v>
      </c>
      <c r="BE629" s="9">
        <f>VLOOKUP(A629,Jogos!A:BN,63,0)</f>
        <v>2.945</v>
      </c>
      <c r="BF629" s="9">
        <f>VLOOKUP(A629,Jogos!A:BN,64,0)</f>
        <v>21.815</v>
      </c>
      <c r="BG629" s="9">
        <f>VLOOKUP(A629,Jogos!A:BN,65,0)</f>
        <v>40.38</v>
      </c>
      <c r="BH629" s="9">
        <f>VLOOKUP(A629,Jogos!A:BN,66,0)</f>
        <v>26.24</v>
      </c>
      <c r="BI629" s="9"/>
    </row>
    <row r="630" hidden="1">
      <c r="A630" s="2">
        <v>22.0</v>
      </c>
      <c r="B630" s="11" t="s">
        <v>375</v>
      </c>
      <c r="C630" s="2" t="s">
        <v>61</v>
      </c>
      <c r="D630" s="3">
        <v>45828.0</v>
      </c>
      <c r="E630" s="4">
        <v>0.5833333333333334</v>
      </c>
      <c r="F630" s="5" t="str">
        <f>VLOOKUP(A630,Jogos!A:N,10,0)</f>
        <v>Afternoon</v>
      </c>
      <c r="G630" s="2" t="s">
        <v>500</v>
      </c>
      <c r="H630" s="6" t="str">
        <f>VLOOKUP(A630,Jogos!A:L,12,0)</f>
        <v>Open</v>
      </c>
      <c r="I630" s="6" t="str">
        <f>VLOOKUP(G630,'Estádios e Cidades'!A:B,2,0)</f>
        <v>Philadelphia</v>
      </c>
      <c r="J630" s="2" t="s">
        <v>501</v>
      </c>
      <c r="K630" s="2" t="str">
        <f>VLOOKUP(J630,Equipes!A:F,6,0)</f>
        <v>Tropical</v>
      </c>
      <c r="L630" s="2">
        <f>VLOOKUP(J630,Equipes!A:C,3,0)</f>
        <v>11</v>
      </c>
      <c r="M630" s="2" t="str">
        <f t="shared" si="4"/>
        <v>Round of 16</v>
      </c>
      <c r="N630" s="2" t="s">
        <v>377</v>
      </c>
      <c r="O630" s="2">
        <f>VLOOKUP(N630,Equipes!A:C,3,0)</f>
        <v>1</v>
      </c>
      <c r="P630" s="2" t="str">
        <f t="shared" si="5"/>
        <v>Final</v>
      </c>
      <c r="Q630" s="2">
        <f t="shared" si="6"/>
        <v>10</v>
      </c>
      <c r="R630" s="2" t="str">
        <f>VLOOKUP(J630,Equipes!A:B,2,0)</f>
        <v>Flamengo</v>
      </c>
      <c r="S630" s="6" t="s">
        <v>511</v>
      </c>
      <c r="T630" s="7">
        <v>6.0</v>
      </c>
      <c r="U630" s="7" t="s">
        <v>512</v>
      </c>
      <c r="V630" s="7" t="str">
        <f>VLOOKUP(U630,Jogadores!B:C,2,0)</f>
        <v>DF</v>
      </c>
      <c r="W630" s="8">
        <f>VLOOKUP(U630,Jogadores!B:D,3,0)</f>
        <v>28.1260274</v>
      </c>
      <c r="X630" s="7">
        <v>0.0</v>
      </c>
      <c r="Y630" s="7">
        <f t="shared" si="1945"/>
        <v>97</v>
      </c>
      <c r="Z630" s="7">
        <f>VLOOKUP(A630,Jogos!A:L,3,0)</f>
        <v>48</v>
      </c>
      <c r="AA630" s="7">
        <f t="shared" si="7"/>
        <v>48</v>
      </c>
      <c r="AB630" s="7">
        <f>VLOOKUP(A630,Jogos!A:L,4,0)</f>
        <v>52</v>
      </c>
      <c r="AC630" s="7">
        <f t="shared" si="657"/>
        <v>52</v>
      </c>
      <c r="AD630" s="7"/>
      <c r="AE630" s="7"/>
      <c r="AF630" s="7">
        <f t="shared" si="9"/>
        <v>100</v>
      </c>
      <c r="AG630" s="7">
        <v>10012.0</v>
      </c>
      <c r="AH630" s="7">
        <v>4235.1</v>
      </c>
      <c r="AI630" s="7">
        <v>3804.8</v>
      </c>
      <c r="AJ630" s="7">
        <v>1123.1</v>
      </c>
      <c r="AK630" s="7">
        <v>482.4</v>
      </c>
      <c r="AL630" s="7">
        <v>366.6</v>
      </c>
      <c r="AM630" s="7">
        <v>106.0</v>
      </c>
      <c r="AN630" s="7">
        <v>41.0</v>
      </c>
      <c r="AO630" s="7">
        <v>36.1</v>
      </c>
      <c r="AP630" s="9">
        <f t="shared" ref="AP630:AR630" si="1967">AG630/$AF630</f>
        <v>100.12</v>
      </c>
      <c r="AQ630" s="9">
        <f t="shared" si="1967"/>
        <v>42.351</v>
      </c>
      <c r="AR630" s="9">
        <f t="shared" si="1967"/>
        <v>38.048</v>
      </c>
      <c r="AS630" s="9">
        <f t="shared" si="11"/>
        <v>80.399</v>
      </c>
      <c r="AT630" s="9">
        <f t="shared" ref="AT630:AV630" si="1968">AJ630/$AF630</f>
        <v>11.231</v>
      </c>
      <c r="AU630" s="9">
        <f t="shared" si="1968"/>
        <v>4.824</v>
      </c>
      <c r="AV630" s="9">
        <f t="shared" si="1968"/>
        <v>3.666</v>
      </c>
      <c r="AW630" s="9">
        <f t="shared" si="13"/>
        <v>8.49</v>
      </c>
      <c r="AX630" s="9">
        <f t="shared" ref="AX630:AY630" si="1969">AM630/$AF630</f>
        <v>1.06</v>
      </c>
      <c r="AY630" s="9">
        <f t="shared" si="1969"/>
        <v>0.41</v>
      </c>
      <c r="AZ630" s="9">
        <f>VLOOKUP(A630,Jogos!A:BN,58,0)</f>
        <v>28.915</v>
      </c>
      <c r="BA630" s="9">
        <f>VLOOKUP(A630,Jogos!A:BN,59,0)</f>
        <v>15.335</v>
      </c>
      <c r="BB630" s="9">
        <f>VLOOKUP(A630,Jogos!A:BN,60,0)</f>
        <v>43</v>
      </c>
      <c r="BC630" s="9">
        <f>VLOOKUP(A630,Jogos!A:BN,61,0)</f>
        <v>28.61</v>
      </c>
      <c r="BD630" s="9">
        <f>VLOOKUP(A630,Jogos!A:BN,62,0)</f>
        <v>642.4</v>
      </c>
      <c r="BE630" s="9">
        <f>VLOOKUP(A630,Jogos!A:BN,63,0)</f>
        <v>2.945</v>
      </c>
      <c r="BF630" s="9">
        <f>VLOOKUP(A630,Jogos!A:BN,64,0)</f>
        <v>21.815</v>
      </c>
      <c r="BG630" s="9">
        <f>VLOOKUP(A630,Jogos!A:BN,65,0)</f>
        <v>40.38</v>
      </c>
      <c r="BH630" s="9">
        <f>VLOOKUP(A630,Jogos!A:BN,66,0)</f>
        <v>26.24</v>
      </c>
      <c r="BI630" s="9"/>
    </row>
    <row r="631" hidden="1">
      <c r="A631" s="2">
        <v>22.0</v>
      </c>
      <c r="B631" s="11" t="s">
        <v>375</v>
      </c>
      <c r="C631" s="2" t="s">
        <v>61</v>
      </c>
      <c r="D631" s="3">
        <v>45828.0</v>
      </c>
      <c r="E631" s="4">
        <v>0.5833333333333334</v>
      </c>
      <c r="F631" s="5" t="str">
        <f>VLOOKUP(A631,Jogos!A:N,10,0)</f>
        <v>Afternoon</v>
      </c>
      <c r="G631" s="2" t="s">
        <v>500</v>
      </c>
      <c r="H631" s="6" t="str">
        <f>VLOOKUP(A631,Jogos!A:L,12,0)</f>
        <v>Open</v>
      </c>
      <c r="I631" s="6" t="str">
        <f>VLOOKUP(G631,'Estádios e Cidades'!A:B,2,0)</f>
        <v>Philadelphia</v>
      </c>
      <c r="J631" s="2" t="s">
        <v>501</v>
      </c>
      <c r="K631" s="2" t="str">
        <f>VLOOKUP(J631,Equipes!A:F,6,0)</f>
        <v>Tropical</v>
      </c>
      <c r="L631" s="2">
        <f>VLOOKUP(J631,Equipes!A:C,3,0)</f>
        <v>11</v>
      </c>
      <c r="M631" s="2" t="str">
        <f t="shared" si="4"/>
        <v>Round of 16</v>
      </c>
      <c r="N631" s="2" t="s">
        <v>377</v>
      </c>
      <c r="O631" s="2">
        <f>VLOOKUP(N631,Equipes!A:C,3,0)</f>
        <v>1</v>
      </c>
      <c r="P631" s="2" t="str">
        <f t="shared" si="5"/>
        <v>Final</v>
      </c>
      <c r="Q631" s="2">
        <f t="shared" si="6"/>
        <v>10</v>
      </c>
      <c r="R631" s="2" t="str">
        <f>VLOOKUP(J631,Equipes!A:B,2,0)</f>
        <v>Flamengo</v>
      </c>
      <c r="S631" s="6" t="s">
        <v>513</v>
      </c>
      <c r="T631" s="7">
        <v>7.0</v>
      </c>
      <c r="U631" s="7" t="s">
        <v>514</v>
      </c>
      <c r="V631" s="7" t="str">
        <f>VLOOKUP(U631,Jogadores!B:C,2,0)</f>
        <v>FW</v>
      </c>
      <c r="W631" s="8">
        <f>VLOOKUP(U631,Jogadores!B:D,3,0)</f>
        <v>29.17260274</v>
      </c>
      <c r="X631" s="7">
        <v>0.0</v>
      </c>
      <c r="Y631" s="7">
        <v>92.0</v>
      </c>
      <c r="Z631" s="7">
        <f>VLOOKUP(A631,Jogos!A:L,3,0)</f>
        <v>48</v>
      </c>
      <c r="AA631" s="7">
        <f t="shared" si="7"/>
        <v>48</v>
      </c>
      <c r="AB631" s="7">
        <f>VLOOKUP(A631,Jogos!A:L,4,0)</f>
        <v>52</v>
      </c>
      <c r="AC631" s="7">
        <f t="shared" si="657"/>
        <v>47</v>
      </c>
      <c r="AD631" s="7"/>
      <c r="AE631" s="7"/>
      <c r="AF631" s="7">
        <f t="shared" si="9"/>
        <v>95</v>
      </c>
      <c r="AG631" s="7">
        <v>9761.7</v>
      </c>
      <c r="AH631" s="7">
        <v>4253.2</v>
      </c>
      <c r="AI631" s="7">
        <v>3319.6</v>
      </c>
      <c r="AJ631" s="7">
        <v>1290.9</v>
      </c>
      <c r="AK631" s="7">
        <v>613.8</v>
      </c>
      <c r="AL631" s="7">
        <v>284.4</v>
      </c>
      <c r="AM631" s="7">
        <v>116.0</v>
      </c>
      <c r="AN631" s="7">
        <v>53.0</v>
      </c>
      <c r="AO631" s="7">
        <v>31.3</v>
      </c>
      <c r="AP631" s="9">
        <f t="shared" ref="AP631:AR631" si="1970">AG631/$AF631</f>
        <v>102.7547368</v>
      </c>
      <c r="AQ631" s="9">
        <f t="shared" si="1970"/>
        <v>44.77052632</v>
      </c>
      <c r="AR631" s="9">
        <f t="shared" si="1970"/>
        <v>34.94315789</v>
      </c>
      <c r="AS631" s="9">
        <f t="shared" si="11"/>
        <v>79.71368421</v>
      </c>
      <c r="AT631" s="9">
        <f t="shared" ref="AT631:AV631" si="1971">AJ631/$AF631</f>
        <v>13.58842105</v>
      </c>
      <c r="AU631" s="9">
        <f t="shared" si="1971"/>
        <v>6.461052632</v>
      </c>
      <c r="AV631" s="9">
        <f t="shared" si="1971"/>
        <v>2.993684211</v>
      </c>
      <c r="AW631" s="9">
        <f t="shared" si="13"/>
        <v>9.454736842</v>
      </c>
      <c r="AX631" s="9">
        <f t="shared" ref="AX631:AY631" si="1972">AM631/$AF631</f>
        <v>1.221052632</v>
      </c>
      <c r="AY631" s="9">
        <f t="shared" si="1972"/>
        <v>0.5578947368</v>
      </c>
      <c r="AZ631" s="9">
        <f>VLOOKUP(A631,Jogos!A:BN,58,0)</f>
        <v>28.915</v>
      </c>
      <c r="BA631" s="9">
        <f>VLOOKUP(A631,Jogos!A:BN,59,0)</f>
        <v>15.335</v>
      </c>
      <c r="BB631" s="9">
        <f>VLOOKUP(A631,Jogos!A:BN,60,0)</f>
        <v>43</v>
      </c>
      <c r="BC631" s="9">
        <f>VLOOKUP(A631,Jogos!A:BN,61,0)</f>
        <v>28.61</v>
      </c>
      <c r="BD631" s="9">
        <f>VLOOKUP(A631,Jogos!A:BN,62,0)</f>
        <v>642.4</v>
      </c>
      <c r="BE631" s="9">
        <f>VLOOKUP(A631,Jogos!A:BN,63,0)</f>
        <v>2.945</v>
      </c>
      <c r="BF631" s="9">
        <f>VLOOKUP(A631,Jogos!A:BN,64,0)</f>
        <v>21.815</v>
      </c>
      <c r="BG631" s="9">
        <f>VLOOKUP(A631,Jogos!A:BN,65,0)</f>
        <v>40.38</v>
      </c>
      <c r="BH631" s="9">
        <f>VLOOKUP(A631,Jogos!A:BN,66,0)</f>
        <v>26.24</v>
      </c>
      <c r="BI631" s="9"/>
    </row>
    <row r="632" hidden="1">
      <c r="A632" s="2">
        <v>22.0</v>
      </c>
      <c r="B632" s="11" t="s">
        <v>375</v>
      </c>
      <c r="C632" s="2" t="s">
        <v>61</v>
      </c>
      <c r="D632" s="3">
        <v>45828.0</v>
      </c>
      <c r="E632" s="4">
        <v>0.5833333333333334</v>
      </c>
      <c r="F632" s="5" t="str">
        <f>VLOOKUP(A632,Jogos!A:N,10,0)</f>
        <v>Afternoon</v>
      </c>
      <c r="G632" s="2" t="s">
        <v>500</v>
      </c>
      <c r="H632" s="6" t="str">
        <f>VLOOKUP(A632,Jogos!A:L,12,0)</f>
        <v>Open</v>
      </c>
      <c r="I632" s="6" t="str">
        <f>VLOOKUP(G632,'Estádios e Cidades'!A:B,2,0)</f>
        <v>Philadelphia</v>
      </c>
      <c r="J632" s="2" t="s">
        <v>501</v>
      </c>
      <c r="K632" s="2" t="str">
        <f>VLOOKUP(J632,Equipes!A:F,6,0)</f>
        <v>Tropical</v>
      </c>
      <c r="L632" s="2">
        <f>VLOOKUP(J632,Equipes!A:C,3,0)</f>
        <v>11</v>
      </c>
      <c r="M632" s="2" t="str">
        <f t="shared" si="4"/>
        <v>Round of 16</v>
      </c>
      <c r="N632" s="2" t="s">
        <v>377</v>
      </c>
      <c r="O632" s="2">
        <f>VLOOKUP(N632,Equipes!A:C,3,0)</f>
        <v>1</v>
      </c>
      <c r="P632" s="2" t="str">
        <f t="shared" si="5"/>
        <v>Final</v>
      </c>
      <c r="Q632" s="2">
        <f t="shared" si="6"/>
        <v>10</v>
      </c>
      <c r="R632" s="2" t="str">
        <f>VLOOKUP(J632,Equipes!A:B,2,0)</f>
        <v>Flamengo</v>
      </c>
      <c r="S632" s="6" t="s">
        <v>515</v>
      </c>
      <c r="T632" s="7">
        <v>8.0</v>
      </c>
      <c r="U632" s="7" t="s">
        <v>516</v>
      </c>
      <c r="V632" s="7" t="str">
        <f>VLOOKUP(U632,Jogadores!B:C,2,0)</f>
        <v>MF</v>
      </c>
      <c r="W632" s="8">
        <f>VLOOKUP(U632,Jogadores!B:D,3,0)</f>
        <v>28.20821918</v>
      </c>
      <c r="X632" s="7">
        <v>0.0</v>
      </c>
      <c r="Y632" s="7">
        <v>82.0</v>
      </c>
      <c r="Z632" s="7">
        <f>VLOOKUP(A632,Jogos!A:L,3,0)</f>
        <v>48</v>
      </c>
      <c r="AA632" s="7">
        <f t="shared" si="7"/>
        <v>48</v>
      </c>
      <c r="AB632" s="7">
        <f>VLOOKUP(A632,Jogos!A:L,4,0)</f>
        <v>52</v>
      </c>
      <c r="AC632" s="7">
        <f t="shared" si="657"/>
        <v>37</v>
      </c>
      <c r="AD632" s="7"/>
      <c r="AE632" s="7"/>
      <c r="AF632" s="7">
        <f t="shared" si="9"/>
        <v>85</v>
      </c>
      <c r="AG632" s="7">
        <v>8164.9</v>
      </c>
      <c r="AH632" s="7">
        <v>3660.2</v>
      </c>
      <c r="AI632" s="7">
        <v>2819.0</v>
      </c>
      <c r="AJ632" s="7">
        <v>985.9</v>
      </c>
      <c r="AK632" s="7">
        <v>465.5</v>
      </c>
      <c r="AL632" s="7">
        <v>234.3</v>
      </c>
      <c r="AM632" s="7">
        <v>82.0</v>
      </c>
      <c r="AN632" s="7">
        <v>35.0</v>
      </c>
      <c r="AO632" s="7">
        <v>33.1</v>
      </c>
      <c r="AP632" s="9">
        <f t="shared" ref="AP632:AR632" si="1973">AG632/$AF632</f>
        <v>96.05764706</v>
      </c>
      <c r="AQ632" s="9">
        <f t="shared" si="1973"/>
        <v>43.06117647</v>
      </c>
      <c r="AR632" s="9">
        <f t="shared" si="1973"/>
        <v>33.16470588</v>
      </c>
      <c r="AS632" s="9">
        <f t="shared" si="11"/>
        <v>76.22588235</v>
      </c>
      <c r="AT632" s="9">
        <f t="shared" ref="AT632:AV632" si="1974">AJ632/$AF632</f>
        <v>11.59882353</v>
      </c>
      <c r="AU632" s="9">
        <f t="shared" si="1974"/>
        <v>5.476470588</v>
      </c>
      <c r="AV632" s="9">
        <f t="shared" si="1974"/>
        <v>2.756470588</v>
      </c>
      <c r="AW632" s="9">
        <f t="shared" si="13"/>
        <v>8.232941176</v>
      </c>
      <c r="AX632" s="9">
        <f t="shared" ref="AX632:AY632" si="1975">AM632/$AF632</f>
        <v>0.9647058824</v>
      </c>
      <c r="AY632" s="9">
        <f t="shared" si="1975"/>
        <v>0.4117647059</v>
      </c>
      <c r="AZ632" s="9">
        <f>VLOOKUP(A632,Jogos!A:BN,58,0)</f>
        <v>28.915</v>
      </c>
      <c r="BA632" s="9">
        <f>VLOOKUP(A632,Jogos!A:BN,59,0)</f>
        <v>15.335</v>
      </c>
      <c r="BB632" s="9">
        <f>VLOOKUP(A632,Jogos!A:BN,60,0)</f>
        <v>43</v>
      </c>
      <c r="BC632" s="9">
        <f>VLOOKUP(A632,Jogos!A:BN,61,0)</f>
        <v>28.61</v>
      </c>
      <c r="BD632" s="9">
        <f>VLOOKUP(A632,Jogos!A:BN,62,0)</f>
        <v>642.4</v>
      </c>
      <c r="BE632" s="9">
        <f>VLOOKUP(A632,Jogos!A:BN,63,0)</f>
        <v>2.945</v>
      </c>
      <c r="BF632" s="9">
        <f>VLOOKUP(A632,Jogos!A:BN,64,0)</f>
        <v>21.815</v>
      </c>
      <c r="BG632" s="9">
        <f>VLOOKUP(A632,Jogos!A:BN,65,0)</f>
        <v>40.38</v>
      </c>
      <c r="BH632" s="9">
        <f>VLOOKUP(A632,Jogos!A:BN,66,0)</f>
        <v>26.24</v>
      </c>
      <c r="BI632" s="9"/>
    </row>
    <row r="633" hidden="1">
      <c r="A633" s="2">
        <v>22.0</v>
      </c>
      <c r="B633" s="11" t="s">
        <v>375</v>
      </c>
      <c r="C633" s="2" t="s">
        <v>61</v>
      </c>
      <c r="D633" s="3">
        <v>45828.0</v>
      </c>
      <c r="E633" s="4">
        <v>0.5833333333333334</v>
      </c>
      <c r="F633" s="5" t="str">
        <f>VLOOKUP(A633,Jogos!A:N,10,0)</f>
        <v>Afternoon</v>
      </c>
      <c r="G633" s="2" t="s">
        <v>500</v>
      </c>
      <c r="H633" s="6" t="str">
        <f>VLOOKUP(A633,Jogos!A:L,12,0)</f>
        <v>Open</v>
      </c>
      <c r="I633" s="6" t="str">
        <f>VLOOKUP(G633,'Estádios e Cidades'!A:B,2,0)</f>
        <v>Philadelphia</v>
      </c>
      <c r="J633" s="2" t="s">
        <v>501</v>
      </c>
      <c r="K633" s="2" t="str">
        <f>VLOOKUP(J633,Equipes!A:F,6,0)</f>
        <v>Tropical</v>
      </c>
      <c r="L633" s="2">
        <f>VLOOKUP(J633,Equipes!A:C,3,0)</f>
        <v>11</v>
      </c>
      <c r="M633" s="2" t="str">
        <f t="shared" si="4"/>
        <v>Round of 16</v>
      </c>
      <c r="N633" s="2" t="s">
        <v>377</v>
      </c>
      <c r="O633" s="2">
        <f>VLOOKUP(N633,Equipes!A:C,3,0)</f>
        <v>1</v>
      </c>
      <c r="P633" s="2" t="str">
        <f t="shared" si="5"/>
        <v>Final</v>
      </c>
      <c r="Q633" s="2">
        <f t="shared" si="6"/>
        <v>10</v>
      </c>
      <c r="R633" s="2" t="str">
        <f>VLOOKUP(J633,Equipes!A:B,2,0)</f>
        <v>Flamengo</v>
      </c>
      <c r="S633" s="6" t="s">
        <v>519</v>
      </c>
      <c r="T633" s="7">
        <v>10.0</v>
      </c>
      <c r="U633" s="7" t="s">
        <v>520</v>
      </c>
      <c r="V633" s="7" t="str">
        <f>VLOOKUP(U633,Jogadores!B:C,2,0)</f>
        <v>MF</v>
      </c>
      <c r="W633" s="8">
        <f>VLOOKUP(U633,Jogadores!B:D,3,0)</f>
        <v>31.17808219</v>
      </c>
      <c r="X633" s="7">
        <v>0.0</v>
      </c>
      <c r="Y633" s="7">
        <v>56.0</v>
      </c>
      <c r="Z633" s="7">
        <f>VLOOKUP(A633,Jogos!A:L,3,0)</f>
        <v>48</v>
      </c>
      <c r="AA633" s="7">
        <f t="shared" si="7"/>
        <v>48</v>
      </c>
      <c r="AB633" s="7">
        <f>VLOOKUP(A633,Jogos!A:L,4,0)</f>
        <v>52</v>
      </c>
      <c r="AC633" s="7">
        <f t="shared" si="657"/>
        <v>11</v>
      </c>
      <c r="AD633" s="7"/>
      <c r="AE633" s="7"/>
      <c r="AF633" s="7">
        <f t="shared" si="9"/>
        <v>59</v>
      </c>
      <c r="AG633" s="7">
        <v>6429.8</v>
      </c>
      <c r="AH633" s="7">
        <v>2187.1</v>
      </c>
      <c r="AI633" s="7">
        <v>3050.8</v>
      </c>
      <c r="AJ633" s="7">
        <v>933.3</v>
      </c>
      <c r="AK633" s="7">
        <v>172.0</v>
      </c>
      <c r="AL633" s="7">
        <v>86.6</v>
      </c>
      <c r="AM633" s="7">
        <v>84.0</v>
      </c>
      <c r="AN633" s="7">
        <v>18.0</v>
      </c>
      <c r="AO633" s="7">
        <v>30.5</v>
      </c>
      <c r="AP633" s="9">
        <f t="shared" ref="AP633:AR633" si="1976">AG633/$AF633</f>
        <v>108.979661</v>
      </c>
      <c r="AQ633" s="9">
        <f t="shared" si="1976"/>
        <v>37.06949153</v>
      </c>
      <c r="AR633" s="9">
        <f t="shared" si="1976"/>
        <v>51.70847458</v>
      </c>
      <c r="AS633" s="9">
        <f t="shared" si="11"/>
        <v>88.7779661</v>
      </c>
      <c r="AT633" s="9">
        <f t="shared" ref="AT633:AV633" si="1977">AJ633/$AF633</f>
        <v>15.81864407</v>
      </c>
      <c r="AU633" s="9">
        <f t="shared" si="1977"/>
        <v>2.915254237</v>
      </c>
      <c r="AV633" s="9">
        <f t="shared" si="1977"/>
        <v>1.46779661</v>
      </c>
      <c r="AW633" s="9">
        <f t="shared" si="13"/>
        <v>4.383050847</v>
      </c>
      <c r="AX633" s="9">
        <f t="shared" ref="AX633:AY633" si="1978">AM633/$AF633</f>
        <v>1.423728814</v>
      </c>
      <c r="AY633" s="9">
        <f t="shared" si="1978"/>
        <v>0.3050847458</v>
      </c>
      <c r="AZ633" s="9">
        <f>VLOOKUP(A633,Jogos!A:BN,58,0)</f>
        <v>28.915</v>
      </c>
      <c r="BA633" s="9">
        <f>VLOOKUP(A633,Jogos!A:BN,59,0)</f>
        <v>15.335</v>
      </c>
      <c r="BB633" s="9">
        <f>VLOOKUP(A633,Jogos!A:BN,60,0)</f>
        <v>43</v>
      </c>
      <c r="BC633" s="9">
        <f>VLOOKUP(A633,Jogos!A:BN,61,0)</f>
        <v>28.61</v>
      </c>
      <c r="BD633" s="9">
        <f>VLOOKUP(A633,Jogos!A:BN,62,0)</f>
        <v>642.4</v>
      </c>
      <c r="BE633" s="9">
        <f>VLOOKUP(A633,Jogos!A:BN,63,0)</f>
        <v>2.945</v>
      </c>
      <c r="BF633" s="9">
        <f>VLOOKUP(A633,Jogos!A:BN,64,0)</f>
        <v>21.815</v>
      </c>
      <c r="BG633" s="9">
        <f>VLOOKUP(A633,Jogos!A:BN,65,0)</f>
        <v>40.38</v>
      </c>
      <c r="BH633" s="9">
        <f>VLOOKUP(A633,Jogos!A:BN,66,0)</f>
        <v>26.24</v>
      </c>
      <c r="BI633" s="9"/>
    </row>
    <row r="634" hidden="1">
      <c r="A634" s="2">
        <v>22.0</v>
      </c>
      <c r="B634" s="11" t="s">
        <v>375</v>
      </c>
      <c r="C634" s="2" t="s">
        <v>61</v>
      </c>
      <c r="D634" s="3">
        <v>45828.0</v>
      </c>
      <c r="E634" s="4">
        <v>0.5833333333333334</v>
      </c>
      <c r="F634" s="5" t="str">
        <f>VLOOKUP(A634,Jogos!A:N,10,0)</f>
        <v>Afternoon</v>
      </c>
      <c r="G634" s="2" t="s">
        <v>500</v>
      </c>
      <c r="H634" s="6" t="str">
        <f>VLOOKUP(A634,Jogos!A:L,12,0)</f>
        <v>Open</v>
      </c>
      <c r="I634" s="6" t="str">
        <f>VLOOKUP(G634,'Estádios e Cidades'!A:B,2,0)</f>
        <v>Philadelphia</v>
      </c>
      <c r="J634" s="2" t="s">
        <v>501</v>
      </c>
      <c r="K634" s="2" t="str">
        <f>VLOOKUP(J634,Equipes!A:F,6,0)</f>
        <v>Tropical</v>
      </c>
      <c r="L634" s="2">
        <f>VLOOKUP(J634,Equipes!A:C,3,0)</f>
        <v>11</v>
      </c>
      <c r="M634" s="2" t="str">
        <f t="shared" si="4"/>
        <v>Round of 16</v>
      </c>
      <c r="N634" s="2" t="s">
        <v>377</v>
      </c>
      <c r="O634" s="2">
        <f>VLOOKUP(N634,Equipes!A:C,3,0)</f>
        <v>1</v>
      </c>
      <c r="P634" s="2" t="str">
        <f t="shared" si="5"/>
        <v>Final</v>
      </c>
      <c r="Q634" s="2">
        <f t="shared" si="6"/>
        <v>10</v>
      </c>
      <c r="R634" s="2" t="str">
        <f>VLOOKUP(J634,Equipes!A:B,2,0)</f>
        <v>Flamengo</v>
      </c>
      <c r="S634" s="6" t="s">
        <v>1121</v>
      </c>
      <c r="T634" s="7">
        <v>13.0</v>
      </c>
      <c r="U634" s="7" t="s">
        <v>336</v>
      </c>
      <c r="V634" s="7" t="str">
        <f>VLOOKUP(U634,Jogadores!B:C,2,0)</f>
        <v>MF</v>
      </c>
      <c r="W634" s="8">
        <f>VLOOKUP(U634,Jogadores!B:D,3,0)</f>
        <v>24.2630137</v>
      </c>
      <c r="X634" s="7">
        <v>0.0</v>
      </c>
      <c r="Y634" s="7">
        <f t="shared" ref="Y634:Y635" si="1982">45+AB634</f>
        <v>97</v>
      </c>
      <c r="Z634" s="7">
        <f>VLOOKUP(A634,Jogos!A:L,3,0)</f>
        <v>48</v>
      </c>
      <c r="AA634" s="7">
        <f t="shared" si="7"/>
        <v>48</v>
      </c>
      <c r="AB634" s="7">
        <f>VLOOKUP(A634,Jogos!A:L,4,0)</f>
        <v>52</v>
      </c>
      <c r="AC634" s="7">
        <f t="shared" si="657"/>
        <v>52</v>
      </c>
      <c r="AD634" s="7"/>
      <c r="AE634" s="7"/>
      <c r="AF634" s="7">
        <f t="shared" si="9"/>
        <v>100</v>
      </c>
      <c r="AG634" s="7">
        <v>9052.0</v>
      </c>
      <c r="AH634" s="7">
        <v>3759.2</v>
      </c>
      <c r="AI634" s="7">
        <v>3340.0</v>
      </c>
      <c r="AJ634" s="7">
        <v>1260.9</v>
      </c>
      <c r="AK634" s="7">
        <v>544.2</v>
      </c>
      <c r="AL634" s="7">
        <v>147.7</v>
      </c>
      <c r="AM634" s="7">
        <v>103.0</v>
      </c>
      <c r="AN634" s="7">
        <v>37.0</v>
      </c>
      <c r="AO634" s="7">
        <v>32.2</v>
      </c>
      <c r="AP634" s="9">
        <f t="shared" ref="AP634:AR634" si="1979">AG634/$AF634</f>
        <v>90.52</v>
      </c>
      <c r="AQ634" s="9">
        <f t="shared" si="1979"/>
        <v>37.592</v>
      </c>
      <c r="AR634" s="9">
        <f t="shared" si="1979"/>
        <v>33.4</v>
      </c>
      <c r="AS634" s="9">
        <f t="shared" si="11"/>
        <v>70.992</v>
      </c>
      <c r="AT634" s="9">
        <f t="shared" ref="AT634:AV634" si="1980">AJ634/$AF634</f>
        <v>12.609</v>
      </c>
      <c r="AU634" s="9">
        <f t="shared" si="1980"/>
        <v>5.442</v>
      </c>
      <c r="AV634" s="9">
        <f t="shared" si="1980"/>
        <v>1.477</v>
      </c>
      <c r="AW634" s="9">
        <f t="shared" si="13"/>
        <v>6.919</v>
      </c>
      <c r="AX634" s="9">
        <f t="shared" ref="AX634:AY634" si="1981">AM634/$AF634</f>
        <v>1.03</v>
      </c>
      <c r="AY634" s="9">
        <f t="shared" si="1981"/>
        <v>0.37</v>
      </c>
      <c r="AZ634" s="9">
        <f>VLOOKUP(A634,Jogos!A:BN,58,0)</f>
        <v>28.915</v>
      </c>
      <c r="BA634" s="9">
        <f>VLOOKUP(A634,Jogos!A:BN,59,0)</f>
        <v>15.335</v>
      </c>
      <c r="BB634" s="9">
        <f>VLOOKUP(A634,Jogos!A:BN,60,0)</f>
        <v>43</v>
      </c>
      <c r="BC634" s="9">
        <f>VLOOKUP(A634,Jogos!A:BN,61,0)</f>
        <v>28.61</v>
      </c>
      <c r="BD634" s="9">
        <f>VLOOKUP(A634,Jogos!A:BN,62,0)</f>
        <v>642.4</v>
      </c>
      <c r="BE634" s="9">
        <f>VLOOKUP(A634,Jogos!A:BN,63,0)</f>
        <v>2.945</v>
      </c>
      <c r="BF634" s="9">
        <f>VLOOKUP(A634,Jogos!A:BN,64,0)</f>
        <v>21.815</v>
      </c>
      <c r="BG634" s="9">
        <f>VLOOKUP(A634,Jogos!A:BN,65,0)</f>
        <v>40.38</v>
      </c>
      <c r="BH634" s="9">
        <f>VLOOKUP(A634,Jogos!A:BN,66,0)</f>
        <v>26.24</v>
      </c>
      <c r="BI634" s="9"/>
    </row>
    <row r="635" hidden="1">
      <c r="A635" s="2">
        <v>22.0</v>
      </c>
      <c r="B635" s="11" t="s">
        <v>375</v>
      </c>
      <c r="C635" s="2" t="s">
        <v>61</v>
      </c>
      <c r="D635" s="3">
        <v>45828.0</v>
      </c>
      <c r="E635" s="4">
        <v>0.5833333333333334</v>
      </c>
      <c r="F635" s="5" t="str">
        <f>VLOOKUP(A635,Jogos!A:N,10,0)</f>
        <v>Afternoon</v>
      </c>
      <c r="G635" s="2" t="s">
        <v>500</v>
      </c>
      <c r="H635" s="6" t="str">
        <f>VLOOKUP(A635,Jogos!A:L,12,0)</f>
        <v>Open</v>
      </c>
      <c r="I635" s="6" t="str">
        <f>VLOOKUP(G635,'Estádios e Cidades'!A:B,2,0)</f>
        <v>Philadelphia</v>
      </c>
      <c r="J635" s="2" t="s">
        <v>501</v>
      </c>
      <c r="K635" s="2" t="str">
        <f>VLOOKUP(J635,Equipes!A:F,6,0)</f>
        <v>Tropical</v>
      </c>
      <c r="L635" s="2">
        <f>VLOOKUP(J635,Equipes!A:C,3,0)</f>
        <v>11</v>
      </c>
      <c r="M635" s="2" t="str">
        <f t="shared" si="4"/>
        <v>Round of 16</v>
      </c>
      <c r="N635" s="2" t="s">
        <v>377</v>
      </c>
      <c r="O635" s="2">
        <f>VLOOKUP(N635,Equipes!A:C,3,0)</f>
        <v>1</v>
      </c>
      <c r="P635" s="2" t="str">
        <f t="shared" si="5"/>
        <v>Final</v>
      </c>
      <c r="Q635" s="2">
        <f t="shared" si="6"/>
        <v>10</v>
      </c>
      <c r="R635" s="2" t="str">
        <f>VLOOKUP(J635,Equipes!A:B,2,0)</f>
        <v>Flamengo</v>
      </c>
      <c r="S635" s="6" t="s">
        <v>521</v>
      </c>
      <c r="T635" s="7">
        <v>21.0</v>
      </c>
      <c r="U635" s="7" t="s">
        <v>522</v>
      </c>
      <c r="V635" s="7" t="str">
        <f>VLOOKUP(U635,Jogadores!B:C,2,0)</f>
        <v>MF</v>
      </c>
      <c r="W635" s="8">
        <f>VLOOKUP(U635,Jogadores!B:D,3,0)</f>
        <v>33.62739726</v>
      </c>
      <c r="X635" s="7">
        <v>0.0</v>
      </c>
      <c r="Y635" s="7">
        <f t="shared" si="1982"/>
        <v>97</v>
      </c>
      <c r="Z635" s="7">
        <f>VLOOKUP(A635,Jogos!A:L,3,0)</f>
        <v>48</v>
      </c>
      <c r="AA635" s="7">
        <f t="shared" si="7"/>
        <v>48</v>
      </c>
      <c r="AB635" s="7">
        <f>VLOOKUP(A635,Jogos!A:L,4,0)</f>
        <v>52</v>
      </c>
      <c r="AC635" s="7">
        <f t="shared" si="657"/>
        <v>52</v>
      </c>
      <c r="AD635" s="7"/>
      <c r="AE635" s="7"/>
      <c r="AF635" s="7">
        <f t="shared" si="9"/>
        <v>100</v>
      </c>
      <c r="AG635" s="7">
        <v>10820.2</v>
      </c>
      <c r="AH635" s="7">
        <v>3601.1</v>
      </c>
      <c r="AI635" s="7">
        <v>5051.2</v>
      </c>
      <c r="AJ635" s="7">
        <v>1615.3</v>
      </c>
      <c r="AK635" s="7">
        <v>491.1</v>
      </c>
      <c r="AL635" s="7">
        <v>61.5</v>
      </c>
      <c r="AM635" s="7">
        <v>139.0</v>
      </c>
      <c r="AN635" s="7">
        <v>29.0</v>
      </c>
      <c r="AO635" s="7">
        <v>28.4</v>
      </c>
      <c r="AP635" s="9">
        <f t="shared" ref="AP635:AR635" si="1983">AG635/$AF635</f>
        <v>108.202</v>
      </c>
      <c r="AQ635" s="9">
        <f t="shared" si="1983"/>
        <v>36.011</v>
      </c>
      <c r="AR635" s="9">
        <f t="shared" si="1983"/>
        <v>50.512</v>
      </c>
      <c r="AS635" s="9">
        <f t="shared" si="11"/>
        <v>86.523</v>
      </c>
      <c r="AT635" s="9">
        <f t="shared" ref="AT635:AV635" si="1984">AJ635/$AF635</f>
        <v>16.153</v>
      </c>
      <c r="AU635" s="9">
        <f t="shared" si="1984"/>
        <v>4.911</v>
      </c>
      <c r="AV635" s="9">
        <f t="shared" si="1984"/>
        <v>0.615</v>
      </c>
      <c r="AW635" s="9">
        <f t="shared" si="13"/>
        <v>5.526</v>
      </c>
      <c r="AX635" s="9">
        <f t="shared" ref="AX635:AY635" si="1985">AM635/$AF635</f>
        <v>1.39</v>
      </c>
      <c r="AY635" s="9">
        <f t="shared" si="1985"/>
        <v>0.29</v>
      </c>
      <c r="AZ635" s="9">
        <f>VLOOKUP(A635,Jogos!A:BN,58,0)</f>
        <v>28.915</v>
      </c>
      <c r="BA635" s="9">
        <f>VLOOKUP(A635,Jogos!A:BN,59,0)</f>
        <v>15.335</v>
      </c>
      <c r="BB635" s="9">
        <f>VLOOKUP(A635,Jogos!A:BN,60,0)</f>
        <v>43</v>
      </c>
      <c r="BC635" s="9">
        <f>VLOOKUP(A635,Jogos!A:BN,61,0)</f>
        <v>28.61</v>
      </c>
      <c r="BD635" s="9">
        <f>VLOOKUP(A635,Jogos!A:BN,62,0)</f>
        <v>642.4</v>
      </c>
      <c r="BE635" s="9">
        <f>VLOOKUP(A635,Jogos!A:BN,63,0)</f>
        <v>2.945</v>
      </c>
      <c r="BF635" s="9">
        <f>VLOOKUP(A635,Jogos!A:BN,64,0)</f>
        <v>21.815</v>
      </c>
      <c r="BG635" s="9">
        <f>VLOOKUP(A635,Jogos!A:BN,65,0)</f>
        <v>40.38</v>
      </c>
      <c r="BH635" s="9">
        <f>VLOOKUP(A635,Jogos!A:BN,66,0)</f>
        <v>26.24</v>
      </c>
      <c r="BI635" s="9"/>
    </row>
    <row r="636" hidden="1">
      <c r="A636" s="2">
        <v>22.0</v>
      </c>
      <c r="B636" s="11" t="s">
        <v>375</v>
      </c>
      <c r="C636" s="2" t="s">
        <v>61</v>
      </c>
      <c r="D636" s="3">
        <v>45828.0</v>
      </c>
      <c r="E636" s="4">
        <v>0.5833333333333334</v>
      </c>
      <c r="F636" s="5" t="str">
        <f>VLOOKUP(A636,Jogos!A:N,10,0)</f>
        <v>Afternoon</v>
      </c>
      <c r="G636" s="2" t="s">
        <v>500</v>
      </c>
      <c r="H636" s="6" t="str">
        <f>VLOOKUP(A636,Jogos!A:L,12,0)</f>
        <v>Open</v>
      </c>
      <c r="I636" s="6" t="str">
        <f>VLOOKUP(G636,'Estádios e Cidades'!A:B,2,0)</f>
        <v>Philadelphia</v>
      </c>
      <c r="J636" s="2" t="s">
        <v>501</v>
      </c>
      <c r="K636" s="2" t="str">
        <f>VLOOKUP(J636,Equipes!A:F,6,0)</f>
        <v>Tropical</v>
      </c>
      <c r="L636" s="2">
        <f>VLOOKUP(J636,Equipes!A:C,3,0)</f>
        <v>11</v>
      </c>
      <c r="M636" s="2" t="str">
        <f t="shared" si="4"/>
        <v>Round of 16</v>
      </c>
      <c r="N636" s="2" t="s">
        <v>377</v>
      </c>
      <c r="O636" s="2">
        <f>VLOOKUP(N636,Equipes!A:C,3,0)</f>
        <v>1</v>
      </c>
      <c r="P636" s="2" t="str">
        <f t="shared" si="5"/>
        <v>Final</v>
      </c>
      <c r="Q636" s="2">
        <f t="shared" si="6"/>
        <v>10</v>
      </c>
      <c r="R636" s="2" t="str">
        <f>VLOOKUP(J636,Equipes!A:B,2,0)</f>
        <v>Flamengo</v>
      </c>
      <c r="S636" s="6" t="s">
        <v>1122</v>
      </c>
      <c r="T636" s="7">
        <v>43.0</v>
      </c>
      <c r="U636" s="7" t="s">
        <v>1123</v>
      </c>
      <c r="V636" s="7" t="str">
        <f>VLOOKUP(U636,Jogadores!B:C,2,0)</f>
        <v>DF</v>
      </c>
      <c r="W636" s="8">
        <f>VLOOKUP(U636,Jogadores!B:D,3,0)</f>
        <v>21.90684932</v>
      </c>
      <c r="X636" s="7">
        <v>0.0</v>
      </c>
      <c r="Y636" s="7">
        <v>82.0</v>
      </c>
      <c r="Z636" s="7">
        <f>VLOOKUP(A636,Jogos!A:L,3,0)</f>
        <v>48</v>
      </c>
      <c r="AA636" s="7">
        <f t="shared" si="7"/>
        <v>48</v>
      </c>
      <c r="AB636" s="7">
        <f>VLOOKUP(A636,Jogos!A:L,4,0)</f>
        <v>52</v>
      </c>
      <c r="AC636" s="7">
        <f t="shared" si="657"/>
        <v>37</v>
      </c>
      <c r="AD636" s="7"/>
      <c r="AE636" s="7"/>
      <c r="AF636" s="7">
        <f t="shared" si="9"/>
        <v>85</v>
      </c>
      <c r="AG636" s="7">
        <v>8157.7</v>
      </c>
      <c r="AH636" s="7">
        <v>3417.1</v>
      </c>
      <c r="AI636" s="7">
        <v>2789.1</v>
      </c>
      <c r="AJ636" s="7">
        <v>882.8</v>
      </c>
      <c r="AK636" s="7">
        <v>670.7</v>
      </c>
      <c r="AL636" s="7">
        <v>398.0</v>
      </c>
      <c r="AM636" s="7">
        <v>64.0</v>
      </c>
      <c r="AN636" s="7">
        <v>56.0</v>
      </c>
      <c r="AO636" s="7">
        <v>35.9</v>
      </c>
      <c r="AP636" s="9">
        <f t="shared" ref="AP636:AR636" si="1986">AG636/$AF636</f>
        <v>95.97294118</v>
      </c>
      <c r="AQ636" s="9">
        <f t="shared" si="1986"/>
        <v>40.20117647</v>
      </c>
      <c r="AR636" s="9">
        <f t="shared" si="1986"/>
        <v>32.81294118</v>
      </c>
      <c r="AS636" s="9">
        <f t="shared" si="11"/>
        <v>73.01411765</v>
      </c>
      <c r="AT636" s="9">
        <f t="shared" ref="AT636:AV636" si="1987">AJ636/$AF636</f>
        <v>10.38588235</v>
      </c>
      <c r="AU636" s="9">
        <f t="shared" si="1987"/>
        <v>7.890588235</v>
      </c>
      <c r="AV636" s="9">
        <f t="shared" si="1987"/>
        <v>4.682352941</v>
      </c>
      <c r="AW636" s="9">
        <f t="shared" si="13"/>
        <v>12.57294118</v>
      </c>
      <c r="AX636" s="9">
        <f t="shared" ref="AX636:AY636" si="1988">AM636/$AF636</f>
        <v>0.7529411765</v>
      </c>
      <c r="AY636" s="9">
        <f t="shared" si="1988"/>
        <v>0.6588235294</v>
      </c>
      <c r="AZ636" s="9">
        <f>VLOOKUP(A636,Jogos!A:BN,58,0)</f>
        <v>28.915</v>
      </c>
      <c r="BA636" s="9">
        <f>VLOOKUP(A636,Jogos!A:BN,59,0)</f>
        <v>15.335</v>
      </c>
      <c r="BB636" s="9">
        <f>VLOOKUP(A636,Jogos!A:BN,60,0)</f>
        <v>43</v>
      </c>
      <c r="BC636" s="9">
        <f>VLOOKUP(A636,Jogos!A:BN,61,0)</f>
        <v>28.61</v>
      </c>
      <c r="BD636" s="9">
        <f>VLOOKUP(A636,Jogos!A:BN,62,0)</f>
        <v>642.4</v>
      </c>
      <c r="BE636" s="9">
        <f>VLOOKUP(A636,Jogos!A:BN,63,0)</f>
        <v>2.945</v>
      </c>
      <c r="BF636" s="9">
        <f>VLOOKUP(A636,Jogos!A:BN,64,0)</f>
        <v>21.815</v>
      </c>
      <c r="BG636" s="9">
        <f>VLOOKUP(A636,Jogos!A:BN,65,0)</f>
        <v>40.38</v>
      </c>
      <c r="BH636" s="9">
        <f>VLOOKUP(A636,Jogos!A:BN,66,0)</f>
        <v>26.24</v>
      </c>
      <c r="BI636" s="9"/>
    </row>
    <row r="637" hidden="1">
      <c r="A637" s="2">
        <v>22.0</v>
      </c>
      <c r="B637" s="11" t="s">
        <v>375</v>
      </c>
      <c r="C637" s="2" t="s">
        <v>61</v>
      </c>
      <c r="D637" s="3">
        <v>45828.0</v>
      </c>
      <c r="E637" s="4">
        <v>0.5833333333333334</v>
      </c>
      <c r="F637" s="5" t="str">
        <f>VLOOKUP(A637,Jogos!A:N,10,0)</f>
        <v>Afternoon</v>
      </c>
      <c r="G637" s="2" t="s">
        <v>500</v>
      </c>
      <c r="H637" s="6" t="str">
        <f>VLOOKUP(A637,Jogos!A:L,12,0)</f>
        <v>Open</v>
      </c>
      <c r="I637" s="6" t="str">
        <f>VLOOKUP(G637,'Estádios e Cidades'!A:B,2,0)</f>
        <v>Philadelphia</v>
      </c>
      <c r="J637" s="2" t="s">
        <v>501</v>
      </c>
      <c r="K637" s="2" t="str">
        <f>VLOOKUP(J637,Equipes!A:F,6,0)</f>
        <v>Tropical</v>
      </c>
      <c r="L637" s="2">
        <f>VLOOKUP(J637,Equipes!A:C,3,0)</f>
        <v>11</v>
      </c>
      <c r="M637" s="2" t="str">
        <f t="shared" si="4"/>
        <v>Round of 16</v>
      </c>
      <c r="N637" s="2" t="s">
        <v>377</v>
      </c>
      <c r="O637" s="2">
        <f>VLOOKUP(N637,Equipes!A:C,3,0)</f>
        <v>1</v>
      </c>
      <c r="P637" s="2" t="str">
        <f t="shared" si="5"/>
        <v>Final</v>
      </c>
      <c r="Q637" s="2">
        <f t="shared" si="6"/>
        <v>10</v>
      </c>
      <c r="R637" s="2" t="str">
        <f>VLOOKUP(J637,Equipes!A:B,2,0)</f>
        <v>Flamengo</v>
      </c>
      <c r="S637" s="6" t="s">
        <v>530</v>
      </c>
      <c r="T637" s="7">
        <v>50.0</v>
      </c>
      <c r="U637" s="7" t="s">
        <v>531</v>
      </c>
      <c r="V637" s="7" t="str">
        <f>VLOOKUP(U637,Jogadores!B:C,2,0)</f>
        <v>FW</v>
      </c>
      <c r="W637" s="8">
        <f>VLOOKUP(U637,Jogadores!B:D,3,0)</f>
        <v>24.75342466</v>
      </c>
      <c r="X637" s="7">
        <v>0.0</v>
      </c>
      <c r="Y637" s="7">
        <v>92.0</v>
      </c>
      <c r="Z637" s="7">
        <f>VLOOKUP(A637,Jogos!A:L,3,0)</f>
        <v>48</v>
      </c>
      <c r="AA637" s="7">
        <f t="shared" si="7"/>
        <v>48</v>
      </c>
      <c r="AB637" s="7">
        <f>VLOOKUP(A637,Jogos!A:L,4,0)</f>
        <v>52</v>
      </c>
      <c r="AC637" s="7">
        <f t="shared" si="657"/>
        <v>47</v>
      </c>
      <c r="AD637" s="7"/>
      <c r="AE637" s="7"/>
      <c r="AF637" s="7">
        <f t="shared" si="9"/>
        <v>95</v>
      </c>
      <c r="AG637" s="7">
        <v>9849.5</v>
      </c>
      <c r="AH637" s="7">
        <v>3508.9</v>
      </c>
      <c r="AI637" s="7">
        <v>3920.0</v>
      </c>
      <c r="AJ637" s="7">
        <v>1443.4</v>
      </c>
      <c r="AK637" s="7">
        <v>706.4</v>
      </c>
      <c r="AL637" s="7">
        <v>270.9</v>
      </c>
      <c r="AM637" s="7">
        <v>125.0</v>
      </c>
      <c r="AN637" s="7">
        <v>54.0</v>
      </c>
      <c r="AO637" s="7">
        <v>33.6</v>
      </c>
      <c r="AP637" s="9">
        <f t="shared" ref="AP637:AR637" si="1989">AG637/$AF637</f>
        <v>103.6789474</v>
      </c>
      <c r="AQ637" s="9">
        <f t="shared" si="1989"/>
        <v>36.93578947</v>
      </c>
      <c r="AR637" s="9">
        <f t="shared" si="1989"/>
        <v>41.26315789</v>
      </c>
      <c r="AS637" s="9">
        <f t="shared" si="11"/>
        <v>78.19894737</v>
      </c>
      <c r="AT637" s="9">
        <f t="shared" ref="AT637:AV637" si="1990">AJ637/$AF637</f>
        <v>15.19368421</v>
      </c>
      <c r="AU637" s="9">
        <f t="shared" si="1990"/>
        <v>7.435789474</v>
      </c>
      <c r="AV637" s="9">
        <f t="shared" si="1990"/>
        <v>2.851578947</v>
      </c>
      <c r="AW637" s="9">
        <f t="shared" si="13"/>
        <v>10.28736842</v>
      </c>
      <c r="AX637" s="9">
        <f t="shared" ref="AX637:AY637" si="1991">AM637/$AF637</f>
        <v>1.315789474</v>
      </c>
      <c r="AY637" s="9">
        <f t="shared" si="1991"/>
        <v>0.5684210526</v>
      </c>
      <c r="AZ637" s="9">
        <f>VLOOKUP(A637,Jogos!A:BN,58,0)</f>
        <v>28.915</v>
      </c>
      <c r="BA637" s="9">
        <f>VLOOKUP(A637,Jogos!A:BN,59,0)</f>
        <v>15.335</v>
      </c>
      <c r="BB637" s="9">
        <f>VLOOKUP(A637,Jogos!A:BN,60,0)</f>
        <v>43</v>
      </c>
      <c r="BC637" s="9">
        <f>VLOOKUP(A637,Jogos!A:BN,61,0)</f>
        <v>28.61</v>
      </c>
      <c r="BD637" s="9">
        <f>VLOOKUP(A637,Jogos!A:BN,62,0)</f>
        <v>642.4</v>
      </c>
      <c r="BE637" s="9">
        <f>VLOOKUP(A637,Jogos!A:BN,63,0)</f>
        <v>2.945</v>
      </c>
      <c r="BF637" s="9">
        <f>VLOOKUP(A637,Jogos!A:BN,64,0)</f>
        <v>21.815</v>
      </c>
      <c r="BG637" s="9">
        <f>VLOOKUP(A637,Jogos!A:BN,65,0)</f>
        <v>40.38</v>
      </c>
      <c r="BH637" s="9">
        <f>VLOOKUP(A637,Jogos!A:BN,66,0)</f>
        <v>26.24</v>
      </c>
      <c r="BI637" s="9"/>
    </row>
    <row r="638" hidden="1">
      <c r="A638" s="2">
        <v>22.0</v>
      </c>
      <c r="B638" s="11" t="s">
        <v>375</v>
      </c>
      <c r="C638" s="2" t="s">
        <v>61</v>
      </c>
      <c r="D638" s="3">
        <v>45828.0</v>
      </c>
      <c r="E638" s="4">
        <v>0.5833333333333334</v>
      </c>
      <c r="F638" s="5" t="str">
        <f>VLOOKUP(A638,Jogos!A:N,10,0)</f>
        <v>Afternoon</v>
      </c>
      <c r="G638" s="2" t="s">
        <v>500</v>
      </c>
      <c r="H638" s="6" t="str">
        <f>VLOOKUP(A638,Jogos!A:L,12,0)</f>
        <v>Open</v>
      </c>
      <c r="I638" s="6" t="str">
        <f>VLOOKUP(G638,'Estádios e Cidades'!A:B,2,0)</f>
        <v>Philadelphia</v>
      </c>
      <c r="J638" s="2" t="s">
        <v>501</v>
      </c>
      <c r="K638" s="2" t="str">
        <f>VLOOKUP(J638,Equipes!A:F,6,0)</f>
        <v>Tropical</v>
      </c>
      <c r="L638" s="2">
        <f>VLOOKUP(J638,Equipes!A:C,3,0)</f>
        <v>11</v>
      </c>
      <c r="M638" s="2" t="str">
        <f t="shared" si="4"/>
        <v>Round of 16</v>
      </c>
      <c r="N638" s="2" t="s">
        <v>377</v>
      </c>
      <c r="O638" s="2">
        <f>VLOOKUP(N638,Equipes!A:C,3,0)</f>
        <v>1</v>
      </c>
      <c r="P638" s="2" t="str">
        <f t="shared" si="5"/>
        <v>Final</v>
      </c>
      <c r="Q638" s="2">
        <f t="shared" si="6"/>
        <v>10</v>
      </c>
      <c r="R638" s="2" t="str">
        <f>VLOOKUP(J638,Equipes!A:B,2,0)</f>
        <v>Flamengo</v>
      </c>
      <c r="S638" s="6" t="s">
        <v>503</v>
      </c>
      <c r="T638" s="7">
        <v>2.0</v>
      </c>
      <c r="U638" s="7" t="s">
        <v>504</v>
      </c>
      <c r="V638" s="7" t="str">
        <f>VLOOKUP(U638,Jogadores!B:C,2,0)</f>
        <v>DF</v>
      </c>
      <c r="W638" s="8">
        <f>VLOOKUP(U638,Jogadores!B:D,3,0)</f>
        <v>32.36712329</v>
      </c>
      <c r="X638" s="7">
        <v>82.0</v>
      </c>
      <c r="Y638" s="7">
        <f t="shared" ref="Y638:Y645" si="1995">45+AB638</f>
        <v>97</v>
      </c>
      <c r="Z638" s="7">
        <f>VLOOKUP(A638,Jogos!A:L,3,0)</f>
        <v>48</v>
      </c>
      <c r="AA638" s="7">
        <f t="shared" si="7"/>
        <v>0</v>
      </c>
      <c r="AB638" s="7">
        <f>VLOOKUP(A638,Jogos!A:L,4,0)</f>
        <v>52</v>
      </c>
      <c r="AC638" s="7">
        <f t="shared" si="657"/>
        <v>15</v>
      </c>
      <c r="AD638" s="7"/>
      <c r="AE638" s="7"/>
      <c r="AF638" s="7">
        <f t="shared" si="9"/>
        <v>15</v>
      </c>
      <c r="AG638" s="7">
        <v>1684.8</v>
      </c>
      <c r="AH638" s="7">
        <v>507.5</v>
      </c>
      <c r="AI638" s="7">
        <v>790.2</v>
      </c>
      <c r="AJ638" s="7">
        <v>290.8</v>
      </c>
      <c r="AK638" s="7">
        <v>80.9</v>
      </c>
      <c r="AL638" s="7">
        <v>15.3</v>
      </c>
      <c r="AM638" s="7">
        <v>27.0</v>
      </c>
      <c r="AN638" s="7">
        <v>7.0</v>
      </c>
      <c r="AO638" s="7">
        <v>27.3</v>
      </c>
      <c r="AP638" s="9">
        <f t="shared" ref="AP638:AR638" si="1992">AG638/$AF638</f>
        <v>112.32</v>
      </c>
      <c r="AQ638" s="9">
        <f t="shared" si="1992"/>
        <v>33.83333333</v>
      </c>
      <c r="AR638" s="9">
        <f t="shared" si="1992"/>
        <v>52.68</v>
      </c>
      <c r="AS638" s="9">
        <f t="shared" si="11"/>
        <v>86.51333333</v>
      </c>
      <c r="AT638" s="9">
        <f t="shared" ref="AT638:AV638" si="1993">AJ638/$AF638</f>
        <v>19.38666667</v>
      </c>
      <c r="AU638" s="9">
        <f t="shared" si="1993"/>
        <v>5.393333333</v>
      </c>
      <c r="AV638" s="9">
        <f t="shared" si="1993"/>
        <v>1.02</v>
      </c>
      <c r="AW638" s="9">
        <f t="shared" si="13"/>
        <v>6.413333333</v>
      </c>
      <c r="AX638" s="9">
        <f t="shared" ref="AX638:AY638" si="1994">AM638/$AF638</f>
        <v>1.8</v>
      </c>
      <c r="AY638" s="9">
        <f t="shared" si="1994"/>
        <v>0.4666666667</v>
      </c>
      <c r="AZ638" s="9">
        <f>VLOOKUP(A638,Jogos!A:BN,58,0)</f>
        <v>28.915</v>
      </c>
      <c r="BA638" s="9">
        <f>VLOOKUP(A638,Jogos!A:BN,59,0)</f>
        <v>15.335</v>
      </c>
      <c r="BB638" s="9">
        <f>VLOOKUP(A638,Jogos!A:BN,60,0)</f>
        <v>43</v>
      </c>
      <c r="BC638" s="9">
        <f>VLOOKUP(A638,Jogos!A:BN,61,0)</f>
        <v>28.61</v>
      </c>
      <c r="BD638" s="9">
        <f>VLOOKUP(A638,Jogos!A:BN,62,0)</f>
        <v>642.4</v>
      </c>
      <c r="BE638" s="9">
        <f>VLOOKUP(A638,Jogos!A:BN,63,0)</f>
        <v>2.945</v>
      </c>
      <c r="BF638" s="9">
        <f>VLOOKUP(A638,Jogos!A:BN,64,0)</f>
        <v>21.815</v>
      </c>
      <c r="BG638" s="9">
        <f>VLOOKUP(A638,Jogos!A:BN,65,0)</f>
        <v>40.38</v>
      </c>
      <c r="BH638" s="9">
        <f>VLOOKUP(A638,Jogos!A:BN,66,0)</f>
        <v>26.24</v>
      </c>
      <c r="BI638" s="9"/>
    </row>
    <row r="639" hidden="1">
      <c r="A639" s="2">
        <v>22.0</v>
      </c>
      <c r="B639" s="11" t="s">
        <v>375</v>
      </c>
      <c r="C639" s="2" t="s">
        <v>61</v>
      </c>
      <c r="D639" s="3">
        <v>45828.0</v>
      </c>
      <c r="E639" s="4">
        <v>0.5833333333333334</v>
      </c>
      <c r="F639" s="5" t="str">
        <f>VLOOKUP(A639,Jogos!A:N,10,0)</f>
        <v>Afternoon</v>
      </c>
      <c r="G639" s="2" t="s">
        <v>500</v>
      </c>
      <c r="H639" s="6" t="str">
        <f>VLOOKUP(A639,Jogos!A:L,12,0)</f>
        <v>Open</v>
      </c>
      <c r="I639" s="6" t="str">
        <f>VLOOKUP(G639,'Estádios e Cidades'!A:B,2,0)</f>
        <v>Philadelphia</v>
      </c>
      <c r="J639" s="2" t="s">
        <v>501</v>
      </c>
      <c r="K639" s="2" t="str">
        <f>VLOOKUP(J639,Equipes!A:F,6,0)</f>
        <v>Tropical</v>
      </c>
      <c r="L639" s="2">
        <f>VLOOKUP(J639,Equipes!A:C,3,0)</f>
        <v>11</v>
      </c>
      <c r="M639" s="2" t="str">
        <f t="shared" si="4"/>
        <v>Round of 16</v>
      </c>
      <c r="N639" s="2" t="s">
        <v>377</v>
      </c>
      <c r="O639" s="2">
        <f>VLOOKUP(N639,Equipes!A:C,3,0)</f>
        <v>1</v>
      </c>
      <c r="P639" s="2" t="str">
        <f t="shared" si="5"/>
        <v>Final</v>
      </c>
      <c r="Q639" s="2">
        <f t="shared" si="6"/>
        <v>10</v>
      </c>
      <c r="R639" s="2" t="str">
        <f>VLOOKUP(J639,Equipes!A:B,2,0)</f>
        <v>Flamengo</v>
      </c>
      <c r="S639" s="6" t="s">
        <v>517</v>
      </c>
      <c r="T639" s="7">
        <v>9.0</v>
      </c>
      <c r="U639" s="7" t="s">
        <v>518</v>
      </c>
      <c r="V639" s="7" t="str">
        <f>VLOOKUP(U639,Jogadores!B:C,2,0)</f>
        <v>FW</v>
      </c>
      <c r="W639" s="8">
        <f>VLOOKUP(U639,Jogadores!B:D,3,0)</f>
        <v>28.12328767</v>
      </c>
      <c r="X639" s="7">
        <v>92.0</v>
      </c>
      <c r="Y639" s="7">
        <f t="shared" si="1995"/>
        <v>97</v>
      </c>
      <c r="Z639" s="7">
        <f>VLOOKUP(A639,Jogos!A:L,3,0)</f>
        <v>48</v>
      </c>
      <c r="AA639" s="7">
        <f t="shared" si="7"/>
        <v>0</v>
      </c>
      <c r="AB639" s="7">
        <f>VLOOKUP(A639,Jogos!A:L,4,0)</f>
        <v>52</v>
      </c>
      <c r="AC639" s="7">
        <f t="shared" si="657"/>
        <v>5</v>
      </c>
      <c r="AD639" s="7"/>
      <c r="AE639" s="7"/>
      <c r="AF639" s="7">
        <f t="shared" si="9"/>
        <v>5</v>
      </c>
      <c r="AG639" s="7">
        <v>776.2</v>
      </c>
      <c r="AH639" s="7">
        <v>255.2</v>
      </c>
      <c r="AI639" s="7">
        <v>357.0</v>
      </c>
      <c r="AJ639" s="7">
        <v>122.7</v>
      </c>
      <c r="AK639" s="7">
        <v>41.3</v>
      </c>
      <c r="AL639" s="7">
        <v>14.0</v>
      </c>
      <c r="AM639" s="7">
        <v>2.0</v>
      </c>
      <c r="AN639" s="7">
        <v>24.2</v>
      </c>
      <c r="AO639" s="7"/>
      <c r="AP639" s="9">
        <f t="shared" ref="AP639:AR639" si="1996">AG639/$AF639</f>
        <v>155.24</v>
      </c>
      <c r="AQ639" s="9">
        <f t="shared" si="1996"/>
        <v>51.04</v>
      </c>
      <c r="AR639" s="9">
        <f t="shared" si="1996"/>
        <v>71.4</v>
      </c>
      <c r="AS639" s="9">
        <f t="shared" si="11"/>
        <v>122.44</v>
      </c>
      <c r="AT639" s="9">
        <f t="shared" ref="AT639:AV639" si="1997">AJ639/$AF639</f>
        <v>24.54</v>
      </c>
      <c r="AU639" s="9">
        <f t="shared" si="1997"/>
        <v>8.26</v>
      </c>
      <c r="AV639" s="9">
        <f t="shared" si="1997"/>
        <v>2.8</v>
      </c>
      <c r="AW639" s="9">
        <f t="shared" si="13"/>
        <v>11.06</v>
      </c>
      <c r="AX639" s="9">
        <f t="shared" ref="AX639:AY639" si="1998">AM639/$AF639</f>
        <v>0.4</v>
      </c>
      <c r="AY639" s="9">
        <f t="shared" si="1998"/>
        <v>4.84</v>
      </c>
      <c r="AZ639" s="9">
        <f>VLOOKUP(A639,Jogos!A:BN,58,0)</f>
        <v>28.915</v>
      </c>
      <c r="BA639" s="9">
        <f>VLOOKUP(A639,Jogos!A:BN,59,0)</f>
        <v>15.335</v>
      </c>
      <c r="BB639" s="9">
        <f>VLOOKUP(A639,Jogos!A:BN,60,0)</f>
        <v>43</v>
      </c>
      <c r="BC639" s="9">
        <f>VLOOKUP(A639,Jogos!A:BN,61,0)</f>
        <v>28.61</v>
      </c>
      <c r="BD639" s="9">
        <f>VLOOKUP(A639,Jogos!A:BN,62,0)</f>
        <v>642.4</v>
      </c>
      <c r="BE639" s="9">
        <f>VLOOKUP(A639,Jogos!A:BN,63,0)</f>
        <v>2.945</v>
      </c>
      <c r="BF639" s="9">
        <f>VLOOKUP(A639,Jogos!A:BN,64,0)</f>
        <v>21.815</v>
      </c>
      <c r="BG639" s="9">
        <f>VLOOKUP(A639,Jogos!A:BN,65,0)</f>
        <v>40.38</v>
      </c>
      <c r="BH639" s="9">
        <f>VLOOKUP(A639,Jogos!A:BN,66,0)</f>
        <v>26.24</v>
      </c>
      <c r="BI639" s="9"/>
    </row>
    <row r="640" hidden="1">
      <c r="A640" s="2">
        <v>22.0</v>
      </c>
      <c r="B640" s="11" t="s">
        <v>375</v>
      </c>
      <c r="C640" s="2" t="s">
        <v>61</v>
      </c>
      <c r="D640" s="3">
        <v>45828.0</v>
      </c>
      <c r="E640" s="4">
        <v>0.5833333333333334</v>
      </c>
      <c r="F640" s="5" t="str">
        <f>VLOOKUP(A640,Jogos!A:N,10,0)</f>
        <v>Afternoon</v>
      </c>
      <c r="G640" s="2" t="s">
        <v>500</v>
      </c>
      <c r="H640" s="6" t="str">
        <f>VLOOKUP(A640,Jogos!A:L,12,0)</f>
        <v>Open</v>
      </c>
      <c r="I640" s="6" t="str">
        <f>VLOOKUP(G640,'Estádios e Cidades'!A:B,2,0)</f>
        <v>Philadelphia</v>
      </c>
      <c r="J640" s="2" t="s">
        <v>501</v>
      </c>
      <c r="K640" s="2" t="str">
        <f>VLOOKUP(J640,Equipes!A:F,6,0)</f>
        <v>Tropical</v>
      </c>
      <c r="L640" s="2">
        <f>VLOOKUP(J640,Equipes!A:C,3,0)</f>
        <v>11</v>
      </c>
      <c r="M640" s="2" t="str">
        <f t="shared" si="4"/>
        <v>Round of 16</v>
      </c>
      <c r="N640" s="2" t="s">
        <v>377</v>
      </c>
      <c r="O640" s="2">
        <f>VLOOKUP(N640,Equipes!A:C,3,0)</f>
        <v>1</v>
      </c>
      <c r="P640" s="2" t="str">
        <f t="shared" si="5"/>
        <v>Final</v>
      </c>
      <c r="Q640" s="2">
        <f t="shared" si="6"/>
        <v>10</v>
      </c>
      <c r="R640" s="2" t="str">
        <f>VLOOKUP(J640,Equipes!A:B,2,0)</f>
        <v>Flamengo</v>
      </c>
      <c r="S640" s="6" t="s">
        <v>525</v>
      </c>
      <c r="T640" s="7">
        <v>27.0</v>
      </c>
      <c r="U640" s="7" t="s">
        <v>526</v>
      </c>
      <c r="V640" s="7" t="str">
        <f>VLOOKUP(U640,Jogadores!B:C,2,0)</f>
        <v>FW</v>
      </c>
      <c r="W640" s="8">
        <f>VLOOKUP(U640,Jogadores!B:D,3,0)</f>
        <v>34.6</v>
      </c>
      <c r="X640" s="7">
        <v>56.0</v>
      </c>
      <c r="Y640" s="7">
        <f t="shared" si="1995"/>
        <v>97</v>
      </c>
      <c r="Z640" s="7">
        <f>VLOOKUP(A640,Jogos!A:L,3,0)</f>
        <v>48</v>
      </c>
      <c r="AA640" s="7">
        <f t="shared" si="7"/>
        <v>0</v>
      </c>
      <c r="AB640" s="7">
        <f>VLOOKUP(A640,Jogos!A:L,4,0)</f>
        <v>52</v>
      </c>
      <c r="AC640" s="7">
        <f t="shared" si="657"/>
        <v>41</v>
      </c>
      <c r="AD640" s="7"/>
      <c r="AE640" s="7"/>
      <c r="AF640" s="7">
        <f t="shared" si="9"/>
        <v>41</v>
      </c>
      <c r="AG640" s="7">
        <v>3894.5</v>
      </c>
      <c r="AH640" s="7">
        <v>1511.4</v>
      </c>
      <c r="AI640" s="7">
        <v>1474.3</v>
      </c>
      <c r="AJ640" s="7">
        <v>516.0</v>
      </c>
      <c r="AK640" s="7">
        <v>255.2</v>
      </c>
      <c r="AL640" s="7">
        <v>137.5</v>
      </c>
      <c r="AM640" s="7">
        <v>39.0</v>
      </c>
      <c r="AN640" s="7">
        <v>25.0</v>
      </c>
      <c r="AO640" s="7">
        <v>32.3</v>
      </c>
      <c r="AP640" s="9">
        <f t="shared" ref="AP640:AR640" si="1999">AG640/$AF640</f>
        <v>94.98780488</v>
      </c>
      <c r="AQ640" s="9">
        <f t="shared" si="1999"/>
        <v>36.86341463</v>
      </c>
      <c r="AR640" s="9">
        <f t="shared" si="1999"/>
        <v>35.95853659</v>
      </c>
      <c r="AS640" s="9">
        <f t="shared" si="11"/>
        <v>72.82195122</v>
      </c>
      <c r="AT640" s="9">
        <f t="shared" ref="AT640:AV640" si="2000">AJ640/$AF640</f>
        <v>12.58536585</v>
      </c>
      <c r="AU640" s="9">
        <f t="shared" si="2000"/>
        <v>6.224390244</v>
      </c>
      <c r="AV640" s="9">
        <f t="shared" si="2000"/>
        <v>3.353658537</v>
      </c>
      <c r="AW640" s="9">
        <f t="shared" si="13"/>
        <v>9.57804878</v>
      </c>
      <c r="AX640" s="9">
        <f t="shared" ref="AX640:AY640" si="2001">AM640/$AF640</f>
        <v>0.9512195122</v>
      </c>
      <c r="AY640" s="9">
        <f t="shared" si="2001"/>
        <v>0.6097560976</v>
      </c>
      <c r="AZ640" s="9">
        <f>VLOOKUP(A640,Jogos!A:BN,58,0)</f>
        <v>28.915</v>
      </c>
      <c r="BA640" s="9">
        <f>VLOOKUP(A640,Jogos!A:BN,59,0)</f>
        <v>15.335</v>
      </c>
      <c r="BB640" s="9">
        <f>VLOOKUP(A640,Jogos!A:BN,60,0)</f>
        <v>43</v>
      </c>
      <c r="BC640" s="9">
        <f>VLOOKUP(A640,Jogos!A:BN,61,0)</f>
        <v>28.61</v>
      </c>
      <c r="BD640" s="9">
        <f>VLOOKUP(A640,Jogos!A:BN,62,0)</f>
        <v>642.4</v>
      </c>
      <c r="BE640" s="9">
        <f>VLOOKUP(A640,Jogos!A:BN,63,0)</f>
        <v>2.945</v>
      </c>
      <c r="BF640" s="9">
        <f>VLOOKUP(A640,Jogos!A:BN,64,0)</f>
        <v>21.815</v>
      </c>
      <c r="BG640" s="9">
        <f>VLOOKUP(A640,Jogos!A:BN,65,0)</f>
        <v>40.38</v>
      </c>
      <c r="BH640" s="9">
        <f>VLOOKUP(A640,Jogos!A:BN,66,0)</f>
        <v>26.24</v>
      </c>
      <c r="BI640" s="9"/>
    </row>
    <row r="641" hidden="1">
      <c r="A641" s="2">
        <v>22.0</v>
      </c>
      <c r="B641" s="11" t="s">
        <v>375</v>
      </c>
      <c r="C641" s="2" t="s">
        <v>61</v>
      </c>
      <c r="D641" s="3">
        <v>45828.0</v>
      </c>
      <c r="E641" s="4">
        <v>0.5833333333333334</v>
      </c>
      <c r="F641" s="5" t="str">
        <f>VLOOKUP(A641,Jogos!A:N,10,0)</f>
        <v>Afternoon</v>
      </c>
      <c r="G641" s="2" t="s">
        <v>500</v>
      </c>
      <c r="H641" s="6" t="str">
        <f>VLOOKUP(A641,Jogos!A:L,12,0)</f>
        <v>Open</v>
      </c>
      <c r="I641" s="6" t="str">
        <f>VLOOKUP(G641,'Estádios e Cidades'!A:B,2,0)</f>
        <v>Philadelphia</v>
      </c>
      <c r="J641" s="2" t="s">
        <v>501</v>
      </c>
      <c r="K641" s="2" t="str">
        <f>VLOOKUP(J641,Equipes!A:F,6,0)</f>
        <v>Tropical</v>
      </c>
      <c r="L641" s="2">
        <f>VLOOKUP(J641,Equipes!A:C,3,0)</f>
        <v>11</v>
      </c>
      <c r="M641" s="2" t="str">
        <f t="shared" si="4"/>
        <v>Round of 16</v>
      </c>
      <c r="N641" s="2" t="s">
        <v>377</v>
      </c>
      <c r="O641" s="2">
        <f>VLOOKUP(N641,Equipes!A:C,3,0)</f>
        <v>1</v>
      </c>
      <c r="P641" s="2" t="str">
        <f t="shared" si="5"/>
        <v>Final</v>
      </c>
      <c r="Q641" s="2">
        <f t="shared" si="6"/>
        <v>10</v>
      </c>
      <c r="R641" s="2" t="str">
        <f>VLOOKUP(J641,Equipes!A:B,2,0)</f>
        <v>Flamengo</v>
      </c>
      <c r="S641" s="6" t="s">
        <v>528</v>
      </c>
      <c r="T641" s="7">
        <v>30.0</v>
      </c>
      <c r="U641" s="7" t="s">
        <v>529</v>
      </c>
      <c r="V641" s="7" t="str">
        <f>VLOOKUP(U641,Jogadores!B:C,2,0)</f>
        <v>FW</v>
      </c>
      <c r="W641" s="8">
        <f>VLOOKUP(U641,Jogadores!B:D,3,0)</f>
        <v>29.39726027</v>
      </c>
      <c r="X641" s="7">
        <v>92.0</v>
      </c>
      <c r="Y641" s="7">
        <f t="shared" si="1995"/>
        <v>97</v>
      </c>
      <c r="Z641" s="7">
        <f>VLOOKUP(A641,Jogos!A:L,3,0)</f>
        <v>48</v>
      </c>
      <c r="AA641" s="7">
        <f t="shared" si="7"/>
        <v>0</v>
      </c>
      <c r="AB641" s="7">
        <f>VLOOKUP(A641,Jogos!A:L,4,0)</f>
        <v>52</v>
      </c>
      <c r="AC641" s="7">
        <f t="shared" si="657"/>
        <v>5</v>
      </c>
      <c r="AD641" s="7"/>
      <c r="AE641" s="7"/>
      <c r="AF641" s="7">
        <f t="shared" si="9"/>
        <v>5</v>
      </c>
      <c r="AG641" s="7">
        <v>876.2</v>
      </c>
      <c r="AH641" s="7">
        <v>180.8</v>
      </c>
      <c r="AI641" s="7">
        <v>343.8</v>
      </c>
      <c r="AJ641" s="7">
        <v>171.2</v>
      </c>
      <c r="AK641" s="7">
        <v>155.0</v>
      </c>
      <c r="AL641" s="7">
        <v>25.4</v>
      </c>
      <c r="AM641" s="7">
        <v>22.0</v>
      </c>
      <c r="AN641" s="7">
        <v>9.0</v>
      </c>
      <c r="AO641" s="7">
        <v>29.4</v>
      </c>
      <c r="AP641" s="9">
        <f t="shared" ref="AP641:AR641" si="2002">AG641/$AF641</f>
        <v>175.24</v>
      </c>
      <c r="AQ641" s="9">
        <f t="shared" si="2002"/>
        <v>36.16</v>
      </c>
      <c r="AR641" s="9">
        <f t="shared" si="2002"/>
        <v>68.76</v>
      </c>
      <c r="AS641" s="9">
        <f t="shared" si="11"/>
        <v>104.92</v>
      </c>
      <c r="AT641" s="9">
        <f t="shared" ref="AT641:AV641" si="2003">AJ641/$AF641</f>
        <v>34.24</v>
      </c>
      <c r="AU641" s="9">
        <f t="shared" si="2003"/>
        <v>31</v>
      </c>
      <c r="AV641" s="9">
        <f t="shared" si="2003"/>
        <v>5.08</v>
      </c>
      <c r="AW641" s="9">
        <f t="shared" si="13"/>
        <v>36.08</v>
      </c>
      <c r="AX641" s="9">
        <f t="shared" ref="AX641:AY641" si="2004">AM641/$AF641</f>
        <v>4.4</v>
      </c>
      <c r="AY641" s="9">
        <f t="shared" si="2004"/>
        <v>1.8</v>
      </c>
      <c r="AZ641" s="9">
        <f>VLOOKUP(A641,Jogos!A:BN,58,0)</f>
        <v>28.915</v>
      </c>
      <c r="BA641" s="9">
        <f>VLOOKUP(A641,Jogos!A:BN,59,0)</f>
        <v>15.335</v>
      </c>
      <c r="BB641" s="9">
        <f>VLOOKUP(A641,Jogos!A:BN,60,0)</f>
        <v>43</v>
      </c>
      <c r="BC641" s="9">
        <f>VLOOKUP(A641,Jogos!A:BN,61,0)</f>
        <v>28.61</v>
      </c>
      <c r="BD641" s="9">
        <f>VLOOKUP(A641,Jogos!A:BN,62,0)</f>
        <v>642.4</v>
      </c>
      <c r="BE641" s="9">
        <f>VLOOKUP(A641,Jogos!A:BN,63,0)</f>
        <v>2.945</v>
      </c>
      <c r="BF641" s="9">
        <f>VLOOKUP(A641,Jogos!A:BN,64,0)</f>
        <v>21.815</v>
      </c>
      <c r="BG641" s="9">
        <f>VLOOKUP(A641,Jogos!A:BN,65,0)</f>
        <v>40.38</v>
      </c>
      <c r="BH641" s="9">
        <f>VLOOKUP(A641,Jogos!A:BN,66,0)</f>
        <v>26.24</v>
      </c>
      <c r="BI641" s="9"/>
    </row>
    <row r="642" hidden="1">
      <c r="A642" s="2">
        <v>22.0</v>
      </c>
      <c r="B642" s="11" t="s">
        <v>375</v>
      </c>
      <c r="C642" s="2" t="s">
        <v>61</v>
      </c>
      <c r="D642" s="3">
        <v>45828.0</v>
      </c>
      <c r="E642" s="4">
        <v>0.5833333333333334</v>
      </c>
      <c r="F642" s="5" t="str">
        <f>VLOOKUP(A642,Jogos!A:N,10,0)</f>
        <v>Afternoon</v>
      </c>
      <c r="G642" s="2" t="s">
        <v>500</v>
      </c>
      <c r="H642" s="6" t="str">
        <f>VLOOKUP(A642,Jogos!A:L,12,0)</f>
        <v>Open</v>
      </c>
      <c r="I642" s="6" t="str">
        <f>VLOOKUP(G642,'Estádios e Cidades'!A:B,2,0)</f>
        <v>Philadelphia</v>
      </c>
      <c r="J642" s="2" t="s">
        <v>501</v>
      </c>
      <c r="K642" s="2" t="str">
        <f>VLOOKUP(J642,Equipes!A:F,6,0)</f>
        <v>Tropical</v>
      </c>
      <c r="L642" s="2">
        <f>VLOOKUP(J642,Equipes!A:C,3,0)</f>
        <v>11</v>
      </c>
      <c r="M642" s="2" t="str">
        <f t="shared" si="4"/>
        <v>Round of 16</v>
      </c>
      <c r="N642" s="2" t="s">
        <v>377</v>
      </c>
      <c r="O642" s="2">
        <f>VLOOKUP(N642,Equipes!A:C,3,0)</f>
        <v>1</v>
      </c>
      <c r="P642" s="2" t="str">
        <f t="shared" si="5"/>
        <v>Final</v>
      </c>
      <c r="Q642" s="2">
        <f t="shared" si="6"/>
        <v>10</v>
      </c>
      <c r="R642" s="2" t="str">
        <f>VLOOKUP(J642,Equipes!A:B,2,0)</f>
        <v>Flamengo</v>
      </c>
      <c r="S642" s="6" t="s">
        <v>1124</v>
      </c>
      <c r="T642" s="7">
        <v>64.0</v>
      </c>
      <c r="U642" s="7" t="s">
        <v>1125</v>
      </c>
      <c r="V642" s="7" t="str">
        <f>VLOOKUP(U642,Jogadores!B:C,2,0)</f>
        <v>FW</v>
      </c>
      <c r="W642" s="8">
        <f>VLOOKUP(U642,Jogadores!B:D,3,0)</f>
        <v>20.47945205</v>
      </c>
      <c r="X642" s="7">
        <v>82.0</v>
      </c>
      <c r="Y642" s="7">
        <f t="shared" si="1995"/>
        <v>97</v>
      </c>
      <c r="Z642" s="7">
        <f>VLOOKUP(A642,Jogos!A:L,3,0)</f>
        <v>48</v>
      </c>
      <c r="AA642" s="7">
        <f t="shared" si="7"/>
        <v>0</v>
      </c>
      <c r="AB642" s="7">
        <f>VLOOKUP(A642,Jogos!A:L,4,0)</f>
        <v>52</v>
      </c>
      <c r="AC642" s="7">
        <f t="shared" si="657"/>
        <v>15</v>
      </c>
      <c r="AD642" s="7"/>
      <c r="AE642" s="7"/>
      <c r="AF642" s="7">
        <f t="shared" si="9"/>
        <v>15</v>
      </c>
      <c r="AG642" s="7">
        <v>1811.0</v>
      </c>
      <c r="AH642" s="7">
        <v>587.1</v>
      </c>
      <c r="AI642" s="7">
        <v>669.4</v>
      </c>
      <c r="AJ642" s="7">
        <v>352.4</v>
      </c>
      <c r="AK642" s="7">
        <v>128.0</v>
      </c>
      <c r="AL642" s="7">
        <v>74.2</v>
      </c>
      <c r="AM642" s="7">
        <v>26.0</v>
      </c>
      <c r="AN642" s="7">
        <v>13.0</v>
      </c>
      <c r="AO642" s="7">
        <v>32.5</v>
      </c>
      <c r="AP642" s="9">
        <f t="shared" ref="AP642:AR642" si="2005">AG642/$AF642</f>
        <v>120.7333333</v>
      </c>
      <c r="AQ642" s="9">
        <f t="shared" si="2005"/>
        <v>39.14</v>
      </c>
      <c r="AR642" s="9">
        <f t="shared" si="2005"/>
        <v>44.62666667</v>
      </c>
      <c r="AS642" s="9">
        <f t="shared" si="11"/>
        <v>83.76666667</v>
      </c>
      <c r="AT642" s="9">
        <f t="shared" ref="AT642:AV642" si="2006">AJ642/$AF642</f>
        <v>23.49333333</v>
      </c>
      <c r="AU642" s="9">
        <f t="shared" si="2006"/>
        <v>8.533333333</v>
      </c>
      <c r="AV642" s="9">
        <f t="shared" si="2006"/>
        <v>4.946666667</v>
      </c>
      <c r="AW642" s="9">
        <f t="shared" si="13"/>
        <v>13.48</v>
      </c>
      <c r="AX642" s="9">
        <f t="shared" ref="AX642:AY642" si="2007">AM642/$AF642</f>
        <v>1.733333333</v>
      </c>
      <c r="AY642" s="9">
        <f t="shared" si="2007"/>
        <v>0.8666666667</v>
      </c>
      <c r="AZ642" s="9">
        <f>VLOOKUP(A642,Jogos!A:BN,58,0)</f>
        <v>28.915</v>
      </c>
      <c r="BA642" s="9">
        <f>VLOOKUP(A642,Jogos!A:BN,59,0)</f>
        <v>15.335</v>
      </c>
      <c r="BB642" s="9">
        <f>VLOOKUP(A642,Jogos!A:BN,60,0)</f>
        <v>43</v>
      </c>
      <c r="BC642" s="9">
        <f>VLOOKUP(A642,Jogos!A:BN,61,0)</f>
        <v>28.61</v>
      </c>
      <c r="BD642" s="9">
        <f>VLOOKUP(A642,Jogos!A:BN,62,0)</f>
        <v>642.4</v>
      </c>
      <c r="BE642" s="9">
        <f>VLOOKUP(A642,Jogos!A:BN,63,0)</f>
        <v>2.945</v>
      </c>
      <c r="BF642" s="9">
        <f>VLOOKUP(A642,Jogos!A:BN,64,0)</f>
        <v>21.815</v>
      </c>
      <c r="BG642" s="9">
        <f>VLOOKUP(A642,Jogos!A:BN,65,0)</f>
        <v>40.38</v>
      </c>
      <c r="BH642" s="9">
        <f>VLOOKUP(A642,Jogos!A:BN,66,0)</f>
        <v>26.24</v>
      </c>
      <c r="BI642" s="9"/>
    </row>
    <row r="643" hidden="1">
      <c r="A643" s="2">
        <v>22.0</v>
      </c>
      <c r="B643" s="11" t="s">
        <v>375</v>
      </c>
      <c r="C643" s="2" t="s">
        <v>61</v>
      </c>
      <c r="D643" s="3">
        <v>45828.0</v>
      </c>
      <c r="E643" s="4">
        <v>0.5833333333333334</v>
      </c>
      <c r="F643" s="5" t="str">
        <f>VLOOKUP(A643,Jogos!A:N,10,0)</f>
        <v>Afternoon</v>
      </c>
      <c r="G643" s="2" t="s">
        <v>500</v>
      </c>
      <c r="H643" s="6" t="str">
        <f>VLOOKUP(A643,Jogos!A:L,12,0)</f>
        <v>Open</v>
      </c>
      <c r="I643" s="6" t="str">
        <f>VLOOKUP(G643,'Estádios e Cidades'!A:B,2,0)</f>
        <v>Philadelphia</v>
      </c>
      <c r="J643" s="2" t="s">
        <v>377</v>
      </c>
      <c r="K643" s="2" t="str">
        <f>VLOOKUP(J643,Equipes!A:F,6,0)</f>
        <v>Temperate</v>
      </c>
      <c r="L643" s="2">
        <f>VLOOKUP(J643,Equipes!A:C,3,0)</f>
        <v>1</v>
      </c>
      <c r="M643" s="2" t="str">
        <f t="shared" si="4"/>
        <v>Final</v>
      </c>
      <c r="N643" s="2" t="s">
        <v>501</v>
      </c>
      <c r="O643" s="2">
        <f>VLOOKUP(N643,Equipes!A:C,3,0)</f>
        <v>11</v>
      </c>
      <c r="P643" s="2" t="str">
        <f t="shared" si="5"/>
        <v>Round of 16</v>
      </c>
      <c r="Q643" s="2">
        <f t="shared" si="6"/>
        <v>-10</v>
      </c>
      <c r="R643" s="2" t="str">
        <f>VLOOKUP(J643,Equipes!A:B,2,0)</f>
        <v>Chelsea</v>
      </c>
      <c r="S643" s="14" t="s">
        <v>379</v>
      </c>
      <c r="T643" s="7">
        <v>3.0</v>
      </c>
      <c r="U643" s="7" t="s">
        <v>380</v>
      </c>
      <c r="V643" s="7" t="str">
        <f>VLOOKUP(U643,Jogadores!B:C,2,0)</f>
        <v>DF</v>
      </c>
      <c r="W643" s="8">
        <f>VLOOKUP(U643,Jogadores!B:D,3,0)</f>
        <v>27.03561644</v>
      </c>
      <c r="X643" s="7">
        <v>0.0</v>
      </c>
      <c r="Y643" s="7">
        <f t="shared" si="1995"/>
        <v>97</v>
      </c>
      <c r="Z643" s="7">
        <f>VLOOKUP(A643,Jogos!A:L,3,0)</f>
        <v>48</v>
      </c>
      <c r="AA643" s="7">
        <f t="shared" si="7"/>
        <v>48</v>
      </c>
      <c r="AB643" s="7">
        <f>VLOOKUP(A643,Jogos!A:L,4,0)</f>
        <v>52</v>
      </c>
      <c r="AC643" s="7">
        <f t="shared" si="657"/>
        <v>52</v>
      </c>
      <c r="AD643" s="7"/>
      <c r="AE643" s="7"/>
      <c r="AF643" s="7">
        <f t="shared" si="9"/>
        <v>100</v>
      </c>
      <c r="AG643" s="7">
        <v>9863.7</v>
      </c>
      <c r="AH643" s="7">
        <v>3998.9</v>
      </c>
      <c r="AI643" s="7">
        <v>3569.5</v>
      </c>
      <c r="AJ643" s="7">
        <v>1385.8</v>
      </c>
      <c r="AK643" s="7">
        <v>561.9</v>
      </c>
      <c r="AL643" s="7">
        <v>347.5</v>
      </c>
      <c r="AM643" s="7">
        <v>114.0</v>
      </c>
      <c r="AN643" s="7">
        <v>49.0</v>
      </c>
      <c r="AO643" s="7">
        <v>31.7</v>
      </c>
      <c r="AP643" s="9">
        <f t="shared" ref="AP643:AR643" si="2008">AG643/$AF643</f>
        <v>98.637</v>
      </c>
      <c r="AQ643" s="9">
        <f t="shared" si="2008"/>
        <v>39.989</v>
      </c>
      <c r="AR643" s="9">
        <f t="shared" si="2008"/>
        <v>35.695</v>
      </c>
      <c r="AS643" s="9">
        <f t="shared" si="11"/>
        <v>75.684</v>
      </c>
      <c r="AT643" s="9">
        <f t="shared" ref="AT643:AV643" si="2009">AJ643/$AF643</f>
        <v>13.858</v>
      </c>
      <c r="AU643" s="9">
        <f t="shared" si="2009"/>
        <v>5.619</v>
      </c>
      <c r="AV643" s="9">
        <f t="shared" si="2009"/>
        <v>3.475</v>
      </c>
      <c r="AW643" s="9">
        <f t="shared" si="13"/>
        <v>9.094</v>
      </c>
      <c r="AX643" s="9">
        <f t="shared" ref="AX643:AY643" si="2010">AM643/$AF643</f>
        <v>1.14</v>
      </c>
      <c r="AY643" s="9">
        <f t="shared" si="2010"/>
        <v>0.49</v>
      </c>
      <c r="AZ643" s="9">
        <f>VLOOKUP(A643,Jogos!A:BN,58,0)</f>
        <v>28.915</v>
      </c>
      <c r="BA643" s="9">
        <f>VLOOKUP(A643,Jogos!A:BN,59,0)</f>
        <v>15.335</v>
      </c>
      <c r="BB643" s="9">
        <f>VLOOKUP(A643,Jogos!A:BN,60,0)</f>
        <v>43</v>
      </c>
      <c r="BC643" s="9">
        <f>VLOOKUP(A643,Jogos!A:BN,61,0)</f>
        <v>28.61</v>
      </c>
      <c r="BD643" s="9">
        <f>VLOOKUP(A643,Jogos!A:BN,62,0)</f>
        <v>642.4</v>
      </c>
      <c r="BE643" s="9">
        <f>VLOOKUP(A643,Jogos!A:BN,63,0)</f>
        <v>2.945</v>
      </c>
      <c r="BF643" s="9">
        <f>VLOOKUP(A643,Jogos!A:BN,64,0)</f>
        <v>21.815</v>
      </c>
      <c r="BG643" s="9">
        <f>VLOOKUP(A643,Jogos!A:BN,65,0)</f>
        <v>40.38</v>
      </c>
      <c r="BH643" s="9">
        <f>VLOOKUP(A643,Jogos!A:BN,66,0)</f>
        <v>26.24</v>
      </c>
      <c r="BI643" s="9"/>
    </row>
    <row r="644" hidden="1">
      <c r="A644" s="2">
        <v>22.0</v>
      </c>
      <c r="B644" s="11" t="s">
        <v>375</v>
      </c>
      <c r="C644" s="2" t="s">
        <v>61</v>
      </c>
      <c r="D644" s="3">
        <v>45828.0</v>
      </c>
      <c r="E644" s="4">
        <v>0.5833333333333334</v>
      </c>
      <c r="F644" s="5" t="str">
        <f>VLOOKUP(A644,Jogos!A:N,10,0)</f>
        <v>Afternoon</v>
      </c>
      <c r="G644" s="2" t="s">
        <v>500</v>
      </c>
      <c r="H644" s="6" t="str">
        <f>VLOOKUP(A644,Jogos!A:L,12,0)</f>
        <v>Open</v>
      </c>
      <c r="I644" s="6" t="str">
        <f>VLOOKUP(G644,'Estádios e Cidades'!A:B,2,0)</f>
        <v>Philadelphia</v>
      </c>
      <c r="J644" s="2" t="s">
        <v>377</v>
      </c>
      <c r="K644" s="2" t="str">
        <f>VLOOKUP(J644,Equipes!A:F,6,0)</f>
        <v>Temperate</v>
      </c>
      <c r="L644" s="2">
        <f>VLOOKUP(J644,Equipes!A:C,3,0)</f>
        <v>1</v>
      </c>
      <c r="M644" s="2" t="str">
        <f t="shared" si="4"/>
        <v>Final</v>
      </c>
      <c r="N644" s="2" t="s">
        <v>501</v>
      </c>
      <c r="O644" s="2">
        <f>VLOOKUP(N644,Equipes!A:C,3,0)</f>
        <v>11</v>
      </c>
      <c r="P644" s="2" t="str">
        <f t="shared" si="5"/>
        <v>Round of 16</v>
      </c>
      <c r="Q644" s="2">
        <f t="shared" si="6"/>
        <v>-10</v>
      </c>
      <c r="R644" s="2" t="str">
        <f>VLOOKUP(J644,Equipes!A:B,2,0)</f>
        <v>Chelsea</v>
      </c>
      <c r="S644" s="6" t="s">
        <v>383</v>
      </c>
      <c r="T644" s="7">
        <v>6.0</v>
      </c>
      <c r="U644" s="7" t="s">
        <v>384</v>
      </c>
      <c r="V644" s="7" t="str">
        <f>VLOOKUP(U644,Jogadores!B:C,2,0)</f>
        <v>DF</v>
      </c>
      <c r="W644" s="8">
        <f>VLOOKUP(U644,Jogadores!B:D,3,0)</f>
        <v>22.43287671</v>
      </c>
      <c r="X644" s="7">
        <v>0.0</v>
      </c>
      <c r="Y644" s="7">
        <f t="shared" si="1995"/>
        <v>97</v>
      </c>
      <c r="Z644" s="7">
        <f>VLOOKUP(A644,Jogos!A:L,3,0)</f>
        <v>48</v>
      </c>
      <c r="AA644" s="7">
        <f t="shared" si="7"/>
        <v>48</v>
      </c>
      <c r="AB644" s="7">
        <f>VLOOKUP(A644,Jogos!A:L,4,0)</f>
        <v>52</v>
      </c>
      <c r="AC644" s="7">
        <f t="shared" si="657"/>
        <v>52</v>
      </c>
      <c r="AD644" s="7"/>
      <c r="AE644" s="7"/>
      <c r="AF644" s="7">
        <f t="shared" si="9"/>
        <v>100</v>
      </c>
      <c r="AG644" s="7">
        <v>8937.3</v>
      </c>
      <c r="AH644" s="7">
        <v>3673.7</v>
      </c>
      <c r="AI644" s="7">
        <v>3719.8</v>
      </c>
      <c r="AJ644" s="7">
        <v>974.1</v>
      </c>
      <c r="AK644" s="7">
        <v>418.7</v>
      </c>
      <c r="AL644" s="7">
        <v>151.0</v>
      </c>
      <c r="AM644" s="7">
        <v>77.0</v>
      </c>
      <c r="AN644" s="7">
        <v>33.0</v>
      </c>
      <c r="AO644" s="7">
        <v>34.1</v>
      </c>
      <c r="AP644" s="9">
        <f t="shared" ref="AP644:AR644" si="2011">AG644/$AF644</f>
        <v>89.373</v>
      </c>
      <c r="AQ644" s="9">
        <f t="shared" si="2011"/>
        <v>36.737</v>
      </c>
      <c r="AR644" s="9">
        <f t="shared" si="2011"/>
        <v>37.198</v>
      </c>
      <c r="AS644" s="9">
        <f t="shared" si="11"/>
        <v>73.935</v>
      </c>
      <c r="AT644" s="9">
        <f t="shared" ref="AT644:AV644" si="2012">AJ644/$AF644</f>
        <v>9.741</v>
      </c>
      <c r="AU644" s="9">
        <f t="shared" si="2012"/>
        <v>4.187</v>
      </c>
      <c r="AV644" s="9">
        <f t="shared" si="2012"/>
        <v>1.51</v>
      </c>
      <c r="AW644" s="9">
        <f t="shared" si="13"/>
        <v>5.697</v>
      </c>
      <c r="AX644" s="9">
        <f t="shared" ref="AX644:AY644" si="2013">AM644/$AF644</f>
        <v>0.77</v>
      </c>
      <c r="AY644" s="9">
        <f t="shared" si="2013"/>
        <v>0.33</v>
      </c>
      <c r="AZ644" s="9">
        <f>VLOOKUP(A644,Jogos!A:BN,58,0)</f>
        <v>28.915</v>
      </c>
      <c r="BA644" s="9">
        <f>VLOOKUP(A644,Jogos!A:BN,59,0)</f>
        <v>15.335</v>
      </c>
      <c r="BB644" s="9">
        <f>VLOOKUP(A644,Jogos!A:BN,60,0)</f>
        <v>43</v>
      </c>
      <c r="BC644" s="9">
        <f>VLOOKUP(A644,Jogos!A:BN,61,0)</f>
        <v>28.61</v>
      </c>
      <c r="BD644" s="9">
        <f>VLOOKUP(A644,Jogos!A:BN,62,0)</f>
        <v>642.4</v>
      </c>
      <c r="BE644" s="9">
        <f>VLOOKUP(A644,Jogos!A:BN,63,0)</f>
        <v>2.945</v>
      </c>
      <c r="BF644" s="9">
        <f>VLOOKUP(A644,Jogos!A:BN,64,0)</f>
        <v>21.815</v>
      </c>
      <c r="BG644" s="9">
        <f>VLOOKUP(A644,Jogos!A:BN,65,0)</f>
        <v>40.38</v>
      </c>
      <c r="BH644" s="9">
        <f>VLOOKUP(A644,Jogos!A:BN,66,0)</f>
        <v>26.24</v>
      </c>
      <c r="BI644" s="9"/>
    </row>
    <row r="645" hidden="1">
      <c r="A645" s="2">
        <v>22.0</v>
      </c>
      <c r="B645" s="11" t="s">
        <v>375</v>
      </c>
      <c r="C645" s="2" t="s">
        <v>61</v>
      </c>
      <c r="D645" s="3">
        <v>45828.0</v>
      </c>
      <c r="E645" s="4">
        <v>0.5833333333333334</v>
      </c>
      <c r="F645" s="5" t="str">
        <f>VLOOKUP(A645,Jogos!A:N,10,0)</f>
        <v>Afternoon</v>
      </c>
      <c r="G645" s="2" t="s">
        <v>500</v>
      </c>
      <c r="H645" s="6" t="str">
        <f>VLOOKUP(A645,Jogos!A:L,12,0)</f>
        <v>Open</v>
      </c>
      <c r="I645" s="6" t="str">
        <f>VLOOKUP(G645,'Estádios e Cidades'!A:B,2,0)</f>
        <v>Philadelphia</v>
      </c>
      <c r="J645" s="2" t="s">
        <v>377</v>
      </c>
      <c r="K645" s="2" t="str">
        <f>VLOOKUP(J645,Equipes!A:F,6,0)</f>
        <v>Temperate</v>
      </c>
      <c r="L645" s="2">
        <f>VLOOKUP(J645,Equipes!A:C,3,0)</f>
        <v>1</v>
      </c>
      <c r="M645" s="2" t="str">
        <f t="shared" si="4"/>
        <v>Final</v>
      </c>
      <c r="N645" s="2" t="s">
        <v>501</v>
      </c>
      <c r="O645" s="2">
        <f>VLOOKUP(N645,Equipes!A:C,3,0)</f>
        <v>11</v>
      </c>
      <c r="P645" s="2" t="str">
        <f t="shared" si="5"/>
        <v>Round of 16</v>
      </c>
      <c r="Q645" s="2">
        <f t="shared" si="6"/>
        <v>-10</v>
      </c>
      <c r="R645" s="2" t="str">
        <f>VLOOKUP(J645,Equipes!A:B,2,0)</f>
        <v>Chelsea</v>
      </c>
      <c r="S645" s="6" t="s">
        <v>385</v>
      </c>
      <c r="T645" s="7">
        <v>7.0</v>
      </c>
      <c r="U645" s="7" t="s">
        <v>386</v>
      </c>
      <c r="V645" s="7" t="str">
        <f>VLOOKUP(U645,Jogadores!B:C,2,0)</f>
        <v>FW</v>
      </c>
      <c r="W645" s="8">
        <f>VLOOKUP(U645,Jogadores!B:D,3,0)</f>
        <v>25.40273973</v>
      </c>
      <c r="X645" s="7">
        <v>0.0</v>
      </c>
      <c r="Y645" s="7">
        <f t="shared" si="1995"/>
        <v>97</v>
      </c>
      <c r="Z645" s="7">
        <f>VLOOKUP(A645,Jogos!A:L,3,0)</f>
        <v>48</v>
      </c>
      <c r="AA645" s="7">
        <f t="shared" si="7"/>
        <v>48</v>
      </c>
      <c r="AB645" s="7">
        <f>VLOOKUP(A645,Jogos!A:L,4,0)</f>
        <v>52</v>
      </c>
      <c r="AC645" s="7">
        <f t="shared" si="657"/>
        <v>52</v>
      </c>
      <c r="AD645" s="7"/>
      <c r="AE645" s="7"/>
      <c r="AF645" s="7">
        <f t="shared" si="9"/>
        <v>100</v>
      </c>
      <c r="AG645" s="7">
        <v>9507.2</v>
      </c>
      <c r="AH645" s="7">
        <v>3951.4</v>
      </c>
      <c r="AI645" s="7">
        <v>3447.9</v>
      </c>
      <c r="AJ645" s="7">
        <v>1215.1</v>
      </c>
      <c r="AK645" s="7">
        <v>531.7</v>
      </c>
      <c r="AL645" s="7">
        <v>361.2</v>
      </c>
      <c r="AM645" s="7">
        <v>106.0</v>
      </c>
      <c r="AN645" s="7">
        <v>40.0</v>
      </c>
      <c r="AO645" s="7">
        <v>33.4</v>
      </c>
      <c r="AP645" s="9">
        <f t="shared" ref="AP645:AR645" si="2014">AG645/$AF645</f>
        <v>95.072</v>
      </c>
      <c r="AQ645" s="9">
        <f t="shared" si="2014"/>
        <v>39.514</v>
      </c>
      <c r="AR645" s="9">
        <f t="shared" si="2014"/>
        <v>34.479</v>
      </c>
      <c r="AS645" s="9">
        <f t="shared" si="11"/>
        <v>73.993</v>
      </c>
      <c r="AT645" s="9">
        <f t="shared" ref="AT645:AV645" si="2015">AJ645/$AF645</f>
        <v>12.151</v>
      </c>
      <c r="AU645" s="9">
        <f t="shared" si="2015"/>
        <v>5.317</v>
      </c>
      <c r="AV645" s="9">
        <f t="shared" si="2015"/>
        <v>3.612</v>
      </c>
      <c r="AW645" s="9">
        <f t="shared" si="13"/>
        <v>8.929</v>
      </c>
      <c r="AX645" s="9">
        <f t="shared" ref="AX645:AY645" si="2016">AM645/$AF645</f>
        <v>1.06</v>
      </c>
      <c r="AY645" s="9">
        <f t="shared" si="2016"/>
        <v>0.4</v>
      </c>
      <c r="AZ645" s="9">
        <f>VLOOKUP(A645,Jogos!A:BN,58,0)</f>
        <v>28.915</v>
      </c>
      <c r="BA645" s="9">
        <f>VLOOKUP(A645,Jogos!A:BN,59,0)</f>
        <v>15.335</v>
      </c>
      <c r="BB645" s="9">
        <f>VLOOKUP(A645,Jogos!A:BN,60,0)</f>
        <v>43</v>
      </c>
      <c r="BC645" s="9">
        <f>VLOOKUP(A645,Jogos!A:BN,61,0)</f>
        <v>28.61</v>
      </c>
      <c r="BD645" s="9">
        <f>VLOOKUP(A645,Jogos!A:BN,62,0)</f>
        <v>642.4</v>
      </c>
      <c r="BE645" s="9">
        <f>VLOOKUP(A645,Jogos!A:BN,63,0)</f>
        <v>2.945</v>
      </c>
      <c r="BF645" s="9">
        <f>VLOOKUP(A645,Jogos!A:BN,64,0)</f>
        <v>21.815</v>
      </c>
      <c r="BG645" s="9">
        <f>VLOOKUP(A645,Jogos!A:BN,65,0)</f>
        <v>40.38</v>
      </c>
      <c r="BH645" s="9">
        <f>VLOOKUP(A645,Jogos!A:BN,66,0)</f>
        <v>26.24</v>
      </c>
      <c r="BI645" s="9"/>
    </row>
    <row r="646" hidden="1">
      <c r="A646" s="2">
        <v>22.0</v>
      </c>
      <c r="B646" s="11" t="s">
        <v>375</v>
      </c>
      <c r="C646" s="2" t="s">
        <v>61</v>
      </c>
      <c r="D646" s="3">
        <v>45828.0</v>
      </c>
      <c r="E646" s="4">
        <v>0.5833333333333334</v>
      </c>
      <c r="F646" s="5" t="str">
        <f>VLOOKUP(A646,Jogos!A:N,10,0)</f>
        <v>Afternoon</v>
      </c>
      <c r="G646" s="2" t="s">
        <v>500</v>
      </c>
      <c r="H646" s="6" t="str">
        <f>VLOOKUP(A646,Jogos!A:L,12,0)</f>
        <v>Open</v>
      </c>
      <c r="I646" s="6" t="str">
        <f>VLOOKUP(G646,'Estádios e Cidades'!A:B,2,0)</f>
        <v>Philadelphia</v>
      </c>
      <c r="J646" s="2" t="s">
        <v>377</v>
      </c>
      <c r="K646" s="2" t="str">
        <f>VLOOKUP(J646,Equipes!A:F,6,0)</f>
        <v>Temperate</v>
      </c>
      <c r="L646" s="2">
        <f>VLOOKUP(J646,Equipes!A:C,3,0)</f>
        <v>1</v>
      </c>
      <c r="M646" s="2" t="str">
        <f t="shared" si="4"/>
        <v>Final</v>
      </c>
      <c r="N646" s="2" t="s">
        <v>501</v>
      </c>
      <c r="O646" s="2">
        <f>VLOOKUP(N646,Equipes!A:C,3,0)</f>
        <v>11</v>
      </c>
      <c r="P646" s="2" t="str">
        <f t="shared" si="5"/>
        <v>Round of 16</v>
      </c>
      <c r="Q646" s="2">
        <f t="shared" si="6"/>
        <v>-10</v>
      </c>
      <c r="R646" s="2" t="str">
        <f>VLOOKUP(J646,Equipes!A:B,2,0)</f>
        <v>Chelsea</v>
      </c>
      <c r="S646" s="6" t="s">
        <v>399</v>
      </c>
      <c r="T646" s="7">
        <v>8.0</v>
      </c>
      <c r="U646" s="7" t="s">
        <v>400</v>
      </c>
      <c r="V646" s="7" t="str">
        <f>VLOOKUP(U646,Jogadores!B:C,2,0)</f>
        <v>MF</v>
      </c>
      <c r="W646" s="8">
        <f>VLOOKUP(U646,Jogadores!B:D,3,0)</f>
        <v>24.54246575</v>
      </c>
      <c r="X646" s="7">
        <v>0.0</v>
      </c>
      <c r="Y646" s="7">
        <v>82.0</v>
      </c>
      <c r="Z646" s="7">
        <f>VLOOKUP(A646,Jogos!A:L,3,0)</f>
        <v>48</v>
      </c>
      <c r="AA646" s="7">
        <f t="shared" si="7"/>
        <v>48</v>
      </c>
      <c r="AB646" s="7">
        <f>VLOOKUP(A646,Jogos!A:L,4,0)</f>
        <v>52</v>
      </c>
      <c r="AC646" s="7">
        <f t="shared" si="657"/>
        <v>37</v>
      </c>
      <c r="AD646" s="7"/>
      <c r="AE646" s="7"/>
      <c r="AF646" s="7">
        <f t="shared" si="9"/>
        <v>85</v>
      </c>
      <c r="AG646" s="7">
        <v>8892.5</v>
      </c>
      <c r="AH646" s="7">
        <v>3396.0</v>
      </c>
      <c r="AI646" s="7">
        <v>3367.5</v>
      </c>
      <c r="AJ646" s="7">
        <v>1288.2</v>
      </c>
      <c r="AK646" s="7">
        <v>665.2</v>
      </c>
      <c r="AL646" s="7">
        <v>175.7</v>
      </c>
      <c r="AM646" s="7">
        <v>115.0</v>
      </c>
      <c r="AN646" s="7">
        <v>45.0</v>
      </c>
      <c r="AO646" s="7">
        <v>29.7</v>
      </c>
      <c r="AP646" s="9">
        <f t="shared" ref="AP646:AR646" si="2017">AG646/$AF646</f>
        <v>104.6176471</v>
      </c>
      <c r="AQ646" s="9">
        <f t="shared" si="2017"/>
        <v>39.95294118</v>
      </c>
      <c r="AR646" s="9">
        <f t="shared" si="2017"/>
        <v>39.61764706</v>
      </c>
      <c r="AS646" s="9">
        <f t="shared" si="11"/>
        <v>79.57058824</v>
      </c>
      <c r="AT646" s="9">
        <f t="shared" ref="AT646:AV646" si="2018">AJ646/$AF646</f>
        <v>15.15529412</v>
      </c>
      <c r="AU646" s="9">
        <f t="shared" si="2018"/>
        <v>7.825882353</v>
      </c>
      <c r="AV646" s="9">
        <f t="shared" si="2018"/>
        <v>2.067058824</v>
      </c>
      <c r="AW646" s="9">
        <f t="shared" si="13"/>
        <v>9.892941176</v>
      </c>
      <c r="AX646" s="9">
        <f t="shared" ref="AX646:AY646" si="2019">AM646/$AF646</f>
        <v>1.352941176</v>
      </c>
      <c r="AY646" s="9">
        <f t="shared" si="2019"/>
        <v>0.5294117647</v>
      </c>
      <c r="AZ646" s="9">
        <f>VLOOKUP(A646,Jogos!A:BN,58,0)</f>
        <v>28.915</v>
      </c>
      <c r="BA646" s="9">
        <f>VLOOKUP(A646,Jogos!A:BN,59,0)</f>
        <v>15.335</v>
      </c>
      <c r="BB646" s="9">
        <f>VLOOKUP(A646,Jogos!A:BN,60,0)</f>
        <v>43</v>
      </c>
      <c r="BC646" s="9">
        <f>VLOOKUP(A646,Jogos!A:BN,61,0)</f>
        <v>28.61</v>
      </c>
      <c r="BD646" s="9">
        <f>VLOOKUP(A646,Jogos!A:BN,62,0)</f>
        <v>642.4</v>
      </c>
      <c r="BE646" s="9">
        <f>VLOOKUP(A646,Jogos!A:BN,63,0)</f>
        <v>2.945</v>
      </c>
      <c r="BF646" s="9">
        <f>VLOOKUP(A646,Jogos!A:BN,64,0)</f>
        <v>21.815</v>
      </c>
      <c r="BG646" s="9">
        <f>VLOOKUP(A646,Jogos!A:BN,65,0)</f>
        <v>40.38</v>
      </c>
      <c r="BH646" s="9">
        <f>VLOOKUP(A646,Jogos!A:BN,66,0)</f>
        <v>26.24</v>
      </c>
      <c r="BI646" s="9"/>
    </row>
    <row r="647" hidden="1">
      <c r="A647" s="2">
        <v>22.0</v>
      </c>
      <c r="B647" s="11" t="s">
        <v>375</v>
      </c>
      <c r="C647" s="2" t="s">
        <v>61</v>
      </c>
      <c r="D647" s="3">
        <v>45828.0</v>
      </c>
      <c r="E647" s="4">
        <v>0.5833333333333334</v>
      </c>
      <c r="F647" s="5" t="str">
        <f>VLOOKUP(A647,Jogos!A:N,10,0)</f>
        <v>Afternoon</v>
      </c>
      <c r="G647" s="2" t="s">
        <v>500</v>
      </c>
      <c r="H647" s="6" t="str">
        <f>VLOOKUP(A647,Jogos!A:L,12,0)</f>
        <v>Open</v>
      </c>
      <c r="I647" s="6" t="str">
        <f>VLOOKUP(G647,'Estádios e Cidades'!A:B,2,0)</f>
        <v>Philadelphia</v>
      </c>
      <c r="J647" s="2" t="s">
        <v>377</v>
      </c>
      <c r="K647" s="2" t="str">
        <f>VLOOKUP(J647,Equipes!A:F,6,0)</f>
        <v>Temperate</v>
      </c>
      <c r="L647" s="2">
        <f>VLOOKUP(J647,Equipes!A:C,3,0)</f>
        <v>1</v>
      </c>
      <c r="M647" s="2" t="str">
        <f t="shared" si="4"/>
        <v>Final</v>
      </c>
      <c r="N647" s="2" t="s">
        <v>501</v>
      </c>
      <c r="O647" s="2">
        <f>VLOOKUP(N647,Equipes!A:C,3,0)</f>
        <v>11</v>
      </c>
      <c r="P647" s="2" t="str">
        <f t="shared" si="5"/>
        <v>Round of 16</v>
      </c>
      <c r="Q647" s="2">
        <f t="shared" si="6"/>
        <v>-10</v>
      </c>
      <c r="R647" s="2" t="str">
        <f>VLOOKUP(J647,Equipes!A:B,2,0)</f>
        <v>Chelsea</v>
      </c>
      <c r="S647" s="6" t="s">
        <v>401</v>
      </c>
      <c r="T647" s="7">
        <v>9.0</v>
      </c>
      <c r="U647" s="7" t="s">
        <v>402</v>
      </c>
      <c r="V647" s="7" t="str">
        <f>VLOOKUP(U647,Jogadores!B:C,2,0)</f>
        <v>FW</v>
      </c>
      <c r="W647" s="8">
        <f>VLOOKUP(U647,Jogadores!B:D,3,0)</f>
        <v>22.48219178</v>
      </c>
      <c r="X647" s="7">
        <v>0.0</v>
      </c>
      <c r="Y647" s="7">
        <v>64.0</v>
      </c>
      <c r="Z647" s="7">
        <f>VLOOKUP(A647,Jogos!A:L,3,0)</f>
        <v>48</v>
      </c>
      <c r="AA647" s="7">
        <f t="shared" si="7"/>
        <v>48</v>
      </c>
      <c r="AB647" s="7">
        <f>VLOOKUP(A647,Jogos!A:L,4,0)</f>
        <v>52</v>
      </c>
      <c r="AC647" s="7">
        <f t="shared" si="657"/>
        <v>19</v>
      </c>
      <c r="AD647" s="7"/>
      <c r="AE647" s="7"/>
      <c r="AF647" s="7">
        <f t="shared" si="9"/>
        <v>67</v>
      </c>
      <c r="AG647" s="7">
        <v>7059.3</v>
      </c>
      <c r="AH647" s="7">
        <v>2585.0</v>
      </c>
      <c r="AI647" s="7">
        <v>2698.9</v>
      </c>
      <c r="AJ647" s="7">
        <v>1082.7</v>
      </c>
      <c r="AK647" s="7">
        <v>469.2</v>
      </c>
      <c r="AL647" s="7">
        <v>223.5</v>
      </c>
      <c r="AM647" s="7">
        <v>99.0</v>
      </c>
      <c r="AN647" s="7">
        <v>39.0</v>
      </c>
      <c r="AO647" s="7">
        <v>33.8</v>
      </c>
      <c r="AP647" s="9">
        <f t="shared" ref="AP647:AR647" si="2020">AG647/$AF647</f>
        <v>105.3626866</v>
      </c>
      <c r="AQ647" s="9">
        <f t="shared" si="2020"/>
        <v>38.58208955</v>
      </c>
      <c r="AR647" s="9">
        <f t="shared" si="2020"/>
        <v>40.28208955</v>
      </c>
      <c r="AS647" s="9">
        <f t="shared" si="11"/>
        <v>78.8641791</v>
      </c>
      <c r="AT647" s="9">
        <f t="shared" ref="AT647:AV647" si="2021">AJ647/$AF647</f>
        <v>16.15970149</v>
      </c>
      <c r="AU647" s="9">
        <f t="shared" si="2021"/>
        <v>7.002985075</v>
      </c>
      <c r="AV647" s="9">
        <f t="shared" si="2021"/>
        <v>3.335820896</v>
      </c>
      <c r="AW647" s="9">
        <f t="shared" si="13"/>
        <v>10.33880597</v>
      </c>
      <c r="AX647" s="9">
        <f t="shared" ref="AX647:AY647" si="2022">AM647/$AF647</f>
        <v>1.47761194</v>
      </c>
      <c r="AY647" s="9">
        <f t="shared" si="2022"/>
        <v>0.5820895522</v>
      </c>
      <c r="AZ647" s="9">
        <f>VLOOKUP(A647,Jogos!A:BN,58,0)</f>
        <v>28.915</v>
      </c>
      <c r="BA647" s="9">
        <f>VLOOKUP(A647,Jogos!A:BN,59,0)</f>
        <v>15.335</v>
      </c>
      <c r="BB647" s="9">
        <f>VLOOKUP(A647,Jogos!A:BN,60,0)</f>
        <v>43</v>
      </c>
      <c r="BC647" s="9">
        <f>VLOOKUP(A647,Jogos!A:BN,61,0)</f>
        <v>28.61</v>
      </c>
      <c r="BD647" s="9">
        <f>VLOOKUP(A647,Jogos!A:BN,62,0)</f>
        <v>642.4</v>
      </c>
      <c r="BE647" s="9">
        <f>VLOOKUP(A647,Jogos!A:BN,63,0)</f>
        <v>2.945</v>
      </c>
      <c r="BF647" s="9">
        <f>VLOOKUP(A647,Jogos!A:BN,64,0)</f>
        <v>21.815</v>
      </c>
      <c r="BG647" s="9">
        <f>VLOOKUP(A647,Jogos!A:BN,65,0)</f>
        <v>40.38</v>
      </c>
      <c r="BH647" s="9">
        <f>VLOOKUP(A647,Jogos!A:BN,66,0)</f>
        <v>26.24</v>
      </c>
      <c r="BI647" s="9"/>
    </row>
    <row r="648" hidden="1">
      <c r="A648" s="2">
        <v>22.0</v>
      </c>
      <c r="B648" s="11" t="s">
        <v>375</v>
      </c>
      <c r="C648" s="2" t="s">
        <v>61</v>
      </c>
      <c r="D648" s="3">
        <v>45828.0</v>
      </c>
      <c r="E648" s="4">
        <v>0.5833333333333334</v>
      </c>
      <c r="F648" s="5" t="str">
        <f>VLOOKUP(A648,Jogos!A:N,10,0)</f>
        <v>Afternoon</v>
      </c>
      <c r="G648" s="2" t="s">
        <v>500</v>
      </c>
      <c r="H648" s="6" t="str">
        <f>VLOOKUP(A648,Jogos!A:L,12,0)</f>
        <v>Open</v>
      </c>
      <c r="I648" s="6" t="str">
        <f>VLOOKUP(G648,'Estádios e Cidades'!A:B,2,0)</f>
        <v>Philadelphia</v>
      </c>
      <c r="J648" s="2" t="s">
        <v>377</v>
      </c>
      <c r="K648" s="2" t="str">
        <f>VLOOKUP(J648,Equipes!A:F,6,0)</f>
        <v>Temperate</v>
      </c>
      <c r="L648" s="2">
        <f>VLOOKUP(J648,Equipes!A:C,3,0)</f>
        <v>1</v>
      </c>
      <c r="M648" s="2" t="str">
        <f t="shared" si="4"/>
        <v>Final</v>
      </c>
      <c r="N648" s="2" t="s">
        <v>501</v>
      </c>
      <c r="O648" s="2">
        <f>VLOOKUP(N648,Equipes!A:C,3,0)</f>
        <v>11</v>
      </c>
      <c r="P648" s="2" t="str">
        <f t="shared" si="5"/>
        <v>Round of 16</v>
      </c>
      <c r="Q648" s="2">
        <f t="shared" si="6"/>
        <v>-10</v>
      </c>
      <c r="R648" s="2" t="str">
        <f>VLOOKUP(J648,Equipes!A:B,2,0)</f>
        <v>Chelsea</v>
      </c>
      <c r="S648" s="6" t="s">
        <v>387</v>
      </c>
      <c r="T648" s="7">
        <v>10.0</v>
      </c>
      <c r="U648" s="7" t="s">
        <v>388</v>
      </c>
      <c r="V648" s="7" t="str">
        <f>VLOOKUP(U648,Jogadores!B:C,2,0)</f>
        <v>MF</v>
      </c>
      <c r="W648" s="8">
        <f>VLOOKUP(U648,Jogadores!B:D,3,0)</f>
        <v>23.24383562</v>
      </c>
      <c r="X648" s="7">
        <v>0.0</v>
      </c>
      <c r="Y648" s="7">
        <v>82.0</v>
      </c>
      <c r="Z648" s="7">
        <f>VLOOKUP(A648,Jogos!A:L,3,0)</f>
        <v>48</v>
      </c>
      <c r="AA648" s="7">
        <f t="shared" si="7"/>
        <v>48</v>
      </c>
      <c r="AB648" s="7">
        <f>VLOOKUP(A648,Jogos!A:L,4,0)</f>
        <v>52</v>
      </c>
      <c r="AC648" s="7">
        <f t="shared" si="657"/>
        <v>37</v>
      </c>
      <c r="AD648" s="7"/>
      <c r="AE648" s="7"/>
      <c r="AF648" s="7">
        <f t="shared" si="9"/>
        <v>85</v>
      </c>
      <c r="AG648" s="7">
        <v>7740.5</v>
      </c>
      <c r="AH648" s="7">
        <v>3759.0</v>
      </c>
      <c r="AI648" s="7">
        <v>2385.5</v>
      </c>
      <c r="AJ648" s="7">
        <v>991.8</v>
      </c>
      <c r="AK648" s="7">
        <v>468.8</v>
      </c>
      <c r="AL648" s="7">
        <v>135.3</v>
      </c>
      <c r="AM648" s="7">
        <v>83.0</v>
      </c>
      <c r="AN648" s="7">
        <v>40.0</v>
      </c>
      <c r="AO648" s="7">
        <v>28.6</v>
      </c>
      <c r="AP648" s="9">
        <f t="shared" ref="AP648:AR648" si="2023">AG648/$AF648</f>
        <v>91.06470588</v>
      </c>
      <c r="AQ648" s="9">
        <f t="shared" si="2023"/>
        <v>44.22352941</v>
      </c>
      <c r="AR648" s="9">
        <f t="shared" si="2023"/>
        <v>28.06470588</v>
      </c>
      <c r="AS648" s="9">
        <f t="shared" si="11"/>
        <v>72.28823529</v>
      </c>
      <c r="AT648" s="9">
        <f t="shared" ref="AT648:AV648" si="2024">AJ648/$AF648</f>
        <v>11.66823529</v>
      </c>
      <c r="AU648" s="9">
        <f t="shared" si="2024"/>
        <v>5.515294118</v>
      </c>
      <c r="AV648" s="9">
        <f t="shared" si="2024"/>
        <v>1.591764706</v>
      </c>
      <c r="AW648" s="9">
        <f t="shared" si="13"/>
        <v>7.107058824</v>
      </c>
      <c r="AX648" s="9">
        <f t="shared" ref="AX648:AY648" si="2025">AM648/$AF648</f>
        <v>0.9764705882</v>
      </c>
      <c r="AY648" s="9">
        <f t="shared" si="2025"/>
        <v>0.4705882353</v>
      </c>
      <c r="AZ648" s="9">
        <f>VLOOKUP(A648,Jogos!A:BN,58,0)</f>
        <v>28.915</v>
      </c>
      <c r="BA648" s="9">
        <f>VLOOKUP(A648,Jogos!A:BN,59,0)</f>
        <v>15.335</v>
      </c>
      <c r="BB648" s="9">
        <f>VLOOKUP(A648,Jogos!A:BN,60,0)</f>
        <v>43</v>
      </c>
      <c r="BC648" s="9">
        <f>VLOOKUP(A648,Jogos!A:BN,61,0)</f>
        <v>28.61</v>
      </c>
      <c r="BD648" s="9">
        <f>VLOOKUP(A648,Jogos!A:BN,62,0)</f>
        <v>642.4</v>
      </c>
      <c r="BE648" s="9">
        <f>VLOOKUP(A648,Jogos!A:BN,63,0)</f>
        <v>2.945</v>
      </c>
      <c r="BF648" s="9">
        <f>VLOOKUP(A648,Jogos!A:BN,64,0)</f>
        <v>21.815</v>
      </c>
      <c r="BG648" s="9">
        <f>VLOOKUP(A648,Jogos!A:BN,65,0)</f>
        <v>40.38</v>
      </c>
      <c r="BH648" s="9">
        <f>VLOOKUP(A648,Jogos!A:BN,66,0)</f>
        <v>26.24</v>
      </c>
      <c r="BI648" s="9"/>
    </row>
    <row r="649" hidden="1">
      <c r="A649" s="2">
        <v>22.0</v>
      </c>
      <c r="B649" s="11" t="s">
        <v>375</v>
      </c>
      <c r="C649" s="2" t="s">
        <v>61</v>
      </c>
      <c r="D649" s="3">
        <v>45828.0</v>
      </c>
      <c r="E649" s="4">
        <v>0.5833333333333334</v>
      </c>
      <c r="F649" s="5" t="str">
        <f>VLOOKUP(A649,Jogos!A:N,10,0)</f>
        <v>Afternoon</v>
      </c>
      <c r="G649" s="2" t="s">
        <v>500</v>
      </c>
      <c r="H649" s="6" t="str">
        <f>VLOOKUP(A649,Jogos!A:L,12,0)</f>
        <v>Open</v>
      </c>
      <c r="I649" s="6" t="str">
        <f>VLOOKUP(G649,'Estádios e Cidades'!A:B,2,0)</f>
        <v>Philadelphia</v>
      </c>
      <c r="J649" s="2" t="s">
        <v>377</v>
      </c>
      <c r="K649" s="2" t="str">
        <f>VLOOKUP(J649,Equipes!A:F,6,0)</f>
        <v>Temperate</v>
      </c>
      <c r="L649" s="2">
        <f>VLOOKUP(J649,Equipes!A:C,3,0)</f>
        <v>1</v>
      </c>
      <c r="M649" s="2" t="str">
        <f t="shared" si="4"/>
        <v>Final</v>
      </c>
      <c r="N649" s="2" t="s">
        <v>501</v>
      </c>
      <c r="O649" s="2">
        <f>VLOOKUP(N649,Equipes!A:C,3,0)</f>
        <v>11</v>
      </c>
      <c r="P649" s="2" t="str">
        <f t="shared" si="5"/>
        <v>Round of 16</v>
      </c>
      <c r="Q649" s="2">
        <f t="shared" si="6"/>
        <v>-10</v>
      </c>
      <c r="R649" s="2" t="str">
        <f>VLOOKUP(J649,Equipes!A:B,2,0)</f>
        <v>Chelsea</v>
      </c>
      <c r="S649" s="6" t="s">
        <v>1126</v>
      </c>
      <c r="T649" s="7">
        <v>23.0</v>
      </c>
      <c r="U649" s="7" t="s">
        <v>1127</v>
      </c>
      <c r="V649" s="7" t="str">
        <f>VLOOKUP(U649,Jogadores!B:C,2,0)</f>
        <v>DF</v>
      </c>
      <c r="W649" s="8">
        <f>VLOOKUP(U649,Jogadores!B:D,3,0)</f>
        <v>26.08219178</v>
      </c>
      <c r="X649" s="7">
        <v>0.0</v>
      </c>
      <c r="Y649" s="7">
        <f>45+AB649</f>
        <v>97</v>
      </c>
      <c r="Z649" s="7">
        <f>VLOOKUP(A649,Jogos!A:L,3,0)</f>
        <v>48</v>
      </c>
      <c r="AA649" s="7">
        <f t="shared" si="7"/>
        <v>48</v>
      </c>
      <c r="AB649" s="7">
        <f>VLOOKUP(A649,Jogos!A:L,4,0)</f>
        <v>52</v>
      </c>
      <c r="AC649" s="7">
        <f t="shared" si="657"/>
        <v>52</v>
      </c>
      <c r="AD649" s="7"/>
      <c r="AE649" s="7"/>
      <c r="AF649" s="7">
        <f t="shared" si="9"/>
        <v>100</v>
      </c>
      <c r="AG649" s="7">
        <v>9254.5</v>
      </c>
      <c r="AH649" s="7">
        <v>3923.5</v>
      </c>
      <c r="AI649" s="7">
        <v>3563.6</v>
      </c>
      <c r="AJ649" s="7">
        <v>1206.7</v>
      </c>
      <c r="AK649" s="7">
        <v>335.6</v>
      </c>
      <c r="AL649" s="7">
        <v>225.2</v>
      </c>
      <c r="AM649" s="7">
        <v>116.0</v>
      </c>
      <c r="AN649" s="7">
        <v>32.0</v>
      </c>
      <c r="AO649" s="7">
        <v>33.7</v>
      </c>
      <c r="AP649" s="9">
        <f t="shared" ref="AP649:AR649" si="2026">AG649/$AF649</f>
        <v>92.545</v>
      </c>
      <c r="AQ649" s="9">
        <f t="shared" si="2026"/>
        <v>39.235</v>
      </c>
      <c r="AR649" s="9">
        <f t="shared" si="2026"/>
        <v>35.636</v>
      </c>
      <c r="AS649" s="9">
        <f t="shared" si="11"/>
        <v>74.871</v>
      </c>
      <c r="AT649" s="9">
        <f t="shared" ref="AT649:AV649" si="2027">AJ649/$AF649</f>
        <v>12.067</v>
      </c>
      <c r="AU649" s="9">
        <f t="shared" si="2027"/>
        <v>3.356</v>
      </c>
      <c r="AV649" s="9">
        <f t="shared" si="2027"/>
        <v>2.252</v>
      </c>
      <c r="AW649" s="9">
        <f t="shared" si="13"/>
        <v>5.608</v>
      </c>
      <c r="AX649" s="9">
        <f t="shared" ref="AX649:AY649" si="2028">AM649/$AF649</f>
        <v>1.16</v>
      </c>
      <c r="AY649" s="9">
        <f t="shared" si="2028"/>
        <v>0.32</v>
      </c>
      <c r="AZ649" s="9">
        <f>VLOOKUP(A649,Jogos!A:BN,58,0)</f>
        <v>28.915</v>
      </c>
      <c r="BA649" s="9">
        <f>VLOOKUP(A649,Jogos!A:BN,59,0)</f>
        <v>15.335</v>
      </c>
      <c r="BB649" s="9">
        <f>VLOOKUP(A649,Jogos!A:BN,60,0)</f>
        <v>43</v>
      </c>
      <c r="BC649" s="9">
        <f>VLOOKUP(A649,Jogos!A:BN,61,0)</f>
        <v>28.61</v>
      </c>
      <c r="BD649" s="9">
        <f>VLOOKUP(A649,Jogos!A:BN,62,0)</f>
        <v>642.4</v>
      </c>
      <c r="BE649" s="9">
        <f>VLOOKUP(A649,Jogos!A:BN,63,0)</f>
        <v>2.945</v>
      </c>
      <c r="BF649" s="9">
        <f>VLOOKUP(A649,Jogos!A:BN,64,0)</f>
        <v>21.815</v>
      </c>
      <c r="BG649" s="9">
        <f>VLOOKUP(A649,Jogos!A:BN,65,0)</f>
        <v>40.38</v>
      </c>
      <c r="BH649" s="9">
        <f>VLOOKUP(A649,Jogos!A:BN,66,0)</f>
        <v>26.24</v>
      </c>
      <c r="BI649" s="9"/>
    </row>
    <row r="650" hidden="1">
      <c r="A650" s="2">
        <v>22.0</v>
      </c>
      <c r="B650" s="11" t="s">
        <v>375</v>
      </c>
      <c r="C650" s="2" t="s">
        <v>61</v>
      </c>
      <c r="D650" s="3">
        <v>45828.0</v>
      </c>
      <c r="E650" s="4">
        <v>0.5833333333333334</v>
      </c>
      <c r="F650" s="5" t="str">
        <f>VLOOKUP(A650,Jogos!A:N,10,0)</f>
        <v>Afternoon</v>
      </c>
      <c r="G650" s="2" t="s">
        <v>500</v>
      </c>
      <c r="H650" s="6" t="str">
        <f>VLOOKUP(A650,Jogos!A:L,12,0)</f>
        <v>Open</v>
      </c>
      <c r="I650" s="6" t="str">
        <f>VLOOKUP(G650,'Estádios e Cidades'!A:B,2,0)</f>
        <v>Philadelphia</v>
      </c>
      <c r="J650" s="2" t="s">
        <v>377</v>
      </c>
      <c r="K650" s="2" t="str">
        <f>VLOOKUP(J650,Equipes!A:F,6,0)</f>
        <v>Temperate</v>
      </c>
      <c r="L650" s="2">
        <f>VLOOKUP(J650,Equipes!A:C,3,0)</f>
        <v>1</v>
      </c>
      <c r="M650" s="2" t="str">
        <f t="shared" si="4"/>
        <v>Final</v>
      </c>
      <c r="N650" s="2" t="s">
        <v>501</v>
      </c>
      <c r="O650" s="2">
        <f>VLOOKUP(N650,Equipes!A:C,3,0)</f>
        <v>11</v>
      </c>
      <c r="P650" s="2" t="str">
        <f t="shared" si="5"/>
        <v>Round of 16</v>
      </c>
      <c r="Q650" s="2">
        <f t="shared" si="6"/>
        <v>-10</v>
      </c>
      <c r="R650" s="2" t="str">
        <f>VLOOKUP(J650,Equipes!A:B,2,0)</f>
        <v>Chelsea</v>
      </c>
      <c r="S650" s="6" t="s">
        <v>393</v>
      </c>
      <c r="T650" s="7">
        <v>24.0</v>
      </c>
      <c r="U650" s="7" t="s">
        <v>394</v>
      </c>
      <c r="V650" s="7" t="str">
        <f>VLOOKUP(U650,Jogadores!B:C,2,0)</f>
        <v>DF</v>
      </c>
      <c r="W650" s="8">
        <f>VLOOKUP(U650,Jogadores!B:D,3,0)</f>
        <v>25.65479452</v>
      </c>
      <c r="X650" s="7">
        <v>0.0</v>
      </c>
      <c r="Y650" s="7">
        <v>64.0</v>
      </c>
      <c r="Z650" s="7">
        <f>VLOOKUP(A650,Jogos!A:L,3,0)</f>
        <v>48</v>
      </c>
      <c r="AA650" s="7">
        <f t="shared" si="7"/>
        <v>48</v>
      </c>
      <c r="AB650" s="7">
        <f>VLOOKUP(A650,Jogos!A:L,4,0)</f>
        <v>52</v>
      </c>
      <c r="AC650" s="7">
        <f t="shared" si="657"/>
        <v>19</v>
      </c>
      <c r="AD650" s="7"/>
      <c r="AE650" s="7"/>
      <c r="AF650" s="7">
        <f t="shared" si="9"/>
        <v>67</v>
      </c>
      <c r="AG650" s="7">
        <v>7265.9</v>
      </c>
      <c r="AH650" s="7">
        <v>2721.4</v>
      </c>
      <c r="AI650" s="7">
        <v>3062.1</v>
      </c>
      <c r="AJ650" s="7">
        <v>1082.4</v>
      </c>
      <c r="AK650" s="7">
        <v>318.9</v>
      </c>
      <c r="AL650" s="7">
        <v>81.1</v>
      </c>
      <c r="AM650" s="7">
        <v>82.0</v>
      </c>
      <c r="AN650" s="7">
        <v>29.0</v>
      </c>
      <c r="AO650" s="7">
        <v>30.7</v>
      </c>
      <c r="AP650" s="9">
        <f t="shared" ref="AP650:AR650" si="2029">AG650/$AF650</f>
        <v>108.4462687</v>
      </c>
      <c r="AQ650" s="9">
        <f t="shared" si="2029"/>
        <v>40.61791045</v>
      </c>
      <c r="AR650" s="9">
        <f t="shared" si="2029"/>
        <v>45.70298507</v>
      </c>
      <c r="AS650" s="9">
        <f t="shared" si="11"/>
        <v>86.32089552</v>
      </c>
      <c r="AT650" s="9">
        <f t="shared" ref="AT650:AV650" si="2030">AJ650/$AF650</f>
        <v>16.15522388</v>
      </c>
      <c r="AU650" s="9">
        <f t="shared" si="2030"/>
        <v>4.759701493</v>
      </c>
      <c r="AV650" s="9">
        <f t="shared" si="2030"/>
        <v>1.210447761</v>
      </c>
      <c r="AW650" s="9">
        <f t="shared" si="13"/>
        <v>5.970149254</v>
      </c>
      <c r="AX650" s="9">
        <f t="shared" ref="AX650:AY650" si="2031">AM650/$AF650</f>
        <v>1.223880597</v>
      </c>
      <c r="AY650" s="9">
        <f t="shared" si="2031"/>
        <v>0.4328358209</v>
      </c>
      <c r="AZ650" s="9">
        <f>VLOOKUP(A650,Jogos!A:BN,58,0)</f>
        <v>28.915</v>
      </c>
      <c r="BA650" s="9">
        <f>VLOOKUP(A650,Jogos!A:BN,59,0)</f>
        <v>15.335</v>
      </c>
      <c r="BB650" s="9">
        <f>VLOOKUP(A650,Jogos!A:BN,60,0)</f>
        <v>43</v>
      </c>
      <c r="BC650" s="9">
        <f>VLOOKUP(A650,Jogos!A:BN,61,0)</f>
        <v>28.61</v>
      </c>
      <c r="BD650" s="9">
        <f>VLOOKUP(A650,Jogos!A:BN,62,0)</f>
        <v>642.4</v>
      </c>
      <c r="BE650" s="9">
        <f>VLOOKUP(A650,Jogos!A:BN,63,0)</f>
        <v>2.945</v>
      </c>
      <c r="BF650" s="9">
        <f>VLOOKUP(A650,Jogos!A:BN,64,0)</f>
        <v>21.815</v>
      </c>
      <c r="BG650" s="9">
        <f>VLOOKUP(A650,Jogos!A:BN,65,0)</f>
        <v>40.38</v>
      </c>
      <c r="BH650" s="9">
        <f>VLOOKUP(A650,Jogos!A:BN,66,0)</f>
        <v>26.24</v>
      </c>
      <c r="BI650" s="9"/>
    </row>
    <row r="651" hidden="1">
      <c r="A651" s="2">
        <v>22.0</v>
      </c>
      <c r="B651" s="11" t="s">
        <v>375</v>
      </c>
      <c r="C651" s="2" t="s">
        <v>61</v>
      </c>
      <c r="D651" s="3">
        <v>45828.0</v>
      </c>
      <c r="E651" s="4">
        <v>0.5833333333333334</v>
      </c>
      <c r="F651" s="5" t="str">
        <f>VLOOKUP(A651,Jogos!A:N,10,0)</f>
        <v>Afternoon</v>
      </c>
      <c r="G651" s="2" t="s">
        <v>500</v>
      </c>
      <c r="H651" s="6" t="str">
        <f>VLOOKUP(A651,Jogos!A:L,12,0)</f>
        <v>Open</v>
      </c>
      <c r="I651" s="6" t="str">
        <f>VLOOKUP(G651,'Estádios e Cidades'!A:B,2,0)</f>
        <v>Philadelphia</v>
      </c>
      <c r="J651" s="2" t="s">
        <v>377</v>
      </c>
      <c r="K651" s="2" t="str">
        <f>VLOOKUP(J651,Equipes!A:F,6,0)</f>
        <v>Temperate</v>
      </c>
      <c r="L651" s="2">
        <f>VLOOKUP(J651,Equipes!A:C,3,0)</f>
        <v>1</v>
      </c>
      <c r="M651" s="2" t="str">
        <f t="shared" si="4"/>
        <v>Final</v>
      </c>
      <c r="N651" s="2" t="s">
        <v>501</v>
      </c>
      <c r="O651" s="2">
        <f>VLOOKUP(N651,Equipes!A:C,3,0)</f>
        <v>11</v>
      </c>
      <c r="P651" s="2" t="str">
        <f t="shared" si="5"/>
        <v>Round of 16</v>
      </c>
      <c r="Q651" s="2">
        <f t="shared" si="6"/>
        <v>-10</v>
      </c>
      <c r="R651" s="2" t="str">
        <f>VLOOKUP(J651,Equipes!A:B,2,0)</f>
        <v>Chelsea</v>
      </c>
      <c r="S651" s="6" t="s">
        <v>395</v>
      </c>
      <c r="T651" s="7">
        <v>25.0</v>
      </c>
      <c r="U651" s="7" t="s">
        <v>396</v>
      </c>
      <c r="V651" s="7" t="str">
        <f>VLOOKUP(U651,Jogadores!B:C,2,0)</f>
        <v>MF</v>
      </c>
      <c r="W651" s="8">
        <f>VLOOKUP(U651,Jogadores!B:D,3,0)</f>
        <v>23.75068493</v>
      </c>
      <c r="X651" s="7">
        <v>0.0</v>
      </c>
      <c r="Y651" s="7">
        <f t="shared" ref="Y651:Y653" si="2035">45+AB651</f>
        <v>97</v>
      </c>
      <c r="Z651" s="7">
        <f>VLOOKUP(A651,Jogos!A:L,3,0)</f>
        <v>48</v>
      </c>
      <c r="AA651" s="7">
        <f t="shared" si="7"/>
        <v>48</v>
      </c>
      <c r="AB651" s="7">
        <f>VLOOKUP(A651,Jogos!A:L,4,0)</f>
        <v>52</v>
      </c>
      <c r="AC651" s="7">
        <f t="shared" si="657"/>
        <v>52</v>
      </c>
      <c r="AD651" s="7"/>
      <c r="AE651" s="7"/>
      <c r="AF651" s="7">
        <f t="shared" si="9"/>
        <v>100</v>
      </c>
      <c r="AG651" s="7">
        <v>9756.5</v>
      </c>
      <c r="AH651" s="7">
        <v>3748.5</v>
      </c>
      <c r="AI651" s="7">
        <v>4026.0</v>
      </c>
      <c r="AJ651" s="7">
        <v>1443.0</v>
      </c>
      <c r="AK651" s="7">
        <v>415.3</v>
      </c>
      <c r="AL651" s="7">
        <v>123.8</v>
      </c>
      <c r="AM651" s="7">
        <v>131.0</v>
      </c>
      <c r="AN651" s="7">
        <v>31.0</v>
      </c>
      <c r="AO651" s="7">
        <v>31.4</v>
      </c>
      <c r="AP651" s="9">
        <f t="shared" ref="AP651:AR651" si="2032">AG651/$AF651</f>
        <v>97.565</v>
      </c>
      <c r="AQ651" s="9">
        <f t="shared" si="2032"/>
        <v>37.485</v>
      </c>
      <c r="AR651" s="9">
        <f t="shared" si="2032"/>
        <v>40.26</v>
      </c>
      <c r="AS651" s="9">
        <f t="shared" si="11"/>
        <v>77.745</v>
      </c>
      <c r="AT651" s="9">
        <f t="shared" ref="AT651:AV651" si="2033">AJ651/$AF651</f>
        <v>14.43</v>
      </c>
      <c r="AU651" s="9">
        <f t="shared" si="2033"/>
        <v>4.153</v>
      </c>
      <c r="AV651" s="9">
        <f t="shared" si="2033"/>
        <v>1.238</v>
      </c>
      <c r="AW651" s="9">
        <f t="shared" si="13"/>
        <v>5.391</v>
      </c>
      <c r="AX651" s="9">
        <f t="shared" ref="AX651:AY651" si="2034">AM651/$AF651</f>
        <v>1.31</v>
      </c>
      <c r="AY651" s="9">
        <f t="shared" si="2034"/>
        <v>0.31</v>
      </c>
      <c r="AZ651" s="9">
        <f>VLOOKUP(A651,Jogos!A:BN,58,0)</f>
        <v>28.915</v>
      </c>
      <c r="BA651" s="9">
        <f>VLOOKUP(A651,Jogos!A:BN,59,0)</f>
        <v>15.335</v>
      </c>
      <c r="BB651" s="9">
        <f>VLOOKUP(A651,Jogos!A:BN,60,0)</f>
        <v>43</v>
      </c>
      <c r="BC651" s="9">
        <f>VLOOKUP(A651,Jogos!A:BN,61,0)</f>
        <v>28.61</v>
      </c>
      <c r="BD651" s="9">
        <f>VLOOKUP(A651,Jogos!A:BN,62,0)</f>
        <v>642.4</v>
      </c>
      <c r="BE651" s="9">
        <f>VLOOKUP(A651,Jogos!A:BN,63,0)</f>
        <v>2.945</v>
      </c>
      <c r="BF651" s="9">
        <f>VLOOKUP(A651,Jogos!A:BN,64,0)</f>
        <v>21.815</v>
      </c>
      <c r="BG651" s="9">
        <f>VLOOKUP(A651,Jogos!A:BN,65,0)</f>
        <v>40.38</v>
      </c>
      <c r="BH651" s="9">
        <f>VLOOKUP(A651,Jogos!A:BN,66,0)</f>
        <v>26.24</v>
      </c>
      <c r="BI651" s="9"/>
    </row>
    <row r="652" hidden="1">
      <c r="A652" s="2">
        <v>22.0</v>
      </c>
      <c r="B652" s="11" t="s">
        <v>375</v>
      </c>
      <c r="C652" s="2" t="s">
        <v>61</v>
      </c>
      <c r="D652" s="3">
        <v>45828.0</v>
      </c>
      <c r="E652" s="4">
        <v>0.5833333333333334</v>
      </c>
      <c r="F652" s="5" t="str">
        <f>VLOOKUP(A652,Jogos!A:N,10,0)</f>
        <v>Afternoon</v>
      </c>
      <c r="G652" s="2" t="s">
        <v>500</v>
      </c>
      <c r="H652" s="6" t="str">
        <f>VLOOKUP(A652,Jogos!A:L,12,0)</f>
        <v>Open</v>
      </c>
      <c r="I652" s="6" t="str">
        <f>VLOOKUP(G652,'Estádios e Cidades'!A:B,2,0)</f>
        <v>Philadelphia</v>
      </c>
      <c r="J652" s="2" t="s">
        <v>377</v>
      </c>
      <c r="K652" s="2" t="str">
        <f>VLOOKUP(J652,Equipes!A:F,6,0)</f>
        <v>Temperate</v>
      </c>
      <c r="L652" s="2">
        <f>VLOOKUP(J652,Equipes!A:C,3,0)</f>
        <v>1</v>
      </c>
      <c r="M652" s="2" t="str">
        <f t="shared" si="4"/>
        <v>Final</v>
      </c>
      <c r="N652" s="2" t="s">
        <v>501</v>
      </c>
      <c r="O652" s="2">
        <f>VLOOKUP(N652,Equipes!A:C,3,0)</f>
        <v>11</v>
      </c>
      <c r="P652" s="2" t="str">
        <f t="shared" si="5"/>
        <v>Round of 16</v>
      </c>
      <c r="Q652" s="2">
        <f t="shared" si="6"/>
        <v>-10</v>
      </c>
      <c r="R652" s="2" t="str">
        <f>VLOOKUP(J652,Equipes!A:B,2,0)</f>
        <v>Chelsea</v>
      </c>
      <c r="S652" s="6" t="s">
        <v>407</v>
      </c>
      <c r="T652" s="7">
        <v>27.0</v>
      </c>
      <c r="U652" s="7" t="s">
        <v>408</v>
      </c>
      <c r="V652" s="7" t="str">
        <f>VLOOKUP(U652,Jogadores!B:C,2,0)</f>
        <v>DF</v>
      </c>
      <c r="W652" s="8">
        <f>VLOOKUP(U652,Jogadores!B:D,3,0)</f>
        <v>22.20821918</v>
      </c>
      <c r="X652" s="7">
        <v>0.0</v>
      </c>
      <c r="Y652" s="7">
        <f t="shared" si="2035"/>
        <v>97</v>
      </c>
      <c r="Z652" s="7">
        <f>VLOOKUP(A652,Jogos!A:L,3,0)</f>
        <v>48</v>
      </c>
      <c r="AA652" s="7">
        <f t="shared" si="7"/>
        <v>48</v>
      </c>
      <c r="AB652" s="7">
        <f>VLOOKUP(A652,Jogos!A:L,4,0)</f>
        <v>52</v>
      </c>
      <c r="AC652" s="7">
        <f t="shared" si="657"/>
        <v>52</v>
      </c>
      <c r="AD652" s="7"/>
      <c r="AE652" s="7"/>
      <c r="AF652" s="7">
        <f t="shared" si="9"/>
        <v>100</v>
      </c>
      <c r="AG652" s="7">
        <v>9978.3</v>
      </c>
      <c r="AH652" s="7">
        <v>3474.5</v>
      </c>
      <c r="AI652" s="7">
        <v>3801.7</v>
      </c>
      <c r="AJ652" s="7">
        <v>1494.3</v>
      </c>
      <c r="AK652" s="7">
        <v>788.8</v>
      </c>
      <c r="AL652" s="7">
        <v>419.0</v>
      </c>
      <c r="AM652" s="7">
        <v>123.0</v>
      </c>
      <c r="AN652" s="7">
        <v>65.0</v>
      </c>
      <c r="AO652" s="7">
        <v>33.5</v>
      </c>
      <c r="AP652" s="9">
        <f t="shared" ref="AP652:AR652" si="2036">AG652/$AF652</f>
        <v>99.783</v>
      </c>
      <c r="AQ652" s="9">
        <f t="shared" si="2036"/>
        <v>34.745</v>
      </c>
      <c r="AR652" s="9">
        <f t="shared" si="2036"/>
        <v>38.017</v>
      </c>
      <c r="AS652" s="9">
        <f t="shared" si="11"/>
        <v>72.762</v>
      </c>
      <c r="AT652" s="9">
        <f t="shared" ref="AT652:AV652" si="2037">AJ652/$AF652</f>
        <v>14.943</v>
      </c>
      <c r="AU652" s="9">
        <f t="shared" si="2037"/>
        <v>7.888</v>
      </c>
      <c r="AV652" s="9">
        <f t="shared" si="2037"/>
        <v>4.19</v>
      </c>
      <c r="AW652" s="9">
        <f t="shared" si="13"/>
        <v>12.078</v>
      </c>
      <c r="AX652" s="9">
        <f t="shared" ref="AX652:AY652" si="2038">AM652/$AF652</f>
        <v>1.23</v>
      </c>
      <c r="AY652" s="9">
        <f t="shared" si="2038"/>
        <v>0.65</v>
      </c>
      <c r="AZ652" s="9">
        <f>VLOOKUP(A652,Jogos!A:BN,58,0)</f>
        <v>28.915</v>
      </c>
      <c r="BA652" s="9">
        <f>VLOOKUP(A652,Jogos!A:BN,59,0)</f>
        <v>15.335</v>
      </c>
      <c r="BB652" s="9">
        <f>VLOOKUP(A652,Jogos!A:BN,60,0)</f>
        <v>43</v>
      </c>
      <c r="BC652" s="9">
        <f>VLOOKUP(A652,Jogos!A:BN,61,0)</f>
        <v>28.61</v>
      </c>
      <c r="BD652" s="9">
        <f>VLOOKUP(A652,Jogos!A:BN,62,0)</f>
        <v>642.4</v>
      </c>
      <c r="BE652" s="9">
        <f>VLOOKUP(A652,Jogos!A:BN,63,0)</f>
        <v>2.945</v>
      </c>
      <c r="BF652" s="9">
        <f>VLOOKUP(A652,Jogos!A:BN,64,0)</f>
        <v>21.815</v>
      </c>
      <c r="BG652" s="9">
        <f>VLOOKUP(A652,Jogos!A:BN,65,0)</f>
        <v>40.38</v>
      </c>
      <c r="BH652" s="9">
        <f>VLOOKUP(A652,Jogos!A:BN,66,0)</f>
        <v>26.24</v>
      </c>
      <c r="BI652" s="9"/>
    </row>
    <row r="653" hidden="1">
      <c r="A653" s="2">
        <v>22.0</v>
      </c>
      <c r="B653" s="11" t="s">
        <v>375</v>
      </c>
      <c r="C653" s="2" t="s">
        <v>61</v>
      </c>
      <c r="D653" s="3">
        <v>45828.0</v>
      </c>
      <c r="E653" s="4">
        <v>0.5833333333333334</v>
      </c>
      <c r="F653" s="5" t="str">
        <f>VLOOKUP(A653,Jogos!A:N,10,0)</f>
        <v>Afternoon</v>
      </c>
      <c r="G653" s="2" t="s">
        <v>500</v>
      </c>
      <c r="H653" s="6" t="str">
        <f>VLOOKUP(A653,Jogos!A:L,12,0)</f>
        <v>Open</v>
      </c>
      <c r="I653" s="6" t="str">
        <f>VLOOKUP(G653,'Estádios e Cidades'!A:B,2,0)</f>
        <v>Philadelphia</v>
      </c>
      <c r="J653" s="2" t="s">
        <v>377</v>
      </c>
      <c r="K653" s="2" t="str">
        <f>VLOOKUP(J653,Equipes!A:F,6,0)</f>
        <v>Temperate</v>
      </c>
      <c r="L653" s="2">
        <f>VLOOKUP(J653,Equipes!A:C,3,0)</f>
        <v>1</v>
      </c>
      <c r="M653" s="2" t="str">
        <f t="shared" si="4"/>
        <v>Final</v>
      </c>
      <c r="N653" s="2" t="s">
        <v>501</v>
      </c>
      <c r="O653" s="2">
        <f>VLOOKUP(N653,Equipes!A:C,3,0)</f>
        <v>11</v>
      </c>
      <c r="P653" s="2" t="str">
        <f t="shared" si="5"/>
        <v>Round of 16</v>
      </c>
      <c r="Q653" s="2">
        <f t="shared" si="6"/>
        <v>-10</v>
      </c>
      <c r="R653" s="2" t="str">
        <f>VLOOKUP(J653,Equipes!A:B,2,0)</f>
        <v>Chelsea</v>
      </c>
      <c r="S653" s="6" t="s">
        <v>389</v>
      </c>
      <c r="T653" s="7">
        <v>11.0</v>
      </c>
      <c r="U653" s="7" t="s">
        <v>390</v>
      </c>
      <c r="V653" s="7" t="str">
        <f>VLOOKUP(U653,Jogadores!B:C,2,0)</f>
        <v>FW</v>
      </c>
      <c r="W653" s="8">
        <f>VLOOKUP(U653,Jogadores!B:D,3,0)</f>
        <v>23.4</v>
      </c>
      <c r="X653" s="7">
        <v>82.0</v>
      </c>
      <c r="Y653" s="7">
        <f t="shared" si="2035"/>
        <v>97</v>
      </c>
      <c r="Z653" s="7">
        <f>VLOOKUP(A653,Jogos!A:L,3,0)</f>
        <v>48</v>
      </c>
      <c r="AA653" s="7">
        <f t="shared" si="7"/>
        <v>0</v>
      </c>
      <c r="AB653" s="7">
        <f>VLOOKUP(A653,Jogos!A:L,4,0)</f>
        <v>52</v>
      </c>
      <c r="AC653" s="7">
        <f t="shared" si="657"/>
        <v>15</v>
      </c>
      <c r="AD653" s="7"/>
      <c r="AE653" s="7"/>
      <c r="AF653" s="7">
        <f t="shared" si="9"/>
        <v>15</v>
      </c>
      <c r="AG653" s="7">
        <v>1402.7</v>
      </c>
      <c r="AH653" s="7">
        <v>505.6</v>
      </c>
      <c r="AI653" s="7">
        <v>608.7</v>
      </c>
      <c r="AJ653" s="7">
        <v>205.9</v>
      </c>
      <c r="AK653" s="7">
        <v>75.8</v>
      </c>
      <c r="AL653" s="7">
        <v>6.7</v>
      </c>
      <c r="AM653" s="7">
        <v>20.0</v>
      </c>
      <c r="AN653" s="7">
        <v>6.0</v>
      </c>
      <c r="AO653" s="7">
        <v>27.4</v>
      </c>
      <c r="AP653" s="9">
        <f t="shared" ref="AP653:AR653" si="2039">AG653/$AF653</f>
        <v>93.51333333</v>
      </c>
      <c r="AQ653" s="9">
        <f t="shared" si="2039"/>
        <v>33.70666667</v>
      </c>
      <c r="AR653" s="9">
        <f t="shared" si="2039"/>
        <v>40.58</v>
      </c>
      <c r="AS653" s="9">
        <f t="shared" si="11"/>
        <v>74.28666667</v>
      </c>
      <c r="AT653" s="9">
        <f t="shared" ref="AT653:AV653" si="2040">AJ653/$AF653</f>
        <v>13.72666667</v>
      </c>
      <c r="AU653" s="9">
        <f t="shared" si="2040"/>
        <v>5.053333333</v>
      </c>
      <c r="AV653" s="9">
        <f t="shared" si="2040"/>
        <v>0.4466666667</v>
      </c>
      <c r="AW653" s="9">
        <f t="shared" si="13"/>
        <v>5.5</v>
      </c>
      <c r="AX653" s="9">
        <f t="shared" ref="AX653:AY653" si="2041">AM653/$AF653</f>
        <v>1.333333333</v>
      </c>
      <c r="AY653" s="9">
        <f t="shared" si="2041"/>
        <v>0.4</v>
      </c>
      <c r="AZ653" s="9">
        <f>VLOOKUP(A653,Jogos!A:BN,58,0)</f>
        <v>28.915</v>
      </c>
      <c r="BA653" s="9">
        <f>VLOOKUP(A653,Jogos!A:BN,59,0)</f>
        <v>15.335</v>
      </c>
      <c r="BB653" s="9">
        <f>VLOOKUP(A653,Jogos!A:BN,60,0)</f>
        <v>43</v>
      </c>
      <c r="BC653" s="9">
        <f>VLOOKUP(A653,Jogos!A:BN,61,0)</f>
        <v>28.61</v>
      </c>
      <c r="BD653" s="9">
        <f>VLOOKUP(A653,Jogos!A:BN,62,0)</f>
        <v>642.4</v>
      </c>
      <c r="BE653" s="9">
        <f>VLOOKUP(A653,Jogos!A:BN,63,0)</f>
        <v>2.945</v>
      </c>
      <c r="BF653" s="9">
        <f>VLOOKUP(A653,Jogos!A:BN,64,0)</f>
        <v>21.815</v>
      </c>
      <c r="BG653" s="9">
        <f>VLOOKUP(A653,Jogos!A:BN,65,0)</f>
        <v>40.38</v>
      </c>
      <c r="BH653" s="9">
        <f>VLOOKUP(A653,Jogos!A:BN,66,0)</f>
        <v>26.24</v>
      </c>
      <c r="BI653" s="9"/>
    </row>
    <row r="654" hidden="1">
      <c r="A654" s="2">
        <v>22.0</v>
      </c>
      <c r="B654" s="11" t="s">
        <v>375</v>
      </c>
      <c r="C654" s="2" t="s">
        <v>61</v>
      </c>
      <c r="D654" s="3">
        <v>45828.0</v>
      </c>
      <c r="E654" s="4">
        <v>0.5833333333333334</v>
      </c>
      <c r="F654" s="5" t="str">
        <f>VLOOKUP(A654,Jogos!A:N,10,0)</f>
        <v>Afternoon</v>
      </c>
      <c r="G654" s="2" t="s">
        <v>500</v>
      </c>
      <c r="H654" s="6" t="str">
        <f>VLOOKUP(A654,Jogos!A:L,12,0)</f>
        <v>Open</v>
      </c>
      <c r="I654" s="6" t="str">
        <f>VLOOKUP(G654,'Estádios e Cidades'!A:B,2,0)</f>
        <v>Philadelphia</v>
      </c>
      <c r="J654" s="2" t="s">
        <v>377</v>
      </c>
      <c r="K654" s="2" t="str">
        <f>VLOOKUP(J654,Equipes!A:F,6,0)</f>
        <v>Temperate</v>
      </c>
      <c r="L654" s="2">
        <f>VLOOKUP(J654,Equipes!A:C,3,0)</f>
        <v>1</v>
      </c>
      <c r="M654" s="2" t="str">
        <f t="shared" si="4"/>
        <v>Final</v>
      </c>
      <c r="N654" s="2" t="s">
        <v>501</v>
      </c>
      <c r="O654" s="2">
        <f>VLOOKUP(N654,Equipes!A:C,3,0)</f>
        <v>11</v>
      </c>
      <c r="P654" s="2" t="str">
        <f t="shared" si="5"/>
        <v>Round of 16</v>
      </c>
      <c r="Q654" s="2">
        <f t="shared" si="6"/>
        <v>-10</v>
      </c>
      <c r="R654" s="2" t="str">
        <f>VLOOKUP(J654,Equipes!A:B,2,0)</f>
        <v>Chelsea</v>
      </c>
      <c r="S654" s="6" t="s">
        <v>391</v>
      </c>
      <c r="T654" s="7">
        <v>15.0</v>
      </c>
      <c r="U654" s="7" t="s">
        <v>392</v>
      </c>
      <c r="V654" s="7" t="str">
        <f>VLOOKUP(U654,Jogadores!B:C,2,0)</f>
        <v>FW</v>
      </c>
      <c r="W654" s="8">
        <f>VLOOKUP(U654,Jogadores!B:D,3,0)</f>
        <v>24.12054795</v>
      </c>
      <c r="X654" s="7">
        <v>64.0</v>
      </c>
      <c r="Y654" s="7">
        <v>68.0</v>
      </c>
      <c r="Z654" s="7">
        <f>VLOOKUP(A654,Jogos!A:L,3,0)</f>
        <v>48</v>
      </c>
      <c r="AA654" s="7">
        <f t="shared" si="7"/>
        <v>0</v>
      </c>
      <c r="AB654" s="7">
        <f>VLOOKUP(A654,Jogos!A:L,4,0)</f>
        <v>52</v>
      </c>
      <c r="AC654" s="16">
        <f>IF(X654&lt;45,if(Y654&lt;=45,0,Y654-45),if(Y654&lt;45+AB654,Y654-X654,AB654+45-X654))</f>
        <v>4</v>
      </c>
      <c r="AD654" s="7"/>
      <c r="AE654" s="7"/>
      <c r="AF654" s="7">
        <f t="shared" si="9"/>
        <v>4</v>
      </c>
      <c r="AG654" s="7">
        <v>459.0</v>
      </c>
      <c r="AH654" s="7">
        <v>171.4</v>
      </c>
      <c r="AI654" s="7">
        <v>228.6</v>
      </c>
      <c r="AJ654" s="7">
        <v>37.1</v>
      </c>
      <c r="AK654" s="7">
        <v>14.3</v>
      </c>
      <c r="AL654" s="7">
        <v>7.5</v>
      </c>
      <c r="AM654" s="7">
        <v>3.0</v>
      </c>
      <c r="AN654" s="7">
        <v>2.0</v>
      </c>
      <c r="AO654" s="7">
        <v>27.1</v>
      </c>
      <c r="AP654" s="9">
        <f t="shared" ref="AP654:AR654" si="2042">AG654/$AF654</f>
        <v>114.75</v>
      </c>
      <c r="AQ654" s="9">
        <f t="shared" si="2042"/>
        <v>42.85</v>
      </c>
      <c r="AR654" s="9">
        <f t="shared" si="2042"/>
        <v>57.15</v>
      </c>
      <c r="AS654" s="9">
        <f t="shared" si="11"/>
        <v>100</v>
      </c>
      <c r="AT654" s="9">
        <f t="shared" ref="AT654:AV654" si="2043">AJ654/$AF654</f>
        <v>9.275</v>
      </c>
      <c r="AU654" s="9">
        <f t="shared" si="2043"/>
        <v>3.575</v>
      </c>
      <c r="AV654" s="9">
        <f t="shared" si="2043"/>
        <v>1.875</v>
      </c>
      <c r="AW654" s="9">
        <f t="shared" si="13"/>
        <v>5.45</v>
      </c>
      <c r="AX654" s="9">
        <f t="shared" ref="AX654:AY654" si="2044">AM654/$AF654</f>
        <v>0.75</v>
      </c>
      <c r="AY654" s="9">
        <f t="shared" si="2044"/>
        <v>0.5</v>
      </c>
      <c r="AZ654" s="9">
        <f>VLOOKUP(A654,Jogos!A:BN,58,0)</f>
        <v>28.915</v>
      </c>
      <c r="BA654" s="9">
        <f>VLOOKUP(A654,Jogos!A:BN,59,0)</f>
        <v>15.335</v>
      </c>
      <c r="BB654" s="9">
        <f>VLOOKUP(A654,Jogos!A:BN,60,0)</f>
        <v>43</v>
      </c>
      <c r="BC654" s="9">
        <f>VLOOKUP(A654,Jogos!A:BN,61,0)</f>
        <v>28.61</v>
      </c>
      <c r="BD654" s="9">
        <f>VLOOKUP(A654,Jogos!A:BN,62,0)</f>
        <v>642.4</v>
      </c>
      <c r="BE654" s="9">
        <f>VLOOKUP(A654,Jogos!A:BN,63,0)</f>
        <v>2.945</v>
      </c>
      <c r="BF654" s="9">
        <f>VLOOKUP(A654,Jogos!A:BN,64,0)</f>
        <v>21.815</v>
      </c>
      <c r="BG654" s="9">
        <f>VLOOKUP(A654,Jogos!A:BN,65,0)</f>
        <v>40.38</v>
      </c>
      <c r="BH654" s="9">
        <f>VLOOKUP(A654,Jogos!A:BN,66,0)</f>
        <v>26.24</v>
      </c>
      <c r="BI654" s="9"/>
    </row>
    <row r="655" hidden="1">
      <c r="A655" s="2">
        <v>22.0</v>
      </c>
      <c r="B655" s="11" t="s">
        <v>375</v>
      </c>
      <c r="C655" s="2" t="s">
        <v>61</v>
      </c>
      <c r="D655" s="3">
        <v>45828.0</v>
      </c>
      <c r="E655" s="4">
        <v>0.5833333333333334</v>
      </c>
      <c r="F655" s="5" t="str">
        <f>VLOOKUP(A655,Jogos!A:N,10,0)</f>
        <v>Afternoon</v>
      </c>
      <c r="G655" s="2" t="s">
        <v>500</v>
      </c>
      <c r="H655" s="6" t="str">
        <f>VLOOKUP(A655,Jogos!A:L,12,0)</f>
        <v>Open</v>
      </c>
      <c r="I655" s="6" t="str">
        <f>VLOOKUP(G655,'Estádios e Cidades'!A:B,2,0)</f>
        <v>Philadelphia</v>
      </c>
      <c r="J655" s="2" t="s">
        <v>377</v>
      </c>
      <c r="K655" s="2" t="str">
        <f>VLOOKUP(J655,Equipes!A:F,6,0)</f>
        <v>Temperate</v>
      </c>
      <c r="L655" s="2">
        <f>VLOOKUP(J655,Equipes!A:C,3,0)</f>
        <v>1</v>
      </c>
      <c r="M655" s="2" t="str">
        <f t="shared" si="4"/>
        <v>Final</v>
      </c>
      <c r="N655" s="2" t="s">
        <v>501</v>
      </c>
      <c r="O655" s="2">
        <f>VLOOKUP(N655,Equipes!A:C,3,0)</f>
        <v>11</v>
      </c>
      <c r="P655" s="2" t="str">
        <f t="shared" si="5"/>
        <v>Round of 16</v>
      </c>
      <c r="Q655" s="2">
        <f t="shared" si="6"/>
        <v>-10</v>
      </c>
      <c r="R655" s="2" t="str">
        <f>VLOOKUP(J655,Equipes!A:B,2,0)</f>
        <v>Chelsea</v>
      </c>
      <c r="S655" s="6" t="s">
        <v>1128</v>
      </c>
      <c r="T655" s="7">
        <v>38.0</v>
      </c>
      <c r="U655" s="7" t="s">
        <v>1129</v>
      </c>
      <c r="V655" s="7" t="str">
        <f>VLOOKUP(U655,Jogadores!B:C,2,0)</f>
        <v>FW</v>
      </c>
      <c r="W655" s="8">
        <f>VLOOKUP(U655,Jogadores!B:D,3,0)</f>
        <v>19.57534247</v>
      </c>
      <c r="X655" s="7">
        <v>82.0</v>
      </c>
      <c r="Y655" s="7">
        <f t="shared" ref="Y655:Y658" si="2048">45+AB655</f>
        <v>97</v>
      </c>
      <c r="Z655" s="7">
        <f>VLOOKUP(A655,Jogos!A:L,3,0)</f>
        <v>48</v>
      </c>
      <c r="AA655" s="7">
        <f t="shared" si="7"/>
        <v>0</v>
      </c>
      <c r="AB655" s="7">
        <f>VLOOKUP(A655,Jogos!A:L,4,0)</f>
        <v>52</v>
      </c>
      <c r="AC655" s="7">
        <f t="shared" ref="AC655:AC685" si="2049">IF(X655&lt;45,if(Y655&lt;=45,0,Y655-45),AB655+45-X655)</f>
        <v>15</v>
      </c>
      <c r="AD655" s="7"/>
      <c r="AE655" s="7"/>
      <c r="AF655" s="7">
        <f t="shared" si="9"/>
        <v>15</v>
      </c>
      <c r="AG655" s="7">
        <v>1516.1</v>
      </c>
      <c r="AH655" s="7">
        <v>507.8</v>
      </c>
      <c r="AI655" s="7">
        <v>655.8</v>
      </c>
      <c r="AJ655" s="7">
        <v>232.4</v>
      </c>
      <c r="AK655" s="7">
        <v>75.2</v>
      </c>
      <c r="AL655" s="7">
        <v>44.9</v>
      </c>
      <c r="AM655" s="7">
        <v>14.0</v>
      </c>
      <c r="AN655" s="7">
        <v>9.0</v>
      </c>
      <c r="AO655" s="7">
        <v>28.5</v>
      </c>
      <c r="AP655" s="9">
        <f t="shared" ref="AP655:AR655" si="2045">AG655/$AF655</f>
        <v>101.0733333</v>
      </c>
      <c r="AQ655" s="9">
        <f t="shared" si="2045"/>
        <v>33.85333333</v>
      </c>
      <c r="AR655" s="9">
        <f t="shared" si="2045"/>
        <v>43.72</v>
      </c>
      <c r="AS655" s="9">
        <f t="shared" si="11"/>
        <v>77.57333333</v>
      </c>
      <c r="AT655" s="9">
        <f t="shared" ref="AT655:AV655" si="2046">AJ655/$AF655</f>
        <v>15.49333333</v>
      </c>
      <c r="AU655" s="9">
        <f t="shared" si="2046"/>
        <v>5.013333333</v>
      </c>
      <c r="AV655" s="9">
        <f t="shared" si="2046"/>
        <v>2.993333333</v>
      </c>
      <c r="AW655" s="9">
        <f t="shared" si="13"/>
        <v>8.006666667</v>
      </c>
      <c r="AX655" s="9">
        <f t="shared" ref="AX655:AY655" si="2047">AM655/$AF655</f>
        <v>0.9333333333</v>
      </c>
      <c r="AY655" s="9">
        <f t="shared" si="2047"/>
        <v>0.6</v>
      </c>
      <c r="AZ655" s="9">
        <f>VLOOKUP(A655,Jogos!A:BN,58,0)</f>
        <v>28.915</v>
      </c>
      <c r="BA655" s="9">
        <f>VLOOKUP(A655,Jogos!A:BN,59,0)</f>
        <v>15.335</v>
      </c>
      <c r="BB655" s="9">
        <f>VLOOKUP(A655,Jogos!A:BN,60,0)</f>
        <v>43</v>
      </c>
      <c r="BC655" s="9">
        <f>VLOOKUP(A655,Jogos!A:BN,61,0)</f>
        <v>28.61</v>
      </c>
      <c r="BD655" s="9">
        <f>VLOOKUP(A655,Jogos!A:BN,62,0)</f>
        <v>642.4</v>
      </c>
      <c r="BE655" s="9">
        <f>VLOOKUP(A655,Jogos!A:BN,63,0)</f>
        <v>2.945</v>
      </c>
      <c r="BF655" s="9">
        <f>VLOOKUP(A655,Jogos!A:BN,64,0)</f>
        <v>21.815</v>
      </c>
      <c r="BG655" s="9">
        <f>VLOOKUP(A655,Jogos!A:BN,65,0)</f>
        <v>40.38</v>
      </c>
      <c r="BH655" s="9">
        <f>VLOOKUP(A655,Jogos!A:BN,66,0)</f>
        <v>26.24</v>
      </c>
      <c r="BI655" s="9"/>
    </row>
    <row r="656" hidden="1">
      <c r="A656" s="2">
        <v>22.0</v>
      </c>
      <c r="B656" s="11" t="s">
        <v>375</v>
      </c>
      <c r="C656" s="2" t="s">
        <v>61</v>
      </c>
      <c r="D656" s="3">
        <v>45828.0</v>
      </c>
      <c r="E656" s="4">
        <v>0.5833333333333334</v>
      </c>
      <c r="F656" s="5" t="str">
        <f>VLOOKUP(A656,Jogos!A:N,10,0)</f>
        <v>Afternoon</v>
      </c>
      <c r="G656" s="2" t="s">
        <v>500</v>
      </c>
      <c r="H656" s="6" t="str">
        <f>VLOOKUP(A656,Jogos!A:L,12,0)</f>
        <v>Open</v>
      </c>
      <c r="I656" s="6" t="str">
        <f>VLOOKUP(G656,'Estádios e Cidades'!A:B,2,0)</f>
        <v>Philadelphia</v>
      </c>
      <c r="J656" s="2" t="s">
        <v>377</v>
      </c>
      <c r="K656" s="2" t="str">
        <f>VLOOKUP(J656,Equipes!A:F,6,0)</f>
        <v>Temperate</v>
      </c>
      <c r="L656" s="2">
        <f>VLOOKUP(J656,Equipes!A:C,3,0)</f>
        <v>1</v>
      </c>
      <c r="M656" s="2" t="str">
        <f t="shared" si="4"/>
        <v>Final</v>
      </c>
      <c r="N656" s="2" t="s">
        <v>501</v>
      </c>
      <c r="O656" s="2">
        <f>VLOOKUP(N656,Equipes!A:C,3,0)</f>
        <v>11</v>
      </c>
      <c r="P656" s="2" t="str">
        <f t="shared" si="5"/>
        <v>Round of 16</v>
      </c>
      <c r="Q656" s="2">
        <f t="shared" si="6"/>
        <v>-10</v>
      </c>
      <c r="R656" s="2" t="str">
        <f>VLOOKUP(J656,Equipes!A:B,2,0)</f>
        <v>Chelsea</v>
      </c>
      <c r="S656" s="6" t="s">
        <v>397</v>
      </c>
      <c r="T656" s="7">
        <v>45.0</v>
      </c>
      <c r="U656" s="7" t="s">
        <v>398</v>
      </c>
      <c r="V656" s="7" t="str">
        <f>VLOOKUP(U656,Jogadores!B:C,2,0)</f>
        <v>MF</v>
      </c>
      <c r="W656" s="8">
        <f>VLOOKUP(U656,Jogadores!B:D,3,0)</f>
        <v>21.57260274</v>
      </c>
      <c r="X656" s="7">
        <v>64.0</v>
      </c>
      <c r="Y656" s="7">
        <f t="shared" si="2048"/>
        <v>97</v>
      </c>
      <c r="Z656" s="7">
        <f>VLOOKUP(A656,Jogos!A:L,3,0)</f>
        <v>48</v>
      </c>
      <c r="AA656" s="7">
        <f t="shared" si="7"/>
        <v>0</v>
      </c>
      <c r="AB656" s="7">
        <f>VLOOKUP(A656,Jogos!A:L,4,0)</f>
        <v>52</v>
      </c>
      <c r="AC656" s="7">
        <f t="shared" si="2049"/>
        <v>33</v>
      </c>
      <c r="AD656" s="7"/>
      <c r="AE656" s="7"/>
      <c r="AF656" s="7">
        <f t="shared" si="9"/>
        <v>33</v>
      </c>
      <c r="AG656" s="7">
        <v>3068.0</v>
      </c>
      <c r="AH656" s="7">
        <v>1141.0</v>
      </c>
      <c r="AI656" s="7">
        <v>1237.2</v>
      </c>
      <c r="AJ656" s="7">
        <v>519.4</v>
      </c>
      <c r="AK656" s="7">
        <v>163.8</v>
      </c>
      <c r="AL656" s="7">
        <v>6.5</v>
      </c>
      <c r="AM656" s="7">
        <v>47.0</v>
      </c>
      <c r="AN656" s="7">
        <v>10.0</v>
      </c>
      <c r="AO656" s="7">
        <v>26.4</v>
      </c>
      <c r="AP656" s="9">
        <f t="shared" ref="AP656:AR656" si="2050">AG656/$AF656</f>
        <v>92.96969697</v>
      </c>
      <c r="AQ656" s="9">
        <f t="shared" si="2050"/>
        <v>34.57575758</v>
      </c>
      <c r="AR656" s="9">
        <f t="shared" si="2050"/>
        <v>37.49090909</v>
      </c>
      <c r="AS656" s="9">
        <f t="shared" si="11"/>
        <v>72.06666667</v>
      </c>
      <c r="AT656" s="9">
        <f t="shared" ref="AT656:AV656" si="2051">AJ656/$AF656</f>
        <v>15.73939394</v>
      </c>
      <c r="AU656" s="9">
        <f t="shared" si="2051"/>
        <v>4.963636364</v>
      </c>
      <c r="AV656" s="9">
        <f t="shared" si="2051"/>
        <v>0.196969697</v>
      </c>
      <c r="AW656" s="9">
        <f t="shared" si="13"/>
        <v>5.160606061</v>
      </c>
      <c r="AX656" s="9">
        <f t="shared" ref="AX656:AY656" si="2052">AM656/$AF656</f>
        <v>1.424242424</v>
      </c>
      <c r="AY656" s="9">
        <f t="shared" si="2052"/>
        <v>0.303030303</v>
      </c>
      <c r="AZ656" s="9">
        <f>VLOOKUP(A656,Jogos!A:BN,58,0)</f>
        <v>28.915</v>
      </c>
      <c r="BA656" s="9">
        <f>VLOOKUP(A656,Jogos!A:BN,59,0)</f>
        <v>15.335</v>
      </c>
      <c r="BB656" s="9">
        <f>VLOOKUP(A656,Jogos!A:BN,60,0)</f>
        <v>43</v>
      </c>
      <c r="BC656" s="9">
        <f>VLOOKUP(A656,Jogos!A:BN,61,0)</f>
        <v>28.61</v>
      </c>
      <c r="BD656" s="9">
        <f>VLOOKUP(A656,Jogos!A:BN,62,0)</f>
        <v>642.4</v>
      </c>
      <c r="BE656" s="9">
        <f>VLOOKUP(A656,Jogos!A:BN,63,0)</f>
        <v>2.945</v>
      </c>
      <c r="BF656" s="9">
        <f>VLOOKUP(A656,Jogos!A:BN,64,0)</f>
        <v>21.815</v>
      </c>
      <c r="BG656" s="9">
        <f>VLOOKUP(A656,Jogos!A:BN,65,0)</f>
        <v>40.38</v>
      </c>
      <c r="BH656" s="9">
        <f>VLOOKUP(A656,Jogos!A:BN,66,0)</f>
        <v>26.24</v>
      </c>
      <c r="BI656" s="9"/>
    </row>
    <row r="657" hidden="1">
      <c r="A657" s="2">
        <v>23.0</v>
      </c>
      <c r="B657" s="11" t="s">
        <v>375</v>
      </c>
      <c r="C657" s="2" t="s">
        <v>61</v>
      </c>
      <c r="D657" s="3">
        <v>45828.0</v>
      </c>
      <c r="E657" s="4">
        <v>0.7083333333333334</v>
      </c>
      <c r="F657" s="5" t="str">
        <f>VLOOKUP(A657,Jogos!A:N,10,0)</f>
        <v>Afternoon</v>
      </c>
      <c r="G657" s="2" t="s">
        <v>1130</v>
      </c>
      <c r="H657" s="6" t="str">
        <f>VLOOKUP(A657,Jogos!A:L,12,0)</f>
        <v>Open</v>
      </c>
      <c r="I657" s="6" t="str">
        <f>VLOOKUP(G657,'Estádios e Cidades'!A:B,2,0)</f>
        <v>Nashville</v>
      </c>
      <c r="J657" s="2" t="s">
        <v>378</v>
      </c>
      <c r="K657" s="2" t="str">
        <f>VLOOKUP(J657,Equipes!A:F,6,0)</f>
        <v>Temperate</v>
      </c>
      <c r="L657" s="2">
        <f>VLOOKUP(J657,Equipes!A:C,3,0)</f>
        <v>26</v>
      </c>
      <c r="M657" s="2" t="str">
        <f t="shared" si="4"/>
        <v>Group</v>
      </c>
      <c r="N657" s="2" t="s">
        <v>502</v>
      </c>
      <c r="O657" s="2">
        <f>VLOOKUP(N657,Equipes!A:C,3,0)</f>
        <v>21</v>
      </c>
      <c r="P657" s="2" t="str">
        <f t="shared" si="5"/>
        <v>Group</v>
      </c>
      <c r="Q657" s="2">
        <f t="shared" si="6"/>
        <v>5</v>
      </c>
      <c r="R657" s="2" t="str">
        <f>VLOOKUP(J657,Equipes!A:B,2,0)</f>
        <v>LAFC</v>
      </c>
      <c r="S657" s="6" t="s">
        <v>411</v>
      </c>
      <c r="T657" s="7">
        <v>4.0</v>
      </c>
      <c r="U657" s="7" t="s">
        <v>412</v>
      </c>
      <c r="V657" s="7" t="str">
        <f>VLOOKUP(U657,Jogadores!B:C,2,0)</f>
        <v>DF</v>
      </c>
      <c r="W657" s="8">
        <f>VLOOKUP(U657,Jogadores!B:D,3,0)</f>
        <v>28.50136986</v>
      </c>
      <c r="X657" s="7">
        <v>0.0</v>
      </c>
      <c r="Y657" s="7">
        <f t="shared" si="2048"/>
        <v>102</v>
      </c>
      <c r="Z657" s="7">
        <f>VLOOKUP(A657,Jogos!A:L,3,0)</f>
        <v>47</v>
      </c>
      <c r="AA657" s="7">
        <f t="shared" si="7"/>
        <v>47</v>
      </c>
      <c r="AB657" s="7">
        <f>VLOOKUP(A657,Jogos!A:L,4,0)</f>
        <v>57</v>
      </c>
      <c r="AC657" s="7">
        <f t="shared" si="2049"/>
        <v>57</v>
      </c>
      <c r="AD657" s="7"/>
      <c r="AE657" s="7"/>
      <c r="AF657" s="7">
        <f t="shared" si="9"/>
        <v>104</v>
      </c>
      <c r="AG657" s="7">
        <v>9602.5</v>
      </c>
      <c r="AH657" s="7">
        <v>4568.4</v>
      </c>
      <c r="AI657" s="7">
        <v>3327.4</v>
      </c>
      <c r="AJ657" s="7">
        <v>1090.3</v>
      </c>
      <c r="AK657" s="7">
        <v>448.5</v>
      </c>
      <c r="AL657" s="7">
        <v>167.9</v>
      </c>
      <c r="AM657" s="7">
        <v>94.0</v>
      </c>
      <c r="AN657" s="7">
        <v>39.0</v>
      </c>
      <c r="AO657" s="7">
        <v>30.2</v>
      </c>
      <c r="AP657" s="9">
        <f t="shared" ref="AP657:AR657" si="2053">AG657/$AF657</f>
        <v>92.33173077</v>
      </c>
      <c r="AQ657" s="9">
        <f t="shared" si="2053"/>
        <v>43.92692308</v>
      </c>
      <c r="AR657" s="9">
        <f t="shared" si="2053"/>
        <v>31.99423077</v>
      </c>
      <c r="AS657" s="9">
        <f t="shared" si="11"/>
        <v>75.92115385</v>
      </c>
      <c r="AT657" s="9">
        <f t="shared" ref="AT657:AV657" si="2054">AJ657/$AF657</f>
        <v>10.48365385</v>
      </c>
      <c r="AU657" s="9">
        <f t="shared" si="2054"/>
        <v>4.3125</v>
      </c>
      <c r="AV657" s="9">
        <f t="shared" si="2054"/>
        <v>1.614423077</v>
      </c>
      <c r="AW657" s="9">
        <f t="shared" si="13"/>
        <v>5.926923077</v>
      </c>
      <c r="AX657" s="9">
        <f t="shared" ref="AX657:AY657" si="2055">AM657/$AF657</f>
        <v>0.9038461538</v>
      </c>
      <c r="AY657" s="9">
        <f t="shared" si="2055"/>
        <v>0.375</v>
      </c>
      <c r="AZ657" s="9">
        <f>VLOOKUP(A657,Jogos!A:BN,58,0)</f>
        <v>29.485</v>
      </c>
      <c r="BA657" s="9">
        <f>VLOOKUP(A657,Jogos!A:BN,59,0)</f>
        <v>20.69</v>
      </c>
      <c r="BB657" s="9">
        <f>VLOOKUP(A657,Jogos!A:BN,60,0)</f>
        <v>58.5</v>
      </c>
      <c r="BC657" s="9">
        <f>VLOOKUP(A657,Jogos!A:BN,61,0)</f>
        <v>29.52</v>
      </c>
      <c r="BD657" s="9">
        <f>VLOOKUP(A657,Jogos!A:BN,62,0)</f>
        <v>318.05</v>
      </c>
      <c r="BE657" s="9">
        <f>VLOOKUP(A657,Jogos!A:BN,63,0)</f>
        <v>0.67</v>
      </c>
      <c r="BF657" s="9">
        <f>VLOOKUP(A657,Jogos!A:BN,64,0)</f>
        <v>24.795</v>
      </c>
      <c r="BG657" s="9">
        <f>VLOOKUP(A657,Jogos!A:BN,65,0)</f>
        <v>44.785</v>
      </c>
      <c r="BH657" s="9">
        <f>VLOOKUP(A657,Jogos!A:BN,66,0)</f>
        <v>29.26</v>
      </c>
      <c r="BI657" s="9"/>
    </row>
    <row r="658" hidden="1">
      <c r="A658" s="2">
        <v>23.0</v>
      </c>
      <c r="B658" s="11" t="s">
        <v>375</v>
      </c>
      <c r="C658" s="2" t="s">
        <v>61</v>
      </c>
      <c r="D658" s="3">
        <v>45828.0</v>
      </c>
      <c r="E658" s="4">
        <v>0.7083333333333334</v>
      </c>
      <c r="F658" s="5" t="str">
        <f>VLOOKUP(A658,Jogos!A:N,10,0)</f>
        <v>Afternoon</v>
      </c>
      <c r="G658" s="2" t="s">
        <v>1130</v>
      </c>
      <c r="H658" s="6" t="str">
        <f>VLOOKUP(A658,Jogos!A:L,12,0)</f>
        <v>Open</v>
      </c>
      <c r="I658" s="6" t="str">
        <f>VLOOKUP(G658,'Estádios e Cidades'!A:B,2,0)</f>
        <v>Nashville</v>
      </c>
      <c r="J658" s="2" t="s">
        <v>378</v>
      </c>
      <c r="K658" s="2" t="str">
        <f>VLOOKUP(J658,Equipes!A:F,6,0)</f>
        <v>Temperate</v>
      </c>
      <c r="L658" s="2">
        <f>VLOOKUP(J658,Equipes!A:C,3,0)</f>
        <v>26</v>
      </c>
      <c r="M658" s="2" t="str">
        <f t="shared" si="4"/>
        <v>Group</v>
      </c>
      <c r="N658" s="2" t="s">
        <v>502</v>
      </c>
      <c r="O658" s="2">
        <f>VLOOKUP(N658,Equipes!A:C,3,0)</f>
        <v>21</v>
      </c>
      <c r="P658" s="2" t="str">
        <f t="shared" si="5"/>
        <v>Group</v>
      </c>
      <c r="Q658" s="2">
        <f t="shared" si="6"/>
        <v>5</v>
      </c>
      <c r="R658" s="2" t="str">
        <f>VLOOKUP(J658,Equipes!A:B,2,0)</f>
        <v>LAFC</v>
      </c>
      <c r="S658" s="6" t="s">
        <v>413</v>
      </c>
      <c r="T658" s="7">
        <v>6.0</v>
      </c>
      <c r="U658" s="7" t="s">
        <v>334</v>
      </c>
      <c r="V658" s="7" t="str">
        <f>VLOOKUP(U658,Jogadores!B:C,2,0)</f>
        <v>FW</v>
      </c>
      <c r="W658" s="8">
        <f>VLOOKUP(U658,Jogadores!B:D,3,0)</f>
        <v>24.43561644</v>
      </c>
      <c r="X658" s="7">
        <v>0.0</v>
      </c>
      <c r="Y658" s="7">
        <f t="shared" si="2048"/>
        <v>102</v>
      </c>
      <c r="Z658" s="7">
        <f>VLOOKUP(A658,Jogos!A:L,3,0)</f>
        <v>47</v>
      </c>
      <c r="AA658" s="7">
        <f t="shared" si="7"/>
        <v>47</v>
      </c>
      <c r="AB658" s="7">
        <f>VLOOKUP(A658,Jogos!A:L,4,0)</f>
        <v>57</v>
      </c>
      <c r="AC658" s="7">
        <f t="shared" si="2049"/>
        <v>57</v>
      </c>
      <c r="AD658" s="7"/>
      <c r="AE658" s="7"/>
      <c r="AF658" s="7">
        <f t="shared" si="9"/>
        <v>104</v>
      </c>
      <c r="AG658" s="7">
        <v>10722.6</v>
      </c>
      <c r="AH658" s="7">
        <v>3565.9</v>
      </c>
      <c r="AI658" s="7">
        <v>4937.4</v>
      </c>
      <c r="AJ658" s="7">
        <v>1615.5</v>
      </c>
      <c r="AK658" s="7">
        <v>505.2</v>
      </c>
      <c r="AL658" s="7">
        <v>98.6</v>
      </c>
      <c r="AM658" s="7">
        <v>143.0</v>
      </c>
      <c r="AN658" s="7">
        <v>42.0</v>
      </c>
      <c r="AO658" s="7">
        <v>28.2</v>
      </c>
      <c r="AP658" s="9">
        <f t="shared" ref="AP658:AR658" si="2056">AG658/$AF658</f>
        <v>103.1019231</v>
      </c>
      <c r="AQ658" s="9">
        <f t="shared" si="2056"/>
        <v>34.2875</v>
      </c>
      <c r="AR658" s="9">
        <f t="shared" si="2056"/>
        <v>47.475</v>
      </c>
      <c r="AS658" s="9">
        <f t="shared" si="11"/>
        <v>81.7625</v>
      </c>
      <c r="AT658" s="9">
        <f t="shared" ref="AT658:AV658" si="2057">AJ658/$AF658</f>
        <v>15.53365385</v>
      </c>
      <c r="AU658" s="9">
        <f t="shared" si="2057"/>
        <v>4.857692308</v>
      </c>
      <c r="AV658" s="9">
        <f t="shared" si="2057"/>
        <v>0.9480769231</v>
      </c>
      <c r="AW658" s="9">
        <f t="shared" si="13"/>
        <v>5.805769231</v>
      </c>
      <c r="AX658" s="9">
        <f t="shared" ref="AX658:AY658" si="2058">AM658/$AF658</f>
        <v>1.375</v>
      </c>
      <c r="AY658" s="9">
        <f t="shared" si="2058"/>
        <v>0.4038461538</v>
      </c>
      <c r="AZ658" s="9">
        <f>VLOOKUP(A658,Jogos!A:BN,58,0)</f>
        <v>29.485</v>
      </c>
      <c r="BA658" s="9">
        <f>VLOOKUP(A658,Jogos!A:BN,59,0)</f>
        <v>20.69</v>
      </c>
      <c r="BB658" s="9">
        <f>VLOOKUP(A658,Jogos!A:BN,60,0)</f>
        <v>58.5</v>
      </c>
      <c r="BC658" s="9">
        <f>VLOOKUP(A658,Jogos!A:BN,61,0)</f>
        <v>29.52</v>
      </c>
      <c r="BD658" s="9">
        <f>VLOOKUP(A658,Jogos!A:BN,62,0)</f>
        <v>318.05</v>
      </c>
      <c r="BE658" s="9">
        <f>VLOOKUP(A658,Jogos!A:BN,63,0)</f>
        <v>0.67</v>
      </c>
      <c r="BF658" s="9">
        <f>VLOOKUP(A658,Jogos!A:BN,64,0)</f>
        <v>24.795</v>
      </c>
      <c r="BG658" s="9">
        <f>VLOOKUP(A658,Jogos!A:BN,65,0)</f>
        <v>44.785</v>
      </c>
      <c r="BH658" s="9">
        <f>VLOOKUP(A658,Jogos!A:BN,66,0)</f>
        <v>29.26</v>
      </c>
      <c r="BI658" s="9"/>
    </row>
    <row r="659" hidden="1">
      <c r="A659" s="2">
        <v>23.0</v>
      </c>
      <c r="B659" s="11" t="s">
        <v>375</v>
      </c>
      <c r="C659" s="2" t="s">
        <v>61</v>
      </c>
      <c r="D659" s="3">
        <v>45828.0</v>
      </c>
      <c r="E659" s="4">
        <v>0.7083333333333334</v>
      </c>
      <c r="F659" s="5" t="str">
        <f>VLOOKUP(A659,Jogos!A:N,10,0)</f>
        <v>Afternoon</v>
      </c>
      <c r="G659" s="2" t="s">
        <v>1130</v>
      </c>
      <c r="H659" s="6" t="str">
        <f>VLOOKUP(A659,Jogos!A:L,12,0)</f>
        <v>Open</v>
      </c>
      <c r="I659" s="6" t="str">
        <f>VLOOKUP(G659,'Estádios e Cidades'!A:B,2,0)</f>
        <v>Nashville</v>
      </c>
      <c r="J659" s="2" t="s">
        <v>378</v>
      </c>
      <c r="K659" s="2" t="str">
        <f>VLOOKUP(J659,Equipes!A:F,6,0)</f>
        <v>Temperate</v>
      </c>
      <c r="L659" s="2">
        <f>VLOOKUP(J659,Equipes!A:C,3,0)</f>
        <v>26</v>
      </c>
      <c r="M659" s="2" t="str">
        <f t="shared" si="4"/>
        <v>Group</v>
      </c>
      <c r="N659" s="2" t="s">
        <v>502</v>
      </c>
      <c r="O659" s="2">
        <f>VLOOKUP(N659,Equipes!A:C,3,0)</f>
        <v>21</v>
      </c>
      <c r="P659" s="2" t="str">
        <f t="shared" si="5"/>
        <v>Group</v>
      </c>
      <c r="Q659" s="2">
        <f t="shared" si="6"/>
        <v>5</v>
      </c>
      <c r="R659" s="2" t="str">
        <f>VLOOKUP(J659,Equipes!A:B,2,0)</f>
        <v>LAFC</v>
      </c>
      <c r="S659" s="6" t="s">
        <v>414</v>
      </c>
      <c r="T659" s="7">
        <v>8.0</v>
      </c>
      <c r="U659" s="7" t="s">
        <v>415</v>
      </c>
      <c r="V659" s="7" t="str">
        <f>VLOOKUP(U659,Jogadores!B:C,2,0)</f>
        <v>MF</v>
      </c>
      <c r="W659" s="8">
        <f>VLOOKUP(U659,Jogadores!B:D,3,0)</f>
        <v>30.22191781</v>
      </c>
      <c r="X659" s="7">
        <v>0.0</v>
      </c>
      <c r="Y659" s="7">
        <v>81.0</v>
      </c>
      <c r="Z659" s="7">
        <f>VLOOKUP(A659,Jogos!A:L,3,0)</f>
        <v>47</v>
      </c>
      <c r="AA659" s="7">
        <f t="shared" si="7"/>
        <v>47</v>
      </c>
      <c r="AB659" s="7">
        <f>VLOOKUP(A659,Jogos!A:L,4,0)</f>
        <v>57</v>
      </c>
      <c r="AC659" s="7">
        <f t="shared" si="2049"/>
        <v>36</v>
      </c>
      <c r="AD659" s="7"/>
      <c r="AE659" s="7"/>
      <c r="AF659" s="7">
        <f t="shared" si="9"/>
        <v>83</v>
      </c>
      <c r="AG659" s="7">
        <v>9484.2</v>
      </c>
      <c r="AH659" s="7">
        <v>2787.6</v>
      </c>
      <c r="AI659" s="7">
        <v>4739.7</v>
      </c>
      <c r="AJ659" s="7">
        <v>1212.1</v>
      </c>
      <c r="AK659" s="7">
        <v>492.3</v>
      </c>
      <c r="AL659" s="7">
        <v>252.5</v>
      </c>
      <c r="AM659" s="7">
        <v>104.0</v>
      </c>
      <c r="AN659" s="7">
        <v>38.0</v>
      </c>
      <c r="AO659" s="7">
        <v>31.2</v>
      </c>
      <c r="AP659" s="9">
        <f t="shared" ref="AP659:AR659" si="2059">AG659/$AF659</f>
        <v>114.2674699</v>
      </c>
      <c r="AQ659" s="9">
        <f t="shared" si="2059"/>
        <v>33.58554217</v>
      </c>
      <c r="AR659" s="9">
        <f t="shared" si="2059"/>
        <v>57.10481928</v>
      </c>
      <c r="AS659" s="9">
        <f t="shared" si="11"/>
        <v>90.69036145</v>
      </c>
      <c r="AT659" s="9">
        <f t="shared" ref="AT659:AV659" si="2060">AJ659/$AF659</f>
        <v>14.60361446</v>
      </c>
      <c r="AU659" s="9">
        <f t="shared" si="2060"/>
        <v>5.931325301</v>
      </c>
      <c r="AV659" s="9">
        <f t="shared" si="2060"/>
        <v>3.042168675</v>
      </c>
      <c r="AW659" s="9">
        <f t="shared" si="13"/>
        <v>8.973493976</v>
      </c>
      <c r="AX659" s="9">
        <f t="shared" ref="AX659:AY659" si="2061">AM659/$AF659</f>
        <v>1.253012048</v>
      </c>
      <c r="AY659" s="9">
        <f t="shared" si="2061"/>
        <v>0.4578313253</v>
      </c>
      <c r="AZ659" s="9">
        <f>VLOOKUP(A659,Jogos!A:BN,58,0)</f>
        <v>29.485</v>
      </c>
      <c r="BA659" s="9">
        <f>VLOOKUP(A659,Jogos!A:BN,59,0)</f>
        <v>20.69</v>
      </c>
      <c r="BB659" s="9">
        <f>VLOOKUP(A659,Jogos!A:BN,60,0)</f>
        <v>58.5</v>
      </c>
      <c r="BC659" s="9">
        <f>VLOOKUP(A659,Jogos!A:BN,61,0)</f>
        <v>29.52</v>
      </c>
      <c r="BD659" s="9">
        <f>VLOOKUP(A659,Jogos!A:BN,62,0)</f>
        <v>318.05</v>
      </c>
      <c r="BE659" s="9">
        <f>VLOOKUP(A659,Jogos!A:BN,63,0)</f>
        <v>0.67</v>
      </c>
      <c r="BF659" s="9">
        <f>VLOOKUP(A659,Jogos!A:BN,64,0)</f>
        <v>24.795</v>
      </c>
      <c r="BG659" s="9">
        <f>VLOOKUP(A659,Jogos!A:BN,65,0)</f>
        <v>44.785</v>
      </c>
      <c r="BH659" s="9">
        <f>VLOOKUP(A659,Jogos!A:BN,66,0)</f>
        <v>29.26</v>
      </c>
      <c r="BI659" s="9"/>
    </row>
    <row r="660" hidden="1">
      <c r="A660" s="2">
        <v>23.0</v>
      </c>
      <c r="B660" s="11" t="s">
        <v>375</v>
      </c>
      <c r="C660" s="2" t="s">
        <v>61</v>
      </c>
      <c r="D660" s="3">
        <v>45828.0</v>
      </c>
      <c r="E660" s="4">
        <v>0.7083333333333334</v>
      </c>
      <c r="F660" s="5" t="str">
        <f>VLOOKUP(A660,Jogos!A:N,10,0)</f>
        <v>Afternoon</v>
      </c>
      <c r="G660" s="2" t="s">
        <v>1130</v>
      </c>
      <c r="H660" s="6" t="str">
        <f>VLOOKUP(A660,Jogos!A:L,12,0)</f>
        <v>Open</v>
      </c>
      <c r="I660" s="6" t="str">
        <f>VLOOKUP(G660,'Estádios e Cidades'!A:B,2,0)</f>
        <v>Nashville</v>
      </c>
      <c r="J660" s="2" t="s">
        <v>378</v>
      </c>
      <c r="K660" s="2" t="str">
        <f>VLOOKUP(J660,Equipes!A:F,6,0)</f>
        <v>Temperate</v>
      </c>
      <c r="L660" s="2">
        <f>VLOOKUP(J660,Equipes!A:C,3,0)</f>
        <v>26</v>
      </c>
      <c r="M660" s="2" t="str">
        <f t="shared" si="4"/>
        <v>Group</v>
      </c>
      <c r="N660" s="2" t="s">
        <v>502</v>
      </c>
      <c r="O660" s="2">
        <f>VLOOKUP(N660,Equipes!A:C,3,0)</f>
        <v>21</v>
      </c>
      <c r="P660" s="2" t="str">
        <f t="shared" si="5"/>
        <v>Group</v>
      </c>
      <c r="Q660" s="2">
        <f t="shared" si="6"/>
        <v>5</v>
      </c>
      <c r="R660" s="2" t="str">
        <f>VLOOKUP(J660,Equipes!A:B,2,0)</f>
        <v>LAFC</v>
      </c>
      <c r="S660" s="6" t="s">
        <v>432</v>
      </c>
      <c r="T660" s="7">
        <v>9.0</v>
      </c>
      <c r="U660" s="7" t="s">
        <v>433</v>
      </c>
      <c r="V660" s="7" t="str">
        <f>VLOOKUP(U660,Jogadores!B:C,2,0)</f>
        <v>FW</v>
      </c>
      <c r="W660" s="8">
        <f>VLOOKUP(U660,Jogadores!B:D,3,0)</f>
        <v>38.85205479</v>
      </c>
      <c r="X660" s="7">
        <v>0.0</v>
      </c>
      <c r="Y660" s="7">
        <v>88.0</v>
      </c>
      <c r="Z660" s="7">
        <f>VLOOKUP(A660,Jogos!A:L,3,0)</f>
        <v>47</v>
      </c>
      <c r="AA660" s="7">
        <f t="shared" si="7"/>
        <v>47</v>
      </c>
      <c r="AB660" s="7">
        <f>VLOOKUP(A660,Jogos!A:L,4,0)</f>
        <v>57</v>
      </c>
      <c r="AC660" s="7">
        <f t="shared" si="2049"/>
        <v>43</v>
      </c>
      <c r="AD660" s="7"/>
      <c r="AE660" s="7"/>
      <c r="AF660" s="7">
        <f t="shared" si="9"/>
        <v>90</v>
      </c>
      <c r="AG660" s="7">
        <v>8941.8</v>
      </c>
      <c r="AH660" s="7">
        <v>4030.3</v>
      </c>
      <c r="AI660" s="7">
        <v>3295.4</v>
      </c>
      <c r="AJ660" s="7">
        <v>1054.9</v>
      </c>
      <c r="AK660" s="7">
        <v>513.0</v>
      </c>
      <c r="AL660" s="7">
        <v>48.1</v>
      </c>
      <c r="AM660" s="7">
        <v>98.0</v>
      </c>
      <c r="AN660" s="7">
        <v>38.0</v>
      </c>
      <c r="AO660" s="7">
        <v>29.6</v>
      </c>
      <c r="AP660" s="9">
        <f t="shared" ref="AP660:AR660" si="2062">AG660/$AF660</f>
        <v>99.35333333</v>
      </c>
      <c r="AQ660" s="9">
        <f t="shared" si="2062"/>
        <v>44.78111111</v>
      </c>
      <c r="AR660" s="9">
        <f t="shared" si="2062"/>
        <v>36.61555556</v>
      </c>
      <c r="AS660" s="9">
        <f t="shared" si="11"/>
        <v>81.39666667</v>
      </c>
      <c r="AT660" s="9">
        <f t="shared" ref="AT660:AV660" si="2063">AJ660/$AF660</f>
        <v>11.72111111</v>
      </c>
      <c r="AU660" s="9">
        <f t="shared" si="2063"/>
        <v>5.7</v>
      </c>
      <c r="AV660" s="9">
        <f t="shared" si="2063"/>
        <v>0.5344444444</v>
      </c>
      <c r="AW660" s="9">
        <f t="shared" si="13"/>
        <v>6.234444444</v>
      </c>
      <c r="AX660" s="9">
        <f t="shared" ref="AX660:AY660" si="2064">AM660/$AF660</f>
        <v>1.088888889</v>
      </c>
      <c r="AY660" s="9">
        <f t="shared" si="2064"/>
        <v>0.4222222222</v>
      </c>
      <c r="AZ660" s="9">
        <f>VLOOKUP(A660,Jogos!A:BN,58,0)</f>
        <v>29.485</v>
      </c>
      <c r="BA660" s="9">
        <f>VLOOKUP(A660,Jogos!A:BN,59,0)</f>
        <v>20.69</v>
      </c>
      <c r="BB660" s="9">
        <f>VLOOKUP(A660,Jogos!A:BN,60,0)</f>
        <v>58.5</v>
      </c>
      <c r="BC660" s="9">
        <f>VLOOKUP(A660,Jogos!A:BN,61,0)</f>
        <v>29.52</v>
      </c>
      <c r="BD660" s="9">
        <f>VLOOKUP(A660,Jogos!A:BN,62,0)</f>
        <v>318.05</v>
      </c>
      <c r="BE660" s="9">
        <f>VLOOKUP(A660,Jogos!A:BN,63,0)</f>
        <v>0.67</v>
      </c>
      <c r="BF660" s="9">
        <f>VLOOKUP(A660,Jogos!A:BN,64,0)</f>
        <v>24.795</v>
      </c>
      <c r="BG660" s="9">
        <f>VLOOKUP(A660,Jogos!A:BN,65,0)</f>
        <v>44.785</v>
      </c>
      <c r="BH660" s="9">
        <f>VLOOKUP(A660,Jogos!A:BN,66,0)</f>
        <v>29.26</v>
      </c>
      <c r="BI660" s="9"/>
    </row>
    <row r="661" hidden="1">
      <c r="A661" s="2">
        <v>23.0</v>
      </c>
      <c r="B661" s="11" t="s">
        <v>375</v>
      </c>
      <c r="C661" s="2" t="s">
        <v>61</v>
      </c>
      <c r="D661" s="3">
        <v>45828.0</v>
      </c>
      <c r="E661" s="4">
        <v>0.7083333333333334</v>
      </c>
      <c r="F661" s="5" t="str">
        <f>VLOOKUP(A661,Jogos!A:N,10,0)</f>
        <v>Afternoon</v>
      </c>
      <c r="G661" s="2" t="s">
        <v>1130</v>
      </c>
      <c r="H661" s="6" t="str">
        <f>VLOOKUP(A661,Jogos!A:L,12,0)</f>
        <v>Open</v>
      </c>
      <c r="I661" s="6" t="str">
        <f>VLOOKUP(G661,'Estádios e Cidades'!A:B,2,0)</f>
        <v>Nashville</v>
      </c>
      <c r="J661" s="2" t="s">
        <v>378</v>
      </c>
      <c r="K661" s="2" t="str">
        <f>VLOOKUP(J661,Equipes!A:F,6,0)</f>
        <v>Temperate</v>
      </c>
      <c r="L661" s="2">
        <f>VLOOKUP(J661,Equipes!A:C,3,0)</f>
        <v>26</v>
      </c>
      <c r="M661" s="2" t="str">
        <f t="shared" si="4"/>
        <v>Group</v>
      </c>
      <c r="N661" s="2" t="s">
        <v>502</v>
      </c>
      <c r="O661" s="2">
        <f>VLOOKUP(N661,Equipes!A:C,3,0)</f>
        <v>21</v>
      </c>
      <c r="P661" s="2" t="str">
        <f t="shared" si="5"/>
        <v>Group</v>
      </c>
      <c r="Q661" s="2">
        <f t="shared" si="6"/>
        <v>5</v>
      </c>
      <c r="R661" s="2" t="str">
        <f>VLOOKUP(J661,Equipes!A:B,2,0)</f>
        <v>LAFC</v>
      </c>
      <c r="S661" s="6" t="s">
        <v>416</v>
      </c>
      <c r="T661" s="7">
        <v>11.0</v>
      </c>
      <c r="U661" s="7" t="s">
        <v>417</v>
      </c>
      <c r="V661" s="7" t="str">
        <f>VLOOKUP(U661,Jogadores!B:C,2,0)</f>
        <v>MF</v>
      </c>
      <c r="W661" s="8">
        <f>VLOOKUP(U661,Jogadores!B:D,3,0)</f>
        <v>26.58082192</v>
      </c>
      <c r="X661" s="7">
        <v>0.0</v>
      </c>
      <c r="Y661" s="7">
        <v>81.0</v>
      </c>
      <c r="Z661" s="7">
        <f>VLOOKUP(A661,Jogos!A:L,3,0)</f>
        <v>47</v>
      </c>
      <c r="AA661" s="7">
        <f t="shared" si="7"/>
        <v>47</v>
      </c>
      <c r="AB661" s="7">
        <f>VLOOKUP(A661,Jogos!A:L,4,0)</f>
        <v>57</v>
      </c>
      <c r="AC661" s="7">
        <f t="shared" si="2049"/>
        <v>36</v>
      </c>
      <c r="AD661" s="7"/>
      <c r="AE661" s="7"/>
      <c r="AF661" s="7">
        <f t="shared" si="9"/>
        <v>83</v>
      </c>
      <c r="AG661" s="7">
        <v>8882.4</v>
      </c>
      <c r="AH661" s="7">
        <v>3512.9</v>
      </c>
      <c r="AI661" s="7">
        <v>3779.1</v>
      </c>
      <c r="AJ661" s="7">
        <v>1174.6</v>
      </c>
      <c r="AK661" s="7">
        <v>355.0</v>
      </c>
      <c r="AL661" s="7">
        <v>60.8</v>
      </c>
      <c r="AM661" s="7">
        <v>106.0</v>
      </c>
      <c r="AN661" s="7">
        <v>28.0</v>
      </c>
      <c r="AO661" s="7">
        <v>30.1</v>
      </c>
      <c r="AP661" s="9">
        <f t="shared" ref="AP661:AR661" si="2065">AG661/$AF661</f>
        <v>107.0168675</v>
      </c>
      <c r="AQ661" s="9">
        <f t="shared" si="2065"/>
        <v>42.32409639</v>
      </c>
      <c r="AR661" s="9">
        <f t="shared" si="2065"/>
        <v>45.5313253</v>
      </c>
      <c r="AS661" s="9">
        <f t="shared" si="11"/>
        <v>87.85542169</v>
      </c>
      <c r="AT661" s="9">
        <f t="shared" ref="AT661:AV661" si="2066">AJ661/$AF661</f>
        <v>14.15180723</v>
      </c>
      <c r="AU661" s="9">
        <f t="shared" si="2066"/>
        <v>4.277108434</v>
      </c>
      <c r="AV661" s="9">
        <f t="shared" si="2066"/>
        <v>0.7325301205</v>
      </c>
      <c r="AW661" s="9">
        <f t="shared" si="13"/>
        <v>5.009638554</v>
      </c>
      <c r="AX661" s="9">
        <f t="shared" ref="AX661:AY661" si="2067">AM661/$AF661</f>
        <v>1.277108434</v>
      </c>
      <c r="AY661" s="9">
        <f t="shared" si="2067"/>
        <v>0.3373493976</v>
      </c>
      <c r="AZ661" s="9">
        <f>VLOOKUP(A661,Jogos!A:BN,58,0)</f>
        <v>29.485</v>
      </c>
      <c r="BA661" s="9">
        <f>VLOOKUP(A661,Jogos!A:BN,59,0)</f>
        <v>20.69</v>
      </c>
      <c r="BB661" s="9">
        <f>VLOOKUP(A661,Jogos!A:BN,60,0)</f>
        <v>58.5</v>
      </c>
      <c r="BC661" s="9">
        <f>VLOOKUP(A661,Jogos!A:BN,61,0)</f>
        <v>29.52</v>
      </c>
      <c r="BD661" s="9">
        <f>VLOOKUP(A661,Jogos!A:BN,62,0)</f>
        <v>318.05</v>
      </c>
      <c r="BE661" s="9">
        <f>VLOOKUP(A661,Jogos!A:BN,63,0)</f>
        <v>0.67</v>
      </c>
      <c r="BF661" s="9">
        <f>VLOOKUP(A661,Jogos!A:BN,64,0)</f>
        <v>24.795</v>
      </c>
      <c r="BG661" s="9">
        <f>VLOOKUP(A661,Jogos!A:BN,65,0)</f>
        <v>44.785</v>
      </c>
      <c r="BH661" s="9">
        <f>VLOOKUP(A661,Jogos!A:BN,66,0)</f>
        <v>29.26</v>
      </c>
      <c r="BI661" s="9"/>
    </row>
    <row r="662" hidden="1">
      <c r="A662" s="2">
        <v>23.0</v>
      </c>
      <c r="B662" s="11" t="s">
        <v>375</v>
      </c>
      <c r="C662" s="2" t="s">
        <v>61</v>
      </c>
      <c r="D662" s="3">
        <v>45828.0</v>
      </c>
      <c r="E662" s="4">
        <v>0.7083333333333334</v>
      </c>
      <c r="F662" s="5" t="str">
        <f>VLOOKUP(A662,Jogos!A:N,10,0)</f>
        <v>Afternoon</v>
      </c>
      <c r="G662" s="2" t="s">
        <v>1130</v>
      </c>
      <c r="H662" s="6" t="str">
        <f>VLOOKUP(A662,Jogos!A:L,12,0)</f>
        <v>Open</v>
      </c>
      <c r="I662" s="6" t="str">
        <f>VLOOKUP(G662,'Estádios e Cidades'!A:B,2,0)</f>
        <v>Nashville</v>
      </c>
      <c r="J662" s="2" t="s">
        <v>378</v>
      </c>
      <c r="K662" s="2" t="str">
        <f>VLOOKUP(J662,Equipes!A:F,6,0)</f>
        <v>Temperate</v>
      </c>
      <c r="L662" s="2">
        <f>VLOOKUP(J662,Equipes!A:C,3,0)</f>
        <v>26</v>
      </c>
      <c r="M662" s="2" t="str">
        <f t="shared" si="4"/>
        <v>Group</v>
      </c>
      <c r="N662" s="2" t="s">
        <v>502</v>
      </c>
      <c r="O662" s="2">
        <f>VLOOKUP(N662,Equipes!A:C,3,0)</f>
        <v>21</v>
      </c>
      <c r="P662" s="2" t="str">
        <f t="shared" si="5"/>
        <v>Group</v>
      </c>
      <c r="Q662" s="2">
        <f t="shared" si="6"/>
        <v>5</v>
      </c>
      <c r="R662" s="2" t="str">
        <f>VLOOKUP(J662,Equipes!A:B,2,0)</f>
        <v>LAFC</v>
      </c>
      <c r="S662" s="6" t="s">
        <v>418</v>
      </c>
      <c r="T662" s="7">
        <v>14.0</v>
      </c>
      <c r="U662" s="7" t="s">
        <v>419</v>
      </c>
      <c r="V662" s="7" t="str">
        <f>VLOOKUP(U662,Jogadores!B:C,2,0)</f>
        <v>DF</v>
      </c>
      <c r="W662" s="8">
        <f>VLOOKUP(U662,Jogadores!B:D,3,0)</f>
        <v>29.36712329</v>
      </c>
      <c r="X662" s="7">
        <v>0.0</v>
      </c>
      <c r="Y662" s="7">
        <f>45+AB662</f>
        <v>102</v>
      </c>
      <c r="Z662" s="7">
        <f>VLOOKUP(A662,Jogos!A:L,3,0)</f>
        <v>47</v>
      </c>
      <c r="AA662" s="7">
        <f t="shared" si="7"/>
        <v>47</v>
      </c>
      <c r="AB662" s="7">
        <f>VLOOKUP(A662,Jogos!A:L,4,0)</f>
        <v>57</v>
      </c>
      <c r="AC662" s="7">
        <f t="shared" si="2049"/>
        <v>57</v>
      </c>
      <c r="AD662" s="7"/>
      <c r="AE662" s="7"/>
      <c r="AF662" s="7">
        <f t="shared" si="9"/>
        <v>104</v>
      </c>
      <c r="AG662" s="7">
        <v>10260.4</v>
      </c>
      <c r="AH662" s="7">
        <v>4117.6</v>
      </c>
      <c r="AI662" s="7">
        <v>4381.7</v>
      </c>
      <c r="AJ662" s="7">
        <v>1186.2</v>
      </c>
      <c r="AK662" s="7">
        <v>414.7</v>
      </c>
      <c r="AL662" s="7">
        <v>160.3</v>
      </c>
      <c r="AM662" s="7">
        <v>107.0</v>
      </c>
      <c r="AN662" s="7">
        <v>32.0</v>
      </c>
      <c r="AO662" s="7">
        <v>28.8</v>
      </c>
      <c r="AP662" s="9">
        <f t="shared" ref="AP662:AR662" si="2068">AG662/$AF662</f>
        <v>98.65769231</v>
      </c>
      <c r="AQ662" s="9">
        <f t="shared" si="2068"/>
        <v>39.59230769</v>
      </c>
      <c r="AR662" s="9">
        <f t="shared" si="2068"/>
        <v>42.13173077</v>
      </c>
      <c r="AS662" s="9">
        <f t="shared" si="11"/>
        <v>81.72403846</v>
      </c>
      <c r="AT662" s="9">
        <f t="shared" ref="AT662:AV662" si="2069">AJ662/$AF662</f>
        <v>11.40576923</v>
      </c>
      <c r="AU662" s="9">
        <f t="shared" si="2069"/>
        <v>3.9875</v>
      </c>
      <c r="AV662" s="9">
        <f t="shared" si="2069"/>
        <v>1.541346154</v>
      </c>
      <c r="AW662" s="9">
        <f t="shared" si="13"/>
        <v>5.528846154</v>
      </c>
      <c r="AX662" s="9">
        <f t="shared" ref="AX662:AY662" si="2070">AM662/$AF662</f>
        <v>1.028846154</v>
      </c>
      <c r="AY662" s="9">
        <f t="shared" si="2070"/>
        <v>0.3076923077</v>
      </c>
      <c r="AZ662" s="9">
        <f>VLOOKUP(A662,Jogos!A:BN,58,0)</f>
        <v>29.485</v>
      </c>
      <c r="BA662" s="9">
        <f>VLOOKUP(A662,Jogos!A:BN,59,0)</f>
        <v>20.69</v>
      </c>
      <c r="BB662" s="9">
        <f>VLOOKUP(A662,Jogos!A:BN,60,0)</f>
        <v>58.5</v>
      </c>
      <c r="BC662" s="9">
        <f>VLOOKUP(A662,Jogos!A:BN,61,0)</f>
        <v>29.52</v>
      </c>
      <c r="BD662" s="9">
        <f>VLOOKUP(A662,Jogos!A:BN,62,0)</f>
        <v>318.05</v>
      </c>
      <c r="BE662" s="9">
        <f>VLOOKUP(A662,Jogos!A:BN,63,0)</f>
        <v>0.67</v>
      </c>
      <c r="BF662" s="9">
        <f>VLOOKUP(A662,Jogos!A:BN,64,0)</f>
        <v>24.795</v>
      </c>
      <c r="BG662" s="9">
        <f>VLOOKUP(A662,Jogos!A:BN,65,0)</f>
        <v>44.785</v>
      </c>
      <c r="BH662" s="9">
        <f>VLOOKUP(A662,Jogos!A:BN,66,0)</f>
        <v>29.26</v>
      </c>
      <c r="BI662" s="9"/>
    </row>
    <row r="663" hidden="1">
      <c r="A663" s="2">
        <v>23.0</v>
      </c>
      <c r="B663" s="11" t="s">
        <v>375</v>
      </c>
      <c r="C663" s="2" t="s">
        <v>61</v>
      </c>
      <c r="D663" s="3">
        <v>45828.0</v>
      </c>
      <c r="E663" s="4">
        <v>0.7083333333333334</v>
      </c>
      <c r="F663" s="5" t="str">
        <f>VLOOKUP(A663,Jogos!A:N,10,0)</f>
        <v>Afternoon</v>
      </c>
      <c r="G663" s="2" t="s">
        <v>1130</v>
      </c>
      <c r="H663" s="6" t="str">
        <f>VLOOKUP(A663,Jogos!A:L,12,0)</f>
        <v>Open</v>
      </c>
      <c r="I663" s="6" t="str">
        <f>VLOOKUP(G663,'Estádios e Cidades'!A:B,2,0)</f>
        <v>Nashville</v>
      </c>
      <c r="J663" s="2" t="s">
        <v>378</v>
      </c>
      <c r="K663" s="2" t="str">
        <f>VLOOKUP(J663,Equipes!A:F,6,0)</f>
        <v>Temperate</v>
      </c>
      <c r="L663" s="2">
        <f>VLOOKUP(J663,Equipes!A:C,3,0)</f>
        <v>26</v>
      </c>
      <c r="M663" s="2" t="str">
        <f t="shared" si="4"/>
        <v>Group</v>
      </c>
      <c r="N663" s="2" t="s">
        <v>502</v>
      </c>
      <c r="O663" s="2">
        <f>VLOOKUP(N663,Equipes!A:C,3,0)</f>
        <v>21</v>
      </c>
      <c r="P663" s="2" t="str">
        <f t="shared" si="5"/>
        <v>Group</v>
      </c>
      <c r="Q663" s="2">
        <f t="shared" si="6"/>
        <v>5</v>
      </c>
      <c r="R663" s="2" t="str">
        <f>VLOOKUP(J663,Equipes!A:B,2,0)</f>
        <v>LAFC</v>
      </c>
      <c r="S663" s="6" t="s">
        <v>422</v>
      </c>
      <c r="T663" s="7">
        <v>24.0</v>
      </c>
      <c r="U663" s="7" t="s">
        <v>423</v>
      </c>
      <c r="V663" s="7" t="str">
        <f>VLOOKUP(U663,Jogadores!B:C,2,0)</f>
        <v>DF</v>
      </c>
      <c r="W663" s="8">
        <f>VLOOKUP(U663,Jogadores!B:D,3,0)</f>
        <v>34.30684932</v>
      </c>
      <c r="X663" s="7">
        <v>0.0</v>
      </c>
      <c r="Y663" s="7">
        <v>81.0</v>
      </c>
      <c r="Z663" s="7">
        <f>VLOOKUP(A663,Jogos!A:L,3,0)</f>
        <v>47</v>
      </c>
      <c r="AA663" s="7">
        <f t="shared" si="7"/>
        <v>47</v>
      </c>
      <c r="AB663" s="7">
        <f>VLOOKUP(A663,Jogos!A:L,4,0)</f>
        <v>57</v>
      </c>
      <c r="AC663" s="7">
        <f t="shared" si="2049"/>
        <v>36</v>
      </c>
      <c r="AD663" s="7"/>
      <c r="AE663" s="7"/>
      <c r="AF663" s="7">
        <f t="shared" si="9"/>
        <v>83</v>
      </c>
      <c r="AG663" s="7">
        <v>8637.0</v>
      </c>
      <c r="AH663" s="7">
        <v>3243.9</v>
      </c>
      <c r="AI663" s="7">
        <v>3815.1</v>
      </c>
      <c r="AJ663" s="7">
        <v>1072.4</v>
      </c>
      <c r="AK663" s="7">
        <v>350.3</v>
      </c>
      <c r="AL663" s="7">
        <v>155.3</v>
      </c>
      <c r="AM663" s="7">
        <v>93.0</v>
      </c>
      <c r="AN663" s="7">
        <v>33.0</v>
      </c>
      <c r="AO663" s="7">
        <v>31.9</v>
      </c>
      <c r="AP663" s="9">
        <f t="shared" ref="AP663:AR663" si="2071">AG663/$AF663</f>
        <v>104.060241</v>
      </c>
      <c r="AQ663" s="9">
        <f t="shared" si="2071"/>
        <v>39.08313253</v>
      </c>
      <c r="AR663" s="9">
        <f t="shared" si="2071"/>
        <v>45.96506024</v>
      </c>
      <c r="AS663" s="9">
        <f t="shared" si="11"/>
        <v>85.04819277</v>
      </c>
      <c r="AT663" s="9">
        <f t="shared" ref="AT663:AV663" si="2072">AJ663/$AF663</f>
        <v>12.92048193</v>
      </c>
      <c r="AU663" s="9">
        <f t="shared" si="2072"/>
        <v>4.220481928</v>
      </c>
      <c r="AV663" s="9">
        <f t="shared" si="2072"/>
        <v>1.871084337</v>
      </c>
      <c r="AW663" s="9">
        <f t="shared" si="13"/>
        <v>6.091566265</v>
      </c>
      <c r="AX663" s="9">
        <f t="shared" ref="AX663:AY663" si="2073">AM663/$AF663</f>
        <v>1.120481928</v>
      </c>
      <c r="AY663" s="9">
        <f t="shared" si="2073"/>
        <v>0.3975903614</v>
      </c>
      <c r="AZ663" s="9">
        <f>VLOOKUP(A663,Jogos!A:BN,58,0)</f>
        <v>29.485</v>
      </c>
      <c r="BA663" s="9">
        <f>VLOOKUP(A663,Jogos!A:BN,59,0)</f>
        <v>20.69</v>
      </c>
      <c r="BB663" s="9">
        <f>VLOOKUP(A663,Jogos!A:BN,60,0)</f>
        <v>58.5</v>
      </c>
      <c r="BC663" s="9">
        <f>VLOOKUP(A663,Jogos!A:BN,61,0)</f>
        <v>29.52</v>
      </c>
      <c r="BD663" s="9">
        <f>VLOOKUP(A663,Jogos!A:BN,62,0)</f>
        <v>318.05</v>
      </c>
      <c r="BE663" s="9">
        <f>VLOOKUP(A663,Jogos!A:BN,63,0)</f>
        <v>0.67</v>
      </c>
      <c r="BF663" s="9">
        <f>VLOOKUP(A663,Jogos!A:BN,64,0)</f>
        <v>24.795</v>
      </c>
      <c r="BG663" s="9">
        <f>VLOOKUP(A663,Jogos!A:BN,65,0)</f>
        <v>44.785</v>
      </c>
      <c r="BH663" s="9">
        <f>VLOOKUP(A663,Jogos!A:BN,66,0)</f>
        <v>29.26</v>
      </c>
      <c r="BI663" s="9"/>
    </row>
    <row r="664" hidden="1">
      <c r="A664" s="2">
        <v>23.0</v>
      </c>
      <c r="B664" s="11" t="s">
        <v>375</v>
      </c>
      <c r="C664" s="2" t="s">
        <v>61</v>
      </c>
      <c r="D664" s="3">
        <v>45828.0</v>
      </c>
      <c r="E664" s="4">
        <v>0.7083333333333334</v>
      </c>
      <c r="F664" s="5" t="str">
        <f>VLOOKUP(A664,Jogos!A:N,10,0)</f>
        <v>Afternoon</v>
      </c>
      <c r="G664" s="2" t="s">
        <v>1130</v>
      </c>
      <c r="H664" s="6" t="str">
        <f>VLOOKUP(A664,Jogos!A:L,12,0)</f>
        <v>Open</v>
      </c>
      <c r="I664" s="6" t="str">
        <f>VLOOKUP(G664,'Estádios e Cidades'!A:B,2,0)</f>
        <v>Nashville</v>
      </c>
      <c r="J664" s="2" t="s">
        <v>378</v>
      </c>
      <c r="K664" s="2" t="str">
        <f>VLOOKUP(J664,Equipes!A:F,6,0)</f>
        <v>Temperate</v>
      </c>
      <c r="L664" s="2">
        <f>VLOOKUP(J664,Equipes!A:C,3,0)</f>
        <v>26</v>
      </c>
      <c r="M664" s="2" t="str">
        <f t="shared" si="4"/>
        <v>Group</v>
      </c>
      <c r="N664" s="2" t="s">
        <v>502</v>
      </c>
      <c r="O664" s="2">
        <f>VLOOKUP(N664,Equipes!A:C,3,0)</f>
        <v>21</v>
      </c>
      <c r="P664" s="2" t="str">
        <f t="shared" si="5"/>
        <v>Group</v>
      </c>
      <c r="Q664" s="2">
        <f t="shared" si="6"/>
        <v>5</v>
      </c>
      <c r="R664" s="2" t="str">
        <f>VLOOKUP(J664,Equipes!A:B,2,0)</f>
        <v>LAFC</v>
      </c>
      <c r="S664" s="6" t="s">
        <v>438</v>
      </c>
      <c r="T664" s="7">
        <v>30.0</v>
      </c>
      <c r="U664" s="7" t="s">
        <v>439</v>
      </c>
      <c r="V664" s="7" t="str">
        <f>VLOOKUP(U664,Jogadores!B:C,2,0)</f>
        <v>FW</v>
      </c>
      <c r="W664" s="8">
        <f>VLOOKUP(U664,Jogadores!B:D,3,0)</f>
        <v>19.08493151</v>
      </c>
      <c r="X664" s="7">
        <v>0.0</v>
      </c>
      <c r="Y664" s="7">
        <v>45.0</v>
      </c>
      <c r="Z664" s="7">
        <f>VLOOKUP(A664,Jogos!A:L,3,0)</f>
        <v>47</v>
      </c>
      <c r="AA664" s="7">
        <f t="shared" si="7"/>
        <v>47</v>
      </c>
      <c r="AB664" s="7">
        <f>VLOOKUP(A664,Jogos!A:L,4,0)</f>
        <v>57</v>
      </c>
      <c r="AC664" s="7">
        <f t="shared" si="2049"/>
        <v>0</v>
      </c>
      <c r="AD664" s="7"/>
      <c r="AE664" s="7"/>
      <c r="AF664" s="7">
        <f t="shared" si="9"/>
        <v>47</v>
      </c>
      <c r="AG664" s="7">
        <v>4960.4</v>
      </c>
      <c r="AH664" s="7">
        <v>1970.3</v>
      </c>
      <c r="AI664" s="7">
        <v>2004.4</v>
      </c>
      <c r="AJ664" s="7">
        <v>630.1</v>
      </c>
      <c r="AK664" s="7">
        <v>215.9</v>
      </c>
      <c r="AL664" s="7">
        <v>139.8</v>
      </c>
      <c r="AM664" s="7">
        <v>45.0</v>
      </c>
      <c r="AN664" s="7">
        <v>23.0</v>
      </c>
      <c r="AO664" s="7">
        <v>32.8</v>
      </c>
      <c r="AP664" s="9">
        <f t="shared" ref="AP664:AR664" si="2074">AG664/$AF664</f>
        <v>105.5404255</v>
      </c>
      <c r="AQ664" s="9">
        <f t="shared" si="2074"/>
        <v>41.9212766</v>
      </c>
      <c r="AR664" s="9">
        <f t="shared" si="2074"/>
        <v>42.64680851</v>
      </c>
      <c r="AS664" s="9">
        <f t="shared" si="11"/>
        <v>84.56808511</v>
      </c>
      <c r="AT664" s="9">
        <f t="shared" ref="AT664:AV664" si="2075">AJ664/$AF664</f>
        <v>13.40638298</v>
      </c>
      <c r="AU664" s="9">
        <f t="shared" si="2075"/>
        <v>4.593617021</v>
      </c>
      <c r="AV664" s="9">
        <f t="shared" si="2075"/>
        <v>2.974468085</v>
      </c>
      <c r="AW664" s="9">
        <f t="shared" si="13"/>
        <v>7.568085106</v>
      </c>
      <c r="AX664" s="9">
        <f t="shared" ref="AX664:AY664" si="2076">AM664/$AF664</f>
        <v>0.9574468085</v>
      </c>
      <c r="AY664" s="9">
        <f t="shared" si="2076"/>
        <v>0.4893617021</v>
      </c>
      <c r="AZ664" s="9">
        <f>VLOOKUP(A664,Jogos!A:BN,58,0)</f>
        <v>29.485</v>
      </c>
      <c r="BA664" s="9">
        <f>VLOOKUP(A664,Jogos!A:BN,59,0)</f>
        <v>20.69</v>
      </c>
      <c r="BB664" s="9">
        <f>VLOOKUP(A664,Jogos!A:BN,60,0)</f>
        <v>58.5</v>
      </c>
      <c r="BC664" s="9">
        <f>VLOOKUP(A664,Jogos!A:BN,61,0)</f>
        <v>29.52</v>
      </c>
      <c r="BD664" s="9">
        <f>VLOOKUP(A664,Jogos!A:BN,62,0)</f>
        <v>318.05</v>
      </c>
      <c r="BE664" s="9">
        <f>VLOOKUP(A664,Jogos!A:BN,63,0)</f>
        <v>0.67</v>
      </c>
      <c r="BF664" s="9">
        <f>VLOOKUP(A664,Jogos!A:BN,64,0)</f>
        <v>24.795</v>
      </c>
      <c r="BG664" s="9">
        <f>VLOOKUP(A664,Jogos!A:BN,65,0)</f>
        <v>44.785</v>
      </c>
      <c r="BH664" s="9">
        <f>VLOOKUP(A664,Jogos!A:BN,66,0)</f>
        <v>29.26</v>
      </c>
      <c r="BI664" s="9"/>
    </row>
    <row r="665" hidden="1">
      <c r="A665" s="2">
        <v>23.0</v>
      </c>
      <c r="B665" s="11" t="s">
        <v>375</v>
      </c>
      <c r="C665" s="2" t="s">
        <v>61</v>
      </c>
      <c r="D665" s="3">
        <v>45828.0</v>
      </c>
      <c r="E665" s="4">
        <v>0.7083333333333334</v>
      </c>
      <c r="F665" s="5" t="str">
        <f>VLOOKUP(A665,Jogos!A:N,10,0)</f>
        <v>Afternoon</v>
      </c>
      <c r="G665" s="2" t="s">
        <v>1130</v>
      </c>
      <c r="H665" s="6" t="str">
        <f>VLOOKUP(A665,Jogos!A:L,12,0)</f>
        <v>Open</v>
      </c>
      <c r="I665" s="6" t="str">
        <f>VLOOKUP(G665,'Estádios e Cidades'!A:B,2,0)</f>
        <v>Nashville</v>
      </c>
      <c r="J665" s="2" t="s">
        <v>378</v>
      </c>
      <c r="K665" s="2" t="str">
        <f>VLOOKUP(J665,Equipes!A:F,6,0)</f>
        <v>Temperate</v>
      </c>
      <c r="L665" s="2">
        <f>VLOOKUP(J665,Equipes!A:C,3,0)</f>
        <v>26</v>
      </c>
      <c r="M665" s="2" t="str">
        <f t="shared" si="4"/>
        <v>Group</v>
      </c>
      <c r="N665" s="2" t="s">
        <v>502</v>
      </c>
      <c r="O665" s="2">
        <f>VLOOKUP(N665,Equipes!A:C,3,0)</f>
        <v>21</v>
      </c>
      <c r="P665" s="2" t="str">
        <f t="shared" si="5"/>
        <v>Group</v>
      </c>
      <c r="Q665" s="2">
        <f t="shared" si="6"/>
        <v>5</v>
      </c>
      <c r="R665" s="2" t="str">
        <f>VLOOKUP(J665,Equipes!A:B,2,0)</f>
        <v>LAFC</v>
      </c>
      <c r="S665" s="6" t="s">
        <v>426</v>
      </c>
      <c r="T665" s="7">
        <v>33.0</v>
      </c>
      <c r="U665" s="7" t="s">
        <v>427</v>
      </c>
      <c r="V665" s="7" t="str">
        <f>VLOOKUP(U665,Jogadores!B:C,2,0)</f>
        <v>DF</v>
      </c>
      <c r="W665" s="8">
        <f>VLOOKUP(U665,Jogadores!B:D,3,0)</f>
        <v>32.81369863</v>
      </c>
      <c r="X665" s="7">
        <v>0.0</v>
      </c>
      <c r="Y665" s="7">
        <f t="shared" ref="Y665:Y673" si="2080">45+AB665</f>
        <v>102</v>
      </c>
      <c r="Z665" s="7">
        <f>VLOOKUP(A665,Jogos!A:L,3,0)</f>
        <v>47</v>
      </c>
      <c r="AA665" s="7">
        <f t="shared" si="7"/>
        <v>47</v>
      </c>
      <c r="AB665" s="7">
        <f>VLOOKUP(A665,Jogos!A:L,4,0)</f>
        <v>57</v>
      </c>
      <c r="AC665" s="7">
        <f t="shared" si="2049"/>
        <v>57</v>
      </c>
      <c r="AD665" s="7"/>
      <c r="AE665" s="7"/>
      <c r="AF665" s="7">
        <f t="shared" si="9"/>
        <v>104</v>
      </c>
      <c r="AG665" s="7">
        <v>9293.1</v>
      </c>
      <c r="AH665" s="7">
        <v>4546.6</v>
      </c>
      <c r="AI665" s="7">
        <v>3553.3</v>
      </c>
      <c r="AJ665" s="7">
        <v>773.7</v>
      </c>
      <c r="AK665" s="7">
        <v>356.9</v>
      </c>
      <c r="AL665" s="7">
        <v>62.5</v>
      </c>
      <c r="AM665" s="7">
        <v>70.0</v>
      </c>
      <c r="AN665" s="7">
        <v>30.0</v>
      </c>
      <c r="AO665" s="7">
        <v>30.0</v>
      </c>
      <c r="AP665" s="9">
        <f t="shared" ref="AP665:AR665" si="2077">AG665/$AF665</f>
        <v>89.35673077</v>
      </c>
      <c r="AQ665" s="9">
        <f t="shared" si="2077"/>
        <v>43.71730769</v>
      </c>
      <c r="AR665" s="9">
        <f t="shared" si="2077"/>
        <v>34.16634615</v>
      </c>
      <c r="AS665" s="9">
        <f t="shared" si="11"/>
        <v>77.88365385</v>
      </c>
      <c r="AT665" s="9">
        <f t="shared" ref="AT665:AV665" si="2078">AJ665/$AF665</f>
        <v>7.439423077</v>
      </c>
      <c r="AU665" s="9">
        <f t="shared" si="2078"/>
        <v>3.431730769</v>
      </c>
      <c r="AV665" s="9">
        <f t="shared" si="2078"/>
        <v>0.6009615385</v>
      </c>
      <c r="AW665" s="9">
        <f t="shared" si="13"/>
        <v>4.032692308</v>
      </c>
      <c r="AX665" s="9">
        <f t="shared" ref="AX665:AY665" si="2079">AM665/$AF665</f>
        <v>0.6730769231</v>
      </c>
      <c r="AY665" s="9">
        <f t="shared" si="2079"/>
        <v>0.2884615385</v>
      </c>
      <c r="AZ665" s="9">
        <f>VLOOKUP(A665,Jogos!A:BN,58,0)</f>
        <v>29.485</v>
      </c>
      <c r="BA665" s="9">
        <f>VLOOKUP(A665,Jogos!A:BN,59,0)</f>
        <v>20.69</v>
      </c>
      <c r="BB665" s="9">
        <f>VLOOKUP(A665,Jogos!A:BN,60,0)</f>
        <v>58.5</v>
      </c>
      <c r="BC665" s="9">
        <f>VLOOKUP(A665,Jogos!A:BN,61,0)</f>
        <v>29.52</v>
      </c>
      <c r="BD665" s="9">
        <f>VLOOKUP(A665,Jogos!A:BN,62,0)</f>
        <v>318.05</v>
      </c>
      <c r="BE665" s="9">
        <f>VLOOKUP(A665,Jogos!A:BN,63,0)</f>
        <v>0.67</v>
      </c>
      <c r="BF665" s="9">
        <f>VLOOKUP(A665,Jogos!A:BN,64,0)</f>
        <v>24.795</v>
      </c>
      <c r="BG665" s="9">
        <f>VLOOKUP(A665,Jogos!A:BN,65,0)</f>
        <v>44.785</v>
      </c>
      <c r="BH665" s="9">
        <f>VLOOKUP(A665,Jogos!A:BN,66,0)</f>
        <v>29.26</v>
      </c>
      <c r="BI665" s="9"/>
    </row>
    <row r="666" hidden="1">
      <c r="A666" s="2">
        <v>23.0</v>
      </c>
      <c r="B666" s="11" t="s">
        <v>375</v>
      </c>
      <c r="C666" s="2" t="s">
        <v>61</v>
      </c>
      <c r="D666" s="3">
        <v>45828.0</v>
      </c>
      <c r="E666" s="4">
        <v>0.7083333333333334</v>
      </c>
      <c r="F666" s="5" t="str">
        <f>VLOOKUP(A666,Jogos!A:N,10,0)</f>
        <v>Afternoon</v>
      </c>
      <c r="G666" s="2" t="s">
        <v>1130</v>
      </c>
      <c r="H666" s="6" t="str">
        <f>VLOOKUP(A666,Jogos!A:L,12,0)</f>
        <v>Open</v>
      </c>
      <c r="I666" s="6" t="str">
        <f>VLOOKUP(G666,'Estádios e Cidades'!A:B,2,0)</f>
        <v>Nashville</v>
      </c>
      <c r="J666" s="2" t="s">
        <v>378</v>
      </c>
      <c r="K666" s="2" t="str">
        <f>VLOOKUP(J666,Equipes!A:F,6,0)</f>
        <v>Temperate</v>
      </c>
      <c r="L666" s="2">
        <f>VLOOKUP(J666,Equipes!A:C,3,0)</f>
        <v>26</v>
      </c>
      <c r="M666" s="2" t="str">
        <f t="shared" si="4"/>
        <v>Group</v>
      </c>
      <c r="N666" s="2" t="s">
        <v>502</v>
      </c>
      <c r="O666" s="2">
        <f>VLOOKUP(N666,Equipes!A:C,3,0)</f>
        <v>21</v>
      </c>
      <c r="P666" s="2" t="str">
        <f t="shared" si="5"/>
        <v>Group</v>
      </c>
      <c r="Q666" s="2">
        <f t="shared" si="6"/>
        <v>5</v>
      </c>
      <c r="R666" s="2" t="str">
        <f>VLOOKUP(J666,Equipes!A:B,2,0)</f>
        <v>LAFC</v>
      </c>
      <c r="S666" s="6" t="s">
        <v>428</v>
      </c>
      <c r="T666" s="7">
        <v>99.0</v>
      </c>
      <c r="U666" s="7" t="s">
        <v>429</v>
      </c>
      <c r="V666" s="7" t="str">
        <f>VLOOKUP(U666,Jogadores!B:C,2,0)</f>
        <v>FW</v>
      </c>
      <c r="W666" s="8">
        <f>VLOOKUP(U666,Jogadores!B:D,3,0)</f>
        <v>30.73150685</v>
      </c>
      <c r="X666" s="7">
        <v>0.0</v>
      </c>
      <c r="Y666" s="7">
        <f t="shared" si="2080"/>
        <v>102</v>
      </c>
      <c r="Z666" s="7">
        <f>VLOOKUP(A666,Jogos!A:L,3,0)</f>
        <v>47</v>
      </c>
      <c r="AA666" s="7">
        <f t="shared" si="7"/>
        <v>47</v>
      </c>
      <c r="AB666" s="7">
        <f>VLOOKUP(A666,Jogos!A:L,4,0)</f>
        <v>57</v>
      </c>
      <c r="AC666" s="7">
        <f t="shared" si="2049"/>
        <v>57</v>
      </c>
      <c r="AD666" s="7"/>
      <c r="AE666" s="7"/>
      <c r="AF666" s="7">
        <f t="shared" si="9"/>
        <v>104</v>
      </c>
      <c r="AG666" s="7">
        <v>10133.7</v>
      </c>
      <c r="AH666" s="7">
        <v>4856.4</v>
      </c>
      <c r="AI666" s="7">
        <v>3632.3</v>
      </c>
      <c r="AJ666" s="7">
        <v>881.6</v>
      </c>
      <c r="AK666" s="7">
        <v>441.5</v>
      </c>
      <c r="AL666" s="7">
        <v>321.9</v>
      </c>
      <c r="AM666" s="7">
        <v>70.0</v>
      </c>
      <c r="AN666" s="7">
        <v>43.0</v>
      </c>
      <c r="AO666" s="7">
        <v>33.0</v>
      </c>
      <c r="AP666" s="9">
        <f t="shared" ref="AP666:AR666" si="2081">AG666/$AF666</f>
        <v>97.43942308</v>
      </c>
      <c r="AQ666" s="9">
        <f t="shared" si="2081"/>
        <v>46.69615385</v>
      </c>
      <c r="AR666" s="9">
        <f t="shared" si="2081"/>
        <v>34.92596154</v>
      </c>
      <c r="AS666" s="9">
        <f t="shared" si="11"/>
        <v>81.62211538</v>
      </c>
      <c r="AT666" s="9">
        <f t="shared" ref="AT666:AV666" si="2082">AJ666/$AF666</f>
        <v>8.476923077</v>
      </c>
      <c r="AU666" s="9">
        <f t="shared" si="2082"/>
        <v>4.245192308</v>
      </c>
      <c r="AV666" s="9">
        <f t="shared" si="2082"/>
        <v>3.095192308</v>
      </c>
      <c r="AW666" s="9">
        <f t="shared" si="13"/>
        <v>7.340384615</v>
      </c>
      <c r="AX666" s="9">
        <f t="shared" ref="AX666:AY666" si="2083">AM666/$AF666</f>
        <v>0.6730769231</v>
      </c>
      <c r="AY666" s="9">
        <f t="shared" si="2083"/>
        <v>0.4134615385</v>
      </c>
      <c r="AZ666" s="9">
        <f>VLOOKUP(A666,Jogos!A:BN,58,0)</f>
        <v>29.485</v>
      </c>
      <c r="BA666" s="9">
        <f>VLOOKUP(A666,Jogos!A:BN,59,0)</f>
        <v>20.69</v>
      </c>
      <c r="BB666" s="9">
        <f>VLOOKUP(A666,Jogos!A:BN,60,0)</f>
        <v>58.5</v>
      </c>
      <c r="BC666" s="9">
        <f>VLOOKUP(A666,Jogos!A:BN,61,0)</f>
        <v>29.52</v>
      </c>
      <c r="BD666" s="9">
        <f>VLOOKUP(A666,Jogos!A:BN,62,0)</f>
        <v>318.05</v>
      </c>
      <c r="BE666" s="9">
        <f>VLOOKUP(A666,Jogos!A:BN,63,0)</f>
        <v>0.67</v>
      </c>
      <c r="BF666" s="9">
        <f>VLOOKUP(A666,Jogos!A:BN,64,0)</f>
        <v>24.795</v>
      </c>
      <c r="BG666" s="9">
        <f>VLOOKUP(A666,Jogos!A:BN,65,0)</f>
        <v>44.785</v>
      </c>
      <c r="BH666" s="9">
        <f>VLOOKUP(A666,Jogos!A:BN,66,0)</f>
        <v>29.26</v>
      </c>
      <c r="BI666" s="9"/>
    </row>
    <row r="667" hidden="1">
      <c r="A667" s="2">
        <v>23.0</v>
      </c>
      <c r="B667" s="11" t="s">
        <v>375</v>
      </c>
      <c r="C667" s="2" t="s">
        <v>61</v>
      </c>
      <c r="D667" s="3">
        <v>45828.0</v>
      </c>
      <c r="E667" s="4">
        <v>0.7083333333333334</v>
      </c>
      <c r="F667" s="5" t="str">
        <f>VLOOKUP(A667,Jogos!A:N,10,0)</f>
        <v>Afternoon</v>
      </c>
      <c r="G667" s="2" t="s">
        <v>1130</v>
      </c>
      <c r="H667" s="6" t="str">
        <f>VLOOKUP(A667,Jogos!A:L,12,0)</f>
        <v>Open</v>
      </c>
      <c r="I667" s="6" t="str">
        <f>VLOOKUP(G667,'Estádios e Cidades'!A:B,2,0)</f>
        <v>Nashville</v>
      </c>
      <c r="J667" s="2" t="s">
        <v>378</v>
      </c>
      <c r="K667" s="2" t="str">
        <f>VLOOKUP(J667,Equipes!A:F,6,0)</f>
        <v>Temperate</v>
      </c>
      <c r="L667" s="2">
        <f>VLOOKUP(J667,Equipes!A:C,3,0)</f>
        <v>26</v>
      </c>
      <c r="M667" s="2" t="str">
        <f t="shared" si="4"/>
        <v>Group</v>
      </c>
      <c r="N667" s="2" t="s">
        <v>502</v>
      </c>
      <c r="O667" s="2">
        <f>VLOOKUP(N667,Equipes!A:C,3,0)</f>
        <v>21</v>
      </c>
      <c r="P667" s="2" t="str">
        <f t="shared" si="5"/>
        <v>Group</v>
      </c>
      <c r="Q667" s="2">
        <f t="shared" si="6"/>
        <v>5</v>
      </c>
      <c r="R667" s="2" t="str">
        <f>VLOOKUP(J667,Equipes!A:B,2,0)</f>
        <v>LAFC</v>
      </c>
      <c r="S667" s="6" t="s">
        <v>430</v>
      </c>
      <c r="T667" s="7">
        <v>5.0</v>
      </c>
      <c r="U667" s="7" t="s">
        <v>431</v>
      </c>
      <c r="V667" s="7" t="str">
        <f>VLOOKUP(U667,Jogadores!B:C,2,0)</f>
        <v>DF</v>
      </c>
      <c r="W667" s="8">
        <f>VLOOKUP(U667,Jogadores!B:D,3,0)</f>
        <v>29.90958904</v>
      </c>
      <c r="X667" s="7">
        <v>81.0</v>
      </c>
      <c r="Y667" s="7">
        <f t="shared" si="2080"/>
        <v>102</v>
      </c>
      <c r="Z667" s="7">
        <f>VLOOKUP(A667,Jogos!A:L,3,0)</f>
        <v>47</v>
      </c>
      <c r="AA667" s="7">
        <f t="shared" si="7"/>
        <v>0</v>
      </c>
      <c r="AB667" s="7">
        <f>VLOOKUP(A667,Jogos!A:L,4,0)</f>
        <v>57</v>
      </c>
      <c r="AC667" s="7">
        <f t="shared" si="2049"/>
        <v>21</v>
      </c>
      <c r="AD667" s="7"/>
      <c r="AE667" s="7"/>
      <c r="AF667" s="7">
        <f t="shared" si="9"/>
        <v>21</v>
      </c>
      <c r="AG667" s="7">
        <v>2149.3</v>
      </c>
      <c r="AH667" s="7">
        <v>673.8</v>
      </c>
      <c r="AI667" s="7">
        <v>918.8</v>
      </c>
      <c r="AJ667" s="7">
        <v>306.7</v>
      </c>
      <c r="AK667" s="7">
        <v>161.6</v>
      </c>
      <c r="AL667" s="7">
        <v>88.4</v>
      </c>
      <c r="AM667" s="7">
        <v>27.0</v>
      </c>
      <c r="AN667" s="7">
        <v>9.0</v>
      </c>
      <c r="AO667" s="7">
        <v>29.5</v>
      </c>
      <c r="AP667" s="9">
        <f t="shared" ref="AP667:AR667" si="2084">AG667/$AF667</f>
        <v>102.347619</v>
      </c>
      <c r="AQ667" s="9">
        <f t="shared" si="2084"/>
        <v>32.08571429</v>
      </c>
      <c r="AR667" s="9">
        <f t="shared" si="2084"/>
        <v>43.75238095</v>
      </c>
      <c r="AS667" s="9">
        <f t="shared" si="11"/>
        <v>75.83809524</v>
      </c>
      <c r="AT667" s="9">
        <f t="shared" ref="AT667:AV667" si="2085">AJ667/$AF667</f>
        <v>14.6047619</v>
      </c>
      <c r="AU667" s="9">
        <f t="shared" si="2085"/>
        <v>7.695238095</v>
      </c>
      <c r="AV667" s="9">
        <f t="shared" si="2085"/>
        <v>4.20952381</v>
      </c>
      <c r="AW667" s="9">
        <f t="shared" si="13"/>
        <v>11.9047619</v>
      </c>
      <c r="AX667" s="9">
        <f t="shared" ref="AX667:AY667" si="2086">AM667/$AF667</f>
        <v>1.285714286</v>
      </c>
      <c r="AY667" s="9">
        <f t="shared" si="2086"/>
        <v>0.4285714286</v>
      </c>
      <c r="AZ667" s="9">
        <f>VLOOKUP(A667,Jogos!A:BN,58,0)</f>
        <v>29.485</v>
      </c>
      <c r="BA667" s="9">
        <f>VLOOKUP(A667,Jogos!A:BN,59,0)</f>
        <v>20.69</v>
      </c>
      <c r="BB667" s="9">
        <f>VLOOKUP(A667,Jogos!A:BN,60,0)</f>
        <v>58.5</v>
      </c>
      <c r="BC667" s="9">
        <f>VLOOKUP(A667,Jogos!A:BN,61,0)</f>
        <v>29.52</v>
      </c>
      <c r="BD667" s="9">
        <f>VLOOKUP(A667,Jogos!A:BN,62,0)</f>
        <v>318.05</v>
      </c>
      <c r="BE667" s="9">
        <f>VLOOKUP(A667,Jogos!A:BN,63,0)</f>
        <v>0.67</v>
      </c>
      <c r="BF667" s="9">
        <f>VLOOKUP(A667,Jogos!A:BN,64,0)</f>
        <v>24.795</v>
      </c>
      <c r="BG667" s="9">
        <f>VLOOKUP(A667,Jogos!A:BN,65,0)</f>
        <v>44.785</v>
      </c>
      <c r="BH667" s="9">
        <f>VLOOKUP(A667,Jogos!A:BN,66,0)</f>
        <v>29.26</v>
      </c>
      <c r="BI667" s="9"/>
    </row>
    <row r="668" hidden="1">
      <c r="A668" s="2">
        <v>23.0</v>
      </c>
      <c r="B668" s="11" t="s">
        <v>375</v>
      </c>
      <c r="C668" s="2" t="s">
        <v>61</v>
      </c>
      <c r="D668" s="3">
        <v>45828.0</v>
      </c>
      <c r="E668" s="4">
        <v>0.7083333333333334</v>
      </c>
      <c r="F668" s="5" t="str">
        <f>VLOOKUP(A668,Jogos!A:N,10,0)</f>
        <v>Afternoon</v>
      </c>
      <c r="G668" s="2" t="s">
        <v>1130</v>
      </c>
      <c r="H668" s="6" t="str">
        <f>VLOOKUP(A668,Jogos!A:L,12,0)</f>
        <v>Open</v>
      </c>
      <c r="I668" s="6" t="str">
        <f>VLOOKUP(G668,'Estádios e Cidades'!A:B,2,0)</f>
        <v>Nashville</v>
      </c>
      <c r="J668" s="2" t="s">
        <v>378</v>
      </c>
      <c r="K668" s="2" t="str">
        <f>VLOOKUP(J668,Equipes!A:F,6,0)</f>
        <v>Temperate</v>
      </c>
      <c r="L668" s="2">
        <f>VLOOKUP(J668,Equipes!A:C,3,0)</f>
        <v>26</v>
      </c>
      <c r="M668" s="2" t="str">
        <f t="shared" si="4"/>
        <v>Group</v>
      </c>
      <c r="N668" s="2" t="s">
        <v>502</v>
      </c>
      <c r="O668" s="2">
        <f>VLOOKUP(N668,Equipes!A:C,3,0)</f>
        <v>21</v>
      </c>
      <c r="P668" s="2" t="str">
        <f t="shared" si="5"/>
        <v>Group</v>
      </c>
      <c r="Q668" s="2">
        <f t="shared" si="6"/>
        <v>5</v>
      </c>
      <c r="R668" s="2" t="str">
        <f>VLOOKUP(J668,Equipes!A:B,2,0)</f>
        <v>LAFC</v>
      </c>
      <c r="S668" s="6" t="s">
        <v>420</v>
      </c>
      <c r="T668" s="7">
        <v>17.0</v>
      </c>
      <c r="U668" s="7" t="s">
        <v>421</v>
      </c>
      <c r="V668" s="7" t="str">
        <f>VLOOKUP(U668,Jogadores!B:C,2,0)</f>
        <v>FW</v>
      </c>
      <c r="W668" s="8">
        <f>VLOOKUP(U668,Jogadores!B:D,3,0)</f>
        <v>28.46849315</v>
      </c>
      <c r="X668" s="7">
        <v>88.0</v>
      </c>
      <c r="Y668" s="7">
        <f t="shared" si="2080"/>
        <v>102</v>
      </c>
      <c r="Z668" s="7">
        <f>VLOOKUP(A668,Jogos!A:L,3,0)</f>
        <v>47</v>
      </c>
      <c r="AA668" s="7">
        <f t="shared" si="7"/>
        <v>0</v>
      </c>
      <c r="AB668" s="7">
        <f>VLOOKUP(A668,Jogos!A:L,4,0)</f>
        <v>57</v>
      </c>
      <c r="AC668" s="7">
        <f t="shared" si="2049"/>
        <v>14</v>
      </c>
      <c r="AD668" s="7"/>
      <c r="AE668" s="7"/>
      <c r="AF668" s="7">
        <f t="shared" si="9"/>
        <v>14</v>
      </c>
      <c r="AG668" s="7">
        <v>1558.2</v>
      </c>
      <c r="AH668" s="7">
        <v>505.5</v>
      </c>
      <c r="AI668" s="7">
        <v>622.1</v>
      </c>
      <c r="AJ668" s="7">
        <v>305.1</v>
      </c>
      <c r="AK668" s="7">
        <v>107.2</v>
      </c>
      <c r="AL668" s="7">
        <v>18.4</v>
      </c>
      <c r="AM668" s="7">
        <v>25.0</v>
      </c>
      <c r="AN668" s="7">
        <v>9.0</v>
      </c>
      <c r="AO668" s="7">
        <v>29.8</v>
      </c>
      <c r="AP668" s="9">
        <f t="shared" ref="AP668:AR668" si="2087">AG668/$AF668</f>
        <v>111.3</v>
      </c>
      <c r="AQ668" s="9">
        <f t="shared" si="2087"/>
        <v>36.10714286</v>
      </c>
      <c r="AR668" s="9">
        <f t="shared" si="2087"/>
        <v>44.43571429</v>
      </c>
      <c r="AS668" s="9">
        <f t="shared" si="11"/>
        <v>80.54285714</v>
      </c>
      <c r="AT668" s="9">
        <f t="shared" ref="AT668:AV668" si="2088">AJ668/$AF668</f>
        <v>21.79285714</v>
      </c>
      <c r="AU668" s="9">
        <f t="shared" si="2088"/>
        <v>7.657142857</v>
      </c>
      <c r="AV668" s="9">
        <f t="shared" si="2088"/>
        <v>1.314285714</v>
      </c>
      <c r="AW668" s="9">
        <f t="shared" si="13"/>
        <v>8.971428571</v>
      </c>
      <c r="AX668" s="9">
        <f t="shared" ref="AX668:AY668" si="2089">AM668/$AF668</f>
        <v>1.785714286</v>
      </c>
      <c r="AY668" s="9">
        <f t="shared" si="2089"/>
        <v>0.6428571429</v>
      </c>
      <c r="AZ668" s="9">
        <f>VLOOKUP(A668,Jogos!A:BN,58,0)</f>
        <v>29.485</v>
      </c>
      <c r="BA668" s="9">
        <f>VLOOKUP(A668,Jogos!A:BN,59,0)</f>
        <v>20.69</v>
      </c>
      <c r="BB668" s="9">
        <f>VLOOKUP(A668,Jogos!A:BN,60,0)</f>
        <v>58.5</v>
      </c>
      <c r="BC668" s="9">
        <f>VLOOKUP(A668,Jogos!A:BN,61,0)</f>
        <v>29.52</v>
      </c>
      <c r="BD668" s="9">
        <f>VLOOKUP(A668,Jogos!A:BN,62,0)</f>
        <v>318.05</v>
      </c>
      <c r="BE668" s="9">
        <f>VLOOKUP(A668,Jogos!A:BN,63,0)</f>
        <v>0.67</v>
      </c>
      <c r="BF668" s="9">
        <f>VLOOKUP(A668,Jogos!A:BN,64,0)</f>
        <v>24.795</v>
      </c>
      <c r="BG668" s="9">
        <f>VLOOKUP(A668,Jogos!A:BN,65,0)</f>
        <v>44.785</v>
      </c>
      <c r="BH668" s="9">
        <f>VLOOKUP(A668,Jogos!A:BN,66,0)</f>
        <v>29.26</v>
      </c>
      <c r="BI668" s="9"/>
    </row>
    <row r="669" hidden="1">
      <c r="A669" s="2">
        <v>23.0</v>
      </c>
      <c r="B669" s="11" t="s">
        <v>375</v>
      </c>
      <c r="C669" s="2" t="s">
        <v>61</v>
      </c>
      <c r="D669" s="3">
        <v>45828.0</v>
      </c>
      <c r="E669" s="4">
        <v>0.7083333333333334</v>
      </c>
      <c r="F669" s="5" t="str">
        <f>VLOOKUP(A669,Jogos!A:N,10,0)</f>
        <v>Afternoon</v>
      </c>
      <c r="G669" s="2" t="s">
        <v>1130</v>
      </c>
      <c r="H669" s="6" t="str">
        <f>VLOOKUP(A669,Jogos!A:L,12,0)</f>
        <v>Open</v>
      </c>
      <c r="I669" s="6" t="str">
        <f>VLOOKUP(G669,'Estádios e Cidades'!A:B,2,0)</f>
        <v>Nashville</v>
      </c>
      <c r="J669" s="2" t="s">
        <v>378</v>
      </c>
      <c r="K669" s="2" t="str">
        <f>VLOOKUP(J669,Equipes!A:F,6,0)</f>
        <v>Temperate</v>
      </c>
      <c r="L669" s="2">
        <f>VLOOKUP(J669,Equipes!A:C,3,0)</f>
        <v>26</v>
      </c>
      <c r="M669" s="2" t="str">
        <f t="shared" si="4"/>
        <v>Group</v>
      </c>
      <c r="N669" s="2" t="s">
        <v>502</v>
      </c>
      <c r="O669" s="2">
        <f>VLOOKUP(N669,Equipes!A:C,3,0)</f>
        <v>21</v>
      </c>
      <c r="P669" s="2" t="str">
        <f t="shared" si="5"/>
        <v>Group</v>
      </c>
      <c r="Q669" s="2">
        <f t="shared" si="6"/>
        <v>5</v>
      </c>
      <c r="R669" s="2" t="str">
        <f>VLOOKUP(J669,Equipes!A:B,2,0)</f>
        <v>LAFC</v>
      </c>
      <c r="S669" s="6" t="s">
        <v>434</v>
      </c>
      <c r="T669" s="7">
        <v>20.0</v>
      </c>
      <c r="U669" s="7" t="s">
        <v>435</v>
      </c>
      <c r="V669" s="7" t="str">
        <f>VLOOKUP(U669,Jogadores!B:C,2,0)</f>
        <v>MF</v>
      </c>
      <c r="W669" s="8">
        <f>VLOOKUP(U669,Jogadores!B:D,3,0)</f>
        <v>28.35342466</v>
      </c>
      <c r="X669" s="7">
        <v>81.0</v>
      </c>
      <c r="Y669" s="7">
        <f t="shared" si="2080"/>
        <v>102</v>
      </c>
      <c r="Z669" s="7">
        <f>VLOOKUP(A669,Jogos!A:L,3,0)</f>
        <v>47</v>
      </c>
      <c r="AA669" s="7">
        <f t="shared" si="7"/>
        <v>0</v>
      </c>
      <c r="AB669" s="7">
        <f>VLOOKUP(A669,Jogos!A:L,4,0)</f>
        <v>57</v>
      </c>
      <c r="AC669" s="7">
        <f t="shared" si="2049"/>
        <v>21</v>
      </c>
      <c r="AD669" s="7"/>
      <c r="AE669" s="7"/>
      <c r="AF669" s="7">
        <f t="shared" si="9"/>
        <v>21</v>
      </c>
      <c r="AG669" s="7">
        <v>2218.1</v>
      </c>
      <c r="AH669" s="7">
        <v>791.1</v>
      </c>
      <c r="AI669" s="7">
        <v>868.6</v>
      </c>
      <c r="AJ669" s="7">
        <v>386.8</v>
      </c>
      <c r="AK669" s="7">
        <v>132.3</v>
      </c>
      <c r="AL669" s="7">
        <v>39.2</v>
      </c>
      <c r="AM669" s="7">
        <v>30.0</v>
      </c>
      <c r="AN669" s="7">
        <v>9.0</v>
      </c>
      <c r="AO669" s="7">
        <v>26.6</v>
      </c>
      <c r="AP669" s="9">
        <f t="shared" ref="AP669:AR669" si="2090">AG669/$AF669</f>
        <v>105.6238095</v>
      </c>
      <c r="AQ669" s="9">
        <f t="shared" si="2090"/>
        <v>37.67142857</v>
      </c>
      <c r="AR669" s="9">
        <f t="shared" si="2090"/>
        <v>41.36190476</v>
      </c>
      <c r="AS669" s="9">
        <f t="shared" si="11"/>
        <v>79.03333333</v>
      </c>
      <c r="AT669" s="9">
        <f t="shared" ref="AT669:AV669" si="2091">AJ669/$AF669</f>
        <v>18.41904762</v>
      </c>
      <c r="AU669" s="9">
        <f t="shared" si="2091"/>
        <v>6.3</v>
      </c>
      <c r="AV669" s="9">
        <f t="shared" si="2091"/>
        <v>1.866666667</v>
      </c>
      <c r="AW669" s="9">
        <f t="shared" si="13"/>
        <v>8.166666667</v>
      </c>
      <c r="AX669" s="9">
        <f t="shared" ref="AX669:AY669" si="2092">AM669/$AF669</f>
        <v>1.428571429</v>
      </c>
      <c r="AY669" s="9">
        <f t="shared" si="2092"/>
        <v>0.4285714286</v>
      </c>
      <c r="AZ669" s="9">
        <f>VLOOKUP(A669,Jogos!A:BN,58,0)</f>
        <v>29.485</v>
      </c>
      <c r="BA669" s="9">
        <f>VLOOKUP(A669,Jogos!A:BN,59,0)</f>
        <v>20.69</v>
      </c>
      <c r="BB669" s="9">
        <f>VLOOKUP(A669,Jogos!A:BN,60,0)</f>
        <v>58.5</v>
      </c>
      <c r="BC669" s="9">
        <f>VLOOKUP(A669,Jogos!A:BN,61,0)</f>
        <v>29.52</v>
      </c>
      <c r="BD669" s="9">
        <f>VLOOKUP(A669,Jogos!A:BN,62,0)</f>
        <v>318.05</v>
      </c>
      <c r="BE669" s="9">
        <f>VLOOKUP(A669,Jogos!A:BN,63,0)</f>
        <v>0.67</v>
      </c>
      <c r="BF669" s="9">
        <f>VLOOKUP(A669,Jogos!A:BN,64,0)</f>
        <v>24.795</v>
      </c>
      <c r="BG669" s="9">
        <f>VLOOKUP(A669,Jogos!A:BN,65,0)</f>
        <v>44.785</v>
      </c>
      <c r="BH669" s="9">
        <f>VLOOKUP(A669,Jogos!A:BN,66,0)</f>
        <v>29.26</v>
      </c>
      <c r="BI669" s="9"/>
    </row>
    <row r="670" hidden="1">
      <c r="A670" s="2">
        <v>23.0</v>
      </c>
      <c r="B670" s="11" t="s">
        <v>375</v>
      </c>
      <c r="C670" s="2" t="s">
        <v>61</v>
      </c>
      <c r="D670" s="3">
        <v>45828.0</v>
      </c>
      <c r="E670" s="4">
        <v>0.7083333333333334</v>
      </c>
      <c r="F670" s="5" t="str">
        <f>VLOOKUP(A670,Jogos!A:N,10,0)</f>
        <v>Afternoon</v>
      </c>
      <c r="G670" s="2" t="s">
        <v>1130</v>
      </c>
      <c r="H670" s="6" t="str">
        <f>VLOOKUP(A670,Jogos!A:L,12,0)</f>
        <v>Open</v>
      </c>
      <c r="I670" s="6" t="str">
        <f>VLOOKUP(G670,'Estádios e Cidades'!A:B,2,0)</f>
        <v>Nashville</v>
      </c>
      <c r="J670" s="2" t="s">
        <v>378</v>
      </c>
      <c r="K670" s="2" t="str">
        <f>VLOOKUP(J670,Equipes!A:F,6,0)</f>
        <v>Temperate</v>
      </c>
      <c r="L670" s="2">
        <f>VLOOKUP(J670,Equipes!A:C,3,0)</f>
        <v>26</v>
      </c>
      <c r="M670" s="2" t="str">
        <f t="shared" si="4"/>
        <v>Group</v>
      </c>
      <c r="N670" s="2" t="s">
        <v>502</v>
      </c>
      <c r="O670" s="2">
        <f>VLOOKUP(N670,Equipes!A:C,3,0)</f>
        <v>21</v>
      </c>
      <c r="P670" s="2" t="str">
        <f t="shared" si="5"/>
        <v>Group</v>
      </c>
      <c r="Q670" s="2">
        <f t="shared" si="6"/>
        <v>5</v>
      </c>
      <c r="R670" s="2" t="str">
        <f>VLOOKUP(J670,Equipes!A:B,2,0)</f>
        <v>LAFC</v>
      </c>
      <c r="S670" s="6" t="s">
        <v>436</v>
      </c>
      <c r="T670" s="7">
        <v>23.0</v>
      </c>
      <c r="U670" s="7" t="s">
        <v>437</v>
      </c>
      <c r="V670" s="7" t="str">
        <f>VLOOKUP(U670,Jogadores!B:C,2,0)</f>
        <v>MF</v>
      </c>
      <c r="W670" s="8">
        <f>VLOOKUP(U670,Jogadores!B:D,3,0)</f>
        <v>24.85205479</v>
      </c>
      <c r="X670" s="7">
        <v>81.0</v>
      </c>
      <c r="Y670" s="7">
        <f t="shared" si="2080"/>
        <v>102</v>
      </c>
      <c r="Z670" s="7">
        <f>VLOOKUP(A670,Jogos!A:L,3,0)</f>
        <v>47</v>
      </c>
      <c r="AA670" s="7">
        <f t="shared" si="7"/>
        <v>0</v>
      </c>
      <c r="AB670" s="7">
        <f>VLOOKUP(A670,Jogos!A:L,4,0)</f>
        <v>57</v>
      </c>
      <c r="AC670" s="7">
        <f t="shared" si="2049"/>
        <v>21</v>
      </c>
      <c r="AD670" s="7"/>
      <c r="AE670" s="7"/>
      <c r="AF670" s="7">
        <f t="shared" si="9"/>
        <v>21</v>
      </c>
      <c r="AG670" s="7">
        <v>2219.7</v>
      </c>
      <c r="AH670" s="7">
        <v>741.2</v>
      </c>
      <c r="AI670" s="7">
        <v>992.3</v>
      </c>
      <c r="AJ670" s="7">
        <v>428.0</v>
      </c>
      <c r="AK670" s="7">
        <v>48.3</v>
      </c>
      <c r="AL670" s="7">
        <v>9.9</v>
      </c>
      <c r="AM670" s="7">
        <v>37.0</v>
      </c>
      <c r="AN670" s="7">
        <v>6.0</v>
      </c>
      <c r="AO670" s="7">
        <v>29.3</v>
      </c>
      <c r="AP670" s="9">
        <f t="shared" ref="AP670:AR670" si="2093">AG670/$AF670</f>
        <v>105.7</v>
      </c>
      <c r="AQ670" s="9">
        <f t="shared" si="2093"/>
        <v>35.2952381</v>
      </c>
      <c r="AR670" s="9">
        <f t="shared" si="2093"/>
        <v>47.25238095</v>
      </c>
      <c r="AS670" s="9">
        <f t="shared" si="11"/>
        <v>82.54761905</v>
      </c>
      <c r="AT670" s="9">
        <f t="shared" ref="AT670:AV670" si="2094">AJ670/$AF670</f>
        <v>20.38095238</v>
      </c>
      <c r="AU670" s="9">
        <f t="shared" si="2094"/>
        <v>2.3</v>
      </c>
      <c r="AV670" s="9">
        <f t="shared" si="2094"/>
        <v>0.4714285714</v>
      </c>
      <c r="AW670" s="9">
        <f t="shared" si="13"/>
        <v>2.771428571</v>
      </c>
      <c r="AX670" s="9">
        <f t="shared" ref="AX670:AY670" si="2095">AM670/$AF670</f>
        <v>1.761904762</v>
      </c>
      <c r="AY670" s="9">
        <f t="shared" si="2095"/>
        <v>0.2857142857</v>
      </c>
      <c r="AZ670" s="9">
        <f>VLOOKUP(A670,Jogos!A:BN,58,0)</f>
        <v>29.485</v>
      </c>
      <c r="BA670" s="9">
        <f>VLOOKUP(A670,Jogos!A:BN,59,0)</f>
        <v>20.69</v>
      </c>
      <c r="BB670" s="9">
        <f>VLOOKUP(A670,Jogos!A:BN,60,0)</f>
        <v>58.5</v>
      </c>
      <c r="BC670" s="9">
        <f>VLOOKUP(A670,Jogos!A:BN,61,0)</f>
        <v>29.52</v>
      </c>
      <c r="BD670" s="9">
        <f>VLOOKUP(A670,Jogos!A:BN,62,0)</f>
        <v>318.05</v>
      </c>
      <c r="BE670" s="9">
        <f>VLOOKUP(A670,Jogos!A:BN,63,0)</f>
        <v>0.67</v>
      </c>
      <c r="BF670" s="9">
        <f>VLOOKUP(A670,Jogos!A:BN,64,0)</f>
        <v>24.795</v>
      </c>
      <c r="BG670" s="9">
        <f>VLOOKUP(A670,Jogos!A:BN,65,0)</f>
        <v>44.785</v>
      </c>
      <c r="BH670" s="9">
        <f>VLOOKUP(A670,Jogos!A:BN,66,0)</f>
        <v>29.26</v>
      </c>
      <c r="BI670" s="9"/>
    </row>
    <row r="671" hidden="1">
      <c r="A671" s="2">
        <v>23.0</v>
      </c>
      <c r="B671" s="11" t="s">
        <v>375</v>
      </c>
      <c r="C671" s="2" t="s">
        <v>61</v>
      </c>
      <c r="D671" s="3">
        <v>45828.0</v>
      </c>
      <c r="E671" s="4">
        <v>0.7083333333333334</v>
      </c>
      <c r="F671" s="5" t="str">
        <f>VLOOKUP(A671,Jogos!A:N,10,0)</f>
        <v>Afternoon</v>
      </c>
      <c r="G671" s="2" t="s">
        <v>1130</v>
      </c>
      <c r="H671" s="6" t="str">
        <f>VLOOKUP(A671,Jogos!A:L,12,0)</f>
        <v>Open</v>
      </c>
      <c r="I671" s="6" t="str">
        <f>VLOOKUP(G671,'Estádios e Cidades'!A:B,2,0)</f>
        <v>Nashville</v>
      </c>
      <c r="J671" s="2" t="s">
        <v>378</v>
      </c>
      <c r="K671" s="2" t="str">
        <f>VLOOKUP(J671,Equipes!A:F,6,0)</f>
        <v>Temperate</v>
      </c>
      <c r="L671" s="2">
        <f>VLOOKUP(J671,Equipes!A:C,3,0)</f>
        <v>26</v>
      </c>
      <c r="M671" s="2" t="str">
        <f t="shared" si="4"/>
        <v>Group</v>
      </c>
      <c r="N671" s="2" t="s">
        <v>502</v>
      </c>
      <c r="O671" s="2">
        <f>VLOOKUP(N671,Equipes!A:C,3,0)</f>
        <v>21</v>
      </c>
      <c r="P671" s="2" t="str">
        <f t="shared" si="5"/>
        <v>Group</v>
      </c>
      <c r="Q671" s="2">
        <f t="shared" si="6"/>
        <v>5</v>
      </c>
      <c r="R671" s="2" t="str">
        <f>VLOOKUP(J671,Equipes!A:B,2,0)</f>
        <v>LAFC</v>
      </c>
      <c r="S671" s="6" t="s">
        <v>1131</v>
      </c>
      <c r="T671" s="7">
        <v>26.0</v>
      </c>
      <c r="U671" s="7" t="s">
        <v>1132</v>
      </c>
      <c r="V671" s="7" t="s">
        <v>1133</v>
      </c>
      <c r="W671" s="8">
        <f>VLOOKUP(U671,Jogadores!B:D,3,0)</f>
        <v>27.11780822</v>
      </c>
      <c r="X671" s="7">
        <v>45.0</v>
      </c>
      <c r="Y671" s="7">
        <f t="shared" si="2080"/>
        <v>102</v>
      </c>
      <c r="Z671" s="7">
        <f>VLOOKUP(A671,Jogos!A:L,3,0)</f>
        <v>47</v>
      </c>
      <c r="AA671" s="7">
        <f t="shared" si="7"/>
        <v>0</v>
      </c>
      <c r="AB671" s="7">
        <f>VLOOKUP(A671,Jogos!A:L,4,0)</f>
        <v>57</v>
      </c>
      <c r="AC671" s="7">
        <f t="shared" si="2049"/>
        <v>57</v>
      </c>
      <c r="AD671" s="7"/>
      <c r="AE671" s="7"/>
      <c r="AF671" s="7">
        <f t="shared" si="9"/>
        <v>57</v>
      </c>
      <c r="AG671" s="7">
        <v>5445.4</v>
      </c>
      <c r="AH671" s="7">
        <v>2228.2</v>
      </c>
      <c r="AI671" s="7">
        <v>1979.8</v>
      </c>
      <c r="AJ671" s="7">
        <v>773.0</v>
      </c>
      <c r="AK671" s="7">
        <v>336.8</v>
      </c>
      <c r="AL671" s="7">
        <v>127.5</v>
      </c>
      <c r="AM671" s="7">
        <v>66.0</v>
      </c>
      <c r="AN671" s="7">
        <v>29.0</v>
      </c>
      <c r="AO671" s="7">
        <v>29.2</v>
      </c>
      <c r="AP671" s="9">
        <f t="shared" ref="AP671:AR671" si="2096">AG671/$AF671</f>
        <v>95.53333333</v>
      </c>
      <c r="AQ671" s="9">
        <f t="shared" si="2096"/>
        <v>39.09122807</v>
      </c>
      <c r="AR671" s="9">
        <f t="shared" si="2096"/>
        <v>34.73333333</v>
      </c>
      <c r="AS671" s="9">
        <f t="shared" si="11"/>
        <v>73.8245614</v>
      </c>
      <c r="AT671" s="9">
        <f t="shared" ref="AT671:AV671" si="2097">AJ671/$AF671</f>
        <v>13.56140351</v>
      </c>
      <c r="AU671" s="9">
        <f t="shared" si="2097"/>
        <v>5.90877193</v>
      </c>
      <c r="AV671" s="9">
        <f t="shared" si="2097"/>
        <v>2.236842105</v>
      </c>
      <c r="AW671" s="9">
        <f t="shared" si="13"/>
        <v>8.145614035</v>
      </c>
      <c r="AX671" s="9">
        <f t="shared" ref="AX671:AY671" si="2098">AM671/$AF671</f>
        <v>1.157894737</v>
      </c>
      <c r="AY671" s="9">
        <f t="shared" si="2098"/>
        <v>0.5087719298</v>
      </c>
      <c r="AZ671" s="9">
        <f>VLOOKUP(A671,Jogos!A:BN,58,0)</f>
        <v>29.485</v>
      </c>
      <c r="BA671" s="9">
        <f>VLOOKUP(A671,Jogos!A:BN,59,0)</f>
        <v>20.69</v>
      </c>
      <c r="BB671" s="9">
        <f>VLOOKUP(A671,Jogos!A:BN,60,0)</f>
        <v>58.5</v>
      </c>
      <c r="BC671" s="9">
        <f>VLOOKUP(A671,Jogos!A:BN,61,0)</f>
        <v>29.52</v>
      </c>
      <c r="BD671" s="9">
        <f>VLOOKUP(A671,Jogos!A:BN,62,0)</f>
        <v>318.05</v>
      </c>
      <c r="BE671" s="9">
        <f>VLOOKUP(A671,Jogos!A:BN,63,0)</f>
        <v>0.67</v>
      </c>
      <c r="BF671" s="9">
        <f>VLOOKUP(A671,Jogos!A:BN,64,0)</f>
        <v>24.795</v>
      </c>
      <c r="BG671" s="9">
        <f>VLOOKUP(A671,Jogos!A:BN,65,0)</f>
        <v>44.785</v>
      </c>
      <c r="BH671" s="9">
        <f>VLOOKUP(A671,Jogos!A:BN,66,0)</f>
        <v>29.26</v>
      </c>
      <c r="BI671" s="9"/>
    </row>
    <row r="672" hidden="1">
      <c r="A672" s="10">
        <v>23.0</v>
      </c>
      <c r="B672" s="11" t="s">
        <v>375</v>
      </c>
      <c r="C672" s="2" t="s">
        <v>61</v>
      </c>
      <c r="D672" s="12">
        <v>45828.0</v>
      </c>
      <c r="E672" s="13">
        <v>0.7083333333333334</v>
      </c>
      <c r="F672" s="5" t="str">
        <f>VLOOKUP(A672,Jogos!A:N,10,0)</f>
        <v>Afternoon</v>
      </c>
      <c r="G672" s="11" t="s">
        <v>1130</v>
      </c>
      <c r="H672" s="6" t="str">
        <f>VLOOKUP(A672,Jogos!A:L,12,0)</f>
        <v>Open</v>
      </c>
      <c r="I672" s="6" t="str">
        <f>VLOOKUP(G672,'Estádios e Cidades'!A:B,2,0)</f>
        <v>Nashville</v>
      </c>
      <c r="J672" s="11" t="s">
        <v>502</v>
      </c>
      <c r="K672" s="2" t="str">
        <f>VLOOKUP(J672,Equipes!A:F,6,0)</f>
        <v>Temperate</v>
      </c>
      <c r="L672" s="2">
        <f>VLOOKUP(J672,Equipes!A:C,3,0)</f>
        <v>21</v>
      </c>
      <c r="M672" s="2" t="str">
        <f t="shared" si="4"/>
        <v>Group</v>
      </c>
      <c r="N672" s="11" t="s">
        <v>378</v>
      </c>
      <c r="O672" s="2">
        <f>VLOOKUP(N672,Equipes!A:C,3,0)</f>
        <v>26</v>
      </c>
      <c r="P672" s="2" t="str">
        <f t="shared" si="5"/>
        <v>Group</v>
      </c>
      <c r="Q672" s="2">
        <f t="shared" si="6"/>
        <v>-5</v>
      </c>
      <c r="R672" s="2" t="str">
        <f>VLOOKUP(J672,Equipes!A:B,2,0)</f>
        <v>Esperance</v>
      </c>
      <c r="S672" s="14" t="s">
        <v>532</v>
      </c>
      <c r="T672" s="7">
        <v>2.0</v>
      </c>
      <c r="U672" s="7" t="s">
        <v>533</v>
      </c>
      <c r="V672" s="7" t="str">
        <f>VLOOKUP(U672,Jogadores!B:C,2,0)</f>
        <v>MF</v>
      </c>
      <c r="W672" s="8">
        <f>VLOOKUP(U672,Jogadores!B:D,3,0)</f>
        <v>30.46575342</v>
      </c>
      <c r="X672" s="7">
        <v>0.0</v>
      </c>
      <c r="Y672" s="7">
        <f t="shared" si="2080"/>
        <v>102</v>
      </c>
      <c r="Z672" s="7">
        <f>VLOOKUP(A672,Jogos!A:L,3,0)</f>
        <v>47</v>
      </c>
      <c r="AA672" s="7">
        <f t="shared" si="7"/>
        <v>47</v>
      </c>
      <c r="AB672" s="7">
        <f>VLOOKUP(A672,Jogos!A:L,4,0)</f>
        <v>57</v>
      </c>
      <c r="AC672" s="7">
        <f t="shared" si="2049"/>
        <v>57</v>
      </c>
      <c r="AD672" s="7"/>
      <c r="AE672" s="7"/>
      <c r="AF672" s="7">
        <f t="shared" si="9"/>
        <v>104</v>
      </c>
      <c r="AG672" s="7">
        <v>10079.4</v>
      </c>
      <c r="AH672" s="7">
        <v>4436.0</v>
      </c>
      <c r="AI672" s="7">
        <v>3520.9</v>
      </c>
      <c r="AJ672" s="7">
        <v>1192.6</v>
      </c>
      <c r="AK672" s="7">
        <v>635.5</v>
      </c>
      <c r="AL672" s="7">
        <v>294.4</v>
      </c>
      <c r="AM672" s="7">
        <v>99.0</v>
      </c>
      <c r="AN672" s="7">
        <v>54.0</v>
      </c>
      <c r="AO672" s="7">
        <v>30.9</v>
      </c>
      <c r="AP672" s="9">
        <f t="shared" ref="AP672:AR672" si="2099">AG672/$AF672</f>
        <v>96.91730769</v>
      </c>
      <c r="AQ672" s="9">
        <f t="shared" si="2099"/>
        <v>42.65384615</v>
      </c>
      <c r="AR672" s="9">
        <f t="shared" si="2099"/>
        <v>33.85480769</v>
      </c>
      <c r="AS672" s="9">
        <f t="shared" si="11"/>
        <v>76.50865385</v>
      </c>
      <c r="AT672" s="9">
        <f t="shared" ref="AT672:AV672" si="2100">AJ672/$AF672</f>
        <v>11.46730769</v>
      </c>
      <c r="AU672" s="9">
        <f t="shared" si="2100"/>
        <v>6.110576923</v>
      </c>
      <c r="AV672" s="9">
        <f t="shared" si="2100"/>
        <v>2.830769231</v>
      </c>
      <c r="AW672" s="9">
        <f t="shared" si="13"/>
        <v>8.941346154</v>
      </c>
      <c r="AX672" s="9">
        <f t="shared" ref="AX672:AY672" si="2101">AM672/$AF672</f>
        <v>0.9519230769</v>
      </c>
      <c r="AY672" s="9">
        <f t="shared" si="2101"/>
        <v>0.5192307692</v>
      </c>
      <c r="AZ672" s="9">
        <f>VLOOKUP(A672,Jogos!A:BN,58,0)</f>
        <v>29.485</v>
      </c>
      <c r="BA672" s="9">
        <f>VLOOKUP(A672,Jogos!A:BN,59,0)</f>
        <v>20.69</v>
      </c>
      <c r="BB672" s="9">
        <f>VLOOKUP(A672,Jogos!A:BN,60,0)</f>
        <v>58.5</v>
      </c>
      <c r="BC672" s="9">
        <f>VLOOKUP(A672,Jogos!A:BN,61,0)</f>
        <v>29.52</v>
      </c>
      <c r="BD672" s="9">
        <f>VLOOKUP(A672,Jogos!A:BN,62,0)</f>
        <v>318.05</v>
      </c>
      <c r="BE672" s="9">
        <f>VLOOKUP(A672,Jogos!A:BN,63,0)</f>
        <v>0.67</v>
      </c>
      <c r="BF672" s="9">
        <f>VLOOKUP(A672,Jogos!A:BN,64,0)</f>
        <v>24.795</v>
      </c>
      <c r="BG672" s="9">
        <f>VLOOKUP(A672,Jogos!A:BN,65,0)</f>
        <v>44.785</v>
      </c>
      <c r="BH672" s="9">
        <f>VLOOKUP(A672,Jogos!A:BN,66,0)</f>
        <v>29.26</v>
      </c>
      <c r="BI672" s="9"/>
    </row>
    <row r="673" hidden="1">
      <c r="A673" s="10">
        <v>23.0</v>
      </c>
      <c r="B673" s="11" t="s">
        <v>375</v>
      </c>
      <c r="C673" s="2" t="s">
        <v>61</v>
      </c>
      <c r="D673" s="12">
        <v>45828.0</v>
      </c>
      <c r="E673" s="13">
        <v>0.7083333333333334</v>
      </c>
      <c r="F673" s="5" t="str">
        <f>VLOOKUP(A673,Jogos!A:N,10,0)</f>
        <v>Afternoon</v>
      </c>
      <c r="G673" s="11" t="s">
        <v>1130</v>
      </c>
      <c r="H673" s="6" t="str">
        <f>VLOOKUP(A673,Jogos!A:L,12,0)</f>
        <v>Open</v>
      </c>
      <c r="I673" s="6" t="str">
        <f>VLOOKUP(G673,'Estádios e Cidades'!A:B,2,0)</f>
        <v>Nashville</v>
      </c>
      <c r="J673" s="11" t="s">
        <v>502</v>
      </c>
      <c r="K673" s="2" t="str">
        <f>VLOOKUP(J673,Equipes!A:F,6,0)</f>
        <v>Temperate</v>
      </c>
      <c r="L673" s="2">
        <f>VLOOKUP(J673,Equipes!A:C,3,0)</f>
        <v>21</v>
      </c>
      <c r="M673" s="2" t="str">
        <f t="shared" si="4"/>
        <v>Group</v>
      </c>
      <c r="N673" s="11" t="s">
        <v>378</v>
      </c>
      <c r="O673" s="2">
        <f>VLOOKUP(N673,Equipes!A:C,3,0)</f>
        <v>26</v>
      </c>
      <c r="P673" s="2" t="str">
        <f t="shared" si="5"/>
        <v>Group</v>
      </c>
      <c r="Q673" s="2">
        <f t="shared" si="6"/>
        <v>-5</v>
      </c>
      <c r="R673" s="2" t="str">
        <f>VLOOKUP(J673,Equipes!A:B,2,0)</f>
        <v>Esperance</v>
      </c>
      <c r="S673" s="6" t="s">
        <v>534</v>
      </c>
      <c r="T673" s="7">
        <v>5.0</v>
      </c>
      <c r="U673" s="7" t="s">
        <v>535</v>
      </c>
      <c r="V673" s="7" t="str">
        <f>VLOOKUP(U673,Jogadores!B:C,2,0)</f>
        <v>DF</v>
      </c>
      <c r="W673" s="8">
        <f>VLOOKUP(U673,Jogadores!B:D,3,0)</f>
        <v>32.09315068</v>
      </c>
      <c r="X673" s="7">
        <v>0.0</v>
      </c>
      <c r="Y673" s="7">
        <f t="shared" si="2080"/>
        <v>102</v>
      </c>
      <c r="Z673" s="7">
        <f>VLOOKUP(A673,Jogos!A:L,3,0)</f>
        <v>47</v>
      </c>
      <c r="AA673" s="7">
        <f t="shared" si="7"/>
        <v>47</v>
      </c>
      <c r="AB673" s="7">
        <f>VLOOKUP(A673,Jogos!A:L,4,0)</f>
        <v>57</v>
      </c>
      <c r="AC673" s="7">
        <f t="shared" si="2049"/>
        <v>57</v>
      </c>
      <c r="AD673" s="7"/>
      <c r="AE673" s="7"/>
      <c r="AF673" s="7">
        <f t="shared" si="9"/>
        <v>104</v>
      </c>
      <c r="AG673" s="7">
        <v>9492.9</v>
      </c>
      <c r="AH673" s="7">
        <v>4155.4</v>
      </c>
      <c r="AI673" s="7">
        <v>4293.1</v>
      </c>
      <c r="AJ673" s="7">
        <v>688.4</v>
      </c>
      <c r="AK673" s="7">
        <v>231.4</v>
      </c>
      <c r="AL673" s="7">
        <v>124.6</v>
      </c>
      <c r="AM673" s="7">
        <v>66.0</v>
      </c>
      <c r="AN673" s="7">
        <v>19.0</v>
      </c>
      <c r="AO673" s="7">
        <v>32.5</v>
      </c>
      <c r="AP673" s="9">
        <f t="shared" ref="AP673:AR673" si="2102">AG673/$AF673</f>
        <v>91.27788462</v>
      </c>
      <c r="AQ673" s="9">
        <f t="shared" si="2102"/>
        <v>39.95576923</v>
      </c>
      <c r="AR673" s="9">
        <f t="shared" si="2102"/>
        <v>41.27980769</v>
      </c>
      <c r="AS673" s="9">
        <f t="shared" si="11"/>
        <v>81.23557692</v>
      </c>
      <c r="AT673" s="9">
        <f t="shared" ref="AT673:AV673" si="2103">AJ673/$AF673</f>
        <v>6.619230769</v>
      </c>
      <c r="AU673" s="9">
        <f t="shared" si="2103"/>
        <v>2.225</v>
      </c>
      <c r="AV673" s="9">
        <f t="shared" si="2103"/>
        <v>1.198076923</v>
      </c>
      <c r="AW673" s="9">
        <f t="shared" si="13"/>
        <v>3.423076923</v>
      </c>
      <c r="AX673" s="9">
        <f t="shared" ref="AX673:AY673" si="2104">AM673/$AF673</f>
        <v>0.6346153846</v>
      </c>
      <c r="AY673" s="9">
        <f t="shared" si="2104"/>
        <v>0.1826923077</v>
      </c>
      <c r="AZ673" s="9">
        <f>VLOOKUP(A673,Jogos!A:BN,58,0)</f>
        <v>29.485</v>
      </c>
      <c r="BA673" s="9">
        <f>VLOOKUP(A673,Jogos!A:BN,59,0)</f>
        <v>20.69</v>
      </c>
      <c r="BB673" s="9">
        <f>VLOOKUP(A673,Jogos!A:BN,60,0)</f>
        <v>58.5</v>
      </c>
      <c r="BC673" s="9">
        <f>VLOOKUP(A673,Jogos!A:BN,61,0)</f>
        <v>29.52</v>
      </c>
      <c r="BD673" s="9">
        <f>VLOOKUP(A673,Jogos!A:BN,62,0)</f>
        <v>318.05</v>
      </c>
      <c r="BE673" s="9">
        <f>VLOOKUP(A673,Jogos!A:BN,63,0)</f>
        <v>0.67</v>
      </c>
      <c r="BF673" s="9">
        <f>VLOOKUP(A673,Jogos!A:BN,64,0)</f>
        <v>24.795</v>
      </c>
      <c r="BG673" s="9">
        <f>VLOOKUP(A673,Jogos!A:BN,65,0)</f>
        <v>44.785</v>
      </c>
      <c r="BH673" s="9">
        <f>VLOOKUP(A673,Jogos!A:BN,66,0)</f>
        <v>29.26</v>
      </c>
      <c r="BI673" s="9"/>
    </row>
    <row r="674" hidden="1">
      <c r="A674" s="10">
        <v>23.0</v>
      </c>
      <c r="B674" s="11" t="s">
        <v>375</v>
      </c>
      <c r="C674" s="2" t="s">
        <v>61</v>
      </c>
      <c r="D674" s="12">
        <v>45828.0</v>
      </c>
      <c r="E674" s="13">
        <v>0.7083333333333334</v>
      </c>
      <c r="F674" s="5" t="str">
        <f>VLOOKUP(A674,Jogos!A:N,10,0)</f>
        <v>Afternoon</v>
      </c>
      <c r="G674" s="11" t="s">
        <v>1130</v>
      </c>
      <c r="H674" s="6" t="str">
        <f>VLOOKUP(A674,Jogos!A:L,12,0)</f>
        <v>Open</v>
      </c>
      <c r="I674" s="6" t="str">
        <f>VLOOKUP(G674,'Estádios e Cidades'!A:B,2,0)</f>
        <v>Nashville</v>
      </c>
      <c r="J674" s="11" t="s">
        <v>502</v>
      </c>
      <c r="K674" s="2" t="str">
        <f>VLOOKUP(J674,Equipes!A:F,6,0)</f>
        <v>Temperate</v>
      </c>
      <c r="L674" s="2">
        <f>VLOOKUP(J674,Equipes!A:C,3,0)</f>
        <v>21</v>
      </c>
      <c r="M674" s="2" t="str">
        <f t="shared" si="4"/>
        <v>Group</v>
      </c>
      <c r="N674" s="11" t="s">
        <v>378</v>
      </c>
      <c r="O674" s="2">
        <f>VLOOKUP(N674,Equipes!A:C,3,0)</f>
        <v>26</v>
      </c>
      <c r="P674" s="2" t="str">
        <f t="shared" si="5"/>
        <v>Group</v>
      </c>
      <c r="Q674" s="2">
        <f t="shared" si="6"/>
        <v>-5</v>
      </c>
      <c r="R674" s="2" t="str">
        <f>VLOOKUP(J674,Equipes!A:B,2,0)</f>
        <v>Esperance</v>
      </c>
      <c r="S674" s="6" t="s">
        <v>536</v>
      </c>
      <c r="T674" s="7">
        <v>9.0</v>
      </c>
      <c r="U674" s="7" t="s">
        <v>537</v>
      </c>
      <c r="V674" s="7" t="str">
        <f>VLOOKUP(U674,Jogadores!B:C,2,0)</f>
        <v>FW</v>
      </c>
      <c r="W674" s="8">
        <f>VLOOKUP(U674,Jogadores!B:D,3,0)</f>
        <v>29.12876712</v>
      </c>
      <c r="X674" s="7">
        <v>0.0</v>
      </c>
      <c r="Y674" s="7">
        <v>61.0</v>
      </c>
      <c r="Z674" s="7">
        <f>VLOOKUP(A674,Jogos!A:L,3,0)</f>
        <v>47</v>
      </c>
      <c r="AA674" s="7">
        <f t="shared" si="7"/>
        <v>47</v>
      </c>
      <c r="AB674" s="7">
        <f>VLOOKUP(A674,Jogos!A:L,4,0)</f>
        <v>57</v>
      </c>
      <c r="AC674" s="7">
        <f t="shared" si="2049"/>
        <v>16</v>
      </c>
      <c r="AD674" s="7"/>
      <c r="AE674" s="7"/>
      <c r="AF674" s="7">
        <f t="shared" si="9"/>
        <v>63</v>
      </c>
      <c r="AG674" s="7">
        <v>6577.5</v>
      </c>
      <c r="AH674" s="7">
        <v>2768.7</v>
      </c>
      <c r="AI674" s="7">
        <v>2617.4</v>
      </c>
      <c r="AJ674" s="7">
        <v>814.2</v>
      </c>
      <c r="AK674" s="7">
        <v>294.0</v>
      </c>
      <c r="AL674" s="7">
        <v>83.2</v>
      </c>
      <c r="AM674" s="7">
        <v>74.0</v>
      </c>
      <c r="AN674" s="7">
        <v>24.0</v>
      </c>
      <c r="AO674" s="7">
        <v>29.9</v>
      </c>
      <c r="AP674" s="9">
        <f t="shared" ref="AP674:AR674" si="2105">AG674/$AF674</f>
        <v>104.4047619</v>
      </c>
      <c r="AQ674" s="9">
        <f t="shared" si="2105"/>
        <v>43.94761905</v>
      </c>
      <c r="AR674" s="9">
        <f t="shared" si="2105"/>
        <v>41.54603175</v>
      </c>
      <c r="AS674" s="9">
        <f t="shared" si="11"/>
        <v>85.49365079</v>
      </c>
      <c r="AT674" s="9">
        <f t="shared" ref="AT674:AV674" si="2106">AJ674/$AF674</f>
        <v>12.92380952</v>
      </c>
      <c r="AU674" s="9">
        <f t="shared" si="2106"/>
        <v>4.666666667</v>
      </c>
      <c r="AV674" s="9">
        <f t="shared" si="2106"/>
        <v>1.320634921</v>
      </c>
      <c r="AW674" s="9">
        <f t="shared" si="13"/>
        <v>5.987301587</v>
      </c>
      <c r="AX674" s="9">
        <f t="shared" ref="AX674:AY674" si="2107">AM674/$AF674</f>
        <v>1.174603175</v>
      </c>
      <c r="AY674" s="9">
        <f t="shared" si="2107"/>
        <v>0.380952381</v>
      </c>
      <c r="AZ674" s="9">
        <f>VLOOKUP(A674,Jogos!A:BN,58,0)</f>
        <v>29.485</v>
      </c>
      <c r="BA674" s="9">
        <f>VLOOKUP(A674,Jogos!A:BN,59,0)</f>
        <v>20.69</v>
      </c>
      <c r="BB674" s="9">
        <f>VLOOKUP(A674,Jogos!A:BN,60,0)</f>
        <v>58.5</v>
      </c>
      <c r="BC674" s="9">
        <f>VLOOKUP(A674,Jogos!A:BN,61,0)</f>
        <v>29.52</v>
      </c>
      <c r="BD674" s="9">
        <f>VLOOKUP(A674,Jogos!A:BN,62,0)</f>
        <v>318.05</v>
      </c>
      <c r="BE674" s="9">
        <f>VLOOKUP(A674,Jogos!A:BN,63,0)</f>
        <v>0.67</v>
      </c>
      <c r="BF674" s="9">
        <f>VLOOKUP(A674,Jogos!A:BN,64,0)</f>
        <v>24.795</v>
      </c>
      <c r="BG674" s="9">
        <f>VLOOKUP(A674,Jogos!A:BN,65,0)</f>
        <v>44.785</v>
      </c>
      <c r="BH674" s="9">
        <f>VLOOKUP(A674,Jogos!A:BN,66,0)</f>
        <v>29.26</v>
      </c>
      <c r="BI674" s="9"/>
    </row>
    <row r="675" hidden="1">
      <c r="A675" s="10">
        <v>23.0</v>
      </c>
      <c r="B675" s="11" t="s">
        <v>375</v>
      </c>
      <c r="C675" s="2" t="s">
        <v>61</v>
      </c>
      <c r="D675" s="12">
        <v>45828.0</v>
      </c>
      <c r="E675" s="13">
        <v>0.7083333333333334</v>
      </c>
      <c r="F675" s="5" t="str">
        <f>VLOOKUP(A675,Jogos!A:N,10,0)</f>
        <v>Afternoon</v>
      </c>
      <c r="G675" s="11" t="s">
        <v>1130</v>
      </c>
      <c r="H675" s="6" t="str">
        <f>VLOOKUP(A675,Jogos!A:L,12,0)</f>
        <v>Open</v>
      </c>
      <c r="I675" s="6" t="str">
        <f>VLOOKUP(G675,'Estádios e Cidades'!A:B,2,0)</f>
        <v>Nashville</v>
      </c>
      <c r="J675" s="11" t="s">
        <v>502</v>
      </c>
      <c r="K675" s="2" t="str">
        <f>VLOOKUP(J675,Equipes!A:F,6,0)</f>
        <v>Temperate</v>
      </c>
      <c r="L675" s="2">
        <f>VLOOKUP(J675,Equipes!A:C,3,0)</f>
        <v>21</v>
      </c>
      <c r="M675" s="2" t="str">
        <f t="shared" si="4"/>
        <v>Group</v>
      </c>
      <c r="N675" s="11" t="s">
        <v>378</v>
      </c>
      <c r="O675" s="2">
        <f>VLOOKUP(N675,Equipes!A:C,3,0)</f>
        <v>26</v>
      </c>
      <c r="P675" s="2" t="str">
        <f t="shared" si="5"/>
        <v>Group</v>
      </c>
      <c r="Q675" s="2">
        <f t="shared" si="6"/>
        <v>-5</v>
      </c>
      <c r="R675" s="2" t="str">
        <f>VLOOKUP(J675,Equipes!A:B,2,0)</f>
        <v>Esperance</v>
      </c>
      <c r="S675" s="6" t="s">
        <v>540</v>
      </c>
      <c r="T675" s="7">
        <v>11.0</v>
      </c>
      <c r="U675" s="7" t="s">
        <v>541</v>
      </c>
      <c r="V675" s="7" t="str">
        <f>VLOOKUP(U675,Jogadores!B:C,2,0)</f>
        <v>MF</v>
      </c>
      <c r="W675" s="8">
        <f>VLOOKUP(U675,Jogadores!B:D,3,0)</f>
        <v>33.39452055</v>
      </c>
      <c r="X675" s="7">
        <v>0.0</v>
      </c>
      <c r="Y675" s="7">
        <v>91.0</v>
      </c>
      <c r="Z675" s="7">
        <f>VLOOKUP(A675,Jogos!A:L,3,0)</f>
        <v>47</v>
      </c>
      <c r="AA675" s="7">
        <f t="shared" si="7"/>
        <v>47</v>
      </c>
      <c r="AB675" s="7">
        <f>VLOOKUP(A675,Jogos!A:L,4,0)</f>
        <v>57</v>
      </c>
      <c r="AC675" s="7">
        <f t="shared" si="2049"/>
        <v>46</v>
      </c>
      <c r="AD675" s="7"/>
      <c r="AE675" s="7"/>
      <c r="AF675" s="7">
        <f t="shared" si="9"/>
        <v>93</v>
      </c>
      <c r="AG675" s="7">
        <v>7066.9</v>
      </c>
      <c r="AH675" s="7">
        <v>3835.5</v>
      </c>
      <c r="AI675" s="7">
        <v>1843.6</v>
      </c>
      <c r="AJ675" s="7">
        <v>841.5</v>
      </c>
      <c r="AK675" s="7">
        <v>373.4</v>
      </c>
      <c r="AL675" s="7">
        <v>172.8</v>
      </c>
      <c r="AM675" s="7">
        <v>72.0</v>
      </c>
      <c r="AN675" s="7">
        <v>33.0</v>
      </c>
      <c r="AO675" s="7">
        <v>32.5</v>
      </c>
      <c r="AP675" s="9">
        <f t="shared" ref="AP675:AR675" si="2108">AG675/$AF675</f>
        <v>75.98817204</v>
      </c>
      <c r="AQ675" s="9">
        <f t="shared" si="2108"/>
        <v>41.24193548</v>
      </c>
      <c r="AR675" s="9">
        <f t="shared" si="2108"/>
        <v>19.82365591</v>
      </c>
      <c r="AS675" s="9">
        <f t="shared" si="11"/>
        <v>61.0655914</v>
      </c>
      <c r="AT675" s="9">
        <f t="shared" ref="AT675:AV675" si="2109">AJ675/$AF675</f>
        <v>9.048387097</v>
      </c>
      <c r="AU675" s="9">
        <f t="shared" si="2109"/>
        <v>4.015053763</v>
      </c>
      <c r="AV675" s="9">
        <f t="shared" si="2109"/>
        <v>1.858064516</v>
      </c>
      <c r="AW675" s="9">
        <f t="shared" si="13"/>
        <v>5.87311828</v>
      </c>
      <c r="AX675" s="9">
        <f t="shared" ref="AX675:AY675" si="2110">AM675/$AF675</f>
        <v>0.7741935484</v>
      </c>
      <c r="AY675" s="9">
        <f t="shared" si="2110"/>
        <v>0.3548387097</v>
      </c>
      <c r="AZ675" s="9">
        <f>VLOOKUP(A675,Jogos!A:BN,58,0)</f>
        <v>29.485</v>
      </c>
      <c r="BA675" s="9">
        <f>VLOOKUP(A675,Jogos!A:BN,59,0)</f>
        <v>20.69</v>
      </c>
      <c r="BB675" s="9">
        <f>VLOOKUP(A675,Jogos!A:BN,60,0)</f>
        <v>58.5</v>
      </c>
      <c r="BC675" s="9">
        <f>VLOOKUP(A675,Jogos!A:BN,61,0)</f>
        <v>29.52</v>
      </c>
      <c r="BD675" s="9">
        <f>VLOOKUP(A675,Jogos!A:BN,62,0)</f>
        <v>318.05</v>
      </c>
      <c r="BE675" s="9">
        <f>VLOOKUP(A675,Jogos!A:BN,63,0)</f>
        <v>0.67</v>
      </c>
      <c r="BF675" s="9">
        <f>VLOOKUP(A675,Jogos!A:BN,64,0)</f>
        <v>24.795</v>
      </c>
      <c r="BG675" s="9">
        <f>VLOOKUP(A675,Jogos!A:BN,65,0)</f>
        <v>44.785</v>
      </c>
      <c r="BH675" s="9">
        <f>VLOOKUP(A675,Jogos!A:BN,66,0)</f>
        <v>29.26</v>
      </c>
      <c r="BI675" s="9"/>
    </row>
    <row r="676" hidden="1">
      <c r="A676" s="10">
        <v>23.0</v>
      </c>
      <c r="B676" s="11" t="s">
        <v>375</v>
      </c>
      <c r="C676" s="2" t="s">
        <v>61</v>
      </c>
      <c r="D676" s="12">
        <v>45828.0</v>
      </c>
      <c r="E676" s="13">
        <v>0.7083333333333334</v>
      </c>
      <c r="F676" s="5" t="str">
        <f>VLOOKUP(A676,Jogos!A:N,10,0)</f>
        <v>Afternoon</v>
      </c>
      <c r="G676" s="11" t="s">
        <v>1130</v>
      </c>
      <c r="H676" s="6" t="str">
        <f>VLOOKUP(A676,Jogos!A:L,12,0)</f>
        <v>Open</v>
      </c>
      <c r="I676" s="6" t="str">
        <f>VLOOKUP(G676,'Estádios e Cidades'!A:B,2,0)</f>
        <v>Nashville</v>
      </c>
      <c r="J676" s="11" t="s">
        <v>502</v>
      </c>
      <c r="K676" s="2" t="str">
        <f>VLOOKUP(J676,Equipes!A:F,6,0)</f>
        <v>Temperate</v>
      </c>
      <c r="L676" s="2">
        <f>VLOOKUP(J676,Equipes!A:C,3,0)</f>
        <v>21</v>
      </c>
      <c r="M676" s="2" t="str">
        <f t="shared" si="4"/>
        <v>Group</v>
      </c>
      <c r="N676" s="11" t="s">
        <v>378</v>
      </c>
      <c r="O676" s="2">
        <f>VLOOKUP(N676,Equipes!A:C,3,0)</f>
        <v>26</v>
      </c>
      <c r="P676" s="2" t="str">
        <f t="shared" si="5"/>
        <v>Group</v>
      </c>
      <c r="Q676" s="2">
        <f t="shared" si="6"/>
        <v>-5</v>
      </c>
      <c r="R676" s="2" t="str">
        <f>VLOOKUP(J676,Equipes!A:B,2,0)</f>
        <v>Esperance</v>
      </c>
      <c r="S676" s="6" t="s">
        <v>542</v>
      </c>
      <c r="T676" s="7">
        <v>14.0</v>
      </c>
      <c r="U676" s="7" t="s">
        <v>543</v>
      </c>
      <c r="V676" s="7" t="str">
        <f>VLOOKUP(U676,Jogadores!B:C,2,0)</f>
        <v>MF</v>
      </c>
      <c r="W676" s="8">
        <f>VLOOKUP(U676,Jogadores!B:D,3,0)</f>
        <v>22.23287671</v>
      </c>
      <c r="X676" s="7">
        <v>0.0</v>
      </c>
      <c r="Y676" s="7">
        <f t="shared" ref="Y676:Y678" si="2114">45+AB676</f>
        <v>102</v>
      </c>
      <c r="Z676" s="7">
        <f>VLOOKUP(A676,Jogos!A:L,3,0)</f>
        <v>47</v>
      </c>
      <c r="AA676" s="7">
        <f t="shared" si="7"/>
        <v>47</v>
      </c>
      <c r="AB676" s="7">
        <f>VLOOKUP(A676,Jogos!A:L,4,0)</f>
        <v>57</v>
      </c>
      <c r="AC676" s="7">
        <f t="shared" si="2049"/>
        <v>57</v>
      </c>
      <c r="AD676" s="7"/>
      <c r="AE676" s="7"/>
      <c r="AF676" s="7">
        <f t="shared" si="9"/>
        <v>104</v>
      </c>
      <c r="AG676" s="7">
        <v>10510.8</v>
      </c>
      <c r="AH676" s="7">
        <v>3987.3</v>
      </c>
      <c r="AI676" s="7">
        <v>4541.0</v>
      </c>
      <c r="AJ676" s="7">
        <v>1363.6</v>
      </c>
      <c r="AK676" s="7">
        <v>484.0</v>
      </c>
      <c r="AL676" s="7">
        <v>134.9</v>
      </c>
      <c r="AM676" s="7">
        <v>118.0</v>
      </c>
      <c r="AN676" s="7">
        <v>40.0</v>
      </c>
      <c r="AO676" s="7">
        <v>30.1</v>
      </c>
      <c r="AP676" s="9">
        <f t="shared" ref="AP676:AR676" si="2111">AG676/$AF676</f>
        <v>101.0653846</v>
      </c>
      <c r="AQ676" s="9">
        <f t="shared" si="2111"/>
        <v>38.33942308</v>
      </c>
      <c r="AR676" s="9">
        <f t="shared" si="2111"/>
        <v>43.66346154</v>
      </c>
      <c r="AS676" s="9">
        <f t="shared" si="11"/>
        <v>82.00288462</v>
      </c>
      <c r="AT676" s="9">
        <f t="shared" ref="AT676:AV676" si="2112">AJ676/$AF676</f>
        <v>13.11153846</v>
      </c>
      <c r="AU676" s="9">
        <f t="shared" si="2112"/>
        <v>4.653846154</v>
      </c>
      <c r="AV676" s="9">
        <f t="shared" si="2112"/>
        <v>1.297115385</v>
      </c>
      <c r="AW676" s="9">
        <f t="shared" si="13"/>
        <v>5.950961538</v>
      </c>
      <c r="AX676" s="9">
        <f t="shared" ref="AX676:AY676" si="2113">AM676/$AF676</f>
        <v>1.134615385</v>
      </c>
      <c r="AY676" s="9">
        <f t="shared" si="2113"/>
        <v>0.3846153846</v>
      </c>
      <c r="AZ676" s="9">
        <f>VLOOKUP(A676,Jogos!A:BN,58,0)</f>
        <v>29.485</v>
      </c>
      <c r="BA676" s="9">
        <f>VLOOKUP(A676,Jogos!A:BN,59,0)</f>
        <v>20.69</v>
      </c>
      <c r="BB676" s="9">
        <f>VLOOKUP(A676,Jogos!A:BN,60,0)</f>
        <v>58.5</v>
      </c>
      <c r="BC676" s="9">
        <f>VLOOKUP(A676,Jogos!A:BN,61,0)</f>
        <v>29.52</v>
      </c>
      <c r="BD676" s="9">
        <f>VLOOKUP(A676,Jogos!A:BN,62,0)</f>
        <v>318.05</v>
      </c>
      <c r="BE676" s="9">
        <f>VLOOKUP(A676,Jogos!A:BN,63,0)</f>
        <v>0.67</v>
      </c>
      <c r="BF676" s="9">
        <f>VLOOKUP(A676,Jogos!A:BN,64,0)</f>
        <v>24.795</v>
      </c>
      <c r="BG676" s="9">
        <f>VLOOKUP(A676,Jogos!A:BN,65,0)</f>
        <v>44.785</v>
      </c>
      <c r="BH676" s="9">
        <f>VLOOKUP(A676,Jogos!A:BN,66,0)</f>
        <v>29.26</v>
      </c>
      <c r="BI676" s="9"/>
    </row>
    <row r="677" hidden="1">
      <c r="A677" s="10">
        <v>23.0</v>
      </c>
      <c r="B677" s="11" t="s">
        <v>375</v>
      </c>
      <c r="C677" s="2" t="s">
        <v>61</v>
      </c>
      <c r="D677" s="12">
        <v>45828.0</v>
      </c>
      <c r="E677" s="13">
        <v>0.7083333333333334</v>
      </c>
      <c r="F677" s="5" t="str">
        <f>VLOOKUP(A677,Jogos!A:N,10,0)</f>
        <v>Afternoon</v>
      </c>
      <c r="G677" s="11" t="s">
        <v>1130</v>
      </c>
      <c r="H677" s="6" t="str">
        <f>VLOOKUP(A677,Jogos!A:L,12,0)</f>
        <v>Open</v>
      </c>
      <c r="I677" s="6" t="str">
        <f>VLOOKUP(G677,'Estádios e Cidades'!A:B,2,0)</f>
        <v>Nashville</v>
      </c>
      <c r="J677" s="11" t="s">
        <v>502</v>
      </c>
      <c r="K677" s="2" t="str">
        <f>VLOOKUP(J677,Equipes!A:F,6,0)</f>
        <v>Temperate</v>
      </c>
      <c r="L677" s="2">
        <f>VLOOKUP(J677,Equipes!A:C,3,0)</f>
        <v>21</v>
      </c>
      <c r="M677" s="2" t="str">
        <f t="shared" si="4"/>
        <v>Group</v>
      </c>
      <c r="N677" s="11" t="s">
        <v>378</v>
      </c>
      <c r="O677" s="2">
        <f>VLOOKUP(N677,Equipes!A:C,3,0)</f>
        <v>26</v>
      </c>
      <c r="P677" s="2" t="str">
        <f t="shared" si="5"/>
        <v>Group</v>
      </c>
      <c r="Q677" s="2">
        <f t="shared" si="6"/>
        <v>-5</v>
      </c>
      <c r="R677" s="2" t="str">
        <f>VLOOKUP(J677,Equipes!A:B,2,0)</f>
        <v>Esperance</v>
      </c>
      <c r="S677" s="6" t="s">
        <v>544</v>
      </c>
      <c r="T677" s="7">
        <v>15.0</v>
      </c>
      <c r="U677" s="7" t="s">
        <v>545</v>
      </c>
      <c r="V677" s="7" t="str">
        <f>VLOOKUP(U677,Jogadores!B:C,2,0)</f>
        <v>DF</v>
      </c>
      <c r="W677" s="8">
        <f>VLOOKUP(U677,Jogadores!B:D,3,0)</f>
        <v>25.53150685</v>
      </c>
      <c r="X677" s="7">
        <v>0.0</v>
      </c>
      <c r="Y677" s="7">
        <f t="shared" si="2114"/>
        <v>102</v>
      </c>
      <c r="Z677" s="7">
        <f>VLOOKUP(A677,Jogos!A:L,3,0)</f>
        <v>47</v>
      </c>
      <c r="AA677" s="7">
        <f t="shared" si="7"/>
        <v>47</v>
      </c>
      <c r="AB677" s="7">
        <f>VLOOKUP(A677,Jogos!A:L,4,0)</f>
        <v>57</v>
      </c>
      <c r="AC677" s="7">
        <f t="shared" si="2049"/>
        <v>57</v>
      </c>
      <c r="AD677" s="7"/>
      <c r="AE677" s="7"/>
      <c r="AF677" s="7">
        <f t="shared" si="9"/>
        <v>104</v>
      </c>
      <c r="AG677" s="7">
        <v>9542.4</v>
      </c>
      <c r="AH677" s="7">
        <v>4532.7</v>
      </c>
      <c r="AI677" s="7">
        <v>3843.3</v>
      </c>
      <c r="AJ677" s="7">
        <v>815.5</v>
      </c>
      <c r="AK677" s="7">
        <v>254.2</v>
      </c>
      <c r="AL677" s="7">
        <v>96.7</v>
      </c>
      <c r="AM677" s="7">
        <v>80.0</v>
      </c>
      <c r="AN677" s="7">
        <v>22.0</v>
      </c>
      <c r="AO677" s="7">
        <v>29.5</v>
      </c>
      <c r="AP677" s="9">
        <f t="shared" ref="AP677:AR677" si="2115">AG677/$AF677</f>
        <v>91.75384615</v>
      </c>
      <c r="AQ677" s="9">
        <f t="shared" si="2115"/>
        <v>43.58365385</v>
      </c>
      <c r="AR677" s="9">
        <f t="shared" si="2115"/>
        <v>36.95480769</v>
      </c>
      <c r="AS677" s="9">
        <f t="shared" si="11"/>
        <v>80.53846154</v>
      </c>
      <c r="AT677" s="9">
        <f t="shared" ref="AT677:AV677" si="2116">AJ677/$AF677</f>
        <v>7.841346154</v>
      </c>
      <c r="AU677" s="9">
        <f t="shared" si="2116"/>
        <v>2.444230769</v>
      </c>
      <c r="AV677" s="9">
        <f t="shared" si="2116"/>
        <v>0.9298076923</v>
      </c>
      <c r="AW677" s="9">
        <f t="shared" si="13"/>
        <v>3.374038462</v>
      </c>
      <c r="AX677" s="9">
        <f t="shared" ref="AX677:AY677" si="2117">AM677/$AF677</f>
        <v>0.7692307692</v>
      </c>
      <c r="AY677" s="9">
        <f t="shared" si="2117"/>
        <v>0.2115384615</v>
      </c>
      <c r="AZ677" s="9">
        <f>VLOOKUP(A677,Jogos!A:BN,58,0)</f>
        <v>29.485</v>
      </c>
      <c r="BA677" s="9">
        <f>VLOOKUP(A677,Jogos!A:BN,59,0)</f>
        <v>20.69</v>
      </c>
      <c r="BB677" s="9">
        <f>VLOOKUP(A677,Jogos!A:BN,60,0)</f>
        <v>58.5</v>
      </c>
      <c r="BC677" s="9">
        <f>VLOOKUP(A677,Jogos!A:BN,61,0)</f>
        <v>29.52</v>
      </c>
      <c r="BD677" s="9">
        <f>VLOOKUP(A677,Jogos!A:BN,62,0)</f>
        <v>318.05</v>
      </c>
      <c r="BE677" s="9">
        <f>VLOOKUP(A677,Jogos!A:BN,63,0)</f>
        <v>0.67</v>
      </c>
      <c r="BF677" s="9">
        <f>VLOOKUP(A677,Jogos!A:BN,64,0)</f>
        <v>24.795</v>
      </c>
      <c r="BG677" s="9">
        <f>VLOOKUP(A677,Jogos!A:BN,65,0)</f>
        <v>44.785</v>
      </c>
      <c r="BH677" s="9">
        <f>VLOOKUP(A677,Jogos!A:BN,66,0)</f>
        <v>29.26</v>
      </c>
      <c r="BI677" s="9"/>
    </row>
    <row r="678" hidden="1">
      <c r="A678" s="10">
        <v>23.0</v>
      </c>
      <c r="B678" s="11" t="s">
        <v>375</v>
      </c>
      <c r="C678" s="2" t="s">
        <v>61</v>
      </c>
      <c r="D678" s="12">
        <v>45828.0</v>
      </c>
      <c r="E678" s="13">
        <v>0.7083333333333334</v>
      </c>
      <c r="F678" s="5" t="str">
        <f>VLOOKUP(A678,Jogos!A:N,10,0)</f>
        <v>Afternoon</v>
      </c>
      <c r="G678" s="11" t="s">
        <v>1130</v>
      </c>
      <c r="H678" s="6" t="str">
        <f>VLOOKUP(A678,Jogos!A:L,12,0)</f>
        <v>Open</v>
      </c>
      <c r="I678" s="6" t="str">
        <f>VLOOKUP(G678,'Estádios e Cidades'!A:B,2,0)</f>
        <v>Nashville</v>
      </c>
      <c r="J678" s="11" t="s">
        <v>502</v>
      </c>
      <c r="K678" s="2" t="str">
        <f>VLOOKUP(J678,Equipes!A:F,6,0)</f>
        <v>Temperate</v>
      </c>
      <c r="L678" s="2">
        <f>VLOOKUP(J678,Equipes!A:C,3,0)</f>
        <v>21</v>
      </c>
      <c r="M678" s="2" t="str">
        <f t="shared" si="4"/>
        <v>Group</v>
      </c>
      <c r="N678" s="11" t="s">
        <v>378</v>
      </c>
      <c r="O678" s="2">
        <f>VLOOKUP(N678,Equipes!A:C,3,0)</f>
        <v>26</v>
      </c>
      <c r="P678" s="2" t="str">
        <f t="shared" si="5"/>
        <v>Group</v>
      </c>
      <c r="Q678" s="2">
        <f t="shared" si="6"/>
        <v>-5</v>
      </c>
      <c r="R678" s="2" t="str">
        <f>VLOOKUP(J678,Equipes!A:B,2,0)</f>
        <v>Esperance</v>
      </c>
      <c r="S678" s="6" t="s">
        <v>546</v>
      </c>
      <c r="T678" s="7">
        <v>20.0</v>
      </c>
      <c r="U678" s="7" t="s">
        <v>547</v>
      </c>
      <c r="V678" s="7" t="str">
        <f>VLOOKUP(U678,Jogadores!B:C,2,0)</f>
        <v>DF</v>
      </c>
      <c r="W678" s="8">
        <f>VLOOKUP(U678,Jogadores!B:D,3,0)</f>
        <v>29.63835616</v>
      </c>
      <c r="X678" s="7">
        <v>0.0</v>
      </c>
      <c r="Y678" s="7">
        <f t="shared" si="2114"/>
        <v>102</v>
      </c>
      <c r="Z678" s="7">
        <f>VLOOKUP(A678,Jogos!A:L,3,0)</f>
        <v>47</v>
      </c>
      <c r="AA678" s="7">
        <f t="shared" si="7"/>
        <v>47</v>
      </c>
      <c r="AB678" s="7">
        <f>VLOOKUP(A678,Jogos!A:L,4,0)</f>
        <v>57</v>
      </c>
      <c r="AC678" s="7">
        <f t="shared" si="2049"/>
        <v>57</v>
      </c>
      <c r="AD678" s="7"/>
      <c r="AE678" s="7"/>
      <c r="AF678" s="7">
        <f t="shared" si="9"/>
        <v>104</v>
      </c>
      <c r="AG678" s="7">
        <v>10554.3</v>
      </c>
      <c r="AH678" s="7">
        <v>4710.0</v>
      </c>
      <c r="AI678" s="7">
        <v>3989.9</v>
      </c>
      <c r="AJ678" s="7">
        <v>1150.6</v>
      </c>
      <c r="AK678" s="7">
        <v>483.8</v>
      </c>
      <c r="AL678" s="7">
        <v>219.9</v>
      </c>
      <c r="AM678" s="7">
        <v>96.0</v>
      </c>
      <c r="AN678" s="7">
        <v>38.0</v>
      </c>
      <c r="AO678" s="7">
        <v>32.1</v>
      </c>
      <c r="AP678" s="9">
        <f t="shared" ref="AP678:AR678" si="2118">AG678/$AF678</f>
        <v>101.4836538</v>
      </c>
      <c r="AQ678" s="9">
        <f t="shared" si="2118"/>
        <v>45.28846154</v>
      </c>
      <c r="AR678" s="9">
        <f t="shared" si="2118"/>
        <v>38.36442308</v>
      </c>
      <c r="AS678" s="9">
        <f t="shared" si="11"/>
        <v>83.65288462</v>
      </c>
      <c r="AT678" s="9">
        <f t="shared" ref="AT678:AV678" si="2119">AJ678/$AF678</f>
        <v>11.06346154</v>
      </c>
      <c r="AU678" s="9">
        <f t="shared" si="2119"/>
        <v>4.651923077</v>
      </c>
      <c r="AV678" s="9">
        <f t="shared" si="2119"/>
        <v>2.114423077</v>
      </c>
      <c r="AW678" s="9">
        <f t="shared" si="13"/>
        <v>6.766346154</v>
      </c>
      <c r="AX678" s="9">
        <f t="shared" ref="AX678:AY678" si="2120">AM678/$AF678</f>
        <v>0.9230769231</v>
      </c>
      <c r="AY678" s="9">
        <f t="shared" si="2120"/>
        <v>0.3653846154</v>
      </c>
      <c r="AZ678" s="9">
        <f>VLOOKUP(A678,Jogos!A:BN,58,0)</f>
        <v>29.485</v>
      </c>
      <c r="BA678" s="9">
        <f>VLOOKUP(A678,Jogos!A:BN,59,0)</f>
        <v>20.69</v>
      </c>
      <c r="BB678" s="9">
        <f>VLOOKUP(A678,Jogos!A:BN,60,0)</f>
        <v>58.5</v>
      </c>
      <c r="BC678" s="9">
        <f>VLOOKUP(A678,Jogos!A:BN,61,0)</f>
        <v>29.52</v>
      </c>
      <c r="BD678" s="9">
        <f>VLOOKUP(A678,Jogos!A:BN,62,0)</f>
        <v>318.05</v>
      </c>
      <c r="BE678" s="9">
        <f>VLOOKUP(A678,Jogos!A:BN,63,0)</f>
        <v>0.67</v>
      </c>
      <c r="BF678" s="9">
        <f>VLOOKUP(A678,Jogos!A:BN,64,0)</f>
        <v>24.795</v>
      </c>
      <c r="BG678" s="9">
        <f>VLOOKUP(A678,Jogos!A:BN,65,0)</f>
        <v>44.785</v>
      </c>
      <c r="BH678" s="9">
        <f>VLOOKUP(A678,Jogos!A:BN,66,0)</f>
        <v>29.26</v>
      </c>
      <c r="BI678" s="9"/>
    </row>
    <row r="679" hidden="1">
      <c r="A679" s="10">
        <v>23.0</v>
      </c>
      <c r="B679" s="11" t="s">
        <v>375</v>
      </c>
      <c r="C679" s="2" t="s">
        <v>61</v>
      </c>
      <c r="D679" s="12">
        <v>45828.0</v>
      </c>
      <c r="E679" s="13">
        <v>0.7083333333333334</v>
      </c>
      <c r="F679" s="5" t="str">
        <f>VLOOKUP(A679,Jogos!A:N,10,0)</f>
        <v>Afternoon</v>
      </c>
      <c r="G679" s="11" t="s">
        <v>1130</v>
      </c>
      <c r="H679" s="6" t="str">
        <f>VLOOKUP(A679,Jogos!A:L,12,0)</f>
        <v>Open</v>
      </c>
      <c r="I679" s="6" t="str">
        <f>VLOOKUP(G679,'Estádios e Cidades'!A:B,2,0)</f>
        <v>Nashville</v>
      </c>
      <c r="J679" s="11" t="s">
        <v>502</v>
      </c>
      <c r="K679" s="2" t="str">
        <f>VLOOKUP(J679,Equipes!A:F,6,0)</f>
        <v>Temperate</v>
      </c>
      <c r="L679" s="2">
        <f>VLOOKUP(J679,Equipes!A:C,3,0)</f>
        <v>21</v>
      </c>
      <c r="M679" s="2" t="str">
        <f t="shared" si="4"/>
        <v>Group</v>
      </c>
      <c r="N679" s="11" t="s">
        <v>378</v>
      </c>
      <c r="O679" s="2">
        <f>VLOOKUP(N679,Equipes!A:C,3,0)</f>
        <v>26</v>
      </c>
      <c r="P679" s="2" t="str">
        <f t="shared" si="5"/>
        <v>Group</v>
      </c>
      <c r="Q679" s="2">
        <f t="shared" si="6"/>
        <v>-5</v>
      </c>
      <c r="R679" s="2" t="str">
        <f>VLOOKUP(J679,Equipes!A:B,2,0)</f>
        <v>Esperance</v>
      </c>
      <c r="S679" s="6" t="s">
        <v>558</v>
      </c>
      <c r="T679" s="7">
        <v>21.0</v>
      </c>
      <c r="U679" s="7" t="s">
        <v>559</v>
      </c>
      <c r="V679" s="7" t="str">
        <f>VLOOKUP(U679,Jogadores!B:C,2,0)</f>
        <v>MF</v>
      </c>
      <c r="W679" s="8">
        <f>VLOOKUP(U679,Jogadores!B:D,3,0)</f>
        <v>19.10410959</v>
      </c>
      <c r="X679" s="7">
        <v>0.0</v>
      </c>
      <c r="Y679" s="7">
        <v>76.0</v>
      </c>
      <c r="Z679" s="7">
        <f>VLOOKUP(A679,Jogos!A:L,3,0)</f>
        <v>47</v>
      </c>
      <c r="AA679" s="7">
        <f t="shared" si="7"/>
        <v>47</v>
      </c>
      <c r="AB679" s="7">
        <f>VLOOKUP(A679,Jogos!A:L,4,0)</f>
        <v>57</v>
      </c>
      <c r="AC679" s="7">
        <f t="shared" si="2049"/>
        <v>31</v>
      </c>
      <c r="AD679" s="7"/>
      <c r="AE679" s="7"/>
      <c r="AF679" s="7">
        <f t="shared" si="9"/>
        <v>78</v>
      </c>
      <c r="AG679" s="7">
        <v>8279.4</v>
      </c>
      <c r="AH679" s="7">
        <v>3137.6</v>
      </c>
      <c r="AI679" s="7">
        <v>3534.5</v>
      </c>
      <c r="AJ679" s="7">
        <v>1158.2</v>
      </c>
      <c r="AK679" s="7">
        <v>332.2</v>
      </c>
      <c r="AL679" s="7">
        <v>116.9</v>
      </c>
      <c r="AM679" s="7">
        <v>100.0</v>
      </c>
      <c r="AN679" s="7">
        <v>27.0</v>
      </c>
      <c r="AO679" s="7">
        <v>30.5</v>
      </c>
      <c r="AP679" s="9">
        <f t="shared" ref="AP679:AR679" si="2121">AG679/$AF679</f>
        <v>106.1461538</v>
      </c>
      <c r="AQ679" s="9">
        <f t="shared" si="2121"/>
        <v>40.22564103</v>
      </c>
      <c r="AR679" s="9">
        <f t="shared" si="2121"/>
        <v>45.31410256</v>
      </c>
      <c r="AS679" s="9">
        <f t="shared" si="11"/>
        <v>85.53974359</v>
      </c>
      <c r="AT679" s="9">
        <f t="shared" ref="AT679:AV679" si="2122">AJ679/$AF679</f>
        <v>14.84871795</v>
      </c>
      <c r="AU679" s="9">
        <f t="shared" si="2122"/>
        <v>4.258974359</v>
      </c>
      <c r="AV679" s="9">
        <f t="shared" si="2122"/>
        <v>1.498717949</v>
      </c>
      <c r="AW679" s="9">
        <f t="shared" si="13"/>
        <v>5.757692308</v>
      </c>
      <c r="AX679" s="9">
        <f t="shared" ref="AX679:AY679" si="2123">AM679/$AF679</f>
        <v>1.282051282</v>
      </c>
      <c r="AY679" s="9">
        <f t="shared" si="2123"/>
        <v>0.3461538462</v>
      </c>
      <c r="AZ679" s="9">
        <f>VLOOKUP(A679,Jogos!A:BN,58,0)</f>
        <v>29.485</v>
      </c>
      <c r="BA679" s="9">
        <f>VLOOKUP(A679,Jogos!A:BN,59,0)</f>
        <v>20.69</v>
      </c>
      <c r="BB679" s="9">
        <f>VLOOKUP(A679,Jogos!A:BN,60,0)</f>
        <v>58.5</v>
      </c>
      <c r="BC679" s="9">
        <f>VLOOKUP(A679,Jogos!A:BN,61,0)</f>
        <v>29.52</v>
      </c>
      <c r="BD679" s="9">
        <f>VLOOKUP(A679,Jogos!A:BN,62,0)</f>
        <v>318.05</v>
      </c>
      <c r="BE679" s="9">
        <f>VLOOKUP(A679,Jogos!A:BN,63,0)</f>
        <v>0.67</v>
      </c>
      <c r="BF679" s="9">
        <f>VLOOKUP(A679,Jogos!A:BN,64,0)</f>
        <v>24.795</v>
      </c>
      <c r="BG679" s="9">
        <f>VLOOKUP(A679,Jogos!A:BN,65,0)</f>
        <v>44.785</v>
      </c>
      <c r="BH679" s="9">
        <f>VLOOKUP(A679,Jogos!A:BN,66,0)</f>
        <v>29.26</v>
      </c>
      <c r="BI679" s="9"/>
    </row>
    <row r="680" hidden="1">
      <c r="A680" s="10">
        <v>23.0</v>
      </c>
      <c r="B680" s="11" t="s">
        <v>375</v>
      </c>
      <c r="C680" s="2" t="s">
        <v>61</v>
      </c>
      <c r="D680" s="12">
        <v>45828.0</v>
      </c>
      <c r="E680" s="13">
        <v>0.7083333333333334</v>
      </c>
      <c r="F680" s="5" t="str">
        <f>VLOOKUP(A680,Jogos!A:N,10,0)</f>
        <v>Afternoon</v>
      </c>
      <c r="G680" s="11" t="s">
        <v>1130</v>
      </c>
      <c r="H680" s="6" t="str">
        <f>VLOOKUP(A680,Jogos!A:L,12,0)</f>
        <v>Open</v>
      </c>
      <c r="I680" s="6" t="str">
        <f>VLOOKUP(G680,'Estádios e Cidades'!A:B,2,0)</f>
        <v>Nashville</v>
      </c>
      <c r="J680" s="11" t="s">
        <v>502</v>
      </c>
      <c r="K680" s="2" t="str">
        <f>VLOOKUP(J680,Equipes!A:F,6,0)</f>
        <v>Temperate</v>
      </c>
      <c r="L680" s="2">
        <f>VLOOKUP(J680,Equipes!A:C,3,0)</f>
        <v>21</v>
      </c>
      <c r="M680" s="2" t="str">
        <f t="shared" si="4"/>
        <v>Group</v>
      </c>
      <c r="N680" s="11" t="s">
        <v>378</v>
      </c>
      <c r="O680" s="2">
        <f>VLOOKUP(N680,Equipes!A:C,3,0)</f>
        <v>26</v>
      </c>
      <c r="P680" s="2" t="str">
        <f t="shared" si="5"/>
        <v>Group</v>
      </c>
      <c r="Q680" s="2">
        <f t="shared" si="6"/>
        <v>-5</v>
      </c>
      <c r="R680" s="2" t="str">
        <f>VLOOKUP(J680,Equipes!A:B,2,0)</f>
        <v>Esperance</v>
      </c>
      <c r="S680" s="6" t="s">
        <v>560</v>
      </c>
      <c r="T680" s="7">
        <v>24.0</v>
      </c>
      <c r="U680" s="7" t="s">
        <v>561</v>
      </c>
      <c r="V680" s="7" t="str">
        <f>VLOOKUP(U680,Jogadores!B:C,2,0)</f>
        <v>FW</v>
      </c>
      <c r="W680" s="8">
        <f>VLOOKUP(U680,Jogadores!B:D,3,0)</f>
        <v>25.90410959</v>
      </c>
      <c r="X680" s="7">
        <v>0.0</v>
      </c>
      <c r="Y680" s="7">
        <v>61.0</v>
      </c>
      <c r="Z680" s="7">
        <f>VLOOKUP(A680,Jogos!A:L,3,0)</f>
        <v>47</v>
      </c>
      <c r="AA680" s="7">
        <f t="shared" si="7"/>
        <v>47</v>
      </c>
      <c r="AB680" s="7">
        <f>VLOOKUP(A680,Jogos!A:L,4,0)</f>
        <v>57</v>
      </c>
      <c r="AC680" s="7">
        <f t="shared" si="2049"/>
        <v>16</v>
      </c>
      <c r="AD680" s="7"/>
      <c r="AE680" s="7"/>
      <c r="AF680" s="7">
        <f t="shared" si="9"/>
        <v>63</v>
      </c>
      <c r="AG680" s="7">
        <v>7361.0</v>
      </c>
      <c r="AH680" s="7">
        <v>2609.6</v>
      </c>
      <c r="AI680" s="7">
        <v>2818.9</v>
      </c>
      <c r="AJ680" s="7">
        <v>1126.3</v>
      </c>
      <c r="AK680" s="7">
        <v>544.0</v>
      </c>
      <c r="AL680" s="7">
        <v>262.2</v>
      </c>
      <c r="AM680" s="7">
        <v>99.0</v>
      </c>
      <c r="AN680" s="7">
        <v>47.0</v>
      </c>
      <c r="AO680" s="7">
        <v>32.4</v>
      </c>
      <c r="AP680" s="9">
        <f t="shared" ref="AP680:AR680" si="2124">AG680/$AF680</f>
        <v>116.8412698</v>
      </c>
      <c r="AQ680" s="9">
        <f t="shared" si="2124"/>
        <v>41.42222222</v>
      </c>
      <c r="AR680" s="9">
        <f t="shared" si="2124"/>
        <v>44.74444444</v>
      </c>
      <c r="AS680" s="9">
        <f t="shared" si="11"/>
        <v>86.16666667</v>
      </c>
      <c r="AT680" s="9">
        <f t="shared" ref="AT680:AV680" si="2125">AJ680/$AF680</f>
        <v>17.87777778</v>
      </c>
      <c r="AU680" s="9">
        <f t="shared" si="2125"/>
        <v>8.634920635</v>
      </c>
      <c r="AV680" s="9">
        <f t="shared" si="2125"/>
        <v>4.161904762</v>
      </c>
      <c r="AW680" s="9">
        <f t="shared" si="13"/>
        <v>12.7968254</v>
      </c>
      <c r="AX680" s="9">
        <f t="shared" ref="AX680:AY680" si="2126">AM680/$AF680</f>
        <v>1.571428571</v>
      </c>
      <c r="AY680" s="9">
        <f t="shared" si="2126"/>
        <v>0.746031746</v>
      </c>
      <c r="AZ680" s="9">
        <f>VLOOKUP(A680,Jogos!A:BN,58,0)</f>
        <v>29.485</v>
      </c>
      <c r="BA680" s="9">
        <f>VLOOKUP(A680,Jogos!A:BN,59,0)</f>
        <v>20.69</v>
      </c>
      <c r="BB680" s="9">
        <f>VLOOKUP(A680,Jogos!A:BN,60,0)</f>
        <v>58.5</v>
      </c>
      <c r="BC680" s="9">
        <f>VLOOKUP(A680,Jogos!A:BN,61,0)</f>
        <v>29.52</v>
      </c>
      <c r="BD680" s="9">
        <f>VLOOKUP(A680,Jogos!A:BN,62,0)</f>
        <v>318.05</v>
      </c>
      <c r="BE680" s="9">
        <f>VLOOKUP(A680,Jogos!A:BN,63,0)</f>
        <v>0.67</v>
      </c>
      <c r="BF680" s="9">
        <f>VLOOKUP(A680,Jogos!A:BN,64,0)</f>
        <v>24.795</v>
      </c>
      <c r="BG680" s="9">
        <f>VLOOKUP(A680,Jogos!A:BN,65,0)</f>
        <v>44.785</v>
      </c>
      <c r="BH680" s="9">
        <f>VLOOKUP(A680,Jogos!A:BN,66,0)</f>
        <v>29.26</v>
      </c>
      <c r="BI680" s="9"/>
    </row>
    <row r="681" hidden="1">
      <c r="A681" s="10">
        <v>23.0</v>
      </c>
      <c r="B681" s="11" t="s">
        <v>375</v>
      </c>
      <c r="C681" s="2" t="s">
        <v>61</v>
      </c>
      <c r="D681" s="12">
        <v>45828.0</v>
      </c>
      <c r="E681" s="13">
        <v>0.7083333333333334</v>
      </c>
      <c r="F681" s="5" t="str">
        <f>VLOOKUP(A681,Jogos!A:N,10,0)</f>
        <v>Afternoon</v>
      </c>
      <c r="G681" s="11" t="s">
        <v>1130</v>
      </c>
      <c r="H681" s="6" t="str">
        <f>VLOOKUP(A681,Jogos!A:L,12,0)</f>
        <v>Open</v>
      </c>
      <c r="I681" s="6" t="str">
        <f>VLOOKUP(G681,'Estádios e Cidades'!A:B,2,0)</f>
        <v>Nashville</v>
      </c>
      <c r="J681" s="11" t="s">
        <v>502</v>
      </c>
      <c r="K681" s="2" t="str">
        <f>VLOOKUP(J681,Equipes!A:F,6,0)</f>
        <v>Temperate</v>
      </c>
      <c r="L681" s="2">
        <f>VLOOKUP(J681,Equipes!A:C,3,0)</f>
        <v>21</v>
      </c>
      <c r="M681" s="2" t="str">
        <f t="shared" si="4"/>
        <v>Group</v>
      </c>
      <c r="N681" s="11" t="s">
        <v>378</v>
      </c>
      <c r="O681" s="2">
        <f>VLOOKUP(N681,Equipes!A:C,3,0)</f>
        <v>26</v>
      </c>
      <c r="P681" s="2" t="str">
        <f t="shared" si="5"/>
        <v>Group</v>
      </c>
      <c r="Q681" s="2">
        <f t="shared" si="6"/>
        <v>-5</v>
      </c>
      <c r="R681" s="2" t="str">
        <f>VLOOKUP(J681,Equipes!A:B,2,0)</f>
        <v>Esperance</v>
      </c>
      <c r="S681" s="6" t="s">
        <v>550</v>
      </c>
      <c r="T681" s="7">
        <v>38.0</v>
      </c>
      <c r="U681" s="7" t="s">
        <v>551</v>
      </c>
      <c r="V681" s="7" t="str">
        <f>VLOOKUP(U681,Jogadores!B:C,2,0)</f>
        <v>MF</v>
      </c>
      <c r="W681" s="8">
        <f>VLOOKUP(U681,Jogadores!B:D,3,0)</f>
        <v>22.64383562</v>
      </c>
      <c r="X681" s="7">
        <v>0.0</v>
      </c>
      <c r="Y681" s="7">
        <f t="shared" ref="Y681:Y687" si="2130">45+AB681</f>
        <v>102</v>
      </c>
      <c r="Z681" s="7">
        <f>VLOOKUP(A681,Jogos!A:L,3,0)</f>
        <v>47</v>
      </c>
      <c r="AA681" s="7">
        <f t="shared" si="7"/>
        <v>47</v>
      </c>
      <c r="AB681" s="7">
        <f>VLOOKUP(A681,Jogos!A:L,4,0)</f>
        <v>57</v>
      </c>
      <c r="AC681" s="7">
        <f t="shared" si="2049"/>
        <v>57</v>
      </c>
      <c r="AD681" s="7"/>
      <c r="AE681" s="7"/>
      <c r="AF681" s="7">
        <f t="shared" si="9"/>
        <v>104</v>
      </c>
      <c r="AG681" s="7">
        <v>12883.3</v>
      </c>
      <c r="AH681" s="7">
        <v>4119.0</v>
      </c>
      <c r="AI681" s="7">
        <v>6083.0</v>
      </c>
      <c r="AJ681" s="7">
        <v>2037.6</v>
      </c>
      <c r="AK681" s="7">
        <v>559.6</v>
      </c>
      <c r="AL681" s="7">
        <v>84.1</v>
      </c>
      <c r="AM681" s="7">
        <v>177.0</v>
      </c>
      <c r="AN681" s="7">
        <v>43.0</v>
      </c>
      <c r="AO681" s="7">
        <v>30.1</v>
      </c>
      <c r="AP681" s="9">
        <f t="shared" ref="AP681:AR681" si="2127">AG681/$AF681</f>
        <v>123.8778846</v>
      </c>
      <c r="AQ681" s="9">
        <f t="shared" si="2127"/>
        <v>39.60576923</v>
      </c>
      <c r="AR681" s="9">
        <f t="shared" si="2127"/>
        <v>58.49038462</v>
      </c>
      <c r="AS681" s="9">
        <f t="shared" si="11"/>
        <v>98.09615385</v>
      </c>
      <c r="AT681" s="9">
        <f t="shared" ref="AT681:AV681" si="2128">AJ681/$AF681</f>
        <v>19.59230769</v>
      </c>
      <c r="AU681" s="9">
        <f t="shared" si="2128"/>
        <v>5.380769231</v>
      </c>
      <c r="AV681" s="9">
        <f t="shared" si="2128"/>
        <v>0.8086538462</v>
      </c>
      <c r="AW681" s="9">
        <f t="shared" si="13"/>
        <v>6.189423077</v>
      </c>
      <c r="AX681" s="9">
        <f t="shared" ref="AX681:AY681" si="2129">AM681/$AF681</f>
        <v>1.701923077</v>
      </c>
      <c r="AY681" s="9">
        <f t="shared" si="2129"/>
        <v>0.4134615385</v>
      </c>
      <c r="AZ681" s="9">
        <f>VLOOKUP(A681,Jogos!A:BN,58,0)</f>
        <v>29.485</v>
      </c>
      <c r="BA681" s="9">
        <f>VLOOKUP(A681,Jogos!A:BN,59,0)</f>
        <v>20.69</v>
      </c>
      <c r="BB681" s="9">
        <f>VLOOKUP(A681,Jogos!A:BN,60,0)</f>
        <v>58.5</v>
      </c>
      <c r="BC681" s="9">
        <f>VLOOKUP(A681,Jogos!A:BN,61,0)</f>
        <v>29.52</v>
      </c>
      <c r="BD681" s="9">
        <f>VLOOKUP(A681,Jogos!A:BN,62,0)</f>
        <v>318.05</v>
      </c>
      <c r="BE681" s="9">
        <f>VLOOKUP(A681,Jogos!A:BN,63,0)</f>
        <v>0.67</v>
      </c>
      <c r="BF681" s="9">
        <f>VLOOKUP(A681,Jogos!A:BN,64,0)</f>
        <v>24.795</v>
      </c>
      <c r="BG681" s="9">
        <f>VLOOKUP(A681,Jogos!A:BN,65,0)</f>
        <v>44.785</v>
      </c>
      <c r="BH681" s="9">
        <f>VLOOKUP(A681,Jogos!A:BN,66,0)</f>
        <v>29.26</v>
      </c>
      <c r="BI681" s="9"/>
    </row>
    <row r="682" hidden="1">
      <c r="A682" s="10">
        <v>23.0</v>
      </c>
      <c r="B682" s="11" t="s">
        <v>375</v>
      </c>
      <c r="C682" s="2" t="s">
        <v>61</v>
      </c>
      <c r="D682" s="12">
        <v>45828.0</v>
      </c>
      <c r="E682" s="13">
        <v>0.7083333333333334</v>
      </c>
      <c r="F682" s="5" t="str">
        <f>VLOOKUP(A682,Jogos!A:N,10,0)</f>
        <v>Afternoon</v>
      </c>
      <c r="G682" s="11" t="s">
        <v>1130</v>
      </c>
      <c r="H682" s="6" t="str">
        <f>VLOOKUP(A682,Jogos!A:L,12,0)</f>
        <v>Open</v>
      </c>
      <c r="I682" s="6" t="str">
        <f>VLOOKUP(G682,'Estádios e Cidades'!A:B,2,0)</f>
        <v>Nashville</v>
      </c>
      <c r="J682" s="11" t="s">
        <v>502</v>
      </c>
      <c r="K682" s="2" t="str">
        <f>VLOOKUP(J682,Equipes!A:F,6,0)</f>
        <v>Temperate</v>
      </c>
      <c r="L682" s="2">
        <f>VLOOKUP(J682,Equipes!A:C,3,0)</f>
        <v>21</v>
      </c>
      <c r="M682" s="2" t="str">
        <f t="shared" si="4"/>
        <v>Group</v>
      </c>
      <c r="N682" s="11" t="s">
        <v>378</v>
      </c>
      <c r="O682" s="2">
        <f>VLOOKUP(N682,Equipes!A:C,3,0)</f>
        <v>26</v>
      </c>
      <c r="P682" s="2" t="str">
        <f t="shared" si="5"/>
        <v>Group</v>
      </c>
      <c r="Q682" s="2">
        <f t="shared" si="6"/>
        <v>-5</v>
      </c>
      <c r="R682" s="2" t="str">
        <f>VLOOKUP(J682,Equipes!A:B,2,0)</f>
        <v>Esperance</v>
      </c>
      <c r="S682" s="6" t="s">
        <v>552</v>
      </c>
      <c r="T682" s="7">
        <v>4.0</v>
      </c>
      <c r="U682" s="7" t="s">
        <v>553</v>
      </c>
      <c r="V682" s="7" t="str">
        <f>VLOOKUP(U682,Jogadores!B:C,2,0)</f>
        <v>MF</v>
      </c>
      <c r="W682" s="8">
        <f>VLOOKUP(U682,Jogadores!B:D,3,0)</f>
        <v>22.1260274</v>
      </c>
      <c r="X682" s="7">
        <v>76.0</v>
      </c>
      <c r="Y682" s="7">
        <f t="shared" si="2130"/>
        <v>102</v>
      </c>
      <c r="Z682" s="7">
        <f>VLOOKUP(A682,Jogos!A:L,3,0)</f>
        <v>47</v>
      </c>
      <c r="AA682" s="7">
        <f t="shared" si="7"/>
        <v>0</v>
      </c>
      <c r="AB682" s="7">
        <f>VLOOKUP(A682,Jogos!A:L,4,0)</f>
        <v>57</v>
      </c>
      <c r="AC682" s="7">
        <f t="shared" si="2049"/>
        <v>26</v>
      </c>
      <c r="AD682" s="7"/>
      <c r="AE682" s="7"/>
      <c r="AF682" s="7">
        <f t="shared" si="9"/>
        <v>26</v>
      </c>
      <c r="AG682" s="7">
        <v>2932.5</v>
      </c>
      <c r="AH682" s="7">
        <v>893.2</v>
      </c>
      <c r="AI682" s="7">
        <v>1220.9</v>
      </c>
      <c r="AJ682" s="7">
        <v>538.5</v>
      </c>
      <c r="AK682" s="7">
        <v>163.6</v>
      </c>
      <c r="AL682" s="7">
        <v>116.3</v>
      </c>
      <c r="AM682" s="7">
        <v>55.0</v>
      </c>
      <c r="AN682" s="7">
        <v>17.0</v>
      </c>
      <c r="AO682" s="7">
        <v>29.2</v>
      </c>
      <c r="AP682" s="9">
        <f t="shared" ref="AP682:AR682" si="2131">AG682/$AF682</f>
        <v>112.7884615</v>
      </c>
      <c r="AQ682" s="9">
        <f t="shared" si="2131"/>
        <v>34.35384615</v>
      </c>
      <c r="AR682" s="9">
        <f t="shared" si="2131"/>
        <v>46.95769231</v>
      </c>
      <c r="AS682" s="9">
        <f t="shared" si="11"/>
        <v>81.31153846</v>
      </c>
      <c r="AT682" s="9">
        <f t="shared" ref="AT682:AV682" si="2132">AJ682/$AF682</f>
        <v>20.71153846</v>
      </c>
      <c r="AU682" s="9">
        <f t="shared" si="2132"/>
        <v>6.292307692</v>
      </c>
      <c r="AV682" s="9">
        <f t="shared" si="2132"/>
        <v>4.473076923</v>
      </c>
      <c r="AW682" s="9">
        <f t="shared" si="13"/>
        <v>10.76538462</v>
      </c>
      <c r="AX682" s="9">
        <f t="shared" ref="AX682:AY682" si="2133">AM682/$AF682</f>
        <v>2.115384615</v>
      </c>
      <c r="AY682" s="9">
        <f t="shared" si="2133"/>
        <v>0.6538461538</v>
      </c>
      <c r="AZ682" s="9">
        <f>VLOOKUP(A682,Jogos!A:BN,58,0)</f>
        <v>29.485</v>
      </c>
      <c r="BA682" s="9">
        <f>VLOOKUP(A682,Jogos!A:BN,59,0)</f>
        <v>20.69</v>
      </c>
      <c r="BB682" s="9">
        <f>VLOOKUP(A682,Jogos!A:BN,60,0)</f>
        <v>58.5</v>
      </c>
      <c r="BC682" s="9">
        <f>VLOOKUP(A682,Jogos!A:BN,61,0)</f>
        <v>29.52</v>
      </c>
      <c r="BD682" s="9">
        <f>VLOOKUP(A682,Jogos!A:BN,62,0)</f>
        <v>318.05</v>
      </c>
      <c r="BE682" s="9">
        <f>VLOOKUP(A682,Jogos!A:BN,63,0)</f>
        <v>0.67</v>
      </c>
      <c r="BF682" s="9">
        <f>VLOOKUP(A682,Jogos!A:BN,64,0)</f>
        <v>24.795</v>
      </c>
      <c r="BG682" s="9">
        <f>VLOOKUP(A682,Jogos!A:BN,65,0)</f>
        <v>44.785</v>
      </c>
      <c r="BH682" s="9">
        <f>VLOOKUP(A682,Jogos!A:BN,66,0)</f>
        <v>29.26</v>
      </c>
      <c r="BI682" s="9"/>
    </row>
    <row r="683" hidden="1">
      <c r="A683" s="10">
        <v>23.0</v>
      </c>
      <c r="B683" s="11" t="s">
        <v>375</v>
      </c>
      <c r="C683" s="2" t="s">
        <v>61</v>
      </c>
      <c r="D683" s="12">
        <v>45828.0</v>
      </c>
      <c r="E683" s="13">
        <v>0.7083333333333334</v>
      </c>
      <c r="F683" s="5" t="str">
        <f>VLOOKUP(A683,Jogos!A:N,10,0)</f>
        <v>Afternoon</v>
      </c>
      <c r="G683" s="11" t="s">
        <v>1130</v>
      </c>
      <c r="H683" s="6" t="str">
        <f>VLOOKUP(A683,Jogos!A:L,12,0)</f>
        <v>Open</v>
      </c>
      <c r="I683" s="6" t="str">
        <f>VLOOKUP(G683,'Estádios e Cidades'!A:B,2,0)</f>
        <v>Nashville</v>
      </c>
      <c r="J683" s="11" t="s">
        <v>502</v>
      </c>
      <c r="K683" s="2" t="str">
        <f>VLOOKUP(J683,Equipes!A:F,6,0)</f>
        <v>Temperate</v>
      </c>
      <c r="L683" s="2">
        <f>VLOOKUP(J683,Equipes!A:C,3,0)</f>
        <v>21</v>
      </c>
      <c r="M683" s="2" t="str">
        <f t="shared" si="4"/>
        <v>Group</v>
      </c>
      <c r="N683" s="11" t="s">
        <v>378</v>
      </c>
      <c r="O683" s="2">
        <f>VLOOKUP(N683,Equipes!A:C,3,0)</f>
        <v>26</v>
      </c>
      <c r="P683" s="2" t="str">
        <f t="shared" si="5"/>
        <v>Group</v>
      </c>
      <c r="Q683" s="2">
        <f t="shared" si="6"/>
        <v>-5</v>
      </c>
      <c r="R683" s="2" t="str">
        <f>VLOOKUP(J683,Equipes!A:B,2,0)</f>
        <v>Esperance</v>
      </c>
      <c r="S683" s="6" t="s">
        <v>1134</v>
      </c>
      <c r="T683" s="7">
        <v>6.0</v>
      </c>
      <c r="U683" s="7" t="s">
        <v>1135</v>
      </c>
      <c r="V683" s="7" t="str">
        <f>VLOOKUP(U683,Jogadores!B:C,2,0)</f>
        <v>DF</v>
      </c>
      <c r="W683" s="8">
        <f>VLOOKUP(U683,Jogadores!B:D,3,0)</f>
        <v>33.85205479</v>
      </c>
      <c r="X683" s="7">
        <v>91.0</v>
      </c>
      <c r="Y683" s="7">
        <f t="shared" si="2130"/>
        <v>102</v>
      </c>
      <c r="Z683" s="7">
        <f>VLOOKUP(A683,Jogos!A:L,3,0)</f>
        <v>47</v>
      </c>
      <c r="AA683" s="7">
        <f t="shared" si="7"/>
        <v>0</v>
      </c>
      <c r="AB683" s="7">
        <f>VLOOKUP(A683,Jogos!A:L,4,0)</f>
        <v>57</v>
      </c>
      <c r="AC683" s="7">
        <f t="shared" si="2049"/>
        <v>11</v>
      </c>
      <c r="AD683" s="7"/>
      <c r="AE683" s="7"/>
      <c r="AF683" s="7">
        <f t="shared" si="9"/>
        <v>11</v>
      </c>
      <c r="AG683" s="7">
        <v>897.0</v>
      </c>
      <c r="AH683" s="7">
        <v>443.2</v>
      </c>
      <c r="AI683" s="7">
        <v>350.5</v>
      </c>
      <c r="AJ683" s="7">
        <v>73.0</v>
      </c>
      <c r="AK683" s="7">
        <v>17.7</v>
      </c>
      <c r="AL683" s="7">
        <v>12.7</v>
      </c>
      <c r="AM683" s="7">
        <v>5.0</v>
      </c>
      <c r="AN683" s="7">
        <v>2.0</v>
      </c>
      <c r="AO683" s="7">
        <v>27.2</v>
      </c>
      <c r="AP683" s="9">
        <f t="shared" ref="AP683:AR683" si="2134">AG683/$AF683</f>
        <v>81.54545455</v>
      </c>
      <c r="AQ683" s="9">
        <f t="shared" si="2134"/>
        <v>40.29090909</v>
      </c>
      <c r="AR683" s="9">
        <f t="shared" si="2134"/>
        <v>31.86363636</v>
      </c>
      <c r="AS683" s="9">
        <f t="shared" si="11"/>
        <v>72.15454545</v>
      </c>
      <c r="AT683" s="9">
        <f t="shared" ref="AT683:AV683" si="2135">AJ683/$AF683</f>
        <v>6.636363636</v>
      </c>
      <c r="AU683" s="9">
        <f t="shared" si="2135"/>
        <v>1.609090909</v>
      </c>
      <c r="AV683" s="9">
        <f t="shared" si="2135"/>
        <v>1.154545455</v>
      </c>
      <c r="AW683" s="9">
        <f t="shared" si="13"/>
        <v>2.763636364</v>
      </c>
      <c r="AX683" s="9">
        <f t="shared" ref="AX683:AY683" si="2136">AM683/$AF683</f>
        <v>0.4545454545</v>
      </c>
      <c r="AY683" s="9">
        <f t="shared" si="2136"/>
        <v>0.1818181818</v>
      </c>
      <c r="AZ683" s="9">
        <f>VLOOKUP(A683,Jogos!A:BN,58,0)</f>
        <v>29.485</v>
      </c>
      <c r="BA683" s="9">
        <f>VLOOKUP(A683,Jogos!A:BN,59,0)</f>
        <v>20.69</v>
      </c>
      <c r="BB683" s="9">
        <f>VLOOKUP(A683,Jogos!A:BN,60,0)</f>
        <v>58.5</v>
      </c>
      <c r="BC683" s="9">
        <f>VLOOKUP(A683,Jogos!A:BN,61,0)</f>
        <v>29.52</v>
      </c>
      <c r="BD683" s="9">
        <f>VLOOKUP(A683,Jogos!A:BN,62,0)</f>
        <v>318.05</v>
      </c>
      <c r="BE683" s="9">
        <f>VLOOKUP(A683,Jogos!A:BN,63,0)</f>
        <v>0.67</v>
      </c>
      <c r="BF683" s="9">
        <f>VLOOKUP(A683,Jogos!A:BN,64,0)</f>
        <v>24.795</v>
      </c>
      <c r="BG683" s="9">
        <f>VLOOKUP(A683,Jogos!A:BN,65,0)</f>
        <v>44.785</v>
      </c>
      <c r="BH683" s="9">
        <f>VLOOKUP(A683,Jogos!A:BN,66,0)</f>
        <v>29.26</v>
      </c>
      <c r="BI683" s="9"/>
    </row>
    <row r="684" hidden="1">
      <c r="A684" s="10">
        <v>23.0</v>
      </c>
      <c r="B684" s="11" t="s">
        <v>375</v>
      </c>
      <c r="C684" s="2" t="s">
        <v>61</v>
      </c>
      <c r="D684" s="12">
        <v>45828.0</v>
      </c>
      <c r="E684" s="13">
        <v>0.7083333333333334</v>
      </c>
      <c r="F684" s="5" t="str">
        <f>VLOOKUP(A684,Jogos!A:N,10,0)</f>
        <v>Afternoon</v>
      </c>
      <c r="G684" s="11" t="s">
        <v>1130</v>
      </c>
      <c r="H684" s="6" t="str">
        <f>VLOOKUP(A684,Jogos!A:L,12,0)</f>
        <v>Open</v>
      </c>
      <c r="I684" s="6" t="str">
        <f>VLOOKUP(G684,'Estádios e Cidades'!A:B,2,0)</f>
        <v>Nashville</v>
      </c>
      <c r="J684" s="11" t="s">
        <v>502</v>
      </c>
      <c r="K684" s="2" t="str">
        <f>VLOOKUP(J684,Equipes!A:F,6,0)</f>
        <v>Temperate</v>
      </c>
      <c r="L684" s="2">
        <f>VLOOKUP(J684,Equipes!A:C,3,0)</f>
        <v>21</v>
      </c>
      <c r="M684" s="2" t="str">
        <f t="shared" si="4"/>
        <v>Group</v>
      </c>
      <c r="N684" s="11" t="s">
        <v>378</v>
      </c>
      <c r="O684" s="2">
        <f>VLOOKUP(N684,Equipes!A:C,3,0)</f>
        <v>26</v>
      </c>
      <c r="P684" s="2" t="str">
        <f t="shared" si="5"/>
        <v>Group</v>
      </c>
      <c r="Q684" s="2">
        <f t="shared" si="6"/>
        <v>-5</v>
      </c>
      <c r="R684" s="2" t="str">
        <f>VLOOKUP(J684,Equipes!A:B,2,0)</f>
        <v>Esperance</v>
      </c>
      <c r="S684" s="6" t="s">
        <v>538</v>
      </c>
      <c r="T684" s="7">
        <v>10.0</v>
      </c>
      <c r="U684" s="7" t="s">
        <v>539</v>
      </c>
      <c r="V684" s="7" t="str">
        <f>VLOOKUP(U684,Jogadores!B:C,2,0)</f>
        <v>MF</v>
      </c>
      <c r="W684" s="8">
        <f>VLOOKUP(U684,Jogadores!B:D,3,0)</f>
        <v>28.11232877</v>
      </c>
      <c r="X684" s="7">
        <v>61.0</v>
      </c>
      <c r="Y684" s="7">
        <f t="shared" si="2130"/>
        <v>102</v>
      </c>
      <c r="Z684" s="7">
        <f>VLOOKUP(A684,Jogos!A:L,3,0)</f>
        <v>47</v>
      </c>
      <c r="AA684" s="7">
        <f t="shared" si="7"/>
        <v>0</v>
      </c>
      <c r="AB684" s="7">
        <f>VLOOKUP(A684,Jogos!A:L,4,0)</f>
        <v>57</v>
      </c>
      <c r="AC684" s="7">
        <f t="shared" si="2049"/>
        <v>41</v>
      </c>
      <c r="AD684" s="7"/>
      <c r="AE684" s="7"/>
      <c r="AF684" s="7">
        <f t="shared" si="9"/>
        <v>41</v>
      </c>
      <c r="AG684" s="7">
        <v>4085.0</v>
      </c>
      <c r="AH684" s="7">
        <v>1852.7</v>
      </c>
      <c r="AI684" s="7">
        <v>1072.8</v>
      </c>
      <c r="AJ684" s="7">
        <v>626.9</v>
      </c>
      <c r="AK684" s="7">
        <v>368.4</v>
      </c>
      <c r="AL684" s="7">
        <v>164.2</v>
      </c>
      <c r="AM684" s="7">
        <v>56.0</v>
      </c>
      <c r="AN684" s="7">
        <v>29.0</v>
      </c>
      <c r="AO684" s="7">
        <v>31.2</v>
      </c>
      <c r="AP684" s="9">
        <f t="shared" ref="AP684:AR684" si="2137">AG684/$AF684</f>
        <v>99.63414634</v>
      </c>
      <c r="AQ684" s="9">
        <f t="shared" si="2137"/>
        <v>45.18780488</v>
      </c>
      <c r="AR684" s="9">
        <f t="shared" si="2137"/>
        <v>26.16585366</v>
      </c>
      <c r="AS684" s="9">
        <f t="shared" si="11"/>
        <v>71.35365854</v>
      </c>
      <c r="AT684" s="9">
        <f t="shared" ref="AT684:AV684" si="2138">AJ684/$AF684</f>
        <v>15.2902439</v>
      </c>
      <c r="AU684" s="9">
        <f t="shared" si="2138"/>
        <v>8.985365854</v>
      </c>
      <c r="AV684" s="9">
        <f t="shared" si="2138"/>
        <v>4.004878049</v>
      </c>
      <c r="AW684" s="9">
        <f t="shared" si="13"/>
        <v>12.9902439</v>
      </c>
      <c r="AX684" s="9">
        <f t="shared" ref="AX684:AY684" si="2139">AM684/$AF684</f>
        <v>1.365853659</v>
      </c>
      <c r="AY684" s="9">
        <f t="shared" si="2139"/>
        <v>0.7073170732</v>
      </c>
      <c r="AZ684" s="9">
        <f>VLOOKUP(A684,Jogos!A:BN,58,0)</f>
        <v>29.485</v>
      </c>
      <c r="BA684" s="9">
        <f>VLOOKUP(A684,Jogos!A:BN,59,0)</f>
        <v>20.69</v>
      </c>
      <c r="BB684" s="9">
        <f>VLOOKUP(A684,Jogos!A:BN,60,0)</f>
        <v>58.5</v>
      </c>
      <c r="BC684" s="9">
        <f>VLOOKUP(A684,Jogos!A:BN,61,0)</f>
        <v>29.52</v>
      </c>
      <c r="BD684" s="9">
        <f>VLOOKUP(A684,Jogos!A:BN,62,0)</f>
        <v>318.05</v>
      </c>
      <c r="BE684" s="9">
        <f>VLOOKUP(A684,Jogos!A:BN,63,0)</f>
        <v>0.67</v>
      </c>
      <c r="BF684" s="9">
        <f>VLOOKUP(A684,Jogos!A:BN,64,0)</f>
        <v>24.795</v>
      </c>
      <c r="BG684" s="9">
        <f>VLOOKUP(A684,Jogos!A:BN,65,0)</f>
        <v>44.785</v>
      </c>
      <c r="BH684" s="9">
        <f>VLOOKUP(A684,Jogos!A:BN,66,0)</f>
        <v>29.26</v>
      </c>
      <c r="BI684" s="9"/>
    </row>
    <row r="685" hidden="1">
      <c r="A685" s="10">
        <v>23.0</v>
      </c>
      <c r="B685" s="11" t="s">
        <v>375</v>
      </c>
      <c r="C685" s="2" t="s">
        <v>61</v>
      </c>
      <c r="D685" s="12">
        <v>45828.0</v>
      </c>
      <c r="E685" s="13">
        <v>0.7083333333333334</v>
      </c>
      <c r="F685" s="5" t="str">
        <f>VLOOKUP(A685,Jogos!A:N,10,0)</f>
        <v>Afternoon</v>
      </c>
      <c r="G685" s="11" t="s">
        <v>1130</v>
      </c>
      <c r="H685" s="6" t="str">
        <f>VLOOKUP(A685,Jogos!A:L,12,0)</f>
        <v>Open</v>
      </c>
      <c r="I685" s="6" t="str">
        <f>VLOOKUP(G685,'Estádios e Cidades'!A:B,2,0)</f>
        <v>Nashville</v>
      </c>
      <c r="J685" s="11" t="s">
        <v>502</v>
      </c>
      <c r="K685" s="2" t="str">
        <f>VLOOKUP(J685,Equipes!A:F,6,0)</f>
        <v>Temperate</v>
      </c>
      <c r="L685" s="2">
        <f>VLOOKUP(J685,Equipes!A:C,3,0)</f>
        <v>21</v>
      </c>
      <c r="M685" s="2" t="str">
        <f t="shared" si="4"/>
        <v>Group</v>
      </c>
      <c r="N685" s="11" t="s">
        <v>378</v>
      </c>
      <c r="O685" s="2">
        <f>VLOOKUP(N685,Equipes!A:C,3,0)</f>
        <v>26</v>
      </c>
      <c r="P685" s="2" t="str">
        <f t="shared" si="5"/>
        <v>Group</v>
      </c>
      <c r="Q685" s="2">
        <f t="shared" si="6"/>
        <v>-5</v>
      </c>
      <c r="R685" s="2" t="str">
        <f>VLOOKUP(J685,Equipes!A:B,2,0)</f>
        <v>Esperance</v>
      </c>
      <c r="S685" s="6" t="s">
        <v>556</v>
      </c>
      <c r="T685" s="7">
        <v>19.0</v>
      </c>
      <c r="U685" s="7" t="s">
        <v>557</v>
      </c>
      <c r="V685" s="7" t="str">
        <f>VLOOKUP(U685,Jogadores!B:C,2,0)</f>
        <v>FW</v>
      </c>
      <c r="W685" s="8">
        <f>VLOOKUP(U685,Jogadores!B:D,3,0)</f>
        <v>23.63013699</v>
      </c>
      <c r="X685" s="7">
        <v>61.0</v>
      </c>
      <c r="Y685" s="7">
        <f t="shared" si="2130"/>
        <v>102</v>
      </c>
      <c r="Z685" s="7">
        <f>VLOOKUP(A685,Jogos!A:L,3,0)</f>
        <v>47</v>
      </c>
      <c r="AA685" s="7">
        <f t="shared" si="7"/>
        <v>0</v>
      </c>
      <c r="AB685" s="7">
        <f>VLOOKUP(A685,Jogos!A:L,4,0)</f>
        <v>57</v>
      </c>
      <c r="AC685" s="7">
        <f t="shared" si="2049"/>
        <v>41</v>
      </c>
      <c r="AD685" s="7"/>
      <c r="AE685" s="7"/>
      <c r="AF685" s="7">
        <f t="shared" si="9"/>
        <v>41</v>
      </c>
      <c r="AG685" s="7">
        <v>4208.2</v>
      </c>
      <c r="AH685" s="7">
        <v>1522.1</v>
      </c>
      <c r="AI685" s="7">
        <v>1677.3</v>
      </c>
      <c r="AJ685" s="7">
        <v>503.0</v>
      </c>
      <c r="AK685" s="7">
        <v>294.6</v>
      </c>
      <c r="AL685" s="7">
        <v>211.2</v>
      </c>
      <c r="AM685" s="7">
        <v>48.0</v>
      </c>
      <c r="AN685" s="7">
        <v>29.0</v>
      </c>
      <c r="AO685" s="7">
        <v>32.6</v>
      </c>
      <c r="AP685" s="9">
        <f t="shared" ref="AP685:AR685" si="2140">AG685/$AF685</f>
        <v>102.6390244</v>
      </c>
      <c r="AQ685" s="9">
        <f t="shared" si="2140"/>
        <v>37.12439024</v>
      </c>
      <c r="AR685" s="9">
        <f t="shared" si="2140"/>
        <v>40.9097561</v>
      </c>
      <c r="AS685" s="9">
        <f t="shared" si="11"/>
        <v>78.03414634</v>
      </c>
      <c r="AT685" s="9">
        <f t="shared" ref="AT685:AV685" si="2141">AJ685/$AF685</f>
        <v>12.26829268</v>
      </c>
      <c r="AU685" s="9">
        <f t="shared" si="2141"/>
        <v>7.185365854</v>
      </c>
      <c r="AV685" s="9">
        <f t="shared" si="2141"/>
        <v>5.151219512</v>
      </c>
      <c r="AW685" s="9">
        <f t="shared" si="13"/>
        <v>12.33658537</v>
      </c>
      <c r="AX685" s="9">
        <f t="shared" ref="AX685:AY685" si="2142">AM685/$AF685</f>
        <v>1.170731707</v>
      </c>
      <c r="AY685" s="9">
        <f t="shared" si="2142"/>
        <v>0.7073170732</v>
      </c>
      <c r="AZ685" s="9">
        <f>VLOOKUP(A685,Jogos!A:BN,58,0)</f>
        <v>29.485</v>
      </c>
      <c r="BA685" s="9">
        <f>VLOOKUP(A685,Jogos!A:BN,59,0)</f>
        <v>20.69</v>
      </c>
      <c r="BB685" s="9">
        <f>VLOOKUP(A685,Jogos!A:BN,60,0)</f>
        <v>58.5</v>
      </c>
      <c r="BC685" s="9">
        <f>VLOOKUP(A685,Jogos!A:BN,61,0)</f>
        <v>29.52</v>
      </c>
      <c r="BD685" s="9">
        <f>VLOOKUP(A685,Jogos!A:BN,62,0)</f>
        <v>318.05</v>
      </c>
      <c r="BE685" s="9">
        <f>VLOOKUP(A685,Jogos!A:BN,63,0)</f>
        <v>0.67</v>
      </c>
      <c r="BF685" s="9">
        <f>VLOOKUP(A685,Jogos!A:BN,64,0)</f>
        <v>24.795</v>
      </c>
      <c r="BG685" s="9">
        <f>VLOOKUP(A685,Jogos!A:BN,65,0)</f>
        <v>44.785</v>
      </c>
      <c r="BH685" s="9">
        <f>VLOOKUP(A685,Jogos!A:BN,66,0)</f>
        <v>29.26</v>
      </c>
      <c r="BI685" s="9"/>
    </row>
    <row r="686" hidden="1">
      <c r="A686" s="2">
        <v>24.0</v>
      </c>
      <c r="B686" s="11" t="s">
        <v>121</v>
      </c>
      <c r="C686" s="2" t="s">
        <v>61</v>
      </c>
      <c r="D686" s="3">
        <v>45828.0</v>
      </c>
      <c r="E686" s="4">
        <v>0.875</v>
      </c>
      <c r="F686" s="5" t="str">
        <f>VLOOKUP(A686,Jogos!A:N,10,0)</f>
        <v>Evening</v>
      </c>
      <c r="G686" s="2" t="s">
        <v>62</v>
      </c>
      <c r="H686" s="6" t="str">
        <f>VLOOKUP(A686,Jogos!A:L,12,0)</f>
        <v>Open</v>
      </c>
      <c r="I686" s="6" t="str">
        <f>VLOOKUP(G686,'Estádios e Cidades'!A:B,2,0)</f>
        <v>Miami Gardens - Flórida</v>
      </c>
      <c r="J686" s="2" t="s">
        <v>123</v>
      </c>
      <c r="K686" s="2" t="str">
        <f>VLOOKUP(J686,Equipes!A:F,6,0)</f>
        <v>Temperate</v>
      </c>
      <c r="L686" s="2">
        <f>VLOOKUP(J686,Equipes!A:C,3,0)</f>
        <v>6</v>
      </c>
      <c r="M686" s="2" t="str">
        <f t="shared" si="4"/>
        <v>Quarter-final</v>
      </c>
      <c r="N686" s="2" t="s">
        <v>440</v>
      </c>
      <c r="O686" s="2">
        <f>VLOOKUP(N686,Equipes!A:C,3,0)</f>
        <v>24</v>
      </c>
      <c r="P686" s="2" t="str">
        <f t="shared" si="5"/>
        <v>Group</v>
      </c>
      <c r="Q686" s="2">
        <f t="shared" si="6"/>
        <v>-18</v>
      </c>
      <c r="R686" s="2" t="str">
        <f>VLOOKUP(J686,Equipes!A:B,2,0)</f>
        <v>Bayern</v>
      </c>
      <c r="S686" s="6" t="s">
        <v>125</v>
      </c>
      <c r="T686" s="7">
        <v>4.0</v>
      </c>
      <c r="U686" s="7" t="s">
        <v>126</v>
      </c>
      <c r="V686" s="7" t="str">
        <f>VLOOKUP(U686,Jogadores!B:C,2,0)</f>
        <v>DF</v>
      </c>
      <c r="W686" s="8">
        <f>VLOOKUP(U686,Jogadores!B:D,3,0)</f>
        <v>29.47945205</v>
      </c>
      <c r="X686" s="7">
        <v>0.0</v>
      </c>
      <c r="Y686" s="7">
        <f t="shared" si="2130"/>
        <v>98</v>
      </c>
      <c r="Z686" s="7">
        <f>VLOOKUP(A686,Jogos!A:L,3,0)</f>
        <v>48</v>
      </c>
      <c r="AA686" s="7">
        <f t="shared" si="7"/>
        <v>48</v>
      </c>
      <c r="AB686" s="7">
        <f>VLOOKUP(A686,Jogos!A:L,4,0)</f>
        <v>53</v>
      </c>
      <c r="AC686" s="7">
        <f t="shared" ref="AC686:AC711" si="2146">IF(X686&lt;45,if(Y686&lt;=45,0,Y686-45),Y686-X686)</f>
        <v>53</v>
      </c>
      <c r="AD686" s="7"/>
      <c r="AE686" s="7"/>
      <c r="AF686" s="7">
        <f t="shared" si="9"/>
        <v>101</v>
      </c>
      <c r="AG686" s="7">
        <v>10593.3</v>
      </c>
      <c r="AH686" s="7">
        <v>3903.6</v>
      </c>
      <c r="AI686" s="7">
        <v>4632.9</v>
      </c>
      <c r="AJ686" s="7">
        <v>1540.0</v>
      </c>
      <c r="AK686" s="7">
        <v>444.2</v>
      </c>
      <c r="AL686" s="7">
        <v>72.7</v>
      </c>
      <c r="AM686" s="7">
        <v>133.0</v>
      </c>
      <c r="AN686" s="7">
        <v>33.0</v>
      </c>
      <c r="AO686" s="7">
        <v>30.6</v>
      </c>
      <c r="AP686" s="9">
        <f t="shared" ref="AP686:AR686" si="2143">AG686/$AF686</f>
        <v>104.8841584</v>
      </c>
      <c r="AQ686" s="9">
        <f t="shared" si="2143"/>
        <v>38.64950495</v>
      </c>
      <c r="AR686" s="9">
        <f t="shared" si="2143"/>
        <v>45.87029703</v>
      </c>
      <c r="AS686" s="9">
        <f t="shared" si="11"/>
        <v>84.51980198</v>
      </c>
      <c r="AT686" s="9">
        <f t="shared" ref="AT686:AV686" si="2144">AJ686/$AF686</f>
        <v>15.24752475</v>
      </c>
      <c r="AU686" s="9">
        <f t="shared" si="2144"/>
        <v>4.398019802</v>
      </c>
      <c r="AV686" s="9">
        <f t="shared" si="2144"/>
        <v>0.7198019802</v>
      </c>
      <c r="AW686" s="9">
        <f t="shared" si="13"/>
        <v>5.117821782</v>
      </c>
      <c r="AX686" s="9">
        <f t="shared" ref="AX686:AY686" si="2145">AM686/$AF686</f>
        <v>1.316831683</v>
      </c>
      <c r="AY686" s="9">
        <f t="shared" si="2145"/>
        <v>0.3267326733</v>
      </c>
      <c r="AZ686" s="9">
        <f>VLOOKUP(A686,Jogos!A:BN,58,0)</f>
        <v>25.475</v>
      </c>
      <c r="BA686" s="9">
        <f>VLOOKUP(A686,Jogos!A:BN,59,0)</f>
        <v>22.105</v>
      </c>
      <c r="BB686" s="9">
        <f>VLOOKUP(A686,Jogos!A:BN,60,0)</f>
        <v>81.5</v>
      </c>
      <c r="BC686" s="9">
        <f>VLOOKUP(A686,Jogos!A:BN,61,0)</f>
        <v>23.645</v>
      </c>
      <c r="BD686" s="9">
        <f>VLOOKUP(A686,Jogos!A:BN,62,0)</f>
        <v>0</v>
      </c>
      <c r="BE686" s="9">
        <f>VLOOKUP(A686,Jogos!A:BN,63,0)</f>
        <v>0.89</v>
      </c>
      <c r="BF686" s="9">
        <f>VLOOKUP(A686,Jogos!A:BN,64,0)</f>
        <v>23.61</v>
      </c>
      <c r="BG686" s="9">
        <f>VLOOKUP(A686,Jogos!A:BN,65,0)</f>
        <v>40.92</v>
      </c>
      <c r="BH686" s="9">
        <f>VLOOKUP(A686,Jogos!A:BN,66,0)</f>
        <v>27.26</v>
      </c>
      <c r="BI686" s="9"/>
    </row>
    <row r="687" hidden="1">
      <c r="A687" s="2">
        <v>24.0</v>
      </c>
      <c r="B687" s="11" t="s">
        <v>121</v>
      </c>
      <c r="C687" s="2" t="s">
        <v>61</v>
      </c>
      <c r="D687" s="3">
        <v>45828.0</v>
      </c>
      <c r="E687" s="4">
        <v>0.875</v>
      </c>
      <c r="F687" s="5" t="str">
        <f>VLOOKUP(A687,Jogos!A:N,10,0)</f>
        <v>Evening</v>
      </c>
      <c r="G687" s="2" t="s">
        <v>62</v>
      </c>
      <c r="H687" s="6" t="str">
        <f>VLOOKUP(A687,Jogos!A:L,12,0)</f>
        <v>Open</v>
      </c>
      <c r="I687" s="6" t="str">
        <f>VLOOKUP(G687,'Estádios e Cidades'!A:B,2,0)</f>
        <v>Miami Gardens - Flórida</v>
      </c>
      <c r="J687" s="2" t="s">
        <v>123</v>
      </c>
      <c r="K687" s="2" t="str">
        <f>VLOOKUP(J687,Equipes!A:F,6,0)</f>
        <v>Temperate</v>
      </c>
      <c r="L687" s="2">
        <f>VLOOKUP(J687,Equipes!A:C,3,0)</f>
        <v>6</v>
      </c>
      <c r="M687" s="2" t="str">
        <f t="shared" si="4"/>
        <v>Quarter-final</v>
      </c>
      <c r="N687" s="2" t="s">
        <v>440</v>
      </c>
      <c r="O687" s="2">
        <f>VLOOKUP(N687,Equipes!A:C,3,0)</f>
        <v>24</v>
      </c>
      <c r="P687" s="2" t="str">
        <f t="shared" si="5"/>
        <v>Group</v>
      </c>
      <c r="Q687" s="2">
        <f t="shared" si="6"/>
        <v>-18</v>
      </c>
      <c r="R687" s="2" t="str">
        <f>VLOOKUP(J687,Equipes!A:B,2,0)</f>
        <v>Bayern</v>
      </c>
      <c r="S687" s="6" t="s">
        <v>127</v>
      </c>
      <c r="T687" s="7">
        <v>6.0</v>
      </c>
      <c r="U687" s="7" t="s">
        <v>128</v>
      </c>
      <c r="V687" s="7" t="str">
        <f>VLOOKUP(U687,Jogadores!B:C,2,0)</f>
        <v>MF</v>
      </c>
      <c r="W687" s="8">
        <f>VLOOKUP(U687,Jogadores!B:D,3,0)</f>
        <v>30.48767123</v>
      </c>
      <c r="X687" s="7">
        <v>0.0</v>
      </c>
      <c r="Y687" s="7">
        <f t="shared" si="2130"/>
        <v>98</v>
      </c>
      <c r="Z687" s="7">
        <f>VLOOKUP(A687,Jogos!A:L,3,0)</f>
        <v>48</v>
      </c>
      <c r="AA687" s="7">
        <f t="shared" si="7"/>
        <v>48</v>
      </c>
      <c r="AB687" s="7">
        <f>VLOOKUP(A687,Jogos!A:L,4,0)</f>
        <v>53</v>
      </c>
      <c r="AC687" s="7">
        <f t="shared" si="2146"/>
        <v>53</v>
      </c>
      <c r="AD687" s="7"/>
      <c r="AE687" s="7"/>
      <c r="AF687" s="7">
        <f t="shared" si="9"/>
        <v>101</v>
      </c>
      <c r="AG687" s="7">
        <v>11972.7</v>
      </c>
      <c r="AH687" s="7">
        <v>3768.5</v>
      </c>
      <c r="AI687" s="7">
        <v>5762.0</v>
      </c>
      <c r="AJ687" s="7">
        <v>1928.2</v>
      </c>
      <c r="AK687" s="7">
        <v>434.5</v>
      </c>
      <c r="AL687" s="7">
        <v>79.5</v>
      </c>
      <c r="AM687" s="7">
        <v>170.0</v>
      </c>
      <c r="AN687" s="7">
        <v>35.0</v>
      </c>
      <c r="AO687" s="7">
        <v>28.1</v>
      </c>
      <c r="AP687" s="9">
        <f t="shared" ref="AP687:AR687" si="2147">AG687/$AF687</f>
        <v>118.5415842</v>
      </c>
      <c r="AQ687" s="9">
        <f t="shared" si="2147"/>
        <v>37.31188119</v>
      </c>
      <c r="AR687" s="9">
        <f t="shared" si="2147"/>
        <v>57.04950495</v>
      </c>
      <c r="AS687" s="9">
        <f t="shared" si="11"/>
        <v>94.36138614</v>
      </c>
      <c r="AT687" s="9">
        <f t="shared" ref="AT687:AV687" si="2148">AJ687/$AF687</f>
        <v>19.09108911</v>
      </c>
      <c r="AU687" s="9">
        <f t="shared" si="2148"/>
        <v>4.301980198</v>
      </c>
      <c r="AV687" s="9">
        <f t="shared" si="2148"/>
        <v>0.7871287129</v>
      </c>
      <c r="AW687" s="9">
        <f t="shared" si="13"/>
        <v>5.089108911</v>
      </c>
      <c r="AX687" s="9">
        <f t="shared" ref="AX687:AY687" si="2149">AM687/$AF687</f>
        <v>1.683168317</v>
      </c>
      <c r="AY687" s="9">
        <f t="shared" si="2149"/>
        <v>0.3465346535</v>
      </c>
      <c r="AZ687" s="9">
        <f>VLOOKUP(A687,Jogos!A:BN,58,0)</f>
        <v>25.475</v>
      </c>
      <c r="BA687" s="9">
        <f>VLOOKUP(A687,Jogos!A:BN,59,0)</f>
        <v>22.105</v>
      </c>
      <c r="BB687" s="9">
        <f>VLOOKUP(A687,Jogos!A:BN,60,0)</f>
        <v>81.5</v>
      </c>
      <c r="BC687" s="9">
        <f>VLOOKUP(A687,Jogos!A:BN,61,0)</f>
        <v>23.645</v>
      </c>
      <c r="BD687" s="9">
        <f>VLOOKUP(A687,Jogos!A:BN,62,0)</f>
        <v>0</v>
      </c>
      <c r="BE687" s="9">
        <f>VLOOKUP(A687,Jogos!A:BN,63,0)</f>
        <v>0.89</v>
      </c>
      <c r="BF687" s="9">
        <f>VLOOKUP(A687,Jogos!A:BN,64,0)</f>
        <v>23.61</v>
      </c>
      <c r="BG687" s="9">
        <f>VLOOKUP(A687,Jogos!A:BN,65,0)</f>
        <v>40.92</v>
      </c>
      <c r="BH687" s="9">
        <f>VLOOKUP(A687,Jogos!A:BN,66,0)</f>
        <v>27.26</v>
      </c>
      <c r="BI687" s="9"/>
    </row>
    <row r="688" hidden="1">
      <c r="A688" s="2">
        <v>24.0</v>
      </c>
      <c r="B688" s="11" t="s">
        <v>121</v>
      </c>
      <c r="C688" s="2" t="s">
        <v>61</v>
      </c>
      <c r="D688" s="3">
        <v>45828.0</v>
      </c>
      <c r="E688" s="4">
        <v>0.875</v>
      </c>
      <c r="F688" s="5" t="str">
        <f>VLOOKUP(A688,Jogos!A:N,10,0)</f>
        <v>Evening</v>
      </c>
      <c r="G688" s="2" t="s">
        <v>62</v>
      </c>
      <c r="H688" s="6" t="str">
        <f>VLOOKUP(A688,Jogos!A:L,12,0)</f>
        <v>Open</v>
      </c>
      <c r="I688" s="6" t="str">
        <f>VLOOKUP(G688,'Estádios e Cidades'!A:B,2,0)</f>
        <v>Miami Gardens - Flórida</v>
      </c>
      <c r="J688" s="2" t="s">
        <v>123</v>
      </c>
      <c r="K688" s="2" t="str">
        <f>VLOOKUP(J688,Equipes!A:F,6,0)</f>
        <v>Temperate</v>
      </c>
      <c r="L688" s="2">
        <f>VLOOKUP(J688,Equipes!A:C,3,0)</f>
        <v>6</v>
      </c>
      <c r="M688" s="2" t="str">
        <f t="shared" si="4"/>
        <v>Quarter-final</v>
      </c>
      <c r="N688" s="2" t="s">
        <v>440</v>
      </c>
      <c r="O688" s="2">
        <f>VLOOKUP(N688,Equipes!A:C,3,0)</f>
        <v>24</v>
      </c>
      <c r="P688" s="2" t="str">
        <f t="shared" si="5"/>
        <v>Group</v>
      </c>
      <c r="Q688" s="2">
        <f t="shared" si="6"/>
        <v>-18</v>
      </c>
      <c r="R688" s="2" t="str">
        <f>VLOOKUP(J688,Equipes!A:B,2,0)</f>
        <v>Bayern</v>
      </c>
      <c r="S688" s="6" t="s">
        <v>147</v>
      </c>
      <c r="T688" s="7">
        <v>7.0</v>
      </c>
      <c r="U688" s="7" t="s">
        <v>148</v>
      </c>
      <c r="V688" s="7" t="str">
        <f>VLOOKUP(U688,Jogadores!B:C,2,0)</f>
        <v>FW</v>
      </c>
      <c r="W688" s="8">
        <f>VLOOKUP(U688,Jogadores!B:D,3,0)</f>
        <v>30.06027397</v>
      </c>
      <c r="X688" s="7">
        <v>0.0</v>
      </c>
      <c r="Y688" s="7">
        <v>57.0</v>
      </c>
      <c r="Z688" s="7">
        <f>VLOOKUP(A688,Jogos!A:L,3,0)</f>
        <v>48</v>
      </c>
      <c r="AA688" s="7">
        <f t="shared" si="7"/>
        <v>48</v>
      </c>
      <c r="AB688" s="7">
        <f>VLOOKUP(A688,Jogos!A:L,4,0)</f>
        <v>53</v>
      </c>
      <c r="AC688" s="7">
        <f t="shared" si="2146"/>
        <v>12</v>
      </c>
      <c r="AD688" s="7"/>
      <c r="AE688" s="7"/>
      <c r="AF688" s="7">
        <f t="shared" si="9"/>
        <v>60</v>
      </c>
      <c r="AG688" s="7">
        <v>6424.7</v>
      </c>
      <c r="AH688" s="7">
        <v>2628.3</v>
      </c>
      <c r="AI688" s="7">
        <v>2368.0</v>
      </c>
      <c r="AJ688" s="7">
        <v>1016.3</v>
      </c>
      <c r="AK688" s="7">
        <v>355.8</v>
      </c>
      <c r="AL688" s="7">
        <v>56.3</v>
      </c>
      <c r="AM688" s="7">
        <v>86.0</v>
      </c>
      <c r="AN688" s="7">
        <v>31.0</v>
      </c>
      <c r="AO688" s="7">
        <v>29.7</v>
      </c>
      <c r="AP688" s="9">
        <f t="shared" ref="AP688:AR688" si="2150">AG688/$AF688</f>
        <v>107.0783333</v>
      </c>
      <c r="AQ688" s="9">
        <f t="shared" si="2150"/>
        <v>43.805</v>
      </c>
      <c r="AR688" s="9">
        <f t="shared" si="2150"/>
        <v>39.46666667</v>
      </c>
      <c r="AS688" s="9">
        <f t="shared" si="11"/>
        <v>83.27166667</v>
      </c>
      <c r="AT688" s="9">
        <f t="shared" ref="AT688:AV688" si="2151">AJ688/$AF688</f>
        <v>16.93833333</v>
      </c>
      <c r="AU688" s="9">
        <f t="shared" si="2151"/>
        <v>5.93</v>
      </c>
      <c r="AV688" s="9">
        <f t="shared" si="2151"/>
        <v>0.9383333333</v>
      </c>
      <c r="AW688" s="9">
        <f t="shared" si="13"/>
        <v>6.868333333</v>
      </c>
      <c r="AX688" s="9">
        <f t="shared" ref="AX688:AY688" si="2152">AM688/$AF688</f>
        <v>1.433333333</v>
      </c>
      <c r="AY688" s="9">
        <f t="shared" si="2152"/>
        <v>0.5166666667</v>
      </c>
      <c r="AZ688" s="9">
        <f>VLOOKUP(A688,Jogos!A:BN,58,0)</f>
        <v>25.475</v>
      </c>
      <c r="BA688" s="9">
        <f>VLOOKUP(A688,Jogos!A:BN,59,0)</f>
        <v>22.105</v>
      </c>
      <c r="BB688" s="9">
        <f>VLOOKUP(A688,Jogos!A:BN,60,0)</f>
        <v>81.5</v>
      </c>
      <c r="BC688" s="9">
        <f>VLOOKUP(A688,Jogos!A:BN,61,0)</f>
        <v>23.645</v>
      </c>
      <c r="BD688" s="9">
        <f>VLOOKUP(A688,Jogos!A:BN,62,0)</f>
        <v>0</v>
      </c>
      <c r="BE688" s="9">
        <f>VLOOKUP(A688,Jogos!A:BN,63,0)</f>
        <v>0.89</v>
      </c>
      <c r="BF688" s="9">
        <f>VLOOKUP(A688,Jogos!A:BN,64,0)</f>
        <v>23.61</v>
      </c>
      <c r="BG688" s="9">
        <f>VLOOKUP(A688,Jogos!A:BN,65,0)</f>
        <v>40.92</v>
      </c>
      <c r="BH688" s="9">
        <f>VLOOKUP(A688,Jogos!A:BN,66,0)</f>
        <v>27.26</v>
      </c>
      <c r="BI688" s="9"/>
    </row>
    <row r="689" hidden="1">
      <c r="A689" s="2">
        <v>24.0</v>
      </c>
      <c r="B689" s="11" t="s">
        <v>121</v>
      </c>
      <c r="C689" s="2" t="s">
        <v>61</v>
      </c>
      <c r="D689" s="3">
        <v>45828.0</v>
      </c>
      <c r="E689" s="4">
        <v>0.875</v>
      </c>
      <c r="F689" s="5" t="str">
        <f>VLOOKUP(A689,Jogos!A:N,10,0)</f>
        <v>Evening</v>
      </c>
      <c r="G689" s="2" t="s">
        <v>62</v>
      </c>
      <c r="H689" s="6" t="str">
        <f>VLOOKUP(A689,Jogos!A:L,12,0)</f>
        <v>Open</v>
      </c>
      <c r="I689" s="6" t="str">
        <f>VLOOKUP(G689,'Estádios e Cidades'!A:B,2,0)</f>
        <v>Miami Gardens - Flórida</v>
      </c>
      <c r="J689" s="2" t="s">
        <v>123</v>
      </c>
      <c r="K689" s="2" t="str">
        <f>VLOOKUP(J689,Equipes!A:F,6,0)</f>
        <v>Temperate</v>
      </c>
      <c r="L689" s="2">
        <f>VLOOKUP(J689,Equipes!A:C,3,0)</f>
        <v>6</v>
      </c>
      <c r="M689" s="2" t="str">
        <f t="shared" si="4"/>
        <v>Quarter-final</v>
      </c>
      <c r="N689" s="2" t="s">
        <v>440</v>
      </c>
      <c r="O689" s="2">
        <f>VLOOKUP(N689,Equipes!A:C,3,0)</f>
        <v>24</v>
      </c>
      <c r="P689" s="2" t="str">
        <f t="shared" si="5"/>
        <v>Group</v>
      </c>
      <c r="Q689" s="2">
        <f t="shared" si="6"/>
        <v>-18</v>
      </c>
      <c r="R689" s="2" t="str">
        <f>VLOOKUP(J689,Equipes!A:B,2,0)</f>
        <v>Bayern</v>
      </c>
      <c r="S689" s="6" t="s">
        <v>1136</v>
      </c>
      <c r="T689" s="7">
        <v>8.0</v>
      </c>
      <c r="U689" s="7" t="s">
        <v>1137</v>
      </c>
      <c r="V689" s="7" t="str">
        <f>VLOOKUP(U689,Jogadores!B:C,2,0)</f>
        <v>MF</v>
      </c>
      <c r="W689" s="8">
        <f>VLOOKUP(U689,Jogadores!B:D,3,0)</f>
        <v>30.49315068</v>
      </c>
      <c r="X689" s="7">
        <v>0.0</v>
      </c>
      <c r="Y689" s="7">
        <v>57.0</v>
      </c>
      <c r="Z689" s="7">
        <f>VLOOKUP(A689,Jogos!A:L,3,0)</f>
        <v>48</v>
      </c>
      <c r="AA689" s="7">
        <f t="shared" si="7"/>
        <v>48</v>
      </c>
      <c r="AB689" s="7">
        <f>VLOOKUP(A689,Jogos!A:L,4,0)</f>
        <v>53</v>
      </c>
      <c r="AC689" s="7">
        <f t="shared" si="2146"/>
        <v>12</v>
      </c>
      <c r="AD689" s="7"/>
      <c r="AE689" s="7"/>
      <c r="AF689" s="7">
        <f t="shared" si="9"/>
        <v>60</v>
      </c>
      <c r="AG689" s="7">
        <v>6558.7</v>
      </c>
      <c r="AH689" s="7">
        <v>2520.6</v>
      </c>
      <c r="AI689" s="7">
        <v>2814.2</v>
      </c>
      <c r="AJ689" s="7">
        <v>958.3</v>
      </c>
      <c r="AK689" s="7">
        <v>227.7</v>
      </c>
      <c r="AL689" s="7">
        <v>38.1</v>
      </c>
      <c r="AM689" s="7">
        <v>84.0</v>
      </c>
      <c r="AN689" s="7">
        <v>17.0</v>
      </c>
      <c r="AO689" s="7">
        <v>28.9</v>
      </c>
      <c r="AP689" s="9">
        <f t="shared" ref="AP689:AR689" si="2153">AG689/$AF689</f>
        <v>109.3116667</v>
      </c>
      <c r="AQ689" s="9">
        <f t="shared" si="2153"/>
        <v>42.01</v>
      </c>
      <c r="AR689" s="9">
        <f t="shared" si="2153"/>
        <v>46.90333333</v>
      </c>
      <c r="AS689" s="9">
        <f t="shared" si="11"/>
        <v>88.91333333</v>
      </c>
      <c r="AT689" s="9">
        <f t="shared" ref="AT689:AV689" si="2154">AJ689/$AF689</f>
        <v>15.97166667</v>
      </c>
      <c r="AU689" s="9">
        <f t="shared" si="2154"/>
        <v>3.795</v>
      </c>
      <c r="AV689" s="9">
        <f t="shared" si="2154"/>
        <v>0.635</v>
      </c>
      <c r="AW689" s="9">
        <f t="shared" si="13"/>
        <v>4.43</v>
      </c>
      <c r="AX689" s="9">
        <f t="shared" ref="AX689:AY689" si="2155">AM689/$AF689</f>
        <v>1.4</v>
      </c>
      <c r="AY689" s="9">
        <f t="shared" si="2155"/>
        <v>0.2833333333</v>
      </c>
      <c r="AZ689" s="9">
        <f>VLOOKUP(A689,Jogos!A:BN,58,0)</f>
        <v>25.475</v>
      </c>
      <c r="BA689" s="9">
        <f>VLOOKUP(A689,Jogos!A:BN,59,0)</f>
        <v>22.105</v>
      </c>
      <c r="BB689" s="9">
        <f>VLOOKUP(A689,Jogos!A:BN,60,0)</f>
        <v>81.5</v>
      </c>
      <c r="BC689" s="9">
        <f>VLOOKUP(A689,Jogos!A:BN,61,0)</f>
        <v>23.645</v>
      </c>
      <c r="BD689" s="9">
        <f>VLOOKUP(A689,Jogos!A:BN,62,0)</f>
        <v>0</v>
      </c>
      <c r="BE689" s="9">
        <f>VLOOKUP(A689,Jogos!A:BN,63,0)</f>
        <v>0.89</v>
      </c>
      <c r="BF689" s="9">
        <f>VLOOKUP(A689,Jogos!A:BN,64,0)</f>
        <v>23.61</v>
      </c>
      <c r="BG689" s="9">
        <f>VLOOKUP(A689,Jogos!A:BN,65,0)</f>
        <v>40.92</v>
      </c>
      <c r="BH689" s="9">
        <f>VLOOKUP(A689,Jogos!A:BN,66,0)</f>
        <v>27.26</v>
      </c>
      <c r="BI689" s="9"/>
    </row>
    <row r="690" hidden="1">
      <c r="A690" s="2">
        <v>24.0</v>
      </c>
      <c r="B690" s="11" t="s">
        <v>121</v>
      </c>
      <c r="C690" s="2" t="s">
        <v>61</v>
      </c>
      <c r="D690" s="3">
        <v>45828.0</v>
      </c>
      <c r="E690" s="4">
        <v>0.875</v>
      </c>
      <c r="F690" s="5" t="str">
        <f>VLOOKUP(A690,Jogos!A:N,10,0)</f>
        <v>Evening</v>
      </c>
      <c r="G690" s="2" t="s">
        <v>62</v>
      </c>
      <c r="H690" s="6" t="str">
        <f>VLOOKUP(A690,Jogos!A:L,12,0)</f>
        <v>Open</v>
      </c>
      <c r="I690" s="6" t="str">
        <f>VLOOKUP(G690,'Estádios e Cidades'!A:B,2,0)</f>
        <v>Miami Gardens - Flórida</v>
      </c>
      <c r="J690" s="2" t="s">
        <v>123</v>
      </c>
      <c r="K690" s="2" t="str">
        <f>VLOOKUP(J690,Equipes!A:F,6,0)</f>
        <v>Temperate</v>
      </c>
      <c r="L690" s="2">
        <f>VLOOKUP(J690,Equipes!A:C,3,0)</f>
        <v>6</v>
      </c>
      <c r="M690" s="2" t="str">
        <f t="shared" si="4"/>
        <v>Quarter-final</v>
      </c>
      <c r="N690" s="2" t="s">
        <v>440</v>
      </c>
      <c r="O690" s="2">
        <f>VLOOKUP(N690,Equipes!A:C,3,0)</f>
        <v>24</v>
      </c>
      <c r="P690" s="2" t="str">
        <f t="shared" si="5"/>
        <v>Group</v>
      </c>
      <c r="Q690" s="2">
        <f t="shared" si="6"/>
        <v>-18</v>
      </c>
      <c r="R690" s="2" t="str">
        <f>VLOOKUP(J690,Equipes!A:B,2,0)</f>
        <v>Bayern</v>
      </c>
      <c r="S690" s="6" t="s">
        <v>129</v>
      </c>
      <c r="T690" s="7">
        <v>9.0</v>
      </c>
      <c r="U690" s="7" t="s">
        <v>130</v>
      </c>
      <c r="V690" s="7" t="str">
        <f>VLOOKUP(U690,Jogadores!B:C,2,0)</f>
        <v>FW</v>
      </c>
      <c r="W690" s="8">
        <f>VLOOKUP(U690,Jogadores!B:D,3,0)</f>
        <v>32.02191781</v>
      </c>
      <c r="X690" s="7">
        <v>0.0</v>
      </c>
      <c r="Y690" s="7">
        <f>45+AB690</f>
        <v>98</v>
      </c>
      <c r="Z690" s="7">
        <f>VLOOKUP(A690,Jogos!A:L,3,0)</f>
        <v>48</v>
      </c>
      <c r="AA690" s="7">
        <f t="shared" si="7"/>
        <v>48</v>
      </c>
      <c r="AB690" s="7">
        <f>VLOOKUP(A690,Jogos!A:L,4,0)</f>
        <v>53</v>
      </c>
      <c r="AC690" s="7">
        <f t="shared" si="2146"/>
        <v>53</v>
      </c>
      <c r="AD690" s="7"/>
      <c r="AE690" s="7"/>
      <c r="AF690" s="7">
        <f t="shared" si="9"/>
        <v>101</v>
      </c>
      <c r="AG690" s="7">
        <v>10877.6</v>
      </c>
      <c r="AH690" s="7">
        <v>4316.1</v>
      </c>
      <c r="AI690" s="7">
        <v>4659.6</v>
      </c>
      <c r="AJ690" s="7">
        <v>1356.7</v>
      </c>
      <c r="AK690" s="7">
        <v>460.2</v>
      </c>
      <c r="AL690" s="7">
        <v>85.0</v>
      </c>
      <c r="AM690" s="7">
        <v>121.0</v>
      </c>
      <c r="AN690" s="7">
        <v>27.0</v>
      </c>
      <c r="AO690" s="7">
        <v>27.2</v>
      </c>
      <c r="AP690" s="9">
        <f t="shared" ref="AP690:AR690" si="2156">AG690/$AF690</f>
        <v>107.6990099</v>
      </c>
      <c r="AQ690" s="9">
        <f t="shared" si="2156"/>
        <v>42.73366337</v>
      </c>
      <c r="AR690" s="9">
        <f t="shared" si="2156"/>
        <v>46.13465347</v>
      </c>
      <c r="AS690" s="9">
        <f t="shared" si="11"/>
        <v>88.86831683</v>
      </c>
      <c r="AT690" s="9">
        <f t="shared" ref="AT690:AV690" si="2157">AJ690/$AF690</f>
        <v>13.43267327</v>
      </c>
      <c r="AU690" s="9">
        <f t="shared" si="2157"/>
        <v>4.556435644</v>
      </c>
      <c r="AV690" s="9">
        <f t="shared" si="2157"/>
        <v>0.8415841584</v>
      </c>
      <c r="AW690" s="9">
        <f t="shared" si="13"/>
        <v>5.398019802</v>
      </c>
      <c r="AX690" s="9">
        <f t="shared" ref="AX690:AY690" si="2158">AM690/$AF690</f>
        <v>1.198019802</v>
      </c>
      <c r="AY690" s="9">
        <f t="shared" si="2158"/>
        <v>0.2673267327</v>
      </c>
      <c r="AZ690" s="9">
        <f>VLOOKUP(A690,Jogos!A:BN,58,0)</f>
        <v>25.475</v>
      </c>
      <c r="BA690" s="9">
        <f>VLOOKUP(A690,Jogos!A:BN,59,0)</f>
        <v>22.105</v>
      </c>
      <c r="BB690" s="9">
        <f>VLOOKUP(A690,Jogos!A:BN,60,0)</f>
        <v>81.5</v>
      </c>
      <c r="BC690" s="9">
        <f>VLOOKUP(A690,Jogos!A:BN,61,0)</f>
        <v>23.645</v>
      </c>
      <c r="BD690" s="9">
        <f>VLOOKUP(A690,Jogos!A:BN,62,0)</f>
        <v>0</v>
      </c>
      <c r="BE690" s="9">
        <f>VLOOKUP(A690,Jogos!A:BN,63,0)</f>
        <v>0.89</v>
      </c>
      <c r="BF690" s="9">
        <f>VLOOKUP(A690,Jogos!A:BN,64,0)</f>
        <v>23.61</v>
      </c>
      <c r="BG690" s="9">
        <f>VLOOKUP(A690,Jogos!A:BN,65,0)</f>
        <v>40.92</v>
      </c>
      <c r="BH690" s="9">
        <f>VLOOKUP(A690,Jogos!A:BN,66,0)</f>
        <v>27.26</v>
      </c>
      <c r="BI690" s="9"/>
    </row>
    <row r="691" hidden="1">
      <c r="A691" s="2">
        <v>24.0</v>
      </c>
      <c r="B691" s="11" t="s">
        <v>121</v>
      </c>
      <c r="C691" s="2" t="s">
        <v>61</v>
      </c>
      <c r="D691" s="3">
        <v>45828.0</v>
      </c>
      <c r="E691" s="4">
        <v>0.875</v>
      </c>
      <c r="F691" s="5" t="str">
        <f>VLOOKUP(A691,Jogos!A:N,10,0)</f>
        <v>Evening</v>
      </c>
      <c r="G691" s="2" t="s">
        <v>62</v>
      </c>
      <c r="H691" s="6" t="str">
        <f>VLOOKUP(A691,Jogos!A:L,12,0)</f>
        <v>Open</v>
      </c>
      <c r="I691" s="6" t="str">
        <f>VLOOKUP(G691,'Estádios e Cidades'!A:B,2,0)</f>
        <v>Miami Gardens - Flórida</v>
      </c>
      <c r="J691" s="2" t="s">
        <v>123</v>
      </c>
      <c r="K691" s="2" t="str">
        <f>VLOOKUP(J691,Equipes!A:F,6,0)</f>
        <v>Temperate</v>
      </c>
      <c r="L691" s="2">
        <f>VLOOKUP(J691,Equipes!A:C,3,0)</f>
        <v>6</v>
      </c>
      <c r="M691" s="2" t="str">
        <f t="shared" si="4"/>
        <v>Quarter-final</v>
      </c>
      <c r="N691" s="2" t="s">
        <v>440</v>
      </c>
      <c r="O691" s="2">
        <f>VLOOKUP(N691,Equipes!A:C,3,0)</f>
        <v>24</v>
      </c>
      <c r="P691" s="2" t="str">
        <f t="shared" si="5"/>
        <v>Group</v>
      </c>
      <c r="Q691" s="2">
        <f t="shared" si="6"/>
        <v>-18</v>
      </c>
      <c r="R691" s="2" t="str">
        <f>VLOOKUP(J691,Equipes!A:B,2,0)</f>
        <v>Bayern</v>
      </c>
      <c r="S691" s="6" t="s">
        <v>131</v>
      </c>
      <c r="T691" s="7">
        <v>11.0</v>
      </c>
      <c r="U691" s="7" t="s">
        <v>132</v>
      </c>
      <c r="V691" s="7" t="str">
        <f>VLOOKUP(U691,Jogadores!B:C,2,0)</f>
        <v>FW</v>
      </c>
      <c r="W691" s="8">
        <f>VLOOKUP(U691,Jogadores!B:D,3,0)</f>
        <v>29.14246575</v>
      </c>
      <c r="X691" s="7">
        <v>0.0</v>
      </c>
      <c r="Y691" s="7">
        <v>67.0</v>
      </c>
      <c r="Z691" s="7">
        <f>VLOOKUP(A691,Jogos!A:L,3,0)</f>
        <v>48</v>
      </c>
      <c r="AA691" s="7">
        <f t="shared" si="7"/>
        <v>48</v>
      </c>
      <c r="AB691" s="7">
        <f>VLOOKUP(A691,Jogos!A:L,4,0)</f>
        <v>53</v>
      </c>
      <c r="AC691" s="7">
        <f t="shared" si="2146"/>
        <v>22</v>
      </c>
      <c r="AD691" s="7"/>
      <c r="AE691" s="7"/>
      <c r="AF691" s="7">
        <f t="shared" si="9"/>
        <v>70</v>
      </c>
      <c r="AG691" s="7">
        <v>7528.1</v>
      </c>
      <c r="AH691" s="7">
        <v>3083.3</v>
      </c>
      <c r="AI691" s="7">
        <v>2868.1</v>
      </c>
      <c r="AJ691" s="7">
        <v>906.4</v>
      </c>
      <c r="AK691" s="7">
        <v>503.6</v>
      </c>
      <c r="AL691" s="7">
        <v>166.7</v>
      </c>
      <c r="AM691" s="7">
        <v>81.0</v>
      </c>
      <c r="AN691" s="7">
        <v>41.0</v>
      </c>
      <c r="AO691" s="7">
        <v>32.7</v>
      </c>
      <c r="AP691" s="9">
        <f t="shared" ref="AP691:AR691" si="2159">AG691/$AF691</f>
        <v>107.5442857</v>
      </c>
      <c r="AQ691" s="9">
        <f t="shared" si="2159"/>
        <v>44.04714286</v>
      </c>
      <c r="AR691" s="9">
        <f t="shared" si="2159"/>
        <v>40.97285714</v>
      </c>
      <c r="AS691" s="9">
        <f t="shared" si="11"/>
        <v>85.02</v>
      </c>
      <c r="AT691" s="9">
        <f t="shared" ref="AT691:AV691" si="2160">AJ691/$AF691</f>
        <v>12.94857143</v>
      </c>
      <c r="AU691" s="9">
        <f t="shared" si="2160"/>
        <v>7.194285714</v>
      </c>
      <c r="AV691" s="9">
        <f t="shared" si="2160"/>
        <v>2.381428571</v>
      </c>
      <c r="AW691" s="9">
        <f t="shared" si="13"/>
        <v>9.575714286</v>
      </c>
      <c r="AX691" s="9">
        <f t="shared" ref="AX691:AY691" si="2161">AM691/$AF691</f>
        <v>1.157142857</v>
      </c>
      <c r="AY691" s="9">
        <f t="shared" si="2161"/>
        <v>0.5857142857</v>
      </c>
      <c r="AZ691" s="9">
        <f>VLOOKUP(A691,Jogos!A:BN,58,0)</f>
        <v>25.475</v>
      </c>
      <c r="BA691" s="9">
        <f>VLOOKUP(A691,Jogos!A:BN,59,0)</f>
        <v>22.105</v>
      </c>
      <c r="BB691" s="9">
        <f>VLOOKUP(A691,Jogos!A:BN,60,0)</f>
        <v>81.5</v>
      </c>
      <c r="BC691" s="9">
        <f>VLOOKUP(A691,Jogos!A:BN,61,0)</f>
        <v>23.645</v>
      </c>
      <c r="BD691" s="9">
        <f>VLOOKUP(A691,Jogos!A:BN,62,0)</f>
        <v>0</v>
      </c>
      <c r="BE691" s="9">
        <f>VLOOKUP(A691,Jogos!A:BN,63,0)</f>
        <v>0.89</v>
      </c>
      <c r="BF691" s="9">
        <f>VLOOKUP(A691,Jogos!A:BN,64,0)</f>
        <v>23.61</v>
      </c>
      <c r="BG691" s="9">
        <f>VLOOKUP(A691,Jogos!A:BN,65,0)</f>
        <v>40.92</v>
      </c>
      <c r="BH691" s="9">
        <f>VLOOKUP(A691,Jogos!A:BN,66,0)</f>
        <v>27.26</v>
      </c>
      <c r="BI691" s="9"/>
    </row>
    <row r="692" hidden="1">
      <c r="A692" s="2">
        <v>24.0</v>
      </c>
      <c r="B692" s="11" t="s">
        <v>121</v>
      </c>
      <c r="C692" s="2" t="s">
        <v>61</v>
      </c>
      <c r="D692" s="3">
        <v>45828.0</v>
      </c>
      <c r="E692" s="4">
        <v>0.875</v>
      </c>
      <c r="F692" s="5" t="str">
        <f>VLOOKUP(A692,Jogos!A:N,10,0)</f>
        <v>Evening</v>
      </c>
      <c r="G692" s="2" t="s">
        <v>62</v>
      </c>
      <c r="H692" s="6" t="str">
        <f>VLOOKUP(A692,Jogos!A:L,12,0)</f>
        <v>Open</v>
      </c>
      <c r="I692" s="6" t="str">
        <f>VLOOKUP(G692,'Estádios e Cidades'!A:B,2,0)</f>
        <v>Miami Gardens - Flórida</v>
      </c>
      <c r="J692" s="2" t="s">
        <v>123</v>
      </c>
      <c r="K692" s="2" t="str">
        <f>VLOOKUP(J692,Equipes!A:F,6,0)</f>
        <v>Temperate</v>
      </c>
      <c r="L692" s="2">
        <f>VLOOKUP(J692,Equipes!A:C,3,0)</f>
        <v>6</v>
      </c>
      <c r="M692" s="2" t="str">
        <f t="shared" si="4"/>
        <v>Quarter-final</v>
      </c>
      <c r="N692" s="2" t="s">
        <v>440</v>
      </c>
      <c r="O692" s="2">
        <f>VLOOKUP(N692,Equipes!A:C,3,0)</f>
        <v>24</v>
      </c>
      <c r="P692" s="2" t="str">
        <f t="shared" si="5"/>
        <v>Group</v>
      </c>
      <c r="Q692" s="2">
        <f t="shared" si="6"/>
        <v>-18</v>
      </c>
      <c r="R692" s="2" t="str">
        <f>VLOOKUP(J692,Equipes!A:B,2,0)</f>
        <v>Bayern</v>
      </c>
      <c r="S692" s="6" t="s">
        <v>133</v>
      </c>
      <c r="T692" s="7">
        <v>17.0</v>
      </c>
      <c r="U692" s="7" t="s">
        <v>134</v>
      </c>
      <c r="V692" s="7" t="str">
        <f>VLOOKUP(U692,Jogadores!B:C,2,0)</f>
        <v>FW</v>
      </c>
      <c r="W692" s="8">
        <f>VLOOKUP(U692,Jogadores!B:D,3,0)</f>
        <v>23.64109589</v>
      </c>
      <c r="X692" s="7">
        <v>0.0</v>
      </c>
      <c r="Y692" s="7">
        <f>45+AB692</f>
        <v>98</v>
      </c>
      <c r="Z692" s="7">
        <f>VLOOKUP(A692,Jogos!A:L,3,0)</f>
        <v>48</v>
      </c>
      <c r="AA692" s="7">
        <f t="shared" si="7"/>
        <v>48</v>
      </c>
      <c r="AB692" s="7">
        <f>VLOOKUP(A692,Jogos!A:L,4,0)</f>
        <v>53</v>
      </c>
      <c r="AC692" s="7">
        <f t="shared" si="2146"/>
        <v>53</v>
      </c>
      <c r="AD692" s="7"/>
      <c r="AE692" s="7"/>
      <c r="AF692" s="7">
        <f t="shared" si="9"/>
        <v>101</v>
      </c>
      <c r="AG692" s="7">
        <v>10715.3</v>
      </c>
      <c r="AH692" s="7">
        <v>3932.1</v>
      </c>
      <c r="AI692" s="7">
        <v>4475.2</v>
      </c>
      <c r="AJ692" s="7">
        <v>1333.7</v>
      </c>
      <c r="AK692" s="7">
        <v>732.0</v>
      </c>
      <c r="AL692" s="7">
        <v>242.3</v>
      </c>
      <c r="AM692" s="7">
        <v>122.0</v>
      </c>
      <c r="AN692" s="7">
        <v>56.0</v>
      </c>
      <c r="AO692" s="7">
        <v>30.5</v>
      </c>
      <c r="AP692" s="9">
        <f t="shared" ref="AP692:AR692" si="2162">AG692/$AF692</f>
        <v>106.0920792</v>
      </c>
      <c r="AQ692" s="9">
        <f t="shared" si="2162"/>
        <v>38.93168317</v>
      </c>
      <c r="AR692" s="9">
        <f t="shared" si="2162"/>
        <v>44.30891089</v>
      </c>
      <c r="AS692" s="9">
        <f t="shared" si="11"/>
        <v>83.24059406</v>
      </c>
      <c r="AT692" s="9">
        <f t="shared" ref="AT692:AV692" si="2163">AJ692/$AF692</f>
        <v>13.2049505</v>
      </c>
      <c r="AU692" s="9">
        <f t="shared" si="2163"/>
        <v>7.247524752</v>
      </c>
      <c r="AV692" s="9">
        <f t="shared" si="2163"/>
        <v>2.399009901</v>
      </c>
      <c r="AW692" s="9">
        <f t="shared" si="13"/>
        <v>9.646534653</v>
      </c>
      <c r="AX692" s="9">
        <f t="shared" ref="AX692:AY692" si="2164">AM692/$AF692</f>
        <v>1.207920792</v>
      </c>
      <c r="AY692" s="9">
        <f t="shared" si="2164"/>
        <v>0.5544554455</v>
      </c>
      <c r="AZ692" s="9">
        <f>VLOOKUP(A692,Jogos!A:BN,58,0)</f>
        <v>25.475</v>
      </c>
      <c r="BA692" s="9">
        <f>VLOOKUP(A692,Jogos!A:BN,59,0)</f>
        <v>22.105</v>
      </c>
      <c r="BB692" s="9">
        <f>VLOOKUP(A692,Jogos!A:BN,60,0)</f>
        <v>81.5</v>
      </c>
      <c r="BC692" s="9">
        <f>VLOOKUP(A692,Jogos!A:BN,61,0)</f>
        <v>23.645</v>
      </c>
      <c r="BD692" s="9">
        <f>VLOOKUP(A692,Jogos!A:BN,62,0)</f>
        <v>0</v>
      </c>
      <c r="BE692" s="9">
        <f>VLOOKUP(A692,Jogos!A:BN,63,0)</f>
        <v>0.89</v>
      </c>
      <c r="BF692" s="9">
        <f>VLOOKUP(A692,Jogos!A:BN,64,0)</f>
        <v>23.61</v>
      </c>
      <c r="BG692" s="9">
        <f>VLOOKUP(A692,Jogos!A:BN,65,0)</f>
        <v>40.92</v>
      </c>
      <c r="BH692" s="9">
        <f>VLOOKUP(A692,Jogos!A:BN,66,0)</f>
        <v>27.26</v>
      </c>
      <c r="BI692" s="9"/>
    </row>
    <row r="693" hidden="1">
      <c r="A693" s="2">
        <v>24.0</v>
      </c>
      <c r="B693" s="11" t="s">
        <v>121</v>
      </c>
      <c r="C693" s="2" t="s">
        <v>61</v>
      </c>
      <c r="D693" s="3">
        <v>45828.0</v>
      </c>
      <c r="E693" s="4">
        <v>0.875</v>
      </c>
      <c r="F693" s="5" t="str">
        <f>VLOOKUP(A693,Jogos!A:N,10,0)</f>
        <v>Evening</v>
      </c>
      <c r="G693" s="2" t="s">
        <v>62</v>
      </c>
      <c r="H693" s="6" t="str">
        <f>VLOOKUP(A693,Jogos!A:L,12,0)</f>
        <v>Open</v>
      </c>
      <c r="I693" s="6" t="str">
        <f>VLOOKUP(G693,'Estádios e Cidades'!A:B,2,0)</f>
        <v>Miami Gardens - Flórida</v>
      </c>
      <c r="J693" s="2" t="s">
        <v>123</v>
      </c>
      <c r="K693" s="2" t="str">
        <f>VLOOKUP(J693,Equipes!A:F,6,0)</f>
        <v>Temperate</v>
      </c>
      <c r="L693" s="2">
        <f>VLOOKUP(J693,Equipes!A:C,3,0)</f>
        <v>6</v>
      </c>
      <c r="M693" s="2" t="str">
        <f t="shared" si="4"/>
        <v>Quarter-final</v>
      </c>
      <c r="N693" s="2" t="s">
        <v>440</v>
      </c>
      <c r="O693" s="2">
        <f>VLOOKUP(N693,Equipes!A:C,3,0)</f>
        <v>24</v>
      </c>
      <c r="P693" s="2" t="str">
        <f t="shared" si="5"/>
        <v>Group</v>
      </c>
      <c r="Q693" s="2">
        <f t="shared" si="6"/>
        <v>-18</v>
      </c>
      <c r="R693" s="2" t="str">
        <f>VLOOKUP(J693,Equipes!A:B,2,0)</f>
        <v>Bayern</v>
      </c>
      <c r="S693" s="6" t="s">
        <v>135</v>
      </c>
      <c r="T693" s="7">
        <v>22.0</v>
      </c>
      <c r="U693" s="7" t="s">
        <v>136</v>
      </c>
      <c r="V693" s="7" t="str">
        <f>VLOOKUP(U693,Jogadores!B:C,2,0)</f>
        <v>DF</v>
      </c>
      <c r="W693" s="8">
        <f>VLOOKUP(U693,Jogadores!B:D,3,0)</f>
        <v>31.61917808</v>
      </c>
      <c r="X693" s="7">
        <v>0.0</v>
      </c>
      <c r="Y693" s="7">
        <v>67.0</v>
      </c>
      <c r="Z693" s="7">
        <f>VLOOKUP(A693,Jogos!A:L,3,0)</f>
        <v>48</v>
      </c>
      <c r="AA693" s="7">
        <f t="shared" si="7"/>
        <v>48</v>
      </c>
      <c r="AB693" s="7">
        <f>VLOOKUP(A693,Jogos!A:L,4,0)</f>
        <v>53</v>
      </c>
      <c r="AC693" s="7">
        <f t="shared" si="2146"/>
        <v>22</v>
      </c>
      <c r="AD693" s="7"/>
      <c r="AE693" s="7"/>
      <c r="AF693" s="7">
        <f t="shared" si="9"/>
        <v>70</v>
      </c>
      <c r="AG693" s="7">
        <v>7995.1</v>
      </c>
      <c r="AH693" s="7">
        <v>2877.3</v>
      </c>
      <c r="AI693" s="7">
        <v>3211.2</v>
      </c>
      <c r="AJ693" s="7">
        <v>1227.2</v>
      </c>
      <c r="AK693" s="7">
        <v>516.8</v>
      </c>
      <c r="AL693" s="7">
        <v>162.6</v>
      </c>
      <c r="AM693" s="7">
        <v>116.0</v>
      </c>
      <c r="AN693" s="7">
        <v>38.0</v>
      </c>
      <c r="AO693" s="7">
        <v>31.2</v>
      </c>
      <c r="AP693" s="9">
        <f t="shared" ref="AP693:AR693" si="2165">AG693/$AF693</f>
        <v>114.2157143</v>
      </c>
      <c r="AQ693" s="9">
        <f t="shared" si="2165"/>
        <v>41.10428571</v>
      </c>
      <c r="AR693" s="9">
        <f t="shared" si="2165"/>
        <v>45.87428571</v>
      </c>
      <c r="AS693" s="9">
        <f t="shared" si="11"/>
        <v>86.97857143</v>
      </c>
      <c r="AT693" s="9">
        <f t="shared" ref="AT693:AV693" si="2166">AJ693/$AF693</f>
        <v>17.53142857</v>
      </c>
      <c r="AU693" s="9">
        <f t="shared" si="2166"/>
        <v>7.382857143</v>
      </c>
      <c r="AV693" s="9">
        <f t="shared" si="2166"/>
        <v>2.322857143</v>
      </c>
      <c r="AW693" s="9">
        <f t="shared" si="13"/>
        <v>9.705714286</v>
      </c>
      <c r="AX693" s="9">
        <f t="shared" ref="AX693:AY693" si="2167">AM693/$AF693</f>
        <v>1.657142857</v>
      </c>
      <c r="AY693" s="9">
        <f t="shared" si="2167"/>
        <v>0.5428571429</v>
      </c>
      <c r="AZ693" s="9">
        <f>VLOOKUP(A693,Jogos!A:BN,58,0)</f>
        <v>25.475</v>
      </c>
      <c r="BA693" s="9">
        <f>VLOOKUP(A693,Jogos!A:BN,59,0)</f>
        <v>22.105</v>
      </c>
      <c r="BB693" s="9">
        <f>VLOOKUP(A693,Jogos!A:BN,60,0)</f>
        <v>81.5</v>
      </c>
      <c r="BC693" s="9">
        <f>VLOOKUP(A693,Jogos!A:BN,61,0)</f>
        <v>23.645</v>
      </c>
      <c r="BD693" s="9">
        <f>VLOOKUP(A693,Jogos!A:BN,62,0)</f>
        <v>0</v>
      </c>
      <c r="BE693" s="9">
        <f>VLOOKUP(A693,Jogos!A:BN,63,0)</f>
        <v>0.89</v>
      </c>
      <c r="BF693" s="9">
        <f>VLOOKUP(A693,Jogos!A:BN,64,0)</f>
        <v>23.61</v>
      </c>
      <c r="BG693" s="9">
        <f>VLOOKUP(A693,Jogos!A:BN,65,0)</f>
        <v>40.92</v>
      </c>
      <c r="BH693" s="9">
        <f>VLOOKUP(A693,Jogos!A:BN,66,0)</f>
        <v>27.26</v>
      </c>
      <c r="BI693" s="9"/>
    </row>
    <row r="694" hidden="1">
      <c r="A694" s="2">
        <v>24.0</v>
      </c>
      <c r="B694" s="11" t="s">
        <v>121</v>
      </c>
      <c r="C694" s="2" t="s">
        <v>61</v>
      </c>
      <c r="D694" s="3">
        <v>45828.0</v>
      </c>
      <c r="E694" s="4">
        <v>0.875</v>
      </c>
      <c r="F694" s="5" t="str">
        <f>VLOOKUP(A694,Jogos!A:N,10,0)</f>
        <v>Evening</v>
      </c>
      <c r="G694" s="2" t="s">
        <v>62</v>
      </c>
      <c r="H694" s="6" t="str">
        <f>VLOOKUP(A694,Jogos!A:L,12,0)</f>
        <v>Open</v>
      </c>
      <c r="I694" s="6" t="str">
        <f>VLOOKUP(G694,'Estádios e Cidades'!A:B,2,0)</f>
        <v>Miami Gardens - Flórida</v>
      </c>
      <c r="J694" s="2" t="s">
        <v>123</v>
      </c>
      <c r="K694" s="2" t="str">
        <f>VLOOKUP(J694,Equipes!A:F,6,0)</f>
        <v>Temperate</v>
      </c>
      <c r="L694" s="2">
        <f>VLOOKUP(J694,Equipes!A:C,3,0)</f>
        <v>6</v>
      </c>
      <c r="M694" s="2" t="str">
        <f t="shared" si="4"/>
        <v>Quarter-final</v>
      </c>
      <c r="N694" s="2" t="s">
        <v>440</v>
      </c>
      <c r="O694" s="2">
        <f>VLOOKUP(N694,Equipes!A:C,3,0)</f>
        <v>24</v>
      </c>
      <c r="P694" s="2" t="str">
        <f t="shared" si="5"/>
        <v>Group</v>
      </c>
      <c r="Q694" s="2">
        <f t="shared" si="6"/>
        <v>-18</v>
      </c>
      <c r="R694" s="2" t="str">
        <f>VLOOKUP(J694,Equipes!A:B,2,0)</f>
        <v>Bayern</v>
      </c>
      <c r="S694" s="6" t="s">
        <v>1138</v>
      </c>
      <c r="T694" s="7">
        <v>27.0</v>
      </c>
      <c r="U694" s="7" t="s">
        <v>1139</v>
      </c>
      <c r="V694" s="7" t="str">
        <f>VLOOKUP(U694,Jogadores!B:C,2,0)</f>
        <v>MF</v>
      </c>
      <c r="W694" s="8">
        <f>VLOOKUP(U694,Jogadores!B:D,3,0)</f>
        <v>28.1890411</v>
      </c>
      <c r="X694" s="7">
        <v>0.0</v>
      </c>
      <c r="Y694" s="7">
        <f t="shared" ref="Y694:Y698" si="2171">45+AB694</f>
        <v>98</v>
      </c>
      <c r="Z694" s="7">
        <f>VLOOKUP(A694,Jogos!A:L,3,0)</f>
        <v>48</v>
      </c>
      <c r="AA694" s="7">
        <f t="shared" si="7"/>
        <v>48</v>
      </c>
      <c r="AB694" s="7">
        <f>VLOOKUP(A694,Jogos!A:L,4,0)</f>
        <v>53</v>
      </c>
      <c r="AC694" s="7">
        <f t="shared" si="2146"/>
        <v>53</v>
      </c>
      <c r="AD694" s="7"/>
      <c r="AE694" s="7"/>
      <c r="AF694" s="7">
        <f t="shared" si="9"/>
        <v>101</v>
      </c>
      <c r="AG694" s="7">
        <v>10829.7</v>
      </c>
      <c r="AH694" s="7">
        <v>4358.5</v>
      </c>
      <c r="AI694" s="7">
        <v>4245.5</v>
      </c>
      <c r="AJ694" s="7">
        <v>1198.5</v>
      </c>
      <c r="AK694" s="7">
        <v>573.5</v>
      </c>
      <c r="AL694" s="7">
        <v>453.7</v>
      </c>
      <c r="AM694" s="7">
        <v>101.0</v>
      </c>
      <c r="AN694" s="7">
        <v>54.0</v>
      </c>
      <c r="AO694" s="7">
        <v>32.3</v>
      </c>
      <c r="AP694" s="9">
        <f t="shared" ref="AP694:AR694" si="2168">AG694/$AF694</f>
        <v>107.2247525</v>
      </c>
      <c r="AQ694" s="9">
        <f t="shared" si="2168"/>
        <v>43.15346535</v>
      </c>
      <c r="AR694" s="9">
        <f t="shared" si="2168"/>
        <v>42.03465347</v>
      </c>
      <c r="AS694" s="9">
        <f t="shared" si="11"/>
        <v>85.18811881</v>
      </c>
      <c r="AT694" s="9">
        <f t="shared" ref="AT694:AV694" si="2169">AJ694/$AF694</f>
        <v>11.86633663</v>
      </c>
      <c r="AU694" s="9">
        <f t="shared" si="2169"/>
        <v>5.678217822</v>
      </c>
      <c r="AV694" s="9">
        <f t="shared" si="2169"/>
        <v>4.492079208</v>
      </c>
      <c r="AW694" s="9">
        <f t="shared" si="13"/>
        <v>10.17029703</v>
      </c>
      <c r="AX694" s="9">
        <f t="shared" ref="AX694:AY694" si="2170">AM694/$AF694</f>
        <v>1</v>
      </c>
      <c r="AY694" s="9">
        <f t="shared" si="2170"/>
        <v>0.5346534653</v>
      </c>
      <c r="AZ694" s="9">
        <f>VLOOKUP(A694,Jogos!A:BN,58,0)</f>
        <v>25.475</v>
      </c>
      <c r="BA694" s="9">
        <f>VLOOKUP(A694,Jogos!A:BN,59,0)</f>
        <v>22.105</v>
      </c>
      <c r="BB694" s="9">
        <f>VLOOKUP(A694,Jogos!A:BN,60,0)</f>
        <v>81.5</v>
      </c>
      <c r="BC694" s="9">
        <f>VLOOKUP(A694,Jogos!A:BN,61,0)</f>
        <v>23.645</v>
      </c>
      <c r="BD694" s="9">
        <f>VLOOKUP(A694,Jogos!A:BN,62,0)</f>
        <v>0</v>
      </c>
      <c r="BE694" s="9">
        <f>VLOOKUP(A694,Jogos!A:BN,63,0)</f>
        <v>0.89</v>
      </c>
      <c r="BF694" s="9">
        <f>VLOOKUP(A694,Jogos!A:BN,64,0)</f>
        <v>23.61</v>
      </c>
      <c r="BG694" s="9">
        <f>VLOOKUP(A694,Jogos!A:BN,65,0)</f>
        <v>40.92</v>
      </c>
      <c r="BH694" s="9">
        <f>VLOOKUP(A694,Jogos!A:BN,66,0)</f>
        <v>27.26</v>
      </c>
      <c r="BI694" s="9"/>
    </row>
    <row r="695" hidden="1">
      <c r="A695" s="2">
        <v>24.0</v>
      </c>
      <c r="B695" s="11" t="s">
        <v>121</v>
      </c>
      <c r="C695" s="2" t="s">
        <v>61</v>
      </c>
      <c r="D695" s="3">
        <v>45828.0</v>
      </c>
      <c r="E695" s="4">
        <v>0.875</v>
      </c>
      <c r="F695" s="5" t="str">
        <f>VLOOKUP(A695,Jogos!A:N,10,0)</f>
        <v>Evening</v>
      </c>
      <c r="G695" s="2" t="s">
        <v>62</v>
      </c>
      <c r="H695" s="6" t="str">
        <f>VLOOKUP(A695,Jogos!A:L,12,0)</f>
        <v>Open</v>
      </c>
      <c r="I695" s="6" t="str">
        <f>VLOOKUP(G695,'Estádios e Cidades'!A:B,2,0)</f>
        <v>Miami Gardens - Flórida</v>
      </c>
      <c r="J695" s="2" t="s">
        <v>123</v>
      </c>
      <c r="K695" s="2" t="str">
        <f>VLOOKUP(J695,Equipes!A:F,6,0)</f>
        <v>Temperate</v>
      </c>
      <c r="L695" s="2">
        <f>VLOOKUP(J695,Equipes!A:C,3,0)</f>
        <v>6</v>
      </c>
      <c r="M695" s="2" t="str">
        <f t="shared" si="4"/>
        <v>Quarter-final</v>
      </c>
      <c r="N695" s="2" t="s">
        <v>440</v>
      </c>
      <c r="O695" s="2">
        <f>VLOOKUP(N695,Equipes!A:C,3,0)</f>
        <v>24</v>
      </c>
      <c r="P695" s="2" t="str">
        <f t="shared" si="5"/>
        <v>Group</v>
      </c>
      <c r="Q695" s="2">
        <f t="shared" si="6"/>
        <v>-18</v>
      </c>
      <c r="R695" s="2" t="str">
        <f>VLOOKUP(J695,Equipes!A:B,2,0)</f>
        <v>Bayern</v>
      </c>
      <c r="S695" s="6" t="s">
        <v>141</v>
      </c>
      <c r="T695" s="7">
        <v>44.0</v>
      </c>
      <c r="U695" s="7" t="s">
        <v>142</v>
      </c>
      <c r="V695" s="7" t="str">
        <f>VLOOKUP(U695,Jogadores!B:C,2,0)</f>
        <v>DF</v>
      </c>
      <c r="W695" s="8">
        <f>VLOOKUP(U695,Jogadores!B:D,3,0)</f>
        <v>25.3369863</v>
      </c>
      <c r="X695" s="7">
        <v>0.0</v>
      </c>
      <c r="Y695" s="7">
        <f t="shared" si="2171"/>
        <v>98</v>
      </c>
      <c r="Z695" s="7">
        <f>VLOOKUP(A695,Jogos!A:L,3,0)</f>
        <v>48</v>
      </c>
      <c r="AA695" s="7">
        <f t="shared" si="7"/>
        <v>48</v>
      </c>
      <c r="AB695" s="7">
        <f>VLOOKUP(A695,Jogos!A:L,4,0)</f>
        <v>53</v>
      </c>
      <c r="AC695" s="7">
        <f t="shared" si="2146"/>
        <v>53</v>
      </c>
      <c r="AD695" s="7"/>
      <c r="AE695" s="7"/>
      <c r="AF695" s="7">
        <f t="shared" si="9"/>
        <v>101</v>
      </c>
      <c r="AG695" s="7">
        <v>10420.9</v>
      </c>
      <c r="AH695" s="7">
        <v>4127.3</v>
      </c>
      <c r="AI695" s="7">
        <v>4334.5</v>
      </c>
      <c r="AJ695" s="7">
        <v>1405.9</v>
      </c>
      <c r="AK695" s="7">
        <v>462.6</v>
      </c>
      <c r="AL695" s="7">
        <v>90.6</v>
      </c>
      <c r="AM695" s="7">
        <v>129.0</v>
      </c>
      <c r="AN695" s="7">
        <v>34.0</v>
      </c>
      <c r="AO695" s="7">
        <v>30.8</v>
      </c>
      <c r="AP695" s="9">
        <f t="shared" ref="AP695:AR695" si="2172">AG695/$AF695</f>
        <v>103.1772277</v>
      </c>
      <c r="AQ695" s="9">
        <f t="shared" si="2172"/>
        <v>40.86435644</v>
      </c>
      <c r="AR695" s="9">
        <f t="shared" si="2172"/>
        <v>42.91584158</v>
      </c>
      <c r="AS695" s="9">
        <f t="shared" si="11"/>
        <v>83.78019802</v>
      </c>
      <c r="AT695" s="9">
        <f t="shared" ref="AT695:AV695" si="2173">AJ695/$AF695</f>
        <v>13.91980198</v>
      </c>
      <c r="AU695" s="9">
        <f t="shared" si="2173"/>
        <v>4.58019802</v>
      </c>
      <c r="AV695" s="9">
        <f t="shared" si="2173"/>
        <v>0.897029703</v>
      </c>
      <c r="AW695" s="9">
        <f t="shared" si="13"/>
        <v>5.477227723</v>
      </c>
      <c r="AX695" s="9">
        <f t="shared" ref="AX695:AY695" si="2174">AM695/$AF695</f>
        <v>1.277227723</v>
      </c>
      <c r="AY695" s="9">
        <f t="shared" si="2174"/>
        <v>0.3366336634</v>
      </c>
      <c r="AZ695" s="9">
        <f>VLOOKUP(A695,Jogos!A:BN,58,0)</f>
        <v>25.475</v>
      </c>
      <c r="BA695" s="9">
        <f>VLOOKUP(A695,Jogos!A:BN,59,0)</f>
        <v>22.105</v>
      </c>
      <c r="BB695" s="9">
        <f>VLOOKUP(A695,Jogos!A:BN,60,0)</f>
        <v>81.5</v>
      </c>
      <c r="BC695" s="9">
        <f>VLOOKUP(A695,Jogos!A:BN,61,0)</f>
        <v>23.645</v>
      </c>
      <c r="BD695" s="9">
        <f>VLOOKUP(A695,Jogos!A:BN,62,0)</f>
        <v>0</v>
      </c>
      <c r="BE695" s="9">
        <f>VLOOKUP(A695,Jogos!A:BN,63,0)</f>
        <v>0.89</v>
      </c>
      <c r="BF695" s="9">
        <f>VLOOKUP(A695,Jogos!A:BN,64,0)</f>
        <v>23.61</v>
      </c>
      <c r="BG695" s="9">
        <f>VLOOKUP(A695,Jogos!A:BN,65,0)</f>
        <v>40.92</v>
      </c>
      <c r="BH695" s="9">
        <f>VLOOKUP(A695,Jogos!A:BN,66,0)</f>
        <v>27.26</v>
      </c>
      <c r="BI695" s="9"/>
    </row>
    <row r="696" hidden="1">
      <c r="A696" s="2">
        <v>24.0</v>
      </c>
      <c r="B696" s="11" t="s">
        <v>121</v>
      </c>
      <c r="C696" s="2" t="s">
        <v>61</v>
      </c>
      <c r="D696" s="3">
        <v>45828.0</v>
      </c>
      <c r="E696" s="4">
        <v>0.875</v>
      </c>
      <c r="F696" s="5" t="str">
        <f>VLOOKUP(A696,Jogos!A:N,10,0)</f>
        <v>Evening</v>
      </c>
      <c r="G696" s="2" t="s">
        <v>62</v>
      </c>
      <c r="H696" s="6" t="str">
        <f>VLOOKUP(A696,Jogos!A:L,12,0)</f>
        <v>Open</v>
      </c>
      <c r="I696" s="6" t="str">
        <f>VLOOKUP(G696,'Estádios e Cidades'!A:B,2,0)</f>
        <v>Miami Gardens - Flórida</v>
      </c>
      <c r="J696" s="2" t="s">
        <v>123</v>
      </c>
      <c r="K696" s="2" t="str">
        <f>VLOOKUP(J696,Equipes!A:F,6,0)</f>
        <v>Temperate</v>
      </c>
      <c r="L696" s="2">
        <f>VLOOKUP(J696,Equipes!A:C,3,0)</f>
        <v>6</v>
      </c>
      <c r="M696" s="2" t="str">
        <f t="shared" si="4"/>
        <v>Quarter-final</v>
      </c>
      <c r="N696" s="2" t="s">
        <v>440</v>
      </c>
      <c r="O696" s="2">
        <f>VLOOKUP(N696,Equipes!A:C,3,0)</f>
        <v>24</v>
      </c>
      <c r="P696" s="2" t="str">
        <f t="shared" si="5"/>
        <v>Group</v>
      </c>
      <c r="Q696" s="2">
        <f t="shared" si="6"/>
        <v>-18</v>
      </c>
      <c r="R696" s="2" t="str">
        <f>VLOOKUP(J696,Equipes!A:B,2,0)</f>
        <v>Bayern</v>
      </c>
      <c r="S696" s="6" t="s">
        <v>145</v>
      </c>
      <c r="T696" s="7">
        <v>2.0</v>
      </c>
      <c r="U696" s="7" t="s">
        <v>146</v>
      </c>
      <c r="V696" s="7" t="str">
        <f>VLOOKUP(U696,Jogadores!B:C,2,0)</f>
        <v>DF</v>
      </c>
      <c r="W696" s="8">
        <f>VLOOKUP(U696,Jogadores!B:D,3,0)</f>
        <v>26.76986301</v>
      </c>
      <c r="X696" s="7">
        <v>67.0</v>
      </c>
      <c r="Y696" s="7">
        <f t="shared" si="2171"/>
        <v>98</v>
      </c>
      <c r="Z696" s="7">
        <f>VLOOKUP(A696,Jogos!A:L,3,0)</f>
        <v>48</v>
      </c>
      <c r="AA696" s="7">
        <f t="shared" si="7"/>
        <v>0</v>
      </c>
      <c r="AB696" s="7">
        <f>VLOOKUP(A696,Jogos!A:L,4,0)</f>
        <v>53</v>
      </c>
      <c r="AC696" s="7">
        <f t="shared" si="2146"/>
        <v>31</v>
      </c>
      <c r="AD696" s="7"/>
      <c r="AE696" s="7"/>
      <c r="AF696" s="7">
        <f t="shared" si="9"/>
        <v>31</v>
      </c>
      <c r="AG696" s="7">
        <v>3020.8</v>
      </c>
      <c r="AH696" s="7">
        <v>1225.8</v>
      </c>
      <c r="AI696" s="7">
        <v>1349.4</v>
      </c>
      <c r="AJ696" s="7">
        <v>280.1</v>
      </c>
      <c r="AK696" s="7">
        <v>117.6</v>
      </c>
      <c r="AL696" s="7">
        <v>47.8</v>
      </c>
      <c r="AM696" s="7">
        <v>23.0</v>
      </c>
      <c r="AN696" s="7">
        <v>10.0</v>
      </c>
      <c r="AO696" s="7">
        <v>29.0</v>
      </c>
      <c r="AP696" s="9">
        <f t="shared" ref="AP696:AR696" si="2175">AG696/$AF696</f>
        <v>97.44516129</v>
      </c>
      <c r="AQ696" s="9">
        <f t="shared" si="2175"/>
        <v>39.54193548</v>
      </c>
      <c r="AR696" s="9">
        <f t="shared" si="2175"/>
        <v>43.52903226</v>
      </c>
      <c r="AS696" s="9">
        <f t="shared" si="11"/>
        <v>83.07096774</v>
      </c>
      <c r="AT696" s="9">
        <f t="shared" ref="AT696:AV696" si="2176">AJ696/$AF696</f>
        <v>9.035483871</v>
      </c>
      <c r="AU696" s="9">
        <f t="shared" si="2176"/>
        <v>3.793548387</v>
      </c>
      <c r="AV696" s="9">
        <f t="shared" si="2176"/>
        <v>1.541935484</v>
      </c>
      <c r="AW696" s="9">
        <f t="shared" si="13"/>
        <v>5.335483871</v>
      </c>
      <c r="AX696" s="9">
        <f t="shared" ref="AX696:AY696" si="2177">AM696/$AF696</f>
        <v>0.7419354839</v>
      </c>
      <c r="AY696" s="9">
        <f t="shared" si="2177"/>
        <v>0.3225806452</v>
      </c>
      <c r="AZ696" s="9">
        <f>VLOOKUP(A696,Jogos!A:BN,58,0)</f>
        <v>25.475</v>
      </c>
      <c r="BA696" s="9">
        <f>VLOOKUP(A696,Jogos!A:BN,59,0)</f>
        <v>22.105</v>
      </c>
      <c r="BB696" s="9">
        <f>VLOOKUP(A696,Jogos!A:BN,60,0)</f>
        <v>81.5</v>
      </c>
      <c r="BC696" s="9">
        <f>VLOOKUP(A696,Jogos!A:BN,61,0)</f>
        <v>23.645</v>
      </c>
      <c r="BD696" s="9">
        <f>VLOOKUP(A696,Jogos!A:BN,62,0)</f>
        <v>0</v>
      </c>
      <c r="BE696" s="9">
        <f>VLOOKUP(A696,Jogos!A:BN,63,0)</f>
        <v>0.89</v>
      </c>
      <c r="BF696" s="9">
        <f>VLOOKUP(A696,Jogos!A:BN,64,0)</f>
        <v>23.61</v>
      </c>
      <c r="BG696" s="9">
        <f>VLOOKUP(A696,Jogos!A:BN,65,0)</f>
        <v>40.92</v>
      </c>
      <c r="BH696" s="9">
        <f>VLOOKUP(A696,Jogos!A:BN,66,0)</f>
        <v>27.26</v>
      </c>
      <c r="BI696" s="9"/>
    </row>
    <row r="697" hidden="1">
      <c r="A697" s="2">
        <v>24.0</v>
      </c>
      <c r="B697" s="11" t="s">
        <v>121</v>
      </c>
      <c r="C697" s="2" t="s">
        <v>61</v>
      </c>
      <c r="D697" s="3">
        <v>45828.0</v>
      </c>
      <c r="E697" s="4">
        <v>0.875</v>
      </c>
      <c r="F697" s="5" t="str">
        <f>VLOOKUP(A697,Jogos!A:N,10,0)</f>
        <v>Evening</v>
      </c>
      <c r="G697" s="2" t="s">
        <v>62</v>
      </c>
      <c r="H697" s="6" t="str">
        <f>VLOOKUP(A697,Jogos!A:L,12,0)</f>
        <v>Open</v>
      </c>
      <c r="I697" s="6" t="str">
        <f>VLOOKUP(G697,'Estádios e Cidades'!A:B,2,0)</f>
        <v>Miami Gardens - Flórida</v>
      </c>
      <c r="J697" s="2" t="s">
        <v>123</v>
      </c>
      <c r="K697" s="2" t="str">
        <f>VLOOKUP(J697,Equipes!A:F,6,0)</f>
        <v>Temperate</v>
      </c>
      <c r="L697" s="2">
        <f>VLOOKUP(J697,Equipes!A:C,3,0)</f>
        <v>6</v>
      </c>
      <c r="M697" s="2" t="str">
        <f t="shared" si="4"/>
        <v>Quarter-final</v>
      </c>
      <c r="N697" s="2" t="s">
        <v>440</v>
      </c>
      <c r="O697" s="2">
        <f>VLOOKUP(N697,Equipes!A:C,3,0)</f>
        <v>24</v>
      </c>
      <c r="P697" s="2" t="str">
        <f t="shared" si="5"/>
        <v>Group</v>
      </c>
      <c r="Q697" s="2">
        <f t="shared" si="6"/>
        <v>-18</v>
      </c>
      <c r="R697" s="2" t="str">
        <f>VLOOKUP(J697,Equipes!A:B,2,0)</f>
        <v>Bayern</v>
      </c>
      <c r="S697" s="6" t="s">
        <v>1140</v>
      </c>
      <c r="T697" s="7">
        <v>10.0</v>
      </c>
      <c r="U697" s="7" t="s">
        <v>1141</v>
      </c>
      <c r="V697" s="7" t="str">
        <f>VLOOKUP(U697,Jogadores!B:C,2,0)</f>
        <v>FW</v>
      </c>
      <c r="W697" s="8">
        <f>VLOOKUP(U697,Jogadores!B:D,3,0)</f>
        <v>29.56438356</v>
      </c>
      <c r="X697" s="7">
        <v>67.0</v>
      </c>
      <c r="Y697" s="7">
        <f t="shared" si="2171"/>
        <v>98</v>
      </c>
      <c r="Z697" s="7">
        <f>VLOOKUP(A697,Jogos!A:L,3,0)</f>
        <v>48</v>
      </c>
      <c r="AA697" s="7">
        <f t="shared" si="7"/>
        <v>0</v>
      </c>
      <c r="AB697" s="7">
        <f>VLOOKUP(A697,Jogos!A:L,4,0)</f>
        <v>53</v>
      </c>
      <c r="AC697" s="7">
        <f t="shared" si="2146"/>
        <v>31</v>
      </c>
      <c r="AD697" s="7"/>
      <c r="AE697" s="7"/>
      <c r="AF697" s="7">
        <f t="shared" si="9"/>
        <v>31</v>
      </c>
      <c r="AG697" s="7">
        <v>3212.7</v>
      </c>
      <c r="AH697" s="7">
        <v>1267.6</v>
      </c>
      <c r="AI697" s="7">
        <v>1124.2</v>
      </c>
      <c r="AJ697" s="7">
        <v>520.2</v>
      </c>
      <c r="AK697" s="7">
        <v>194.2</v>
      </c>
      <c r="AL697" s="7">
        <v>106.4</v>
      </c>
      <c r="AM697" s="7">
        <v>40.0</v>
      </c>
      <c r="AN697" s="7">
        <v>18.0</v>
      </c>
      <c r="AO697" s="7">
        <v>33.8</v>
      </c>
      <c r="AP697" s="9">
        <f t="shared" ref="AP697:AR697" si="2178">AG697/$AF697</f>
        <v>103.6354839</v>
      </c>
      <c r="AQ697" s="9">
        <f t="shared" si="2178"/>
        <v>40.89032258</v>
      </c>
      <c r="AR697" s="9">
        <f t="shared" si="2178"/>
        <v>36.26451613</v>
      </c>
      <c r="AS697" s="9">
        <f t="shared" si="11"/>
        <v>77.15483871</v>
      </c>
      <c r="AT697" s="9">
        <f t="shared" ref="AT697:AV697" si="2179">AJ697/$AF697</f>
        <v>16.78064516</v>
      </c>
      <c r="AU697" s="9">
        <f t="shared" si="2179"/>
        <v>6.264516129</v>
      </c>
      <c r="AV697" s="9">
        <f t="shared" si="2179"/>
        <v>3.432258065</v>
      </c>
      <c r="AW697" s="9">
        <f t="shared" si="13"/>
        <v>9.696774194</v>
      </c>
      <c r="AX697" s="9">
        <f t="shared" ref="AX697:AY697" si="2180">AM697/$AF697</f>
        <v>1.290322581</v>
      </c>
      <c r="AY697" s="9">
        <f t="shared" si="2180"/>
        <v>0.5806451613</v>
      </c>
      <c r="AZ697" s="9">
        <f>VLOOKUP(A697,Jogos!A:BN,58,0)</f>
        <v>25.475</v>
      </c>
      <c r="BA697" s="9">
        <f>VLOOKUP(A697,Jogos!A:BN,59,0)</f>
        <v>22.105</v>
      </c>
      <c r="BB697" s="9">
        <f>VLOOKUP(A697,Jogos!A:BN,60,0)</f>
        <v>81.5</v>
      </c>
      <c r="BC697" s="9">
        <f>VLOOKUP(A697,Jogos!A:BN,61,0)</f>
        <v>23.645</v>
      </c>
      <c r="BD697" s="9">
        <f>VLOOKUP(A697,Jogos!A:BN,62,0)</f>
        <v>0</v>
      </c>
      <c r="BE697" s="9">
        <f>VLOOKUP(A697,Jogos!A:BN,63,0)</f>
        <v>0.89</v>
      </c>
      <c r="BF697" s="9">
        <f>VLOOKUP(A697,Jogos!A:BN,64,0)</f>
        <v>23.61</v>
      </c>
      <c r="BG697" s="9">
        <f>VLOOKUP(A697,Jogos!A:BN,65,0)</f>
        <v>40.92</v>
      </c>
      <c r="BH697" s="9">
        <f>VLOOKUP(A697,Jogos!A:BN,66,0)</f>
        <v>27.26</v>
      </c>
      <c r="BI697" s="9"/>
    </row>
    <row r="698" hidden="1">
      <c r="A698" s="2">
        <v>24.0</v>
      </c>
      <c r="B698" s="11" t="s">
        <v>121</v>
      </c>
      <c r="C698" s="2" t="s">
        <v>61</v>
      </c>
      <c r="D698" s="3">
        <v>45828.0</v>
      </c>
      <c r="E698" s="4">
        <v>0.875</v>
      </c>
      <c r="F698" s="5" t="str">
        <f>VLOOKUP(A698,Jogos!A:N,10,0)</f>
        <v>Evening</v>
      </c>
      <c r="G698" s="2" t="s">
        <v>62</v>
      </c>
      <c r="H698" s="6" t="str">
        <f>VLOOKUP(A698,Jogos!A:L,12,0)</f>
        <v>Open</v>
      </c>
      <c r="I698" s="6" t="str">
        <f>VLOOKUP(G698,'Estádios e Cidades'!A:B,2,0)</f>
        <v>Miami Gardens - Flórida</v>
      </c>
      <c r="J698" s="2" t="s">
        <v>123</v>
      </c>
      <c r="K698" s="2" t="str">
        <f>VLOOKUP(J698,Equipes!A:F,6,0)</f>
        <v>Temperate</v>
      </c>
      <c r="L698" s="2">
        <f>VLOOKUP(J698,Equipes!A:C,3,0)</f>
        <v>6</v>
      </c>
      <c r="M698" s="2" t="str">
        <f t="shared" si="4"/>
        <v>Quarter-final</v>
      </c>
      <c r="N698" s="2" t="s">
        <v>440</v>
      </c>
      <c r="O698" s="2">
        <f>VLOOKUP(N698,Equipes!A:C,3,0)</f>
        <v>24</v>
      </c>
      <c r="P698" s="2" t="str">
        <f t="shared" si="5"/>
        <v>Group</v>
      </c>
      <c r="Q698" s="2">
        <f t="shared" si="6"/>
        <v>-18</v>
      </c>
      <c r="R698" s="2" t="str">
        <f>VLOOKUP(J698,Equipes!A:B,2,0)</f>
        <v>Bayern</v>
      </c>
      <c r="S698" s="6" t="s">
        <v>139</v>
      </c>
      <c r="T698" s="7">
        <v>25.0</v>
      </c>
      <c r="U698" s="7" t="s">
        <v>140</v>
      </c>
      <c r="V698" s="7" t="str">
        <f>VLOOKUP(U698,Jogadores!B:C,2,0)</f>
        <v>FW</v>
      </c>
      <c r="W698" s="8">
        <f>VLOOKUP(U698,Jogadores!B:D,3,0)</f>
        <v>35.89589041</v>
      </c>
      <c r="X698" s="7">
        <v>82.0</v>
      </c>
      <c r="Y698" s="7">
        <f t="shared" si="2171"/>
        <v>98</v>
      </c>
      <c r="Z698" s="7">
        <f>VLOOKUP(A698,Jogos!A:L,3,0)</f>
        <v>48</v>
      </c>
      <c r="AA698" s="7">
        <f t="shared" si="7"/>
        <v>0</v>
      </c>
      <c r="AB698" s="7">
        <f>VLOOKUP(A698,Jogos!A:L,4,0)</f>
        <v>53</v>
      </c>
      <c r="AC698" s="7">
        <f t="shared" si="2146"/>
        <v>16</v>
      </c>
      <c r="AD698" s="7"/>
      <c r="AE698" s="7"/>
      <c r="AF698" s="7">
        <f t="shared" si="9"/>
        <v>16</v>
      </c>
      <c r="AG698" s="7">
        <v>1946.0</v>
      </c>
      <c r="AH698" s="7">
        <v>689.0</v>
      </c>
      <c r="AI698" s="7">
        <v>894.0</v>
      </c>
      <c r="AJ698" s="7">
        <v>251.7</v>
      </c>
      <c r="AK698" s="7">
        <v>88.5</v>
      </c>
      <c r="AL698" s="7">
        <v>22.7</v>
      </c>
      <c r="AM698" s="7">
        <v>25.0</v>
      </c>
      <c r="AN698" s="7">
        <v>7.0</v>
      </c>
      <c r="AO698" s="7">
        <v>26.2</v>
      </c>
      <c r="AP698" s="9">
        <f t="shared" ref="AP698:AR698" si="2181">AG698/$AF698</f>
        <v>121.625</v>
      </c>
      <c r="AQ698" s="9">
        <f t="shared" si="2181"/>
        <v>43.0625</v>
      </c>
      <c r="AR698" s="9">
        <f t="shared" si="2181"/>
        <v>55.875</v>
      </c>
      <c r="AS698" s="9">
        <f t="shared" si="11"/>
        <v>98.9375</v>
      </c>
      <c r="AT698" s="9">
        <f t="shared" ref="AT698:AV698" si="2182">AJ698/$AF698</f>
        <v>15.73125</v>
      </c>
      <c r="AU698" s="9">
        <f t="shared" si="2182"/>
        <v>5.53125</v>
      </c>
      <c r="AV698" s="9">
        <f t="shared" si="2182"/>
        <v>1.41875</v>
      </c>
      <c r="AW698" s="9">
        <f t="shared" si="13"/>
        <v>6.95</v>
      </c>
      <c r="AX698" s="9">
        <f t="shared" ref="AX698:AY698" si="2183">AM698/$AF698</f>
        <v>1.5625</v>
      </c>
      <c r="AY698" s="9">
        <f t="shared" si="2183"/>
        <v>0.4375</v>
      </c>
      <c r="AZ698" s="9">
        <f>VLOOKUP(A698,Jogos!A:BN,58,0)</f>
        <v>25.475</v>
      </c>
      <c r="BA698" s="9">
        <f>VLOOKUP(A698,Jogos!A:BN,59,0)</f>
        <v>22.105</v>
      </c>
      <c r="BB698" s="9">
        <f>VLOOKUP(A698,Jogos!A:BN,60,0)</f>
        <v>81.5</v>
      </c>
      <c r="BC698" s="9">
        <f>VLOOKUP(A698,Jogos!A:BN,61,0)</f>
        <v>23.645</v>
      </c>
      <c r="BD698" s="9">
        <f>VLOOKUP(A698,Jogos!A:BN,62,0)</f>
        <v>0</v>
      </c>
      <c r="BE698" s="9">
        <f>VLOOKUP(A698,Jogos!A:BN,63,0)</f>
        <v>0.89</v>
      </c>
      <c r="BF698" s="9">
        <f>VLOOKUP(A698,Jogos!A:BN,64,0)</f>
        <v>23.61</v>
      </c>
      <c r="BG698" s="9">
        <f>VLOOKUP(A698,Jogos!A:BN,65,0)</f>
        <v>40.92</v>
      </c>
      <c r="BH698" s="9">
        <f>VLOOKUP(A698,Jogos!A:BN,66,0)</f>
        <v>27.26</v>
      </c>
      <c r="BI698" s="9"/>
    </row>
    <row r="699" hidden="1">
      <c r="A699" s="2">
        <v>24.0</v>
      </c>
      <c r="B699" s="11" t="s">
        <v>121</v>
      </c>
      <c r="C699" s="2" t="s">
        <v>61</v>
      </c>
      <c r="D699" s="3">
        <v>45828.0</v>
      </c>
      <c r="E699" s="4">
        <v>0.875</v>
      </c>
      <c r="F699" s="5" t="str">
        <f>VLOOKUP(A699,Jogos!A:N,10,0)</f>
        <v>Evening</v>
      </c>
      <c r="G699" s="2" t="s">
        <v>62</v>
      </c>
      <c r="H699" s="6" t="str">
        <f>VLOOKUP(A699,Jogos!A:L,12,0)</f>
        <v>Open</v>
      </c>
      <c r="I699" s="6" t="str">
        <f>VLOOKUP(G699,'Estádios e Cidades'!A:B,2,0)</f>
        <v>Miami Gardens - Flórida</v>
      </c>
      <c r="J699" s="2" t="s">
        <v>123</v>
      </c>
      <c r="K699" s="2" t="str">
        <f>VLOOKUP(J699,Equipes!A:F,6,0)</f>
        <v>Temperate</v>
      </c>
      <c r="L699" s="2">
        <f>VLOOKUP(J699,Equipes!A:C,3,0)</f>
        <v>6</v>
      </c>
      <c r="M699" s="2" t="str">
        <f t="shared" si="4"/>
        <v>Quarter-final</v>
      </c>
      <c r="N699" s="2" t="s">
        <v>440</v>
      </c>
      <c r="O699" s="2">
        <f>VLOOKUP(N699,Equipes!A:C,3,0)</f>
        <v>24</v>
      </c>
      <c r="P699" s="2" t="str">
        <f t="shared" si="5"/>
        <v>Group</v>
      </c>
      <c r="Q699" s="2">
        <f t="shared" si="6"/>
        <v>-18</v>
      </c>
      <c r="R699" s="2" t="str">
        <f>VLOOKUP(J699,Equipes!A:B,2,0)</f>
        <v>Bayern</v>
      </c>
      <c r="S699" s="6" t="s">
        <v>149</v>
      </c>
      <c r="T699" s="7">
        <v>42.0</v>
      </c>
      <c r="U699" s="7" t="s">
        <v>150</v>
      </c>
      <c r="V699" s="7" t="str">
        <f>VLOOKUP(U699,Jogadores!B:C,2,0)</f>
        <v>MF</v>
      </c>
      <c r="W699" s="8">
        <f>VLOOKUP(U699,Jogadores!B:D,3,0)</f>
        <v>22.43287671</v>
      </c>
      <c r="X699" s="7">
        <v>57.0</v>
      </c>
      <c r="Y699" s="7">
        <v>82.0</v>
      </c>
      <c r="Z699" s="7">
        <f>VLOOKUP(A699,Jogos!A:L,3,0)</f>
        <v>48</v>
      </c>
      <c r="AA699" s="7">
        <f t="shared" si="7"/>
        <v>0</v>
      </c>
      <c r="AB699" s="7">
        <f>VLOOKUP(A699,Jogos!A:L,4,0)</f>
        <v>53</v>
      </c>
      <c r="AC699" s="7">
        <f t="shared" si="2146"/>
        <v>25</v>
      </c>
      <c r="AD699" s="7"/>
      <c r="AE699" s="7"/>
      <c r="AF699" s="7">
        <f t="shared" si="9"/>
        <v>25</v>
      </c>
      <c r="AG699" s="7">
        <v>2529.7</v>
      </c>
      <c r="AH699" s="7">
        <v>956.5</v>
      </c>
      <c r="AI699" s="7">
        <v>1085.1</v>
      </c>
      <c r="AJ699" s="7">
        <v>332.4</v>
      </c>
      <c r="AK699" s="7">
        <v>106.1</v>
      </c>
      <c r="AL699" s="7">
        <v>49.6</v>
      </c>
      <c r="AM699" s="7">
        <v>32.0</v>
      </c>
      <c r="AN699" s="7">
        <v>12.0</v>
      </c>
      <c r="AO699" s="7">
        <v>30.9</v>
      </c>
      <c r="AP699" s="9">
        <f t="shared" ref="AP699:AR699" si="2184">AG699/$AF699</f>
        <v>101.188</v>
      </c>
      <c r="AQ699" s="9">
        <f t="shared" si="2184"/>
        <v>38.26</v>
      </c>
      <c r="AR699" s="9">
        <f t="shared" si="2184"/>
        <v>43.404</v>
      </c>
      <c r="AS699" s="9">
        <f t="shared" si="11"/>
        <v>81.664</v>
      </c>
      <c r="AT699" s="9">
        <f t="shared" ref="AT699:AV699" si="2185">AJ699/$AF699</f>
        <v>13.296</v>
      </c>
      <c r="AU699" s="9">
        <f t="shared" si="2185"/>
        <v>4.244</v>
      </c>
      <c r="AV699" s="9">
        <f t="shared" si="2185"/>
        <v>1.984</v>
      </c>
      <c r="AW699" s="9">
        <f t="shared" si="13"/>
        <v>6.228</v>
      </c>
      <c r="AX699" s="9">
        <f t="shared" ref="AX699:AY699" si="2186">AM699/$AF699</f>
        <v>1.28</v>
      </c>
      <c r="AY699" s="9">
        <f t="shared" si="2186"/>
        <v>0.48</v>
      </c>
      <c r="AZ699" s="9">
        <f>VLOOKUP(A699,Jogos!A:BN,58,0)</f>
        <v>25.475</v>
      </c>
      <c r="BA699" s="9">
        <f>VLOOKUP(A699,Jogos!A:BN,59,0)</f>
        <v>22.105</v>
      </c>
      <c r="BB699" s="9">
        <f>VLOOKUP(A699,Jogos!A:BN,60,0)</f>
        <v>81.5</v>
      </c>
      <c r="BC699" s="9">
        <f>VLOOKUP(A699,Jogos!A:BN,61,0)</f>
        <v>23.645</v>
      </c>
      <c r="BD699" s="9">
        <f>VLOOKUP(A699,Jogos!A:BN,62,0)</f>
        <v>0</v>
      </c>
      <c r="BE699" s="9">
        <f>VLOOKUP(A699,Jogos!A:BN,63,0)</f>
        <v>0.89</v>
      </c>
      <c r="BF699" s="9">
        <f>VLOOKUP(A699,Jogos!A:BN,64,0)</f>
        <v>23.61</v>
      </c>
      <c r="BG699" s="9">
        <f>VLOOKUP(A699,Jogos!A:BN,65,0)</f>
        <v>40.92</v>
      </c>
      <c r="BH699" s="9">
        <f>VLOOKUP(A699,Jogos!A:BN,66,0)</f>
        <v>27.26</v>
      </c>
      <c r="BI699" s="9"/>
    </row>
    <row r="700" hidden="1">
      <c r="A700" s="2">
        <v>24.0</v>
      </c>
      <c r="B700" s="11" t="s">
        <v>121</v>
      </c>
      <c r="C700" s="2" t="s">
        <v>61</v>
      </c>
      <c r="D700" s="3">
        <v>45828.0</v>
      </c>
      <c r="E700" s="4">
        <v>0.875</v>
      </c>
      <c r="F700" s="5" t="str">
        <f>VLOOKUP(A700,Jogos!A:N,10,0)</f>
        <v>Evening</v>
      </c>
      <c r="G700" s="2" t="s">
        <v>62</v>
      </c>
      <c r="H700" s="6" t="str">
        <f>VLOOKUP(A700,Jogos!A:L,12,0)</f>
        <v>Open</v>
      </c>
      <c r="I700" s="6" t="str">
        <f>VLOOKUP(G700,'Estádios e Cidades'!A:B,2,0)</f>
        <v>Miami Gardens - Flórida</v>
      </c>
      <c r="J700" s="2" t="s">
        <v>123</v>
      </c>
      <c r="K700" s="2" t="str">
        <f>VLOOKUP(J700,Equipes!A:F,6,0)</f>
        <v>Temperate</v>
      </c>
      <c r="L700" s="2">
        <f>VLOOKUP(J700,Equipes!A:C,3,0)</f>
        <v>6</v>
      </c>
      <c r="M700" s="2" t="str">
        <f t="shared" si="4"/>
        <v>Quarter-final</v>
      </c>
      <c r="N700" s="2" t="s">
        <v>440</v>
      </c>
      <c r="O700" s="2">
        <f>VLOOKUP(N700,Equipes!A:C,3,0)</f>
        <v>24</v>
      </c>
      <c r="P700" s="2" t="str">
        <f t="shared" si="5"/>
        <v>Group</v>
      </c>
      <c r="Q700" s="2">
        <f t="shared" si="6"/>
        <v>-18</v>
      </c>
      <c r="R700" s="2" t="str">
        <f>VLOOKUP(J700,Equipes!A:B,2,0)</f>
        <v>Bayern</v>
      </c>
      <c r="S700" s="6" t="s">
        <v>143</v>
      </c>
      <c r="T700" s="7">
        <v>45.0</v>
      </c>
      <c r="U700" s="7" t="s">
        <v>144</v>
      </c>
      <c r="V700" s="7" t="str">
        <f>VLOOKUP(U700,Jogadores!B:C,2,0)</f>
        <v>MF</v>
      </c>
      <c r="W700" s="8">
        <f>VLOOKUP(U700,Jogadores!B:D,3,0)</f>
        <v>21.24931507</v>
      </c>
      <c r="X700" s="7">
        <v>57.0</v>
      </c>
      <c r="Y700" s="7">
        <f t="shared" ref="Y700:Y701" si="2190">45+AB700</f>
        <v>98</v>
      </c>
      <c r="Z700" s="7">
        <f>VLOOKUP(A700,Jogos!A:L,3,0)</f>
        <v>48</v>
      </c>
      <c r="AA700" s="7">
        <f t="shared" si="7"/>
        <v>0</v>
      </c>
      <c r="AB700" s="7">
        <f>VLOOKUP(A700,Jogos!A:L,4,0)</f>
        <v>53</v>
      </c>
      <c r="AC700" s="7">
        <f t="shared" si="2146"/>
        <v>41</v>
      </c>
      <c r="AD700" s="7"/>
      <c r="AE700" s="7"/>
      <c r="AF700" s="7">
        <f t="shared" si="9"/>
        <v>41</v>
      </c>
      <c r="AG700" s="7">
        <v>5021.1</v>
      </c>
      <c r="AH700" s="7">
        <v>1577.8</v>
      </c>
      <c r="AI700" s="7">
        <v>2193.3</v>
      </c>
      <c r="AJ700" s="7">
        <v>928.9</v>
      </c>
      <c r="AK700" s="7">
        <v>269.8</v>
      </c>
      <c r="AL700" s="7">
        <v>51.3</v>
      </c>
      <c r="AM700" s="7">
        <v>73.0</v>
      </c>
      <c r="AN700" s="7">
        <v>18.0</v>
      </c>
      <c r="AO700" s="7">
        <v>29.4</v>
      </c>
      <c r="AP700" s="9">
        <f t="shared" ref="AP700:AR700" si="2187">AG700/$AF700</f>
        <v>122.4658537</v>
      </c>
      <c r="AQ700" s="9">
        <f t="shared" si="2187"/>
        <v>38.48292683</v>
      </c>
      <c r="AR700" s="9">
        <f t="shared" si="2187"/>
        <v>53.49512195</v>
      </c>
      <c r="AS700" s="9">
        <f t="shared" si="11"/>
        <v>91.97804878</v>
      </c>
      <c r="AT700" s="9">
        <f t="shared" ref="AT700:AV700" si="2188">AJ700/$AF700</f>
        <v>22.65609756</v>
      </c>
      <c r="AU700" s="9">
        <f t="shared" si="2188"/>
        <v>6.580487805</v>
      </c>
      <c r="AV700" s="9">
        <f t="shared" si="2188"/>
        <v>1.251219512</v>
      </c>
      <c r="AW700" s="9">
        <f t="shared" si="13"/>
        <v>7.831707317</v>
      </c>
      <c r="AX700" s="9">
        <f t="shared" ref="AX700:AY700" si="2189">AM700/$AF700</f>
        <v>1.780487805</v>
      </c>
      <c r="AY700" s="9">
        <f t="shared" si="2189"/>
        <v>0.4390243902</v>
      </c>
      <c r="AZ700" s="9">
        <f>VLOOKUP(A700,Jogos!A:BN,58,0)</f>
        <v>25.475</v>
      </c>
      <c r="BA700" s="9">
        <f>VLOOKUP(A700,Jogos!A:BN,59,0)</f>
        <v>22.105</v>
      </c>
      <c r="BB700" s="9">
        <f>VLOOKUP(A700,Jogos!A:BN,60,0)</f>
        <v>81.5</v>
      </c>
      <c r="BC700" s="9">
        <f>VLOOKUP(A700,Jogos!A:BN,61,0)</f>
        <v>23.645</v>
      </c>
      <c r="BD700" s="9">
        <f>VLOOKUP(A700,Jogos!A:BN,62,0)</f>
        <v>0</v>
      </c>
      <c r="BE700" s="9">
        <f>VLOOKUP(A700,Jogos!A:BN,63,0)</f>
        <v>0.89</v>
      </c>
      <c r="BF700" s="9">
        <f>VLOOKUP(A700,Jogos!A:BN,64,0)</f>
        <v>23.61</v>
      </c>
      <c r="BG700" s="9">
        <f>VLOOKUP(A700,Jogos!A:BN,65,0)</f>
        <v>40.92</v>
      </c>
      <c r="BH700" s="9">
        <f>VLOOKUP(A700,Jogos!A:BN,66,0)</f>
        <v>27.26</v>
      </c>
      <c r="BI700" s="9"/>
    </row>
    <row r="701" hidden="1">
      <c r="A701" s="10">
        <v>24.0</v>
      </c>
      <c r="B701" s="11" t="s">
        <v>121</v>
      </c>
      <c r="C701" s="2" t="s">
        <v>61</v>
      </c>
      <c r="D701" s="12">
        <v>45828.0</v>
      </c>
      <c r="E701" s="13">
        <v>0.875</v>
      </c>
      <c r="F701" s="5" t="str">
        <f>VLOOKUP(A701,Jogos!A:N,10,0)</f>
        <v>Evening</v>
      </c>
      <c r="G701" s="11" t="s">
        <v>62</v>
      </c>
      <c r="H701" s="6" t="str">
        <f>VLOOKUP(A701,Jogos!A:L,12,0)</f>
        <v>Open</v>
      </c>
      <c r="I701" s="6" t="str">
        <f>VLOOKUP(G701,'Estádios e Cidades'!A:B,2,0)</f>
        <v>Miami Gardens - Flórida</v>
      </c>
      <c r="J701" s="11" t="s">
        <v>440</v>
      </c>
      <c r="K701" s="2" t="str">
        <f>VLOOKUP(J701,Equipes!A:F,6,0)</f>
        <v>Temperate</v>
      </c>
      <c r="L701" s="2">
        <f>VLOOKUP(J701,Equipes!A:C,3,0)</f>
        <v>24</v>
      </c>
      <c r="M701" s="2" t="str">
        <f t="shared" si="4"/>
        <v>Group</v>
      </c>
      <c r="N701" s="15" t="s">
        <v>123</v>
      </c>
      <c r="O701" s="2">
        <f>VLOOKUP(N701,Equipes!A:C,3,0)</f>
        <v>6</v>
      </c>
      <c r="P701" s="2" t="str">
        <f t="shared" si="5"/>
        <v>Quarter-final</v>
      </c>
      <c r="Q701" s="2">
        <f t="shared" si="6"/>
        <v>18</v>
      </c>
      <c r="R701" s="2" t="str">
        <f>VLOOKUP(J701,Equipes!A:B,2,0)</f>
        <v>Boca</v>
      </c>
      <c r="S701" s="14" t="s">
        <v>444</v>
      </c>
      <c r="T701" s="7">
        <v>5.0</v>
      </c>
      <c r="U701" s="7" t="s">
        <v>445</v>
      </c>
      <c r="V701" s="7" t="str">
        <f>VLOOKUP(U701,Jogadores!B:C,2,0)</f>
        <v>MF</v>
      </c>
      <c r="W701" s="8">
        <f>VLOOKUP(U701,Jogadores!B:D,3,0)</f>
        <v>34.06849315</v>
      </c>
      <c r="X701" s="7">
        <v>0.0</v>
      </c>
      <c r="Y701" s="7">
        <f t="shared" si="2190"/>
        <v>98</v>
      </c>
      <c r="Z701" s="7">
        <f>VLOOKUP(A701,Jogos!A:L,3,0)</f>
        <v>48</v>
      </c>
      <c r="AA701" s="7">
        <f t="shared" si="7"/>
        <v>48</v>
      </c>
      <c r="AB701" s="7">
        <f>VLOOKUP(A701,Jogos!A:L,4,0)</f>
        <v>53</v>
      </c>
      <c r="AC701" s="7">
        <f t="shared" si="2146"/>
        <v>53</v>
      </c>
      <c r="AD701" s="7"/>
      <c r="AE701" s="7"/>
      <c r="AF701" s="7">
        <f t="shared" si="9"/>
        <v>101</v>
      </c>
      <c r="AG701" s="7">
        <v>9839.4</v>
      </c>
      <c r="AH701" s="7">
        <v>4066.3</v>
      </c>
      <c r="AI701" s="7">
        <v>4129.8</v>
      </c>
      <c r="AJ701" s="7">
        <v>1189.8</v>
      </c>
      <c r="AK701" s="7">
        <v>411.9</v>
      </c>
      <c r="AL701" s="7">
        <v>41.6</v>
      </c>
      <c r="AM701" s="7">
        <v>111.0</v>
      </c>
      <c r="AN701" s="7">
        <v>28.0</v>
      </c>
      <c r="AO701" s="7">
        <v>28.3</v>
      </c>
      <c r="AP701" s="9">
        <f t="shared" ref="AP701:AR701" si="2191">AG701/$AF701</f>
        <v>97.41980198</v>
      </c>
      <c r="AQ701" s="9">
        <f t="shared" si="2191"/>
        <v>40.26039604</v>
      </c>
      <c r="AR701" s="9">
        <f t="shared" si="2191"/>
        <v>40.88910891</v>
      </c>
      <c r="AS701" s="9">
        <f t="shared" si="11"/>
        <v>81.14950495</v>
      </c>
      <c r="AT701" s="9">
        <f t="shared" ref="AT701:AV701" si="2192">AJ701/$AF701</f>
        <v>11.78019802</v>
      </c>
      <c r="AU701" s="9">
        <f t="shared" si="2192"/>
        <v>4.078217822</v>
      </c>
      <c r="AV701" s="9">
        <f t="shared" si="2192"/>
        <v>0.4118811881</v>
      </c>
      <c r="AW701" s="9">
        <f t="shared" si="13"/>
        <v>4.49009901</v>
      </c>
      <c r="AX701" s="9">
        <f t="shared" ref="AX701:AY701" si="2193">AM701/$AF701</f>
        <v>1.099009901</v>
      </c>
      <c r="AY701" s="9">
        <f t="shared" si="2193"/>
        <v>0.2772277228</v>
      </c>
      <c r="AZ701" s="9">
        <f>VLOOKUP(A701,Jogos!A:BN,58,0)</f>
        <v>25.475</v>
      </c>
      <c r="BA701" s="9">
        <f>VLOOKUP(A701,Jogos!A:BN,59,0)</f>
        <v>22.105</v>
      </c>
      <c r="BB701" s="9">
        <f>VLOOKUP(A701,Jogos!A:BN,60,0)</f>
        <v>81.5</v>
      </c>
      <c r="BC701" s="9">
        <f>VLOOKUP(A701,Jogos!A:BN,61,0)</f>
        <v>23.645</v>
      </c>
      <c r="BD701" s="9">
        <f>VLOOKUP(A701,Jogos!A:BN,62,0)</f>
        <v>0</v>
      </c>
      <c r="BE701" s="9">
        <f>VLOOKUP(A701,Jogos!A:BN,63,0)</f>
        <v>0.89</v>
      </c>
      <c r="BF701" s="9">
        <f>VLOOKUP(A701,Jogos!A:BN,64,0)</f>
        <v>23.61</v>
      </c>
      <c r="BG701" s="9">
        <f>VLOOKUP(A701,Jogos!A:BN,65,0)</f>
        <v>40.92</v>
      </c>
      <c r="BH701" s="9">
        <f>VLOOKUP(A701,Jogos!A:BN,66,0)</f>
        <v>27.26</v>
      </c>
      <c r="BI701" s="9"/>
    </row>
    <row r="702" hidden="1">
      <c r="A702" s="10">
        <v>24.0</v>
      </c>
      <c r="B702" s="11" t="s">
        <v>121</v>
      </c>
      <c r="C702" s="2" t="s">
        <v>61</v>
      </c>
      <c r="D702" s="12">
        <v>45828.0</v>
      </c>
      <c r="E702" s="13">
        <v>0.875</v>
      </c>
      <c r="F702" s="5" t="str">
        <f>VLOOKUP(A702,Jogos!A:N,10,0)</f>
        <v>Evening</v>
      </c>
      <c r="G702" s="11" t="s">
        <v>62</v>
      </c>
      <c r="H702" s="6" t="str">
        <f>VLOOKUP(A702,Jogos!A:L,12,0)</f>
        <v>Open</v>
      </c>
      <c r="I702" s="6" t="str">
        <f>VLOOKUP(G702,'Estádios e Cidades'!A:B,2,0)</f>
        <v>Miami Gardens - Flórida</v>
      </c>
      <c r="J702" s="11" t="s">
        <v>440</v>
      </c>
      <c r="K702" s="2" t="str">
        <f>VLOOKUP(J702,Equipes!A:F,6,0)</f>
        <v>Temperate</v>
      </c>
      <c r="L702" s="2">
        <f>VLOOKUP(J702,Equipes!A:C,3,0)</f>
        <v>24</v>
      </c>
      <c r="M702" s="2" t="str">
        <f t="shared" si="4"/>
        <v>Group</v>
      </c>
      <c r="N702" s="15" t="s">
        <v>123</v>
      </c>
      <c r="O702" s="2">
        <f>VLOOKUP(N702,Equipes!A:C,3,0)</f>
        <v>6</v>
      </c>
      <c r="P702" s="2" t="str">
        <f t="shared" si="5"/>
        <v>Quarter-final</v>
      </c>
      <c r="Q702" s="2">
        <f t="shared" si="6"/>
        <v>18</v>
      </c>
      <c r="R702" s="2" t="str">
        <f>VLOOKUP(J702,Equipes!A:B,2,0)</f>
        <v>Boca</v>
      </c>
      <c r="S702" s="6" t="s">
        <v>446</v>
      </c>
      <c r="T702" s="7">
        <v>8.0</v>
      </c>
      <c r="U702" s="7" t="s">
        <v>447</v>
      </c>
      <c r="V702" s="7" t="str">
        <f>VLOOKUP(U702,Jogadores!B:C,2,0)</f>
        <v>MF</v>
      </c>
      <c r="W702" s="8">
        <f>VLOOKUP(U702,Jogadores!B:D,3,0)</f>
        <v>25.03835616</v>
      </c>
      <c r="X702" s="7">
        <v>0.0</v>
      </c>
      <c r="Y702" s="7">
        <v>69.0</v>
      </c>
      <c r="Z702" s="7">
        <f>VLOOKUP(A702,Jogos!A:L,3,0)</f>
        <v>48</v>
      </c>
      <c r="AA702" s="7">
        <f t="shared" si="7"/>
        <v>48</v>
      </c>
      <c r="AB702" s="7">
        <f>VLOOKUP(A702,Jogos!A:L,4,0)</f>
        <v>53</v>
      </c>
      <c r="AC702" s="7">
        <f t="shared" si="2146"/>
        <v>24</v>
      </c>
      <c r="AD702" s="7"/>
      <c r="AE702" s="7"/>
      <c r="AF702" s="7">
        <f t="shared" si="9"/>
        <v>72</v>
      </c>
      <c r="AG702" s="7">
        <v>7771.6</v>
      </c>
      <c r="AH702" s="7">
        <v>2990.5</v>
      </c>
      <c r="AI702" s="7">
        <v>3067.4</v>
      </c>
      <c r="AJ702" s="7">
        <v>1270.1</v>
      </c>
      <c r="AK702" s="7">
        <v>348.3</v>
      </c>
      <c r="AL702" s="7">
        <v>95.3</v>
      </c>
      <c r="AM702" s="7">
        <v>97.0</v>
      </c>
      <c r="AN702" s="7">
        <v>26.0</v>
      </c>
      <c r="AO702" s="7">
        <v>28.9</v>
      </c>
      <c r="AP702" s="9">
        <f t="shared" ref="AP702:AR702" si="2194">AG702/$AF702</f>
        <v>107.9388889</v>
      </c>
      <c r="AQ702" s="9">
        <f t="shared" si="2194"/>
        <v>41.53472222</v>
      </c>
      <c r="AR702" s="9">
        <f t="shared" si="2194"/>
        <v>42.60277778</v>
      </c>
      <c r="AS702" s="9">
        <f t="shared" si="11"/>
        <v>84.1375</v>
      </c>
      <c r="AT702" s="9">
        <f t="shared" ref="AT702:AV702" si="2195">AJ702/$AF702</f>
        <v>17.64027778</v>
      </c>
      <c r="AU702" s="9">
        <f t="shared" si="2195"/>
        <v>4.8375</v>
      </c>
      <c r="AV702" s="9">
        <f t="shared" si="2195"/>
        <v>1.323611111</v>
      </c>
      <c r="AW702" s="9">
        <f t="shared" si="13"/>
        <v>6.161111111</v>
      </c>
      <c r="AX702" s="9">
        <f t="shared" ref="AX702:AY702" si="2196">AM702/$AF702</f>
        <v>1.347222222</v>
      </c>
      <c r="AY702" s="9">
        <f t="shared" si="2196"/>
        <v>0.3611111111</v>
      </c>
      <c r="AZ702" s="9">
        <f>VLOOKUP(A702,Jogos!A:BN,58,0)</f>
        <v>25.475</v>
      </c>
      <c r="BA702" s="9">
        <f>VLOOKUP(A702,Jogos!A:BN,59,0)</f>
        <v>22.105</v>
      </c>
      <c r="BB702" s="9">
        <f>VLOOKUP(A702,Jogos!A:BN,60,0)</f>
        <v>81.5</v>
      </c>
      <c r="BC702" s="9">
        <f>VLOOKUP(A702,Jogos!A:BN,61,0)</f>
        <v>23.645</v>
      </c>
      <c r="BD702" s="9">
        <f>VLOOKUP(A702,Jogos!A:BN,62,0)</f>
        <v>0</v>
      </c>
      <c r="BE702" s="9">
        <f>VLOOKUP(A702,Jogos!A:BN,63,0)</f>
        <v>0.89</v>
      </c>
      <c r="BF702" s="9">
        <f>VLOOKUP(A702,Jogos!A:BN,64,0)</f>
        <v>23.61</v>
      </c>
      <c r="BG702" s="9">
        <f>VLOOKUP(A702,Jogos!A:BN,65,0)</f>
        <v>40.92</v>
      </c>
      <c r="BH702" s="9">
        <f>VLOOKUP(A702,Jogos!A:BN,66,0)</f>
        <v>27.26</v>
      </c>
      <c r="BI702" s="9"/>
    </row>
    <row r="703" hidden="1">
      <c r="A703" s="10">
        <v>24.0</v>
      </c>
      <c r="B703" s="11" t="s">
        <v>121</v>
      </c>
      <c r="C703" s="2" t="s">
        <v>61</v>
      </c>
      <c r="D703" s="12">
        <v>45828.0</v>
      </c>
      <c r="E703" s="13">
        <v>0.875</v>
      </c>
      <c r="F703" s="5" t="str">
        <f>VLOOKUP(A703,Jogos!A:N,10,0)</f>
        <v>Evening</v>
      </c>
      <c r="G703" s="11" t="s">
        <v>62</v>
      </c>
      <c r="H703" s="6" t="str">
        <f>VLOOKUP(A703,Jogos!A:L,12,0)</f>
        <v>Open</v>
      </c>
      <c r="I703" s="6" t="str">
        <f>VLOOKUP(G703,'Estádios e Cidades'!A:B,2,0)</f>
        <v>Miami Gardens - Flórida</v>
      </c>
      <c r="J703" s="11" t="s">
        <v>440</v>
      </c>
      <c r="K703" s="2" t="str">
        <f>VLOOKUP(J703,Equipes!A:F,6,0)</f>
        <v>Temperate</v>
      </c>
      <c r="L703" s="2">
        <f>VLOOKUP(J703,Equipes!A:C,3,0)</f>
        <v>24</v>
      </c>
      <c r="M703" s="2" t="str">
        <f t="shared" si="4"/>
        <v>Group</v>
      </c>
      <c r="N703" s="15" t="s">
        <v>123</v>
      </c>
      <c r="O703" s="2">
        <f>VLOOKUP(N703,Equipes!A:C,3,0)</f>
        <v>6</v>
      </c>
      <c r="P703" s="2" t="str">
        <f t="shared" si="5"/>
        <v>Quarter-final</v>
      </c>
      <c r="Q703" s="2">
        <f t="shared" si="6"/>
        <v>18</v>
      </c>
      <c r="R703" s="2" t="str">
        <f>VLOOKUP(J703,Equipes!A:B,2,0)</f>
        <v>Boca</v>
      </c>
      <c r="S703" s="6" t="s">
        <v>448</v>
      </c>
      <c r="T703" s="7">
        <v>16.0</v>
      </c>
      <c r="U703" s="7" t="s">
        <v>449</v>
      </c>
      <c r="V703" s="7" t="str">
        <f>VLOOKUP(U703,Jogadores!B:C,2,0)</f>
        <v>FW</v>
      </c>
      <c r="W703" s="8">
        <f>VLOOKUP(U703,Jogadores!B:D,3,0)</f>
        <v>29.44383562</v>
      </c>
      <c r="X703" s="7">
        <v>0.0</v>
      </c>
      <c r="Y703" s="7">
        <v>80.0</v>
      </c>
      <c r="Z703" s="7">
        <f>VLOOKUP(A703,Jogos!A:L,3,0)</f>
        <v>48</v>
      </c>
      <c r="AA703" s="7">
        <f t="shared" si="7"/>
        <v>48</v>
      </c>
      <c r="AB703" s="7">
        <f>VLOOKUP(A703,Jogos!A:L,4,0)</f>
        <v>53</v>
      </c>
      <c r="AC703" s="7">
        <f t="shared" si="2146"/>
        <v>35</v>
      </c>
      <c r="AD703" s="7"/>
      <c r="AE703" s="7"/>
      <c r="AF703" s="7">
        <f t="shared" si="9"/>
        <v>83</v>
      </c>
      <c r="AG703" s="7">
        <v>8314.2</v>
      </c>
      <c r="AH703" s="7">
        <v>3810.5</v>
      </c>
      <c r="AI703" s="7">
        <v>2911.4</v>
      </c>
      <c r="AJ703" s="7">
        <v>808.4</v>
      </c>
      <c r="AK703" s="7">
        <v>466.6</v>
      </c>
      <c r="AL703" s="7">
        <v>317.3</v>
      </c>
      <c r="AM703" s="7">
        <v>72.0</v>
      </c>
      <c r="AN703" s="7">
        <v>38.0</v>
      </c>
      <c r="AO703" s="7">
        <v>32.8</v>
      </c>
      <c r="AP703" s="9">
        <f t="shared" ref="AP703:AR703" si="2197">AG703/$AF703</f>
        <v>100.1710843</v>
      </c>
      <c r="AQ703" s="9">
        <f t="shared" si="2197"/>
        <v>45.90963855</v>
      </c>
      <c r="AR703" s="9">
        <f t="shared" si="2197"/>
        <v>35.07710843</v>
      </c>
      <c r="AS703" s="9">
        <f t="shared" si="11"/>
        <v>80.98674699</v>
      </c>
      <c r="AT703" s="9">
        <f t="shared" ref="AT703:AV703" si="2198">AJ703/$AF703</f>
        <v>9.739759036</v>
      </c>
      <c r="AU703" s="9">
        <f t="shared" si="2198"/>
        <v>5.621686747</v>
      </c>
      <c r="AV703" s="9">
        <f t="shared" si="2198"/>
        <v>3.822891566</v>
      </c>
      <c r="AW703" s="9">
        <f t="shared" si="13"/>
        <v>9.444578313</v>
      </c>
      <c r="AX703" s="9">
        <f t="shared" ref="AX703:AY703" si="2199">AM703/$AF703</f>
        <v>0.8674698795</v>
      </c>
      <c r="AY703" s="9">
        <f t="shared" si="2199"/>
        <v>0.4578313253</v>
      </c>
      <c r="AZ703" s="9">
        <f>VLOOKUP(A703,Jogos!A:BN,58,0)</f>
        <v>25.475</v>
      </c>
      <c r="BA703" s="9">
        <f>VLOOKUP(A703,Jogos!A:BN,59,0)</f>
        <v>22.105</v>
      </c>
      <c r="BB703" s="9">
        <f>VLOOKUP(A703,Jogos!A:BN,60,0)</f>
        <v>81.5</v>
      </c>
      <c r="BC703" s="9">
        <f>VLOOKUP(A703,Jogos!A:BN,61,0)</f>
        <v>23.645</v>
      </c>
      <c r="BD703" s="9">
        <f>VLOOKUP(A703,Jogos!A:BN,62,0)</f>
        <v>0</v>
      </c>
      <c r="BE703" s="9">
        <f>VLOOKUP(A703,Jogos!A:BN,63,0)</f>
        <v>0.89</v>
      </c>
      <c r="BF703" s="9">
        <f>VLOOKUP(A703,Jogos!A:BN,64,0)</f>
        <v>23.61</v>
      </c>
      <c r="BG703" s="9">
        <f>VLOOKUP(A703,Jogos!A:BN,65,0)</f>
        <v>40.92</v>
      </c>
      <c r="BH703" s="9">
        <f>VLOOKUP(A703,Jogos!A:BN,66,0)</f>
        <v>27.26</v>
      </c>
      <c r="BI703" s="9"/>
    </row>
    <row r="704" hidden="1">
      <c r="A704" s="10">
        <v>24.0</v>
      </c>
      <c r="B704" s="11" t="s">
        <v>121</v>
      </c>
      <c r="C704" s="2" t="s">
        <v>61</v>
      </c>
      <c r="D704" s="12">
        <v>45828.0</v>
      </c>
      <c r="E704" s="13">
        <v>0.875</v>
      </c>
      <c r="F704" s="5" t="str">
        <f>VLOOKUP(A704,Jogos!A:N,10,0)</f>
        <v>Evening</v>
      </c>
      <c r="G704" s="11" t="s">
        <v>62</v>
      </c>
      <c r="H704" s="6" t="str">
        <f>VLOOKUP(A704,Jogos!A:L,12,0)</f>
        <v>Open</v>
      </c>
      <c r="I704" s="6" t="str">
        <f>VLOOKUP(G704,'Estádios e Cidades'!A:B,2,0)</f>
        <v>Miami Gardens - Flórida</v>
      </c>
      <c r="J704" s="11" t="s">
        <v>440</v>
      </c>
      <c r="K704" s="2" t="str">
        <f>VLOOKUP(J704,Equipes!A:F,6,0)</f>
        <v>Temperate</v>
      </c>
      <c r="L704" s="2">
        <f>VLOOKUP(J704,Equipes!A:C,3,0)</f>
        <v>24</v>
      </c>
      <c r="M704" s="2" t="str">
        <f t="shared" si="4"/>
        <v>Group</v>
      </c>
      <c r="N704" s="15" t="s">
        <v>123</v>
      </c>
      <c r="O704" s="2">
        <f>VLOOKUP(N704,Equipes!A:C,3,0)</f>
        <v>6</v>
      </c>
      <c r="P704" s="2" t="str">
        <f t="shared" si="5"/>
        <v>Quarter-final</v>
      </c>
      <c r="Q704" s="2">
        <f t="shared" si="6"/>
        <v>18</v>
      </c>
      <c r="R704" s="2" t="str">
        <f>VLOOKUP(J704,Equipes!A:B,2,0)</f>
        <v>Boca</v>
      </c>
      <c r="S704" s="6" t="s">
        <v>450</v>
      </c>
      <c r="T704" s="7">
        <v>17.0</v>
      </c>
      <c r="U704" s="7" t="s">
        <v>451</v>
      </c>
      <c r="V704" s="7" t="str">
        <f>VLOOKUP(U704,Jogadores!B:C,2,0)</f>
        <v>DF</v>
      </c>
      <c r="W704" s="8">
        <f>VLOOKUP(U704,Jogadores!B:D,3,0)</f>
        <v>35.43013699</v>
      </c>
      <c r="X704" s="7">
        <v>0.0</v>
      </c>
      <c r="Y704" s="7">
        <f>45+AB704</f>
        <v>98</v>
      </c>
      <c r="Z704" s="7">
        <f>VLOOKUP(A704,Jogos!A:L,3,0)</f>
        <v>48</v>
      </c>
      <c r="AA704" s="7">
        <f t="shared" si="7"/>
        <v>48</v>
      </c>
      <c r="AB704" s="7">
        <f>VLOOKUP(A704,Jogos!A:L,4,0)</f>
        <v>53</v>
      </c>
      <c r="AC704" s="7">
        <f t="shared" si="2146"/>
        <v>53</v>
      </c>
      <c r="AD704" s="7"/>
      <c r="AE704" s="7"/>
      <c r="AF704" s="7">
        <f t="shared" si="9"/>
        <v>101</v>
      </c>
      <c r="AG704" s="7">
        <v>8741.6</v>
      </c>
      <c r="AH704" s="7">
        <v>4337.7</v>
      </c>
      <c r="AI704" s="7">
        <v>3113.0</v>
      </c>
      <c r="AJ704" s="7">
        <v>805.1</v>
      </c>
      <c r="AK704" s="7">
        <v>300.8</v>
      </c>
      <c r="AL704" s="7">
        <v>185.0</v>
      </c>
      <c r="AM704" s="7">
        <v>77.0</v>
      </c>
      <c r="AN704" s="7">
        <v>26.0</v>
      </c>
      <c r="AO704" s="7">
        <v>32.0</v>
      </c>
      <c r="AP704" s="9">
        <f t="shared" ref="AP704:AR704" si="2200">AG704/$AF704</f>
        <v>86.55049505</v>
      </c>
      <c r="AQ704" s="9">
        <f t="shared" si="2200"/>
        <v>42.94752475</v>
      </c>
      <c r="AR704" s="9">
        <f t="shared" si="2200"/>
        <v>30.82178218</v>
      </c>
      <c r="AS704" s="9">
        <f t="shared" si="11"/>
        <v>73.76930693</v>
      </c>
      <c r="AT704" s="9">
        <f t="shared" ref="AT704:AV704" si="2201">AJ704/$AF704</f>
        <v>7.971287129</v>
      </c>
      <c r="AU704" s="9">
        <f t="shared" si="2201"/>
        <v>2.978217822</v>
      </c>
      <c r="AV704" s="9">
        <f t="shared" si="2201"/>
        <v>1.831683168</v>
      </c>
      <c r="AW704" s="9">
        <f t="shared" si="13"/>
        <v>4.80990099</v>
      </c>
      <c r="AX704" s="9">
        <f t="shared" ref="AX704:AY704" si="2202">AM704/$AF704</f>
        <v>0.7623762376</v>
      </c>
      <c r="AY704" s="9">
        <f t="shared" si="2202"/>
        <v>0.2574257426</v>
      </c>
      <c r="AZ704" s="9">
        <f>VLOOKUP(A704,Jogos!A:BN,58,0)</f>
        <v>25.475</v>
      </c>
      <c r="BA704" s="9">
        <f>VLOOKUP(A704,Jogos!A:BN,59,0)</f>
        <v>22.105</v>
      </c>
      <c r="BB704" s="9">
        <f>VLOOKUP(A704,Jogos!A:BN,60,0)</f>
        <v>81.5</v>
      </c>
      <c r="BC704" s="9">
        <f>VLOOKUP(A704,Jogos!A:BN,61,0)</f>
        <v>23.645</v>
      </c>
      <c r="BD704" s="9">
        <f>VLOOKUP(A704,Jogos!A:BN,62,0)</f>
        <v>0</v>
      </c>
      <c r="BE704" s="9">
        <f>VLOOKUP(A704,Jogos!A:BN,63,0)</f>
        <v>0.89</v>
      </c>
      <c r="BF704" s="9">
        <f>VLOOKUP(A704,Jogos!A:BN,64,0)</f>
        <v>23.61</v>
      </c>
      <c r="BG704" s="9">
        <f>VLOOKUP(A704,Jogos!A:BN,65,0)</f>
        <v>40.92</v>
      </c>
      <c r="BH704" s="9">
        <f>VLOOKUP(A704,Jogos!A:BN,66,0)</f>
        <v>27.26</v>
      </c>
      <c r="BI704" s="9"/>
    </row>
    <row r="705" hidden="1">
      <c r="A705" s="10">
        <v>24.0</v>
      </c>
      <c r="B705" s="11" t="s">
        <v>121</v>
      </c>
      <c r="C705" s="2" t="s">
        <v>61</v>
      </c>
      <c r="D705" s="12">
        <v>45828.0</v>
      </c>
      <c r="E705" s="13">
        <v>0.875</v>
      </c>
      <c r="F705" s="5" t="str">
        <f>VLOOKUP(A705,Jogos!A:N,10,0)</f>
        <v>Evening</v>
      </c>
      <c r="G705" s="11" t="s">
        <v>62</v>
      </c>
      <c r="H705" s="6" t="str">
        <f>VLOOKUP(A705,Jogos!A:L,12,0)</f>
        <v>Open</v>
      </c>
      <c r="I705" s="6" t="str">
        <f>VLOOKUP(G705,'Estádios e Cidades'!A:B,2,0)</f>
        <v>Miami Gardens - Flórida</v>
      </c>
      <c r="J705" s="11" t="s">
        <v>440</v>
      </c>
      <c r="K705" s="2" t="str">
        <f>VLOOKUP(J705,Equipes!A:F,6,0)</f>
        <v>Temperate</v>
      </c>
      <c r="L705" s="2">
        <f>VLOOKUP(J705,Equipes!A:C,3,0)</f>
        <v>24</v>
      </c>
      <c r="M705" s="2" t="str">
        <f t="shared" si="4"/>
        <v>Group</v>
      </c>
      <c r="N705" s="15" t="s">
        <v>123</v>
      </c>
      <c r="O705" s="2">
        <f>VLOOKUP(N705,Equipes!A:C,3,0)</f>
        <v>6</v>
      </c>
      <c r="P705" s="2" t="str">
        <f t="shared" si="5"/>
        <v>Quarter-final</v>
      </c>
      <c r="Q705" s="2">
        <f t="shared" si="6"/>
        <v>18</v>
      </c>
      <c r="R705" s="2" t="str">
        <f>VLOOKUP(J705,Equipes!A:B,2,0)</f>
        <v>Boca</v>
      </c>
      <c r="S705" s="6" t="s">
        <v>452</v>
      </c>
      <c r="T705" s="7">
        <v>20.0</v>
      </c>
      <c r="U705" s="7" t="s">
        <v>453</v>
      </c>
      <c r="V705" s="7" t="str">
        <f>VLOOKUP(U705,Jogadores!B:C,2,0)</f>
        <v>MF</v>
      </c>
      <c r="W705" s="8">
        <f>VLOOKUP(U705,Jogadores!B:D,3,0)</f>
        <v>23.01917808</v>
      </c>
      <c r="X705" s="7">
        <v>0.0</v>
      </c>
      <c r="Y705" s="7">
        <v>80.0</v>
      </c>
      <c r="Z705" s="7">
        <f>VLOOKUP(A705,Jogos!A:L,3,0)</f>
        <v>48</v>
      </c>
      <c r="AA705" s="7">
        <f t="shared" si="7"/>
        <v>48</v>
      </c>
      <c r="AB705" s="7">
        <f>VLOOKUP(A705,Jogos!A:L,4,0)</f>
        <v>53</v>
      </c>
      <c r="AC705" s="7">
        <f t="shared" si="2146"/>
        <v>35</v>
      </c>
      <c r="AD705" s="7"/>
      <c r="AE705" s="7"/>
      <c r="AF705" s="7">
        <f t="shared" si="9"/>
        <v>83</v>
      </c>
      <c r="AG705" s="7">
        <v>9057.4</v>
      </c>
      <c r="AH705" s="7">
        <v>3657.5</v>
      </c>
      <c r="AI705" s="7">
        <v>3574.8</v>
      </c>
      <c r="AJ705" s="7">
        <v>1119.6</v>
      </c>
      <c r="AK705" s="7">
        <v>510.0</v>
      </c>
      <c r="AL705" s="7">
        <v>195.5</v>
      </c>
      <c r="AM705" s="7">
        <v>93.0</v>
      </c>
      <c r="AN705" s="7">
        <v>44.0</v>
      </c>
      <c r="AO705" s="7">
        <v>31.3</v>
      </c>
      <c r="AP705" s="9">
        <f t="shared" ref="AP705:AR705" si="2203">AG705/$AF705</f>
        <v>109.1253012</v>
      </c>
      <c r="AQ705" s="9">
        <f t="shared" si="2203"/>
        <v>44.06626506</v>
      </c>
      <c r="AR705" s="9">
        <f t="shared" si="2203"/>
        <v>43.06987952</v>
      </c>
      <c r="AS705" s="9">
        <f t="shared" si="11"/>
        <v>87.13614458</v>
      </c>
      <c r="AT705" s="9">
        <f t="shared" ref="AT705:AV705" si="2204">AJ705/$AF705</f>
        <v>13.48915663</v>
      </c>
      <c r="AU705" s="9">
        <f t="shared" si="2204"/>
        <v>6.144578313</v>
      </c>
      <c r="AV705" s="9">
        <f t="shared" si="2204"/>
        <v>2.355421687</v>
      </c>
      <c r="AW705" s="9">
        <f t="shared" si="13"/>
        <v>8.5</v>
      </c>
      <c r="AX705" s="9">
        <f t="shared" ref="AX705:AY705" si="2205">AM705/$AF705</f>
        <v>1.120481928</v>
      </c>
      <c r="AY705" s="9">
        <f t="shared" si="2205"/>
        <v>0.5301204819</v>
      </c>
      <c r="AZ705" s="9">
        <f>VLOOKUP(A705,Jogos!A:BN,58,0)</f>
        <v>25.475</v>
      </c>
      <c r="BA705" s="9">
        <f>VLOOKUP(A705,Jogos!A:BN,59,0)</f>
        <v>22.105</v>
      </c>
      <c r="BB705" s="9">
        <f>VLOOKUP(A705,Jogos!A:BN,60,0)</f>
        <v>81.5</v>
      </c>
      <c r="BC705" s="9">
        <f>VLOOKUP(A705,Jogos!A:BN,61,0)</f>
        <v>23.645</v>
      </c>
      <c r="BD705" s="9">
        <f>VLOOKUP(A705,Jogos!A:BN,62,0)</f>
        <v>0</v>
      </c>
      <c r="BE705" s="9">
        <f>VLOOKUP(A705,Jogos!A:BN,63,0)</f>
        <v>0.89</v>
      </c>
      <c r="BF705" s="9">
        <f>VLOOKUP(A705,Jogos!A:BN,64,0)</f>
        <v>23.61</v>
      </c>
      <c r="BG705" s="9">
        <f>VLOOKUP(A705,Jogos!A:BN,65,0)</f>
        <v>40.92</v>
      </c>
      <c r="BH705" s="9">
        <f>VLOOKUP(A705,Jogos!A:BN,66,0)</f>
        <v>27.26</v>
      </c>
      <c r="BI705" s="9"/>
    </row>
    <row r="706" hidden="1">
      <c r="A706" s="10">
        <v>24.0</v>
      </c>
      <c r="B706" s="11" t="s">
        <v>121</v>
      </c>
      <c r="C706" s="2" t="s">
        <v>61</v>
      </c>
      <c r="D706" s="12">
        <v>45828.0</v>
      </c>
      <c r="E706" s="13">
        <v>0.875</v>
      </c>
      <c r="F706" s="5" t="str">
        <f>VLOOKUP(A706,Jogos!A:N,10,0)</f>
        <v>Evening</v>
      </c>
      <c r="G706" s="11" t="s">
        <v>62</v>
      </c>
      <c r="H706" s="6" t="str">
        <f>VLOOKUP(A706,Jogos!A:L,12,0)</f>
        <v>Open</v>
      </c>
      <c r="I706" s="6" t="str">
        <f>VLOOKUP(G706,'Estádios e Cidades'!A:B,2,0)</f>
        <v>Miami Gardens - Flórida</v>
      </c>
      <c r="J706" s="11" t="s">
        <v>440</v>
      </c>
      <c r="K706" s="2" t="str">
        <f>VLOOKUP(J706,Equipes!A:F,6,0)</f>
        <v>Temperate</v>
      </c>
      <c r="L706" s="2">
        <f>VLOOKUP(J706,Equipes!A:C,3,0)</f>
        <v>24</v>
      </c>
      <c r="M706" s="2" t="str">
        <f t="shared" si="4"/>
        <v>Group</v>
      </c>
      <c r="N706" s="15" t="s">
        <v>123</v>
      </c>
      <c r="O706" s="2">
        <f>VLOOKUP(N706,Equipes!A:C,3,0)</f>
        <v>6</v>
      </c>
      <c r="P706" s="2" t="str">
        <f t="shared" si="5"/>
        <v>Quarter-final</v>
      </c>
      <c r="Q706" s="2">
        <f t="shared" si="6"/>
        <v>18</v>
      </c>
      <c r="R706" s="2" t="str">
        <f>VLOOKUP(J706,Equipes!A:B,2,0)</f>
        <v>Boca</v>
      </c>
      <c r="S706" s="6" t="s">
        <v>456</v>
      </c>
      <c r="T706" s="7">
        <v>22.0</v>
      </c>
      <c r="U706" s="7" t="s">
        <v>457</v>
      </c>
      <c r="V706" s="7" t="str">
        <f>VLOOKUP(U706,Jogadores!B:C,2,0)</f>
        <v>MF</v>
      </c>
      <c r="W706" s="8">
        <f>VLOOKUP(U706,Jogadores!B:D,3,0)</f>
        <v>24.0109589</v>
      </c>
      <c r="X706" s="7">
        <v>0.0</v>
      </c>
      <c r="Y706" s="7">
        <v>59.0</v>
      </c>
      <c r="Z706" s="7">
        <f>VLOOKUP(A706,Jogos!A:L,3,0)</f>
        <v>48</v>
      </c>
      <c r="AA706" s="7">
        <f t="shared" si="7"/>
        <v>48</v>
      </c>
      <c r="AB706" s="7">
        <f>VLOOKUP(A706,Jogos!A:L,4,0)</f>
        <v>53</v>
      </c>
      <c r="AC706" s="7">
        <f t="shared" si="2146"/>
        <v>14</v>
      </c>
      <c r="AD706" s="7"/>
      <c r="AE706" s="7"/>
      <c r="AF706" s="7">
        <f t="shared" si="9"/>
        <v>62</v>
      </c>
      <c r="AG706" s="7">
        <v>6905.0</v>
      </c>
      <c r="AH706" s="7">
        <v>2812.4</v>
      </c>
      <c r="AI706" s="7">
        <v>2407.9</v>
      </c>
      <c r="AJ706" s="7">
        <v>990.6</v>
      </c>
      <c r="AK706" s="7">
        <v>561.7</v>
      </c>
      <c r="AL706" s="7">
        <v>132.5</v>
      </c>
      <c r="AM706" s="7">
        <v>89.0</v>
      </c>
      <c r="AN706" s="7">
        <v>47.0</v>
      </c>
      <c r="AO706" s="7">
        <v>29.6</v>
      </c>
      <c r="AP706" s="9">
        <f t="shared" ref="AP706:AR706" si="2206">AG706/$AF706</f>
        <v>111.3709677</v>
      </c>
      <c r="AQ706" s="9">
        <f t="shared" si="2206"/>
        <v>45.36129032</v>
      </c>
      <c r="AR706" s="9">
        <f t="shared" si="2206"/>
        <v>38.83709677</v>
      </c>
      <c r="AS706" s="9">
        <f t="shared" si="11"/>
        <v>84.1983871</v>
      </c>
      <c r="AT706" s="9">
        <f t="shared" ref="AT706:AV706" si="2207">AJ706/$AF706</f>
        <v>15.97741935</v>
      </c>
      <c r="AU706" s="9">
        <f t="shared" si="2207"/>
        <v>9.059677419</v>
      </c>
      <c r="AV706" s="9">
        <f t="shared" si="2207"/>
        <v>2.137096774</v>
      </c>
      <c r="AW706" s="9">
        <f t="shared" si="13"/>
        <v>11.19677419</v>
      </c>
      <c r="AX706" s="9">
        <f t="shared" ref="AX706:AY706" si="2208">AM706/$AF706</f>
        <v>1.435483871</v>
      </c>
      <c r="AY706" s="9">
        <f t="shared" si="2208"/>
        <v>0.7580645161</v>
      </c>
      <c r="AZ706" s="9">
        <f>VLOOKUP(A706,Jogos!A:BN,58,0)</f>
        <v>25.475</v>
      </c>
      <c r="BA706" s="9">
        <f>VLOOKUP(A706,Jogos!A:BN,59,0)</f>
        <v>22.105</v>
      </c>
      <c r="BB706" s="9">
        <f>VLOOKUP(A706,Jogos!A:BN,60,0)</f>
        <v>81.5</v>
      </c>
      <c r="BC706" s="9">
        <f>VLOOKUP(A706,Jogos!A:BN,61,0)</f>
        <v>23.645</v>
      </c>
      <c r="BD706" s="9">
        <f>VLOOKUP(A706,Jogos!A:BN,62,0)</f>
        <v>0</v>
      </c>
      <c r="BE706" s="9">
        <f>VLOOKUP(A706,Jogos!A:BN,63,0)</f>
        <v>0.89</v>
      </c>
      <c r="BF706" s="9">
        <f>VLOOKUP(A706,Jogos!A:BN,64,0)</f>
        <v>23.61</v>
      </c>
      <c r="BG706" s="9">
        <f>VLOOKUP(A706,Jogos!A:BN,65,0)</f>
        <v>40.92</v>
      </c>
      <c r="BH706" s="9">
        <f>VLOOKUP(A706,Jogos!A:BN,66,0)</f>
        <v>27.26</v>
      </c>
      <c r="BI706" s="9"/>
    </row>
    <row r="707" hidden="1">
      <c r="A707" s="10">
        <v>24.0</v>
      </c>
      <c r="B707" s="11" t="s">
        <v>121</v>
      </c>
      <c r="C707" s="2" t="s">
        <v>61</v>
      </c>
      <c r="D707" s="12">
        <v>45828.0</v>
      </c>
      <c r="E707" s="13">
        <v>0.875</v>
      </c>
      <c r="F707" s="5" t="str">
        <f>VLOOKUP(A707,Jogos!A:N,10,0)</f>
        <v>Evening</v>
      </c>
      <c r="G707" s="11" t="s">
        <v>62</v>
      </c>
      <c r="H707" s="6" t="str">
        <f>VLOOKUP(A707,Jogos!A:L,12,0)</f>
        <v>Open</v>
      </c>
      <c r="I707" s="6" t="str">
        <f>VLOOKUP(G707,'Estádios e Cidades'!A:B,2,0)</f>
        <v>Miami Gardens - Flórida</v>
      </c>
      <c r="J707" s="11" t="s">
        <v>440</v>
      </c>
      <c r="K707" s="2" t="str">
        <f>VLOOKUP(J707,Equipes!A:F,6,0)</f>
        <v>Temperate</v>
      </c>
      <c r="L707" s="2">
        <f>VLOOKUP(J707,Equipes!A:C,3,0)</f>
        <v>24</v>
      </c>
      <c r="M707" s="2" t="str">
        <f t="shared" si="4"/>
        <v>Group</v>
      </c>
      <c r="N707" s="15" t="s">
        <v>123</v>
      </c>
      <c r="O707" s="2">
        <f>VLOOKUP(N707,Equipes!A:C,3,0)</f>
        <v>6</v>
      </c>
      <c r="P707" s="2" t="str">
        <f t="shared" si="5"/>
        <v>Quarter-final</v>
      </c>
      <c r="Q707" s="2">
        <f t="shared" si="6"/>
        <v>18</v>
      </c>
      <c r="R707" s="2" t="str">
        <f>VLOOKUP(J707,Equipes!A:B,2,0)</f>
        <v>Boca</v>
      </c>
      <c r="S707" s="6" t="s">
        <v>458</v>
      </c>
      <c r="T707" s="7">
        <v>23.0</v>
      </c>
      <c r="U707" s="7" t="s">
        <v>459</v>
      </c>
      <c r="V707" s="7" t="str">
        <f>VLOOKUP(U707,Jogadores!B:C,2,0)</f>
        <v>DF</v>
      </c>
      <c r="W707" s="8">
        <f>VLOOKUP(U707,Jogadores!B:D,3,0)</f>
        <v>26.45479452</v>
      </c>
      <c r="X707" s="7">
        <v>0.0</v>
      </c>
      <c r="Y707" s="7">
        <f>45+AB707</f>
        <v>98</v>
      </c>
      <c r="Z707" s="7">
        <f>VLOOKUP(A707,Jogos!A:L,3,0)</f>
        <v>48</v>
      </c>
      <c r="AA707" s="7">
        <f t="shared" si="7"/>
        <v>48</v>
      </c>
      <c r="AB707" s="7">
        <f>VLOOKUP(A707,Jogos!A:L,4,0)</f>
        <v>53</v>
      </c>
      <c r="AC707" s="7">
        <f t="shared" si="2146"/>
        <v>53</v>
      </c>
      <c r="AD707" s="7"/>
      <c r="AE707" s="7"/>
      <c r="AF707" s="7">
        <f t="shared" si="9"/>
        <v>101</v>
      </c>
      <c r="AG707" s="7">
        <v>10278.7</v>
      </c>
      <c r="AH707" s="7">
        <v>5098.5</v>
      </c>
      <c r="AI707" s="7">
        <v>3386.9</v>
      </c>
      <c r="AJ707" s="7">
        <v>1137.3</v>
      </c>
      <c r="AK707" s="7">
        <v>500.0</v>
      </c>
      <c r="AL707" s="7">
        <v>155.9</v>
      </c>
      <c r="AM707" s="7">
        <v>97.0</v>
      </c>
      <c r="AN707" s="7">
        <v>46.0</v>
      </c>
      <c r="AO707" s="7">
        <v>33.2</v>
      </c>
      <c r="AP707" s="9">
        <f t="shared" ref="AP707:AR707" si="2209">AG707/$AF707</f>
        <v>101.7693069</v>
      </c>
      <c r="AQ707" s="9">
        <f t="shared" si="2209"/>
        <v>50.48019802</v>
      </c>
      <c r="AR707" s="9">
        <f t="shared" si="2209"/>
        <v>33.53366337</v>
      </c>
      <c r="AS707" s="9">
        <f t="shared" si="11"/>
        <v>84.01386139</v>
      </c>
      <c r="AT707" s="9">
        <f t="shared" ref="AT707:AV707" si="2210">AJ707/$AF707</f>
        <v>11.26039604</v>
      </c>
      <c r="AU707" s="9">
        <f t="shared" si="2210"/>
        <v>4.95049505</v>
      </c>
      <c r="AV707" s="9">
        <f t="shared" si="2210"/>
        <v>1.543564356</v>
      </c>
      <c r="AW707" s="9">
        <f t="shared" si="13"/>
        <v>6.494059406</v>
      </c>
      <c r="AX707" s="9">
        <f t="shared" ref="AX707:AY707" si="2211">AM707/$AF707</f>
        <v>0.9603960396</v>
      </c>
      <c r="AY707" s="9">
        <f t="shared" si="2211"/>
        <v>0.4554455446</v>
      </c>
      <c r="AZ707" s="9">
        <f>VLOOKUP(A707,Jogos!A:BN,58,0)</f>
        <v>25.475</v>
      </c>
      <c r="BA707" s="9">
        <f>VLOOKUP(A707,Jogos!A:BN,59,0)</f>
        <v>22.105</v>
      </c>
      <c r="BB707" s="9">
        <f>VLOOKUP(A707,Jogos!A:BN,60,0)</f>
        <v>81.5</v>
      </c>
      <c r="BC707" s="9">
        <f>VLOOKUP(A707,Jogos!A:BN,61,0)</f>
        <v>23.645</v>
      </c>
      <c r="BD707" s="9">
        <f>VLOOKUP(A707,Jogos!A:BN,62,0)</f>
        <v>0</v>
      </c>
      <c r="BE707" s="9">
        <f>VLOOKUP(A707,Jogos!A:BN,63,0)</f>
        <v>0.89</v>
      </c>
      <c r="BF707" s="9">
        <f>VLOOKUP(A707,Jogos!A:BN,64,0)</f>
        <v>23.61</v>
      </c>
      <c r="BG707" s="9">
        <f>VLOOKUP(A707,Jogos!A:BN,65,0)</f>
        <v>40.92</v>
      </c>
      <c r="BH707" s="9">
        <f>VLOOKUP(A707,Jogos!A:BN,66,0)</f>
        <v>27.26</v>
      </c>
      <c r="BI707" s="9"/>
    </row>
    <row r="708" hidden="1">
      <c r="A708" s="10">
        <v>24.0</v>
      </c>
      <c r="B708" s="11" t="s">
        <v>121</v>
      </c>
      <c r="C708" s="2" t="s">
        <v>61</v>
      </c>
      <c r="D708" s="12">
        <v>45828.0</v>
      </c>
      <c r="E708" s="13">
        <v>0.875</v>
      </c>
      <c r="F708" s="5" t="str">
        <f>VLOOKUP(A708,Jogos!A:N,10,0)</f>
        <v>Evening</v>
      </c>
      <c r="G708" s="11" t="s">
        <v>62</v>
      </c>
      <c r="H708" s="6" t="str">
        <f>VLOOKUP(A708,Jogos!A:L,12,0)</f>
        <v>Open</v>
      </c>
      <c r="I708" s="6" t="str">
        <f>VLOOKUP(G708,'Estádios e Cidades'!A:B,2,0)</f>
        <v>Miami Gardens - Flórida</v>
      </c>
      <c r="J708" s="11" t="s">
        <v>440</v>
      </c>
      <c r="K708" s="2" t="str">
        <f>VLOOKUP(J708,Equipes!A:F,6,0)</f>
        <v>Temperate</v>
      </c>
      <c r="L708" s="2">
        <f>VLOOKUP(J708,Equipes!A:C,3,0)</f>
        <v>24</v>
      </c>
      <c r="M708" s="2" t="str">
        <f t="shared" si="4"/>
        <v>Group</v>
      </c>
      <c r="N708" s="15" t="s">
        <v>123</v>
      </c>
      <c r="O708" s="2">
        <f>VLOOKUP(N708,Equipes!A:C,3,0)</f>
        <v>6</v>
      </c>
      <c r="P708" s="2" t="str">
        <f t="shared" si="5"/>
        <v>Quarter-final</v>
      </c>
      <c r="Q708" s="2">
        <f t="shared" si="6"/>
        <v>18</v>
      </c>
      <c r="R708" s="2" t="str">
        <f>VLOOKUP(J708,Equipes!A:B,2,0)</f>
        <v>Boca</v>
      </c>
      <c r="S708" s="6" t="s">
        <v>468</v>
      </c>
      <c r="T708" s="7">
        <v>30.0</v>
      </c>
      <c r="U708" s="7" t="s">
        <v>469</v>
      </c>
      <c r="V708" s="7" t="str">
        <f>VLOOKUP(U708,Jogadores!B:C,2,0)</f>
        <v>MF</v>
      </c>
      <c r="W708" s="8">
        <f>VLOOKUP(U708,Jogadores!B:D,3,0)</f>
        <v>27.1890411</v>
      </c>
      <c r="X708" s="7">
        <v>0.0</v>
      </c>
      <c r="Y708" s="7">
        <v>69.0</v>
      </c>
      <c r="Z708" s="7">
        <f>VLOOKUP(A708,Jogos!A:L,3,0)</f>
        <v>48</v>
      </c>
      <c r="AA708" s="7">
        <f t="shared" si="7"/>
        <v>48</v>
      </c>
      <c r="AB708" s="7">
        <f>VLOOKUP(A708,Jogos!A:L,4,0)</f>
        <v>53</v>
      </c>
      <c r="AC708" s="7">
        <f t="shared" si="2146"/>
        <v>24</v>
      </c>
      <c r="AD708" s="7"/>
      <c r="AE708" s="7"/>
      <c r="AF708" s="7">
        <f t="shared" si="9"/>
        <v>72</v>
      </c>
      <c r="AG708" s="7">
        <v>8784.9</v>
      </c>
      <c r="AH708" s="7">
        <v>2379.8</v>
      </c>
      <c r="AI708" s="7">
        <v>4352.5</v>
      </c>
      <c r="AJ708" s="7">
        <v>1721.7</v>
      </c>
      <c r="AK708" s="7">
        <v>314.6</v>
      </c>
      <c r="AL708" s="7">
        <v>16.2</v>
      </c>
      <c r="AM708" s="7">
        <v>131.0</v>
      </c>
      <c r="AN708" s="7">
        <v>25.0</v>
      </c>
      <c r="AO708" s="7">
        <v>25.9</v>
      </c>
      <c r="AP708" s="9">
        <f t="shared" ref="AP708:AR708" si="2212">AG708/$AF708</f>
        <v>122.0125</v>
      </c>
      <c r="AQ708" s="9">
        <f t="shared" si="2212"/>
        <v>33.05277778</v>
      </c>
      <c r="AR708" s="9">
        <f t="shared" si="2212"/>
        <v>60.45138889</v>
      </c>
      <c r="AS708" s="9">
        <f t="shared" si="11"/>
        <v>93.50416667</v>
      </c>
      <c r="AT708" s="9">
        <f t="shared" ref="AT708:AV708" si="2213">AJ708/$AF708</f>
        <v>23.9125</v>
      </c>
      <c r="AU708" s="9">
        <f t="shared" si="2213"/>
        <v>4.369444444</v>
      </c>
      <c r="AV708" s="9">
        <f t="shared" si="2213"/>
        <v>0.225</v>
      </c>
      <c r="AW708" s="9">
        <f t="shared" si="13"/>
        <v>4.594444444</v>
      </c>
      <c r="AX708" s="9">
        <f t="shared" ref="AX708:AY708" si="2214">AM708/$AF708</f>
        <v>1.819444444</v>
      </c>
      <c r="AY708" s="9">
        <f t="shared" si="2214"/>
        <v>0.3472222222</v>
      </c>
      <c r="AZ708" s="9">
        <f>VLOOKUP(A708,Jogos!A:BN,58,0)</f>
        <v>25.475</v>
      </c>
      <c r="BA708" s="9">
        <f>VLOOKUP(A708,Jogos!A:BN,59,0)</f>
        <v>22.105</v>
      </c>
      <c r="BB708" s="9">
        <f>VLOOKUP(A708,Jogos!A:BN,60,0)</f>
        <v>81.5</v>
      </c>
      <c r="BC708" s="9">
        <f>VLOOKUP(A708,Jogos!A:BN,61,0)</f>
        <v>23.645</v>
      </c>
      <c r="BD708" s="9">
        <f>VLOOKUP(A708,Jogos!A:BN,62,0)</f>
        <v>0</v>
      </c>
      <c r="BE708" s="9">
        <f>VLOOKUP(A708,Jogos!A:BN,63,0)</f>
        <v>0.89</v>
      </c>
      <c r="BF708" s="9">
        <f>VLOOKUP(A708,Jogos!A:BN,64,0)</f>
        <v>23.61</v>
      </c>
      <c r="BG708" s="9">
        <f>VLOOKUP(A708,Jogos!A:BN,65,0)</f>
        <v>40.92</v>
      </c>
      <c r="BH708" s="9">
        <f>VLOOKUP(A708,Jogos!A:BN,66,0)</f>
        <v>27.26</v>
      </c>
      <c r="BI708" s="9"/>
    </row>
    <row r="709" hidden="1">
      <c r="A709" s="10">
        <v>24.0</v>
      </c>
      <c r="B709" s="11" t="s">
        <v>121</v>
      </c>
      <c r="C709" s="2" t="s">
        <v>61</v>
      </c>
      <c r="D709" s="12">
        <v>45828.0</v>
      </c>
      <c r="E709" s="13">
        <v>0.875</v>
      </c>
      <c r="F709" s="5" t="str">
        <f>VLOOKUP(A709,Jogos!A:N,10,0)</f>
        <v>Evening</v>
      </c>
      <c r="G709" s="11" t="s">
        <v>62</v>
      </c>
      <c r="H709" s="6" t="str">
        <f>VLOOKUP(A709,Jogos!A:L,12,0)</f>
        <v>Open</v>
      </c>
      <c r="I709" s="6" t="str">
        <f>VLOOKUP(G709,'Estádios e Cidades'!A:B,2,0)</f>
        <v>Miami Gardens - Flórida</v>
      </c>
      <c r="J709" s="11" t="s">
        <v>440</v>
      </c>
      <c r="K709" s="2" t="str">
        <f>VLOOKUP(J709,Equipes!A:F,6,0)</f>
        <v>Temperate</v>
      </c>
      <c r="L709" s="2">
        <f>VLOOKUP(J709,Equipes!A:C,3,0)</f>
        <v>24</v>
      </c>
      <c r="M709" s="2" t="str">
        <f t="shared" si="4"/>
        <v>Group</v>
      </c>
      <c r="N709" s="15" t="s">
        <v>123</v>
      </c>
      <c r="O709" s="2">
        <f>VLOOKUP(N709,Equipes!A:C,3,0)</f>
        <v>6</v>
      </c>
      <c r="P709" s="2" t="str">
        <f t="shared" si="5"/>
        <v>Quarter-final</v>
      </c>
      <c r="Q709" s="2">
        <f t="shared" si="6"/>
        <v>18</v>
      </c>
      <c r="R709" s="2" t="str">
        <f>VLOOKUP(J709,Equipes!A:B,2,0)</f>
        <v>Boca</v>
      </c>
      <c r="S709" s="6" t="s">
        <v>460</v>
      </c>
      <c r="T709" s="7">
        <v>32.0</v>
      </c>
      <c r="U709" s="7" t="s">
        <v>461</v>
      </c>
      <c r="V709" s="7" t="str">
        <f>VLOOKUP(U709,Jogadores!B:C,2,0)</f>
        <v>DF</v>
      </c>
      <c r="W709" s="8">
        <f>VLOOKUP(U709,Jogadores!B:D,3,0)</f>
        <v>26.0630137</v>
      </c>
      <c r="X709" s="7">
        <v>0.0</v>
      </c>
      <c r="Y709" s="7">
        <f t="shared" ref="Y709:Y711" si="2218">45+AB709</f>
        <v>98</v>
      </c>
      <c r="Z709" s="7">
        <f>VLOOKUP(A709,Jogos!A:L,3,0)</f>
        <v>48</v>
      </c>
      <c r="AA709" s="7">
        <f t="shared" si="7"/>
        <v>48</v>
      </c>
      <c r="AB709" s="7">
        <f>VLOOKUP(A709,Jogos!A:L,4,0)</f>
        <v>53</v>
      </c>
      <c r="AC709" s="7">
        <f t="shared" si="2146"/>
        <v>53</v>
      </c>
      <c r="AD709" s="7"/>
      <c r="AE709" s="7"/>
      <c r="AF709" s="7">
        <f t="shared" si="9"/>
        <v>101</v>
      </c>
      <c r="AG709" s="7">
        <v>9141.6</v>
      </c>
      <c r="AH709" s="7">
        <v>4651.1</v>
      </c>
      <c r="AI709" s="7">
        <v>3444.6</v>
      </c>
      <c r="AJ709" s="7">
        <v>650.3</v>
      </c>
      <c r="AK709" s="7">
        <v>271.1</v>
      </c>
      <c r="AL709" s="7">
        <v>124.6</v>
      </c>
      <c r="AM709" s="7">
        <v>55.0</v>
      </c>
      <c r="AN709" s="7">
        <v>27.0</v>
      </c>
      <c r="AO709" s="7">
        <v>33.2</v>
      </c>
      <c r="AP709" s="9">
        <f t="shared" ref="AP709:AR709" si="2215">AG709/$AF709</f>
        <v>90.51089109</v>
      </c>
      <c r="AQ709" s="9">
        <f t="shared" si="2215"/>
        <v>46.05049505</v>
      </c>
      <c r="AR709" s="9">
        <f t="shared" si="2215"/>
        <v>34.1049505</v>
      </c>
      <c r="AS709" s="9">
        <f t="shared" si="11"/>
        <v>80.15544554</v>
      </c>
      <c r="AT709" s="9">
        <f t="shared" ref="AT709:AV709" si="2216">AJ709/$AF709</f>
        <v>6.438613861</v>
      </c>
      <c r="AU709" s="9">
        <f t="shared" si="2216"/>
        <v>2.684158416</v>
      </c>
      <c r="AV709" s="9">
        <f t="shared" si="2216"/>
        <v>1.233663366</v>
      </c>
      <c r="AW709" s="9">
        <f t="shared" si="13"/>
        <v>3.917821782</v>
      </c>
      <c r="AX709" s="9">
        <f t="shared" ref="AX709:AY709" si="2217">AM709/$AF709</f>
        <v>0.5445544554</v>
      </c>
      <c r="AY709" s="9">
        <f t="shared" si="2217"/>
        <v>0.2673267327</v>
      </c>
      <c r="AZ709" s="9">
        <f>VLOOKUP(A709,Jogos!A:BN,58,0)</f>
        <v>25.475</v>
      </c>
      <c r="BA709" s="9">
        <f>VLOOKUP(A709,Jogos!A:BN,59,0)</f>
        <v>22.105</v>
      </c>
      <c r="BB709" s="9">
        <f>VLOOKUP(A709,Jogos!A:BN,60,0)</f>
        <v>81.5</v>
      </c>
      <c r="BC709" s="9">
        <f>VLOOKUP(A709,Jogos!A:BN,61,0)</f>
        <v>23.645</v>
      </c>
      <c r="BD709" s="9">
        <f>VLOOKUP(A709,Jogos!A:BN,62,0)</f>
        <v>0</v>
      </c>
      <c r="BE709" s="9">
        <f>VLOOKUP(A709,Jogos!A:BN,63,0)</f>
        <v>0.89</v>
      </c>
      <c r="BF709" s="9">
        <f>VLOOKUP(A709,Jogos!A:BN,64,0)</f>
        <v>23.61</v>
      </c>
      <c r="BG709" s="9">
        <f>VLOOKUP(A709,Jogos!A:BN,65,0)</f>
        <v>40.92</v>
      </c>
      <c r="BH709" s="9">
        <f>VLOOKUP(A709,Jogos!A:BN,66,0)</f>
        <v>27.26</v>
      </c>
      <c r="BI709" s="9"/>
    </row>
    <row r="710" hidden="1">
      <c r="A710" s="10">
        <v>24.0</v>
      </c>
      <c r="B710" s="11" t="s">
        <v>121</v>
      </c>
      <c r="C710" s="2" t="s">
        <v>61</v>
      </c>
      <c r="D710" s="12">
        <v>45828.0</v>
      </c>
      <c r="E710" s="13">
        <v>0.875</v>
      </c>
      <c r="F710" s="5" t="str">
        <f>VLOOKUP(A710,Jogos!A:N,10,0)</f>
        <v>Evening</v>
      </c>
      <c r="G710" s="11" t="s">
        <v>62</v>
      </c>
      <c r="H710" s="6" t="str">
        <f>VLOOKUP(A710,Jogos!A:L,12,0)</f>
        <v>Open</v>
      </c>
      <c r="I710" s="6" t="str">
        <f>VLOOKUP(G710,'Estádios e Cidades'!A:B,2,0)</f>
        <v>Miami Gardens - Flórida</v>
      </c>
      <c r="J710" s="11" t="s">
        <v>440</v>
      </c>
      <c r="K710" s="2" t="str">
        <f>VLOOKUP(J710,Equipes!A:F,6,0)</f>
        <v>Temperate</v>
      </c>
      <c r="L710" s="2">
        <f>VLOOKUP(J710,Equipes!A:C,3,0)</f>
        <v>24</v>
      </c>
      <c r="M710" s="2" t="str">
        <f t="shared" si="4"/>
        <v>Group</v>
      </c>
      <c r="N710" s="15" t="s">
        <v>123</v>
      </c>
      <c r="O710" s="2">
        <f>VLOOKUP(N710,Equipes!A:C,3,0)</f>
        <v>6</v>
      </c>
      <c r="P710" s="2" t="str">
        <f t="shared" si="5"/>
        <v>Quarter-final</v>
      </c>
      <c r="Q710" s="2">
        <f t="shared" si="6"/>
        <v>18</v>
      </c>
      <c r="R710" s="2" t="str">
        <f>VLOOKUP(J710,Equipes!A:B,2,0)</f>
        <v>Boca</v>
      </c>
      <c r="S710" s="6" t="s">
        <v>1142</v>
      </c>
      <c r="T710" s="7">
        <v>40.0</v>
      </c>
      <c r="U710" s="7" t="s">
        <v>1143</v>
      </c>
      <c r="V710" s="7" t="str">
        <f>VLOOKUP(U710,Jogadores!B:C,2,0)</f>
        <v>DF</v>
      </c>
      <c r="W710" s="8">
        <f>VLOOKUP(U710,Jogadores!B:D,3,0)</f>
        <v>21.39726027</v>
      </c>
      <c r="X710" s="7">
        <v>0.0</v>
      </c>
      <c r="Y710" s="7">
        <f t="shared" si="2218"/>
        <v>98</v>
      </c>
      <c r="Z710" s="7">
        <f>VLOOKUP(A710,Jogos!A:L,3,0)</f>
        <v>48</v>
      </c>
      <c r="AA710" s="7">
        <f t="shared" si="7"/>
        <v>48</v>
      </c>
      <c r="AB710" s="7">
        <f>VLOOKUP(A710,Jogos!A:L,4,0)</f>
        <v>53</v>
      </c>
      <c r="AC710" s="7">
        <f t="shared" si="2146"/>
        <v>53</v>
      </c>
      <c r="AD710" s="7"/>
      <c r="AE710" s="7"/>
      <c r="AF710" s="7">
        <f t="shared" si="9"/>
        <v>101</v>
      </c>
      <c r="AG710" s="7">
        <v>9315.3</v>
      </c>
      <c r="AH710" s="7">
        <v>4126.8</v>
      </c>
      <c r="AI710" s="7">
        <v>4027.5</v>
      </c>
      <c r="AJ710" s="7">
        <v>887.7</v>
      </c>
      <c r="AK710" s="7">
        <v>215.1</v>
      </c>
      <c r="AL710" s="7">
        <v>58.2</v>
      </c>
      <c r="AM710" s="7">
        <v>86.0</v>
      </c>
      <c r="AN710" s="7">
        <v>19.0</v>
      </c>
      <c r="AO710" s="7">
        <v>31.0</v>
      </c>
      <c r="AP710" s="9">
        <f t="shared" ref="AP710:AR710" si="2219">AG710/$AF710</f>
        <v>92.23069307</v>
      </c>
      <c r="AQ710" s="9">
        <f t="shared" si="2219"/>
        <v>40.85940594</v>
      </c>
      <c r="AR710" s="9">
        <f t="shared" si="2219"/>
        <v>39.87623762</v>
      </c>
      <c r="AS710" s="9">
        <f t="shared" si="11"/>
        <v>80.73564356</v>
      </c>
      <c r="AT710" s="9">
        <f t="shared" ref="AT710:AV710" si="2220">AJ710/$AF710</f>
        <v>8.789108911</v>
      </c>
      <c r="AU710" s="9">
        <f t="shared" si="2220"/>
        <v>2.12970297</v>
      </c>
      <c r="AV710" s="9">
        <f t="shared" si="2220"/>
        <v>0.5762376238</v>
      </c>
      <c r="AW710" s="9">
        <f t="shared" si="13"/>
        <v>2.705940594</v>
      </c>
      <c r="AX710" s="9">
        <f t="shared" ref="AX710:AY710" si="2221">AM710/$AF710</f>
        <v>0.8514851485</v>
      </c>
      <c r="AY710" s="9">
        <f t="shared" si="2221"/>
        <v>0.1881188119</v>
      </c>
      <c r="AZ710" s="9">
        <f>VLOOKUP(A710,Jogos!A:BN,58,0)</f>
        <v>25.475</v>
      </c>
      <c r="BA710" s="9">
        <f>VLOOKUP(A710,Jogos!A:BN,59,0)</f>
        <v>22.105</v>
      </c>
      <c r="BB710" s="9">
        <f>VLOOKUP(A710,Jogos!A:BN,60,0)</f>
        <v>81.5</v>
      </c>
      <c r="BC710" s="9">
        <f>VLOOKUP(A710,Jogos!A:BN,61,0)</f>
        <v>23.645</v>
      </c>
      <c r="BD710" s="9">
        <f>VLOOKUP(A710,Jogos!A:BN,62,0)</f>
        <v>0</v>
      </c>
      <c r="BE710" s="9">
        <f>VLOOKUP(A710,Jogos!A:BN,63,0)</f>
        <v>0.89</v>
      </c>
      <c r="BF710" s="9">
        <f>VLOOKUP(A710,Jogos!A:BN,64,0)</f>
        <v>23.61</v>
      </c>
      <c r="BG710" s="9">
        <f>VLOOKUP(A710,Jogos!A:BN,65,0)</f>
        <v>40.92</v>
      </c>
      <c r="BH710" s="9">
        <f>VLOOKUP(A710,Jogos!A:BN,66,0)</f>
        <v>27.26</v>
      </c>
      <c r="BI710" s="9"/>
    </row>
    <row r="711" hidden="1">
      <c r="A711" s="10">
        <v>24.0</v>
      </c>
      <c r="B711" s="11" t="s">
        <v>121</v>
      </c>
      <c r="C711" s="2" t="s">
        <v>61</v>
      </c>
      <c r="D711" s="12">
        <v>45828.0</v>
      </c>
      <c r="E711" s="13">
        <v>0.875</v>
      </c>
      <c r="F711" s="5" t="str">
        <f>VLOOKUP(A711,Jogos!A:N,10,0)</f>
        <v>Evening</v>
      </c>
      <c r="G711" s="11" t="s">
        <v>62</v>
      </c>
      <c r="H711" s="6" t="str">
        <f>VLOOKUP(A711,Jogos!A:L,12,0)</f>
        <v>Open</v>
      </c>
      <c r="I711" s="6" t="str">
        <f>VLOOKUP(G711,'Estádios e Cidades'!A:B,2,0)</f>
        <v>Miami Gardens - Flórida</v>
      </c>
      <c r="J711" s="11" t="s">
        <v>440</v>
      </c>
      <c r="K711" s="2" t="str">
        <f>VLOOKUP(J711,Equipes!A:F,6,0)</f>
        <v>Temperate</v>
      </c>
      <c r="L711" s="2">
        <f>VLOOKUP(J711,Equipes!A:C,3,0)</f>
        <v>24</v>
      </c>
      <c r="M711" s="2" t="str">
        <f t="shared" si="4"/>
        <v>Group</v>
      </c>
      <c r="N711" s="15" t="s">
        <v>123</v>
      </c>
      <c r="O711" s="2">
        <f>VLOOKUP(N711,Equipes!A:C,3,0)</f>
        <v>6</v>
      </c>
      <c r="P711" s="2" t="str">
        <f t="shared" si="5"/>
        <v>Quarter-final</v>
      </c>
      <c r="Q711" s="2">
        <f t="shared" si="6"/>
        <v>18</v>
      </c>
      <c r="R711" s="2" t="str">
        <f>VLOOKUP(J711,Equipes!A:B,2,0)</f>
        <v>Boca</v>
      </c>
      <c r="S711" s="6" t="s">
        <v>1144</v>
      </c>
      <c r="T711" s="7">
        <v>3.0</v>
      </c>
      <c r="U711" s="7" t="s">
        <v>1145</v>
      </c>
      <c r="V711" s="7" t="str">
        <f>VLOOKUP(U711,Jogadores!B:C,2,0)</f>
        <v>DF</v>
      </c>
      <c r="W711" s="8">
        <f>VLOOKUP(U711,Jogadores!B:D,3,0)</f>
        <v>27.28219178</v>
      </c>
      <c r="X711" s="7">
        <v>80.0</v>
      </c>
      <c r="Y711" s="7">
        <f t="shared" si="2218"/>
        <v>98</v>
      </c>
      <c r="Z711" s="7">
        <f>VLOOKUP(A711,Jogos!A:L,3,0)</f>
        <v>48</v>
      </c>
      <c r="AA711" s="7">
        <f t="shared" si="7"/>
        <v>0</v>
      </c>
      <c r="AB711" s="7">
        <f>VLOOKUP(A711,Jogos!A:L,4,0)</f>
        <v>53</v>
      </c>
      <c r="AC711" s="7">
        <f t="shared" si="2146"/>
        <v>18</v>
      </c>
      <c r="AD711" s="7"/>
      <c r="AE711" s="7"/>
      <c r="AF711" s="7">
        <f t="shared" si="9"/>
        <v>18</v>
      </c>
      <c r="AG711" s="7">
        <v>1832.6</v>
      </c>
      <c r="AH711" s="7">
        <v>772.4</v>
      </c>
      <c r="AI711" s="7">
        <v>701.2</v>
      </c>
      <c r="AJ711" s="7">
        <v>205.7</v>
      </c>
      <c r="AK711" s="7">
        <v>124.0</v>
      </c>
      <c r="AL711" s="7">
        <v>29.3</v>
      </c>
      <c r="AM711" s="7">
        <v>17.0</v>
      </c>
      <c r="AN711" s="7">
        <v>14.0</v>
      </c>
      <c r="AO711" s="7">
        <v>32.6</v>
      </c>
      <c r="AP711" s="9">
        <f t="shared" ref="AP711:AR711" si="2222">AG711/$AF711</f>
        <v>101.8111111</v>
      </c>
      <c r="AQ711" s="9">
        <f t="shared" si="2222"/>
        <v>42.91111111</v>
      </c>
      <c r="AR711" s="9">
        <f t="shared" si="2222"/>
        <v>38.95555556</v>
      </c>
      <c r="AS711" s="9">
        <f t="shared" si="11"/>
        <v>81.86666667</v>
      </c>
      <c r="AT711" s="9">
        <f t="shared" ref="AT711:AV711" si="2223">AJ711/$AF711</f>
        <v>11.42777778</v>
      </c>
      <c r="AU711" s="9">
        <f t="shared" si="2223"/>
        <v>6.888888889</v>
      </c>
      <c r="AV711" s="9">
        <f t="shared" si="2223"/>
        <v>1.627777778</v>
      </c>
      <c r="AW711" s="9">
        <f t="shared" si="13"/>
        <v>8.516666667</v>
      </c>
      <c r="AX711" s="9">
        <f t="shared" ref="AX711:AY711" si="2224">AM711/$AF711</f>
        <v>0.9444444444</v>
      </c>
      <c r="AY711" s="9">
        <f t="shared" si="2224"/>
        <v>0.7777777778</v>
      </c>
      <c r="AZ711" s="9">
        <f>VLOOKUP(A711,Jogos!A:BN,58,0)</f>
        <v>25.475</v>
      </c>
      <c r="BA711" s="9">
        <f>VLOOKUP(A711,Jogos!A:BN,59,0)</f>
        <v>22.105</v>
      </c>
      <c r="BB711" s="9">
        <f>VLOOKUP(A711,Jogos!A:BN,60,0)</f>
        <v>81.5</v>
      </c>
      <c r="BC711" s="9">
        <f>VLOOKUP(A711,Jogos!A:BN,61,0)</f>
        <v>23.645</v>
      </c>
      <c r="BD711" s="9">
        <f>VLOOKUP(A711,Jogos!A:BN,62,0)</f>
        <v>0</v>
      </c>
      <c r="BE711" s="9">
        <f>VLOOKUP(A711,Jogos!A:BN,63,0)</f>
        <v>0.89</v>
      </c>
      <c r="BF711" s="9">
        <f>VLOOKUP(A711,Jogos!A:BN,64,0)</f>
        <v>23.61</v>
      </c>
      <c r="BG711" s="9">
        <f>VLOOKUP(A711,Jogos!A:BN,65,0)</f>
        <v>40.92</v>
      </c>
      <c r="BH711" s="9">
        <f>VLOOKUP(A711,Jogos!A:BN,66,0)</f>
        <v>27.26</v>
      </c>
      <c r="BI711" s="9"/>
    </row>
    <row r="712" hidden="1">
      <c r="A712" s="10">
        <v>24.0</v>
      </c>
      <c r="B712" s="11" t="s">
        <v>121</v>
      </c>
      <c r="C712" s="2" t="s">
        <v>61</v>
      </c>
      <c r="D712" s="12">
        <v>45828.0</v>
      </c>
      <c r="E712" s="13">
        <v>0.875</v>
      </c>
      <c r="F712" s="5" t="str">
        <f>VLOOKUP(A712,Jogos!A:N,10,0)</f>
        <v>Evening</v>
      </c>
      <c r="G712" s="11" t="s">
        <v>62</v>
      </c>
      <c r="H712" s="6" t="str">
        <f>VLOOKUP(A712,Jogos!A:L,12,0)</f>
        <v>Open</v>
      </c>
      <c r="I712" s="6" t="str">
        <f>VLOOKUP(G712,'Estádios e Cidades'!A:B,2,0)</f>
        <v>Miami Gardens - Flórida</v>
      </c>
      <c r="J712" s="11" t="s">
        <v>440</v>
      </c>
      <c r="K712" s="2" t="str">
        <f>VLOOKUP(J712,Equipes!A:F,6,0)</f>
        <v>Temperate</v>
      </c>
      <c r="L712" s="2">
        <f>VLOOKUP(J712,Equipes!A:C,3,0)</f>
        <v>24</v>
      </c>
      <c r="M712" s="2" t="str">
        <f t="shared" si="4"/>
        <v>Group</v>
      </c>
      <c r="N712" s="15" t="s">
        <v>123</v>
      </c>
      <c r="O712" s="2">
        <f>VLOOKUP(N712,Equipes!A:C,3,0)</f>
        <v>6</v>
      </c>
      <c r="P712" s="2" t="str">
        <f t="shared" si="5"/>
        <v>Quarter-final</v>
      </c>
      <c r="Q712" s="2">
        <f t="shared" si="6"/>
        <v>18</v>
      </c>
      <c r="R712" s="2" t="str">
        <f>VLOOKUP(J712,Equipes!A:B,2,0)</f>
        <v>Boca</v>
      </c>
      <c r="S712" s="6" t="s">
        <v>1146</v>
      </c>
      <c r="T712" s="7">
        <v>6.0</v>
      </c>
      <c r="U712" s="7" t="s">
        <v>1147</v>
      </c>
      <c r="V712" s="7" t="str">
        <f>VLOOKUP(U712,Jogadores!B:C,2,0)</f>
        <v>DF</v>
      </c>
      <c r="W712" s="8">
        <f>VLOOKUP(U712,Jogadores!B:D,3,0)</f>
        <v>35.38082192</v>
      </c>
      <c r="X712" s="20" t="s">
        <v>1148</v>
      </c>
      <c r="Y712" s="7" t="s">
        <v>1149</v>
      </c>
      <c r="Z712" s="7">
        <f>VLOOKUP(A712,Jogos!A:L,3,0)</f>
        <v>48</v>
      </c>
      <c r="AA712" s="7" t="s">
        <v>1149</v>
      </c>
      <c r="AB712" s="7">
        <f>VLOOKUP(A712,Jogos!A:L,4,0)</f>
        <v>53</v>
      </c>
      <c r="AC712" s="7" t="s">
        <v>1149</v>
      </c>
      <c r="AD712" s="7"/>
      <c r="AE712" s="7"/>
      <c r="AF712" s="7" t="s">
        <v>1149</v>
      </c>
      <c r="AG712" s="7"/>
      <c r="AH712" s="7"/>
      <c r="AI712" s="7"/>
      <c r="AJ712" s="7"/>
      <c r="AK712" s="7"/>
      <c r="AL712" s="7"/>
      <c r="AM712" s="7"/>
      <c r="AN712" s="7"/>
      <c r="AO712" s="7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>
        <f>VLOOKUP(A712,Jogos!A:BN,58,0)</f>
        <v>25.475</v>
      </c>
      <c r="BA712" s="9">
        <f>VLOOKUP(A712,Jogos!A:BN,59,0)</f>
        <v>22.105</v>
      </c>
      <c r="BB712" s="9">
        <f>VLOOKUP(A712,Jogos!A:BN,60,0)</f>
        <v>81.5</v>
      </c>
      <c r="BC712" s="9">
        <f>VLOOKUP(A712,Jogos!A:BN,61,0)</f>
        <v>23.645</v>
      </c>
      <c r="BD712" s="9">
        <f>VLOOKUP(A712,Jogos!A:BN,62,0)</f>
        <v>0</v>
      </c>
      <c r="BE712" s="9">
        <f>VLOOKUP(A712,Jogos!A:BN,63,0)</f>
        <v>0.89</v>
      </c>
      <c r="BF712" s="9">
        <f>VLOOKUP(A712,Jogos!A:BN,64,0)</f>
        <v>23.61</v>
      </c>
      <c r="BG712" s="9">
        <f>VLOOKUP(A712,Jogos!A:BN,65,0)</f>
        <v>40.92</v>
      </c>
      <c r="BH712" s="9">
        <f>VLOOKUP(A712,Jogos!A:BN,66,0)</f>
        <v>27.26</v>
      </c>
      <c r="BI712" s="9"/>
      <c r="BJ712" s="9"/>
    </row>
    <row r="713" hidden="1">
      <c r="A713" s="10">
        <v>24.0</v>
      </c>
      <c r="B713" s="11" t="s">
        <v>121</v>
      </c>
      <c r="C713" s="2" t="s">
        <v>61</v>
      </c>
      <c r="D713" s="12">
        <v>45828.0</v>
      </c>
      <c r="E713" s="13">
        <v>0.875</v>
      </c>
      <c r="F713" s="5" t="str">
        <f>VLOOKUP(A713,Jogos!A:N,10,0)</f>
        <v>Evening</v>
      </c>
      <c r="G713" s="11" t="s">
        <v>62</v>
      </c>
      <c r="H713" s="6" t="str">
        <f>VLOOKUP(A713,Jogos!A:L,12,0)</f>
        <v>Open</v>
      </c>
      <c r="I713" s="6" t="str">
        <f>VLOOKUP(G713,'Estádios e Cidades'!A:B,2,0)</f>
        <v>Miami Gardens - Flórida</v>
      </c>
      <c r="J713" s="11" t="s">
        <v>440</v>
      </c>
      <c r="K713" s="2" t="str">
        <f>VLOOKUP(J713,Equipes!A:F,6,0)</f>
        <v>Temperate</v>
      </c>
      <c r="L713" s="2">
        <f>VLOOKUP(J713,Equipes!A:C,3,0)</f>
        <v>24</v>
      </c>
      <c r="M713" s="2" t="str">
        <f t="shared" si="4"/>
        <v>Group</v>
      </c>
      <c r="N713" s="15" t="s">
        <v>123</v>
      </c>
      <c r="O713" s="2">
        <f>VLOOKUP(N713,Equipes!A:C,3,0)</f>
        <v>6</v>
      </c>
      <c r="P713" s="2" t="str">
        <f t="shared" si="5"/>
        <v>Quarter-final</v>
      </c>
      <c r="Q713" s="2">
        <f t="shared" si="6"/>
        <v>18</v>
      </c>
      <c r="R713" s="2" t="str">
        <f>VLOOKUP(J713,Equipes!A:B,2,0)</f>
        <v>Boca</v>
      </c>
      <c r="S713" s="6" t="s">
        <v>462</v>
      </c>
      <c r="T713" s="7">
        <v>7.0</v>
      </c>
      <c r="U713" s="7" t="s">
        <v>463</v>
      </c>
      <c r="V713" s="7" t="str">
        <f>VLOOKUP(U713,Jogadores!B:C,2,0)</f>
        <v>FW</v>
      </c>
      <c r="W713" s="8">
        <f>VLOOKUP(U713,Jogadores!B:D,3,0)</f>
        <v>23.27671233</v>
      </c>
      <c r="X713" s="7">
        <v>80.0</v>
      </c>
      <c r="Y713" s="7">
        <f t="shared" ref="Y713:Y716" si="2228">45+AB713</f>
        <v>98</v>
      </c>
      <c r="Z713" s="7">
        <f>VLOOKUP(A713,Jogos!A:L,3,0)</f>
        <v>48</v>
      </c>
      <c r="AA713" s="7">
        <f t="shared" ref="AA713:AA1457" si="2229">IF(X713&lt;45,if(Y713&gt;=45,Z713-X713,if(Y713&lt;=Z713,Y713-X713,Z713)),0)</f>
        <v>0</v>
      </c>
      <c r="AB713" s="7">
        <f>VLOOKUP(A713,Jogos!A:L,4,0)</f>
        <v>53</v>
      </c>
      <c r="AC713" s="7">
        <f t="shared" ref="AC713:AC1430" si="2230">IF(X713&lt;45,if(Y713&lt;=45,0,Y713-45),Y713-X713)</f>
        <v>18</v>
      </c>
      <c r="AD713" s="7"/>
      <c r="AE713" s="7"/>
      <c r="AF713" s="7">
        <f t="shared" ref="AF713:AF1457" si="2231">AE713+AC713+AA713</f>
        <v>18</v>
      </c>
      <c r="AG713" s="7">
        <v>2152.4</v>
      </c>
      <c r="AH713" s="7">
        <v>778.6</v>
      </c>
      <c r="AI713" s="7">
        <v>844.1</v>
      </c>
      <c r="AJ713" s="7">
        <v>377.0</v>
      </c>
      <c r="AK713" s="7">
        <v>109.1</v>
      </c>
      <c r="AL713" s="7">
        <v>43.5</v>
      </c>
      <c r="AM713" s="7">
        <v>34.0</v>
      </c>
      <c r="AN713" s="7">
        <v>13.0</v>
      </c>
      <c r="AO713" s="7">
        <v>32.3</v>
      </c>
      <c r="AP713" s="9">
        <f t="shared" ref="AP713:AR713" si="2225">AG713/$AF713</f>
        <v>119.5777778</v>
      </c>
      <c r="AQ713" s="9">
        <f t="shared" si="2225"/>
        <v>43.25555556</v>
      </c>
      <c r="AR713" s="9">
        <f t="shared" si="2225"/>
        <v>46.89444444</v>
      </c>
      <c r="AS713" s="9">
        <f t="shared" ref="AS713:AS1457" si="2233">AQ713+AR713</f>
        <v>90.15</v>
      </c>
      <c r="AT713" s="9">
        <f t="shared" ref="AT713:AV713" si="2226">AJ713/$AF713</f>
        <v>20.94444444</v>
      </c>
      <c r="AU713" s="9">
        <f t="shared" si="2226"/>
        <v>6.061111111</v>
      </c>
      <c r="AV713" s="9">
        <f t="shared" si="2226"/>
        <v>2.416666667</v>
      </c>
      <c r="AW713" s="9">
        <f t="shared" ref="AW713:AW1457" si="2235">(AK713+AL713)/AF713</f>
        <v>8.477777778</v>
      </c>
      <c r="AX713" s="9">
        <f t="shared" ref="AX713:AY713" si="2227">AM713/$AF713</f>
        <v>1.888888889</v>
      </c>
      <c r="AY713" s="9">
        <f t="shared" si="2227"/>
        <v>0.7222222222</v>
      </c>
      <c r="AZ713" s="9">
        <f>VLOOKUP(A713,Jogos!A:BN,58,0)</f>
        <v>25.475</v>
      </c>
      <c r="BA713" s="9">
        <f>VLOOKUP(A713,Jogos!A:BN,59,0)</f>
        <v>22.105</v>
      </c>
      <c r="BB713" s="9">
        <f>VLOOKUP(A713,Jogos!A:BN,60,0)</f>
        <v>81.5</v>
      </c>
      <c r="BC713" s="9">
        <f>VLOOKUP(A713,Jogos!A:BN,61,0)</f>
        <v>23.645</v>
      </c>
      <c r="BD713" s="9">
        <f>VLOOKUP(A713,Jogos!A:BN,62,0)</f>
        <v>0</v>
      </c>
      <c r="BE713" s="9">
        <f>VLOOKUP(A713,Jogos!A:BN,63,0)</f>
        <v>0.89</v>
      </c>
      <c r="BF713" s="9">
        <f>VLOOKUP(A713,Jogos!A:BN,64,0)</f>
        <v>23.61</v>
      </c>
      <c r="BG713" s="9">
        <f>VLOOKUP(A713,Jogos!A:BN,65,0)</f>
        <v>40.92</v>
      </c>
      <c r="BH713" s="9">
        <f>VLOOKUP(A713,Jogos!A:BN,66,0)</f>
        <v>27.26</v>
      </c>
      <c r="BI713" s="9"/>
      <c r="BJ713" s="9"/>
    </row>
    <row r="714" hidden="1">
      <c r="A714" s="10">
        <v>24.0</v>
      </c>
      <c r="B714" s="11" t="s">
        <v>121</v>
      </c>
      <c r="C714" s="2" t="s">
        <v>61</v>
      </c>
      <c r="D714" s="12">
        <v>45828.0</v>
      </c>
      <c r="E714" s="13">
        <v>0.875</v>
      </c>
      <c r="F714" s="5" t="str">
        <f>VLOOKUP(A714,Jogos!A:N,10,0)</f>
        <v>Evening</v>
      </c>
      <c r="G714" s="11" t="s">
        <v>62</v>
      </c>
      <c r="H714" s="6" t="str">
        <f>VLOOKUP(A714,Jogos!A:L,12,0)</f>
        <v>Open</v>
      </c>
      <c r="I714" s="6" t="str">
        <f>VLOOKUP(G714,'Estádios e Cidades'!A:B,2,0)</f>
        <v>Miami Gardens - Flórida</v>
      </c>
      <c r="J714" s="11" t="s">
        <v>440</v>
      </c>
      <c r="K714" s="2" t="str">
        <f>VLOOKUP(J714,Equipes!A:F,6,0)</f>
        <v>Temperate</v>
      </c>
      <c r="L714" s="2">
        <f>VLOOKUP(J714,Equipes!A:C,3,0)</f>
        <v>24</v>
      </c>
      <c r="M714" s="2" t="str">
        <f t="shared" si="4"/>
        <v>Group</v>
      </c>
      <c r="N714" s="15" t="s">
        <v>123</v>
      </c>
      <c r="O714" s="2">
        <f>VLOOKUP(N714,Equipes!A:C,3,0)</f>
        <v>6</v>
      </c>
      <c r="P714" s="2" t="str">
        <f t="shared" si="5"/>
        <v>Quarter-final</v>
      </c>
      <c r="Q714" s="2">
        <f t="shared" si="6"/>
        <v>18</v>
      </c>
      <c r="R714" s="2" t="str">
        <f>VLOOKUP(J714,Equipes!A:B,2,0)</f>
        <v>Boca</v>
      </c>
      <c r="S714" s="6" t="s">
        <v>464</v>
      </c>
      <c r="T714" s="7">
        <v>9.0</v>
      </c>
      <c r="U714" s="7" t="s">
        <v>465</v>
      </c>
      <c r="V714" s="7" t="str">
        <f>VLOOKUP(U714,Jogadores!B:C,2,0)</f>
        <v>FW</v>
      </c>
      <c r="W714" s="8">
        <f>VLOOKUP(U714,Jogadores!B:D,3,0)</f>
        <v>28.97808219</v>
      </c>
      <c r="X714" s="7">
        <v>69.0</v>
      </c>
      <c r="Y714" s="7">
        <f t="shared" si="2228"/>
        <v>98</v>
      </c>
      <c r="Z714" s="7">
        <f>VLOOKUP(A714,Jogos!A:L,3,0)</f>
        <v>48</v>
      </c>
      <c r="AA714" s="7">
        <f t="shared" si="2229"/>
        <v>0</v>
      </c>
      <c r="AB714" s="7">
        <f>VLOOKUP(A714,Jogos!A:L,4,0)</f>
        <v>53</v>
      </c>
      <c r="AC714" s="7">
        <f t="shared" si="2230"/>
        <v>29</v>
      </c>
      <c r="AD714" s="7"/>
      <c r="AE714" s="7"/>
      <c r="AF714" s="7">
        <f t="shared" si="2231"/>
        <v>29</v>
      </c>
      <c r="AG714" s="7">
        <v>3237.8</v>
      </c>
      <c r="AH714" s="7">
        <v>1161.5</v>
      </c>
      <c r="AI714" s="7">
        <v>1174.8</v>
      </c>
      <c r="AJ714" s="7">
        <v>540.1</v>
      </c>
      <c r="AK714" s="7">
        <v>240.4</v>
      </c>
      <c r="AL714" s="7">
        <v>121.1</v>
      </c>
      <c r="AM714" s="7">
        <v>48.0</v>
      </c>
      <c r="AN714" s="7">
        <v>19.0</v>
      </c>
      <c r="AO714" s="7">
        <v>29.8</v>
      </c>
      <c r="AP714" s="9">
        <f t="shared" ref="AP714:AR714" si="2232">AG714/$AF714</f>
        <v>111.6482759</v>
      </c>
      <c r="AQ714" s="9">
        <f t="shared" si="2232"/>
        <v>40.05172414</v>
      </c>
      <c r="AR714" s="9">
        <f t="shared" si="2232"/>
        <v>40.51034483</v>
      </c>
      <c r="AS714" s="9">
        <f t="shared" si="2233"/>
        <v>80.56206897</v>
      </c>
      <c r="AT714" s="9">
        <f t="shared" ref="AT714:AV714" si="2234">AJ714/$AF714</f>
        <v>18.62413793</v>
      </c>
      <c r="AU714" s="9">
        <f t="shared" si="2234"/>
        <v>8.289655172</v>
      </c>
      <c r="AV714" s="9">
        <f t="shared" si="2234"/>
        <v>4.175862069</v>
      </c>
      <c r="AW714" s="9">
        <f t="shared" si="2235"/>
        <v>12.46551724</v>
      </c>
      <c r="AX714" s="9">
        <f t="shared" ref="AX714:AY714" si="2236">AM714/$AF714</f>
        <v>1.655172414</v>
      </c>
      <c r="AY714" s="9">
        <f t="shared" si="2236"/>
        <v>0.6551724138</v>
      </c>
      <c r="AZ714" s="9">
        <f>VLOOKUP(A714,Jogos!A:BN,58,0)</f>
        <v>25.475</v>
      </c>
      <c r="BA714" s="9">
        <f>VLOOKUP(A714,Jogos!A:BN,59,0)</f>
        <v>22.105</v>
      </c>
      <c r="BB714" s="9">
        <f>VLOOKUP(A714,Jogos!A:BN,60,0)</f>
        <v>81.5</v>
      </c>
      <c r="BC714" s="9">
        <f>VLOOKUP(A714,Jogos!A:BN,61,0)</f>
        <v>23.645</v>
      </c>
      <c r="BD714" s="9">
        <f>VLOOKUP(A714,Jogos!A:BN,62,0)</f>
        <v>0</v>
      </c>
      <c r="BE714" s="9">
        <f>VLOOKUP(A714,Jogos!A:BN,63,0)</f>
        <v>0.89</v>
      </c>
      <c r="BF714" s="9">
        <f>VLOOKUP(A714,Jogos!A:BN,64,0)</f>
        <v>23.61</v>
      </c>
      <c r="BG714" s="9">
        <f>VLOOKUP(A714,Jogos!A:BN,65,0)</f>
        <v>40.92</v>
      </c>
      <c r="BH714" s="9">
        <f>VLOOKUP(A714,Jogos!A:BN,66,0)</f>
        <v>27.26</v>
      </c>
      <c r="BI714" s="9"/>
      <c r="BJ714" s="9"/>
    </row>
    <row r="715" hidden="1">
      <c r="A715" s="10">
        <v>24.0</v>
      </c>
      <c r="B715" s="11" t="s">
        <v>121</v>
      </c>
      <c r="C715" s="2" t="s">
        <v>61</v>
      </c>
      <c r="D715" s="12">
        <v>45828.0</v>
      </c>
      <c r="E715" s="13">
        <v>0.875</v>
      </c>
      <c r="F715" s="5" t="str">
        <f>VLOOKUP(A715,Jogos!A:N,10,0)</f>
        <v>Evening</v>
      </c>
      <c r="G715" s="11" t="s">
        <v>62</v>
      </c>
      <c r="H715" s="6" t="str">
        <f>VLOOKUP(A715,Jogos!A:L,12,0)</f>
        <v>Open</v>
      </c>
      <c r="I715" s="6" t="str">
        <f>VLOOKUP(G715,'Estádios e Cidades'!A:B,2,0)</f>
        <v>Miami Gardens - Flórida</v>
      </c>
      <c r="J715" s="11" t="s">
        <v>440</v>
      </c>
      <c r="K715" s="2" t="str">
        <f>VLOOKUP(J715,Equipes!A:F,6,0)</f>
        <v>Temperate</v>
      </c>
      <c r="L715" s="2">
        <f>VLOOKUP(J715,Equipes!A:C,3,0)</f>
        <v>24</v>
      </c>
      <c r="M715" s="2" t="str">
        <f t="shared" si="4"/>
        <v>Group</v>
      </c>
      <c r="N715" s="15" t="s">
        <v>123</v>
      </c>
      <c r="O715" s="2">
        <f>VLOOKUP(N715,Equipes!A:C,3,0)</f>
        <v>6</v>
      </c>
      <c r="P715" s="2" t="str">
        <f t="shared" si="5"/>
        <v>Quarter-final</v>
      </c>
      <c r="Q715" s="2">
        <f t="shared" si="6"/>
        <v>18</v>
      </c>
      <c r="R715" s="2" t="str">
        <f>VLOOKUP(J715,Equipes!A:B,2,0)</f>
        <v>Boca</v>
      </c>
      <c r="S715" s="6" t="s">
        <v>466</v>
      </c>
      <c r="T715" s="7">
        <v>15.0</v>
      </c>
      <c r="U715" s="7" t="s">
        <v>467</v>
      </c>
      <c r="V715" s="7" t="str">
        <f>VLOOKUP(U715,Jogadores!B:C,2,0)</f>
        <v>MF</v>
      </c>
      <c r="W715" s="8">
        <f>VLOOKUP(U715,Jogadores!B:D,3,0)</f>
        <v>24.67671233</v>
      </c>
      <c r="X715" s="7">
        <v>69.0</v>
      </c>
      <c r="Y715" s="7">
        <f t="shared" si="2228"/>
        <v>98</v>
      </c>
      <c r="Z715" s="7">
        <f>VLOOKUP(A715,Jogos!A:L,3,0)</f>
        <v>48</v>
      </c>
      <c r="AA715" s="7">
        <f t="shared" si="2229"/>
        <v>0</v>
      </c>
      <c r="AB715" s="7">
        <f>VLOOKUP(A715,Jogos!A:L,4,0)</f>
        <v>53</v>
      </c>
      <c r="AC715" s="7">
        <f t="shared" si="2230"/>
        <v>29</v>
      </c>
      <c r="AD715" s="7"/>
      <c r="AE715" s="7"/>
      <c r="AF715" s="7">
        <f t="shared" si="2231"/>
        <v>29</v>
      </c>
      <c r="AG715" s="7">
        <v>3388.4</v>
      </c>
      <c r="AH715" s="7">
        <v>1102.0</v>
      </c>
      <c r="AI715" s="7">
        <v>1543.4</v>
      </c>
      <c r="AJ715" s="7">
        <v>595.8</v>
      </c>
      <c r="AK715" s="7">
        <v>142.1</v>
      </c>
      <c r="AL715" s="7">
        <v>5.0</v>
      </c>
      <c r="AM715" s="7">
        <v>57.0</v>
      </c>
      <c r="AN715" s="7">
        <v>12.0</v>
      </c>
      <c r="AO715" s="7">
        <v>26.1</v>
      </c>
      <c r="AP715" s="9">
        <f t="shared" ref="AP715:AR715" si="2237">AG715/$AF715</f>
        <v>116.8413793</v>
      </c>
      <c r="AQ715" s="9">
        <f t="shared" si="2237"/>
        <v>38</v>
      </c>
      <c r="AR715" s="9">
        <f t="shared" si="2237"/>
        <v>53.22068966</v>
      </c>
      <c r="AS715" s="9">
        <f t="shared" si="2233"/>
        <v>91.22068966</v>
      </c>
      <c r="AT715" s="9">
        <f t="shared" ref="AT715:AV715" si="2238">AJ715/$AF715</f>
        <v>20.54482759</v>
      </c>
      <c r="AU715" s="9">
        <f t="shared" si="2238"/>
        <v>4.9</v>
      </c>
      <c r="AV715" s="9">
        <f t="shared" si="2238"/>
        <v>0.1724137931</v>
      </c>
      <c r="AW715" s="9">
        <f t="shared" si="2235"/>
        <v>5.072413793</v>
      </c>
      <c r="AX715" s="9">
        <f t="shared" ref="AX715:AY715" si="2239">AM715/$AF715</f>
        <v>1.965517241</v>
      </c>
      <c r="AY715" s="9">
        <f t="shared" si="2239"/>
        <v>0.4137931034</v>
      </c>
      <c r="AZ715" s="9">
        <f>VLOOKUP(A715,Jogos!A:BN,58,0)</f>
        <v>25.475</v>
      </c>
      <c r="BA715" s="9">
        <f>VLOOKUP(A715,Jogos!A:BN,59,0)</f>
        <v>22.105</v>
      </c>
      <c r="BB715" s="9">
        <f>VLOOKUP(A715,Jogos!A:BN,60,0)</f>
        <v>81.5</v>
      </c>
      <c r="BC715" s="9">
        <f>VLOOKUP(A715,Jogos!A:BN,61,0)</f>
        <v>23.645</v>
      </c>
      <c r="BD715" s="9">
        <f>VLOOKUP(A715,Jogos!A:BN,62,0)</f>
        <v>0</v>
      </c>
      <c r="BE715" s="9">
        <f>VLOOKUP(A715,Jogos!A:BN,63,0)</f>
        <v>0.89</v>
      </c>
      <c r="BF715" s="9">
        <f>VLOOKUP(A715,Jogos!A:BN,64,0)</f>
        <v>23.61</v>
      </c>
      <c r="BG715" s="9">
        <f>VLOOKUP(A715,Jogos!A:BN,65,0)</f>
        <v>40.92</v>
      </c>
      <c r="BH715" s="9">
        <f>VLOOKUP(A715,Jogos!A:BN,66,0)</f>
        <v>27.26</v>
      </c>
      <c r="BI715" s="9"/>
      <c r="BJ715" s="9"/>
    </row>
    <row r="716" hidden="1">
      <c r="A716" s="10">
        <v>24.0</v>
      </c>
      <c r="B716" s="11" t="s">
        <v>121</v>
      </c>
      <c r="C716" s="2" t="s">
        <v>61</v>
      </c>
      <c r="D716" s="12">
        <v>45828.0</v>
      </c>
      <c r="E716" s="13">
        <v>0.875</v>
      </c>
      <c r="F716" s="5" t="str">
        <f>VLOOKUP(A716,Jogos!A:N,10,0)</f>
        <v>Evening</v>
      </c>
      <c r="G716" s="11" t="s">
        <v>62</v>
      </c>
      <c r="H716" s="6" t="str">
        <f>VLOOKUP(A716,Jogos!A:L,12,0)</f>
        <v>Open</v>
      </c>
      <c r="I716" s="6" t="str">
        <f>VLOOKUP(G716,'Estádios e Cidades'!A:B,2,0)</f>
        <v>Miami Gardens - Flórida</v>
      </c>
      <c r="J716" s="11" t="s">
        <v>440</v>
      </c>
      <c r="K716" s="2" t="str">
        <f>VLOOKUP(J716,Equipes!A:F,6,0)</f>
        <v>Temperate</v>
      </c>
      <c r="L716" s="2">
        <f>VLOOKUP(J716,Equipes!A:C,3,0)</f>
        <v>24</v>
      </c>
      <c r="M716" s="2" t="str">
        <f t="shared" si="4"/>
        <v>Group</v>
      </c>
      <c r="N716" s="15" t="s">
        <v>123</v>
      </c>
      <c r="O716" s="2">
        <f>VLOOKUP(N716,Equipes!A:C,3,0)</f>
        <v>6</v>
      </c>
      <c r="P716" s="2" t="str">
        <f t="shared" si="5"/>
        <v>Quarter-final</v>
      </c>
      <c r="Q716" s="2">
        <f t="shared" si="6"/>
        <v>18</v>
      </c>
      <c r="R716" s="2" t="str">
        <f>VLOOKUP(J716,Equipes!A:B,2,0)</f>
        <v>Boca</v>
      </c>
      <c r="S716" s="6" t="s">
        <v>1150</v>
      </c>
      <c r="T716" s="7">
        <v>27.0</v>
      </c>
      <c r="U716" s="7" t="s">
        <v>1151</v>
      </c>
      <c r="V716" s="7" t="str">
        <f>VLOOKUP(U716,Jogadores!B:C,2,0)</f>
        <v>MF</v>
      </c>
      <c r="W716" s="8">
        <f>VLOOKUP(U716,Jogadores!B:D,3,0)</f>
        <v>28.21643836</v>
      </c>
      <c r="X716" s="7">
        <v>59.0</v>
      </c>
      <c r="Y716" s="7">
        <f t="shared" si="2228"/>
        <v>98</v>
      </c>
      <c r="Z716" s="7">
        <f>VLOOKUP(A716,Jogos!A:L,3,0)</f>
        <v>48</v>
      </c>
      <c r="AA716" s="7">
        <f t="shared" si="2229"/>
        <v>0</v>
      </c>
      <c r="AB716" s="7">
        <f>VLOOKUP(A716,Jogos!A:L,4,0)</f>
        <v>53</v>
      </c>
      <c r="AC716" s="7">
        <f t="shared" si="2230"/>
        <v>39</v>
      </c>
      <c r="AD716" s="7"/>
      <c r="AE716" s="7"/>
      <c r="AF716" s="7">
        <f t="shared" si="2231"/>
        <v>39</v>
      </c>
      <c r="AG716" s="7">
        <v>4119.7</v>
      </c>
      <c r="AH716" s="7">
        <v>1599.1</v>
      </c>
      <c r="AI716" s="7">
        <v>1499.0</v>
      </c>
      <c r="AJ716" s="7">
        <v>584.3</v>
      </c>
      <c r="AK716" s="7">
        <v>308.3</v>
      </c>
      <c r="AL716" s="7">
        <v>129.0</v>
      </c>
      <c r="AM716" s="7">
        <v>59.0</v>
      </c>
      <c r="AN716" s="7">
        <v>27.0</v>
      </c>
      <c r="AO716" s="7">
        <v>28.7</v>
      </c>
      <c r="AP716" s="9">
        <f t="shared" ref="AP716:AR716" si="2240">AG716/$AF716</f>
        <v>105.6333333</v>
      </c>
      <c r="AQ716" s="9">
        <f t="shared" si="2240"/>
        <v>41.0025641</v>
      </c>
      <c r="AR716" s="9">
        <f t="shared" si="2240"/>
        <v>38.43589744</v>
      </c>
      <c r="AS716" s="9">
        <f t="shared" si="2233"/>
        <v>79.43846154</v>
      </c>
      <c r="AT716" s="9">
        <f t="shared" ref="AT716:AV716" si="2241">AJ716/$AF716</f>
        <v>14.98205128</v>
      </c>
      <c r="AU716" s="9">
        <f t="shared" si="2241"/>
        <v>7.905128205</v>
      </c>
      <c r="AV716" s="9">
        <f t="shared" si="2241"/>
        <v>3.307692308</v>
      </c>
      <c r="AW716" s="9">
        <f t="shared" si="2235"/>
        <v>11.21282051</v>
      </c>
      <c r="AX716" s="9">
        <f t="shared" ref="AX716:AY716" si="2242">AM716/$AF716</f>
        <v>1.512820513</v>
      </c>
      <c r="AY716" s="9">
        <f t="shared" si="2242"/>
        <v>0.6923076923</v>
      </c>
      <c r="AZ716" s="9">
        <f>VLOOKUP(A716,Jogos!A:BN,58,0)</f>
        <v>25.475</v>
      </c>
      <c r="BA716" s="9">
        <f>VLOOKUP(A716,Jogos!A:BN,59,0)</f>
        <v>22.105</v>
      </c>
      <c r="BB716" s="9">
        <f>VLOOKUP(A716,Jogos!A:BN,60,0)</f>
        <v>81.5</v>
      </c>
      <c r="BC716" s="9">
        <f>VLOOKUP(A716,Jogos!A:BN,61,0)</f>
        <v>23.645</v>
      </c>
      <c r="BD716" s="9">
        <f>VLOOKUP(A716,Jogos!A:BN,62,0)</f>
        <v>0</v>
      </c>
      <c r="BE716" s="9">
        <f>VLOOKUP(A716,Jogos!A:BN,63,0)</f>
        <v>0.89</v>
      </c>
      <c r="BF716" s="9">
        <f>VLOOKUP(A716,Jogos!A:BN,64,0)</f>
        <v>23.61</v>
      </c>
      <c r="BG716" s="9">
        <f>VLOOKUP(A716,Jogos!A:BN,65,0)</f>
        <v>40.92</v>
      </c>
      <c r="BH716" s="9">
        <f>VLOOKUP(A716,Jogos!A:BN,66,0)</f>
        <v>27.26</v>
      </c>
      <c r="BI716" s="9"/>
      <c r="BJ716" s="9"/>
    </row>
    <row r="717" hidden="1">
      <c r="A717" s="2">
        <v>25.0</v>
      </c>
      <c r="B717" s="11" t="s">
        <v>562</v>
      </c>
      <c r="C717" s="2" t="s">
        <v>61</v>
      </c>
      <c r="D717" s="3">
        <v>45829.0</v>
      </c>
      <c r="E717" s="4">
        <v>0.5</v>
      </c>
      <c r="F717" s="5" t="str">
        <f>VLOOKUP(A717,Jogos!A:N,10,0)</f>
        <v>Afternoon</v>
      </c>
      <c r="G717" s="2" t="s">
        <v>122</v>
      </c>
      <c r="H717" s="6" t="str">
        <f>VLOOKUP(A717,Jogos!A:L,12,0)</f>
        <v>Open</v>
      </c>
      <c r="I717" s="6" t="str">
        <f>VLOOKUP(G717,'Estádios e Cidades'!A:B,2,0)</f>
        <v>Cincinnati</v>
      </c>
      <c r="J717" s="2" t="s">
        <v>688</v>
      </c>
      <c r="K717" s="2" t="str">
        <f>VLOOKUP(J717,Equipes!A:F,6,0)</f>
        <v>Tropical</v>
      </c>
      <c r="L717" s="2">
        <f>VLOOKUP(J717,Equipes!A:C,3,0)</f>
        <v>18</v>
      </c>
      <c r="M717" s="2" t="str">
        <f t="shared" si="4"/>
        <v>Group</v>
      </c>
      <c r="N717" s="2" t="s">
        <v>564</v>
      </c>
      <c r="O717" s="2">
        <f>VLOOKUP(N717,Equipes!A:C,3,0)</f>
        <v>5</v>
      </c>
      <c r="P717" s="2" t="str">
        <f t="shared" si="5"/>
        <v>Quarter-final</v>
      </c>
      <c r="Q717" s="2">
        <f t="shared" si="6"/>
        <v>13</v>
      </c>
      <c r="R717" s="2" t="str">
        <f>VLOOKUP(J717,Equipes!A:B,2,0)</f>
        <v>Mamelodi</v>
      </c>
      <c r="S717" s="6" t="s">
        <v>717</v>
      </c>
      <c r="T717" s="7">
        <v>4.0</v>
      </c>
      <c r="U717" s="7" t="s">
        <v>718</v>
      </c>
      <c r="V717" s="7" t="str">
        <f>VLOOKUP(U717,Jogadores!B:C,2,0)</f>
        <v>MF</v>
      </c>
      <c r="W717" s="8">
        <f>VLOOKUP(U717,Jogadores!B:D,3,0)</f>
        <v>28.5260274</v>
      </c>
      <c r="X717" s="7">
        <v>0.0</v>
      </c>
      <c r="Y717" s="7">
        <v>69.0</v>
      </c>
      <c r="Z717" s="7">
        <f>VLOOKUP(A717,Jogos!A:L,3,0)</f>
        <v>48</v>
      </c>
      <c r="AA717" s="7">
        <f t="shared" si="2229"/>
        <v>48</v>
      </c>
      <c r="AB717" s="7">
        <f>VLOOKUP(A717,Jogos!A:L,4,0)</f>
        <v>51</v>
      </c>
      <c r="AC717" s="7">
        <f t="shared" si="2230"/>
        <v>24</v>
      </c>
      <c r="AD717" s="7"/>
      <c r="AE717" s="7"/>
      <c r="AF717" s="7">
        <f t="shared" si="2231"/>
        <v>72</v>
      </c>
      <c r="AG717" s="7">
        <v>7266.9</v>
      </c>
      <c r="AH717" s="7">
        <v>2297.5</v>
      </c>
      <c r="AI717" s="7">
        <v>3441.5</v>
      </c>
      <c r="AJ717" s="7">
        <v>1086.0</v>
      </c>
      <c r="AK717" s="7">
        <v>317.2</v>
      </c>
      <c r="AL717" s="7">
        <v>124.7</v>
      </c>
      <c r="AM717" s="7">
        <v>105.0</v>
      </c>
      <c r="AN717" s="7">
        <v>21.0</v>
      </c>
      <c r="AO717" s="7">
        <v>34.1</v>
      </c>
      <c r="AP717" s="9">
        <f t="shared" ref="AP717:AR717" si="2243">AG717/$AF717</f>
        <v>100.9291667</v>
      </c>
      <c r="AQ717" s="9">
        <f t="shared" si="2243"/>
        <v>31.90972222</v>
      </c>
      <c r="AR717" s="9">
        <f t="shared" si="2243"/>
        <v>47.79861111</v>
      </c>
      <c r="AS717" s="9">
        <f t="shared" si="2233"/>
        <v>79.70833333</v>
      </c>
      <c r="AT717" s="9">
        <f t="shared" ref="AT717:AV717" si="2244">AJ717/$AF717</f>
        <v>15.08333333</v>
      </c>
      <c r="AU717" s="9">
        <f t="shared" si="2244"/>
        <v>4.405555556</v>
      </c>
      <c r="AV717" s="9">
        <f t="shared" si="2244"/>
        <v>1.731944444</v>
      </c>
      <c r="AW717" s="9">
        <f t="shared" si="2235"/>
        <v>6.1375</v>
      </c>
      <c r="AX717" s="9">
        <f t="shared" ref="AX717:AY717" si="2245">AM717/$AF717</f>
        <v>1.458333333</v>
      </c>
      <c r="AY717" s="9">
        <f t="shared" si="2245"/>
        <v>0.2916666667</v>
      </c>
      <c r="AZ717" s="9">
        <f>VLOOKUP(A717,Jogos!A:BN,58,0)</f>
        <v>31.16</v>
      </c>
      <c r="BA717" s="9">
        <f>VLOOKUP(A717,Jogos!A:BN,59,0)</f>
        <v>20.83</v>
      </c>
      <c r="BB717" s="9">
        <f>VLOOKUP(A717,Jogos!A:BN,60,0)</f>
        <v>54</v>
      </c>
      <c r="BC717" s="9">
        <f>VLOOKUP(A717,Jogos!A:BN,61,0)</f>
        <v>32.325</v>
      </c>
      <c r="BD717" s="9">
        <f>VLOOKUP(A717,Jogos!A:BN,62,0)</f>
        <v>934.35</v>
      </c>
      <c r="BE717" s="9">
        <f>VLOOKUP(A717,Jogos!A:BN,63,0)</f>
        <v>2.155</v>
      </c>
      <c r="BF717" s="9">
        <f>VLOOKUP(A717,Jogos!A:BN,64,0)</f>
        <v>25.065</v>
      </c>
      <c r="BG717" s="9">
        <f>VLOOKUP(A717,Jogos!A:BN,65,0)</f>
        <v>45.16</v>
      </c>
      <c r="BH717" s="9">
        <f>VLOOKUP(A717,Jogos!A:BN,66,0)</f>
        <v>29.69</v>
      </c>
      <c r="BI717" s="9"/>
      <c r="BJ717" s="9"/>
    </row>
    <row r="718" hidden="1">
      <c r="A718" s="2">
        <v>25.0</v>
      </c>
      <c r="B718" s="11" t="s">
        <v>562</v>
      </c>
      <c r="C718" s="2" t="s">
        <v>61</v>
      </c>
      <c r="D718" s="3">
        <v>45829.0</v>
      </c>
      <c r="E718" s="4">
        <v>0.5</v>
      </c>
      <c r="F718" s="5" t="str">
        <f>VLOOKUP(A718,Jogos!A:N,10,0)</f>
        <v>Afternoon</v>
      </c>
      <c r="G718" s="2" t="s">
        <v>122</v>
      </c>
      <c r="H718" s="6" t="str">
        <f>VLOOKUP(A718,Jogos!A:L,12,0)</f>
        <v>Open</v>
      </c>
      <c r="I718" s="6" t="str">
        <f>VLOOKUP(G718,'Estádios e Cidades'!A:B,2,0)</f>
        <v>Cincinnati</v>
      </c>
      <c r="J718" s="2" t="s">
        <v>688</v>
      </c>
      <c r="K718" s="2" t="str">
        <f>VLOOKUP(J718,Equipes!A:F,6,0)</f>
        <v>Tropical</v>
      </c>
      <c r="L718" s="2">
        <f>VLOOKUP(J718,Equipes!A:C,3,0)</f>
        <v>18</v>
      </c>
      <c r="M718" s="2" t="str">
        <f t="shared" si="4"/>
        <v>Group</v>
      </c>
      <c r="N718" s="2" t="s">
        <v>564</v>
      </c>
      <c r="O718" s="2">
        <f>VLOOKUP(N718,Equipes!A:C,3,0)</f>
        <v>5</v>
      </c>
      <c r="P718" s="2" t="str">
        <f t="shared" si="5"/>
        <v>Quarter-final</v>
      </c>
      <c r="Q718" s="2">
        <f t="shared" si="6"/>
        <v>13</v>
      </c>
      <c r="R718" s="2" t="str">
        <f>VLOOKUP(J718,Equipes!A:B,2,0)</f>
        <v>Mamelodi</v>
      </c>
      <c r="S718" s="6" t="s">
        <v>721</v>
      </c>
      <c r="T718" s="7">
        <v>10.0</v>
      </c>
      <c r="U718" s="7" t="s">
        <v>722</v>
      </c>
      <c r="V718" s="7" t="str">
        <f>VLOOKUP(U718,Jogadores!B:C,2,0)</f>
        <v>FW</v>
      </c>
      <c r="W718" s="8">
        <f>VLOOKUP(U718,Jogadores!B:D,3,0)</f>
        <v>26.81917808</v>
      </c>
      <c r="X718" s="7">
        <v>0.0</v>
      </c>
      <c r="Y718" s="7">
        <v>70.0</v>
      </c>
      <c r="Z718" s="7">
        <f>VLOOKUP(A718,Jogos!A:L,3,0)</f>
        <v>48</v>
      </c>
      <c r="AA718" s="7">
        <f t="shared" si="2229"/>
        <v>48</v>
      </c>
      <c r="AB718" s="7">
        <f>VLOOKUP(A718,Jogos!A:L,4,0)</f>
        <v>51</v>
      </c>
      <c r="AC718" s="7">
        <f t="shared" si="2230"/>
        <v>25</v>
      </c>
      <c r="AD718" s="7"/>
      <c r="AE718" s="7"/>
      <c r="AF718" s="7">
        <f t="shared" si="2231"/>
        <v>73</v>
      </c>
      <c r="AG718" s="7">
        <v>6609.8</v>
      </c>
      <c r="AH718" s="7">
        <v>3268.4</v>
      </c>
      <c r="AI718" s="7">
        <v>2095.7</v>
      </c>
      <c r="AJ718" s="7">
        <v>777.6</v>
      </c>
      <c r="AK718" s="7">
        <v>261.3</v>
      </c>
      <c r="AL718" s="7">
        <v>206.8</v>
      </c>
      <c r="AM718" s="7">
        <v>66.0</v>
      </c>
      <c r="AN718" s="7">
        <v>23.0</v>
      </c>
      <c r="AO718" s="7">
        <v>32.7</v>
      </c>
      <c r="AP718" s="9">
        <f t="shared" ref="AP718:AR718" si="2246">AG718/$AF718</f>
        <v>90.54520548</v>
      </c>
      <c r="AQ718" s="9">
        <f t="shared" si="2246"/>
        <v>44.77260274</v>
      </c>
      <c r="AR718" s="9">
        <f t="shared" si="2246"/>
        <v>28.70821918</v>
      </c>
      <c r="AS718" s="9">
        <f t="shared" si="2233"/>
        <v>73.48082192</v>
      </c>
      <c r="AT718" s="9">
        <f t="shared" ref="AT718:AV718" si="2247">AJ718/$AF718</f>
        <v>10.65205479</v>
      </c>
      <c r="AU718" s="9">
        <f t="shared" si="2247"/>
        <v>3.579452055</v>
      </c>
      <c r="AV718" s="9">
        <f t="shared" si="2247"/>
        <v>2.832876712</v>
      </c>
      <c r="AW718" s="9">
        <f t="shared" si="2235"/>
        <v>6.412328767</v>
      </c>
      <c r="AX718" s="9">
        <f t="shared" ref="AX718:AY718" si="2248">AM718/$AF718</f>
        <v>0.904109589</v>
      </c>
      <c r="AY718" s="9">
        <f t="shared" si="2248"/>
        <v>0.3150684932</v>
      </c>
      <c r="AZ718" s="9">
        <f>VLOOKUP(A718,Jogos!A:BN,58,0)</f>
        <v>31.16</v>
      </c>
      <c r="BA718" s="9">
        <f>VLOOKUP(A718,Jogos!A:BN,59,0)</f>
        <v>20.83</v>
      </c>
      <c r="BB718" s="9">
        <f>VLOOKUP(A718,Jogos!A:BN,60,0)</f>
        <v>54</v>
      </c>
      <c r="BC718" s="9">
        <f>VLOOKUP(A718,Jogos!A:BN,61,0)</f>
        <v>32.325</v>
      </c>
      <c r="BD718" s="9">
        <f>VLOOKUP(A718,Jogos!A:BN,62,0)</f>
        <v>934.35</v>
      </c>
      <c r="BE718" s="9">
        <f>VLOOKUP(A718,Jogos!A:BN,63,0)</f>
        <v>2.155</v>
      </c>
      <c r="BF718" s="9">
        <f>VLOOKUP(A718,Jogos!A:BN,64,0)</f>
        <v>25.065</v>
      </c>
      <c r="BG718" s="9">
        <f>VLOOKUP(A718,Jogos!A:BN,65,0)</f>
        <v>45.16</v>
      </c>
      <c r="BH718" s="9">
        <f>VLOOKUP(A718,Jogos!A:BN,66,0)</f>
        <v>29.69</v>
      </c>
      <c r="BI718" s="9"/>
      <c r="BJ718" s="9"/>
    </row>
    <row r="719" hidden="1">
      <c r="A719" s="2">
        <v>25.0</v>
      </c>
      <c r="B719" s="11" t="s">
        <v>562</v>
      </c>
      <c r="C719" s="2" t="s">
        <v>61</v>
      </c>
      <c r="D719" s="3">
        <v>45829.0</v>
      </c>
      <c r="E719" s="4">
        <v>0.5</v>
      </c>
      <c r="F719" s="5" t="str">
        <f>VLOOKUP(A719,Jogos!A:N,10,0)</f>
        <v>Afternoon</v>
      </c>
      <c r="G719" s="2" t="s">
        <v>122</v>
      </c>
      <c r="H719" s="6" t="str">
        <f>VLOOKUP(A719,Jogos!A:L,12,0)</f>
        <v>Open</v>
      </c>
      <c r="I719" s="6" t="str">
        <f>VLOOKUP(G719,'Estádios e Cidades'!A:B,2,0)</f>
        <v>Cincinnati</v>
      </c>
      <c r="J719" s="2" t="s">
        <v>688</v>
      </c>
      <c r="K719" s="2" t="str">
        <f>VLOOKUP(J719,Equipes!A:F,6,0)</f>
        <v>Tropical</v>
      </c>
      <c r="L719" s="2">
        <f>VLOOKUP(J719,Equipes!A:C,3,0)</f>
        <v>18</v>
      </c>
      <c r="M719" s="2" t="str">
        <f t="shared" si="4"/>
        <v>Group</v>
      </c>
      <c r="N719" s="2" t="s">
        <v>564</v>
      </c>
      <c r="O719" s="2">
        <f>VLOOKUP(N719,Equipes!A:C,3,0)</f>
        <v>5</v>
      </c>
      <c r="P719" s="2" t="str">
        <f t="shared" si="5"/>
        <v>Quarter-final</v>
      </c>
      <c r="Q719" s="2">
        <f t="shared" si="6"/>
        <v>13</v>
      </c>
      <c r="R719" s="2" t="str">
        <f>VLOOKUP(J719,Equipes!A:B,2,0)</f>
        <v>Mamelodi</v>
      </c>
      <c r="S719" s="6" t="s">
        <v>723</v>
      </c>
      <c r="T719" s="7">
        <v>11.0</v>
      </c>
      <c r="U719" s="7" t="s">
        <v>724</v>
      </c>
      <c r="V719" s="7" t="str">
        <f>VLOOKUP(U719,Jogadores!B:C,2,0)</f>
        <v>MF</v>
      </c>
      <c r="W719" s="8">
        <f>VLOOKUP(U719,Jogadores!B:D,3,0)</f>
        <v>26.3260274</v>
      </c>
      <c r="X719" s="7">
        <v>0.0</v>
      </c>
      <c r="Y719" s="7">
        <f>45+AB719</f>
        <v>96</v>
      </c>
      <c r="Z719" s="7">
        <f>VLOOKUP(A719,Jogos!A:L,3,0)</f>
        <v>48</v>
      </c>
      <c r="AA719" s="7">
        <f t="shared" si="2229"/>
        <v>48</v>
      </c>
      <c r="AB719" s="7">
        <f>VLOOKUP(A719,Jogos!A:L,4,0)</f>
        <v>51</v>
      </c>
      <c r="AC719" s="7">
        <f t="shared" si="2230"/>
        <v>51</v>
      </c>
      <c r="AD719" s="7"/>
      <c r="AE719" s="7"/>
      <c r="AF719" s="7">
        <f t="shared" si="2231"/>
        <v>99</v>
      </c>
      <c r="AG719" s="7">
        <v>11710.0</v>
      </c>
      <c r="AH719" s="7">
        <v>3833.0</v>
      </c>
      <c r="AI719" s="7">
        <v>5307.0</v>
      </c>
      <c r="AJ719" s="7">
        <v>1878.1</v>
      </c>
      <c r="AK719" s="7">
        <v>569.0</v>
      </c>
      <c r="AL719" s="7">
        <v>122.9</v>
      </c>
      <c r="AM719" s="7">
        <v>168.0</v>
      </c>
      <c r="AN719" s="7">
        <v>39.0</v>
      </c>
      <c r="AO719" s="7">
        <v>27.6</v>
      </c>
      <c r="AP719" s="9">
        <f t="shared" ref="AP719:AR719" si="2249">AG719/$AF719</f>
        <v>118.2828283</v>
      </c>
      <c r="AQ719" s="9">
        <f t="shared" si="2249"/>
        <v>38.71717172</v>
      </c>
      <c r="AR719" s="9">
        <f t="shared" si="2249"/>
        <v>53.60606061</v>
      </c>
      <c r="AS719" s="9">
        <f t="shared" si="2233"/>
        <v>92.32323232</v>
      </c>
      <c r="AT719" s="9">
        <f t="shared" ref="AT719:AV719" si="2250">AJ719/$AF719</f>
        <v>18.97070707</v>
      </c>
      <c r="AU719" s="9">
        <f t="shared" si="2250"/>
        <v>5.747474747</v>
      </c>
      <c r="AV719" s="9">
        <f t="shared" si="2250"/>
        <v>1.241414141</v>
      </c>
      <c r="AW719" s="9">
        <f t="shared" si="2235"/>
        <v>6.988888889</v>
      </c>
      <c r="AX719" s="9">
        <f t="shared" ref="AX719:AY719" si="2251">AM719/$AF719</f>
        <v>1.696969697</v>
      </c>
      <c r="AY719" s="9">
        <f t="shared" si="2251"/>
        <v>0.3939393939</v>
      </c>
      <c r="AZ719" s="9">
        <f>VLOOKUP(A719,Jogos!A:BN,58,0)</f>
        <v>31.16</v>
      </c>
      <c r="BA719" s="9">
        <f>VLOOKUP(A719,Jogos!A:BN,59,0)</f>
        <v>20.83</v>
      </c>
      <c r="BB719" s="9">
        <f>VLOOKUP(A719,Jogos!A:BN,60,0)</f>
        <v>54</v>
      </c>
      <c r="BC719" s="9">
        <f>VLOOKUP(A719,Jogos!A:BN,61,0)</f>
        <v>32.325</v>
      </c>
      <c r="BD719" s="9">
        <f>VLOOKUP(A719,Jogos!A:BN,62,0)</f>
        <v>934.35</v>
      </c>
      <c r="BE719" s="9">
        <f>VLOOKUP(A719,Jogos!A:BN,63,0)</f>
        <v>2.155</v>
      </c>
      <c r="BF719" s="9">
        <f>VLOOKUP(A719,Jogos!A:BN,64,0)</f>
        <v>25.065</v>
      </c>
      <c r="BG719" s="9">
        <f>VLOOKUP(A719,Jogos!A:BN,65,0)</f>
        <v>45.16</v>
      </c>
      <c r="BH719" s="9">
        <f>VLOOKUP(A719,Jogos!A:BN,66,0)</f>
        <v>29.69</v>
      </c>
      <c r="BI719" s="9"/>
      <c r="BJ719" s="9"/>
    </row>
    <row r="720" hidden="1">
      <c r="A720" s="2">
        <v>25.0</v>
      </c>
      <c r="B720" s="11" t="s">
        <v>562</v>
      </c>
      <c r="C720" s="2" t="s">
        <v>61</v>
      </c>
      <c r="D720" s="3">
        <v>45829.0</v>
      </c>
      <c r="E720" s="4">
        <v>0.5</v>
      </c>
      <c r="F720" s="5" t="str">
        <f>VLOOKUP(A720,Jogos!A:N,10,0)</f>
        <v>Afternoon</v>
      </c>
      <c r="G720" s="2" t="s">
        <v>122</v>
      </c>
      <c r="H720" s="6" t="str">
        <f>VLOOKUP(A720,Jogos!A:L,12,0)</f>
        <v>Open</v>
      </c>
      <c r="I720" s="6" t="str">
        <f>VLOOKUP(G720,'Estádios e Cidades'!A:B,2,0)</f>
        <v>Cincinnati</v>
      </c>
      <c r="J720" s="2" t="s">
        <v>688</v>
      </c>
      <c r="K720" s="2" t="str">
        <f>VLOOKUP(J720,Equipes!A:F,6,0)</f>
        <v>Tropical</v>
      </c>
      <c r="L720" s="2">
        <f>VLOOKUP(J720,Equipes!A:C,3,0)</f>
        <v>18</v>
      </c>
      <c r="M720" s="2" t="str">
        <f t="shared" si="4"/>
        <v>Group</v>
      </c>
      <c r="N720" s="2" t="s">
        <v>564</v>
      </c>
      <c r="O720" s="2">
        <f>VLOOKUP(N720,Equipes!A:C,3,0)</f>
        <v>5</v>
      </c>
      <c r="P720" s="2" t="str">
        <f t="shared" si="5"/>
        <v>Quarter-final</v>
      </c>
      <c r="Q720" s="2">
        <f t="shared" si="6"/>
        <v>13</v>
      </c>
      <c r="R720" s="2" t="str">
        <f>VLOOKUP(J720,Equipes!A:B,2,0)</f>
        <v>Mamelodi</v>
      </c>
      <c r="S720" s="6" t="s">
        <v>725</v>
      </c>
      <c r="T720" s="7">
        <v>13.0</v>
      </c>
      <c r="U720" s="7" t="s">
        <v>726</v>
      </c>
      <c r="V720" s="7" t="str">
        <f>VLOOKUP(U720,Jogadores!B:C,2,0)</f>
        <v>FW</v>
      </c>
      <c r="W720" s="8">
        <f>VLOOKUP(U720,Jogadores!B:D,3,0)</f>
        <v>29.62739726</v>
      </c>
      <c r="X720" s="7">
        <v>0.0</v>
      </c>
      <c r="Y720" s="7">
        <v>77.0</v>
      </c>
      <c r="Z720" s="7">
        <f>VLOOKUP(A720,Jogos!A:L,3,0)</f>
        <v>48</v>
      </c>
      <c r="AA720" s="7">
        <f t="shared" si="2229"/>
        <v>48</v>
      </c>
      <c r="AB720" s="7">
        <f>VLOOKUP(A720,Jogos!A:L,4,0)</f>
        <v>51</v>
      </c>
      <c r="AC720" s="7">
        <f t="shared" si="2230"/>
        <v>32</v>
      </c>
      <c r="AD720" s="7"/>
      <c r="AE720" s="7"/>
      <c r="AF720" s="7">
        <f t="shared" si="2231"/>
        <v>80</v>
      </c>
      <c r="AG720" s="7">
        <v>7666.6</v>
      </c>
      <c r="AH720" s="7">
        <v>3386.0</v>
      </c>
      <c r="AI720" s="7">
        <v>2459.6</v>
      </c>
      <c r="AJ720" s="7">
        <v>891.2</v>
      </c>
      <c r="AK720" s="7">
        <v>642.4</v>
      </c>
      <c r="AL720" s="7">
        <v>287.5</v>
      </c>
      <c r="AM720" s="7">
        <v>80.0</v>
      </c>
      <c r="AN720" s="7">
        <v>52.0</v>
      </c>
      <c r="AO720" s="7">
        <v>33.1</v>
      </c>
      <c r="AP720" s="9">
        <f t="shared" ref="AP720:AR720" si="2252">AG720/$AF720</f>
        <v>95.8325</v>
      </c>
      <c r="AQ720" s="9">
        <f t="shared" si="2252"/>
        <v>42.325</v>
      </c>
      <c r="AR720" s="9">
        <f t="shared" si="2252"/>
        <v>30.745</v>
      </c>
      <c r="AS720" s="9">
        <f t="shared" si="2233"/>
        <v>73.07</v>
      </c>
      <c r="AT720" s="9">
        <f t="shared" ref="AT720:AV720" si="2253">AJ720/$AF720</f>
        <v>11.14</v>
      </c>
      <c r="AU720" s="9">
        <f t="shared" si="2253"/>
        <v>8.03</v>
      </c>
      <c r="AV720" s="9">
        <f t="shared" si="2253"/>
        <v>3.59375</v>
      </c>
      <c r="AW720" s="9">
        <f t="shared" si="2235"/>
        <v>11.62375</v>
      </c>
      <c r="AX720" s="9">
        <f t="shared" ref="AX720:AY720" si="2254">AM720/$AF720</f>
        <v>1</v>
      </c>
      <c r="AY720" s="9">
        <f t="shared" si="2254"/>
        <v>0.65</v>
      </c>
      <c r="AZ720" s="9">
        <f>VLOOKUP(A720,Jogos!A:BN,58,0)</f>
        <v>31.16</v>
      </c>
      <c r="BA720" s="9">
        <f>VLOOKUP(A720,Jogos!A:BN,59,0)</f>
        <v>20.83</v>
      </c>
      <c r="BB720" s="9">
        <f>VLOOKUP(A720,Jogos!A:BN,60,0)</f>
        <v>54</v>
      </c>
      <c r="BC720" s="9">
        <f>VLOOKUP(A720,Jogos!A:BN,61,0)</f>
        <v>32.325</v>
      </c>
      <c r="BD720" s="9">
        <f>VLOOKUP(A720,Jogos!A:BN,62,0)</f>
        <v>934.35</v>
      </c>
      <c r="BE720" s="9">
        <f>VLOOKUP(A720,Jogos!A:BN,63,0)</f>
        <v>2.155</v>
      </c>
      <c r="BF720" s="9">
        <f>VLOOKUP(A720,Jogos!A:BN,64,0)</f>
        <v>25.065</v>
      </c>
      <c r="BG720" s="9">
        <f>VLOOKUP(A720,Jogos!A:BN,65,0)</f>
        <v>45.16</v>
      </c>
      <c r="BH720" s="9">
        <f>VLOOKUP(A720,Jogos!A:BN,66,0)</f>
        <v>29.69</v>
      </c>
      <c r="BI720" s="9"/>
      <c r="BJ720" s="9"/>
    </row>
    <row r="721" hidden="1">
      <c r="A721" s="2">
        <v>25.0</v>
      </c>
      <c r="B721" s="11" t="s">
        <v>562</v>
      </c>
      <c r="C721" s="2" t="s">
        <v>61</v>
      </c>
      <c r="D721" s="3">
        <v>45829.0</v>
      </c>
      <c r="E721" s="4">
        <v>0.5</v>
      </c>
      <c r="F721" s="5" t="str">
        <f>VLOOKUP(A721,Jogos!A:N,10,0)</f>
        <v>Afternoon</v>
      </c>
      <c r="G721" s="2" t="s">
        <v>122</v>
      </c>
      <c r="H721" s="6" t="str">
        <f>VLOOKUP(A721,Jogos!A:L,12,0)</f>
        <v>Open</v>
      </c>
      <c r="I721" s="6" t="str">
        <f>VLOOKUP(G721,'Estádios e Cidades'!A:B,2,0)</f>
        <v>Cincinnati</v>
      </c>
      <c r="J721" s="2" t="s">
        <v>688</v>
      </c>
      <c r="K721" s="2" t="str">
        <f>VLOOKUP(J721,Equipes!A:F,6,0)</f>
        <v>Tropical</v>
      </c>
      <c r="L721" s="2">
        <f>VLOOKUP(J721,Equipes!A:C,3,0)</f>
        <v>18</v>
      </c>
      <c r="M721" s="2" t="str">
        <f t="shared" si="4"/>
        <v>Group</v>
      </c>
      <c r="N721" s="2" t="s">
        <v>564</v>
      </c>
      <c r="O721" s="2">
        <f>VLOOKUP(N721,Equipes!A:C,3,0)</f>
        <v>5</v>
      </c>
      <c r="P721" s="2" t="str">
        <f t="shared" si="5"/>
        <v>Quarter-final</v>
      </c>
      <c r="Q721" s="2">
        <f t="shared" si="6"/>
        <v>13</v>
      </c>
      <c r="R721" s="2" t="str">
        <f>VLOOKUP(J721,Equipes!A:B,2,0)</f>
        <v>Mamelodi</v>
      </c>
      <c r="S721" s="6" t="s">
        <v>741</v>
      </c>
      <c r="T721" s="7">
        <v>17.0</v>
      </c>
      <c r="U721" s="7" t="s">
        <v>742</v>
      </c>
      <c r="V721" s="7" t="str">
        <f>VLOOKUP(U721,Jogadores!B:C,2,0)</f>
        <v>FW</v>
      </c>
      <c r="W721" s="8">
        <f>VLOOKUP(U721,Jogadores!B:D,3,0)</f>
        <v>24.89041096</v>
      </c>
      <c r="X721" s="7">
        <v>0.0</v>
      </c>
      <c r="Y721" s="7">
        <v>69.0</v>
      </c>
      <c r="Z721" s="7">
        <f>VLOOKUP(A721,Jogos!A:L,3,0)</f>
        <v>48</v>
      </c>
      <c r="AA721" s="7">
        <f t="shared" si="2229"/>
        <v>48</v>
      </c>
      <c r="AB721" s="7">
        <f>VLOOKUP(A721,Jogos!A:L,4,0)</f>
        <v>51</v>
      </c>
      <c r="AC721" s="7">
        <f t="shared" si="2230"/>
        <v>24</v>
      </c>
      <c r="AD721" s="7"/>
      <c r="AE721" s="7"/>
      <c r="AF721" s="7">
        <f t="shared" si="2231"/>
        <v>72</v>
      </c>
      <c r="AG721" s="7">
        <v>7692.3</v>
      </c>
      <c r="AH721" s="7">
        <v>2879.2</v>
      </c>
      <c r="AI721" s="7">
        <v>2883.0</v>
      </c>
      <c r="AJ721" s="7">
        <v>933.6</v>
      </c>
      <c r="AK721" s="7">
        <v>542.7</v>
      </c>
      <c r="AL721" s="7">
        <v>453.7</v>
      </c>
      <c r="AM721" s="7">
        <v>82.0</v>
      </c>
      <c r="AN721" s="7">
        <v>49.0</v>
      </c>
      <c r="AO721" s="7">
        <v>33.9</v>
      </c>
      <c r="AP721" s="9">
        <f t="shared" ref="AP721:AR721" si="2255">AG721/$AF721</f>
        <v>106.8375</v>
      </c>
      <c r="AQ721" s="9">
        <f t="shared" si="2255"/>
        <v>39.98888889</v>
      </c>
      <c r="AR721" s="9">
        <f t="shared" si="2255"/>
        <v>40.04166667</v>
      </c>
      <c r="AS721" s="9">
        <f t="shared" si="2233"/>
        <v>80.03055556</v>
      </c>
      <c r="AT721" s="9">
        <f t="shared" ref="AT721:AV721" si="2256">AJ721/$AF721</f>
        <v>12.96666667</v>
      </c>
      <c r="AU721" s="9">
        <f t="shared" si="2256"/>
        <v>7.5375</v>
      </c>
      <c r="AV721" s="9">
        <f t="shared" si="2256"/>
        <v>6.301388889</v>
      </c>
      <c r="AW721" s="9">
        <f t="shared" si="2235"/>
        <v>13.83888889</v>
      </c>
      <c r="AX721" s="9">
        <f t="shared" ref="AX721:AY721" si="2257">AM721/$AF721</f>
        <v>1.138888889</v>
      </c>
      <c r="AY721" s="9">
        <f t="shared" si="2257"/>
        <v>0.6805555556</v>
      </c>
      <c r="AZ721" s="9">
        <f>VLOOKUP(A721,Jogos!A:BN,58,0)</f>
        <v>31.16</v>
      </c>
      <c r="BA721" s="9">
        <f>VLOOKUP(A721,Jogos!A:BN,59,0)</f>
        <v>20.83</v>
      </c>
      <c r="BB721" s="9">
        <f>VLOOKUP(A721,Jogos!A:BN,60,0)</f>
        <v>54</v>
      </c>
      <c r="BC721" s="9">
        <f>VLOOKUP(A721,Jogos!A:BN,61,0)</f>
        <v>32.325</v>
      </c>
      <c r="BD721" s="9">
        <f>VLOOKUP(A721,Jogos!A:BN,62,0)</f>
        <v>934.35</v>
      </c>
      <c r="BE721" s="9">
        <f>VLOOKUP(A721,Jogos!A:BN,63,0)</f>
        <v>2.155</v>
      </c>
      <c r="BF721" s="9">
        <f>VLOOKUP(A721,Jogos!A:BN,64,0)</f>
        <v>25.065</v>
      </c>
      <c r="BG721" s="9">
        <f>VLOOKUP(A721,Jogos!A:BN,65,0)</f>
        <v>45.16</v>
      </c>
      <c r="BH721" s="9">
        <f>VLOOKUP(A721,Jogos!A:BN,66,0)</f>
        <v>29.69</v>
      </c>
      <c r="BI721" s="9"/>
      <c r="BJ721" s="9"/>
    </row>
    <row r="722" hidden="1">
      <c r="A722" s="2">
        <v>25.0</v>
      </c>
      <c r="B722" s="11" t="s">
        <v>562</v>
      </c>
      <c r="C722" s="2" t="s">
        <v>61</v>
      </c>
      <c r="D722" s="3">
        <v>45829.0</v>
      </c>
      <c r="E722" s="4">
        <v>0.5</v>
      </c>
      <c r="F722" s="5" t="str">
        <f>VLOOKUP(A722,Jogos!A:N,10,0)</f>
        <v>Afternoon</v>
      </c>
      <c r="G722" s="2" t="s">
        <v>122</v>
      </c>
      <c r="H722" s="6" t="str">
        <f>VLOOKUP(A722,Jogos!A:L,12,0)</f>
        <v>Open</v>
      </c>
      <c r="I722" s="6" t="str">
        <f>VLOOKUP(G722,'Estádios e Cidades'!A:B,2,0)</f>
        <v>Cincinnati</v>
      </c>
      <c r="J722" s="2" t="s">
        <v>688</v>
      </c>
      <c r="K722" s="2" t="str">
        <f>VLOOKUP(J722,Equipes!A:F,6,0)</f>
        <v>Tropical</v>
      </c>
      <c r="L722" s="2">
        <f>VLOOKUP(J722,Equipes!A:C,3,0)</f>
        <v>18</v>
      </c>
      <c r="M722" s="2" t="str">
        <f t="shared" si="4"/>
        <v>Group</v>
      </c>
      <c r="N722" s="2" t="s">
        <v>564</v>
      </c>
      <c r="O722" s="2">
        <f>VLOOKUP(N722,Equipes!A:C,3,0)</f>
        <v>5</v>
      </c>
      <c r="P722" s="2" t="str">
        <f t="shared" si="5"/>
        <v>Quarter-final</v>
      </c>
      <c r="Q722" s="2">
        <f t="shared" si="6"/>
        <v>13</v>
      </c>
      <c r="R722" s="2" t="str">
        <f>VLOOKUP(J722,Equipes!A:B,2,0)</f>
        <v>Mamelodi</v>
      </c>
      <c r="S722" s="6" t="s">
        <v>727</v>
      </c>
      <c r="T722" s="7">
        <v>18.0</v>
      </c>
      <c r="U722" s="7" t="s">
        <v>728</v>
      </c>
      <c r="V722" s="7" t="str">
        <f>VLOOKUP(U722,Jogadores!B:C,2,0)</f>
        <v>MF</v>
      </c>
      <c r="W722" s="8">
        <f>VLOOKUP(U722,Jogadores!B:D,3,0)</f>
        <v>36.00821918</v>
      </c>
      <c r="X722" s="7">
        <v>0.0</v>
      </c>
      <c r="Y722" s="7">
        <v>86.0</v>
      </c>
      <c r="Z722" s="7">
        <f>VLOOKUP(A722,Jogos!A:L,3,0)</f>
        <v>48</v>
      </c>
      <c r="AA722" s="7">
        <f t="shared" si="2229"/>
        <v>48</v>
      </c>
      <c r="AB722" s="7">
        <f>VLOOKUP(A722,Jogos!A:L,4,0)</f>
        <v>51</v>
      </c>
      <c r="AC722" s="7">
        <f t="shared" si="2230"/>
        <v>41</v>
      </c>
      <c r="AD722" s="7"/>
      <c r="AE722" s="7"/>
      <c r="AF722" s="7">
        <f t="shared" si="2231"/>
        <v>89</v>
      </c>
      <c r="AG722" s="7">
        <v>9627.1</v>
      </c>
      <c r="AH722" s="7">
        <v>3287.9</v>
      </c>
      <c r="AI722" s="7">
        <v>4215.5</v>
      </c>
      <c r="AJ722" s="7">
        <v>1714.7</v>
      </c>
      <c r="AK722" s="7">
        <v>338.9</v>
      </c>
      <c r="AL722" s="7">
        <v>70.1</v>
      </c>
      <c r="AM722" s="7">
        <v>150.0</v>
      </c>
      <c r="AN722" s="7">
        <v>24.0</v>
      </c>
      <c r="AO722" s="7">
        <v>28.8</v>
      </c>
      <c r="AP722" s="9">
        <f t="shared" ref="AP722:AR722" si="2258">AG722/$AF722</f>
        <v>108.1696629</v>
      </c>
      <c r="AQ722" s="9">
        <f t="shared" si="2258"/>
        <v>36.94269663</v>
      </c>
      <c r="AR722" s="9">
        <f t="shared" si="2258"/>
        <v>47.36516854</v>
      </c>
      <c r="AS722" s="9">
        <f t="shared" si="2233"/>
        <v>84.30786517</v>
      </c>
      <c r="AT722" s="9">
        <f t="shared" ref="AT722:AV722" si="2259">AJ722/$AF722</f>
        <v>19.26629213</v>
      </c>
      <c r="AU722" s="9">
        <f t="shared" si="2259"/>
        <v>3.807865169</v>
      </c>
      <c r="AV722" s="9">
        <f t="shared" si="2259"/>
        <v>0.7876404494</v>
      </c>
      <c r="AW722" s="9">
        <f t="shared" si="2235"/>
        <v>4.595505618</v>
      </c>
      <c r="AX722" s="9">
        <f t="shared" ref="AX722:AY722" si="2260">AM722/$AF722</f>
        <v>1.685393258</v>
      </c>
      <c r="AY722" s="9">
        <f t="shared" si="2260"/>
        <v>0.2696629213</v>
      </c>
      <c r="AZ722" s="9">
        <f>VLOOKUP(A722,Jogos!A:BN,58,0)</f>
        <v>31.16</v>
      </c>
      <c r="BA722" s="9">
        <f>VLOOKUP(A722,Jogos!A:BN,59,0)</f>
        <v>20.83</v>
      </c>
      <c r="BB722" s="9">
        <f>VLOOKUP(A722,Jogos!A:BN,60,0)</f>
        <v>54</v>
      </c>
      <c r="BC722" s="9">
        <f>VLOOKUP(A722,Jogos!A:BN,61,0)</f>
        <v>32.325</v>
      </c>
      <c r="BD722" s="9">
        <f>VLOOKUP(A722,Jogos!A:BN,62,0)</f>
        <v>934.35</v>
      </c>
      <c r="BE722" s="9">
        <f>VLOOKUP(A722,Jogos!A:BN,63,0)</f>
        <v>2.155</v>
      </c>
      <c r="BF722" s="9">
        <f>VLOOKUP(A722,Jogos!A:BN,64,0)</f>
        <v>25.065</v>
      </c>
      <c r="BG722" s="9">
        <f>VLOOKUP(A722,Jogos!A:BN,65,0)</f>
        <v>45.16</v>
      </c>
      <c r="BH722" s="9">
        <f>VLOOKUP(A722,Jogos!A:BN,66,0)</f>
        <v>29.69</v>
      </c>
      <c r="BI722" s="9"/>
      <c r="BJ722" s="9"/>
    </row>
    <row r="723" hidden="1">
      <c r="A723" s="2">
        <v>25.0</v>
      </c>
      <c r="B723" s="11" t="s">
        <v>562</v>
      </c>
      <c r="C723" s="2" t="s">
        <v>61</v>
      </c>
      <c r="D723" s="3">
        <v>45829.0</v>
      </c>
      <c r="E723" s="4">
        <v>0.5</v>
      </c>
      <c r="F723" s="5" t="str">
        <f>VLOOKUP(A723,Jogos!A:N,10,0)</f>
        <v>Afternoon</v>
      </c>
      <c r="G723" s="2" t="s">
        <v>122</v>
      </c>
      <c r="H723" s="6" t="str">
        <f>VLOOKUP(A723,Jogos!A:L,12,0)</f>
        <v>Open</v>
      </c>
      <c r="I723" s="6" t="str">
        <f>VLOOKUP(G723,'Estádios e Cidades'!A:B,2,0)</f>
        <v>Cincinnati</v>
      </c>
      <c r="J723" s="2" t="s">
        <v>688</v>
      </c>
      <c r="K723" s="2" t="str">
        <f>VLOOKUP(J723,Equipes!A:F,6,0)</f>
        <v>Tropical</v>
      </c>
      <c r="L723" s="2">
        <f>VLOOKUP(J723,Equipes!A:C,3,0)</f>
        <v>18</v>
      </c>
      <c r="M723" s="2" t="str">
        <f t="shared" si="4"/>
        <v>Group</v>
      </c>
      <c r="N723" s="2" t="s">
        <v>564</v>
      </c>
      <c r="O723" s="2">
        <f>VLOOKUP(N723,Equipes!A:C,3,0)</f>
        <v>5</v>
      </c>
      <c r="P723" s="2" t="str">
        <f t="shared" si="5"/>
        <v>Quarter-final</v>
      </c>
      <c r="Q723" s="2">
        <f t="shared" si="6"/>
        <v>13</v>
      </c>
      <c r="R723" s="2" t="str">
        <f>VLOOKUP(J723,Equipes!A:B,2,0)</f>
        <v>Mamelodi</v>
      </c>
      <c r="S723" s="6" t="s">
        <v>729</v>
      </c>
      <c r="T723" s="7">
        <v>20.0</v>
      </c>
      <c r="U723" s="7" t="s">
        <v>730</v>
      </c>
      <c r="V723" s="7" t="str">
        <f>VLOOKUP(U723,Jogadores!B:C,2,0)</f>
        <v>DF</v>
      </c>
      <c r="W723" s="8">
        <f>VLOOKUP(U723,Jogadores!B:D,3,0)</f>
        <v>32.76164384</v>
      </c>
      <c r="X723" s="7">
        <v>0.0</v>
      </c>
      <c r="Y723" s="7">
        <f t="shared" ref="Y723:Y734" si="2264">45+AB723</f>
        <v>96</v>
      </c>
      <c r="Z723" s="7">
        <f>VLOOKUP(A723,Jogos!A:L,3,0)</f>
        <v>48</v>
      </c>
      <c r="AA723" s="7">
        <f t="shared" si="2229"/>
        <v>48</v>
      </c>
      <c r="AB723" s="7">
        <f>VLOOKUP(A723,Jogos!A:L,4,0)</f>
        <v>51</v>
      </c>
      <c r="AC723" s="7">
        <f t="shared" si="2230"/>
        <v>51</v>
      </c>
      <c r="AD723" s="7"/>
      <c r="AE723" s="7"/>
      <c r="AF723" s="7">
        <f t="shared" si="2231"/>
        <v>99</v>
      </c>
      <c r="AG723" s="7">
        <v>9282.9</v>
      </c>
      <c r="AH723" s="7">
        <v>3787.1</v>
      </c>
      <c r="AI723" s="7">
        <v>4002.5</v>
      </c>
      <c r="AJ723" s="7">
        <v>1089.2</v>
      </c>
      <c r="AK723" s="7">
        <v>298.9</v>
      </c>
      <c r="AL723" s="7">
        <v>105.3</v>
      </c>
      <c r="AM723" s="7">
        <v>94.0</v>
      </c>
      <c r="AN723" s="7">
        <v>28.0</v>
      </c>
      <c r="AO723" s="7">
        <v>30.8</v>
      </c>
      <c r="AP723" s="9">
        <f t="shared" ref="AP723:AR723" si="2261">AG723/$AF723</f>
        <v>93.76666667</v>
      </c>
      <c r="AQ723" s="9">
        <f t="shared" si="2261"/>
        <v>38.25353535</v>
      </c>
      <c r="AR723" s="9">
        <f t="shared" si="2261"/>
        <v>40.42929293</v>
      </c>
      <c r="AS723" s="9">
        <f t="shared" si="2233"/>
        <v>78.68282828</v>
      </c>
      <c r="AT723" s="9">
        <f t="shared" ref="AT723:AV723" si="2262">AJ723/$AF723</f>
        <v>11.0020202</v>
      </c>
      <c r="AU723" s="9">
        <f t="shared" si="2262"/>
        <v>3.019191919</v>
      </c>
      <c r="AV723" s="9">
        <f t="shared" si="2262"/>
        <v>1.063636364</v>
      </c>
      <c r="AW723" s="9">
        <f t="shared" si="2235"/>
        <v>4.082828283</v>
      </c>
      <c r="AX723" s="9">
        <f t="shared" ref="AX723:AY723" si="2263">AM723/$AF723</f>
        <v>0.9494949495</v>
      </c>
      <c r="AY723" s="9">
        <f t="shared" si="2263"/>
        <v>0.2828282828</v>
      </c>
      <c r="AZ723" s="9">
        <f>VLOOKUP(A723,Jogos!A:BN,58,0)</f>
        <v>31.16</v>
      </c>
      <c r="BA723" s="9">
        <f>VLOOKUP(A723,Jogos!A:BN,59,0)</f>
        <v>20.83</v>
      </c>
      <c r="BB723" s="9">
        <f>VLOOKUP(A723,Jogos!A:BN,60,0)</f>
        <v>54</v>
      </c>
      <c r="BC723" s="9">
        <f>VLOOKUP(A723,Jogos!A:BN,61,0)</f>
        <v>32.325</v>
      </c>
      <c r="BD723" s="9">
        <f>VLOOKUP(A723,Jogos!A:BN,62,0)</f>
        <v>934.35</v>
      </c>
      <c r="BE723" s="9">
        <f>VLOOKUP(A723,Jogos!A:BN,63,0)</f>
        <v>2.155</v>
      </c>
      <c r="BF723" s="9">
        <f>VLOOKUP(A723,Jogos!A:BN,64,0)</f>
        <v>25.065</v>
      </c>
      <c r="BG723" s="9">
        <f>VLOOKUP(A723,Jogos!A:BN,65,0)</f>
        <v>45.16</v>
      </c>
      <c r="BH723" s="9">
        <f>VLOOKUP(A723,Jogos!A:BN,66,0)</f>
        <v>29.69</v>
      </c>
      <c r="BI723" s="9"/>
      <c r="BJ723" s="9"/>
    </row>
    <row r="724" hidden="1">
      <c r="A724" s="2">
        <v>25.0</v>
      </c>
      <c r="B724" s="11" t="s">
        <v>562</v>
      </c>
      <c r="C724" s="2" t="s">
        <v>61</v>
      </c>
      <c r="D724" s="3">
        <v>45829.0</v>
      </c>
      <c r="E724" s="4">
        <v>0.5</v>
      </c>
      <c r="F724" s="5" t="str">
        <f>VLOOKUP(A724,Jogos!A:N,10,0)</f>
        <v>Afternoon</v>
      </c>
      <c r="G724" s="2" t="s">
        <v>122</v>
      </c>
      <c r="H724" s="6" t="str">
        <f>VLOOKUP(A724,Jogos!A:L,12,0)</f>
        <v>Open</v>
      </c>
      <c r="I724" s="6" t="str">
        <f>VLOOKUP(G724,'Estádios e Cidades'!A:B,2,0)</f>
        <v>Cincinnati</v>
      </c>
      <c r="J724" s="2" t="s">
        <v>688</v>
      </c>
      <c r="K724" s="2" t="str">
        <f>VLOOKUP(J724,Equipes!A:F,6,0)</f>
        <v>Tropical</v>
      </c>
      <c r="L724" s="2">
        <f>VLOOKUP(J724,Equipes!A:C,3,0)</f>
        <v>18</v>
      </c>
      <c r="M724" s="2" t="str">
        <f t="shared" si="4"/>
        <v>Group</v>
      </c>
      <c r="N724" s="2" t="s">
        <v>564</v>
      </c>
      <c r="O724" s="2">
        <f>VLOOKUP(N724,Equipes!A:C,3,0)</f>
        <v>5</v>
      </c>
      <c r="P724" s="2" t="str">
        <f t="shared" si="5"/>
        <v>Quarter-final</v>
      </c>
      <c r="Q724" s="2">
        <f t="shared" si="6"/>
        <v>13</v>
      </c>
      <c r="R724" s="2" t="str">
        <f>VLOOKUP(J724,Equipes!A:B,2,0)</f>
        <v>Mamelodi</v>
      </c>
      <c r="S724" s="6" t="s">
        <v>731</v>
      </c>
      <c r="T724" s="7">
        <v>24.0</v>
      </c>
      <c r="U724" s="7" t="s">
        <v>732</v>
      </c>
      <c r="V724" s="7" t="str">
        <f>VLOOKUP(U724,Jogadores!B:C,2,0)</f>
        <v>DF</v>
      </c>
      <c r="W724" s="8">
        <f>VLOOKUP(U724,Jogadores!B:D,3,0)</f>
        <v>27.55068493</v>
      </c>
      <c r="X724" s="7">
        <v>0.0</v>
      </c>
      <c r="Y724" s="7">
        <f t="shared" si="2264"/>
        <v>96</v>
      </c>
      <c r="Z724" s="7">
        <f>VLOOKUP(A724,Jogos!A:L,3,0)</f>
        <v>48</v>
      </c>
      <c r="AA724" s="7">
        <f t="shared" si="2229"/>
        <v>48</v>
      </c>
      <c r="AB724" s="7">
        <f>VLOOKUP(A724,Jogos!A:L,4,0)</f>
        <v>51</v>
      </c>
      <c r="AC724" s="7">
        <f t="shared" si="2230"/>
        <v>51</v>
      </c>
      <c r="AD724" s="7"/>
      <c r="AE724" s="7"/>
      <c r="AF724" s="7">
        <f t="shared" si="2231"/>
        <v>99</v>
      </c>
      <c r="AG724" s="7">
        <v>9331.9</v>
      </c>
      <c r="AH724" s="7">
        <v>3738.0</v>
      </c>
      <c r="AI724" s="7">
        <v>4302.7</v>
      </c>
      <c r="AJ724" s="7">
        <v>945.4</v>
      </c>
      <c r="AK724" s="7">
        <v>289.2</v>
      </c>
      <c r="AL724" s="7">
        <v>56.7</v>
      </c>
      <c r="AM724" s="7">
        <v>83.0</v>
      </c>
      <c r="AN724" s="7">
        <v>25.0</v>
      </c>
      <c r="AO724" s="7">
        <v>30.0</v>
      </c>
      <c r="AP724" s="9">
        <f t="shared" ref="AP724:AR724" si="2265">AG724/$AF724</f>
        <v>94.26161616</v>
      </c>
      <c r="AQ724" s="9">
        <f t="shared" si="2265"/>
        <v>37.75757576</v>
      </c>
      <c r="AR724" s="9">
        <f t="shared" si="2265"/>
        <v>43.46161616</v>
      </c>
      <c r="AS724" s="9">
        <f t="shared" si="2233"/>
        <v>81.21919192</v>
      </c>
      <c r="AT724" s="9">
        <f t="shared" ref="AT724:AV724" si="2266">AJ724/$AF724</f>
        <v>9.549494949</v>
      </c>
      <c r="AU724" s="9">
        <f t="shared" si="2266"/>
        <v>2.921212121</v>
      </c>
      <c r="AV724" s="9">
        <f t="shared" si="2266"/>
        <v>0.5727272727</v>
      </c>
      <c r="AW724" s="9">
        <f t="shared" si="2235"/>
        <v>3.493939394</v>
      </c>
      <c r="AX724" s="9">
        <f t="shared" ref="AX724:AY724" si="2267">AM724/$AF724</f>
        <v>0.8383838384</v>
      </c>
      <c r="AY724" s="9">
        <f t="shared" si="2267"/>
        <v>0.2525252525</v>
      </c>
      <c r="AZ724" s="9">
        <f>VLOOKUP(A724,Jogos!A:BN,58,0)</f>
        <v>31.16</v>
      </c>
      <c r="BA724" s="9">
        <f>VLOOKUP(A724,Jogos!A:BN,59,0)</f>
        <v>20.83</v>
      </c>
      <c r="BB724" s="9">
        <f>VLOOKUP(A724,Jogos!A:BN,60,0)</f>
        <v>54</v>
      </c>
      <c r="BC724" s="9">
        <f>VLOOKUP(A724,Jogos!A:BN,61,0)</f>
        <v>32.325</v>
      </c>
      <c r="BD724" s="9">
        <f>VLOOKUP(A724,Jogos!A:BN,62,0)</f>
        <v>934.35</v>
      </c>
      <c r="BE724" s="9">
        <f>VLOOKUP(A724,Jogos!A:BN,63,0)</f>
        <v>2.155</v>
      </c>
      <c r="BF724" s="9">
        <f>VLOOKUP(A724,Jogos!A:BN,64,0)</f>
        <v>25.065</v>
      </c>
      <c r="BG724" s="9">
        <f>VLOOKUP(A724,Jogos!A:BN,65,0)</f>
        <v>45.16</v>
      </c>
      <c r="BH724" s="9">
        <f>VLOOKUP(A724,Jogos!A:BN,66,0)</f>
        <v>29.69</v>
      </c>
      <c r="BI724" s="9"/>
      <c r="BJ724" s="9"/>
    </row>
    <row r="725" hidden="1">
      <c r="A725" s="2">
        <v>25.0</v>
      </c>
      <c r="B725" s="11" t="s">
        <v>562</v>
      </c>
      <c r="C725" s="2" t="s">
        <v>61</v>
      </c>
      <c r="D725" s="3">
        <v>45829.0</v>
      </c>
      <c r="E725" s="4">
        <v>0.5</v>
      </c>
      <c r="F725" s="5" t="str">
        <f>VLOOKUP(A725,Jogos!A:N,10,0)</f>
        <v>Afternoon</v>
      </c>
      <c r="G725" s="2" t="s">
        <v>122</v>
      </c>
      <c r="H725" s="6" t="str">
        <f>VLOOKUP(A725,Jogos!A:L,12,0)</f>
        <v>Open</v>
      </c>
      <c r="I725" s="6" t="str">
        <f>VLOOKUP(G725,'Estádios e Cidades'!A:B,2,0)</f>
        <v>Cincinnati</v>
      </c>
      <c r="J725" s="2" t="s">
        <v>688</v>
      </c>
      <c r="K725" s="2" t="str">
        <f>VLOOKUP(J725,Equipes!A:F,6,0)</f>
        <v>Tropical</v>
      </c>
      <c r="L725" s="2">
        <f>VLOOKUP(J725,Equipes!A:C,3,0)</f>
        <v>18</v>
      </c>
      <c r="M725" s="2" t="str">
        <f t="shared" si="4"/>
        <v>Group</v>
      </c>
      <c r="N725" s="2" t="s">
        <v>564</v>
      </c>
      <c r="O725" s="2">
        <f>VLOOKUP(N725,Equipes!A:C,3,0)</f>
        <v>5</v>
      </c>
      <c r="P725" s="2" t="str">
        <f t="shared" si="5"/>
        <v>Quarter-final</v>
      </c>
      <c r="Q725" s="2">
        <f t="shared" si="6"/>
        <v>13</v>
      </c>
      <c r="R725" s="2" t="str">
        <f>VLOOKUP(J725,Equipes!A:B,2,0)</f>
        <v>Mamelodi</v>
      </c>
      <c r="S725" s="6" t="s">
        <v>733</v>
      </c>
      <c r="T725" s="7">
        <v>25.0</v>
      </c>
      <c r="U725" s="7" t="s">
        <v>734</v>
      </c>
      <c r="V725" s="7" t="str">
        <f>VLOOKUP(U725,Jogadores!B:C,2,0)</f>
        <v>DF</v>
      </c>
      <c r="W725" s="8">
        <f>VLOOKUP(U725,Jogadores!B:D,3,0)</f>
        <v>30.27671233</v>
      </c>
      <c r="X725" s="7">
        <v>0.0</v>
      </c>
      <c r="Y725" s="7">
        <f t="shared" si="2264"/>
        <v>96</v>
      </c>
      <c r="Z725" s="7">
        <f>VLOOKUP(A725,Jogos!A:L,3,0)</f>
        <v>48</v>
      </c>
      <c r="AA725" s="7">
        <f t="shared" si="2229"/>
        <v>48</v>
      </c>
      <c r="AB725" s="7">
        <f>VLOOKUP(A725,Jogos!A:L,4,0)</f>
        <v>51</v>
      </c>
      <c r="AC725" s="7">
        <f t="shared" si="2230"/>
        <v>51</v>
      </c>
      <c r="AD725" s="7"/>
      <c r="AE725" s="7"/>
      <c r="AF725" s="7">
        <f t="shared" si="2231"/>
        <v>99</v>
      </c>
      <c r="AG725" s="7">
        <v>8856.1</v>
      </c>
      <c r="AH725" s="7">
        <v>3707.9</v>
      </c>
      <c r="AI725" s="7">
        <v>3301.3</v>
      </c>
      <c r="AJ725" s="7">
        <v>1083.1</v>
      </c>
      <c r="AK725" s="7">
        <v>509.9</v>
      </c>
      <c r="AL725" s="7">
        <v>253.9</v>
      </c>
      <c r="AM725" s="7">
        <v>100.0</v>
      </c>
      <c r="AN725" s="7">
        <v>47.0</v>
      </c>
      <c r="AO725" s="7">
        <v>33.2</v>
      </c>
      <c r="AP725" s="9">
        <f t="shared" ref="AP725:AR725" si="2268">AG725/$AF725</f>
        <v>89.45555556</v>
      </c>
      <c r="AQ725" s="9">
        <f t="shared" si="2268"/>
        <v>37.45353535</v>
      </c>
      <c r="AR725" s="9">
        <f t="shared" si="2268"/>
        <v>33.34646465</v>
      </c>
      <c r="AS725" s="9">
        <f t="shared" si="2233"/>
        <v>70.8</v>
      </c>
      <c r="AT725" s="9">
        <f t="shared" ref="AT725:AV725" si="2269">AJ725/$AF725</f>
        <v>10.94040404</v>
      </c>
      <c r="AU725" s="9">
        <f t="shared" si="2269"/>
        <v>5.150505051</v>
      </c>
      <c r="AV725" s="9">
        <f t="shared" si="2269"/>
        <v>2.564646465</v>
      </c>
      <c r="AW725" s="9">
        <f t="shared" si="2235"/>
        <v>7.715151515</v>
      </c>
      <c r="AX725" s="9">
        <f t="shared" ref="AX725:AY725" si="2270">AM725/$AF725</f>
        <v>1.01010101</v>
      </c>
      <c r="AY725" s="9">
        <f t="shared" si="2270"/>
        <v>0.4747474747</v>
      </c>
      <c r="AZ725" s="9">
        <f>VLOOKUP(A725,Jogos!A:BN,58,0)</f>
        <v>31.16</v>
      </c>
      <c r="BA725" s="9">
        <f>VLOOKUP(A725,Jogos!A:BN,59,0)</f>
        <v>20.83</v>
      </c>
      <c r="BB725" s="9">
        <f>VLOOKUP(A725,Jogos!A:BN,60,0)</f>
        <v>54</v>
      </c>
      <c r="BC725" s="9">
        <f>VLOOKUP(A725,Jogos!A:BN,61,0)</f>
        <v>32.325</v>
      </c>
      <c r="BD725" s="9">
        <f>VLOOKUP(A725,Jogos!A:BN,62,0)</f>
        <v>934.35</v>
      </c>
      <c r="BE725" s="9">
        <f>VLOOKUP(A725,Jogos!A:BN,63,0)</f>
        <v>2.155</v>
      </c>
      <c r="BF725" s="9">
        <f>VLOOKUP(A725,Jogos!A:BN,64,0)</f>
        <v>25.065</v>
      </c>
      <c r="BG725" s="9">
        <f>VLOOKUP(A725,Jogos!A:BN,65,0)</f>
        <v>45.16</v>
      </c>
      <c r="BH725" s="9">
        <f>VLOOKUP(A725,Jogos!A:BN,66,0)</f>
        <v>29.69</v>
      </c>
      <c r="BI725" s="9"/>
      <c r="BJ725" s="9"/>
    </row>
    <row r="726" hidden="1">
      <c r="A726" s="2">
        <v>25.0</v>
      </c>
      <c r="B726" s="11" t="s">
        <v>562</v>
      </c>
      <c r="C726" s="2" t="s">
        <v>61</v>
      </c>
      <c r="D726" s="3">
        <v>45829.0</v>
      </c>
      <c r="E726" s="4">
        <v>0.5</v>
      </c>
      <c r="F726" s="5" t="str">
        <f>VLOOKUP(A726,Jogos!A:N,10,0)</f>
        <v>Afternoon</v>
      </c>
      <c r="G726" s="2" t="s">
        <v>122</v>
      </c>
      <c r="H726" s="6" t="str">
        <f>VLOOKUP(A726,Jogos!A:L,12,0)</f>
        <v>Open</v>
      </c>
      <c r="I726" s="6" t="str">
        <f>VLOOKUP(G726,'Estádios e Cidades'!A:B,2,0)</f>
        <v>Cincinnati</v>
      </c>
      <c r="J726" s="2" t="s">
        <v>688</v>
      </c>
      <c r="K726" s="2" t="str">
        <f>VLOOKUP(J726,Equipes!A:F,6,0)</f>
        <v>Tropical</v>
      </c>
      <c r="L726" s="2">
        <f>VLOOKUP(J726,Equipes!A:C,3,0)</f>
        <v>18</v>
      </c>
      <c r="M726" s="2" t="str">
        <f t="shared" si="4"/>
        <v>Group</v>
      </c>
      <c r="N726" s="2" t="s">
        <v>564</v>
      </c>
      <c r="O726" s="2">
        <f>VLOOKUP(N726,Equipes!A:C,3,0)</f>
        <v>5</v>
      </c>
      <c r="P726" s="2" t="str">
        <f t="shared" si="5"/>
        <v>Quarter-final</v>
      </c>
      <c r="Q726" s="2">
        <f t="shared" si="6"/>
        <v>13</v>
      </c>
      <c r="R726" s="2" t="str">
        <f>VLOOKUP(J726,Equipes!A:B,2,0)</f>
        <v>Mamelodi</v>
      </c>
      <c r="S726" s="6" t="s">
        <v>735</v>
      </c>
      <c r="T726" s="7">
        <v>29.0</v>
      </c>
      <c r="U726" s="7" t="s">
        <v>736</v>
      </c>
      <c r="V726" s="7" t="str">
        <f>VLOOKUP(U726,Jogadores!B:C,2,0)</f>
        <v>DF</v>
      </c>
      <c r="W726" s="8">
        <f>VLOOKUP(U726,Jogadores!B:D,3,0)</f>
        <v>30.1890411</v>
      </c>
      <c r="X726" s="7">
        <v>0.0</v>
      </c>
      <c r="Y726" s="7">
        <f t="shared" si="2264"/>
        <v>96</v>
      </c>
      <c r="Z726" s="7">
        <f>VLOOKUP(A726,Jogos!A:L,3,0)</f>
        <v>48</v>
      </c>
      <c r="AA726" s="7">
        <f t="shared" si="2229"/>
        <v>48</v>
      </c>
      <c r="AB726" s="7">
        <f>VLOOKUP(A726,Jogos!A:L,4,0)</f>
        <v>51</v>
      </c>
      <c r="AC726" s="7">
        <f t="shared" si="2230"/>
        <v>51</v>
      </c>
      <c r="AD726" s="7"/>
      <c r="AE726" s="7"/>
      <c r="AF726" s="7">
        <f t="shared" si="2231"/>
        <v>99</v>
      </c>
      <c r="AG726" s="7">
        <v>9003.2</v>
      </c>
      <c r="AH726" s="7">
        <v>3892.8</v>
      </c>
      <c r="AI726" s="7">
        <v>3241.7</v>
      </c>
      <c r="AJ726" s="7">
        <v>1184.9</v>
      </c>
      <c r="AK726" s="7">
        <v>501.0</v>
      </c>
      <c r="AL726" s="7">
        <v>182.8</v>
      </c>
      <c r="AM726" s="7">
        <v>99.0</v>
      </c>
      <c r="AN726" s="7">
        <v>42.0</v>
      </c>
      <c r="AO726" s="7">
        <v>31.3</v>
      </c>
      <c r="AP726" s="9">
        <f t="shared" ref="AP726:AR726" si="2271">AG726/$AF726</f>
        <v>90.94141414</v>
      </c>
      <c r="AQ726" s="9">
        <f t="shared" si="2271"/>
        <v>39.32121212</v>
      </c>
      <c r="AR726" s="9">
        <f t="shared" si="2271"/>
        <v>32.74444444</v>
      </c>
      <c r="AS726" s="9">
        <f t="shared" si="2233"/>
        <v>72.06565657</v>
      </c>
      <c r="AT726" s="9">
        <f t="shared" ref="AT726:AV726" si="2272">AJ726/$AF726</f>
        <v>11.96868687</v>
      </c>
      <c r="AU726" s="9">
        <f t="shared" si="2272"/>
        <v>5.060606061</v>
      </c>
      <c r="AV726" s="9">
        <f t="shared" si="2272"/>
        <v>1.846464646</v>
      </c>
      <c r="AW726" s="9">
        <f t="shared" si="2235"/>
        <v>6.907070707</v>
      </c>
      <c r="AX726" s="9">
        <f t="shared" ref="AX726:AY726" si="2273">AM726/$AF726</f>
        <v>1</v>
      </c>
      <c r="AY726" s="9">
        <f t="shared" si="2273"/>
        <v>0.4242424242</v>
      </c>
      <c r="AZ726" s="9">
        <f>VLOOKUP(A726,Jogos!A:BN,58,0)</f>
        <v>31.16</v>
      </c>
      <c r="BA726" s="9">
        <f>VLOOKUP(A726,Jogos!A:BN,59,0)</f>
        <v>20.83</v>
      </c>
      <c r="BB726" s="9">
        <f>VLOOKUP(A726,Jogos!A:BN,60,0)</f>
        <v>54</v>
      </c>
      <c r="BC726" s="9">
        <f>VLOOKUP(A726,Jogos!A:BN,61,0)</f>
        <v>32.325</v>
      </c>
      <c r="BD726" s="9">
        <f>VLOOKUP(A726,Jogos!A:BN,62,0)</f>
        <v>934.35</v>
      </c>
      <c r="BE726" s="9">
        <f>VLOOKUP(A726,Jogos!A:BN,63,0)</f>
        <v>2.155</v>
      </c>
      <c r="BF726" s="9">
        <f>VLOOKUP(A726,Jogos!A:BN,64,0)</f>
        <v>25.065</v>
      </c>
      <c r="BG726" s="9">
        <f>VLOOKUP(A726,Jogos!A:BN,65,0)</f>
        <v>45.16</v>
      </c>
      <c r="BH726" s="9">
        <f>VLOOKUP(A726,Jogos!A:BN,66,0)</f>
        <v>29.69</v>
      </c>
      <c r="BI726" s="9"/>
      <c r="BJ726" s="9"/>
    </row>
    <row r="727" hidden="1">
      <c r="A727" s="2">
        <v>25.0</v>
      </c>
      <c r="B727" s="11" t="s">
        <v>562</v>
      </c>
      <c r="C727" s="2" t="s">
        <v>61</v>
      </c>
      <c r="D727" s="3">
        <v>45829.0</v>
      </c>
      <c r="E727" s="4">
        <v>0.5</v>
      </c>
      <c r="F727" s="5" t="str">
        <f>VLOOKUP(A727,Jogos!A:N,10,0)</f>
        <v>Afternoon</v>
      </c>
      <c r="G727" s="2" t="s">
        <v>122</v>
      </c>
      <c r="H727" s="6" t="str">
        <f>VLOOKUP(A727,Jogos!A:L,12,0)</f>
        <v>Open</v>
      </c>
      <c r="I727" s="6" t="str">
        <f>VLOOKUP(G727,'Estádios e Cidades'!A:B,2,0)</f>
        <v>Cincinnati</v>
      </c>
      <c r="J727" s="2" t="s">
        <v>688</v>
      </c>
      <c r="K727" s="2" t="str">
        <f>VLOOKUP(J727,Equipes!A:F,6,0)</f>
        <v>Tropical</v>
      </c>
      <c r="L727" s="2">
        <f>VLOOKUP(J727,Equipes!A:C,3,0)</f>
        <v>18</v>
      </c>
      <c r="M727" s="2" t="str">
        <f t="shared" si="4"/>
        <v>Group</v>
      </c>
      <c r="N727" s="2" t="s">
        <v>564</v>
      </c>
      <c r="O727" s="2">
        <f>VLOOKUP(N727,Equipes!A:C,3,0)</f>
        <v>5</v>
      </c>
      <c r="P727" s="2" t="str">
        <f t="shared" si="5"/>
        <v>Quarter-final</v>
      </c>
      <c r="Q727" s="2">
        <f t="shared" si="6"/>
        <v>13</v>
      </c>
      <c r="R727" s="2" t="str">
        <f>VLOOKUP(J727,Equipes!A:B,2,0)</f>
        <v>Mamelodi</v>
      </c>
      <c r="S727" s="6" t="s">
        <v>737</v>
      </c>
      <c r="T727" s="7">
        <v>8.0</v>
      </c>
      <c r="U727" s="7" t="s">
        <v>738</v>
      </c>
      <c r="V727" s="7" t="str">
        <f>VLOOKUP(U727,Jogadores!B:C,2,0)</f>
        <v>MF</v>
      </c>
      <c r="W727" s="8">
        <f>VLOOKUP(U727,Jogadores!B:D,3,0)</f>
        <v>24.24657534</v>
      </c>
      <c r="X727" s="7">
        <v>69.0</v>
      </c>
      <c r="Y727" s="7">
        <f t="shared" si="2264"/>
        <v>96</v>
      </c>
      <c r="Z727" s="7">
        <f>VLOOKUP(A727,Jogos!A:L,3,0)</f>
        <v>48</v>
      </c>
      <c r="AA727" s="7">
        <f t="shared" si="2229"/>
        <v>0</v>
      </c>
      <c r="AB727" s="7">
        <f>VLOOKUP(A727,Jogos!A:L,4,0)</f>
        <v>51</v>
      </c>
      <c r="AC727" s="7">
        <f t="shared" si="2230"/>
        <v>27</v>
      </c>
      <c r="AD727" s="7"/>
      <c r="AE727" s="7"/>
      <c r="AF727" s="7">
        <f t="shared" si="2231"/>
        <v>27</v>
      </c>
      <c r="AG727" s="7">
        <v>2677.2</v>
      </c>
      <c r="AH727" s="7">
        <v>1033.4</v>
      </c>
      <c r="AI727" s="7">
        <v>1237.3</v>
      </c>
      <c r="AJ727" s="7">
        <v>328.7</v>
      </c>
      <c r="AK727" s="7">
        <v>77.8</v>
      </c>
      <c r="AL727" s="7">
        <v>28.0</v>
      </c>
      <c r="AM727" s="7">
        <v>7.0</v>
      </c>
      <c r="AN727" s="7">
        <v>25.1</v>
      </c>
      <c r="AO727" s="7"/>
      <c r="AP727" s="9">
        <f t="shared" ref="AP727:AR727" si="2274">AG727/$AF727</f>
        <v>99.15555556</v>
      </c>
      <c r="AQ727" s="9">
        <f t="shared" si="2274"/>
        <v>38.27407407</v>
      </c>
      <c r="AR727" s="9">
        <f t="shared" si="2274"/>
        <v>45.82592593</v>
      </c>
      <c r="AS727" s="9">
        <f t="shared" si="2233"/>
        <v>84.1</v>
      </c>
      <c r="AT727" s="9">
        <f t="shared" ref="AT727:AV727" si="2275">AJ727/$AF727</f>
        <v>12.17407407</v>
      </c>
      <c r="AU727" s="9">
        <f t="shared" si="2275"/>
        <v>2.881481481</v>
      </c>
      <c r="AV727" s="9">
        <f t="shared" si="2275"/>
        <v>1.037037037</v>
      </c>
      <c r="AW727" s="9">
        <f t="shared" si="2235"/>
        <v>3.918518519</v>
      </c>
      <c r="AX727" s="9">
        <f t="shared" ref="AX727:AY727" si="2276">AM727/$AF727</f>
        <v>0.2592592593</v>
      </c>
      <c r="AY727" s="9">
        <f t="shared" si="2276"/>
        <v>0.9296296296</v>
      </c>
      <c r="AZ727" s="9">
        <f>VLOOKUP(A727,Jogos!A:BN,58,0)</f>
        <v>31.16</v>
      </c>
      <c r="BA727" s="9">
        <f>VLOOKUP(A727,Jogos!A:BN,59,0)</f>
        <v>20.83</v>
      </c>
      <c r="BB727" s="9">
        <f>VLOOKUP(A727,Jogos!A:BN,60,0)</f>
        <v>54</v>
      </c>
      <c r="BC727" s="9">
        <f>VLOOKUP(A727,Jogos!A:BN,61,0)</f>
        <v>32.325</v>
      </c>
      <c r="BD727" s="9">
        <f>VLOOKUP(A727,Jogos!A:BN,62,0)</f>
        <v>934.35</v>
      </c>
      <c r="BE727" s="9">
        <f>VLOOKUP(A727,Jogos!A:BN,63,0)</f>
        <v>2.155</v>
      </c>
      <c r="BF727" s="9">
        <f>VLOOKUP(A727,Jogos!A:BN,64,0)</f>
        <v>25.065</v>
      </c>
      <c r="BG727" s="9">
        <f>VLOOKUP(A727,Jogos!A:BN,65,0)</f>
        <v>45.16</v>
      </c>
      <c r="BH727" s="9">
        <f>VLOOKUP(A727,Jogos!A:BN,66,0)</f>
        <v>29.69</v>
      </c>
      <c r="BI727" s="9"/>
      <c r="BJ727" s="9"/>
    </row>
    <row r="728" hidden="1">
      <c r="A728" s="2">
        <v>25.0</v>
      </c>
      <c r="B728" s="11" t="s">
        <v>562</v>
      </c>
      <c r="C728" s="2" t="s">
        <v>61</v>
      </c>
      <c r="D728" s="3">
        <v>45829.0</v>
      </c>
      <c r="E728" s="4">
        <v>0.5</v>
      </c>
      <c r="F728" s="5" t="str">
        <f>VLOOKUP(A728,Jogos!A:N,10,0)</f>
        <v>Afternoon</v>
      </c>
      <c r="G728" s="2" t="s">
        <v>122</v>
      </c>
      <c r="H728" s="6" t="str">
        <f>VLOOKUP(A728,Jogos!A:L,12,0)</f>
        <v>Open</v>
      </c>
      <c r="I728" s="6" t="str">
        <f>VLOOKUP(G728,'Estádios e Cidades'!A:B,2,0)</f>
        <v>Cincinnati</v>
      </c>
      <c r="J728" s="2" t="s">
        <v>688</v>
      </c>
      <c r="K728" s="2" t="str">
        <f>VLOOKUP(J728,Equipes!A:F,6,0)</f>
        <v>Tropical</v>
      </c>
      <c r="L728" s="2">
        <f>VLOOKUP(J728,Equipes!A:C,3,0)</f>
        <v>18</v>
      </c>
      <c r="M728" s="2" t="str">
        <f t="shared" si="4"/>
        <v>Group</v>
      </c>
      <c r="N728" s="2" t="s">
        <v>564</v>
      </c>
      <c r="O728" s="2">
        <f>VLOOKUP(N728,Equipes!A:C,3,0)</f>
        <v>5</v>
      </c>
      <c r="P728" s="2" t="str">
        <f t="shared" si="5"/>
        <v>Quarter-final</v>
      </c>
      <c r="Q728" s="2">
        <f t="shared" si="6"/>
        <v>13</v>
      </c>
      <c r="R728" s="2" t="str">
        <f>VLOOKUP(J728,Equipes!A:B,2,0)</f>
        <v>Mamelodi</v>
      </c>
      <c r="S728" s="6" t="s">
        <v>719</v>
      </c>
      <c r="T728" s="7">
        <v>9.0</v>
      </c>
      <c r="U728" s="7" t="s">
        <v>720</v>
      </c>
      <c r="V728" s="7" t="str">
        <f>VLOOKUP(U728,Jogadores!B:C,2,0)</f>
        <v>FW</v>
      </c>
      <c r="W728" s="8">
        <f>VLOOKUP(U728,Jogadores!B:D,3,0)</f>
        <v>23.08493151</v>
      </c>
      <c r="X728" s="7">
        <v>70.0</v>
      </c>
      <c r="Y728" s="7">
        <f t="shared" si="2264"/>
        <v>96</v>
      </c>
      <c r="Z728" s="7">
        <f>VLOOKUP(A728,Jogos!A:L,3,0)</f>
        <v>48</v>
      </c>
      <c r="AA728" s="7">
        <f t="shared" si="2229"/>
        <v>0</v>
      </c>
      <c r="AB728" s="7">
        <f>VLOOKUP(A728,Jogos!A:L,4,0)</f>
        <v>51</v>
      </c>
      <c r="AC728" s="7">
        <f t="shared" si="2230"/>
        <v>26</v>
      </c>
      <c r="AD728" s="7"/>
      <c r="AE728" s="7"/>
      <c r="AF728" s="7">
        <f t="shared" si="2231"/>
        <v>26</v>
      </c>
      <c r="AG728" s="7">
        <v>2985.5</v>
      </c>
      <c r="AH728" s="7">
        <v>1021.5</v>
      </c>
      <c r="AI728" s="7">
        <v>1311.1</v>
      </c>
      <c r="AJ728" s="7">
        <v>404.6</v>
      </c>
      <c r="AK728" s="7">
        <v>210.1</v>
      </c>
      <c r="AL728" s="7">
        <v>38.2</v>
      </c>
      <c r="AM728" s="7">
        <v>35.0</v>
      </c>
      <c r="AN728" s="7">
        <v>14.0</v>
      </c>
      <c r="AO728" s="7">
        <v>27.7</v>
      </c>
      <c r="AP728" s="9">
        <f t="shared" ref="AP728:AR728" si="2277">AG728/$AF728</f>
        <v>114.8269231</v>
      </c>
      <c r="AQ728" s="9">
        <f t="shared" si="2277"/>
        <v>39.28846154</v>
      </c>
      <c r="AR728" s="9">
        <f t="shared" si="2277"/>
        <v>50.42692308</v>
      </c>
      <c r="AS728" s="9">
        <f t="shared" si="2233"/>
        <v>89.71538462</v>
      </c>
      <c r="AT728" s="9">
        <f t="shared" ref="AT728:AV728" si="2278">AJ728/$AF728</f>
        <v>15.56153846</v>
      </c>
      <c r="AU728" s="9">
        <f t="shared" si="2278"/>
        <v>8.080769231</v>
      </c>
      <c r="AV728" s="9">
        <f t="shared" si="2278"/>
        <v>1.469230769</v>
      </c>
      <c r="AW728" s="9">
        <f t="shared" si="2235"/>
        <v>9.55</v>
      </c>
      <c r="AX728" s="9">
        <f t="shared" ref="AX728:AY728" si="2279">AM728/$AF728</f>
        <v>1.346153846</v>
      </c>
      <c r="AY728" s="9">
        <f t="shared" si="2279"/>
        <v>0.5384615385</v>
      </c>
      <c r="AZ728" s="9">
        <f>VLOOKUP(A728,Jogos!A:BN,58,0)</f>
        <v>31.16</v>
      </c>
      <c r="BA728" s="9">
        <f>VLOOKUP(A728,Jogos!A:BN,59,0)</f>
        <v>20.83</v>
      </c>
      <c r="BB728" s="9">
        <f>VLOOKUP(A728,Jogos!A:BN,60,0)</f>
        <v>54</v>
      </c>
      <c r="BC728" s="9">
        <f>VLOOKUP(A728,Jogos!A:BN,61,0)</f>
        <v>32.325</v>
      </c>
      <c r="BD728" s="9">
        <f>VLOOKUP(A728,Jogos!A:BN,62,0)</f>
        <v>934.35</v>
      </c>
      <c r="BE728" s="9">
        <f>VLOOKUP(A728,Jogos!A:BN,63,0)</f>
        <v>2.155</v>
      </c>
      <c r="BF728" s="9">
        <f>VLOOKUP(A728,Jogos!A:BN,64,0)</f>
        <v>25.065</v>
      </c>
      <c r="BG728" s="9">
        <f>VLOOKUP(A728,Jogos!A:BN,65,0)</f>
        <v>45.16</v>
      </c>
      <c r="BH728" s="9">
        <f>VLOOKUP(A728,Jogos!A:BN,66,0)</f>
        <v>29.69</v>
      </c>
      <c r="BI728" s="9"/>
      <c r="BJ728" s="9"/>
    </row>
    <row r="729" hidden="1">
      <c r="A729" s="2">
        <v>25.0</v>
      </c>
      <c r="B729" s="11" t="s">
        <v>562</v>
      </c>
      <c r="C729" s="2" t="s">
        <v>61</v>
      </c>
      <c r="D729" s="3">
        <v>45829.0</v>
      </c>
      <c r="E729" s="4">
        <v>0.5</v>
      </c>
      <c r="F729" s="5" t="str">
        <f>VLOOKUP(A729,Jogos!A:N,10,0)</f>
        <v>Afternoon</v>
      </c>
      <c r="G729" s="2" t="s">
        <v>122</v>
      </c>
      <c r="H729" s="6" t="str">
        <f>VLOOKUP(A729,Jogos!A:L,12,0)</f>
        <v>Open</v>
      </c>
      <c r="I729" s="6" t="str">
        <f>VLOOKUP(G729,'Estádios e Cidades'!A:B,2,0)</f>
        <v>Cincinnati</v>
      </c>
      <c r="J729" s="2" t="s">
        <v>688</v>
      </c>
      <c r="K729" s="2" t="str">
        <f>VLOOKUP(J729,Equipes!A:F,6,0)</f>
        <v>Tropical</v>
      </c>
      <c r="L729" s="2">
        <f>VLOOKUP(J729,Equipes!A:C,3,0)</f>
        <v>18</v>
      </c>
      <c r="M729" s="2" t="str">
        <f t="shared" si="4"/>
        <v>Group</v>
      </c>
      <c r="N729" s="2" t="s">
        <v>564</v>
      </c>
      <c r="O729" s="2">
        <f>VLOOKUP(N729,Equipes!A:C,3,0)</f>
        <v>5</v>
      </c>
      <c r="P729" s="2" t="str">
        <f t="shared" si="5"/>
        <v>Quarter-final</v>
      </c>
      <c r="Q729" s="2">
        <f t="shared" si="6"/>
        <v>13</v>
      </c>
      <c r="R729" s="2" t="str">
        <f>VLOOKUP(J729,Equipes!A:B,2,0)</f>
        <v>Mamelodi</v>
      </c>
      <c r="S729" s="6" t="s">
        <v>1152</v>
      </c>
      <c r="T729" s="7">
        <v>16.0</v>
      </c>
      <c r="U729" s="7" t="s">
        <v>1153</v>
      </c>
      <c r="V729" s="7" t="str">
        <f>VLOOKUP(U729,Jogadores!B:C,2,0)</f>
        <v>FW</v>
      </c>
      <c r="W729" s="8">
        <f>VLOOKUP(U729,Jogadores!B:D,3,0)</f>
        <v>19.35616438</v>
      </c>
      <c r="X729" s="7">
        <v>86.0</v>
      </c>
      <c r="Y729" s="7">
        <f t="shared" si="2264"/>
        <v>96</v>
      </c>
      <c r="Z729" s="7">
        <f>VLOOKUP(A729,Jogos!A:L,3,0)</f>
        <v>48</v>
      </c>
      <c r="AA729" s="7">
        <f t="shared" si="2229"/>
        <v>0</v>
      </c>
      <c r="AB729" s="7">
        <f>VLOOKUP(A729,Jogos!A:L,4,0)</f>
        <v>51</v>
      </c>
      <c r="AC729" s="7">
        <f t="shared" si="2230"/>
        <v>10</v>
      </c>
      <c r="AD729" s="7"/>
      <c r="AE729" s="7"/>
      <c r="AF729" s="7">
        <f t="shared" si="2231"/>
        <v>10</v>
      </c>
      <c r="AG729" s="7">
        <v>1267.2</v>
      </c>
      <c r="AH729" s="7">
        <v>412.8</v>
      </c>
      <c r="AI729" s="7">
        <v>521.5</v>
      </c>
      <c r="AJ729" s="7">
        <v>217.7</v>
      </c>
      <c r="AK729" s="7">
        <v>88.2</v>
      </c>
      <c r="AL729" s="7">
        <v>27.2</v>
      </c>
      <c r="AM729" s="7">
        <v>18.0</v>
      </c>
      <c r="AN729" s="7">
        <v>8.0</v>
      </c>
      <c r="AO729" s="7">
        <v>27.9</v>
      </c>
      <c r="AP729" s="9">
        <f t="shared" ref="AP729:AR729" si="2280">AG729/$AF729</f>
        <v>126.72</v>
      </c>
      <c r="AQ729" s="9">
        <f t="shared" si="2280"/>
        <v>41.28</v>
      </c>
      <c r="AR729" s="9">
        <f t="shared" si="2280"/>
        <v>52.15</v>
      </c>
      <c r="AS729" s="9">
        <f t="shared" si="2233"/>
        <v>93.43</v>
      </c>
      <c r="AT729" s="9">
        <f t="shared" ref="AT729:AV729" si="2281">AJ729/$AF729</f>
        <v>21.77</v>
      </c>
      <c r="AU729" s="9">
        <f t="shared" si="2281"/>
        <v>8.82</v>
      </c>
      <c r="AV729" s="9">
        <f t="shared" si="2281"/>
        <v>2.72</v>
      </c>
      <c r="AW729" s="9">
        <f t="shared" si="2235"/>
        <v>11.54</v>
      </c>
      <c r="AX729" s="9">
        <f t="shared" ref="AX729:AY729" si="2282">AM729/$AF729</f>
        <v>1.8</v>
      </c>
      <c r="AY729" s="9">
        <f t="shared" si="2282"/>
        <v>0.8</v>
      </c>
      <c r="AZ729" s="9">
        <f>VLOOKUP(A729,Jogos!A:BN,58,0)</f>
        <v>31.16</v>
      </c>
      <c r="BA729" s="9">
        <f>VLOOKUP(A729,Jogos!A:BN,59,0)</f>
        <v>20.83</v>
      </c>
      <c r="BB729" s="9">
        <f>VLOOKUP(A729,Jogos!A:BN,60,0)</f>
        <v>54</v>
      </c>
      <c r="BC729" s="9">
        <f>VLOOKUP(A729,Jogos!A:BN,61,0)</f>
        <v>32.325</v>
      </c>
      <c r="BD729" s="9">
        <f>VLOOKUP(A729,Jogos!A:BN,62,0)</f>
        <v>934.35</v>
      </c>
      <c r="BE729" s="9">
        <f>VLOOKUP(A729,Jogos!A:BN,63,0)</f>
        <v>2.155</v>
      </c>
      <c r="BF729" s="9">
        <f>VLOOKUP(A729,Jogos!A:BN,64,0)</f>
        <v>25.065</v>
      </c>
      <c r="BG729" s="9">
        <f>VLOOKUP(A729,Jogos!A:BN,65,0)</f>
        <v>45.16</v>
      </c>
      <c r="BH729" s="9">
        <f>VLOOKUP(A729,Jogos!A:BN,66,0)</f>
        <v>29.69</v>
      </c>
      <c r="BI729" s="9"/>
      <c r="BJ729" s="9"/>
    </row>
    <row r="730" hidden="1">
      <c r="A730" s="2">
        <v>25.0</v>
      </c>
      <c r="B730" s="11" t="s">
        <v>562</v>
      </c>
      <c r="C730" s="2" t="s">
        <v>61</v>
      </c>
      <c r="D730" s="3">
        <v>45829.0</v>
      </c>
      <c r="E730" s="4">
        <v>0.5</v>
      </c>
      <c r="F730" s="5" t="str">
        <f>VLOOKUP(A730,Jogos!A:N,10,0)</f>
        <v>Afternoon</v>
      </c>
      <c r="G730" s="2" t="s">
        <v>122</v>
      </c>
      <c r="H730" s="6" t="str">
        <f>VLOOKUP(A730,Jogos!A:L,12,0)</f>
        <v>Open</v>
      </c>
      <c r="I730" s="6" t="str">
        <f>VLOOKUP(G730,'Estádios e Cidades'!A:B,2,0)</f>
        <v>Cincinnati</v>
      </c>
      <c r="J730" s="2" t="s">
        <v>688</v>
      </c>
      <c r="K730" s="2" t="str">
        <f>VLOOKUP(J730,Equipes!A:F,6,0)</f>
        <v>Tropical</v>
      </c>
      <c r="L730" s="2">
        <f>VLOOKUP(J730,Equipes!A:C,3,0)</f>
        <v>18</v>
      </c>
      <c r="M730" s="2" t="str">
        <f t="shared" si="4"/>
        <v>Group</v>
      </c>
      <c r="N730" s="2" t="s">
        <v>564</v>
      </c>
      <c r="O730" s="2">
        <f>VLOOKUP(N730,Equipes!A:C,3,0)</f>
        <v>5</v>
      </c>
      <c r="P730" s="2" t="str">
        <f t="shared" si="5"/>
        <v>Quarter-final</v>
      </c>
      <c r="Q730" s="2">
        <f t="shared" si="6"/>
        <v>13</v>
      </c>
      <c r="R730" s="2" t="str">
        <f>VLOOKUP(J730,Equipes!A:B,2,0)</f>
        <v>Mamelodi</v>
      </c>
      <c r="S730" s="6" t="s">
        <v>1154</v>
      </c>
      <c r="T730" s="7">
        <v>27.0</v>
      </c>
      <c r="U730" s="7" t="s">
        <v>1155</v>
      </c>
      <c r="V730" s="7" t="str">
        <f>VLOOKUP(U730,Jogadores!B:C,2,0)</f>
        <v>DF</v>
      </c>
      <c r="W730" s="8">
        <f>VLOOKUP(U730,Jogadores!B:D,3,0)</f>
        <v>31.99726027</v>
      </c>
      <c r="X730" s="7">
        <v>69.0</v>
      </c>
      <c r="Y730" s="7">
        <f t="shared" si="2264"/>
        <v>96</v>
      </c>
      <c r="Z730" s="7">
        <f>VLOOKUP(A730,Jogos!A:L,3,0)</f>
        <v>48</v>
      </c>
      <c r="AA730" s="7">
        <f t="shared" si="2229"/>
        <v>0</v>
      </c>
      <c r="AB730" s="7">
        <f>VLOOKUP(A730,Jogos!A:L,4,0)</f>
        <v>51</v>
      </c>
      <c r="AC730" s="7">
        <f t="shared" si="2230"/>
        <v>27</v>
      </c>
      <c r="AD730" s="7"/>
      <c r="AE730" s="7"/>
      <c r="AF730" s="7">
        <f t="shared" si="2231"/>
        <v>27</v>
      </c>
      <c r="AG730" s="7">
        <v>2885.8</v>
      </c>
      <c r="AH730" s="7">
        <v>1155.9</v>
      </c>
      <c r="AI730" s="7">
        <v>1065.4</v>
      </c>
      <c r="AJ730" s="7">
        <v>381.2</v>
      </c>
      <c r="AK730" s="7">
        <v>189.3</v>
      </c>
      <c r="AL730" s="7">
        <v>94.0</v>
      </c>
      <c r="AM730" s="7">
        <v>31.0</v>
      </c>
      <c r="AN730" s="7">
        <v>15.0</v>
      </c>
      <c r="AO730" s="7">
        <v>31.8</v>
      </c>
      <c r="AP730" s="9">
        <f t="shared" ref="AP730:AR730" si="2283">AG730/$AF730</f>
        <v>106.8814815</v>
      </c>
      <c r="AQ730" s="9">
        <f t="shared" si="2283"/>
        <v>42.81111111</v>
      </c>
      <c r="AR730" s="9">
        <f t="shared" si="2283"/>
        <v>39.45925926</v>
      </c>
      <c r="AS730" s="9">
        <f t="shared" si="2233"/>
        <v>82.27037037</v>
      </c>
      <c r="AT730" s="9">
        <f t="shared" ref="AT730:AV730" si="2284">AJ730/$AF730</f>
        <v>14.11851852</v>
      </c>
      <c r="AU730" s="9">
        <f t="shared" si="2284"/>
        <v>7.011111111</v>
      </c>
      <c r="AV730" s="9">
        <f t="shared" si="2284"/>
        <v>3.481481481</v>
      </c>
      <c r="AW730" s="9">
        <f t="shared" si="2235"/>
        <v>10.49259259</v>
      </c>
      <c r="AX730" s="9">
        <f t="shared" ref="AX730:AY730" si="2285">AM730/$AF730</f>
        <v>1.148148148</v>
      </c>
      <c r="AY730" s="9">
        <f t="shared" si="2285"/>
        <v>0.5555555556</v>
      </c>
      <c r="AZ730" s="9">
        <f>VLOOKUP(A730,Jogos!A:BN,58,0)</f>
        <v>31.16</v>
      </c>
      <c r="BA730" s="9">
        <f>VLOOKUP(A730,Jogos!A:BN,59,0)</f>
        <v>20.83</v>
      </c>
      <c r="BB730" s="9">
        <f>VLOOKUP(A730,Jogos!A:BN,60,0)</f>
        <v>54</v>
      </c>
      <c r="BC730" s="9">
        <f>VLOOKUP(A730,Jogos!A:BN,61,0)</f>
        <v>32.325</v>
      </c>
      <c r="BD730" s="9">
        <f>VLOOKUP(A730,Jogos!A:BN,62,0)</f>
        <v>934.35</v>
      </c>
      <c r="BE730" s="9">
        <f>VLOOKUP(A730,Jogos!A:BN,63,0)</f>
        <v>2.155</v>
      </c>
      <c r="BF730" s="9">
        <f>VLOOKUP(A730,Jogos!A:BN,64,0)</f>
        <v>25.065</v>
      </c>
      <c r="BG730" s="9">
        <f>VLOOKUP(A730,Jogos!A:BN,65,0)</f>
        <v>45.16</v>
      </c>
      <c r="BH730" s="9">
        <f>VLOOKUP(A730,Jogos!A:BN,66,0)</f>
        <v>29.69</v>
      </c>
      <c r="BI730" s="9"/>
      <c r="BJ730" s="9"/>
    </row>
    <row r="731" hidden="1">
      <c r="A731" s="2">
        <v>25.0</v>
      </c>
      <c r="B731" s="11" t="s">
        <v>562</v>
      </c>
      <c r="C731" s="2" t="s">
        <v>61</v>
      </c>
      <c r="D731" s="3">
        <v>45829.0</v>
      </c>
      <c r="E731" s="4">
        <v>0.5</v>
      </c>
      <c r="F731" s="5" t="str">
        <f>VLOOKUP(A731,Jogos!A:N,10,0)</f>
        <v>Afternoon</v>
      </c>
      <c r="G731" s="2" t="s">
        <v>122</v>
      </c>
      <c r="H731" s="6" t="str">
        <f>VLOOKUP(A731,Jogos!A:L,12,0)</f>
        <v>Open</v>
      </c>
      <c r="I731" s="6" t="str">
        <f>VLOOKUP(G731,'Estádios e Cidades'!A:B,2,0)</f>
        <v>Cincinnati</v>
      </c>
      <c r="J731" s="2" t="s">
        <v>688</v>
      </c>
      <c r="K731" s="2" t="str">
        <f>VLOOKUP(J731,Equipes!A:F,6,0)</f>
        <v>Tropical</v>
      </c>
      <c r="L731" s="2">
        <f>VLOOKUP(J731,Equipes!A:C,3,0)</f>
        <v>18</v>
      </c>
      <c r="M731" s="2" t="str">
        <f t="shared" si="4"/>
        <v>Group</v>
      </c>
      <c r="N731" s="2" t="s">
        <v>564</v>
      </c>
      <c r="O731" s="2">
        <f>VLOOKUP(N731,Equipes!A:C,3,0)</f>
        <v>5</v>
      </c>
      <c r="P731" s="2" t="str">
        <f t="shared" si="5"/>
        <v>Quarter-final</v>
      </c>
      <c r="Q731" s="2">
        <f t="shared" si="6"/>
        <v>13</v>
      </c>
      <c r="R731" s="2" t="str">
        <f>VLOOKUP(J731,Equipes!A:B,2,0)</f>
        <v>Mamelodi</v>
      </c>
      <c r="S731" s="6" t="s">
        <v>745</v>
      </c>
      <c r="T731" s="7">
        <v>35.0</v>
      </c>
      <c r="U731" s="7" t="s">
        <v>746</v>
      </c>
      <c r="V731" s="7" t="str">
        <f>VLOOKUP(U731,Jogadores!B:C,2,0)</f>
        <v>FW</v>
      </c>
      <c r="W731" s="8">
        <f>VLOOKUP(U731,Jogadores!B:D,3,0)</f>
        <v>29.51780822</v>
      </c>
      <c r="X731" s="7">
        <v>77.0</v>
      </c>
      <c r="Y731" s="7">
        <f t="shared" si="2264"/>
        <v>96</v>
      </c>
      <c r="Z731" s="7">
        <f>VLOOKUP(A731,Jogos!A:L,3,0)</f>
        <v>48</v>
      </c>
      <c r="AA731" s="7">
        <f t="shared" si="2229"/>
        <v>0</v>
      </c>
      <c r="AB731" s="7">
        <f>VLOOKUP(A731,Jogos!A:L,4,0)</f>
        <v>51</v>
      </c>
      <c r="AC731" s="7">
        <f t="shared" si="2230"/>
        <v>19</v>
      </c>
      <c r="AD731" s="7"/>
      <c r="AE731" s="7"/>
      <c r="AF731" s="7">
        <f t="shared" si="2231"/>
        <v>19</v>
      </c>
      <c r="AG731" s="7">
        <v>2392.7</v>
      </c>
      <c r="AH731" s="7">
        <v>845.5</v>
      </c>
      <c r="AI731" s="7">
        <v>927.2</v>
      </c>
      <c r="AJ731" s="7">
        <v>416.8</v>
      </c>
      <c r="AK731" s="7">
        <v>149.7</v>
      </c>
      <c r="AL731" s="7">
        <v>53.4</v>
      </c>
      <c r="AM731" s="7">
        <v>36.0</v>
      </c>
      <c r="AN731" s="7">
        <v>13.0</v>
      </c>
      <c r="AO731" s="7">
        <v>34.2</v>
      </c>
      <c r="AP731" s="9">
        <f t="shared" ref="AP731:AR731" si="2286">AG731/$AF731</f>
        <v>125.9315789</v>
      </c>
      <c r="AQ731" s="9">
        <f t="shared" si="2286"/>
        <v>44.5</v>
      </c>
      <c r="AR731" s="9">
        <f t="shared" si="2286"/>
        <v>48.8</v>
      </c>
      <c r="AS731" s="9">
        <f t="shared" si="2233"/>
        <v>93.3</v>
      </c>
      <c r="AT731" s="9">
        <f t="shared" ref="AT731:AV731" si="2287">AJ731/$AF731</f>
        <v>21.93684211</v>
      </c>
      <c r="AU731" s="9">
        <f t="shared" si="2287"/>
        <v>7.878947368</v>
      </c>
      <c r="AV731" s="9">
        <f t="shared" si="2287"/>
        <v>2.810526316</v>
      </c>
      <c r="AW731" s="9">
        <f t="shared" si="2235"/>
        <v>10.68947368</v>
      </c>
      <c r="AX731" s="9">
        <f t="shared" ref="AX731:AY731" si="2288">AM731/$AF731</f>
        <v>1.894736842</v>
      </c>
      <c r="AY731" s="9">
        <f t="shared" si="2288"/>
        <v>0.6842105263</v>
      </c>
      <c r="AZ731" s="9">
        <f>VLOOKUP(A731,Jogos!A:BN,58,0)</f>
        <v>31.16</v>
      </c>
      <c r="BA731" s="9">
        <f>VLOOKUP(A731,Jogos!A:BN,59,0)</f>
        <v>20.83</v>
      </c>
      <c r="BB731" s="9">
        <f>VLOOKUP(A731,Jogos!A:BN,60,0)</f>
        <v>54</v>
      </c>
      <c r="BC731" s="9">
        <f>VLOOKUP(A731,Jogos!A:BN,61,0)</f>
        <v>32.325</v>
      </c>
      <c r="BD731" s="9">
        <f>VLOOKUP(A731,Jogos!A:BN,62,0)</f>
        <v>934.35</v>
      </c>
      <c r="BE731" s="9">
        <f>VLOOKUP(A731,Jogos!A:BN,63,0)</f>
        <v>2.155</v>
      </c>
      <c r="BF731" s="9">
        <f>VLOOKUP(A731,Jogos!A:BN,64,0)</f>
        <v>25.065</v>
      </c>
      <c r="BG731" s="9">
        <f>VLOOKUP(A731,Jogos!A:BN,65,0)</f>
        <v>45.16</v>
      </c>
      <c r="BH731" s="9">
        <f>VLOOKUP(A731,Jogos!A:BN,66,0)</f>
        <v>29.69</v>
      </c>
      <c r="BI731" s="9"/>
      <c r="BJ731" s="9"/>
    </row>
    <row r="732" hidden="1">
      <c r="A732" s="10">
        <v>25.0</v>
      </c>
      <c r="B732" s="11" t="s">
        <v>562</v>
      </c>
      <c r="C732" s="2" t="s">
        <v>61</v>
      </c>
      <c r="D732" s="12">
        <v>45829.0</v>
      </c>
      <c r="E732" s="13">
        <v>0.5</v>
      </c>
      <c r="F732" s="5" t="str">
        <f>VLOOKUP(A732,Jogos!A:N,10,0)</f>
        <v>Afternoon</v>
      </c>
      <c r="G732" s="11" t="s">
        <v>122</v>
      </c>
      <c r="H732" s="6" t="str">
        <f>VLOOKUP(A732,Jogos!A:L,12,0)</f>
        <v>Open</v>
      </c>
      <c r="I732" s="6" t="str">
        <f>VLOOKUP(G732,'Estádios e Cidades'!A:B,2,0)</f>
        <v>Cincinnati</v>
      </c>
      <c r="J732" s="11" t="s">
        <v>564</v>
      </c>
      <c r="K732" s="2" t="str">
        <f>VLOOKUP(J732,Equipes!A:F,6,0)</f>
        <v>Temperate</v>
      </c>
      <c r="L732" s="2">
        <f>VLOOKUP(J732,Equipes!A:C,3,0)</f>
        <v>5</v>
      </c>
      <c r="M732" s="2" t="str">
        <f t="shared" si="4"/>
        <v>Quarter-final</v>
      </c>
      <c r="N732" s="11" t="s">
        <v>688</v>
      </c>
      <c r="O732" s="2">
        <f>VLOOKUP(N732,Equipes!A:C,3,0)</f>
        <v>18</v>
      </c>
      <c r="P732" s="2" t="str">
        <f t="shared" si="5"/>
        <v>Group</v>
      </c>
      <c r="Q732" s="2">
        <f t="shared" si="6"/>
        <v>-13</v>
      </c>
      <c r="R732" s="2" t="str">
        <f>VLOOKUP(J732,Equipes!A:B,2,0)</f>
        <v>Borussia</v>
      </c>
      <c r="S732" s="14" t="s">
        <v>613</v>
      </c>
      <c r="T732" s="7">
        <v>2.0</v>
      </c>
      <c r="U732" s="7" t="s">
        <v>614</v>
      </c>
      <c r="V732" s="7" t="str">
        <f>VLOOKUP(U732,Jogadores!B:C,2,0)</f>
        <v>DF</v>
      </c>
      <c r="W732" s="8">
        <f>VLOOKUP(U732,Jogadores!B:D,3,0)</f>
        <v>23.16712329</v>
      </c>
      <c r="X732" s="7">
        <v>0.0</v>
      </c>
      <c r="Y732" s="7">
        <f t="shared" si="2264"/>
        <v>96</v>
      </c>
      <c r="Z732" s="7">
        <f>VLOOKUP(A732,Jogos!A:L,3,0)</f>
        <v>48</v>
      </c>
      <c r="AA732" s="7">
        <f t="shared" si="2229"/>
        <v>48</v>
      </c>
      <c r="AB732" s="7">
        <f>VLOOKUP(A732,Jogos!A:L,4,0)</f>
        <v>51</v>
      </c>
      <c r="AC732" s="7">
        <f t="shared" si="2230"/>
        <v>51</v>
      </c>
      <c r="AD732" s="7"/>
      <c r="AE732" s="7"/>
      <c r="AF732" s="7">
        <f t="shared" si="2231"/>
        <v>99</v>
      </c>
      <c r="AG732" s="7">
        <v>10050.7</v>
      </c>
      <c r="AH732" s="7">
        <v>3574.7</v>
      </c>
      <c r="AI732" s="7">
        <v>4473.2</v>
      </c>
      <c r="AJ732" s="7">
        <v>1066.9</v>
      </c>
      <c r="AK732" s="7">
        <v>737.3</v>
      </c>
      <c r="AL732" s="7">
        <v>198.6</v>
      </c>
      <c r="AM732" s="7">
        <v>94.0</v>
      </c>
      <c r="AN732" s="7">
        <v>52.0</v>
      </c>
      <c r="AO732" s="7">
        <v>33.2</v>
      </c>
      <c r="AP732" s="9">
        <f t="shared" ref="AP732:AR732" si="2289">AG732/$AF732</f>
        <v>101.5222222</v>
      </c>
      <c r="AQ732" s="9">
        <f t="shared" si="2289"/>
        <v>36.10808081</v>
      </c>
      <c r="AR732" s="9">
        <f t="shared" si="2289"/>
        <v>45.18383838</v>
      </c>
      <c r="AS732" s="9">
        <f t="shared" si="2233"/>
        <v>81.29191919</v>
      </c>
      <c r="AT732" s="9">
        <f t="shared" ref="AT732:AV732" si="2290">AJ732/$AF732</f>
        <v>10.77676768</v>
      </c>
      <c r="AU732" s="9">
        <f t="shared" si="2290"/>
        <v>7.447474747</v>
      </c>
      <c r="AV732" s="9">
        <f t="shared" si="2290"/>
        <v>2.006060606</v>
      </c>
      <c r="AW732" s="9">
        <f t="shared" si="2235"/>
        <v>9.453535354</v>
      </c>
      <c r="AX732" s="9">
        <f t="shared" ref="AX732:AY732" si="2291">AM732/$AF732</f>
        <v>0.9494949495</v>
      </c>
      <c r="AY732" s="9">
        <f t="shared" si="2291"/>
        <v>0.5252525253</v>
      </c>
      <c r="AZ732" s="9">
        <f>VLOOKUP(A732,Jogos!A:BN,58,0)</f>
        <v>31.16</v>
      </c>
      <c r="BA732" s="9">
        <f>VLOOKUP(A732,Jogos!A:BN,59,0)</f>
        <v>20.83</v>
      </c>
      <c r="BB732" s="9">
        <f>VLOOKUP(A732,Jogos!A:BN,60,0)</f>
        <v>54</v>
      </c>
      <c r="BC732" s="9">
        <f>VLOOKUP(A732,Jogos!A:BN,61,0)</f>
        <v>32.325</v>
      </c>
      <c r="BD732" s="9">
        <f>VLOOKUP(A732,Jogos!A:BN,62,0)</f>
        <v>934.35</v>
      </c>
      <c r="BE732" s="9">
        <f>VLOOKUP(A732,Jogos!A:BN,63,0)</f>
        <v>2.155</v>
      </c>
      <c r="BF732" s="9">
        <f>VLOOKUP(A732,Jogos!A:BN,64,0)</f>
        <v>25.065</v>
      </c>
      <c r="BG732" s="9">
        <f>VLOOKUP(A732,Jogos!A:BN,65,0)</f>
        <v>45.16</v>
      </c>
      <c r="BH732" s="9">
        <f>VLOOKUP(A732,Jogos!A:BN,66,0)</f>
        <v>29.69</v>
      </c>
      <c r="BI732" s="9"/>
      <c r="BJ732" s="9"/>
    </row>
    <row r="733" hidden="1">
      <c r="A733" s="10">
        <v>25.0</v>
      </c>
      <c r="B733" s="11" t="s">
        <v>562</v>
      </c>
      <c r="C733" s="2" t="s">
        <v>61</v>
      </c>
      <c r="D733" s="12">
        <v>45829.0</v>
      </c>
      <c r="E733" s="13">
        <v>0.5</v>
      </c>
      <c r="F733" s="5" t="str">
        <f>VLOOKUP(A733,Jogos!A:N,10,0)</f>
        <v>Afternoon</v>
      </c>
      <c r="G733" s="11" t="s">
        <v>122</v>
      </c>
      <c r="H733" s="6" t="str">
        <f>VLOOKUP(A733,Jogos!A:L,12,0)</f>
        <v>Open</v>
      </c>
      <c r="I733" s="6" t="str">
        <f>VLOOKUP(G733,'Estádios e Cidades'!A:B,2,0)</f>
        <v>Cincinnati</v>
      </c>
      <c r="J733" s="11" t="s">
        <v>564</v>
      </c>
      <c r="K733" s="2" t="str">
        <f>VLOOKUP(J733,Equipes!A:F,6,0)</f>
        <v>Temperate</v>
      </c>
      <c r="L733" s="2">
        <f>VLOOKUP(J733,Equipes!A:C,3,0)</f>
        <v>5</v>
      </c>
      <c r="M733" s="2" t="str">
        <f t="shared" si="4"/>
        <v>Quarter-final</v>
      </c>
      <c r="N733" s="11" t="s">
        <v>688</v>
      </c>
      <c r="O733" s="2">
        <f>VLOOKUP(N733,Equipes!A:C,3,0)</f>
        <v>18</v>
      </c>
      <c r="P733" s="2" t="str">
        <f t="shared" si="5"/>
        <v>Group</v>
      </c>
      <c r="Q733" s="2">
        <f t="shared" si="6"/>
        <v>-13</v>
      </c>
      <c r="R733" s="2" t="str">
        <f>VLOOKUP(J733,Equipes!A:B,2,0)</f>
        <v>Borussia</v>
      </c>
      <c r="S733" s="6" t="s">
        <v>593</v>
      </c>
      <c r="T733" s="7">
        <v>3.0</v>
      </c>
      <c r="U733" s="7" t="s">
        <v>594</v>
      </c>
      <c r="V733" s="7" t="str">
        <f>VLOOKUP(U733,Jogadores!B:C,2,0)</f>
        <v>DF</v>
      </c>
      <c r="W733" s="8">
        <f>VLOOKUP(U733,Jogadores!B:D,3,0)</f>
        <v>29.04109589</v>
      </c>
      <c r="X733" s="7">
        <v>0.0</v>
      </c>
      <c r="Y733" s="7">
        <f t="shared" si="2264"/>
        <v>96</v>
      </c>
      <c r="Z733" s="7">
        <f>VLOOKUP(A733,Jogos!A:L,3,0)</f>
        <v>48</v>
      </c>
      <c r="AA733" s="7">
        <f t="shared" si="2229"/>
        <v>48</v>
      </c>
      <c r="AB733" s="7">
        <f>VLOOKUP(A733,Jogos!A:L,4,0)</f>
        <v>51</v>
      </c>
      <c r="AC733" s="7">
        <f t="shared" si="2230"/>
        <v>51</v>
      </c>
      <c r="AD733" s="7"/>
      <c r="AE733" s="7"/>
      <c r="AF733" s="7">
        <f t="shared" si="2231"/>
        <v>99</v>
      </c>
      <c r="AG733" s="7">
        <v>10183.4</v>
      </c>
      <c r="AH733" s="7">
        <v>3836.1</v>
      </c>
      <c r="AI733" s="7">
        <v>4385.1</v>
      </c>
      <c r="AJ733" s="7">
        <v>1356.2</v>
      </c>
      <c r="AK733" s="7">
        <v>420.9</v>
      </c>
      <c r="AL733" s="7">
        <v>185.1</v>
      </c>
      <c r="AM733" s="7">
        <v>117.0</v>
      </c>
      <c r="AN733" s="7">
        <v>38.0</v>
      </c>
      <c r="AO733" s="7">
        <v>31.4</v>
      </c>
      <c r="AP733" s="9">
        <f t="shared" ref="AP733:AR733" si="2292">AG733/$AF733</f>
        <v>102.8626263</v>
      </c>
      <c r="AQ733" s="9">
        <f t="shared" si="2292"/>
        <v>38.74848485</v>
      </c>
      <c r="AR733" s="9">
        <f t="shared" si="2292"/>
        <v>44.29393939</v>
      </c>
      <c r="AS733" s="9">
        <f t="shared" si="2233"/>
        <v>83.04242424</v>
      </c>
      <c r="AT733" s="9">
        <f t="shared" ref="AT733:AV733" si="2293">AJ733/$AF733</f>
        <v>13.6989899</v>
      </c>
      <c r="AU733" s="9">
        <f t="shared" si="2293"/>
        <v>4.251515152</v>
      </c>
      <c r="AV733" s="9">
        <f t="shared" si="2293"/>
        <v>1.86969697</v>
      </c>
      <c r="AW733" s="9">
        <f t="shared" si="2235"/>
        <v>6.121212121</v>
      </c>
      <c r="AX733" s="9">
        <f t="shared" ref="AX733:AY733" si="2294">AM733/$AF733</f>
        <v>1.181818182</v>
      </c>
      <c r="AY733" s="9">
        <f t="shared" si="2294"/>
        <v>0.3838383838</v>
      </c>
      <c r="AZ733" s="9">
        <f>VLOOKUP(A733,Jogos!A:BN,58,0)</f>
        <v>31.16</v>
      </c>
      <c r="BA733" s="9">
        <f>VLOOKUP(A733,Jogos!A:BN,59,0)</f>
        <v>20.83</v>
      </c>
      <c r="BB733" s="9">
        <f>VLOOKUP(A733,Jogos!A:BN,60,0)</f>
        <v>54</v>
      </c>
      <c r="BC733" s="9">
        <f>VLOOKUP(A733,Jogos!A:BN,61,0)</f>
        <v>32.325</v>
      </c>
      <c r="BD733" s="9">
        <f>VLOOKUP(A733,Jogos!A:BN,62,0)</f>
        <v>934.35</v>
      </c>
      <c r="BE733" s="9">
        <f>VLOOKUP(A733,Jogos!A:BN,63,0)</f>
        <v>2.155</v>
      </c>
      <c r="BF733" s="9">
        <f>VLOOKUP(A733,Jogos!A:BN,64,0)</f>
        <v>25.065</v>
      </c>
      <c r="BG733" s="9">
        <f>VLOOKUP(A733,Jogos!A:BN,65,0)</f>
        <v>45.16</v>
      </c>
      <c r="BH733" s="9">
        <f>VLOOKUP(A733,Jogos!A:BN,66,0)</f>
        <v>29.69</v>
      </c>
      <c r="BI733" s="9"/>
      <c r="BJ733" s="9"/>
    </row>
    <row r="734" hidden="1">
      <c r="A734" s="10">
        <v>25.0</v>
      </c>
      <c r="B734" s="11" t="s">
        <v>562</v>
      </c>
      <c r="C734" s="2" t="s">
        <v>61</v>
      </c>
      <c r="D734" s="12">
        <v>45829.0</v>
      </c>
      <c r="E734" s="13">
        <v>0.5</v>
      </c>
      <c r="F734" s="5" t="str">
        <f>VLOOKUP(A734,Jogos!A:N,10,0)</f>
        <v>Afternoon</v>
      </c>
      <c r="G734" s="11" t="s">
        <v>122</v>
      </c>
      <c r="H734" s="6" t="str">
        <f>VLOOKUP(A734,Jogos!A:L,12,0)</f>
        <v>Open</v>
      </c>
      <c r="I734" s="6" t="str">
        <f>VLOOKUP(G734,'Estádios e Cidades'!A:B,2,0)</f>
        <v>Cincinnati</v>
      </c>
      <c r="J734" s="11" t="s">
        <v>564</v>
      </c>
      <c r="K734" s="2" t="str">
        <f>VLOOKUP(J734,Equipes!A:F,6,0)</f>
        <v>Temperate</v>
      </c>
      <c r="L734" s="2">
        <f>VLOOKUP(J734,Equipes!A:C,3,0)</f>
        <v>5</v>
      </c>
      <c r="M734" s="2" t="str">
        <f t="shared" si="4"/>
        <v>Quarter-final</v>
      </c>
      <c r="N734" s="11" t="s">
        <v>688</v>
      </c>
      <c r="O734" s="2">
        <f>VLOOKUP(N734,Equipes!A:C,3,0)</f>
        <v>18</v>
      </c>
      <c r="P734" s="2" t="str">
        <f t="shared" si="5"/>
        <v>Group</v>
      </c>
      <c r="Q734" s="2">
        <f t="shared" si="6"/>
        <v>-13</v>
      </c>
      <c r="R734" s="2" t="str">
        <f>VLOOKUP(J734,Equipes!A:B,2,0)</f>
        <v>Borussia</v>
      </c>
      <c r="S734" s="6" t="s">
        <v>595</v>
      </c>
      <c r="T734" s="7">
        <v>5.0</v>
      </c>
      <c r="U734" s="7" t="s">
        <v>596</v>
      </c>
      <c r="V734" s="7" t="str">
        <f>VLOOKUP(U734,Jogadores!B:C,2,0)</f>
        <v>DF</v>
      </c>
      <c r="W734" s="8">
        <f>VLOOKUP(U734,Jogadores!B:D,3,0)</f>
        <v>30.30410959</v>
      </c>
      <c r="X734" s="7">
        <v>0.0</v>
      </c>
      <c r="Y734" s="7">
        <f t="shared" si="2264"/>
        <v>96</v>
      </c>
      <c r="Z734" s="7">
        <f>VLOOKUP(A734,Jogos!A:L,3,0)</f>
        <v>48</v>
      </c>
      <c r="AA734" s="7">
        <f t="shared" si="2229"/>
        <v>48</v>
      </c>
      <c r="AB734" s="7">
        <f>VLOOKUP(A734,Jogos!A:L,4,0)</f>
        <v>51</v>
      </c>
      <c r="AC734" s="7">
        <f t="shared" si="2230"/>
        <v>51</v>
      </c>
      <c r="AD734" s="7"/>
      <c r="AE734" s="7"/>
      <c r="AF734" s="7">
        <f t="shared" si="2231"/>
        <v>99</v>
      </c>
      <c r="AG734" s="7">
        <v>9166.6</v>
      </c>
      <c r="AH734" s="7">
        <v>3831.6</v>
      </c>
      <c r="AI734" s="7">
        <v>3692.1</v>
      </c>
      <c r="AJ734" s="7">
        <v>986.7</v>
      </c>
      <c r="AK734" s="7">
        <v>500.0</v>
      </c>
      <c r="AL734" s="7">
        <v>156.1</v>
      </c>
      <c r="AM734" s="7">
        <v>99.0</v>
      </c>
      <c r="AN734" s="7">
        <v>40.0</v>
      </c>
      <c r="AO734" s="7">
        <v>30.9</v>
      </c>
      <c r="AP734" s="9">
        <f t="shared" ref="AP734:AR734" si="2295">AG734/$AF734</f>
        <v>92.59191919</v>
      </c>
      <c r="AQ734" s="9">
        <f t="shared" si="2295"/>
        <v>38.7030303</v>
      </c>
      <c r="AR734" s="9">
        <f t="shared" si="2295"/>
        <v>37.29393939</v>
      </c>
      <c r="AS734" s="9">
        <f t="shared" si="2233"/>
        <v>75.9969697</v>
      </c>
      <c r="AT734" s="9">
        <f t="shared" ref="AT734:AV734" si="2296">AJ734/$AF734</f>
        <v>9.966666667</v>
      </c>
      <c r="AU734" s="9">
        <f t="shared" si="2296"/>
        <v>5.050505051</v>
      </c>
      <c r="AV734" s="9">
        <f t="shared" si="2296"/>
        <v>1.576767677</v>
      </c>
      <c r="AW734" s="9">
        <f t="shared" si="2235"/>
        <v>6.627272727</v>
      </c>
      <c r="AX734" s="9">
        <f t="shared" ref="AX734:AY734" si="2297">AM734/$AF734</f>
        <v>1</v>
      </c>
      <c r="AY734" s="9">
        <f t="shared" si="2297"/>
        <v>0.404040404</v>
      </c>
      <c r="AZ734" s="9">
        <f>VLOOKUP(A734,Jogos!A:BN,58,0)</f>
        <v>31.16</v>
      </c>
      <c r="BA734" s="9">
        <f>VLOOKUP(A734,Jogos!A:BN,59,0)</f>
        <v>20.83</v>
      </c>
      <c r="BB734" s="9">
        <f>VLOOKUP(A734,Jogos!A:BN,60,0)</f>
        <v>54</v>
      </c>
      <c r="BC734" s="9">
        <f>VLOOKUP(A734,Jogos!A:BN,61,0)</f>
        <v>32.325</v>
      </c>
      <c r="BD734" s="9">
        <f>VLOOKUP(A734,Jogos!A:BN,62,0)</f>
        <v>934.35</v>
      </c>
      <c r="BE734" s="9">
        <f>VLOOKUP(A734,Jogos!A:BN,63,0)</f>
        <v>2.155</v>
      </c>
      <c r="BF734" s="9">
        <f>VLOOKUP(A734,Jogos!A:BN,64,0)</f>
        <v>25.065</v>
      </c>
      <c r="BG734" s="9">
        <f>VLOOKUP(A734,Jogos!A:BN,65,0)</f>
        <v>45.16</v>
      </c>
      <c r="BH734" s="9">
        <f>VLOOKUP(A734,Jogos!A:BN,66,0)</f>
        <v>29.69</v>
      </c>
      <c r="BI734" s="9"/>
      <c r="BJ734" s="9"/>
    </row>
    <row r="735" hidden="1">
      <c r="A735" s="10">
        <v>25.0</v>
      </c>
      <c r="B735" s="11" t="s">
        <v>562</v>
      </c>
      <c r="C735" s="2" t="s">
        <v>61</v>
      </c>
      <c r="D735" s="12">
        <v>45829.0</v>
      </c>
      <c r="E735" s="13">
        <v>0.5</v>
      </c>
      <c r="F735" s="5" t="str">
        <f>VLOOKUP(A735,Jogos!A:N,10,0)</f>
        <v>Afternoon</v>
      </c>
      <c r="G735" s="11" t="s">
        <v>122</v>
      </c>
      <c r="H735" s="6" t="str">
        <f>VLOOKUP(A735,Jogos!A:L,12,0)</f>
        <v>Open</v>
      </c>
      <c r="I735" s="6" t="str">
        <f>VLOOKUP(G735,'Estádios e Cidades'!A:B,2,0)</f>
        <v>Cincinnati</v>
      </c>
      <c r="J735" s="11" t="s">
        <v>564</v>
      </c>
      <c r="K735" s="2" t="str">
        <f>VLOOKUP(J735,Equipes!A:F,6,0)</f>
        <v>Temperate</v>
      </c>
      <c r="L735" s="2">
        <f>VLOOKUP(J735,Equipes!A:C,3,0)</f>
        <v>5</v>
      </c>
      <c r="M735" s="2" t="str">
        <f t="shared" si="4"/>
        <v>Quarter-final</v>
      </c>
      <c r="N735" s="11" t="s">
        <v>688</v>
      </c>
      <c r="O735" s="2">
        <f>VLOOKUP(N735,Equipes!A:C,3,0)</f>
        <v>18</v>
      </c>
      <c r="P735" s="2" t="str">
        <f t="shared" si="5"/>
        <v>Group</v>
      </c>
      <c r="Q735" s="2">
        <f t="shared" si="6"/>
        <v>-13</v>
      </c>
      <c r="R735" s="2" t="str">
        <f>VLOOKUP(J735,Equipes!A:B,2,0)</f>
        <v>Borussia</v>
      </c>
      <c r="S735" s="6" t="s">
        <v>615</v>
      </c>
      <c r="T735" s="7">
        <v>8.0</v>
      </c>
      <c r="U735" s="7" t="s">
        <v>616</v>
      </c>
      <c r="V735" s="7" t="str">
        <f>VLOOKUP(U735,Jogadores!B:C,2,0)</f>
        <v>MF</v>
      </c>
      <c r="W735" s="8">
        <f>VLOOKUP(U735,Jogadores!B:D,3,0)</f>
        <v>24.81369863</v>
      </c>
      <c r="X735" s="7">
        <v>0.0</v>
      </c>
      <c r="Y735" s="7">
        <v>63.0</v>
      </c>
      <c r="Z735" s="7">
        <f>VLOOKUP(A735,Jogos!A:L,3,0)</f>
        <v>48</v>
      </c>
      <c r="AA735" s="7">
        <f t="shared" si="2229"/>
        <v>48</v>
      </c>
      <c r="AB735" s="7">
        <f>VLOOKUP(A735,Jogos!A:L,4,0)</f>
        <v>51</v>
      </c>
      <c r="AC735" s="7">
        <f t="shared" si="2230"/>
        <v>18</v>
      </c>
      <c r="AD735" s="7"/>
      <c r="AE735" s="7"/>
      <c r="AF735" s="7">
        <f t="shared" si="2231"/>
        <v>66</v>
      </c>
      <c r="AG735" s="7">
        <v>7325.0</v>
      </c>
      <c r="AH735" s="7">
        <v>2402.5</v>
      </c>
      <c r="AI735" s="7">
        <v>3447.4</v>
      </c>
      <c r="AJ735" s="7">
        <v>964.1</v>
      </c>
      <c r="AK735" s="7">
        <v>321.6</v>
      </c>
      <c r="AL735" s="7">
        <v>189.5</v>
      </c>
      <c r="AM735" s="7">
        <v>89.0</v>
      </c>
      <c r="AN735" s="7">
        <v>25.0</v>
      </c>
      <c r="AO735" s="7">
        <v>34.2</v>
      </c>
      <c r="AP735" s="9">
        <f t="shared" ref="AP735:AR735" si="2298">AG735/$AF735</f>
        <v>110.9848485</v>
      </c>
      <c r="AQ735" s="9">
        <f t="shared" si="2298"/>
        <v>36.40151515</v>
      </c>
      <c r="AR735" s="9">
        <f t="shared" si="2298"/>
        <v>52.23333333</v>
      </c>
      <c r="AS735" s="9">
        <f t="shared" si="2233"/>
        <v>88.63484848</v>
      </c>
      <c r="AT735" s="9">
        <f t="shared" ref="AT735:AV735" si="2299">AJ735/$AF735</f>
        <v>14.60757576</v>
      </c>
      <c r="AU735" s="9">
        <f t="shared" si="2299"/>
        <v>4.872727273</v>
      </c>
      <c r="AV735" s="9">
        <f t="shared" si="2299"/>
        <v>2.871212121</v>
      </c>
      <c r="AW735" s="9">
        <f t="shared" si="2235"/>
        <v>7.743939394</v>
      </c>
      <c r="AX735" s="9">
        <f t="shared" ref="AX735:AY735" si="2300">AM735/$AF735</f>
        <v>1.348484848</v>
      </c>
      <c r="AY735" s="9">
        <f t="shared" si="2300"/>
        <v>0.3787878788</v>
      </c>
      <c r="AZ735" s="9">
        <f>VLOOKUP(A735,Jogos!A:BN,58,0)</f>
        <v>31.16</v>
      </c>
      <c r="BA735" s="9">
        <f>VLOOKUP(A735,Jogos!A:BN,59,0)</f>
        <v>20.83</v>
      </c>
      <c r="BB735" s="9">
        <f>VLOOKUP(A735,Jogos!A:BN,60,0)</f>
        <v>54</v>
      </c>
      <c r="BC735" s="9">
        <f>VLOOKUP(A735,Jogos!A:BN,61,0)</f>
        <v>32.325</v>
      </c>
      <c r="BD735" s="9">
        <f>VLOOKUP(A735,Jogos!A:BN,62,0)</f>
        <v>934.35</v>
      </c>
      <c r="BE735" s="9">
        <f>VLOOKUP(A735,Jogos!A:BN,63,0)</f>
        <v>2.155</v>
      </c>
      <c r="BF735" s="9">
        <f>VLOOKUP(A735,Jogos!A:BN,64,0)</f>
        <v>25.065</v>
      </c>
      <c r="BG735" s="9">
        <f>VLOOKUP(A735,Jogos!A:BN,65,0)</f>
        <v>45.16</v>
      </c>
      <c r="BH735" s="9">
        <f>VLOOKUP(A735,Jogos!A:BN,66,0)</f>
        <v>29.69</v>
      </c>
      <c r="BI735" s="9"/>
      <c r="BJ735" s="9"/>
    </row>
    <row r="736" hidden="1">
      <c r="A736" s="10">
        <v>25.0</v>
      </c>
      <c r="B736" s="11" t="s">
        <v>562</v>
      </c>
      <c r="C736" s="2" t="s">
        <v>61</v>
      </c>
      <c r="D736" s="12">
        <v>45829.0</v>
      </c>
      <c r="E736" s="13">
        <v>0.5</v>
      </c>
      <c r="F736" s="5" t="str">
        <f>VLOOKUP(A736,Jogos!A:N,10,0)</f>
        <v>Afternoon</v>
      </c>
      <c r="G736" s="11" t="s">
        <v>122</v>
      </c>
      <c r="H736" s="6" t="str">
        <f>VLOOKUP(A736,Jogos!A:L,12,0)</f>
        <v>Open</v>
      </c>
      <c r="I736" s="6" t="str">
        <f>VLOOKUP(G736,'Estádios e Cidades'!A:B,2,0)</f>
        <v>Cincinnati</v>
      </c>
      <c r="J736" s="11" t="s">
        <v>564</v>
      </c>
      <c r="K736" s="2" t="str">
        <f>VLOOKUP(J736,Equipes!A:F,6,0)</f>
        <v>Temperate</v>
      </c>
      <c r="L736" s="2">
        <f>VLOOKUP(J736,Equipes!A:C,3,0)</f>
        <v>5</v>
      </c>
      <c r="M736" s="2" t="str">
        <f t="shared" si="4"/>
        <v>Quarter-final</v>
      </c>
      <c r="N736" s="11" t="s">
        <v>688</v>
      </c>
      <c r="O736" s="2">
        <f>VLOOKUP(N736,Equipes!A:C,3,0)</f>
        <v>18</v>
      </c>
      <c r="P736" s="2" t="str">
        <f t="shared" si="5"/>
        <v>Group</v>
      </c>
      <c r="Q736" s="2">
        <f t="shared" si="6"/>
        <v>-13</v>
      </c>
      <c r="R736" s="2" t="str">
        <f>VLOOKUP(J736,Equipes!A:B,2,0)</f>
        <v>Borussia</v>
      </c>
      <c r="S736" s="6" t="s">
        <v>597</v>
      </c>
      <c r="T736" s="7">
        <v>9.0</v>
      </c>
      <c r="U736" s="7" t="s">
        <v>598</v>
      </c>
      <c r="V736" s="7" t="str">
        <f>VLOOKUP(U736,Jogadores!B:C,2,0)</f>
        <v>FW</v>
      </c>
      <c r="W736" s="8">
        <f>VLOOKUP(U736,Jogadores!B:D,3,0)</f>
        <v>29.39726027</v>
      </c>
      <c r="X736" s="7">
        <v>0.0</v>
      </c>
      <c r="Y736" s="7">
        <v>92.0</v>
      </c>
      <c r="Z736" s="7">
        <f>VLOOKUP(A736,Jogos!A:L,3,0)</f>
        <v>48</v>
      </c>
      <c r="AA736" s="7">
        <f t="shared" si="2229"/>
        <v>48</v>
      </c>
      <c r="AB736" s="7">
        <f>VLOOKUP(A736,Jogos!A:L,4,0)</f>
        <v>51</v>
      </c>
      <c r="AC736" s="7">
        <f t="shared" si="2230"/>
        <v>47</v>
      </c>
      <c r="AD736" s="7"/>
      <c r="AE736" s="7"/>
      <c r="AF736" s="7">
        <f t="shared" si="2231"/>
        <v>95</v>
      </c>
      <c r="AG736" s="7">
        <v>9089.7</v>
      </c>
      <c r="AH736" s="7">
        <v>3786.1</v>
      </c>
      <c r="AI736" s="7">
        <v>3674.4</v>
      </c>
      <c r="AJ736" s="7">
        <v>1042.5</v>
      </c>
      <c r="AK736" s="7">
        <v>412.9</v>
      </c>
      <c r="AL736" s="7">
        <v>173.8</v>
      </c>
      <c r="AM736" s="7">
        <v>96.0</v>
      </c>
      <c r="AN736" s="7">
        <v>41.0</v>
      </c>
      <c r="AO736" s="7">
        <v>30.1</v>
      </c>
      <c r="AP736" s="9">
        <f t="shared" ref="AP736:AR736" si="2301">AG736/$AF736</f>
        <v>95.68105263</v>
      </c>
      <c r="AQ736" s="9">
        <f t="shared" si="2301"/>
        <v>39.85368421</v>
      </c>
      <c r="AR736" s="9">
        <f t="shared" si="2301"/>
        <v>38.67789474</v>
      </c>
      <c r="AS736" s="9">
        <f t="shared" si="2233"/>
        <v>78.53157895</v>
      </c>
      <c r="AT736" s="9">
        <f t="shared" ref="AT736:AV736" si="2302">AJ736/$AF736</f>
        <v>10.97368421</v>
      </c>
      <c r="AU736" s="9">
        <f t="shared" si="2302"/>
        <v>4.346315789</v>
      </c>
      <c r="AV736" s="9">
        <f t="shared" si="2302"/>
        <v>1.829473684</v>
      </c>
      <c r="AW736" s="9">
        <f t="shared" si="2235"/>
        <v>6.175789474</v>
      </c>
      <c r="AX736" s="9">
        <f t="shared" ref="AX736:AY736" si="2303">AM736/$AF736</f>
        <v>1.010526316</v>
      </c>
      <c r="AY736" s="9">
        <f t="shared" si="2303"/>
        <v>0.4315789474</v>
      </c>
      <c r="AZ736" s="9">
        <f>VLOOKUP(A736,Jogos!A:BN,58,0)</f>
        <v>31.16</v>
      </c>
      <c r="BA736" s="9">
        <f>VLOOKUP(A736,Jogos!A:BN,59,0)</f>
        <v>20.83</v>
      </c>
      <c r="BB736" s="9">
        <f>VLOOKUP(A736,Jogos!A:BN,60,0)</f>
        <v>54</v>
      </c>
      <c r="BC736" s="9">
        <f>VLOOKUP(A736,Jogos!A:BN,61,0)</f>
        <v>32.325</v>
      </c>
      <c r="BD736" s="9">
        <f>VLOOKUP(A736,Jogos!A:BN,62,0)</f>
        <v>934.35</v>
      </c>
      <c r="BE736" s="9">
        <f>VLOOKUP(A736,Jogos!A:BN,63,0)</f>
        <v>2.155</v>
      </c>
      <c r="BF736" s="9">
        <f>VLOOKUP(A736,Jogos!A:BN,64,0)</f>
        <v>25.065</v>
      </c>
      <c r="BG736" s="9">
        <f>VLOOKUP(A736,Jogos!A:BN,65,0)</f>
        <v>45.16</v>
      </c>
      <c r="BH736" s="9">
        <f>VLOOKUP(A736,Jogos!A:BN,66,0)</f>
        <v>29.69</v>
      </c>
      <c r="BI736" s="9"/>
      <c r="BJ736" s="9"/>
    </row>
    <row r="737" hidden="1">
      <c r="A737" s="10">
        <v>25.0</v>
      </c>
      <c r="B737" s="11" t="s">
        <v>562</v>
      </c>
      <c r="C737" s="2" t="s">
        <v>61</v>
      </c>
      <c r="D737" s="12">
        <v>45829.0</v>
      </c>
      <c r="E737" s="13">
        <v>0.5</v>
      </c>
      <c r="F737" s="5" t="str">
        <f>VLOOKUP(A737,Jogos!A:N,10,0)</f>
        <v>Afternoon</v>
      </c>
      <c r="G737" s="11" t="s">
        <v>122</v>
      </c>
      <c r="H737" s="6" t="str">
        <f>VLOOKUP(A737,Jogos!A:L,12,0)</f>
        <v>Open</v>
      </c>
      <c r="I737" s="6" t="str">
        <f>VLOOKUP(G737,'Estádios e Cidades'!A:B,2,0)</f>
        <v>Cincinnati</v>
      </c>
      <c r="J737" s="11" t="s">
        <v>564</v>
      </c>
      <c r="K737" s="2" t="str">
        <f>VLOOKUP(J737,Equipes!A:F,6,0)</f>
        <v>Temperate</v>
      </c>
      <c r="L737" s="2">
        <f>VLOOKUP(J737,Equipes!A:C,3,0)</f>
        <v>5</v>
      </c>
      <c r="M737" s="2" t="str">
        <f t="shared" si="4"/>
        <v>Quarter-final</v>
      </c>
      <c r="N737" s="11" t="s">
        <v>688</v>
      </c>
      <c r="O737" s="2">
        <f>VLOOKUP(N737,Equipes!A:C,3,0)</f>
        <v>18</v>
      </c>
      <c r="P737" s="2" t="str">
        <f t="shared" si="5"/>
        <v>Group</v>
      </c>
      <c r="Q737" s="2">
        <f t="shared" si="6"/>
        <v>-13</v>
      </c>
      <c r="R737" s="2" t="str">
        <f>VLOOKUP(J737,Equipes!A:B,2,0)</f>
        <v>Borussia</v>
      </c>
      <c r="S737" s="6" t="s">
        <v>599</v>
      </c>
      <c r="T737" s="7">
        <v>10.0</v>
      </c>
      <c r="U737" s="7" t="s">
        <v>600</v>
      </c>
      <c r="V737" s="7" t="str">
        <f>VLOOKUP(U737,Jogadores!B:C,2,0)</f>
        <v>FW</v>
      </c>
      <c r="W737" s="8">
        <f>VLOOKUP(U737,Jogadores!B:D,3,0)</f>
        <v>28.92054795</v>
      </c>
      <c r="X737" s="7">
        <v>0.0</v>
      </c>
      <c r="Y737" s="7">
        <v>63.0</v>
      </c>
      <c r="Z737" s="7">
        <f>VLOOKUP(A737,Jogos!A:L,3,0)</f>
        <v>48</v>
      </c>
      <c r="AA737" s="7">
        <f t="shared" si="2229"/>
        <v>48</v>
      </c>
      <c r="AB737" s="7">
        <f>VLOOKUP(A737,Jogos!A:L,4,0)</f>
        <v>51</v>
      </c>
      <c r="AC737" s="7">
        <f t="shared" si="2230"/>
        <v>18</v>
      </c>
      <c r="AD737" s="7"/>
      <c r="AE737" s="7"/>
      <c r="AF737" s="7">
        <f t="shared" si="2231"/>
        <v>66</v>
      </c>
      <c r="AG737" s="7">
        <v>7883.1</v>
      </c>
      <c r="AH737" s="7">
        <v>2522.4</v>
      </c>
      <c r="AI737" s="7">
        <v>3560.1</v>
      </c>
      <c r="AJ737" s="7">
        <v>1220.4</v>
      </c>
      <c r="AK737" s="7">
        <v>489.7</v>
      </c>
      <c r="AL737" s="7">
        <v>90.4</v>
      </c>
      <c r="AM737" s="7">
        <v>105.0</v>
      </c>
      <c r="AN737" s="7">
        <v>43.0</v>
      </c>
      <c r="AO737" s="7">
        <v>28.1</v>
      </c>
      <c r="AP737" s="9">
        <f t="shared" ref="AP737:AR737" si="2304">AG737/$AF737</f>
        <v>119.4409091</v>
      </c>
      <c r="AQ737" s="9">
        <f t="shared" si="2304"/>
        <v>38.21818182</v>
      </c>
      <c r="AR737" s="9">
        <f t="shared" si="2304"/>
        <v>53.94090909</v>
      </c>
      <c r="AS737" s="9">
        <f t="shared" si="2233"/>
        <v>92.15909091</v>
      </c>
      <c r="AT737" s="9">
        <f t="shared" ref="AT737:AV737" si="2305">AJ737/$AF737</f>
        <v>18.49090909</v>
      </c>
      <c r="AU737" s="9">
        <f t="shared" si="2305"/>
        <v>7.41969697</v>
      </c>
      <c r="AV737" s="9">
        <f t="shared" si="2305"/>
        <v>1.36969697</v>
      </c>
      <c r="AW737" s="9">
        <f t="shared" si="2235"/>
        <v>8.789393939</v>
      </c>
      <c r="AX737" s="9">
        <f t="shared" ref="AX737:AY737" si="2306">AM737/$AF737</f>
        <v>1.590909091</v>
      </c>
      <c r="AY737" s="9">
        <f t="shared" si="2306"/>
        <v>0.6515151515</v>
      </c>
      <c r="AZ737" s="9">
        <f>VLOOKUP(A737,Jogos!A:BN,58,0)</f>
        <v>31.16</v>
      </c>
      <c r="BA737" s="9">
        <f>VLOOKUP(A737,Jogos!A:BN,59,0)</f>
        <v>20.83</v>
      </c>
      <c r="BB737" s="9">
        <f>VLOOKUP(A737,Jogos!A:BN,60,0)</f>
        <v>54</v>
      </c>
      <c r="BC737" s="9">
        <f>VLOOKUP(A737,Jogos!A:BN,61,0)</f>
        <v>32.325</v>
      </c>
      <c r="BD737" s="9">
        <f>VLOOKUP(A737,Jogos!A:BN,62,0)</f>
        <v>934.35</v>
      </c>
      <c r="BE737" s="9">
        <f>VLOOKUP(A737,Jogos!A:BN,63,0)</f>
        <v>2.155</v>
      </c>
      <c r="BF737" s="9">
        <f>VLOOKUP(A737,Jogos!A:BN,64,0)</f>
        <v>25.065</v>
      </c>
      <c r="BG737" s="9">
        <f>VLOOKUP(A737,Jogos!A:BN,65,0)</f>
        <v>45.16</v>
      </c>
      <c r="BH737" s="9">
        <f>VLOOKUP(A737,Jogos!A:BN,66,0)</f>
        <v>29.69</v>
      </c>
      <c r="BI737" s="9"/>
      <c r="BJ737" s="9"/>
    </row>
    <row r="738" hidden="1">
      <c r="A738" s="10">
        <v>25.0</v>
      </c>
      <c r="B738" s="11" t="s">
        <v>562</v>
      </c>
      <c r="C738" s="2" t="s">
        <v>61</v>
      </c>
      <c r="D738" s="12">
        <v>45829.0</v>
      </c>
      <c r="E738" s="13">
        <v>0.5</v>
      </c>
      <c r="F738" s="5" t="str">
        <f>VLOOKUP(A738,Jogos!A:N,10,0)</f>
        <v>Afternoon</v>
      </c>
      <c r="G738" s="11" t="s">
        <v>122</v>
      </c>
      <c r="H738" s="6" t="str">
        <f>VLOOKUP(A738,Jogos!A:L,12,0)</f>
        <v>Open</v>
      </c>
      <c r="I738" s="6" t="str">
        <f>VLOOKUP(G738,'Estádios e Cidades'!A:B,2,0)</f>
        <v>Cincinnati</v>
      </c>
      <c r="J738" s="11" t="s">
        <v>564</v>
      </c>
      <c r="K738" s="2" t="str">
        <f>VLOOKUP(J738,Equipes!A:F,6,0)</f>
        <v>Temperate</v>
      </c>
      <c r="L738" s="2">
        <f>VLOOKUP(J738,Equipes!A:C,3,0)</f>
        <v>5</v>
      </c>
      <c r="M738" s="2" t="str">
        <f t="shared" si="4"/>
        <v>Quarter-final</v>
      </c>
      <c r="N738" s="11" t="s">
        <v>688</v>
      </c>
      <c r="O738" s="2">
        <f>VLOOKUP(N738,Equipes!A:C,3,0)</f>
        <v>18</v>
      </c>
      <c r="P738" s="2" t="str">
        <f t="shared" si="5"/>
        <v>Group</v>
      </c>
      <c r="Q738" s="2">
        <f t="shared" si="6"/>
        <v>-13</v>
      </c>
      <c r="R738" s="2" t="str">
        <f>VLOOKUP(J738,Equipes!A:B,2,0)</f>
        <v>Borussia</v>
      </c>
      <c r="S738" s="6" t="s">
        <v>601</v>
      </c>
      <c r="T738" s="7">
        <v>13.0</v>
      </c>
      <c r="U738" s="7" t="s">
        <v>602</v>
      </c>
      <c r="V738" s="7" t="str">
        <f>VLOOKUP(U738,Jogadores!B:C,2,0)</f>
        <v>MF</v>
      </c>
      <c r="W738" s="8">
        <f>VLOOKUP(U738,Jogadores!B:D,3,0)</f>
        <v>34.14246575</v>
      </c>
      <c r="X738" s="7">
        <v>0.0</v>
      </c>
      <c r="Y738" s="7">
        <f t="shared" ref="Y738:Y739" si="2310">45+AB738</f>
        <v>96</v>
      </c>
      <c r="Z738" s="7">
        <f>VLOOKUP(A738,Jogos!A:L,3,0)</f>
        <v>48</v>
      </c>
      <c r="AA738" s="7">
        <f t="shared" si="2229"/>
        <v>48</v>
      </c>
      <c r="AB738" s="7">
        <f>VLOOKUP(A738,Jogos!A:L,4,0)</f>
        <v>51</v>
      </c>
      <c r="AC738" s="7">
        <f t="shared" si="2230"/>
        <v>51</v>
      </c>
      <c r="AD738" s="7"/>
      <c r="AE738" s="7"/>
      <c r="AF738" s="7">
        <f t="shared" si="2231"/>
        <v>99</v>
      </c>
      <c r="AG738" s="7">
        <v>11586.3</v>
      </c>
      <c r="AH738" s="7">
        <v>3696.7</v>
      </c>
      <c r="AI738" s="7">
        <v>5203.6</v>
      </c>
      <c r="AJ738" s="7">
        <v>1918.6</v>
      </c>
      <c r="AK738" s="7">
        <v>699.1</v>
      </c>
      <c r="AL738" s="7">
        <v>68.3</v>
      </c>
      <c r="AM738" s="7">
        <v>175.0</v>
      </c>
      <c r="AN738" s="7">
        <v>39.0</v>
      </c>
      <c r="AO738" s="7">
        <v>28.8</v>
      </c>
      <c r="AP738" s="9">
        <f t="shared" ref="AP738:AR738" si="2307">AG738/$AF738</f>
        <v>117.0333333</v>
      </c>
      <c r="AQ738" s="9">
        <f t="shared" si="2307"/>
        <v>37.34040404</v>
      </c>
      <c r="AR738" s="9">
        <f t="shared" si="2307"/>
        <v>52.56161616</v>
      </c>
      <c r="AS738" s="9">
        <f t="shared" si="2233"/>
        <v>89.9020202</v>
      </c>
      <c r="AT738" s="9">
        <f t="shared" ref="AT738:AV738" si="2308">AJ738/$AF738</f>
        <v>19.37979798</v>
      </c>
      <c r="AU738" s="9">
        <f t="shared" si="2308"/>
        <v>7.061616162</v>
      </c>
      <c r="AV738" s="9">
        <f t="shared" si="2308"/>
        <v>0.6898989899</v>
      </c>
      <c r="AW738" s="9">
        <f t="shared" si="2235"/>
        <v>7.751515152</v>
      </c>
      <c r="AX738" s="9">
        <f t="shared" ref="AX738:AY738" si="2309">AM738/$AF738</f>
        <v>1.767676768</v>
      </c>
      <c r="AY738" s="9">
        <f t="shared" si="2309"/>
        <v>0.3939393939</v>
      </c>
      <c r="AZ738" s="9">
        <f>VLOOKUP(A738,Jogos!A:BN,58,0)</f>
        <v>31.16</v>
      </c>
      <c r="BA738" s="9">
        <f>VLOOKUP(A738,Jogos!A:BN,59,0)</f>
        <v>20.83</v>
      </c>
      <c r="BB738" s="9">
        <f>VLOOKUP(A738,Jogos!A:BN,60,0)</f>
        <v>54</v>
      </c>
      <c r="BC738" s="9">
        <f>VLOOKUP(A738,Jogos!A:BN,61,0)</f>
        <v>32.325</v>
      </c>
      <c r="BD738" s="9">
        <f>VLOOKUP(A738,Jogos!A:BN,62,0)</f>
        <v>934.35</v>
      </c>
      <c r="BE738" s="9">
        <f>VLOOKUP(A738,Jogos!A:BN,63,0)</f>
        <v>2.155</v>
      </c>
      <c r="BF738" s="9">
        <f>VLOOKUP(A738,Jogos!A:BN,64,0)</f>
        <v>25.065</v>
      </c>
      <c r="BG738" s="9">
        <f>VLOOKUP(A738,Jogos!A:BN,65,0)</f>
        <v>45.16</v>
      </c>
      <c r="BH738" s="9">
        <f>VLOOKUP(A738,Jogos!A:BN,66,0)</f>
        <v>29.69</v>
      </c>
      <c r="BI738" s="9"/>
      <c r="BJ738" s="9"/>
    </row>
    <row r="739" hidden="1">
      <c r="A739" s="10">
        <v>25.0</v>
      </c>
      <c r="B739" s="11" t="s">
        <v>562</v>
      </c>
      <c r="C739" s="2" t="s">
        <v>61</v>
      </c>
      <c r="D739" s="12">
        <v>45829.0</v>
      </c>
      <c r="E739" s="13">
        <v>0.5</v>
      </c>
      <c r="F739" s="5" t="str">
        <f>VLOOKUP(A739,Jogos!A:N,10,0)</f>
        <v>Afternoon</v>
      </c>
      <c r="G739" s="11" t="s">
        <v>122</v>
      </c>
      <c r="H739" s="6" t="str">
        <f>VLOOKUP(A739,Jogos!A:L,12,0)</f>
        <v>Open</v>
      </c>
      <c r="I739" s="6" t="str">
        <f>VLOOKUP(G739,'Estádios e Cidades'!A:B,2,0)</f>
        <v>Cincinnati</v>
      </c>
      <c r="J739" s="11" t="s">
        <v>564</v>
      </c>
      <c r="K739" s="2" t="str">
        <f>VLOOKUP(J739,Equipes!A:F,6,0)</f>
        <v>Temperate</v>
      </c>
      <c r="L739" s="2">
        <f>VLOOKUP(J739,Equipes!A:C,3,0)</f>
        <v>5</v>
      </c>
      <c r="M739" s="2" t="str">
        <f t="shared" si="4"/>
        <v>Quarter-final</v>
      </c>
      <c r="N739" s="11" t="s">
        <v>688</v>
      </c>
      <c r="O739" s="2">
        <f>VLOOKUP(N739,Equipes!A:C,3,0)</f>
        <v>18</v>
      </c>
      <c r="P739" s="2" t="str">
        <f t="shared" si="5"/>
        <v>Group</v>
      </c>
      <c r="Q739" s="2">
        <f t="shared" si="6"/>
        <v>-13</v>
      </c>
      <c r="R739" s="2" t="str">
        <f>VLOOKUP(J739,Equipes!A:B,2,0)</f>
        <v>Borussia</v>
      </c>
      <c r="S739" s="6" t="s">
        <v>605</v>
      </c>
      <c r="T739" s="7">
        <v>24.0</v>
      </c>
      <c r="U739" s="7" t="s">
        <v>606</v>
      </c>
      <c r="V739" s="7" t="str">
        <f>VLOOKUP(U739,Jogadores!B:C,2,0)</f>
        <v>DF</v>
      </c>
      <c r="W739" s="8">
        <f>VLOOKUP(U739,Jogadores!B:D,3,0)</f>
        <v>23.47123288</v>
      </c>
      <c r="X739" s="7">
        <v>0.0</v>
      </c>
      <c r="Y739" s="7">
        <f t="shared" si="2310"/>
        <v>96</v>
      </c>
      <c r="Z739" s="7">
        <f>VLOOKUP(A739,Jogos!A:L,3,0)</f>
        <v>48</v>
      </c>
      <c r="AA739" s="7">
        <f t="shared" si="2229"/>
        <v>48</v>
      </c>
      <c r="AB739" s="7">
        <f>VLOOKUP(A739,Jogos!A:L,4,0)</f>
        <v>51</v>
      </c>
      <c r="AC739" s="7">
        <f t="shared" si="2230"/>
        <v>51</v>
      </c>
      <c r="AD739" s="7"/>
      <c r="AE739" s="7"/>
      <c r="AF739" s="7">
        <f t="shared" si="2231"/>
        <v>99</v>
      </c>
      <c r="AG739" s="7">
        <v>11376.6</v>
      </c>
      <c r="AH739" s="7">
        <v>3602.4</v>
      </c>
      <c r="AI739" s="7">
        <v>4735.6</v>
      </c>
      <c r="AJ739" s="7">
        <v>1680.6</v>
      </c>
      <c r="AK739" s="7">
        <v>922.7</v>
      </c>
      <c r="AL739" s="7">
        <v>435.3</v>
      </c>
      <c r="AM739" s="7">
        <v>150.0</v>
      </c>
      <c r="AN739" s="7">
        <v>70.0</v>
      </c>
      <c r="AO739" s="7">
        <v>31.2</v>
      </c>
      <c r="AP739" s="9">
        <f t="shared" ref="AP739:AR739" si="2311">AG739/$AF739</f>
        <v>114.9151515</v>
      </c>
      <c r="AQ739" s="9">
        <f t="shared" si="2311"/>
        <v>36.38787879</v>
      </c>
      <c r="AR739" s="9">
        <f t="shared" si="2311"/>
        <v>47.83434343</v>
      </c>
      <c r="AS739" s="9">
        <f t="shared" si="2233"/>
        <v>84.22222222</v>
      </c>
      <c r="AT739" s="9">
        <f t="shared" ref="AT739:AV739" si="2312">AJ739/$AF739</f>
        <v>16.97575758</v>
      </c>
      <c r="AU739" s="9">
        <f t="shared" si="2312"/>
        <v>9.32020202</v>
      </c>
      <c r="AV739" s="9">
        <f t="shared" si="2312"/>
        <v>4.396969697</v>
      </c>
      <c r="AW739" s="9">
        <f t="shared" si="2235"/>
        <v>13.71717172</v>
      </c>
      <c r="AX739" s="9">
        <f t="shared" ref="AX739:AY739" si="2313">AM739/$AF739</f>
        <v>1.515151515</v>
      </c>
      <c r="AY739" s="9">
        <f t="shared" si="2313"/>
        <v>0.7070707071</v>
      </c>
      <c r="AZ739" s="9">
        <f>VLOOKUP(A739,Jogos!A:BN,58,0)</f>
        <v>31.16</v>
      </c>
      <c r="BA739" s="9">
        <f>VLOOKUP(A739,Jogos!A:BN,59,0)</f>
        <v>20.83</v>
      </c>
      <c r="BB739" s="9">
        <f>VLOOKUP(A739,Jogos!A:BN,60,0)</f>
        <v>54</v>
      </c>
      <c r="BC739" s="9">
        <f>VLOOKUP(A739,Jogos!A:BN,61,0)</f>
        <v>32.325</v>
      </c>
      <c r="BD739" s="9">
        <f>VLOOKUP(A739,Jogos!A:BN,62,0)</f>
        <v>934.35</v>
      </c>
      <c r="BE739" s="9">
        <f>VLOOKUP(A739,Jogos!A:BN,63,0)</f>
        <v>2.155</v>
      </c>
      <c r="BF739" s="9">
        <f>VLOOKUP(A739,Jogos!A:BN,64,0)</f>
        <v>25.065</v>
      </c>
      <c r="BG739" s="9">
        <f>VLOOKUP(A739,Jogos!A:BN,65,0)</f>
        <v>45.16</v>
      </c>
      <c r="BH739" s="9">
        <f>VLOOKUP(A739,Jogos!A:BN,66,0)</f>
        <v>29.69</v>
      </c>
      <c r="BI739" s="9"/>
      <c r="BJ739" s="9"/>
    </row>
    <row r="740" hidden="1">
      <c r="A740" s="10">
        <v>25.0</v>
      </c>
      <c r="B740" s="11" t="s">
        <v>562</v>
      </c>
      <c r="C740" s="2" t="s">
        <v>61</v>
      </c>
      <c r="D740" s="12">
        <v>45829.0</v>
      </c>
      <c r="E740" s="13">
        <v>0.5</v>
      </c>
      <c r="F740" s="5" t="str">
        <f>VLOOKUP(A740,Jogos!A:N,10,0)</f>
        <v>Afternoon</v>
      </c>
      <c r="G740" s="11" t="s">
        <v>122</v>
      </c>
      <c r="H740" s="6" t="str">
        <f>VLOOKUP(A740,Jogos!A:L,12,0)</f>
        <v>Open</v>
      </c>
      <c r="I740" s="6" t="str">
        <f>VLOOKUP(G740,'Estádios e Cidades'!A:B,2,0)</f>
        <v>Cincinnati</v>
      </c>
      <c r="J740" s="11" t="s">
        <v>564</v>
      </c>
      <c r="K740" s="2" t="str">
        <f>VLOOKUP(J740,Equipes!A:F,6,0)</f>
        <v>Temperate</v>
      </c>
      <c r="L740" s="2">
        <f>VLOOKUP(J740,Equipes!A:C,3,0)</f>
        <v>5</v>
      </c>
      <c r="M740" s="2" t="str">
        <f t="shared" si="4"/>
        <v>Quarter-final</v>
      </c>
      <c r="N740" s="11" t="s">
        <v>688</v>
      </c>
      <c r="O740" s="2">
        <f>VLOOKUP(N740,Equipes!A:C,3,0)</f>
        <v>18</v>
      </c>
      <c r="P740" s="2" t="str">
        <f t="shared" si="5"/>
        <v>Group</v>
      </c>
      <c r="Q740" s="2">
        <f t="shared" si="6"/>
        <v>-13</v>
      </c>
      <c r="R740" s="2" t="str">
        <f>VLOOKUP(J740,Equipes!A:B,2,0)</f>
        <v>Borussia</v>
      </c>
      <c r="S740" s="6" t="s">
        <v>607</v>
      </c>
      <c r="T740" s="7">
        <v>25.0</v>
      </c>
      <c r="U740" s="7" t="s">
        <v>608</v>
      </c>
      <c r="V740" s="7" t="str">
        <f>VLOOKUP(U740,Jogadores!B:C,2,0)</f>
        <v>DF</v>
      </c>
      <c r="W740" s="8">
        <f>VLOOKUP(U740,Jogadores!B:D,3,0)</f>
        <v>29.92054795</v>
      </c>
      <c r="X740" s="7">
        <v>0.0</v>
      </c>
      <c r="Y740" s="7">
        <v>83.0</v>
      </c>
      <c r="Z740" s="7">
        <f>VLOOKUP(A740,Jogos!A:L,3,0)</f>
        <v>48</v>
      </c>
      <c r="AA740" s="7">
        <f t="shared" si="2229"/>
        <v>48</v>
      </c>
      <c r="AB740" s="7">
        <f>VLOOKUP(A740,Jogos!A:L,4,0)</f>
        <v>51</v>
      </c>
      <c r="AC740" s="7">
        <f t="shared" si="2230"/>
        <v>38</v>
      </c>
      <c r="AD740" s="7"/>
      <c r="AE740" s="7"/>
      <c r="AF740" s="7">
        <f t="shared" si="2231"/>
        <v>86</v>
      </c>
      <c r="AG740" s="7">
        <v>8245.0</v>
      </c>
      <c r="AH740" s="7">
        <v>3640.3</v>
      </c>
      <c r="AI740" s="7">
        <v>3439.3</v>
      </c>
      <c r="AJ740" s="7">
        <v>689.2</v>
      </c>
      <c r="AK740" s="7">
        <v>285.5</v>
      </c>
      <c r="AL740" s="7">
        <v>190.7</v>
      </c>
      <c r="AM740" s="7">
        <v>66.0</v>
      </c>
      <c r="AN740" s="7">
        <v>26.0</v>
      </c>
      <c r="AO740" s="7">
        <v>31.9</v>
      </c>
      <c r="AP740" s="9">
        <f t="shared" ref="AP740:AR740" si="2314">AG740/$AF740</f>
        <v>95.87209302</v>
      </c>
      <c r="AQ740" s="9">
        <f t="shared" si="2314"/>
        <v>42.32906977</v>
      </c>
      <c r="AR740" s="9">
        <f t="shared" si="2314"/>
        <v>39.99186047</v>
      </c>
      <c r="AS740" s="9">
        <f t="shared" si="2233"/>
        <v>82.32093023</v>
      </c>
      <c r="AT740" s="9">
        <f t="shared" ref="AT740:AV740" si="2315">AJ740/$AF740</f>
        <v>8.013953488</v>
      </c>
      <c r="AU740" s="9">
        <f t="shared" si="2315"/>
        <v>3.319767442</v>
      </c>
      <c r="AV740" s="9">
        <f t="shared" si="2315"/>
        <v>2.21744186</v>
      </c>
      <c r="AW740" s="9">
        <f t="shared" si="2235"/>
        <v>5.537209302</v>
      </c>
      <c r="AX740" s="9">
        <f t="shared" ref="AX740:AY740" si="2316">AM740/$AF740</f>
        <v>0.7674418605</v>
      </c>
      <c r="AY740" s="9">
        <f t="shared" si="2316"/>
        <v>0.3023255814</v>
      </c>
      <c r="AZ740" s="9">
        <f>VLOOKUP(A740,Jogos!A:BN,58,0)</f>
        <v>31.16</v>
      </c>
      <c r="BA740" s="9">
        <f>VLOOKUP(A740,Jogos!A:BN,59,0)</f>
        <v>20.83</v>
      </c>
      <c r="BB740" s="9">
        <f>VLOOKUP(A740,Jogos!A:BN,60,0)</f>
        <v>54</v>
      </c>
      <c r="BC740" s="9">
        <f>VLOOKUP(A740,Jogos!A:BN,61,0)</f>
        <v>32.325</v>
      </c>
      <c r="BD740" s="9">
        <f>VLOOKUP(A740,Jogos!A:BN,62,0)</f>
        <v>934.35</v>
      </c>
      <c r="BE740" s="9">
        <f>VLOOKUP(A740,Jogos!A:BN,63,0)</f>
        <v>2.155</v>
      </c>
      <c r="BF740" s="9">
        <f>VLOOKUP(A740,Jogos!A:BN,64,0)</f>
        <v>25.065</v>
      </c>
      <c r="BG740" s="9">
        <f>VLOOKUP(A740,Jogos!A:BN,65,0)</f>
        <v>45.16</v>
      </c>
      <c r="BH740" s="9">
        <f>VLOOKUP(A740,Jogos!A:BN,66,0)</f>
        <v>29.69</v>
      </c>
      <c r="BI740" s="9"/>
      <c r="BJ740" s="9"/>
    </row>
    <row r="741" hidden="1">
      <c r="A741" s="10">
        <v>25.0</v>
      </c>
      <c r="B741" s="11" t="s">
        <v>562</v>
      </c>
      <c r="C741" s="2" t="s">
        <v>61</v>
      </c>
      <c r="D741" s="12">
        <v>45829.0</v>
      </c>
      <c r="E741" s="13">
        <v>0.5</v>
      </c>
      <c r="F741" s="5" t="str">
        <f>VLOOKUP(A741,Jogos!A:N,10,0)</f>
        <v>Afternoon</v>
      </c>
      <c r="G741" s="11" t="s">
        <v>122</v>
      </c>
      <c r="H741" s="6" t="str">
        <f>VLOOKUP(A741,Jogos!A:L,12,0)</f>
        <v>Open</v>
      </c>
      <c r="I741" s="6" t="str">
        <f>VLOOKUP(G741,'Estádios e Cidades'!A:B,2,0)</f>
        <v>Cincinnati</v>
      </c>
      <c r="J741" s="11" t="s">
        <v>564</v>
      </c>
      <c r="K741" s="2" t="str">
        <f>VLOOKUP(J741,Equipes!A:F,6,0)</f>
        <v>Temperate</v>
      </c>
      <c r="L741" s="2">
        <f>VLOOKUP(J741,Equipes!A:C,3,0)</f>
        <v>5</v>
      </c>
      <c r="M741" s="2" t="str">
        <f t="shared" si="4"/>
        <v>Quarter-final</v>
      </c>
      <c r="N741" s="11" t="s">
        <v>688</v>
      </c>
      <c r="O741" s="2">
        <f>VLOOKUP(N741,Equipes!A:C,3,0)</f>
        <v>18</v>
      </c>
      <c r="P741" s="2" t="str">
        <f t="shared" si="5"/>
        <v>Group</v>
      </c>
      <c r="Q741" s="2">
        <f t="shared" si="6"/>
        <v>-13</v>
      </c>
      <c r="R741" s="2" t="str">
        <f>VLOOKUP(J741,Equipes!A:B,2,0)</f>
        <v>Borussia</v>
      </c>
      <c r="S741" s="6" t="s">
        <v>621</v>
      </c>
      <c r="T741" s="7">
        <v>77.0</v>
      </c>
      <c r="U741" s="7" t="s">
        <v>622</v>
      </c>
      <c r="V741" s="7" t="str">
        <f>VLOOKUP(U741,Jogadores!B:C,2,0)</f>
        <v>MF</v>
      </c>
      <c r="W741" s="8">
        <f>VLOOKUP(U741,Jogadores!B:D,3,0)</f>
        <v>19.85753425</v>
      </c>
      <c r="X741" s="7">
        <v>0.0</v>
      </c>
      <c r="Y741" s="7">
        <v>84.0</v>
      </c>
      <c r="Z741" s="7">
        <f>VLOOKUP(A741,Jogos!A:L,3,0)</f>
        <v>48</v>
      </c>
      <c r="AA741" s="7">
        <f t="shared" si="2229"/>
        <v>48</v>
      </c>
      <c r="AB741" s="7">
        <f>VLOOKUP(A741,Jogos!A:L,4,0)</f>
        <v>51</v>
      </c>
      <c r="AC741" s="7">
        <f t="shared" si="2230"/>
        <v>39</v>
      </c>
      <c r="AD741" s="7"/>
      <c r="AE741" s="7"/>
      <c r="AF741" s="7">
        <f t="shared" si="2231"/>
        <v>87</v>
      </c>
      <c r="AG741" s="7">
        <v>8991.8</v>
      </c>
      <c r="AH741" s="7">
        <v>3484.2</v>
      </c>
      <c r="AI741" s="7">
        <v>3463.2</v>
      </c>
      <c r="AJ741" s="7">
        <v>1366.2</v>
      </c>
      <c r="AK741" s="7">
        <v>513.3</v>
      </c>
      <c r="AL741" s="7">
        <v>164.9</v>
      </c>
      <c r="AM741" s="7">
        <v>120.0</v>
      </c>
      <c r="AN741" s="7">
        <v>46.0</v>
      </c>
      <c r="AO741" s="7">
        <v>30.1</v>
      </c>
      <c r="AP741" s="9">
        <f t="shared" ref="AP741:AR741" si="2317">AG741/$AF741</f>
        <v>103.354023</v>
      </c>
      <c r="AQ741" s="9">
        <f t="shared" si="2317"/>
        <v>40.04827586</v>
      </c>
      <c r="AR741" s="9">
        <f t="shared" si="2317"/>
        <v>39.80689655</v>
      </c>
      <c r="AS741" s="9">
        <f t="shared" si="2233"/>
        <v>79.85517241</v>
      </c>
      <c r="AT741" s="9">
        <f t="shared" ref="AT741:AV741" si="2318">AJ741/$AF741</f>
        <v>15.70344828</v>
      </c>
      <c r="AU741" s="9">
        <f t="shared" si="2318"/>
        <v>5.9</v>
      </c>
      <c r="AV741" s="9">
        <f t="shared" si="2318"/>
        <v>1.895402299</v>
      </c>
      <c r="AW741" s="9">
        <f t="shared" si="2235"/>
        <v>7.795402299</v>
      </c>
      <c r="AX741" s="9">
        <f t="shared" ref="AX741:AY741" si="2319">AM741/$AF741</f>
        <v>1.379310345</v>
      </c>
      <c r="AY741" s="9">
        <f t="shared" si="2319"/>
        <v>0.5287356322</v>
      </c>
      <c r="AZ741" s="9">
        <f>VLOOKUP(A741,Jogos!A:BN,58,0)</f>
        <v>31.16</v>
      </c>
      <c r="BA741" s="9">
        <f>VLOOKUP(A741,Jogos!A:BN,59,0)</f>
        <v>20.83</v>
      </c>
      <c r="BB741" s="9">
        <f>VLOOKUP(A741,Jogos!A:BN,60,0)</f>
        <v>54</v>
      </c>
      <c r="BC741" s="9">
        <f>VLOOKUP(A741,Jogos!A:BN,61,0)</f>
        <v>32.325</v>
      </c>
      <c r="BD741" s="9">
        <f>VLOOKUP(A741,Jogos!A:BN,62,0)</f>
        <v>934.35</v>
      </c>
      <c r="BE741" s="9">
        <f>VLOOKUP(A741,Jogos!A:BN,63,0)</f>
        <v>2.155</v>
      </c>
      <c r="BF741" s="9">
        <f>VLOOKUP(A741,Jogos!A:BN,64,0)</f>
        <v>25.065</v>
      </c>
      <c r="BG741" s="9">
        <f>VLOOKUP(A741,Jogos!A:BN,65,0)</f>
        <v>45.16</v>
      </c>
      <c r="BH741" s="9">
        <f>VLOOKUP(A741,Jogos!A:BN,66,0)</f>
        <v>29.69</v>
      </c>
      <c r="BI741" s="9"/>
      <c r="BJ741" s="9"/>
    </row>
    <row r="742" hidden="1">
      <c r="A742" s="10">
        <v>25.0</v>
      </c>
      <c r="B742" s="11" t="s">
        <v>562</v>
      </c>
      <c r="C742" s="2" t="s">
        <v>61</v>
      </c>
      <c r="D742" s="12">
        <v>45829.0</v>
      </c>
      <c r="E742" s="13">
        <v>0.5</v>
      </c>
      <c r="F742" s="5" t="str">
        <f>VLOOKUP(A742,Jogos!A:N,10,0)</f>
        <v>Afternoon</v>
      </c>
      <c r="G742" s="11" t="s">
        <v>122</v>
      </c>
      <c r="H742" s="6" t="str">
        <f>VLOOKUP(A742,Jogos!A:L,12,0)</f>
        <v>Open</v>
      </c>
      <c r="I742" s="6" t="str">
        <f>VLOOKUP(G742,'Estádios e Cidades'!A:B,2,0)</f>
        <v>Cincinnati</v>
      </c>
      <c r="J742" s="11" t="s">
        <v>564</v>
      </c>
      <c r="K742" s="2" t="str">
        <f>VLOOKUP(J742,Equipes!A:F,6,0)</f>
        <v>Temperate</v>
      </c>
      <c r="L742" s="2">
        <f>VLOOKUP(J742,Equipes!A:C,3,0)</f>
        <v>5</v>
      </c>
      <c r="M742" s="2" t="str">
        <f t="shared" si="4"/>
        <v>Quarter-final</v>
      </c>
      <c r="N742" s="11" t="s">
        <v>688</v>
      </c>
      <c r="O742" s="2">
        <f>VLOOKUP(N742,Equipes!A:C,3,0)</f>
        <v>18</v>
      </c>
      <c r="P742" s="2" t="str">
        <f t="shared" si="5"/>
        <v>Group</v>
      </c>
      <c r="Q742" s="2">
        <f t="shared" si="6"/>
        <v>-13</v>
      </c>
      <c r="R742" s="2" t="str">
        <f>VLOOKUP(J742,Equipes!A:B,2,0)</f>
        <v>Borussia</v>
      </c>
      <c r="S742" s="6" t="s">
        <v>1156</v>
      </c>
      <c r="T742" s="7">
        <v>14.0</v>
      </c>
      <c r="U742" s="7" t="s">
        <v>1157</v>
      </c>
      <c r="V742" s="7" t="str">
        <f>VLOOKUP(U742,Jogadores!B:C,2,0)</f>
        <v>FW</v>
      </c>
      <c r="W742" s="8">
        <f>VLOOKUP(U742,Jogadores!B:D,3,0)</f>
        <v>22.79452055</v>
      </c>
      <c r="X742" s="7">
        <v>84.0</v>
      </c>
      <c r="Y742" s="7">
        <f t="shared" ref="Y742:Y748" si="2323">45+AB742</f>
        <v>96</v>
      </c>
      <c r="Z742" s="7">
        <f>VLOOKUP(A742,Jogos!A:L,3,0)</f>
        <v>48</v>
      </c>
      <c r="AA742" s="7">
        <f t="shared" si="2229"/>
        <v>0</v>
      </c>
      <c r="AB742" s="7">
        <f>VLOOKUP(A742,Jogos!A:L,4,0)</f>
        <v>51</v>
      </c>
      <c r="AC742" s="7">
        <f t="shared" si="2230"/>
        <v>12</v>
      </c>
      <c r="AD742" s="7"/>
      <c r="AE742" s="7"/>
      <c r="AF742" s="7">
        <f t="shared" si="2231"/>
        <v>12</v>
      </c>
      <c r="AG742" s="7">
        <v>1543.8</v>
      </c>
      <c r="AH742" s="7">
        <v>472.6</v>
      </c>
      <c r="AI742" s="7">
        <v>692.3</v>
      </c>
      <c r="AJ742" s="7">
        <v>256.6</v>
      </c>
      <c r="AK742" s="7">
        <v>81.6</v>
      </c>
      <c r="AL742" s="7">
        <v>40.7</v>
      </c>
      <c r="AM742" s="7">
        <v>22.0</v>
      </c>
      <c r="AN742" s="7">
        <v>4.0</v>
      </c>
      <c r="AO742" s="7">
        <v>30.4</v>
      </c>
      <c r="AP742" s="9">
        <f t="shared" ref="AP742:AR742" si="2320">AG742/$AF742</f>
        <v>128.65</v>
      </c>
      <c r="AQ742" s="9">
        <f t="shared" si="2320"/>
        <v>39.38333333</v>
      </c>
      <c r="AR742" s="9">
        <f t="shared" si="2320"/>
        <v>57.69166667</v>
      </c>
      <c r="AS742" s="9">
        <f t="shared" si="2233"/>
        <v>97.075</v>
      </c>
      <c r="AT742" s="9">
        <f t="shared" ref="AT742:AV742" si="2321">AJ742/$AF742</f>
        <v>21.38333333</v>
      </c>
      <c r="AU742" s="9">
        <f t="shared" si="2321"/>
        <v>6.8</v>
      </c>
      <c r="AV742" s="9">
        <f t="shared" si="2321"/>
        <v>3.391666667</v>
      </c>
      <c r="AW742" s="9">
        <f t="shared" si="2235"/>
        <v>10.19166667</v>
      </c>
      <c r="AX742" s="9">
        <f t="shared" ref="AX742:AY742" si="2322">AM742/$AF742</f>
        <v>1.833333333</v>
      </c>
      <c r="AY742" s="9">
        <f t="shared" si="2322"/>
        <v>0.3333333333</v>
      </c>
      <c r="AZ742" s="9">
        <f>VLOOKUP(A742,Jogos!A:BN,58,0)</f>
        <v>31.16</v>
      </c>
      <c r="BA742" s="9">
        <f>VLOOKUP(A742,Jogos!A:BN,59,0)</f>
        <v>20.83</v>
      </c>
      <c r="BB742" s="9">
        <f>VLOOKUP(A742,Jogos!A:BN,60,0)</f>
        <v>54</v>
      </c>
      <c r="BC742" s="9">
        <f>VLOOKUP(A742,Jogos!A:BN,61,0)</f>
        <v>32.325</v>
      </c>
      <c r="BD742" s="9">
        <f>VLOOKUP(A742,Jogos!A:BN,62,0)</f>
        <v>934.35</v>
      </c>
      <c r="BE742" s="9">
        <f>VLOOKUP(A742,Jogos!A:BN,63,0)</f>
        <v>2.155</v>
      </c>
      <c r="BF742" s="9">
        <f>VLOOKUP(A742,Jogos!A:BN,64,0)</f>
        <v>25.065</v>
      </c>
      <c r="BG742" s="9">
        <f>VLOOKUP(A742,Jogos!A:BN,65,0)</f>
        <v>45.16</v>
      </c>
      <c r="BH742" s="9">
        <f>VLOOKUP(A742,Jogos!A:BN,66,0)</f>
        <v>29.69</v>
      </c>
      <c r="BI742" s="9"/>
      <c r="BJ742" s="9"/>
    </row>
    <row r="743" hidden="1">
      <c r="A743" s="10">
        <v>25.0</v>
      </c>
      <c r="B743" s="11" t="s">
        <v>562</v>
      </c>
      <c r="C743" s="2" t="s">
        <v>61</v>
      </c>
      <c r="D743" s="12">
        <v>45829.0</v>
      </c>
      <c r="E743" s="13">
        <v>0.5</v>
      </c>
      <c r="F743" s="5" t="str">
        <f>VLOOKUP(A743,Jogos!A:N,10,0)</f>
        <v>Afternoon</v>
      </c>
      <c r="G743" s="11" t="s">
        <v>122</v>
      </c>
      <c r="H743" s="6" t="str">
        <f>VLOOKUP(A743,Jogos!A:L,12,0)</f>
        <v>Open</v>
      </c>
      <c r="I743" s="6" t="str">
        <f>VLOOKUP(G743,'Estádios e Cidades'!A:B,2,0)</f>
        <v>Cincinnati</v>
      </c>
      <c r="J743" s="11" t="s">
        <v>564</v>
      </c>
      <c r="K743" s="2" t="str">
        <f>VLOOKUP(J743,Equipes!A:F,6,0)</f>
        <v>Temperate</v>
      </c>
      <c r="L743" s="2">
        <f>VLOOKUP(J743,Equipes!A:C,3,0)</f>
        <v>5</v>
      </c>
      <c r="M743" s="2" t="str">
        <f t="shared" si="4"/>
        <v>Quarter-final</v>
      </c>
      <c r="N743" s="11" t="s">
        <v>688</v>
      </c>
      <c r="O743" s="2">
        <f>VLOOKUP(N743,Equipes!A:C,3,0)</f>
        <v>18</v>
      </c>
      <c r="P743" s="2" t="str">
        <f t="shared" si="5"/>
        <v>Group</v>
      </c>
      <c r="Q743" s="2">
        <f t="shared" si="6"/>
        <v>-13</v>
      </c>
      <c r="R743" s="2" t="str">
        <f>VLOOKUP(J743,Equipes!A:B,2,0)</f>
        <v>Borussia</v>
      </c>
      <c r="S743" s="6" t="s">
        <v>617</v>
      </c>
      <c r="T743" s="7">
        <v>17.0</v>
      </c>
      <c r="U743" s="7" t="s">
        <v>618</v>
      </c>
      <c r="V743" s="7" t="str">
        <f>VLOOKUP(U743,Jogadores!B:C,2,0)</f>
        <v>MF</v>
      </c>
      <c r="W743" s="8">
        <f>VLOOKUP(U743,Jogadores!B:D,3,0)</f>
        <v>21.78630137</v>
      </c>
      <c r="X743" s="7">
        <v>63.0</v>
      </c>
      <c r="Y743" s="7">
        <f t="shared" si="2323"/>
        <v>96</v>
      </c>
      <c r="Z743" s="7">
        <f>VLOOKUP(A743,Jogos!A:L,3,0)</f>
        <v>48</v>
      </c>
      <c r="AA743" s="7">
        <f t="shared" si="2229"/>
        <v>0</v>
      </c>
      <c r="AB743" s="7">
        <f>VLOOKUP(A743,Jogos!A:L,4,0)</f>
        <v>51</v>
      </c>
      <c r="AC743" s="7">
        <f t="shared" si="2230"/>
        <v>33</v>
      </c>
      <c r="AD743" s="7"/>
      <c r="AE743" s="7"/>
      <c r="AF743" s="7">
        <f t="shared" si="2231"/>
        <v>33</v>
      </c>
      <c r="AG743" s="7">
        <v>3577.2</v>
      </c>
      <c r="AH743" s="7">
        <v>1459.8</v>
      </c>
      <c r="AI743" s="7">
        <v>1457.4</v>
      </c>
      <c r="AJ743" s="7">
        <v>410.8</v>
      </c>
      <c r="AK743" s="7">
        <v>177.2</v>
      </c>
      <c r="AL743" s="7">
        <v>72.0</v>
      </c>
      <c r="AM743" s="7">
        <v>38.0</v>
      </c>
      <c r="AN743" s="7">
        <v>15.0</v>
      </c>
      <c r="AO743" s="7">
        <v>28.7</v>
      </c>
      <c r="AP743" s="9">
        <f t="shared" ref="AP743:AR743" si="2324">AG743/$AF743</f>
        <v>108.4</v>
      </c>
      <c r="AQ743" s="9">
        <f t="shared" si="2324"/>
        <v>44.23636364</v>
      </c>
      <c r="AR743" s="9">
        <f t="shared" si="2324"/>
        <v>44.16363636</v>
      </c>
      <c r="AS743" s="9">
        <f t="shared" si="2233"/>
        <v>88.4</v>
      </c>
      <c r="AT743" s="9">
        <f t="shared" ref="AT743:AV743" si="2325">AJ743/$AF743</f>
        <v>12.44848485</v>
      </c>
      <c r="AU743" s="9">
        <f t="shared" si="2325"/>
        <v>5.36969697</v>
      </c>
      <c r="AV743" s="9">
        <f t="shared" si="2325"/>
        <v>2.181818182</v>
      </c>
      <c r="AW743" s="9">
        <f t="shared" si="2235"/>
        <v>7.551515152</v>
      </c>
      <c r="AX743" s="9">
        <f t="shared" ref="AX743:AY743" si="2326">AM743/$AF743</f>
        <v>1.151515152</v>
      </c>
      <c r="AY743" s="9">
        <f t="shared" si="2326"/>
        <v>0.4545454545</v>
      </c>
      <c r="AZ743" s="9">
        <f>VLOOKUP(A743,Jogos!A:BN,58,0)</f>
        <v>31.16</v>
      </c>
      <c r="BA743" s="9">
        <f>VLOOKUP(A743,Jogos!A:BN,59,0)</f>
        <v>20.83</v>
      </c>
      <c r="BB743" s="9">
        <f>VLOOKUP(A743,Jogos!A:BN,60,0)</f>
        <v>54</v>
      </c>
      <c r="BC743" s="9">
        <f>VLOOKUP(A743,Jogos!A:BN,61,0)</f>
        <v>32.325</v>
      </c>
      <c r="BD743" s="9">
        <f>VLOOKUP(A743,Jogos!A:BN,62,0)</f>
        <v>934.35</v>
      </c>
      <c r="BE743" s="9">
        <f>VLOOKUP(A743,Jogos!A:BN,63,0)</f>
        <v>2.155</v>
      </c>
      <c r="BF743" s="9">
        <f>VLOOKUP(A743,Jogos!A:BN,64,0)</f>
        <v>25.065</v>
      </c>
      <c r="BG743" s="9">
        <f>VLOOKUP(A743,Jogos!A:BN,65,0)</f>
        <v>45.16</v>
      </c>
      <c r="BH743" s="9">
        <f>VLOOKUP(A743,Jogos!A:BN,66,0)</f>
        <v>29.69</v>
      </c>
      <c r="BI743" s="9"/>
      <c r="BJ743" s="9"/>
    </row>
    <row r="744" hidden="1">
      <c r="A744" s="10">
        <v>25.0</v>
      </c>
      <c r="B744" s="11" t="s">
        <v>562</v>
      </c>
      <c r="C744" s="2" t="s">
        <v>61</v>
      </c>
      <c r="D744" s="12">
        <v>45829.0</v>
      </c>
      <c r="E744" s="13">
        <v>0.5</v>
      </c>
      <c r="F744" s="5" t="str">
        <f>VLOOKUP(A744,Jogos!A:N,10,0)</f>
        <v>Afternoon</v>
      </c>
      <c r="G744" s="11" t="s">
        <v>122</v>
      </c>
      <c r="H744" s="6" t="str">
        <f>VLOOKUP(A744,Jogos!A:L,12,0)</f>
        <v>Open</v>
      </c>
      <c r="I744" s="6" t="str">
        <f>VLOOKUP(G744,'Estádios e Cidades'!A:B,2,0)</f>
        <v>Cincinnati</v>
      </c>
      <c r="J744" s="11" t="s">
        <v>564</v>
      </c>
      <c r="K744" s="2" t="str">
        <f>VLOOKUP(J744,Equipes!A:F,6,0)</f>
        <v>Temperate</v>
      </c>
      <c r="L744" s="2">
        <f>VLOOKUP(J744,Equipes!A:C,3,0)</f>
        <v>5</v>
      </c>
      <c r="M744" s="2" t="str">
        <f t="shared" si="4"/>
        <v>Quarter-final</v>
      </c>
      <c r="N744" s="11" t="s">
        <v>688</v>
      </c>
      <c r="O744" s="2">
        <f>VLOOKUP(N744,Equipes!A:C,3,0)</f>
        <v>18</v>
      </c>
      <c r="P744" s="2" t="str">
        <f t="shared" si="5"/>
        <v>Group</v>
      </c>
      <c r="Q744" s="2">
        <f t="shared" si="6"/>
        <v>-13</v>
      </c>
      <c r="R744" s="2" t="str">
        <f>VLOOKUP(J744,Equipes!A:B,2,0)</f>
        <v>Borussia</v>
      </c>
      <c r="S744" s="6" t="s">
        <v>603</v>
      </c>
      <c r="T744" s="7">
        <v>20.0</v>
      </c>
      <c r="U744" s="7" t="s">
        <v>604</v>
      </c>
      <c r="V744" s="7" t="str">
        <f>VLOOKUP(U744,Jogadores!B:C,2,0)</f>
        <v>MF</v>
      </c>
      <c r="W744" s="8">
        <f>VLOOKUP(U744,Jogadores!B:D,3,0)</f>
        <v>31.38630137</v>
      </c>
      <c r="X744" s="7">
        <v>63.0</v>
      </c>
      <c r="Y744" s="7">
        <f t="shared" si="2323"/>
        <v>96</v>
      </c>
      <c r="Z744" s="7">
        <f>VLOOKUP(A744,Jogos!A:L,3,0)</f>
        <v>48</v>
      </c>
      <c r="AA744" s="7">
        <f t="shared" si="2229"/>
        <v>0</v>
      </c>
      <c r="AB744" s="7">
        <f>VLOOKUP(A744,Jogos!A:L,4,0)</f>
        <v>51</v>
      </c>
      <c r="AC744" s="7">
        <f t="shared" si="2230"/>
        <v>33</v>
      </c>
      <c r="AD744" s="7"/>
      <c r="AE744" s="7"/>
      <c r="AF744" s="7">
        <f t="shared" si="2231"/>
        <v>33</v>
      </c>
      <c r="AG744" s="7">
        <v>3356.8</v>
      </c>
      <c r="AH744" s="7">
        <v>1297.7</v>
      </c>
      <c r="AI744" s="7">
        <v>1393.6</v>
      </c>
      <c r="AJ744" s="7">
        <v>463.9</v>
      </c>
      <c r="AK744" s="7">
        <v>162.6</v>
      </c>
      <c r="AL744" s="7">
        <v>39.0</v>
      </c>
      <c r="AM744" s="7">
        <v>41.0</v>
      </c>
      <c r="AN744" s="7">
        <v>16.0</v>
      </c>
      <c r="AO744" s="7">
        <v>29.0</v>
      </c>
      <c r="AP744" s="9">
        <f t="shared" ref="AP744:AR744" si="2327">AG744/$AF744</f>
        <v>101.7212121</v>
      </c>
      <c r="AQ744" s="9">
        <f t="shared" si="2327"/>
        <v>39.32424242</v>
      </c>
      <c r="AR744" s="9">
        <f t="shared" si="2327"/>
        <v>42.23030303</v>
      </c>
      <c r="AS744" s="9">
        <f t="shared" si="2233"/>
        <v>81.55454545</v>
      </c>
      <c r="AT744" s="9">
        <f t="shared" ref="AT744:AV744" si="2328">AJ744/$AF744</f>
        <v>14.05757576</v>
      </c>
      <c r="AU744" s="9">
        <f t="shared" si="2328"/>
        <v>4.927272727</v>
      </c>
      <c r="AV744" s="9">
        <f t="shared" si="2328"/>
        <v>1.181818182</v>
      </c>
      <c r="AW744" s="9">
        <f t="shared" si="2235"/>
        <v>6.109090909</v>
      </c>
      <c r="AX744" s="9">
        <f t="shared" ref="AX744:AY744" si="2329">AM744/$AF744</f>
        <v>1.242424242</v>
      </c>
      <c r="AY744" s="9">
        <f t="shared" si="2329"/>
        <v>0.4848484848</v>
      </c>
      <c r="AZ744" s="9">
        <f>VLOOKUP(A744,Jogos!A:BN,58,0)</f>
        <v>31.16</v>
      </c>
      <c r="BA744" s="9">
        <f>VLOOKUP(A744,Jogos!A:BN,59,0)</f>
        <v>20.83</v>
      </c>
      <c r="BB744" s="9">
        <f>VLOOKUP(A744,Jogos!A:BN,60,0)</f>
        <v>54</v>
      </c>
      <c r="BC744" s="9">
        <f>VLOOKUP(A744,Jogos!A:BN,61,0)</f>
        <v>32.325</v>
      </c>
      <c r="BD744" s="9">
        <f>VLOOKUP(A744,Jogos!A:BN,62,0)</f>
        <v>934.35</v>
      </c>
      <c r="BE744" s="9">
        <f>VLOOKUP(A744,Jogos!A:BN,63,0)</f>
        <v>2.155</v>
      </c>
      <c r="BF744" s="9">
        <f>VLOOKUP(A744,Jogos!A:BN,64,0)</f>
        <v>25.065</v>
      </c>
      <c r="BG744" s="9">
        <f>VLOOKUP(A744,Jogos!A:BN,65,0)</f>
        <v>45.16</v>
      </c>
      <c r="BH744" s="9">
        <f>VLOOKUP(A744,Jogos!A:BN,66,0)</f>
        <v>29.69</v>
      </c>
      <c r="BI744" s="9"/>
      <c r="BJ744" s="9"/>
    </row>
    <row r="745" hidden="1">
      <c r="A745" s="10">
        <v>25.0</v>
      </c>
      <c r="B745" s="11" t="s">
        <v>562</v>
      </c>
      <c r="C745" s="2" t="s">
        <v>61</v>
      </c>
      <c r="D745" s="12">
        <v>45829.0</v>
      </c>
      <c r="E745" s="13">
        <v>0.5</v>
      </c>
      <c r="F745" s="5" t="str">
        <f>VLOOKUP(A745,Jogos!A:N,10,0)</f>
        <v>Afternoon</v>
      </c>
      <c r="G745" s="11" t="s">
        <v>122</v>
      </c>
      <c r="H745" s="6" t="str">
        <f>VLOOKUP(A745,Jogos!A:L,12,0)</f>
        <v>Open</v>
      </c>
      <c r="I745" s="6" t="str">
        <f>VLOOKUP(G745,'Estádios e Cidades'!A:B,2,0)</f>
        <v>Cincinnati</v>
      </c>
      <c r="J745" s="11" t="s">
        <v>564</v>
      </c>
      <c r="K745" s="2" t="str">
        <f>VLOOKUP(J745,Equipes!A:F,6,0)</f>
        <v>Temperate</v>
      </c>
      <c r="L745" s="2">
        <f>VLOOKUP(J745,Equipes!A:C,3,0)</f>
        <v>5</v>
      </c>
      <c r="M745" s="2" t="str">
        <f t="shared" si="4"/>
        <v>Quarter-final</v>
      </c>
      <c r="N745" s="11" t="s">
        <v>688</v>
      </c>
      <c r="O745" s="2">
        <f>VLOOKUP(N745,Equipes!A:C,3,0)</f>
        <v>18</v>
      </c>
      <c r="P745" s="2" t="str">
        <f t="shared" si="5"/>
        <v>Group</v>
      </c>
      <c r="Q745" s="2">
        <f t="shared" si="6"/>
        <v>-13</v>
      </c>
      <c r="R745" s="2" t="str">
        <f>VLOOKUP(J745,Equipes!A:B,2,0)</f>
        <v>Borussia</v>
      </c>
      <c r="S745" s="6" t="s">
        <v>609</v>
      </c>
      <c r="T745" s="7">
        <v>26.0</v>
      </c>
      <c r="U745" s="7" t="s">
        <v>610</v>
      </c>
      <c r="V745" s="7" t="str">
        <f>VLOOKUP(U745,Jogadores!B:C,2,0)</f>
        <v>DF</v>
      </c>
      <c r="W745" s="8">
        <f>VLOOKUP(U745,Jogadores!B:D,3,0)</f>
        <v>27.71232877</v>
      </c>
      <c r="X745" s="7">
        <v>83.0</v>
      </c>
      <c r="Y745" s="7">
        <f t="shared" si="2323"/>
        <v>96</v>
      </c>
      <c r="Z745" s="7">
        <f>VLOOKUP(A745,Jogos!A:L,3,0)</f>
        <v>48</v>
      </c>
      <c r="AA745" s="7">
        <f t="shared" si="2229"/>
        <v>0</v>
      </c>
      <c r="AB745" s="7">
        <f>VLOOKUP(A745,Jogos!A:L,4,0)</f>
        <v>51</v>
      </c>
      <c r="AC745" s="7">
        <f t="shared" si="2230"/>
        <v>13</v>
      </c>
      <c r="AD745" s="7"/>
      <c r="AE745" s="7"/>
      <c r="AF745" s="7">
        <f t="shared" si="2231"/>
        <v>13</v>
      </c>
      <c r="AG745" s="7">
        <v>1380.4</v>
      </c>
      <c r="AH745" s="7">
        <v>556.2</v>
      </c>
      <c r="AI745" s="7">
        <v>624.8</v>
      </c>
      <c r="AJ745" s="7">
        <v>159.3</v>
      </c>
      <c r="AK745" s="7">
        <v>40.1</v>
      </c>
      <c r="AL745" s="7">
        <v>17.0</v>
      </c>
      <c r="AM745" s="7">
        <v>4.0</v>
      </c>
      <c r="AN745" s="7">
        <v>23.7</v>
      </c>
      <c r="AO745" s="7"/>
      <c r="AP745" s="9">
        <f t="shared" ref="AP745:AR745" si="2330">AG745/$AF745</f>
        <v>106.1846154</v>
      </c>
      <c r="AQ745" s="9">
        <f t="shared" si="2330"/>
        <v>42.78461538</v>
      </c>
      <c r="AR745" s="9">
        <f t="shared" si="2330"/>
        <v>48.06153846</v>
      </c>
      <c r="AS745" s="9">
        <f t="shared" si="2233"/>
        <v>90.84615385</v>
      </c>
      <c r="AT745" s="9">
        <f t="shared" ref="AT745:AV745" si="2331">AJ745/$AF745</f>
        <v>12.25384615</v>
      </c>
      <c r="AU745" s="9">
        <f t="shared" si="2331"/>
        <v>3.084615385</v>
      </c>
      <c r="AV745" s="9">
        <f t="shared" si="2331"/>
        <v>1.307692308</v>
      </c>
      <c r="AW745" s="9">
        <f t="shared" si="2235"/>
        <v>4.392307692</v>
      </c>
      <c r="AX745" s="9">
        <f t="shared" ref="AX745:AY745" si="2332">AM745/$AF745</f>
        <v>0.3076923077</v>
      </c>
      <c r="AY745" s="9">
        <f t="shared" si="2332"/>
        <v>1.823076923</v>
      </c>
      <c r="AZ745" s="9">
        <f>VLOOKUP(A745,Jogos!A:BN,58,0)</f>
        <v>31.16</v>
      </c>
      <c r="BA745" s="9">
        <f>VLOOKUP(A745,Jogos!A:BN,59,0)</f>
        <v>20.83</v>
      </c>
      <c r="BB745" s="9">
        <f>VLOOKUP(A745,Jogos!A:BN,60,0)</f>
        <v>54</v>
      </c>
      <c r="BC745" s="9">
        <f>VLOOKUP(A745,Jogos!A:BN,61,0)</f>
        <v>32.325</v>
      </c>
      <c r="BD745" s="9">
        <f>VLOOKUP(A745,Jogos!A:BN,62,0)</f>
        <v>934.35</v>
      </c>
      <c r="BE745" s="9">
        <f>VLOOKUP(A745,Jogos!A:BN,63,0)</f>
        <v>2.155</v>
      </c>
      <c r="BF745" s="9">
        <f>VLOOKUP(A745,Jogos!A:BN,64,0)</f>
        <v>25.065</v>
      </c>
      <c r="BG745" s="9">
        <f>VLOOKUP(A745,Jogos!A:BN,65,0)</f>
        <v>45.16</v>
      </c>
      <c r="BH745" s="9">
        <f>VLOOKUP(A745,Jogos!A:BN,66,0)</f>
        <v>29.69</v>
      </c>
      <c r="BI745" s="9"/>
      <c r="BJ745" s="9"/>
    </row>
    <row r="746" hidden="1">
      <c r="A746" s="10">
        <v>25.0</v>
      </c>
      <c r="B746" s="11" t="s">
        <v>562</v>
      </c>
      <c r="C746" s="2" t="s">
        <v>61</v>
      </c>
      <c r="D746" s="12">
        <v>45829.0</v>
      </c>
      <c r="E746" s="13">
        <v>0.5</v>
      </c>
      <c r="F746" s="5" t="str">
        <f>VLOOKUP(A746,Jogos!A:N,10,0)</f>
        <v>Afternoon</v>
      </c>
      <c r="G746" s="11" t="s">
        <v>122</v>
      </c>
      <c r="H746" s="6" t="str">
        <f>VLOOKUP(A746,Jogos!A:L,12,0)</f>
        <v>Open</v>
      </c>
      <c r="I746" s="6" t="str">
        <f>VLOOKUP(G746,'Estádios e Cidades'!A:B,2,0)</f>
        <v>Cincinnati</v>
      </c>
      <c r="J746" s="11" t="s">
        <v>564</v>
      </c>
      <c r="K746" s="2" t="str">
        <f>VLOOKUP(J746,Equipes!A:F,6,0)</f>
        <v>Temperate</v>
      </c>
      <c r="L746" s="2">
        <f>VLOOKUP(J746,Equipes!A:C,3,0)</f>
        <v>5</v>
      </c>
      <c r="M746" s="2" t="str">
        <f t="shared" si="4"/>
        <v>Quarter-final</v>
      </c>
      <c r="N746" s="11" t="s">
        <v>688</v>
      </c>
      <c r="O746" s="2">
        <f>VLOOKUP(N746,Equipes!A:C,3,0)</f>
        <v>18</v>
      </c>
      <c r="P746" s="2" t="str">
        <f t="shared" si="5"/>
        <v>Group</v>
      </c>
      <c r="Q746" s="2">
        <f t="shared" si="6"/>
        <v>-13</v>
      </c>
      <c r="R746" s="2" t="str">
        <f>VLOOKUP(J746,Equipes!A:B,2,0)</f>
        <v>Borussia</v>
      </c>
      <c r="S746" s="6" t="s">
        <v>611</v>
      </c>
      <c r="T746" s="7">
        <v>27.0</v>
      </c>
      <c r="U746" s="7" t="s">
        <v>612</v>
      </c>
      <c r="V746" s="7" t="str">
        <f>VLOOKUP(U746,Jogadores!B:C,2,0)</f>
        <v>FW</v>
      </c>
      <c r="W746" s="8">
        <f>VLOOKUP(U746,Jogadores!B:D,3,0)</f>
        <v>23.53972603</v>
      </c>
      <c r="X746" s="7">
        <v>92.0</v>
      </c>
      <c r="Y746" s="7">
        <f t="shared" si="2323"/>
        <v>96</v>
      </c>
      <c r="Z746" s="7">
        <f>VLOOKUP(A746,Jogos!A:L,3,0)</f>
        <v>48</v>
      </c>
      <c r="AA746" s="7">
        <f t="shared" si="2229"/>
        <v>0</v>
      </c>
      <c r="AB746" s="7">
        <f>VLOOKUP(A746,Jogos!A:L,4,0)</f>
        <v>51</v>
      </c>
      <c r="AC746" s="7">
        <f t="shared" si="2230"/>
        <v>4</v>
      </c>
      <c r="AD746" s="7"/>
      <c r="AE746" s="7"/>
      <c r="AF746" s="7">
        <f t="shared" si="2231"/>
        <v>4</v>
      </c>
      <c r="AG746" s="7">
        <v>505.2</v>
      </c>
      <c r="AH746" s="7">
        <v>188.4</v>
      </c>
      <c r="AI746" s="7">
        <v>233.4</v>
      </c>
      <c r="AJ746" s="7">
        <v>75.3</v>
      </c>
      <c r="AK746" s="7">
        <v>8.0</v>
      </c>
      <c r="AL746" s="7">
        <v>8.0</v>
      </c>
      <c r="AM746" s="7">
        <v>1.0</v>
      </c>
      <c r="AN746" s="7">
        <v>23.2</v>
      </c>
      <c r="AO746" s="7"/>
      <c r="AP746" s="9">
        <f t="shared" ref="AP746:AR746" si="2333">AG746/$AF746</f>
        <v>126.3</v>
      </c>
      <c r="AQ746" s="9">
        <f t="shared" si="2333"/>
        <v>47.1</v>
      </c>
      <c r="AR746" s="9">
        <f t="shared" si="2333"/>
        <v>58.35</v>
      </c>
      <c r="AS746" s="9">
        <f t="shared" si="2233"/>
        <v>105.45</v>
      </c>
      <c r="AT746" s="9">
        <f t="shared" ref="AT746:AV746" si="2334">AJ746/$AF746</f>
        <v>18.825</v>
      </c>
      <c r="AU746" s="9">
        <f t="shared" si="2334"/>
        <v>2</v>
      </c>
      <c r="AV746" s="9">
        <f t="shared" si="2334"/>
        <v>2</v>
      </c>
      <c r="AW746" s="9">
        <f t="shared" si="2235"/>
        <v>4</v>
      </c>
      <c r="AX746" s="9">
        <f t="shared" ref="AX746:AY746" si="2335">AM746/$AF746</f>
        <v>0.25</v>
      </c>
      <c r="AY746" s="9">
        <f t="shared" si="2335"/>
        <v>5.8</v>
      </c>
      <c r="AZ746" s="9">
        <f>VLOOKUP(A746,Jogos!A:BN,58,0)</f>
        <v>31.16</v>
      </c>
      <c r="BA746" s="9">
        <f>VLOOKUP(A746,Jogos!A:BN,59,0)</f>
        <v>20.83</v>
      </c>
      <c r="BB746" s="9">
        <f>VLOOKUP(A746,Jogos!A:BN,60,0)</f>
        <v>54</v>
      </c>
      <c r="BC746" s="9">
        <f>VLOOKUP(A746,Jogos!A:BN,61,0)</f>
        <v>32.325</v>
      </c>
      <c r="BD746" s="9">
        <f>VLOOKUP(A746,Jogos!A:BN,62,0)</f>
        <v>934.35</v>
      </c>
      <c r="BE746" s="9">
        <f>VLOOKUP(A746,Jogos!A:BN,63,0)</f>
        <v>2.155</v>
      </c>
      <c r="BF746" s="9">
        <f>VLOOKUP(A746,Jogos!A:BN,64,0)</f>
        <v>25.065</v>
      </c>
      <c r="BG746" s="9">
        <f>VLOOKUP(A746,Jogos!A:BN,65,0)</f>
        <v>45.16</v>
      </c>
      <c r="BH746" s="9">
        <f>VLOOKUP(A746,Jogos!A:BN,66,0)</f>
        <v>29.69</v>
      </c>
      <c r="BI746" s="9"/>
      <c r="BJ746" s="9"/>
    </row>
    <row r="747" hidden="1">
      <c r="A747" s="2">
        <v>26.0</v>
      </c>
      <c r="B747" s="11" t="s">
        <v>623</v>
      </c>
      <c r="C747" s="2" t="s">
        <v>61</v>
      </c>
      <c r="D747" s="3">
        <v>45829.0</v>
      </c>
      <c r="E747" s="4">
        <v>0.5</v>
      </c>
      <c r="F747" s="5" t="str">
        <f>VLOOKUP(A747,Jogos!A:N,10,0)</f>
        <v>Afternoon</v>
      </c>
      <c r="G747" s="2" t="s">
        <v>312</v>
      </c>
      <c r="H747" s="6" t="str">
        <f>VLOOKUP(A747,Jogos!A:L,12,0)</f>
        <v>Open</v>
      </c>
      <c r="I747" s="6" t="str">
        <f>VLOOKUP(G747,'Estádios e Cidades'!A:B,2,0)</f>
        <v>Seatte</v>
      </c>
      <c r="J747" s="2" t="s">
        <v>748</v>
      </c>
      <c r="K747" s="2" t="str">
        <f>VLOOKUP(J747,Equipes!A:F,6,0)</f>
        <v>Temperate</v>
      </c>
      <c r="L747" s="2">
        <f>VLOOKUP(J747,Equipes!A:C,3,0)</f>
        <v>12</v>
      </c>
      <c r="M747" s="2" t="str">
        <f t="shared" si="4"/>
        <v>Round of 16</v>
      </c>
      <c r="N747" s="2" t="s">
        <v>625</v>
      </c>
      <c r="O747" s="2">
        <f>VLOOKUP(N747,Equipes!A:C,3,0)</f>
        <v>32</v>
      </c>
      <c r="P747" s="2" t="str">
        <f t="shared" si="5"/>
        <v>Group</v>
      </c>
      <c r="Q747" s="2">
        <f t="shared" si="6"/>
        <v>-20</v>
      </c>
      <c r="R747" s="2" t="str">
        <f>VLOOKUP(J747,Equipes!A:B,2,0)</f>
        <v>InterMilano</v>
      </c>
      <c r="S747" s="6" t="s">
        <v>1158</v>
      </c>
      <c r="T747" s="7">
        <v>6.0</v>
      </c>
      <c r="U747" s="7" t="s">
        <v>1159</v>
      </c>
      <c r="V747" s="7" t="str">
        <f>VLOOKUP(U747,Jogadores!B:C,2,0)</f>
        <v>DF</v>
      </c>
      <c r="W747" s="8">
        <f>VLOOKUP(U747,Jogadores!B:D,3,0)</f>
        <v>33.49863014</v>
      </c>
      <c r="X747" s="7">
        <v>0.0</v>
      </c>
      <c r="Y747" s="7">
        <f t="shared" si="2323"/>
        <v>94</v>
      </c>
      <c r="Z747" s="7">
        <f>VLOOKUP(A747,Jogos!A:L,3,0)</f>
        <v>47</v>
      </c>
      <c r="AA747" s="7">
        <f t="shared" si="2229"/>
        <v>47</v>
      </c>
      <c r="AB747" s="7">
        <f>VLOOKUP(A747,Jogos!A:L,4,0)</f>
        <v>49</v>
      </c>
      <c r="AC747" s="7">
        <f t="shared" si="2230"/>
        <v>49</v>
      </c>
      <c r="AD747" s="7"/>
      <c r="AE747" s="7"/>
      <c r="AF747" s="7">
        <f t="shared" si="2231"/>
        <v>96</v>
      </c>
      <c r="AG747" s="7">
        <v>10398.0</v>
      </c>
      <c r="AH747" s="7">
        <v>3970.6</v>
      </c>
      <c r="AI747" s="7">
        <v>4370.3</v>
      </c>
      <c r="AJ747" s="7">
        <v>1363.7</v>
      </c>
      <c r="AK747" s="7">
        <v>546.4</v>
      </c>
      <c r="AL747" s="7">
        <v>147.0</v>
      </c>
      <c r="AM747" s="7">
        <v>123.0</v>
      </c>
      <c r="AN747" s="7">
        <v>42.0</v>
      </c>
      <c r="AO747" s="7">
        <v>30.1</v>
      </c>
      <c r="AP747" s="9">
        <f t="shared" ref="AP747:AR747" si="2336">AG747/$AF747</f>
        <v>108.3125</v>
      </c>
      <c r="AQ747" s="9">
        <f t="shared" si="2336"/>
        <v>41.36041667</v>
      </c>
      <c r="AR747" s="9">
        <f t="shared" si="2336"/>
        <v>45.52395833</v>
      </c>
      <c r="AS747" s="9">
        <f t="shared" si="2233"/>
        <v>86.884375</v>
      </c>
      <c r="AT747" s="9">
        <f t="shared" ref="AT747:AV747" si="2337">AJ747/$AF747</f>
        <v>14.20520833</v>
      </c>
      <c r="AU747" s="9">
        <f t="shared" si="2337"/>
        <v>5.691666667</v>
      </c>
      <c r="AV747" s="9">
        <f t="shared" si="2337"/>
        <v>1.53125</v>
      </c>
      <c r="AW747" s="9">
        <f t="shared" si="2235"/>
        <v>7.222916667</v>
      </c>
      <c r="AX747" s="9">
        <f t="shared" ref="AX747:AY747" si="2338">AM747/$AF747</f>
        <v>1.28125</v>
      </c>
      <c r="AY747" s="9">
        <f t="shared" si="2338"/>
        <v>0.4375</v>
      </c>
      <c r="AZ747" s="9">
        <f>VLOOKUP(A747,Jogos!A:BN,58,0)</f>
        <v>12.74</v>
      </c>
      <c r="BA747" s="9">
        <f>VLOOKUP(A747,Jogos!A:BN,59,0)</f>
        <v>11.05</v>
      </c>
      <c r="BB747" s="9">
        <f>VLOOKUP(A747,Jogos!A:BN,60,0)</f>
        <v>88.5</v>
      </c>
      <c r="BC747" s="9">
        <f>VLOOKUP(A747,Jogos!A:BN,61,0)</f>
        <v>11.155</v>
      </c>
      <c r="BD747" s="9">
        <f>VLOOKUP(A747,Jogos!A:BN,62,0)</f>
        <v>278.35</v>
      </c>
      <c r="BE747" s="9">
        <f>VLOOKUP(A747,Jogos!A:BN,63,0)</f>
        <v>1.905</v>
      </c>
      <c r="BF747" s="9">
        <f>VLOOKUP(A747,Jogos!A:BN,64,0)</f>
        <v>14.145</v>
      </c>
      <c r="BG747" s="9">
        <f>VLOOKUP(A747,Jogos!A:BN,65,0)</f>
        <v>23.04</v>
      </c>
      <c r="BH747" s="9">
        <f>VLOOKUP(A747,Jogos!A:BN,66,0)</f>
        <v>15.785</v>
      </c>
      <c r="BI747" s="9"/>
      <c r="BJ747" s="9"/>
    </row>
    <row r="748" hidden="1">
      <c r="A748" s="2">
        <v>26.0</v>
      </c>
      <c r="B748" s="11" t="s">
        <v>623</v>
      </c>
      <c r="C748" s="2" t="s">
        <v>61</v>
      </c>
      <c r="D748" s="3">
        <v>45829.0</v>
      </c>
      <c r="E748" s="4">
        <v>0.5</v>
      </c>
      <c r="F748" s="5" t="str">
        <f>VLOOKUP(A748,Jogos!A:N,10,0)</f>
        <v>Afternoon</v>
      </c>
      <c r="G748" s="2" t="s">
        <v>312</v>
      </c>
      <c r="H748" s="6" t="str">
        <f>VLOOKUP(A748,Jogos!A:L,12,0)</f>
        <v>Open</v>
      </c>
      <c r="I748" s="6" t="str">
        <f>VLOOKUP(G748,'Estádios e Cidades'!A:B,2,0)</f>
        <v>Seatte</v>
      </c>
      <c r="J748" s="2" t="s">
        <v>748</v>
      </c>
      <c r="K748" s="2" t="str">
        <f>VLOOKUP(J748,Equipes!A:F,6,0)</f>
        <v>Temperate</v>
      </c>
      <c r="L748" s="2">
        <f>VLOOKUP(J748,Equipes!A:C,3,0)</f>
        <v>12</v>
      </c>
      <c r="M748" s="2" t="str">
        <f t="shared" si="4"/>
        <v>Round of 16</v>
      </c>
      <c r="N748" s="2" t="s">
        <v>625</v>
      </c>
      <c r="O748" s="2">
        <f>VLOOKUP(N748,Equipes!A:C,3,0)</f>
        <v>32</v>
      </c>
      <c r="P748" s="2" t="str">
        <f t="shared" si="5"/>
        <v>Group</v>
      </c>
      <c r="Q748" s="2">
        <f t="shared" si="6"/>
        <v>-20</v>
      </c>
      <c r="R748" s="2" t="str">
        <f>VLOOKUP(J748,Equipes!A:B,2,0)</f>
        <v>InterMilano</v>
      </c>
      <c r="S748" s="6" t="s">
        <v>779</v>
      </c>
      <c r="T748" s="7">
        <v>10.0</v>
      </c>
      <c r="U748" s="7" t="s">
        <v>780</v>
      </c>
      <c r="V748" s="7" t="str">
        <f>VLOOKUP(U748,Jogadores!B:C,2,0)</f>
        <v>FW</v>
      </c>
      <c r="W748" s="8">
        <f>VLOOKUP(U748,Jogadores!B:D,3,0)</f>
        <v>27.95068493</v>
      </c>
      <c r="X748" s="7">
        <v>0.0</v>
      </c>
      <c r="Y748" s="7">
        <f t="shared" si="2323"/>
        <v>94</v>
      </c>
      <c r="Z748" s="7">
        <f>VLOOKUP(A748,Jogos!A:L,3,0)</f>
        <v>47</v>
      </c>
      <c r="AA748" s="7">
        <f t="shared" si="2229"/>
        <v>47</v>
      </c>
      <c r="AB748" s="7">
        <f>VLOOKUP(A748,Jogos!A:L,4,0)</f>
        <v>49</v>
      </c>
      <c r="AC748" s="7">
        <f t="shared" si="2230"/>
        <v>49</v>
      </c>
      <c r="AD748" s="7"/>
      <c r="AE748" s="7"/>
      <c r="AF748" s="7">
        <f t="shared" si="2231"/>
        <v>96</v>
      </c>
      <c r="AG748" s="7">
        <v>10125.7</v>
      </c>
      <c r="AH748" s="7">
        <v>3877.7</v>
      </c>
      <c r="AI748" s="7">
        <v>4555.2</v>
      </c>
      <c r="AJ748" s="7">
        <v>1164.3</v>
      </c>
      <c r="AK748" s="7">
        <v>371.7</v>
      </c>
      <c r="AL748" s="7">
        <v>156.8</v>
      </c>
      <c r="AM748" s="7">
        <v>110.0</v>
      </c>
      <c r="AN748" s="7">
        <v>33.0</v>
      </c>
      <c r="AO748" s="7">
        <v>31.6</v>
      </c>
      <c r="AP748" s="9">
        <f t="shared" ref="AP748:AR748" si="2339">AG748/$AF748</f>
        <v>105.4760417</v>
      </c>
      <c r="AQ748" s="9">
        <f t="shared" si="2339"/>
        <v>40.39270833</v>
      </c>
      <c r="AR748" s="9">
        <f t="shared" si="2339"/>
        <v>47.45</v>
      </c>
      <c r="AS748" s="9">
        <f t="shared" si="2233"/>
        <v>87.84270833</v>
      </c>
      <c r="AT748" s="9">
        <f t="shared" ref="AT748:AV748" si="2340">AJ748/$AF748</f>
        <v>12.128125</v>
      </c>
      <c r="AU748" s="9">
        <f t="shared" si="2340"/>
        <v>3.871875</v>
      </c>
      <c r="AV748" s="9">
        <f t="shared" si="2340"/>
        <v>1.633333333</v>
      </c>
      <c r="AW748" s="9">
        <f t="shared" si="2235"/>
        <v>5.505208333</v>
      </c>
      <c r="AX748" s="9">
        <f t="shared" ref="AX748:AY748" si="2341">AM748/$AF748</f>
        <v>1.145833333</v>
      </c>
      <c r="AY748" s="9">
        <f t="shared" si="2341"/>
        <v>0.34375</v>
      </c>
      <c r="AZ748" s="9">
        <f>VLOOKUP(A748,Jogos!A:BN,58,0)</f>
        <v>12.74</v>
      </c>
      <c r="BA748" s="9">
        <f>VLOOKUP(A748,Jogos!A:BN,59,0)</f>
        <v>11.05</v>
      </c>
      <c r="BB748" s="9">
        <f>VLOOKUP(A748,Jogos!A:BN,60,0)</f>
        <v>88.5</v>
      </c>
      <c r="BC748" s="9">
        <f>VLOOKUP(A748,Jogos!A:BN,61,0)</f>
        <v>11.155</v>
      </c>
      <c r="BD748" s="9">
        <f>VLOOKUP(A748,Jogos!A:BN,62,0)</f>
        <v>278.35</v>
      </c>
      <c r="BE748" s="9">
        <f>VLOOKUP(A748,Jogos!A:BN,63,0)</f>
        <v>1.905</v>
      </c>
      <c r="BF748" s="9">
        <f>VLOOKUP(A748,Jogos!A:BN,64,0)</f>
        <v>14.145</v>
      </c>
      <c r="BG748" s="9">
        <f>VLOOKUP(A748,Jogos!A:BN,65,0)</f>
        <v>23.04</v>
      </c>
      <c r="BH748" s="9">
        <f>VLOOKUP(A748,Jogos!A:BN,66,0)</f>
        <v>15.785</v>
      </c>
      <c r="BI748" s="9"/>
      <c r="BJ748" s="9"/>
    </row>
    <row r="749" hidden="1">
      <c r="A749" s="2">
        <v>26.0</v>
      </c>
      <c r="B749" s="11" t="s">
        <v>623</v>
      </c>
      <c r="C749" s="2" t="s">
        <v>61</v>
      </c>
      <c r="D749" s="3">
        <v>45829.0</v>
      </c>
      <c r="E749" s="4">
        <v>0.5</v>
      </c>
      <c r="F749" s="5" t="str">
        <f>VLOOKUP(A749,Jogos!A:N,10,0)</f>
        <v>Afternoon</v>
      </c>
      <c r="G749" s="2" t="s">
        <v>312</v>
      </c>
      <c r="H749" s="6" t="str">
        <f>VLOOKUP(A749,Jogos!A:L,12,0)</f>
        <v>Open</v>
      </c>
      <c r="I749" s="6" t="str">
        <f>VLOOKUP(G749,'Estádios e Cidades'!A:B,2,0)</f>
        <v>Seatte</v>
      </c>
      <c r="J749" s="2" t="s">
        <v>748</v>
      </c>
      <c r="K749" s="2" t="str">
        <f>VLOOKUP(J749,Equipes!A:F,6,0)</f>
        <v>Temperate</v>
      </c>
      <c r="L749" s="2">
        <f>VLOOKUP(J749,Equipes!A:C,3,0)</f>
        <v>12</v>
      </c>
      <c r="M749" s="2" t="str">
        <f t="shared" si="4"/>
        <v>Round of 16</v>
      </c>
      <c r="N749" s="2" t="s">
        <v>625</v>
      </c>
      <c r="O749" s="2">
        <f>VLOOKUP(N749,Equipes!A:C,3,0)</f>
        <v>32</v>
      </c>
      <c r="P749" s="2" t="str">
        <f t="shared" si="5"/>
        <v>Group</v>
      </c>
      <c r="Q749" s="2">
        <f t="shared" si="6"/>
        <v>-20</v>
      </c>
      <c r="R749" s="2" t="str">
        <f>VLOOKUP(J749,Equipes!A:B,2,0)</f>
        <v>InterMilano</v>
      </c>
      <c r="S749" s="6" t="s">
        <v>803</v>
      </c>
      <c r="T749" s="7">
        <v>11.0</v>
      </c>
      <c r="U749" s="7" t="s">
        <v>804</v>
      </c>
      <c r="V749" s="7" t="str">
        <f>VLOOKUP(U749,Jogadores!B:C,2,0)</f>
        <v>MF</v>
      </c>
      <c r="W749" s="8">
        <f>VLOOKUP(U749,Jogadores!B:D,3,0)</f>
        <v>23.63561644</v>
      </c>
      <c r="X749" s="7">
        <v>0.0</v>
      </c>
      <c r="Y749" s="7">
        <v>86.0</v>
      </c>
      <c r="Z749" s="7">
        <f>VLOOKUP(A749,Jogos!A:L,3,0)</f>
        <v>47</v>
      </c>
      <c r="AA749" s="7">
        <f t="shared" si="2229"/>
        <v>47</v>
      </c>
      <c r="AB749" s="7">
        <f>VLOOKUP(A749,Jogos!A:L,4,0)</f>
        <v>49</v>
      </c>
      <c r="AC749" s="7">
        <f t="shared" si="2230"/>
        <v>41</v>
      </c>
      <c r="AD749" s="7"/>
      <c r="AE749" s="7"/>
      <c r="AF749" s="7">
        <f t="shared" si="2231"/>
        <v>88</v>
      </c>
      <c r="AG749" s="7">
        <v>10984.7</v>
      </c>
      <c r="AH749" s="7">
        <v>3497.2</v>
      </c>
      <c r="AI749" s="7">
        <v>4700.1</v>
      </c>
      <c r="AJ749" s="7">
        <v>1710.3</v>
      </c>
      <c r="AK749" s="7">
        <v>837.1</v>
      </c>
      <c r="AL749" s="7">
        <v>240.0</v>
      </c>
      <c r="AM749" s="7">
        <v>155.0</v>
      </c>
      <c r="AN749" s="7">
        <v>63.0</v>
      </c>
      <c r="AO749" s="7">
        <v>33.2</v>
      </c>
      <c r="AP749" s="9">
        <f t="shared" ref="AP749:AR749" si="2342">AG749/$AF749</f>
        <v>124.8261364</v>
      </c>
      <c r="AQ749" s="9">
        <f t="shared" si="2342"/>
        <v>39.74090909</v>
      </c>
      <c r="AR749" s="9">
        <f t="shared" si="2342"/>
        <v>53.41022727</v>
      </c>
      <c r="AS749" s="9">
        <f t="shared" si="2233"/>
        <v>93.15113636</v>
      </c>
      <c r="AT749" s="9">
        <f t="shared" ref="AT749:AV749" si="2343">AJ749/$AF749</f>
        <v>19.43522727</v>
      </c>
      <c r="AU749" s="9">
        <f t="shared" si="2343"/>
        <v>9.5125</v>
      </c>
      <c r="AV749" s="9">
        <f t="shared" si="2343"/>
        <v>2.727272727</v>
      </c>
      <c r="AW749" s="9">
        <f t="shared" si="2235"/>
        <v>12.23977273</v>
      </c>
      <c r="AX749" s="9">
        <f t="shared" ref="AX749:AY749" si="2344">AM749/$AF749</f>
        <v>1.761363636</v>
      </c>
      <c r="AY749" s="9">
        <f t="shared" si="2344"/>
        <v>0.7159090909</v>
      </c>
      <c r="AZ749" s="9">
        <f>VLOOKUP(A749,Jogos!A:BN,58,0)</f>
        <v>12.74</v>
      </c>
      <c r="BA749" s="9">
        <f>VLOOKUP(A749,Jogos!A:BN,59,0)</f>
        <v>11.05</v>
      </c>
      <c r="BB749" s="9">
        <f>VLOOKUP(A749,Jogos!A:BN,60,0)</f>
        <v>88.5</v>
      </c>
      <c r="BC749" s="9">
        <f>VLOOKUP(A749,Jogos!A:BN,61,0)</f>
        <v>11.155</v>
      </c>
      <c r="BD749" s="9">
        <f>VLOOKUP(A749,Jogos!A:BN,62,0)</f>
        <v>278.35</v>
      </c>
      <c r="BE749" s="9">
        <f>VLOOKUP(A749,Jogos!A:BN,63,0)</f>
        <v>1.905</v>
      </c>
      <c r="BF749" s="9">
        <f>VLOOKUP(A749,Jogos!A:BN,64,0)</f>
        <v>14.145</v>
      </c>
      <c r="BG749" s="9">
        <f>VLOOKUP(A749,Jogos!A:BN,65,0)</f>
        <v>23.04</v>
      </c>
      <c r="BH749" s="9">
        <f>VLOOKUP(A749,Jogos!A:BN,66,0)</f>
        <v>15.785</v>
      </c>
      <c r="BI749" s="9"/>
      <c r="BJ749" s="9"/>
    </row>
    <row r="750" hidden="1">
      <c r="A750" s="2">
        <v>26.0</v>
      </c>
      <c r="B750" s="11" t="s">
        <v>623</v>
      </c>
      <c r="C750" s="2" t="s">
        <v>61</v>
      </c>
      <c r="D750" s="3">
        <v>45829.0</v>
      </c>
      <c r="E750" s="4">
        <v>0.5</v>
      </c>
      <c r="F750" s="5" t="str">
        <f>VLOOKUP(A750,Jogos!A:N,10,0)</f>
        <v>Afternoon</v>
      </c>
      <c r="G750" s="2" t="s">
        <v>312</v>
      </c>
      <c r="H750" s="6" t="str">
        <f>VLOOKUP(A750,Jogos!A:L,12,0)</f>
        <v>Open</v>
      </c>
      <c r="I750" s="6" t="str">
        <f>VLOOKUP(G750,'Estádios e Cidades'!A:B,2,0)</f>
        <v>Seatte</v>
      </c>
      <c r="J750" s="2" t="s">
        <v>748</v>
      </c>
      <c r="K750" s="2" t="str">
        <f>VLOOKUP(J750,Equipes!A:F,6,0)</f>
        <v>Temperate</v>
      </c>
      <c r="L750" s="2">
        <f>VLOOKUP(J750,Equipes!A:C,3,0)</f>
        <v>12</v>
      </c>
      <c r="M750" s="2" t="str">
        <f t="shared" si="4"/>
        <v>Round of 16</v>
      </c>
      <c r="N750" s="2" t="s">
        <v>625</v>
      </c>
      <c r="O750" s="2">
        <f>VLOOKUP(N750,Equipes!A:C,3,0)</f>
        <v>32</v>
      </c>
      <c r="P750" s="2" t="str">
        <f t="shared" si="5"/>
        <v>Group</v>
      </c>
      <c r="Q750" s="2">
        <f t="shared" si="6"/>
        <v>-20</v>
      </c>
      <c r="R750" s="2" t="str">
        <f>VLOOKUP(J750,Equipes!A:B,2,0)</f>
        <v>InterMilano</v>
      </c>
      <c r="S750" s="6" t="s">
        <v>783</v>
      </c>
      <c r="T750" s="7">
        <v>21.0</v>
      </c>
      <c r="U750" s="7" t="s">
        <v>784</v>
      </c>
      <c r="V750" s="7" t="str">
        <f>VLOOKUP(U750,Jogadores!B:C,2,0)</f>
        <v>MF</v>
      </c>
      <c r="W750" s="8">
        <f>VLOOKUP(U750,Jogadores!B:D,3,0)</f>
        <v>23.40273973</v>
      </c>
      <c r="X750" s="7">
        <v>0.0</v>
      </c>
      <c r="Y750" s="7">
        <v>72.0</v>
      </c>
      <c r="Z750" s="7">
        <f>VLOOKUP(A750,Jogos!A:L,3,0)</f>
        <v>47</v>
      </c>
      <c r="AA750" s="7">
        <f t="shared" si="2229"/>
        <v>47</v>
      </c>
      <c r="AB750" s="7">
        <f>VLOOKUP(A750,Jogos!A:L,4,0)</f>
        <v>49</v>
      </c>
      <c r="AC750" s="7">
        <f t="shared" si="2230"/>
        <v>27</v>
      </c>
      <c r="AD750" s="7"/>
      <c r="AE750" s="7"/>
      <c r="AF750" s="7">
        <f t="shared" si="2231"/>
        <v>74</v>
      </c>
      <c r="AG750" s="7">
        <v>9520.9</v>
      </c>
      <c r="AH750" s="7">
        <v>2786.4</v>
      </c>
      <c r="AI750" s="7">
        <v>4550.0</v>
      </c>
      <c r="AJ750" s="7">
        <v>1768.4</v>
      </c>
      <c r="AK750" s="7">
        <v>328.6</v>
      </c>
      <c r="AL750" s="7">
        <v>87.5</v>
      </c>
      <c r="AM750" s="7">
        <v>158.0</v>
      </c>
      <c r="AN750" s="7">
        <v>26.0</v>
      </c>
      <c r="AO750" s="7">
        <v>28.6</v>
      </c>
      <c r="AP750" s="9">
        <f t="shared" ref="AP750:AR750" si="2345">AG750/$AF750</f>
        <v>128.6608108</v>
      </c>
      <c r="AQ750" s="9">
        <f t="shared" si="2345"/>
        <v>37.65405405</v>
      </c>
      <c r="AR750" s="9">
        <f t="shared" si="2345"/>
        <v>61.48648649</v>
      </c>
      <c r="AS750" s="9">
        <f t="shared" si="2233"/>
        <v>99.14054054</v>
      </c>
      <c r="AT750" s="9">
        <f t="shared" ref="AT750:AV750" si="2346">AJ750/$AF750</f>
        <v>23.8972973</v>
      </c>
      <c r="AU750" s="9">
        <f t="shared" si="2346"/>
        <v>4.440540541</v>
      </c>
      <c r="AV750" s="9">
        <f t="shared" si="2346"/>
        <v>1.182432432</v>
      </c>
      <c r="AW750" s="9">
        <f t="shared" si="2235"/>
        <v>5.622972973</v>
      </c>
      <c r="AX750" s="9">
        <f t="shared" ref="AX750:AY750" si="2347">AM750/$AF750</f>
        <v>2.135135135</v>
      </c>
      <c r="AY750" s="9">
        <f t="shared" si="2347"/>
        <v>0.3513513514</v>
      </c>
      <c r="AZ750" s="9">
        <f>VLOOKUP(A750,Jogos!A:BN,58,0)</f>
        <v>12.74</v>
      </c>
      <c r="BA750" s="9">
        <f>VLOOKUP(A750,Jogos!A:BN,59,0)</f>
        <v>11.05</v>
      </c>
      <c r="BB750" s="9">
        <f>VLOOKUP(A750,Jogos!A:BN,60,0)</f>
        <v>88.5</v>
      </c>
      <c r="BC750" s="9">
        <f>VLOOKUP(A750,Jogos!A:BN,61,0)</f>
        <v>11.155</v>
      </c>
      <c r="BD750" s="9">
        <f>VLOOKUP(A750,Jogos!A:BN,62,0)</f>
        <v>278.35</v>
      </c>
      <c r="BE750" s="9">
        <f>VLOOKUP(A750,Jogos!A:BN,63,0)</f>
        <v>1.905</v>
      </c>
      <c r="BF750" s="9">
        <f>VLOOKUP(A750,Jogos!A:BN,64,0)</f>
        <v>14.145</v>
      </c>
      <c r="BG750" s="9">
        <f>VLOOKUP(A750,Jogos!A:BN,65,0)</f>
        <v>23.04</v>
      </c>
      <c r="BH750" s="9">
        <f>VLOOKUP(A750,Jogos!A:BN,66,0)</f>
        <v>15.785</v>
      </c>
      <c r="BI750" s="9"/>
      <c r="BJ750" s="9"/>
    </row>
    <row r="751" hidden="1">
      <c r="A751" s="2">
        <v>26.0</v>
      </c>
      <c r="B751" s="11" t="s">
        <v>623</v>
      </c>
      <c r="C751" s="2" t="s">
        <v>61</v>
      </c>
      <c r="D751" s="3">
        <v>45829.0</v>
      </c>
      <c r="E751" s="4">
        <v>0.5</v>
      </c>
      <c r="F751" s="5" t="str">
        <f>VLOOKUP(A751,Jogos!A:N,10,0)</f>
        <v>Afternoon</v>
      </c>
      <c r="G751" s="2" t="s">
        <v>312</v>
      </c>
      <c r="H751" s="6" t="str">
        <f>VLOOKUP(A751,Jogos!A:L,12,0)</f>
        <v>Open</v>
      </c>
      <c r="I751" s="6" t="str">
        <f>VLOOKUP(G751,'Estádios e Cidades'!A:B,2,0)</f>
        <v>Seatte</v>
      </c>
      <c r="J751" s="2" t="s">
        <v>748</v>
      </c>
      <c r="K751" s="2" t="str">
        <f>VLOOKUP(J751,Equipes!A:F,6,0)</f>
        <v>Temperate</v>
      </c>
      <c r="L751" s="2">
        <f>VLOOKUP(J751,Equipes!A:C,3,0)</f>
        <v>12</v>
      </c>
      <c r="M751" s="2" t="str">
        <f t="shared" si="4"/>
        <v>Round of 16</v>
      </c>
      <c r="N751" s="2" t="s">
        <v>625</v>
      </c>
      <c r="O751" s="2">
        <f>VLOOKUP(N751,Equipes!A:C,3,0)</f>
        <v>32</v>
      </c>
      <c r="P751" s="2" t="str">
        <f t="shared" si="5"/>
        <v>Group</v>
      </c>
      <c r="Q751" s="2">
        <f t="shared" si="6"/>
        <v>-20</v>
      </c>
      <c r="R751" s="2" t="str">
        <f>VLOOKUP(J751,Equipes!A:B,2,0)</f>
        <v>InterMilano</v>
      </c>
      <c r="S751" s="6" t="s">
        <v>787</v>
      </c>
      <c r="T751" s="7">
        <v>23.0</v>
      </c>
      <c r="U751" s="7" t="s">
        <v>788</v>
      </c>
      <c r="V751" s="7" t="str">
        <f>VLOOKUP(U751,Jogadores!B:C,2,0)</f>
        <v>MF</v>
      </c>
      <c r="W751" s="8">
        <f>VLOOKUP(U751,Jogadores!B:D,3,0)</f>
        <v>28.48767123</v>
      </c>
      <c r="X751" s="7">
        <v>0.0</v>
      </c>
      <c r="Y751" s="7">
        <f t="shared" ref="Y751:Y752" si="2351">45+AB751</f>
        <v>94</v>
      </c>
      <c r="Z751" s="7">
        <f>VLOOKUP(A751,Jogos!A:L,3,0)</f>
        <v>47</v>
      </c>
      <c r="AA751" s="7">
        <f t="shared" si="2229"/>
        <v>47</v>
      </c>
      <c r="AB751" s="7">
        <f>VLOOKUP(A751,Jogos!A:L,4,0)</f>
        <v>49</v>
      </c>
      <c r="AC751" s="7">
        <f t="shared" si="2230"/>
        <v>49</v>
      </c>
      <c r="AD751" s="7"/>
      <c r="AE751" s="7"/>
      <c r="AF751" s="7">
        <f t="shared" si="2231"/>
        <v>96</v>
      </c>
      <c r="AG751" s="7">
        <v>12174.7</v>
      </c>
      <c r="AH751" s="7">
        <v>3769.1</v>
      </c>
      <c r="AI751" s="7">
        <v>6040.2</v>
      </c>
      <c r="AJ751" s="7">
        <v>1819.8</v>
      </c>
      <c r="AK751" s="7">
        <v>434.6</v>
      </c>
      <c r="AL751" s="7">
        <v>110.9</v>
      </c>
      <c r="AM751" s="7">
        <v>163.0</v>
      </c>
      <c r="AN751" s="7">
        <v>30.0</v>
      </c>
      <c r="AO751" s="7">
        <v>30.5</v>
      </c>
      <c r="AP751" s="9">
        <f t="shared" ref="AP751:AR751" si="2348">AG751/$AF751</f>
        <v>126.8197917</v>
      </c>
      <c r="AQ751" s="9">
        <f t="shared" si="2348"/>
        <v>39.26145833</v>
      </c>
      <c r="AR751" s="9">
        <f t="shared" si="2348"/>
        <v>62.91875</v>
      </c>
      <c r="AS751" s="9">
        <f t="shared" si="2233"/>
        <v>102.1802083</v>
      </c>
      <c r="AT751" s="9">
        <f t="shared" ref="AT751:AV751" si="2349">AJ751/$AF751</f>
        <v>18.95625</v>
      </c>
      <c r="AU751" s="9">
        <f t="shared" si="2349"/>
        <v>4.527083333</v>
      </c>
      <c r="AV751" s="9">
        <f t="shared" si="2349"/>
        <v>1.155208333</v>
      </c>
      <c r="AW751" s="9">
        <f t="shared" si="2235"/>
        <v>5.682291667</v>
      </c>
      <c r="AX751" s="9">
        <f t="shared" ref="AX751:AY751" si="2350">AM751/$AF751</f>
        <v>1.697916667</v>
      </c>
      <c r="AY751" s="9">
        <f t="shared" si="2350"/>
        <v>0.3125</v>
      </c>
      <c r="AZ751" s="9">
        <f>VLOOKUP(A751,Jogos!A:BN,58,0)</f>
        <v>12.74</v>
      </c>
      <c r="BA751" s="9">
        <f>VLOOKUP(A751,Jogos!A:BN,59,0)</f>
        <v>11.05</v>
      </c>
      <c r="BB751" s="9">
        <f>VLOOKUP(A751,Jogos!A:BN,60,0)</f>
        <v>88.5</v>
      </c>
      <c r="BC751" s="9">
        <f>VLOOKUP(A751,Jogos!A:BN,61,0)</f>
        <v>11.155</v>
      </c>
      <c r="BD751" s="9">
        <f>VLOOKUP(A751,Jogos!A:BN,62,0)</f>
        <v>278.35</v>
      </c>
      <c r="BE751" s="9">
        <f>VLOOKUP(A751,Jogos!A:BN,63,0)</f>
        <v>1.905</v>
      </c>
      <c r="BF751" s="9">
        <f>VLOOKUP(A751,Jogos!A:BN,64,0)</f>
        <v>14.145</v>
      </c>
      <c r="BG751" s="9">
        <f>VLOOKUP(A751,Jogos!A:BN,65,0)</f>
        <v>23.04</v>
      </c>
      <c r="BH751" s="9">
        <f>VLOOKUP(A751,Jogos!A:BN,66,0)</f>
        <v>15.785</v>
      </c>
      <c r="BI751" s="9"/>
      <c r="BJ751" s="9"/>
    </row>
    <row r="752" hidden="1">
      <c r="A752" s="2">
        <v>26.0</v>
      </c>
      <c r="B752" s="11" t="s">
        <v>623</v>
      </c>
      <c r="C752" s="2" t="s">
        <v>61</v>
      </c>
      <c r="D752" s="3">
        <v>45829.0</v>
      </c>
      <c r="E752" s="4">
        <v>0.5</v>
      </c>
      <c r="F752" s="5" t="str">
        <f>VLOOKUP(A752,Jogos!A:N,10,0)</f>
        <v>Afternoon</v>
      </c>
      <c r="G752" s="2" t="s">
        <v>312</v>
      </c>
      <c r="H752" s="6" t="str">
        <f>VLOOKUP(A752,Jogos!A:L,12,0)</f>
        <v>Open</v>
      </c>
      <c r="I752" s="6" t="str">
        <f>VLOOKUP(G752,'Estádios e Cidades'!A:B,2,0)</f>
        <v>Seatte</v>
      </c>
      <c r="J752" s="2" t="s">
        <v>748</v>
      </c>
      <c r="K752" s="2" t="str">
        <f>VLOOKUP(J752,Equipes!A:F,6,0)</f>
        <v>Temperate</v>
      </c>
      <c r="L752" s="2">
        <f>VLOOKUP(J752,Equipes!A:C,3,0)</f>
        <v>12</v>
      </c>
      <c r="M752" s="2" t="str">
        <f t="shared" si="4"/>
        <v>Round of 16</v>
      </c>
      <c r="N752" s="2" t="s">
        <v>625</v>
      </c>
      <c r="O752" s="2">
        <f>VLOOKUP(N752,Equipes!A:C,3,0)</f>
        <v>32</v>
      </c>
      <c r="P752" s="2" t="str">
        <f t="shared" si="5"/>
        <v>Group</v>
      </c>
      <c r="Q752" s="2">
        <f t="shared" si="6"/>
        <v>-20</v>
      </c>
      <c r="R752" s="2" t="str">
        <f>VLOOKUP(J752,Equipes!A:B,2,0)</f>
        <v>InterMilano</v>
      </c>
      <c r="S752" s="6" t="s">
        <v>791</v>
      </c>
      <c r="T752" s="7">
        <v>30.0</v>
      </c>
      <c r="U752" s="7" t="s">
        <v>792</v>
      </c>
      <c r="V752" s="7" t="str">
        <f>VLOOKUP(U752,Jogadores!B:C,2,0)</f>
        <v>DF</v>
      </c>
      <c r="W752" s="8">
        <f>VLOOKUP(U752,Jogadores!B:D,3,0)</f>
        <v>26.57260274</v>
      </c>
      <c r="X752" s="7">
        <v>0.0</v>
      </c>
      <c r="Y752" s="7">
        <f t="shared" si="2351"/>
        <v>94</v>
      </c>
      <c r="Z752" s="7">
        <f>VLOOKUP(A752,Jogos!A:L,3,0)</f>
        <v>47</v>
      </c>
      <c r="AA752" s="7">
        <f t="shared" si="2229"/>
        <v>47</v>
      </c>
      <c r="AB752" s="7">
        <f>VLOOKUP(A752,Jogos!A:L,4,0)</f>
        <v>49</v>
      </c>
      <c r="AC752" s="7">
        <f t="shared" si="2230"/>
        <v>49</v>
      </c>
      <c r="AD752" s="7"/>
      <c r="AE752" s="7"/>
      <c r="AF752" s="7">
        <f t="shared" si="2231"/>
        <v>96</v>
      </c>
      <c r="AG752" s="7">
        <v>11028.4</v>
      </c>
      <c r="AH752" s="7">
        <v>4190.3</v>
      </c>
      <c r="AI752" s="7">
        <v>4717.8</v>
      </c>
      <c r="AJ752" s="7">
        <v>1491.7</v>
      </c>
      <c r="AK752" s="7">
        <v>521.9</v>
      </c>
      <c r="AL752" s="7">
        <v>106.7</v>
      </c>
      <c r="AM752" s="7">
        <v>128.0</v>
      </c>
      <c r="AN752" s="7">
        <v>38.0</v>
      </c>
      <c r="AO752" s="7">
        <v>29.1</v>
      </c>
      <c r="AP752" s="9">
        <f t="shared" ref="AP752:AR752" si="2352">AG752/$AF752</f>
        <v>114.8791667</v>
      </c>
      <c r="AQ752" s="9">
        <f t="shared" si="2352"/>
        <v>43.64895833</v>
      </c>
      <c r="AR752" s="9">
        <f t="shared" si="2352"/>
        <v>49.14375</v>
      </c>
      <c r="AS752" s="9">
        <f t="shared" si="2233"/>
        <v>92.79270833</v>
      </c>
      <c r="AT752" s="9">
        <f t="shared" ref="AT752:AV752" si="2353">AJ752/$AF752</f>
        <v>15.53854167</v>
      </c>
      <c r="AU752" s="9">
        <f t="shared" si="2353"/>
        <v>5.436458333</v>
      </c>
      <c r="AV752" s="9">
        <f t="shared" si="2353"/>
        <v>1.111458333</v>
      </c>
      <c r="AW752" s="9">
        <f t="shared" si="2235"/>
        <v>6.547916667</v>
      </c>
      <c r="AX752" s="9">
        <f t="shared" ref="AX752:AY752" si="2354">AM752/$AF752</f>
        <v>1.333333333</v>
      </c>
      <c r="AY752" s="9">
        <f t="shared" si="2354"/>
        <v>0.3958333333</v>
      </c>
      <c r="AZ752" s="9">
        <f>VLOOKUP(A752,Jogos!A:BN,58,0)</f>
        <v>12.74</v>
      </c>
      <c r="BA752" s="9">
        <f>VLOOKUP(A752,Jogos!A:BN,59,0)</f>
        <v>11.05</v>
      </c>
      <c r="BB752" s="9">
        <f>VLOOKUP(A752,Jogos!A:BN,60,0)</f>
        <v>88.5</v>
      </c>
      <c r="BC752" s="9">
        <f>VLOOKUP(A752,Jogos!A:BN,61,0)</f>
        <v>11.155</v>
      </c>
      <c r="BD752" s="9">
        <f>VLOOKUP(A752,Jogos!A:BN,62,0)</f>
        <v>278.35</v>
      </c>
      <c r="BE752" s="9">
        <f>VLOOKUP(A752,Jogos!A:BN,63,0)</f>
        <v>1.905</v>
      </c>
      <c r="BF752" s="9">
        <f>VLOOKUP(A752,Jogos!A:BN,64,0)</f>
        <v>14.145</v>
      </c>
      <c r="BG752" s="9">
        <f>VLOOKUP(A752,Jogos!A:BN,65,0)</f>
        <v>23.04</v>
      </c>
      <c r="BH752" s="9">
        <f>VLOOKUP(A752,Jogos!A:BN,66,0)</f>
        <v>15.785</v>
      </c>
      <c r="BI752" s="9"/>
      <c r="BJ752" s="9"/>
    </row>
    <row r="753" hidden="1">
      <c r="A753" s="2">
        <v>26.0</v>
      </c>
      <c r="B753" s="11" t="s">
        <v>623</v>
      </c>
      <c r="C753" s="2" t="s">
        <v>61</v>
      </c>
      <c r="D753" s="3">
        <v>45829.0</v>
      </c>
      <c r="E753" s="4">
        <v>0.5</v>
      </c>
      <c r="F753" s="5" t="str">
        <f>VLOOKUP(A753,Jogos!A:N,10,0)</f>
        <v>Afternoon</v>
      </c>
      <c r="G753" s="2" t="s">
        <v>312</v>
      </c>
      <c r="H753" s="6" t="str">
        <f>VLOOKUP(A753,Jogos!A:L,12,0)</f>
        <v>Open</v>
      </c>
      <c r="I753" s="6" t="str">
        <f>VLOOKUP(G753,'Estádios e Cidades'!A:B,2,0)</f>
        <v>Seatte</v>
      </c>
      <c r="J753" s="2" t="s">
        <v>748</v>
      </c>
      <c r="K753" s="2" t="str">
        <f>VLOOKUP(J753,Equipes!A:F,6,0)</f>
        <v>Temperate</v>
      </c>
      <c r="L753" s="2">
        <f>VLOOKUP(J753,Equipes!A:C,3,0)</f>
        <v>12</v>
      </c>
      <c r="M753" s="2" t="str">
        <f t="shared" si="4"/>
        <v>Round of 16</v>
      </c>
      <c r="N753" s="2" t="s">
        <v>625</v>
      </c>
      <c r="O753" s="2">
        <f>VLOOKUP(N753,Equipes!A:C,3,0)</f>
        <v>32</v>
      </c>
      <c r="P753" s="2" t="str">
        <f t="shared" si="5"/>
        <v>Group</v>
      </c>
      <c r="Q753" s="2">
        <f t="shared" si="6"/>
        <v>-20</v>
      </c>
      <c r="R753" s="2" t="str">
        <f>VLOOKUP(J753,Equipes!A:B,2,0)</f>
        <v>InterMilano</v>
      </c>
      <c r="S753" s="6" t="s">
        <v>805</v>
      </c>
      <c r="T753" s="7">
        <v>32.0</v>
      </c>
      <c r="U753" s="7" t="s">
        <v>806</v>
      </c>
      <c r="V753" s="7" t="str">
        <f>VLOOKUP(U753,Jogadores!B:C,2,0)</f>
        <v>DF</v>
      </c>
      <c r="W753" s="8">
        <f>VLOOKUP(U753,Jogadores!B:D,3,0)</f>
        <v>27.73150685</v>
      </c>
      <c r="X753" s="7">
        <v>0.0</v>
      </c>
      <c r="Y753" s="7">
        <v>72.0</v>
      </c>
      <c r="Z753" s="7">
        <f>VLOOKUP(A753,Jogos!A:L,3,0)</f>
        <v>47</v>
      </c>
      <c r="AA753" s="7">
        <f t="shared" si="2229"/>
        <v>47</v>
      </c>
      <c r="AB753" s="7">
        <f>VLOOKUP(A753,Jogos!A:L,4,0)</f>
        <v>49</v>
      </c>
      <c r="AC753" s="7">
        <f t="shared" si="2230"/>
        <v>27</v>
      </c>
      <c r="AD753" s="7"/>
      <c r="AE753" s="7"/>
      <c r="AF753" s="7">
        <f t="shared" si="2231"/>
        <v>74</v>
      </c>
      <c r="AG753" s="7">
        <v>8681.6</v>
      </c>
      <c r="AH753" s="7">
        <v>2869.1</v>
      </c>
      <c r="AI753" s="7">
        <v>3595.0</v>
      </c>
      <c r="AJ753" s="7">
        <v>1371.8</v>
      </c>
      <c r="AK753" s="7">
        <v>574.6</v>
      </c>
      <c r="AL753" s="7">
        <v>271.1</v>
      </c>
      <c r="AM753" s="7">
        <v>122.0</v>
      </c>
      <c r="AN753" s="7">
        <v>50.0</v>
      </c>
      <c r="AO753" s="7">
        <v>30.8</v>
      </c>
      <c r="AP753" s="9">
        <f t="shared" ref="AP753:AR753" si="2355">AG753/$AF753</f>
        <v>117.3189189</v>
      </c>
      <c r="AQ753" s="9">
        <f t="shared" si="2355"/>
        <v>38.77162162</v>
      </c>
      <c r="AR753" s="9">
        <f t="shared" si="2355"/>
        <v>48.58108108</v>
      </c>
      <c r="AS753" s="9">
        <f t="shared" si="2233"/>
        <v>87.3527027</v>
      </c>
      <c r="AT753" s="9">
        <f t="shared" ref="AT753:AV753" si="2356">AJ753/$AF753</f>
        <v>18.53783784</v>
      </c>
      <c r="AU753" s="9">
        <f t="shared" si="2356"/>
        <v>7.764864865</v>
      </c>
      <c r="AV753" s="9">
        <f t="shared" si="2356"/>
        <v>3.663513514</v>
      </c>
      <c r="AW753" s="9">
        <f t="shared" si="2235"/>
        <v>11.42837838</v>
      </c>
      <c r="AX753" s="9">
        <f t="shared" ref="AX753:AY753" si="2357">AM753/$AF753</f>
        <v>1.648648649</v>
      </c>
      <c r="AY753" s="9">
        <f t="shared" si="2357"/>
        <v>0.6756756757</v>
      </c>
      <c r="AZ753" s="9">
        <f>VLOOKUP(A753,Jogos!A:BN,58,0)</f>
        <v>12.74</v>
      </c>
      <c r="BA753" s="9">
        <f>VLOOKUP(A753,Jogos!A:BN,59,0)</f>
        <v>11.05</v>
      </c>
      <c r="BB753" s="9">
        <f>VLOOKUP(A753,Jogos!A:BN,60,0)</f>
        <v>88.5</v>
      </c>
      <c r="BC753" s="9">
        <f>VLOOKUP(A753,Jogos!A:BN,61,0)</f>
        <v>11.155</v>
      </c>
      <c r="BD753" s="9">
        <f>VLOOKUP(A753,Jogos!A:BN,62,0)</f>
        <v>278.35</v>
      </c>
      <c r="BE753" s="9">
        <f>VLOOKUP(A753,Jogos!A:BN,63,0)</f>
        <v>1.905</v>
      </c>
      <c r="BF753" s="9">
        <f>VLOOKUP(A753,Jogos!A:BN,64,0)</f>
        <v>14.145</v>
      </c>
      <c r="BG753" s="9">
        <f>VLOOKUP(A753,Jogos!A:BN,65,0)</f>
        <v>23.04</v>
      </c>
      <c r="BH753" s="9">
        <f>VLOOKUP(A753,Jogos!A:BN,66,0)</f>
        <v>15.785</v>
      </c>
      <c r="BI753" s="9"/>
      <c r="BJ753" s="9"/>
    </row>
    <row r="754" hidden="1">
      <c r="A754" s="2">
        <v>26.0</v>
      </c>
      <c r="B754" s="11" t="s">
        <v>623</v>
      </c>
      <c r="C754" s="2" t="s">
        <v>61</v>
      </c>
      <c r="D754" s="3">
        <v>45829.0</v>
      </c>
      <c r="E754" s="4">
        <v>0.5</v>
      </c>
      <c r="F754" s="5" t="str">
        <f>VLOOKUP(A754,Jogos!A:N,10,0)</f>
        <v>Afternoon</v>
      </c>
      <c r="G754" s="2" t="s">
        <v>312</v>
      </c>
      <c r="H754" s="6" t="str">
        <f>VLOOKUP(A754,Jogos!A:L,12,0)</f>
        <v>Open</v>
      </c>
      <c r="I754" s="6" t="str">
        <f>VLOOKUP(G754,'Estádios e Cidades'!A:B,2,0)</f>
        <v>Seatte</v>
      </c>
      <c r="J754" s="2" t="s">
        <v>748</v>
      </c>
      <c r="K754" s="2" t="str">
        <f>VLOOKUP(J754,Equipes!A:F,6,0)</f>
        <v>Temperate</v>
      </c>
      <c r="L754" s="2">
        <f>VLOOKUP(J754,Equipes!A:C,3,0)</f>
        <v>12</v>
      </c>
      <c r="M754" s="2" t="str">
        <f t="shared" si="4"/>
        <v>Round of 16</v>
      </c>
      <c r="N754" s="2" t="s">
        <v>625</v>
      </c>
      <c r="O754" s="2">
        <f>VLOOKUP(N754,Equipes!A:C,3,0)</f>
        <v>32</v>
      </c>
      <c r="P754" s="2" t="str">
        <f t="shared" si="5"/>
        <v>Group</v>
      </c>
      <c r="Q754" s="2">
        <f t="shared" si="6"/>
        <v>-20</v>
      </c>
      <c r="R754" s="2" t="str">
        <f>VLOOKUP(J754,Equipes!A:B,2,0)</f>
        <v>InterMilano</v>
      </c>
      <c r="S754" s="6" t="s">
        <v>793</v>
      </c>
      <c r="T754" s="7">
        <v>36.0</v>
      </c>
      <c r="U754" s="7" t="s">
        <v>794</v>
      </c>
      <c r="V754" s="7" t="str">
        <f>VLOOKUP(U754,Jogadores!B:C,2,0)</f>
        <v>DF</v>
      </c>
      <c r="W754" s="8">
        <f>VLOOKUP(U754,Jogadores!B:D,3,0)</f>
        <v>35.67671233</v>
      </c>
      <c r="X754" s="7">
        <v>0.0</v>
      </c>
      <c r="Y754" s="7">
        <f>45+AB754</f>
        <v>94</v>
      </c>
      <c r="Z754" s="7">
        <f>VLOOKUP(A754,Jogos!A:L,3,0)</f>
        <v>47</v>
      </c>
      <c r="AA754" s="7">
        <f t="shared" si="2229"/>
        <v>47</v>
      </c>
      <c r="AB754" s="7">
        <f>VLOOKUP(A754,Jogos!A:L,4,0)</f>
        <v>49</v>
      </c>
      <c r="AC754" s="7">
        <f t="shared" si="2230"/>
        <v>49</v>
      </c>
      <c r="AD754" s="7"/>
      <c r="AE754" s="7"/>
      <c r="AF754" s="7">
        <f t="shared" si="2231"/>
        <v>96</v>
      </c>
      <c r="AG754" s="7">
        <v>11143.0</v>
      </c>
      <c r="AH754" s="7">
        <v>4332.6</v>
      </c>
      <c r="AI754" s="7">
        <v>4530.3</v>
      </c>
      <c r="AJ754" s="7">
        <v>1613.1</v>
      </c>
      <c r="AK754" s="7">
        <v>541.3</v>
      </c>
      <c r="AL754" s="7">
        <v>125.7</v>
      </c>
      <c r="AM754" s="7">
        <v>146.0</v>
      </c>
      <c r="AN754" s="7">
        <v>43.0</v>
      </c>
      <c r="AO754" s="7">
        <v>30.7</v>
      </c>
      <c r="AP754" s="9">
        <f t="shared" ref="AP754:AR754" si="2358">AG754/$AF754</f>
        <v>116.0729167</v>
      </c>
      <c r="AQ754" s="9">
        <f t="shared" si="2358"/>
        <v>45.13125</v>
      </c>
      <c r="AR754" s="9">
        <f t="shared" si="2358"/>
        <v>47.190625</v>
      </c>
      <c r="AS754" s="9">
        <f t="shared" si="2233"/>
        <v>92.321875</v>
      </c>
      <c r="AT754" s="9">
        <f t="shared" ref="AT754:AV754" si="2359">AJ754/$AF754</f>
        <v>16.803125</v>
      </c>
      <c r="AU754" s="9">
        <f t="shared" si="2359"/>
        <v>5.638541667</v>
      </c>
      <c r="AV754" s="9">
        <f t="shared" si="2359"/>
        <v>1.309375</v>
      </c>
      <c r="AW754" s="9">
        <f t="shared" si="2235"/>
        <v>6.947916667</v>
      </c>
      <c r="AX754" s="9">
        <f t="shared" ref="AX754:AY754" si="2360">AM754/$AF754</f>
        <v>1.520833333</v>
      </c>
      <c r="AY754" s="9">
        <f t="shared" si="2360"/>
        <v>0.4479166667</v>
      </c>
      <c r="AZ754" s="9">
        <f>VLOOKUP(A754,Jogos!A:BN,58,0)</f>
        <v>12.74</v>
      </c>
      <c r="BA754" s="9">
        <f>VLOOKUP(A754,Jogos!A:BN,59,0)</f>
        <v>11.05</v>
      </c>
      <c r="BB754" s="9">
        <f>VLOOKUP(A754,Jogos!A:BN,60,0)</f>
        <v>88.5</v>
      </c>
      <c r="BC754" s="9">
        <f>VLOOKUP(A754,Jogos!A:BN,61,0)</f>
        <v>11.155</v>
      </c>
      <c r="BD754" s="9">
        <f>VLOOKUP(A754,Jogos!A:BN,62,0)</f>
        <v>278.35</v>
      </c>
      <c r="BE754" s="9">
        <f>VLOOKUP(A754,Jogos!A:BN,63,0)</f>
        <v>1.905</v>
      </c>
      <c r="BF754" s="9">
        <f>VLOOKUP(A754,Jogos!A:BN,64,0)</f>
        <v>14.145</v>
      </c>
      <c r="BG754" s="9">
        <f>VLOOKUP(A754,Jogos!A:BN,65,0)</f>
        <v>23.04</v>
      </c>
      <c r="BH754" s="9">
        <f>VLOOKUP(A754,Jogos!A:BN,66,0)</f>
        <v>15.785</v>
      </c>
      <c r="BI754" s="9"/>
      <c r="BJ754" s="9"/>
    </row>
    <row r="755" hidden="1">
      <c r="A755" s="2">
        <v>26.0</v>
      </c>
      <c r="B755" s="11" t="s">
        <v>623</v>
      </c>
      <c r="C755" s="2" t="s">
        <v>61</v>
      </c>
      <c r="D755" s="3">
        <v>45829.0</v>
      </c>
      <c r="E755" s="4">
        <v>0.5</v>
      </c>
      <c r="F755" s="5" t="str">
        <f>VLOOKUP(A755,Jogos!A:N,10,0)</f>
        <v>Afternoon</v>
      </c>
      <c r="G755" s="2" t="s">
        <v>312</v>
      </c>
      <c r="H755" s="6" t="str">
        <f>VLOOKUP(A755,Jogos!A:L,12,0)</f>
        <v>Open</v>
      </c>
      <c r="I755" s="6" t="str">
        <f>VLOOKUP(G755,'Estádios e Cidades'!A:B,2,0)</f>
        <v>Seatte</v>
      </c>
      <c r="J755" s="2" t="s">
        <v>748</v>
      </c>
      <c r="K755" s="2" t="str">
        <f>VLOOKUP(J755,Equipes!A:F,6,0)</f>
        <v>Temperate</v>
      </c>
      <c r="L755" s="2">
        <f>VLOOKUP(J755,Equipes!A:C,3,0)</f>
        <v>12</v>
      </c>
      <c r="M755" s="2" t="str">
        <f t="shared" si="4"/>
        <v>Round of 16</v>
      </c>
      <c r="N755" s="2" t="s">
        <v>625</v>
      </c>
      <c r="O755" s="2">
        <f>VLOOKUP(N755,Equipes!A:C,3,0)</f>
        <v>32</v>
      </c>
      <c r="P755" s="2" t="str">
        <f t="shared" si="5"/>
        <v>Group</v>
      </c>
      <c r="Q755" s="2">
        <f t="shared" si="6"/>
        <v>-20</v>
      </c>
      <c r="R755" s="2" t="str">
        <f>VLOOKUP(J755,Equipes!A:B,2,0)</f>
        <v>InterMilano</v>
      </c>
      <c r="S755" s="6" t="s">
        <v>807</v>
      </c>
      <c r="T755" s="7">
        <v>59.0</v>
      </c>
      <c r="U755" s="7" t="s">
        <v>808</v>
      </c>
      <c r="V755" s="7" t="str">
        <f>VLOOKUP(U755,Jogadores!B:C,2,0)</f>
        <v>MF</v>
      </c>
      <c r="W755" s="8">
        <f>VLOOKUP(U755,Jogadores!B:D,3,0)</f>
        <v>23.5260274</v>
      </c>
      <c r="X755" s="7">
        <v>0.0</v>
      </c>
      <c r="Y755" s="7">
        <v>45.0</v>
      </c>
      <c r="Z755" s="7">
        <f>VLOOKUP(A755,Jogos!A:L,3,0)</f>
        <v>47</v>
      </c>
      <c r="AA755" s="7">
        <f t="shared" si="2229"/>
        <v>47</v>
      </c>
      <c r="AB755" s="7">
        <f>VLOOKUP(A755,Jogos!A:L,4,0)</f>
        <v>49</v>
      </c>
      <c r="AC755" s="7">
        <f t="shared" si="2230"/>
        <v>0</v>
      </c>
      <c r="AD755" s="7"/>
      <c r="AE755" s="7"/>
      <c r="AF755" s="7">
        <f t="shared" si="2231"/>
        <v>47</v>
      </c>
      <c r="AG755" s="7">
        <v>5711.2</v>
      </c>
      <c r="AH755" s="7">
        <v>1866.9</v>
      </c>
      <c r="AI755" s="7">
        <v>2604.1</v>
      </c>
      <c r="AJ755" s="7">
        <v>836.8</v>
      </c>
      <c r="AK755" s="7">
        <v>288.6</v>
      </c>
      <c r="AL755" s="7">
        <v>114.8</v>
      </c>
      <c r="AM755" s="7">
        <v>72.0</v>
      </c>
      <c r="AN755" s="7">
        <v>24.0</v>
      </c>
      <c r="AO755" s="7">
        <v>33.4</v>
      </c>
      <c r="AP755" s="9">
        <f t="shared" ref="AP755:AR755" si="2361">AG755/$AF755</f>
        <v>121.5148936</v>
      </c>
      <c r="AQ755" s="9">
        <f t="shared" si="2361"/>
        <v>39.7212766</v>
      </c>
      <c r="AR755" s="9">
        <f t="shared" si="2361"/>
        <v>55.40638298</v>
      </c>
      <c r="AS755" s="9">
        <f t="shared" si="2233"/>
        <v>95.12765957</v>
      </c>
      <c r="AT755" s="9">
        <f t="shared" ref="AT755:AV755" si="2362">AJ755/$AF755</f>
        <v>17.80425532</v>
      </c>
      <c r="AU755" s="9">
        <f t="shared" si="2362"/>
        <v>6.140425532</v>
      </c>
      <c r="AV755" s="9">
        <f t="shared" si="2362"/>
        <v>2.442553191</v>
      </c>
      <c r="AW755" s="9">
        <f t="shared" si="2235"/>
        <v>8.582978723</v>
      </c>
      <c r="AX755" s="9">
        <f t="shared" ref="AX755:AY755" si="2363">AM755/$AF755</f>
        <v>1.531914894</v>
      </c>
      <c r="AY755" s="9">
        <f t="shared" si="2363"/>
        <v>0.5106382979</v>
      </c>
      <c r="AZ755" s="9">
        <f>VLOOKUP(A755,Jogos!A:BN,58,0)</f>
        <v>12.74</v>
      </c>
      <c r="BA755" s="9">
        <f>VLOOKUP(A755,Jogos!A:BN,59,0)</f>
        <v>11.05</v>
      </c>
      <c r="BB755" s="9">
        <f>VLOOKUP(A755,Jogos!A:BN,60,0)</f>
        <v>88.5</v>
      </c>
      <c r="BC755" s="9">
        <f>VLOOKUP(A755,Jogos!A:BN,61,0)</f>
        <v>11.155</v>
      </c>
      <c r="BD755" s="9">
        <f>VLOOKUP(A755,Jogos!A:BN,62,0)</f>
        <v>278.35</v>
      </c>
      <c r="BE755" s="9">
        <f>VLOOKUP(A755,Jogos!A:BN,63,0)</f>
        <v>1.905</v>
      </c>
      <c r="BF755" s="9">
        <f>VLOOKUP(A755,Jogos!A:BN,64,0)</f>
        <v>14.145</v>
      </c>
      <c r="BG755" s="9">
        <f>VLOOKUP(A755,Jogos!A:BN,65,0)</f>
        <v>23.04</v>
      </c>
      <c r="BH755" s="9">
        <f>VLOOKUP(A755,Jogos!A:BN,66,0)</f>
        <v>15.785</v>
      </c>
      <c r="BI755" s="9"/>
      <c r="BJ755" s="9"/>
    </row>
    <row r="756" hidden="1">
      <c r="A756" s="2">
        <v>26.0</v>
      </c>
      <c r="B756" s="11" t="s">
        <v>623</v>
      </c>
      <c r="C756" s="2" t="s">
        <v>61</v>
      </c>
      <c r="D756" s="3">
        <v>45829.0</v>
      </c>
      <c r="E756" s="4">
        <v>0.5</v>
      </c>
      <c r="F756" s="5" t="str">
        <f>VLOOKUP(A756,Jogos!A:N,10,0)</f>
        <v>Afternoon</v>
      </c>
      <c r="G756" s="2" t="s">
        <v>312</v>
      </c>
      <c r="H756" s="6" t="str">
        <f>VLOOKUP(A756,Jogos!A:L,12,0)</f>
        <v>Open</v>
      </c>
      <c r="I756" s="6" t="str">
        <f>VLOOKUP(G756,'Estádios e Cidades'!A:B,2,0)</f>
        <v>Seatte</v>
      </c>
      <c r="J756" s="2" t="s">
        <v>748</v>
      </c>
      <c r="K756" s="2" t="str">
        <f>VLOOKUP(J756,Equipes!A:F,6,0)</f>
        <v>Temperate</v>
      </c>
      <c r="L756" s="2">
        <f>VLOOKUP(J756,Equipes!A:C,3,0)</f>
        <v>12</v>
      </c>
      <c r="M756" s="2" t="str">
        <f t="shared" si="4"/>
        <v>Round of 16</v>
      </c>
      <c r="N756" s="2" t="s">
        <v>625</v>
      </c>
      <c r="O756" s="2">
        <f>VLOOKUP(N756,Equipes!A:C,3,0)</f>
        <v>32</v>
      </c>
      <c r="P756" s="2" t="str">
        <f t="shared" si="5"/>
        <v>Group</v>
      </c>
      <c r="Q756" s="2">
        <f t="shared" si="6"/>
        <v>-20</v>
      </c>
      <c r="R756" s="2" t="str">
        <f>VLOOKUP(J756,Equipes!A:B,2,0)</f>
        <v>InterMilano</v>
      </c>
      <c r="S756" s="6" t="s">
        <v>795</v>
      </c>
      <c r="T756" s="7">
        <v>70.0</v>
      </c>
      <c r="U756" s="7" t="s">
        <v>796</v>
      </c>
      <c r="V756" s="7" t="str">
        <f>VLOOKUP(U756,Jogadores!B:C,2,0)</f>
        <v>FW</v>
      </c>
      <c r="W756" s="8">
        <f>VLOOKUP(U756,Jogadores!B:D,3,0)</f>
        <v>23.08767123</v>
      </c>
      <c r="X756" s="7">
        <v>0.0</v>
      </c>
      <c r="Y756" s="7">
        <v>45.0</v>
      </c>
      <c r="Z756" s="7">
        <f>VLOOKUP(A756,Jogos!A:L,3,0)</f>
        <v>47</v>
      </c>
      <c r="AA756" s="7">
        <f t="shared" si="2229"/>
        <v>47</v>
      </c>
      <c r="AB756" s="7">
        <f>VLOOKUP(A756,Jogos!A:L,4,0)</f>
        <v>49</v>
      </c>
      <c r="AC756" s="7">
        <f t="shared" si="2230"/>
        <v>0</v>
      </c>
      <c r="AD756" s="7"/>
      <c r="AE756" s="7"/>
      <c r="AF756" s="7">
        <f t="shared" si="2231"/>
        <v>47</v>
      </c>
      <c r="AG756" s="7">
        <v>5876.9</v>
      </c>
      <c r="AH756" s="7">
        <v>1732.2</v>
      </c>
      <c r="AI756" s="7">
        <v>2647.5</v>
      </c>
      <c r="AJ756" s="7">
        <v>1014.6</v>
      </c>
      <c r="AK756" s="7">
        <v>443.5</v>
      </c>
      <c r="AL756" s="7">
        <v>39.1</v>
      </c>
      <c r="AM756" s="7">
        <v>93.0</v>
      </c>
      <c r="AN756" s="7">
        <v>39.0</v>
      </c>
      <c r="AO756" s="7">
        <v>28.6</v>
      </c>
      <c r="AP756" s="9">
        <f t="shared" ref="AP756:AR756" si="2364">AG756/$AF756</f>
        <v>125.0404255</v>
      </c>
      <c r="AQ756" s="9">
        <f t="shared" si="2364"/>
        <v>36.85531915</v>
      </c>
      <c r="AR756" s="9">
        <f t="shared" si="2364"/>
        <v>56.32978723</v>
      </c>
      <c r="AS756" s="9">
        <f t="shared" si="2233"/>
        <v>93.18510638</v>
      </c>
      <c r="AT756" s="9">
        <f t="shared" ref="AT756:AV756" si="2365">AJ756/$AF756</f>
        <v>21.58723404</v>
      </c>
      <c r="AU756" s="9">
        <f t="shared" si="2365"/>
        <v>9.436170213</v>
      </c>
      <c r="AV756" s="9">
        <f t="shared" si="2365"/>
        <v>0.8319148936</v>
      </c>
      <c r="AW756" s="9">
        <f t="shared" si="2235"/>
        <v>10.26808511</v>
      </c>
      <c r="AX756" s="9">
        <f t="shared" ref="AX756:AY756" si="2366">AM756/$AF756</f>
        <v>1.978723404</v>
      </c>
      <c r="AY756" s="9">
        <f t="shared" si="2366"/>
        <v>0.829787234</v>
      </c>
      <c r="AZ756" s="9">
        <f>VLOOKUP(A756,Jogos!A:BN,58,0)</f>
        <v>12.74</v>
      </c>
      <c r="BA756" s="9">
        <f>VLOOKUP(A756,Jogos!A:BN,59,0)</f>
        <v>11.05</v>
      </c>
      <c r="BB756" s="9">
        <f>VLOOKUP(A756,Jogos!A:BN,60,0)</f>
        <v>88.5</v>
      </c>
      <c r="BC756" s="9">
        <f>VLOOKUP(A756,Jogos!A:BN,61,0)</f>
        <v>11.155</v>
      </c>
      <c r="BD756" s="9">
        <f>VLOOKUP(A756,Jogos!A:BN,62,0)</f>
        <v>278.35</v>
      </c>
      <c r="BE756" s="9">
        <f>VLOOKUP(A756,Jogos!A:BN,63,0)</f>
        <v>1.905</v>
      </c>
      <c r="BF756" s="9">
        <f>VLOOKUP(A756,Jogos!A:BN,64,0)</f>
        <v>14.145</v>
      </c>
      <c r="BG756" s="9">
        <f>VLOOKUP(A756,Jogos!A:BN,65,0)</f>
        <v>23.04</v>
      </c>
      <c r="BH756" s="9">
        <f>VLOOKUP(A756,Jogos!A:BN,66,0)</f>
        <v>15.785</v>
      </c>
      <c r="BI756" s="9"/>
      <c r="BJ756" s="9"/>
    </row>
    <row r="757" hidden="1">
      <c r="A757" s="2">
        <v>26.0</v>
      </c>
      <c r="B757" s="11" t="s">
        <v>623</v>
      </c>
      <c r="C757" s="2" t="s">
        <v>61</v>
      </c>
      <c r="D757" s="3">
        <v>45829.0</v>
      </c>
      <c r="E757" s="4">
        <v>0.5</v>
      </c>
      <c r="F757" s="5" t="str">
        <f>VLOOKUP(A757,Jogos!A:N,10,0)</f>
        <v>Afternoon</v>
      </c>
      <c r="G757" s="2" t="s">
        <v>312</v>
      </c>
      <c r="H757" s="6" t="str">
        <f>VLOOKUP(A757,Jogos!A:L,12,0)</f>
        <v>Open</v>
      </c>
      <c r="I757" s="6" t="str">
        <f>VLOOKUP(G757,'Estádios e Cidades'!A:B,2,0)</f>
        <v>Seatte</v>
      </c>
      <c r="J757" s="2" t="s">
        <v>748</v>
      </c>
      <c r="K757" s="2" t="str">
        <f>VLOOKUP(J757,Equipes!A:F,6,0)</f>
        <v>Temperate</v>
      </c>
      <c r="L757" s="2">
        <f>VLOOKUP(J757,Equipes!A:C,3,0)</f>
        <v>12</v>
      </c>
      <c r="M757" s="2" t="str">
        <f t="shared" si="4"/>
        <v>Round of 16</v>
      </c>
      <c r="N757" s="2" t="s">
        <v>625</v>
      </c>
      <c r="O757" s="2">
        <f>VLOOKUP(N757,Equipes!A:C,3,0)</f>
        <v>32</v>
      </c>
      <c r="P757" s="2" t="str">
        <f t="shared" si="5"/>
        <v>Group</v>
      </c>
      <c r="Q757" s="2">
        <f t="shared" si="6"/>
        <v>-20</v>
      </c>
      <c r="R757" s="2" t="str">
        <f>VLOOKUP(J757,Equipes!A:B,2,0)</f>
        <v>InterMilano</v>
      </c>
      <c r="S757" s="6" t="s">
        <v>799</v>
      </c>
      <c r="T757" s="7">
        <v>8.0</v>
      </c>
      <c r="U757" s="7" t="s">
        <v>800</v>
      </c>
      <c r="V757" s="7" t="str">
        <f>VLOOKUP(U757,Jogadores!B:C,2,0)</f>
        <v>MF</v>
      </c>
      <c r="W757" s="8">
        <f>VLOOKUP(U757,Jogadores!B:D,3,0)</f>
        <v>21.77260274</v>
      </c>
      <c r="X757" s="7">
        <v>86.0</v>
      </c>
      <c r="Y757" s="7">
        <f t="shared" ref="Y757:Y764" si="2370">45+AB757</f>
        <v>94</v>
      </c>
      <c r="Z757" s="7">
        <f>VLOOKUP(A757,Jogos!A:L,3,0)</f>
        <v>47</v>
      </c>
      <c r="AA757" s="7">
        <f t="shared" si="2229"/>
        <v>0</v>
      </c>
      <c r="AB757" s="7">
        <f>VLOOKUP(A757,Jogos!A:L,4,0)</f>
        <v>49</v>
      </c>
      <c r="AC757" s="7">
        <f t="shared" si="2230"/>
        <v>8</v>
      </c>
      <c r="AD757" s="7"/>
      <c r="AE757" s="7"/>
      <c r="AF757" s="7">
        <f t="shared" si="2231"/>
        <v>8</v>
      </c>
      <c r="AG757" s="7">
        <v>1115.1</v>
      </c>
      <c r="AH757" s="7">
        <v>316.5</v>
      </c>
      <c r="AI757" s="7">
        <v>577.6</v>
      </c>
      <c r="AJ757" s="7">
        <v>188.5</v>
      </c>
      <c r="AK757" s="7">
        <v>32.6</v>
      </c>
      <c r="AL757" s="7">
        <v>16.0</v>
      </c>
      <c r="AM757" s="7">
        <v>1.0</v>
      </c>
      <c r="AN757" s="7">
        <v>21.4</v>
      </c>
      <c r="AO757" s="7"/>
      <c r="AP757" s="9">
        <f t="shared" ref="AP757:AR757" si="2367">AG757/$AF757</f>
        <v>139.3875</v>
      </c>
      <c r="AQ757" s="9">
        <f t="shared" si="2367"/>
        <v>39.5625</v>
      </c>
      <c r="AR757" s="9">
        <f t="shared" si="2367"/>
        <v>72.2</v>
      </c>
      <c r="AS757" s="9">
        <f t="shared" si="2233"/>
        <v>111.7625</v>
      </c>
      <c r="AT757" s="9">
        <f t="shared" ref="AT757:AV757" si="2368">AJ757/$AF757</f>
        <v>23.5625</v>
      </c>
      <c r="AU757" s="9">
        <f t="shared" si="2368"/>
        <v>4.075</v>
      </c>
      <c r="AV757" s="9">
        <f t="shared" si="2368"/>
        <v>2</v>
      </c>
      <c r="AW757" s="9">
        <f t="shared" si="2235"/>
        <v>6.075</v>
      </c>
      <c r="AX757" s="9">
        <f t="shared" ref="AX757:AY757" si="2369">AM757/$AF757</f>
        <v>0.125</v>
      </c>
      <c r="AY757" s="9">
        <f t="shared" si="2369"/>
        <v>2.675</v>
      </c>
      <c r="AZ757" s="9">
        <f>VLOOKUP(A757,Jogos!A:BN,58,0)</f>
        <v>12.74</v>
      </c>
      <c r="BA757" s="9">
        <f>VLOOKUP(A757,Jogos!A:BN,59,0)</f>
        <v>11.05</v>
      </c>
      <c r="BB757" s="9">
        <f>VLOOKUP(A757,Jogos!A:BN,60,0)</f>
        <v>88.5</v>
      </c>
      <c r="BC757" s="9">
        <f>VLOOKUP(A757,Jogos!A:BN,61,0)</f>
        <v>11.155</v>
      </c>
      <c r="BD757" s="9">
        <f>VLOOKUP(A757,Jogos!A:BN,62,0)</f>
        <v>278.35</v>
      </c>
      <c r="BE757" s="9">
        <f>VLOOKUP(A757,Jogos!A:BN,63,0)</f>
        <v>1.905</v>
      </c>
      <c r="BF757" s="9">
        <f>VLOOKUP(A757,Jogos!A:BN,64,0)</f>
        <v>14.145</v>
      </c>
      <c r="BG757" s="9">
        <f>VLOOKUP(A757,Jogos!A:BN,65,0)</f>
        <v>23.04</v>
      </c>
      <c r="BH757" s="9">
        <f>VLOOKUP(A757,Jogos!A:BN,66,0)</f>
        <v>15.785</v>
      </c>
      <c r="BI757" s="9"/>
      <c r="BJ757" s="9"/>
    </row>
    <row r="758" hidden="1">
      <c r="A758" s="2">
        <v>26.0</v>
      </c>
      <c r="B758" s="11" t="s">
        <v>623</v>
      </c>
      <c r="C758" s="2" t="s">
        <v>61</v>
      </c>
      <c r="D758" s="3">
        <v>45829.0</v>
      </c>
      <c r="E758" s="4">
        <v>0.5</v>
      </c>
      <c r="F758" s="5" t="str">
        <f>VLOOKUP(A758,Jogos!A:N,10,0)</f>
        <v>Afternoon</v>
      </c>
      <c r="G758" s="2" t="s">
        <v>312</v>
      </c>
      <c r="H758" s="6" t="str">
        <f>VLOOKUP(A758,Jogos!A:L,12,0)</f>
        <v>Open</v>
      </c>
      <c r="I758" s="6" t="str">
        <f>VLOOKUP(G758,'Estádios e Cidades'!A:B,2,0)</f>
        <v>Seatte</v>
      </c>
      <c r="J758" s="2" t="s">
        <v>748</v>
      </c>
      <c r="K758" s="2" t="str">
        <f>VLOOKUP(J758,Equipes!A:F,6,0)</f>
        <v>Temperate</v>
      </c>
      <c r="L758" s="2">
        <f>VLOOKUP(J758,Equipes!A:C,3,0)</f>
        <v>12</v>
      </c>
      <c r="M758" s="2" t="str">
        <f t="shared" si="4"/>
        <v>Round of 16</v>
      </c>
      <c r="N758" s="2" t="s">
        <v>625</v>
      </c>
      <c r="O758" s="2">
        <f>VLOOKUP(N758,Equipes!A:C,3,0)</f>
        <v>32</v>
      </c>
      <c r="P758" s="2" t="str">
        <f t="shared" si="5"/>
        <v>Group</v>
      </c>
      <c r="Q758" s="2">
        <f t="shared" si="6"/>
        <v>-20</v>
      </c>
      <c r="R758" s="2" t="str">
        <f>VLOOKUP(J758,Equipes!A:B,2,0)</f>
        <v>InterMilano</v>
      </c>
      <c r="S758" s="6" t="s">
        <v>785</v>
      </c>
      <c r="T758" s="7">
        <v>22.0</v>
      </c>
      <c r="U758" s="7" t="s">
        <v>786</v>
      </c>
      <c r="V758" s="7" t="str">
        <f>VLOOKUP(U758,Jogadores!B:C,2,0)</f>
        <v>MF</v>
      </c>
      <c r="W758" s="8">
        <f>VLOOKUP(U758,Jogadores!B:D,3,0)</f>
        <v>36.53972603</v>
      </c>
      <c r="X758" s="7">
        <v>45.0</v>
      </c>
      <c r="Y758" s="7">
        <f t="shared" si="2370"/>
        <v>94</v>
      </c>
      <c r="Z758" s="7">
        <f>VLOOKUP(A758,Jogos!A:L,3,0)</f>
        <v>47</v>
      </c>
      <c r="AA758" s="7">
        <f t="shared" si="2229"/>
        <v>0</v>
      </c>
      <c r="AB758" s="7">
        <f>VLOOKUP(A758,Jogos!A:L,4,0)</f>
        <v>49</v>
      </c>
      <c r="AC758" s="7">
        <f t="shared" si="2230"/>
        <v>49</v>
      </c>
      <c r="AD758" s="7"/>
      <c r="AE758" s="7"/>
      <c r="AF758" s="7">
        <f t="shared" si="2231"/>
        <v>49</v>
      </c>
      <c r="AG758" s="7">
        <v>6343.6</v>
      </c>
      <c r="AH758" s="7">
        <v>1900.2</v>
      </c>
      <c r="AI758" s="7">
        <v>2675.4</v>
      </c>
      <c r="AJ758" s="7">
        <v>1068.3</v>
      </c>
      <c r="AK758" s="7">
        <v>559.8</v>
      </c>
      <c r="AL758" s="7">
        <v>139.9</v>
      </c>
      <c r="AM758" s="7">
        <v>93.0</v>
      </c>
      <c r="AN758" s="7">
        <v>41.0</v>
      </c>
      <c r="AO758" s="7">
        <v>30.6</v>
      </c>
      <c r="AP758" s="9">
        <f t="shared" ref="AP758:AR758" si="2371">AG758/$AF758</f>
        <v>129.4612245</v>
      </c>
      <c r="AQ758" s="9">
        <f t="shared" si="2371"/>
        <v>38.77959184</v>
      </c>
      <c r="AR758" s="9">
        <f t="shared" si="2371"/>
        <v>54.6</v>
      </c>
      <c r="AS758" s="9">
        <f t="shared" si="2233"/>
        <v>93.37959184</v>
      </c>
      <c r="AT758" s="9">
        <f t="shared" ref="AT758:AV758" si="2372">AJ758/$AF758</f>
        <v>21.80204082</v>
      </c>
      <c r="AU758" s="9">
        <f t="shared" si="2372"/>
        <v>11.4244898</v>
      </c>
      <c r="AV758" s="9">
        <f t="shared" si="2372"/>
        <v>2.855102041</v>
      </c>
      <c r="AW758" s="9">
        <f t="shared" si="2235"/>
        <v>14.27959184</v>
      </c>
      <c r="AX758" s="9">
        <f t="shared" ref="AX758:AY758" si="2373">AM758/$AF758</f>
        <v>1.897959184</v>
      </c>
      <c r="AY758" s="9">
        <f t="shared" si="2373"/>
        <v>0.8367346939</v>
      </c>
      <c r="AZ758" s="9">
        <f>VLOOKUP(A758,Jogos!A:BN,58,0)</f>
        <v>12.74</v>
      </c>
      <c r="BA758" s="9">
        <f>VLOOKUP(A758,Jogos!A:BN,59,0)</f>
        <v>11.05</v>
      </c>
      <c r="BB758" s="9">
        <f>VLOOKUP(A758,Jogos!A:BN,60,0)</f>
        <v>88.5</v>
      </c>
      <c r="BC758" s="9">
        <f>VLOOKUP(A758,Jogos!A:BN,61,0)</f>
        <v>11.155</v>
      </c>
      <c r="BD758" s="9">
        <f>VLOOKUP(A758,Jogos!A:BN,62,0)</f>
        <v>278.35</v>
      </c>
      <c r="BE758" s="9">
        <f>VLOOKUP(A758,Jogos!A:BN,63,0)</f>
        <v>1.905</v>
      </c>
      <c r="BF758" s="9">
        <f>VLOOKUP(A758,Jogos!A:BN,64,0)</f>
        <v>14.145</v>
      </c>
      <c r="BG758" s="9">
        <f>VLOOKUP(A758,Jogos!A:BN,65,0)</f>
        <v>23.04</v>
      </c>
      <c r="BH758" s="9">
        <f>VLOOKUP(A758,Jogos!A:BN,66,0)</f>
        <v>15.785</v>
      </c>
      <c r="BI758" s="9"/>
      <c r="BJ758" s="9"/>
    </row>
    <row r="759" hidden="1">
      <c r="A759" s="2">
        <v>26.0</v>
      </c>
      <c r="B759" s="11" t="s">
        <v>623</v>
      </c>
      <c r="C759" s="2" t="s">
        <v>61</v>
      </c>
      <c r="D759" s="3">
        <v>45829.0</v>
      </c>
      <c r="E759" s="4">
        <v>0.5</v>
      </c>
      <c r="F759" s="5" t="str">
        <f>VLOOKUP(A759,Jogos!A:N,10,0)</f>
        <v>Afternoon</v>
      </c>
      <c r="G759" s="2" t="s">
        <v>312</v>
      </c>
      <c r="H759" s="6" t="str">
        <f>VLOOKUP(A759,Jogos!A:L,12,0)</f>
        <v>Open</v>
      </c>
      <c r="I759" s="6" t="str">
        <f>VLOOKUP(G759,'Estádios e Cidades'!A:B,2,0)</f>
        <v>Seatte</v>
      </c>
      <c r="J759" s="2" t="s">
        <v>748</v>
      </c>
      <c r="K759" s="2" t="str">
        <f>VLOOKUP(J759,Equipes!A:F,6,0)</f>
        <v>Temperate</v>
      </c>
      <c r="L759" s="2">
        <f>VLOOKUP(J759,Equipes!A:C,3,0)</f>
        <v>12</v>
      </c>
      <c r="M759" s="2" t="str">
        <f t="shared" si="4"/>
        <v>Round of 16</v>
      </c>
      <c r="N759" s="2" t="s">
        <v>625</v>
      </c>
      <c r="O759" s="2">
        <f>VLOOKUP(N759,Equipes!A:C,3,0)</f>
        <v>32</v>
      </c>
      <c r="P759" s="2" t="str">
        <f t="shared" si="5"/>
        <v>Group</v>
      </c>
      <c r="Q759" s="2">
        <f t="shared" si="6"/>
        <v>-20</v>
      </c>
      <c r="R759" s="2" t="str">
        <f>VLOOKUP(J759,Equipes!A:B,2,0)</f>
        <v>InterMilano</v>
      </c>
      <c r="S759" s="6" t="s">
        <v>1160</v>
      </c>
      <c r="T759" s="7">
        <v>45.0</v>
      </c>
      <c r="U759" s="7" t="s">
        <v>1161</v>
      </c>
      <c r="V759" s="7" t="str">
        <f>VLOOKUP(U759,Jogadores!B:C,2,0)</f>
        <v>FW</v>
      </c>
      <c r="W759" s="8">
        <f>VLOOKUP(U759,Jogadores!B:D,3,0)</f>
        <v>20.4109589</v>
      </c>
      <c r="X759" s="7">
        <v>72.0</v>
      </c>
      <c r="Y759" s="7">
        <f t="shared" si="2370"/>
        <v>94</v>
      </c>
      <c r="Z759" s="7">
        <f>VLOOKUP(A759,Jogos!A:L,3,0)</f>
        <v>47</v>
      </c>
      <c r="AA759" s="7">
        <f t="shared" si="2229"/>
        <v>0</v>
      </c>
      <c r="AB759" s="7">
        <f>VLOOKUP(A759,Jogos!A:L,4,0)</f>
        <v>49</v>
      </c>
      <c r="AC759" s="7">
        <f t="shared" si="2230"/>
        <v>22</v>
      </c>
      <c r="AD759" s="7"/>
      <c r="AE759" s="7"/>
      <c r="AF759" s="7">
        <f t="shared" si="2231"/>
        <v>22</v>
      </c>
      <c r="AG759" s="7">
        <v>2728.6</v>
      </c>
      <c r="AH759" s="7">
        <v>937.8</v>
      </c>
      <c r="AI759" s="7">
        <v>1251.5</v>
      </c>
      <c r="AJ759" s="7">
        <v>360.3</v>
      </c>
      <c r="AK759" s="7">
        <v>165.3</v>
      </c>
      <c r="AL759" s="7">
        <v>13.6</v>
      </c>
      <c r="AM759" s="7">
        <v>32.0</v>
      </c>
      <c r="AN759" s="7">
        <v>11.0</v>
      </c>
      <c r="AO759" s="7">
        <v>26.7</v>
      </c>
      <c r="AP759" s="9">
        <f t="shared" ref="AP759:AR759" si="2374">AG759/$AF759</f>
        <v>124.0272727</v>
      </c>
      <c r="AQ759" s="9">
        <f t="shared" si="2374"/>
        <v>42.62727273</v>
      </c>
      <c r="AR759" s="9">
        <f t="shared" si="2374"/>
        <v>56.88636364</v>
      </c>
      <c r="AS759" s="9">
        <f t="shared" si="2233"/>
        <v>99.51363636</v>
      </c>
      <c r="AT759" s="9">
        <f t="shared" ref="AT759:AV759" si="2375">AJ759/$AF759</f>
        <v>16.37727273</v>
      </c>
      <c r="AU759" s="9">
        <f t="shared" si="2375"/>
        <v>7.513636364</v>
      </c>
      <c r="AV759" s="9">
        <f t="shared" si="2375"/>
        <v>0.6181818182</v>
      </c>
      <c r="AW759" s="9">
        <f t="shared" si="2235"/>
        <v>8.131818182</v>
      </c>
      <c r="AX759" s="9">
        <f t="shared" ref="AX759:AY759" si="2376">AM759/$AF759</f>
        <v>1.454545455</v>
      </c>
      <c r="AY759" s="9">
        <f t="shared" si="2376"/>
        <v>0.5</v>
      </c>
      <c r="AZ759" s="9">
        <f>VLOOKUP(A759,Jogos!A:BN,58,0)</f>
        <v>12.74</v>
      </c>
      <c r="BA759" s="9">
        <f>VLOOKUP(A759,Jogos!A:BN,59,0)</f>
        <v>11.05</v>
      </c>
      <c r="BB759" s="9">
        <f>VLOOKUP(A759,Jogos!A:BN,60,0)</f>
        <v>88.5</v>
      </c>
      <c r="BC759" s="9">
        <f>VLOOKUP(A759,Jogos!A:BN,61,0)</f>
        <v>11.155</v>
      </c>
      <c r="BD759" s="9">
        <f>VLOOKUP(A759,Jogos!A:BN,62,0)</f>
        <v>278.35</v>
      </c>
      <c r="BE759" s="9">
        <f>VLOOKUP(A759,Jogos!A:BN,63,0)</f>
        <v>1.905</v>
      </c>
      <c r="BF759" s="9">
        <f>VLOOKUP(A759,Jogos!A:BN,64,0)</f>
        <v>14.145</v>
      </c>
      <c r="BG759" s="9">
        <f>VLOOKUP(A759,Jogos!A:BN,65,0)</f>
        <v>23.04</v>
      </c>
      <c r="BH759" s="9">
        <f>VLOOKUP(A759,Jogos!A:BN,66,0)</f>
        <v>15.785</v>
      </c>
      <c r="BI759" s="9"/>
      <c r="BJ759" s="9"/>
    </row>
    <row r="760" hidden="1">
      <c r="A760" s="2">
        <v>26.0</v>
      </c>
      <c r="B760" s="11" t="s">
        <v>623</v>
      </c>
      <c r="C760" s="2" t="s">
        <v>61</v>
      </c>
      <c r="D760" s="3">
        <v>45829.0</v>
      </c>
      <c r="E760" s="4">
        <v>0.5</v>
      </c>
      <c r="F760" s="5" t="str">
        <f>VLOOKUP(A760,Jogos!A:N,10,0)</f>
        <v>Afternoon</v>
      </c>
      <c r="G760" s="2" t="s">
        <v>312</v>
      </c>
      <c r="H760" s="6" t="str">
        <f>VLOOKUP(A760,Jogos!A:L,12,0)</f>
        <v>Open</v>
      </c>
      <c r="I760" s="6" t="str">
        <f>VLOOKUP(G760,'Estádios e Cidades'!A:B,2,0)</f>
        <v>Seatte</v>
      </c>
      <c r="J760" s="2" t="s">
        <v>748</v>
      </c>
      <c r="K760" s="2" t="str">
        <f>VLOOKUP(J760,Equipes!A:F,6,0)</f>
        <v>Temperate</v>
      </c>
      <c r="L760" s="2">
        <f>VLOOKUP(J760,Equipes!A:C,3,0)</f>
        <v>12</v>
      </c>
      <c r="M760" s="2" t="str">
        <f t="shared" si="4"/>
        <v>Round of 16</v>
      </c>
      <c r="N760" s="2" t="s">
        <v>625</v>
      </c>
      <c r="O760" s="2">
        <f>VLOOKUP(N760,Equipes!A:C,3,0)</f>
        <v>32</v>
      </c>
      <c r="P760" s="2" t="str">
        <f t="shared" si="5"/>
        <v>Group</v>
      </c>
      <c r="Q760" s="2">
        <f t="shared" si="6"/>
        <v>-20</v>
      </c>
      <c r="R760" s="2" t="str">
        <f>VLOOKUP(J760,Equipes!A:B,2,0)</f>
        <v>InterMilano</v>
      </c>
      <c r="S760" s="6" t="s">
        <v>1162</v>
      </c>
      <c r="T760" s="7">
        <v>94.0</v>
      </c>
      <c r="U760" s="7" t="s">
        <v>1163</v>
      </c>
      <c r="V760" s="7" t="str">
        <f>VLOOKUP(U760,Jogadores!B:C,2,0)</f>
        <v>FW</v>
      </c>
      <c r="W760" s="8">
        <f>VLOOKUP(U760,Jogadores!B:D,3,0)</f>
        <v>20.09589041</v>
      </c>
      <c r="X760" s="7">
        <v>45.0</v>
      </c>
      <c r="Y760" s="7">
        <f t="shared" si="2370"/>
        <v>94</v>
      </c>
      <c r="Z760" s="7">
        <f>VLOOKUP(A760,Jogos!A:L,3,0)</f>
        <v>47</v>
      </c>
      <c r="AA760" s="7">
        <f t="shared" si="2229"/>
        <v>0</v>
      </c>
      <c r="AB760" s="7">
        <f>VLOOKUP(A760,Jogos!A:L,4,0)</f>
        <v>49</v>
      </c>
      <c r="AC760" s="7">
        <f t="shared" si="2230"/>
        <v>49</v>
      </c>
      <c r="AD760" s="7"/>
      <c r="AE760" s="7"/>
      <c r="AF760" s="7">
        <f t="shared" si="2231"/>
        <v>49</v>
      </c>
      <c r="AG760" s="7">
        <v>5399.7</v>
      </c>
      <c r="AH760" s="7">
        <v>1870.0</v>
      </c>
      <c r="AI760" s="7">
        <v>2595.7</v>
      </c>
      <c r="AJ760" s="7">
        <v>668.5</v>
      </c>
      <c r="AK760" s="7">
        <v>221.3</v>
      </c>
      <c r="AL760" s="7">
        <v>44.2</v>
      </c>
      <c r="AM760" s="7">
        <v>56.0</v>
      </c>
      <c r="AN760" s="7">
        <v>20.0</v>
      </c>
      <c r="AO760" s="7">
        <v>27.8</v>
      </c>
      <c r="AP760" s="9">
        <f t="shared" ref="AP760:AR760" si="2377">AG760/$AF760</f>
        <v>110.1979592</v>
      </c>
      <c r="AQ760" s="9">
        <f t="shared" si="2377"/>
        <v>38.16326531</v>
      </c>
      <c r="AR760" s="9">
        <f t="shared" si="2377"/>
        <v>52.97346939</v>
      </c>
      <c r="AS760" s="9">
        <f t="shared" si="2233"/>
        <v>91.13673469</v>
      </c>
      <c r="AT760" s="9">
        <f t="shared" ref="AT760:AV760" si="2378">AJ760/$AF760</f>
        <v>13.64285714</v>
      </c>
      <c r="AU760" s="9">
        <f t="shared" si="2378"/>
        <v>4.516326531</v>
      </c>
      <c r="AV760" s="9">
        <f t="shared" si="2378"/>
        <v>0.9020408163</v>
      </c>
      <c r="AW760" s="9">
        <f t="shared" si="2235"/>
        <v>5.418367347</v>
      </c>
      <c r="AX760" s="9">
        <f t="shared" ref="AX760:AY760" si="2379">AM760/$AF760</f>
        <v>1.142857143</v>
      </c>
      <c r="AY760" s="9">
        <f t="shared" si="2379"/>
        <v>0.4081632653</v>
      </c>
      <c r="AZ760" s="9">
        <f>VLOOKUP(A760,Jogos!A:BN,58,0)</f>
        <v>12.74</v>
      </c>
      <c r="BA760" s="9">
        <f>VLOOKUP(A760,Jogos!A:BN,59,0)</f>
        <v>11.05</v>
      </c>
      <c r="BB760" s="9">
        <f>VLOOKUP(A760,Jogos!A:BN,60,0)</f>
        <v>88.5</v>
      </c>
      <c r="BC760" s="9">
        <f>VLOOKUP(A760,Jogos!A:BN,61,0)</f>
        <v>11.155</v>
      </c>
      <c r="BD760" s="9">
        <f>VLOOKUP(A760,Jogos!A:BN,62,0)</f>
        <v>278.35</v>
      </c>
      <c r="BE760" s="9">
        <f>VLOOKUP(A760,Jogos!A:BN,63,0)</f>
        <v>1.905</v>
      </c>
      <c r="BF760" s="9">
        <f>VLOOKUP(A760,Jogos!A:BN,64,0)</f>
        <v>14.145</v>
      </c>
      <c r="BG760" s="9">
        <f>VLOOKUP(A760,Jogos!A:BN,65,0)</f>
        <v>23.04</v>
      </c>
      <c r="BH760" s="9">
        <f>VLOOKUP(A760,Jogos!A:BN,66,0)</f>
        <v>15.785</v>
      </c>
      <c r="BI760" s="9"/>
      <c r="BJ760" s="9"/>
    </row>
    <row r="761" hidden="1">
      <c r="A761" s="2">
        <v>26.0</v>
      </c>
      <c r="B761" s="11" t="s">
        <v>623</v>
      </c>
      <c r="C761" s="2" t="s">
        <v>61</v>
      </c>
      <c r="D761" s="3">
        <v>45829.0</v>
      </c>
      <c r="E761" s="4">
        <v>0.5</v>
      </c>
      <c r="F761" s="5" t="str">
        <f>VLOOKUP(A761,Jogos!A:N,10,0)</f>
        <v>Afternoon</v>
      </c>
      <c r="G761" s="2" t="s">
        <v>312</v>
      </c>
      <c r="H761" s="6" t="str">
        <f>VLOOKUP(A761,Jogos!A:L,12,0)</f>
        <v>Open</v>
      </c>
      <c r="I761" s="6" t="str">
        <f>VLOOKUP(G761,'Estádios e Cidades'!A:B,2,0)</f>
        <v>Seatte</v>
      </c>
      <c r="J761" s="2" t="s">
        <v>748</v>
      </c>
      <c r="K761" s="2" t="str">
        <f>VLOOKUP(J761,Equipes!A:F,6,0)</f>
        <v>Temperate</v>
      </c>
      <c r="L761" s="2">
        <f>VLOOKUP(J761,Equipes!A:C,3,0)</f>
        <v>12</v>
      </c>
      <c r="M761" s="2" t="str">
        <f t="shared" si="4"/>
        <v>Round of 16</v>
      </c>
      <c r="N761" s="2" t="s">
        <v>625</v>
      </c>
      <c r="O761" s="2">
        <f>VLOOKUP(N761,Equipes!A:C,3,0)</f>
        <v>32</v>
      </c>
      <c r="P761" s="2" t="str">
        <f t="shared" si="5"/>
        <v>Group</v>
      </c>
      <c r="Q761" s="2">
        <f t="shared" si="6"/>
        <v>-20</v>
      </c>
      <c r="R761" s="2" t="str">
        <f>VLOOKUP(J761,Equipes!A:B,2,0)</f>
        <v>InterMilano</v>
      </c>
      <c r="S761" s="6" t="s">
        <v>797</v>
      </c>
      <c r="T761" s="7">
        <v>95.0</v>
      </c>
      <c r="U761" s="7" t="s">
        <v>798</v>
      </c>
      <c r="V761" s="7" t="str">
        <f>VLOOKUP(U761,Jogadores!B:C,2,0)</f>
        <v>DF</v>
      </c>
      <c r="W761" s="8">
        <f>VLOOKUP(U761,Jogadores!B:D,3,0)</f>
        <v>26.30958904</v>
      </c>
      <c r="X761" s="7">
        <v>72.0</v>
      </c>
      <c r="Y761" s="7">
        <f t="shared" si="2370"/>
        <v>94</v>
      </c>
      <c r="Z761" s="7">
        <f>VLOOKUP(A761,Jogos!A:L,3,0)</f>
        <v>47</v>
      </c>
      <c r="AA761" s="7">
        <f t="shared" si="2229"/>
        <v>0</v>
      </c>
      <c r="AB761" s="7">
        <f>VLOOKUP(A761,Jogos!A:L,4,0)</f>
        <v>49</v>
      </c>
      <c r="AC761" s="7">
        <f t="shared" si="2230"/>
        <v>22</v>
      </c>
      <c r="AD761" s="7"/>
      <c r="AE761" s="7"/>
      <c r="AF761" s="7">
        <f t="shared" si="2231"/>
        <v>22</v>
      </c>
      <c r="AG761" s="7">
        <v>2615.0</v>
      </c>
      <c r="AH761" s="7">
        <v>969.1</v>
      </c>
      <c r="AI761" s="7">
        <v>1230.5</v>
      </c>
      <c r="AJ761" s="7">
        <v>312.3</v>
      </c>
      <c r="AK761" s="7">
        <v>89.4</v>
      </c>
      <c r="AL761" s="7">
        <v>13.6</v>
      </c>
      <c r="AM761" s="7">
        <v>34.0</v>
      </c>
      <c r="AN761" s="7">
        <v>5.0</v>
      </c>
      <c r="AO761" s="7">
        <v>27.1</v>
      </c>
      <c r="AP761" s="9">
        <f t="shared" ref="AP761:AR761" si="2380">AG761/$AF761</f>
        <v>118.8636364</v>
      </c>
      <c r="AQ761" s="9">
        <f t="shared" si="2380"/>
        <v>44.05</v>
      </c>
      <c r="AR761" s="9">
        <f t="shared" si="2380"/>
        <v>55.93181818</v>
      </c>
      <c r="AS761" s="9">
        <f t="shared" si="2233"/>
        <v>99.98181818</v>
      </c>
      <c r="AT761" s="9">
        <f t="shared" ref="AT761:AV761" si="2381">AJ761/$AF761</f>
        <v>14.19545455</v>
      </c>
      <c r="AU761" s="9">
        <f t="shared" si="2381"/>
        <v>4.063636364</v>
      </c>
      <c r="AV761" s="9">
        <f t="shared" si="2381"/>
        <v>0.6181818182</v>
      </c>
      <c r="AW761" s="9">
        <f t="shared" si="2235"/>
        <v>4.681818182</v>
      </c>
      <c r="AX761" s="9">
        <f t="shared" ref="AX761:AY761" si="2382">AM761/$AF761</f>
        <v>1.545454545</v>
      </c>
      <c r="AY761" s="9">
        <f t="shared" si="2382"/>
        <v>0.2272727273</v>
      </c>
      <c r="AZ761" s="9">
        <f>VLOOKUP(A761,Jogos!A:BN,58,0)</f>
        <v>12.74</v>
      </c>
      <c r="BA761" s="9">
        <f>VLOOKUP(A761,Jogos!A:BN,59,0)</f>
        <v>11.05</v>
      </c>
      <c r="BB761" s="9">
        <f>VLOOKUP(A761,Jogos!A:BN,60,0)</f>
        <v>88.5</v>
      </c>
      <c r="BC761" s="9">
        <f>VLOOKUP(A761,Jogos!A:BN,61,0)</f>
        <v>11.155</v>
      </c>
      <c r="BD761" s="9">
        <f>VLOOKUP(A761,Jogos!A:BN,62,0)</f>
        <v>278.35</v>
      </c>
      <c r="BE761" s="9">
        <f>VLOOKUP(A761,Jogos!A:BN,63,0)</f>
        <v>1.905</v>
      </c>
      <c r="BF761" s="9">
        <f>VLOOKUP(A761,Jogos!A:BN,64,0)</f>
        <v>14.145</v>
      </c>
      <c r="BG761" s="9">
        <f>VLOOKUP(A761,Jogos!A:BN,65,0)</f>
        <v>23.04</v>
      </c>
      <c r="BH761" s="9">
        <f>VLOOKUP(A761,Jogos!A:BN,66,0)</f>
        <v>15.785</v>
      </c>
      <c r="BI761" s="9"/>
      <c r="BJ761" s="9"/>
    </row>
    <row r="762" hidden="1">
      <c r="A762" s="10">
        <v>26.0</v>
      </c>
      <c r="B762" s="11" t="s">
        <v>623</v>
      </c>
      <c r="C762" s="2" t="s">
        <v>61</v>
      </c>
      <c r="D762" s="12">
        <v>45829.0</v>
      </c>
      <c r="E762" s="13">
        <v>0.5</v>
      </c>
      <c r="F762" s="5" t="str">
        <f>VLOOKUP(A762,Jogos!A:N,10,0)</f>
        <v>Afternoon</v>
      </c>
      <c r="G762" s="11" t="s">
        <v>312</v>
      </c>
      <c r="H762" s="6" t="str">
        <f>VLOOKUP(A762,Jogos!A:L,12,0)</f>
        <v>Open</v>
      </c>
      <c r="I762" s="6" t="str">
        <f>VLOOKUP(G762,'Estádios e Cidades'!A:B,2,0)</f>
        <v>Seatte</v>
      </c>
      <c r="J762" s="11" t="s">
        <v>625</v>
      </c>
      <c r="K762" s="2" t="str">
        <f>VLOOKUP(J762,Equipes!A:F,6,0)</f>
        <v>Temperate</v>
      </c>
      <c r="L762" s="2">
        <f>VLOOKUP(J762,Equipes!A:C,3,0)</f>
        <v>32</v>
      </c>
      <c r="M762" s="2" t="str">
        <f t="shared" si="4"/>
        <v>Group</v>
      </c>
      <c r="N762" s="11" t="s">
        <v>748</v>
      </c>
      <c r="O762" s="2">
        <f>VLOOKUP(N762,Equipes!A:C,3,0)</f>
        <v>12</v>
      </c>
      <c r="P762" s="2" t="str">
        <f t="shared" si="5"/>
        <v>Round of 16</v>
      </c>
      <c r="Q762" s="2">
        <f t="shared" si="6"/>
        <v>20</v>
      </c>
      <c r="R762" s="2" t="str">
        <f>VLOOKUP(J762,Equipes!A:B,2,0)</f>
        <v>Urawa</v>
      </c>
      <c r="S762" s="14" t="s">
        <v>656</v>
      </c>
      <c r="T762" s="7">
        <v>3.0</v>
      </c>
      <c r="U762" s="7" t="s">
        <v>657</v>
      </c>
      <c r="V762" s="7" t="str">
        <f>VLOOKUP(U762,Jogadores!B:C,2,0)</f>
        <v>DF</v>
      </c>
      <c r="W762" s="8">
        <f>VLOOKUP(U762,Jogadores!B:D,3,0)</f>
        <v>27.24657534</v>
      </c>
      <c r="X762" s="7">
        <v>0.0</v>
      </c>
      <c r="Y762" s="7">
        <f t="shared" si="2370"/>
        <v>94</v>
      </c>
      <c r="Z762" s="7">
        <f>VLOOKUP(A762,Jogos!A:L,3,0)</f>
        <v>47</v>
      </c>
      <c r="AA762" s="7">
        <f t="shared" si="2229"/>
        <v>47</v>
      </c>
      <c r="AB762" s="7">
        <f>VLOOKUP(A762,Jogos!A:L,4,0)</f>
        <v>49</v>
      </c>
      <c r="AC762" s="7">
        <f t="shared" si="2230"/>
        <v>49</v>
      </c>
      <c r="AD762" s="7"/>
      <c r="AE762" s="7"/>
      <c r="AF762" s="7">
        <f t="shared" si="2231"/>
        <v>96</v>
      </c>
      <c r="AG762" s="7">
        <v>10392.6</v>
      </c>
      <c r="AH762" s="7">
        <v>4009.3</v>
      </c>
      <c r="AI762" s="7">
        <v>4878.8</v>
      </c>
      <c r="AJ762" s="7">
        <v>1135.0</v>
      </c>
      <c r="AK762" s="7">
        <v>309.1</v>
      </c>
      <c r="AL762" s="7">
        <v>60.5</v>
      </c>
      <c r="AM762" s="7">
        <v>94.0</v>
      </c>
      <c r="AN762" s="7">
        <v>30.0</v>
      </c>
      <c r="AO762" s="7">
        <v>29.2</v>
      </c>
      <c r="AP762" s="9">
        <f t="shared" ref="AP762:AR762" si="2383">AG762/$AF762</f>
        <v>108.25625</v>
      </c>
      <c r="AQ762" s="9">
        <f t="shared" si="2383"/>
        <v>41.76354167</v>
      </c>
      <c r="AR762" s="9">
        <f t="shared" si="2383"/>
        <v>50.82083333</v>
      </c>
      <c r="AS762" s="9">
        <f t="shared" si="2233"/>
        <v>92.584375</v>
      </c>
      <c r="AT762" s="9">
        <f t="shared" ref="AT762:AV762" si="2384">AJ762/$AF762</f>
        <v>11.82291667</v>
      </c>
      <c r="AU762" s="9">
        <f t="shared" si="2384"/>
        <v>3.219791667</v>
      </c>
      <c r="AV762" s="9">
        <f t="shared" si="2384"/>
        <v>0.6302083333</v>
      </c>
      <c r="AW762" s="9">
        <f t="shared" si="2235"/>
        <v>3.85</v>
      </c>
      <c r="AX762" s="9">
        <f t="shared" ref="AX762:AY762" si="2385">AM762/$AF762</f>
        <v>0.9791666667</v>
      </c>
      <c r="AY762" s="9">
        <f t="shared" si="2385"/>
        <v>0.3125</v>
      </c>
      <c r="AZ762" s="9">
        <f>VLOOKUP(A762,Jogos!A:BN,58,0)</f>
        <v>12.74</v>
      </c>
      <c r="BA762" s="9">
        <f>VLOOKUP(A762,Jogos!A:BN,59,0)</f>
        <v>11.05</v>
      </c>
      <c r="BB762" s="9">
        <f>VLOOKUP(A762,Jogos!A:BN,60,0)</f>
        <v>88.5</v>
      </c>
      <c r="BC762" s="9">
        <f>VLOOKUP(A762,Jogos!A:BN,61,0)</f>
        <v>11.155</v>
      </c>
      <c r="BD762" s="9">
        <f>VLOOKUP(A762,Jogos!A:BN,62,0)</f>
        <v>278.35</v>
      </c>
      <c r="BE762" s="9">
        <f>VLOOKUP(A762,Jogos!A:BN,63,0)</f>
        <v>1.905</v>
      </c>
      <c r="BF762" s="9">
        <f>VLOOKUP(A762,Jogos!A:BN,64,0)</f>
        <v>14.145</v>
      </c>
      <c r="BG762" s="9">
        <f>VLOOKUP(A762,Jogos!A:BN,65,0)</f>
        <v>23.04</v>
      </c>
      <c r="BH762" s="9">
        <f>VLOOKUP(A762,Jogos!A:BN,66,0)</f>
        <v>15.785</v>
      </c>
      <c r="BI762" s="9"/>
      <c r="BJ762" s="9"/>
    </row>
    <row r="763" hidden="1">
      <c r="A763" s="10">
        <v>26.0</v>
      </c>
      <c r="B763" s="11" t="s">
        <v>623</v>
      </c>
      <c r="C763" s="2" t="s">
        <v>61</v>
      </c>
      <c r="D763" s="12">
        <v>45829.0</v>
      </c>
      <c r="E763" s="13">
        <v>0.5</v>
      </c>
      <c r="F763" s="5" t="str">
        <f>VLOOKUP(A763,Jogos!A:N,10,0)</f>
        <v>Afternoon</v>
      </c>
      <c r="G763" s="11" t="s">
        <v>312</v>
      </c>
      <c r="H763" s="6" t="str">
        <f>VLOOKUP(A763,Jogos!A:L,12,0)</f>
        <v>Open</v>
      </c>
      <c r="I763" s="6" t="str">
        <f>VLOOKUP(G763,'Estádios e Cidades'!A:B,2,0)</f>
        <v>Seatte</v>
      </c>
      <c r="J763" s="11" t="s">
        <v>625</v>
      </c>
      <c r="K763" s="2" t="str">
        <f>VLOOKUP(J763,Equipes!A:F,6,0)</f>
        <v>Temperate</v>
      </c>
      <c r="L763" s="2">
        <f>VLOOKUP(J763,Equipes!A:C,3,0)</f>
        <v>32</v>
      </c>
      <c r="M763" s="2" t="str">
        <f t="shared" si="4"/>
        <v>Group</v>
      </c>
      <c r="N763" s="11" t="s">
        <v>748</v>
      </c>
      <c r="O763" s="2">
        <f>VLOOKUP(N763,Equipes!A:C,3,0)</f>
        <v>12</v>
      </c>
      <c r="P763" s="2" t="str">
        <f t="shared" si="5"/>
        <v>Round of 16</v>
      </c>
      <c r="Q763" s="2">
        <f t="shared" si="6"/>
        <v>20</v>
      </c>
      <c r="R763" s="2" t="str">
        <f>VLOOKUP(J763,Equipes!A:B,2,0)</f>
        <v>Urawa</v>
      </c>
      <c r="S763" s="6" t="s">
        <v>658</v>
      </c>
      <c r="T763" s="7">
        <v>4.0</v>
      </c>
      <c r="U763" s="7" t="s">
        <v>659</v>
      </c>
      <c r="V763" s="7" t="str">
        <f>VLOOKUP(U763,Jogadores!B:C,2,0)</f>
        <v>DF</v>
      </c>
      <c r="W763" s="8">
        <f>VLOOKUP(U763,Jogadores!B:D,3,0)</f>
        <v>26.43561644</v>
      </c>
      <c r="X763" s="7">
        <v>0.0</v>
      </c>
      <c r="Y763" s="7">
        <f t="shared" si="2370"/>
        <v>94</v>
      </c>
      <c r="Z763" s="7">
        <f>VLOOKUP(A763,Jogos!A:L,3,0)</f>
        <v>47</v>
      </c>
      <c r="AA763" s="7">
        <f t="shared" si="2229"/>
        <v>47</v>
      </c>
      <c r="AB763" s="7">
        <f>VLOOKUP(A763,Jogos!A:L,4,0)</f>
        <v>49</v>
      </c>
      <c r="AC763" s="7">
        <f t="shared" si="2230"/>
        <v>49</v>
      </c>
      <c r="AD763" s="7"/>
      <c r="AE763" s="7"/>
      <c r="AF763" s="7">
        <f t="shared" si="2231"/>
        <v>96</v>
      </c>
      <c r="AG763" s="7">
        <v>11537.2</v>
      </c>
      <c r="AH763" s="7">
        <v>3418.5</v>
      </c>
      <c r="AI763" s="7">
        <v>5469.6</v>
      </c>
      <c r="AJ763" s="7">
        <v>1736.2</v>
      </c>
      <c r="AK763" s="7">
        <v>653.4</v>
      </c>
      <c r="AL763" s="7">
        <v>259.5</v>
      </c>
      <c r="AM763" s="7">
        <v>152.0</v>
      </c>
      <c r="AN763" s="7">
        <v>63.0</v>
      </c>
      <c r="AO763" s="7">
        <v>31.5</v>
      </c>
      <c r="AP763" s="9">
        <f t="shared" ref="AP763:AR763" si="2386">AG763/$AF763</f>
        <v>120.1791667</v>
      </c>
      <c r="AQ763" s="9">
        <f t="shared" si="2386"/>
        <v>35.609375</v>
      </c>
      <c r="AR763" s="9">
        <f t="shared" si="2386"/>
        <v>56.975</v>
      </c>
      <c r="AS763" s="9">
        <f t="shared" si="2233"/>
        <v>92.584375</v>
      </c>
      <c r="AT763" s="9">
        <f t="shared" ref="AT763:AV763" si="2387">AJ763/$AF763</f>
        <v>18.08541667</v>
      </c>
      <c r="AU763" s="9">
        <f t="shared" si="2387"/>
        <v>6.80625</v>
      </c>
      <c r="AV763" s="9">
        <f t="shared" si="2387"/>
        <v>2.703125</v>
      </c>
      <c r="AW763" s="9">
        <f t="shared" si="2235"/>
        <v>9.509375</v>
      </c>
      <c r="AX763" s="9">
        <f t="shared" ref="AX763:AY763" si="2388">AM763/$AF763</f>
        <v>1.583333333</v>
      </c>
      <c r="AY763" s="9">
        <f t="shared" si="2388"/>
        <v>0.65625</v>
      </c>
      <c r="AZ763" s="9">
        <f>VLOOKUP(A763,Jogos!A:BN,58,0)</f>
        <v>12.74</v>
      </c>
      <c r="BA763" s="9">
        <f>VLOOKUP(A763,Jogos!A:BN,59,0)</f>
        <v>11.05</v>
      </c>
      <c r="BB763" s="9">
        <f>VLOOKUP(A763,Jogos!A:BN,60,0)</f>
        <v>88.5</v>
      </c>
      <c r="BC763" s="9">
        <f>VLOOKUP(A763,Jogos!A:BN,61,0)</f>
        <v>11.155</v>
      </c>
      <c r="BD763" s="9">
        <f>VLOOKUP(A763,Jogos!A:BN,62,0)</f>
        <v>278.35</v>
      </c>
      <c r="BE763" s="9">
        <f>VLOOKUP(A763,Jogos!A:BN,63,0)</f>
        <v>1.905</v>
      </c>
      <c r="BF763" s="9">
        <f>VLOOKUP(A763,Jogos!A:BN,64,0)</f>
        <v>14.145</v>
      </c>
      <c r="BG763" s="9">
        <f>VLOOKUP(A763,Jogos!A:BN,65,0)</f>
        <v>23.04</v>
      </c>
      <c r="BH763" s="9">
        <f>VLOOKUP(A763,Jogos!A:BN,66,0)</f>
        <v>15.785</v>
      </c>
      <c r="BI763" s="9"/>
      <c r="BJ763" s="9"/>
    </row>
    <row r="764" hidden="1">
      <c r="A764" s="10">
        <v>26.0</v>
      </c>
      <c r="B764" s="11" t="s">
        <v>623</v>
      </c>
      <c r="C764" s="2" t="s">
        <v>61</v>
      </c>
      <c r="D764" s="12">
        <v>45829.0</v>
      </c>
      <c r="E764" s="13">
        <v>0.5</v>
      </c>
      <c r="F764" s="5" t="str">
        <f>VLOOKUP(A764,Jogos!A:N,10,0)</f>
        <v>Afternoon</v>
      </c>
      <c r="G764" s="11" t="s">
        <v>312</v>
      </c>
      <c r="H764" s="6" t="str">
        <f>VLOOKUP(A764,Jogos!A:L,12,0)</f>
        <v>Open</v>
      </c>
      <c r="I764" s="6" t="str">
        <f>VLOOKUP(G764,'Estádios e Cidades'!A:B,2,0)</f>
        <v>Seatte</v>
      </c>
      <c r="J764" s="11" t="s">
        <v>625</v>
      </c>
      <c r="K764" s="2" t="str">
        <f>VLOOKUP(J764,Equipes!A:F,6,0)</f>
        <v>Temperate</v>
      </c>
      <c r="L764" s="2">
        <f>VLOOKUP(J764,Equipes!A:C,3,0)</f>
        <v>32</v>
      </c>
      <c r="M764" s="2" t="str">
        <f t="shared" si="4"/>
        <v>Group</v>
      </c>
      <c r="N764" s="11" t="s">
        <v>748</v>
      </c>
      <c r="O764" s="2">
        <f>VLOOKUP(N764,Equipes!A:C,3,0)</f>
        <v>12</v>
      </c>
      <c r="P764" s="2" t="str">
        <f t="shared" si="5"/>
        <v>Round of 16</v>
      </c>
      <c r="Q764" s="2">
        <f t="shared" si="6"/>
        <v>20</v>
      </c>
      <c r="R764" s="2" t="str">
        <f>VLOOKUP(J764,Equipes!A:B,2,0)</f>
        <v>Urawa</v>
      </c>
      <c r="S764" s="6" t="s">
        <v>660</v>
      </c>
      <c r="T764" s="7">
        <v>5.0</v>
      </c>
      <c r="U764" s="7" t="s">
        <v>661</v>
      </c>
      <c r="V764" s="7" t="str">
        <f>VLOOKUP(U764,Jogadores!B:C,2,0)</f>
        <v>DF</v>
      </c>
      <c r="W764" s="8">
        <f>VLOOKUP(U764,Jogadores!B:D,3,0)</f>
        <v>30.53150685</v>
      </c>
      <c r="X764" s="7">
        <v>0.0</v>
      </c>
      <c r="Y764" s="7">
        <f t="shared" si="2370"/>
        <v>94</v>
      </c>
      <c r="Z764" s="7">
        <f>VLOOKUP(A764,Jogos!A:L,3,0)</f>
        <v>47</v>
      </c>
      <c r="AA764" s="7">
        <f t="shared" si="2229"/>
        <v>47</v>
      </c>
      <c r="AB764" s="7">
        <f>VLOOKUP(A764,Jogos!A:L,4,0)</f>
        <v>49</v>
      </c>
      <c r="AC764" s="7">
        <f t="shared" si="2230"/>
        <v>49</v>
      </c>
      <c r="AD764" s="7"/>
      <c r="AE764" s="7"/>
      <c r="AF764" s="7">
        <f t="shared" si="2231"/>
        <v>96</v>
      </c>
      <c r="AG764" s="7">
        <v>9915.3</v>
      </c>
      <c r="AH764" s="7">
        <v>3523.1</v>
      </c>
      <c r="AI764" s="7">
        <v>5049.0</v>
      </c>
      <c r="AJ764" s="7">
        <v>991.5</v>
      </c>
      <c r="AK764" s="7">
        <v>286.1</v>
      </c>
      <c r="AL764" s="7">
        <v>65.6</v>
      </c>
      <c r="AM764" s="7">
        <v>102.0</v>
      </c>
      <c r="AN764" s="7">
        <v>25.0</v>
      </c>
      <c r="AO764" s="7">
        <v>30.5</v>
      </c>
      <c r="AP764" s="9">
        <f t="shared" ref="AP764:AR764" si="2389">AG764/$AF764</f>
        <v>103.284375</v>
      </c>
      <c r="AQ764" s="9">
        <f t="shared" si="2389"/>
        <v>36.69895833</v>
      </c>
      <c r="AR764" s="9">
        <f t="shared" si="2389"/>
        <v>52.59375</v>
      </c>
      <c r="AS764" s="9">
        <f t="shared" si="2233"/>
        <v>89.29270833</v>
      </c>
      <c r="AT764" s="9">
        <f t="shared" ref="AT764:AV764" si="2390">AJ764/$AF764</f>
        <v>10.328125</v>
      </c>
      <c r="AU764" s="9">
        <f t="shared" si="2390"/>
        <v>2.980208333</v>
      </c>
      <c r="AV764" s="9">
        <f t="shared" si="2390"/>
        <v>0.6833333333</v>
      </c>
      <c r="AW764" s="9">
        <f t="shared" si="2235"/>
        <v>3.663541667</v>
      </c>
      <c r="AX764" s="9">
        <f t="shared" ref="AX764:AY764" si="2391">AM764/$AF764</f>
        <v>1.0625</v>
      </c>
      <c r="AY764" s="9">
        <f t="shared" si="2391"/>
        <v>0.2604166667</v>
      </c>
      <c r="AZ764" s="9">
        <f>VLOOKUP(A764,Jogos!A:BN,58,0)</f>
        <v>12.74</v>
      </c>
      <c r="BA764" s="9">
        <f>VLOOKUP(A764,Jogos!A:BN,59,0)</f>
        <v>11.05</v>
      </c>
      <c r="BB764" s="9">
        <f>VLOOKUP(A764,Jogos!A:BN,60,0)</f>
        <v>88.5</v>
      </c>
      <c r="BC764" s="9">
        <f>VLOOKUP(A764,Jogos!A:BN,61,0)</f>
        <v>11.155</v>
      </c>
      <c r="BD764" s="9">
        <f>VLOOKUP(A764,Jogos!A:BN,62,0)</f>
        <v>278.35</v>
      </c>
      <c r="BE764" s="9">
        <f>VLOOKUP(A764,Jogos!A:BN,63,0)</f>
        <v>1.905</v>
      </c>
      <c r="BF764" s="9">
        <f>VLOOKUP(A764,Jogos!A:BN,64,0)</f>
        <v>14.145</v>
      </c>
      <c r="BG764" s="9">
        <f>VLOOKUP(A764,Jogos!A:BN,65,0)</f>
        <v>23.04</v>
      </c>
      <c r="BH764" s="9">
        <f>VLOOKUP(A764,Jogos!A:BN,66,0)</f>
        <v>15.785</v>
      </c>
      <c r="BI764" s="9"/>
      <c r="BJ764" s="9"/>
    </row>
    <row r="765" hidden="1">
      <c r="A765" s="10">
        <v>26.0</v>
      </c>
      <c r="B765" s="11" t="s">
        <v>623</v>
      </c>
      <c r="C765" s="2" t="s">
        <v>61</v>
      </c>
      <c r="D765" s="12">
        <v>45829.0</v>
      </c>
      <c r="E765" s="13">
        <v>0.5</v>
      </c>
      <c r="F765" s="5" t="str">
        <f>VLOOKUP(A765,Jogos!A:N,10,0)</f>
        <v>Afternoon</v>
      </c>
      <c r="G765" s="11" t="s">
        <v>312</v>
      </c>
      <c r="H765" s="6" t="str">
        <f>VLOOKUP(A765,Jogos!A:L,12,0)</f>
        <v>Open</v>
      </c>
      <c r="I765" s="6" t="str">
        <f>VLOOKUP(G765,'Estádios e Cidades'!A:B,2,0)</f>
        <v>Seatte</v>
      </c>
      <c r="J765" s="11" t="s">
        <v>625</v>
      </c>
      <c r="K765" s="2" t="str">
        <f>VLOOKUP(J765,Equipes!A:F,6,0)</f>
        <v>Temperate</v>
      </c>
      <c r="L765" s="2">
        <f>VLOOKUP(J765,Equipes!A:C,3,0)</f>
        <v>32</v>
      </c>
      <c r="M765" s="2" t="str">
        <f t="shared" si="4"/>
        <v>Group</v>
      </c>
      <c r="N765" s="11" t="s">
        <v>748</v>
      </c>
      <c r="O765" s="2">
        <f>VLOOKUP(N765,Equipes!A:C,3,0)</f>
        <v>12</v>
      </c>
      <c r="P765" s="2" t="str">
        <f t="shared" si="5"/>
        <v>Round of 16</v>
      </c>
      <c r="Q765" s="2">
        <f t="shared" si="6"/>
        <v>20</v>
      </c>
      <c r="R765" s="2" t="str">
        <f>VLOOKUP(J765,Equipes!A:B,2,0)</f>
        <v>Urawa</v>
      </c>
      <c r="S765" s="6" t="s">
        <v>662</v>
      </c>
      <c r="T765" s="7">
        <v>8.0</v>
      </c>
      <c r="U765" s="7" t="s">
        <v>663</v>
      </c>
      <c r="V765" s="7" t="str">
        <f>VLOOKUP(U765,Jogadores!B:C,2,0)</f>
        <v>MF</v>
      </c>
      <c r="W765" s="8">
        <f>VLOOKUP(U765,Jogadores!B:D,3,0)</f>
        <v>28.30410959</v>
      </c>
      <c r="X765" s="7">
        <v>0.0</v>
      </c>
      <c r="Y765" s="7">
        <v>79.0</v>
      </c>
      <c r="Z765" s="7">
        <f>VLOOKUP(A765,Jogos!A:L,3,0)</f>
        <v>47</v>
      </c>
      <c r="AA765" s="7">
        <f t="shared" si="2229"/>
        <v>47</v>
      </c>
      <c r="AB765" s="7">
        <f>VLOOKUP(A765,Jogos!A:L,4,0)</f>
        <v>49</v>
      </c>
      <c r="AC765" s="7">
        <f t="shared" si="2230"/>
        <v>34</v>
      </c>
      <c r="AD765" s="7"/>
      <c r="AE765" s="7"/>
      <c r="AF765" s="7">
        <f t="shared" si="2231"/>
        <v>81</v>
      </c>
      <c r="AG765" s="7">
        <v>10621.2</v>
      </c>
      <c r="AH765" s="7">
        <v>3191.0</v>
      </c>
      <c r="AI765" s="7">
        <v>5020.9</v>
      </c>
      <c r="AJ765" s="7">
        <v>1525.2</v>
      </c>
      <c r="AK765" s="7">
        <v>648.7</v>
      </c>
      <c r="AL765" s="7">
        <v>235.5</v>
      </c>
      <c r="AM765" s="7">
        <v>135.0</v>
      </c>
      <c r="AN765" s="7">
        <v>52.0</v>
      </c>
      <c r="AO765" s="7">
        <v>32.9</v>
      </c>
      <c r="AP765" s="9">
        <f t="shared" ref="AP765:AR765" si="2392">AG765/$AF765</f>
        <v>131.1259259</v>
      </c>
      <c r="AQ765" s="9">
        <f t="shared" si="2392"/>
        <v>39.39506173</v>
      </c>
      <c r="AR765" s="9">
        <f t="shared" si="2392"/>
        <v>61.98641975</v>
      </c>
      <c r="AS765" s="9">
        <f t="shared" si="2233"/>
        <v>101.3814815</v>
      </c>
      <c r="AT765" s="9">
        <f t="shared" ref="AT765:AV765" si="2393">AJ765/$AF765</f>
        <v>18.82962963</v>
      </c>
      <c r="AU765" s="9">
        <f t="shared" si="2393"/>
        <v>8.008641975</v>
      </c>
      <c r="AV765" s="9">
        <f t="shared" si="2393"/>
        <v>2.907407407</v>
      </c>
      <c r="AW765" s="9">
        <f t="shared" si="2235"/>
        <v>10.91604938</v>
      </c>
      <c r="AX765" s="9">
        <f t="shared" ref="AX765:AY765" si="2394">AM765/$AF765</f>
        <v>1.666666667</v>
      </c>
      <c r="AY765" s="9">
        <f t="shared" si="2394"/>
        <v>0.6419753086</v>
      </c>
      <c r="AZ765" s="9">
        <f>VLOOKUP(A765,Jogos!A:BN,58,0)</f>
        <v>12.74</v>
      </c>
      <c r="BA765" s="9">
        <f>VLOOKUP(A765,Jogos!A:BN,59,0)</f>
        <v>11.05</v>
      </c>
      <c r="BB765" s="9">
        <f>VLOOKUP(A765,Jogos!A:BN,60,0)</f>
        <v>88.5</v>
      </c>
      <c r="BC765" s="9">
        <f>VLOOKUP(A765,Jogos!A:BN,61,0)</f>
        <v>11.155</v>
      </c>
      <c r="BD765" s="9">
        <f>VLOOKUP(A765,Jogos!A:BN,62,0)</f>
        <v>278.35</v>
      </c>
      <c r="BE765" s="9">
        <f>VLOOKUP(A765,Jogos!A:BN,63,0)</f>
        <v>1.905</v>
      </c>
      <c r="BF765" s="9">
        <f>VLOOKUP(A765,Jogos!A:BN,64,0)</f>
        <v>14.145</v>
      </c>
      <c r="BG765" s="9">
        <f>VLOOKUP(A765,Jogos!A:BN,65,0)</f>
        <v>23.04</v>
      </c>
      <c r="BH765" s="9">
        <f>VLOOKUP(A765,Jogos!A:BN,66,0)</f>
        <v>15.785</v>
      </c>
      <c r="BI765" s="9"/>
      <c r="BJ765" s="9"/>
    </row>
    <row r="766" hidden="1">
      <c r="A766" s="10">
        <v>26.0</v>
      </c>
      <c r="B766" s="11" t="s">
        <v>623</v>
      </c>
      <c r="C766" s="2" t="s">
        <v>61</v>
      </c>
      <c r="D766" s="12">
        <v>45829.0</v>
      </c>
      <c r="E766" s="13">
        <v>0.5</v>
      </c>
      <c r="F766" s="5" t="str">
        <f>VLOOKUP(A766,Jogos!A:N,10,0)</f>
        <v>Afternoon</v>
      </c>
      <c r="G766" s="11" t="s">
        <v>312</v>
      </c>
      <c r="H766" s="6" t="str">
        <f>VLOOKUP(A766,Jogos!A:L,12,0)</f>
        <v>Open</v>
      </c>
      <c r="I766" s="6" t="str">
        <f>VLOOKUP(G766,'Estádios e Cidades'!A:B,2,0)</f>
        <v>Seatte</v>
      </c>
      <c r="J766" s="11" t="s">
        <v>625</v>
      </c>
      <c r="K766" s="2" t="str">
        <f>VLOOKUP(J766,Equipes!A:F,6,0)</f>
        <v>Temperate</v>
      </c>
      <c r="L766" s="2">
        <f>VLOOKUP(J766,Equipes!A:C,3,0)</f>
        <v>32</v>
      </c>
      <c r="M766" s="2" t="str">
        <f t="shared" si="4"/>
        <v>Group</v>
      </c>
      <c r="N766" s="11" t="s">
        <v>748</v>
      </c>
      <c r="O766" s="2">
        <f>VLOOKUP(N766,Equipes!A:C,3,0)</f>
        <v>12</v>
      </c>
      <c r="P766" s="2" t="str">
        <f t="shared" si="5"/>
        <v>Round of 16</v>
      </c>
      <c r="Q766" s="2">
        <f t="shared" si="6"/>
        <v>20</v>
      </c>
      <c r="R766" s="2" t="str">
        <f>VLOOKUP(J766,Equipes!A:B,2,0)</f>
        <v>Urawa</v>
      </c>
      <c r="S766" s="6" t="s">
        <v>664</v>
      </c>
      <c r="T766" s="7">
        <v>11.0</v>
      </c>
      <c r="U766" s="7" t="s">
        <v>665</v>
      </c>
      <c r="V766" s="7" t="str">
        <f>VLOOKUP(U766,Jogadores!B:C,2,0)</f>
        <v>MF</v>
      </c>
      <c r="W766" s="8">
        <f>VLOOKUP(U766,Jogadores!B:D,3,0)</f>
        <v>30.56438356</v>
      </c>
      <c r="X766" s="7">
        <v>0.0</v>
      </c>
      <c r="Y766" s="7">
        <v>87.0</v>
      </c>
      <c r="Z766" s="7">
        <f>VLOOKUP(A766,Jogos!A:L,3,0)</f>
        <v>47</v>
      </c>
      <c r="AA766" s="7">
        <f t="shared" si="2229"/>
        <v>47</v>
      </c>
      <c r="AB766" s="7">
        <f>VLOOKUP(A766,Jogos!A:L,4,0)</f>
        <v>49</v>
      </c>
      <c r="AC766" s="7">
        <f t="shared" si="2230"/>
        <v>42</v>
      </c>
      <c r="AD766" s="7"/>
      <c r="AE766" s="7"/>
      <c r="AF766" s="7">
        <f t="shared" si="2231"/>
        <v>89</v>
      </c>
      <c r="AG766" s="7">
        <v>11376.4</v>
      </c>
      <c r="AH766" s="7">
        <v>3049.3</v>
      </c>
      <c r="AI766" s="7">
        <v>5810.0</v>
      </c>
      <c r="AJ766" s="7">
        <v>1692.1</v>
      </c>
      <c r="AK766" s="7">
        <v>635.0</v>
      </c>
      <c r="AL766" s="7">
        <v>190.0</v>
      </c>
      <c r="AM766" s="7">
        <v>151.0</v>
      </c>
      <c r="AN766" s="7">
        <v>50.0</v>
      </c>
      <c r="AO766" s="7">
        <v>30.5</v>
      </c>
      <c r="AP766" s="9">
        <f t="shared" ref="AP766:AR766" si="2395">AG766/$AF766</f>
        <v>127.8247191</v>
      </c>
      <c r="AQ766" s="9">
        <f t="shared" si="2395"/>
        <v>34.26179775</v>
      </c>
      <c r="AR766" s="9">
        <f t="shared" si="2395"/>
        <v>65.28089888</v>
      </c>
      <c r="AS766" s="9">
        <f t="shared" si="2233"/>
        <v>99.54269663</v>
      </c>
      <c r="AT766" s="9">
        <f t="shared" ref="AT766:AV766" si="2396">AJ766/$AF766</f>
        <v>19.01235955</v>
      </c>
      <c r="AU766" s="9">
        <f t="shared" si="2396"/>
        <v>7.134831461</v>
      </c>
      <c r="AV766" s="9">
        <f t="shared" si="2396"/>
        <v>2.134831461</v>
      </c>
      <c r="AW766" s="9">
        <f t="shared" si="2235"/>
        <v>9.269662921</v>
      </c>
      <c r="AX766" s="9">
        <f t="shared" ref="AX766:AY766" si="2397">AM766/$AF766</f>
        <v>1.696629213</v>
      </c>
      <c r="AY766" s="9">
        <f t="shared" si="2397"/>
        <v>0.5617977528</v>
      </c>
      <c r="AZ766" s="9">
        <f>VLOOKUP(A766,Jogos!A:BN,58,0)</f>
        <v>12.74</v>
      </c>
      <c r="BA766" s="9">
        <f>VLOOKUP(A766,Jogos!A:BN,59,0)</f>
        <v>11.05</v>
      </c>
      <c r="BB766" s="9">
        <f>VLOOKUP(A766,Jogos!A:BN,60,0)</f>
        <v>88.5</v>
      </c>
      <c r="BC766" s="9">
        <f>VLOOKUP(A766,Jogos!A:BN,61,0)</f>
        <v>11.155</v>
      </c>
      <c r="BD766" s="9">
        <f>VLOOKUP(A766,Jogos!A:BN,62,0)</f>
        <v>278.35</v>
      </c>
      <c r="BE766" s="9">
        <f>VLOOKUP(A766,Jogos!A:BN,63,0)</f>
        <v>1.905</v>
      </c>
      <c r="BF766" s="9">
        <f>VLOOKUP(A766,Jogos!A:BN,64,0)</f>
        <v>14.145</v>
      </c>
      <c r="BG766" s="9">
        <f>VLOOKUP(A766,Jogos!A:BN,65,0)</f>
        <v>23.04</v>
      </c>
      <c r="BH766" s="9">
        <f>VLOOKUP(A766,Jogos!A:BN,66,0)</f>
        <v>15.785</v>
      </c>
      <c r="BI766" s="9"/>
      <c r="BJ766" s="9"/>
    </row>
    <row r="767" hidden="1">
      <c r="A767" s="10">
        <v>26.0</v>
      </c>
      <c r="B767" s="11" t="s">
        <v>623</v>
      </c>
      <c r="C767" s="2" t="s">
        <v>61</v>
      </c>
      <c r="D767" s="12">
        <v>45829.0</v>
      </c>
      <c r="E767" s="13">
        <v>0.5</v>
      </c>
      <c r="F767" s="5" t="str">
        <f>VLOOKUP(A767,Jogos!A:N,10,0)</f>
        <v>Afternoon</v>
      </c>
      <c r="G767" s="11" t="s">
        <v>312</v>
      </c>
      <c r="H767" s="6" t="str">
        <f>VLOOKUP(A767,Jogos!A:L,12,0)</f>
        <v>Open</v>
      </c>
      <c r="I767" s="6" t="str">
        <f>VLOOKUP(G767,'Estádios e Cidades'!A:B,2,0)</f>
        <v>Seatte</v>
      </c>
      <c r="J767" s="11" t="s">
        <v>625</v>
      </c>
      <c r="K767" s="2" t="str">
        <f>VLOOKUP(J767,Equipes!A:F,6,0)</f>
        <v>Temperate</v>
      </c>
      <c r="L767" s="2">
        <f>VLOOKUP(J767,Equipes!A:C,3,0)</f>
        <v>32</v>
      </c>
      <c r="M767" s="2" t="str">
        <f t="shared" si="4"/>
        <v>Group</v>
      </c>
      <c r="N767" s="11" t="s">
        <v>748</v>
      </c>
      <c r="O767" s="2">
        <f>VLOOKUP(N767,Equipes!A:C,3,0)</f>
        <v>12</v>
      </c>
      <c r="P767" s="2" t="str">
        <f t="shared" si="5"/>
        <v>Round of 16</v>
      </c>
      <c r="Q767" s="2">
        <f t="shared" si="6"/>
        <v>20</v>
      </c>
      <c r="R767" s="2" t="str">
        <f>VLOOKUP(J767,Equipes!A:B,2,0)</f>
        <v>Urawa</v>
      </c>
      <c r="S767" s="6" t="s">
        <v>666</v>
      </c>
      <c r="T767" s="7">
        <v>13.0</v>
      </c>
      <c r="U767" s="7" t="s">
        <v>667</v>
      </c>
      <c r="V767" s="7" t="str">
        <f>VLOOKUP(U767,Jogadores!B:C,2,0)</f>
        <v>MF</v>
      </c>
      <c r="W767" s="8">
        <f>VLOOKUP(U767,Jogadores!B:D,3,0)</f>
        <v>28.83835616</v>
      </c>
      <c r="X767" s="7">
        <v>0.0</v>
      </c>
      <c r="Y767" s="7">
        <f>45+AB767</f>
        <v>94</v>
      </c>
      <c r="Z767" s="7">
        <f>VLOOKUP(A767,Jogos!A:L,3,0)</f>
        <v>47</v>
      </c>
      <c r="AA767" s="7">
        <f t="shared" si="2229"/>
        <v>47</v>
      </c>
      <c r="AB767" s="7">
        <f>VLOOKUP(A767,Jogos!A:L,4,0)</f>
        <v>49</v>
      </c>
      <c r="AC767" s="7">
        <f t="shared" si="2230"/>
        <v>49</v>
      </c>
      <c r="AD767" s="7"/>
      <c r="AE767" s="7"/>
      <c r="AF767" s="7">
        <f t="shared" si="2231"/>
        <v>96</v>
      </c>
      <c r="AG767" s="7">
        <v>12820.1</v>
      </c>
      <c r="AH767" s="7">
        <v>3618.2</v>
      </c>
      <c r="AI767" s="7">
        <v>6023.6</v>
      </c>
      <c r="AJ767" s="7">
        <v>1997.8</v>
      </c>
      <c r="AK767" s="7">
        <v>781.0</v>
      </c>
      <c r="AL767" s="7">
        <v>399.5</v>
      </c>
      <c r="AM767" s="7">
        <v>171.0</v>
      </c>
      <c r="AN767" s="7">
        <v>71.0</v>
      </c>
      <c r="AO767" s="7">
        <v>31.3</v>
      </c>
      <c r="AP767" s="9">
        <f t="shared" ref="AP767:AR767" si="2398">AG767/$AF767</f>
        <v>133.5427083</v>
      </c>
      <c r="AQ767" s="9">
        <f t="shared" si="2398"/>
        <v>37.68958333</v>
      </c>
      <c r="AR767" s="9">
        <f t="shared" si="2398"/>
        <v>62.74583333</v>
      </c>
      <c r="AS767" s="9">
        <f t="shared" si="2233"/>
        <v>100.4354167</v>
      </c>
      <c r="AT767" s="9">
        <f t="shared" ref="AT767:AV767" si="2399">AJ767/$AF767</f>
        <v>20.81041667</v>
      </c>
      <c r="AU767" s="9">
        <f t="shared" si="2399"/>
        <v>8.135416667</v>
      </c>
      <c r="AV767" s="9">
        <f t="shared" si="2399"/>
        <v>4.161458333</v>
      </c>
      <c r="AW767" s="9">
        <f t="shared" si="2235"/>
        <v>12.296875</v>
      </c>
      <c r="AX767" s="9">
        <f t="shared" ref="AX767:AY767" si="2400">AM767/$AF767</f>
        <v>1.78125</v>
      </c>
      <c r="AY767" s="9">
        <f t="shared" si="2400"/>
        <v>0.7395833333</v>
      </c>
      <c r="AZ767" s="9">
        <f>VLOOKUP(A767,Jogos!A:BN,58,0)</f>
        <v>12.74</v>
      </c>
      <c r="BA767" s="9">
        <f>VLOOKUP(A767,Jogos!A:BN,59,0)</f>
        <v>11.05</v>
      </c>
      <c r="BB767" s="9">
        <f>VLOOKUP(A767,Jogos!A:BN,60,0)</f>
        <v>88.5</v>
      </c>
      <c r="BC767" s="9">
        <f>VLOOKUP(A767,Jogos!A:BN,61,0)</f>
        <v>11.155</v>
      </c>
      <c r="BD767" s="9">
        <f>VLOOKUP(A767,Jogos!A:BN,62,0)</f>
        <v>278.35</v>
      </c>
      <c r="BE767" s="9">
        <f>VLOOKUP(A767,Jogos!A:BN,63,0)</f>
        <v>1.905</v>
      </c>
      <c r="BF767" s="9">
        <f>VLOOKUP(A767,Jogos!A:BN,64,0)</f>
        <v>14.145</v>
      </c>
      <c r="BG767" s="9">
        <f>VLOOKUP(A767,Jogos!A:BN,65,0)</f>
        <v>23.04</v>
      </c>
      <c r="BH767" s="9">
        <f>VLOOKUP(A767,Jogos!A:BN,66,0)</f>
        <v>15.785</v>
      </c>
      <c r="BI767" s="9"/>
      <c r="BJ767" s="9"/>
    </row>
    <row r="768" hidden="1">
      <c r="A768" s="10">
        <v>26.0</v>
      </c>
      <c r="B768" s="11" t="s">
        <v>623</v>
      </c>
      <c r="C768" s="2" t="s">
        <v>61</v>
      </c>
      <c r="D768" s="12">
        <v>45829.0</v>
      </c>
      <c r="E768" s="13">
        <v>0.5</v>
      </c>
      <c r="F768" s="5" t="str">
        <f>VLOOKUP(A768,Jogos!A:N,10,0)</f>
        <v>Afternoon</v>
      </c>
      <c r="G768" s="11" t="s">
        <v>312</v>
      </c>
      <c r="H768" s="6" t="str">
        <f>VLOOKUP(A768,Jogos!A:L,12,0)</f>
        <v>Open</v>
      </c>
      <c r="I768" s="6" t="str">
        <f>VLOOKUP(G768,'Estádios e Cidades'!A:B,2,0)</f>
        <v>Seatte</v>
      </c>
      <c r="J768" s="11" t="s">
        <v>625</v>
      </c>
      <c r="K768" s="2" t="str">
        <f>VLOOKUP(J768,Equipes!A:F,6,0)</f>
        <v>Temperate</v>
      </c>
      <c r="L768" s="2">
        <f>VLOOKUP(J768,Equipes!A:C,3,0)</f>
        <v>32</v>
      </c>
      <c r="M768" s="2" t="str">
        <f t="shared" si="4"/>
        <v>Group</v>
      </c>
      <c r="N768" s="11" t="s">
        <v>748</v>
      </c>
      <c r="O768" s="2">
        <f>VLOOKUP(N768,Equipes!A:C,3,0)</f>
        <v>12</v>
      </c>
      <c r="P768" s="2" t="str">
        <f t="shared" si="5"/>
        <v>Round of 16</v>
      </c>
      <c r="Q768" s="2">
        <f t="shared" si="6"/>
        <v>20</v>
      </c>
      <c r="R768" s="2" t="str">
        <f>VLOOKUP(J768,Equipes!A:B,2,0)</f>
        <v>Urawa</v>
      </c>
      <c r="S768" s="6" t="s">
        <v>668</v>
      </c>
      <c r="T768" s="7">
        <v>24.0</v>
      </c>
      <c r="U768" s="7" t="s">
        <v>669</v>
      </c>
      <c r="V768" s="7" t="str">
        <f>VLOOKUP(U768,Jogadores!B:C,2,0)</f>
        <v>MF</v>
      </c>
      <c r="W768" s="8">
        <f>VLOOKUP(U768,Jogadores!B:D,3,0)</f>
        <v>28.03287671</v>
      </c>
      <c r="X768" s="7">
        <v>0.0</v>
      </c>
      <c r="Y768" s="7">
        <v>79.0</v>
      </c>
      <c r="Z768" s="7">
        <f>VLOOKUP(A768,Jogos!A:L,3,0)</f>
        <v>47</v>
      </c>
      <c r="AA768" s="7">
        <f t="shared" si="2229"/>
        <v>47</v>
      </c>
      <c r="AB768" s="7">
        <f>VLOOKUP(A768,Jogos!A:L,4,0)</f>
        <v>49</v>
      </c>
      <c r="AC768" s="7">
        <f t="shared" si="2230"/>
        <v>34</v>
      </c>
      <c r="AD768" s="7"/>
      <c r="AE768" s="7"/>
      <c r="AF768" s="7">
        <f t="shared" si="2231"/>
        <v>81</v>
      </c>
      <c r="AG768" s="7">
        <v>10004.9</v>
      </c>
      <c r="AH768" s="7">
        <v>3463.6</v>
      </c>
      <c r="AI768" s="7">
        <v>4275.9</v>
      </c>
      <c r="AJ768" s="7">
        <v>1287.4</v>
      </c>
      <c r="AK768" s="7">
        <v>588.6</v>
      </c>
      <c r="AL768" s="7">
        <v>389.5</v>
      </c>
      <c r="AM768" s="7">
        <v>99.0</v>
      </c>
      <c r="AN768" s="7">
        <v>57.0</v>
      </c>
      <c r="AO768" s="7">
        <v>33.1</v>
      </c>
      <c r="AP768" s="9">
        <f t="shared" ref="AP768:AR768" si="2401">AG768/$AF768</f>
        <v>123.517284</v>
      </c>
      <c r="AQ768" s="9">
        <f t="shared" si="2401"/>
        <v>42.76049383</v>
      </c>
      <c r="AR768" s="9">
        <f t="shared" si="2401"/>
        <v>52.78888889</v>
      </c>
      <c r="AS768" s="9">
        <f t="shared" si="2233"/>
        <v>95.54938272</v>
      </c>
      <c r="AT768" s="9">
        <f t="shared" ref="AT768:AV768" si="2402">AJ768/$AF768</f>
        <v>15.89382716</v>
      </c>
      <c r="AU768" s="9">
        <f t="shared" si="2402"/>
        <v>7.266666667</v>
      </c>
      <c r="AV768" s="9">
        <f t="shared" si="2402"/>
        <v>4.808641975</v>
      </c>
      <c r="AW768" s="9">
        <f t="shared" si="2235"/>
        <v>12.07530864</v>
      </c>
      <c r="AX768" s="9">
        <f t="shared" ref="AX768:AY768" si="2403">AM768/$AF768</f>
        <v>1.222222222</v>
      </c>
      <c r="AY768" s="9">
        <f t="shared" si="2403"/>
        <v>0.7037037037</v>
      </c>
      <c r="AZ768" s="9">
        <f>VLOOKUP(A768,Jogos!A:BN,58,0)</f>
        <v>12.74</v>
      </c>
      <c r="BA768" s="9">
        <f>VLOOKUP(A768,Jogos!A:BN,59,0)</f>
        <v>11.05</v>
      </c>
      <c r="BB768" s="9">
        <f>VLOOKUP(A768,Jogos!A:BN,60,0)</f>
        <v>88.5</v>
      </c>
      <c r="BC768" s="9">
        <f>VLOOKUP(A768,Jogos!A:BN,61,0)</f>
        <v>11.155</v>
      </c>
      <c r="BD768" s="9">
        <f>VLOOKUP(A768,Jogos!A:BN,62,0)</f>
        <v>278.35</v>
      </c>
      <c r="BE768" s="9">
        <f>VLOOKUP(A768,Jogos!A:BN,63,0)</f>
        <v>1.905</v>
      </c>
      <c r="BF768" s="9">
        <f>VLOOKUP(A768,Jogos!A:BN,64,0)</f>
        <v>14.145</v>
      </c>
      <c r="BG768" s="9">
        <f>VLOOKUP(A768,Jogos!A:BN,65,0)</f>
        <v>23.04</v>
      </c>
      <c r="BH768" s="9">
        <f>VLOOKUP(A768,Jogos!A:BN,66,0)</f>
        <v>15.785</v>
      </c>
      <c r="BI768" s="9"/>
      <c r="BJ768" s="9"/>
    </row>
    <row r="769" hidden="1">
      <c r="A769" s="10">
        <v>26.0</v>
      </c>
      <c r="B769" s="11" t="s">
        <v>623</v>
      </c>
      <c r="C769" s="2" t="s">
        <v>61</v>
      </c>
      <c r="D769" s="12">
        <v>45829.0</v>
      </c>
      <c r="E769" s="13">
        <v>0.5</v>
      </c>
      <c r="F769" s="5" t="str">
        <f>VLOOKUP(A769,Jogos!A:N,10,0)</f>
        <v>Afternoon</v>
      </c>
      <c r="G769" s="11" t="s">
        <v>312</v>
      </c>
      <c r="H769" s="6" t="str">
        <f>VLOOKUP(A769,Jogos!A:L,12,0)</f>
        <v>Open</v>
      </c>
      <c r="I769" s="6" t="str">
        <f>VLOOKUP(G769,'Estádios e Cidades'!A:B,2,0)</f>
        <v>Seatte</v>
      </c>
      <c r="J769" s="11" t="s">
        <v>625</v>
      </c>
      <c r="K769" s="2" t="str">
        <f>VLOOKUP(J769,Equipes!A:F,6,0)</f>
        <v>Temperate</v>
      </c>
      <c r="L769" s="2">
        <f>VLOOKUP(J769,Equipes!A:C,3,0)</f>
        <v>32</v>
      </c>
      <c r="M769" s="2" t="str">
        <f t="shared" si="4"/>
        <v>Group</v>
      </c>
      <c r="N769" s="11" t="s">
        <v>748</v>
      </c>
      <c r="O769" s="2">
        <f>VLOOKUP(N769,Equipes!A:C,3,0)</f>
        <v>12</v>
      </c>
      <c r="P769" s="2" t="str">
        <f t="shared" si="5"/>
        <v>Round of 16</v>
      </c>
      <c r="Q769" s="2">
        <f t="shared" si="6"/>
        <v>20</v>
      </c>
      <c r="R769" s="2" t="str">
        <f>VLOOKUP(J769,Equipes!A:B,2,0)</f>
        <v>Urawa</v>
      </c>
      <c r="S769" s="6" t="s">
        <v>670</v>
      </c>
      <c r="T769" s="7">
        <v>25.0</v>
      </c>
      <c r="U769" s="7" t="s">
        <v>671</v>
      </c>
      <c r="V769" s="7" t="str">
        <f>VLOOKUP(U769,Jogadores!B:C,2,0)</f>
        <v>MF</v>
      </c>
      <c r="W769" s="8">
        <f>VLOOKUP(U769,Jogadores!B:D,3,0)</f>
        <v>25.48219178</v>
      </c>
      <c r="X769" s="7">
        <v>0.0</v>
      </c>
      <c r="Y769" s="7">
        <f>45+AB769</f>
        <v>94</v>
      </c>
      <c r="Z769" s="7">
        <f>VLOOKUP(A769,Jogos!A:L,3,0)</f>
        <v>47</v>
      </c>
      <c r="AA769" s="7">
        <f t="shared" si="2229"/>
        <v>47</v>
      </c>
      <c r="AB769" s="7">
        <f>VLOOKUP(A769,Jogos!A:L,4,0)</f>
        <v>49</v>
      </c>
      <c r="AC769" s="7">
        <f t="shared" si="2230"/>
        <v>49</v>
      </c>
      <c r="AD769" s="7"/>
      <c r="AE769" s="7"/>
      <c r="AF769" s="7">
        <f t="shared" si="2231"/>
        <v>96</v>
      </c>
      <c r="AG769" s="7">
        <v>12082.2</v>
      </c>
      <c r="AH769" s="7">
        <v>3669.0</v>
      </c>
      <c r="AI769" s="7">
        <v>5836.4</v>
      </c>
      <c r="AJ769" s="7">
        <v>2040.2</v>
      </c>
      <c r="AK769" s="7">
        <v>414.0</v>
      </c>
      <c r="AL769" s="7">
        <v>122.6</v>
      </c>
      <c r="AM769" s="7">
        <v>183.0</v>
      </c>
      <c r="AN769" s="7">
        <v>38.0</v>
      </c>
      <c r="AO769" s="7">
        <v>30.8</v>
      </c>
      <c r="AP769" s="9">
        <f t="shared" ref="AP769:AR769" si="2404">AG769/$AF769</f>
        <v>125.85625</v>
      </c>
      <c r="AQ769" s="9">
        <f t="shared" si="2404"/>
        <v>38.21875</v>
      </c>
      <c r="AR769" s="9">
        <f t="shared" si="2404"/>
        <v>60.79583333</v>
      </c>
      <c r="AS769" s="9">
        <f t="shared" si="2233"/>
        <v>99.01458333</v>
      </c>
      <c r="AT769" s="9">
        <f t="shared" ref="AT769:AV769" si="2405">AJ769/$AF769</f>
        <v>21.25208333</v>
      </c>
      <c r="AU769" s="9">
        <f t="shared" si="2405"/>
        <v>4.3125</v>
      </c>
      <c r="AV769" s="9">
        <f t="shared" si="2405"/>
        <v>1.277083333</v>
      </c>
      <c r="AW769" s="9">
        <f t="shared" si="2235"/>
        <v>5.589583333</v>
      </c>
      <c r="AX769" s="9">
        <f t="shared" ref="AX769:AY769" si="2406">AM769/$AF769</f>
        <v>1.90625</v>
      </c>
      <c r="AY769" s="9">
        <f t="shared" si="2406"/>
        <v>0.3958333333</v>
      </c>
      <c r="AZ769" s="9">
        <f>VLOOKUP(A769,Jogos!A:BN,58,0)</f>
        <v>12.74</v>
      </c>
      <c r="BA769" s="9">
        <f>VLOOKUP(A769,Jogos!A:BN,59,0)</f>
        <v>11.05</v>
      </c>
      <c r="BB769" s="9">
        <f>VLOOKUP(A769,Jogos!A:BN,60,0)</f>
        <v>88.5</v>
      </c>
      <c r="BC769" s="9">
        <f>VLOOKUP(A769,Jogos!A:BN,61,0)</f>
        <v>11.155</v>
      </c>
      <c r="BD769" s="9">
        <f>VLOOKUP(A769,Jogos!A:BN,62,0)</f>
        <v>278.35</v>
      </c>
      <c r="BE769" s="9">
        <f>VLOOKUP(A769,Jogos!A:BN,63,0)</f>
        <v>1.905</v>
      </c>
      <c r="BF769" s="9">
        <f>VLOOKUP(A769,Jogos!A:BN,64,0)</f>
        <v>14.145</v>
      </c>
      <c r="BG769" s="9">
        <f>VLOOKUP(A769,Jogos!A:BN,65,0)</f>
        <v>23.04</v>
      </c>
      <c r="BH769" s="9">
        <f>VLOOKUP(A769,Jogos!A:BN,66,0)</f>
        <v>15.785</v>
      </c>
      <c r="BI769" s="9"/>
      <c r="BJ769" s="9"/>
    </row>
    <row r="770" hidden="1">
      <c r="A770" s="10">
        <v>26.0</v>
      </c>
      <c r="B770" s="11" t="s">
        <v>623</v>
      </c>
      <c r="C770" s="2" t="s">
        <v>61</v>
      </c>
      <c r="D770" s="12">
        <v>45829.0</v>
      </c>
      <c r="E770" s="13">
        <v>0.5</v>
      </c>
      <c r="F770" s="5" t="str">
        <f>VLOOKUP(A770,Jogos!A:N,10,0)</f>
        <v>Afternoon</v>
      </c>
      <c r="G770" s="11" t="s">
        <v>312</v>
      </c>
      <c r="H770" s="6" t="str">
        <f>VLOOKUP(A770,Jogos!A:L,12,0)</f>
        <v>Open</v>
      </c>
      <c r="I770" s="6" t="str">
        <f>VLOOKUP(G770,'Estádios e Cidades'!A:B,2,0)</f>
        <v>Seatte</v>
      </c>
      <c r="J770" s="11" t="s">
        <v>625</v>
      </c>
      <c r="K770" s="2" t="str">
        <f>VLOOKUP(J770,Equipes!A:F,6,0)</f>
        <v>Temperate</v>
      </c>
      <c r="L770" s="2">
        <f>VLOOKUP(J770,Equipes!A:C,3,0)</f>
        <v>32</v>
      </c>
      <c r="M770" s="2" t="str">
        <f t="shared" si="4"/>
        <v>Group</v>
      </c>
      <c r="N770" s="11" t="s">
        <v>748</v>
      </c>
      <c r="O770" s="2">
        <f>VLOOKUP(N770,Equipes!A:C,3,0)</f>
        <v>12</v>
      </c>
      <c r="P770" s="2" t="str">
        <f t="shared" si="5"/>
        <v>Round of 16</v>
      </c>
      <c r="Q770" s="2">
        <f t="shared" si="6"/>
        <v>20</v>
      </c>
      <c r="R770" s="2" t="str">
        <f>VLOOKUP(J770,Equipes!A:B,2,0)</f>
        <v>Urawa</v>
      </c>
      <c r="S770" s="6" t="s">
        <v>672</v>
      </c>
      <c r="T770" s="7">
        <v>77.0</v>
      </c>
      <c r="U770" s="7" t="s">
        <v>673</v>
      </c>
      <c r="V770" s="7" t="str">
        <f>VLOOKUP(U770,Jogadores!B:C,2,0)</f>
        <v>MF</v>
      </c>
      <c r="W770" s="8">
        <f>VLOOKUP(U770,Jogadores!B:D,3,0)</f>
        <v>28.01369863</v>
      </c>
      <c r="X770" s="7">
        <v>0.0</v>
      </c>
      <c r="Y770" s="7">
        <v>66.0</v>
      </c>
      <c r="Z770" s="7">
        <f>VLOOKUP(A770,Jogos!A:L,3,0)</f>
        <v>47</v>
      </c>
      <c r="AA770" s="7">
        <f t="shared" si="2229"/>
        <v>47</v>
      </c>
      <c r="AB770" s="7">
        <f>VLOOKUP(A770,Jogos!A:L,4,0)</f>
        <v>49</v>
      </c>
      <c r="AC770" s="7">
        <f t="shared" si="2230"/>
        <v>21</v>
      </c>
      <c r="AD770" s="7"/>
      <c r="AE770" s="7"/>
      <c r="AF770" s="7">
        <f t="shared" si="2231"/>
        <v>68</v>
      </c>
      <c r="AG770" s="7">
        <v>8302.2</v>
      </c>
      <c r="AH770" s="7">
        <v>2408.3</v>
      </c>
      <c r="AI770" s="7">
        <v>3810.2</v>
      </c>
      <c r="AJ770" s="7">
        <v>1326.8</v>
      </c>
      <c r="AK770" s="7">
        <v>655.7</v>
      </c>
      <c r="AL770" s="7">
        <v>101.3</v>
      </c>
      <c r="AM770" s="7">
        <v>124.0</v>
      </c>
      <c r="AN770" s="7">
        <v>48.0</v>
      </c>
      <c r="AO770" s="7">
        <v>27.6</v>
      </c>
      <c r="AP770" s="9">
        <f t="shared" ref="AP770:AR770" si="2407">AG770/$AF770</f>
        <v>122.0911765</v>
      </c>
      <c r="AQ770" s="9">
        <f t="shared" si="2407"/>
        <v>35.41617647</v>
      </c>
      <c r="AR770" s="9">
        <f t="shared" si="2407"/>
        <v>56.03235294</v>
      </c>
      <c r="AS770" s="9">
        <f t="shared" si="2233"/>
        <v>91.44852941</v>
      </c>
      <c r="AT770" s="9">
        <f t="shared" ref="AT770:AV770" si="2408">AJ770/$AF770</f>
        <v>19.51176471</v>
      </c>
      <c r="AU770" s="9">
        <f t="shared" si="2408"/>
        <v>9.642647059</v>
      </c>
      <c r="AV770" s="9">
        <f t="shared" si="2408"/>
        <v>1.489705882</v>
      </c>
      <c r="AW770" s="9">
        <f t="shared" si="2235"/>
        <v>11.13235294</v>
      </c>
      <c r="AX770" s="9">
        <f t="shared" ref="AX770:AY770" si="2409">AM770/$AF770</f>
        <v>1.823529412</v>
      </c>
      <c r="AY770" s="9">
        <f t="shared" si="2409"/>
        <v>0.7058823529</v>
      </c>
      <c r="AZ770" s="9">
        <f>VLOOKUP(A770,Jogos!A:BN,58,0)</f>
        <v>12.74</v>
      </c>
      <c r="BA770" s="9">
        <f>VLOOKUP(A770,Jogos!A:BN,59,0)</f>
        <v>11.05</v>
      </c>
      <c r="BB770" s="9">
        <f>VLOOKUP(A770,Jogos!A:BN,60,0)</f>
        <v>88.5</v>
      </c>
      <c r="BC770" s="9">
        <f>VLOOKUP(A770,Jogos!A:BN,61,0)</f>
        <v>11.155</v>
      </c>
      <c r="BD770" s="9">
        <f>VLOOKUP(A770,Jogos!A:BN,62,0)</f>
        <v>278.35</v>
      </c>
      <c r="BE770" s="9">
        <f>VLOOKUP(A770,Jogos!A:BN,63,0)</f>
        <v>1.905</v>
      </c>
      <c r="BF770" s="9">
        <f>VLOOKUP(A770,Jogos!A:BN,64,0)</f>
        <v>14.145</v>
      </c>
      <c r="BG770" s="9">
        <f>VLOOKUP(A770,Jogos!A:BN,65,0)</f>
        <v>23.04</v>
      </c>
      <c r="BH770" s="9">
        <f>VLOOKUP(A770,Jogos!A:BN,66,0)</f>
        <v>15.785</v>
      </c>
      <c r="BI770" s="9"/>
      <c r="BJ770" s="9"/>
    </row>
    <row r="771" hidden="1">
      <c r="A771" s="10">
        <v>26.0</v>
      </c>
      <c r="B771" s="11" t="s">
        <v>623</v>
      </c>
      <c r="C771" s="2" t="s">
        <v>61</v>
      </c>
      <c r="D771" s="12">
        <v>45829.0</v>
      </c>
      <c r="E771" s="13">
        <v>0.5</v>
      </c>
      <c r="F771" s="5" t="str">
        <f>VLOOKUP(A771,Jogos!A:N,10,0)</f>
        <v>Afternoon</v>
      </c>
      <c r="G771" s="11" t="s">
        <v>312</v>
      </c>
      <c r="H771" s="6" t="str">
        <f>VLOOKUP(A771,Jogos!A:L,12,0)</f>
        <v>Open</v>
      </c>
      <c r="I771" s="6" t="str">
        <f>VLOOKUP(G771,'Estádios e Cidades'!A:B,2,0)</f>
        <v>Seatte</v>
      </c>
      <c r="J771" s="11" t="s">
        <v>625</v>
      </c>
      <c r="K771" s="2" t="str">
        <f>VLOOKUP(J771,Equipes!A:F,6,0)</f>
        <v>Temperate</v>
      </c>
      <c r="L771" s="2">
        <f>VLOOKUP(J771,Equipes!A:C,3,0)</f>
        <v>32</v>
      </c>
      <c r="M771" s="2" t="str">
        <f t="shared" si="4"/>
        <v>Group</v>
      </c>
      <c r="N771" s="11" t="s">
        <v>748</v>
      </c>
      <c r="O771" s="2">
        <f>VLOOKUP(N771,Equipes!A:C,3,0)</f>
        <v>12</v>
      </c>
      <c r="P771" s="2" t="str">
        <f t="shared" si="5"/>
        <v>Round of 16</v>
      </c>
      <c r="Q771" s="2">
        <f t="shared" si="6"/>
        <v>20</v>
      </c>
      <c r="R771" s="2" t="str">
        <f>VLOOKUP(J771,Equipes!A:B,2,0)</f>
        <v>Urawa</v>
      </c>
      <c r="S771" s="6" t="s">
        <v>674</v>
      </c>
      <c r="T771" s="7">
        <v>88.0</v>
      </c>
      <c r="U771" s="7" t="s">
        <v>675</v>
      </c>
      <c r="V771" s="7" t="str">
        <f>VLOOKUP(U771,Jogadores!B:C,2,0)</f>
        <v>MF</v>
      </c>
      <c r="W771" s="8">
        <f>VLOOKUP(U771,Jogadores!B:D,3,0)</f>
        <v>28.30684932</v>
      </c>
      <c r="X771" s="7">
        <v>0.0</v>
      </c>
      <c r="Y771" s="7">
        <v>87.0</v>
      </c>
      <c r="Z771" s="7">
        <f>VLOOKUP(A771,Jogos!A:L,3,0)</f>
        <v>47</v>
      </c>
      <c r="AA771" s="7">
        <f t="shared" si="2229"/>
        <v>47</v>
      </c>
      <c r="AB771" s="7">
        <f>VLOOKUP(A771,Jogos!A:L,4,0)</f>
        <v>49</v>
      </c>
      <c r="AC771" s="7">
        <f t="shared" si="2230"/>
        <v>42</v>
      </c>
      <c r="AD771" s="7"/>
      <c r="AE771" s="7"/>
      <c r="AF771" s="7">
        <f t="shared" si="2231"/>
        <v>89</v>
      </c>
      <c r="AG771" s="7">
        <v>9776.0</v>
      </c>
      <c r="AH771" s="7">
        <v>3519.8</v>
      </c>
      <c r="AI771" s="7">
        <v>4499.5</v>
      </c>
      <c r="AJ771" s="7">
        <v>1311.1</v>
      </c>
      <c r="AK771" s="7">
        <v>385.2</v>
      </c>
      <c r="AL771" s="7">
        <v>60.4</v>
      </c>
      <c r="AM771" s="7">
        <v>113.0</v>
      </c>
      <c r="AN771" s="7">
        <v>35.0</v>
      </c>
      <c r="AO771" s="7">
        <v>28.5</v>
      </c>
      <c r="AP771" s="9">
        <f t="shared" ref="AP771:AR771" si="2410">AG771/$AF771</f>
        <v>109.8426966</v>
      </c>
      <c r="AQ771" s="9">
        <f t="shared" si="2410"/>
        <v>39.54831461</v>
      </c>
      <c r="AR771" s="9">
        <f t="shared" si="2410"/>
        <v>50.55617978</v>
      </c>
      <c r="AS771" s="9">
        <f t="shared" si="2233"/>
        <v>90.10449438</v>
      </c>
      <c r="AT771" s="9">
        <f t="shared" ref="AT771:AV771" si="2411">AJ771/$AF771</f>
        <v>14.73146067</v>
      </c>
      <c r="AU771" s="9">
        <f t="shared" si="2411"/>
        <v>4.328089888</v>
      </c>
      <c r="AV771" s="9">
        <f t="shared" si="2411"/>
        <v>0.6786516854</v>
      </c>
      <c r="AW771" s="9">
        <f t="shared" si="2235"/>
        <v>5.006741573</v>
      </c>
      <c r="AX771" s="9">
        <f t="shared" ref="AX771:AY771" si="2412">AM771/$AF771</f>
        <v>1.269662921</v>
      </c>
      <c r="AY771" s="9">
        <f t="shared" si="2412"/>
        <v>0.393258427</v>
      </c>
      <c r="AZ771" s="9">
        <f>VLOOKUP(A771,Jogos!A:BN,58,0)</f>
        <v>12.74</v>
      </c>
      <c r="BA771" s="9">
        <f>VLOOKUP(A771,Jogos!A:BN,59,0)</f>
        <v>11.05</v>
      </c>
      <c r="BB771" s="9">
        <f>VLOOKUP(A771,Jogos!A:BN,60,0)</f>
        <v>88.5</v>
      </c>
      <c r="BC771" s="9">
        <f>VLOOKUP(A771,Jogos!A:BN,61,0)</f>
        <v>11.155</v>
      </c>
      <c r="BD771" s="9">
        <f>VLOOKUP(A771,Jogos!A:BN,62,0)</f>
        <v>278.35</v>
      </c>
      <c r="BE771" s="9">
        <f>VLOOKUP(A771,Jogos!A:BN,63,0)</f>
        <v>1.905</v>
      </c>
      <c r="BF771" s="9">
        <f>VLOOKUP(A771,Jogos!A:BN,64,0)</f>
        <v>14.145</v>
      </c>
      <c r="BG771" s="9">
        <f>VLOOKUP(A771,Jogos!A:BN,65,0)</f>
        <v>23.04</v>
      </c>
      <c r="BH771" s="9">
        <f>VLOOKUP(A771,Jogos!A:BN,66,0)</f>
        <v>15.785</v>
      </c>
      <c r="BI771" s="9"/>
      <c r="BJ771" s="9"/>
    </row>
    <row r="772" hidden="1">
      <c r="A772" s="10">
        <v>26.0</v>
      </c>
      <c r="B772" s="11" t="s">
        <v>623</v>
      </c>
      <c r="C772" s="2" t="s">
        <v>61</v>
      </c>
      <c r="D772" s="12">
        <v>45829.0</v>
      </c>
      <c r="E772" s="13">
        <v>0.5</v>
      </c>
      <c r="F772" s="5" t="str">
        <f>VLOOKUP(A772,Jogos!A:N,10,0)</f>
        <v>Afternoon</v>
      </c>
      <c r="G772" s="11" t="s">
        <v>312</v>
      </c>
      <c r="H772" s="6" t="str">
        <f>VLOOKUP(A772,Jogos!A:L,12,0)</f>
        <v>Open</v>
      </c>
      <c r="I772" s="6" t="str">
        <f>VLOOKUP(G772,'Estádios e Cidades'!A:B,2,0)</f>
        <v>Seatte</v>
      </c>
      <c r="J772" s="11" t="s">
        <v>625</v>
      </c>
      <c r="K772" s="2" t="str">
        <f>VLOOKUP(J772,Equipes!A:F,6,0)</f>
        <v>Temperate</v>
      </c>
      <c r="L772" s="2">
        <f>VLOOKUP(J772,Equipes!A:C,3,0)</f>
        <v>32</v>
      </c>
      <c r="M772" s="2" t="str">
        <f t="shared" si="4"/>
        <v>Group</v>
      </c>
      <c r="N772" s="11" t="s">
        <v>748</v>
      </c>
      <c r="O772" s="2">
        <f>VLOOKUP(N772,Equipes!A:C,3,0)</f>
        <v>12</v>
      </c>
      <c r="P772" s="2" t="str">
        <f t="shared" si="5"/>
        <v>Round of 16</v>
      </c>
      <c r="Q772" s="2">
        <f t="shared" si="6"/>
        <v>20</v>
      </c>
      <c r="R772" s="2" t="str">
        <f>VLOOKUP(J772,Equipes!A:B,2,0)</f>
        <v>Urawa</v>
      </c>
      <c r="S772" s="6" t="s">
        <v>676</v>
      </c>
      <c r="T772" s="7">
        <v>6.0</v>
      </c>
      <c r="U772" s="7" t="s">
        <v>677</v>
      </c>
      <c r="V772" s="7" t="str">
        <f>VLOOKUP(U772,Jogadores!B:C,2,0)</f>
        <v>MF</v>
      </c>
      <c r="W772" s="8">
        <f>VLOOKUP(U772,Jogadores!B:D,3,0)</f>
        <v>26.95068493</v>
      </c>
      <c r="X772" s="7">
        <v>79.0</v>
      </c>
      <c r="Y772" s="7">
        <f t="shared" ref="Y772:Y777" si="2416">45+AB772</f>
        <v>94</v>
      </c>
      <c r="Z772" s="7">
        <f>VLOOKUP(A772,Jogos!A:L,3,0)</f>
        <v>47</v>
      </c>
      <c r="AA772" s="7">
        <f t="shared" si="2229"/>
        <v>0</v>
      </c>
      <c r="AB772" s="7">
        <f>VLOOKUP(A772,Jogos!A:L,4,0)</f>
        <v>49</v>
      </c>
      <c r="AC772" s="7">
        <f t="shared" si="2230"/>
        <v>15</v>
      </c>
      <c r="AD772" s="7"/>
      <c r="AE772" s="7"/>
      <c r="AF772" s="7">
        <f t="shared" si="2231"/>
        <v>15</v>
      </c>
      <c r="AG772" s="7">
        <v>2225.0</v>
      </c>
      <c r="AH772" s="7">
        <v>515.0</v>
      </c>
      <c r="AI772" s="7">
        <v>1079.6</v>
      </c>
      <c r="AJ772" s="7">
        <v>398.9</v>
      </c>
      <c r="AK772" s="7">
        <v>211.0</v>
      </c>
      <c r="AL772" s="7">
        <v>20.6</v>
      </c>
      <c r="AM772" s="7">
        <v>28.0</v>
      </c>
      <c r="AN772" s="7">
        <v>13.0</v>
      </c>
      <c r="AO772" s="7">
        <v>29.3</v>
      </c>
      <c r="AP772" s="9">
        <f t="shared" ref="AP772:AR772" si="2413">AG772/$AF772</f>
        <v>148.3333333</v>
      </c>
      <c r="AQ772" s="9">
        <f t="shared" si="2413"/>
        <v>34.33333333</v>
      </c>
      <c r="AR772" s="9">
        <f t="shared" si="2413"/>
        <v>71.97333333</v>
      </c>
      <c r="AS772" s="9">
        <f t="shared" si="2233"/>
        <v>106.3066667</v>
      </c>
      <c r="AT772" s="9">
        <f t="shared" ref="AT772:AV772" si="2414">AJ772/$AF772</f>
        <v>26.59333333</v>
      </c>
      <c r="AU772" s="9">
        <f t="shared" si="2414"/>
        <v>14.06666667</v>
      </c>
      <c r="AV772" s="9">
        <f t="shared" si="2414"/>
        <v>1.373333333</v>
      </c>
      <c r="AW772" s="9">
        <f t="shared" si="2235"/>
        <v>15.44</v>
      </c>
      <c r="AX772" s="9">
        <f t="shared" ref="AX772:AY772" si="2415">AM772/$AF772</f>
        <v>1.866666667</v>
      </c>
      <c r="AY772" s="9">
        <f t="shared" si="2415"/>
        <v>0.8666666667</v>
      </c>
      <c r="AZ772" s="9">
        <f>VLOOKUP(A772,Jogos!A:BN,58,0)</f>
        <v>12.74</v>
      </c>
      <c r="BA772" s="9">
        <f>VLOOKUP(A772,Jogos!A:BN,59,0)</f>
        <v>11.05</v>
      </c>
      <c r="BB772" s="9">
        <f>VLOOKUP(A772,Jogos!A:BN,60,0)</f>
        <v>88.5</v>
      </c>
      <c r="BC772" s="9">
        <f>VLOOKUP(A772,Jogos!A:BN,61,0)</f>
        <v>11.155</v>
      </c>
      <c r="BD772" s="9">
        <f>VLOOKUP(A772,Jogos!A:BN,62,0)</f>
        <v>278.35</v>
      </c>
      <c r="BE772" s="9">
        <f>VLOOKUP(A772,Jogos!A:BN,63,0)</f>
        <v>1.905</v>
      </c>
      <c r="BF772" s="9">
        <f>VLOOKUP(A772,Jogos!A:BN,64,0)</f>
        <v>14.145</v>
      </c>
      <c r="BG772" s="9">
        <f>VLOOKUP(A772,Jogos!A:BN,65,0)</f>
        <v>23.04</v>
      </c>
      <c r="BH772" s="9">
        <f>VLOOKUP(A772,Jogos!A:BN,66,0)</f>
        <v>15.785</v>
      </c>
      <c r="BI772" s="9"/>
      <c r="BJ772" s="9"/>
    </row>
    <row r="773" hidden="1">
      <c r="A773" s="10">
        <v>26.0</v>
      </c>
      <c r="B773" s="11" t="s">
        <v>623</v>
      </c>
      <c r="C773" s="2" t="s">
        <v>61</v>
      </c>
      <c r="D773" s="12">
        <v>45829.0</v>
      </c>
      <c r="E773" s="13">
        <v>0.5</v>
      </c>
      <c r="F773" s="5" t="str">
        <f>VLOOKUP(A773,Jogos!A:N,10,0)</f>
        <v>Afternoon</v>
      </c>
      <c r="G773" s="11" t="s">
        <v>312</v>
      </c>
      <c r="H773" s="6" t="str">
        <f>VLOOKUP(A773,Jogos!A:L,12,0)</f>
        <v>Open</v>
      </c>
      <c r="I773" s="6" t="str">
        <f>VLOOKUP(G773,'Estádios e Cidades'!A:B,2,0)</f>
        <v>Seatte</v>
      </c>
      <c r="J773" s="11" t="s">
        <v>625</v>
      </c>
      <c r="K773" s="2" t="str">
        <f>VLOOKUP(J773,Equipes!A:F,6,0)</f>
        <v>Temperate</v>
      </c>
      <c r="L773" s="2">
        <f>VLOOKUP(J773,Equipes!A:C,3,0)</f>
        <v>32</v>
      </c>
      <c r="M773" s="2" t="str">
        <f t="shared" si="4"/>
        <v>Group</v>
      </c>
      <c r="N773" s="11" t="s">
        <v>748</v>
      </c>
      <c r="O773" s="2">
        <f>VLOOKUP(N773,Equipes!A:C,3,0)</f>
        <v>12</v>
      </c>
      <c r="P773" s="2" t="str">
        <f t="shared" si="5"/>
        <v>Round of 16</v>
      </c>
      <c r="Q773" s="2">
        <f t="shared" si="6"/>
        <v>20</v>
      </c>
      <c r="R773" s="2" t="str">
        <f>VLOOKUP(J773,Equipes!A:B,2,0)</f>
        <v>Urawa</v>
      </c>
      <c r="S773" s="6" t="s">
        <v>678</v>
      </c>
      <c r="T773" s="7">
        <v>9.0</v>
      </c>
      <c r="U773" s="7" t="s">
        <v>679</v>
      </c>
      <c r="V773" s="7" t="str">
        <f>VLOOKUP(U773,Jogadores!B:C,2,0)</f>
        <v>MF</v>
      </c>
      <c r="W773" s="8">
        <f>VLOOKUP(U773,Jogadores!B:D,3,0)</f>
        <v>34.24383562</v>
      </c>
      <c r="X773" s="7">
        <v>87.0</v>
      </c>
      <c r="Y773" s="7">
        <f t="shared" si="2416"/>
        <v>94</v>
      </c>
      <c r="Z773" s="7">
        <f>VLOOKUP(A773,Jogos!A:L,3,0)</f>
        <v>47</v>
      </c>
      <c r="AA773" s="7">
        <f t="shared" si="2229"/>
        <v>0</v>
      </c>
      <c r="AB773" s="7">
        <f>VLOOKUP(A773,Jogos!A:L,4,0)</f>
        <v>49</v>
      </c>
      <c r="AC773" s="7">
        <f t="shared" si="2230"/>
        <v>7</v>
      </c>
      <c r="AD773" s="7"/>
      <c r="AE773" s="7"/>
      <c r="AF773" s="7">
        <f t="shared" si="2231"/>
        <v>7</v>
      </c>
      <c r="AG773" s="7">
        <v>1103.7</v>
      </c>
      <c r="AH773" s="7">
        <v>270.1</v>
      </c>
      <c r="AI773" s="7">
        <v>500.4</v>
      </c>
      <c r="AJ773" s="7">
        <v>226.6</v>
      </c>
      <c r="AK773" s="7">
        <v>75.2</v>
      </c>
      <c r="AL773" s="7">
        <v>31.4</v>
      </c>
      <c r="AM773" s="7">
        <v>23.0</v>
      </c>
      <c r="AN773" s="7">
        <v>5.0</v>
      </c>
      <c r="AO773" s="7">
        <v>29.8</v>
      </c>
      <c r="AP773" s="9">
        <f t="shared" ref="AP773:AR773" si="2417">AG773/$AF773</f>
        <v>157.6714286</v>
      </c>
      <c r="AQ773" s="9">
        <f t="shared" si="2417"/>
        <v>38.58571429</v>
      </c>
      <c r="AR773" s="9">
        <f t="shared" si="2417"/>
        <v>71.48571429</v>
      </c>
      <c r="AS773" s="9">
        <f t="shared" si="2233"/>
        <v>110.0714286</v>
      </c>
      <c r="AT773" s="9">
        <f t="shared" ref="AT773:AV773" si="2418">AJ773/$AF773</f>
        <v>32.37142857</v>
      </c>
      <c r="AU773" s="9">
        <f t="shared" si="2418"/>
        <v>10.74285714</v>
      </c>
      <c r="AV773" s="9">
        <f t="shared" si="2418"/>
        <v>4.485714286</v>
      </c>
      <c r="AW773" s="9">
        <f t="shared" si="2235"/>
        <v>15.22857143</v>
      </c>
      <c r="AX773" s="9">
        <f t="shared" ref="AX773:AY773" si="2419">AM773/$AF773</f>
        <v>3.285714286</v>
      </c>
      <c r="AY773" s="9">
        <f t="shared" si="2419"/>
        <v>0.7142857143</v>
      </c>
      <c r="AZ773" s="9">
        <f>VLOOKUP(A773,Jogos!A:BN,58,0)</f>
        <v>12.74</v>
      </c>
      <c r="BA773" s="9">
        <f>VLOOKUP(A773,Jogos!A:BN,59,0)</f>
        <v>11.05</v>
      </c>
      <c r="BB773" s="9">
        <f>VLOOKUP(A773,Jogos!A:BN,60,0)</f>
        <v>88.5</v>
      </c>
      <c r="BC773" s="9">
        <f>VLOOKUP(A773,Jogos!A:BN,61,0)</f>
        <v>11.155</v>
      </c>
      <c r="BD773" s="9">
        <f>VLOOKUP(A773,Jogos!A:BN,62,0)</f>
        <v>278.35</v>
      </c>
      <c r="BE773" s="9">
        <f>VLOOKUP(A773,Jogos!A:BN,63,0)</f>
        <v>1.905</v>
      </c>
      <c r="BF773" s="9">
        <f>VLOOKUP(A773,Jogos!A:BN,64,0)</f>
        <v>14.145</v>
      </c>
      <c r="BG773" s="9">
        <f>VLOOKUP(A773,Jogos!A:BN,65,0)</f>
        <v>23.04</v>
      </c>
      <c r="BH773" s="9">
        <f>VLOOKUP(A773,Jogos!A:BN,66,0)</f>
        <v>15.785</v>
      </c>
      <c r="BI773" s="9"/>
      <c r="BJ773" s="9"/>
    </row>
    <row r="774" hidden="1">
      <c r="A774" s="10">
        <v>26.0</v>
      </c>
      <c r="B774" s="11" t="s">
        <v>623</v>
      </c>
      <c r="C774" s="2" t="s">
        <v>61</v>
      </c>
      <c r="D774" s="12">
        <v>45829.0</v>
      </c>
      <c r="E774" s="13">
        <v>0.5</v>
      </c>
      <c r="F774" s="5" t="str">
        <f>VLOOKUP(A774,Jogos!A:N,10,0)</f>
        <v>Afternoon</v>
      </c>
      <c r="G774" s="11" t="s">
        <v>312</v>
      </c>
      <c r="H774" s="6" t="str">
        <f>VLOOKUP(A774,Jogos!A:L,12,0)</f>
        <v>Open</v>
      </c>
      <c r="I774" s="6" t="str">
        <f>VLOOKUP(G774,'Estádios e Cidades'!A:B,2,0)</f>
        <v>Seatte</v>
      </c>
      <c r="J774" s="11" t="s">
        <v>625</v>
      </c>
      <c r="K774" s="2" t="str">
        <f>VLOOKUP(J774,Equipes!A:F,6,0)</f>
        <v>Temperate</v>
      </c>
      <c r="L774" s="2">
        <f>VLOOKUP(J774,Equipes!A:C,3,0)</f>
        <v>32</v>
      </c>
      <c r="M774" s="2" t="str">
        <f t="shared" si="4"/>
        <v>Group</v>
      </c>
      <c r="N774" s="11" t="s">
        <v>748</v>
      </c>
      <c r="O774" s="2">
        <f>VLOOKUP(N774,Equipes!A:C,3,0)</f>
        <v>12</v>
      </c>
      <c r="P774" s="2" t="str">
        <f t="shared" si="5"/>
        <v>Round of 16</v>
      </c>
      <c r="Q774" s="2">
        <f t="shared" si="6"/>
        <v>20</v>
      </c>
      <c r="R774" s="2" t="str">
        <f>VLOOKUP(J774,Equipes!A:B,2,0)</f>
        <v>Urawa</v>
      </c>
      <c r="S774" s="6" t="s">
        <v>680</v>
      </c>
      <c r="T774" s="7">
        <v>12.0</v>
      </c>
      <c r="U774" s="7" t="s">
        <v>681</v>
      </c>
      <c r="V774" s="7" t="str">
        <f>VLOOKUP(U774,Jogadores!B:C,2,0)</f>
        <v>FW</v>
      </c>
      <c r="W774" s="8">
        <f>VLOOKUP(U774,Jogadores!B:D,3,0)</f>
        <v>32.49863014</v>
      </c>
      <c r="X774" s="7">
        <v>79.0</v>
      </c>
      <c r="Y774" s="7">
        <f t="shared" si="2416"/>
        <v>94</v>
      </c>
      <c r="Z774" s="7">
        <f>VLOOKUP(A774,Jogos!A:L,3,0)</f>
        <v>47</v>
      </c>
      <c r="AA774" s="7">
        <f t="shared" si="2229"/>
        <v>0</v>
      </c>
      <c r="AB774" s="7">
        <f>VLOOKUP(A774,Jogos!A:L,4,0)</f>
        <v>49</v>
      </c>
      <c r="AC774" s="7">
        <f t="shared" si="2230"/>
        <v>15</v>
      </c>
      <c r="AD774" s="7"/>
      <c r="AE774" s="7"/>
      <c r="AF774" s="7">
        <f t="shared" si="2231"/>
        <v>15</v>
      </c>
      <c r="AG774" s="7">
        <v>1884.4</v>
      </c>
      <c r="AH774" s="7">
        <v>621.0</v>
      </c>
      <c r="AI774" s="7">
        <v>816.2</v>
      </c>
      <c r="AJ774" s="7">
        <v>254.4</v>
      </c>
      <c r="AK774" s="7">
        <v>105.8</v>
      </c>
      <c r="AL774" s="7">
        <v>86.9</v>
      </c>
      <c r="AM774" s="7">
        <v>20.0</v>
      </c>
      <c r="AN774" s="7">
        <v>11.0</v>
      </c>
      <c r="AO774" s="7">
        <v>31.4</v>
      </c>
      <c r="AP774" s="9">
        <f t="shared" ref="AP774:AR774" si="2420">AG774/$AF774</f>
        <v>125.6266667</v>
      </c>
      <c r="AQ774" s="9">
        <f t="shared" si="2420"/>
        <v>41.4</v>
      </c>
      <c r="AR774" s="9">
        <f t="shared" si="2420"/>
        <v>54.41333333</v>
      </c>
      <c r="AS774" s="9">
        <f t="shared" si="2233"/>
        <v>95.81333333</v>
      </c>
      <c r="AT774" s="9">
        <f t="shared" ref="AT774:AV774" si="2421">AJ774/$AF774</f>
        <v>16.96</v>
      </c>
      <c r="AU774" s="9">
        <f t="shared" si="2421"/>
        <v>7.053333333</v>
      </c>
      <c r="AV774" s="9">
        <f t="shared" si="2421"/>
        <v>5.793333333</v>
      </c>
      <c r="AW774" s="9">
        <f t="shared" si="2235"/>
        <v>12.84666667</v>
      </c>
      <c r="AX774" s="9">
        <f t="shared" ref="AX774:AY774" si="2422">AM774/$AF774</f>
        <v>1.333333333</v>
      </c>
      <c r="AY774" s="9">
        <f t="shared" si="2422"/>
        <v>0.7333333333</v>
      </c>
      <c r="AZ774" s="9">
        <f>VLOOKUP(A774,Jogos!A:BN,58,0)</f>
        <v>12.74</v>
      </c>
      <c r="BA774" s="9">
        <f>VLOOKUP(A774,Jogos!A:BN,59,0)</f>
        <v>11.05</v>
      </c>
      <c r="BB774" s="9">
        <f>VLOOKUP(A774,Jogos!A:BN,60,0)</f>
        <v>88.5</v>
      </c>
      <c r="BC774" s="9">
        <f>VLOOKUP(A774,Jogos!A:BN,61,0)</f>
        <v>11.155</v>
      </c>
      <c r="BD774" s="9">
        <f>VLOOKUP(A774,Jogos!A:BN,62,0)</f>
        <v>278.35</v>
      </c>
      <c r="BE774" s="9">
        <f>VLOOKUP(A774,Jogos!A:BN,63,0)</f>
        <v>1.905</v>
      </c>
      <c r="BF774" s="9">
        <f>VLOOKUP(A774,Jogos!A:BN,64,0)</f>
        <v>14.145</v>
      </c>
      <c r="BG774" s="9">
        <f>VLOOKUP(A774,Jogos!A:BN,65,0)</f>
        <v>23.04</v>
      </c>
      <c r="BH774" s="9">
        <f>VLOOKUP(A774,Jogos!A:BN,66,0)</f>
        <v>15.785</v>
      </c>
      <c r="BI774" s="9"/>
      <c r="BJ774" s="9"/>
    </row>
    <row r="775" hidden="1">
      <c r="A775" s="10">
        <v>26.0</v>
      </c>
      <c r="B775" s="11" t="s">
        <v>623</v>
      </c>
      <c r="C775" s="2" t="s">
        <v>61</v>
      </c>
      <c r="D775" s="12">
        <v>45829.0</v>
      </c>
      <c r="E775" s="13">
        <v>0.5</v>
      </c>
      <c r="F775" s="5" t="str">
        <f>VLOOKUP(A775,Jogos!A:N,10,0)</f>
        <v>Afternoon</v>
      </c>
      <c r="G775" s="11" t="s">
        <v>312</v>
      </c>
      <c r="H775" s="6" t="str">
        <f>VLOOKUP(A775,Jogos!A:L,12,0)</f>
        <v>Open</v>
      </c>
      <c r="I775" s="6" t="str">
        <f>VLOOKUP(G775,'Estádios e Cidades'!A:B,2,0)</f>
        <v>Seatte</v>
      </c>
      <c r="J775" s="11" t="s">
        <v>625</v>
      </c>
      <c r="K775" s="2" t="str">
        <f>VLOOKUP(J775,Equipes!A:F,6,0)</f>
        <v>Temperate</v>
      </c>
      <c r="L775" s="2">
        <f>VLOOKUP(J775,Equipes!A:C,3,0)</f>
        <v>32</v>
      </c>
      <c r="M775" s="2" t="str">
        <f t="shared" si="4"/>
        <v>Group</v>
      </c>
      <c r="N775" s="11" t="s">
        <v>748</v>
      </c>
      <c r="O775" s="2">
        <f>VLOOKUP(N775,Equipes!A:C,3,0)</f>
        <v>12</v>
      </c>
      <c r="P775" s="2" t="str">
        <f t="shared" si="5"/>
        <v>Round of 16</v>
      </c>
      <c r="Q775" s="2">
        <f t="shared" si="6"/>
        <v>20</v>
      </c>
      <c r="R775" s="2" t="str">
        <f>VLOOKUP(J775,Equipes!A:B,2,0)</f>
        <v>Urawa</v>
      </c>
      <c r="S775" s="6" t="s">
        <v>682</v>
      </c>
      <c r="T775" s="7">
        <v>14.0</v>
      </c>
      <c r="U775" s="7" t="s">
        <v>683</v>
      </c>
      <c r="V775" s="7" t="str">
        <f>VLOOKUP(U775,Jogadores!B:C,2,0)</f>
        <v>MF</v>
      </c>
      <c r="W775" s="8">
        <f>VLOOKUP(U775,Jogadores!B:D,3,0)</f>
        <v>30.29589041</v>
      </c>
      <c r="X775" s="7">
        <v>66.0</v>
      </c>
      <c r="Y775" s="7">
        <f t="shared" si="2416"/>
        <v>94</v>
      </c>
      <c r="Z775" s="7">
        <f>VLOOKUP(A775,Jogos!A:L,3,0)</f>
        <v>47</v>
      </c>
      <c r="AA775" s="7">
        <f t="shared" si="2229"/>
        <v>0</v>
      </c>
      <c r="AB775" s="7">
        <f>VLOOKUP(A775,Jogos!A:L,4,0)</f>
        <v>49</v>
      </c>
      <c r="AC775" s="7">
        <f t="shared" si="2230"/>
        <v>28</v>
      </c>
      <c r="AD775" s="7"/>
      <c r="AE775" s="7"/>
      <c r="AF775" s="7">
        <f t="shared" si="2231"/>
        <v>28</v>
      </c>
      <c r="AG775" s="7">
        <v>3727.1</v>
      </c>
      <c r="AH775" s="7">
        <v>954.7</v>
      </c>
      <c r="AI775" s="7">
        <v>1786.7</v>
      </c>
      <c r="AJ775" s="7">
        <v>526.6</v>
      </c>
      <c r="AK775" s="7">
        <v>283.1</v>
      </c>
      <c r="AL775" s="7">
        <v>176.0</v>
      </c>
      <c r="AM775" s="7">
        <v>52.0</v>
      </c>
      <c r="AN775" s="7">
        <v>21.0</v>
      </c>
      <c r="AO775" s="7">
        <v>31.7</v>
      </c>
      <c r="AP775" s="9">
        <f t="shared" ref="AP775:AR775" si="2423">AG775/$AF775</f>
        <v>133.1107143</v>
      </c>
      <c r="AQ775" s="9">
        <f t="shared" si="2423"/>
        <v>34.09642857</v>
      </c>
      <c r="AR775" s="9">
        <f t="shared" si="2423"/>
        <v>63.81071429</v>
      </c>
      <c r="AS775" s="9">
        <f t="shared" si="2233"/>
        <v>97.90714286</v>
      </c>
      <c r="AT775" s="9">
        <f t="shared" ref="AT775:AV775" si="2424">AJ775/$AF775</f>
        <v>18.80714286</v>
      </c>
      <c r="AU775" s="9">
        <f t="shared" si="2424"/>
        <v>10.11071429</v>
      </c>
      <c r="AV775" s="9">
        <f t="shared" si="2424"/>
        <v>6.285714286</v>
      </c>
      <c r="AW775" s="9">
        <f t="shared" si="2235"/>
        <v>16.39642857</v>
      </c>
      <c r="AX775" s="9">
        <f t="shared" ref="AX775:AY775" si="2425">AM775/$AF775</f>
        <v>1.857142857</v>
      </c>
      <c r="AY775" s="9">
        <f t="shared" si="2425"/>
        <v>0.75</v>
      </c>
      <c r="AZ775" s="9">
        <f>VLOOKUP(A775,Jogos!A:BN,58,0)</f>
        <v>12.74</v>
      </c>
      <c r="BA775" s="9">
        <f>VLOOKUP(A775,Jogos!A:BN,59,0)</f>
        <v>11.05</v>
      </c>
      <c r="BB775" s="9">
        <f>VLOOKUP(A775,Jogos!A:BN,60,0)</f>
        <v>88.5</v>
      </c>
      <c r="BC775" s="9">
        <f>VLOOKUP(A775,Jogos!A:BN,61,0)</f>
        <v>11.155</v>
      </c>
      <c r="BD775" s="9">
        <f>VLOOKUP(A775,Jogos!A:BN,62,0)</f>
        <v>278.35</v>
      </c>
      <c r="BE775" s="9">
        <f>VLOOKUP(A775,Jogos!A:BN,63,0)</f>
        <v>1.905</v>
      </c>
      <c r="BF775" s="9">
        <f>VLOOKUP(A775,Jogos!A:BN,64,0)</f>
        <v>14.145</v>
      </c>
      <c r="BG775" s="9">
        <f>VLOOKUP(A775,Jogos!A:BN,65,0)</f>
        <v>23.04</v>
      </c>
      <c r="BH775" s="9">
        <f>VLOOKUP(A775,Jogos!A:BN,66,0)</f>
        <v>15.785</v>
      </c>
      <c r="BI775" s="9"/>
      <c r="BJ775" s="9"/>
    </row>
    <row r="776" hidden="1">
      <c r="A776" s="10">
        <v>26.0</v>
      </c>
      <c r="B776" s="11" t="s">
        <v>623</v>
      </c>
      <c r="C776" s="2" t="s">
        <v>61</v>
      </c>
      <c r="D776" s="12">
        <v>45829.0</v>
      </c>
      <c r="E776" s="13">
        <v>0.5</v>
      </c>
      <c r="F776" s="5" t="str">
        <f>VLOOKUP(A776,Jogos!A:N,10,0)</f>
        <v>Afternoon</v>
      </c>
      <c r="G776" s="11" t="s">
        <v>312</v>
      </c>
      <c r="H776" s="6" t="str">
        <f>VLOOKUP(A776,Jogos!A:L,12,0)</f>
        <v>Open</v>
      </c>
      <c r="I776" s="6" t="str">
        <f>VLOOKUP(G776,'Estádios e Cidades'!A:B,2,0)</f>
        <v>Seatte</v>
      </c>
      <c r="J776" s="11" t="s">
        <v>625</v>
      </c>
      <c r="K776" s="2" t="str">
        <f>VLOOKUP(J776,Equipes!A:F,6,0)</f>
        <v>Temperate</v>
      </c>
      <c r="L776" s="2">
        <f>VLOOKUP(J776,Equipes!A:C,3,0)</f>
        <v>32</v>
      </c>
      <c r="M776" s="2" t="str">
        <f t="shared" si="4"/>
        <v>Group</v>
      </c>
      <c r="N776" s="11" t="s">
        <v>748</v>
      </c>
      <c r="O776" s="2">
        <f>VLOOKUP(N776,Equipes!A:C,3,0)</f>
        <v>12</v>
      </c>
      <c r="P776" s="2" t="str">
        <f t="shared" si="5"/>
        <v>Round of 16</v>
      </c>
      <c r="Q776" s="2">
        <f t="shared" si="6"/>
        <v>20</v>
      </c>
      <c r="R776" s="2" t="str">
        <f>VLOOKUP(J776,Equipes!A:B,2,0)</f>
        <v>Urawa</v>
      </c>
      <c r="S776" s="6" t="s">
        <v>684</v>
      </c>
      <c r="T776" s="7">
        <v>26.0</v>
      </c>
      <c r="U776" s="7" t="s">
        <v>685</v>
      </c>
      <c r="V776" s="7" t="str">
        <f>VLOOKUP(U776,Jogadores!B:C,2,0)</f>
        <v>DF</v>
      </c>
      <c r="W776" s="8">
        <f>VLOOKUP(U776,Jogadores!B:D,3,0)</f>
        <v>25.69589041</v>
      </c>
      <c r="X776" s="7">
        <v>87.0</v>
      </c>
      <c r="Y776" s="7">
        <f t="shared" si="2416"/>
        <v>94</v>
      </c>
      <c r="Z776" s="7">
        <f>VLOOKUP(A776,Jogos!A:L,3,0)</f>
        <v>47</v>
      </c>
      <c r="AA776" s="7">
        <f t="shared" si="2229"/>
        <v>0</v>
      </c>
      <c r="AB776" s="7">
        <f>VLOOKUP(A776,Jogos!A:L,4,0)</f>
        <v>49</v>
      </c>
      <c r="AC776" s="7">
        <f t="shared" si="2230"/>
        <v>7</v>
      </c>
      <c r="AD776" s="7"/>
      <c r="AE776" s="7"/>
      <c r="AF776" s="7">
        <f t="shared" si="2231"/>
        <v>7</v>
      </c>
      <c r="AG776" s="7">
        <v>919.7</v>
      </c>
      <c r="AH776" s="7">
        <v>313.6</v>
      </c>
      <c r="AI776" s="7">
        <v>450.4</v>
      </c>
      <c r="AJ776" s="7">
        <v>99.7</v>
      </c>
      <c r="AK776" s="7">
        <v>55.9</v>
      </c>
      <c r="AL776" s="7">
        <v>10.0</v>
      </c>
      <c r="AM776" s="7">
        <v>4.0</v>
      </c>
      <c r="AN776" s="7">
        <v>23.7</v>
      </c>
      <c r="AO776" s="7"/>
      <c r="AP776" s="9">
        <f t="shared" ref="AP776:AR776" si="2426">AG776/$AF776</f>
        <v>131.3857143</v>
      </c>
      <c r="AQ776" s="9">
        <f t="shared" si="2426"/>
        <v>44.8</v>
      </c>
      <c r="AR776" s="9">
        <f t="shared" si="2426"/>
        <v>64.34285714</v>
      </c>
      <c r="AS776" s="9">
        <f t="shared" si="2233"/>
        <v>109.1428571</v>
      </c>
      <c r="AT776" s="9">
        <f t="shared" ref="AT776:AV776" si="2427">AJ776/$AF776</f>
        <v>14.24285714</v>
      </c>
      <c r="AU776" s="9">
        <f t="shared" si="2427"/>
        <v>7.985714286</v>
      </c>
      <c r="AV776" s="9">
        <f t="shared" si="2427"/>
        <v>1.428571429</v>
      </c>
      <c r="AW776" s="9">
        <f t="shared" si="2235"/>
        <v>9.414285714</v>
      </c>
      <c r="AX776" s="9">
        <f t="shared" ref="AX776:AY776" si="2428">AM776/$AF776</f>
        <v>0.5714285714</v>
      </c>
      <c r="AY776" s="9">
        <f t="shared" si="2428"/>
        <v>3.385714286</v>
      </c>
      <c r="AZ776" s="9">
        <f>VLOOKUP(A776,Jogos!A:BN,58,0)</f>
        <v>12.74</v>
      </c>
      <c r="BA776" s="9">
        <f>VLOOKUP(A776,Jogos!A:BN,59,0)</f>
        <v>11.05</v>
      </c>
      <c r="BB776" s="9">
        <f>VLOOKUP(A776,Jogos!A:BN,60,0)</f>
        <v>88.5</v>
      </c>
      <c r="BC776" s="9">
        <f>VLOOKUP(A776,Jogos!A:BN,61,0)</f>
        <v>11.155</v>
      </c>
      <c r="BD776" s="9">
        <f>VLOOKUP(A776,Jogos!A:BN,62,0)</f>
        <v>278.35</v>
      </c>
      <c r="BE776" s="9">
        <f>VLOOKUP(A776,Jogos!A:BN,63,0)</f>
        <v>1.905</v>
      </c>
      <c r="BF776" s="9">
        <f>VLOOKUP(A776,Jogos!A:BN,64,0)</f>
        <v>14.145</v>
      </c>
      <c r="BG776" s="9">
        <f>VLOOKUP(A776,Jogos!A:BN,65,0)</f>
        <v>23.04</v>
      </c>
      <c r="BH776" s="9">
        <f>VLOOKUP(A776,Jogos!A:BN,66,0)</f>
        <v>15.785</v>
      </c>
      <c r="BI776" s="9"/>
      <c r="BJ776" s="9"/>
    </row>
    <row r="777" hidden="1">
      <c r="A777" s="2">
        <v>27.0</v>
      </c>
      <c r="B777" s="11" t="s">
        <v>562</v>
      </c>
      <c r="C777" s="2" t="s">
        <v>61</v>
      </c>
      <c r="D777" s="3">
        <v>45829.0</v>
      </c>
      <c r="E777" s="4">
        <v>0.75</v>
      </c>
      <c r="F777" s="5" t="str">
        <f>VLOOKUP(A777,Jogos!A:N,10,0)</f>
        <v>Evening</v>
      </c>
      <c r="G777" s="2" t="s">
        <v>249</v>
      </c>
      <c r="H777" s="6" t="str">
        <f>VLOOKUP(A777,Jogos!A:L,12,0)</f>
        <v>Open</v>
      </c>
      <c r="I777" s="6" t="str">
        <f>VLOOKUP(G777,'Estádios e Cidades'!A:B,2,0)</f>
        <v>East Rutherford</v>
      </c>
      <c r="J777" s="2" t="s">
        <v>563</v>
      </c>
      <c r="K777" s="2" t="str">
        <f>VLOOKUP(J777,Equipes!A:F,6,0)</f>
        <v>Tropical</v>
      </c>
      <c r="L777" s="2">
        <f>VLOOKUP(J777,Equipes!A:C,3,0)</f>
        <v>4</v>
      </c>
      <c r="M777" s="2" t="str">
        <f t="shared" si="4"/>
        <v>Semi-final</v>
      </c>
      <c r="N777" s="2" t="s">
        <v>687</v>
      </c>
      <c r="O777" s="2">
        <f>VLOOKUP(N777,Equipes!A:C,3,0)</f>
        <v>28</v>
      </c>
      <c r="P777" s="2" t="str">
        <f t="shared" si="5"/>
        <v>Group</v>
      </c>
      <c r="Q777" s="2">
        <f t="shared" si="6"/>
        <v>-24</v>
      </c>
      <c r="R777" s="2" t="str">
        <f>VLOOKUP(J777,Equipes!A:B,2,0)</f>
        <v>Fluminense</v>
      </c>
      <c r="S777" s="6" t="s">
        <v>567</v>
      </c>
      <c r="T777" s="7">
        <v>3.0</v>
      </c>
      <c r="U777" s="7" t="s">
        <v>568</v>
      </c>
      <c r="V777" s="7" t="str">
        <f>VLOOKUP(U777,Jogadores!B:C,2,0)</f>
        <v>DF</v>
      </c>
      <c r="W777" s="8">
        <f>VLOOKUP(U777,Jogadores!B:D,3,0)</f>
        <v>40.8739726</v>
      </c>
      <c r="X777" s="7">
        <v>0.0</v>
      </c>
      <c r="Y777" s="7">
        <f t="shared" si="2416"/>
        <v>97</v>
      </c>
      <c r="Z777" s="7">
        <f>VLOOKUP(A777,Jogos!A:L,3,0)</f>
        <v>49</v>
      </c>
      <c r="AA777" s="7">
        <f t="shared" si="2229"/>
        <v>49</v>
      </c>
      <c r="AB777" s="7">
        <f>VLOOKUP(A777,Jogos!A:L,4,0)</f>
        <v>52</v>
      </c>
      <c r="AC777" s="7">
        <f t="shared" si="2230"/>
        <v>52</v>
      </c>
      <c r="AD777" s="7"/>
      <c r="AE777" s="7"/>
      <c r="AF777" s="7">
        <f t="shared" si="2231"/>
        <v>101</v>
      </c>
      <c r="AG777" s="7">
        <v>7732.3</v>
      </c>
      <c r="AH777" s="7">
        <v>4574.9</v>
      </c>
      <c r="AI777" s="7">
        <v>2194.0</v>
      </c>
      <c r="AJ777" s="7">
        <v>565.5</v>
      </c>
      <c r="AK777" s="7">
        <v>254.2</v>
      </c>
      <c r="AL777" s="7">
        <v>143.7</v>
      </c>
      <c r="AM777" s="7">
        <v>48.0</v>
      </c>
      <c r="AN777" s="7">
        <v>24.0</v>
      </c>
      <c r="AO777" s="7">
        <v>30.4</v>
      </c>
      <c r="AP777" s="9">
        <f t="shared" ref="AP777:AR777" si="2429">AG777/$AF777</f>
        <v>76.55742574</v>
      </c>
      <c r="AQ777" s="9">
        <f t="shared" si="2429"/>
        <v>45.2960396</v>
      </c>
      <c r="AR777" s="9">
        <f t="shared" si="2429"/>
        <v>21.72277228</v>
      </c>
      <c r="AS777" s="9">
        <f t="shared" si="2233"/>
        <v>67.01881188</v>
      </c>
      <c r="AT777" s="9">
        <f t="shared" ref="AT777:AV777" si="2430">AJ777/$AF777</f>
        <v>5.599009901</v>
      </c>
      <c r="AU777" s="9">
        <f t="shared" si="2430"/>
        <v>2.516831683</v>
      </c>
      <c r="AV777" s="9">
        <f t="shared" si="2430"/>
        <v>1.422772277</v>
      </c>
      <c r="AW777" s="9">
        <f t="shared" si="2235"/>
        <v>3.93960396</v>
      </c>
      <c r="AX777" s="9">
        <f t="shared" ref="AX777:AY777" si="2431">AM777/$AF777</f>
        <v>0.4752475248</v>
      </c>
      <c r="AY777" s="9">
        <f t="shared" si="2431"/>
        <v>0.2376237624</v>
      </c>
      <c r="AZ777" s="9">
        <f>VLOOKUP(A777,Jogos!A:BN,58,0)</f>
        <v>28.8</v>
      </c>
      <c r="BA777" s="9">
        <f>VLOOKUP(A777,Jogos!A:BN,59,0)</f>
        <v>17.995</v>
      </c>
      <c r="BB777" s="9">
        <f>VLOOKUP(A777,Jogos!A:BN,60,0)</f>
        <v>51.5</v>
      </c>
      <c r="BC777" s="9">
        <f>VLOOKUP(A777,Jogos!A:BN,61,0)</f>
        <v>28.43</v>
      </c>
      <c r="BD777" s="9">
        <f>VLOOKUP(A777,Jogos!A:BN,62,0)</f>
        <v>121.3</v>
      </c>
      <c r="BE777" s="9">
        <f>VLOOKUP(A777,Jogos!A:BN,63,0)</f>
        <v>1.79</v>
      </c>
      <c r="BF777" s="9">
        <f>VLOOKUP(A777,Jogos!A:BN,64,0)</f>
        <v>23.185</v>
      </c>
      <c r="BG777" s="9">
        <f>VLOOKUP(A777,Jogos!A:BN,65,0)</f>
        <v>42.105</v>
      </c>
      <c r="BH777" s="9">
        <f>VLOOKUP(A777,Jogos!A:BN,66,0)</f>
        <v>27.535</v>
      </c>
      <c r="BI777" s="9"/>
      <c r="BJ777" s="9"/>
    </row>
    <row r="778" hidden="1">
      <c r="A778" s="2">
        <v>27.0</v>
      </c>
      <c r="B778" s="11" t="s">
        <v>562</v>
      </c>
      <c r="C778" s="2" t="s">
        <v>61</v>
      </c>
      <c r="D778" s="3">
        <v>45829.0</v>
      </c>
      <c r="E778" s="4">
        <v>0.75</v>
      </c>
      <c r="F778" s="5" t="str">
        <f>VLOOKUP(A778,Jogos!A:N,10,0)</f>
        <v>Evening</v>
      </c>
      <c r="G778" s="2" t="s">
        <v>249</v>
      </c>
      <c r="H778" s="6" t="str">
        <f>VLOOKUP(A778,Jogos!A:L,12,0)</f>
        <v>Open</v>
      </c>
      <c r="I778" s="6" t="str">
        <f>VLOOKUP(G778,'Estádios e Cidades'!A:B,2,0)</f>
        <v>East Rutherford</v>
      </c>
      <c r="J778" s="2" t="s">
        <v>563</v>
      </c>
      <c r="K778" s="2" t="str">
        <f>VLOOKUP(J778,Equipes!A:F,6,0)</f>
        <v>Tropical</v>
      </c>
      <c r="L778" s="2">
        <f>VLOOKUP(J778,Equipes!A:C,3,0)</f>
        <v>4</v>
      </c>
      <c r="M778" s="2" t="str">
        <f t="shared" si="4"/>
        <v>Semi-final</v>
      </c>
      <c r="N778" s="2" t="s">
        <v>687</v>
      </c>
      <c r="O778" s="2">
        <f>VLOOKUP(N778,Equipes!A:C,3,0)</f>
        <v>28</v>
      </c>
      <c r="P778" s="2" t="str">
        <f t="shared" si="5"/>
        <v>Group</v>
      </c>
      <c r="Q778" s="2">
        <f t="shared" si="6"/>
        <v>-24</v>
      </c>
      <c r="R778" s="2" t="str">
        <f>VLOOKUP(J778,Equipes!A:B,2,0)</f>
        <v>Fluminense</v>
      </c>
      <c r="S778" s="6" t="s">
        <v>571</v>
      </c>
      <c r="T778" s="7">
        <v>8.0</v>
      </c>
      <c r="U778" s="7" t="s">
        <v>572</v>
      </c>
      <c r="V778" s="7" t="str">
        <f>VLOOKUP(U778,Jogadores!B:C,2,0)</f>
        <v>MF</v>
      </c>
      <c r="W778" s="8">
        <f>VLOOKUP(U778,Jogadores!B:D,3,0)</f>
        <v>23.82739726</v>
      </c>
      <c r="X778" s="7">
        <v>0.0</v>
      </c>
      <c r="Y778" s="7">
        <v>59.0</v>
      </c>
      <c r="Z778" s="7">
        <f>VLOOKUP(A778,Jogos!A:L,3,0)</f>
        <v>49</v>
      </c>
      <c r="AA778" s="7">
        <f t="shared" si="2229"/>
        <v>49</v>
      </c>
      <c r="AB778" s="7">
        <f>VLOOKUP(A778,Jogos!A:L,4,0)</f>
        <v>52</v>
      </c>
      <c r="AC778" s="7">
        <f t="shared" si="2230"/>
        <v>14</v>
      </c>
      <c r="AD778" s="7"/>
      <c r="AE778" s="7"/>
      <c r="AF778" s="7">
        <f t="shared" si="2231"/>
        <v>63</v>
      </c>
      <c r="AG778" s="7">
        <v>7385.1</v>
      </c>
      <c r="AH778" s="7">
        <v>2276.4</v>
      </c>
      <c r="AI778" s="7">
        <v>3348.9</v>
      </c>
      <c r="AJ778" s="7">
        <v>1362.9</v>
      </c>
      <c r="AK778" s="7">
        <v>306.5</v>
      </c>
      <c r="AL778" s="7">
        <v>90.4</v>
      </c>
      <c r="AM778" s="7">
        <v>119.0</v>
      </c>
      <c r="AN778" s="7">
        <v>24.0</v>
      </c>
      <c r="AO778" s="7">
        <v>29.1</v>
      </c>
      <c r="AP778" s="9">
        <f t="shared" ref="AP778:AR778" si="2432">AG778/$AF778</f>
        <v>117.2238095</v>
      </c>
      <c r="AQ778" s="9">
        <f t="shared" si="2432"/>
        <v>36.13333333</v>
      </c>
      <c r="AR778" s="9">
        <f t="shared" si="2432"/>
        <v>53.15714286</v>
      </c>
      <c r="AS778" s="9">
        <f t="shared" si="2233"/>
        <v>89.29047619</v>
      </c>
      <c r="AT778" s="9">
        <f t="shared" ref="AT778:AV778" si="2433">AJ778/$AF778</f>
        <v>21.63333333</v>
      </c>
      <c r="AU778" s="9">
        <f t="shared" si="2433"/>
        <v>4.865079365</v>
      </c>
      <c r="AV778" s="9">
        <f t="shared" si="2433"/>
        <v>1.434920635</v>
      </c>
      <c r="AW778" s="9">
        <f t="shared" si="2235"/>
        <v>6.3</v>
      </c>
      <c r="AX778" s="9">
        <f t="shared" ref="AX778:AY778" si="2434">AM778/$AF778</f>
        <v>1.888888889</v>
      </c>
      <c r="AY778" s="9">
        <f t="shared" si="2434"/>
        <v>0.380952381</v>
      </c>
      <c r="AZ778" s="9">
        <f>VLOOKUP(A778,Jogos!A:BN,58,0)</f>
        <v>28.8</v>
      </c>
      <c r="BA778" s="9">
        <f>VLOOKUP(A778,Jogos!A:BN,59,0)</f>
        <v>17.995</v>
      </c>
      <c r="BB778" s="9">
        <f>VLOOKUP(A778,Jogos!A:BN,60,0)</f>
        <v>51.5</v>
      </c>
      <c r="BC778" s="9">
        <f>VLOOKUP(A778,Jogos!A:BN,61,0)</f>
        <v>28.43</v>
      </c>
      <c r="BD778" s="9">
        <f>VLOOKUP(A778,Jogos!A:BN,62,0)</f>
        <v>121.3</v>
      </c>
      <c r="BE778" s="9">
        <f>VLOOKUP(A778,Jogos!A:BN,63,0)</f>
        <v>1.79</v>
      </c>
      <c r="BF778" s="9">
        <f>VLOOKUP(A778,Jogos!A:BN,64,0)</f>
        <v>23.185</v>
      </c>
      <c r="BG778" s="9">
        <f>VLOOKUP(A778,Jogos!A:BN,65,0)</f>
        <v>42.105</v>
      </c>
      <c r="BH778" s="9">
        <f>VLOOKUP(A778,Jogos!A:BN,66,0)</f>
        <v>27.535</v>
      </c>
      <c r="BI778" s="9"/>
      <c r="BJ778" s="9"/>
    </row>
    <row r="779" hidden="1">
      <c r="A779" s="2">
        <v>27.0</v>
      </c>
      <c r="B779" s="11" t="s">
        <v>562</v>
      </c>
      <c r="C779" s="2" t="s">
        <v>61</v>
      </c>
      <c r="D779" s="3">
        <v>45829.0</v>
      </c>
      <c r="E779" s="4">
        <v>0.75</v>
      </c>
      <c r="F779" s="5" t="str">
        <f>VLOOKUP(A779,Jogos!A:N,10,0)</f>
        <v>Evening</v>
      </c>
      <c r="G779" s="2" t="s">
        <v>249</v>
      </c>
      <c r="H779" s="6" t="str">
        <f>VLOOKUP(A779,Jogos!A:L,12,0)</f>
        <v>Open</v>
      </c>
      <c r="I779" s="6" t="str">
        <f>VLOOKUP(G779,'Estádios e Cidades'!A:B,2,0)</f>
        <v>East Rutherford</v>
      </c>
      <c r="J779" s="2" t="s">
        <v>563</v>
      </c>
      <c r="K779" s="2" t="str">
        <f>VLOOKUP(J779,Equipes!A:F,6,0)</f>
        <v>Tropical</v>
      </c>
      <c r="L779" s="2">
        <f>VLOOKUP(J779,Equipes!A:C,3,0)</f>
        <v>4</v>
      </c>
      <c r="M779" s="2" t="str">
        <f t="shared" si="4"/>
        <v>Semi-final</v>
      </c>
      <c r="N779" s="2" t="s">
        <v>687</v>
      </c>
      <c r="O779" s="2">
        <f>VLOOKUP(N779,Equipes!A:C,3,0)</f>
        <v>28</v>
      </c>
      <c r="P779" s="2" t="str">
        <f t="shared" si="5"/>
        <v>Group</v>
      </c>
      <c r="Q779" s="2">
        <f t="shared" si="6"/>
        <v>-24</v>
      </c>
      <c r="R779" s="2" t="str">
        <f>VLOOKUP(J779,Equipes!A:B,2,0)</f>
        <v>Fluminense</v>
      </c>
      <c r="S779" s="6" t="s">
        <v>1164</v>
      </c>
      <c r="T779" s="7">
        <v>10.0</v>
      </c>
      <c r="U779" s="7" t="s">
        <v>1165</v>
      </c>
      <c r="V779" s="7" t="str">
        <f>VLOOKUP(U779,Jogadores!B:C,2,0)</f>
        <v>MF</v>
      </c>
      <c r="W779" s="8">
        <f>VLOOKUP(U779,Jogadores!B:D,3,0)</f>
        <v>35.81643836</v>
      </c>
      <c r="X779" s="7">
        <v>0.0</v>
      </c>
      <c r="Y779" s="7">
        <v>45.0</v>
      </c>
      <c r="Z779" s="7">
        <f>VLOOKUP(A779,Jogos!A:L,3,0)</f>
        <v>49</v>
      </c>
      <c r="AA779" s="7">
        <f t="shared" si="2229"/>
        <v>49</v>
      </c>
      <c r="AB779" s="7">
        <f>VLOOKUP(A779,Jogos!A:L,4,0)</f>
        <v>52</v>
      </c>
      <c r="AC779" s="7">
        <f t="shared" si="2230"/>
        <v>0</v>
      </c>
      <c r="AD779" s="7"/>
      <c r="AE779" s="7"/>
      <c r="AF779" s="7">
        <f t="shared" si="2231"/>
        <v>49</v>
      </c>
      <c r="AG779" s="7">
        <v>4767.6</v>
      </c>
      <c r="AH779" s="7">
        <v>2225.7</v>
      </c>
      <c r="AI779" s="7">
        <v>1621.2</v>
      </c>
      <c r="AJ779" s="7">
        <v>699.3</v>
      </c>
      <c r="AK779" s="7">
        <v>221.4</v>
      </c>
      <c r="AL779" s="7">
        <v>62.0</v>
      </c>
      <c r="AM779" s="7">
        <v>13.0</v>
      </c>
      <c r="AN779" s="7">
        <v>24.5</v>
      </c>
      <c r="AO779" s="7"/>
      <c r="AP779" s="9">
        <f t="shared" ref="AP779:AR779" si="2435">AG779/$AF779</f>
        <v>97.29795918</v>
      </c>
      <c r="AQ779" s="9">
        <f t="shared" si="2435"/>
        <v>45.42244898</v>
      </c>
      <c r="AR779" s="9">
        <f t="shared" si="2435"/>
        <v>33.08571429</v>
      </c>
      <c r="AS779" s="9">
        <f t="shared" si="2233"/>
        <v>78.50816327</v>
      </c>
      <c r="AT779" s="9">
        <f t="shared" ref="AT779:AV779" si="2436">AJ779/$AF779</f>
        <v>14.27142857</v>
      </c>
      <c r="AU779" s="9">
        <f t="shared" si="2436"/>
        <v>4.518367347</v>
      </c>
      <c r="AV779" s="9">
        <f t="shared" si="2436"/>
        <v>1.265306122</v>
      </c>
      <c r="AW779" s="9">
        <f t="shared" si="2235"/>
        <v>5.783673469</v>
      </c>
      <c r="AX779" s="9">
        <f t="shared" ref="AX779:AY779" si="2437">AM779/$AF779</f>
        <v>0.2653061224</v>
      </c>
      <c r="AY779" s="9">
        <f t="shared" si="2437"/>
        <v>0.5</v>
      </c>
      <c r="AZ779" s="9">
        <f>VLOOKUP(A779,Jogos!A:BN,58,0)</f>
        <v>28.8</v>
      </c>
      <c r="BA779" s="9">
        <f>VLOOKUP(A779,Jogos!A:BN,59,0)</f>
        <v>17.995</v>
      </c>
      <c r="BB779" s="9">
        <f>VLOOKUP(A779,Jogos!A:BN,60,0)</f>
        <v>51.5</v>
      </c>
      <c r="BC779" s="9">
        <f>VLOOKUP(A779,Jogos!A:BN,61,0)</f>
        <v>28.43</v>
      </c>
      <c r="BD779" s="9">
        <f>VLOOKUP(A779,Jogos!A:BN,62,0)</f>
        <v>121.3</v>
      </c>
      <c r="BE779" s="9">
        <f>VLOOKUP(A779,Jogos!A:BN,63,0)</f>
        <v>1.79</v>
      </c>
      <c r="BF779" s="9">
        <f>VLOOKUP(A779,Jogos!A:BN,64,0)</f>
        <v>23.185</v>
      </c>
      <c r="BG779" s="9">
        <f>VLOOKUP(A779,Jogos!A:BN,65,0)</f>
        <v>42.105</v>
      </c>
      <c r="BH779" s="9">
        <f>VLOOKUP(A779,Jogos!A:BN,66,0)</f>
        <v>27.535</v>
      </c>
      <c r="BI779" s="9"/>
      <c r="BJ779" s="9"/>
    </row>
    <row r="780" hidden="1">
      <c r="A780" s="2">
        <v>27.0</v>
      </c>
      <c r="B780" s="11" t="s">
        <v>562</v>
      </c>
      <c r="C780" s="2" t="s">
        <v>61</v>
      </c>
      <c r="D780" s="3">
        <v>45829.0</v>
      </c>
      <c r="E780" s="4">
        <v>0.75</v>
      </c>
      <c r="F780" s="5" t="str">
        <f>VLOOKUP(A780,Jogos!A:N,10,0)</f>
        <v>Evening</v>
      </c>
      <c r="G780" s="2" t="s">
        <v>249</v>
      </c>
      <c r="H780" s="6" t="str">
        <f>VLOOKUP(A780,Jogos!A:L,12,0)</f>
        <v>Open</v>
      </c>
      <c r="I780" s="6" t="str">
        <f>VLOOKUP(G780,'Estádios e Cidades'!A:B,2,0)</f>
        <v>East Rutherford</v>
      </c>
      <c r="J780" s="2" t="s">
        <v>563</v>
      </c>
      <c r="K780" s="2" t="str">
        <f>VLOOKUP(J780,Equipes!A:F,6,0)</f>
        <v>Tropical</v>
      </c>
      <c r="L780" s="2">
        <f>VLOOKUP(J780,Equipes!A:C,3,0)</f>
        <v>4</v>
      </c>
      <c r="M780" s="2" t="str">
        <f t="shared" si="4"/>
        <v>Semi-final</v>
      </c>
      <c r="N780" s="2" t="s">
        <v>687</v>
      </c>
      <c r="O780" s="2">
        <f>VLOOKUP(N780,Equipes!A:C,3,0)</f>
        <v>28</v>
      </c>
      <c r="P780" s="2" t="str">
        <f t="shared" si="5"/>
        <v>Group</v>
      </c>
      <c r="Q780" s="2">
        <f t="shared" si="6"/>
        <v>-24</v>
      </c>
      <c r="R780" s="2" t="str">
        <f>VLOOKUP(J780,Equipes!A:B,2,0)</f>
        <v>Fluminense</v>
      </c>
      <c r="S780" s="6" t="s">
        <v>1166</v>
      </c>
      <c r="T780" s="7">
        <v>12.0</v>
      </c>
      <c r="U780" s="7" t="s">
        <v>1167</v>
      </c>
      <c r="V780" s="7" t="str">
        <f>VLOOKUP(U780,Jogadores!B:C,2,0)</f>
        <v>DF</v>
      </c>
      <c r="W780" s="8">
        <f>VLOOKUP(U780,Jogadores!B:D,3,0)</f>
        <v>28.48219178</v>
      </c>
      <c r="X780" s="7">
        <v>0.0</v>
      </c>
      <c r="Y780" s="7">
        <f>45+AB780</f>
        <v>97</v>
      </c>
      <c r="Z780" s="7">
        <f>VLOOKUP(A780,Jogos!A:L,3,0)</f>
        <v>49</v>
      </c>
      <c r="AA780" s="7">
        <f t="shared" si="2229"/>
        <v>49</v>
      </c>
      <c r="AB780" s="7">
        <f>VLOOKUP(A780,Jogos!A:L,4,0)</f>
        <v>52</v>
      </c>
      <c r="AC780" s="7">
        <f t="shared" si="2230"/>
        <v>52</v>
      </c>
      <c r="AD780" s="7"/>
      <c r="AE780" s="7"/>
      <c r="AF780" s="7">
        <f t="shared" si="2231"/>
        <v>101</v>
      </c>
      <c r="AG780" s="7">
        <v>10885.3</v>
      </c>
      <c r="AH780" s="7">
        <v>4270.9</v>
      </c>
      <c r="AI780" s="7">
        <v>4359.2</v>
      </c>
      <c r="AJ780" s="7">
        <v>1318.2</v>
      </c>
      <c r="AK780" s="7">
        <v>520.3</v>
      </c>
      <c r="AL780" s="7">
        <v>416.6</v>
      </c>
      <c r="AM780" s="7">
        <v>111.0</v>
      </c>
      <c r="AN780" s="7">
        <v>49.0</v>
      </c>
      <c r="AO780" s="7">
        <v>31.4</v>
      </c>
      <c r="AP780" s="9">
        <f t="shared" ref="AP780:AR780" si="2438">AG780/$AF780</f>
        <v>107.7752475</v>
      </c>
      <c r="AQ780" s="9">
        <f t="shared" si="2438"/>
        <v>42.28613861</v>
      </c>
      <c r="AR780" s="9">
        <f t="shared" si="2438"/>
        <v>43.16039604</v>
      </c>
      <c r="AS780" s="9">
        <f t="shared" si="2233"/>
        <v>85.44653465</v>
      </c>
      <c r="AT780" s="9">
        <f t="shared" ref="AT780:AV780" si="2439">AJ780/$AF780</f>
        <v>13.05148515</v>
      </c>
      <c r="AU780" s="9">
        <f t="shared" si="2439"/>
        <v>5.151485149</v>
      </c>
      <c r="AV780" s="9">
        <f t="shared" si="2439"/>
        <v>4.124752475</v>
      </c>
      <c r="AW780" s="9">
        <f t="shared" si="2235"/>
        <v>9.276237624</v>
      </c>
      <c r="AX780" s="9">
        <f t="shared" ref="AX780:AY780" si="2440">AM780/$AF780</f>
        <v>1.099009901</v>
      </c>
      <c r="AY780" s="9">
        <f t="shared" si="2440"/>
        <v>0.4851485149</v>
      </c>
      <c r="AZ780" s="9">
        <f>VLOOKUP(A780,Jogos!A:BN,58,0)</f>
        <v>28.8</v>
      </c>
      <c r="BA780" s="9">
        <f>VLOOKUP(A780,Jogos!A:BN,59,0)</f>
        <v>17.995</v>
      </c>
      <c r="BB780" s="9">
        <f>VLOOKUP(A780,Jogos!A:BN,60,0)</f>
        <v>51.5</v>
      </c>
      <c r="BC780" s="9">
        <f>VLOOKUP(A780,Jogos!A:BN,61,0)</f>
        <v>28.43</v>
      </c>
      <c r="BD780" s="9">
        <f>VLOOKUP(A780,Jogos!A:BN,62,0)</f>
        <v>121.3</v>
      </c>
      <c r="BE780" s="9">
        <f>VLOOKUP(A780,Jogos!A:BN,63,0)</f>
        <v>1.79</v>
      </c>
      <c r="BF780" s="9">
        <f>VLOOKUP(A780,Jogos!A:BN,64,0)</f>
        <v>23.185</v>
      </c>
      <c r="BG780" s="9">
        <f>VLOOKUP(A780,Jogos!A:BN,65,0)</f>
        <v>42.105</v>
      </c>
      <c r="BH780" s="9">
        <f>VLOOKUP(A780,Jogos!A:BN,66,0)</f>
        <v>27.535</v>
      </c>
      <c r="BI780" s="9"/>
      <c r="BJ780" s="9"/>
    </row>
    <row r="781" hidden="1">
      <c r="A781" s="2">
        <v>27.0</v>
      </c>
      <c r="B781" s="11" t="s">
        <v>562</v>
      </c>
      <c r="C781" s="2" t="s">
        <v>61</v>
      </c>
      <c r="D781" s="3">
        <v>45829.0</v>
      </c>
      <c r="E781" s="4">
        <v>0.75</v>
      </c>
      <c r="F781" s="5" t="str">
        <f>VLOOKUP(A781,Jogos!A:N,10,0)</f>
        <v>Evening</v>
      </c>
      <c r="G781" s="2" t="s">
        <v>249</v>
      </c>
      <c r="H781" s="6" t="str">
        <f>VLOOKUP(A781,Jogos!A:L,12,0)</f>
        <v>Open</v>
      </c>
      <c r="I781" s="6" t="str">
        <f>VLOOKUP(G781,'Estádios e Cidades'!A:B,2,0)</f>
        <v>East Rutherford</v>
      </c>
      <c r="J781" s="2" t="s">
        <v>563</v>
      </c>
      <c r="K781" s="2" t="str">
        <f>VLOOKUP(J781,Equipes!A:F,6,0)</f>
        <v>Tropical</v>
      </c>
      <c r="L781" s="2">
        <f>VLOOKUP(J781,Equipes!A:C,3,0)</f>
        <v>4</v>
      </c>
      <c r="M781" s="2" t="str">
        <f t="shared" si="4"/>
        <v>Semi-final</v>
      </c>
      <c r="N781" s="2" t="s">
        <v>687</v>
      </c>
      <c r="O781" s="2">
        <f>VLOOKUP(N781,Equipes!A:C,3,0)</f>
        <v>28</v>
      </c>
      <c r="P781" s="2" t="str">
        <f t="shared" si="5"/>
        <v>Group</v>
      </c>
      <c r="Q781" s="2">
        <f t="shared" si="6"/>
        <v>-24</v>
      </c>
      <c r="R781" s="2" t="str">
        <f>VLOOKUP(J781,Equipes!A:B,2,0)</f>
        <v>Fluminense</v>
      </c>
      <c r="S781" s="6" t="s">
        <v>585</v>
      </c>
      <c r="T781" s="7">
        <v>14.0</v>
      </c>
      <c r="U781" s="7" t="s">
        <v>586</v>
      </c>
      <c r="V781" s="7" t="str">
        <f>VLOOKUP(U781,Jogadores!B:C,2,0)</f>
        <v>FW</v>
      </c>
      <c r="W781" s="8">
        <f>VLOOKUP(U781,Jogadores!B:D,3,0)</f>
        <v>37.50958904</v>
      </c>
      <c r="X781" s="7">
        <v>0.0</v>
      </c>
      <c r="Y781" s="7">
        <v>86.0</v>
      </c>
      <c r="Z781" s="7">
        <f>VLOOKUP(A781,Jogos!A:L,3,0)</f>
        <v>49</v>
      </c>
      <c r="AA781" s="7">
        <f t="shared" si="2229"/>
        <v>49</v>
      </c>
      <c r="AB781" s="7">
        <f>VLOOKUP(A781,Jogos!A:L,4,0)</f>
        <v>52</v>
      </c>
      <c r="AC781" s="7">
        <f t="shared" si="2230"/>
        <v>41</v>
      </c>
      <c r="AD781" s="7"/>
      <c r="AE781" s="7"/>
      <c r="AF781" s="7">
        <f t="shared" si="2231"/>
        <v>90</v>
      </c>
      <c r="AG781" s="7">
        <v>7885.1</v>
      </c>
      <c r="AH781" s="7">
        <v>4294.7</v>
      </c>
      <c r="AI781" s="7">
        <v>2402.0</v>
      </c>
      <c r="AJ781" s="7">
        <v>867.4</v>
      </c>
      <c r="AK781" s="7">
        <v>310.9</v>
      </c>
      <c r="AL781" s="7">
        <v>10.2</v>
      </c>
      <c r="AM781" s="7">
        <v>71.0</v>
      </c>
      <c r="AN781" s="7">
        <v>22.0</v>
      </c>
      <c r="AO781" s="7">
        <v>26.1</v>
      </c>
      <c r="AP781" s="9">
        <f t="shared" ref="AP781:AR781" si="2441">AG781/$AF781</f>
        <v>87.61222222</v>
      </c>
      <c r="AQ781" s="9">
        <f t="shared" si="2441"/>
        <v>47.71888889</v>
      </c>
      <c r="AR781" s="9">
        <f t="shared" si="2441"/>
        <v>26.68888889</v>
      </c>
      <c r="AS781" s="9">
        <f t="shared" si="2233"/>
        <v>74.40777778</v>
      </c>
      <c r="AT781" s="9">
        <f t="shared" ref="AT781:AV781" si="2442">AJ781/$AF781</f>
        <v>9.637777778</v>
      </c>
      <c r="AU781" s="9">
        <f t="shared" si="2442"/>
        <v>3.454444444</v>
      </c>
      <c r="AV781" s="9">
        <f t="shared" si="2442"/>
        <v>0.1133333333</v>
      </c>
      <c r="AW781" s="9">
        <f t="shared" si="2235"/>
        <v>3.567777778</v>
      </c>
      <c r="AX781" s="9">
        <f t="shared" ref="AX781:AY781" si="2443">AM781/$AF781</f>
        <v>0.7888888889</v>
      </c>
      <c r="AY781" s="9">
        <f t="shared" si="2443"/>
        <v>0.2444444444</v>
      </c>
      <c r="AZ781" s="9">
        <f>VLOOKUP(A781,Jogos!A:BN,58,0)</f>
        <v>28.8</v>
      </c>
      <c r="BA781" s="9">
        <f>VLOOKUP(A781,Jogos!A:BN,59,0)</f>
        <v>17.995</v>
      </c>
      <c r="BB781" s="9">
        <f>VLOOKUP(A781,Jogos!A:BN,60,0)</f>
        <v>51.5</v>
      </c>
      <c r="BC781" s="9">
        <f>VLOOKUP(A781,Jogos!A:BN,61,0)</f>
        <v>28.43</v>
      </c>
      <c r="BD781" s="9">
        <f>VLOOKUP(A781,Jogos!A:BN,62,0)</f>
        <v>121.3</v>
      </c>
      <c r="BE781" s="9">
        <f>VLOOKUP(A781,Jogos!A:BN,63,0)</f>
        <v>1.79</v>
      </c>
      <c r="BF781" s="9">
        <f>VLOOKUP(A781,Jogos!A:BN,64,0)</f>
        <v>23.185</v>
      </c>
      <c r="BG781" s="9">
        <f>VLOOKUP(A781,Jogos!A:BN,65,0)</f>
        <v>42.105</v>
      </c>
      <c r="BH781" s="9">
        <f>VLOOKUP(A781,Jogos!A:BN,66,0)</f>
        <v>27.535</v>
      </c>
      <c r="BI781" s="9"/>
      <c r="BJ781" s="9"/>
    </row>
    <row r="782" hidden="1">
      <c r="A782" s="2">
        <v>27.0</v>
      </c>
      <c r="B782" s="11" t="s">
        <v>562</v>
      </c>
      <c r="C782" s="2" t="s">
        <v>61</v>
      </c>
      <c r="D782" s="3">
        <v>45829.0</v>
      </c>
      <c r="E782" s="4">
        <v>0.75</v>
      </c>
      <c r="F782" s="5" t="str">
        <f>VLOOKUP(A782,Jogos!A:N,10,0)</f>
        <v>Evening</v>
      </c>
      <c r="G782" s="2" t="s">
        <v>249</v>
      </c>
      <c r="H782" s="6" t="str">
        <f>VLOOKUP(A782,Jogos!A:L,12,0)</f>
        <v>Open</v>
      </c>
      <c r="I782" s="6" t="str">
        <f>VLOOKUP(G782,'Estádios e Cidades'!A:B,2,0)</f>
        <v>East Rutherford</v>
      </c>
      <c r="J782" s="2" t="s">
        <v>563</v>
      </c>
      <c r="K782" s="2" t="str">
        <f>VLOOKUP(J782,Equipes!A:F,6,0)</f>
        <v>Tropical</v>
      </c>
      <c r="L782" s="2">
        <f>VLOOKUP(J782,Equipes!A:C,3,0)</f>
        <v>4</v>
      </c>
      <c r="M782" s="2" t="str">
        <f t="shared" si="4"/>
        <v>Semi-final</v>
      </c>
      <c r="N782" s="2" t="s">
        <v>687</v>
      </c>
      <c r="O782" s="2">
        <f>VLOOKUP(N782,Equipes!A:C,3,0)</f>
        <v>28</v>
      </c>
      <c r="P782" s="2" t="str">
        <f t="shared" si="5"/>
        <v>Group</v>
      </c>
      <c r="Q782" s="2">
        <f t="shared" si="6"/>
        <v>-24</v>
      </c>
      <c r="R782" s="2" t="str">
        <f>VLOOKUP(J782,Equipes!A:B,2,0)</f>
        <v>Fluminense</v>
      </c>
      <c r="S782" s="6" t="s">
        <v>579</v>
      </c>
      <c r="T782" s="7">
        <v>21.0</v>
      </c>
      <c r="U782" s="7" t="s">
        <v>580</v>
      </c>
      <c r="V782" s="7" t="str">
        <f>VLOOKUP(U782,Jogadores!B:C,2,0)</f>
        <v>FW</v>
      </c>
      <c r="W782" s="8">
        <f>VLOOKUP(U782,Jogadores!B:D,3,0)</f>
        <v>27.86849315</v>
      </c>
      <c r="X782" s="7">
        <v>0.0</v>
      </c>
      <c r="Y782" s="7">
        <f t="shared" ref="Y782:Y783" si="2447">45+AB782</f>
        <v>97</v>
      </c>
      <c r="Z782" s="7">
        <f>VLOOKUP(A782,Jogos!A:L,3,0)</f>
        <v>49</v>
      </c>
      <c r="AA782" s="7">
        <f t="shared" si="2229"/>
        <v>49</v>
      </c>
      <c r="AB782" s="7">
        <f>VLOOKUP(A782,Jogos!A:L,4,0)</f>
        <v>52</v>
      </c>
      <c r="AC782" s="7">
        <f t="shared" si="2230"/>
        <v>52</v>
      </c>
      <c r="AD782" s="7"/>
      <c r="AE782" s="7"/>
      <c r="AF782" s="7">
        <f t="shared" si="2231"/>
        <v>101</v>
      </c>
      <c r="AG782" s="7">
        <v>9811.2</v>
      </c>
      <c r="AH782" s="7">
        <v>4469.3</v>
      </c>
      <c r="AI782" s="7">
        <v>3520.8</v>
      </c>
      <c r="AJ782" s="7">
        <v>1060.8</v>
      </c>
      <c r="AK782" s="7">
        <v>605.0</v>
      </c>
      <c r="AL782" s="7">
        <v>155.4</v>
      </c>
      <c r="AM782" s="7">
        <v>92.0</v>
      </c>
      <c r="AN782" s="7">
        <v>43.0</v>
      </c>
      <c r="AO782" s="7">
        <v>30.0</v>
      </c>
      <c r="AP782" s="9">
        <f t="shared" ref="AP782:AR782" si="2444">AG782/$AF782</f>
        <v>97.14059406</v>
      </c>
      <c r="AQ782" s="9">
        <f t="shared" si="2444"/>
        <v>44.25049505</v>
      </c>
      <c r="AR782" s="9">
        <f t="shared" si="2444"/>
        <v>34.85940594</v>
      </c>
      <c r="AS782" s="9">
        <f t="shared" si="2233"/>
        <v>79.10990099</v>
      </c>
      <c r="AT782" s="9">
        <f t="shared" ref="AT782:AV782" si="2445">AJ782/$AF782</f>
        <v>10.5029703</v>
      </c>
      <c r="AU782" s="9">
        <f t="shared" si="2445"/>
        <v>5.99009901</v>
      </c>
      <c r="AV782" s="9">
        <f t="shared" si="2445"/>
        <v>1.538613861</v>
      </c>
      <c r="AW782" s="9">
        <f t="shared" si="2235"/>
        <v>7.528712871</v>
      </c>
      <c r="AX782" s="9">
        <f t="shared" ref="AX782:AY782" si="2446">AM782/$AF782</f>
        <v>0.9108910891</v>
      </c>
      <c r="AY782" s="9">
        <f t="shared" si="2446"/>
        <v>0.4257425743</v>
      </c>
      <c r="AZ782" s="9">
        <f>VLOOKUP(A782,Jogos!A:BN,58,0)</f>
        <v>28.8</v>
      </c>
      <c r="BA782" s="9">
        <f>VLOOKUP(A782,Jogos!A:BN,59,0)</f>
        <v>17.995</v>
      </c>
      <c r="BB782" s="9">
        <f>VLOOKUP(A782,Jogos!A:BN,60,0)</f>
        <v>51.5</v>
      </c>
      <c r="BC782" s="9">
        <f>VLOOKUP(A782,Jogos!A:BN,61,0)</f>
        <v>28.43</v>
      </c>
      <c r="BD782" s="9">
        <f>VLOOKUP(A782,Jogos!A:BN,62,0)</f>
        <v>121.3</v>
      </c>
      <c r="BE782" s="9">
        <f>VLOOKUP(A782,Jogos!A:BN,63,0)</f>
        <v>1.79</v>
      </c>
      <c r="BF782" s="9">
        <f>VLOOKUP(A782,Jogos!A:BN,64,0)</f>
        <v>23.185</v>
      </c>
      <c r="BG782" s="9">
        <f>VLOOKUP(A782,Jogos!A:BN,65,0)</f>
        <v>42.105</v>
      </c>
      <c r="BH782" s="9">
        <f>VLOOKUP(A782,Jogos!A:BN,66,0)</f>
        <v>27.535</v>
      </c>
      <c r="BI782" s="9"/>
      <c r="BJ782" s="9"/>
    </row>
    <row r="783" hidden="1">
      <c r="A783" s="2">
        <v>27.0</v>
      </c>
      <c r="B783" s="11" t="s">
        <v>562</v>
      </c>
      <c r="C783" s="2" t="s">
        <v>61</v>
      </c>
      <c r="D783" s="3">
        <v>45829.0</v>
      </c>
      <c r="E783" s="4">
        <v>0.75</v>
      </c>
      <c r="F783" s="5" t="str">
        <f>VLOOKUP(A783,Jogos!A:N,10,0)</f>
        <v>Evening</v>
      </c>
      <c r="G783" s="2" t="s">
        <v>249</v>
      </c>
      <c r="H783" s="6" t="str">
        <f>VLOOKUP(A783,Jogos!A:L,12,0)</f>
        <v>Open</v>
      </c>
      <c r="I783" s="6" t="str">
        <f>VLOOKUP(G783,'Estádios e Cidades'!A:B,2,0)</f>
        <v>East Rutherford</v>
      </c>
      <c r="J783" s="2" t="s">
        <v>563</v>
      </c>
      <c r="K783" s="2" t="str">
        <f>VLOOKUP(J783,Equipes!A:F,6,0)</f>
        <v>Tropical</v>
      </c>
      <c r="L783" s="2">
        <f>VLOOKUP(J783,Equipes!A:C,3,0)</f>
        <v>4</v>
      </c>
      <c r="M783" s="2" t="str">
        <f t="shared" si="4"/>
        <v>Semi-final</v>
      </c>
      <c r="N783" s="2" t="s">
        <v>687</v>
      </c>
      <c r="O783" s="2">
        <f>VLOOKUP(N783,Equipes!A:C,3,0)</f>
        <v>28</v>
      </c>
      <c r="P783" s="2" t="str">
        <f t="shared" si="5"/>
        <v>Group</v>
      </c>
      <c r="Q783" s="2">
        <f t="shared" si="6"/>
        <v>-24</v>
      </c>
      <c r="R783" s="2" t="str">
        <f>VLOOKUP(J783,Equipes!A:B,2,0)</f>
        <v>Fluminense</v>
      </c>
      <c r="S783" s="6" t="s">
        <v>581</v>
      </c>
      <c r="T783" s="7">
        <v>22.0</v>
      </c>
      <c r="U783" s="7" t="s">
        <v>582</v>
      </c>
      <c r="V783" s="7" t="str">
        <f>VLOOKUP(U783,Jogadores!B:C,2,0)</f>
        <v>DF</v>
      </c>
      <c r="W783" s="8">
        <f>VLOOKUP(U783,Jogadores!B:D,3,0)</f>
        <v>25.56164384</v>
      </c>
      <c r="X783" s="7">
        <v>0.0</v>
      </c>
      <c r="Y783" s="7">
        <f t="shared" si="2447"/>
        <v>97</v>
      </c>
      <c r="Z783" s="7">
        <f>VLOOKUP(A783,Jogos!A:L,3,0)</f>
        <v>49</v>
      </c>
      <c r="AA783" s="7">
        <f t="shared" si="2229"/>
        <v>49</v>
      </c>
      <c r="AB783" s="7">
        <f>VLOOKUP(A783,Jogos!A:L,4,0)</f>
        <v>52</v>
      </c>
      <c r="AC783" s="7">
        <f t="shared" si="2230"/>
        <v>52</v>
      </c>
      <c r="AD783" s="7"/>
      <c r="AE783" s="7"/>
      <c r="AF783" s="7">
        <f t="shared" si="2231"/>
        <v>101</v>
      </c>
      <c r="AG783" s="7">
        <v>10186.3</v>
      </c>
      <c r="AH783" s="7">
        <v>3867.9</v>
      </c>
      <c r="AI783" s="7">
        <v>4489.0</v>
      </c>
      <c r="AJ783" s="7">
        <v>1183.8</v>
      </c>
      <c r="AK783" s="7">
        <v>451.1</v>
      </c>
      <c r="AL783" s="7">
        <v>194.6</v>
      </c>
      <c r="AM783" s="7">
        <v>103.0</v>
      </c>
      <c r="AN783" s="7">
        <v>35.0</v>
      </c>
      <c r="AO783" s="7">
        <v>34.1</v>
      </c>
      <c r="AP783" s="9">
        <f t="shared" ref="AP783:AR783" si="2448">AG783/$AF783</f>
        <v>100.8544554</v>
      </c>
      <c r="AQ783" s="9">
        <f t="shared" si="2448"/>
        <v>38.2960396</v>
      </c>
      <c r="AR783" s="9">
        <f t="shared" si="2448"/>
        <v>44.44554455</v>
      </c>
      <c r="AS783" s="9">
        <f t="shared" si="2233"/>
        <v>82.74158416</v>
      </c>
      <c r="AT783" s="9">
        <f t="shared" ref="AT783:AV783" si="2449">AJ783/$AF783</f>
        <v>11.72079208</v>
      </c>
      <c r="AU783" s="9">
        <f t="shared" si="2449"/>
        <v>4.466336634</v>
      </c>
      <c r="AV783" s="9">
        <f t="shared" si="2449"/>
        <v>1.926732673</v>
      </c>
      <c r="AW783" s="9">
        <f t="shared" si="2235"/>
        <v>6.393069307</v>
      </c>
      <c r="AX783" s="9">
        <f t="shared" ref="AX783:AY783" si="2450">AM783/$AF783</f>
        <v>1.01980198</v>
      </c>
      <c r="AY783" s="9">
        <f t="shared" si="2450"/>
        <v>0.3465346535</v>
      </c>
      <c r="AZ783" s="9">
        <f>VLOOKUP(A783,Jogos!A:BN,58,0)</f>
        <v>28.8</v>
      </c>
      <c r="BA783" s="9">
        <f>VLOOKUP(A783,Jogos!A:BN,59,0)</f>
        <v>17.995</v>
      </c>
      <c r="BB783" s="9">
        <f>VLOOKUP(A783,Jogos!A:BN,60,0)</f>
        <v>51.5</v>
      </c>
      <c r="BC783" s="9">
        <f>VLOOKUP(A783,Jogos!A:BN,61,0)</f>
        <v>28.43</v>
      </c>
      <c r="BD783" s="9">
        <f>VLOOKUP(A783,Jogos!A:BN,62,0)</f>
        <v>121.3</v>
      </c>
      <c r="BE783" s="9">
        <f>VLOOKUP(A783,Jogos!A:BN,63,0)</f>
        <v>1.79</v>
      </c>
      <c r="BF783" s="9">
        <f>VLOOKUP(A783,Jogos!A:BN,64,0)</f>
        <v>23.185</v>
      </c>
      <c r="BG783" s="9">
        <f>VLOOKUP(A783,Jogos!A:BN,65,0)</f>
        <v>42.105</v>
      </c>
      <c r="BH783" s="9">
        <f>VLOOKUP(A783,Jogos!A:BN,66,0)</f>
        <v>27.535</v>
      </c>
      <c r="BI783" s="9"/>
      <c r="BJ783" s="9"/>
    </row>
    <row r="784" hidden="1">
      <c r="A784" s="2">
        <v>27.0</v>
      </c>
      <c r="B784" s="11" t="s">
        <v>562</v>
      </c>
      <c r="C784" s="2" t="s">
        <v>61</v>
      </c>
      <c r="D784" s="3">
        <v>45829.0</v>
      </c>
      <c r="E784" s="4">
        <v>0.75</v>
      </c>
      <c r="F784" s="5" t="str">
        <f>VLOOKUP(A784,Jogos!A:N,10,0)</f>
        <v>Evening</v>
      </c>
      <c r="G784" s="2" t="s">
        <v>249</v>
      </c>
      <c r="H784" s="6" t="str">
        <f>VLOOKUP(A784,Jogos!A:L,12,0)</f>
        <v>Open</v>
      </c>
      <c r="I784" s="6" t="str">
        <f>VLOOKUP(G784,'Estádios e Cidades'!A:B,2,0)</f>
        <v>East Rutherford</v>
      </c>
      <c r="J784" s="2" t="s">
        <v>563</v>
      </c>
      <c r="K784" s="2" t="str">
        <f>VLOOKUP(J784,Equipes!A:F,6,0)</f>
        <v>Tropical</v>
      </c>
      <c r="L784" s="2">
        <f>VLOOKUP(J784,Equipes!A:C,3,0)</f>
        <v>4</v>
      </c>
      <c r="M784" s="2" t="str">
        <f t="shared" si="4"/>
        <v>Semi-final</v>
      </c>
      <c r="N784" s="2" t="s">
        <v>687</v>
      </c>
      <c r="O784" s="2">
        <f>VLOOKUP(N784,Equipes!A:C,3,0)</f>
        <v>28</v>
      </c>
      <c r="P784" s="2" t="str">
        <f t="shared" si="5"/>
        <v>Group</v>
      </c>
      <c r="Q784" s="2">
        <f t="shared" si="6"/>
        <v>-24</v>
      </c>
      <c r="R784" s="2" t="str">
        <f>VLOOKUP(J784,Equipes!A:B,2,0)</f>
        <v>Fluminense</v>
      </c>
      <c r="S784" s="6" t="s">
        <v>1168</v>
      </c>
      <c r="T784" s="7">
        <v>23.0</v>
      </c>
      <c r="U784" s="7" t="s">
        <v>1169</v>
      </c>
      <c r="V784" s="7" t="str">
        <f>VLOOKUP(U784,Jogadores!B:C,2,0)</f>
        <v>DF</v>
      </c>
      <c r="W784" s="8">
        <f>VLOOKUP(U784,Jogadores!B:D,3,0)</f>
        <v>26.93150685</v>
      </c>
      <c r="X784" s="7">
        <v>0.0</v>
      </c>
      <c r="Y784" s="7">
        <v>86.0</v>
      </c>
      <c r="Z784" s="7">
        <f>VLOOKUP(A784,Jogos!A:L,3,0)</f>
        <v>49</v>
      </c>
      <c r="AA784" s="7">
        <f t="shared" si="2229"/>
        <v>49</v>
      </c>
      <c r="AB784" s="7">
        <f>VLOOKUP(A784,Jogos!A:L,4,0)</f>
        <v>52</v>
      </c>
      <c r="AC784" s="7">
        <f t="shared" si="2230"/>
        <v>41</v>
      </c>
      <c r="AD784" s="7"/>
      <c r="AE784" s="7"/>
      <c r="AF784" s="7">
        <f t="shared" si="2231"/>
        <v>90</v>
      </c>
      <c r="AG784" s="7">
        <v>9605.4</v>
      </c>
      <c r="AH784" s="7">
        <v>3246.6</v>
      </c>
      <c r="AI784" s="7">
        <v>4478.6</v>
      </c>
      <c r="AJ784" s="7">
        <v>1277.4</v>
      </c>
      <c r="AK784" s="7">
        <v>450.9</v>
      </c>
      <c r="AL784" s="7">
        <v>152.0</v>
      </c>
      <c r="AM784" s="7">
        <v>114.0</v>
      </c>
      <c r="AN784" s="7">
        <v>39.0</v>
      </c>
      <c r="AO784" s="7">
        <v>30.2</v>
      </c>
      <c r="AP784" s="9">
        <f t="shared" ref="AP784:AR784" si="2451">AG784/$AF784</f>
        <v>106.7266667</v>
      </c>
      <c r="AQ784" s="9">
        <f t="shared" si="2451"/>
        <v>36.07333333</v>
      </c>
      <c r="AR784" s="9">
        <f t="shared" si="2451"/>
        <v>49.76222222</v>
      </c>
      <c r="AS784" s="9">
        <f t="shared" si="2233"/>
        <v>85.83555556</v>
      </c>
      <c r="AT784" s="9">
        <f t="shared" ref="AT784:AV784" si="2452">AJ784/$AF784</f>
        <v>14.19333333</v>
      </c>
      <c r="AU784" s="9">
        <f t="shared" si="2452"/>
        <v>5.01</v>
      </c>
      <c r="AV784" s="9">
        <f t="shared" si="2452"/>
        <v>1.688888889</v>
      </c>
      <c r="AW784" s="9">
        <f t="shared" si="2235"/>
        <v>6.698888889</v>
      </c>
      <c r="AX784" s="9">
        <f t="shared" ref="AX784:AY784" si="2453">AM784/$AF784</f>
        <v>1.266666667</v>
      </c>
      <c r="AY784" s="9">
        <f t="shared" si="2453"/>
        <v>0.4333333333</v>
      </c>
      <c r="AZ784" s="9">
        <f>VLOOKUP(A784,Jogos!A:BN,58,0)</f>
        <v>28.8</v>
      </c>
      <c r="BA784" s="9">
        <f>VLOOKUP(A784,Jogos!A:BN,59,0)</f>
        <v>17.995</v>
      </c>
      <c r="BB784" s="9">
        <f>VLOOKUP(A784,Jogos!A:BN,60,0)</f>
        <v>51.5</v>
      </c>
      <c r="BC784" s="9">
        <f>VLOOKUP(A784,Jogos!A:BN,61,0)</f>
        <v>28.43</v>
      </c>
      <c r="BD784" s="9">
        <f>VLOOKUP(A784,Jogos!A:BN,62,0)</f>
        <v>121.3</v>
      </c>
      <c r="BE784" s="9">
        <f>VLOOKUP(A784,Jogos!A:BN,63,0)</f>
        <v>1.79</v>
      </c>
      <c r="BF784" s="9">
        <f>VLOOKUP(A784,Jogos!A:BN,64,0)</f>
        <v>23.185</v>
      </c>
      <c r="BG784" s="9">
        <f>VLOOKUP(A784,Jogos!A:BN,65,0)</f>
        <v>42.105</v>
      </c>
      <c r="BH784" s="9">
        <f>VLOOKUP(A784,Jogos!A:BN,66,0)</f>
        <v>27.535</v>
      </c>
      <c r="BI784" s="9"/>
      <c r="BJ784" s="9"/>
    </row>
    <row r="785" hidden="1">
      <c r="A785" s="2">
        <v>27.0</v>
      </c>
      <c r="B785" s="11" t="s">
        <v>562</v>
      </c>
      <c r="C785" s="2" t="s">
        <v>61</v>
      </c>
      <c r="D785" s="3">
        <v>45829.0</v>
      </c>
      <c r="E785" s="4">
        <v>0.75</v>
      </c>
      <c r="F785" s="5" t="str">
        <f>VLOOKUP(A785,Jogos!A:N,10,0)</f>
        <v>Evening</v>
      </c>
      <c r="G785" s="2" t="s">
        <v>249</v>
      </c>
      <c r="H785" s="6" t="str">
        <f>VLOOKUP(A785,Jogos!A:L,12,0)</f>
        <v>Open</v>
      </c>
      <c r="I785" s="6" t="str">
        <f>VLOOKUP(G785,'Estádios e Cidades'!A:B,2,0)</f>
        <v>East Rutherford</v>
      </c>
      <c r="J785" s="2" t="s">
        <v>563</v>
      </c>
      <c r="K785" s="2" t="str">
        <f>VLOOKUP(J785,Equipes!A:F,6,0)</f>
        <v>Tropical</v>
      </c>
      <c r="L785" s="2">
        <f>VLOOKUP(J785,Equipes!A:C,3,0)</f>
        <v>4</v>
      </c>
      <c r="M785" s="2" t="str">
        <f t="shared" si="4"/>
        <v>Semi-final</v>
      </c>
      <c r="N785" s="2" t="s">
        <v>687</v>
      </c>
      <c r="O785" s="2">
        <f>VLOOKUP(N785,Equipes!A:C,3,0)</f>
        <v>28</v>
      </c>
      <c r="P785" s="2" t="str">
        <f t="shared" si="5"/>
        <v>Group</v>
      </c>
      <c r="Q785" s="2">
        <f t="shared" si="6"/>
        <v>-24</v>
      </c>
      <c r="R785" s="2" t="str">
        <f>VLOOKUP(J785,Equipes!A:B,2,0)</f>
        <v>Fluminense</v>
      </c>
      <c r="S785" s="6" t="s">
        <v>583</v>
      </c>
      <c r="T785" s="7">
        <v>35.0</v>
      </c>
      <c r="U785" s="7" t="s">
        <v>584</v>
      </c>
      <c r="V785" s="7" t="str">
        <f>VLOOKUP(U785,Jogadores!B:C,2,0)</f>
        <v>MF</v>
      </c>
      <c r="W785" s="8">
        <f>VLOOKUP(U785,Jogadores!B:D,3,0)</f>
        <v>24.78630137</v>
      </c>
      <c r="X785" s="7">
        <v>0.0</v>
      </c>
      <c r="Y785" s="7">
        <f>45+AB785</f>
        <v>97</v>
      </c>
      <c r="Z785" s="7">
        <f>VLOOKUP(A785,Jogos!A:L,3,0)</f>
        <v>49</v>
      </c>
      <c r="AA785" s="7">
        <f t="shared" si="2229"/>
        <v>49</v>
      </c>
      <c r="AB785" s="7">
        <f>VLOOKUP(A785,Jogos!A:L,4,0)</f>
        <v>52</v>
      </c>
      <c r="AC785" s="7">
        <f t="shared" si="2230"/>
        <v>52</v>
      </c>
      <c r="AD785" s="7"/>
      <c r="AE785" s="7"/>
      <c r="AF785" s="7">
        <f t="shared" si="2231"/>
        <v>101</v>
      </c>
      <c r="AG785" s="7">
        <v>10727.9</v>
      </c>
      <c r="AH785" s="7">
        <v>3887.3</v>
      </c>
      <c r="AI785" s="7">
        <v>5052.3</v>
      </c>
      <c r="AJ785" s="7">
        <v>1159.1</v>
      </c>
      <c r="AK785" s="7">
        <v>484.4</v>
      </c>
      <c r="AL785" s="7">
        <v>144.8</v>
      </c>
      <c r="AM785" s="7">
        <v>109.0</v>
      </c>
      <c r="AN785" s="7">
        <v>35.0</v>
      </c>
      <c r="AO785" s="7">
        <v>27.7</v>
      </c>
      <c r="AP785" s="9">
        <f t="shared" ref="AP785:AR785" si="2454">AG785/$AF785</f>
        <v>106.2168317</v>
      </c>
      <c r="AQ785" s="9">
        <f t="shared" si="2454"/>
        <v>38.48811881</v>
      </c>
      <c r="AR785" s="9">
        <f t="shared" si="2454"/>
        <v>50.02277228</v>
      </c>
      <c r="AS785" s="9">
        <f t="shared" si="2233"/>
        <v>88.51089109</v>
      </c>
      <c r="AT785" s="9">
        <f t="shared" ref="AT785:AV785" si="2455">AJ785/$AF785</f>
        <v>11.47623762</v>
      </c>
      <c r="AU785" s="9">
        <f t="shared" si="2455"/>
        <v>4.796039604</v>
      </c>
      <c r="AV785" s="9">
        <f t="shared" si="2455"/>
        <v>1.433663366</v>
      </c>
      <c r="AW785" s="9">
        <f t="shared" si="2235"/>
        <v>6.22970297</v>
      </c>
      <c r="AX785" s="9">
        <f t="shared" ref="AX785:AY785" si="2456">AM785/$AF785</f>
        <v>1.079207921</v>
      </c>
      <c r="AY785" s="9">
        <f t="shared" si="2456"/>
        <v>0.3465346535</v>
      </c>
      <c r="AZ785" s="9">
        <f>VLOOKUP(A785,Jogos!A:BN,58,0)</f>
        <v>28.8</v>
      </c>
      <c r="BA785" s="9">
        <f>VLOOKUP(A785,Jogos!A:BN,59,0)</f>
        <v>17.995</v>
      </c>
      <c r="BB785" s="9">
        <f>VLOOKUP(A785,Jogos!A:BN,60,0)</f>
        <v>51.5</v>
      </c>
      <c r="BC785" s="9">
        <f>VLOOKUP(A785,Jogos!A:BN,61,0)</f>
        <v>28.43</v>
      </c>
      <c r="BD785" s="9">
        <f>VLOOKUP(A785,Jogos!A:BN,62,0)</f>
        <v>121.3</v>
      </c>
      <c r="BE785" s="9">
        <f>VLOOKUP(A785,Jogos!A:BN,63,0)</f>
        <v>1.79</v>
      </c>
      <c r="BF785" s="9">
        <f>VLOOKUP(A785,Jogos!A:BN,64,0)</f>
        <v>23.185</v>
      </c>
      <c r="BG785" s="9">
        <f>VLOOKUP(A785,Jogos!A:BN,65,0)</f>
        <v>42.105</v>
      </c>
      <c r="BH785" s="9">
        <f>VLOOKUP(A785,Jogos!A:BN,66,0)</f>
        <v>27.535</v>
      </c>
      <c r="BI785" s="9"/>
      <c r="BJ785" s="9"/>
    </row>
    <row r="786" hidden="1">
      <c r="A786" s="2">
        <v>27.0</v>
      </c>
      <c r="B786" s="11" t="s">
        <v>562</v>
      </c>
      <c r="C786" s="2" t="s">
        <v>61</v>
      </c>
      <c r="D786" s="3">
        <v>45829.0</v>
      </c>
      <c r="E786" s="4">
        <v>0.75</v>
      </c>
      <c r="F786" s="5" t="str">
        <f>VLOOKUP(A786,Jogos!A:N,10,0)</f>
        <v>Evening</v>
      </c>
      <c r="G786" s="2" t="s">
        <v>249</v>
      </c>
      <c r="H786" s="6" t="str">
        <f>VLOOKUP(A786,Jogos!A:L,12,0)</f>
        <v>Open</v>
      </c>
      <c r="I786" s="6" t="str">
        <f>VLOOKUP(G786,'Estádios e Cidades'!A:B,2,0)</f>
        <v>East Rutherford</v>
      </c>
      <c r="J786" s="2" t="s">
        <v>563</v>
      </c>
      <c r="K786" s="2" t="str">
        <f>VLOOKUP(J786,Equipes!A:F,6,0)</f>
        <v>Tropical</v>
      </c>
      <c r="L786" s="2">
        <f>VLOOKUP(J786,Equipes!A:C,3,0)</f>
        <v>4</v>
      </c>
      <c r="M786" s="2" t="str">
        <f t="shared" si="4"/>
        <v>Semi-final</v>
      </c>
      <c r="N786" s="2" t="s">
        <v>687</v>
      </c>
      <c r="O786" s="2">
        <f>VLOOKUP(N786,Equipes!A:C,3,0)</f>
        <v>28</v>
      </c>
      <c r="P786" s="2" t="str">
        <f t="shared" si="5"/>
        <v>Group</v>
      </c>
      <c r="Q786" s="2">
        <f t="shared" si="6"/>
        <v>-24</v>
      </c>
      <c r="R786" s="2" t="str">
        <f>VLOOKUP(J786,Equipes!A:B,2,0)</f>
        <v>Fluminense</v>
      </c>
      <c r="S786" s="6" t="s">
        <v>591</v>
      </c>
      <c r="T786" s="7">
        <v>90.0</v>
      </c>
      <c r="U786" s="7" t="s">
        <v>592</v>
      </c>
      <c r="V786" s="7" t="str">
        <f>VLOOKUP(U786,Jogadores!B:C,2,0)</f>
        <v>FW</v>
      </c>
      <c r="W786" s="8">
        <f>VLOOKUP(U786,Jogadores!B:D,3,0)</f>
        <v>27.63013699</v>
      </c>
      <c r="X786" s="7">
        <v>0.0</v>
      </c>
      <c r="Y786" s="7">
        <v>59.0</v>
      </c>
      <c r="Z786" s="7">
        <f>VLOOKUP(A786,Jogos!A:L,3,0)</f>
        <v>49</v>
      </c>
      <c r="AA786" s="7">
        <f t="shared" si="2229"/>
        <v>49</v>
      </c>
      <c r="AB786" s="7">
        <f>VLOOKUP(A786,Jogos!A:L,4,0)</f>
        <v>52</v>
      </c>
      <c r="AC786" s="7">
        <f t="shared" si="2230"/>
        <v>14</v>
      </c>
      <c r="AD786" s="7"/>
      <c r="AE786" s="7"/>
      <c r="AF786" s="7">
        <f t="shared" si="2231"/>
        <v>63</v>
      </c>
      <c r="AG786" s="7">
        <v>7410.3</v>
      </c>
      <c r="AH786" s="7">
        <v>2440.3</v>
      </c>
      <c r="AI786" s="7">
        <v>3236.2</v>
      </c>
      <c r="AJ786" s="7">
        <v>1018.8</v>
      </c>
      <c r="AK786" s="7">
        <v>551.6</v>
      </c>
      <c r="AL786" s="7">
        <v>163.4</v>
      </c>
      <c r="AM786" s="7">
        <v>89.0</v>
      </c>
      <c r="AN786" s="7">
        <v>50.0</v>
      </c>
      <c r="AO786" s="7">
        <v>33.4</v>
      </c>
      <c r="AP786" s="9">
        <f t="shared" ref="AP786:AR786" si="2457">AG786/$AF786</f>
        <v>117.6238095</v>
      </c>
      <c r="AQ786" s="9">
        <f t="shared" si="2457"/>
        <v>38.73492063</v>
      </c>
      <c r="AR786" s="9">
        <f t="shared" si="2457"/>
        <v>51.36825397</v>
      </c>
      <c r="AS786" s="9">
        <f t="shared" si="2233"/>
        <v>90.1031746</v>
      </c>
      <c r="AT786" s="9">
        <f t="shared" ref="AT786:AV786" si="2458">AJ786/$AF786</f>
        <v>16.17142857</v>
      </c>
      <c r="AU786" s="9">
        <f t="shared" si="2458"/>
        <v>8.755555556</v>
      </c>
      <c r="AV786" s="9">
        <f t="shared" si="2458"/>
        <v>2.593650794</v>
      </c>
      <c r="AW786" s="9">
        <f t="shared" si="2235"/>
        <v>11.34920635</v>
      </c>
      <c r="AX786" s="9">
        <f t="shared" ref="AX786:AY786" si="2459">AM786/$AF786</f>
        <v>1.412698413</v>
      </c>
      <c r="AY786" s="9">
        <f t="shared" si="2459"/>
        <v>0.7936507937</v>
      </c>
      <c r="AZ786" s="9">
        <f>VLOOKUP(A786,Jogos!A:BN,58,0)</f>
        <v>28.8</v>
      </c>
      <c r="BA786" s="9">
        <f>VLOOKUP(A786,Jogos!A:BN,59,0)</f>
        <v>17.995</v>
      </c>
      <c r="BB786" s="9">
        <f>VLOOKUP(A786,Jogos!A:BN,60,0)</f>
        <v>51.5</v>
      </c>
      <c r="BC786" s="9">
        <f>VLOOKUP(A786,Jogos!A:BN,61,0)</f>
        <v>28.43</v>
      </c>
      <c r="BD786" s="9">
        <f>VLOOKUP(A786,Jogos!A:BN,62,0)</f>
        <v>121.3</v>
      </c>
      <c r="BE786" s="9">
        <f>VLOOKUP(A786,Jogos!A:BN,63,0)</f>
        <v>1.79</v>
      </c>
      <c r="BF786" s="9">
        <f>VLOOKUP(A786,Jogos!A:BN,64,0)</f>
        <v>23.185</v>
      </c>
      <c r="BG786" s="9">
        <f>VLOOKUP(A786,Jogos!A:BN,65,0)</f>
        <v>42.105</v>
      </c>
      <c r="BH786" s="9">
        <f>VLOOKUP(A786,Jogos!A:BN,66,0)</f>
        <v>27.535</v>
      </c>
      <c r="BI786" s="9"/>
      <c r="BJ786" s="9"/>
    </row>
    <row r="787" hidden="1">
      <c r="A787" s="2">
        <v>27.0</v>
      </c>
      <c r="B787" s="11" t="s">
        <v>562</v>
      </c>
      <c r="C787" s="2" t="s">
        <v>61</v>
      </c>
      <c r="D787" s="3">
        <v>45829.0</v>
      </c>
      <c r="E787" s="4">
        <v>0.75</v>
      </c>
      <c r="F787" s="5" t="str">
        <f>VLOOKUP(A787,Jogos!A:N,10,0)</f>
        <v>Evening</v>
      </c>
      <c r="G787" s="2" t="s">
        <v>249</v>
      </c>
      <c r="H787" s="6" t="str">
        <f>VLOOKUP(A787,Jogos!A:L,12,0)</f>
        <v>Open</v>
      </c>
      <c r="I787" s="6" t="str">
        <f>VLOOKUP(G787,'Estádios e Cidades'!A:B,2,0)</f>
        <v>East Rutherford</v>
      </c>
      <c r="J787" s="2" t="s">
        <v>563</v>
      </c>
      <c r="K787" s="2" t="str">
        <f>VLOOKUP(J787,Equipes!A:F,6,0)</f>
        <v>Tropical</v>
      </c>
      <c r="L787" s="2">
        <f>VLOOKUP(J787,Equipes!A:C,3,0)</f>
        <v>4</v>
      </c>
      <c r="M787" s="2" t="str">
        <f t="shared" si="4"/>
        <v>Semi-final</v>
      </c>
      <c r="N787" s="2" t="s">
        <v>687</v>
      </c>
      <c r="O787" s="2">
        <f>VLOOKUP(N787,Equipes!A:C,3,0)</f>
        <v>28</v>
      </c>
      <c r="P787" s="2" t="str">
        <f t="shared" si="5"/>
        <v>Group</v>
      </c>
      <c r="Q787" s="2">
        <f t="shared" si="6"/>
        <v>-24</v>
      </c>
      <c r="R787" s="2" t="str">
        <f>VLOOKUP(J787,Equipes!A:B,2,0)</f>
        <v>Fluminense</v>
      </c>
      <c r="S787" s="6" t="s">
        <v>565</v>
      </c>
      <c r="T787" s="7">
        <v>2.0</v>
      </c>
      <c r="U787" s="7" t="s">
        <v>566</v>
      </c>
      <c r="V787" s="7" t="str">
        <f>VLOOKUP(U787,Jogadores!B:C,2,0)</f>
        <v>DF</v>
      </c>
      <c r="W787" s="8">
        <f>VLOOKUP(U787,Jogadores!B:D,3,0)</f>
        <v>35.16712329</v>
      </c>
      <c r="X787" s="7">
        <v>86.0</v>
      </c>
      <c r="Y787" s="7">
        <f t="shared" ref="Y787:Y791" si="2463">45+AB787</f>
        <v>97</v>
      </c>
      <c r="Z787" s="7">
        <f>VLOOKUP(A787,Jogos!A:L,3,0)</f>
        <v>49</v>
      </c>
      <c r="AA787" s="7">
        <f t="shared" si="2229"/>
        <v>0</v>
      </c>
      <c r="AB787" s="7">
        <f>VLOOKUP(A787,Jogos!A:L,4,0)</f>
        <v>52</v>
      </c>
      <c r="AC787" s="7">
        <f t="shared" si="2230"/>
        <v>11</v>
      </c>
      <c r="AD787" s="7"/>
      <c r="AE787" s="7"/>
      <c r="AF787" s="7">
        <f t="shared" si="2231"/>
        <v>11</v>
      </c>
      <c r="AG787" s="7">
        <v>1268.3</v>
      </c>
      <c r="AH787" s="7">
        <v>410.4</v>
      </c>
      <c r="AI787" s="7">
        <v>526.2</v>
      </c>
      <c r="AJ787" s="7">
        <v>161.3</v>
      </c>
      <c r="AK787" s="7">
        <v>84.3</v>
      </c>
      <c r="AL787" s="7">
        <v>86.1</v>
      </c>
      <c r="AM787" s="7">
        <v>11.0</v>
      </c>
      <c r="AN787" s="7">
        <v>9.0</v>
      </c>
      <c r="AO787" s="7">
        <v>30.6</v>
      </c>
      <c r="AP787" s="9">
        <f t="shared" ref="AP787:AR787" si="2460">AG787/$AF787</f>
        <v>115.3</v>
      </c>
      <c r="AQ787" s="9">
        <f t="shared" si="2460"/>
        <v>37.30909091</v>
      </c>
      <c r="AR787" s="9">
        <f t="shared" si="2460"/>
        <v>47.83636364</v>
      </c>
      <c r="AS787" s="9">
        <f t="shared" si="2233"/>
        <v>85.14545455</v>
      </c>
      <c r="AT787" s="9">
        <f t="shared" ref="AT787:AV787" si="2461">AJ787/$AF787</f>
        <v>14.66363636</v>
      </c>
      <c r="AU787" s="9">
        <f t="shared" si="2461"/>
        <v>7.663636364</v>
      </c>
      <c r="AV787" s="9">
        <f t="shared" si="2461"/>
        <v>7.827272727</v>
      </c>
      <c r="AW787" s="9">
        <f t="shared" si="2235"/>
        <v>15.49090909</v>
      </c>
      <c r="AX787" s="9">
        <f t="shared" ref="AX787:AY787" si="2462">AM787/$AF787</f>
        <v>1</v>
      </c>
      <c r="AY787" s="9">
        <f t="shared" si="2462"/>
        <v>0.8181818182</v>
      </c>
      <c r="AZ787" s="9">
        <f>VLOOKUP(A787,Jogos!A:BN,58,0)</f>
        <v>28.8</v>
      </c>
      <c r="BA787" s="9">
        <f>VLOOKUP(A787,Jogos!A:BN,59,0)</f>
        <v>17.995</v>
      </c>
      <c r="BB787" s="9">
        <f>VLOOKUP(A787,Jogos!A:BN,60,0)</f>
        <v>51.5</v>
      </c>
      <c r="BC787" s="9">
        <f>VLOOKUP(A787,Jogos!A:BN,61,0)</f>
        <v>28.43</v>
      </c>
      <c r="BD787" s="9">
        <f>VLOOKUP(A787,Jogos!A:BN,62,0)</f>
        <v>121.3</v>
      </c>
      <c r="BE787" s="9">
        <f>VLOOKUP(A787,Jogos!A:BN,63,0)</f>
        <v>1.79</v>
      </c>
      <c r="BF787" s="9">
        <f>VLOOKUP(A787,Jogos!A:BN,64,0)</f>
        <v>23.185</v>
      </c>
      <c r="BG787" s="9">
        <f>VLOOKUP(A787,Jogos!A:BN,65,0)</f>
        <v>42.105</v>
      </c>
      <c r="BH787" s="9">
        <f>VLOOKUP(A787,Jogos!A:BN,66,0)</f>
        <v>27.535</v>
      </c>
      <c r="BI787" s="9"/>
      <c r="BJ787" s="9"/>
    </row>
    <row r="788" hidden="1">
      <c r="A788" s="2">
        <v>27.0</v>
      </c>
      <c r="B788" s="11" t="s">
        <v>562</v>
      </c>
      <c r="C788" s="2" t="s">
        <v>61</v>
      </c>
      <c r="D788" s="3">
        <v>45829.0</v>
      </c>
      <c r="E788" s="4">
        <v>0.75</v>
      </c>
      <c r="F788" s="5" t="str">
        <f>VLOOKUP(A788,Jogos!A:N,10,0)</f>
        <v>Evening</v>
      </c>
      <c r="G788" s="2" t="s">
        <v>249</v>
      </c>
      <c r="H788" s="6" t="str">
        <f>VLOOKUP(A788,Jogos!A:L,12,0)</f>
        <v>Open</v>
      </c>
      <c r="I788" s="6" t="str">
        <f>VLOOKUP(G788,'Estádios e Cidades'!A:B,2,0)</f>
        <v>East Rutherford</v>
      </c>
      <c r="J788" s="2" t="s">
        <v>563</v>
      </c>
      <c r="K788" s="2" t="str">
        <f>VLOOKUP(J788,Equipes!A:F,6,0)</f>
        <v>Tropical</v>
      </c>
      <c r="L788" s="2">
        <f>VLOOKUP(J788,Equipes!A:C,3,0)</f>
        <v>4</v>
      </c>
      <c r="M788" s="2" t="str">
        <f t="shared" si="4"/>
        <v>Semi-final</v>
      </c>
      <c r="N788" s="2" t="s">
        <v>687</v>
      </c>
      <c r="O788" s="2">
        <f>VLOOKUP(N788,Equipes!A:C,3,0)</f>
        <v>28</v>
      </c>
      <c r="P788" s="2" t="str">
        <f t="shared" si="5"/>
        <v>Group</v>
      </c>
      <c r="Q788" s="2">
        <f t="shared" si="6"/>
        <v>-24</v>
      </c>
      <c r="R788" s="2" t="str">
        <f>VLOOKUP(J788,Equipes!A:B,2,0)</f>
        <v>Fluminense</v>
      </c>
      <c r="S788" s="6" t="s">
        <v>1170</v>
      </c>
      <c r="T788" s="7">
        <v>5.0</v>
      </c>
      <c r="U788" s="7" t="s">
        <v>1171</v>
      </c>
      <c r="V788" s="7" t="str">
        <f>VLOOKUP(U788,Jogadores!B:C,2,0)</f>
        <v>MF</v>
      </c>
      <c r="W788" s="8">
        <f>VLOOKUP(U788,Jogadores!B:D,3,0)</f>
        <v>21.95068493</v>
      </c>
      <c r="X788" s="7">
        <v>86.0</v>
      </c>
      <c r="Y788" s="7">
        <f t="shared" si="2463"/>
        <v>97</v>
      </c>
      <c r="Z788" s="7">
        <f>VLOOKUP(A788,Jogos!A:L,3,0)</f>
        <v>49</v>
      </c>
      <c r="AA788" s="7">
        <f t="shared" si="2229"/>
        <v>0</v>
      </c>
      <c r="AB788" s="7">
        <f>VLOOKUP(A788,Jogos!A:L,4,0)</f>
        <v>52</v>
      </c>
      <c r="AC788" s="7">
        <f t="shared" si="2230"/>
        <v>11</v>
      </c>
      <c r="AD788" s="7"/>
      <c r="AE788" s="7"/>
      <c r="AF788" s="7">
        <f t="shared" si="2231"/>
        <v>11</v>
      </c>
      <c r="AG788" s="7">
        <v>1610.0</v>
      </c>
      <c r="AH788" s="7">
        <v>353.4</v>
      </c>
      <c r="AI788" s="7">
        <v>759.9</v>
      </c>
      <c r="AJ788" s="7">
        <v>384.6</v>
      </c>
      <c r="AK788" s="7">
        <v>90.7</v>
      </c>
      <c r="AL788" s="7">
        <v>21.4</v>
      </c>
      <c r="AM788" s="7">
        <v>28.0</v>
      </c>
      <c r="AN788" s="7">
        <v>8.0</v>
      </c>
      <c r="AO788" s="7">
        <v>29.9</v>
      </c>
      <c r="AP788" s="9">
        <f t="shared" ref="AP788:AR788" si="2464">AG788/$AF788</f>
        <v>146.3636364</v>
      </c>
      <c r="AQ788" s="9">
        <f t="shared" si="2464"/>
        <v>32.12727273</v>
      </c>
      <c r="AR788" s="9">
        <f t="shared" si="2464"/>
        <v>69.08181818</v>
      </c>
      <c r="AS788" s="9">
        <f t="shared" si="2233"/>
        <v>101.2090909</v>
      </c>
      <c r="AT788" s="9">
        <f t="shared" ref="AT788:AV788" si="2465">AJ788/$AF788</f>
        <v>34.96363636</v>
      </c>
      <c r="AU788" s="9">
        <f t="shared" si="2465"/>
        <v>8.245454545</v>
      </c>
      <c r="AV788" s="9">
        <f t="shared" si="2465"/>
        <v>1.945454545</v>
      </c>
      <c r="AW788" s="9">
        <f t="shared" si="2235"/>
        <v>10.19090909</v>
      </c>
      <c r="AX788" s="9">
        <f t="shared" ref="AX788:AY788" si="2466">AM788/$AF788</f>
        <v>2.545454545</v>
      </c>
      <c r="AY788" s="9">
        <f t="shared" si="2466"/>
        <v>0.7272727273</v>
      </c>
      <c r="AZ788" s="9">
        <f>VLOOKUP(A788,Jogos!A:BN,58,0)</f>
        <v>28.8</v>
      </c>
      <c r="BA788" s="9">
        <f>VLOOKUP(A788,Jogos!A:BN,59,0)</f>
        <v>17.995</v>
      </c>
      <c r="BB788" s="9">
        <f>VLOOKUP(A788,Jogos!A:BN,60,0)</f>
        <v>51.5</v>
      </c>
      <c r="BC788" s="9">
        <f>VLOOKUP(A788,Jogos!A:BN,61,0)</f>
        <v>28.43</v>
      </c>
      <c r="BD788" s="9">
        <f>VLOOKUP(A788,Jogos!A:BN,62,0)</f>
        <v>121.3</v>
      </c>
      <c r="BE788" s="9">
        <f>VLOOKUP(A788,Jogos!A:BN,63,0)</f>
        <v>1.79</v>
      </c>
      <c r="BF788" s="9">
        <f>VLOOKUP(A788,Jogos!A:BN,64,0)</f>
        <v>23.185</v>
      </c>
      <c r="BG788" s="9">
        <f>VLOOKUP(A788,Jogos!A:BN,65,0)</f>
        <v>42.105</v>
      </c>
      <c r="BH788" s="9">
        <f>VLOOKUP(A788,Jogos!A:BN,66,0)</f>
        <v>27.535</v>
      </c>
      <c r="BI788" s="9"/>
      <c r="BJ788" s="9"/>
    </row>
    <row r="789" hidden="1">
      <c r="A789" s="2">
        <v>27.0</v>
      </c>
      <c r="B789" s="11" t="s">
        <v>562</v>
      </c>
      <c r="C789" s="2" t="s">
        <v>61</v>
      </c>
      <c r="D789" s="3">
        <v>45829.0</v>
      </c>
      <c r="E789" s="4">
        <v>0.75</v>
      </c>
      <c r="F789" s="5" t="str">
        <f>VLOOKUP(A789,Jogos!A:N,10,0)</f>
        <v>Evening</v>
      </c>
      <c r="G789" s="2" t="s">
        <v>249</v>
      </c>
      <c r="H789" s="6" t="str">
        <f>VLOOKUP(A789,Jogos!A:L,12,0)</f>
        <v>Open</v>
      </c>
      <c r="I789" s="6" t="str">
        <f>VLOOKUP(G789,'Estádios e Cidades'!A:B,2,0)</f>
        <v>East Rutherford</v>
      </c>
      <c r="J789" s="2" t="s">
        <v>563</v>
      </c>
      <c r="K789" s="2" t="str">
        <f>VLOOKUP(J789,Equipes!A:F,6,0)</f>
        <v>Tropical</v>
      </c>
      <c r="L789" s="2">
        <f>VLOOKUP(J789,Equipes!A:C,3,0)</f>
        <v>4</v>
      </c>
      <c r="M789" s="2" t="str">
        <f t="shared" si="4"/>
        <v>Semi-final</v>
      </c>
      <c r="N789" s="2" t="s">
        <v>687</v>
      </c>
      <c r="O789" s="2">
        <f>VLOOKUP(N789,Equipes!A:C,3,0)</f>
        <v>28</v>
      </c>
      <c r="P789" s="2" t="str">
        <f t="shared" si="5"/>
        <v>Group</v>
      </c>
      <c r="Q789" s="2">
        <f t="shared" si="6"/>
        <v>-24</v>
      </c>
      <c r="R789" s="2" t="str">
        <f>VLOOKUP(J789,Equipes!A:B,2,0)</f>
        <v>Fluminense</v>
      </c>
      <c r="S789" s="6" t="s">
        <v>573</v>
      </c>
      <c r="T789" s="7">
        <v>9.0</v>
      </c>
      <c r="U789" s="7" t="s">
        <v>574</v>
      </c>
      <c r="V789" s="7" t="str">
        <f>VLOOKUP(U789,Jogadores!B:C,2,0)</f>
        <v>FW</v>
      </c>
      <c r="W789" s="8">
        <f>VLOOKUP(U789,Jogadores!B:D,3,0)</f>
        <v>34.08767123</v>
      </c>
      <c r="X789" s="7">
        <v>45.0</v>
      </c>
      <c r="Y789" s="7">
        <f t="shared" si="2463"/>
        <v>97</v>
      </c>
      <c r="Z789" s="7">
        <f>VLOOKUP(A789,Jogos!A:L,3,0)</f>
        <v>49</v>
      </c>
      <c r="AA789" s="7">
        <f t="shared" si="2229"/>
        <v>0</v>
      </c>
      <c r="AB789" s="7">
        <f>VLOOKUP(A789,Jogos!A:L,4,0)</f>
        <v>52</v>
      </c>
      <c r="AC789" s="7">
        <f t="shared" si="2230"/>
        <v>52</v>
      </c>
      <c r="AD789" s="7"/>
      <c r="AE789" s="7"/>
      <c r="AF789" s="7">
        <f t="shared" si="2231"/>
        <v>52</v>
      </c>
      <c r="AG789" s="7">
        <v>4993.1</v>
      </c>
      <c r="AH789" s="7">
        <v>2571.2</v>
      </c>
      <c r="AI789" s="7">
        <v>1609.1</v>
      </c>
      <c r="AJ789" s="7">
        <v>517.5</v>
      </c>
      <c r="AK789" s="7">
        <v>192.4</v>
      </c>
      <c r="AL789" s="7">
        <v>102.8</v>
      </c>
      <c r="AM789" s="7">
        <v>46.0</v>
      </c>
      <c r="AN789" s="7">
        <v>20.0</v>
      </c>
      <c r="AO789" s="7">
        <v>32.6</v>
      </c>
      <c r="AP789" s="9">
        <f t="shared" ref="AP789:AR789" si="2467">AG789/$AF789</f>
        <v>96.02115385</v>
      </c>
      <c r="AQ789" s="9">
        <f t="shared" si="2467"/>
        <v>49.44615385</v>
      </c>
      <c r="AR789" s="9">
        <f t="shared" si="2467"/>
        <v>30.94423077</v>
      </c>
      <c r="AS789" s="9">
        <f t="shared" si="2233"/>
        <v>80.39038462</v>
      </c>
      <c r="AT789" s="9">
        <f t="shared" ref="AT789:AV789" si="2468">AJ789/$AF789</f>
        <v>9.951923077</v>
      </c>
      <c r="AU789" s="9">
        <f t="shared" si="2468"/>
        <v>3.7</v>
      </c>
      <c r="AV789" s="9">
        <f t="shared" si="2468"/>
        <v>1.976923077</v>
      </c>
      <c r="AW789" s="9">
        <f t="shared" si="2235"/>
        <v>5.676923077</v>
      </c>
      <c r="AX789" s="9">
        <f t="shared" ref="AX789:AY789" si="2469">AM789/$AF789</f>
        <v>0.8846153846</v>
      </c>
      <c r="AY789" s="9">
        <f t="shared" si="2469"/>
        <v>0.3846153846</v>
      </c>
      <c r="AZ789" s="9">
        <f>VLOOKUP(A789,Jogos!A:BN,58,0)</f>
        <v>28.8</v>
      </c>
      <c r="BA789" s="9">
        <f>VLOOKUP(A789,Jogos!A:BN,59,0)</f>
        <v>17.995</v>
      </c>
      <c r="BB789" s="9">
        <f>VLOOKUP(A789,Jogos!A:BN,60,0)</f>
        <v>51.5</v>
      </c>
      <c r="BC789" s="9">
        <f>VLOOKUP(A789,Jogos!A:BN,61,0)</f>
        <v>28.43</v>
      </c>
      <c r="BD789" s="9">
        <f>VLOOKUP(A789,Jogos!A:BN,62,0)</f>
        <v>121.3</v>
      </c>
      <c r="BE789" s="9">
        <f>VLOOKUP(A789,Jogos!A:BN,63,0)</f>
        <v>1.79</v>
      </c>
      <c r="BF789" s="9">
        <f>VLOOKUP(A789,Jogos!A:BN,64,0)</f>
        <v>23.185</v>
      </c>
      <c r="BG789" s="9">
        <f>VLOOKUP(A789,Jogos!A:BN,65,0)</f>
        <v>42.105</v>
      </c>
      <c r="BH789" s="9">
        <f>VLOOKUP(A789,Jogos!A:BN,66,0)</f>
        <v>27.535</v>
      </c>
      <c r="BI789" s="9"/>
      <c r="BJ789" s="9"/>
    </row>
    <row r="790" hidden="1">
      <c r="A790" s="2">
        <v>27.0</v>
      </c>
      <c r="B790" s="11" t="s">
        <v>562</v>
      </c>
      <c r="C790" s="2" t="s">
        <v>61</v>
      </c>
      <c r="D790" s="3">
        <v>45829.0</v>
      </c>
      <c r="E790" s="4">
        <v>0.75</v>
      </c>
      <c r="F790" s="5" t="str">
        <f>VLOOKUP(A790,Jogos!A:N,10,0)</f>
        <v>Evening</v>
      </c>
      <c r="G790" s="2" t="s">
        <v>249</v>
      </c>
      <c r="H790" s="6" t="str">
        <f>VLOOKUP(A790,Jogos!A:L,12,0)</f>
        <v>Open</v>
      </c>
      <c r="I790" s="6" t="str">
        <f>VLOOKUP(G790,'Estádios e Cidades'!A:B,2,0)</f>
        <v>East Rutherford</v>
      </c>
      <c r="J790" s="2" t="s">
        <v>563</v>
      </c>
      <c r="K790" s="2" t="str">
        <f>VLOOKUP(J790,Equipes!A:F,6,0)</f>
        <v>Tropical</v>
      </c>
      <c r="L790" s="2">
        <f>VLOOKUP(J790,Equipes!A:C,3,0)</f>
        <v>4</v>
      </c>
      <c r="M790" s="2" t="str">
        <f t="shared" si="4"/>
        <v>Semi-final</v>
      </c>
      <c r="N790" s="2" t="s">
        <v>687</v>
      </c>
      <c r="O790" s="2">
        <f>VLOOKUP(N790,Equipes!A:C,3,0)</f>
        <v>28</v>
      </c>
      <c r="P790" s="2" t="str">
        <f t="shared" si="5"/>
        <v>Group</v>
      </c>
      <c r="Q790" s="2">
        <f t="shared" si="6"/>
        <v>-24</v>
      </c>
      <c r="R790" s="2" t="str">
        <f>VLOOKUP(J790,Equipes!A:B,2,0)</f>
        <v>Fluminense</v>
      </c>
      <c r="S790" s="6" t="s">
        <v>1172</v>
      </c>
      <c r="T790" s="7">
        <v>11.0</v>
      </c>
      <c r="U790" s="7" t="s">
        <v>1173</v>
      </c>
      <c r="V790" s="7" t="str">
        <f>VLOOKUP(U790,Jogadores!B:C,2,0)</f>
        <v>FW</v>
      </c>
      <c r="W790" s="8">
        <f>VLOOKUP(U790,Jogadores!B:D,3,0)</f>
        <v>35.90410959</v>
      </c>
      <c r="X790" s="7">
        <v>59.0</v>
      </c>
      <c r="Y790" s="7">
        <f t="shared" si="2463"/>
        <v>97</v>
      </c>
      <c r="Z790" s="7">
        <f>VLOOKUP(A790,Jogos!A:L,3,0)</f>
        <v>49</v>
      </c>
      <c r="AA790" s="7">
        <f t="shared" si="2229"/>
        <v>0</v>
      </c>
      <c r="AB790" s="7">
        <f>VLOOKUP(A790,Jogos!A:L,4,0)</f>
        <v>52</v>
      </c>
      <c r="AC790" s="7">
        <f t="shared" si="2230"/>
        <v>38</v>
      </c>
      <c r="AD790" s="7"/>
      <c r="AE790" s="7"/>
      <c r="AF790" s="7">
        <f t="shared" si="2231"/>
        <v>38</v>
      </c>
      <c r="AG790" s="7">
        <v>3518.2</v>
      </c>
      <c r="AH790" s="7">
        <v>1585.8</v>
      </c>
      <c r="AI790" s="7">
        <v>1213.0</v>
      </c>
      <c r="AJ790" s="7">
        <v>457.6</v>
      </c>
      <c r="AK790" s="7">
        <v>183.7</v>
      </c>
      <c r="AL790" s="7">
        <v>78.1</v>
      </c>
      <c r="AM790" s="7">
        <v>37.0</v>
      </c>
      <c r="AN790" s="7">
        <v>19.0</v>
      </c>
      <c r="AO790" s="7">
        <v>29.4</v>
      </c>
      <c r="AP790" s="9">
        <f t="shared" ref="AP790:AR790" si="2470">AG790/$AF790</f>
        <v>92.58421053</v>
      </c>
      <c r="AQ790" s="9">
        <f t="shared" si="2470"/>
        <v>41.73157895</v>
      </c>
      <c r="AR790" s="9">
        <f t="shared" si="2470"/>
        <v>31.92105263</v>
      </c>
      <c r="AS790" s="9">
        <f t="shared" si="2233"/>
        <v>73.65263158</v>
      </c>
      <c r="AT790" s="9">
        <f t="shared" ref="AT790:AV790" si="2471">AJ790/$AF790</f>
        <v>12.04210526</v>
      </c>
      <c r="AU790" s="9">
        <f t="shared" si="2471"/>
        <v>4.834210526</v>
      </c>
      <c r="AV790" s="9">
        <f t="shared" si="2471"/>
        <v>2.055263158</v>
      </c>
      <c r="AW790" s="9">
        <f t="shared" si="2235"/>
        <v>6.889473684</v>
      </c>
      <c r="AX790" s="9">
        <f t="shared" ref="AX790:AY790" si="2472">AM790/$AF790</f>
        <v>0.9736842105</v>
      </c>
      <c r="AY790" s="9">
        <f t="shared" si="2472"/>
        <v>0.5</v>
      </c>
      <c r="AZ790" s="9">
        <f>VLOOKUP(A790,Jogos!A:BN,58,0)</f>
        <v>28.8</v>
      </c>
      <c r="BA790" s="9">
        <f>VLOOKUP(A790,Jogos!A:BN,59,0)</f>
        <v>17.995</v>
      </c>
      <c r="BB790" s="9">
        <f>VLOOKUP(A790,Jogos!A:BN,60,0)</f>
        <v>51.5</v>
      </c>
      <c r="BC790" s="9">
        <f>VLOOKUP(A790,Jogos!A:BN,61,0)</f>
        <v>28.43</v>
      </c>
      <c r="BD790" s="9">
        <f>VLOOKUP(A790,Jogos!A:BN,62,0)</f>
        <v>121.3</v>
      </c>
      <c r="BE790" s="9">
        <f>VLOOKUP(A790,Jogos!A:BN,63,0)</f>
        <v>1.79</v>
      </c>
      <c r="BF790" s="9">
        <f>VLOOKUP(A790,Jogos!A:BN,64,0)</f>
        <v>23.185</v>
      </c>
      <c r="BG790" s="9">
        <f>VLOOKUP(A790,Jogos!A:BN,65,0)</f>
        <v>42.105</v>
      </c>
      <c r="BH790" s="9">
        <f>VLOOKUP(A790,Jogos!A:BN,66,0)</f>
        <v>27.535</v>
      </c>
      <c r="BI790" s="9"/>
      <c r="BJ790" s="9"/>
    </row>
    <row r="791" hidden="1">
      <c r="A791" s="2">
        <v>27.0</v>
      </c>
      <c r="B791" s="11" t="s">
        <v>562</v>
      </c>
      <c r="C791" s="2" t="s">
        <v>61</v>
      </c>
      <c r="D791" s="3">
        <v>45829.0</v>
      </c>
      <c r="E791" s="4">
        <v>0.75</v>
      </c>
      <c r="F791" s="5" t="str">
        <f>VLOOKUP(A791,Jogos!A:N,10,0)</f>
        <v>Evening</v>
      </c>
      <c r="G791" s="2" t="s">
        <v>249</v>
      </c>
      <c r="H791" s="6" t="str">
        <f>VLOOKUP(A791,Jogos!A:L,12,0)</f>
        <v>Open</v>
      </c>
      <c r="I791" s="6" t="str">
        <f>VLOOKUP(G791,'Estádios e Cidades'!A:B,2,0)</f>
        <v>East Rutherford</v>
      </c>
      <c r="J791" s="2" t="s">
        <v>563</v>
      </c>
      <c r="K791" s="2" t="str">
        <f>VLOOKUP(J791,Equipes!A:F,6,0)</f>
        <v>Tropical</v>
      </c>
      <c r="L791" s="2">
        <f>VLOOKUP(J791,Equipes!A:C,3,0)</f>
        <v>4</v>
      </c>
      <c r="M791" s="2" t="str">
        <f t="shared" si="4"/>
        <v>Semi-final</v>
      </c>
      <c r="N791" s="2" t="s">
        <v>687</v>
      </c>
      <c r="O791" s="2">
        <f>VLOOKUP(N791,Equipes!A:C,3,0)</f>
        <v>28</v>
      </c>
      <c r="P791" s="2" t="str">
        <f t="shared" si="5"/>
        <v>Group</v>
      </c>
      <c r="Q791" s="2">
        <f t="shared" si="6"/>
        <v>-24</v>
      </c>
      <c r="R791" s="2" t="str">
        <f>VLOOKUP(J791,Equipes!A:B,2,0)</f>
        <v>Fluminense</v>
      </c>
      <c r="S791" s="6" t="s">
        <v>575</v>
      </c>
      <c r="T791" s="7">
        <v>16.0</v>
      </c>
      <c r="U791" s="7" t="s">
        <v>576</v>
      </c>
      <c r="V791" s="7" t="str">
        <f>VLOOKUP(U791,Jogadores!B:C,2,0)</f>
        <v>MF</v>
      </c>
      <c r="W791" s="8">
        <f>VLOOKUP(U791,Jogadores!B:D,3,0)</f>
        <v>27.42191781</v>
      </c>
      <c r="X791" s="7">
        <v>59.0</v>
      </c>
      <c r="Y791" s="7">
        <f t="shared" si="2463"/>
        <v>97</v>
      </c>
      <c r="Z791" s="7">
        <f>VLOOKUP(A791,Jogos!A:L,3,0)</f>
        <v>49</v>
      </c>
      <c r="AA791" s="7">
        <f t="shared" si="2229"/>
        <v>0</v>
      </c>
      <c r="AB791" s="7">
        <f>VLOOKUP(A791,Jogos!A:L,4,0)</f>
        <v>52</v>
      </c>
      <c r="AC791" s="7">
        <f t="shared" si="2230"/>
        <v>38</v>
      </c>
      <c r="AD791" s="7"/>
      <c r="AE791" s="7"/>
      <c r="AF791" s="7">
        <f t="shared" si="2231"/>
        <v>38</v>
      </c>
      <c r="AG791" s="7">
        <v>4523.4</v>
      </c>
      <c r="AH791" s="7">
        <v>1497.6</v>
      </c>
      <c r="AI791" s="7">
        <v>2182.0</v>
      </c>
      <c r="AJ791" s="7">
        <v>562.8</v>
      </c>
      <c r="AK791" s="7">
        <v>215.0</v>
      </c>
      <c r="AL791" s="7">
        <v>65.9</v>
      </c>
      <c r="AM791" s="7">
        <v>50.0</v>
      </c>
      <c r="AN791" s="7">
        <v>17.0</v>
      </c>
      <c r="AO791" s="7">
        <v>28.8</v>
      </c>
      <c r="AP791" s="9">
        <f t="shared" ref="AP791:AR791" si="2473">AG791/$AF791</f>
        <v>119.0368421</v>
      </c>
      <c r="AQ791" s="9">
        <f t="shared" si="2473"/>
        <v>39.41052632</v>
      </c>
      <c r="AR791" s="9">
        <f t="shared" si="2473"/>
        <v>57.42105263</v>
      </c>
      <c r="AS791" s="9">
        <f t="shared" si="2233"/>
        <v>96.83157895</v>
      </c>
      <c r="AT791" s="9">
        <f t="shared" ref="AT791:AV791" si="2474">AJ791/$AF791</f>
        <v>14.81052632</v>
      </c>
      <c r="AU791" s="9">
        <f t="shared" si="2474"/>
        <v>5.657894737</v>
      </c>
      <c r="AV791" s="9">
        <f t="shared" si="2474"/>
        <v>1.734210526</v>
      </c>
      <c r="AW791" s="9">
        <f t="shared" si="2235"/>
        <v>7.392105263</v>
      </c>
      <c r="AX791" s="9">
        <f t="shared" ref="AX791:AY791" si="2475">AM791/$AF791</f>
        <v>1.315789474</v>
      </c>
      <c r="AY791" s="9">
        <f t="shared" si="2475"/>
        <v>0.4473684211</v>
      </c>
      <c r="AZ791" s="9">
        <f>VLOOKUP(A791,Jogos!A:BN,58,0)</f>
        <v>28.8</v>
      </c>
      <c r="BA791" s="9">
        <f>VLOOKUP(A791,Jogos!A:BN,59,0)</f>
        <v>17.995</v>
      </c>
      <c r="BB791" s="9">
        <f>VLOOKUP(A791,Jogos!A:BN,60,0)</f>
        <v>51.5</v>
      </c>
      <c r="BC791" s="9">
        <f>VLOOKUP(A791,Jogos!A:BN,61,0)</f>
        <v>28.43</v>
      </c>
      <c r="BD791" s="9">
        <f>VLOOKUP(A791,Jogos!A:BN,62,0)</f>
        <v>121.3</v>
      </c>
      <c r="BE791" s="9">
        <f>VLOOKUP(A791,Jogos!A:BN,63,0)</f>
        <v>1.79</v>
      </c>
      <c r="BF791" s="9">
        <f>VLOOKUP(A791,Jogos!A:BN,64,0)</f>
        <v>23.185</v>
      </c>
      <c r="BG791" s="9">
        <f>VLOOKUP(A791,Jogos!A:BN,65,0)</f>
        <v>42.105</v>
      </c>
      <c r="BH791" s="9">
        <f>VLOOKUP(A791,Jogos!A:BN,66,0)</f>
        <v>27.535</v>
      </c>
      <c r="BI791" s="9"/>
      <c r="BJ791" s="9"/>
    </row>
    <row r="792" hidden="1">
      <c r="A792" s="10">
        <v>27.0</v>
      </c>
      <c r="B792" s="11" t="s">
        <v>562</v>
      </c>
      <c r="C792" s="2" t="s">
        <v>61</v>
      </c>
      <c r="D792" s="12">
        <v>45829.0</v>
      </c>
      <c r="E792" s="13">
        <v>0.75</v>
      </c>
      <c r="F792" s="5" t="str">
        <f>VLOOKUP(A792,Jogos!A:N,10,0)</f>
        <v>Evening</v>
      </c>
      <c r="G792" s="11" t="s">
        <v>249</v>
      </c>
      <c r="H792" s="6" t="str">
        <f>VLOOKUP(A792,Jogos!A:L,12,0)</f>
        <v>Open</v>
      </c>
      <c r="I792" s="6" t="str">
        <f>VLOOKUP(G792,'Estádios e Cidades'!A:B,2,0)</f>
        <v>East Rutherford</v>
      </c>
      <c r="J792" s="11" t="s">
        <v>687</v>
      </c>
      <c r="K792" s="2" t="str">
        <f>VLOOKUP(J792,Equipes!A:F,6,0)</f>
        <v>Temperate</v>
      </c>
      <c r="L792" s="2">
        <f>VLOOKUP(J792,Equipes!A:C,3,0)</f>
        <v>28</v>
      </c>
      <c r="M792" s="2" t="str">
        <f t="shared" si="4"/>
        <v>Group</v>
      </c>
      <c r="N792" s="11" t="s">
        <v>563</v>
      </c>
      <c r="O792" s="2">
        <f>VLOOKUP(N792,Equipes!A:C,3,0)</f>
        <v>4</v>
      </c>
      <c r="P792" s="2" t="str">
        <f t="shared" si="5"/>
        <v>Semi-final</v>
      </c>
      <c r="Q792" s="2">
        <f t="shared" si="6"/>
        <v>24</v>
      </c>
      <c r="R792" s="2" t="str">
        <f>VLOOKUP(J792,Equipes!A:B,2,0)</f>
        <v>Ulsan</v>
      </c>
      <c r="S792" s="14" t="s">
        <v>693</v>
      </c>
      <c r="T792" s="7">
        <v>6.0</v>
      </c>
      <c r="U792" s="7" t="s">
        <v>694</v>
      </c>
      <c r="V792" s="7" t="str">
        <f>VLOOKUP(U792,Jogadores!B:C,2,0)</f>
        <v>MF</v>
      </c>
      <c r="W792" s="8">
        <f>VLOOKUP(U792,Jogadores!B:D,3,0)</f>
        <v>30.60273973</v>
      </c>
      <c r="X792" s="7">
        <v>0.0</v>
      </c>
      <c r="Y792" s="7">
        <v>85.0</v>
      </c>
      <c r="Z792" s="7">
        <f>VLOOKUP(A792,Jogos!A:L,3,0)</f>
        <v>49</v>
      </c>
      <c r="AA792" s="7">
        <f t="shared" si="2229"/>
        <v>49</v>
      </c>
      <c r="AB792" s="7">
        <f>VLOOKUP(A792,Jogos!A:L,4,0)</f>
        <v>52</v>
      </c>
      <c r="AC792" s="7">
        <f t="shared" si="2230"/>
        <v>40</v>
      </c>
      <c r="AD792" s="7"/>
      <c r="AE792" s="7"/>
      <c r="AF792" s="7">
        <f t="shared" si="2231"/>
        <v>89</v>
      </c>
      <c r="AG792" s="7">
        <v>10263.7</v>
      </c>
      <c r="AH792" s="7">
        <v>3041.7</v>
      </c>
      <c r="AI792" s="7">
        <v>5595.0</v>
      </c>
      <c r="AJ792" s="7">
        <v>1269.8</v>
      </c>
      <c r="AK792" s="7">
        <v>321.5</v>
      </c>
      <c r="AL792" s="7">
        <v>35.8</v>
      </c>
      <c r="AM792" s="7">
        <v>101.0</v>
      </c>
      <c r="AN792" s="7">
        <v>22.0</v>
      </c>
      <c r="AO792" s="7">
        <v>26.8</v>
      </c>
      <c r="AP792" s="9">
        <f t="shared" ref="AP792:AR792" si="2476">AG792/$AF792</f>
        <v>115.3224719</v>
      </c>
      <c r="AQ792" s="9">
        <f t="shared" si="2476"/>
        <v>34.17640449</v>
      </c>
      <c r="AR792" s="9">
        <f t="shared" si="2476"/>
        <v>62.86516854</v>
      </c>
      <c r="AS792" s="9">
        <f t="shared" si="2233"/>
        <v>97.04157303</v>
      </c>
      <c r="AT792" s="9">
        <f t="shared" ref="AT792:AV792" si="2477">AJ792/$AF792</f>
        <v>14.26741573</v>
      </c>
      <c r="AU792" s="9">
        <f t="shared" si="2477"/>
        <v>3.612359551</v>
      </c>
      <c r="AV792" s="9">
        <f t="shared" si="2477"/>
        <v>0.402247191</v>
      </c>
      <c r="AW792" s="9">
        <f t="shared" si="2235"/>
        <v>4.014606742</v>
      </c>
      <c r="AX792" s="9">
        <f t="shared" ref="AX792:AY792" si="2478">AM792/$AF792</f>
        <v>1.134831461</v>
      </c>
      <c r="AY792" s="9">
        <f t="shared" si="2478"/>
        <v>0.2471910112</v>
      </c>
      <c r="AZ792" s="9">
        <f>VLOOKUP(A792,Jogos!A:BN,58,0)</f>
        <v>28.8</v>
      </c>
      <c r="BA792" s="9">
        <f>VLOOKUP(A792,Jogos!A:BN,59,0)</f>
        <v>17.995</v>
      </c>
      <c r="BB792" s="9">
        <f>VLOOKUP(A792,Jogos!A:BN,60,0)</f>
        <v>51.5</v>
      </c>
      <c r="BC792" s="9">
        <f>VLOOKUP(A792,Jogos!A:BN,61,0)</f>
        <v>28.43</v>
      </c>
      <c r="BD792" s="9">
        <f>VLOOKUP(A792,Jogos!A:BN,62,0)</f>
        <v>121.3</v>
      </c>
      <c r="BE792" s="9">
        <f>VLOOKUP(A792,Jogos!A:BN,63,0)</f>
        <v>1.79</v>
      </c>
      <c r="BF792" s="9">
        <f>VLOOKUP(A792,Jogos!A:BN,64,0)</f>
        <v>23.185</v>
      </c>
      <c r="BG792" s="9">
        <f>VLOOKUP(A792,Jogos!A:BN,65,0)</f>
        <v>42.105</v>
      </c>
      <c r="BH792" s="9">
        <f>VLOOKUP(A792,Jogos!A:BN,66,0)</f>
        <v>27.535</v>
      </c>
      <c r="BI792" s="9"/>
      <c r="BJ792" s="9"/>
    </row>
    <row r="793" hidden="1">
      <c r="A793" s="10">
        <v>27.0</v>
      </c>
      <c r="B793" s="11" t="s">
        <v>562</v>
      </c>
      <c r="C793" s="2" t="s">
        <v>61</v>
      </c>
      <c r="D793" s="12">
        <v>45829.0</v>
      </c>
      <c r="E793" s="13">
        <v>0.75</v>
      </c>
      <c r="F793" s="5" t="str">
        <f>VLOOKUP(A793,Jogos!A:N,10,0)</f>
        <v>Evening</v>
      </c>
      <c r="G793" s="11" t="s">
        <v>249</v>
      </c>
      <c r="H793" s="6" t="str">
        <f>VLOOKUP(A793,Jogos!A:L,12,0)</f>
        <v>Open</v>
      </c>
      <c r="I793" s="6" t="str">
        <f>VLOOKUP(G793,'Estádios e Cidades'!A:B,2,0)</f>
        <v>East Rutherford</v>
      </c>
      <c r="J793" s="11" t="s">
        <v>687</v>
      </c>
      <c r="K793" s="2" t="str">
        <f>VLOOKUP(J793,Equipes!A:F,6,0)</f>
        <v>Temperate</v>
      </c>
      <c r="L793" s="2">
        <f>VLOOKUP(J793,Equipes!A:C,3,0)</f>
        <v>28</v>
      </c>
      <c r="M793" s="2" t="str">
        <f t="shared" si="4"/>
        <v>Group</v>
      </c>
      <c r="N793" s="11" t="s">
        <v>563</v>
      </c>
      <c r="O793" s="2">
        <f>VLOOKUP(N793,Equipes!A:C,3,0)</f>
        <v>4</v>
      </c>
      <c r="P793" s="2" t="str">
        <f t="shared" si="5"/>
        <v>Semi-final</v>
      </c>
      <c r="Q793" s="2">
        <f t="shared" si="6"/>
        <v>24</v>
      </c>
      <c r="R793" s="2" t="str">
        <f>VLOOKUP(J793,Equipes!A:B,2,0)</f>
        <v>Ulsan</v>
      </c>
      <c r="S793" s="6" t="s">
        <v>695</v>
      </c>
      <c r="T793" s="7">
        <v>7.0</v>
      </c>
      <c r="U793" s="7" t="s">
        <v>696</v>
      </c>
      <c r="V793" s="7" t="str">
        <f>VLOOKUP(U793,Jogadores!B:C,2,0)</f>
        <v>MF</v>
      </c>
      <c r="W793" s="8">
        <f>VLOOKUP(U793,Jogadores!B:D,3,0)</f>
        <v>31.28219178</v>
      </c>
      <c r="X793" s="7">
        <v>0.0</v>
      </c>
      <c r="Y793" s="7">
        <v>85.0</v>
      </c>
      <c r="Z793" s="7">
        <f>VLOOKUP(A793,Jogos!A:L,3,0)</f>
        <v>49</v>
      </c>
      <c r="AA793" s="7">
        <f t="shared" si="2229"/>
        <v>49</v>
      </c>
      <c r="AB793" s="7">
        <f>VLOOKUP(A793,Jogos!A:L,4,0)</f>
        <v>52</v>
      </c>
      <c r="AC793" s="7">
        <f t="shared" si="2230"/>
        <v>40</v>
      </c>
      <c r="AD793" s="7"/>
      <c r="AE793" s="7"/>
      <c r="AF793" s="7">
        <f t="shared" si="2231"/>
        <v>89</v>
      </c>
      <c r="AG793" s="7">
        <v>10893.5</v>
      </c>
      <c r="AH793" s="7">
        <v>3171.1</v>
      </c>
      <c r="AI793" s="7">
        <v>4786.8</v>
      </c>
      <c r="AJ793" s="7">
        <v>1865.4</v>
      </c>
      <c r="AK793" s="7">
        <v>850.1</v>
      </c>
      <c r="AL793" s="7">
        <v>220.0</v>
      </c>
      <c r="AM793" s="7">
        <v>157.0</v>
      </c>
      <c r="AN793" s="7">
        <v>62.0</v>
      </c>
      <c r="AO793" s="7">
        <v>29.7</v>
      </c>
      <c r="AP793" s="9">
        <f t="shared" ref="AP793:AR793" si="2479">AG793/$AF793</f>
        <v>122.3988764</v>
      </c>
      <c r="AQ793" s="9">
        <f t="shared" si="2479"/>
        <v>35.63033708</v>
      </c>
      <c r="AR793" s="9">
        <f t="shared" si="2479"/>
        <v>53.78426966</v>
      </c>
      <c r="AS793" s="9">
        <f t="shared" si="2233"/>
        <v>89.41460674</v>
      </c>
      <c r="AT793" s="9">
        <f t="shared" ref="AT793:AV793" si="2480">AJ793/$AF793</f>
        <v>20.95955056</v>
      </c>
      <c r="AU793" s="9">
        <f t="shared" si="2480"/>
        <v>9.551685393</v>
      </c>
      <c r="AV793" s="9">
        <f t="shared" si="2480"/>
        <v>2.471910112</v>
      </c>
      <c r="AW793" s="9">
        <f t="shared" si="2235"/>
        <v>12.02359551</v>
      </c>
      <c r="AX793" s="9">
        <f t="shared" ref="AX793:AY793" si="2481">AM793/$AF793</f>
        <v>1.764044944</v>
      </c>
      <c r="AY793" s="9">
        <f t="shared" si="2481"/>
        <v>0.6966292135</v>
      </c>
      <c r="AZ793" s="9">
        <f>VLOOKUP(A793,Jogos!A:BN,58,0)</f>
        <v>28.8</v>
      </c>
      <c r="BA793" s="9">
        <f>VLOOKUP(A793,Jogos!A:BN,59,0)</f>
        <v>17.995</v>
      </c>
      <c r="BB793" s="9">
        <f>VLOOKUP(A793,Jogos!A:BN,60,0)</f>
        <v>51.5</v>
      </c>
      <c r="BC793" s="9">
        <f>VLOOKUP(A793,Jogos!A:BN,61,0)</f>
        <v>28.43</v>
      </c>
      <c r="BD793" s="9">
        <f>VLOOKUP(A793,Jogos!A:BN,62,0)</f>
        <v>121.3</v>
      </c>
      <c r="BE793" s="9">
        <f>VLOOKUP(A793,Jogos!A:BN,63,0)</f>
        <v>1.79</v>
      </c>
      <c r="BF793" s="9">
        <f>VLOOKUP(A793,Jogos!A:BN,64,0)</f>
        <v>23.185</v>
      </c>
      <c r="BG793" s="9">
        <f>VLOOKUP(A793,Jogos!A:BN,65,0)</f>
        <v>42.105</v>
      </c>
      <c r="BH793" s="9">
        <f>VLOOKUP(A793,Jogos!A:BN,66,0)</f>
        <v>27.535</v>
      </c>
      <c r="BI793" s="9"/>
      <c r="BJ793" s="9"/>
    </row>
    <row r="794" hidden="1">
      <c r="A794" s="10">
        <v>27.0</v>
      </c>
      <c r="B794" s="11" t="s">
        <v>562</v>
      </c>
      <c r="C794" s="2" t="s">
        <v>61</v>
      </c>
      <c r="D794" s="12">
        <v>45829.0</v>
      </c>
      <c r="E794" s="13">
        <v>0.75</v>
      </c>
      <c r="F794" s="5" t="str">
        <f>VLOOKUP(A794,Jogos!A:N,10,0)</f>
        <v>Evening</v>
      </c>
      <c r="G794" s="11" t="s">
        <v>249</v>
      </c>
      <c r="H794" s="6" t="str">
        <f>VLOOKUP(A794,Jogos!A:L,12,0)</f>
        <v>Open</v>
      </c>
      <c r="I794" s="6" t="str">
        <f>VLOOKUP(G794,'Estádios e Cidades'!A:B,2,0)</f>
        <v>East Rutherford</v>
      </c>
      <c r="J794" s="11" t="s">
        <v>687</v>
      </c>
      <c r="K794" s="2" t="str">
        <f>VLOOKUP(J794,Equipes!A:F,6,0)</f>
        <v>Temperate</v>
      </c>
      <c r="L794" s="2">
        <f>VLOOKUP(J794,Equipes!A:C,3,0)</f>
        <v>28</v>
      </c>
      <c r="M794" s="2" t="str">
        <f t="shared" si="4"/>
        <v>Group</v>
      </c>
      <c r="N794" s="11" t="s">
        <v>563</v>
      </c>
      <c r="O794" s="2">
        <f>VLOOKUP(N794,Equipes!A:C,3,0)</f>
        <v>4</v>
      </c>
      <c r="P794" s="2" t="str">
        <f t="shared" si="5"/>
        <v>Semi-final</v>
      </c>
      <c r="Q794" s="2">
        <f t="shared" si="6"/>
        <v>24</v>
      </c>
      <c r="R794" s="2" t="str">
        <f>VLOOKUP(J794,Equipes!A:B,2,0)</f>
        <v>Ulsan</v>
      </c>
      <c r="S794" s="6" t="s">
        <v>697</v>
      </c>
      <c r="T794" s="7">
        <v>11.0</v>
      </c>
      <c r="U794" s="7" t="s">
        <v>698</v>
      </c>
      <c r="V794" s="7" t="str">
        <f>VLOOKUP(U794,Jogadores!B:C,2,0)</f>
        <v>MF</v>
      </c>
      <c r="W794" s="8">
        <f>VLOOKUP(U794,Jogadores!B:D,3,0)</f>
        <v>26.57534247</v>
      </c>
      <c r="X794" s="7">
        <v>0.0</v>
      </c>
      <c r="Y794" s="7">
        <v>75.0</v>
      </c>
      <c r="Z794" s="7">
        <f>VLOOKUP(A794,Jogos!A:L,3,0)</f>
        <v>49</v>
      </c>
      <c r="AA794" s="7">
        <f t="shared" si="2229"/>
        <v>49</v>
      </c>
      <c r="AB794" s="7">
        <f>VLOOKUP(A794,Jogos!A:L,4,0)</f>
        <v>52</v>
      </c>
      <c r="AC794" s="7">
        <f t="shared" si="2230"/>
        <v>30</v>
      </c>
      <c r="AD794" s="7"/>
      <c r="AE794" s="7"/>
      <c r="AF794" s="7">
        <f t="shared" si="2231"/>
        <v>79</v>
      </c>
      <c r="AG794" s="7">
        <v>8689.4</v>
      </c>
      <c r="AH794" s="7">
        <v>2763.9</v>
      </c>
      <c r="AI794" s="7">
        <v>4181.7</v>
      </c>
      <c r="AJ794" s="7">
        <v>1024.4</v>
      </c>
      <c r="AK794" s="7">
        <v>360.5</v>
      </c>
      <c r="AL794" s="7">
        <v>358.9</v>
      </c>
      <c r="AM794" s="7">
        <v>86.0</v>
      </c>
      <c r="AN794" s="7">
        <v>37.0</v>
      </c>
      <c r="AO794" s="7">
        <v>34.8</v>
      </c>
      <c r="AP794" s="9">
        <f t="shared" ref="AP794:AR794" si="2482">AG794/$AF794</f>
        <v>109.9924051</v>
      </c>
      <c r="AQ794" s="9">
        <f t="shared" si="2482"/>
        <v>34.98607595</v>
      </c>
      <c r="AR794" s="9">
        <f t="shared" si="2482"/>
        <v>52.93291139</v>
      </c>
      <c r="AS794" s="9">
        <f t="shared" si="2233"/>
        <v>87.91898734</v>
      </c>
      <c r="AT794" s="9">
        <f t="shared" ref="AT794:AV794" si="2483">AJ794/$AF794</f>
        <v>12.96708861</v>
      </c>
      <c r="AU794" s="9">
        <f t="shared" si="2483"/>
        <v>4.563291139</v>
      </c>
      <c r="AV794" s="9">
        <f t="shared" si="2483"/>
        <v>4.543037975</v>
      </c>
      <c r="AW794" s="9">
        <f t="shared" si="2235"/>
        <v>9.106329114</v>
      </c>
      <c r="AX794" s="9">
        <f t="shared" ref="AX794:AY794" si="2484">AM794/$AF794</f>
        <v>1.088607595</v>
      </c>
      <c r="AY794" s="9">
        <f t="shared" si="2484"/>
        <v>0.4683544304</v>
      </c>
      <c r="AZ794" s="9">
        <f>VLOOKUP(A794,Jogos!A:BN,58,0)</f>
        <v>28.8</v>
      </c>
      <c r="BA794" s="9">
        <f>VLOOKUP(A794,Jogos!A:BN,59,0)</f>
        <v>17.995</v>
      </c>
      <c r="BB794" s="9">
        <f>VLOOKUP(A794,Jogos!A:BN,60,0)</f>
        <v>51.5</v>
      </c>
      <c r="BC794" s="9">
        <f>VLOOKUP(A794,Jogos!A:BN,61,0)</f>
        <v>28.43</v>
      </c>
      <c r="BD794" s="9">
        <f>VLOOKUP(A794,Jogos!A:BN,62,0)</f>
        <v>121.3</v>
      </c>
      <c r="BE794" s="9">
        <f>VLOOKUP(A794,Jogos!A:BN,63,0)</f>
        <v>1.79</v>
      </c>
      <c r="BF794" s="9">
        <f>VLOOKUP(A794,Jogos!A:BN,64,0)</f>
        <v>23.185</v>
      </c>
      <c r="BG794" s="9">
        <f>VLOOKUP(A794,Jogos!A:BN,65,0)</f>
        <v>42.105</v>
      </c>
      <c r="BH794" s="9">
        <f>VLOOKUP(A794,Jogos!A:BN,66,0)</f>
        <v>27.535</v>
      </c>
      <c r="BI794" s="9"/>
      <c r="BJ794" s="9"/>
    </row>
    <row r="795" hidden="1">
      <c r="A795" s="10">
        <v>27.0</v>
      </c>
      <c r="B795" s="11" t="s">
        <v>562</v>
      </c>
      <c r="C795" s="2" t="s">
        <v>61</v>
      </c>
      <c r="D795" s="12">
        <v>45829.0</v>
      </c>
      <c r="E795" s="13">
        <v>0.75</v>
      </c>
      <c r="F795" s="5" t="str">
        <f>VLOOKUP(A795,Jogos!A:N,10,0)</f>
        <v>Evening</v>
      </c>
      <c r="G795" s="11" t="s">
        <v>249</v>
      </c>
      <c r="H795" s="6" t="str">
        <f>VLOOKUP(A795,Jogos!A:L,12,0)</f>
        <v>Open</v>
      </c>
      <c r="I795" s="6" t="str">
        <f>VLOOKUP(G795,'Estádios e Cidades'!A:B,2,0)</f>
        <v>East Rutherford</v>
      </c>
      <c r="J795" s="11" t="s">
        <v>687</v>
      </c>
      <c r="K795" s="2" t="str">
        <f>VLOOKUP(J795,Equipes!A:F,6,0)</f>
        <v>Temperate</v>
      </c>
      <c r="L795" s="2">
        <f>VLOOKUP(J795,Equipes!A:C,3,0)</f>
        <v>28</v>
      </c>
      <c r="M795" s="2" t="str">
        <f t="shared" si="4"/>
        <v>Group</v>
      </c>
      <c r="N795" s="11" t="s">
        <v>563</v>
      </c>
      <c r="O795" s="2">
        <f>VLOOKUP(N795,Equipes!A:C,3,0)</f>
        <v>4</v>
      </c>
      <c r="P795" s="2" t="str">
        <f t="shared" si="5"/>
        <v>Semi-final</v>
      </c>
      <c r="Q795" s="2">
        <f t="shared" si="6"/>
        <v>24</v>
      </c>
      <c r="R795" s="2" t="str">
        <f>VLOOKUP(J795,Equipes!A:B,2,0)</f>
        <v>Ulsan</v>
      </c>
      <c r="S795" s="6" t="s">
        <v>709</v>
      </c>
      <c r="T795" s="7">
        <v>13.0</v>
      </c>
      <c r="U795" s="7" t="s">
        <v>710</v>
      </c>
      <c r="V795" s="7" t="str">
        <f>VLOOKUP(U795,Jogadores!B:C,2,0)</f>
        <v>DF</v>
      </c>
      <c r="W795" s="8">
        <f>VLOOKUP(U795,Jogadores!B:D,3,0)</f>
        <v>31.82739726</v>
      </c>
      <c r="X795" s="7">
        <v>0.0</v>
      </c>
      <c r="Y795" s="7">
        <v>63.0</v>
      </c>
      <c r="Z795" s="7">
        <f>VLOOKUP(A795,Jogos!A:L,3,0)</f>
        <v>49</v>
      </c>
      <c r="AA795" s="7">
        <f t="shared" si="2229"/>
        <v>49</v>
      </c>
      <c r="AB795" s="7">
        <f>VLOOKUP(A795,Jogos!A:L,4,0)</f>
        <v>52</v>
      </c>
      <c r="AC795" s="7">
        <f t="shared" si="2230"/>
        <v>18</v>
      </c>
      <c r="AD795" s="7"/>
      <c r="AE795" s="7"/>
      <c r="AF795" s="7">
        <f t="shared" si="2231"/>
        <v>67</v>
      </c>
      <c r="AG795" s="7">
        <v>7990.1</v>
      </c>
      <c r="AH795" s="7">
        <v>2891.0</v>
      </c>
      <c r="AI795" s="7">
        <v>3536.2</v>
      </c>
      <c r="AJ795" s="7">
        <v>937.4</v>
      </c>
      <c r="AK795" s="7">
        <v>492.2</v>
      </c>
      <c r="AL795" s="7">
        <v>133.3</v>
      </c>
      <c r="AM795" s="7">
        <v>89.0</v>
      </c>
      <c r="AN795" s="7">
        <v>34.0</v>
      </c>
      <c r="AO795" s="7">
        <v>31.1</v>
      </c>
      <c r="AP795" s="9">
        <f t="shared" ref="AP795:AR795" si="2485">AG795/$AF795</f>
        <v>119.2552239</v>
      </c>
      <c r="AQ795" s="9">
        <f t="shared" si="2485"/>
        <v>43.14925373</v>
      </c>
      <c r="AR795" s="9">
        <f t="shared" si="2485"/>
        <v>52.77910448</v>
      </c>
      <c r="AS795" s="9">
        <f t="shared" si="2233"/>
        <v>95.92835821</v>
      </c>
      <c r="AT795" s="9">
        <f t="shared" ref="AT795:AV795" si="2486">AJ795/$AF795</f>
        <v>13.99104478</v>
      </c>
      <c r="AU795" s="9">
        <f t="shared" si="2486"/>
        <v>7.346268657</v>
      </c>
      <c r="AV795" s="9">
        <f t="shared" si="2486"/>
        <v>1.989552239</v>
      </c>
      <c r="AW795" s="9">
        <f t="shared" si="2235"/>
        <v>9.335820896</v>
      </c>
      <c r="AX795" s="9">
        <f t="shared" ref="AX795:AY795" si="2487">AM795/$AF795</f>
        <v>1.328358209</v>
      </c>
      <c r="AY795" s="9">
        <f t="shared" si="2487"/>
        <v>0.5074626866</v>
      </c>
      <c r="AZ795" s="9">
        <f>VLOOKUP(A795,Jogos!A:BN,58,0)</f>
        <v>28.8</v>
      </c>
      <c r="BA795" s="9">
        <f>VLOOKUP(A795,Jogos!A:BN,59,0)</f>
        <v>17.995</v>
      </c>
      <c r="BB795" s="9">
        <f>VLOOKUP(A795,Jogos!A:BN,60,0)</f>
        <v>51.5</v>
      </c>
      <c r="BC795" s="9">
        <f>VLOOKUP(A795,Jogos!A:BN,61,0)</f>
        <v>28.43</v>
      </c>
      <c r="BD795" s="9">
        <f>VLOOKUP(A795,Jogos!A:BN,62,0)</f>
        <v>121.3</v>
      </c>
      <c r="BE795" s="9">
        <f>VLOOKUP(A795,Jogos!A:BN,63,0)</f>
        <v>1.79</v>
      </c>
      <c r="BF795" s="9">
        <f>VLOOKUP(A795,Jogos!A:BN,64,0)</f>
        <v>23.185</v>
      </c>
      <c r="BG795" s="9">
        <f>VLOOKUP(A795,Jogos!A:BN,65,0)</f>
        <v>42.105</v>
      </c>
      <c r="BH795" s="9">
        <f>VLOOKUP(A795,Jogos!A:BN,66,0)</f>
        <v>27.535</v>
      </c>
      <c r="BI795" s="9"/>
      <c r="BJ795" s="9"/>
    </row>
    <row r="796" hidden="1">
      <c r="A796" s="10">
        <v>27.0</v>
      </c>
      <c r="B796" s="11" t="s">
        <v>562</v>
      </c>
      <c r="C796" s="2" t="s">
        <v>61</v>
      </c>
      <c r="D796" s="12">
        <v>45829.0</v>
      </c>
      <c r="E796" s="13">
        <v>0.75</v>
      </c>
      <c r="F796" s="5" t="str">
        <f>VLOOKUP(A796,Jogos!A:N,10,0)</f>
        <v>Evening</v>
      </c>
      <c r="G796" s="11" t="s">
        <v>249</v>
      </c>
      <c r="H796" s="6" t="str">
        <f>VLOOKUP(A796,Jogos!A:L,12,0)</f>
        <v>Open</v>
      </c>
      <c r="I796" s="6" t="str">
        <f>VLOOKUP(G796,'Estádios e Cidades'!A:B,2,0)</f>
        <v>East Rutherford</v>
      </c>
      <c r="J796" s="11" t="s">
        <v>687</v>
      </c>
      <c r="K796" s="2" t="str">
        <f>VLOOKUP(J796,Equipes!A:F,6,0)</f>
        <v>Temperate</v>
      </c>
      <c r="L796" s="2">
        <f>VLOOKUP(J796,Equipes!A:C,3,0)</f>
        <v>28</v>
      </c>
      <c r="M796" s="2" t="str">
        <f t="shared" si="4"/>
        <v>Group</v>
      </c>
      <c r="N796" s="11" t="s">
        <v>563</v>
      </c>
      <c r="O796" s="2">
        <f>VLOOKUP(N796,Equipes!A:C,3,0)</f>
        <v>4</v>
      </c>
      <c r="P796" s="2" t="str">
        <f t="shared" si="5"/>
        <v>Semi-final</v>
      </c>
      <c r="Q796" s="2">
        <f t="shared" si="6"/>
        <v>24</v>
      </c>
      <c r="R796" s="2" t="str">
        <f>VLOOKUP(J796,Equipes!A:B,2,0)</f>
        <v>Ulsan</v>
      </c>
      <c r="S796" s="6" t="s">
        <v>711</v>
      </c>
      <c r="T796" s="7">
        <v>14.0</v>
      </c>
      <c r="U796" s="7" t="s">
        <v>712</v>
      </c>
      <c r="V796" s="7" t="str">
        <f>VLOOKUP(U796,Jogadores!B:C,2,0)</f>
        <v>MF</v>
      </c>
      <c r="W796" s="8">
        <f>VLOOKUP(U796,Jogadores!B:D,3,0)</f>
        <v>27.93972603</v>
      </c>
      <c r="X796" s="7">
        <v>0.0</v>
      </c>
      <c r="Y796" s="7">
        <f t="shared" ref="Y796:Y798" si="2491">45+AB796</f>
        <v>97</v>
      </c>
      <c r="Z796" s="7">
        <f>VLOOKUP(A796,Jogos!A:L,3,0)</f>
        <v>49</v>
      </c>
      <c r="AA796" s="7">
        <f t="shared" si="2229"/>
        <v>49</v>
      </c>
      <c r="AB796" s="7">
        <f>VLOOKUP(A796,Jogos!A:L,4,0)</f>
        <v>52</v>
      </c>
      <c r="AC796" s="7">
        <f t="shared" si="2230"/>
        <v>52</v>
      </c>
      <c r="AD796" s="7"/>
      <c r="AE796" s="7"/>
      <c r="AF796" s="7">
        <f t="shared" si="2231"/>
        <v>101</v>
      </c>
      <c r="AG796" s="7">
        <v>12497.7</v>
      </c>
      <c r="AH796" s="7">
        <v>3610.2</v>
      </c>
      <c r="AI796" s="7">
        <v>6211.6</v>
      </c>
      <c r="AJ796" s="7">
        <v>1971.2</v>
      </c>
      <c r="AK796" s="7">
        <v>543.9</v>
      </c>
      <c r="AL796" s="7">
        <v>160.8</v>
      </c>
      <c r="AM796" s="7">
        <v>165.0</v>
      </c>
      <c r="AN796" s="7">
        <v>35.0</v>
      </c>
      <c r="AO796" s="7">
        <v>30.1</v>
      </c>
      <c r="AP796" s="9">
        <f t="shared" ref="AP796:AR796" si="2488">AG796/$AF796</f>
        <v>123.739604</v>
      </c>
      <c r="AQ796" s="9">
        <f t="shared" si="2488"/>
        <v>35.74455446</v>
      </c>
      <c r="AR796" s="9">
        <f t="shared" si="2488"/>
        <v>61.5009901</v>
      </c>
      <c r="AS796" s="9">
        <f t="shared" si="2233"/>
        <v>97.24554455</v>
      </c>
      <c r="AT796" s="9">
        <f t="shared" ref="AT796:AV796" si="2489">AJ796/$AF796</f>
        <v>19.51683168</v>
      </c>
      <c r="AU796" s="9">
        <f t="shared" si="2489"/>
        <v>5.385148515</v>
      </c>
      <c r="AV796" s="9">
        <f t="shared" si="2489"/>
        <v>1.592079208</v>
      </c>
      <c r="AW796" s="9">
        <f t="shared" si="2235"/>
        <v>6.977227723</v>
      </c>
      <c r="AX796" s="9">
        <f t="shared" ref="AX796:AY796" si="2490">AM796/$AF796</f>
        <v>1.633663366</v>
      </c>
      <c r="AY796" s="9">
        <f t="shared" si="2490"/>
        <v>0.3465346535</v>
      </c>
      <c r="AZ796" s="9">
        <f>VLOOKUP(A796,Jogos!A:BN,58,0)</f>
        <v>28.8</v>
      </c>
      <c r="BA796" s="9">
        <f>VLOOKUP(A796,Jogos!A:BN,59,0)</f>
        <v>17.995</v>
      </c>
      <c r="BB796" s="9">
        <f>VLOOKUP(A796,Jogos!A:BN,60,0)</f>
        <v>51.5</v>
      </c>
      <c r="BC796" s="9">
        <f>VLOOKUP(A796,Jogos!A:BN,61,0)</f>
        <v>28.43</v>
      </c>
      <c r="BD796" s="9">
        <f>VLOOKUP(A796,Jogos!A:BN,62,0)</f>
        <v>121.3</v>
      </c>
      <c r="BE796" s="9">
        <f>VLOOKUP(A796,Jogos!A:BN,63,0)</f>
        <v>1.79</v>
      </c>
      <c r="BF796" s="9">
        <f>VLOOKUP(A796,Jogos!A:BN,64,0)</f>
        <v>23.185</v>
      </c>
      <c r="BG796" s="9">
        <f>VLOOKUP(A796,Jogos!A:BN,65,0)</f>
        <v>42.105</v>
      </c>
      <c r="BH796" s="9">
        <f>VLOOKUP(A796,Jogos!A:BN,66,0)</f>
        <v>27.535</v>
      </c>
      <c r="BI796" s="9"/>
      <c r="BJ796" s="9"/>
    </row>
    <row r="797" hidden="1">
      <c r="A797" s="10">
        <v>27.0</v>
      </c>
      <c r="B797" s="11" t="s">
        <v>562</v>
      </c>
      <c r="C797" s="2" t="s">
        <v>61</v>
      </c>
      <c r="D797" s="12">
        <v>45829.0</v>
      </c>
      <c r="E797" s="13">
        <v>0.75</v>
      </c>
      <c r="F797" s="5" t="str">
        <f>VLOOKUP(A797,Jogos!A:N,10,0)</f>
        <v>Evening</v>
      </c>
      <c r="G797" s="11" t="s">
        <v>249</v>
      </c>
      <c r="H797" s="6" t="str">
        <f>VLOOKUP(A797,Jogos!A:L,12,0)</f>
        <v>Open</v>
      </c>
      <c r="I797" s="6" t="str">
        <f>VLOOKUP(G797,'Estádios e Cidades'!A:B,2,0)</f>
        <v>East Rutherford</v>
      </c>
      <c r="J797" s="11" t="s">
        <v>687</v>
      </c>
      <c r="K797" s="2" t="str">
        <f>VLOOKUP(J797,Equipes!A:F,6,0)</f>
        <v>Temperate</v>
      </c>
      <c r="L797" s="2">
        <f>VLOOKUP(J797,Equipes!A:C,3,0)</f>
        <v>28</v>
      </c>
      <c r="M797" s="2" t="str">
        <f t="shared" si="4"/>
        <v>Group</v>
      </c>
      <c r="N797" s="11" t="s">
        <v>563</v>
      </c>
      <c r="O797" s="2">
        <f>VLOOKUP(N797,Equipes!A:C,3,0)</f>
        <v>4</v>
      </c>
      <c r="P797" s="2" t="str">
        <f t="shared" si="5"/>
        <v>Semi-final</v>
      </c>
      <c r="Q797" s="2">
        <f t="shared" si="6"/>
        <v>24</v>
      </c>
      <c r="R797" s="2" t="str">
        <f>VLOOKUP(J797,Equipes!A:B,2,0)</f>
        <v>Ulsan</v>
      </c>
      <c r="S797" s="6" t="s">
        <v>699</v>
      </c>
      <c r="T797" s="7">
        <v>17.0</v>
      </c>
      <c r="U797" s="7" t="s">
        <v>700</v>
      </c>
      <c r="V797" s="7" t="str">
        <f>VLOOKUP(U797,Jogadores!B:C,2,0)</f>
        <v>MF</v>
      </c>
      <c r="W797" s="8">
        <f>VLOOKUP(U797,Jogadores!B:D,3,0)</f>
        <v>31.79178082</v>
      </c>
      <c r="X797" s="7">
        <v>0.0</v>
      </c>
      <c r="Y797" s="7">
        <f t="shared" si="2491"/>
        <v>97</v>
      </c>
      <c r="Z797" s="7">
        <f>VLOOKUP(A797,Jogos!A:L,3,0)</f>
        <v>49</v>
      </c>
      <c r="AA797" s="7">
        <f t="shared" si="2229"/>
        <v>49</v>
      </c>
      <c r="AB797" s="7">
        <f>VLOOKUP(A797,Jogos!A:L,4,0)</f>
        <v>52</v>
      </c>
      <c r="AC797" s="7">
        <f t="shared" si="2230"/>
        <v>52</v>
      </c>
      <c r="AD797" s="7"/>
      <c r="AE797" s="7"/>
      <c r="AF797" s="7">
        <f t="shared" si="2231"/>
        <v>101</v>
      </c>
      <c r="AG797" s="7">
        <v>10902.4</v>
      </c>
      <c r="AH797" s="7">
        <v>3980.3</v>
      </c>
      <c r="AI797" s="7">
        <v>4559.7</v>
      </c>
      <c r="AJ797" s="7">
        <v>1339.2</v>
      </c>
      <c r="AK797" s="7">
        <v>678.4</v>
      </c>
      <c r="AL797" s="7">
        <v>344.7</v>
      </c>
      <c r="AM797" s="7">
        <v>121.0</v>
      </c>
      <c r="AN797" s="7">
        <v>53.0</v>
      </c>
      <c r="AO797" s="7">
        <v>31.2</v>
      </c>
      <c r="AP797" s="9">
        <f t="shared" ref="AP797:AR797" si="2492">AG797/$AF797</f>
        <v>107.9445545</v>
      </c>
      <c r="AQ797" s="9">
        <f t="shared" si="2492"/>
        <v>39.40891089</v>
      </c>
      <c r="AR797" s="9">
        <f t="shared" si="2492"/>
        <v>45.14554455</v>
      </c>
      <c r="AS797" s="9">
        <f t="shared" si="2233"/>
        <v>84.55445545</v>
      </c>
      <c r="AT797" s="9">
        <f t="shared" ref="AT797:AV797" si="2493">AJ797/$AF797</f>
        <v>13.25940594</v>
      </c>
      <c r="AU797" s="9">
        <f t="shared" si="2493"/>
        <v>6.716831683</v>
      </c>
      <c r="AV797" s="9">
        <f t="shared" si="2493"/>
        <v>3.412871287</v>
      </c>
      <c r="AW797" s="9">
        <f t="shared" si="2235"/>
        <v>10.12970297</v>
      </c>
      <c r="AX797" s="9">
        <f t="shared" ref="AX797:AY797" si="2494">AM797/$AF797</f>
        <v>1.198019802</v>
      </c>
      <c r="AY797" s="9">
        <f t="shared" si="2494"/>
        <v>0.5247524752</v>
      </c>
      <c r="AZ797" s="9">
        <f>VLOOKUP(A797,Jogos!A:BN,58,0)</f>
        <v>28.8</v>
      </c>
      <c r="BA797" s="9">
        <f>VLOOKUP(A797,Jogos!A:BN,59,0)</f>
        <v>17.995</v>
      </c>
      <c r="BB797" s="9">
        <f>VLOOKUP(A797,Jogos!A:BN,60,0)</f>
        <v>51.5</v>
      </c>
      <c r="BC797" s="9">
        <f>VLOOKUP(A797,Jogos!A:BN,61,0)</f>
        <v>28.43</v>
      </c>
      <c r="BD797" s="9">
        <f>VLOOKUP(A797,Jogos!A:BN,62,0)</f>
        <v>121.3</v>
      </c>
      <c r="BE797" s="9">
        <f>VLOOKUP(A797,Jogos!A:BN,63,0)</f>
        <v>1.79</v>
      </c>
      <c r="BF797" s="9">
        <f>VLOOKUP(A797,Jogos!A:BN,64,0)</f>
        <v>23.185</v>
      </c>
      <c r="BG797" s="9">
        <f>VLOOKUP(A797,Jogos!A:BN,65,0)</f>
        <v>42.105</v>
      </c>
      <c r="BH797" s="9">
        <f>VLOOKUP(A797,Jogos!A:BN,66,0)</f>
        <v>27.535</v>
      </c>
      <c r="BI797" s="9"/>
      <c r="BJ797" s="9"/>
    </row>
    <row r="798" hidden="1">
      <c r="A798" s="10">
        <v>27.0</v>
      </c>
      <c r="B798" s="11" t="s">
        <v>562</v>
      </c>
      <c r="C798" s="2" t="s">
        <v>61</v>
      </c>
      <c r="D798" s="12">
        <v>45829.0</v>
      </c>
      <c r="E798" s="13">
        <v>0.75</v>
      </c>
      <c r="F798" s="5" t="str">
        <f>VLOOKUP(A798,Jogos!A:N,10,0)</f>
        <v>Evening</v>
      </c>
      <c r="G798" s="11" t="s">
        <v>249</v>
      </c>
      <c r="H798" s="6" t="str">
        <f>VLOOKUP(A798,Jogos!A:L,12,0)</f>
        <v>Open</v>
      </c>
      <c r="I798" s="6" t="str">
        <f>VLOOKUP(G798,'Estádios e Cidades'!A:B,2,0)</f>
        <v>East Rutherford</v>
      </c>
      <c r="J798" s="11" t="s">
        <v>687</v>
      </c>
      <c r="K798" s="2" t="str">
        <f>VLOOKUP(J798,Equipes!A:F,6,0)</f>
        <v>Temperate</v>
      </c>
      <c r="L798" s="2">
        <f>VLOOKUP(J798,Equipes!A:C,3,0)</f>
        <v>28</v>
      </c>
      <c r="M798" s="2" t="str">
        <f t="shared" si="4"/>
        <v>Group</v>
      </c>
      <c r="N798" s="11" t="s">
        <v>563</v>
      </c>
      <c r="O798" s="2">
        <f>VLOOKUP(N798,Equipes!A:C,3,0)</f>
        <v>4</v>
      </c>
      <c r="P798" s="2" t="str">
        <f t="shared" si="5"/>
        <v>Semi-final</v>
      </c>
      <c r="Q798" s="2">
        <f t="shared" si="6"/>
        <v>24</v>
      </c>
      <c r="R798" s="2" t="str">
        <f>VLOOKUP(J798,Equipes!A:B,2,0)</f>
        <v>Ulsan</v>
      </c>
      <c r="S798" s="6" t="s">
        <v>701</v>
      </c>
      <c r="T798" s="7">
        <v>19.0</v>
      </c>
      <c r="U798" s="7" t="s">
        <v>702</v>
      </c>
      <c r="V798" s="7" t="str">
        <f>VLOOKUP(U798,Jogadores!B:C,2,0)</f>
        <v>DF</v>
      </c>
      <c r="W798" s="8">
        <f>VLOOKUP(U798,Jogadores!B:D,3,0)</f>
        <v>35.43835616</v>
      </c>
      <c r="X798" s="7">
        <v>0.0</v>
      </c>
      <c r="Y798" s="7">
        <f t="shared" si="2491"/>
        <v>97</v>
      </c>
      <c r="Z798" s="7">
        <f>VLOOKUP(A798,Jogos!A:L,3,0)</f>
        <v>49</v>
      </c>
      <c r="AA798" s="7">
        <f t="shared" si="2229"/>
        <v>49</v>
      </c>
      <c r="AB798" s="7">
        <f>VLOOKUP(A798,Jogos!A:L,4,0)</f>
        <v>52</v>
      </c>
      <c r="AC798" s="7">
        <f t="shared" si="2230"/>
        <v>52</v>
      </c>
      <c r="AD798" s="7"/>
      <c r="AE798" s="7"/>
      <c r="AF798" s="7">
        <f t="shared" si="2231"/>
        <v>101</v>
      </c>
      <c r="AG798" s="7">
        <v>8729.6</v>
      </c>
      <c r="AH798" s="7">
        <v>4663.3</v>
      </c>
      <c r="AI798" s="7">
        <v>3119.9</v>
      </c>
      <c r="AJ798" s="7">
        <v>732.4</v>
      </c>
      <c r="AK798" s="7">
        <v>176.0</v>
      </c>
      <c r="AL798" s="7">
        <v>38.0</v>
      </c>
      <c r="AM798" s="7">
        <v>57.0</v>
      </c>
      <c r="AN798" s="7">
        <v>17.0</v>
      </c>
      <c r="AO798" s="7">
        <v>30.8</v>
      </c>
      <c r="AP798" s="9">
        <f t="shared" ref="AP798:AR798" si="2495">AG798/$AF798</f>
        <v>86.43168317</v>
      </c>
      <c r="AQ798" s="9">
        <f t="shared" si="2495"/>
        <v>46.17128713</v>
      </c>
      <c r="AR798" s="9">
        <f t="shared" si="2495"/>
        <v>30.89009901</v>
      </c>
      <c r="AS798" s="9">
        <f t="shared" si="2233"/>
        <v>77.06138614</v>
      </c>
      <c r="AT798" s="9">
        <f t="shared" ref="AT798:AV798" si="2496">AJ798/$AF798</f>
        <v>7.251485149</v>
      </c>
      <c r="AU798" s="9">
        <f t="shared" si="2496"/>
        <v>1.742574257</v>
      </c>
      <c r="AV798" s="9">
        <f t="shared" si="2496"/>
        <v>0.3762376238</v>
      </c>
      <c r="AW798" s="9">
        <f t="shared" si="2235"/>
        <v>2.118811881</v>
      </c>
      <c r="AX798" s="9">
        <f t="shared" ref="AX798:AY798" si="2497">AM798/$AF798</f>
        <v>0.5643564356</v>
      </c>
      <c r="AY798" s="9">
        <f t="shared" si="2497"/>
        <v>0.1683168317</v>
      </c>
      <c r="AZ798" s="9">
        <f>VLOOKUP(A798,Jogos!A:BN,58,0)</f>
        <v>28.8</v>
      </c>
      <c r="BA798" s="9">
        <f>VLOOKUP(A798,Jogos!A:BN,59,0)</f>
        <v>17.995</v>
      </c>
      <c r="BB798" s="9">
        <f>VLOOKUP(A798,Jogos!A:BN,60,0)</f>
        <v>51.5</v>
      </c>
      <c r="BC798" s="9">
        <f>VLOOKUP(A798,Jogos!A:BN,61,0)</f>
        <v>28.43</v>
      </c>
      <c r="BD798" s="9">
        <f>VLOOKUP(A798,Jogos!A:BN,62,0)</f>
        <v>121.3</v>
      </c>
      <c r="BE798" s="9">
        <f>VLOOKUP(A798,Jogos!A:BN,63,0)</f>
        <v>1.79</v>
      </c>
      <c r="BF798" s="9">
        <f>VLOOKUP(A798,Jogos!A:BN,64,0)</f>
        <v>23.185</v>
      </c>
      <c r="BG798" s="9">
        <f>VLOOKUP(A798,Jogos!A:BN,65,0)</f>
        <v>42.105</v>
      </c>
      <c r="BH798" s="9">
        <f>VLOOKUP(A798,Jogos!A:BN,66,0)</f>
        <v>27.535</v>
      </c>
      <c r="BI798" s="9"/>
      <c r="BJ798" s="9"/>
    </row>
    <row r="799" hidden="1">
      <c r="A799" s="10">
        <v>27.0</v>
      </c>
      <c r="B799" s="11" t="s">
        <v>562</v>
      </c>
      <c r="C799" s="2" t="s">
        <v>61</v>
      </c>
      <c r="D799" s="12">
        <v>45829.0</v>
      </c>
      <c r="E799" s="13">
        <v>0.75</v>
      </c>
      <c r="F799" s="5" t="str">
        <f>VLOOKUP(A799,Jogos!A:N,10,0)</f>
        <v>Evening</v>
      </c>
      <c r="G799" s="11" t="s">
        <v>249</v>
      </c>
      <c r="H799" s="6" t="str">
        <f>VLOOKUP(A799,Jogos!A:L,12,0)</f>
        <v>Open</v>
      </c>
      <c r="I799" s="6" t="str">
        <f>VLOOKUP(G799,'Estádios e Cidades'!A:B,2,0)</f>
        <v>East Rutherford</v>
      </c>
      <c r="J799" s="11" t="s">
        <v>687</v>
      </c>
      <c r="K799" s="2" t="str">
        <f>VLOOKUP(J799,Equipes!A:F,6,0)</f>
        <v>Temperate</v>
      </c>
      <c r="L799" s="2">
        <f>VLOOKUP(J799,Equipes!A:C,3,0)</f>
        <v>28</v>
      </c>
      <c r="M799" s="2" t="str">
        <f t="shared" si="4"/>
        <v>Group</v>
      </c>
      <c r="N799" s="11" t="s">
        <v>563</v>
      </c>
      <c r="O799" s="2">
        <f>VLOOKUP(N799,Equipes!A:C,3,0)</f>
        <v>4</v>
      </c>
      <c r="P799" s="2" t="str">
        <f t="shared" si="5"/>
        <v>Semi-final</v>
      </c>
      <c r="Q799" s="2">
        <f t="shared" si="6"/>
        <v>24</v>
      </c>
      <c r="R799" s="2" t="str">
        <f>VLOOKUP(J799,Equipes!A:B,2,0)</f>
        <v>Ulsan</v>
      </c>
      <c r="S799" s="6" t="s">
        <v>1174</v>
      </c>
      <c r="T799" s="7">
        <v>28.0</v>
      </c>
      <c r="U799" s="7" t="s">
        <v>1175</v>
      </c>
      <c r="V799" s="7" t="str">
        <f>VLOOKUP(U799,Jogadores!B:C,2,0)</f>
        <v>DF</v>
      </c>
      <c r="W799" s="8">
        <f>VLOOKUP(U799,Jogadores!B:D,3,0)</f>
        <v>26.20547945</v>
      </c>
      <c r="X799" s="7">
        <v>0.0</v>
      </c>
      <c r="Y799" s="7">
        <v>85.0</v>
      </c>
      <c r="Z799" s="7">
        <f>VLOOKUP(A799,Jogos!A:L,3,0)</f>
        <v>49</v>
      </c>
      <c r="AA799" s="7">
        <f t="shared" si="2229"/>
        <v>49</v>
      </c>
      <c r="AB799" s="7">
        <f>VLOOKUP(A799,Jogos!A:L,4,0)</f>
        <v>52</v>
      </c>
      <c r="AC799" s="7">
        <f t="shared" si="2230"/>
        <v>40</v>
      </c>
      <c r="AD799" s="7"/>
      <c r="AE799" s="7"/>
      <c r="AF799" s="7">
        <f t="shared" si="2231"/>
        <v>89</v>
      </c>
      <c r="AG799" s="7">
        <v>8366.9</v>
      </c>
      <c r="AH799" s="7">
        <v>3803.3</v>
      </c>
      <c r="AI799" s="7">
        <v>3410.8</v>
      </c>
      <c r="AJ799" s="7">
        <v>842.5</v>
      </c>
      <c r="AK799" s="7">
        <v>279.9</v>
      </c>
      <c r="AL799" s="7">
        <v>30.4</v>
      </c>
      <c r="AM799" s="7">
        <v>74.0</v>
      </c>
      <c r="AN799" s="7">
        <v>25.0</v>
      </c>
      <c r="AO799" s="7">
        <v>28.0</v>
      </c>
      <c r="AP799" s="9">
        <f t="shared" ref="AP799:AR799" si="2498">AG799/$AF799</f>
        <v>94.01011236</v>
      </c>
      <c r="AQ799" s="9">
        <f t="shared" si="2498"/>
        <v>42.73370787</v>
      </c>
      <c r="AR799" s="9">
        <f t="shared" si="2498"/>
        <v>38.32359551</v>
      </c>
      <c r="AS799" s="9">
        <f t="shared" si="2233"/>
        <v>81.05730337</v>
      </c>
      <c r="AT799" s="9">
        <f t="shared" ref="AT799:AV799" si="2499">AJ799/$AF799</f>
        <v>9.466292135</v>
      </c>
      <c r="AU799" s="9">
        <f t="shared" si="2499"/>
        <v>3.14494382</v>
      </c>
      <c r="AV799" s="9">
        <f t="shared" si="2499"/>
        <v>0.3415730337</v>
      </c>
      <c r="AW799" s="9">
        <f t="shared" si="2235"/>
        <v>3.486516854</v>
      </c>
      <c r="AX799" s="9">
        <f t="shared" ref="AX799:AY799" si="2500">AM799/$AF799</f>
        <v>0.8314606742</v>
      </c>
      <c r="AY799" s="9">
        <f t="shared" si="2500"/>
        <v>0.2808988764</v>
      </c>
      <c r="AZ799" s="9">
        <f>VLOOKUP(A799,Jogos!A:BN,58,0)</f>
        <v>28.8</v>
      </c>
      <c r="BA799" s="9">
        <f>VLOOKUP(A799,Jogos!A:BN,59,0)</f>
        <v>17.995</v>
      </c>
      <c r="BB799" s="9">
        <f>VLOOKUP(A799,Jogos!A:BN,60,0)</f>
        <v>51.5</v>
      </c>
      <c r="BC799" s="9">
        <f>VLOOKUP(A799,Jogos!A:BN,61,0)</f>
        <v>28.43</v>
      </c>
      <c r="BD799" s="9">
        <f>VLOOKUP(A799,Jogos!A:BN,62,0)</f>
        <v>121.3</v>
      </c>
      <c r="BE799" s="9">
        <f>VLOOKUP(A799,Jogos!A:BN,63,0)</f>
        <v>1.79</v>
      </c>
      <c r="BF799" s="9">
        <f>VLOOKUP(A799,Jogos!A:BN,64,0)</f>
        <v>23.185</v>
      </c>
      <c r="BG799" s="9">
        <f>VLOOKUP(A799,Jogos!A:BN,65,0)</f>
        <v>42.105</v>
      </c>
      <c r="BH799" s="9">
        <f>VLOOKUP(A799,Jogos!A:BN,66,0)</f>
        <v>27.535</v>
      </c>
      <c r="BI799" s="9"/>
      <c r="BJ799" s="9"/>
    </row>
    <row r="800" hidden="1">
      <c r="A800" s="10">
        <v>27.0</v>
      </c>
      <c r="B800" s="11" t="s">
        <v>562</v>
      </c>
      <c r="C800" s="2" t="s">
        <v>61</v>
      </c>
      <c r="D800" s="12">
        <v>45829.0</v>
      </c>
      <c r="E800" s="13">
        <v>0.75</v>
      </c>
      <c r="F800" s="5" t="str">
        <f>VLOOKUP(A800,Jogos!A:N,10,0)</f>
        <v>Evening</v>
      </c>
      <c r="G800" s="11" t="s">
        <v>249</v>
      </c>
      <c r="H800" s="6" t="str">
        <f>VLOOKUP(A800,Jogos!A:L,12,0)</f>
        <v>Open</v>
      </c>
      <c r="I800" s="6" t="str">
        <f>VLOOKUP(G800,'Estádios e Cidades'!A:B,2,0)</f>
        <v>East Rutherford</v>
      </c>
      <c r="J800" s="11" t="s">
        <v>687</v>
      </c>
      <c r="K800" s="2" t="str">
        <f>VLOOKUP(J800,Equipes!A:F,6,0)</f>
        <v>Temperate</v>
      </c>
      <c r="L800" s="2">
        <f>VLOOKUP(J800,Equipes!A:C,3,0)</f>
        <v>28</v>
      </c>
      <c r="M800" s="2" t="str">
        <f t="shared" si="4"/>
        <v>Group</v>
      </c>
      <c r="N800" s="11" t="s">
        <v>563</v>
      </c>
      <c r="O800" s="2">
        <f>VLOOKUP(N800,Equipes!A:C,3,0)</f>
        <v>4</v>
      </c>
      <c r="P800" s="2" t="str">
        <f t="shared" si="5"/>
        <v>Semi-final</v>
      </c>
      <c r="Q800" s="2">
        <f t="shared" si="6"/>
        <v>24</v>
      </c>
      <c r="R800" s="2" t="str">
        <f>VLOOKUP(J800,Equipes!A:B,2,0)</f>
        <v>Ulsan</v>
      </c>
      <c r="S800" s="6" t="s">
        <v>705</v>
      </c>
      <c r="T800" s="7">
        <v>66.0</v>
      </c>
      <c r="U800" s="7" t="s">
        <v>706</v>
      </c>
      <c r="V800" s="7" t="str">
        <f>VLOOKUP(U800,Jogadores!B:C,2,0)</f>
        <v>DF</v>
      </c>
      <c r="W800" s="8">
        <f>VLOOKUP(U800,Jogadores!B:D,3,0)</f>
        <v>31.25205479</v>
      </c>
      <c r="X800" s="7">
        <v>0.0</v>
      </c>
      <c r="Y800" s="7">
        <f t="shared" ref="Y800:Y807" si="2504">45+AB800</f>
        <v>97</v>
      </c>
      <c r="Z800" s="7">
        <f>VLOOKUP(A800,Jogos!A:L,3,0)</f>
        <v>49</v>
      </c>
      <c r="AA800" s="7">
        <f t="shared" si="2229"/>
        <v>49</v>
      </c>
      <c r="AB800" s="7">
        <f>VLOOKUP(A800,Jogos!A:L,4,0)</f>
        <v>52</v>
      </c>
      <c r="AC800" s="7">
        <f t="shared" si="2230"/>
        <v>52</v>
      </c>
      <c r="AD800" s="7"/>
      <c r="AE800" s="7"/>
      <c r="AF800" s="7">
        <f t="shared" si="2231"/>
        <v>101</v>
      </c>
      <c r="AG800" s="7">
        <v>9730.5</v>
      </c>
      <c r="AH800" s="7">
        <v>4490.5</v>
      </c>
      <c r="AI800" s="7">
        <v>3871.4</v>
      </c>
      <c r="AJ800" s="7">
        <v>1010.1</v>
      </c>
      <c r="AK800" s="7">
        <v>300.8</v>
      </c>
      <c r="AL800" s="7">
        <v>57.7</v>
      </c>
      <c r="AM800" s="7">
        <v>89.0</v>
      </c>
      <c r="AN800" s="7">
        <v>27.0</v>
      </c>
      <c r="AO800" s="7">
        <v>30.8</v>
      </c>
      <c r="AP800" s="9">
        <f t="shared" ref="AP800:AR800" si="2501">AG800/$AF800</f>
        <v>96.34158416</v>
      </c>
      <c r="AQ800" s="9">
        <f t="shared" si="2501"/>
        <v>44.46039604</v>
      </c>
      <c r="AR800" s="9">
        <f t="shared" si="2501"/>
        <v>38.33069307</v>
      </c>
      <c r="AS800" s="9">
        <f t="shared" si="2233"/>
        <v>82.79108911</v>
      </c>
      <c r="AT800" s="9">
        <f t="shared" ref="AT800:AV800" si="2502">AJ800/$AF800</f>
        <v>10.0009901</v>
      </c>
      <c r="AU800" s="9">
        <f t="shared" si="2502"/>
        <v>2.978217822</v>
      </c>
      <c r="AV800" s="9">
        <f t="shared" si="2502"/>
        <v>0.5712871287</v>
      </c>
      <c r="AW800" s="9">
        <f t="shared" si="2235"/>
        <v>3.54950495</v>
      </c>
      <c r="AX800" s="9">
        <f t="shared" ref="AX800:AY800" si="2503">AM800/$AF800</f>
        <v>0.8811881188</v>
      </c>
      <c r="AY800" s="9">
        <f t="shared" si="2503"/>
        <v>0.2673267327</v>
      </c>
      <c r="AZ800" s="9">
        <f>VLOOKUP(A800,Jogos!A:BN,58,0)</f>
        <v>28.8</v>
      </c>
      <c r="BA800" s="9">
        <f>VLOOKUP(A800,Jogos!A:BN,59,0)</f>
        <v>17.995</v>
      </c>
      <c r="BB800" s="9">
        <f>VLOOKUP(A800,Jogos!A:BN,60,0)</f>
        <v>51.5</v>
      </c>
      <c r="BC800" s="9">
        <f>VLOOKUP(A800,Jogos!A:BN,61,0)</f>
        <v>28.43</v>
      </c>
      <c r="BD800" s="9">
        <f>VLOOKUP(A800,Jogos!A:BN,62,0)</f>
        <v>121.3</v>
      </c>
      <c r="BE800" s="9">
        <f>VLOOKUP(A800,Jogos!A:BN,63,0)</f>
        <v>1.79</v>
      </c>
      <c r="BF800" s="9">
        <f>VLOOKUP(A800,Jogos!A:BN,64,0)</f>
        <v>23.185</v>
      </c>
      <c r="BG800" s="9">
        <f>VLOOKUP(A800,Jogos!A:BN,65,0)</f>
        <v>42.105</v>
      </c>
      <c r="BH800" s="9">
        <f>VLOOKUP(A800,Jogos!A:BN,66,0)</f>
        <v>27.535</v>
      </c>
      <c r="BI800" s="9"/>
      <c r="BJ800" s="9"/>
    </row>
    <row r="801" hidden="1">
      <c r="A801" s="10">
        <v>27.0</v>
      </c>
      <c r="B801" s="11" t="s">
        <v>562</v>
      </c>
      <c r="C801" s="2" t="s">
        <v>61</v>
      </c>
      <c r="D801" s="12">
        <v>45829.0</v>
      </c>
      <c r="E801" s="13">
        <v>0.75</v>
      </c>
      <c r="F801" s="5" t="str">
        <f>VLOOKUP(A801,Jogos!A:N,10,0)</f>
        <v>Evening</v>
      </c>
      <c r="G801" s="11" t="s">
        <v>249</v>
      </c>
      <c r="H801" s="6" t="str">
        <f>VLOOKUP(A801,Jogos!A:L,12,0)</f>
        <v>Open</v>
      </c>
      <c r="I801" s="6" t="str">
        <f>VLOOKUP(G801,'Estádios e Cidades'!A:B,2,0)</f>
        <v>East Rutherford</v>
      </c>
      <c r="J801" s="11" t="s">
        <v>687</v>
      </c>
      <c r="K801" s="2" t="str">
        <f>VLOOKUP(J801,Equipes!A:F,6,0)</f>
        <v>Temperate</v>
      </c>
      <c r="L801" s="2">
        <f>VLOOKUP(J801,Equipes!A:C,3,0)</f>
        <v>28</v>
      </c>
      <c r="M801" s="2" t="str">
        <f t="shared" si="4"/>
        <v>Group</v>
      </c>
      <c r="N801" s="11" t="s">
        <v>563</v>
      </c>
      <c r="O801" s="2">
        <f>VLOOKUP(N801,Equipes!A:C,3,0)</f>
        <v>4</v>
      </c>
      <c r="P801" s="2" t="str">
        <f t="shared" si="5"/>
        <v>Semi-final</v>
      </c>
      <c r="Q801" s="2">
        <f t="shared" si="6"/>
        <v>24</v>
      </c>
      <c r="R801" s="2" t="str">
        <f>VLOOKUP(J801,Equipes!A:B,2,0)</f>
        <v>Ulsan</v>
      </c>
      <c r="S801" s="6" t="s">
        <v>707</v>
      </c>
      <c r="T801" s="7">
        <v>97.0</v>
      </c>
      <c r="U801" s="7" t="s">
        <v>708</v>
      </c>
      <c r="V801" s="7" t="str">
        <f>VLOOKUP(U801,Jogadores!B:C,2,0)</f>
        <v>MF</v>
      </c>
      <c r="W801" s="8">
        <f>VLOOKUP(U801,Jogadores!B:D,3,0)</f>
        <v>28.58356164</v>
      </c>
      <c r="X801" s="7">
        <v>0.0</v>
      </c>
      <c r="Y801" s="7">
        <f t="shared" si="2504"/>
        <v>97</v>
      </c>
      <c r="Z801" s="7">
        <f>VLOOKUP(A801,Jogos!A:L,3,0)</f>
        <v>49</v>
      </c>
      <c r="AA801" s="7">
        <f t="shared" si="2229"/>
        <v>49</v>
      </c>
      <c r="AB801" s="7">
        <f>VLOOKUP(A801,Jogos!A:L,4,0)</f>
        <v>52</v>
      </c>
      <c r="AC801" s="7">
        <f t="shared" si="2230"/>
        <v>52</v>
      </c>
      <c r="AD801" s="7"/>
      <c r="AE801" s="7"/>
      <c r="AF801" s="7">
        <f t="shared" si="2231"/>
        <v>101</v>
      </c>
      <c r="AG801" s="7">
        <v>10583.2</v>
      </c>
      <c r="AH801" s="7">
        <v>4360.8</v>
      </c>
      <c r="AI801" s="7">
        <v>4025.3</v>
      </c>
      <c r="AJ801" s="7">
        <v>1350.8</v>
      </c>
      <c r="AK801" s="7">
        <v>571.3</v>
      </c>
      <c r="AL801" s="7">
        <v>275.0</v>
      </c>
      <c r="AM801" s="7">
        <v>109.0</v>
      </c>
      <c r="AN801" s="7">
        <v>47.0</v>
      </c>
      <c r="AO801" s="7">
        <v>32.7</v>
      </c>
      <c r="AP801" s="9">
        <f t="shared" ref="AP801:AR801" si="2505">AG801/$AF801</f>
        <v>104.7841584</v>
      </c>
      <c r="AQ801" s="9">
        <f t="shared" si="2505"/>
        <v>43.17623762</v>
      </c>
      <c r="AR801" s="9">
        <f t="shared" si="2505"/>
        <v>39.85445545</v>
      </c>
      <c r="AS801" s="9">
        <f t="shared" si="2233"/>
        <v>83.03069307</v>
      </c>
      <c r="AT801" s="9">
        <f t="shared" ref="AT801:AV801" si="2506">AJ801/$AF801</f>
        <v>13.37425743</v>
      </c>
      <c r="AU801" s="9">
        <f t="shared" si="2506"/>
        <v>5.656435644</v>
      </c>
      <c r="AV801" s="9">
        <f t="shared" si="2506"/>
        <v>2.722772277</v>
      </c>
      <c r="AW801" s="9">
        <f t="shared" si="2235"/>
        <v>8.379207921</v>
      </c>
      <c r="AX801" s="9">
        <f t="shared" ref="AX801:AY801" si="2507">AM801/$AF801</f>
        <v>1.079207921</v>
      </c>
      <c r="AY801" s="9">
        <f t="shared" si="2507"/>
        <v>0.4653465347</v>
      </c>
      <c r="AZ801" s="9">
        <f>VLOOKUP(A801,Jogos!A:BN,58,0)</f>
        <v>28.8</v>
      </c>
      <c r="BA801" s="9">
        <f>VLOOKUP(A801,Jogos!A:BN,59,0)</f>
        <v>17.995</v>
      </c>
      <c r="BB801" s="9">
        <f>VLOOKUP(A801,Jogos!A:BN,60,0)</f>
        <v>51.5</v>
      </c>
      <c r="BC801" s="9">
        <f>VLOOKUP(A801,Jogos!A:BN,61,0)</f>
        <v>28.43</v>
      </c>
      <c r="BD801" s="9">
        <f>VLOOKUP(A801,Jogos!A:BN,62,0)</f>
        <v>121.3</v>
      </c>
      <c r="BE801" s="9">
        <f>VLOOKUP(A801,Jogos!A:BN,63,0)</f>
        <v>1.79</v>
      </c>
      <c r="BF801" s="9">
        <f>VLOOKUP(A801,Jogos!A:BN,64,0)</f>
        <v>23.185</v>
      </c>
      <c r="BG801" s="9">
        <f>VLOOKUP(A801,Jogos!A:BN,65,0)</f>
        <v>42.105</v>
      </c>
      <c r="BH801" s="9">
        <f>VLOOKUP(A801,Jogos!A:BN,66,0)</f>
        <v>27.535</v>
      </c>
      <c r="BI801" s="9"/>
      <c r="BJ801" s="9"/>
    </row>
    <row r="802" hidden="1">
      <c r="A802" s="10">
        <v>27.0</v>
      </c>
      <c r="B802" s="11" t="s">
        <v>562</v>
      </c>
      <c r="C802" s="2" t="s">
        <v>61</v>
      </c>
      <c r="D802" s="12">
        <v>45829.0</v>
      </c>
      <c r="E802" s="13">
        <v>0.75</v>
      </c>
      <c r="F802" s="5" t="str">
        <f>VLOOKUP(A802,Jogos!A:N,10,0)</f>
        <v>Evening</v>
      </c>
      <c r="G802" s="11" t="s">
        <v>249</v>
      </c>
      <c r="H802" s="6" t="str">
        <f>VLOOKUP(A802,Jogos!A:L,12,0)</f>
        <v>Open</v>
      </c>
      <c r="I802" s="6" t="str">
        <f>VLOOKUP(G802,'Estádios e Cidades'!A:B,2,0)</f>
        <v>East Rutherford</v>
      </c>
      <c r="J802" s="11" t="s">
        <v>687</v>
      </c>
      <c r="K802" s="2" t="str">
        <f>VLOOKUP(J802,Equipes!A:F,6,0)</f>
        <v>Temperate</v>
      </c>
      <c r="L802" s="2">
        <f>VLOOKUP(J802,Equipes!A:C,3,0)</f>
        <v>28</v>
      </c>
      <c r="M802" s="2" t="str">
        <f t="shared" si="4"/>
        <v>Group</v>
      </c>
      <c r="N802" s="11" t="s">
        <v>563</v>
      </c>
      <c r="O802" s="2">
        <f>VLOOKUP(N802,Equipes!A:C,3,0)</f>
        <v>4</v>
      </c>
      <c r="P802" s="2" t="str">
        <f t="shared" si="5"/>
        <v>Semi-final</v>
      </c>
      <c r="Q802" s="2">
        <f t="shared" si="6"/>
        <v>24</v>
      </c>
      <c r="R802" s="2" t="str">
        <f>VLOOKUP(J802,Equipes!A:B,2,0)</f>
        <v>Ulsan</v>
      </c>
      <c r="S802" s="6" t="s">
        <v>691</v>
      </c>
      <c r="T802" s="7">
        <v>5.0</v>
      </c>
      <c r="U802" s="7" t="s">
        <v>692</v>
      </c>
      <c r="V802" s="7" t="str">
        <f>VLOOKUP(U802,Jogadores!B:C,2,0)</f>
        <v>MF</v>
      </c>
      <c r="W802" s="8">
        <f>VLOOKUP(U802,Jogadores!B:D,3,0)</f>
        <v>35.64383562</v>
      </c>
      <c r="X802" s="7">
        <v>85.0</v>
      </c>
      <c r="Y802" s="7">
        <f t="shared" si="2504"/>
        <v>97</v>
      </c>
      <c r="Z802" s="7">
        <f>VLOOKUP(A802,Jogos!A:L,3,0)</f>
        <v>49</v>
      </c>
      <c r="AA802" s="7">
        <f t="shared" si="2229"/>
        <v>0</v>
      </c>
      <c r="AB802" s="7">
        <f>VLOOKUP(A802,Jogos!A:L,4,0)</f>
        <v>52</v>
      </c>
      <c r="AC802" s="7">
        <f t="shared" si="2230"/>
        <v>12</v>
      </c>
      <c r="AD802" s="7"/>
      <c r="AE802" s="7"/>
      <c r="AF802" s="7">
        <f t="shared" si="2231"/>
        <v>12</v>
      </c>
      <c r="AG802" s="7">
        <v>1511.9</v>
      </c>
      <c r="AH802" s="7">
        <v>476.5</v>
      </c>
      <c r="AI802" s="7">
        <v>626.8</v>
      </c>
      <c r="AJ802" s="7">
        <v>304.1</v>
      </c>
      <c r="AK802" s="7">
        <v>72.7</v>
      </c>
      <c r="AL802" s="7">
        <v>31.7</v>
      </c>
      <c r="AM802" s="7">
        <v>24.0</v>
      </c>
      <c r="AN802" s="7">
        <v>6.0</v>
      </c>
      <c r="AO802" s="7">
        <v>27.4</v>
      </c>
      <c r="AP802" s="9">
        <f t="shared" ref="AP802:AR802" si="2508">AG802/$AF802</f>
        <v>125.9916667</v>
      </c>
      <c r="AQ802" s="9">
        <f t="shared" si="2508"/>
        <v>39.70833333</v>
      </c>
      <c r="AR802" s="9">
        <f t="shared" si="2508"/>
        <v>52.23333333</v>
      </c>
      <c r="AS802" s="9">
        <f t="shared" si="2233"/>
        <v>91.94166667</v>
      </c>
      <c r="AT802" s="9">
        <f t="shared" ref="AT802:AV802" si="2509">AJ802/$AF802</f>
        <v>25.34166667</v>
      </c>
      <c r="AU802" s="9">
        <f t="shared" si="2509"/>
        <v>6.058333333</v>
      </c>
      <c r="AV802" s="9">
        <f t="shared" si="2509"/>
        <v>2.641666667</v>
      </c>
      <c r="AW802" s="9">
        <f t="shared" si="2235"/>
        <v>8.7</v>
      </c>
      <c r="AX802" s="9">
        <f t="shared" ref="AX802:AY802" si="2510">AM802/$AF802</f>
        <v>2</v>
      </c>
      <c r="AY802" s="9">
        <f t="shared" si="2510"/>
        <v>0.5</v>
      </c>
      <c r="AZ802" s="9">
        <f>VLOOKUP(A802,Jogos!A:BN,58,0)</f>
        <v>28.8</v>
      </c>
      <c r="BA802" s="9">
        <f>VLOOKUP(A802,Jogos!A:BN,59,0)</f>
        <v>17.995</v>
      </c>
      <c r="BB802" s="9">
        <f>VLOOKUP(A802,Jogos!A:BN,60,0)</f>
        <v>51.5</v>
      </c>
      <c r="BC802" s="9">
        <f>VLOOKUP(A802,Jogos!A:BN,61,0)</f>
        <v>28.43</v>
      </c>
      <c r="BD802" s="9">
        <f>VLOOKUP(A802,Jogos!A:BN,62,0)</f>
        <v>121.3</v>
      </c>
      <c r="BE802" s="9">
        <f>VLOOKUP(A802,Jogos!A:BN,63,0)</f>
        <v>1.79</v>
      </c>
      <c r="BF802" s="9">
        <f>VLOOKUP(A802,Jogos!A:BN,64,0)</f>
        <v>23.185</v>
      </c>
      <c r="BG802" s="9">
        <f>VLOOKUP(A802,Jogos!A:BN,65,0)</f>
        <v>42.105</v>
      </c>
      <c r="BH802" s="9">
        <f>VLOOKUP(A802,Jogos!A:BN,66,0)</f>
        <v>27.535</v>
      </c>
      <c r="BI802" s="9"/>
      <c r="BJ802" s="9"/>
    </row>
    <row r="803" hidden="1">
      <c r="A803" s="10">
        <v>27.0</v>
      </c>
      <c r="B803" s="11" t="s">
        <v>562</v>
      </c>
      <c r="C803" s="2" t="s">
        <v>61</v>
      </c>
      <c r="D803" s="12">
        <v>45829.0</v>
      </c>
      <c r="E803" s="13">
        <v>0.75</v>
      </c>
      <c r="F803" s="5" t="str">
        <f>VLOOKUP(A803,Jogos!A:N,10,0)</f>
        <v>Evening</v>
      </c>
      <c r="G803" s="11" t="s">
        <v>249</v>
      </c>
      <c r="H803" s="6" t="str">
        <f>VLOOKUP(A803,Jogos!A:L,12,0)</f>
        <v>Open</v>
      </c>
      <c r="I803" s="6" t="str">
        <f>VLOOKUP(G803,'Estádios e Cidades'!A:B,2,0)</f>
        <v>East Rutherford</v>
      </c>
      <c r="J803" s="11" t="s">
        <v>687</v>
      </c>
      <c r="K803" s="2" t="str">
        <f>VLOOKUP(J803,Equipes!A:F,6,0)</f>
        <v>Temperate</v>
      </c>
      <c r="L803" s="2">
        <f>VLOOKUP(J803,Equipes!A:C,3,0)</f>
        <v>28</v>
      </c>
      <c r="M803" s="2" t="str">
        <f t="shared" si="4"/>
        <v>Group</v>
      </c>
      <c r="N803" s="11" t="s">
        <v>563</v>
      </c>
      <c r="O803" s="2">
        <f>VLOOKUP(N803,Equipes!A:C,3,0)</f>
        <v>4</v>
      </c>
      <c r="P803" s="2" t="str">
        <f t="shared" si="5"/>
        <v>Semi-final</v>
      </c>
      <c r="Q803" s="2">
        <f t="shared" si="6"/>
        <v>24</v>
      </c>
      <c r="R803" s="2" t="str">
        <f>VLOOKUP(J803,Equipes!A:B,2,0)</f>
        <v>Ulsan</v>
      </c>
      <c r="S803" s="6" t="s">
        <v>1176</v>
      </c>
      <c r="T803" s="7">
        <v>18.0</v>
      </c>
      <c r="U803" s="7" t="s">
        <v>1177</v>
      </c>
      <c r="V803" s="7" t="str">
        <f>VLOOKUP(U803,Jogadores!B:C,2,0)</f>
        <v>FW</v>
      </c>
      <c r="W803" s="8">
        <f>VLOOKUP(U803,Jogadores!B:D,3,0)</f>
        <v>24.30958904</v>
      </c>
      <c r="X803" s="7">
        <v>85.0</v>
      </c>
      <c r="Y803" s="7">
        <f t="shared" si="2504"/>
        <v>97</v>
      </c>
      <c r="Z803" s="7">
        <f>VLOOKUP(A803,Jogos!A:L,3,0)</f>
        <v>49</v>
      </c>
      <c r="AA803" s="7">
        <f t="shared" si="2229"/>
        <v>0</v>
      </c>
      <c r="AB803" s="7">
        <f>VLOOKUP(A803,Jogos!A:L,4,0)</f>
        <v>52</v>
      </c>
      <c r="AC803" s="7">
        <f t="shared" si="2230"/>
        <v>12</v>
      </c>
      <c r="AD803" s="7"/>
      <c r="AE803" s="7"/>
      <c r="AF803" s="7">
        <f t="shared" si="2231"/>
        <v>12</v>
      </c>
      <c r="AG803" s="7">
        <v>1425.4</v>
      </c>
      <c r="AH803" s="7">
        <v>427.6</v>
      </c>
      <c r="AI803" s="7">
        <v>603.2</v>
      </c>
      <c r="AJ803" s="7">
        <v>210.1</v>
      </c>
      <c r="AK803" s="7">
        <v>157.3</v>
      </c>
      <c r="AL803" s="7">
        <v>27.1</v>
      </c>
      <c r="AM803" s="7">
        <v>17.0</v>
      </c>
      <c r="AN803" s="7">
        <v>13.0</v>
      </c>
      <c r="AO803" s="7">
        <v>28.9</v>
      </c>
      <c r="AP803" s="9">
        <f t="shared" ref="AP803:AR803" si="2511">AG803/$AF803</f>
        <v>118.7833333</v>
      </c>
      <c r="AQ803" s="9">
        <f t="shared" si="2511"/>
        <v>35.63333333</v>
      </c>
      <c r="AR803" s="9">
        <f t="shared" si="2511"/>
        <v>50.26666667</v>
      </c>
      <c r="AS803" s="9">
        <f t="shared" si="2233"/>
        <v>85.9</v>
      </c>
      <c r="AT803" s="9">
        <f t="shared" ref="AT803:AV803" si="2512">AJ803/$AF803</f>
        <v>17.50833333</v>
      </c>
      <c r="AU803" s="9">
        <f t="shared" si="2512"/>
        <v>13.10833333</v>
      </c>
      <c r="AV803" s="9">
        <f t="shared" si="2512"/>
        <v>2.258333333</v>
      </c>
      <c r="AW803" s="9">
        <f t="shared" si="2235"/>
        <v>15.36666667</v>
      </c>
      <c r="AX803" s="9">
        <f t="shared" ref="AX803:AY803" si="2513">AM803/$AF803</f>
        <v>1.416666667</v>
      </c>
      <c r="AY803" s="9">
        <f t="shared" si="2513"/>
        <v>1.083333333</v>
      </c>
      <c r="AZ803" s="9">
        <f>VLOOKUP(A803,Jogos!A:BN,58,0)</f>
        <v>28.8</v>
      </c>
      <c r="BA803" s="9">
        <f>VLOOKUP(A803,Jogos!A:BN,59,0)</f>
        <v>17.995</v>
      </c>
      <c r="BB803" s="9">
        <f>VLOOKUP(A803,Jogos!A:BN,60,0)</f>
        <v>51.5</v>
      </c>
      <c r="BC803" s="9">
        <f>VLOOKUP(A803,Jogos!A:BN,61,0)</f>
        <v>28.43</v>
      </c>
      <c r="BD803" s="9">
        <f>VLOOKUP(A803,Jogos!A:BN,62,0)</f>
        <v>121.3</v>
      </c>
      <c r="BE803" s="9">
        <f>VLOOKUP(A803,Jogos!A:BN,63,0)</f>
        <v>1.79</v>
      </c>
      <c r="BF803" s="9">
        <f>VLOOKUP(A803,Jogos!A:BN,64,0)</f>
        <v>23.185</v>
      </c>
      <c r="BG803" s="9">
        <f>VLOOKUP(A803,Jogos!A:BN,65,0)</f>
        <v>42.105</v>
      </c>
      <c r="BH803" s="9">
        <f>VLOOKUP(A803,Jogos!A:BN,66,0)</f>
        <v>27.535</v>
      </c>
      <c r="BI803" s="9"/>
      <c r="BJ803" s="9"/>
    </row>
    <row r="804" hidden="1">
      <c r="A804" s="10">
        <v>27.0</v>
      </c>
      <c r="B804" s="11" t="s">
        <v>562</v>
      </c>
      <c r="C804" s="2" t="s">
        <v>61</v>
      </c>
      <c r="D804" s="12">
        <v>45829.0</v>
      </c>
      <c r="E804" s="13">
        <v>0.75</v>
      </c>
      <c r="F804" s="5" t="str">
        <f>VLOOKUP(A804,Jogos!A:N,10,0)</f>
        <v>Evening</v>
      </c>
      <c r="G804" s="11" t="s">
        <v>249</v>
      </c>
      <c r="H804" s="6" t="str">
        <f>VLOOKUP(A804,Jogos!A:L,12,0)</f>
        <v>Open</v>
      </c>
      <c r="I804" s="6" t="str">
        <f>VLOOKUP(G804,'Estádios e Cidades'!A:B,2,0)</f>
        <v>East Rutherford</v>
      </c>
      <c r="J804" s="11" t="s">
        <v>687</v>
      </c>
      <c r="K804" s="2" t="str">
        <f>VLOOKUP(J804,Equipes!A:F,6,0)</f>
        <v>Temperate</v>
      </c>
      <c r="L804" s="2">
        <f>VLOOKUP(J804,Equipes!A:C,3,0)</f>
        <v>28</v>
      </c>
      <c r="M804" s="2" t="str">
        <f t="shared" si="4"/>
        <v>Group</v>
      </c>
      <c r="N804" s="11" t="s">
        <v>563</v>
      </c>
      <c r="O804" s="2">
        <f>VLOOKUP(N804,Equipes!A:C,3,0)</f>
        <v>4</v>
      </c>
      <c r="P804" s="2" t="str">
        <f t="shared" si="5"/>
        <v>Semi-final</v>
      </c>
      <c r="Q804" s="2">
        <f t="shared" si="6"/>
        <v>24</v>
      </c>
      <c r="R804" s="2" t="str">
        <f>VLOOKUP(J804,Equipes!A:B,2,0)</f>
        <v>Ulsan</v>
      </c>
      <c r="S804" s="6" t="s">
        <v>703</v>
      </c>
      <c r="T804" s="7">
        <v>27.0</v>
      </c>
      <c r="U804" s="7" t="s">
        <v>704</v>
      </c>
      <c r="V804" s="7" t="str">
        <f>VLOOKUP(U804,Jogadores!B:C,2,0)</f>
        <v>MF</v>
      </c>
      <c r="W804" s="8">
        <f>VLOOKUP(U804,Jogadores!B:D,3,0)</f>
        <v>37.09589041</v>
      </c>
      <c r="X804" s="7">
        <v>85.0</v>
      </c>
      <c r="Y804" s="7">
        <f t="shared" si="2504"/>
        <v>97</v>
      </c>
      <c r="Z804" s="7">
        <f>VLOOKUP(A804,Jogos!A:L,3,0)</f>
        <v>49</v>
      </c>
      <c r="AA804" s="7">
        <f t="shared" si="2229"/>
        <v>0</v>
      </c>
      <c r="AB804" s="7">
        <f>VLOOKUP(A804,Jogos!A:L,4,0)</f>
        <v>52</v>
      </c>
      <c r="AC804" s="7">
        <f t="shared" si="2230"/>
        <v>12</v>
      </c>
      <c r="AD804" s="7"/>
      <c r="AE804" s="7"/>
      <c r="AF804" s="7">
        <f t="shared" si="2231"/>
        <v>12</v>
      </c>
      <c r="AG804" s="7">
        <v>1659.1</v>
      </c>
      <c r="AH804" s="7">
        <v>398.4</v>
      </c>
      <c r="AI804" s="7">
        <v>835.2</v>
      </c>
      <c r="AJ804" s="7">
        <v>305.5</v>
      </c>
      <c r="AK804" s="7">
        <v>98.8</v>
      </c>
      <c r="AL804" s="7">
        <v>21.2</v>
      </c>
      <c r="AM804" s="7">
        <v>28.0</v>
      </c>
      <c r="AN804" s="7">
        <v>6.0</v>
      </c>
      <c r="AO804" s="7">
        <v>27.9</v>
      </c>
      <c r="AP804" s="9">
        <f t="shared" ref="AP804:AR804" si="2514">AG804/$AF804</f>
        <v>138.2583333</v>
      </c>
      <c r="AQ804" s="9">
        <f t="shared" si="2514"/>
        <v>33.2</v>
      </c>
      <c r="AR804" s="9">
        <f t="shared" si="2514"/>
        <v>69.6</v>
      </c>
      <c r="AS804" s="9">
        <f t="shared" si="2233"/>
        <v>102.8</v>
      </c>
      <c r="AT804" s="9">
        <f t="shared" ref="AT804:AV804" si="2515">AJ804/$AF804</f>
        <v>25.45833333</v>
      </c>
      <c r="AU804" s="9">
        <f t="shared" si="2515"/>
        <v>8.233333333</v>
      </c>
      <c r="AV804" s="9">
        <f t="shared" si="2515"/>
        <v>1.766666667</v>
      </c>
      <c r="AW804" s="9">
        <f t="shared" si="2235"/>
        <v>10</v>
      </c>
      <c r="AX804" s="9">
        <f t="shared" ref="AX804:AY804" si="2516">AM804/$AF804</f>
        <v>2.333333333</v>
      </c>
      <c r="AY804" s="9">
        <f t="shared" si="2516"/>
        <v>0.5</v>
      </c>
      <c r="AZ804" s="9">
        <f>VLOOKUP(A804,Jogos!A:BN,58,0)</f>
        <v>28.8</v>
      </c>
      <c r="BA804" s="9">
        <f>VLOOKUP(A804,Jogos!A:BN,59,0)</f>
        <v>17.995</v>
      </c>
      <c r="BB804" s="9">
        <f>VLOOKUP(A804,Jogos!A:BN,60,0)</f>
        <v>51.5</v>
      </c>
      <c r="BC804" s="9">
        <f>VLOOKUP(A804,Jogos!A:BN,61,0)</f>
        <v>28.43</v>
      </c>
      <c r="BD804" s="9">
        <f>VLOOKUP(A804,Jogos!A:BN,62,0)</f>
        <v>121.3</v>
      </c>
      <c r="BE804" s="9">
        <f>VLOOKUP(A804,Jogos!A:BN,63,0)</f>
        <v>1.79</v>
      </c>
      <c r="BF804" s="9">
        <f>VLOOKUP(A804,Jogos!A:BN,64,0)</f>
        <v>23.185</v>
      </c>
      <c r="BG804" s="9">
        <f>VLOOKUP(A804,Jogos!A:BN,65,0)</f>
        <v>42.105</v>
      </c>
      <c r="BH804" s="9">
        <f>VLOOKUP(A804,Jogos!A:BN,66,0)</f>
        <v>27.535</v>
      </c>
      <c r="BI804" s="9"/>
      <c r="BJ804" s="9"/>
    </row>
    <row r="805" hidden="1">
      <c r="A805" s="10">
        <v>27.0</v>
      </c>
      <c r="B805" s="11" t="s">
        <v>562</v>
      </c>
      <c r="C805" s="2" t="s">
        <v>61</v>
      </c>
      <c r="D805" s="12">
        <v>45829.0</v>
      </c>
      <c r="E805" s="13">
        <v>0.75</v>
      </c>
      <c r="F805" s="5" t="str">
        <f>VLOOKUP(A805,Jogos!A:N,10,0)</f>
        <v>Evening</v>
      </c>
      <c r="G805" s="11" t="s">
        <v>249</v>
      </c>
      <c r="H805" s="6" t="str">
        <f>VLOOKUP(A805,Jogos!A:L,12,0)</f>
        <v>Open</v>
      </c>
      <c r="I805" s="6" t="str">
        <f>VLOOKUP(G805,'Estádios e Cidades'!A:B,2,0)</f>
        <v>East Rutherford</v>
      </c>
      <c r="J805" s="11" t="s">
        <v>687</v>
      </c>
      <c r="K805" s="2" t="str">
        <f>VLOOKUP(J805,Equipes!A:F,6,0)</f>
        <v>Temperate</v>
      </c>
      <c r="L805" s="2">
        <f>VLOOKUP(J805,Equipes!A:C,3,0)</f>
        <v>28</v>
      </c>
      <c r="M805" s="2" t="str">
        <f t="shared" si="4"/>
        <v>Group</v>
      </c>
      <c r="N805" s="11" t="s">
        <v>563</v>
      </c>
      <c r="O805" s="2">
        <f>VLOOKUP(N805,Equipes!A:C,3,0)</f>
        <v>4</v>
      </c>
      <c r="P805" s="2" t="str">
        <f t="shared" si="5"/>
        <v>Semi-final</v>
      </c>
      <c r="Q805" s="2">
        <f t="shared" si="6"/>
        <v>24</v>
      </c>
      <c r="R805" s="2" t="str">
        <f>VLOOKUP(J805,Equipes!A:B,2,0)</f>
        <v>Ulsan</v>
      </c>
      <c r="S805" s="6" t="s">
        <v>715</v>
      </c>
      <c r="T805" s="7">
        <v>36.0</v>
      </c>
      <c r="U805" s="7" t="s">
        <v>716</v>
      </c>
      <c r="V805" s="7" t="str">
        <f>VLOOKUP(U805,Jogadores!B:C,2,0)</f>
        <v>MF</v>
      </c>
      <c r="W805" s="8">
        <f>VLOOKUP(U805,Jogadores!B:D,3,0)</f>
        <v>22.77534247</v>
      </c>
      <c r="X805" s="7">
        <v>75.0</v>
      </c>
      <c r="Y805" s="7">
        <f t="shared" si="2504"/>
        <v>97</v>
      </c>
      <c r="Z805" s="7">
        <f>VLOOKUP(A805,Jogos!A:L,3,0)</f>
        <v>49</v>
      </c>
      <c r="AA805" s="7">
        <f t="shared" si="2229"/>
        <v>0</v>
      </c>
      <c r="AB805" s="7">
        <f>VLOOKUP(A805,Jogos!A:L,4,0)</f>
        <v>52</v>
      </c>
      <c r="AC805" s="7">
        <f t="shared" si="2230"/>
        <v>22</v>
      </c>
      <c r="AD805" s="7"/>
      <c r="AE805" s="7"/>
      <c r="AF805" s="7">
        <f t="shared" si="2231"/>
        <v>22</v>
      </c>
      <c r="AG805" s="7">
        <v>2548.4</v>
      </c>
      <c r="AH805" s="7">
        <v>1036.2</v>
      </c>
      <c r="AI805" s="7">
        <v>854.3</v>
      </c>
      <c r="AJ805" s="7">
        <v>347.8</v>
      </c>
      <c r="AK805" s="7">
        <v>207.5</v>
      </c>
      <c r="AL805" s="7">
        <v>102.6</v>
      </c>
      <c r="AM805" s="7">
        <v>34.0</v>
      </c>
      <c r="AN805" s="7">
        <v>15.0</v>
      </c>
      <c r="AO805" s="7">
        <v>32.1</v>
      </c>
      <c r="AP805" s="9">
        <f t="shared" ref="AP805:AR805" si="2517">AG805/$AF805</f>
        <v>115.8363636</v>
      </c>
      <c r="AQ805" s="9">
        <f t="shared" si="2517"/>
        <v>47.1</v>
      </c>
      <c r="AR805" s="9">
        <f t="shared" si="2517"/>
        <v>38.83181818</v>
      </c>
      <c r="AS805" s="9">
        <f t="shared" si="2233"/>
        <v>85.93181818</v>
      </c>
      <c r="AT805" s="9">
        <f t="shared" ref="AT805:AV805" si="2518">AJ805/$AF805</f>
        <v>15.80909091</v>
      </c>
      <c r="AU805" s="9">
        <f t="shared" si="2518"/>
        <v>9.431818182</v>
      </c>
      <c r="AV805" s="9">
        <f t="shared" si="2518"/>
        <v>4.663636364</v>
      </c>
      <c r="AW805" s="9">
        <f t="shared" si="2235"/>
        <v>14.09545455</v>
      </c>
      <c r="AX805" s="9">
        <f t="shared" ref="AX805:AY805" si="2519">AM805/$AF805</f>
        <v>1.545454545</v>
      </c>
      <c r="AY805" s="9">
        <f t="shared" si="2519"/>
        <v>0.6818181818</v>
      </c>
      <c r="AZ805" s="9">
        <f>VLOOKUP(A805,Jogos!A:BN,58,0)</f>
        <v>28.8</v>
      </c>
      <c r="BA805" s="9">
        <f>VLOOKUP(A805,Jogos!A:BN,59,0)</f>
        <v>17.995</v>
      </c>
      <c r="BB805" s="9">
        <f>VLOOKUP(A805,Jogos!A:BN,60,0)</f>
        <v>51.5</v>
      </c>
      <c r="BC805" s="9">
        <f>VLOOKUP(A805,Jogos!A:BN,61,0)</f>
        <v>28.43</v>
      </c>
      <c r="BD805" s="9">
        <f>VLOOKUP(A805,Jogos!A:BN,62,0)</f>
        <v>121.3</v>
      </c>
      <c r="BE805" s="9">
        <f>VLOOKUP(A805,Jogos!A:BN,63,0)</f>
        <v>1.79</v>
      </c>
      <c r="BF805" s="9">
        <f>VLOOKUP(A805,Jogos!A:BN,64,0)</f>
        <v>23.185</v>
      </c>
      <c r="BG805" s="9">
        <f>VLOOKUP(A805,Jogos!A:BN,65,0)</f>
        <v>42.105</v>
      </c>
      <c r="BH805" s="9">
        <f>VLOOKUP(A805,Jogos!A:BN,66,0)</f>
        <v>27.535</v>
      </c>
      <c r="BI805" s="9"/>
      <c r="BJ805" s="9"/>
    </row>
    <row r="806" hidden="1">
      <c r="A806" s="10">
        <v>27.0</v>
      </c>
      <c r="B806" s="11" t="s">
        <v>562</v>
      </c>
      <c r="C806" s="2" t="s">
        <v>61</v>
      </c>
      <c r="D806" s="12">
        <v>45829.0</v>
      </c>
      <c r="E806" s="13">
        <v>0.75</v>
      </c>
      <c r="F806" s="5" t="str">
        <f>VLOOKUP(A806,Jogos!A:N,10,0)</f>
        <v>Evening</v>
      </c>
      <c r="G806" s="11" t="s">
        <v>249</v>
      </c>
      <c r="H806" s="6" t="str">
        <f>VLOOKUP(A806,Jogos!A:L,12,0)</f>
        <v>Open</v>
      </c>
      <c r="I806" s="6" t="str">
        <f>VLOOKUP(G806,'Estádios e Cidades'!A:B,2,0)</f>
        <v>East Rutherford</v>
      </c>
      <c r="J806" s="11" t="s">
        <v>687</v>
      </c>
      <c r="K806" s="2" t="str">
        <f>VLOOKUP(J806,Equipes!A:F,6,0)</f>
        <v>Temperate</v>
      </c>
      <c r="L806" s="2">
        <f>VLOOKUP(J806,Equipes!A:C,3,0)</f>
        <v>28</v>
      </c>
      <c r="M806" s="2" t="str">
        <f t="shared" si="4"/>
        <v>Group</v>
      </c>
      <c r="N806" s="11" t="s">
        <v>563</v>
      </c>
      <c r="O806" s="2">
        <f>VLOOKUP(N806,Equipes!A:C,3,0)</f>
        <v>4</v>
      </c>
      <c r="P806" s="2" t="str">
        <f t="shared" si="5"/>
        <v>Semi-final</v>
      </c>
      <c r="Q806" s="2">
        <f t="shared" si="6"/>
        <v>24</v>
      </c>
      <c r="R806" s="2" t="str">
        <f>VLOOKUP(J806,Equipes!A:B,2,0)</f>
        <v>Ulsan</v>
      </c>
      <c r="S806" s="6" t="s">
        <v>1178</v>
      </c>
      <c r="T806" s="7">
        <v>96.0</v>
      </c>
      <c r="U806" s="7" t="s">
        <v>1179</v>
      </c>
      <c r="V806" s="7" t="str">
        <f>VLOOKUP(U806,Jogadores!B:C,2,0)</f>
        <v>DF</v>
      </c>
      <c r="W806" s="8">
        <f>VLOOKUP(U806,Jogadores!B:D,3,0)</f>
        <v>22.55342466</v>
      </c>
      <c r="X806" s="7">
        <v>63.0</v>
      </c>
      <c r="Y806" s="7">
        <f t="shared" si="2504"/>
        <v>97</v>
      </c>
      <c r="Z806" s="7">
        <f>VLOOKUP(A806,Jogos!A:L,3,0)</f>
        <v>49</v>
      </c>
      <c r="AA806" s="7">
        <f t="shared" si="2229"/>
        <v>0</v>
      </c>
      <c r="AB806" s="7">
        <f>VLOOKUP(A806,Jogos!A:L,4,0)</f>
        <v>52</v>
      </c>
      <c r="AC806" s="7">
        <f t="shared" si="2230"/>
        <v>34</v>
      </c>
      <c r="AD806" s="7"/>
      <c r="AE806" s="7"/>
      <c r="AF806" s="7">
        <f t="shared" si="2231"/>
        <v>34</v>
      </c>
      <c r="AG806" s="7">
        <v>3565.8</v>
      </c>
      <c r="AH806" s="7">
        <v>1349.1</v>
      </c>
      <c r="AI806" s="7">
        <v>1267.6</v>
      </c>
      <c r="AJ806" s="7">
        <v>540.9</v>
      </c>
      <c r="AK806" s="7">
        <v>302.9</v>
      </c>
      <c r="AL806" s="7">
        <v>105.2</v>
      </c>
      <c r="AM806" s="7">
        <v>45.0</v>
      </c>
      <c r="AN806" s="7">
        <v>22.0</v>
      </c>
      <c r="AO806" s="7">
        <v>31.7</v>
      </c>
      <c r="AP806" s="9">
        <f t="shared" ref="AP806:AR806" si="2520">AG806/$AF806</f>
        <v>104.8764706</v>
      </c>
      <c r="AQ806" s="9">
        <f t="shared" si="2520"/>
        <v>39.67941176</v>
      </c>
      <c r="AR806" s="9">
        <f t="shared" si="2520"/>
        <v>37.28235294</v>
      </c>
      <c r="AS806" s="9">
        <f t="shared" si="2233"/>
        <v>76.96176471</v>
      </c>
      <c r="AT806" s="9">
        <f t="shared" ref="AT806:AV806" si="2521">AJ806/$AF806</f>
        <v>15.90882353</v>
      </c>
      <c r="AU806" s="9">
        <f t="shared" si="2521"/>
        <v>8.908823529</v>
      </c>
      <c r="AV806" s="9">
        <f t="shared" si="2521"/>
        <v>3.094117647</v>
      </c>
      <c r="AW806" s="9">
        <f t="shared" si="2235"/>
        <v>12.00294118</v>
      </c>
      <c r="AX806" s="9">
        <f t="shared" ref="AX806:AY806" si="2522">AM806/$AF806</f>
        <v>1.323529412</v>
      </c>
      <c r="AY806" s="9">
        <f t="shared" si="2522"/>
        <v>0.6470588235</v>
      </c>
      <c r="AZ806" s="9">
        <f>VLOOKUP(A806,Jogos!A:BN,58,0)</f>
        <v>28.8</v>
      </c>
      <c r="BA806" s="9">
        <f>VLOOKUP(A806,Jogos!A:BN,59,0)</f>
        <v>17.995</v>
      </c>
      <c r="BB806" s="9">
        <f>VLOOKUP(A806,Jogos!A:BN,60,0)</f>
        <v>51.5</v>
      </c>
      <c r="BC806" s="9">
        <f>VLOOKUP(A806,Jogos!A:BN,61,0)</f>
        <v>28.43</v>
      </c>
      <c r="BD806" s="9">
        <f>VLOOKUP(A806,Jogos!A:BN,62,0)</f>
        <v>121.3</v>
      </c>
      <c r="BE806" s="9">
        <f>VLOOKUP(A806,Jogos!A:BN,63,0)</f>
        <v>1.79</v>
      </c>
      <c r="BF806" s="9">
        <f>VLOOKUP(A806,Jogos!A:BN,64,0)</f>
        <v>23.185</v>
      </c>
      <c r="BG806" s="9">
        <f>VLOOKUP(A806,Jogos!A:BN,65,0)</f>
        <v>42.105</v>
      </c>
      <c r="BH806" s="9">
        <f>VLOOKUP(A806,Jogos!A:BN,66,0)</f>
        <v>27.535</v>
      </c>
      <c r="BI806" s="9"/>
      <c r="BJ806" s="9"/>
    </row>
    <row r="807" hidden="1">
      <c r="A807" s="2">
        <v>28.0</v>
      </c>
      <c r="B807" s="11" t="s">
        <v>623</v>
      </c>
      <c r="C807" s="2" t="s">
        <v>61</v>
      </c>
      <c r="D807" s="3">
        <v>45829.0</v>
      </c>
      <c r="E807" s="4">
        <v>0.75</v>
      </c>
      <c r="F807" s="5" t="str">
        <f>VLOOKUP(A807,Jogos!A:N,10,0)</f>
        <v>Evening</v>
      </c>
      <c r="G807" s="2" t="s">
        <v>186</v>
      </c>
      <c r="H807" s="6" t="str">
        <f>VLOOKUP(A807,Jogos!A:L,12,0)</f>
        <v>Open</v>
      </c>
      <c r="I807" s="6" t="str">
        <f>VLOOKUP(G807,'Estádios e Cidades'!A:B,2,0)</f>
        <v>Pasadena</v>
      </c>
      <c r="J807" s="2" t="s">
        <v>624</v>
      </c>
      <c r="K807" s="2" t="str">
        <f>VLOOKUP(J807,Equipes!A:F,6,0)</f>
        <v>Temperate</v>
      </c>
      <c r="L807" s="2">
        <f>VLOOKUP(J807,Equipes!A:C,3,0)</f>
        <v>19</v>
      </c>
      <c r="M807" s="2" t="str">
        <f t="shared" si="4"/>
        <v>Group</v>
      </c>
      <c r="N807" s="2" t="s">
        <v>747</v>
      </c>
      <c r="O807" s="2">
        <f>VLOOKUP(N807,Equipes!A:C,3,0)</f>
        <v>15</v>
      </c>
      <c r="P807" s="2" t="str">
        <f t="shared" si="5"/>
        <v>Round of 16</v>
      </c>
      <c r="Q807" s="2">
        <f t="shared" si="6"/>
        <v>4</v>
      </c>
      <c r="R807" s="2" t="str">
        <f>VLOOKUP(J807,Equipes!A:B,2,0)</f>
        <v>River</v>
      </c>
      <c r="S807" s="6" t="s">
        <v>626</v>
      </c>
      <c r="T807" s="7">
        <v>4.0</v>
      </c>
      <c r="U807" s="7" t="s">
        <v>627</v>
      </c>
      <c r="V807" s="7" t="str">
        <f>VLOOKUP(U807,Jogadores!B:C,2,0)</f>
        <v>DF</v>
      </c>
      <c r="W807" s="8">
        <f>VLOOKUP(U807,Jogadores!B:D,3,0)</f>
        <v>28.5890411</v>
      </c>
      <c r="X807" s="7">
        <v>0.0</v>
      </c>
      <c r="Y807" s="7">
        <f t="shared" si="2504"/>
        <v>95</v>
      </c>
      <c r="Z807" s="7">
        <f>VLOOKUP(A807,Jogos!A:L,3,0)</f>
        <v>48</v>
      </c>
      <c r="AA807" s="7">
        <f t="shared" si="2229"/>
        <v>48</v>
      </c>
      <c r="AB807" s="7">
        <f>VLOOKUP(A807,Jogos!A:L,4,0)</f>
        <v>50</v>
      </c>
      <c r="AC807" s="7">
        <f t="shared" si="2230"/>
        <v>50</v>
      </c>
      <c r="AD807" s="7"/>
      <c r="AE807" s="7"/>
      <c r="AF807" s="7">
        <f t="shared" si="2231"/>
        <v>98</v>
      </c>
      <c r="AG807" s="7">
        <v>10075.9</v>
      </c>
      <c r="AH807" s="7">
        <v>3651.9</v>
      </c>
      <c r="AI807" s="7">
        <v>3695.9</v>
      </c>
      <c r="AJ807" s="7">
        <v>1518.2</v>
      </c>
      <c r="AK807" s="7">
        <v>777.5</v>
      </c>
      <c r="AL807" s="7">
        <v>432.4</v>
      </c>
      <c r="AM807" s="7">
        <v>138.0</v>
      </c>
      <c r="AN807" s="7">
        <v>65.0</v>
      </c>
      <c r="AO807" s="7">
        <v>32.4</v>
      </c>
      <c r="AP807" s="9">
        <f t="shared" ref="AP807:AR807" si="2523">AG807/$AF807</f>
        <v>102.8153061</v>
      </c>
      <c r="AQ807" s="9">
        <f t="shared" si="2523"/>
        <v>37.26428571</v>
      </c>
      <c r="AR807" s="9">
        <f t="shared" si="2523"/>
        <v>37.71326531</v>
      </c>
      <c r="AS807" s="9">
        <f t="shared" si="2233"/>
        <v>74.97755102</v>
      </c>
      <c r="AT807" s="9">
        <f t="shared" ref="AT807:AV807" si="2524">AJ807/$AF807</f>
        <v>15.49183673</v>
      </c>
      <c r="AU807" s="9">
        <f t="shared" si="2524"/>
        <v>7.933673469</v>
      </c>
      <c r="AV807" s="9">
        <f t="shared" si="2524"/>
        <v>4.412244898</v>
      </c>
      <c r="AW807" s="9">
        <f t="shared" si="2235"/>
        <v>12.34591837</v>
      </c>
      <c r="AX807" s="9">
        <f t="shared" ref="AX807:AY807" si="2525">AM807/$AF807</f>
        <v>1.408163265</v>
      </c>
      <c r="AY807" s="9">
        <f t="shared" si="2525"/>
        <v>0.6632653061</v>
      </c>
      <c r="AZ807" s="9">
        <f>VLOOKUP(A807,Jogos!A:BN,58,0)</f>
        <v>19.43</v>
      </c>
      <c r="BA807" s="9">
        <f>VLOOKUP(A807,Jogos!A:BN,59,0)</f>
        <v>11.635</v>
      </c>
      <c r="BB807" s="9">
        <f>VLOOKUP(A807,Jogos!A:BN,60,0)</f>
        <v>60.5</v>
      </c>
      <c r="BC807" s="9">
        <f>VLOOKUP(A807,Jogos!A:BN,61,0)</f>
        <v>16.725</v>
      </c>
      <c r="BD807" s="9">
        <f>VLOOKUP(A807,Jogos!A:BN,62,0)</f>
        <v>162.3</v>
      </c>
      <c r="BE807" s="9">
        <f>VLOOKUP(A807,Jogos!A:BN,63,0)</f>
        <v>1.52</v>
      </c>
      <c r="BF807" s="9">
        <f>VLOOKUP(A807,Jogos!A:BN,64,0)</f>
        <v>17.35</v>
      </c>
      <c r="BG807" s="9">
        <f>VLOOKUP(A807,Jogos!A:BN,65,0)</f>
        <v>30.235</v>
      </c>
      <c r="BH807" s="9">
        <f>VLOOKUP(A807,Jogos!A:BN,66,0)</f>
        <v>20.135</v>
      </c>
      <c r="BI807" s="9"/>
      <c r="BJ807" s="9"/>
    </row>
    <row r="808" hidden="1">
      <c r="A808" s="2">
        <v>28.0</v>
      </c>
      <c r="B808" s="11" t="s">
        <v>623</v>
      </c>
      <c r="C808" s="2" t="s">
        <v>61</v>
      </c>
      <c r="D808" s="3">
        <v>45829.0</v>
      </c>
      <c r="E808" s="4">
        <v>0.75</v>
      </c>
      <c r="F808" s="5" t="str">
        <f>VLOOKUP(A808,Jogos!A:N,10,0)</f>
        <v>Evening</v>
      </c>
      <c r="G808" s="2" t="s">
        <v>186</v>
      </c>
      <c r="H808" s="6" t="str">
        <f>VLOOKUP(A808,Jogos!A:L,12,0)</f>
        <v>Open</v>
      </c>
      <c r="I808" s="6" t="str">
        <f>VLOOKUP(G808,'Estádios e Cidades'!A:B,2,0)</f>
        <v>Pasadena</v>
      </c>
      <c r="J808" s="2" t="s">
        <v>624</v>
      </c>
      <c r="K808" s="2" t="str">
        <f>VLOOKUP(J808,Equipes!A:F,6,0)</f>
        <v>Temperate</v>
      </c>
      <c r="L808" s="2">
        <f>VLOOKUP(J808,Equipes!A:C,3,0)</f>
        <v>19</v>
      </c>
      <c r="M808" s="2" t="str">
        <f t="shared" si="4"/>
        <v>Group</v>
      </c>
      <c r="N808" s="2" t="s">
        <v>747</v>
      </c>
      <c r="O808" s="2">
        <f>VLOOKUP(N808,Equipes!A:C,3,0)</f>
        <v>15</v>
      </c>
      <c r="P808" s="2" t="str">
        <f t="shared" si="5"/>
        <v>Round of 16</v>
      </c>
      <c r="Q808" s="2">
        <f t="shared" si="6"/>
        <v>4</v>
      </c>
      <c r="R808" s="2" t="str">
        <f>VLOOKUP(J808,Equipes!A:B,2,0)</f>
        <v>River</v>
      </c>
      <c r="S808" s="6" t="s">
        <v>646</v>
      </c>
      <c r="T808" s="7">
        <v>8.0</v>
      </c>
      <c r="U808" s="7" t="s">
        <v>647</v>
      </c>
      <c r="V808" s="7" t="str">
        <f>VLOOKUP(U808,Jogadores!B:C,2,0)</f>
        <v>MF</v>
      </c>
      <c r="W808" s="8">
        <f>VLOOKUP(U808,Jogadores!B:D,3,0)</f>
        <v>32.63835616</v>
      </c>
      <c r="X808" s="7">
        <v>0.0</v>
      </c>
      <c r="Y808" s="7">
        <v>71.0</v>
      </c>
      <c r="Z808" s="7">
        <f>VLOOKUP(A808,Jogos!A:L,3,0)</f>
        <v>48</v>
      </c>
      <c r="AA808" s="7">
        <f t="shared" si="2229"/>
        <v>48</v>
      </c>
      <c r="AB808" s="7">
        <f>VLOOKUP(A808,Jogos!A:L,4,0)</f>
        <v>50</v>
      </c>
      <c r="AC808" s="7">
        <f t="shared" si="2230"/>
        <v>26</v>
      </c>
      <c r="AD808" s="7"/>
      <c r="AE808" s="7"/>
      <c r="AF808" s="7">
        <f t="shared" si="2231"/>
        <v>74</v>
      </c>
      <c r="AG808" s="7">
        <v>7545.4</v>
      </c>
      <c r="AH808" s="7">
        <v>2796.9</v>
      </c>
      <c r="AI808" s="7">
        <v>2882.4</v>
      </c>
      <c r="AJ808" s="7">
        <v>1075.0</v>
      </c>
      <c r="AK808" s="7">
        <v>618.3</v>
      </c>
      <c r="AL808" s="7">
        <v>172.8</v>
      </c>
      <c r="AM808" s="7">
        <v>109.0</v>
      </c>
      <c r="AN808" s="7">
        <v>51.0</v>
      </c>
      <c r="AO808" s="7">
        <v>30.2</v>
      </c>
      <c r="AP808" s="9">
        <f t="shared" ref="AP808:AR808" si="2526">AG808/$AF808</f>
        <v>101.9648649</v>
      </c>
      <c r="AQ808" s="9">
        <f t="shared" si="2526"/>
        <v>37.79594595</v>
      </c>
      <c r="AR808" s="9">
        <f t="shared" si="2526"/>
        <v>38.95135135</v>
      </c>
      <c r="AS808" s="9">
        <f t="shared" si="2233"/>
        <v>76.7472973</v>
      </c>
      <c r="AT808" s="9">
        <f t="shared" ref="AT808:AV808" si="2527">AJ808/$AF808</f>
        <v>14.52702703</v>
      </c>
      <c r="AU808" s="9">
        <f t="shared" si="2527"/>
        <v>8.355405405</v>
      </c>
      <c r="AV808" s="9">
        <f t="shared" si="2527"/>
        <v>2.335135135</v>
      </c>
      <c r="AW808" s="9">
        <f t="shared" si="2235"/>
        <v>10.69054054</v>
      </c>
      <c r="AX808" s="9">
        <f t="shared" ref="AX808:AY808" si="2528">AM808/$AF808</f>
        <v>1.472972973</v>
      </c>
      <c r="AY808" s="9">
        <f t="shared" si="2528"/>
        <v>0.6891891892</v>
      </c>
      <c r="AZ808" s="9">
        <f>VLOOKUP(A808,Jogos!A:BN,58,0)</f>
        <v>19.43</v>
      </c>
      <c r="BA808" s="9">
        <f>VLOOKUP(A808,Jogos!A:BN,59,0)</f>
        <v>11.635</v>
      </c>
      <c r="BB808" s="9">
        <f>VLOOKUP(A808,Jogos!A:BN,60,0)</f>
        <v>60.5</v>
      </c>
      <c r="BC808" s="9">
        <f>VLOOKUP(A808,Jogos!A:BN,61,0)</f>
        <v>16.725</v>
      </c>
      <c r="BD808" s="9">
        <f>VLOOKUP(A808,Jogos!A:BN,62,0)</f>
        <v>162.3</v>
      </c>
      <c r="BE808" s="9">
        <f>VLOOKUP(A808,Jogos!A:BN,63,0)</f>
        <v>1.52</v>
      </c>
      <c r="BF808" s="9">
        <f>VLOOKUP(A808,Jogos!A:BN,64,0)</f>
        <v>17.35</v>
      </c>
      <c r="BG808" s="9">
        <f>VLOOKUP(A808,Jogos!A:BN,65,0)</f>
        <v>30.235</v>
      </c>
      <c r="BH808" s="9">
        <f>VLOOKUP(A808,Jogos!A:BN,66,0)</f>
        <v>20.135</v>
      </c>
      <c r="BI808" s="9"/>
      <c r="BJ808" s="9"/>
    </row>
    <row r="809" hidden="1">
      <c r="A809" s="2">
        <v>28.0</v>
      </c>
      <c r="B809" s="11" t="s">
        <v>623</v>
      </c>
      <c r="C809" s="2" t="s">
        <v>61</v>
      </c>
      <c r="D809" s="3">
        <v>45829.0</v>
      </c>
      <c r="E809" s="4">
        <v>0.75</v>
      </c>
      <c r="F809" s="5" t="str">
        <f>VLOOKUP(A809,Jogos!A:N,10,0)</f>
        <v>Evening</v>
      </c>
      <c r="G809" s="2" t="s">
        <v>186</v>
      </c>
      <c r="H809" s="6" t="str">
        <f>VLOOKUP(A809,Jogos!A:L,12,0)</f>
        <v>Open</v>
      </c>
      <c r="I809" s="6" t="str">
        <f>VLOOKUP(G809,'Estádios e Cidades'!A:B,2,0)</f>
        <v>Pasadena</v>
      </c>
      <c r="J809" s="2" t="s">
        <v>624</v>
      </c>
      <c r="K809" s="2" t="str">
        <f>VLOOKUP(J809,Equipes!A:F,6,0)</f>
        <v>Temperate</v>
      </c>
      <c r="L809" s="2">
        <f>VLOOKUP(J809,Equipes!A:C,3,0)</f>
        <v>19</v>
      </c>
      <c r="M809" s="2" t="str">
        <f t="shared" si="4"/>
        <v>Group</v>
      </c>
      <c r="N809" s="2" t="s">
        <v>747</v>
      </c>
      <c r="O809" s="2">
        <f>VLOOKUP(N809,Equipes!A:C,3,0)</f>
        <v>15</v>
      </c>
      <c r="P809" s="2" t="str">
        <f t="shared" si="5"/>
        <v>Round of 16</v>
      </c>
      <c r="Q809" s="2">
        <f t="shared" si="6"/>
        <v>4</v>
      </c>
      <c r="R809" s="2" t="str">
        <f>VLOOKUP(J809,Equipes!A:B,2,0)</f>
        <v>River</v>
      </c>
      <c r="S809" s="6" t="s">
        <v>630</v>
      </c>
      <c r="T809" s="7">
        <v>11.0</v>
      </c>
      <c r="U809" s="7" t="s">
        <v>631</v>
      </c>
      <c r="V809" s="7" t="str">
        <f>VLOOKUP(U809,Jogadores!B:C,2,0)</f>
        <v>FW</v>
      </c>
      <c r="W809" s="8">
        <f>VLOOKUP(U809,Jogadores!B:D,3,0)</f>
        <v>25.58082192</v>
      </c>
      <c r="X809" s="7">
        <v>0.0</v>
      </c>
      <c r="Y809" s="7">
        <f t="shared" ref="Y809:Y811" si="2532">45+AB809</f>
        <v>95</v>
      </c>
      <c r="Z809" s="7">
        <f>VLOOKUP(A809,Jogos!A:L,3,0)</f>
        <v>48</v>
      </c>
      <c r="AA809" s="7">
        <f t="shared" si="2229"/>
        <v>48</v>
      </c>
      <c r="AB809" s="7">
        <f>VLOOKUP(A809,Jogos!A:L,4,0)</f>
        <v>50</v>
      </c>
      <c r="AC809" s="7">
        <f t="shared" si="2230"/>
        <v>50</v>
      </c>
      <c r="AD809" s="7"/>
      <c r="AE809" s="7"/>
      <c r="AF809" s="7">
        <f t="shared" si="2231"/>
        <v>98</v>
      </c>
      <c r="AG809" s="7">
        <v>9541.6</v>
      </c>
      <c r="AH809" s="7">
        <v>3572.8</v>
      </c>
      <c r="AI809" s="7">
        <v>3316.5</v>
      </c>
      <c r="AJ809" s="7">
        <v>1591.2</v>
      </c>
      <c r="AK809" s="7">
        <v>713.3</v>
      </c>
      <c r="AL809" s="7">
        <v>347.8</v>
      </c>
      <c r="AM809" s="7">
        <v>137.0</v>
      </c>
      <c r="AN809" s="7">
        <v>59.0</v>
      </c>
      <c r="AO809" s="7">
        <v>30.2</v>
      </c>
      <c r="AP809" s="9">
        <f t="shared" ref="AP809:AR809" si="2529">AG809/$AF809</f>
        <v>97.36326531</v>
      </c>
      <c r="AQ809" s="9">
        <f t="shared" si="2529"/>
        <v>36.45714286</v>
      </c>
      <c r="AR809" s="9">
        <f t="shared" si="2529"/>
        <v>33.84183673</v>
      </c>
      <c r="AS809" s="9">
        <f t="shared" si="2233"/>
        <v>70.29897959</v>
      </c>
      <c r="AT809" s="9">
        <f t="shared" ref="AT809:AV809" si="2530">AJ809/$AF809</f>
        <v>16.23673469</v>
      </c>
      <c r="AU809" s="9">
        <f t="shared" si="2530"/>
        <v>7.278571429</v>
      </c>
      <c r="AV809" s="9">
        <f t="shared" si="2530"/>
        <v>3.548979592</v>
      </c>
      <c r="AW809" s="9">
        <f t="shared" si="2235"/>
        <v>10.82755102</v>
      </c>
      <c r="AX809" s="9">
        <f t="shared" ref="AX809:AY809" si="2531">AM809/$AF809</f>
        <v>1.397959184</v>
      </c>
      <c r="AY809" s="9">
        <f t="shared" si="2531"/>
        <v>0.6020408163</v>
      </c>
      <c r="AZ809" s="9">
        <f>VLOOKUP(A809,Jogos!A:BN,58,0)</f>
        <v>19.43</v>
      </c>
      <c r="BA809" s="9">
        <f>VLOOKUP(A809,Jogos!A:BN,59,0)</f>
        <v>11.635</v>
      </c>
      <c r="BB809" s="9">
        <f>VLOOKUP(A809,Jogos!A:BN,60,0)</f>
        <v>60.5</v>
      </c>
      <c r="BC809" s="9">
        <f>VLOOKUP(A809,Jogos!A:BN,61,0)</f>
        <v>16.725</v>
      </c>
      <c r="BD809" s="9">
        <f>VLOOKUP(A809,Jogos!A:BN,62,0)</f>
        <v>162.3</v>
      </c>
      <c r="BE809" s="9">
        <f>VLOOKUP(A809,Jogos!A:BN,63,0)</f>
        <v>1.52</v>
      </c>
      <c r="BF809" s="9">
        <f>VLOOKUP(A809,Jogos!A:BN,64,0)</f>
        <v>17.35</v>
      </c>
      <c r="BG809" s="9">
        <f>VLOOKUP(A809,Jogos!A:BN,65,0)</f>
        <v>30.235</v>
      </c>
      <c r="BH809" s="9">
        <f>VLOOKUP(A809,Jogos!A:BN,66,0)</f>
        <v>20.135</v>
      </c>
      <c r="BI809" s="9"/>
      <c r="BJ809" s="9"/>
    </row>
    <row r="810" hidden="1">
      <c r="A810" s="2">
        <v>28.0</v>
      </c>
      <c r="B810" s="11" t="s">
        <v>623</v>
      </c>
      <c r="C810" s="2" t="s">
        <v>61</v>
      </c>
      <c r="D810" s="3">
        <v>45829.0</v>
      </c>
      <c r="E810" s="4">
        <v>0.75</v>
      </c>
      <c r="F810" s="5" t="str">
        <f>VLOOKUP(A810,Jogos!A:N,10,0)</f>
        <v>Evening</v>
      </c>
      <c r="G810" s="2" t="s">
        <v>186</v>
      </c>
      <c r="H810" s="6" t="str">
        <f>VLOOKUP(A810,Jogos!A:L,12,0)</f>
        <v>Open</v>
      </c>
      <c r="I810" s="6" t="str">
        <f>VLOOKUP(G810,'Estádios e Cidades'!A:B,2,0)</f>
        <v>Pasadena</v>
      </c>
      <c r="J810" s="2" t="s">
        <v>624</v>
      </c>
      <c r="K810" s="2" t="str">
        <f>VLOOKUP(J810,Equipes!A:F,6,0)</f>
        <v>Temperate</v>
      </c>
      <c r="L810" s="2">
        <f>VLOOKUP(J810,Equipes!A:C,3,0)</f>
        <v>19</v>
      </c>
      <c r="M810" s="2" t="str">
        <f t="shared" si="4"/>
        <v>Group</v>
      </c>
      <c r="N810" s="2" t="s">
        <v>747</v>
      </c>
      <c r="O810" s="2">
        <f>VLOOKUP(N810,Equipes!A:C,3,0)</f>
        <v>15</v>
      </c>
      <c r="P810" s="2" t="str">
        <f t="shared" si="5"/>
        <v>Round of 16</v>
      </c>
      <c r="Q810" s="2">
        <f t="shared" si="6"/>
        <v>4</v>
      </c>
      <c r="R810" s="2" t="str">
        <f>VLOOKUP(J810,Equipes!A:B,2,0)</f>
        <v>River</v>
      </c>
      <c r="S810" s="6" t="s">
        <v>1180</v>
      </c>
      <c r="T810" s="7">
        <v>17.0</v>
      </c>
      <c r="U810" s="7" t="s">
        <v>1181</v>
      </c>
      <c r="V810" s="7" t="str">
        <f>VLOOKUP(U810,Jogadores!B:C,2,0)</f>
        <v>DF</v>
      </c>
      <c r="W810" s="8">
        <f>VLOOKUP(U810,Jogadores!B:D,3,0)</f>
        <v>30.94520548</v>
      </c>
      <c r="X810" s="7">
        <v>0.0</v>
      </c>
      <c r="Y810" s="7">
        <f t="shared" si="2532"/>
        <v>95</v>
      </c>
      <c r="Z810" s="7">
        <f>VLOOKUP(A810,Jogos!A:L,3,0)</f>
        <v>48</v>
      </c>
      <c r="AA810" s="7">
        <f t="shared" si="2229"/>
        <v>48</v>
      </c>
      <c r="AB810" s="7">
        <f>VLOOKUP(A810,Jogos!A:L,4,0)</f>
        <v>50</v>
      </c>
      <c r="AC810" s="7">
        <f t="shared" si="2230"/>
        <v>50</v>
      </c>
      <c r="AD810" s="7"/>
      <c r="AE810" s="7"/>
      <c r="AF810" s="7">
        <f t="shared" si="2231"/>
        <v>98</v>
      </c>
      <c r="AG810" s="7">
        <v>9227.7</v>
      </c>
      <c r="AH810" s="7">
        <v>3851.8</v>
      </c>
      <c r="AI810" s="7">
        <v>3516.6</v>
      </c>
      <c r="AJ810" s="7">
        <v>1298.4</v>
      </c>
      <c r="AK810" s="7">
        <v>423.5</v>
      </c>
      <c r="AL810" s="7">
        <v>137.4</v>
      </c>
      <c r="AM810" s="7">
        <v>107.0</v>
      </c>
      <c r="AN810" s="7">
        <v>35.0</v>
      </c>
      <c r="AO810" s="7">
        <v>29.7</v>
      </c>
      <c r="AP810" s="9">
        <f t="shared" ref="AP810:AR810" si="2533">AG810/$AF810</f>
        <v>94.16020408</v>
      </c>
      <c r="AQ810" s="9">
        <f t="shared" si="2533"/>
        <v>39.30408163</v>
      </c>
      <c r="AR810" s="9">
        <f t="shared" si="2533"/>
        <v>35.88367347</v>
      </c>
      <c r="AS810" s="9">
        <f t="shared" si="2233"/>
        <v>75.1877551</v>
      </c>
      <c r="AT810" s="9">
        <f t="shared" ref="AT810:AV810" si="2534">AJ810/$AF810</f>
        <v>13.24897959</v>
      </c>
      <c r="AU810" s="9">
        <f t="shared" si="2534"/>
        <v>4.321428571</v>
      </c>
      <c r="AV810" s="9">
        <f t="shared" si="2534"/>
        <v>1.402040816</v>
      </c>
      <c r="AW810" s="9">
        <f t="shared" si="2235"/>
        <v>5.723469388</v>
      </c>
      <c r="AX810" s="9">
        <f t="shared" ref="AX810:AY810" si="2535">AM810/$AF810</f>
        <v>1.091836735</v>
      </c>
      <c r="AY810" s="9">
        <f t="shared" si="2535"/>
        <v>0.3571428571</v>
      </c>
      <c r="AZ810" s="9">
        <f>VLOOKUP(A810,Jogos!A:BN,58,0)</f>
        <v>19.43</v>
      </c>
      <c r="BA810" s="9">
        <f>VLOOKUP(A810,Jogos!A:BN,59,0)</f>
        <v>11.635</v>
      </c>
      <c r="BB810" s="9">
        <f>VLOOKUP(A810,Jogos!A:BN,60,0)</f>
        <v>60.5</v>
      </c>
      <c r="BC810" s="9">
        <f>VLOOKUP(A810,Jogos!A:BN,61,0)</f>
        <v>16.725</v>
      </c>
      <c r="BD810" s="9">
        <f>VLOOKUP(A810,Jogos!A:BN,62,0)</f>
        <v>162.3</v>
      </c>
      <c r="BE810" s="9">
        <f>VLOOKUP(A810,Jogos!A:BN,63,0)</f>
        <v>1.52</v>
      </c>
      <c r="BF810" s="9">
        <f>VLOOKUP(A810,Jogos!A:BN,64,0)</f>
        <v>17.35</v>
      </c>
      <c r="BG810" s="9">
        <f>VLOOKUP(A810,Jogos!A:BN,65,0)</f>
        <v>30.235</v>
      </c>
      <c r="BH810" s="9">
        <f>VLOOKUP(A810,Jogos!A:BN,66,0)</f>
        <v>20.135</v>
      </c>
      <c r="BI810" s="9"/>
      <c r="BJ810" s="9"/>
    </row>
    <row r="811" hidden="1">
      <c r="A811" s="2">
        <v>28.0</v>
      </c>
      <c r="B811" s="11" t="s">
        <v>623</v>
      </c>
      <c r="C811" s="2" t="s">
        <v>61</v>
      </c>
      <c r="D811" s="3">
        <v>45829.0</v>
      </c>
      <c r="E811" s="4">
        <v>0.75</v>
      </c>
      <c r="F811" s="5" t="str">
        <f>VLOOKUP(A811,Jogos!A:N,10,0)</f>
        <v>Evening</v>
      </c>
      <c r="G811" s="2" t="s">
        <v>186</v>
      </c>
      <c r="H811" s="6" t="str">
        <f>VLOOKUP(A811,Jogos!A:L,12,0)</f>
        <v>Open</v>
      </c>
      <c r="I811" s="6" t="str">
        <f>VLOOKUP(G811,'Estádios e Cidades'!A:B,2,0)</f>
        <v>Pasadena</v>
      </c>
      <c r="J811" s="2" t="s">
        <v>624</v>
      </c>
      <c r="K811" s="2" t="str">
        <f>VLOOKUP(J811,Equipes!A:F,6,0)</f>
        <v>Temperate</v>
      </c>
      <c r="L811" s="2">
        <f>VLOOKUP(J811,Equipes!A:C,3,0)</f>
        <v>19</v>
      </c>
      <c r="M811" s="2" t="str">
        <f t="shared" si="4"/>
        <v>Group</v>
      </c>
      <c r="N811" s="2" t="s">
        <v>747</v>
      </c>
      <c r="O811" s="2">
        <f>VLOOKUP(N811,Equipes!A:C,3,0)</f>
        <v>15</v>
      </c>
      <c r="P811" s="2" t="str">
        <f t="shared" si="5"/>
        <v>Round of 16</v>
      </c>
      <c r="Q811" s="2">
        <f t="shared" si="6"/>
        <v>4</v>
      </c>
      <c r="R811" s="2" t="str">
        <f>VLOOKUP(J811,Equipes!A:B,2,0)</f>
        <v>River</v>
      </c>
      <c r="S811" s="6" t="s">
        <v>634</v>
      </c>
      <c r="T811" s="7">
        <v>21.0</v>
      </c>
      <c r="U811" s="7" t="s">
        <v>635</v>
      </c>
      <c r="V811" s="7" t="str">
        <f>VLOOKUP(U811,Jogadores!B:C,2,0)</f>
        <v>DF</v>
      </c>
      <c r="W811" s="8">
        <f>VLOOKUP(U811,Jogadores!B:D,3,0)</f>
        <v>33.77260274</v>
      </c>
      <c r="X811" s="7">
        <v>0.0</v>
      </c>
      <c r="Y811" s="7">
        <f t="shared" si="2532"/>
        <v>95</v>
      </c>
      <c r="Z811" s="7">
        <f>VLOOKUP(A811,Jogos!A:L,3,0)</f>
        <v>48</v>
      </c>
      <c r="AA811" s="7">
        <f t="shared" si="2229"/>
        <v>48</v>
      </c>
      <c r="AB811" s="7">
        <f>VLOOKUP(A811,Jogos!A:L,4,0)</f>
        <v>50</v>
      </c>
      <c r="AC811" s="7">
        <f t="shared" si="2230"/>
        <v>50</v>
      </c>
      <c r="AD811" s="7"/>
      <c r="AE811" s="7"/>
      <c r="AF811" s="7">
        <f t="shared" si="2231"/>
        <v>98</v>
      </c>
      <c r="AG811" s="7">
        <v>9285.0</v>
      </c>
      <c r="AH811" s="7">
        <v>3954.1</v>
      </c>
      <c r="AI811" s="7">
        <v>3515.6</v>
      </c>
      <c r="AJ811" s="7">
        <v>1154.8</v>
      </c>
      <c r="AK811" s="7">
        <v>432.8</v>
      </c>
      <c r="AL811" s="7">
        <v>227.7</v>
      </c>
      <c r="AM811" s="7">
        <v>104.0</v>
      </c>
      <c r="AN811" s="7">
        <v>34.0</v>
      </c>
      <c r="AO811" s="7">
        <v>31.5</v>
      </c>
      <c r="AP811" s="9">
        <f t="shared" ref="AP811:AR811" si="2536">AG811/$AF811</f>
        <v>94.74489796</v>
      </c>
      <c r="AQ811" s="9">
        <f t="shared" si="2536"/>
        <v>40.34795918</v>
      </c>
      <c r="AR811" s="9">
        <f t="shared" si="2536"/>
        <v>35.87346939</v>
      </c>
      <c r="AS811" s="9">
        <f t="shared" si="2233"/>
        <v>76.22142857</v>
      </c>
      <c r="AT811" s="9">
        <f t="shared" ref="AT811:AV811" si="2537">AJ811/$AF811</f>
        <v>11.78367347</v>
      </c>
      <c r="AU811" s="9">
        <f t="shared" si="2537"/>
        <v>4.416326531</v>
      </c>
      <c r="AV811" s="9">
        <f t="shared" si="2537"/>
        <v>2.323469388</v>
      </c>
      <c r="AW811" s="9">
        <f t="shared" si="2235"/>
        <v>6.739795918</v>
      </c>
      <c r="AX811" s="9">
        <f t="shared" ref="AX811:AY811" si="2538">AM811/$AF811</f>
        <v>1.06122449</v>
      </c>
      <c r="AY811" s="9">
        <f t="shared" si="2538"/>
        <v>0.3469387755</v>
      </c>
      <c r="AZ811" s="9">
        <f>VLOOKUP(A811,Jogos!A:BN,58,0)</f>
        <v>19.43</v>
      </c>
      <c r="BA811" s="9">
        <f>VLOOKUP(A811,Jogos!A:BN,59,0)</f>
        <v>11.635</v>
      </c>
      <c r="BB811" s="9">
        <f>VLOOKUP(A811,Jogos!A:BN,60,0)</f>
        <v>60.5</v>
      </c>
      <c r="BC811" s="9">
        <f>VLOOKUP(A811,Jogos!A:BN,61,0)</f>
        <v>16.725</v>
      </c>
      <c r="BD811" s="9">
        <f>VLOOKUP(A811,Jogos!A:BN,62,0)</f>
        <v>162.3</v>
      </c>
      <c r="BE811" s="9">
        <f>VLOOKUP(A811,Jogos!A:BN,63,0)</f>
        <v>1.52</v>
      </c>
      <c r="BF811" s="9">
        <f>VLOOKUP(A811,Jogos!A:BN,64,0)</f>
        <v>17.35</v>
      </c>
      <c r="BG811" s="9">
        <f>VLOOKUP(A811,Jogos!A:BN,65,0)</f>
        <v>30.235</v>
      </c>
      <c r="BH811" s="9">
        <f>VLOOKUP(A811,Jogos!A:BN,66,0)</f>
        <v>20.135</v>
      </c>
      <c r="BI811" s="9"/>
      <c r="BJ811" s="9"/>
    </row>
    <row r="812" hidden="1">
      <c r="A812" s="2">
        <v>28.0</v>
      </c>
      <c r="B812" s="11" t="s">
        <v>623</v>
      </c>
      <c r="C812" s="2" t="s">
        <v>61</v>
      </c>
      <c r="D812" s="3">
        <v>45829.0</v>
      </c>
      <c r="E812" s="4">
        <v>0.75</v>
      </c>
      <c r="F812" s="5" t="str">
        <f>VLOOKUP(A812,Jogos!A:N,10,0)</f>
        <v>Evening</v>
      </c>
      <c r="G812" s="2" t="s">
        <v>186</v>
      </c>
      <c r="H812" s="6" t="str">
        <f>VLOOKUP(A812,Jogos!A:L,12,0)</f>
        <v>Open</v>
      </c>
      <c r="I812" s="6" t="str">
        <f>VLOOKUP(G812,'Estádios e Cidades'!A:B,2,0)</f>
        <v>Pasadena</v>
      </c>
      <c r="J812" s="2" t="s">
        <v>624</v>
      </c>
      <c r="K812" s="2" t="str">
        <f>VLOOKUP(J812,Equipes!A:F,6,0)</f>
        <v>Temperate</v>
      </c>
      <c r="L812" s="2">
        <f>VLOOKUP(J812,Equipes!A:C,3,0)</f>
        <v>19</v>
      </c>
      <c r="M812" s="2" t="str">
        <f t="shared" si="4"/>
        <v>Group</v>
      </c>
      <c r="N812" s="2" t="s">
        <v>747</v>
      </c>
      <c r="O812" s="2">
        <f>VLOOKUP(N812,Equipes!A:C,3,0)</f>
        <v>15</v>
      </c>
      <c r="P812" s="2" t="str">
        <f t="shared" si="5"/>
        <v>Round of 16</v>
      </c>
      <c r="Q812" s="2">
        <f t="shared" si="6"/>
        <v>4</v>
      </c>
      <c r="R812" s="2" t="str">
        <f>VLOOKUP(J812,Equipes!A:B,2,0)</f>
        <v>River</v>
      </c>
      <c r="S812" s="6" t="s">
        <v>636</v>
      </c>
      <c r="T812" s="7">
        <v>22.0</v>
      </c>
      <c r="U812" s="7" t="s">
        <v>637</v>
      </c>
      <c r="V812" s="7" t="str">
        <f>VLOOKUP(U812,Jogadores!B:C,2,0)</f>
        <v>MF</v>
      </c>
      <c r="W812" s="8">
        <f>VLOOKUP(U812,Jogadores!B:D,3,0)</f>
        <v>24.84383562</v>
      </c>
      <c r="X812" s="7">
        <v>0.0</v>
      </c>
      <c r="Y812" s="7">
        <v>91.0</v>
      </c>
      <c r="Z812" s="7">
        <f>VLOOKUP(A812,Jogos!A:L,3,0)</f>
        <v>48</v>
      </c>
      <c r="AA812" s="7">
        <f t="shared" si="2229"/>
        <v>48</v>
      </c>
      <c r="AB812" s="7">
        <f>VLOOKUP(A812,Jogos!A:L,4,0)</f>
        <v>50</v>
      </c>
      <c r="AC812" s="7">
        <f t="shared" si="2230"/>
        <v>46</v>
      </c>
      <c r="AD812" s="7"/>
      <c r="AE812" s="7"/>
      <c r="AF812" s="7">
        <f t="shared" si="2231"/>
        <v>94</v>
      </c>
      <c r="AG812" s="7">
        <v>10003.8</v>
      </c>
      <c r="AH812" s="7">
        <v>3205.9</v>
      </c>
      <c r="AI812" s="7">
        <v>4298.0</v>
      </c>
      <c r="AJ812" s="7">
        <v>1722.1</v>
      </c>
      <c r="AK812" s="7">
        <v>561.2</v>
      </c>
      <c r="AL812" s="7">
        <v>216.6</v>
      </c>
      <c r="AM812" s="7">
        <v>161.0</v>
      </c>
      <c r="AN812" s="7">
        <v>46.0</v>
      </c>
      <c r="AO812" s="7">
        <v>30.1</v>
      </c>
      <c r="AP812" s="9">
        <f t="shared" ref="AP812:AR812" si="2539">AG812/$AF812</f>
        <v>106.4234043</v>
      </c>
      <c r="AQ812" s="9">
        <f t="shared" si="2539"/>
        <v>34.10531915</v>
      </c>
      <c r="AR812" s="9">
        <f t="shared" si="2539"/>
        <v>45.72340426</v>
      </c>
      <c r="AS812" s="9">
        <f t="shared" si="2233"/>
        <v>79.8287234</v>
      </c>
      <c r="AT812" s="9">
        <f t="shared" ref="AT812:AV812" si="2540">AJ812/$AF812</f>
        <v>18.32021277</v>
      </c>
      <c r="AU812" s="9">
        <f t="shared" si="2540"/>
        <v>5.970212766</v>
      </c>
      <c r="AV812" s="9">
        <f t="shared" si="2540"/>
        <v>2.304255319</v>
      </c>
      <c r="AW812" s="9">
        <f t="shared" si="2235"/>
        <v>8.274468085</v>
      </c>
      <c r="AX812" s="9">
        <f t="shared" ref="AX812:AY812" si="2541">AM812/$AF812</f>
        <v>1.712765957</v>
      </c>
      <c r="AY812" s="9">
        <f t="shared" si="2541"/>
        <v>0.4893617021</v>
      </c>
      <c r="AZ812" s="9">
        <f>VLOOKUP(A812,Jogos!A:BN,58,0)</f>
        <v>19.43</v>
      </c>
      <c r="BA812" s="9">
        <f>VLOOKUP(A812,Jogos!A:BN,59,0)</f>
        <v>11.635</v>
      </c>
      <c r="BB812" s="9">
        <f>VLOOKUP(A812,Jogos!A:BN,60,0)</f>
        <v>60.5</v>
      </c>
      <c r="BC812" s="9">
        <f>VLOOKUP(A812,Jogos!A:BN,61,0)</f>
        <v>16.725</v>
      </c>
      <c r="BD812" s="9">
        <f>VLOOKUP(A812,Jogos!A:BN,62,0)</f>
        <v>162.3</v>
      </c>
      <c r="BE812" s="9">
        <f>VLOOKUP(A812,Jogos!A:BN,63,0)</f>
        <v>1.52</v>
      </c>
      <c r="BF812" s="9">
        <f>VLOOKUP(A812,Jogos!A:BN,64,0)</f>
        <v>17.35</v>
      </c>
      <c r="BG812" s="9">
        <f>VLOOKUP(A812,Jogos!A:BN,65,0)</f>
        <v>30.235</v>
      </c>
      <c r="BH812" s="9">
        <f>VLOOKUP(A812,Jogos!A:BN,66,0)</f>
        <v>20.135</v>
      </c>
      <c r="BI812" s="9"/>
      <c r="BJ812" s="9"/>
    </row>
    <row r="813" hidden="1">
      <c r="A813" s="2">
        <v>28.0</v>
      </c>
      <c r="B813" s="11" t="s">
        <v>623</v>
      </c>
      <c r="C813" s="2" t="s">
        <v>61</v>
      </c>
      <c r="D813" s="3">
        <v>45829.0</v>
      </c>
      <c r="E813" s="4">
        <v>0.75</v>
      </c>
      <c r="F813" s="5" t="str">
        <f>VLOOKUP(A813,Jogos!A:N,10,0)</f>
        <v>Evening</v>
      </c>
      <c r="G813" s="2" t="s">
        <v>186</v>
      </c>
      <c r="H813" s="6" t="str">
        <f>VLOOKUP(A813,Jogos!A:L,12,0)</f>
        <v>Open</v>
      </c>
      <c r="I813" s="6" t="str">
        <f>VLOOKUP(G813,'Estádios e Cidades'!A:B,2,0)</f>
        <v>Pasadena</v>
      </c>
      <c r="J813" s="2" t="s">
        <v>624</v>
      </c>
      <c r="K813" s="2" t="str">
        <f>VLOOKUP(J813,Equipes!A:F,6,0)</f>
        <v>Temperate</v>
      </c>
      <c r="L813" s="2">
        <f>VLOOKUP(J813,Equipes!A:C,3,0)</f>
        <v>19</v>
      </c>
      <c r="M813" s="2" t="str">
        <f t="shared" si="4"/>
        <v>Group</v>
      </c>
      <c r="N813" s="2" t="s">
        <v>747</v>
      </c>
      <c r="O813" s="2">
        <f>VLOOKUP(N813,Equipes!A:C,3,0)</f>
        <v>15</v>
      </c>
      <c r="P813" s="2" t="str">
        <f t="shared" si="5"/>
        <v>Round of 16</v>
      </c>
      <c r="Q813" s="2">
        <f t="shared" si="6"/>
        <v>4</v>
      </c>
      <c r="R813" s="2" t="str">
        <f>VLOOKUP(J813,Equipes!A:B,2,0)</f>
        <v>River</v>
      </c>
      <c r="S813" s="6" t="s">
        <v>638</v>
      </c>
      <c r="T813" s="7">
        <v>24.0</v>
      </c>
      <c r="U813" s="7" t="s">
        <v>639</v>
      </c>
      <c r="V813" s="7" t="str">
        <f>VLOOKUP(U813,Jogadores!B:C,2,0)</f>
        <v>MF</v>
      </c>
      <c r="W813" s="8">
        <f>VLOOKUP(U813,Jogadores!B:D,3,0)</f>
        <v>39.45479452</v>
      </c>
      <c r="X813" s="7">
        <v>0.0</v>
      </c>
      <c r="Y813" s="7">
        <v>84.0</v>
      </c>
      <c r="Z813" s="7">
        <f>VLOOKUP(A813,Jogos!A:L,3,0)</f>
        <v>48</v>
      </c>
      <c r="AA813" s="7">
        <f t="shared" si="2229"/>
        <v>48</v>
      </c>
      <c r="AB813" s="7">
        <f>VLOOKUP(A813,Jogos!A:L,4,0)</f>
        <v>50</v>
      </c>
      <c r="AC813" s="7">
        <f t="shared" si="2230"/>
        <v>39</v>
      </c>
      <c r="AD813" s="7"/>
      <c r="AE813" s="7"/>
      <c r="AF813" s="7">
        <f t="shared" si="2231"/>
        <v>87</v>
      </c>
      <c r="AG813" s="7">
        <v>9091.4</v>
      </c>
      <c r="AH813" s="7">
        <v>2937.5</v>
      </c>
      <c r="AI813" s="7">
        <v>3900.5</v>
      </c>
      <c r="AJ813" s="7">
        <v>1581.6</v>
      </c>
      <c r="AK813" s="7">
        <v>490.8</v>
      </c>
      <c r="AL813" s="7">
        <v>181.0</v>
      </c>
      <c r="AM813" s="7">
        <v>131.0</v>
      </c>
      <c r="AN813" s="7">
        <v>38.0</v>
      </c>
      <c r="AO813" s="7">
        <v>30.2</v>
      </c>
      <c r="AP813" s="9">
        <f t="shared" ref="AP813:AR813" si="2542">AG813/$AF813</f>
        <v>104.4988506</v>
      </c>
      <c r="AQ813" s="9">
        <f t="shared" si="2542"/>
        <v>33.76436782</v>
      </c>
      <c r="AR813" s="9">
        <f t="shared" si="2542"/>
        <v>44.83333333</v>
      </c>
      <c r="AS813" s="9">
        <f t="shared" si="2233"/>
        <v>78.59770115</v>
      </c>
      <c r="AT813" s="9">
        <f t="shared" ref="AT813:AV813" si="2543">AJ813/$AF813</f>
        <v>18.17931034</v>
      </c>
      <c r="AU813" s="9">
        <f t="shared" si="2543"/>
        <v>5.64137931</v>
      </c>
      <c r="AV813" s="9">
        <f t="shared" si="2543"/>
        <v>2.08045977</v>
      </c>
      <c r="AW813" s="9">
        <f t="shared" si="2235"/>
        <v>7.72183908</v>
      </c>
      <c r="AX813" s="9">
        <f t="shared" ref="AX813:AY813" si="2544">AM813/$AF813</f>
        <v>1.505747126</v>
      </c>
      <c r="AY813" s="9">
        <f t="shared" si="2544"/>
        <v>0.4367816092</v>
      </c>
      <c r="AZ813" s="9">
        <f>VLOOKUP(A813,Jogos!A:BN,58,0)</f>
        <v>19.43</v>
      </c>
      <c r="BA813" s="9">
        <f>VLOOKUP(A813,Jogos!A:BN,59,0)</f>
        <v>11.635</v>
      </c>
      <c r="BB813" s="9">
        <f>VLOOKUP(A813,Jogos!A:BN,60,0)</f>
        <v>60.5</v>
      </c>
      <c r="BC813" s="9">
        <f>VLOOKUP(A813,Jogos!A:BN,61,0)</f>
        <v>16.725</v>
      </c>
      <c r="BD813" s="9">
        <f>VLOOKUP(A813,Jogos!A:BN,62,0)</f>
        <v>162.3</v>
      </c>
      <c r="BE813" s="9">
        <f>VLOOKUP(A813,Jogos!A:BN,63,0)</f>
        <v>1.52</v>
      </c>
      <c r="BF813" s="9">
        <f>VLOOKUP(A813,Jogos!A:BN,64,0)</f>
        <v>17.35</v>
      </c>
      <c r="BG813" s="9">
        <f>VLOOKUP(A813,Jogos!A:BN,65,0)</f>
        <v>30.235</v>
      </c>
      <c r="BH813" s="9">
        <f>VLOOKUP(A813,Jogos!A:BN,66,0)</f>
        <v>20.135</v>
      </c>
      <c r="BI813" s="9"/>
      <c r="BJ813" s="9"/>
    </row>
    <row r="814" hidden="1">
      <c r="A814" s="2">
        <v>28.0</v>
      </c>
      <c r="B814" s="11" t="s">
        <v>623</v>
      </c>
      <c r="C814" s="2" t="s">
        <v>61</v>
      </c>
      <c r="D814" s="3">
        <v>45829.0</v>
      </c>
      <c r="E814" s="4">
        <v>0.75</v>
      </c>
      <c r="F814" s="5" t="str">
        <f>VLOOKUP(A814,Jogos!A:N,10,0)</f>
        <v>Evening</v>
      </c>
      <c r="G814" s="2" t="s">
        <v>186</v>
      </c>
      <c r="H814" s="6" t="str">
        <f>VLOOKUP(A814,Jogos!A:L,12,0)</f>
        <v>Open</v>
      </c>
      <c r="I814" s="6" t="str">
        <f>VLOOKUP(G814,'Estádios e Cidades'!A:B,2,0)</f>
        <v>Pasadena</v>
      </c>
      <c r="J814" s="2" t="s">
        <v>624</v>
      </c>
      <c r="K814" s="2" t="str">
        <f>VLOOKUP(J814,Equipes!A:F,6,0)</f>
        <v>Temperate</v>
      </c>
      <c r="L814" s="2">
        <f>VLOOKUP(J814,Equipes!A:C,3,0)</f>
        <v>19</v>
      </c>
      <c r="M814" s="2" t="str">
        <f t="shared" si="4"/>
        <v>Group</v>
      </c>
      <c r="N814" s="2" t="s">
        <v>747</v>
      </c>
      <c r="O814" s="2">
        <f>VLOOKUP(N814,Equipes!A:C,3,0)</f>
        <v>15</v>
      </c>
      <c r="P814" s="2" t="str">
        <f t="shared" si="5"/>
        <v>Round of 16</v>
      </c>
      <c r="Q814" s="2">
        <f t="shared" si="6"/>
        <v>4</v>
      </c>
      <c r="R814" s="2" t="str">
        <f>VLOOKUP(J814,Equipes!A:B,2,0)</f>
        <v>River</v>
      </c>
      <c r="S814" s="6" t="s">
        <v>642</v>
      </c>
      <c r="T814" s="7">
        <v>28.0</v>
      </c>
      <c r="U814" s="7" t="s">
        <v>643</v>
      </c>
      <c r="V814" s="7" t="str">
        <f>VLOOKUP(U814,Jogadores!B:C,2,0)</f>
        <v>DF</v>
      </c>
      <c r="W814" s="8">
        <f>VLOOKUP(U814,Jogadores!B:D,3,0)</f>
        <v>29.23561644</v>
      </c>
      <c r="X814" s="7">
        <v>0.0</v>
      </c>
      <c r="Y814" s="7">
        <f>45+AB814</f>
        <v>95</v>
      </c>
      <c r="Z814" s="7">
        <f>VLOOKUP(A814,Jogos!A:L,3,0)</f>
        <v>48</v>
      </c>
      <c r="AA814" s="7">
        <f t="shared" si="2229"/>
        <v>48</v>
      </c>
      <c r="AB814" s="7">
        <f>VLOOKUP(A814,Jogos!A:L,4,0)</f>
        <v>50</v>
      </c>
      <c r="AC814" s="7">
        <f t="shared" si="2230"/>
        <v>50</v>
      </c>
      <c r="AD814" s="7"/>
      <c r="AE814" s="7"/>
      <c r="AF814" s="7">
        <f t="shared" si="2231"/>
        <v>98</v>
      </c>
      <c r="AG814" s="7">
        <v>9834.7</v>
      </c>
      <c r="AH814" s="7">
        <v>3657.2</v>
      </c>
      <c r="AI814" s="7">
        <v>4378.0</v>
      </c>
      <c r="AJ814" s="7">
        <v>1257.6</v>
      </c>
      <c r="AK814" s="7">
        <v>383.0</v>
      </c>
      <c r="AL814" s="7">
        <v>158.9</v>
      </c>
      <c r="AM814" s="7">
        <v>107.0</v>
      </c>
      <c r="AN814" s="7">
        <v>35.0</v>
      </c>
      <c r="AO814" s="7">
        <v>31.2</v>
      </c>
      <c r="AP814" s="9">
        <f t="shared" ref="AP814:AR814" si="2545">AG814/$AF814</f>
        <v>100.3540816</v>
      </c>
      <c r="AQ814" s="9">
        <f t="shared" si="2545"/>
        <v>37.31836735</v>
      </c>
      <c r="AR814" s="9">
        <f t="shared" si="2545"/>
        <v>44.67346939</v>
      </c>
      <c r="AS814" s="9">
        <f t="shared" si="2233"/>
        <v>81.99183673</v>
      </c>
      <c r="AT814" s="9">
        <f t="shared" ref="AT814:AV814" si="2546">AJ814/$AF814</f>
        <v>12.83265306</v>
      </c>
      <c r="AU814" s="9">
        <f t="shared" si="2546"/>
        <v>3.908163265</v>
      </c>
      <c r="AV814" s="9">
        <f t="shared" si="2546"/>
        <v>1.621428571</v>
      </c>
      <c r="AW814" s="9">
        <f t="shared" si="2235"/>
        <v>5.529591837</v>
      </c>
      <c r="AX814" s="9">
        <f t="shared" ref="AX814:AY814" si="2547">AM814/$AF814</f>
        <v>1.091836735</v>
      </c>
      <c r="AY814" s="9">
        <f t="shared" si="2547"/>
        <v>0.3571428571</v>
      </c>
      <c r="AZ814" s="9">
        <f>VLOOKUP(A814,Jogos!A:BN,58,0)</f>
        <v>19.43</v>
      </c>
      <c r="BA814" s="9">
        <f>VLOOKUP(A814,Jogos!A:BN,59,0)</f>
        <v>11.635</v>
      </c>
      <c r="BB814" s="9">
        <f>VLOOKUP(A814,Jogos!A:BN,60,0)</f>
        <v>60.5</v>
      </c>
      <c r="BC814" s="9">
        <f>VLOOKUP(A814,Jogos!A:BN,61,0)</f>
        <v>16.725</v>
      </c>
      <c r="BD814" s="9">
        <f>VLOOKUP(A814,Jogos!A:BN,62,0)</f>
        <v>162.3</v>
      </c>
      <c r="BE814" s="9">
        <f>VLOOKUP(A814,Jogos!A:BN,63,0)</f>
        <v>1.52</v>
      </c>
      <c r="BF814" s="9">
        <f>VLOOKUP(A814,Jogos!A:BN,64,0)</f>
        <v>17.35</v>
      </c>
      <c r="BG814" s="9">
        <f>VLOOKUP(A814,Jogos!A:BN,65,0)</f>
        <v>30.235</v>
      </c>
      <c r="BH814" s="9">
        <f>VLOOKUP(A814,Jogos!A:BN,66,0)</f>
        <v>20.135</v>
      </c>
      <c r="BI814" s="9"/>
      <c r="BJ814" s="9"/>
    </row>
    <row r="815" hidden="1">
      <c r="A815" s="2">
        <v>28.0</v>
      </c>
      <c r="B815" s="11" t="s">
        <v>623</v>
      </c>
      <c r="C815" s="2" t="s">
        <v>61</v>
      </c>
      <c r="D815" s="3">
        <v>45829.0</v>
      </c>
      <c r="E815" s="4">
        <v>0.75</v>
      </c>
      <c r="F815" s="5" t="str">
        <f>VLOOKUP(A815,Jogos!A:N,10,0)</f>
        <v>Evening</v>
      </c>
      <c r="G815" s="2" t="s">
        <v>186</v>
      </c>
      <c r="H815" s="6" t="str">
        <f>VLOOKUP(A815,Jogos!A:L,12,0)</f>
        <v>Open</v>
      </c>
      <c r="I815" s="6" t="str">
        <f>VLOOKUP(G815,'Estádios e Cidades'!A:B,2,0)</f>
        <v>Pasadena</v>
      </c>
      <c r="J815" s="2" t="s">
        <v>624</v>
      </c>
      <c r="K815" s="2" t="str">
        <f>VLOOKUP(J815,Equipes!A:F,6,0)</f>
        <v>Temperate</v>
      </c>
      <c r="L815" s="2">
        <f>VLOOKUP(J815,Equipes!A:C,3,0)</f>
        <v>19</v>
      </c>
      <c r="M815" s="2" t="str">
        <f t="shared" si="4"/>
        <v>Group</v>
      </c>
      <c r="N815" s="2" t="s">
        <v>747</v>
      </c>
      <c r="O815" s="2">
        <f>VLOOKUP(N815,Equipes!A:C,3,0)</f>
        <v>15</v>
      </c>
      <c r="P815" s="2" t="str">
        <f t="shared" si="5"/>
        <v>Round of 16</v>
      </c>
      <c r="Q815" s="2">
        <f t="shared" si="6"/>
        <v>4</v>
      </c>
      <c r="R815" s="2" t="str">
        <f>VLOOKUP(J815,Equipes!A:B,2,0)</f>
        <v>River</v>
      </c>
      <c r="S815" s="6" t="s">
        <v>644</v>
      </c>
      <c r="T815" s="7">
        <v>30.0</v>
      </c>
      <c r="U815" s="7" t="s">
        <v>645</v>
      </c>
      <c r="V815" s="7" t="str">
        <f>VLOOKUP(U815,Jogadores!B:C,2,0)</f>
        <v>FW</v>
      </c>
      <c r="W815" s="8">
        <f>VLOOKUP(U815,Jogadores!B:D,3,0)</f>
        <v>17.96712329</v>
      </c>
      <c r="X815" s="7">
        <v>0.0</v>
      </c>
      <c r="Y815" s="7">
        <v>84.0</v>
      </c>
      <c r="Z815" s="7">
        <f>VLOOKUP(A815,Jogos!A:L,3,0)</f>
        <v>48</v>
      </c>
      <c r="AA815" s="7">
        <f t="shared" si="2229"/>
        <v>48</v>
      </c>
      <c r="AB815" s="7">
        <f>VLOOKUP(A815,Jogos!A:L,4,0)</f>
        <v>50</v>
      </c>
      <c r="AC815" s="7">
        <f t="shared" si="2230"/>
        <v>39</v>
      </c>
      <c r="AD815" s="7"/>
      <c r="AE815" s="7"/>
      <c r="AF815" s="7">
        <f t="shared" si="2231"/>
        <v>87</v>
      </c>
      <c r="AG815" s="7">
        <v>8632.9</v>
      </c>
      <c r="AH815" s="7">
        <v>3853.1</v>
      </c>
      <c r="AI815" s="7">
        <v>2794.5</v>
      </c>
      <c r="AJ815" s="7">
        <v>1209.4</v>
      </c>
      <c r="AK815" s="7">
        <v>561.0</v>
      </c>
      <c r="AL815" s="7">
        <v>214.9</v>
      </c>
      <c r="AM815" s="7">
        <v>104.0</v>
      </c>
      <c r="AN815" s="7">
        <v>42.0</v>
      </c>
      <c r="AO815" s="7">
        <v>29.6</v>
      </c>
      <c r="AP815" s="9">
        <f t="shared" ref="AP815:AR815" si="2548">AG815/$AF815</f>
        <v>99.22873563</v>
      </c>
      <c r="AQ815" s="9">
        <f t="shared" si="2548"/>
        <v>44.28850575</v>
      </c>
      <c r="AR815" s="9">
        <f t="shared" si="2548"/>
        <v>32.12068966</v>
      </c>
      <c r="AS815" s="9">
        <f t="shared" si="2233"/>
        <v>76.4091954</v>
      </c>
      <c r="AT815" s="9">
        <f t="shared" ref="AT815:AV815" si="2549">AJ815/$AF815</f>
        <v>13.90114943</v>
      </c>
      <c r="AU815" s="9">
        <f t="shared" si="2549"/>
        <v>6.448275862</v>
      </c>
      <c r="AV815" s="9">
        <f t="shared" si="2549"/>
        <v>2.470114943</v>
      </c>
      <c r="AW815" s="9">
        <f t="shared" si="2235"/>
        <v>8.918390805</v>
      </c>
      <c r="AX815" s="9">
        <f t="shared" ref="AX815:AY815" si="2550">AM815/$AF815</f>
        <v>1.195402299</v>
      </c>
      <c r="AY815" s="9">
        <f t="shared" si="2550"/>
        <v>0.4827586207</v>
      </c>
      <c r="AZ815" s="9">
        <f>VLOOKUP(A815,Jogos!A:BN,58,0)</f>
        <v>19.43</v>
      </c>
      <c r="BA815" s="9">
        <f>VLOOKUP(A815,Jogos!A:BN,59,0)</f>
        <v>11.635</v>
      </c>
      <c r="BB815" s="9">
        <f>VLOOKUP(A815,Jogos!A:BN,60,0)</f>
        <v>60.5</v>
      </c>
      <c r="BC815" s="9">
        <f>VLOOKUP(A815,Jogos!A:BN,61,0)</f>
        <v>16.725</v>
      </c>
      <c r="BD815" s="9">
        <f>VLOOKUP(A815,Jogos!A:BN,62,0)</f>
        <v>162.3</v>
      </c>
      <c r="BE815" s="9">
        <f>VLOOKUP(A815,Jogos!A:BN,63,0)</f>
        <v>1.52</v>
      </c>
      <c r="BF815" s="9">
        <f>VLOOKUP(A815,Jogos!A:BN,64,0)</f>
        <v>17.35</v>
      </c>
      <c r="BG815" s="9">
        <f>VLOOKUP(A815,Jogos!A:BN,65,0)</f>
        <v>30.235</v>
      </c>
      <c r="BH815" s="9">
        <f>VLOOKUP(A815,Jogos!A:BN,66,0)</f>
        <v>20.135</v>
      </c>
      <c r="BI815" s="9"/>
      <c r="BJ815" s="9"/>
    </row>
    <row r="816" hidden="1">
      <c r="A816" s="2">
        <v>28.0</v>
      </c>
      <c r="B816" s="11" t="s">
        <v>623</v>
      </c>
      <c r="C816" s="2" t="s">
        <v>61</v>
      </c>
      <c r="D816" s="3">
        <v>45829.0</v>
      </c>
      <c r="E816" s="4">
        <v>0.75</v>
      </c>
      <c r="F816" s="5" t="str">
        <f>VLOOKUP(A816,Jogos!A:N,10,0)</f>
        <v>Evening</v>
      </c>
      <c r="G816" s="2" t="s">
        <v>186</v>
      </c>
      <c r="H816" s="6" t="str">
        <f>VLOOKUP(A816,Jogos!A:L,12,0)</f>
        <v>Open</v>
      </c>
      <c r="I816" s="6" t="str">
        <f>VLOOKUP(G816,'Estádios e Cidades'!A:B,2,0)</f>
        <v>Pasadena</v>
      </c>
      <c r="J816" s="2" t="s">
        <v>624</v>
      </c>
      <c r="K816" s="2" t="str">
        <f>VLOOKUP(J816,Equipes!A:F,6,0)</f>
        <v>Temperate</v>
      </c>
      <c r="L816" s="2">
        <f>VLOOKUP(J816,Equipes!A:C,3,0)</f>
        <v>19</v>
      </c>
      <c r="M816" s="2" t="str">
        <f t="shared" si="4"/>
        <v>Group</v>
      </c>
      <c r="N816" s="2" t="s">
        <v>747</v>
      </c>
      <c r="O816" s="2">
        <f>VLOOKUP(N816,Equipes!A:C,3,0)</f>
        <v>15</v>
      </c>
      <c r="P816" s="2" t="str">
        <f t="shared" si="5"/>
        <v>Round of 16</v>
      </c>
      <c r="Q816" s="2">
        <f t="shared" si="6"/>
        <v>4</v>
      </c>
      <c r="R816" s="2" t="str">
        <f>VLOOKUP(J816,Equipes!A:B,2,0)</f>
        <v>River</v>
      </c>
      <c r="S816" s="6" t="s">
        <v>654</v>
      </c>
      <c r="T816" s="7">
        <v>34.0</v>
      </c>
      <c r="U816" s="7" t="s">
        <v>655</v>
      </c>
      <c r="V816" s="7" t="str">
        <f>VLOOKUP(U816,Jogadores!B:C,2,0)</f>
        <v>MF</v>
      </c>
      <c r="W816" s="8">
        <f>VLOOKUP(U816,Jogadores!B:D,3,0)</f>
        <v>26.12876712</v>
      </c>
      <c r="X816" s="7">
        <v>0.0</v>
      </c>
      <c r="Y816" s="7">
        <v>71.0</v>
      </c>
      <c r="Z816" s="7">
        <f>VLOOKUP(A816,Jogos!A:L,3,0)</f>
        <v>48</v>
      </c>
      <c r="AA816" s="7">
        <f t="shared" si="2229"/>
        <v>48</v>
      </c>
      <c r="AB816" s="7">
        <f>VLOOKUP(A816,Jogos!A:L,4,0)</f>
        <v>50</v>
      </c>
      <c r="AC816" s="7">
        <f t="shared" si="2230"/>
        <v>26</v>
      </c>
      <c r="AD816" s="7"/>
      <c r="AE816" s="7"/>
      <c r="AF816" s="7">
        <f t="shared" si="2231"/>
        <v>74</v>
      </c>
      <c r="AG816" s="7">
        <v>8152.9</v>
      </c>
      <c r="AH816" s="7">
        <v>2485.4</v>
      </c>
      <c r="AI816" s="7">
        <v>3588.4</v>
      </c>
      <c r="AJ816" s="7">
        <v>1518.2</v>
      </c>
      <c r="AK816" s="7">
        <v>457.5</v>
      </c>
      <c r="AL816" s="7">
        <v>103.4</v>
      </c>
      <c r="AM816" s="7">
        <v>140.0</v>
      </c>
      <c r="AN816" s="7">
        <v>32.0</v>
      </c>
      <c r="AO816" s="7">
        <v>28.8</v>
      </c>
      <c r="AP816" s="9">
        <f t="shared" ref="AP816:AR816" si="2551">AG816/$AF816</f>
        <v>110.1743243</v>
      </c>
      <c r="AQ816" s="9">
        <f t="shared" si="2551"/>
        <v>33.58648649</v>
      </c>
      <c r="AR816" s="9">
        <f t="shared" si="2551"/>
        <v>48.49189189</v>
      </c>
      <c r="AS816" s="9">
        <f t="shared" si="2233"/>
        <v>82.07837838</v>
      </c>
      <c r="AT816" s="9">
        <f t="shared" ref="AT816:AV816" si="2552">AJ816/$AF816</f>
        <v>20.51621622</v>
      </c>
      <c r="AU816" s="9">
        <f t="shared" si="2552"/>
        <v>6.182432432</v>
      </c>
      <c r="AV816" s="9">
        <f t="shared" si="2552"/>
        <v>1.397297297</v>
      </c>
      <c r="AW816" s="9">
        <f t="shared" si="2235"/>
        <v>7.57972973</v>
      </c>
      <c r="AX816" s="9">
        <f t="shared" ref="AX816:AY816" si="2553">AM816/$AF816</f>
        <v>1.891891892</v>
      </c>
      <c r="AY816" s="9">
        <f t="shared" si="2553"/>
        <v>0.4324324324</v>
      </c>
      <c r="AZ816" s="9">
        <f>VLOOKUP(A816,Jogos!A:BN,58,0)</f>
        <v>19.43</v>
      </c>
      <c r="BA816" s="9">
        <f>VLOOKUP(A816,Jogos!A:BN,59,0)</f>
        <v>11.635</v>
      </c>
      <c r="BB816" s="9">
        <f>VLOOKUP(A816,Jogos!A:BN,60,0)</f>
        <v>60.5</v>
      </c>
      <c r="BC816" s="9">
        <f>VLOOKUP(A816,Jogos!A:BN,61,0)</f>
        <v>16.725</v>
      </c>
      <c r="BD816" s="9">
        <f>VLOOKUP(A816,Jogos!A:BN,62,0)</f>
        <v>162.3</v>
      </c>
      <c r="BE816" s="9">
        <f>VLOOKUP(A816,Jogos!A:BN,63,0)</f>
        <v>1.52</v>
      </c>
      <c r="BF816" s="9">
        <f>VLOOKUP(A816,Jogos!A:BN,64,0)</f>
        <v>17.35</v>
      </c>
      <c r="BG816" s="9">
        <f>VLOOKUP(A816,Jogos!A:BN,65,0)</f>
        <v>30.235</v>
      </c>
      <c r="BH816" s="9">
        <f>VLOOKUP(A816,Jogos!A:BN,66,0)</f>
        <v>20.135</v>
      </c>
      <c r="BI816" s="9"/>
      <c r="BJ816" s="9"/>
    </row>
    <row r="817" hidden="1">
      <c r="A817" s="2">
        <v>28.0</v>
      </c>
      <c r="B817" s="11" t="s">
        <v>623</v>
      </c>
      <c r="C817" s="2" t="s">
        <v>61</v>
      </c>
      <c r="D817" s="3">
        <v>45829.0</v>
      </c>
      <c r="E817" s="4">
        <v>0.75</v>
      </c>
      <c r="F817" s="5" t="str">
        <f>VLOOKUP(A817,Jogos!A:N,10,0)</f>
        <v>Evening</v>
      </c>
      <c r="G817" s="2" t="s">
        <v>186</v>
      </c>
      <c r="H817" s="6" t="str">
        <f>VLOOKUP(A817,Jogos!A:L,12,0)</f>
        <v>Open</v>
      </c>
      <c r="I817" s="6" t="str">
        <f>VLOOKUP(G817,'Estádios e Cidades'!A:B,2,0)</f>
        <v>Pasadena</v>
      </c>
      <c r="J817" s="2" t="s">
        <v>624</v>
      </c>
      <c r="K817" s="2" t="str">
        <f>VLOOKUP(J817,Equipes!A:F,6,0)</f>
        <v>Temperate</v>
      </c>
      <c r="L817" s="2">
        <f>VLOOKUP(J817,Equipes!A:C,3,0)</f>
        <v>19</v>
      </c>
      <c r="M817" s="2" t="str">
        <f t="shared" si="4"/>
        <v>Group</v>
      </c>
      <c r="N817" s="2" t="s">
        <v>747</v>
      </c>
      <c r="O817" s="2">
        <f>VLOOKUP(N817,Equipes!A:C,3,0)</f>
        <v>15</v>
      </c>
      <c r="P817" s="2" t="str">
        <f t="shared" si="5"/>
        <v>Round of 16</v>
      </c>
      <c r="Q817" s="2">
        <f t="shared" si="6"/>
        <v>4</v>
      </c>
      <c r="R817" s="2" t="str">
        <f>VLOOKUP(J817,Equipes!A:B,2,0)</f>
        <v>River</v>
      </c>
      <c r="S817" s="6" t="s">
        <v>1182</v>
      </c>
      <c r="T817" s="7">
        <v>5.0</v>
      </c>
      <c r="U817" s="7" t="s">
        <v>1183</v>
      </c>
      <c r="V817" s="7" t="str">
        <f>VLOOKUP(U817,Jogadores!B:C,2,0)</f>
        <v>MF</v>
      </c>
      <c r="W817" s="8">
        <f>VLOOKUP(U817,Jogadores!B:D,3,0)</f>
        <v>32.20821918</v>
      </c>
      <c r="X817" s="7">
        <v>84.0</v>
      </c>
      <c r="Y817" s="7">
        <f t="shared" ref="Y817:Y822" si="2557">45+AB817</f>
        <v>95</v>
      </c>
      <c r="Z817" s="7">
        <f>VLOOKUP(A817,Jogos!A:L,3,0)</f>
        <v>48</v>
      </c>
      <c r="AA817" s="7">
        <f t="shared" si="2229"/>
        <v>0</v>
      </c>
      <c r="AB817" s="7">
        <f>VLOOKUP(A817,Jogos!A:L,4,0)</f>
        <v>50</v>
      </c>
      <c r="AC817" s="7">
        <f t="shared" si="2230"/>
        <v>11</v>
      </c>
      <c r="AD817" s="7"/>
      <c r="AE817" s="7"/>
      <c r="AF817" s="7">
        <f t="shared" si="2231"/>
        <v>11</v>
      </c>
      <c r="AG817" s="7">
        <v>1144.8</v>
      </c>
      <c r="AH817" s="7">
        <v>432.9</v>
      </c>
      <c r="AI817" s="7">
        <v>463.7</v>
      </c>
      <c r="AJ817" s="7">
        <v>158.0</v>
      </c>
      <c r="AK817" s="7">
        <v>65.7</v>
      </c>
      <c r="AL817" s="7">
        <v>24.5</v>
      </c>
      <c r="AM817" s="7">
        <v>13.0</v>
      </c>
      <c r="AN817" s="7">
        <v>5.0</v>
      </c>
      <c r="AO817" s="7">
        <v>27.6</v>
      </c>
      <c r="AP817" s="9">
        <f t="shared" ref="AP817:AR817" si="2554">AG817/$AF817</f>
        <v>104.0727273</v>
      </c>
      <c r="AQ817" s="9">
        <f t="shared" si="2554"/>
        <v>39.35454545</v>
      </c>
      <c r="AR817" s="9">
        <f t="shared" si="2554"/>
        <v>42.15454545</v>
      </c>
      <c r="AS817" s="9">
        <f t="shared" si="2233"/>
        <v>81.50909091</v>
      </c>
      <c r="AT817" s="9">
        <f t="shared" ref="AT817:AV817" si="2555">AJ817/$AF817</f>
        <v>14.36363636</v>
      </c>
      <c r="AU817" s="9">
        <f t="shared" si="2555"/>
        <v>5.972727273</v>
      </c>
      <c r="AV817" s="9">
        <f t="shared" si="2555"/>
        <v>2.227272727</v>
      </c>
      <c r="AW817" s="9">
        <f t="shared" si="2235"/>
        <v>8.2</v>
      </c>
      <c r="AX817" s="9">
        <f t="shared" ref="AX817:AY817" si="2556">AM817/$AF817</f>
        <v>1.181818182</v>
      </c>
      <c r="AY817" s="9">
        <f t="shared" si="2556"/>
        <v>0.4545454545</v>
      </c>
      <c r="AZ817" s="9">
        <f>VLOOKUP(A817,Jogos!A:BN,58,0)</f>
        <v>19.43</v>
      </c>
      <c r="BA817" s="9">
        <f>VLOOKUP(A817,Jogos!A:BN,59,0)</f>
        <v>11.635</v>
      </c>
      <c r="BB817" s="9">
        <f>VLOOKUP(A817,Jogos!A:BN,60,0)</f>
        <v>60.5</v>
      </c>
      <c r="BC817" s="9">
        <f>VLOOKUP(A817,Jogos!A:BN,61,0)</f>
        <v>16.725</v>
      </c>
      <c r="BD817" s="9">
        <f>VLOOKUP(A817,Jogos!A:BN,62,0)</f>
        <v>162.3</v>
      </c>
      <c r="BE817" s="9">
        <f>VLOOKUP(A817,Jogos!A:BN,63,0)</f>
        <v>1.52</v>
      </c>
      <c r="BF817" s="9">
        <f>VLOOKUP(A817,Jogos!A:BN,64,0)</f>
        <v>17.35</v>
      </c>
      <c r="BG817" s="9">
        <f>VLOOKUP(A817,Jogos!A:BN,65,0)</f>
        <v>30.235</v>
      </c>
      <c r="BH817" s="9">
        <f>VLOOKUP(A817,Jogos!A:BN,66,0)</f>
        <v>20.135</v>
      </c>
      <c r="BI817" s="9"/>
      <c r="BJ817" s="9"/>
    </row>
    <row r="818" hidden="1">
      <c r="A818" s="2">
        <v>28.0</v>
      </c>
      <c r="B818" s="11" t="s">
        <v>623</v>
      </c>
      <c r="C818" s="2" t="s">
        <v>61</v>
      </c>
      <c r="D818" s="3">
        <v>45829.0</v>
      </c>
      <c r="E818" s="4">
        <v>0.75</v>
      </c>
      <c r="F818" s="5" t="str">
        <f>VLOOKUP(A818,Jogos!A:N,10,0)</f>
        <v>Evening</v>
      </c>
      <c r="G818" s="2" t="s">
        <v>186</v>
      </c>
      <c r="H818" s="6" t="str">
        <f>VLOOKUP(A818,Jogos!A:L,12,0)</f>
        <v>Open</v>
      </c>
      <c r="I818" s="6" t="str">
        <f>VLOOKUP(G818,'Estádios e Cidades'!A:B,2,0)</f>
        <v>Pasadena</v>
      </c>
      <c r="J818" s="2" t="s">
        <v>624</v>
      </c>
      <c r="K818" s="2" t="str">
        <f>VLOOKUP(J818,Equipes!A:F,6,0)</f>
        <v>Temperate</v>
      </c>
      <c r="L818" s="2">
        <f>VLOOKUP(J818,Equipes!A:C,3,0)</f>
        <v>19</v>
      </c>
      <c r="M818" s="2" t="str">
        <f t="shared" si="4"/>
        <v>Group</v>
      </c>
      <c r="N818" s="2" t="s">
        <v>747</v>
      </c>
      <c r="O818" s="2">
        <f>VLOOKUP(N818,Equipes!A:C,3,0)</f>
        <v>15</v>
      </c>
      <c r="P818" s="2" t="str">
        <f t="shared" si="5"/>
        <v>Round of 16</v>
      </c>
      <c r="Q818" s="2">
        <f t="shared" si="6"/>
        <v>4</v>
      </c>
      <c r="R818" s="2" t="str">
        <f>VLOOKUP(J818,Equipes!A:B,2,0)</f>
        <v>River</v>
      </c>
      <c r="S818" s="6" t="s">
        <v>648</v>
      </c>
      <c r="T818" s="7">
        <v>9.0</v>
      </c>
      <c r="U818" s="7" t="s">
        <v>649</v>
      </c>
      <c r="V818" s="7" t="str">
        <f>VLOOKUP(U818,Jogadores!B:C,2,0)</f>
        <v>FW</v>
      </c>
      <c r="W818" s="8">
        <f>VLOOKUP(U818,Jogadores!B:D,3,0)</f>
        <v>32.52328767</v>
      </c>
      <c r="X818" s="7">
        <v>71.0</v>
      </c>
      <c r="Y818" s="7">
        <f t="shared" si="2557"/>
        <v>95</v>
      </c>
      <c r="Z818" s="7">
        <f>VLOOKUP(A818,Jogos!A:L,3,0)</f>
        <v>48</v>
      </c>
      <c r="AA818" s="7">
        <f t="shared" si="2229"/>
        <v>0</v>
      </c>
      <c r="AB818" s="7">
        <f>VLOOKUP(A818,Jogos!A:L,4,0)</f>
        <v>50</v>
      </c>
      <c r="AC818" s="7">
        <f t="shared" si="2230"/>
        <v>24</v>
      </c>
      <c r="AD818" s="7"/>
      <c r="AE818" s="7"/>
      <c r="AF818" s="7">
        <f t="shared" si="2231"/>
        <v>24</v>
      </c>
      <c r="AG818" s="7">
        <v>2350.2</v>
      </c>
      <c r="AH818" s="7">
        <v>926.5</v>
      </c>
      <c r="AI818" s="7">
        <v>850.0</v>
      </c>
      <c r="AJ818" s="7">
        <v>279.9</v>
      </c>
      <c r="AK818" s="7">
        <v>173.4</v>
      </c>
      <c r="AL818" s="7">
        <v>120.4</v>
      </c>
      <c r="AM818" s="7">
        <v>25.0</v>
      </c>
      <c r="AN818" s="7">
        <v>17.0</v>
      </c>
      <c r="AO818" s="7">
        <v>32.8</v>
      </c>
      <c r="AP818" s="9">
        <f t="shared" ref="AP818:AR818" si="2558">AG818/$AF818</f>
        <v>97.925</v>
      </c>
      <c r="AQ818" s="9">
        <f t="shared" si="2558"/>
        <v>38.60416667</v>
      </c>
      <c r="AR818" s="9">
        <f t="shared" si="2558"/>
        <v>35.41666667</v>
      </c>
      <c r="AS818" s="9">
        <f t="shared" si="2233"/>
        <v>74.02083333</v>
      </c>
      <c r="AT818" s="9">
        <f t="shared" ref="AT818:AV818" si="2559">AJ818/$AF818</f>
        <v>11.6625</v>
      </c>
      <c r="AU818" s="9">
        <f t="shared" si="2559"/>
        <v>7.225</v>
      </c>
      <c r="AV818" s="9">
        <f t="shared" si="2559"/>
        <v>5.016666667</v>
      </c>
      <c r="AW818" s="9">
        <f t="shared" si="2235"/>
        <v>12.24166667</v>
      </c>
      <c r="AX818" s="9">
        <f t="shared" ref="AX818:AY818" si="2560">AM818/$AF818</f>
        <v>1.041666667</v>
      </c>
      <c r="AY818" s="9">
        <f t="shared" si="2560"/>
        <v>0.7083333333</v>
      </c>
      <c r="AZ818" s="9">
        <f>VLOOKUP(A818,Jogos!A:BN,58,0)</f>
        <v>19.43</v>
      </c>
      <c r="BA818" s="9">
        <f>VLOOKUP(A818,Jogos!A:BN,59,0)</f>
        <v>11.635</v>
      </c>
      <c r="BB818" s="9">
        <f>VLOOKUP(A818,Jogos!A:BN,60,0)</f>
        <v>60.5</v>
      </c>
      <c r="BC818" s="9">
        <f>VLOOKUP(A818,Jogos!A:BN,61,0)</f>
        <v>16.725</v>
      </c>
      <c r="BD818" s="9">
        <f>VLOOKUP(A818,Jogos!A:BN,62,0)</f>
        <v>162.3</v>
      </c>
      <c r="BE818" s="9">
        <f>VLOOKUP(A818,Jogos!A:BN,63,0)</f>
        <v>1.52</v>
      </c>
      <c r="BF818" s="9">
        <f>VLOOKUP(A818,Jogos!A:BN,64,0)</f>
        <v>17.35</v>
      </c>
      <c r="BG818" s="9">
        <f>VLOOKUP(A818,Jogos!A:BN,65,0)</f>
        <v>30.235</v>
      </c>
      <c r="BH818" s="9">
        <f>VLOOKUP(A818,Jogos!A:BN,66,0)</f>
        <v>20.135</v>
      </c>
      <c r="BI818" s="9"/>
      <c r="BJ818" s="9"/>
    </row>
    <row r="819" hidden="1">
      <c r="A819" s="2">
        <v>28.0</v>
      </c>
      <c r="B819" s="11" t="s">
        <v>623</v>
      </c>
      <c r="C819" s="2" t="s">
        <v>61</v>
      </c>
      <c r="D819" s="3">
        <v>45829.0</v>
      </c>
      <c r="E819" s="4">
        <v>0.75</v>
      </c>
      <c r="F819" s="5" t="str">
        <f>VLOOKUP(A819,Jogos!A:N,10,0)</f>
        <v>Evening</v>
      </c>
      <c r="G819" s="2" t="s">
        <v>186</v>
      </c>
      <c r="H819" s="6" t="str">
        <f>VLOOKUP(A819,Jogos!A:L,12,0)</f>
        <v>Open</v>
      </c>
      <c r="I819" s="6" t="str">
        <f>VLOOKUP(G819,'Estádios e Cidades'!A:B,2,0)</f>
        <v>Pasadena</v>
      </c>
      <c r="J819" s="2" t="s">
        <v>624</v>
      </c>
      <c r="K819" s="2" t="str">
        <f>VLOOKUP(J819,Equipes!A:F,6,0)</f>
        <v>Temperate</v>
      </c>
      <c r="L819" s="2">
        <f>VLOOKUP(J819,Equipes!A:C,3,0)</f>
        <v>19</v>
      </c>
      <c r="M819" s="2" t="str">
        <f t="shared" si="4"/>
        <v>Group</v>
      </c>
      <c r="N819" s="2" t="s">
        <v>747</v>
      </c>
      <c r="O819" s="2">
        <f>VLOOKUP(N819,Equipes!A:C,3,0)</f>
        <v>15</v>
      </c>
      <c r="P819" s="2" t="str">
        <f t="shared" si="5"/>
        <v>Round of 16</v>
      </c>
      <c r="Q819" s="2">
        <f t="shared" si="6"/>
        <v>4</v>
      </c>
      <c r="R819" s="2" t="str">
        <f>VLOOKUP(J819,Equipes!A:B,2,0)</f>
        <v>River</v>
      </c>
      <c r="S819" s="6" t="s">
        <v>650</v>
      </c>
      <c r="T819" s="7">
        <v>18.0</v>
      </c>
      <c r="U819" s="7" t="s">
        <v>651</v>
      </c>
      <c r="V819" s="7" t="str">
        <f>VLOOKUP(U819,Jogadores!B:C,2,0)</f>
        <v>MF</v>
      </c>
      <c r="W819" s="8">
        <f>VLOOKUP(U819,Jogadores!B:D,3,0)</f>
        <v>32.14520548</v>
      </c>
      <c r="X819" s="7">
        <v>84.0</v>
      </c>
      <c r="Y819" s="7">
        <f t="shared" si="2557"/>
        <v>95</v>
      </c>
      <c r="Z819" s="7">
        <f>VLOOKUP(A819,Jogos!A:L,3,0)</f>
        <v>48</v>
      </c>
      <c r="AA819" s="7">
        <f t="shared" si="2229"/>
        <v>0</v>
      </c>
      <c r="AB819" s="7">
        <f>VLOOKUP(A819,Jogos!A:L,4,0)</f>
        <v>50</v>
      </c>
      <c r="AC819" s="7">
        <f t="shared" si="2230"/>
        <v>11</v>
      </c>
      <c r="AD819" s="7"/>
      <c r="AE819" s="7"/>
      <c r="AF819" s="7">
        <f t="shared" si="2231"/>
        <v>11</v>
      </c>
      <c r="AG819" s="7">
        <v>1147.2</v>
      </c>
      <c r="AH819" s="7">
        <v>389.1</v>
      </c>
      <c r="AI819" s="7">
        <v>493.4</v>
      </c>
      <c r="AJ819" s="7">
        <v>171.3</v>
      </c>
      <c r="AK819" s="7">
        <v>73.1</v>
      </c>
      <c r="AL819" s="7">
        <v>20.4</v>
      </c>
      <c r="AM819" s="7">
        <v>13.0</v>
      </c>
      <c r="AN819" s="7">
        <v>6.0</v>
      </c>
      <c r="AO819" s="7">
        <v>28.8</v>
      </c>
      <c r="AP819" s="9">
        <f t="shared" ref="AP819:AR819" si="2561">AG819/$AF819</f>
        <v>104.2909091</v>
      </c>
      <c r="AQ819" s="9">
        <f t="shared" si="2561"/>
        <v>35.37272727</v>
      </c>
      <c r="AR819" s="9">
        <f t="shared" si="2561"/>
        <v>44.85454545</v>
      </c>
      <c r="AS819" s="9">
        <f t="shared" si="2233"/>
        <v>80.22727273</v>
      </c>
      <c r="AT819" s="9">
        <f t="shared" ref="AT819:AV819" si="2562">AJ819/$AF819</f>
        <v>15.57272727</v>
      </c>
      <c r="AU819" s="9">
        <f t="shared" si="2562"/>
        <v>6.645454545</v>
      </c>
      <c r="AV819" s="9">
        <f t="shared" si="2562"/>
        <v>1.854545455</v>
      </c>
      <c r="AW819" s="9">
        <f t="shared" si="2235"/>
        <v>8.5</v>
      </c>
      <c r="AX819" s="9">
        <f t="shared" ref="AX819:AY819" si="2563">AM819/$AF819</f>
        <v>1.181818182</v>
      </c>
      <c r="AY819" s="9">
        <f t="shared" si="2563"/>
        <v>0.5454545455</v>
      </c>
      <c r="AZ819" s="9">
        <f>VLOOKUP(A819,Jogos!A:BN,58,0)</f>
        <v>19.43</v>
      </c>
      <c r="BA819" s="9">
        <f>VLOOKUP(A819,Jogos!A:BN,59,0)</f>
        <v>11.635</v>
      </c>
      <c r="BB819" s="9">
        <f>VLOOKUP(A819,Jogos!A:BN,60,0)</f>
        <v>60.5</v>
      </c>
      <c r="BC819" s="9">
        <f>VLOOKUP(A819,Jogos!A:BN,61,0)</f>
        <v>16.725</v>
      </c>
      <c r="BD819" s="9">
        <f>VLOOKUP(A819,Jogos!A:BN,62,0)</f>
        <v>162.3</v>
      </c>
      <c r="BE819" s="9">
        <f>VLOOKUP(A819,Jogos!A:BN,63,0)</f>
        <v>1.52</v>
      </c>
      <c r="BF819" s="9">
        <f>VLOOKUP(A819,Jogos!A:BN,64,0)</f>
        <v>17.35</v>
      </c>
      <c r="BG819" s="9">
        <f>VLOOKUP(A819,Jogos!A:BN,65,0)</f>
        <v>30.235</v>
      </c>
      <c r="BH819" s="9">
        <f>VLOOKUP(A819,Jogos!A:BN,66,0)</f>
        <v>20.135</v>
      </c>
      <c r="BI819" s="9"/>
      <c r="BJ819" s="9"/>
    </row>
    <row r="820" hidden="1">
      <c r="A820" s="2">
        <v>28.0</v>
      </c>
      <c r="B820" s="11" t="s">
        <v>623</v>
      </c>
      <c r="C820" s="2" t="s">
        <v>61</v>
      </c>
      <c r="D820" s="3">
        <v>45829.0</v>
      </c>
      <c r="E820" s="4">
        <v>0.75</v>
      </c>
      <c r="F820" s="5" t="str">
        <f>VLOOKUP(A820,Jogos!A:N,10,0)</f>
        <v>Evening</v>
      </c>
      <c r="G820" s="2" t="s">
        <v>186</v>
      </c>
      <c r="H820" s="6" t="str">
        <f>VLOOKUP(A820,Jogos!A:L,12,0)</f>
        <v>Open</v>
      </c>
      <c r="I820" s="6" t="str">
        <f>VLOOKUP(G820,'Estádios e Cidades'!A:B,2,0)</f>
        <v>Pasadena</v>
      </c>
      <c r="J820" s="2" t="s">
        <v>624</v>
      </c>
      <c r="K820" s="2" t="str">
        <f>VLOOKUP(J820,Equipes!A:F,6,0)</f>
        <v>Temperate</v>
      </c>
      <c r="L820" s="2">
        <f>VLOOKUP(J820,Equipes!A:C,3,0)</f>
        <v>19</v>
      </c>
      <c r="M820" s="2" t="str">
        <f t="shared" si="4"/>
        <v>Group</v>
      </c>
      <c r="N820" s="2" t="s">
        <v>747</v>
      </c>
      <c r="O820" s="2">
        <f>VLOOKUP(N820,Equipes!A:C,3,0)</f>
        <v>15</v>
      </c>
      <c r="P820" s="2" t="str">
        <f t="shared" si="5"/>
        <v>Round of 16</v>
      </c>
      <c r="Q820" s="2">
        <f t="shared" si="6"/>
        <v>4</v>
      </c>
      <c r="R820" s="2" t="str">
        <f>VLOOKUP(J820,Equipes!A:B,2,0)</f>
        <v>River</v>
      </c>
      <c r="S820" s="6" t="s">
        <v>640</v>
      </c>
      <c r="T820" s="7">
        <v>26.0</v>
      </c>
      <c r="U820" s="7" t="s">
        <v>641</v>
      </c>
      <c r="V820" s="7" t="str">
        <f>VLOOKUP(U820,Jogadores!B:C,2,0)</f>
        <v>MF</v>
      </c>
      <c r="W820" s="8">
        <f>VLOOKUP(U820,Jogadores!B:D,3,0)</f>
        <v>35.56438356</v>
      </c>
      <c r="X820" s="7">
        <v>71.0</v>
      </c>
      <c r="Y820" s="7">
        <f t="shared" si="2557"/>
        <v>95</v>
      </c>
      <c r="Z820" s="7">
        <f>VLOOKUP(A820,Jogos!A:L,3,0)</f>
        <v>48</v>
      </c>
      <c r="AA820" s="7">
        <f t="shared" si="2229"/>
        <v>0</v>
      </c>
      <c r="AB820" s="7">
        <f>VLOOKUP(A820,Jogos!A:L,4,0)</f>
        <v>50</v>
      </c>
      <c r="AC820" s="7">
        <f t="shared" si="2230"/>
        <v>24</v>
      </c>
      <c r="AD820" s="7"/>
      <c r="AE820" s="7"/>
      <c r="AF820" s="7">
        <f t="shared" si="2231"/>
        <v>24</v>
      </c>
      <c r="AG820" s="7">
        <v>2638.8</v>
      </c>
      <c r="AH820" s="7">
        <v>736.7</v>
      </c>
      <c r="AI820" s="7">
        <v>1171.7</v>
      </c>
      <c r="AJ820" s="7">
        <v>472.9</v>
      </c>
      <c r="AK820" s="7">
        <v>228.5</v>
      </c>
      <c r="AL820" s="7">
        <v>29.0</v>
      </c>
      <c r="AM820" s="7">
        <v>47.0</v>
      </c>
      <c r="AN820" s="7">
        <v>17.0</v>
      </c>
      <c r="AO820" s="7">
        <v>30.7</v>
      </c>
      <c r="AP820" s="9">
        <f t="shared" ref="AP820:AR820" si="2564">AG820/$AF820</f>
        <v>109.95</v>
      </c>
      <c r="AQ820" s="9">
        <f t="shared" si="2564"/>
        <v>30.69583333</v>
      </c>
      <c r="AR820" s="9">
        <f t="shared" si="2564"/>
        <v>48.82083333</v>
      </c>
      <c r="AS820" s="9">
        <f t="shared" si="2233"/>
        <v>79.51666667</v>
      </c>
      <c r="AT820" s="9">
        <f t="shared" ref="AT820:AV820" si="2565">AJ820/$AF820</f>
        <v>19.70416667</v>
      </c>
      <c r="AU820" s="9">
        <f t="shared" si="2565"/>
        <v>9.520833333</v>
      </c>
      <c r="AV820" s="9">
        <f t="shared" si="2565"/>
        <v>1.208333333</v>
      </c>
      <c r="AW820" s="9">
        <f t="shared" si="2235"/>
        <v>10.72916667</v>
      </c>
      <c r="AX820" s="9">
        <f t="shared" ref="AX820:AY820" si="2566">AM820/$AF820</f>
        <v>1.958333333</v>
      </c>
      <c r="AY820" s="9">
        <f t="shared" si="2566"/>
        <v>0.7083333333</v>
      </c>
      <c r="AZ820" s="9">
        <f>VLOOKUP(A820,Jogos!A:BN,58,0)</f>
        <v>19.43</v>
      </c>
      <c r="BA820" s="9">
        <f>VLOOKUP(A820,Jogos!A:BN,59,0)</f>
        <v>11.635</v>
      </c>
      <c r="BB820" s="9">
        <f>VLOOKUP(A820,Jogos!A:BN,60,0)</f>
        <v>60.5</v>
      </c>
      <c r="BC820" s="9">
        <f>VLOOKUP(A820,Jogos!A:BN,61,0)</f>
        <v>16.725</v>
      </c>
      <c r="BD820" s="9">
        <f>VLOOKUP(A820,Jogos!A:BN,62,0)</f>
        <v>162.3</v>
      </c>
      <c r="BE820" s="9">
        <f>VLOOKUP(A820,Jogos!A:BN,63,0)</f>
        <v>1.52</v>
      </c>
      <c r="BF820" s="9">
        <f>VLOOKUP(A820,Jogos!A:BN,64,0)</f>
        <v>17.35</v>
      </c>
      <c r="BG820" s="9">
        <f>VLOOKUP(A820,Jogos!A:BN,65,0)</f>
        <v>30.235</v>
      </c>
      <c r="BH820" s="9">
        <f>VLOOKUP(A820,Jogos!A:BN,66,0)</f>
        <v>20.135</v>
      </c>
      <c r="BI820" s="9"/>
      <c r="BJ820" s="9"/>
    </row>
    <row r="821" hidden="1">
      <c r="A821" s="10">
        <v>28.0</v>
      </c>
      <c r="B821" s="11" t="s">
        <v>623</v>
      </c>
      <c r="C821" s="2" t="s">
        <v>61</v>
      </c>
      <c r="D821" s="12">
        <v>45829.0</v>
      </c>
      <c r="E821" s="13">
        <v>0.75</v>
      </c>
      <c r="F821" s="5" t="str">
        <f>VLOOKUP(A821,Jogos!A:N,10,0)</f>
        <v>Evening</v>
      </c>
      <c r="G821" s="15" t="s">
        <v>186</v>
      </c>
      <c r="H821" s="6" t="str">
        <f>VLOOKUP(A821,Jogos!A:L,12,0)</f>
        <v>Open</v>
      </c>
      <c r="I821" s="6" t="str">
        <f>VLOOKUP(G821,'Estádios e Cidades'!A:B,2,0)</f>
        <v>Pasadena</v>
      </c>
      <c r="J821" s="11" t="s">
        <v>747</v>
      </c>
      <c r="K821" s="2" t="str">
        <f>VLOOKUP(J821,Equipes!A:F,6,0)</f>
        <v>Tropical</v>
      </c>
      <c r="L821" s="2">
        <f>VLOOKUP(J821,Equipes!A:C,3,0)</f>
        <v>15</v>
      </c>
      <c r="M821" s="2" t="str">
        <f t="shared" si="4"/>
        <v>Round of 16</v>
      </c>
      <c r="N821" s="11" t="s">
        <v>624</v>
      </c>
      <c r="O821" s="2">
        <f>VLOOKUP(N821,Equipes!A:C,3,0)</f>
        <v>19</v>
      </c>
      <c r="P821" s="2" t="str">
        <f t="shared" si="5"/>
        <v>Group</v>
      </c>
      <c r="Q821" s="2">
        <f t="shared" si="6"/>
        <v>-4</v>
      </c>
      <c r="R821" s="2" t="str">
        <f>VLOOKUP(J821,Equipes!A:B,2,0)</f>
        <v>Monterrey</v>
      </c>
      <c r="S821" s="14" t="s">
        <v>751</v>
      </c>
      <c r="T821" s="7">
        <v>3.0</v>
      </c>
      <c r="U821" s="7" t="s">
        <v>752</v>
      </c>
      <c r="V821" s="7" t="str">
        <f>VLOOKUP(U821,Jogadores!B:C,2,0)</f>
        <v>DF</v>
      </c>
      <c r="W821" s="8">
        <f>VLOOKUP(U821,Jogadores!B:D,3,0)</f>
        <v>26.90684932</v>
      </c>
      <c r="X821" s="7">
        <v>0.0</v>
      </c>
      <c r="Y821" s="7">
        <f t="shared" si="2557"/>
        <v>95</v>
      </c>
      <c r="Z821" s="7">
        <f>VLOOKUP(A821,Jogos!A:L,3,0)</f>
        <v>48</v>
      </c>
      <c r="AA821" s="7">
        <f t="shared" si="2229"/>
        <v>48</v>
      </c>
      <c r="AB821" s="7">
        <f>VLOOKUP(A821,Jogos!A:L,4,0)</f>
        <v>50</v>
      </c>
      <c r="AC821" s="7">
        <f t="shared" si="2230"/>
        <v>50</v>
      </c>
      <c r="AD821" s="7"/>
      <c r="AE821" s="7"/>
      <c r="AF821" s="7">
        <f t="shared" si="2231"/>
        <v>98</v>
      </c>
      <c r="AG821" s="7">
        <v>9552.9</v>
      </c>
      <c r="AH821" s="7">
        <v>3855.7</v>
      </c>
      <c r="AI821" s="7">
        <v>3353.2</v>
      </c>
      <c r="AJ821" s="7">
        <v>1366.9</v>
      </c>
      <c r="AK821" s="7">
        <v>553.1</v>
      </c>
      <c r="AL821" s="7">
        <v>423.9</v>
      </c>
      <c r="AM821" s="7">
        <v>122.0</v>
      </c>
      <c r="AN821" s="7">
        <v>51.0</v>
      </c>
      <c r="AO821" s="7">
        <v>33.8</v>
      </c>
      <c r="AP821" s="9">
        <f t="shared" ref="AP821:AR821" si="2567">AG821/$AF821</f>
        <v>97.47857143</v>
      </c>
      <c r="AQ821" s="9">
        <f t="shared" si="2567"/>
        <v>39.34387755</v>
      </c>
      <c r="AR821" s="9">
        <f t="shared" si="2567"/>
        <v>34.21632653</v>
      </c>
      <c r="AS821" s="9">
        <f t="shared" si="2233"/>
        <v>73.56020408</v>
      </c>
      <c r="AT821" s="9">
        <f t="shared" ref="AT821:AV821" si="2568">AJ821/$AF821</f>
        <v>13.94795918</v>
      </c>
      <c r="AU821" s="9">
        <f t="shared" si="2568"/>
        <v>5.643877551</v>
      </c>
      <c r="AV821" s="9">
        <f t="shared" si="2568"/>
        <v>4.325510204</v>
      </c>
      <c r="AW821" s="9">
        <f t="shared" si="2235"/>
        <v>9.969387755</v>
      </c>
      <c r="AX821" s="9">
        <f t="shared" ref="AX821:AY821" si="2569">AM821/$AF821</f>
        <v>1.244897959</v>
      </c>
      <c r="AY821" s="9">
        <f t="shared" si="2569"/>
        <v>0.5204081633</v>
      </c>
      <c r="AZ821" s="9">
        <f>VLOOKUP(A821,Jogos!A:BN,58,0)</f>
        <v>19.43</v>
      </c>
      <c r="BA821" s="9">
        <f>VLOOKUP(A821,Jogos!A:BN,59,0)</f>
        <v>11.635</v>
      </c>
      <c r="BB821" s="9">
        <f>VLOOKUP(A821,Jogos!A:BN,60,0)</f>
        <v>60.5</v>
      </c>
      <c r="BC821" s="9">
        <f>VLOOKUP(A821,Jogos!A:BN,61,0)</f>
        <v>16.725</v>
      </c>
      <c r="BD821" s="9">
        <f>VLOOKUP(A821,Jogos!A:BN,62,0)</f>
        <v>162.3</v>
      </c>
      <c r="BE821" s="9">
        <f>VLOOKUP(A821,Jogos!A:BN,63,0)</f>
        <v>1.52</v>
      </c>
      <c r="BF821" s="9">
        <f>VLOOKUP(A821,Jogos!A:BN,64,0)</f>
        <v>17.35</v>
      </c>
      <c r="BG821" s="9">
        <f>VLOOKUP(A821,Jogos!A:BN,65,0)</f>
        <v>30.235</v>
      </c>
      <c r="BH821" s="9">
        <f>VLOOKUP(A821,Jogos!A:BN,66,0)</f>
        <v>20.135</v>
      </c>
      <c r="BI821" s="9"/>
      <c r="BJ821" s="9"/>
    </row>
    <row r="822" hidden="1">
      <c r="A822" s="10">
        <v>28.0</v>
      </c>
      <c r="B822" s="11" t="s">
        <v>623</v>
      </c>
      <c r="C822" s="2" t="s">
        <v>61</v>
      </c>
      <c r="D822" s="12">
        <v>45829.0</v>
      </c>
      <c r="E822" s="13">
        <v>0.75</v>
      </c>
      <c r="F822" s="5" t="str">
        <f>VLOOKUP(A822,Jogos!A:N,10,0)</f>
        <v>Evening</v>
      </c>
      <c r="G822" s="15" t="s">
        <v>186</v>
      </c>
      <c r="H822" s="6" t="str">
        <f>VLOOKUP(A822,Jogos!A:L,12,0)</f>
        <v>Open</v>
      </c>
      <c r="I822" s="6" t="str">
        <f>VLOOKUP(G822,'Estádios e Cidades'!A:B,2,0)</f>
        <v>Pasadena</v>
      </c>
      <c r="J822" s="11" t="s">
        <v>747</v>
      </c>
      <c r="K822" s="2" t="str">
        <f>VLOOKUP(J822,Equipes!A:F,6,0)</f>
        <v>Tropical</v>
      </c>
      <c r="L822" s="2">
        <f>VLOOKUP(J822,Equipes!A:C,3,0)</f>
        <v>15</v>
      </c>
      <c r="M822" s="2" t="str">
        <f t="shared" si="4"/>
        <v>Round of 16</v>
      </c>
      <c r="N822" s="11" t="s">
        <v>624</v>
      </c>
      <c r="O822" s="2">
        <f>VLOOKUP(N822,Equipes!A:C,3,0)</f>
        <v>19</v>
      </c>
      <c r="P822" s="2" t="str">
        <f t="shared" si="5"/>
        <v>Group</v>
      </c>
      <c r="Q822" s="2">
        <f t="shared" si="6"/>
        <v>-4</v>
      </c>
      <c r="R822" s="2" t="str">
        <f>VLOOKUP(J822,Equipes!A:B,2,0)</f>
        <v>Monterrey</v>
      </c>
      <c r="S822" s="6" t="s">
        <v>771</v>
      </c>
      <c r="T822" s="7">
        <v>6.0</v>
      </c>
      <c r="U822" s="7" t="s">
        <v>772</v>
      </c>
      <c r="V822" s="7" t="str">
        <f>VLOOKUP(U822,Jogadores!B:C,2,0)</f>
        <v>MF</v>
      </c>
      <c r="W822" s="8">
        <f>VLOOKUP(U822,Jogadores!B:D,3,0)</f>
        <v>25.49041096</v>
      </c>
      <c r="X822" s="7">
        <v>0.0</v>
      </c>
      <c r="Y822" s="7">
        <f t="shared" si="2557"/>
        <v>95</v>
      </c>
      <c r="Z822" s="7">
        <f>VLOOKUP(A822,Jogos!A:L,3,0)</f>
        <v>48</v>
      </c>
      <c r="AA822" s="7">
        <f t="shared" si="2229"/>
        <v>48</v>
      </c>
      <c r="AB822" s="7">
        <f>VLOOKUP(A822,Jogos!A:L,4,0)</f>
        <v>50</v>
      </c>
      <c r="AC822" s="7">
        <f t="shared" si="2230"/>
        <v>50</v>
      </c>
      <c r="AD822" s="7"/>
      <c r="AE822" s="7"/>
      <c r="AF822" s="7">
        <f t="shared" si="2231"/>
        <v>98</v>
      </c>
      <c r="AG822" s="7">
        <v>9796.4</v>
      </c>
      <c r="AH822" s="7">
        <v>3762.2</v>
      </c>
      <c r="AI822" s="7">
        <v>3839.6</v>
      </c>
      <c r="AJ822" s="7">
        <v>1276.3</v>
      </c>
      <c r="AK822" s="7">
        <v>517.7</v>
      </c>
      <c r="AL822" s="7">
        <v>400.6</v>
      </c>
      <c r="AM822" s="7">
        <v>109.0</v>
      </c>
      <c r="AN822" s="7">
        <v>41.0</v>
      </c>
      <c r="AO822" s="7">
        <v>32.7</v>
      </c>
      <c r="AP822" s="9">
        <f t="shared" ref="AP822:AR822" si="2570">AG822/$AF822</f>
        <v>99.96326531</v>
      </c>
      <c r="AQ822" s="9">
        <f t="shared" si="2570"/>
        <v>38.38979592</v>
      </c>
      <c r="AR822" s="9">
        <f t="shared" si="2570"/>
        <v>39.17959184</v>
      </c>
      <c r="AS822" s="9">
        <f t="shared" si="2233"/>
        <v>77.56938776</v>
      </c>
      <c r="AT822" s="9">
        <f t="shared" ref="AT822:AV822" si="2571">AJ822/$AF822</f>
        <v>13.02346939</v>
      </c>
      <c r="AU822" s="9">
        <f t="shared" si="2571"/>
        <v>5.282653061</v>
      </c>
      <c r="AV822" s="9">
        <f t="shared" si="2571"/>
        <v>4.087755102</v>
      </c>
      <c r="AW822" s="9">
        <f t="shared" si="2235"/>
        <v>9.370408163</v>
      </c>
      <c r="AX822" s="9">
        <f t="shared" ref="AX822:AY822" si="2572">AM822/$AF822</f>
        <v>1.112244898</v>
      </c>
      <c r="AY822" s="9">
        <f t="shared" si="2572"/>
        <v>0.4183673469</v>
      </c>
      <c r="AZ822" s="9">
        <f>VLOOKUP(A822,Jogos!A:BN,58,0)</f>
        <v>19.43</v>
      </c>
      <c r="BA822" s="9">
        <f>VLOOKUP(A822,Jogos!A:BN,59,0)</f>
        <v>11.635</v>
      </c>
      <c r="BB822" s="9">
        <f>VLOOKUP(A822,Jogos!A:BN,60,0)</f>
        <v>60.5</v>
      </c>
      <c r="BC822" s="9">
        <f>VLOOKUP(A822,Jogos!A:BN,61,0)</f>
        <v>16.725</v>
      </c>
      <c r="BD822" s="9">
        <f>VLOOKUP(A822,Jogos!A:BN,62,0)</f>
        <v>162.3</v>
      </c>
      <c r="BE822" s="9">
        <f>VLOOKUP(A822,Jogos!A:BN,63,0)</f>
        <v>1.52</v>
      </c>
      <c r="BF822" s="9">
        <f>VLOOKUP(A822,Jogos!A:BN,64,0)</f>
        <v>17.35</v>
      </c>
      <c r="BG822" s="9">
        <f>VLOOKUP(A822,Jogos!A:BN,65,0)</f>
        <v>30.235</v>
      </c>
      <c r="BH822" s="9">
        <f>VLOOKUP(A822,Jogos!A:BN,66,0)</f>
        <v>20.135</v>
      </c>
      <c r="BI822" s="9"/>
      <c r="BJ822" s="9"/>
    </row>
    <row r="823" hidden="1">
      <c r="A823" s="10">
        <v>28.0</v>
      </c>
      <c r="B823" s="11" t="s">
        <v>623</v>
      </c>
      <c r="C823" s="2" t="s">
        <v>61</v>
      </c>
      <c r="D823" s="12">
        <v>45829.0</v>
      </c>
      <c r="E823" s="13">
        <v>0.75</v>
      </c>
      <c r="F823" s="5" t="str">
        <f>VLOOKUP(A823,Jogos!A:N,10,0)</f>
        <v>Evening</v>
      </c>
      <c r="G823" s="15" t="s">
        <v>186</v>
      </c>
      <c r="H823" s="6" t="str">
        <f>VLOOKUP(A823,Jogos!A:L,12,0)</f>
        <v>Open</v>
      </c>
      <c r="I823" s="6" t="str">
        <f>VLOOKUP(G823,'Estádios e Cidades'!A:B,2,0)</f>
        <v>Pasadena</v>
      </c>
      <c r="J823" s="11" t="s">
        <v>747</v>
      </c>
      <c r="K823" s="2" t="str">
        <f>VLOOKUP(J823,Equipes!A:F,6,0)</f>
        <v>Tropical</v>
      </c>
      <c r="L823" s="2">
        <f>VLOOKUP(J823,Equipes!A:C,3,0)</f>
        <v>15</v>
      </c>
      <c r="M823" s="2" t="str">
        <f t="shared" si="4"/>
        <v>Round of 16</v>
      </c>
      <c r="N823" s="11" t="s">
        <v>624</v>
      </c>
      <c r="O823" s="2">
        <f>VLOOKUP(N823,Equipes!A:C,3,0)</f>
        <v>19</v>
      </c>
      <c r="P823" s="2" t="str">
        <f t="shared" si="5"/>
        <v>Group</v>
      </c>
      <c r="Q823" s="2">
        <f t="shared" si="6"/>
        <v>-4</v>
      </c>
      <c r="R823" s="2" t="str">
        <f>VLOOKUP(J823,Equipes!A:B,2,0)</f>
        <v>Monterrey</v>
      </c>
      <c r="S823" s="6" t="s">
        <v>755</v>
      </c>
      <c r="T823" s="7">
        <v>7.0</v>
      </c>
      <c r="U823" s="7" t="s">
        <v>756</v>
      </c>
      <c r="V823" s="7" t="str">
        <f>VLOOKUP(U823,Jogadores!B:C,2,0)</f>
        <v>FW</v>
      </c>
      <c r="W823" s="8">
        <f>VLOOKUP(U823,Jogadores!B:D,3,0)</f>
        <v>26.72328767</v>
      </c>
      <c r="X823" s="7">
        <v>0.0</v>
      </c>
      <c r="Y823" s="7">
        <v>64.0</v>
      </c>
      <c r="Z823" s="7">
        <f>VLOOKUP(A823,Jogos!A:L,3,0)</f>
        <v>48</v>
      </c>
      <c r="AA823" s="7">
        <f t="shared" si="2229"/>
        <v>48</v>
      </c>
      <c r="AB823" s="7">
        <f>VLOOKUP(A823,Jogos!A:L,4,0)</f>
        <v>50</v>
      </c>
      <c r="AC823" s="7">
        <f t="shared" si="2230"/>
        <v>19</v>
      </c>
      <c r="AD823" s="7"/>
      <c r="AE823" s="7"/>
      <c r="AF823" s="7">
        <f t="shared" si="2231"/>
        <v>67</v>
      </c>
      <c r="AG823" s="7">
        <v>6742.8</v>
      </c>
      <c r="AH823" s="7">
        <v>2526.1</v>
      </c>
      <c r="AI823" s="7">
        <v>2624.3</v>
      </c>
      <c r="AJ823" s="7">
        <v>1043.1</v>
      </c>
      <c r="AK823" s="7">
        <v>344.6</v>
      </c>
      <c r="AL823" s="7">
        <v>204.6</v>
      </c>
      <c r="AM823" s="7">
        <v>78.0</v>
      </c>
      <c r="AN823" s="7">
        <v>31.0</v>
      </c>
      <c r="AO823" s="7">
        <v>30.8</v>
      </c>
      <c r="AP823" s="9">
        <f t="shared" ref="AP823:AR823" si="2573">AG823/$AF823</f>
        <v>100.638806</v>
      </c>
      <c r="AQ823" s="9">
        <f t="shared" si="2573"/>
        <v>37.70298507</v>
      </c>
      <c r="AR823" s="9">
        <f t="shared" si="2573"/>
        <v>39.16865672</v>
      </c>
      <c r="AS823" s="9">
        <f t="shared" si="2233"/>
        <v>76.87164179</v>
      </c>
      <c r="AT823" s="9">
        <f t="shared" ref="AT823:AV823" si="2574">AJ823/$AF823</f>
        <v>15.56865672</v>
      </c>
      <c r="AU823" s="9">
        <f t="shared" si="2574"/>
        <v>5.143283582</v>
      </c>
      <c r="AV823" s="9">
        <f t="shared" si="2574"/>
        <v>3.053731343</v>
      </c>
      <c r="AW823" s="9">
        <f t="shared" si="2235"/>
        <v>8.197014925</v>
      </c>
      <c r="AX823" s="9">
        <f t="shared" ref="AX823:AY823" si="2575">AM823/$AF823</f>
        <v>1.164179104</v>
      </c>
      <c r="AY823" s="9">
        <f t="shared" si="2575"/>
        <v>0.4626865672</v>
      </c>
      <c r="AZ823" s="9">
        <f>VLOOKUP(A823,Jogos!A:BN,58,0)</f>
        <v>19.43</v>
      </c>
      <c r="BA823" s="9">
        <f>VLOOKUP(A823,Jogos!A:BN,59,0)</f>
        <v>11.635</v>
      </c>
      <c r="BB823" s="9">
        <f>VLOOKUP(A823,Jogos!A:BN,60,0)</f>
        <v>60.5</v>
      </c>
      <c r="BC823" s="9">
        <f>VLOOKUP(A823,Jogos!A:BN,61,0)</f>
        <v>16.725</v>
      </c>
      <c r="BD823" s="9">
        <f>VLOOKUP(A823,Jogos!A:BN,62,0)</f>
        <v>162.3</v>
      </c>
      <c r="BE823" s="9">
        <f>VLOOKUP(A823,Jogos!A:BN,63,0)</f>
        <v>1.52</v>
      </c>
      <c r="BF823" s="9">
        <f>VLOOKUP(A823,Jogos!A:BN,64,0)</f>
        <v>17.35</v>
      </c>
      <c r="BG823" s="9">
        <f>VLOOKUP(A823,Jogos!A:BN,65,0)</f>
        <v>30.235</v>
      </c>
      <c r="BH823" s="9">
        <f>VLOOKUP(A823,Jogos!A:BN,66,0)</f>
        <v>20.135</v>
      </c>
      <c r="BI823" s="9"/>
      <c r="BJ823" s="9"/>
    </row>
    <row r="824" hidden="1">
      <c r="A824" s="10">
        <v>28.0</v>
      </c>
      <c r="B824" s="11" t="s">
        <v>623</v>
      </c>
      <c r="C824" s="2" t="s">
        <v>61</v>
      </c>
      <c r="D824" s="12">
        <v>45829.0</v>
      </c>
      <c r="E824" s="13">
        <v>0.75</v>
      </c>
      <c r="F824" s="5" t="str">
        <f>VLOOKUP(A824,Jogos!A:N,10,0)</f>
        <v>Evening</v>
      </c>
      <c r="G824" s="15" t="s">
        <v>186</v>
      </c>
      <c r="H824" s="6" t="str">
        <f>VLOOKUP(A824,Jogos!A:L,12,0)</f>
        <v>Open</v>
      </c>
      <c r="I824" s="6" t="str">
        <f>VLOOKUP(G824,'Estádios e Cidades'!A:B,2,0)</f>
        <v>Pasadena</v>
      </c>
      <c r="J824" s="11" t="s">
        <v>747</v>
      </c>
      <c r="K824" s="2" t="str">
        <f>VLOOKUP(J824,Equipes!A:F,6,0)</f>
        <v>Tropical</v>
      </c>
      <c r="L824" s="2">
        <f>VLOOKUP(J824,Equipes!A:C,3,0)</f>
        <v>15</v>
      </c>
      <c r="M824" s="2" t="str">
        <f t="shared" si="4"/>
        <v>Round of 16</v>
      </c>
      <c r="N824" s="11" t="s">
        <v>624</v>
      </c>
      <c r="O824" s="2">
        <f>VLOOKUP(N824,Equipes!A:C,3,0)</f>
        <v>19</v>
      </c>
      <c r="P824" s="2" t="str">
        <f t="shared" si="5"/>
        <v>Group</v>
      </c>
      <c r="Q824" s="2">
        <f t="shared" si="6"/>
        <v>-4</v>
      </c>
      <c r="R824" s="2" t="str">
        <f>VLOOKUP(J824,Equipes!A:B,2,0)</f>
        <v>Monterrey</v>
      </c>
      <c r="S824" s="6" t="s">
        <v>759</v>
      </c>
      <c r="T824" s="7">
        <v>10.0</v>
      </c>
      <c r="U824" s="7" t="s">
        <v>760</v>
      </c>
      <c r="V824" s="7" t="str">
        <f>VLOOKUP(U824,Jogadores!B:C,2,0)</f>
        <v>MF</v>
      </c>
      <c r="W824" s="8">
        <f>VLOOKUP(U824,Jogadores!B:D,3,0)</f>
        <v>34.46849315</v>
      </c>
      <c r="X824" s="7">
        <v>0.0</v>
      </c>
      <c r="Y824" s="7">
        <v>88.0</v>
      </c>
      <c r="Z824" s="7">
        <f>VLOOKUP(A824,Jogos!A:L,3,0)</f>
        <v>48</v>
      </c>
      <c r="AA824" s="7">
        <f t="shared" si="2229"/>
        <v>48</v>
      </c>
      <c r="AB824" s="7">
        <f>VLOOKUP(A824,Jogos!A:L,4,0)</f>
        <v>50</v>
      </c>
      <c r="AC824" s="7">
        <f t="shared" si="2230"/>
        <v>43</v>
      </c>
      <c r="AD824" s="7"/>
      <c r="AE824" s="7"/>
      <c r="AF824" s="7">
        <f t="shared" si="2231"/>
        <v>91</v>
      </c>
      <c r="AG824" s="7">
        <v>9905.1</v>
      </c>
      <c r="AH824" s="7">
        <v>3473.5</v>
      </c>
      <c r="AI824" s="7">
        <v>4445.9</v>
      </c>
      <c r="AJ824" s="7">
        <v>1389.7</v>
      </c>
      <c r="AK824" s="7">
        <v>471.6</v>
      </c>
      <c r="AL824" s="7">
        <v>124.3</v>
      </c>
      <c r="AM824" s="7">
        <v>120.0</v>
      </c>
      <c r="AN824" s="7">
        <v>33.0</v>
      </c>
      <c r="AO824" s="7">
        <v>30.9</v>
      </c>
      <c r="AP824" s="9">
        <f t="shared" ref="AP824:AR824" si="2576">AG824/$AF824</f>
        <v>108.8472527</v>
      </c>
      <c r="AQ824" s="9">
        <f t="shared" si="2576"/>
        <v>38.17032967</v>
      </c>
      <c r="AR824" s="9">
        <f t="shared" si="2576"/>
        <v>48.85604396</v>
      </c>
      <c r="AS824" s="9">
        <f t="shared" si="2233"/>
        <v>87.02637363</v>
      </c>
      <c r="AT824" s="9">
        <f t="shared" ref="AT824:AV824" si="2577">AJ824/$AF824</f>
        <v>15.27142857</v>
      </c>
      <c r="AU824" s="9">
        <f t="shared" si="2577"/>
        <v>5.182417582</v>
      </c>
      <c r="AV824" s="9">
        <f t="shared" si="2577"/>
        <v>1.365934066</v>
      </c>
      <c r="AW824" s="9">
        <f t="shared" si="2235"/>
        <v>6.548351648</v>
      </c>
      <c r="AX824" s="9">
        <f t="shared" ref="AX824:AY824" si="2578">AM824/$AF824</f>
        <v>1.318681319</v>
      </c>
      <c r="AY824" s="9">
        <f t="shared" si="2578"/>
        <v>0.3626373626</v>
      </c>
      <c r="AZ824" s="9">
        <f>VLOOKUP(A824,Jogos!A:BN,58,0)</f>
        <v>19.43</v>
      </c>
      <c r="BA824" s="9">
        <f>VLOOKUP(A824,Jogos!A:BN,59,0)</f>
        <v>11.635</v>
      </c>
      <c r="BB824" s="9">
        <f>VLOOKUP(A824,Jogos!A:BN,60,0)</f>
        <v>60.5</v>
      </c>
      <c r="BC824" s="9">
        <f>VLOOKUP(A824,Jogos!A:BN,61,0)</f>
        <v>16.725</v>
      </c>
      <c r="BD824" s="9">
        <f>VLOOKUP(A824,Jogos!A:BN,62,0)</f>
        <v>162.3</v>
      </c>
      <c r="BE824" s="9">
        <f>VLOOKUP(A824,Jogos!A:BN,63,0)</f>
        <v>1.52</v>
      </c>
      <c r="BF824" s="9">
        <f>VLOOKUP(A824,Jogos!A:BN,64,0)</f>
        <v>17.35</v>
      </c>
      <c r="BG824" s="9">
        <f>VLOOKUP(A824,Jogos!A:BN,65,0)</f>
        <v>30.235</v>
      </c>
      <c r="BH824" s="9">
        <f>VLOOKUP(A824,Jogos!A:BN,66,0)</f>
        <v>20.135</v>
      </c>
      <c r="BI824" s="9"/>
      <c r="BJ824" s="9"/>
    </row>
    <row r="825" hidden="1">
      <c r="A825" s="10">
        <v>28.0</v>
      </c>
      <c r="B825" s="11" t="s">
        <v>623</v>
      </c>
      <c r="C825" s="2" t="s">
        <v>61</v>
      </c>
      <c r="D825" s="12">
        <v>45829.0</v>
      </c>
      <c r="E825" s="13">
        <v>0.75</v>
      </c>
      <c r="F825" s="5" t="str">
        <f>VLOOKUP(A825,Jogos!A:N,10,0)</f>
        <v>Evening</v>
      </c>
      <c r="G825" s="15" t="s">
        <v>186</v>
      </c>
      <c r="H825" s="6" t="str">
        <f>VLOOKUP(A825,Jogos!A:L,12,0)</f>
        <v>Open</v>
      </c>
      <c r="I825" s="6" t="str">
        <f>VLOOKUP(G825,'Estádios e Cidades'!A:B,2,0)</f>
        <v>Pasadena</v>
      </c>
      <c r="J825" s="11" t="s">
        <v>747</v>
      </c>
      <c r="K825" s="2" t="str">
        <f>VLOOKUP(J825,Equipes!A:F,6,0)</f>
        <v>Tropical</v>
      </c>
      <c r="L825" s="2">
        <f>VLOOKUP(J825,Equipes!A:C,3,0)</f>
        <v>15</v>
      </c>
      <c r="M825" s="2" t="str">
        <f t="shared" si="4"/>
        <v>Round of 16</v>
      </c>
      <c r="N825" s="11" t="s">
        <v>624</v>
      </c>
      <c r="O825" s="2">
        <f>VLOOKUP(N825,Equipes!A:C,3,0)</f>
        <v>19</v>
      </c>
      <c r="P825" s="2" t="str">
        <f t="shared" si="5"/>
        <v>Group</v>
      </c>
      <c r="Q825" s="2">
        <f t="shared" si="6"/>
        <v>-4</v>
      </c>
      <c r="R825" s="2" t="str">
        <f>VLOOKUP(J825,Equipes!A:B,2,0)</f>
        <v>Monterrey</v>
      </c>
      <c r="S825" s="6" t="s">
        <v>773</v>
      </c>
      <c r="T825" s="7">
        <v>14.0</v>
      </c>
      <c r="U825" s="7" t="s">
        <v>774</v>
      </c>
      <c r="V825" s="7" t="str">
        <f>VLOOKUP(U825,Jogadores!B:C,2,0)</f>
        <v>DF</v>
      </c>
      <c r="W825" s="8">
        <f>VLOOKUP(U825,Jogadores!B:D,3,0)</f>
        <v>28.44383562</v>
      </c>
      <c r="X825" s="7">
        <v>0.0</v>
      </c>
      <c r="Y825" s="7">
        <f>45+AB825</f>
        <v>95</v>
      </c>
      <c r="Z825" s="7">
        <f>VLOOKUP(A825,Jogos!A:L,3,0)</f>
        <v>48</v>
      </c>
      <c r="AA825" s="7">
        <f t="shared" si="2229"/>
        <v>48</v>
      </c>
      <c r="AB825" s="7">
        <f>VLOOKUP(A825,Jogos!A:L,4,0)</f>
        <v>50</v>
      </c>
      <c r="AC825" s="7">
        <f t="shared" si="2230"/>
        <v>50</v>
      </c>
      <c r="AD825" s="7"/>
      <c r="AE825" s="7"/>
      <c r="AF825" s="7">
        <f t="shared" si="2231"/>
        <v>98</v>
      </c>
      <c r="AG825" s="7">
        <v>9641.6</v>
      </c>
      <c r="AH825" s="7">
        <v>3859.7</v>
      </c>
      <c r="AI825" s="7">
        <v>3837.2</v>
      </c>
      <c r="AJ825" s="7">
        <v>1208.2</v>
      </c>
      <c r="AK825" s="7">
        <v>534.0</v>
      </c>
      <c r="AL825" s="7">
        <v>202.5</v>
      </c>
      <c r="AM825" s="7">
        <v>110.0</v>
      </c>
      <c r="AN825" s="7">
        <v>44.0</v>
      </c>
      <c r="AO825" s="7">
        <v>32.1</v>
      </c>
      <c r="AP825" s="9">
        <f t="shared" ref="AP825:AR825" si="2579">AG825/$AF825</f>
        <v>98.38367347</v>
      </c>
      <c r="AQ825" s="9">
        <f t="shared" si="2579"/>
        <v>39.38469388</v>
      </c>
      <c r="AR825" s="9">
        <f t="shared" si="2579"/>
        <v>39.15510204</v>
      </c>
      <c r="AS825" s="9">
        <f t="shared" si="2233"/>
        <v>78.53979592</v>
      </c>
      <c r="AT825" s="9">
        <f t="shared" ref="AT825:AV825" si="2580">AJ825/$AF825</f>
        <v>12.32857143</v>
      </c>
      <c r="AU825" s="9">
        <f t="shared" si="2580"/>
        <v>5.448979592</v>
      </c>
      <c r="AV825" s="9">
        <f t="shared" si="2580"/>
        <v>2.066326531</v>
      </c>
      <c r="AW825" s="9">
        <f t="shared" si="2235"/>
        <v>7.515306122</v>
      </c>
      <c r="AX825" s="9">
        <f t="shared" ref="AX825:AY825" si="2581">AM825/$AF825</f>
        <v>1.12244898</v>
      </c>
      <c r="AY825" s="9">
        <f t="shared" si="2581"/>
        <v>0.4489795918</v>
      </c>
      <c r="AZ825" s="9">
        <f>VLOOKUP(A825,Jogos!A:BN,58,0)</f>
        <v>19.43</v>
      </c>
      <c r="BA825" s="9">
        <f>VLOOKUP(A825,Jogos!A:BN,59,0)</f>
        <v>11.635</v>
      </c>
      <c r="BB825" s="9">
        <f>VLOOKUP(A825,Jogos!A:BN,60,0)</f>
        <v>60.5</v>
      </c>
      <c r="BC825" s="9">
        <f>VLOOKUP(A825,Jogos!A:BN,61,0)</f>
        <v>16.725</v>
      </c>
      <c r="BD825" s="9">
        <f>VLOOKUP(A825,Jogos!A:BN,62,0)</f>
        <v>162.3</v>
      </c>
      <c r="BE825" s="9">
        <f>VLOOKUP(A825,Jogos!A:BN,63,0)</f>
        <v>1.52</v>
      </c>
      <c r="BF825" s="9">
        <f>VLOOKUP(A825,Jogos!A:BN,64,0)</f>
        <v>17.35</v>
      </c>
      <c r="BG825" s="9">
        <f>VLOOKUP(A825,Jogos!A:BN,65,0)</f>
        <v>30.235</v>
      </c>
      <c r="BH825" s="9">
        <f>VLOOKUP(A825,Jogos!A:BN,66,0)</f>
        <v>20.135</v>
      </c>
      <c r="BI825" s="9"/>
      <c r="BJ825" s="9"/>
    </row>
    <row r="826" hidden="1">
      <c r="A826" s="10">
        <v>28.0</v>
      </c>
      <c r="B826" s="11" t="s">
        <v>623</v>
      </c>
      <c r="C826" s="2" t="s">
        <v>61</v>
      </c>
      <c r="D826" s="12">
        <v>45829.0</v>
      </c>
      <c r="E826" s="13">
        <v>0.75</v>
      </c>
      <c r="F826" s="5" t="str">
        <f>VLOOKUP(A826,Jogos!A:N,10,0)</f>
        <v>Evening</v>
      </c>
      <c r="G826" s="15" t="s">
        <v>186</v>
      </c>
      <c r="H826" s="6" t="str">
        <f>VLOOKUP(A826,Jogos!A:L,12,0)</f>
        <v>Open</v>
      </c>
      <c r="I826" s="6" t="str">
        <f>VLOOKUP(G826,'Estádios e Cidades'!A:B,2,0)</f>
        <v>Pasadena</v>
      </c>
      <c r="J826" s="11" t="s">
        <v>747</v>
      </c>
      <c r="K826" s="2" t="str">
        <f>VLOOKUP(J826,Equipes!A:F,6,0)</f>
        <v>Tropical</v>
      </c>
      <c r="L826" s="2">
        <f>VLOOKUP(J826,Equipes!A:C,3,0)</f>
        <v>15</v>
      </c>
      <c r="M826" s="2" t="str">
        <f t="shared" si="4"/>
        <v>Round of 16</v>
      </c>
      <c r="N826" s="11" t="s">
        <v>624</v>
      </c>
      <c r="O826" s="2">
        <f>VLOOKUP(N826,Equipes!A:C,3,0)</f>
        <v>19</v>
      </c>
      <c r="P826" s="2" t="str">
        <f t="shared" si="5"/>
        <v>Group</v>
      </c>
      <c r="Q826" s="2">
        <f t="shared" si="6"/>
        <v>-4</v>
      </c>
      <c r="R826" s="2" t="str">
        <f>VLOOKUP(J826,Equipes!A:B,2,0)</f>
        <v>Monterrey</v>
      </c>
      <c r="S826" s="6" t="s">
        <v>1184</v>
      </c>
      <c r="T826" s="7">
        <v>17.0</v>
      </c>
      <c r="U826" s="7" t="s">
        <v>1185</v>
      </c>
      <c r="V826" s="7" t="str">
        <f>VLOOKUP(U826,Jogadores!B:C,2,0)</f>
        <v>MF</v>
      </c>
      <c r="W826" s="8">
        <f>VLOOKUP(U826,Jogadores!B:D,3,0)</f>
        <v>32.57808219</v>
      </c>
      <c r="X826" s="7">
        <v>0.0</v>
      </c>
      <c r="Y826" s="7">
        <v>64.0</v>
      </c>
      <c r="Z826" s="7">
        <f>VLOOKUP(A826,Jogos!A:L,3,0)</f>
        <v>48</v>
      </c>
      <c r="AA826" s="7">
        <f t="shared" si="2229"/>
        <v>48</v>
      </c>
      <c r="AB826" s="7">
        <f>VLOOKUP(A826,Jogos!A:L,4,0)</f>
        <v>50</v>
      </c>
      <c r="AC826" s="7">
        <f t="shared" si="2230"/>
        <v>19</v>
      </c>
      <c r="AD826" s="7"/>
      <c r="AE826" s="7"/>
      <c r="AF826" s="7">
        <f t="shared" si="2231"/>
        <v>67</v>
      </c>
      <c r="AG826" s="7">
        <v>6636.9</v>
      </c>
      <c r="AH826" s="7">
        <v>2326.0</v>
      </c>
      <c r="AI826" s="7">
        <v>2610.5</v>
      </c>
      <c r="AJ826" s="7">
        <v>891.7</v>
      </c>
      <c r="AK826" s="7">
        <v>508.6</v>
      </c>
      <c r="AL826" s="7">
        <v>300.0</v>
      </c>
      <c r="AM826" s="7">
        <v>83.0</v>
      </c>
      <c r="AN826" s="7">
        <v>39.0</v>
      </c>
      <c r="AO826" s="7">
        <v>31.1</v>
      </c>
      <c r="AP826" s="9">
        <f t="shared" ref="AP826:AR826" si="2582">AG826/$AF826</f>
        <v>99.05820896</v>
      </c>
      <c r="AQ826" s="9">
        <f t="shared" si="2582"/>
        <v>34.71641791</v>
      </c>
      <c r="AR826" s="9">
        <f t="shared" si="2582"/>
        <v>38.96268657</v>
      </c>
      <c r="AS826" s="9">
        <f t="shared" si="2233"/>
        <v>73.67910448</v>
      </c>
      <c r="AT826" s="9">
        <f t="shared" ref="AT826:AV826" si="2583">AJ826/$AF826</f>
        <v>13.30895522</v>
      </c>
      <c r="AU826" s="9">
        <f t="shared" si="2583"/>
        <v>7.591044776</v>
      </c>
      <c r="AV826" s="9">
        <f t="shared" si="2583"/>
        <v>4.47761194</v>
      </c>
      <c r="AW826" s="9">
        <f t="shared" si="2235"/>
        <v>12.06865672</v>
      </c>
      <c r="AX826" s="9">
        <f t="shared" ref="AX826:AY826" si="2584">AM826/$AF826</f>
        <v>1.23880597</v>
      </c>
      <c r="AY826" s="9">
        <f t="shared" si="2584"/>
        <v>0.5820895522</v>
      </c>
      <c r="AZ826" s="9">
        <f>VLOOKUP(A826,Jogos!A:BN,58,0)</f>
        <v>19.43</v>
      </c>
      <c r="BA826" s="9">
        <f>VLOOKUP(A826,Jogos!A:BN,59,0)</f>
        <v>11.635</v>
      </c>
      <c r="BB826" s="9">
        <f>VLOOKUP(A826,Jogos!A:BN,60,0)</f>
        <v>60.5</v>
      </c>
      <c r="BC826" s="9">
        <f>VLOOKUP(A826,Jogos!A:BN,61,0)</f>
        <v>16.725</v>
      </c>
      <c r="BD826" s="9">
        <f>VLOOKUP(A826,Jogos!A:BN,62,0)</f>
        <v>162.3</v>
      </c>
      <c r="BE826" s="9">
        <f>VLOOKUP(A826,Jogos!A:BN,63,0)</f>
        <v>1.52</v>
      </c>
      <c r="BF826" s="9">
        <f>VLOOKUP(A826,Jogos!A:BN,64,0)</f>
        <v>17.35</v>
      </c>
      <c r="BG826" s="9">
        <f>VLOOKUP(A826,Jogos!A:BN,65,0)</f>
        <v>30.235</v>
      </c>
      <c r="BH826" s="9">
        <f>VLOOKUP(A826,Jogos!A:BN,66,0)</f>
        <v>20.135</v>
      </c>
      <c r="BI826" s="9"/>
      <c r="BJ826" s="9"/>
    </row>
    <row r="827" hidden="1">
      <c r="A827" s="10">
        <v>28.0</v>
      </c>
      <c r="B827" s="11" t="s">
        <v>623</v>
      </c>
      <c r="C827" s="2" t="s">
        <v>61</v>
      </c>
      <c r="D827" s="12">
        <v>45829.0</v>
      </c>
      <c r="E827" s="13">
        <v>0.75</v>
      </c>
      <c r="F827" s="5" t="str">
        <f>VLOOKUP(A827,Jogos!A:N,10,0)</f>
        <v>Evening</v>
      </c>
      <c r="G827" s="15" t="s">
        <v>186</v>
      </c>
      <c r="H827" s="6" t="str">
        <f>VLOOKUP(A827,Jogos!A:L,12,0)</f>
        <v>Open</v>
      </c>
      <c r="I827" s="6" t="str">
        <f>VLOOKUP(G827,'Estádios e Cidades'!A:B,2,0)</f>
        <v>Pasadena</v>
      </c>
      <c r="J827" s="11" t="s">
        <v>747</v>
      </c>
      <c r="K827" s="2" t="str">
        <f>VLOOKUP(J827,Equipes!A:F,6,0)</f>
        <v>Tropical</v>
      </c>
      <c r="L827" s="2">
        <f>VLOOKUP(J827,Equipes!A:C,3,0)</f>
        <v>15</v>
      </c>
      <c r="M827" s="2" t="str">
        <f t="shared" si="4"/>
        <v>Round of 16</v>
      </c>
      <c r="N827" s="11" t="s">
        <v>624</v>
      </c>
      <c r="O827" s="2">
        <f>VLOOKUP(N827,Equipes!A:C,3,0)</f>
        <v>19</v>
      </c>
      <c r="P827" s="2" t="str">
        <f t="shared" si="5"/>
        <v>Group</v>
      </c>
      <c r="Q827" s="2">
        <f t="shared" si="6"/>
        <v>-4</v>
      </c>
      <c r="R827" s="2" t="str">
        <f>VLOOKUP(J827,Equipes!A:B,2,0)</f>
        <v>Monterrey</v>
      </c>
      <c r="S827" s="6" t="s">
        <v>761</v>
      </c>
      <c r="T827" s="7">
        <v>29.0</v>
      </c>
      <c r="U827" s="7" t="s">
        <v>762</v>
      </c>
      <c r="V827" s="7" t="str">
        <f>VLOOKUP(U827,Jogadores!B:C,2,0)</f>
        <v>MF</v>
      </c>
      <c r="W827" s="8">
        <f>VLOOKUP(U827,Jogadores!B:D,3,0)</f>
        <v>31.06849315</v>
      </c>
      <c r="X827" s="7">
        <v>0.0</v>
      </c>
      <c r="Y827" s="7">
        <v>63.0</v>
      </c>
      <c r="Z827" s="7">
        <f>VLOOKUP(A827,Jogos!A:L,3,0)</f>
        <v>48</v>
      </c>
      <c r="AA827" s="7">
        <f t="shared" si="2229"/>
        <v>48</v>
      </c>
      <c r="AB827" s="7">
        <f>VLOOKUP(A827,Jogos!A:L,4,0)</f>
        <v>50</v>
      </c>
      <c r="AC827" s="7">
        <f t="shared" si="2230"/>
        <v>18</v>
      </c>
      <c r="AD827" s="7"/>
      <c r="AE827" s="7"/>
      <c r="AF827" s="7">
        <f t="shared" si="2231"/>
        <v>66</v>
      </c>
      <c r="AG827" s="7">
        <v>6301.1</v>
      </c>
      <c r="AH827" s="7">
        <v>2825.1</v>
      </c>
      <c r="AI827" s="7">
        <v>2200.8</v>
      </c>
      <c r="AJ827" s="7">
        <v>780.4</v>
      </c>
      <c r="AK827" s="7">
        <v>285.0</v>
      </c>
      <c r="AL827" s="7">
        <v>209.9</v>
      </c>
      <c r="AM827" s="7">
        <v>61.0</v>
      </c>
      <c r="AN827" s="7">
        <v>26.0</v>
      </c>
      <c r="AO827" s="7">
        <v>31.2</v>
      </c>
      <c r="AP827" s="9">
        <f t="shared" ref="AP827:AR827" si="2585">AG827/$AF827</f>
        <v>95.47121212</v>
      </c>
      <c r="AQ827" s="9">
        <f t="shared" si="2585"/>
        <v>42.80454545</v>
      </c>
      <c r="AR827" s="9">
        <f t="shared" si="2585"/>
        <v>33.34545455</v>
      </c>
      <c r="AS827" s="9">
        <f t="shared" si="2233"/>
        <v>76.15</v>
      </c>
      <c r="AT827" s="9">
        <f t="shared" ref="AT827:AV827" si="2586">AJ827/$AF827</f>
        <v>11.82424242</v>
      </c>
      <c r="AU827" s="9">
        <f t="shared" si="2586"/>
        <v>4.318181818</v>
      </c>
      <c r="AV827" s="9">
        <f t="shared" si="2586"/>
        <v>3.18030303</v>
      </c>
      <c r="AW827" s="9">
        <f t="shared" si="2235"/>
        <v>7.498484848</v>
      </c>
      <c r="AX827" s="9">
        <f t="shared" ref="AX827:AY827" si="2587">AM827/$AF827</f>
        <v>0.9242424242</v>
      </c>
      <c r="AY827" s="9">
        <f t="shared" si="2587"/>
        <v>0.3939393939</v>
      </c>
      <c r="AZ827" s="9">
        <f>VLOOKUP(A827,Jogos!A:BN,58,0)</f>
        <v>19.43</v>
      </c>
      <c r="BA827" s="9">
        <f>VLOOKUP(A827,Jogos!A:BN,59,0)</f>
        <v>11.635</v>
      </c>
      <c r="BB827" s="9">
        <f>VLOOKUP(A827,Jogos!A:BN,60,0)</f>
        <v>60.5</v>
      </c>
      <c r="BC827" s="9">
        <f>VLOOKUP(A827,Jogos!A:BN,61,0)</f>
        <v>16.725</v>
      </c>
      <c r="BD827" s="9">
        <f>VLOOKUP(A827,Jogos!A:BN,62,0)</f>
        <v>162.3</v>
      </c>
      <c r="BE827" s="9">
        <f>VLOOKUP(A827,Jogos!A:BN,63,0)</f>
        <v>1.52</v>
      </c>
      <c r="BF827" s="9">
        <f>VLOOKUP(A827,Jogos!A:BN,64,0)</f>
        <v>17.35</v>
      </c>
      <c r="BG827" s="9">
        <f>VLOOKUP(A827,Jogos!A:BN,65,0)</f>
        <v>30.235</v>
      </c>
      <c r="BH827" s="9">
        <f>VLOOKUP(A827,Jogos!A:BN,66,0)</f>
        <v>20.135</v>
      </c>
      <c r="BI827" s="9"/>
      <c r="BJ827" s="9"/>
    </row>
    <row r="828" hidden="1">
      <c r="A828" s="10">
        <v>28.0</v>
      </c>
      <c r="B828" s="11" t="s">
        <v>623</v>
      </c>
      <c r="C828" s="2" t="s">
        <v>61</v>
      </c>
      <c r="D828" s="12">
        <v>45829.0</v>
      </c>
      <c r="E828" s="13">
        <v>0.75</v>
      </c>
      <c r="F828" s="5" t="str">
        <f>VLOOKUP(A828,Jogos!A:N,10,0)</f>
        <v>Evening</v>
      </c>
      <c r="G828" s="15" t="s">
        <v>186</v>
      </c>
      <c r="H828" s="6" t="str">
        <f>VLOOKUP(A828,Jogos!A:L,12,0)</f>
        <v>Open</v>
      </c>
      <c r="I828" s="6" t="str">
        <f>VLOOKUP(G828,'Estádios e Cidades'!A:B,2,0)</f>
        <v>Pasadena</v>
      </c>
      <c r="J828" s="11" t="s">
        <v>747</v>
      </c>
      <c r="K828" s="2" t="str">
        <f>VLOOKUP(J828,Equipes!A:F,6,0)</f>
        <v>Tropical</v>
      </c>
      <c r="L828" s="2">
        <f>VLOOKUP(J828,Equipes!A:C,3,0)</f>
        <v>15</v>
      </c>
      <c r="M828" s="2" t="str">
        <f t="shared" si="4"/>
        <v>Round of 16</v>
      </c>
      <c r="N828" s="11" t="s">
        <v>624</v>
      </c>
      <c r="O828" s="2">
        <f>VLOOKUP(N828,Equipes!A:C,3,0)</f>
        <v>19</v>
      </c>
      <c r="P828" s="2" t="str">
        <f t="shared" si="5"/>
        <v>Group</v>
      </c>
      <c r="Q828" s="2">
        <f t="shared" si="6"/>
        <v>-4</v>
      </c>
      <c r="R828" s="2" t="str">
        <f>VLOOKUP(J828,Equipes!A:B,2,0)</f>
        <v>Monterrey</v>
      </c>
      <c r="S828" s="6" t="s">
        <v>763</v>
      </c>
      <c r="T828" s="7">
        <v>30.0</v>
      </c>
      <c r="U828" s="7" t="s">
        <v>764</v>
      </c>
      <c r="V828" s="7" t="str">
        <f>VLOOKUP(U828,Jogadores!B:C,2,0)</f>
        <v>MF</v>
      </c>
      <c r="W828" s="8">
        <f>VLOOKUP(U828,Jogadores!B:D,3,0)</f>
        <v>29.88767123</v>
      </c>
      <c r="X828" s="7">
        <v>0.0</v>
      </c>
      <c r="Y828" s="7">
        <v>79.0</v>
      </c>
      <c r="Z828" s="7">
        <f>VLOOKUP(A828,Jogos!A:L,3,0)</f>
        <v>48</v>
      </c>
      <c r="AA828" s="7">
        <f t="shared" si="2229"/>
        <v>48</v>
      </c>
      <c r="AB828" s="7">
        <f>VLOOKUP(A828,Jogos!A:L,4,0)</f>
        <v>50</v>
      </c>
      <c r="AC828" s="7">
        <f t="shared" si="2230"/>
        <v>34</v>
      </c>
      <c r="AD828" s="7"/>
      <c r="AE828" s="7"/>
      <c r="AF828" s="7">
        <f t="shared" si="2231"/>
        <v>82</v>
      </c>
      <c r="AG828" s="7">
        <v>8337.4</v>
      </c>
      <c r="AH828" s="7">
        <v>2689.7</v>
      </c>
      <c r="AI828" s="7">
        <v>4001.1</v>
      </c>
      <c r="AJ828" s="7">
        <v>1152.7</v>
      </c>
      <c r="AK828" s="7">
        <v>399.1</v>
      </c>
      <c r="AL828" s="7">
        <v>94.8</v>
      </c>
      <c r="AM828" s="7">
        <v>101.0</v>
      </c>
      <c r="AN828" s="7">
        <v>30.0</v>
      </c>
      <c r="AO828" s="7">
        <v>29.9</v>
      </c>
      <c r="AP828" s="9">
        <f t="shared" ref="AP828:AR828" si="2588">AG828/$AF828</f>
        <v>101.6756098</v>
      </c>
      <c r="AQ828" s="9">
        <f t="shared" si="2588"/>
        <v>32.80121951</v>
      </c>
      <c r="AR828" s="9">
        <f t="shared" si="2588"/>
        <v>48.79390244</v>
      </c>
      <c r="AS828" s="9">
        <f t="shared" si="2233"/>
        <v>81.59512195</v>
      </c>
      <c r="AT828" s="9">
        <f t="shared" ref="AT828:AV828" si="2589">AJ828/$AF828</f>
        <v>14.05731707</v>
      </c>
      <c r="AU828" s="9">
        <f t="shared" si="2589"/>
        <v>4.867073171</v>
      </c>
      <c r="AV828" s="9">
        <f t="shared" si="2589"/>
        <v>1.156097561</v>
      </c>
      <c r="AW828" s="9">
        <f t="shared" si="2235"/>
        <v>6.023170732</v>
      </c>
      <c r="AX828" s="9">
        <f t="shared" ref="AX828:AY828" si="2590">AM828/$AF828</f>
        <v>1.231707317</v>
      </c>
      <c r="AY828" s="9">
        <f t="shared" si="2590"/>
        <v>0.3658536585</v>
      </c>
      <c r="AZ828" s="9">
        <f>VLOOKUP(A828,Jogos!A:BN,58,0)</f>
        <v>19.43</v>
      </c>
      <c r="BA828" s="9">
        <f>VLOOKUP(A828,Jogos!A:BN,59,0)</f>
        <v>11.635</v>
      </c>
      <c r="BB828" s="9">
        <f>VLOOKUP(A828,Jogos!A:BN,60,0)</f>
        <v>60.5</v>
      </c>
      <c r="BC828" s="9">
        <f>VLOOKUP(A828,Jogos!A:BN,61,0)</f>
        <v>16.725</v>
      </c>
      <c r="BD828" s="9">
        <f>VLOOKUP(A828,Jogos!A:BN,62,0)</f>
        <v>162.3</v>
      </c>
      <c r="BE828" s="9">
        <f>VLOOKUP(A828,Jogos!A:BN,63,0)</f>
        <v>1.52</v>
      </c>
      <c r="BF828" s="9">
        <f>VLOOKUP(A828,Jogos!A:BN,64,0)</f>
        <v>17.35</v>
      </c>
      <c r="BG828" s="9">
        <f>VLOOKUP(A828,Jogos!A:BN,65,0)</f>
        <v>30.235</v>
      </c>
      <c r="BH828" s="9">
        <f>VLOOKUP(A828,Jogos!A:BN,66,0)</f>
        <v>20.135</v>
      </c>
      <c r="BI828" s="9"/>
      <c r="BJ828" s="9"/>
    </row>
    <row r="829" hidden="1">
      <c r="A829" s="10">
        <v>28.0</v>
      </c>
      <c r="B829" s="11" t="s">
        <v>623</v>
      </c>
      <c r="C829" s="2" t="s">
        <v>61</v>
      </c>
      <c r="D829" s="12">
        <v>45829.0</v>
      </c>
      <c r="E829" s="13">
        <v>0.75</v>
      </c>
      <c r="F829" s="5" t="str">
        <f>VLOOKUP(A829,Jogos!A:N,10,0)</f>
        <v>Evening</v>
      </c>
      <c r="G829" s="15" t="s">
        <v>186</v>
      </c>
      <c r="H829" s="6" t="str">
        <f>VLOOKUP(A829,Jogos!A:L,12,0)</f>
        <v>Open</v>
      </c>
      <c r="I829" s="6" t="str">
        <f>VLOOKUP(G829,'Estádios e Cidades'!A:B,2,0)</f>
        <v>Pasadena</v>
      </c>
      <c r="J829" s="11" t="s">
        <v>747</v>
      </c>
      <c r="K829" s="2" t="str">
        <f>VLOOKUP(J829,Equipes!A:F,6,0)</f>
        <v>Tropical</v>
      </c>
      <c r="L829" s="2">
        <f>VLOOKUP(J829,Equipes!A:C,3,0)</f>
        <v>15</v>
      </c>
      <c r="M829" s="2" t="str">
        <f t="shared" si="4"/>
        <v>Round of 16</v>
      </c>
      <c r="N829" s="11" t="s">
        <v>624</v>
      </c>
      <c r="O829" s="2">
        <f>VLOOKUP(N829,Equipes!A:C,3,0)</f>
        <v>19</v>
      </c>
      <c r="P829" s="2" t="str">
        <f t="shared" si="5"/>
        <v>Group</v>
      </c>
      <c r="Q829" s="2">
        <f t="shared" si="6"/>
        <v>-4</v>
      </c>
      <c r="R829" s="2" t="str">
        <f>VLOOKUP(J829,Equipes!A:B,2,0)</f>
        <v>Monterrey</v>
      </c>
      <c r="S829" s="6" t="s">
        <v>765</v>
      </c>
      <c r="T829" s="7">
        <v>33.0</v>
      </c>
      <c r="U829" s="7" t="s">
        <v>766</v>
      </c>
      <c r="V829" s="7" t="str">
        <f>VLOOKUP(U829,Jogadores!B:C,2,0)</f>
        <v>DF</v>
      </c>
      <c r="W829" s="8">
        <f>VLOOKUP(U829,Jogadores!B:D,3,0)</f>
        <v>33.14246575</v>
      </c>
      <c r="X829" s="7">
        <v>0.0</v>
      </c>
      <c r="Y829" s="7">
        <f t="shared" ref="Y829:Y835" si="2594">45+AB829</f>
        <v>95</v>
      </c>
      <c r="Z829" s="7">
        <f>VLOOKUP(A829,Jogos!A:L,3,0)</f>
        <v>48</v>
      </c>
      <c r="AA829" s="7">
        <f t="shared" si="2229"/>
        <v>48</v>
      </c>
      <c r="AB829" s="7">
        <f>VLOOKUP(A829,Jogos!A:L,4,0)</f>
        <v>50</v>
      </c>
      <c r="AC829" s="7">
        <f t="shared" si="2230"/>
        <v>50</v>
      </c>
      <c r="AD829" s="7"/>
      <c r="AE829" s="7"/>
      <c r="AF829" s="7">
        <f t="shared" si="2231"/>
        <v>98</v>
      </c>
      <c r="AG829" s="7">
        <v>8740.8</v>
      </c>
      <c r="AH829" s="7">
        <v>3651.2</v>
      </c>
      <c r="AI829" s="7">
        <v>3511.3</v>
      </c>
      <c r="AJ829" s="7">
        <v>1081.3</v>
      </c>
      <c r="AK829" s="7">
        <v>368.0</v>
      </c>
      <c r="AL829" s="7">
        <v>129.0</v>
      </c>
      <c r="AM829" s="7">
        <v>95.0</v>
      </c>
      <c r="AN829" s="7">
        <v>31.0</v>
      </c>
      <c r="AO829" s="7">
        <v>29.5</v>
      </c>
      <c r="AP829" s="9">
        <f t="shared" ref="AP829:AR829" si="2591">AG829/$AF829</f>
        <v>89.19183673</v>
      </c>
      <c r="AQ829" s="9">
        <f t="shared" si="2591"/>
        <v>37.25714286</v>
      </c>
      <c r="AR829" s="9">
        <f t="shared" si="2591"/>
        <v>35.82959184</v>
      </c>
      <c r="AS829" s="9">
        <f t="shared" si="2233"/>
        <v>73.08673469</v>
      </c>
      <c r="AT829" s="9">
        <f t="shared" ref="AT829:AV829" si="2592">AJ829/$AF829</f>
        <v>11.03367347</v>
      </c>
      <c r="AU829" s="9">
        <f t="shared" si="2592"/>
        <v>3.755102041</v>
      </c>
      <c r="AV829" s="9">
        <f t="shared" si="2592"/>
        <v>1.316326531</v>
      </c>
      <c r="AW829" s="9">
        <f t="shared" si="2235"/>
        <v>5.071428571</v>
      </c>
      <c r="AX829" s="9">
        <f t="shared" ref="AX829:AY829" si="2593">AM829/$AF829</f>
        <v>0.9693877551</v>
      </c>
      <c r="AY829" s="9">
        <f t="shared" si="2593"/>
        <v>0.3163265306</v>
      </c>
      <c r="AZ829" s="9">
        <f>VLOOKUP(A829,Jogos!A:BN,58,0)</f>
        <v>19.43</v>
      </c>
      <c r="BA829" s="9">
        <f>VLOOKUP(A829,Jogos!A:BN,59,0)</f>
        <v>11.635</v>
      </c>
      <c r="BB829" s="9">
        <f>VLOOKUP(A829,Jogos!A:BN,60,0)</f>
        <v>60.5</v>
      </c>
      <c r="BC829" s="9">
        <f>VLOOKUP(A829,Jogos!A:BN,61,0)</f>
        <v>16.725</v>
      </c>
      <c r="BD829" s="9">
        <f>VLOOKUP(A829,Jogos!A:BN,62,0)</f>
        <v>162.3</v>
      </c>
      <c r="BE829" s="9">
        <f>VLOOKUP(A829,Jogos!A:BN,63,0)</f>
        <v>1.52</v>
      </c>
      <c r="BF829" s="9">
        <f>VLOOKUP(A829,Jogos!A:BN,64,0)</f>
        <v>17.35</v>
      </c>
      <c r="BG829" s="9">
        <f>VLOOKUP(A829,Jogos!A:BN,65,0)</f>
        <v>30.235</v>
      </c>
      <c r="BH829" s="9">
        <f>VLOOKUP(A829,Jogos!A:BN,66,0)</f>
        <v>20.135</v>
      </c>
      <c r="BI829" s="9"/>
      <c r="BJ829" s="9"/>
    </row>
    <row r="830" hidden="1">
      <c r="A830" s="10">
        <v>28.0</v>
      </c>
      <c r="B830" s="11" t="s">
        <v>623</v>
      </c>
      <c r="C830" s="2" t="s">
        <v>61</v>
      </c>
      <c r="D830" s="12">
        <v>45829.0</v>
      </c>
      <c r="E830" s="13">
        <v>0.75</v>
      </c>
      <c r="F830" s="5" t="str">
        <f>VLOOKUP(A830,Jogos!A:N,10,0)</f>
        <v>Evening</v>
      </c>
      <c r="G830" s="15" t="s">
        <v>186</v>
      </c>
      <c r="H830" s="6" t="str">
        <f>VLOOKUP(A830,Jogos!A:L,12,0)</f>
        <v>Open</v>
      </c>
      <c r="I830" s="6" t="str">
        <f>VLOOKUP(G830,'Estádios e Cidades'!A:B,2,0)</f>
        <v>Pasadena</v>
      </c>
      <c r="J830" s="11" t="s">
        <v>747</v>
      </c>
      <c r="K830" s="2" t="str">
        <f>VLOOKUP(J830,Equipes!A:F,6,0)</f>
        <v>Tropical</v>
      </c>
      <c r="L830" s="2">
        <f>VLOOKUP(J830,Equipes!A:C,3,0)</f>
        <v>15</v>
      </c>
      <c r="M830" s="2" t="str">
        <f t="shared" si="4"/>
        <v>Round of 16</v>
      </c>
      <c r="N830" s="11" t="s">
        <v>624</v>
      </c>
      <c r="O830" s="2">
        <f>VLOOKUP(N830,Equipes!A:C,3,0)</f>
        <v>19</v>
      </c>
      <c r="P830" s="2" t="str">
        <f t="shared" si="5"/>
        <v>Group</v>
      </c>
      <c r="Q830" s="2">
        <f t="shared" si="6"/>
        <v>-4</v>
      </c>
      <c r="R830" s="2" t="str">
        <f>VLOOKUP(J830,Equipes!A:B,2,0)</f>
        <v>Monterrey</v>
      </c>
      <c r="S830" s="6" t="s">
        <v>767</v>
      </c>
      <c r="T830" s="7">
        <v>93.0</v>
      </c>
      <c r="U830" s="7" t="s">
        <v>768</v>
      </c>
      <c r="V830" s="7" t="str">
        <f>VLOOKUP(U830,Jogadores!B:C,2,0)</f>
        <v>DF</v>
      </c>
      <c r="W830" s="8">
        <f>VLOOKUP(U830,Jogadores!B:D,3,0)</f>
        <v>39.35616438</v>
      </c>
      <c r="X830" s="7">
        <v>0.0</v>
      </c>
      <c r="Y830" s="7">
        <f t="shared" si="2594"/>
        <v>95</v>
      </c>
      <c r="Z830" s="7">
        <f>VLOOKUP(A830,Jogos!A:L,3,0)</f>
        <v>48</v>
      </c>
      <c r="AA830" s="7">
        <f t="shared" si="2229"/>
        <v>48</v>
      </c>
      <c r="AB830" s="7">
        <f>VLOOKUP(A830,Jogos!A:L,4,0)</f>
        <v>50</v>
      </c>
      <c r="AC830" s="7">
        <f t="shared" si="2230"/>
        <v>50</v>
      </c>
      <c r="AD830" s="7"/>
      <c r="AE830" s="7"/>
      <c r="AF830" s="7">
        <f t="shared" si="2231"/>
        <v>98</v>
      </c>
      <c r="AG830" s="7">
        <v>9006.2</v>
      </c>
      <c r="AH830" s="7">
        <v>3843.6</v>
      </c>
      <c r="AI830" s="7">
        <v>3638.3</v>
      </c>
      <c r="AJ830" s="7">
        <v>1133.5</v>
      </c>
      <c r="AK830" s="7">
        <v>291.8</v>
      </c>
      <c r="AL830" s="7">
        <v>99.1</v>
      </c>
      <c r="AM830" s="7">
        <v>105.0</v>
      </c>
      <c r="AN830" s="7">
        <v>24.0</v>
      </c>
      <c r="AO830" s="7">
        <v>31.7</v>
      </c>
      <c r="AP830" s="9">
        <f t="shared" ref="AP830:AR830" si="2595">AG830/$AF830</f>
        <v>91.9</v>
      </c>
      <c r="AQ830" s="9">
        <f t="shared" si="2595"/>
        <v>39.22040816</v>
      </c>
      <c r="AR830" s="9">
        <f t="shared" si="2595"/>
        <v>37.1255102</v>
      </c>
      <c r="AS830" s="9">
        <f t="shared" si="2233"/>
        <v>76.34591837</v>
      </c>
      <c r="AT830" s="9">
        <f t="shared" ref="AT830:AV830" si="2596">AJ830/$AF830</f>
        <v>11.56632653</v>
      </c>
      <c r="AU830" s="9">
        <f t="shared" si="2596"/>
        <v>2.97755102</v>
      </c>
      <c r="AV830" s="9">
        <f t="shared" si="2596"/>
        <v>1.01122449</v>
      </c>
      <c r="AW830" s="9">
        <f t="shared" si="2235"/>
        <v>3.98877551</v>
      </c>
      <c r="AX830" s="9">
        <f t="shared" ref="AX830:AY830" si="2597">AM830/$AF830</f>
        <v>1.071428571</v>
      </c>
      <c r="AY830" s="9">
        <f t="shared" si="2597"/>
        <v>0.2448979592</v>
      </c>
      <c r="AZ830" s="9">
        <f>VLOOKUP(A830,Jogos!A:BN,58,0)</f>
        <v>19.43</v>
      </c>
      <c r="BA830" s="9">
        <f>VLOOKUP(A830,Jogos!A:BN,59,0)</f>
        <v>11.635</v>
      </c>
      <c r="BB830" s="9">
        <f>VLOOKUP(A830,Jogos!A:BN,60,0)</f>
        <v>60.5</v>
      </c>
      <c r="BC830" s="9">
        <f>VLOOKUP(A830,Jogos!A:BN,61,0)</f>
        <v>16.725</v>
      </c>
      <c r="BD830" s="9">
        <f>VLOOKUP(A830,Jogos!A:BN,62,0)</f>
        <v>162.3</v>
      </c>
      <c r="BE830" s="9">
        <f>VLOOKUP(A830,Jogos!A:BN,63,0)</f>
        <v>1.52</v>
      </c>
      <c r="BF830" s="9">
        <f>VLOOKUP(A830,Jogos!A:BN,64,0)</f>
        <v>17.35</v>
      </c>
      <c r="BG830" s="9">
        <f>VLOOKUP(A830,Jogos!A:BN,65,0)</f>
        <v>30.235</v>
      </c>
      <c r="BH830" s="9">
        <f>VLOOKUP(A830,Jogos!A:BN,66,0)</f>
        <v>20.135</v>
      </c>
      <c r="BI830" s="9"/>
      <c r="BJ830" s="9"/>
    </row>
    <row r="831" hidden="1">
      <c r="A831" s="10">
        <v>28.0</v>
      </c>
      <c r="B831" s="11" t="s">
        <v>623</v>
      </c>
      <c r="C831" s="2" t="s">
        <v>61</v>
      </c>
      <c r="D831" s="12">
        <v>45829.0</v>
      </c>
      <c r="E831" s="13">
        <v>0.75</v>
      </c>
      <c r="F831" s="5" t="str">
        <f>VLOOKUP(A831,Jogos!A:N,10,0)</f>
        <v>Evening</v>
      </c>
      <c r="G831" s="15" t="s">
        <v>186</v>
      </c>
      <c r="H831" s="6" t="str">
        <f>VLOOKUP(A831,Jogos!A:L,12,0)</f>
        <v>Open</v>
      </c>
      <c r="I831" s="6" t="str">
        <f>VLOOKUP(G831,'Estádios e Cidades'!A:B,2,0)</f>
        <v>Pasadena</v>
      </c>
      <c r="J831" s="11" t="s">
        <v>747</v>
      </c>
      <c r="K831" s="2" t="str">
        <f>VLOOKUP(J831,Equipes!A:F,6,0)</f>
        <v>Tropical</v>
      </c>
      <c r="L831" s="2">
        <f>VLOOKUP(J831,Equipes!A:C,3,0)</f>
        <v>15</v>
      </c>
      <c r="M831" s="2" t="str">
        <f t="shared" si="4"/>
        <v>Round of 16</v>
      </c>
      <c r="N831" s="11" t="s">
        <v>624</v>
      </c>
      <c r="O831" s="2">
        <f>VLOOKUP(N831,Equipes!A:C,3,0)</f>
        <v>19</v>
      </c>
      <c r="P831" s="2" t="str">
        <f t="shared" si="5"/>
        <v>Group</v>
      </c>
      <c r="Q831" s="2">
        <f t="shared" si="6"/>
        <v>-4</v>
      </c>
      <c r="R831" s="2" t="str">
        <f>VLOOKUP(J831,Equipes!A:B,2,0)</f>
        <v>Monterrey</v>
      </c>
      <c r="S831" s="6" t="s">
        <v>753</v>
      </c>
      <c r="T831" s="7">
        <v>4.0</v>
      </c>
      <c r="U831" s="7" t="s">
        <v>754</v>
      </c>
      <c r="V831" s="7" t="str">
        <f>VLOOKUP(U831,Jogadores!B:C,2,0)</f>
        <v>DF</v>
      </c>
      <c r="W831" s="8">
        <f>VLOOKUP(U831,Jogadores!B:D,3,0)</f>
        <v>23.40821918</v>
      </c>
      <c r="X831" s="7">
        <v>79.0</v>
      </c>
      <c r="Y831" s="7">
        <f t="shared" si="2594"/>
        <v>95</v>
      </c>
      <c r="Z831" s="7">
        <f>VLOOKUP(A831,Jogos!A:L,3,0)</f>
        <v>48</v>
      </c>
      <c r="AA831" s="7">
        <f t="shared" si="2229"/>
        <v>0</v>
      </c>
      <c r="AB831" s="7">
        <f>VLOOKUP(A831,Jogos!A:L,4,0)</f>
        <v>50</v>
      </c>
      <c r="AC831" s="7">
        <f t="shared" si="2230"/>
        <v>16</v>
      </c>
      <c r="AD831" s="7"/>
      <c r="AE831" s="7"/>
      <c r="AF831" s="7">
        <f t="shared" si="2231"/>
        <v>16</v>
      </c>
      <c r="AG831" s="7">
        <v>1379.0</v>
      </c>
      <c r="AH831" s="7">
        <v>599.2</v>
      </c>
      <c r="AI831" s="7">
        <v>623.5</v>
      </c>
      <c r="AJ831" s="7">
        <v>98.2</v>
      </c>
      <c r="AK831" s="7">
        <v>18.1</v>
      </c>
      <c r="AL831" s="7">
        <v>40.0</v>
      </c>
      <c r="AM831" s="7">
        <v>12.0</v>
      </c>
      <c r="AN831" s="7">
        <v>2.0</v>
      </c>
      <c r="AO831" s="7">
        <v>31.7</v>
      </c>
      <c r="AP831" s="9">
        <f t="shared" ref="AP831:AR831" si="2598">AG831/$AF831</f>
        <v>86.1875</v>
      </c>
      <c r="AQ831" s="9">
        <f t="shared" si="2598"/>
        <v>37.45</v>
      </c>
      <c r="AR831" s="9">
        <f t="shared" si="2598"/>
        <v>38.96875</v>
      </c>
      <c r="AS831" s="9">
        <f t="shared" si="2233"/>
        <v>76.41875</v>
      </c>
      <c r="AT831" s="9">
        <f t="shared" ref="AT831:AV831" si="2599">AJ831/$AF831</f>
        <v>6.1375</v>
      </c>
      <c r="AU831" s="9">
        <f t="shared" si="2599"/>
        <v>1.13125</v>
      </c>
      <c r="AV831" s="9">
        <f t="shared" si="2599"/>
        <v>2.5</v>
      </c>
      <c r="AW831" s="9">
        <f t="shared" si="2235"/>
        <v>3.63125</v>
      </c>
      <c r="AX831" s="9">
        <f t="shared" ref="AX831:AY831" si="2600">AM831/$AF831</f>
        <v>0.75</v>
      </c>
      <c r="AY831" s="9">
        <f t="shared" si="2600"/>
        <v>0.125</v>
      </c>
      <c r="AZ831" s="9">
        <f>VLOOKUP(A831,Jogos!A:BN,58,0)</f>
        <v>19.43</v>
      </c>
      <c r="BA831" s="9">
        <f>VLOOKUP(A831,Jogos!A:BN,59,0)</f>
        <v>11.635</v>
      </c>
      <c r="BB831" s="9">
        <f>VLOOKUP(A831,Jogos!A:BN,60,0)</f>
        <v>60.5</v>
      </c>
      <c r="BC831" s="9">
        <f>VLOOKUP(A831,Jogos!A:BN,61,0)</f>
        <v>16.725</v>
      </c>
      <c r="BD831" s="9">
        <f>VLOOKUP(A831,Jogos!A:BN,62,0)</f>
        <v>162.3</v>
      </c>
      <c r="BE831" s="9">
        <f>VLOOKUP(A831,Jogos!A:BN,63,0)</f>
        <v>1.52</v>
      </c>
      <c r="BF831" s="9">
        <f>VLOOKUP(A831,Jogos!A:BN,64,0)</f>
        <v>17.35</v>
      </c>
      <c r="BG831" s="9">
        <f>VLOOKUP(A831,Jogos!A:BN,65,0)</f>
        <v>30.235</v>
      </c>
      <c r="BH831" s="9">
        <f>VLOOKUP(A831,Jogos!A:BN,66,0)</f>
        <v>20.135</v>
      </c>
      <c r="BI831" s="9"/>
      <c r="BJ831" s="9"/>
    </row>
    <row r="832" hidden="1">
      <c r="A832" s="10">
        <v>28.0</v>
      </c>
      <c r="B832" s="11" t="s">
        <v>623</v>
      </c>
      <c r="C832" s="2" t="s">
        <v>61</v>
      </c>
      <c r="D832" s="12">
        <v>45829.0</v>
      </c>
      <c r="E832" s="13">
        <v>0.75</v>
      </c>
      <c r="F832" s="5" t="str">
        <f>VLOOKUP(A832,Jogos!A:N,10,0)</f>
        <v>Evening</v>
      </c>
      <c r="G832" s="15" t="s">
        <v>186</v>
      </c>
      <c r="H832" s="6" t="str">
        <f>VLOOKUP(A832,Jogos!A:L,12,0)</f>
        <v>Open</v>
      </c>
      <c r="I832" s="6" t="str">
        <f>VLOOKUP(G832,'Estádios e Cidades'!A:B,2,0)</f>
        <v>Pasadena</v>
      </c>
      <c r="J832" s="11" t="s">
        <v>747</v>
      </c>
      <c r="K832" s="2" t="str">
        <f>VLOOKUP(J832,Equipes!A:F,6,0)</f>
        <v>Tropical</v>
      </c>
      <c r="L832" s="2">
        <f>VLOOKUP(J832,Equipes!A:C,3,0)</f>
        <v>15</v>
      </c>
      <c r="M832" s="2" t="str">
        <f t="shared" si="4"/>
        <v>Round of 16</v>
      </c>
      <c r="N832" s="11" t="s">
        <v>624</v>
      </c>
      <c r="O832" s="2">
        <f>VLOOKUP(N832,Equipes!A:C,3,0)</f>
        <v>19</v>
      </c>
      <c r="P832" s="2" t="str">
        <f t="shared" si="5"/>
        <v>Group</v>
      </c>
      <c r="Q832" s="2">
        <f t="shared" si="6"/>
        <v>-4</v>
      </c>
      <c r="R832" s="2" t="str">
        <f>VLOOKUP(J832,Equipes!A:B,2,0)</f>
        <v>Monterrey</v>
      </c>
      <c r="S832" s="6" t="s">
        <v>769</v>
      </c>
      <c r="T832" s="7">
        <v>5.0</v>
      </c>
      <c r="U832" s="7" t="s">
        <v>770</v>
      </c>
      <c r="V832" s="7" t="str">
        <f>VLOOKUP(U832,Jogadores!B:C,2,0)</f>
        <v>MF</v>
      </c>
      <c r="W832" s="8">
        <f>VLOOKUP(U832,Jogadores!B:D,3,0)</f>
        <v>22.36986301</v>
      </c>
      <c r="X832" s="7">
        <v>64.0</v>
      </c>
      <c r="Y832" s="7">
        <f t="shared" si="2594"/>
        <v>95</v>
      </c>
      <c r="Z832" s="7">
        <f>VLOOKUP(A832,Jogos!A:L,3,0)</f>
        <v>48</v>
      </c>
      <c r="AA832" s="7">
        <f t="shared" si="2229"/>
        <v>0</v>
      </c>
      <c r="AB832" s="7">
        <f>VLOOKUP(A832,Jogos!A:L,4,0)</f>
        <v>50</v>
      </c>
      <c r="AC832" s="7">
        <f t="shared" si="2230"/>
        <v>31</v>
      </c>
      <c r="AD832" s="7"/>
      <c r="AE832" s="7"/>
      <c r="AF832" s="7">
        <f t="shared" si="2231"/>
        <v>31</v>
      </c>
      <c r="AG832" s="7">
        <v>3597.0</v>
      </c>
      <c r="AH832" s="7">
        <v>1020.5</v>
      </c>
      <c r="AI832" s="7">
        <v>1642.8</v>
      </c>
      <c r="AJ832" s="7">
        <v>709.4</v>
      </c>
      <c r="AK832" s="7">
        <v>174.1</v>
      </c>
      <c r="AL832" s="7">
        <v>50.2</v>
      </c>
      <c r="AM832" s="7">
        <v>63.0</v>
      </c>
      <c r="AN832" s="7">
        <v>14.0</v>
      </c>
      <c r="AO832" s="7">
        <v>30.4</v>
      </c>
      <c r="AP832" s="9">
        <f t="shared" ref="AP832:AR832" si="2601">AG832/$AF832</f>
        <v>116.0322581</v>
      </c>
      <c r="AQ832" s="9">
        <f t="shared" si="2601"/>
        <v>32.91935484</v>
      </c>
      <c r="AR832" s="9">
        <f t="shared" si="2601"/>
        <v>52.99354839</v>
      </c>
      <c r="AS832" s="9">
        <f t="shared" si="2233"/>
        <v>85.91290323</v>
      </c>
      <c r="AT832" s="9">
        <f t="shared" ref="AT832:AV832" si="2602">AJ832/$AF832</f>
        <v>22.88387097</v>
      </c>
      <c r="AU832" s="9">
        <f t="shared" si="2602"/>
        <v>5.616129032</v>
      </c>
      <c r="AV832" s="9">
        <f t="shared" si="2602"/>
        <v>1.619354839</v>
      </c>
      <c r="AW832" s="9">
        <f t="shared" si="2235"/>
        <v>7.235483871</v>
      </c>
      <c r="AX832" s="9">
        <f t="shared" ref="AX832:AY832" si="2603">AM832/$AF832</f>
        <v>2.032258065</v>
      </c>
      <c r="AY832" s="9">
        <f t="shared" si="2603"/>
        <v>0.4516129032</v>
      </c>
      <c r="AZ832" s="9">
        <f>VLOOKUP(A832,Jogos!A:BN,58,0)</f>
        <v>19.43</v>
      </c>
      <c r="BA832" s="9">
        <f>VLOOKUP(A832,Jogos!A:BN,59,0)</f>
        <v>11.635</v>
      </c>
      <c r="BB832" s="9">
        <f>VLOOKUP(A832,Jogos!A:BN,60,0)</f>
        <v>60.5</v>
      </c>
      <c r="BC832" s="9">
        <f>VLOOKUP(A832,Jogos!A:BN,61,0)</f>
        <v>16.725</v>
      </c>
      <c r="BD832" s="9">
        <f>VLOOKUP(A832,Jogos!A:BN,62,0)</f>
        <v>162.3</v>
      </c>
      <c r="BE832" s="9">
        <f>VLOOKUP(A832,Jogos!A:BN,63,0)</f>
        <v>1.52</v>
      </c>
      <c r="BF832" s="9">
        <f>VLOOKUP(A832,Jogos!A:BN,64,0)</f>
        <v>17.35</v>
      </c>
      <c r="BG832" s="9">
        <f>VLOOKUP(A832,Jogos!A:BN,65,0)</f>
        <v>30.235</v>
      </c>
      <c r="BH832" s="9">
        <f>VLOOKUP(A832,Jogos!A:BN,66,0)</f>
        <v>20.135</v>
      </c>
      <c r="BI832" s="9"/>
      <c r="BJ832" s="9"/>
    </row>
    <row r="833" hidden="1">
      <c r="A833" s="10">
        <v>28.0</v>
      </c>
      <c r="B833" s="11" t="s">
        <v>623</v>
      </c>
      <c r="C833" s="2" t="s">
        <v>61</v>
      </c>
      <c r="D833" s="12">
        <v>45829.0</v>
      </c>
      <c r="E833" s="13">
        <v>0.75</v>
      </c>
      <c r="F833" s="5" t="str">
        <f>VLOOKUP(A833,Jogos!A:N,10,0)</f>
        <v>Evening</v>
      </c>
      <c r="G833" s="15" t="s">
        <v>186</v>
      </c>
      <c r="H833" s="6" t="str">
        <f>VLOOKUP(A833,Jogos!A:L,12,0)</f>
        <v>Open</v>
      </c>
      <c r="I833" s="6" t="str">
        <f>VLOOKUP(G833,'Estádios e Cidades'!A:B,2,0)</f>
        <v>Pasadena</v>
      </c>
      <c r="J833" s="11" t="s">
        <v>747</v>
      </c>
      <c r="K833" s="2" t="str">
        <f>VLOOKUP(J833,Equipes!A:F,6,0)</f>
        <v>Tropical</v>
      </c>
      <c r="L833" s="2">
        <f>VLOOKUP(J833,Equipes!A:C,3,0)</f>
        <v>15</v>
      </c>
      <c r="M833" s="2" t="str">
        <f t="shared" si="4"/>
        <v>Round of 16</v>
      </c>
      <c r="N833" s="11" t="s">
        <v>624</v>
      </c>
      <c r="O833" s="2">
        <f>VLOOKUP(N833,Equipes!A:C,3,0)</f>
        <v>19</v>
      </c>
      <c r="P833" s="2" t="str">
        <f t="shared" si="5"/>
        <v>Group</v>
      </c>
      <c r="Q833" s="2">
        <f t="shared" si="6"/>
        <v>-4</v>
      </c>
      <c r="R833" s="2" t="str">
        <f>VLOOKUP(J833,Equipes!A:B,2,0)</f>
        <v>Monterrey</v>
      </c>
      <c r="S833" s="6" t="s">
        <v>1186</v>
      </c>
      <c r="T833" s="7">
        <v>11.0</v>
      </c>
      <c r="U833" s="7" t="s">
        <v>1187</v>
      </c>
      <c r="V833" s="7" t="str">
        <f>VLOOKUP(U833,Jogadores!B:C,2,0)</f>
        <v>FW</v>
      </c>
      <c r="W833" s="8">
        <f>VLOOKUP(U833,Jogadores!B:D,3,0)</f>
        <v>25.38630137</v>
      </c>
      <c r="X833" s="7">
        <v>88.0</v>
      </c>
      <c r="Y833" s="7">
        <f t="shared" si="2594"/>
        <v>95</v>
      </c>
      <c r="Z833" s="7">
        <f>VLOOKUP(A833,Jogos!A:L,3,0)</f>
        <v>48</v>
      </c>
      <c r="AA833" s="7">
        <f t="shared" si="2229"/>
        <v>0</v>
      </c>
      <c r="AB833" s="7">
        <f>VLOOKUP(A833,Jogos!A:L,4,0)</f>
        <v>50</v>
      </c>
      <c r="AC833" s="7">
        <f t="shared" si="2230"/>
        <v>7</v>
      </c>
      <c r="AD833" s="7"/>
      <c r="AE833" s="7"/>
      <c r="AF833" s="7">
        <f t="shared" si="2231"/>
        <v>7</v>
      </c>
      <c r="AG833" s="7">
        <v>775.1</v>
      </c>
      <c r="AH833" s="7">
        <v>281.2</v>
      </c>
      <c r="AI833" s="7">
        <v>254.9</v>
      </c>
      <c r="AJ833" s="7">
        <v>98.1</v>
      </c>
      <c r="AK833" s="7">
        <v>54.9</v>
      </c>
      <c r="AL833" s="7">
        <v>86.1</v>
      </c>
      <c r="AM833" s="7">
        <v>10.0</v>
      </c>
      <c r="AN833" s="7">
        <v>5.0</v>
      </c>
      <c r="AO833" s="7">
        <v>33.0</v>
      </c>
      <c r="AP833" s="9">
        <f t="shared" ref="AP833:AR833" si="2604">AG833/$AF833</f>
        <v>110.7285714</v>
      </c>
      <c r="AQ833" s="9">
        <f t="shared" si="2604"/>
        <v>40.17142857</v>
      </c>
      <c r="AR833" s="9">
        <f t="shared" si="2604"/>
        <v>36.41428571</v>
      </c>
      <c r="AS833" s="9">
        <f t="shared" si="2233"/>
        <v>76.58571429</v>
      </c>
      <c r="AT833" s="9">
        <f t="shared" ref="AT833:AV833" si="2605">AJ833/$AF833</f>
        <v>14.01428571</v>
      </c>
      <c r="AU833" s="9">
        <f t="shared" si="2605"/>
        <v>7.842857143</v>
      </c>
      <c r="AV833" s="9">
        <f t="shared" si="2605"/>
        <v>12.3</v>
      </c>
      <c r="AW833" s="9">
        <f t="shared" si="2235"/>
        <v>20.14285714</v>
      </c>
      <c r="AX833" s="9">
        <f t="shared" ref="AX833:AY833" si="2606">AM833/$AF833</f>
        <v>1.428571429</v>
      </c>
      <c r="AY833" s="9">
        <f t="shared" si="2606"/>
        <v>0.7142857143</v>
      </c>
      <c r="AZ833" s="9">
        <f>VLOOKUP(A833,Jogos!A:BN,58,0)</f>
        <v>19.43</v>
      </c>
      <c r="BA833" s="9">
        <f>VLOOKUP(A833,Jogos!A:BN,59,0)</f>
        <v>11.635</v>
      </c>
      <c r="BB833" s="9">
        <f>VLOOKUP(A833,Jogos!A:BN,60,0)</f>
        <v>60.5</v>
      </c>
      <c r="BC833" s="9">
        <f>VLOOKUP(A833,Jogos!A:BN,61,0)</f>
        <v>16.725</v>
      </c>
      <c r="BD833" s="9">
        <f>VLOOKUP(A833,Jogos!A:BN,62,0)</f>
        <v>162.3</v>
      </c>
      <c r="BE833" s="9">
        <f>VLOOKUP(A833,Jogos!A:BN,63,0)</f>
        <v>1.52</v>
      </c>
      <c r="BF833" s="9">
        <f>VLOOKUP(A833,Jogos!A:BN,64,0)</f>
        <v>17.35</v>
      </c>
      <c r="BG833" s="9">
        <f>VLOOKUP(A833,Jogos!A:BN,65,0)</f>
        <v>30.235</v>
      </c>
      <c r="BH833" s="9">
        <f>VLOOKUP(A833,Jogos!A:BN,66,0)</f>
        <v>20.135</v>
      </c>
      <c r="BI833" s="9"/>
      <c r="BJ833" s="9"/>
    </row>
    <row r="834" hidden="1">
      <c r="A834" s="10">
        <v>28.0</v>
      </c>
      <c r="B834" s="11" t="s">
        <v>623</v>
      </c>
      <c r="C834" s="2" t="s">
        <v>61</v>
      </c>
      <c r="D834" s="12">
        <v>45829.0</v>
      </c>
      <c r="E834" s="13">
        <v>0.75</v>
      </c>
      <c r="F834" s="5" t="str">
        <f>VLOOKUP(A834,Jogos!A:N,10,0)</f>
        <v>Evening</v>
      </c>
      <c r="G834" s="15" t="s">
        <v>186</v>
      </c>
      <c r="H834" s="6" t="str">
        <f>VLOOKUP(A834,Jogos!A:L,12,0)</f>
        <v>Open</v>
      </c>
      <c r="I834" s="6" t="str">
        <f>VLOOKUP(G834,'Estádios e Cidades'!A:B,2,0)</f>
        <v>Pasadena</v>
      </c>
      <c r="J834" s="11" t="s">
        <v>747</v>
      </c>
      <c r="K834" s="2" t="str">
        <f>VLOOKUP(J834,Equipes!A:F,6,0)</f>
        <v>Tropical</v>
      </c>
      <c r="L834" s="2">
        <f>VLOOKUP(J834,Equipes!A:C,3,0)</f>
        <v>15</v>
      </c>
      <c r="M834" s="2" t="str">
        <f t="shared" si="4"/>
        <v>Round of 16</v>
      </c>
      <c r="N834" s="11" t="s">
        <v>624</v>
      </c>
      <c r="O834" s="2">
        <f>VLOOKUP(N834,Equipes!A:C,3,0)</f>
        <v>19</v>
      </c>
      <c r="P834" s="2" t="str">
        <f t="shared" si="5"/>
        <v>Group</v>
      </c>
      <c r="Q834" s="2">
        <f t="shared" si="6"/>
        <v>-4</v>
      </c>
      <c r="R834" s="2" t="str">
        <f>VLOOKUP(J834,Equipes!A:B,2,0)</f>
        <v>Monterrey</v>
      </c>
      <c r="S834" s="6" t="s">
        <v>775</v>
      </c>
      <c r="T834" s="7">
        <v>16.0</v>
      </c>
      <c r="U834" s="7" t="s">
        <v>776</v>
      </c>
      <c r="V834" s="7" t="str">
        <f>VLOOKUP(U834,Jogadores!B:C,2,0)</f>
        <v>FW</v>
      </c>
      <c r="W834" s="8">
        <f>VLOOKUP(U834,Jogadores!B:D,3,0)</f>
        <v>22.86849315</v>
      </c>
      <c r="X834" s="7">
        <v>64.0</v>
      </c>
      <c r="Y834" s="7">
        <f t="shared" si="2594"/>
        <v>95</v>
      </c>
      <c r="Z834" s="7">
        <f>VLOOKUP(A834,Jogos!A:L,3,0)</f>
        <v>48</v>
      </c>
      <c r="AA834" s="7">
        <f t="shared" si="2229"/>
        <v>0</v>
      </c>
      <c r="AB834" s="7">
        <f>VLOOKUP(A834,Jogos!A:L,4,0)</f>
        <v>50</v>
      </c>
      <c r="AC834" s="7">
        <f t="shared" si="2230"/>
        <v>31</v>
      </c>
      <c r="AD834" s="7"/>
      <c r="AE834" s="7"/>
      <c r="AF834" s="7">
        <f t="shared" si="2231"/>
        <v>31</v>
      </c>
      <c r="AG834" s="7">
        <v>3477.7</v>
      </c>
      <c r="AH834" s="7">
        <v>1330.4</v>
      </c>
      <c r="AI834" s="7">
        <v>1244.5</v>
      </c>
      <c r="AJ834" s="7">
        <v>525.8</v>
      </c>
      <c r="AK834" s="7">
        <v>231.7</v>
      </c>
      <c r="AL834" s="7">
        <v>145.3</v>
      </c>
      <c r="AM834" s="7">
        <v>39.0</v>
      </c>
      <c r="AN834" s="7">
        <v>19.0</v>
      </c>
      <c r="AO834" s="7">
        <v>31.4</v>
      </c>
      <c r="AP834" s="9">
        <f t="shared" ref="AP834:AR834" si="2607">AG834/$AF834</f>
        <v>112.183871</v>
      </c>
      <c r="AQ834" s="9">
        <f t="shared" si="2607"/>
        <v>42.91612903</v>
      </c>
      <c r="AR834" s="9">
        <f t="shared" si="2607"/>
        <v>40.14516129</v>
      </c>
      <c r="AS834" s="9">
        <f t="shared" si="2233"/>
        <v>83.06129032</v>
      </c>
      <c r="AT834" s="9">
        <f t="shared" ref="AT834:AV834" si="2608">AJ834/$AF834</f>
        <v>16.96129032</v>
      </c>
      <c r="AU834" s="9">
        <f t="shared" si="2608"/>
        <v>7.474193548</v>
      </c>
      <c r="AV834" s="9">
        <f t="shared" si="2608"/>
        <v>4.687096774</v>
      </c>
      <c r="AW834" s="9">
        <f t="shared" si="2235"/>
        <v>12.16129032</v>
      </c>
      <c r="AX834" s="9">
        <f t="shared" ref="AX834:AY834" si="2609">AM834/$AF834</f>
        <v>1.258064516</v>
      </c>
      <c r="AY834" s="9">
        <f t="shared" si="2609"/>
        <v>0.6129032258</v>
      </c>
      <c r="AZ834" s="9">
        <f>VLOOKUP(A834,Jogos!A:BN,58,0)</f>
        <v>19.43</v>
      </c>
      <c r="BA834" s="9">
        <f>VLOOKUP(A834,Jogos!A:BN,59,0)</f>
        <v>11.635</v>
      </c>
      <c r="BB834" s="9">
        <f>VLOOKUP(A834,Jogos!A:BN,60,0)</f>
        <v>60.5</v>
      </c>
      <c r="BC834" s="9">
        <f>VLOOKUP(A834,Jogos!A:BN,61,0)</f>
        <v>16.725</v>
      </c>
      <c r="BD834" s="9">
        <f>VLOOKUP(A834,Jogos!A:BN,62,0)</f>
        <v>162.3</v>
      </c>
      <c r="BE834" s="9">
        <f>VLOOKUP(A834,Jogos!A:BN,63,0)</f>
        <v>1.52</v>
      </c>
      <c r="BF834" s="9">
        <f>VLOOKUP(A834,Jogos!A:BN,64,0)</f>
        <v>17.35</v>
      </c>
      <c r="BG834" s="9">
        <f>VLOOKUP(A834,Jogos!A:BN,65,0)</f>
        <v>30.235</v>
      </c>
      <c r="BH834" s="9">
        <f>VLOOKUP(A834,Jogos!A:BN,66,0)</f>
        <v>20.135</v>
      </c>
      <c r="BI834" s="9"/>
      <c r="BJ834" s="9"/>
    </row>
    <row r="835" hidden="1">
      <c r="A835" s="10">
        <v>28.0</v>
      </c>
      <c r="B835" s="11" t="s">
        <v>623</v>
      </c>
      <c r="C835" s="2" t="s">
        <v>61</v>
      </c>
      <c r="D835" s="12">
        <v>45829.0</v>
      </c>
      <c r="E835" s="13">
        <v>0.75</v>
      </c>
      <c r="F835" s="5" t="str">
        <f>VLOOKUP(A835,Jogos!A:N,10,0)</f>
        <v>Evening</v>
      </c>
      <c r="G835" s="15" t="s">
        <v>186</v>
      </c>
      <c r="H835" s="6" t="str">
        <f>VLOOKUP(A835,Jogos!A:L,12,0)</f>
        <v>Open</v>
      </c>
      <c r="I835" s="6" t="str">
        <f>VLOOKUP(G835,'Estádios e Cidades'!A:B,2,0)</f>
        <v>Pasadena</v>
      </c>
      <c r="J835" s="11" t="s">
        <v>747</v>
      </c>
      <c r="K835" s="2" t="str">
        <f>VLOOKUP(J835,Equipes!A:F,6,0)</f>
        <v>Tropical</v>
      </c>
      <c r="L835" s="2">
        <f>VLOOKUP(J835,Equipes!A:C,3,0)</f>
        <v>15</v>
      </c>
      <c r="M835" s="2" t="str">
        <f t="shared" si="4"/>
        <v>Round of 16</v>
      </c>
      <c r="N835" s="11" t="s">
        <v>624</v>
      </c>
      <c r="O835" s="2">
        <f>VLOOKUP(N835,Equipes!A:C,3,0)</f>
        <v>19</v>
      </c>
      <c r="P835" s="2" t="str">
        <f t="shared" si="5"/>
        <v>Group</v>
      </c>
      <c r="Q835" s="2">
        <f t="shared" si="6"/>
        <v>-4</v>
      </c>
      <c r="R835" s="2" t="str">
        <f>VLOOKUP(J835,Equipes!A:B,2,0)</f>
        <v>Monterrey</v>
      </c>
      <c r="S835" s="6" t="s">
        <v>1188</v>
      </c>
      <c r="T835" s="7">
        <v>31.0</v>
      </c>
      <c r="U835" s="7" t="s">
        <v>1189</v>
      </c>
      <c r="V835" s="7" t="str">
        <f>VLOOKUP(U835,Jogadores!B:C,2,0)</f>
        <v>FW</v>
      </c>
      <c r="W835" s="8">
        <f>VLOOKUP(U835,Jogadores!B:D,3,0)</f>
        <v>25.58082192</v>
      </c>
      <c r="X835" s="7">
        <v>63.0</v>
      </c>
      <c r="Y835" s="7">
        <f t="shared" si="2594"/>
        <v>95</v>
      </c>
      <c r="Z835" s="7">
        <f>VLOOKUP(A835,Jogos!A:L,3,0)</f>
        <v>48</v>
      </c>
      <c r="AA835" s="7">
        <f t="shared" si="2229"/>
        <v>0</v>
      </c>
      <c r="AB835" s="7">
        <f>VLOOKUP(A835,Jogos!A:L,4,0)</f>
        <v>50</v>
      </c>
      <c r="AC835" s="7">
        <f t="shared" si="2230"/>
        <v>32</v>
      </c>
      <c r="AD835" s="7"/>
      <c r="AE835" s="7"/>
      <c r="AF835" s="7">
        <f t="shared" si="2231"/>
        <v>32</v>
      </c>
      <c r="AG835" s="7">
        <v>3276.1</v>
      </c>
      <c r="AH835" s="7">
        <v>1140.5</v>
      </c>
      <c r="AI835" s="7">
        <v>1322.4</v>
      </c>
      <c r="AJ835" s="7">
        <v>416.9</v>
      </c>
      <c r="AK835" s="7">
        <v>197.8</v>
      </c>
      <c r="AL835" s="7">
        <v>198.5</v>
      </c>
      <c r="AM835" s="7">
        <v>31.0</v>
      </c>
      <c r="AN835" s="7">
        <v>21.0</v>
      </c>
      <c r="AO835" s="7">
        <v>33.6</v>
      </c>
      <c r="AP835" s="9">
        <f t="shared" ref="AP835:AR835" si="2610">AG835/$AF835</f>
        <v>102.378125</v>
      </c>
      <c r="AQ835" s="9">
        <f t="shared" si="2610"/>
        <v>35.640625</v>
      </c>
      <c r="AR835" s="9">
        <f t="shared" si="2610"/>
        <v>41.325</v>
      </c>
      <c r="AS835" s="9">
        <f t="shared" si="2233"/>
        <v>76.965625</v>
      </c>
      <c r="AT835" s="9">
        <f t="shared" ref="AT835:AV835" si="2611">AJ835/$AF835</f>
        <v>13.028125</v>
      </c>
      <c r="AU835" s="9">
        <f t="shared" si="2611"/>
        <v>6.18125</v>
      </c>
      <c r="AV835" s="9">
        <f t="shared" si="2611"/>
        <v>6.203125</v>
      </c>
      <c r="AW835" s="9">
        <f t="shared" si="2235"/>
        <v>12.384375</v>
      </c>
      <c r="AX835" s="9">
        <f t="shared" ref="AX835:AY835" si="2612">AM835/$AF835</f>
        <v>0.96875</v>
      </c>
      <c r="AY835" s="9">
        <f t="shared" si="2612"/>
        <v>0.65625</v>
      </c>
      <c r="AZ835" s="9">
        <f>VLOOKUP(A835,Jogos!A:BN,58,0)</f>
        <v>19.43</v>
      </c>
      <c r="BA835" s="9">
        <f>VLOOKUP(A835,Jogos!A:BN,59,0)</f>
        <v>11.635</v>
      </c>
      <c r="BB835" s="9">
        <f>VLOOKUP(A835,Jogos!A:BN,60,0)</f>
        <v>60.5</v>
      </c>
      <c r="BC835" s="9">
        <f>VLOOKUP(A835,Jogos!A:BN,61,0)</f>
        <v>16.725</v>
      </c>
      <c r="BD835" s="9">
        <f>VLOOKUP(A835,Jogos!A:BN,62,0)</f>
        <v>162.3</v>
      </c>
      <c r="BE835" s="9">
        <f>VLOOKUP(A835,Jogos!A:BN,63,0)</f>
        <v>1.52</v>
      </c>
      <c r="BF835" s="9">
        <f>VLOOKUP(A835,Jogos!A:BN,64,0)</f>
        <v>17.35</v>
      </c>
      <c r="BG835" s="9">
        <f>VLOOKUP(A835,Jogos!A:BN,65,0)</f>
        <v>30.235</v>
      </c>
      <c r="BH835" s="9">
        <f>VLOOKUP(A835,Jogos!A:BN,66,0)</f>
        <v>20.135</v>
      </c>
      <c r="BI835" s="9"/>
      <c r="BJ835" s="9"/>
    </row>
    <row r="836" hidden="1">
      <c r="A836" s="17">
        <v>29.0</v>
      </c>
      <c r="B836" s="11" t="s">
        <v>809</v>
      </c>
      <c r="C836" s="2" t="s">
        <v>61</v>
      </c>
      <c r="D836" s="18">
        <v>45830.0</v>
      </c>
      <c r="E836" s="19">
        <v>0.5</v>
      </c>
      <c r="F836" s="5" t="str">
        <f>VLOOKUP(A836,Jogos!A:N,10,0)</f>
        <v>Afternoon</v>
      </c>
      <c r="G836" s="15" t="s">
        <v>500</v>
      </c>
      <c r="H836" s="6" t="str">
        <f>VLOOKUP(A836,Jogos!A:L,12,0)</f>
        <v>Open</v>
      </c>
      <c r="I836" s="6" t="str">
        <f>VLOOKUP(G836,'Estádios e Cidades'!A:B,2,0)</f>
        <v>Philadelphia</v>
      </c>
      <c r="J836" s="15" t="s">
        <v>999</v>
      </c>
      <c r="K836" s="2" t="str">
        <f>VLOOKUP(J836,Equipes!A:F,6,0)</f>
        <v>Temperate</v>
      </c>
      <c r="L836" s="2">
        <f>VLOOKUP(J836,Equipes!A:C,3,0)</f>
        <v>13</v>
      </c>
      <c r="M836" s="2" t="str">
        <f t="shared" si="4"/>
        <v>Round of 16</v>
      </c>
      <c r="N836" s="15" t="s">
        <v>811</v>
      </c>
      <c r="O836" s="2">
        <f>VLOOKUP(N836,Equipes!A:C,3,0)</f>
        <v>31</v>
      </c>
      <c r="P836" s="2" t="str">
        <f t="shared" si="5"/>
        <v>Group</v>
      </c>
      <c r="Q836" s="2">
        <f t="shared" si="6"/>
        <v>-18</v>
      </c>
      <c r="R836" s="2" t="str">
        <f>VLOOKUP(J836,Equipes!A:B,2,0)</f>
        <v>Juventus</v>
      </c>
      <c r="S836" s="6" t="s">
        <v>1030</v>
      </c>
      <c r="T836" s="7">
        <v>2.0</v>
      </c>
      <c r="U836" s="7" t="s">
        <v>1031</v>
      </c>
      <c r="V836" s="7" t="str">
        <f>VLOOKUP(U836,Jogadores!B:C,2,0)</f>
        <v>DF</v>
      </c>
      <c r="W836" s="8">
        <f>VLOOKUP(U836,Jogadores!B:D,3,0)</f>
        <v>21.84383562</v>
      </c>
      <c r="X836" s="7">
        <v>0.0</v>
      </c>
      <c r="Y836" s="7">
        <v>73.0</v>
      </c>
      <c r="Z836" s="7">
        <f>VLOOKUP(A836,Jogos!A:L,3,0)</f>
        <v>51</v>
      </c>
      <c r="AA836" s="7">
        <f t="shared" si="2229"/>
        <v>51</v>
      </c>
      <c r="AB836" s="7">
        <f>VLOOKUP(A836,Jogos!A:L,4,0)</f>
        <v>50</v>
      </c>
      <c r="AC836" s="7">
        <f t="shared" si="2230"/>
        <v>28</v>
      </c>
      <c r="AD836" s="7"/>
      <c r="AE836" s="7"/>
      <c r="AF836" s="7">
        <f t="shared" si="2231"/>
        <v>79</v>
      </c>
      <c r="AG836" s="7">
        <v>8507.2</v>
      </c>
      <c r="AH836" s="7">
        <v>2970.5</v>
      </c>
      <c r="AI836" s="7">
        <v>3219.2</v>
      </c>
      <c r="AJ836" s="7">
        <v>1255.4</v>
      </c>
      <c r="AK836" s="7">
        <v>670.4</v>
      </c>
      <c r="AL836" s="7">
        <v>391.7</v>
      </c>
      <c r="AM836" s="7">
        <v>106.0</v>
      </c>
      <c r="AN836" s="7">
        <v>54.0</v>
      </c>
      <c r="AO836" s="7">
        <v>33.2</v>
      </c>
      <c r="AP836" s="9">
        <f t="shared" ref="AP836:AR836" si="2613">AG836/$AF836</f>
        <v>107.6860759</v>
      </c>
      <c r="AQ836" s="9">
        <f t="shared" si="2613"/>
        <v>37.60126582</v>
      </c>
      <c r="AR836" s="9">
        <f t="shared" si="2613"/>
        <v>40.74936709</v>
      </c>
      <c r="AS836" s="9">
        <f t="shared" si="2233"/>
        <v>78.35063291</v>
      </c>
      <c r="AT836" s="9">
        <f t="shared" ref="AT836:AV836" si="2614">AJ836/$AF836</f>
        <v>15.89113924</v>
      </c>
      <c r="AU836" s="9">
        <f t="shared" si="2614"/>
        <v>8.486075949</v>
      </c>
      <c r="AV836" s="9">
        <f t="shared" si="2614"/>
        <v>4.958227848</v>
      </c>
      <c r="AW836" s="9">
        <f t="shared" si="2235"/>
        <v>13.4443038</v>
      </c>
      <c r="AX836" s="9">
        <f t="shared" ref="AX836:AY836" si="2615">AM836/$AF836</f>
        <v>1.341772152</v>
      </c>
      <c r="AY836" s="9">
        <f t="shared" si="2615"/>
        <v>0.6835443038</v>
      </c>
      <c r="AZ836" s="9">
        <f>VLOOKUP(A836,Jogos!A:BN,58,0)</f>
        <v>29.5</v>
      </c>
      <c r="BA836" s="9">
        <f>VLOOKUP(A836,Jogos!A:BN,59,0)</f>
        <v>21.815</v>
      </c>
      <c r="BB836" s="9">
        <f>VLOOKUP(A836,Jogos!A:BN,60,0)</f>
        <v>62.5</v>
      </c>
      <c r="BC836" s="9">
        <f>VLOOKUP(A836,Jogos!A:BN,61,0)</f>
        <v>29.54</v>
      </c>
      <c r="BD836" s="9">
        <f>VLOOKUP(A836,Jogos!A:BN,62,0)</f>
        <v>491.25</v>
      </c>
      <c r="BE836" s="9">
        <f>VLOOKUP(A836,Jogos!A:BN,63,0)</f>
        <v>2.645</v>
      </c>
      <c r="BF836" s="9">
        <f>VLOOKUP(A836,Jogos!A:BN,64,0)</f>
        <v>24.705</v>
      </c>
      <c r="BG836" s="9">
        <f>VLOOKUP(A836,Jogos!A:BN,65,0)</f>
        <v>43.135</v>
      </c>
      <c r="BH836" s="9">
        <f>VLOOKUP(A836,Jogos!A:BN,66,0)</f>
        <v>28.87</v>
      </c>
      <c r="BI836" s="9"/>
      <c r="BJ836" s="9"/>
    </row>
    <row r="837" hidden="1">
      <c r="A837" s="17">
        <v>29.0</v>
      </c>
      <c r="B837" s="11" t="s">
        <v>809</v>
      </c>
      <c r="C837" s="2" t="s">
        <v>61</v>
      </c>
      <c r="D837" s="18">
        <v>45830.0</v>
      </c>
      <c r="E837" s="19">
        <v>0.5</v>
      </c>
      <c r="F837" s="5" t="str">
        <f>VLOOKUP(A837,Jogos!A:N,10,0)</f>
        <v>Afternoon</v>
      </c>
      <c r="G837" s="15" t="s">
        <v>500</v>
      </c>
      <c r="H837" s="6" t="str">
        <f>VLOOKUP(A837,Jogos!A:L,12,0)</f>
        <v>Open</v>
      </c>
      <c r="I837" s="6" t="str">
        <f>VLOOKUP(G837,'Estádios e Cidades'!A:B,2,0)</f>
        <v>Philadelphia</v>
      </c>
      <c r="J837" s="15" t="s">
        <v>999</v>
      </c>
      <c r="K837" s="2" t="str">
        <f>VLOOKUP(J837,Equipes!A:F,6,0)</f>
        <v>Temperate</v>
      </c>
      <c r="L837" s="2">
        <f>VLOOKUP(J837,Equipes!A:C,3,0)</f>
        <v>13</v>
      </c>
      <c r="M837" s="2" t="str">
        <f t="shared" si="4"/>
        <v>Round of 16</v>
      </c>
      <c r="N837" s="15" t="s">
        <v>811</v>
      </c>
      <c r="O837" s="2">
        <f>VLOOKUP(N837,Equipes!A:C,3,0)</f>
        <v>31</v>
      </c>
      <c r="P837" s="2" t="str">
        <f t="shared" si="5"/>
        <v>Group</v>
      </c>
      <c r="Q837" s="2">
        <f t="shared" si="6"/>
        <v>-18</v>
      </c>
      <c r="R837" s="2" t="str">
        <f>VLOOKUP(J837,Equipes!A:B,2,0)</f>
        <v>Juventus</v>
      </c>
      <c r="S837" s="6" t="s">
        <v>1032</v>
      </c>
      <c r="T837" s="7">
        <v>6.0</v>
      </c>
      <c r="U837" s="7" t="s">
        <v>1033</v>
      </c>
      <c r="V837" s="7" t="str">
        <f>VLOOKUP(U837,Jogadores!B:C,2,0)</f>
        <v>DF</v>
      </c>
      <c r="W837" s="8">
        <f>VLOOKUP(U837,Jogadores!B:D,3,0)</f>
        <v>26.82739726</v>
      </c>
      <c r="X837" s="7">
        <v>0.0</v>
      </c>
      <c r="Y837" s="7">
        <f>45+AB837</f>
        <v>95</v>
      </c>
      <c r="Z837" s="7">
        <f>VLOOKUP(A837,Jogos!A:L,3,0)</f>
        <v>51</v>
      </c>
      <c r="AA837" s="7">
        <f t="shared" si="2229"/>
        <v>51</v>
      </c>
      <c r="AB837" s="7">
        <f>VLOOKUP(A837,Jogos!A:L,4,0)</f>
        <v>50</v>
      </c>
      <c r="AC837" s="7">
        <f t="shared" si="2230"/>
        <v>50</v>
      </c>
      <c r="AD837" s="7"/>
      <c r="AE837" s="7"/>
      <c r="AF837" s="7">
        <f t="shared" si="2231"/>
        <v>101</v>
      </c>
      <c r="AG837" s="7">
        <v>10387.8</v>
      </c>
      <c r="AH837" s="7">
        <v>4427.1</v>
      </c>
      <c r="AI837" s="7">
        <v>3730.6</v>
      </c>
      <c r="AJ837" s="7">
        <v>1291.6</v>
      </c>
      <c r="AK837" s="7">
        <v>683.3</v>
      </c>
      <c r="AL837" s="7">
        <v>255.2</v>
      </c>
      <c r="AM837" s="7">
        <v>107.0</v>
      </c>
      <c r="AN837" s="7">
        <v>55.0</v>
      </c>
      <c r="AO837" s="7">
        <v>31.1</v>
      </c>
      <c r="AP837" s="9">
        <f t="shared" ref="AP837:AR837" si="2616">AG837/$AF837</f>
        <v>102.849505</v>
      </c>
      <c r="AQ837" s="9">
        <f t="shared" si="2616"/>
        <v>43.83267327</v>
      </c>
      <c r="AR837" s="9">
        <f t="shared" si="2616"/>
        <v>36.93663366</v>
      </c>
      <c r="AS837" s="9">
        <f t="shared" si="2233"/>
        <v>80.76930693</v>
      </c>
      <c r="AT837" s="9">
        <f t="shared" ref="AT837:AV837" si="2617">AJ837/$AF837</f>
        <v>12.78811881</v>
      </c>
      <c r="AU837" s="9">
        <f t="shared" si="2617"/>
        <v>6.765346535</v>
      </c>
      <c r="AV837" s="9">
        <f t="shared" si="2617"/>
        <v>2.526732673</v>
      </c>
      <c r="AW837" s="9">
        <f t="shared" si="2235"/>
        <v>9.292079208</v>
      </c>
      <c r="AX837" s="9">
        <f t="shared" ref="AX837:AY837" si="2618">AM837/$AF837</f>
        <v>1.059405941</v>
      </c>
      <c r="AY837" s="9">
        <f t="shared" si="2618"/>
        <v>0.5445544554</v>
      </c>
      <c r="AZ837" s="9">
        <f>VLOOKUP(A837,Jogos!A:BN,58,0)</f>
        <v>29.5</v>
      </c>
      <c r="BA837" s="9">
        <f>VLOOKUP(A837,Jogos!A:BN,59,0)</f>
        <v>21.815</v>
      </c>
      <c r="BB837" s="9">
        <f>VLOOKUP(A837,Jogos!A:BN,60,0)</f>
        <v>62.5</v>
      </c>
      <c r="BC837" s="9">
        <f>VLOOKUP(A837,Jogos!A:BN,61,0)</f>
        <v>29.54</v>
      </c>
      <c r="BD837" s="9">
        <f>VLOOKUP(A837,Jogos!A:BN,62,0)</f>
        <v>491.25</v>
      </c>
      <c r="BE837" s="9">
        <f>VLOOKUP(A837,Jogos!A:BN,63,0)</f>
        <v>2.645</v>
      </c>
      <c r="BF837" s="9">
        <f>VLOOKUP(A837,Jogos!A:BN,64,0)</f>
        <v>24.705</v>
      </c>
      <c r="BG837" s="9">
        <f>VLOOKUP(A837,Jogos!A:BN,65,0)</f>
        <v>43.135</v>
      </c>
      <c r="BH837" s="9">
        <f>VLOOKUP(A837,Jogos!A:BN,66,0)</f>
        <v>28.87</v>
      </c>
      <c r="BI837" s="9"/>
      <c r="BJ837" s="9"/>
    </row>
    <row r="838" hidden="1">
      <c r="A838" s="17">
        <v>29.0</v>
      </c>
      <c r="B838" s="11" t="s">
        <v>809</v>
      </c>
      <c r="C838" s="2" t="s">
        <v>61</v>
      </c>
      <c r="D838" s="18">
        <v>45830.0</v>
      </c>
      <c r="E838" s="19">
        <v>0.5</v>
      </c>
      <c r="F838" s="5" t="str">
        <f>VLOOKUP(A838,Jogos!A:N,10,0)</f>
        <v>Afternoon</v>
      </c>
      <c r="G838" s="15" t="s">
        <v>500</v>
      </c>
      <c r="H838" s="6" t="str">
        <f>VLOOKUP(A838,Jogos!A:L,12,0)</f>
        <v>Open</v>
      </c>
      <c r="I838" s="6" t="str">
        <f>VLOOKUP(G838,'Estádios e Cidades'!A:B,2,0)</f>
        <v>Philadelphia</v>
      </c>
      <c r="J838" s="15" t="s">
        <v>999</v>
      </c>
      <c r="K838" s="2" t="str">
        <f>VLOOKUP(J838,Equipes!A:F,6,0)</f>
        <v>Temperate</v>
      </c>
      <c r="L838" s="2">
        <f>VLOOKUP(J838,Equipes!A:C,3,0)</f>
        <v>13</v>
      </c>
      <c r="M838" s="2" t="str">
        <f t="shared" si="4"/>
        <v>Round of 16</v>
      </c>
      <c r="N838" s="15" t="s">
        <v>811</v>
      </c>
      <c r="O838" s="2">
        <f>VLOOKUP(N838,Equipes!A:C,3,0)</f>
        <v>31</v>
      </c>
      <c r="P838" s="2" t="str">
        <f t="shared" si="5"/>
        <v>Group</v>
      </c>
      <c r="Q838" s="2">
        <f t="shared" si="6"/>
        <v>-18</v>
      </c>
      <c r="R838" s="2" t="str">
        <f>VLOOKUP(J838,Equipes!A:B,2,0)</f>
        <v>Juventus</v>
      </c>
      <c r="S838" s="6" t="s">
        <v>1034</v>
      </c>
      <c r="T838" s="7">
        <v>7.0</v>
      </c>
      <c r="U838" s="7" t="s">
        <v>1035</v>
      </c>
      <c r="V838" s="7" t="str">
        <f>VLOOKUP(U838,Jogadores!B:C,2,0)</f>
        <v>FW</v>
      </c>
      <c r="W838" s="8">
        <f>VLOOKUP(U838,Jogadores!B:D,3,0)</f>
        <v>22.63561644</v>
      </c>
      <c r="X838" s="7">
        <v>0.0</v>
      </c>
      <c r="Y838" s="7">
        <v>73.0</v>
      </c>
      <c r="Z838" s="7">
        <f>VLOOKUP(A838,Jogos!A:L,3,0)</f>
        <v>51</v>
      </c>
      <c r="AA838" s="7">
        <f t="shared" si="2229"/>
        <v>51</v>
      </c>
      <c r="AB838" s="7">
        <f>VLOOKUP(A838,Jogos!A:L,4,0)</f>
        <v>50</v>
      </c>
      <c r="AC838" s="7">
        <f t="shared" si="2230"/>
        <v>28</v>
      </c>
      <c r="AD838" s="7"/>
      <c r="AE838" s="7"/>
      <c r="AF838" s="7">
        <f t="shared" si="2231"/>
        <v>79</v>
      </c>
      <c r="AG838" s="7">
        <v>8446.7</v>
      </c>
      <c r="AH838" s="7">
        <v>3125.2</v>
      </c>
      <c r="AI838" s="7">
        <v>3510.8</v>
      </c>
      <c r="AJ838" s="7">
        <v>1071.4</v>
      </c>
      <c r="AK838" s="7">
        <v>506.0</v>
      </c>
      <c r="AL838" s="7">
        <v>233.3</v>
      </c>
      <c r="AM838" s="7">
        <v>88.0</v>
      </c>
      <c r="AN838" s="7">
        <v>43.0</v>
      </c>
      <c r="AO838" s="7">
        <v>32.0</v>
      </c>
      <c r="AP838" s="9">
        <f t="shared" ref="AP838:AR838" si="2619">AG838/$AF838</f>
        <v>106.9202532</v>
      </c>
      <c r="AQ838" s="9">
        <f t="shared" si="2619"/>
        <v>39.55949367</v>
      </c>
      <c r="AR838" s="9">
        <f t="shared" si="2619"/>
        <v>44.44050633</v>
      </c>
      <c r="AS838" s="9">
        <f t="shared" si="2233"/>
        <v>84</v>
      </c>
      <c r="AT838" s="9">
        <f t="shared" ref="AT838:AV838" si="2620">AJ838/$AF838</f>
        <v>13.56202532</v>
      </c>
      <c r="AU838" s="9">
        <f t="shared" si="2620"/>
        <v>6.405063291</v>
      </c>
      <c r="AV838" s="9">
        <f t="shared" si="2620"/>
        <v>2.953164557</v>
      </c>
      <c r="AW838" s="9">
        <f t="shared" si="2235"/>
        <v>9.358227848</v>
      </c>
      <c r="AX838" s="9">
        <f t="shared" ref="AX838:AY838" si="2621">AM838/$AF838</f>
        <v>1.113924051</v>
      </c>
      <c r="AY838" s="9">
        <f t="shared" si="2621"/>
        <v>0.5443037975</v>
      </c>
      <c r="AZ838" s="9">
        <f>VLOOKUP(A838,Jogos!A:BN,58,0)</f>
        <v>29.5</v>
      </c>
      <c r="BA838" s="9">
        <f>VLOOKUP(A838,Jogos!A:BN,59,0)</f>
        <v>21.815</v>
      </c>
      <c r="BB838" s="9">
        <f>VLOOKUP(A838,Jogos!A:BN,60,0)</f>
        <v>62.5</v>
      </c>
      <c r="BC838" s="9">
        <f>VLOOKUP(A838,Jogos!A:BN,61,0)</f>
        <v>29.54</v>
      </c>
      <c r="BD838" s="9">
        <f>VLOOKUP(A838,Jogos!A:BN,62,0)</f>
        <v>491.25</v>
      </c>
      <c r="BE838" s="9">
        <f>VLOOKUP(A838,Jogos!A:BN,63,0)</f>
        <v>2.645</v>
      </c>
      <c r="BF838" s="9">
        <f>VLOOKUP(A838,Jogos!A:BN,64,0)</f>
        <v>24.705</v>
      </c>
      <c r="BG838" s="9">
        <f>VLOOKUP(A838,Jogos!A:BN,65,0)</f>
        <v>43.135</v>
      </c>
      <c r="BH838" s="9">
        <f>VLOOKUP(A838,Jogos!A:BN,66,0)</f>
        <v>28.87</v>
      </c>
      <c r="BI838" s="9"/>
      <c r="BJ838" s="9"/>
    </row>
    <row r="839" hidden="1">
      <c r="A839" s="17">
        <v>29.0</v>
      </c>
      <c r="B839" s="11" t="s">
        <v>809</v>
      </c>
      <c r="C839" s="2" t="s">
        <v>61</v>
      </c>
      <c r="D839" s="18">
        <v>45830.0</v>
      </c>
      <c r="E839" s="19">
        <v>0.5</v>
      </c>
      <c r="F839" s="5" t="str">
        <f>VLOOKUP(A839,Jogos!A:N,10,0)</f>
        <v>Afternoon</v>
      </c>
      <c r="G839" s="15" t="s">
        <v>500</v>
      </c>
      <c r="H839" s="6" t="str">
        <f>VLOOKUP(A839,Jogos!A:L,12,0)</f>
        <v>Open</v>
      </c>
      <c r="I839" s="6" t="str">
        <f>VLOOKUP(G839,'Estádios e Cidades'!A:B,2,0)</f>
        <v>Philadelphia</v>
      </c>
      <c r="J839" s="15" t="s">
        <v>999</v>
      </c>
      <c r="K839" s="2" t="str">
        <f>VLOOKUP(J839,Equipes!A:F,6,0)</f>
        <v>Temperate</v>
      </c>
      <c r="L839" s="2">
        <f>VLOOKUP(J839,Equipes!A:C,3,0)</f>
        <v>13</v>
      </c>
      <c r="M839" s="2" t="str">
        <f t="shared" si="4"/>
        <v>Round of 16</v>
      </c>
      <c r="N839" s="15" t="s">
        <v>811</v>
      </c>
      <c r="O839" s="2">
        <f>VLOOKUP(N839,Equipes!A:C,3,0)</f>
        <v>31</v>
      </c>
      <c r="P839" s="2" t="str">
        <f t="shared" si="5"/>
        <v>Group</v>
      </c>
      <c r="Q839" s="2">
        <f t="shared" si="6"/>
        <v>-18</v>
      </c>
      <c r="R839" s="2" t="str">
        <f>VLOOKUP(J839,Equipes!A:B,2,0)</f>
        <v>Juventus</v>
      </c>
      <c r="S839" s="6" t="s">
        <v>1036</v>
      </c>
      <c r="T839" s="7">
        <v>10.0</v>
      </c>
      <c r="U839" s="7" t="s">
        <v>1037</v>
      </c>
      <c r="V839" s="7" t="str">
        <f>VLOOKUP(U839,Jogadores!B:C,2,0)</f>
        <v>FW</v>
      </c>
      <c r="W839" s="8">
        <f>VLOOKUP(U839,Jogadores!B:D,3,0)</f>
        <v>20.24657534</v>
      </c>
      <c r="X839" s="7">
        <v>0.0</v>
      </c>
      <c r="Y839" s="7">
        <v>85.0</v>
      </c>
      <c r="Z839" s="7">
        <f>VLOOKUP(A839,Jogos!A:L,3,0)</f>
        <v>51</v>
      </c>
      <c r="AA839" s="7">
        <f t="shared" si="2229"/>
        <v>51</v>
      </c>
      <c r="AB839" s="7">
        <f>VLOOKUP(A839,Jogos!A:L,4,0)</f>
        <v>50</v>
      </c>
      <c r="AC839" s="7">
        <f t="shared" si="2230"/>
        <v>40</v>
      </c>
      <c r="AD839" s="7"/>
      <c r="AE839" s="7"/>
      <c r="AF839" s="7">
        <f t="shared" si="2231"/>
        <v>91</v>
      </c>
      <c r="AG839" s="7">
        <v>9368.1</v>
      </c>
      <c r="AH839" s="7">
        <v>3590.3</v>
      </c>
      <c r="AI839" s="7">
        <v>3990.2</v>
      </c>
      <c r="AJ839" s="7">
        <v>1228.3</v>
      </c>
      <c r="AK839" s="7">
        <v>448.6</v>
      </c>
      <c r="AL839" s="7">
        <v>110.7</v>
      </c>
      <c r="AM839" s="7">
        <v>103.0</v>
      </c>
      <c r="AN839" s="7">
        <v>34.0</v>
      </c>
      <c r="AO839" s="7">
        <v>30.9</v>
      </c>
      <c r="AP839" s="9">
        <f t="shared" ref="AP839:AR839" si="2622">AG839/$AF839</f>
        <v>102.9461538</v>
      </c>
      <c r="AQ839" s="9">
        <f t="shared" si="2622"/>
        <v>39.45384615</v>
      </c>
      <c r="AR839" s="9">
        <f t="shared" si="2622"/>
        <v>43.84835165</v>
      </c>
      <c r="AS839" s="9">
        <f t="shared" si="2233"/>
        <v>83.3021978</v>
      </c>
      <c r="AT839" s="9">
        <f t="shared" ref="AT839:AV839" si="2623">AJ839/$AF839</f>
        <v>13.4978022</v>
      </c>
      <c r="AU839" s="9">
        <f t="shared" si="2623"/>
        <v>4.92967033</v>
      </c>
      <c r="AV839" s="9">
        <f t="shared" si="2623"/>
        <v>1.216483516</v>
      </c>
      <c r="AW839" s="9">
        <f t="shared" si="2235"/>
        <v>6.146153846</v>
      </c>
      <c r="AX839" s="9">
        <f t="shared" ref="AX839:AY839" si="2624">AM839/$AF839</f>
        <v>1.131868132</v>
      </c>
      <c r="AY839" s="9">
        <f t="shared" si="2624"/>
        <v>0.3736263736</v>
      </c>
      <c r="AZ839" s="9">
        <f>VLOOKUP(A839,Jogos!A:BN,58,0)</f>
        <v>29.5</v>
      </c>
      <c r="BA839" s="9">
        <f>VLOOKUP(A839,Jogos!A:BN,59,0)</f>
        <v>21.815</v>
      </c>
      <c r="BB839" s="9">
        <f>VLOOKUP(A839,Jogos!A:BN,60,0)</f>
        <v>62.5</v>
      </c>
      <c r="BC839" s="9">
        <f>VLOOKUP(A839,Jogos!A:BN,61,0)</f>
        <v>29.54</v>
      </c>
      <c r="BD839" s="9">
        <f>VLOOKUP(A839,Jogos!A:BN,62,0)</f>
        <v>491.25</v>
      </c>
      <c r="BE839" s="9">
        <f>VLOOKUP(A839,Jogos!A:BN,63,0)</f>
        <v>2.645</v>
      </c>
      <c r="BF839" s="9">
        <f>VLOOKUP(A839,Jogos!A:BN,64,0)</f>
        <v>24.705</v>
      </c>
      <c r="BG839" s="9">
        <f>VLOOKUP(A839,Jogos!A:BN,65,0)</f>
        <v>43.135</v>
      </c>
      <c r="BH839" s="9">
        <f>VLOOKUP(A839,Jogos!A:BN,66,0)</f>
        <v>28.87</v>
      </c>
      <c r="BI839" s="9"/>
      <c r="BJ839" s="9"/>
    </row>
    <row r="840" hidden="1">
      <c r="A840" s="17">
        <v>29.0</v>
      </c>
      <c r="B840" s="11" t="s">
        <v>809</v>
      </c>
      <c r="C840" s="2" t="s">
        <v>61</v>
      </c>
      <c r="D840" s="18">
        <v>45830.0</v>
      </c>
      <c r="E840" s="19">
        <v>0.5</v>
      </c>
      <c r="F840" s="5" t="str">
        <f>VLOOKUP(A840,Jogos!A:N,10,0)</f>
        <v>Afternoon</v>
      </c>
      <c r="G840" s="15" t="s">
        <v>500</v>
      </c>
      <c r="H840" s="6" t="str">
        <f>VLOOKUP(A840,Jogos!A:L,12,0)</f>
        <v>Open</v>
      </c>
      <c r="I840" s="6" t="str">
        <f>VLOOKUP(G840,'Estádios e Cidades'!A:B,2,0)</f>
        <v>Philadelphia</v>
      </c>
      <c r="J840" s="15" t="s">
        <v>999</v>
      </c>
      <c r="K840" s="2" t="str">
        <f>VLOOKUP(J840,Equipes!A:F,6,0)</f>
        <v>Temperate</v>
      </c>
      <c r="L840" s="2">
        <f>VLOOKUP(J840,Equipes!A:C,3,0)</f>
        <v>13</v>
      </c>
      <c r="M840" s="2" t="str">
        <f t="shared" si="4"/>
        <v>Round of 16</v>
      </c>
      <c r="N840" s="15" t="s">
        <v>811</v>
      </c>
      <c r="O840" s="2">
        <f>VLOOKUP(N840,Equipes!A:C,3,0)</f>
        <v>31</v>
      </c>
      <c r="P840" s="2" t="str">
        <f t="shared" si="5"/>
        <v>Group</v>
      </c>
      <c r="Q840" s="2">
        <f t="shared" si="6"/>
        <v>-18</v>
      </c>
      <c r="R840" s="2" t="str">
        <f>VLOOKUP(J840,Equipes!A:B,2,0)</f>
        <v>Juventus</v>
      </c>
      <c r="S840" s="6" t="s">
        <v>1038</v>
      </c>
      <c r="T840" s="7">
        <v>15.0</v>
      </c>
      <c r="U840" s="7" t="s">
        <v>1039</v>
      </c>
      <c r="V840" s="7" t="str">
        <f>VLOOKUP(U840,Jogadores!B:C,2,0)</f>
        <v>DF</v>
      </c>
      <c r="W840" s="8">
        <f>VLOOKUP(U840,Jogadores!B:D,3,0)</f>
        <v>25.16164384</v>
      </c>
      <c r="X840" s="7">
        <v>0.0</v>
      </c>
      <c r="Y840" s="7">
        <f>45+AB840</f>
        <v>95</v>
      </c>
      <c r="Z840" s="7">
        <f>VLOOKUP(A840,Jogos!A:L,3,0)</f>
        <v>51</v>
      </c>
      <c r="AA840" s="7">
        <f t="shared" si="2229"/>
        <v>51</v>
      </c>
      <c r="AB840" s="7">
        <f>VLOOKUP(A840,Jogos!A:L,4,0)</f>
        <v>50</v>
      </c>
      <c r="AC840" s="7">
        <f t="shared" si="2230"/>
        <v>50</v>
      </c>
      <c r="AD840" s="7"/>
      <c r="AE840" s="7"/>
      <c r="AF840" s="7">
        <f t="shared" si="2231"/>
        <v>101</v>
      </c>
      <c r="AG840" s="7">
        <v>10043.6</v>
      </c>
      <c r="AH840" s="7">
        <v>4300.5</v>
      </c>
      <c r="AI840" s="7">
        <v>3704.1</v>
      </c>
      <c r="AJ840" s="7">
        <v>1298.8</v>
      </c>
      <c r="AK840" s="7">
        <v>584.5</v>
      </c>
      <c r="AL840" s="7">
        <v>155.7</v>
      </c>
      <c r="AM840" s="7">
        <v>110.0</v>
      </c>
      <c r="AN840" s="7">
        <v>51.0</v>
      </c>
      <c r="AO840" s="7">
        <v>30.2</v>
      </c>
      <c r="AP840" s="9">
        <f t="shared" ref="AP840:AR840" si="2625">AG840/$AF840</f>
        <v>99.44158416</v>
      </c>
      <c r="AQ840" s="9">
        <f t="shared" si="2625"/>
        <v>42.57920792</v>
      </c>
      <c r="AR840" s="9">
        <f t="shared" si="2625"/>
        <v>36.67425743</v>
      </c>
      <c r="AS840" s="9">
        <f t="shared" si="2233"/>
        <v>79.25346535</v>
      </c>
      <c r="AT840" s="9">
        <f t="shared" ref="AT840:AV840" si="2626">AJ840/$AF840</f>
        <v>12.85940594</v>
      </c>
      <c r="AU840" s="9">
        <f t="shared" si="2626"/>
        <v>5.787128713</v>
      </c>
      <c r="AV840" s="9">
        <f t="shared" si="2626"/>
        <v>1.541584158</v>
      </c>
      <c r="AW840" s="9">
        <f t="shared" si="2235"/>
        <v>7.328712871</v>
      </c>
      <c r="AX840" s="9">
        <f t="shared" ref="AX840:AY840" si="2627">AM840/$AF840</f>
        <v>1.089108911</v>
      </c>
      <c r="AY840" s="9">
        <f t="shared" si="2627"/>
        <v>0.504950495</v>
      </c>
      <c r="AZ840" s="9">
        <f>VLOOKUP(A840,Jogos!A:BN,58,0)</f>
        <v>29.5</v>
      </c>
      <c r="BA840" s="9">
        <f>VLOOKUP(A840,Jogos!A:BN,59,0)</f>
        <v>21.815</v>
      </c>
      <c r="BB840" s="9">
        <f>VLOOKUP(A840,Jogos!A:BN,60,0)</f>
        <v>62.5</v>
      </c>
      <c r="BC840" s="9">
        <f>VLOOKUP(A840,Jogos!A:BN,61,0)</f>
        <v>29.54</v>
      </c>
      <c r="BD840" s="9">
        <f>VLOOKUP(A840,Jogos!A:BN,62,0)</f>
        <v>491.25</v>
      </c>
      <c r="BE840" s="9">
        <f>VLOOKUP(A840,Jogos!A:BN,63,0)</f>
        <v>2.645</v>
      </c>
      <c r="BF840" s="9">
        <f>VLOOKUP(A840,Jogos!A:BN,64,0)</f>
        <v>24.705</v>
      </c>
      <c r="BG840" s="9">
        <f>VLOOKUP(A840,Jogos!A:BN,65,0)</f>
        <v>43.135</v>
      </c>
      <c r="BH840" s="9">
        <f>VLOOKUP(A840,Jogos!A:BN,66,0)</f>
        <v>28.87</v>
      </c>
      <c r="BI840" s="9"/>
      <c r="BJ840" s="9"/>
    </row>
    <row r="841" hidden="1">
      <c r="A841" s="17">
        <v>29.0</v>
      </c>
      <c r="B841" s="11" t="s">
        <v>809</v>
      </c>
      <c r="C841" s="2" t="s">
        <v>61</v>
      </c>
      <c r="D841" s="18">
        <v>45830.0</v>
      </c>
      <c r="E841" s="19">
        <v>0.5</v>
      </c>
      <c r="F841" s="5" t="str">
        <f>VLOOKUP(A841,Jogos!A:N,10,0)</f>
        <v>Afternoon</v>
      </c>
      <c r="G841" s="15" t="s">
        <v>500</v>
      </c>
      <c r="H841" s="6" t="str">
        <f>VLOOKUP(A841,Jogos!A:L,12,0)</f>
        <v>Open</v>
      </c>
      <c r="I841" s="6" t="str">
        <f>VLOOKUP(G841,'Estádios e Cidades'!A:B,2,0)</f>
        <v>Philadelphia</v>
      </c>
      <c r="J841" s="15" t="s">
        <v>999</v>
      </c>
      <c r="K841" s="2" t="str">
        <f>VLOOKUP(J841,Equipes!A:F,6,0)</f>
        <v>Temperate</v>
      </c>
      <c r="L841" s="2">
        <f>VLOOKUP(J841,Equipes!A:C,3,0)</f>
        <v>13</v>
      </c>
      <c r="M841" s="2" t="str">
        <f t="shared" si="4"/>
        <v>Round of 16</v>
      </c>
      <c r="N841" s="15" t="s">
        <v>811</v>
      </c>
      <c r="O841" s="2">
        <f>VLOOKUP(N841,Equipes!A:C,3,0)</f>
        <v>31</v>
      </c>
      <c r="P841" s="2" t="str">
        <f t="shared" si="5"/>
        <v>Group</v>
      </c>
      <c r="Q841" s="2">
        <f t="shared" si="6"/>
        <v>-18</v>
      </c>
      <c r="R841" s="2" t="str">
        <f>VLOOKUP(J841,Equipes!A:B,2,0)</f>
        <v>Juventus</v>
      </c>
      <c r="S841" s="6" t="s">
        <v>1040</v>
      </c>
      <c r="T841" s="7">
        <v>16.0</v>
      </c>
      <c r="U841" s="7" t="s">
        <v>1041</v>
      </c>
      <c r="V841" s="7" t="str">
        <f>VLOOKUP(U841,Jogadores!B:C,2,0)</f>
        <v>MF</v>
      </c>
      <c r="W841" s="8">
        <f>VLOOKUP(U841,Jogadores!B:D,3,0)</f>
        <v>26.93424658</v>
      </c>
      <c r="X841" s="7">
        <v>0.0</v>
      </c>
      <c r="Y841" s="7">
        <v>45.0</v>
      </c>
      <c r="Z841" s="7">
        <f>VLOOKUP(A841,Jogos!A:L,3,0)</f>
        <v>51</v>
      </c>
      <c r="AA841" s="7">
        <f t="shared" si="2229"/>
        <v>51</v>
      </c>
      <c r="AB841" s="7">
        <f>VLOOKUP(A841,Jogos!A:L,4,0)</f>
        <v>50</v>
      </c>
      <c r="AC841" s="7">
        <f t="shared" si="2230"/>
        <v>0</v>
      </c>
      <c r="AD841" s="7"/>
      <c r="AE841" s="7"/>
      <c r="AF841" s="7">
        <f t="shared" si="2231"/>
        <v>51</v>
      </c>
      <c r="AG841" s="7">
        <v>6171.9</v>
      </c>
      <c r="AH841" s="7">
        <v>1956.4</v>
      </c>
      <c r="AI841" s="7">
        <v>2605.1</v>
      </c>
      <c r="AJ841" s="7">
        <v>1160.0</v>
      </c>
      <c r="AK841" s="7">
        <v>334.5</v>
      </c>
      <c r="AL841" s="7">
        <v>115.8</v>
      </c>
      <c r="AM841" s="7">
        <v>105.0</v>
      </c>
      <c r="AN841" s="7">
        <v>25.0</v>
      </c>
      <c r="AO841" s="7">
        <v>30.5</v>
      </c>
      <c r="AP841" s="9">
        <f t="shared" ref="AP841:AR841" si="2628">AG841/$AF841</f>
        <v>121.0176471</v>
      </c>
      <c r="AQ841" s="9">
        <f t="shared" si="2628"/>
        <v>38.36078431</v>
      </c>
      <c r="AR841" s="9">
        <f t="shared" si="2628"/>
        <v>51.08039216</v>
      </c>
      <c r="AS841" s="9">
        <f t="shared" si="2233"/>
        <v>89.44117647</v>
      </c>
      <c r="AT841" s="9">
        <f t="shared" ref="AT841:AV841" si="2629">AJ841/$AF841</f>
        <v>22.74509804</v>
      </c>
      <c r="AU841" s="9">
        <f t="shared" si="2629"/>
        <v>6.558823529</v>
      </c>
      <c r="AV841" s="9">
        <f t="shared" si="2629"/>
        <v>2.270588235</v>
      </c>
      <c r="AW841" s="9">
        <f t="shared" si="2235"/>
        <v>8.829411765</v>
      </c>
      <c r="AX841" s="9">
        <f t="shared" ref="AX841:AY841" si="2630">AM841/$AF841</f>
        <v>2.058823529</v>
      </c>
      <c r="AY841" s="9">
        <f t="shared" si="2630"/>
        <v>0.4901960784</v>
      </c>
      <c r="AZ841" s="9">
        <f>VLOOKUP(A841,Jogos!A:BN,58,0)</f>
        <v>29.5</v>
      </c>
      <c r="BA841" s="9">
        <f>VLOOKUP(A841,Jogos!A:BN,59,0)</f>
        <v>21.815</v>
      </c>
      <c r="BB841" s="9">
        <f>VLOOKUP(A841,Jogos!A:BN,60,0)</f>
        <v>62.5</v>
      </c>
      <c r="BC841" s="9">
        <f>VLOOKUP(A841,Jogos!A:BN,61,0)</f>
        <v>29.54</v>
      </c>
      <c r="BD841" s="9">
        <f>VLOOKUP(A841,Jogos!A:BN,62,0)</f>
        <v>491.25</v>
      </c>
      <c r="BE841" s="9">
        <f>VLOOKUP(A841,Jogos!A:BN,63,0)</f>
        <v>2.645</v>
      </c>
      <c r="BF841" s="9">
        <f>VLOOKUP(A841,Jogos!A:BN,64,0)</f>
        <v>24.705</v>
      </c>
      <c r="BG841" s="9">
        <f>VLOOKUP(A841,Jogos!A:BN,65,0)</f>
        <v>43.135</v>
      </c>
      <c r="BH841" s="9">
        <f>VLOOKUP(A841,Jogos!A:BN,66,0)</f>
        <v>28.87</v>
      </c>
      <c r="BI841" s="9"/>
      <c r="BJ841" s="9"/>
    </row>
    <row r="842" hidden="1">
      <c r="A842" s="17">
        <v>29.0</v>
      </c>
      <c r="B842" s="11" t="s">
        <v>809</v>
      </c>
      <c r="C842" s="2" t="s">
        <v>61</v>
      </c>
      <c r="D842" s="18">
        <v>45830.0</v>
      </c>
      <c r="E842" s="19">
        <v>0.5</v>
      </c>
      <c r="F842" s="5" t="str">
        <f>VLOOKUP(A842,Jogos!A:N,10,0)</f>
        <v>Afternoon</v>
      </c>
      <c r="G842" s="15" t="s">
        <v>500</v>
      </c>
      <c r="H842" s="6" t="str">
        <f>VLOOKUP(A842,Jogos!A:L,12,0)</f>
        <v>Open</v>
      </c>
      <c r="I842" s="6" t="str">
        <f>VLOOKUP(G842,'Estádios e Cidades'!A:B,2,0)</f>
        <v>Philadelphia</v>
      </c>
      <c r="J842" s="15" t="s">
        <v>999</v>
      </c>
      <c r="K842" s="2" t="str">
        <f>VLOOKUP(J842,Equipes!A:F,6,0)</f>
        <v>Temperate</v>
      </c>
      <c r="L842" s="2">
        <f>VLOOKUP(J842,Equipes!A:C,3,0)</f>
        <v>13</v>
      </c>
      <c r="M842" s="2" t="str">
        <f t="shared" si="4"/>
        <v>Round of 16</v>
      </c>
      <c r="N842" s="15" t="s">
        <v>811</v>
      </c>
      <c r="O842" s="2">
        <f>VLOOKUP(N842,Equipes!A:C,3,0)</f>
        <v>31</v>
      </c>
      <c r="P842" s="2" t="str">
        <f t="shared" si="5"/>
        <v>Group</v>
      </c>
      <c r="Q842" s="2">
        <f t="shared" si="6"/>
        <v>-18</v>
      </c>
      <c r="R842" s="2" t="str">
        <f>VLOOKUP(J842,Equipes!A:B,2,0)</f>
        <v>Juventus</v>
      </c>
      <c r="S842" s="6" t="s">
        <v>1042</v>
      </c>
      <c r="T842" s="7">
        <v>19.0</v>
      </c>
      <c r="U842" s="7" t="s">
        <v>1043</v>
      </c>
      <c r="V842" s="7" t="str">
        <f>VLOOKUP(U842,Jogadores!B:C,2,0)</f>
        <v>MF</v>
      </c>
      <c r="W842" s="8">
        <f>VLOOKUP(U842,Jogadores!B:D,3,0)</f>
        <v>24.35616438</v>
      </c>
      <c r="X842" s="7">
        <v>0.0</v>
      </c>
      <c r="Y842" s="7">
        <f>45+AB842</f>
        <v>95</v>
      </c>
      <c r="Z842" s="7">
        <f>VLOOKUP(A842,Jogos!A:L,3,0)</f>
        <v>51</v>
      </c>
      <c r="AA842" s="7">
        <f t="shared" si="2229"/>
        <v>51</v>
      </c>
      <c r="AB842" s="7">
        <f>VLOOKUP(A842,Jogos!A:L,4,0)</f>
        <v>50</v>
      </c>
      <c r="AC842" s="7">
        <f t="shared" si="2230"/>
        <v>50</v>
      </c>
      <c r="AD842" s="7"/>
      <c r="AE842" s="7"/>
      <c r="AF842" s="7">
        <f t="shared" si="2231"/>
        <v>101</v>
      </c>
      <c r="AG842" s="7">
        <v>10482.1</v>
      </c>
      <c r="AH842" s="7">
        <v>4039.6</v>
      </c>
      <c r="AI842" s="7">
        <v>4265.6</v>
      </c>
      <c r="AJ842" s="7">
        <v>1678.9</v>
      </c>
      <c r="AK842" s="7">
        <v>375.5</v>
      </c>
      <c r="AL842" s="7">
        <v>122.4</v>
      </c>
      <c r="AM842" s="7">
        <v>135.0</v>
      </c>
      <c r="AN842" s="7">
        <v>28.0</v>
      </c>
      <c r="AO842" s="7">
        <v>27.8</v>
      </c>
      <c r="AP842" s="9">
        <f t="shared" ref="AP842:AR842" si="2631">AG842/$AF842</f>
        <v>103.7831683</v>
      </c>
      <c r="AQ842" s="9">
        <f t="shared" si="2631"/>
        <v>39.9960396</v>
      </c>
      <c r="AR842" s="9">
        <f t="shared" si="2631"/>
        <v>42.23366337</v>
      </c>
      <c r="AS842" s="9">
        <f t="shared" si="2233"/>
        <v>82.22970297</v>
      </c>
      <c r="AT842" s="9">
        <f t="shared" ref="AT842:AV842" si="2632">AJ842/$AF842</f>
        <v>16.62277228</v>
      </c>
      <c r="AU842" s="9">
        <f t="shared" si="2632"/>
        <v>3.717821782</v>
      </c>
      <c r="AV842" s="9">
        <f t="shared" si="2632"/>
        <v>1.211881188</v>
      </c>
      <c r="AW842" s="9">
        <f t="shared" si="2235"/>
        <v>4.92970297</v>
      </c>
      <c r="AX842" s="9">
        <f t="shared" ref="AX842:AY842" si="2633">AM842/$AF842</f>
        <v>1.336633663</v>
      </c>
      <c r="AY842" s="9">
        <f t="shared" si="2633"/>
        <v>0.2772277228</v>
      </c>
      <c r="AZ842" s="9">
        <f>VLOOKUP(A842,Jogos!A:BN,58,0)</f>
        <v>29.5</v>
      </c>
      <c r="BA842" s="9">
        <f>VLOOKUP(A842,Jogos!A:BN,59,0)</f>
        <v>21.815</v>
      </c>
      <c r="BB842" s="9">
        <f>VLOOKUP(A842,Jogos!A:BN,60,0)</f>
        <v>62.5</v>
      </c>
      <c r="BC842" s="9">
        <f>VLOOKUP(A842,Jogos!A:BN,61,0)</f>
        <v>29.54</v>
      </c>
      <c r="BD842" s="9">
        <f>VLOOKUP(A842,Jogos!A:BN,62,0)</f>
        <v>491.25</v>
      </c>
      <c r="BE842" s="9">
        <f>VLOOKUP(A842,Jogos!A:BN,63,0)</f>
        <v>2.645</v>
      </c>
      <c r="BF842" s="9">
        <f>VLOOKUP(A842,Jogos!A:BN,64,0)</f>
        <v>24.705</v>
      </c>
      <c r="BG842" s="9">
        <f>VLOOKUP(A842,Jogos!A:BN,65,0)</f>
        <v>43.135</v>
      </c>
      <c r="BH842" s="9">
        <f>VLOOKUP(A842,Jogos!A:BN,66,0)</f>
        <v>28.87</v>
      </c>
      <c r="BI842" s="9"/>
      <c r="BJ842" s="9"/>
    </row>
    <row r="843" hidden="1">
      <c r="A843" s="17">
        <v>29.0</v>
      </c>
      <c r="B843" s="11" t="s">
        <v>809</v>
      </c>
      <c r="C843" s="2" t="s">
        <v>61</v>
      </c>
      <c r="D843" s="18">
        <v>45830.0</v>
      </c>
      <c r="E843" s="19">
        <v>0.5</v>
      </c>
      <c r="F843" s="5" t="str">
        <f>VLOOKUP(A843,Jogos!A:N,10,0)</f>
        <v>Afternoon</v>
      </c>
      <c r="G843" s="15" t="s">
        <v>500</v>
      </c>
      <c r="H843" s="6" t="str">
        <f>VLOOKUP(A843,Jogos!A:L,12,0)</f>
        <v>Open</v>
      </c>
      <c r="I843" s="6" t="str">
        <f>VLOOKUP(G843,'Estádios e Cidades'!A:B,2,0)</f>
        <v>Philadelphia</v>
      </c>
      <c r="J843" s="15" t="s">
        <v>999</v>
      </c>
      <c r="K843" s="2" t="str">
        <f>VLOOKUP(J843,Equipes!A:F,6,0)</f>
        <v>Temperate</v>
      </c>
      <c r="L843" s="2">
        <f>VLOOKUP(J843,Equipes!A:C,3,0)</f>
        <v>13</v>
      </c>
      <c r="M843" s="2" t="str">
        <f t="shared" si="4"/>
        <v>Round of 16</v>
      </c>
      <c r="N843" s="15" t="s">
        <v>811</v>
      </c>
      <c r="O843" s="2">
        <f>VLOOKUP(N843,Equipes!A:C,3,0)</f>
        <v>31</v>
      </c>
      <c r="P843" s="2" t="str">
        <f t="shared" si="5"/>
        <v>Group</v>
      </c>
      <c r="Q843" s="2">
        <f t="shared" si="6"/>
        <v>-18</v>
      </c>
      <c r="R843" s="2" t="str">
        <f>VLOOKUP(J843,Equipes!A:B,2,0)</f>
        <v>Juventus</v>
      </c>
      <c r="S843" s="6" t="s">
        <v>1044</v>
      </c>
      <c r="T843" s="7">
        <v>20.0</v>
      </c>
      <c r="U843" s="7" t="s">
        <v>1045</v>
      </c>
      <c r="V843" s="7" t="str">
        <f>VLOOKUP(U843,Jogadores!B:C,2,0)</f>
        <v>FW</v>
      </c>
      <c r="W843" s="8">
        <f>VLOOKUP(U843,Jogadores!B:D,3,0)</f>
        <v>26.6630137</v>
      </c>
      <c r="X843" s="7">
        <v>0.0</v>
      </c>
      <c r="Y843" s="7">
        <v>73.0</v>
      </c>
      <c r="Z843" s="7">
        <f>VLOOKUP(A843,Jogos!A:L,3,0)</f>
        <v>51</v>
      </c>
      <c r="AA843" s="7">
        <f t="shared" si="2229"/>
        <v>51</v>
      </c>
      <c r="AB843" s="7">
        <f>VLOOKUP(A843,Jogos!A:L,4,0)</f>
        <v>50</v>
      </c>
      <c r="AC843" s="7">
        <f t="shared" si="2230"/>
        <v>28</v>
      </c>
      <c r="AD843" s="7"/>
      <c r="AE843" s="7"/>
      <c r="AF843" s="7">
        <f t="shared" si="2231"/>
        <v>79</v>
      </c>
      <c r="AG843" s="7">
        <v>7597.7</v>
      </c>
      <c r="AH843" s="7">
        <v>2961.0</v>
      </c>
      <c r="AI843" s="7">
        <v>3353.7</v>
      </c>
      <c r="AJ843" s="7">
        <v>845.1</v>
      </c>
      <c r="AK843" s="7">
        <v>357.4</v>
      </c>
      <c r="AL843" s="7">
        <v>80.5</v>
      </c>
      <c r="AM843" s="7">
        <v>80.0</v>
      </c>
      <c r="AN843" s="7">
        <v>29.0</v>
      </c>
      <c r="AO843" s="7">
        <v>35.4</v>
      </c>
      <c r="AP843" s="9">
        <f t="shared" ref="AP843:AR843" si="2634">AG843/$AF843</f>
        <v>96.17341772</v>
      </c>
      <c r="AQ843" s="9">
        <f t="shared" si="2634"/>
        <v>37.48101266</v>
      </c>
      <c r="AR843" s="9">
        <f t="shared" si="2634"/>
        <v>42.45189873</v>
      </c>
      <c r="AS843" s="9">
        <f t="shared" si="2233"/>
        <v>79.93291139</v>
      </c>
      <c r="AT843" s="9">
        <f t="shared" ref="AT843:AV843" si="2635">AJ843/$AF843</f>
        <v>10.69746835</v>
      </c>
      <c r="AU843" s="9">
        <f t="shared" si="2635"/>
        <v>4.524050633</v>
      </c>
      <c r="AV843" s="9">
        <f t="shared" si="2635"/>
        <v>1.018987342</v>
      </c>
      <c r="AW843" s="9">
        <f t="shared" si="2235"/>
        <v>5.543037975</v>
      </c>
      <c r="AX843" s="9">
        <f t="shared" ref="AX843:AY843" si="2636">AM843/$AF843</f>
        <v>1.012658228</v>
      </c>
      <c r="AY843" s="9">
        <f t="shared" si="2636"/>
        <v>0.3670886076</v>
      </c>
      <c r="AZ843" s="9">
        <f>VLOOKUP(A843,Jogos!A:BN,58,0)</f>
        <v>29.5</v>
      </c>
      <c r="BA843" s="9">
        <f>VLOOKUP(A843,Jogos!A:BN,59,0)</f>
        <v>21.815</v>
      </c>
      <c r="BB843" s="9">
        <f>VLOOKUP(A843,Jogos!A:BN,60,0)</f>
        <v>62.5</v>
      </c>
      <c r="BC843" s="9">
        <f>VLOOKUP(A843,Jogos!A:BN,61,0)</f>
        <v>29.54</v>
      </c>
      <c r="BD843" s="9">
        <f>VLOOKUP(A843,Jogos!A:BN,62,0)</f>
        <v>491.25</v>
      </c>
      <c r="BE843" s="9">
        <f>VLOOKUP(A843,Jogos!A:BN,63,0)</f>
        <v>2.645</v>
      </c>
      <c r="BF843" s="9">
        <f>VLOOKUP(A843,Jogos!A:BN,64,0)</f>
        <v>24.705</v>
      </c>
      <c r="BG843" s="9">
        <f>VLOOKUP(A843,Jogos!A:BN,65,0)</f>
        <v>43.135</v>
      </c>
      <c r="BH843" s="9">
        <f>VLOOKUP(A843,Jogos!A:BN,66,0)</f>
        <v>28.87</v>
      </c>
      <c r="BI843" s="9"/>
      <c r="BJ843" s="9"/>
    </row>
    <row r="844" hidden="1">
      <c r="A844" s="17">
        <v>29.0</v>
      </c>
      <c r="B844" s="11" t="s">
        <v>809</v>
      </c>
      <c r="C844" s="2" t="s">
        <v>61</v>
      </c>
      <c r="D844" s="18">
        <v>45830.0</v>
      </c>
      <c r="E844" s="19">
        <v>0.5</v>
      </c>
      <c r="F844" s="5" t="str">
        <f>VLOOKUP(A844,Jogos!A:N,10,0)</f>
        <v>Afternoon</v>
      </c>
      <c r="G844" s="15" t="s">
        <v>500</v>
      </c>
      <c r="H844" s="6" t="str">
        <f>VLOOKUP(A844,Jogos!A:L,12,0)</f>
        <v>Open</v>
      </c>
      <c r="I844" s="6" t="str">
        <f>VLOOKUP(G844,'Estádios e Cidades'!A:B,2,0)</f>
        <v>Philadelphia</v>
      </c>
      <c r="J844" s="15" t="s">
        <v>999</v>
      </c>
      <c r="K844" s="2" t="str">
        <f>VLOOKUP(J844,Equipes!A:F,6,0)</f>
        <v>Temperate</v>
      </c>
      <c r="L844" s="2">
        <f>VLOOKUP(J844,Equipes!A:C,3,0)</f>
        <v>13</v>
      </c>
      <c r="M844" s="2" t="str">
        <f t="shared" si="4"/>
        <v>Round of 16</v>
      </c>
      <c r="N844" s="15" t="s">
        <v>811</v>
      </c>
      <c r="O844" s="2">
        <f>VLOOKUP(N844,Equipes!A:C,3,0)</f>
        <v>31</v>
      </c>
      <c r="P844" s="2" t="str">
        <f t="shared" si="5"/>
        <v>Group</v>
      </c>
      <c r="Q844" s="2">
        <f t="shared" si="6"/>
        <v>-18</v>
      </c>
      <c r="R844" s="2" t="str">
        <f>VLOOKUP(J844,Equipes!A:B,2,0)</f>
        <v>Juventus</v>
      </c>
      <c r="S844" s="6" t="s">
        <v>1046</v>
      </c>
      <c r="T844" s="7">
        <v>27.0</v>
      </c>
      <c r="U844" s="7" t="s">
        <v>1047</v>
      </c>
      <c r="V844" s="7" t="str">
        <f>VLOOKUP(U844,Jogadores!B:C,2,0)</f>
        <v>DF</v>
      </c>
      <c r="W844" s="8">
        <f>VLOOKUP(U844,Jogadores!B:D,3,0)</f>
        <v>25.45205479</v>
      </c>
      <c r="X844" s="7">
        <v>0.0</v>
      </c>
      <c r="Y844" s="7">
        <f t="shared" ref="Y844:Y852" si="2640">45+AB844</f>
        <v>95</v>
      </c>
      <c r="Z844" s="7">
        <f>VLOOKUP(A844,Jogos!A:L,3,0)</f>
        <v>51</v>
      </c>
      <c r="AA844" s="7">
        <f t="shared" si="2229"/>
        <v>51</v>
      </c>
      <c r="AB844" s="7">
        <f>VLOOKUP(A844,Jogos!A:L,4,0)</f>
        <v>50</v>
      </c>
      <c r="AC844" s="7">
        <f t="shared" si="2230"/>
        <v>50</v>
      </c>
      <c r="AD844" s="7"/>
      <c r="AE844" s="7"/>
      <c r="AF844" s="7">
        <f t="shared" si="2231"/>
        <v>101</v>
      </c>
      <c r="AG844" s="7">
        <v>10795.6</v>
      </c>
      <c r="AH844" s="7">
        <v>4010.3</v>
      </c>
      <c r="AI844" s="7">
        <v>4378.1</v>
      </c>
      <c r="AJ844" s="7">
        <v>1512.5</v>
      </c>
      <c r="AK844" s="7">
        <v>737.5</v>
      </c>
      <c r="AL844" s="7">
        <v>157.2</v>
      </c>
      <c r="AM844" s="7">
        <v>139.0</v>
      </c>
      <c r="AN844" s="7">
        <v>59.0</v>
      </c>
      <c r="AO844" s="7">
        <v>31.1</v>
      </c>
      <c r="AP844" s="9">
        <f t="shared" ref="AP844:AR844" si="2637">AG844/$AF844</f>
        <v>106.8871287</v>
      </c>
      <c r="AQ844" s="9">
        <f t="shared" si="2637"/>
        <v>39.70594059</v>
      </c>
      <c r="AR844" s="9">
        <f t="shared" si="2637"/>
        <v>43.34752475</v>
      </c>
      <c r="AS844" s="9">
        <f t="shared" si="2233"/>
        <v>83.05346535</v>
      </c>
      <c r="AT844" s="9">
        <f t="shared" ref="AT844:AV844" si="2638">AJ844/$AF844</f>
        <v>14.97524752</v>
      </c>
      <c r="AU844" s="9">
        <f t="shared" si="2638"/>
        <v>7.301980198</v>
      </c>
      <c r="AV844" s="9">
        <f t="shared" si="2638"/>
        <v>1.556435644</v>
      </c>
      <c r="AW844" s="9">
        <f t="shared" si="2235"/>
        <v>8.858415842</v>
      </c>
      <c r="AX844" s="9">
        <f t="shared" ref="AX844:AY844" si="2639">AM844/$AF844</f>
        <v>1.376237624</v>
      </c>
      <c r="AY844" s="9">
        <f t="shared" si="2639"/>
        <v>0.5841584158</v>
      </c>
      <c r="AZ844" s="9">
        <f>VLOOKUP(A844,Jogos!A:BN,58,0)</f>
        <v>29.5</v>
      </c>
      <c r="BA844" s="9">
        <f>VLOOKUP(A844,Jogos!A:BN,59,0)</f>
        <v>21.815</v>
      </c>
      <c r="BB844" s="9">
        <f>VLOOKUP(A844,Jogos!A:BN,60,0)</f>
        <v>62.5</v>
      </c>
      <c r="BC844" s="9">
        <f>VLOOKUP(A844,Jogos!A:BN,61,0)</f>
        <v>29.54</v>
      </c>
      <c r="BD844" s="9">
        <f>VLOOKUP(A844,Jogos!A:BN,62,0)</f>
        <v>491.25</v>
      </c>
      <c r="BE844" s="9">
        <f>VLOOKUP(A844,Jogos!A:BN,63,0)</f>
        <v>2.645</v>
      </c>
      <c r="BF844" s="9">
        <f>VLOOKUP(A844,Jogos!A:BN,64,0)</f>
        <v>24.705</v>
      </c>
      <c r="BG844" s="9">
        <f>VLOOKUP(A844,Jogos!A:BN,65,0)</f>
        <v>43.135</v>
      </c>
      <c r="BH844" s="9">
        <f>VLOOKUP(A844,Jogos!A:BN,66,0)</f>
        <v>28.87</v>
      </c>
      <c r="BI844" s="9"/>
      <c r="BJ844" s="9"/>
    </row>
    <row r="845" hidden="1">
      <c r="A845" s="17">
        <v>29.0</v>
      </c>
      <c r="B845" s="11" t="s">
        <v>809</v>
      </c>
      <c r="C845" s="2" t="s">
        <v>61</v>
      </c>
      <c r="D845" s="18">
        <v>45830.0</v>
      </c>
      <c r="E845" s="19">
        <v>0.5</v>
      </c>
      <c r="F845" s="5" t="str">
        <f>VLOOKUP(A845,Jogos!A:N,10,0)</f>
        <v>Afternoon</v>
      </c>
      <c r="G845" s="15" t="s">
        <v>500</v>
      </c>
      <c r="H845" s="6" t="str">
        <f>VLOOKUP(A845,Jogos!A:L,12,0)</f>
        <v>Open</v>
      </c>
      <c r="I845" s="6" t="str">
        <f>VLOOKUP(G845,'Estádios e Cidades'!A:B,2,0)</f>
        <v>Philadelphia</v>
      </c>
      <c r="J845" s="15" t="s">
        <v>999</v>
      </c>
      <c r="K845" s="2" t="str">
        <f>VLOOKUP(J845,Equipes!A:F,6,0)</f>
        <v>Temperate</v>
      </c>
      <c r="L845" s="2">
        <f>VLOOKUP(J845,Equipes!A:C,3,0)</f>
        <v>13</v>
      </c>
      <c r="M845" s="2" t="str">
        <f t="shared" si="4"/>
        <v>Round of 16</v>
      </c>
      <c r="N845" s="15" t="s">
        <v>811</v>
      </c>
      <c r="O845" s="2">
        <f>VLOOKUP(N845,Equipes!A:C,3,0)</f>
        <v>31</v>
      </c>
      <c r="P845" s="2" t="str">
        <f t="shared" si="5"/>
        <v>Group</v>
      </c>
      <c r="Q845" s="2">
        <f t="shared" si="6"/>
        <v>-18</v>
      </c>
      <c r="R845" s="2" t="str">
        <f>VLOOKUP(J845,Equipes!A:B,2,0)</f>
        <v>Juventus</v>
      </c>
      <c r="S845" s="6" t="s">
        <v>1048</v>
      </c>
      <c r="T845" s="7">
        <v>37.0</v>
      </c>
      <c r="U845" s="7" t="s">
        <v>1049</v>
      </c>
      <c r="V845" s="7" t="str">
        <f>VLOOKUP(U845,Jogadores!B:C,2,0)</f>
        <v>DF</v>
      </c>
      <c r="W845" s="8">
        <f>VLOOKUP(U845,Jogadores!B:D,3,0)</f>
        <v>22.37534247</v>
      </c>
      <c r="X845" s="7">
        <v>0.0</v>
      </c>
      <c r="Y845" s="7">
        <f t="shared" si="2640"/>
        <v>95</v>
      </c>
      <c r="Z845" s="7">
        <f>VLOOKUP(A845,Jogos!A:L,3,0)</f>
        <v>51</v>
      </c>
      <c r="AA845" s="7">
        <f t="shared" si="2229"/>
        <v>51</v>
      </c>
      <c r="AB845" s="7">
        <f>VLOOKUP(A845,Jogos!A:L,4,0)</f>
        <v>50</v>
      </c>
      <c r="AC845" s="7">
        <f t="shared" si="2230"/>
        <v>50</v>
      </c>
      <c r="AD845" s="7"/>
      <c r="AE845" s="7"/>
      <c r="AF845" s="7">
        <f t="shared" si="2231"/>
        <v>101</v>
      </c>
      <c r="AG845" s="7">
        <v>10342.1</v>
      </c>
      <c r="AH845" s="7">
        <v>3983.3</v>
      </c>
      <c r="AI845" s="7">
        <v>4332.6</v>
      </c>
      <c r="AJ845" s="7">
        <v>1336.4</v>
      </c>
      <c r="AK845" s="7">
        <v>451.0</v>
      </c>
      <c r="AL845" s="7">
        <v>238.8</v>
      </c>
      <c r="AM845" s="7">
        <v>114.0</v>
      </c>
      <c r="AN845" s="7">
        <v>38.0</v>
      </c>
      <c r="AO845" s="7">
        <v>32.6</v>
      </c>
      <c r="AP845" s="9">
        <f t="shared" ref="AP845:AR845" si="2641">AG845/$AF845</f>
        <v>102.3970297</v>
      </c>
      <c r="AQ845" s="9">
        <f t="shared" si="2641"/>
        <v>39.43861386</v>
      </c>
      <c r="AR845" s="9">
        <f t="shared" si="2641"/>
        <v>42.8970297</v>
      </c>
      <c r="AS845" s="9">
        <f t="shared" si="2233"/>
        <v>82.33564356</v>
      </c>
      <c r="AT845" s="9">
        <f t="shared" ref="AT845:AV845" si="2642">AJ845/$AF845</f>
        <v>13.23168317</v>
      </c>
      <c r="AU845" s="9">
        <f t="shared" si="2642"/>
        <v>4.465346535</v>
      </c>
      <c r="AV845" s="9">
        <f t="shared" si="2642"/>
        <v>2.364356436</v>
      </c>
      <c r="AW845" s="9">
        <f t="shared" si="2235"/>
        <v>6.82970297</v>
      </c>
      <c r="AX845" s="9">
        <f t="shared" ref="AX845:AY845" si="2643">AM845/$AF845</f>
        <v>1.128712871</v>
      </c>
      <c r="AY845" s="9">
        <f t="shared" si="2643"/>
        <v>0.3762376238</v>
      </c>
      <c r="AZ845" s="9">
        <f>VLOOKUP(A845,Jogos!A:BN,58,0)</f>
        <v>29.5</v>
      </c>
      <c r="BA845" s="9">
        <f>VLOOKUP(A845,Jogos!A:BN,59,0)</f>
        <v>21.815</v>
      </c>
      <c r="BB845" s="9">
        <f>VLOOKUP(A845,Jogos!A:BN,60,0)</f>
        <v>62.5</v>
      </c>
      <c r="BC845" s="9">
        <f>VLOOKUP(A845,Jogos!A:BN,61,0)</f>
        <v>29.54</v>
      </c>
      <c r="BD845" s="9">
        <f>VLOOKUP(A845,Jogos!A:BN,62,0)</f>
        <v>491.25</v>
      </c>
      <c r="BE845" s="9">
        <f>VLOOKUP(A845,Jogos!A:BN,63,0)</f>
        <v>2.645</v>
      </c>
      <c r="BF845" s="9">
        <f>VLOOKUP(A845,Jogos!A:BN,64,0)</f>
        <v>24.705</v>
      </c>
      <c r="BG845" s="9">
        <f>VLOOKUP(A845,Jogos!A:BN,65,0)</f>
        <v>43.135</v>
      </c>
      <c r="BH845" s="9">
        <f>VLOOKUP(A845,Jogos!A:BN,66,0)</f>
        <v>28.87</v>
      </c>
      <c r="BI845" s="9"/>
      <c r="BJ845" s="9"/>
    </row>
    <row r="846" hidden="1">
      <c r="A846" s="17">
        <v>29.0</v>
      </c>
      <c r="B846" s="11" t="s">
        <v>809</v>
      </c>
      <c r="C846" s="2" t="s">
        <v>61</v>
      </c>
      <c r="D846" s="18">
        <v>45830.0</v>
      </c>
      <c r="E846" s="19">
        <v>0.5</v>
      </c>
      <c r="F846" s="5" t="str">
        <f>VLOOKUP(A846,Jogos!A:N,10,0)</f>
        <v>Afternoon</v>
      </c>
      <c r="G846" s="15" t="s">
        <v>500</v>
      </c>
      <c r="H846" s="6" t="str">
        <f>VLOOKUP(A846,Jogos!A:L,12,0)</f>
        <v>Open</v>
      </c>
      <c r="I846" s="6" t="str">
        <f>VLOOKUP(G846,'Estádios e Cidades'!A:B,2,0)</f>
        <v>Philadelphia</v>
      </c>
      <c r="J846" s="15" t="s">
        <v>999</v>
      </c>
      <c r="K846" s="2" t="str">
        <f>VLOOKUP(J846,Equipes!A:F,6,0)</f>
        <v>Temperate</v>
      </c>
      <c r="L846" s="2">
        <f>VLOOKUP(J846,Equipes!A:C,3,0)</f>
        <v>13</v>
      </c>
      <c r="M846" s="2" t="str">
        <f t="shared" si="4"/>
        <v>Round of 16</v>
      </c>
      <c r="N846" s="15" t="s">
        <v>811</v>
      </c>
      <c r="O846" s="2">
        <f>VLOOKUP(N846,Equipes!A:C,3,0)</f>
        <v>31</v>
      </c>
      <c r="P846" s="2" t="str">
        <f t="shared" si="5"/>
        <v>Group</v>
      </c>
      <c r="Q846" s="2">
        <f t="shared" si="6"/>
        <v>-18</v>
      </c>
      <c r="R846" s="2" t="str">
        <f>VLOOKUP(J846,Equipes!A:B,2,0)</f>
        <v>Juventus</v>
      </c>
      <c r="S846" s="6" t="s">
        <v>1050</v>
      </c>
      <c r="T846" s="7">
        <v>4.0</v>
      </c>
      <c r="U846" s="7" t="s">
        <v>1051</v>
      </c>
      <c r="V846" s="7" t="str">
        <f>VLOOKUP(U846,Jogadores!B:C,2,0)</f>
        <v>DF</v>
      </c>
      <c r="W846" s="8">
        <f>VLOOKUP(U846,Jogadores!B:D,3,0)</f>
        <v>27.11232877</v>
      </c>
      <c r="X846" s="7">
        <v>85.0</v>
      </c>
      <c r="Y846" s="7">
        <f t="shared" si="2640"/>
        <v>95</v>
      </c>
      <c r="Z846" s="7">
        <f>VLOOKUP(A846,Jogos!A:L,3,0)</f>
        <v>51</v>
      </c>
      <c r="AA846" s="7">
        <f t="shared" si="2229"/>
        <v>0</v>
      </c>
      <c r="AB846" s="7">
        <f>VLOOKUP(A846,Jogos!A:L,4,0)</f>
        <v>50</v>
      </c>
      <c r="AC846" s="7">
        <f t="shared" si="2230"/>
        <v>10</v>
      </c>
      <c r="AD846" s="7"/>
      <c r="AE846" s="7"/>
      <c r="AF846" s="7">
        <f t="shared" si="2231"/>
        <v>10</v>
      </c>
      <c r="AG846" s="7">
        <v>1027.8</v>
      </c>
      <c r="AH846" s="7">
        <v>489.4</v>
      </c>
      <c r="AI846" s="7">
        <v>353.4</v>
      </c>
      <c r="AJ846" s="7">
        <v>83.9</v>
      </c>
      <c r="AK846" s="7">
        <v>101.1</v>
      </c>
      <c r="AL846" s="7">
        <v>10.0</v>
      </c>
      <c r="AM846" s="7">
        <v>3.0</v>
      </c>
      <c r="AN846" s="7">
        <v>25.0</v>
      </c>
      <c r="AO846" s="7"/>
      <c r="AP846" s="9">
        <f t="shared" ref="AP846:AR846" si="2644">AG846/$AF846</f>
        <v>102.78</v>
      </c>
      <c r="AQ846" s="9">
        <f t="shared" si="2644"/>
        <v>48.94</v>
      </c>
      <c r="AR846" s="9">
        <f t="shared" si="2644"/>
        <v>35.34</v>
      </c>
      <c r="AS846" s="9">
        <f t="shared" si="2233"/>
        <v>84.28</v>
      </c>
      <c r="AT846" s="9">
        <f t="shared" ref="AT846:AV846" si="2645">AJ846/$AF846</f>
        <v>8.39</v>
      </c>
      <c r="AU846" s="9">
        <f t="shared" si="2645"/>
        <v>10.11</v>
      </c>
      <c r="AV846" s="9">
        <f t="shared" si="2645"/>
        <v>1</v>
      </c>
      <c r="AW846" s="9">
        <f t="shared" si="2235"/>
        <v>11.11</v>
      </c>
      <c r="AX846" s="9">
        <f t="shared" ref="AX846:AY846" si="2646">AM846/$AF846</f>
        <v>0.3</v>
      </c>
      <c r="AY846" s="9">
        <f t="shared" si="2646"/>
        <v>2.5</v>
      </c>
      <c r="AZ846" s="9">
        <f>VLOOKUP(A846,Jogos!A:BN,58,0)</f>
        <v>29.5</v>
      </c>
      <c r="BA846" s="9">
        <f>VLOOKUP(A846,Jogos!A:BN,59,0)</f>
        <v>21.815</v>
      </c>
      <c r="BB846" s="9">
        <f>VLOOKUP(A846,Jogos!A:BN,60,0)</f>
        <v>62.5</v>
      </c>
      <c r="BC846" s="9">
        <f>VLOOKUP(A846,Jogos!A:BN,61,0)</f>
        <v>29.54</v>
      </c>
      <c r="BD846" s="9">
        <f>VLOOKUP(A846,Jogos!A:BN,62,0)</f>
        <v>491.25</v>
      </c>
      <c r="BE846" s="9">
        <f>VLOOKUP(A846,Jogos!A:BN,63,0)</f>
        <v>2.645</v>
      </c>
      <c r="BF846" s="9">
        <f>VLOOKUP(A846,Jogos!A:BN,64,0)</f>
        <v>24.705</v>
      </c>
      <c r="BG846" s="9">
        <f>VLOOKUP(A846,Jogos!A:BN,65,0)</f>
        <v>43.135</v>
      </c>
      <c r="BH846" s="9">
        <f>VLOOKUP(A846,Jogos!A:BN,66,0)</f>
        <v>28.87</v>
      </c>
      <c r="BI846" s="9"/>
      <c r="BJ846" s="9"/>
    </row>
    <row r="847" hidden="1">
      <c r="A847" s="17">
        <v>29.0</v>
      </c>
      <c r="B847" s="11" t="s">
        <v>809</v>
      </c>
      <c r="C847" s="2" t="s">
        <v>61</v>
      </c>
      <c r="D847" s="18">
        <v>45830.0</v>
      </c>
      <c r="E847" s="19">
        <v>0.5</v>
      </c>
      <c r="F847" s="5" t="str">
        <f>VLOOKUP(A847,Jogos!A:N,10,0)</f>
        <v>Afternoon</v>
      </c>
      <c r="G847" s="15" t="s">
        <v>500</v>
      </c>
      <c r="H847" s="6" t="str">
        <f>VLOOKUP(A847,Jogos!A:L,12,0)</f>
        <v>Open</v>
      </c>
      <c r="I847" s="6" t="str">
        <f>VLOOKUP(G847,'Estádios e Cidades'!A:B,2,0)</f>
        <v>Philadelphia</v>
      </c>
      <c r="J847" s="15" t="s">
        <v>999</v>
      </c>
      <c r="K847" s="2" t="str">
        <f>VLOOKUP(J847,Equipes!A:F,6,0)</f>
        <v>Temperate</v>
      </c>
      <c r="L847" s="2">
        <f>VLOOKUP(J847,Equipes!A:C,3,0)</f>
        <v>13</v>
      </c>
      <c r="M847" s="2" t="str">
        <f t="shared" si="4"/>
        <v>Round of 16</v>
      </c>
      <c r="N847" s="15" t="s">
        <v>811</v>
      </c>
      <c r="O847" s="2">
        <f>VLOOKUP(N847,Equipes!A:C,3,0)</f>
        <v>31</v>
      </c>
      <c r="P847" s="2" t="str">
        <f t="shared" si="5"/>
        <v>Group</v>
      </c>
      <c r="Q847" s="2">
        <f t="shared" si="6"/>
        <v>-18</v>
      </c>
      <c r="R847" s="2" t="str">
        <f>VLOOKUP(J847,Equipes!A:B,2,0)</f>
        <v>Juventus</v>
      </c>
      <c r="S847" s="6" t="s">
        <v>1190</v>
      </c>
      <c r="T847" s="7">
        <v>5.0</v>
      </c>
      <c r="U847" s="7" t="s">
        <v>1191</v>
      </c>
      <c r="V847" s="7" t="str">
        <f>VLOOKUP(U847,Jogadores!B:C,2,0)</f>
        <v>MF</v>
      </c>
      <c r="W847" s="8">
        <f>VLOOKUP(U847,Jogadores!B:D,3,0)</f>
        <v>27.56986301</v>
      </c>
      <c r="X847" s="7">
        <v>73.0</v>
      </c>
      <c r="Y847" s="7">
        <f t="shared" si="2640"/>
        <v>95</v>
      </c>
      <c r="Z847" s="7">
        <f>VLOOKUP(A847,Jogos!A:L,3,0)</f>
        <v>51</v>
      </c>
      <c r="AA847" s="7">
        <f t="shared" si="2229"/>
        <v>0</v>
      </c>
      <c r="AB847" s="7">
        <f>VLOOKUP(A847,Jogos!A:L,4,0)</f>
        <v>50</v>
      </c>
      <c r="AC847" s="7">
        <f t="shared" si="2230"/>
        <v>22</v>
      </c>
      <c r="AD847" s="7"/>
      <c r="AE847" s="7"/>
      <c r="AF847" s="7">
        <f t="shared" si="2231"/>
        <v>22</v>
      </c>
      <c r="AG847" s="7">
        <v>2532.1</v>
      </c>
      <c r="AH847" s="7">
        <v>888.6</v>
      </c>
      <c r="AI847" s="7">
        <v>1125.0</v>
      </c>
      <c r="AJ847" s="7">
        <v>453.7</v>
      </c>
      <c r="AK847" s="7">
        <v>59.0</v>
      </c>
      <c r="AL847" s="7">
        <v>5.7</v>
      </c>
      <c r="AM847" s="7">
        <v>37.0</v>
      </c>
      <c r="AN847" s="7">
        <v>6.0</v>
      </c>
      <c r="AO847" s="7">
        <v>26.0</v>
      </c>
      <c r="AP847" s="9">
        <f t="shared" ref="AP847:AR847" si="2647">AG847/$AF847</f>
        <v>115.0954545</v>
      </c>
      <c r="AQ847" s="9">
        <f t="shared" si="2647"/>
        <v>40.39090909</v>
      </c>
      <c r="AR847" s="9">
        <f t="shared" si="2647"/>
        <v>51.13636364</v>
      </c>
      <c r="AS847" s="9">
        <f t="shared" si="2233"/>
        <v>91.52727273</v>
      </c>
      <c r="AT847" s="9">
        <f t="shared" ref="AT847:AV847" si="2648">AJ847/$AF847</f>
        <v>20.62272727</v>
      </c>
      <c r="AU847" s="9">
        <f t="shared" si="2648"/>
        <v>2.681818182</v>
      </c>
      <c r="AV847" s="9">
        <f t="shared" si="2648"/>
        <v>0.2590909091</v>
      </c>
      <c r="AW847" s="9">
        <f t="shared" si="2235"/>
        <v>2.940909091</v>
      </c>
      <c r="AX847" s="9">
        <f t="shared" ref="AX847:AY847" si="2649">AM847/$AF847</f>
        <v>1.681818182</v>
      </c>
      <c r="AY847" s="9">
        <f t="shared" si="2649"/>
        <v>0.2727272727</v>
      </c>
      <c r="AZ847" s="9">
        <f>VLOOKUP(A847,Jogos!A:BN,58,0)</f>
        <v>29.5</v>
      </c>
      <c r="BA847" s="9">
        <f>VLOOKUP(A847,Jogos!A:BN,59,0)</f>
        <v>21.815</v>
      </c>
      <c r="BB847" s="9">
        <f>VLOOKUP(A847,Jogos!A:BN,60,0)</f>
        <v>62.5</v>
      </c>
      <c r="BC847" s="9">
        <f>VLOOKUP(A847,Jogos!A:BN,61,0)</f>
        <v>29.54</v>
      </c>
      <c r="BD847" s="9">
        <f>VLOOKUP(A847,Jogos!A:BN,62,0)</f>
        <v>491.25</v>
      </c>
      <c r="BE847" s="9">
        <f>VLOOKUP(A847,Jogos!A:BN,63,0)</f>
        <v>2.645</v>
      </c>
      <c r="BF847" s="9">
        <f>VLOOKUP(A847,Jogos!A:BN,64,0)</f>
        <v>24.705</v>
      </c>
      <c r="BG847" s="9">
        <f>VLOOKUP(A847,Jogos!A:BN,65,0)</f>
        <v>43.135</v>
      </c>
      <c r="BH847" s="9">
        <f>VLOOKUP(A847,Jogos!A:BN,66,0)</f>
        <v>28.87</v>
      </c>
      <c r="BI847" s="9"/>
      <c r="BJ847" s="9"/>
    </row>
    <row r="848" hidden="1">
      <c r="A848" s="17">
        <v>29.0</v>
      </c>
      <c r="B848" s="11" t="s">
        <v>809</v>
      </c>
      <c r="C848" s="2" t="s">
        <v>61</v>
      </c>
      <c r="D848" s="18">
        <v>45830.0</v>
      </c>
      <c r="E848" s="19">
        <v>0.5</v>
      </c>
      <c r="F848" s="5" t="str">
        <f>VLOOKUP(A848,Jogos!A:N,10,0)</f>
        <v>Afternoon</v>
      </c>
      <c r="G848" s="15" t="s">
        <v>500</v>
      </c>
      <c r="H848" s="6" t="str">
        <f>VLOOKUP(A848,Jogos!A:L,12,0)</f>
        <v>Open</v>
      </c>
      <c r="I848" s="6" t="str">
        <f>VLOOKUP(G848,'Estádios e Cidades'!A:B,2,0)</f>
        <v>Philadelphia</v>
      </c>
      <c r="J848" s="15" t="s">
        <v>999</v>
      </c>
      <c r="K848" s="2" t="str">
        <f>VLOOKUP(J848,Equipes!A:F,6,0)</f>
        <v>Temperate</v>
      </c>
      <c r="L848" s="2">
        <f>VLOOKUP(J848,Equipes!A:C,3,0)</f>
        <v>13</v>
      </c>
      <c r="M848" s="2" t="str">
        <f t="shared" si="4"/>
        <v>Round of 16</v>
      </c>
      <c r="N848" s="15" t="s">
        <v>811</v>
      </c>
      <c r="O848" s="2">
        <f>VLOOKUP(N848,Equipes!A:C,3,0)</f>
        <v>31</v>
      </c>
      <c r="P848" s="2" t="str">
        <f t="shared" si="5"/>
        <v>Group</v>
      </c>
      <c r="Q848" s="2">
        <f t="shared" si="6"/>
        <v>-18</v>
      </c>
      <c r="R848" s="2" t="str">
        <f>VLOOKUP(J848,Equipes!A:B,2,0)</f>
        <v>Juventus</v>
      </c>
      <c r="S848" s="6" t="s">
        <v>1052</v>
      </c>
      <c r="T848" s="7">
        <v>8.0</v>
      </c>
      <c r="U848" s="7" t="s">
        <v>1053</v>
      </c>
      <c r="V848" s="7" t="str">
        <f>VLOOKUP(U848,Jogadores!B:C,2,0)</f>
        <v>MF</v>
      </c>
      <c r="W848" s="8">
        <f>VLOOKUP(U848,Jogadores!B:D,3,0)</f>
        <v>27.43013699</v>
      </c>
      <c r="X848" s="7">
        <v>45.0</v>
      </c>
      <c r="Y848" s="7">
        <f t="shared" si="2640"/>
        <v>95</v>
      </c>
      <c r="Z848" s="7">
        <f>VLOOKUP(A848,Jogos!A:L,3,0)</f>
        <v>51</v>
      </c>
      <c r="AA848" s="7">
        <f t="shared" si="2229"/>
        <v>0</v>
      </c>
      <c r="AB848" s="7">
        <f>VLOOKUP(A848,Jogos!A:L,4,0)</f>
        <v>50</v>
      </c>
      <c r="AC848" s="7">
        <f t="shared" si="2230"/>
        <v>50</v>
      </c>
      <c r="AD848" s="7"/>
      <c r="AE848" s="7"/>
      <c r="AF848" s="7">
        <f t="shared" si="2231"/>
        <v>50</v>
      </c>
      <c r="AG848" s="7">
        <v>5688.5</v>
      </c>
      <c r="AH848" s="7">
        <v>1838.8</v>
      </c>
      <c r="AI848" s="7">
        <v>2266.3</v>
      </c>
      <c r="AJ848" s="7">
        <v>1066.6</v>
      </c>
      <c r="AK848" s="7">
        <v>417.3</v>
      </c>
      <c r="AL848" s="7">
        <v>99.6</v>
      </c>
      <c r="AM848" s="7">
        <v>85.0</v>
      </c>
      <c r="AN848" s="7">
        <v>30.0</v>
      </c>
      <c r="AO848" s="7">
        <v>30.7</v>
      </c>
      <c r="AP848" s="9">
        <f t="shared" ref="AP848:AR848" si="2650">AG848/$AF848</f>
        <v>113.77</v>
      </c>
      <c r="AQ848" s="9">
        <f t="shared" si="2650"/>
        <v>36.776</v>
      </c>
      <c r="AR848" s="9">
        <f t="shared" si="2650"/>
        <v>45.326</v>
      </c>
      <c r="AS848" s="9">
        <f t="shared" si="2233"/>
        <v>82.102</v>
      </c>
      <c r="AT848" s="9">
        <f t="shared" ref="AT848:AV848" si="2651">AJ848/$AF848</f>
        <v>21.332</v>
      </c>
      <c r="AU848" s="9">
        <f t="shared" si="2651"/>
        <v>8.346</v>
      </c>
      <c r="AV848" s="9">
        <f t="shared" si="2651"/>
        <v>1.992</v>
      </c>
      <c r="AW848" s="9">
        <f t="shared" si="2235"/>
        <v>10.338</v>
      </c>
      <c r="AX848" s="9">
        <f t="shared" ref="AX848:AY848" si="2652">AM848/$AF848</f>
        <v>1.7</v>
      </c>
      <c r="AY848" s="9">
        <f t="shared" si="2652"/>
        <v>0.6</v>
      </c>
      <c r="AZ848" s="9">
        <f>VLOOKUP(A848,Jogos!A:BN,58,0)</f>
        <v>29.5</v>
      </c>
      <c r="BA848" s="9">
        <f>VLOOKUP(A848,Jogos!A:BN,59,0)</f>
        <v>21.815</v>
      </c>
      <c r="BB848" s="9">
        <f>VLOOKUP(A848,Jogos!A:BN,60,0)</f>
        <v>62.5</v>
      </c>
      <c r="BC848" s="9">
        <f>VLOOKUP(A848,Jogos!A:BN,61,0)</f>
        <v>29.54</v>
      </c>
      <c r="BD848" s="9">
        <f>VLOOKUP(A848,Jogos!A:BN,62,0)</f>
        <v>491.25</v>
      </c>
      <c r="BE848" s="9">
        <f>VLOOKUP(A848,Jogos!A:BN,63,0)</f>
        <v>2.645</v>
      </c>
      <c r="BF848" s="9">
        <f>VLOOKUP(A848,Jogos!A:BN,64,0)</f>
        <v>24.705</v>
      </c>
      <c r="BG848" s="9">
        <f>VLOOKUP(A848,Jogos!A:BN,65,0)</f>
        <v>43.135</v>
      </c>
      <c r="BH848" s="9">
        <f>VLOOKUP(A848,Jogos!A:BN,66,0)</f>
        <v>28.87</v>
      </c>
      <c r="BI848" s="9"/>
      <c r="BJ848" s="9"/>
    </row>
    <row r="849" hidden="1">
      <c r="A849" s="17">
        <v>29.0</v>
      </c>
      <c r="B849" s="11" t="s">
        <v>809</v>
      </c>
      <c r="C849" s="2" t="s">
        <v>61</v>
      </c>
      <c r="D849" s="18">
        <v>45830.0</v>
      </c>
      <c r="E849" s="19">
        <v>0.5</v>
      </c>
      <c r="F849" s="5" t="str">
        <f>VLOOKUP(A849,Jogos!A:N,10,0)</f>
        <v>Afternoon</v>
      </c>
      <c r="G849" s="15" t="s">
        <v>500</v>
      </c>
      <c r="H849" s="6" t="str">
        <f>VLOOKUP(A849,Jogos!A:L,12,0)</f>
        <v>Open</v>
      </c>
      <c r="I849" s="6" t="str">
        <f>VLOOKUP(G849,'Estádios e Cidades'!A:B,2,0)</f>
        <v>Philadelphia</v>
      </c>
      <c r="J849" s="15" t="s">
        <v>999</v>
      </c>
      <c r="K849" s="2" t="str">
        <f>VLOOKUP(J849,Equipes!A:F,6,0)</f>
        <v>Temperate</v>
      </c>
      <c r="L849" s="2">
        <f>VLOOKUP(J849,Equipes!A:C,3,0)</f>
        <v>13</v>
      </c>
      <c r="M849" s="2" t="str">
        <f t="shared" si="4"/>
        <v>Round of 16</v>
      </c>
      <c r="N849" s="15" t="s">
        <v>811</v>
      </c>
      <c r="O849" s="2">
        <f>VLOOKUP(N849,Equipes!A:C,3,0)</f>
        <v>31</v>
      </c>
      <c r="P849" s="2" t="str">
        <f t="shared" si="5"/>
        <v>Group</v>
      </c>
      <c r="Q849" s="2">
        <f t="shared" si="6"/>
        <v>-18</v>
      </c>
      <c r="R849" s="2" t="str">
        <f>VLOOKUP(J849,Equipes!A:B,2,0)</f>
        <v>Juventus</v>
      </c>
      <c r="S849" s="6" t="s">
        <v>1054</v>
      </c>
      <c r="T849" s="7">
        <v>9.0</v>
      </c>
      <c r="U849" s="7" t="s">
        <v>1055</v>
      </c>
      <c r="V849" s="7" t="str">
        <f>VLOOKUP(U849,Jogadores!B:C,2,0)</f>
        <v>FW</v>
      </c>
      <c r="W849" s="8">
        <f>VLOOKUP(U849,Jogadores!B:D,3,0)</f>
        <v>25.51506849</v>
      </c>
      <c r="X849" s="7">
        <v>73.0</v>
      </c>
      <c r="Y849" s="7">
        <f t="shared" si="2640"/>
        <v>95</v>
      </c>
      <c r="Z849" s="7">
        <f>VLOOKUP(A849,Jogos!A:L,3,0)</f>
        <v>51</v>
      </c>
      <c r="AA849" s="7">
        <f t="shared" si="2229"/>
        <v>0</v>
      </c>
      <c r="AB849" s="7">
        <f>VLOOKUP(A849,Jogos!A:L,4,0)</f>
        <v>50</v>
      </c>
      <c r="AC849" s="7">
        <f t="shared" si="2230"/>
        <v>22</v>
      </c>
      <c r="AD849" s="7"/>
      <c r="AE849" s="7"/>
      <c r="AF849" s="7">
        <f t="shared" si="2231"/>
        <v>22</v>
      </c>
      <c r="AG849" s="7">
        <v>2230.4</v>
      </c>
      <c r="AH849" s="7">
        <v>842.3</v>
      </c>
      <c r="AI849" s="7">
        <v>950.4</v>
      </c>
      <c r="AJ849" s="7">
        <v>278.3</v>
      </c>
      <c r="AK849" s="7">
        <v>104.8</v>
      </c>
      <c r="AL849" s="7">
        <v>54.7</v>
      </c>
      <c r="AM849" s="7">
        <v>22.0</v>
      </c>
      <c r="AN849" s="7">
        <v>10.0</v>
      </c>
      <c r="AO849" s="7">
        <v>31.1</v>
      </c>
      <c r="AP849" s="9">
        <f t="shared" ref="AP849:AR849" si="2653">AG849/$AF849</f>
        <v>101.3818182</v>
      </c>
      <c r="AQ849" s="9">
        <f t="shared" si="2653"/>
        <v>38.28636364</v>
      </c>
      <c r="AR849" s="9">
        <f t="shared" si="2653"/>
        <v>43.2</v>
      </c>
      <c r="AS849" s="9">
        <f t="shared" si="2233"/>
        <v>81.48636364</v>
      </c>
      <c r="AT849" s="9">
        <f t="shared" ref="AT849:AV849" si="2654">AJ849/$AF849</f>
        <v>12.65</v>
      </c>
      <c r="AU849" s="9">
        <f t="shared" si="2654"/>
        <v>4.763636364</v>
      </c>
      <c r="AV849" s="9">
        <f t="shared" si="2654"/>
        <v>2.486363636</v>
      </c>
      <c r="AW849" s="9">
        <f t="shared" si="2235"/>
        <v>7.25</v>
      </c>
      <c r="AX849" s="9">
        <f t="shared" ref="AX849:AY849" si="2655">AM849/$AF849</f>
        <v>1</v>
      </c>
      <c r="AY849" s="9">
        <f t="shared" si="2655"/>
        <v>0.4545454545</v>
      </c>
      <c r="AZ849" s="9">
        <f>VLOOKUP(A849,Jogos!A:BN,58,0)</f>
        <v>29.5</v>
      </c>
      <c r="BA849" s="9">
        <f>VLOOKUP(A849,Jogos!A:BN,59,0)</f>
        <v>21.815</v>
      </c>
      <c r="BB849" s="9">
        <f>VLOOKUP(A849,Jogos!A:BN,60,0)</f>
        <v>62.5</v>
      </c>
      <c r="BC849" s="9">
        <f>VLOOKUP(A849,Jogos!A:BN,61,0)</f>
        <v>29.54</v>
      </c>
      <c r="BD849" s="9">
        <f>VLOOKUP(A849,Jogos!A:BN,62,0)</f>
        <v>491.25</v>
      </c>
      <c r="BE849" s="9">
        <f>VLOOKUP(A849,Jogos!A:BN,63,0)</f>
        <v>2.645</v>
      </c>
      <c r="BF849" s="9">
        <f>VLOOKUP(A849,Jogos!A:BN,64,0)</f>
        <v>24.705</v>
      </c>
      <c r="BG849" s="9">
        <f>VLOOKUP(A849,Jogos!A:BN,65,0)</f>
        <v>43.135</v>
      </c>
      <c r="BH849" s="9">
        <f>VLOOKUP(A849,Jogos!A:BN,66,0)</f>
        <v>28.87</v>
      </c>
      <c r="BI849" s="9"/>
      <c r="BJ849" s="9"/>
    </row>
    <row r="850" hidden="1">
      <c r="A850" s="17">
        <v>29.0</v>
      </c>
      <c r="B850" s="11" t="s">
        <v>809</v>
      </c>
      <c r="C850" s="2" t="s">
        <v>61</v>
      </c>
      <c r="D850" s="18">
        <v>45830.0</v>
      </c>
      <c r="E850" s="19">
        <v>0.5</v>
      </c>
      <c r="F850" s="5" t="str">
        <f>VLOOKUP(A850,Jogos!A:N,10,0)</f>
        <v>Afternoon</v>
      </c>
      <c r="G850" s="15" t="s">
        <v>500</v>
      </c>
      <c r="H850" s="6" t="str">
        <f>VLOOKUP(A850,Jogos!A:L,12,0)</f>
        <v>Open</v>
      </c>
      <c r="I850" s="6" t="str">
        <f>VLOOKUP(G850,'Estádios e Cidades'!A:B,2,0)</f>
        <v>Philadelphia</v>
      </c>
      <c r="J850" s="15" t="s">
        <v>999</v>
      </c>
      <c r="K850" s="2" t="str">
        <f>VLOOKUP(J850,Equipes!A:F,6,0)</f>
        <v>Temperate</v>
      </c>
      <c r="L850" s="2">
        <f>VLOOKUP(J850,Equipes!A:C,3,0)</f>
        <v>13</v>
      </c>
      <c r="M850" s="2" t="str">
        <f t="shared" si="4"/>
        <v>Round of 16</v>
      </c>
      <c r="N850" s="15" t="s">
        <v>811</v>
      </c>
      <c r="O850" s="2">
        <f>VLOOKUP(N850,Equipes!A:C,3,0)</f>
        <v>31</v>
      </c>
      <c r="P850" s="2" t="str">
        <f t="shared" si="5"/>
        <v>Group</v>
      </c>
      <c r="Q850" s="2">
        <f t="shared" si="6"/>
        <v>-18</v>
      </c>
      <c r="R850" s="2" t="str">
        <f>VLOOKUP(J850,Equipes!A:B,2,0)</f>
        <v>Juventus</v>
      </c>
      <c r="S850" s="6" t="s">
        <v>1192</v>
      </c>
      <c r="T850" s="7">
        <v>11.0</v>
      </c>
      <c r="U850" s="7" t="s">
        <v>1193</v>
      </c>
      <c r="V850" s="7" t="str">
        <f>VLOOKUP(U850,Jogadores!B:C,2,0)</f>
        <v>FW</v>
      </c>
      <c r="W850" s="8">
        <f>VLOOKUP(U850,Jogadores!B:D,3,0)</f>
        <v>27.32876712</v>
      </c>
      <c r="X850" s="7">
        <v>73.0</v>
      </c>
      <c r="Y850" s="7">
        <f t="shared" si="2640"/>
        <v>95</v>
      </c>
      <c r="Z850" s="7">
        <f>VLOOKUP(A850,Jogos!A:L,3,0)</f>
        <v>51</v>
      </c>
      <c r="AA850" s="7">
        <f t="shared" si="2229"/>
        <v>0</v>
      </c>
      <c r="AB850" s="7">
        <f>VLOOKUP(A850,Jogos!A:L,4,0)</f>
        <v>50</v>
      </c>
      <c r="AC850" s="7">
        <f t="shared" si="2230"/>
        <v>22</v>
      </c>
      <c r="AD850" s="7"/>
      <c r="AE850" s="7"/>
      <c r="AF850" s="7">
        <f t="shared" si="2231"/>
        <v>22</v>
      </c>
      <c r="AG850" s="7">
        <v>2275.8</v>
      </c>
      <c r="AH850" s="7">
        <v>816.9</v>
      </c>
      <c r="AI850" s="7">
        <v>878.7</v>
      </c>
      <c r="AJ850" s="7">
        <v>356.8</v>
      </c>
      <c r="AK850" s="7">
        <v>162.7</v>
      </c>
      <c r="AL850" s="7">
        <v>60.7</v>
      </c>
      <c r="AM850" s="7">
        <v>22.0</v>
      </c>
      <c r="AN850" s="7">
        <v>9.0</v>
      </c>
      <c r="AO850" s="7">
        <v>32.8</v>
      </c>
      <c r="AP850" s="9">
        <f t="shared" ref="AP850:AR850" si="2656">AG850/$AF850</f>
        <v>103.4454545</v>
      </c>
      <c r="AQ850" s="9">
        <f t="shared" si="2656"/>
        <v>37.13181818</v>
      </c>
      <c r="AR850" s="9">
        <f t="shared" si="2656"/>
        <v>39.94090909</v>
      </c>
      <c r="AS850" s="9">
        <f t="shared" si="2233"/>
        <v>77.07272727</v>
      </c>
      <c r="AT850" s="9">
        <f t="shared" ref="AT850:AV850" si="2657">AJ850/$AF850</f>
        <v>16.21818182</v>
      </c>
      <c r="AU850" s="9">
        <f t="shared" si="2657"/>
        <v>7.395454545</v>
      </c>
      <c r="AV850" s="9">
        <f t="shared" si="2657"/>
        <v>2.759090909</v>
      </c>
      <c r="AW850" s="9">
        <f t="shared" si="2235"/>
        <v>10.15454545</v>
      </c>
      <c r="AX850" s="9">
        <f t="shared" ref="AX850:AY850" si="2658">AM850/$AF850</f>
        <v>1</v>
      </c>
      <c r="AY850" s="9">
        <f t="shared" si="2658"/>
        <v>0.4090909091</v>
      </c>
      <c r="AZ850" s="9">
        <f>VLOOKUP(A850,Jogos!A:BN,58,0)</f>
        <v>29.5</v>
      </c>
      <c r="BA850" s="9">
        <f>VLOOKUP(A850,Jogos!A:BN,59,0)</f>
        <v>21.815</v>
      </c>
      <c r="BB850" s="9">
        <f>VLOOKUP(A850,Jogos!A:BN,60,0)</f>
        <v>62.5</v>
      </c>
      <c r="BC850" s="9">
        <f>VLOOKUP(A850,Jogos!A:BN,61,0)</f>
        <v>29.54</v>
      </c>
      <c r="BD850" s="9">
        <f>VLOOKUP(A850,Jogos!A:BN,62,0)</f>
        <v>491.25</v>
      </c>
      <c r="BE850" s="9">
        <f>VLOOKUP(A850,Jogos!A:BN,63,0)</f>
        <v>2.645</v>
      </c>
      <c r="BF850" s="9">
        <f>VLOOKUP(A850,Jogos!A:BN,64,0)</f>
        <v>24.705</v>
      </c>
      <c r="BG850" s="9">
        <f>VLOOKUP(A850,Jogos!A:BN,65,0)</f>
        <v>43.135</v>
      </c>
      <c r="BH850" s="9">
        <f>VLOOKUP(A850,Jogos!A:BN,66,0)</f>
        <v>28.87</v>
      </c>
      <c r="BI850" s="9"/>
      <c r="BJ850" s="9"/>
    </row>
    <row r="851" hidden="1">
      <c r="A851" s="10">
        <v>29.0</v>
      </c>
      <c r="B851" s="11" t="s">
        <v>809</v>
      </c>
      <c r="C851" s="2" t="s">
        <v>61</v>
      </c>
      <c r="D851" s="12">
        <v>45830.0</v>
      </c>
      <c r="E851" s="13">
        <v>0.5</v>
      </c>
      <c r="F851" s="5" t="str">
        <f>VLOOKUP(A851,Jogos!A:N,10,0)</f>
        <v>Afternoon</v>
      </c>
      <c r="G851" s="11" t="s">
        <v>500</v>
      </c>
      <c r="H851" s="6" t="str">
        <f>VLOOKUP(A851,Jogos!A:L,12,0)</f>
        <v>Open</v>
      </c>
      <c r="I851" s="6" t="str">
        <f>VLOOKUP(G851,'Estádios e Cidades'!A:B,2,0)</f>
        <v>Philadelphia</v>
      </c>
      <c r="J851" s="11" t="s">
        <v>811</v>
      </c>
      <c r="K851" s="2" t="str">
        <f>VLOOKUP(J851,Equipes!A:F,6,0)</f>
        <v>Temperate</v>
      </c>
      <c r="L851" s="2">
        <f>VLOOKUP(J851,Equipes!A:C,3,0)</f>
        <v>31</v>
      </c>
      <c r="M851" s="2" t="str">
        <f t="shared" si="4"/>
        <v>Group</v>
      </c>
      <c r="N851" s="11" t="s">
        <v>999</v>
      </c>
      <c r="O851" s="2">
        <f>VLOOKUP(N851,Equipes!A:C,3,0)</f>
        <v>13</v>
      </c>
      <c r="P851" s="2" t="str">
        <f t="shared" si="5"/>
        <v>Round of 16</v>
      </c>
      <c r="Q851" s="2">
        <f t="shared" si="6"/>
        <v>18</v>
      </c>
      <c r="R851" s="2" t="str">
        <f>VLOOKUP(J851,Equipes!A:B,2,0)</f>
        <v>Wydad</v>
      </c>
      <c r="S851" s="14" t="s">
        <v>842</v>
      </c>
      <c r="T851" s="7">
        <v>2.0</v>
      </c>
      <c r="U851" s="7" t="s">
        <v>843</v>
      </c>
      <c r="V851" s="7" t="str">
        <f>VLOOKUP(U851,Jogadores!B:C,2,0)</f>
        <v>DF</v>
      </c>
      <c r="W851" s="8">
        <f>VLOOKUP(U851,Jogadores!B:D,3,0)</f>
        <v>25.55890411</v>
      </c>
      <c r="X851" s="7">
        <v>0.0</v>
      </c>
      <c r="Y851" s="7">
        <f t="shared" si="2640"/>
        <v>95</v>
      </c>
      <c r="Z851" s="7">
        <f>VLOOKUP(A851,Jogos!A:L,3,0)</f>
        <v>51</v>
      </c>
      <c r="AA851" s="7">
        <f t="shared" si="2229"/>
        <v>51</v>
      </c>
      <c r="AB851" s="7">
        <f>VLOOKUP(A851,Jogos!A:L,4,0)</f>
        <v>50</v>
      </c>
      <c r="AC851" s="7">
        <f t="shared" si="2230"/>
        <v>50</v>
      </c>
      <c r="AD851" s="7"/>
      <c r="AE851" s="7"/>
      <c r="AF851" s="7">
        <f t="shared" si="2231"/>
        <v>101</v>
      </c>
      <c r="AG851" s="7">
        <v>9693.8</v>
      </c>
      <c r="AH851" s="7">
        <v>3914.9</v>
      </c>
      <c r="AI851" s="7">
        <v>3824.9</v>
      </c>
      <c r="AJ851" s="7">
        <v>1116.4</v>
      </c>
      <c r="AK851" s="7">
        <v>533.4</v>
      </c>
      <c r="AL851" s="7">
        <v>304.0</v>
      </c>
      <c r="AM851" s="7">
        <v>96.0</v>
      </c>
      <c r="AN851" s="7">
        <v>50.0</v>
      </c>
      <c r="AO851" s="7">
        <v>33.5</v>
      </c>
      <c r="AP851" s="9">
        <f t="shared" ref="AP851:AR851" si="2659">AG851/$AF851</f>
        <v>95.97821782</v>
      </c>
      <c r="AQ851" s="9">
        <f t="shared" si="2659"/>
        <v>38.76138614</v>
      </c>
      <c r="AR851" s="9">
        <f t="shared" si="2659"/>
        <v>37.87029703</v>
      </c>
      <c r="AS851" s="9">
        <f t="shared" si="2233"/>
        <v>76.63168317</v>
      </c>
      <c r="AT851" s="9">
        <f t="shared" ref="AT851:AV851" si="2660">AJ851/$AF851</f>
        <v>11.05346535</v>
      </c>
      <c r="AU851" s="9">
        <f t="shared" si="2660"/>
        <v>5.281188119</v>
      </c>
      <c r="AV851" s="9">
        <f t="shared" si="2660"/>
        <v>3.00990099</v>
      </c>
      <c r="AW851" s="9">
        <f t="shared" si="2235"/>
        <v>8.291089109</v>
      </c>
      <c r="AX851" s="9">
        <f t="shared" ref="AX851:AY851" si="2661">AM851/$AF851</f>
        <v>0.9504950495</v>
      </c>
      <c r="AY851" s="9">
        <f t="shared" si="2661"/>
        <v>0.495049505</v>
      </c>
      <c r="AZ851" s="9">
        <f>VLOOKUP(A851,Jogos!A:BN,58,0)</f>
        <v>29.5</v>
      </c>
      <c r="BA851" s="9">
        <f>VLOOKUP(A851,Jogos!A:BN,59,0)</f>
        <v>21.815</v>
      </c>
      <c r="BB851" s="9">
        <f>VLOOKUP(A851,Jogos!A:BN,60,0)</f>
        <v>62.5</v>
      </c>
      <c r="BC851" s="9">
        <f>VLOOKUP(A851,Jogos!A:BN,61,0)</f>
        <v>29.54</v>
      </c>
      <c r="BD851" s="9">
        <f>VLOOKUP(A851,Jogos!A:BN,62,0)</f>
        <v>491.25</v>
      </c>
      <c r="BE851" s="9">
        <f>VLOOKUP(A851,Jogos!A:BN,63,0)</f>
        <v>2.645</v>
      </c>
      <c r="BF851" s="9">
        <f>VLOOKUP(A851,Jogos!A:BN,64,0)</f>
        <v>24.705</v>
      </c>
      <c r="BG851" s="9">
        <f>VLOOKUP(A851,Jogos!A:BN,65,0)</f>
        <v>43.135</v>
      </c>
      <c r="BH851" s="9">
        <f>VLOOKUP(A851,Jogos!A:BN,66,0)</f>
        <v>28.87</v>
      </c>
      <c r="BI851" s="9"/>
      <c r="BJ851" s="9"/>
    </row>
    <row r="852" hidden="1">
      <c r="A852" s="10">
        <v>29.0</v>
      </c>
      <c r="B852" s="11" t="s">
        <v>809</v>
      </c>
      <c r="C852" s="2" t="s">
        <v>61</v>
      </c>
      <c r="D852" s="12">
        <v>45830.0</v>
      </c>
      <c r="E852" s="13">
        <v>0.5</v>
      </c>
      <c r="F852" s="5" t="str">
        <f>VLOOKUP(A852,Jogos!A:N,10,0)</f>
        <v>Afternoon</v>
      </c>
      <c r="G852" s="11" t="s">
        <v>500</v>
      </c>
      <c r="H852" s="6" t="str">
        <f>VLOOKUP(A852,Jogos!A:L,12,0)</f>
        <v>Open</v>
      </c>
      <c r="I852" s="6" t="str">
        <f>VLOOKUP(G852,'Estádios e Cidades'!A:B,2,0)</f>
        <v>Philadelphia</v>
      </c>
      <c r="J852" s="11" t="s">
        <v>811</v>
      </c>
      <c r="K852" s="2" t="str">
        <f>VLOOKUP(J852,Equipes!A:F,6,0)</f>
        <v>Temperate</v>
      </c>
      <c r="L852" s="2">
        <f>VLOOKUP(J852,Equipes!A:C,3,0)</f>
        <v>31</v>
      </c>
      <c r="M852" s="2" t="str">
        <f t="shared" si="4"/>
        <v>Group</v>
      </c>
      <c r="N852" s="11" t="s">
        <v>999</v>
      </c>
      <c r="O852" s="2">
        <f>VLOOKUP(N852,Equipes!A:C,3,0)</f>
        <v>13</v>
      </c>
      <c r="P852" s="2" t="str">
        <f t="shared" si="5"/>
        <v>Round of 16</v>
      </c>
      <c r="Q852" s="2">
        <f t="shared" si="6"/>
        <v>18</v>
      </c>
      <c r="R852" s="2" t="str">
        <f>VLOOKUP(J852,Equipes!A:B,2,0)</f>
        <v>Wydad</v>
      </c>
      <c r="S852" s="6" t="s">
        <v>844</v>
      </c>
      <c r="T852" s="7">
        <v>4.0</v>
      </c>
      <c r="U852" s="7" t="s">
        <v>845</v>
      </c>
      <c r="V852" s="7" t="str">
        <f>VLOOKUP(U852,Jogadores!B:C,2,0)</f>
        <v>FW</v>
      </c>
      <c r="W852" s="8">
        <f>VLOOKUP(U852,Jogadores!B:D,3,0)</f>
        <v>32.03835616</v>
      </c>
      <c r="X852" s="7">
        <v>0.0</v>
      </c>
      <c r="Y852" s="7">
        <f t="shared" si="2640"/>
        <v>95</v>
      </c>
      <c r="Z852" s="7">
        <f>VLOOKUP(A852,Jogos!A:L,3,0)</f>
        <v>51</v>
      </c>
      <c r="AA852" s="7">
        <f t="shared" si="2229"/>
        <v>51</v>
      </c>
      <c r="AB852" s="7">
        <f>VLOOKUP(A852,Jogos!A:L,4,0)</f>
        <v>50</v>
      </c>
      <c r="AC852" s="7">
        <f t="shared" si="2230"/>
        <v>50</v>
      </c>
      <c r="AD852" s="7"/>
      <c r="AE852" s="7"/>
      <c r="AF852" s="7">
        <f t="shared" si="2231"/>
        <v>101</v>
      </c>
      <c r="AG852" s="7">
        <v>10120.6</v>
      </c>
      <c r="AH852" s="7">
        <v>3426.3</v>
      </c>
      <c r="AI852" s="7">
        <v>3898.6</v>
      </c>
      <c r="AJ852" s="7">
        <v>1591.7</v>
      </c>
      <c r="AK852" s="7">
        <v>834.9</v>
      </c>
      <c r="AL852" s="7">
        <v>369.0</v>
      </c>
      <c r="AM852" s="7">
        <v>137.0</v>
      </c>
      <c r="AN852" s="7">
        <v>78.0</v>
      </c>
      <c r="AO852" s="7">
        <v>32.2</v>
      </c>
      <c r="AP852" s="9">
        <f t="shared" ref="AP852:AR852" si="2662">AG852/$AF852</f>
        <v>100.2039604</v>
      </c>
      <c r="AQ852" s="9">
        <f t="shared" si="2662"/>
        <v>33.92376238</v>
      </c>
      <c r="AR852" s="9">
        <f t="shared" si="2662"/>
        <v>38.6</v>
      </c>
      <c r="AS852" s="9">
        <f t="shared" si="2233"/>
        <v>72.52376238</v>
      </c>
      <c r="AT852" s="9">
        <f t="shared" ref="AT852:AV852" si="2663">AJ852/$AF852</f>
        <v>15.75940594</v>
      </c>
      <c r="AU852" s="9">
        <f t="shared" si="2663"/>
        <v>8.266336634</v>
      </c>
      <c r="AV852" s="9">
        <f t="shared" si="2663"/>
        <v>3.653465347</v>
      </c>
      <c r="AW852" s="9">
        <f t="shared" si="2235"/>
        <v>11.91980198</v>
      </c>
      <c r="AX852" s="9">
        <f t="shared" ref="AX852:AY852" si="2664">AM852/$AF852</f>
        <v>1.356435644</v>
      </c>
      <c r="AY852" s="9">
        <f t="shared" si="2664"/>
        <v>0.7722772277</v>
      </c>
      <c r="AZ852" s="9">
        <f>VLOOKUP(A852,Jogos!A:BN,58,0)</f>
        <v>29.5</v>
      </c>
      <c r="BA852" s="9">
        <f>VLOOKUP(A852,Jogos!A:BN,59,0)</f>
        <v>21.815</v>
      </c>
      <c r="BB852" s="9">
        <f>VLOOKUP(A852,Jogos!A:BN,60,0)</f>
        <v>62.5</v>
      </c>
      <c r="BC852" s="9">
        <f>VLOOKUP(A852,Jogos!A:BN,61,0)</f>
        <v>29.54</v>
      </c>
      <c r="BD852" s="9">
        <f>VLOOKUP(A852,Jogos!A:BN,62,0)</f>
        <v>491.25</v>
      </c>
      <c r="BE852" s="9">
        <f>VLOOKUP(A852,Jogos!A:BN,63,0)</f>
        <v>2.645</v>
      </c>
      <c r="BF852" s="9">
        <f>VLOOKUP(A852,Jogos!A:BN,64,0)</f>
        <v>24.705</v>
      </c>
      <c r="BG852" s="9">
        <f>VLOOKUP(A852,Jogos!A:BN,65,0)</f>
        <v>43.135</v>
      </c>
      <c r="BH852" s="9">
        <f>VLOOKUP(A852,Jogos!A:BN,66,0)</f>
        <v>28.87</v>
      </c>
      <c r="BI852" s="9"/>
      <c r="BJ852" s="9"/>
    </row>
    <row r="853" hidden="1">
      <c r="A853" s="10">
        <v>29.0</v>
      </c>
      <c r="B853" s="11" t="s">
        <v>809</v>
      </c>
      <c r="C853" s="2" t="s">
        <v>61</v>
      </c>
      <c r="D853" s="12">
        <v>45830.0</v>
      </c>
      <c r="E853" s="13">
        <v>0.5</v>
      </c>
      <c r="F853" s="5" t="str">
        <f>VLOOKUP(A853,Jogos!A:N,10,0)</f>
        <v>Afternoon</v>
      </c>
      <c r="G853" s="11" t="s">
        <v>500</v>
      </c>
      <c r="H853" s="6" t="str">
        <f>VLOOKUP(A853,Jogos!A:L,12,0)</f>
        <v>Open</v>
      </c>
      <c r="I853" s="6" t="str">
        <f>VLOOKUP(G853,'Estádios e Cidades'!A:B,2,0)</f>
        <v>Philadelphia</v>
      </c>
      <c r="J853" s="11" t="s">
        <v>811</v>
      </c>
      <c r="K853" s="2" t="str">
        <f>VLOOKUP(J853,Equipes!A:F,6,0)</f>
        <v>Temperate</v>
      </c>
      <c r="L853" s="2">
        <f>VLOOKUP(J853,Equipes!A:C,3,0)</f>
        <v>31</v>
      </c>
      <c r="M853" s="2" t="str">
        <f t="shared" si="4"/>
        <v>Group</v>
      </c>
      <c r="N853" s="11" t="s">
        <v>999</v>
      </c>
      <c r="O853" s="2">
        <f>VLOOKUP(N853,Equipes!A:C,3,0)</f>
        <v>13</v>
      </c>
      <c r="P853" s="2" t="str">
        <f t="shared" si="5"/>
        <v>Round of 16</v>
      </c>
      <c r="Q853" s="2">
        <f t="shared" si="6"/>
        <v>18</v>
      </c>
      <c r="R853" s="2" t="str">
        <f>VLOOKUP(J853,Equipes!A:B,2,0)</f>
        <v>Wydad</v>
      </c>
      <c r="S853" s="6" t="s">
        <v>868</v>
      </c>
      <c r="T853" s="7">
        <v>9.0</v>
      </c>
      <c r="U853" s="7" t="s">
        <v>869</v>
      </c>
      <c r="V853" s="7" t="str">
        <f>VLOOKUP(U853,Jogadores!B:C,2,0)</f>
        <v>FW</v>
      </c>
      <c r="W853" s="8">
        <f>VLOOKUP(U853,Jogadores!B:D,3,0)</f>
        <v>28.22191781</v>
      </c>
      <c r="X853" s="7">
        <v>0.0</v>
      </c>
      <c r="Y853" s="7">
        <v>45.0</v>
      </c>
      <c r="Z853" s="7">
        <f>VLOOKUP(A853,Jogos!A:L,3,0)</f>
        <v>51</v>
      </c>
      <c r="AA853" s="7">
        <f t="shared" si="2229"/>
        <v>51</v>
      </c>
      <c r="AB853" s="7">
        <f>VLOOKUP(A853,Jogos!A:L,4,0)</f>
        <v>50</v>
      </c>
      <c r="AC853" s="7">
        <f t="shared" si="2230"/>
        <v>0</v>
      </c>
      <c r="AD853" s="7"/>
      <c r="AE853" s="7"/>
      <c r="AF853" s="7">
        <f t="shared" si="2231"/>
        <v>51</v>
      </c>
      <c r="AG853" s="7">
        <v>5674.6</v>
      </c>
      <c r="AH853" s="7">
        <v>2042.5</v>
      </c>
      <c r="AI853" s="7">
        <v>2181.5</v>
      </c>
      <c r="AJ853" s="7">
        <v>809.3</v>
      </c>
      <c r="AK853" s="7">
        <v>442.8</v>
      </c>
      <c r="AL853" s="7">
        <v>198.5</v>
      </c>
      <c r="AM853" s="7">
        <v>68.0</v>
      </c>
      <c r="AN853" s="7">
        <v>36.0</v>
      </c>
      <c r="AO853" s="7">
        <v>31.5</v>
      </c>
      <c r="AP853" s="9">
        <f t="shared" ref="AP853:AR853" si="2665">AG853/$AF853</f>
        <v>111.2666667</v>
      </c>
      <c r="AQ853" s="9">
        <f t="shared" si="2665"/>
        <v>40.04901961</v>
      </c>
      <c r="AR853" s="9">
        <f t="shared" si="2665"/>
        <v>42.7745098</v>
      </c>
      <c r="AS853" s="9">
        <f t="shared" si="2233"/>
        <v>82.82352941</v>
      </c>
      <c r="AT853" s="9">
        <f t="shared" ref="AT853:AV853" si="2666">AJ853/$AF853</f>
        <v>15.86862745</v>
      </c>
      <c r="AU853" s="9">
        <f t="shared" si="2666"/>
        <v>8.682352941</v>
      </c>
      <c r="AV853" s="9">
        <f t="shared" si="2666"/>
        <v>3.892156863</v>
      </c>
      <c r="AW853" s="9">
        <f t="shared" si="2235"/>
        <v>12.5745098</v>
      </c>
      <c r="AX853" s="9">
        <f t="shared" ref="AX853:AY853" si="2667">AM853/$AF853</f>
        <v>1.333333333</v>
      </c>
      <c r="AY853" s="9">
        <f t="shared" si="2667"/>
        <v>0.7058823529</v>
      </c>
      <c r="AZ853" s="9">
        <f>VLOOKUP(A853,Jogos!A:BN,58,0)</f>
        <v>29.5</v>
      </c>
      <c r="BA853" s="9">
        <f>VLOOKUP(A853,Jogos!A:BN,59,0)</f>
        <v>21.815</v>
      </c>
      <c r="BB853" s="9">
        <f>VLOOKUP(A853,Jogos!A:BN,60,0)</f>
        <v>62.5</v>
      </c>
      <c r="BC853" s="9">
        <f>VLOOKUP(A853,Jogos!A:BN,61,0)</f>
        <v>29.54</v>
      </c>
      <c r="BD853" s="9">
        <f>VLOOKUP(A853,Jogos!A:BN,62,0)</f>
        <v>491.25</v>
      </c>
      <c r="BE853" s="9">
        <f>VLOOKUP(A853,Jogos!A:BN,63,0)</f>
        <v>2.645</v>
      </c>
      <c r="BF853" s="9">
        <f>VLOOKUP(A853,Jogos!A:BN,64,0)</f>
        <v>24.705</v>
      </c>
      <c r="BG853" s="9">
        <f>VLOOKUP(A853,Jogos!A:BN,65,0)</f>
        <v>43.135</v>
      </c>
      <c r="BH853" s="9">
        <f>VLOOKUP(A853,Jogos!A:BN,66,0)</f>
        <v>28.87</v>
      </c>
      <c r="BI853" s="9"/>
      <c r="BJ853" s="9"/>
    </row>
    <row r="854" hidden="1">
      <c r="A854" s="10">
        <v>29.0</v>
      </c>
      <c r="B854" s="11" t="s">
        <v>809</v>
      </c>
      <c r="C854" s="2" t="s">
        <v>61</v>
      </c>
      <c r="D854" s="12">
        <v>45830.0</v>
      </c>
      <c r="E854" s="13">
        <v>0.5</v>
      </c>
      <c r="F854" s="5" t="str">
        <f>VLOOKUP(A854,Jogos!A:N,10,0)</f>
        <v>Afternoon</v>
      </c>
      <c r="G854" s="11" t="s">
        <v>500</v>
      </c>
      <c r="H854" s="6" t="str">
        <f>VLOOKUP(A854,Jogos!A:L,12,0)</f>
        <v>Open</v>
      </c>
      <c r="I854" s="6" t="str">
        <f>VLOOKUP(G854,'Estádios e Cidades'!A:B,2,0)</f>
        <v>Philadelphia</v>
      </c>
      <c r="J854" s="11" t="s">
        <v>811</v>
      </c>
      <c r="K854" s="2" t="str">
        <f>VLOOKUP(J854,Equipes!A:F,6,0)</f>
        <v>Temperate</v>
      </c>
      <c r="L854" s="2">
        <f>VLOOKUP(J854,Equipes!A:C,3,0)</f>
        <v>31</v>
      </c>
      <c r="M854" s="2" t="str">
        <f t="shared" si="4"/>
        <v>Group</v>
      </c>
      <c r="N854" s="11" t="s">
        <v>999</v>
      </c>
      <c r="O854" s="2">
        <f>VLOOKUP(N854,Equipes!A:C,3,0)</f>
        <v>13</v>
      </c>
      <c r="P854" s="2" t="str">
        <f t="shared" si="5"/>
        <v>Round of 16</v>
      </c>
      <c r="Q854" s="2">
        <f t="shared" si="6"/>
        <v>18</v>
      </c>
      <c r="R854" s="2" t="str">
        <f>VLOOKUP(J854,Equipes!A:B,2,0)</f>
        <v>Wydad</v>
      </c>
      <c r="S854" s="6" t="s">
        <v>846</v>
      </c>
      <c r="T854" s="7">
        <v>11.0</v>
      </c>
      <c r="U854" s="7" t="s">
        <v>847</v>
      </c>
      <c r="V854" s="7" t="str">
        <f>VLOOKUP(U854,Jogadores!B:C,2,0)</f>
        <v>FW</v>
      </c>
      <c r="W854" s="8">
        <f>VLOOKUP(U854,Jogadores!B:D,3,0)</f>
        <v>38.35342466</v>
      </c>
      <c r="X854" s="7">
        <v>0.0</v>
      </c>
      <c r="Y854" s="7">
        <f>45+AB854</f>
        <v>95</v>
      </c>
      <c r="Z854" s="7">
        <f>VLOOKUP(A854,Jogos!A:L,3,0)</f>
        <v>51</v>
      </c>
      <c r="AA854" s="7">
        <f t="shared" si="2229"/>
        <v>51</v>
      </c>
      <c r="AB854" s="7">
        <f>VLOOKUP(A854,Jogos!A:L,4,0)</f>
        <v>50</v>
      </c>
      <c r="AC854" s="7">
        <f t="shared" si="2230"/>
        <v>50</v>
      </c>
      <c r="AD854" s="7"/>
      <c r="AE854" s="7"/>
      <c r="AF854" s="7">
        <f t="shared" si="2231"/>
        <v>101</v>
      </c>
      <c r="AG854" s="7">
        <v>9210.2</v>
      </c>
      <c r="AH854" s="7">
        <v>4403.9</v>
      </c>
      <c r="AI854" s="7">
        <v>3202.1</v>
      </c>
      <c r="AJ854" s="7">
        <v>951.7</v>
      </c>
      <c r="AK854" s="7">
        <v>409.1</v>
      </c>
      <c r="AL854" s="7">
        <v>243.5</v>
      </c>
      <c r="AM854" s="7">
        <v>86.0</v>
      </c>
      <c r="AN854" s="7">
        <v>37.0</v>
      </c>
      <c r="AO854" s="7">
        <v>32.0</v>
      </c>
      <c r="AP854" s="9">
        <f t="shared" ref="AP854:AR854" si="2668">AG854/$AF854</f>
        <v>91.19009901</v>
      </c>
      <c r="AQ854" s="9">
        <f t="shared" si="2668"/>
        <v>43.6029703</v>
      </c>
      <c r="AR854" s="9">
        <f t="shared" si="2668"/>
        <v>31.7039604</v>
      </c>
      <c r="AS854" s="9">
        <f t="shared" si="2233"/>
        <v>75.30693069</v>
      </c>
      <c r="AT854" s="9">
        <f t="shared" ref="AT854:AV854" si="2669">AJ854/$AF854</f>
        <v>9.422772277</v>
      </c>
      <c r="AU854" s="9">
        <f t="shared" si="2669"/>
        <v>4.05049505</v>
      </c>
      <c r="AV854" s="9">
        <f t="shared" si="2669"/>
        <v>2.410891089</v>
      </c>
      <c r="AW854" s="9">
        <f t="shared" si="2235"/>
        <v>6.461386139</v>
      </c>
      <c r="AX854" s="9">
        <f t="shared" ref="AX854:AY854" si="2670">AM854/$AF854</f>
        <v>0.8514851485</v>
      </c>
      <c r="AY854" s="9">
        <f t="shared" si="2670"/>
        <v>0.3663366337</v>
      </c>
      <c r="AZ854" s="9">
        <f>VLOOKUP(A854,Jogos!A:BN,58,0)</f>
        <v>29.5</v>
      </c>
      <c r="BA854" s="9">
        <f>VLOOKUP(A854,Jogos!A:BN,59,0)</f>
        <v>21.815</v>
      </c>
      <c r="BB854" s="9">
        <f>VLOOKUP(A854,Jogos!A:BN,60,0)</f>
        <v>62.5</v>
      </c>
      <c r="BC854" s="9">
        <f>VLOOKUP(A854,Jogos!A:BN,61,0)</f>
        <v>29.54</v>
      </c>
      <c r="BD854" s="9">
        <f>VLOOKUP(A854,Jogos!A:BN,62,0)</f>
        <v>491.25</v>
      </c>
      <c r="BE854" s="9">
        <f>VLOOKUP(A854,Jogos!A:BN,63,0)</f>
        <v>2.645</v>
      </c>
      <c r="BF854" s="9">
        <f>VLOOKUP(A854,Jogos!A:BN,64,0)</f>
        <v>24.705</v>
      </c>
      <c r="BG854" s="9">
        <f>VLOOKUP(A854,Jogos!A:BN,65,0)</f>
        <v>43.135</v>
      </c>
      <c r="BH854" s="9">
        <f>VLOOKUP(A854,Jogos!A:BN,66,0)</f>
        <v>28.87</v>
      </c>
      <c r="BI854" s="9"/>
      <c r="BJ854" s="9"/>
    </row>
    <row r="855" hidden="1">
      <c r="A855" s="10">
        <v>29.0</v>
      </c>
      <c r="B855" s="11" t="s">
        <v>809</v>
      </c>
      <c r="C855" s="2" t="s">
        <v>61</v>
      </c>
      <c r="D855" s="12">
        <v>45830.0</v>
      </c>
      <c r="E855" s="13">
        <v>0.5</v>
      </c>
      <c r="F855" s="5" t="str">
        <f>VLOOKUP(A855,Jogos!A:N,10,0)</f>
        <v>Afternoon</v>
      </c>
      <c r="G855" s="11" t="s">
        <v>500</v>
      </c>
      <c r="H855" s="6" t="str">
        <f>VLOOKUP(A855,Jogos!A:L,12,0)</f>
        <v>Open</v>
      </c>
      <c r="I855" s="6" t="str">
        <f>VLOOKUP(G855,'Estádios e Cidades'!A:B,2,0)</f>
        <v>Philadelphia</v>
      </c>
      <c r="J855" s="11" t="s">
        <v>811</v>
      </c>
      <c r="K855" s="2" t="str">
        <f>VLOOKUP(J855,Equipes!A:F,6,0)</f>
        <v>Temperate</v>
      </c>
      <c r="L855" s="2">
        <f>VLOOKUP(J855,Equipes!A:C,3,0)</f>
        <v>31</v>
      </c>
      <c r="M855" s="2" t="str">
        <f t="shared" si="4"/>
        <v>Group</v>
      </c>
      <c r="N855" s="11" t="s">
        <v>999</v>
      </c>
      <c r="O855" s="2">
        <f>VLOOKUP(N855,Equipes!A:C,3,0)</f>
        <v>13</v>
      </c>
      <c r="P855" s="2" t="str">
        <f t="shared" si="5"/>
        <v>Round of 16</v>
      </c>
      <c r="Q855" s="2">
        <f t="shared" si="6"/>
        <v>18</v>
      </c>
      <c r="R855" s="2" t="str">
        <f>VLOOKUP(J855,Equipes!A:B,2,0)</f>
        <v>Wydad</v>
      </c>
      <c r="S855" s="6" t="s">
        <v>848</v>
      </c>
      <c r="T855" s="7">
        <v>14.0</v>
      </c>
      <c r="U855" s="7" t="s">
        <v>849</v>
      </c>
      <c r="V855" s="7" t="str">
        <f>VLOOKUP(U855,Jogadores!B:C,2,0)</f>
        <v>DF</v>
      </c>
      <c r="W855" s="8">
        <f>VLOOKUP(U855,Jogadores!B:D,3,0)</f>
        <v>27.56712329</v>
      </c>
      <c r="X855" s="7">
        <v>0.0</v>
      </c>
      <c r="Y855" s="7">
        <v>78.0</v>
      </c>
      <c r="Z855" s="7">
        <f>VLOOKUP(A855,Jogos!A:L,3,0)</f>
        <v>51</v>
      </c>
      <c r="AA855" s="7">
        <f t="shared" si="2229"/>
        <v>51</v>
      </c>
      <c r="AB855" s="7">
        <f>VLOOKUP(A855,Jogos!A:L,4,0)</f>
        <v>50</v>
      </c>
      <c r="AC855" s="7">
        <f t="shared" si="2230"/>
        <v>33</v>
      </c>
      <c r="AD855" s="7"/>
      <c r="AE855" s="7"/>
      <c r="AF855" s="7">
        <f t="shared" si="2231"/>
        <v>84</v>
      </c>
      <c r="AG855" s="7">
        <v>7383.4</v>
      </c>
      <c r="AH855" s="7">
        <v>3261.3</v>
      </c>
      <c r="AI855" s="7">
        <v>3008.2</v>
      </c>
      <c r="AJ855" s="7">
        <v>795.6</v>
      </c>
      <c r="AK855" s="7">
        <v>249.2</v>
      </c>
      <c r="AL855" s="7">
        <v>69.1</v>
      </c>
      <c r="AM855" s="7">
        <v>71.0</v>
      </c>
      <c r="AN855" s="7">
        <v>18.0</v>
      </c>
      <c r="AO855" s="7">
        <v>30.8</v>
      </c>
      <c r="AP855" s="9">
        <f t="shared" ref="AP855:AR855" si="2671">AG855/$AF855</f>
        <v>87.89761905</v>
      </c>
      <c r="AQ855" s="9">
        <f t="shared" si="2671"/>
        <v>38.825</v>
      </c>
      <c r="AR855" s="9">
        <f t="shared" si="2671"/>
        <v>35.81190476</v>
      </c>
      <c r="AS855" s="9">
        <f t="shared" si="2233"/>
        <v>74.63690476</v>
      </c>
      <c r="AT855" s="9">
        <f t="shared" ref="AT855:AV855" si="2672">AJ855/$AF855</f>
        <v>9.471428571</v>
      </c>
      <c r="AU855" s="9">
        <f t="shared" si="2672"/>
        <v>2.966666667</v>
      </c>
      <c r="AV855" s="9">
        <f t="shared" si="2672"/>
        <v>0.8226190476</v>
      </c>
      <c r="AW855" s="9">
        <f t="shared" si="2235"/>
        <v>3.789285714</v>
      </c>
      <c r="AX855" s="9">
        <f t="shared" ref="AX855:AY855" si="2673">AM855/$AF855</f>
        <v>0.8452380952</v>
      </c>
      <c r="AY855" s="9">
        <f t="shared" si="2673"/>
        <v>0.2142857143</v>
      </c>
      <c r="AZ855" s="9">
        <f>VLOOKUP(A855,Jogos!A:BN,58,0)</f>
        <v>29.5</v>
      </c>
      <c r="BA855" s="9">
        <f>VLOOKUP(A855,Jogos!A:BN,59,0)</f>
        <v>21.815</v>
      </c>
      <c r="BB855" s="9">
        <f>VLOOKUP(A855,Jogos!A:BN,60,0)</f>
        <v>62.5</v>
      </c>
      <c r="BC855" s="9">
        <f>VLOOKUP(A855,Jogos!A:BN,61,0)</f>
        <v>29.54</v>
      </c>
      <c r="BD855" s="9">
        <f>VLOOKUP(A855,Jogos!A:BN,62,0)</f>
        <v>491.25</v>
      </c>
      <c r="BE855" s="9">
        <f>VLOOKUP(A855,Jogos!A:BN,63,0)</f>
        <v>2.645</v>
      </c>
      <c r="BF855" s="9">
        <f>VLOOKUP(A855,Jogos!A:BN,64,0)</f>
        <v>24.705</v>
      </c>
      <c r="BG855" s="9">
        <f>VLOOKUP(A855,Jogos!A:BN,65,0)</f>
        <v>43.135</v>
      </c>
      <c r="BH855" s="9">
        <f>VLOOKUP(A855,Jogos!A:BN,66,0)</f>
        <v>28.87</v>
      </c>
      <c r="BI855" s="9"/>
      <c r="BJ855" s="9"/>
    </row>
    <row r="856" hidden="1">
      <c r="A856" s="10">
        <v>29.0</v>
      </c>
      <c r="B856" s="11" t="s">
        <v>809</v>
      </c>
      <c r="C856" s="2" t="s">
        <v>61</v>
      </c>
      <c r="D856" s="12">
        <v>45830.0</v>
      </c>
      <c r="E856" s="13">
        <v>0.5</v>
      </c>
      <c r="F856" s="5" t="str">
        <f>VLOOKUP(A856,Jogos!A:N,10,0)</f>
        <v>Afternoon</v>
      </c>
      <c r="G856" s="11" t="s">
        <v>500</v>
      </c>
      <c r="H856" s="6" t="str">
        <f>VLOOKUP(A856,Jogos!A:L,12,0)</f>
        <v>Open</v>
      </c>
      <c r="I856" s="6" t="str">
        <f>VLOOKUP(G856,'Estádios e Cidades'!A:B,2,0)</f>
        <v>Philadelphia</v>
      </c>
      <c r="J856" s="11" t="s">
        <v>811</v>
      </c>
      <c r="K856" s="2" t="str">
        <f>VLOOKUP(J856,Equipes!A:F,6,0)</f>
        <v>Temperate</v>
      </c>
      <c r="L856" s="2">
        <f>VLOOKUP(J856,Equipes!A:C,3,0)</f>
        <v>31</v>
      </c>
      <c r="M856" s="2" t="str">
        <f t="shared" si="4"/>
        <v>Group</v>
      </c>
      <c r="N856" s="11" t="s">
        <v>999</v>
      </c>
      <c r="O856" s="2">
        <f>VLOOKUP(N856,Equipes!A:C,3,0)</f>
        <v>13</v>
      </c>
      <c r="P856" s="2" t="str">
        <f t="shared" si="5"/>
        <v>Round of 16</v>
      </c>
      <c r="Q856" s="2">
        <f t="shared" si="6"/>
        <v>18</v>
      </c>
      <c r="R856" s="2" t="str">
        <f>VLOOKUP(J856,Equipes!A:B,2,0)</f>
        <v>Wydad</v>
      </c>
      <c r="S856" s="6" t="s">
        <v>850</v>
      </c>
      <c r="T856" s="7">
        <v>18.0</v>
      </c>
      <c r="U856" s="7" t="s">
        <v>851</v>
      </c>
      <c r="V856" s="7" t="str">
        <f>VLOOKUP(U856,Jogadores!B:C,2,0)</f>
        <v>DF</v>
      </c>
      <c r="W856" s="8">
        <f>VLOOKUP(U856,Jogadores!B:D,3,0)</f>
        <v>29.24931507</v>
      </c>
      <c r="X856" s="7">
        <v>0.0</v>
      </c>
      <c r="Y856" s="7">
        <v>87.0</v>
      </c>
      <c r="Z856" s="7">
        <f>VLOOKUP(A856,Jogos!A:L,3,0)</f>
        <v>51</v>
      </c>
      <c r="AA856" s="7">
        <f t="shared" si="2229"/>
        <v>51</v>
      </c>
      <c r="AB856" s="7">
        <f>VLOOKUP(A856,Jogos!A:L,4,0)</f>
        <v>50</v>
      </c>
      <c r="AC856" s="7">
        <f t="shared" si="2230"/>
        <v>42</v>
      </c>
      <c r="AD856" s="7"/>
      <c r="AE856" s="7"/>
      <c r="AF856" s="7">
        <f t="shared" si="2231"/>
        <v>93</v>
      </c>
      <c r="AG856" s="7">
        <v>9415.3</v>
      </c>
      <c r="AH856" s="7">
        <v>3744.7</v>
      </c>
      <c r="AI856" s="7">
        <v>3713.5</v>
      </c>
      <c r="AJ856" s="7">
        <v>1245.5</v>
      </c>
      <c r="AK856" s="7">
        <v>533.5</v>
      </c>
      <c r="AL856" s="7">
        <v>178.2</v>
      </c>
      <c r="AM856" s="7">
        <v>108.0</v>
      </c>
      <c r="AN856" s="7">
        <v>42.0</v>
      </c>
      <c r="AO856" s="7">
        <v>29.4</v>
      </c>
      <c r="AP856" s="9">
        <f t="shared" ref="AP856:AR856" si="2674">AG856/$AF856</f>
        <v>101.2397849</v>
      </c>
      <c r="AQ856" s="9">
        <f t="shared" si="2674"/>
        <v>40.2655914</v>
      </c>
      <c r="AR856" s="9">
        <f t="shared" si="2674"/>
        <v>39.93010753</v>
      </c>
      <c r="AS856" s="9">
        <f t="shared" si="2233"/>
        <v>80.19569892</v>
      </c>
      <c r="AT856" s="9">
        <f t="shared" ref="AT856:AV856" si="2675">AJ856/$AF856</f>
        <v>13.39247312</v>
      </c>
      <c r="AU856" s="9">
        <f t="shared" si="2675"/>
        <v>5.73655914</v>
      </c>
      <c r="AV856" s="9">
        <f t="shared" si="2675"/>
        <v>1.916129032</v>
      </c>
      <c r="AW856" s="9">
        <f t="shared" si="2235"/>
        <v>7.652688172</v>
      </c>
      <c r="AX856" s="9">
        <f t="shared" ref="AX856:AY856" si="2676">AM856/$AF856</f>
        <v>1.161290323</v>
      </c>
      <c r="AY856" s="9">
        <f t="shared" si="2676"/>
        <v>0.4516129032</v>
      </c>
      <c r="AZ856" s="9">
        <f>VLOOKUP(A856,Jogos!A:BN,58,0)</f>
        <v>29.5</v>
      </c>
      <c r="BA856" s="9">
        <f>VLOOKUP(A856,Jogos!A:BN,59,0)</f>
        <v>21.815</v>
      </c>
      <c r="BB856" s="9">
        <f>VLOOKUP(A856,Jogos!A:BN,60,0)</f>
        <v>62.5</v>
      </c>
      <c r="BC856" s="9">
        <f>VLOOKUP(A856,Jogos!A:BN,61,0)</f>
        <v>29.54</v>
      </c>
      <c r="BD856" s="9">
        <f>VLOOKUP(A856,Jogos!A:BN,62,0)</f>
        <v>491.25</v>
      </c>
      <c r="BE856" s="9">
        <f>VLOOKUP(A856,Jogos!A:BN,63,0)</f>
        <v>2.645</v>
      </c>
      <c r="BF856" s="9">
        <f>VLOOKUP(A856,Jogos!A:BN,64,0)</f>
        <v>24.705</v>
      </c>
      <c r="BG856" s="9">
        <f>VLOOKUP(A856,Jogos!A:BN,65,0)</f>
        <v>43.135</v>
      </c>
      <c r="BH856" s="9">
        <f>VLOOKUP(A856,Jogos!A:BN,66,0)</f>
        <v>28.87</v>
      </c>
      <c r="BI856" s="9"/>
      <c r="BJ856" s="9"/>
    </row>
    <row r="857" hidden="1">
      <c r="A857" s="10">
        <v>29.0</v>
      </c>
      <c r="B857" s="11" t="s">
        <v>809</v>
      </c>
      <c r="C857" s="2" t="s">
        <v>61</v>
      </c>
      <c r="D857" s="12">
        <v>45830.0</v>
      </c>
      <c r="E857" s="13">
        <v>0.5</v>
      </c>
      <c r="F857" s="5" t="str">
        <f>VLOOKUP(A857,Jogos!A:N,10,0)</f>
        <v>Afternoon</v>
      </c>
      <c r="G857" s="11" t="s">
        <v>500</v>
      </c>
      <c r="H857" s="6" t="str">
        <f>VLOOKUP(A857,Jogos!A:L,12,0)</f>
        <v>Open</v>
      </c>
      <c r="I857" s="6" t="str">
        <f>VLOOKUP(G857,'Estádios e Cidades'!A:B,2,0)</f>
        <v>Philadelphia</v>
      </c>
      <c r="J857" s="11" t="s">
        <v>811</v>
      </c>
      <c r="K857" s="2" t="str">
        <f>VLOOKUP(J857,Equipes!A:F,6,0)</f>
        <v>Temperate</v>
      </c>
      <c r="L857" s="2">
        <f>VLOOKUP(J857,Equipes!A:C,3,0)</f>
        <v>31</v>
      </c>
      <c r="M857" s="2" t="str">
        <f t="shared" si="4"/>
        <v>Group</v>
      </c>
      <c r="N857" s="11" t="s">
        <v>999</v>
      </c>
      <c r="O857" s="2">
        <f>VLOOKUP(N857,Equipes!A:C,3,0)</f>
        <v>13</v>
      </c>
      <c r="P857" s="2" t="str">
        <f t="shared" si="5"/>
        <v>Round of 16</v>
      </c>
      <c r="Q857" s="2">
        <f t="shared" si="6"/>
        <v>18</v>
      </c>
      <c r="R857" s="2" t="str">
        <f>VLOOKUP(J857,Equipes!A:B,2,0)</f>
        <v>Wydad</v>
      </c>
      <c r="S857" s="6" t="s">
        <v>852</v>
      </c>
      <c r="T857" s="7">
        <v>19.0</v>
      </c>
      <c r="U857" s="7" t="s">
        <v>853</v>
      </c>
      <c r="V857" s="7" t="str">
        <f>VLOOKUP(U857,Jogadores!B:C,2,0)</f>
        <v>MF</v>
      </c>
      <c r="W857" s="8">
        <f>VLOOKUP(U857,Jogadores!B:D,3,0)</f>
        <v>24.52876712</v>
      </c>
      <c r="X857" s="7">
        <v>0.0</v>
      </c>
      <c r="Y857" s="7">
        <f>45+AB857</f>
        <v>95</v>
      </c>
      <c r="Z857" s="7">
        <f>VLOOKUP(A857,Jogos!A:L,3,0)</f>
        <v>51</v>
      </c>
      <c r="AA857" s="7">
        <f t="shared" si="2229"/>
        <v>51</v>
      </c>
      <c r="AB857" s="7">
        <f>VLOOKUP(A857,Jogos!A:L,4,0)</f>
        <v>50</v>
      </c>
      <c r="AC857" s="7">
        <f t="shared" si="2230"/>
        <v>50</v>
      </c>
      <c r="AD857" s="7"/>
      <c r="AE857" s="7"/>
      <c r="AF857" s="7">
        <f t="shared" si="2231"/>
        <v>101</v>
      </c>
      <c r="AG857" s="7">
        <v>11207.8</v>
      </c>
      <c r="AH857" s="7">
        <v>3257.8</v>
      </c>
      <c r="AI857" s="7">
        <v>4860.1</v>
      </c>
      <c r="AJ857" s="7">
        <v>2304.7</v>
      </c>
      <c r="AK857" s="7">
        <v>691.9</v>
      </c>
      <c r="AL857" s="7">
        <v>93.2</v>
      </c>
      <c r="AM857" s="7">
        <v>195.0</v>
      </c>
      <c r="AN857" s="7">
        <v>55.0</v>
      </c>
      <c r="AO857" s="7">
        <v>28.0</v>
      </c>
      <c r="AP857" s="9">
        <f t="shared" ref="AP857:AR857" si="2677">AG857/$AF857</f>
        <v>110.9683168</v>
      </c>
      <c r="AQ857" s="9">
        <f t="shared" si="2677"/>
        <v>32.25544554</v>
      </c>
      <c r="AR857" s="9">
        <f t="shared" si="2677"/>
        <v>48.11980198</v>
      </c>
      <c r="AS857" s="9">
        <f t="shared" si="2233"/>
        <v>80.37524752</v>
      </c>
      <c r="AT857" s="9">
        <f t="shared" ref="AT857:AV857" si="2678">AJ857/$AF857</f>
        <v>22.81881188</v>
      </c>
      <c r="AU857" s="9">
        <f t="shared" si="2678"/>
        <v>6.85049505</v>
      </c>
      <c r="AV857" s="9">
        <f t="shared" si="2678"/>
        <v>0.9227722772</v>
      </c>
      <c r="AW857" s="9">
        <f t="shared" si="2235"/>
        <v>7.773267327</v>
      </c>
      <c r="AX857" s="9">
        <f t="shared" ref="AX857:AY857" si="2679">AM857/$AF857</f>
        <v>1.930693069</v>
      </c>
      <c r="AY857" s="9">
        <f t="shared" si="2679"/>
        <v>0.5445544554</v>
      </c>
      <c r="AZ857" s="9">
        <f>VLOOKUP(A857,Jogos!A:BN,58,0)</f>
        <v>29.5</v>
      </c>
      <c r="BA857" s="9">
        <f>VLOOKUP(A857,Jogos!A:BN,59,0)</f>
        <v>21.815</v>
      </c>
      <c r="BB857" s="9">
        <f>VLOOKUP(A857,Jogos!A:BN,60,0)</f>
        <v>62.5</v>
      </c>
      <c r="BC857" s="9">
        <f>VLOOKUP(A857,Jogos!A:BN,61,0)</f>
        <v>29.54</v>
      </c>
      <c r="BD857" s="9">
        <f>VLOOKUP(A857,Jogos!A:BN,62,0)</f>
        <v>491.25</v>
      </c>
      <c r="BE857" s="9">
        <f>VLOOKUP(A857,Jogos!A:BN,63,0)</f>
        <v>2.645</v>
      </c>
      <c r="BF857" s="9">
        <f>VLOOKUP(A857,Jogos!A:BN,64,0)</f>
        <v>24.705</v>
      </c>
      <c r="BG857" s="9">
        <f>VLOOKUP(A857,Jogos!A:BN,65,0)</f>
        <v>43.135</v>
      </c>
      <c r="BH857" s="9">
        <f>VLOOKUP(A857,Jogos!A:BN,66,0)</f>
        <v>28.87</v>
      </c>
      <c r="BI857" s="9"/>
      <c r="BJ857" s="9"/>
    </row>
    <row r="858" hidden="1">
      <c r="A858" s="10">
        <v>29.0</v>
      </c>
      <c r="B858" s="11" t="s">
        <v>809</v>
      </c>
      <c r="C858" s="2" t="s">
        <v>61</v>
      </c>
      <c r="D858" s="12">
        <v>45830.0</v>
      </c>
      <c r="E858" s="13">
        <v>0.5</v>
      </c>
      <c r="F858" s="5" t="str">
        <f>VLOOKUP(A858,Jogos!A:N,10,0)</f>
        <v>Afternoon</v>
      </c>
      <c r="G858" s="11" t="s">
        <v>500</v>
      </c>
      <c r="H858" s="6" t="str">
        <f>VLOOKUP(A858,Jogos!A:L,12,0)</f>
        <v>Open</v>
      </c>
      <c r="I858" s="6" t="str">
        <f>VLOOKUP(G858,'Estádios e Cidades'!A:B,2,0)</f>
        <v>Philadelphia</v>
      </c>
      <c r="J858" s="11" t="s">
        <v>811</v>
      </c>
      <c r="K858" s="2" t="str">
        <f>VLOOKUP(J858,Equipes!A:F,6,0)</f>
        <v>Temperate</v>
      </c>
      <c r="L858" s="2">
        <f>VLOOKUP(J858,Equipes!A:C,3,0)</f>
        <v>31</v>
      </c>
      <c r="M858" s="2" t="str">
        <f t="shared" si="4"/>
        <v>Group</v>
      </c>
      <c r="N858" s="11" t="s">
        <v>999</v>
      </c>
      <c r="O858" s="2">
        <f>VLOOKUP(N858,Equipes!A:C,3,0)</f>
        <v>13</v>
      </c>
      <c r="P858" s="2" t="str">
        <f t="shared" si="5"/>
        <v>Round of 16</v>
      </c>
      <c r="Q858" s="2">
        <f t="shared" si="6"/>
        <v>18</v>
      </c>
      <c r="R858" s="2" t="str">
        <f>VLOOKUP(J858,Equipes!A:B,2,0)</f>
        <v>Wydad</v>
      </c>
      <c r="S858" s="6" t="s">
        <v>856</v>
      </c>
      <c r="T858" s="7">
        <v>22.0</v>
      </c>
      <c r="U858" s="7" t="s">
        <v>857</v>
      </c>
      <c r="V858" s="7" t="str">
        <f>VLOOKUP(U858,Jogadores!B:C,2,0)</f>
        <v>DF</v>
      </c>
      <c r="W858" s="8">
        <f>VLOOKUP(U858,Jogadores!B:D,3,0)</f>
        <v>28.56438356</v>
      </c>
      <c r="X858" s="7">
        <v>0.0</v>
      </c>
      <c r="Y858" s="7">
        <v>45.0</v>
      </c>
      <c r="Z858" s="7">
        <f>VLOOKUP(A858,Jogos!A:L,3,0)</f>
        <v>51</v>
      </c>
      <c r="AA858" s="7">
        <f t="shared" si="2229"/>
        <v>51</v>
      </c>
      <c r="AB858" s="7">
        <f>VLOOKUP(A858,Jogos!A:L,4,0)</f>
        <v>50</v>
      </c>
      <c r="AC858" s="7">
        <f t="shared" si="2230"/>
        <v>0</v>
      </c>
      <c r="AD858" s="7"/>
      <c r="AE858" s="7"/>
      <c r="AF858" s="7">
        <f t="shared" si="2231"/>
        <v>51</v>
      </c>
      <c r="AG858" s="7">
        <v>5388.3</v>
      </c>
      <c r="AH858" s="7">
        <v>2109.9</v>
      </c>
      <c r="AI858" s="7">
        <v>2416.0</v>
      </c>
      <c r="AJ858" s="7">
        <v>549.2</v>
      </c>
      <c r="AK858" s="7">
        <v>250.4</v>
      </c>
      <c r="AL858" s="7">
        <v>62.9</v>
      </c>
      <c r="AM858" s="7">
        <v>41.0</v>
      </c>
      <c r="AN858" s="7">
        <v>21.0</v>
      </c>
      <c r="AO858" s="7">
        <v>29.0</v>
      </c>
      <c r="AP858" s="9">
        <f t="shared" ref="AP858:AR858" si="2680">AG858/$AF858</f>
        <v>105.6529412</v>
      </c>
      <c r="AQ858" s="9">
        <f t="shared" si="2680"/>
        <v>41.37058824</v>
      </c>
      <c r="AR858" s="9">
        <f t="shared" si="2680"/>
        <v>47.37254902</v>
      </c>
      <c r="AS858" s="9">
        <f t="shared" si="2233"/>
        <v>88.74313725</v>
      </c>
      <c r="AT858" s="9">
        <f t="shared" ref="AT858:AV858" si="2681">AJ858/$AF858</f>
        <v>10.76862745</v>
      </c>
      <c r="AU858" s="9">
        <f t="shared" si="2681"/>
        <v>4.909803922</v>
      </c>
      <c r="AV858" s="9">
        <f t="shared" si="2681"/>
        <v>1.233333333</v>
      </c>
      <c r="AW858" s="9">
        <f t="shared" si="2235"/>
        <v>6.143137255</v>
      </c>
      <c r="AX858" s="9">
        <f t="shared" ref="AX858:AY858" si="2682">AM858/$AF858</f>
        <v>0.8039215686</v>
      </c>
      <c r="AY858" s="9">
        <f t="shared" si="2682"/>
        <v>0.4117647059</v>
      </c>
      <c r="AZ858" s="9">
        <f>VLOOKUP(A858,Jogos!A:BN,58,0)</f>
        <v>29.5</v>
      </c>
      <c r="BA858" s="9">
        <f>VLOOKUP(A858,Jogos!A:BN,59,0)</f>
        <v>21.815</v>
      </c>
      <c r="BB858" s="9">
        <f>VLOOKUP(A858,Jogos!A:BN,60,0)</f>
        <v>62.5</v>
      </c>
      <c r="BC858" s="9">
        <f>VLOOKUP(A858,Jogos!A:BN,61,0)</f>
        <v>29.54</v>
      </c>
      <c r="BD858" s="9">
        <f>VLOOKUP(A858,Jogos!A:BN,62,0)</f>
        <v>491.25</v>
      </c>
      <c r="BE858" s="9">
        <f>VLOOKUP(A858,Jogos!A:BN,63,0)</f>
        <v>2.645</v>
      </c>
      <c r="BF858" s="9">
        <f>VLOOKUP(A858,Jogos!A:BN,64,0)</f>
        <v>24.705</v>
      </c>
      <c r="BG858" s="9">
        <f>VLOOKUP(A858,Jogos!A:BN,65,0)</f>
        <v>43.135</v>
      </c>
      <c r="BH858" s="9">
        <f>VLOOKUP(A858,Jogos!A:BN,66,0)</f>
        <v>28.87</v>
      </c>
      <c r="BI858" s="9"/>
      <c r="BJ858" s="9"/>
    </row>
    <row r="859" hidden="1">
      <c r="A859" s="10">
        <v>29.0</v>
      </c>
      <c r="B859" s="11" t="s">
        <v>809</v>
      </c>
      <c r="C859" s="2" t="s">
        <v>61</v>
      </c>
      <c r="D859" s="12">
        <v>45830.0</v>
      </c>
      <c r="E859" s="13">
        <v>0.5</v>
      </c>
      <c r="F859" s="5" t="str">
        <f>VLOOKUP(A859,Jogos!A:N,10,0)</f>
        <v>Afternoon</v>
      </c>
      <c r="G859" s="11" t="s">
        <v>500</v>
      </c>
      <c r="H859" s="6" t="str">
        <f>VLOOKUP(A859,Jogos!A:L,12,0)</f>
        <v>Open</v>
      </c>
      <c r="I859" s="6" t="str">
        <f>VLOOKUP(G859,'Estádios e Cidades'!A:B,2,0)</f>
        <v>Philadelphia</v>
      </c>
      <c r="J859" s="11" t="s">
        <v>811</v>
      </c>
      <c r="K859" s="2" t="str">
        <f>VLOOKUP(J859,Equipes!A:F,6,0)</f>
        <v>Temperate</v>
      </c>
      <c r="L859" s="2">
        <f>VLOOKUP(J859,Equipes!A:C,3,0)</f>
        <v>31</v>
      </c>
      <c r="M859" s="2" t="str">
        <f t="shared" si="4"/>
        <v>Group</v>
      </c>
      <c r="N859" s="11" t="s">
        <v>999</v>
      </c>
      <c r="O859" s="2">
        <f>VLOOKUP(N859,Equipes!A:C,3,0)</f>
        <v>13</v>
      </c>
      <c r="P859" s="2" t="str">
        <f t="shared" si="5"/>
        <v>Round of 16</v>
      </c>
      <c r="Q859" s="2">
        <f t="shared" si="6"/>
        <v>18</v>
      </c>
      <c r="R859" s="2" t="str">
        <f>VLOOKUP(J859,Equipes!A:B,2,0)</f>
        <v>Wydad</v>
      </c>
      <c r="S859" s="6" t="s">
        <v>858</v>
      </c>
      <c r="T859" s="7">
        <v>23.0</v>
      </c>
      <c r="U859" s="7" t="s">
        <v>859</v>
      </c>
      <c r="V859" s="7" t="str">
        <f>VLOOKUP(U859,Jogadores!B:C,2,0)</f>
        <v>MF</v>
      </c>
      <c r="W859" s="8">
        <f>VLOOKUP(U859,Jogadores!B:D,3,0)</f>
        <v>23.42465753</v>
      </c>
      <c r="X859" s="7">
        <v>0.0</v>
      </c>
      <c r="Y859" s="7">
        <v>78.0</v>
      </c>
      <c r="Z859" s="7">
        <f>VLOOKUP(A859,Jogos!A:L,3,0)</f>
        <v>51</v>
      </c>
      <c r="AA859" s="7">
        <f t="shared" si="2229"/>
        <v>51</v>
      </c>
      <c r="AB859" s="7">
        <f>VLOOKUP(A859,Jogos!A:L,4,0)</f>
        <v>50</v>
      </c>
      <c r="AC859" s="7">
        <f t="shared" si="2230"/>
        <v>33</v>
      </c>
      <c r="AD859" s="7"/>
      <c r="AE859" s="7"/>
      <c r="AF859" s="7">
        <f t="shared" si="2231"/>
        <v>84</v>
      </c>
      <c r="AG859" s="7">
        <v>9255.9</v>
      </c>
      <c r="AH859" s="7">
        <v>2750.0</v>
      </c>
      <c r="AI859" s="7">
        <v>4464.8</v>
      </c>
      <c r="AJ859" s="7">
        <v>1372.7</v>
      </c>
      <c r="AK859" s="7">
        <v>500.8</v>
      </c>
      <c r="AL859" s="7">
        <v>167.6</v>
      </c>
      <c r="AM859" s="7">
        <v>117.0</v>
      </c>
      <c r="AN859" s="7">
        <v>41.0</v>
      </c>
      <c r="AO859" s="7">
        <v>30.7</v>
      </c>
      <c r="AP859" s="9">
        <f t="shared" ref="AP859:AR859" si="2683">AG859/$AF859</f>
        <v>110.1892857</v>
      </c>
      <c r="AQ859" s="9">
        <f t="shared" si="2683"/>
        <v>32.73809524</v>
      </c>
      <c r="AR859" s="9">
        <f t="shared" si="2683"/>
        <v>53.15238095</v>
      </c>
      <c r="AS859" s="9">
        <f t="shared" si="2233"/>
        <v>85.89047619</v>
      </c>
      <c r="AT859" s="9">
        <f t="shared" ref="AT859:AV859" si="2684">AJ859/$AF859</f>
        <v>16.34166667</v>
      </c>
      <c r="AU859" s="9">
        <f t="shared" si="2684"/>
        <v>5.961904762</v>
      </c>
      <c r="AV859" s="9">
        <f t="shared" si="2684"/>
        <v>1.995238095</v>
      </c>
      <c r="AW859" s="9">
        <f t="shared" si="2235"/>
        <v>7.957142857</v>
      </c>
      <c r="AX859" s="9">
        <f t="shared" ref="AX859:AY859" si="2685">AM859/$AF859</f>
        <v>1.392857143</v>
      </c>
      <c r="AY859" s="9">
        <f t="shared" si="2685"/>
        <v>0.4880952381</v>
      </c>
      <c r="AZ859" s="9">
        <f>VLOOKUP(A859,Jogos!A:BN,58,0)</f>
        <v>29.5</v>
      </c>
      <c r="BA859" s="9">
        <f>VLOOKUP(A859,Jogos!A:BN,59,0)</f>
        <v>21.815</v>
      </c>
      <c r="BB859" s="9">
        <f>VLOOKUP(A859,Jogos!A:BN,60,0)</f>
        <v>62.5</v>
      </c>
      <c r="BC859" s="9">
        <f>VLOOKUP(A859,Jogos!A:BN,61,0)</f>
        <v>29.54</v>
      </c>
      <c r="BD859" s="9">
        <f>VLOOKUP(A859,Jogos!A:BN,62,0)</f>
        <v>491.25</v>
      </c>
      <c r="BE859" s="9">
        <f>VLOOKUP(A859,Jogos!A:BN,63,0)</f>
        <v>2.645</v>
      </c>
      <c r="BF859" s="9">
        <f>VLOOKUP(A859,Jogos!A:BN,64,0)</f>
        <v>24.705</v>
      </c>
      <c r="BG859" s="9">
        <f>VLOOKUP(A859,Jogos!A:BN,65,0)</f>
        <v>43.135</v>
      </c>
      <c r="BH859" s="9">
        <f>VLOOKUP(A859,Jogos!A:BN,66,0)</f>
        <v>28.87</v>
      </c>
      <c r="BI859" s="9"/>
      <c r="BJ859" s="9"/>
    </row>
    <row r="860" hidden="1">
      <c r="A860" s="10">
        <v>29.0</v>
      </c>
      <c r="B860" s="11" t="s">
        <v>809</v>
      </c>
      <c r="C860" s="2" t="s">
        <v>61</v>
      </c>
      <c r="D860" s="12">
        <v>45830.0</v>
      </c>
      <c r="E860" s="13">
        <v>0.5</v>
      </c>
      <c r="F860" s="5" t="str">
        <f>VLOOKUP(A860,Jogos!A:N,10,0)</f>
        <v>Afternoon</v>
      </c>
      <c r="G860" s="11" t="s">
        <v>500</v>
      </c>
      <c r="H860" s="6" t="str">
        <f>VLOOKUP(A860,Jogos!A:L,12,0)</f>
        <v>Open</v>
      </c>
      <c r="I860" s="6" t="str">
        <f>VLOOKUP(G860,'Estádios e Cidades'!A:B,2,0)</f>
        <v>Philadelphia</v>
      </c>
      <c r="J860" s="11" t="s">
        <v>811</v>
      </c>
      <c r="K860" s="2" t="str">
        <f>VLOOKUP(J860,Equipes!A:F,6,0)</f>
        <v>Temperate</v>
      </c>
      <c r="L860" s="2">
        <f>VLOOKUP(J860,Equipes!A:C,3,0)</f>
        <v>31</v>
      </c>
      <c r="M860" s="2" t="str">
        <f t="shared" si="4"/>
        <v>Group</v>
      </c>
      <c r="N860" s="11" t="s">
        <v>999</v>
      </c>
      <c r="O860" s="2">
        <f>VLOOKUP(N860,Equipes!A:C,3,0)</f>
        <v>13</v>
      </c>
      <c r="P860" s="2" t="str">
        <f t="shared" si="5"/>
        <v>Round of 16</v>
      </c>
      <c r="Q860" s="2">
        <f t="shared" si="6"/>
        <v>18</v>
      </c>
      <c r="R860" s="2" t="str">
        <f>VLOOKUP(J860,Equipes!A:B,2,0)</f>
        <v>Wydad</v>
      </c>
      <c r="S860" s="6" t="s">
        <v>860</v>
      </c>
      <c r="T860" s="7">
        <v>72.0</v>
      </c>
      <c r="U860" s="7" t="s">
        <v>861</v>
      </c>
      <c r="V860" s="7" t="str">
        <f>VLOOKUP(U860,Jogadores!B:C,2,0)</f>
        <v>DF</v>
      </c>
      <c r="W860" s="8">
        <f>VLOOKUP(U860,Jogadores!B:D,3,0)</f>
        <v>25.67123288</v>
      </c>
      <c r="X860" s="7">
        <v>0.0</v>
      </c>
      <c r="Y860" s="7">
        <f t="shared" ref="Y860:Y865" si="2689">45+AB860</f>
        <v>95</v>
      </c>
      <c r="Z860" s="7">
        <f>VLOOKUP(A860,Jogos!A:L,3,0)</f>
        <v>51</v>
      </c>
      <c r="AA860" s="7">
        <f t="shared" si="2229"/>
        <v>51</v>
      </c>
      <c r="AB860" s="7">
        <f>VLOOKUP(A860,Jogos!A:L,4,0)</f>
        <v>50</v>
      </c>
      <c r="AC860" s="7">
        <f t="shared" si="2230"/>
        <v>50</v>
      </c>
      <c r="AD860" s="7"/>
      <c r="AE860" s="7"/>
      <c r="AF860" s="7">
        <f t="shared" si="2231"/>
        <v>101</v>
      </c>
      <c r="AG860" s="7">
        <v>9309.2</v>
      </c>
      <c r="AH860" s="7">
        <v>4354.7</v>
      </c>
      <c r="AI860" s="7">
        <v>3634.9</v>
      </c>
      <c r="AJ860" s="7">
        <v>990.6</v>
      </c>
      <c r="AK860" s="7">
        <v>256.8</v>
      </c>
      <c r="AL860" s="7">
        <v>72.2</v>
      </c>
      <c r="AM860" s="7">
        <v>94.0</v>
      </c>
      <c r="AN860" s="7">
        <v>26.0</v>
      </c>
      <c r="AO860" s="7">
        <v>30.1</v>
      </c>
      <c r="AP860" s="9">
        <f t="shared" ref="AP860:AR860" si="2686">AG860/$AF860</f>
        <v>92.17029703</v>
      </c>
      <c r="AQ860" s="9">
        <f t="shared" si="2686"/>
        <v>43.11584158</v>
      </c>
      <c r="AR860" s="9">
        <f t="shared" si="2686"/>
        <v>35.98910891</v>
      </c>
      <c r="AS860" s="9">
        <f t="shared" si="2233"/>
        <v>79.1049505</v>
      </c>
      <c r="AT860" s="9">
        <f t="shared" ref="AT860:AV860" si="2687">AJ860/$AF860</f>
        <v>9.807920792</v>
      </c>
      <c r="AU860" s="9">
        <f t="shared" si="2687"/>
        <v>2.542574257</v>
      </c>
      <c r="AV860" s="9">
        <f t="shared" si="2687"/>
        <v>0.7148514851</v>
      </c>
      <c r="AW860" s="9">
        <f t="shared" si="2235"/>
        <v>3.257425743</v>
      </c>
      <c r="AX860" s="9">
        <f t="shared" ref="AX860:AY860" si="2688">AM860/$AF860</f>
        <v>0.9306930693</v>
      </c>
      <c r="AY860" s="9">
        <f t="shared" si="2688"/>
        <v>0.2574257426</v>
      </c>
      <c r="AZ860" s="9">
        <f>VLOOKUP(A860,Jogos!A:BN,58,0)</f>
        <v>29.5</v>
      </c>
      <c r="BA860" s="9">
        <f>VLOOKUP(A860,Jogos!A:BN,59,0)</f>
        <v>21.815</v>
      </c>
      <c r="BB860" s="9">
        <f>VLOOKUP(A860,Jogos!A:BN,60,0)</f>
        <v>62.5</v>
      </c>
      <c r="BC860" s="9">
        <f>VLOOKUP(A860,Jogos!A:BN,61,0)</f>
        <v>29.54</v>
      </c>
      <c r="BD860" s="9">
        <f>VLOOKUP(A860,Jogos!A:BN,62,0)</f>
        <v>491.25</v>
      </c>
      <c r="BE860" s="9">
        <f>VLOOKUP(A860,Jogos!A:BN,63,0)</f>
        <v>2.645</v>
      </c>
      <c r="BF860" s="9">
        <f>VLOOKUP(A860,Jogos!A:BN,64,0)</f>
        <v>24.705</v>
      </c>
      <c r="BG860" s="9">
        <f>VLOOKUP(A860,Jogos!A:BN,65,0)</f>
        <v>43.135</v>
      </c>
      <c r="BH860" s="9">
        <f>VLOOKUP(A860,Jogos!A:BN,66,0)</f>
        <v>28.87</v>
      </c>
      <c r="BI860" s="9"/>
      <c r="BJ860" s="9"/>
    </row>
    <row r="861" hidden="1">
      <c r="A861" s="10">
        <v>29.0</v>
      </c>
      <c r="B861" s="11" t="s">
        <v>809</v>
      </c>
      <c r="C861" s="2" t="s">
        <v>61</v>
      </c>
      <c r="D861" s="12">
        <v>45830.0</v>
      </c>
      <c r="E861" s="13">
        <v>0.5</v>
      </c>
      <c r="F861" s="5" t="str">
        <f>VLOOKUP(A861,Jogos!A:N,10,0)</f>
        <v>Afternoon</v>
      </c>
      <c r="G861" s="11" t="s">
        <v>500</v>
      </c>
      <c r="H861" s="6" t="str">
        <f>VLOOKUP(A861,Jogos!A:L,12,0)</f>
        <v>Open</v>
      </c>
      <c r="I861" s="6" t="str">
        <f>VLOOKUP(G861,'Estádios e Cidades'!A:B,2,0)</f>
        <v>Philadelphia</v>
      </c>
      <c r="J861" s="11" t="s">
        <v>811</v>
      </c>
      <c r="K861" s="2" t="str">
        <f>VLOOKUP(J861,Equipes!A:F,6,0)</f>
        <v>Temperate</v>
      </c>
      <c r="L861" s="2">
        <f>VLOOKUP(J861,Equipes!A:C,3,0)</f>
        <v>31</v>
      </c>
      <c r="M861" s="2" t="str">
        <f t="shared" si="4"/>
        <v>Group</v>
      </c>
      <c r="N861" s="11" t="s">
        <v>999</v>
      </c>
      <c r="O861" s="2">
        <f>VLOOKUP(N861,Equipes!A:C,3,0)</f>
        <v>13</v>
      </c>
      <c r="P861" s="2" t="str">
        <f t="shared" si="5"/>
        <v>Round of 16</v>
      </c>
      <c r="Q861" s="2">
        <f t="shared" si="6"/>
        <v>18</v>
      </c>
      <c r="R861" s="2" t="str">
        <f>VLOOKUP(J861,Equipes!A:B,2,0)</f>
        <v>Wydad</v>
      </c>
      <c r="S861" s="6" t="s">
        <v>1194</v>
      </c>
      <c r="T861" s="7">
        <v>16.0</v>
      </c>
      <c r="U861" s="7" t="s">
        <v>1195</v>
      </c>
      <c r="V861" s="7" t="str">
        <f>VLOOKUP(U861,Jogadores!B:C,2,0)</f>
        <v>DF</v>
      </c>
      <c r="W861" s="8">
        <f>VLOOKUP(U861,Jogadores!B:D,3,0)</f>
        <v>29.69589041</v>
      </c>
      <c r="X861" s="7">
        <v>78.0</v>
      </c>
      <c r="Y861" s="7">
        <f t="shared" si="2689"/>
        <v>95</v>
      </c>
      <c r="Z861" s="7">
        <f>VLOOKUP(A861,Jogos!A:L,3,0)</f>
        <v>51</v>
      </c>
      <c r="AA861" s="7">
        <f t="shared" si="2229"/>
        <v>0</v>
      </c>
      <c r="AB861" s="7">
        <f>VLOOKUP(A861,Jogos!A:L,4,0)</f>
        <v>50</v>
      </c>
      <c r="AC861" s="7">
        <f t="shared" si="2230"/>
        <v>17</v>
      </c>
      <c r="AD861" s="7"/>
      <c r="AE861" s="7"/>
      <c r="AF861" s="7">
        <f t="shared" si="2231"/>
        <v>17</v>
      </c>
      <c r="AG861" s="7">
        <v>1800.5</v>
      </c>
      <c r="AH861" s="7">
        <v>652.0</v>
      </c>
      <c r="AI861" s="7">
        <v>617.4</v>
      </c>
      <c r="AJ861" s="7">
        <v>347.4</v>
      </c>
      <c r="AK861" s="7">
        <v>154.2</v>
      </c>
      <c r="AL861" s="7">
        <v>29.6</v>
      </c>
      <c r="AM861" s="7">
        <v>30.0</v>
      </c>
      <c r="AN861" s="7">
        <v>14.0</v>
      </c>
      <c r="AO861" s="7">
        <v>30.6</v>
      </c>
      <c r="AP861" s="9">
        <f t="shared" ref="AP861:AR861" si="2690">AG861/$AF861</f>
        <v>105.9117647</v>
      </c>
      <c r="AQ861" s="9">
        <f t="shared" si="2690"/>
        <v>38.35294118</v>
      </c>
      <c r="AR861" s="9">
        <f t="shared" si="2690"/>
        <v>36.31764706</v>
      </c>
      <c r="AS861" s="9">
        <f t="shared" si="2233"/>
        <v>74.67058824</v>
      </c>
      <c r="AT861" s="9">
        <f t="shared" ref="AT861:AV861" si="2691">AJ861/$AF861</f>
        <v>20.43529412</v>
      </c>
      <c r="AU861" s="9">
        <f t="shared" si="2691"/>
        <v>9.070588235</v>
      </c>
      <c r="AV861" s="9">
        <f t="shared" si="2691"/>
        <v>1.741176471</v>
      </c>
      <c r="AW861" s="9">
        <f t="shared" si="2235"/>
        <v>10.81176471</v>
      </c>
      <c r="AX861" s="9">
        <f t="shared" ref="AX861:AY861" si="2692">AM861/$AF861</f>
        <v>1.764705882</v>
      </c>
      <c r="AY861" s="9">
        <f t="shared" si="2692"/>
        <v>0.8235294118</v>
      </c>
      <c r="AZ861" s="9">
        <f>VLOOKUP(A861,Jogos!A:BN,58,0)</f>
        <v>29.5</v>
      </c>
      <c r="BA861" s="9">
        <f>VLOOKUP(A861,Jogos!A:BN,59,0)</f>
        <v>21.815</v>
      </c>
      <c r="BB861" s="9">
        <f>VLOOKUP(A861,Jogos!A:BN,60,0)</f>
        <v>62.5</v>
      </c>
      <c r="BC861" s="9">
        <f>VLOOKUP(A861,Jogos!A:BN,61,0)</f>
        <v>29.54</v>
      </c>
      <c r="BD861" s="9">
        <f>VLOOKUP(A861,Jogos!A:BN,62,0)</f>
        <v>491.25</v>
      </c>
      <c r="BE861" s="9">
        <f>VLOOKUP(A861,Jogos!A:BN,63,0)</f>
        <v>2.645</v>
      </c>
      <c r="BF861" s="9">
        <f>VLOOKUP(A861,Jogos!A:BN,64,0)</f>
        <v>24.705</v>
      </c>
      <c r="BG861" s="9">
        <f>VLOOKUP(A861,Jogos!A:BN,65,0)</f>
        <v>43.135</v>
      </c>
      <c r="BH861" s="9">
        <f>VLOOKUP(A861,Jogos!A:BN,66,0)</f>
        <v>28.87</v>
      </c>
      <c r="BI861" s="9"/>
      <c r="BJ861" s="9"/>
    </row>
    <row r="862" hidden="1">
      <c r="A862" s="10">
        <v>29.0</v>
      </c>
      <c r="B862" s="11" t="s">
        <v>809</v>
      </c>
      <c r="C862" s="2" t="s">
        <v>61</v>
      </c>
      <c r="D862" s="12">
        <v>45830.0</v>
      </c>
      <c r="E862" s="13">
        <v>0.5</v>
      </c>
      <c r="F862" s="5" t="str">
        <f>VLOOKUP(A862,Jogos!A:N,10,0)</f>
        <v>Afternoon</v>
      </c>
      <c r="G862" s="11" t="s">
        <v>500</v>
      </c>
      <c r="H862" s="6" t="str">
        <f>VLOOKUP(A862,Jogos!A:L,12,0)</f>
        <v>Open</v>
      </c>
      <c r="I862" s="6" t="str">
        <f>VLOOKUP(G862,'Estádios e Cidades'!A:B,2,0)</f>
        <v>Philadelphia</v>
      </c>
      <c r="J862" s="11" t="s">
        <v>811</v>
      </c>
      <c r="K862" s="2" t="str">
        <f>VLOOKUP(J862,Equipes!A:F,6,0)</f>
        <v>Temperate</v>
      </c>
      <c r="L862" s="2">
        <f>VLOOKUP(J862,Equipes!A:C,3,0)</f>
        <v>31</v>
      </c>
      <c r="M862" s="2" t="str">
        <f t="shared" si="4"/>
        <v>Group</v>
      </c>
      <c r="N862" s="11" t="s">
        <v>999</v>
      </c>
      <c r="O862" s="2">
        <f>VLOOKUP(N862,Equipes!A:C,3,0)</f>
        <v>13</v>
      </c>
      <c r="P862" s="2" t="str">
        <f t="shared" si="5"/>
        <v>Round of 16</v>
      </c>
      <c r="Q862" s="2">
        <f t="shared" si="6"/>
        <v>18</v>
      </c>
      <c r="R862" s="2" t="str">
        <f>VLOOKUP(J862,Equipes!A:B,2,0)</f>
        <v>Wydad</v>
      </c>
      <c r="S862" s="6" t="s">
        <v>854</v>
      </c>
      <c r="T862" s="7">
        <v>21.0</v>
      </c>
      <c r="U862" s="7" t="s">
        <v>855</v>
      </c>
      <c r="V862" s="7" t="str">
        <f>VLOOKUP(U862,Jogadores!B:C,2,0)</f>
        <v>FW</v>
      </c>
      <c r="W862" s="8">
        <f>VLOOKUP(U862,Jogadores!B:D,3,0)</f>
        <v>24.14246575</v>
      </c>
      <c r="X862" s="7">
        <v>78.0</v>
      </c>
      <c r="Y862" s="7">
        <f t="shared" si="2689"/>
        <v>95</v>
      </c>
      <c r="Z862" s="7">
        <f>VLOOKUP(A862,Jogos!A:L,3,0)</f>
        <v>51</v>
      </c>
      <c r="AA862" s="7">
        <f t="shared" si="2229"/>
        <v>0</v>
      </c>
      <c r="AB862" s="7">
        <f>VLOOKUP(A862,Jogos!A:L,4,0)</f>
        <v>50</v>
      </c>
      <c r="AC862" s="7">
        <f t="shared" si="2230"/>
        <v>17</v>
      </c>
      <c r="AD862" s="7"/>
      <c r="AE862" s="7"/>
      <c r="AF862" s="7">
        <f t="shared" si="2231"/>
        <v>17</v>
      </c>
      <c r="AG862" s="7">
        <v>1998.8</v>
      </c>
      <c r="AH862" s="7">
        <v>579.0</v>
      </c>
      <c r="AI862" s="7">
        <v>886.2</v>
      </c>
      <c r="AJ862" s="7">
        <v>363.2</v>
      </c>
      <c r="AK862" s="7">
        <v>148.1</v>
      </c>
      <c r="AL862" s="7">
        <v>22.3</v>
      </c>
      <c r="AM862" s="7">
        <v>38.0</v>
      </c>
      <c r="AN862" s="7">
        <v>11.0</v>
      </c>
      <c r="AO862" s="7">
        <v>25.9</v>
      </c>
      <c r="AP862" s="9">
        <f t="shared" ref="AP862:AR862" si="2693">AG862/$AF862</f>
        <v>117.5764706</v>
      </c>
      <c r="AQ862" s="9">
        <f t="shared" si="2693"/>
        <v>34.05882353</v>
      </c>
      <c r="AR862" s="9">
        <f t="shared" si="2693"/>
        <v>52.12941176</v>
      </c>
      <c r="AS862" s="9">
        <f t="shared" si="2233"/>
        <v>86.18823529</v>
      </c>
      <c r="AT862" s="9">
        <f t="shared" ref="AT862:AV862" si="2694">AJ862/$AF862</f>
        <v>21.36470588</v>
      </c>
      <c r="AU862" s="9">
        <f t="shared" si="2694"/>
        <v>8.711764706</v>
      </c>
      <c r="AV862" s="9">
        <f t="shared" si="2694"/>
        <v>1.311764706</v>
      </c>
      <c r="AW862" s="9">
        <f t="shared" si="2235"/>
        <v>10.02352941</v>
      </c>
      <c r="AX862" s="9">
        <f t="shared" ref="AX862:AY862" si="2695">AM862/$AF862</f>
        <v>2.235294118</v>
      </c>
      <c r="AY862" s="9">
        <f t="shared" si="2695"/>
        <v>0.6470588235</v>
      </c>
      <c r="AZ862" s="9">
        <f>VLOOKUP(A862,Jogos!A:BN,58,0)</f>
        <v>29.5</v>
      </c>
      <c r="BA862" s="9">
        <f>VLOOKUP(A862,Jogos!A:BN,59,0)</f>
        <v>21.815</v>
      </c>
      <c r="BB862" s="9">
        <f>VLOOKUP(A862,Jogos!A:BN,60,0)</f>
        <v>62.5</v>
      </c>
      <c r="BC862" s="9">
        <f>VLOOKUP(A862,Jogos!A:BN,61,0)</f>
        <v>29.54</v>
      </c>
      <c r="BD862" s="9">
        <f>VLOOKUP(A862,Jogos!A:BN,62,0)</f>
        <v>491.25</v>
      </c>
      <c r="BE862" s="9">
        <f>VLOOKUP(A862,Jogos!A:BN,63,0)</f>
        <v>2.645</v>
      </c>
      <c r="BF862" s="9">
        <f>VLOOKUP(A862,Jogos!A:BN,64,0)</f>
        <v>24.705</v>
      </c>
      <c r="BG862" s="9">
        <f>VLOOKUP(A862,Jogos!A:BN,65,0)</f>
        <v>43.135</v>
      </c>
      <c r="BH862" s="9">
        <f>VLOOKUP(A862,Jogos!A:BN,66,0)</f>
        <v>28.87</v>
      </c>
      <c r="BI862" s="9"/>
      <c r="BJ862" s="9"/>
    </row>
    <row r="863" hidden="1">
      <c r="A863" s="10">
        <v>29.0</v>
      </c>
      <c r="B863" s="11" t="s">
        <v>809</v>
      </c>
      <c r="C863" s="2" t="s">
        <v>61</v>
      </c>
      <c r="D863" s="12">
        <v>45830.0</v>
      </c>
      <c r="E863" s="13">
        <v>0.5</v>
      </c>
      <c r="F863" s="5" t="str">
        <f>VLOOKUP(A863,Jogos!A:N,10,0)</f>
        <v>Afternoon</v>
      </c>
      <c r="G863" s="11" t="s">
        <v>500</v>
      </c>
      <c r="H863" s="6" t="str">
        <f>VLOOKUP(A863,Jogos!A:L,12,0)</f>
        <v>Open</v>
      </c>
      <c r="I863" s="6" t="str">
        <f>VLOOKUP(G863,'Estádios e Cidades'!A:B,2,0)</f>
        <v>Philadelphia</v>
      </c>
      <c r="J863" s="11" t="s">
        <v>811</v>
      </c>
      <c r="K863" s="2" t="str">
        <f>VLOOKUP(J863,Equipes!A:F,6,0)</f>
        <v>Temperate</v>
      </c>
      <c r="L863" s="2">
        <f>VLOOKUP(J863,Equipes!A:C,3,0)</f>
        <v>31</v>
      </c>
      <c r="M863" s="2" t="str">
        <f t="shared" si="4"/>
        <v>Group</v>
      </c>
      <c r="N863" s="11" t="s">
        <v>999</v>
      </c>
      <c r="O863" s="2">
        <f>VLOOKUP(N863,Equipes!A:C,3,0)</f>
        <v>13</v>
      </c>
      <c r="P863" s="2" t="str">
        <f t="shared" si="5"/>
        <v>Round of 16</v>
      </c>
      <c r="Q863" s="2">
        <f t="shared" si="6"/>
        <v>18</v>
      </c>
      <c r="R863" s="2" t="str">
        <f>VLOOKUP(J863,Equipes!A:B,2,0)</f>
        <v>Wydad</v>
      </c>
      <c r="S863" s="6" t="s">
        <v>870</v>
      </c>
      <c r="T863" s="7">
        <v>25.0</v>
      </c>
      <c r="U863" s="7" t="s">
        <v>871</v>
      </c>
      <c r="V863" s="7" t="str">
        <f>VLOOKUP(U863,Jogadores!B:C,2,0)</f>
        <v>MF</v>
      </c>
      <c r="W863" s="8">
        <f>VLOOKUP(U863,Jogadores!B:D,3,0)</f>
        <v>29.38630137</v>
      </c>
      <c r="X863" s="7">
        <v>87.0</v>
      </c>
      <c r="Y863" s="7">
        <f t="shared" si="2689"/>
        <v>95</v>
      </c>
      <c r="Z863" s="7">
        <f>VLOOKUP(A863,Jogos!A:L,3,0)</f>
        <v>51</v>
      </c>
      <c r="AA863" s="7">
        <f t="shared" si="2229"/>
        <v>0</v>
      </c>
      <c r="AB863" s="7">
        <f>VLOOKUP(A863,Jogos!A:L,4,0)</f>
        <v>50</v>
      </c>
      <c r="AC863" s="7">
        <f t="shared" si="2230"/>
        <v>8</v>
      </c>
      <c r="AD863" s="7"/>
      <c r="AE863" s="7"/>
      <c r="AF863" s="7">
        <f t="shared" si="2231"/>
        <v>8</v>
      </c>
      <c r="AG863" s="7">
        <v>940.6</v>
      </c>
      <c r="AH863" s="7">
        <v>296.8</v>
      </c>
      <c r="AI863" s="7">
        <v>428.5</v>
      </c>
      <c r="AJ863" s="7">
        <v>139.5</v>
      </c>
      <c r="AK863" s="7">
        <v>53.7</v>
      </c>
      <c r="AL863" s="7">
        <v>22.0</v>
      </c>
      <c r="AM863" s="7">
        <v>13.0</v>
      </c>
      <c r="AN863" s="7">
        <v>5.0</v>
      </c>
      <c r="AO863" s="7">
        <v>28.1</v>
      </c>
      <c r="AP863" s="9">
        <f t="shared" ref="AP863:AR863" si="2696">AG863/$AF863</f>
        <v>117.575</v>
      </c>
      <c r="AQ863" s="9">
        <f t="shared" si="2696"/>
        <v>37.1</v>
      </c>
      <c r="AR863" s="9">
        <f t="shared" si="2696"/>
        <v>53.5625</v>
      </c>
      <c r="AS863" s="9">
        <f t="shared" si="2233"/>
        <v>90.6625</v>
      </c>
      <c r="AT863" s="9">
        <f t="shared" ref="AT863:AV863" si="2697">AJ863/$AF863</f>
        <v>17.4375</v>
      </c>
      <c r="AU863" s="9">
        <f t="shared" si="2697"/>
        <v>6.7125</v>
      </c>
      <c r="AV863" s="9">
        <f t="shared" si="2697"/>
        <v>2.75</v>
      </c>
      <c r="AW863" s="9">
        <f t="shared" si="2235"/>
        <v>9.4625</v>
      </c>
      <c r="AX863" s="9">
        <f t="shared" ref="AX863:AY863" si="2698">AM863/$AF863</f>
        <v>1.625</v>
      </c>
      <c r="AY863" s="9">
        <f t="shared" si="2698"/>
        <v>0.625</v>
      </c>
      <c r="AZ863" s="9">
        <f>VLOOKUP(A863,Jogos!A:BN,58,0)</f>
        <v>29.5</v>
      </c>
      <c r="BA863" s="9">
        <f>VLOOKUP(A863,Jogos!A:BN,59,0)</f>
        <v>21.815</v>
      </c>
      <c r="BB863" s="9">
        <f>VLOOKUP(A863,Jogos!A:BN,60,0)</f>
        <v>62.5</v>
      </c>
      <c r="BC863" s="9">
        <f>VLOOKUP(A863,Jogos!A:BN,61,0)</f>
        <v>29.54</v>
      </c>
      <c r="BD863" s="9">
        <f>VLOOKUP(A863,Jogos!A:BN,62,0)</f>
        <v>491.25</v>
      </c>
      <c r="BE863" s="9">
        <f>VLOOKUP(A863,Jogos!A:BN,63,0)</f>
        <v>2.645</v>
      </c>
      <c r="BF863" s="9">
        <f>VLOOKUP(A863,Jogos!A:BN,64,0)</f>
        <v>24.705</v>
      </c>
      <c r="BG863" s="9">
        <f>VLOOKUP(A863,Jogos!A:BN,65,0)</f>
        <v>43.135</v>
      </c>
      <c r="BH863" s="9">
        <f>VLOOKUP(A863,Jogos!A:BN,66,0)</f>
        <v>28.87</v>
      </c>
      <c r="BI863" s="9"/>
      <c r="BJ863" s="9"/>
    </row>
    <row r="864" hidden="1">
      <c r="A864" s="10">
        <v>29.0</v>
      </c>
      <c r="B864" s="11" t="s">
        <v>809</v>
      </c>
      <c r="C864" s="2" t="s">
        <v>61</v>
      </c>
      <c r="D864" s="12">
        <v>45830.0</v>
      </c>
      <c r="E864" s="13">
        <v>0.5</v>
      </c>
      <c r="F864" s="5" t="str">
        <f>VLOOKUP(A864,Jogos!A:N,10,0)</f>
        <v>Afternoon</v>
      </c>
      <c r="G864" s="11" t="s">
        <v>500</v>
      </c>
      <c r="H864" s="6" t="str">
        <f>VLOOKUP(A864,Jogos!A:L,12,0)</f>
        <v>Open</v>
      </c>
      <c r="I864" s="6" t="str">
        <f>VLOOKUP(G864,'Estádios e Cidades'!A:B,2,0)</f>
        <v>Philadelphia</v>
      </c>
      <c r="J864" s="11" t="s">
        <v>811</v>
      </c>
      <c r="K864" s="2" t="str">
        <f>VLOOKUP(J864,Equipes!A:F,6,0)</f>
        <v>Temperate</v>
      </c>
      <c r="L864" s="2">
        <f>VLOOKUP(J864,Equipes!A:C,3,0)</f>
        <v>31</v>
      </c>
      <c r="M864" s="2" t="str">
        <f t="shared" si="4"/>
        <v>Group</v>
      </c>
      <c r="N864" s="11" t="s">
        <v>999</v>
      </c>
      <c r="O864" s="2">
        <f>VLOOKUP(N864,Equipes!A:C,3,0)</f>
        <v>13</v>
      </c>
      <c r="P864" s="2" t="str">
        <f t="shared" si="5"/>
        <v>Round of 16</v>
      </c>
      <c r="Q864" s="2">
        <f t="shared" si="6"/>
        <v>18</v>
      </c>
      <c r="R864" s="2" t="str">
        <f>VLOOKUP(J864,Equipes!A:B,2,0)</f>
        <v>Wydad</v>
      </c>
      <c r="S864" s="6" t="s">
        <v>1196</v>
      </c>
      <c r="T864" s="7">
        <v>26.0</v>
      </c>
      <c r="U864" s="7" t="s">
        <v>1197</v>
      </c>
      <c r="V864" s="7" t="str">
        <f>VLOOKUP(U864,Jogadores!B:C,2,0)</f>
        <v>FW</v>
      </c>
      <c r="W864" s="8">
        <f>VLOOKUP(U864,Jogadores!B:D,3,0)</f>
        <v>26.66027397</v>
      </c>
      <c r="X864" s="7">
        <v>45.0</v>
      </c>
      <c r="Y864" s="7">
        <f t="shared" si="2689"/>
        <v>95</v>
      </c>
      <c r="Z864" s="7">
        <f>VLOOKUP(A864,Jogos!A:L,3,0)</f>
        <v>51</v>
      </c>
      <c r="AA864" s="7">
        <f t="shared" si="2229"/>
        <v>0</v>
      </c>
      <c r="AB864" s="7">
        <f>VLOOKUP(A864,Jogos!A:L,4,0)</f>
        <v>50</v>
      </c>
      <c r="AC864" s="7">
        <f t="shared" si="2230"/>
        <v>50</v>
      </c>
      <c r="AD864" s="7"/>
      <c r="AE864" s="7"/>
      <c r="AF864" s="7">
        <f t="shared" si="2231"/>
        <v>50</v>
      </c>
      <c r="AG864" s="7">
        <v>5281.0</v>
      </c>
      <c r="AH864" s="7">
        <v>1806.1</v>
      </c>
      <c r="AI864" s="7">
        <v>1858.6</v>
      </c>
      <c r="AJ864" s="7">
        <v>686.2</v>
      </c>
      <c r="AK864" s="7">
        <v>653.4</v>
      </c>
      <c r="AL864" s="7">
        <v>276.8</v>
      </c>
      <c r="AM864" s="7">
        <v>64.0</v>
      </c>
      <c r="AN864" s="7">
        <v>46.0</v>
      </c>
      <c r="AO864" s="7">
        <v>32.9</v>
      </c>
      <c r="AP864" s="9">
        <f t="shared" ref="AP864:AR864" si="2699">AG864/$AF864</f>
        <v>105.62</v>
      </c>
      <c r="AQ864" s="9">
        <f t="shared" si="2699"/>
        <v>36.122</v>
      </c>
      <c r="AR864" s="9">
        <f t="shared" si="2699"/>
        <v>37.172</v>
      </c>
      <c r="AS864" s="9">
        <f t="shared" si="2233"/>
        <v>73.294</v>
      </c>
      <c r="AT864" s="9">
        <f t="shared" ref="AT864:AV864" si="2700">AJ864/$AF864</f>
        <v>13.724</v>
      </c>
      <c r="AU864" s="9">
        <f t="shared" si="2700"/>
        <v>13.068</v>
      </c>
      <c r="AV864" s="9">
        <f t="shared" si="2700"/>
        <v>5.536</v>
      </c>
      <c r="AW864" s="9">
        <f t="shared" si="2235"/>
        <v>18.604</v>
      </c>
      <c r="AX864" s="9">
        <f t="shared" ref="AX864:AY864" si="2701">AM864/$AF864</f>
        <v>1.28</v>
      </c>
      <c r="AY864" s="9">
        <f t="shared" si="2701"/>
        <v>0.92</v>
      </c>
      <c r="AZ864" s="9">
        <f>VLOOKUP(A864,Jogos!A:BN,58,0)</f>
        <v>29.5</v>
      </c>
      <c r="BA864" s="9">
        <f>VLOOKUP(A864,Jogos!A:BN,59,0)</f>
        <v>21.815</v>
      </c>
      <c r="BB864" s="9">
        <f>VLOOKUP(A864,Jogos!A:BN,60,0)</f>
        <v>62.5</v>
      </c>
      <c r="BC864" s="9">
        <f>VLOOKUP(A864,Jogos!A:BN,61,0)</f>
        <v>29.54</v>
      </c>
      <c r="BD864" s="9">
        <f>VLOOKUP(A864,Jogos!A:BN,62,0)</f>
        <v>491.25</v>
      </c>
      <c r="BE864" s="9">
        <f>VLOOKUP(A864,Jogos!A:BN,63,0)</f>
        <v>2.645</v>
      </c>
      <c r="BF864" s="9">
        <f>VLOOKUP(A864,Jogos!A:BN,64,0)</f>
        <v>24.705</v>
      </c>
      <c r="BG864" s="9">
        <f>VLOOKUP(A864,Jogos!A:BN,65,0)</f>
        <v>43.135</v>
      </c>
      <c r="BH864" s="9">
        <f>VLOOKUP(A864,Jogos!A:BN,66,0)</f>
        <v>28.87</v>
      </c>
      <c r="BI864" s="9"/>
      <c r="BJ864" s="9"/>
    </row>
    <row r="865" hidden="1">
      <c r="A865" s="10">
        <v>29.0</v>
      </c>
      <c r="B865" s="11" t="s">
        <v>809</v>
      </c>
      <c r="C865" s="2" t="s">
        <v>61</v>
      </c>
      <c r="D865" s="12">
        <v>45830.0</v>
      </c>
      <c r="E865" s="13">
        <v>0.5</v>
      </c>
      <c r="F865" s="5" t="str">
        <f>VLOOKUP(A865,Jogos!A:N,10,0)</f>
        <v>Afternoon</v>
      </c>
      <c r="G865" s="11" t="s">
        <v>500</v>
      </c>
      <c r="H865" s="6" t="str">
        <f>VLOOKUP(A865,Jogos!A:L,12,0)</f>
        <v>Open</v>
      </c>
      <c r="I865" s="6" t="str">
        <f>VLOOKUP(G865,'Estádios e Cidades'!A:B,2,0)</f>
        <v>Philadelphia</v>
      </c>
      <c r="J865" s="11" t="s">
        <v>811</v>
      </c>
      <c r="K865" s="2" t="str">
        <f>VLOOKUP(J865,Equipes!A:F,6,0)</f>
        <v>Temperate</v>
      </c>
      <c r="L865" s="2">
        <f>VLOOKUP(J865,Equipes!A:C,3,0)</f>
        <v>31</v>
      </c>
      <c r="M865" s="2" t="str">
        <f t="shared" si="4"/>
        <v>Group</v>
      </c>
      <c r="N865" s="11" t="s">
        <v>999</v>
      </c>
      <c r="O865" s="2">
        <f>VLOOKUP(N865,Equipes!A:C,3,0)</f>
        <v>13</v>
      </c>
      <c r="P865" s="2" t="str">
        <f t="shared" si="5"/>
        <v>Round of 16</v>
      </c>
      <c r="Q865" s="2">
        <f t="shared" si="6"/>
        <v>18</v>
      </c>
      <c r="R865" s="2" t="str">
        <f>VLOOKUP(J865,Equipes!A:B,2,0)</f>
        <v>Wydad</v>
      </c>
      <c r="S865" s="6" t="s">
        <v>1198</v>
      </c>
      <c r="T865" s="7">
        <v>99.0</v>
      </c>
      <c r="U865" s="7" t="s">
        <v>1199</v>
      </c>
      <c r="V865" s="7" t="str">
        <f>VLOOKUP(U865,Jogadores!B:C,2,0)</f>
        <v>FW</v>
      </c>
      <c r="W865" s="8">
        <f>VLOOKUP(U865,Jogadores!B:D,3,0)</f>
        <v>36.37260274</v>
      </c>
      <c r="X865" s="7">
        <v>45.0</v>
      </c>
      <c r="Y865" s="7">
        <f t="shared" si="2689"/>
        <v>95</v>
      </c>
      <c r="Z865" s="7">
        <f>VLOOKUP(A865,Jogos!A:L,3,0)</f>
        <v>51</v>
      </c>
      <c r="AA865" s="7">
        <f t="shared" si="2229"/>
        <v>0</v>
      </c>
      <c r="AB865" s="7">
        <f>VLOOKUP(A865,Jogos!A:L,4,0)</f>
        <v>50</v>
      </c>
      <c r="AC865" s="7">
        <f t="shared" si="2230"/>
        <v>50</v>
      </c>
      <c r="AD865" s="7"/>
      <c r="AE865" s="7"/>
      <c r="AF865" s="7">
        <f t="shared" si="2231"/>
        <v>50</v>
      </c>
      <c r="AG865" s="7">
        <v>4633.3</v>
      </c>
      <c r="AH865" s="7">
        <v>1881.8</v>
      </c>
      <c r="AI865" s="7">
        <v>1788.7</v>
      </c>
      <c r="AJ865" s="7">
        <v>625.0</v>
      </c>
      <c r="AK865" s="7">
        <v>278.6</v>
      </c>
      <c r="AL865" s="7">
        <v>59.2</v>
      </c>
      <c r="AM865" s="7">
        <v>61.0</v>
      </c>
      <c r="AN865" s="7">
        <v>19.0</v>
      </c>
      <c r="AO865" s="7">
        <v>28.3</v>
      </c>
      <c r="AP865" s="9">
        <f t="shared" ref="AP865:AR865" si="2702">AG865/$AF865</f>
        <v>92.666</v>
      </c>
      <c r="AQ865" s="9">
        <f t="shared" si="2702"/>
        <v>37.636</v>
      </c>
      <c r="AR865" s="9">
        <f t="shared" si="2702"/>
        <v>35.774</v>
      </c>
      <c r="AS865" s="9">
        <f t="shared" si="2233"/>
        <v>73.41</v>
      </c>
      <c r="AT865" s="9">
        <f t="shared" ref="AT865:AV865" si="2703">AJ865/$AF865</f>
        <v>12.5</v>
      </c>
      <c r="AU865" s="9">
        <f t="shared" si="2703"/>
        <v>5.572</v>
      </c>
      <c r="AV865" s="9">
        <f t="shared" si="2703"/>
        <v>1.184</v>
      </c>
      <c r="AW865" s="9">
        <f t="shared" si="2235"/>
        <v>6.756</v>
      </c>
      <c r="AX865" s="9">
        <f t="shared" ref="AX865:AY865" si="2704">AM865/$AF865</f>
        <v>1.22</v>
      </c>
      <c r="AY865" s="9">
        <f t="shared" si="2704"/>
        <v>0.38</v>
      </c>
      <c r="AZ865" s="9">
        <f>VLOOKUP(A865,Jogos!A:BN,58,0)</f>
        <v>29.5</v>
      </c>
      <c r="BA865" s="9">
        <f>VLOOKUP(A865,Jogos!A:BN,59,0)</f>
        <v>21.815</v>
      </c>
      <c r="BB865" s="9">
        <f>VLOOKUP(A865,Jogos!A:BN,60,0)</f>
        <v>62.5</v>
      </c>
      <c r="BC865" s="9">
        <f>VLOOKUP(A865,Jogos!A:BN,61,0)</f>
        <v>29.54</v>
      </c>
      <c r="BD865" s="9">
        <f>VLOOKUP(A865,Jogos!A:BN,62,0)</f>
        <v>491.25</v>
      </c>
      <c r="BE865" s="9">
        <f>VLOOKUP(A865,Jogos!A:BN,63,0)</f>
        <v>2.645</v>
      </c>
      <c r="BF865" s="9">
        <f>VLOOKUP(A865,Jogos!A:BN,64,0)</f>
        <v>24.705</v>
      </c>
      <c r="BG865" s="9">
        <f>VLOOKUP(A865,Jogos!A:BN,65,0)</f>
        <v>43.135</v>
      </c>
      <c r="BH865" s="9">
        <f>VLOOKUP(A865,Jogos!A:BN,66,0)</f>
        <v>28.87</v>
      </c>
      <c r="BI865" s="9"/>
      <c r="BJ865" s="9"/>
    </row>
    <row r="866" hidden="1">
      <c r="A866" s="2">
        <v>30.0</v>
      </c>
      <c r="B866" s="11" t="s">
        <v>872</v>
      </c>
      <c r="C866" s="2" t="s">
        <v>61</v>
      </c>
      <c r="D866" s="3">
        <v>45830.0</v>
      </c>
      <c r="E866" s="4">
        <v>0.625</v>
      </c>
      <c r="F866" s="5" t="str">
        <f>VLOOKUP(A866,Jogos!A:N,10,0)</f>
        <v>Afternoon</v>
      </c>
      <c r="G866" s="2" t="s">
        <v>1200</v>
      </c>
      <c r="H866" s="6" t="str">
        <f>VLOOKUP(A866,Jogos!A:L,12,0)</f>
        <v>Open</v>
      </c>
      <c r="I866" s="6" t="str">
        <f>VLOOKUP(G866,'Estádios e Cidades'!A:B,2,0)</f>
        <v>Charlotte</v>
      </c>
      <c r="J866" s="2" t="s">
        <v>873</v>
      </c>
      <c r="K866" s="2" t="str">
        <f>VLOOKUP(J866,Equipes!A:F,6,0)</f>
        <v>Temperate</v>
      </c>
      <c r="L866" s="2">
        <f>VLOOKUP(J866,Equipes!A:C,3,0)</f>
        <v>3</v>
      </c>
      <c r="M866" s="2" t="str">
        <f t="shared" si="4"/>
        <v>Semi-final</v>
      </c>
      <c r="N866" s="2" t="s">
        <v>935</v>
      </c>
      <c r="O866" s="2">
        <f>VLOOKUP(N866,Equipes!A:C,3,0)</f>
        <v>30</v>
      </c>
      <c r="P866" s="2" t="str">
        <f t="shared" si="5"/>
        <v>Group</v>
      </c>
      <c r="Q866" s="2">
        <f t="shared" si="6"/>
        <v>-27</v>
      </c>
      <c r="R866" s="2" t="str">
        <f>VLOOKUP(J866,Equipes!A:B,2,0)</f>
        <v>Real</v>
      </c>
      <c r="S866" s="6" t="s">
        <v>875</v>
      </c>
      <c r="T866" s="7">
        <v>5.0</v>
      </c>
      <c r="U866" s="7" t="s">
        <v>876</v>
      </c>
      <c r="V866" s="7" t="str">
        <f>VLOOKUP(U866,Jogadores!B:C,2,0)</f>
        <v>MF</v>
      </c>
      <c r="W866" s="8">
        <f>VLOOKUP(U866,Jogadores!B:D,3,0)</f>
        <v>22.09589041</v>
      </c>
      <c r="X866" s="7">
        <v>0.0</v>
      </c>
      <c r="Y866" s="7">
        <v>60.0</v>
      </c>
      <c r="Z866" s="7">
        <f>VLOOKUP(A866,Jogos!A:L,3,0)</f>
        <v>49</v>
      </c>
      <c r="AA866" s="7">
        <f t="shared" si="2229"/>
        <v>49</v>
      </c>
      <c r="AB866" s="7">
        <f>VLOOKUP(A866,Jogos!A:L,4,0)</f>
        <v>52</v>
      </c>
      <c r="AC866" s="7">
        <f t="shared" si="2230"/>
        <v>15</v>
      </c>
      <c r="AD866" s="7"/>
      <c r="AE866" s="7"/>
      <c r="AF866" s="7">
        <f t="shared" si="2231"/>
        <v>64</v>
      </c>
      <c r="AG866" s="7">
        <v>7028.5</v>
      </c>
      <c r="AH866" s="7">
        <v>3130.0</v>
      </c>
      <c r="AI866" s="7">
        <v>2461.3</v>
      </c>
      <c r="AJ866" s="7">
        <v>969.1</v>
      </c>
      <c r="AK866" s="7">
        <v>299.3</v>
      </c>
      <c r="AL866" s="7">
        <v>168.9</v>
      </c>
      <c r="AM866" s="7">
        <v>78.0</v>
      </c>
      <c r="AN866" s="7">
        <v>26.0</v>
      </c>
      <c r="AO866" s="7">
        <v>31.3</v>
      </c>
      <c r="AP866" s="9">
        <f t="shared" ref="AP866:AR866" si="2705">AG866/$AF866</f>
        <v>109.8203125</v>
      </c>
      <c r="AQ866" s="9">
        <f t="shared" si="2705"/>
        <v>48.90625</v>
      </c>
      <c r="AR866" s="9">
        <f t="shared" si="2705"/>
        <v>38.4578125</v>
      </c>
      <c r="AS866" s="9">
        <f t="shared" si="2233"/>
        <v>87.3640625</v>
      </c>
      <c r="AT866" s="9">
        <f t="shared" ref="AT866:AV866" si="2706">AJ866/$AF866</f>
        <v>15.1421875</v>
      </c>
      <c r="AU866" s="9">
        <f t="shared" si="2706"/>
        <v>4.6765625</v>
      </c>
      <c r="AV866" s="9">
        <f t="shared" si="2706"/>
        <v>2.6390625</v>
      </c>
      <c r="AW866" s="9">
        <f t="shared" si="2235"/>
        <v>7.315625</v>
      </c>
      <c r="AX866" s="9">
        <f t="shared" ref="AX866:AY866" si="2707">AM866/$AF866</f>
        <v>1.21875</v>
      </c>
      <c r="AY866" s="9">
        <f t="shared" si="2707"/>
        <v>0.40625</v>
      </c>
      <c r="AZ866" s="9">
        <f>VLOOKUP(A866,Jogos!A:BN,58,0)</f>
        <v>34.76</v>
      </c>
      <c r="BA866" s="9">
        <f>VLOOKUP(A866,Jogos!A:BN,59,0)</f>
        <v>17.815</v>
      </c>
      <c r="BB866" s="9">
        <f>VLOOKUP(A866,Jogos!A:BN,60,0)</f>
        <v>36</v>
      </c>
      <c r="BC866" s="9">
        <f>VLOOKUP(A866,Jogos!A:BN,61,0)</f>
        <v>39.115</v>
      </c>
      <c r="BD866" s="9">
        <f>VLOOKUP(A866,Jogos!A:BN,62,0)</f>
        <v>509.5</v>
      </c>
      <c r="BE866" s="9">
        <f>VLOOKUP(A866,Jogos!A:BN,63,0)</f>
        <v>0.26</v>
      </c>
      <c r="BF866" s="9">
        <f>VLOOKUP(A866,Jogos!A:BN,64,0)</f>
        <v>25.44</v>
      </c>
      <c r="BG866" s="9">
        <f>VLOOKUP(A866,Jogos!A:BN,65,0)</f>
        <v>50.57</v>
      </c>
      <c r="BH866" s="9">
        <f>VLOOKUP(A866,Jogos!A:BN,66,0)</f>
        <v>31.395</v>
      </c>
      <c r="BI866" s="9"/>
      <c r="BJ866" s="9"/>
    </row>
    <row r="867" hidden="1">
      <c r="A867" s="2">
        <v>30.0</v>
      </c>
      <c r="B867" s="11" t="s">
        <v>872</v>
      </c>
      <c r="C867" s="2" t="s">
        <v>61</v>
      </c>
      <c r="D867" s="3">
        <v>45830.0</v>
      </c>
      <c r="E867" s="4">
        <v>0.625</v>
      </c>
      <c r="F867" s="5" t="str">
        <f>VLOOKUP(A867,Jogos!A:N,10,0)</f>
        <v>Afternoon</v>
      </c>
      <c r="G867" s="2" t="s">
        <v>1200</v>
      </c>
      <c r="H867" s="6" t="str">
        <f>VLOOKUP(A867,Jogos!A:L,12,0)</f>
        <v>Open</v>
      </c>
      <c r="I867" s="6" t="str">
        <f>VLOOKUP(G867,'Estádios e Cidades'!A:B,2,0)</f>
        <v>Charlotte</v>
      </c>
      <c r="J867" s="2" t="s">
        <v>873</v>
      </c>
      <c r="K867" s="2" t="str">
        <f>VLOOKUP(J867,Equipes!A:F,6,0)</f>
        <v>Temperate</v>
      </c>
      <c r="L867" s="2">
        <f>VLOOKUP(J867,Equipes!A:C,3,0)</f>
        <v>3</v>
      </c>
      <c r="M867" s="2" t="str">
        <f t="shared" si="4"/>
        <v>Semi-final</v>
      </c>
      <c r="N867" s="2" t="s">
        <v>935</v>
      </c>
      <c r="O867" s="2">
        <f>VLOOKUP(N867,Equipes!A:C,3,0)</f>
        <v>30</v>
      </c>
      <c r="P867" s="2" t="str">
        <f t="shared" si="5"/>
        <v>Group</v>
      </c>
      <c r="Q867" s="2">
        <f t="shared" si="6"/>
        <v>-27</v>
      </c>
      <c r="R867" s="2" t="str">
        <f>VLOOKUP(J867,Equipes!A:B,2,0)</f>
        <v>Real</v>
      </c>
      <c r="S867" s="6" t="s">
        <v>877</v>
      </c>
      <c r="T867" s="7">
        <v>7.0</v>
      </c>
      <c r="U867" s="7" t="s">
        <v>878</v>
      </c>
      <c r="V867" s="7" t="str">
        <f>VLOOKUP(U867,Jogadores!B:C,2,0)</f>
        <v>FW</v>
      </c>
      <c r="W867" s="8">
        <f>VLOOKUP(U867,Jogadores!B:D,3,0)</f>
        <v>25.06027397</v>
      </c>
      <c r="X867" s="7">
        <v>0.0</v>
      </c>
      <c r="Y867" s="7">
        <v>87.0</v>
      </c>
      <c r="Z867" s="7">
        <f>VLOOKUP(A867,Jogos!A:L,3,0)</f>
        <v>49</v>
      </c>
      <c r="AA867" s="7">
        <f t="shared" si="2229"/>
        <v>49</v>
      </c>
      <c r="AB867" s="7">
        <f>VLOOKUP(A867,Jogos!A:L,4,0)</f>
        <v>52</v>
      </c>
      <c r="AC867" s="7">
        <f t="shared" si="2230"/>
        <v>42</v>
      </c>
      <c r="AD867" s="7"/>
      <c r="AE867" s="7"/>
      <c r="AF867" s="7">
        <f t="shared" si="2231"/>
        <v>91</v>
      </c>
      <c r="AG867" s="7">
        <v>9231.8</v>
      </c>
      <c r="AH867" s="7">
        <v>4421.4</v>
      </c>
      <c r="AI867" s="7">
        <v>2700.6</v>
      </c>
      <c r="AJ867" s="7">
        <v>1192.3</v>
      </c>
      <c r="AK867" s="7">
        <v>506.9</v>
      </c>
      <c r="AL867" s="7">
        <v>410.7</v>
      </c>
      <c r="AM867" s="7">
        <v>107.0</v>
      </c>
      <c r="AN867" s="7">
        <v>49.0</v>
      </c>
      <c r="AO867" s="7">
        <v>34.6</v>
      </c>
      <c r="AP867" s="9">
        <f t="shared" ref="AP867:AR867" si="2708">AG867/$AF867</f>
        <v>101.4483516</v>
      </c>
      <c r="AQ867" s="9">
        <f t="shared" si="2708"/>
        <v>48.58681319</v>
      </c>
      <c r="AR867" s="9">
        <f t="shared" si="2708"/>
        <v>29.67692308</v>
      </c>
      <c r="AS867" s="9">
        <f t="shared" si="2233"/>
        <v>78.26373626</v>
      </c>
      <c r="AT867" s="9">
        <f t="shared" ref="AT867:AV867" si="2709">AJ867/$AF867</f>
        <v>13.1021978</v>
      </c>
      <c r="AU867" s="9">
        <f t="shared" si="2709"/>
        <v>5.57032967</v>
      </c>
      <c r="AV867" s="9">
        <f t="shared" si="2709"/>
        <v>4.513186813</v>
      </c>
      <c r="AW867" s="9">
        <f t="shared" si="2235"/>
        <v>10.08351648</v>
      </c>
      <c r="AX867" s="9">
        <f t="shared" ref="AX867:AY867" si="2710">AM867/$AF867</f>
        <v>1.175824176</v>
      </c>
      <c r="AY867" s="9">
        <f t="shared" si="2710"/>
        <v>0.5384615385</v>
      </c>
      <c r="AZ867" s="9">
        <f>VLOOKUP(A867,Jogos!A:BN,58,0)</f>
        <v>34.76</v>
      </c>
      <c r="BA867" s="9">
        <f>VLOOKUP(A867,Jogos!A:BN,59,0)</f>
        <v>17.815</v>
      </c>
      <c r="BB867" s="9">
        <f>VLOOKUP(A867,Jogos!A:BN,60,0)</f>
        <v>36</v>
      </c>
      <c r="BC867" s="9">
        <f>VLOOKUP(A867,Jogos!A:BN,61,0)</f>
        <v>39.115</v>
      </c>
      <c r="BD867" s="9">
        <f>VLOOKUP(A867,Jogos!A:BN,62,0)</f>
        <v>509.5</v>
      </c>
      <c r="BE867" s="9">
        <f>VLOOKUP(A867,Jogos!A:BN,63,0)</f>
        <v>0.26</v>
      </c>
      <c r="BF867" s="9">
        <f>VLOOKUP(A867,Jogos!A:BN,64,0)</f>
        <v>25.44</v>
      </c>
      <c r="BG867" s="9">
        <f>VLOOKUP(A867,Jogos!A:BN,65,0)</f>
        <v>50.57</v>
      </c>
      <c r="BH867" s="9">
        <f>VLOOKUP(A867,Jogos!A:BN,66,0)</f>
        <v>31.395</v>
      </c>
      <c r="BI867" s="9"/>
      <c r="BJ867" s="9"/>
    </row>
    <row r="868" hidden="1">
      <c r="A868" s="2">
        <v>30.0</v>
      </c>
      <c r="B868" s="11" t="s">
        <v>872</v>
      </c>
      <c r="C868" s="2" t="s">
        <v>61</v>
      </c>
      <c r="D868" s="3">
        <v>45830.0</v>
      </c>
      <c r="E868" s="4">
        <v>0.625</v>
      </c>
      <c r="F868" s="5" t="str">
        <f>VLOOKUP(A868,Jogos!A:N,10,0)</f>
        <v>Afternoon</v>
      </c>
      <c r="G868" s="2" t="s">
        <v>1200</v>
      </c>
      <c r="H868" s="6" t="str">
        <f>VLOOKUP(A868,Jogos!A:L,12,0)</f>
        <v>Open</v>
      </c>
      <c r="I868" s="6" t="str">
        <f>VLOOKUP(G868,'Estádios e Cidades'!A:B,2,0)</f>
        <v>Charlotte</v>
      </c>
      <c r="J868" s="2" t="s">
        <v>873</v>
      </c>
      <c r="K868" s="2" t="str">
        <f>VLOOKUP(J868,Equipes!A:F,6,0)</f>
        <v>Temperate</v>
      </c>
      <c r="L868" s="2">
        <f>VLOOKUP(J868,Equipes!A:C,3,0)</f>
        <v>3</v>
      </c>
      <c r="M868" s="2" t="str">
        <f t="shared" si="4"/>
        <v>Semi-final</v>
      </c>
      <c r="N868" s="2" t="s">
        <v>935</v>
      </c>
      <c r="O868" s="2">
        <f>VLOOKUP(N868,Equipes!A:C,3,0)</f>
        <v>30</v>
      </c>
      <c r="P868" s="2" t="str">
        <f t="shared" si="5"/>
        <v>Group</v>
      </c>
      <c r="Q868" s="2">
        <f t="shared" si="6"/>
        <v>-27</v>
      </c>
      <c r="R868" s="2" t="str">
        <f>VLOOKUP(J868,Equipes!A:B,2,0)</f>
        <v>Real</v>
      </c>
      <c r="S868" s="6" t="s">
        <v>879</v>
      </c>
      <c r="T868" s="7">
        <v>8.0</v>
      </c>
      <c r="U868" s="7" t="s">
        <v>880</v>
      </c>
      <c r="V868" s="7" t="str">
        <f>VLOOKUP(U868,Jogadores!B:C,2,0)</f>
        <v>MF</v>
      </c>
      <c r="W868" s="8">
        <f>VLOOKUP(U868,Jogadores!B:D,3,0)</f>
        <v>27.03561644</v>
      </c>
      <c r="X868" s="7">
        <v>0.0</v>
      </c>
      <c r="Y868" s="7">
        <f>45+AB868</f>
        <v>97</v>
      </c>
      <c r="Z868" s="7">
        <f>VLOOKUP(A868,Jogos!A:L,3,0)</f>
        <v>49</v>
      </c>
      <c r="AA868" s="7">
        <f t="shared" si="2229"/>
        <v>49</v>
      </c>
      <c r="AB868" s="7">
        <f>VLOOKUP(A868,Jogos!A:L,4,0)</f>
        <v>52</v>
      </c>
      <c r="AC868" s="7">
        <f t="shared" si="2230"/>
        <v>52</v>
      </c>
      <c r="AD868" s="7"/>
      <c r="AE868" s="7"/>
      <c r="AF868" s="7">
        <f t="shared" si="2231"/>
        <v>101</v>
      </c>
      <c r="AG868" s="7">
        <v>10871.9</v>
      </c>
      <c r="AH868" s="7">
        <v>3868.3</v>
      </c>
      <c r="AI868" s="7">
        <v>4646.5</v>
      </c>
      <c r="AJ868" s="7">
        <v>1320.8</v>
      </c>
      <c r="AK868" s="7">
        <v>642.4</v>
      </c>
      <c r="AL868" s="7">
        <v>393.9</v>
      </c>
      <c r="AM868" s="7">
        <v>114.0</v>
      </c>
      <c r="AN868" s="7">
        <v>51.0</v>
      </c>
      <c r="AO868" s="7">
        <v>34.5</v>
      </c>
      <c r="AP868" s="9">
        <f t="shared" ref="AP868:AR868" si="2711">AG868/$AF868</f>
        <v>107.6425743</v>
      </c>
      <c r="AQ868" s="9">
        <f t="shared" si="2711"/>
        <v>38.3</v>
      </c>
      <c r="AR868" s="9">
        <f t="shared" si="2711"/>
        <v>46.0049505</v>
      </c>
      <c r="AS868" s="9">
        <f t="shared" si="2233"/>
        <v>84.3049505</v>
      </c>
      <c r="AT868" s="9">
        <f t="shared" ref="AT868:AV868" si="2712">AJ868/$AF868</f>
        <v>13.07722772</v>
      </c>
      <c r="AU868" s="9">
        <f t="shared" si="2712"/>
        <v>6.36039604</v>
      </c>
      <c r="AV868" s="9">
        <f t="shared" si="2712"/>
        <v>3.9</v>
      </c>
      <c r="AW868" s="9">
        <f t="shared" si="2235"/>
        <v>10.26039604</v>
      </c>
      <c r="AX868" s="9">
        <f t="shared" ref="AX868:AY868" si="2713">AM868/$AF868</f>
        <v>1.128712871</v>
      </c>
      <c r="AY868" s="9">
        <f t="shared" si="2713"/>
        <v>0.504950495</v>
      </c>
      <c r="AZ868" s="9">
        <f>VLOOKUP(A868,Jogos!A:BN,58,0)</f>
        <v>34.76</v>
      </c>
      <c r="BA868" s="9">
        <f>VLOOKUP(A868,Jogos!A:BN,59,0)</f>
        <v>17.815</v>
      </c>
      <c r="BB868" s="9">
        <f>VLOOKUP(A868,Jogos!A:BN,60,0)</f>
        <v>36</v>
      </c>
      <c r="BC868" s="9">
        <f>VLOOKUP(A868,Jogos!A:BN,61,0)</f>
        <v>39.115</v>
      </c>
      <c r="BD868" s="9">
        <f>VLOOKUP(A868,Jogos!A:BN,62,0)</f>
        <v>509.5</v>
      </c>
      <c r="BE868" s="9">
        <f>VLOOKUP(A868,Jogos!A:BN,63,0)</f>
        <v>0.26</v>
      </c>
      <c r="BF868" s="9">
        <f>VLOOKUP(A868,Jogos!A:BN,64,0)</f>
        <v>25.44</v>
      </c>
      <c r="BG868" s="9">
        <f>VLOOKUP(A868,Jogos!A:BN,65,0)</f>
        <v>50.57</v>
      </c>
      <c r="BH868" s="9">
        <f>VLOOKUP(A868,Jogos!A:BN,66,0)</f>
        <v>31.395</v>
      </c>
      <c r="BI868" s="9"/>
      <c r="BJ868" s="9"/>
    </row>
    <row r="869" hidden="1">
      <c r="A869" s="2">
        <v>30.0</v>
      </c>
      <c r="B869" s="11" t="s">
        <v>872</v>
      </c>
      <c r="C869" s="2" t="s">
        <v>61</v>
      </c>
      <c r="D869" s="3">
        <v>45830.0</v>
      </c>
      <c r="E869" s="4">
        <v>0.625</v>
      </c>
      <c r="F869" s="5" t="str">
        <f>VLOOKUP(A869,Jogos!A:N,10,0)</f>
        <v>Afternoon</v>
      </c>
      <c r="G869" s="2" t="s">
        <v>1200</v>
      </c>
      <c r="H869" s="6" t="str">
        <f>VLOOKUP(A869,Jogos!A:L,12,0)</f>
        <v>Open</v>
      </c>
      <c r="I869" s="6" t="str">
        <f>VLOOKUP(G869,'Estádios e Cidades'!A:B,2,0)</f>
        <v>Charlotte</v>
      </c>
      <c r="J869" s="2" t="s">
        <v>873</v>
      </c>
      <c r="K869" s="2" t="str">
        <f>VLOOKUP(J869,Equipes!A:F,6,0)</f>
        <v>Temperate</v>
      </c>
      <c r="L869" s="2">
        <f>VLOOKUP(J869,Equipes!A:C,3,0)</f>
        <v>3</v>
      </c>
      <c r="M869" s="2" t="str">
        <f t="shared" si="4"/>
        <v>Semi-final</v>
      </c>
      <c r="N869" s="2" t="s">
        <v>935</v>
      </c>
      <c r="O869" s="2">
        <f>VLOOKUP(N869,Equipes!A:C,3,0)</f>
        <v>30</v>
      </c>
      <c r="P869" s="2" t="str">
        <f t="shared" si="5"/>
        <v>Group</v>
      </c>
      <c r="Q869" s="2">
        <f t="shared" si="6"/>
        <v>-27</v>
      </c>
      <c r="R869" s="2" t="str">
        <f>VLOOKUP(J869,Equipes!A:B,2,0)</f>
        <v>Real</v>
      </c>
      <c r="S869" s="6" t="s">
        <v>883</v>
      </c>
      <c r="T869" s="7">
        <v>12.0</v>
      </c>
      <c r="U869" s="7" t="s">
        <v>884</v>
      </c>
      <c r="V869" s="7" t="str">
        <f>VLOOKUP(U869,Jogadores!B:C,2,0)</f>
        <v>DF</v>
      </c>
      <c r="W869" s="8">
        <f>VLOOKUP(U869,Jogadores!B:D,3,0)</f>
        <v>26.82465753</v>
      </c>
      <c r="X869" s="7">
        <v>0.0</v>
      </c>
      <c r="Y869" s="7">
        <v>78.0</v>
      </c>
      <c r="Z869" s="7">
        <f>VLOOKUP(A869,Jogos!A:L,3,0)</f>
        <v>49</v>
      </c>
      <c r="AA869" s="7">
        <f t="shared" si="2229"/>
        <v>49</v>
      </c>
      <c r="AB869" s="7">
        <f>VLOOKUP(A869,Jogos!A:L,4,0)</f>
        <v>52</v>
      </c>
      <c r="AC869" s="7">
        <f t="shared" si="2230"/>
        <v>33</v>
      </c>
      <c r="AD869" s="7"/>
      <c r="AE869" s="7"/>
      <c r="AF869" s="7">
        <f t="shared" si="2231"/>
        <v>82</v>
      </c>
      <c r="AG869" s="7">
        <v>7793.4</v>
      </c>
      <c r="AH869" s="7">
        <v>3553.2</v>
      </c>
      <c r="AI869" s="7">
        <v>2963.5</v>
      </c>
      <c r="AJ869" s="7">
        <v>818.3</v>
      </c>
      <c r="AK869" s="7">
        <v>287.5</v>
      </c>
      <c r="AL869" s="7">
        <v>170.9</v>
      </c>
      <c r="AM869" s="7">
        <v>77.0</v>
      </c>
      <c r="AN869" s="7">
        <v>24.0</v>
      </c>
      <c r="AO869" s="7">
        <v>33.0</v>
      </c>
      <c r="AP869" s="9">
        <f t="shared" ref="AP869:AR869" si="2714">AG869/$AF869</f>
        <v>95.04146341</v>
      </c>
      <c r="AQ869" s="9">
        <f t="shared" si="2714"/>
        <v>43.33170732</v>
      </c>
      <c r="AR869" s="9">
        <f t="shared" si="2714"/>
        <v>36.1402439</v>
      </c>
      <c r="AS869" s="9">
        <f t="shared" si="2233"/>
        <v>79.47195122</v>
      </c>
      <c r="AT869" s="9">
        <f t="shared" ref="AT869:AV869" si="2715">AJ869/$AF869</f>
        <v>9.979268293</v>
      </c>
      <c r="AU869" s="9">
        <f t="shared" si="2715"/>
        <v>3.506097561</v>
      </c>
      <c r="AV869" s="9">
        <f t="shared" si="2715"/>
        <v>2.084146341</v>
      </c>
      <c r="AW869" s="9">
        <f t="shared" si="2235"/>
        <v>5.590243902</v>
      </c>
      <c r="AX869" s="9">
        <f t="shared" ref="AX869:AY869" si="2716">AM869/$AF869</f>
        <v>0.9390243902</v>
      </c>
      <c r="AY869" s="9">
        <f t="shared" si="2716"/>
        <v>0.2926829268</v>
      </c>
      <c r="AZ869" s="9">
        <f>VLOOKUP(A869,Jogos!A:BN,58,0)</f>
        <v>34.76</v>
      </c>
      <c r="BA869" s="9">
        <f>VLOOKUP(A869,Jogos!A:BN,59,0)</f>
        <v>17.815</v>
      </c>
      <c r="BB869" s="9">
        <f>VLOOKUP(A869,Jogos!A:BN,60,0)</f>
        <v>36</v>
      </c>
      <c r="BC869" s="9">
        <f>VLOOKUP(A869,Jogos!A:BN,61,0)</f>
        <v>39.115</v>
      </c>
      <c r="BD869" s="9">
        <f>VLOOKUP(A869,Jogos!A:BN,62,0)</f>
        <v>509.5</v>
      </c>
      <c r="BE869" s="9">
        <f>VLOOKUP(A869,Jogos!A:BN,63,0)</f>
        <v>0.26</v>
      </c>
      <c r="BF869" s="9">
        <f>VLOOKUP(A869,Jogos!A:BN,64,0)</f>
        <v>25.44</v>
      </c>
      <c r="BG869" s="9">
        <f>VLOOKUP(A869,Jogos!A:BN,65,0)</f>
        <v>50.57</v>
      </c>
      <c r="BH869" s="9">
        <f>VLOOKUP(A869,Jogos!A:BN,66,0)</f>
        <v>31.395</v>
      </c>
      <c r="BI869" s="9"/>
      <c r="BJ869" s="9"/>
    </row>
    <row r="870" hidden="1">
      <c r="A870" s="2">
        <v>30.0</v>
      </c>
      <c r="B870" s="11" t="s">
        <v>872</v>
      </c>
      <c r="C870" s="2" t="s">
        <v>61</v>
      </c>
      <c r="D870" s="3">
        <v>45830.0</v>
      </c>
      <c r="E870" s="4">
        <v>0.625</v>
      </c>
      <c r="F870" s="5" t="str">
        <f>VLOOKUP(A870,Jogos!A:N,10,0)</f>
        <v>Afternoon</v>
      </c>
      <c r="G870" s="2" t="s">
        <v>1200</v>
      </c>
      <c r="H870" s="6" t="str">
        <f>VLOOKUP(A870,Jogos!A:L,12,0)</f>
        <v>Open</v>
      </c>
      <c r="I870" s="6" t="str">
        <f>VLOOKUP(G870,'Estádios e Cidades'!A:B,2,0)</f>
        <v>Charlotte</v>
      </c>
      <c r="J870" s="2" t="s">
        <v>873</v>
      </c>
      <c r="K870" s="2" t="str">
        <f>VLOOKUP(J870,Equipes!A:F,6,0)</f>
        <v>Temperate</v>
      </c>
      <c r="L870" s="2">
        <f>VLOOKUP(J870,Equipes!A:C,3,0)</f>
        <v>3</v>
      </c>
      <c r="M870" s="2" t="str">
        <f t="shared" si="4"/>
        <v>Semi-final</v>
      </c>
      <c r="N870" s="2" t="s">
        <v>935</v>
      </c>
      <c r="O870" s="2">
        <f>VLOOKUP(N870,Equipes!A:C,3,0)</f>
        <v>30</v>
      </c>
      <c r="P870" s="2" t="str">
        <f t="shared" si="5"/>
        <v>Group</v>
      </c>
      <c r="Q870" s="2">
        <f t="shared" si="6"/>
        <v>-27</v>
      </c>
      <c r="R870" s="2" t="str">
        <f>VLOOKUP(J870,Equipes!A:B,2,0)</f>
        <v>Real</v>
      </c>
      <c r="S870" s="6" t="s">
        <v>885</v>
      </c>
      <c r="T870" s="7">
        <v>14.0</v>
      </c>
      <c r="U870" s="7" t="s">
        <v>886</v>
      </c>
      <c r="V870" s="7" t="str">
        <f>VLOOKUP(U870,Jogadores!B:C,2,0)</f>
        <v>MF</v>
      </c>
      <c r="W870" s="8">
        <f>VLOOKUP(U870,Jogadores!B:D,3,0)</f>
        <v>25.51780822</v>
      </c>
      <c r="X870" s="7">
        <v>0.0</v>
      </c>
      <c r="Y870" s="7">
        <f>45+AB870</f>
        <v>97</v>
      </c>
      <c r="Z870" s="7">
        <f>VLOOKUP(A870,Jogos!A:L,3,0)</f>
        <v>49</v>
      </c>
      <c r="AA870" s="7">
        <f t="shared" si="2229"/>
        <v>49</v>
      </c>
      <c r="AB870" s="7">
        <f>VLOOKUP(A870,Jogos!A:L,4,0)</f>
        <v>52</v>
      </c>
      <c r="AC870" s="7">
        <f t="shared" si="2230"/>
        <v>52</v>
      </c>
      <c r="AD870" s="7"/>
      <c r="AE870" s="7"/>
      <c r="AF870" s="7">
        <f t="shared" si="2231"/>
        <v>101</v>
      </c>
      <c r="AG870" s="7">
        <v>9409.7</v>
      </c>
      <c r="AH870" s="7">
        <v>4315.7</v>
      </c>
      <c r="AI870" s="7">
        <v>3696.2</v>
      </c>
      <c r="AJ870" s="7">
        <v>1120.0</v>
      </c>
      <c r="AK870" s="7">
        <v>214.6</v>
      </c>
      <c r="AL870" s="7">
        <v>63.2</v>
      </c>
      <c r="AM870" s="7">
        <v>100.0</v>
      </c>
      <c r="AN870" s="7">
        <v>16.0</v>
      </c>
      <c r="AO870" s="7">
        <v>32.3</v>
      </c>
      <c r="AP870" s="9">
        <f t="shared" ref="AP870:AR870" si="2717">AG870/$AF870</f>
        <v>93.16534653</v>
      </c>
      <c r="AQ870" s="9">
        <f t="shared" si="2717"/>
        <v>42.72970297</v>
      </c>
      <c r="AR870" s="9">
        <f t="shared" si="2717"/>
        <v>36.5960396</v>
      </c>
      <c r="AS870" s="9">
        <f t="shared" si="2233"/>
        <v>79.32574257</v>
      </c>
      <c r="AT870" s="9">
        <f t="shared" ref="AT870:AV870" si="2718">AJ870/$AF870</f>
        <v>11.08910891</v>
      </c>
      <c r="AU870" s="9">
        <f t="shared" si="2718"/>
        <v>2.124752475</v>
      </c>
      <c r="AV870" s="9">
        <f t="shared" si="2718"/>
        <v>0.6257425743</v>
      </c>
      <c r="AW870" s="9">
        <f t="shared" si="2235"/>
        <v>2.75049505</v>
      </c>
      <c r="AX870" s="9">
        <f t="shared" ref="AX870:AY870" si="2719">AM870/$AF870</f>
        <v>0.9900990099</v>
      </c>
      <c r="AY870" s="9">
        <f t="shared" si="2719"/>
        <v>0.1584158416</v>
      </c>
      <c r="AZ870" s="9">
        <f>VLOOKUP(A870,Jogos!A:BN,58,0)</f>
        <v>34.76</v>
      </c>
      <c r="BA870" s="9">
        <f>VLOOKUP(A870,Jogos!A:BN,59,0)</f>
        <v>17.815</v>
      </c>
      <c r="BB870" s="9">
        <f>VLOOKUP(A870,Jogos!A:BN,60,0)</f>
        <v>36</v>
      </c>
      <c r="BC870" s="9">
        <f>VLOOKUP(A870,Jogos!A:BN,61,0)</f>
        <v>39.115</v>
      </c>
      <c r="BD870" s="9">
        <f>VLOOKUP(A870,Jogos!A:BN,62,0)</f>
        <v>509.5</v>
      </c>
      <c r="BE870" s="9">
        <f>VLOOKUP(A870,Jogos!A:BN,63,0)</f>
        <v>0.26</v>
      </c>
      <c r="BF870" s="9">
        <f>VLOOKUP(A870,Jogos!A:BN,64,0)</f>
        <v>25.44</v>
      </c>
      <c r="BG870" s="9">
        <f>VLOOKUP(A870,Jogos!A:BN,65,0)</f>
        <v>50.57</v>
      </c>
      <c r="BH870" s="9">
        <f>VLOOKUP(A870,Jogos!A:BN,66,0)</f>
        <v>31.395</v>
      </c>
      <c r="BI870" s="9"/>
      <c r="BJ870" s="9"/>
    </row>
    <row r="871" hidden="1">
      <c r="A871" s="2">
        <v>30.0</v>
      </c>
      <c r="B871" s="11" t="s">
        <v>872</v>
      </c>
      <c r="C871" s="2" t="s">
        <v>61</v>
      </c>
      <c r="D871" s="3">
        <v>45830.0</v>
      </c>
      <c r="E871" s="4">
        <v>0.625</v>
      </c>
      <c r="F871" s="5" t="str">
        <f>VLOOKUP(A871,Jogos!A:N,10,0)</f>
        <v>Afternoon</v>
      </c>
      <c r="G871" s="2" t="s">
        <v>1200</v>
      </c>
      <c r="H871" s="6" t="str">
        <f>VLOOKUP(A871,Jogos!A:L,12,0)</f>
        <v>Open</v>
      </c>
      <c r="I871" s="6" t="str">
        <f>VLOOKUP(G871,'Estádios e Cidades'!A:B,2,0)</f>
        <v>Charlotte</v>
      </c>
      <c r="J871" s="2" t="s">
        <v>873</v>
      </c>
      <c r="K871" s="2" t="str">
        <f>VLOOKUP(J871,Equipes!A:F,6,0)</f>
        <v>Temperate</v>
      </c>
      <c r="L871" s="2">
        <f>VLOOKUP(J871,Equipes!A:C,3,0)</f>
        <v>3</v>
      </c>
      <c r="M871" s="2" t="str">
        <f t="shared" si="4"/>
        <v>Semi-final</v>
      </c>
      <c r="N871" s="2" t="s">
        <v>935</v>
      </c>
      <c r="O871" s="2">
        <f>VLOOKUP(N871,Equipes!A:C,3,0)</f>
        <v>30</v>
      </c>
      <c r="P871" s="2" t="str">
        <f t="shared" si="5"/>
        <v>Group</v>
      </c>
      <c r="Q871" s="2">
        <f t="shared" si="6"/>
        <v>-27</v>
      </c>
      <c r="R871" s="2" t="str">
        <f>VLOOKUP(J871,Equipes!A:B,2,0)</f>
        <v>Real</v>
      </c>
      <c r="S871" s="6" t="s">
        <v>897</v>
      </c>
      <c r="T871" s="7">
        <v>15.0</v>
      </c>
      <c r="U871" s="7" t="s">
        <v>898</v>
      </c>
      <c r="V871" s="7" t="str">
        <f>VLOOKUP(U871,Jogadores!B:C,2,0)</f>
        <v>MF</v>
      </c>
      <c r="W871" s="8">
        <f>VLOOKUP(U871,Jogadores!B:D,3,0)</f>
        <v>20.43287671</v>
      </c>
      <c r="X871" s="7">
        <v>0.0</v>
      </c>
      <c r="Y871" s="7">
        <v>60.0</v>
      </c>
      <c r="Z871" s="7">
        <f>VLOOKUP(A871,Jogos!A:L,3,0)</f>
        <v>49</v>
      </c>
      <c r="AA871" s="7">
        <f t="shared" si="2229"/>
        <v>49</v>
      </c>
      <c r="AB871" s="7">
        <f>VLOOKUP(A871,Jogos!A:L,4,0)</f>
        <v>52</v>
      </c>
      <c r="AC871" s="7">
        <f t="shared" si="2230"/>
        <v>15</v>
      </c>
      <c r="AD871" s="7"/>
      <c r="AE871" s="7"/>
      <c r="AF871" s="7">
        <f t="shared" si="2231"/>
        <v>64</v>
      </c>
      <c r="AG871" s="7">
        <v>7402.3</v>
      </c>
      <c r="AH871" s="7">
        <v>2421.4</v>
      </c>
      <c r="AI871" s="7">
        <v>3330.1</v>
      </c>
      <c r="AJ871" s="7">
        <v>1129.3</v>
      </c>
      <c r="AK871" s="7">
        <v>413.7</v>
      </c>
      <c r="AL871" s="7">
        <v>107.8</v>
      </c>
      <c r="AM871" s="7">
        <v>96.0</v>
      </c>
      <c r="AN871" s="7">
        <v>36.0</v>
      </c>
      <c r="AO871" s="7">
        <v>30.1</v>
      </c>
      <c r="AP871" s="9">
        <f t="shared" ref="AP871:AR871" si="2720">AG871/$AF871</f>
        <v>115.6609375</v>
      </c>
      <c r="AQ871" s="9">
        <f t="shared" si="2720"/>
        <v>37.834375</v>
      </c>
      <c r="AR871" s="9">
        <f t="shared" si="2720"/>
        <v>52.0328125</v>
      </c>
      <c r="AS871" s="9">
        <f t="shared" si="2233"/>
        <v>89.8671875</v>
      </c>
      <c r="AT871" s="9">
        <f t="shared" ref="AT871:AV871" si="2721">AJ871/$AF871</f>
        <v>17.6453125</v>
      </c>
      <c r="AU871" s="9">
        <f t="shared" si="2721"/>
        <v>6.4640625</v>
      </c>
      <c r="AV871" s="9">
        <f t="shared" si="2721"/>
        <v>1.684375</v>
      </c>
      <c r="AW871" s="9">
        <f t="shared" si="2235"/>
        <v>8.1484375</v>
      </c>
      <c r="AX871" s="9">
        <f t="shared" ref="AX871:AY871" si="2722">AM871/$AF871</f>
        <v>1.5</v>
      </c>
      <c r="AY871" s="9">
        <f t="shared" si="2722"/>
        <v>0.5625</v>
      </c>
      <c r="AZ871" s="9">
        <f>VLOOKUP(A871,Jogos!A:BN,58,0)</f>
        <v>34.76</v>
      </c>
      <c r="BA871" s="9">
        <f>VLOOKUP(A871,Jogos!A:BN,59,0)</f>
        <v>17.815</v>
      </c>
      <c r="BB871" s="9">
        <f>VLOOKUP(A871,Jogos!A:BN,60,0)</f>
        <v>36</v>
      </c>
      <c r="BC871" s="9">
        <f>VLOOKUP(A871,Jogos!A:BN,61,0)</f>
        <v>39.115</v>
      </c>
      <c r="BD871" s="9">
        <f>VLOOKUP(A871,Jogos!A:BN,62,0)</f>
        <v>509.5</v>
      </c>
      <c r="BE871" s="9">
        <f>VLOOKUP(A871,Jogos!A:BN,63,0)</f>
        <v>0.26</v>
      </c>
      <c r="BF871" s="9">
        <f>VLOOKUP(A871,Jogos!A:BN,64,0)</f>
        <v>25.44</v>
      </c>
      <c r="BG871" s="9">
        <f>VLOOKUP(A871,Jogos!A:BN,65,0)</f>
        <v>50.57</v>
      </c>
      <c r="BH871" s="9">
        <f>VLOOKUP(A871,Jogos!A:BN,66,0)</f>
        <v>31.395</v>
      </c>
      <c r="BI871" s="9"/>
      <c r="BJ871" s="9"/>
    </row>
    <row r="872" hidden="1">
      <c r="A872" s="2">
        <v>30.0</v>
      </c>
      <c r="B872" s="11" t="s">
        <v>872</v>
      </c>
      <c r="C872" s="2" t="s">
        <v>61</v>
      </c>
      <c r="D872" s="3">
        <v>45830.0</v>
      </c>
      <c r="E872" s="4">
        <v>0.625</v>
      </c>
      <c r="F872" s="5" t="str">
        <f>VLOOKUP(A872,Jogos!A:N,10,0)</f>
        <v>Afternoon</v>
      </c>
      <c r="G872" s="2" t="s">
        <v>1200</v>
      </c>
      <c r="H872" s="6" t="str">
        <f>VLOOKUP(A872,Jogos!A:L,12,0)</f>
        <v>Open</v>
      </c>
      <c r="I872" s="6" t="str">
        <f>VLOOKUP(G872,'Estádios e Cidades'!A:B,2,0)</f>
        <v>Charlotte</v>
      </c>
      <c r="J872" s="2" t="s">
        <v>873</v>
      </c>
      <c r="K872" s="2" t="str">
        <f>VLOOKUP(J872,Equipes!A:F,6,0)</f>
        <v>Temperate</v>
      </c>
      <c r="L872" s="2">
        <f>VLOOKUP(J872,Equipes!A:C,3,0)</f>
        <v>3</v>
      </c>
      <c r="M872" s="2" t="str">
        <f t="shared" si="4"/>
        <v>Semi-final</v>
      </c>
      <c r="N872" s="2" t="s">
        <v>935</v>
      </c>
      <c r="O872" s="2">
        <f>VLOOKUP(N872,Equipes!A:C,3,0)</f>
        <v>30</v>
      </c>
      <c r="P872" s="2" t="str">
        <f t="shared" si="5"/>
        <v>Group</v>
      </c>
      <c r="Q872" s="2">
        <f t="shared" si="6"/>
        <v>-27</v>
      </c>
      <c r="R872" s="2" t="str">
        <f>VLOOKUP(J872,Equipes!A:B,2,0)</f>
        <v>Real</v>
      </c>
      <c r="S872" s="6" t="s">
        <v>887</v>
      </c>
      <c r="T872" s="7">
        <v>20.0</v>
      </c>
      <c r="U872" s="7" t="s">
        <v>888</v>
      </c>
      <c r="V872" s="7" t="str">
        <f>VLOOKUP(U872,Jogadores!B:C,2,0)</f>
        <v>DF</v>
      </c>
      <c r="W872" s="8">
        <f>VLOOKUP(U872,Jogadores!B:D,3,0)</f>
        <v>25.97260274</v>
      </c>
      <c r="X872" s="7">
        <v>0.0</v>
      </c>
      <c r="Y872" s="7">
        <f t="shared" ref="Y872:Y873" si="2726">45+AB872</f>
        <v>97</v>
      </c>
      <c r="Z872" s="7">
        <f>VLOOKUP(A872,Jogos!A:L,3,0)</f>
        <v>49</v>
      </c>
      <c r="AA872" s="7">
        <f t="shared" si="2229"/>
        <v>49</v>
      </c>
      <c r="AB872" s="7">
        <f>VLOOKUP(A872,Jogos!A:L,4,0)</f>
        <v>52</v>
      </c>
      <c r="AC872" s="7">
        <f t="shared" si="2230"/>
        <v>52</v>
      </c>
      <c r="AD872" s="7"/>
      <c r="AE872" s="7"/>
      <c r="AF872" s="7">
        <f t="shared" si="2231"/>
        <v>101</v>
      </c>
      <c r="AG872" s="7">
        <v>11068.2</v>
      </c>
      <c r="AH872" s="7">
        <v>4138.6</v>
      </c>
      <c r="AI872" s="7">
        <v>4362.8</v>
      </c>
      <c r="AJ872" s="7">
        <v>1302.8</v>
      </c>
      <c r="AK872" s="7">
        <v>782.7</v>
      </c>
      <c r="AL872" s="7">
        <v>481.4</v>
      </c>
      <c r="AM872" s="7">
        <v>105.0</v>
      </c>
      <c r="AN872" s="7">
        <v>64.0</v>
      </c>
      <c r="AO872" s="7">
        <v>33.7</v>
      </c>
      <c r="AP872" s="9">
        <f t="shared" ref="AP872:AR872" si="2723">AG872/$AF872</f>
        <v>109.5861386</v>
      </c>
      <c r="AQ872" s="9">
        <f t="shared" si="2723"/>
        <v>40.97623762</v>
      </c>
      <c r="AR872" s="9">
        <f t="shared" si="2723"/>
        <v>43.1960396</v>
      </c>
      <c r="AS872" s="9">
        <f t="shared" si="2233"/>
        <v>84.17227723</v>
      </c>
      <c r="AT872" s="9">
        <f t="shared" ref="AT872:AV872" si="2724">AJ872/$AF872</f>
        <v>12.8990099</v>
      </c>
      <c r="AU872" s="9">
        <f t="shared" si="2724"/>
        <v>7.74950495</v>
      </c>
      <c r="AV872" s="9">
        <f t="shared" si="2724"/>
        <v>4.766336634</v>
      </c>
      <c r="AW872" s="9">
        <f t="shared" si="2235"/>
        <v>12.51584158</v>
      </c>
      <c r="AX872" s="9">
        <f t="shared" ref="AX872:AY872" si="2725">AM872/$AF872</f>
        <v>1.03960396</v>
      </c>
      <c r="AY872" s="9">
        <f t="shared" si="2725"/>
        <v>0.6336633663</v>
      </c>
      <c r="AZ872" s="9">
        <f>VLOOKUP(A872,Jogos!A:BN,58,0)</f>
        <v>34.76</v>
      </c>
      <c r="BA872" s="9">
        <f>VLOOKUP(A872,Jogos!A:BN,59,0)</f>
        <v>17.815</v>
      </c>
      <c r="BB872" s="9">
        <f>VLOOKUP(A872,Jogos!A:BN,60,0)</f>
        <v>36</v>
      </c>
      <c r="BC872" s="9">
        <f>VLOOKUP(A872,Jogos!A:BN,61,0)</f>
        <v>39.115</v>
      </c>
      <c r="BD872" s="9">
        <f>VLOOKUP(A872,Jogos!A:BN,62,0)</f>
        <v>509.5</v>
      </c>
      <c r="BE872" s="9">
        <f>VLOOKUP(A872,Jogos!A:BN,63,0)</f>
        <v>0.26</v>
      </c>
      <c r="BF872" s="9">
        <f>VLOOKUP(A872,Jogos!A:BN,64,0)</f>
        <v>25.44</v>
      </c>
      <c r="BG872" s="9">
        <f>VLOOKUP(A872,Jogos!A:BN,65,0)</f>
        <v>50.57</v>
      </c>
      <c r="BH872" s="9">
        <f>VLOOKUP(A872,Jogos!A:BN,66,0)</f>
        <v>31.395</v>
      </c>
      <c r="BI872" s="9"/>
      <c r="BJ872" s="9"/>
    </row>
    <row r="873" hidden="1">
      <c r="A873" s="2">
        <v>30.0</v>
      </c>
      <c r="B873" s="11" t="s">
        <v>872</v>
      </c>
      <c r="C873" s="2" t="s">
        <v>61</v>
      </c>
      <c r="D873" s="3">
        <v>45830.0</v>
      </c>
      <c r="E873" s="4">
        <v>0.625</v>
      </c>
      <c r="F873" s="5" t="str">
        <f>VLOOKUP(A873,Jogos!A:N,10,0)</f>
        <v>Afternoon</v>
      </c>
      <c r="G873" s="2" t="s">
        <v>1200</v>
      </c>
      <c r="H873" s="6" t="str">
        <f>VLOOKUP(A873,Jogos!A:L,12,0)</f>
        <v>Open</v>
      </c>
      <c r="I873" s="6" t="str">
        <f>VLOOKUP(G873,'Estádios e Cidades'!A:B,2,0)</f>
        <v>Charlotte</v>
      </c>
      <c r="J873" s="2" t="s">
        <v>873</v>
      </c>
      <c r="K873" s="2" t="str">
        <f>VLOOKUP(J873,Equipes!A:F,6,0)</f>
        <v>Temperate</v>
      </c>
      <c r="L873" s="2">
        <f>VLOOKUP(J873,Equipes!A:C,3,0)</f>
        <v>3</v>
      </c>
      <c r="M873" s="2" t="str">
        <f t="shared" si="4"/>
        <v>Semi-final</v>
      </c>
      <c r="N873" s="2" t="s">
        <v>935</v>
      </c>
      <c r="O873" s="2">
        <f>VLOOKUP(N873,Equipes!A:C,3,0)</f>
        <v>30</v>
      </c>
      <c r="P873" s="2" t="str">
        <f t="shared" si="5"/>
        <v>Group</v>
      </c>
      <c r="Q873" s="2">
        <f t="shared" si="6"/>
        <v>-27</v>
      </c>
      <c r="R873" s="2" t="str">
        <f>VLOOKUP(J873,Equipes!A:B,2,0)</f>
        <v>Real</v>
      </c>
      <c r="S873" s="6" t="s">
        <v>889</v>
      </c>
      <c r="T873" s="7">
        <v>24.0</v>
      </c>
      <c r="U873" s="7" t="s">
        <v>890</v>
      </c>
      <c r="V873" s="7" t="str">
        <f>VLOOKUP(U873,Jogadores!B:C,2,0)</f>
        <v>DF</v>
      </c>
      <c r="W873" s="8">
        <f>VLOOKUP(U873,Jogadores!B:D,3,0)</f>
        <v>20.30136986</v>
      </c>
      <c r="X873" s="7">
        <v>0.0</v>
      </c>
      <c r="Y873" s="7">
        <f t="shared" si="2726"/>
        <v>97</v>
      </c>
      <c r="Z873" s="7">
        <f>VLOOKUP(A873,Jogos!A:L,3,0)</f>
        <v>49</v>
      </c>
      <c r="AA873" s="7">
        <f t="shared" si="2229"/>
        <v>49</v>
      </c>
      <c r="AB873" s="7">
        <f>VLOOKUP(A873,Jogos!A:L,4,0)</f>
        <v>52</v>
      </c>
      <c r="AC873" s="7">
        <f t="shared" si="2230"/>
        <v>52</v>
      </c>
      <c r="AD873" s="7"/>
      <c r="AE873" s="7"/>
      <c r="AF873" s="7">
        <f t="shared" si="2231"/>
        <v>101</v>
      </c>
      <c r="AG873" s="7">
        <v>10341.1</v>
      </c>
      <c r="AH873" s="7">
        <v>4045.3</v>
      </c>
      <c r="AI873" s="7">
        <v>4630.4</v>
      </c>
      <c r="AJ873" s="7">
        <v>1014.2</v>
      </c>
      <c r="AK873" s="7">
        <v>516.8</v>
      </c>
      <c r="AL873" s="7">
        <v>134.4</v>
      </c>
      <c r="AM873" s="7">
        <v>92.0</v>
      </c>
      <c r="AN873" s="7">
        <v>36.0</v>
      </c>
      <c r="AO873" s="7">
        <v>31.1</v>
      </c>
      <c r="AP873" s="9">
        <f t="shared" ref="AP873:AR873" si="2727">AG873/$AF873</f>
        <v>102.3871287</v>
      </c>
      <c r="AQ873" s="9">
        <f t="shared" si="2727"/>
        <v>40.05247525</v>
      </c>
      <c r="AR873" s="9">
        <f t="shared" si="2727"/>
        <v>45.84554455</v>
      </c>
      <c r="AS873" s="9">
        <f t="shared" si="2233"/>
        <v>85.8980198</v>
      </c>
      <c r="AT873" s="9">
        <f t="shared" ref="AT873:AV873" si="2728">AJ873/$AF873</f>
        <v>10.04158416</v>
      </c>
      <c r="AU873" s="9">
        <f t="shared" si="2728"/>
        <v>5.116831683</v>
      </c>
      <c r="AV873" s="9">
        <f t="shared" si="2728"/>
        <v>1.330693069</v>
      </c>
      <c r="AW873" s="9">
        <f t="shared" si="2235"/>
        <v>6.447524752</v>
      </c>
      <c r="AX873" s="9">
        <f t="shared" ref="AX873:AY873" si="2729">AM873/$AF873</f>
        <v>0.9108910891</v>
      </c>
      <c r="AY873" s="9">
        <f t="shared" si="2729"/>
        <v>0.3564356436</v>
      </c>
      <c r="AZ873" s="9">
        <f>VLOOKUP(A873,Jogos!A:BN,58,0)</f>
        <v>34.76</v>
      </c>
      <c r="BA873" s="9">
        <f>VLOOKUP(A873,Jogos!A:BN,59,0)</f>
        <v>17.815</v>
      </c>
      <c r="BB873" s="9">
        <f>VLOOKUP(A873,Jogos!A:BN,60,0)</f>
        <v>36</v>
      </c>
      <c r="BC873" s="9">
        <f>VLOOKUP(A873,Jogos!A:BN,61,0)</f>
        <v>39.115</v>
      </c>
      <c r="BD873" s="9">
        <f>VLOOKUP(A873,Jogos!A:BN,62,0)</f>
        <v>509.5</v>
      </c>
      <c r="BE873" s="9">
        <f>VLOOKUP(A873,Jogos!A:BN,63,0)</f>
        <v>0.26</v>
      </c>
      <c r="BF873" s="9">
        <f>VLOOKUP(A873,Jogos!A:BN,64,0)</f>
        <v>25.44</v>
      </c>
      <c r="BG873" s="9">
        <f>VLOOKUP(A873,Jogos!A:BN,65,0)</f>
        <v>50.57</v>
      </c>
      <c r="BH873" s="9">
        <f>VLOOKUP(A873,Jogos!A:BN,66,0)</f>
        <v>31.395</v>
      </c>
      <c r="BI873" s="9"/>
      <c r="BJ873" s="9"/>
    </row>
    <row r="874" hidden="1">
      <c r="A874" s="2">
        <v>30.0</v>
      </c>
      <c r="B874" s="11" t="s">
        <v>872</v>
      </c>
      <c r="C874" s="2" t="s">
        <v>61</v>
      </c>
      <c r="D874" s="3">
        <v>45830.0</v>
      </c>
      <c r="E874" s="4">
        <v>0.625</v>
      </c>
      <c r="F874" s="5" t="str">
        <f>VLOOKUP(A874,Jogos!A:N,10,0)</f>
        <v>Afternoon</v>
      </c>
      <c r="G874" s="2" t="s">
        <v>1200</v>
      </c>
      <c r="H874" s="6" t="str">
        <f>VLOOKUP(A874,Jogos!A:L,12,0)</f>
        <v>Open</v>
      </c>
      <c r="I874" s="6" t="str">
        <f>VLOOKUP(G874,'Estádios e Cidades'!A:B,2,0)</f>
        <v>Charlotte</v>
      </c>
      <c r="J874" s="2" t="s">
        <v>873</v>
      </c>
      <c r="K874" s="2" t="str">
        <f>VLOOKUP(J874,Equipes!A:F,6,0)</f>
        <v>Temperate</v>
      </c>
      <c r="L874" s="2">
        <f>VLOOKUP(J874,Equipes!A:C,3,0)</f>
        <v>3</v>
      </c>
      <c r="M874" s="2" t="str">
        <f t="shared" si="4"/>
        <v>Semi-final</v>
      </c>
      <c r="N874" s="2" t="s">
        <v>935</v>
      </c>
      <c r="O874" s="2">
        <f>VLOOKUP(N874,Equipes!A:C,3,0)</f>
        <v>30</v>
      </c>
      <c r="P874" s="2" t="str">
        <f t="shared" si="5"/>
        <v>Group</v>
      </c>
      <c r="Q874" s="2">
        <f t="shared" si="6"/>
        <v>-27</v>
      </c>
      <c r="R874" s="2" t="str">
        <f>VLOOKUP(J874,Equipes!A:B,2,0)</f>
        <v>Real</v>
      </c>
      <c r="S874" s="6" t="s">
        <v>891</v>
      </c>
      <c r="T874" s="7">
        <v>30.0</v>
      </c>
      <c r="U874" s="7" t="s">
        <v>892</v>
      </c>
      <c r="V874" s="7" t="str">
        <f>VLOOKUP(U874,Jogadores!B:C,2,0)</f>
        <v>FW</v>
      </c>
      <c r="W874" s="8">
        <f>VLOOKUP(U874,Jogadores!B:D,3,0)</f>
        <v>21.35890411</v>
      </c>
      <c r="X874" s="7">
        <v>0.0</v>
      </c>
      <c r="Y874" s="7">
        <v>45.0</v>
      </c>
      <c r="Z874" s="7">
        <f>VLOOKUP(A874,Jogos!A:L,3,0)</f>
        <v>49</v>
      </c>
      <c r="AA874" s="7">
        <f t="shared" si="2229"/>
        <v>49</v>
      </c>
      <c r="AB874" s="7">
        <f>VLOOKUP(A874,Jogos!A:L,4,0)</f>
        <v>52</v>
      </c>
      <c r="AC874" s="7">
        <f t="shared" si="2230"/>
        <v>0</v>
      </c>
      <c r="AD874" s="7"/>
      <c r="AE874" s="7"/>
      <c r="AF874" s="7">
        <f t="shared" si="2231"/>
        <v>49</v>
      </c>
      <c r="AG874" s="7">
        <v>5460.2</v>
      </c>
      <c r="AH874" s="7">
        <v>2392.1</v>
      </c>
      <c r="AI874" s="7">
        <v>1863.5</v>
      </c>
      <c r="AJ874" s="7">
        <v>624.7</v>
      </c>
      <c r="AK874" s="7">
        <v>420.4</v>
      </c>
      <c r="AL874" s="7">
        <v>159.6</v>
      </c>
      <c r="AM874" s="7">
        <v>49.0</v>
      </c>
      <c r="AN874" s="7">
        <v>35.0</v>
      </c>
      <c r="AO874" s="7">
        <v>30.1</v>
      </c>
      <c r="AP874" s="9">
        <f t="shared" ref="AP874:AR874" si="2730">AG874/$AF874</f>
        <v>111.4326531</v>
      </c>
      <c r="AQ874" s="9">
        <f t="shared" si="2730"/>
        <v>48.81836735</v>
      </c>
      <c r="AR874" s="9">
        <f t="shared" si="2730"/>
        <v>38.03061224</v>
      </c>
      <c r="AS874" s="9">
        <f t="shared" si="2233"/>
        <v>86.84897959</v>
      </c>
      <c r="AT874" s="9">
        <f t="shared" ref="AT874:AV874" si="2731">AJ874/$AF874</f>
        <v>12.74897959</v>
      </c>
      <c r="AU874" s="9">
        <f t="shared" si="2731"/>
        <v>8.579591837</v>
      </c>
      <c r="AV874" s="9">
        <f t="shared" si="2731"/>
        <v>3.257142857</v>
      </c>
      <c r="AW874" s="9">
        <f t="shared" si="2235"/>
        <v>11.83673469</v>
      </c>
      <c r="AX874" s="9">
        <f t="shared" ref="AX874:AY874" si="2732">AM874/$AF874</f>
        <v>1</v>
      </c>
      <c r="AY874" s="9">
        <f t="shared" si="2732"/>
        <v>0.7142857143</v>
      </c>
      <c r="AZ874" s="9">
        <f>VLOOKUP(A874,Jogos!A:BN,58,0)</f>
        <v>34.76</v>
      </c>
      <c r="BA874" s="9">
        <f>VLOOKUP(A874,Jogos!A:BN,59,0)</f>
        <v>17.815</v>
      </c>
      <c r="BB874" s="9">
        <f>VLOOKUP(A874,Jogos!A:BN,60,0)</f>
        <v>36</v>
      </c>
      <c r="BC874" s="9">
        <f>VLOOKUP(A874,Jogos!A:BN,61,0)</f>
        <v>39.115</v>
      </c>
      <c r="BD874" s="9">
        <f>VLOOKUP(A874,Jogos!A:BN,62,0)</f>
        <v>509.5</v>
      </c>
      <c r="BE874" s="9">
        <f>VLOOKUP(A874,Jogos!A:BN,63,0)</f>
        <v>0.26</v>
      </c>
      <c r="BF874" s="9">
        <f>VLOOKUP(A874,Jogos!A:BN,64,0)</f>
        <v>25.44</v>
      </c>
      <c r="BG874" s="9">
        <f>VLOOKUP(A874,Jogos!A:BN,65,0)</f>
        <v>50.57</v>
      </c>
      <c r="BH874" s="9">
        <f>VLOOKUP(A874,Jogos!A:BN,66,0)</f>
        <v>31.395</v>
      </c>
      <c r="BI874" s="9"/>
      <c r="BJ874" s="9"/>
    </row>
    <row r="875" hidden="1">
      <c r="A875" s="2">
        <v>30.0</v>
      </c>
      <c r="B875" s="11" t="s">
        <v>872</v>
      </c>
      <c r="C875" s="2" t="s">
        <v>61</v>
      </c>
      <c r="D875" s="3">
        <v>45830.0</v>
      </c>
      <c r="E875" s="4">
        <v>0.625</v>
      </c>
      <c r="F875" s="5" t="str">
        <f>VLOOKUP(A875,Jogos!A:N,10,0)</f>
        <v>Afternoon</v>
      </c>
      <c r="G875" s="2" t="s">
        <v>1200</v>
      </c>
      <c r="H875" s="6" t="str">
        <f>VLOOKUP(A875,Jogos!A:L,12,0)</f>
        <v>Open</v>
      </c>
      <c r="I875" s="6" t="str">
        <f>VLOOKUP(G875,'Estádios e Cidades'!A:B,2,0)</f>
        <v>Charlotte</v>
      </c>
      <c r="J875" s="2" t="s">
        <v>873</v>
      </c>
      <c r="K875" s="2" t="str">
        <f>VLOOKUP(J875,Equipes!A:F,6,0)</f>
        <v>Temperate</v>
      </c>
      <c r="L875" s="2">
        <f>VLOOKUP(J875,Equipes!A:C,3,0)</f>
        <v>3</v>
      </c>
      <c r="M875" s="2" t="str">
        <f t="shared" si="4"/>
        <v>Semi-final</v>
      </c>
      <c r="N875" s="2" t="s">
        <v>935</v>
      </c>
      <c r="O875" s="2">
        <f>VLOOKUP(N875,Equipes!A:C,3,0)</f>
        <v>30</v>
      </c>
      <c r="P875" s="2" t="str">
        <f t="shared" si="5"/>
        <v>Group</v>
      </c>
      <c r="Q875" s="2">
        <f t="shared" si="6"/>
        <v>-27</v>
      </c>
      <c r="R875" s="2" t="str">
        <f>VLOOKUP(J875,Equipes!A:B,2,0)</f>
        <v>Real</v>
      </c>
      <c r="S875" s="6" t="s">
        <v>893</v>
      </c>
      <c r="T875" s="7">
        <v>35.0</v>
      </c>
      <c r="U875" s="7" t="s">
        <v>894</v>
      </c>
      <c r="V875" s="7" t="str">
        <f>VLOOKUP(U875,Jogadores!B:C,2,0)</f>
        <v>DF</v>
      </c>
      <c r="W875" s="8">
        <f>VLOOKUP(U875,Jogadores!B:D,3,0)</f>
        <v>22.46849315</v>
      </c>
      <c r="X875" s="7">
        <v>0.0</v>
      </c>
      <c r="Y875" s="7">
        <v>7.0</v>
      </c>
      <c r="Z875" s="7">
        <f>VLOOKUP(A875,Jogos!A:L,3,0)</f>
        <v>49</v>
      </c>
      <c r="AA875" s="7">
        <f t="shared" si="2229"/>
        <v>7</v>
      </c>
      <c r="AB875" s="7">
        <f>VLOOKUP(A875,Jogos!A:L,4,0)</f>
        <v>52</v>
      </c>
      <c r="AC875" s="7">
        <f t="shared" si="2230"/>
        <v>0</v>
      </c>
      <c r="AD875" s="7"/>
      <c r="AE875" s="7"/>
      <c r="AF875" s="7">
        <f t="shared" si="2231"/>
        <v>7</v>
      </c>
      <c r="AG875" s="7">
        <v>758.2</v>
      </c>
      <c r="AH875" s="7">
        <v>327.2</v>
      </c>
      <c r="AI875" s="7">
        <v>246.5</v>
      </c>
      <c r="AJ875" s="7">
        <v>81.3</v>
      </c>
      <c r="AK875" s="7">
        <v>44.7</v>
      </c>
      <c r="AL875" s="7">
        <v>58.6</v>
      </c>
      <c r="AM875" s="7">
        <v>8.0</v>
      </c>
      <c r="AN875" s="7">
        <v>6.0</v>
      </c>
      <c r="AO875" s="7">
        <v>33.4</v>
      </c>
      <c r="AP875" s="9">
        <f t="shared" ref="AP875:AR875" si="2733">AG875/$AF875</f>
        <v>108.3142857</v>
      </c>
      <c r="AQ875" s="9">
        <f t="shared" si="2733"/>
        <v>46.74285714</v>
      </c>
      <c r="AR875" s="9">
        <f t="shared" si="2733"/>
        <v>35.21428571</v>
      </c>
      <c r="AS875" s="9">
        <f t="shared" si="2233"/>
        <v>81.95714286</v>
      </c>
      <c r="AT875" s="9">
        <f t="shared" ref="AT875:AV875" si="2734">AJ875/$AF875</f>
        <v>11.61428571</v>
      </c>
      <c r="AU875" s="9">
        <f t="shared" si="2734"/>
        <v>6.385714286</v>
      </c>
      <c r="AV875" s="9">
        <f t="shared" si="2734"/>
        <v>8.371428571</v>
      </c>
      <c r="AW875" s="9">
        <f t="shared" si="2235"/>
        <v>14.75714286</v>
      </c>
      <c r="AX875" s="9">
        <f t="shared" ref="AX875:AY875" si="2735">AM875/$AF875</f>
        <v>1.142857143</v>
      </c>
      <c r="AY875" s="9">
        <f t="shared" si="2735"/>
        <v>0.8571428571</v>
      </c>
      <c r="AZ875" s="9">
        <f>VLOOKUP(A875,Jogos!A:BN,58,0)</f>
        <v>34.76</v>
      </c>
      <c r="BA875" s="9">
        <f>VLOOKUP(A875,Jogos!A:BN,59,0)</f>
        <v>17.815</v>
      </c>
      <c r="BB875" s="9">
        <f>VLOOKUP(A875,Jogos!A:BN,60,0)</f>
        <v>36</v>
      </c>
      <c r="BC875" s="9">
        <f>VLOOKUP(A875,Jogos!A:BN,61,0)</f>
        <v>39.115</v>
      </c>
      <c r="BD875" s="9">
        <f>VLOOKUP(A875,Jogos!A:BN,62,0)</f>
        <v>509.5</v>
      </c>
      <c r="BE875" s="9">
        <f>VLOOKUP(A875,Jogos!A:BN,63,0)</f>
        <v>0.26</v>
      </c>
      <c r="BF875" s="9">
        <f>VLOOKUP(A875,Jogos!A:BN,64,0)</f>
        <v>25.44</v>
      </c>
      <c r="BG875" s="9">
        <f>VLOOKUP(A875,Jogos!A:BN,65,0)</f>
        <v>50.57</v>
      </c>
      <c r="BH875" s="9">
        <f>VLOOKUP(A875,Jogos!A:BN,66,0)</f>
        <v>31.395</v>
      </c>
      <c r="BI875" s="9"/>
      <c r="BJ875" s="9"/>
    </row>
    <row r="876" hidden="1">
      <c r="A876" s="2">
        <v>30.0</v>
      </c>
      <c r="B876" s="11" t="s">
        <v>872</v>
      </c>
      <c r="C876" s="2" t="s">
        <v>61</v>
      </c>
      <c r="D876" s="3">
        <v>45830.0</v>
      </c>
      <c r="E876" s="4">
        <v>0.625</v>
      </c>
      <c r="F876" s="5" t="str">
        <f>VLOOKUP(A876,Jogos!A:N,10,0)</f>
        <v>Afternoon</v>
      </c>
      <c r="G876" s="2" t="s">
        <v>1200</v>
      </c>
      <c r="H876" s="6" t="str">
        <f>VLOOKUP(A876,Jogos!A:L,12,0)</f>
        <v>Open</v>
      </c>
      <c r="I876" s="6" t="str">
        <f>VLOOKUP(G876,'Estádios e Cidades'!A:B,2,0)</f>
        <v>Charlotte</v>
      </c>
      <c r="J876" s="2" t="s">
        <v>873</v>
      </c>
      <c r="K876" s="2" t="str">
        <f>VLOOKUP(J876,Equipes!A:F,6,0)</f>
        <v>Temperate</v>
      </c>
      <c r="L876" s="2">
        <f>VLOOKUP(J876,Equipes!A:C,3,0)</f>
        <v>3</v>
      </c>
      <c r="M876" s="2" t="str">
        <f t="shared" si="4"/>
        <v>Semi-final</v>
      </c>
      <c r="N876" s="2" t="s">
        <v>935</v>
      </c>
      <c r="O876" s="2">
        <f>VLOOKUP(N876,Equipes!A:C,3,0)</f>
        <v>30</v>
      </c>
      <c r="P876" s="2" t="str">
        <f t="shared" si="5"/>
        <v>Group</v>
      </c>
      <c r="Q876" s="2">
        <f t="shared" si="6"/>
        <v>-27</v>
      </c>
      <c r="R876" s="2" t="str">
        <f>VLOOKUP(J876,Equipes!A:B,2,0)</f>
        <v>Real</v>
      </c>
      <c r="S876" s="6" t="s">
        <v>895</v>
      </c>
      <c r="T876" s="7">
        <v>10.0</v>
      </c>
      <c r="U876" s="7" t="s">
        <v>896</v>
      </c>
      <c r="V876" s="7" t="str">
        <f>VLOOKUP(U876,Jogadores!B:C,2,0)</f>
        <v>MF</v>
      </c>
      <c r="W876" s="8">
        <f>VLOOKUP(U876,Jogadores!B:D,3,0)</f>
        <v>39.90958904</v>
      </c>
      <c r="X876" s="7">
        <v>60.0</v>
      </c>
      <c r="Y876" s="7">
        <f t="shared" ref="Y876:Y882" si="2739">45+AB876</f>
        <v>97</v>
      </c>
      <c r="Z876" s="7">
        <f>VLOOKUP(A876,Jogos!A:L,3,0)</f>
        <v>49</v>
      </c>
      <c r="AA876" s="7">
        <f t="shared" si="2229"/>
        <v>0</v>
      </c>
      <c r="AB876" s="7">
        <f>VLOOKUP(A876,Jogos!A:L,4,0)</f>
        <v>52</v>
      </c>
      <c r="AC876" s="7">
        <f t="shared" si="2230"/>
        <v>37</v>
      </c>
      <c r="AD876" s="7"/>
      <c r="AE876" s="7"/>
      <c r="AF876" s="7">
        <f t="shared" si="2231"/>
        <v>37</v>
      </c>
      <c r="AG876" s="7">
        <v>3944.1</v>
      </c>
      <c r="AH876" s="7">
        <v>1544.0</v>
      </c>
      <c r="AI876" s="7">
        <v>1768.6</v>
      </c>
      <c r="AJ876" s="7">
        <v>542.7</v>
      </c>
      <c r="AK876" s="7">
        <v>67.6</v>
      </c>
      <c r="AL876" s="7">
        <v>21.2</v>
      </c>
      <c r="AM876" s="7">
        <v>44.0</v>
      </c>
      <c r="AN876" s="7">
        <v>7.0</v>
      </c>
      <c r="AO876" s="7">
        <v>29.5</v>
      </c>
      <c r="AP876" s="9">
        <f t="shared" ref="AP876:AR876" si="2736">AG876/$AF876</f>
        <v>106.5972973</v>
      </c>
      <c r="AQ876" s="9">
        <f t="shared" si="2736"/>
        <v>41.72972973</v>
      </c>
      <c r="AR876" s="9">
        <f t="shared" si="2736"/>
        <v>47.8</v>
      </c>
      <c r="AS876" s="9">
        <f t="shared" si="2233"/>
        <v>89.52972973</v>
      </c>
      <c r="AT876" s="9">
        <f t="shared" ref="AT876:AV876" si="2737">AJ876/$AF876</f>
        <v>14.66756757</v>
      </c>
      <c r="AU876" s="9">
        <f t="shared" si="2737"/>
        <v>1.827027027</v>
      </c>
      <c r="AV876" s="9">
        <f t="shared" si="2737"/>
        <v>0.572972973</v>
      </c>
      <c r="AW876" s="9">
        <f t="shared" si="2235"/>
        <v>2.4</v>
      </c>
      <c r="AX876" s="9">
        <f t="shared" ref="AX876:AY876" si="2738">AM876/$AF876</f>
        <v>1.189189189</v>
      </c>
      <c r="AY876" s="9">
        <f t="shared" si="2738"/>
        <v>0.1891891892</v>
      </c>
      <c r="AZ876" s="9">
        <f>VLOOKUP(A876,Jogos!A:BN,58,0)</f>
        <v>34.76</v>
      </c>
      <c r="BA876" s="9">
        <f>VLOOKUP(A876,Jogos!A:BN,59,0)</f>
        <v>17.815</v>
      </c>
      <c r="BB876" s="9">
        <f>VLOOKUP(A876,Jogos!A:BN,60,0)</f>
        <v>36</v>
      </c>
      <c r="BC876" s="9">
        <f>VLOOKUP(A876,Jogos!A:BN,61,0)</f>
        <v>39.115</v>
      </c>
      <c r="BD876" s="9">
        <f>VLOOKUP(A876,Jogos!A:BN,62,0)</f>
        <v>509.5</v>
      </c>
      <c r="BE876" s="9">
        <f>VLOOKUP(A876,Jogos!A:BN,63,0)</f>
        <v>0.26</v>
      </c>
      <c r="BF876" s="9">
        <f>VLOOKUP(A876,Jogos!A:BN,64,0)</f>
        <v>25.44</v>
      </c>
      <c r="BG876" s="9">
        <f>VLOOKUP(A876,Jogos!A:BN,65,0)</f>
        <v>50.57</v>
      </c>
      <c r="BH876" s="9">
        <f>VLOOKUP(A876,Jogos!A:BN,66,0)</f>
        <v>31.395</v>
      </c>
      <c r="BI876" s="9"/>
      <c r="BJ876" s="9"/>
    </row>
    <row r="877" hidden="1">
      <c r="A877" s="2">
        <v>30.0</v>
      </c>
      <c r="B877" s="11" t="s">
        <v>872</v>
      </c>
      <c r="C877" s="2" t="s">
        <v>61</v>
      </c>
      <c r="D877" s="3">
        <v>45830.0</v>
      </c>
      <c r="E877" s="4">
        <v>0.625</v>
      </c>
      <c r="F877" s="5" t="str">
        <f>VLOOKUP(A877,Jogos!A:N,10,0)</f>
        <v>Afternoon</v>
      </c>
      <c r="G877" s="2" t="s">
        <v>1200</v>
      </c>
      <c r="H877" s="6" t="str">
        <f>VLOOKUP(A877,Jogos!A:L,12,0)</f>
        <v>Open</v>
      </c>
      <c r="I877" s="6" t="str">
        <f>VLOOKUP(G877,'Estádios e Cidades'!A:B,2,0)</f>
        <v>Charlotte</v>
      </c>
      <c r="J877" s="2" t="s">
        <v>873</v>
      </c>
      <c r="K877" s="2" t="str">
        <f>VLOOKUP(J877,Equipes!A:F,6,0)</f>
        <v>Temperate</v>
      </c>
      <c r="L877" s="2">
        <f>VLOOKUP(J877,Equipes!A:C,3,0)</f>
        <v>3</v>
      </c>
      <c r="M877" s="2" t="str">
        <f t="shared" si="4"/>
        <v>Semi-final</v>
      </c>
      <c r="N877" s="2" t="s">
        <v>935</v>
      </c>
      <c r="O877" s="2">
        <f>VLOOKUP(N877,Equipes!A:C,3,0)</f>
        <v>30</v>
      </c>
      <c r="P877" s="2" t="str">
        <f t="shared" si="5"/>
        <v>Group</v>
      </c>
      <c r="Q877" s="2">
        <f t="shared" si="6"/>
        <v>-27</v>
      </c>
      <c r="R877" s="2" t="str">
        <f>VLOOKUP(J877,Equipes!A:B,2,0)</f>
        <v>Real</v>
      </c>
      <c r="S877" s="6" t="s">
        <v>1201</v>
      </c>
      <c r="T877" s="7">
        <v>19.0</v>
      </c>
      <c r="U877" s="7" t="s">
        <v>1202</v>
      </c>
      <c r="V877" s="7" t="str">
        <f>VLOOKUP(U877,Jogadores!B:C,2,0)</f>
        <v>MF</v>
      </c>
      <c r="W877" s="8">
        <f>VLOOKUP(U877,Jogadores!B:D,3,0)</f>
        <v>28.99178082</v>
      </c>
      <c r="X877" s="7">
        <v>60.0</v>
      </c>
      <c r="Y877" s="7">
        <f t="shared" si="2739"/>
        <v>97</v>
      </c>
      <c r="Z877" s="7">
        <f>VLOOKUP(A877,Jogos!A:L,3,0)</f>
        <v>49</v>
      </c>
      <c r="AA877" s="7">
        <f t="shared" si="2229"/>
        <v>0</v>
      </c>
      <c r="AB877" s="7">
        <f>VLOOKUP(A877,Jogos!A:L,4,0)</f>
        <v>52</v>
      </c>
      <c r="AC877" s="7">
        <f t="shared" si="2230"/>
        <v>37</v>
      </c>
      <c r="AD877" s="7"/>
      <c r="AE877" s="7"/>
      <c r="AF877" s="7">
        <f t="shared" si="2231"/>
        <v>37</v>
      </c>
      <c r="AG877" s="7">
        <v>4433.8</v>
      </c>
      <c r="AH877" s="7">
        <v>1533.1</v>
      </c>
      <c r="AI877" s="7">
        <v>2025.6</v>
      </c>
      <c r="AJ877" s="7">
        <v>754.5</v>
      </c>
      <c r="AK877" s="7">
        <v>111.9</v>
      </c>
      <c r="AL877" s="7">
        <v>8.6</v>
      </c>
      <c r="AM877" s="7">
        <v>57.0</v>
      </c>
      <c r="AN877" s="7">
        <v>9.0</v>
      </c>
      <c r="AO877" s="7">
        <v>26.1</v>
      </c>
      <c r="AP877" s="9">
        <f t="shared" ref="AP877:AR877" si="2740">AG877/$AF877</f>
        <v>119.8324324</v>
      </c>
      <c r="AQ877" s="9">
        <f t="shared" si="2740"/>
        <v>41.43513514</v>
      </c>
      <c r="AR877" s="9">
        <f t="shared" si="2740"/>
        <v>54.74594595</v>
      </c>
      <c r="AS877" s="9">
        <f t="shared" si="2233"/>
        <v>96.18108108</v>
      </c>
      <c r="AT877" s="9">
        <f t="shared" ref="AT877:AV877" si="2741">AJ877/$AF877</f>
        <v>20.39189189</v>
      </c>
      <c r="AU877" s="9">
        <f t="shared" si="2741"/>
        <v>3.024324324</v>
      </c>
      <c r="AV877" s="9">
        <f t="shared" si="2741"/>
        <v>0.2324324324</v>
      </c>
      <c r="AW877" s="9">
        <f t="shared" si="2235"/>
        <v>3.256756757</v>
      </c>
      <c r="AX877" s="9">
        <f t="shared" ref="AX877:AY877" si="2742">AM877/$AF877</f>
        <v>1.540540541</v>
      </c>
      <c r="AY877" s="9">
        <f t="shared" si="2742"/>
        <v>0.2432432432</v>
      </c>
      <c r="AZ877" s="9">
        <f>VLOOKUP(A877,Jogos!A:BN,58,0)</f>
        <v>34.76</v>
      </c>
      <c r="BA877" s="9">
        <f>VLOOKUP(A877,Jogos!A:BN,59,0)</f>
        <v>17.815</v>
      </c>
      <c r="BB877" s="9">
        <f>VLOOKUP(A877,Jogos!A:BN,60,0)</f>
        <v>36</v>
      </c>
      <c r="BC877" s="9">
        <f>VLOOKUP(A877,Jogos!A:BN,61,0)</f>
        <v>39.115</v>
      </c>
      <c r="BD877" s="9">
        <f>VLOOKUP(A877,Jogos!A:BN,62,0)</f>
        <v>509.5</v>
      </c>
      <c r="BE877" s="9">
        <f>VLOOKUP(A877,Jogos!A:BN,63,0)</f>
        <v>0.26</v>
      </c>
      <c r="BF877" s="9">
        <f>VLOOKUP(A877,Jogos!A:BN,64,0)</f>
        <v>25.44</v>
      </c>
      <c r="BG877" s="9">
        <f>VLOOKUP(A877,Jogos!A:BN,65,0)</f>
        <v>50.57</v>
      </c>
      <c r="BH877" s="9">
        <f>VLOOKUP(A877,Jogos!A:BN,66,0)</f>
        <v>31.395</v>
      </c>
      <c r="BI877" s="9"/>
      <c r="BJ877" s="9"/>
    </row>
    <row r="878" hidden="1">
      <c r="A878" s="2">
        <v>30.0</v>
      </c>
      <c r="B878" s="11" t="s">
        <v>872</v>
      </c>
      <c r="C878" s="2" t="s">
        <v>61</v>
      </c>
      <c r="D878" s="3">
        <v>45830.0</v>
      </c>
      <c r="E878" s="4">
        <v>0.625</v>
      </c>
      <c r="F878" s="5" t="str">
        <f>VLOOKUP(A878,Jogos!A:N,10,0)</f>
        <v>Afternoon</v>
      </c>
      <c r="G878" s="2" t="s">
        <v>1200</v>
      </c>
      <c r="H878" s="6" t="str">
        <f>VLOOKUP(A878,Jogos!A:L,12,0)</f>
        <v>Open</v>
      </c>
      <c r="I878" s="6" t="str">
        <f>VLOOKUP(G878,'Estádios e Cidades'!A:B,2,0)</f>
        <v>Charlotte</v>
      </c>
      <c r="J878" s="2" t="s">
        <v>873</v>
      </c>
      <c r="K878" s="2" t="str">
        <f>VLOOKUP(J878,Equipes!A:F,6,0)</f>
        <v>Temperate</v>
      </c>
      <c r="L878" s="2">
        <f>VLOOKUP(J878,Equipes!A:C,3,0)</f>
        <v>3</v>
      </c>
      <c r="M878" s="2" t="str">
        <f t="shared" si="4"/>
        <v>Semi-final</v>
      </c>
      <c r="N878" s="2" t="s">
        <v>935</v>
      </c>
      <c r="O878" s="2">
        <f>VLOOKUP(N878,Equipes!A:C,3,0)</f>
        <v>30</v>
      </c>
      <c r="P878" s="2" t="str">
        <f t="shared" si="5"/>
        <v>Group</v>
      </c>
      <c r="Q878" s="2">
        <f t="shared" si="6"/>
        <v>-27</v>
      </c>
      <c r="R878" s="2" t="str">
        <f>VLOOKUP(J878,Equipes!A:B,2,0)</f>
        <v>Real</v>
      </c>
      <c r="S878" s="6" t="s">
        <v>901</v>
      </c>
      <c r="T878" s="7">
        <v>21.0</v>
      </c>
      <c r="U878" s="7" t="s">
        <v>902</v>
      </c>
      <c r="V878" s="7" t="str">
        <f>VLOOKUP(U878,Jogadores!B:C,2,0)</f>
        <v>FW</v>
      </c>
      <c r="W878" s="8">
        <f>VLOOKUP(U878,Jogadores!B:D,3,0)</f>
        <v>26.00273973</v>
      </c>
      <c r="X878" s="7">
        <v>45.0</v>
      </c>
      <c r="Y878" s="7">
        <f t="shared" si="2739"/>
        <v>97</v>
      </c>
      <c r="Z878" s="7">
        <f>VLOOKUP(A878,Jogos!A:L,3,0)</f>
        <v>49</v>
      </c>
      <c r="AA878" s="7">
        <f t="shared" si="2229"/>
        <v>0</v>
      </c>
      <c r="AB878" s="7">
        <f>VLOOKUP(A878,Jogos!A:L,4,0)</f>
        <v>52</v>
      </c>
      <c r="AC878" s="7">
        <f t="shared" si="2230"/>
        <v>52</v>
      </c>
      <c r="AD878" s="7"/>
      <c r="AE878" s="7"/>
      <c r="AF878" s="7">
        <f t="shared" si="2231"/>
        <v>52</v>
      </c>
      <c r="AG878" s="7">
        <v>5648.8</v>
      </c>
      <c r="AH878" s="7">
        <v>2021.3</v>
      </c>
      <c r="AI878" s="7">
        <v>2512.7</v>
      </c>
      <c r="AJ878" s="7">
        <v>752.3</v>
      </c>
      <c r="AK878" s="7">
        <v>245.8</v>
      </c>
      <c r="AL878" s="7">
        <v>116.7</v>
      </c>
      <c r="AM878" s="7">
        <v>55.0</v>
      </c>
      <c r="AN878" s="7">
        <v>22.0</v>
      </c>
      <c r="AO878" s="7">
        <v>30.6</v>
      </c>
      <c r="AP878" s="9">
        <f t="shared" ref="AP878:AR878" si="2743">AG878/$AF878</f>
        <v>108.6307692</v>
      </c>
      <c r="AQ878" s="9">
        <f t="shared" si="2743"/>
        <v>38.87115385</v>
      </c>
      <c r="AR878" s="9">
        <f t="shared" si="2743"/>
        <v>48.32115385</v>
      </c>
      <c r="AS878" s="9">
        <f t="shared" si="2233"/>
        <v>87.19230769</v>
      </c>
      <c r="AT878" s="9">
        <f t="shared" ref="AT878:AV878" si="2744">AJ878/$AF878</f>
        <v>14.46730769</v>
      </c>
      <c r="AU878" s="9">
        <f t="shared" si="2744"/>
        <v>4.726923077</v>
      </c>
      <c r="AV878" s="9">
        <f t="shared" si="2744"/>
        <v>2.244230769</v>
      </c>
      <c r="AW878" s="9">
        <f t="shared" si="2235"/>
        <v>6.971153846</v>
      </c>
      <c r="AX878" s="9">
        <f t="shared" ref="AX878:AY878" si="2745">AM878/$AF878</f>
        <v>1.057692308</v>
      </c>
      <c r="AY878" s="9">
        <f t="shared" si="2745"/>
        <v>0.4230769231</v>
      </c>
      <c r="AZ878" s="9">
        <f>VLOOKUP(A878,Jogos!A:BN,58,0)</f>
        <v>34.76</v>
      </c>
      <c r="BA878" s="9">
        <f>VLOOKUP(A878,Jogos!A:BN,59,0)</f>
        <v>17.815</v>
      </c>
      <c r="BB878" s="9">
        <f>VLOOKUP(A878,Jogos!A:BN,60,0)</f>
        <v>36</v>
      </c>
      <c r="BC878" s="9">
        <f>VLOOKUP(A878,Jogos!A:BN,61,0)</f>
        <v>39.115</v>
      </c>
      <c r="BD878" s="9">
        <f>VLOOKUP(A878,Jogos!A:BN,62,0)</f>
        <v>509.5</v>
      </c>
      <c r="BE878" s="9">
        <f>VLOOKUP(A878,Jogos!A:BN,63,0)</f>
        <v>0.26</v>
      </c>
      <c r="BF878" s="9">
        <f>VLOOKUP(A878,Jogos!A:BN,64,0)</f>
        <v>25.44</v>
      </c>
      <c r="BG878" s="9">
        <f>VLOOKUP(A878,Jogos!A:BN,65,0)</f>
        <v>50.57</v>
      </c>
      <c r="BH878" s="9">
        <f>VLOOKUP(A878,Jogos!A:BN,66,0)</f>
        <v>31.395</v>
      </c>
      <c r="BI878" s="9"/>
      <c r="BJ878" s="9"/>
    </row>
    <row r="879" hidden="1">
      <c r="A879" s="2">
        <v>30.0</v>
      </c>
      <c r="B879" s="11" t="s">
        <v>872</v>
      </c>
      <c r="C879" s="2" t="s">
        <v>61</v>
      </c>
      <c r="D879" s="3">
        <v>45830.0</v>
      </c>
      <c r="E879" s="4">
        <v>0.625</v>
      </c>
      <c r="F879" s="5" t="str">
        <f>VLOOKUP(A879,Jogos!A:N,10,0)</f>
        <v>Afternoon</v>
      </c>
      <c r="G879" s="2" t="s">
        <v>1200</v>
      </c>
      <c r="H879" s="6" t="str">
        <f>VLOOKUP(A879,Jogos!A:L,12,0)</f>
        <v>Open</v>
      </c>
      <c r="I879" s="6" t="str">
        <f>VLOOKUP(G879,'Estádios e Cidades'!A:B,2,0)</f>
        <v>Charlotte</v>
      </c>
      <c r="J879" s="2" t="s">
        <v>873</v>
      </c>
      <c r="K879" s="2" t="str">
        <f>VLOOKUP(J879,Equipes!A:F,6,0)</f>
        <v>Temperate</v>
      </c>
      <c r="L879" s="2">
        <f>VLOOKUP(J879,Equipes!A:C,3,0)</f>
        <v>3</v>
      </c>
      <c r="M879" s="2" t="str">
        <f t="shared" si="4"/>
        <v>Semi-final</v>
      </c>
      <c r="N879" s="2" t="s">
        <v>935</v>
      </c>
      <c r="O879" s="2">
        <f>VLOOKUP(N879,Equipes!A:C,3,0)</f>
        <v>30</v>
      </c>
      <c r="P879" s="2" t="str">
        <f t="shared" si="5"/>
        <v>Group</v>
      </c>
      <c r="Q879" s="2">
        <f t="shared" si="6"/>
        <v>-27</v>
      </c>
      <c r="R879" s="2" t="str">
        <f>VLOOKUP(J879,Equipes!A:B,2,0)</f>
        <v>Real</v>
      </c>
      <c r="S879" s="6" t="s">
        <v>1203</v>
      </c>
      <c r="T879" s="7">
        <v>22.0</v>
      </c>
      <c r="U879" s="7" t="s">
        <v>1204</v>
      </c>
      <c r="V879" s="7" t="str">
        <f>VLOOKUP(U879,Jogadores!B:C,2,0)</f>
        <v>DF</v>
      </c>
      <c r="W879" s="8">
        <f>VLOOKUP(U879,Jogadores!B:D,3,0)</f>
        <v>32.42465753</v>
      </c>
      <c r="X879" s="7">
        <v>78.0</v>
      </c>
      <c r="Y879" s="7">
        <f t="shared" si="2739"/>
        <v>97</v>
      </c>
      <c r="Z879" s="7">
        <f>VLOOKUP(A879,Jogos!A:L,3,0)</f>
        <v>49</v>
      </c>
      <c r="AA879" s="7">
        <f t="shared" si="2229"/>
        <v>0</v>
      </c>
      <c r="AB879" s="7">
        <f>VLOOKUP(A879,Jogos!A:L,4,0)</f>
        <v>52</v>
      </c>
      <c r="AC879" s="7">
        <f t="shared" si="2230"/>
        <v>19</v>
      </c>
      <c r="AD879" s="7"/>
      <c r="AE879" s="7"/>
      <c r="AF879" s="7">
        <f t="shared" si="2231"/>
        <v>19</v>
      </c>
      <c r="AG879" s="7">
        <v>2076.8</v>
      </c>
      <c r="AH879" s="7">
        <v>905.3</v>
      </c>
      <c r="AI879" s="7">
        <v>810.0</v>
      </c>
      <c r="AJ879" s="7">
        <v>199.9</v>
      </c>
      <c r="AK879" s="7">
        <v>98.0</v>
      </c>
      <c r="AL879" s="7">
        <v>63.6</v>
      </c>
      <c r="AM879" s="7">
        <v>20.0</v>
      </c>
      <c r="AN879" s="7">
        <v>9.0</v>
      </c>
      <c r="AO879" s="7">
        <v>28.7</v>
      </c>
      <c r="AP879" s="9">
        <f t="shared" ref="AP879:AR879" si="2746">AG879/$AF879</f>
        <v>109.3052632</v>
      </c>
      <c r="AQ879" s="9">
        <f t="shared" si="2746"/>
        <v>47.64736842</v>
      </c>
      <c r="AR879" s="9">
        <f t="shared" si="2746"/>
        <v>42.63157895</v>
      </c>
      <c r="AS879" s="9">
        <f t="shared" si="2233"/>
        <v>90.27894737</v>
      </c>
      <c r="AT879" s="9">
        <f t="shared" ref="AT879:AV879" si="2747">AJ879/$AF879</f>
        <v>10.52105263</v>
      </c>
      <c r="AU879" s="9">
        <f t="shared" si="2747"/>
        <v>5.157894737</v>
      </c>
      <c r="AV879" s="9">
        <f t="shared" si="2747"/>
        <v>3.347368421</v>
      </c>
      <c r="AW879" s="9">
        <f t="shared" si="2235"/>
        <v>8.505263158</v>
      </c>
      <c r="AX879" s="9">
        <f t="shared" ref="AX879:AY879" si="2748">AM879/$AF879</f>
        <v>1.052631579</v>
      </c>
      <c r="AY879" s="9">
        <f t="shared" si="2748"/>
        <v>0.4736842105</v>
      </c>
      <c r="AZ879" s="9">
        <f>VLOOKUP(A879,Jogos!A:BN,58,0)</f>
        <v>34.76</v>
      </c>
      <c r="BA879" s="9">
        <f>VLOOKUP(A879,Jogos!A:BN,59,0)</f>
        <v>17.815</v>
      </c>
      <c r="BB879" s="9">
        <f>VLOOKUP(A879,Jogos!A:BN,60,0)</f>
        <v>36</v>
      </c>
      <c r="BC879" s="9">
        <f>VLOOKUP(A879,Jogos!A:BN,61,0)</f>
        <v>39.115</v>
      </c>
      <c r="BD879" s="9">
        <f>VLOOKUP(A879,Jogos!A:BN,62,0)</f>
        <v>509.5</v>
      </c>
      <c r="BE879" s="9">
        <f>VLOOKUP(A879,Jogos!A:BN,63,0)</f>
        <v>0.26</v>
      </c>
      <c r="BF879" s="9">
        <f>VLOOKUP(A879,Jogos!A:BN,64,0)</f>
        <v>25.44</v>
      </c>
      <c r="BG879" s="9">
        <f>VLOOKUP(A879,Jogos!A:BN,65,0)</f>
        <v>50.57</v>
      </c>
      <c r="BH879" s="9">
        <f>VLOOKUP(A879,Jogos!A:BN,66,0)</f>
        <v>31.395</v>
      </c>
      <c r="BI879" s="9"/>
      <c r="BJ879" s="9"/>
    </row>
    <row r="880" hidden="1">
      <c r="A880" s="2">
        <v>30.0</v>
      </c>
      <c r="B880" s="11" t="s">
        <v>872</v>
      </c>
      <c r="C880" s="2" t="s">
        <v>61</v>
      </c>
      <c r="D880" s="3">
        <v>45830.0</v>
      </c>
      <c r="E880" s="4">
        <v>0.625</v>
      </c>
      <c r="F880" s="5" t="str">
        <f>VLOOKUP(A880,Jogos!A:N,10,0)</f>
        <v>Afternoon</v>
      </c>
      <c r="G880" s="2" t="s">
        <v>1200</v>
      </c>
      <c r="H880" s="6" t="str">
        <f>VLOOKUP(A880,Jogos!A:L,12,0)</f>
        <v>Open</v>
      </c>
      <c r="I880" s="6" t="str">
        <f>VLOOKUP(G880,'Estádios e Cidades'!A:B,2,0)</f>
        <v>Charlotte</v>
      </c>
      <c r="J880" s="2" t="s">
        <v>873</v>
      </c>
      <c r="K880" s="2" t="str">
        <f>VLOOKUP(J880,Equipes!A:F,6,0)</f>
        <v>Temperate</v>
      </c>
      <c r="L880" s="2">
        <f>VLOOKUP(J880,Equipes!A:C,3,0)</f>
        <v>3</v>
      </c>
      <c r="M880" s="2" t="str">
        <f t="shared" si="4"/>
        <v>Semi-final</v>
      </c>
      <c r="N880" s="2" t="s">
        <v>935</v>
      </c>
      <c r="O880" s="2">
        <f>VLOOKUP(N880,Equipes!A:C,3,0)</f>
        <v>30</v>
      </c>
      <c r="P880" s="2" t="str">
        <f t="shared" si="5"/>
        <v>Group</v>
      </c>
      <c r="Q880" s="2">
        <f t="shared" si="6"/>
        <v>-27</v>
      </c>
      <c r="R880" s="2" t="str">
        <f>VLOOKUP(J880,Equipes!A:B,2,0)</f>
        <v>Real</v>
      </c>
      <c r="S880" s="6" t="s">
        <v>903</v>
      </c>
      <c r="T880" s="7">
        <v>44.0</v>
      </c>
      <c r="U880" s="7" t="s">
        <v>904</v>
      </c>
      <c r="V880" s="7" t="str">
        <f>VLOOKUP(U880,Jogadores!B:C,2,0)</f>
        <v>MF</v>
      </c>
      <c r="W880" s="8">
        <f>VLOOKUP(U880,Jogadores!B:D,3,0)</f>
        <v>22.05753425</v>
      </c>
      <c r="X880" s="7">
        <v>87.0</v>
      </c>
      <c r="Y880" s="7">
        <f t="shared" si="2739"/>
        <v>97</v>
      </c>
      <c r="Z880" s="7">
        <f>VLOOKUP(A880,Jogos!A:L,3,0)</f>
        <v>49</v>
      </c>
      <c r="AA880" s="7">
        <f t="shared" si="2229"/>
        <v>0</v>
      </c>
      <c r="AB880" s="7">
        <f>VLOOKUP(A880,Jogos!A:L,4,0)</f>
        <v>52</v>
      </c>
      <c r="AC880" s="7">
        <f t="shared" si="2230"/>
        <v>10</v>
      </c>
      <c r="AD880" s="7"/>
      <c r="AE880" s="7"/>
      <c r="AF880" s="7">
        <f t="shared" si="2231"/>
        <v>10</v>
      </c>
      <c r="AG880" s="7">
        <v>1388.2</v>
      </c>
      <c r="AH880" s="7">
        <v>433.7</v>
      </c>
      <c r="AI880" s="7">
        <v>611.9</v>
      </c>
      <c r="AJ880" s="7">
        <v>187.9</v>
      </c>
      <c r="AK880" s="7">
        <v>115.2</v>
      </c>
      <c r="AL880" s="7">
        <v>39.5</v>
      </c>
      <c r="AM880" s="7">
        <v>11.0</v>
      </c>
      <c r="AN880" s="7">
        <v>12.0</v>
      </c>
      <c r="AO880" s="7">
        <v>31.1</v>
      </c>
      <c r="AP880" s="9">
        <f t="shared" ref="AP880:AR880" si="2749">AG880/$AF880</f>
        <v>138.82</v>
      </c>
      <c r="AQ880" s="9">
        <f t="shared" si="2749"/>
        <v>43.37</v>
      </c>
      <c r="AR880" s="9">
        <f t="shared" si="2749"/>
        <v>61.19</v>
      </c>
      <c r="AS880" s="9">
        <f t="shared" si="2233"/>
        <v>104.56</v>
      </c>
      <c r="AT880" s="9">
        <f t="shared" ref="AT880:AV880" si="2750">AJ880/$AF880</f>
        <v>18.79</v>
      </c>
      <c r="AU880" s="9">
        <f t="shared" si="2750"/>
        <v>11.52</v>
      </c>
      <c r="AV880" s="9">
        <f t="shared" si="2750"/>
        <v>3.95</v>
      </c>
      <c r="AW880" s="9">
        <f t="shared" si="2235"/>
        <v>15.47</v>
      </c>
      <c r="AX880" s="9">
        <f t="shared" ref="AX880:AY880" si="2751">AM880/$AF880</f>
        <v>1.1</v>
      </c>
      <c r="AY880" s="9">
        <f t="shared" si="2751"/>
        <v>1.2</v>
      </c>
      <c r="AZ880" s="9">
        <f>VLOOKUP(A880,Jogos!A:BN,58,0)</f>
        <v>34.76</v>
      </c>
      <c r="BA880" s="9">
        <f>VLOOKUP(A880,Jogos!A:BN,59,0)</f>
        <v>17.815</v>
      </c>
      <c r="BB880" s="9">
        <f>VLOOKUP(A880,Jogos!A:BN,60,0)</f>
        <v>36</v>
      </c>
      <c r="BC880" s="9">
        <f>VLOOKUP(A880,Jogos!A:BN,61,0)</f>
        <v>39.115</v>
      </c>
      <c r="BD880" s="9">
        <f>VLOOKUP(A880,Jogos!A:BN,62,0)</f>
        <v>509.5</v>
      </c>
      <c r="BE880" s="9">
        <f>VLOOKUP(A880,Jogos!A:BN,63,0)</f>
        <v>0.26</v>
      </c>
      <c r="BF880" s="9">
        <f>VLOOKUP(A880,Jogos!A:BN,64,0)</f>
        <v>25.44</v>
      </c>
      <c r="BG880" s="9">
        <f>VLOOKUP(A880,Jogos!A:BN,65,0)</f>
        <v>50.57</v>
      </c>
      <c r="BH880" s="9">
        <f>VLOOKUP(A880,Jogos!A:BN,66,0)</f>
        <v>31.395</v>
      </c>
      <c r="BI880" s="9"/>
      <c r="BJ880" s="9"/>
    </row>
    <row r="881" hidden="1">
      <c r="A881" s="2">
        <v>30.0</v>
      </c>
      <c r="B881" s="11" t="s">
        <v>872</v>
      </c>
      <c r="C881" s="2" t="s">
        <v>61</v>
      </c>
      <c r="D881" s="3">
        <v>45830.0</v>
      </c>
      <c r="E881" s="4">
        <v>0.625</v>
      </c>
      <c r="F881" s="5" t="str">
        <f>VLOOKUP(A881,Jogos!A:N,10,0)</f>
        <v>Afternoon</v>
      </c>
      <c r="G881" s="2" t="s">
        <v>1200</v>
      </c>
      <c r="H881" s="6" t="str">
        <f>VLOOKUP(A881,Jogos!A:L,12,0)</f>
        <v>Open</v>
      </c>
      <c r="I881" s="6" t="str">
        <f>VLOOKUP(G881,'Estádios e Cidades'!A:B,2,0)</f>
        <v>Charlotte</v>
      </c>
      <c r="J881" s="2" t="s">
        <v>935</v>
      </c>
      <c r="K881" s="2" t="str">
        <f>VLOOKUP(J881,Equipes!A:F,6,0)</f>
        <v>Temperate</v>
      </c>
      <c r="L881" s="2">
        <f>VLOOKUP(J881,Equipes!A:C,3,0)</f>
        <v>30</v>
      </c>
      <c r="M881" s="2" t="str">
        <f t="shared" si="4"/>
        <v>Group</v>
      </c>
      <c r="N881" s="2" t="s">
        <v>873</v>
      </c>
      <c r="O881" s="2">
        <f>VLOOKUP(N881,Equipes!A:C,3,0)</f>
        <v>3</v>
      </c>
      <c r="P881" s="2" t="str">
        <f t="shared" si="5"/>
        <v>Semi-final</v>
      </c>
      <c r="Q881" s="2">
        <f t="shared" si="6"/>
        <v>27</v>
      </c>
      <c r="R881" s="2" t="str">
        <f>VLOOKUP(J881,Equipes!A:B,2,0)</f>
        <v>Pachuca</v>
      </c>
      <c r="S881" s="14" t="s">
        <v>937</v>
      </c>
      <c r="T881" s="7">
        <v>4.0</v>
      </c>
      <c r="U881" s="7" t="s">
        <v>938</v>
      </c>
      <c r="V881" s="7" t="str">
        <f>VLOOKUP(U881,Jogadores!B:C,2,0)</f>
        <v>DF</v>
      </c>
      <c r="W881" s="8">
        <f>VLOOKUP(U881,Jogadores!B:D,3,0)</f>
        <v>29.4739726</v>
      </c>
      <c r="X881" s="7">
        <v>0.0</v>
      </c>
      <c r="Y881" s="7">
        <f t="shared" si="2739"/>
        <v>97</v>
      </c>
      <c r="Z881" s="7">
        <f>VLOOKUP(A881,Jogos!A:L,3,0)</f>
        <v>49</v>
      </c>
      <c r="AA881" s="7">
        <f t="shared" si="2229"/>
        <v>49</v>
      </c>
      <c r="AB881" s="7">
        <f>VLOOKUP(A881,Jogos!A:L,4,0)</f>
        <v>52</v>
      </c>
      <c r="AC881" s="7">
        <f t="shared" si="2230"/>
        <v>52</v>
      </c>
      <c r="AD881" s="7"/>
      <c r="AE881" s="7"/>
      <c r="AF881" s="7">
        <f t="shared" si="2231"/>
        <v>101</v>
      </c>
      <c r="AG881" s="7">
        <v>9905.7</v>
      </c>
      <c r="AH881" s="7">
        <v>4502.3</v>
      </c>
      <c r="AI881" s="7">
        <v>3784.3</v>
      </c>
      <c r="AJ881" s="7">
        <v>936.5</v>
      </c>
      <c r="AK881" s="7">
        <v>424.7</v>
      </c>
      <c r="AL881" s="7">
        <v>257.9</v>
      </c>
      <c r="AM881" s="7">
        <v>82.0</v>
      </c>
      <c r="AN881" s="7">
        <v>38.0</v>
      </c>
      <c r="AO881" s="7">
        <v>34.4</v>
      </c>
      <c r="AP881" s="9">
        <f t="shared" ref="AP881:AR881" si="2752">AG881/$AF881</f>
        <v>98.07623762</v>
      </c>
      <c r="AQ881" s="9">
        <f t="shared" si="2752"/>
        <v>44.57722772</v>
      </c>
      <c r="AR881" s="9">
        <f t="shared" si="2752"/>
        <v>37.46831683</v>
      </c>
      <c r="AS881" s="9">
        <f t="shared" si="2233"/>
        <v>82.04554455</v>
      </c>
      <c r="AT881" s="9">
        <f t="shared" ref="AT881:AV881" si="2753">AJ881/$AF881</f>
        <v>9.272277228</v>
      </c>
      <c r="AU881" s="9">
        <f t="shared" si="2753"/>
        <v>4.204950495</v>
      </c>
      <c r="AV881" s="9">
        <f t="shared" si="2753"/>
        <v>2.553465347</v>
      </c>
      <c r="AW881" s="9">
        <f t="shared" si="2235"/>
        <v>6.758415842</v>
      </c>
      <c r="AX881" s="9">
        <f t="shared" ref="AX881:AY881" si="2754">AM881/$AF881</f>
        <v>0.8118811881</v>
      </c>
      <c r="AY881" s="9">
        <f t="shared" si="2754"/>
        <v>0.3762376238</v>
      </c>
      <c r="AZ881" s="9">
        <f>VLOOKUP(A881,Jogos!A:BN,58,0)</f>
        <v>34.76</v>
      </c>
      <c r="BA881" s="9">
        <f>VLOOKUP(A881,Jogos!A:BN,59,0)</f>
        <v>17.815</v>
      </c>
      <c r="BB881" s="9">
        <f>VLOOKUP(A881,Jogos!A:BN,60,0)</f>
        <v>36</v>
      </c>
      <c r="BC881" s="9">
        <f>VLOOKUP(A881,Jogos!A:BN,61,0)</f>
        <v>39.115</v>
      </c>
      <c r="BD881" s="9">
        <f>VLOOKUP(A881,Jogos!A:BN,62,0)</f>
        <v>509.5</v>
      </c>
      <c r="BE881" s="9">
        <f>VLOOKUP(A881,Jogos!A:BN,63,0)</f>
        <v>0.26</v>
      </c>
      <c r="BF881" s="9">
        <f>VLOOKUP(A881,Jogos!A:BN,64,0)</f>
        <v>25.44</v>
      </c>
      <c r="BG881" s="9">
        <f>VLOOKUP(A881,Jogos!A:BN,65,0)</f>
        <v>50.57</v>
      </c>
      <c r="BH881" s="9">
        <f>VLOOKUP(A881,Jogos!A:BN,66,0)</f>
        <v>31.395</v>
      </c>
      <c r="BI881" s="9"/>
      <c r="BJ881" s="9"/>
    </row>
    <row r="882" hidden="1">
      <c r="A882" s="2">
        <v>30.0</v>
      </c>
      <c r="B882" s="11" t="s">
        <v>872</v>
      </c>
      <c r="C882" s="2" t="s">
        <v>61</v>
      </c>
      <c r="D882" s="3">
        <v>45830.0</v>
      </c>
      <c r="E882" s="4">
        <v>0.625</v>
      </c>
      <c r="F882" s="5" t="str">
        <f>VLOOKUP(A882,Jogos!A:N,10,0)</f>
        <v>Afternoon</v>
      </c>
      <c r="G882" s="2" t="s">
        <v>1200</v>
      </c>
      <c r="H882" s="6" t="str">
        <f>VLOOKUP(A882,Jogos!A:L,12,0)</f>
        <v>Open</v>
      </c>
      <c r="I882" s="6" t="str">
        <f>VLOOKUP(G882,'Estádios e Cidades'!A:B,2,0)</f>
        <v>Charlotte</v>
      </c>
      <c r="J882" s="2" t="s">
        <v>935</v>
      </c>
      <c r="K882" s="2" t="str">
        <f>VLOOKUP(J882,Equipes!A:F,6,0)</f>
        <v>Temperate</v>
      </c>
      <c r="L882" s="2">
        <f>VLOOKUP(J882,Equipes!A:C,3,0)</f>
        <v>30</v>
      </c>
      <c r="M882" s="2" t="str">
        <f t="shared" si="4"/>
        <v>Group</v>
      </c>
      <c r="N882" s="2" t="s">
        <v>873</v>
      </c>
      <c r="O882" s="2">
        <f>VLOOKUP(N882,Equipes!A:C,3,0)</f>
        <v>3</v>
      </c>
      <c r="P882" s="2" t="str">
        <f t="shared" si="5"/>
        <v>Semi-final</v>
      </c>
      <c r="Q882" s="2">
        <f t="shared" si="6"/>
        <v>27</v>
      </c>
      <c r="R882" s="2" t="str">
        <f>VLOOKUP(J882,Equipes!A:B,2,0)</f>
        <v>Pachuca</v>
      </c>
      <c r="S882" s="6" t="s">
        <v>941</v>
      </c>
      <c r="T882" s="7">
        <v>8.0</v>
      </c>
      <c r="U882" s="7" t="s">
        <v>942</v>
      </c>
      <c r="V882" s="7" t="str">
        <f>VLOOKUP(U882,Jogadores!B:C,2,0)</f>
        <v>DF</v>
      </c>
      <c r="W882" s="8">
        <f>VLOOKUP(U882,Jogadores!B:D,3,0)</f>
        <v>22.31506849</v>
      </c>
      <c r="X882" s="7">
        <v>0.0</v>
      </c>
      <c r="Y882" s="7">
        <f t="shared" si="2739"/>
        <v>97</v>
      </c>
      <c r="Z882" s="7">
        <f>VLOOKUP(A882,Jogos!A:L,3,0)</f>
        <v>49</v>
      </c>
      <c r="AA882" s="7">
        <f t="shared" si="2229"/>
        <v>49</v>
      </c>
      <c r="AB882" s="7">
        <f>VLOOKUP(A882,Jogos!A:L,4,0)</f>
        <v>52</v>
      </c>
      <c r="AC882" s="7">
        <f t="shared" si="2230"/>
        <v>52</v>
      </c>
      <c r="AD882" s="7"/>
      <c r="AE882" s="7"/>
      <c r="AF882" s="7">
        <f t="shared" si="2231"/>
        <v>101</v>
      </c>
      <c r="AG882" s="7">
        <v>11396.9</v>
      </c>
      <c r="AH882" s="7">
        <v>4041.0</v>
      </c>
      <c r="AI882" s="7">
        <v>5028.7</v>
      </c>
      <c r="AJ882" s="7">
        <v>1596.5</v>
      </c>
      <c r="AK882" s="7">
        <v>541.8</v>
      </c>
      <c r="AL882" s="7">
        <v>188.9</v>
      </c>
      <c r="AM882" s="7">
        <v>132.0</v>
      </c>
      <c r="AN882" s="7">
        <v>49.0</v>
      </c>
      <c r="AO882" s="7">
        <v>31.3</v>
      </c>
      <c r="AP882" s="9">
        <f t="shared" ref="AP882:AR882" si="2755">AG882/$AF882</f>
        <v>112.8405941</v>
      </c>
      <c r="AQ882" s="9">
        <f t="shared" si="2755"/>
        <v>40.00990099</v>
      </c>
      <c r="AR882" s="9">
        <f t="shared" si="2755"/>
        <v>49.78910891</v>
      </c>
      <c r="AS882" s="9">
        <f t="shared" si="2233"/>
        <v>89.7990099</v>
      </c>
      <c r="AT882" s="9">
        <f t="shared" ref="AT882:AV882" si="2756">AJ882/$AF882</f>
        <v>15.80693069</v>
      </c>
      <c r="AU882" s="9">
        <f t="shared" si="2756"/>
        <v>5.364356436</v>
      </c>
      <c r="AV882" s="9">
        <f t="shared" si="2756"/>
        <v>1.87029703</v>
      </c>
      <c r="AW882" s="9">
        <f t="shared" si="2235"/>
        <v>7.234653465</v>
      </c>
      <c r="AX882" s="9">
        <f t="shared" ref="AX882:AY882" si="2757">AM882/$AF882</f>
        <v>1.306930693</v>
      </c>
      <c r="AY882" s="9">
        <f t="shared" si="2757"/>
        <v>0.4851485149</v>
      </c>
      <c r="AZ882" s="9">
        <f>VLOOKUP(A882,Jogos!A:BN,58,0)</f>
        <v>34.76</v>
      </c>
      <c r="BA882" s="9">
        <f>VLOOKUP(A882,Jogos!A:BN,59,0)</f>
        <v>17.815</v>
      </c>
      <c r="BB882" s="9">
        <f>VLOOKUP(A882,Jogos!A:BN,60,0)</f>
        <v>36</v>
      </c>
      <c r="BC882" s="9">
        <f>VLOOKUP(A882,Jogos!A:BN,61,0)</f>
        <v>39.115</v>
      </c>
      <c r="BD882" s="9">
        <f>VLOOKUP(A882,Jogos!A:BN,62,0)</f>
        <v>509.5</v>
      </c>
      <c r="BE882" s="9">
        <f>VLOOKUP(A882,Jogos!A:BN,63,0)</f>
        <v>0.26</v>
      </c>
      <c r="BF882" s="9">
        <f>VLOOKUP(A882,Jogos!A:BN,64,0)</f>
        <v>25.44</v>
      </c>
      <c r="BG882" s="9">
        <f>VLOOKUP(A882,Jogos!A:BN,65,0)</f>
        <v>50.57</v>
      </c>
      <c r="BH882" s="9">
        <f>VLOOKUP(A882,Jogos!A:BN,66,0)</f>
        <v>31.395</v>
      </c>
      <c r="BI882" s="9"/>
      <c r="BJ882" s="9"/>
    </row>
    <row r="883" hidden="1">
      <c r="A883" s="2">
        <v>30.0</v>
      </c>
      <c r="B883" s="11" t="s">
        <v>872</v>
      </c>
      <c r="C883" s="2" t="s">
        <v>61</v>
      </c>
      <c r="D883" s="3">
        <v>45830.0</v>
      </c>
      <c r="E883" s="4">
        <v>0.625</v>
      </c>
      <c r="F883" s="5" t="str">
        <f>VLOOKUP(A883,Jogos!A:N,10,0)</f>
        <v>Afternoon</v>
      </c>
      <c r="G883" s="2" t="s">
        <v>1200</v>
      </c>
      <c r="H883" s="6" t="str">
        <f>VLOOKUP(A883,Jogos!A:L,12,0)</f>
        <v>Open</v>
      </c>
      <c r="I883" s="6" t="str">
        <f>VLOOKUP(G883,'Estádios e Cidades'!A:B,2,0)</f>
        <v>Charlotte</v>
      </c>
      <c r="J883" s="2" t="s">
        <v>935</v>
      </c>
      <c r="K883" s="2" t="str">
        <f>VLOOKUP(J883,Equipes!A:F,6,0)</f>
        <v>Temperate</v>
      </c>
      <c r="L883" s="2">
        <f>VLOOKUP(J883,Equipes!A:C,3,0)</f>
        <v>30</v>
      </c>
      <c r="M883" s="2" t="str">
        <f t="shared" si="4"/>
        <v>Group</v>
      </c>
      <c r="N883" s="2" t="s">
        <v>873</v>
      </c>
      <c r="O883" s="2">
        <f>VLOOKUP(N883,Equipes!A:C,3,0)</f>
        <v>3</v>
      </c>
      <c r="P883" s="2" t="str">
        <f t="shared" si="5"/>
        <v>Semi-final</v>
      </c>
      <c r="Q883" s="2">
        <f t="shared" si="6"/>
        <v>27</v>
      </c>
      <c r="R883" s="2" t="str">
        <f>VLOOKUP(J883,Equipes!A:B,2,0)</f>
        <v>Pachuca</v>
      </c>
      <c r="S883" s="6" t="s">
        <v>943</v>
      </c>
      <c r="T883" s="7">
        <v>12.0</v>
      </c>
      <c r="U883" s="7" t="s">
        <v>944</v>
      </c>
      <c r="V883" s="7" t="str">
        <f>VLOOKUP(U883,Jogadores!B:C,2,0)</f>
        <v>FW</v>
      </c>
      <c r="W883" s="8">
        <f>VLOOKUP(U883,Jogadores!B:D,3,0)</f>
        <v>20.57808219</v>
      </c>
      <c r="X883" s="7">
        <v>0.0</v>
      </c>
      <c r="Y883" s="7">
        <v>45.0</v>
      </c>
      <c r="Z883" s="7">
        <f>VLOOKUP(A883,Jogos!A:L,3,0)</f>
        <v>49</v>
      </c>
      <c r="AA883" s="7">
        <f t="shared" si="2229"/>
        <v>49</v>
      </c>
      <c r="AB883" s="7">
        <f>VLOOKUP(A883,Jogos!A:L,4,0)</f>
        <v>52</v>
      </c>
      <c r="AC883" s="7">
        <f t="shared" si="2230"/>
        <v>0</v>
      </c>
      <c r="AD883" s="7"/>
      <c r="AE883" s="7"/>
      <c r="AF883" s="7">
        <f t="shared" si="2231"/>
        <v>49</v>
      </c>
      <c r="AG883" s="7">
        <v>5372.6</v>
      </c>
      <c r="AH883" s="7">
        <v>2132.0</v>
      </c>
      <c r="AI883" s="7">
        <v>1960.9</v>
      </c>
      <c r="AJ883" s="7">
        <v>695.1</v>
      </c>
      <c r="AK883" s="7">
        <v>411.7</v>
      </c>
      <c r="AL883" s="7">
        <v>172.9</v>
      </c>
      <c r="AM883" s="7">
        <v>65.0</v>
      </c>
      <c r="AN883" s="7">
        <v>35.0</v>
      </c>
      <c r="AO883" s="7">
        <v>32.3</v>
      </c>
      <c r="AP883" s="9">
        <f t="shared" ref="AP883:AR883" si="2758">AG883/$AF883</f>
        <v>109.644898</v>
      </c>
      <c r="AQ883" s="9">
        <f t="shared" si="2758"/>
        <v>43.51020408</v>
      </c>
      <c r="AR883" s="9">
        <f t="shared" si="2758"/>
        <v>40.01836735</v>
      </c>
      <c r="AS883" s="9">
        <f t="shared" si="2233"/>
        <v>83.52857143</v>
      </c>
      <c r="AT883" s="9">
        <f t="shared" ref="AT883:AV883" si="2759">AJ883/$AF883</f>
        <v>14.18571429</v>
      </c>
      <c r="AU883" s="9">
        <f t="shared" si="2759"/>
        <v>8.402040816</v>
      </c>
      <c r="AV883" s="9">
        <f t="shared" si="2759"/>
        <v>3.528571429</v>
      </c>
      <c r="AW883" s="9">
        <f t="shared" si="2235"/>
        <v>11.93061224</v>
      </c>
      <c r="AX883" s="9">
        <f t="shared" ref="AX883:AY883" si="2760">AM883/$AF883</f>
        <v>1.326530612</v>
      </c>
      <c r="AY883" s="9">
        <f t="shared" si="2760"/>
        <v>0.7142857143</v>
      </c>
      <c r="AZ883" s="9">
        <f>VLOOKUP(A883,Jogos!A:BN,58,0)</f>
        <v>34.76</v>
      </c>
      <c r="BA883" s="9">
        <f>VLOOKUP(A883,Jogos!A:BN,59,0)</f>
        <v>17.815</v>
      </c>
      <c r="BB883" s="9">
        <f>VLOOKUP(A883,Jogos!A:BN,60,0)</f>
        <v>36</v>
      </c>
      <c r="BC883" s="9">
        <f>VLOOKUP(A883,Jogos!A:BN,61,0)</f>
        <v>39.115</v>
      </c>
      <c r="BD883" s="9">
        <f>VLOOKUP(A883,Jogos!A:BN,62,0)</f>
        <v>509.5</v>
      </c>
      <c r="BE883" s="9">
        <f>VLOOKUP(A883,Jogos!A:BN,63,0)</f>
        <v>0.26</v>
      </c>
      <c r="BF883" s="9">
        <f>VLOOKUP(A883,Jogos!A:BN,64,0)</f>
        <v>25.44</v>
      </c>
      <c r="BG883" s="9">
        <f>VLOOKUP(A883,Jogos!A:BN,65,0)</f>
        <v>50.57</v>
      </c>
      <c r="BH883" s="9">
        <f>VLOOKUP(A883,Jogos!A:BN,66,0)</f>
        <v>31.395</v>
      </c>
      <c r="BI883" s="9"/>
      <c r="BJ883" s="9"/>
    </row>
    <row r="884" hidden="1">
      <c r="A884" s="2">
        <v>30.0</v>
      </c>
      <c r="B884" s="11" t="s">
        <v>872</v>
      </c>
      <c r="C884" s="2" t="s">
        <v>61</v>
      </c>
      <c r="D884" s="3">
        <v>45830.0</v>
      </c>
      <c r="E884" s="4">
        <v>0.625</v>
      </c>
      <c r="F884" s="5" t="str">
        <f>VLOOKUP(A884,Jogos!A:N,10,0)</f>
        <v>Afternoon</v>
      </c>
      <c r="G884" s="2" t="s">
        <v>1200</v>
      </c>
      <c r="H884" s="6" t="str">
        <f>VLOOKUP(A884,Jogos!A:L,12,0)</f>
        <v>Open</v>
      </c>
      <c r="I884" s="6" t="str">
        <f>VLOOKUP(G884,'Estádios e Cidades'!A:B,2,0)</f>
        <v>Charlotte</v>
      </c>
      <c r="J884" s="2" t="s">
        <v>935</v>
      </c>
      <c r="K884" s="2" t="str">
        <f>VLOOKUP(J884,Equipes!A:F,6,0)</f>
        <v>Temperate</v>
      </c>
      <c r="L884" s="2">
        <f>VLOOKUP(J884,Equipes!A:C,3,0)</f>
        <v>30</v>
      </c>
      <c r="M884" s="2" t="str">
        <f t="shared" si="4"/>
        <v>Group</v>
      </c>
      <c r="N884" s="2" t="s">
        <v>873</v>
      </c>
      <c r="O884" s="2">
        <f>VLOOKUP(N884,Equipes!A:C,3,0)</f>
        <v>3</v>
      </c>
      <c r="P884" s="2" t="str">
        <f t="shared" si="5"/>
        <v>Semi-final</v>
      </c>
      <c r="Q884" s="2">
        <f t="shared" si="6"/>
        <v>27</v>
      </c>
      <c r="R884" s="2" t="str">
        <f>VLOOKUP(J884,Equipes!A:B,2,0)</f>
        <v>Pachuca</v>
      </c>
      <c r="S884" s="6" t="s">
        <v>945</v>
      </c>
      <c r="T884" s="7">
        <v>16.0</v>
      </c>
      <c r="U884" s="7" t="s">
        <v>946</v>
      </c>
      <c r="V884" s="7" t="str">
        <f>VLOOKUP(U884,Jogadores!B:C,2,0)</f>
        <v>DF</v>
      </c>
      <c r="W884" s="8">
        <f>VLOOKUP(U884,Jogadores!B:D,3,0)</f>
        <v>25.44109589</v>
      </c>
      <c r="X884" s="7">
        <v>0.0</v>
      </c>
      <c r="Y884" s="7">
        <f>45+AB884</f>
        <v>97</v>
      </c>
      <c r="Z884" s="7">
        <f>VLOOKUP(A884,Jogos!A:L,3,0)</f>
        <v>49</v>
      </c>
      <c r="AA884" s="7">
        <f t="shared" si="2229"/>
        <v>49</v>
      </c>
      <c r="AB884" s="7">
        <f>VLOOKUP(A884,Jogos!A:L,4,0)</f>
        <v>52</v>
      </c>
      <c r="AC884" s="7">
        <f t="shared" si="2230"/>
        <v>52</v>
      </c>
      <c r="AD884" s="7"/>
      <c r="AE884" s="7"/>
      <c r="AF884" s="7">
        <f t="shared" si="2231"/>
        <v>101</v>
      </c>
      <c r="AG884" s="7">
        <v>10005.2</v>
      </c>
      <c r="AH884" s="7">
        <v>4053.7</v>
      </c>
      <c r="AI884" s="7">
        <v>4082.7</v>
      </c>
      <c r="AJ884" s="7">
        <v>1222.5</v>
      </c>
      <c r="AK884" s="7">
        <v>464.5</v>
      </c>
      <c r="AL884" s="7">
        <v>181.9</v>
      </c>
      <c r="AM884" s="7">
        <v>105.0</v>
      </c>
      <c r="AN884" s="7">
        <v>39.0</v>
      </c>
      <c r="AO884" s="7">
        <v>32.0</v>
      </c>
      <c r="AP884" s="9">
        <f t="shared" ref="AP884:AR884" si="2761">AG884/$AF884</f>
        <v>99.06138614</v>
      </c>
      <c r="AQ884" s="9">
        <f t="shared" si="2761"/>
        <v>40.13564356</v>
      </c>
      <c r="AR884" s="9">
        <f t="shared" si="2761"/>
        <v>40.42277228</v>
      </c>
      <c r="AS884" s="9">
        <f t="shared" si="2233"/>
        <v>80.55841584</v>
      </c>
      <c r="AT884" s="9">
        <f t="shared" ref="AT884:AV884" si="2762">AJ884/$AF884</f>
        <v>12.1039604</v>
      </c>
      <c r="AU884" s="9">
        <f t="shared" si="2762"/>
        <v>4.599009901</v>
      </c>
      <c r="AV884" s="9">
        <f t="shared" si="2762"/>
        <v>1.800990099</v>
      </c>
      <c r="AW884" s="9">
        <f t="shared" si="2235"/>
        <v>6.4</v>
      </c>
      <c r="AX884" s="9">
        <f t="shared" ref="AX884:AY884" si="2763">AM884/$AF884</f>
        <v>1.03960396</v>
      </c>
      <c r="AY884" s="9">
        <f t="shared" si="2763"/>
        <v>0.3861386139</v>
      </c>
      <c r="AZ884" s="9">
        <f>VLOOKUP(A884,Jogos!A:BN,58,0)</f>
        <v>34.76</v>
      </c>
      <c r="BA884" s="9">
        <f>VLOOKUP(A884,Jogos!A:BN,59,0)</f>
        <v>17.815</v>
      </c>
      <c r="BB884" s="9">
        <f>VLOOKUP(A884,Jogos!A:BN,60,0)</f>
        <v>36</v>
      </c>
      <c r="BC884" s="9">
        <f>VLOOKUP(A884,Jogos!A:BN,61,0)</f>
        <v>39.115</v>
      </c>
      <c r="BD884" s="9">
        <f>VLOOKUP(A884,Jogos!A:BN,62,0)</f>
        <v>509.5</v>
      </c>
      <c r="BE884" s="9">
        <f>VLOOKUP(A884,Jogos!A:BN,63,0)</f>
        <v>0.26</v>
      </c>
      <c r="BF884" s="9">
        <f>VLOOKUP(A884,Jogos!A:BN,64,0)</f>
        <v>25.44</v>
      </c>
      <c r="BG884" s="9">
        <f>VLOOKUP(A884,Jogos!A:BN,65,0)</f>
        <v>50.57</v>
      </c>
      <c r="BH884" s="9">
        <f>VLOOKUP(A884,Jogos!A:BN,66,0)</f>
        <v>31.395</v>
      </c>
      <c r="BI884" s="9"/>
      <c r="BJ884" s="9"/>
    </row>
    <row r="885" hidden="1">
      <c r="A885" s="2">
        <v>30.0</v>
      </c>
      <c r="B885" s="11" t="s">
        <v>872</v>
      </c>
      <c r="C885" s="2" t="s">
        <v>61</v>
      </c>
      <c r="D885" s="3">
        <v>45830.0</v>
      </c>
      <c r="E885" s="4">
        <v>0.625</v>
      </c>
      <c r="F885" s="5" t="str">
        <f>VLOOKUP(A885,Jogos!A:N,10,0)</f>
        <v>Afternoon</v>
      </c>
      <c r="G885" s="2" t="s">
        <v>1200</v>
      </c>
      <c r="H885" s="6" t="str">
        <f>VLOOKUP(A885,Jogos!A:L,12,0)</f>
        <v>Open</v>
      </c>
      <c r="I885" s="6" t="str">
        <f>VLOOKUP(G885,'Estádios e Cidades'!A:B,2,0)</f>
        <v>Charlotte</v>
      </c>
      <c r="J885" s="2" t="s">
        <v>935</v>
      </c>
      <c r="K885" s="2" t="str">
        <f>VLOOKUP(J885,Equipes!A:F,6,0)</f>
        <v>Temperate</v>
      </c>
      <c r="L885" s="2">
        <f>VLOOKUP(J885,Equipes!A:C,3,0)</f>
        <v>30</v>
      </c>
      <c r="M885" s="2" t="str">
        <f t="shared" si="4"/>
        <v>Group</v>
      </c>
      <c r="N885" s="2" t="s">
        <v>873</v>
      </c>
      <c r="O885" s="2">
        <f>VLOOKUP(N885,Equipes!A:C,3,0)</f>
        <v>3</v>
      </c>
      <c r="P885" s="2" t="str">
        <f t="shared" si="5"/>
        <v>Semi-final</v>
      </c>
      <c r="Q885" s="2">
        <f t="shared" si="6"/>
        <v>27</v>
      </c>
      <c r="R885" s="2" t="str">
        <f>VLOOKUP(J885,Equipes!A:B,2,0)</f>
        <v>Pachuca</v>
      </c>
      <c r="S885" s="6" t="s">
        <v>947</v>
      </c>
      <c r="T885" s="7">
        <v>18.0</v>
      </c>
      <c r="U885" s="7" t="s">
        <v>948</v>
      </c>
      <c r="V885" s="7" t="str">
        <f>VLOOKUP(U885,Jogadores!B:C,2,0)</f>
        <v>MF</v>
      </c>
      <c r="W885" s="8">
        <f>VLOOKUP(U885,Jogadores!B:D,3,0)</f>
        <v>28.73424658</v>
      </c>
      <c r="X885" s="7">
        <v>0.0</v>
      </c>
      <c r="Y885" s="7">
        <v>72.0</v>
      </c>
      <c r="Z885" s="7">
        <f>VLOOKUP(A885,Jogos!A:L,3,0)</f>
        <v>49</v>
      </c>
      <c r="AA885" s="7">
        <f t="shared" si="2229"/>
        <v>49</v>
      </c>
      <c r="AB885" s="7">
        <f>VLOOKUP(A885,Jogos!A:L,4,0)</f>
        <v>52</v>
      </c>
      <c r="AC885" s="7">
        <f t="shared" si="2230"/>
        <v>27</v>
      </c>
      <c r="AD885" s="7"/>
      <c r="AE885" s="7"/>
      <c r="AF885" s="7">
        <f t="shared" si="2231"/>
        <v>76</v>
      </c>
      <c r="AG885" s="7">
        <v>9032.5</v>
      </c>
      <c r="AH885" s="7">
        <v>2831.2</v>
      </c>
      <c r="AI885" s="7">
        <v>4251.2</v>
      </c>
      <c r="AJ885" s="7">
        <v>1461.9</v>
      </c>
      <c r="AK885" s="7">
        <v>442.3</v>
      </c>
      <c r="AL885" s="7">
        <v>45.8</v>
      </c>
      <c r="AM885" s="7">
        <v>118.0</v>
      </c>
      <c r="AN885" s="7">
        <v>33.0</v>
      </c>
      <c r="AO885" s="7">
        <v>27.0</v>
      </c>
      <c r="AP885" s="9">
        <f t="shared" ref="AP885:AR885" si="2764">AG885/$AF885</f>
        <v>118.8486842</v>
      </c>
      <c r="AQ885" s="9">
        <f t="shared" si="2764"/>
        <v>37.25263158</v>
      </c>
      <c r="AR885" s="9">
        <f t="shared" si="2764"/>
        <v>55.93684211</v>
      </c>
      <c r="AS885" s="9">
        <f t="shared" si="2233"/>
        <v>93.18947368</v>
      </c>
      <c r="AT885" s="9">
        <f t="shared" ref="AT885:AV885" si="2765">AJ885/$AF885</f>
        <v>19.23552632</v>
      </c>
      <c r="AU885" s="9">
        <f t="shared" si="2765"/>
        <v>5.819736842</v>
      </c>
      <c r="AV885" s="9">
        <f t="shared" si="2765"/>
        <v>0.6026315789</v>
      </c>
      <c r="AW885" s="9">
        <f t="shared" si="2235"/>
        <v>6.422368421</v>
      </c>
      <c r="AX885" s="9">
        <f t="shared" ref="AX885:AY885" si="2766">AM885/$AF885</f>
        <v>1.552631579</v>
      </c>
      <c r="AY885" s="9">
        <f t="shared" si="2766"/>
        <v>0.4342105263</v>
      </c>
      <c r="AZ885" s="9">
        <f>VLOOKUP(A885,Jogos!A:BN,58,0)</f>
        <v>34.76</v>
      </c>
      <c r="BA885" s="9">
        <f>VLOOKUP(A885,Jogos!A:BN,59,0)</f>
        <v>17.815</v>
      </c>
      <c r="BB885" s="9">
        <f>VLOOKUP(A885,Jogos!A:BN,60,0)</f>
        <v>36</v>
      </c>
      <c r="BC885" s="9">
        <f>VLOOKUP(A885,Jogos!A:BN,61,0)</f>
        <v>39.115</v>
      </c>
      <c r="BD885" s="9">
        <f>VLOOKUP(A885,Jogos!A:BN,62,0)</f>
        <v>509.5</v>
      </c>
      <c r="BE885" s="9">
        <f>VLOOKUP(A885,Jogos!A:BN,63,0)</f>
        <v>0.26</v>
      </c>
      <c r="BF885" s="9">
        <f>VLOOKUP(A885,Jogos!A:BN,64,0)</f>
        <v>25.44</v>
      </c>
      <c r="BG885" s="9">
        <f>VLOOKUP(A885,Jogos!A:BN,65,0)</f>
        <v>50.57</v>
      </c>
      <c r="BH885" s="9">
        <f>VLOOKUP(A885,Jogos!A:BN,66,0)</f>
        <v>31.395</v>
      </c>
      <c r="BI885" s="9"/>
      <c r="BJ885" s="9"/>
    </row>
    <row r="886" hidden="1">
      <c r="A886" s="2">
        <v>30.0</v>
      </c>
      <c r="B886" s="11" t="s">
        <v>872</v>
      </c>
      <c r="C886" s="2" t="s">
        <v>61</v>
      </c>
      <c r="D886" s="3">
        <v>45830.0</v>
      </c>
      <c r="E886" s="4">
        <v>0.625</v>
      </c>
      <c r="F886" s="5" t="str">
        <f>VLOOKUP(A886,Jogos!A:N,10,0)</f>
        <v>Afternoon</v>
      </c>
      <c r="G886" s="2" t="s">
        <v>1200</v>
      </c>
      <c r="H886" s="6" t="str">
        <f>VLOOKUP(A886,Jogos!A:L,12,0)</f>
        <v>Open</v>
      </c>
      <c r="I886" s="6" t="str">
        <f>VLOOKUP(G886,'Estádios e Cidades'!A:B,2,0)</f>
        <v>Charlotte</v>
      </c>
      <c r="J886" s="2" t="s">
        <v>935</v>
      </c>
      <c r="K886" s="2" t="str">
        <f>VLOOKUP(J886,Equipes!A:F,6,0)</f>
        <v>Temperate</v>
      </c>
      <c r="L886" s="2">
        <f>VLOOKUP(J886,Equipes!A:C,3,0)</f>
        <v>30</v>
      </c>
      <c r="M886" s="2" t="str">
        <f t="shared" si="4"/>
        <v>Group</v>
      </c>
      <c r="N886" s="2" t="s">
        <v>873</v>
      </c>
      <c r="O886" s="2">
        <f>VLOOKUP(N886,Equipes!A:C,3,0)</f>
        <v>3</v>
      </c>
      <c r="P886" s="2" t="str">
        <f t="shared" si="5"/>
        <v>Semi-final</v>
      </c>
      <c r="Q886" s="2">
        <f t="shared" si="6"/>
        <v>27</v>
      </c>
      <c r="R886" s="2" t="str">
        <f>VLOOKUP(J886,Equipes!A:B,2,0)</f>
        <v>Pachuca</v>
      </c>
      <c r="S886" s="6" t="s">
        <v>949</v>
      </c>
      <c r="T886" s="7">
        <v>23.0</v>
      </c>
      <c r="U886" s="7" t="s">
        <v>950</v>
      </c>
      <c r="V886" s="7" t="str">
        <f>VLOOKUP(U886,Jogadores!B:C,2,0)</f>
        <v>FW</v>
      </c>
      <c r="W886" s="8">
        <f>VLOOKUP(U886,Jogadores!B:D,3,0)</f>
        <v>35.88767123</v>
      </c>
      <c r="X886" s="7">
        <v>0.0</v>
      </c>
      <c r="Y886" s="7">
        <f>45+AB886</f>
        <v>97</v>
      </c>
      <c r="Z886" s="7">
        <f>VLOOKUP(A886,Jogos!A:L,3,0)</f>
        <v>49</v>
      </c>
      <c r="AA886" s="7">
        <f t="shared" si="2229"/>
        <v>49</v>
      </c>
      <c r="AB886" s="7">
        <f>VLOOKUP(A886,Jogos!A:L,4,0)</f>
        <v>52</v>
      </c>
      <c r="AC886" s="7">
        <f t="shared" si="2230"/>
        <v>52</v>
      </c>
      <c r="AD886" s="7"/>
      <c r="AE886" s="7"/>
      <c r="AF886" s="7">
        <f t="shared" si="2231"/>
        <v>101</v>
      </c>
      <c r="AG886" s="7">
        <v>9409.9</v>
      </c>
      <c r="AH886" s="7">
        <v>4694.6</v>
      </c>
      <c r="AI886" s="7">
        <v>3517.0</v>
      </c>
      <c r="AJ886" s="7">
        <v>792.2</v>
      </c>
      <c r="AK886" s="7">
        <v>258.0</v>
      </c>
      <c r="AL886" s="7">
        <v>148.1</v>
      </c>
      <c r="AM886" s="7">
        <v>79.0</v>
      </c>
      <c r="AN886" s="7">
        <v>22.0</v>
      </c>
      <c r="AO886" s="7">
        <v>32.6</v>
      </c>
      <c r="AP886" s="9">
        <f t="shared" ref="AP886:AR886" si="2767">AG886/$AF886</f>
        <v>93.16732673</v>
      </c>
      <c r="AQ886" s="9">
        <f t="shared" si="2767"/>
        <v>46.48118812</v>
      </c>
      <c r="AR886" s="9">
        <f t="shared" si="2767"/>
        <v>34.82178218</v>
      </c>
      <c r="AS886" s="9">
        <f t="shared" si="2233"/>
        <v>81.3029703</v>
      </c>
      <c r="AT886" s="9">
        <f t="shared" ref="AT886:AV886" si="2768">AJ886/$AF886</f>
        <v>7.843564356</v>
      </c>
      <c r="AU886" s="9">
        <f t="shared" si="2768"/>
        <v>2.554455446</v>
      </c>
      <c r="AV886" s="9">
        <f t="shared" si="2768"/>
        <v>1.466336634</v>
      </c>
      <c r="AW886" s="9">
        <f t="shared" si="2235"/>
        <v>4.020792079</v>
      </c>
      <c r="AX886" s="9">
        <f t="shared" ref="AX886:AY886" si="2769">AM886/$AF886</f>
        <v>0.7821782178</v>
      </c>
      <c r="AY886" s="9">
        <f t="shared" si="2769"/>
        <v>0.2178217822</v>
      </c>
      <c r="AZ886" s="9">
        <f>VLOOKUP(A886,Jogos!A:BN,58,0)</f>
        <v>34.76</v>
      </c>
      <c r="BA886" s="9">
        <f>VLOOKUP(A886,Jogos!A:BN,59,0)</f>
        <v>17.815</v>
      </c>
      <c r="BB886" s="9">
        <f>VLOOKUP(A886,Jogos!A:BN,60,0)</f>
        <v>36</v>
      </c>
      <c r="BC886" s="9">
        <f>VLOOKUP(A886,Jogos!A:BN,61,0)</f>
        <v>39.115</v>
      </c>
      <c r="BD886" s="9">
        <f>VLOOKUP(A886,Jogos!A:BN,62,0)</f>
        <v>509.5</v>
      </c>
      <c r="BE886" s="9">
        <f>VLOOKUP(A886,Jogos!A:BN,63,0)</f>
        <v>0.26</v>
      </c>
      <c r="BF886" s="9">
        <f>VLOOKUP(A886,Jogos!A:BN,64,0)</f>
        <v>25.44</v>
      </c>
      <c r="BG886" s="9">
        <f>VLOOKUP(A886,Jogos!A:BN,65,0)</f>
        <v>50.57</v>
      </c>
      <c r="BH886" s="9">
        <f>VLOOKUP(A886,Jogos!A:BN,66,0)</f>
        <v>31.395</v>
      </c>
      <c r="BI886" s="9"/>
      <c r="BJ886" s="9"/>
    </row>
    <row r="887" hidden="1">
      <c r="A887" s="2">
        <v>30.0</v>
      </c>
      <c r="B887" s="11" t="s">
        <v>872</v>
      </c>
      <c r="C887" s="2" t="s">
        <v>61</v>
      </c>
      <c r="D887" s="3">
        <v>45830.0</v>
      </c>
      <c r="E887" s="4">
        <v>0.625</v>
      </c>
      <c r="F887" s="5" t="str">
        <f>VLOOKUP(A887,Jogos!A:N,10,0)</f>
        <v>Afternoon</v>
      </c>
      <c r="G887" s="2" t="s">
        <v>1200</v>
      </c>
      <c r="H887" s="6" t="str">
        <f>VLOOKUP(A887,Jogos!A:L,12,0)</f>
        <v>Open</v>
      </c>
      <c r="I887" s="6" t="str">
        <f>VLOOKUP(G887,'Estádios e Cidades'!A:B,2,0)</f>
        <v>Charlotte</v>
      </c>
      <c r="J887" s="2" t="s">
        <v>935</v>
      </c>
      <c r="K887" s="2" t="str">
        <f>VLOOKUP(J887,Equipes!A:F,6,0)</f>
        <v>Temperate</v>
      </c>
      <c r="L887" s="2">
        <f>VLOOKUP(J887,Equipes!A:C,3,0)</f>
        <v>30</v>
      </c>
      <c r="M887" s="2" t="str">
        <f t="shared" si="4"/>
        <v>Group</v>
      </c>
      <c r="N887" s="2" t="s">
        <v>873</v>
      </c>
      <c r="O887" s="2">
        <f>VLOOKUP(N887,Equipes!A:C,3,0)</f>
        <v>3</v>
      </c>
      <c r="P887" s="2" t="str">
        <f t="shared" si="5"/>
        <v>Semi-final</v>
      </c>
      <c r="Q887" s="2">
        <f t="shared" si="6"/>
        <v>27</v>
      </c>
      <c r="R887" s="2" t="str">
        <f>VLOOKUP(J887,Equipes!A:B,2,0)</f>
        <v>Pachuca</v>
      </c>
      <c r="S887" s="6" t="s">
        <v>951</v>
      </c>
      <c r="T887" s="7">
        <v>24.0</v>
      </c>
      <c r="U887" s="7" t="s">
        <v>952</v>
      </c>
      <c r="V887" s="7" t="str">
        <f>VLOOKUP(U887,Jogadores!B:C,2,0)</f>
        <v>DF</v>
      </c>
      <c r="W887" s="8">
        <f>VLOOKUP(U887,Jogadores!B:D,3,0)</f>
        <v>34.53972603</v>
      </c>
      <c r="X887" s="7">
        <v>0.0</v>
      </c>
      <c r="Y887" s="7">
        <v>60.0</v>
      </c>
      <c r="Z887" s="7">
        <f>VLOOKUP(A887,Jogos!A:L,3,0)</f>
        <v>49</v>
      </c>
      <c r="AA887" s="7">
        <f t="shared" si="2229"/>
        <v>49</v>
      </c>
      <c r="AB887" s="7">
        <f>VLOOKUP(A887,Jogos!A:L,4,0)</f>
        <v>52</v>
      </c>
      <c r="AC887" s="7">
        <f t="shared" si="2230"/>
        <v>15</v>
      </c>
      <c r="AD887" s="7"/>
      <c r="AE887" s="7"/>
      <c r="AF887" s="7">
        <f t="shared" si="2231"/>
        <v>64</v>
      </c>
      <c r="AG887" s="7">
        <v>6293.8</v>
      </c>
      <c r="AH887" s="7">
        <v>2659.6</v>
      </c>
      <c r="AI887" s="7">
        <v>2354.3</v>
      </c>
      <c r="AJ887" s="7">
        <v>741.5</v>
      </c>
      <c r="AK887" s="7">
        <v>340.6</v>
      </c>
      <c r="AL887" s="7">
        <v>197.8</v>
      </c>
      <c r="AM887" s="7">
        <v>60.0</v>
      </c>
      <c r="AN887" s="7">
        <v>27.0</v>
      </c>
      <c r="AO887" s="7">
        <v>30.1</v>
      </c>
      <c r="AP887" s="9">
        <f t="shared" ref="AP887:AR887" si="2770">AG887/$AF887</f>
        <v>98.340625</v>
      </c>
      <c r="AQ887" s="9">
        <f t="shared" si="2770"/>
        <v>41.55625</v>
      </c>
      <c r="AR887" s="9">
        <f t="shared" si="2770"/>
        <v>36.7859375</v>
      </c>
      <c r="AS887" s="9">
        <f t="shared" si="2233"/>
        <v>78.3421875</v>
      </c>
      <c r="AT887" s="9">
        <f t="shared" ref="AT887:AV887" si="2771">AJ887/$AF887</f>
        <v>11.5859375</v>
      </c>
      <c r="AU887" s="9">
        <f t="shared" si="2771"/>
        <v>5.321875</v>
      </c>
      <c r="AV887" s="9">
        <f t="shared" si="2771"/>
        <v>3.090625</v>
      </c>
      <c r="AW887" s="9">
        <f t="shared" si="2235"/>
        <v>8.4125</v>
      </c>
      <c r="AX887" s="9">
        <f t="shared" ref="AX887:AY887" si="2772">AM887/$AF887</f>
        <v>0.9375</v>
      </c>
      <c r="AY887" s="9">
        <f t="shared" si="2772"/>
        <v>0.421875</v>
      </c>
      <c r="AZ887" s="9">
        <f>VLOOKUP(A887,Jogos!A:BN,58,0)</f>
        <v>34.76</v>
      </c>
      <c r="BA887" s="9">
        <f>VLOOKUP(A887,Jogos!A:BN,59,0)</f>
        <v>17.815</v>
      </c>
      <c r="BB887" s="9">
        <f>VLOOKUP(A887,Jogos!A:BN,60,0)</f>
        <v>36</v>
      </c>
      <c r="BC887" s="9">
        <f>VLOOKUP(A887,Jogos!A:BN,61,0)</f>
        <v>39.115</v>
      </c>
      <c r="BD887" s="9">
        <f>VLOOKUP(A887,Jogos!A:BN,62,0)</f>
        <v>509.5</v>
      </c>
      <c r="BE887" s="9">
        <f>VLOOKUP(A887,Jogos!A:BN,63,0)</f>
        <v>0.26</v>
      </c>
      <c r="BF887" s="9">
        <f>VLOOKUP(A887,Jogos!A:BN,64,0)</f>
        <v>25.44</v>
      </c>
      <c r="BG887" s="9">
        <f>VLOOKUP(A887,Jogos!A:BN,65,0)</f>
        <v>50.57</v>
      </c>
      <c r="BH887" s="9">
        <f>VLOOKUP(A887,Jogos!A:BN,66,0)</f>
        <v>31.395</v>
      </c>
      <c r="BI887" s="9"/>
      <c r="BJ887" s="9"/>
    </row>
    <row r="888" hidden="1">
      <c r="A888" s="2">
        <v>30.0</v>
      </c>
      <c r="B888" s="11" t="s">
        <v>872</v>
      </c>
      <c r="C888" s="2" t="s">
        <v>61</v>
      </c>
      <c r="D888" s="3">
        <v>45830.0</v>
      </c>
      <c r="E888" s="4">
        <v>0.625</v>
      </c>
      <c r="F888" s="5" t="str">
        <f>VLOOKUP(A888,Jogos!A:N,10,0)</f>
        <v>Afternoon</v>
      </c>
      <c r="G888" s="2" t="s">
        <v>1200</v>
      </c>
      <c r="H888" s="6" t="str">
        <f>VLOOKUP(A888,Jogos!A:L,12,0)</f>
        <v>Open</v>
      </c>
      <c r="I888" s="6" t="str">
        <f>VLOOKUP(G888,'Estádios e Cidades'!A:B,2,0)</f>
        <v>Charlotte</v>
      </c>
      <c r="J888" s="2" t="s">
        <v>935</v>
      </c>
      <c r="K888" s="2" t="str">
        <f>VLOOKUP(J888,Equipes!A:F,6,0)</f>
        <v>Temperate</v>
      </c>
      <c r="L888" s="2">
        <f>VLOOKUP(J888,Equipes!A:C,3,0)</f>
        <v>30</v>
      </c>
      <c r="M888" s="2" t="str">
        <f t="shared" si="4"/>
        <v>Group</v>
      </c>
      <c r="N888" s="2" t="s">
        <v>873</v>
      </c>
      <c r="O888" s="2">
        <f>VLOOKUP(N888,Equipes!A:C,3,0)</f>
        <v>3</v>
      </c>
      <c r="P888" s="2" t="str">
        <f t="shared" si="5"/>
        <v>Semi-final</v>
      </c>
      <c r="Q888" s="2">
        <f t="shared" si="6"/>
        <v>27</v>
      </c>
      <c r="R888" s="2" t="str">
        <f>VLOOKUP(J888,Equipes!A:B,2,0)</f>
        <v>Pachuca</v>
      </c>
      <c r="S888" s="6" t="s">
        <v>963</v>
      </c>
      <c r="T888" s="7">
        <v>26.0</v>
      </c>
      <c r="U888" s="7" t="s">
        <v>964</v>
      </c>
      <c r="V888" s="7" t="str">
        <f>VLOOKUP(U888,Jogadores!B:C,2,0)</f>
        <v>MF</v>
      </c>
      <c r="W888" s="8">
        <f>VLOOKUP(U888,Jogadores!B:D,3,0)</f>
        <v>23.14520548</v>
      </c>
      <c r="X888" s="7">
        <v>0.0</v>
      </c>
      <c r="Y888" s="7">
        <v>45.0</v>
      </c>
      <c r="Z888" s="7">
        <f>VLOOKUP(A888,Jogos!A:L,3,0)</f>
        <v>49</v>
      </c>
      <c r="AA888" s="7">
        <f t="shared" si="2229"/>
        <v>49</v>
      </c>
      <c r="AB888" s="7">
        <f>VLOOKUP(A888,Jogos!A:L,4,0)</f>
        <v>52</v>
      </c>
      <c r="AC888" s="7">
        <f t="shared" si="2230"/>
        <v>0</v>
      </c>
      <c r="AD888" s="7"/>
      <c r="AE888" s="7"/>
      <c r="AF888" s="7">
        <f t="shared" si="2231"/>
        <v>49</v>
      </c>
      <c r="AG888" s="7">
        <v>5607.3</v>
      </c>
      <c r="AH888" s="7">
        <v>1491.3</v>
      </c>
      <c r="AI888" s="7">
        <v>2679.0</v>
      </c>
      <c r="AJ888" s="7">
        <v>916.3</v>
      </c>
      <c r="AK888" s="7">
        <v>353.7</v>
      </c>
      <c r="AL888" s="7">
        <v>167.0</v>
      </c>
      <c r="AM888" s="7">
        <v>87.0</v>
      </c>
      <c r="AN888" s="7">
        <v>26.0</v>
      </c>
      <c r="AO888" s="7">
        <v>31.7</v>
      </c>
      <c r="AP888" s="9">
        <f t="shared" ref="AP888:AR888" si="2773">AG888/$AF888</f>
        <v>114.4346939</v>
      </c>
      <c r="AQ888" s="9">
        <f t="shared" si="2773"/>
        <v>30.43469388</v>
      </c>
      <c r="AR888" s="9">
        <f t="shared" si="2773"/>
        <v>54.67346939</v>
      </c>
      <c r="AS888" s="9">
        <f t="shared" si="2233"/>
        <v>85.10816327</v>
      </c>
      <c r="AT888" s="9">
        <f t="shared" ref="AT888:AV888" si="2774">AJ888/$AF888</f>
        <v>18.7</v>
      </c>
      <c r="AU888" s="9">
        <f t="shared" si="2774"/>
        <v>7.218367347</v>
      </c>
      <c r="AV888" s="9">
        <f t="shared" si="2774"/>
        <v>3.408163265</v>
      </c>
      <c r="AW888" s="9">
        <f t="shared" si="2235"/>
        <v>10.62653061</v>
      </c>
      <c r="AX888" s="9">
        <f t="shared" ref="AX888:AY888" si="2775">AM888/$AF888</f>
        <v>1.775510204</v>
      </c>
      <c r="AY888" s="9">
        <f t="shared" si="2775"/>
        <v>0.5306122449</v>
      </c>
      <c r="AZ888" s="9">
        <f>VLOOKUP(A888,Jogos!A:BN,58,0)</f>
        <v>34.76</v>
      </c>
      <c r="BA888" s="9">
        <f>VLOOKUP(A888,Jogos!A:BN,59,0)</f>
        <v>17.815</v>
      </c>
      <c r="BB888" s="9">
        <f>VLOOKUP(A888,Jogos!A:BN,60,0)</f>
        <v>36</v>
      </c>
      <c r="BC888" s="9">
        <f>VLOOKUP(A888,Jogos!A:BN,61,0)</f>
        <v>39.115</v>
      </c>
      <c r="BD888" s="9">
        <f>VLOOKUP(A888,Jogos!A:BN,62,0)</f>
        <v>509.5</v>
      </c>
      <c r="BE888" s="9">
        <f>VLOOKUP(A888,Jogos!A:BN,63,0)</f>
        <v>0.26</v>
      </c>
      <c r="BF888" s="9">
        <f>VLOOKUP(A888,Jogos!A:BN,64,0)</f>
        <v>25.44</v>
      </c>
      <c r="BG888" s="9">
        <f>VLOOKUP(A888,Jogos!A:BN,65,0)</f>
        <v>50.57</v>
      </c>
      <c r="BH888" s="9">
        <f>VLOOKUP(A888,Jogos!A:BN,66,0)</f>
        <v>31.395</v>
      </c>
      <c r="BI888" s="9"/>
      <c r="BJ888" s="9"/>
    </row>
    <row r="889" hidden="1">
      <c r="A889" s="2">
        <v>30.0</v>
      </c>
      <c r="B889" s="11" t="s">
        <v>872</v>
      </c>
      <c r="C889" s="2" t="s">
        <v>61</v>
      </c>
      <c r="D889" s="3">
        <v>45830.0</v>
      </c>
      <c r="E889" s="4">
        <v>0.625</v>
      </c>
      <c r="F889" s="5" t="str">
        <f>VLOOKUP(A889,Jogos!A:N,10,0)</f>
        <v>Afternoon</v>
      </c>
      <c r="G889" s="2" t="s">
        <v>1200</v>
      </c>
      <c r="H889" s="6" t="str">
        <f>VLOOKUP(A889,Jogos!A:L,12,0)</f>
        <v>Open</v>
      </c>
      <c r="I889" s="6" t="str">
        <f>VLOOKUP(G889,'Estádios e Cidades'!A:B,2,0)</f>
        <v>Charlotte</v>
      </c>
      <c r="J889" s="2" t="s">
        <v>935</v>
      </c>
      <c r="K889" s="2" t="str">
        <f>VLOOKUP(J889,Equipes!A:F,6,0)</f>
        <v>Temperate</v>
      </c>
      <c r="L889" s="2">
        <f>VLOOKUP(J889,Equipes!A:C,3,0)</f>
        <v>30</v>
      </c>
      <c r="M889" s="2" t="str">
        <f t="shared" si="4"/>
        <v>Group</v>
      </c>
      <c r="N889" s="2" t="s">
        <v>873</v>
      </c>
      <c r="O889" s="2">
        <f>VLOOKUP(N889,Equipes!A:C,3,0)</f>
        <v>3</v>
      </c>
      <c r="P889" s="2" t="str">
        <f t="shared" si="5"/>
        <v>Semi-final</v>
      </c>
      <c r="Q889" s="2">
        <f t="shared" si="6"/>
        <v>27</v>
      </c>
      <c r="R889" s="2" t="str">
        <f>VLOOKUP(J889,Equipes!A:B,2,0)</f>
        <v>Pachuca</v>
      </c>
      <c r="S889" s="6" t="s">
        <v>953</v>
      </c>
      <c r="T889" s="7">
        <v>28.0</v>
      </c>
      <c r="U889" s="7" t="s">
        <v>954</v>
      </c>
      <c r="V889" s="7" t="str">
        <f>VLOOKUP(U889,Jogadores!B:C,2,0)</f>
        <v>MF</v>
      </c>
      <c r="W889" s="8">
        <f>VLOOKUP(U889,Jogadores!B:D,3,0)</f>
        <v>19.81917808</v>
      </c>
      <c r="X889" s="7">
        <v>0.0</v>
      </c>
      <c r="Y889" s="7">
        <f>45+AB889</f>
        <v>97</v>
      </c>
      <c r="Z889" s="7">
        <f>VLOOKUP(A889,Jogos!A:L,3,0)</f>
        <v>49</v>
      </c>
      <c r="AA889" s="7">
        <f t="shared" si="2229"/>
        <v>49</v>
      </c>
      <c r="AB889" s="7">
        <f>VLOOKUP(A889,Jogos!A:L,4,0)</f>
        <v>52</v>
      </c>
      <c r="AC889" s="7">
        <f t="shared" si="2230"/>
        <v>52</v>
      </c>
      <c r="AD889" s="7"/>
      <c r="AE889" s="7"/>
      <c r="AF889" s="7">
        <f t="shared" si="2231"/>
        <v>101</v>
      </c>
      <c r="AG889" s="7">
        <v>11885.0</v>
      </c>
      <c r="AH889" s="7">
        <v>3411.9</v>
      </c>
      <c r="AI889" s="7">
        <v>5741.1</v>
      </c>
      <c r="AJ889" s="7">
        <v>2026.2</v>
      </c>
      <c r="AK889" s="7">
        <v>589.1</v>
      </c>
      <c r="AL889" s="7">
        <v>116.8</v>
      </c>
      <c r="AM889" s="7">
        <v>179.0</v>
      </c>
      <c r="AN889" s="7">
        <v>46.0</v>
      </c>
      <c r="AO889" s="7">
        <v>30.3</v>
      </c>
      <c r="AP889" s="9">
        <f t="shared" ref="AP889:AR889" si="2776">AG889/$AF889</f>
        <v>117.6732673</v>
      </c>
      <c r="AQ889" s="9">
        <f t="shared" si="2776"/>
        <v>33.78118812</v>
      </c>
      <c r="AR889" s="9">
        <f t="shared" si="2776"/>
        <v>56.84257426</v>
      </c>
      <c r="AS889" s="9">
        <f t="shared" si="2233"/>
        <v>90.62376238</v>
      </c>
      <c r="AT889" s="9">
        <f t="shared" ref="AT889:AV889" si="2777">AJ889/$AF889</f>
        <v>20.06138614</v>
      </c>
      <c r="AU889" s="9">
        <f t="shared" si="2777"/>
        <v>5.832673267</v>
      </c>
      <c r="AV889" s="9">
        <f t="shared" si="2777"/>
        <v>1.156435644</v>
      </c>
      <c r="AW889" s="9">
        <f t="shared" si="2235"/>
        <v>6.989108911</v>
      </c>
      <c r="AX889" s="9">
        <f t="shared" ref="AX889:AY889" si="2778">AM889/$AF889</f>
        <v>1.772277228</v>
      </c>
      <c r="AY889" s="9">
        <f t="shared" si="2778"/>
        <v>0.4554455446</v>
      </c>
      <c r="AZ889" s="9">
        <f>VLOOKUP(A889,Jogos!A:BN,58,0)</f>
        <v>34.76</v>
      </c>
      <c r="BA889" s="9">
        <f>VLOOKUP(A889,Jogos!A:BN,59,0)</f>
        <v>17.815</v>
      </c>
      <c r="BB889" s="9">
        <f>VLOOKUP(A889,Jogos!A:BN,60,0)</f>
        <v>36</v>
      </c>
      <c r="BC889" s="9">
        <f>VLOOKUP(A889,Jogos!A:BN,61,0)</f>
        <v>39.115</v>
      </c>
      <c r="BD889" s="9">
        <f>VLOOKUP(A889,Jogos!A:BN,62,0)</f>
        <v>509.5</v>
      </c>
      <c r="BE889" s="9">
        <f>VLOOKUP(A889,Jogos!A:BN,63,0)</f>
        <v>0.26</v>
      </c>
      <c r="BF889" s="9">
        <f>VLOOKUP(A889,Jogos!A:BN,64,0)</f>
        <v>25.44</v>
      </c>
      <c r="BG889" s="9">
        <f>VLOOKUP(A889,Jogos!A:BN,65,0)</f>
        <v>50.57</v>
      </c>
      <c r="BH889" s="9">
        <f>VLOOKUP(A889,Jogos!A:BN,66,0)</f>
        <v>31.395</v>
      </c>
      <c r="BI889" s="9"/>
      <c r="BJ889" s="9"/>
    </row>
    <row r="890" hidden="1">
      <c r="A890" s="2">
        <v>30.0</v>
      </c>
      <c r="B890" s="11" t="s">
        <v>872</v>
      </c>
      <c r="C890" s="2" t="s">
        <v>61</v>
      </c>
      <c r="D890" s="3">
        <v>45830.0</v>
      </c>
      <c r="E890" s="4">
        <v>0.625</v>
      </c>
      <c r="F890" s="5" t="str">
        <f>VLOOKUP(A890,Jogos!A:N,10,0)</f>
        <v>Afternoon</v>
      </c>
      <c r="G890" s="2" t="s">
        <v>1200</v>
      </c>
      <c r="H890" s="6" t="str">
        <f>VLOOKUP(A890,Jogos!A:L,12,0)</f>
        <v>Open</v>
      </c>
      <c r="I890" s="6" t="str">
        <f>VLOOKUP(G890,'Estádios e Cidades'!A:B,2,0)</f>
        <v>Charlotte</v>
      </c>
      <c r="J890" s="2" t="s">
        <v>935</v>
      </c>
      <c r="K890" s="2" t="str">
        <f>VLOOKUP(J890,Equipes!A:F,6,0)</f>
        <v>Temperate</v>
      </c>
      <c r="L890" s="2">
        <f>VLOOKUP(J890,Equipes!A:C,3,0)</f>
        <v>30</v>
      </c>
      <c r="M890" s="2" t="str">
        <f t="shared" si="4"/>
        <v>Group</v>
      </c>
      <c r="N890" s="2" t="s">
        <v>873</v>
      </c>
      <c r="O890" s="2">
        <f>VLOOKUP(N890,Equipes!A:C,3,0)</f>
        <v>3</v>
      </c>
      <c r="P890" s="2" t="str">
        <f t="shared" si="5"/>
        <v>Semi-final</v>
      </c>
      <c r="Q890" s="2">
        <f t="shared" si="6"/>
        <v>27</v>
      </c>
      <c r="R890" s="2" t="str">
        <f>VLOOKUP(J890,Equipes!A:B,2,0)</f>
        <v>Pachuca</v>
      </c>
      <c r="S890" s="6" t="s">
        <v>955</v>
      </c>
      <c r="T890" s="7">
        <v>29.0</v>
      </c>
      <c r="U890" s="7" t="s">
        <v>956</v>
      </c>
      <c r="V890" s="7" t="str">
        <f>VLOOKUP(U890,Jogadores!B:C,2,0)</f>
        <v>FW</v>
      </c>
      <c r="W890" s="8">
        <f>VLOOKUP(U890,Jogadores!B:D,3,0)</f>
        <v>29.48767123</v>
      </c>
      <c r="X890" s="7">
        <v>0.0</v>
      </c>
      <c r="Y890" s="7">
        <v>60.0</v>
      </c>
      <c r="Z890" s="7">
        <f>VLOOKUP(A890,Jogos!A:L,3,0)</f>
        <v>49</v>
      </c>
      <c r="AA890" s="7">
        <f t="shared" si="2229"/>
        <v>49</v>
      </c>
      <c r="AB890" s="7">
        <f>VLOOKUP(A890,Jogos!A:L,4,0)</f>
        <v>52</v>
      </c>
      <c r="AC890" s="7">
        <f t="shared" si="2230"/>
        <v>15</v>
      </c>
      <c r="AD890" s="7"/>
      <c r="AE890" s="7"/>
      <c r="AF890" s="7">
        <f t="shared" si="2231"/>
        <v>64</v>
      </c>
      <c r="AG890" s="7">
        <v>7010.1</v>
      </c>
      <c r="AH890" s="7">
        <v>2648.8</v>
      </c>
      <c r="AI890" s="7">
        <v>2700.6</v>
      </c>
      <c r="AJ890" s="7">
        <v>1075.5</v>
      </c>
      <c r="AK890" s="7">
        <v>365.7</v>
      </c>
      <c r="AL890" s="7">
        <v>219.6</v>
      </c>
      <c r="AM890" s="7">
        <v>92.0</v>
      </c>
      <c r="AN890" s="7">
        <v>34.0</v>
      </c>
      <c r="AO890" s="7">
        <v>34.2</v>
      </c>
      <c r="AP890" s="9">
        <f t="shared" ref="AP890:AR890" si="2779">AG890/$AF890</f>
        <v>109.5328125</v>
      </c>
      <c r="AQ890" s="9">
        <f t="shared" si="2779"/>
        <v>41.3875</v>
      </c>
      <c r="AR890" s="9">
        <f t="shared" si="2779"/>
        <v>42.196875</v>
      </c>
      <c r="AS890" s="9">
        <f t="shared" si="2233"/>
        <v>83.584375</v>
      </c>
      <c r="AT890" s="9">
        <f t="shared" ref="AT890:AV890" si="2780">AJ890/$AF890</f>
        <v>16.8046875</v>
      </c>
      <c r="AU890" s="9">
        <f t="shared" si="2780"/>
        <v>5.7140625</v>
      </c>
      <c r="AV890" s="9">
        <f t="shared" si="2780"/>
        <v>3.43125</v>
      </c>
      <c r="AW890" s="9">
        <f t="shared" si="2235"/>
        <v>9.1453125</v>
      </c>
      <c r="AX890" s="9">
        <f t="shared" ref="AX890:AY890" si="2781">AM890/$AF890</f>
        <v>1.4375</v>
      </c>
      <c r="AY890" s="9">
        <f t="shared" si="2781"/>
        <v>0.53125</v>
      </c>
      <c r="AZ890" s="9">
        <f>VLOOKUP(A890,Jogos!A:BN,58,0)</f>
        <v>34.76</v>
      </c>
      <c r="BA890" s="9">
        <f>VLOOKUP(A890,Jogos!A:BN,59,0)</f>
        <v>17.815</v>
      </c>
      <c r="BB890" s="9">
        <f>VLOOKUP(A890,Jogos!A:BN,60,0)</f>
        <v>36</v>
      </c>
      <c r="BC890" s="9">
        <f>VLOOKUP(A890,Jogos!A:BN,61,0)</f>
        <v>39.115</v>
      </c>
      <c r="BD890" s="9">
        <f>VLOOKUP(A890,Jogos!A:BN,62,0)</f>
        <v>509.5</v>
      </c>
      <c r="BE890" s="9">
        <f>VLOOKUP(A890,Jogos!A:BN,63,0)</f>
        <v>0.26</v>
      </c>
      <c r="BF890" s="9">
        <f>VLOOKUP(A890,Jogos!A:BN,64,0)</f>
        <v>25.44</v>
      </c>
      <c r="BG890" s="9">
        <f>VLOOKUP(A890,Jogos!A:BN,65,0)</f>
        <v>50.57</v>
      </c>
      <c r="BH890" s="9">
        <f>VLOOKUP(A890,Jogos!A:BN,66,0)</f>
        <v>31.395</v>
      </c>
      <c r="BI890" s="9"/>
      <c r="BJ890" s="9"/>
    </row>
    <row r="891" hidden="1">
      <c r="A891" s="2">
        <v>30.0</v>
      </c>
      <c r="B891" s="11" t="s">
        <v>872</v>
      </c>
      <c r="C891" s="2" t="s">
        <v>61</v>
      </c>
      <c r="D891" s="3">
        <v>45830.0</v>
      </c>
      <c r="E891" s="4">
        <v>0.625</v>
      </c>
      <c r="F891" s="5" t="str">
        <f>VLOOKUP(A891,Jogos!A:N,10,0)</f>
        <v>Afternoon</v>
      </c>
      <c r="G891" s="2" t="s">
        <v>1200</v>
      </c>
      <c r="H891" s="6" t="str">
        <f>VLOOKUP(A891,Jogos!A:L,12,0)</f>
        <v>Open</v>
      </c>
      <c r="I891" s="6" t="str">
        <f>VLOOKUP(G891,'Estádios e Cidades'!A:B,2,0)</f>
        <v>Charlotte</v>
      </c>
      <c r="J891" s="2" t="s">
        <v>935</v>
      </c>
      <c r="K891" s="2" t="str">
        <f>VLOOKUP(J891,Equipes!A:F,6,0)</f>
        <v>Temperate</v>
      </c>
      <c r="L891" s="2">
        <f>VLOOKUP(J891,Equipes!A:C,3,0)</f>
        <v>30</v>
      </c>
      <c r="M891" s="2" t="str">
        <f t="shared" si="4"/>
        <v>Group</v>
      </c>
      <c r="N891" s="2" t="s">
        <v>873</v>
      </c>
      <c r="O891" s="2">
        <f>VLOOKUP(N891,Equipes!A:C,3,0)</f>
        <v>3</v>
      </c>
      <c r="P891" s="2" t="str">
        <f t="shared" si="5"/>
        <v>Semi-final</v>
      </c>
      <c r="Q891" s="2">
        <f t="shared" si="6"/>
        <v>27</v>
      </c>
      <c r="R891" s="2" t="str">
        <f>VLOOKUP(J891,Equipes!A:B,2,0)</f>
        <v>Pachuca</v>
      </c>
      <c r="S891" s="6" t="s">
        <v>959</v>
      </c>
      <c r="T891" s="7">
        <v>10.0</v>
      </c>
      <c r="U891" s="7" t="s">
        <v>960</v>
      </c>
      <c r="V891" s="7" t="str">
        <f>VLOOKUP(U891,Jogadores!B:C,2,0)</f>
        <v>FW</v>
      </c>
      <c r="W891" s="8">
        <f>VLOOKUP(U891,Jogadores!B:D,3,0)</f>
        <v>23.2109589</v>
      </c>
      <c r="X891" s="7">
        <v>45.0</v>
      </c>
      <c r="Y891" s="7">
        <f t="shared" ref="Y891:Y896" si="2785">45+AB891</f>
        <v>97</v>
      </c>
      <c r="Z891" s="7">
        <f>VLOOKUP(A891,Jogos!A:L,3,0)</f>
        <v>49</v>
      </c>
      <c r="AA891" s="7">
        <f t="shared" si="2229"/>
        <v>0</v>
      </c>
      <c r="AB891" s="7">
        <f>VLOOKUP(A891,Jogos!A:L,4,0)</f>
        <v>52</v>
      </c>
      <c r="AC891" s="7">
        <f t="shared" si="2230"/>
        <v>52</v>
      </c>
      <c r="AD891" s="7"/>
      <c r="AE891" s="7"/>
      <c r="AF891" s="7">
        <f t="shared" si="2231"/>
        <v>52</v>
      </c>
      <c r="AG891" s="7">
        <v>4722.9</v>
      </c>
      <c r="AH891" s="7">
        <v>1898.4</v>
      </c>
      <c r="AI891" s="7">
        <v>1991.3</v>
      </c>
      <c r="AJ891" s="7">
        <v>646.8</v>
      </c>
      <c r="AK891" s="7">
        <v>180.3</v>
      </c>
      <c r="AL891" s="7">
        <v>6.1</v>
      </c>
      <c r="AM891" s="7">
        <v>48.0</v>
      </c>
      <c r="AN891" s="7">
        <v>14.0</v>
      </c>
      <c r="AO891" s="7">
        <v>25.4</v>
      </c>
      <c r="AP891" s="9">
        <f t="shared" ref="AP891:AR891" si="2782">AG891/$AF891</f>
        <v>90.825</v>
      </c>
      <c r="AQ891" s="9">
        <f t="shared" si="2782"/>
        <v>36.50769231</v>
      </c>
      <c r="AR891" s="9">
        <f t="shared" si="2782"/>
        <v>38.29423077</v>
      </c>
      <c r="AS891" s="9">
        <f t="shared" si="2233"/>
        <v>74.80192308</v>
      </c>
      <c r="AT891" s="9">
        <f t="shared" ref="AT891:AV891" si="2783">AJ891/$AF891</f>
        <v>12.43846154</v>
      </c>
      <c r="AU891" s="9">
        <f t="shared" si="2783"/>
        <v>3.467307692</v>
      </c>
      <c r="AV891" s="9">
        <f t="shared" si="2783"/>
        <v>0.1173076923</v>
      </c>
      <c r="AW891" s="9">
        <f t="shared" si="2235"/>
        <v>3.584615385</v>
      </c>
      <c r="AX891" s="9">
        <f t="shared" ref="AX891:AY891" si="2784">AM891/$AF891</f>
        <v>0.9230769231</v>
      </c>
      <c r="AY891" s="9">
        <f t="shared" si="2784"/>
        <v>0.2692307692</v>
      </c>
      <c r="AZ891" s="9">
        <f>VLOOKUP(A891,Jogos!A:BN,58,0)</f>
        <v>34.76</v>
      </c>
      <c r="BA891" s="9">
        <f>VLOOKUP(A891,Jogos!A:BN,59,0)</f>
        <v>17.815</v>
      </c>
      <c r="BB891" s="9">
        <f>VLOOKUP(A891,Jogos!A:BN,60,0)</f>
        <v>36</v>
      </c>
      <c r="BC891" s="9">
        <f>VLOOKUP(A891,Jogos!A:BN,61,0)</f>
        <v>39.115</v>
      </c>
      <c r="BD891" s="9">
        <f>VLOOKUP(A891,Jogos!A:BN,62,0)</f>
        <v>509.5</v>
      </c>
      <c r="BE891" s="9">
        <f>VLOOKUP(A891,Jogos!A:BN,63,0)</f>
        <v>0.26</v>
      </c>
      <c r="BF891" s="9">
        <f>VLOOKUP(A891,Jogos!A:BN,64,0)</f>
        <v>25.44</v>
      </c>
      <c r="BG891" s="9">
        <f>VLOOKUP(A891,Jogos!A:BN,65,0)</f>
        <v>50.57</v>
      </c>
      <c r="BH891" s="9">
        <f>VLOOKUP(A891,Jogos!A:BN,66,0)</f>
        <v>31.395</v>
      </c>
      <c r="BI891" s="9"/>
      <c r="BJ891" s="9"/>
    </row>
    <row r="892" hidden="1">
      <c r="A892" s="2">
        <v>30.0</v>
      </c>
      <c r="B892" s="11" t="s">
        <v>872</v>
      </c>
      <c r="C892" s="2" t="s">
        <v>61</v>
      </c>
      <c r="D892" s="3">
        <v>45830.0</v>
      </c>
      <c r="E892" s="4">
        <v>0.625</v>
      </c>
      <c r="F892" s="5" t="str">
        <f>VLOOKUP(A892,Jogos!A:N,10,0)</f>
        <v>Afternoon</v>
      </c>
      <c r="G892" s="2" t="s">
        <v>1200</v>
      </c>
      <c r="H892" s="6" t="str">
        <f>VLOOKUP(A892,Jogos!A:L,12,0)</f>
        <v>Open</v>
      </c>
      <c r="I892" s="6" t="str">
        <f>VLOOKUP(G892,'Estádios e Cidades'!A:B,2,0)</f>
        <v>Charlotte</v>
      </c>
      <c r="J892" s="2" t="s">
        <v>935</v>
      </c>
      <c r="K892" s="2" t="str">
        <f>VLOOKUP(J892,Equipes!A:F,6,0)</f>
        <v>Temperate</v>
      </c>
      <c r="L892" s="2">
        <f>VLOOKUP(J892,Equipes!A:C,3,0)</f>
        <v>30</v>
      </c>
      <c r="M892" s="2" t="str">
        <f t="shared" si="4"/>
        <v>Group</v>
      </c>
      <c r="N892" s="2" t="s">
        <v>873</v>
      </c>
      <c r="O892" s="2">
        <f>VLOOKUP(N892,Equipes!A:C,3,0)</f>
        <v>3</v>
      </c>
      <c r="P892" s="2" t="str">
        <f t="shared" si="5"/>
        <v>Semi-final</v>
      </c>
      <c r="Q892" s="2">
        <f t="shared" si="6"/>
        <v>27</v>
      </c>
      <c r="R892" s="2" t="str">
        <f>VLOOKUP(J892,Equipes!A:B,2,0)</f>
        <v>Pachuca</v>
      </c>
      <c r="S892" s="6" t="s">
        <v>961</v>
      </c>
      <c r="T892" s="7">
        <v>14.0</v>
      </c>
      <c r="U892" s="7" t="s">
        <v>962</v>
      </c>
      <c r="V892" s="7" t="str">
        <f>VLOOKUP(U892,Jogadores!B:C,2,0)</f>
        <v>DF</v>
      </c>
      <c r="W892" s="8">
        <f>VLOOKUP(U892,Jogadores!B:D,3,0)</f>
        <v>23.30684932</v>
      </c>
      <c r="X892" s="7">
        <v>60.0</v>
      </c>
      <c r="Y892" s="7">
        <f t="shared" si="2785"/>
        <v>97</v>
      </c>
      <c r="Z892" s="7">
        <f>VLOOKUP(A892,Jogos!A:L,3,0)</f>
        <v>49</v>
      </c>
      <c r="AA892" s="7">
        <f t="shared" si="2229"/>
        <v>0</v>
      </c>
      <c r="AB892" s="7">
        <f>VLOOKUP(A892,Jogos!A:L,4,0)</f>
        <v>52</v>
      </c>
      <c r="AC892" s="7">
        <f t="shared" si="2230"/>
        <v>37</v>
      </c>
      <c r="AD892" s="7"/>
      <c r="AE892" s="7"/>
      <c r="AF892" s="7">
        <f t="shared" si="2231"/>
        <v>37</v>
      </c>
      <c r="AG892" s="7">
        <v>4270.3</v>
      </c>
      <c r="AH892" s="7">
        <v>1449.7</v>
      </c>
      <c r="AI892" s="7">
        <v>1929.6</v>
      </c>
      <c r="AJ892" s="7">
        <v>610.5</v>
      </c>
      <c r="AK892" s="7">
        <v>223.4</v>
      </c>
      <c r="AL892" s="7">
        <v>57.2</v>
      </c>
      <c r="AM892" s="7">
        <v>57.0</v>
      </c>
      <c r="AN892" s="7">
        <v>20.0</v>
      </c>
      <c r="AO892" s="7">
        <v>31.1</v>
      </c>
      <c r="AP892" s="9">
        <f t="shared" ref="AP892:AR892" si="2786">AG892/$AF892</f>
        <v>115.4135135</v>
      </c>
      <c r="AQ892" s="9">
        <f t="shared" si="2786"/>
        <v>39.18108108</v>
      </c>
      <c r="AR892" s="9">
        <f t="shared" si="2786"/>
        <v>52.15135135</v>
      </c>
      <c r="AS892" s="9">
        <f t="shared" si="2233"/>
        <v>91.33243243</v>
      </c>
      <c r="AT892" s="9">
        <f t="shared" ref="AT892:AV892" si="2787">AJ892/$AF892</f>
        <v>16.5</v>
      </c>
      <c r="AU892" s="9">
        <f t="shared" si="2787"/>
        <v>6.037837838</v>
      </c>
      <c r="AV892" s="9">
        <f t="shared" si="2787"/>
        <v>1.545945946</v>
      </c>
      <c r="AW892" s="9">
        <f t="shared" si="2235"/>
        <v>7.583783784</v>
      </c>
      <c r="AX892" s="9">
        <f t="shared" ref="AX892:AY892" si="2788">AM892/$AF892</f>
        <v>1.540540541</v>
      </c>
      <c r="AY892" s="9">
        <f t="shared" si="2788"/>
        <v>0.5405405405</v>
      </c>
      <c r="AZ892" s="9">
        <f>VLOOKUP(A892,Jogos!A:BN,58,0)</f>
        <v>34.76</v>
      </c>
      <c r="BA892" s="9">
        <f>VLOOKUP(A892,Jogos!A:BN,59,0)</f>
        <v>17.815</v>
      </c>
      <c r="BB892" s="9">
        <f>VLOOKUP(A892,Jogos!A:BN,60,0)</f>
        <v>36</v>
      </c>
      <c r="BC892" s="9">
        <f>VLOOKUP(A892,Jogos!A:BN,61,0)</f>
        <v>39.115</v>
      </c>
      <c r="BD892" s="9">
        <f>VLOOKUP(A892,Jogos!A:BN,62,0)</f>
        <v>509.5</v>
      </c>
      <c r="BE892" s="9">
        <f>VLOOKUP(A892,Jogos!A:BN,63,0)</f>
        <v>0.26</v>
      </c>
      <c r="BF892" s="9">
        <f>VLOOKUP(A892,Jogos!A:BN,64,0)</f>
        <v>25.44</v>
      </c>
      <c r="BG892" s="9">
        <f>VLOOKUP(A892,Jogos!A:BN,65,0)</f>
        <v>50.57</v>
      </c>
      <c r="BH892" s="9">
        <f>VLOOKUP(A892,Jogos!A:BN,66,0)</f>
        <v>31.395</v>
      </c>
      <c r="BI892" s="9"/>
      <c r="BJ892" s="9"/>
    </row>
    <row r="893" hidden="1">
      <c r="A893" s="2">
        <v>30.0</v>
      </c>
      <c r="B893" s="11" t="s">
        <v>872</v>
      </c>
      <c r="C893" s="2" t="s">
        <v>61</v>
      </c>
      <c r="D893" s="3">
        <v>45830.0</v>
      </c>
      <c r="E893" s="4">
        <v>0.625</v>
      </c>
      <c r="F893" s="5" t="str">
        <f>VLOOKUP(A893,Jogos!A:N,10,0)</f>
        <v>Afternoon</v>
      </c>
      <c r="G893" s="2" t="s">
        <v>1200</v>
      </c>
      <c r="H893" s="6" t="str">
        <f>VLOOKUP(A893,Jogos!A:L,12,0)</f>
        <v>Open</v>
      </c>
      <c r="I893" s="6" t="str">
        <f>VLOOKUP(G893,'Estádios e Cidades'!A:B,2,0)</f>
        <v>Charlotte</v>
      </c>
      <c r="J893" s="2" t="s">
        <v>935</v>
      </c>
      <c r="K893" s="2" t="str">
        <f>VLOOKUP(J893,Equipes!A:F,6,0)</f>
        <v>Temperate</v>
      </c>
      <c r="L893" s="2">
        <f>VLOOKUP(J893,Equipes!A:C,3,0)</f>
        <v>30</v>
      </c>
      <c r="M893" s="2" t="str">
        <f t="shared" si="4"/>
        <v>Group</v>
      </c>
      <c r="N893" s="2" t="s">
        <v>873</v>
      </c>
      <c r="O893" s="2">
        <f>VLOOKUP(N893,Equipes!A:C,3,0)</f>
        <v>3</v>
      </c>
      <c r="P893" s="2" t="str">
        <f t="shared" si="5"/>
        <v>Semi-final</v>
      </c>
      <c r="Q893" s="2">
        <f t="shared" si="6"/>
        <v>27</v>
      </c>
      <c r="R893" s="2" t="str">
        <f>VLOOKUP(J893,Equipes!A:B,2,0)</f>
        <v>Pachuca</v>
      </c>
      <c r="S893" s="6" t="s">
        <v>1205</v>
      </c>
      <c r="T893" s="7">
        <v>19.0</v>
      </c>
      <c r="U893" s="7" t="s">
        <v>1206</v>
      </c>
      <c r="V893" s="7" t="str">
        <f>VLOOKUP(U893,Jogadores!B:C,2,0)</f>
        <v>MF</v>
      </c>
      <c r="W893" s="8">
        <f>VLOOKUP(U893,Jogadores!B:D,3,0)</f>
        <v>30.88219178</v>
      </c>
      <c r="X893" s="7">
        <v>60.0</v>
      </c>
      <c r="Y893" s="7">
        <f t="shared" si="2785"/>
        <v>97</v>
      </c>
      <c r="Z893" s="7">
        <f>VLOOKUP(A893,Jogos!A:L,3,0)</f>
        <v>49</v>
      </c>
      <c r="AA893" s="7">
        <f t="shared" si="2229"/>
        <v>0</v>
      </c>
      <c r="AB893" s="7">
        <f>VLOOKUP(A893,Jogos!A:L,4,0)</f>
        <v>52</v>
      </c>
      <c r="AC893" s="7">
        <f t="shared" si="2230"/>
        <v>37</v>
      </c>
      <c r="AD893" s="7"/>
      <c r="AE893" s="7"/>
      <c r="AF893" s="7">
        <f t="shared" si="2231"/>
        <v>37</v>
      </c>
      <c r="AG893" s="7">
        <v>4102.9</v>
      </c>
      <c r="AH893" s="7">
        <v>1507.6</v>
      </c>
      <c r="AI893" s="7">
        <v>1842.1</v>
      </c>
      <c r="AJ893" s="7">
        <v>632.4</v>
      </c>
      <c r="AK893" s="7">
        <v>115.7</v>
      </c>
      <c r="AL893" s="7">
        <v>5.1</v>
      </c>
      <c r="AM893" s="7">
        <v>56.0</v>
      </c>
      <c r="AN893" s="7">
        <v>9.0</v>
      </c>
      <c r="AO893" s="7">
        <v>25.5</v>
      </c>
      <c r="AP893" s="9">
        <f t="shared" ref="AP893:AR893" si="2789">AG893/$AF893</f>
        <v>110.8891892</v>
      </c>
      <c r="AQ893" s="9">
        <f t="shared" si="2789"/>
        <v>40.74594595</v>
      </c>
      <c r="AR893" s="9">
        <f t="shared" si="2789"/>
        <v>49.78648649</v>
      </c>
      <c r="AS893" s="9">
        <f t="shared" si="2233"/>
        <v>90.53243243</v>
      </c>
      <c r="AT893" s="9">
        <f t="shared" ref="AT893:AV893" si="2790">AJ893/$AF893</f>
        <v>17.09189189</v>
      </c>
      <c r="AU893" s="9">
        <f t="shared" si="2790"/>
        <v>3.127027027</v>
      </c>
      <c r="AV893" s="9">
        <f t="shared" si="2790"/>
        <v>0.1378378378</v>
      </c>
      <c r="AW893" s="9">
        <f t="shared" si="2235"/>
        <v>3.264864865</v>
      </c>
      <c r="AX893" s="9">
        <f t="shared" ref="AX893:AY893" si="2791">AM893/$AF893</f>
        <v>1.513513514</v>
      </c>
      <c r="AY893" s="9">
        <f t="shared" si="2791"/>
        <v>0.2432432432</v>
      </c>
      <c r="AZ893" s="9">
        <f>VLOOKUP(A893,Jogos!A:BN,58,0)</f>
        <v>34.76</v>
      </c>
      <c r="BA893" s="9">
        <f>VLOOKUP(A893,Jogos!A:BN,59,0)</f>
        <v>17.815</v>
      </c>
      <c r="BB893" s="9">
        <f>VLOOKUP(A893,Jogos!A:BN,60,0)</f>
        <v>36</v>
      </c>
      <c r="BC893" s="9">
        <f>VLOOKUP(A893,Jogos!A:BN,61,0)</f>
        <v>39.115</v>
      </c>
      <c r="BD893" s="9">
        <f>VLOOKUP(A893,Jogos!A:BN,62,0)</f>
        <v>509.5</v>
      </c>
      <c r="BE893" s="9">
        <f>VLOOKUP(A893,Jogos!A:BN,63,0)</f>
        <v>0.26</v>
      </c>
      <c r="BF893" s="9">
        <f>VLOOKUP(A893,Jogos!A:BN,64,0)</f>
        <v>25.44</v>
      </c>
      <c r="BG893" s="9">
        <f>VLOOKUP(A893,Jogos!A:BN,65,0)</f>
        <v>50.57</v>
      </c>
      <c r="BH893" s="9">
        <f>VLOOKUP(A893,Jogos!A:BN,66,0)</f>
        <v>31.395</v>
      </c>
      <c r="BI893" s="9"/>
      <c r="BJ893" s="9"/>
    </row>
    <row r="894" hidden="1">
      <c r="A894" s="2">
        <v>30.0</v>
      </c>
      <c r="B894" s="11" t="s">
        <v>872</v>
      </c>
      <c r="C894" s="2" t="s">
        <v>61</v>
      </c>
      <c r="D894" s="3">
        <v>45830.0</v>
      </c>
      <c r="E894" s="4">
        <v>0.625</v>
      </c>
      <c r="F894" s="5" t="str">
        <f>VLOOKUP(A894,Jogos!A:N,10,0)</f>
        <v>Afternoon</v>
      </c>
      <c r="G894" s="2" t="s">
        <v>1200</v>
      </c>
      <c r="H894" s="6" t="str">
        <f>VLOOKUP(A894,Jogos!A:L,12,0)</f>
        <v>Open</v>
      </c>
      <c r="I894" s="6" t="str">
        <f>VLOOKUP(G894,'Estádios e Cidades'!A:B,2,0)</f>
        <v>Charlotte</v>
      </c>
      <c r="J894" s="2" t="s">
        <v>935</v>
      </c>
      <c r="K894" s="2" t="str">
        <f>VLOOKUP(J894,Equipes!A:F,6,0)</f>
        <v>Temperate</v>
      </c>
      <c r="L894" s="2">
        <f>VLOOKUP(J894,Equipes!A:C,3,0)</f>
        <v>30</v>
      </c>
      <c r="M894" s="2" t="str">
        <f t="shared" si="4"/>
        <v>Group</v>
      </c>
      <c r="N894" s="2" t="s">
        <v>873</v>
      </c>
      <c r="O894" s="2">
        <f>VLOOKUP(N894,Equipes!A:C,3,0)</f>
        <v>3</v>
      </c>
      <c r="P894" s="2" t="str">
        <f t="shared" si="5"/>
        <v>Semi-final</v>
      </c>
      <c r="Q894" s="2">
        <f t="shared" si="6"/>
        <v>27</v>
      </c>
      <c r="R894" s="2" t="str">
        <f>VLOOKUP(J894,Equipes!A:B,2,0)</f>
        <v>Pachuca</v>
      </c>
      <c r="S894" s="6" t="s">
        <v>1207</v>
      </c>
      <c r="T894" s="7">
        <v>22.0</v>
      </c>
      <c r="U894" s="7" t="s">
        <v>1208</v>
      </c>
      <c r="V894" s="7" t="str">
        <f>VLOOKUP(U894,Jogadores!B:C,2,0)</f>
        <v>DF</v>
      </c>
      <c r="W894" s="8">
        <f>VLOOKUP(U894,Jogadores!B:D,3,0)</f>
        <v>39.81369863</v>
      </c>
      <c r="X894" s="7">
        <v>45.0</v>
      </c>
      <c r="Y894" s="7">
        <f t="shared" si="2785"/>
        <v>97</v>
      </c>
      <c r="Z894" s="7">
        <f>VLOOKUP(A894,Jogos!A:L,3,0)</f>
        <v>49</v>
      </c>
      <c r="AA894" s="7">
        <f t="shared" si="2229"/>
        <v>0</v>
      </c>
      <c r="AB894" s="7">
        <f>VLOOKUP(A894,Jogos!A:L,4,0)</f>
        <v>52</v>
      </c>
      <c r="AC894" s="7">
        <f t="shared" si="2230"/>
        <v>52</v>
      </c>
      <c r="AD894" s="7"/>
      <c r="AE894" s="7"/>
      <c r="AF894" s="7">
        <f t="shared" si="2231"/>
        <v>52</v>
      </c>
      <c r="AG894" s="7">
        <v>4987.8</v>
      </c>
      <c r="AH894" s="7">
        <v>2368.8</v>
      </c>
      <c r="AI894" s="7">
        <v>1922.7</v>
      </c>
      <c r="AJ894" s="7">
        <v>473.9</v>
      </c>
      <c r="AK894" s="7">
        <v>182.6</v>
      </c>
      <c r="AL894" s="7">
        <v>39.8</v>
      </c>
      <c r="AM894" s="7">
        <v>38.0</v>
      </c>
      <c r="AN894" s="7">
        <v>16.0</v>
      </c>
      <c r="AO894" s="7">
        <v>28.1</v>
      </c>
      <c r="AP894" s="9">
        <f t="shared" ref="AP894:AR894" si="2792">AG894/$AF894</f>
        <v>95.91923077</v>
      </c>
      <c r="AQ894" s="9">
        <f t="shared" si="2792"/>
        <v>45.55384615</v>
      </c>
      <c r="AR894" s="9">
        <f t="shared" si="2792"/>
        <v>36.975</v>
      </c>
      <c r="AS894" s="9">
        <f t="shared" si="2233"/>
        <v>82.52884615</v>
      </c>
      <c r="AT894" s="9">
        <f t="shared" ref="AT894:AV894" si="2793">AJ894/$AF894</f>
        <v>9.113461538</v>
      </c>
      <c r="AU894" s="9">
        <f t="shared" si="2793"/>
        <v>3.511538462</v>
      </c>
      <c r="AV894" s="9">
        <f t="shared" si="2793"/>
        <v>0.7653846154</v>
      </c>
      <c r="AW894" s="9">
        <f t="shared" si="2235"/>
        <v>4.276923077</v>
      </c>
      <c r="AX894" s="9">
        <f t="shared" ref="AX894:AY894" si="2794">AM894/$AF894</f>
        <v>0.7307692308</v>
      </c>
      <c r="AY894" s="9">
        <f t="shared" si="2794"/>
        <v>0.3076923077</v>
      </c>
      <c r="AZ894" s="9">
        <f>VLOOKUP(A894,Jogos!A:BN,58,0)</f>
        <v>34.76</v>
      </c>
      <c r="BA894" s="9">
        <f>VLOOKUP(A894,Jogos!A:BN,59,0)</f>
        <v>17.815</v>
      </c>
      <c r="BB894" s="9">
        <f>VLOOKUP(A894,Jogos!A:BN,60,0)</f>
        <v>36</v>
      </c>
      <c r="BC894" s="9">
        <f>VLOOKUP(A894,Jogos!A:BN,61,0)</f>
        <v>39.115</v>
      </c>
      <c r="BD894" s="9">
        <f>VLOOKUP(A894,Jogos!A:BN,62,0)</f>
        <v>509.5</v>
      </c>
      <c r="BE894" s="9">
        <f>VLOOKUP(A894,Jogos!A:BN,63,0)</f>
        <v>0.26</v>
      </c>
      <c r="BF894" s="9">
        <f>VLOOKUP(A894,Jogos!A:BN,64,0)</f>
        <v>25.44</v>
      </c>
      <c r="BG894" s="9">
        <f>VLOOKUP(A894,Jogos!A:BN,65,0)</f>
        <v>50.57</v>
      </c>
      <c r="BH894" s="9">
        <f>VLOOKUP(A894,Jogos!A:BN,66,0)</f>
        <v>31.395</v>
      </c>
      <c r="BI894" s="9"/>
      <c r="BJ894" s="9"/>
    </row>
    <row r="895" hidden="1">
      <c r="A895" s="2">
        <v>30.0</v>
      </c>
      <c r="B895" s="11" t="s">
        <v>872</v>
      </c>
      <c r="C895" s="2" t="s">
        <v>61</v>
      </c>
      <c r="D895" s="3">
        <v>45830.0</v>
      </c>
      <c r="E895" s="4">
        <v>0.625</v>
      </c>
      <c r="F895" s="5" t="str">
        <f>VLOOKUP(A895,Jogos!A:N,10,0)</f>
        <v>Afternoon</v>
      </c>
      <c r="G895" s="2" t="s">
        <v>1200</v>
      </c>
      <c r="H895" s="6" t="str">
        <f>VLOOKUP(A895,Jogos!A:L,12,0)</f>
        <v>Open</v>
      </c>
      <c r="I895" s="6" t="str">
        <f>VLOOKUP(G895,'Estádios e Cidades'!A:B,2,0)</f>
        <v>Charlotte</v>
      </c>
      <c r="J895" s="2" t="s">
        <v>935</v>
      </c>
      <c r="K895" s="2" t="str">
        <f>VLOOKUP(J895,Equipes!A:F,6,0)</f>
        <v>Temperate</v>
      </c>
      <c r="L895" s="2">
        <f>VLOOKUP(J895,Equipes!A:C,3,0)</f>
        <v>30</v>
      </c>
      <c r="M895" s="2" t="str">
        <f t="shared" si="4"/>
        <v>Group</v>
      </c>
      <c r="N895" s="2" t="s">
        <v>873</v>
      </c>
      <c r="O895" s="2">
        <f>VLOOKUP(N895,Equipes!A:C,3,0)</f>
        <v>3</v>
      </c>
      <c r="P895" s="2" t="str">
        <f t="shared" si="5"/>
        <v>Semi-final</v>
      </c>
      <c r="Q895" s="2">
        <f t="shared" si="6"/>
        <v>27</v>
      </c>
      <c r="R895" s="2" t="str">
        <f>VLOOKUP(J895,Equipes!A:B,2,0)</f>
        <v>Pachuca</v>
      </c>
      <c r="S895" s="6" t="s">
        <v>1209</v>
      </c>
      <c r="T895" s="7">
        <v>32.0</v>
      </c>
      <c r="U895" s="7" t="s">
        <v>754</v>
      </c>
      <c r="V895" s="7" t="str">
        <f>VLOOKUP(U895,Jogadores!B:C,2,0)</f>
        <v>DF</v>
      </c>
      <c r="W895" s="8">
        <f>VLOOKUP(U895,Jogadores!B:D,3,0)</f>
        <v>23.40821918</v>
      </c>
      <c r="X895" s="7">
        <v>72.0</v>
      </c>
      <c r="Y895" s="7">
        <f t="shared" si="2785"/>
        <v>97</v>
      </c>
      <c r="Z895" s="7">
        <f>VLOOKUP(A895,Jogos!A:L,3,0)</f>
        <v>49</v>
      </c>
      <c r="AA895" s="7">
        <f t="shared" si="2229"/>
        <v>0</v>
      </c>
      <c r="AB895" s="7">
        <f>VLOOKUP(A895,Jogos!A:L,4,0)</f>
        <v>52</v>
      </c>
      <c r="AC895" s="7">
        <f t="shared" si="2230"/>
        <v>25</v>
      </c>
      <c r="AD895" s="7"/>
      <c r="AE895" s="7"/>
      <c r="AF895" s="7">
        <f t="shared" si="2231"/>
        <v>25</v>
      </c>
      <c r="AG895" s="7">
        <v>2952.5</v>
      </c>
      <c r="AH895" s="7">
        <v>1029.7</v>
      </c>
      <c r="AI895" s="7">
        <v>1344.2</v>
      </c>
      <c r="AJ895" s="7">
        <v>443.8</v>
      </c>
      <c r="AK895" s="7">
        <v>128.1</v>
      </c>
      <c r="AL895" s="7">
        <v>6.7</v>
      </c>
      <c r="AM895" s="7">
        <v>41.0</v>
      </c>
      <c r="AN895" s="7">
        <v>9.0</v>
      </c>
      <c r="AO895" s="7">
        <v>25.2</v>
      </c>
      <c r="AP895" s="9">
        <f t="shared" ref="AP895:AR895" si="2795">AG895/$AF895</f>
        <v>118.1</v>
      </c>
      <c r="AQ895" s="9">
        <f t="shared" si="2795"/>
        <v>41.188</v>
      </c>
      <c r="AR895" s="9">
        <f t="shared" si="2795"/>
        <v>53.768</v>
      </c>
      <c r="AS895" s="9">
        <f t="shared" si="2233"/>
        <v>94.956</v>
      </c>
      <c r="AT895" s="9">
        <f t="shared" ref="AT895:AV895" si="2796">AJ895/$AF895</f>
        <v>17.752</v>
      </c>
      <c r="AU895" s="9">
        <f t="shared" si="2796"/>
        <v>5.124</v>
      </c>
      <c r="AV895" s="9">
        <f t="shared" si="2796"/>
        <v>0.268</v>
      </c>
      <c r="AW895" s="9">
        <f t="shared" si="2235"/>
        <v>5.392</v>
      </c>
      <c r="AX895" s="9">
        <f t="shared" ref="AX895:AY895" si="2797">AM895/$AF895</f>
        <v>1.64</v>
      </c>
      <c r="AY895" s="9">
        <f t="shared" si="2797"/>
        <v>0.36</v>
      </c>
      <c r="AZ895" s="9">
        <f>VLOOKUP(A895,Jogos!A:BN,58,0)</f>
        <v>34.76</v>
      </c>
      <c r="BA895" s="9">
        <f>VLOOKUP(A895,Jogos!A:BN,59,0)</f>
        <v>17.815</v>
      </c>
      <c r="BB895" s="9">
        <f>VLOOKUP(A895,Jogos!A:BN,60,0)</f>
        <v>36</v>
      </c>
      <c r="BC895" s="9">
        <f>VLOOKUP(A895,Jogos!A:BN,61,0)</f>
        <v>39.115</v>
      </c>
      <c r="BD895" s="9">
        <f>VLOOKUP(A895,Jogos!A:BN,62,0)</f>
        <v>509.5</v>
      </c>
      <c r="BE895" s="9">
        <f>VLOOKUP(A895,Jogos!A:BN,63,0)</f>
        <v>0.26</v>
      </c>
      <c r="BF895" s="9">
        <f>VLOOKUP(A895,Jogos!A:BN,64,0)</f>
        <v>25.44</v>
      </c>
      <c r="BG895" s="9">
        <f>VLOOKUP(A895,Jogos!A:BN,65,0)</f>
        <v>50.57</v>
      </c>
      <c r="BH895" s="9">
        <f>VLOOKUP(A895,Jogos!A:BN,66,0)</f>
        <v>31.395</v>
      </c>
      <c r="BI895" s="9"/>
      <c r="BJ895" s="9"/>
    </row>
    <row r="896" hidden="1">
      <c r="A896" s="2">
        <v>31.0</v>
      </c>
      <c r="B896" s="11" t="s">
        <v>872</v>
      </c>
      <c r="C896" s="2" t="s">
        <v>61</v>
      </c>
      <c r="D896" s="3">
        <v>45830.0</v>
      </c>
      <c r="E896" s="4">
        <v>0.75</v>
      </c>
      <c r="F896" s="5" t="str">
        <f>VLOOKUP(A896,Jogos!A:N,10,0)</f>
        <v>Evening</v>
      </c>
      <c r="G896" s="2" t="s">
        <v>997</v>
      </c>
      <c r="H896" s="6" t="str">
        <f>VLOOKUP(A896,Jogos!A:L,12,0)</f>
        <v>Open</v>
      </c>
      <c r="I896" s="6" t="str">
        <f>VLOOKUP(G896,'Estádios e Cidades'!A:B,2,0)</f>
        <v>Washington, D.C.</v>
      </c>
      <c r="J896" s="2" t="s">
        <v>936</v>
      </c>
      <c r="K896" s="2" t="str">
        <f>VLOOKUP(J896,Equipes!A:F,6,0)</f>
        <v>Temperate</v>
      </c>
      <c r="L896" s="2">
        <f>VLOOKUP(J896,Equipes!A:C,3,0)</f>
        <v>20</v>
      </c>
      <c r="M896" s="2" t="str">
        <f t="shared" si="4"/>
        <v>Group</v>
      </c>
      <c r="N896" s="2" t="s">
        <v>874</v>
      </c>
      <c r="O896" s="2">
        <f>VLOOKUP(N896,Equipes!A:C,3,0)</f>
        <v>7</v>
      </c>
      <c r="P896" s="2" t="str">
        <f t="shared" si="5"/>
        <v>Quarter-final</v>
      </c>
      <c r="Q896" s="2">
        <f t="shared" si="6"/>
        <v>13</v>
      </c>
      <c r="R896" s="2" t="str">
        <f>VLOOKUP(J896,Equipes!A:B,2,0)</f>
        <v>Salzburg</v>
      </c>
      <c r="S896" s="6" t="s">
        <v>967</v>
      </c>
      <c r="T896" s="7">
        <v>2.0</v>
      </c>
      <c r="U896" s="7" t="s">
        <v>968</v>
      </c>
      <c r="V896" s="7" t="str">
        <f>VLOOKUP(U896,Jogadores!B:C,2,0)</f>
        <v>DF</v>
      </c>
      <c r="W896" s="8">
        <f>VLOOKUP(U896,Jogadores!B:D,3,0)</f>
        <v>28.18630137</v>
      </c>
      <c r="X896" s="7">
        <v>0.0</v>
      </c>
      <c r="Y896" s="7">
        <f t="shared" si="2785"/>
        <v>96</v>
      </c>
      <c r="Z896" s="7">
        <f>VLOOKUP(A896,Jogos!A:L,3,0)</f>
        <v>49</v>
      </c>
      <c r="AA896" s="7">
        <f t="shared" si="2229"/>
        <v>49</v>
      </c>
      <c r="AB896" s="7">
        <f>VLOOKUP(A896,Jogos!A:L,4,0)</f>
        <v>51</v>
      </c>
      <c r="AC896" s="7">
        <f t="shared" si="2230"/>
        <v>51</v>
      </c>
      <c r="AD896" s="7"/>
      <c r="AE896" s="7"/>
      <c r="AF896" s="7">
        <f t="shared" si="2231"/>
        <v>100</v>
      </c>
      <c r="AG896" s="7">
        <v>8979.1</v>
      </c>
      <c r="AH896" s="7">
        <v>4625.6</v>
      </c>
      <c r="AI896" s="7">
        <v>3234.1</v>
      </c>
      <c r="AJ896" s="7">
        <v>768.6</v>
      </c>
      <c r="AK896" s="7">
        <v>230.2</v>
      </c>
      <c r="AL896" s="7">
        <v>120.6</v>
      </c>
      <c r="AM896" s="7">
        <v>75.0</v>
      </c>
      <c r="AN896" s="7">
        <v>18.0</v>
      </c>
      <c r="AO896" s="7">
        <v>29.0</v>
      </c>
      <c r="AP896" s="9">
        <f t="shared" ref="AP896:AR896" si="2798">AG896/$AF896</f>
        <v>89.791</v>
      </c>
      <c r="AQ896" s="9">
        <f t="shared" si="2798"/>
        <v>46.256</v>
      </c>
      <c r="AR896" s="9">
        <f t="shared" si="2798"/>
        <v>32.341</v>
      </c>
      <c r="AS896" s="9">
        <f t="shared" si="2233"/>
        <v>78.597</v>
      </c>
      <c r="AT896" s="9">
        <f t="shared" ref="AT896:AV896" si="2799">AJ896/$AF896</f>
        <v>7.686</v>
      </c>
      <c r="AU896" s="9">
        <f t="shared" si="2799"/>
        <v>2.302</v>
      </c>
      <c r="AV896" s="9">
        <f t="shared" si="2799"/>
        <v>1.206</v>
      </c>
      <c r="AW896" s="9">
        <f t="shared" si="2235"/>
        <v>3.508</v>
      </c>
      <c r="AX896" s="9">
        <f t="shared" ref="AX896:AY896" si="2800">AM896/$AF896</f>
        <v>0.75</v>
      </c>
      <c r="AY896" s="9">
        <f t="shared" si="2800"/>
        <v>0.18</v>
      </c>
      <c r="AZ896" s="9">
        <f>VLOOKUP(A896,Jogos!A:BN,58,0)</f>
        <v>31.59</v>
      </c>
      <c r="BA896" s="9">
        <f>VLOOKUP(A896,Jogos!A:BN,59,0)</f>
        <v>22.425</v>
      </c>
      <c r="BB896" s="9">
        <f>VLOOKUP(A896,Jogos!A:BN,60,0)</f>
        <v>57.5</v>
      </c>
      <c r="BC896" s="9">
        <f>VLOOKUP(A896,Jogos!A:BN,61,0)</f>
        <v>33.08</v>
      </c>
      <c r="BD896" s="9">
        <f>VLOOKUP(A896,Jogos!A:BN,62,0)</f>
        <v>200.3</v>
      </c>
      <c r="BE896" s="9">
        <f>VLOOKUP(A896,Jogos!A:BN,63,0)</f>
        <v>2.14</v>
      </c>
      <c r="BF896" s="9">
        <f>VLOOKUP(A896,Jogos!A:BN,64,0)</f>
        <v>25.85</v>
      </c>
      <c r="BG896" s="9">
        <f>VLOOKUP(A896,Jogos!A:BN,65,0)</f>
        <v>46.11</v>
      </c>
      <c r="BH896" s="9">
        <f>VLOOKUP(A896,Jogos!A:BN,66,0)</f>
        <v>30.475</v>
      </c>
      <c r="BI896" s="9"/>
      <c r="BJ896" s="9"/>
    </row>
    <row r="897" hidden="1">
      <c r="A897" s="2">
        <v>31.0</v>
      </c>
      <c r="B897" s="11" t="s">
        <v>872</v>
      </c>
      <c r="C897" s="2" t="s">
        <v>61</v>
      </c>
      <c r="D897" s="3">
        <v>45830.0</v>
      </c>
      <c r="E897" s="4">
        <v>0.75</v>
      </c>
      <c r="F897" s="5" t="str">
        <f>VLOOKUP(A897,Jogos!A:N,10,0)</f>
        <v>Evening</v>
      </c>
      <c r="G897" s="2" t="s">
        <v>997</v>
      </c>
      <c r="H897" s="6" t="str">
        <f>VLOOKUP(A897,Jogos!A:L,12,0)</f>
        <v>Open</v>
      </c>
      <c r="I897" s="6" t="str">
        <f>VLOOKUP(G897,'Estádios e Cidades'!A:B,2,0)</f>
        <v>Washington, D.C.</v>
      </c>
      <c r="J897" s="2" t="s">
        <v>936</v>
      </c>
      <c r="K897" s="2" t="str">
        <f>VLOOKUP(J897,Equipes!A:F,6,0)</f>
        <v>Temperate</v>
      </c>
      <c r="L897" s="2">
        <f>VLOOKUP(J897,Equipes!A:C,3,0)</f>
        <v>20</v>
      </c>
      <c r="M897" s="2" t="str">
        <f t="shared" si="4"/>
        <v>Group</v>
      </c>
      <c r="N897" s="2" t="s">
        <v>874</v>
      </c>
      <c r="O897" s="2">
        <f>VLOOKUP(N897,Equipes!A:C,3,0)</f>
        <v>7</v>
      </c>
      <c r="P897" s="2" t="str">
        <f t="shared" si="5"/>
        <v>Quarter-final</v>
      </c>
      <c r="Q897" s="2">
        <f t="shared" si="6"/>
        <v>13</v>
      </c>
      <c r="R897" s="2" t="str">
        <f>VLOOKUP(J897,Equipes!A:B,2,0)</f>
        <v>Salzburg</v>
      </c>
      <c r="S897" s="6" t="s">
        <v>987</v>
      </c>
      <c r="T897" s="7">
        <v>5.0</v>
      </c>
      <c r="U897" s="7" t="s">
        <v>988</v>
      </c>
      <c r="V897" s="7" t="str">
        <f>VLOOKUP(U897,Jogadores!B:C,2,0)</f>
        <v>MF</v>
      </c>
      <c r="W897" s="8">
        <f>VLOOKUP(U897,Jogadores!B:D,3,0)</f>
        <v>20.69315068</v>
      </c>
      <c r="X897" s="7">
        <v>0.0</v>
      </c>
      <c r="Y897" s="7">
        <v>45.0</v>
      </c>
      <c r="Z897" s="7">
        <f>VLOOKUP(A897,Jogos!A:L,3,0)</f>
        <v>49</v>
      </c>
      <c r="AA897" s="7">
        <f t="shared" si="2229"/>
        <v>49</v>
      </c>
      <c r="AB897" s="7">
        <f>VLOOKUP(A897,Jogos!A:L,4,0)</f>
        <v>51</v>
      </c>
      <c r="AC897" s="7">
        <f t="shared" si="2230"/>
        <v>0</v>
      </c>
      <c r="AD897" s="7"/>
      <c r="AE897" s="7"/>
      <c r="AF897" s="7">
        <f t="shared" si="2231"/>
        <v>49</v>
      </c>
      <c r="AG897" s="7">
        <v>5753.4</v>
      </c>
      <c r="AH897" s="7">
        <v>1752.7</v>
      </c>
      <c r="AI897" s="7">
        <v>2692.2</v>
      </c>
      <c r="AJ897" s="7">
        <v>1082.8</v>
      </c>
      <c r="AK897" s="7">
        <v>202.0</v>
      </c>
      <c r="AL897" s="7">
        <v>23.7</v>
      </c>
      <c r="AM897" s="7">
        <v>94.0</v>
      </c>
      <c r="AN897" s="7">
        <v>17.0</v>
      </c>
      <c r="AO897" s="7">
        <v>27.7</v>
      </c>
      <c r="AP897" s="9">
        <f t="shared" ref="AP897:AR897" si="2801">AG897/$AF897</f>
        <v>117.4163265</v>
      </c>
      <c r="AQ897" s="9">
        <f t="shared" si="2801"/>
        <v>35.76938776</v>
      </c>
      <c r="AR897" s="9">
        <f t="shared" si="2801"/>
        <v>54.94285714</v>
      </c>
      <c r="AS897" s="9">
        <f t="shared" si="2233"/>
        <v>90.7122449</v>
      </c>
      <c r="AT897" s="9">
        <f t="shared" ref="AT897:AV897" si="2802">AJ897/$AF897</f>
        <v>22.09795918</v>
      </c>
      <c r="AU897" s="9">
        <f t="shared" si="2802"/>
        <v>4.12244898</v>
      </c>
      <c r="AV897" s="9">
        <f t="shared" si="2802"/>
        <v>0.4836734694</v>
      </c>
      <c r="AW897" s="9">
        <f t="shared" si="2235"/>
        <v>4.606122449</v>
      </c>
      <c r="AX897" s="9">
        <f t="shared" ref="AX897:AY897" si="2803">AM897/$AF897</f>
        <v>1.918367347</v>
      </c>
      <c r="AY897" s="9">
        <f t="shared" si="2803"/>
        <v>0.3469387755</v>
      </c>
      <c r="AZ897" s="9">
        <f>VLOOKUP(A897,Jogos!A:BN,58,0)</f>
        <v>31.59</v>
      </c>
      <c r="BA897" s="9">
        <f>VLOOKUP(A897,Jogos!A:BN,59,0)</f>
        <v>22.425</v>
      </c>
      <c r="BB897" s="9">
        <f>VLOOKUP(A897,Jogos!A:BN,60,0)</f>
        <v>57.5</v>
      </c>
      <c r="BC897" s="9">
        <f>VLOOKUP(A897,Jogos!A:BN,61,0)</f>
        <v>33.08</v>
      </c>
      <c r="BD897" s="9">
        <f>VLOOKUP(A897,Jogos!A:BN,62,0)</f>
        <v>200.3</v>
      </c>
      <c r="BE897" s="9">
        <f>VLOOKUP(A897,Jogos!A:BN,63,0)</f>
        <v>2.14</v>
      </c>
      <c r="BF897" s="9">
        <f>VLOOKUP(A897,Jogos!A:BN,64,0)</f>
        <v>25.85</v>
      </c>
      <c r="BG897" s="9">
        <f>VLOOKUP(A897,Jogos!A:BN,65,0)</f>
        <v>46.11</v>
      </c>
      <c r="BH897" s="9">
        <f>VLOOKUP(A897,Jogos!A:BN,66,0)</f>
        <v>30.475</v>
      </c>
      <c r="BI897" s="9"/>
      <c r="BJ897" s="9"/>
    </row>
    <row r="898" hidden="1">
      <c r="A898" s="2">
        <v>31.0</v>
      </c>
      <c r="B898" s="11" t="s">
        <v>872</v>
      </c>
      <c r="C898" s="2" t="s">
        <v>61</v>
      </c>
      <c r="D898" s="3">
        <v>45830.0</v>
      </c>
      <c r="E898" s="4">
        <v>0.75</v>
      </c>
      <c r="F898" s="5" t="str">
        <f>VLOOKUP(A898,Jogos!A:N,10,0)</f>
        <v>Evening</v>
      </c>
      <c r="G898" s="2" t="s">
        <v>997</v>
      </c>
      <c r="H898" s="6" t="str">
        <f>VLOOKUP(A898,Jogos!A:L,12,0)</f>
        <v>Open</v>
      </c>
      <c r="I898" s="6" t="str">
        <f>VLOOKUP(G898,'Estádios e Cidades'!A:B,2,0)</f>
        <v>Washington, D.C.</v>
      </c>
      <c r="J898" s="2" t="s">
        <v>936</v>
      </c>
      <c r="K898" s="2" t="str">
        <f>VLOOKUP(J898,Equipes!A:F,6,0)</f>
        <v>Temperate</v>
      </c>
      <c r="L898" s="2">
        <f>VLOOKUP(J898,Equipes!A:C,3,0)</f>
        <v>20</v>
      </c>
      <c r="M898" s="2" t="str">
        <f t="shared" si="4"/>
        <v>Group</v>
      </c>
      <c r="N898" s="2" t="s">
        <v>874</v>
      </c>
      <c r="O898" s="2">
        <f>VLOOKUP(N898,Equipes!A:C,3,0)</f>
        <v>7</v>
      </c>
      <c r="P898" s="2" t="str">
        <f t="shared" si="5"/>
        <v>Quarter-final</v>
      </c>
      <c r="Q898" s="2">
        <f t="shared" si="6"/>
        <v>13</v>
      </c>
      <c r="R898" s="2" t="str">
        <f>VLOOKUP(J898,Equipes!A:B,2,0)</f>
        <v>Salzburg</v>
      </c>
      <c r="S898" s="6" t="s">
        <v>989</v>
      </c>
      <c r="T898" s="7">
        <v>9.0</v>
      </c>
      <c r="U898" s="7" t="s">
        <v>990</v>
      </c>
      <c r="V898" s="7" t="str">
        <f>VLOOKUP(U898,Jogadores!B:C,2,0)</f>
        <v>FW</v>
      </c>
      <c r="W898" s="8">
        <f>VLOOKUP(U898,Jogadores!B:D,3,0)</f>
        <v>33.38630137</v>
      </c>
      <c r="X898" s="7">
        <v>0.0</v>
      </c>
      <c r="Y898" s="7">
        <v>65.0</v>
      </c>
      <c r="Z898" s="7">
        <f>VLOOKUP(A898,Jogos!A:L,3,0)</f>
        <v>49</v>
      </c>
      <c r="AA898" s="7">
        <f t="shared" si="2229"/>
        <v>49</v>
      </c>
      <c r="AB898" s="7">
        <f>VLOOKUP(A898,Jogos!A:L,4,0)</f>
        <v>51</v>
      </c>
      <c r="AC898" s="7">
        <f t="shared" si="2230"/>
        <v>20</v>
      </c>
      <c r="AD898" s="7"/>
      <c r="AE898" s="7"/>
      <c r="AF898" s="7">
        <f t="shared" si="2231"/>
        <v>69</v>
      </c>
      <c r="AG898" s="7">
        <v>7972.8</v>
      </c>
      <c r="AH898" s="7">
        <v>2588.3</v>
      </c>
      <c r="AI898" s="7">
        <v>3541.9</v>
      </c>
      <c r="AJ898" s="7">
        <v>1135.4</v>
      </c>
      <c r="AK898" s="7">
        <v>507.9</v>
      </c>
      <c r="AL898" s="7">
        <v>199.2</v>
      </c>
      <c r="AM898" s="7">
        <v>106.0</v>
      </c>
      <c r="AN898" s="7">
        <v>42.0</v>
      </c>
      <c r="AO898" s="7">
        <v>33.3</v>
      </c>
      <c r="AP898" s="9">
        <f t="shared" ref="AP898:AR898" si="2804">AG898/$AF898</f>
        <v>115.5478261</v>
      </c>
      <c r="AQ898" s="9">
        <f t="shared" si="2804"/>
        <v>37.5115942</v>
      </c>
      <c r="AR898" s="9">
        <f t="shared" si="2804"/>
        <v>51.33188406</v>
      </c>
      <c r="AS898" s="9">
        <f t="shared" si="2233"/>
        <v>88.84347826</v>
      </c>
      <c r="AT898" s="9">
        <f t="shared" ref="AT898:AV898" si="2805">AJ898/$AF898</f>
        <v>16.45507246</v>
      </c>
      <c r="AU898" s="9">
        <f t="shared" si="2805"/>
        <v>7.360869565</v>
      </c>
      <c r="AV898" s="9">
        <f t="shared" si="2805"/>
        <v>2.886956522</v>
      </c>
      <c r="AW898" s="9">
        <f t="shared" si="2235"/>
        <v>10.24782609</v>
      </c>
      <c r="AX898" s="9">
        <f t="shared" ref="AX898:AY898" si="2806">AM898/$AF898</f>
        <v>1.536231884</v>
      </c>
      <c r="AY898" s="9">
        <f t="shared" si="2806"/>
        <v>0.6086956522</v>
      </c>
      <c r="AZ898" s="9">
        <f>VLOOKUP(A898,Jogos!A:BN,58,0)</f>
        <v>31.59</v>
      </c>
      <c r="BA898" s="9">
        <f>VLOOKUP(A898,Jogos!A:BN,59,0)</f>
        <v>22.425</v>
      </c>
      <c r="BB898" s="9">
        <f>VLOOKUP(A898,Jogos!A:BN,60,0)</f>
        <v>57.5</v>
      </c>
      <c r="BC898" s="9">
        <f>VLOOKUP(A898,Jogos!A:BN,61,0)</f>
        <v>33.08</v>
      </c>
      <c r="BD898" s="9">
        <f>VLOOKUP(A898,Jogos!A:BN,62,0)</f>
        <v>200.3</v>
      </c>
      <c r="BE898" s="9">
        <f>VLOOKUP(A898,Jogos!A:BN,63,0)</f>
        <v>2.14</v>
      </c>
      <c r="BF898" s="9">
        <f>VLOOKUP(A898,Jogos!A:BN,64,0)</f>
        <v>25.85</v>
      </c>
      <c r="BG898" s="9">
        <f>VLOOKUP(A898,Jogos!A:BN,65,0)</f>
        <v>46.11</v>
      </c>
      <c r="BH898" s="9">
        <f>VLOOKUP(A898,Jogos!A:BN,66,0)</f>
        <v>30.475</v>
      </c>
      <c r="BI898" s="9"/>
      <c r="BJ898" s="9"/>
    </row>
    <row r="899" hidden="1">
      <c r="A899" s="2">
        <v>31.0</v>
      </c>
      <c r="B899" s="11" t="s">
        <v>872</v>
      </c>
      <c r="C899" s="2" t="s">
        <v>61</v>
      </c>
      <c r="D899" s="3">
        <v>45830.0</v>
      </c>
      <c r="E899" s="4">
        <v>0.75</v>
      </c>
      <c r="F899" s="5" t="str">
        <f>VLOOKUP(A899,Jogos!A:N,10,0)</f>
        <v>Evening</v>
      </c>
      <c r="G899" s="2" t="s">
        <v>997</v>
      </c>
      <c r="H899" s="6" t="str">
        <f>VLOOKUP(A899,Jogos!A:L,12,0)</f>
        <v>Open</v>
      </c>
      <c r="I899" s="6" t="str">
        <f>VLOOKUP(G899,'Estádios e Cidades'!A:B,2,0)</f>
        <v>Washington, D.C.</v>
      </c>
      <c r="J899" s="2" t="s">
        <v>936</v>
      </c>
      <c r="K899" s="2" t="str">
        <f>VLOOKUP(J899,Equipes!A:F,6,0)</f>
        <v>Temperate</v>
      </c>
      <c r="L899" s="2">
        <f>VLOOKUP(J899,Equipes!A:C,3,0)</f>
        <v>20</v>
      </c>
      <c r="M899" s="2" t="str">
        <f t="shared" si="4"/>
        <v>Group</v>
      </c>
      <c r="N899" s="2" t="s">
        <v>874</v>
      </c>
      <c r="O899" s="2">
        <f>VLOOKUP(N899,Equipes!A:C,3,0)</f>
        <v>7</v>
      </c>
      <c r="P899" s="2" t="str">
        <f t="shared" si="5"/>
        <v>Quarter-final</v>
      </c>
      <c r="Q899" s="2">
        <f t="shared" si="6"/>
        <v>13</v>
      </c>
      <c r="R899" s="2" t="str">
        <f>VLOOKUP(J899,Equipes!A:B,2,0)</f>
        <v>Salzburg</v>
      </c>
      <c r="S899" s="6" t="s">
        <v>969</v>
      </c>
      <c r="T899" s="7">
        <v>13.0</v>
      </c>
      <c r="U899" s="7" t="s">
        <v>970</v>
      </c>
      <c r="V899" s="7" t="str">
        <f>VLOOKUP(U899,Jogadores!B:C,2,0)</f>
        <v>DF</v>
      </c>
      <c r="W899" s="8">
        <f>VLOOKUP(U899,Jogadores!B:D,3,0)</f>
        <v>22.55068493</v>
      </c>
      <c r="X899" s="7">
        <v>0.0</v>
      </c>
      <c r="Y899" s="7">
        <f t="shared" ref="Y899:Y900" si="2810">45+AB899</f>
        <v>96</v>
      </c>
      <c r="Z899" s="7">
        <f>VLOOKUP(A899,Jogos!A:L,3,0)</f>
        <v>49</v>
      </c>
      <c r="AA899" s="7">
        <f t="shared" si="2229"/>
        <v>49</v>
      </c>
      <c r="AB899" s="7">
        <f>VLOOKUP(A899,Jogos!A:L,4,0)</f>
        <v>51</v>
      </c>
      <c r="AC899" s="7">
        <f t="shared" si="2230"/>
        <v>51</v>
      </c>
      <c r="AD899" s="7"/>
      <c r="AE899" s="7"/>
      <c r="AF899" s="7">
        <f t="shared" si="2231"/>
        <v>100</v>
      </c>
      <c r="AG899" s="7">
        <v>10294.6</v>
      </c>
      <c r="AH899" s="7">
        <v>4143.5</v>
      </c>
      <c r="AI899" s="7">
        <v>4205.8</v>
      </c>
      <c r="AJ899" s="7">
        <v>1340.3</v>
      </c>
      <c r="AK899" s="7">
        <v>497.3</v>
      </c>
      <c r="AL899" s="7">
        <v>107.8</v>
      </c>
      <c r="AM899" s="7">
        <v>137.0</v>
      </c>
      <c r="AN899" s="7">
        <v>37.0</v>
      </c>
      <c r="AO899" s="7">
        <v>32.7</v>
      </c>
      <c r="AP899" s="9">
        <f t="shared" ref="AP899:AR899" si="2807">AG899/$AF899</f>
        <v>102.946</v>
      </c>
      <c r="AQ899" s="9">
        <f t="shared" si="2807"/>
        <v>41.435</v>
      </c>
      <c r="AR899" s="9">
        <f t="shared" si="2807"/>
        <v>42.058</v>
      </c>
      <c r="AS899" s="9">
        <f t="shared" si="2233"/>
        <v>83.493</v>
      </c>
      <c r="AT899" s="9">
        <f t="shared" ref="AT899:AV899" si="2808">AJ899/$AF899</f>
        <v>13.403</v>
      </c>
      <c r="AU899" s="9">
        <f t="shared" si="2808"/>
        <v>4.973</v>
      </c>
      <c r="AV899" s="9">
        <f t="shared" si="2808"/>
        <v>1.078</v>
      </c>
      <c r="AW899" s="9">
        <f t="shared" si="2235"/>
        <v>6.051</v>
      </c>
      <c r="AX899" s="9">
        <f t="shared" ref="AX899:AY899" si="2809">AM899/$AF899</f>
        <v>1.37</v>
      </c>
      <c r="AY899" s="9">
        <f t="shared" si="2809"/>
        <v>0.37</v>
      </c>
      <c r="AZ899" s="9">
        <f>VLOOKUP(A899,Jogos!A:BN,58,0)</f>
        <v>31.59</v>
      </c>
      <c r="BA899" s="9">
        <f>VLOOKUP(A899,Jogos!A:BN,59,0)</f>
        <v>22.425</v>
      </c>
      <c r="BB899" s="9">
        <f>VLOOKUP(A899,Jogos!A:BN,60,0)</f>
        <v>57.5</v>
      </c>
      <c r="BC899" s="9">
        <f>VLOOKUP(A899,Jogos!A:BN,61,0)</f>
        <v>33.08</v>
      </c>
      <c r="BD899" s="9">
        <f>VLOOKUP(A899,Jogos!A:BN,62,0)</f>
        <v>200.3</v>
      </c>
      <c r="BE899" s="9">
        <f>VLOOKUP(A899,Jogos!A:BN,63,0)</f>
        <v>2.14</v>
      </c>
      <c r="BF899" s="9">
        <f>VLOOKUP(A899,Jogos!A:BN,64,0)</f>
        <v>25.85</v>
      </c>
      <c r="BG899" s="9">
        <f>VLOOKUP(A899,Jogos!A:BN,65,0)</f>
        <v>46.11</v>
      </c>
      <c r="BH899" s="9">
        <f>VLOOKUP(A899,Jogos!A:BN,66,0)</f>
        <v>30.475</v>
      </c>
      <c r="BI899" s="9"/>
      <c r="BJ899" s="9"/>
    </row>
    <row r="900" hidden="1">
      <c r="A900" s="2">
        <v>31.0</v>
      </c>
      <c r="B900" s="11" t="s">
        <v>872</v>
      </c>
      <c r="C900" s="2" t="s">
        <v>61</v>
      </c>
      <c r="D900" s="3">
        <v>45830.0</v>
      </c>
      <c r="E900" s="4">
        <v>0.75</v>
      </c>
      <c r="F900" s="5" t="str">
        <f>VLOOKUP(A900,Jogos!A:N,10,0)</f>
        <v>Evening</v>
      </c>
      <c r="G900" s="2" t="s">
        <v>997</v>
      </c>
      <c r="H900" s="6" t="str">
        <f>VLOOKUP(A900,Jogos!A:L,12,0)</f>
        <v>Open</v>
      </c>
      <c r="I900" s="6" t="str">
        <f>VLOOKUP(G900,'Estádios e Cidades'!A:B,2,0)</f>
        <v>Washington, D.C.</v>
      </c>
      <c r="J900" s="2" t="s">
        <v>936</v>
      </c>
      <c r="K900" s="2" t="str">
        <f>VLOOKUP(J900,Equipes!A:F,6,0)</f>
        <v>Temperate</v>
      </c>
      <c r="L900" s="2">
        <f>VLOOKUP(J900,Equipes!A:C,3,0)</f>
        <v>20</v>
      </c>
      <c r="M900" s="2" t="str">
        <f t="shared" si="4"/>
        <v>Group</v>
      </c>
      <c r="N900" s="2" t="s">
        <v>874</v>
      </c>
      <c r="O900" s="2">
        <f>VLOOKUP(N900,Equipes!A:C,3,0)</f>
        <v>7</v>
      </c>
      <c r="P900" s="2" t="str">
        <f t="shared" si="5"/>
        <v>Quarter-final</v>
      </c>
      <c r="Q900" s="2">
        <f t="shared" si="6"/>
        <v>13</v>
      </c>
      <c r="R900" s="2" t="str">
        <f>VLOOKUP(J900,Equipes!A:B,2,0)</f>
        <v>Salzburg</v>
      </c>
      <c r="S900" s="6" t="s">
        <v>971</v>
      </c>
      <c r="T900" s="7">
        <v>18.0</v>
      </c>
      <c r="U900" s="7" t="s">
        <v>972</v>
      </c>
      <c r="V900" s="7" t="str">
        <f>VLOOKUP(U900,Jogadores!B:C,2,0)</f>
        <v>MF</v>
      </c>
      <c r="W900" s="8">
        <f>VLOOKUP(U900,Jogadores!B:D,3,0)</f>
        <v>24.43561644</v>
      </c>
      <c r="X900" s="7">
        <v>0.0</v>
      </c>
      <c r="Y900" s="7">
        <f t="shared" si="2810"/>
        <v>96</v>
      </c>
      <c r="Z900" s="7">
        <f>VLOOKUP(A900,Jogos!A:L,3,0)</f>
        <v>49</v>
      </c>
      <c r="AA900" s="7">
        <f t="shared" si="2229"/>
        <v>49</v>
      </c>
      <c r="AB900" s="7">
        <f>VLOOKUP(A900,Jogos!A:L,4,0)</f>
        <v>51</v>
      </c>
      <c r="AC900" s="7">
        <f t="shared" si="2230"/>
        <v>51</v>
      </c>
      <c r="AD900" s="7"/>
      <c r="AE900" s="7"/>
      <c r="AF900" s="7">
        <f t="shared" si="2231"/>
        <v>100</v>
      </c>
      <c r="AG900" s="7">
        <v>12029.0</v>
      </c>
      <c r="AH900" s="7">
        <v>3425.5</v>
      </c>
      <c r="AI900" s="7">
        <v>6114.4</v>
      </c>
      <c r="AJ900" s="7">
        <v>1896.6</v>
      </c>
      <c r="AK900" s="7">
        <v>473.3</v>
      </c>
      <c r="AL900" s="7">
        <v>119.2</v>
      </c>
      <c r="AM900" s="7">
        <v>146.0</v>
      </c>
      <c r="AN900" s="7">
        <v>39.0</v>
      </c>
      <c r="AO900" s="7">
        <v>31.3</v>
      </c>
      <c r="AP900" s="9">
        <f t="shared" ref="AP900:AR900" si="2811">AG900/$AF900</f>
        <v>120.29</v>
      </c>
      <c r="AQ900" s="9">
        <f t="shared" si="2811"/>
        <v>34.255</v>
      </c>
      <c r="AR900" s="9">
        <f t="shared" si="2811"/>
        <v>61.144</v>
      </c>
      <c r="AS900" s="9">
        <f t="shared" si="2233"/>
        <v>95.399</v>
      </c>
      <c r="AT900" s="9">
        <f t="shared" ref="AT900:AV900" si="2812">AJ900/$AF900</f>
        <v>18.966</v>
      </c>
      <c r="AU900" s="9">
        <f t="shared" si="2812"/>
        <v>4.733</v>
      </c>
      <c r="AV900" s="9">
        <f t="shared" si="2812"/>
        <v>1.192</v>
      </c>
      <c r="AW900" s="9">
        <f t="shared" si="2235"/>
        <v>5.925</v>
      </c>
      <c r="AX900" s="9">
        <f t="shared" ref="AX900:AY900" si="2813">AM900/$AF900</f>
        <v>1.46</v>
      </c>
      <c r="AY900" s="9">
        <f t="shared" si="2813"/>
        <v>0.39</v>
      </c>
      <c r="AZ900" s="9">
        <f>VLOOKUP(A900,Jogos!A:BN,58,0)</f>
        <v>31.59</v>
      </c>
      <c r="BA900" s="9">
        <f>VLOOKUP(A900,Jogos!A:BN,59,0)</f>
        <v>22.425</v>
      </c>
      <c r="BB900" s="9">
        <f>VLOOKUP(A900,Jogos!A:BN,60,0)</f>
        <v>57.5</v>
      </c>
      <c r="BC900" s="9">
        <f>VLOOKUP(A900,Jogos!A:BN,61,0)</f>
        <v>33.08</v>
      </c>
      <c r="BD900" s="9">
        <f>VLOOKUP(A900,Jogos!A:BN,62,0)</f>
        <v>200.3</v>
      </c>
      <c r="BE900" s="9">
        <f>VLOOKUP(A900,Jogos!A:BN,63,0)</f>
        <v>2.14</v>
      </c>
      <c r="BF900" s="9">
        <f>VLOOKUP(A900,Jogos!A:BN,64,0)</f>
        <v>25.85</v>
      </c>
      <c r="BG900" s="9">
        <f>VLOOKUP(A900,Jogos!A:BN,65,0)</f>
        <v>46.11</v>
      </c>
      <c r="BH900" s="9">
        <f>VLOOKUP(A900,Jogos!A:BN,66,0)</f>
        <v>30.475</v>
      </c>
      <c r="BI900" s="9"/>
      <c r="BJ900" s="9"/>
    </row>
    <row r="901" hidden="1">
      <c r="A901" s="2">
        <v>31.0</v>
      </c>
      <c r="B901" s="11" t="s">
        <v>872</v>
      </c>
      <c r="C901" s="2" t="s">
        <v>61</v>
      </c>
      <c r="D901" s="3">
        <v>45830.0</v>
      </c>
      <c r="E901" s="4">
        <v>0.75</v>
      </c>
      <c r="F901" s="5" t="str">
        <f>VLOOKUP(A901,Jogos!A:N,10,0)</f>
        <v>Evening</v>
      </c>
      <c r="G901" s="2" t="s">
        <v>997</v>
      </c>
      <c r="H901" s="6" t="str">
        <f>VLOOKUP(A901,Jogos!A:L,12,0)</f>
        <v>Open</v>
      </c>
      <c r="I901" s="6" t="str">
        <f>VLOOKUP(G901,'Estádios e Cidades'!A:B,2,0)</f>
        <v>Washington, D.C.</v>
      </c>
      <c r="J901" s="2" t="s">
        <v>936</v>
      </c>
      <c r="K901" s="2" t="str">
        <f>VLOOKUP(J901,Equipes!A:F,6,0)</f>
        <v>Temperate</v>
      </c>
      <c r="L901" s="2">
        <f>VLOOKUP(J901,Equipes!A:C,3,0)</f>
        <v>20</v>
      </c>
      <c r="M901" s="2" t="str">
        <f t="shared" si="4"/>
        <v>Group</v>
      </c>
      <c r="N901" s="2" t="s">
        <v>874</v>
      </c>
      <c r="O901" s="2">
        <f>VLOOKUP(N901,Equipes!A:C,3,0)</f>
        <v>7</v>
      </c>
      <c r="P901" s="2" t="str">
        <f t="shared" si="5"/>
        <v>Quarter-final</v>
      </c>
      <c r="Q901" s="2">
        <f t="shared" si="6"/>
        <v>13</v>
      </c>
      <c r="R901" s="2" t="str">
        <f>VLOOKUP(J901,Equipes!A:B,2,0)</f>
        <v>Salzburg</v>
      </c>
      <c r="S901" s="6" t="s">
        <v>973</v>
      </c>
      <c r="T901" s="7">
        <v>20.0</v>
      </c>
      <c r="U901" s="7" t="s">
        <v>974</v>
      </c>
      <c r="V901" s="7" t="str">
        <f>VLOOKUP(U901,Jogadores!B:C,2,0)</f>
        <v>FW</v>
      </c>
      <c r="W901" s="8">
        <f>VLOOKUP(U901,Jogadores!B:D,3,0)</f>
        <v>19.50410959</v>
      </c>
      <c r="X901" s="7">
        <v>0.0</v>
      </c>
      <c r="Y901" s="7">
        <v>77.0</v>
      </c>
      <c r="Z901" s="7">
        <f>VLOOKUP(A901,Jogos!A:L,3,0)</f>
        <v>49</v>
      </c>
      <c r="AA901" s="7">
        <f t="shared" si="2229"/>
        <v>49</v>
      </c>
      <c r="AB901" s="7">
        <f>VLOOKUP(A901,Jogos!A:L,4,0)</f>
        <v>51</v>
      </c>
      <c r="AC901" s="7">
        <f t="shared" si="2230"/>
        <v>32</v>
      </c>
      <c r="AD901" s="7"/>
      <c r="AE901" s="7"/>
      <c r="AF901" s="7">
        <f t="shared" si="2231"/>
        <v>81</v>
      </c>
      <c r="AG901" s="7">
        <v>9469.9</v>
      </c>
      <c r="AH901" s="7">
        <v>2961.0</v>
      </c>
      <c r="AI901" s="7">
        <v>4249.5</v>
      </c>
      <c r="AJ901" s="7">
        <v>1213.1</v>
      </c>
      <c r="AK901" s="7">
        <v>670.8</v>
      </c>
      <c r="AL901" s="7">
        <v>375.4</v>
      </c>
      <c r="AM901" s="7">
        <v>110.0</v>
      </c>
      <c r="AN901" s="7">
        <v>59.0</v>
      </c>
      <c r="AO901" s="7">
        <v>33.6</v>
      </c>
      <c r="AP901" s="9">
        <f t="shared" ref="AP901:AR901" si="2814">AG901/$AF901</f>
        <v>116.9123457</v>
      </c>
      <c r="AQ901" s="9">
        <f t="shared" si="2814"/>
        <v>36.55555556</v>
      </c>
      <c r="AR901" s="9">
        <f t="shared" si="2814"/>
        <v>52.46296296</v>
      </c>
      <c r="AS901" s="9">
        <f t="shared" si="2233"/>
        <v>89.01851852</v>
      </c>
      <c r="AT901" s="9">
        <f t="shared" ref="AT901:AV901" si="2815">AJ901/$AF901</f>
        <v>14.97654321</v>
      </c>
      <c r="AU901" s="9">
        <f t="shared" si="2815"/>
        <v>8.281481481</v>
      </c>
      <c r="AV901" s="9">
        <f t="shared" si="2815"/>
        <v>4.634567901</v>
      </c>
      <c r="AW901" s="9">
        <f t="shared" si="2235"/>
        <v>12.91604938</v>
      </c>
      <c r="AX901" s="9">
        <f t="shared" ref="AX901:AY901" si="2816">AM901/$AF901</f>
        <v>1.358024691</v>
      </c>
      <c r="AY901" s="9">
        <f t="shared" si="2816"/>
        <v>0.7283950617</v>
      </c>
      <c r="AZ901" s="9">
        <f>VLOOKUP(A901,Jogos!A:BN,58,0)</f>
        <v>31.59</v>
      </c>
      <c r="BA901" s="9">
        <f>VLOOKUP(A901,Jogos!A:BN,59,0)</f>
        <v>22.425</v>
      </c>
      <c r="BB901" s="9">
        <f>VLOOKUP(A901,Jogos!A:BN,60,0)</f>
        <v>57.5</v>
      </c>
      <c r="BC901" s="9">
        <f>VLOOKUP(A901,Jogos!A:BN,61,0)</f>
        <v>33.08</v>
      </c>
      <c r="BD901" s="9">
        <f>VLOOKUP(A901,Jogos!A:BN,62,0)</f>
        <v>200.3</v>
      </c>
      <c r="BE901" s="9">
        <f>VLOOKUP(A901,Jogos!A:BN,63,0)</f>
        <v>2.14</v>
      </c>
      <c r="BF901" s="9">
        <f>VLOOKUP(A901,Jogos!A:BN,64,0)</f>
        <v>25.85</v>
      </c>
      <c r="BG901" s="9">
        <f>VLOOKUP(A901,Jogos!A:BN,65,0)</f>
        <v>46.11</v>
      </c>
      <c r="BH901" s="9">
        <f>VLOOKUP(A901,Jogos!A:BN,66,0)</f>
        <v>30.475</v>
      </c>
      <c r="BI901" s="9"/>
      <c r="BJ901" s="9"/>
    </row>
    <row r="902" hidden="1">
      <c r="A902" s="2">
        <v>31.0</v>
      </c>
      <c r="B902" s="11" t="s">
        <v>872</v>
      </c>
      <c r="C902" s="2" t="s">
        <v>61</v>
      </c>
      <c r="D902" s="3">
        <v>45830.0</v>
      </c>
      <c r="E902" s="4">
        <v>0.75</v>
      </c>
      <c r="F902" s="5" t="str">
        <f>VLOOKUP(A902,Jogos!A:N,10,0)</f>
        <v>Evening</v>
      </c>
      <c r="G902" s="2" t="s">
        <v>997</v>
      </c>
      <c r="H902" s="6" t="str">
        <f>VLOOKUP(A902,Jogos!A:L,12,0)</f>
        <v>Open</v>
      </c>
      <c r="I902" s="6" t="str">
        <f>VLOOKUP(G902,'Estádios e Cidades'!A:B,2,0)</f>
        <v>Washington, D.C.</v>
      </c>
      <c r="J902" s="2" t="s">
        <v>936</v>
      </c>
      <c r="K902" s="2" t="str">
        <f>VLOOKUP(J902,Equipes!A:F,6,0)</f>
        <v>Temperate</v>
      </c>
      <c r="L902" s="2">
        <f>VLOOKUP(J902,Equipes!A:C,3,0)</f>
        <v>20</v>
      </c>
      <c r="M902" s="2" t="str">
        <f t="shared" si="4"/>
        <v>Group</v>
      </c>
      <c r="N902" s="2" t="s">
        <v>874</v>
      </c>
      <c r="O902" s="2">
        <f>VLOOKUP(N902,Equipes!A:C,3,0)</f>
        <v>7</v>
      </c>
      <c r="P902" s="2" t="str">
        <f t="shared" si="5"/>
        <v>Quarter-final</v>
      </c>
      <c r="Q902" s="2">
        <f t="shared" si="6"/>
        <v>13</v>
      </c>
      <c r="R902" s="2" t="str">
        <f>VLOOKUP(J902,Equipes!A:B,2,0)</f>
        <v>Salzburg</v>
      </c>
      <c r="S902" s="6" t="s">
        <v>977</v>
      </c>
      <c r="T902" s="7">
        <v>22.0</v>
      </c>
      <c r="U902" s="7" t="s">
        <v>978</v>
      </c>
      <c r="V902" s="7" t="str">
        <f>VLOOKUP(U902,Jogadores!B:C,2,0)</f>
        <v>DF</v>
      </c>
      <c r="W902" s="8">
        <f>VLOOKUP(U902,Jogadores!B:D,3,0)</f>
        <v>32.93972603</v>
      </c>
      <c r="X902" s="7">
        <v>0.0</v>
      </c>
      <c r="Y902" s="7">
        <f t="shared" ref="Y902:Y903" si="2820">45+AB902</f>
        <v>96</v>
      </c>
      <c r="Z902" s="7">
        <f>VLOOKUP(A902,Jogos!A:L,3,0)</f>
        <v>49</v>
      </c>
      <c r="AA902" s="7">
        <f t="shared" si="2229"/>
        <v>49</v>
      </c>
      <c r="AB902" s="7">
        <f>VLOOKUP(A902,Jogos!A:L,4,0)</f>
        <v>51</v>
      </c>
      <c r="AC902" s="7">
        <f t="shared" si="2230"/>
        <v>51</v>
      </c>
      <c r="AD902" s="7"/>
      <c r="AE902" s="7"/>
      <c r="AF902" s="7">
        <f t="shared" si="2231"/>
        <v>100</v>
      </c>
      <c r="AG902" s="7">
        <v>10360.6</v>
      </c>
      <c r="AH902" s="7">
        <v>4017.2</v>
      </c>
      <c r="AI902" s="7">
        <v>4277.2</v>
      </c>
      <c r="AJ902" s="7">
        <v>1300.4</v>
      </c>
      <c r="AK902" s="7">
        <v>551.4</v>
      </c>
      <c r="AL902" s="7">
        <v>214.5</v>
      </c>
      <c r="AM902" s="7">
        <v>115.0</v>
      </c>
      <c r="AN902" s="7">
        <v>48.0</v>
      </c>
      <c r="AO902" s="7">
        <v>32.0</v>
      </c>
      <c r="AP902" s="9">
        <f t="shared" ref="AP902:AR902" si="2817">AG902/$AF902</f>
        <v>103.606</v>
      </c>
      <c r="AQ902" s="9">
        <f t="shared" si="2817"/>
        <v>40.172</v>
      </c>
      <c r="AR902" s="9">
        <f t="shared" si="2817"/>
        <v>42.772</v>
      </c>
      <c r="AS902" s="9">
        <f t="shared" si="2233"/>
        <v>82.944</v>
      </c>
      <c r="AT902" s="9">
        <f t="shared" ref="AT902:AV902" si="2818">AJ902/$AF902</f>
        <v>13.004</v>
      </c>
      <c r="AU902" s="9">
        <f t="shared" si="2818"/>
        <v>5.514</v>
      </c>
      <c r="AV902" s="9">
        <f t="shared" si="2818"/>
        <v>2.145</v>
      </c>
      <c r="AW902" s="9">
        <f t="shared" si="2235"/>
        <v>7.659</v>
      </c>
      <c r="AX902" s="9">
        <f t="shared" ref="AX902:AY902" si="2819">AM902/$AF902</f>
        <v>1.15</v>
      </c>
      <c r="AY902" s="9">
        <f t="shared" si="2819"/>
        <v>0.48</v>
      </c>
      <c r="AZ902" s="9">
        <f>VLOOKUP(A902,Jogos!A:BN,58,0)</f>
        <v>31.59</v>
      </c>
      <c r="BA902" s="9">
        <f>VLOOKUP(A902,Jogos!A:BN,59,0)</f>
        <v>22.425</v>
      </c>
      <c r="BB902" s="9">
        <f>VLOOKUP(A902,Jogos!A:BN,60,0)</f>
        <v>57.5</v>
      </c>
      <c r="BC902" s="9">
        <f>VLOOKUP(A902,Jogos!A:BN,61,0)</f>
        <v>33.08</v>
      </c>
      <c r="BD902" s="9">
        <f>VLOOKUP(A902,Jogos!A:BN,62,0)</f>
        <v>200.3</v>
      </c>
      <c r="BE902" s="9">
        <f>VLOOKUP(A902,Jogos!A:BN,63,0)</f>
        <v>2.14</v>
      </c>
      <c r="BF902" s="9">
        <f>VLOOKUP(A902,Jogos!A:BN,64,0)</f>
        <v>25.85</v>
      </c>
      <c r="BG902" s="9">
        <f>VLOOKUP(A902,Jogos!A:BN,65,0)</f>
        <v>46.11</v>
      </c>
      <c r="BH902" s="9">
        <f>VLOOKUP(A902,Jogos!A:BN,66,0)</f>
        <v>30.475</v>
      </c>
      <c r="BI902" s="9"/>
      <c r="BJ902" s="9"/>
    </row>
    <row r="903" hidden="1">
      <c r="A903" s="2">
        <v>31.0</v>
      </c>
      <c r="B903" s="11" t="s">
        <v>872</v>
      </c>
      <c r="C903" s="2" t="s">
        <v>61</v>
      </c>
      <c r="D903" s="3">
        <v>45830.0</v>
      </c>
      <c r="E903" s="4">
        <v>0.75</v>
      </c>
      <c r="F903" s="5" t="str">
        <f>VLOOKUP(A903,Jogos!A:N,10,0)</f>
        <v>Evening</v>
      </c>
      <c r="G903" s="2" t="s">
        <v>997</v>
      </c>
      <c r="H903" s="6" t="str">
        <f>VLOOKUP(A903,Jogos!A:L,12,0)</f>
        <v>Open</v>
      </c>
      <c r="I903" s="6" t="str">
        <f>VLOOKUP(G903,'Estádios e Cidades'!A:B,2,0)</f>
        <v>Washington, D.C.</v>
      </c>
      <c r="J903" s="2" t="s">
        <v>936</v>
      </c>
      <c r="K903" s="2" t="str">
        <f>VLOOKUP(J903,Equipes!A:F,6,0)</f>
        <v>Temperate</v>
      </c>
      <c r="L903" s="2">
        <f>VLOOKUP(J903,Equipes!A:C,3,0)</f>
        <v>20</v>
      </c>
      <c r="M903" s="2" t="str">
        <f t="shared" si="4"/>
        <v>Group</v>
      </c>
      <c r="N903" s="2" t="s">
        <v>874</v>
      </c>
      <c r="O903" s="2">
        <f>VLOOKUP(N903,Equipes!A:C,3,0)</f>
        <v>7</v>
      </c>
      <c r="P903" s="2" t="str">
        <f t="shared" si="5"/>
        <v>Quarter-final</v>
      </c>
      <c r="Q903" s="2">
        <f t="shared" si="6"/>
        <v>13</v>
      </c>
      <c r="R903" s="2" t="str">
        <f>VLOOKUP(J903,Equipes!A:B,2,0)</f>
        <v>Salzburg</v>
      </c>
      <c r="S903" s="6" t="s">
        <v>979</v>
      </c>
      <c r="T903" s="7">
        <v>23.0</v>
      </c>
      <c r="U903" s="7" t="s">
        <v>980</v>
      </c>
      <c r="V903" s="7" t="str">
        <f>VLOOKUP(U903,Jogadores!B:C,2,0)</f>
        <v>DF</v>
      </c>
      <c r="W903" s="8">
        <f>VLOOKUP(U903,Jogadores!B:D,3,0)</f>
        <v>18.53972603</v>
      </c>
      <c r="X903" s="7">
        <v>0.0</v>
      </c>
      <c r="Y903" s="7">
        <f t="shared" si="2820"/>
        <v>96</v>
      </c>
      <c r="Z903" s="7">
        <f>VLOOKUP(A903,Jogos!A:L,3,0)</f>
        <v>49</v>
      </c>
      <c r="AA903" s="7">
        <f t="shared" si="2229"/>
        <v>49</v>
      </c>
      <c r="AB903" s="7">
        <f>VLOOKUP(A903,Jogos!A:L,4,0)</f>
        <v>51</v>
      </c>
      <c r="AC903" s="7">
        <f t="shared" si="2230"/>
        <v>51</v>
      </c>
      <c r="AD903" s="7"/>
      <c r="AE903" s="7"/>
      <c r="AF903" s="7">
        <f t="shared" si="2231"/>
        <v>100</v>
      </c>
      <c r="AG903" s="7">
        <v>8778.5</v>
      </c>
      <c r="AH903" s="7">
        <v>4222.3</v>
      </c>
      <c r="AI903" s="7">
        <v>3334.4</v>
      </c>
      <c r="AJ903" s="7">
        <v>747.1</v>
      </c>
      <c r="AK903" s="7">
        <v>291.3</v>
      </c>
      <c r="AL903" s="7">
        <v>183.3</v>
      </c>
      <c r="AM903" s="7">
        <v>60.0</v>
      </c>
      <c r="AN903" s="7">
        <v>28.0</v>
      </c>
      <c r="AO903" s="7">
        <v>33.3</v>
      </c>
      <c r="AP903" s="9">
        <f t="shared" ref="AP903:AR903" si="2821">AG903/$AF903</f>
        <v>87.785</v>
      </c>
      <c r="AQ903" s="9">
        <f t="shared" si="2821"/>
        <v>42.223</v>
      </c>
      <c r="AR903" s="9">
        <f t="shared" si="2821"/>
        <v>33.344</v>
      </c>
      <c r="AS903" s="9">
        <f t="shared" si="2233"/>
        <v>75.567</v>
      </c>
      <c r="AT903" s="9">
        <f t="shared" ref="AT903:AV903" si="2822">AJ903/$AF903</f>
        <v>7.471</v>
      </c>
      <c r="AU903" s="9">
        <f t="shared" si="2822"/>
        <v>2.913</v>
      </c>
      <c r="AV903" s="9">
        <f t="shared" si="2822"/>
        <v>1.833</v>
      </c>
      <c r="AW903" s="9">
        <f t="shared" si="2235"/>
        <v>4.746</v>
      </c>
      <c r="AX903" s="9">
        <f t="shared" ref="AX903:AY903" si="2823">AM903/$AF903</f>
        <v>0.6</v>
      </c>
      <c r="AY903" s="9">
        <f t="shared" si="2823"/>
        <v>0.28</v>
      </c>
      <c r="AZ903" s="9">
        <f>VLOOKUP(A903,Jogos!A:BN,58,0)</f>
        <v>31.59</v>
      </c>
      <c r="BA903" s="9">
        <f>VLOOKUP(A903,Jogos!A:BN,59,0)</f>
        <v>22.425</v>
      </c>
      <c r="BB903" s="9">
        <f>VLOOKUP(A903,Jogos!A:BN,60,0)</f>
        <v>57.5</v>
      </c>
      <c r="BC903" s="9">
        <f>VLOOKUP(A903,Jogos!A:BN,61,0)</f>
        <v>33.08</v>
      </c>
      <c r="BD903" s="9">
        <f>VLOOKUP(A903,Jogos!A:BN,62,0)</f>
        <v>200.3</v>
      </c>
      <c r="BE903" s="9">
        <f>VLOOKUP(A903,Jogos!A:BN,63,0)</f>
        <v>2.14</v>
      </c>
      <c r="BF903" s="9">
        <f>VLOOKUP(A903,Jogos!A:BN,64,0)</f>
        <v>25.85</v>
      </c>
      <c r="BG903" s="9">
        <f>VLOOKUP(A903,Jogos!A:BN,65,0)</f>
        <v>46.11</v>
      </c>
      <c r="BH903" s="9">
        <f>VLOOKUP(A903,Jogos!A:BN,66,0)</f>
        <v>30.475</v>
      </c>
      <c r="BI903" s="9"/>
      <c r="BJ903" s="9"/>
    </row>
    <row r="904" hidden="1">
      <c r="A904" s="2">
        <v>31.0</v>
      </c>
      <c r="B904" s="11" t="s">
        <v>872</v>
      </c>
      <c r="C904" s="2" t="s">
        <v>61</v>
      </c>
      <c r="D904" s="3">
        <v>45830.0</v>
      </c>
      <c r="E904" s="4">
        <v>0.75</v>
      </c>
      <c r="F904" s="5" t="str">
        <f>VLOOKUP(A904,Jogos!A:N,10,0)</f>
        <v>Evening</v>
      </c>
      <c r="G904" s="2" t="s">
        <v>997</v>
      </c>
      <c r="H904" s="6" t="str">
        <f>VLOOKUP(A904,Jogos!A:L,12,0)</f>
        <v>Open</v>
      </c>
      <c r="I904" s="6" t="str">
        <f>VLOOKUP(G904,'Estádios e Cidades'!A:B,2,0)</f>
        <v>Washington, D.C.</v>
      </c>
      <c r="J904" s="2" t="s">
        <v>936</v>
      </c>
      <c r="K904" s="2" t="str">
        <f>VLOOKUP(J904,Equipes!A:F,6,0)</f>
        <v>Temperate</v>
      </c>
      <c r="L904" s="2">
        <f>VLOOKUP(J904,Equipes!A:C,3,0)</f>
        <v>20</v>
      </c>
      <c r="M904" s="2" t="str">
        <f t="shared" si="4"/>
        <v>Group</v>
      </c>
      <c r="N904" s="2" t="s">
        <v>874</v>
      </c>
      <c r="O904" s="2">
        <f>VLOOKUP(N904,Equipes!A:C,3,0)</f>
        <v>7</v>
      </c>
      <c r="P904" s="2" t="str">
        <f t="shared" si="5"/>
        <v>Quarter-final</v>
      </c>
      <c r="Q904" s="2">
        <f t="shared" si="6"/>
        <v>13</v>
      </c>
      <c r="R904" s="2" t="str">
        <f>VLOOKUP(J904,Equipes!A:B,2,0)</f>
        <v>Salzburg</v>
      </c>
      <c r="S904" s="6" t="s">
        <v>981</v>
      </c>
      <c r="T904" s="7">
        <v>30.0</v>
      </c>
      <c r="U904" s="7" t="s">
        <v>982</v>
      </c>
      <c r="V904" s="7" t="str">
        <f>VLOOKUP(U904,Jogadores!B:C,2,0)</f>
        <v>MF</v>
      </c>
      <c r="W904" s="8">
        <f>VLOOKUP(U904,Jogadores!B:D,3,0)</f>
        <v>21.3369863</v>
      </c>
      <c r="X904" s="7">
        <v>0.0</v>
      </c>
      <c r="Y904" s="7">
        <v>65.0</v>
      </c>
      <c r="Z904" s="7">
        <f>VLOOKUP(A904,Jogos!A:L,3,0)</f>
        <v>49</v>
      </c>
      <c r="AA904" s="7">
        <f t="shared" si="2229"/>
        <v>49</v>
      </c>
      <c r="AB904" s="7">
        <f>VLOOKUP(A904,Jogos!A:L,4,0)</f>
        <v>51</v>
      </c>
      <c r="AC904" s="7">
        <f t="shared" si="2230"/>
        <v>20</v>
      </c>
      <c r="AD904" s="7"/>
      <c r="AE904" s="7"/>
      <c r="AF904" s="7">
        <f t="shared" si="2231"/>
        <v>69</v>
      </c>
      <c r="AG904" s="7">
        <v>7510.9</v>
      </c>
      <c r="AH904" s="7">
        <v>2969.9</v>
      </c>
      <c r="AI904" s="7">
        <v>3183.5</v>
      </c>
      <c r="AJ904" s="7">
        <v>1000.8</v>
      </c>
      <c r="AK904" s="7">
        <v>314.2</v>
      </c>
      <c r="AL904" s="7">
        <v>42.4</v>
      </c>
      <c r="AM904" s="7">
        <v>86.0</v>
      </c>
      <c r="AN904" s="7">
        <v>27.0</v>
      </c>
      <c r="AO904" s="7">
        <v>29.0</v>
      </c>
      <c r="AP904" s="9">
        <f t="shared" ref="AP904:AR904" si="2824">AG904/$AF904</f>
        <v>108.8536232</v>
      </c>
      <c r="AQ904" s="9">
        <f t="shared" si="2824"/>
        <v>43.04202899</v>
      </c>
      <c r="AR904" s="9">
        <f t="shared" si="2824"/>
        <v>46.13768116</v>
      </c>
      <c r="AS904" s="9">
        <f t="shared" si="2233"/>
        <v>89.17971014</v>
      </c>
      <c r="AT904" s="9">
        <f t="shared" ref="AT904:AV904" si="2825">AJ904/$AF904</f>
        <v>14.50434783</v>
      </c>
      <c r="AU904" s="9">
        <f t="shared" si="2825"/>
        <v>4.553623188</v>
      </c>
      <c r="AV904" s="9">
        <f t="shared" si="2825"/>
        <v>0.6144927536</v>
      </c>
      <c r="AW904" s="9">
        <f t="shared" si="2235"/>
        <v>5.168115942</v>
      </c>
      <c r="AX904" s="9">
        <f t="shared" ref="AX904:AY904" si="2826">AM904/$AF904</f>
        <v>1.246376812</v>
      </c>
      <c r="AY904" s="9">
        <f t="shared" si="2826"/>
        <v>0.3913043478</v>
      </c>
      <c r="AZ904" s="9">
        <f>VLOOKUP(A904,Jogos!A:BN,58,0)</f>
        <v>31.59</v>
      </c>
      <c r="BA904" s="9">
        <f>VLOOKUP(A904,Jogos!A:BN,59,0)</f>
        <v>22.425</v>
      </c>
      <c r="BB904" s="9">
        <f>VLOOKUP(A904,Jogos!A:BN,60,0)</f>
        <v>57.5</v>
      </c>
      <c r="BC904" s="9">
        <f>VLOOKUP(A904,Jogos!A:BN,61,0)</f>
        <v>33.08</v>
      </c>
      <c r="BD904" s="9">
        <f>VLOOKUP(A904,Jogos!A:BN,62,0)</f>
        <v>200.3</v>
      </c>
      <c r="BE904" s="9">
        <f>VLOOKUP(A904,Jogos!A:BN,63,0)</f>
        <v>2.14</v>
      </c>
      <c r="BF904" s="9">
        <f>VLOOKUP(A904,Jogos!A:BN,64,0)</f>
        <v>25.85</v>
      </c>
      <c r="BG904" s="9">
        <f>VLOOKUP(A904,Jogos!A:BN,65,0)</f>
        <v>46.11</v>
      </c>
      <c r="BH904" s="9">
        <f>VLOOKUP(A904,Jogos!A:BN,66,0)</f>
        <v>30.475</v>
      </c>
      <c r="BI904" s="9"/>
      <c r="BJ904" s="9"/>
    </row>
    <row r="905" hidden="1">
      <c r="A905" s="2">
        <v>31.0</v>
      </c>
      <c r="B905" s="11" t="s">
        <v>872</v>
      </c>
      <c r="C905" s="2" t="s">
        <v>61</v>
      </c>
      <c r="D905" s="3">
        <v>45830.0</v>
      </c>
      <c r="E905" s="4">
        <v>0.75</v>
      </c>
      <c r="F905" s="5" t="str">
        <f>VLOOKUP(A905,Jogos!A:N,10,0)</f>
        <v>Evening</v>
      </c>
      <c r="G905" s="2" t="s">
        <v>997</v>
      </c>
      <c r="H905" s="6" t="str">
        <f>VLOOKUP(A905,Jogos!A:L,12,0)</f>
        <v>Open</v>
      </c>
      <c r="I905" s="6" t="str">
        <f>VLOOKUP(G905,'Estádios e Cidades'!A:B,2,0)</f>
        <v>Washington, D.C.</v>
      </c>
      <c r="J905" s="2" t="s">
        <v>936</v>
      </c>
      <c r="K905" s="2" t="str">
        <f>VLOOKUP(J905,Equipes!A:F,6,0)</f>
        <v>Temperate</v>
      </c>
      <c r="L905" s="2">
        <f>VLOOKUP(J905,Equipes!A:C,3,0)</f>
        <v>20</v>
      </c>
      <c r="M905" s="2" t="str">
        <f t="shared" si="4"/>
        <v>Group</v>
      </c>
      <c r="N905" s="2" t="s">
        <v>874</v>
      </c>
      <c r="O905" s="2">
        <f>VLOOKUP(N905,Equipes!A:C,3,0)</f>
        <v>7</v>
      </c>
      <c r="P905" s="2" t="str">
        <f t="shared" si="5"/>
        <v>Quarter-final</v>
      </c>
      <c r="Q905" s="2">
        <f t="shared" si="6"/>
        <v>13</v>
      </c>
      <c r="R905" s="2" t="str">
        <f>VLOOKUP(J905,Equipes!A:B,2,0)</f>
        <v>Salzburg</v>
      </c>
      <c r="S905" s="6" t="s">
        <v>985</v>
      </c>
      <c r="T905" s="7">
        <v>45.0</v>
      </c>
      <c r="U905" s="7" t="s">
        <v>986</v>
      </c>
      <c r="V905" s="7" t="str">
        <f>VLOOKUP(U905,Jogadores!B:C,2,0)</f>
        <v>FW</v>
      </c>
      <c r="W905" s="8">
        <f>VLOOKUP(U905,Jogadores!B:D,3,0)</f>
        <v>22.6109589</v>
      </c>
      <c r="X905" s="7">
        <v>0.0</v>
      </c>
      <c r="Y905" s="7">
        <v>77.0</v>
      </c>
      <c r="Z905" s="7">
        <f>VLOOKUP(A905,Jogos!A:L,3,0)</f>
        <v>49</v>
      </c>
      <c r="AA905" s="7">
        <f t="shared" si="2229"/>
        <v>49</v>
      </c>
      <c r="AB905" s="7">
        <f>VLOOKUP(A905,Jogos!A:L,4,0)</f>
        <v>51</v>
      </c>
      <c r="AC905" s="7">
        <f t="shared" si="2230"/>
        <v>32</v>
      </c>
      <c r="AD905" s="7"/>
      <c r="AE905" s="7"/>
      <c r="AF905" s="7">
        <f t="shared" si="2231"/>
        <v>81</v>
      </c>
      <c r="AG905" s="7">
        <v>8802.8</v>
      </c>
      <c r="AH905" s="7">
        <v>3737.4</v>
      </c>
      <c r="AI905" s="7">
        <v>3214.6</v>
      </c>
      <c r="AJ905" s="7">
        <v>1189.3</v>
      </c>
      <c r="AK905" s="7">
        <v>467.9</v>
      </c>
      <c r="AL905" s="7">
        <v>193.6</v>
      </c>
      <c r="AM905" s="7">
        <v>107.0</v>
      </c>
      <c r="AN905" s="7">
        <v>46.0</v>
      </c>
      <c r="AO905" s="7">
        <v>32.7</v>
      </c>
      <c r="AP905" s="9">
        <f t="shared" ref="AP905:AR905" si="2827">AG905/$AF905</f>
        <v>108.6765432</v>
      </c>
      <c r="AQ905" s="9">
        <f t="shared" si="2827"/>
        <v>46.14074074</v>
      </c>
      <c r="AR905" s="9">
        <f t="shared" si="2827"/>
        <v>39.68641975</v>
      </c>
      <c r="AS905" s="9">
        <f t="shared" si="2233"/>
        <v>85.82716049</v>
      </c>
      <c r="AT905" s="9">
        <f t="shared" ref="AT905:AV905" si="2828">AJ905/$AF905</f>
        <v>14.68271605</v>
      </c>
      <c r="AU905" s="9">
        <f t="shared" si="2828"/>
        <v>5.77654321</v>
      </c>
      <c r="AV905" s="9">
        <f t="shared" si="2828"/>
        <v>2.390123457</v>
      </c>
      <c r="AW905" s="9">
        <f t="shared" si="2235"/>
        <v>8.166666667</v>
      </c>
      <c r="AX905" s="9">
        <f t="shared" ref="AX905:AY905" si="2829">AM905/$AF905</f>
        <v>1.320987654</v>
      </c>
      <c r="AY905" s="9">
        <f t="shared" si="2829"/>
        <v>0.5679012346</v>
      </c>
      <c r="AZ905" s="9">
        <f>VLOOKUP(A905,Jogos!A:BN,58,0)</f>
        <v>31.59</v>
      </c>
      <c r="BA905" s="9">
        <f>VLOOKUP(A905,Jogos!A:BN,59,0)</f>
        <v>22.425</v>
      </c>
      <c r="BB905" s="9">
        <f>VLOOKUP(A905,Jogos!A:BN,60,0)</f>
        <v>57.5</v>
      </c>
      <c r="BC905" s="9">
        <f>VLOOKUP(A905,Jogos!A:BN,61,0)</f>
        <v>33.08</v>
      </c>
      <c r="BD905" s="9">
        <f>VLOOKUP(A905,Jogos!A:BN,62,0)</f>
        <v>200.3</v>
      </c>
      <c r="BE905" s="9">
        <f>VLOOKUP(A905,Jogos!A:BN,63,0)</f>
        <v>2.14</v>
      </c>
      <c r="BF905" s="9">
        <f>VLOOKUP(A905,Jogos!A:BN,64,0)</f>
        <v>25.85</v>
      </c>
      <c r="BG905" s="9">
        <f>VLOOKUP(A905,Jogos!A:BN,65,0)</f>
        <v>46.11</v>
      </c>
      <c r="BH905" s="9">
        <f>VLOOKUP(A905,Jogos!A:BN,66,0)</f>
        <v>30.475</v>
      </c>
      <c r="BI905" s="9"/>
      <c r="BJ905" s="9"/>
    </row>
    <row r="906" hidden="1">
      <c r="A906" s="2">
        <v>31.0</v>
      </c>
      <c r="B906" s="11" t="s">
        <v>872</v>
      </c>
      <c r="C906" s="2" t="s">
        <v>61</v>
      </c>
      <c r="D906" s="3">
        <v>45830.0</v>
      </c>
      <c r="E906" s="4">
        <v>0.75</v>
      </c>
      <c r="F906" s="5" t="str">
        <f>VLOOKUP(A906,Jogos!A:N,10,0)</f>
        <v>Evening</v>
      </c>
      <c r="G906" s="2" t="s">
        <v>997</v>
      </c>
      <c r="H906" s="6" t="str">
        <f>VLOOKUP(A906,Jogos!A:L,12,0)</f>
        <v>Open</v>
      </c>
      <c r="I906" s="6" t="str">
        <f>VLOOKUP(G906,'Estádios e Cidades'!A:B,2,0)</f>
        <v>Washington, D.C.</v>
      </c>
      <c r="J906" s="2" t="s">
        <v>936</v>
      </c>
      <c r="K906" s="2" t="str">
        <f>VLOOKUP(J906,Equipes!A:F,6,0)</f>
        <v>Temperate</v>
      </c>
      <c r="L906" s="2">
        <f>VLOOKUP(J906,Equipes!A:C,3,0)</f>
        <v>20</v>
      </c>
      <c r="M906" s="2" t="str">
        <f t="shared" si="4"/>
        <v>Group</v>
      </c>
      <c r="N906" s="2" t="s">
        <v>874</v>
      </c>
      <c r="O906" s="2">
        <f>VLOOKUP(N906,Equipes!A:C,3,0)</f>
        <v>7</v>
      </c>
      <c r="P906" s="2" t="str">
        <f t="shared" si="5"/>
        <v>Quarter-final</v>
      </c>
      <c r="Q906" s="2">
        <f t="shared" si="6"/>
        <v>13</v>
      </c>
      <c r="R906" s="2" t="str">
        <f>VLOOKUP(J906,Equipes!A:B,2,0)</f>
        <v>Salzburg</v>
      </c>
      <c r="S906" s="6" t="s">
        <v>1210</v>
      </c>
      <c r="T906" s="7">
        <v>8.0</v>
      </c>
      <c r="U906" s="7" t="s">
        <v>1211</v>
      </c>
      <c r="V906" s="7" t="str">
        <f>VLOOKUP(U906,Jogadores!B:C,2,0)</f>
        <v>FW</v>
      </c>
      <c r="W906" s="8">
        <f>VLOOKUP(U906,Jogadores!B:D,3,0)</f>
        <v>20.96986301</v>
      </c>
      <c r="X906" s="7">
        <v>65.0</v>
      </c>
      <c r="Y906" s="7">
        <f t="shared" ref="Y906:Y911" si="2833">45+AB906</f>
        <v>96</v>
      </c>
      <c r="Z906" s="7">
        <f>VLOOKUP(A906,Jogos!A:L,3,0)</f>
        <v>49</v>
      </c>
      <c r="AA906" s="7">
        <f t="shared" si="2229"/>
        <v>0</v>
      </c>
      <c r="AB906" s="7">
        <f>VLOOKUP(A906,Jogos!A:L,4,0)</f>
        <v>51</v>
      </c>
      <c r="AC906" s="7">
        <f t="shared" si="2230"/>
        <v>31</v>
      </c>
      <c r="AD906" s="7"/>
      <c r="AE906" s="7"/>
      <c r="AF906" s="7">
        <f t="shared" si="2231"/>
        <v>31</v>
      </c>
      <c r="AG906" s="7">
        <v>3051.8</v>
      </c>
      <c r="AH906" s="7">
        <v>1010.0</v>
      </c>
      <c r="AI906" s="7">
        <v>1183.9</v>
      </c>
      <c r="AJ906" s="7">
        <v>498.1</v>
      </c>
      <c r="AK906" s="7">
        <v>258.1</v>
      </c>
      <c r="AL906" s="7">
        <v>101.7</v>
      </c>
      <c r="AM906" s="7">
        <v>41.0</v>
      </c>
      <c r="AN906" s="7">
        <v>26.0</v>
      </c>
      <c r="AO906" s="7">
        <v>29.9</v>
      </c>
      <c r="AP906" s="9">
        <f t="shared" ref="AP906:AR906" si="2830">AG906/$AF906</f>
        <v>98.44516129</v>
      </c>
      <c r="AQ906" s="9">
        <f t="shared" si="2830"/>
        <v>32.58064516</v>
      </c>
      <c r="AR906" s="9">
        <f t="shared" si="2830"/>
        <v>38.19032258</v>
      </c>
      <c r="AS906" s="9">
        <f t="shared" si="2233"/>
        <v>70.77096774</v>
      </c>
      <c r="AT906" s="9">
        <f t="shared" ref="AT906:AV906" si="2831">AJ906/$AF906</f>
        <v>16.06774194</v>
      </c>
      <c r="AU906" s="9">
        <f t="shared" si="2831"/>
        <v>8.325806452</v>
      </c>
      <c r="AV906" s="9">
        <f t="shared" si="2831"/>
        <v>3.280645161</v>
      </c>
      <c r="AW906" s="9">
        <f t="shared" si="2235"/>
        <v>11.60645161</v>
      </c>
      <c r="AX906" s="9">
        <f t="shared" ref="AX906:AY906" si="2832">AM906/$AF906</f>
        <v>1.322580645</v>
      </c>
      <c r="AY906" s="9">
        <f t="shared" si="2832"/>
        <v>0.8387096774</v>
      </c>
      <c r="AZ906" s="9">
        <f>VLOOKUP(A906,Jogos!A:BN,58,0)</f>
        <v>31.59</v>
      </c>
      <c r="BA906" s="9">
        <f>VLOOKUP(A906,Jogos!A:BN,59,0)</f>
        <v>22.425</v>
      </c>
      <c r="BB906" s="9">
        <f>VLOOKUP(A906,Jogos!A:BN,60,0)</f>
        <v>57.5</v>
      </c>
      <c r="BC906" s="9">
        <f>VLOOKUP(A906,Jogos!A:BN,61,0)</f>
        <v>33.08</v>
      </c>
      <c r="BD906" s="9">
        <f>VLOOKUP(A906,Jogos!A:BN,62,0)</f>
        <v>200.3</v>
      </c>
      <c r="BE906" s="9">
        <f>VLOOKUP(A906,Jogos!A:BN,63,0)</f>
        <v>2.14</v>
      </c>
      <c r="BF906" s="9">
        <f>VLOOKUP(A906,Jogos!A:BN,64,0)</f>
        <v>25.85</v>
      </c>
      <c r="BG906" s="9">
        <f>VLOOKUP(A906,Jogos!A:BN,65,0)</f>
        <v>46.11</v>
      </c>
      <c r="BH906" s="9">
        <f>VLOOKUP(A906,Jogos!A:BN,66,0)</f>
        <v>30.475</v>
      </c>
      <c r="BI906" s="9"/>
      <c r="BJ906" s="9"/>
    </row>
    <row r="907" hidden="1">
      <c r="A907" s="2">
        <v>31.0</v>
      </c>
      <c r="B907" s="11" t="s">
        <v>872</v>
      </c>
      <c r="C907" s="2" t="s">
        <v>61</v>
      </c>
      <c r="D907" s="3">
        <v>45830.0</v>
      </c>
      <c r="E907" s="4">
        <v>0.75</v>
      </c>
      <c r="F907" s="5" t="str">
        <f>VLOOKUP(A907,Jogos!A:N,10,0)</f>
        <v>Evening</v>
      </c>
      <c r="G907" s="2" t="s">
        <v>997</v>
      </c>
      <c r="H907" s="6" t="str">
        <f>VLOOKUP(A907,Jogos!A:L,12,0)</f>
        <v>Open</v>
      </c>
      <c r="I907" s="6" t="str">
        <f>VLOOKUP(G907,'Estádios e Cidades'!A:B,2,0)</f>
        <v>Washington, D.C.</v>
      </c>
      <c r="J907" s="2" t="s">
        <v>936</v>
      </c>
      <c r="K907" s="2" t="str">
        <f>VLOOKUP(J907,Equipes!A:F,6,0)</f>
        <v>Temperate</v>
      </c>
      <c r="L907" s="2">
        <f>VLOOKUP(J907,Equipes!A:C,3,0)</f>
        <v>20</v>
      </c>
      <c r="M907" s="2" t="str">
        <f t="shared" si="4"/>
        <v>Group</v>
      </c>
      <c r="N907" s="2" t="s">
        <v>874</v>
      </c>
      <c r="O907" s="2">
        <f>VLOOKUP(N907,Equipes!A:C,3,0)</f>
        <v>7</v>
      </c>
      <c r="P907" s="2" t="str">
        <f t="shared" si="5"/>
        <v>Quarter-final</v>
      </c>
      <c r="Q907" s="2">
        <f t="shared" si="6"/>
        <v>13</v>
      </c>
      <c r="R907" s="2" t="str">
        <f>VLOOKUP(J907,Equipes!A:B,2,0)</f>
        <v>Salzburg</v>
      </c>
      <c r="S907" s="6" t="s">
        <v>991</v>
      </c>
      <c r="T907" s="7">
        <v>11.0</v>
      </c>
      <c r="U907" s="7" t="s">
        <v>992</v>
      </c>
      <c r="V907" s="7" t="str">
        <f>VLOOKUP(U907,Jogadores!B:C,2,0)</f>
        <v>FW</v>
      </c>
      <c r="W907" s="8">
        <f>VLOOKUP(U907,Jogadores!B:D,3,0)</f>
        <v>24.56712329</v>
      </c>
      <c r="X907" s="7">
        <v>77.0</v>
      </c>
      <c r="Y907" s="7">
        <f t="shared" si="2833"/>
        <v>96</v>
      </c>
      <c r="Z907" s="7">
        <f>VLOOKUP(A907,Jogos!A:L,3,0)</f>
        <v>49</v>
      </c>
      <c r="AA907" s="7">
        <f t="shared" si="2229"/>
        <v>0</v>
      </c>
      <c r="AB907" s="7">
        <f>VLOOKUP(A907,Jogos!A:L,4,0)</f>
        <v>51</v>
      </c>
      <c r="AC907" s="7">
        <f t="shared" si="2230"/>
        <v>19</v>
      </c>
      <c r="AD907" s="7"/>
      <c r="AE907" s="7"/>
      <c r="AF907" s="7">
        <f t="shared" si="2231"/>
        <v>19</v>
      </c>
      <c r="AG907" s="7">
        <v>2193.7</v>
      </c>
      <c r="AH907" s="7">
        <v>661.6</v>
      </c>
      <c r="AI907" s="7">
        <v>980.9</v>
      </c>
      <c r="AJ907" s="7">
        <v>367.3</v>
      </c>
      <c r="AK907" s="7">
        <v>150.4</v>
      </c>
      <c r="AL907" s="7">
        <v>33.5</v>
      </c>
      <c r="AM907" s="7">
        <v>30.0</v>
      </c>
      <c r="AN907" s="7">
        <v>10.0</v>
      </c>
      <c r="AO907" s="7">
        <v>30.0</v>
      </c>
      <c r="AP907" s="9">
        <f t="shared" ref="AP907:AR907" si="2834">AG907/$AF907</f>
        <v>115.4578947</v>
      </c>
      <c r="AQ907" s="9">
        <f t="shared" si="2834"/>
        <v>34.82105263</v>
      </c>
      <c r="AR907" s="9">
        <f t="shared" si="2834"/>
        <v>51.62631579</v>
      </c>
      <c r="AS907" s="9">
        <f t="shared" si="2233"/>
        <v>86.44736842</v>
      </c>
      <c r="AT907" s="9">
        <f t="shared" ref="AT907:AV907" si="2835">AJ907/$AF907</f>
        <v>19.33157895</v>
      </c>
      <c r="AU907" s="9">
        <f t="shared" si="2835"/>
        <v>7.915789474</v>
      </c>
      <c r="AV907" s="9">
        <f t="shared" si="2835"/>
        <v>1.763157895</v>
      </c>
      <c r="AW907" s="9">
        <f t="shared" si="2235"/>
        <v>9.678947368</v>
      </c>
      <c r="AX907" s="9">
        <f t="shared" ref="AX907:AY907" si="2836">AM907/$AF907</f>
        <v>1.578947368</v>
      </c>
      <c r="AY907" s="9">
        <f t="shared" si="2836"/>
        <v>0.5263157895</v>
      </c>
      <c r="AZ907" s="9">
        <f>VLOOKUP(A907,Jogos!A:BN,58,0)</f>
        <v>31.59</v>
      </c>
      <c r="BA907" s="9">
        <f>VLOOKUP(A907,Jogos!A:BN,59,0)</f>
        <v>22.425</v>
      </c>
      <c r="BB907" s="9">
        <f>VLOOKUP(A907,Jogos!A:BN,60,0)</f>
        <v>57.5</v>
      </c>
      <c r="BC907" s="9">
        <f>VLOOKUP(A907,Jogos!A:BN,61,0)</f>
        <v>33.08</v>
      </c>
      <c r="BD907" s="9">
        <f>VLOOKUP(A907,Jogos!A:BN,62,0)</f>
        <v>200.3</v>
      </c>
      <c r="BE907" s="9">
        <f>VLOOKUP(A907,Jogos!A:BN,63,0)</f>
        <v>2.14</v>
      </c>
      <c r="BF907" s="9">
        <f>VLOOKUP(A907,Jogos!A:BN,64,0)</f>
        <v>25.85</v>
      </c>
      <c r="BG907" s="9">
        <f>VLOOKUP(A907,Jogos!A:BN,65,0)</f>
        <v>46.11</v>
      </c>
      <c r="BH907" s="9">
        <f>VLOOKUP(A907,Jogos!A:BN,66,0)</f>
        <v>30.475</v>
      </c>
      <c r="BI907" s="9"/>
      <c r="BJ907" s="9"/>
    </row>
    <row r="908" hidden="1">
      <c r="A908" s="2">
        <v>31.0</v>
      </c>
      <c r="B908" s="11" t="s">
        <v>872</v>
      </c>
      <c r="C908" s="2" t="s">
        <v>61</v>
      </c>
      <c r="D908" s="3">
        <v>45830.0</v>
      </c>
      <c r="E908" s="4">
        <v>0.75</v>
      </c>
      <c r="F908" s="5" t="str">
        <f>VLOOKUP(A908,Jogos!A:N,10,0)</f>
        <v>Evening</v>
      </c>
      <c r="G908" s="2" t="s">
        <v>997</v>
      </c>
      <c r="H908" s="6" t="str">
        <f>VLOOKUP(A908,Jogos!A:L,12,0)</f>
        <v>Open</v>
      </c>
      <c r="I908" s="6" t="str">
        <f>VLOOKUP(G908,'Estádios e Cidades'!A:B,2,0)</f>
        <v>Washington, D.C.</v>
      </c>
      <c r="J908" s="2" t="s">
        <v>936</v>
      </c>
      <c r="K908" s="2" t="str">
        <f>VLOOKUP(J908,Equipes!A:F,6,0)</f>
        <v>Temperate</v>
      </c>
      <c r="L908" s="2">
        <f>VLOOKUP(J908,Equipes!A:C,3,0)</f>
        <v>20</v>
      </c>
      <c r="M908" s="2" t="str">
        <f t="shared" si="4"/>
        <v>Group</v>
      </c>
      <c r="N908" s="2" t="s">
        <v>874</v>
      </c>
      <c r="O908" s="2">
        <f>VLOOKUP(N908,Equipes!A:C,3,0)</f>
        <v>7</v>
      </c>
      <c r="P908" s="2" t="str">
        <f t="shared" si="5"/>
        <v>Quarter-final</v>
      </c>
      <c r="Q908" s="2">
        <f t="shared" si="6"/>
        <v>13</v>
      </c>
      <c r="R908" s="2" t="str">
        <f>VLOOKUP(J908,Equipes!A:B,2,0)</f>
        <v>Salzburg</v>
      </c>
      <c r="S908" s="6" t="s">
        <v>1212</v>
      </c>
      <c r="T908" s="7">
        <v>14.0</v>
      </c>
      <c r="U908" s="7" t="s">
        <v>1213</v>
      </c>
      <c r="V908" s="7" t="str">
        <f>VLOOKUP(U908,Jogadores!B:C,2,0)</f>
        <v>MF</v>
      </c>
      <c r="W908" s="8">
        <f>VLOOKUP(U908,Jogadores!B:D,3,0)</f>
        <v>22.10410959</v>
      </c>
      <c r="X908" s="7">
        <v>77.0</v>
      </c>
      <c r="Y908" s="7">
        <f t="shared" si="2833"/>
        <v>96</v>
      </c>
      <c r="Z908" s="7">
        <f>VLOOKUP(A908,Jogos!A:L,3,0)</f>
        <v>49</v>
      </c>
      <c r="AA908" s="7">
        <f t="shared" si="2229"/>
        <v>0</v>
      </c>
      <c r="AB908" s="7">
        <f>VLOOKUP(A908,Jogos!A:L,4,0)</f>
        <v>51</v>
      </c>
      <c r="AC908" s="7">
        <f t="shared" si="2230"/>
        <v>19</v>
      </c>
      <c r="AD908" s="7"/>
      <c r="AE908" s="7"/>
      <c r="AF908" s="7">
        <f t="shared" si="2231"/>
        <v>19</v>
      </c>
      <c r="AG908" s="7">
        <v>2360.6</v>
      </c>
      <c r="AH908" s="7">
        <v>610.9</v>
      </c>
      <c r="AI908" s="7">
        <v>1055.8</v>
      </c>
      <c r="AJ908" s="7">
        <v>519.1</v>
      </c>
      <c r="AK908" s="7">
        <v>145.5</v>
      </c>
      <c r="AL908" s="7">
        <v>29.3</v>
      </c>
      <c r="AM908" s="7">
        <v>44.0</v>
      </c>
      <c r="AN908" s="7">
        <v>13.0</v>
      </c>
      <c r="AO908" s="7">
        <v>29.2</v>
      </c>
      <c r="AP908" s="9">
        <f t="shared" ref="AP908:AR908" si="2837">AG908/$AF908</f>
        <v>124.2421053</v>
      </c>
      <c r="AQ908" s="9">
        <f t="shared" si="2837"/>
        <v>32.15263158</v>
      </c>
      <c r="AR908" s="9">
        <f t="shared" si="2837"/>
        <v>55.56842105</v>
      </c>
      <c r="AS908" s="9">
        <f t="shared" si="2233"/>
        <v>87.72105263</v>
      </c>
      <c r="AT908" s="9">
        <f t="shared" ref="AT908:AV908" si="2838">AJ908/$AF908</f>
        <v>27.32105263</v>
      </c>
      <c r="AU908" s="9">
        <f t="shared" si="2838"/>
        <v>7.657894737</v>
      </c>
      <c r="AV908" s="9">
        <f t="shared" si="2838"/>
        <v>1.542105263</v>
      </c>
      <c r="AW908" s="9">
        <f t="shared" si="2235"/>
        <v>9.2</v>
      </c>
      <c r="AX908" s="9">
        <f t="shared" ref="AX908:AY908" si="2839">AM908/$AF908</f>
        <v>2.315789474</v>
      </c>
      <c r="AY908" s="9">
        <f t="shared" si="2839"/>
        <v>0.6842105263</v>
      </c>
      <c r="AZ908" s="9">
        <f>VLOOKUP(A908,Jogos!A:BN,58,0)</f>
        <v>31.59</v>
      </c>
      <c r="BA908" s="9">
        <f>VLOOKUP(A908,Jogos!A:BN,59,0)</f>
        <v>22.425</v>
      </c>
      <c r="BB908" s="9">
        <f>VLOOKUP(A908,Jogos!A:BN,60,0)</f>
        <v>57.5</v>
      </c>
      <c r="BC908" s="9">
        <f>VLOOKUP(A908,Jogos!A:BN,61,0)</f>
        <v>33.08</v>
      </c>
      <c r="BD908" s="9">
        <f>VLOOKUP(A908,Jogos!A:BN,62,0)</f>
        <v>200.3</v>
      </c>
      <c r="BE908" s="9">
        <f>VLOOKUP(A908,Jogos!A:BN,63,0)</f>
        <v>2.14</v>
      </c>
      <c r="BF908" s="9">
        <f>VLOOKUP(A908,Jogos!A:BN,64,0)</f>
        <v>25.85</v>
      </c>
      <c r="BG908" s="9">
        <f>VLOOKUP(A908,Jogos!A:BN,65,0)</f>
        <v>46.11</v>
      </c>
      <c r="BH908" s="9">
        <f>VLOOKUP(A908,Jogos!A:BN,66,0)</f>
        <v>30.475</v>
      </c>
      <c r="BI908" s="9"/>
      <c r="BJ908" s="9"/>
    </row>
    <row r="909" hidden="1">
      <c r="A909" s="2">
        <v>31.0</v>
      </c>
      <c r="B909" s="11" t="s">
        <v>872</v>
      </c>
      <c r="C909" s="2" t="s">
        <v>61</v>
      </c>
      <c r="D909" s="3">
        <v>45830.0</v>
      </c>
      <c r="E909" s="4">
        <v>0.75</v>
      </c>
      <c r="F909" s="5" t="str">
        <f>VLOOKUP(A909,Jogos!A:N,10,0)</f>
        <v>Evening</v>
      </c>
      <c r="G909" s="2" t="s">
        <v>997</v>
      </c>
      <c r="H909" s="6" t="str">
        <f>VLOOKUP(A909,Jogos!A:L,12,0)</f>
        <v>Open</v>
      </c>
      <c r="I909" s="6" t="str">
        <f>VLOOKUP(G909,'Estádios e Cidades'!A:B,2,0)</f>
        <v>Washington, D.C.</v>
      </c>
      <c r="J909" s="2" t="s">
        <v>936</v>
      </c>
      <c r="K909" s="2" t="str">
        <f>VLOOKUP(J909,Equipes!A:F,6,0)</f>
        <v>Temperate</v>
      </c>
      <c r="L909" s="2">
        <f>VLOOKUP(J909,Equipes!A:C,3,0)</f>
        <v>20</v>
      </c>
      <c r="M909" s="2" t="str">
        <f t="shared" si="4"/>
        <v>Group</v>
      </c>
      <c r="N909" s="2" t="s">
        <v>874</v>
      </c>
      <c r="O909" s="2">
        <f>VLOOKUP(N909,Equipes!A:C,3,0)</f>
        <v>7</v>
      </c>
      <c r="P909" s="2" t="str">
        <f t="shared" si="5"/>
        <v>Quarter-final</v>
      </c>
      <c r="Q909" s="2">
        <f t="shared" si="6"/>
        <v>13</v>
      </c>
      <c r="R909" s="2" t="str">
        <f>VLOOKUP(J909,Equipes!A:B,2,0)</f>
        <v>Salzburg</v>
      </c>
      <c r="S909" s="6" t="s">
        <v>993</v>
      </c>
      <c r="T909" s="7">
        <v>28.0</v>
      </c>
      <c r="U909" s="7" t="s">
        <v>994</v>
      </c>
      <c r="V909" s="7" t="str">
        <f>VLOOKUP(U909,Jogadores!B:C,2,0)</f>
        <v>FW</v>
      </c>
      <c r="W909" s="8">
        <f>VLOOKUP(U909,Jogadores!B:D,3,0)</f>
        <v>19.84383562</v>
      </c>
      <c r="X909" s="7">
        <v>65.0</v>
      </c>
      <c r="Y909" s="7">
        <f t="shared" si="2833"/>
        <v>96</v>
      </c>
      <c r="Z909" s="7">
        <f>VLOOKUP(A909,Jogos!A:L,3,0)</f>
        <v>49</v>
      </c>
      <c r="AA909" s="7">
        <f t="shared" si="2229"/>
        <v>0</v>
      </c>
      <c r="AB909" s="7">
        <f>VLOOKUP(A909,Jogos!A:L,4,0)</f>
        <v>51</v>
      </c>
      <c r="AC909" s="7">
        <f t="shared" si="2230"/>
        <v>31</v>
      </c>
      <c r="AD909" s="7"/>
      <c r="AE909" s="7"/>
      <c r="AF909" s="7">
        <f t="shared" si="2231"/>
        <v>31</v>
      </c>
      <c r="AG909" s="7">
        <v>3642.8</v>
      </c>
      <c r="AH909" s="7">
        <v>1167.2</v>
      </c>
      <c r="AI909" s="7">
        <v>1619.8</v>
      </c>
      <c r="AJ909" s="7">
        <v>478.6</v>
      </c>
      <c r="AK909" s="7">
        <v>212.8</v>
      </c>
      <c r="AL909" s="7">
        <v>164.3</v>
      </c>
      <c r="AM909" s="7">
        <v>44.0</v>
      </c>
      <c r="AN909" s="7">
        <v>20.0</v>
      </c>
      <c r="AO909" s="7">
        <v>34.2</v>
      </c>
      <c r="AP909" s="9">
        <f t="shared" ref="AP909:AR909" si="2840">AG909/$AF909</f>
        <v>117.5096774</v>
      </c>
      <c r="AQ909" s="9">
        <f t="shared" si="2840"/>
        <v>37.6516129</v>
      </c>
      <c r="AR909" s="9">
        <f t="shared" si="2840"/>
        <v>52.2516129</v>
      </c>
      <c r="AS909" s="9">
        <f t="shared" si="2233"/>
        <v>89.90322581</v>
      </c>
      <c r="AT909" s="9">
        <f t="shared" ref="AT909:AV909" si="2841">AJ909/$AF909</f>
        <v>15.43870968</v>
      </c>
      <c r="AU909" s="9">
        <f t="shared" si="2841"/>
        <v>6.864516129</v>
      </c>
      <c r="AV909" s="9">
        <f t="shared" si="2841"/>
        <v>5.3</v>
      </c>
      <c r="AW909" s="9">
        <f t="shared" si="2235"/>
        <v>12.16451613</v>
      </c>
      <c r="AX909" s="9">
        <f t="shared" ref="AX909:AY909" si="2842">AM909/$AF909</f>
        <v>1.419354839</v>
      </c>
      <c r="AY909" s="9">
        <f t="shared" si="2842"/>
        <v>0.6451612903</v>
      </c>
      <c r="AZ909" s="9">
        <f>VLOOKUP(A909,Jogos!A:BN,58,0)</f>
        <v>31.59</v>
      </c>
      <c r="BA909" s="9">
        <f>VLOOKUP(A909,Jogos!A:BN,59,0)</f>
        <v>22.425</v>
      </c>
      <c r="BB909" s="9">
        <f>VLOOKUP(A909,Jogos!A:BN,60,0)</f>
        <v>57.5</v>
      </c>
      <c r="BC909" s="9">
        <f>VLOOKUP(A909,Jogos!A:BN,61,0)</f>
        <v>33.08</v>
      </c>
      <c r="BD909" s="9">
        <f>VLOOKUP(A909,Jogos!A:BN,62,0)</f>
        <v>200.3</v>
      </c>
      <c r="BE909" s="9">
        <f>VLOOKUP(A909,Jogos!A:BN,63,0)</f>
        <v>2.14</v>
      </c>
      <c r="BF909" s="9">
        <f>VLOOKUP(A909,Jogos!A:BN,64,0)</f>
        <v>25.85</v>
      </c>
      <c r="BG909" s="9">
        <f>VLOOKUP(A909,Jogos!A:BN,65,0)</f>
        <v>46.11</v>
      </c>
      <c r="BH909" s="9">
        <f>VLOOKUP(A909,Jogos!A:BN,66,0)</f>
        <v>30.475</v>
      </c>
      <c r="BI909" s="9"/>
      <c r="BJ909" s="9"/>
    </row>
    <row r="910" hidden="1">
      <c r="A910" s="2">
        <v>31.0</v>
      </c>
      <c r="B910" s="11" t="s">
        <v>872</v>
      </c>
      <c r="C910" s="2" t="s">
        <v>61</v>
      </c>
      <c r="D910" s="3">
        <v>45830.0</v>
      </c>
      <c r="E910" s="4">
        <v>0.75</v>
      </c>
      <c r="F910" s="5" t="str">
        <f>VLOOKUP(A910,Jogos!A:N,10,0)</f>
        <v>Evening</v>
      </c>
      <c r="G910" s="2" t="s">
        <v>997</v>
      </c>
      <c r="H910" s="6" t="str">
        <f>VLOOKUP(A910,Jogos!A:L,12,0)</f>
        <v>Open</v>
      </c>
      <c r="I910" s="6" t="str">
        <f>VLOOKUP(G910,'Estádios e Cidades'!A:B,2,0)</f>
        <v>Washington, D.C.</v>
      </c>
      <c r="J910" s="2" t="s">
        <v>936</v>
      </c>
      <c r="K910" s="2" t="str">
        <f>VLOOKUP(J910,Equipes!A:F,6,0)</f>
        <v>Temperate</v>
      </c>
      <c r="L910" s="2">
        <f>VLOOKUP(J910,Equipes!A:C,3,0)</f>
        <v>20</v>
      </c>
      <c r="M910" s="2" t="str">
        <f t="shared" si="4"/>
        <v>Group</v>
      </c>
      <c r="N910" s="2" t="s">
        <v>874</v>
      </c>
      <c r="O910" s="2">
        <f>VLOOKUP(N910,Equipes!A:C,3,0)</f>
        <v>7</v>
      </c>
      <c r="P910" s="2" t="str">
        <f t="shared" si="5"/>
        <v>Quarter-final</v>
      </c>
      <c r="Q910" s="2">
        <f t="shared" si="6"/>
        <v>13</v>
      </c>
      <c r="R910" s="2" t="str">
        <f>VLOOKUP(J910,Equipes!A:B,2,0)</f>
        <v>Salzburg</v>
      </c>
      <c r="S910" s="6" t="s">
        <v>995</v>
      </c>
      <c r="T910" s="7">
        <v>36.0</v>
      </c>
      <c r="U910" s="7" t="s">
        <v>996</v>
      </c>
      <c r="V910" s="7" t="str">
        <f>VLOOKUP(U910,Jogadores!B:C,2,0)</f>
        <v>DF</v>
      </c>
      <c r="W910" s="8">
        <f>VLOOKUP(U910,Jogadores!B:D,3,0)</f>
        <v>19.00821918</v>
      </c>
      <c r="X910" s="7">
        <v>45.0</v>
      </c>
      <c r="Y910" s="7">
        <f t="shared" si="2833"/>
        <v>96</v>
      </c>
      <c r="Z910" s="7">
        <f>VLOOKUP(A910,Jogos!A:L,3,0)</f>
        <v>49</v>
      </c>
      <c r="AA910" s="7">
        <f t="shared" si="2229"/>
        <v>0</v>
      </c>
      <c r="AB910" s="7">
        <f>VLOOKUP(A910,Jogos!A:L,4,0)</f>
        <v>51</v>
      </c>
      <c r="AC910" s="7">
        <f t="shared" si="2230"/>
        <v>51</v>
      </c>
      <c r="AD910" s="7"/>
      <c r="AE910" s="7"/>
      <c r="AF910" s="7">
        <f t="shared" si="2231"/>
        <v>51</v>
      </c>
      <c r="AG910" s="7">
        <v>4999.5</v>
      </c>
      <c r="AH910" s="7">
        <v>1927.6</v>
      </c>
      <c r="AI910" s="7">
        <v>2193.6</v>
      </c>
      <c r="AJ910" s="7">
        <v>549.2</v>
      </c>
      <c r="AK910" s="7">
        <v>188.6</v>
      </c>
      <c r="AL910" s="7">
        <v>140.6</v>
      </c>
      <c r="AM910" s="7">
        <v>51.0</v>
      </c>
      <c r="AN910" s="7">
        <v>16.0</v>
      </c>
      <c r="AO910" s="7">
        <v>31.7</v>
      </c>
      <c r="AP910" s="9">
        <f t="shared" ref="AP910:AR910" si="2843">AG910/$AF910</f>
        <v>98.02941176</v>
      </c>
      <c r="AQ910" s="9">
        <f t="shared" si="2843"/>
        <v>37.79607843</v>
      </c>
      <c r="AR910" s="9">
        <f t="shared" si="2843"/>
        <v>43.01176471</v>
      </c>
      <c r="AS910" s="9">
        <f t="shared" si="2233"/>
        <v>80.80784314</v>
      </c>
      <c r="AT910" s="9">
        <f t="shared" ref="AT910:AV910" si="2844">AJ910/$AF910</f>
        <v>10.76862745</v>
      </c>
      <c r="AU910" s="9">
        <f t="shared" si="2844"/>
        <v>3.698039216</v>
      </c>
      <c r="AV910" s="9">
        <f t="shared" si="2844"/>
        <v>2.756862745</v>
      </c>
      <c r="AW910" s="9">
        <f t="shared" si="2235"/>
        <v>6.454901961</v>
      </c>
      <c r="AX910" s="9">
        <f t="shared" ref="AX910:AY910" si="2845">AM910/$AF910</f>
        <v>1</v>
      </c>
      <c r="AY910" s="9">
        <f t="shared" si="2845"/>
        <v>0.3137254902</v>
      </c>
      <c r="AZ910" s="9">
        <f>VLOOKUP(A910,Jogos!A:BN,58,0)</f>
        <v>31.59</v>
      </c>
      <c r="BA910" s="9">
        <f>VLOOKUP(A910,Jogos!A:BN,59,0)</f>
        <v>22.425</v>
      </c>
      <c r="BB910" s="9">
        <f>VLOOKUP(A910,Jogos!A:BN,60,0)</f>
        <v>57.5</v>
      </c>
      <c r="BC910" s="9">
        <f>VLOOKUP(A910,Jogos!A:BN,61,0)</f>
        <v>33.08</v>
      </c>
      <c r="BD910" s="9">
        <f>VLOOKUP(A910,Jogos!A:BN,62,0)</f>
        <v>200.3</v>
      </c>
      <c r="BE910" s="9">
        <f>VLOOKUP(A910,Jogos!A:BN,63,0)</f>
        <v>2.14</v>
      </c>
      <c r="BF910" s="9">
        <f>VLOOKUP(A910,Jogos!A:BN,64,0)</f>
        <v>25.85</v>
      </c>
      <c r="BG910" s="9">
        <f>VLOOKUP(A910,Jogos!A:BN,65,0)</f>
        <v>46.11</v>
      </c>
      <c r="BH910" s="9">
        <f>VLOOKUP(A910,Jogos!A:BN,66,0)</f>
        <v>30.475</v>
      </c>
      <c r="BI910" s="9"/>
      <c r="BJ910" s="9"/>
    </row>
    <row r="911" hidden="1">
      <c r="A911" s="2">
        <v>31.0</v>
      </c>
      <c r="B911" s="11" t="s">
        <v>872</v>
      </c>
      <c r="C911" s="2" t="s">
        <v>61</v>
      </c>
      <c r="D911" s="12">
        <v>45830.0</v>
      </c>
      <c r="E911" s="13">
        <v>0.75</v>
      </c>
      <c r="F911" s="5" t="str">
        <f>VLOOKUP(A911,Jogos!A:N,10,0)</f>
        <v>Evening</v>
      </c>
      <c r="G911" s="11" t="s">
        <v>997</v>
      </c>
      <c r="H911" s="6" t="str">
        <f>VLOOKUP(A911,Jogos!A:L,12,0)</f>
        <v>Open</v>
      </c>
      <c r="I911" s="6" t="str">
        <f>VLOOKUP(G911,'Estádios e Cidades'!A:B,2,0)</f>
        <v>Washington, D.C.</v>
      </c>
      <c r="J911" s="11" t="s">
        <v>874</v>
      </c>
      <c r="K911" s="2" t="str">
        <f>VLOOKUP(J911,Equipes!A:F,6,0)</f>
        <v>Tropical</v>
      </c>
      <c r="L911" s="2">
        <f>VLOOKUP(J911,Equipes!A:C,3,0)</f>
        <v>7</v>
      </c>
      <c r="M911" s="2" t="str">
        <f t="shared" si="4"/>
        <v>Quarter-final</v>
      </c>
      <c r="N911" s="11" t="s">
        <v>936</v>
      </c>
      <c r="O911" s="2">
        <f>VLOOKUP(N911,Equipes!A:C,3,0)</f>
        <v>20</v>
      </c>
      <c r="P911" s="2" t="str">
        <f t="shared" si="5"/>
        <v>Group</v>
      </c>
      <c r="Q911" s="2">
        <f t="shared" si="6"/>
        <v>-13</v>
      </c>
      <c r="R911" s="2" t="str">
        <f>VLOOKUP(J911,Equipes!A:B,2,0)</f>
        <v>AlHilal</v>
      </c>
      <c r="S911" s="14" t="s">
        <v>905</v>
      </c>
      <c r="T911" s="7">
        <v>3.0</v>
      </c>
      <c r="U911" s="7" t="s">
        <v>906</v>
      </c>
      <c r="V911" s="7" t="str">
        <f>VLOOKUP(U911,Jogadores!B:C,2,0)</f>
        <v>DF</v>
      </c>
      <c r="W911" s="8">
        <f>VLOOKUP(U911,Jogadores!B:D,3,0)</f>
        <v>34.12876712</v>
      </c>
      <c r="X911" s="7">
        <v>0.0</v>
      </c>
      <c r="Y911" s="7">
        <f t="shared" si="2833"/>
        <v>96</v>
      </c>
      <c r="Z911" s="7">
        <f>VLOOKUP(A911,Jogos!A:L,3,0)</f>
        <v>49</v>
      </c>
      <c r="AA911" s="7">
        <f t="shared" si="2229"/>
        <v>49</v>
      </c>
      <c r="AB911" s="7">
        <f>VLOOKUP(A911,Jogos!A:L,4,0)</f>
        <v>51</v>
      </c>
      <c r="AC911" s="7">
        <f t="shared" si="2230"/>
        <v>51</v>
      </c>
      <c r="AD911" s="7"/>
      <c r="AE911" s="7"/>
      <c r="AF911" s="7">
        <f t="shared" si="2231"/>
        <v>100</v>
      </c>
      <c r="AG911" s="7">
        <v>9321.3</v>
      </c>
      <c r="AH911" s="7">
        <v>4290.5</v>
      </c>
      <c r="AI911" s="7">
        <v>3287.5</v>
      </c>
      <c r="AJ911" s="7">
        <v>1200.7</v>
      </c>
      <c r="AK911" s="7">
        <v>478.2</v>
      </c>
      <c r="AL911" s="7">
        <v>64.3</v>
      </c>
      <c r="AM911" s="7">
        <v>102.0</v>
      </c>
      <c r="AN911" s="7">
        <v>37.0</v>
      </c>
      <c r="AO911" s="7">
        <v>32.0</v>
      </c>
      <c r="AP911" s="9">
        <f t="shared" ref="AP911:AR911" si="2846">AG911/$AF911</f>
        <v>93.213</v>
      </c>
      <c r="AQ911" s="9">
        <f t="shared" si="2846"/>
        <v>42.905</v>
      </c>
      <c r="AR911" s="9">
        <f t="shared" si="2846"/>
        <v>32.875</v>
      </c>
      <c r="AS911" s="9">
        <f t="shared" si="2233"/>
        <v>75.78</v>
      </c>
      <c r="AT911" s="9">
        <f t="shared" ref="AT911:AV911" si="2847">AJ911/$AF911</f>
        <v>12.007</v>
      </c>
      <c r="AU911" s="9">
        <f t="shared" si="2847"/>
        <v>4.782</v>
      </c>
      <c r="AV911" s="9">
        <f t="shared" si="2847"/>
        <v>0.643</v>
      </c>
      <c r="AW911" s="9">
        <f t="shared" si="2235"/>
        <v>5.425</v>
      </c>
      <c r="AX911" s="9">
        <f t="shared" ref="AX911:AY911" si="2848">AM911/$AF911</f>
        <v>1.02</v>
      </c>
      <c r="AY911" s="9">
        <f t="shared" si="2848"/>
        <v>0.37</v>
      </c>
      <c r="AZ911" s="9">
        <f>VLOOKUP(A911,Jogos!A:BN,58,0)</f>
        <v>31.59</v>
      </c>
      <c r="BA911" s="9">
        <f>VLOOKUP(A911,Jogos!A:BN,59,0)</f>
        <v>22.425</v>
      </c>
      <c r="BB911" s="9">
        <f>VLOOKUP(A911,Jogos!A:BN,60,0)</f>
        <v>57.5</v>
      </c>
      <c r="BC911" s="9">
        <f>VLOOKUP(A911,Jogos!A:BN,61,0)</f>
        <v>33.08</v>
      </c>
      <c r="BD911" s="9">
        <f>VLOOKUP(A911,Jogos!A:BN,62,0)</f>
        <v>200.3</v>
      </c>
      <c r="BE911" s="9">
        <f>VLOOKUP(A911,Jogos!A:BN,63,0)</f>
        <v>2.14</v>
      </c>
      <c r="BF911" s="9">
        <f>VLOOKUP(A911,Jogos!A:BN,64,0)</f>
        <v>25.85</v>
      </c>
      <c r="BG911" s="9">
        <f>VLOOKUP(A911,Jogos!A:BN,65,0)</f>
        <v>46.11</v>
      </c>
      <c r="BH911" s="9">
        <f>VLOOKUP(A911,Jogos!A:BN,66,0)</f>
        <v>30.475</v>
      </c>
      <c r="BI911" s="9"/>
      <c r="BJ911" s="9"/>
    </row>
    <row r="912" hidden="1">
      <c r="A912" s="2">
        <v>31.0</v>
      </c>
      <c r="B912" s="11" t="s">
        <v>872</v>
      </c>
      <c r="C912" s="2" t="s">
        <v>61</v>
      </c>
      <c r="D912" s="12">
        <v>45830.0</v>
      </c>
      <c r="E912" s="13">
        <v>0.75</v>
      </c>
      <c r="F912" s="5" t="str">
        <f>VLOOKUP(A912,Jogos!A:N,10,0)</f>
        <v>Evening</v>
      </c>
      <c r="G912" s="11" t="s">
        <v>997</v>
      </c>
      <c r="H912" s="6" t="str">
        <f>VLOOKUP(A912,Jogos!A:L,12,0)</f>
        <v>Open</v>
      </c>
      <c r="I912" s="6" t="str">
        <f>VLOOKUP(G912,'Estádios e Cidades'!A:B,2,0)</f>
        <v>Washington, D.C.</v>
      </c>
      <c r="J912" s="11" t="s">
        <v>874</v>
      </c>
      <c r="K912" s="2" t="str">
        <f>VLOOKUP(J912,Equipes!A:F,6,0)</f>
        <v>Tropical</v>
      </c>
      <c r="L912" s="2">
        <f>VLOOKUP(J912,Equipes!A:C,3,0)</f>
        <v>7</v>
      </c>
      <c r="M912" s="2" t="str">
        <f t="shared" si="4"/>
        <v>Quarter-final</v>
      </c>
      <c r="N912" s="11" t="s">
        <v>936</v>
      </c>
      <c r="O912" s="2">
        <f>VLOOKUP(N912,Equipes!A:C,3,0)</f>
        <v>20</v>
      </c>
      <c r="P912" s="2" t="str">
        <f t="shared" si="5"/>
        <v>Group</v>
      </c>
      <c r="Q912" s="2">
        <f t="shared" si="6"/>
        <v>-13</v>
      </c>
      <c r="R912" s="2" t="str">
        <f>VLOOKUP(J912,Equipes!A:B,2,0)</f>
        <v>AlHilal</v>
      </c>
      <c r="S912" s="6" t="s">
        <v>907</v>
      </c>
      <c r="T912" s="7">
        <v>6.0</v>
      </c>
      <c r="U912" s="7" t="s">
        <v>908</v>
      </c>
      <c r="V912" s="7" t="str">
        <f>VLOOKUP(U912,Jogadores!B:C,2,0)</f>
        <v>MF</v>
      </c>
      <c r="W912" s="8">
        <f>VLOOKUP(U912,Jogadores!B:D,3,0)</f>
        <v>27.32328767</v>
      </c>
      <c r="X912" s="7">
        <v>0.0</v>
      </c>
      <c r="Y912" s="7">
        <v>89.0</v>
      </c>
      <c r="Z912" s="7">
        <f>VLOOKUP(A912,Jogos!A:L,3,0)</f>
        <v>49</v>
      </c>
      <c r="AA912" s="7">
        <f t="shared" si="2229"/>
        <v>49</v>
      </c>
      <c r="AB912" s="7">
        <f>VLOOKUP(A912,Jogos!A:L,4,0)</f>
        <v>51</v>
      </c>
      <c r="AC912" s="7">
        <f t="shared" si="2230"/>
        <v>44</v>
      </c>
      <c r="AD912" s="7"/>
      <c r="AE912" s="7"/>
      <c r="AF912" s="7">
        <f t="shared" si="2231"/>
        <v>93</v>
      </c>
      <c r="AG912" s="7">
        <v>9538.4</v>
      </c>
      <c r="AH912" s="7">
        <v>3888.1</v>
      </c>
      <c r="AI912" s="7">
        <v>3615.8</v>
      </c>
      <c r="AJ912" s="7">
        <v>1251.7</v>
      </c>
      <c r="AK912" s="7">
        <v>602.2</v>
      </c>
      <c r="AL912" s="7">
        <v>180.5</v>
      </c>
      <c r="AM912" s="7">
        <v>110.0</v>
      </c>
      <c r="AN912" s="7">
        <v>46.0</v>
      </c>
      <c r="AO912" s="7">
        <v>30.7</v>
      </c>
      <c r="AP912" s="9">
        <f t="shared" ref="AP912:AR912" si="2849">AG912/$AF912</f>
        <v>102.5634409</v>
      </c>
      <c r="AQ912" s="9">
        <f t="shared" si="2849"/>
        <v>41.80752688</v>
      </c>
      <c r="AR912" s="9">
        <f t="shared" si="2849"/>
        <v>38.87956989</v>
      </c>
      <c r="AS912" s="9">
        <f t="shared" si="2233"/>
        <v>80.68709677</v>
      </c>
      <c r="AT912" s="9">
        <f t="shared" ref="AT912:AV912" si="2850">AJ912/$AF912</f>
        <v>13.45913978</v>
      </c>
      <c r="AU912" s="9">
        <f t="shared" si="2850"/>
        <v>6.475268817</v>
      </c>
      <c r="AV912" s="9">
        <f t="shared" si="2850"/>
        <v>1.940860215</v>
      </c>
      <c r="AW912" s="9">
        <f t="shared" si="2235"/>
        <v>8.416129032</v>
      </c>
      <c r="AX912" s="9">
        <f t="shared" ref="AX912:AY912" si="2851">AM912/$AF912</f>
        <v>1.182795699</v>
      </c>
      <c r="AY912" s="9">
        <f t="shared" si="2851"/>
        <v>0.4946236559</v>
      </c>
      <c r="AZ912" s="9">
        <f>VLOOKUP(A912,Jogos!A:BN,58,0)</f>
        <v>31.59</v>
      </c>
      <c r="BA912" s="9">
        <f>VLOOKUP(A912,Jogos!A:BN,59,0)</f>
        <v>22.425</v>
      </c>
      <c r="BB912" s="9">
        <f>VLOOKUP(A912,Jogos!A:BN,60,0)</f>
        <v>57.5</v>
      </c>
      <c r="BC912" s="9">
        <f>VLOOKUP(A912,Jogos!A:BN,61,0)</f>
        <v>33.08</v>
      </c>
      <c r="BD912" s="9">
        <f>VLOOKUP(A912,Jogos!A:BN,62,0)</f>
        <v>200.3</v>
      </c>
      <c r="BE912" s="9">
        <f>VLOOKUP(A912,Jogos!A:BN,63,0)</f>
        <v>2.14</v>
      </c>
      <c r="BF912" s="9">
        <f>VLOOKUP(A912,Jogos!A:BN,64,0)</f>
        <v>25.85</v>
      </c>
      <c r="BG912" s="9">
        <f>VLOOKUP(A912,Jogos!A:BN,65,0)</f>
        <v>46.11</v>
      </c>
      <c r="BH912" s="9">
        <f>VLOOKUP(A912,Jogos!A:BN,66,0)</f>
        <v>30.475</v>
      </c>
      <c r="BI912" s="9"/>
      <c r="BJ912" s="9"/>
    </row>
    <row r="913" hidden="1">
      <c r="A913" s="2">
        <v>31.0</v>
      </c>
      <c r="B913" s="11" t="s">
        <v>872</v>
      </c>
      <c r="C913" s="2" t="s">
        <v>61</v>
      </c>
      <c r="D913" s="12">
        <v>45830.0</v>
      </c>
      <c r="E913" s="13">
        <v>0.75</v>
      </c>
      <c r="F913" s="5" t="str">
        <f>VLOOKUP(A913,Jogos!A:N,10,0)</f>
        <v>Evening</v>
      </c>
      <c r="G913" s="11" t="s">
        <v>997</v>
      </c>
      <c r="H913" s="6" t="str">
        <f>VLOOKUP(A913,Jogos!A:L,12,0)</f>
        <v>Open</v>
      </c>
      <c r="I913" s="6" t="str">
        <f>VLOOKUP(G913,'Estádios e Cidades'!A:B,2,0)</f>
        <v>Washington, D.C.</v>
      </c>
      <c r="J913" s="11" t="s">
        <v>874</v>
      </c>
      <c r="K913" s="2" t="str">
        <f>VLOOKUP(J913,Equipes!A:F,6,0)</f>
        <v>Tropical</v>
      </c>
      <c r="L913" s="2">
        <f>VLOOKUP(J913,Equipes!A:C,3,0)</f>
        <v>7</v>
      </c>
      <c r="M913" s="2" t="str">
        <f t="shared" si="4"/>
        <v>Quarter-final</v>
      </c>
      <c r="N913" s="11" t="s">
        <v>936</v>
      </c>
      <c r="O913" s="2">
        <f>VLOOKUP(N913,Equipes!A:C,3,0)</f>
        <v>20</v>
      </c>
      <c r="P913" s="2" t="str">
        <f t="shared" si="5"/>
        <v>Group</v>
      </c>
      <c r="Q913" s="2">
        <f t="shared" si="6"/>
        <v>-13</v>
      </c>
      <c r="R913" s="2" t="str">
        <f>VLOOKUP(J913,Equipes!A:B,2,0)</f>
        <v>AlHilal</v>
      </c>
      <c r="S913" s="6" t="s">
        <v>909</v>
      </c>
      <c r="T913" s="7">
        <v>8.0</v>
      </c>
      <c r="U913" s="7" t="s">
        <v>910</v>
      </c>
      <c r="V913" s="7" t="str">
        <f>VLOOKUP(U913,Jogadores!B:C,2,0)</f>
        <v>MF</v>
      </c>
      <c r="W913" s="8">
        <f>VLOOKUP(U913,Jogadores!B:D,3,0)</f>
        <v>28.39452055</v>
      </c>
      <c r="X913" s="7">
        <v>0.0</v>
      </c>
      <c r="Y913" s="7">
        <f t="shared" ref="Y913:Y914" si="2855">45+AB913</f>
        <v>96</v>
      </c>
      <c r="Z913" s="7">
        <f>VLOOKUP(A913,Jogos!A:L,3,0)</f>
        <v>49</v>
      </c>
      <c r="AA913" s="7">
        <f t="shared" si="2229"/>
        <v>49</v>
      </c>
      <c r="AB913" s="7">
        <f>VLOOKUP(A913,Jogos!A:L,4,0)</f>
        <v>51</v>
      </c>
      <c r="AC913" s="7">
        <f t="shared" si="2230"/>
        <v>51</v>
      </c>
      <c r="AD913" s="7"/>
      <c r="AE913" s="7"/>
      <c r="AF913" s="7">
        <f t="shared" si="2231"/>
        <v>100</v>
      </c>
      <c r="AG913" s="7">
        <v>11137.5</v>
      </c>
      <c r="AH913" s="7">
        <v>3845.1</v>
      </c>
      <c r="AI913" s="7">
        <v>5068.8</v>
      </c>
      <c r="AJ913" s="7">
        <v>1664.0</v>
      </c>
      <c r="AK913" s="7">
        <v>442.2</v>
      </c>
      <c r="AL913" s="7">
        <v>117.4</v>
      </c>
      <c r="AM913" s="7">
        <v>151.0</v>
      </c>
      <c r="AN913" s="7">
        <v>35.0</v>
      </c>
      <c r="AO913" s="7">
        <v>32.4</v>
      </c>
      <c r="AP913" s="9">
        <f t="shared" ref="AP913:AR913" si="2852">AG913/$AF913</f>
        <v>111.375</v>
      </c>
      <c r="AQ913" s="9">
        <f t="shared" si="2852"/>
        <v>38.451</v>
      </c>
      <c r="AR913" s="9">
        <f t="shared" si="2852"/>
        <v>50.688</v>
      </c>
      <c r="AS913" s="9">
        <f t="shared" si="2233"/>
        <v>89.139</v>
      </c>
      <c r="AT913" s="9">
        <f t="shared" ref="AT913:AV913" si="2853">AJ913/$AF913</f>
        <v>16.64</v>
      </c>
      <c r="AU913" s="9">
        <f t="shared" si="2853"/>
        <v>4.422</v>
      </c>
      <c r="AV913" s="9">
        <f t="shared" si="2853"/>
        <v>1.174</v>
      </c>
      <c r="AW913" s="9">
        <f t="shared" si="2235"/>
        <v>5.596</v>
      </c>
      <c r="AX913" s="9">
        <f t="shared" ref="AX913:AY913" si="2854">AM913/$AF913</f>
        <v>1.51</v>
      </c>
      <c r="AY913" s="9">
        <f t="shared" si="2854"/>
        <v>0.35</v>
      </c>
      <c r="AZ913" s="9">
        <f>VLOOKUP(A913,Jogos!A:BN,58,0)</f>
        <v>31.59</v>
      </c>
      <c r="BA913" s="9">
        <f>VLOOKUP(A913,Jogos!A:BN,59,0)</f>
        <v>22.425</v>
      </c>
      <c r="BB913" s="9">
        <f>VLOOKUP(A913,Jogos!A:BN,60,0)</f>
        <v>57.5</v>
      </c>
      <c r="BC913" s="9">
        <f>VLOOKUP(A913,Jogos!A:BN,61,0)</f>
        <v>33.08</v>
      </c>
      <c r="BD913" s="9">
        <f>VLOOKUP(A913,Jogos!A:BN,62,0)</f>
        <v>200.3</v>
      </c>
      <c r="BE913" s="9">
        <f>VLOOKUP(A913,Jogos!A:BN,63,0)</f>
        <v>2.14</v>
      </c>
      <c r="BF913" s="9">
        <f>VLOOKUP(A913,Jogos!A:BN,64,0)</f>
        <v>25.85</v>
      </c>
      <c r="BG913" s="9">
        <f>VLOOKUP(A913,Jogos!A:BN,65,0)</f>
        <v>46.11</v>
      </c>
      <c r="BH913" s="9">
        <f>VLOOKUP(A913,Jogos!A:BN,66,0)</f>
        <v>30.475</v>
      </c>
      <c r="BI913" s="9"/>
      <c r="BJ913" s="9"/>
    </row>
    <row r="914" hidden="1">
      <c r="A914" s="2">
        <v>31.0</v>
      </c>
      <c r="B914" s="11" t="s">
        <v>872</v>
      </c>
      <c r="C914" s="2" t="s">
        <v>61</v>
      </c>
      <c r="D914" s="12">
        <v>45830.0</v>
      </c>
      <c r="E914" s="13">
        <v>0.75</v>
      </c>
      <c r="F914" s="5" t="str">
        <f>VLOOKUP(A914,Jogos!A:N,10,0)</f>
        <v>Evening</v>
      </c>
      <c r="G914" s="11" t="s">
        <v>997</v>
      </c>
      <c r="H914" s="6" t="str">
        <f>VLOOKUP(A914,Jogos!A:L,12,0)</f>
        <v>Open</v>
      </c>
      <c r="I914" s="6" t="str">
        <f>VLOOKUP(G914,'Estádios e Cidades'!A:B,2,0)</f>
        <v>Washington, D.C.</v>
      </c>
      <c r="J914" s="11" t="s">
        <v>874</v>
      </c>
      <c r="K914" s="2" t="str">
        <f>VLOOKUP(J914,Equipes!A:F,6,0)</f>
        <v>Tropical</v>
      </c>
      <c r="L914" s="2">
        <f>VLOOKUP(J914,Equipes!A:C,3,0)</f>
        <v>7</v>
      </c>
      <c r="M914" s="2" t="str">
        <f t="shared" si="4"/>
        <v>Quarter-final</v>
      </c>
      <c r="N914" s="11" t="s">
        <v>936</v>
      </c>
      <c r="O914" s="2">
        <f>VLOOKUP(N914,Equipes!A:C,3,0)</f>
        <v>20</v>
      </c>
      <c r="P914" s="2" t="str">
        <f t="shared" si="5"/>
        <v>Group</v>
      </c>
      <c r="Q914" s="2">
        <f t="shared" si="6"/>
        <v>-13</v>
      </c>
      <c r="R914" s="2" t="str">
        <f>VLOOKUP(J914,Equipes!A:B,2,0)</f>
        <v>AlHilal</v>
      </c>
      <c r="S914" s="6" t="s">
        <v>911</v>
      </c>
      <c r="T914" s="7">
        <v>11.0</v>
      </c>
      <c r="U914" s="7" t="s">
        <v>912</v>
      </c>
      <c r="V914" s="7" t="str">
        <f>VLOOKUP(U914,Jogadores!B:C,2,0)</f>
        <v>FW</v>
      </c>
      <c r="W914" s="8">
        <f>VLOOKUP(U914,Jogadores!B:D,3,0)</f>
        <v>22.25479452</v>
      </c>
      <c r="X914" s="7">
        <v>0.0</v>
      </c>
      <c r="Y914" s="7">
        <f t="shared" si="2855"/>
        <v>96</v>
      </c>
      <c r="Z914" s="7">
        <f>VLOOKUP(A914,Jogos!A:L,3,0)</f>
        <v>49</v>
      </c>
      <c r="AA914" s="7">
        <f t="shared" si="2229"/>
        <v>49</v>
      </c>
      <c r="AB914" s="7">
        <f>VLOOKUP(A914,Jogos!A:L,4,0)</f>
        <v>51</v>
      </c>
      <c r="AC914" s="7">
        <f t="shared" si="2230"/>
        <v>51</v>
      </c>
      <c r="AD914" s="7"/>
      <c r="AE914" s="7"/>
      <c r="AF914" s="7">
        <f t="shared" si="2231"/>
        <v>100</v>
      </c>
      <c r="AG914" s="7">
        <v>9378.4</v>
      </c>
      <c r="AH914" s="7">
        <v>3960.6</v>
      </c>
      <c r="AI914" s="7">
        <v>4031.3</v>
      </c>
      <c r="AJ914" s="7">
        <v>760.8</v>
      </c>
      <c r="AK914" s="7">
        <v>337.3</v>
      </c>
      <c r="AL914" s="7">
        <v>288.4</v>
      </c>
      <c r="AM914" s="7">
        <v>65.0</v>
      </c>
      <c r="AN914" s="7">
        <v>36.0</v>
      </c>
      <c r="AO914" s="7">
        <v>31.4</v>
      </c>
      <c r="AP914" s="9">
        <f t="shared" ref="AP914:AR914" si="2856">AG914/$AF914</f>
        <v>93.784</v>
      </c>
      <c r="AQ914" s="9">
        <f t="shared" si="2856"/>
        <v>39.606</v>
      </c>
      <c r="AR914" s="9">
        <f t="shared" si="2856"/>
        <v>40.313</v>
      </c>
      <c r="AS914" s="9">
        <f t="shared" si="2233"/>
        <v>79.919</v>
      </c>
      <c r="AT914" s="9">
        <f t="shared" ref="AT914:AV914" si="2857">AJ914/$AF914</f>
        <v>7.608</v>
      </c>
      <c r="AU914" s="9">
        <f t="shared" si="2857"/>
        <v>3.373</v>
      </c>
      <c r="AV914" s="9">
        <f t="shared" si="2857"/>
        <v>2.884</v>
      </c>
      <c r="AW914" s="9">
        <f t="shared" si="2235"/>
        <v>6.257</v>
      </c>
      <c r="AX914" s="9">
        <f t="shared" ref="AX914:AY914" si="2858">AM914/$AF914</f>
        <v>0.65</v>
      </c>
      <c r="AY914" s="9">
        <f t="shared" si="2858"/>
        <v>0.36</v>
      </c>
      <c r="AZ914" s="9">
        <f>VLOOKUP(A914,Jogos!A:BN,58,0)</f>
        <v>31.59</v>
      </c>
      <c r="BA914" s="9">
        <f>VLOOKUP(A914,Jogos!A:BN,59,0)</f>
        <v>22.425</v>
      </c>
      <c r="BB914" s="9">
        <f>VLOOKUP(A914,Jogos!A:BN,60,0)</f>
        <v>57.5</v>
      </c>
      <c r="BC914" s="9">
        <f>VLOOKUP(A914,Jogos!A:BN,61,0)</f>
        <v>33.08</v>
      </c>
      <c r="BD914" s="9">
        <f>VLOOKUP(A914,Jogos!A:BN,62,0)</f>
        <v>200.3</v>
      </c>
      <c r="BE914" s="9">
        <f>VLOOKUP(A914,Jogos!A:BN,63,0)</f>
        <v>2.14</v>
      </c>
      <c r="BF914" s="9">
        <f>VLOOKUP(A914,Jogos!A:BN,64,0)</f>
        <v>25.85</v>
      </c>
      <c r="BG914" s="9">
        <f>VLOOKUP(A914,Jogos!A:BN,65,0)</f>
        <v>46.11</v>
      </c>
      <c r="BH914" s="9">
        <f>VLOOKUP(A914,Jogos!A:BN,66,0)</f>
        <v>30.475</v>
      </c>
      <c r="BI914" s="9"/>
      <c r="BJ914" s="9"/>
    </row>
    <row r="915" hidden="1">
      <c r="A915" s="2">
        <v>31.0</v>
      </c>
      <c r="B915" s="11" t="s">
        <v>872</v>
      </c>
      <c r="C915" s="2" t="s">
        <v>61</v>
      </c>
      <c r="D915" s="12">
        <v>45830.0</v>
      </c>
      <c r="E915" s="13">
        <v>0.75</v>
      </c>
      <c r="F915" s="5" t="str">
        <f>VLOOKUP(A915,Jogos!A:N,10,0)</f>
        <v>Evening</v>
      </c>
      <c r="G915" s="11" t="s">
        <v>997</v>
      </c>
      <c r="H915" s="6" t="str">
        <f>VLOOKUP(A915,Jogos!A:L,12,0)</f>
        <v>Open</v>
      </c>
      <c r="I915" s="6" t="str">
        <f>VLOOKUP(G915,'Estádios e Cidades'!A:B,2,0)</f>
        <v>Washington, D.C.</v>
      </c>
      <c r="J915" s="11" t="s">
        <v>874</v>
      </c>
      <c r="K915" s="2" t="str">
        <f>VLOOKUP(J915,Equipes!A:F,6,0)</f>
        <v>Tropical</v>
      </c>
      <c r="L915" s="2">
        <f>VLOOKUP(J915,Equipes!A:C,3,0)</f>
        <v>7</v>
      </c>
      <c r="M915" s="2" t="str">
        <f t="shared" si="4"/>
        <v>Quarter-final</v>
      </c>
      <c r="N915" s="11" t="s">
        <v>936</v>
      </c>
      <c r="O915" s="2">
        <f>VLOOKUP(N915,Equipes!A:C,3,0)</f>
        <v>20</v>
      </c>
      <c r="P915" s="2" t="str">
        <f t="shared" si="5"/>
        <v>Group</v>
      </c>
      <c r="Q915" s="2">
        <f t="shared" si="6"/>
        <v>-13</v>
      </c>
      <c r="R915" s="2" t="str">
        <f>VLOOKUP(J915,Equipes!A:B,2,0)</f>
        <v>AlHilal</v>
      </c>
      <c r="S915" s="6" t="s">
        <v>913</v>
      </c>
      <c r="T915" s="7">
        <v>16.0</v>
      </c>
      <c r="U915" s="7" t="s">
        <v>914</v>
      </c>
      <c r="V915" s="7" t="str">
        <f>VLOOKUP(U915,Jogadores!B:C,2,0)</f>
        <v>MF</v>
      </c>
      <c r="W915" s="8">
        <f>VLOOKUP(U915,Jogadores!B:D,3,0)</f>
        <v>26.62465753</v>
      </c>
      <c r="X915" s="7">
        <v>0.0</v>
      </c>
      <c r="Y915" s="7">
        <v>87.0</v>
      </c>
      <c r="Z915" s="7">
        <f>VLOOKUP(A915,Jogos!A:L,3,0)</f>
        <v>49</v>
      </c>
      <c r="AA915" s="7">
        <f t="shared" si="2229"/>
        <v>49</v>
      </c>
      <c r="AB915" s="7">
        <f>VLOOKUP(A915,Jogos!A:L,4,0)</f>
        <v>51</v>
      </c>
      <c r="AC915" s="7">
        <f t="shared" si="2230"/>
        <v>42</v>
      </c>
      <c r="AD915" s="7"/>
      <c r="AE915" s="7"/>
      <c r="AF915" s="7">
        <f t="shared" si="2231"/>
        <v>91</v>
      </c>
      <c r="AG915" s="7">
        <v>10597.8</v>
      </c>
      <c r="AH915" s="7">
        <v>3474.7</v>
      </c>
      <c r="AI915" s="7">
        <v>4429.5</v>
      </c>
      <c r="AJ915" s="7">
        <v>1942.0</v>
      </c>
      <c r="AK915" s="7">
        <v>634.0</v>
      </c>
      <c r="AL915" s="7">
        <v>117.5</v>
      </c>
      <c r="AM915" s="7">
        <v>164.0</v>
      </c>
      <c r="AN915" s="7">
        <v>53.0</v>
      </c>
      <c r="AO915" s="7">
        <v>29.6</v>
      </c>
      <c r="AP915" s="9">
        <f t="shared" ref="AP915:AR915" si="2859">AG915/$AF915</f>
        <v>116.4593407</v>
      </c>
      <c r="AQ915" s="9">
        <f t="shared" si="2859"/>
        <v>38.18351648</v>
      </c>
      <c r="AR915" s="9">
        <f t="shared" si="2859"/>
        <v>48.67582418</v>
      </c>
      <c r="AS915" s="9">
        <f t="shared" si="2233"/>
        <v>86.85934066</v>
      </c>
      <c r="AT915" s="9">
        <f t="shared" ref="AT915:AV915" si="2860">AJ915/$AF915</f>
        <v>21.34065934</v>
      </c>
      <c r="AU915" s="9">
        <f t="shared" si="2860"/>
        <v>6.967032967</v>
      </c>
      <c r="AV915" s="9">
        <f t="shared" si="2860"/>
        <v>1.291208791</v>
      </c>
      <c r="AW915" s="9">
        <f t="shared" si="2235"/>
        <v>8.258241758</v>
      </c>
      <c r="AX915" s="9">
        <f t="shared" ref="AX915:AY915" si="2861">AM915/$AF915</f>
        <v>1.802197802</v>
      </c>
      <c r="AY915" s="9">
        <f t="shared" si="2861"/>
        <v>0.5824175824</v>
      </c>
      <c r="AZ915" s="9">
        <f>VLOOKUP(A915,Jogos!A:BN,58,0)</f>
        <v>31.59</v>
      </c>
      <c r="BA915" s="9">
        <f>VLOOKUP(A915,Jogos!A:BN,59,0)</f>
        <v>22.425</v>
      </c>
      <c r="BB915" s="9">
        <f>VLOOKUP(A915,Jogos!A:BN,60,0)</f>
        <v>57.5</v>
      </c>
      <c r="BC915" s="9">
        <f>VLOOKUP(A915,Jogos!A:BN,61,0)</f>
        <v>33.08</v>
      </c>
      <c r="BD915" s="9">
        <f>VLOOKUP(A915,Jogos!A:BN,62,0)</f>
        <v>200.3</v>
      </c>
      <c r="BE915" s="9">
        <f>VLOOKUP(A915,Jogos!A:BN,63,0)</f>
        <v>2.14</v>
      </c>
      <c r="BF915" s="9">
        <f>VLOOKUP(A915,Jogos!A:BN,64,0)</f>
        <v>25.85</v>
      </c>
      <c r="BG915" s="9">
        <f>VLOOKUP(A915,Jogos!A:BN,65,0)</f>
        <v>46.11</v>
      </c>
      <c r="BH915" s="9">
        <f>VLOOKUP(A915,Jogos!A:BN,66,0)</f>
        <v>30.475</v>
      </c>
      <c r="BI915" s="9"/>
      <c r="BJ915" s="9"/>
    </row>
    <row r="916" hidden="1">
      <c r="A916" s="2">
        <v>31.0</v>
      </c>
      <c r="B916" s="11" t="s">
        <v>872</v>
      </c>
      <c r="C916" s="2" t="s">
        <v>61</v>
      </c>
      <c r="D916" s="12">
        <v>45830.0</v>
      </c>
      <c r="E916" s="13">
        <v>0.75</v>
      </c>
      <c r="F916" s="5" t="str">
        <f>VLOOKUP(A916,Jogos!A:N,10,0)</f>
        <v>Evening</v>
      </c>
      <c r="G916" s="11" t="s">
        <v>997</v>
      </c>
      <c r="H916" s="6" t="str">
        <f>VLOOKUP(A916,Jogos!A:L,12,0)</f>
        <v>Open</v>
      </c>
      <c r="I916" s="6" t="str">
        <f>VLOOKUP(G916,'Estádios e Cidades'!A:B,2,0)</f>
        <v>Washington, D.C.</v>
      </c>
      <c r="J916" s="11" t="s">
        <v>874</v>
      </c>
      <c r="K916" s="2" t="str">
        <f>VLOOKUP(J916,Equipes!A:F,6,0)</f>
        <v>Tropical</v>
      </c>
      <c r="L916" s="2">
        <f>VLOOKUP(J916,Equipes!A:C,3,0)</f>
        <v>7</v>
      </c>
      <c r="M916" s="2" t="str">
        <f t="shared" si="4"/>
        <v>Quarter-final</v>
      </c>
      <c r="N916" s="11" t="s">
        <v>936</v>
      </c>
      <c r="O916" s="2">
        <f>VLOOKUP(N916,Equipes!A:C,3,0)</f>
        <v>20</v>
      </c>
      <c r="P916" s="2" t="str">
        <f t="shared" si="5"/>
        <v>Group</v>
      </c>
      <c r="Q916" s="2">
        <f t="shared" si="6"/>
        <v>-13</v>
      </c>
      <c r="R916" s="2" t="str">
        <f>VLOOKUP(J916,Equipes!A:B,2,0)</f>
        <v>AlHilal</v>
      </c>
      <c r="S916" s="6" t="s">
        <v>915</v>
      </c>
      <c r="T916" s="7">
        <v>20.0</v>
      </c>
      <c r="U916" s="7" t="s">
        <v>916</v>
      </c>
      <c r="V916" s="7" t="str">
        <f>VLOOKUP(U916,Jogadores!B:C,2,0)</f>
        <v>DF</v>
      </c>
      <c r="W916" s="8">
        <f>VLOOKUP(U916,Jogadores!B:D,3,0)</f>
        <v>31.19178082</v>
      </c>
      <c r="X916" s="7">
        <v>0.0</v>
      </c>
      <c r="Y916" s="7">
        <v>80.0</v>
      </c>
      <c r="Z916" s="7">
        <f>VLOOKUP(A916,Jogos!A:L,3,0)</f>
        <v>49</v>
      </c>
      <c r="AA916" s="7">
        <f t="shared" si="2229"/>
        <v>49</v>
      </c>
      <c r="AB916" s="7">
        <f>VLOOKUP(A916,Jogos!A:L,4,0)</f>
        <v>51</v>
      </c>
      <c r="AC916" s="7">
        <f t="shared" si="2230"/>
        <v>35</v>
      </c>
      <c r="AD916" s="7"/>
      <c r="AE916" s="7"/>
      <c r="AF916" s="7">
        <f t="shared" si="2231"/>
        <v>84</v>
      </c>
      <c r="AG916" s="7">
        <v>8168.3</v>
      </c>
      <c r="AH916" s="7">
        <v>3884.0</v>
      </c>
      <c r="AI916" s="7">
        <v>2878.1</v>
      </c>
      <c r="AJ916" s="7">
        <v>980.3</v>
      </c>
      <c r="AK916" s="7">
        <v>363.3</v>
      </c>
      <c r="AL916" s="7">
        <v>62.6</v>
      </c>
      <c r="AM916" s="7">
        <v>87.0</v>
      </c>
      <c r="AN916" s="7">
        <v>31.0</v>
      </c>
      <c r="AO916" s="7">
        <v>28.2</v>
      </c>
      <c r="AP916" s="9">
        <f t="shared" ref="AP916:AR916" si="2862">AG916/$AF916</f>
        <v>97.24166667</v>
      </c>
      <c r="AQ916" s="9">
        <f t="shared" si="2862"/>
        <v>46.23809524</v>
      </c>
      <c r="AR916" s="9">
        <f t="shared" si="2862"/>
        <v>34.26309524</v>
      </c>
      <c r="AS916" s="9">
        <f t="shared" si="2233"/>
        <v>80.50119048</v>
      </c>
      <c r="AT916" s="9">
        <f t="shared" ref="AT916:AV916" si="2863">AJ916/$AF916</f>
        <v>11.6702381</v>
      </c>
      <c r="AU916" s="9">
        <f t="shared" si="2863"/>
        <v>4.325</v>
      </c>
      <c r="AV916" s="9">
        <f t="shared" si="2863"/>
        <v>0.7452380952</v>
      </c>
      <c r="AW916" s="9">
        <f t="shared" si="2235"/>
        <v>5.070238095</v>
      </c>
      <c r="AX916" s="9">
        <f t="shared" ref="AX916:AY916" si="2864">AM916/$AF916</f>
        <v>1.035714286</v>
      </c>
      <c r="AY916" s="9">
        <f t="shared" si="2864"/>
        <v>0.369047619</v>
      </c>
      <c r="AZ916" s="9">
        <f>VLOOKUP(A916,Jogos!A:BN,58,0)</f>
        <v>31.59</v>
      </c>
      <c r="BA916" s="9">
        <f>VLOOKUP(A916,Jogos!A:BN,59,0)</f>
        <v>22.425</v>
      </c>
      <c r="BB916" s="9">
        <f>VLOOKUP(A916,Jogos!A:BN,60,0)</f>
        <v>57.5</v>
      </c>
      <c r="BC916" s="9">
        <f>VLOOKUP(A916,Jogos!A:BN,61,0)</f>
        <v>33.08</v>
      </c>
      <c r="BD916" s="9">
        <f>VLOOKUP(A916,Jogos!A:BN,62,0)</f>
        <v>200.3</v>
      </c>
      <c r="BE916" s="9">
        <f>VLOOKUP(A916,Jogos!A:BN,63,0)</f>
        <v>2.14</v>
      </c>
      <c r="BF916" s="9">
        <f>VLOOKUP(A916,Jogos!A:BN,64,0)</f>
        <v>25.85</v>
      </c>
      <c r="BG916" s="9">
        <f>VLOOKUP(A916,Jogos!A:BN,65,0)</f>
        <v>46.11</v>
      </c>
      <c r="BH916" s="9">
        <f>VLOOKUP(A916,Jogos!A:BN,66,0)</f>
        <v>30.475</v>
      </c>
      <c r="BI916" s="9"/>
      <c r="BJ916" s="9"/>
    </row>
    <row r="917" hidden="1">
      <c r="A917" s="2">
        <v>31.0</v>
      </c>
      <c r="B917" s="11" t="s">
        <v>872</v>
      </c>
      <c r="C917" s="2" t="s">
        <v>61</v>
      </c>
      <c r="D917" s="12">
        <v>45830.0</v>
      </c>
      <c r="E917" s="13">
        <v>0.75</v>
      </c>
      <c r="F917" s="5" t="str">
        <f>VLOOKUP(A917,Jogos!A:N,10,0)</f>
        <v>Evening</v>
      </c>
      <c r="G917" s="11" t="s">
        <v>997</v>
      </c>
      <c r="H917" s="6" t="str">
        <f>VLOOKUP(A917,Jogos!A:L,12,0)</f>
        <v>Open</v>
      </c>
      <c r="I917" s="6" t="str">
        <f>VLOOKUP(G917,'Estádios e Cidades'!A:B,2,0)</f>
        <v>Washington, D.C.</v>
      </c>
      <c r="J917" s="11" t="s">
        <v>874</v>
      </c>
      <c r="K917" s="2" t="str">
        <f>VLOOKUP(J917,Equipes!A:F,6,0)</f>
        <v>Tropical</v>
      </c>
      <c r="L917" s="2">
        <f>VLOOKUP(J917,Equipes!A:C,3,0)</f>
        <v>7</v>
      </c>
      <c r="M917" s="2" t="str">
        <f t="shared" si="4"/>
        <v>Quarter-final</v>
      </c>
      <c r="N917" s="11" t="s">
        <v>936</v>
      </c>
      <c r="O917" s="2">
        <f>VLOOKUP(N917,Equipes!A:C,3,0)</f>
        <v>20</v>
      </c>
      <c r="P917" s="2" t="str">
        <f t="shared" si="5"/>
        <v>Group</v>
      </c>
      <c r="Q917" s="2">
        <f t="shared" si="6"/>
        <v>-13</v>
      </c>
      <c r="R917" s="2" t="str">
        <f>VLOOKUP(J917,Equipes!A:B,2,0)</f>
        <v>AlHilal</v>
      </c>
      <c r="S917" s="6" t="s">
        <v>917</v>
      </c>
      <c r="T917" s="7">
        <v>22.0</v>
      </c>
      <c r="U917" s="7" t="s">
        <v>918</v>
      </c>
      <c r="V917" s="7" t="str">
        <f>VLOOKUP(U917,Jogadores!B:C,2,0)</f>
        <v>MF</v>
      </c>
      <c r="W917" s="8">
        <f>VLOOKUP(U917,Jogadores!B:D,3,0)</f>
        <v>30.43561644</v>
      </c>
      <c r="X917" s="7">
        <v>0.0</v>
      </c>
      <c r="Y917" s="7">
        <f t="shared" ref="Y917:Y918" si="2868">45+AB917</f>
        <v>96</v>
      </c>
      <c r="Z917" s="7">
        <f>VLOOKUP(A917,Jogos!A:L,3,0)</f>
        <v>49</v>
      </c>
      <c r="AA917" s="7">
        <f t="shared" si="2229"/>
        <v>49</v>
      </c>
      <c r="AB917" s="7">
        <f>VLOOKUP(A917,Jogos!A:L,4,0)</f>
        <v>51</v>
      </c>
      <c r="AC917" s="7">
        <f t="shared" si="2230"/>
        <v>51</v>
      </c>
      <c r="AD917" s="7"/>
      <c r="AE917" s="7"/>
      <c r="AF917" s="7">
        <f t="shared" si="2231"/>
        <v>100</v>
      </c>
      <c r="AG917" s="7">
        <v>11308.0</v>
      </c>
      <c r="AH917" s="7">
        <v>4123.5</v>
      </c>
      <c r="AI917" s="7">
        <v>5214.1</v>
      </c>
      <c r="AJ917" s="7">
        <v>1560.6</v>
      </c>
      <c r="AK917" s="7">
        <v>354.0</v>
      </c>
      <c r="AL917" s="7">
        <v>55.8</v>
      </c>
      <c r="AM917" s="7">
        <v>121.0</v>
      </c>
      <c r="AN917" s="7">
        <v>30.0</v>
      </c>
      <c r="AO917" s="7">
        <v>28.8</v>
      </c>
      <c r="AP917" s="9">
        <f t="shared" ref="AP917:AR917" si="2865">AG917/$AF917</f>
        <v>113.08</v>
      </c>
      <c r="AQ917" s="9">
        <f t="shared" si="2865"/>
        <v>41.235</v>
      </c>
      <c r="AR917" s="9">
        <f t="shared" si="2865"/>
        <v>52.141</v>
      </c>
      <c r="AS917" s="9">
        <f t="shared" si="2233"/>
        <v>93.376</v>
      </c>
      <c r="AT917" s="9">
        <f t="shared" ref="AT917:AV917" si="2866">AJ917/$AF917</f>
        <v>15.606</v>
      </c>
      <c r="AU917" s="9">
        <f t="shared" si="2866"/>
        <v>3.54</v>
      </c>
      <c r="AV917" s="9">
        <f t="shared" si="2866"/>
        <v>0.558</v>
      </c>
      <c r="AW917" s="9">
        <f t="shared" si="2235"/>
        <v>4.098</v>
      </c>
      <c r="AX917" s="9">
        <f t="shared" ref="AX917:AY917" si="2867">AM917/$AF917</f>
        <v>1.21</v>
      </c>
      <c r="AY917" s="9">
        <f t="shared" si="2867"/>
        <v>0.3</v>
      </c>
      <c r="AZ917" s="9">
        <f>VLOOKUP(A917,Jogos!A:BN,58,0)</f>
        <v>31.59</v>
      </c>
      <c r="BA917" s="9">
        <f>VLOOKUP(A917,Jogos!A:BN,59,0)</f>
        <v>22.425</v>
      </c>
      <c r="BB917" s="9">
        <f>VLOOKUP(A917,Jogos!A:BN,60,0)</f>
        <v>57.5</v>
      </c>
      <c r="BC917" s="9">
        <f>VLOOKUP(A917,Jogos!A:BN,61,0)</f>
        <v>33.08</v>
      </c>
      <c r="BD917" s="9">
        <f>VLOOKUP(A917,Jogos!A:BN,62,0)</f>
        <v>200.3</v>
      </c>
      <c r="BE917" s="9">
        <f>VLOOKUP(A917,Jogos!A:BN,63,0)</f>
        <v>2.14</v>
      </c>
      <c r="BF917" s="9">
        <f>VLOOKUP(A917,Jogos!A:BN,64,0)</f>
        <v>25.85</v>
      </c>
      <c r="BG917" s="9">
        <f>VLOOKUP(A917,Jogos!A:BN,65,0)</f>
        <v>46.11</v>
      </c>
      <c r="BH917" s="9">
        <f>VLOOKUP(A917,Jogos!A:BN,66,0)</f>
        <v>30.475</v>
      </c>
      <c r="BI917" s="9"/>
      <c r="BJ917" s="9"/>
    </row>
    <row r="918" hidden="1">
      <c r="A918" s="2">
        <v>31.0</v>
      </c>
      <c r="B918" s="11" t="s">
        <v>872</v>
      </c>
      <c r="C918" s="2" t="s">
        <v>61</v>
      </c>
      <c r="D918" s="12">
        <v>45830.0</v>
      </c>
      <c r="E918" s="13">
        <v>0.75</v>
      </c>
      <c r="F918" s="5" t="str">
        <f>VLOOKUP(A918,Jogos!A:N,10,0)</f>
        <v>Evening</v>
      </c>
      <c r="G918" s="11" t="s">
        <v>997</v>
      </c>
      <c r="H918" s="6" t="str">
        <f>VLOOKUP(A918,Jogos!A:L,12,0)</f>
        <v>Open</v>
      </c>
      <c r="I918" s="6" t="str">
        <f>VLOOKUP(G918,'Estádios e Cidades'!A:B,2,0)</f>
        <v>Washington, D.C.</v>
      </c>
      <c r="J918" s="11" t="s">
        <v>874</v>
      </c>
      <c r="K918" s="2" t="str">
        <f>VLOOKUP(J918,Equipes!A:F,6,0)</f>
        <v>Tropical</v>
      </c>
      <c r="L918" s="2">
        <f>VLOOKUP(J918,Equipes!A:C,3,0)</f>
        <v>7</v>
      </c>
      <c r="M918" s="2" t="str">
        <f t="shared" si="4"/>
        <v>Quarter-final</v>
      </c>
      <c r="N918" s="11" t="s">
        <v>936</v>
      </c>
      <c r="O918" s="2">
        <f>VLOOKUP(N918,Equipes!A:C,3,0)</f>
        <v>20</v>
      </c>
      <c r="P918" s="2" t="str">
        <f t="shared" si="5"/>
        <v>Group</v>
      </c>
      <c r="Q918" s="2">
        <f t="shared" si="6"/>
        <v>-13</v>
      </c>
      <c r="R918" s="2" t="str">
        <f>VLOOKUP(J918,Equipes!A:B,2,0)</f>
        <v>AlHilal</v>
      </c>
      <c r="S918" s="6" t="s">
        <v>919</v>
      </c>
      <c r="T918" s="7">
        <v>29.0</v>
      </c>
      <c r="U918" s="7" t="s">
        <v>920</v>
      </c>
      <c r="V918" s="7" t="str">
        <f>VLOOKUP(U918,Jogadores!B:C,2,0)</f>
        <v>MF</v>
      </c>
      <c r="W918" s="8">
        <f>VLOOKUP(U918,Jogadores!B:D,3,0)</f>
        <v>33.96438356</v>
      </c>
      <c r="X918" s="7">
        <v>0.0</v>
      </c>
      <c r="Y918" s="7">
        <f t="shared" si="2868"/>
        <v>96</v>
      </c>
      <c r="Z918" s="7">
        <f>VLOOKUP(A918,Jogos!A:L,3,0)</f>
        <v>49</v>
      </c>
      <c r="AA918" s="7">
        <f t="shared" si="2229"/>
        <v>49</v>
      </c>
      <c r="AB918" s="7">
        <f>VLOOKUP(A918,Jogos!A:L,4,0)</f>
        <v>51</v>
      </c>
      <c r="AC918" s="7">
        <f t="shared" si="2230"/>
        <v>51</v>
      </c>
      <c r="AD918" s="7"/>
      <c r="AE918" s="7"/>
      <c r="AF918" s="7">
        <f t="shared" si="2231"/>
        <v>100</v>
      </c>
      <c r="AG918" s="7">
        <v>9321.8</v>
      </c>
      <c r="AH918" s="7">
        <v>4486.9</v>
      </c>
      <c r="AI918" s="7">
        <v>3052.2</v>
      </c>
      <c r="AJ918" s="7">
        <v>1018.7</v>
      </c>
      <c r="AK918" s="7">
        <v>482.4</v>
      </c>
      <c r="AL918" s="7">
        <v>281.5</v>
      </c>
      <c r="AM918" s="7">
        <v>98.0</v>
      </c>
      <c r="AN918" s="7">
        <v>46.0</v>
      </c>
      <c r="AO918" s="7">
        <v>33.5</v>
      </c>
      <c r="AP918" s="9">
        <f t="shared" ref="AP918:AR918" si="2869">AG918/$AF918</f>
        <v>93.218</v>
      </c>
      <c r="AQ918" s="9">
        <f t="shared" si="2869"/>
        <v>44.869</v>
      </c>
      <c r="AR918" s="9">
        <f t="shared" si="2869"/>
        <v>30.522</v>
      </c>
      <c r="AS918" s="9">
        <f t="shared" si="2233"/>
        <v>75.391</v>
      </c>
      <c r="AT918" s="9">
        <f t="shared" ref="AT918:AV918" si="2870">AJ918/$AF918</f>
        <v>10.187</v>
      </c>
      <c r="AU918" s="9">
        <f t="shared" si="2870"/>
        <v>4.824</v>
      </c>
      <c r="AV918" s="9">
        <f t="shared" si="2870"/>
        <v>2.815</v>
      </c>
      <c r="AW918" s="9">
        <f t="shared" si="2235"/>
        <v>7.639</v>
      </c>
      <c r="AX918" s="9">
        <f t="shared" ref="AX918:AY918" si="2871">AM918/$AF918</f>
        <v>0.98</v>
      </c>
      <c r="AY918" s="9">
        <f t="shared" si="2871"/>
        <v>0.46</v>
      </c>
      <c r="AZ918" s="9">
        <f>VLOOKUP(A918,Jogos!A:BN,58,0)</f>
        <v>31.59</v>
      </c>
      <c r="BA918" s="9">
        <f>VLOOKUP(A918,Jogos!A:BN,59,0)</f>
        <v>22.425</v>
      </c>
      <c r="BB918" s="9">
        <f>VLOOKUP(A918,Jogos!A:BN,60,0)</f>
        <v>57.5</v>
      </c>
      <c r="BC918" s="9">
        <f>VLOOKUP(A918,Jogos!A:BN,61,0)</f>
        <v>33.08</v>
      </c>
      <c r="BD918" s="9">
        <f>VLOOKUP(A918,Jogos!A:BN,62,0)</f>
        <v>200.3</v>
      </c>
      <c r="BE918" s="9">
        <f>VLOOKUP(A918,Jogos!A:BN,63,0)</f>
        <v>2.14</v>
      </c>
      <c r="BF918" s="9">
        <f>VLOOKUP(A918,Jogos!A:BN,64,0)</f>
        <v>25.85</v>
      </c>
      <c r="BG918" s="9">
        <f>VLOOKUP(A918,Jogos!A:BN,65,0)</f>
        <v>46.11</v>
      </c>
      <c r="BH918" s="9">
        <f>VLOOKUP(A918,Jogos!A:BN,66,0)</f>
        <v>30.475</v>
      </c>
      <c r="BI918" s="9"/>
      <c r="BJ918" s="9"/>
    </row>
    <row r="919" hidden="1">
      <c r="A919" s="2">
        <v>31.0</v>
      </c>
      <c r="B919" s="11" t="s">
        <v>872</v>
      </c>
      <c r="C919" s="2" t="s">
        <v>61</v>
      </c>
      <c r="D919" s="12">
        <v>45830.0</v>
      </c>
      <c r="E919" s="13">
        <v>0.75</v>
      </c>
      <c r="F919" s="5" t="str">
        <f>VLOOKUP(A919,Jogos!A:N,10,0)</f>
        <v>Evening</v>
      </c>
      <c r="G919" s="11" t="s">
        <v>997</v>
      </c>
      <c r="H919" s="6" t="str">
        <f>VLOOKUP(A919,Jogos!A:L,12,0)</f>
        <v>Open</v>
      </c>
      <c r="I919" s="6" t="str">
        <f>VLOOKUP(G919,'Estádios e Cidades'!A:B,2,0)</f>
        <v>Washington, D.C.</v>
      </c>
      <c r="J919" s="11" t="s">
        <v>874</v>
      </c>
      <c r="K919" s="2" t="str">
        <f>VLOOKUP(J919,Equipes!A:F,6,0)</f>
        <v>Tropical</v>
      </c>
      <c r="L919" s="2">
        <f>VLOOKUP(J919,Equipes!A:C,3,0)</f>
        <v>7</v>
      </c>
      <c r="M919" s="2" t="str">
        <f t="shared" si="4"/>
        <v>Quarter-final</v>
      </c>
      <c r="N919" s="11" t="s">
        <v>936</v>
      </c>
      <c r="O919" s="2">
        <f>VLOOKUP(N919,Equipes!A:C,3,0)</f>
        <v>20</v>
      </c>
      <c r="P919" s="2" t="str">
        <f t="shared" si="5"/>
        <v>Group</v>
      </c>
      <c r="Q919" s="2">
        <f t="shared" si="6"/>
        <v>-13</v>
      </c>
      <c r="R919" s="2" t="str">
        <f>VLOOKUP(J919,Equipes!A:B,2,0)</f>
        <v>AlHilal</v>
      </c>
      <c r="S919" s="6" t="s">
        <v>921</v>
      </c>
      <c r="T919" s="7">
        <v>77.0</v>
      </c>
      <c r="U919" s="7" t="s">
        <v>922</v>
      </c>
      <c r="V919" s="7" t="str">
        <f>VLOOKUP(U919,Jogadores!B:C,2,0)</f>
        <v>MF</v>
      </c>
      <c r="W919" s="8">
        <f>VLOOKUP(U919,Jogadores!B:D,3,0)</f>
        <v>28.43561644</v>
      </c>
      <c r="X919" s="7">
        <v>0.0</v>
      </c>
      <c r="Y919" s="7">
        <v>68.0</v>
      </c>
      <c r="Z919" s="7">
        <f>VLOOKUP(A919,Jogos!A:L,3,0)</f>
        <v>49</v>
      </c>
      <c r="AA919" s="7">
        <f t="shared" si="2229"/>
        <v>49</v>
      </c>
      <c r="AB919" s="7">
        <f>VLOOKUP(A919,Jogos!A:L,4,0)</f>
        <v>51</v>
      </c>
      <c r="AC919" s="7">
        <f t="shared" si="2230"/>
        <v>23</v>
      </c>
      <c r="AD919" s="7"/>
      <c r="AE919" s="7"/>
      <c r="AF919" s="7">
        <f t="shared" si="2231"/>
        <v>72</v>
      </c>
      <c r="AG919" s="7">
        <v>7404.7</v>
      </c>
      <c r="AH919" s="7">
        <v>2770.3</v>
      </c>
      <c r="AI919" s="7">
        <v>3308.3</v>
      </c>
      <c r="AJ919" s="7">
        <v>927.4</v>
      </c>
      <c r="AK919" s="7">
        <v>271.7</v>
      </c>
      <c r="AL919" s="7">
        <v>127.0</v>
      </c>
      <c r="AM919" s="7">
        <v>91.0</v>
      </c>
      <c r="AN919" s="7">
        <v>23.0</v>
      </c>
      <c r="AO919" s="7">
        <v>31.5</v>
      </c>
      <c r="AP919" s="9">
        <f t="shared" ref="AP919:AR919" si="2872">AG919/$AF919</f>
        <v>102.8430556</v>
      </c>
      <c r="AQ919" s="9">
        <f t="shared" si="2872"/>
        <v>38.47638889</v>
      </c>
      <c r="AR919" s="9">
        <f t="shared" si="2872"/>
        <v>45.94861111</v>
      </c>
      <c r="AS919" s="9">
        <f t="shared" si="2233"/>
        <v>84.425</v>
      </c>
      <c r="AT919" s="9">
        <f t="shared" ref="AT919:AV919" si="2873">AJ919/$AF919</f>
        <v>12.88055556</v>
      </c>
      <c r="AU919" s="9">
        <f t="shared" si="2873"/>
        <v>3.773611111</v>
      </c>
      <c r="AV919" s="9">
        <f t="shared" si="2873"/>
        <v>1.763888889</v>
      </c>
      <c r="AW919" s="9">
        <f t="shared" si="2235"/>
        <v>5.5375</v>
      </c>
      <c r="AX919" s="9">
        <f t="shared" ref="AX919:AY919" si="2874">AM919/$AF919</f>
        <v>1.263888889</v>
      </c>
      <c r="AY919" s="9">
        <f t="shared" si="2874"/>
        <v>0.3194444444</v>
      </c>
      <c r="AZ919" s="9">
        <f>VLOOKUP(A919,Jogos!A:BN,58,0)</f>
        <v>31.59</v>
      </c>
      <c r="BA919" s="9">
        <f>VLOOKUP(A919,Jogos!A:BN,59,0)</f>
        <v>22.425</v>
      </c>
      <c r="BB919" s="9">
        <f>VLOOKUP(A919,Jogos!A:BN,60,0)</f>
        <v>57.5</v>
      </c>
      <c r="BC919" s="9">
        <f>VLOOKUP(A919,Jogos!A:BN,61,0)</f>
        <v>33.08</v>
      </c>
      <c r="BD919" s="9">
        <f>VLOOKUP(A919,Jogos!A:BN,62,0)</f>
        <v>200.3</v>
      </c>
      <c r="BE919" s="9">
        <f>VLOOKUP(A919,Jogos!A:BN,63,0)</f>
        <v>2.14</v>
      </c>
      <c r="BF919" s="9">
        <f>VLOOKUP(A919,Jogos!A:BN,64,0)</f>
        <v>25.85</v>
      </c>
      <c r="BG919" s="9">
        <f>VLOOKUP(A919,Jogos!A:BN,65,0)</f>
        <v>46.11</v>
      </c>
      <c r="BH919" s="9">
        <f>VLOOKUP(A919,Jogos!A:BN,66,0)</f>
        <v>30.475</v>
      </c>
      <c r="BI919" s="9"/>
      <c r="BJ919" s="9"/>
    </row>
    <row r="920" hidden="1">
      <c r="A920" s="2">
        <v>31.0</v>
      </c>
      <c r="B920" s="11" t="s">
        <v>872</v>
      </c>
      <c r="C920" s="2" t="s">
        <v>61</v>
      </c>
      <c r="D920" s="12">
        <v>45830.0</v>
      </c>
      <c r="E920" s="13">
        <v>0.75</v>
      </c>
      <c r="F920" s="5" t="str">
        <f>VLOOKUP(A920,Jogos!A:N,10,0)</f>
        <v>Evening</v>
      </c>
      <c r="G920" s="11" t="s">
        <v>997</v>
      </c>
      <c r="H920" s="6" t="str">
        <f>VLOOKUP(A920,Jogos!A:L,12,0)</f>
        <v>Open</v>
      </c>
      <c r="I920" s="6" t="str">
        <f>VLOOKUP(G920,'Estádios e Cidades'!A:B,2,0)</f>
        <v>Washington, D.C.</v>
      </c>
      <c r="J920" s="11" t="s">
        <v>874</v>
      </c>
      <c r="K920" s="2" t="str">
        <f>VLOOKUP(J920,Equipes!A:F,6,0)</f>
        <v>Tropical</v>
      </c>
      <c r="L920" s="2">
        <f>VLOOKUP(J920,Equipes!A:C,3,0)</f>
        <v>7</v>
      </c>
      <c r="M920" s="2" t="str">
        <f t="shared" si="4"/>
        <v>Quarter-final</v>
      </c>
      <c r="N920" s="11" t="s">
        <v>936</v>
      </c>
      <c r="O920" s="2">
        <f>VLOOKUP(N920,Equipes!A:C,3,0)</f>
        <v>20</v>
      </c>
      <c r="P920" s="2" t="str">
        <f t="shared" si="5"/>
        <v>Group</v>
      </c>
      <c r="Q920" s="2">
        <f t="shared" si="6"/>
        <v>-13</v>
      </c>
      <c r="R920" s="2" t="str">
        <f>VLOOKUP(J920,Equipes!A:B,2,0)</f>
        <v>AlHilal</v>
      </c>
      <c r="S920" s="6" t="s">
        <v>923</v>
      </c>
      <c r="T920" s="7">
        <v>87.0</v>
      </c>
      <c r="U920" s="7" t="s">
        <v>924</v>
      </c>
      <c r="V920" s="7" t="str">
        <f>VLOOKUP(U920,Jogadores!B:C,2,0)</f>
        <v>DF</v>
      </c>
      <c r="W920" s="8">
        <f>VLOOKUP(U920,Jogadores!B:D,3,0)</f>
        <v>26.48219178</v>
      </c>
      <c r="X920" s="7">
        <v>0.0</v>
      </c>
      <c r="Y920" s="7">
        <v>88.0</v>
      </c>
      <c r="Z920" s="7">
        <f>VLOOKUP(A920,Jogos!A:L,3,0)</f>
        <v>49</v>
      </c>
      <c r="AA920" s="7">
        <f t="shared" si="2229"/>
        <v>49</v>
      </c>
      <c r="AB920" s="7">
        <f>VLOOKUP(A920,Jogos!A:L,4,0)</f>
        <v>51</v>
      </c>
      <c r="AC920" s="7">
        <f t="shared" si="2230"/>
        <v>43</v>
      </c>
      <c r="AD920" s="7"/>
      <c r="AE920" s="7"/>
      <c r="AF920" s="7">
        <f t="shared" si="2231"/>
        <v>92</v>
      </c>
      <c r="AG920" s="7">
        <v>9102.9</v>
      </c>
      <c r="AH920" s="7">
        <v>3513.1</v>
      </c>
      <c r="AI920" s="7">
        <v>3770.7</v>
      </c>
      <c r="AJ920" s="7">
        <v>1129.7</v>
      </c>
      <c r="AK920" s="7">
        <v>456.3</v>
      </c>
      <c r="AL920" s="7">
        <v>233.1</v>
      </c>
      <c r="AM920" s="7">
        <v>99.0</v>
      </c>
      <c r="AN920" s="7">
        <v>43.0</v>
      </c>
      <c r="AO920" s="7">
        <v>33.3</v>
      </c>
      <c r="AP920" s="9">
        <f t="shared" ref="AP920:AR920" si="2875">AG920/$AF920</f>
        <v>98.94456522</v>
      </c>
      <c r="AQ920" s="9">
        <f t="shared" si="2875"/>
        <v>38.18586957</v>
      </c>
      <c r="AR920" s="9">
        <f t="shared" si="2875"/>
        <v>40.98586957</v>
      </c>
      <c r="AS920" s="9">
        <f t="shared" si="2233"/>
        <v>79.17173913</v>
      </c>
      <c r="AT920" s="9">
        <f t="shared" ref="AT920:AV920" si="2876">AJ920/$AF920</f>
        <v>12.27934783</v>
      </c>
      <c r="AU920" s="9">
        <f t="shared" si="2876"/>
        <v>4.959782609</v>
      </c>
      <c r="AV920" s="9">
        <f t="shared" si="2876"/>
        <v>2.533695652</v>
      </c>
      <c r="AW920" s="9">
        <f t="shared" si="2235"/>
        <v>7.493478261</v>
      </c>
      <c r="AX920" s="9">
        <f t="shared" ref="AX920:AY920" si="2877">AM920/$AF920</f>
        <v>1.076086957</v>
      </c>
      <c r="AY920" s="9">
        <f t="shared" si="2877"/>
        <v>0.4673913043</v>
      </c>
      <c r="AZ920" s="9">
        <f>VLOOKUP(A920,Jogos!A:BN,58,0)</f>
        <v>31.59</v>
      </c>
      <c r="BA920" s="9">
        <f>VLOOKUP(A920,Jogos!A:BN,59,0)</f>
        <v>22.425</v>
      </c>
      <c r="BB920" s="9">
        <f>VLOOKUP(A920,Jogos!A:BN,60,0)</f>
        <v>57.5</v>
      </c>
      <c r="BC920" s="9">
        <f>VLOOKUP(A920,Jogos!A:BN,61,0)</f>
        <v>33.08</v>
      </c>
      <c r="BD920" s="9">
        <f>VLOOKUP(A920,Jogos!A:BN,62,0)</f>
        <v>200.3</v>
      </c>
      <c r="BE920" s="9">
        <f>VLOOKUP(A920,Jogos!A:BN,63,0)</f>
        <v>2.14</v>
      </c>
      <c r="BF920" s="9">
        <f>VLOOKUP(A920,Jogos!A:BN,64,0)</f>
        <v>25.85</v>
      </c>
      <c r="BG920" s="9">
        <f>VLOOKUP(A920,Jogos!A:BN,65,0)</f>
        <v>46.11</v>
      </c>
      <c r="BH920" s="9">
        <f>VLOOKUP(A920,Jogos!A:BN,66,0)</f>
        <v>30.475</v>
      </c>
      <c r="BI920" s="9"/>
      <c r="BJ920" s="9"/>
    </row>
    <row r="921" hidden="1">
      <c r="A921" s="2">
        <v>31.0</v>
      </c>
      <c r="B921" s="11" t="s">
        <v>872</v>
      </c>
      <c r="C921" s="2" t="s">
        <v>61</v>
      </c>
      <c r="D921" s="12">
        <v>45830.0</v>
      </c>
      <c r="E921" s="13">
        <v>0.75</v>
      </c>
      <c r="F921" s="5" t="str">
        <f>VLOOKUP(A921,Jogos!A:N,10,0)</f>
        <v>Evening</v>
      </c>
      <c r="G921" s="11" t="s">
        <v>997</v>
      </c>
      <c r="H921" s="6" t="str">
        <f>VLOOKUP(A921,Jogos!A:L,12,0)</f>
        <v>Open</v>
      </c>
      <c r="I921" s="6" t="str">
        <f>VLOOKUP(G921,'Estádios e Cidades'!A:B,2,0)</f>
        <v>Washington, D.C.</v>
      </c>
      <c r="J921" s="11" t="s">
        <v>874</v>
      </c>
      <c r="K921" s="2" t="str">
        <f>VLOOKUP(J921,Equipes!A:F,6,0)</f>
        <v>Tropical</v>
      </c>
      <c r="L921" s="2">
        <f>VLOOKUP(J921,Equipes!A:C,3,0)</f>
        <v>7</v>
      </c>
      <c r="M921" s="2" t="str">
        <f t="shared" si="4"/>
        <v>Quarter-final</v>
      </c>
      <c r="N921" s="11" t="s">
        <v>936</v>
      </c>
      <c r="O921" s="2">
        <f>VLOOKUP(N921,Equipes!A:C,3,0)</f>
        <v>20</v>
      </c>
      <c r="P921" s="2" t="str">
        <f t="shared" si="5"/>
        <v>Group</v>
      </c>
      <c r="Q921" s="2">
        <f t="shared" si="6"/>
        <v>-13</v>
      </c>
      <c r="R921" s="2" t="str">
        <f>VLOOKUP(J921,Equipes!A:B,2,0)</f>
        <v>AlHilal</v>
      </c>
      <c r="S921" s="6" t="s">
        <v>927</v>
      </c>
      <c r="T921" s="7">
        <v>18.0</v>
      </c>
      <c r="U921" s="7" t="s">
        <v>928</v>
      </c>
      <c r="V921" s="7" t="str">
        <f>VLOOKUP(U921,Jogadores!B:C,2,0)</f>
        <v>MF</v>
      </c>
      <c r="W921" s="8">
        <f>VLOOKUP(U921,Jogadores!B:D,3,0)</f>
        <v>22.12054795</v>
      </c>
      <c r="X921" s="7">
        <v>87.0</v>
      </c>
      <c r="Y921" s="7">
        <f t="shared" ref="Y921:Y926" si="2881">45+AB921</f>
        <v>96</v>
      </c>
      <c r="Z921" s="7">
        <f>VLOOKUP(A921,Jogos!A:L,3,0)</f>
        <v>49</v>
      </c>
      <c r="AA921" s="7">
        <f t="shared" si="2229"/>
        <v>0</v>
      </c>
      <c r="AB921" s="7">
        <f>VLOOKUP(A921,Jogos!A:L,4,0)</f>
        <v>51</v>
      </c>
      <c r="AC921" s="7">
        <f t="shared" si="2230"/>
        <v>9</v>
      </c>
      <c r="AD921" s="7"/>
      <c r="AE921" s="7"/>
      <c r="AF921" s="7">
        <f t="shared" si="2231"/>
        <v>9</v>
      </c>
      <c r="AG921" s="7">
        <v>1087.8</v>
      </c>
      <c r="AH921" s="7">
        <v>306.4</v>
      </c>
      <c r="AI921" s="7">
        <v>469.9</v>
      </c>
      <c r="AJ921" s="7">
        <v>229.9</v>
      </c>
      <c r="AK921" s="7">
        <v>72.4</v>
      </c>
      <c r="AL921" s="7">
        <v>9.2</v>
      </c>
      <c r="AM921" s="7">
        <v>22.0</v>
      </c>
      <c r="AN921" s="7">
        <v>6.0</v>
      </c>
      <c r="AO921" s="7">
        <v>26.0</v>
      </c>
      <c r="AP921" s="9">
        <f t="shared" ref="AP921:AR921" si="2878">AG921/$AF921</f>
        <v>120.8666667</v>
      </c>
      <c r="AQ921" s="9">
        <f t="shared" si="2878"/>
        <v>34.04444444</v>
      </c>
      <c r="AR921" s="9">
        <f t="shared" si="2878"/>
        <v>52.21111111</v>
      </c>
      <c r="AS921" s="9">
        <f t="shared" si="2233"/>
        <v>86.25555556</v>
      </c>
      <c r="AT921" s="9">
        <f t="shared" ref="AT921:AV921" si="2879">AJ921/$AF921</f>
        <v>25.54444444</v>
      </c>
      <c r="AU921" s="9">
        <f t="shared" si="2879"/>
        <v>8.044444444</v>
      </c>
      <c r="AV921" s="9">
        <f t="shared" si="2879"/>
        <v>1.022222222</v>
      </c>
      <c r="AW921" s="9">
        <f t="shared" si="2235"/>
        <v>9.066666667</v>
      </c>
      <c r="AX921" s="9">
        <f t="shared" ref="AX921:AY921" si="2880">AM921/$AF921</f>
        <v>2.444444444</v>
      </c>
      <c r="AY921" s="9">
        <f t="shared" si="2880"/>
        <v>0.6666666667</v>
      </c>
      <c r="AZ921" s="9">
        <f>VLOOKUP(A921,Jogos!A:BN,58,0)</f>
        <v>31.59</v>
      </c>
      <c r="BA921" s="9">
        <f>VLOOKUP(A921,Jogos!A:BN,59,0)</f>
        <v>22.425</v>
      </c>
      <c r="BB921" s="9">
        <f>VLOOKUP(A921,Jogos!A:BN,60,0)</f>
        <v>57.5</v>
      </c>
      <c r="BC921" s="9">
        <f>VLOOKUP(A921,Jogos!A:BN,61,0)</f>
        <v>33.08</v>
      </c>
      <c r="BD921" s="9">
        <f>VLOOKUP(A921,Jogos!A:BN,62,0)</f>
        <v>200.3</v>
      </c>
      <c r="BE921" s="9">
        <f>VLOOKUP(A921,Jogos!A:BN,63,0)</f>
        <v>2.14</v>
      </c>
      <c r="BF921" s="9">
        <f>VLOOKUP(A921,Jogos!A:BN,64,0)</f>
        <v>25.85</v>
      </c>
      <c r="BG921" s="9">
        <f>VLOOKUP(A921,Jogos!A:BN,65,0)</f>
        <v>46.11</v>
      </c>
      <c r="BH921" s="9">
        <f>VLOOKUP(A921,Jogos!A:BN,66,0)</f>
        <v>30.475</v>
      </c>
      <c r="BI921" s="9"/>
      <c r="BJ921" s="9"/>
    </row>
    <row r="922" hidden="1">
      <c r="A922" s="2">
        <v>31.0</v>
      </c>
      <c r="B922" s="11" t="s">
        <v>872</v>
      </c>
      <c r="C922" s="2" t="s">
        <v>61</v>
      </c>
      <c r="D922" s="12">
        <v>45830.0</v>
      </c>
      <c r="E922" s="13">
        <v>0.75</v>
      </c>
      <c r="F922" s="5" t="str">
        <f>VLOOKUP(A922,Jogos!A:N,10,0)</f>
        <v>Evening</v>
      </c>
      <c r="G922" s="11" t="s">
        <v>997</v>
      </c>
      <c r="H922" s="6" t="str">
        <f>VLOOKUP(A922,Jogos!A:L,12,0)</f>
        <v>Open</v>
      </c>
      <c r="I922" s="6" t="str">
        <f>VLOOKUP(G922,'Estádios e Cidades'!A:B,2,0)</f>
        <v>Washington, D.C.</v>
      </c>
      <c r="J922" s="11" t="s">
        <v>874</v>
      </c>
      <c r="K922" s="2" t="str">
        <f>VLOOKUP(J922,Equipes!A:F,6,0)</f>
        <v>Tropical</v>
      </c>
      <c r="L922" s="2">
        <f>VLOOKUP(J922,Equipes!A:C,3,0)</f>
        <v>7</v>
      </c>
      <c r="M922" s="2" t="str">
        <f t="shared" si="4"/>
        <v>Quarter-final</v>
      </c>
      <c r="N922" s="11" t="s">
        <v>936</v>
      </c>
      <c r="O922" s="2">
        <f>VLOOKUP(N922,Equipes!A:C,3,0)</f>
        <v>20</v>
      </c>
      <c r="P922" s="2" t="str">
        <f t="shared" si="5"/>
        <v>Group</v>
      </c>
      <c r="Q922" s="2">
        <f t="shared" si="6"/>
        <v>-13</v>
      </c>
      <c r="R922" s="2" t="str">
        <f>VLOOKUP(J922,Equipes!A:B,2,0)</f>
        <v>AlHilal</v>
      </c>
      <c r="S922" s="6" t="s">
        <v>929</v>
      </c>
      <c r="T922" s="7">
        <v>24.0</v>
      </c>
      <c r="U922" s="7" t="s">
        <v>930</v>
      </c>
      <c r="V922" s="7" t="str">
        <f>VLOOKUP(U922,Jogadores!B:C,2,0)</f>
        <v>DF</v>
      </c>
      <c r="W922" s="8">
        <f>VLOOKUP(U922,Jogadores!B:D,3,0)</f>
        <v>25.45479452</v>
      </c>
      <c r="X922" s="7">
        <v>89.0</v>
      </c>
      <c r="Y922" s="7">
        <f t="shared" si="2881"/>
        <v>96</v>
      </c>
      <c r="Z922" s="7">
        <f>VLOOKUP(A922,Jogos!A:L,3,0)</f>
        <v>49</v>
      </c>
      <c r="AA922" s="7">
        <f t="shared" si="2229"/>
        <v>0</v>
      </c>
      <c r="AB922" s="7">
        <f>VLOOKUP(A922,Jogos!A:L,4,0)</f>
        <v>51</v>
      </c>
      <c r="AC922" s="7">
        <f t="shared" si="2230"/>
        <v>7</v>
      </c>
      <c r="AD922" s="7"/>
      <c r="AE922" s="7"/>
      <c r="AF922" s="7">
        <f t="shared" si="2231"/>
        <v>7</v>
      </c>
      <c r="AG922" s="7">
        <v>880.7</v>
      </c>
      <c r="AH922" s="7">
        <v>258.6</v>
      </c>
      <c r="AI922" s="7">
        <v>335.7</v>
      </c>
      <c r="AJ922" s="7">
        <v>163.5</v>
      </c>
      <c r="AK922" s="7">
        <v>106.6</v>
      </c>
      <c r="AL922" s="7">
        <v>16.2</v>
      </c>
      <c r="AM922" s="7">
        <v>17.0</v>
      </c>
      <c r="AN922" s="7">
        <v>10.0</v>
      </c>
      <c r="AO922" s="7">
        <v>26.0</v>
      </c>
      <c r="AP922" s="9">
        <f t="shared" ref="AP922:AR922" si="2882">AG922/$AF922</f>
        <v>125.8142857</v>
      </c>
      <c r="AQ922" s="9">
        <f t="shared" si="2882"/>
        <v>36.94285714</v>
      </c>
      <c r="AR922" s="9">
        <f t="shared" si="2882"/>
        <v>47.95714286</v>
      </c>
      <c r="AS922" s="9">
        <f t="shared" si="2233"/>
        <v>84.9</v>
      </c>
      <c r="AT922" s="9">
        <f t="shared" ref="AT922:AV922" si="2883">AJ922/$AF922</f>
        <v>23.35714286</v>
      </c>
      <c r="AU922" s="9">
        <f t="shared" si="2883"/>
        <v>15.22857143</v>
      </c>
      <c r="AV922" s="9">
        <f t="shared" si="2883"/>
        <v>2.314285714</v>
      </c>
      <c r="AW922" s="9">
        <f t="shared" si="2235"/>
        <v>17.54285714</v>
      </c>
      <c r="AX922" s="9">
        <f t="shared" ref="AX922:AY922" si="2884">AM922/$AF922</f>
        <v>2.428571429</v>
      </c>
      <c r="AY922" s="9">
        <f t="shared" si="2884"/>
        <v>1.428571429</v>
      </c>
      <c r="AZ922" s="9">
        <f>VLOOKUP(A922,Jogos!A:BN,58,0)</f>
        <v>31.59</v>
      </c>
      <c r="BA922" s="9">
        <f>VLOOKUP(A922,Jogos!A:BN,59,0)</f>
        <v>22.425</v>
      </c>
      <c r="BB922" s="9">
        <f>VLOOKUP(A922,Jogos!A:BN,60,0)</f>
        <v>57.5</v>
      </c>
      <c r="BC922" s="9">
        <f>VLOOKUP(A922,Jogos!A:BN,61,0)</f>
        <v>33.08</v>
      </c>
      <c r="BD922" s="9">
        <f>VLOOKUP(A922,Jogos!A:BN,62,0)</f>
        <v>200.3</v>
      </c>
      <c r="BE922" s="9">
        <f>VLOOKUP(A922,Jogos!A:BN,63,0)</f>
        <v>2.14</v>
      </c>
      <c r="BF922" s="9">
        <f>VLOOKUP(A922,Jogos!A:BN,64,0)</f>
        <v>25.85</v>
      </c>
      <c r="BG922" s="9">
        <f>VLOOKUP(A922,Jogos!A:BN,65,0)</f>
        <v>46.11</v>
      </c>
      <c r="BH922" s="9">
        <f>VLOOKUP(A922,Jogos!A:BN,66,0)</f>
        <v>30.475</v>
      </c>
      <c r="BI922" s="9"/>
      <c r="BJ922" s="9"/>
    </row>
    <row r="923" hidden="1">
      <c r="A923" s="2">
        <v>31.0</v>
      </c>
      <c r="B923" s="11" t="s">
        <v>872</v>
      </c>
      <c r="C923" s="2" t="s">
        <v>61</v>
      </c>
      <c r="D923" s="12">
        <v>45830.0</v>
      </c>
      <c r="E923" s="13">
        <v>0.75</v>
      </c>
      <c r="F923" s="5" t="str">
        <f>VLOOKUP(A923,Jogos!A:N,10,0)</f>
        <v>Evening</v>
      </c>
      <c r="G923" s="11" t="s">
        <v>997</v>
      </c>
      <c r="H923" s="6" t="str">
        <f>VLOOKUP(A923,Jogos!A:L,12,0)</f>
        <v>Open</v>
      </c>
      <c r="I923" s="6" t="str">
        <f>VLOOKUP(G923,'Estádios e Cidades'!A:B,2,0)</f>
        <v>Washington, D.C.</v>
      </c>
      <c r="J923" s="11" t="s">
        <v>874</v>
      </c>
      <c r="K923" s="2" t="str">
        <f>VLOOKUP(J923,Equipes!A:F,6,0)</f>
        <v>Tropical</v>
      </c>
      <c r="L923" s="2">
        <f>VLOOKUP(J923,Equipes!A:C,3,0)</f>
        <v>7</v>
      </c>
      <c r="M923" s="2" t="str">
        <f t="shared" si="4"/>
        <v>Quarter-final</v>
      </c>
      <c r="N923" s="11" t="s">
        <v>936</v>
      </c>
      <c r="O923" s="2">
        <f>VLOOKUP(N923,Equipes!A:C,3,0)</f>
        <v>20</v>
      </c>
      <c r="P923" s="2" t="str">
        <f t="shared" si="5"/>
        <v>Group</v>
      </c>
      <c r="Q923" s="2">
        <f t="shared" si="6"/>
        <v>-13</v>
      </c>
      <c r="R923" s="2" t="str">
        <f>VLOOKUP(J923,Equipes!A:B,2,0)</f>
        <v>AlHilal</v>
      </c>
      <c r="S923" s="6" t="s">
        <v>931</v>
      </c>
      <c r="T923" s="7">
        <v>28.0</v>
      </c>
      <c r="U923" s="7" t="s">
        <v>932</v>
      </c>
      <c r="V923" s="7" t="str">
        <f>VLOOKUP(U923,Jogadores!B:C,2,0)</f>
        <v>MF</v>
      </c>
      <c r="W923" s="8">
        <f>VLOOKUP(U923,Jogadores!B:D,3,0)</f>
        <v>30.86849315</v>
      </c>
      <c r="X923" s="7">
        <v>68.0</v>
      </c>
      <c r="Y923" s="7">
        <f t="shared" si="2881"/>
        <v>96</v>
      </c>
      <c r="Z923" s="7">
        <f>VLOOKUP(A923,Jogos!A:L,3,0)</f>
        <v>49</v>
      </c>
      <c r="AA923" s="7">
        <f t="shared" si="2229"/>
        <v>0</v>
      </c>
      <c r="AB923" s="7">
        <f>VLOOKUP(A923,Jogos!A:L,4,0)</f>
        <v>51</v>
      </c>
      <c r="AC923" s="7">
        <f t="shared" si="2230"/>
        <v>28</v>
      </c>
      <c r="AD923" s="7"/>
      <c r="AE923" s="7"/>
      <c r="AF923" s="7">
        <f t="shared" si="2231"/>
        <v>28</v>
      </c>
      <c r="AG923" s="7">
        <v>2612.9</v>
      </c>
      <c r="AH923" s="7">
        <v>1019.0</v>
      </c>
      <c r="AI923" s="7">
        <v>1030.6</v>
      </c>
      <c r="AJ923" s="7">
        <v>364.2</v>
      </c>
      <c r="AK923" s="7">
        <v>163.1</v>
      </c>
      <c r="AL923" s="7">
        <v>35.9</v>
      </c>
      <c r="AM923" s="7">
        <v>31.0</v>
      </c>
      <c r="AN923" s="7">
        <v>13.0</v>
      </c>
      <c r="AO923" s="7">
        <v>28.7</v>
      </c>
      <c r="AP923" s="9">
        <f t="shared" ref="AP923:AR923" si="2885">AG923/$AF923</f>
        <v>93.31785714</v>
      </c>
      <c r="AQ923" s="9">
        <f t="shared" si="2885"/>
        <v>36.39285714</v>
      </c>
      <c r="AR923" s="9">
        <f t="shared" si="2885"/>
        <v>36.80714286</v>
      </c>
      <c r="AS923" s="9">
        <f t="shared" si="2233"/>
        <v>73.2</v>
      </c>
      <c r="AT923" s="9">
        <f t="shared" ref="AT923:AV923" si="2886">AJ923/$AF923</f>
        <v>13.00714286</v>
      </c>
      <c r="AU923" s="9">
        <f t="shared" si="2886"/>
        <v>5.825</v>
      </c>
      <c r="AV923" s="9">
        <f t="shared" si="2886"/>
        <v>1.282142857</v>
      </c>
      <c r="AW923" s="9">
        <f t="shared" si="2235"/>
        <v>7.107142857</v>
      </c>
      <c r="AX923" s="9">
        <f t="shared" ref="AX923:AY923" si="2887">AM923/$AF923</f>
        <v>1.107142857</v>
      </c>
      <c r="AY923" s="9">
        <f t="shared" si="2887"/>
        <v>0.4642857143</v>
      </c>
      <c r="AZ923" s="9">
        <f>VLOOKUP(A923,Jogos!A:BN,58,0)</f>
        <v>31.59</v>
      </c>
      <c r="BA923" s="9">
        <f>VLOOKUP(A923,Jogos!A:BN,59,0)</f>
        <v>22.425</v>
      </c>
      <c r="BB923" s="9">
        <f>VLOOKUP(A923,Jogos!A:BN,60,0)</f>
        <v>57.5</v>
      </c>
      <c r="BC923" s="9">
        <f>VLOOKUP(A923,Jogos!A:BN,61,0)</f>
        <v>33.08</v>
      </c>
      <c r="BD923" s="9">
        <f>VLOOKUP(A923,Jogos!A:BN,62,0)</f>
        <v>200.3</v>
      </c>
      <c r="BE923" s="9">
        <f>VLOOKUP(A923,Jogos!A:BN,63,0)</f>
        <v>2.14</v>
      </c>
      <c r="BF923" s="9">
        <f>VLOOKUP(A923,Jogos!A:BN,64,0)</f>
        <v>25.85</v>
      </c>
      <c r="BG923" s="9">
        <f>VLOOKUP(A923,Jogos!A:BN,65,0)</f>
        <v>46.11</v>
      </c>
      <c r="BH923" s="9">
        <f>VLOOKUP(A923,Jogos!A:BN,66,0)</f>
        <v>30.475</v>
      </c>
      <c r="BI923" s="9"/>
      <c r="BJ923" s="9"/>
    </row>
    <row r="924" hidden="1">
      <c r="A924" s="2">
        <v>31.0</v>
      </c>
      <c r="B924" s="11" t="s">
        <v>872</v>
      </c>
      <c r="C924" s="2" t="s">
        <v>61</v>
      </c>
      <c r="D924" s="12">
        <v>45830.0</v>
      </c>
      <c r="E924" s="13">
        <v>0.75</v>
      </c>
      <c r="F924" s="5" t="str">
        <f>VLOOKUP(A924,Jogos!A:N,10,0)</f>
        <v>Evening</v>
      </c>
      <c r="G924" s="11" t="s">
        <v>997</v>
      </c>
      <c r="H924" s="6" t="str">
        <f>VLOOKUP(A924,Jogos!A:L,12,0)</f>
        <v>Open</v>
      </c>
      <c r="I924" s="6" t="str">
        <f>VLOOKUP(G924,'Estádios e Cidades'!A:B,2,0)</f>
        <v>Washington, D.C.</v>
      </c>
      <c r="J924" s="11" t="s">
        <v>874</v>
      </c>
      <c r="K924" s="2" t="str">
        <f>VLOOKUP(J924,Equipes!A:F,6,0)</f>
        <v>Tropical</v>
      </c>
      <c r="L924" s="2">
        <f>VLOOKUP(J924,Equipes!A:C,3,0)</f>
        <v>7</v>
      </c>
      <c r="M924" s="2" t="str">
        <f t="shared" si="4"/>
        <v>Quarter-final</v>
      </c>
      <c r="N924" s="11" t="s">
        <v>936</v>
      </c>
      <c r="O924" s="2">
        <f>VLOOKUP(N924,Equipes!A:C,3,0)</f>
        <v>20</v>
      </c>
      <c r="P924" s="2" t="str">
        <f t="shared" si="5"/>
        <v>Group</v>
      </c>
      <c r="Q924" s="2">
        <f t="shared" si="6"/>
        <v>-13</v>
      </c>
      <c r="R924" s="2" t="str">
        <f>VLOOKUP(J924,Equipes!A:B,2,0)</f>
        <v>AlHilal</v>
      </c>
      <c r="S924" s="6" t="s">
        <v>1214</v>
      </c>
      <c r="T924" s="7">
        <v>78.0</v>
      </c>
      <c r="U924" s="7" t="s">
        <v>1215</v>
      </c>
      <c r="V924" s="7" t="str">
        <f>VLOOKUP(U924,Jogadores!B:C,2,0)</f>
        <v>DF</v>
      </c>
      <c r="W924" s="8">
        <f>VLOOKUP(U924,Jogadores!B:D,3,0)</f>
        <v>29.27945205</v>
      </c>
      <c r="X924" s="7">
        <v>88.0</v>
      </c>
      <c r="Y924" s="7">
        <f t="shared" si="2881"/>
        <v>96</v>
      </c>
      <c r="Z924" s="7">
        <f>VLOOKUP(A924,Jogos!A:L,3,0)</f>
        <v>49</v>
      </c>
      <c r="AA924" s="7">
        <f t="shared" si="2229"/>
        <v>0</v>
      </c>
      <c r="AB924" s="7">
        <f>VLOOKUP(A924,Jogos!A:L,4,0)</f>
        <v>51</v>
      </c>
      <c r="AC924" s="7">
        <f t="shared" si="2230"/>
        <v>8</v>
      </c>
      <c r="AD924" s="7"/>
      <c r="AE924" s="7"/>
      <c r="AF924" s="7">
        <f t="shared" si="2231"/>
        <v>8</v>
      </c>
      <c r="AG924" s="7">
        <v>782.4</v>
      </c>
      <c r="AH924" s="7">
        <v>326.3</v>
      </c>
      <c r="AI924" s="7">
        <v>380.2</v>
      </c>
      <c r="AJ924" s="7">
        <v>75.9</v>
      </c>
      <c r="AK924" s="7">
        <v>20.0</v>
      </c>
      <c r="AL924" s="7"/>
      <c r="AM924" s="7"/>
      <c r="AN924" s="7"/>
      <c r="AO924" s="7"/>
      <c r="AP924" s="9">
        <f t="shared" ref="AP924:AR924" si="2888">AG924/$AF924</f>
        <v>97.8</v>
      </c>
      <c r="AQ924" s="9">
        <f t="shared" si="2888"/>
        <v>40.7875</v>
      </c>
      <c r="AR924" s="9">
        <f t="shared" si="2888"/>
        <v>47.525</v>
      </c>
      <c r="AS924" s="9">
        <f t="shared" si="2233"/>
        <v>88.3125</v>
      </c>
      <c r="AT924" s="9">
        <f t="shared" ref="AT924:AV924" si="2889">AJ924/$AF924</f>
        <v>9.4875</v>
      </c>
      <c r="AU924" s="9">
        <f t="shared" si="2889"/>
        <v>2.5</v>
      </c>
      <c r="AV924" s="9">
        <f t="shared" si="2889"/>
        <v>0</v>
      </c>
      <c r="AW924" s="9">
        <f t="shared" si="2235"/>
        <v>2.5</v>
      </c>
      <c r="AX924" s="9">
        <f t="shared" ref="AX924:AY924" si="2890">AM924/$AF924</f>
        <v>0</v>
      </c>
      <c r="AY924" s="9">
        <f t="shared" si="2890"/>
        <v>0</v>
      </c>
      <c r="AZ924" s="9">
        <f>VLOOKUP(A924,Jogos!A:BN,58,0)</f>
        <v>31.59</v>
      </c>
      <c r="BA924" s="9">
        <f>VLOOKUP(A924,Jogos!A:BN,59,0)</f>
        <v>22.425</v>
      </c>
      <c r="BB924" s="9">
        <f>VLOOKUP(A924,Jogos!A:BN,60,0)</f>
        <v>57.5</v>
      </c>
      <c r="BC924" s="9">
        <f>VLOOKUP(A924,Jogos!A:BN,61,0)</f>
        <v>33.08</v>
      </c>
      <c r="BD924" s="9">
        <f>VLOOKUP(A924,Jogos!A:BN,62,0)</f>
        <v>200.3</v>
      </c>
      <c r="BE924" s="9">
        <f>VLOOKUP(A924,Jogos!A:BN,63,0)</f>
        <v>2.14</v>
      </c>
      <c r="BF924" s="9">
        <f>VLOOKUP(A924,Jogos!A:BN,64,0)</f>
        <v>25.85</v>
      </c>
      <c r="BG924" s="9">
        <f>VLOOKUP(A924,Jogos!A:BN,65,0)</f>
        <v>46.11</v>
      </c>
      <c r="BH924" s="9">
        <f>VLOOKUP(A924,Jogos!A:BN,66,0)</f>
        <v>30.475</v>
      </c>
      <c r="BI924" s="9"/>
      <c r="BJ924" s="9"/>
    </row>
    <row r="925" hidden="1">
      <c r="A925" s="2">
        <v>31.0</v>
      </c>
      <c r="B925" s="11" t="s">
        <v>872</v>
      </c>
      <c r="C925" s="2" t="s">
        <v>61</v>
      </c>
      <c r="D925" s="12">
        <v>45830.0</v>
      </c>
      <c r="E925" s="13">
        <v>0.75</v>
      </c>
      <c r="F925" s="5" t="str">
        <f>VLOOKUP(A925,Jogos!A:N,10,0)</f>
        <v>Evening</v>
      </c>
      <c r="G925" s="11" t="s">
        <v>997</v>
      </c>
      <c r="H925" s="6" t="str">
        <f>VLOOKUP(A925,Jogos!A:L,12,0)</f>
        <v>Open</v>
      </c>
      <c r="I925" s="6" t="str">
        <f>VLOOKUP(G925,'Estádios e Cidades'!A:B,2,0)</f>
        <v>Washington, D.C.</v>
      </c>
      <c r="J925" s="11" t="s">
        <v>874</v>
      </c>
      <c r="K925" s="2" t="str">
        <f>VLOOKUP(J925,Equipes!A:F,6,0)</f>
        <v>Tropical</v>
      </c>
      <c r="L925" s="2">
        <f>VLOOKUP(J925,Equipes!A:C,3,0)</f>
        <v>7</v>
      </c>
      <c r="M925" s="2" t="str">
        <f t="shared" si="4"/>
        <v>Quarter-final</v>
      </c>
      <c r="N925" s="11" t="s">
        <v>936</v>
      </c>
      <c r="O925" s="2">
        <f>VLOOKUP(N925,Equipes!A:C,3,0)</f>
        <v>20</v>
      </c>
      <c r="P925" s="2" t="str">
        <f t="shared" si="5"/>
        <v>Group</v>
      </c>
      <c r="Q925" s="2">
        <f t="shared" si="6"/>
        <v>-13</v>
      </c>
      <c r="R925" s="2" t="str">
        <f>VLOOKUP(J925,Equipes!A:B,2,0)</f>
        <v>AlHilal</v>
      </c>
      <c r="S925" s="6" t="s">
        <v>933</v>
      </c>
      <c r="T925" s="7">
        <v>88.0</v>
      </c>
      <c r="U925" s="7" t="s">
        <v>934</v>
      </c>
      <c r="V925" s="7" t="str">
        <f>VLOOKUP(U925,Jogadores!B:C,2,0)</f>
        <v>DF</v>
      </c>
      <c r="W925" s="8">
        <f>VLOOKUP(U925,Jogadores!B:D,3,0)</f>
        <v>26.21643836</v>
      </c>
      <c r="X925" s="7">
        <v>80.0</v>
      </c>
      <c r="Y925" s="7">
        <f t="shared" si="2881"/>
        <v>96</v>
      </c>
      <c r="Z925" s="7">
        <f>VLOOKUP(A925,Jogos!A:L,3,0)</f>
        <v>49</v>
      </c>
      <c r="AA925" s="7">
        <f t="shared" si="2229"/>
        <v>0</v>
      </c>
      <c r="AB925" s="7">
        <f>VLOOKUP(A925,Jogos!A:L,4,0)</f>
        <v>51</v>
      </c>
      <c r="AC925" s="7">
        <f t="shared" si="2230"/>
        <v>16</v>
      </c>
      <c r="AD925" s="7"/>
      <c r="AE925" s="7"/>
      <c r="AF925" s="7">
        <f t="shared" si="2231"/>
        <v>16</v>
      </c>
      <c r="AG925" s="7">
        <v>1759.6</v>
      </c>
      <c r="AH925" s="7">
        <v>528.4</v>
      </c>
      <c r="AI925" s="7">
        <v>709.5</v>
      </c>
      <c r="AJ925" s="7">
        <v>328.5</v>
      </c>
      <c r="AK925" s="7">
        <v>171.8</v>
      </c>
      <c r="AL925" s="7">
        <v>21.3</v>
      </c>
      <c r="AM925" s="7">
        <v>29.0</v>
      </c>
      <c r="AN925" s="7">
        <v>13.0</v>
      </c>
      <c r="AO925" s="7">
        <v>25.4</v>
      </c>
      <c r="AP925" s="9">
        <f t="shared" ref="AP925:AR925" si="2891">AG925/$AF925</f>
        <v>109.975</v>
      </c>
      <c r="AQ925" s="9">
        <f t="shared" si="2891"/>
        <v>33.025</v>
      </c>
      <c r="AR925" s="9">
        <f t="shared" si="2891"/>
        <v>44.34375</v>
      </c>
      <c r="AS925" s="9">
        <f t="shared" si="2233"/>
        <v>77.36875</v>
      </c>
      <c r="AT925" s="9">
        <f t="shared" ref="AT925:AV925" si="2892">AJ925/$AF925</f>
        <v>20.53125</v>
      </c>
      <c r="AU925" s="9">
        <f t="shared" si="2892"/>
        <v>10.7375</v>
      </c>
      <c r="AV925" s="9">
        <f t="shared" si="2892"/>
        <v>1.33125</v>
      </c>
      <c r="AW925" s="9">
        <f t="shared" si="2235"/>
        <v>12.06875</v>
      </c>
      <c r="AX925" s="9">
        <f t="shared" ref="AX925:AY925" si="2893">AM925/$AF925</f>
        <v>1.8125</v>
      </c>
      <c r="AY925" s="9">
        <f t="shared" si="2893"/>
        <v>0.8125</v>
      </c>
      <c r="AZ925" s="9">
        <f>VLOOKUP(A925,Jogos!A:BN,58,0)</f>
        <v>31.59</v>
      </c>
      <c r="BA925" s="9">
        <f>VLOOKUP(A925,Jogos!A:BN,59,0)</f>
        <v>22.425</v>
      </c>
      <c r="BB925" s="9">
        <f>VLOOKUP(A925,Jogos!A:BN,60,0)</f>
        <v>57.5</v>
      </c>
      <c r="BC925" s="9">
        <f>VLOOKUP(A925,Jogos!A:BN,61,0)</f>
        <v>33.08</v>
      </c>
      <c r="BD925" s="9">
        <f>VLOOKUP(A925,Jogos!A:BN,62,0)</f>
        <v>200.3</v>
      </c>
      <c r="BE925" s="9">
        <f>VLOOKUP(A925,Jogos!A:BN,63,0)</f>
        <v>2.14</v>
      </c>
      <c r="BF925" s="9">
        <f>VLOOKUP(A925,Jogos!A:BN,64,0)</f>
        <v>25.85</v>
      </c>
      <c r="BG925" s="9">
        <f>VLOOKUP(A925,Jogos!A:BN,65,0)</f>
        <v>46.11</v>
      </c>
      <c r="BH925" s="9">
        <f>VLOOKUP(A925,Jogos!A:BN,66,0)</f>
        <v>30.475</v>
      </c>
      <c r="BI925" s="9"/>
      <c r="BJ925" s="9"/>
    </row>
    <row r="926" hidden="1">
      <c r="A926" s="2">
        <v>32.0</v>
      </c>
      <c r="B926" s="11" t="s">
        <v>809</v>
      </c>
      <c r="C926" s="2" t="s">
        <v>61</v>
      </c>
      <c r="D926" s="3">
        <v>45830.0</v>
      </c>
      <c r="E926" s="4">
        <v>0.875</v>
      </c>
      <c r="F926" s="5" t="str">
        <f>VLOOKUP(A926,Jogos!A:N,10,0)</f>
        <v>Evening</v>
      </c>
      <c r="G926" s="2" t="s">
        <v>376</v>
      </c>
      <c r="H926" s="6" t="str">
        <f>VLOOKUP(A926,Jogos!A:L,12,0)</f>
        <v>Closed</v>
      </c>
      <c r="I926" s="6" t="str">
        <f>VLOOKUP(G926,'Estádios e Cidades'!A:B,2,0)</f>
        <v>Atlanta</v>
      </c>
      <c r="J926" s="2" t="s">
        <v>810</v>
      </c>
      <c r="K926" s="2" t="str">
        <f>VLOOKUP(J926,Equipes!A:F,6,0)</f>
        <v>Temperate</v>
      </c>
      <c r="L926" s="2">
        <f>VLOOKUP(J926,Equipes!A:C,3,0)</f>
        <v>9</v>
      </c>
      <c r="M926" s="2" t="str">
        <f t="shared" si="4"/>
        <v>Round of 16</v>
      </c>
      <c r="N926" s="2" t="s">
        <v>998</v>
      </c>
      <c r="O926" s="2">
        <f>VLOOKUP(N926,Equipes!A:C,3,0)</f>
        <v>22</v>
      </c>
      <c r="P926" s="2" t="str">
        <f t="shared" si="5"/>
        <v>Group</v>
      </c>
      <c r="Q926" s="2">
        <f t="shared" si="6"/>
        <v>-13</v>
      </c>
      <c r="R926" s="2" t="str">
        <f>VLOOKUP(J926,Equipes!A:B,2,0)</f>
        <v>City</v>
      </c>
      <c r="S926" s="6" t="s">
        <v>832</v>
      </c>
      <c r="T926" s="7">
        <v>9.0</v>
      </c>
      <c r="U926" s="7" t="s">
        <v>833</v>
      </c>
      <c r="V926" s="7" t="str">
        <f>VLOOKUP(U926,Jogadores!B:C,2,0)</f>
        <v>FW</v>
      </c>
      <c r="W926" s="8">
        <f>VLOOKUP(U926,Jogadores!B:D,3,0)</f>
        <v>25.03561644</v>
      </c>
      <c r="X926" s="7">
        <v>0.0</v>
      </c>
      <c r="Y926" s="7">
        <f t="shared" si="2881"/>
        <v>93</v>
      </c>
      <c r="Z926" s="7">
        <f>VLOOKUP(A926,Jogos!A:L,3,0)</f>
        <v>50</v>
      </c>
      <c r="AA926" s="7">
        <f t="shared" si="2229"/>
        <v>50</v>
      </c>
      <c r="AB926" s="7">
        <f>VLOOKUP(A926,Jogos!A:L,4,0)</f>
        <v>48</v>
      </c>
      <c r="AC926" s="7">
        <f t="shared" si="2230"/>
        <v>48</v>
      </c>
      <c r="AD926" s="7"/>
      <c r="AE926" s="7"/>
      <c r="AF926" s="7">
        <f t="shared" si="2231"/>
        <v>98</v>
      </c>
      <c r="AG926" s="7">
        <v>10165.2</v>
      </c>
      <c r="AH926" s="7">
        <v>4437.2</v>
      </c>
      <c r="AI926" s="7">
        <v>3761.4</v>
      </c>
      <c r="AJ926" s="7">
        <v>1235.2</v>
      </c>
      <c r="AK926" s="7">
        <v>544.7</v>
      </c>
      <c r="AL926" s="7">
        <v>186.6</v>
      </c>
      <c r="AM926" s="7">
        <v>102.0</v>
      </c>
      <c r="AN926" s="7">
        <v>38.0</v>
      </c>
      <c r="AO926" s="7">
        <v>33.7</v>
      </c>
      <c r="AP926" s="9">
        <f t="shared" ref="AP926:AR926" si="2894">AG926/$AF926</f>
        <v>103.7265306</v>
      </c>
      <c r="AQ926" s="9">
        <f t="shared" si="2894"/>
        <v>45.27755102</v>
      </c>
      <c r="AR926" s="9">
        <f t="shared" si="2894"/>
        <v>38.38163265</v>
      </c>
      <c r="AS926" s="9">
        <f t="shared" si="2233"/>
        <v>83.65918367</v>
      </c>
      <c r="AT926" s="9">
        <f t="shared" ref="AT926:AV926" si="2895">AJ926/$AF926</f>
        <v>12.60408163</v>
      </c>
      <c r="AU926" s="9">
        <f t="shared" si="2895"/>
        <v>5.558163265</v>
      </c>
      <c r="AV926" s="9">
        <f t="shared" si="2895"/>
        <v>1.904081633</v>
      </c>
      <c r="AW926" s="9">
        <f t="shared" si="2235"/>
        <v>7.462244898</v>
      </c>
      <c r="AX926" s="9">
        <f t="shared" ref="AX926:AY926" si="2896">AM926/$AF926</f>
        <v>1.040816327</v>
      </c>
      <c r="AY926" s="9">
        <f t="shared" si="2896"/>
        <v>0.387755102</v>
      </c>
      <c r="AZ926" s="9">
        <f>VLOOKUP(A926,Jogos!A:BN,58,0)</f>
        <v>26.665</v>
      </c>
      <c r="BA926" s="9">
        <f>VLOOKUP(A926,Jogos!A:BN,59,0)</f>
        <v>20.325</v>
      </c>
      <c r="BB926" s="9">
        <f>VLOOKUP(A926,Jogos!A:BN,60,0)</f>
        <v>68</v>
      </c>
      <c r="BC926" s="9">
        <f>VLOOKUP(A926,Jogos!A:BN,61,0)</f>
        <v>25.28</v>
      </c>
      <c r="BD926" s="9">
        <f>VLOOKUP(A926,Jogos!A:BN,62,0)</f>
        <v>0</v>
      </c>
      <c r="BE926" s="9">
        <f>VLOOKUP(A926,Jogos!A:BN,63,0)</f>
        <v>1.175</v>
      </c>
      <c r="BF926" s="9">
        <f>VLOOKUP(A926,Jogos!A:BN,64,0)</f>
        <v>23.44</v>
      </c>
      <c r="BG926" s="9">
        <f>VLOOKUP(A926,Jogos!A:BN,65,0)</f>
        <v>41.145</v>
      </c>
      <c r="BH926" s="9">
        <f>VLOOKUP(A926,Jogos!A:BN,66,0)</f>
        <v>27.3</v>
      </c>
      <c r="BI926" s="9"/>
      <c r="BJ926" s="9"/>
    </row>
    <row r="927" hidden="1">
      <c r="A927" s="2">
        <v>32.0</v>
      </c>
      <c r="B927" s="11" t="s">
        <v>809</v>
      </c>
      <c r="C927" s="2" t="s">
        <v>61</v>
      </c>
      <c r="D927" s="3">
        <v>45830.0</v>
      </c>
      <c r="E927" s="4">
        <v>0.875</v>
      </c>
      <c r="F927" s="5" t="str">
        <f>VLOOKUP(A927,Jogos!A:N,10,0)</f>
        <v>Evening</v>
      </c>
      <c r="G927" s="2" t="s">
        <v>376</v>
      </c>
      <c r="H927" s="6" t="str">
        <f>VLOOKUP(A927,Jogos!A:L,12,0)</f>
        <v>Closed</v>
      </c>
      <c r="I927" s="6" t="str">
        <f>VLOOKUP(G927,'Estádios e Cidades'!A:B,2,0)</f>
        <v>Atlanta</v>
      </c>
      <c r="J927" s="2" t="s">
        <v>810</v>
      </c>
      <c r="K927" s="2" t="str">
        <f>VLOOKUP(J927,Equipes!A:F,6,0)</f>
        <v>Temperate</v>
      </c>
      <c r="L927" s="2">
        <f>VLOOKUP(J927,Equipes!A:C,3,0)</f>
        <v>9</v>
      </c>
      <c r="M927" s="2" t="str">
        <f t="shared" si="4"/>
        <v>Round of 16</v>
      </c>
      <c r="N927" s="2" t="s">
        <v>998</v>
      </c>
      <c r="O927" s="2">
        <f>VLOOKUP(N927,Equipes!A:C,3,0)</f>
        <v>22</v>
      </c>
      <c r="P927" s="2" t="str">
        <f t="shared" si="5"/>
        <v>Group</v>
      </c>
      <c r="Q927" s="2">
        <f t="shared" si="6"/>
        <v>-13</v>
      </c>
      <c r="R927" s="2" t="str">
        <f>VLOOKUP(J927,Equipes!A:B,2,0)</f>
        <v>City</v>
      </c>
      <c r="S927" s="6" t="s">
        <v>1216</v>
      </c>
      <c r="T927" s="7">
        <v>14.0</v>
      </c>
      <c r="U927" s="7" t="s">
        <v>1193</v>
      </c>
      <c r="V927" s="7" t="str">
        <f>VLOOKUP(U927,Jogadores!B:C,2,0)</f>
        <v>FW</v>
      </c>
      <c r="W927" s="8">
        <f>VLOOKUP(U927,Jogadores!B:D,3,0)</f>
        <v>27.32876712</v>
      </c>
      <c r="X927" s="7">
        <v>0.0</v>
      </c>
      <c r="Y927" s="7">
        <v>61.0</v>
      </c>
      <c r="Z927" s="7">
        <f>VLOOKUP(A927,Jogos!A:L,3,0)</f>
        <v>50</v>
      </c>
      <c r="AA927" s="7">
        <f t="shared" si="2229"/>
        <v>50</v>
      </c>
      <c r="AB927" s="7">
        <f>VLOOKUP(A927,Jogos!A:L,4,0)</f>
        <v>48</v>
      </c>
      <c r="AC927" s="7">
        <f t="shared" si="2230"/>
        <v>16</v>
      </c>
      <c r="AD927" s="7"/>
      <c r="AE927" s="7"/>
      <c r="AF927" s="7">
        <f t="shared" si="2231"/>
        <v>66</v>
      </c>
      <c r="AG927" s="7">
        <v>7710.7</v>
      </c>
      <c r="AH927" s="7">
        <v>2346.8</v>
      </c>
      <c r="AI927" s="7">
        <v>3822.1</v>
      </c>
      <c r="AJ927" s="7">
        <v>1266.3</v>
      </c>
      <c r="AK927" s="7">
        <v>260.7</v>
      </c>
      <c r="AL927" s="7">
        <v>14.9</v>
      </c>
      <c r="AM927" s="7">
        <v>94.0</v>
      </c>
      <c r="AN927" s="7">
        <v>17.0</v>
      </c>
      <c r="AO927" s="7">
        <v>26.2</v>
      </c>
      <c r="AP927" s="9">
        <f t="shared" ref="AP927:AR927" si="2897">AG927/$AF927</f>
        <v>116.8287879</v>
      </c>
      <c r="AQ927" s="9">
        <f t="shared" si="2897"/>
        <v>35.55757576</v>
      </c>
      <c r="AR927" s="9">
        <f t="shared" si="2897"/>
        <v>57.91060606</v>
      </c>
      <c r="AS927" s="9">
        <f t="shared" si="2233"/>
        <v>93.46818182</v>
      </c>
      <c r="AT927" s="9">
        <f t="shared" ref="AT927:AV927" si="2898">AJ927/$AF927</f>
        <v>19.18636364</v>
      </c>
      <c r="AU927" s="9">
        <f t="shared" si="2898"/>
        <v>3.95</v>
      </c>
      <c r="AV927" s="9">
        <f t="shared" si="2898"/>
        <v>0.2257575758</v>
      </c>
      <c r="AW927" s="9">
        <f t="shared" si="2235"/>
        <v>4.175757576</v>
      </c>
      <c r="AX927" s="9">
        <f t="shared" ref="AX927:AY927" si="2899">AM927/$AF927</f>
        <v>1.424242424</v>
      </c>
      <c r="AY927" s="9">
        <f t="shared" si="2899"/>
        <v>0.2575757576</v>
      </c>
      <c r="AZ927" s="9">
        <f>VLOOKUP(A927,Jogos!A:BN,58,0)</f>
        <v>26.665</v>
      </c>
      <c r="BA927" s="9">
        <f>VLOOKUP(A927,Jogos!A:BN,59,0)</f>
        <v>20.325</v>
      </c>
      <c r="BB927" s="9">
        <f>VLOOKUP(A927,Jogos!A:BN,60,0)</f>
        <v>68</v>
      </c>
      <c r="BC927" s="9">
        <f>VLOOKUP(A927,Jogos!A:BN,61,0)</f>
        <v>25.28</v>
      </c>
      <c r="BD927" s="9">
        <f>VLOOKUP(A927,Jogos!A:BN,62,0)</f>
        <v>0</v>
      </c>
      <c r="BE927" s="9">
        <f>VLOOKUP(A927,Jogos!A:BN,63,0)</f>
        <v>1.175</v>
      </c>
      <c r="BF927" s="9">
        <f>VLOOKUP(A927,Jogos!A:BN,64,0)</f>
        <v>23.44</v>
      </c>
      <c r="BG927" s="9">
        <f>VLOOKUP(A927,Jogos!A:BN,65,0)</f>
        <v>41.145</v>
      </c>
      <c r="BH927" s="9">
        <f>VLOOKUP(A927,Jogos!A:BN,66,0)</f>
        <v>27.3</v>
      </c>
      <c r="BI927" s="9"/>
      <c r="BJ927" s="9"/>
    </row>
    <row r="928" hidden="1">
      <c r="A928" s="2">
        <v>32.0</v>
      </c>
      <c r="B928" s="11" t="s">
        <v>809</v>
      </c>
      <c r="C928" s="2" t="s">
        <v>61</v>
      </c>
      <c r="D928" s="3">
        <v>45830.0</v>
      </c>
      <c r="E928" s="4">
        <v>0.875</v>
      </c>
      <c r="F928" s="5" t="str">
        <f>VLOOKUP(A928,Jogos!A:N,10,0)</f>
        <v>Evening</v>
      </c>
      <c r="G928" s="2" t="s">
        <v>376</v>
      </c>
      <c r="H928" s="6" t="str">
        <f>VLOOKUP(A928,Jogos!A:L,12,0)</f>
        <v>Closed</v>
      </c>
      <c r="I928" s="6" t="str">
        <f>VLOOKUP(G928,'Estádios e Cidades'!A:B,2,0)</f>
        <v>Atlanta</v>
      </c>
      <c r="J928" s="2" t="s">
        <v>810</v>
      </c>
      <c r="K928" s="2" t="str">
        <f>VLOOKUP(J928,Equipes!A:F,6,0)</f>
        <v>Temperate</v>
      </c>
      <c r="L928" s="2">
        <f>VLOOKUP(J928,Equipes!A:C,3,0)</f>
        <v>9</v>
      </c>
      <c r="M928" s="2" t="str">
        <f t="shared" si="4"/>
        <v>Round of 16</v>
      </c>
      <c r="N928" s="2" t="s">
        <v>998</v>
      </c>
      <c r="O928" s="2">
        <f>VLOOKUP(N928,Equipes!A:C,3,0)</f>
        <v>22</v>
      </c>
      <c r="P928" s="2" t="str">
        <f t="shared" si="5"/>
        <v>Group</v>
      </c>
      <c r="Q928" s="2">
        <f t="shared" si="6"/>
        <v>-13</v>
      </c>
      <c r="R928" s="2" t="str">
        <f>VLOOKUP(J928,Equipes!A:B,2,0)</f>
        <v>City</v>
      </c>
      <c r="S928" s="6" t="s">
        <v>836</v>
      </c>
      <c r="T928" s="7">
        <v>19.0</v>
      </c>
      <c r="U928" s="7" t="s">
        <v>837</v>
      </c>
      <c r="V928" s="7" t="str">
        <f>VLOOKUP(U928,Jogadores!B:C,2,0)</f>
        <v>MF</v>
      </c>
      <c r="W928" s="8">
        <f>VLOOKUP(U928,Jogadores!B:D,3,0)</f>
        <v>34.78356164</v>
      </c>
      <c r="X928" s="7">
        <v>0.0</v>
      </c>
      <c r="Y928" s="7">
        <f>45+AB928</f>
        <v>93</v>
      </c>
      <c r="Z928" s="7">
        <f>VLOOKUP(A928,Jogos!A:L,3,0)</f>
        <v>50</v>
      </c>
      <c r="AA928" s="7">
        <f t="shared" si="2229"/>
        <v>50</v>
      </c>
      <c r="AB928" s="7">
        <f>VLOOKUP(A928,Jogos!A:L,4,0)</f>
        <v>48</v>
      </c>
      <c r="AC928" s="7">
        <f t="shared" si="2230"/>
        <v>48</v>
      </c>
      <c r="AD928" s="7"/>
      <c r="AE928" s="7"/>
      <c r="AF928" s="7">
        <f t="shared" si="2231"/>
        <v>98</v>
      </c>
      <c r="AG928" s="7">
        <v>11357.0</v>
      </c>
      <c r="AH928" s="7">
        <v>3366.2</v>
      </c>
      <c r="AI928" s="7">
        <v>5490.9</v>
      </c>
      <c r="AJ928" s="7">
        <v>1831.3</v>
      </c>
      <c r="AK928" s="7">
        <v>606.1</v>
      </c>
      <c r="AL928" s="7">
        <v>62.6</v>
      </c>
      <c r="AM928" s="7">
        <v>162.0</v>
      </c>
      <c r="AN928" s="7">
        <v>44.0</v>
      </c>
      <c r="AO928" s="7">
        <v>28.2</v>
      </c>
      <c r="AP928" s="9">
        <f t="shared" ref="AP928:AR928" si="2900">AG928/$AF928</f>
        <v>115.8877551</v>
      </c>
      <c r="AQ928" s="9">
        <f t="shared" si="2900"/>
        <v>34.34897959</v>
      </c>
      <c r="AR928" s="9">
        <f t="shared" si="2900"/>
        <v>56.02959184</v>
      </c>
      <c r="AS928" s="9">
        <f t="shared" si="2233"/>
        <v>90.37857143</v>
      </c>
      <c r="AT928" s="9">
        <f t="shared" ref="AT928:AV928" si="2901">AJ928/$AF928</f>
        <v>18.68673469</v>
      </c>
      <c r="AU928" s="9">
        <f t="shared" si="2901"/>
        <v>6.184693878</v>
      </c>
      <c r="AV928" s="9">
        <f t="shared" si="2901"/>
        <v>0.6387755102</v>
      </c>
      <c r="AW928" s="9">
        <f t="shared" si="2235"/>
        <v>6.823469388</v>
      </c>
      <c r="AX928" s="9">
        <f t="shared" ref="AX928:AY928" si="2902">AM928/$AF928</f>
        <v>1.653061224</v>
      </c>
      <c r="AY928" s="9">
        <f t="shared" si="2902"/>
        <v>0.4489795918</v>
      </c>
      <c r="AZ928" s="9">
        <f>VLOOKUP(A928,Jogos!A:BN,58,0)</f>
        <v>26.665</v>
      </c>
      <c r="BA928" s="9">
        <f>VLOOKUP(A928,Jogos!A:BN,59,0)</f>
        <v>20.325</v>
      </c>
      <c r="BB928" s="9">
        <f>VLOOKUP(A928,Jogos!A:BN,60,0)</f>
        <v>68</v>
      </c>
      <c r="BC928" s="9">
        <f>VLOOKUP(A928,Jogos!A:BN,61,0)</f>
        <v>25.28</v>
      </c>
      <c r="BD928" s="9">
        <f>VLOOKUP(A928,Jogos!A:BN,62,0)</f>
        <v>0</v>
      </c>
      <c r="BE928" s="9">
        <f>VLOOKUP(A928,Jogos!A:BN,63,0)</f>
        <v>1.175</v>
      </c>
      <c r="BF928" s="9">
        <f>VLOOKUP(A928,Jogos!A:BN,64,0)</f>
        <v>23.44</v>
      </c>
      <c r="BG928" s="9">
        <f>VLOOKUP(A928,Jogos!A:BN,65,0)</f>
        <v>41.145</v>
      </c>
      <c r="BH928" s="9">
        <f>VLOOKUP(A928,Jogos!A:BN,66,0)</f>
        <v>27.3</v>
      </c>
      <c r="BI928" s="9"/>
      <c r="BJ928" s="9"/>
    </row>
    <row r="929" hidden="1">
      <c r="A929" s="2">
        <v>32.0</v>
      </c>
      <c r="B929" s="11" t="s">
        <v>809</v>
      </c>
      <c r="C929" s="2" t="s">
        <v>61</v>
      </c>
      <c r="D929" s="3">
        <v>45830.0</v>
      </c>
      <c r="E929" s="4">
        <v>0.875</v>
      </c>
      <c r="F929" s="5" t="str">
        <f>VLOOKUP(A929,Jogos!A:N,10,0)</f>
        <v>Evening</v>
      </c>
      <c r="G929" s="2" t="s">
        <v>376</v>
      </c>
      <c r="H929" s="6" t="str">
        <f>VLOOKUP(A929,Jogos!A:L,12,0)</f>
        <v>Closed</v>
      </c>
      <c r="I929" s="6" t="str">
        <f>VLOOKUP(G929,'Estádios e Cidades'!A:B,2,0)</f>
        <v>Atlanta</v>
      </c>
      <c r="J929" s="2" t="s">
        <v>810</v>
      </c>
      <c r="K929" s="2" t="str">
        <f>VLOOKUP(J929,Equipes!A:F,6,0)</f>
        <v>Temperate</v>
      </c>
      <c r="L929" s="2">
        <f>VLOOKUP(J929,Equipes!A:C,3,0)</f>
        <v>9</v>
      </c>
      <c r="M929" s="2" t="str">
        <f t="shared" si="4"/>
        <v>Round of 16</v>
      </c>
      <c r="N929" s="2" t="s">
        <v>998</v>
      </c>
      <c r="O929" s="2">
        <f>VLOOKUP(N929,Equipes!A:C,3,0)</f>
        <v>22</v>
      </c>
      <c r="P929" s="2" t="str">
        <f t="shared" si="5"/>
        <v>Group</v>
      </c>
      <c r="Q929" s="2">
        <f t="shared" si="6"/>
        <v>-13</v>
      </c>
      <c r="R929" s="2" t="str">
        <f>VLOOKUP(J929,Equipes!A:B,2,0)</f>
        <v>City</v>
      </c>
      <c r="S929" s="6" t="s">
        <v>1217</v>
      </c>
      <c r="T929" s="7">
        <v>20.0</v>
      </c>
      <c r="U929" s="7" t="s">
        <v>1218</v>
      </c>
      <c r="V929" s="7" t="str">
        <f>VLOOKUP(U929,Jogadores!B:C,2,0)</f>
        <v>MF</v>
      </c>
      <c r="W929" s="8">
        <f>VLOOKUP(U929,Jogadores!B:D,3,0)</f>
        <v>30.98630137</v>
      </c>
      <c r="X929" s="7">
        <v>0.0</v>
      </c>
      <c r="Y929" s="7">
        <v>74.0</v>
      </c>
      <c r="Z929" s="7">
        <f>VLOOKUP(A929,Jogos!A:L,3,0)</f>
        <v>50</v>
      </c>
      <c r="AA929" s="7">
        <f t="shared" si="2229"/>
        <v>50</v>
      </c>
      <c r="AB929" s="7">
        <f>VLOOKUP(A929,Jogos!A:L,4,0)</f>
        <v>48</v>
      </c>
      <c r="AC929" s="7">
        <f t="shared" si="2230"/>
        <v>29</v>
      </c>
      <c r="AD929" s="7"/>
      <c r="AE929" s="7"/>
      <c r="AF929" s="7">
        <f t="shared" si="2231"/>
        <v>79</v>
      </c>
      <c r="AG929" s="7">
        <v>9794.9</v>
      </c>
      <c r="AH929" s="7">
        <v>2716.8</v>
      </c>
      <c r="AI929" s="7">
        <v>4844.2</v>
      </c>
      <c r="AJ929" s="7">
        <v>1641.6</v>
      </c>
      <c r="AK929" s="7">
        <v>572.3</v>
      </c>
      <c r="AL929" s="7">
        <v>20.0</v>
      </c>
      <c r="AM929" s="7">
        <v>148.0</v>
      </c>
      <c r="AN929" s="7">
        <v>47.0</v>
      </c>
      <c r="AO929" s="7">
        <v>26.4</v>
      </c>
      <c r="AP929" s="9">
        <f t="shared" ref="AP929:AR929" si="2903">AG929/$AF929</f>
        <v>123.9860759</v>
      </c>
      <c r="AQ929" s="9">
        <f t="shared" si="2903"/>
        <v>34.38987342</v>
      </c>
      <c r="AR929" s="9">
        <f t="shared" si="2903"/>
        <v>61.31898734</v>
      </c>
      <c r="AS929" s="9">
        <f t="shared" si="2233"/>
        <v>95.70886076</v>
      </c>
      <c r="AT929" s="9">
        <f t="shared" ref="AT929:AV929" si="2904">AJ929/$AF929</f>
        <v>20.77974684</v>
      </c>
      <c r="AU929" s="9">
        <f t="shared" si="2904"/>
        <v>7.244303797</v>
      </c>
      <c r="AV929" s="9">
        <f t="shared" si="2904"/>
        <v>0.253164557</v>
      </c>
      <c r="AW929" s="9">
        <f t="shared" si="2235"/>
        <v>7.497468354</v>
      </c>
      <c r="AX929" s="9">
        <f t="shared" ref="AX929:AY929" si="2905">AM929/$AF929</f>
        <v>1.873417722</v>
      </c>
      <c r="AY929" s="9">
        <f t="shared" si="2905"/>
        <v>0.5949367089</v>
      </c>
      <c r="AZ929" s="9">
        <f>VLOOKUP(A929,Jogos!A:BN,58,0)</f>
        <v>26.665</v>
      </c>
      <c r="BA929" s="9">
        <f>VLOOKUP(A929,Jogos!A:BN,59,0)</f>
        <v>20.325</v>
      </c>
      <c r="BB929" s="9">
        <f>VLOOKUP(A929,Jogos!A:BN,60,0)</f>
        <v>68</v>
      </c>
      <c r="BC929" s="9">
        <f>VLOOKUP(A929,Jogos!A:BN,61,0)</f>
        <v>25.28</v>
      </c>
      <c r="BD929" s="9">
        <f>VLOOKUP(A929,Jogos!A:BN,62,0)</f>
        <v>0</v>
      </c>
      <c r="BE929" s="9">
        <f>VLOOKUP(A929,Jogos!A:BN,63,0)</f>
        <v>1.175</v>
      </c>
      <c r="BF929" s="9">
        <f>VLOOKUP(A929,Jogos!A:BN,64,0)</f>
        <v>23.44</v>
      </c>
      <c r="BG929" s="9">
        <f>VLOOKUP(A929,Jogos!A:BN,65,0)</f>
        <v>41.145</v>
      </c>
      <c r="BH929" s="9">
        <f>VLOOKUP(A929,Jogos!A:BN,66,0)</f>
        <v>27.3</v>
      </c>
      <c r="BI929" s="9"/>
      <c r="BJ929" s="9"/>
    </row>
    <row r="930" hidden="1">
      <c r="A930" s="2">
        <v>32.0</v>
      </c>
      <c r="B930" s="11" t="s">
        <v>809</v>
      </c>
      <c r="C930" s="2" t="s">
        <v>61</v>
      </c>
      <c r="D930" s="3">
        <v>45830.0</v>
      </c>
      <c r="E930" s="4">
        <v>0.875</v>
      </c>
      <c r="F930" s="5" t="str">
        <f>VLOOKUP(A930,Jogos!A:N,10,0)</f>
        <v>Evening</v>
      </c>
      <c r="G930" s="2" t="s">
        <v>376</v>
      </c>
      <c r="H930" s="6" t="str">
        <f>VLOOKUP(A930,Jogos!A:L,12,0)</f>
        <v>Closed</v>
      </c>
      <c r="I930" s="6" t="str">
        <f>VLOOKUP(G930,'Estádios e Cidades'!A:B,2,0)</f>
        <v>Atlanta</v>
      </c>
      <c r="J930" s="2" t="s">
        <v>810</v>
      </c>
      <c r="K930" s="2" t="str">
        <f>VLOOKUP(J930,Equipes!A:F,6,0)</f>
        <v>Temperate</v>
      </c>
      <c r="L930" s="2">
        <f>VLOOKUP(J930,Equipes!A:C,3,0)</f>
        <v>9</v>
      </c>
      <c r="M930" s="2" t="str">
        <f t="shared" si="4"/>
        <v>Round of 16</v>
      </c>
      <c r="N930" s="2" t="s">
        <v>998</v>
      </c>
      <c r="O930" s="2">
        <f>VLOOKUP(N930,Equipes!A:C,3,0)</f>
        <v>22</v>
      </c>
      <c r="P930" s="2" t="str">
        <f t="shared" si="5"/>
        <v>Group</v>
      </c>
      <c r="Q930" s="2">
        <f t="shared" si="6"/>
        <v>-13</v>
      </c>
      <c r="R930" s="2" t="str">
        <f>VLOOKUP(J930,Equipes!A:B,2,0)</f>
        <v>City</v>
      </c>
      <c r="S930" s="6" t="s">
        <v>1219</v>
      </c>
      <c r="T930" s="7">
        <v>21.0</v>
      </c>
      <c r="U930" s="7" t="s">
        <v>1220</v>
      </c>
      <c r="V930" s="7" t="str">
        <f>VLOOKUP(U930,Jogadores!B:C,2,0)</f>
        <v>DF</v>
      </c>
      <c r="W930" s="8">
        <f>VLOOKUP(U930,Jogadores!B:D,3,0)</f>
        <v>24.15890411</v>
      </c>
      <c r="X930" s="7">
        <v>0.0</v>
      </c>
      <c r="Y930" s="7">
        <f>45+AB930</f>
        <v>93</v>
      </c>
      <c r="Z930" s="7">
        <f>VLOOKUP(A930,Jogos!A:L,3,0)</f>
        <v>50</v>
      </c>
      <c r="AA930" s="7">
        <f t="shared" si="2229"/>
        <v>50</v>
      </c>
      <c r="AB930" s="7">
        <f>VLOOKUP(A930,Jogos!A:L,4,0)</f>
        <v>48</v>
      </c>
      <c r="AC930" s="7">
        <f t="shared" si="2230"/>
        <v>48</v>
      </c>
      <c r="AD930" s="7"/>
      <c r="AE930" s="7"/>
      <c r="AF930" s="7">
        <f t="shared" si="2231"/>
        <v>98</v>
      </c>
      <c r="AG930" s="7">
        <v>10969.2</v>
      </c>
      <c r="AH930" s="7">
        <v>3862.0</v>
      </c>
      <c r="AI930" s="7">
        <v>4766.6</v>
      </c>
      <c r="AJ930" s="7">
        <v>1456.3</v>
      </c>
      <c r="AK930" s="7">
        <v>659.6</v>
      </c>
      <c r="AL930" s="7">
        <v>224.6</v>
      </c>
      <c r="AM930" s="7">
        <v>124.0</v>
      </c>
      <c r="AN930" s="7">
        <v>52.0</v>
      </c>
      <c r="AO930" s="7">
        <v>32.1</v>
      </c>
      <c r="AP930" s="9">
        <f t="shared" ref="AP930:AR930" si="2906">AG930/$AF930</f>
        <v>111.9306122</v>
      </c>
      <c r="AQ930" s="9">
        <f t="shared" si="2906"/>
        <v>39.40816327</v>
      </c>
      <c r="AR930" s="9">
        <f t="shared" si="2906"/>
        <v>48.63877551</v>
      </c>
      <c r="AS930" s="9">
        <f t="shared" si="2233"/>
        <v>88.04693878</v>
      </c>
      <c r="AT930" s="9">
        <f t="shared" ref="AT930:AV930" si="2907">AJ930/$AF930</f>
        <v>14.86020408</v>
      </c>
      <c r="AU930" s="9">
        <f t="shared" si="2907"/>
        <v>6.730612245</v>
      </c>
      <c r="AV930" s="9">
        <f t="shared" si="2907"/>
        <v>2.291836735</v>
      </c>
      <c r="AW930" s="9">
        <f t="shared" si="2235"/>
        <v>9.02244898</v>
      </c>
      <c r="AX930" s="9">
        <f t="shared" ref="AX930:AY930" si="2908">AM930/$AF930</f>
        <v>1.265306122</v>
      </c>
      <c r="AY930" s="9">
        <f t="shared" si="2908"/>
        <v>0.5306122449</v>
      </c>
      <c r="AZ930" s="9">
        <f>VLOOKUP(A930,Jogos!A:BN,58,0)</f>
        <v>26.665</v>
      </c>
      <c r="BA930" s="9">
        <f>VLOOKUP(A930,Jogos!A:BN,59,0)</f>
        <v>20.325</v>
      </c>
      <c r="BB930" s="9">
        <f>VLOOKUP(A930,Jogos!A:BN,60,0)</f>
        <v>68</v>
      </c>
      <c r="BC930" s="9">
        <f>VLOOKUP(A930,Jogos!A:BN,61,0)</f>
        <v>25.28</v>
      </c>
      <c r="BD930" s="9">
        <f>VLOOKUP(A930,Jogos!A:BN,62,0)</f>
        <v>0</v>
      </c>
      <c r="BE930" s="9">
        <f>VLOOKUP(A930,Jogos!A:BN,63,0)</f>
        <v>1.175</v>
      </c>
      <c r="BF930" s="9">
        <f>VLOOKUP(A930,Jogos!A:BN,64,0)</f>
        <v>23.44</v>
      </c>
      <c r="BG930" s="9">
        <f>VLOOKUP(A930,Jogos!A:BN,65,0)</f>
        <v>41.145</v>
      </c>
      <c r="BH930" s="9">
        <f>VLOOKUP(A930,Jogos!A:BN,66,0)</f>
        <v>27.3</v>
      </c>
      <c r="BI930" s="9"/>
      <c r="BJ930" s="9"/>
    </row>
    <row r="931" hidden="1">
      <c r="A931" s="2">
        <v>32.0</v>
      </c>
      <c r="B931" s="11" t="s">
        <v>809</v>
      </c>
      <c r="C931" s="2" t="s">
        <v>61</v>
      </c>
      <c r="D931" s="3">
        <v>45830.0</v>
      </c>
      <c r="E931" s="4">
        <v>0.875</v>
      </c>
      <c r="F931" s="5" t="str">
        <f>VLOOKUP(A931,Jogos!A:N,10,0)</f>
        <v>Evening</v>
      </c>
      <c r="G931" s="2" t="s">
        <v>376</v>
      </c>
      <c r="H931" s="6" t="str">
        <f>VLOOKUP(A931,Jogos!A:L,12,0)</f>
        <v>Closed</v>
      </c>
      <c r="I931" s="6" t="str">
        <f>VLOOKUP(G931,'Estádios e Cidades'!A:B,2,0)</f>
        <v>Atlanta</v>
      </c>
      <c r="J931" s="2" t="s">
        <v>810</v>
      </c>
      <c r="K931" s="2" t="str">
        <f>VLOOKUP(J931,Equipes!A:F,6,0)</f>
        <v>Temperate</v>
      </c>
      <c r="L931" s="2">
        <f>VLOOKUP(J931,Equipes!A:C,3,0)</f>
        <v>9</v>
      </c>
      <c r="M931" s="2" t="str">
        <f t="shared" si="4"/>
        <v>Round of 16</v>
      </c>
      <c r="N931" s="2" t="s">
        <v>998</v>
      </c>
      <c r="O931" s="2">
        <f>VLOOKUP(N931,Equipes!A:C,3,0)</f>
        <v>22</v>
      </c>
      <c r="P931" s="2" t="str">
        <f t="shared" si="5"/>
        <v>Group</v>
      </c>
      <c r="Q931" s="2">
        <f t="shared" si="6"/>
        <v>-13</v>
      </c>
      <c r="R931" s="2" t="str">
        <f>VLOOKUP(J931,Equipes!A:B,2,0)</f>
        <v>City</v>
      </c>
      <c r="S931" s="6" t="s">
        <v>1221</v>
      </c>
      <c r="T931" s="7">
        <v>24.0</v>
      </c>
      <c r="U931" s="7" t="s">
        <v>1222</v>
      </c>
      <c r="V931" s="7" t="str">
        <f>VLOOKUP(U931,Jogadores!B:C,2,0)</f>
        <v>DF</v>
      </c>
      <c r="W931" s="8">
        <f>VLOOKUP(U931,Jogadores!B:D,3,0)</f>
        <v>23.5260274</v>
      </c>
      <c r="X931" s="7">
        <v>0.0</v>
      </c>
      <c r="Y931" s="7">
        <v>74.0</v>
      </c>
      <c r="Z931" s="7">
        <f>VLOOKUP(A931,Jogos!A:L,3,0)</f>
        <v>50</v>
      </c>
      <c r="AA931" s="7">
        <f t="shared" si="2229"/>
        <v>50</v>
      </c>
      <c r="AB931" s="7">
        <f>VLOOKUP(A931,Jogos!A:L,4,0)</f>
        <v>48</v>
      </c>
      <c r="AC931" s="7">
        <f t="shared" si="2230"/>
        <v>29</v>
      </c>
      <c r="AD931" s="7"/>
      <c r="AE931" s="7"/>
      <c r="AF931" s="7">
        <f t="shared" si="2231"/>
        <v>79</v>
      </c>
      <c r="AG931" s="7">
        <v>8782.2</v>
      </c>
      <c r="AH931" s="7">
        <v>3469.5</v>
      </c>
      <c r="AI931" s="7">
        <v>3326.4</v>
      </c>
      <c r="AJ931" s="7">
        <v>1094.7</v>
      </c>
      <c r="AK931" s="7">
        <v>598.7</v>
      </c>
      <c r="AL931" s="7">
        <v>292.9</v>
      </c>
      <c r="AM931" s="7">
        <v>97.0</v>
      </c>
      <c r="AN931" s="7">
        <v>46.0</v>
      </c>
      <c r="AO931" s="7">
        <v>33.2</v>
      </c>
      <c r="AP931" s="9">
        <f t="shared" ref="AP931:AR931" si="2909">AG931/$AF931</f>
        <v>111.1670886</v>
      </c>
      <c r="AQ931" s="9">
        <f t="shared" si="2909"/>
        <v>43.91772152</v>
      </c>
      <c r="AR931" s="9">
        <f t="shared" si="2909"/>
        <v>42.10632911</v>
      </c>
      <c r="AS931" s="9">
        <f t="shared" si="2233"/>
        <v>86.02405063</v>
      </c>
      <c r="AT931" s="9">
        <f t="shared" ref="AT931:AV931" si="2910">AJ931/$AF931</f>
        <v>13.85696203</v>
      </c>
      <c r="AU931" s="9">
        <f t="shared" si="2910"/>
        <v>7.578481013</v>
      </c>
      <c r="AV931" s="9">
        <f t="shared" si="2910"/>
        <v>3.707594937</v>
      </c>
      <c r="AW931" s="9">
        <f t="shared" si="2235"/>
        <v>11.28607595</v>
      </c>
      <c r="AX931" s="9">
        <f t="shared" ref="AX931:AY931" si="2911">AM931/$AF931</f>
        <v>1.227848101</v>
      </c>
      <c r="AY931" s="9">
        <f t="shared" si="2911"/>
        <v>0.582278481</v>
      </c>
      <c r="AZ931" s="9">
        <f>VLOOKUP(A931,Jogos!A:BN,58,0)</f>
        <v>26.665</v>
      </c>
      <c r="BA931" s="9">
        <f>VLOOKUP(A931,Jogos!A:BN,59,0)</f>
        <v>20.325</v>
      </c>
      <c r="BB931" s="9">
        <f>VLOOKUP(A931,Jogos!A:BN,60,0)</f>
        <v>68</v>
      </c>
      <c r="BC931" s="9">
        <f>VLOOKUP(A931,Jogos!A:BN,61,0)</f>
        <v>25.28</v>
      </c>
      <c r="BD931" s="9">
        <f>VLOOKUP(A931,Jogos!A:BN,62,0)</f>
        <v>0</v>
      </c>
      <c r="BE931" s="9">
        <f>VLOOKUP(A931,Jogos!A:BN,63,0)</f>
        <v>1.175</v>
      </c>
      <c r="BF931" s="9">
        <f>VLOOKUP(A931,Jogos!A:BN,64,0)</f>
        <v>23.44</v>
      </c>
      <c r="BG931" s="9">
        <f>VLOOKUP(A931,Jogos!A:BN,65,0)</f>
        <v>41.145</v>
      </c>
      <c r="BH931" s="9">
        <f>VLOOKUP(A931,Jogos!A:BN,66,0)</f>
        <v>27.3</v>
      </c>
      <c r="BI931" s="9"/>
      <c r="BJ931" s="9"/>
    </row>
    <row r="932" hidden="1">
      <c r="A932" s="2">
        <v>32.0</v>
      </c>
      <c r="B932" s="11" t="s">
        <v>809</v>
      </c>
      <c r="C932" s="2" t="s">
        <v>61</v>
      </c>
      <c r="D932" s="3">
        <v>45830.0</v>
      </c>
      <c r="E932" s="4">
        <v>0.875</v>
      </c>
      <c r="F932" s="5" t="str">
        <f>VLOOKUP(A932,Jogos!A:N,10,0)</f>
        <v>Evening</v>
      </c>
      <c r="G932" s="2" t="s">
        <v>376</v>
      </c>
      <c r="H932" s="6" t="str">
        <f>VLOOKUP(A932,Jogos!A:L,12,0)</f>
        <v>Closed</v>
      </c>
      <c r="I932" s="6" t="str">
        <f>VLOOKUP(G932,'Estádios e Cidades'!A:B,2,0)</f>
        <v>Atlanta</v>
      </c>
      <c r="J932" s="2" t="s">
        <v>810</v>
      </c>
      <c r="K932" s="2" t="str">
        <f>VLOOKUP(J932,Equipes!A:F,6,0)</f>
        <v>Temperate</v>
      </c>
      <c r="L932" s="2">
        <f>VLOOKUP(J932,Equipes!A:C,3,0)</f>
        <v>9</v>
      </c>
      <c r="M932" s="2" t="str">
        <f t="shared" si="4"/>
        <v>Round of 16</v>
      </c>
      <c r="N932" s="2" t="s">
        <v>998</v>
      </c>
      <c r="O932" s="2">
        <f>VLOOKUP(N932,Equipes!A:C,3,0)</f>
        <v>22</v>
      </c>
      <c r="P932" s="2" t="str">
        <f t="shared" si="5"/>
        <v>Group</v>
      </c>
      <c r="Q932" s="2">
        <f t="shared" si="6"/>
        <v>-13</v>
      </c>
      <c r="R932" s="2" t="str">
        <f>VLOOKUP(J932,Equipes!A:B,2,0)</f>
        <v>City</v>
      </c>
      <c r="S932" s="6" t="s">
        <v>1223</v>
      </c>
      <c r="T932" s="7">
        <v>25.0</v>
      </c>
      <c r="U932" s="7" t="s">
        <v>1224</v>
      </c>
      <c r="V932" s="7" t="str">
        <f>VLOOKUP(U932,Jogadores!B:C,2,0)</f>
        <v>DF</v>
      </c>
      <c r="W932" s="8">
        <f>VLOOKUP(U932,Jogadores!B:D,3,0)</f>
        <v>30.04657534</v>
      </c>
      <c r="X932" s="7">
        <v>0.0</v>
      </c>
      <c r="Y932" s="7">
        <f t="shared" ref="Y932:Y933" si="2915">45+AB932</f>
        <v>93</v>
      </c>
      <c r="Z932" s="7">
        <f>VLOOKUP(A932,Jogos!A:L,3,0)</f>
        <v>50</v>
      </c>
      <c r="AA932" s="7">
        <f t="shared" si="2229"/>
        <v>50</v>
      </c>
      <c r="AB932" s="7">
        <f>VLOOKUP(A932,Jogos!A:L,4,0)</f>
        <v>48</v>
      </c>
      <c r="AC932" s="7">
        <f t="shared" si="2230"/>
        <v>48</v>
      </c>
      <c r="AD932" s="7"/>
      <c r="AE932" s="7"/>
      <c r="AF932" s="7">
        <f t="shared" si="2231"/>
        <v>98</v>
      </c>
      <c r="AG932" s="7">
        <v>10022.5</v>
      </c>
      <c r="AH932" s="7">
        <v>4077.6</v>
      </c>
      <c r="AI932" s="7">
        <v>3967.6</v>
      </c>
      <c r="AJ932" s="7">
        <v>1196.5</v>
      </c>
      <c r="AK932" s="7">
        <v>564.5</v>
      </c>
      <c r="AL932" s="7">
        <v>216.2</v>
      </c>
      <c r="AM932" s="7">
        <v>106.0</v>
      </c>
      <c r="AN932" s="7">
        <v>41.0</v>
      </c>
      <c r="AO932" s="7">
        <v>32.2</v>
      </c>
      <c r="AP932" s="9">
        <f t="shared" ref="AP932:AR932" si="2912">AG932/$AF932</f>
        <v>102.2704082</v>
      </c>
      <c r="AQ932" s="9">
        <f t="shared" si="2912"/>
        <v>41.60816327</v>
      </c>
      <c r="AR932" s="9">
        <f t="shared" si="2912"/>
        <v>40.48571429</v>
      </c>
      <c r="AS932" s="9">
        <f t="shared" si="2233"/>
        <v>82.09387755</v>
      </c>
      <c r="AT932" s="9">
        <f t="shared" ref="AT932:AV932" si="2913">AJ932/$AF932</f>
        <v>12.20918367</v>
      </c>
      <c r="AU932" s="9">
        <f t="shared" si="2913"/>
        <v>5.760204082</v>
      </c>
      <c r="AV932" s="9">
        <f t="shared" si="2913"/>
        <v>2.206122449</v>
      </c>
      <c r="AW932" s="9">
        <f t="shared" si="2235"/>
        <v>7.966326531</v>
      </c>
      <c r="AX932" s="9">
        <f t="shared" ref="AX932:AY932" si="2914">AM932/$AF932</f>
        <v>1.081632653</v>
      </c>
      <c r="AY932" s="9">
        <f t="shared" si="2914"/>
        <v>0.4183673469</v>
      </c>
      <c r="AZ932" s="9">
        <f>VLOOKUP(A932,Jogos!A:BN,58,0)</f>
        <v>26.665</v>
      </c>
      <c r="BA932" s="9">
        <f>VLOOKUP(A932,Jogos!A:BN,59,0)</f>
        <v>20.325</v>
      </c>
      <c r="BB932" s="9">
        <f>VLOOKUP(A932,Jogos!A:BN,60,0)</f>
        <v>68</v>
      </c>
      <c r="BC932" s="9">
        <f>VLOOKUP(A932,Jogos!A:BN,61,0)</f>
        <v>25.28</v>
      </c>
      <c r="BD932" s="9">
        <f>VLOOKUP(A932,Jogos!A:BN,62,0)</f>
        <v>0</v>
      </c>
      <c r="BE932" s="9">
        <f>VLOOKUP(A932,Jogos!A:BN,63,0)</f>
        <v>1.175</v>
      </c>
      <c r="BF932" s="9">
        <f>VLOOKUP(A932,Jogos!A:BN,64,0)</f>
        <v>23.44</v>
      </c>
      <c r="BG932" s="9">
        <f>VLOOKUP(A932,Jogos!A:BN,65,0)</f>
        <v>41.145</v>
      </c>
      <c r="BH932" s="9">
        <f>VLOOKUP(A932,Jogos!A:BN,66,0)</f>
        <v>27.3</v>
      </c>
      <c r="BI932" s="9"/>
      <c r="BJ932" s="9"/>
    </row>
    <row r="933" hidden="1">
      <c r="A933" s="2">
        <v>32.0</v>
      </c>
      <c r="B933" s="11" t="s">
        <v>809</v>
      </c>
      <c r="C933" s="2" t="s">
        <v>61</v>
      </c>
      <c r="D933" s="3">
        <v>45830.0</v>
      </c>
      <c r="E933" s="4">
        <v>0.875</v>
      </c>
      <c r="F933" s="5" t="str">
        <f>VLOOKUP(A933,Jogos!A:N,10,0)</f>
        <v>Evening</v>
      </c>
      <c r="G933" s="2" t="s">
        <v>376</v>
      </c>
      <c r="H933" s="6" t="str">
        <f>VLOOKUP(A933,Jogos!A:L,12,0)</f>
        <v>Closed</v>
      </c>
      <c r="I933" s="6" t="str">
        <f>VLOOKUP(G933,'Estádios e Cidades'!A:B,2,0)</f>
        <v>Atlanta</v>
      </c>
      <c r="J933" s="2" t="s">
        <v>810</v>
      </c>
      <c r="K933" s="2" t="str">
        <f>VLOOKUP(J933,Equipes!A:F,6,0)</f>
        <v>Temperate</v>
      </c>
      <c r="L933" s="2">
        <f>VLOOKUP(J933,Equipes!A:C,3,0)</f>
        <v>9</v>
      </c>
      <c r="M933" s="2" t="str">
        <f t="shared" si="4"/>
        <v>Round of 16</v>
      </c>
      <c r="N933" s="2" t="s">
        <v>998</v>
      </c>
      <c r="O933" s="2">
        <f>VLOOKUP(N933,Equipes!A:C,3,0)</f>
        <v>22</v>
      </c>
      <c r="P933" s="2" t="str">
        <f t="shared" si="5"/>
        <v>Group</v>
      </c>
      <c r="Q933" s="2">
        <f t="shared" si="6"/>
        <v>-13</v>
      </c>
      <c r="R933" s="2" t="str">
        <f>VLOOKUP(J933,Equipes!A:B,2,0)</f>
        <v>City</v>
      </c>
      <c r="S933" s="6" t="s">
        <v>838</v>
      </c>
      <c r="T933" s="7">
        <v>27.0</v>
      </c>
      <c r="U933" s="7" t="s">
        <v>839</v>
      </c>
      <c r="V933" s="7" t="str">
        <f>VLOOKUP(U933,Jogadores!B:C,2,0)</f>
        <v>MF</v>
      </c>
      <c r="W933" s="8">
        <f>VLOOKUP(U933,Jogadores!B:D,3,0)</f>
        <v>26.9369863</v>
      </c>
      <c r="X933" s="7">
        <v>0.0</v>
      </c>
      <c r="Y933" s="7">
        <f t="shared" si="2915"/>
        <v>93</v>
      </c>
      <c r="Z933" s="7">
        <f>VLOOKUP(A933,Jogos!A:L,3,0)</f>
        <v>50</v>
      </c>
      <c r="AA933" s="7">
        <f t="shared" si="2229"/>
        <v>50</v>
      </c>
      <c r="AB933" s="7">
        <f>VLOOKUP(A933,Jogos!A:L,4,0)</f>
        <v>48</v>
      </c>
      <c r="AC933" s="7">
        <f t="shared" si="2230"/>
        <v>48</v>
      </c>
      <c r="AD933" s="7"/>
      <c r="AE933" s="7"/>
      <c r="AF933" s="7">
        <f t="shared" si="2231"/>
        <v>98</v>
      </c>
      <c r="AG933" s="7">
        <v>10620.2</v>
      </c>
      <c r="AH933" s="7">
        <v>3966.2</v>
      </c>
      <c r="AI933" s="7">
        <v>4358.8</v>
      </c>
      <c r="AJ933" s="7">
        <v>1327.0</v>
      </c>
      <c r="AK933" s="7">
        <v>637.9</v>
      </c>
      <c r="AL933" s="7">
        <v>330.2</v>
      </c>
      <c r="AM933" s="7">
        <v>120.0</v>
      </c>
      <c r="AN933" s="7">
        <v>50.0</v>
      </c>
      <c r="AO933" s="7">
        <v>32.7</v>
      </c>
      <c r="AP933" s="9">
        <f t="shared" ref="AP933:AR933" si="2916">AG933/$AF933</f>
        <v>108.3693878</v>
      </c>
      <c r="AQ933" s="9">
        <f t="shared" si="2916"/>
        <v>40.47142857</v>
      </c>
      <c r="AR933" s="9">
        <f t="shared" si="2916"/>
        <v>44.47755102</v>
      </c>
      <c r="AS933" s="9">
        <f t="shared" si="2233"/>
        <v>84.94897959</v>
      </c>
      <c r="AT933" s="9">
        <f t="shared" ref="AT933:AV933" si="2917">AJ933/$AF933</f>
        <v>13.54081633</v>
      </c>
      <c r="AU933" s="9">
        <f t="shared" si="2917"/>
        <v>6.509183673</v>
      </c>
      <c r="AV933" s="9">
        <f t="shared" si="2917"/>
        <v>3.369387755</v>
      </c>
      <c r="AW933" s="9">
        <f t="shared" si="2235"/>
        <v>9.878571429</v>
      </c>
      <c r="AX933" s="9">
        <f t="shared" ref="AX933:AY933" si="2918">AM933/$AF933</f>
        <v>1.224489796</v>
      </c>
      <c r="AY933" s="9">
        <f t="shared" si="2918"/>
        <v>0.5102040816</v>
      </c>
      <c r="AZ933" s="9">
        <f>VLOOKUP(A933,Jogos!A:BN,58,0)</f>
        <v>26.665</v>
      </c>
      <c r="BA933" s="9">
        <f>VLOOKUP(A933,Jogos!A:BN,59,0)</f>
        <v>20.325</v>
      </c>
      <c r="BB933" s="9">
        <f>VLOOKUP(A933,Jogos!A:BN,60,0)</f>
        <v>68</v>
      </c>
      <c r="BC933" s="9">
        <f>VLOOKUP(A933,Jogos!A:BN,61,0)</f>
        <v>25.28</v>
      </c>
      <c r="BD933" s="9">
        <f>VLOOKUP(A933,Jogos!A:BN,62,0)</f>
        <v>0</v>
      </c>
      <c r="BE933" s="9">
        <f>VLOOKUP(A933,Jogos!A:BN,63,0)</f>
        <v>1.175</v>
      </c>
      <c r="BF933" s="9">
        <f>VLOOKUP(A933,Jogos!A:BN,64,0)</f>
        <v>23.44</v>
      </c>
      <c r="BG933" s="9">
        <f>VLOOKUP(A933,Jogos!A:BN,65,0)</f>
        <v>41.145</v>
      </c>
      <c r="BH933" s="9">
        <f>VLOOKUP(A933,Jogos!A:BN,66,0)</f>
        <v>27.3</v>
      </c>
      <c r="BI933" s="9"/>
      <c r="BJ933" s="9"/>
    </row>
    <row r="934" hidden="1">
      <c r="A934" s="2">
        <v>32.0</v>
      </c>
      <c r="B934" s="11" t="s">
        <v>809</v>
      </c>
      <c r="C934" s="2" t="s">
        <v>61</v>
      </c>
      <c r="D934" s="3">
        <v>45830.0</v>
      </c>
      <c r="E934" s="4">
        <v>0.875</v>
      </c>
      <c r="F934" s="5" t="str">
        <f>VLOOKUP(A934,Jogos!A:N,10,0)</f>
        <v>Evening</v>
      </c>
      <c r="G934" s="2" t="s">
        <v>376</v>
      </c>
      <c r="H934" s="6" t="str">
        <f>VLOOKUP(A934,Jogos!A:L,12,0)</f>
        <v>Closed</v>
      </c>
      <c r="I934" s="6" t="str">
        <f>VLOOKUP(G934,'Estádios e Cidades'!A:B,2,0)</f>
        <v>Atlanta</v>
      </c>
      <c r="J934" s="2" t="s">
        <v>810</v>
      </c>
      <c r="K934" s="2" t="str">
        <f>VLOOKUP(J934,Equipes!A:F,6,0)</f>
        <v>Temperate</v>
      </c>
      <c r="L934" s="2">
        <f>VLOOKUP(J934,Equipes!A:C,3,0)</f>
        <v>9</v>
      </c>
      <c r="M934" s="2" t="str">
        <f t="shared" si="4"/>
        <v>Round of 16</v>
      </c>
      <c r="N934" s="2" t="s">
        <v>998</v>
      </c>
      <c r="O934" s="2">
        <f>VLOOKUP(N934,Equipes!A:C,3,0)</f>
        <v>22</v>
      </c>
      <c r="P934" s="2" t="str">
        <f t="shared" si="5"/>
        <v>Group</v>
      </c>
      <c r="Q934" s="2">
        <f t="shared" si="6"/>
        <v>-13</v>
      </c>
      <c r="R934" s="2" t="str">
        <f>VLOOKUP(J934,Equipes!A:B,2,0)</f>
        <v>City</v>
      </c>
      <c r="S934" s="6" t="s">
        <v>1225</v>
      </c>
      <c r="T934" s="7">
        <v>30.0</v>
      </c>
      <c r="U934" s="7" t="s">
        <v>1226</v>
      </c>
      <c r="V934" s="7" t="str">
        <f>VLOOKUP(U934,Jogadores!B:C,2,0)</f>
        <v>MF</v>
      </c>
      <c r="W934" s="8">
        <f>VLOOKUP(U934,Jogadores!B:D,3,0)</f>
        <v>19.58082192</v>
      </c>
      <c r="X934" s="7">
        <v>0.0</v>
      </c>
      <c r="Y934" s="7">
        <v>45.0</v>
      </c>
      <c r="Z934" s="7">
        <f>VLOOKUP(A934,Jogos!A:L,3,0)</f>
        <v>50</v>
      </c>
      <c r="AA934" s="7">
        <f t="shared" si="2229"/>
        <v>50</v>
      </c>
      <c r="AB934" s="7">
        <f>VLOOKUP(A934,Jogos!A:L,4,0)</f>
        <v>48</v>
      </c>
      <c r="AC934" s="7">
        <f t="shared" si="2230"/>
        <v>0</v>
      </c>
      <c r="AD934" s="7"/>
      <c r="AE934" s="7"/>
      <c r="AF934" s="7">
        <f t="shared" si="2231"/>
        <v>50</v>
      </c>
      <c r="AG934" s="7">
        <v>5561.8</v>
      </c>
      <c r="AH934" s="7">
        <v>1802.9</v>
      </c>
      <c r="AI934" s="7">
        <v>2465.5</v>
      </c>
      <c r="AJ934" s="7">
        <v>955.4</v>
      </c>
      <c r="AK934" s="7">
        <v>295.8</v>
      </c>
      <c r="AL934" s="7">
        <v>42.2</v>
      </c>
      <c r="AM934" s="7">
        <v>80.0</v>
      </c>
      <c r="AN934" s="7">
        <v>22.0</v>
      </c>
      <c r="AO934" s="7">
        <v>30.0</v>
      </c>
      <c r="AP934" s="9">
        <f t="shared" ref="AP934:AR934" si="2919">AG934/$AF934</f>
        <v>111.236</v>
      </c>
      <c r="AQ934" s="9">
        <f t="shared" si="2919"/>
        <v>36.058</v>
      </c>
      <c r="AR934" s="9">
        <f t="shared" si="2919"/>
        <v>49.31</v>
      </c>
      <c r="AS934" s="9">
        <f t="shared" si="2233"/>
        <v>85.368</v>
      </c>
      <c r="AT934" s="9">
        <f t="shared" ref="AT934:AV934" si="2920">AJ934/$AF934</f>
        <v>19.108</v>
      </c>
      <c r="AU934" s="9">
        <f t="shared" si="2920"/>
        <v>5.916</v>
      </c>
      <c r="AV934" s="9">
        <f t="shared" si="2920"/>
        <v>0.844</v>
      </c>
      <c r="AW934" s="9">
        <f t="shared" si="2235"/>
        <v>6.76</v>
      </c>
      <c r="AX934" s="9">
        <f t="shared" ref="AX934:AY934" si="2921">AM934/$AF934</f>
        <v>1.6</v>
      </c>
      <c r="AY934" s="9">
        <f t="shared" si="2921"/>
        <v>0.44</v>
      </c>
      <c r="AZ934" s="9">
        <f>VLOOKUP(A934,Jogos!A:BN,58,0)</f>
        <v>26.665</v>
      </c>
      <c r="BA934" s="9">
        <f>VLOOKUP(A934,Jogos!A:BN,59,0)</f>
        <v>20.325</v>
      </c>
      <c r="BB934" s="9">
        <f>VLOOKUP(A934,Jogos!A:BN,60,0)</f>
        <v>68</v>
      </c>
      <c r="BC934" s="9">
        <f>VLOOKUP(A934,Jogos!A:BN,61,0)</f>
        <v>25.28</v>
      </c>
      <c r="BD934" s="9">
        <f>VLOOKUP(A934,Jogos!A:BN,62,0)</f>
        <v>0</v>
      </c>
      <c r="BE934" s="9">
        <f>VLOOKUP(A934,Jogos!A:BN,63,0)</f>
        <v>1.175</v>
      </c>
      <c r="BF934" s="9">
        <f>VLOOKUP(A934,Jogos!A:BN,64,0)</f>
        <v>23.44</v>
      </c>
      <c r="BG934" s="9">
        <f>VLOOKUP(A934,Jogos!A:BN,65,0)</f>
        <v>41.145</v>
      </c>
      <c r="BH934" s="9">
        <f>VLOOKUP(A934,Jogos!A:BN,66,0)</f>
        <v>27.3</v>
      </c>
      <c r="BI934" s="9"/>
      <c r="BJ934" s="9"/>
    </row>
    <row r="935" hidden="1">
      <c r="A935" s="2">
        <v>32.0</v>
      </c>
      <c r="B935" s="11" t="s">
        <v>809</v>
      </c>
      <c r="C935" s="2" t="s">
        <v>61</v>
      </c>
      <c r="D935" s="3">
        <v>45830.0</v>
      </c>
      <c r="E935" s="4">
        <v>0.875</v>
      </c>
      <c r="F935" s="5" t="str">
        <f>VLOOKUP(A935,Jogos!A:N,10,0)</f>
        <v>Evening</v>
      </c>
      <c r="G935" s="2" t="s">
        <v>376</v>
      </c>
      <c r="H935" s="6" t="str">
        <f>VLOOKUP(A935,Jogos!A:L,12,0)</f>
        <v>Closed</v>
      </c>
      <c r="I935" s="6" t="str">
        <f>VLOOKUP(G935,'Estádios e Cidades'!A:B,2,0)</f>
        <v>Atlanta</v>
      </c>
      <c r="J935" s="2" t="s">
        <v>810</v>
      </c>
      <c r="K935" s="2" t="str">
        <f>VLOOKUP(J935,Equipes!A:F,6,0)</f>
        <v>Temperate</v>
      </c>
      <c r="L935" s="2">
        <f>VLOOKUP(J935,Equipes!A:C,3,0)</f>
        <v>9</v>
      </c>
      <c r="M935" s="2" t="str">
        <f t="shared" si="4"/>
        <v>Round of 16</v>
      </c>
      <c r="N935" s="2" t="s">
        <v>998</v>
      </c>
      <c r="O935" s="2">
        <f>VLOOKUP(N935,Equipes!A:C,3,0)</f>
        <v>22</v>
      </c>
      <c r="P935" s="2" t="str">
        <f t="shared" si="5"/>
        <v>Group</v>
      </c>
      <c r="Q935" s="2">
        <f t="shared" si="6"/>
        <v>-13</v>
      </c>
      <c r="R935" s="2" t="str">
        <f>VLOOKUP(J935,Equipes!A:B,2,0)</f>
        <v>City</v>
      </c>
      <c r="S935" s="6" t="s">
        <v>1227</v>
      </c>
      <c r="T935" s="7">
        <v>45.0</v>
      </c>
      <c r="U935" s="7" t="s">
        <v>1228</v>
      </c>
      <c r="V935" s="7" t="str">
        <f>VLOOKUP(U935,Jogadores!B:C,2,0)</f>
        <v>DF</v>
      </c>
      <c r="W935" s="8">
        <f>VLOOKUP(U935,Jogadores!B:D,3,0)</f>
        <v>21.42465753</v>
      </c>
      <c r="X935" s="7">
        <v>0.0</v>
      </c>
      <c r="Y935" s="7">
        <v>61.0</v>
      </c>
      <c r="Z935" s="7">
        <f>VLOOKUP(A935,Jogos!A:L,3,0)</f>
        <v>50</v>
      </c>
      <c r="AA935" s="7">
        <f t="shared" si="2229"/>
        <v>50</v>
      </c>
      <c r="AB935" s="7">
        <f>VLOOKUP(A935,Jogos!A:L,4,0)</f>
        <v>48</v>
      </c>
      <c r="AC935" s="7">
        <f t="shared" si="2230"/>
        <v>16</v>
      </c>
      <c r="AD935" s="7"/>
      <c r="AE935" s="7"/>
      <c r="AF935" s="7">
        <f t="shared" si="2231"/>
        <v>66</v>
      </c>
      <c r="AG935" s="7">
        <v>6562.6</v>
      </c>
      <c r="AH935" s="7">
        <v>2704.6</v>
      </c>
      <c r="AI935" s="7">
        <v>2740.4</v>
      </c>
      <c r="AJ935" s="7">
        <v>713.8</v>
      </c>
      <c r="AK935" s="7">
        <v>248.0</v>
      </c>
      <c r="AL935" s="7">
        <v>155.9</v>
      </c>
      <c r="AM935" s="7">
        <v>63.0</v>
      </c>
      <c r="AN935" s="7">
        <v>26.0</v>
      </c>
      <c r="AO935" s="7">
        <v>32.6</v>
      </c>
      <c r="AP935" s="9">
        <f t="shared" ref="AP935:AR935" si="2922">AG935/$AF935</f>
        <v>99.43333333</v>
      </c>
      <c r="AQ935" s="9">
        <f t="shared" si="2922"/>
        <v>40.97878788</v>
      </c>
      <c r="AR935" s="9">
        <f t="shared" si="2922"/>
        <v>41.52121212</v>
      </c>
      <c r="AS935" s="9">
        <f t="shared" si="2233"/>
        <v>82.5</v>
      </c>
      <c r="AT935" s="9">
        <f t="shared" ref="AT935:AV935" si="2923">AJ935/$AF935</f>
        <v>10.81515152</v>
      </c>
      <c r="AU935" s="9">
        <f t="shared" si="2923"/>
        <v>3.757575758</v>
      </c>
      <c r="AV935" s="9">
        <f t="shared" si="2923"/>
        <v>2.362121212</v>
      </c>
      <c r="AW935" s="9">
        <f t="shared" si="2235"/>
        <v>6.11969697</v>
      </c>
      <c r="AX935" s="9">
        <f t="shared" ref="AX935:AY935" si="2924">AM935/$AF935</f>
        <v>0.9545454545</v>
      </c>
      <c r="AY935" s="9">
        <f t="shared" si="2924"/>
        <v>0.3939393939</v>
      </c>
      <c r="AZ935" s="9">
        <f>VLOOKUP(A935,Jogos!A:BN,58,0)</f>
        <v>26.665</v>
      </c>
      <c r="BA935" s="9">
        <f>VLOOKUP(A935,Jogos!A:BN,59,0)</f>
        <v>20.325</v>
      </c>
      <c r="BB935" s="9">
        <f>VLOOKUP(A935,Jogos!A:BN,60,0)</f>
        <v>68</v>
      </c>
      <c r="BC935" s="9">
        <f>VLOOKUP(A935,Jogos!A:BN,61,0)</f>
        <v>25.28</v>
      </c>
      <c r="BD935" s="9">
        <f>VLOOKUP(A935,Jogos!A:BN,62,0)</f>
        <v>0</v>
      </c>
      <c r="BE935" s="9">
        <f>VLOOKUP(A935,Jogos!A:BN,63,0)</f>
        <v>1.175</v>
      </c>
      <c r="BF935" s="9">
        <f>VLOOKUP(A935,Jogos!A:BN,64,0)</f>
        <v>23.44</v>
      </c>
      <c r="BG935" s="9">
        <f>VLOOKUP(A935,Jogos!A:BN,65,0)</f>
        <v>41.145</v>
      </c>
      <c r="BH935" s="9">
        <f>VLOOKUP(A935,Jogos!A:BN,66,0)</f>
        <v>27.3</v>
      </c>
      <c r="BI935" s="9"/>
      <c r="BJ935" s="9"/>
    </row>
    <row r="936" hidden="1">
      <c r="A936" s="2">
        <v>32.0</v>
      </c>
      <c r="B936" s="11" t="s">
        <v>809</v>
      </c>
      <c r="C936" s="2" t="s">
        <v>61</v>
      </c>
      <c r="D936" s="3">
        <v>45830.0</v>
      </c>
      <c r="E936" s="4">
        <v>0.875</v>
      </c>
      <c r="F936" s="5" t="str">
        <f>VLOOKUP(A936,Jogos!A:N,10,0)</f>
        <v>Evening</v>
      </c>
      <c r="G936" s="2" t="s">
        <v>376</v>
      </c>
      <c r="H936" s="6" t="str">
        <f>VLOOKUP(A936,Jogos!A:L,12,0)</f>
        <v>Closed</v>
      </c>
      <c r="I936" s="6" t="str">
        <f>VLOOKUP(G936,'Estádios e Cidades'!A:B,2,0)</f>
        <v>Atlanta</v>
      </c>
      <c r="J936" s="2" t="s">
        <v>810</v>
      </c>
      <c r="K936" s="2" t="str">
        <f>VLOOKUP(J936,Equipes!A:F,6,0)</f>
        <v>Temperate</v>
      </c>
      <c r="L936" s="2">
        <f>VLOOKUP(J936,Equipes!A:C,3,0)</f>
        <v>9</v>
      </c>
      <c r="M936" s="2" t="str">
        <f t="shared" si="4"/>
        <v>Round of 16</v>
      </c>
      <c r="N936" s="2" t="s">
        <v>998</v>
      </c>
      <c r="O936" s="2">
        <f>VLOOKUP(N936,Equipes!A:C,3,0)</f>
        <v>22</v>
      </c>
      <c r="P936" s="2" t="str">
        <f t="shared" si="5"/>
        <v>Group</v>
      </c>
      <c r="Q936" s="2">
        <f t="shared" si="6"/>
        <v>-13</v>
      </c>
      <c r="R936" s="2" t="str">
        <f>VLOOKUP(J936,Equipes!A:B,2,0)</f>
        <v>City</v>
      </c>
      <c r="S936" s="6" t="s">
        <v>1229</v>
      </c>
      <c r="T936" s="7">
        <v>3.0</v>
      </c>
      <c r="U936" s="7" t="s">
        <v>1230</v>
      </c>
      <c r="V936" s="7" t="str">
        <f>VLOOKUP(U936,Jogadores!B:C,2,0)</f>
        <v>DF</v>
      </c>
      <c r="W936" s="8">
        <f>VLOOKUP(U936,Jogadores!B:D,3,0)</f>
        <v>28.22465753</v>
      </c>
      <c r="X936" s="7">
        <v>74.0</v>
      </c>
      <c r="Y936" s="7">
        <f t="shared" ref="Y936:Y941" si="2928">45+AB936</f>
        <v>93</v>
      </c>
      <c r="Z936" s="7">
        <f>VLOOKUP(A936,Jogos!A:L,3,0)</f>
        <v>50</v>
      </c>
      <c r="AA936" s="7">
        <f t="shared" si="2229"/>
        <v>0</v>
      </c>
      <c r="AB936" s="7">
        <f>VLOOKUP(A936,Jogos!A:L,4,0)</f>
        <v>48</v>
      </c>
      <c r="AC936" s="7">
        <f t="shared" si="2230"/>
        <v>19</v>
      </c>
      <c r="AD936" s="7"/>
      <c r="AE936" s="7"/>
      <c r="AF936" s="7">
        <f t="shared" si="2231"/>
        <v>19</v>
      </c>
      <c r="AG936" s="7">
        <v>2631.1</v>
      </c>
      <c r="AH936" s="7">
        <v>774.8</v>
      </c>
      <c r="AI936" s="7">
        <v>1207.0</v>
      </c>
      <c r="AJ936" s="7">
        <v>381.9</v>
      </c>
      <c r="AK936" s="7">
        <v>153.7</v>
      </c>
      <c r="AL936" s="7">
        <v>113.7</v>
      </c>
      <c r="AM936" s="7">
        <v>30.0</v>
      </c>
      <c r="AN936" s="7">
        <v>13.0</v>
      </c>
      <c r="AO936" s="7">
        <v>29.9</v>
      </c>
      <c r="AP936" s="9">
        <f t="shared" ref="AP936:AR936" si="2925">AG936/$AF936</f>
        <v>138.4789474</v>
      </c>
      <c r="AQ936" s="9">
        <f t="shared" si="2925"/>
        <v>40.77894737</v>
      </c>
      <c r="AR936" s="9">
        <f t="shared" si="2925"/>
        <v>63.52631579</v>
      </c>
      <c r="AS936" s="9">
        <f t="shared" si="2233"/>
        <v>104.3052632</v>
      </c>
      <c r="AT936" s="9">
        <f t="shared" ref="AT936:AV936" si="2926">AJ936/$AF936</f>
        <v>20.1</v>
      </c>
      <c r="AU936" s="9">
        <f t="shared" si="2926"/>
        <v>8.089473684</v>
      </c>
      <c r="AV936" s="9">
        <f t="shared" si="2926"/>
        <v>5.984210526</v>
      </c>
      <c r="AW936" s="9">
        <f t="shared" si="2235"/>
        <v>14.07368421</v>
      </c>
      <c r="AX936" s="9">
        <f t="shared" ref="AX936:AY936" si="2927">AM936/$AF936</f>
        <v>1.578947368</v>
      </c>
      <c r="AY936" s="9">
        <f t="shared" si="2927"/>
        <v>0.6842105263</v>
      </c>
      <c r="AZ936" s="9">
        <f>VLOOKUP(A936,Jogos!A:BN,58,0)</f>
        <v>26.665</v>
      </c>
      <c r="BA936" s="9">
        <f>VLOOKUP(A936,Jogos!A:BN,59,0)</f>
        <v>20.325</v>
      </c>
      <c r="BB936" s="9">
        <f>VLOOKUP(A936,Jogos!A:BN,60,0)</f>
        <v>68</v>
      </c>
      <c r="BC936" s="9">
        <f>VLOOKUP(A936,Jogos!A:BN,61,0)</f>
        <v>25.28</v>
      </c>
      <c r="BD936" s="9">
        <f>VLOOKUP(A936,Jogos!A:BN,62,0)</f>
        <v>0</v>
      </c>
      <c r="BE936" s="9">
        <f>VLOOKUP(A936,Jogos!A:BN,63,0)</f>
        <v>1.175</v>
      </c>
      <c r="BF936" s="9">
        <f>VLOOKUP(A936,Jogos!A:BN,64,0)</f>
        <v>23.44</v>
      </c>
      <c r="BG936" s="9">
        <f>VLOOKUP(A936,Jogos!A:BN,65,0)</f>
        <v>41.145</v>
      </c>
      <c r="BH936" s="9">
        <f>VLOOKUP(A936,Jogos!A:BN,66,0)</f>
        <v>27.3</v>
      </c>
      <c r="BI936" s="9"/>
      <c r="BJ936" s="9"/>
    </row>
    <row r="937" hidden="1">
      <c r="A937" s="2">
        <v>32.0</v>
      </c>
      <c r="B937" s="11" t="s">
        <v>809</v>
      </c>
      <c r="C937" s="2" t="s">
        <v>61</v>
      </c>
      <c r="D937" s="3">
        <v>45830.0</v>
      </c>
      <c r="E937" s="4">
        <v>0.875</v>
      </c>
      <c r="F937" s="5" t="str">
        <f>VLOOKUP(A937,Jogos!A:N,10,0)</f>
        <v>Evening</v>
      </c>
      <c r="G937" s="2" t="s">
        <v>376</v>
      </c>
      <c r="H937" s="6" t="str">
        <f>VLOOKUP(A937,Jogos!A:L,12,0)</f>
        <v>Closed</v>
      </c>
      <c r="I937" s="6" t="str">
        <f>VLOOKUP(G937,'Estádios e Cidades'!A:B,2,0)</f>
        <v>Atlanta</v>
      </c>
      <c r="J937" s="2" t="s">
        <v>810</v>
      </c>
      <c r="K937" s="2" t="str">
        <f>VLOOKUP(J937,Equipes!A:F,6,0)</f>
        <v>Temperate</v>
      </c>
      <c r="L937" s="2">
        <f>VLOOKUP(J937,Equipes!A:C,3,0)</f>
        <v>9</v>
      </c>
      <c r="M937" s="2" t="str">
        <f t="shared" si="4"/>
        <v>Round of 16</v>
      </c>
      <c r="N937" s="2" t="s">
        <v>998</v>
      </c>
      <c r="O937" s="2">
        <f>VLOOKUP(N937,Equipes!A:C,3,0)</f>
        <v>22</v>
      </c>
      <c r="P937" s="2" t="str">
        <f t="shared" si="5"/>
        <v>Group</v>
      </c>
      <c r="Q937" s="2">
        <f t="shared" si="6"/>
        <v>-13</v>
      </c>
      <c r="R937" s="2" t="str">
        <f>VLOOKUP(J937,Equipes!A:B,2,0)</f>
        <v>City</v>
      </c>
      <c r="S937" s="6" t="s">
        <v>834</v>
      </c>
      <c r="T937" s="7">
        <v>16.0</v>
      </c>
      <c r="U937" s="7" t="s">
        <v>835</v>
      </c>
      <c r="V937" s="7" t="str">
        <f>VLOOKUP(U937,Jogadores!B:C,2,0)</f>
        <v>MF</v>
      </c>
      <c r="W937" s="8">
        <f>VLOOKUP(U937,Jogadores!B:D,3,0)</f>
        <v>29.11780822</v>
      </c>
      <c r="X937" s="7">
        <v>61.0</v>
      </c>
      <c r="Y937" s="7">
        <f t="shared" si="2928"/>
        <v>93</v>
      </c>
      <c r="Z937" s="7">
        <f>VLOOKUP(A937,Jogos!A:L,3,0)</f>
        <v>50</v>
      </c>
      <c r="AA937" s="7">
        <f t="shared" si="2229"/>
        <v>0</v>
      </c>
      <c r="AB937" s="7">
        <f>VLOOKUP(A937,Jogos!A:L,4,0)</f>
        <v>48</v>
      </c>
      <c r="AC937" s="7">
        <f t="shared" si="2230"/>
        <v>32</v>
      </c>
      <c r="AD937" s="7"/>
      <c r="AE937" s="7"/>
      <c r="AF937" s="7">
        <f t="shared" si="2231"/>
        <v>32</v>
      </c>
      <c r="AG937" s="7">
        <v>4430.2</v>
      </c>
      <c r="AH937" s="7">
        <v>1152.1</v>
      </c>
      <c r="AI937" s="7">
        <v>2201.2</v>
      </c>
      <c r="AJ937" s="7">
        <v>823.2</v>
      </c>
      <c r="AK937" s="7">
        <v>204.0</v>
      </c>
      <c r="AL937" s="7">
        <v>49.7</v>
      </c>
      <c r="AM937" s="7">
        <v>75.0</v>
      </c>
      <c r="AN937" s="7">
        <v>15.0</v>
      </c>
      <c r="AO937" s="7">
        <v>28.3</v>
      </c>
      <c r="AP937" s="9">
        <f t="shared" ref="AP937:AR937" si="2929">AG937/$AF937</f>
        <v>138.44375</v>
      </c>
      <c r="AQ937" s="9">
        <f t="shared" si="2929"/>
        <v>36.003125</v>
      </c>
      <c r="AR937" s="9">
        <f t="shared" si="2929"/>
        <v>68.7875</v>
      </c>
      <c r="AS937" s="9">
        <f t="shared" si="2233"/>
        <v>104.790625</v>
      </c>
      <c r="AT937" s="9">
        <f t="shared" ref="AT937:AV937" si="2930">AJ937/$AF937</f>
        <v>25.725</v>
      </c>
      <c r="AU937" s="9">
        <f t="shared" si="2930"/>
        <v>6.375</v>
      </c>
      <c r="AV937" s="9">
        <f t="shared" si="2930"/>
        <v>1.553125</v>
      </c>
      <c r="AW937" s="9">
        <f t="shared" si="2235"/>
        <v>7.928125</v>
      </c>
      <c r="AX937" s="9">
        <f t="shared" ref="AX937:AY937" si="2931">AM937/$AF937</f>
        <v>2.34375</v>
      </c>
      <c r="AY937" s="9">
        <f t="shared" si="2931"/>
        <v>0.46875</v>
      </c>
      <c r="AZ937" s="9">
        <f>VLOOKUP(A937,Jogos!A:BN,58,0)</f>
        <v>26.665</v>
      </c>
      <c r="BA937" s="9">
        <f>VLOOKUP(A937,Jogos!A:BN,59,0)</f>
        <v>20.325</v>
      </c>
      <c r="BB937" s="9">
        <f>VLOOKUP(A937,Jogos!A:BN,60,0)</f>
        <v>68</v>
      </c>
      <c r="BC937" s="9">
        <f>VLOOKUP(A937,Jogos!A:BN,61,0)</f>
        <v>25.28</v>
      </c>
      <c r="BD937" s="9">
        <f>VLOOKUP(A937,Jogos!A:BN,62,0)</f>
        <v>0</v>
      </c>
      <c r="BE937" s="9">
        <f>VLOOKUP(A937,Jogos!A:BN,63,0)</f>
        <v>1.175</v>
      </c>
      <c r="BF937" s="9">
        <f>VLOOKUP(A937,Jogos!A:BN,64,0)</f>
        <v>23.44</v>
      </c>
      <c r="BG937" s="9">
        <f>VLOOKUP(A937,Jogos!A:BN,65,0)</f>
        <v>41.145</v>
      </c>
      <c r="BH937" s="9">
        <f>VLOOKUP(A937,Jogos!A:BN,66,0)</f>
        <v>27.3</v>
      </c>
      <c r="BI937" s="9"/>
      <c r="BJ937" s="9"/>
    </row>
    <row r="938" hidden="1">
      <c r="A938" s="2">
        <v>32.0</v>
      </c>
      <c r="B938" s="11" t="s">
        <v>809</v>
      </c>
      <c r="C938" s="2" t="s">
        <v>61</v>
      </c>
      <c r="D938" s="3">
        <v>45830.0</v>
      </c>
      <c r="E938" s="4">
        <v>0.875</v>
      </c>
      <c r="F938" s="5" t="str">
        <f>VLOOKUP(A938,Jogos!A:N,10,0)</f>
        <v>Evening</v>
      </c>
      <c r="G938" s="2" t="s">
        <v>376</v>
      </c>
      <c r="H938" s="6" t="str">
        <f>VLOOKUP(A938,Jogos!A:L,12,0)</f>
        <v>Closed</v>
      </c>
      <c r="I938" s="6" t="str">
        <f>VLOOKUP(G938,'Estádios e Cidades'!A:B,2,0)</f>
        <v>Atlanta</v>
      </c>
      <c r="J938" s="2" t="s">
        <v>810</v>
      </c>
      <c r="K938" s="2" t="str">
        <f>VLOOKUP(J938,Equipes!A:F,6,0)</f>
        <v>Temperate</v>
      </c>
      <c r="L938" s="2">
        <f>VLOOKUP(J938,Equipes!A:C,3,0)</f>
        <v>9</v>
      </c>
      <c r="M938" s="2" t="str">
        <f t="shared" si="4"/>
        <v>Round of 16</v>
      </c>
      <c r="N938" s="2" t="s">
        <v>998</v>
      </c>
      <c r="O938" s="2">
        <f>VLOOKUP(N938,Equipes!A:C,3,0)</f>
        <v>22</v>
      </c>
      <c r="P938" s="2" t="str">
        <f t="shared" si="5"/>
        <v>Group</v>
      </c>
      <c r="Q938" s="2">
        <f t="shared" si="6"/>
        <v>-13</v>
      </c>
      <c r="R938" s="2" t="str">
        <f>VLOOKUP(J938,Equipes!A:B,2,0)</f>
        <v>City</v>
      </c>
      <c r="S938" s="6" t="s">
        <v>824</v>
      </c>
      <c r="T938" s="7">
        <v>29.0</v>
      </c>
      <c r="U938" s="7" t="s">
        <v>825</v>
      </c>
      <c r="V938" s="7" t="str">
        <f>VLOOKUP(U938,Jogadores!B:C,2,0)</f>
        <v>MF</v>
      </c>
      <c r="W938" s="8">
        <f>VLOOKUP(U938,Jogadores!B:D,3,0)</f>
        <v>21.96164384</v>
      </c>
      <c r="X938" s="7">
        <v>74.0</v>
      </c>
      <c r="Y938" s="7">
        <f t="shared" si="2928"/>
        <v>93</v>
      </c>
      <c r="Z938" s="7">
        <f>VLOOKUP(A938,Jogos!A:L,3,0)</f>
        <v>50</v>
      </c>
      <c r="AA938" s="7">
        <f t="shared" si="2229"/>
        <v>0</v>
      </c>
      <c r="AB938" s="7">
        <f>VLOOKUP(A938,Jogos!A:L,4,0)</f>
        <v>48</v>
      </c>
      <c r="AC938" s="7">
        <f t="shared" si="2230"/>
        <v>19</v>
      </c>
      <c r="AD938" s="7"/>
      <c r="AE938" s="7"/>
      <c r="AF938" s="7">
        <f t="shared" si="2231"/>
        <v>19</v>
      </c>
      <c r="AG938" s="7">
        <v>2678.5</v>
      </c>
      <c r="AH938" s="7">
        <v>769.5</v>
      </c>
      <c r="AI938" s="7">
        <v>1171.7</v>
      </c>
      <c r="AJ938" s="7">
        <v>548.8</v>
      </c>
      <c r="AK938" s="7">
        <v>131.4</v>
      </c>
      <c r="AL938" s="7">
        <v>57.2</v>
      </c>
      <c r="AM938" s="7">
        <v>50.0</v>
      </c>
      <c r="AN938" s="7">
        <v>13.0</v>
      </c>
      <c r="AO938" s="7">
        <v>32.7</v>
      </c>
      <c r="AP938" s="9">
        <f t="shared" ref="AP938:AR938" si="2932">AG938/$AF938</f>
        <v>140.9736842</v>
      </c>
      <c r="AQ938" s="9">
        <f t="shared" si="2932"/>
        <v>40.5</v>
      </c>
      <c r="AR938" s="9">
        <f t="shared" si="2932"/>
        <v>61.66842105</v>
      </c>
      <c r="AS938" s="9">
        <f t="shared" si="2233"/>
        <v>102.1684211</v>
      </c>
      <c r="AT938" s="9">
        <f t="shared" ref="AT938:AV938" si="2933">AJ938/$AF938</f>
        <v>28.88421053</v>
      </c>
      <c r="AU938" s="9">
        <f t="shared" si="2933"/>
        <v>6.915789474</v>
      </c>
      <c r="AV938" s="9">
        <f t="shared" si="2933"/>
        <v>3.010526316</v>
      </c>
      <c r="AW938" s="9">
        <f t="shared" si="2235"/>
        <v>9.926315789</v>
      </c>
      <c r="AX938" s="9">
        <f t="shared" ref="AX938:AY938" si="2934">AM938/$AF938</f>
        <v>2.631578947</v>
      </c>
      <c r="AY938" s="9">
        <f t="shared" si="2934"/>
        <v>0.6842105263</v>
      </c>
      <c r="AZ938" s="9">
        <f>VLOOKUP(A938,Jogos!A:BN,58,0)</f>
        <v>26.665</v>
      </c>
      <c r="BA938" s="9">
        <f>VLOOKUP(A938,Jogos!A:BN,59,0)</f>
        <v>20.325</v>
      </c>
      <c r="BB938" s="9">
        <f>VLOOKUP(A938,Jogos!A:BN,60,0)</f>
        <v>68</v>
      </c>
      <c r="BC938" s="9">
        <f>VLOOKUP(A938,Jogos!A:BN,61,0)</f>
        <v>25.28</v>
      </c>
      <c r="BD938" s="9">
        <f>VLOOKUP(A938,Jogos!A:BN,62,0)</f>
        <v>0</v>
      </c>
      <c r="BE938" s="9">
        <f>VLOOKUP(A938,Jogos!A:BN,63,0)</f>
        <v>1.175</v>
      </c>
      <c r="BF938" s="9">
        <f>VLOOKUP(A938,Jogos!A:BN,64,0)</f>
        <v>23.44</v>
      </c>
      <c r="BG938" s="9">
        <f>VLOOKUP(A938,Jogos!A:BN,65,0)</f>
        <v>41.145</v>
      </c>
      <c r="BH938" s="9">
        <f>VLOOKUP(A938,Jogos!A:BN,66,0)</f>
        <v>27.3</v>
      </c>
      <c r="BI938" s="9"/>
      <c r="BJ938" s="9"/>
    </row>
    <row r="939" hidden="1">
      <c r="A939" s="2">
        <v>32.0</v>
      </c>
      <c r="B939" s="11" t="s">
        <v>809</v>
      </c>
      <c r="C939" s="2" t="s">
        <v>61</v>
      </c>
      <c r="D939" s="3">
        <v>45830.0</v>
      </c>
      <c r="E939" s="4">
        <v>0.875</v>
      </c>
      <c r="F939" s="5" t="str">
        <f>VLOOKUP(A939,Jogos!A:N,10,0)</f>
        <v>Evening</v>
      </c>
      <c r="G939" s="2" t="s">
        <v>376</v>
      </c>
      <c r="H939" s="6" t="str">
        <f>VLOOKUP(A939,Jogos!A:L,12,0)</f>
        <v>Closed</v>
      </c>
      <c r="I939" s="6" t="str">
        <f>VLOOKUP(G939,'Estádios e Cidades'!A:B,2,0)</f>
        <v>Atlanta</v>
      </c>
      <c r="J939" s="2" t="s">
        <v>810</v>
      </c>
      <c r="K939" s="2" t="str">
        <f>VLOOKUP(J939,Equipes!A:F,6,0)</f>
        <v>Temperate</v>
      </c>
      <c r="L939" s="2">
        <f>VLOOKUP(J939,Equipes!A:C,3,0)</f>
        <v>9</v>
      </c>
      <c r="M939" s="2" t="str">
        <f t="shared" si="4"/>
        <v>Round of 16</v>
      </c>
      <c r="N939" s="2" t="s">
        <v>998</v>
      </c>
      <c r="O939" s="2">
        <f>VLOOKUP(N939,Equipes!A:C,3,0)</f>
        <v>22</v>
      </c>
      <c r="P939" s="2" t="str">
        <f t="shared" si="5"/>
        <v>Group</v>
      </c>
      <c r="Q939" s="2">
        <f t="shared" si="6"/>
        <v>-13</v>
      </c>
      <c r="R939" s="2" t="str">
        <f>VLOOKUP(J939,Equipes!A:B,2,0)</f>
        <v>City</v>
      </c>
      <c r="S939" s="6" t="s">
        <v>826</v>
      </c>
      <c r="T939" s="7">
        <v>47.0</v>
      </c>
      <c r="U939" s="7" t="s">
        <v>827</v>
      </c>
      <c r="V939" s="7" t="str">
        <f>VLOOKUP(U939,Jogadores!B:C,2,0)</f>
        <v>MF</v>
      </c>
      <c r="W939" s="8">
        <f>VLOOKUP(U939,Jogadores!B:D,3,0)</f>
        <v>25.18356164</v>
      </c>
      <c r="X939" s="7">
        <v>45.0</v>
      </c>
      <c r="Y939" s="7">
        <f t="shared" si="2928"/>
        <v>93</v>
      </c>
      <c r="Z939" s="7">
        <f>VLOOKUP(A939,Jogos!A:L,3,0)</f>
        <v>50</v>
      </c>
      <c r="AA939" s="7">
        <f t="shared" si="2229"/>
        <v>0</v>
      </c>
      <c r="AB939" s="7">
        <f>VLOOKUP(A939,Jogos!A:L,4,0)</f>
        <v>48</v>
      </c>
      <c r="AC939" s="7">
        <f t="shared" si="2230"/>
        <v>48</v>
      </c>
      <c r="AD939" s="7"/>
      <c r="AE939" s="7"/>
      <c r="AF939" s="7">
        <f t="shared" si="2231"/>
        <v>48</v>
      </c>
      <c r="AG939" s="7">
        <v>6627.3</v>
      </c>
      <c r="AH939" s="7">
        <v>1694.6</v>
      </c>
      <c r="AI939" s="7">
        <v>3319.5</v>
      </c>
      <c r="AJ939" s="7">
        <v>1100.8</v>
      </c>
      <c r="AK939" s="7">
        <v>395.2</v>
      </c>
      <c r="AL939" s="7">
        <v>117.2</v>
      </c>
      <c r="AM939" s="7">
        <v>92.0</v>
      </c>
      <c r="AN939" s="7">
        <v>34.0</v>
      </c>
      <c r="AO939" s="7">
        <v>31.5</v>
      </c>
      <c r="AP939" s="9">
        <f t="shared" ref="AP939:AR939" si="2935">AG939/$AF939</f>
        <v>138.06875</v>
      </c>
      <c r="AQ939" s="9">
        <f t="shared" si="2935"/>
        <v>35.30416667</v>
      </c>
      <c r="AR939" s="9">
        <f t="shared" si="2935"/>
        <v>69.15625</v>
      </c>
      <c r="AS939" s="9">
        <f t="shared" si="2233"/>
        <v>104.4604167</v>
      </c>
      <c r="AT939" s="9">
        <f t="shared" ref="AT939:AV939" si="2936">AJ939/$AF939</f>
        <v>22.93333333</v>
      </c>
      <c r="AU939" s="9">
        <f t="shared" si="2936"/>
        <v>8.233333333</v>
      </c>
      <c r="AV939" s="9">
        <f t="shared" si="2936"/>
        <v>2.441666667</v>
      </c>
      <c r="AW939" s="9">
        <f t="shared" si="2235"/>
        <v>10.675</v>
      </c>
      <c r="AX939" s="9">
        <f t="shared" ref="AX939:AY939" si="2937">AM939/$AF939</f>
        <v>1.916666667</v>
      </c>
      <c r="AY939" s="9">
        <f t="shared" si="2937"/>
        <v>0.7083333333</v>
      </c>
      <c r="AZ939" s="9">
        <f>VLOOKUP(A939,Jogos!A:BN,58,0)</f>
        <v>26.665</v>
      </c>
      <c r="BA939" s="9">
        <f>VLOOKUP(A939,Jogos!A:BN,59,0)</f>
        <v>20.325</v>
      </c>
      <c r="BB939" s="9">
        <f>VLOOKUP(A939,Jogos!A:BN,60,0)</f>
        <v>68</v>
      </c>
      <c r="BC939" s="9">
        <f>VLOOKUP(A939,Jogos!A:BN,61,0)</f>
        <v>25.28</v>
      </c>
      <c r="BD939" s="9">
        <f>VLOOKUP(A939,Jogos!A:BN,62,0)</f>
        <v>0</v>
      </c>
      <c r="BE939" s="9">
        <f>VLOOKUP(A939,Jogos!A:BN,63,0)</f>
        <v>1.175</v>
      </c>
      <c r="BF939" s="9">
        <f>VLOOKUP(A939,Jogos!A:BN,64,0)</f>
        <v>23.44</v>
      </c>
      <c r="BG939" s="9">
        <f>VLOOKUP(A939,Jogos!A:BN,65,0)</f>
        <v>41.145</v>
      </c>
      <c r="BH939" s="9">
        <f>VLOOKUP(A939,Jogos!A:BN,66,0)</f>
        <v>27.3</v>
      </c>
      <c r="BI939" s="9"/>
      <c r="BJ939" s="9"/>
    </row>
    <row r="940" hidden="1">
      <c r="A940" s="2">
        <v>32.0</v>
      </c>
      <c r="B940" s="11" t="s">
        <v>809</v>
      </c>
      <c r="C940" s="2" t="s">
        <v>61</v>
      </c>
      <c r="D940" s="3">
        <v>45830.0</v>
      </c>
      <c r="E940" s="4">
        <v>0.875</v>
      </c>
      <c r="F940" s="5" t="str">
        <f>VLOOKUP(A940,Jogos!A:N,10,0)</f>
        <v>Evening</v>
      </c>
      <c r="G940" s="2" t="s">
        <v>376</v>
      </c>
      <c r="H940" s="6" t="str">
        <f>VLOOKUP(A940,Jogos!A:L,12,0)</f>
        <v>Closed</v>
      </c>
      <c r="I940" s="6" t="str">
        <f>VLOOKUP(G940,'Estádios e Cidades'!A:B,2,0)</f>
        <v>Atlanta</v>
      </c>
      <c r="J940" s="2" t="s">
        <v>810</v>
      </c>
      <c r="K940" s="2" t="str">
        <f>VLOOKUP(J940,Equipes!A:F,6,0)</f>
        <v>Temperate</v>
      </c>
      <c r="L940" s="2">
        <f>VLOOKUP(J940,Equipes!A:C,3,0)</f>
        <v>9</v>
      </c>
      <c r="M940" s="2" t="str">
        <f t="shared" si="4"/>
        <v>Round of 16</v>
      </c>
      <c r="N940" s="2" t="s">
        <v>998</v>
      </c>
      <c r="O940" s="2">
        <f>VLOOKUP(N940,Equipes!A:C,3,0)</f>
        <v>22</v>
      </c>
      <c r="P940" s="2" t="str">
        <f t="shared" si="5"/>
        <v>Group</v>
      </c>
      <c r="Q940" s="2">
        <f t="shared" si="6"/>
        <v>-13</v>
      </c>
      <c r="R940" s="2" t="str">
        <f>VLOOKUP(J940,Equipes!A:B,2,0)</f>
        <v>City</v>
      </c>
      <c r="S940" s="6" t="s">
        <v>840</v>
      </c>
      <c r="T940" s="7">
        <v>52.0</v>
      </c>
      <c r="U940" s="7" t="s">
        <v>841</v>
      </c>
      <c r="V940" s="7" t="str">
        <f>VLOOKUP(U940,Jogadores!B:C,2,0)</f>
        <v>FW</v>
      </c>
      <c r="W940" s="8">
        <f>VLOOKUP(U940,Jogadores!B:D,3,0)</f>
        <v>22.06027397</v>
      </c>
      <c r="X940" s="7">
        <v>61.0</v>
      </c>
      <c r="Y940" s="7">
        <f t="shared" si="2928"/>
        <v>93</v>
      </c>
      <c r="Z940" s="7">
        <f>VLOOKUP(A940,Jogos!A:L,3,0)</f>
        <v>50</v>
      </c>
      <c r="AA940" s="7">
        <f t="shared" si="2229"/>
        <v>0</v>
      </c>
      <c r="AB940" s="7">
        <f>VLOOKUP(A940,Jogos!A:L,4,0)</f>
        <v>48</v>
      </c>
      <c r="AC940" s="7">
        <f t="shared" si="2230"/>
        <v>32</v>
      </c>
      <c r="AD940" s="7"/>
      <c r="AE940" s="7"/>
      <c r="AF940" s="7">
        <f t="shared" si="2231"/>
        <v>32</v>
      </c>
      <c r="AG940" s="7">
        <v>3934.5</v>
      </c>
      <c r="AH940" s="7">
        <v>1325.7</v>
      </c>
      <c r="AI940" s="7">
        <v>1623.7</v>
      </c>
      <c r="AJ940" s="7">
        <v>551.0</v>
      </c>
      <c r="AK940" s="7">
        <v>318.8</v>
      </c>
      <c r="AL940" s="7">
        <v>115.2</v>
      </c>
      <c r="AM940" s="7">
        <v>50.0</v>
      </c>
      <c r="AN940" s="7">
        <v>24.0</v>
      </c>
      <c r="AO940" s="7">
        <v>31.2</v>
      </c>
      <c r="AP940" s="9">
        <f t="shared" ref="AP940:AR940" si="2938">AG940/$AF940</f>
        <v>122.953125</v>
      </c>
      <c r="AQ940" s="9">
        <f t="shared" si="2938"/>
        <v>41.428125</v>
      </c>
      <c r="AR940" s="9">
        <f t="shared" si="2938"/>
        <v>50.740625</v>
      </c>
      <c r="AS940" s="9">
        <f t="shared" si="2233"/>
        <v>92.16875</v>
      </c>
      <c r="AT940" s="9">
        <f t="shared" ref="AT940:AV940" si="2939">AJ940/$AF940</f>
        <v>17.21875</v>
      </c>
      <c r="AU940" s="9">
        <f t="shared" si="2939"/>
        <v>9.9625</v>
      </c>
      <c r="AV940" s="9">
        <f t="shared" si="2939"/>
        <v>3.6</v>
      </c>
      <c r="AW940" s="9">
        <f t="shared" si="2235"/>
        <v>13.5625</v>
      </c>
      <c r="AX940" s="9">
        <f t="shared" ref="AX940:AY940" si="2940">AM940/$AF940</f>
        <v>1.5625</v>
      </c>
      <c r="AY940" s="9">
        <f t="shared" si="2940"/>
        <v>0.75</v>
      </c>
      <c r="AZ940" s="9">
        <f>VLOOKUP(A940,Jogos!A:BN,58,0)</f>
        <v>26.665</v>
      </c>
      <c r="BA940" s="9">
        <f>VLOOKUP(A940,Jogos!A:BN,59,0)</f>
        <v>20.325</v>
      </c>
      <c r="BB940" s="9">
        <f>VLOOKUP(A940,Jogos!A:BN,60,0)</f>
        <v>68</v>
      </c>
      <c r="BC940" s="9">
        <f>VLOOKUP(A940,Jogos!A:BN,61,0)</f>
        <v>25.28</v>
      </c>
      <c r="BD940" s="9">
        <f>VLOOKUP(A940,Jogos!A:BN,62,0)</f>
        <v>0</v>
      </c>
      <c r="BE940" s="9">
        <f>VLOOKUP(A940,Jogos!A:BN,63,0)</f>
        <v>1.175</v>
      </c>
      <c r="BF940" s="9">
        <f>VLOOKUP(A940,Jogos!A:BN,64,0)</f>
        <v>23.44</v>
      </c>
      <c r="BG940" s="9">
        <f>VLOOKUP(A940,Jogos!A:BN,65,0)</f>
        <v>41.145</v>
      </c>
      <c r="BH940" s="9">
        <f>VLOOKUP(A940,Jogos!A:BN,66,0)</f>
        <v>27.3</v>
      </c>
      <c r="BI940" s="9"/>
      <c r="BJ940" s="9"/>
    </row>
    <row r="941" hidden="1">
      <c r="A941" s="10">
        <v>32.0</v>
      </c>
      <c r="B941" s="11" t="s">
        <v>809</v>
      </c>
      <c r="C941" s="2" t="s">
        <v>61</v>
      </c>
      <c r="D941" s="12">
        <v>45830.0</v>
      </c>
      <c r="E941" s="13">
        <v>0.875</v>
      </c>
      <c r="F941" s="5" t="str">
        <f>VLOOKUP(A941,Jogos!A:N,10,0)</f>
        <v>Evening</v>
      </c>
      <c r="G941" s="11" t="s">
        <v>376</v>
      </c>
      <c r="H941" s="6" t="str">
        <f>VLOOKUP(A941,Jogos!A:L,12,0)</f>
        <v>Closed</v>
      </c>
      <c r="I941" s="6" t="str">
        <f>VLOOKUP(G941,'Estádios e Cidades'!A:B,2,0)</f>
        <v>Atlanta</v>
      </c>
      <c r="J941" s="11" t="s">
        <v>998</v>
      </c>
      <c r="K941" s="2" t="str">
        <f>VLOOKUP(J941,Equipes!A:F,6,0)</f>
        <v>Tropical</v>
      </c>
      <c r="L941" s="2">
        <f>VLOOKUP(J941,Equipes!A:C,3,0)</f>
        <v>22</v>
      </c>
      <c r="M941" s="2" t="str">
        <f t="shared" si="4"/>
        <v>Group</v>
      </c>
      <c r="N941" s="11" t="s">
        <v>810</v>
      </c>
      <c r="O941" s="2">
        <f>VLOOKUP(N941,Equipes!A:C,3,0)</f>
        <v>9</v>
      </c>
      <c r="P941" s="2" t="str">
        <f t="shared" si="5"/>
        <v>Round of 16</v>
      </c>
      <c r="Q941" s="2">
        <f t="shared" si="6"/>
        <v>13</v>
      </c>
      <c r="R941" s="2" t="str">
        <f>VLOOKUP(J941,Equipes!A:B,2,0)</f>
        <v>AlAin</v>
      </c>
      <c r="S941" s="14" t="s">
        <v>1002</v>
      </c>
      <c r="T941" s="7">
        <v>5.0</v>
      </c>
      <c r="U941" s="7" t="s">
        <v>1003</v>
      </c>
      <c r="V941" s="7" t="str">
        <f>VLOOKUP(U941,Jogadores!B:C,2,0)</f>
        <v>MF</v>
      </c>
      <c r="W941" s="8">
        <f>VLOOKUP(U941,Jogadores!B:D,3,0)</f>
        <v>31.90136986</v>
      </c>
      <c r="X941" s="7">
        <v>0.0</v>
      </c>
      <c r="Y941" s="7">
        <f t="shared" si="2928"/>
        <v>93</v>
      </c>
      <c r="Z941" s="7">
        <f>VLOOKUP(A941,Jogos!A:L,3,0)</f>
        <v>50</v>
      </c>
      <c r="AA941" s="7">
        <f t="shared" si="2229"/>
        <v>50</v>
      </c>
      <c r="AB941" s="7">
        <f>VLOOKUP(A941,Jogos!A:L,4,0)</f>
        <v>48</v>
      </c>
      <c r="AC941" s="7">
        <f t="shared" si="2230"/>
        <v>48</v>
      </c>
      <c r="AD941" s="7"/>
      <c r="AE941" s="7"/>
      <c r="AF941" s="7">
        <f t="shared" si="2231"/>
        <v>98</v>
      </c>
      <c r="AG941" s="7">
        <v>8724.5</v>
      </c>
      <c r="AH941" s="7">
        <v>3750.6</v>
      </c>
      <c r="AI941" s="7">
        <v>3723.8</v>
      </c>
      <c r="AJ941" s="7">
        <v>927.4</v>
      </c>
      <c r="AK941" s="7">
        <v>238.8</v>
      </c>
      <c r="AL941" s="7">
        <v>83.9</v>
      </c>
      <c r="AM941" s="7">
        <v>91.0</v>
      </c>
      <c r="AN941" s="7">
        <v>23.0</v>
      </c>
      <c r="AO941" s="7">
        <v>29.3</v>
      </c>
      <c r="AP941" s="9">
        <f t="shared" ref="AP941:AR941" si="2941">AG941/$AF941</f>
        <v>89.0255102</v>
      </c>
      <c r="AQ941" s="9">
        <f t="shared" si="2941"/>
        <v>38.27142857</v>
      </c>
      <c r="AR941" s="9">
        <f t="shared" si="2941"/>
        <v>37.99795918</v>
      </c>
      <c r="AS941" s="9">
        <f t="shared" si="2233"/>
        <v>76.26938776</v>
      </c>
      <c r="AT941" s="9">
        <f t="shared" ref="AT941:AV941" si="2942">AJ941/$AF941</f>
        <v>9.463265306</v>
      </c>
      <c r="AU941" s="9">
        <f t="shared" si="2942"/>
        <v>2.436734694</v>
      </c>
      <c r="AV941" s="9">
        <f t="shared" si="2942"/>
        <v>0.856122449</v>
      </c>
      <c r="AW941" s="9">
        <f t="shared" si="2235"/>
        <v>3.292857143</v>
      </c>
      <c r="AX941" s="9">
        <f t="shared" ref="AX941:AY941" si="2943">AM941/$AF941</f>
        <v>0.9285714286</v>
      </c>
      <c r="AY941" s="9">
        <f t="shared" si="2943"/>
        <v>0.2346938776</v>
      </c>
      <c r="AZ941" s="9">
        <f>VLOOKUP(A941,Jogos!A:BN,58,0)</f>
        <v>26.665</v>
      </c>
      <c r="BA941" s="9">
        <f>VLOOKUP(A941,Jogos!A:BN,59,0)</f>
        <v>20.325</v>
      </c>
      <c r="BB941" s="9">
        <f>VLOOKUP(A941,Jogos!A:BN,60,0)</f>
        <v>68</v>
      </c>
      <c r="BC941" s="9">
        <f>VLOOKUP(A941,Jogos!A:BN,61,0)</f>
        <v>25.28</v>
      </c>
      <c r="BD941" s="9">
        <f>VLOOKUP(A941,Jogos!A:BN,62,0)</f>
        <v>0</v>
      </c>
      <c r="BE941" s="9">
        <f>VLOOKUP(A941,Jogos!A:BN,63,0)</f>
        <v>1.175</v>
      </c>
      <c r="BF941" s="9">
        <f>VLOOKUP(A941,Jogos!A:BN,64,0)</f>
        <v>23.44</v>
      </c>
      <c r="BG941" s="9">
        <f>VLOOKUP(A941,Jogos!A:BN,65,0)</f>
        <v>41.145</v>
      </c>
      <c r="BH941" s="9">
        <f>VLOOKUP(A941,Jogos!A:BN,66,0)</f>
        <v>27.3</v>
      </c>
      <c r="BI941" s="9"/>
      <c r="BJ941" s="9"/>
    </row>
    <row r="942" hidden="1">
      <c r="A942" s="10">
        <v>32.0</v>
      </c>
      <c r="B942" s="11" t="s">
        <v>809</v>
      </c>
      <c r="C942" s="2" t="s">
        <v>61</v>
      </c>
      <c r="D942" s="12">
        <v>45830.0</v>
      </c>
      <c r="E942" s="13">
        <v>0.875</v>
      </c>
      <c r="F942" s="5" t="str">
        <f>VLOOKUP(A942,Jogos!A:N,10,0)</f>
        <v>Evening</v>
      </c>
      <c r="G942" s="11" t="s">
        <v>376</v>
      </c>
      <c r="H942" s="6" t="str">
        <f>VLOOKUP(A942,Jogos!A:L,12,0)</f>
        <v>Closed</v>
      </c>
      <c r="I942" s="6" t="str">
        <f>VLOOKUP(G942,'Estádios e Cidades'!A:B,2,0)</f>
        <v>Atlanta</v>
      </c>
      <c r="J942" s="11" t="s">
        <v>998</v>
      </c>
      <c r="K942" s="2" t="str">
        <f>VLOOKUP(J942,Equipes!A:F,6,0)</f>
        <v>Tropical</v>
      </c>
      <c r="L942" s="2">
        <f>VLOOKUP(J942,Equipes!A:C,3,0)</f>
        <v>22</v>
      </c>
      <c r="M942" s="2" t="str">
        <f t="shared" si="4"/>
        <v>Group</v>
      </c>
      <c r="N942" s="11" t="s">
        <v>810</v>
      </c>
      <c r="O942" s="2">
        <f>VLOOKUP(N942,Equipes!A:C,3,0)</f>
        <v>9</v>
      </c>
      <c r="P942" s="2" t="str">
        <f t="shared" si="5"/>
        <v>Round of 16</v>
      </c>
      <c r="Q942" s="2">
        <f t="shared" si="6"/>
        <v>13</v>
      </c>
      <c r="R942" s="2" t="str">
        <f>VLOOKUP(J942,Equipes!A:B,2,0)</f>
        <v>AlAin</v>
      </c>
      <c r="S942" s="6" t="s">
        <v>1020</v>
      </c>
      <c r="T942" s="7">
        <v>6.0</v>
      </c>
      <c r="U942" s="7" t="s">
        <v>1021</v>
      </c>
      <c r="V942" s="7" t="str">
        <f>VLOOKUP(U942,Jogadores!B:C,2,0)</f>
        <v>MF</v>
      </c>
      <c r="W942" s="8">
        <f>VLOOKUP(U942,Jogadores!B:D,3,0)</f>
        <v>26.89589041</v>
      </c>
      <c r="X942" s="7">
        <v>0.0</v>
      </c>
      <c r="Y942" s="7">
        <v>45.0</v>
      </c>
      <c r="Z942" s="7">
        <f>VLOOKUP(A942,Jogos!A:L,3,0)</f>
        <v>50</v>
      </c>
      <c r="AA942" s="7">
        <f t="shared" si="2229"/>
        <v>50</v>
      </c>
      <c r="AB942" s="7">
        <f>VLOOKUP(A942,Jogos!A:L,4,0)</f>
        <v>48</v>
      </c>
      <c r="AC942" s="7">
        <f t="shared" si="2230"/>
        <v>0</v>
      </c>
      <c r="AD942" s="7"/>
      <c r="AE942" s="7"/>
      <c r="AF942" s="7">
        <f t="shared" si="2231"/>
        <v>50</v>
      </c>
      <c r="AG942" s="7">
        <v>5610.0</v>
      </c>
      <c r="AH942" s="7">
        <v>1505.3</v>
      </c>
      <c r="AI942" s="7">
        <v>2976.3</v>
      </c>
      <c r="AJ942" s="7">
        <v>935.7</v>
      </c>
      <c r="AK942" s="7">
        <v>176.5</v>
      </c>
      <c r="AL942" s="7">
        <v>16.1</v>
      </c>
      <c r="AM942" s="7">
        <v>83.0</v>
      </c>
      <c r="AN942" s="7">
        <v>14.0</v>
      </c>
      <c r="AO942" s="7">
        <v>27.9</v>
      </c>
      <c r="AP942" s="9">
        <f t="shared" ref="AP942:AR942" si="2944">AG942/$AF942</f>
        <v>112.2</v>
      </c>
      <c r="AQ942" s="9">
        <f t="shared" si="2944"/>
        <v>30.106</v>
      </c>
      <c r="AR942" s="9">
        <f t="shared" si="2944"/>
        <v>59.526</v>
      </c>
      <c r="AS942" s="9">
        <f t="shared" si="2233"/>
        <v>89.632</v>
      </c>
      <c r="AT942" s="9">
        <f t="shared" ref="AT942:AV942" si="2945">AJ942/$AF942</f>
        <v>18.714</v>
      </c>
      <c r="AU942" s="9">
        <f t="shared" si="2945"/>
        <v>3.53</v>
      </c>
      <c r="AV942" s="9">
        <f t="shared" si="2945"/>
        <v>0.322</v>
      </c>
      <c r="AW942" s="9">
        <f t="shared" si="2235"/>
        <v>3.852</v>
      </c>
      <c r="AX942" s="9">
        <f t="shared" ref="AX942:AY942" si="2946">AM942/$AF942</f>
        <v>1.66</v>
      </c>
      <c r="AY942" s="9">
        <f t="shared" si="2946"/>
        <v>0.28</v>
      </c>
      <c r="AZ942" s="9">
        <f>VLOOKUP(A942,Jogos!A:BN,58,0)</f>
        <v>26.665</v>
      </c>
      <c r="BA942" s="9">
        <f>VLOOKUP(A942,Jogos!A:BN,59,0)</f>
        <v>20.325</v>
      </c>
      <c r="BB942" s="9">
        <f>VLOOKUP(A942,Jogos!A:BN,60,0)</f>
        <v>68</v>
      </c>
      <c r="BC942" s="9">
        <f>VLOOKUP(A942,Jogos!A:BN,61,0)</f>
        <v>25.28</v>
      </c>
      <c r="BD942" s="9">
        <f>VLOOKUP(A942,Jogos!A:BN,62,0)</f>
        <v>0</v>
      </c>
      <c r="BE942" s="9">
        <f>VLOOKUP(A942,Jogos!A:BN,63,0)</f>
        <v>1.175</v>
      </c>
      <c r="BF942" s="9">
        <f>VLOOKUP(A942,Jogos!A:BN,64,0)</f>
        <v>23.44</v>
      </c>
      <c r="BG942" s="9">
        <f>VLOOKUP(A942,Jogos!A:BN,65,0)</f>
        <v>41.145</v>
      </c>
      <c r="BH942" s="9">
        <f>VLOOKUP(A942,Jogos!A:BN,66,0)</f>
        <v>27.3</v>
      </c>
      <c r="BI942" s="9"/>
      <c r="BJ942" s="9"/>
    </row>
    <row r="943" hidden="1">
      <c r="A943" s="10">
        <v>32.0</v>
      </c>
      <c r="B943" s="11" t="s">
        <v>809</v>
      </c>
      <c r="C943" s="2" t="s">
        <v>61</v>
      </c>
      <c r="D943" s="12">
        <v>45830.0</v>
      </c>
      <c r="E943" s="13">
        <v>0.875</v>
      </c>
      <c r="F943" s="5" t="str">
        <f>VLOOKUP(A943,Jogos!A:N,10,0)</f>
        <v>Evening</v>
      </c>
      <c r="G943" s="11" t="s">
        <v>376</v>
      </c>
      <c r="H943" s="6" t="str">
        <f>VLOOKUP(A943,Jogos!A:L,12,0)</f>
        <v>Closed</v>
      </c>
      <c r="I943" s="6" t="str">
        <f>VLOOKUP(G943,'Estádios e Cidades'!A:B,2,0)</f>
        <v>Atlanta</v>
      </c>
      <c r="J943" s="11" t="s">
        <v>998</v>
      </c>
      <c r="K943" s="2" t="str">
        <f>VLOOKUP(J943,Equipes!A:F,6,0)</f>
        <v>Tropical</v>
      </c>
      <c r="L943" s="2">
        <f>VLOOKUP(J943,Equipes!A:C,3,0)</f>
        <v>22</v>
      </c>
      <c r="M943" s="2" t="str">
        <f t="shared" si="4"/>
        <v>Group</v>
      </c>
      <c r="N943" s="11" t="s">
        <v>810</v>
      </c>
      <c r="O943" s="2">
        <f>VLOOKUP(N943,Equipes!A:C,3,0)</f>
        <v>9</v>
      </c>
      <c r="P943" s="2" t="str">
        <f t="shared" si="5"/>
        <v>Round of 16</v>
      </c>
      <c r="Q943" s="2">
        <f t="shared" si="6"/>
        <v>13</v>
      </c>
      <c r="R943" s="2" t="str">
        <f>VLOOKUP(J943,Equipes!A:B,2,0)</f>
        <v>AlAin</v>
      </c>
      <c r="S943" s="6" t="s">
        <v>1231</v>
      </c>
      <c r="T943" s="7">
        <v>8.0</v>
      </c>
      <c r="U943" s="7" t="s">
        <v>1232</v>
      </c>
      <c r="V943" s="7" t="str">
        <f>VLOOKUP(U943,Jogadores!B:C,2,0)</f>
        <v>MF</v>
      </c>
      <c r="W943" s="8">
        <f>VLOOKUP(U943,Jogadores!B:D,3,0)</f>
        <v>22.84109589</v>
      </c>
      <c r="X943" s="7">
        <v>0.0</v>
      </c>
      <c r="Y943" s="7">
        <v>62.0</v>
      </c>
      <c r="Z943" s="7">
        <f>VLOOKUP(A943,Jogos!A:L,3,0)</f>
        <v>50</v>
      </c>
      <c r="AA943" s="7">
        <f t="shared" si="2229"/>
        <v>50</v>
      </c>
      <c r="AB943" s="7">
        <f>VLOOKUP(A943,Jogos!A:L,4,0)</f>
        <v>48</v>
      </c>
      <c r="AC943" s="7">
        <f t="shared" si="2230"/>
        <v>17</v>
      </c>
      <c r="AD943" s="7"/>
      <c r="AE943" s="7"/>
      <c r="AF943" s="7">
        <f t="shared" si="2231"/>
        <v>67</v>
      </c>
      <c r="AG943" s="7">
        <v>7531.2</v>
      </c>
      <c r="AH943" s="7">
        <v>2574.9</v>
      </c>
      <c r="AI943" s="7">
        <v>3325.8</v>
      </c>
      <c r="AJ943" s="7">
        <v>1050.3</v>
      </c>
      <c r="AK943" s="7">
        <v>456.5</v>
      </c>
      <c r="AL943" s="7">
        <v>123.8</v>
      </c>
      <c r="AM943" s="7">
        <v>89.0</v>
      </c>
      <c r="AN943" s="7">
        <v>32.0</v>
      </c>
      <c r="AO943" s="7">
        <v>30.5</v>
      </c>
      <c r="AP943" s="9">
        <f t="shared" ref="AP943:AR943" si="2947">AG943/$AF943</f>
        <v>112.4059701</v>
      </c>
      <c r="AQ943" s="9">
        <f t="shared" si="2947"/>
        <v>38.43134328</v>
      </c>
      <c r="AR943" s="9">
        <f t="shared" si="2947"/>
        <v>49.63880597</v>
      </c>
      <c r="AS943" s="9">
        <f t="shared" si="2233"/>
        <v>88.07014925</v>
      </c>
      <c r="AT943" s="9">
        <f t="shared" ref="AT943:AV943" si="2948">AJ943/$AF943</f>
        <v>15.6761194</v>
      </c>
      <c r="AU943" s="9">
        <f t="shared" si="2948"/>
        <v>6.813432836</v>
      </c>
      <c r="AV943" s="9">
        <f t="shared" si="2948"/>
        <v>1.847761194</v>
      </c>
      <c r="AW943" s="9">
        <f t="shared" si="2235"/>
        <v>8.66119403</v>
      </c>
      <c r="AX943" s="9">
        <f t="shared" ref="AX943:AY943" si="2949">AM943/$AF943</f>
        <v>1.328358209</v>
      </c>
      <c r="AY943" s="9">
        <f t="shared" si="2949"/>
        <v>0.4776119403</v>
      </c>
      <c r="AZ943" s="9">
        <f>VLOOKUP(A943,Jogos!A:BN,58,0)</f>
        <v>26.665</v>
      </c>
      <c r="BA943" s="9">
        <f>VLOOKUP(A943,Jogos!A:BN,59,0)</f>
        <v>20.325</v>
      </c>
      <c r="BB943" s="9">
        <f>VLOOKUP(A943,Jogos!A:BN,60,0)</f>
        <v>68</v>
      </c>
      <c r="BC943" s="9">
        <f>VLOOKUP(A943,Jogos!A:BN,61,0)</f>
        <v>25.28</v>
      </c>
      <c r="BD943" s="9">
        <f>VLOOKUP(A943,Jogos!A:BN,62,0)</f>
        <v>0</v>
      </c>
      <c r="BE943" s="9">
        <f>VLOOKUP(A943,Jogos!A:BN,63,0)</f>
        <v>1.175</v>
      </c>
      <c r="BF943" s="9">
        <f>VLOOKUP(A943,Jogos!A:BN,64,0)</f>
        <v>23.44</v>
      </c>
      <c r="BG943" s="9">
        <f>VLOOKUP(A943,Jogos!A:BN,65,0)</f>
        <v>41.145</v>
      </c>
      <c r="BH943" s="9">
        <f>VLOOKUP(A943,Jogos!A:BN,66,0)</f>
        <v>27.3</v>
      </c>
      <c r="BI943" s="9"/>
      <c r="BJ943" s="9"/>
    </row>
    <row r="944" hidden="1">
      <c r="A944" s="10">
        <v>32.0</v>
      </c>
      <c r="B944" s="11" t="s">
        <v>809</v>
      </c>
      <c r="C944" s="2" t="s">
        <v>61</v>
      </c>
      <c r="D944" s="12">
        <v>45830.0</v>
      </c>
      <c r="E944" s="13">
        <v>0.875</v>
      </c>
      <c r="F944" s="5" t="str">
        <f>VLOOKUP(A944,Jogos!A:N,10,0)</f>
        <v>Evening</v>
      </c>
      <c r="G944" s="11" t="s">
        <v>376</v>
      </c>
      <c r="H944" s="6" t="str">
        <f>VLOOKUP(A944,Jogos!A:L,12,0)</f>
        <v>Closed</v>
      </c>
      <c r="I944" s="6" t="str">
        <f>VLOOKUP(G944,'Estádios e Cidades'!A:B,2,0)</f>
        <v>Atlanta</v>
      </c>
      <c r="J944" s="11" t="s">
        <v>998</v>
      </c>
      <c r="K944" s="2" t="str">
        <f>VLOOKUP(J944,Equipes!A:F,6,0)</f>
        <v>Tropical</v>
      </c>
      <c r="L944" s="2">
        <f>VLOOKUP(J944,Equipes!A:C,3,0)</f>
        <v>22</v>
      </c>
      <c r="M944" s="2" t="str">
        <f t="shared" si="4"/>
        <v>Group</v>
      </c>
      <c r="N944" s="11" t="s">
        <v>810</v>
      </c>
      <c r="O944" s="2">
        <f>VLOOKUP(N944,Equipes!A:C,3,0)</f>
        <v>9</v>
      </c>
      <c r="P944" s="2" t="str">
        <f t="shared" si="5"/>
        <v>Round of 16</v>
      </c>
      <c r="Q944" s="2">
        <f t="shared" si="6"/>
        <v>13</v>
      </c>
      <c r="R944" s="2" t="str">
        <f>VLOOKUP(J944,Equipes!A:B,2,0)</f>
        <v>AlAin</v>
      </c>
      <c r="S944" s="6" t="s">
        <v>1012</v>
      </c>
      <c r="T944" s="7">
        <v>21.0</v>
      </c>
      <c r="U944" s="7" t="s">
        <v>1013</v>
      </c>
      <c r="V944" s="7" t="str">
        <f>VLOOKUP(U944,Jogadores!B:C,2,0)</f>
        <v>MF</v>
      </c>
      <c r="W944" s="8">
        <f>VLOOKUP(U944,Jogadores!B:D,3,0)</f>
        <v>29.17260274</v>
      </c>
      <c r="X944" s="7">
        <v>0.0</v>
      </c>
      <c r="Y944" s="7">
        <v>45.0</v>
      </c>
      <c r="Z944" s="7">
        <f>VLOOKUP(A944,Jogos!A:L,3,0)</f>
        <v>50</v>
      </c>
      <c r="AA944" s="7">
        <f t="shared" si="2229"/>
        <v>50</v>
      </c>
      <c r="AB944" s="7">
        <f>VLOOKUP(A944,Jogos!A:L,4,0)</f>
        <v>48</v>
      </c>
      <c r="AC944" s="7">
        <f t="shared" si="2230"/>
        <v>0</v>
      </c>
      <c r="AD944" s="7"/>
      <c r="AE944" s="7"/>
      <c r="AF944" s="7">
        <f t="shared" si="2231"/>
        <v>50</v>
      </c>
      <c r="AG944" s="7">
        <v>5750.4</v>
      </c>
      <c r="AH944" s="7">
        <v>1997.4</v>
      </c>
      <c r="AI944" s="7">
        <v>2665.1</v>
      </c>
      <c r="AJ944" s="7">
        <v>573.5</v>
      </c>
      <c r="AK944" s="7">
        <v>272.1</v>
      </c>
      <c r="AL944" s="7">
        <v>242.2</v>
      </c>
      <c r="AM944" s="7">
        <v>52.0</v>
      </c>
      <c r="AN944" s="7">
        <v>22.0</v>
      </c>
      <c r="AO944" s="7">
        <v>32.8</v>
      </c>
      <c r="AP944" s="9">
        <f t="shared" ref="AP944:AR944" si="2950">AG944/$AF944</f>
        <v>115.008</v>
      </c>
      <c r="AQ944" s="9">
        <f t="shared" si="2950"/>
        <v>39.948</v>
      </c>
      <c r="AR944" s="9">
        <f t="shared" si="2950"/>
        <v>53.302</v>
      </c>
      <c r="AS944" s="9">
        <f t="shared" si="2233"/>
        <v>93.25</v>
      </c>
      <c r="AT944" s="9">
        <f t="shared" ref="AT944:AV944" si="2951">AJ944/$AF944</f>
        <v>11.47</v>
      </c>
      <c r="AU944" s="9">
        <f t="shared" si="2951"/>
        <v>5.442</v>
      </c>
      <c r="AV944" s="9">
        <f t="shared" si="2951"/>
        <v>4.844</v>
      </c>
      <c r="AW944" s="9">
        <f t="shared" si="2235"/>
        <v>10.286</v>
      </c>
      <c r="AX944" s="9">
        <f t="shared" ref="AX944:AY944" si="2952">AM944/$AF944</f>
        <v>1.04</v>
      </c>
      <c r="AY944" s="9">
        <f t="shared" si="2952"/>
        <v>0.44</v>
      </c>
      <c r="AZ944" s="9">
        <f>VLOOKUP(A944,Jogos!A:BN,58,0)</f>
        <v>26.665</v>
      </c>
      <c r="BA944" s="9">
        <f>VLOOKUP(A944,Jogos!A:BN,59,0)</f>
        <v>20.325</v>
      </c>
      <c r="BB944" s="9">
        <f>VLOOKUP(A944,Jogos!A:BN,60,0)</f>
        <v>68</v>
      </c>
      <c r="BC944" s="9">
        <f>VLOOKUP(A944,Jogos!A:BN,61,0)</f>
        <v>25.28</v>
      </c>
      <c r="BD944" s="9">
        <f>VLOOKUP(A944,Jogos!A:BN,62,0)</f>
        <v>0</v>
      </c>
      <c r="BE944" s="9">
        <f>VLOOKUP(A944,Jogos!A:BN,63,0)</f>
        <v>1.175</v>
      </c>
      <c r="BF944" s="9">
        <f>VLOOKUP(A944,Jogos!A:BN,64,0)</f>
        <v>23.44</v>
      </c>
      <c r="BG944" s="9">
        <f>VLOOKUP(A944,Jogos!A:BN,65,0)</f>
        <v>41.145</v>
      </c>
      <c r="BH944" s="9">
        <f>VLOOKUP(A944,Jogos!A:BN,66,0)</f>
        <v>27.3</v>
      </c>
      <c r="BI944" s="9"/>
      <c r="BJ944" s="9"/>
    </row>
    <row r="945" hidden="1">
      <c r="A945" s="10">
        <v>32.0</v>
      </c>
      <c r="B945" s="11" t="s">
        <v>809</v>
      </c>
      <c r="C945" s="2" t="s">
        <v>61</v>
      </c>
      <c r="D945" s="12">
        <v>45830.0</v>
      </c>
      <c r="E945" s="13">
        <v>0.875</v>
      </c>
      <c r="F945" s="5" t="str">
        <f>VLOOKUP(A945,Jogos!A:N,10,0)</f>
        <v>Evening</v>
      </c>
      <c r="G945" s="11" t="s">
        <v>376</v>
      </c>
      <c r="H945" s="6" t="str">
        <f>VLOOKUP(A945,Jogos!A:L,12,0)</f>
        <v>Closed</v>
      </c>
      <c r="I945" s="6" t="str">
        <f>VLOOKUP(G945,'Estádios e Cidades'!A:B,2,0)</f>
        <v>Atlanta</v>
      </c>
      <c r="J945" s="11" t="s">
        <v>998</v>
      </c>
      <c r="K945" s="2" t="str">
        <f>VLOOKUP(J945,Equipes!A:F,6,0)</f>
        <v>Tropical</v>
      </c>
      <c r="L945" s="2">
        <f>VLOOKUP(J945,Equipes!A:C,3,0)</f>
        <v>22</v>
      </c>
      <c r="M945" s="2" t="str">
        <f t="shared" si="4"/>
        <v>Group</v>
      </c>
      <c r="N945" s="11" t="s">
        <v>810</v>
      </c>
      <c r="O945" s="2">
        <f>VLOOKUP(N945,Equipes!A:C,3,0)</f>
        <v>9</v>
      </c>
      <c r="P945" s="2" t="str">
        <f t="shared" si="5"/>
        <v>Round of 16</v>
      </c>
      <c r="Q945" s="2">
        <f t="shared" si="6"/>
        <v>13</v>
      </c>
      <c r="R945" s="2" t="str">
        <f>VLOOKUP(J945,Equipes!A:B,2,0)</f>
        <v>AlAin</v>
      </c>
      <c r="S945" s="6" t="s">
        <v>1014</v>
      </c>
      <c r="T945" s="7">
        <v>25.0</v>
      </c>
      <c r="U945" s="7" t="s">
        <v>1015</v>
      </c>
      <c r="V945" s="7" t="str">
        <f>VLOOKUP(U945,Jogadores!B:C,2,0)</f>
        <v>DF</v>
      </c>
      <c r="W945" s="8">
        <f>VLOOKUP(U945,Jogadores!B:D,3,0)</f>
        <v>32.2109589</v>
      </c>
      <c r="X945" s="7">
        <v>0.0</v>
      </c>
      <c r="Y945" s="7">
        <f>45+AB945</f>
        <v>93</v>
      </c>
      <c r="Z945" s="7">
        <f>VLOOKUP(A945,Jogos!A:L,3,0)</f>
        <v>50</v>
      </c>
      <c r="AA945" s="7">
        <f t="shared" si="2229"/>
        <v>50</v>
      </c>
      <c r="AB945" s="7">
        <f>VLOOKUP(A945,Jogos!A:L,4,0)</f>
        <v>48</v>
      </c>
      <c r="AC945" s="7">
        <f t="shared" si="2230"/>
        <v>48</v>
      </c>
      <c r="AD945" s="7"/>
      <c r="AE945" s="7"/>
      <c r="AF945" s="7">
        <f t="shared" si="2231"/>
        <v>98</v>
      </c>
      <c r="AG945" s="7">
        <v>9767.7</v>
      </c>
      <c r="AH945" s="7">
        <v>3877.2</v>
      </c>
      <c r="AI945" s="7">
        <v>4393.6</v>
      </c>
      <c r="AJ945" s="7">
        <v>1091.4</v>
      </c>
      <c r="AK945" s="7">
        <v>313.8</v>
      </c>
      <c r="AL945" s="7">
        <v>91.8</v>
      </c>
      <c r="AM945" s="7">
        <v>104.0</v>
      </c>
      <c r="AN945" s="7">
        <v>25.0</v>
      </c>
      <c r="AO945" s="7">
        <v>31.1</v>
      </c>
      <c r="AP945" s="9">
        <f t="shared" ref="AP945:AR945" si="2953">AG945/$AF945</f>
        <v>99.67040816</v>
      </c>
      <c r="AQ945" s="9">
        <f t="shared" si="2953"/>
        <v>39.56326531</v>
      </c>
      <c r="AR945" s="9">
        <f t="shared" si="2953"/>
        <v>44.83265306</v>
      </c>
      <c r="AS945" s="9">
        <f t="shared" si="2233"/>
        <v>84.39591837</v>
      </c>
      <c r="AT945" s="9">
        <f t="shared" ref="AT945:AV945" si="2954">AJ945/$AF945</f>
        <v>11.13673469</v>
      </c>
      <c r="AU945" s="9">
        <f t="shared" si="2954"/>
        <v>3.202040816</v>
      </c>
      <c r="AV945" s="9">
        <f t="shared" si="2954"/>
        <v>0.9367346939</v>
      </c>
      <c r="AW945" s="9">
        <f t="shared" si="2235"/>
        <v>4.13877551</v>
      </c>
      <c r="AX945" s="9">
        <f t="shared" ref="AX945:AY945" si="2955">AM945/$AF945</f>
        <v>1.06122449</v>
      </c>
      <c r="AY945" s="9">
        <f t="shared" si="2955"/>
        <v>0.2551020408</v>
      </c>
      <c r="AZ945" s="9">
        <f>VLOOKUP(A945,Jogos!A:BN,58,0)</f>
        <v>26.665</v>
      </c>
      <c r="BA945" s="9">
        <f>VLOOKUP(A945,Jogos!A:BN,59,0)</f>
        <v>20.325</v>
      </c>
      <c r="BB945" s="9">
        <f>VLOOKUP(A945,Jogos!A:BN,60,0)</f>
        <v>68</v>
      </c>
      <c r="BC945" s="9">
        <f>VLOOKUP(A945,Jogos!A:BN,61,0)</f>
        <v>25.28</v>
      </c>
      <c r="BD945" s="9">
        <f>VLOOKUP(A945,Jogos!A:BN,62,0)</f>
        <v>0</v>
      </c>
      <c r="BE945" s="9">
        <f>VLOOKUP(A945,Jogos!A:BN,63,0)</f>
        <v>1.175</v>
      </c>
      <c r="BF945" s="9">
        <f>VLOOKUP(A945,Jogos!A:BN,64,0)</f>
        <v>23.44</v>
      </c>
      <c r="BG945" s="9">
        <f>VLOOKUP(A945,Jogos!A:BN,65,0)</f>
        <v>41.145</v>
      </c>
      <c r="BH945" s="9">
        <f>VLOOKUP(A945,Jogos!A:BN,66,0)</f>
        <v>27.3</v>
      </c>
      <c r="BI945" s="9"/>
      <c r="BJ945" s="9"/>
    </row>
    <row r="946" hidden="1">
      <c r="A946" s="10">
        <v>32.0</v>
      </c>
      <c r="B946" s="11" t="s">
        <v>809</v>
      </c>
      <c r="C946" s="2" t="s">
        <v>61</v>
      </c>
      <c r="D946" s="12">
        <v>45830.0</v>
      </c>
      <c r="E946" s="13">
        <v>0.875</v>
      </c>
      <c r="F946" s="5" t="str">
        <f>VLOOKUP(A946,Jogos!A:N,10,0)</f>
        <v>Evening</v>
      </c>
      <c r="G946" s="11" t="s">
        <v>376</v>
      </c>
      <c r="H946" s="6" t="str">
        <f>VLOOKUP(A946,Jogos!A:L,12,0)</f>
        <v>Closed</v>
      </c>
      <c r="I946" s="6" t="str">
        <f>VLOOKUP(G946,'Estádios e Cidades'!A:B,2,0)</f>
        <v>Atlanta</v>
      </c>
      <c r="J946" s="11" t="s">
        <v>998</v>
      </c>
      <c r="K946" s="2" t="str">
        <f>VLOOKUP(J946,Equipes!A:F,6,0)</f>
        <v>Tropical</v>
      </c>
      <c r="L946" s="2">
        <f>VLOOKUP(J946,Equipes!A:C,3,0)</f>
        <v>22</v>
      </c>
      <c r="M946" s="2" t="str">
        <f t="shared" si="4"/>
        <v>Group</v>
      </c>
      <c r="N946" s="11" t="s">
        <v>810</v>
      </c>
      <c r="O946" s="2">
        <f>VLOOKUP(N946,Equipes!A:C,3,0)</f>
        <v>9</v>
      </c>
      <c r="P946" s="2" t="str">
        <f t="shared" si="5"/>
        <v>Round of 16</v>
      </c>
      <c r="Q946" s="2">
        <f t="shared" si="6"/>
        <v>13</v>
      </c>
      <c r="R946" s="2" t="str">
        <f>VLOOKUP(J946,Equipes!A:B,2,0)</f>
        <v>AlAin</v>
      </c>
      <c r="S946" s="6" t="s">
        <v>1022</v>
      </c>
      <c r="T946" s="7">
        <v>28.0</v>
      </c>
      <c r="U946" s="7" t="s">
        <v>1023</v>
      </c>
      <c r="V946" s="7" t="str">
        <f>VLOOKUP(U946,Jogadores!B:C,2,0)</f>
        <v>MF</v>
      </c>
      <c r="W946" s="8">
        <f>VLOOKUP(U946,Jogadores!B:D,3,0)</f>
        <v>24.01643836</v>
      </c>
      <c r="X946" s="7">
        <v>0.0</v>
      </c>
      <c r="Y946" s="7">
        <v>74.0</v>
      </c>
      <c r="Z946" s="7">
        <f>VLOOKUP(A946,Jogos!A:L,3,0)</f>
        <v>50</v>
      </c>
      <c r="AA946" s="7">
        <f t="shared" si="2229"/>
        <v>50</v>
      </c>
      <c r="AB946" s="7">
        <f>VLOOKUP(A946,Jogos!A:L,4,0)</f>
        <v>48</v>
      </c>
      <c r="AC946" s="7">
        <f t="shared" si="2230"/>
        <v>29</v>
      </c>
      <c r="AD946" s="7"/>
      <c r="AE946" s="7"/>
      <c r="AF946" s="7">
        <f t="shared" si="2231"/>
        <v>79</v>
      </c>
      <c r="AG946" s="7">
        <v>9204.5</v>
      </c>
      <c r="AH946" s="7">
        <v>3111.9</v>
      </c>
      <c r="AI946" s="7">
        <v>3583.8</v>
      </c>
      <c r="AJ946" s="7">
        <v>1429.3</v>
      </c>
      <c r="AK946" s="7">
        <v>648.0</v>
      </c>
      <c r="AL946" s="7">
        <v>431.3</v>
      </c>
      <c r="AM946" s="7">
        <v>118.0</v>
      </c>
      <c r="AN946" s="7">
        <v>54.0</v>
      </c>
      <c r="AO946" s="7">
        <v>33.0</v>
      </c>
      <c r="AP946" s="9">
        <f t="shared" ref="AP946:AR946" si="2956">AG946/$AF946</f>
        <v>116.5126582</v>
      </c>
      <c r="AQ946" s="9">
        <f t="shared" si="2956"/>
        <v>39.39113924</v>
      </c>
      <c r="AR946" s="9">
        <f t="shared" si="2956"/>
        <v>45.36455696</v>
      </c>
      <c r="AS946" s="9">
        <f t="shared" si="2233"/>
        <v>84.7556962</v>
      </c>
      <c r="AT946" s="9">
        <f t="shared" ref="AT946:AV946" si="2957">AJ946/$AF946</f>
        <v>18.09240506</v>
      </c>
      <c r="AU946" s="9">
        <f t="shared" si="2957"/>
        <v>8.202531646</v>
      </c>
      <c r="AV946" s="9">
        <f t="shared" si="2957"/>
        <v>5.459493671</v>
      </c>
      <c r="AW946" s="9">
        <f t="shared" si="2235"/>
        <v>13.66202532</v>
      </c>
      <c r="AX946" s="9">
        <f t="shared" ref="AX946:AY946" si="2958">AM946/$AF946</f>
        <v>1.493670886</v>
      </c>
      <c r="AY946" s="9">
        <f t="shared" si="2958"/>
        <v>0.6835443038</v>
      </c>
      <c r="AZ946" s="9">
        <f>VLOOKUP(A946,Jogos!A:BN,58,0)</f>
        <v>26.665</v>
      </c>
      <c r="BA946" s="9">
        <f>VLOOKUP(A946,Jogos!A:BN,59,0)</f>
        <v>20.325</v>
      </c>
      <c r="BB946" s="9">
        <f>VLOOKUP(A946,Jogos!A:BN,60,0)</f>
        <v>68</v>
      </c>
      <c r="BC946" s="9">
        <f>VLOOKUP(A946,Jogos!A:BN,61,0)</f>
        <v>25.28</v>
      </c>
      <c r="BD946" s="9">
        <f>VLOOKUP(A946,Jogos!A:BN,62,0)</f>
        <v>0</v>
      </c>
      <c r="BE946" s="9">
        <f>VLOOKUP(A946,Jogos!A:BN,63,0)</f>
        <v>1.175</v>
      </c>
      <c r="BF946" s="9">
        <f>VLOOKUP(A946,Jogos!A:BN,64,0)</f>
        <v>23.44</v>
      </c>
      <c r="BG946" s="9">
        <f>VLOOKUP(A946,Jogos!A:BN,65,0)</f>
        <v>41.145</v>
      </c>
      <c r="BH946" s="9">
        <f>VLOOKUP(A946,Jogos!A:BN,66,0)</f>
        <v>27.3</v>
      </c>
      <c r="BI946" s="9"/>
      <c r="BJ946" s="9"/>
    </row>
    <row r="947" hidden="1">
      <c r="A947" s="10">
        <v>32.0</v>
      </c>
      <c r="B947" s="11" t="s">
        <v>809</v>
      </c>
      <c r="C947" s="2" t="s">
        <v>61</v>
      </c>
      <c r="D947" s="12">
        <v>45830.0</v>
      </c>
      <c r="E947" s="13">
        <v>0.875</v>
      </c>
      <c r="F947" s="5" t="str">
        <f>VLOOKUP(A947,Jogos!A:N,10,0)</f>
        <v>Evening</v>
      </c>
      <c r="G947" s="11" t="s">
        <v>376</v>
      </c>
      <c r="H947" s="6" t="str">
        <f>VLOOKUP(A947,Jogos!A:L,12,0)</f>
        <v>Closed</v>
      </c>
      <c r="I947" s="6" t="str">
        <f>VLOOKUP(G947,'Estádios e Cidades'!A:B,2,0)</f>
        <v>Atlanta</v>
      </c>
      <c r="J947" s="11" t="s">
        <v>998</v>
      </c>
      <c r="K947" s="2" t="str">
        <f>VLOOKUP(J947,Equipes!A:F,6,0)</f>
        <v>Tropical</v>
      </c>
      <c r="L947" s="2">
        <f>VLOOKUP(J947,Equipes!A:C,3,0)</f>
        <v>22</v>
      </c>
      <c r="M947" s="2" t="str">
        <f t="shared" si="4"/>
        <v>Group</v>
      </c>
      <c r="N947" s="11" t="s">
        <v>810</v>
      </c>
      <c r="O947" s="2">
        <f>VLOOKUP(N947,Equipes!A:C,3,0)</f>
        <v>9</v>
      </c>
      <c r="P947" s="2" t="str">
        <f t="shared" si="5"/>
        <v>Round of 16</v>
      </c>
      <c r="Q947" s="2">
        <f t="shared" si="6"/>
        <v>13</v>
      </c>
      <c r="R947" s="2" t="str">
        <f>VLOOKUP(J947,Equipes!A:B,2,0)</f>
        <v>AlAin</v>
      </c>
      <c r="S947" s="6" t="s">
        <v>1016</v>
      </c>
      <c r="T947" s="7">
        <v>36.0</v>
      </c>
      <c r="U947" s="7" t="s">
        <v>1017</v>
      </c>
      <c r="V947" s="7" t="str">
        <f>VLOOKUP(U947,Jogadores!B:C,2,0)</f>
        <v>DF</v>
      </c>
      <c r="W947" s="8">
        <f>VLOOKUP(U947,Jogadores!B:D,3,0)</f>
        <v>26.58630137</v>
      </c>
      <c r="X947" s="7">
        <v>0.0</v>
      </c>
      <c r="Y947" s="7">
        <v>62.0</v>
      </c>
      <c r="Z947" s="7">
        <f>VLOOKUP(A947,Jogos!A:L,3,0)</f>
        <v>50</v>
      </c>
      <c r="AA947" s="7">
        <f t="shared" si="2229"/>
        <v>50</v>
      </c>
      <c r="AB947" s="7">
        <f>VLOOKUP(A947,Jogos!A:L,4,0)</f>
        <v>48</v>
      </c>
      <c r="AC947" s="7">
        <f t="shared" si="2230"/>
        <v>17</v>
      </c>
      <c r="AD947" s="7"/>
      <c r="AE947" s="7"/>
      <c r="AF947" s="7">
        <f t="shared" si="2231"/>
        <v>67</v>
      </c>
      <c r="AG947" s="7">
        <v>6492.8</v>
      </c>
      <c r="AH947" s="7">
        <v>2945.0</v>
      </c>
      <c r="AI947" s="7">
        <v>2672.0</v>
      </c>
      <c r="AJ947" s="7">
        <v>606.3</v>
      </c>
      <c r="AK947" s="7">
        <v>184.2</v>
      </c>
      <c r="AL947" s="7">
        <v>85.3</v>
      </c>
      <c r="AM947" s="7">
        <v>62.0</v>
      </c>
      <c r="AN947" s="7">
        <v>16.0</v>
      </c>
      <c r="AO947" s="7">
        <v>32.1</v>
      </c>
      <c r="AP947" s="9">
        <f t="shared" ref="AP947:AR947" si="2959">AG947/$AF947</f>
        <v>96.90746269</v>
      </c>
      <c r="AQ947" s="9">
        <f t="shared" si="2959"/>
        <v>43.95522388</v>
      </c>
      <c r="AR947" s="9">
        <f t="shared" si="2959"/>
        <v>39.88059701</v>
      </c>
      <c r="AS947" s="9">
        <f t="shared" si="2233"/>
        <v>83.8358209</v>
      </c>
      <c r="AT947" s="9">
        <f t="shared" ref="AT947:AV947" si="2960">AJ947/$AF947</f>
        <v>9.049253731</v>
      </c>
      <c r="AU947" s="9">
        <f t="shared" si="2960"/>
        <v>2.749253731</v>
      </c>
      <c r="AV947" s="9">
        <f t="shared" si="2960"/>
        <v>1.273134328</v>
      </c>
      <c r="AW947" s="9">
        <f t="shared" si="2235"/>
        <v>4.02238806</v>
      </c>
      <c r="AX947" s="9">
        <f t="shared" ref="AX947:AY947" si="2961">AM947/$AF947</f>
        <v>0.9253731343</v>
      </c>
      <c r="AY947" s="9">
        <f t="shared" si="2961"/>
        <v>0.2388059701</v>
      </c>
      <c r="AZ947" s="9">
        <f>VLOOKUP(A947,Jogos!A:BN,58,0)</f>
        <v>26.665</v>
      </c>
      <c r="BA947" s="9">
        <f>VLOOKUP(A947,Jogos!A:BN,59,0)</f>
        <v>20.325</v>
      </c>
      <c r="BB947" s="9">
        <f>VLOOKUP(A947,Jogos!A:BN,60,0)</f>
        <v>68</v>
      </c>
      <c r="BC947" s="9">
        <f>VLOOKUP(A947,Jogos!A:BN,61,0)</f>
        <v>25.28</v>
      </c>
      <c r="BD947" s="9">
        <f>VLOOKUP(A947,Jogos!A:BN,62,0)</f>
        <v>0</v>
      </c>
      <c r="BE947" s="9">
        <f>VLOOKUP(A947,Jogos!A:BN,63,0)</f>
        <v>1.175</v>
      </c>
      <c r="BF947" s="9">
        <f>VLOOKUP(A947,Jogos!A:BN,64,0)</f>
        <v>23.44</v>
      </c>
      <c r="BG947" s="9">
        <f>VLOOKUP(A947,Jogos!A:BN,65,0)</f>
        <v>41.145</v>
      </c>
      <c r="BH947" s="9">
        <f>VLOOKUP(A947,Jogos!A:BN,66,0)</f>
        <v>27.3</v>
      </c>
      <c r="BI947" s="9"/>
      <c r="BJ947" s="9"/>
    </row>
    <row r="948" hidden="1">
      <c r="A948" s="10">
        <v>32.0</v>
      </c>
      <c r="B948" s="11" t="s">
        <v>809</v>
      </c>
      <c r="C948" s="2" t="s">
        <v>61</v>
      </c>
      <c r="D948" s="12">
        <v>45830.0</v>
      </c>
      <c r="E948" s="13">
        <v>0.875</v>
      </c>
      <c r="F948" s="5" t="str">
        <f>VLOOKUP(A948,Jogos!A:N,10,0)</f>
        <v>Evening</v>
      </c>
      <c r="G948" s="11" t="s">
        <v>376</v>
      </c>
      <c r="H948" s="6" t="str">
        <f>VLOOKUP(A948,Jogos!A:L,12,0)</f>
        <v>Closed</v>
      </c>
      <c r="I948" s="6" t="str">
        <f>VLOOKUP(G948,'Estádios e Cidades'!A:B,2,0)</f>
        <v>Atlanta</v>
      </c>
      <c r="J948" s="11" t="s">
        <v>998</v>
      </c>
      <c r="K948" s="2" t="str">
        <f>VLOOKUP(J948,Equipes!A:F,6,0)</f>
        <v>Tropical</v>
      </c>
      <c r="L948" s="2">
        <f>VLOOKUP(J948,Equipes!A:C,3,0)</f>
        <v>22</v>
      </c>
      <c r="M948" s="2" t="str">
        <f t="shared" si="4"/>
        <v>Group</v>
      </c>
      <c r="N948" s="11" t="s">
        <v>810</v>
      </c>
      <c r="O948" s="2">
        <f>VLOOKUP(N948,Equipes!A:C,3,0)</f>
        <v>9</v>
      </c>
      <c r="P948" s="2" t="str">
        <f t="shared" si="5"/>
        <v>Round of 16</v>
      </c>
      <c r="Q948" s="2">
        <f t="shared" si="6"/>
        <v>13</v>
      </c>
      <c r="R948" s="2" t="str">
        <f>VLOOKUP(J948,Equipes!A:B,2,0)</f>
        <v>AlAin</v>
      </c>
      <c r="S948" s="6" t="s">
        <v>1024</v>
      </c>
      <c r="T948" s="7">
        <v>56.0</v>
      </c>
      <c r="U948" s="7" t="s">
        <v>1025</v>
      </c>
      <c r="V948" s="7" t="str">
        <f>VLOOKUP(U948,Jogadores!B:C,2,0)</f>
        <v>DF</v>
      </c>
      <c r="W948" s="8">
        <f>VLOOKUP(U948,Jogadores!B:D,3,0)</f>
        <v>19.92328767</v>
      </c>
      <c r="X948" s="7">
        <v>0.0</v>
      </c>
      <c r="Y948" s="7">
        <f t="shared" ref="Y948:Y957" si="2965">45+AB948</f>
        <v>93</v>
      </c>
      <c r="Z948" s="7">
        <f>VLOOKUP(A948,Jogos!A:L,3,0)</f>
        <v>50</v>
      </c>
      <c r="AA948" s="7">
        <f t="shared" si="2229"/>
        <v>50</v>
      </c>
      <c r="AB948" s="7">
        <f>VLOOKUP(A948,Jogos!A:L,4,0)</f>
        <v>48</v>
      </c>
      <c r="AC948" s="7">
        <f t="shared" si="2230"/>
        <v>48</v>
      </c>
      <c r="AD948" s="7"/>
      <c r="AE948" s="7"/>
      <c r="AF948" s="7">
        <f t="shared" si="2231"/>
        <v>98</v>
      </c>
      <c r="AG948" s="7">
        <v>9405.0</v>
      </c>
      <c r="AH948" s="7">
        <v>3538.6</v>
      </c>
      <c r="AI948" s="7">
        <v>4331.9</v>
      </c>
      <c r="AJ948" s="7">
        <v>1190.7</v>
      </c>
      <c r="AK948" s="7">
        <v>199.0</v>
      </c>
      <c r="AL948" s="7">
        <v>144.9</v>
      </c>
      <c r="AM948" s="7">
        <v>99.0</v>
      </c>
      <c r="AN948" s="7">
        <v>21.0</v>
      </c>
      <c r="AO948" s="7">
        <v>33.0</v>
      </c>
      <c r="AP948" s="9">
        <f t="shared" ref="AP948:AR948" si="2962">AG948/$AF948</f>
        <v>95.96938776</v>
      </c>
      <c r="AQ948" s="9">
        <f t="shared" si="2962"/>
        <v>36.10816327</v>
      </c>
      <c r="AR948" s="9">
        <f t="shared" si="2962"/>
        <v>44.20306122</v>
      </c>
      <c r="AS948" s="9">
        <f t="shared" si="2233"/>
        <v>80.31122449</v>
      </c>
      <c r="AT948" s="9">
        <f t="shared" ref="AT948:AV948" si="2963">AJ948/$AF948</f>
        <v>12.15</v>
      </c>
      <c r="AU948" s="9">
        <f t="shared" si="2963"/>
        <v>2.030612245</v>
      </c>
      <c r="AV948" s="9">
        <f t="shared" si="2963"/>
        <v>1.478571429</v>
      </c>
      <c r="AW948" s="9">
        <f t="shared" si="2235"/>
        <v>3.509183673</v>
      </c>
      <c r="AX948" s="9">
        <f t="shared" ref="AX948:AY948" si="2964">AM948/$AF948</f>
        <v>1.010204082</v>
      </c>
      <c r="AY948" s="9">
        <f t="shared" si="2964"/>
        <v>0.2142857143</v>
      </c>
      <c r="AZ948" s="9">
        <f>VLOOKUP(A948,Jogos!A:BN,58,0)</f>
        <v>26.665</v>
      </c>
      <c r="BA948" s="9">
        <f>VLOOKUP(A948,Jogos!A:BN,59,0)</f>
        <v>20.325</v>
      </c>
      <c r="BB948" s="9">
        <f>VLOOKUP(A948,Jogos!A:BN,60,0)</f>
        <v>68</v>
      </c>
      <c r="BC948" s="9">
        <f>VLOOKUP(A948,Jogos!A:BN,61,0)</f>
        <v>25.28</v>
      </c>
      <c r="BD948" s="9">
        <f>VLOOKUP(A948,Jogos!A:BN,62,0)</f>
        <v>0</v>
      </c>
      <c r="BE948" s="9">
        <f>VLOOKUP(A948,Jogos!A:BN,63,0)</f>
        <v>1.175</v>
      </c>
      <c r="BF948" s="9">
        <f>VLOOKUP(A948,Jogos!A:BN,64,0)</f>
        <v>23.44</v>
      </c>
      <c r="BG948" s="9">
        <f>VLOOKUP(A948,Jogos!A:BN,65,0)</f>
        <v>41.145</v>
      </c>
      <c r="BH948" s="9">
        <f>VLOOKUP(A948,Jogos!A:BN,66,0)</f>
        <v>27.3</v>
      </c>
      <c r="BI948" s="9"/>
      <c r="BJ948" s="9"/>
    </row>
    <row r="949" hidden="1">
      <c r="A949" s="10">
        <v>32.0</v>
      </c>
      <c r="B949" s="11" t="s">
        <v>809</v>
      </c>
      <c r="C949" s="2" t="s">
        <v>61</v>
      </c>
      <c r="D949" s="12">
        <v>45830.0</v>
      </c>
      <c r="E949" s="13">
        <v>0.875</v>
      </c>
      <c r="F949" s="5" t="str">
        <f>VLOOKUP(A949,Jogos!A:N,10,0)</f>
        <v>Evening</v>
      </c>
      <c r="G949" s="11" t="s">
        <v>376</v>
      </c>
      <c r="H949" s="6" t="str">
        <f>VLOOKUP(A949,Jogos!A:L,12,0)</f>
        <v>Closed</v>
      </c>
      <c r="I949" s="6" t="str">
        <f>VLOOKUP(G949,'Estádios e Cidades'!A:B,2,0)</f>
        <v>Atlanta</v>
      </c>
      <c r="J949" s="11" t="s">
        <v>998</v>
      </c>
      <c r="K949" s="2" t="str">
        <f>VLOOKUP(J949,Equipes!A:F,6,0)</f>
        <v>Tropical</v>
      </c>
      <c r="L949" s="2">
        <f>VLOOKUP(J949,Equipes!A:C,3,0)</f>
        <v>22</v>
      </c>
      <c r="M949" s="2" t="str">
        <f t="shared" si="4"/>
        <v>Group</v>
      </c>
      <c r="N949" s="11" t="s">
        <v>810</v>
      </c>
      <c r="O949" s="2">
        <f>VLOOKUP(N949,Equipes!A:C,3,0)</f>
        <v>9</v>
      </c>
      <c r="P949" s="2" t="str">
        <f t="shared" si="5"/>
        <v>Round of 16</v>
      </c>
      <c r="Q949" s="2">
        <f t="shared" si="6"/>
        <v>13</v>
      </c>
      <c r="R949" s="2" t="str">
        <f>VLOOKUP(J949,Equipes!A:B,2,0)</f>
        <v>AlAin</v>
      </c>
      <c r="S949" s="6" t="s">
        <v>1018</v>
      </c>
      <c r="T949" s="7">
        <v>70.0</v>
      </c>
      <c r="U949" s="7" t="s">
        <v>1019</v>
      </c>
      <c r="V949" s="7" t="str">
        <f>VLOOKUP(U949,Jogadores!B:C,2,0)</f>
        <v>MF</v>
      </c>
      <c r="W949" s="8">
        <f>VLOOKUP(U949,Jogadores!B:D,3,0)</f>
        <v>20.55616438</v>
      </c>
      <c r="X949" s="7">
        <v>0.0</v>
      </c>
      <c r="Y949" s="7">
        <f t="shared" si="2965"/>
        <v>93</v>
      </c>
      <c r="Z949" s="7">
        <f>VLOOKUP(A949,Jogos!A:L,3,0)</f>
        <v>50</v>
      </c>
      <c r="AA949" s="7">
        <f t="shared" si="2229"/>
        <v>50</v>
      </c>
      <c r="AB949" s="7">
        <f>VLOOKUP(A949,Jogos!A:L,4,0)</f>
        <v>48</v>
      </c>
      <c r="AC949" s="7">
        <f t="shared" si="2230"/>
        <v>48</v>
      </c>
      <c r="AD949" s="7"/>
      <c r="AE949" s="7"/>
      <c r="AF949" s="7">
        <f t="shared" si="2231"/>
        <v>98</v>
      </c>
      <c r="AG949" s="7">
        <v>11628.6</v>
      </c>
      <c r="AH949" s="7">
        <v>3554.9</v>
      </c>
      <c r="AI949" s="7">
        <v>6089.8</v>
      </c>
      <c r="AJ949" s="7">
        <v>1474.8</v>
      </c>
      <c r="AK949" s="7">
        <v>420.6</v>
      </c>
      <c r="AL949" s="7">
        <v>88.5</v>
      </c>
      <c r="AM949" s="7">
        <v>142.0</v>
      </c>
      <c r="AN949" s="7">
        <v>36.0</v>
      </c>
      <c r="AO949" s="7">
        <v>31.2</v>
      </c>
      <c r="AP949" s="9">
        <f t="shared" ref="AP949:AR949" si="2966">AG949/$AF949</f>
        <v>118.6591837</v>
      </c>
      <c r="AQ949" s="9">
        <f t="shared" si="2966"/>
        <v>36.2744898</v>
      </c>
      <c r="AR949" s="9">
        <f t="shared" si="2966"/>
        <v>62.14081633</v>
      </c>
      <c r="AS949" s="9">
        <f t="shared" si="2233"/>
        <v>98.41530612</v>
      </c>
      <c r="AT949" s="9">
        <f t="shared" ref="AT949:AV949" si="2967">AJ949/$AF949</f>
        <v>15.04897959</v>
      </c>
      <c r="AU949" s="9">
        <f t="shared" si="2967"/>
        <v>4.291836735</v>
      </c>
      <c r="AV949" s="9">
        <f t="shared" si="2967"/>
        <v>0.9030612245</v>
      </c>
      <c r="AW949" s="9">
        <f t="shared" si="2235"/>
        <v>5.194897959</v>
      </c>
      <c r="AX949" s="9">
        <f t="shared" ref="AX949:AY949" si="2968">AM949/$AF949</f>
        <v>1.448979592</v>
      </c>
      <c r="AY949" s="9">
        <f t="shared" si="2968"/>
        <v>0.3673469388</v>
      </c>
      <c r="AZ949" s="9">
        <f>VLOOKUP(A949,Jogos!A:BN,58,0)</f>
        <v>26.665</v>
      </c>
      <c r="BA949" s="9">
        <f>VLOOKUP(A949,Jogos!A:BN,59,0)</f>
        <v>20.325</v>
      </c>
      <c r="BB949" s="9">
        <f>VLOOKUP(A949,Jogos!A:BN,60,0)</f>
        <v>68</v>
      </c>
      <c r="BC949" s="9">
        <f>VLOOKUP(A949,Jogos!A:BN,61,0)</f>
        <v>25.28</v>
      </c>
      <c r="BD949" s="9">
        <f>VLOOKUP(A949,Jogos!A:BN,62,0)</f>
        <v>0</v>
      </c>
      <c r="BE949" s="9">
        <f>VLOOKUP(A949,Jogos!A:BN,63,0)</f>
        <v>1.175</v>
      </c>
      <c r="BF949" s="9">
        <f>VLOOKUP(A949,Jogos!A:BN,64,0)</f>
        <v>23.44</v>
      </c>
      <c r="BG949" s="9">
        <f>VLOOKUP(A949,Jogos!A:BN,65,0)</f>
        <v>41.145</v>
      </c>
      <c r="BH949" s="9">
        <f>VLOOKUP(A949,Jogos!A:BN,66,0)</f>
        <v>27.3</v>
      </c>
      <c r="BI949" s="9"/>
      <c r="BJ949" s="9"/>
    </row>
    <row r="950" hidden="1">
      <c r="A950" s="10">
        <v>32.0</v>
      </c>
      <c r="B950" s="11" t="s">
        <v>809</v>
      </c>
      <c r="C950" s="2" t="s">
        <v>61</v>
      </c>
      <c r="D950" s="12">
        <v>45830.0</v>
      </c>
      <c r="E950" s="13">
        <v>0.875</v>
      </c>
      <c r="F950" s="5" t="str">
        <f>VLOOKUP(A950,Jogos!A:N,10,0)</f>
        <v>Evening</v>
      </c>
      <c r="G950" s="11" t="s">
        <v>376</v>
      </c>
      <c r="H950" s="6" t="str">
        <f>VLOOKUP(A950,Jogos!A:L,12,0)</f>
        <v>Closed</v>
      </c>
      <c r="I950" s="6" t="str">
        <f>VLOOKUP(G950,'Estádios e Cidades'!A:B,2,0)</f>
        <v>Atlanta</v>
      </c>
      <c r="J950" s="11" t="s">
        <v>998</v>
      </c>
      <c r="K950" s="2" t="str">
        <f>VLOOKUP(J950,Equipes!A:F,6,0)</f>
        <v>Tropical</v>
      </c>
      <c r="L950" s="2">
        <f>VLOOKUP(J950,Equipes!A:C,3,0)</f>
        <v>22</v>
      </c>
      <c r="M950" s="2" t="str">
        <f t="shared" si="4"/>
        <v>Group</v>
      </c>
      <c r="N950" s="11" t="s">
        <v>810</v>
      </c>
      <c r="O950" s="2">
        <f>VLOOKUP(N950,Equipes!A:C,3,0)</f>
        <v>9</v>
      </c>
      <c r="P950" s="2" t="str">
        <f t="shared" si="5"/>
        <v>Round of 16</v>
      </c>
      <c r="Q950" s="2">
        <f t="shared" si="6"/>
        <v>13</v>
      </c>
      <c r="R950" s="2" t="str">
        <f>VLOOKUP(J950,Equipes!A:B,2,0)</f>
        <v>AlAin</v>
      </c>
      <c r="S950" s="6" t="s">
        <v>1028</v>
      </c>
      <c r="T950" s="7">
        <v>97.0</v>
      </c>
      <c r="U950" s="7" t="s">
        <v>1029</v>
      </c>
      <c r="V950" s="7" t="str">
        <f>VLOOKUP(U950,Jogadores!B:C,2,0)</f>
        <v>DF</v>
      </c>
      <c r="W950" s="8">
        <f>VLOOKUP(U950,Jogadores!B:D,3,0)</f>
        <v>22.47123288</v>
      </c>
      <c r="X950" s="7">
        <v>0.0</v>
      </c>
      <c r="Y950" s="7">
        <f t="shared" si="2965"/>
        <v>93</v>
      </c>
      <c r="Z950" s="7">
        <f>VLOOKUP(A950,Jogos!A:L,3,0)</f>
        <v>50</v>
      </c>
      <c r="AA950" s="7">
        <f t="shared" si="2229"/>
        <v>50</v>
      </c>
      <c r="AB950" s="7">
        <f>VLOOKUP(A950,Jogos!A:L,4,0)</f>
        <v>48</v>
      </c>
      <c r="AC950" s="7">
        <f t="shared" si="2230"/>
        <v>48</v>
      </c>
      <c r="AD950" s="7"/>
      <c r="AE950" s="7"/>
      <c r="AF950" s="7">
        <f t="shared" si="2231"/>
        <v>98</v>
      </c>
      <c r="AG950" s="7">
        <v>11027.6</v>
      </c>
      <c r="AH950" s="7">
        <v>3589.8</v>
      </c>
      <c r="AI950" s="7">
        <v>5188.8</v>
      </c>
      <c r="AJ950" s="7">
        <v>1541.7</v>
      </c>
      <c r="AK950" s="7">
        <v>500.7</v>
      </c>
      <c r="AL950" s="7">
        <v>206.6</v>
      </c>
      <c r="AM950" s="7">
        <v>136.0</v>
      </c>
      <c r="AN950" s="7">
        <v>43.0</v>
      </c>
      <c r="AO950" s="7">
        <v>31.6</v>
      </c>
      <c r="AP950" s="9">
        <f t="shared" ref="AP950:AR950" si="2969">AG950/$AF950</f>
        <v>112.5265306</v>
      </c>
      <c r="AQ950" s="9">
        <f t="shared" si="2969"/>
        <v>36.63061224</v>
      </c>
      <c r="AR950" s="9">
        <f t="shared" si="2969"/>
        <v>52.94693878</v>
      </c>
      <c r="AS950" s="9">
        <f t="shared" si="2233"/>
        <v>89.57755102</v>
      </c>
      <c r="AT950" s="9">
        <f t="shared" ref="AT950:AV950" si="2970">AJ950/$AF950</f>
        <v>15.73163265</v>
      </c>
      <c r="AU950" s="9">
        <f t="shared" si="2970"/>
        <v>5.109183673</v>
      </c>
      <c r="AV950" s="9">
        <f t="shared" si="2970"/>
        <v>2.108163265</v>
      </c>
      <c r="AW950" s="9">
        <f t="shared" si="2235"/>
        <v>7.217346939</v>
      </c>
      <c r="AX950" s="9">
        <f t="shared" ref="AX950:AY950" si="2971">AM950/$AF950</f>
        <v>1.387755102</v>
      </c>
      <c r="AY950" s="9">
        <f t="shared" si="2971"/>
        <v>0.4387755102</v>
      </c>
      <c r="AZ950" s="9">
        <f>VLOOKUP(A950,Jogos!A:BN,58,0)</f>
        <v>26.665</v>
      </c>
      <c r="BA950" s="9">
        <f>VLOOKUP(A950,Jogos!A:BN,59,0)</f>
        <v>20.325</v>
      </c>
      <c r="BB950" s="9">
        <f>VLOOKUP(A950,Jogos!A:BN,60,0)</f>
        <v>68</v>
      </c>
      <c r="BC950" s="9">
        <f>VLOOKUP(A950,Jogos!A:BN,61,0)</f>
        <v>25.28</v>
      </c>
      <c r="BD950" s="9">
        <f>VLOOKUP(A950,Jogos!A:BN,62,0)</f>
        <v>0</v>
      </c>
      <c r="BE950" s="9">
        <f>VLOOKUP(A950,Jogos!A:BN,63,0)</f>
        <v>1.175</v>
      </c>
      <c r="BF950" s="9">
        <f>VLOOKUP(A950,Jogos!A:BN,64,0)</f>
        <v>23.44</v>
      </c>
      <c r="BG950" s="9">
        <f>VLOOKUP(A950,Jogos!A:BN,65,0)</f>
        <v>41.145</v>
      </c>
      <c r="BH950" s="9">
        <f>VLOOKUP(A950,Jogos!A:BN,66,0)</f>
        <v>27.3</v>
      </c>
      <c r="BI950" s="9"/>
      <c r="BJ950" s="9"/>
    </row>
    <row r="951" hidden="1">
      <c r="A951" s="10">
        <v>32.0</v>
      </c>
      <c r="B951" s="11" t="s">
        <v>809</v>
      </c>
      <c r="C951" s="2" t="s">
        <v>61</v>
      </c>
      <c r="D951" s="12">
        <v>45830.0</v>
      </c>
      <c r="E951" s="13">
        <v>0.875</v>
      </c>
      <c r="F951" s="5" t="str">
        <f>VLOOKUP(A951,Jogos!A:N,10,0)</f>
        <v>Evening</v>
      </c>
      <c r="G951" s="11" t="s">
        <v>376</v>
      </c>
      <c r="H951" s="6" t="str">
        <f>VLOOKUP(A951,Jogos!A:L,12,0)</f>
        <v>Closed</v>
      </c>
      <c r="I951" s="6" t="str">
        <f>VLOOKUP(G951,'Estádios e Cidades'!A:B,2,0)</f>
        <v>Atlanta</v>
      </c>
      <c r="J951" s="11" t="s">
        <v>998</v>
      </c>
      <c r="K951" s="2" t="str">
        <f>VLOOKUP(J951,Equipes!A:F,6,0)</f>
        <v>Tropical</v>
      </c>
      <c r="L951" s="2">
        <f>VLOOKUP(J951,Equipes!A:C,3,0)</f>
        <v>22</v>
      </c>
      <c r="M951" s="2" t="str">
        <f t="shared" si="4"/>
        <v>Group</v>
      </c>
      <c r="N951" s="11" t="s">
        <v>810</v>
      </c>
      <c r="O951" s="2">
        <f>VLOOKUP(N951,Equipes!A:C,3,0)</f>
        <v>9</v>
      </c>
      <c r="P951" s="2" t="str">
        <f t="shared" si="5"/>
        <v>Round of 16</v>
      </c>
      <c r="Q951" s="2">
        <f t="shared" si="6"/>
        <v>13</v>
      </c>
      <c r="R951" s="2" t="str">
        <f>VLOOKUP(J951,Equipes!A:B,2,0)</f>
        <v>AlAin</v>
      </c>
      <c r="S951" s="6" t="s">
        <v>1004</v>
      </c>
      <c r="T951" s="7">
        <v>9.0</v>
      </c>
      <c r="U951" s="7" t="s">
        <v>1005</v>
      </c>
      <c r="V951" s="7" t="str">
        <f>VLOOKUP(U951,Jogadores!B:C,2,0)</f>
        <v>FW</v>
      </c>
      <c r="W951" s="8">
        <f>VLOOKUP(U951,Jogadores!B:D,3,0)</f>
        <v>33.52328767</v>
      </c>
      <c r="X951" s="7">
        <v>45.0</v>
      </c>
      <c r="Y951" s="7">
        <f t="shared" si="2965"/>
        <v>93</v>
      </c>
      <c r="Z951" s="7">
        <f>VLOOKUP(A951,Jogos!A:L,3,0)</f>
        <v>50</v>
      </c>
      <c r="AA951" s="7">
        <f t="shared" si="2229"/>
        <v>0</v>
      </c>
      <c r="AB951" s="7">
        <f>VLOOKUP(A951,Jogos!A:L,4,0)</f>
        <v>48</v>
      </c>
      <c r="AC951" s="7">
        <f t="shared" si="2230"/>
        <v>48</v>
      </c>
      <c r="AD951" s="7"/>
      <c r="AE951" s="7"/>
      <c r="AF951" s="7">
        <f t="shared" si="2231"/>
        <v>48</v>
      </c>
      <c r="AG951" s="7">
        <v>5236.3</v>
      </c>
      <c r="AH951" s="7">
        <v>1881.8</v>
      </c>
      <c r="AI951" s="7">
        <v>2293.0</v>
      </c>
      <c r="AJ951" s="7">
        <v>547.6</v>
      </c>
      <c r="AK951" s="7">
        <v>321.2</v>
      </c>
      <c r="AL951" s="7">
        <v>192.6</v>
      </c>
      <c r="AM951" s="7">
        <v>50.0</v>
      </c>
      <c r="AN951" s="7">
        <v>23.0</v>
      </c>
      <c r="AO951" s="7">
        <v>31.1</v>
      </c>
      <c r="AP951" s="9">
        <f t="shared" ref="AP951:AR951" si="2972">AG951/$AF951</f>
        <v>109.0895833</v>
      </c>
      <c r="AQ951" s="9">
        <f t="shared" si="2972"/>
        <v>39.20416667</v>
      </c>
      <c r="AR951" s="9">
        <f t="shared" si="2972"/>
        <v>47.77083333</v>
      </c>
      <c r="AS951" s="9">
        <f t="shared" si="2233"/>
        <v>86.975</v>
      </c>
      <c r="AT951" s="9">
        <f t="shared" ref="AT951:AV951" si="2973">AJ951/$AF951</f>
        <v>11.40833333</v>
      </c>
      <c r="AU951" s="9">
        <f t="shared" si="2973"/>
        <v>6.691666667</v>
      </c>
      <c r="AV951" s="9">
        <f t="shared" si="2973"/>
        <v>4.0125</v>
      </c>
      <c r="AW951" s="9">
        <f t="shared" si="2235"/>
        <v>10.70416667</v>
      </c>
      <c r="AX951" s="9">
        <f t="shared" ref="AX951:AY951" si="2974">AM951/$AF951</f>
        <v>1.041666667</v>
      </c>
      <c r="AY951" s="9">
        <f t="shared" si="2974"/>
        <v>0.4791666667</v>
      </c>
      <c r="AZ951" s="9">
        <f>VLOOKUP(A951,Jogos!A:BN,58,0)</f>
        <v>26.665</v>
      </c>
      <c r="BA951" s="9">
        <f>VLOOKUP(A951,Jogos!A:BN,59,0)</f>
        <v>20.325</v>
      </c>
      <c r="BB951" s="9">
        <f>VLOOKUP(A951,Jogos!A:BN,60,0)</f>
        <v>68</v>
      </c>
      <c r="BC951" s="9">
        <f>VLOOKUP(A951,Jogos!A:BN,61,0)</f>
        <v>25.28</v>
      </c>
      <c r="BD951" s="9">
        <f>VLOOKUP(A951,Jogos!A:BN,62,0)</f>
        <v>0</v>
      </c>
      <c r="BE951" s="9">
        <f>VLOOKUP(A951,Jogos!A:BN,63,0)</f>
        <v>1.175</v>
      </c>
      <c r="BF951" s="9">
        <f>VLOOKUP(A951,Jogos!A:BN,64,0)</f>
        <v>23.44</v>
      </c>
      <c r="BG951" s="9">
        <f>VLOOKUP(A951,Jogos!A:BN,65,0)</f>
        <v>41.145</v>
      </c>
      <c r="BH951" s="9">
        <f>VLOOKUP(A951,Jogos!A:BN,66,0)</f>
        <v>27.3</v>
      </c>
      <c r="BI951" s="9"/>
      <c r="BJ951" s="9"/>
    </row>
    <row r="952" hidden="1">
      <c r="A952" s="10">
        <v>32.0</v>
      </c>
      <c r="B952" s="11" t="s">
        <v>809</v>
      </c>
      <c r="C952" s="2" t="s">
        <v>61</v>
      </c>
      <c r="D952" s="12">
        <v>45830.0</v>
      </c>
      <c r="E952" s="13">
        <v>0.875</v>
      </c>
      <c r="F952" s="5" t="str">
        <f>VLOOKUP(A952,Jogos!A:N,10,0)</f>
        <v>Evening</v>
      </c>
      <c r="G952" s="11" t="s">
        <v>376</v>
      </c>
      <c r="H952" s="6" t="str">
        <f>VLOOKUP(A952,Jogos!A:L,12,0)</f>
        <v>Closed</v>
      </c>
      <c r="I952" s="6" t="str">
        <f>VLOOKUP(G952,'Estádios e Cidades'!A:B,2,0)</f>
        <v>Atlanta</v>
      </c>
      <c r="J952" s="11" t="s">
        <v>998</v>
      </c>
      <c r="K952" s="2" t="str">
        <f>VLOOKUP(J952,Equipes!A:F,6,0)</f>
        <v>Tropical</v>
      </c>
      <c r="L952" s="2">
        <f>VLOOKUP(J952,Equipes!A:C,3,0)</f>
        <v>22</v>
      </c>
      <c r="M952" s="2" t="str">
        <f t="shared" si="4"/>
        <v>Group</v>
      </c>
      <c r="N952" s="11" t="s">
        <v>810</v>
      </c>
      <c r="O952" s="2">
        <f>VLOOKUP(N952,Equipes!A:C,3,0)</f>
        <v>9</v>
      </c>
      <c r="P952" s="2" t="str">
        <f t="shared" si="5"/>
        <v>Round of 16</v>
      </c>
      <c r="Q952" s="2">
        <f t="shared" si="6"/>
        <v>13</v>
      </c>
      <c r="R952" s="2" t="str">
        <f>VLOOKUP(J952,Equipes!A:B,2,0)</f>
        <v>AlAin</v>
      </c>
      <c r="S952" s="6" t="s">
        <v>1006</v>
      </c>
      <c r="T952" s="7">
        <v>10.0</v>
      </c>
      <c r="U952" s="7" t="s">
        <v>1007</v>
      </c>
      <c r="V952" s="7" t="str">
        <f>VLOOKUP(U952,Jogadores!B:C,2,0)</f>
        <v>FW</v>
      </c>
      <c r="W952" s="8">
        <f>VLOOKUP(U952,Jogadores!B:D,3,0)</f>
        <v>30.56438356</v>
      </c>
      <c r="X952" s="7">
        <v>62.0</v>
      </c>
      <c r="Y952" s="7">
        <f t="shared" si="2965"/>
        <v>93</v>
      </c>
      <c r="Z952" s="7">
        <f>VLOOKUP(A952,Jogos!A:L,3,0)</f>
        <v>50</v>
      </c>
      <c r="AA952" s="7">
        <f t="shared" si="2229"/>
        <v>0</v>
      </c>
      <c r="AB952" s="7">
        <f>VLOOKUP(A952,Jogos!A:L,4,0)</f>
        <v>48</v>
      </c>
      <c r="AC952" s="7">
        <f t="shared" si="2230"/>
        <v>31</v>
      </c>
      <c r="AD952" s="7"/>
      <c r="AE952" s="7"/>
      <c r="AF952" s="7">
        <f t="shared" si="2231"/>
        <v>31</v>
      </c>
      <c r="AG952" s="7">
        <v>3897.7</v>
      </c>
      <c r="AH952" s="7">
        <v>1232.9</v>
      </c>
      <c r="AI952" s="7">
        <v>1660.8</v>
      </c>
      <c r="AJ952" s="7">
        <v>642.1</v>
      </c>
      <c r="AK952" s="7">
        <v>289.7</v>
      </c>
      <c r="AL952" s="7">
        <v>72.1</v>
      </c>
      <c r="AM952" s="7">
        <v>55.0</v>
      </c>
      <c r="AN952" s="7">
        <v>19.0</v>
      </c>
      <c r="AO952" s="7">
        <v>28.4</v>
      </c>
      <c r="AP952" s="9">
        <f t="shared" ref="AP952:AR952" si="2975">AG952/$AF952</f>
        <v>125.7322581</v>
      </c>
      <c r="AQ952" s="9">
        <f t="shared" si="2975"/>
        <v>39.77096774</v>
      </c>
      <c r="AR952" s="9">
        <f t="shared" si="2975"/>
        <v>53.57419355</v>
      </c>
      <c r="AS952" s="9">
        <f t="shared" si="2233"/>
        <v>93.34516129</v>
      </c>
      <c r="AT952" s="9">
        <f t="shared" ref="AT952:AV952" si="2976">AJ952/$AF952</f>
        <v>20.71290323</v>
      </c>
      <c r="AU952" s="9">
        <f t="shared" si="2976"/>
        <v>9.34516129</v>
      </c>
      <c r="AV952" s="9">
        <f t="shared" si="2976"/>
        <v>2.325806452</v>
      </c>
      <c r="AW952" s="9">
        <f t="shared" si="2235"/>
        <v>11.67096774</v>
      </c>
      <c r="AX952" s="9">
        <f t="shared" ref="AX952:AY952" si="2977">AM952/$AF952</f>
        <v>1.774193548</v>
      </c>
      <c r="AY952" s="9">
        <f t="shared" si="2977"/>
        <v>0.6129032258</v>
      </c>
      <c r="AZ952" s="9">
        <f>VLOOKUP(A952,Jogos!A:BN,58,0)</f>
        <v>26.665</v>
      </c>
      <c r="BA952" s="9">
        <f>VLOOKUP(A952,Jogos!A:BN,59,0)</f>
        <v>20.325</v>
      </c>
      <c r="BB952" s="9">
        <f>VLOOKUP(A952,Jogos!A:BN,60,0)</f>
        <v>68</v>
      </c>
      <c r="BC952" s="9">
        <f>VLOOKUP(A952,Jogos!A:BN,61,0)</f>
        <v>25.28</v>
      </c>
      <c r="BD952" s="9">
        <f>VLOOKUP(A952,Jogos!A:BN,62,0)</f>
        <v>0</v>
      </c>
      <c r="BE952" s="9">
        <f>VLOOKUP(A952,Jogos!A:BN,63,0)</f>
        <v>1.175</v>
      </c>
      <c r="BF952" s="9">
        <f>VLOOKUP(A952,Jogos!A:BN,64,0)</f>
        <v>23.44</v>
      </c>
      <c r="BG952" s="9">
        <f>VLOOKUP(A952,Jogos!A:BN,65,0)</f>
        <v>41.145</v>
      </c>
      <c r="BH952" s="9">
        <f>VLOOKUP(A952,Jogos!A:BN,66,0)</f>
        <v>27.3</v>
      </c>
      <c r="BI952" s="9"/>
      <c r="BJ952" s="9"/>
    </row>
    <row r="953" hidden="1">
      <c r="A953" s="10">
        <v>32.0</v>
      </c>
      <c r="B953" s="11" t="s">
        <v>809</v>
      </c>
      <c r="C953" s="2" t="s">
        <v>61</v>
      </c>
      <c r="D953" s="12">
        <v>45830.0</v>
      </c>
      <c r="E953" s="13">
        <v>0.875</v>
      </c>
      <c r="F953" s="5" t="str">
        <f>VLOOKUP(A953,Jogos!A:N,10,0)</f>
        <v>Evening</v>
      </c>
      <c r="G953" s="11" t="s">
        <v>376</v>
      </c>
      <c r="H953" s="6" t="str">
        <f>VLOOKUP(A953,Jogos!A:L,12,0)</f>
        <v>Closed</v>
      </c>
      <c r="I953" s="6" t="str">
        <f>VLOOKUP(G953,'Estádios e Cidades'!A:B,2,0)</f>
        <v>Atlanta</v>
      </c>
      <c r="J953" s="11" t="s">
        <v>998</v>
      </c>
      <c r="K953" s="2" t="str">
        <f>VLOOKUP(J953,Equipes!A:F,6,0)</f>
        <v>Tropical</v>
      </c>
      <c r="L953" s="2">
        <f>VLOOKUP(J953,Equipes!A:C,3,0)</f>
        <v>22</v>
      </c>
      <c r="M953" s="2" t="str">
        <f t="shared" si="4"/>
        <v>Group</v>
      </c>
      <c r="N953" s="11" t="s">
        <v>810</v>
      </c>
      <c r="O953" s="2">
        <f>VLOOKUP(N953,Equipes!A:C,3,0)</f>
        <v>9</v>
      </c>
      <c r="P953" s="2" t="str">
        <f t="shared" si="5"/>
        <v>Round of 16</v>
      </c>
      <c r="Q953" s="2">
        <f t="shared" si="6"/>
        <v>13</v>
      </c>
      <c r="R953" s="2" t="str">
        <f>VLOOKUP(J953,Equipes!A:B,2,0)</f>
        <v>AlAin</v>
      </c>
      <c r="S953" s="6" t="s">
        <v>1233</v>
      </c>
      <c r="T953" s="7">
        <v>15.0</v>
      </c>
      <c r="U953" s="7" t="s">
        <v>1234</v>
      </c>
      <c r="V953" s="7" t="str">
        <f>VLOOKUP(U953,Jogadores!B:C,2,0)</f>
        <v>MF</v>
      </c>
      <c r="W953" s="8">
        <f>VLOOKUP(U953,Jogadores!B:D,3,0)</f>
        <v>24.45479452</v>
      </c>
      <c r="X953" s="7">
        <v>62.0</v>
      </c>
      <c r="Y953" s="7">
        <f t="shared" si="2965"/>
        <v>93</v>
      </c>
      <c r="Z953" s="7">
        <f>VLOOKUP(A953,Jogos!A:L,3,0)</f>
        <v>50</v>
      </c>
      <c r="AA953" s="7">
        <f t="shared" si="2229"/>
        <v>0</v>
      </c>
      <c r="AB953" s="7">
        <f>VLOOKUP(A953,Jogos!A:L,4,0)</f>
        <v>48</v>
      </c>
      <c r="AC953" s="7">
        <f t="shared" si="2230"/>
        <v>31</v>
      </c>
      <c r="AD953" s="7"/>
      <c r="AE953" s="7"/>
      <c r="AF953" s="7">
        <f t="shared" si="2231"/>
        <v>31</v>
      </c>
      <c r="AG953" s="7">
        <v>3813.1</v>
      </c>
      <c r="AH953" s="7">
        <v>1234.2</v>
      </c>
      <c r="AI953" s="7">
        <v>1543.4</v>
      </c>
      <c r="AJ953" s="7">
        <v>494.1</v>
      </c>
      <c r="AK953" s="7">
        <v>294.9</v>
      </c>
      <c r="AL953" s="7">
        <v>246.5</v>
      </c>
      <c r="AM953" s="7">
        <v>40.0</v>
      </c>
      <c r="AN953" s="7">
        <v>21.0</v>
      </c>
      <c r="AO953" s="7">
        <v>31.8</v>
      </c>
      <c r="AP953" s="9">
        <f t="shared" ref="AP953:AR953" si="2978">AG953/$AF953</f>
        <v>123.0032258</v>
      </c>
      <c r="AQ953" s="9">
        <f t="shared" si="2978"/>
        <v>39.81290323</v>
      </c>
      <c r="AR953" s="9">
        <f t="shared" si="2978"/>
        <v>49.78709677</v>
      </c>
      <c r="AS953" s="9">
        <f t="shared" si="2233"/>
        <v>89.6</v>
      </c>
      <c r="AT953" s="9">
        <f t="shared" ref="AT953:AV953" si="2979">AJ953/$AF953</f>
        <v>15.93870968</v>
      </c>
      <c r="AU953" s="9">
        <f t="shared" si="2979"/>
        <v>9.512903226</v>
      </c>
      <c r="AV953" s="9">
        <f t="shared" si="2979"/>
        <v>7.951612903</v>
      </c>
      <c r="AW953" s="9">
        <f t="shared" si="2235"/>
        <v>17.46451613</v>
      </c>
      <c r="AX953" s="9">
        <f t="shared" ref="AX953:AY953" si="2980">AM953/$AF953</f>
        <v>1.290322581</v>
      </c>
      <c r="AY953" s="9">
        <f t="shared" si="2980"/>
        <v>0.6774193548</v>
      </c>
      <c r="AZ953" s="9">
        <f>VLOOKUP(A953,Jogos!A:BN,58,0)</f>
        <v>26.665</v>
      </c>
      <c r="BA953" s="9">
        <f>VLOOKUP(A953,Jogos!A:BN,59,0)</f>
        <v>20.325</v>
      </c>
      <c r="BB953" s="9">
        <f>VLOOKUP(A953,Jogos!A:BN,60,0)</f>
        <v>68</v>
      </c>
      <c r="BC953" s="9">
        <f>VLOOKUP(A953,Jogos!A:BN,61,0)</f>
        <v>25.28</v>
      </c>
      <c r="BD953" s="9">
        <f>VLOOKUP(A953,Jogos!A:BN,62,0)</f>
        <v>0</v>
      </c>
      <c r="BE953" s="9">
        <f>VLOOKUP(A953,Jogos!A:BN,63,0)</f>
        <v>1.175</v>
      </c>
      <c r="BF953" s="9">
        <f>VLOOKUP(A953,Jogos!A:BN,64,0)</f>
        <v>23.44</v>
      </c>
      <c r="BG953" s="9">
        <f>VLOOKUP(A953,Jogos!A:BN,65,0)</f>
        <v>41.145</v>
      </c>
      <c r="BH953" s="9">
        <f>VLOOKUP(A953,Jogos!A:BN,66,0)</f>
        <v>27.3</v>
      </c>
      <c r="BI953" s="9"/>
      <c r="BJ953" s="9"/>
    </row>
    <row r="954" hidden="1">
      <c r="A954" s="10">
        <v>32.0</v>
      </c>
      <c r="B954" s="11" t="s">
        <v>809</v>
      </c>
      <c r="C954" s="2" t="s">
        <v>61</v>
      </c>
      <c r="D954" s="12">
        <v>45830.0</v>
      </c>
      <c r="E954" s="13">
        <v>0.875</v>
      </c>
      <c r="F954" s="5" t="str">
        <f>VLOOKUP(A954,Jogos!A:N,10,0)</f>
        <v>Evening</v>
      </c>
      <c r="G954" s="11" t="s">
        <v>376</v>
      </c>
      <c r="H954" s="6" t="str">
        <f>VLOOKUP(A954,Jogos!A:L,12,0)</f>
        <v>Closed</v>
      </c>
      <c r="I954" s="6" t="str">
        <f>VLOOKUP(G954,'Estádios e Cidades'!A:B,2,0)</f>
        <v>Atlanta</v>
      </c>
      <c r="J954" s="11" t="s">
        <v>998</v>
      </c>
      <c r="K954" s="2" t="str">
        <f>VLOOKUP(J954,Equipes!A:F,6,0)</f>
        <v>Tropical</v>
      </c>
      <c r="L954" s="2">
        <f>VLOOKUP(J954,Equipes!A:C,3,0)</f>
        <v>22</v>
      </c>
      <c r="M954" s="2" t="str">
        <f t="shared" si="4"/>
        <v>Group</v>
      </c>
      <c r="N954" s="11" t="s">
        <v>810</v>
      </c>
      <c r="O954" s="2">
        <f>VLOOKUP(N954,Equipes!A:C,3,0)</f>
        <v>9</v>
      </c>
      <c r="P954" s="2" t="str">
        <f t="shared" si="5"/>
        <v>Round of 16</v>
      </c>
      <c r="Q954" s="2">
        <f t="shared" si="6"/>
        <v>13</v>
      </c>
      <c r="R954" s="2" t="str">
        <f>VLOOKUP(J954,Equipes!A:B,2,0)</f>
        <v>AlAin</v>
      </c>
      <c r="S954" s="6" t="s">
        <v>1235</v>
      </c>
      <c r="T954" s="7">
        <v>19.0</v>
      </c>
      <c r="U954" s="7" t="s">
        <v>1236</v>
      </c>
      <c r="V954" s="7" t="str">
        <f>VLOOKUP(U954,Jogadores!B:C,2,0)</f>
        <v>MF</v>
      </c>
      <c r="W954" s="8">
        <f>VLOOKUP(U954,Jogadores!B:D,3,0)</f>
        <v>21.33972603</v>
      </c>
      <c r="X954" s="7">
        <v>74.0</v>
      </c>
      <c r="Y954" s="7">
        <f t="shared" si="2965"/>
        <v>93</v>
      </c>
      <c r="Z954" s="7">
        <f>VLOOKUP(A954,Jogos!A:L,3,0)</f>
        <v>50</v>
      </c>
      <c r="AA954" s="7">
        <f t="shared" si="2229"/>
        <v>0</v>
      </c>
      <c r="AB954" s="7">
        <f>VLOOKUP(A954,Jogos!A:L,4,0)</f>
        <v>48</v>
      </c>
      <c r="AC954" s="7">
        <f t="shared" si="2230"/>
        <v>19</v>
      </c>
      <c r="AD954" s="7"/>
      <c r="AE954" s="7"/>
      <c r="AF954" s="7">
        <f t="shared" si="2231"/>
        <v>19</v>
      </c>
      <c r="AG954" s="7">
        <v>2620.8</v>
      </c>
      <c r="AH954" s="7">
        <v>685.4</v>
      </c>
      <c r="AI954" s="7">
        <v>1271.9</v>
      </c>
      <c r="AJ954" s="7">
        <v>362.5</v>
      </c>
      <c r="AK954" s="7">
        <v>209.2</v>
      </c>
      <c r="AL954" s="7">
        <v>91.8</v>
      </c>
      <c r="AM954" s="7">
        <v>31.0</v>
      </c>
      <c r="AN954" s="7">
        <v>18.0</v>
      </c>
      <c r="AO954" s="7">
        <v>32.7</v>
      </c>
      <c r="AP954" s="9">
        <f t="shared" ref="AP954:AR954" si="2981">AG954/$AF954</f>
        <v>137.9368421</v>
      </c>
      <c r="AQ954" s="9">
        <f t="shared" si="2981"/>
        <v>36.07368421</v>
      </c>
      <c r="AR954" s="9">
        <f t="shared" si="2981"/>
        <v>66.94210526</v>
      </c>
      <c r="AS954" s="9">
        <f t="shared" si="2233"/>
        <v>103.0157895</v>
      </c>
      <c r="AT954" s="9">
        <f t="shared" ref="AT954:AV954" si="2982">AJ954/$AF954</f>
        <v>19.07894737</v>
      </c>
      <c r="AU954" s="9">
        <f t="shared" si="2982"/>
        <v>11.01052632</v>
      </c>
      <c r="AV954" s="9">
        <f t="shared" si="2982"/>
        <v>4.831578947</v>
      </c>
      <c r="AW954" s="9">
        <f t="shared" si="2235"/>
        <v>15.84210526</v>
      </c>
      <c r="AX954" s="9">
        <f t="shared" ref="AX954:AY954" si="2983">AM954/$AF954</f>
        <v>1.631578947</v>
      </c>
      <c r="AY954" s="9">
        <f t="shared" si="2983"/>
        <v>0.9473684211</v>
      </c>
      <c r="AZ954" s="9">
        <f>VLOOKUP(A954,Jogos!A:BN,58,0)</f>
        <v>26.665</v>
      </c>
      <c r="BA954" s="9">
        <f>VLOOKUP(A954,Jogos!A:BN,59,0)</f>
        <v>20.325</v>
      </c>
      <c r="BB954" s="9">
        <f>VLOOKUP(A954,Jogos!A:BN,60,0)</f>
        <v>68</v>
      </c>
      <c r="BC954" s="9">
        <f>VLOOKUP(A954,Jogos!A:BN,61,0)</f>
        <v>25.28</v>
      </c>
      <c r="BD954" s="9">
        <f>VLOOKUP(A954,Jogos!A:BN,62,0)</f>
        <v>0</v>
      </c>
      <c r="BE954" s="9">
        <f>VLOOKUP(A954,Jogos!A:BN,63,0)</f>
        <v>1.175</v>
      </c>
      <c r="BF954" s="9">
        <f>VLOOKUP(A954,Jogos!A:BN,64,0)</f>
        <v>23.44</v>
      </c>
      <c r="BG954" s="9">
        <f>VLOOKUP(A954,Jogos!A:BN,65,0)</f>
        <v>41.145</v>
      </c>
      <c r="BH954" s="9">
        <f>VLOOKUP(A954,Jogos!A:BN,66,0)</f>
        <v>27.3</v>
      </c>
      <c r="BI954" s="9"/>
      <c r="BJ954" s="9"/>
    </row>
    <row r="955" hidden="1">
      <c r="A955" s="10">
        <v>32.0</v>
      </c>
      <c r="B955" s="11" t="s">
        <v>809</v>
      </c>
      <c r="C955" s="2" t="s">
        <v>61</v>
      </c>
      <c r="D955" s="12">
        <v>45830.0</v>
      </c>
      <c r="E955" s="13">
        <v>0.875</v>
      </c>
      <c r="F955" s="5" t="str">
        <f>VLOOKUP(A955,Jogos!A:N,10,0)</f>
        <v>Evening</v>
      </c>
      <c r="G955" s="11" t="s">
        <v>376</v>
      </c>
      <c r="H955" s="6" t="str">
        <f>VLOOKUP(A955,Jogos!A:L,12,0)</f>
        <v>Closed</v>
      </c>
      <c r="I955" s="6" t="str">
        <f>VLOOKUP(G955,'Estádios e Cidades'!A:B,2,0)</f>
        <v>Atlanta</v>
      </c>
      <c r="J955" s="11" t="s">
        <v>998</v>
      </c>
      <c r="K955" s="2" t="str">
        <f>VLOOKUP(J955,Equipes!A:F,6,0)</f>
        <v>Tropical</v>
      </c>
      <c r="L955" s="2">
        <f>VLOOKUP(J955,Equipes!A:C,3,0)</f>
        <v>22</v>
      </c>
      <c r="M955" s="2" t="str">
        <f t="shared" si="4"/>
        <v>Group</v>
      </c>
      <c r="N955" s="11" t="s">
        <v>810</v>
      </c>
      <c r="O955" s="2">
        <f>VLOOKUP(N955,Equipes!A:C,3,0)</f>
        <v>9</v>
      </c>
      <c r="P955" s="2" t="str">
        <f t="shared" si="5"/>
        <v>Round of 16</v>
      </c>
      <c r="Q955" s="2">
        <f t="shared" si="6"/>
        <v>13</v>
      </c>
      <c r="R955" s="2" t="str">
        <f>VLOOKUP(J955,Equipes!A:B,2,0)</f>
        <v>AlAin</v>
      </c>
      <c r="S955" s="6" t="s">
        <v>1010</v>
      </c>
      <c r="T955" s="7">
        <v>20.0</v>
      </c>
      <c r="U955" s="7" t="s">
        <v>1011</v>
      </c>
      <c r="V955" s="7" t="str">
        <f>VLOOKUP(U955,Jogadores!B:C,2,0)</f>
        <v>MF</v>
      </c>
      <c r="W955" s="8">
        <f>VLOOKUP(U955,Jogadores!B:D,3,0)</f>
        <v>23.23287671</v>
      </c>
      <c r="X955" s="7">
        <v>45.0</v>
      </c>
      <c r="Y955" s="7">
        <f t="shared" si="2965"/>
        <v>93</v>
      </c>
      <c r="Z955" s="7">
        <f>VLOOKUP(A955,Jogos!A:L,3,0)</f>
        <v>50</v>
      </c>
      <c r="AA955" s="7">
        <f t="shared" si="2229"/>
        <v>0</v>
      </c>
      <c r="AB955" s="7">
        <f>VLOOKUP(A955,Jogos!A:L,4,0)</f>
        <v>48</v>
      </c>
      <c r="AC955" s="7">
        <f t="shared" si="2230"/>
        <v>48</v>
      </c>
      <c r="AD955" s="7"/>
      <c r="AE955" s="7"/>
      <c r="AF955" s="7">
        <f t="shared" si="2231"/>
        <v>48</v>
      </c>
      <c r="AG955" s="7">
        <v>6280.2</v>
      </c>
      <c r="AH955" s="7">
        <v>1581.7</v>
      </c>
      <c r="AI955" s="7">
        <v>3162.8</v>
      </c>
      <c r="AJ955" s="7">
        <v>1148.5</v>
      </c>
      <c r="AK955" s="7">
        <v>351.7</v>
      </c>
      <c r="AL955" s="7">
        <v>35.5</v>
      </c>
      <c r="AM955" s="7">
        <v>104.0</v>
      </c>
      <c r="AN955" s="7">
        <v>25.0</v>
      </c>
      <c r="AO955" s="7">
        <v>27.8</v>
      </c>
      <c r="AP955" s="9">
        <f t="shared" ref="AP955:AR955" si="2984">AG955/$AF955</f>
        <v>130.8375</v>
      </c>
      <c r="AQ955" s="9">
        <f t="shared" si="2984"/>
        <v>32.95208333</v>
      </c>
      <c r="AR955" s="9">
        <f t="shared" si="2984"/>
        <v>65.89166667</v>
      </c>
      <c r="AS955" s="9">
        <f t="shared" si="2233"/>
        <v>98.84375</v>
      </c>
      <c r="AT955" s="9">
        <f t="shared" ref="AT955:AV955" si="2985">AJ955/$AF955</f>
        <v>23.92708333</v>
      </c>
      <c r="AU955" s="9">
        <f t="shared" si="2985"/>
        <v>7.327083333</v>
      </c>
      <c r="AV955" s="9">
        <f t="shared" si="2985"/>
        <v>0.7395833333</v>
      </c>
      <c r="AW955" s="9">
        <f t="shared" si="2235"/>
        <v>8.066666667</v>
      </c>
      <c r="AX955" s="9">
        <f t="shared" ref="AX955:AY955" si="2986">AM955/$AF955</f>
        <v>2.166666667</v>
      </c>
      <c r="AY955" s="9">
        <f t="shared" si="2986"/>
        <v>0.5208333333</v>
      </c>
      <c r="AZ955" s="9">
        <f>VLOOKUP(A955,Jogos!A:BN,58,0)</f>
        <v>26.665</v>
      </c>
      <c r="BA955" s="9">
        <f>VLOOKUP(A955,Jogos!A:BN,59,0)</f>
        <v>20.325</v>
      </c>
      <c r="BB955" s="9">
        <f>VLOOKUP(A955,Jogos!A:BN,60,0)</f>
        <v>68</v>
      </c>
      <c r="BC955" s="9">
        <f>VLOOKUP(A955,Jogos!A:BN,61,0)</f>
        <v>25.28</v>
      </c>
      <c r="BD955" s="9">
        <f>VLOOKUP(A955,Jogos!A:BN,62,0)</f>
        <v>0</v>
      </c>
      <c r="BE955" s="9">
        <f>VLOOKUP(A955,Jogos!A:BN,63,0)</f>
        <v>1.175</v>
      </c>
      <c r="BF955" s="9">
        <f>VLOOKUP(A955,Jogos!A:BN,64,0)</f>
        <v>23.44</v>
      </c>
      <c r="BG955" s="9">
        <f>VLOOKUP(A955,Jogos!A:BN,65,0)</f>
        <v>41.145</v>
      </c>
      <c r="BH955" s="9">
        <f>VLOOKUP(A955,Jogos!A:BN,66,0)</f>
        <v>27.3</v>
      </c>
      <c r="BI955" s="9"/>
      <c r="BJ955" s="9"/>
    </row>
    <row r="956" hidden="1">
      <c r="A956" s="2">
        <v>33.0</v>
      </c>
      <c r="B956" s="2" t="s">
        <v>185</v>
      </c>
      <c r="C956" s="2" t="s">
        <v>61</v>
      </c>
      <c r="D956" s="3">
        <v>45831.0</v>
      </c>
      <c r="E956" s="4">
        <v>0.5</v>
      </c>
      <c r="F956" s="5" t="str">
        <f>VLOOKUP(A956,Jogos!A:N,10,0)</f>
        <v>Afternoon</v>
      </c>
      <c r="G956" s="2" t="s">
        <v>312</v>
      </c>
      <c r="H956" s="6" t="str">
        <f>VLOOKUP(A956,Jogos!A:L,12,0)</f>
        <v>Open</v>
      </c>
      <c r="I956" s="6" t="str">
        <f>VLOOKUP(G956,'Estádios e Cidades'!A:B,2,0)</f>
        <v>Seatte</v>
      </c>
      <c r="J956" s="2" t="s">
        <v>314</v>
      </c>
      <c r="K956" s="2" t="str">
        <f>VLOOKUP(J956,Equipes!A:F,6,0)</f>
        <v>Temperate</v>
      </c>
      <c r="L956" s="2">
        <f>VLOOKUP(J956,Equipes!A:C,3,0)</f>
        <v>29</v>
      </c>
      <c r="M956" s="2" t="str">
        <f t="shared" si="4"/>
        <v>Group</v>
      </c>
      <c r="N956" s="2" t="s">
        <v>187</v>
      </c>
      <c r="O956" s="2">
        <f>VLOOKUP(N956,Equipes!A:C,3,0)</f>
        <v>2</v>
      </c>
      <c r="P956" s="2" t="str">
        <f t="shared" si="5"/>
        <v>Final</v>
      </c>
      <c r="Q956" s="2">
        <f t="shared" si="6"/>
        <v>27</v>
      </c>
      <c r="R956" s="2" t="str">
        <f>VLOOKUP(J956,Equipes!A:B,2,0)</f>
        <v>Seattle</v>
      </c>
      <c r="S956" s="6" t="s">
        <v>345</v>
      </c>
      <c r="T956" s="7">
        <v>5.0</v>
      </c>
      <c r="U956" s="7" t="s">
        <v>346</v>
      </c>
      <c r="V956" s="7" t="str">
        <f>VLOOKUP(U956,Jogadores!B:C,2,0)</f>
        <v>DF</v>
      </c>
      <c r="W956" s="8">
        <f>VLOOKUP(U956,Jogadores!B:D,3,0)</f>
        <v>28.11506849</v>
      </c>
      <c r="X956" s="7">
        <v>0.0</v>
      </c>
      <c r="Y956" s="7">
        <f t="shared" si="2965"/>
        <v>95</v>
      </c>
      <c r="Z956" s="7">
        <f>VLOOKUP(A956,Jogos!A:L,3,0)</f>
        <v>46</v>
      </c>
      <c r="AA956" s="7">
        <f t="shared" si="2229"/>
        <v>46</v>
      </c>
      <c r="AB956" s="7">
        <f>VLOOKUP(A956,Jogos!A:L,4,0)</f>
        <v>50</v>
      </c>
      <c r="AC956" s="7">
        <f t="shared" si="2230"/>
        <v>50</v>
      </c>
      <c r="AD956" s="7"/>
      <c r="AE956" s="7"/>
      <c r="AF956" s="7">
        <f t="shared" si="2231"/>
        <v>96</v>
      </c>
      <c r="AG956" s="7">
        <v>10356.3</v>
      </c>
      <c r="AH956" s="7">
        <v>3916.5</v>
      </c>
      <c r="AI956" s="7">
        <v>4462.5</v>
      </c>
      <c r="AJ956" s="7">
        <v>1310.4</v>
      </c>
      <c r="AK956" s="7">
        <v>446.8</v>
      </c>
      <c r="AL956" s="7">
        <v>220.0</v>
      </c>
      <c r="AM956" s="7">
        <v>128.0</v>
      </c>
      <c r="AN956" s="7">
        <v>36.0</v>
      </c>
      <c r="AO956" s="7">
        <v>30.9</v>
      </c>
      <c r="AP956" s="9">
        <f t="shared" ref="AP956:AR956" si="2987">AG956/$AF956</f>
        <v>107.878125</v>
      </c>
      <c r="AQ956" s="9">
        <f t="shared" si="2987"/>
        <v>40.796875</v>
      </c>
      <c r="AR956" s="9">
        <f t="shared" si="2987"/>
        <v>46.484375</v>
      </c>
      <c r="AS956" s="9">
        <f t="shared" si="2233"/>
        <v>87.28125</v>
      </c>
      <c r="AT956" s="9">
        <f t="shared" ref="AT956:AV956" si="2988">AJ956/$AF956</f>
        <v>13.65</v>
      </c>
      <c r="AU956" s="9">
        <f t="shared" si="2988"/>
        <v>4.654166667</v>
      </c>
      <c r="AV956" s="9">
        <f t="shared" si="2988"/>
        <v>2.291666667</v>
      </c>
      <c r="AW956" s="9">
        <f t="shared" si="2235"/>
        <v>6.945833333</v>
      </c>
      <c r="AX956" s="9">
        <f t="shared" ref="AX956:AY956" si="2989">AM956/$AF956</f>
        <v>1.333333333</v>
      </c>
      <c r="AY956" s="9">
        <f t="shared" si="2989"/>
        <v>0.375</v>
      </c>
      <c r="AZ956" s="9">
        <f>VLOOKUP(A956,Jogos!A:BN,58,0)</f>
        <v>20.55</v>
      </c>
      <c r="BA956" s="9">
        <f>VLOOKUP(A956,Jogos!A:BN,59,0)</f>
        <v>11.995</v>
      </c>
      <c r="BB956" s="9">
        <f>VLOOKUP(A956,Jogos!A:BN,60,0)</f>
        <v>57.5</v>
      </c>
      <c r="BC956" s="9">
        <f>VLOOKUP(A956,Jogos!A:BN,61,0)</f>
        <v>17.85</v>
      </c>
      <c r="BD956" s="9">
        <f>VLOOKUP(A956,Jogos!A:BN,62,0)</f>
        <v>845.5</v>
      </c>
      <c r="BE956" s="9">
        <f>VLOOKUP(A956,Jogos!A:BN,63,0)</f>
        <v>1.05</v>
      </c>
      <c r="BF956" s="9">
        <f>VLOOKUP(A956,Jogos!A:BN,64,0)</f>
        <v>18.05</v>
      </c>
      <c r="BG956" s="9">
        <f>VLOOKUP(A956,Jogos!A:BN,65,0)</f>
        <v>32.02</v>
      </c>
      <c r="BH956" s="9">
        <f>VLOOKUP(A956,Jogos!A:BN,66,0)</f>
        <v>21.095</v>
      </c>
      <c r="BI956" s="9"/>
      <c r="BJ956" s="9"/>
    </row>
    <row r="957" hidden="1">
      <c r="A957" s="2">
        <v>33.0</v>
      </c>
      <c r="B957" s="2" t="s">
        <v>185</v>
      </c>
      <c r="C957" s="2" t="s">
        <v>61</v>
      </c>
      <c r="D957" s="3">
        <v>45831.0</v>
      </c>
      <c r="E957" s="4">
        <v>0.5</v>
      </c>
      <c r="F957" s="5" t="str">
        <f>VLOOKUP(A957,Jogos!A:N,10,0)</f>
        <v>Afternoon</v>
      </c>
      <c r="G957" s="2" t="s">
        <v>312</v>
      </c>
      <c r="H957" s="6" t="str">
        <f>VLOOKUP(A957,Jogos!A:L,12,0)</f>
        <v>Open</v>
      </c>
      <c r="I957" s="6" t="str">
        <f>VLOOKUP(G957,'Estádios e Cidades'!A:B,2,0)</f>
        <v>Seatte</v>
      </c>
      <c r="J957" s="2" t="s">
        <v>314</v>
      </c>
      <c r="K957" s="2" t="str">
        <f>VLOOKUP(J957,Equipes!A:F,6,0)</f>
        <v>Temperate</v>
      </c>
      <c r="L957" s="2">
        <f>VLOOKUP(J957,Equipes!A:C,3,0)</f>
        <v>29</v>
      </c>
      <c r="M957" s="2" t="str">
        <f t="shared" si="4"/>
        <v>Group</v>
      </c>
      <c r="N957" s="2" t="s">
        <v>187</v>
      </c>
      <c r="O957" s="2">
        <f>VLOOKUP(N957,Equipes!A:C,3,0)</f>
        <v>2</v>
      </c>
      <c r="P957" s="2" t="str">
        <f t="shared" si="5"/>
        <v>Final</v>
      </c>
      <c r="Q957" s="2">
        <f t="shared" si="6"/>
        <v>27</v>
      </c>
      <c r="R957" s="2" t="str">
        <f>VLOOKUP(J957,Equipes!A:B,2,0)</f>
        <v>Seattle</v>
      </c>
      <c r="S957" s="6" t="s">
        <v>347</v>
      </c>
      <c r="T957" s="7">
        <v>7.0</v>
      </c>
      <c r="U957" s="7" t="s">
        <v>348</v>
      </c>
      <c r="V957" s="7" t="str">
        <f>VLOOKUP(U957,Jogadores!B:C,2,0)</f>
        <v>MF</v>
      </c>
      <c r="W957" s="8">
        <f>VLOOKUP(U957,Jogadores!B:D,3,0)</f>
        <v>30.17260274</v>
      </c>
      <c r="X957" s="7">
        <v>0.0</v>
      </c>
      <c r="Y957" s="7">
        <f t="shared" si="2965"/>
        <v>95</v>
      </c>
      <c r="Z957" s="7">
        <f>VLOOKUP(A957,Jogos!A:L,3,0)</f>
        <v>46</v>
      </c>
      <c r="AA957" s="7">
        <f t="shared" si="2229"/>
        <v>46</v>
      </c>
      <c r="AB957" s="7">
        <f>VLOOKUP(A957,Jogos!A:L,4,0)</f>
        <v>50</v>
      </c>
      <c r="AC957" s="7">
        <f t="shared" si="2230"/>
        <v>50</v>
      </c>
      <c r="AD957" s="7"/>
      <c r="AE957" s="7"/>
      <c r="AF957" s="7">
        <f t="shared" si="2231"/>
        <v>96</v>
      </c>
      <c r="AG957" s="7">
        <v>12502.6</v>
      </c>
      <c r="AH957" s="7">
        <v>2907.0</v>
      </c>
      <c r="AI957" s="7">
        <v>6660.4</v>
      </c>
      <c r="AJ957" s="7">
        <v>1990.5</v>
      </c>
      <c r="AK957" s="7">
        <v>692.7</v>
      </c>
      <c r="AL957" s="7">
        <v>251.9</v>
      </c>
      <c r="AM957" s="7">
        <v>180.0</v>
      </c>
      <c r="AN957" s="7">
        <v>49.0</v>
      </c>
      <c r="AO957" s="7">
        <v>33.3</v>
      </c>
      <c r="AP957" s="9">
        <f t="shared" ref="AP957:AR957" si="2990">AG957/$AF957</f>
        <v>130.2354167</v>
      </c>
      <c r="AQ957" s="9">
        <f t="shared" si="2990"/>
        <v>30.28125</v>
      </c>
      <c r="AR957" s="9">
        <f t="shared" si="2990"/>
        <v>69.37916667</v>
      </c>
      <c r="AS957" s="9">
        <f t="shared" si="2233"/>
        <v>99.66041667</v>
      </c>
      <c r="AT957" s="9">
        <f t="shared" ref="AT957:AV957" si="2991">AJ957/$AF957</f>
        <v>20.734375</v>
      </c>
      <c r="AU957" s="9">
        <f t="shared" si="2991"/>
        <v>7.215625</v>
      </c>
      <c r="AV957" s="9">
        <f t="shared" si="2991"/>
        <v>2.623958333</v>
      </c>
      <c r="AW957" s="9">
        <f t="shared" si="2235"/>
        <v>9.839583333</v>
      </c>
      <c r="AX957" s="9">
        <f t="shared" ref="AX957:AY957" si="2992">AM957/$AF957</f>
        <v>1.875</v>
      </c>
      <c r="AY957" s="9">
        <f t="shared" si="2992"/>
        <v>0.5104166667</v>
      </c>
      <c r="AZ957" s="9">
        <f>VLOOKUP(A957,Jogos!A:BN,58,0)</f>
        <v>20.55</v>
      </c>
      <c r="BA957" s="9">
        <f>VLOOKUP(A957,Jogos!A:BN,59,0)</f>
        <v>11.995</v>
      </c>
      <c r="BB957" s="9">
        <f>VLOOKUP(A957,Jogos!A:BN,60,0)</f>
        <v>57.5</v>
      </c>
      <c r="BC957" s="9">
        <f>VLOOKUP(A957,Jogos!A:BN,61,0)</f>
        <v>17.85</v>
      </c>
      <c r="BD957" s="9">
        <f>VLOOKUP(A957,Jogos!A:BN,62,0)</f>
        <v>845.5</v>
      </c>
      <c r="BE957" s="9">
        <f>VLOOKUP(A957,Jogos!A:BN,63,0)</f>
        <v>1.05</v>
      </c>
      <c r="BF957" s="9">
        <f>VLOOKUP(A957,Jogos!A:BN,64,0)</f>
        <v>18.05</v>
      </c>
      <c r="BG957" s="9">
        <f>VLOOKUP(A957,Jogos!A:BN,65,0)</f>
        <v>32.02</v>
      </c>
      <c r="BH957" s="9">
        <f>VLOOKUP(A957,Jogos!A:BN,66,0)</f>
        <v>21.095</v>
      </c>
      <c r="BI957" s="9"/>
      <c r="BJ957" s="9"/>
    </row>
    <row r="958" hidden="1">
      <c r="A958" s="2">
        <v>33.0</v>
      </c>
      <c r="B958" s="2" t="s">
        <v>185</v>
      </c>
      <c r="C958" s="2" t="s">
        <v>61</v>
      </c>
      <c r="D958" s="3">
        <v>45831.0</v>
      </c>
      <c r="E958" s="4">
        <v>0.5</v>
      </c>
      <c r="F958" s="5" t="str">
        <f>VLOOKUP(A958,Jogos!A:N,10,0)</f>
        <v>Afternoon</v>
      </c>
      <c r="G958" s="2" t="s">
        <v>312</v>
      </c>
      <c r="H958" s="6" t="str">
        <f>VLOOKUP(A958,Jogos!A:L,12,0)</f>
        <v>Open</v>
      </c>
      <c r="I958" s="6" t="str">
        <f>VLOOKUP(G958,'Estádios e Cidades'!A:B,2,0)</f>
        <v>Seatte</v>
      </c>
      <c r="J958" s="2" t="s">
        <v>314</v>
      </c>
      <c r="K958" s="2" t="str">
        <f>VLOOKUP(J958,Equipes!A:F,6,0)</f>
        <v>Temperate</v>
      </c>
      <c r="L958" s="2">
        <f>VLOOKUP(J958,Equipes!A:C,3,0)</f>
        <v>29</v>
      </c>
      <c r="M958" s="2" t="str">
        <f t="shared" si="4"/>
        <v>Group</v>
      </c>
      <c r="N958" s="2" t="s">
        <v>187</v>
      </c>
      <c r="O958" s="2">
        <f>VLOOKUP(N958,Equipes!A:C,3,0)</f>
        <v>2</v>
      </c>
      <c r="P958" s="2" t="str">
        <f t="shared" si="5"/>
        <v>Final</v>
      </c>
      <c r="Q958" s="2">
        <f t="shared" si="6"/>
        <v>27</v>
      </c>
      <c r="R958" s="2" t="str">
        <f>VLOOKUP(J958,Equipes!A:B,2,0)</f>
        <v>Seattle</v>
      </c>
      <c r="S958" s="6" t="s">
        <v>349</v>
      </c>
      <c r="T958" s="7">
        <v>9.0</v>
      </c>
      <c r="U958" s="7" t="s">
        <v>350</v>
      </c>
      <c r="V958" s="7" t="str">
        <f>VLOOKUP(U958,Jogadores!B:C,2,0)</f>
        <v>FW</v>
      </c>
      <c r="W958" s="8">
        <f>VLOOKUP(U958,Jogadores!B:D,3,0)</f>
        <v>24.60821918</v>
      </c>
      <c r="X958" s="7">
        <v>0.0</v>
      </c>
      <c r="Y958" s="7">
        <v>57.0</v>
      </c>
      <c r="Z958" s="7">
        <f>VLOOKUP(A958,Jogos!A:L,3,0)</f>
        <v>46</v>
      </c>
      <c r="AA958" s="7">
        <f t="shared" si="2229"/>
        <v>46</v>
      </c>
      <c r="AB958" s="7">
        <f>VLOOKUP(A958,Jogos!A:L,4,0)</f>
        <v>50</v>
      </c>
      <c r="AC958" s="7">
        <f t="shared" si="2230"/>
        <v>12</v>
      </c>
      <c r="AD958" s="7"/>
      <c r="AE958" s="7"/>
      <c r="AF958" s="7">
        <f t="shared" si="2231"/>
        <v>58</v>
      </c>
      <c r="AG958" s="7">
        <v>7171.7</v>
      </c>
      <c r="AH958" s="7">
        <v>2120.0</v>
      </c>
      <c r="AI958" s="7">
        <v>3253.0</v>
      </c>
      <c r="AJ958" s="7">
        <v>1097.7</v>
      </c>
      <c r="AK958" s="7">
        <v>448.3</v>
      </c>
      <c r="AL958" s="7">
        <v>252.7</v>
      </c>
      <c r="AM958" s="7">
        <v>88.0</v>
      </c>
      <c r="AN958" s="7">
        <v>40.0</v>
      </c>
      <c r="AO958" s="7">
        <v>31.8</v>
      </c>
      <c r="AP958" s="9">
        <f t="shared" ref="AP958:AR958" si="2993">AG958/$AF958</f>
        <v>123.65</v>
      </c>
      <c r="AQ958" s="9">
        <f t="shared" si="2993"/>
        <v>36.55172414</v>
      </c>
      <c r="AR958" s="9">
        <f t="shared" si="2993"/>
        <v>56.0862069</v>
      </c>
      <c r="AS958" s="9">
        <f t="shared" si="2233"/>
        <v>92.63793103</v>
      </c>
      <c r="AT958" s="9">
        <f t="shared" ref="AT958:AV958" si="2994">AJ958/$AF958</f>
        <v>18.92586207</v>
      </c>
      <c r="AU958" s="9">
        <f t="shared" si="2994"/>
        <v>7.729310345</v>
      </c>
      <c r="AV958" s="9">
        <f t="shared" si="2994"/>
        <v>4.356896552</v>
      </c>
      <c r="AW958" s="9">
        <f t="shared" si="2235"/>
        <v>12.0862069</v>
      </c>
      <c r="AX958" s="9">
        <f t="shared" ref="AX958:AY958" si="2995">AM958/$AF958</f>
        <v>1.517241379</v>
      </c>
      <c r="AY958" s="9">
        <f t="shared" si="2995"/>
        <v>0.6896551724</v>
      </c>
      <c r="AZ958" s="9">
        <f>VLOOKUP(A958,Jogos!A:BN,58,0)</f>
        <v>20.55</v>
      </c>
      <c r="BA958" s="9">
        <f>VLOOKUP(A958,Jogos!A:BN,59,0)</f>
        <v>11.995</v>
      </c>
      <c r="BB958" s="9">
        <f>VLOOKUP(A958,Jogos!A:BN,60,0)</f>
        <v>57.5</v>
      </c>
      <c r="BC958" s="9">
        <f>VLOOKUP(A958,Jogos!A:BN,61,0)</f>
        <v>17.85</v>
      </c>
      <c r="BD958" s="9">
        <f>VLOOKUP(A958,Jogos!A:BN,62,0)</f>
        <v>845.5</v>
      </c>
      <c r="BE958" s="9">
        <f>VLOOKUP(A958,Jogos!A:BN,63,0)</f>
        <v>1.05</v>
      </c>
      <c r="BF958" s="9">
        <f>VLOOKUP(A958,Jogos!A:BN,64,0)</f>
        <v>18.05</v>
      </c>
      <c r="BG958" s="9">
        <f>VLOOKUP(A958,Jogos!A:BN,65,0)</f>
        <v>32.02</v>
      </c>
      <c r="BH958" s="9">
        <f>VLOOKUP(A958,Jogos!A:BN,66,0)</f>
        <v>21.095</v>
      </c>
      <c r="BI958" s="9"/>
      <c r="BJ958" s="9"/>
    </row>
    <row r="959" hidden="1">
      <c r="A959" s="2">
        <v>33.0</v>
      </c>
      <c r="B959" s="2" t="s">
        <v>185</v>
      </c>
      <c r="C959" s="2" t="s">
        <v>61</v>
      </c>
      <c r="D959" s="3">
        <v>45831.0</v>
      </c>
      <c r="E959" s="4">
        <v>0.5</v>
      </c>
      <c r="F959" s="5" t="str">
        <f>VLOOKUP(A959,Jogos!A:N,10,0)</f>
        <v>Afternoon</v>
      </c>
      <c r="G959" s="2" t="s">
        <v>312</v>
      </c>
      <c r="H959" s="6" t="str">
        <f>VLOOKUP(A959,Jogos!A:L,12,0)</f>
        <v>Open</v>
      </c>
      <c r="I959" s="6" t="str">
        <f>VLOOKUP(G959,'Estádios e Cidades'!A:B,2,0)</f>
        <v>Seatte</v>
      </c>
      <c r="J959" s="2" t="s">
        <v>314</v>
      </c>
      <c r="K959" s="2" t="str">
        <f>VLOOKUP(J959,Equipes!A:F,6,0)</f>
        <v>Temperate</v>
      </c>
      <c r="L959" s="2">
        <f>VLOOKUP(J959,Equipes!A:C,3,0)</f>
        <v>29</v>
      </c>
      <c r="M959" s="2" t="str">
        <f t="shared" si="4"/>
        <v>Group</v>
      </c>
      <c r="N959" s="2" t="s">
        <v>187</v>
      </c>
      <c r="O959" s="2">
        <f>VLOOKUP(N959,Equipes!A:C,3,0)</f>
        <v>2</v>
      </c>
      <c r="P959" s="2" t="str">
        <f t="shared" si="5"/>
        <v>Final</v>
      </c>
      <c r="Q959" s="2">
        <f t="shared" si="6"/>
        <v>27</v>
      </c>
      <c r="R959" s="2" t="str">
        <f>VLOOKUP(J959,Equipes!A:B,2,0)</f>
        <v>Seattle</v>
      </c>
      <c r="S959" s="6" t="s">
        <v>351</v>
      </c>
      <c r="T959" s="7">
        <v>11.0</v>
      </c>
      <c r="U959" s="7" t="s">
        <v>352</v>
      </c>
      <c r="V959" s="7" t="str">
        <f>VLOOKUP(U959,Jogadores!B:C,2,0)</f>
        <v>MF</v>
      </c>
      <c r="W959" s="8">
        <f>VLOOKUP(U959,Jogadores!B:D,3,0)</f>
        <v>31.07945205</v>
      </c>
      <c r="X959" s="7">
        <v>0.0</v>
      </c>
      <c r="Y959" s="7">
        <v>72.0</v>
      </c>
      <c r="Z959" s="7">
        <f>VLOOKUP(A959,Jogos!A:L,3,0)</f>
        <v>46</v>
      </c>
      <c r="AA959" s="7">
        <f t="shared" si="2229"/>
        <v>46</v>
      </c>
      <c r="AB959" s="7">
        <f>VLOOKUP(A959,Jogos!A:L,4,0)</f>
        <v>50</v>
      </c>
      <c r="AC959" s="7">
        <f t="shared" si="2230"/>
        <v>27</v>
      </c>
      <c r="AD959" s="7"/>
      <c r="AE959" s="7"/>
      <c r="AF959" s="7">
        <f t="shared" si="2231"/>
        <v>73</v>
      </c>
      <c r="AG959" s="7">
        <v>8338.8</v>
      </c>
      <c r="AH959" s="7">
        <v>2894.9</v>
      </c>
      <c r="AI959" s="7">
        <v>4255.4</v>
      </c>
      <c r="AJ959" s="7">
        <v>841.9</v>
      </c>
      <c r="AK959" s="7">
        <v>264.5</v>
      </c>
      <c r="AL959" s="7">
        <v>82.0</v>
      </c>
      <c r="AM959" s="7">
        <v>82.0</v>
      </c>
      <c r="AN959" s="7">
        <v>23.0</v>
      </c>
      <c r="AO959" s="7">
        <v>27.9</v>
      </c>
      <c r="AP959" s="9">
        <f t="shared" ref="AP959:AR959" si="2996">AG959/$AF959</f>
        <v>114.230137</v>
      </c>
      <c r="AQ959" s="9">
        <f t="shared" si="2996"/>
        <v>39.65616438</v>
      </c>
      <c r="AR959" s="9">
        <f t="shared" si="2996"/>
        <v>58.29315068</v>
      </c>
      <c r="AS959" s="9">
        <f t="shared" si="2233"/>
        <v>97.94931507</v>
      </c>
      <c r="AT959" s="9">
        <f t="shared" ref="AT959:AV959" si="2997">AJ959/$AF959</f>
        <v>11.53287671</v>
      </c>
      <c r="AU959" s="9">
        <f t="shared" si="2997"/>
        <v>3.623287671</v>
      </c>
      <c r="AV959" s="9">
        <f t="shared" si="2997"/>
        <v>1.123287671</v>
      </c>
      <c r="AW959" s="9">
        <f t="shared" si="2235"/>
        <v>4.746575342</v>
      </c>
      <c r="AX959" s="9">
        <f t="shared" ref="AX959:AY959" si="2998">AM959/$AF959</f>
        <v>1.123287671</v>
      </c>
      <c r="AY959" s="9">
        <f t="shared" si="2998"/>
        <v>0.3150684932</v>
      </c>
      <c r="AZ959" s="9">
        <f>VLOOKUP(A959,Jogos!A:BN,58,0)</f>
        <v>20.55</v>
      </c>
      <c r="BA959" s="9">
        <f>VLOOKUP(A959,Jogos!A:BN,59,0)</f>
        <v>11.995</v>
      </c>
      <c r="BB959" s="9">
        <f>VLOOKUP(A959,Jogos!A:BN,60,0)</f>
        <v>57.5</v>
      </c>
      <c r="BC959" s="9">
        <f>VLOOKUP(A959,Jogos!A:BN,61,0)</f>
        <v>17.85</v>
      </c>
      <c r="BD959" s="9">
        <f>VLOOKUP(A959,Jogos!A:BN,62,0)</f>
        <v>845.5</v>
      </c>
      <c r="BE959" s="9">
        <f>VLOOKUP(A959,Jogos!A:BN,63,0)</f>
        <v>1.05</v>
      </c>
      <c r="BF959" s="9">
        <f>VLOOKUP(A959,Jogos!A:BN,64,0)</f>
        <v>18.05</v>
      </c>
      <c r="BG959" s="9">
        <f>VLOOKUP(A959,Jogos!A:BN,65,0)</f>
        <v>32.02</v>
      </c>
      <c r="BH959" s="9">
        <f>VLOOKUP(A959,Jogos!A:BN,66,0)</f>
        <v>21.095</v>
      </c>
      <c r="BI959" s="9"/>
      <c r="BJ959" s="9"/>
    </row>
    <row r="960" hidden="1">
      <c r="A960" s="2">
        <v>33.0</v>
      </c>
      <c r="B960" s="2" t="s">
        <v>185</v>
      </c>
      <c r="C960" s="2" t="s">
        <v>61</v>
      </c>
      <c r="D960" s="3">
        <v>45831.0</v>
      </c>
      <c r="E960" s="4">
        <v>0.5</v>
      </c>
      <c r="F960" s="5" t="str">
        <f>VLOOKUP(A960,Jogos!A:N,10,0)</f>
        <v>Afternoon</v>
      </c>
      <c r="G960" s="2" t="s">
        <v>312</v>
      </c>
      <c r="H960" s="6" t="str">
        <f>VLOOKUP(A960,Jogos!A:L,12,0)</f>
        <v>Open</v>
      </c>
      <c r="I960" s="6" t="str">
        <f>VLOOKUP(G960,'Estádios e Cidades'!A:B,2,0)</f>
        <v>Seatte</v>
      </c>
      <c r="J960" s="2" t="s">
        <v>314</v>
      </c>
      <c r="K960" s="2" t="str">
        <f>VLOOKUP(J960,Equipes!A:F,6,0)</f>
        <v>Temperate</v>
      </c>
      <c r="L960" s="2">
        <f>VLOOKUP(J960,Equipes!A:C,3,0)</f>
        <v>29</v>
      </c>
      <c r="M960" s="2" t="str">
        <f t="shared" si="4"/>
        <v>Group</v>
      </c>
      <c r="N960" s="2" t="s">
        <v>187</v>
      </c>
      <c r="O960" s="2">
        <f>VLOOKUP(N960,Equipes!A:C,3,0)</f>
        <v>2</v>
      </c>
      <c r="P960" s="2" t="str">
        <f t="shared" si="5"/>
        <v>Final</v>
      </c>
      <c r="Q960" s="2">
        <f t="shared" si="6"/>
        <v>27</v>
      </c>
      <c r="R960" s="2" t="str">
        <f>VLOOKUP(J960,Equipes!A:B,2,0)</f>
        <v>Seattle</v>
      </c>
      <c r="S960" s="6" t="s">
        <v>367</v>
      </c>
      <c r="T960" s="7">
        <v>14.0</v>
      </c>
      <c r="U960" s="7" t="s">
        <v>368</v>
      </c>
      <c r="V960" s="7" t="str">
        <f>VLOOKUP(U960,Jogadores!B:C,2,0)</f>
        <v>FW</v>
      </c>
      <c r="W960" s="8">
        <f>VLOOKUP(U960,Jogadores!B:D,3,0)</f>
        <v>26.56712329</v>
      </c>
      <c r="X960" s="7">
        <v>0.0</v>
      </c>
      <c r="Y960" s="7">
        <f>45+AB960</f>
        <v>95</v>
      </c>
      <c r="Z960" s="7">
        <f>VLOOKUP(A960,Jogos!A:L,3,0)</f>
        <v>46</v>
      </c>
      <c r="AA960" s="7">
        <f t="shared" si="2229"/>
        <v>46</v>
      </c>
      <c r="AB960" s="7">
        <f>VLOOKUP(A960,Jogos!A:L,4,0)</f>
        <v>50</v>
      </c>
      <c r="AC960" s="7">
        <f t="shared" si="2230"/>
        <v>50</v>
      </c>
      <c r="AD960" s="7"/>
      <c r="AE960" s="7"/>
      <c r="AF960" s="7">
        <f t="shared" si="2231"/>
        <v>96</v>
      </c>
      <c r="AG960" s="7">
        <v>12290.6</v>
      </c>
      <c r="AH960" s="7">
        <v>3857.0</v>
      </c>
      <c r="AI960" s="7">
        <v>5099.8</v>
      </c>
      <c r="AJ960" s="7">
        <v>2001.8</v>
      </c>
      <c r="AK960" s="7">
        <v>949.2</v>
      </c>
      <c r="AL960" s="7">
        <v>382.9</v>
      </c>
      <c r="AM960" s="7">
        <v>182.0</v>
      </c>
      <c r="AN960" s="7">
        <v>80.0</v>
      </c>
      <c r="AO960" s="7">
        <v>32.9</v>
      </c>
      <c r="AP960" s="9">
        <f t="shared" ref="AP960:AR960" si="2999">AG960/$AF960</f>
        <v>128.0270833</v>
      </c>
      <c r="AQ960" s="9">
        <f t="shared" si="2999"/>
        <v>40.17708333</v>
      </c>
      <c r="AR960" s="9">
        <f t="shared" si="2999"/>
        <v>53.12291667</v>
      </c>
      <c r="AS960" s="9">
        <f t="shared" si="2233"/>
        <v>93.3</v>
      </c>
      <c r="AT960" s="9">
        <f t="shared" ref="AT960:AV960" si="3000">AJ960/$AF960</f>
        <v>20.85208333</v>
      </c>
      <c r="AU960" s="9">
        <f t="shared" si="3000"/>
        <v>9.8875</v>
      </c>
      <c r="AV960" s="9">
        <f t="shared" si="3000"/>
        <v>3.988541667</v>
      </c>
      <c r="AW960" s="9">
        <f t="shared" si="2235"/>
        <v>13.87604167</v>
      </c>
      <c r="AX960" s="9">
        <f t="shared" ref="AX960:AY960" si="3001">AM960/$AF960</f>
        <v>1.895833333</v>
      </c>
      <c r="AY960" s="9">
        <f t="shared" si="3001"/>
        <v>0.8333333333</v>
      </c>
      <c r="AZ960" s="9">
        <f>VLOOKUP(A960,Jogos!A:BN,58,0)</f>
        <v>20.55</v>
      </c>
      <c r="BA960" s="9">
        <f>VLOOKUP(A960,Jogos!A:BN,59,0)</f>
        <v>11.995</v>
      </c>
      <c r="BB960" s="9">
        <f>VLOOKUP(A960,Jogos!A:BN,60,0)</f>
        <v>57.5</v>
      </c>
      <c r="BC960" s="9">
        <f>VLOOKUP(A960,Jogos!A:BN,61,0)</f>
        <v>17.85</v>
      </c>
      <c r="BD960" s="9">
        <f>VLOOKUP(A960,Jogos!A:BN,62,0)</f>
        <v>845.5</v>
      </c>
      <c r="BE960" s="9">
        <f>VLOOKUP(A960,Jogos!A:BN,63,0)</f>
        <v>1.05</v>
      </c>
      <c r="BF960" s="9">
        <f>VLOOKUP(A960,Jogos!A:BN,64,0)</f>
        <v>18.05</v>
      </c>
      <c r="BG960" s="9">
        <f>VLOOKUP(A960,Jogos!A:BN,65,0)</f>
        <v>32.02</v>
      </c>
      <c r="BH960" s="9">
        <f>VLOOKUP(A960,Jogos!A:BN,66,0)</f>
        <v>21.095</v>
      </c>
      <c r="BI960" s="9"/>
      <c r="BJ960" s="9"/>
    </row>
    <row r="961" hidden="1">
      <c r="A961" s="2">
        <v>33.0</v>
      </c>
      <c r="B961" s="2" t="s">
        <v>185</v>
      </c>
      <c r="C961" s="2" t="s">
        <v>61</v>
      </c>
      <c r="D961" s="3">
        <v>45831.0</v>
      </c>
      <c r="E961" s="4">
        <v>0.5</v>
      </c>
      <c r="F961" s="5" t="str">
        <f>VLOOKUP(A961,Jogos!A:N,10,0)</f>
        <v>Afternoon</v>
      </c>
      <c r="G961" s="2" t="s">
        <v>312</v>
      </c>
      <c r="H961" s="6" t="str">
        <f>VLOOKUP(A961,Jogos!A:L,12,0)</f>
        <v>Open</v>
      </c>
      <c r="I961" s="6" t="str">
        <f>VLOOKUP(G961,'Estádios e Cidades'!A:B,2,0)</f>
        <v>Seatte</v>
      </c>
      <c r="J961" s="2" t="s">
        <v>314</v>
      </c>
      <c r="K961" s="2" t="str">
        <f>VLOOKUP(J961,Equipes!A:F,6,0)</f>
        <v>Temperate</v>
      </c>
      <c r="L961" s="2">
        <f>VLOOKUP(J961,Equipes!A:C,3,0)</f>
        <v>29</v>
      </c>
      <c r="M961" s="2" t="str">
        <f t="shared" si="4"/>
        <v>Group</v>
      </c>
      <c r="N961" s="2" t="s">
        <v>187</v>
      </c>
      <c r="O961" s="2">
        <f>VLOOKUP(N961,Equipes!A:C,3,0)</f>
        <v>2</v>
      </c>
      <c r="P961" s="2" t="str">
        <f t="shared" si="5"/>
        <v>Final</v>
      </c>
      <c r="Q961" s="2">
        <f t="shared" si="6"/>
        <v>27</v>
      </c>
      <c r="R961" s="2" t="str">
        <f>VLOOKUP(J961,Equipes!A:B,2,0)</f>
        <v>Seattle</v>
      </c>
      <c r="S961" s="6" t="s">
        <v>369</v>
      </c>
      <c r="T961" s="7">
        <v>15.0</v>
      </c>
      <c r="U961" s="7" t="s">
        <v>370</v>
      </c>
      <c r="V961" s="7" t="str">
        <f>VLOOKUP(U961,Jogadores!B:C,2,0)</f>
        <v>DF</v>
      </c>
      <c r="W961" s="8">
        <f>VLOOKUP(U961,Jogadores!B:D,3,0)</f>
        <v>27.93972603</v>
      </c>
      <c r="X961" s="7">
        <v>0.0</v>
      </c>
      <c r="Y961" s="7">
        <v>72.0</v>
      </c>
      <c r="Z961" s="7">
        <f>VLOOKUP(A961,Jogos!A:L,3,0)</f>
        <v>46</v>
      </c>
      <c r="AA961" s="7">
        <f t="shared" si="2229"/>
        <v>46</v>
      </c>
      <c r="AB961" s="7">
        <f>VLOOKUP(A961,Jogos!A:L,4,0)</f>
        <v>50</v>
      </c>
      <c r="AC961" s="7">
        <f t="shared" si="2230"/>
        <v>27</v>
      </c>
      <c r="AD961" s="7"/>
      <c r="AE961" s="7"/>
      <c r="AF961" s="7">
        <f t="shared" si="2231"/>
        <v>73</v>
      </c>
      <c r="AG961" s="7">
        <v>8098.9</v>
      </c>
      <c r="AH961" s="7">
        <v>2679.3</v>
      </c>
      <c r="AI961" s="7">
        <v>3992.1</v>
      </c>
      <c r="AJ961" s="7">
        <v>1008.3</v>
      </c>
      <c r="AK961" s="7">
        <v>338.9</v>
      </c>
      <c r="AL961" s="7">
        <v>80.3</v>
      </c>
      <c r="AM961" s="7">
        <v>87.0</v>
      </c>
      <c r="AN961" s="7">
        <v>28.0</v>
      </c>
      <c r="AO961" s="7">
        <v>32.2</v>
      </c>
      <c r="AP961" s="9">
        <f t="shared" ref="AP961:AR961" si="3002">AG961/$AF961</f>
        <v>110.9438356</v>
      </c>
      <c r="AQ961" s="9">
        <f t="shared" si="3002"/>
        <v>36.70273973</v>
      </c>
      <c r="AR961" s="9">
        <f t="shared" si="3002"/>
        <v>54.68630137</v>
      </c>
      <c r="AS961" s="9">
        <f t="shared" si="2233"/>
        <v>91.3890411</v>
      </c>
      <c r="AT961" s="9">
        <f t="shared" ref="AT961:AV961" si="3003">AJ961/$AF961</f>
        <v>13.81232877</v>
      </c>
      <c r="AU961" s="9">
        <f t="shared" si="3003"/>
        <v>4.642465753</v>
      </c>
      <c r="AV961" s="9">
        <f t="shared" si="3003"/>
        <v>1.1</v>
      </c>
      <c r="AW961" s="9">
        <f t="shared" si="2235"/>
        <v>5.742465753</v>
      </c>
      <c r="AX961" s="9">
        <f t="shared" ref="AX961:AY961" si="3004">AM961/$AF961</f>
        <v>1.191780822</v>
      </c>
      <c r="AY961" s="9">
        <f t="shared" si="3004"/>
        <v>0.3835616438</v>
      </c>
      <c r="AZ961" s="9">
        <f>VLOOKUP(A961,Jogos!A:BN,58,0)</f>
        <v>20.55</v>
      </c>
      <c r="BA961" s="9">
        <f>VLOOKUP(A961,Jogos!A:BN,59,0)</f>
        <v>11.995</v>
      </c>
      <c r="BB961" s="9">
        <f>VLOOKUP(A961,Jogos!A:BN,60,0)</f>
        <v>57.5</v>
      </c>
      <c r="BC961" s="9">
        <f>VLOOKUP(A961,Jogos!A:BN,61,0)</f>
        <v>17.85</v>
      </c>
      <c r="BD961" s="9">
        <f>VLOOKUP(A961,Jogos!A:BN,62,0)</f>
        <v>845.5</v>
      </c>
      <c r="BE961" s="9">
        <f>VLOOKUP(A961,Jogos!A:BN,63,0)</f>
        <v>1.05</v>
      </c>
      <c r="BF961" s="9">
        <f>VLOOKUP(A961,Jogos!A:BN,64,0)</f>
        <v>18.05</v>
      </c>
      <c r="BG961" s="9">
        <f>VLOOKUP(A961,Jogos!A:BN,65,0)</f>
        <v>32.02</v>
      </c>
      <c r="BH961" s="9">
        <f>VLOOKUP(A961,Jogos!A:BN,66,0)</f>
        <v>21.095</v>
      </c>
      <c r="BI961" s="9"/>
      <c r="BJ961" s="9"/>
    </row>
    <row r="962" hidden="1">
      <c r="A962" s="2">
        <v>33.0</v>
      </c>
      <c r="B962" s="2" t="s">
        <v>185</v>
      </c>
      <c r="C962" s="2" t="s">
        <v>61</v>
      </c>
      <c r="D962" s="3">
        <v>45831.0</v>
      </c>
      <c r="E962" s="4">
        <v>0.5</v>
      </c>
      <c r="F962" s="5" t="str">
        <f>VLOOKUP(A962,Jogos!A:N,10,0)</f>
        <v>Afternoon</v>
      </c>
      <c r="G962" s="2" t="s">
        <v>312</v>
      </c>
      <c r="H962" s="6" t="str">
        <f>VLOOKUP(A962,Jogos!A:L,12,0)</f>
        <v>Open</v>
      </c>
      <c r="I962" s="6" t="str">
        <f>VLOOKUP(G962,'Estádios e Cidades'!A:B,2,0)</f>
        <v>Seatte</v>
      </c>
      <c r="J962" s="2" t="s">
        <v>314</v>
      </c>
      <c r="K962" s="2" t="str">
        <f>VLOOKUP(J962,Equipes!A:F,6,0)</f>
        <v>Temperate</v>
      </c>
      <c r="L962" s="2">
        <f>VLOOKUP(J962,Equipes!A:C,3,0)</f>
        <v>29</v>
      </c>
      <c r="M962" s="2" t="str">
        <f t="shared" si="4"/>
        <v>Group</v>
      </c>
      <c r="N962" s="2" t="s">
        <v>187</v>
      </c>
      <c r="O962" s="2">
        <f>VLOOKUP(N962,Equipes!A:C,3,0)</f>
        <v>2</v>
      </c>
      <c r="P962" s="2" t="str">
        <f t="shared" si="5"/>
        <v>Final</v>
      </c>
      <c r="Q962" s="2">
        <f t="shared" si="6"/>
        <v>27</v>
      </c>
      <c r="R962" s="2" t="str">
        <f>VLOOKUP(J962,Equipes!A:B,2,0)</f>
        <v>Seattle</v>
      </c>
      <c r="S962" s="6" t="s">
        <v>353</v>
      </c>
      <c r="T962" s="7">
        <v>16.0</v>
      </c>
      <c r="U962" s="7" t="s">
        <v>354</v>
      </c>
      <c r="V962" s="7" t="str">
        <f>VLOOKUP(U962,Jogadores!B:C,2,0)</f>
        <v>DF</v>
      </c>
      <c r="W962" s="8">
        <f>VLOOKUP(U962,Jogadores!B:D,3,0)</f>
        <v>29.01917808</v>
      </c>
      <c r="X962" s="7">
        <v>0.0</v>
      </c>
      <c r="Y962" s="7">
        <f>45+AB962</f>
        <v>95</v>
      </c>
      <c r="Z962" s="7">
        <f>VLOOKUP(A962,Jogos!A:L,3,0)</f>
        <v>46</v>
      </c>
      <c r="AA962" s="7">
        <f t="shared" si="2229"/>
        <v>46</v>
      </c>
      <c r="AB962" s="7">
        <f>VLOOKUP(A962,Jogos!A:L,4,0)</f>
        <v>50</v>
      </c>
      <c r="AC962" s="7">
        <f t="shared" si="2230"/>
        <v>50</v>
      </c>
      <c r="AD962" s="7"/>
      <c r="AE962" s="7"/>
      <c r="AF962" s="7">
        <f t="shared" si="2231"/>
        <v>96</v>
      </c>
      <c r="AG962" s="7">
        <v>11414.0</v>
      </c>
      <c r="AH962" s="7">
        <v>3405.3</v>
      </c>
      <c r="AI962" s="7">
        <v>6026.9</v>
      </c>
      <c r="AJ962" s="7">
        <v>1431.4</v>
      </c>
      <c r="AK962" s="7">
        <v>347.6</v>
      </c>
      <c r="AL962" s="7">
        <v>202.8</v>
      </c>
      <c r="AM962" s="7">
        <v>128.0</v>
      </c>
      <c r="AN962" s="7">
        <v>31.0</v>
      </c>
      <c r="AO962" s="7">
        <v>31.9</v>
      </c>
      <c r="AP962" s="9">
        <f t="shared" ref="AP962:AR962" si="3005">AG962/$AF962</f>
        <v>118.8958333</v>
      </c>
      <c r="AQ962" s="9">
        <f t="shared" si="3005"/>
        <v>35.471875</v>
      </c>
      <c r="AR962" s="9">
        <f t="shared" si="3005"/>
        <v>62.78020833</v>
      </c>
      <c r="AS962" s="9">
        <f t="shared" si="2233"/>
        <v>98.25208333</v>
      </c>
      <c r="AT962" s="9">
        <f t="shared" ref="AT962:AV962" si="3006">AJ962/$AF962</f>
        <v>14.91041667</v>
      </c>
      <c r="AU962" s="9">
        <f t="shared" si="3006"/>
        <v>3.620833333</v>
      </c>
      <c r="AV962" s="9">
        <f t="shared" si="3006"/>
        <v>2.1125</v>
      </c>
      <c r="AW962" s="9">
        <f t="shared" si="2235"/>
        <v>5.733333333</v>
      </c>
      <c r="AX962" s="9">
        <f t="shared" ref="AX962:AY962" si="3007">AM962/$AF962</f>
        <v>1.333333333</v>
      </c>
      <c r="AY962" s="9">
        <f t="shared" si="3007"/>
        <v>0.3229166667</v>
      </c>
      <c r="AZ962" s="9">
        <f>VLOOKUP(A962,Jogos!A:BN,58,0)</f>
        <v>20.55</v>
      </c>
      <c r="BA962" s="9">
        <f>VLOOKUP(A962,Jogos!A:BN,59,0)</f>
        <v>11.995</v>
      </c>
      <c r="BB962" s="9">
        <f>VLOOKUP(A962,Jogos!A:BN,60,0)</f>
        <v>57.5</v>
      </c>
      <c r="BC962" s="9">
        <f>VLOOKUP(A962,Jogos!A:BN,61,0)</f>
        <v>17.85</v>
      </c>
      <c r="BD962" s="9">
        <f>VLOOKUP(A962,Jogos!A:BN,62,0)</f>
        <v>845.5</v>
      </c>
      <c r="BE962" s="9">
        <f>VLOOKUP(A962,Jogos!A:BN,63,0)</f>
        <v>1.05</v>
      </c>
      <c r="BF962" s="9">
        <f>VLOOKUP(A962,Jogos!A:BN,64,0)</f>
        <v>18.05</v>
      </c>
      <c r="BG962" s="9">
        <f>VLOOKUP(A962,Jogos!A:BN,65,0)</f>
        <v>32.02</v>
      </c>
      <c r="BH962" s="9">
        <f>VLOOKUP(A962,Jogos!A:BN,66,0)</f>
        <v>21.095</v>
      </c>
      <c r="BI962" s="9"/>
      <c r="BJ962" s="9"/>
    </row>
    <row r="963" hidden="1">
      <c r="A963" s="2">
        <v>33.0</v>
      </c>
      <c r="B963" s="2" t="s">
        <v>185</v>
      </c>
      <c r="C963" s="2" t="s">
        <v>61</v>
      </c>
      <c r="D963" s="3">
        <v>45831.0</v>
      </c>
      <c r="E963" s="4">
        <v>0.5</v>
      </c>
      <c r="F963" s="5" t="str">
        <f>VLOOKUP(A963,Jogos!A:N,10,0)</f>
        <v>Afternoon</v>
      </c>
      <c r="G963" s="2" t="s">
        <v>312</v>
      </c>
      <c r="H963" s="6" t="str">
        <f>VLOOKUP(A963,Jogos!A:L,12,0)</f>
        <v>Open</v>
      </c>
      <c r="I963" s="6" t="str">
        <f>VLOOKUP(G963,'Estádios e Cidades'!A:B,2,0)</f>
        <v>Seatte</v>
      </c>
      <c r="J963" s="2" t="s">
        <v>314</v>
      </c>
      <c r="K963" s="2" t="str">
        <f>VLOOKUP(J963,Equipes!A:F,6,0)</f>
        <v>Temperate</v>
      </c>
      <c r="L963" s="2">
        <f>VLOOKUP(J963,Equipes!A:C,3,0)</f>
        <v>29</v>
      </c>
      <c r="M963" s="2" t="str">
        <f t="shared" si="4"/>
        <v>Group</v>
      </c>
      <c r="N963" s="2" t="s">
        <v>187</v>
      </c>
      <c r="O963" s="2">
        <f>VLOOKUP(N963,Equipes!A:C,3,0)</f>
        <v>2</v>
      </c>
      <c r="P963" s="2" t="str">
        <f t="shared" si="5"/>
        <v>Final</v>
      </c>
      <c r="Q963" s="2">
        <f t="shared" si="6"/>
        <v>27</v>
      </c>
      <c r="R963" s="2" t="str">
        <f>VLOOKUP(J963,Equipes!A:B,2,0)</f>
        <v>Seattle</v>
      </c>
      <c r="S963" s="6" t="s">
        <v>355</v>
      </c>
      <c r="T963" s="7">
        <v>18.0</v>
      </c>
      <c r="U963" s="7" t="s">
        <v>356</v>
      </c>
      <c r="V963" s="7" t="str">
        <f>VLOOKUP(U963,Jogadores!B:C,2,0)</f>
        <v>MF</v>
      </c>
      <c r="W963" s="8">
        <f>VLOOKUP(U963,Jogadores!B:D,3,0)</f>
        <v>19.99178082</v>
      </c>
      <c r="X963" s="7">
        <v>0.0</v>
      </c>
      <c r="Y963" s="7">
        <v>87.0</v>
      </c>
      <c r="Z963" s="7">
        <f>VLOOKUP(A963,Jogos!A:L,3,0)</f>
        <v>46</v>
      </c>
      <c r="AA963" s="7">
        <f t="shared" si="2229"/>
        <v>46</v>
      </c>
      <c r="AB963" s="7">
        <f>VLOOKUP(A963,Jogos!A:L,4,0)</f>
        <v>50</v>
      </c>
      <c r="AC963" s="7">
        <f t="shared" si="2230"/>
        <v>42</v>
      </c>
      <c r="AD963" s="7"/>
      <c r="AE963" s="7"/>
      <c r="AF963" s="7">
        <f t="shared" si="2231"/>
        <v>88</v>
      </c>
      <c r="AG963" s="7">
        <v>11828.9</v>
      </c>
      <c r="AH963" s="7">
        <v>2566.1</v>
      </c>
      <c r="AI963" s="7">
        <v>5959.7</v>
      </c>
      <c r="AJ963" s="7">
        <v>2482.6</v>
      </c>
      <c r="AK963" s="7">
        <v>728.9</v>
      </c>
      <c r="AL963" s="7">
        <v>91.5</v>
      </c>
      <c r="AM963" s="7">
        <v>219.0</v>
      </c>
      <c r="AN963" s="7">
        <v>53.0</v>
      </c>
      <c r="AO963" s="7">
        <v>30.3</v>
      </c>
      <c r="AP963" s="9">
        <f t="shared" ref="AP963:AR963" si="3008">AG963/$AF963</f>
        <v>134.4193182</v>
      </c>
      <c r="AQ963" s="9">
        <f t="shared" si="3008"/>
        <v>29.16022727</v>
      </c>
      <c r="AR963" s="9">
        <f t="shared" si="3008"/>
        <v>67.72386364</v>
      </c>
      <c r="AS963" s="9">
        <f t="shared" si="2233"/>
        <v>96.88409091</v>
      </c>
      <c r="AT963" s="9">
        <f t="shared" ref="AT963:AV963" si="3009">AJ963/$AF963</f>
        <v>28.21136364</v>
      </c>
      <c r="AU963" s="9">
        <f t="shared" si="3009"/>
        <v>8.282954545</v>
      </c>
      <c r="AV963" s="9">
        <f t="shared" si="3009"/>
        <v>1.039772727</v>
      </c>
      <c r="AW963" s="9">
        <f t="shared" si="2235"/>
        <v>9.322727273</v>
      </c>
      <c r="AX963" s="9">
        <f t="shared" ref="AX963:AY963" si="3010">AM963/$AF963</f>
        <v>2.488636364</v>
      </c>
      <c r="AY963" s="9">
        <f t="shared" si="3010"/>
        <v>0.6022727273</v>
      </c>
      <c r="AZ963" s="9">
        <f>VLOOKUP(A963,Jogos!A:BN,58,0)</f>
        <v>20.55</v>
      </c>
      <c r="BA963" s="9">
        <f>VLOOKUP(A963,Jogos!A:BN,59,0)</f>
        <v>11.995</v>
      </c>
      <c r="BB963" s="9">
        <f>VLOOKUP(A963,Jogos!A:BN,60,0)</f>
        <v>57.5</v>
      </c>
      <c r="BC963" s="9">
        <f>VLOOKUP(A963,Jogos!A:BN,61,0)</f>
        <v>17.85</v>
      </c>
      <c r="BD963" s="9">
        <f>VLOOKUP(A963,Jogos!A:BN,62,0)</f>
        <v>845.5</v>
      </c>
      <c r="BE963" s="9">
        <f>VLOOKUP(A963,Jogos!A:BN,63,0)</f>
        <v>1.05</v>
      </c>
      <c r="BF963" s="9">
        <f>VLOOKUP(A963,Jogos!A:BN,64,0)</f>
        <v>18.05</v>
      </c>
      <c r="BG963" s="9">
        <f>VLOOKUP(A963,Jogos!A:BN,65,0)</f>
        <v>32.02</v>
      </c>
      <c r="BH963" s="9">
        <f>VLOOKUP(A963,Jogos!A:BN,66,0)</f>
        <v>21.095</v>
      </c>
      <c r="BI963" s="9"/>
      <c r="BJ963" s="9"/>
    </row>
    <row r="964" hidden="1">
      <c r="A964" s="2">
        <v>33.0</v>
      </c>
      <c r="B964" s="2" t="s">
        <v>185</v>
      </c>
      <c r="C964" s="2" t="s">
        <v>61</v>
      </c>
      <c r="D964" s="3">
        <v>45831.0</v>
      </c>
      <c r="E964" s="4">
        <v>0.5</v>
      </c>
      <c r="F964" s="5" t="str">
        <f>VLOOKUP(A964,Jogos!A:N,10,0)</f>
        <v>Afternoon</v>
      </c>
      <c r="G964" s="2" t="s">
        <v>312</v>
      </c>
      <c r="H964" s="6" t="str">
        <f>VLOOKUP(A964,Jogos!A:L,12,0)</f>
        <v>Open</v>
      </c>
      <c r="I964" s="6" t="str">
        <f>VLOOKUP(G964,'Estádios e Cidades'!A:B,2,0)</f>
        <v>Seatte</v>
      </c>
      <c r="J964" s="2" t="s">
        <v>314</v>
      </c>
      <c r="K964" s="2" t="str">
        <f>VLOOKUP(J964,Equipes!A:F,6,0)</f>
        <v>Temperate</v>
      </c>
      <c r="L964" s="2">
        <f>VLOOKUP(J964,Equipes!A:C,3,0)</f>
        <v>29</v>
      </c>
      <c r="M964" s="2" t="str">
        <f t="shared" si="4"/>
        <v>Group</v>
      </c>
      <c r="N964" s="2" t="s">
        <v>187</v>
      </c>
      <c r="O964" s="2">
        <f>VLOOKUP(N964,Equipes!A:C,3,0)</f>
        <v>2</v>
      </c>
      <c r="P964" s="2" t="str">
        <f t="shared" si="5"/>
        <v>Final</v>
      </c>
      <c r="Q964" s="2">
        <f t="shared" si="6"/>
        <v>27</v>
      </c>
      <c r="R964" s="2" t="str">
        <f>VLOOKUP(J964,Equipes!A:B,2,0)</f>
        <v>Seattle</v>
      </c>
      <c r="S964" s="6" t="s">
        <v>361</v>
      </c>
      <c r="T964" s="7">
        <v>25.0</v>
      </c>
      <c r="U964" s="7" t="s">
        <v>362</v>
      </c>
      <c r="V964" s="7" t="str">
        <f>VLOOKUP(U964,Jogadores!B:C,2,0)</f>
        <v>DF</v>
      </c>
      <c r="W964" s="8">
        <f>VLOOKUP(U964,Jogadores!B:D,3,0)</f>
        <v>26.86027397</v>
      </c>
      <c r="X964" s="7">
        <v>0.0</v>
      </c>
      <c r="Y964" s="7">
        <f>45+AB964</f>
        <v>95</v>
      </c>
      <c r="Z964" s="7">
        <f>VLOOKUP(A964,Jogos!A:L,3,0)</f>
        <v>46</v>
      </c>
      <c r="AA964" s="7">
        <f t="shared" si="2229"/>
        <v>46</v>
      </c>
      <c r="AB964" s="7">
        <f>VLOOKUP(A964,Jogos!A:L,4,0)</f>
        <v>50</v>
      </c>
      <c r="AC964" s="7">
        <f t="shared" si="2230"/>
        <v>50</v>
      </c>
      <c r="AD964" s="7"/>
      <c r="AE964" s="7"/>
      <c r="AF964" s="7">
        <f t="shared" si="2231"/>
        <v>96</v>
      </c>
      <c r="AG964" s="7">
        <v>10790.9</v>
      </c>
      <c r="AH964" s="7">
        <v>3453.0</v>
      </c>
      <c r="AI964" s="7">
        <v>5703.5</v>
      </c>
      <c r="AJ964" s="7">
        <v>1262.0</v>
      </c>
      <c r="AK964" s="7">
        <v>311.4</v>
      </c>
      <c r="AL964" s="7">
        <v>61.0</v>
      </c>
      <c r="AM964" s="7">
        <v>115.0</v>
      </c>
      <c r="AN964" s="7">
        <v>23.0</v>
      </c>
      <c r="AO964" s="7">
        <v>29.4</v>
      </c>
      <c r="AP964" s="9">
        <f t="shared" ref="AP964:AR964" si="3011">AG964/$AF964</f>
        <v>112.4052083</v>
      </c>
      <c r="AQ964" s="9">
        <f t="shared" si="3011"/>
        <v>35.96875</v>
      </c>
      <c r="AR964" s="9">
        <f t="shared" si="3011"/>
        <v>59.41145833</v>
      </c>
      <c r="AS964" s="9">
        <f t="shared" si="2233"/>
        <v>95.38020833</v>
      </c>
      <c r="AT964" s="9">
        <f t="shared" ref="AT964:AV964" si="3012">AJ964/$AF964</f>
        <v>13.14583333</v>
      </c>
      <c r="AU964" s="9">
        <f t="shared" si="3012"/>
        <v>3.24375</v>
      </c>
      <c r="AV964" s="9">
        <f t="shared" si="3012"/>
        <v>0.6354166667</v>
      </c>
      <c r="AW964" s="9">
        <f t="shared" si="2235"/>
        <v>3.879166667</v>
      </c>
      <c r="AX964" s="9">
        <f t="shared" ref="AX964:AY964" si="3013">AM964/$AF964</f>
        <v>1.197916667</v>
      </c>
      <c r="AY964" s="9">
        <f t="shared" si="3013"/>
        <v>0.2395833333</v>
      </c>
      <c r="AZ964" s="9">
        <f>VLOOKUP(A964,Jogos!A:BN,58,0)</f>
        <v>20.55</v>
      </c>
      <c r="BA964" s="9">
        <f>VLOOKUP(A964,Jogos!A:BN,59,0)</f>
        <v>11.995</v>
      </c>
      <c r="BB964" s="9">
        <f>VLOOKUP(A964,Jogos!A:BN,60,0)</f>
        <v>57.5</v>
      </c>
      <c r="BC964" s="9">
        <f>VLOOKUP(A964,Jogos!A:BN,61,0)</f>
        <v>17.85</v>
      </c>
      <c r="BD964" s="9">
        <f>VLOOKUP(A964,Jogos!A:BN,62,0)</f>
        <v>845.5</v>
      </c>
      <c r="BE964" s="9">
        <f>VLOOKUP(A964,Jogos!A:BN,63,0)</f>
        <v>1.05</v>
      </c>
      <c r="BF964" s="9">
        <f>VLOOKUP(A964,Jogos!A:BN,64,0)</f>
        <v>18.05</v>
      </c>
      <c r="BG964" s="9">
        <f>VLOOKUP(A964,Jogos!A:BN,65,0)</f>
        <v>32.02</v>
      </c>
      <c r="BH964" s="9">
        <f>VLOOKUP(A964,Jogos!A:BN,66,0)</f>
        <v>21.095</v>
      </c>
      <c r="BI964" s="9"/>
      <c r="BJ964" s="9"/>
    </row>
    <row r="965" hidden="1">
      <c r="A965" s="2">
        <v>33.0</v>
      </c>
      <c r="B965" s="2" t="s">
        <v>185</v>
      </c>
      <c r="C965" s="2" t="s">
        <v>61</v>
      </c>
      <c r="D965" s="3">
        <v>45831.0</v>
      </c>
      <c r="E965" s="4">
        <v>0.5</v>
      </c>
      <c r="F965" s="5" t="str">
        <f>VLOOKUP(A965,Jogos!A:N,10,0)</f>
        <v>Afternoon</v>
      </c>
      <c r="G965" s="2" t="s">
        <v>312</v>
      </c>
      <c r="H965" s="6" t="str">
        <f>VLOOKUP(A965,Jogos!A:L,12,0)</f>
        <v>Open</v>
      </c>
      <c r="I965" s="6" t="str">
        <f>VLOOKUP(G965,'Estádios e Cidades'!A:B,2,0)</f>
        <v>Seatte</v>
      </c>
      <c r="J965" s="2" t="s">
        <v>314</v>
      </c>
      <c r="K965" s="2" t="str">
        <f>VLOOKUP(J965,Equipes!A:F,6,0)</f>
        <v>Temperate</v>
      </c>
      <c r="L965" s="2">
        <f>VLOOKUP(J965,Equipes!A:C,3,0)</f>
        <v>29</v>
      </c>
      <c r="M965" s="2" t="str">
        <f t="shared" si="4"/>
        <v>Group</v>
      </c>
      <c r="N965" s="2" t="s">
        <v>187</v>
      </c>
      <c r="O965" s="2">
        <f>VLOOKUP(N965,Equipes!A:C,3,0)</f>
        <v>2</v>
      </c>
      <c r="P965" s="2" t="str">
        <f t="shared" si="5"/>
        <v>Final</v>
      </c>
      <c r="Q965" s="2">
        <f t="shared" si="6"/>
        <v>27</v>
      </c>
      <c r="R965" s="2" t="str">
        <f>VLOOKUP(J965,Equipes!A:B,2,0)</f>
        <v>Seattle</v>
      </c>
      <c r="S965" s="6" t="s">
        <v>363</v>
      </c>
      <c r="T965" s="7">
        <v>77.0</v>
      </c>
      <c r="U965" s="7" t="s">
        <v>364</v>
      </c>
      <c r="V965" s="7" t="str">
        <f>VLOOKUP(U965,Jogadores!B:C,2,0)</f>
        <v>FW</v>
      </c>
      <c r="W965" s="8">
        <f>VLOOKUP(U965,Jogadores!B:D,3,0)</f>
        <v>28.72876712</v>
      </c>
      <c r="X965" s="7">
        <v>0.0</v>
      </c>
      <c r="Y965" s="7">
        <v>57.0</v>
      </c>
      <c r="Z965" s="7">
        <f>VLOOKUP(A965,Jogos!A:L,3,0)</f>
        <v>46</v>
      </c>
      <c r="AA965" s="7">
        <f t="shared" si="2229"/>
        <v>46</v>
      </c>
      <c r="AB965" s="7">
        <f>VLOOKUP(A965,Jogos!A:L,4,0)</f>
        <v>50</v>
      </c>
      <c r="AC965" s="7">
        <f t="shared" si="2230"/>
        <v>12</v>
      </c>
      <c r="AD965" s="7"/>
      <c r="AE965" s="7"/>
      <c r="AF965" s="7">
        <f t="shared" si="2231"/>
        <v>58</v>
      </c>
      <c r="AG965" s="7">
        <v>7057.8</v>
      </c>
      <c r="AH965" s="7">
        <v>2364.0</v>
      </c>
      <c r="AI965" s="7">
        <v>2946.2</v>
      </c>
      <c r="AJ965" s="7">
        <v>1310.2</v>
      </c>
      <c r="AK965" s="7">
        <v>369.5</v>
      </c>
      <c r="AL965" s="7">
        <v>68.0</v>
      </c>
      <c r="AM965" s="7">
        <v>115.0</v>
      </c>
      <c r="AN965" s="7">
        <v>32.0</v>
      </c>
      <c r="AO965" s="7">
        <v>30.1</v>
      </c>
      <c r="AP965" s="9">
        <f t="shared" ref="AP965:AR965" si="3014">AG965/$AF965</f>
        <v>121.6862069</v>
      </c>
      <c r="AQ965" s="9">
        <f t="shared" si="3014"/>
        <v>40.75862069</v>
      </c>
      <c r="AR965" s="9">
        <f t="shared" si="3014"/>
        <v>50.79655172</v>
      </c>
      <c r="AS965" s="9">
        <f t="shared" si="2233"/>
        <v>91.55517241</v>
      </c>
      <c r="AT965" s="9">
        <f t="shared" ref="AT965:AV965" si="3015">AJ965/$AF965</f>
        <v>22.58965517</v>
      </c>
      <c r="AU965" s="9">
        <f t="shared" si="3015"/>
        <v>6.370689655</v>
      </c>
      <c r="AV965" s="9">
        <f t="shared" si="3015"/>
        <v>1.172413793</v>
      </c>
      <c r="AW965" s="9">
        <f t="shared" si="2235"/>
        <v>7.543103448</v>
      </c>
      <c r="AX965" s="9">
        <f t="shared" ref="AX965:AY965" si="3016">AM965/$AF965</f>
        <v>1.982758621</v>
      </c>
      <c r="AY965" s="9">
        <f t="shared" si="3016"/>
        <v>0.5517241379</v>
      </c>
      <c r="AZ965" s="9">
        <f>VLOOKUP(A965,Jogos!A:BN,58,0)</f>
        <v>20.55</v>
      </c>
      <c r="BA965" s="9">
        <f>VLOOKUP(A965,Jogos!A:BN,59,0)</f>
        <v>11.995</v>
      </c>
      <c r="BB965" s="9">
        <f>VLOOKUP(A965,Jogos!A:BN,60,0)</f>
        <v>57.5</v>
      </c>
      <c r="BC965" s="9">
        <f>VLOOKUP(A965,Jogos!A:BN,61,0)</f>
        <v>17.85</v>
      </c>
      <c r="BD965" s="9">
        <f>VLOOKUP(A965,Jogos!A:BN,62,0)</f>
        <v>845.5</v>
      </c>
      <c r="BE965" s="9">
        <f>VLOOKUP(A965,Jogos!A:BN,63,0)</f>
        <v>1.05</v>
      </c>
      <c r="BF965" s="9">
        <f>VLOOKUP(A965,Jogos!A:BN,64,0)</f>
        <v>18.05</v>
      </c>
      <c r="BG965" s="9">
        <f>VLOOKUP(A965,Jogos!A:BN,65,0)</f>
        <v>32.02</v>
      </c>
      <c r="BH965" s="9">
        <f>VLOOKUP(A965,Jogos!A:BN,66,0)</f>
        <v>21.095</v>
      </c>
      <c r="BI965" s="9"/>
      <c r="BJ965" s="9"/>
    </row>
    <row r="966" hidden="1">
      <c r="A966" s="2">
        <v>33.0</v>
      </c>
      <c r="B966" s="2" t="s">
        <v>185</v>
      </c>
      <c r="C966" s="2" t="s">
        <v>61</v>
      </c>
      <c r="D966" s="3">
        <v>45831.0</v>
      </c>
      <c r="E966" s="4">
        <v>0.5</v>
      </c>
      <c r="F966" s="5" t="str">
        <f>VLOOKUP(A966,Jogos!A:N,10,0)</f>
        <v>Afternoon</v>
      </c>
      <c r="G966" s="2" t="s">
        <v>312</v>
      </c>
      <c r="H966" s="6" t="str">
        <f>VLOOKUP(A966,Jogos!A:L,12,0)</f>
        <v>Open</v>
      </c>
      <c r="I966" s="6" t="str">
        <f>VLOOKUP(G966,'Estádios e Cidades'!A:B,2,0)</f>
        <v>Seatte</v>
      </c>
      <c r="J966" s="2" t="s">
        <v>314</v>
      </c>
      <c r="K966" s="2" t="str">
        <f>VLOOKUP(J966,Equipes!A:F,6,0)</f>
        <v>Temperate</v>
      </c>
      <c r="L966" s="2">
        <f>VLOOKUP(J966,Equipes!A:C,3,0)</f>
        <v>29</v>
      </c>
      <c r="M966" s="2" t="str">
        <f t="shared" si="4"/>
        <v>Group</v>
      </c>
      <c r="N966" s="2" t="s">
        <v>187</v>
      </c>
      <c r="O966" s="2">
        <f>VLOOKUP(N966,Equipes!A:C,3,0)</f>
        <v>2</v>
      </c>
      <c r="P966" s="2" t="str">
        <f t="shared" si="5"/>
        <v>Final</v>
      </c>
      <c r="Q966" s="2">
        <f t="shared" si="6"/>
        <v>27</v>
      </c>
      <c r="R966" s="2" t="str">
        <f>VLOOKUP(J966,Equipes!A:B,2,0)</f>
        <v>Seattle</v>
      </c>
      <c r="S966" s="6" t="s">
        <v>1237</v>
      </c>
      <c r="T966" s="7">
        <v>13.0</v>
      </c>
      <c r="U966" s="7" t="s">
        <v>1238</v>
      </c>
      <c r="V966" s="7" t="str">
        <f>VLOOKUP(U966,Jogadores!B:C,2,0)</f>
        <v>FW</v>
      </c>
      <c r="W966" s="8">
        <f>VLOOKUP(U966,Jogadores!B:D,3,0)</f>
        <v>30.77534247</v>
      </c>
      <c r="X966" s="7">
        <v>87.0</v>
      </c>
      <c r="Y966" s="7">
        <f t="shared" ref="Y966:Y972" si="3020">45+AB966</f>
        <v>95</v>
      </c>
      <c r="Z966" s="7">
        <f>VLOOKUP(A966,Jogos!A:L,3,0)</f>
        <v>46</v>
      </c>
      <c r="AA966" s="7">
        <f t="shared" si="2229"/>
        <v>0</v>
      </c>
      <c r="AB966" s="7">
        <f>VLOOKUP(A966,Jogos!A:L,4,0)</f>
        <v>50</v>
      </c>
      <c r="AC966" s="7">
        <f t="shared" si="2230"/>
        <v>8</v>
      </c>
      <c r="AD966" s="7"/>
      <c r="AE966" s="7"/>
      <c r="AF966" s="7">
        <f t="shared" si="2231"/>
        <v>8</v>
      </c>
      <c r="AG966" s="7">
        <v>1061.6</v>
      </c>
      <c r="AH966" s="7">
        <v>299.5</v>
      </c>
      <c r="AI966" s="7">
        <v>494.5</v>
      </c>
      <c r="AJ966" s="7">
        <v>195.5</v>
      </c>
      <c r="AK966" s="7">
        <v>61.3</v>
      </c>
      <c r="AL966" s="7">
        <v>10.9</v>
      </c>
      <c r="AM966" s="7">
        <v>16.0</v>
      </c>
      <c r="AN966" s="7">
        <v>6.0</v>
      </c>
      <c r="AO966" s="7">
        <v>26.5</v>
      </c>
      <c r="AP966" s="9">
        <f t="shared" ref="AP966:AR966" si="3017">AG966/$AF966</f>
        <v>132.7</v>
      </c>
      <c r="AQ966" s="9">
        <f t="shared" si="3017"/>
        <v>37.4375</v>
      </c>
      <c r="AR966" s="9">
        <f t="shared" si="3017"/>
        <v>61.8125</v>
      </c>
      <c r="AS966" s="9">
        <f t="shared" si="2233"/>
        <v>99.25</v>
      </c>
      <c r="AT966" s="9">
        <f t="shared" ref="AT966:AV966" si="3018">AJ966/$AF966</f>
        <v>24.4375</v>
      </c>
      <c r="AU966" s="9">
        <f t="shared" si="3018"/>
        <v>7.6625</v>
      </c>
      <c r="AV966" s="9">
        <f t="shared" si="3018"/>
        <v>1.3625</v>
      </c>
      <c r="AW966" s="9">
        <f t="shared" si="2235"/>
        <v>9.025</v>
      </c>
      <c r="AX966" s="9">
        <f t="shared" ref="AX966:AY966" si="3019">AM966/$AF966</f>
        <v>2</v>
      </c>
      <c r="AY966" s="9">
        <f t="shared" si="3019"/>
        <v>0.75</v>
      </c>
      <c r="AZ966" s="9">
        <f>VLOOKUP(A966,Jogos!A:BN,58,0)</f>
        <v>20.55</v>
      </c>
      <c r="BA966" s="9">
        <f>VLOOKUP(A966,Jogos!A:BN,59,0)</f>
        <v>11.995</v>
      </c>
      <c r="BB966" s="9">
        <f>VLOOKUP(A966,Jogos!A:BN,60,0)</f>
        <v>57.5</v>
      </c>
      <c r="BC966" s="9">
        <f>VLOOKUP(A966,Jogos!A:BN,61,0)</f>
        <v>17.85</v>
      </c>
      <c r="BD966" s="9">
        <f>VLOOKUP(A966,Jogos!A:BN,62,0)</f>
        <v>845.5</v>
      </c>
      <c r="BE966" s="9">
        <f>VLOOKUP(A966,Jogos!A:BN,63,0)</f>
        <v>1.05</v>
      </c>
      <c r="BF966" s="9">
        <f>VLOOKUP(A966,Jogos!A:BN,64,0)</f>
        <v>18.05</v>
      </c>
      <c r="BG966" s="9">
        <f>VLOOKUP(A966,Jogos!A:BN,65,0)</f>
        <v>32.02</v>
      </c>
      <c r="BH966" s="9">
        <f>VLOOKUP(A966,Jogos!A:BN,66,0)</f>
        <v>21.095</v>
      </c>
      <c r="BI966" s="9"/>
      <c r="BJ966" s="9"/>
    </row>
    <row r="967" hidden="1">
      <c r="A967" s="2">
        <v>33.0</v>
      </c>
      <c r="B967" s="2" t="s">
        <v>185</v>
      </c>
      <c r="C967" s="2" t="s">
        <v>61</v>
      </c>
      <c r="D967" s="3">
        <v>45831.0</v>
      </c>
      <c r="E967" s="4">
        <v>0.5</v>
      </c>
      <c r="F967" s="5" t="str">
        <f>VLOOKUP(A967,Jogos!A:N,10,0)</f>
        <v>Afternoon</v>
      </c>
      <c r="G967" s="2" t="s">
        <v>312</v>
      </c>
      <c r="H967" s="6" t="str">
        <f>VLOOKUP(A967,Jogos!A:L,12,0)</f>
        <v>Open</v>
      </c>
      <c r="I967" s="6" t="str">
        <f>VLOOKUP(G967,'Estádios e Cidades'!A:B,2,0)</f>
        <v>Seatte</v>
      </c>
      <c r="J967" s="2" t="s">
        <v>314</v>
      </c>
      <c r="K967" s="2" t="str">
        <f>VLOOKUP(J967,Equipes!A:F,6,0)</f>
        <v>Temperate</v>
      </c>
      <c r="L967" s="2">
        <f>VLOOKUP(J967,Equipes!A:C,3,0)</f>
        <v>29</v>
      </c>
      <c r="M967" s="2" t="str">
        <f t="shared" si="4"/>
        <v>Group</v>
      </c>
      <c r="N967" s="2" t="s">
        <v>187</v>
      </c>
      <c r="O967" s="2">
        <f>VLOOKUP(N967,Equipes!A:C,3,0)</f>
        <v>2</v>
      </c>
      <c r="P967" s="2" t="str">
        <f t="shared" si="5"/>
        <v>Final</v>
      </c>
      <c r="Q967" s="2">
        <f t="shared" si="6"/>
        <v>27</v>
      </c>
      <c r="R967" s="2" t="str">
        <f>VLOOKUP(J967,Equipes!A:B,2,0)</f>
        <v>Seattle</v>
      </c>
      <c r="S967" s="6" t="s">
        <v>357</v>
      </c>
      <c r="T967" s="7">
        <v>19.0</v>
      </c>
      <c r="U967" s="7" t="s">
        <v>358</v>
      </c>
      <c r="V967" s="7" t="str">
        <f>VLOOKUP(U967,Jogadores!B:C,2,0)</f>
        <v>FW</v>
      </c>
      <c r="W967" s="8">
        <f>VLOOKUP(U967,Jogadores!B:D,3,0)</f>
        <v>29.67945205</v>
      </c>
      <c r="X967" s="7">
        <v>57.0</v>
      </c>
      <c r="Y967" s="7">
        <f t="shared" si="3020"/>
        <v>95</v>
      </c>
      <c r="Z967" s="7">
        <f>VLOOKUP(A967,Jogos!A:L,3,0)</f>
        <v>46</v>
      </c>
      <c r="AA967" s="7">
        <f t="shared" si="2229"/>
        <v>0</v>
      </c>
      <c r="AB967" s="7">
        <f>VLOOKUP(A967,Jogos!A:L,4,0)</f>
        <v>50</v>
      </c>
      <c r="AC967" s="7">
        <f t="shared" si="2230"/>
        <v>38</v>
      </c>
      <c r="AD967" s="7"/>
      <c r="AE967" s="7"/>
      <c r="AF967" s="7">
        <f t="shared" si="2231"/>
        <v>38</v>
      </c>
      <c r="AG967" s="7">
        <v>4390.9</v>
      </c>
      <c r="AH967" s="7">
        <v>1259.8</v>
      </c>
      <c r="AI967" s="7">
        <v>2015.1</v>
      </c>
      <c r="AJ967" s="7">
        <v>694.8</v>
      </c>
      <c r="AK967" s="7">
        <v>293.8</v>
      </c>
      <c r="AL967" s="7">
        <v>127.4</v>
      </c>
      <c r="AM967" s="7">
        <v>60.0</v>
      </c>
      <c r="AN967" s="7">
        <v>25.0</v>
      </c>
      <c r="AO967" s="7">
        <v>31.1</v>
      </c>
      <c r="AP967" s="9">
        <f t="shared" ref="AP967:AR967" si="3021">AG967/$AF967</f>
        <v>115.55</v>
      </c>
      <c r="AQ967" s="9">
        <f t="shared" si="3021"/>
        <v>33.15263158</v>
      </c>
      <c r="AR967" s="9">
        <f t="shared" si="3021"/>
        <v>53.02894737</v>
      </c>
      <c r="AS967" s="9">
        <f t="shared" si="2233"/>
        <v>86.18157895</v>
      </c>
      <c r="AT967" s="9">
        <f t="shared" ref="AT967:AV967" si="3022">AJ967/$AF967</f>
        <v>18.28421053</v>
      </c>
      <c r="AU967" s="9">
        <f t="shared" si="3022"/>
        <v>7.731578947</v>
      </c>
      <c r="AV967" s="9">
        <f t="shared" si="3022"/>
        <v>3.352631579</v>
      </c>
      <c r="AW967" s="9">
        <f t="shared" si="2235"/>
        <v>11.08421053</v>
      </c>
      <c r="AX967" s="9">
        <f t="shared" ref="AX967:AY967" si="3023">AM967/$AF967</f>
        <v>1.578947368</v>
      </c>
      <c r="AY967" s="9">
        <f t="shared" si="3023"/>
        <v>0.6578947368</v>
      </c>
      <c r="AZ967" s="9">
        <f>VLOOKUP(A967,Jogos!A:BN,58,0)</f>
        <v>20.55</v>
      </c>
      <c r="BA967" s="9">
        <f>VLOOKUP(A967,Jogos!A:BN,59,0)</f>
        <v>11.995</v>
      </c>
      <c r="BB967" s="9">
        <f>VLOOKUP(A967,Jogos!A:BN,60,0)</f>
        <v>57.5</v>
      </c>
      <c r="BC967" s="9">
        <f>VLOOKUP(A967,Jogos!A:BN,61,0)</f>
        <v>17.85</v>
      </c>
      <c r="BD967" s="9">
        <f>VLOOKUP(A967,Jogos!A:BN,62,0)</f>
        <v>845.5</v>
      </c>
      <c r="BE967" s="9">
        <f>VLOOKUP(A967,Jogos!A:BN,63,0)</f>
        <v>1.05</v>
      </c>
      <c r="BF967" s="9">
        <f>VLOOKUP(A967,Jogos!A:BN,64,0)</f>
        <v>18.05</v>
      </c>
      <c r="BG967" s="9">
        <f>VLOOKUP(A967,Jogos!A:BN,65,0)</f>
        <v>32.02</v>
      </c>
      <c r="BH967" s="9">
        <f>VLOOKUP(A967,Jogos!A:BN,66,0)</f>
        <v>21.095</v>
      </c>
      <c r="BI967" s="9"/>
      <c r="BJ967" s="9"/>
    </row>
    <row r="968" hidden="1">
      <c r="A968" s="2">
        <v>33.0</v>
      </c>
      <c r="B968" s="2" t="s">
        <v>185</v>
      </c>
      <c r="C968" s="2" t="s">
        <v>61</v>
      </c>
      <c r="D968" s="3">
        <v>45831.0</v>
      </c>
      <c r="E968" s="4">
        <v>0.5</v>
      </c>
      <c r="F968" s="5" t="str">
        <f>VLOOKUP(A968,Jogos!A:N,10,0)</f>
        <v>Afternoon</v>
      </c>
      <c r="G968" s="2" t="s">
        <v>312</v>
      </c>
      <c r="H968" s="6" t="str">
        <f>VLOOKUP(A968,Jogos!A:L,12,0)</f>
        <v>Open</v>
      </c>
      <c r="I968" s="6" t="str">
        <f>VLOOKUP(G968,'Estádios e Cidades'!A:B,2,0)</f>
        <v>Seatte</v>
      </c>
      <c r="J968" s="2" t="s">
        <v>314</v>
      </c>
      <c r="K968" s="2" t="str">
        <f>VLOOKUP(J968,Equipes!A:F,6,0)</f>
        <v>Temperate</v>
      </c>
      <c r="L968" s="2">
        <f>VLOOKUP(J968,Equipes!A:C,3,0)</f>
        <v>29</v>
      </c>
      <c r="M968" s="2" t="str">
        <f t="shared" si="4"/>
        <v>Group</v>
      </c>
      <c r="N968" s="2" t="s">
        <v>187</v>
      </c>
      <c r="O968" s="2">
        <f>VLOOKUP(N968,Equipes!A:C,3,0)</f>
        <v>2</v>
      </c>
      <c r="P968" s="2" t="str">
        <f t="shared" si="5"/>
        <v>Final</v>
      </c>
      <c r="Q968" s="2">
        <f t="shared" si="6"/>
        <v>27</v>
      </c>
      <c r="R968" s="2" t="str">
        <f>VLOOKUP(J968,Equipes!A:B,2,0)</f>
        <v>Seattle</v>
      </c>
      <c r="S968" s="6" t="s">
        <v>1239</v>
      </c>
      <c r="T968" s="7">
        <v>75.0</v>
      </c>
      <c r="U968" s="7" t="s">
        <v>1240</v>
      </c>
      <c r="V968" s="7" t="str">
        <f>VLOOKUP(U968,Jogadores!B:C,2,0)</f>
        <v>MF</v>
      </c>
      <c r="W968" s="8">
        <f>VLOOKUP(U968,Jogadores!B:D,3,0)</f>
        <v>22.24657534</v>
      </c>
      <c r="X968" s="7">
        <v>72.0</v>
      </c>
      <c r="Y968" s="7">
        <f t="shared" si="3020"/>
        <v>95</v>
      </c>
      <c r="Z968" s="7">
        <f>VLOOKUP(A968,Jogos!A:L,3,0)</f>
        <v>46</v>
      </c>
      <c r="AA968" s="7">
        <f t="shared" si="2229"/>
        <v>0</v>
      </c>
      <c r="AB968" s="7">
        <f>VLOOKUP(A968,Jogos!A:L,4,0)</f>
        <v>50</v>
      </c>
      <c r="AC968" s="7">
        <f t="shared" si="2230"/>
        <v>23</v>
      </c>
      <c r="AD968" s="7"/>
      <c r="AE968" s="7"/>
      <c r="AF968" s="7">
        <f t="shared" si="2231"/>
        <v>23</v>
      </c>
      <c r="AG968" s="7">
        <v>3714.1</v>
      </c>
      <c r="AH968" s="7">
        <v>567.3</v>
      </c>
      <c r="AI968" s="7">
        <v>2010.9</v>
      </c>
      <c r="AJ968" s="7">
        <v>797.6</v>
      </c>
      <c r="AK968" s="7">
        <v>264.9</v>
      </c>
      <c r="AL968" s="7">
        <v>73.4</v>
      </c>
      <c r="AM968" s="7">
        <v>67.0</v>
      </c>
      <c r="AN968" s="7">
        <v>21.0</v>
      </c>
      <c r="AO968" s="7">
        <v>28.9</v>
      </c>
      <c r="AP968" s="9">
        <f t="shared" ref="AP968:AR968" si="3024">AG968/$AF968</f>
        <v>161.4826087</v>
      </c>
      <c r="AQ968" s="9">
        <f t="shared" si="3024"/>
        <v>24.66521739</v>
      </c>
      <c r="AR968" s="9">
        <f t="shared" si="3024"/>
        <v>87.43043478</v>
      </c>
      <c r="AS968" s="9">
        <f t="shared" si="2233"/>
        <v>112.0956522</v>
      </c>
      <c r="AT968" s="9">
        <f t="shared" ref="AT968:AV968" si="3025">AJ968/$AF968</f>
        <v>34.67826087</v>
      </c>
      <c r="AU968" s="9">
        <f t="shared" si="3025"/>
        <v>11.5173913</v>
      </c>
      <c r="AV968" s="9">
        <f t="shared" si="3025"/>
        <v>3.191304348</v>
      </c>
      <c r="AW968" s="9">
        <f t="shared" si="2235"/>
        <v>14.70869565</v>
      </c>
      <c r="AX968" s="9">
        <f t="shared" ref="AX968:AY968" si="3026">AM968/$AF968</f>
        <v>2.913043478</v>
      </c>
      <c r="AY968" s="9">
        <f t="shared" si="3026"/>
        <v>0.9130434783</v>
      </c>
      <c r="AZ968" s="9">
        <f>VLOOKUP(A968,Jogos!A:BN,58,0)</f>
        <v>20.55</v>
      </c>
      <c r="BA968" s="9">
        <f>VLOOKUP(A968,Jogos!A:BN,59,0)</f>
        <v>11.995</v>
      </c>
      <c r="BB968" s="9">
        <f>VLOOKUP(A968,Jogos!A:BN,60,0)</f>
        <v>57.5</v>
      </c>
      <c r="BC968" s="9">
        <f>VLOOKUP(A968,Jogos!A:BN,61,0)</f>
        <v>17.85</v>
      </c>
      <c r="BD968" s="9">
        <f>VLOOKUP(A968,Jogos!A:BN,62,0)</f>
        <v>845.5</v>
      </c>
      <c r="BE968" s="9">
        <f>VLOOKUP(A968,Jogos!A:BN,63,0)</f>
        <v>1.05</v>
      </c>
      <c r="BF968" s="9">
        <f>VLOOKUP(A968,Jogos!A:BN,64,0)</f>
        <v>18.05</v>
      </c>
      <c r="BG968" s="9">
        <f>VLOOKUP(A968,Jogos!A:BN,65,0)</f>
        <v>32.02</v>
      </c>
      <c r="BH968" s="9">
        <f>VLOOKUP(A968,Jogos!A:BN,66,0)</f>
        <v>21.095</v>
      </c>
      <c r="BI968" s="9"/>
      <c r="BJ968" s="9"/>
    </row>
    <row r="969" hidden="1">
      <c r="A969" s="2">
        <v>33.0</v>
      </c>
      <c r="B969" s="2" t="s">
        <v>185</v>
      </c>
      <c r="C969" s="2" t="s">
        <v>61</v>
      </c>
      <c r="D969" s="3">
        <v>45831.0</v>
      </c>
      <c r="E969" s="4">
        <v>0.5</v>
      </c>
      <c r="F969" s="5" t="str">
        <f>VLOOKUP(A969,Jogos!A:N,10,0)</f>
        <v>Afternoon</v>
      </c>
      <c r="G969" s="2" t="s">
        <v>312</v>
      </c>
      <c r="H969" s="6" t="str">
        <f>VLOOKUP(A969,Jogos!A:L,12,0)</f>
        <v>Open</v>
      </c>
      <c r="I969" s="6" t="str">
        <f>VLOOKUP(G969,'Estádios e Cidades'!A:B,2,0)</f>
        <v>Seatte</v>
      </c>
      <c r="J969" s="2" t="s">
        <v>314</v>
      </c>
      <c r="K969" s="2" t="str">
        <f>VLOOKUP(J969,Equipes!A:F,6,0)</f>
        <v>Temperate</v>
      </c>
      <c r="L969" s="2">
        <f>VLOOKUP(J969,Equipes!A:C,3,0)</f>
        <v>29</v>
      </c>
      <c r="M969" s="2" t="str">
        <f t="shared" si="4"/>
        <v>Group</v>
      </c>
      <c r="N969" s="2" t="s">
        <v>187</v>
      </c>
      <c r="O969" s="2">
        <f>VLOOKUP(N969,Equipes!A:C,3,0)</f>
        <v>2</v>
      </c>
      <c r="P969" s="2" t="str">
        <f t="shared" si="5"/>
        <v>Final</v>
      </c>
      <c r="Q969" s="2">
        <f t="shared" si="6"/>
        <v>27</v>
      </c>
      <c r="R969" s="2" t="str">
        <f>VLOOKUP(J969,Equipes!A:B,2,0)</f>
        <v>Seattle</v>
      </c>
      <c r="S969" s="6" t="s">
        <v>1082</v>
      </c>
      <c r="T969" s="7">
        <v>85.0</v>
      </c>
      <c r="U969" s="7" t="s">
        <v>1083</v>
      </c>
      <c r="V969" s="7" t="str">
        <f>VLOOKUP(U969,Jogadores!B:C,2,0)</f>
        <v>DF</v>
      </c>
      <c r="W969" s="8">
        <f>VLOOKUP(U969,Jogadores!B:D,3,0)</f>
        <v>23.10136986</v>
      </c>
      <c r="X969" s="7">
        <v>57.0</v>
      </c>
      <c r="Y969" s="7">
        <f t="shared" si="3020"/>
        <v>95</v>
      </c>
      <c r="Z969" s="7">
        <f>VLOOKUP(A969,Jogos!A:L,3,0)</f>
        <v>46</v>
      </c>
      <c r="AA969" s="7">
        <f t="shared" si="2229"/>
        <v>0</v>
      </c>
      <c r="AB969" s="7">
        <f>VLOOKUP(A969,Jogos!A:L,4,0)</f>
        <v>50</v>
      </c>
      <c r="AC969" s="7">
        <f t="shared" si="2230"/>
        <v>38</v>
      </c>
      <c r="AD969" s="7"/>
      <c r="AE969" s="7"/>
      <c r="AF969" s="7">
        <f t="shared" si="2231"/>
        <v>38</v>
      </c>
      <c r="AG969" s="7">
        <v>4836.1</v>
      </c>
      <c r="AH969" s="7">
        <v>1317.7</v>
      </c>
      <c r="AI969" s="7">
        <v>2260.6</v>
      </c>
      <c r="AJ969" s="7">
        <v>776.7</v>
      </c>
      <c r="AK969" s="7">
        <v>387.4</v>
      </c>
      <c r="AL969" s="7">
        <v>93.7</v>
      </c>
      <c r="AM969" s="7">
        <v>73.0</v>
      </c>
      <c r="AN969" s="7">
        <v>32.0</v>
      </c>
      <c r="AO969" s="7">
        <v>30.0</v>
      </c>
      <c r="AP969" s="9">
        <f t="shared" ref="AP969:AR969" si="3027">AG969/$AF969</f>
        <v>127.2657895</v>
      </c>
      <c r="AQ969" s="9">
        <f t="shared" si="3027"/>
        <v>34.67631579</v>
      </c>
      <c r="AR969" s="9">
        <f t="shared" si="3027"/>
        <v>59.48947368</v>
      </c>
      <c r="AS969" s="9">
        <f t="shared" si="2233"/>
        <v>94.16578947</v>
      </c>
      <c r="AT969" s="9">
        <f t="shared" ref="AT969:AV969" si="3028">AJ969/$AF969</f>
        <v>20.43947368</v>
      </c>
      <c r="AU969" s="9">
        <f t="shared" si="3028"/>
        <v>10.19473684</v>
      </c>
      <c r="AV969" s="9">
        <f t="shared" si="3028"/>
        <v>2.465789474</v>
      </c>
      <c r="AW969" s="9">
        <f t="shared" si="2235"/>
        <v>12.66052632</v>
      </c>
      <c r="AX969" s="9">
        <f t="shared" ref="AX969:AY969" si="3029">AM969/$AF969</f>
        <v>1.921052632</v>
      </c>
      <c r="AY969" s="9">
        <f t="shared" si="3029"/>
        <v>0.8421052632</v>
      </c>
      <c r="AZ969" s="9">
        <f>VLOOKUP(A969,Jogos!A:BN,58,0)</f>
        <v>20.55</v>
      </c>
      <c r="BA969" s="9">
        <f>VLOOKUP(A969,Jogos!A:BN,59,0)</f>
        <v>11.995</v>
      </c>
      <c r="BB969" s="9">
        <f>VLOOKUP(A969,Jogos!A:BN,60,0)</f>
        <v>57.5</v>
      </c>
      <c r="BC969" s="9">
        <f>VLOOKUP(A969,Jogos!A:BN,61,0)</f>
        <v>17.85</v>
      </c>
      <c r="BD969" s="9">
        <f>VLOOKUP(A969,Jogos!A:BN,62,0)</f>
        <v>845.5</v>
      </c>
      <c r="BE969" s="9">
        <f>VLOOKUP(A969,Jogos!A:BN,63,0)</f>
        <v>1.05</v>
      </c>
      <c r="BF969" s="9">
        <f>VLOOKUP(A969,Jogos!A:BN,64,0)</f>
        <v>18.05</v>
      </c>
      <c r="BG969" s="9">
        <f>VLOOKUP(A969,Jogos!A:BN,65,0)</f>
        <v>32.02</v>
      </c>
      <c r="BH969" s="9">
        <f>VLOOKUP(A969,Jogos!A:BN,66,0)</f>
        <v>21.095</v>
      </c>
      <c r="BI969" s="9"/>
      <c r="BJ969" s="9"/>
    </row>
    <row r="970" hidden="1">
      <c r="A970" s="2">
        <v>33.0</v>
      </c>
      <c r="B970" s="2" t="s">
        <v>185</v>
      </c>
      <c r="C970" s="2" t="s">
        <v>61</v>
      </c>
      <c r="D970" s="3">
        <v>45831.0</v>
      </c>
      <c r="E970" s="4">
        <v>0.5</v>
      </c>
      <c r="F970" s="5" t="str">
        <f>VLOOKUP(A970,Jogos!A:N,10,0)</f>
        <v>Afternoon</v>
      </c>
      <c r="G970" s="2" t="s">
        <v>312</v>
      </c>
      <c r="H970" s="6" t="str">
        <f>VLOOKUP(A970,Jogos!A:L,12,0)</f>
        <v>Open</v>
      </c>
      <c r="I970" s="6" t="str">
        <f>VLOOKUP(G970,'Estádios e Cidades'!A:B,2,0)</f>
        <v>Seatte</v>
      </c>
      <c r="J970" s="2" t="s">
        <v>314</v>
      </c>
      <c r="K970" s="2" t="str">
        <f>VLOOKUP(J970,Equipes!A:F,6,0)</f>
        <v>Temperate</v>
      </c>
      <c r="L970" s="2">
        <f>VLOOKUP(J970,Equipes!A:C,3,0)</f>
        <v>29</v>
      </c>
      <c r="M970" s="2" t="str">
        <f t="shared" si="4"/>
        <v>Group</v>
      </c>
      <c r="N970" s="2" t="s">
        <v>187</v>
      </c>
      <c r="O970" s="2">
        <f>VLOOKUP(N970,Equipes!A:C,3,0)</f>
        <v>2</v>
      </c>
      <c r="P970" s="2" t="str">
        <f t="shared" si="5"/>
        <v>Final</v>
      </c>
      <c r="Q970" s="2">
        <f t="shared" si="6"/>
        <v>27</v>
      </c>
      <c r="R970" s="2" t="str">
        <f>VLOOKUP(J970,Equipes!A:B,2,0)</f>
        <v>Seattle</v>
      </c>
      <c r="S970" s="6" t="s">
        <v>1086</v>
      </c>
      <c r="T970" s="7">
        <v>93.0</v>
      </c>
      <c r="U970" s="7" t="s">
        <v>1087</v>
      </c>
      <c r="V970" s="7" t="str">
        <f>VLOOKUP(U970,Jogadores!B:C,2,0)</f>
        <v>FW</v>
      </c>
      <c r="W970" s="8">
        <f>VLOOKUP(U970,Jogadores!B:D,3,0)</f>
        <v>23.02465753</v>
      </c>
      <c r="X970" s="7">
        <v>72.0</v>
      </c>
      <c r="Y970" s="7">
        <f t="shared" si="3020"/>
        <v>95</v>
      </c>
      <c r="Z970" s="7">
        <f>VLOOKUP(A970,Jogos!A:L,3,0)</f>
        <v>46</v>
      </c>
      <c r="AA970" s="7">
        <f t="shared" si="2229"/>
        <v>0</v>
      </c>
      <c r="AB970" s="7">
        <f>VLOOKUP(A970,Jogos!A:L,4,0)</f>
        <v>50</v>
      </c>
      <c r="AC970" s="7">
        <f t="shared" si="2230"/>
        <v>23</v>
      </c>
      <c r="AD970" s="7"/>
      <c r="AE970" s="7"/>
      <c r="AF970" s="7">
        <f t="shared" si="2231"/>
        <v>23</v>
      </c>
      <c r="AG970" s="7">
        <v>2965.6</v>
      </c>
      <c r="AH970" s="7">
        <v>899.0</v>
      </c>
      <c r="AI970" s="7">
        <v>1186.2</v>
      </c>
      <c r="AJ970" s="7">
        <v>508.2</v>
      </c>
      <c r="AK970" s="7">
        <v>270.0</v>
      </c>
      <c r="AL970" s="7">
        <v>102.4</v>
      </c>
      <c r="AM970" s="7">
        <v>42.0</v>
      </c>
      <c r="AN970" s="7">
        <v>22.0</v>
      </c>
      <c r="AO970" s="7">
        <v>33.0</v>
      </c>
      <c r="AP970" s="9">
        <f t="shared" ref="AP970:AR970" si="3030">AG970/$AF970</f>
        <v>128.9391304</v>
      </c>
      <c r="AQ970" s="9">
        <f t="shared" si="3030"/>
        <v>39.08695652</v>
      </c>
      <c r="AR970" s="9">
        <f t="shared" si="3030"/>
        <v>51.57391304</v>
      </c>
      <c r="AS970" s="9">
        <f t="shared" si="2233"/>
        <v>90.66086957</v>
      </c>
      <c r="AT970" s="9">
        <f t="shared" ref="AT970:AV970" si="3031">AJ970/$AF970</f>
        <v>22.09565217</v>
      </c>
      <c r="AU970" s="9">
        <f t="shared" si="3031"/>
        <v>11.73913043</v>
      </c>
      <c r="AV970" s="9">
        <f t="shared" si="3031"/>
        <v>4.452173913</v>
      </c>
      <c r="AW970" s="9">
        <f t="shared" si="2235"/>
        <v>16.19130435</v>
      </c>
      <c r="AX970" s="9">
        <f t="shared" ref="AX970:AY970" si="3032">AM970/$AF970</f>
        <v>1.826086957</v>
      </c>
      <c r="AY970" s="9">
        <f t="shared" si="3032"/>
        <v>0.9565217391</v>
      </c>
      <c r="AZ970" s="9">
        <f>VLOOKUP(A970,Jogos!A:BN,58,0)</f>
        <v>20.55</v>
      </c>
      <c r="BA970" s="9">
        <f>VLOOKUP(A970,Jogos!A:BN,59,0)</f>
        <v>11.995</v>
      </c>
      <c r="BB970" s="9">
        <f>VLOOKUP(A970,Jogos!A:BN,60,0)</f>
        <v>57.5</v>
      </c>
      <c r="BC970" s="9">
        <f>VLOOKUP(A970,Jogos!A:BN,61,0)</f>
        <v>17.85</v>
      </c>
      <c r="BD970" s="9">
        <f>VLOOKUP(A970,Jogos!A:BN,62,0)</f>
        <v>845.5</v>
      </c>
      <c r="BE970" s="9">
        <f>VLOOKUP(A970,Jogos!A:BN,63,0)</f>
        <v>1.05</v>
      </c>
      <c r="BF970" s="9">
        <f>VLOOKUP(A970,Jogos!A:BN,64,0)</f>
        <v>18.05</v>
      </c>
      <c r="BG970" s="9">
        <f>VLOOKUP(A970,Jogos!A:BN,65,0)</f>
        <v>32.02</v>
      </c>
      <c r="BH970" s="9">
        <f>VLOOKUP(A970,Jogos!A:BN,66,0)</f>
        <v>21.095</v>
      </c>
      <c r="BI970" s="9"/>
      <c r="BJ970" s="9"/>
    </row>
    <row r="971" hidden="1">
      <c r="A971" s="10">
        <v>33.0</v>
      </c>
      <c r="B971" s="11" t="s">
        <v>185</v>
      </c>
      <c r="C971" s="2" t="s">
        <v>61</v>
      </c>
      <c r="D971" s="12">
        <v>45831.0</v>
      </c>
      <c r="E971" s="13">
        <v>0.5</v>
      </c>
      <c r="F971" s="5" t="str">
        <f>VLOOKUP(A971,Jogos!A:N,10,0)</f>
        <v>Afternoon</v>
      </c>
      <c r="G971" s="11" t="s">
        <v>312</v>
      </c>
      <c r="H971" s="6" t="str">
        <f>VLOOKUP(A971,Jogos!A:L,12,0)</f>
        <v>Open</v>
      </c>
      <c r="I971" s="6" t="str">
        <f>VLOOKUP(G971,'Estádios e Cidades'!A:B,2,0)</f>
        <v>Seatte</v>
      </c>
      <c r="J971" s="11" t="s">
        <v>187</v>
      </c>
      <c r="K971" s="2" t="str">
        <f>VLOOKUP(J971,Equipes!A:F,6,0)</f>
        <v>Temperate</v>
      </c>
      <c r="L971" s="2">
        <f>VLOOKUP(J971,Equipes!A:C,3,0)</f>
        <v>2</v>
      </c>
      <c r="M971" s="2" t="str">
        <f t="shared" si="4"/>
        <v>Final</v>
      </c>
      <c r="N971" s="11" t="s">
        <v>314</v>
      </c>
      <c r="O971" s="2">
        <f>VLOOKUP(N971,Equipes!A:C,3,0)</f>
        <v>29</v>
      </c>
      <c r="P971" s="2" t="str">
        <f t="shared" si="5"/>
        <v>Group</v>
      </c>
      <c r="Q971" s="2">
        <f t="shared" si="6"/>
        <v>-27</v>
      </c>
      <c r="R971" s="2" t="str">
        <f>VLOOKUP(J971,Equipes!A:B,2,0)</f>
        <v>PSG</v>
      </c>
      <c r="S971" s="14" t="s">
        <v>189</v>
      </c>
      <c r="T971" s="7">
        <v>2.0</v>
      </c>
      <c r="U971" s="7" t="s">
        <v>190</v>
      </c>
      <c r="V971" s="7" t="str">
        <f>VLOOKUP(U971,Jogadores!B:C,2,0)</f>
        <v>DF</v>
      </c>
      <c r="W971" s="8">
        <f>VLOOKUP(U971,Jogadores!B:D,3,0)</f>
        <v>26.74794521</v>
      </c>
      <c r="X971" s="7">
        <v>0.0</v>
      </c>
      <c r="Y971" s="7">
        <f t="shared" si="3020"/>
        <v>95</v>
      </c>
      <c r="Z971" s="7">
        <f>VLOOKUP(A971,Jogos!A:L,3,0)</f>
        <v>46</v>
      </c>
      <c r="AA971" s="7">
        <f t="shared" si="2229"/>
        <v>46</v>
      </c>
      <c r="AB971" s="7">
        <f>VLOOKUP(A971,Jogos!A:L,4,0)</f>
        <v>50</v>
      </c>
      <c r="AC971" s="7">
        <f t="shared" si="2230"/>
        <v>50</v>
      </c>
      <c r="AD971" s="7"/>
      <c r="AE971" s="7"/>
      <c r="AF971" s="7">
        <f t="shared" si="2231"/>
        <v>96</v>
      </c>
      <c r="AG971" s="7">
        <v>10940.1</v>
      </c>
      <c r="AH971" s="7">
        <v>3905.2</v>
      </c>
      <c r="AI971" s="7">
        <v>4506.9</v>
      </c>
      <c r="AJ971" s="7">
        <v>1350.1</v>
      </c>
      <c r="AK971" s="7">
        <v>723.5</v>
      </c>
      <c r="AL971" s="7">
        <v>454.4</v>
      </c>
      <c r="AM971" s="7">
        <v>121.0</v>
      </c>
      <c r="AN971" s="7">
        <v>66.0</v>
      </c>
      <c r="AO971" s="7">
        <v>34.9</v>
      </c>
      <c r="AP971" s="9">
        <f t="shared" ref="AP971:AR971" si="3033">AG971/$AF971</f>
        <v>113.959375</v>
      </c>
      <c r="AQ971" s="9">
        <f t="shared" si="3033"/>
        <v>40.67916667</v>
      </c>
      <c r="AR971" s="9">
        <f t="shared" si="3033"/>
        <v>46.946875</v>
      </c>
      <c r="AS971" s="9">
        <f t="shared" si="2233"/>
        <v>87.62604167</v>
      </c>
      <c r="AT971" s="9">
        <f t="shared" ref="AT971:AV971" si="3034">AJ971/$AF971</f>
        <v>14.06354167</v>
      </c>
      <c r="AU971" s="9">
        <f t="shared" si="3034"/>
        <v>7.536458333</v>
      </c>
      <c r="AV971" s="9">
        <f t="shared" si="3034"/>
        <v>4.733333333</v>
      </c>
      <c r="AW971" s="9">
        <f t="shared" si="2235"/>
        <v>12.26979167</v>
      </c>
      <c r="AX971" s="9">
        <f t="shared" ref="AX971:AY971" si="3035">AM971/$AF971</f>
        <v>1.260416667</v>
      </c>
      <c r="AY971" s="9">
        <f t="shared" si="3035"/>
        <v>0.6875</v>
      </c>
      <c r="AZ971" s="9">
        <f>VLOOKUP(A971,Jogos!A:BN,58,0)</f>
        <v>20.55</v>
      </c>
      <c r="BA971" s="9">
        <f>VLOOKUP(A971,Jogos!A:BN,59,0)</f>
        <v>11.995</v>
      </c>
      <c r="BB971" s="9">
        <f>VLOOKUP(A971,Jogos!A:BN,60,0)</f>
        <v>57.5</v>
      </c>
      <c r="BC971" s="9">
        <f>VLOOKUP(A971,Jogos!A:BN,61,0)</f>
        <v>17.85</v>
      </c>
      <c r="BD971" s="9">
        <f>VLOOKUP(A971,Jogos!A:BN,62,0)</f>
        <v>845.5</v>
      </c>
      <c r="BE971" s="9">
        <f>VLOOKUP(A971,Jogos!A:BN,63,0)</f>
        <v>1.05</v>
      </c>
      <c r="BF971" s="9">
        <f>VLOOKUP(A971,Jogos!A:BN,64,0)</f>
        <v>18.05</v>
      </c>
      <c r="BG971" s="9">
        <f>VLOOKUP(A971,Jogos!A:BN,65,0)</f>
        <v>32.02</v>
      </c>
      <c r="BH971" s="9">
        <f>VLOOKUP(A971,Jogos!A:BN,66,0)</f>
        <v>21.095</v>
      </c>
      <c r="BI971" s="9"/>
      <c r="BJ971" s="9"/>
    </row>
    <row r="972" hidden="1">
      <c r="A972" s="10">
        <v>33.0</v>
      </c>
      <c r="B972" s="11" t="s">
        <v>185</v>
      </c>
      <c r="C972" s="2" t="s">
        <v>61</v>
      </c>
      <c r="D972" s="12">
        <v>45831.0</v>
      </c>
      <c r="E972" s="13">
        <v>0.5</v>
      </c>
      <c r="F972" s="5" t="str">
        <f>VLOOKUP(A972,Jogos!A:N,10,0)</f>
        <v>Afternoon</v>
      </c>
      <c r="G972" s="11" t="s">
        <v>312</v>
      </c>
      <c r="H972" s="6" t="str">
        <f>VLOOKUP(A972,Jogos!A:L,12,0)</f>
        <v>Open</v>
      </c>
      <c r="I972" s="6" t="str">
        <f>VLOOKUP(G972,'Estádios e Cidades'!A:B,2,0)</f>
        <v>Seatte</v>
      </c>
      <c r="J972" s="11" t="s">
        <v>187</v>
      </c>
      <c r="K972" s="2" t="str">
        <f>VLOOKUP(J972,Equipes!A:F,6,0)</f>
        <v>Temperate</v>
      </c>
      <c r="L972" s="2">
        <f>VLOOKUP(J972,Equipes!A:C,3,0)</f>
        <v>2</v>
      </c>
      <c r="M972" s="2" t="str">
        <f t="shared" si="4"/>
        <v>Final</v>
      </c>
      <c r="N972" s="11" t="s">
        <v>314</v>
      </c>
      <c r="O972" s="2">
        <f>VLOOKUP(N972,Equipes!A:C,3,0)</f>
        <v>29</v>
      </c>
      <c r="P972" s="2" t="str">
        <f t="shared" si="5"/>
        <v>Group</v>
      </c>
      <c r="Q972" s="2">
        <f t="shared" si="6"/>
        <v>-27</v>
      </c>
      <c r="R972" s="2" t="str">
        <f>VLOOKUP(J972,Equipes!A:B,2,0)</f>
        <v>PSG</v>
      </c>
      <c r="S972" s="6" t="s">
        <v>191</v>
      </c>
      <c r="T972" s="7">
        <v>5.0</v>
      </c>
      <c r="U972" s="7" t="s">
        <v>192</v>
      </c>
      <c r="V972" s="7" t="str">
        <f>VLOOKUP(U972,Jogadores!B:C,2,0)</f>
        <v>DF</v>
      </c>
      <c r="W972" s="8">
        <f>VLOOKUP(U972,Jogadores!B:D,3,0)</f>
        <v>31.22739726</v>
      </c>
      <c r="X972" s="7">
        <v>0.0</v>
      </c>
      <c r="Y972" s="7">
        <f t="shared" si="3020"/>
        <v>95</v>
      </c>
      <c r="Z972" s="7">
        <f>VLOOKUP(A972,Jogos!A:L,3,0)</f>
        <v>46</v>
      </c>
      <c r="AA972" s="7">
        <f t="shared" si="2229"/>
        <v>46</v>
      </c>
      <c r="AB972" s="7">
        <f>VLOOKUP(A972,Jogos!A:L,4,0)</f>
        <v>50</v>
      </c>
      <c r="AC972" s="7">
        <f t="shared" si="2230"/>
        <v>50</v>
      </c>
      <c r="AD972" s="7"/>
      <c r="AE972" s="7"/>
      <c r="AF972" s="7">
        <f t="shared" si="2231"/>
        <v>96</v>
      </c>
      <c r="AG972" s="7">
        <v>10378.0</v>
      </c>
      <c r="AH972" s="7">
        <v>3858.8</v>
      </c>
      <c r="AI972" s="7">
        <v>4263.5</v>
      </c>
      <c r="AJ972" s="7">
        <v>1442.7</v>
      </c>
      <c r="AK972" s="7">
        <v>597.9</v>
      </c>
      <c r="AL972" s="7">
        <v>215.0</v>
      </c>
      <c r="AM972" s="7">
        <v>123.0</v>
      </c>
      <c r="AN972" s="7">
        <v>48.0</v>
      </c>
      <c r="AO972" s="7">
        <v>32.8</v>
      </c>
      <c r="AP972" s="9">
        <f t="shared" ref="AP972:AR972" si="3036">AG972/$AF972</f>
        <v>108.1041667</v>
      </c>
      <c r="AQ972" s="9">
        <f t="shared" si="3036"/>
        <v>40.19583333</v>
      </c>
      <c r="AR972" s="9">
        <f t="shared" si="3036"/>
        <v>44.41145833</v>
      </c>
      <c r="AS972" s="9">
        <f t="shared" si="2233"/>
        <v>84.60729167</v>
      </c>
      <c r="AT972" s="9">
        <f t="shared" ref="AT972:AV972" si="3037">AJ972/$AF972</f>
        <v>15.028125</v>
      </c>
      <c r="AU972" s="9">
        <f t="shared" si="3037"/>
        <v>6.228125</v>
      </c>
      <c r="AV972" s="9">
        <f t="shared" si="3037"/>
        <v>2.239583333</v>
      </c>
      <c r="AW972" s="9">
        <f t="shared" si="2235"/>
        <v>8.467708333</v>
      </c>
      <c r="AX972" s="9">
        <f t="shared" ref="AX972:AY972" si="3038">AM972/$AF972</f>
        <v>1.28125</v>
      </c>
      <c r="AY972" s="9">
        <f t="shared" si="3038"/>
        <v>0.5</v>
      </c>
      <c r="AZ972" s="9">
        <f>VLOOKUP(A972,Jogos!A:BN,58,0)</f>
        <v>20.55</v>
      </c>
      <c r="BA972" s="9">
        <f>VLOOKUP(A972,Jogos!A:BN,59,0)</f>
        <v>11.995</v>
      </c>
      <c r="BB972" s="9">
        <f>VLOOKUP(A972,Jogos!A:BN,60,0)</f>
        <v>57.5</v>
      </c>
      <c r="BC972" s="9">
        <f>VLOOKUP(A972,Jogos!A:BN,61,0)</f>
        <v>17.85</v>
      </c>
      <c r="BD972" s="9">
        <f>VLOOKUP(A972,Jogos!A:BN,62,0)</f>
        <v>845.5</v>
      </c>
      <c r="BE972" s="9">
        <f>VLOOKUP(A972,Jogos!A:BN,63,0)</f>
        <v>1.05</v>
      </c>
      <c r="BF972" s="9">
        <f>VLOOKUP(A972,Jogos!A:BN,64,0)</f>
        <v>18.05</v>
      </c>
      <c r="BG972" s="9">
        <f>VLOOKUP(A972,Jogos!A:BN,65,0)</f>
        <v>32.02</v>
      </c>
      <c r="BH972" s="9">
        <f>VLOOKUP(A972,Jogos!A:BN,66,0)</f>
        <v>21.095</v>
      </c>
      <c r="BI972" s="9"/>
      <c r="BJ972" s="9"/>
    </row>
    <row r="973" hidden="1">
      <c r="A973" s="10">
        <v>33.0</v>
      </c>
      <c r="B973" s="11" t="s">
        <v>185</v>
      </c>
      <c r="C973" s="2" t="s">
        <v>61</v>
      </c>
      <c r="D973" s="12">
        <v>45831.0</v>
      </c>
      <c r="E973" s="13">
        <v>0.5</v>
      </c>
      <c r="F973" s="5" t="str">
        <f>VLOOKUP(A973,Jogos!A:N,10,0)</f>
        <v>Afternoon</v>
      </c>
      <c r="G973" s="11" t="s">
        <v>312</v>
      </c>
      <c r="H973" s="6" t="str">
        <f>VLOOKUP(A973,Jogos!A:L,12,0)</f>
        <v>Open</v>
      </c>
      <c r="I973" s="6" t="str">
        <f>VLOOKUP(G973,'Estádios e Cidades'!A:B,2,0)</f>
        <v>Seatte</v>
      </c>
      <c r="J973" s="11" t="s">
        <v>187</v>
      </c>
      <c r="K973" s="2" t="str">
        <f>VLOOKUP(J973,Equipes!A:F,6,0)</f>
        <v>Temperate</v>
      </c>
      <c r="L973" s="2">
        <f>VLOOKUP(J973,Equipes!A:C,3,0)</f>
        <v>2</v>
      </c>
      <c r="M973" s="2" t="str">
        <f t="shared" si="4"/>
        <v>Final</v>
      </c>
      <c r="N973" s="11" t="s">
        <v>314</v>
      </c>
      <c r="O973" s="2">
        <f>VLOOKUP(N973,Equipes!A:C,3,0)</f>
        <v>29</v>
      </c>
      <c r="P973" s="2" t="str">
        <f t="shared" si="5"/>
        <v>Group</v>
      </c>
      <c r="Q973" s="2">
        <f t="shared" si="6"/>
        <v>-27</v>
      </c>
      <c r="R973" s="2" t="str">
        <f>VLOOKUP(J973,Equipes!A:B,2,0)</f>
        <v>PSG</v>
      </c>
      <c r="S973" s="6" t="s">
        <v>193</v>
      </c>
      <c r="T973" s="7">
        <v>7.0</v>
      </c>
      <c r="U973" s="7" t="s">
        <v>194</v>
      </c>
      <c r="V973" s="7" t="str">
        <f>VLOOKUP(U973,Jogadores!B:C,2,0)</f>
        <v>FW</v>
      </c>
      <c r="W973" s="8">
        <f>VLOOKUP(U973,Jogadores!B:D,3,0)</f>
        <v>24.47123288</v>
      </c>
      <c r="X973" s="7">
        <v>0.0</v>
      </c>
      <c r="Y973" s="7">
        <v>64.0</v>
      </c>
      <c r="Z973" s="7">
        <f>VLOOKUP(A973,Jogos!A:L,3,0)</f>
        <v>46</v>
      </c>
      <c r="AA973" s="7">
        <f t="shared" si="2229"/>
        <v>46</v>
      </c>
      <c r="AB973" s="7">
        <f>VLOOKUP(A973,Jogos!A:L,4,0)</f>
        <v>50</v>
      </c>
      <c r="AC973" s="7">
        <f t="shared" si="2230"/>
        <v>19</v>
      </c>
      <c r="AD973" s="7"/>
      <c r="AE973" s="7"/>
      <c r="AF973" s="7">
        <f t="shared" si="2231"/>
        <v>65</v>
      </c>
      <c r="AG973" s="7">
        <v>6995.8</v>
      </c>
      <c r="AH973" s="7">
        <v>2995.9</v>
      </c>
      <c r="AI973" s="7">
        <v>2706.3</v>
      </c>
      <c r="AJ973" s="7">
        <v>881.9</v>
      </c>
      <c r="AK973" s="7">
        <v>360.4</v>
      </c>
      <c r="AL973" s="7">
        <v>51.3</v>
      </c>
      <c r="AM973" s="7">
        <v>86.0</v>
      </c>
      <c r="AN973" s="7">
        <v>32.0</v>
      </c>
      <c r="AO973" s="7">
        <v>31.9</v>
      </c>
      <c r="AP973" s="9">
        <f t="shared" ref="AP973:AR973" si="3039">AG973/$AF973</f>
        <v>107.6276923</v>
      </c>
      <c r="AQ973" s="9">
        <f t="shared" si="3039"/>
        <v>46.09076923</v>
      </c>
      <c r="AR973" s="9">
        <f t="shared" si="3039"/>
        <v>41.63538462</v>
      </c>
      <c r="AS973" s="9">
        <f t="shared" si="2233"/>
        <v>87.72615385</v>
      </c>
      <c r="AT973" s="9">
        <f t="shared" ref="AT973:AV973" si="3040">AJ973/$AF973</f>
        <v>13.56769231</v>
      </c>
      <c r="AU973" s="9">
        <f t="shared" si="3040"/>
        <v>5.544615385</v>
      </c>
      <c r="AV973" s="9">
        <f t="shared" si="3040"/>
        <v>0.7892307692</v>
      </c>
      <c r="AW973" s="9">
        <f t="shared" si="2235"/>
        <v>6.333846154</v>
      </c>
      <c r="AX973" s="9">
        <f t="shared" ref="AX973:AY973" si="3041">AM973/$AF973</f>
        <v>1.323076923</v>
      </c>
      <c r="AY973" s="9">
        <f t="shared" si="3041"/>
        <v>0.4923076923</v>
      </c>
      <c r="AZ973" s="9">
        <f>VLOOKUP(A973,Jogos!A:BN,58,0)</f>
        <v>20.55</v>
      </c>
      <c r="BA973" s="9">
        <f>VLOOKUP(A973,Jogos!A:BN,59,0)</f>
        <v>11.995</v>
      </c>
      <c r="BB973" s="9">
        <f>VLOOKUP(A973,Jogos!A:BN,60,0)</f>
        <v>57.5</v>
      </c>
      <c r="BC973" s="9">
        <f>VLOOKUP(A973,Jogos!A:BN,61,0)</f>
        <v>17.85</v>
      </c>
      <c r="BD973" s="9">
        <f>VLOOKUP(A973,Jogos!A:BN,62,0)</f>
        <v>845.5</v>
      </c>
      <c r="BE973" s="9">
        <f>VLOOKUP(A973,Jogos!A:BN,63,0)</f>
        <v>1.05</v>
      </c>
      <c r="BF973" s="9">
        <f>VLOOKUP(A973,Jogos!A:BN,64,0)</f>
        <v>18.05</v>
      </c>
      <c r="BG973" s="9">
        <f>VLOOKUP(A973,Jogos!A:BN,65,0)</f>
        <v>32.02</v>
      </c>
      <c r="BH973" s="9">
        <f>VLOOKUP(A973,Jogos!A:BN,66,0)</f>
        <v>21.095</v>
      </c>
      <c r="BI973" s="9"/>
      <c r="BJ973" s="9"/>
    </row>
    <row r="974" hidden="1">
      <c r="A974" s="10">
        <v>33.0</v>
      </c>
      <c r="B974" s="11" t="s">
        <v>185</v>
      </c>
      <c r="C974" s="2" t="s">
        <v>61</v>
      </c>
      <c r="D974" s="12">
        <v>45831.0</v>
      </c>
      <c r="E974" s="13">
        <v>0.5</v>
      </c>
      <c r="F974" s="5" t="str">
        <f>VLOOKUP(A974,Jogos!A:N,10,0)</f>
        <v>Afternoon</v>
      </c>
      <c r="G974" s="11" t="s">
        <v>312</v>
      </c>
      <c r="H974" s="6" t="str">
        <f>VLOOKUP(A974,Jogos!A:L,12,0)</f>
        <v>Open</v>
      </c>
      <c r="I974" s="6" t="str">
        <f>VLOOKUP(G974,'Estádios e Cidades'!A:B,2,0)</f>
        <v>Seatte</v>
      </c>
      <c r="J974" s="11" t="s">
        <v>187</v>
      </c>
      <c r="K974" s="2" t="str">
        <f>VLOOKUP(J974,Equipes!A:F,6,0)</f>
        <v>Temperate</v>
      </c>
      <c r="L974" s="2">
        <f>VLOOKUP(J974,Equipes!A:C,3,0)</f>
        <v>2</v>
      </c>
      <c r="M974" s="2" t="str">
        <f t="shared" si="4"/>
        <v>Final</v>
      </c>
      <c r="N974" s="11" t="s">
        <v>314</v>
      </c>
      <c r="O974" s="2">
        <f>VLOOKUP(N974,Equipes!A:C,3,0)</f>
        <v>29</v>
      </c>
      <c r="P974" s="2" t="str">
        <f t="shared" si="5"/>
        <v>Group</v>
      </c>
      <c r="Q974" s="2">
        <f t="shared" si="6"/>
        <v>-27</v>
      </c>
      <c r="R974" s="2" t="str">
        <f>VLOOKUP(J974,Equipes!A:B,2,0)</f>
        <v>PSG</v>
      </c>
      <c r="S974" s="6" t="s">
        <v>195</v>
      </c>
      <c r="T974" s="7">
        <v>8.0</v>
      </c>
      <c r="U974" s="7" t="s">
        <v>196</v>
      </c>
      <c r="V974" s="7" t="str">
        <f>VLOOKUP(U974,Jogadores!B:C,2,0)</f>
        <v>MF</v>
      </c>
      <c r="W974" s="8">
        <f>VLOOKUP(U974,Jogadores!B:D,3,0)</f>
        <v>29.3369863</v>
      </c>
      <c r="X974" s="7">
        <v>0.0</v>
      </c>
      <c r="Y974" s="7">
        <f>45+AB974</f>
        <v>95</v>
      </c>
      <c r="Z974" s="7">
        <f>VLOOKUP(A974,Jogos!A:L,3,0)</f>
        <v>46</v>
      </c>
      <c r="AA974" s="7">
        <f t="shared" si="2229"/>
        <v>46</v>
      </c>
      <c r="AB974" s="7">
        <f>VLOOKUP(A974,Jogos!A:L,4,0)</f>
        <v>50</v>
      </c>
      <c r="AC974" s="7">
        <f t="shared" si="2230"/>
        <v>50</v>
      </c>
      <c r="AD974" s="7"/>
      <c r="AE974" s="7"/>
      <c r="AF974" s="7">
        <f t="shared" si="2231"/>
        <v>96</v>
      </c>
      <c r="AG974" s="7">
        <v>11739.8</v>
      </c>
      <c r="AH974" s="7">
        <v>3791.4</v>
      </c>
      <c r="AI974" s="7">
        <v>5389.4</v>
      </c>
      <c r="AJ974" s="7">
        <v>1990.0</v>
      </c>
      <c r="AK974" s="7">
        <v>538.0</v>
      </c>
      <c r="AL974" s="7">
        <v>31.0</v>
      </c>
      <c r="AM974" s="7">
        <v>165.0</v>
      </c>
      <c r="AN974" s="7">
        <v>40.0</v>
      </c>
      <c r="AO974" s="7">
        <v>26.7</v>
      </c>
      <c r="AP974" s="9">
        <f t="shared" ref="AP974:AR974" si="3042">AG974/$AF974</f>
        <v>122.2895833</v>
      </c>
      <c r="AQ974" s="9">
        <f t="shared" si="3042"/>
        <v>39.49375</v>
      </c>
      <c r="AR974" s="9">
        <f t="shared" si="3042"/>
        <v>56.13958333</v>
      </c>
      <c r="AS974" s="9">
        <f t="shared" si="2233"/>
        <v>95.63333333</v>
      </c>
      <c r="AT974" s="9">
        <f t="shared" ref="AT974:AV974" si="3043">AJ974/$AF974</f>
        <v>20.72916667</v>
      </c>
      <c r="AU974" s="9">
        <f t="shared" si="3043"/>
        <v>5.604166667</v>
      </c>
      <c r="AV974" s="9">
        <f t="shared" si="3043"/>
        <v>0.3229166667</v>
      </c>
      <c r="AW974" s="9">
        <f t="shared" si="2235"/>
        <v>5.927083333</v>
      </c>
      <c r="AX974" s="9">
        <f t="shared" ref="AX974:AY974" si="3044">AM974/$AF974</f>
        <v>1.71875</v>
      </c>
      <c r="AY974" s="9">
        <f t="shared" si="3044"/>
        <v>0.4166666667</v>
      </c>
      <c r="AZ974" s="9">
        <f>VLOOKUP(A974,Jogos!A:BN,58,0)</f>
        <v>20.55</v>
      </c>
      <c r="BA974" s="9">
        <f>VLOOKUP(A974,Jogos!A:BN,59,0)</f>
        <v>11.995</v>
      </c>
      <c r="BB974" s="9">
        <f>VLOOKUP(A974,Jogos!A:BN,60,0)</f>
        <v>57.5</v>
      </c>
      <c r="BC974" s="9">
        <f>VLOOKUP(A974,Jogos!A:BN,61,0)</f>
        <v>17.85</v>
      </c>
      <c r="BD974" s="9">
        <f>VLOOKUP(A974,Jogos!A:BN,62,0)</f>
        <v>845.5</v>
      </c>
      <c r="BE974" s="9">
        <f>VLOOKUP(A974,Jogos!A:BN,63,0)</f>
        <v>1.05</v>
      </c>
      <c r="BF974" s="9">
        <f>VLOOKUP(A974,Jogos!A:BN,64,0)</f>
        <v>18.05</v>
      </c>
      <c r="BG974" s="9">
        <f>VLOOKUP(A974,Jogos!A:BN,65,0)</f>
        <v>32.02</v>
      </c>
      <c r="BH974" s="9">
        <f>VLOOKUP(A974,Jogos!A:BN,66,0)</f>
        <v>21.095</v>
      </c>
      <c r="BI974" s="9"/>
      <c r="BJ974" s="9"/>
    </row>
    <row r="975" hidden="1">
      <c r="A975" s="10">
        <v>33.0</v>
      </c>
      <c r="B975" s="11" t="s">
        <v>185</v>
      </c>
      <c r="C975" s="2" t="s">
        <v>61</v>
      </c>
      <c r="D975" s="12">
        <v>45831.0</v>
      </c>
      <c r="E975" s="13">
        <v>0.5</v>
      </c>
      <c r="F975" s="5" t="str">
        <f>VLOOKUP(A975,Jogos!A:N,10,0)</f>
        <v>Afternoon</v>
      </c>
      <c r="G975" s="11" t="s">
        <v>312</v>
      </c>
      <c r="H975" s="6" t="str">
        <f>VLOOKUP(A975,Jogos!A:L,12,0)</f>
        <v>Open</v>
      </c>
      <c r="I975" s="6" t="str">
        <f>VLOOKUP(G975,'Estádios e Cidades'!A:B,2,0)</f>
        <v>Seatte</v>
      </c>
      <c r="J975" s="11" t="s">
        <v>187</v>
      </c>
      <c r="K975" s="2" t="str">
        <f>VLOOKUP(J975,Equipes!A:F,6,0)</f>
        <v>Temperate</v>
      </c>
      <c r="L975" s="2">
        <f>VLOOKUP(J975,Equipes!A:C,3,0)</f>
        <v>2</v>
      </c>
      <c r="M975" s="2" t="str">
        <f t="shared" si="4"/>
        <v>Final</v>
      </c>
      <c r="N975" s="11" t="s">
        <v>314</v>
      </c>
      <c r="O975" s="2">
        <f>VLOOKUP(N975,Equipes!A:C,3,0)</f>
        <v>29</v>
      </c>
      <c r="P975" s="2" t="str">
        <f t="shared" si="5"/>
        <v>Group</v>
      </c>
      <c r="Q975" s="2">
        <f t="shared" si="6"/>
        <v>-27</v>
      </c>
      <c r="R975" s="2" t="str">
        <f>VLOOKUP(J975,Equipes!A:B,2,0)</f>
        <v>PSG</v>
      </c>
      <c r="S975" s="6" t="s">
        <v>199</v>
      </c>
      <c r="T975" s="7">
        <v>14.0</v>
      </c>
      <c r="U975" s="7" t="s">
        <v>200</v>
      </c>
      <c r="V975" s="7" t="str">
        <f>VLOOKUP(U975,Jogadores!B:C,2,0)</f>
        <v>FW</v>
      </c>
      <c r="W975" s="8">
        <f>VLOOKUP(U975,Jogadores!B:D,3,0)</f>
        <v>20.16438356</v>
      </c>
      <c r="X975" s="7">
        <v>0.0</v>
      </c>
      <c r="Y975" s="7">
        <v>83.0</v>
      </c>
      <c r="Z975" s="7">
        <f>VLOOKUP(A975,Jogos!A:L,3,0)</f>
        <v>46</v>
      </c>
      <c r="AA975" s="7">
        <f t="shared" si="2229"/>
        <v>46</v>
      </c>
      <c r="AB975" s="7">
        <f>VLOOKUP(A975,Jogos!A:L,4,0)</f>
        <v>50</v>
      </c>
      <c r="AC975" s="7">
        <f t="shared" si="2230"/>
        <v>38</v>
      </c>
      <c r="AD975" s="7"/>
      <c r="AE975" s="7"/>
      <c r="AF975" s="7">
        <f t="shared" si="2231"/>
        <v>84</v>
      </c>
      <c r="AG975" s="7">
        <v>10337.1</v>
      </c>
      <c r="AH975" s="7">
        <v>3039.6</v>
      </c>
      <c r="AI975" s="7">
        <v>4713.4</v>
      </c>
      <c r="AJ975" s="7">
        <v>1733.5</v>
      </c>
      <c r="AK975" s="7">
        <v>659.3</v>
      </c>
      <c r="AL975" s="7">
        <v>191.2</v>
      </c>
      <c r="AM975" s="7">
        <v>160.0</v>
      </c>
      <c r="AN975" s="7">
        <v>57.0</v>
      </c>
      <c r="AO975" s="7">
        <v>33.3</v>
      </c>
      <c r="AP975" s="9">
        <f t="shared" ref="AP975:AR975" si="3045">AG975/$AF975</f>
        <v>123.0607143</v>
      </c>
      <c r="AQ975" s="9">
        <f t="shared" si="3045"/>
        <v>36.18571429</v>
      </c>
      <c r="AR975" s="9">
        <f t="shared" si="3045"/>
        <v>56.11190476</v>
      </c>
      <c r="AS975" s="9">
        <f t="shared" si="2233"/>
        <v>92.29761905</v>
      </c>
      <c r="AT975" s="9">
        <f t="shared" ref="AT975:AV975" si="3046">AJ975/$AF975</f>
        <v>20.63690476</v>
      </c>
      <c r="AU975" s="9">
        <f t="shared" si="3046"/>
        <v>7.848809524</v>
      </c>
      <c r="AV975" s="9">
        <f t="shared" si="3046"/>
        <v>2.276190476</v>
      </c>
      <c r="AW975" s="9">
        <f t="shared" si="2235"/>
        <v>10.125</v>
      </c>
      <c r="AX975" s="9">
        <f t="shared" ref="AX975:AY975" si="3047">AM975/$AF975</f>
        <v>1.904761905</v>
      </c>
      <c r="AY975" s="9">
        <f t="shared" si="3047"/>
        <v>0.6785714286</v>
      </c>
      <c r="AZ975" s="9">
        <f>VLOOKUP(A975,Jogos!A:BN,58,0)</f>
        <v>20.55</v>
      </c>
      <c r="BA975" s="9">
        <f>VLOOKUP(A975,Jogos!A:BN,59,0)</f>
        <v>11.995</v>
      </c>
      <c r="BB975" s="9">
        <f>VLOOKUP(A975,Jogos!A:BN,60,0)</f>
        <v>57.5</v>
      </c>
      <c r="BC975" s="9">
        <f>VLOOKUP(A975,Jogos!A:BN,61,0)</f>
        <v>17.85</v>
      </c>
      <c r="BD975" s="9">
        <f>VLOOKUP(A975,Jogos!A:BN,62,0)</f>
        <v>845.5</v>
      </c>
      <c r="BE975" s="9">
        <f>VLOOKUP(A975,Jogos!A:BN,63,0)</f>
        <v>1.05</v>
      </c>
      <c r="BF975" s="9">
        <f>VLOOKUP(A975,Jogos!A:BN,64,0)</f>
        <v>18.05</v>
      </c>
      <c r="BG975" s="9">
        <f>VLOOKUP(A975,Jogos!A:BN,65,0)</f>
        <v>32.02</v>
      </c>
      <c r="BH975" s="9">
        <f>VLOOKUP(A975,Jogos!A:BN,66,0)</f>
        <v>21.095</v>
      </c>
      <c r="BI975" s="9"/>
      <c r="BJ975" s="9"/>
    </row>
    <row r="976" hidden="1">
      <c r="A976" s="10">
        <v>33.0</v>
      </c>
      <c r="B976" s="11" t="s">
        <v>185</v>
      </c>
      <c r="C976" s="2" t="s">
        <v>61</v>
      </c>
      <c r="D976" s="12">
        <v>45831.0</v>
      </c>
      <c r="E976" s="13">
        <v>0.5</v>
      </c>
      <c r="F976" s="5" t="str">
        <f>VLOOKUP(A976,Jogos!A:N,10,0)</f>
        <v>Afternoon</v>
      </c>
      <c r="G976" s="11" t="s">
        <v>312</v>
      </c>
      <c r="H976" s="6" t="str">
        <f>VLOOKUP(A976,Jogos!A:L,12,0)</f>
        <v>Open</v>
      </c>
      <c r="I976" s="6" t="str">
        <f>VLOOKUP(G976,'Estádios e Cidades'!A:B,2,0)</f>
        <v>Seatte</v>
      </c>
      <c r="J976" s="11" t="s">
        <v>187</v>
      </c>
      <c r="K976" s="2" t="str">
        <f>VLOOKUP(J976,Equipes!A:F,6,0)</f>
        <v>Temperate</v>
      </c>
      <c r="L976" s="2">
        <f>VLOOKUP(J976,Equipes!A:C,3,0)</f>
        <v>2</v>
      </c>
      <c r="M976" s="2" t="str">
        <f t="shared" si="4"/>
        <v>Final</v>
      </c>
      <c r="N976" s="11" t="s">
        <v>314</v>
      </c>
      <c r="O976" s="2">
        <f>VLOOKUP(N976,Equipes!A:C,3,0)</f>
        <v>29</v>
      </c>
      <c r="P976" s="2" t="str">
        <f t="shared" si="5"/>
        <v>Group</v>
      </c>
      <c r="Q976" s="2">
        <f t="shared" si="6"/>
        <v>-27</v>
      </c>
      <c r="R976" s="2" t="str">
        <f>VLOOKUP(J976,Equipes!A:B,2,0)</f>
        <v>PSG</v>
      </c>
      <c r="S976" s="6" t="s">
        <v>201</v>
      </c>
      <c r="T976" s="7">
        <v>17.0</v>
      </c>
      <c r="U976" s="7" t="s">
        <v>202</v>
      </c>
      <c r="V976" s="7" t="str">
        <f>VLOOKUP(U976,Jogadores!B:C,2,0)</f>
        <v>MF</v>
      </c>
      <c r="W976" s="8">
        <f>VLOOKUP(U976,Jogadores!B:D,3,0)</f>
        <v>25.47123288</v>
      </c>
      <c r="X976" s="7">
        <v>0.0</v>
      </c>
      <c r="Y976" s="7">
        <f>45+AB976</f>
        <v>95</v>
      </c>
      <c r="Z976" s="7">
        <f>VLOOKUP(A976,Jogos!A:L,3,0)</f>
        <v>46</v>
      </c>
      <c r="AA976" s="7">
        <f t="shared" si="2229"/>
        <v>46</v>
      </c>
      <c r="AB976" s="7">
        <f>VLOOKUP(A976,Jogos!A:L,4,0)</f>
        <v>50</v>
      </c>
      <c r="AC976" s="7">
        <f t="shared" si="2230"/>
        <v>50</v>
      </c>
      <c r="AD976" s="7"/>
      <c r="AE976" s="7"/>
      <c r="AF976" s="7">
        <f t="shared" si="2231"/>
        <v>96</v>
      </c>
      <c r="AG976" s="7">
        <v>12327.7</v>
      </c>
      <c r="AH976" s="7">
        <v>3250.2</v>
      </c>
      <c r="AI976" s="7">
        <v>6567.1</v>
      </c>
      <c r="AJ976" s="7">
        <v>1815.1</v>
      </c>
      <c r="AK976" s="7">
        <v>560.3</v>
      </c>
      <c r="AL976" s="7">
        <v>135.0</v>
      </c>
      <c r="AM976" s="7">
        <v>168.0</v>
      </c>
      <c r="AN976" s="7">
        <v>45.0</v>
      </c>
      <c r="AO976" s="7">
        <v>31.6</v>
      </c>
      <c r="AP976" s="9">
        <f t="shared" ref="AP976:AR976" si="3048">AG976/$AF976</f>
        <v>128.4135417</v>
      </c>
      <c r="AQ976" s="9">
        <f t="shared" si="3048"/>
        <v>33.85625</v>
      </c>
      <c r="AR976" s="9">
        <f t="shared" si="3048"/>
        <v>68.40729167</v>
      </c>
      <c r="AS976" s="9">
        <f t="shared" si="2233"/>
        <v>102.2635417</v>
      </c>
      <c r="AT976" s="9">
        <f t="shared" ref="AT976:AV976" si="3049">AJ976/$AF976</f>
        <v>18.90729167</v>
      </c>
      <c r="AU976" s="9">
        <f t="shared" si="3049"/>
        <v>5.836458333</v>
      </c>
      <c r="AV976" s="9">
        <f t="shared" si="3049"/>
        <v>1.40625</v>
      </c>
      <c r="AW976" s="9">
        <f t="shared" si="2235"/>
        <v>7.242708333</v>
      </c>
      <c r="AX976" s="9">
        <f t="shared" ref="AX976:AY976" si="3050">AM976/$AF976</f>
        <v>1.75</v>
      </c>
      <c r="AY976" s="9">
        <f t="shared" si="3050"/>
        <v>0.46875</v>
      </c>
      <c r="AZ976" s="9">
        <f>VLOOKUP(A976,Jogos!A:BN,58,0)</f>
        <v>20.55</v>
      </c>
      <c r="BA976" s="9">
        <f>VLOOKUP(A976,Jogos!A:BN,59,0)</f>
        <v>11.995</v>
      </c>
      <c r="BB976" s="9">
        <f>VLOOKUP(A976,Jogos!A:BN,60,0)</f>
        <v>57.5</v>
      </c>
      <c r="BC976" s="9">
        <f>VLOOKUP(A976,Jogos!A:BN,61,0)</f>
        <v>17.85</v>
      </c>
      <c r="BD976" s="9">
        <f>VLOOKUP(A976,Jogos!A:BN,62,0)</f>
        <v>845.5</v>
      </c>
      <c r="BE976" s="9">
        <f>VLOOKUP(A976,Jogos!A:BN,63,0)</f>
        <v>1.05</v>
      </c>
      <c r="BF976" s="9">
        <f>VLOOKUP(A976,Jogos!A:BN,64,0)</f>
        <v>18.05</v>
      </c>
      <c r="BG976" s="9">
        <f>VLOOKUP(A976,Jogos!A:BN,65,0)</f>
        <v>32.02</v>
      </c>
      <c r="BH976" s="9">
        <f>VLOOKUP(A976,Jogos!A:BN,66,0)</f>
        <v>21.095</v>
      </c>
      <c r="BI976" s="9"/>
      <c r="BJ976" s="9"/>
    </row>
    <row r="977" hidden="1">
      <c r="A977" s="10">
        <v>33.0</v>
      </c>
      <c r="B977" s="11" t="s">
        <v>185</v>
      </c>
      <c r="C977" s="2" t="s">
        <v>61</v>
      </c>
      <c r="D977" s="12">
        <v>45831.0</v>
      </c>
      <c r="E977" s="13">
        <v>0.5</v>
      </c>
      <c r="F977" s="5" t="str">
        <f>VLOOKUP(A977,Jogos!A:N,10,0)</f>
        <v>Afternoon</v>
      </c>
      <c r="G977" s="11" t="s">
        <v>312</v>
      </c>
      <c r="H977" s="6" t="str">
        <f>VLOOKUP(A977,Jogos!A:L,12,0)</f>
        <v>Open</v>
      </c>
      <c r="I977" s="6" t="str">
        <f>VLOOKUP(G977,'Estádios e Cidades'!A:B,2,0)</f>
        <v>Seatte</v>
      </c>
      <c r="J977" s="11" t="s">
        <v>187</v>
      </c>
      <c r="K977" s="2" t="str">
        <f>VLOOKUP(J977,Equipes!A:F,6,0)</f>
        <v>Temperate</v>
      </c>
      <c r="L977" s="2">
        <f>VLOOKUP(J977,Equipes!A:C,3,0)</f>
        <v>2</v>
      </c>
      <c r="M977" s="2" t="str">
        <f t="shared" si="4"/>
        <v>Final</v>
      </c>
      <c r="N977" s="11" t="s">
        <v>314</v>
      </c>
      <c r="O977" s="2">
        <f>VLOOKUP(N977,Equipes!A:C,3,0)</f>
        <v>29</v>
      </c>
      <c r="P977" s="2" t="str">
        <f t="shared" si="5"/>
        <v>Group</v>
      </c>
      <c r="Q977" s="2">
        <f t="shared" si="6"/>
        <v>-27</v>
      </c>
      <c r="R977" s="2" t="str">
        <f>VLOOKUP(J977,Equipes!A:B,2,0)</f>
        <v>PSG</v>
      </c>
      <c r="S977" s="6" t="s">
        <v>213</v>
      </c>
      <c r="T977" s="7">
        <v>24.0</v>
      </c>
      <c r="U977" s="7" t="s">
        <v>214</v>
      </c>
      <c r="V977" s="7" t="str">
        <f>VLOOKUP(U977,Jogadores!B:C,2,0)</f>
        <v>MF</v>
      </c>
      <c r="W977" s="8">
        <f>VLOOKUP(U977,Jogadores!B:D,3,0)</f>
        <v>19.2109589</v>
      </c>
      <c r="X977" s="7">
        <v>0.0</v>
      </c>
      <c r="Y977" s="7">
        <v>77.0</v>
      </c>
      <c r="Z977" s="7">
        <f>VLOOKUP(A977,Jogos!A:L,3,0)</f>
        <v>46</v>
      </c>
      <c r="AA977" s="7">
        <f t="shared" si="2229"/>
        <v>46</v>
      </c>
      <c r="AB977" s="7">
        <f>VLOOKUP(A977,Jogos!A:L,4,0)</f>
        <v>50</v>
      </c>
      <c r="AC977" s="7">
        <f t="shared" si="2230"/>
        <v>32</v>
      </c>
      <c r="AD977" s="7"/>
      <c r="AE977" s="7"/>
      <c r="AF977" s="7">
        <f t="shared" si="2231"/>
        <v>78</v>
      </c>
      <c r="AG977" s="7">
        <v>9442.9</v>
      </c>
      <c r="AH977" s="7">
        <v>2895.7</v>
      </c>
      <c r="AI977" s="7">
        <v>4381.1</v>
      </c>
      <c r="AJ977" s="7">
        <v>1355.8</v>
      </c>
      <c r="AK977" s="7">
        <v>618.3</v>
      </c>
      <c r="AL977" s="7">
        <v>192.0</v>
      </c>
      <c r="AM977" s="7">
        <v>118.0</v>
      </c>
      <c r="AN977" s="7">
        <v>52.0</v>
      </c>
      <c r="AO977" s="7">
        <v>32.1</v>
      </c>
      <c r="AP977" s="9">
        <f t="shared" ref="AP977:AR977" si="3051">AG977/$AF977</f>
        <v>121.0628205</v>
      </c>
      <c r="AQ977" s="9">
        <f t="shared" si="3051"/>
        <v>37.12435897</v>
      </c>
      <c r="AR977" s="9">
        <f t="shared" si="3051"/>
        <v>56.16794872</v>
      </c>
      <c r="AS977" s="9">
        <f t="shared" si="2233"/>
        <v>93.29230769</v>
      </c>
      <c r="AT977" s="9">
        <f t="shared" ref="AT977:AV977" si="3052">AJ977/$AF977</f>
        <v>17.38205128</v>
      </c>
      <c r="AU977" s="9">
        <f t="shared" si="3052"/>
        <v>7.926923077</v>
      </c>
      <c r="AV977" s="9">
        <f t="shared" si="3052"/>
        <v>2.461538462</v>
      </c>
      <c r="AW977" s="9">
        <f t="shared" si="2235"/>
        <v>10.38846154</v>
      </c>
      <c r="AX977" s="9">
        <f t="shared" ref="AX977:AY977" si="3053">AM977/$AF977</f>
        <v>1.512820513</v>
      </c>
      <c r="AY977" s="9">
        <f t="shared" si="3053"/>
        <v>0.6666666667</v>
      </c>
      <c r="AZ977" s="9">
        <f>VLOOKUP(A977,Jogos!A:BN,58,0)</f>
        <v>20.55</v>
      </c>
      <c r="BA977" s="9">
        <f>VLOOKUP(A977,Jogos!A:BN,59,0)</f>
        <v>11.995</v>
      </c>
      <c r="BB977" s="9">
        <f>VLOOKUP(A977,Jogos!A:BN,60,0)</f>
        <v>57.5</v>
      </c>
      <c r="BC977" s="9">
        <f>VLOOKUP(A977,Jogos!A:BN,61,0)</f>
        <v>17.85</v>
      </c>
      <c r="BD977" s="9">
        <f>VLOOKUP(A977,Jogos!A:BN,62,0)</f>
        <v>845.5</v>
      </c>
      <c r="BE977" s="9">
        <f>VLOOKUP(A977,Jogos!A:BN,63,0)</f>
        <v>1.05</v>
      </c>
      <c r="BF977" s="9">
        <f>VLOOKUP(A977,Jogos!A:BN,64,0)</f>
        <v>18.05</v>
      </c>
      <c r="BG977" s="9">
        <f>VLOOKUP(A977,Jogos!A:BN,65,0)</f>
        <v>32.02</v>
      </c>
      <c r="BH977" s="9">
        <f>VLOOKUP(A977,Jogos!A:BN,66,0)</f>
        <v>21.095</v>
      </c>
      <c r="BI977" s="9"/>
      <c r="BJ977" s="9"/>
    </row>
    <row r="978" hidden="1">
      <c r="A978" s="10">
        <v>33.0</v>
      </c>
      <c r="B978" s="11" t="s">
        <v>185</v>
      </c>
      <c r="C978" s="2" t="s">
        <v>61</v>
      </c>
      <c r="D978" s="12">
        <v>45831.0</v>
      </c>
      <c r="E978" s="13">
        <v>0.5</v>
      </c>
      <c r="F978" s="5" t="str">
        <f>VLOOKUP(A978,Jogos!A:N,10,0)</f>
        <v>Afternoon</v>
      </c>
      <c r="G978" s="11" t="s">
        <v>312</v>
      </c>
      <c r="H978" s="6" t="str">
        <f>VLOOKUP(A978,Jogos!A:L,12,0)</f>
        <v>Open</v>
      </c>
      <c r="I978" s="6" t="str">
        <f>VLOOKUP(G978,'Estádios e Cidades'!A:B,2,0)</f>
        <v>Seatte</v>
      </c>
      <c r="J978" s="11" t="s">
        <v>187</v>
      </c>
      <c r="K978" s="2" t="str">
        <f>VLOOKUP(J978,Equipes!A:F,6,0)</f>
        <v>Temperate</v>
      </c>
      <c r="L978" s="2">
        <f>VLOOKUP(J978,Equipes!A:C,3,0)</f>
        <v>2</v>
      </c>
      <c r="M978" s="2" t="str">
        <f t="shared" si="4"/>
        <v>Final</v>
      </c>
      <c r="N978" s="11" t="s">
        <v>314</v>
      </c>
      <c r="O978" s="2">
        <f>VLOOKUP(N978,Equipes!A:C,3,0)</f>
        <v>29</v>
      </c>
      <c r="P978" s="2" t="str">
        <f t="shared" si="5"/>
        <v>Group</v>
      </c>
      <c r="Q978" s="2">
        <f t="shared" si="6"/>
        <v>-27</v>
      </c>
      <c r="R978" s="2" t="str">
        <f>VLOOKUP(J978,Equipes!A:B,2,0)</f>
        <v>PSG</v>
      </c>
      <c r="S978" s="6" t="s">
        <v>203</v>
      </c>
      <c r="T978" s="7">
        <v>25.0</v>
      </c>
      <c r="U978" s="7" t="s">
        <v>204</v>
      </c>
      <c r="V978" s="7" t="str">
        <f>VLOOKUP(U978,Jogadores!B:C,2,0)</f>
        <v>DF</v>
      </c>
      <c r="W978" s="8">
        <f>VLOOKUP(U978,Jogadores!B:D,3,0)</f>
        <v>23.12328767</v>
      </c>
      <c r="X978" s="7">
        <v>0.0</v>
      </c>
      <c r="Y978" s="7">
        <f t="shared" ref="Y978:Y979" si="3057">45+AB978</f>
        <v>95</v>
      </c>
      <c r="Z978" s="7">
        <f>VLOOKUP(A978,Jogos!A:L,3,0)</f>
        <v>46</v>
      </c>
      <c r="AA978" s="7">
        <f t="shared" si="2229"/>
        <v>46</v>
      </c>
      <c r="AB978" s="7">
        <f>VLOOKUP(A978,Jogos!A:L,4,0)</f>
        <v>50</v>
      </c>
      <c r="AC978" s="7">
        <f t="shared" si="2230"/>
        <v>50</v>
      </c>
      <c r="AD978" s="7"/>
      <c r="AE978" s="7"/>
      <c r="AF978" s="7">
        <f t="shared" si="2231"/>
        <v>96</v>
      </c>
      <c r="AG978" s="7">
        <v>9859.8</v>
      </c>
      <c r="AH978" s="7">
        <v>3633.0</v>
      </c>
      <c r="AI978" s="7">
        <v>4279.7</v>
      </c>
      <c r="AJ978" s="7">
        <v>1210.6</v>
      </c>
      <c r="AK978" s="7">
        <v>451.0</v>
      </c>
      <c r="AL978" s="7">
        <v>285.6</v>
      </c>
      <c r="AM978" s="7">
        <v>98.0</v>
      </c>
      <c r="AN978" s="7">
        <v>42.0</v>
      </c>
      <c r="AO978" s="7">
        <v>35.2</v>
      </c>
      <c r="AP978" s="9">
        <f t="shared" ref="AP978:AR978" si="3054">AG978/$AF978</f>
        <v>102.70625</v>
      </c>
      <c r="AQ978" s="9">
        <f t="shared" si="3054"/>
        <v>37.84375</v>
      </c>
      <c r="AR978" s="9">
        <f t="shared" si="3054"/>
        <v>44.58020833</v>
      </c>
      <c r="AS978" s="9">
        <f t="shared" si="2233"/>
        <v>82.42395833</v>
      </c>
      <c r="AT978" s="9">
        <f t="shared" ref="AT978:AV978" si="3055">AJ978/$AF978</f>
        <v>12.61041667</v>
      </c>
      <c r="AU978" s="9">
        <f t="shared" si="3055"/>
        <v>4.697916667</v>
      </c>
      <c r="AV978" s="9">
        <f t="shared" si="3055"/>
        <v>2.975</v>
      </c>
      <c r="AW978" s="9">
        <f t="shared" si="2235"/>
        <v>7.672916667</v>
      </c>
      <c r="AX978" s="9">
        <f t="shared" ref="AX978:AY978" si="3056">AM978/$AF978</f>
        <v>1.020833333</v>
      </c>
      <c r="AY978" s="9">
        <f t="shared" si="3056"/>
        <v>0.4375</v>
      </c>
      <c r="AZ978" s="9">
        <f>VLOOKUP(A978,Jogos!A:BN,58,0)</f>
        <v>20.55</v>
      </c>
      <c r="BA978" s="9">
        <f>VLOOKUP(A978,Jogos!A:BN,59,0)</f>
        <v>11.995</v>
      </c>
      <c r="BB978" s="9">
        <f>VLOOKUP(A978,Jogos!A:BN,60,0)</f>
        <v>57.5</v>
      </c>
      <c r="BC978" s="9">
        <f>VLOOKUP(A978,Jogos!A:BN,61,0)</f>
        <v>17.85</v>
      </c>
      <c r="BD978" s="9">
        <f>VLOOKUP(A978,Jogos!A:BN,62,0)</f>
        <v>845.5</v>
      </c>
      <c r="BE978" s="9">
        <f>VLOOKUP(A978,Jogos!A:BN,63,0)</f>
        <v>1.05</v>
      </c>
      <c r="BF978" s="9">
        <f>VLOOKUP(A978,Jogos!A:BN,64,0)</f>
        <v>18.05</v>
      </c>
      <c r="BG978" s="9">
        <f>VLOOKUP(A978,Jogos!A:BN,65,0)</f>
        <v>32.02</v>
      </c>
      <c r="BH978" s="9">
        <f>VLOOKUP(A978,Jogos!A:BN,66,0)</f>
        <v>21.095</v>
      </c>
      <c r="BI978" s="9"/>
      <c r="BJ978" s="9"/>
    </row>
    <row r="979" hidden="1">
      <c r="A979" s="10">
        <v>33.0</v>
      </c>
      <c r="B979" s="11" t="s">
        <v>185</v>
      </c>
      <c r="C979" s="2" t="s">
        <v>61</v>
      </c>
      <c r="D979" s="12">
        <v>45831.0</v>
      </c>
      <c r="E979" s="13">
        <v>0.5</v>
      </c>
      <c r="F979" s="5" t="str">
        <f>VLOOKUP(A979,Jogos!A:N,10,0)</f>
        <v>Afternoon</v>
      </c>
      <c r="G979" s="11" t="s">
        <v>312</v>
      </c>
      <c r="H979" s="6" t="str">
        <f>VLOOKUP(A979,Jogos!A:L,12,0)</f>
        <v>Open</v>
      </c>
      <c r="I979" s="6" t="str">
        <f>VLOOKUP(G979,'Estádios e Cidades'!A:B,2,0)</f>
        <v>Seatte</v>
      </c>
      <c r="J979" s="11" t="s">
        <v>187</v>
      </c>
      <c r="K979" s="2" t="str">
        <f>VLOOKUP(J979,Equipes!A:F,6,0)</f>
        <v>Temperate</v>
      </c>
      <c r="L979" s="2">
        <f>VLOOKUP(J979,Equipes!A:C,3,0)</f>
        <v>2</v>
      </c>
      <c r="M979" s="2" t="str">
        <f t="shared" si="4"/>
        <v>Final</v>
      </c>
      <c r="N979" s="11" t="s">
        <v>314</v>
      </c>
      <c r="O979" s="2">
        <f>VLOOKUP(N979,Equipes!A:C,3,0)</f>
        <v>29</v>
      </c>
      <c r="P979" s="2" t="str">
        <f t="shared" si="5"/>
        <v>Group</v>
      </c>
      <c r="Q979" s="2">
        <f t="shared" si="6"/>
        <v>-27</v>
      </c>
      <c r="R979" s="2" t="str">
        <f>VLOOKUP(J979,Equipes!A:B,2,0)</f>
        <v>PSG</v>
      </c>
      <c r="S979" s="6" t="s">
        <v>205</v>
      </c>
      <c r="T979" s="7">
        <v>51.0</v>
      </c>
      <c r="U979" s="7" t="s">
        <v>206</v>
      </c>
      <c r="V979" s="7" t="str">
        <f>VLOOKUP(U979,Jogadores!B:C,2,0)</f>
        <v>DF</v>
      </c>
      <c r="W979" s="8">
        <f>VLOOKUP(U979,Jogadores!B:D,3,0)</f>
        <v>23.79726027</v>
      </c>
      <c r="X979" s="7">
        <v>0.0</v>
      </c>
      <c r="Y979" s="7">
        <f t="shared" si="3057"/>
        <v>95</v>
      </c>
      <c r="Z979" s="7">
        <f>VLOOKUP(A979,Jogos!A:L,3,0)</f>
        <v>46</v>
      </c>
      <c r="AA979" s="7">
        <f t="shared" si="2229"/>
        <v>46</v>
      </c>
      <c r="AB979" s="7">
        <f>VLOOKUP(A979,Jogos!A:L,4,0)</f>
        <v>50</v>
      </c>
      <c r="AC979" s="7">
        <f t="shared" si="2230"/>
        <v>50</v>
      </c>
      <c r="AD979" s="7"/>
      <c r="AE979" s="7"/>
      <c r="AF979" s="7">
        <f t="shared" si="2231"/>
        <v>96</v>
      </c>
      <c r="AG979" s="7">
        <v>9649.7</v>
      </c>
      <c r="AH979" s="7">
        <v>3882.0</v>
      </c>
      <c r="AI979" s="7">
        <v>3733.9</v>
      </c>
      <c r="AJ979" s="7">
        <v>1221.8</v>
      </c>
      <c r="AK979" s="7">
        <v>641.3</v>
      </c>
      <c r="AL979" s="7">
        <v>170.7</v>
      </c>
      <c r="AM979" s="7">
        <v>111.0</v>
      </c>
      <c r="AN979" s="7">
        <v>51.0</v>
      </c>
      <c r="AO979" s="7">
        <v>30.4</v>
      </c>
      <c r="AP979" s="9">
        <f t="shared" ref="AP979:AR979" si="3058">AG979/$AF979</f>
        <v>100.5177083</v>
      </c>
      <c r="AQ979" s="9">
        <f t="shared" si="3058"/>
        <v>40.4375</v>
      </c>
      <c r="AR979" s="9">
        <f t="shared" si="3058"/>
        <v>38.89479167</v>
      </c>
      <c r="AS979" s="9">
        <f t="shared" si="2233"/>
        <v>79.33229167</v>
      </c>
      <c r="AT979" s="9">
        <f t="shared" ref="AT979:AV979" si="3059">AJ979/$AF979</f>
        <v>12.72708333</v>
      </c>
      <c r="AU979" s="9">
        <f t="shared" si="3059"/>
        <v>6.680208333</v>
      </c>
      <c r="AV979" s="9">
        <f t="shared" si="3059"/>
        <v>1.778125</v>
      </c>
      <c r="AW979" s="9">
        <f t="shared" si="2235"/>
        <v>8.458333333</v>
      </c>
      <c r="AX979" s="9">
        <f t="shared" ref="AX979:AY979" si="3060">AM979/$AF979</f>
        <v>1.15625</v>
      </c>
      <c r="AY979" s="9">
        <f t="shared" si="3060"/>
        <v>0.53125</v>
      </c>
      <c r="AZ979" s="9">
        <f>VLOOKUP(A979,Jogos!A:BN,58,0)</f>
        <v>20.55</v>
      </c>
      <c r="BA979" s="9">
        <f>VLOOKUP(A979,Jogos!A:BN,59,0)</f>
        <v>11.995</v>
      </c>
      <c r="BB979" s="9">
        <f>VLOOKUP(A979,Jogos!A:BN,60,0)</f>
        <v>57.5</v>
      </c>
      <c r="BC979" s="9">
        <f>VLOOKUP(A979,Jogos!A:BN,61,0)</f>
        <v>17.85</v>
      </c>
      <c r="BD979" s="9">
        <f>VLOOKUP(A979,Jogos!A:BN,62,0)</f>
        <v>845.5</v>
      </c>
      <c r="BE979" s="9">
        <f>VLOOKUP(A979,Jogos!A:BN,63,0)</f>
        <v>1.05</v>
      </c>
      <c r="BF979" s="9">
        <f>VLOOKUP(A979,Jogos!A:BN,64,0)</f>
        <v>18.05</v>
      </c>
      <c r="BG979" s="9">
        <f>VLOOKUP(A979,Jogos!A:BN,65,0)</f>
        <v>32.02</v>
      </c>
      <c r="BH979" s="9">
        <f>VLOOKUP(A979,Jogos!A:BN,66,0)</f>
        <v>21.095</v>
      </c>
      <c r="BI979" s="9"/>
      <c r="BJ979" s="9"/>
    </row>
    <row r="980" hidden="1">
      <c r="A980" s="10">
        <v>33.0</v>
      </c>
      <c r="B980" s="11" t="s">
        <v>185</v>
      </c>
      <c r="C980" s="2" t="s">
        <v>61</v>
      </c>
      <c r="D980" s="12">
        <v>45831.0</v>
      </c>
      <c r="E980" s="13">
        <v>0.5</v>
      </c>
      <c r="F980" s="5" t="str">
        <f>VLOOKUP(A980,Jogos!A:N,10,0)</f>
        <v>Afternoon</v>
      </c>
      <c r="G980" s="11" t="s">
        <v>312</v>
      </c>
      <c r="H980" s="6" t="str">
        <f>VLOOKUP(A980,Jogos!A:L,12,0)</f>
        <v>Open</v>
      </c>
      <c r="I980" s="6" t="str">
        <f>VLOOKUP(G980,'Estádios e Cidades'!A:B,2,0)</f>
        <v>Seatte</v>
      </c>
      <c r="J980" s="11" t="s">
        <v>187</v>
      </c>
      <c r="K980" s="2" t="str">
        <f>VLOOKUP(J980,Equipes!A:F,6,0)</f>
        <v>Temperate</v>
      </c>
      <c r="L980" s="2">
        <f>VLOOKUP(J980,Equipes!A:C,3,0)</f>
        <v>2</v>
      </c>
      <c r="M980" s="2" t="str">
        <f t="shared" si="4"/>
        <v>Final</v>
      </c>
      <c r="N980" s="11" t="s">
        <v>314</v>
      </c>
      <c r="O980" s="2">
        <f>VLOOKUP(N980,Equipes!A:C,3,0)</f>
        <v>29</v>
      </c>
      <c r="P980" s="2" t="str">
        <f t="shared" si="5"/>
        <v>Group</v>
      </c>
      <c r="Q980" s="2">
        <f t="shared" si="6"/>
        <v>-27</v>
      </c>
      <c r="R980" s="2" t="str">
        <f>VLOOKUP(J980,Equipes!A:B,2,0)</f>
        <v>PSG</v>
      </c>
      <c r="S980" s="6" t="s">
        <v>207</v>
      </c>
      <c r="T980" s="7">
        <v>87.0</v>
      </c>
      <c r="U980" s="7" t="s">
        <v>208</v>
      </c>
      <c r="V980" s="7" t="str">
        <f>VLOOKUP(U980,Jogadores!B:C,2,0)</f>
        <v>MF</v>
      </c>
      <c r="W980" s="8">
        <f>VLOOKUP(U980,Jogadores!B:D,3,0)</f>
        <v>20.84657534</v>
      </c>
      <c r="X980" s="7">
        <v>0.0</v>
      </c>
      <c r="Y980" s="7">
        <v>64.0</v>
      </c>
      <c r="Z980" s="7">
        <f>VLOOKUP(A980,Jogos!A:L,3,0)</f>
        <v>46</v>
      </c>
      <c r="AA980" s="7">
        <f t="shared" si="2229"/>
        <v>46</v>
      </c>
      <c r="AB980" s="7">
        <f>VLOOKUP(A980,Jogos!A:L,4,0)</f>
        <v>50</v>
      </c>
      <c r="AC980" s="7">
        <f t="shared" si="2230"/>
        <v>19</v>
      </c>
      <c r="AD980" s="7"/>
      <c r="AE980" s="7"/>
      <c r="AF980" s="7">
        <f t="shared" si="2231"/>
        <v>65</v>
      </c>
      <c r="AG980" s="7">
        <v>8523.3</v>
      </c>
      <c r="AH980" s="7">
        <v>2118.7</v>
      </c>
      <c r="AI980" s="7">
        <v>4337.6</v>
      </c>
      <c r="AJ980" s="7">
        <v>1335.8</v>
      </c>
      <c r="AK980" s="7">
        <v>580.8</v>
      </c>
      <c r="AL980" s="7">
        <v>150.4</v>
      </c>
      <c r="AM980" s="7">
        <v>123.0</v>
      </c>
      <c r="AN980" s="7">
        <v>43.0</v>
      </c>
      <c r="AO980" s="7">
        <v>29.2</v>
      </c>
      <c r="AP980" s="9">
        <f t="shared" ref="AP980:AR980" si="3061">AG980/$AF980</f>
        <v>131.1276923</v>
      </c>
      <c r="AQ980" s="9">
        <f t="shared" si="3061"/>
        <v>32.59538462</v>
      </c>
      <c r="AR980" s="9">
        <f t="shared" si="3061"/>
        <v>66.73230769</v>
      </c>
      <c r="AS980" s="9">
        <f t="shared" si="2233"/>
        <v>99.32769231</v>
      </c>
      <c r="AT980" s="9">
        <f t="shared" ref="AT980:AV980" si="3062">AJ980/$AF980</f>
        <v>20.55076923</v>
      </c>
      <c r="AU980" s="9">
        <f t="shared" si="3062"/>
        <v>8.935384615</v>
      </c>
      <c r="AV980" s="9">
        <f t="shared" si="3062"/>
        <v>2.313846154</v>
      </c>
      <c r="AW980" s="9">
        <f t="shared" si="2235"/>
        <v>11.24923077</v>
      </c>
      <c r="AX980" s="9">
        <f t="shared" ref="AX980:AY980" si="3063">AM980/$AF980</f>
        <v>1.892307692</v>
      </c>
      <c r="AY980" s="9">
        <f t="shared" si="3063"/>
        <v>0.6615384615</v>
      </c>
      <c r="AZ980" s="9">
        <f>VLOOKUP(A980,Jogos!A:BN,58,0)</f>
        <v>20.55</v>
      </c>
      <c r="BA980" s="9">
        <f>VLOOKUP(A980,Jogos!A:BN,59,0)</f>
        <v>11.995</v>
      </c>
      <c r="BB980" s="9">
        <f>VLOOKUP(A980,Jogos!A:BN,60,0)</f>
        <v>57.5</v>
      </c>
      <c r="BC980" s="9">
        <f>VLOOKUP(A980,Jogos!A:BN,61,0)</f>
        <v>17.85</v>
      </c>
      <c r="BD980" s="9">
        <f>VLOOKUP(A980,Jogos!A:BN,62,0)</f>
        <v>845.5</v>
      </c>
      <c r="BE980" s="9">
        <f>VLOOKUP(A980,Jogos!A:BN,63,0)</f>
        <v>1.05</v>
      </c>
      <c r="BF980" s="9">
        <f>VLOOKUP(A980,Jogos!A:BN,64,0)</f>
        <v>18.05</v>
      </c>
      <c r="BG980" s="9">
        <f>VLOOKUP(A980,Jogos!A:BN,65,0)</f>
        <v>32.02</v>
      </c>
      <c r="BH980" s="9">
        <f>VLOOKUP(A980,Jogos!A:BN,66,0)</f>
        <v>21.095</v>
      </c>
      <c r="BI980" s="9"/>
      <c r="BJ980" s="9"/>
    </row>
    <row r="981" hidden="1">
      <c r="A981" s="10">
        <v>33.0</v>
      </c>
      <c r="B981" s="11" t="s">
        <v>185</v>
      </c>
      <c r="C981" s="2" t="s">
        <v>61</v>
      </c>
      <c r="D981" s="12">
        <v>45831.0</v>
      </c>
      <c r="E981" s="13">
        <v>0.5</v>
      </c>
      <c r="F981" s="5" t="str">
        <f>VLOOKUP(A981,Jogos!A:N,10,0)</f>
        <v>Afternoon</v>
      </c>
      <c r="G981" s="11" t="s">
        <v>312</v>
      </c>
      <c r="H981" s="6" t="str">
        <f>VLOOKUP(A981,Jogos!A:L,12,0)</f>
        <v>Open</v>
      </c>
      <c r="I981" s="6" t="str">
        <f>VLOOKUP(G981,'Estádios e Cidades'!A:B,2,0)</f>
        <v>Seatte</v>
      </c>
      <c r="J981" s="11" t="s">
        <v>187</v>
      </c>
      <c r="K981" s="2" t="str">
        <f>VLOOKUP(J981,Equipes!A:F,6,0)</f>
        <v>Temperate</v>
      </c>
      <c r="L981" s="2">
        <f>VLOOKUP(J981,Equipes!A:C,3,0)</f>
        <v>2</v>
      </c>
      <c r="M981" s="2" t="str">
        <f t="shared" si="4"/>
        <v>Final</v>
      </c>
      <c r="N981" s="11" t="s">
        <v>314</v>
      </c>
      <c r="O981" s="2">
        <f>VLOOKUP(N981,Equipes!A:C,3,0)</f>
        <v>29</v>
      </c>
      <c r="P981" s="2" t="str">
        <f t="shared" si="5"/>
        <v>Group</v>
      </c>
      <c r="Q981" s="2">
        <f t="shared" si="6"/>
        <v>-27</v>
      </c>
      <c r="R981" s="2" t="str">
        <f>VLOOKUP(J981,Equipes!A:B,2,0)</f>
        <v>PSG</v>
      </c>
      <c r="S981" s="6" t="s">
        <v>197</v>
      </c>
      <c r="T981" s="7">
        <v>9.0</v>
      </c>
      <c r="U981" s="7" t="s">
        <v>198</v>
      </c>
      <c r="V981" s="7" t="str">
        <f>VLOOKUP(U981,Jogadores!B:C,2,0)</f>
        <v>FW</v>
      </c>
      <c r="W981" s="8">
        <f>VLOOKUP(U981,Jogadores!B:D,3,0)</f>
        <v>24.12328767</v>
      </c>
      <c r="X981" s="7">
        <v>77.0</v>
      </c>
      <c r="Y981" s="7">
        <f t="shared" ref="Y981:Y984" si="3067">45+AB981</f>
        <v>95</v>
      </c>
      <c r="Z981" s="7">
        <f>VLOOKUP(A981,Jogos!A:L,3,0)</f>
        <v>46</v>
      </c>
      <c r="AA981" s="7">
        <f t="shared" si="2229"/>
        <v>0</v>
      </c>
      <c r="AB981" s="7">
        <f>VLOOKUP(A981,Jogos!A:L,4,0)</f>
        <v>50</v>
      </c>
      <c r="AC981" s="7">
        <f t="shared" si="2230"/>
        <v>18</v>
      </c>
      <c r="AD981" s="7"/>
      <c r="AE981" s="7"/>
      <c r="AF981" s="7">
        <f t="shared" si="2231"/>
        <v>18</v>
      </c>
      <c r="AG981" s="7">
        <v>2387.5</v>
      </c>
      <c r="AH981" s="7">
        <v>655.8</v>
      </c>
      <c r="AI981" s="7">
        <v>1096.6</v>
      </c>
      <c r="AJ981" s="7">
        <v>394.3</v>
      </c>
      <c r="AK981" s="7">
        <v>157.6</v>
      </c>
      <c r="AL981" s="7">
        <v>83.2</v>
      </c>
      <c r="AM981" s="7">
        <v>41.0</v>
      </c>
      <c r="AN981" s="7">
        <v>15.0</v>
      </c>
      <c r="AO981" s="7">
        <v>29.0</v>
      </c>
      <c r="AP981" s="9">
        <f t="shared" ref="AP981:AR981" si="3064">AG981/$AF981</f>
        <v>132.6388889</v>
      </c>
      <c r="AQ981" s="9">
        <f t="shared" si="3064"/>
        <v>36.43333333</v>
      </c>
      <c r="AR981" s="9">
        <f t="shared" si="3064"/>
        <v>60.92222222</v>
      </c>
      <c r="AS981" s="9">
        <f t="shared" si="2233"/>
        <v>97.35555556</v>
      </c>
      <c r="AT981" s="9">
        <f t="shared" ref="AT981:AV981" si="3065">AJ981/$AF981</f>
        <v>21.90555556</v>
      </c>
      <c r="AU981" s="9">
        <f t="shared" si="3065"/>
        <v>8.755555556</v>
      </c>
      <c r="AV981" s="9">
        <f t="shared" si="3065"/>
        <v>4.622222222</v>
      </c>
      <c r="AW981" s="9">
        <f t="shared" si="2235"/>
        <v>13.37777778</v>
      </c>
      <c r="AX981" s="9">
        <f t="shared" ref="AX981:AY981" si="3066">AM981/$AF981</f>
        <v>2.277777778</v>
      </c>
      <c r="AY981" s="9">
        <f t="shared" si="3066"/>
        <v>0.8333333333</v>
      </c>
      <c r="AZ981" s="9">
        <f>VLOOKUP(A981,Jogos!A:BN,58,0)</f>
        <v>20.55</v>
      </c>
      <c r="BA981" s="9">
        <f>VLOOKUP(A981,Jogos!A:BN,59,0)</f>
        <v>11.995</v>
      </c>
      <c r="BB981" s="9">
        <f>VLOOKUP(A981,Jogos!A:BN,60,0)</f>
        <v>57.5</v>
      </c>
      <c r="BC981" s="9">
        <f>VLOOKUP(A981,Jogos!A:BN,61,0)</f>
        <v>17.85</v>
      </c>
      <c r="BD981" s="9">
        <f>VLOOKUP(A981,Jogos!A:BN,62,0)</f>
        <v>845.5</v>
      </c>
      <c r="BE981" s="9">
        <f>VLOOKUP(A981,Jogos!A:BN,63,0)</f>
        <v>1.05</v>
      </c>
      <c r="BF981" s="9">
        <f>VLOOKUP(A981,Jogos!A:BN,64,0)</f>
        <v>18.05</v>
      </c>
      <c r="BG981" s="9">
        <f>VLOOKUP(A981,Jogos!A:BN,65,0)</f>
        <v>32.02</v>
      </c>
      <c r="BH981" s="9">
        <f>VLOOKUP(A981,Jogos!A:BN,66,0)</f>
        <v>21.095</v>
      </c>
      <c r="BI981" s="9"/>
      <c r="BJ981" s="9"/>
    </row>
    <row r="982" hidden="1">
      <c r="A982" s="10">
        <v>33.0</v>
      </c>
      <c r="B982" s="11" t="s">
        <v>185</v>
      </c>
      <c r="C982" s="2" t="s">
        <v>61</v>
      </c>
      <c r="D982" s="12">
        <v>45831.0</v>
      </c>
      <c r="E982" s="13">
        <v>0.5</v>
      </c>
      <c r="F982" s="5" t="str">
        <f>VLOOKUP(A982,Jogos!A:N,10,0)</f>
        <v>Afternoon</v>
      </c>
      <c r="G982" s="11" t="s">
        <v>312</v>
      </c>
      <c r="H982" s="6" t="str">
        <f>VLOOKUP(A982,Jogos!A:L,12,0)</f>
        <v>Open</v>
      </c>
      <c r="I982" s="6" t="str">
        <f>VLOOKUP(G982,'Estádios e Cidades'!A:B,2,0)</f>
        <v>Seatte</v>
      </c>
      <c r="J982" s="11" t="s">
        <v>187</v>
      </c>
      <c r="K982" s="2" t="str">
        <f>VLOOKUP(J982,Equipes!A:F,6,0)</f>
        <v>Temperate</v>
      </c>
      <c r="L982" s="2">
        <f>VLOOKUP(J982,Equipes!A:C,3,0)</f>
        <v>2</v>
      </c>
      <c r="M982" s="2" t="str">
        <f t="shared" si="4"/>
        <v>Final</v>
      </c>
      <c r="N982" s="11" t="s">
        <v>314</v>
      </c>
      <c r="O982" s="2">
        <f>VLOOKUP(N982,Equipes!A:C,3,0)</f>
        <v>29</v>
      </c>
      <c r="P982" s="2" t="str">
        <f t="shared" si="5"/>
        <v>Group</v>
      </c>
      <c r="Q982" s="2">
        <f t="shared" si="6"/>
        <v>-27</v>
      </c>
      <c r="R982" s="2" t="str">
        <f>VLOOKUP(J982,Equipes!A:B,2,0)</f>
        <v>PSG</v>
      </c>
      <c r="S982" s="6" t="s">
        <v>1096</v>
      </c>
      <c r="T982" s="7">
        <v>29.0</v>
      </c>
      <c r="U982" s="7" t="s">
        <v>1097</v>
      </c>
      <c r="V982" s="7" t="str">
        <f>VLOOKUP(U982,Jogadores!B:C,2,0)</f>
        <v>FW</v>
      </c>
      <c r="W982" s="8">
        <f>VLOOKUP(U982,Jogadores!B:D,3,0)</f>
        <v>22.91780822</v>
      </c>
      <c r="X982" s="7">
        <v>64.0</v>
      </c>
      <c r="Y982" s="7">
        <f t="shared" si="3067"/>
        <v>95</v>
      </c>
      <c r="Z982" s="7">
        <f>VLOOKUP(A982,Jogos!A:L,3,0)</f>
        <v>46</v>
      </c>
      <c r="AA982" s="7">
        <f t="shared" si="2229"/>
        <v>0</v>
      </c>
      <c r="AB982" s="7">
        <f>VLOOKUP(A982,Jogos!A:L,4,0)</f>
        <v>50</v>
      </c>
      <c r="AC982" s="7">
        <f t="shared" si="2230"/>
        <v>31</v>
      </c>
      <c r="AD982" s="7"/>
      <c r="AE982" s="7"/>
      <c r="AF982" s="7">
        <f t="shared" si="2231"/>
        <v>31</v>
      </c>
      <c r="AG982" s="7">
        <v>3532.6</v>
      </c>
      <c r="AH982" s="7">
        <v>1334.4</v>
      </c>
      <c r="AI982" s="7">
        <v>1330.8</v>
      </c>
      <c r="AJ982" s="7">
        <v>501.4</v>
      </c>
      <c r="AK982" s="7">
        <v>190.3</v>
      </c>
      <c r="AL982" s="7">
        <v>175.8</v>
      </c>
      <c r="AM982" s="7">
        <v>41.0</v>
      </c>
      <c r="AN982" s="7">
        <v>18.0</v>
      </c>
      <c r="AO982" s="7">
        <v>32.5</v>
      </c>
      <c r="AP982" s="9">
        <f t="shared" ref="AP982:AR982" si="3068">AG982/$AF982</f>
        <v>113.9548387</v>
      </c>
      <c r="AQ982" s="9">
        <f t="shared" si="3068"/>
        <v>43.04516129</v>
      </c>
      <c r="AR982" s="9">
        <f t="shared" si="3068"/>
        <v>42.92903226</v>
      </c>
      <c r="AS982" s="9">
        <f t="shared" si="2233"/>
        <v>85.97419355</v>
      </c>
      <c r="AT982" s="9">
        <f t="shared" ref="AT982:AV982" si="3069">AJ982/$AF982</f>
        <v>16.17419355</v>
      </c>
      <c r="AU982" s="9">
        <f t="shared" si="3069"/>
        <v>6.138709677</v>
      </c>
      <c r="AV982" s="9">
        <f t="shared" si="3069"/>
        <v>5.670967742</v>
      </c>
      <c r="AW982" s="9">
        <f t="shared" si="2235"/>
        <v>11.80967742</v>
      </c>
      <c r="AX982" s="9">
        <f t="shared" ref="AX982:AY982" si="3070">AM982/$AF982</f>
        <v>1.322580645</v>
      </c>
      <c r="AY982" s="9">
        <f t="shared" si="3070"/>
        <v>0.5806451613</v>
      </c>
      <c r="AZ982" s="9">
        <f>VLOOKUP(A982,Jogos!A:BN,58,0)</f>
        <v>20.55</v>
      </c>
      <c r="BA982" s="9">
        <f>VLOOKUP(A982,Jogos!A:BN,59,0)</f>
        <v>11.995</v>
      </c>
      <c r="BB982" s="9">
        <f>VLOOKUP(A982,Jogos!A:BN,60,0)</f>
        <v>57.5</v>
      </c>
      <c r="BC982" s="9">
        <f>VLOOKUP(A982,Jogos!A:BN,61,0)</f>
        <v>17.85</v>
      </c>
      <c r="BD982" s="9">
        <f>VLOOKUP(A982,Jogos!A:BN,62,0)</f>
        <v>845.5</v>
      </c>
      <c r="BE982" s="9">
        <f>VLOOKUP(A982,Jogos!A:BN,63,0)</f>
        <v>1.05</v>
      </c>
      <c r="BF982" s="9">
        <f>VLOOKUP(A982,Jogos!A:BN,64,0)</f>
        <v>18.05</v>
      </c>
      <c r="BG982" s="9">
        <f>VLOOKUP(A982,Jogos!A:BN,65,0)</f>
        <v>32.02</v>
      </c>
      <c r="BH982" s="9">
        <f>VLOOKUP(A982,Jogos!A:BN,66,0)</f>
        <v>21.095</v>
      </c>
      <c r="BI982" s="9"/>
      <c r="BJ982" s="9"/>
    </row>
    <row r="983" hidden="1">
      <c r="A983" s="10">
        <v>33.0</v>
      </c>
      <c r="B983" s="11" t="s">
        <v>185</v>
      </c>
      <c r="C983" s="2" t="s">
        <v>61</v>
      </c>
      <c r="D983" s="12">
        <v>45831.0</v>
      </c>
      <c r="E983" s="13">
        <v>0.5</v>
      </c>
      <c r="F983" s="5" t="str">
        <f>VLOOKUP(A983,Jogos!A:N,10,0)</f>
        <v>Afternoon</v>
      </c>
      <c r="G983" s="11" t="s">
        <v>312</v>
      </c>
      <c r="H983" s="6" t="str">
        <f>VLOOKUP(A983,Jogos!A:L,12,0)</f>
        <v>Open</v>
      </c>
      <c r="I983" s="6" t="str">
        <f>VLOOKUP(G983,'Estádios e Cidades'!A:B,2,0)</f>
        <v>Seatte</v>
      </c>
      <c r="J983" s="11" t="s">
        <v>187</v>
      </c>
      <c r="K983" s="2" t="str">
        <f>VLOOKUP(J983,Equipes!A:F,6,0)</f>
        <v>Temperate</v>
      </c>
      <c r="L983" s="2">
        <f>VLOOKUP(J983,Equipes!A:C,3,0)</f>
        <v>2</v>
      </c>
      <c r="M983" s="2" t="str">
        <f t="shared" si="4"/>
        <v>Final</v>
      </c>
      <c r="N983" s="11" t="s">
        <v>314</v>
      </c>
      <c r="O983" s="2">
        <f>VLOOKUP(N983,Equipes!A:C,3,0)</f>
        <v>29</v>
      </c>
      <c r="P983" s="2" t="str">
        <f t="shared" si="5"/>
        <v>Group</v>
      </c>
      <c r="Q983" s="2">
        <f t="shared" si="6"/>
        <v>-27</v>
      </c>
      <c r="R983" s="2" t="str">
        <f>VLOOKUP(J983,Equipes!A:B,2,0)</f>
        <v>PSG</v>
      </c>
      <c r="S983" s="6" t="s">
        <v>215</v>
      </c>
      <c r="T983" s="7">
        <v>33.0</v>
      </c>
      <c r="U983" s="7" t="s">
        <v>216</v>
      </c>
      <c r="V983" s="7" t="str">
        <f>VLOOKUP(U983,Jogadores!B:C,2,0)</f>
        <v>MF</v>
      </c>
      <c r="W983" s="8">
        <f>VLOOKUP(U983,Jogadores!B:D,3,0)</f>
        <v>19.40273973</v>
      </c>
      <c r="X983" s="7">
        <v>64.0</v>
      </c>
      <c r="Y983" s="7">
        <f t="shared" si="3067"/>
        <v>95</v>
      </c>
      <c r="Z983" s="7">
        <f>VLOOKUP(A983,Jogos!A:L,3,0)</f>
        <v>46</v>
      </c>
      <c r="AA983" s="7">
        <f t="shared" si="2229"/>
        <v>0</v>
      </c>
      <c r="AB983" s="7">
        <f>VLOOKUP(A983,Jogos!A:L,4,0)</f>
        <v>50</v>
      </c>
      <c r="AC983" s="7">
        <f t="shared" si="2230"/>
        <v>31</v>
      </c>
      <c r="AD983" s="7"/>
      <c r="AE983" s="7"/>
      <c r="AF983" s="7">
        <f t="shared" si="2231"/>
        <v>31</v>
      </c>
      <c r="AG983" s="7">
        <v>4418.6</v>
      </c>
      <c r="AH983" s="7">
        <v>1106.7</v>
      </c>
      <c r="AI983" s="7">
        <v>1878.4</v>
      </c>
      <c r="AJ983" s="7">
        <v>910.6</v>
      </c>
      <c r="AK983" s="7">
        <v>383.2</v>
      </c>
      <c r="AL983" s="7">
        <v>139.7</v>
      </c>
      <c r="AM983" s="7">
        <v>74.0</v>
      </c>
      <c r="AN983" s="7">
        <v>26.0</v>
      </c>
      <c r="AO983" s="7">
        <v>30.3</v>
      </c>
      <c r="AP983" s="9">
        <f t="shared" ref="AP983:AR983" si="3071">AG983/$AF983</f>
        <v>142.5354839</v>
      </c>
      <c r="AQ983" s="9">
        <f t="shared" si="3071"/>
        <v>35.7</v>
      </c>
      <c r="AR983" s="9">
        <f t="shared" si="3071"/>
        <v>60.59354839</v>
      </c>
      <c r="AS983" s="9">
        <f t="shared" si="2233"/>
        <v>96.29354839</v>
      </c>
      <c r="AT983" s="9">
        <f t="shared" ref="AT983:AV983" si="3072">AJ983/$AF983</f>
        <v>29.37419355</v>
      </c>
      <c r="AU983" s="9">
        <f t="shared" si="3072"/>
        <v>12.36129032</v>
      </c>
      <c r="AV983" s="9">
        <f t="shared" si="3072"/>
        <v>4.506451613</v>
      </c>
      <c r="AW983" s="9">
        <f t="shared" si="2235"/>
        <v>16.86774194</v>
      </c>
      <c r="AX983" s="9">
        <f t="shared" ref="AX983:AY983" si="3073">AM983/$AF983</f>
        <v>2.387096774</v>
      </c>
      <c r="AY983" s="9">
        <f t="shared" si="3073"/>
        <v>0.8387096774</v>
      </c>
      <c r="AZ983" s="9">
        <f>VLOOKUP(A983,Jogos!A:BN,58,0)</f>
        <v>20.55</v>
      </c>
      <c r="BA983" s="9">
        <f>VLOOKUP(A983,Jogos!A:BN,59,0)</f>
        <v>11.995</v>
      </c>
      <c r="BB983" s="9">
        <f>VLOOKUP(A983,Jogos!A:BN,60,0)</f>
        <v>57.5</v>
      </c>
      <c r="BC983" s="9">
        <f>VLOOKUP(A983,Jogos!A:BN,61,0)</f>
        <v>17.85</v>
      </c>
      <c r="BD983" s="9">
        <f>VLOOKUP(A983,Jogos!A:BN,62,0)</f>
        <v>845.5</v>
      </c>
      <c r="BE983" s="9">
        <f>VLOOKUP(A983,Jogos!A:BN,63,0)</f>
        <v>1.05</v>
      </c>
      <c r="BF983" s="9">
        <f>VLOOKUP(A983,Jogos!A:BN,64,0)</f>
        <v>18.05</v>
      </c>
      <c r="BG983" s="9">
        <f>VLOOKUP(A983,Jogos!A:BN,65,0)</f>
        <v>32.02</v>
      </c>
      <c r="BH983" s="9">
        <f>VLOOKUP(A983,Jogos!A:BN,66,0)</f>
        <v>21.095</v>
      </c>
      <c r="BI983" s="9"/>
      <c r="BJ983" s="9"/>
    </row>
    <row r="984" hidden="1">
      <c r="A984" s="10">
        <v>33.0</v>
      </c>
      <c r="B984" s="11" t="s">
        <v>185</v>
      </c>
      <c r="C984" s="2" t="s">
        <v>61</v>
      </c>
      <c r="D984" s="12">
        <v>45831.0</v>
      </c>
      <c r="E984" s="13">
        <v>0.5</v>
      </c>
      <c r="F984" s="5" t="str">
        <f>VLOOKUP(A984,Jogos!A:N,10,0)</f>
        <v>Afternoon</v>
      </c>
      <c r="G984" s="11" t="s">
        <v>312</v>
      </c>
      <c r="H984" s="6" t="str">
        <f>VLOOKUP(A984,Jogos!A:L,12,0)</f>
        <v>Open</v>
      </c>
      <c r="I984" s="6" t="str">
        <f>VLOOKUP(G984,'Estádios e Cidades'!A:B,2,0)</f>
        <v>Seatte</v>
      </c>
      <c r="J984" s="11" t="s">
        <v>187</v>
      </c>
      <c r="K984" s="2" t="str">
        <f>VLOOKUP(J984,Equipes!A:F,6,0)</f>
        <v>Temperate</v>
      </c>
      <c r="L984" s="2">
        <f>VLOOKUP(J984,Equipes!A:C,3,0)</f>
        <v>2</v>
      </c>
      <c r="M984" s="2" t="str">
        <f t="shared" si="4"/>
        <v>Final</v>
      </c>
      <c r="N984" s="11" t="s">
        <v>314</v>
      </c>
      <c r="O984" s="2">
        <f>VLOOKUP(N984,Equipes!A:C,3,0)</f>
        <v>29</v>
      </c>
      <c r="P984" s="2" t="str">
        <f t="shared" si="5"/>
        <v>Group</v>
      </c>
      <c r="Q984" s="2">
        <f t="shared" si="6"/>
        <v>-27</v>
      </c>
      <c r="R984" s="2" t="str">
        <f>VLOOKUP(J984,Equipes!A:B,2,0)</f>
        <v>PSG</v>
      </c>
      <c r="S984" s="6" t="s">
        <v>217</v>
      </c>
      <c r="T984" s="7">
        <v>49.0</v>
      </c>
      <c r="U984" s="7" t="s">
        <v>218</v>
      </c>
      <c r="V984" s="7" t="str">
        <f>VLOOKUP(U984,Jogadores!B:C,2,0)</f>
        <v>FW</v>
      </c>
      <c r="W984" s="8">
        <f>VLOOKUP(U984,Jogadores!B:D,3,0)</f>
        <v>17.52054795</v>
      </c>
      <c r="X984" s="7">
        <v>83.0</v>
      </c>
      <c r="Y984" s="7">
        <f t="shared" si="3067"/>
        <v>95</v>
      </c>
      <c r="Z984" s="7">
        <f>VLOOKUP(A984,Jogos!A:L,3,0)</f>
        <v>46</v>
      </c>
      <c r="AA984" s="7">
        <f t="shared" si="2229"/>
        <v>0</v>
      </c>
      <c r="AB984" s="7">
        <f>VLOOKUP(A984,Jogos!A:L,4,0)</f>
        <v>50</v>
      </c>
      <c r="AC984" s="7">
        <f t="shared" si="2230"/>
        <v>12</v>
      </c>
      <c r="AD984" s="7"/>
      <c r="AE984" s="7"/>
      <c r="AF984" s="7">
        <f t="shared" si="2231"/>
        <v>12</v>
      </c>
      <c r="AG984" s="7">
        <v>1530.0</v>
      </c>
      <c r="AH984" s="7">
        <v>506.4</v>
      </c>
      <c r="AI984" s="7">
        <v>580.6</v>
      </c>
      <c r="AJ984" s="7">
        <v>254.6</v>
      </c>
      <c r="AK984" s="7">
        <v>133.3</v>
      </c>
      <c r="AL984" s="7">
        <v>55.0</v>
      </c>
      <c r="AM984" s="7">
        <v>24.0</v>
      </c>
      <c r="AN984" s="7">
        <v>12.0</v>
      </c>
      <c r="AO984" s="7">
        <v>32.1</v>
      </c>
      <c r="AP984" s="9">
        <f t="shared" ref="AP984:AR984" si="3074">AG984/$AF984</f>
        <v>127.5</v>
      </c>
      <c r="AQ984" s="9">
        <f t="shared" si="3074"/>
        <v>42.2</v>
      </c>
      <c r="AR984" s="9">
        <f t="shared" si="3074"/>
        <v>48.38333333</v>
      </c>
      <c r="AS984" s="9">
        <f t="shared" si="2233"/>
        <v>90.58333333</v>
      </c>
      <c r="AT984" s="9">
        <f t="shared" ref="AT984:AV984" si="3075">AJ984/$AF984</f>
        <v>21.21666667</v>
      </c>
      <c r="AU984" s="9">
        <f t="shared" si="3075"/>
        <v>11.10833333</v>
      </c>
      <c r="AV984" s="9">
        <f t="shared" si="3075"/>
        <v>4.583333333</v>
      </c>
      <c r="AW984" s="9">
        <f t="shared" si="2235"/>
        <v>15.69166667</v>
      </c>
      <c r="AX984" s="9">
        <f t="shared" ref="AX984:AY984" si="3076">AM984/$AF984</f>
        <v>2</v>
      </c>
      <c r="AY984" s="9">
        <f t="shared" si="3076"/>
        <v>1</v>
      </c>
      <c r="AZ984" s="9">
        <f>VLOOKUP(A984,Jogos!A:BN,58,0)</f>
        <v>20.55</v>
      </c>
      <c r="BA984" s="9">
        <f>VLOOKUP(A984,Jogos!A:BN,59,0)</f>
        <v>11.995</v>
      </c>
      <c r="BB984" s="9">
        <f>VLOOKUP(A984,Jogos!A:BN,60,0)</f>
        <v>57.5</v>
      </c>
      <c r="BC984" s="9">
        <f>VLOOKUP(A984,Jogos!A:BN,61,0)</f>
        <v>17.85</v>
      </c>
      <c r="BD984" s="9">
        <f>VLOOKUP(A984,Jogos!A:BN,62,0)</f>
        <v>845.5</v>
      </c>
      <c r="BE984" s="9">
        <f>VLOOKUP(A984,Jogos!A:BN,63,0)</f>
        <v>1.05</v>
      </c>
      <c r="BF984" s="9">
        <f>VLOOKUP(A984,Jogos!A:BN,64,0)</f>
        <v>18.05</v>
      </c>
      <c r="BG984" s="9">
        <f>VLOOKUP(A984,Jogos!A:BN,65,0)</f>
        <v>32.02</v>
      </c>
      <c r="BH984" s="9">
        <f>VLOOKUP(A984,Jogos!A:BN,66,0)</f>
        <v>21.095</v>
      </c>
      <c r="BI984" s="9"/>
      <c r="BJ984" s="9"/>
    </row>
    <row r="985" hidden="1">
      <c r="A985" s="2">
        <v>34.0</v>
      </c>
      <c r="B985" s="11" t="s">
        <v>185</v>
      </c>
      <c r="C985" s="2" t="s">
        <v>61</v>
      </c>
      <c r="D985" s="3">
        <v>45831.0</v>
      </c>
      <c r="E985" s="4">
        <v>0.5</v>
      </c>
      <c r="F985" s="5" t="str">
        <f>VLOOKUP(A985,Jogos!A:N,10,0)</f>
        <v>Afternoon</v>
      </c>
      <c r="G985" s="2" t="s">
        <v>186</v>
      </c>
      <c r="H985" s="6" t="str">
        <f>VLOOKUP(A985,Jogos!A:L,12,0)</f>
        <v>Open</v>
      </c>
      <c r="I985" s="6" t="str">
        <f>VLOOKUP(G985,'Estádios e Cidades'!A:B,2,0)</f>
        <v>Pasadena</v>
      </c>
      <c r="J985" s="2" t="s">
        <v>188</v>
      </c>
      <c r="K985" s="2" t="str">
        <f>VLOOKUP(J985,Equipes!A:F,6,0)</f>
        <v>Temperate</v>
      </c>
      <c r="L985" s="2">
        <f>VLOOKUP(J985,Equipes!A:C,3,0)</f>
        <v>17</v>
      </c>
      <c r="M985" s="2" t="str">
        <f t="shared" si="4"/>
        <v>Group</v>
      </c>
      <c r="N985" s="2" t="s">
        <v>313</v>
      </c>
      <c r="O985" s="2">
        <f>VLOOKUP(N985,Equipes!A:C,3,0)</f>
        <v>14</v>
      </c>
      <c r="P985" s="2" t="str">
        <f t="shared" si="5"/>
        <v>Round of 16</v>
      </c>
      <c r="Q985" s="2">
        <f t="shared" si="6"/>
        <v>3</v>
      </c>
      <c r="R985" s="2" t="str">
        <f>VLOOKUP(J985,Equipes!A:B,2,0)</f>
        <v>Atletico</v>
      </c>
      <c r="S985" s="6" t="s">
        <v>239</v>
      </c>
      <c r="T985" s="7">
        <v>4.0</v>
      </c>
      <c r="U985" s="7" t="s">
        <v>240</v>
      </c>
      <c r="V985" s="7" t="str">
        <f>VLOOKUP(U985,Jogadores!B:C,2,0)</f>
        <v>MF</v>
      </c>
      <c r="W985" s="8">
        <f>VLOOKUP(U985,Jogadores!B:D,3,0)</f>
        <v>25.49041096</v>
      </c>
      <c r="X985" s="7">
        <v>0.0</v>
      </c>
      <c r="Y985" s="7">
        <v>45.0</v>
      </c>
      <c r="Z985" s="7">
        <f>VLOOKUP(A985,Jogos!A:L,3,0)</f>
        <v>52</v>
      </c>
      <c r="AA985" s="7">
        <f t="shared" si="2229"/>
        <v>52</v>
      </c>
      <c r="AB985" s="7">
        <f>VLOOKUP(A985,Jogos!A:L,4,0)</f>
        <v>51</v>
      </c>
      <c r="AC985" s="7">
        <f t="shared" si="2230"/>
        <v>0</v>
      </c>
      <c r="AD985" s="7"/>
      <c r="AE985" s="7"/>
      <c r="AF985" s="7">
        <f t="shared" si="2231"/>
        <v>52</v>
      </c>
      <c r="AG985" s="7">
        <v>6330.9</v>
      </c>
      <c r="AH985" s="7">
        <v>1716.8</v>
      </c>
      <c r="AI985" s="7">
        <v>2913.2</v>
      </c>
      <c r="AJ985" s="7">
        <v>1214.8</v>
      </c>
      <c r="AK985" s="7">
        <v>395.9</v>
      </c>
      <c r="AL985" s="7">
        <v>90.1</v>
      </c>
      <c r="AM985" s="7">
        <v>100.0</v>
      </c>
      <c r="AN985" s="7">
        <v>31.0</v>
      </c>
      <c r="AO985" s="7">
        <v>28.3</v>
      </c>
      <c r="AP985" s="9">
        <f t="shared" ref="AP985:AR985" si="3077">AG985/$AF985</f>
        <v>121.7480769</v>
      </c>
      <c r="AQ985" s="9">
        <f t="shared" si="3077"/>
        <v>33.01538462</v>
      </c>
      <c r="AR985" s="9">
        <f t="shared" si="3077"/>
        <v>56.02307692</v>
      </c>
      <c r="AS985" s="9">
        <f t="shared" si="2233"/>
        <v>89.03846154</v>
      </c>
      <c r="AT985" s="9">
        <f t="shared" ref="AT985:AV985" si="3078">AJ985/$AF985</f>
        <v>23.36153846</v>
      </c>
      <c r="AU985" s="9">
        <f t="shared" si="3078"/>
        <v>7.613461538</v>
      </c>
      <c r="AV985" s="9">
        <f t="shared" si="3078"/>
        <v>1.732692308</v>
      </c>
      <c r="AW985" s="9">
        <f t="shared" si="2235"/>
        <v>9.346153846</v>
      </c>
      <c r="AX985" s="9">
        <f t="shared" ref="AX985:AY985" si="3079">AM985/$AF985</f>
        <v>1.923076923</v>
      </c>
      <c r="AY985" s="9">
        <f t="shared" si="3079"/>
        <v>0.5961538462</v>
      </c>
      <c r="AZ985" s="9">
        <f>VLOOKUP(A985,Jogos!A:BN,58,0)</f>
        <v>24.19</v>
      </c>
      <c r="BA985" s="9">
        <f>VLOOKUP(A985,Jogos!A:BN,59,0)</f>
        <v>10.305</v>
      </c>
      <c r="BB985" s="9">
        <f>VLOOKUP(A985,Jogos!A:BN,60,0)</f>
        <v>41</v>
      </c>
      <c r="BC985" s="9">
        <f>VLOOKUP(A985,Jogos!A:BN,61,0)</f>
        <v>21.995</v>
      </c>
      <c r="BD985" s="9">
        <f>VLOOKUP(A985,Jogos!A:BN,62,0)</f>
        <v>1019.65</v>
      </c>
      <c r="BE985" s="9">
        <f>VLOOKUP(A985,Jogos!A:BN,63,0)</f>
        <v>2.585</v>
      </c>
      <c r="BF985" s="9">
        <f>VLOOKUP(A985,Jogos!A:BN,64,0)</f>
        <v>18.23</v>
      </c>
      <c r="BG985" s="9">
        <f>VLOOKUP(A985,Jogos!A:BN,65,0)</f>
        <v>34.07</v>
      </c>
      <c r="BH985" s="9">
        <f>VLOOKUP(A985,Jogos!A:BN,66,0)</f>
        <v>21.99</v>
      </c>
      <c r="BI985" s="9"/>
      <c r="BJ985" s="9"/>
    </row>
    <row r="986" hidden="1">
      <c r="A986" s="2">
        <v>34.0</v>
      </c>
      <c r="B986" s="11" t="s">
        <v>185</v>
      </c>
      <c r="C986" s="2" t="s">
        <v>61</v>
      </c>
      <c r="D986" s="3">
        <v>45831.0</v>
      </c>
      <c r="E986" s="4">
        <v>0.5</v>
      </c>
      <c r="F986" s="5" t="str">
        <f>VLOOKUP(A986,Jogos!A:N,10,0)</f>
        <v>Afternoon</v>
      </c>
      <c r="G986" s="2" t="s">
        <v>186</v>
      </c>
      <c r="H986" s="6" t="str">
        <f>VLOOKUP(A986,Jogos!A:L,12,0)</f>
        <v>Open</v>
      </c>
      <c r="I986" s="6" t="str">
        <f>VLOOKUP(G986,'Estádios e Cidades'!A:B,2,0)</f>
        <v>Pasadena</v>
      </c>
      <c r="J986" s="2" t="s">
        <v>188</v>
      </c>
      <c r="K986" s="2" t="str">
        <f>VLOOKUP(J986,Equipes!A:F,6,0)</f>
        <v>Temperate</v>
      </c>
      <c r="L986" s="2">
        <f>VLOOKUP(J986,Equipes!A:C,3,0)</f>
        <v>17</v>
      </c>
      <c r="M986" s="2" t="str">
        <f t="shared" si="4"/>
        <v>Group</v>
      </c>
      <c r="N986" s="2" t="s">
        <v>313</v>
      </c>
      <c r="O986" s="2">
        <f>VLOOKUP(N986,Equipes!A:C,3,0)</f>
        <v>14</v>
      </c>
      <c r="P986" s="2" t="str">
        <f t="shared" si="5"/>
        <v>Round of 16</v>
      </c>
      <c r="Q986" s="2">
        <f t="shared" si="6"/>
        <v>3</v>
      </c>
      <c r="R986" s="2" t="str">
        <f>VLOOKUP(J986,Equipes!A:B,2,0)</f>
        <v>Atletico</v>
      </c>
      <c r="S986" s="6" t="s">
        <v>219</v>
      </c>
      <c r="T986" s="7">
        <v>5.0</v>
      </c>
      <c r="U986" s="7" t="s">
        <v>220</v>
      </c>
      <c r="V986" s="7" t="str">
        <f>VLOOKUP(U986,Jogadores!B:C,2,0)</f>
        <v>MF</v>
      </c>
      <c r="W986" s="8">
        <f>VLOOKUP(U986,Jogadores!B:D,3,0)</f>
        <v>31.2</v>
      </c>
      <c r="X986" s="7">
        <v>0.0</v>
      </c>
      <c r="Y986" s="7">
        <v>65.0</v>
      </c>
      <c r="Z986" s="7">
        <f>VLOOKUP(A986,Jogos!A:L,3,0)</f>
        <v>52</v>
      </c>
      <c r="AA986" s="7">
        <f t="shared" si="2229"/>
        <v>52</v>
      </c>
      <c r="AB986" s="7">
        <f>VLOOKUP(A986,Jogos!A:L,4,0)</f>
        <v>51</v>
      </c>
      <c r="AC986" s="7">
        <f t="shared" si="2230"/>
        <v>20</v>
      </c>
      <c r="AD986" s="7"/>
      <c r="AE986" s="7"/>
      <c r="AF986" s="7">
        <f t="shared" si="2231"/>
        <v>72</v>
      </c>
      <c r="AG986" s="7">
        <v>7863.7</v>
      </c>
      <c r="AH986" s="7">
        <v>3035.2</v>
      </c>
      <c r="AI986" s="7">
        <v>3127.3</v>
      </c>
      <c r="AJ986" s="7">
        <v>1128.9</v>
      </c>
      <c r="AK986" s="7">
        <v>481.4</v>
      </c>
      <c r="AL986" s="7">
        <v>90.9</v>
      </c>
      <c r="AM986" s="7">
        <v>93.0</v>
      </c>
      <c r="AN986" s="7">
        <v>38.0</v>
      </c>
      <c r="AO986" s="7">
        <v>32.7</v>
      </c>
      <c r="AP986" s="9">
        <f t="shared" ref="AP986:AR986" si="3080">AG986/$AF986</f>
        <v>109.2180556</v>
      </c>
      <c r="AQ986" s="9">
        <f t="shared" si="3080"/>
        <v>42.15555556</v>
      </c>
      <c r="AR986" s="9">
        <f t="shared" si="3080"/>
        <v>43.43472222</v>
      </c>
      <c r="AS986" s="9">
        <f t="shared" si="2233"/>
        <v>85.59027778</v>
      </c>
      <c r="AT986" s="9">
        <f t="shared" ref="AT986:AV986" si="3081">AJ986/$AF986</f>
        <v>15.67916667</v>
      </c>
      <c r="AU986" s="9">
        <f t="shared" si="3081"/>
        <v>6.686111111</v>
      </c>
      <c r="AV986" s="9">
        <f t="shared" si="3081"/>
        <v>1.2625</v>
      </c>
      <c r="AW986" s="9">
        <f t="shared" si="2235"/>
        <v>7.948611111</v>
      </c>
      <c r="AX986" s="9">
        <f t="shared" ref="AX986:AY986" si="3082">AM986/$AF986</f>
        <v>1.291666667</v>
      </c>
      <c r="AY986" s="9">
        <f t="shared" si="3082"/>
        <v>0.5277777778</v>
      </c>
      <c r="AZ986" s="9">
        <f>VLOOKUP(A986,Jogos!A:BN,58,0)</f>
        <v>24.19</v>
      </c>
      <c r="BA986" s="9">
        <f>VLOOKUP(A986,Jogos!A:BN,59,0)</f>
        <v>10.305</v>
      </c>
      <c r="BB986" s="9">
        <f>VLOOKUP(A986,Jogos!A:BN,60,0)</f>
        <v>41</v>
      </c>
      <c r="BC986" s="9">
        <f>VLOOKUP(A986,Jogos!A:BN,61,0)</f>
        <v>21.995</v>
      </c>
      <c r="BD986" s="9">
        <f>VLOOKUP(A986,Jogos!A:BN,62,0)</f>
        <v>1019.65</v>
      </c>
      <c r="BE986" s="9">
        <f>VLOOKUP(A986,Jogos!A:BN,63,0)</f>
        <v>2.585</v>
      </c>
      <c r="BF986" s="9">
        <f>VLOOKUP(A986,Jogos!A:BN,64,0)</f>
        <v>18.23</v>
      </c>
      <c r="BG986" s="9">
        <f>VLOOKUP(A986,Jogos!A:BN,65,0)</f>
        <v>34.07</v>
      </c>
      <c r="BH986" s="9">
        <f>VLOOKUP(A986,Jogos!A:BN,66,0)</f>
        <v>21.99</v>
      </c>
      <c r="BI986" s="9"/>
      <c r="BJ986" s="9"/>
    </row>
    <row r="987" hidden="1">
      <c r="A987" s="2">
        <v>34.0</v>
      </c>
      <c r="B987" s="11" t="s">
        <v>185</v>
      </c>
      <c r="C987" s="2" t="s">
        <v>61</v>
      </c>
      <c r="D987" s="3">
        <v>45831.0</v>
      </c>
      <c r="E987" s="4">
        <v>0.5</v>
      </c>
      <c r="F987" s="5" t="str">
        <f>VLOOKUP(A987,Jogos!A:N,10,0)</f>
        <v>Afternoon</v>
      </c>
      <c r="G987" s="2" t="s">
        <v>186</v>
      </c>
      <c r="H987" s="6" t="str">
        <f>VLOOKUP(A987,Jogos!A:L,12,0)</f>
        <v>Open</v>
      </c>
      <c r="I987" s="6" t="str">
        <f>VLOOKUP(G987,'Estádios e Cidades'!A:B,2,0)</f>
        <v>Pasadena</v>
      </c>
      <c r="J987" s="2" t="s">
        <v>188</v>
      </c>
      <c r="K987" s="2" t="str">
        <f>VLOOKUP(J987,Equipes!A:F,6,0)</f>
        <v>Temperate</v>
      </c>
      <c r="L987" s="2">
        <f>VLOOKUP(J987,Equipes!A:C,3,0)</f>
        <v>17</v>
      </c>
      <c r="M987" s="2" t="str">
        <f t="shared" si="4"/>
        <v>Group</v>
      </c>
      <c r="N987" s="2" t="s">
        <v>313</v>
      </c>
      <c r="O987" s="2">
        <f>VLOOKUP(N987,Equipes!A:C,3,0)</f>
        <v>14</v>
      </c>
      <c r="P987" s="2" t="str">
        <f t="shared" si="5"/>
        <v>Round of 16</v>
      </c>
      <c r="Q987" s="2">
        <f t="shared" si="6"/>
        <v>3</v>
      </c>
      <c r="R987" s="2" t="str">
        <f>VLOOKUP(J987,Equipes!A:B,2,0)</f>
        <v>Atletico</v>
      </c>
      <c r="S987" s="6" t="s">
        <v>223</v>
      </c>
      <c r="T987" s="7">
        <v>8.0</v>
      </c>
      <c r="U987" s="7" t="s">
        <v>224</v>
      </c>
      <c r="V987" s="7" t="str">
        <f>VLOOKUP(U987,Jogadores!B:C,2,0)</f>
        <v>MF</v>
      </c>
      <c r="W987" s="8">
        <f>VLOOKUP(U987,Jogadores!B:D,3,0)</f>
        <v>22.13424658</v>
      </c>
      <c r="X987" s="7">
        <v>0.0</v>
      </c>
      <c r="Y987" s="7">
        <v>84.0</v>
      </c>
      <c r="Z987" s="7">
        <f>VLOOKUP(A987,Jogos!A:L,3,0)</f>
        <v>52</v>
      </c>
      <c r="AA987" s="7">
        <f t="shared" si="2229"/>
        <v>52</v>
      </c>
      <c r="AB987" s="7">
        <f>VLOOKUP(A987,Jogos!A:L,4,0)</f>
        <v>51</v>
      </c>
      <c r="AC987" s="7">
        <f t="shared" si="2230"/>
        <v>39</v>
      </c>
      <c r="AD987" s="7"/>
      <c r="AE987" s="7"/>
      <c r="AF987" s="7">
        <f t="shared" si="2231"/>
        <v>91</v>
      </c>
      <c r="AG987" s="7">
        <v>10488.8</v>
      </c>
      <c r="AH987" s="7">
        <v>3296.4</v>
      </c>
      <c r="AI987" s="7">
        <v>4416.3</v>
      </c>
      <c r="AJ987" s="7">
        <v>1798.0</v>
      </c>
      <c r="AK987" s="7">
        <v>720.5</v>
      </c>
      <c r="AL987" s="7">
        <v>257.7</v>
      </c>
      <c r="AM987" s="7">
        <v>153.0</v>
      </c>
      <c r="AN987" s="7">
        <v>60.0</v>
      </c>
      <c r="AO987" s="7">
        <v>34.7</v>
      </c>
      <c r="AP987" s="9">
        <f t="shared" ref="AP987:AR987" si="3083">AG987/$AF987</f>
        <v>115.2615385</v>
      </c>
      <c r="AQ987" s="9">
        <f t="shared" si="3083"/>
        <v>36.22417582</v>
      </c>
      <c r="AR987" s="9">
        <f t="shared" si="3083"/>
        <v>48.53076923</v>
      </c>
      <c r="AS987" s="9">
        <f t="shared" si="2233"/>
        <v>84.75494505</v>
      </c>
      <c r="AT987" s="9">
        <f t="shared" ref="AT987:AV987" si="3084">AJ987/$AF987</f>
        <v>19.75824176</v>
      </c>
      <c r="AU987" s="9">
        <f t="shared" si="3084"/>
        <v>7.917582418</v>
      </c>
      <c r="AV987" s="9">
        <f t="shared" si="3084"/>
        <v>2.831868132</v>
      </c>
      <c r="AW987" s="9">
        <f t="shared" si="2235"/>
        <v>10.74945055</v>
      </c>
      <c r="AX987" s="9">
        <f t="shared" ref="AX987:AY987" si="3085">AM987/$AF987</f>
        <v>1.681318681</v>
      </c>
      <c r="AY987" s="9">
        <f t="shared" si="3085"/>
        <v>0.6593406593</v>
      </c>
      <c r="AZ987" s="9">
        <f>VLOOKUP(A987,Jogos!A:BN,58,0)</f>
        <v>24.19</v>
      </c>
      <c r="BA987" s="9">
        <f>VLOOKUP(A987,Jogos!A:BN,59,0)</f>
        <v>10.305</v>
      </c>
      <c r="BB987" s="9">
        <f>VLOOKUP(A987,Jogos!A:BN,60,0)</f>
        <v>41</v>
      </c>
      <c r="BC987" s="9">
        <f>VLOOKUP(A987,Jogos!A:BN,61,0)</f>
        <v>21.995</v>
      </c>
      <c r="BD987" s="9">
        <f>VLOOKUP(A987,Jogos!A:BN,62,0)</f>
        <v>1019.65</v>
      </c>
      <c r="BE987" s="9">
        <f>VLOOKUP(A987,Jogos!A:BN,63,0)</f>
        <v>2.585</v>
      </c>
      <c r="BF987" s="9">
        <f>VLOOKUP(A987,Jogos!A:BN,64,0)</f>
        <v>18.23</v>
      </c>
      <c r="BG987" s="9">
        <f>VLOOKUP(A987,Jogos!A:BN,65,0)</f>
        <v>34.07</v>
      </c>
      <c r="BH987" s="9">
        <f>VLOOKUP(A987,Jogos!A:BN,66,0)</f>
        <v>21.99</v>
      </c>
      <c r="BI987" s="9"/>
      <c r="BJ987" s="9"/>
    </row>
    <row r="988" hidden="1">
      <c r="A988" s="2">
        <v>34.0</v>
      </c>
      <c r="B988" s="11" t="s">
        <v>185</v>
      </c>
      <c r="C988" s="2" t="s">
        <v>61</v>
      </c>
      <c r="D988" s="3">
        <v>45831.0</v>
      </c>
      <c r="E988" s="4">
        <v>0.5</v>
      </c>
      <c r="F988" s="5" t="str">
        <f>VLOOKUP(A988,Jogos!A:N,10,0)</f>
        <v>Afternoon</v>
      </c>
      <c r="G988" s="2" t="s">
        <v>186</v>
      </c>
      <c r="H988" s="6" t="str">
        <f>VLOOKUP(A988,Jogos!A:L,12,0)</f>
        <v>Open</v>
      </c>
      <c r="I988" s="6" t="str">
        <f>VLOOKUP(G988,'Estádios e Cidades'!A:B,2,0)</f>
        <v>Pasadena</v>
      </c>
      <c r="J988" s="2" t="s">
        <v>188</v>
      </c>
      <c r="K988" s="2" t="str">
        <f>VLOOKUP(J988,Equipes!A:F,6,0)</f>
        <v>Temperate</v>
      </c>
      <c r="L988" s="2">
        <f>VLOOKUP(J988,Equipes!A:C,3,0)</f>
        <v>17</v>
      </c>
      <c r="M988" s="2" t="str">
        <f t="shared" si="4"/>
        <v>Group</v>
      </c>
      <c r="N988" s="2" t="s">
        <v>313</v>
      </c>
      <c r="O988" s="2">
        <f>VLOOKUP(N988,Equipes!A:C,3,0)</f>
        <v>14</v>
      </c>
      <c r="P988" s="2" t="str">
        <f t="shared" si="5"/>
        <v>Round of 16</v>
      </c>
      <c r="Q988" s="2">
        <f t="shared" si="6"/>
        <v>3</v>
      </c>
      <c r="R988" s="2" t="str">
        <f>VLOOKUP(J988,Equipes!A:B,2,0)</f>
        <v>Atletico</v>
      </c>
      <c r="S988" s="6" t="s">
        <v>243</v>
      </c>
      <c r="T988" s="7">
        <v>9.0</v>
      </c>
      <c r="U988" s="7" t="s">
        <v>244</v>
      </c>
      <c r="V988" s="7" t="str">
        <f>VLOOKUP(U988,Jogadores!B:C,2,0)</f>
        <v>FW</v>
      </c>
      <c r="W988" s="8">
        <f>VLOOKUP(U988,Jogadores!B:D,3,0)</f>
        <v>29.66575342</v>
      </c>
      <c r="X988" s="7">
        <v>0.0</v>
      </c>
      <c r="Y988" s="7">
        <v>84.0</v>
      </c>
      <c r="Z988" s="7">
        <f>VLOOKUP(A988,Jogos!A:L,3,0)</f>
        <v>52</v>
      </c>
      <c r="AA988" s="7">
        <f t="shared" si="2229"/>
        <v>52</v>
      </c>
      <c r="AB988" s="7">
        <f>VLOOKUP(A988,Jogos!A:L,4,0)</f>
        <v>51</v>
      </c>
      <c r="AC988" s="7">
        <f t="shared" si="2230"/>
        <v>39</v>
      </c>
      <c r="AD988" s="7"/>
      <c r="AE988" s="7"/>
      <c r="AF988" s="7">
        <f t="shared" si="2231"/>
        <v>91</v>
      </c>
      <c r="AG988" s="7">
        <v>9366.9</v>
      </c>
      <c r="AH988" s="7">
        <v>3423.4</v>
      </c>
      <c r="AI988" s="7">
        <v>3925.1</v>
      </c>
      <c r="AJ988" s="7">
        <v>1433.6</v>
      </c>
      <c r="AK988" s="7">
        <v>487.3</v>
      </c>
      <c r="AL988" s="7">
        <v>97.4</v>
      </c>
      <c r="AM988" s="7">
        <v>129.0</v>
      </c>
      <c r="AN988" s="7">
        <v>39.0</v>
      </c>
      <c r="AO988" s="7">
        <v>32.2</v>
      </c>
      <c r="AP988" s="9">
        <f t="shared" ref="AP988:AR988" si="3086">AG988/$AF988</f>
        <v>102.932967</v>
      </c>
      <c r="AQ988" s="9">
        <f t="shared" si="3086"/>
        <v>37.61978022</v>
      </c>
      <c r="AR988" s="9">
        <f t="shared" si="3086"/>
        <v>43.13296703</v>
      </c>
      <c r="AS988" s="9">
        <f t="shared" si="2233"/>
        <v>80.75274725</v>
      </c>
      <c r="AT988" s="9">
        <f t="shared" ref="AT988:AV988" si="3087">AJ988/$AF988</f>
        <v>15.75384615</v>
      </c>
      <c r="AU988" s="9">
        <f t="shared" si="3087"/>
        <v>5.354945055</v>
      </c>
      <c r="AV988" s="9">
        <f t="shared" si="3087"/>
        <v>1.07032967</v>
      </c>
      <c r="AW988" s="9">
        <f t="shared" si="2235"/>
        <v>6.425274725</v>
      </c>
      <c r="AX988" s="9">
        <f t="shared" ref="AX988:AY988" si="3088">AM988/$AF988</f>
        <v>1.417582418</v>
      </c>
      <c r="AY988" s="9">
        <f t="shared" si="3088"/>
        <v>0.4285714286</v>
      </c>
      <c r="AZ988" s="9">
        <f>VLOOKUP(A988,Jogos!A:BN,58,0)</f>
        <v>24.19</v>
      </c>
      <c r="BA988" s="9">
        <f>VLOOKUP(A988,Jogos!A:BN,59,0)</f>
        <v>10.305</v>
      </c>
      <c r="BB988" s="9">
        <f>VLOOKUP(A988,Jogos!A:BN,60,0)</f>
        <v>41</v>
      </c>
      <c r="BC988" s="9">
        <f>VLOOKUP(A988,Jogos!A:BN,61,0)</f>
        <v>21.995</v>
      </c>
      <c r="BD988" s="9">
        <f>VLOOKUP(A988,Jogos!A:BN,62,0)</f>
        <v>1019.65</v>
      </c>
      <c r="BE988" s="9">
        <f>VLOOKUP(A988,Jogos!A:BN,63,0)</f>
        <v>2.585</v>
      </c>
      <c r="BF988" s="9">
        <f>VLOOKUP(A988,Jogos!A:BN,64,0)</f>
        <v>18.23</v>
      </c>
      <c r="BG988" s="9">
        <f>VLOOKUP(A988,Jogos!A:BN,65,0)</f>
        <v>34.07</v>
      </c>
      <c r="BH988" s="9">
        <f>VLOOKUP(A988,Jogos!A:BN,66,0)</f>
        <v>21.99</v>
      </c>
      <c r="BI988" s="9"/>
      <c r="BJ988" s="9"/>
    </row>
    <row r="989" hidden="1">
      <c r="A989" s="2">
        <v>34.0</v>
      </c>
      <c r="B989" s="11" t="s">
        <v>185</v>
      </c>
      <c r="C989" s="2" t="s">
        <v>61</v>
      </c>
      <c r="D989" s="3">
        <v>45831.0</v>
      </c>
      <c r="E989" s="4">
        <v>0.5</v>
      </c>
      <c r="F989" s="5" t="str">
        <f>VLOOKUP(A989,Jogos!A:N,10,0)</f>
        <v>Afternoon</v>
      </c>
      <c r="G989" s="2" t="s">
        <v>186</v>
      </c>
      <c r="H989" s="6" t="str">
        <f>VLOOKUP(A989,Jogos!A:L,12,0)</f>
        <v>Open</v>
      </c>
      <c r="I989" s="6" t="str">
        <f>VLOOKUP(G989,'Estádios e Cidades'!A:B,2,0)</f>
        <v>Pasadena</v>
      </c>
      <c r="J989" s="2" t="s">
        <v>188</v>
      </c>
      <c r="K989" s="2" t="str">
        <f>VLOOKUP(J989,Equipes!A:F,6,0)</f>
        <v>Temperate</v>
      </c>
      <c r="L989" s="2">
        <f>VLOOKUP(J989,Equipes!A:C,3,0)</f>
        <v>17</v>
      </c>
      <c r="M989" s="2" t="str">
        <f t="shared" si="4"/>
        <v>Group</v>
      </c>
      <c r="N989" s="2" t="s">
        <v>313</v>
      </c>
      <c r="O989" s="2">
        <f>VLOOKUP(N989,Equipes!A:C,3,0)</f>
        <v>14</v>
      </c>
      <c r="P989" s="2" t="str">
        <f t="shared" si="5"/>
        <v>Round of 16</v>
      </c>
      <c r="Q989" s="2">
        <f t="shared" si="6"/>
        <v>3</v>
      </c>
      <c r="R989" s="2" t="str">
        <f>VLOOKUP(J989,Equipes!A:B,2,0)</f>
        <v>Atletico</v>
      </c>
      <c r="S989" s="6" t="s">
        <v>227</v>
      </c>
      <c r="T989" s="7">
        <v>14.0</v>
      </c>
      <c r="U989" s="7" t="s">
        <v>228</v>
      </c>
      <c r="V989" s="7" t="str">
        <f>VLOOKUP(U989,Jogadores!B:C,2,0)</f>
        <v>MF</v>
      </c>
      <c r="W989" s="8">
        <f>VLOOKUP(U989,Jogadores!B:D,3,0)</f>
        <v>30.51232877</v>
      </c>
      <c r="X989" s="7">
        <v>0.0</v>
      </c>
      <c r="Y989" s="7">
        <f t="shared" ref="Y989:Y992" si="3092">45+AB989</f>
        <v>96</v>
      </c>
      <c r="Z989" s="7">
        <f>VLOOKUP(A989,Jogos!A:L,3,0)</f>
        <v>52</v>
      </c>
      <c r="AA989" s="7">
        <f t="shared" si="2229"/>
        <v>52</v>
      </c>
      <c r="AB989" s="7">
        <f>VLOOKUP(A989,Jogos!A:L,4,0)</f>
        <v>51</v>
      </c>
      <c r="AC989" s="7">
        <f t="shared" si="2230"/>
        <v>51</v>
      </c>
      <c r="AD989" s="7"/>
      <c r="AE989" s="7"/>
      <c r="AF989" s="7">
        <f t="shared" si="2231"/>
        <v>103</v>
      </c>
      <c r="AG989" s="7">
        <v>11077.2</v>
      </c>
      <c r="AH989" s="7">
        <v>4304.7</v>
      </c>
      <c r="AI989" s="7">
        <v>4385.4</v>
      </c>
      <c r="AJ989" s="7">
        <v>1152.2</v>
      </c>
      <c r="AK989" s="7">
        <v>797.1</v>
      </c>
      <c r="AL989" s="7">
        <v>437.8</v>
      </c>
      <c r="AM989" s="7">
        <v>118.0</v>
      </c>
      <c r="AN989" s="7">
        <v>62.0</v>
      </c>
      <c r="AO989" s="7">
        <v>34.3</v>
      </c>
      <c r="AP989" s="9">
        <f t="shared" ref="AP989:AR989" si="3089">AG989/$AF989</f>
        <v>107.5456311</v>
      </c>
      <c r="AQ989" s="9">
        <f t="shared" si="3089"/>
        <v>41.79320388</v>
      </c>
      <c r="AR989" s="9">
        <f t="shared" si="3089"/>
        <v>42.57669903</v>
      </c>
      <c r="AS989" s="9">
        <f t="shared" si="2233"/>
        <v>84.36990291</v>
      </c>
      <c r="AT989" s="9">
        <f t="shared" ref="AT989:AV989" si="3090">AJ989/$AF989</f>
        <v>11.18640777</v>
      </c>
      <c r="AU989" s="9">
        <f t="shared" si="3090"/>
        <v>7.738834951</v>
      </c>
      <c r="AV989" s="9">
        <f t="shared" si="3090"/>
        <v>4.250485437</v>
      </c>
      <c r="AW989" s="9">
        <f t="shared" si="2235"/>
        <v>11.98932039</v>
      </c>
      <c r="AX989" s="9">
        <f t="shared" ref="AX989:AY989" si="3091">AM989/$AF989</f>
        <v>1.145631068</v>
      </c>
      <c r="AY989" s="9">
        <f t="shared" si="3091"/>
        <v>0.6019417476</v>
      </c>
      <c r="AZ989" s="9">
        <f>VLOOKUP(A989,Jogos!A:BN,58,0)</f>
        <v>24.19</v>
      </c>
      <c r="BA989" s="9">
        <f>VLOOKUP(A989,Jogos!A:BN,59,0)</f>
        <v>10.305</v>
      </c>
      <c r="BB989" s="9">
        <f>VLOOKUP(A989,Jogos!A:BN,60,0)</f>
        <v>41</v>
      </c>
      <c r="BC989" s="9">
        <f>VLOOKUP(A989,Jogos!A:BN,61,0)</f>
        <v>21.995</v>
      </c>
      <c r="BD989" s="9">
        <f>VLOOKUP(A989,Jogos!A:BN,62,0)</f>
        <v>1019.65</v>
      </c>
      <c r="BE989" s="9">
        <f>VLOOKUP(A989,Jogos!A:BN,63,0)</f>
        <v>2.585</v>
      </c>
      <c r="BF989" s="9">
        <f>VLOOKUP(A989,Jogos!A:BN,64,0)</f>
        <v>18.23</v>
      </c>
      <c r="BG989" s="9">
        <f>VLOOKUP(A989,Jogos!A:BN,65,0)</f>
        <v>34.07</v>
      </c>
      <c r="BH989" s="9">
        <f>VLOOKUP(A989,Jogos!A:BN,66,0)</f>
        <v>21.99</v>
      </c>
      <c r="BI989" s="9"/>
      <c r="BJ989" s="9"/>
    </row>
    <row r="990" hidden="1">
      <c r="A990" s="2">
        <v>34.0</v>
      </c>
      <c r="B990" s="11" t="s">
        <v>185</v>
      </c>
      <c r="C990" s="2" t="s">
        <v>61</v>
      </c>
      <c r="D990" s="3">
        <v>45831.0</v>
      </c>
      <c r="E990" s="4">
        <v>0.5</v>
      </c>
      <c r="F990" s="5" t="str">
        <f>VLOOKUP(A990,Jogos!A:N,10,0)</f>
        <v>Afternoon</v>
      </c>
      <c r="G990" s="2" t="s">
        <v>186</v>
      </c>
      <c r="H990" s="6" t="str">
        <f>VLOOKUP(A990,Jogos!A:L,12,0)</f>
        <v>Open</v>
      </c>
      <c r="I990" s="6" t="str">
        <f>VLOOKUP(G990,'Estádios e Cidades'!A:B,2,0)</f>
        <v>Pasadena</v>
      </c>
      <c r="J990" s="2" t="s">
        <v>188</v>
      </c>
      <c r="K990" s="2" t="str">
        <f>VLOOKUP(J990,Equipes!A:F,6,0)</f>
        <v>Temperate</v>
      </c>
      <c r="L990" s="2">
        <f>VLOOKUP(J990,Equipes!A:C,3,0)</f>
        <v>17</v>
      </c>
      <c r="M990" s="2" t="str">
        <f t="shared" si="4"/>
        <v>Group</v>
      </c>
      <c r="N990" s="2" t="s">
        <v>313</v>
      </c>
      <c r="O990" s="2">
        <f>VLOOKUP(N990,Equipes!A:C,3,0)</f>
        <v>14</v>
      </c>
      <c r="P990" s="2" t="str">
        <f t="shared" si="5"/>
        <v>Round of 16</v>
      </c>
      <c r="Q990" s="2">
        <f t="shared" si="6"/>
        <v>3</v>
      </c>
      <c r="R990" s="2" t="str">
        <f>VLOOKUP(J990,Equipes!A:B,2,0)</f>
        <v>Atletico</v>
      </c>
      <c r="S990" s="6" t="s">
        <v>229</v>
      </c>
      <c r="T990" s="7">
        <v>15.0</v>
      </c>
      <c r="U990" s="7" t="s">
        <v>230</v>
      </c>
      <c r="V990" s="7" t="str">
        <f>VLOOKUP(U990,Jogadores!B:C,2,0)</f>
        <v>DF</v>
      </c>
      <c r="W990" s="8">
        <f>VLOOKUP(U990,Jogadores!B:D,3,0)</f>
        <v>30.13424658</v>
      </c>
      <c r="X990" s="7">
        <v>0.0</v>
      </c>
      <c r="Y990" s="7">
        <f t="shared" si="3092"/>
        <v>96</v>
      </c>
      <c r="Z990" s="7">
        <f>VLOOKUP(A990,Jogos!A:L,3,0)</f>
        <v>52</v>
      </c>
      <c r="AA990" s="7">
        <f t="shared" si="2229"/>
        <v>52</v>
      </c>
      <c r="AB990" s="7">
        <f>VLOOKUP(A990,Jogos!A:L,4,0)</f>
        <v>51</v>
      </c>
      <c r="AC990" s="7">
        <f t="shared" si="2230"/>
        <v>51</v>
      </c>
      <c r="AD990" s="7"/>
      <c r="AE990" s="7"/>
      <c r="AF990" s="7">
        <f t="shared" si="2231"/>
        <v>103</v>
      </c>
      <c r="AG990" s="7">
        <v>11287.7</v>
      </c>
      <c r="AH990" s="7">
        <v>3959.1</v>
      </c>
      <c r="AI990" s="7">
        <v>4776.8</v>
      </c>
      <c r="AJ990" s="7">
        <v>1640.3</v>
      </c>
      <c r="AK990" s="7">
        <v>725.9</v>
      </c>
      <c r="AL990" s="7">
        <v>185.6</v>
      </c>
      <c r="AM990" s="7">
        <v>152.0</v>
      </c>
      <c r="AN990" s="7">
        <v>53.0</v>
      </c>
      <c r="AO990" s="7">
        <v>30.8</v>
      </c>
      <c r="AP990" s="9">
        <f t="shared" ref="AP990:AR990" si="3093">AG990/$AF990</f>
        <v>109.5893204</v>
      </c>
      <c r="AQ990" s="9">
        <f t="shared" si="3093"/>
        <v>38.43786408</v>
      </c>
      <c r="AR990" s="9">
        <f t="shared" si="3093"/>
        <v>46.37669903</v>
      </c>
      <c r="AS990" s="9">
        <f t="shared" si="2233"/>
        <v>84.81456311</v>
      </c>
      <c r="AT990" s="9">
        <f t="shared" ref="AT990:AV990" si="3094">AJ990/$AF990</f>
        <v>15.92524272</v>
      </c>
      <c r="AU990" s="9">
        <f t="shared" si="3094"/>
        <v>7.047572816</v>
      </c>
      <c r="AV990" s="9">
        <f t="shared" si="3094"/>
        <v>1.801941748</v>
      </c>
      <c r="AW990" s="9">
        <f t="shared" si="2235"/>
        <v>8.849514563</v>
      </c>
      <c r="AX990" s="9">
        <f t="shared" ref="AX990:AY990" si="3095">AM990/$AF990</f>
        <v>1.475728155</v>
      </c>
      <c r="AY990" s="9">
        <f t="shared" si="3095"/>
        <v>0.5145631068</v>
      </c>
      <c r="AZ990" s="9">
        <f>VLOOKUP(A990,Jogos!A:BN,58,0)</f>
        <v>24.19</v>
      </c>
      <c r="BA990" s="9">
        <f>VLOOKUP(A990,Jogos!A:BN,59,0)</f>
        <v>10.305</v>
      </c>
      <c r="BB990" s="9">
        <f>VLOOKUP(A990,Jogos!A:BN,60,0)</f>
        <v>41</v>
      </c>
      <c r="BC990" s="9">
        <f>VLOOKUP(A990,Jogos!A:BN,61,0)</f>
        <v>21.995</v>
      </c>
      <c r="BD990" s="9">
        <f>VLOOKUP(A990,Jogos!A:BN,62,0)</f>
        <v>1019.65</v>
      </c>
      <c r="BE990" s="9">
        <f>VLOOKUP(A990,Jogos!A:BN,63,0)</f>
        <v>2.585</v>
      </c>
      <c r="BF990" s="9">
        <f>VLOOKUP(A990,Jogos!A:BN,64,0)</f>
        <v>18.23</v>
      </c>
      <c r="BG990" s="9">
        <f>VLOOKUP(A990,Jogos!A:BN,65,0)</f>
        <v>34.07</v>
      </c>
      <c r="BH990" s="9">
        <f>VLOOKUP(A990,Jogos!A:BN,66,0)</f>
        <v>21.99</v>
      </c>
      <c r="BI990" s="9"/>
      <c r="BJ990" s="9"/>
    </row>
    <row r="991" hidden="1">
      <c r="A991" s="2">
        <v>34.0</v>
      </c>
      <c r="B991" s="11" t="s">
        <v>185</v>
      </c>
      <c r="C991" s="2" t="s">
        <v>61</v>
      </c>
      <c r="D991" s="3">
        <v>45831.0</v>
      </c>
      <c r="E991" s="4">
        <v>0.5</v>
      </c>
      <c r="F991" s="5" t="str">
        <f>VLOOKUP(A991,Jogos!A:N,10,0)</f>
        <v>Afternoon</v>
      </c>
      <c r="G991" s="2" t="s">
        <v>186</v>
      </c>
      <c r="H991" s="6" t="str">
        <f>VLOOKUP(A991,Jogos!A:L,12,0)</f>
        <v>Open</v>
      </c>
      <c r="I991" s="6" t="str">
        <f>VLOOKUP(G991,'Estádios e Cidades'!A:B,2,0)</f>
        <v>Pasadena</v>
      </c>
      <c r="J991" s="2" t="s">
        <v>188</v>
      </c>
      <c r="K991" s="2" t="str">
        <f>VLOOKUP(J991,Equipes!A:F,6,0)</f>
        <v>Temperate</v>
      </c>
      <c r="L991" s="2">
        <f>VLOOKUP(J991,Equipes!A:C,3,0)</f>
        <v>17</v>
      </c>
      <c r="M991" s="2" t="str">
        <f t="shared" si="4"/>
        <v>Group</v>
      </c>
      <c r="N991" s="2" t="s">
        <v>313</v>
      </c>
      <c r="O991" s="2">
        <f>VLOOKUP(N991,Equipes!A:C,3,0)</f>
        <v>14</v>
      </c>
      <c r="P991" s="2" t="str">
        <f t="shared" si="5"/>
        <v>Round of 16</v>
      </c>
      <c r="Q991" s="2">
        <f t="shared" si="6"/>
        <v>3</v>
      </c>
      <c r="R991" s="2" t="str">
        <f>VLOOKUP(J991,Equipes!A:B,2,0)</f>
        <v>Atletico</v>
      </c>
      <c r="S991" s="6" t="s">
        <v>231</v>
      </c>
      <c r="T991" s="7">
        <v>19.0</v>
      </c>
      <c r="U991" s="7" t="s">
        <v>232</v>
      </c>
      <c r="V991" s="7" t="str">
        <f>VLOOKUP(U991,Jogadores!B:C,2,0)</f>
        <v>FW</v>
      </c>
      <c r="W991" s="8">
        <f>VLOOKUP(U991,Jogadores!B:D,3,0)</f>
        <v>25.50684932</v>
      </c>
      <c r="X991" s="7">
        <v>0.0</v>
      </c>
      <c r="Y991" s="7">
        <f t="shared" si="3092"/>
        <v>96</v>
      </c>
      <c r="Z991" s="7">
        <f>VLOOKUP(A991,Jogos!A:L,3,0)</f>
        <v>52</v>
      </c>
      <c r="AA991" s="7">
        <f t="shared" si="2229"/>
        <v>52</v>
      </c>
      <c r="AB991" s="7">
        <f>VLOOKUP(A991,Jogos!A:L,4,0)</f>
        <v>51</v>
      </c>
      <c r="AC991" s="7">
        <f t="shared" si="2230"/>
        <v>51</v>
      </c>
      <c r="AD991" s="7"/>
      <c r="AE991" s="7"/>
      <c r="AF991" s="7">
        <f t="shared" si="2231"/>
        <v>103</v>
      </c>
      <c r="AG991" s="7">
        <v>10803.3</v>
      </c>
      <c r="AH991" s="7">
        <v>3598.6</v>
      </c>
      <c r="AI991" s="7">
        <v>5143.7</v>
      </c>
      <c r="AJ991" s="7">
        <v>1459.5</v>
      </c>
      <c r="AK991" s="7">
        <v>527.1</v>
      </c>
      <c r="AL991" s="7">
        <v>74.5</v>
      </c>
      <c r="AM991" s="7">
        <v>123.0</v>
      </c>
      <c r="AN991" s="7">
        <v>39.0</v>
      </c>
      <c r="AO991" s="7">
        <v>30.0</v>
      </c>
      <c r="AP991" s="9">
        <f t="shared" ref="AP991:AR991" si="3096">AG991/$AF991</f>
        <v>104.8864078</v>
      </c>
      <c r="AQ991" s="9">
        <f t="shared" si="3096"/>
        <v>34.93786408</v>
      </c>
      <c r="AR991" s="9">
        <f t="shared" si="3096"/>
        <v>49.93883495</v>
      </c>
      <c r="AS991" s="9">
        <f t="shared" si="2233"/>
        <v>84.87669903</v>
      </c>
      <c r="AT991" s="9">
        <f t="shared" ref="AT991:AV991" si="3097">AJ991/$AF991</f>
        <v>14.16990291</v>
      </c>
      <c r="AU991" s="9">
        <f t="shared" si="3097"/>
        <v>5.117475728</v>
      </c>
      <c r="AV991" s="9">
        <f t="shared" si="3097"/>
        <v>0.7233009709</v>
      </c>
      <c r="AW991" s="9">
        <f t="shared" si="2235"/>
        <v>5.840776699</v>
      </c>
      <c r="AX991" s="9">
        <f t="shared" ref="AX991:AY991" si="3098">AM991/$AF991</f>
        <v>1.194174757</v>
      </c>
      <c r="AY991" s="9">
        <f t="shared" si="3098"/>
        <v>0.3786407767</v>
      </c>
      <c r="AZ991" s="9">
        <f>VLOOKUP(A991,Jogos!A:BN,58,0)</f>
        <v>24.19</v>
      </c>
      <c r="BA991" s="9">
        <f>VLOOKUP(A991,Jogos!A:BN,59,0)</f>
        <v>10.305</v>
      </c>
      <c r="BB991" s="9">
        <f>VLOOKUP(A991,Jogos!A:BN,60,0)</f>
        <v>41</v>
      </c>
      <c r="BC991" s="9">
        <f>VLOOKUP(A991,Jogos!A:BN,61,0)</f>
        <v>21.995</v>
      </c>
      <c r="BD991" s="9">
        <f>VLOOKUP(A991,Jogos!A:BN,62,0)</f>
        <v>1019.65</v>
      </c>
      <c r="BE991" s="9">
        <f>VLOOKUP(A991,Jogos!A:BN,63,0)</f>
        <v>2.585</v>
      </c>
      <c r="BF991" s="9">
        <f>VLOOKUP(A991,Jogos!A:BN,64,0)</f>
        <v>18.23</v>
      </c>
      <c r="BG991" s="9">
        <f>VLOOKUP(A991,Jogos!A:BN,65,0)</f>
        <v>34.07</v>
      </c>
      <c r="BH991" s="9">
        <f>VLOOKUP(A991,Jogos!A:BN,66,0)</f>
        <v>21.99</v>
      </c>
      <c r="BI991" s="9"/>
      <c r="BJ991" s="9"/>
    </row>
    <row r="992" hidden="1">
      <c r="A992" s="2">
        <v>34.0</v>
      </c>
      <c r="B992" s="11" t="s">
        <v>185</v>
      </c>
      <c r="C992" s="2" t="s">
        <v>61</v>
      </c>
      <c r="D992" s="3">
        <v>45831.0</v>
      </c>
      <c r="E992" s="4">
        <v>0.5</v>
      </c>
      <c r="F992" s="5" t="str">
        <f>VLOOKUP(A992,Jogos!A:N,10,0)</f>
        <v>Afternoon</v>
      </c>
      <c r="G992" s="2" t="s">
        <v>186</v>
      </c>
      <c r="H992" s="6" t="str">
        <f>VLOOKUP(A992,Jogos!A:L,12,0)</f>
        <v>Open</v>
      </c>
      <c r="I992" s="6" t="str">
        <f>VLOOKUP(G992,'Estádios e Cidades'!A:B,2,0)</f>
        <v>Pasadena</v>
      </c>
      <c r="J992" s="2" t="s">
        <v>188</v>
      </c>
      <c r="K992" s="2" t="str">
        <f>VLOOKUP(J992,Equipes!A:F,6,0)</f>
        <v>Temperate</v>
      </c>
      <c r="L992" s="2">
        <f>VLOOKUP(J992,Equipes!A:C,3,0)</f>
        <v>17</v>
      </c>
      <c r="M992" s="2" t="str">
        <f t="shared" si="4"/>
        <v>Group</v>
      </c>
      <c r="N992" s="2" t="s">
        <v>313</v>
      </c>
      <c r="O992" s="2">
        <f>VLOOKUP(N992,Equipes!A:C,3,0)</f>
        <v>14</v>
      </c>
      <c r="P992" s="2" t="str">
        <f t="shared" si="5"/>
        <v>Round of 16</v>
      </c>
      <c r="Q992" s="2">
        <f t="shared" si="6"/>
        <v>3</v>
      </c>
      <c r="R992" s="2" t="str">
        <f>VLOOKUP(J992,Equipes!A:B,2,0)</f>
        <v>Atletico</v>
      </c>
      <c r="S992" s="6" t="s">
        <v>233</v>
      </c>
      <c r="T992" s="7">
        <v>21.0</v>
      </c>
      <c r="U992" s="7" t="s">
        <v>234</v>
      </c>
      <c r="V992" s="7" t="str">
        <f>VLOOKUP(U992,Jogadores!B:C,2,0)</f>
        <v>DF</v>
      </c>
      <c r="W992" s="8">
        <f>VLOOKUP(U992,Jogadores!B:D,3,0)</f>
        <v>30.70958904</v>
      </c>
      <c r="X992" s="7">
        <v>0.0</v>
      </c>
      <c r="Y992" s="7">
        <f t="shared" si="3092"/>
        <v>96</v>
      </c>
      <c r="Z992" s="7">
        <f>VLOOKUP(A992,Jogos!A:L,3,0)</f>
        <v>52</v>
      </c>
      <c r="AA992" s="7">
        <f t="shared" si="2229"/>
        <v>52</v>
      </c>
      <c r="AB992" s="7">
        <f>VLOOKUP(A992,Jogos!A:L,4,0)</f>
        <v>51</v>
      </c>
      <c r="AC992" s="7">
        <f t="shared" si="2230"/>
        <v>51</v>
      </c>
      <c r="AD992" s="7"/>
      <c r="AE992" s="7"/>
      <c r="AF992" s="7">
        <f t="shared" si="2231"/>
        <v>103</v>
      </c>
      <c r="AG992" s="7">
        <v>11378.6</v>
      </c>
      <c r="AH992" s="7">
        <v>4308.4</v>
      </c>
      <c r="AI992" s="7">
        <v>4050.4</v>
      </c>
      <c r="AJ992" s="7">
        <v>1806.8</v>
      </c>
      <c r="AK992" s="7">
        <v>903.3</v>
      </c>
      <c r="AL992" s="7">
        <v>309.7</v>
      </c>
      <c r="AM992" s="7">
        <v>152.0</v>
      </c>
      <c r="AN992" s="7">
        <v>68.0</v>
      </c>
      <c r="AO992" s="7">
        <v>31.7</v>
      </c>
      <c r="AP992" s="9">
        <f t="shared" ref="AP992:AR992" si="3099">AG992/$AF992</f>
        <v>110.4718447</v>
      </c>
      <c r="AQ992" s="9">
        <f t="shared" si="3099"/>
        <v>41.82912621</v>
      </c>
      <c r="AR992" s="9">
        <f t="shared" si="3099"/>
        <v>39.32427184</v>
      </c>
      <c r="AS992" s="9">
        <f t="shared" si="2233"/>
        <v>81.15339806</v>
      </c>
      <c r="AT992" s="9">
        <f t="shared" ref="AT992:AV992" si="3100">AJ992/$AF992</f>
        <v>17.54174757</v>
      </c>
      <c r="AU992" s="9">
        <f t="shared" si="3100"/>
        <v>8.769902913</v>
      </c>
      <c r="AV992" s="9">
        <f t="shared" si="3100"/>
        <v>3.006796117</v>
      </c>
      <c r="AW992" s="9">
        <f t="shared" si="2235"/>
        <v>11.77669903</v>
      </c>
      <c r="AX992" s="9">
        <f t="shared" ref="AX992:AY992" si="3101">AM992/$AF992</f>
        <v>1.475728155</v>
      </c>
      <c r="AY992" s="9">
        <f t="shared" si="3101"/>
        <v>0.6601941748</v>
      </c>
      <c r="AZ992" s="9">
        <f>VLOOKUP(A992,Jogos!A:BN,58,0)</f>
        <v>24.19</v>
      </c>
      <c r="BA992" s="9">
        <f>VLOOKUP(A992,Jogos!A:BN,59,0)</f>
        <v>10.305</v>
      </c>
      <c r="BB992" s="9">
        <f>VLOOKUP(A992,Jogos!A:BN,60,0)</f>
        <v>41</v>
      </c>
      <c r="BC992" s="9">
        <f>VLOOKUP(A992,Jogos!A:BN,61,0)</f>
        <v>21.995</v>
      </c>
      <c r="BD992" s="9">
        <f>VLOOKUP(A992,Jogos!A:BN,62,0)</f>
        <v>1019.65</v>
      </c>
      <c r="BE992" s="9">
        <f>VLOOKUP(A992,Jogos!A:BN,63,0)</f>
        <v>2.585</v>
      </c>
      <c r="BF992" s="9">
        <f>VLOOKUP(A992,Jogos!A:BN,64,0)</f>
        <v>18.23</v>
      </c>
      <c r="BG992" s="9">
        <f>VLOOKUP(A992,Jogos!A:BN,65,0)</f>
        <v>34.07</v>
      </c>
      <c r="BH992" s="9">
        <f>VLOOKUP(A992,Jogos!A:BN,66,0)</f>
        <v>21.99</v>
      </c>
      <c r="BI992" s="9"/>
      <c r="BJ992" s="9"/>
    </row>
    <row r="993" hidden="1">
      <c r="A993" s="2">
        <v>34.0</v>
      </c>
      <c r="B993" s="11" t="s">
        <v>185</v>
      </c>
      <c r="C993" s="2" t="s">
        <v>61</v>
      </c>
      <c r="D993" s="3">
        <v>45831.0</v>
      </c>
      <c r="E993" s="4">
        <v>0.5</v>
      </c>
      <c r="F993" s="5" t="str">
        <f>VLOOKUP(A993,Jogos!A:N,10,0)</f>
        <v>Afternoon</v>
      </c>
      <c r="G993" s="2" t="s">
        <v>186</v>
      </c>
      <c r="H993" s="6" t="str">
        <f>VLOOKUP(A993,Jogos!A:L,12,0)</f>
        <v>Open</v>
      </c>
      <c r="I993" s="6" t="str">
        <f>VLOOKUP(G993,'Estádios e Cidades'!A:B,2,0)</f>
        <v>Pasadena</v>
      </c>
      <c r="J993" s="2" t="s">
        <v>188</v>
      </c>
      <c r="K993" s="2" t="str">
        <f>VLOOKUP(J993,Equipes!A:F,6,0)</f>
        <v>Temperate</v>
      </c>
      <c r="L993" s="2">
        <f>VLOOKUP(J993,Equipes!A:C,3,0)</f>
        <v>17</v>
      </c>
      <c r="M993" s="2" t="str">
        <f t="shared" si="4"/>
        <v>Group</v>
      </c>
      <c r="N993" s="2" t="s">
        <v>313</v>
      </c>
      <c r="O993" s="2">
        <f>VLOOKUP(N993,Equipes!A:C,3,0)</f>
        <v>14</v>
      </c>
      <c r="P993" s="2" t="str">
        <f t="shared" si="5"/>
        <v>Round of 16</v>
      </c>
      <c r="Q993" s="2">
        <f t="shared" si="6"/>
        <v>3</v>
      </c>
      <c r="R993" s="2" t="str">
        <f>VLOOKUP(J993,Equipes!A:B,2,0)</f>
        <v>Atletico</v>
      </c>
      <c r="S993" s="6" t="s">
        <v>235</v>
      </c>
      <c r="T993" s="7">
        <v>22.0</v>
      </c>
      <c r="U993" s="7" t="s">
        <v>236</v>
      </c>
      <c r="V993" s="7" t="str">
        <f>VLOOKUP(U993,Jogadores!B:C,2,0)</f>
        <v>FW</v>
      </c>
      <c r="W993" s="8">
        <f>VLOOKUP(U993,Jogadores!B:D,3,0)</f>
        <v>22.62465753</v>
      </c>
      <c r="X993" s="7">
        <v>0.0</v>
      </c>
      <c r="Y993" s="7">
        <v>59.0</v>
      </c>
      <c r="Z993" s="7">
        <f>VLOOKUP(A993,Jogos!A:L,3,0)</f>
        <v>52</v>
      </c>
      <c r="AA993" s="7">
        <f t="shared" si="2229"/>
        <v>52</v>
      </c>
      <c r="AB993" s="7">
        <f>VLOOKUP(A993,Jogos!A:L,4,0)</f>
        <v>51</v>
      </c>
      <c r="AC993" s="7">
        <f t="shared" si="2230"/>
        <v>14</v>
      </c>
      <c r="AD993" s="7"/>
      <c r="AE993" s="7"/>
      <c r="AF993" s="7">
        <f t="shared" si="2231"/>
        <v>66</v>
      </c>
      <c r="AG993" s="7">
        <v>7991.1</v>
      </c>
      <c r="AH993" s="7">
        <v>2634.8</v>
      </c>
      <c r="AI993" s="7">
        <v>3385.0</v>
      </c>
      <c r="AJ993" s="7">
        <v>1334.1</v>
      </c>
      <c r="AK993" s="7">
        <v>439.0</v>
      </c>
      <c r="AL993" s="7">
        <v>198.2</v>
      </c>
      <c r="AM993" s="7">
        <v>96.0</v>
      </c>
      <c r="AN993" s="7">
        <v>37.0</v>
      </c>
      <c r="AO993" s="7">
        <v>31.8</v>
      </c>
      <c r="AP993" s="9">
        <f t="shared" ref="AP993:AR993" si="3102">AG993/$AF993</f>
        <v>121.0772727</v>
      </c>
      <c r="AQ993" s="9">
        <f t="shared" si="3102"/>
        <v>39.92121212</v>
      </c>
      <c r="AR993" s="9">
        <f t="shared" si="3102"/>
        <v>51.28787879</v>
      </c>
      <c r="AS993" s="9">
        <f t="shared" si="2233"/>
        <v>91.20909091</v>
      </c>
      <c r="AT993" s="9">
        <f t="shared" ref="AT993:AV993" si="3103">AJ993/$AF993</f>
        <v>20.21363636</v>
      </c>
      <c r="AU993" s="9">
        <f t="shared" si="3103"/>
        <v>6.651515152</v>
      </c>
      <c r="AV993" s="9">
        <f t="shared" si="3103"/>
        <v>3.003030303</v>
      </c>
      <c r="AW993" s="9">
        <f t="shared" si="2235"/>
        <v>9.654545455</v>
      </c>
      <c r="AX993" s="9">
        <f t="shared" ref="AX993:AY993" si="3104">AM993/$AF993</f>
        <v>1.454545455</v>
      </c>
      <c r="AY993" s="9">
        <f t="shared" si="3104"/>
        <v>0.5606060606</v>
      </c>
      <c r="AZ993" s="9">
        <f>VLOOKUP(A993,Jogos!A:BN,58,0)</f>
        <v>24.19</v>
      </c>
      <c r="BA993" s="9">
        <f>VLOOKUP(A993,Jogos!A:BN,59,0)</f>
        <v>10.305</v>
      </c>
      <c r="BB993" s="9">
        <f>VLOOKUP(A993,Jogos!A:BN,60,0)</f>
        <v>41</v>
      </c>
      <c r="BC993" s="9">
        <f>VLOOKUP(A993,Jogos!A:BN,61,0)</f>
        <v>21.995</v>
      </c>
      <c r="BD993" s="9">
        <f>VLOOKUP(A993,Jogos!A:BN,62,0)</f>
        <v>1019.65</v>
      </c>
      <c r="BE993" s="9">
        <f>VLOOKUP(A993,Jogos!A:BN,63,0)</f>
        <v>2.585</v>
      </c>
      <c r="BF993" s="9">
        <f>VLOOKUP(A993,Jogos!A:BN,64,0)</f>
        <v>18.23</v>
      </c>
      <c r="BG993" s="9">
        <f>VLOOKUP(A993,Jogos!A:BN,65,0)</f>
        <v>34.07</v>
      </c>
      <c r="BH993" s="9">
        <f>VLOOKUP(A993,Jogos!A:BN,66,0)</f>
        <v>21.99</v>
      </c>
      <c r="BI993" s="9"/>
      <c r="BJ993" s="9"/>
    </row>
    <row r="994" hidden="1">
      <c r="A994" s="2">
        <v>34.0</v>
      </c>
      <c r="B994" s="11" t="s">
        <v>185</v>
      </c>
      <c r="C994" s="2" t="s">
        <v>61</v>
      </c>
      <c r="D994" s="3">
        <v>45831.0</v>
      </c>
      <c r="E994" s="4">
        <v>0.5</v>
      </c>
      <c r="F994" s="5" t="str">
        <f>VLOOKUP(A994,Jogos!A:N,10,0)</f>
        <v>Afternoon</v>
      </c>
      <c r="G994" s="2" t="s">
        <v>186</v>
      </c>
      <c r="H994" s="6" t="str">
        <f>VLOOKUP(A994,Jogos!A:L,12,0)</f>
        <v>Open</v>
      </c>
      <c r="I994" s="6" t="str">
        <f>VLOOKUP(G994,'Estádios e Cidades'!A:B,2,0)</f>
        <v>Pasadena</v>
      </c>
      <c r="J994" s="2" t="s">
        <v>188</v>
      </c>
      <c r="K994" s="2" t="str">
        <f>VLOOKUP(J994,Equipes!A:F,6,0)</f>
        <v>Temperate</v>
      </c>
      <c r="L994" s="2">
        <f>VLOOKUP(J994,Equipes!A:C,3,0)</f>
        <v>17</v>
      </c>
      <c r="M994" s="2" t="str">
        <f t="shared" si="4"/>
        <v>Group</v>
      </c>
      <c r="N994" s="2" t="s">
        <v>313</v>
      </c>
      <c r="O994" s="2">
        <f>VLOOKUP(N994,Equipes!A:C,3,0)</f>
        <v>14</v>
      </c>
      <c r="P994" s="2" t="str">
        <f t="shared" si="5"/>
        <v>Round of 16</v>
      </c>
      <c r="Q994" s="2">
        <f t="shared" si="6"/>
        <v>3</v>
      </c>
      <c r="R994" s="2" t="str">
        <f>VLOOKUP(J994,Equipes!A:B,2,0)</f>
        <v>Atletico</v>
      </c>
      <c r="S994" s="6" t="s">
        <v>237</v>
      </c>
      <c r="T994" s="7">
        <v>24.0</v>
      </c>
      <c r="U994" s="7" t="s">
        <v>238</v>
      </c>
      <c r="V994" s="7" t="str">
        <f>VLOOKUP(U994,Jogadores!B:C,2,0)</f>
        <v>DF</v>
      </c>
      <c r="W994" s="8">
        <f>VLOOKUP(U994,Jogadores!B:D,3,0)</f>
        <v>28.72876712</v>
      </c>
      <c r="X994" s="7">
        <v>0.0</v>
      </c>
      <c r="Y994" s="7">
        <f t="shared" ref="Y994:Y999" si="3108">45+AB994</f>
        <v>96</v>
      </c>
      <c r="Z994" s="7">
        <f>VLOOKUP(A994,Jogos!A:L,3,0)</f>
        <v>52</v>
      </c>
      <c r="AA994" s="7">
        <f t="shared" si="2229"/>
        <v>52</v>
      </c>
      <c r="AB994" s="7">
        <f>VLOOKUP(A994,Jogos!A:L,4,0)</f>
        <v>51</v>
      </c>
      <c r="AC994" s="7">
        <f t="shared" si="2230"/>
        <v>51</v>
      </c>
      <c r="AD994" s="7"/>
      <c r="AE994" s="7"/>
      <c r="AF994" s="7">
        <f t="shared" si="2231"/>
        <v>103</v>
      </c>
      <c r="AG994" s="7">
        <v>10465.9</v>
      </c>
      <c r="AH994" s="7">
        <v>4202.7</v>
      </c>
      <c r="AI994" s="7">
        <v>4294.6</v>
      </c>
      <c r="AJ994" s="7">
        <v>1237.1</v>
      </c>
      <c r="AK994" s="7">
        <v>507.7</v>
      </c>
      <c r="AL994" s="7">
        <v>223.8</v>
      </c>
      <c r="AM994" s="7">
        <v>97.0</v>
      </c>
      <c r="AN994" s="7">
        <v>42.0</v>
      </c>
      <c r="AO994" s="7">
        <v>32.7</v>
      </c>
      <c r="AP994" s="9">
        <f t="shared" ref="AP994:AR994" si="3105">AG994/$AF994</f>
        <v>101.6106796</v>
      </c>
      <c r="AQ994" s="9">
        <f t="shared" si="3105"/>
        <v>40.80291262</v>
      </c>
      <c r="AR994" s="9">
        <f t="shared" si="3105"/>
        <v>41.69514563</v>
      </c>
      <c r="AS994" s="9">
        <f t="shared" si="2233"/>
        <v>82.49805825</v>
      </c>
      <c r="AT994" s="9">
        <f t="shared" ref="AT994:AV994" si="3106">AJ994/$AF994</f>
        <v>12.01067961</v>
      </c>
      <c r="AU994" s="9">
        <f t="shared" si="3106"/>
        <v>4.929126214</v>
      </c>
      <c r="AV994" s="9">
        <f t="shared" si="3106"/>
        <v>2.172815534</v>
      </c>
      <c r="AW994" s="9">
        <f t="shared" si="2235"/>
        <v>7.101941748</v>
      </c>
      <c r="AX994" s="9">
        <f t="shared" ref="AX994:AY994" si="3107">AM994/$AF994</f>
        <v>0.9417475728</v>
      </c>
      <c r="AY994" s="9">
        <f t="shared" si="3107"/>
        <v>0.4077669903</v>
      </c>
      <c r="AZ994" s="9">
        <f>VLOOKUP(A994,Jogos!A:BN,58,0)</f>
        <v>24.19</v>
      </c>
      <c r="BA994" s="9">
        <f>VLOOKUP(A994,Jogos!A:BN,59,0)</f>
        <v>10.305</v>
      </c>
      <c r="BB994" s="9">
        <f>VLOOKUP(A994,Jogos!A:BN,60,0)</f>
        <v>41</v>
      </c>
      <c r="BC994" s="9">
        <f>VLOOKUP(A994,Jogos!A:BN,61,0)</f>
        <v>21.995</v>
      </c>
      <c r="BD994" s="9">
        <f>VLOOKUP(A994,Jogos!A:BN,62,0)</f>
        <v>1019.65</v>
      </c>
      <c r="BE994" s="9">
        <f>VLOOKUP(A994,Jogos!A:BN,63,0)</f>
        <v>2.585</v>
      </c>
      <c r="BF994" s="9">
        <f>VLOOKUP(A994,Jogos!A:BN,64,0)</f>
        <v>18.23</v>
      </c>
      <c r="BG994" s="9">
        <f>VLOOKUP(A994,Jogos!A:BN,65,0)</f>
        <v>34.07</v>
      </c>
      <c r="BH994" s="9">
        <f>VLOOKUP(A994,Jogos!A:BN,66,0)</f>
        <v>21.99</v>
      </c>
      <c r="BI994" s="9"/>
      <c r="BJ994" s="9"/>
    </row>
    <row r="995" hidden="1">
      <c r="A995" s="2">
        <v>34.0</v>
      </c>
      <c r="B995" s="11" t="s">
        <v>185</v>
      </c>
      <c r="C995" s="2" t="s">
        <v>61</v>
      </c>
      <c r="D995" s="3">
        <v>45831.0</v>
      </c>
      <c r="E995" s="4">
        <v>0.5</v>
      </c>
      <c r="F995" s="5" t="str">
        <f>VLOOKUP(A995,Jogos!A:N,10,0)</f>
        <v>Afternoon</v>
      </c>
      <c r="G995" s="2" t="s">
        <v>186</v>
      </c>
      <c r="H995" s="6" t="str">
        <f>VLOOKUP(A995,Jogos!A:L,12,0)</f>
        <v>Open</v>
      </c>
      <c r="I995" s="6" t="str">
        <f>VLOOKUP(G995,'Estádios e Cidades'!A:B,2,0)</f>
        <v>Pasadena</v>
      </c>
      <c r="J995" s="2" t="s">
        <v>188</v>
      </c>
      <c r="K995" s="2" t="str">
        <f>VLOOKUP(J995,Equipes!A:F,6,0)</f>
        <v>Temperate</v>
      </c>
      <c r="L995" s="2">
        <f>VLOOKUP(J995,Equipes!A:C,3,0)</f>
        <v>17</v>
      </c>
      <c r="M995" s="2" t="str">
        <f t="shared" si="4"/>
        <v>Group</v>
      </c>
      <c r="N995" s="2" t="s">
        <v>313</v>
      </c>
      <c r="O995" s="2">
        <f>VLOOKUP(N995,Equipes!A:C,3,0)</f>
        <v>14</v>
      </c>
      <c r="P995" s="2" t="str">
        <f t="shared" si="5"/>
        <v>Round of 16</v>
      </c>
      <c r="Q995" s="2">
        <f t="shared" si="6"/>
        <v>3</v>
      </c>
      <c r="R995" s="2" t="str">
        <f>VLOOKUP(J995,Equipes!A:B,2,0)</f>
        <v>Atletico</v>
      </c>
      <c r="S995" s="6" t="s">
        <v>241</v>
      </c>
      <c r="T995" s="7">
        <v>6.0</v>
      </c>
      <c r="U995" s="7" t="s">
        <v>242</v>
      </c>
      <c r="V995" s="7" t="str">
        <f>VLOOKUP(U995,Jogadores!B:C,2,0)</f>
        <v>MF</v>
      </c>
      <c r="W995" s="8">
        <f>VLOOKUP(U995,Jogadores!B:D,3,0)</f>
        <v>33.57534247</v>
      </c>
      <c r="X995" s="7">
        <v>65.0</v>
      </c>
      <c r="Y995" s="7">
        <f t="shared" si="3108"/>
        <v>96</v>
      </c>
      <c r="Z995" s="7">
        <f>VLOOKUP(A995,Jogos!A:L,3,0)</f>
        <v>52</v>
      </c>
      <c r="AA995" s="7">
        <f t="shared" si="2229"/>
        <v>0</v>
      </c>
      <c r="AB995" s="7">
        <f>VLOOKUP(A995,Jogos!A:L,4,0)</f>
        <v>51</v>
      </c>
      <c r="AC995" s="7">
        <f t="shared" si="2230"/>
        <v>31</v>
      </c>
      <c r="AD995" s="7"/>
      <c r="AE995" s="7"/>
      <c r="AF995" s="7">
        <f t="shared" si="2231"/>
        <v>31</v>
      </c>
      <c r="AG995" s="7">
        <v>4409.5</v>
      </c>
      <c r="AH995" s="7">
        <v>928.0</v>
      </c>
      <c r="AI995" s="7">
        <v>1941.1</v>
      </c>
      <c r="AJ995" s="7">
        <v>1268.5</v>
      </c>
      <c r="AK995" s="7">
        <v>254.2</v>
      </c>
      <c r="AL995" s="7">
        <v>17.8</v>
      </c>
      <c r="AM995" s="7">
        <v>94.0</v>
      </c>
      <c r="AN995" s="7">
        <v>18.0</v>
      </c>
      <c r="AO995" s="7">
        <v>27.0</v>
      </c>
      <c r="AP995" s="9">
        <f t="shared" ref="AP995:AR995" si="3109">AG995/$AF995</f>
        <v>142.2419355</v>
      </c>
      <c r="AQ995" s="9">
        <f t="shared" si="3109"/>
        <v>29.93548387</v>
      </c>
      <c r="AR995" s="9">
        <f t="shared" si="3109"/>
        <v>62.61612903</v>
      </c>
      <c r="AS995" s="9">
        <f t="shared" si="2233"/>
        <v>92.5516129</v>
      </c>
      <c r="AT995" s="9">
        <f t="shared" ref="AT995:AV995" si="3110">AJ995/$AF995</f>
        <v>40.91935484</v>
      </c>
      <c r="AU995" s="9">
        <f t="shared" si="3110"/>
        <v>8.2</v>
      </c>
      <c r="AV995" s="9">
        <f t="shared" si="3110"/>
        <v>0.5741935484</v>
      </c>
      <c r="AW995" s="9">
        <f t="shared" si="2235"/>
        <v>8.774193548</v>
      </c>
      <c r="AX995" s="9">
        <f t="shared" ref="AX995:AY995" si="3111">AM995/$AF995</f>
        <v>3.032258065</v>
      </c>
      <c r="AY995" s="9">
        <f t="shared" si="3111"/>
        <v>0.5806451613</v>
      </c>
      <c r="AZ995" s="9">
        <f>VLOOKUP(A995,Jogos!A:BN,58,0)</f>
        <v>24.19</v>
      </c>
      <c r="BA995" s="9">
        <f>VLOOKUP(A995,Jogos!A:BN,59,0)</f>
        <v>10.305</v>
      </c>
      <c r="BB995" s="9">
        <f>VLOOKUP(A995,Jogos!A:BN,60,0)</f>
        <v>41</v>
      </c>
      <c r="BC995" s="9">
        <f>VLOOKUP(A995,Jogos!A:BN,61,0)</f>
        <v>21.995</v>
      </c>
      <c r="BD995" s="9">
        <f>VLOOKUP(A995,Jogos!A:BN,62,0)</f>
        <v>1019.65</v>
      </c>
      <c r="BE995" s="9">
        <f>VLOOKUP(A995,Jogos!A:BN,63,0)</f>
        <v>2.585</v>
      </c>
      <c r="BF995" s="9">
        <f>VLOOKUP(A995,Jogos!A:BN,64,0)</f>
        <v>18.23</v>
      </c>
      <c r="BG995" s="9">
        <f>VLOOKUP(A995,Jogos!A:BN,65,0)</f>
        <v>34.07</v>
      </c>
      <c r="BH995" s="9">
        <f>VLOOKUP(A995,Jogos!A:BN,66,0)</f>
        <v>21.99</v>
      </c>
      <c r="BI995" s="9"/>
      <c r="BJ995" s="9"/>
    </row>
    <row r="996" hidden="1">
      <c r="A996" s="2">
        <v>34.0</v>
      </c>
      <c r="B996" s="11" t="s">
        <v>185</v>
      </c>
      <c r="C996" s="2" t="s">
        <v>61</v>
      </c>
      <c r="D996" s="3">
        <v>45831.0</v>
      </c>
      <c r="E996" s="4">
        <v>0.5</v>
      </c>
      <c r="F996" s="5" t="str">
        <f>VLOOKUP(A996,Jogos!A:N,10,0)</f>
        <v>Afternoon</v>
      </c>
      <c r="G996" s="2" t="s">
        <v>186</v>
      </c>
      <c r="H996" s="6" t="str">
        <f>VLOOKUP(A996,Jogos!A:L,12,0)</f>
        <v>Open</v>
      </c>
      <c r="I996" s="6" t="str">
        <f>VLOOKUP(G996,'Estádios e Cidades'!A:B,2,0)</f>
        <v>Pasadena</v>
      </c>
      <c r="J996" s="2" t="s">
        <v>188</v>
      </c>
      <c r="K996" s="2" t="str">
        <f>VLOOKUP(J996,Equipes!A:F,6,0)</f>
        <v>Temperate</v>
      </c>
      <c r="L996" s="2">
        <f>VLOOKUP(J996,Equipes!A:C,3,0)</f>
        <v>17</v>
      </c>
      <c r="M996" s="2" t="str">
        <f t="shared" si="4"/>
        <v>Group</v>
      </c>
      <c r="N996" s="2" t="s">
        <v>313</v>
      </c>
      <c r="O996" s="2">
        <f>VLOOKUP(N996,Equipes!A:C,3,0)</f>
        <v>14</v>
      </c>
      <c r="P996" s="2" t="str">
        <f t="shared" si="5"/>
        <v>Round of 16</v>
      </c>
      <c r="Q996" s="2">
        <f t="shared" si="6"/>
        <v>3</v>
      </c>
      <c r="R996" s="2" t="str">
        <f>VLOOKUP(J996,Equipes!A:B,2,0)</f>
        <v>Atletico</v>
      </c>
      <c r="S996" s="6" t="s">
        <v>221</v>
      </c>
      <c r="T996" s="7">
        <v>7.0</v>
      </c>
      <c r="U996" s="7" t="s">
        <v>222</v>
      </c>
      <c r="V996" s="7" t="str">
        <f>VLOOKUP(U996,Jogadores!B:C,2,0)</f>
        <v>FW</v>
      </c>
      <c r="W996" s="8">
        <f>VLOOKUP(U996,Jogadores!B:D,3,0)</f>
        <v>34.37808219</v>
      </c>
      <c r="X996" s="7">
        <v>45.0</v>
      </c>
      <c r="Y996" s="7">
        <f t="shared" si="3108"/>
        <v>96</v>
      </c>
      <c r="Z996" s="7">
        <f>VLOOKUP(A996,Jogos!A:L,3,0)</f>
        <v>52</v>
      </c>
      <c r="AA996" s="7">
        <f t="shared" si="2229"/>
        <v>0</v>
      </c>
      <c r="AB996" s="7">
        <f>VLOOKUP(A996,Jogos!A:L,4,0)</f>
        <v>51</v>
      </c>
      <c r="AC996" s="7">
        <f t="shared" si="2230"/>
        <v>51</v>
      </c>
      <c r="AD996" s="7"/>
      <c r="AE996" s="7"/>
      <c r="AF996" s="7">
        <f t="shared" si="2231"/>
        <v>51</v>
      </c>
      <c r="AG996" s="7">
        <v>5472.2</v>
      </c>
      <c r="AH996" s="7">
        <v>2177.6</v>
      </c>
      <c r="AI996" s="7">
        <v>2106.4</v>
      </c>
      <c r="AJ996" s="7">
        <v>883.2</v>
      </c>
      <c r="AK996" s="7">
        <v>264.1</v>
      </c>
      <c r="AL996" s="7">
        <v>40.9</v>
      </c>
      <c r="AM996" s="7">
        <v>71.0</v>
      </c>
      <c r="AN996" s="7">
        <v>20.0</v>
      </c>
      <c r="AO996" s="7">
        <v>28.8</v>
      </c>
      <c r="AP996" s="9">
        <f t="shared" ref="AP996:AR996" si="3112">AG996/$AF996</f>
        <v>107.2980392</v>
      </c>
      <c r="AQ996" s="9">
        <f t="shared" si="3112"/>
        <v>42.69803922</v>
      </c>
      <c r="AR996" s="9">
        <f t="shared" si="3112"/>
        <v>41.30196078</v>
      </c>
      <c r="AS996" s="9">
        <f t="shared" si="2233"/>
        <v>84</v>
      </c>
      <c r="AT996" s="9">
        <f t="shared" ref="AT996:AV996" si="3113">AJ996/$AF996</f>
        <v>17.31764706</v>
      </c>
      <c r="AU996" s="9">
        <f t="shared" si="3113"/>
        <v>5.178431373</v>
      </c>
      <c r="AV996" s="9">
        <f t="shared" si="3113"/>
        <v>0.8019607843</v>
      </c>
      <c r="AW996" s="9">
        <f t="shared" si="2235"/>
        <v>5.980392157</v>
      </c>
      <c r="AX996" s="9">
        <f t="shared" ref="AX996:AY996" si="3114">AM996/$AF996</f>
        <v>1.392156863</v>
      </c>
      <c r="AY996" s="9">
        <f t="shared" si="3114"/>
        <v>0.3921568627</v>
      </c>
      <c r="AZ996" s="9">
        <f>VLOOKUP(A996,Jogos!A:BN,58,0)</f>
        <v>24.19</v>
      </c>
      <c r="BA996" s="9">
        <f>VLOOKUP(A996,Jogos!A:BN,59,0)</f>
        <v>10.305</v>
      </c>
      <c r="BB996" s="9">
        <f>VLOOKUP(A996,Jogos!A:BN,60,0)</f>
        <v>41</v>
      </c>
      <c r="BC996" s="9">
        <f>VLOOKUP(A996,Jogos!A:BN,61,0)</f>
        <v>21.995</v>
      </c>
      <c r="BD996" s="9">
        <f>VLOOKUP(A996,Jogos!A:BN,62,0)</f>
        <v>1019.65</v>
      </c>
      <c r="BE996" s="9">
        <f>VLOOKUP(A996,Jogos!A:BN,63,0)</f>
        <v>2.585</v>
      </c>
      <c r="BF996" s="9">
        <f>VLOOKUP(A996,Jogos!A:BN,64,0)</f>
        <v>18.23</v>
      </c>
      <c r="BG996" s="9">
        <f>VLOOKUP(A996,Jogos!A:BN,65,0)</f>
        <v>34.07</v>
      </c>
      <c r="BH996" s="9">
        <f>VLOOKUP(A996,Jogos!A:BN,66,0)</f>
        <v>21.99</v>
      </c>
      <c r="BI996" s="9"/>
      <c r="BJ996" s="9"/>
    </row>
    <row r="997" hidden="1">
      <c r="A997" s="2">
        <v>34.0</v>
      </c>
      <c r="B997" s="11" t="s">
        <v>185</v>
      </c>
      <c r="C997" s="2" t="s">
        <v>61</v>
      </c>
      <c r="D997" s="3">
        <v>45831.0</v>
      </c>
      <c r="E997" s="4">
        <v>0.5</v>
      </c>
      <c r="F997" s="5" t="str">
        <f>VLOOKUP(A997,Jogos!A:N,10,0)</f>
        <v>Afternoon</v>
      </c>
      <c r="G997" s="2" t="s">
        <v>186</v>
      </c>
      <c r="H997" s="6" t="str">
        <f>VLOOKUP(A997,Jogos!A:L,12,0)</f>
        <v>Open</v>
      </c>
      <c r="I997" s="6" t="str">
        <f>VLOOKUP(G997,'Estádios e Cidades'!A:B,2,0)</f>
        <v>Pasadena</v>
      </c>
      <c r="J997" s="2" t="s">
        <v>188</v>
      </c>
      <c r="K997" s="2" t="str">
        <f>VLOOKUP(J997,Equipes!A:F,6,0)</f>
        <v>Temperate</v>
      </c>
      <c r="L997" s="2">
        <f>VLOOKUP(J997,Equipes!A:C,3,0)</f>
        <v>17</v>
      </c>
      <c r="M997" s="2" t="str">
        <f t="shared" si="4"/>
        <v>Group</v>
      </c>
      <c r="N997" s="2" t="s">
        <v>313</v>
      </c>
      <c r="O997" s="2">
        <f>VLOOKUP(N997,Equipes!A:C,3,0)</f>
        <v>14</v>
      </c>
      <c r="P997" s="2" t="str">
        <f t="shared" si="5"/>
        <v>Round of 16</v>
      </c>
      <c r="Q997" s="2">
        <f t="shared" si="6"/>
        <v>3</v>
      </c>
      <c r="R997" s="2" t="str">
        <f>VLOOKUP(J997,Equipes!A:B,2,0)</f>
        <v>Atletico</v>
      </c>
      <c r="S997" s="6" t="s">
        <v>245</v>
      </c>
      <c r="T997" s="7">
        <v>10.0</v>
      </c>
      <c r="U997" s="7" t="s">
        <v>246</v>
      </c>
      <c r="V997" s="7" t="str">
        <f>VLOOKUP(U997,Jogadores!B:C,2,0)</f>
        <v>FW</v>
      </c>
      <c r="W997" s="8">
        <f>VLOOKUP(U997,Jogadores!B:D,3,0)</f>
        <v>30.40821918</v>
      </c>
      <c r="X997" s="7">
        <v>59.0</v>
      </c>
      <c r="Y997" s="7">
        <f t="shared" si="3108"/>
        <v>96</v>
      </c>
      <c r="Z997" s="7">
        <f>VLOOKUP(A997,Jogos!A:L,3,0)</f>
        <v>52</v>
      </c>
      <c r="AA997" s="7">
        <f t="shared" si="2229"/>
        <v>0</v>
      </c>
      <c r="AB997" s="7">
        <f>VLOOKUP(A997,Jogos!A:L,4,0)</f>
        <v>51</v>
      </c>
      <c r="AC997" s="7">
        <f t="shared" si="2230"/>
        <v>37</v>
      </c>
      <c r="AD997" s="7"/>
      <c r="AE997" s="7"/>
      <c r="AF997" s="7">
        <f t="shared" si="2231"/>
        <v>37</v>
      </c>
      <c r="AG997" s="7">
        <v>3805.4</v>
      </c>
      <c r="AH997" s="7">
        <v>1372.1</v>
      </c>
      <c r="AI997" s="7">
        <v>1529.3</v>
      </c>
      <c r="AJ997" s="7">
        <v>554.3</v>
      </c>
      <c r="AK997" s="7">
        <v>299.9</v>
      </c>
      <c r="AL997" s="7">
        <v>49.8</v>
      </c>
      <c r="AM997" s="7">
        <v>47.0</v>
      </c>
      <c r="AN997" s="7">
        <v>19.0</v>
      </c>
      <c r="AO997" s="7">
        <v>30.7</v>
      </c>
      <c r="AP997" s="9">
        <f t="shared" ref="AP997:AR997" si="3115">AG997/$AF997</f>
        <v>102.8486486</v>
      </c>
      <c r="AQ997" s="9">
        <f t="shared" si="3115"/>
        <v>37.08378378</v>
      </c>
      <c r="AR997" s="9">
        <f t="shared" si="3115"/>
        <v>41.33243243</v>
      </c>
      <c r="AS997" s="9">
        <f t="shared" si="2233"/>
        <v>78.41621622</v>
      </c>
      <c r="AT997" s="9">
        <f t="shared" ref="AT997:AV997" si="3116">AJ997/$AF997</f>
        <v>14.98108108</v>
      </c>
      <c r="AU997" s="9">
        <f t="shared" si="3116"/>
        <v>8.105405405</v>
      </c>
      <c r="AV997" s="9">
        <f t="shared" si="3116"/>
        <v>1.345945946</v>
      </c>
      <c r="AW997" s="9">
        <f t="shared" si="2235"/>
        <v>9.451351351</v>
      </c>
      <c r="AX997" s="9">
        <f t="shared" ref="AX997:AY997" si="3117">AM997/$AF997</f>
        <v>1.27027027</v>
      </c>
      <c r="AY997" s="9">
        <f t="shared" si="3117"/>
        <v>0.5135135135</v>
      </c>
      <c r="AZ997" s="9">
        <f>VLOOKUP(A997,Jogos!A:BN,58,0)</f>
        <v>24.19</v>
      </c>
      <c r="BA997" s="9">
        <f>VLOOKUP(A997,Jogos!A:BN,59,0)</f>
        <v>10.305</v>
      </c>
      <c r="BB997" s="9">
        <f>VLOOKUP(A997,Jogos!A:BN,60,0)</f>
        <v>41</v>
      </c>
      <c r="BC997" s="9">
        <f>VLOOKUP(A997,Jogos!A:BN,61,0)</f>
        <v>21.995</v>
      </c>
      <c r="BD997" s="9">
        <f>VLOOKUP(A997,Jogos!A:BN,62,0)</f>
        <v>1019.65</v>
      </c>
      <c r="BE997" s="9">
        <f>VLOOKUP(A997,Jogos!A:BN,63,0)</f>
        <v>2.585</v>
      </c>
      <c r="BF997" s="9">
        <f>VLOOKUP(A997,Jogos!A:BN,64,0)</f>
        <v>18.23</v>
      </c>
      <c r="BG997" s="9">
        <f>VLOOKUP(A997,Jogos!A:BN,65,0)</f>
        <v>34.07</v>
      </c>
      <c r="BH997" s="9">
        <f>VLOOKUP(A997,Jogos!A:BN,66,0)</f>
        <v>21.99</v>
      </c>
      <c r="BI997" s="9"/>
      <c r="BJ997" s="9"/>
    </row>
    <row r="998" hidden="1">
      <c r="A998" s="2">
        <v>34.0</v>
      </c>
      <c r="B998" s="11" t="s">
        <v>185</v>
      </c>
      <c r="C998" s="2" t="s">
        <v>61</v>
      </c>
      <c r="D998" s="3">
        <v>45831.0</v>
      </c>
      <c r="E998" s="4">
        <v>0.5</v>
      </c>
      <c r="F998" s="5" t="str">
        <f>VLOOKUP(A998,Jogos!A:N,10,0)</f>
        <v>Afternoon</v>
      </c>
      <c r="G998" s="2" t="s">
        <v>186</v>
      </c>
      <c r="H998" s="6" t="str">
        <f>VLOOKUP(A998,Jogos!A:L,12,0)</f>
        <v>Open</v>
      </c>
      <c r="I998" s="6" t="str">
        <f>VLOOKUP(G998,'Estádios e Cidades'!A:B,2,0)</f>
        <v>Pasadena</v>
      </c>
      <c r="J998" s="2" t="s">
        <v>188</v>
      </c>
      <c r="K998" s="2" t="str">
        <f>VLOOKUP(J998,Equipes!A:F,6,0)</f>
        <v>Temperate</v>
      </c>
      <c r="L998" s="2">
        <f>VLOOKUP(J998,Equipes!A:C,3,0)</f>
        <v>17</v>
      </c>
      <c r="M998" s="2" t="str">
        <f t="shared" si="4"/>
        <v>Group</v>
      </c>
      <c r="N998" s="2" t="s">
        <v>313</v>
      </c>
      <c r="O998" s="2">
        <f>VLOOKUP(N998,Equipes!A:C,3,0)</f>
        <v>14</v>
      </c>
      <c r="P998" s="2" t="str">
        <f t="shared" si="5"/>
        <v>Round of 16</v>
      </c>
      <c r="Q998" s="2">
        <f t="shared" si="6"/>
        <v>3</v>
      </c>
      <c r="R998" s="2" t="str">
        <f>VLOOKUP(J998,Equipes!A:B,2,0)</f>
        <v>Atletico</v>
      </c>
      <c r="S998" s="6" t="s">
        <v>225</v>
      </c>
      <c r="T998" s="7">
        <v>12.0</v>
      </c>
      <c r="U998" s="7" t="s">
        <v>226</v>
      </c>
      <c r="V998" s="7" t="str">
        <f>VLOOKUP(U998,Jogadores!B:C,2,0)</f>
        <v>MF</v>
      </c>
      <c r="W998" s="8">
        <f>VLOOKUP(U998,Jogadores!B:D,3,0)</f>
        <v>25.61369863</v>
      </c>
      <c r="X998" s="7">
        <v>84.0</v>
      </c>
      <c r="Y998" s="7">
        <f t="shared" si="3108"/>
        <v>96</v>
      </c>
      <c r="Z998" s="7">
        <f>VLOOKUP(A998,Jogos!A:L,3,0)</f>
        <v>52</v>
      </c>
      <c r="AA998" s="7">
        <f t="shared" si="2229"/>
        <v>0</v>
      </c>
      <c r="AB998" s="7">
        <f>VLOOKUP(A998,Jogos!A:L,4,0)</f>
        <v>51</v>
      </c>
      <c r="AC998" s="7">
        <f t="shared" si="2230"/>
        <v>12</v>
      </c>
      <c r="AD998" s="7"/>
      <c r="AE998" s="7"/>
      <c r="AF998" s="7">
        <f t="shared" si="2231"/>
        <v>12</v>
      </c>
      <c r="AG998" s="7">
        <v>1671.5</v>
      </c>
      <c r="AH998" s="7">
        <v>392.9</v>
      </c>
      <c r="AI998" s="7">
        <v>824.8</v>
      </c>
      <c r="AJ998" s="7">
        <v>260.1</v>
      </c>
      <c r="AK998" s="7">
        <v>127.8</v>
      </c>
      <c r="AL998" s="7">
        <v>65.9</v>
      </c>
      <c r="AM998" s="7">
        <v>21.0</v>
      </c>
      <c r="AN998" s="7">
        <v>13.0</v>
      </c>
      <c r="AO998" s="7">
        <v>28.7</v>
      </c>
      <c r="AP998" s="9">
        <f t="shared" ref="AP998:AR998" si="3118">AG998/$AF998</f>
        <v>139.2916667</v>
      </c>
      <c r="AQ998" s="9">
        <f t="shared" si="3118"/>
        <v>32.74166667</v>
      </c>
      <c r="AR998" s="9">
        <f t="shared" si="3118"/>
        <v>68.73333333</v>
      </c>
      <c r="AS998" s="9">
        <f t="shared" si="2233"/>
        <v>101.475</v>
      </c>
      <c r="AT998" s="9">
        <f t="shared" ref="AT998:AV998" si="3119">AJ998/$AF998</f>
        <v>21.675</v>
      </c>
      <c r="AU998" s="9">
        <f t="shared" si="3119"/>
        <v>10.65</v>
      </c>
      <c r="AV998" s="9">
        <f t="shared" si="3119"/>
        <v>5.491666667</v>
      </c>
      <c r="AW998" s="9">
        <f t="shared" si="2235"/>
        <v>16.14166667</v>
      </c>
      <c r="AX998" s="9">
        <f t="shared" ref="AX998:AY998" si="3120">AM998/$AF998</f>
        <v>1.75</v>
      </c>
      <c r="AY998" s="9">
        <f t="shared" si="3120"/>
        <v>1.083333333</v>
      </c>
      <c r="AZ998" s="9">
        <f>VLOOKUP(A998,Jogos!A:BN,58,0)</f>
        <v>24.19</v>
      </c>
      <c r="BA998" s="9">
        <f>VLOOKUP(A998,Jogos!A:BN,59,0)</f>
        <v>10.305</v>
      </c>
      <c r="BB998" s="9">
        <f>VLOOKUP(A998,Jogos!A:BN,60,0)</f>
        <v>41</v>
      </c>
      <c r="BC998" s="9">
        <f>VLOOKUP(A998,Jogos!A:BN,61,0)</f>
        <v>21.995</v>
      </c>
      <c r="BD998" s="9">
        <f>VLOOKUP(A998,Jogos!A:BN,62,0)</f>
        <v>1019.65</v>
      </c>
      <c r="BE998" s="9">
        <f>VLOOKUP(A998,Jogos!A:BN,63,0)</f>
        <v>2.585</v>
      </c>
      <c r="BF998" s="9">
        <f>VLOOKUP(A998,Jogos!A:BN,64,0)</f>
        <v>18.23</v>
      </c>
      <c r="BG998" s="9">
        <f>VLOOKUP(A998,Jogos!A:BN,65,0)</f>
        <v>34.07</v>
      </c>
      <c r="BH998" s="9">
        <f>VLOOKUP(A998,Jogos!A:BN,66,0)</f>
        <v>21.99</v>
      </c>
      <c r="BI998" s="9"/>
      <c r="BJ998" s="9"/>
    </row>
    <row r="999" hidden="1">
      <c r="A999" s="2">
        <v>34.0</v>
      </c>
      <c r="B999" s="11" t="s">
        <v>185</v>
      </c>
      <c r="C999" s="2" t="s">
        <v>61</v>
      </c>
      <c r="D999" s="3">
        <v>45831.0</v>
      </c>
      <c r="E999" s="4">
        <v>0.5</v>
      </c>
      <c r="F999" s="5" t="str">
        <f>VLOOKUP(A999,Jogos!A:N,10,0)</f>
        <v>Afternoon</v>
      </c>
      <c r="G999" s="2" t="s">
        <v>186</v>
      </c>
      <c r="H999" s="6" t="str">
        <f>VLOOKUP(A999,Jogos!A:L,12,0)</f>
        <v>Open</v>
      </c>
      <c r="I999" s="6" t="str">
        <f>VLOOKUP(G999,'Estádios e Cidades'!A:B,2,0)</f>
        <v>Pasadena</v>
      </c>
      <c r="J999" s="2" t="s">
        <v>188</v>
      </c>
      <c r="K999" s="2" t="str">
        <f>VLOOKUP(J999,Equipes!A:F,6,0)</f>
        <v>Temperate</v>
      </c>
      <c r="L999" s="2">
        <f>VLOOKUP(J999,Equipes!A:C,3,0)</f>
        <v>17</v>
      </c>
      <c r="M999" s="2" t="str">
        <f t="shared" si="4"/>
        <v>Group</v>
      </c>
      <c r="N999" s="2" t="s">
        <v>313</v>
      </c>
      <c r="O999" s="2">
        <f>VLOOKUP(N999,Equipes!A:C,3,0)</f>
        <v>14</v>
      </c>
      <c r="P999" s="2" t="str">
        <f t="shared" si="5"/>
        <v>Round of 16</v>
      </c>
      <c r="Q999" s="2">
        <f t="shared" si="6"/>
        <v>3</v>
      </c>
      <c r="R999" s="2" t="str">
        <f>VLOOKUP(J999,Equipes!A:B,2,0)</f>
        <v>Atletico</v>
      </c>
      <c r="S999" s="6" t="s">
        <v>1090</v>
      </c>
      <c r="T999" s="7">
        <v>16.0</v>
      </c>
      <c r="U999" s="7" t="s">
        <v>1091</v>
      </c>
      <c r="V999" s="7" t="str">
        <f>VLOOKUP(U999,Jogadores!B:C,2,0)</f>
        <v>DF</v>
      </c>
      <c r="W999" s="8">
        <f>VLOOKUP(U999,Jogadores!B:D,3,0)</f>
        <v>27.32876712</v>
      </c>
      <c r="X999" s="7">
        <v>84.0</v>
      </c>
      <c r="Y999" s="7">
        <f t="shared" si="3108"/>
        <v>96</v>
      </c>
      <c r="Z999" s="7">
        <f>VLOOKUP(A999,Jogos!A:L,3,0)</f>
        <v>52</v>
      </c>
      <c r="AA999" s="7">
        <f t="shared" si="2229"/>
        <v>0</v>
      </c>
      <c r="AB999" s="7">
        <f>VLOOKUP(A999,Jogos!A:L,4,0)</f>
        <v>51</v>
      </c>
      <c r="AC999" s="7">
        <f t="shared" si="2230"/>
        <v>12</v>
      </c>
      <c r="AD999" s="7"/>
      <c r="AE999" s="7"/>
      <c r="AF999" s="7">
        <f t="shared" si="2231"/>
        <v>12</v>
      </c>
      <c r="AG999" s="7">
        <v>1595.3</v>
      </c>
      <c r="AH999" s="7">
        <v>453.7</v>
      </c>
      <c r="AI999" s="7">
        <v>694.5</v>
      </c>
      <c r="AJ999" s="7">
        <v>322.6</v>
      </c>
      <c r="AK999" s="7">
        <v>70.6</v>
      </c>
      <c r="AL999" s="7">
        <v>53.9</v>
      </c>
      <c r="AM999" s="7">
        <v>26.0</v>
      </c>
      <c r="AN999" s="7">
        <v>7.0</v>
      </c>
      <c r="AO999" s="7">
        <v>31.7</v>
      </c>
      <c r="AP999" s="9">
        <f t="shared" ref="AP999:AR999" si="3121">AG999/$AF999</f>
        <v>132.9416667</v>
      </c>
      <c r="AQ999" s="9">
        <f t="shared" si="3121"/>
        <v>37.80833333</v>
      </c>
      <c r="AR999" s="9">
        <f t="shared" si="3121"/>
        <v>57.875</v>
      </c>
      <c r="AS999" s="9">
        <f t="shared" si="2233"/>
        <v>95.68333333</v>
      </c>
      <c r="AT999" s="9">
        <f t="shared" ref="AT999:AV999" si="3122">AJ999/$AF999</f>
        <v>26.88333333</v>
      </c>
      <c r="AU999" s="9">
        <f t="shared" si="3122"/>
        <v>5.883333333</v>
      </c>
      <c r="AV999" s="9">
        <f t="shared" si="3122"/>
        <v>4.491666667</v>
      </c>
      <c r="AW999" s="9">
        <f t="shared" si="2235"/>
        <v>10.375</v>
      </c>
      <c r="AX999" s="9">
        <f t="shared" ref="AX999:AY999" si="3123">AM999/$AF999</f>
        <v>2.166666667</v>
      </c>
      <c r="AY999" s="9">
        <f t="shared" si="3123"/>
        <v>0.5833333333</v>
      </c>
      <c r="AZ999" s="9">
        <f>VLOOKUP(A999,Jogos!A:BN,58,0)</f>
        <v>24.19</v>
      </c>
      <c r="BA999" s="9">
        <f>VLOOKUP(A999,Jogos!A:BN,59,0)</f>
        <v>10.305</v>
      </c>
      <c r="BB999" s="9">
        <f>VLOOKUP(A999,Jogos!A:BN,60,0)</f>
        <v>41</v>
      </c>
      <c r="BC999" s="9">
        <f>VLOOKUP(A999,Jogos!A:BN,61,0)</f>
        <v>21.995</v>
      </c>
      <c r="BD999" s="9">
        <f>VLOOKUP(A999,Jogos!A:BN,62,0)</f>
        <v>1019.65</v>
      </c>
      <c r="BE999" s="9">
        <f>VLOOKUP(A999,Jogos!A:BN,63,0)</f>
        <v>2.585</v>
      </c>
      <c r="BF999" s="9">
        <f>VLOOKUP(A999,Jogos!A:BN,64,0)</f>
        <v>18.23</v>
      </c>
      <c r="BG999" s="9">
        <f>VLOOKUP(A999,Jogos!A:BN,65,0)</f>
        <v>34.07</v>
      </c>
      <c r="BH999" s="9">
        <f>VLOOKUP(A999,Jogos!A:BN,66,0)</f>
        <v>21.99</v>
      </c>
      <c r="BI999" s="9"/>
      <c r="BJ999" s="9"/>
    </row>
    <row r="1000" hidden="1">
      <c r="A1000" s="10">
        <v>34.0</v>
      </c>
      <c r="B1000" s="11" t="s">
        <v>185</v>
      </c>
      <c r="C1000" s="2" t="s">
        <v>61</v>
      </c>
      <c r="D1000" s="12">
        <v>45831.0</v>
      </c>
      <c r="E1000" s="13">
        <v>0.5</v>
      </c>
      <c r="F1000" s="5" t="str">
        <f>VLOOKUP(A1000,Jogos!A:N,10,0)</f>
        <v>Afternoon</v>
      </c>
      <c r="G1000" s="11" t="s">
        <v>186</v>
      </c>
      <c r="H1000" s="6" t="str">
        <f>VLOOKUP(A1000,Jogos!A:L,12,0)</f>
        <v>Open</v>
      </c>
      <c r="I1000" s="6" t="str">
        <f>VLOOKUP(G1000,'Estádios e Cidades'!A:B,2,0)</f>
        <v>Pasadena</v>
      </c>
      <c r="J1000" s="11" t="s">
        <v>313</v>
      </c>
      <c r="K1000" s="2" t="str">
        <f>VLOOKUP(J1000,Equipes!A:F,6,0)</f>
        <v>Tropical</v>
      </c>
      <c r="L1000" s="2">
        <f>VLOOKUP(J1000,Equipes!A:C,3,0)</f>
        <v>14</v>
      </c>
      <c r="M1000" s="2" t="str">
        <f t="shared" si="4"/>
        <v>Round of 16</v>
      </c>
      <c r="N1000" s="11" t="s">
        <v>188</v>
      </c>
      <c r="O1000" s="2">
        <f>VLOOKUP(N1000,Equipes!A:C,3,0)</f>
        <v>17</v>
      </c>
      <c r="P1000" s="2" t="str">
        <f t="shared" si="5"/>
        <v>Group</v>
      </c>
      <c r="Q1000" s="2">
        <f t="shared" si="6"/>
        <v>-3</v>
      </c>
      <c r="R1000" s="2" t="str">
        <f>VLOOKUP(J1000,Equipes!A:B,2,0)</f>
        <v>Botafogo</v>
      </c>
      <c r="S1000" s="14" t="s">
        <v>315</v>
      </c>
      <c r="T1000" s="7">
        <v>2.0</v>
      </c>
      <c r="U1000" s="7" t="s">
        <v>316</v>
      </c>
      <c r="V1000" s="7" t="str">
        <f>VLOOKUP(U1000,Jogadores!B:C,2,0)</f>
        <v>DF</v>
      </c>
      <c r="W1000" s="8">
        <f>VLOOKUP(U1000,Jogadores!B:D,3,0)</f>
        <v>26.03287671</v>
      </c>
      <c r="X1000" s="7">
        <v>0.0</v>
      </c>
      <c r="Y1000" s="7">
        <v>74.0</v>
      </c>
      <c r="Z1000" s="7">
        <f>VLOOKUP(A1000,Jogos!A:L,3,0)</f>
        <v>52</v>
      </c>
      <c r="AA1000" s="7">
        <f t="shared" si="2229"/>
        <v>52</v>
      </c>
      <c r="AB1000" s="7">
        <f>VLOOKUP(A1000,Jogos!A:L,4,0)</f>
        <v>51</v>
      </c>
      <c r="AC1000" s="7">
        <f t="shared" si="2230"/>
        <v>29</v>
      </c>
      <c r="AD1000" s="7"/>
      <c r="AE1000" s="7"/>
      <c r="AF1000" s="7">
        <f t="shared" si="2231"/>
        <v>81</v>
      </c>
      <c r="AG1000" s="7">
        <v>8756.9</v>
      </c>
      <c r="AH1000" s="7">
        <v>3038.2</v>
      </c>
      <c r="AI1000" s="7">
        <v>3539.8</v>
      </c>
      <c r="AJ1000" s="7">
        <v>1312.8</v>
      </c>
      <c r="AK1000" s="7">
        <v>548.9</v>
      </c>
      <c r="AL1000" s="7">
        <v>317.3</v>
      </c>
      <c r="AM1000" s="7">
        <v>114.0</v>
      </c>
      <c r="AN1000" s="7">
        <v>45.0</v>
      </c>
      <c r="AO1000" s="7">
        <v>33.3</v>
      </c>
      <c r="AP1000" s="9">
        <f t="shared" ref="AP1000:AR1000" si="3124">AG1000/$AF1000</f>
        <v>108.1098765</v>
      </c>
      <c r="AQ1000" s="9">
        <f t="shared" si="3124"/>
        <v>37.50864198</v>
      </c>
      <c r="AR1000" s="9">
        <f t="shared" si="3124"/>
        <v>43.70123457</v>
      </c>
      <c r="AS1000" s="9">
        <f t="shared" si="2233"/>
        <v>81.20987654</v>
      </c>
      <c r="AT1000" s="9">
        <f t="shared" ref="AT1000:AV1000" si="3125">AJ1000/$AF1000</f>
        <v>16.20740741</v>
      </c>
      <c r="AU1000" s="9">
        <f t="shared" si="3125"/>
        <v>6.77654321</v>
      </c>
      <c r="AV1000" s="9">
        <f t="shared" si="3125"/>
        <v>3.917283951</v>
      </c>
      <c r="AW1000" s="9">
        <f t="shared" si="2235"/>
        <v>10.69382716</v>
      </c>
      <c r="AX1000" s="9">
        <f t="shared" ref="AX1000:AY1000" si="3126">AM1000/$AF1000</f>
        <v>1.407407407</v>
      </c>
      <c r="AY1000" s="9">
        <f t="shared" si="3126"/>
        <v>0.5555555556</v>
      </c>
      <c r="AZ1000" s="9">
        <f>VLOOKUP(A1000,Jogos!A:BN,58,0)</f>
        <v>24.19</v>
      </c>
      <c r="BA1000" s="9">
        <f>VLOOKUP(A1000,Jogos!A:BN,59,0)</f>
        <v>10.305</v>
      </c>
      <c r="BB1000" s="9">
        <f>VLOOKUP(A1000,Jogos!A:BN,60,0)</f>
        <v>41</v>
      </c>
      <c r="BC1000" s="9">
        <f>VLOOKUP(A1000,Jogos!A:BN,61,0)</f>
        <v>21.995</v>
      </c>
      <c r="BD1000" s="9">
        <f>VLOOKUP(A1000,Jogos!A:BN,62,0)</f>
        <v>1019.65</v>
      </c>
      <c r="BE1000" s="9">
        <f>VLOOKUP(A1000,Jogos!A:BN,63,0)</f>
        <v>2.585</v>
      </c>
      <c r="BF1000" s="9">
        <f>VLOOKUP(A1000,Jogos!A:BN,64,0)</f>
        <v>18.23</v>
      </c>
      <c r="BG1000" s="9">
        <f>VLOOKUP(A1000,Jogos!A:BN,65,0)</f>
        <v>34.07</v>
      </c>
      <c r="BH1000" s="9">
        <f>VLOOKUP(A1000,Jogos!A:BN,66,0)</f>
        <v>21.99</v>
      </c>
      <c r="BI1000" s="9"/>
      <c r="BJ1000" s="9"/>
    </row>
    <row r="1001" hidden="1">
      <c r="A1001" s="10">
        <v>34.0</v>
      </c>
      <c r="B1001" s="11" t="s">
        <v>185</v>
      </c>
      <c r="C1001" s="2" t="s">
        <v>61</v>
      </c>
      <c r="D1001" s="12">
        <v>45831.0</v>
      </c>
      <c r="E1001" s="13">
        <v>0.5</v>
      </c>
      <c r="F1001" s="5" t="str">
        <f>VLOOKUP(A1001,Jogos!A:N,10,0)</f>
        <v>Afternoon</v>
      </c>
      <c r="G1001" s="11" t="s">
        <v>186</v>
      </c>
      <c r="H1001" s="6" t="str">
        <f>VLOOKUP(A1001,Jogos!A:L,12,0)</f>
        <v>Open</v>
      </c>
      <c r="I1001" s="6" t="str">
        <f>VLOOKUP(G1001,'Estádios e Cidades'!A:B,2,0)</f>
        <v>Pasadena</v>
      </c>
      <c r="J1001" s="11" t="s">
        <v>313</v>
      </c>
      <c r="K1001" s="2" t="str">
        <f>VLOOKUP(J1001,Equipes!A:F,6,0)</f>
        <v>Tropical</v>
      </c>
      <c r="L1001" s="2">
        <f>VLOOKUP(J1001,Equipes!A:C,3,0)</f>
        <v>14</v>
      </c>
      <c r="M1001" s="2" t="str">
        <f t="shared" si="4"/>
        <v>Round of 16</v>
      </c>
      <c r="N1001" s="11" t="s">
        <v>188</v>
      </c>
      <c r="O1001" s="2">
        <f>VLOOKUP(N1001,Equipes!A:C,3,0)</f>
        <v>17</v>
      </c>
      <c r="P1001" s="2" t="str">
        <f t="shared" si="5"/>
        <v>Group</v>
      </c>
      <c r="Q1001" s="2">
        <f t="shared" si="6"/>
        <v>-3</v>
      </c>
      <c r="R1001" s="2" t="str">
        <f>VLOOKUP(J1001,Equipes!A:B,2,0)</f>
        <v>Botafogo</v>
      </c>
      <c r="S1001" s="6" t="s">
        <v>317</v>
      </c>
      <c r="T1001" s="7">
        <v>7.0</v>
      </c>
      <c r="U1001" s="7" t="s">
        <v>318</v>
      </c>
      <c r="V1001" s="7" t="str">
        <f>VLOOKUP(U1001,Jogadores!B:C,2,0)</f>
        <v>FW</v>
      </c>
      <c r="W1001" s="8">
        <f>VLOOKUP(U1001,Jogadores!B:D,3,0)</f>
        <v>27.46575342</v>
      </c>
      <c r="X1001" s="7">
        <v>0.0</v>
      </c>
      <c r="Y1001" s="7">
        <v>74.0</v>
      </c>
      <c r="Z1001" s="7">
        <f>VLOOKUP(A1001,Jogos!A:L,3,0)</f>
        <v>52</v>
      </c>
      <c r="AA1001" s="7">
        <f t="shared" si="2229"/>
        <v>52</v>
      </c>
      <c r="AB1001" s="7">
        <f>VLOOKUP(A1001,Jogos!A:L,4,0)</f>
        <v>51</v>
      </c>
      <c r="AC1001" s="7">
        <f t="shared" si="2230"/>
        <v>29</v>
      </c>
      <c r="AD1001" s="7"/>
      <c r="AE1001" s="7"/>
      <c r="AF1001" s="7">
        <f t="shared" si="2231"/>
        <v>81</v>
      </c>
      <c r="AG1001" s="7">
        <v>8607.2</v>
      </c>
      <c r="AH1001" s="7">
        <v>3378.0</v>
      </c>
      <c r="AI1001" s="7">
        <v>3233.6</v>
      </c>
      <c r="AJ1001" s="7">
        <v>1177.1</v>
      </c>
      <c r="AK1001" s="7">
        <v>601.6</v>
      </c>
      <c r="AL1001" s="7">
        <v>216.9</v>
      </c>
      <c r="AM1001" s="7">
        <v>111.0</v>
      </c>
      <c r="AN1001" s="7">
        <v>48.0</v>
      </c>
      <c r="AO1001" s="7">
        <v>32.1</v>
      </c>
      <c r="AP1001" s="9">
        <f t="shared" ref="AP1001:AR1001" si="3127">AG1001/$AF1001</f>
        <v>106.2617284</v>
      </c>
      <c r="AQ1001" s="9">
        <f t="shared" si="3127"/>
        <v>41.7037037</v>
      </c>
      <c r="AR1001" s="9">
        <f t="shared" si="3127"/>
        <v>39.92098765</v>
      </c>
      <c r="AS1001" s="9">
        <f t="shared" si="2233"/>
        <v>81.62469136</v>
      </c>
      <c r="AT1001" s="9">
        <f t="shared" ref="AT1001:AV1001" si="3128">AJ1001/$AF1001</f>
        <v>14.53209877</v>
      </c>
      <c r="AU1001" s="9">
        <f t="shared" si="3128"/>
        <v>7.427160494</v>
      </c>
      <c r="AV1001" s="9">
        <f t="shared" si="3128"/>
        <v>2.677777778</v>
      </c>
      <c r="AW1001" s="9">
        <f t="shared" si="2235"/>
        <v>10.10493827</v>
      </c>
      <c r="AX1001" s="9">
        <f t="shared" ref="AX1001:AY1001" si="3129">AM1001/$AF1001</f>
        <v>1.37037037</v>
      </c>
      <c r="AY1001" s="9">
        <f t="shared" si="3129"/>
        <v>0.5925925926</v>
      </c>
      <c r="AZ1001" s="9">
        <f>VLOOKUP(A1001,Jogos!A:BN,58,0)</f>
        <v>24.19</v>
      </c>
      <c r="BA1001" s="9">
        <f>VLOOKUP(A1001,Jogos!A:BN,59,0)</f>
        <v>10.305</v>
      </c>
      <c r="BB1001" s="9">
        <f>VLOOKUP(A1001,Jogos!A:BN,60,0)</f>
        <v>41</v>
      </c>
      <c r="BC1001" s="9">
        <f>VLOOKUP(A1001,Jogos!A:BN,61,0)</f>
        <v>21.995</v>
      </c>
      <c r="BD1001" s="9">
        <f>VLOOKUP(A1001,Jogos!A:BN,62,0)</f>
        <v>1019.65</v>
      </c>
      <c r="BE1001" s="9">
        <f>VLOOKUP(A1001,Jogos!A:BN,63,0)</f>
        <v>2.585</v>
      </c>
      <c r="BF1001" s="9">
        <f>VLOOKUP(A1001,Jogos!A:BN,64,0)</f>
        <v>18.23</v>
      </c>
      <c r="BG1001" s="9">
        <f>VLOOKUP(A1001,Jogos!A:BN,65,0)</f>
        <v>34.07</v>
      </c>
      <c r="BH1001" s="9">
        <f>VLOOKUP(A1001,Jogos!A:BN,66,0)</f>
        <v>21.99</v>
      </c>
      <c r="BI1001" s="9"/>
      <c r="BJ1001" s="9"/>
    </row>
    <row r="1002" hidden="1">
      <c r="A1002" s="10">
        <v>34.0</v>
      </c>
      <c r="B1002" s="11" t="s">
        <v>185</v>
      </c>
      <c r="C1002" s="2" t="s">
        <v>61</v>
      </c>
      <c r="D1002" s="12">
        <v>45831.0</v>
      </c>
      <c r="E1002" s="13">
        <v>0.5</v>
      </c>
      <c r="F1002" s="5" t="str">
        <f>VLOOKUP(A1002,Jogos!A:N,10,0)</f>
        <v>Afternoon</v>
      </c>
      <c r="G1002" s="11" t="s">
        <v>186</v>
      </c>
      <c r="H1002" s="6" t="str">
        <f>VLOOKUP(A1002,Jogos!A:L,12,0)</f>
        <v>Open</v>
      </c>
      <c r="I1002" s="6" t="str">
        <f>VLOOKUP(G1002,'Estádios e Cidades'!A:B,2,0)</f>
        <v>Pasadena</v>
      </c>
      <c r="J1002" s="11" t="s">
        <v>313</v>
      </c>
      <c r="K1002" s="2" t="str">
        <f>VLOOKUP(J1002,Equipes!A:F,6,0)</f>
        <v>Tropical</v>
      </c>
      <c r="L1002" s="2">
        <f>VLOOKUP(J1002,Equipes!A:C,3,0)</f>
        <v>14</v>
      </c>
      <c r="M1002" s="2" t="str">
        <f t="shared" si="4"/>
        <v>Round of 16</v>
      </c>
      <c r="N1002" s="11" t="s">
        <v>188</v>
      </c>
      <c r="O1002" s="2">
        <f>VLOOKUP(N1002,Equipes!A:C,3,0)</f>
        <v>17</v>
      </c>
      <c r="P1002" s="2" t="str">
        <f t="shared" si="5"/>
        <v>Group</v>
      </c>
      <c r="Q1002" s="2">
        <f t="shared" si="6"/>
        <v>-3</v>
      </c>
      <c r="R1002" s="2" t="str">
        <f>VLOOKUP(J1002,Equipes!A:B,2,0)</f>
        <v>Botafogo</v>
      </c>
      <c r="S1002" s="6" t="s">
        <v>319</v>
      </c>
      <c r="T1002" s="7">
        <v>10.0</v>
      </c>
      <c r="U1002" s="7" t="s">
        <v>320</v>
      </c>
      <c r="V1002" s="7" t="str">
        <f>VLOOKUP(U1002,Jogadores!B:C,2,0)</f>
        <v>MF</v>
      </c>
      <c r="W1002" s="8">
        <f>VLOOKUP(U1002,Jogadores!B:D,3,0)</f>
        <v>28.72876712</v>
      </c>
      <c r="X1002" s="7">
        <v>0.0</v>
      </c>
      <c r="Y1002" s="7">
        <v>65.0</v>
      </c>
      <c r="Z1002" s="7">
        <f>VLOOKUP(A1002,Jogos!A:L,3,0)</f>
        <v>52</v>
      </c>
      <c r="AA1002" s="7">
        <f t="shared" si="2229"/>
        <v>52</v>
      </c>
      <c r="AB1002" s="7">
        <f>VLOOKUP(A1002,Jogos!A:L,4,0)</f>
        <v>51</v>
      </c>
      <c r="AC1002" s="7">
        <f t="shared" si="2230"/>
        <v>20</v>
      </c>
      <c r="AD1002" s="7"/>
      <c r="AE1002" s="7"/>
      <c r="AF1002" s="7">
        <f t="shared" si="2231"/>
        <v>72</v>
      </c>
      <c r="AG1002" s="7">
        <v>8202.8</v>
      </c>
      <c r="AH1002" s="7">
        <v>3296.9</v>
      </c>
      <c r="AI1002" s="7">
        <v>2931.5</v>
      </c>
      <c r="AJ1002" s="7">
        <v>1283.1</v>
      </c>
      <c r="AK1002" s="7">
        <v>446.7</v>
      </c>
      <c r="AL1002" s="7">
        <v>244.6</v>
      </c>
      <c r="AM1002" s="7">
        <v>105.0</v>
      </c>
      <c r="AN1002" s="7">
        <v>43.0</v>
      </c>
      <c r="AO1002" s="7">
        <v>33.7</v>
      </c>
      <c r="AP1002" s="9">
        <f t="shared" ref="AP1002:AR1002" si="3130">AG1002/$AF1002</f>
        <v>113.9277778</v>
      </c>
      <c r="AQ1002" s="9">
        <f t="shared" si="3130"/>
        <v>45.79027778</v>
      </c>
      <c r="AR1002" s="9">
        <f t="shared" si="3130"/>
        <v>40.71527778</v>
      </c>
      <c r="AS1002" s="9">
        <f t="shared" si="2233"/>
        <v>86.50555556</v>
      </c>
      <c r="AT1002" s="9">
        <f t="shared" ref="AT1002:AV1002" si="3131">AJ1002/$AF1002</f>
        <v>17.82083333</v>
      </c>
      <c r="AU1002" s="9">
        <f t="shared" si="3131"/>
        <v>6.204166667</v>
      </c>
      <c r="AV1002" s="9">
        <f t="shared" si="3131"/>
        <v>3.397222222</v>
      </c>
      <c r="AW1002" s="9">
        <f t="shared" si="2235"/>
        <v>9.601388889</v>
      </c>
      <c r="AX1002" s="9">
        <f t="shared" ref="AX1002:AY1002" si="3132">AM1002/$AF1002</f>
        <v>1.458333333</v>
      </c>
      <c r="AY1002" s="9">
        <f t="shared" si="3132"/>
        <v>0.5972222222</v>
      </c>
      <c r="AZ1002" s="9">
        <f>VLOOKUP(A1002,Jogos!A:BN,58,0)</f>
        <v>24.19</v>
      </c>
      <c r="BA1002" s="9">
        <f>VLOOKUP(A1002,Jogos!A:BN,59,0)</f>
        <v>10.305</v>
      </c>
      <c r="BB1002" s="9">
        <f>VLOOKUP(A1002,Jogos!A:BN,60,0)</f>
        <v>41</v>
      </c>
      <c r="BC1002" s="9">
        <f>VLOOKUP(A1002,Jogos!A:BN,61,0)</f>
        <v>21.995</v>
      </c>
      <c r="BD1002" s="9">
        <f>VLOOKUP(A1002,Jogos!A:BN,62,0)</f>
        <v>1019.65</v>
      </c>
      <c r="BE1002" s="9">
        <f>VLOOKUP(A1002,Jogos!A:BN,63,0)</f>
        <v>2.585</v>
      </c>
      <c r="BF1002" s="9">
        <f>VLOOKUP(A1002,Jogos!A:BN,64,0)</f>
        <v>18.23</v>
      </c>
      <c r="BG1002" s="9">
        <f>VLOOKUP(A1002,Jogos!A:BN,65,0)</f>
        <v>34.07</v>
      </c>
      <c r="BH1002" s="9">
        <f>VLOOKUP(A1002,Jogos!A:BN,66,0)</f>
        <v>21.99</v>
      </c>
      <c r="BI1002" s="9"/>
      <c r="BJ1002" s="9"/>
    </row>
    <row r="1003" hidden="1">
      <c r="A1003" s="10">
        <v>34.0</v>
      </c>
      <c r="B1003" s="11" t="s">
        <v>185</v>
      </c>
      <c r="C1003" s="2" t="s">
        <v>61</v>
      </c>
      <c r="D1003" s="12">
        <v>45831.0</v>
      </c>
      <c r="E1003" s="13">
        <v>0.5</v>
      </c>
      <c r="F1003" s="5" t="str">
        <f>VLOOKUP(A1003,Jogos!A:N,10,0)</f>
        <v>Afternoon</v>
      </c>
      <c r="G1003" s="11" t="s">
        <v>186</v>
      </c>
      <c r="H1003" s="6" t="str">
        <f>VLOOKUP(A1003,Jogos!A:L,12,0)</f>
        <v>Open</v>
      </c>
      <c r="I1003" s="6" t="str">
        <f>VLOOKUP(G1003,'Estádios e Cidades'!A:B,2,0)</f>
        <v>Pasadena</v>
      </c>
      <c r="J1003" s="11" t="s">
        <v>313</v>
      </c>
      <c r="K1003" s="2" t="str">
        <f>VLOOKUP(J1003,Equipes!A:F,6,0)</f>
        <v>Tropical</v>
      </c>
      <c r="L1003" s="2">
        <f>VLOOKUP(J1003,Equipes!A:C,3,0)</f>
        <v>14</v>
      </c>
      <c r="M1003" s="2" t="str">
        <f t="shared" si="4"/>
        <v>Round of 16</v>
      </c>
      <c r="N1003" s="11" t="s">
        <v>188</v>
      </c>
      <c r="O1003" s="2">
        <f>VLOOKUP(N1003,Equipes!A:C,3,0)</f>
        <v>17</v>
      </c>
      <c r="P1003" s="2" t="str">
        <f t="shared" si="5"/>
        <v>Group</v>
      </c>
      <c r="Q1003" s="2">
        <f t="shared" si="6"/>
        <v>-3</v>
      </c>
      <c r="R1003" s="2" t="str">
        <f>VLOOKUP(J1003,Equipes!A:B,2,0)</f>
        <v>Botafogo</v>
      </c>
      <c r="S1003" s="6" t="s">
        <v>321</v>
      </c>
      <c r="T1003" s="7">
        <v>13.0</v>
      </c>
      <c r="U1003" s="7" t="s">
        <v>322</v>
      </c>
      <c r="V1003" s="7" t="str">
        <f>VLOOKUP(U1003,Jogadores!B:C,2,0)</f>
        <v>DF</v>
      </c>
      <c r="W1003" s="8">
        <f>VLOOKUP(U1003,Jogadores!B:D,3,0)</f>
        <v>32.63835616</v>
      </c>
      <c r="X1003" s="7">
        <v>0.0</v>
      </c>
      <c r="Y1003" s="7">
        <v>65.0</v>
      </c>
      <c r="Z1003" s="7">
        <f>VLOOKUP(A1003,Jogos!A:L,3,0)</f>
        <v>52</v>
      </c>
      <c r="AA1003" s="7">
        <f t="shared" si="2229"/>
        <v>52</v>
      </c>
      <c r="AB1003" s="7">
        <f>VLOOKUP(A1003,Jogos!A:L,4,0)</f>
        <v>51</v>
      </c>
      <c r="AC1003" s="7">
        <f t="shared" si="2230"/>
        <v>20</v>
      </c>
      <c r="AD1003" s="7"/>
      <c r="AE1003" s="7"/>
      <c r="AF1003" s="7">
        <f t="shared" si="2231"/>
        <v>72</v>
      </c>
      <c r="AG1003" s="7">
        <v>7313.2</v>
      </c>
      <c r="AH1003" s="7">
        <v>3180.0</v>
      </c>
      <c r="AI1003" s="7">
        <v>2776.3</v>
      </c>
      <c r="AJ1003" s="7">
        <v>957.5</v>
      </c>
      <c r="AK1003" s="7">
        <v>306.7</v>
      </c>
      <c r="AL1003" s="7">
        <v>92.8</v>
      </c>
      <c r="AM1003" s="7">
        <v>83.0</v>
      </c>
      <c r="AN1003" s="7">
        <v>27.0</v>
      </c>
      <c r="AO1003" s="7">
        <v>31.6</v>
      </c>
      <c r="AP1003" s="9">
        <f t="shared" ref="AP1003:AR1003" si="3133">AG1003/$AF1003</f>
        <v>101.5722222</v>
      </c>
      <c r="AQ1003" s="9">
        <f t="shared" si="3133"/>
        <v>44.16666667</v>
      </c>
      <c r="AR1003" s="9">
        <f t="shared" si="3133"/>
        <v>38.55972222</v>
      </c>
      <c r="AS1003" s="9">
        <f t="shared" si="2233"/>
        <v>82.72638889</v>
      </c>
      <c r="AT1003" s="9">
        <f t="shared" ref="AT1003:AV1003" si="3134">AJ1003/$AF1003</f>
        <v>13.29861111</v>
      </c>
      <c r="AU1003" s="9">
        <f t="shared" si="3134"/>
        <v>4.259722222</v>
      </c>
      <c r="AV1003" s="9">
        <f t="shared" si="3134"/>
        <v>1.288888889</v>
      </c>
      <c r="AW1003" s="9">
        <f t="shared" si="2235"/>
        <v>5.548611111</v>
      </c>
      <c r="AX1003" s="9">
        <f t="shared" ref="AX1003:AY1003" si="3135">AM1003/$AF1003</f>
        <v>1.152777778</v>
      </c>
      <c r="AY1003" s="9">
        <f t="shared" si="3135"/>
        <v>0.375</v>
      </c>
      <c r="AZ1003" s="9">
        <f>VLOOKUP(A1003,Jogos!A:BN,58,0)</f>
        <v>24.19</v>
      </c>
      <c r="BA1003" s="9">
        <f>VLOOKUP(A1003,Jogos!A:BN,59,0)</f>
        <v>10.305</v>
      </c>
      <c r="BB1003" s="9">
        <f>VLOOKUP(A1003,Jogos!A:BN,60,0)</f>
        <v>41</v>
      </c>
      <c r="BC1003" s="9">
        <f>VLOOKUP(A1003,Jogos!A:BN,61,0)</f>
        <v>21.995</v>
      </c>
      <c r="BD1003" s="9">
        <f>VLOOKUP(A1003,Jogos!A:BN,62,0)</f>
        <v>1019.65</v>
      </c>
      <c r="BE1003" s="9">
        <f>VLOOKUP(A1003,Jogos!A:BN,63,0)</f>
        <v>2.585</v>
      </c>
      <c r="BF1003" s="9">
        <f>VLOOKUP(A1003,Jogos!A:BN,64,0)</f>
        <v>18.23</v>
      </c>
      <c r="BG1003" s="9">
        <f>VLOOKUP(A1003,Jogos!A:BN,65,0)</f>
        <v>34.07</v>
      </c>
      <c r="BH1003" s="9">
        <f>VLOOKUP(A1003,Jogos!A:BN,66,0)</f>
        <v>21.99</v>
      </c>
      <c r="BI1003" s="9"/>
      <c r="BJ1003" s="9"/>
    </row>
    <row r="1004" hidden="1">
      <c r="A1004" s="10">
        <v>34.0</v>
      </c>
      <c r="B1004" s="11" t="s">
        <v>185</v>
      </c>
      <c r="C1004" s="2" t="s">
        <v>61</v>
      </c>
      <c r="D1004" s="12">
        <v>45831.0</v>
      </c>
      <c r="E1004" s="13">
        <v>0.5</v>
      </c>
      <c r="F1004" s="5" t="str">
        <f>VLOOKUP(A1004,Jogos!A:N,10,0)</f>
        <v>Afternoon</v>
      </c>
      <c r="G1004" s="11" t="s">
        <v>186</v>
      </c>
      <c r="H1004" s="6" t="str">
        <f>VLOOKUP(A1004,Jogos!A:L,12,0)</f>
        <v>Open</v>
      </c>
      <c r="I1004" s="6" t="str">
        <f>VLOOKUP(G1004,'Estádios e Cidades'!A:B,2,0)</f>
        <v>Pasadena</v>
      </c>
      <c r="J1004" s="11" t="s">
        <v>313</v>
      </c>
      <c r="K1004" s="2" t="str">
        <f>VLOOKUP(J1004,Equipes!A:F,6,0)</f>
        <v>Tropical</v>
      </c>
      <c r="L1004" s="2">
        <f>VLOOKUP(J1004,Equipes!A:C,3,0)</f>
        <v>14</v>
      </c>
      <c r="M1004" s="2" t="str">
        <f t="shared" si="4"/>
        <v>Round of 16</v>
      </c>
      <c r="N1004" s="11" t="s">
        <v>188</v>
      </c>
      <c r="O1004" s="2">
        <f>VLOOKUP(N1004,Equipes!A:C,3,0)</f>
        <v>17</v>
      </c>
      <c r="P1004" s="2" t="str">
        <f t="shared" si="5"/>
        <v>Group</v>
      </c>
      <c r="Q1004" s="2">
        <f t="shared" si="6"/>
        <v>-3</v>
      </c>
      <c r="R1004" s="2" t="str">
        <f>VLOOKUP(J1004,Equipes!A:B,2,0)</f>
        <v>Botafogo</v>
      </c>
      <c r="S1004" s="6" t="s">
        <v>323</v>
      </c>
      <c r="T1004" s="7">
        <v>17.0</v>
      </c>
      <c r="U1004" s="7" t="s">
        <v>324</v>
      </c>
      <c r="V1004" s="7" t="str">
        <f>VLOOKUP(U1004,Jogadores!B:C,2,0)</f>
        <v>MF</v>
      </c>
      <c r="W1004" s="8">
        <f>VLOOKUP(U1004,Jogadores!B:D,3,0)</f>
        <v>30.35890411</v>
      </c>
      <c r="X1004" s="7">
        <v>0.0</v>
      </c>
      <c r="Y1004" s="7">
        <f t="shared" ref="Y1004:Y1005" si="3139">45+AB1004</f>
        <v>96</v>
      </c>
      <c r="Z1004" s="7">
        <f>VLOOKUP(A1004,Jogos!A:L,3,0)</f>
        <v>52</v>
      </c>
      <c r="AA1004" s="7">
        <f t="shared" si="2229"/>
        <v>52</v>
      </c>
      <c r="AB1004" s="7">
        <f>VLOOKUP(A1004,Jogos!A:L,4,0)</f>
        <v>51</v>
      </c>
      <c r="AC1004" s="7">
        <f t="shared" si="2230"/>
        <v>51</v>
      </c>
      <c r="AD1004" s="7"/>
      <c r="AE1004" s="7"/>
      <c r="AF1004" s="7">
        <f t="shared" si="2231"/>
        <v>103</v>
      </c>
      <c r="AG1004" s="7">
        <v>12236.3</v>
      </c>
      <c r="AH1004" s="7">
        <v>3679.9</v>
      </c>
      <c r="AI1004" s="7">
        <v>5781.0</v>
      </c>
      <c r="AJ1004" s="7">
        <v>2188.1</v>
      </c>
      <c r="AK1004" s="7">
        <v>497.8</v>
      </c>
      <c r="AL1004" s="7">
        <v>89.5</v>
      </c>
      <c r="AM1004" s="7">
        <v>184.0</v>
      </c>
      <c r="AN1004" s="7">
        <v>35.0</v>
      </c>
      <c r="AO1004" s="7">
        <v>28.4</v>
      </c>
      <c r="AP1004" s="9">
        <f t="shared" ref="AP1004:AR1004" si="3136">AG1004/$AF1004</f>
        <v>118.7990291</v>
      </c>
      <c r="AQ1004" s="9">
        <f t="shared" si="3136"/>
        <v>35.72718447</v>
      </c>
      <c r="AR1004" s="9">
        <f t="shared" si="3136"/>
        <v>56.12621359</v>
      </c>
      <c r="AS1004" s="9">
        <f t="shared" si="2233"/>
        <v>91.85339806</v>
      </c>
      <c r="AT1004" s="9">
        <f t="shared" ref="AT1004:AV1004" si="3137">AJ1004/$AF1004</f>
        <v>21.24368932</v>
      </c>
      <c r="AU1004" s="9">
        <f t="shared" si="3137"/>
        <v>4.833009709</v>
      </c>
      <c r="AV1004" s="9">
        <f t="shared" si="3137"/>
        <v>0.8689320388</v>
      </c>
      <c r="AW1004" s="9">
        <f t="shared" si="2235"/>
        <v>5.701941748</v>
      </c>
      <c r="AX1004" s="9">
        <f t="shared" ref="AX1004:AY1004" si="3138">AM1004/$AF1004</f>
        <v>1.786407767</v>
      </c>
      <c r="AY1004" s="9">
        <f t="shared" si="3138"/>
        <v>0.3398058252</v>
      </c>
      <c r="AZ1004" s="9">
        <f>VLOOKUP(A1004,Jogos!A:BN,58,0)</f>
        <v>24.19</v>
      </c>
      <c r="BA1004" s="9">
        <f>VLOOKUP(A1004,Jogos!A:BN,59,0)</f>
        <v>10.305</v>
      </c>
      <c r="BB1004" s="9">
        <f>VLOOKUP(A1004,Jogos!A:BN,60,0)</f>
        <v>41</v>
      </c>
      <c r="BC1004" s="9">
        <f>VLOOKUP(A1004,Jogos!A:BN,61,0)</f>
        <v>21.995</v>
      </c>
      <c r="BD1004" s="9">
        <f>VLOOKUP(A1004,Jogos!A:BN,62,0)</f>
        <v>1019.65</v>
      </c>
      <c r="BE1004" s="9">
        <f>VLOOKUP(A1004,Jogos!A:BN,63,0)</f>
        <v>2.585</v>
      </c>
      <c r="BF1004" s="9">
        <f>VLOOKUP(A1004,Jogos!A:BN,64,0)</f>
        <v>18.23</v>
      </c>
      <c r="BG1004" s="9">
        <f>VLOOKUP(A1004,Jogos!A:BN,65,0)</f>
        <v>34.07</v>
      </c>
      <c r="BH1004" s="9">
        <f>VLOOKUP(A1004,Jogos!A:BN,66,0)</f>
        <v>21.99</v>
      </c>
      <c r="BI1004" s="9"/>
      <c r="BJ1004" s="9"/>
    </row>
    <row r="1005" hidden="1">
      <c r="A1005" s="10">
        <v>34.0</v>
      </c>
      <c r="B1005" s="11" t="s">
        <v>185</v>
      </c>
      <c r="C1005" s="2" t="s">
        <v>61</v>
      </c>
      <c r="D1005" s="12">
        <v>45831.0</v>
      </c>
      <c r="E1005" s="13">
        <v>0.5</v>
      </c>
      <c r="F1005" s="5" t="str">
        <f>VLOOKUP(A1005,Jogos!A:N,10,0)</f>
        <v>Afternoon</v>
      </c>
      <c r="G1005" s="11" t="s">
        <v>186</v>
      </c>
      <c r="H1005" s="6" t="str">
        <f>VLOOKUP(A1005,Jogos!A:L,12,0)</f>
        <v>Open</v>
      </c>
      <c r="I1005" s="6" t="str">
        <f>VLOOKUP(G1005,'Estádios e Cidades'!A:B,2,0)</f>
        <v>Pasadena</v>
      </c>
      <c r="J1005" s="11" t="s">
        <v>313</v>
      </c>
      <c r="K1005" s="2" t="str">
        <f>VLOOKUP(J1005,Equipes!A:F,6,0)</f>
        <v>Tropical</v>
      </c>
      <c r="L1005" s="2">
        <f>VLOOKUP(J1005,Equipes!A:C,3,0)</f>
        <v>14</v>
      </c>
      <c r="M1005" s="2" t="str">
        <f t="shared" si="4"/>
        <v>Round of 16</v>
      </c>
      <c r="N1005" s="11" t="s">
        <v>188</v>
      </c>
      <c r="O1005" s="2">
        <f>VLOOKUP(N1005,Equipes!A:C,3,0)</f>
        <v>17</v>
      </c>
      <c r="P1005" s="2" t="str">
        <f t="shared" si="5"/>
        <v>Group</v>
      </c>
      <c r="Q1005" s="2">
        <f t="shared" si="6"/>
        <v>-3</v>
      </c>
      <c r="R1005" s="2" t="str">
        <f>VLOOKUP(J1005,Equipes!A:B,2,0)</f>
        <v>Botafogo</v>
      </c>
      <c r="S1005" s="6" t="s">
        <v>325</v>
      </c>
      <c r="T1005" s="7">
        <v>20.0</v>
      </c>
      <c r="U1005" s="7" t="s">
        <v>326</v>
      </c>
      <c r="V1005" s="7" t="str">
        <f>VLOOKUP(U1005,Jogadores!B:C,2,0)</f>
        <v>DF</v>
      </c>
      <c r="W1005" s="8">
        <f>VLOOKUP(U1005,Jogadores!B:D,3,0)</f>
        <v>30.3890411</v>
      </c>
      <c r="X1005" s="7">
        <v>0.0</v>
      </c>
      <c r="Y1005" s="7">
        <f t="shared" si="3139"/>
        <v>96</v>
      </c>
      <c r="Z1005" s="7">
        <f>VLOOKUP(A1005,Jogos!A:L,3,0)</f>
        <v>52</v>
      </c>
      <c r="AA1005" s="7">
        <f t="shared" si="2229"/>
        <v>52</v>
      </c>
      <c r="AB1005" s="7">
        <f>VLOOKUP(A1005,Jogos!A:L,4,0)</f>
        <v>51</v>
      </c>
      <c r="AC1005" s="7">
        <f t="shared" si="2230"/>
        <v>51</v>
      </c>
      <c r="AD1005" s="7"/>
      <c r="AE1005" s="7"/>
      <c r="AF1005" s="7">
        <f t="shared" si="2231"/>
        <v>103</v>
      </c>
      <c r="AG1005" s="7">
        <v>10219.4</v>
      </c>
      <c r="AH1005" s="7">
        <v>4040.5</v>
      </c>
      <c r="AI1005" s="7">
        <v>4788.2</v>
      </c>
      <c r="AJ1005" s="7">
        <v>964.2</v>
      </c>
      <c r="AK1005" s="7">
        <v>362.3</v>
      </c>
      <c r="AL1005" s="7">
        <v>64.1</v>
      </c>
      <c r="AM1005" s="7">
        <v>87.0</v>
      </c>
      <c r="AN1005" s="7">
        <v>25.0</v>
      </c>
      <c r="AO1005" s="7">
        <v>29.5</v>
      </c>
      <c r="AP1005" s="9">
        <f t="shared" ref="AP1005:AR1005" si="3140">AG1005/$AF1005</f>
        <v>99.21747573</v>
      </c>
      <c r="AQ1005" s="9">
        <f t="shared" si="3140"/>
        <v>39.22815534</v>
      </c>
      <c r="AR1005" s="9">
        <f t="shared" si="3140"/>
        <v>46.48737864</v>
      </c>
      <c r="AS1005" s="9">
        <f t="shared" si="2233"/>
        <v>85.71553398</v>
      </c>
      <c r="AT1005" s="9">
        <f t="shared" ref="AT1005:AV1005" si="3141">AJ1005/$AF1005</f>
        <v>9.361165049</v>
      </c>
      <c r="AU1005" s="9">
        <f t="shared" si="3141"/>
        <v>3.517475728</v>
      </c>
      <c r="AV1005" s="9">
        <f t="shared" si="3141"/>
        <v>0.6223300971</v>
      </c>
      <c r="AW1005" s="9">
        <f t="shared" si="2235"/>
        <v>4.139805825</v>
      </c>
      <c r="AX1005" s="9">
        <f t="shared" ref="AX1005:AY1005" si="3142">AM1005/$AF1005</f>
        <v>0.8446601942</v>
      </c>
      <c r="AY1005" s="9">
        <f t="shared" si="3142"/>
        <v>0.2427184466</v>
      </c>
      <c r="AZ1005" s="9">
        <f>VLOOKUP(A1005,Jogos!A:BN,58,0)</f>
        <v>24.19</v>
      </c>
      <c r="BA1005" s="9">
        <f>VLOOKUP(A1005,Jogos!A:BN,59,0)</f>
        <v>10.305</v>
      </c>
      <c r="BB1005" s="9">
        <f>VLOOKUP(A1005,Jogos!A:BN,60,0)</f>
        <v>41</v>
      </c>
      <c r="BC1005" s="9">
        <f>VLOOKUP(A1005,Jogos!A:BN,61,0)</f>
        <v>21.995</v>
      </c>
      <c r="BD1005" s="9">
        <f>VLOOKUP(A1005,Jogos!A:BN,62,0)</f>
        <v>1019.65</v>
      </c>
      <c r="BE1005" s="9">
        <f>VLOOKUP(A1005,Jogos!A:BN,63,0)</f>
        <v>2.585</v>
      </c>
      <c r="BF1005" s="9">
        <f>VLOOKUP(A1005,Jogos!A:BN,64,0)</f>
        <v>18.23</v>
      </c>
      <c r="BG1005" s="9">
        <f>VLOOKUP(A1005,Jogos!A:BN,65,0)</f>
        <v>34.07</v>
      </c>
      <c r="BH1005" s="9">
        <f>VLOOKUP(A1005,Jogos!A:BN,66,0)</f>
        <v>21.99</v>
      </c>
      <c r="BI1005" s="9"/>
      <c r="BJ1005" s="9"/>
    </row>
    <row r="1006" hidden="1">
      <c r="A1006" s="10">
        <v>34.0</v>
      </c>
      <c r="B1006" s="11" t="s">
        <v>185</v>
      </c>
      <c r="C1006" s="2" t="s">
        <v>61</v>
      </c>
      <c r="D1006" s="12">
        <v>45831.0</v>
      </c>
      <c r="E1006" s="13">
        <v>0.5</v>
      </c>
      <c r="F1006" s="5" t="str">
        <f>VLOOKUP(A1006,Jogos!A:N,10,0)</f>
        <v>Afternoon</v>
      </c>
      <c r="G1006" s="11" t="s">
        <v>186</v>
      </c>
      <c r="H1006" s="6" t="str">
        <f>VLOOKUP(A1006,Jogos!A:L,12,0)</f>
        <v>Open</v>
      </c>
      <c r="I1006" s="6" t="str">
        <f>VLOOKUP(G1006,'Estádios e Cidades'!A:B,2,0)</f>
        <v>Pasadena</v>
      </c>
      <c r="J1006" s="11" t="s">
        <v>313</v>
      </c>
      <c r="K1006" s="2" t="str">
        <f>VLOOKUP(J1006,Equipes!A:F,6,0)</f>
        <v>Tropical</v>
      </c>
      <c r="L1006" s="2">
        <f>VLOOKUP(J1006,Equipes!A:C,3,0)</f>
        <v>14</v>
      </c>
      <c r="M1006" s="2" t="str">
        <f t="shared" si="4"/>
        <v>Round of 16</v>
      </c>
      <c r="N1006" s="11" t="s">
        <v>188</v>
      </c>
      <c r="O1006" s="2">
        <f>VLOOKUP(N1006,Equipes!A:C,3,0)</f>
        <v>17</v>
      </c>
      <c r="P1006" s="2" t="str">
        <f t="shared" si="5"/>
        <v>Group</v>
      </c>
      <c r="Q1006" s="2">
        <f t="shared" si="6"/>
        <v>-3</v>
      </c>
      <c r="R1006" s="2" t="str">
        <f>VLOOKUP(J1006,Equipes!A:B,2,0)</f>
        <v>Botafogo</v>
      </c>
      <c r="S1006" s="6" t="s">
        <v>1098</v>
      </c>
      <c r="T1006" s="7">
        <v>25.0</v>
      </c>
      <c r="U1006" s="7" t="s">
        <v>279</v>
      </c>
      <c r="V1006" s="7" t="str">
        <f>VLOOKUP(U1006,Jogadores!B:C,2,0)</f>
        <v>MF</v>
      </c>
      <c r="W1006" s="8">
        <f>VLOOKUP(U1006,Jogadores!B:D,3,0)</f>
        <v>21.28767123</v>
      </c>
      <c r="X1006" s="7">
        <v>0.0</v>
      </c>
      <c r="Y1006" s="7">
        <v>59.0</v>
      </c>
      <c r="Z1006" s="7">
        <f>VLOOKUP(A1006,Jogos!A:L,3,0)</f>
        <v>52</v>
      </c>
      <c r="AA1006" s="7">
        <f t="shared" si="2229"/>
        <v>52</v>
      </c>
      <c r="AB1006" s="7">
        <f>VLOOKUP(A1006,Jogos!A:L,4,0)</f>
        <v>51</v>
      </c>
      <c r="AC1006" s="7">
        <f t="shared" si="2230"/>
        <v>14</v>
      </c>
      <c r="AD1006" s="7"/>
      <c r="AE1006" s="7"/>
      <c r="AF1006" s="7">
        <f t="shared" si="2231"/>
        <v>66</v>
      </c>
      <c r="AG1006" s="7">
        <v>7537.5</v>
      </c>
      <c r="AH1006" s="7">
        <v>2630.1</v>
      </c>
      <c r="AI1006" s="7">
        <v>3020.0</v>
      </c>
      <c r="AJ1006" s="7">
        <v>1381.7</v>
      </c>
      <c r="AK1006" s="7">
        <v>413.6</v>
      </c>
      <c r="AL1006" s="7">
        <v>92.1</v>
      </c>
      <c r="AM1006" s="7">
        <v>119.0</v>
      </c>
      <c r="AN1006" s="7">
        <v>35.0</v>
      </c>
      <c r="AO1006" s="7">
        <v>29.1</v>
      </c>
      <c r="AP1006" s="9">
        <f t="shared" ref="AP1006:AR1006" si="3143">AG1006/$AF1006</f>
        <v>114.2045455</v>
      </c>
      <c r="AQ1006" s="9">
        <f t="shared" si="3143"/>
        <v>39.85</v>
      </c>
      <c r="AR1006" s="9">
        <f t="shared" si="3143"/>
        <v>45.75757576</v>
      </c>
      <c r="AS1006" s="9">
        <f t="shared" si="2233"/>
        <v>85.60757576</v>
      </c>
      <c r="AT1006" s="9">
        <f t="shared" ref="AT1006:AV1006" si="3144">AJ1006/$AF1006</f>
        <v>20.93484848</v>
      </c>
      <c r="AU1006" s="9">
        <f t="shared" si="3144"/>
        <v>6.266666667</v>
      </c>
      <c r="AV1006" s="9">
        <f t="shared" si="3144"/>
        <v>1.395454545</v>
      </c>
      <c r="AW1006" s="9">
        <f t="shared" si="2235"/>
        <v>7.662121212</v>
      </c>
      <c r="AX1006" s="9">
        <f t="shared" ref="AX1006:AY1006" si="3145">AM1006/$AF1006</f>
        <v>1.803030303</v>
      </c>
      <c r="AY1006" s="9">
        <f t="shared" si="3145"/>
        <v>0.5303030303</v>
      </c>
      <c r="AZ1006" s="9">
        <f>VLOOKUP(A1006,Jogos!A:BN,58,0)</f>
        <v>24.19</v>
      </c>
      <c r="BA1006" s="9">
        <f>VLOOKUP(A1006,Jogos!A:BN,59,0)</f>
        <v>10.305</v>
      </c>
      <c r="BB1006" s="9">
        <f>VLOOKUP(A1006,Jogos!A:BN,60,0)</f>
        <v>41</v>
      </c>
      <c r="BC1006" s="9">
        <f>VLOOKUP(A1006,Jogos!A:BN,61,0)</f>
        <v>21.995</v>
      </c>
      <c r="BD1006" s="9">
        <f>VLOOKUP(A1006,Jogos!A:BN,62,0)</f>
        <v>1019.65</v>
      </c>
      <c r="BE1006" s="9">
        <f>VLOOKUP(A1006,Jogos!A:BN,63,0)</f>
        <v>2.585</v>
      </c>
      <c r="BF1006" s="9">
        <f>VLOOKUP(A1006,Jogos!A:BN,64,0)</f>
        <v>18.23</v>
      </c>
      <c r="BG1006" s="9">
        <f>VLOOKUP(A1006,Jogos!A:BN,65,0)</f>
        <v>34.07</v>
      </c>
      <c r="BH1006" s="9">
        <f>VLOOKUP(A1006,Jogos!A:BN,66,0)</f>
        <v>21.99</v>
      </c>
      <c r="BI1006" s="9"/>
      <c r="BJ1006" s="9"/>
    </row>
    <row r="1007" hidden="1">
      <c r="A1007" s="10">
        <v>34.0</v>
      </c>
      <c r="B1007" s="11" t="s">
        <v>185</v>
      </c>
      <c r="C1007" s="2" t="s">
        <v>61</v>
      </c>
      <c r="D1007" s="12">
        <v>45831.0</v>
      </c>
      <c r="E1007" s="13">
        <v>0.5</v>
      </c>
      <c r="F1007" s="5" t="str">
        <f>VLOOKUP(A1007,Jogos!A:N,10,0)</f>
        <v>Afternoon</v>
      </c>
      <c r="G1007" s="11" t="s">
        <v>186</v>
      </c>
      <c r="H1007" s="6" t="str">
        <f>VLOOKUP(A1007,Jogos!A:L,12,0)</f>
        <v>Open</v>
      </c>
      <c r="I1007" s="6" t="str">
        <f>VLOOKUP(G1007,'Estádios e Cidades'!A:B,2,0)</f>
        <v>Pasadena</v>
      </c>
      <c r="J1007" s="11" t="s">
        <v>313</v>
      </c>
      <c r="K1007" s="2" t="str">
        <f>VLOOKUP(J1007,Equipes!A:F,6,0)</f>
        <v>Tropical</v>
      </c>
      <c r="L1007" s="2">
        <f>VLOOKUP(J1007,Equipes!A:C,3,0)</f>
        <v>14</v>
      </c>
      <c r="M1007" s="2" t="str">
        <f t="shared" si="4"/>
        <v>Round of 16</v>
      </c>
      <c r="N1007" s="11" t="s">
        <v>188</v>
      </c>
      <c r="O1007" s="2">
        <f>VLOOKUP(N1007,Equipes!A:C,3,0)</f>
        <v>17</v>
      </c>
      <c r="P1007" s="2" t="str">
        <f t="shared" si="5"/>
        <v>Group</v>
      </c>
      <c r="Q1007" s="2">
        <f t="shared" si="6"/>
        <v>-3</v>
      </c>
      <c r="R1007" s="2" t="str">
        <f>VLOOKUP(J1007,Equipes!A:B,2,0)</f>
        <v>Botafogo</v>
      </c>
      <c r="S1007" s="6" t="s">
        <v>327</v>
      </c>
      <c r="T1007" s="7">
        <v>26.0</v>
      </c>
      <c r="U1007" s="7" t="s">
        <v>328</v>
      </c>
      <c r="V1007" s="7" t="str">
        <f>VLOOKUP(U1007,Jogadores!B:C,2,0)</f>
        <v>MF</v>
      </c>
      <c r="W1007" s="8">
        <f>VLOOKUP(U1007,Jogadores!B:D,3,0)</f>
        <v>31.42739726</v>
      </c>
      <c r="X1007" s="7">
        <v>0.0</v>
      </c>
      <c r="Y1007" s="7">
        <f t="shared" ref="Y1007:Y1016" si="3149">45+AB1007</f>
        <v>96</v>
      </c>
      <c r="Z1007" s="7">
        <f>VLOOKUP(A1007,Jogos!A:L,3,0)</f>
        <v>52</v>
      </c>
      <c r="AA1007" s="7">
        <f t="shared" si="2229"/>
        <v>52</v>
      </c>
      <c r="AB1007" s="7">
        <f>VLOOKUP(A1007,Jogos!A:L,4,0)</f>
        <v>51</v>
      </c>
      <c r="AC1007" s="7">
        <f t="shared" si="2230"/>
        <v>51</v>
      </c>
      <c r="AD1007" s="7"/>
      <c r="AE1007" s="7"/>
      <c r="AF1007" s="7">
        <f t="shared" si="2231"/>
        <v>103</v>
      </c>
      <c r="AG1007" s="7">
        <v>11513.8</v>
      </c>
      <c r="AH1007" s="7">
        <v>3699.0</v>
      </c>
      <c r="AI1007" s="7">
        <v>4977.5</v>
      </c>
      <c r="AJ1007" s="7">
        <v>2116.1</v>
      </c>
      <c r="AK1007" s="7">
        <v>571.5</v>
      </c>
      <c r="AL1007" s="7">
        <v>149.6</v>
      </c>
      <c r="AM1007" s="7">
        <v>175.0</v>
      </c>
      <c r="AN1007" s="7">
        <v>48.0</v>
      </c>
      <c r="AO1007" s="7">
        <v>31.1</v>
      </c>
      <c r="AP1007" s="9">
        <f t="shared" ref="AP1007:AR1007" si="3146">AG1007/$AF1007</f>
        <v>111.784466</v>
      </c>
      <c r="AQ1007" s="9">
        <f t="shared" si="3146"/>
        <v>35.91262136</v>
      </c>
      <c r="AR1007" s="9">
        <f t="shared" si="3146"/>
        <v>48.32524272</v>
      </c>
      <c r="AS1007" s="9">
        <f t="shared" si="2233"/>
        <v>84.23786408</v>
      </c>
      <c r="AT1007" s="9">
        <f t="shared" ref="AT1007:AV1007" si="3147">AJ1007/$AF1007</f>
        <v>20.54466019</v>
      </c>
      <c r="AU1007" s="9">
        <f t="shared" si="3147"/>
        <v>5.548543689</v>
      </c>
      <c r="AV1007" s="9">
        <f t="shared" si="3147"/>
        <v>1.452427184</v>
      </c>
      <c r="AW1007" s="9">
        <f t="shared" si="2235"/>
        <v>7.000970874</v>
      </c>
      <c r="AX1007" s="9">
        <f t="shared" ref="AX1007:AY1007" si="3148">AM1007/$AF1007</f>
        <v>1.699029126</v>
      </c>
      <c r="AY1007" s="9">
        <f t="shared" si="3148"/>
        <v>0.4660194175</v>
      </c>
      <c r="AZ1007" s="9">
        <f>VLOOKUP(A1007,Jogos!A:BN,58,0)</f>
        <v>24.19</v>
      </c>
      <c r="BA1007" s="9">
        <f>VLOOKUP(A1007,Jogos!A:BN,59,0)</f>
        <v>10.305</v>
      </c>
      <c r="BB1007" s="9">
        <f>VLOOKUP(A1007,Jogos!A:BN,60,0)</f>
        <v>41</v>
      </c>
      <c r="BC1007" s="9">
        <f>VLOOKUP(A1007,Jogos!A:BN,61,0)</f>
        <v>21.995</v>
      </c>
      <c r="BD1007" s="9">
        <f>VLOOKUP(A1007,Jogos!A:BN,62,0)</f>
        <v>1019.65</v>
      </c>
      <c r="BE1007" s="9">
        <f>VLOOKUP(A1007,Jogos!A:BN,63,0)</f>
        <v>2.585</v>
      </c>
      <c r="BF1007" s="9">
        <f>VLOOKUP(A1007,Jogos!A:BN,64,0)</f>
        <v>18.23</v>
      </c>
      <c r="BG1007" s="9">
        <f>VLOOKUP(A1007,Jogos!A:BN,65,0)</f>
        <v>34.07</v>
      </c>
      <c r="BH1007" s="9">
        <f>VLOOKUP(A1007,Jogos!A:BN,66,0)</f>
        <v>21.99</v>
      </c>
      <c r="BI1007" s="9"/>
      <c r="BJ1007" s="9"/>
    </row>
    <row r="1008" hidden="1">
      <c r="A1008" s="10">
        <v>34.0</v>
      </c>
      <c r="B1008" s="11" t="s">
        <v>185</v>
      </c>
      <c r="C1008" s="2" t="s">
        <v>61</v>
      </c>
      <c r="D1008" s="12">
        <v>45831.0</v>
      </c>
      <c r="E1008" s="13">
        <v>0.5</v>
      </c>
      <c r="F1008" s="5" t="str">
        <f>VLOOKUP(A1008,Jogos!A:N,10,0)</f>
        <v>Afternoon</v>
      </c>
      <c r="G1008" s="11" t="s">
        <v>186</v>
      </c>
      <c r="H1008" s="6" t="str">
        <f>VLOOKUP(A1008,Jogos!A:L,12,0)</f>
        <v>Open</v>
      </c>
      <c r="I1008" s="6" t="str">
        <f>VLOOKUP(G1008,'Estádios e Cidades'!A:B,2,0)</f>
        <v>Pasadena</v>
      </c>
      <c r="J1008" s="11" t="s">
        <v>313</v>
      </c>
      <c r="K1008" s="2" t="str">
        <f>VLOOKUP(J1008,Equipes!A:F,6,0)</f>
        <v>Tropical</v>
      </c>
      <c r="L1008" s="2">
        <f>VLOOKUP(J1008,Equipes!A:C,3,0)</f>
        <v>14</v>
      </c>
      <c r="M1008" s="2" t="str">
        <f t="shared" si="4"/>
        <v>Round of 16</v>
      </c>
      <c r="N1008" s="11" t="s">
        <v>188</v>
      </c>
      <c r="O1008" s="2">
        <f>VLOOKUP(N1008,Equipes!A:C,3,0)</f>
        <v>17</v>
      </c>
      <c r="P1008" s="2" t="str">
        <f t="shared" si="5"/>
        <v>Group</v>
      </c>
      <c r="Q1008" s="2">
        <f t="shared" si="6"/>
        <v>-3</v>
      </c>
      <c r="R1008" s="2" t="str">
        <f>VLOOKUP(J1008,Equipes!A:B,2,0)</f>
        <v>Botafogo</v>
      </c>
      <c r="S1008" s="6" t="s">
        <v>329</v>
      </c>
      <c r="T1008" s="7">
        <v>32.0</v>
      </c>
      <c r="U1008" s="7" t="s">
        <v>330</v>
      </c>
      <c r="V1008" s="7" t="str">
        <f>VLOOKUP(U1008,Jogadores!B:C,2,0)</f>
        <v>DF</v>
      </c>
      <c r="W1008" s="8">
        <f>VLOOKUP(U1008,Jogadores!B:D,3,0)</f>
        <v>20.40547945</v>
      </c>
      <c r="X1008" s="7">
        <v>0.0</v>
      </c>
      <c r="Y1008" s="7">
        <f t="shared" si="3149"/>
        <v>96</v>
      </c>
      <c r="Z1008" s="7">
        <f>VLOOKUP(A1008,Jogos!A:L,3,0)</f>
        <v>52</v>
      </c>
      <c r="AA1008" s="7">
        <f t="shared" si="2229"/>
        <v>52</v>
      </c>
      <c r="AB1008" s="7">
        <f>VLOOKUP(A1008,Jogos!A:L,4,0)</f>
        <v>51</v>
      </c>
      <c r="AC1008" s="7">
        <f t="shared" si="2230"/>
        <v>51</v>
      </c>
      <c r="AD1008" s="7"/>
      <c r="AE1008" s="7"/>
      <c r="AF1008" s="7">
        <f t="shared" si="2231"/>
        <v>103</v>
      </c>
      <c r="AG1008" s="7">
        <v>9975.3</v>
      </c>
      <c r="AH1008" s="7">
        <v>3957.5</v>
      </c>
      <c r="AI1008" s="7">
        <v>4670.6</v>
      </c>
      <c r="AJ1008" s="7">
        <v>1083.4</v>
      </c>
      <c r="AK1008" s="7">
        <v>215.4</v>
      </c>
      <c r="AL1008" s="7">
        <v>48.4</v>
      </c>
      <c r="AM1008" s="7">
        <v>94.0</v>
      </c>
      <c r="AN1008" s="7">
        <v>18.0</v>
      </c>
      <c r="AO1008" s="7">
        <v>31.0</v>
      </c>
      <c r="AP1008" s="9">
        <f t="shared" ref="AP1008:AR1008" si="3150">AG1008/$AF1008</f>
        <v>96.84757282</v>
      </c>
      <c r="AQ1008" s="9">
        <f t="shared" si="3150"/>
        <v>38.4223301</v>
      </c>
      <c r="AR1008" s="9">
        <f t="shared" si="3150"/>
        <v>45.34563107</v>
      </c>
      <c r="AS1008" s="9">
        <f t="shared" si="2233"/>
        <v>83.76796117</v>
      </c>
      <c r="AT1008" s="9">
        <f t="shared" ref="AT1008:AV1008" si="3151">AJ1008/$AF1008</f>
        <v>10.5184466</v>
      </c>
      <c r="AU1008" s="9">
        <f t="shared" si="3151"/>
        <v>2.091262136</v>
      </c>
      <c r="AV1008" s="9">
        <f t="shared" si="3151"/>
        <v>0.4699029126</v>
      </c>
      <c r="AW1008" s="9">
        <f t="shared" si="2235"/>
        <v>2.561165049</v>
      </c>
      <c r="AX1008" s="9">
        <f t="shared" ref="AX1008:AY1008" si="3152">AM1008/$AF1008</f>
        <v>0.9126213592</v>
      </c>
      <c r="AY1008" s="9">
        <f t="shared" si="3152"/>
        <v>0.1747572816</v>
      </c>
      <c r="AZ1008" s="9">
        <f>VLOOKUP(A1008,Jogos!A:BN,58,0)</f>
        <v>24.19</v>
      </c>
      <c r="BA1008" s="9">
        <f>VLOOKUP(A1008,Jogos!A:BN,59,0)</f>
        <v>10.305</v>
      </c>
      <c r="BB1008" s="9">
        <f>VLOOKUP(A1008,Jogos!A:BN,60,0)</f>
        <v>41</v>
      </c>
      <c r="BC1008" s="9">
        <f>VLOOKUP(A1008,Jogos!A:BN,61,0)</f>
        <v>21.995</v>
      </c>
      <c r="BD1008" s="9">
        <f>VLOOKUP(A1008,Jogos!A:BN,62,0)</f>
        <v>1019.65</v>
      </c>
      <c r="BE1008" s="9">
        <f>VLOOKUP(A1008,Jogos!A:BN,63,0)</f>
        <v>2.585</v>
      </c>
      <c r="BF1008" s="9">
        <f>VLOOKUP(A1008,Jogos!A:BN,64,0)</f>
        <v>18.23</v>
      </c>
      <c r="BG1008" s="9">
        <f>VLOOKUP(A1008,Jogos!A:BN,65,0)</f>
        <v>34.07</v>
      </c>
      <c r="BH1008" s="9">
        <f>VLOOKUP(A1008,Jogos!A:BN,66,0)</f>
        <v>21.99</v>
      </c>
      <c r="BI1008" s="9"/>
      <c r="BJ1008" s="9"/>
    </row>
    <row r="1009" hidden="1">
      <c r="A1009" s="10">
        <v>34.0</v>
      </c>
      <c r="B1009" s="11" t="s">
        <v>185</v>
      </c>
      <c r="C1009" s="2" t="s">
        <v>61</v>
      </c>
      <c r="D1009" s="12">
        <v>45831.0</v>
      </c>
      <c r="E1009" s="13">
        <v>0.5</v>
      </c>
      <c r="F1009" s="5" t="str">
        <f>VLOOKUP(A1009,Jogos!A:N,10,0)</f>
        <v>Afternoon</v>
      </c>
      <c r="G1009" s="11" t="s">
        <v>186</v>
      </c>
      <c r="H1009" s="6" t="str">
        <f>VLOOKUP(A1009,Jogos!A:L,12,0)</f>
        <v>Open</v>
      </c>
      <c r="I1009" s="6" t="str">
        <f>VLOOKUP(G1009,'Estádios e Cidades'!A:B,2,0)</f>
        <v>Pasadena</v>
      </c>
      <c r="J1009" s="11" t="s">
        <v>313</v>
      </c>
      <c r="K1009" s="2" t="str">
        <f>VLOOKUP(J1009,Equipes!A:F,6,0)</f>
        <v>Tropical</v>
      </c>
      <c r="L1009" s="2">
        <f>VLOOKUP(J1009,Equipes!A:C,3,0)</f>
        <v>14</v>
      </c>
      <c r="M1009" s="2" t="str">
        <f t="shared" si="4"/>
        <v>Round of 16</v>
      </c>
      <c r="N1009" s="11" t="s">
        <v>188</v>
      </c>
      <c r="O1009" s="2">
        <f>VLOOKUP(N1009,Equipes!A:C,3,0)</f>
        <v>17</v>
      </c>
      <c r="P1009" s="2" t="str">
        <f t="shared" si="5"/>
        <v>Group</v>
      </c>
      <c r="Q1009" s="2">
        <f t="shared" si="6"/>
        <v>-3</v>
      </c>
      <c r="R1009" s="2" t="str">
        <f>VLOOKUP(J1009,Equipes!A:B,2,0)</f>
        <v>Botafogo</v>
      </c>
      <c r="S1009" s="6" t="s">
        <v>333</v>
      </c>
      <c r="T1009" s="7">
        <v>99.0</v>
      </c>
      <c r="U1009" s="7" t="s">
        <v>334</v>
      </c>
      <c r="V1009" s="7" t="str">
        <f>VLOOKUP(U1009,Jogadores!B:C,2,0)</f>
        <v>FW</v>
      </c>
      <c r="W1009" s="8">
        <f>VLOOKUP(U1009,Jogadores!B:D,3,0)</f>
        <v>24.43561644</v>
      </c>
      <c r="X1009" s="7">
        <v>0.0</v>
      </c>
      <c r="Y1009" s="7">
        <f t="shared" si="3149"/>
        <v>96</v>
      </c>
      <c r="Z1009" s="7">
        <f>VLOOKUP(A1009,Jogos!A:L,3,0)</f>
        <v>52</v>
      </c>
      <c r="AA1009" s="7">
        <f t="shared" si="2229"/>
        <v>52</v>
      </c>
      <c r="AB1009" s="7">
        <f>VLOOKUP(A1009,Jogos!A:L,4,0)</f>
        <v>51</v>
      </c>
      <c r="AC1009" s="7">
        <f t="shared" si="2230"/>
        <v>51</v>
      </c>
      <c r="AD1009" s="7"/>
      <c r="AE1009" s="7"/>
      <c r="AF1009" s="7">
        <f t="shared" si="2231"/>
        <v>103</v>
      </c>
      <c r="AG1009" s="7">
        <v>10774.0</v>
      </c>
      <c r="AH1009" s="7">
        <v>4015.3</v>
      </c>
      <c r="AI1009" s="7">
        <v>4735.2</v>
      </c>
      <c r="AJ1009" s="7">
        <v>978.7</v>
      </c>
      <c r="AK1009" s="7">
        <v>591.2</v>
      </c>
      <c r="AL1009" s="7">
        <v>453.6</v>
      </c>
      <c r="AM1009" s="7">
        <v>85.0</v>
      </c>
      <c r="AN1009" s="7">
        <v>61.0</v>
      </c>
      <c r="AO1009" s="7">
        <v>32.1</v>
      </c>
      <c r="AP1009" s="9">
        <f t="shared" ref="AP1009:AR1009" si="3153">AG1009/$AF1009</f>
        <v>104.6019417</v>
      </c>
      <c r="AQ1009" s="9">
        <f t="shared" si="3153"/>
        <v>38.98349515</v>
      </c>
      <c r="AR1009" s="9">
        <f t="shared" si="3153"/>
        <v>45.97281553</v>
      </c>
      <c r="AS1009" s="9">
        <f t="shared" si="2233"/>
        <v>84.95631068</v>
      </c>
      <c r="AT1009" s="9">
        <f t="shared" ref="AT1009:AV1009" si="3154">AJ1009/$AF1009</f>
        <v>9.501941748</v>
      </c>
      <c r="AU1009" s="9">
        <f t="shared" si="3154"/>
        <v>5.739805825</v>
      </c>
      <c r="AV1009" s="9">
        <f t="shared" si="3154"/>
        <v>4.403883495</v>
      </c>
      <c r="AW1009" s="9">
        <f t="shared" si="2235"/>
        <v>10.14368932</v>
      </c>
      <c r="AX1009" s="9">
        <f t="shared" ref="AX1009:AY1009" si="3155">AM1009/$AF1009</f>
        <v>0.8252427184</v>
      </c>
      <c r="AY1009" s="9">
        <f t="shared" si="3155"/>
        <v>0.5922330097</v>
      </c>
      <c r="AZ1009" s="9">
        <f>VLOOKUP(A1009,Jogos!A:BN,58,0)</f>
        <v>24.19</v>
      </c>
      <c r="BA1009" s="9">
        <f>VLOOKUP(A1009,Jogos!A:BN,59,0)</f>
        <v>10.305</v>
      </c>
      <c r="BB1009" s="9">
        <f>VLOOKUP(A1009,Jogos!A:BN,60,0)</f>
        <v>41</v>
      </c>
      <c r="BC1009" s="9">
        <f>VLOOKUP(A1009,Jogos!A:BN,61,0)</f>
        <v>21.995</v>
      </c>
      <c r="BD1009" s="9">
        <f>VLOOKUP(A1009,Jogos!A:BN,62,0)</f>
        <v>1019.65</v>
      </c>
      <c r="BE1009" s="9">
        <f>VLOOKUP(A1009,Jogos!A:BN,63,0)</f>
        <v>2.585</v>
      </c>
      <c r="BF1009" s="9">
        <f>VLOOKUP(A1009,Jogos!A:BN,64,0)</f>
        <v>18.23</v>
      </c>
      <c r="BG1009" s="9">
        <f>VLOOKUP(A1009,Jogos!A:BN,65,0)</f>
        <v>34.07</v>
      </c>
      <c r="BH1009" s="9">
        <f>VLOOKUP(A1009,Jogos!A:BN,66,0)</f>
        <v>21.99</v>
      </c>
      <c r="BI1009" s="9"/>
      <c r="BJ1009" s="9"/>
    </row>
    <row r="1010" hidden="1">
      <c r="A1010" s="10">
        <v>34.0</v>
      </c>
      <c r="B1010" s="11" t="s">
        <v>185</v>
      </c>
      <c r="C1010" s="2" t="s">
        <v>61</v>
      </c>
      <c r="D1010" s="12">
        <v>45831.0</v>
      </c>
      <c r="E1010" s="13">
        <v>0.5</v>
      </c>
      <c r="F1010" s="5" t="str">
        <f>VLOOKUP(A1010,Jogos!A:N,10,0)</f>
        <v>Afternoon</v>
      </c>
      <c r="G1010" s="11" t="s">
        <v>186</v>
      </c>
      <c r="H1010" s="6" t="str">
        <f>VLOOKUP(A1010,Jogos!A:L,12,0)</f>
        <v>Open</v>
      </c>
      <c r="I1010" s="6" t="str">
        <f>VLOOKUP(G1010,'Estádios e Cidades'!A:B,2,0)</f>
        <v>Pasadena</v>
      </c>
      <c r="J1010" s="11" t="s">
        <v>313</v>
      </c>
      <c r="K1010" s="2" t="str">
        <f>VLOOKUP(J1010,Equipes!A:F,6,0)</f>
        <v>Tropical</v>
      </c>
      <c r="L1010" s="2">
        <f>VLOOKUP(J1010,Equipes!A:C,3,0)</f>
        <v>14</v>
      </c>
      <c r="M1010" s="2" t="str">
        <f t="shared" si="4"/>
        <v>Round of 16</v>
      </c>
      <c r="N1010" s="11" t="s">
        <v>188</v>
      </c>
      <c r="O1010" s="2">
        <f>VLOOKUP(N1010,Equipes!A:C,3,0)</f>
        <v>17</v>
      </c>
      <c r="P1010" s="2" t="str">
        <f t="shared" si="5"/>
        <v>Group</v>
      </c>
      <c r="Q1010" s="2">
        <f t="shared" si="6"/>
        <v>-3</v>
      </c>
      <c r="R1010" s="2" t="str">
        <f>VLOOKUP(J1010,Equipes!A:B,2,0)</f>
        <v>Botafogo</v>
      </c>
      <c r="S1010" s="6" t="s">
        <v>1241</v>
      </c>
      <c r="T1010" s="7">
        <v>4.0</v>
      </c>
      <c r="U1010" s="7" t="s">
        <v>1242</v>
      </c>
      <c r="V1010" s="7" t="str">
        <f>VLOOKUP(U1010,Jogadores!B:C,2,0)</f>
        <v>DF</v>
      </c>
      <c r="W1010" s="8">
        <f>VLOOKUP(U1010,Jogadores!B:D,3,0)</f>
        <v>22.19452055</v>
      </c>
      <c r="X1010" s="7">
        <v>74.0</v>
      </c>
      <c r="Y1010" s="7">
        <f t="shared" si="3149"/>
        <v>96</v>
      </c>
      <c r="Z1010" s="7">
        <f>VLOOKUP(A1010,Jogos!A:L,3,0)</f>
        <v>52</v>
      </c>
      <c r="AA1010" s="7">
        <f t="shared" si="2229"/>
        <v>0</v>
      </c>
      <c r="AB1010" s="7">
        <f>VLOOKUP(A1010,Jogos!A:L,4,0)</f>
        <v>51</v>
      </c>
      <c r="AC1010" s="7">
        <f t="shared" si="2230"/>
        <v>22</v>
      </c>
      <c r="AD1010" s="7"/>
      <c r="AE1010" s="7"/>
      <c r="AF1010" s="7">
        <f t="shared" si="2231"/>
        <v>22</v>
      </c>
      <c r="AG1010" s="7">
        <v>2499.6</v>
      </c>
      <c r="AH1010" s="7">
        <v>849.4</v>
      </c>
      <c r="AI1010" s="7">
        <v>1037.3</v>
      </c>
      <c r="AJ1010" s="7">
        <v>383.5</v>
      </c>
      <c r="AK1010" s="7">
        <v>174.1</v>
      </c>
      <c r="AL1010" s="7">
        <v>55.3</v>
      </c>
      <c r="AM1010" s="7">
        <v>34.0</v>
      </c>
      <c r="AN1010" s="7">
        <v>13.0</v>
      </c>
      <c r="AO1010" s="7">
        <v>32.5</v>
      </c>
      <c r="AP1010" s="9">
        <f t="shared" ref="AP1010:AR1010" si="3156">AG1010/$AF1010</f>
        <v>113.6181818</v>
      </c>
      <c r="AQ1010" s="9">
        <f t="shared" si="3156"/>
        <v>38.60909091</v>
      </c>
      <c r="AR1010" s="9">
        <f t="shared" si="3156"/>
        <v>47.15</v>
      </c>
      <c r="AS1010" s="9">
        <f t="shared" si="2233"/>
        <v>85.75909091</v>
      </c>
      <c r="AT1010" s="9">
        <f t="shared" ref="AT1010:AV1010" si="3157">AJ1010/$AF1010</f>
        <v>17.43181818</v>
      </c>
      <c r="AU1010" s="9">
        <f t="shared" si="3157"/>
        <v>7.913636364</v>
      </c>
      <c r="AV1010" s="9">
        <f t="shared" si="3157"/>
        <v>2.513636364</v>
      </c>
      <c r="AW1010" s="9">
        <f t="shared" si="2235"/>
        <v>10.42727273</v>
      </c>
      <c r="AX1010" s="9">
        <f t="shared" ref="AX1010:AY1010" si="3158">AM1010/$AF1010</f>
        <v>1.545454545</v>
      </c>
      <c r="AY1010" s="9">
        <f t="shared" si="3158"/>
        <v>0.5909090909</v>
      </c>
      <c r="AZ1010" s="9">
        <f>VLOOKUP(A1010,Jogos!A:BN,58,0)</f>
        <v>24.19</v>
      </c>
      <c r="BA1010" s="9">
        <f>VLOOKUP(A1010,Jogos!A:BN,59,0)</f>
        <v>10.305</v>
      </c>
      <c r="BB1010" s="9">
        <f>VLOOKUP(A1010,Jogos!A:BN,60,0)</f>
        <v>41</v>
      </c>
      <c r="BC1010" s="9">
        <f>VLOOKUP(A1010,Jogos!A:BN,61,0)</f>
        <v>21.995</v>
      </c>
      <c r="BD1010" s="9">
        <f>VLOOKUP(A1010,Jogos!A:BN,62,0)</f>
        <v>1019.65</v>
      </c>
      <c r="BE1010" s="9">
        <f>VLOOKUP(A1010,Jogos!A:BN,63,0)</f>
        <v>2.585</v>
      </c>
      <c r="BF1010" s="9">
        <f>VLOOKUP(A1010,Jogos!A:BN,64,0)</f>
        <v>18.23</v>
      </c>
      <c r="BG1010" s="9">
        <f>VLOOKUP(A1010,Jogos!A:BN,65,0)</f>
        <v>34.07</v>
      </c>
      <c r="BH1010" s="9">
        <f>VLOOKUP(A1010,Jogos!A:BN,66,0)</f>
        <v>21.99</v>
      </c>
      <c r="BI1010" s="9"/>
      <c r="BJ1010" s="9"/>
    </row>
    <row r="1011" hidden="1">
      <c r="A1011" s="10">
        <v>34.0</v>
      </c>
      <c r="B1011" s="11" t="s">
        <v>185</v>
      </c>
      <c r="C1011" s="2" t="s">
        <v>61</v>
      </c>
      <c r="D1011" s="12">
        <v>45831.0</v>
      </c>
      <c r="E1011" s="13">
        <v>0.5</v>
      </c>
      <c r="F1011" s="5" t="str">
        <f>VLOOKUP(A1011,Jogos!A:N,10,0)</f>
        <v>Afternoon</v>
      </c>
      <c r="G1011" s="11" t="s">
        <v>186</v>
      </c>
      <c r="H1011" s="6" t="str">
        <f>VLOOKUP(A1011,Jogos!A:L,12,0)</f>
        <v>Open</v>
      </c>
      <c r="I1011" s="6" t="str">
        <f>VLOOKUP(G1011,'Estádios e Cidades'!A:B,2,0)</f>
        <v>Pasadena</v>
      </c>
      <c r="J1011" s="11" t="s">
        <v>313</v>
      </c>
      <c r="K1011" s="2" t="str">
        <f>VLOOKUP(J1011,Equipes!A:F,6,0)</f>
        <v>Tropical</v>
      </c>
      <c r="L1011" s="2">
        <f>VLOOKUP(J1011,Equipes!A:C,3,0)</f>
        <v>14</v>
      </c>
      <c r="M1011" s="2" t="str">
        <f t="shared" si="4"/>
        <v>Round of 16</v>
      </c>
      <c r="N1011" s="11" t="s">
        <v>188</v>
      </c>
      <c r="O1011" s="2">
        <f>VLOOKUP(N1011,Equipes!A:C,3,0)</f>
        <v>17</v>
      </c>
      <c r="P1011" s="2" t="str">
        <f t="shared" si="5"/>
        <v>Group</v>
      </c>
      <c r="Q1011" s="2">
        <f t="shared" si="6"/>
        <v>-3</v>
      </c>
      <c r="R1011" s="2" t="str">
        <f>VLOOKUP(J1011,Equipes!A:B,2,0)</f>
        <v>Botafogo</v>
      </c>
      <c r="S1011" s="6" t="s">
        <v>1099</v>
      </c>
      <c r="T1011" s="7">
        <v>8.0</v>
      </c>
      <c r="U1011" s="7" t="s">
        <v>1100</v>
      </c>
      <c r="V1011" s="7" t="str">
        <f>VLOOKUP(U1011,Jogadores!B:C,2,0)</f>
        <v>MF</v>
      </c>
      <c r="W1011" s="8">
        <f>VLOOKUP(U1011,Jogadores!B:D,3,0)</f>
        <v>18.29315068</v>
      </c>
      <c r="X1011" s="7">
        <v>65.0</v>
      </c>
      <c r="Y1011" s="7">
        <f t="shared" si="3149"/>
        <v>96</v>
      </c>
      <c r="Z1011" s="7">
        <f>VLOOKUP(A1011,Jogos!A:L,3,0)</f>
        <v>52</v>
      </c>
      <c r="AA1011" s="7">
        <f t="shared" si="2229"/>
        <v>0</v>
      </c>
      <c r="AB1011" s="7">
        <f>VLOOKUP(A1011,Jogos!A:L,4,0)</f>
        <v>51</v>
      </c>
      <c r="AC1011" s="7">
        <f t="shared" si="2230"/>
        <v>31</v>
      </c>
      <c r="AD1011" s="7"/>
      <c r="AE1011" s="7"/>
      <c r="AF1011" s="7">
        <f t="shared" si="2231"/>
        <v>31</v>
      </c>
      <c r="AG1011" s="7">
        <v>3455.6</v>
      </c>
      <c r="AH1011" s="7">
        <v>1428.4</v>
      </c>
      <c r="AI1011" s="7">
        <v>1296.5</v>
      </c>
      <c r="AJ1011" s="7">
        <v>429.8</v>
      </c>
      <c r="AK1011" s="7">
        <v>186.4</v>
      </c>
      <c r="AL1011" s="7">
        <v>114.5</v>
      </c>
      <c r="AM1011" s="7">
        <v>39.0</v>
      </c>
      <c r="AN1011" s="7">
        <v>16.0</v>
      </c>
      <c r="AO1011" s="7">
        <v>32.1</v>
      </c>
      <c r="AP1011" s="9">
        <f t="shared" ref="AP1011:AR1011" si="3159">AG1011/$AF1011</f>
        <v>111.4709677</v>
      </c>
      <c r="AQ1011" s="9">
        <f t="shared" si="3159"/>
        <v>46.07741935</v>
      </c>
      <c r="AR1011" s="9">
        <f t="shared" si="3159"/>
        <v>41.82258065</v>
      </c>
      <c r="AS1011" s="9">
        <f t="shared" si="2233"/>
        <v>87.9</v>
      </c>
      <c r="AT1011" s="9">
        <f t="shared" ref="AT1011:AV1011" si="3160">AJ1011/$AF1011</f>
        <v>13.86451613</v>
      </c>
      <c r="AU1011" s="9">
        <f t="shared" si="3160"/>
        <v>6.012903226</v>
      </c>
      <c r="AV1011" s="9">
        <f t="shared" si="3160"/>
        <v>3.693548387</v>
      </c>
      <c r="AW1011" s="9">
        <f t="shared" si="2235"/>
        <v>9.706451613</v>
      </c>
      <c r="AX1011" s="9">
        <f t="shared" ref="AX1011:AY1011" si="3161">AM1011/$AF1011</f>
        <v>1.258064516</v>
      </c>
      <c r="AY1011" s="9">
        <f t="shared" si="3161"/>
        <v>0.5161290323</v>
      </c>
      <c r="AZ1011" s="9">
        <f>VLOOKUP(A1011,Jogos!A:BN,58,0)</f>
        <v>24.19</v>
      </c>
      <c r="BA1011" s="9">
        <f>VLOOKUP(A1011,Jogos!A:BN,59,0)</f>
        <v>10.305</v>
      </c>
      <c r="BB1011" s="9">
        <f>VLOOKUP(A1011,Jogos!A:BN,60,0)</f>
        <v>41</v>
      </c>
      <c r="BC1011" s="9">
        <f>VLOOKUP(A1011,Jogos!A:BN,61,0)</f>
        <v>21.995</v>
      </c>
      <c r="BD1011" s="9">
        <f>VLOOKUP(A1011,Jogos!A:BN,62,0)</f>
        <v>1019.65</v>
      </c>
      <c r="BE1011" s="9">
        <f>VLOOKUP(A1011,Jogos!A:BN,63,0)</f>
        <v>2.585</v>
      </c>
      <c r="BF1011" s="9">
        <f>VLOOKUP(A1011,Jogos!A:BN,64,0)</f>
        <v>18.23</v>
      </c>
      <c r="BG1011" s="9">
        <f>VLOOKUP(A1011,Jogos!A:BN,65,0)</f>
        <v>34.07</v>
      </c>
      <c r="BH1011" s="9">
        <f>VLOOKUP(A1011,Jogos!A:BN,66,0)</f>
        <v>21.99</v>
      </c>
      <c r="BI1011" s="9"/>
      <c r="BJ1011" s="9"/>
    </row>
    <row r="1012" hidden="1">
      <c r="A1012" s="10">
        <v>34.0</v>
      </c>
      <c r="B1012" s="11" t="s">
        <v>185</v>
      </c>
      <c r="C1012" s="2" t="s">
        <v>61</v>
      </c>
      <c r="D1012" s="12">
        <v>45831.0</v>
      </c>
      <c r="E1012" s="13">
        <v>0.5</v>
      </c>
      <c r="F1012" s="5" t="str">
        <f>VLOOKUP(A1012,Jogos!A:N,10,0)</f>
        <v>Afternoon</v>
      </c>
      <c r="G1012" s="11" t="s">
        <v>186</v>
      </c>
      <c r="H1012" s="6" t="str">
        <f>VLOOKUP(A1012,Jogos!A:L,12,0)</f>
        <v>Open</v>
      </c>
      <c r="I1012" s="6" t="str">
        <f>VLOOKUP(G1012,'Estádios e Cidades'!A:B,2,0)</f>
        <v>Pasadena</v>
      </c>
      <c r="J1012" s="11" t="s">
        <v>313</v>
      </c>
      <c r="K1012" s="2" t="str">
        <f>VLOOKUP(J1012,Equipes!A:F,6,0)</f>
        <v>Tropical</v>
      </c>
      <c r="L1012" s="2">
        <f>VLOOKUP(J1012,Equipes!A:C,3,0)</f>
        <v>14</v>
      </c>
      <c r="M1012" s="2" t="str">
        <f t="shared" si="4"/>
        <v>Round of 16</v>
      </c>
      <c r="N1012" s="11" t="s">
        <v>188</v>
      </c>
      <c r="O1012" s="2">
        <f>VLOOKUP(N1012,Equipes!A:C,3,0)</f>
        <v>17</v>
      </c>
      <c r="P1012" s="2" t="str">
        <f t="shared" si="5"/>
        <v>Group</v>
      </c>
      <c r="Q1012" s="2">
        <f t="shared" si="6"/>
        <v>-3</v>
      </c>
      <c r="R1012" s="2" t="str">
        <f>VLOOKUP(J1012,Equipes!A:B,2,0)</f>
        <v>Botafogo</v>
      </c>
      <c r="S1012" s="6" t="s">
        <v>337</v>
      </c>
      <c r="T1012" s="7">
        <v>23.0</v>
      </c>
      <c r="U1012" s="7" t="s">
        <v>338</v>
      </c>
      <c r="V1012" s="7" t="str">
        <f>VLOOKUP(U1012,Jogadores!B:C,2,0)</f>
        <v>MF</v>
      </c>
      <c r="W1012" s="8">
        <f>VLOOKUP(U1012,Jogadores!B:D,3,0)</f>
        <v>25.56986301</v>
      </c>
      <c r="X1012" s="7">
        <v>74.0</v>
      </c>
      <c r="Y1012" s="7">
        <f t="shared" si="3149"/>
        <v>96</v>
      </c>
      <c r="Z1012" s="7">
        <f>VLOOKUP(A1012,Jogos!A:L,3,0)</f>
        <v>52</v>
      </c>
      <c r="AA1012" s="7">
        <f t="shared" si="2229"/>
        <v>0</v>
      </c>
      <c r="AB1012" s="7">
        <f>VLOOKUP(A1012,Jogos!A:L,4,0)</f>
        <v>51</v>
      </c>
      <c r="AC1012" s="7">
        <f t="shared" si="2230"/>
        <v>22</v>
      </c>
      <c r="AD1012" s="7"/>
      <c r="AE1012" s="7"/>
      <c r="AF1012" s="7">
        <f t="shared" si="2231"/>
        <v>22</v>
      </c>
      <c r="AG1012" s="7">
        <v>3009.4</v>
      </c>
      <c r="AH1012" s="7">
        <v>790.9</v>
      </c>
      <c r="AI1012" s="7">
        <v>1173.1</v>
      </c>
      <c r="AJ1012" s="7">
        <v>662.7</v>
      </c>
      <c r="AK1012" s="7">
        <v>296.3</v>
      </c>
      <c r="AL1012" s="7">
        <v>86.4</v>
      </c>
      <c r="AM1012" s="7">
        <v>50.0</v>
      </c>
      <c r="AN1012" s="7">
        <v>17.0</v>
      </c>
      <c r="AO1012" s="7">
        <v>28.2</v>
      </c>
      <c r="AP1012" s="9">
        <f t="shared" ref="AP1012:AR1012" si="3162">AG1012/$AF1012</f>
        <v>136.7909091</v>
      </c>
      <c r="AQ1012" s="9">
        <f t="shared" si="3162"/>
        <v>35.95</v>
      </c>
      <c r="AR1012" s="9">
        <f t="shared" si="3162"/>
        <v>53.32272727</v>
      </c>
      <c r="AS1012" s="9">
        <f t="shared" si="2233"/>
        <v>89.27272727</v>
      </c>
      <c r="AT1012" s="9">
        <f t="shared" ref="AT1012:AV1012" si="3163">AJ1012/$AF1012</f>
        <v>30.12272727</v>
      </c>
      <c r="AU1012" s="9">
        <f t="shared" si="3163"/>
        <v>13.46818182</v>
      </c>
      <c r="AV1012" s="9">
        <f t="shared" si="3163"/>
        <v>3.927272727</v>
      </c>
      <c r="AW1012" s="9">
        <f t="shared" si="2235"/>
        <v>17.39545455</v>
      </c>
      <c r="AX1012" s="9">
        <f t="shared" ref="AX1012:AY1012" si="3164">AM1012/$AF1012</f>
        <v>2.272727273</v>
      </c>
      <c r="AY1012" s="9">
        <f t="shared" si="3164"/>
        <v>0.7727272727</v>
      </c>
      <c r="AZ1012" s="9">
        <f>VLOOKUP(A1012,Jogos!A:BN,58,0)</f>
        <v>24.19</v>
      </c>
      <c r="BA1012" s="9">
        <f>VLOOKUP(A1012,Jogos!A:BN,59,0)</f>
        <v>10.305</v>
      </c>
      <c r="BB1012" s="9">
        <f>VLOOKUP(A1012,Jogos!A:BN,60,0)</f>
        <v>41</v>
      </c>
      <c r="BC1012" s="9">
        <f>VLOOKUP(A1012,Jogos!A:BN,61,0)</f>
        <v>21.995</v>
      </c>
      <c r="BD1012" s="9">
        <f>VLOOKUP(A1012,Jogos!A:BN,62,0)</f>
        <v>1019.65</v>
      </c>
      <c r="BE1012" s="9">
        <f>VLOOKUP(A1012,Jogos!A:BN,63,0)</f>
        <v>2.585</v>
      </c>
      <c r="BF1012" s="9">
        <f>VLOOKUP(A1012,Jogos!A:BN,64,0)</f>
        <v>18.23</v>
      </c>
      <c r="BG1012" s="9">
        <f>VLOOKUP(A1012,Jogos!A:BN,65,0)</f>
        <v>34.07</v>
      </c>
      <c r="BH1012" s="9">
        <f>VLOOKUP(A1012,Jogos!A:BN,66,0)</f>
        <v>21.99</v>
      </c>
      <c r="BI1012" s="9"/>
      <c r="BJ1012" s="9"/>
    </row>
    <row r="1013" hidden="1">
      <c r="A1013" s="10">
        <v>34.0</v>
      </c>
      <c r="B1013" s="11" t="s">
        <v>185</v>
      </c>
      <c r="C1013" s="2" t="s">
        <v>61</v>
      </c>
      <c r="D1013" s="12">
        <v>45831.0</v>
      </c>
      <c r="E1013" s="13">
        <v>0.5</v>
      </c>
      <c r="F1013" s="5" t="str">
        <f>VLOOKUP(A1013,Jogos!A:N,10,0)</f>
        <v>Afternoon</v>
      </c>
      <c r="G1013" s="11" t="s">
        <v>186</v>
      </c>
      <c r="H1013" s="6" t="str">
        <f>VLOOKUP(A1013,Jogos!A:L,12,0)</f>
        <v>Open</v>
      </c>
      <c r="I1013" s="6" t="str">
        <f>VLOOKUP(G1013,'Estádios e Cidades'!A:B,2,0)</f>
        <v>Pasadena</v>
      </c>
      <c r="J1013" s="11" t="s">
        <v>313</v>
      </c>
      <c r="K1013" s="2" t="str">
        <f>VLOOKUP(J1013,Equipes!A:F,6,0)</f>
        <v>Tropical</v>
      </c>
      <c r="L1013" s="2">
        <f>VLOOKUP(J1013,Equipes!A:C,3,0)</f>
        <v>14</v>
      </c>
      <c r="M1013" s="2" t="str">
        <f t="shared" si="4"/>
        <v>Round of 16</v>
      </c>
      <c r="N1013" s="11" t="s">
        <v>188</v>
      </c>
      <c r="O1013" s="2">
        <f>VLOOKUP(N1013,Equipes!A:C,3,0)</f>
        <v>17</v>
      </c>
      <c r="P1013" s="2" t="str">
        <f t="shared" si="5"/>
        <v>Group</v>
      </c>
      <c r="Q1013" s="2">
        <f t="shared" si="6"/>
        <v>-3</v>
      </c>
      <c r="R1013" s="2" t="str">
        <f>VLOOKUP(J1013,Equipes!A:B,2,0)</f>
        <v>Botafogo</v>
      </c>
      <c r="S1013" s="6" t="s">
        <v>1101</v>
      </c>
      <c r="T1013" s="7">
        <v>28.0</v>
      </c>
      <c r="U1013" s="7" t="s">
        <v>1102</v>
      </c>
      <c r="V1013" s="7" t="str">
        <f>VLOOKUP(U1013,Jogadores!B:C,2,0)</f>
        <v>MF</v>
      </c>
      <c r="W1013" s="8">
        <f>VLOOKUP(U1013,Jogadores!B:D,3,0)</f>
        <v>25.39452055</v>
      </c>
      <c r="X1013" s="7">
        <v>59.0</v>
      </c>
      <c r="Y1013" s="7">
        <f t="shared" si="3149"/>
        <v>96</v>
      </c>
      <c r="Z1013" s="7">
        <f>VLOOKUP(A1013,Jogos!A:L,3,0)</f>
        <v>52</v>
      </c>
      <c r="AA1013" s="7">
        <f t="shared" si="2229"/>
        <v>0</v>
      </c>
      <c r="AB1013" s="7">
        <f>VLOOKUP(A1013,Jogos!A:L,4,0)</f>
        <v>51</v>
      </c>
      <c r="AC1013" s="7">
        <f t="shared" si="2230"/>
        <v>37</v>
      </c>
      <c r="AD1013" s="7"/>
      <c r="AE1013" s="7"/>
      <c r="AF1013" s="7">
        <f t="shared" si="2231"/>
        <v>37</v>
      </c>
      <c r="AG1013" s="7">
        <v>4563.1</v>
      </c>
      <c r="AH1013" s="7">
        <v>1303.7</v>
      </c>
      <c r="AI1013" s="7">
        <v>1965.3</v>
      </c>
      <c r="AJ1013" s="7">
        <v>822.5</v>
      </c>
      <c r="AK1013" s="7">
        <v>417.9</v>
      </c>
      <c r="AL1013" s="7">
        <v>53.7</v>
      </c>
      <c r="AM1013" s="7">
        <v>72.0</v>
      </c>
      <c r="AN1013" s="7">
        <v>33.0</v>
      </c>
      <c r="AO1013" s="7">
        <v>28.0</v>
      </c>
      <c r="AP1013" s="9">
        <f t="shared" ref="AP1013:AR1013" si="3165">AG1013/$AF1013</f>
        <v>123.327027</v>
      </c>
      <c r="AQ1013" s="9">
        <f t="shared" si="3165"/>
        <v>35.23513514</v>
      </c>
      <c r="AR1013" s="9">
        <f t="shared" si="3165"/>
        <v>53.11621622</v>
      </c>
      <c r="AS1013" s="9">
        <f t="shared" si="2233"/>
        <v>88.35135135</v>
      </c>
      <c r="AT1013" s="9">
        <f t="shared" ref="AT1013:AV1013" si="3166">AJ1013/$AF1013</f>
        <v>22.22972973</v>
      </c>
      <c r="AU1013" s="9">
        <f t="shared" si="3166"/>
        <v>11.29459459</v>
      </c>
      <c r="AV1013" s="9">
        <f t="shared" si="3166"/>
        <v>1.451351351</v>
      </c>
      <c r="AW1013" s="9">
        <f t="shared" si="2235"/>
        <v>12.74594595</v>
      </c>
      <c r="AX1013" s="9">
        <f t="shared" ref="AX1013:AY1013" si="3167">AM1013/$AF1013</f>
        <v>1.945945946</v>
      </c>
      <c r="AY1013" s="9">
        <f t="shared" si="3167"/>
        <v>0.8918918919</v>
      </c>
      <c r="AZ1013" s="9">
        <f>VLOOKUP(A1013,Jogos!A:BN,58,0)</f>
        <v>24.19</v>
      </c>
      <c r="BA1013" s="9">
        <f>VLOOKUP(A1013,Jogos!A:BN,59,0)</f>
        <v>10.305</v>
      </c>
      <c r="BB1013" s="9">
        <f>VLOOKUP(A1013,Jogos!A:BN,60,0)</f>
        <v>41</v>
      </c>
      <c r="BC1013" s="9">
        <f>VLOOKUP(A1013,Jogos!A:BN,61,0)</f>
        <v>21.995</v>
      </c>
      <c r="BD1013" s="9">
        <f>VLOOKUP(A1013,Jogos!A:BN,62,0)</f>
        <v>1019.65</v>
      </c>
      <c r="BE1013" s="9">
        <f>VLOOKUP(A1013,Jogos!A:BN,63,0)</f>
        <v>2.585</v>
      </c>
      <c r="BF1013" s="9">
        <f>VLOOKUP(A1013,Jogos!A:BN,64,0)</f>
        <v>18.23</v>
      </c>
      <c r="BG1013" s="9">
        <f>VLOOKUP(A1013,Jogos!A:BN,65,0)</f>
        <v>34.07</v>
      </c>
      <c r="BH1013" s="9">
        <f>VLOOKUP(A1013,Jogos!A:BN,66,0)</f>
        <v>21.99</v>
      </c>
      <c r="BI1013" s="9"/>
      <c r="BJ1013" s="9"/>
    </row>
    <row r="1014" hidden="1">
      <c r="A1014" s="10">
        <v>34.0</v>
      </c>
      <c r="B1014" s="11" t="s">
        <v>185</v>
      </c>
      <c r="C1014" s="2" t="s">
        <v>61</v>
      </c>
      <c r="D1014" s="12">
        <v>45831.0</v>
      </c>
      <c r="E1014" s="13">
        <v>0.5</v>
      </c>
      <c r="F1014" s="5" t="str">
        <f>VLOOKUP(A1014,Jogos!A:N,10,0)</f>
        <v>Afternoon</v>
      </c>
      <c r="G1014" s="11" t="s">
        <v>186</v>
      </c>
      <c r="H1014" s="6" t="str">
        <f>VLOOKUP(A1014,Jogos!A:L,12,0)</f>
        <v>Open</v>
      </c>
      <c r="I1014" s="6" t="str">
        <f>VLOOKUP(G1014,'Estádios e Cidades'!A:B,2,0)</f>
        <v>Pasadena</v>
      </c>
      <c r="J1014" s="11" t="s">
        <v>313</v>
      </c>
      <c r="K1014" s="2" t="str">
        <f>VLOOKUP(J1014,Equipes!A:F,6,0)</f>
        <v>Tropical</v>
      </c>
      <c r="L1014" s="2">
        <f>VLOOKUP(J1014,Equipes!A:C,3,0)</f>
        <v>14</v>
      </c>
      <c r="M1014" s="2" t="str">
        <f t="shared" si="4"/>
        <v>Round of 16</v>
      </c>
      <c r="N1014" s="11" t="s">
        <v>188</v>
      </c>
      <c r="O1014" s="2">
        <f>VLOOKUP(N1014,Equipes!A:C,3,0)</f>
        <v>17</v>
      </c>
      <c r="P1014" s="2" t="str">
        <f t="shared" si="5"/>
        <v>Group</v>
      </c>
      <c r="Q1014" s="2">
        <f t="shared" si="6"/>
        <v>-3</v>
      </c>
      <c r="R1014" s="2" t="str">
        <f>VLOOKUP(J1014,Equipes!A:B,2,0)</f>
        <v>Botafogo</v>
      </c>
      <c r="S1014" s="6" t="s">
        <v>341</v>
      </c>
      <c r="T1014" s="7">
        <v>66.0</v>
      </c>
      <c r="U1014" s="7" t="s">
        <v>342</v>
      </c>
      <c r="V1014" s="7" t="str">
        <f>VLOOKUP(U1014,Jogadores!B:C,2,0)</f>
        <v>DF</v>
      </c>
      <c r="W1014" s="8">
        <f>VLOOKUP(U1014,Jogadores!B:D,3,0)</f>
        <v>22.46027397</v>
      </c>
      <c r="X1014" s="7">
        <v>65.0</v>
      </c>
      <c r="Y1014" s="7">
        <f t="shared" si="3149"/>
        <v>96</v>
      </c>
      <c r="Z1014" s="7">
        <f>VLOOKUP(A1014,Jogos!A:L,3,0)</f>
        <v>52</v>
      </c>
      <c r="AA1014" s="7">
        <f t="shared" si="2229"/>
        <v>0</v>
      </c>
      <c r="AB1014" s="7">
        <f>VLOOKUP(A1014,Jogos!A:L,4,0)</f>
        <v>51</v>
      </c>
      <c r="AC1014" s="7">
        <f t="shared" si="2230"/>
        <v>31</v>
      </c>
      <c r="AD1014" s="7"/>
      <c r="AE1014" s="7"/>
      <c r="AF1014" s="7">
        <f t="shared" si="2231"/>
        <v>31</v>
      </c>
      <c r="AG1014" s="7">
        <v>3568.1</v>
      </c>
      <c r="AH1014" s="7">
        <v>1291.2</v>
      </c>
      <c r="AI1014" s="7">
        <v>1382.4</v>
      </c>
      <c r="AJ1014" s="7">
        <v>550.1</v>
      </c>
      <c r="AK1014" s="7">
        <v>282.7</v>
      </c>
      <c r="AL1014" s="7">
        <v>61.8</v>
      </c>
      <c r="AM1014" s="7">
        <v>45.0</v>
      </c>
      <c r="AN1014" s="7">
        <v>20.0</v>
      </c>
      <c r="AO1014" s="7">
        <v>29.5</v>
      </c>
      <c r="AP1014" s="9">
        <f t="shared" ref="AP1014:AR1014" si="3168">AG1014/$AF1014</f>
        <v>115.1</v>
      </c>
      <c r="AQ1014" s="9">
        <f t="shared" si="3168"/>
        <v>41.6516129</v>
      </c>
      <c r="AR1014" s="9">
        <f t="shared" si="3168"/>
        <v>44.59354839</v>
      </c>
      <c r="AS1014" s="9">
        <f t="shared" si="2233"/>
        <v>86.24516129</v>
      </c>
      <c r="AT1014" s="9">
        <f t="shared" ref="AT1014:AV1014" si="3169">AJ1014/$AF1014</f>
        <v>17.74516129</v>
      </c>
      <c r="AU1014" s="9">
        <f t="shared" si="3169"/>
        <v>9.119354839</v>
      </c>
      <c r="AV1014" s="9">
        <f t="shared" si="3169"/>
        <v>1.993548387</v>
      </c>
      <c r="AW1014" s="9">
        <f t="shared" si="2235"/>
        <v>11.11290323</v>
      </c>
      <c r="AX1014" s="9">
        <f t="shared" ref="AX1014:AY1014" si="3170">AM1014/$AF1014</f>
        <v>1.451612903</v>
      </c>
      <c r="AY1014" s="9">
        <f t="shared" si="3170"/>
        <v>0.6451612903</v>
      </c>
      <c r="AZ1014" s="9">
        <f>VLOOKUP(A1014,Jogos!A:BN,58,0)</f>
        <v>24.19</v>
      </c>
      <c r="BA1014" s="9">
        <f>VLOOKUP(A1014,Jogos!A:BN,59,0)</f>
        <v>10.305</v>
      </c>
      <c r="BB1014" s="9">
        <f>VLOOKUP(A1014,Jogos!A:BN,60,0)</f>
        <v>41</v>
      </c>
      <c r="BC1014" s="9">
        <f>VLOOKUP(A1014,Jogos!A:BN,61,0)</f>
        <v>21.995</v>
      </c>
      <c r="BD1014" s="9">
        <f>VLOOKUP(A1014,Jogos!A:BN,62,0)</f>
        <v>1019.65</v>
      </c>
      <c r="BE1014" s="9">
        <f>VLOOKUP(A1014,Jogos!A:BN,63,0)</f>
        <v>2.585</v>
      </c>
      <c r="BF1014" s="9">
        <f>VLOOKUP(A1014,Jogos!A:BN,64,0)</f>
        <v>18.23</v>
      </c>
      <c r="BG1014" s="9">
        <f>VLOOKUP(A1014,Jogos!A:BN,65,0)</f>
        <v>34.07</v>
      </c>
      <c r="BH1014" s="9">
        <f>VLOOKUP(A1014,Jogos!A:BN,66,0)</f>
        <v>21.99</v>
      </c>
      <c r="BI1014" s="9"/>
      <c r="BJ1014" s="9"/>
    </row>
    <row r="1015" hidden="1">
      <c r="A1015" s="2">
        <v>35.0</v>
      </c>
      <c r="B1015" s="2" t="s">
        <v>60</v>
      </c>
      <c r="C1015" s="2" t="s">
        <v>61</v>
      </c>
      <c r="D1015" s="3">
        <v>45831.0</v>
      </c>
      <c r="E1015" s="4">
        <v>0.875</v>
      </c>
      <c r="F1015" s="5" t="str">
        <f>VLOOKUP(A1015,Jogos!A:N,10,0)</f>
        <v>Evening</v>
      </c>
      <c r="G1015" s="2" t="s">
        <v>62</v>
      </c>
      <c r="H1015" s="6" t="str">
        <f>VLOOKUP(A1015,Jogos!A:L,12,0)</f>
        <v>Open</v>
      </c>
      <c r="I1015" s="6" t="str">
        <f>VLOOKUP(G1015,'Estádios e Cidades'!A:B,2,0)</f>
        <v>Miami Gardens - Flórida</v>
      </c>
      <c r="J1015" s="2" t="s">
        <v>64</v>
      </c>
      <c r="K1015" s="2" t="str">
        <f>VLOOKUP(J1015,Equipes!A:F,6,0)</f>
        <v>Tropical</v>
      </c>
      <c r="L1015" s="2">
        <f>VLOOKUP(J1015,Equipes!A:C,3,0)</f>
        <v>16</v>
      </c>
      <c r="M1015" s="2" t="str">
        <f t="shared" si="4"/>
        <v>Round of 16</v>
      </c>
      <c r="N1015" s="2" t="s">
        <v>250</v>
      </c>
      <c r="O1015" s="2">
        <f>VLOOKUP(N1015,Equipes!A:C,3,0)</f>
        <v>8</v>
      </c>
      <c r="P1015" s="2" t="str">
        <f t="shared" si="5"/>
        <v>Quarter-final</v>
      </c>
      <c r="Q1015" s="2">
        <f t="shared" si="6"/>
        <v>8</v>
      </c>
      <c r="R1015" s="2" t="str">
        <f>VLOOKUP(J1015,Equipes!A:B,2,0)</f>
        <v>InterMiami</v>
      </c>
      <c r="S1015" s="6" t="s">
        <v>95</v>
      </c>
      <c r="T1015" s="7">
        <v>5.0</v>
      </c>
      <c r="U1015" s="7" t="s">
        <v>96</v>
      </c>
      <c r="V1015" s="7" t="str">
        <f>VLOOKUP(U1015,Jogadores!B:C,2,0)</f>
        <v>MF</v>
      </c>
      <c r="W1015" s="8">
        <f>VLOOKUP(U1015,Jogadores!B:D,3,0)</f>
        <v>37.05753425</v>
      </c>
      <c r="X1015" s="7">
        <v>0.0</v>
      </c>
      <c r="Y1015" s="7">
        <f t="shared" si="3149"/>
        <v>94</v>
      </c>
      <c r="Z1015" s="7">
        <f>VLOOKUP(A1015,Jogos!A:L,3,0)</f>
        <v>47</v>
      </c>
      <c r="AA1015" s="7">
        <f t="shared" si="2229"/>
        <v>47</v>
      </c>
      <c r="AB1015" s="7">
        <f>VLOOKUP(A1015,Jogos!A:L,4,0)</f>
        <v>49</v>
      </c>
      <c r="AC1015" s="7">
        <f t="shared" si="2230"/>
        <v>49</v>
      </c>
      <c r="AD1015" s="7"/>
      <c r="AE1015" s="7"/>
      <c r="AF1015" s="7">
        <f t="shared" si="2231"/>
        <v>96</v>
      </c>
      <c r="AG1015" s="7">
        <v>10082.7</v>
      </c>
      <c r="AH1015" s="7">
        <v>4145.7</v>
      </c>
      <c r="AI1015" s="7">
        <v>4565.0</v>
      </c>
      <c r="AJ1015" s="7">
        <v>1083.8</v>
      </c>
      <c r="AK1015" s="7">
        <v>240.6</v>
      </c>
      <c r="AL1015" s="7">
        <v>47.6</v>
      </c>
      <c r="AM1015" s="7">
        <v>104.0</v>
      </c>
      <c r="AN1015" s="7">
        <v>16.0</v>
      </c>
      <c r="AO1015" s="7">
        <v>27.3</v>
      </c>
      <c r="AP1015" s="9">
        <f t="shared" ref="AP1015:AR1015" si="3171">AG1015/$AF1015</f>
        <v>105.028125</v>
      </c>
      <c r="AQ1015" s="9">
        <f t="shared" si="3171"/>
        <v>43.184375</v>
      </c>
      <c r="AR1015" s="9">
        <f t="shared" si="3171"/>
        <v>47.55208333</v>
      </c>
      <c r="AS1015" s="9">
        <f t="shared" si="2233"/>
        <v>90.73645833</v>
      </c>
      <c r="AT1015" s="9">
        <f t="shared" ref="AT1015:AV1015" si="3172">AJ1015/$AF1015</f>
        <v>11.28958333</v>
      </c>
      <c r="AU1015" s="9">
        <f t="shared" si="3172"/>
        <v>2.50625</v>
      </c>
      <c r="AV1015" s="9">
        <f t="shared" si="3172"/>
        <v>0.4958333333</v>
      </c>
      <c r="AW1015" s="9">
        <f t="shared" si="2235"/>
        <v>3.002083333</v>
      </c>
      <c r="AX1015" s="9">
        <f t="shared" ref="AX1015:AY1015" si="3173">AM1015/$AF1015</f>
        <v>1.083333333</v>
      </c>
      <c r="AY1015" s="9">
        <f t="shared" si="3173"/>
        <v>0.1666666667</v>
      </c>
      <c r="AZ1015" s="9">
        <f>VLOOKUP(A1015,Jogos!A:BN,58,0)</f>
        <v>27.835</v>
      </c>
      <c r="BA1015" s="9">
        <f>VLOOKUP(A1015,Jogos!A:BN,59,0)</f>
        <v>23.2</v>
      </c>
      <c r="BB1015" s="9">
        <f>VLOOKUP(A1015,Jogos!A:BN,60,0)</f>
        <v>75.5</v>
      </c>
      <c r="BC1015" s="9">
        <f>VLOOKUP(A1015,Jogos!A:BN,61,0)</f>
        <v>26.965</v>
      </c>
      <c r="BD1015" s="9">
        <f>VLOOKUP(A1015,Jogos!A:BN,62,0)</f>
        <v>0</v>
      </c>
      <c r="BE1015" s="9">
        <f>VLOOKUP(A1015,Jogos!A:BN,63,0)</f>
        <v>2.185</v>
      </c>
      <c r="BF1015" s="9">
        <f>VLOOKUP(A1015,Jogos!A:BN,64,0)</f>
        <v>24.65</v>
      </c>
      <c r="BG1015" s="9">
        <f>VLOOKUP(A1015,Jogos!A:BN,65,0)</f>
        <v>42.37</v>
      </c>
      <c r="BH1015" s="9">
        <f>VLOOKUP(A1015,Jogos!A:BN,66,0)</f>
        <v>28.515</v>
      </c>
      <c r="BI1015" s="9"/>
      <c r="BJ1015" s="9"/>
    </row>
    <row r="1016" hidden="1">
      <c r="A1016" s="2">
        <v>35.0</v>
      </c>
      <c r="B1016" s="2" t="s">
        <v>60</v>
      </c>
      <c r="C1016" s="2" t="s">
        <v>61</v>
      </c>
      <c r="D1016" s="3">
        <v>45831.0</v>
      </c>
      <c r="E1016" s="4">
        <v>0.875</v>
      </c>
      <c r="F1016" s="5" t="str">
        <f>VLOOKUP(A1016,Jogos!A:N,10,0)</f>
        <v>Evening</v>
      </c>
      <c r="G1016" s="2" t="s">
        <v>62</v>
      </c>
      <c r="H1016" s="6" t="str">
        <f>VLOOKUP(A1016,Jogos!A:L,12,0)</f>
        <v>Open</v>
      </c>
      <c r="I1016" s="6" t="str">
        <f>VLOOKUP(G1016,'Estádios e Cidades'!A:B,2,0)</f>
        <v>Miami Gardens - Flórida</v>
      </c>
      <c r="J1016" s="2" t="s">
        <v>64</v>
      </c>
      <c r="K1016" s="2" t="str">
        <f>VLOOKUP(J1016,Equipes!A:F,6,0)</f>
        <v>Tropical</v>
      </c>
      <c r="L1016" s="2">
        <f>VLOOKUP(J1016,Equipes!A:C,3,0)</f>
        <v>16</v>
      </c>
      <c r="M1016" s="2" t="str">
        <f t="shared" si="4"/>
        <v>Round of 16</v>
      </c>
      <c r="N1016" s="2" t="s">
        <v>250</v>
      </c>
      <c r="O1016" s="2">
        <f>VLOOKUP(N1016,Equipes!A:C,3,0)</f>
        <v>8</v>
      </c>
      <c r="P1016" s="2" t="str">
        <f t="shared" si="5"/>
        <v>Quarter-final</v>
      </c>
      <c r="Q1016" s="2">
        <f t="shared" si="6"/>
        <v>8</v>
      </c>
      <c r="R1016" s="2" t="str">
        <f>VLOOKUP(J1016,Equipes!A:B,2,0)</f>
        <v>InterMiami</v>
      </c>
      <c r="S1016" s="6" t="s">
        <v>97</v>
      </c>
      <c r="T1016" s="7">
        <v>6.0</v>
      </c>
      <c r="U1016" s="7" t="s">
        <v>98</v>
      </c>
      <c r="V1016" s="7" t="str">
        <f>VLOOKUP(U1016,Jogadores!B:C,2,0)</f>
        <v>DF</v>
      </c>
      <c r="W1016" s="8">
        <f>VLOOKUP(U1016,Jogadores!B:D,3,0)</f>
        <v>21.49589041</v>
      </c>
      <c r="X1016" s="7">
        <v>0.0</v>
      </c>
      <c r="Y1016" s="7">
        <f t="shared" si="3149"/>
        <v>94</v>
      </c>
      <c r="Z1016" s="7">
        <f>VLOOKUP(A1016,Jogos!A:L,3,0)</f>
        <v>47</v>
      </c>
      <c r="AA1016" s="7">
        <f t="shared" si="2229"/>
        <v>47</v>
      </c>
      <c r="AB1016" s="7">
        <f>VLOOKUP(A1016,Jogos!A:L,4,0)</f>
        <v>49</v>
      </c>
      <c r="AC1016" s="7">
        <f t="shared" si="2230"/>
        <v>49</v>
      </c>
      <c r="AD1016" s="7"/>
      <c r="AE1016" s="7"/>
      <c r="AF1016" s="7">
        <f t="shared" si="2231"/>
        <v>96</v>
      </c>
      <c r="AG1016" s="7">
        <v>9426.5</v>
      </c>
      <c r="AH1016" s="7">
        <v>4169.2</v>
      </c>
      <c r="AI1016" s="7">
        <v>4067.4</v>
      </c>
      <c r="AJ1016" s="7">
        <v>801.2</v>
      </c>
      <c r="AK1016" s="7">
        <v>289.6</v>
      </c>
      <c r="AL1016" s="7">
        <v>99.0</v>
      </c>
      <c r="AM1016" s="7">
        <v>73.0</v>
      </c>
      <c r="AN1016" s="7">
        <v>25.0</v>
      </c>
      <c r="AO1016" s="7">
        <v>30.5</v>
      </c>
      <c r="AP1016" s="9">
        <f t="shared" ref="AP1016:AR1016" si="3174">AG1016/$AF1016</f>
        <v>98.19270833</v>
      </c>
      <c r="AQ1016" s="9">
        <f t="shared" si="3174"/>
        <v>43.42916667</v>
      </c>
      <c r="AR1016" s="9">
        <f t="shared" si="3174"/>
        <v>42.36875</v>
      </c>
      <c r="AS1016" s="9">
        <f t="shared" si="2233"/>
        <v>85.79791667</v>
      </c>
      <c r="AT1016" s="9">
        <f t="shared" ref="AT1016:AV1016" si="3175">AJ1016/$AF1016</f>
        <v>8.345833333</v>
      </c>
      <c r="AU1016" s="9">
        <f t="shared" si="3175"/>
        <v>3.016666667</v>
      </c>
      <c r="AV1016" s="9">
        <f t="shared" si="3175"/>
        <v>1.03125</v>
      </c>
      <c r="AW1016" s="9">
        <f t="shared" si="2235"/>
        <v>4.047916667</v>
      </c>
      <c r="AX1016" s="9">
        <f t="shared" ref="AX1016:AY1016" si="3176">AM1016/$AF1016</f>
        <v>0.7604166667</v>
      </c>
      <c r="AY1016" s="9">
        <f t="shared" si="3176"/>
        <v>0.2604166667</v>
      </c>
      <c r="AZ1016" s="9">
        <f>VLOOKUP(A1016,Jogos!A:BN,58,0)</f>
        <v>27.835</v>
      </c>
      <c r="BA1016" s="9">
        <f>VLOOKUP(A1016,Jogos!A:BN,59,0)</f>
        <v>23.2</v>
      </c>
      <c r="BB1016" s="9">
        <f>VLOOKUP(A1016,Jogos!A:BN,60,0)</f>
        <v>75.5</v>
      </c>
      <c r="BC1016" s="9">
        <f>VLOOKUP(A1016,Jogos!A:BN,61,0)</f>
        <v>26.965</v>
      </c>
      <c r="BD1016" s="9">
        <f>VLOOKUP(A1016,Jogos!A:BN,62,0)</f>
        <v>0</v>
      </c>
      <c r="BE1016" s="9">
        <f>VLOOKUP(A1016,Jogos!A:BN,63,0)</f>
        <v>2.185</v>
      </c>
      <c r="BF1016" s="9">
        <f>VLOOKUP(A1016,Jogos!A:BN,64,0)</f>
        <v>24.65</v>
      </c>
      <c r="BG1016" s="9">
        <f>VLOOKUP(A1016,Jogos!A:BN,65,0)</f>
        <v>42.37</v>
      </c>
      <c r="BH1016" s="9">
        <f>VLOOKUP(A1016,Jogos!A:BN,66,0)</f>
        <v>28.515</v>
      </c>
      <c r="BI1016" s="9"/>
      <c r="BJ1016" s="9"/>
    </row>
    <row r="1017" hidden="1">
      <c r="A1017" s="2">
        <v>35.0</v>
      </c>
      <c r="B1017" s="2" t="s">
        <v>60</v>
      </c>
      <c r="C1017" s="2" t="s">
        <v>61</v>
      </c>
      <c r="D1017" s="3">
        <v>45831.0</v>
      </c>
      <c r="E1017" s="4">
        <v>0.875</v>
      </c>
      <c r="F1017" s="5" t="str">
        <f>VLOOKUP(A1017,Jogos!A:N,10,0)</f>
        <v>Evening</v>
      </c>
      <c r="G1017" s="2" t="s">
        <v>62</v>
      </c>
      <c r="H1017" s="6" t="str">
        <f>VLOOKUP(A1017,Jogos!A:L,12,0)</f>
        <v>Open</v>
      </c>
      <c r="I1017" s="6" t="str">
        <f>VLOOKUP(G1017,'Estádios e Cidades'!A:B,2,0)</f>
        <v>Miami Gardens - Flórida</v>
      </c>
      <c r="J1017" s="2" t="s">
        <v>64</v>
      </c>
      <c r="K1017" s="2" t="str">
        <f>VLOOKUP(J1017,Equipes!A:F,6,0)</f>
        <v>Tropical</v>
      </c>
      <c r="L1017" s="2">
        <f>VLOOKUP(J1017,Equipes!A:C,3,0)</f>
        <v>16</v>
      </c>
      <c r="M1017" s="2" t="str">
        <f t="shared" si="4"/>
        <v>Round of 16</v>
      </c>
      <c r="N1017" s="2" t="s">
        <v>250</v>
      </c>
      <c r="O1017" s="2">
        <f>VLOOKUP(N1017,Equipes!A:C,3,0)</f>
        <v>8</v>
      </c>
      <c r="P1017" s="2" t="str">
        <f t="shared" si="5"/>
        <v>Quarter-final</v>
      </c>
      <c r="Q1017" s="2">
        <f t="shared" si="6"/>
        <v>8</v>
      </c>
      <c r="R1017" s="2" t="str">
        <f>VLOOKUP(J1017,Equipes!A:B,2,0)</f>
        <v>InterMiami</v>
      </c>
      <c r="S1017" s="6" t="s">
        <v>99</v>
      </c>
      <c r="T1017" s="7">
        <v>8.0</v>
      </c>
      <c r="U1017" s="7" t="s">
        <v>100</v>
      </c>
      <c r="V1017" s="7" t="str">
        <f>VLOOKUP(U1017,Jogadores!B:C,2,0)</f>
        <v>MF</v>
      </c>
      <c r="W1017" s="8">
        <f>VLOOKUP(U1017,Jogadores!B:D,3,0)</f>
        <v>22.3369863</v>
      </c>
      <c r="X1017" s="7">
        <v>0.0</v>
      </c>
      <c r="Y1017" s="7">
        <v>66.0</v>
      </c>
      <c r="Z1017" s="7">
        <f>VLOOKUP(A1017,Jogos!A:L,3,0)</f>
        <v>47</v>
      </c>
      <c r="AA1017" s="7">
        <f t="shared" si="2229"/>
        <v>47</v>
      </c>
      <c r="AB1017" s="7">
        <f>VLOOKUP(A1017,Jogos!A:L,4,0)</f>
        <v>49</v>
      </c>
      <c r="AC1017" s="7">
        <f t="shared" si="2230"/>
        <v>21</v>
      </c>
      <c r="AD1017" s="7"/>
      <c r="AE1017" s="7"/>
      <c r="AF1017" s="7">
        <f t="shared" si="2231"/>
        <v>68</v>
      </c>
      <c r="AG1017" s="7">
        <v>8374.2</v>
      </c>
      <c r="AH1017" s="7">
        <v>3142.7</v>
      </c>
      <c r="AI1017" s="7">
        <v>2941.3</v>
      </c>
      <c r="AJ1017" s="7">
        <v>1485.1</v>
      </c>
      <c r="AK1017" s="7">
        <v>738.9</v>
      </c>
      <c r="AL1017" s="7">
        <v>66.3</v>
      </c>
      <c r="AM1017" s="7">
        <v>138.0</v>
      </c>
      <c r="AN1017" s="7">
        <v>51.0</v>
      </c>
      <c r="AO1017" s="7">
        <v>27.4</v>
      </c>
      <c r="AP1017" s="9">
        <f t="shared" ref="AP1017:AR1017" si="3177">AG1017/$AF1017</f>
        <v>123.15</v>
      </c>
      <c r="AQ1017" s="9">
        <f t="shared" si="3177"/>
        <v>46.21617647</v>
      </c>
      <c r="AR1017" s="9">
        <f t="shared" si="3177"/>
        <v>43.25441176</v>
      </c>
      <c r="AS1017" s="9">
        <f t="shared" si="2233"/>
        <v>89.47058824</v>
      </c>
      <c r="AT1017" s="9">
        <f t="shared" ref="AT1017:AV1017" si="3178">AJ1017/$AF1017</f>
        <v>21.83970588</v>
      </c>
      <c r="AU1017" s="9">
        <f t="shared" si="3178"/>
        <v>10.86617647</v>
      </c>
      <c r="AV1017" s="9">
        <f t="shared" si="3178"/>
        <v>0.975</v>
      </c>
      <c r="AW1017" s="9">
        <f t="shared" si="2235"/>
        <v>11.84117647</v>
      </c>
      <c r="AX1017" s="9">
        <f t="shared" ref="AX1017:AY1017" si="3179">AM1017/$AF1017</f>
        <v>2.029411765</v>
      </c>
      <c r="AY1017" s="9">
        <f t="shared" si="3179"/>
        <v>0.75</v>
      </c>
      <c r="AZ1017" s="9">
        <f>VLOOKUP(A1017,Jogos!A:BN,58,0)</f>
        <v>27.835</v>
      </c>
      <c r="BA1017" s="9">
        <f>VLOOKUP(A1017,Jogos!A:BN,59,0)</f>
        <v>23.2</v>
      </c>
      <c r="BB1017" s="9">
        <f>VLOOKUP(A1017,Jogos!A:BN,60,0)</f>
        <v>75.5</v>
      </c>
      <c r="BC1017" s="9">
        <f>VLOOKUP(A1017,Jogos!A:BN,61,0)</f>
        <v>26.965</v>
      </c>
      <c r="BD1017" s="9">
        <f>VLOOKUP(A1017,Jogos!A:BN,62,0)</f>
        <v>0</v>
      </c>
      <c r="BE1017" s="9">
        <f>VLOOKUP(A1017,Jogos!A:BN,63,0)</f>
        <v>2.185</v>
      </c>
      <c r="BF1017" s="9">
        <f>VLOOKUP(A1017,Jogos!A:BN,64,0)</f>
        <v>24.65</v>
      </c>
      <c r="BG1017" s="9">
        <f>VLOOKUP(A1017,Jogos!A:BN,65,0)</f>
        <v>42.37</v>
      </c>
      <c r="BH1017" s="9">
        <f>VLOOKUP(A1017,Jogos!A:BN,66,0)</f>
        <v>28.515</v>
      </c>
      <c r="BI1017" s="9"/>
      <c r="BJ1017" s="9"/>
    </row>
    <row r="1018" hidden="1">
      <c r="A1018" s="2">
        <v>35.0</v>
      </c>
      <c r="B1018" s="2" t="s">
        <v>60</v>
      </c>
      <c r="C1018" s="2" t="s">
        <v>61</v>
      </c>
      <c r="D1018" s="3">
        <v>45831.0</v>
      </c>
      <c r="E1018" s="4">
        <v>0.875</v>
      </c>
      <c r="F1018" s="5" t="str">
        <f>VLOOKUP(A1018,Jogos!A:N,10,0)</f>
        <v>Evening</v>
      </c>
      <c r="G1018" s="2" t="s">
        <v>62</v>
      </c>
      <c r="H1018" s="6" t="str">
        <f>VLOOKUP(A1018,Jogos!A:L,12,0)</f>
        <v>Open</v>
      </c>
      <c r="I1018" s="6" t="str">
        <f>VLOOKUP(G1018,'Estádios e Cidades'!A:B,2,0)</f>
        <v>Miami Gardens - Flórida</v>
      </c>
      <c r="J1018" s="2" t="s">
        <v>64</v>
      </c>
      <c r="K1018" s="2" t="str">
        <f>VLOOKUP(J1018,Equipes!A:F,6,0)</f>
        <v>Tropical</v>
      </c>
      <c r="L1018" s="2">
        <f>VLOOKUP(J1018,Equipes!A:C,3,0)</f>
        <v>16</v>
      </c>
      <c r="M1018" s="2" t="str">
        <f t="shared" si="4"/>
        <v>Round of 16</v>
      </c>
      <c r="N1018" s="2" t="s">
        <v>250</v>
      </c>
      <c r="O1018" s="2">
        <f>VLOOKUP(N1018,Equipes!A:C,3,0)</f>
        <v>8</v>
      </c>
      <c r="P1018" s="2" t="str">
        <f t="shared" si="5"/>
        <v>Quarter-final</v>
      </c>
      <c r="Q1018" s="2">
        <f t="shared" si="6"/>
        <v>8</v>
      </c>
      <c r="R1018" s="2" t="str">
        <f>VLOOKUP(J1018,Equipes!A:B,2,0)</f>
        <v>InterMiami</v>
      </c>
      <c r="S1018" s="6" t="s">
        <v>101</v>
      </c>
      <c r="T1018" s="7">
        <v>9.0</v>
      </c>
      <c r="U1018" s="7" t="s">
        <v>102</v>
      </c>
      <c r="V1018" s="7" t="str">
        <f>VLOOKUP(U1018,Jogadores!B:C,2,0)</f>
        <v>FW</v>
      </c>
      <c r="W1018" s="8">
        <f>VLOOKUP(U1018,Jogadores!B:D,3,0)</f>
        <v>38.53424658</v>
      </c>
      <c r="X1018" s="7">
        <v>0.0</v>
      </c>
      <c r="Y1018" s="7">
        <v>73.0</v>
      </c>
      <c r="Z1018" s="7">
        <f>VLOOKUP(A1018,Jogos!A:L,3,0)</f>
        <v>47</v>
      </c>
      <c r="AA1018" s="7">
        <f t="shared" si="2229"/>
        <v>47</v>
      </c>
      <c r="AB1018" s="7">
        <f>VLOOKUP(A1018,Jogos!A:L,4,0)</f>
        <v>49</v>
      </c>
      <c r="AC1018" s="7">
        <f t="shared" si="2230"/>
        <v>28</v>
      </c>
      <c r="AD1018" s="7"/>
      <c r="AE1018" s="7"/>
      <c r="AF1018" s="7">
        <f t="shared" si="2231"/>
        <v>75</v>
      </c>
      <c r="AG1018" s="7">
        <v>7878.5</v>
      </c>
      <c r="AH1018" s="7">
        <v>3318.3</v>
      </c>
      <c r="AI1018" s="7">
        <v>3102.5</v>
      </c>
      <c r="AJ1018" s="7">
        <v>878.6</v>
      </c>
      <c r="AK1018" s="7">
        <v>444.3</v>
      </c>
      <c r="AL1018" s="7">
        <v>134.8</v>
      </c>
      <c r="AM1018" s="7">
        <v>84.0</v>
      </c>
      <c r="AN1018" s="7">
        <v>36.0</v>
      </c>
      <c r="AO1018" s="7">
        <v>27.7</v>
      </c>
      <c r="AP1018" s="9">
        <f t="shared" ref="AP1018:AR1018" si="3180">AG1018/$AF1018</f>
        <v>105.0466667</v>
      </c>
      <c r="AQ1018" s="9">
        <f t="shared" si="3180"/>
        <v>44.244</v>
      </c>
      <c r="AR1018" s="9">
        <f t="shared" si="3180"/>
        <v>41.36666667</v>
      </c>
      <c r="AS1018" s="9">
        <f t="shared" si="2233"/>
        <v>85.61066667</v>
      </c>
      <c r="AT1018" s="9">
        <f t="shared" ref="AT1018:AV1018" si="3181">AJ1018/$AF1018</f>
        <v>11.71466667</v>
      </c>
      <c r="AU1018" s="9">
        <f t="shared" si="3181"/>
        <v>5.924</v>
      </c>
      <c r="AV1018" s="9">
        <f t="shared" si="3181"/>
        <v>1.797333333</v>
      </c>
      <c r="AW1018" s="9">
        <f t="shared" si="2235"/>
        <v>7.721333333</v>
      </c>
      <c r="AX1018" s="9">
        <f t="shared" ref="AX1018:AY1018" si="3182">AM1018/$AF1018</f>
        <v>1.12</v>
      </c>
      <c r="AY1018" s="9">
        <f t="shared" si="3182"/>
        <v>0.48</v>
      </c>
      <c r="AZ1018" s="9">
        <f>VLOOKUP(A1018,Jogos!A:BN,58,0)</f>
        <v>27.835</v>
      </c>
      <c r="BA1018" s="9">
        <f>VLOOKUP(A1018,Jogos!A:BN,59,0)</f>
        <v>23.2</v>
      </c>
      <c r="BB1018" s="9">
        <f>VLOOKUP(A1018,Jogos!A:BN,60,0)</f>
        <v>75.5</v>
      </c>
      <c r="BC1018" s="9">
        <f>VLOOKUP(A1018,Jogos!A:BN,61,0)</f>
        <v>26.965</v>
      </c>
      <c r="BD1018" s="9">
        <f>VLOOKUP(A1018,Jogos!A:BN,62,0)</f>
        <v>0</v>
      </c>
      <c r="BE1018" s="9">
        <f>VLOOKUP(A1018,Jogos!A:BN,63,0)</f>
        <v>2.185</v>
      </c>
      <c r="BF1018" s="9">
        <f>VLOOKUP(A1018,Jogos!A:BN,64,0)</f>
        <v>24.65</v>
      </c>
      <c r="BG1018" s="9">
        <f>VLOOKUP(A1018,Jogos!A:BN,65,0)</f>
        <v>42.37</v>
      </c>
      <c r="BH1018" s="9">
        <f>VLOOKUP(A1018,Jogos!A:BN,66,0)</f>
        <v>28.515</v>
      </c>
      <c r="BI1018" s="9"/>
      <c r="BJ1018" s="9"/>
    </row>
    <row r="1019" hidden="1">
      <c r="A1019" s="2">
        <v>35.0</v>
      </c>
      <c r="B1019" s="2" t="s">
        <v>60</v>
      </c>
      <c r="C1019" s="2" t="s">
        <v>61</v>
      </c>
      <c r="D1019" s="3">
        <v>45831.0</v>
      </c>
      <c r="E1019" s="4">
        <v>0.875</v>
      </c>
      <c r="F1019" s="5" t="str">
        <f>VLOOKUP(A1019,Jogos!A:N,10,0)</f>
        <v>Evening</v>
      </c>
      <c r="G1019" s="2" t="s">
        <v>62</v>
      </c>
      <c r="H1019" s="6" t="str">
        <f>VLOOKUP(A1019,Jogos!A:L,12,0)</f>
        <v>Open</v>
      </c>
      <c r="I1019" s="6" t="str">
        <f>VLOOKUP(G1019,'Estádios e Cidades'!A:B,2,0)</f>
        <v>Miami Gardens - Flórida</v>
      </c>
      <c r="J1019" s="2" t="s">
        <v>64</v>
      </c>
      <c r="K1019" s="2" t="str">
        <f>VLOOKUP(J1019,Equipes!A:F,6,0)</f>
        <v>Tropical</v>
      </c>
      <c r="L1019" s="2">
        <f>VLOOKUP(J1019,Equipes!A:C,3,0)</f>
        <v>16</v>
      </c>
      <c r="M1019" s="2" t="str">
        <f t="shared" si="4"/>
        <v>Round of 16</v>
      </c>
      <c r="N1019" s="2" t="s">
        <v>250</v>
      </c>
      <c r="O1019" s="2">
        <f>VLOOKUP(N1019,Equipes!A:C,3,0)</f>
        <v>8</v>
      </c>
      <c r="P1019" s="2" t="str">
        <f t="shared" si="5"/>
        <v>Quarter-final</v>
      </c>
      <c r="Q1019" s="2">
        <f t="shared" si="6"/>
        <v>8</v>
      </c>
      <c r="R1019" s="2" t="str">
        <f>VLOOKUP(J1019,Equipes!A:B,2,0)</f>
        <v>InterMiami</v>
      </c>
      <c r="S1019" s="6" t="s">
        <v>103</v>
      </c>
      <c r="T1019" s="7">
        <v>10.0</v>
      </c>
      <c r="U1019" s="7" t="s">
        <v>104</v>
      </c>
      <c r="V1019" s="7" t="str">
        <f>VLOOKUP(U1019,Jogadores!B:C,2,0)</f>
        <v>FW</v>
      </c>
      <c r="W1019" s="8">
        <f>VLOOKUP(U1019,Jogadores!B:D,3,0)</f>
        <v>38.12054795</v>
      </c>
      <c r="X1019" s="7">
        <v>0.0</v>
      </c>
      <c r="Y1019" s="7">
        <f>45+AB1019</f>
        <v>94</v>
      </c>
      <c r="Z1019" s="7">
        <f>VLOOKUP(A1019,Jogos!A:L,3,0)</f>
        <v>47</v>
      </c>
      <c r="AA1019" s="7">
        <f t="shared" si="2229"/>
        <v>47</v>
      </c>
      <c r="AB1019" s="7">
        <f>VLOOKUP(A1019,Jogos!A:L,4,0)</f>
        <v>49</v>
      </c>
      <c r="AC1019" s="7">
        <f t="shared" si="2230"/>
        <v>49</v>
      </c>
      <c r="AD1019" s="7"/>
      <c r="AE1019" s="7"/>
      <c r="AF1019" s="7">
        <f t="shared" si="2231"/>
        <v>96</v>
      </c>
      <c r="AG1019" s="7">
        <v>7988.0</v>
      </c>
      <c r="AH1019" s="7">
        <v>5112.1</v>
      </c>
      <c r="AI1019" s="7">
        <v>1739.8</v>
      </c>
      <c r="AJ1019" s="7">
        <v>756.9</v>
      </c>
      <c r="AK1019" s="7">
        <v>326.3</v>
      </c>
      <c r="AL1019" s="7">
        <v>52.9</v>
      </c>
      <c r="AM1019" s="7">
        <v>66.0</v>
      </c>
      <c r="AN1019" s="7">
        <v>26.0</v>
      </c>
      <c r="AO1019" s="7">
        <v>28.7</v>
      </c>
      <c r="AP1019" s="9">
        <f t="shared" ref="AP1019:AR1019" si="3183">AG1019/$AF1019</f>
        <v>83.20833333</v>
      </c>
      <c r="AQ1019" s="9">
        <f t="shared" si="3183"/>
        <v>53.25104167</v>
      </c>
      <c r="AR1019" s="9">
        <f t="shared" si="3183"/>
        <v>18.12291667</v>
      </c>
      <c r="AS1019" s="9">
        <f t="shared" si="2233"/>
        <v>71.37395833</v>
      </c>
      <c r="AT1019" s="9">
        <f t="shared" ref="AT1019:AV1019" si="3184">AJ1019/$AF1019</f>
        <v>7.884375</v>
      </c>
      <c r="AU1019" s="9">
        <f t="shared" si="3184"/>
        <v>3.398958333</v>
      </c>
      <c r="AV1019" s="9">
        <f t="shared" si="3184"/>
        <v>0.5510416667</v>
      </c>
      <c r="AW1019" s="9">
        <f t="shared" si="2235"/>
        <v>3.95</v>
      </c>
      <c r="AX1019" s="9">
        <f t="shared" ref="AX1019:AY1019" si="3185">AM1019/$AF1019</f>
        <v>0.6875</v>
      </c>
      <c r="AY1019" s="9">
        <f t="shared" si="3185"/>
        <v>0.2708333333</v>
      </c>
      <c r="AZ1019" s="9">
        <f>VLOOKUP(A1019,Jogos!A:BN,58,0)</f>
        <v>27.835</v>
      </c>
      <c r="BA1019" s="9">
        <f>VLOOKUP(A1019,Jogos!A:BN,59,0)</f>
        <v>23.2</v>
      </c>
      <c r="BB1019" s="9">
        <f>VLOOKUP(A1019,Jogos!A:BN,60,0)</f>
        <v>75.5</v>
      </c>
      <c r="BC1019" s="9">
        <f>VLOOKUP(A1019,Jogos!A:BN,61,0)</f>
        <v>26.965</v>
      </c>
      <c r="BD1019" s="9">
        <f>VLOOKUP(A1019,Jogos!A:BN,62,0)</f>
        <v>0</v>
      </c>
      <c r="BE1019" s="9">
        <f>VLOOKUP(A1019,Jogos!A:BN,63,0)</f>
        <v>2.185</v>
      </c>
      <c r="BF1019" s="9">
        <f>VLOOKUP(A1019,Jogos!A:BN,64,0)</f>
        <v>24.65</v>
      </c>
      <c r="BG1019" s="9">
        <f>VLOOKUP(A1019,Jogos!A:BN,65,0)</f>
        <v>42.37</v>
      </c>
      <c r="BH1019" s="9">
        <f>VLOOKUP(A1019,Jogos!A:BN,66,0)</f>
        <v>28.515</v>
      </c>
      <c r="BI1019" s="9"/>
      <c r="BJ1019" s="9"/>
    </row>
    <row r="1020" hidden="1">
      <c r="A1020" s="2">
        <v>35.0</v>
      </c>
      <c r="B1020" s="2" t="s">
        <v>60</v>
      </c>
      <c r="C1020" s="2" t="s">
        <v>61</v>
      </c>
      <c r="D1020" s="3">
        <v>45831.0</v>
      </c>
      <c r="E1020" s="4">
        <v>0.875</v>
      </c>
      <c r="F1020" s="5" t="str">
        <f>VLOOKUP(A1020,Jogos!A:N,10,0)</f>
        <v>Evening</v>
      </c>
      <c r="G1020" s="2" t="s">
        <v>62</v>
      </c>
      <c r="H1020" s="6" t="str">
        <f>VLOOKUP(A1020,Jogos!A:L,12,0)</f>
        <v>Open</v>
      </c>
      <c r="I1020" s="6" t="str">
        <f>VLOOKUP(G1020,'Estádios e Cidades'!A:B,2,0)</f>
        <v>Miami Gardens - Flórida</v>
      </c>
      <c r="J1020" s="2" t="s">
        <v>64</v>
      </c>
      <c r="K1020" s="2" t="str">
        <f>VLOOKUP(J1020,Equipes!A:F,6,0)</f>
        <v>Tropical</v>
      </c>
      <c r="L1020" s="2">
        <f>VLOOKUP(J1020,Equipes!A:C,3,0)</f>
        <v>16</v>
      </c>
      <c r="M1020" s="2" t="str">
        <f t="shared" si="4"/>
        <v>Round of 16</v>
      </c>
      <c r="N1020" s="2" t="s">
        <v>250</v>
      </c>
      <c r="O1020" s="2">
        <f>VLOOKUP(N1020,Equipes!A:C,3,0)</f>
        <v>8</v>
      </c>
      <c r="P1020" s="2" t="str">
        <f t="shared" si="5"/>
        <v>Quarter-final</v>
      </c>
      <c r="Q1020" s="2">
        <f t="shared" si="6"/>
        <v>8</v>
      </c>
      <c r="R1020" s="2" t="str">
        <f>VLOOKUP(J1020,Equipes!A:B,2,0)</f>
        <v>InterMiami</v>
      </c>
      <c r="S1020" s="6" t="s">
        <v>107</v>
      </c>
      <c r="T1020" s="7">
        <v>21.0</v>
      </c>
      <c r="U1020" s="7" t="s">
        <v>108</v>
      </c>
      <c r="V1020" s="7" t="str">
        <f>VLOOKUP(U1020,Jogadores!B:C,2,0)</f>
        <v>FW</v>
      </c>
      <c r="W1020" s="8">
        <f>VLOOKUP(U1020,Jogadores!B:D,3,0)</f>
        <v>26.45205479</v>
      </c>
      <c r="X1020" s="7">
        <v>0.0</v>
      </c>
      <c r="Y1020" s="7">
        <v>77.0</v>
      </c>
      <c r="Z1020" s="7">
        <f>VLOOKUP(A1020,Jogos!A:L,3,0)</f>
        <v>47</v>
      </c>
      <c r="AA1020" s="7">
        <f t="shared" si="2229"/>
        <v>47</v>
      </c>
      <c r="AB1020" s="7">
        <f>VLOOKUP(A1020,Jogos!A:L,4,0)</f>
        <v>49</v>
      </c>
      <c r="AC1020" s="7">
        <f t="shared" si="2230"/>
        <v>32</v>
      </c>
      <c r="AD1020" s="7"/>
      <c r="AE1020" s="7"/>
      <c r="AF1020" s="7">
        <f t="shared" si="2231"/>
        <v>79</v>
      </c>
      <c r="AG1020" s="7">
        <v>9087.2</v>
      </c>
      <c r="AH1020" s="7">
        <v>3567.7</v>
      </c>
      <c r="AI1020" s="7">
        <v>3475.8</v>
      </c>
      <c r="AJ1020" s="7">
        <v>1229.9</v>
      </c>
      <c r="AK1020" s="7">
        <v>534.0</v>
      </c>
      <c r="AL1020" s="7">
        <v>279.7</v>
      </c>
      <c r="AM1020" s="7">
        <v>103.0</v>
      </c>
      <c r="AN1020" s="7">
        <v>48.0</v>
      </c>
      <c r="AO1020" s="7">
        <v>33.5</v>
      </c>
      <c r="AP1020" s="9">
        <f t="shared" ref="AP1020:AR1020" si="3186">AG1020/$AF1020</f>
        <v>115.0278481</v>
      </c>
      <c r="AQ1020" s="9">
        <f t="shared" si="3186"/>
        <v>45.16075949</v>
      </c>
      <c r="AR1020" s="9">
        <f t="shared" si="3186"/>
        <v>43.99746835</v>
      </c>
      <c r="AS1020" s="9">
        <f t="shared" si="2233"/>
        <v>89.15822785</v>
      </c>
      <c r="AT1020" s="9">
        <f t="shared" ref="AT1020:AV1020" si="3187">AJ1020/$AF1020</f>
        <v>15.56835443</v>
      </c>
      <c r="AU1020" s="9">
        <f t="shared" si="3187"/>
        <v>6.759493671</v>
      </c>
      <c r="AV1020" s="9">
        <f t="shared" si="3187"/>
        <v>3.540506329</v>
      </c>
      <c r="AW1020" s="9">
        <f t="shared" si="2235"/>
        <v>10.3</v>
      </c>
      <c r="AX1020" s="9">
        <f t="shared" ref="AX1020:AY1020" si="3188">AM1020/$AF1020</f>
        <v>1.303797468</v>
      </c>
      <c r="AY1020" s="9">
        <f t="shared" si="3188"/>
        <v>0.6075949367</v>
      </c>
      <c r="AZ1020" s="9">
        <f>VLOOKUP(A1020,Jogos!A:BN,58,0)</f>
        <v>27.835</v>
      </c>
      <c r="BA1020" s="9">
        <f>VLOOKUP(A1020,Jogos!A:BN,59,0)</f>
        <v>23.2</v>
      </c>
      <c r="BB1020" s="9">
        <f>VLOOKUP(A1020,Jogos!A:BN,60,0)</f>
        <v>75.5</v>
      </c>
      <c r="BC1020" s="9">
        <f>VLOOKUP(A1020,Jogos!A:BN,61,0)</f>
        <v>26.965</v>
      </c>
      <c r="BD1020" s="9">
        <f>VLOOKUP(A1020,Jogos!A:BN,62,0)</f>
        <v>0</v>
      </c>
      <c r="BE1020" s="9">
        <f>VLOOKUP(A1020,Jogos!A:BN,63,0)</f>
        <v>2.185</v>
      </c>
      <c r="BF1020" s="9">
        <f>VLOOKUP(A1020,Jogos!A:BN,64,0)</f>
        <v>24.65</v>
      </c>
      <c r="BG1020" s="9">
        <f>VLOOKUP(A1020,Jogos!A:BN,65,0)</f>
        <v>42.37</v>
      </c>
      <c r="BH1020" s="9">
        <f>VLOOKUP(A1020,Jogos!A:BN,66,0)</f>
        <v>28.515</v>
      </c>
      <c r="BI1020" s="9"/>
      <c r="BJ1020" s="9"/>
    </row>
    <row r="1021" hidden="1">
      <c r="A1021" s="2">
        <v>35.0</v>
      </c>
      <c r="B1021" s="2" t="s">
        <v>60</v>
      </c>
      <c r="C1021" s="2" t="s">
        <v>61</v>
      </c>
      <c r="D1021" s="3">
        <v>45831.0</v>
      </c>
      <c r="E1021" s="4">
        <v>0.875</v>
      </c>
      <c r="F1021" s="5" t="str">
        <f>VLOOKUP(A1021,Jogos!A:N,10,0)</f>
        <v>Evening</v>
      </c>
      <c r="G1021" s="2" t="s">
        <v>62</v>
      </c>
      <c r="H1021" s="6" t="str">
        <f>VLOOKUP(A1021,Jogos!A:L,12,0)</f>
        <v>Open</v>
      </c>
      <c r="I1021" s="6" t="str">
        <f>VLOOKUP(G1021,'Estádios e Cidades'!A:B,2,0)</f>
        <v>Miami Gardens - Flórida</v>
      </c>
      <c r="J1021" s="2" t="s">
        <v>64</v>
      </c>
      <c r="K1021" s="2" t="str">
        <f>VLOOKUP(J1021,Equipes!A:F,6,0)</f>
        <v>Tropical</v>
      </c>
      <c r="L1021" s="2">
        <f>VLOOKUP(J1021,Equipes!A:C,3,0)</f>
        <v>16</v>
      </c>
      <c r="M1021" s="2" t="str">
        <f t="shared" si="4"/>
        <v>Round of 16</v>
      </c>
      <c r="N1021" s="2" t="s">
        <v>250</v>
      </c>
      <c r="O1021" s="2">
        <f>VLOOKUP(N1021,Equipes!A:C,3,0)</f>
        <v>8</v>
      </c>
      <c r="P1021" s="2" t="str">
        <f t="shared" si="5"/>
        <v>Quarter-final</v>
      </c>
      <c r="Q1021" s="2">
        <f t="shared" si="6"/>
        <v>8</v>
      </c>
      <c r="R1021" s="2" t="str">
        <f>VLOOKUP(J1021,Equipes!A:B,2,0)</f>
        <v>InterMiami</v>
      </c>
      <c r="S1021" s="6" t="s">
        <v>109</v>
      </c>
      <c r="T1021" s="7">
        <v>32.0</v>
      </c>
      <c r="U1021" s="7" t="s">
        <v>110</v>
      </c>
      <c r="V1021" s="7" t="str">
        <f>VLOOKUP(U1021,Jogadores!B:C,2,0)</f>
        <v>DF</v>
      </c>
      <c r="W1021" s="8">
        <f>VLOOKUP(U1021,Jogadores!B:D,3,0)</f>
        <v>21.2630137</v>
      </c>
      <c r="X1021" s="7">
        <v>0.0</v>
      </c>
      <c r="Y1021" s="7">
        <f t="shared" ref="Y1021:Y1022" si="3192">45+AB1021</f>
        <v>94</v>
      </c>
      <c r="Z1021" s="7">
        <f>VLOOKUP(A1021,Jogos!A:L,3,0)</f>
        <v>47</v>
      </c>
      <c r="AA1021" s="7">
        <f t="shared" si="2229"/>
        <v>47</v>
      </c>
      <c r="AB1021" s="7">
        <f>VLOOKUP(A1021,Jogos!A:L,4,0)</f>
        <v>49</v>
      </c>
      <c r="AC1021" s="7">
        <f t="shared" si="2230"/>
        <v>49</v>
      </c>
      <c r="AD1021" s="7"/>
      <c r="AE1021" s="7"/>
      <c r="AF1021" s="7">
        <f t="shared" si="2231"/>
        <v>96</v>
      </c>
      <c r="AG1021" s="7">
        <v>10853.5</v>
      </c>
      <c r="AH1021" s="7">
        <v>3936.2</v>
      </c>
      <c r="AI1021" s="7">
        <v>4671.7</v>
      </c>
      <c r="AJ1021" s="7">
        <v>1223.9</v>
      </c>
      <c r="AK1021" s="7">
        <v>608.3</v>
      </c>
      <c r="AL1021" s="7">
        <v>413.3</v>
      </c>
      <c r="AM1021" s="7">
        <v>110.0</v>
      </c>
      <c r="AN1021" s="7">
        <v>53.0</v>
      </c>
      <c r="AO1021" s="7">
        <v>33.1</v>
      </c>
      <c r="AP1021" s="9">
        <f t="shared" ref="AP1021:AR1021" si="3189">AG1021/$AF1021</f>
        <v>113.0572917</v>
      </c>
      <c r="AQ1021" s="9">
        <f t="shared" si="3189"/>
        <v>41.00208333</v>
      </c>
      <c r="AR1021" s="9">
        <f t="shared" si="3189"/>
        <v>48.66354167</v>
      </c>
      <c r="AS1021" s="9">
        <f t="shared" si="2233"/>
        <v>89.665625</v>
      </c>
      <c r="AT1021" s="9">
        <f t="shared" ref="AT1021:AV1021" si="3190">AJ1021/$AF1021</f>
        <v>12.74895833</v>
      </c>
      <c r="AU1021" s="9">
        <f t="shared" si="3190"/>
        <v>6.336458333</v>
      </c>
      <c r="AV1021" s="9">
        <f t="shared" si="3190"/>
        <v>4.305208333</v>
      </c>
      <c r="AW1021" s="9">
        <f t="shared" si="2235"/>
        <v>10.64166667</v>
      </c>
      <c r="AX1021" s="9">
        <f t="shared" ref="AX1021:AY1021" si="3191">AM1021/$AF1021</f>
        <v>1.145833333</v>
      </c>
      <c r="AY1021" s="9">
        <f t="shared" si="3191"/>
        <v>0.5520833333</v>
      </c>
      <c r="AZ1021" s="9">
        <f>VLOOKUP(A1021,Jogos!A:BN,58,0)</f>
        <v>27.835</v>
      </c>
      <c r="BA1021" s="9">
        <f>VLOOKUP(A1021,Jogos!A:BN,59,0)</f>
        <v>23.2</v>
      </c>
      <c r="BB1021" s="9">
        <f>VLOOKUP(A1021,Jogos!A:BN,60,0)</f>
        <v>75.5</v>
      </c>
      <c r="BC1021" s="9">
        <f>VLOOKUP(A1021,Jogos!A:BN,61,0)</f>
        <v>26.965</v>
      </c>
      <c r="BD1021" s="9">
        <f>VLOOKUP(A1021,Jogos!A:BN,62,0)</f>
        <v>0</v>
      </c>
      <c r="BE1021" s="9">
        <f>VLOOKUP(A1021,Jogos!A:BN,63,0)</f>
        <v>2.185</v>
      </c>
      <c r="BF1021" s="9">
        <f>VLOOKUP(A1021,Jogos!A:BN,64,0)</f>
        <v>24.65</v>
      </c>
      <c r="BG1021" s="9">
        <f>VLOOKUP(A1021,Jogos!A:BN,65,0)</f>
        <v>42.37</v>
      </c>
      <c r="BH1021" s="9">
        <f>VLOOKUP(A1021,Jogos!A:BN,66,0)</f>
        <v>28.515</v>
      </c>
      <c r="BI1021" s="9"/>
      <c r="BJ1021" s="9"/>
    </row>
    <row r="1022" hidden="1">
      <c r="A1022" s="2">
        <v>35.0</v>
      </c>
      <c r="B1022" s="2" t="s">
        <v>60</v>
      </c>
      <c r="C1022" s="2" t="s">
        <v>61</v>
      </c>
      <c r="D1022" s="3">
        <v>45831.0</v>
      </c>
      <c r="E1022" s="4">
        <v>0.875</v>
      </c>
      <c r="F1022" s="5" t="str">
        <f>VLOOKUP(A1022,Jogos!A:N,10,0)</f>
        <v>Evening</v>
      </c>
      <c r="G1022" s="2" t="s">
        <v>62</v>
      </c>
      <c r="H1022" s="6" t="str">
        <f>VLOOKUP(A1022,Jogos!A:L,12,0)</f>
        <v>Open</v>
      </c>
      <c r="I1022" s="6" t="str">
        <f>VLOOKUP(G1022,'Estádios e Cidades'!A:B,2,0)</f>
        <v>Miami Gardens - Flórida</v>
      </c>
      <c r="J1022" s="2" t="s">
        <v>64</v>
      </c>
      <c r="K1022" s="2" t="str">
        <f>VLOOKUP(J1022,Equipes!A:F,6,0)</f>
        <v>Tropical</v>
      </c>
      <c r="L1022" s="2">
        <f>VLOOKUP(J1022,Equipes!A:C,3,0)</f>
        <v>16</v>
      </c>
      <c r="M1022" s="2" t="str">
        <f t="shared" si="4"/>
        <v>Round of 16</v>
      </c>
      <c r="N1022" s="2" t="s">
        <v>250</v>
      </c>
      <c r="O1022" s="2">
        <f>VLOOKUP(N1022,Equipes!A:C,3,0)</f>
        <v>8</v>
      </c>
      <c r="P1022" s="2" t="str">
        <f t="shared" si="5"/>
        <v>Quarter-final</v>
      </c>
      <c r="Q1022" s="2">
        <f t="shared" si="6"/>
        <v>8</v>
      </c>
      <c r="R1022" s="2" t="str">
        <f>VLOOKUP(J1022,Equipes!A:B,2,0)</f>
        <v>InterMiami</v>
      </c>
      <c r="S1022" s="6" t="s">
        <v>111</v>
      </c>
      <c r="T1022" s="7">
        <v>37.0</v>
      </c>
      <c r="U1022" s="7" t="s">
        <v>112</v>
      </c>
      <c r="V1022" s="7" t="str">
        <f>VLOOKUP(U1022,Jogadores!B:C,2,0)</f>
        <v>DF</v>
      </c>
      <c r="W1022" s="8">
        <f>VLOOKUP(U1022,Jogadores!B:D,3,0)</f>
        <v>28.26027397</v>
      </c>
      <c r="X1022" s="7">
        <v>0.0</v>
      </c>
      <c r="Y1022" s="7">
        <f t="shared" si="3192"/>
        <v>94</v>
      </c>
      <c r="Z1022" s="7">
        <f>VLOOKUP(A1022,Jogos!A:L,3,0)</f>
        <v>47</v>
      </c>
      <c r="AA1022" s="7">
        <f t="shared" si="2229"/>
        <v>47</v>
      </c>
      <c r="AB1022" s="7">
        <f>VLOOKUP(A1022,Jogos!A:L,4,0)</f>
        <v>49</v>
      </c>
      <c r="AC1022" s="7">
        <f t="shared" si="2230"/>
        <v>49</v>
      </c>
      <c r="AD1022" s="7"/>
      <c r="AE1022" s="7"/>
      <c r="AF1022" s="7">
        <f t="shared" si="2231"/>
        <v>96</v>
      </c>
      <c r="AG1022" s="7">
        <v>9276.3</v>
      </c>
      <c r="AH1022" s="7">
        <v>4391.5</v>
      </c>
      <c r="AI1022" s="7">
        <v>3811.5</v>
      </c>
      <c r="AJ1022" s="7">
        <v>662.1</v>
      </c>
      <c r="AK1022" s="7">
        <v>298.2</v>
      </c>
      <c r="AL1022" s="7">
        <v>112.9</v>
      </c>
      <c r="AM1022" s="7">
        <v>67.0</v>
      </c>
      <c r="AN1022" s="7">
        <v>26.0</v>
      </c>
      <c r="AO1022" s="7">
        <v>31.4</v>
      </c>
      <c r="AP1022" s="9">
        <f t="shared" ref="AP1022:AR1022" si="3193">AG1022/$AF1022</f>
        <v>96.628125</v>
      </c>
      <c r="AQ1022" s="9">
        <f t="shared" si="3193"/>
        <v>45.74479167</v>
      </c>
      <c r="AR1022" s="9">
        <f t="shared" si="3193"/>
        <v>39.703125</v>
      </c>
      <c r="AS1022" s="9">
        <f t="shared" si="2233"/>
        <v>85.44791667</v>
      </c>
      <c r="AT1022" s="9">
        <f t="shared" ref="AT1022:AV1022" si="3194">AJ1022/$AF1022</f>
        <v>6.896875</v>
      </c>
      <c r="AU1022" s="9">
        <f t="shared" si="3194"/>
        <v>3.10625</v>
      </c>
      <c r="AV1022" s="9">
        <f t="shared" si="3194"/>
        <v>1.176041667</v>
      </c>
      <c r="AW1022" s="9">
        <f t="shared" si="2235"/>
        <v>4.282291667</v>
      </c>
      <c r="AX1022" s="9">
        <f t="shared" ref="AX1022:AY1022" si="3195">AM1022/$AF1022</f>
        <v>0.6979166667</v>
      </c>
      <c r="AY1022" s="9">
        <f t="shared" si="3195"/>
        <v>0.2708333333</v>
      </c>
      <c r="AZ1022" s="9">
        <f>VLOOKUP(A1022,Jogos!A:BN,58,0)</f>
        <v>27.835</v>
      </c>
      <c r="BA1022" s="9">
        <f>VLOOKUP(A1022,Jogos!A:BN,59,0)</f>
        <v>23.2</v>
      </c>
      <c r="BB1022" s="9">
        <f>VLOOKUP(A1022,Jogos!A:BN,60,0)</f>
        <v>75.5</v>
      </c>
      <c r="BC1022" s="9">
        <f>VLOOKUP(A1022,Jogos!A:BN,61,0)</f>
        <v>26.965</v>
      </c>
      <c r="BD1022" s="9">
        <f>VLOOKUP(A1022,Jogos!A:BN,62,0)</f>
        <v>0</v>
      </c>
      <c r="BE1022" s="9">
        <f>VLOOKUP(A1022,Jogos!A:BN,63,0)</f>
        <v>2.185</v>
      </c>
      <c r="BF1022" s="9">
        <f>VLOOKUP(A1022,Jogos!A:BN,64,0)</f>
        <v>24.65</v>
      </c>
      <c r="BG1022" s="9">
        <f>VLOOKUP(A1022,Jogos!A:BN,65,0)</f>
        <v>42.37</v>
      </c>
      <c r="BH1022" s="9">
        <f>VLOOKUP(A1022,Jogos!A:BN,66,0)</f>
        <v>28.515</v>
      </c>
      <c r="BI1022" s="9"/>
      <c r="BJ1022" s="9"/>
    </row>
    <row r="1023" hidden="1">
      <c r="A1023" s="2">
        <v>35.0</v>
      </c>
      <c r="B1023" s="2" t="s">
        <v>60</v>
      </c>
      <c r="C1023" s="2" t="s">
        <v>61</v>
      </c>
      <c r="D1023" s="3">
        <v>45831.0</v>
      </c>
      <c r="E1023" s="4">
        <v>0.875</v>
      </c>
      <c r="F1023" s="5" t="str">
        <f>VLOOKUP(A1023,Jogos!A:N,10,0)</f>
        <v>Evening</v>
      </c>
      <c r="G1023" s="2" t="s">
        <v>62</v>
      </c>
      <c r="H1023" s="6" t="str">
        <f>VLOOKUP(A1023,Jogos!A:L,12,0)</f>
        <v>Open</v>
      </c>
      <c r="I1023" s="6" t="str">
        <f>VLOOKUP(G1023,'Estádios e Cidades'!A:B,2,0)</f>
        <v>Miami Gardens - Flórida</v>
      </c>
      <c r="J1023" s="2" t="s">
        <v>64</v>
      </c>
      <c r="K1023" s="2" t="str">
        <f>VLOOKUP(J1023,Equipes!A:F,6,0)</f>
        <v>Tropical</v>
      </c>
      <c r="L1023" s="2">
        <f>VLOOKUP(J1023,Equipes!A:C,3,0)</f>
        <v>16</v>
      </c>
      <c r="M1023" s="2" t="str">
        <f t="shared" si="4"/>
        <v>Round of 16</v>
      </c>
      <c r="N1023" s="2" t="s">
        <v>250</v>
      </c>
      <c r="O1023" s="2">
        <f>VLOOKUP(N1023,Equipes!A:C,3,0)</f>
        <v>8</v>
      </c>
      <c r="P1023" s="2" t="str">
        <f t="shared" si="5"/>
        <v>Quarter-final</v>
      </c>
      <c r="Q1023" s="2">
        <f t="shared" si="6"/>
        <v>8</v>
      </c>
      <c r="R1023" s="2" t="str">
        <f>VLOOKUP(J1023,Equipes!A:B,2,0)</f>
        <v>InterMiami</v>
      </c>
      <c r="S1023" s="6" t="s">
        <v>113</v>
      </c>
      <c r="T1023" s="7">
        <v>55.0</v>
      </c>
      <c r="U1023" s="7" t="s">
        <v>114</v>
      </c>
      <c r="V1023" s="7" t="str">
        <f>VLOOKUP(U1023,Jogadores!B:C,2,0)</f>
        <v>MF</v>
      </c>
      <c r="W1023" s="8">
        <f>VLOOKUP(U1023,Jogadores!B:D,3,0)</f>
        <v>22.53972603</v>
      </c>
      <c r="X1023" s="7">
        <v>0.0</v>
      </c>
      <c r="Y1023" s="7">
        <v>77.0</v>
      </c>
      <c r="Z1023" s="7">
        <f>VLOOKUP(A1023,Jogos!A:L,3,0)</f>
        <v>47</v>
      </c>
      <c r="AA1023" s="7">
        <f t="shared" si="2229"/>
        <v>47</v>
      </c>
      <c r="AB1023" s="7">
        <f>VLOOKUP(A1023,Jogos!A:L,4,0)</f>
        <v>49</v>
      </c>
      <c r="AC1023" s="7">
        <f t="shared" si="2230"/>
        <v>32</v>
      </c>
      <c r="AD1023" s="7"/>
      <c r="AE1023" s="7"/>
      <c r="AF1023" s="7">
        <f t="shared" si="2231"/>
        <v>79</v>
      </c>
      <c r="AG1023" s="7">
        <v>9108.5</v>
      </c>
      <c r="AH1023" s="7">
        <v>3206.8</v>
      </c>
      <c r="AI1023" s="7">
        <v>4278.5</v>
      </c>
      <c r="AJ1023" s="7">
        <v>1113.1</v>
      </c>
      <c r="AK1023" s="7">
        <v>393.5</v>
      </c>
      <c r="AL1023" s="7">
        <v>116.6</v>
      </c>
      <c r="AM1023" s="7">
        <v>98.0</v>
      </c>
      <c r="AN1023" s="7">
        <v>32.0</v>
      </c>
      <c r="AO1023" s="7">
        <v>30.2</v>
      </c>
      <c r="AP1023" s="9">
        <f t="shared" ref="AP1023:AR1023" si="3196">AG1023/$AF1023</f>
        <v>115.2974684</v>
      </c>
      <c r="AQ1023" s="9">
        <f t="shared" si="3196"/>
        <v>40.59240506</v>
      </c>
      <c r="AR1023" s="9">
        <f t="shared" si="3196"/>
        <v>54.15822785</v>
      </c>
      <c r="AS1023" s="9">
        <f t="shared" si="2233"/>
        <v>94.75063291</v>
      </c>
      <c r="AT1023" s="9">
        <f t="shared" ref="AT1023:AV1023" si="3197">AJ1023/$AF1023</f>
        <v>14.08987342</v>
      </c>
      <c r="AU1023" s="9">
        <f t="shared" si="3197"/>
        <v>4.981012658</v>
      </c>
      <c r="AV1023" s="9">
        <f t="shared" si="3197"/>
        <v>1.475949367</v>
      </c>
      <c r="AW1023" s="9">
        <f t="shared" si="2235"/>
        <v>6.456962025</v>
      </c>
      <c r="AX1023" s="9">
        <f t="shared" ref="AX1023:AY1023" si="3198">AM1023/$AF1023</f>
        <v>1.240506329</v>
      </c>
      <c r="AY1023" s="9">
        <f t="shared" si="3198"/>
        <v>0.4050632911</v>
      </c>
      <c r="AZ1023" s="9">
        <f>VLOOKUP(A1023,Jogos!A:BN,58,0)</f>
        <v>27.835</v>
      </c>
      <c r="BA1023" s="9">
        <f>VLOOKUP(A1023,Jogos!A:BN,59,0)</f>
        <v>23.2</v>
      </c>
      <c r="BB1023" s="9">
        <f>VLOOKUP(A1023,Jogos!A:BN,60,0)</f>
        <v>75.5</v>
      </c>
      <c r="BC1023" s="9">
        <f>VLOOKUP(A1023,Jogos!A:BN,61,0)</f>
        <v>26.965</v>
      </c>
      <c r="BD1023" s="9">
        <f>VLOOKUP(A1023,Jogos!A:BN,62,0)</f>
        <v>0</v>
      </c>
      <c r="BE1023" s="9">
        <f>VLOOKUP(A1023,Jogos!A:BN,63,0)</f>
        <v>2.185</v>
      </c>
      <c r="BF1023" s="9">
        <f>VLOOKUP(A1023,Jogos!A:BN,64,0)</f>
        <v>24.65</v>
      </c>
      <c r="BG1023" s="9">
        <f>VLOOKUP(A1023,Jogos!A:BN,65,0)</f>
        <v>42.37</v>
      </c>
      <c r="BH1023" s="9">
        <f>VLOOKUP(A1023,Jogos!A:BN,66,0)</f>
        <v>28.515</v>
      </c>
      <c r="BI1023" s="9"/>
      <c r="BJ1023" s="9"/>
    </row>
    <row r="1024" hidden="1">
      <c r="A1024" s="2">
        <v>35.0</v>
      </c>
      <c r="B1024" s="2" t="s">
        <v>60</v>
      </c>
      <c r="C1024" s="2" t="s">
        <v>61</v>
      </c>
      <c r="D1024" s="3">
        <v>45831.0</v>
      </c>
      <c r="E1024" s="4">
        <v>0.875</v>
      </c>
      <c r="F1024" s="5" t="str">
        <f>VLOOKUP(A1024,Jogos!A:N,10,0)</f>
        <v>Evening</v>
      </c>
      <c r="G1024" s="2" t="s">
        <v>62</v>
      </c>
      <c r="H1024" s="6" t="str">
        <f>VLOOKUP(A1024,Jogos!A:L,12,0)</f>
        <v>Open</v>
      </c>
      <c r="I1024" s="6" t="str">
        <f>VLOOKUP(G1024,'Estádios e Cidades'!A:B,2,0)</f>
        <v>Miami Gardens - Flórida</v>
      </c>
      <c r="J1024" s="2" t="s">
        <v>64</v>
      </c>
      <c r="K1024" s="2" t="str">
        <f>VLOOKUP(J1024,Equipes!A:F,6,0)</f>
        <v>Tropical</v>
      </c>
      <c r="L1024" s="2">
        <f>VLOOKUP(J1024,Equipes!A:C,3,0)</f>
        <v>16</v>
      </c>
      <c r="M1024" s="2" t="str">
        <f t="shared" si="4"/>
        <v>Round of 16</v>
      </c>
      <c r="N1024" s="2" t="s">
        <v>250</v>
      </c>
      <c r="O1024" s="2">
        <f>VLOOKUP(N1024,Equipes!A:C,3,0)</f>
        <v>8</v>
      </c>
      <c r="P1024" s="2" t="str">
        <f t="shared" si="5"/>
        <v>Quarter-final</v>
      </c>
      <c r="Q1024" s="2">
        <f t="shared" si="6"/>
        <v>8</v>
      </c>
      <c r="R1024" s="2" t="str">
        <f>VLOOKUP(J1024,Equipes!A:B,2,0)</f>
        <v>InterMiami</v>
      </c>
      <c r="S1024" s="6" t="s">
        <v>119</v>
      </c>
      <c r="T1024" s="7">
        <v>57.0</v>
      </c>
      <c r="U1024" s="7" t="s">
        <v>120</v>
      </c>
      <c r="V1024" s="7" t="str">
        <f>VLOOKUP(U1024,Jogadores!B:C,2,0)</f>
        <v>DF</v>
      </c>
      <c r="W1024" s="8">
        <f>VLOOKUP(U1024,Jogadores!B:D,3,0)</f>
        <v>25.56164384</v>
      </c>
      <c r="X1024" s="7">
        <v>0.0</v>
      </c>
      <c r="Y1024" s="7">
        <f t="shared" ref="Y1024:Y1028" si="3202">45+AB1024</f>
        <v>94</v>
      </c>
      <c r="Z1024" s="7">
        <f>VLOOKUP(A1024,Jogos!A:L,3,0)</f>
        <v>47</v>
      </c>
      <c r="AA1024" s="7">
        <f t="shared" si="2229"/>
        <v>47</v>
      </c>
      <c r="AB1024" s="7">
        <f>VLOOKUP(A1024,Jogos!A:L,4,0)</f>
        <v>49</v>
      </c>
      <c r="AC1024" s="7">
        <f t="shared" si="2230"/>
        <v>49</v>
      </c>
      <c r="AD1024" s="7"/>
      <c r="AE1024" s="7"/>
      <c r="AF1024" s="7">
        <f t="shared" si="2231"/>
        <v>96</v>
      </c>
      <c r="AG1024" s="7">
        <v>9637.8</v>
      </c>
      <c r="AH1024" s="7">
        <v>3984.7</v>
      </c>
      <c r="AI1024" s="7">
        <v>3997.6</v>
      </c>
      <c r="AJ1024" s="7">
        <v>932.0</v>
      </c>
      <c r="AK1024" s="7">
        <v>394.6</v>
      </c>
      <c r="AL1024" s="7">
        <v>328.9</v>
      </c>
      <c r="AM1024" s="7">
        <v>87.0</v>
      </c>
      <c r="AN1024" s="7">
        <v>34.0</v>
      </c>
      <c r="AO1024" s="7">
        <v>32.1</v>
      </c>
      <c r="AP1024" s="9">
        <f t="shared" ref="AP1024:AR1024" si="3199">AG1024/$AF1024</f>
        <v>100.39375</v>
      </c>
      <c r="AQ1024" s="9">
        <f t="shared" si="3199"/>
        <v>41.50729167</v>
      </c>
      <c r="AR1024" s="9">
        <f t="shared" si="3199"/>
        <v>41.64166667</v>
      </c>
      <c r="AS1024" s="9">
        <f t="shared" si="2233"/>
        <v>83.14895833</v>
      </c>
      <c r="AT1024" s="9">
        <f t="shared" ref="AT1024:AV1024" si="3200">AJ1024/$AF1024</f>
        <v>9.708333333</v>
      </c>
      <c r="AU1024" s="9">
        <f t="shared" si="3200"/>
        <v>4.110416667</v>
      </c>
      <c r="AV1024" s="9">
        <f t="shared" si="3200"/>
        <v>3.426041667</v>
      </c>
      <c r="AW1024" s="9">
        <f t="shared" si="2235"/>
        <v>7.536458333</v>
      </c>
      <c r="AX1024" s="9">
        <f t="shared" ref="AX1024:AY1024" si="3201">AM1024/$AF1024</f>
        <v>0.90625</v>
      </c>
      <c r="AY1024" s="9">
        <f t="shared" si="3201"/>
        <v>0.3541666667</v>
      </c>
      <c r="AZ1024" s="9">
        <f>VLOOKUP(A1024,Jogos!A:BN,58,0)</f>
        <v>27.835</v>
      </c>
      <c r="BA1024" s="9">
        <f>VLOOKUP(A1024,Jogos!A:BN,59,0)</f>
        <v>23.2</v>
      </c>
      <c r="BB1024" s="9">
        <f>VLOOKUP(A1024,Jogos!A:BN,60,0)</f>
        <v>75.5</v>
      </c>
      <c r="BC1024" s="9">
        <f>VLOOKUP(A1024,Jogos!A:BN,61,0)</f>
        <v>26.965</v>
      </c>
      <c r="BD1024" s="9">
        <f>VLOOKUP(A1024,Jogos!A:BN,62,0)</f>
        <v>0</v>
      </c>
      <c r="BE1024" s="9">
        <f>VLOOKUP(A1024,Jogos!A:BN,63,0)</f>
        <v>2.185</v>
      </c>
      <c r="BF1024" s="9">
        <f>VLOOKUP(A1024,Jogos!A:BN,64,0)</f>
        <v>24.65</v>
      </c>
      <c r="BG1024" s="9">
        <f>VLOOKUP(A1024,Jogos!A:BN,65,0)</f>
        <v>42.37</v>
      </c>
      <c r="BH1024" s="9">
        <f>VLOOKUP(A1024,Jogos!A:BN,66,0)</f>
        <v>28.515</v>
      </c>
      <c r="BI1024" s="9"/>
      <c r="BJ1024" s="9"/>
    </row>
    <row r="1025" hidden="1">
      <c r="A1025" s="2">
        <v>35.0</v>
      </c>
      <c r="B1025" s="2" t="s">
        <v>60</v>
      </c>
      <c r="C1025" s="2" t="s">
        <v>61</v>
      </c>
      <c r="D1025" s="3">
        <v>45831.0</v>
      </c>
      <c r="E1025" s="4">
        <v>0.875</v>
      </c>
      <c r="F1025" s="5" t="str">
        <f>VLOOKUP(A1025,Jogos!A:N,10,0)</f>
        <v>Evening</v>
      </c>
      <c r="G1025" s="2" t="s">
        <v>62</v>
      </c>
      <c r="H1025" s="6" t="str">
        <f>VLOOKUP(A1025,Jogos!A:L,12,0)</f>
        <v>Open</v>
      </c>
      <c r="I1025" s="6" t="str">
        <f>VLOOKUP(G1025,'Estádios e Cidades'!A:B,2,0)</f>
        <v>Miami Gardens - Flórida</v>
      </c>
      <c r="J1025" s="2" t="s">
        <v>64</v>
      </c>
      <c r="K1025" s="2" t="str">
        <f>VLOOKUP(J1025,Equipes!A:F,6,0)</f>
        <v>Tropical</v>
      </c>
      <c r="L1025" s="2">
        <f>VLOOKUP(J1025,Equipes!A:C,3,0)</f>
        <v>16</v>
      </c>
      <c r="M1025" s="2" t="str">
        <f t="shared" si="4"/>
        <v>Round of 16</v>
      </c>
      <c r="N1025" s="2" t="s">
        <v>250</v>
      </c>
      <c r="O1025" s="2">
        <f>VLOOKUP(N1025,Equipes!A:C,3,0)</f>
        <v>8</v>
      </c>
      <c r="P1025" s="2" t="str">
        <f t="shared" si="5"/>
        <v>Quarter-final</v>
      </c>
      <c r="Q1025" s="2">
        <f t="shared" si="6"/>
        <v>8</v>
      </c>
      <c r="R1025" s="2" t="str">
        <f>VLOOKUP(J1025,Equipes!A:B,2,0)</f>
        <v>InterMiami</v>
      </c>
      <c r="S1025" s="6" t="s">
        <v>115</v>
      </c>
      <c r="T1025" s="7">
        <v>7.0</v>
      </c>
      <c r="U1025" s="7" t="s">
        <v>116</v>
      </c>
      <c r="V1025" s="7" t="str">
        <f>VLOOKUP(U1025,Jogadores!B:C,2,0)</f>
        <v>FW</v>
      </c>
      <c r="W1025" s="8">
        <f>VLOOKUP(U1025,Jogadores!B:D,3,0)</f>
        <v>34.44931507</v>
      </c>
      <c r="X1025" s="7">
        <v>77.0</v>
      </c>
      <c r="Y1025" s="7">
        <f t="shared" si="3202"/>
        <v>94</v>
      </c>
      <c r="Z1025" s="7">
        <f>VLOOKUP(A1025,Jogos!A:L,3,0)</f>
        <v>47</v>
      </c>
      <c r="AA1025" s="7">
        <f t="shared" si="2229"/>
        <v>0</v>
      </c>
      <c r="AB1025" s="7">
        <f>VLOOKUP(A1025,Jogos!A:L,4,0)</f>
        <v>49</v>
      </c>
      <c r="AC1025" s="7">
        <f t="shared" si="2230"/>
        <v>17</v>
      </c>
      <c r="AD1025" s="7"/>
      <c r="AE1025" s="7"/>
      <c r="AF1025" s="7">
        <f t="shared" si="2231"/>
        <v>17</v>
      </c>
      <c r="AG1025" s="7">
        <v>2210.6</v>
      </c>
      <c r="AH1025" s="7">
        <v>613.1</v>
      </c>
      <c r="AI1025" s="7">
        <v>977.1</v>
      </c>
      <c r="AJ1025" s="7">
        <v>394.2</v>
      </c>
      <c r="AK1025" s="7">
        <v>199.0</v>
      </c>
      <c r="AL1025" s="7">
        <v>27.2</v>
      </c>
      <c r="AM1025" s="7">
        <v>35.0</v>
      </c>
      <c r="AN1025" s="7">
        <v>14.0</v>
      </c>
      <c r="AO1025" s="7">
        <v>29.2</v>
      </c>
      <c r="AP1025" s="9">
        <f t="shared" ref="AP1025:AR1025" si="3203">AG1025/$AF1025</f>
        <v>130.0352941</v>
      </c>
      <c r="AQ1025" s="9">
        <f t="shared" si="3203"/>
        <v>36.06470588</v>
      </c>
      <c r="AR1025" s="9">
        <f t="shared" si="3203"/>
        <v>57.47647059</v>
      </c>
      <c r="AS1025" s="9">
        <f t="shared" si="2233"/>
        <v>93.54117647</v>
      </c>
      <c r="AT1025" s="9">
        <f t="shared" ref="AT1025:AV1025" si="3204">AJ1025/$AF1025</f>
        <v>23.18823529</v>
      </c>
      <c r="AU1025" s="9">
        <f t="shared" si="3204"/>
        <v>11.70588235</v>
      </c>
      <c r="AV1025" s="9">
        <f t="shared" si="3204"/>
        <v>1.6</v>
      </c>
      <c r="AW1025" s="9">
        <f t="shared" si="2235"/>
        <v>13.30588235</v>
      </c>
      <c r="AX1025" s="9">
        <f t="shared" ref="AX1025:AY1025" si="3205">AM1025/$AF1025</f>
        <v>2.058823529</v>
      </c>
      <c r="AY1025" s="9">
        <f t="shared" si="3205"/>
        <v>0.8235294118</v>
      </c>
      <c r="AZ1025" s="9">
        <f>VLOOKUP(A1025,Jogos!A:BN,58,0)</f>
        <v>27.835</v>
      </c>
      <c r="BA1025" s="9">
        <f>VLOOKUP(A1025,Jogos!A:BN,59,0)</f>
        <v>23.2</v>
      </c>
      <c r="BB1025" s="9">
        <f>VLOOKUP(A1025,Jogos!A:BN,60,0)</f>
        <v>75.5</v>
      </c>
      <c r="BC1025" s="9">
        <f>VLOOKUP(A1025,Jogos!A:BN,61,0)</f>
        <v>26.965</v>
      </c>
      <c r="BD1025" s="9">
        <f>VLOOKUP(A1025,Jogos!A:BN,62,0)</f>
        <v>0</v>
      </c>
      <c r="BE1025" s="9">
        <f>VLOOKUP(A1025,Jogos!A:BN,63,0)</f>
        <v>2.185</v>
      </c>
      <c r="BF1025" s="9">
        <f>VLOOKUP(A1025,Jogos!A:BN,64,0)</f>
        <v>24.65</v>
      </c>
      <c r="BG1025" s="9">
        <f>VLOOKUP(A1025,Jogos!A:BN,65,0)</f>
        <v>42.37</v>
      </c>
      <c r="BH1025" s="9">
        <f>VLOOKUP(A1025,Jogos!A:BN,66,0)</f>
        <v>28.515</v>
      </c>
      <c r="BI1025" s="9"/>
      <c r="BJ1025" s="9"/>
    </row>
    <row r="1026" hidden="1">
      <c r="A1026" s="2">
        <v>35.0</v>
      </c>
      <c r="B1026" s="2" t="s">
        <v>60</v>
      </c>
      <c r="C1026" s="2" t="s">
        <v>61</v>
      </c>
      <c r="D1026" s="3">
        <v>45831.0</v>
      </c>
      <c r="E1026" s="4">
        <v>0.875</v>
      </c>
      <c r="F1026" s="5" t="str">
        <f>VLOOKUP(A1026,Jogos!A:N,10,0)</f>
        <v>Evening</v>
      </c>
      <c r="G1026" s="2" t="s">
        <v>62</v>
      </c>
      <c r="H1026" s="6" t="str">
        <f>VLOOKUP(A1026,Jogos!A:L,12,0)</f>
        <v>Open</v>
      </c>
      <c r="I1026" s="6" t="str">
        <f>VLOOKUP(G1026,'Estádios e Cidades'!A:B,2,0)</f>
        <v>Miami Gardens - Flórida</v>
      </c>
      <c r="J1026" s="2" t="s">
        <v>64</v>
      </c>
      <c r="K1026" s="2" t="str">
        <f>VLOOKUP(J1026,Equipes!A:F,6,0)</f>
        <v>Tropical</v>
      </c>
      <c r="L1026" s="2">
        <f>VLOOKUP(J1026,Equipes!A:C,3,0)</f>
        <v>16</v>
      </c>
      <c r="M1026" s="2" t="str">
        <f t="shared" si="4"/>
        <v>Round of 16</v>
      </c>
      <c r="N1026" s="2" t="s">
        <v>250</v>
      </c>
      <c r="O1026" s="2">
        <f>VLOOKUP(N1026,Equipes!A:C,3,0)</f>
        <v>8</v>
      </c>
      <c r="P1026" s="2" t="str">
        <f t="shared" si="5"/>
        <v>Quarter-final</v>
      </c>
      <c r="Q1026" s="2">
        <f t="shared" si="6"/>
        <v>8</v>
      </c>
      <c r="R1026" s="2" t="str">
        <f>VLOOKUP(J1026,Equipes!A:B,2,0)</f>
        <v>InterMiami</v>
      </c>
      <c r="S1026" s="6" t="s">
        <v>1243</v>
      </c>
      <c r="T1026" s="7">
        <v>11.0</v>
      </c>
      <c r="U1026" s="7" t="s">
        <v>1244</v>
      </c>
      <c r="V1026" s="7" t="str">
        <f>VLOOKUP(U1026,Jogadores!B:C,2,0)</f>
        <v>MF</v>
      </c>
      <c r="W1026" s="8">
        <f>VLOOKUP(U1026,Jogadores!B:D,3,0)</f>
        <v>22.06849315</v>
      </c>
      <c r="X1026" s="7">
        <v>77.0</v>
      </c>
      <c r="Y1026" s="7">
        <f t="shared" si="3202"/>
        <v>94</v>
      </c>
      <c r="Z1026" s="7">
        <f>VLOOKUP(A1026,Jogos!A:L,3,0)</f>
        <v>47</v>
      </c>
      <c r="AA1026" s="7">
        <f t="shared" si="2229"/>
        <v>0</v>
      </c>
      <c r="AB1026" s="7">
        <f>VLOOKUP(A1026,Jogos!A:L,4,0)</f>
        <v>49</v>
      </c>
      <c r="AC1026" s="7">
        <f t="shared" si="2230"/>
        <v>17</v>
      </c>
      <c r="AD1026" s="7"/>
      <c r="AE1026" s="7"/>
      <c r="AF1026" s="7">
        <f t="shared" si="2231"/>
        <v>17</v>
      </c>
      <c r="AG1026" s="7">
        <v>2383.1</v>
      </c>
      <c r="AH1026" s="7">
        <v>616.1</v>
      </c>
      <c r="AI1026" s="7">
        <v>1133.1</v>
      </c>
      <c r="AJ1026" s="7">
        <v>377.2</v>
      </c>
      <c r="AK1026" s="7">
        <v>186.6</v>
      </c>
      <c r="AL1026" s="7">
        <v>70.1</v>
      </c>
      <c r="AM1026" s="7">
        <v>32.0</v>
      </c>
      <c r="AN1026" s="7">
        <v>16.0</v>
      </c>
      <c r="AO1026" s="7">
        <v>27.1</v>
      </c>
      <c r="AP1026" s="9">
        <f t="shared" ref="AP1026:AR1026" si="3206">AG1026/$AF1026</f>
        <v>140.1823529</v>
      </c>
      <c r="AQ1026" s="9">
        <f t="shared" si="3206"/>
        <v>36.24117647</v>
      </c>
      <c r="AR1026" s="9">
        <f t="shared" si="3206"/>
        <v>66.65294118</v>
      </c>
      <c r="AS1026" s="9">
        <f t="shared" si="2233"/>
        <v>102.8941176</v>
      </c>
      <c r="AT1026" s="9">
        <f t="shared" ref="AT1026:AV1026" si="3207">AJ1026/$AF1026</f>
        <v>22.18823529</v>
      </c>
      <c r="AU1026" s="9">
        <f t="shared" si="3207"/>
        <v>10.97647059</v>
      </c>
      <c r="AV1026" s="9">
        <f t="shared" si="3207"/>
        <v>4.123529412</v>
      </c>
      <c r="AW1026" s="9">
        <f t="shared" si="2235"/>
        <v>15.1</v>
      </c>
      <c r="AX1026" s="9">
        <f t="shared" ref="AX1026:AY1026" si="3208">AM1026/$AF1026</f>
        <v>1.882352941</v>
      </c>
      <c r="AY1026" s="9">
        <f t="shared" si="3208"/>
        <v>0.9411764706</v>
      </c>
      <c r="AZ1026" s="9">
        <f>VLOOKUP(A1026,Jogos!A:BN,58,0)</f>
        <v>27.835</v>
      </c>
      <c r="BA1026" s="9">
        <f>VLOOKUP(A1026,Jogos!A:BN,59,0)</f>
        <v>23.2</v>
      </c>
      <c r="BB1026" s="9">
        <f>VLOOKUP(A1026,Jogos!A:BN,60,0)</f>
        <v>75.5</v>
      </c>
      <c r="BC1026" s="9">
        <f>VLOOKUP(A1026,Jogos!A:BN,61,0)</f>
        <v>26.965</v>
      </c>
      <c r="BD1026" s="9">
        <f>VLOOKUP(A1026,Jogos!A:BN,62,0)</f>
        <v>0</v>
      </c>
      <c r="BE1026" s="9">
        <f>VLOOKUP(A1026,Jogos!A:BN,63,0)</f>
        <v>2.185</v>
      </c>
      <c r="BF1026" s="9">
        <f>VLOOKUP(A1026,Jogos!A:BN,64,0)</f>
        <v>24.65</v>
      </c>
      <c r="BG1026" s="9">
        <f>VLOOKUP(A1026,Jogos!A:BN,65,0)</f>
        <v>42.37</v>
      </c>
      <c r="BH1026" s="9">
        <f>VLOOKUP(A1026,Jogos!A:BN,66,0)</f>
        <v>28.515</v>
      </c>
      <c r="BI1026" s="9"/>
      <c r="BJ1026" s="9"/>
    </row>
    <row r="1027" hidden="1">
      <c r="A1027" s="2">
        <v>35.0</v>
      </c>
      <c r="B1027" s="2" t="s">
        <v>60</v>
      </c>
      <c r="C1027" s="2" t="s">
        <v>61</v>
      </c>
      <c r="D1027" s="3">
        <v>45831.0</v>
      </c>
      <c r="E1027" s="4">
        <v>0.875</v>
      </c>
      <c r="F1027" s="5" t="str">
        <f>VLOOKUP(A1027,Jogos!A:N,10,0)</f>
        <v>Evening</v>
      </c>
      <c r="G1027" s="2" t="s">
        <v>62</v>
      </c>
      <c r="H1027" s="6" t="str">
        <f>VLOOKUP(A1027,Jogos!A:L,12,0)</f>
        <v>Open</v>
      </c>
      <c r="I1027" s="6" t="str">
        <f>VLOOKUP(G1027,'Estádios e Cidades'!A:B,2,0)</f>
        <v>Miami Gardens - Flórida</v>
      </c>
      <c r="J1027" s="2" t="s">
        <v>64</v>
      </c>
      <c r="K1027" s="2" t="str">
        <f>VLOOKUP(J1027,Equipes!A:F,6,0)</f>
        <v>Tropical</v>
      </c>
      <c r="L1027" s="2">
        <f>VLOOKUP(J1027,Equipes!A:C,3,0)</f>
        <v>16</v>
      </c>
      <c r="M1027" s="2" t="str">
        <f t="shared" si="4"/>
        <v>Round of 16</v>
      </c>
      <c r="N1027" s="2" t="s">
        <v>250</v>
      </c>
      <c r="O1027" s="2">
        <f>VLOOKUP(N1027,Equipes!A:C,3,0)</f>
        <v>8</v>
      </c>
      <c r="P1027" s="2" t="str">
        <f t="shared" si="5"/>
        <v>Quarter-final</v>
      </c>
      <c r="Q1027" s="2">
        <f t="shared" si="6"/>
        <v>8</v>
      </c>
      <c r="R1027" s="2" t="str">
        <f>VLOOKUP(J1027,Equipes!A:B,2,0)</f>
        <v>InterMiami</v>
      </c>
      <c r="S1027" s="6" t="s">
        <v>1072</v>
      </c>
      <c r="T1027" s="7">
        <v>18.0</v>
      </c>
      <c r="U1027" s="7" t="s">
        <v>1073</v>
      </c>
      <c r="V1027" s="7" t="str">
        <f>VLOOKUP(U1027,Jogadores!B:C,2,0)</f>
        <v>DF</v>
      </c>
      <c r="W1027" s="8">
        <f>VLOOKUP(U1027,Jogadores!B:D,3,0)</f>
        <v>36.37808219</v>
      </c>
      <c r="X1027" s="7">
        <v>66.0</v>
      </c>
      <c r="Y1027" s="7">
        <f t="shared" si="3202"/>
        <v>94</v>
      </c>
      <c r="Z1027" s="7">
        <f>VLOOKUP(A1027,Jogos!A:L,3,0)</f>
        <v>47</v>
      </c>
      <c r="AA1027" s="7">
        <f t="shared" si="2229"/>
        <v>0</v>
      </c>
      <c r="AB1027" s="7">
        <f>VLOOKUP(A1027,Jogos!A:L,4,0)</f>
        <v>49</v>
      </c>
      <c r="AC1027" s="7">
        <f t="shared" si="2230"/>
        <v>28</v>
      </c>
      <c r="AD1027" s="7"/>
      <c r="AE1027" s="7"/>
      <c r="AF1027" s="7">
        <f t="shared" si="2231"/>
        <v>28</v>
      </c>
      <c r="AG1027" s="7">
        <v>3621.9</v>
      </c>
      <c r="AH1027" s="7">
        <v>1232.6</v>
      </c>
      <c r="AI1027" s="7">
        <v>1574.7</v>
      </c>
      <c r="AJ1027" s="7">
        <v>477.6</v>
      </c>
      <c r="AK1027" s="7">
        <v>177.6</v>
      </c>
      <c r="AL1027" s="7">
        <v>159.4</v>
      </c>
      <c r="AM1027" s="7">
        <v>43.0</v>
      </c>
      <c r="AN1027" s="7">
        <v>20.0</v>
      </c>
      <c r="AO1027" s="7">
        <v>31.3</v>
      </c>
      <c r="AP1027" s="9">
        <f t="shared" ref="AP1027:AR1027" si="3209">AG1027/$AF1027</f>
        <v>129.3535714</v>
      </c>
      <c r="AQ1027" s="9">
        <f t="shared" si="3209"/>
        <v>44.02142857</v>
      </c>
      <c r="AR1027" s="9">
        <f t="shared" si="3209"/>
        <v>56.23928571</v>
      </c>
      <c r="AS1027" s="9">
        <f t="shared" si="2233"/>
        <v>100.2607143</v>
      </c>
      <c r="AT1027" s="9">
        <f t="shared" ref="AT1027:AV1027" si="3210">AJ1027/$AF1027</f>
        <v>17.05714286</v>
      </c>
      <c r="AU1027" s="9">
        <f t="shared" si="3210"/>
        <v>6.342857143</v>
      </c>
      <c r="AV1027" s="9">
        <f t="shared" si="3210"/>
        <v>5.692857143</v>
      </c>
      <c r="AW1027" s="9">
        <f t="shared" si="2235"/>
        <v>12.03571429</v>
      </c>
      <c r="AX1027" s="9">
        <f t="shared" ref="AX1027:AY1027" si="3211">AM1027/$AF1027</f>
        <v>1.535714286</v>
      </c>
      <c r="AY1027" s="9">
        <f t="shared" si="3211"/>
        <v>0.7142857143</v>
      </c>
      <c r="AZ1027" s="9">
        <f>VLOOKUP(A1027,Jogos!A:BN,58,0)</f>
        <v>27.835</v>
      </c>
      <c r="BA1027" s="9">
        <f>VLOOKUP(A1027,Jogos!A:BN,59,0)</f>
        <v>23.2</v>
      </c>
      <c r="BB1027" s="9">
        <f>VLOOKUP(A1027,Jogos!A:BN,60,0)</f>
        <v>75.5</v>
      </c>
      <c r="BC1027" s="9">
        <f>VLOOKUP(A1027,Jogos!A:BN,61,0)</f>
        <v>26.965</v>
      </c>
      <c r="BD1027" s="9">
        <f>VLOOKUP(A1027,Jogos!A:BN,62,0)</f>
        <v>0</v>
      </c>
      <c r="BE1027" s="9">
        <f>VLOOKUP(A1027,Jogos!A:BN,63,0)</f>
        <v>2.185</v>
      </c>
      <c r="BF1027" s="9">
        <f>VLOOKUP(A1027,Jogos!A:BN,64,0)</f>
        <v>24.65</v>
      </c>
      <c r="BG1027" s="9">
        <f>VLOOKUP(A1027,Jogos!A:BN,65,0)</f>
        <v>42.37</v>
      </c>
      <c r="BH1027" s="9">
        <f>VLOOKUP(A1027,Jogos!A:BN,66,0)</f>
        <v>28.515</v>
      </c>
      <c r="BI1027" s="9"/>
      <c r="BJ1027" s="9"/>
    </row>
    <row r="1028" hidden="1">
      <c r="A1028" s="2">
        <v>35.0</v>
      </c>
      <c r="B1028" s="2" t="s">
        <v>60</v>
      </c>
      <c r="C1028" s="2" t="s">
        <v>61</v>
      </c>
      <c r="D1028" s="3">
        <v>45831.0</v>
      </c>
      <c r="E1028" s="4">
        <v>0.875</v>
      </c>
      <c r="F1028" s="5" t="str">
        <f>VLOOKUP(A1028,Jogos!A:N,10,0)</f>
        <v>Evening</v>
      </c>
      <c r="G1028" s="2" t="s">
        <v>62</v>
      </c>
      <c r="H1028" s="6" t="str">
        <f>VLOOKUP(A1028,Jogos!A:L,12,0)</f>
        <v>Open</v>
      </c>
      <c r="I1028" s="6" t="str">
        <f>VLOOKUP(G1028,'Estádios e Cidades'!A:B,2,0)</f>
        <v>Miami Gardens - Flórida</v>
      </c>
      <c r="J1028" s="2" t="s">
        <v>64</v>
      </c>
      <c r="K1028" s="2" t="str">
        <f>VLOOKUP(J1028,Equipes!A:F,6,0)</f>
        <v>Tropical</v>
      </c>
      <c r="L1028" s="2">
        <f>VLOOKUP(J1028,Equipes!A:C,3,0)</f>
        <v>16</v>
      </c>
      <c r="M1028" s="2" t="str">
        <f t="shared" si="4"/>
        <v>Round of 16</v>
      </c>
      <c r="N1028" s="2" t="s">
        <v>250</v>
      </c>
      <c r="O1028" s="2">
        <f>VLOOKUP(N1028,Equipes!A:C,3,0)</f>
        <v>8</v>
      </c>
      <c r="P1028" s="2" t="str">
        <f t="shared" si="5"/>
        <v>Quarter-final</v>
      </c>
      <c r="Q1028" s="2">
        <f t="shared" si="6"/>
        <v>8</v>
      </c>
      <c r="R1028" s="2" t="str">
        <f>VLOOKUP(J1028,Equipes!A:B,2,0)</f>
        <v>InterMiami</v>
      </c>
      <c r="S1028" s="6" t="s">
        <v>117</v>
      </c>
      <c r="T1028" s="7">
        <v>30.0</v>
      </c>
      <c r="U1028" s="7" t="s">
        <v>118</v>
      </c>
      <c r="V1028" s="7" t="str">
        <f>VLOOKUP(U1028,Jogadores!B:C,2,0)</f>
        <v>MF</v>
      </c>
      <c r="W1028" s="8">
        <f>VLOOKUP(U1028,Jogadores!B:D,3,0)</f>
        <v>20.41917808</v>
      </c>
      <c r="X1028" s="7">
        <v>73.0</v>
      </c>
      <c r="Y1028" s="7">
        <f t="shared" si="3202"/>
        <v>94</v>
      </c>
      <c r="Z1028" s="7">
        <f>VLOOKUP(A1028,Jogos!A:L,3,0)</f>
        <v>47</v>
      </c>
      <c r="AA1028" s="7">
        <f t="shared" si="2229"/>
        <v>0</v>
      </c>
      <c r="AB1028" s="7">
        <f>VLOOKUP(A1028,Jogos!A:L,4,0)</f>
        <v>49</v>
      </c>
      <c r="AC1028" s="7">
        <f t="shared" si="2230"/>
        <v>21</v>
      </c>
      <c r="AD1028" s="7"/>
      <c r="AE1028" s="7"/>
      <c r="AF1028" s="7">
        <f t="shared" si="2231"/>
        <v>21</v>
      </c>
      <c r="AG1028" s="7">
        <v>2552.4</v>
      </c>
      <c r="AH1028" s="7">
        <v>880.2</v>
      </c>
      <c r="AI1028" s="7">
        <v>1060.1</v>
      </c>
      <c r="AJ1028" s="7">
        <v>376.4</v>
      </c>
      <c r="AK1028" s="7">
        <v>167.7</v>
      </c>
      <c r="AL1028" s="7">
        <v>68.1</v>
      </c>
      <c r="AM1028" s="7">
        <v>34.0</v>
      </c>
      <c r="AN1028" s="7">
        <v>12.0</v>
      </c>
      <c r="AO1028" s="7">
        <v>30.7</v>
      </c>
      <c r="AP1028" s="9">
        <f t="shared" ref="AP1028:AR1028" si="3212">AG1028/$AF1028</f>
        <v>121.5428571</v>
      </c>
      <c r="AQ1028" s="9">
        <f t="shared" si="3212"/>
        <v>41.91428571</v>
      </c>
      <c r="AR1028" s="9">
        <f t="shared" si="3212"/>
        <v>50.48095238</v>
      </c>
      <c r="AS1028" s="9">
        <f t="shared" si="2233"/>
        <v>92.3952381</v>
      </c>
      <c r="AT1028" s="9">
        <f t="shared" ref="AT1028:AV1028" si="3213">AJ1028/$AF1028</f>
        <v>17.92380952</v>
      </c>
      <c r="AU1028" s="9">
        <f t="shared" si="3213"/>
        <v>7.985714286</v>
      </c>
      <c r="AV1028" s="9">
        <f t="shared" si="3213"/>
        <v>3.242857143</v>
      </c>
      <c r="AW1028" s="9">
        <f t="shared" si="2235"/>
        <v>11.22857143</v>
      </c>
      <c r="AX1028" s="9">
        <f t="shared" ref="AX1028:AY1028" si="3214">AM1028/$AF1028</f>
        <v>1.619047619</v>
      </c>
      <c r="AY1028" s="9">
        <f t="shared" si="3214"/>
        <v>0.5714285714</v>
      </c>
      <c r="AZ1028" s="9">
        <f>VLOOKUP(A1028,Jogos!A:BN,58,0)</f>
        <v>27.835</v>
      </c>
      <c r="BA1028" s="9">
        <f>VLOOKUP(A1028,Jogos!A:BN,59,0)</f>
        <v>23.2</v>
      </c>
      <c r="BB1028" s="9">
        <f>VLOOKUP(A1028,Jogos!A:BN,60,0)</f>
        <v>75.5</v>
      </c>
      <c r="BC1028" s="9">
        <f>VLOOKUP(A1028,Jogos!A:BN,61,0)</f>
        <v>26.965</v>
      </c>
      <c r="BD1028" s="9">
        <f>VLOOKUP(A1028,Jogos!A:BN,62,0)</f>
        <v>0</v>
      </c>
      <c r="BE1028" s="9">
        <f>VLOOKUP(A1028,Jogos!A:BN,63,0)</f>
        <v>2.185</v>
      </c>
      <c r="BF1028" s="9">
        <f>VLOOKUP(A1028,Jogos!A:BN,64,0)</f>
        <v>24.65</v>
      </c>
      <c r="BG1028" s="9">
        <f>VLOOKUP(A1028,Jogos!A:BN,65,0)</f>
        <v>42.37</v>
      </c>
      <c r="BH1028" s="9">
        <f>VLOOKUP(A1028,Jogos!A:BN,66,0)</f>
        <v>28.515</v>
      </c>
      <c r="BI1028" s="9"/>
      <c r="BJ1028" s="9"/>
    </row>
    <row r="1029" hidden="1">
      <c r="A1029" s="10">
        <v>35.0</v>
      </c>
      <c r="B1029" s="11" t="s">
        <v>60</v>
      </c>
      <c r="C1029" s="2" t="s">
        <v>61</v>
      </c>
      <c r="D1029" s="12">
        <v>45831.0</v>
      </c>
      <c r="E1029" s="13">
        <v>0.875</v>
      </c>
      <c r="F1029" s="5" t="str">
        <f>VLOOKUP(A1029,Jogos!A:N,10,0)</f>
        <v>Evening</v>
      </c>
      <c r="G1029" s="11" t="s">
        <v>62</v>
      </c>
      <c r="H1029" s="6" t="str">
        <f>VLOOKUP(A1029,Jogos!A:L,12,0)</f>
        <v>Open</v>
      </c>
      <c r="I1029" s="6" t="str">
        <f>VLOOKUP(G1029,'Estádios e Cidades'!A:B,2,0)</f>
        <v>Miami Gardens - Flórida</v>
      </c>
      <c r="J1029" s="11" t="s">
        <v>250</v>
      </c>
      <c r="K1029" s="2" t="str">
        <f>VLOOKUP(J1029,Equipes!A:F,6,0)</f>
        <v>Temperate</v>
      </c>
      <c r="L1029" s="2">
        <f>VLOOKUP(J1029,Equipes!A:C,3,0)</f>
        <v>8</v>
      </c>
      <c r="M1029" s="2" t="str">
        <f t="shared" si="4"/>
        <v>Quarter-final</v>
      </c>
      <c r="N1029" s="11" t="s">
        <v>64</v>
      </c>
      <c r="O1029" s="2">
        <f>VLOOKUP(N1029,Equipes!A:C,3,0)</f>
        <v>16</v>
      </c>
      <c r="P1029" s="2" t="str">
        <f t="shared" si="5"/>
        <v>Round of 16</v>
      </c>
      <c r="Q1029" s="2">
        <f t="shared" si="6"/>
        <v>-8</v>
      </c>
      <c r="R1029" s="2" t="str">
        <f>VLOOKUP(J1029,Equipes!A:B,2,0)</f>
        <v>Palmeiras</v>
      </c>
      <c r="S1029" s="14" t="s">
        <v>1245</v>
      </c>
      <c r="T1029" s="7">
        <v>2.0</v>
      </c>
      <c r="U1029" s="7" t="s">
        <v>1246</v>
      </c>
      <c r="V1029" s="7" t="str">
        <f>VLOOKUP(U1029,Jogadores!B:C,2,0)</f>
        <v>DF</v>
      </c>
      <c r="W1029" s="8">
        <f>VLOOKUP(U1029,Jogadores!B:D,3,0)</f>
        <v>36.65205479</v>
      </c>
      <c r="X1029" s="7">
        <v>0.0</v>
      </c>
      <c r="Y1029" s="7">
        <v>67.0</v>
      </c>
      <c r="Z1029" s="7">
        <f>VLOOKUP(A1029,Jogos!A:L,3,0)</f>
        <v>47</v>
      </c>
      <c r="AA1029" s="7">
        <f t="shared" si="2229"/>
        <v>47</v>
      </c>
      <c r="AB1029" s="7">
        <f>VLOOKUP(A1029,Jogos!A:L,4,0)</f>
        <v>49</v>
      </c>
      <c r="AC1029" s="7">
        <f t="shared" si="2230"/>
        <v>22</v>
      </c>
      <c r="AD1029" s="7"/>
      <c r="AE1029" s="7"/>
      <c r="AF1029" s="7">
        <f t="shared" si="2231"/>
        <v>69</v>
      </c>
      <c r="AG1029" s="7">
        <v>7353.9</v>
      </c>
      <c r="AH1029" s="7">
        <v>2999.8</v>
      </c>
      <c r="AI1029" s="7">
        <v>2960.0</v>
      </c>
      <c r="AJ1029" s="7">
        <v>830.6</v>
      </c>
      <c r="AK1029" s="7">
        <v>399.8</v>
      </c>
      <c r="AL1029" s="7">
        <v>163.8</v>
      </c>
      <c r="AM1029" s="7">
        <v>68.0</v>
      </c>
      <c r="AN1029" s="7">
        <v>33.0</v>
      </c>
      <c r="AO1029" s="7">
        <v>29.8</v>
      </c>
      <c r="AP1029" s="9">
        <f t="shared" ref="AP1029:AR1029" si="3215">AG1029/$AF1029</f>
        <v>106.5782609</v>
      </c>
      <c r="AQ1029" s="9">
        <f t="shared" si="3215"/>
        <v>43.47536232</v>
      </c>
      <c r="AR1029" s="9">
        <f t="shared" si="3215"/>
        <v>42.89855072</v>
      </c>
      <c r="AS1029" s="9">
        <f t="shared" si="2233"/>
        <v>86.37391304</v>
      </c>
      <c r="AT1029" s="9">
        <f t="shared" ref="AT1029:AV1029" si="3216">AJ1029/$AF1029</f>
        <v>12.03768116</v>
      </c>
      <c r="AU1029" s="9">
        <f t="shared" si="3216"/>
        <v>5.794202899</v>
      </c>
      <c r="AV1029" s="9">
        <f t="shared" si="3216"/>
        <v>2.373913043</v>
      </c>
      <c r="AW1029" s="9">
        <f t="shared" si="2235"/>
        <v>8.168115942</v>
      </c>
      <c r="AX1029" s="9">
        <f t="shared" ref="AX1029:AY1029" si="3217">AM1029/$AF1029</f>
        <v>0.9855072464</v>
      </c>
      <c r="AY1029" s="9">
        <f t="shared" si="3217"/>
        <v>0.4782608696</v>
      </c>
      <c r="AZ1029" s="9">
        <f>VLOOKUP(A1029,Jogos!A:BN,58,0)</f>
        <v>27.835</v>
      </c>
      <c r="BA1029" s="9">
        <f>VLOOKUP(A1029,Jogos!A:BN,59,0)</f>
        <v>23.2</v>
      </c>
      <c r="BB1029" s="9">
        <f>VLOOKUP(A1029,Jogos!A:BN,60,0)</f>
        <v>75.5</v>
      </c>
      <c r="BC1029" s="9">
        <f>VLOOKUP(A1029,Jogos!A:BN,61,0)</f>
        <v>26.965</v>
      </c>
      <c r="BD1029" s="9">
        <f>VLOOKUP(A1029,Jogos!A:BN,62,0)</f>
        <v>0</v>
      </c>
      <c r="BE1029" s="9">
        <f>VLOOKUP(A1029,Jogos!A:BN,63,0)</f>
        <v>2.185</v>
      </c>
      <c r="BF1029" s="9">
        <f>VLOOKUP(A1029,Jogos!A:BN,64,0)</f>
        <v>24.65</v>
      </c>
      <c r="BG1029" s="9">
        <f>VLOOKUP(A1029,Jogos!A:BN,65,0)</f>
        <v>42.37</v>
      </c>
      <c r="BH1029" s="9">
        <f>VLOOKUP(A1029,Jogos!A:BN,66,0)</f>
        <v>28.515</v>
      </c>
      <c r="BI1029" s="9"/>
      <c r="BJ1029" s="9"/>
    </row>
    <row r="1030" hidden="1">
      <c r="A1030" s="10">
        <v>35.0</v>
      </c>
      <c r="B1030" s="11" t="s">
        <v>60</v>
      </c>
      <c r="C1030" s="2" t="s">
        <v>61</v>
      </c>
      <c r="D1030" s="12">
        <v>45831.0</v>
      </c>
      <c r="E1030" s="13">
        <v>0.875</v>
      </c>
      <c r="F1030" s="5" t="str">
        <f>VLOOKUP(A1030,Jogos!A:N,10,0)</f>
        <v>Evening</v>
      </c>
      <c r="G1030" s="11" t="s">
        <v>62</v>
      </c>
      <c r="H1030" s="6" t="str">
        <f>VLOOKUP(A1030,Jogos!A:L,12,0)</f>
        <v>Open</v>
      </c>
      <c r="I1030" s="6" t="str">
        <f>VLOOKUP(G1030,'Estádios e Cidades'!A:B,2,0)</f>
        <v>Miami Gardens - Flórida</v>
      </c>
      <c r="J1030" s="11" t="s">
        <v>250</v>
      </c>
      <c r="K1030" s="2" t="str">
        <f>VLOOKUP(J1030,Equipes!A:F,6,0)</f>
        <v>Temperate</v>
      </c>
      <c r="L1030" s="2">
        <f>VLOOKUP(J1030,Equipes!A:C,3,0)</f>
        <v>8</v>
      </c>
      <c r="M1030" s="2" t="str">
        <f t="shared" si="4"/>
        <v>Quarter-final</v>
      </c>
      <c r="N1030" s="11" t="s">
        <v>64</v>
      </c>
      <c r="O1030" s="2">
        <f>VLOOKUP(N1030,Equipes!A:C,3,0)</f>
        <v>16</v>
      </c>
      <c r="P1030" s="2" t="str">
        <f t="shared" si="5"/>
        <v>Round of 16</v>
      </c>
      <c r="Q1030" s="2">
        <f t="shared" si="6"/>
        <v>-8</v>
      </c>
      <c r="R1030" s="2" t="str">
        <f>VLOOKUP(J1030,Equipes!A:B,2,0)</f>
        <v>Palmeiras</v>
      </c>
      <c r="S1030" s="6" t="s">
        <v>258</v>
      </c>
      <c r="T1030" s="7">
        <v>8.0</v>
      </c>
      <c r="U1030" s="7" t="s">
        <v>259</v>
      </c>
      <c r="V1030" s="7" t="str">
        <f>VLOOKUP(U1030,Jogadores!B:C,2,0)</f>
        <v>MF</v>
      </c>
      <c r="W1030" s="8">
        <f>VLOOKUP(U1030,Jogadores!B:D,3,0)</f>
        <v>25.16986301</v>
      </c>
      <c r="X1030" s="7">
        <v>0.0</v>
      </c>
      <c r="Y1030" s="7">
        <f t="shared" ref="Y1030:Y1031" si="3221">45+AB1030</f>
        <v>94</v>
      </c>
      <c r="Z1030" s="7">
        <f>VLOOKUP(A1030,Jogos!A:L,3,0)</f>
        <v>47</v>
      </c>
      <c r="AA1030" s="7">
        <f t="shared" si="2229"/>
        <v>47</v>
      </c>
      <c r="AB1030" s="7">
        <f>VLOOKUP(A1030,Jogos!A:L,4,0)</f>
        <v>49</v>
      </c>
      <c r="AC1030" s="7">
        <f t="shared" si="2230"/>
        <v>49</v>
      </c>
      <c r="AD1030" s="7"/>
      <c r="AE1030" s="7"/>
      <c r="AF1030" s="7">
        <f t="shared" si="2231"/>
        <v>96</v>
      </c>
      <c r="AG1030" s="7">
        <v>10901.0</v>
      </c>
      <c r="AH1030" s="7">
        <v>4382.8</v>
      </c>
      <c r="AI1030" s="7">
        <v>4052.1</v>
      </c>
      <c r="AJ1030" s="7">
        <v>1638.3</v>
      </c>
      <c r="AK1030" s="7">
        <v>597.6</v>
      </c>
      <c r="AL1030" s="7">
        <v>230.2</v>
      </c>
      <c r="AM1030" s="7">
        <v>134.0</v>
      </c>
      <c r="AN1030" s="7">
        <v>53.0</v>
      </c>
      <c r="AO1030" s="7">
        <v>29.9</v>
      </c>
      <c r="AP1030" s="9">
        <f t="shared" ref="AP1030:AR1030" si="3218">AG1030/$AF1030</f>
        <v>113.5520833</v>
      </c>
      <c r="AQ1030" s="9">
        <f t="shared" si="3218"/>
        <v>45.65416667</v>
      </c>
      <c r="AR1030" s="9">
        <f t="shared" si="3218"/>
        <v>42.209375</v>
      </c>
      <c r="AS1030" s="9">
        <f t="shared" si="2233"/>
        <v>87.86354167</v>
      </c>
      <c r="AT1030" s="9">
        <f t="shared" ref="AT1030:AV1030" si="3219">AJ1030/$AF1030</f>
        <v>17.065625</v>
      </c>
      <c r="AU1030" s="9">
        <f t="shared" si="3219"/>
        <v>6.225</v>
      </c>
      <c r="AV1030" s="9">
        <f t="shared" si="3219"/>
        <v>2.397916667</v>
      </c>
      <c r="AW1030" s="9">
        <f t="shared" si="2235"/>
        <v>8.622916667</v>
      </c>
      <c r="AX1030" s="9">
        <f t="shared" ref="AX1030:AY1030" si="3220">AM1030/$AF1030</f>
        <v>1.395833333</v>
      </c>
      <c r="AY1030" s="9">
        <f t="shared" si="3220"/>
        <v>0.5520833333</v>
      </c>
      <c r="AZ1030" s="9">
        <f>VLOOKUP(A1030,Jogos!A:BN,58,0)</f>
        <v>27.835</v>
      </c>
      <c r="BA1030" s="9">
        <f>VLOOKUP(A1030,Jogos!A:BN,59,0)</f>
        <v>23.2</v>
      </c>
      <c r="BB1030" s="9">
        <f>VLOOKUP(A1030,Jogos!A:BN,60,0)</f>
        <v>75.5</v>
      </c>
      <c r="BC1030" s="9">
        <f>VLOOKUP(A1030,Jogos!A:BN,61,0)</f>
        <v>26.965</v>
      </c>
      <c r="BD1030" s="9">
        <f>VLOOKUP(A1030,Jogos!A:BN,62,0)</f>
        <v>0</v>
      </c>
      <c r="BE1030" s="9">
        <f>VLOOKUP(A1030,Jogos!A:BN,63,0)</f>
        <v>2.185</v>
      </c>
      <c r="BF1030" s="9">
        <f>VLOOKUP(A1030,Jogos!A:BN,64,0)</f>
        <v>24.65</v>
      </c>
      <c r="BG1030" s="9">
        <f>VLOOKUP(A1030,Jogos!A:BN,65,0)</f>
        <v>42.37</v>
      </c>
      <c r="BH1030" s="9">
        <f>VLOOKUP(A1030,Jogos!A:BN,66,0)</f>
        <v>28.515</v>
      </c>
      <c r="BI1030" s="9"/>
      <c r="BJ1030" s="9"/>
    </row>
    <row r="1031" hidden="1">
      <c r="A1031" s="10">
        <v>35.0</v>
      </c>
      <c r="B1031" s="11" t="s">
        <v>60</v>
      </c>
      <c r="C1031" s="2" t="s">
        <v>61</v>
      </c>
      <c r="D1031" s="12">
        <v>45831.0</v>
      </c>
      <c r="E1031" s="13">
        <v>0.875</v>
      </c>
      <c r="F1031" s="5" t="str">
        <f>VLOOKUP(A1031,Jogos!A:N,10,0)</f>
        <v>Evening</v>
      </c>
      <c r="G1031" s="11" t="s">
        <v>62</v>
      </c>
      <c r="H1031" s="6" t="str">
        <f>VLOOKUP(A1031,Jogos!A:L,12,0)</f>
        <v>Open</v>
      </c>
      <c r="I1031" s="6" t="str">
        <f>VLOOKUP(G1031,'Estádios e Cidades'!A:B,2,0)</f>
        <v>Miami Gardens - Flórida</v>
      </c>
      <c r="J1031" s="11" t="s">
        <v>250</v>
      </c>
      <c r="K1031" s="2" t="str">
        <f>VLOOKUP(J1031,Equipes!A:F,6,0)</f>
        <v>Temperate</v>
      </c>
      <c r="L1031" s="2">
        <f>VLOOKUP(J1031,Equipes!A:C,3,0)</f>
        <v>8</v>
      </c>
      <c r="M1031" s="2" t="str">
        <f t="shared" si="4"/>
        <v>Quarter-final</v>
      </c>
      <c r="N1031" s="11" t="s">
        <v>64</v>
      </c>
      <c r="O1031" s="2">
        <f>VLOOKUP(N1031,Equipes!A:C,3,0)</f>
        <v>16</v>
      </c>
      <c r="P1031" s="2" t="str">
        <f t="shared" si="5"/>
        <v>Round of 16</v>
      </c>
      <c r="Q1031" s="2">
        <f t="shared" si="6"/>
        <v>-8</v>
      </c>
      <c r="R1031" s="2" t="str">
        <f>VLOOKUP(J1031,Equipes!A:B,2,0)</f>
        <v>Palmeiras</v>
      </c>
      <c r="S1031" s="6" t="s">
        <v>262</v>
      </c>
      <c r="T1031" s="7">
        <v>15.0</v>
      </c>
      <c r="U1031" s="7" t="s">
        <v>263</v>
      </c>
      <c r="V1031" s="7" t="str">
        <f>VLOOKUP(U1031,Jogadores!B:C,2,0)</f>
        <v>DF</v>
      </c>
      <c r="W1031" s="8">
        <f>VLOOKUP(U1031,Jogadores!B:D,3,0)</f>
        <v>32.24931507</v>
      </c>
      <c r="X1031" s="7">
        <v>0.0</v>
      </c>
      <c r="Y1031" s="7">
        <f t="shared" si="3221"/>
        <v>94</v>
      </c>
      <c r="Z1031" s="7">
        <f>VLOOKUP(A1031,Jogos!A:L,3,0)</f>
        <v>47</v>
      </c>
      <c r="AA1031" s="7">
        <f t="shared" si="2229"/>
        <v>47</v>
      </c>
      <c r="AB1031" s="7">
        <f>VLOOKUP(A1031,Jogos!A:L,4,0)</f>
        <v>49</v>
      </c>
      <c r="AC1031" s="7">
        <f t="shared" si="2230"/>
        <v>49</v>
      </c>
      <c r="AD1031" s="7"/>
      <c r="AE1031" s="7"/>
      <c r="AF1031" s="7">
        <f t="shared" si="2231"/>
        <v>96</v>
      </c>
      <c r="AG1031" s="7">
        <v>8849.2</v>
      </c>
      <c r="AH1031" s="7">
        <v>4563.8</v>
      </c>
      <c r="AI1031" s="7">
        <v>2906.1</v>
      </c>
      <c r="AJ1031" s="7">
        <v>846.3</v>
      </c>
      <c r="AK1031" s="7">
        <v>349.9</v>
      </c>
      <c r="AL1031" s="7">
        <v>183.1</v>
      </c>
      <c r="AM1031" s="7">
        <v>80.0</v>
      </c>
      <c r="AN1031" s="7">
        <v>30.0</v>
      </c>
      <c r="AO1031" s="7">
        <v>31.1</v>
      </c>
      <c r="AP1031" s="9">
        <f t="shared" ref="AP1031:AR1031" si="3222">AG1031/$AF1031</f>
        <v>92.17916667</v>
      </c>
      <c r="AQ1031" s="9">
        <f t="shared" si="3222"/>
        <v>47.53958333</v>
      </c>
      <c r="AR1031" s="9">
        <f t="shared" si="3222"/>
        <v>30.271875</v>
      </c>
      <c r="AS1031" s="9">
        <f t="shared" si="2233"/>
        <v>77.81145833</v>
      </c>
      <c r="AT1031" s="9">
        <f t="shared" ref="AT1031:AV1031" si="3223">AJ1031/$AF1031</f>
        <v>8.815625</v>
      </c>
      <c r="AU1031" s="9">
        <f t="shared" si="3223"/>
        <v>3.644791667</v>
      </c>
      <c r="AV1031" s="9">
        <f t="shared" si="3223"/>
        <v>1.907291667</v>
      </c>
      <c r="AW1031" s="9">
        <f t="shared" si="2235"/>
        <v>5.552083333</v>
      </c>
      <c r="AX1031" s="9">
        <f t="shared" ref="AX1031:AY1031" si="3224">AM1031/$AF1031</f>
        <v>0.8333333333</v>
      </c>
      <c r="AY1031" s="9">
        <f t="shared" si="3224"/>
        <v>0.3125</v>
      </c>
      <c r="AZ1031" s="9">
        <f>VLOOKUP(A1031,Jogos!A:BN,58,0)</f>
        <v>27.835</v>
      </c>
      <c r="BA1031" s="9">
        <f>VLOOKUP(A1031,Jogos!A:BN,59,0)</f>
        <v>23.2</v>
      </c>
      <c r="BB1031" s="9">
        <f>VLOOKUP(A1031,Jogos!A:BN,60,0)</f>
        <v>75.5</v>
      </c>
      <c r="BC1031" s="9">
        <f>VLOOKUP(A1031,Jogos!A:BN,61,0)</f>
        <v>26.965</v>
      </c>
      <c r="BD1031" s="9">
        <f>VLOOKUP(A1031,Jogos!A:BN,62,0)</f>
        <v>0</v>
      </c>
      <c r="BE1031" s="9">
        <f>VLOOKUP(A1031,Jogos!A:BN,63,0)</f>
        <v>2.185</v>
      </c>
      <c r="BF1031" s="9">
        <f>VLOOKUP(A1031,Jogos!A:BN,64,0)</f>
        <v>24.65</v>
      </c>
      <c r="BG1031" s="9">
        <f>VLOOKUP(A1031,Jogos!A:BN,65,0)</f>
        <v>42.37</v>
      </c>
      <c r="BH1031" s="9">
        <f>VLOOKUP(A1031,Jogos!A:BN,66,0)</f>
        <v>28.515</v>
      </c>
      <c r="BI1031" s="9"/>
      <c r="BJ1031" s="9"/>
    </row>
    <row r="1032" hidden="1">
      <c r="A1032" s="10">
        <v>35.0</v>
      </c>
      <c r="B1032" s="11" t="s">
        <v>60</v>
      </c>
      <c r="C1032" s="2" t="s">
        <v>61</v>
      </c>
      <c r="D1032" s="12">
        <v>45831.0</v>
      </c>
      <c r="E1032" s="13">
        <v>0.875</v>
      </c>
      <c r="F1032" s="5" t="str">
        <f>VLOOKUP(A1032,Jogos!A:N,10,0)</f>
        <v>Evening</v>
      </c>
      <c r="G1032" s="11" t="s">
        <v>62</v>
      </c>
      <c r="H1032" s="6" t="str">
        <f>VLOOKUP(A1032,Jogos!A:L,12,0)</f>
        <v>Open</v>
      </c>
      <c r="I1032" s="6" t="str">
        <f>VLOOKUP(G1032,'Estádios e Cidades'!A:B,2,0)</f>
        <v>Miami Gardens - Flórida</v>
      </c>
      <c r="J1032" s="11" t="s">
        <v>250</v>
      </c>
      <c r="K1032" s="2" t="str">
        <f>VLOOKUP(J1032,Equipes!A:F,6,0)</f>
        <v>Temperate</v>
      </c>
      <c r="L1032" s="2">
        <f>VLOOKUP(J1032,Equipes!A:C,3,0)</f>
        <v>8</v>
      </c>
      <c r="M1032" s="2" t="str">
        <f t="shared" si="4"/>
        <v>Quarter-final</v>
      </c>
      <c r="N1032" s="11" t="s">
        <v>64</v>
      </c>
      <c r="O1032" s="2">
        <f>VLOOKUP(N1032,Equipes!A:C,3,0)</f>
        <v>16</v>
      </c>
      <c r="P1032" s="2" t="str">
        <f t="shared" si="5"/>
        <v>Round of 16</v>
      </c>
      <c r="Q1032" s="2">
        <f t="shared" si="6"/>
        <v>-8</v>
      </c>
      <c r="R1032" s="2" t="str">
        <f>VLOOKUP(J1032,Equipes!A:B,2,0)</f>
        <v>Palmeiras</v>
      </c>
      <c r="S1032" s="6" t="s">
        <v>1060</v>
      </c>
      <c r="T1032" s="7">
        <v>17.0</v>
      </c>
      <c r="U1032" s="7" t="s">
        <v>1061</v>
      </c>
      <c r="V1032" s="7" t="str">
        <f>VLOOKUP(U1032,Jogadores!B:C,2,0)</f>
        <v>FW</v>
      </c>
      <c r="W1032" s="8">
        <f>VLOOKUP(U1032,Jogadores!B:D,3,0)</f>
        <v>25.30684932</v>
      </c>
      <c r="X1032" s="7">
        <v>0.0</v>
      </c>
      <c r="Y1032" s="7">
        <v>55.0</v>
      </c>
      <c r="Z1032" s="7">
        <f>VLOOKUP(A1032,Jogos!A:L,3,0)</f>
        <v>47</v>
      </c>
      <c r="AA1032" s="7">
        <f t="shared" si="2229"/>
        <v>47</v>
      </c>
      <c r="AB1032" s="7">
        <f>VLOOKUP(A1032,Jogos!A:L,4,0)</f>
        <v>49</v>
      </c>
      <c r="AC1032" s="7">
        <f t="shared" si="2230"/>
        <v>10</v>
      </c>
      <c r="AD1032" s="7"/>
      <c r="AE1032" s="7"/>
      <c r="AF1032" s="7">
        <f t="shared" si="2231"/>
        <v>57</v>
      </c>
      <c r="AG1032" s="7">
        <v>6661.5</v>
      </c>
      <c r="AH1032" s="7">
        <v>2273.9</v>
      </c>
      <c r="AI1032" s="7">
        <v>2916.0</v>
      </c>
      <c r="AJ1032" s="7">
        <v>924.2</v>
      </c>
      <c r="AK1032" s="7">
        <v>476.5</v>
      </c>
      <c r="AL1032" s="7">
        <v>70.8</v>
      </c>
      <c r="AM1032" s="7">
        <v>81.0</v>
      </c>
      <c r="AN1032" s="7">
        <v>38.0</v>
      </c>
      <c r="AO1032" s="7">
        <v>30.3</v>
      </c>
      <c r="AP1032" s="9">
        <f t="shared" ref="AP1032:AR1032" si="3225">AG1032/$AF1032</f>
        <v>116.8684211</v>
      </c>
      <c r="AQ1032" s="9">
        <f t="shared" si="3225"/>
        <v>39.89298246</v>
      </c>
      <c r="AR1032" s="9">
        <f t="shared" si="3225"/>
        <v>51.15789474</v>
      </c>
      <c r="AS1032" s="9">
        <f t="shared" si="2233"/>
        <v>91.05087719</v>
      </c>
      <c r="AT1032" s="9">
        <f t="shared" ref="AT1032:AV1032" si="3226">AJ1032/$AF1032</f>
        <v>16.21403509</v>
      </c>
      <c r="AU1032" s="9">
        <f t="shared" si="3226"/>
        <v>8.359649123</v>
      </c>
      <c r="AV1032" s="9">
        <f t="shared" si="3226"/>
        <v>1.242105263</v>
      </c>
      <c r="AW1032" s="9">
        <f t="shared" si="2235"/>
        <v>9.601754386</v>
      </c>
      <c r="AX1032" s="9">
        <f t="shared" ref="AX1032:AY1032" si="3227">AM1032/$AF1032</f>
        <v>1.421052632</v>
      </c>
      <c r="AY1032" s="9">
        <f t="shared" si="3227"/>
        <v>0.6666666667</v>
      </c>
      <c r="AZ1032" s="9">
        <f>VLOOKUP(A1032,Jogos!A:BN,58,0)</f>
        <v>27.835</v>
      </c>
      <c r="BA1032" s="9">
        <f>VLOOKUP(A1032,Jogos!A:BN,59,0)</f>
        <v>23.2</v>
      </c>
      <c r="BB1032" s="9">
        <f>VLOOKUP(A1032,Jogos!A:BN,60,0)</f>
        <v>75.5</v>
      </c>
      <c r="BC1032" s="9">
        <f>VLOOKUP(A1032,Jogos!A:BN,61,0)</f>
        <v>26.965</v>
      </c>
      <c r="BD1032" s="9">
        <f>VLOOKUP(A1032,Jogos!A:BN,62,0)</f>
        <v>0</v>
      </c>
      <c r="BE1032" s="9">
        <f>VLOOKUP(A1032,Jogos!A:BN,63,0)</f>
        <v>2.185</v>
      </c>
      <c r="BF1032" s="9">
        <f>VLOOKUP(A1032,Jogos!A:BN,64,0)</f>
        <v>24.65</v>
      </c>
      <c r="BG1032" s="9">
        <f>VLOOKUP(A1032,Jogos!A:BN,65,0)</f>
        <v>42.37</v>
      </c>
      <c r="BH1032" s="9">
        <f>VLOOKUP(A1032,Jogos!A:BN,66,0)</f>
        <v>28.515</v>
      </c>
      <c r="BI1032" s="9"/>
      <c r="BJ1032" s="9"/>
    </row>
    <row r="1033" hidden="1">
      <c r="A1033" s="10">
        <v>35.0</v>
      </c>
      <c r="B1033" s="11" t="s">
        <v>60</v>
      </c>
      <c r="C1033" s="2" t="s">
        <v>61</v>
      </c>
      <c r="D1033" s="12">
        <v>45831.0</v>
      </c>
      <c r="E1033" s="13">
        <v>0.875</v>
      </c>
      <c r="F1033" s="5" t="str">
        <f>VLOOKUP(A1033,Jogos!A:N,10,0)</f>
        <v>Evening</v>
      </c>
      <c r="G1033" s="11" t="s">
        <v>62</v>
      </c>
      <c r="H1033" s="6" t="str">
        <f>VLOOKUP(A1033,Jogos!A:L,12,0)</f>
        <v>Open</v>
      </c>
      <c r="I1033" s="6" t="str">
        <f>VLOOKUP(G1033,'Estádios e Cidades'!A:B,2,0)</f>
        <v>Miami Gardens - Flórida</v>
      </c>
      <c r="J1033" s="11" t="s">
        <v>250</v>
      </c>
      <c r="K1033" s="2" t="str">
        <f>VLOOKUP(J1033,Equipes!A:F,6,0)</f>
        <v>Temperate</v>
      </c>
      <c r="L1033" s="2">
        <f>VLOOKUP(J1033,Equipes!A:C,3,0)</f>
        <v>8</v>
      </c>
      <c r="M1033" s="2" t="str">
        <f t="shared" si="4"/>
        <v>Quarter-final</v>
      </c>
      <c r="N1033" s="11" t="s">
        <v>64</v>
      </c>
      <c r="O1033" s="2">
        <f>VLOOKUP(N1033,Equipes!A:C,3,0)</f>
        <v>16</v>
      </c>
      <c r="P1033" s="2" t="str">
        <f t="shared" si="5"/>
        <v>Round of 16</v>
      </c>
      <c r="Q1033" s="2">
        <f t="shared" si="6"/>
        <v>-8</v>
      </c>
      <c r="R1033" s="2" t="str">
        <f>VLOOKUP(J1033,Equipes!A:B,2,0)</f>
        <v>Palmeiras</v>
      </c>
      <c r="S1033" s="6" t="s">
        <v>266</v>
      </c>
      <c r="T1033" s="7">
        <v>22.0</v>
      </c>
      <c r="U1033" s="7" t="s">
        <v>267</v>
      </c>
      <c r="V1033" s="7" t="str">
        <f>VLOOKUP(U1033,Jogadores!B:C,2,0)</f>
        <v>DF</v>
      </c>
      <c r="W1033" s="8">
        <f>VLOOKUP(U1033,Jogadores!B:D,3,0)</f>
        <v>26.94520548</v>
      </c>
      <c r="X1033" s="7">
        <v>0.0</v>
      </c>
      <c r="Y1033" s="7">
        <f>45+AB1033</f>
        <v>94</v>
      </c>
      <c r="Z1033" s="7">
        <f>VLOOKUP(A1033,Jogos!A:L,3,0)</f>
        <v>47</v>
      </c>
      <c r="AA1033" s="7">
        <f t="shared" si="2229"/>
        <v>47</v>
      </c>
      <c r="AB1033" s="7">
        <f>VLOOKUP(A1033,Jogos!A:L,4,0)</f>
        <v>49</v>
      </c>
      <c r="AC1033" s="7">
        <f t="shared" si="2230"/>
        <v>49</v>
      </c>
      <c r="AD1033" s="7"/>
      <c r="AE1033" s="7"/>
      <c r="AF1033" s="7">
        <f t="shared" si="2231"/>
        <v>96</v>
      </c>
      <c r="AG1033" s="7">
        <v>9882.3</v>
      </c>
      <c r="AH1033" s="7">
        <v>4927.0</v>
      </c>
      <c r="AI1033" s="7">
        <v>3248.1</v>
      </c>
      <c r="AJ1033" s="7">
        <v>1110.9</v>
      </c>
      <c r="AK1033" s="7">
        <v>418.2</v>
      </c>
      <c r="AL1033" s="7">
        <v>178.0</v>
      </c>
      <c r="AM1033" s="7">
        <v>94.0</v>
      </c>
      <c r="AN1033" s="7">
        <v>36.0</v>
      </c>
      <c r="AO1033" s="7">
        <v>32.2</v>
      </c>
      <c r="AP1033" s="9">
        <f t="shared" ref="AP1033:AR1033" si="3228">AG1033/$AF1033</f>
        <v>102.940625</v>
      </c>
      <c r="AQ1033" s="9">
        <f t="shared" si="3228"/>
        <v>51.32291667</v>
      </c>
      <c r="AR1033" s="9">
        <f t="shared" si="3228"/>
        <v>33.834375</v>
      </c>
      <c r="AS1033" s="9">
        <f t="shared" si="2233"/>
        <v>85.15729167</v>
      </c>
      <c r="AT1033" s="9">
        <f t="shared" ref="AT1033:AV1033" si="3229">AJ1033/$AF1033</f>
        <v>11.571875</v>
      </c>
      <c r="AU1033" s="9">
        <f t="shared" si="3229"/>
        <v>4.35625</v>
      </c>
      <c r="AV1033" s="9">
        <f t="shared" si="3229"/>
        <v>1.854166667</v>
      </c>
      <c r="AW1033" s="9">
        <f t="shared" si="2235"/>
        <v>6.210416667</v>
      </c>
      <c r="AX1033" s="9">
        <f t="shared" ref="AX1033:AY1033" si="3230">AM1033/$AF1033</f>
        <v>0.9791666667</v>
      </c>
      <c r="AY1033" s="9">
        <f t="shared" si="3230"/>
        <v>0.375</v>
      </c>
      <c r="AZ1033" s="9">
        <f>VLOOKUP(A1033,Jogos!A:BN,58,0)</f>
        <v>27.835</v>
      </c>
      <c r="BA1033" s="9">
        <f>VLOOKUP(A1033,Jogos!A:BN,59,0)</f>
        <v>23.2</v>
      </c>
      <c r="BB1033" s="9">
        <f>VLOOKUP(A1033,Jogos!A:BN,60,0)</f>
        <v>75.5</v>
      </c>
      <c r="BC1033" s="9">
        <f>VLOOKUP(A1033,Jogos!A:BN,61,0)</f>
        <v>26.965</v>
      </c>
      <c r="BD1033" s="9">
        <f>VLOOKUP(A1033,Jogos!A:BN,62,0)</f>
        <v>0</v>
      </c>
      <c r="BE1033" s="9">
        <f>VLOOKUP(A1033,Jogos!A:BN,63,0)</f>
        <v>2.185</v>
      </c>
      <c r="BF1033" s="9">
        <f>VLOOKUP(A1033,Jogos!A:BN,64,0)</f>
        <v>24.65</v>
      </c>
      <c r="BG1033" s="9">
        <f>VLOOKUP(A1033,Jogos!A:BN,65,0)</f>
        <v>42.37</v>
      </c>
      <c r="BH1033" s="9">
        <f>VLOOKUP(A1033,Jogos!A:BN,66,0)</f>
        <v>28.515</v>
      </c>
      <c r="BI1033" s="9"/>
      <c r="BJ1033" s="9"/>
    </row>
    <row r="1034" hidden="1">
      <c r="A1034" s="10">
        <v>35.0</v>
      </c>
      <c r="B1034" s="11" t="s">
        <v>60</v>
      </c>
      <c r="C1034" s="2" t="s">
        <v>61</v>
      </c>
      <c r="D1034" s="12">
        <v>45831.0</v>
      </c>
      <c r="E1034" s="13">
        <v>0.875</v>
      </c>
      <c r="F1034" s="5" t="str">
        <f>VLOOKUP(A1034,Jogos!A:N,10,0)</f>
        <v>Evening</v>
      </c>
      <c r="G1034" s="11" t="s">
        <v>62</v>
      </c>
      <c r="H1034" s="6" t="str">
        <f>VLOOKUP(A1034,Jogos!A:L,12,0)</f>
        <v>Open</v>
      </c>
      <c r="I1034" s="6" t="str">
        <f>VLOOKUP(G1034,'Estádios e Cidades'!A:B,2,0)</f>
        <v>Miami Gardens - Flórida</v>
      </c>
      <c r="J1034" s="11" t="s">
        <v>250</v>
      </c>
      <c r="K1034" s="2" t="str">
        <f>VLOOKUP(J1034,Equipes!A:F,6,0)</f>
        <v>Temperate</v>
      </c>
      <c r="L1034" s="2">
        <f>VLOOKUP(J1034,Equipes!A:C,3,0)</f>
        <v>8</v>
      </c>
      <c r="M1034" s="2" t="str">
        <f t="shared" si="4"/>
        <v>Quarter-final</v>
      </c>
      <c r="N1034" s="11" t="s">
        <v>64</v>
      </c>
      <c r="O1034" s="2">
        <f>VLOOKUP(N1034,Equipes!A:C,3,0)</f>
        <v>16</v>
      </c>
      <c r="P1034" s="2" t="str">
        <f t="shared" si="5"/>
        <v>Round of 16</v>
      </c>
      <c r="Q1034" s="2">
        <f t="shared" si="6"/>
        <v>-8</v>
      </c>
      <c r="R1034" s="2" t="str">
        <f>VLOOKUP(J1034,Equipes!A:B,2,0)</f>
        <v>Palmeiras</v>
      </c>
      <c r="S1034" s="6" t="s">
        <v>274</v>
      </c>
      <c r="T1034" s="7">
        <v>23.0</v>
      </c>
      <c r="U1034" s="7" t="s">
        <v>275</v>
      </c>
      <c r="V1034" s="7" t="str">
        <f>VLOOKUP(U1034,Jogadores!B:C,2,0)</f>
        <v>MF</v>
      </c>
      <c r="W1034" s="8">
        <f>VLOOKUP(U1034,Jogadores!B:D,3,0)</f>
        <v>30.12876712</v>
      </c>
      <c r="X1034" s="7">
        <v>0.0</v>
      </c>
      <c r="Y1034" s="7">
        <v>45.0</v>
      </c>
      <c r="Z1034" s="7">
        <f>VLOOKUP(A1034,Jogos!A:L,3,0)</f>
        <v>47</v>
      </c>
      <c r="AA1034" s="7">
        <f t="shared" si="2229"/>
        <v>47</v>
      </c>
      <c r="AB1034" s="7">
        <f>VLOOKUP(A1034,Jogos!A:L,4,0)</f>
        <v>49</v>
      </c>
      <c r="AC1034" s="7">
        <f t="shared" si="2230"/>
        <v>0</v>
      </c>
      <c r="AD1034" s="7"/>
      <c r="AE1034" s="7"/>
      <c r="AF1034" s="7">
        <f t="shared" si="2231"/>
        <v>47</v>
      </c>
      <c r="AG1034" s="7">
        <v>5872.7</v>
      </c>
      <c r="AH1034" s="7">
        <v>1949.5</v>
      </c>
      <c r="AI1034" s="7">
        <v>2621.6</v>
      </c>
      <c r="AJ1034" s="7">
        <v>1011.3</v>
      </c>
      <c r="AK1034" s="7">
        <v>215.5</v>
      </c>
      <c r="AL1034" s="7">
        <v>74.8</v>
      </c>
      <c r="AM1034" s="7">
        <v>94.0</v>
      </c>
      <c r="AN1034" s="7">
        <v>18.0</v>
      </c>
      <c r="AO1034" s="7">
        <v>30.3</v>
      </c>
      <c r="AP1034" s="9">
        <f t="shared" ref="AP1034:AR1034" si="3231">AG1034/$AF1034</f>
        <v>124.9510638</v>
      </c>
      <c r="AQ1034" s="9">
        <f t="shared" si="3231"/>
        <v>41.4787234</v>
      </c>
      <c r="AR1034" s="9">
        <f t="shared" si="3231"/>
        <v>55.7787234</v>
      </c>
      <c r="AS1034" s="9">
        <f t="shared" si="2233"/>
        <v>97.25744681</v>
      </c>
      <c r="AT1034" s="9">
        <f t="shared" ref="AT1034:AV1034" si="3232">AJ1034/$AF1034</f>
        <v>21.51702128</v>
      </c>
      <c r="AU1034" s="9">
        <f t="shared" si="3232"/>
        <v>4.585106383</v>
      </c>
      <c r="AV1034" s="9">
        <f t="shared" si="3232"/>
        <v>1.591489362</v>
      </c>
      <c r="AW1034" s="9">
        <f t="shared" si="2235"/>
        <v>6.176595745</v>
      </c>
      <c r="AX1034" s="9">
        <f t="shared" ref="AX1034:AY1034" si="3233">AM1034/$AF1034</f>
        <v>2</v>
      </c>
      <c r="AY1034" s="9">
        <f t="shared" si="3233"/>
        <v>0.3829787234</v>
      </c>
      <c r="AZ1034" s="9">
        <f>VLOOKUP(A1034,Jogos!A:BN,58,0)</f>
        <v>27.835</v>
      </c>
      <c r="BA1034" s="9">
        <f>VLOOKUP(A1034,Jogos!A:BN,59,0)</f>
        <v>23.2</v>
      </c>
      <c r="BB1034" s="9">
        <f>VLOOKUP(A1034,Jogos!A:BN,60,0)</f>
        <v>75.5</v>
      </c>
      <c r="BC1034" s="9">
        <f>VLOOKUP(A1034,Jogos!A:BN,61,0)</f>
        <v>26.965</v>
      </c>
      <c r="BD1034" s="9">
        <f>VLOOKUP(A1034,Jogos!A:BN,62,0)</f>
        <v>0</v>
      </c>
      <c r="BE1034" s="9">
        <f>VLOOKUP(A1034,Jogos!A:BN,63,0)</f>
        <v>2.185</v>
      </c>
      <c r="BF1034" s="9">
        <f>VLOOKUP(A1034,Jogos!A:BN,64,0)</f>
        <v>24.65</v>
      </c>
      <c r="BG1034" s="9">
        <f>VLOOKUP(A1034,Jogos!A:BN,65,0)</f>
        <v>42.37</v>
      </c>
      <c r="BH1034" s="9">
        <f>VLOOKUP(A1034,Jogos!A:BN,66,0)</f>
        <v>28.515</v>
      </c>
      <c r="BI1034" s="9"/>
      <c r="BJ1034" s="9"/>
    </row>
    <row r="1035" hidden="1">
      <c r="A1035" s="10">
        <v>35.0</v>
      </c>
      <c r="B1035" s="11" t="s">
        <v>60</v>
      </c>
      <c r="C1035" s="2" t="s">
        <v>61</v>
      </c>
      <c r="D1035" s="12">
        <v>45831.0</v>
      </c>
      <c r="E1035" s="13">
        <v>0.875</v>
      </c>
      <c r="F1035" s="5" t="str">
        <f>VLOOKUP(A1035,Jogos!A:N,10,0)</f>
        <v>Evening</v>
      </c>
      <c r="G1035" s="11" t="s">
        <v>62</v>
      </c>
      <c r="H1035" s="6" t="str">
        <f>VLOOKUP(A1035,Jogos!A:L,12,0)</f>
        <v>Open</v>
      </c>
      <c r="I1035" s="6" t="str">
        <f>VLOOKUP(G1035,'Estádios e Cidades'!A:B,2,0)</f>
        <v>Miami Gardens - Flórida</v>
      </c>
      <c r="J1035" s="11" t="s">
        <v>250</v>
      </c>
      <c r="K1035" s="2" t="str">
        <f>VLOOKUP(J1035,Equipes!A:F,6,0)</f>
        <v>Temperate</v>
      </c>
      <c r="L1035" s="2">
        <f>VLOOKUP(J1035,Equipes!A:C,3,0)</f>
        <v>8</v>
      </c>
      <c r="M1035" s="2" t="str">
        <f t="shared" si="4"/>
        <v>Quarter-final</v>
      </c>
      <c r="N1035" s="11" t="s">
        <v>64</v>
      </c>
      <c r="O1035" s="2">
        <f>VLOOKUP(N1035,Equipes!A:C,3,0)</f>
        <v>16</v>
      </c>
      <c r="P1035" s="2" t="str">
        <f t="shared" si="5"/>
        <v>Round of 16</v>
      </c>
      <c r="Q1035" s="2">
        <f t="shared" si="6"/>
        <v>-8</v>
      </c>
      <c r="R1035" s="2" t="str">
        <f>VLOOKUP(J1035,Equipes!A:B,2,0)</f>
        <v>Palmeiras</v>
      </c>
      <c r="S1035" s="6" t="s">
        <v>268</v>
      </c>
      <c r="T1035" s="7">
        <v>26.0</v>
      </c>
      <c r="U1035" s="7" t="s">
        <v>269</v>
      </c>
      <c r="V1035" s="7" t="str">
        <f>VLOOKUP(U1035,Jogadores!B:C,2,0)</f>
        <v>DF</v>
      </c>
      <c r="W1035" s="8">
        <f>VLOOKUP(U1035,Jogadores!B:D,3,0)</f>
        <v>28.35616438</v>
      </c>
      <c r="X1035" s="7">
        <v>0.0</v>
      </c>
      <c r="Y1035" s="7">
        <v>18.0</v>
      </c>
      <c r="Z1035" s="7">
        <f>VLOOKUP(A1035,Jogos!A:L,3,0)</f>
        <v>47</v>
      </c>
      <c r="AA1035" s="7">
        <f t="shared" si="2229"/>
        <v>18</v>
      </c>
      <c r="AB1035" s="7">
        <f>VLOOKUP(A1035,Jogos!A:L,4,0)</f>
        <v>49</v>
      </c>
      <c r="AC1035" s="7">
        <f t="shared" si="2230"/>
        <v>0</v>
      </c>
      <c r="AD1035" s="7"/>
      <c r="AE1035" s="7"/>
      <c r="AF1035" s="7">
        <f t="shared" si="2231"/>
        <v>18</v>
      </c>
      <c r="AG1035" s="7">
        <v>1674.6</v>
      </c>
      <c r="AH1035" s="7">
        <v>705.7</v>
      </c>
      <c r="AI1035" s="7">
        <v>784.0</v>
      </c>
      <c r="AJ1035" s="7">
        <v>116.3</v>
      </c>
      <c r="AK1035" s="7">
        <v>33.8</v>
      </c>
      <c r="AL1035" s="7">
        <v>34.8</v>
      </c>
      <c r="AM1035" s="7">
        <v>9.0</v>
      </c>
      <c r="AN1035" s="7">
        <v>3.0</v>
      </c>
      <c r="AO1035" s="7">
        <v>33.8</v>
      </c>
      <c r="AP1035" s="9">
        <f t="shared" ref="AP1035:AR1035" si="3234">AG1035/$AF1035</f>
        <v>93.03333333</v>
      </c>
      <c r="AQ1035" s="9">
        <f t="shared" si="3234"/>
        <v>39.20555556</v>
      </c>
      <c r="AR1035" s="9">
        <f t="shared" si="3234"/>
        <v>43.55555556</v>
      </c>
      <c r="AS1035" s="9">
        <f t="shared" si="2233"/>
        <v>82.76111111</v>
      </c>
      <c r="AT1035" s="9">
        <f t="shared" ref="AT1035:AV1035" si="3235">AJ1035/$AF1035</f>
        <v>6.461111111</v>
      </c>
      <c r="AU1035" s="9">
        <f t="shared" si="3235"/>
        <v>1.877777778</v>
      </c>
      <c r="AV1035" s="9">
        <f t="shared" si="3235"/>
        <v>1.933333333</v>
      </c>
      <c r="AW1035" s="9">
        <f t="shared" si="2235"/>
        <v>3.811111111</v>
      </c>
      <c r="AX1035" s="9">
        <f t="shared" ref="AX1035:AY1035" si="3236">AM1035/$AF1035</f>
        <v>0.5</v>
      </c>
      <c r="AY1035" s="9">
        <f t="shared" si="3236"/>
        <v>0.1666666667</v>
      </c>
      <c r="AZ1035" s="9">
        <f>VLOOKUP(A1035,Jogos!A:BN,58,0)</f>
        <v>27.835</v>
      </c>
      <c r="BA1035" s="9">
        <f>VLOOKUP(A1035,Jogos!A:BN,59,0)</f>
        <v>23.2</v>
      </c>
      <c r="BB1035" s="9">
        <f>VLOOKUP(A1035,Jogos!A:BN,60,0)</f>
        <v>75.5</v>
      </c>
      <c r="BC1035" s="9">
        <f>VLOOKUP(A1035,Jogos!A:BN,61,0)</f>
        <v>26.965</v>
      </c>
      <c r="BD1035" s="9">
        <f>VLOOKUP(A1035,Jogos!A:BN,62,0)</f>
        <v>0</v>
      </c>
      <c r="BE1035" s="9">
        <f>VLOOKUP(A1035,Jogos!A:BN,63,0)</f>
        <v>2.185</v>
      </c>
      <c r="BF1035" s="9">
        <f>VLOOKUP(A1035,Jogos!A:BN,64,0)</f>
        <v>24.65</v>
      </c>
      <c r="BG1035" s="9">
        <f>VLOOKUP(A1035,Jogos!A:BN,65,0)</f>
        <v>42.37</v>
      </c>
      <c r="BH1035" s="9">
        <f>VLOOKUP(A1035,Jogos!A:BN,66,0)</f>
        <v>28.515</v>
      </c>
      <c r="BI1035" s="9"/>
      <c r="BJ1035" s="9"/>
    </row>
    <row r="1036" hidden="1">
      <c r="A1036" s="10">
        <v>35.0</v>
      </c>
      <c r="B1036" s="11" t="s">
        <v>60</v>
      </c>
      <c r="C1036" s="2" t="s">
        <v>61</v>
      </c>
      <c r="D1036" s="12">
        <v>45831.0</v>
      </c>
      <c r="E1036" s="13">
        <v>0.875</v>
      </c>
      <c r="F1036" s="5" t="str">
        <f>VLOOKUP(A1036,Jogos!A:N,10,0)</f>
        <v>Evening</v>
      </c>
      <c r="G1036" s="11" t="s">
        <v>62</v>
      </c>
      <c r="H1036" s="6" t="str">
        <f>VLOOKUP(A1036,Jogos!A:L,12,0)</f>
        <v>Open</v>
      </c>
      <c r="I1036" s="6" t="str">
        <f>VLOOKUP(G1036,'Estádios e Cidades'!A:B,2,0)</f>
        <v>Miami Gardens - Flórida</v>
      </c>
      <c r="J1036" s="11" t="s">
        <v>250</v>
      </c>
      <c r="K1036" s="2" t="str">
        <f>VLOOKUP(J1036,Equipes!A:F,6,0)</f>
        <v>Temperate</v>
      </c>
      <c r="L1036" s="2">
        <f>VLOOKUP(J1036,Equipes!A:C,3,0)</f>
        <v>8</v>
      </c>
      <c r="M1036" s="2" t="str">
        <f t="shared" si="4"/>
        <v>Quarter-final</v>
      </c>
      <c r="N1036" s="11" t="s">
        <v>64</v>
      </c>
      <c r="O1036" s="2">
        <f>VLOOKUP(N1036,Equipes!A:C,3,0)</f>
        <v>16</v>
      </c>
      <c r="P1036" s="2" t="str">
        <f t="shared" si="5"/>
        <v>Round of 16</v>
      </c>
      <c r="Q1036" s="2">
        <f t="shared" si="6"/>
        <v>-8</v>
      </c>
      <c r="R1036" s="2" t="str">
        <f>VLOOKUP(J1036,Equipes!A:B,2,0)</f>
        <v>Palmeiras</v>
      </c>
      <c r="S1036" s="6" t="s">
        <v>276</v>
      </c>
      <c r="T1036" s="7">
        <v>30.0</v>
      </c>
      <c r="U1036" s="7" t="s">
        <v>277</v>
      </c>
      <c r="V1036" s="7" t="str">
        <f>VLOOKUP(U1036,Jogadores!B:C,2,0)</f>
        <v>MF</v>
      </c>
      <c r="W1036" s="8">
        <f>VLOOKUP(U1036,Jogadores!B:D,3,0)</f>
        <v>30.24931507</v>
      </c>
      <c r="X1036" s="7">
        <v>0.0</v>
      </c>
      <c r="Y1036" s="7">
        <v>67.0</v>
      </c>
      <c r="Z1036" s="7">
        <f>VLOOKUP(A1036,Jogos!A:L,3,0)</f>
        <v>47</v>
      </c>
      <c r="AA1036" s="7">
        <f t="shared" si="2229"/>
        <v>47</v>
      </c>
      <c r="AB1036" s="7">
        <f>VLOOKUP(A1036,Jogos!A:L,4,0)</f>
        <v>49</v>
      </c>
      <c r="AC1036" s="7">
        <f t="shared" si="2230"/>
        <v>22</v>
      </c>
      <c r="AD1036" s="7"/>
      <c r="AE1036" s="7"/>
      <c r="AF1036" s="7">
        <f t="shared" si="2231"/>
        <v>69</v>
      </c>
      <c r="AG1036" s="7">
        <v>8689.9</v>
      </c>
      <c r="AH1036" s="7">
        <v>2583.6</v>
      </c>
      <c r="AI1036" s="7">
        <v>4534.6</v>
      </c>
      <c r="AJ1036" s="7">
        <v>1119.6</v>
      </c>
      <c r="AK1036" s="7">
        <v>337.2</v>
      </c>
      <c r="AL1036" s="7">
        <v>114.9</v>
      </c>
      <c r="AM1036" s="7">
        <v>106.0</v>
      </c>
      <c r="AN1036" s="7">
        <v>24.0</v>
      </c>
      <c r="AO1036" s="7">
        <v>28.9</v>
      </c>
      <c r="AP1036" s="9">
        <f t="shared" ref="AP1036:AR1036" si="3237">AG1036/$AF1036</f>
        <v>125.9405797</v>
      </c>
      <c r="AQ1036" s="9">
        <f t="shared" si="3237"/>
        <v>37.44347826</v>
      </c>
      <c r="AR1036" s="9">
        <f t="shared" si="3237"/>
        <v>65.71884058</v>
      </c>
      <c r="AS1036" s="9">
        <f t="shared" si="2233"/>
        <v>103.1623188</v>
      </c>
      <c r="AT1036" s="9">
        <f t="shared" ref="AT1036:AV1036" si="3238">AJ1036/$AF1036</f>
        <v>16.22608696</v>
      </c>
      <c r="AU1036" s="9">
        <f t="shared" si="3238"/>
        <v>4.886956522</v>
      </c>
      <c r="AV1036" s="9">
        <f t="shared" si="3238"/>
        <v>1.665217391</v>
      </c>
      <c r="AW1036" s="9">
        <f t="shared" si="2235"/>
        <v>6.552173913</v>
      </c>
      <c r="AX1036" s="9">
        <f t="shared" ref="AX1036:AY1036" si="3239">AM1036/$AF1036</f>
        <v>1.536231884</v>
      </c>
      <c r="AY1036" s="9">
        <f t="shared" si="3239"/>
        <v>0.347826087</v>
      </c>
      <c r="AZ1036" s="9">
        <f>VLOOKUP(A1036,Jogos!A:BN,58,0)</f>
        <v>27.835</v>
      </c>
      <c r="BA1036" s="9">
        <f>VLOOKUP(A1036,Jogos!A:BN,59,0)</f>
        <v>23.2</v>
      </c>
      <c r="BB1036" s="9">
        <f>VLOOKUP(A1036,Jogos!A:BN,60,0)</f>
        <v>75.5</v>
      </c>
      <c r="BC1036" s="9">
        <f>VLOOKUP(A1036,Jogos!A:BN,61,0)</f>
        <v>26.965</v>
      </c>
      <c r="BD1036" s="9">
        <f>VLOOKUP(A1036,Jogos!A:BN,62,0)</f>
        <v>0</v>
      </c>
      <c r="BE1036" s="9">
        <f>VLOOKUP(A1036,Jogos!A:BN,63,0)</f>
        <v>2.185</v>
      </c>
      <c r="BF1036" s="9">
        <f>VLOOKUP(A1036,Jogos!A:BN,64,0)</f>
        <v>24.65</v>
      </c>
      <c r="BG1036" s="9">
        <f>VLOOKUP(A1036,Jogos!A:BN,65,0)</f>
        <v>42.37</v>
      </c>
      <c r="BH1036" s="9">
        <f>VLOOKUP(A1036,Jogos!A:BN,66,0)</f>
        <v>28.515</v>
      </c>
      <c r="BI1036" s="9"/>
      <c r="BJ1036" s="9"/>
    </row>
    <row r="1037" hidden="1">
      <c r="A1037" s="10">
        <v>35.0</v>
      </c>
      <c r="B1037" s="11" t="s">
        <v>60</v>
      </c>
      <c r="C1037" s="2" t="s">
        <v>61</v>
      </c>
      <c r="D1037" s="12">
        <v>45831.0</v>
      </c>
      <c r="E1037" s="13">
        <v>0.875</v>
      </c>
      <c r="F1037" s="5" t="str">
        <f>VLOOKUP(A1037,Jogos!A:N,10,0)</f>
        <v>Evening</v>
      </c>
      <c r="G1037" s="11" t="s">
        <v>62</v>
      </c>
      <c r="H1037" s="6" t="str">
        <f>VLOOKUP(A1037,Jogos!A:L,12,0)</f>
        <v>Open</v>
      </c>
      <c r="I1037" s="6" t="str">
        <f>VLOOKUP(G1037,'Estádios e Cidades'!A:B,2,0)</f>
        <v>Miami Gardens - Flórida</v>
      </c>
      <c r="J1037" s="11" t="s">
        <v>250</v>
      </c>
      <c r="K1037" s="2" t="str">
        <f>VLOOKUP(J1037,Equipes!A:F,6,0)</f>
        <v>Temperate</v>
      </c>
      <c r="L1037" s="2">
        <f>VLOOKUP(J1037,Equipes!A:C,3,0)</f>
        <v>8</v>
      </c>
      <c r="M1037" s="2" t="str">
        <f t="shared" si="4"/>
        <v>Quarter-final</v>
      </c>
      <c r="N1037" s="11" t="s">
        <v>64</v>
      </c>
      <c r="O1037" s="2">
        <f>VLOOKUP(N1037,Equipes!A:C,3,0)</f>
        <v>16</v>
      </c>
      <c r="P1037" s="2" t="str">
        <f t="shared" si="5"/>
        <v>Round of 16</v>
      </c>
      <c r="Q1037" s="2">
        <f t="shared" si="6"/>
        <v>-8</v>
      </c>
      <c r="R1037" s="2" t="str">
        <f>VLOOKUP(J1037,Equipes!A:B,2,0)</f>
        <v>Palmeiras</v>
      </c>
      <c r="S1037" s="6" t="s">
        <v>270</v>
      </c>
      <c r="T1037" s="7">
        <v>41.0</v>
      </c>
      <c r="U1037" s="7" t="s">
        <v>271</v>
      </c>
      <c r="V1037" s="7" t="str">
        <f>VLOOKUP(U1037,Jogadores!B:C,2,0)</f>
        <v>FW</v>
      </c>
      <c r="W1037" s="8">
        <f>VLOOKUP(U1037,Jogadores!B:D,3,0)</f>
        <v>18.2739726</v>
      </c>
      <c r="X1037" s="7">
        <v>0.0</v>
      </c>
      <c r="Y1037" s="7">
        <f t="shared" ref="Y1037:Y1045" si="3243">45+AB1037</f>
        <v>94</v>
      </c>
      <c r="Z1037" s="7">
        <f>VLOOKUP(A1037,Jogos!A:L,3,0)</f>
        <v>47</v>
      </c>
      <c r="AA1037" s="7">
        <f t="shared" si="2229"/>
        <v>47</v>
      </c>
      <c r="AB1037" s="7">
        <f>VLOOKUP(A1037,Jogos!A:L,4,0)</f>
        <v>49</v>
      </c>
      <c r="AC1037" s="7">
        <f t="shared" si="2230"/>
        <v>49</v>
      </c>
      <c r="AD1037" s="7"/>
      <c r="AE1037" s="7"/>
      <c r="AF1037" s="7">
        <f t="shared" si="2231"/>
        <v>96</v>
      </c>
      <c r="AG1037" s="7">
        <v>10122.7</v>
      </c>
      <c r="AH1037" s="7">
        <v>4052.0</v>
      </c>
      <c r="AI1037" s="7">
        <v>3872.2</v>
      </c>
      <c r="AJ1037" s="7">
        <v>1206.4</v>
      </c>
      <c r="AK1037" s="7">
        <v>688.1</v>
      </c>
      <c r="AL1037" s="7">
        <v>304.0</v>
      </c>
      <c r="AM1037" s="7">
        <v>106.0</v>
      </c>
      <c r="AN1037" s="7">
        <v>60.0</v>
      </c>
      <c r="AO1037" s="7">
        <v>34.0</v>
      </c>
      <c r="AP1037" s="9">
        <f t="shared" ref="AP1037:AR1037" si="3240">AG1037/$AF1037</f>
        <v>105.4447917</v>
      </c>
      <c r="AQ1037" s="9">
        <f t="shared" si="3240"/>
        <v>42.20833333</v>
      </c>
      <c r="AR1037" s="9">
        <f t="shared" si="3240"/>
        <v>40.33541667</v>
      </c>
      <c r="AS1037" s="9">
        <f t="shared" si="2233"/>
        <v>82.54375</v>
      </c>
      <c r="AT1037" s="9">
        <f t="shared" ref="AT1037:AV1037" si="3241">AJ1037/$AF1037</f>
        <v>12.56666667</v>
      </c>
      <c r="AU1037" s="9">
        <f t="shared" si="3241"/>
        <v>7.167708333</v>
      </c>
      <c r="AV1037" s="9">
        <f t="shared" si="3241"/>
        <v>3.166666667</v>
      </c>
      <c r="AW1037" s="9">
        <f t="shared" si="2235"/>
        <v>10.334375</v>
      </c>
      <c r="AX1037" s="9">
        <f t="shared" ref="AX1037:AY1037" si="3242">AM1037/$AF1037</f>
        <v>1.104166667</v>
      </c>
      <c r="AY1037" s="9">
        <f t="shared" si="3242"/>
        <v>0.625</v>
      </c>
      <c r="AZ1037" s="9">
        <f>VLOOKUP(A1037,Jogos!A:BN,58,0)</f>
        <v>27.835</v>
      </c>
      <c r="BA1037" s="9">
        <f>VLOOKUP(A1037,Jogos!A:BN,59,0)</f>
        <v>23.2</v>
      </c>
      <c r="BB1037" s="9">
        <f>VLOOKUP(A1037,Jogos!A:BN,60,0)</f>
        <v>75.5</v>
      </c>
      <c r="BC1037" s="9">
        <f>VLOOKUP(A1037,Jogos!A:BN,61,0)</f>
        <v>26.965</v>
      </c>
      <c r="BD1037" s="9">
        <f>VLOOKUP(A1037,Jogos!A:BN,62,0)</f>
        <v>0</v>
      </c>
      <c r="BE1037" s="9">
        <f>VLOOKUP(A1037,Jogos!A:BN,63,0)</f>
        <v>2.185</v>
      </c>
      <c r="BF1037" s="9">
        <f>VLOOKUP(A1037,Jogos!A:BN,64,0)</f>
        <v>24.65</v>
      </c>
      <c r="BG1037" s="9">
        <f>VLOOKUP(A1037,Jogos!A:BN,65,0)</f>
        <v>42.37</v>
      </c>
      <c r="BH1037" s="9">
        <f>VLOOKUP(A1037,Jogos!A:BN,66,0)</f>
        <v>28.515</v>
      </c>
      <c r="BI1037" s="9"/>
      <c r="BJ1037" s="9"/>
    </row>
    <row r="1038" hidden="1">
      <c r="A1038" s="10">
        <v>35.0</v>
      </c>
      <c r="B1038" s="11" t="s">
        <v>60</v>
      </c>
      <c r="C1038" s="2" t="s">
        <v>61</v>
      </c>
      <c r="D1038" s="12">
        <v>45831.0</v>
      </c>
      <c r="E1038" s="13">
        <v>0.875</v>
      </c>
      <c r="F1038" s="5" t="str">
        <f>VLOOKUP(A1038,Jogos!A:N,10,0)</f>
        <v>Evening</v>
      </c>
      <c r="G1038" s="11" t="s">
        <v>62</v>
      </c>
      <c r="H1038" s="6" t="str">
        <f>VLOOKUP(A1038,Jogos!A:L,12,0)</f>
        <v>Open</v>
      </c>
      <c r="I1038" s="6" t="str">
        <f>VLOOKUP(G1038,'Estádios e Cidades'!A:B,2,0)</f>
        <v>Miami Gardens - Flórida</v>
      </c>
      <c r="J1038" s="11" t="s">
        <v>250</v>
      </c>
      <c r="K1038" s="2" t="str">
        <f>VLOOKUP(J1038,Equipes!A:F,6,0)</f>
        <v>Temperate</v>
      </c>
      <c r="L1038" s="2">
        <f>VLOOKUP(J1038,Equipes!A:C,3,0)</f>
        <v>8</v>
      </c>
      <c r="M1038" s="2" t="str">
        <f t="shared" si="4"/>
        <v>Quarter-final</v>
      </c>
      <c r="N1038" s="11" t="s">
        <v>64</v>
      </c>
      <c r="O1038" s="2">
        <f>VLOOKUP(N1038,Equipes!A:C,3,0)</f>
        <v>16</v>
      </c>
      <c r="P1038" s="2" t="str">
        <f t="shared" si="5"/>
        <v>Round of 16</v>
      </c>
      <c r="Q1038" s="2">
        <f t="shared" si="6"/>
        <v>-8</v>
      </c>
      <c r="R1038" s="2" t="str">
        <f>VLOOKUP(J1038,Equipes!A:B,2,0)</f>
        <v>Palmeiras</v>
      </c>
      <c r="S1038" s="6" t="s">
        <v>280</v>
      </c>
      <c r="T1038" s="7">
        <v>42.0</v>
      </c>
      <c r="U1038" s="7" t="s">
        <v>281</v>
      </c>
      <c r="V1038" s="7" t="str">
        <f>VLOOKUP(U1038,Jogadores!B:C,2,0)</f>
        <v>FW</v>
      </c>
      <c r="W1038" s="8">
        <f>VLOOKUP(U1038,Jogadores!B:D,3,0)</f>
        <v>24.65753425</v>
      </c>
      <c r="X1038" s="7">
        <v>0.0</v>
      </c>
      <c r="Y1038" s="7">
        <f t="shared" si="3243"/>
        <v>94</v>
      </c>
      <c r="Z1038" s="7">
        <f>VLOOKUP(A1038,Jogos!A:L,3,0)</f>
        <v>47</v>
      </c>
      <c r="AA1038" s="7">
        <f t="shared" si="2229"/>
        <v>47</v>
      </c>
      <c r="AB1038" s="7">
        <f>VLOOKUP(A1038,Jogos!A:L,4,0)</f>
        <v>49</v>
      </c>
      <c r="AC1038" s="7">
        <f t="shared" si="2230"/>
        <v>49</v>
      </c>
      <c r="AD1038" s="7"/>
      <c r="AE1038" s="7"/>
      <c r="AF1038" s="7">
        <f t="shared" si="2231"/>
        <v>96</v>
      </c>
      <c r="AG1038" s="7">
        <v>9588.7</v>
      </c>
      <c r="AH1038" s="7">
        <v>3786.3</v>
      </c>
      <c r="AI1038" s="7">
        <v>3998.5</v>
      </c>
      <c r="AJ1038" s="7">
        <v>1070.3</v>
      </c>
      <c r="AK1038" s="7">
        <v>545.8</v>
      </c>
      <c r="AL1038" s="7">
        <v>187.7</v>
      </c>
      <c r="AM1038" s="7">
        <v>99.0</v>
      </c>
      <c r="AN1038" s="7">
        <v>41.0</v>
      </c>
      <c r="AO1038" s="7">
        <v>30.7</v>
      </c>
      <c r="AP1038" s="9">
        <f t="shared" ref="AP1038:AR1038" si="3244">AG1038/$AF1038</f>
        <v>99.88229167</v>
      </c>
      <c r="AQ1038" s="9">
        <f t="shared" si="3244"/>
        <v>39.440625</v>
      </c>
      <c r="AR1038" s="9">
        <f t="shared" si="3244"/>
        <v>41.65104167</v>
      </c>
      <c r="AS1038" s="9">
        <f t="shared" si="2233"/>
        <v>81.09166667</v>
      </c>
      <c r="AT1038" s="9">
        <f t="shared" ref="AT1038:AV1038" si="3245">AJ1038/$AF1038</f>
        <v>11.14895833</v>
      </c>
      <c r="AU1038" s="9">
        <f t="shared" si="3245"/>
        <v>5.685416667</v>
      </c>
      <c r="AV1038" s="9">
        <f t="shared" si="3245"/>
        <v>1.955208333</v>
      </c>
      <c r="AW1038" s="9">
        <f t="shared" si="2235"/>
        <v>7.640625</v>
      </c>
      <c r="AX1038" s="9">
        <f t="shared" ref="AX1038:AY1038" si="3246">AM1038/$AF1038</f>
        <v>1.03125</v>
      </c>
      <c r="AY1038" s="9">
        <f t="shared" si="3246"/>
        <v>0.4270833333</v>
      </c>
      <c r="AZ1038" s="9">
        <f>VLOOKUP(A1038,Jogos!A:BN,58,0)</f>
        <v>27.835</v>
      </c>
      <c r="BA1038" s="9">
        <f>VLOOKUP(A1038,Jogos!A:BN,59,0)</f>
        <v>23.2</v>
      </c>
      <c r="BB1038" s="9">
        <f>VLOOKUP(A1038,Jogos!A:BN,60,0)</f>
        <v>75.5</v>
      </c>
      <c r="BC1038" s="9">
        <f>VLOOKUP(A1038,Jogos!A:BN,61,0)</f>
        <v>26.965</v>
      </c>
      <c r="BD1038" s="9">
        <f>VLOOKUP(A1038,Jogos!A:BN,62,0)</f>
        <v>0</v>
      </c>
      <c r="BE1038" s="9">
        <f>VLOOKUP(A1038,Jogos!A:BN,63,0)</f>
        <v>2.185</v>
      </c>
      <c r="BF1038" s="9">
        <f>VLOOKUP(A1038,Jogos!A:BN,64,0)</f>
        <v>24.65</v>
      </c>
      <c r="BG1038" s="9">
        <f>VLOOKUP(A1038,Jogos!A:BN,65,0)</f>
        <v>42.37</v>
      </c>
      <c r="BH1038" s="9">
        <f>VLOOKUP(A1038,Jogos!A:BN,66,0)</f>
        <v>28.515</v>
      </c>
      <c r="BI1038" s="9"/>
      <c r="BJ1038" s="9"/>
    </row>
    <row r="1039" hidden="1">
      <c r="A1039" s="10">
        <v>35.0</v>
      </c>
      <c r="B1039" s="11" t="s">
        <v>60</v>
      </c>
      <c r="C1039" s="2" t="s">
        <v>61</v>
      </c>
      <c r="D1039" s="12">
        <v>45831.0</v>
      </c>
      <c r="E1039" s="13">
        <v>0.875</v>
      </c>
      <c r="F1039" s="5" t="str">
        <f>VLOOKUP(A1039,Jogos!A:N,10,0)</f>
        <v>Evening</v>
      </c>
      <c r="G1039" s="11" t="s">
        <v>62</v>
      </c>
      <c r="H1039" s="6" t="str">
        <f>VLOOKUP(A1039,Jogos!A:L,12,0)</f>
        <v>Open</v>
      </c>
      <c r="I1039" s="6" t="str">
        <f>VLOOKUP(G1039,'Estádios e Cidades'!A:B,2,0)</f>
        <v>Miami Gardens - Flórida</v>
      </c>
      <c r="J1039" s="11" t="s">
        <v>250</v>
      </c>
      <c r="K1039" s="2" t="str">
        <f>VLOOKUP(J1039,Equipes!A:F,6,0)</f>
        <v>Temperate</v>
      </c>
      <c r="L1039" s="2">
        <f>VLOOKUP(J1039,Equipes!A:C,3,0)</f>
        <v>8</v>
      </c>
      <c r="M1039" s="2" t="str">
        <f t="shared" si="4"/>
        <v>Quarter-final</v>
      </c>
      <c r="N1039" s="11" t="s">
        <v>64</v>
      </c>
      <c r="O1039" s="2">
        <f>VLOOKUP(N1039,Equipes!A:C,3,0)</f>
        <v>16</v>
      </c>
      <c r="P1039" s="2" t="str">
        <f t="shared" si="5"/>
        <v>Round of 16</v>
      </c>
      <c r="Q1039" s="2">
        <f t="shared" si="6"/>
        <v>-8</v>
      </c>
      <c r="R1039" s="2" t="str">
        <f>VLOOKUP(J1039,Equipes!A:B,2,0)</f>
        <v>Palmeiras</v>
      </c>
      <c r="S1039" s="6" t="s">
        <v>1247</v>
      </c>
      <c r="T1039" s="7">
        <v>3.0</v>
      </c>
      <c r="U1039" s="7" t="s">
        <v>1248</v>
      </c>
      <c r="V1039" s="7" t="str">
        <f>VLOOKUP(U1039,Jogadores!B:C,2,0)</f>
        <v>DF</v>
      </c>
      <c r="W1039" s="8">
        <f>VLOOKUP(U1039,Jogadores!B:D,3,0)</f>
        <v>26.34246575</v>
      </c>
      <c r="X1039" s="7">
        <v>18.0</v>
      </c>
      <c r="Y1039" s="7">
        <f t="shared" si="3243"/>
        <v>94</v>
      </c>
      <c r="Z1039" s="7">
        <f>VLOOKUP(A1039,Jogos!A:L,3,0)</f>
        <v>47</v>
      </c>
      <c r="AA1039" s="7">
        <f t="shared" si="2229"/>
        <v>29</v>
      </c>
      <c r="AB1039" s="7">
        <f>VLOOKUP(A1039,Jogos!A:L,4,0)</f>
        <v>49</v>
      </c>
      <c r="AC1039" s="7">
        <f t="shared" si="2230"/>
        <v>49</v>
      </c>
      <c r="AD1039" s="7"/>
      <c r="AE1039" s="7"/>
      <c r="AF1039" s="7">
        <f t="shared" si="2231"/>
        <v>78</v>
      </c>
      <c r="AG1039" s="7">
        <v>7442.9</v>
      </c>
      <c r="AH1039" s="7">
        <v>3866.1</v>
      </c>
      <c r="AI1039" s="7">
        <v>2245.8</v>
      </c>
      <c r="AJ1039" s="7">
        <v>786.1</v>
      </c>
      <c r="AK1039" s="7">
        <v>380.7</v>
      </c>
      <c r="AL1039" s="7">
        <v>164.2</v>
      </c>
      <c r="AM1039" s="7">
        <v>70.0</v>
      </c>
      <c r="AN1039" s="7">
        <v>28.0</v>
      </c>
      <c r="AO1039" s="7">
        <v>30.1</v>
      </c>
      <c r="AP1039" s="9">
        <f t="shared" ref="AP1039:AR1039" si="3247">AG1039/$AF1039</f>
        <v>95.42179487</v>
      </c>
      <c r="AQ1039" s="9">
        <f t="shared" si="3247"/>
        <v>49.56538462</v>
      </c>
      <c r="AR1039" s="9">
        <f t="shared" si="3247"/>
        <v>28.79230769</v>
      </c>
      <c r="AS1039" s="9">
        <f t="shared" si="2233"/>
        <v>78.35769231</v>
      </c>
      <c r="AT1039" s="9">
        <f t="shared" ref="AT1039:AV1039" si="3248">AJ1039/$AF1039</f>
        <v>10.07820513</v>
      </c>
      <c r="AU1039" s="9">
        <f t="shared" si="3248"/>
        <v>4.880769231</v>
      </c>
      <c r="AV1039" s="9">
        <f t="shared" si="3248"/>
        <v>2.105128205</v>
      </c>
      <c r="AW1039" s="9">
        <f t="shared" si="2235"/>
        <v>6.985897436</v>
      </c>
      <c r="AX1039" s="9">
        <f t="shared" ref="AX1039:AY1039" si="3249">AM1039/$AF1039</f>
        <v>0.8974358974</v>
      </c>
      <c r="AY1039" s="9">
        <f t="shared" si="3249"/>
        <v>0.358974359</v>
      </c>
      <c r="AZ1039" s="9">
        <f>VLOOKUP(A1039,Jogos!A:BN,58,0)</f>
        <v>27.835</v>
      </c>
      <c r="BA1039" s="9">
        <f>VLOOKUP(A1039,Jogos!A:BN,59,0)</f>
        <v>23.2</v>
      </c>
      <c r="BB1039" s="9">
        <f>VLOOKUP(A1039,Jogos!A:BN,60,0)</f>
        <v>75.5</v>
      </c>
      <c r="BC1039" s="9">
        <f>VLOOKUP(A1039,Jogos!A:BN,61,0)</f>
        <v>26.965</v>
      </c>
      <c r="BD1039" s="9">
        <f>VLOOKUP(A1039,Jogos!A:BN,62,0)</f>
        <v>0</v>
      </c>
      <c r="BE1039" s="9">
        <f>VLOOKUP(A1039,Jogos!A:BN,63,0)</f>
        <v>2.185</v>
      </c>
      <c r="BF1039" s="9">
        <f>VLOOKUP(A1039,Jogos!A:BN,64,0)</f>
        <v>24.65</v>
      </c>
      <c r="BG1039" s="9">
        <f>VLOOKUP(A1039,Jogos!A:BN,65,0)</f>
        <v>42.37</v>
      </c>
      <c r="BH1039" s="9">
        <f>VLOOKUP(A1039,Jogos!A:BN,66,0)</f>
        <v>28.515</v>
      </c>
      <c r="BI1039" s="9"/>
      <c r="BJ1039" s="9"/>
    </row>
    <row r="1040" hidden="1">
      <c r="A1040" s="10">
        <v>35.0</v>
      </c>
      <c r="B1040" s="11" t="s">
        <v>60</v>
      </c>
      <c r="C1040" s="2" t="s">
        <v>61</v>
      </c>
      <c r="D1040" s="12">
        <v>45831.0</v>
      </c>
      <c r="E1040" s="13">
        <v>0.875</v>
      </c>
      <c r="F1040" s="5" t="str">
        <f>VLOOKUP(A1040,Jogos!A:N,10,0)</f>
        <v>Evening</v>
      </c>
      <c r="G1040" s="11" t="s">
        <v>62</v>
      </c>
      <c r="H1040" s="6" t="str">
        <f>VLOOKUP(A1040,Jogos!A:L,12,0)</f>
        <v>Open</v>
      </c>
      <c r="I1040" s="6" t="str">
        <f>VLOOKUP(G1040,'Estádios e Cidades'!A:B,2,0)</f>
        <v>Miami Gardens - Flórida</v>
      </c>
      <c r="J1040" s="11" t="s">
        <v>250</v>
      </c>
      <c r="K1040" s="2" t="str">
        <f>VLOOKUP(J1040,Equipes!A:F,6,0)</f>
        <v>Temperate</v>
      </c>
      <c r="L1040" s="2">
        <f>VLOOKUP(J1040,Equipes!A:C,3,0)</f>
        <v>8</v>
      </c>
      <c r="M1040" s="2" t="str">
        <f t="shared" si="4"/>
        <v>Quarter-final</v>
      </c>
      <c r="N1040" s="11" t="s">
        <v>64</v>
      </c>
      <c r="O1040" s="2">
        <f>VLOOKUP(N1040,Equipes!A:C,3,0)</f>
        <v>16</v>
      </c>
      <c r="P1040" s="2" t="str">
        <f t="shared" si="5"/>
        <v>Round of 16</v>
      </c>
      <c r="Q1040" s="2">
        <f t="shared" si="6"/>
        <v>-8</v>
      </c>
      <c r="R1040" s="2" t="str">
        <f>VLOOKUP(J1040,Equipes!A:B,2,0)</f>
        <v>Palmeiras</v>
      </c>
      <c r="S1040" s="6" t="s">
        <v>260</v>
      </c>
      <c r="T1040" s="7">
        <v>9.0</v>
      </c>
      <c r="U1040" s="7" t="s">
        <v>261</v>
      </c>
      <c r="V1040" s="7" t="str">
        <f>VLOOKUP(U1040,Jogadores!B:C,2,0)</f>
        <v>FW</v>
      </c>
      <c r="W1040" s="8">
        <f>VLOOKUP(U1040,Jogadores!B:D,3,0)</f>
        <v>20.42465753</v>
      </c>
      <c r="X1040" s="7">
        <v>67.0</v>
      </c>
      <c r="Y1040" s="7">
        <f t="shared" si="3243"/>
        <v>94</v>
      </c>
      <c r="Z1040" s="7">
        <f>VLOOKUP(A1040,Jogos!A:L,3,0)</f>
        <v>47</v>
      </c>
      <c r="AA1040" s="7">
        <f t="shared" si="2229"/>
        <v>0</v>
      </c>
      <c r="AB1040" s="7">
        <f>VLOOKUP(A1040,Jogos!A:L,4,0)</f>
        <v>49</v>
      </c>
      <c r="AC1040" s="7">
        <f t="shared" si="2230"/>
        <v>27</v>
      </c>
      <c r="AD1040" s="7"/>
      <c r="AE1040" s="7"/>
      <c r="AF1040" s="7">
        <f t="shared" si="2231"/>
        <v>27</v>
      </c>
      <c r="AG1040" s="7">
        <v>2685.2</v>
      </c>
      <c r="AH1040" s="7">
        <v>1197.8</v>
      </c>
      <c r="AI1040" s="7">
        <v>951.4</v>
      </c>
      <c r="AJ1040" s="7">
        <v>239.4</v>
      </c>
      <c r="AK1040" s="7">
        <v>189.6</v>
      </c>
      <c r="AL1040" s="7">
        <v>107.1</v>
      </c>
      <c r="AM1040" s="7">
        <v>19.0</v>
      </c>
      <c r="AN1040" s="7">
        <v>14.0</v>
      </c>
      <c r="AO1040" s="7">
        <v>31.2</v>
      </c>
      <c r="AP1040" s="9">
        <f t="shared" ref="AP1040:AR1040" si="3250">AG1040/$AF1040</f>
        <v>99.45185185</v>
      </c>
      <c r="AQ1040" s="9">
        <f t="shared" si="3250"/>
        <v>44.36296296</v>
      </c>
      <c r="AR1040" s="9">
        <f t="shared" si="3250"/>
        <v>35.23703704</v>
      </c>
      <c r="AS1040" s="9">
        <f t="shared" si="2233"/>
        <v>79.6</v>
      </c>
      <c r="AT1040" s="9">
        <f t="shared" ref="AT1040:AV1040" si="3251">AJ1040/$AF1040</f>
        <v>8.866666667</v>
      </c>
      <c r="AU1040" s="9">
        <f t="shared" si="3251"/>
        <v>7.022222222</v>
      </c>
      <c r="AV1040" s="9">
        <f t="shared" si="3251"/>
        <v>3.966666667</v>
      </c>
      <c r="AW1040" s="9">
        <f t="shared" si="2235"/>
        <v>10.98888889</v>
      </c>
      <c r="AX1040" s="9">
        <f t="shared" ref="AX1040:AY1040" si="3252">AM1040/$AF1040</f>
        <v>0.7037037037</v>
      </c>
      <c r="AY1040" s="9">
        <f t="shared" si="3252"/>
        <v>0.5185185185</v>
      </c>
      <c r="AZ1040" s="9">
        <f>VLOOKUP(A1040,Jogos!A:BN,58,0)</f>
        <v>27.835</v>
      </c>
      <c r="BA1040" s="9">
        <f>VLOOKUP(A1040,Jogos!A:BN,59,0)</f>
        <v>23.2</v>
      </c>
      <c r="BB1040" s="9">
        <f>VLOOKUP(A1040,Jogos!A:BN,60,0)</f>
        <v>75.5</v>
      </c>
      <c r="BC1040" s="9">
        <f>VLOOKUP(A1040,Jogos!A:BN,61,0)</f>
        <v>26.965</v>
      </c>
      <c r="BD1040" s="9">
        <f>VLOOKUP(A1040,Jogos!A:BN,62,0)</f>
        <v>0</v>
      </c>
      <c r="BE1040" s="9">
        <f>VLOOKUP(A1040,Jogos!A:BN,63,0)</f>
        <v>2.185</v>
      </c>
      <c r="BF1040" s="9">
        <f>VLOOKUP(A1040,Jogos!A:BN,64,0)</f>
        <v>24.65</v>
      </c>
      <c r="BG1040" s="9">
        <f>VLOOKUP(A1040,Jogos!A:BN,65,0)</f>
        <v>42.37</v>
      </c>
      <c r="BH1040" s="9">
        <f>VLOOKUP(A1040,Jogos!A:BN,66,0)</f>
        <v>28.515</v>
      </c>
      <c r="BI1040" s="9"/>
      <c r="BJ1040" s="9"/>
    </row>
    <row r="1041" hidden="1">
      <c r="A1041" s="10">
        <v>35.0</v>
      </c>
      <c r="B1041" s="11" t="s">
        <v>60</v>
      </c>
      <c r="C1041" s="2" t="s">
        <v>61</v>
      </c>
      <c r="D1041" s="12">
        <v>45831.0</v>
      </c>
      <c r="E1041" s="13">
        <v>0.875</v>
      </c>
      <c r="F1041" s="5" t="str">
        <f>VLOOKUP(A1041,Jogos!A:N,10,0)</f>
        <v>Evening</v>
      </c>
      <c r="G1041" s="11" t="s">
        <v>62</v>
      </c>
      <c r="H1041" s="6" t="str">
        <f>VLOOKUP(A1041,Jogos!A:L,12,0)</f>
        <v>Open</v>
      </c>
      <c r="I1041" s="6" t="str">
        <f>VLOOKUP(G1041,'Estádios e Cidades'!A:B,2,0)</f>
        <v>Miami Gardens - Flórida</v>
      </c>
      <c r="J1041" s="11" t="s">
        <v>250</v>
      </c>
      <c r="K1041" s="2" t="str">
        <f>VLOOKUP(J1041,Equipes!A:F,6,0)</f>
        <v>Temperate</v>
      </c>
      <c r="L1041" s="2">
        <f>VLOOKUP(J1041,Equipes!A:C,3,0)</f>
        <v>8</v>
      </c>
      <c r="M1041" s="2" t="str">
        <f t="shared" si="4"/>
        <v>Quarter-final</v>
      </c>
      <c r="N1041" s="11" t="s">
        <v>64</v>
      </c>
      <c r="O1041" s="2">
        <f>VLOOKUP(N1041,Equipes!A:C,3,0)</f>
        <v>16</v>
      </c>
      <c r="P1041" s="2" t="str">
        <f t="shared" si="5"/>
        <v>Round of 16</v>
      </c>
      <c r="Q1041" s="2">
        <f t="shared" si="6"/>
        <v>-8</v>
      </c>
      <c r="R1041" s="2" t="str">
        <f>VLOOKUP(J1041,Equipes!A:B,2,0)</f>
        <v>Palmeiras</v>
      </c>
      <c r="S1041" s="6" t="s">
        <v>272</v>
      </c>
      <c r="T1041" s="7">
        <v>10.0</v>
      </c>
      <c r="U1041" s="7" t="s">
        <v>273</v>
      </c>
      <c r="V1041" s="7" t="str">
        <f>VLOOKUP(U1041,Jogadores!B:C,2,0)</f>
        <v>FW</v>
      </c>
      <c r="W1041" s="8">
        <f>VLOOKUP(U1041,Jogadores!B:D,3,0)</f>
        <v>25.05205479</v>
      </c>
      <c r="X1041" s="7">
        <v>55.0</v>
      </c>
      <c r="Y1041" s="7">
        <f t="shared" si="3243"/>
        <v>94</v>
      </c>
      <c r="Z1041" s="7">
        <f>VLOOKUP(A1041,Jogos!A:L,3,0)</f>
        <v>47</v>
      </c>
      <c r="AA1041" s="7">
        <f t="shared" si="2229"/>
        <v>0</v>
      </c>
      <c r="AB1041" s="7">
        <f>VLOOKUP(A1041,Jogos!A:L,4,0)</f>
        <v>49</v>
      </c>
      <c r="AC1041" s="7">
        <f t="shared" si="2230"/>
        <v>39</v>
      </c>
      <c r="AD1041" s="7"/>
      <c r="AE1041" s="7"/>
      <c r="AF1041" s="7">
        <f t="shared" si="2231"/>
        <v>39</v>
      </c>
      <c r="AG1041" s="7">
        <v>4284.1</v>
      </c>
      <c r="AH1041" s="7">
        <v>1891.7</v>
      </c>
      <c r="AI1041" s="7">
        <v>1414.4</v>
      </c>
      <c r="AJ1041" s="7">
        <v>558.6</v>
      </c>
      <c r="AK1041" s="7">
        <v>233.1</v>
      </c>
      <c r="AL1041" s="7">
        <v>186.2</v>
      </c>
      <c r="AM1041" s="7">
        <v>42.0</v>
      </c>
      <c r="AN1041" s="7">
        <v>19.0</v>
      </c>
      <c r="AO1041" s="7">
        <v>29.8</v>
      </c>
      <c r="AP1041" s="9">
        <f t="shared" ref="AP1041:AR1041" si="3253">AG1041/$AF1041</f>
        <v>109.8487179</v>
      </c>
      <c r="AQ1041" s="9">
        <f t="shared" si="3253"/>
        <v>48.50512821</v>
      </c>
      <c r="AR1041" s="9">
        <f t="shared" si="3253"/>
        <v>36.26666667</v>
      </c>
      <c r="AS1041" s="9">
        <f t="shared" si="2233"/>
        <v>84.77179487</v>
      </c>
      <c r="AT1041" s="9">
        <f t="shared" ref="AT1041:AV1041" si="3254">AJ1041/$AF1041</f>
        <v>14.32307692</v>
      </c>
      <c r="AU1041" s="9">
        <f t="shared" si="3254"/>
        <v>5.976923077</v>
      </c>
      <c r="AV1041" s="9">
        <f t="shared" si="3254"/>
        <v>4.774358974</v>
      </c>
      <c r="AW1041" s="9">
        <f t="shared" si="2235"/>
        <v>10.75128205</v>
      </c>
      <c r="AX1041" s="9">
        <f t="shared" ref="AX1041:AY1041" si="3255">AM1041/$AF1041</f>
        <v>1.076923077</v>
      </c>
      <c r="AY1041" s="9">
        <f t="shared" si="3255"/>
        <v>0.4871794872</v>
      </c>
      <c r="AZ1041" s="9">
        <f>VLOOKUP(A1041,Jogos!A:BN,58,0)</f>
        <v>27.835</v>
      </c>
      <c r="BA1041" s="9">
        <f>VLOOKUP(A1041,Jogos!A:BN,59,0)</f>
        <v>23.2</v>
      </c>
      <c r="BB1041" s="9">
        <f>VLOOKUP(A1041,Jogos!A:BN,60,0)</f>
        <v>75.5</v>
      </c>
      <c r="BC1041" s="9">
        <f>VLOOKUP(A1041,Jogos!A:BN,61,0)</f>
        <v>26.965</v>
      </c>
      <c r="BD1041" s="9">
        <f>VLOOKUP(A1041,Jogos!A:BN,62,0)</f>
        <v>0</v>
      </c>
      <c r="BE1041" s="9">
        <f>VLOOKUP(A1041,Jogos!A:BN,63,0)</f>
        <v>2.185</v>
      </c>
      <c r="BF1041" s="9">
        <f>VLOOKUP(A1041,Jogos!A:BN,64,0)</f>
        <v>24.65</v>
      </c>
      <c r="BG1041" s="9">
        <f>VLOOKUP(A1041,Jogos!A:BN,65,0)</f>
        <v>42.37</v>
      </c>
      <c r="BH1041" s="9">
        <f>VLOOKUP(A1041,Jogos!A:BN,66,0)</f>
        <v>28.515</v>
      </c>
      <c r="BI1041" s="9"/>
      <c r="BJ1041" s="9"/>
    </row>
    <row r="1042" hidden="1">
      <c r="A1042" s="10">
        <v>35.0</v>
      </c>
      <c r="B1042" s="11" t="s">
        <v>60</v>
      </c>
      <c r="C1042" s="2" t="s">
        <v>61</v>
      </c>
      <c r="D1042" s="12">
        <v>45831.0</v>
      </c>
      <c r="E1042" s="13">
        <v>0.875</v>
      </c>
      <c r="F1042" s="5" t="str">
        <f>VLOOKUP(A1042,Jogos!A:N,10,0)</f>
        <v>Evening</v>
      </c>
      <c r="G1042" s="11" t="s">
        <v>62</v>
      </c>
      <c r="H1042" s="6" t="str">
        <f>VLOOKUP(A1042,Jogos!A:L,12,0)</f>
        <v>Open</v>
      </c>
      <c r="I1042" s="6" t="str">
        <f>VLOOKUP(G1042,'Estádios e Cidades'!A:B,2,0)</f>
        <v>Miami Gardens - Flórida</v>
      </c>
      <c r="J1042" s="11" t="s">
        <v>250</v>
      </c>
      <c r="K1042" s="2" t="str">
        <f>VLOOKUP(J1042,Equipes!A:F,6,0)</f>
        <v>Temperate</v>
      </c>
      <c r="L1042" s="2">
        <f>VLOOKUP(J1042,Equipes!A:C,3,0)</f>
        <v>8</v>
      </c>
      <c r="M1042" s="2" t="str">
        <f t="shared" si="4"/>
        <v>Quarter-final</v>
      </c>
      <c r="N1042" s="11" t="s">
        <v>64</v>
      </c>
      <c r="O1042" s="2">
        <f>VLOOKUP(N1042,Equipes!A:C,3,0)</f>
        <v>16</v>
      </c>
      <c r="P1042" s="2" t="str">
        <f t="shared" si="5"/>
        <v>Round of 16</v>
      </c>
      <c r="Q1042" s="2">
        <f t="shared" si="6"/>
        <v>-8</v>
      </c>
      <c r="R1042" s="2" t="str">
        <f>VLOOKUP(J1042,Equipes!A:B,2,0)</f>
        <v>Palmeiras</v>
      </c>
      <c r="S1042" s="6" t="s">
        <v>264</v>
      </c>
      <c r="T1042" s="7">
        <v>18.0</v>
      </c>
      <c r="U1042" s="7" t="s">
        <v>265</v>
      </c>
      <c r="V1042" s="7" t="str">
        <f>VLOOKUP(U1042,Jogadores!B:C,2,0)</f>
        <v>FW</v>
      </c>
      <c r="W1042" s="8">
        <f>VLOOKUP(U1042,Jogadores!B:D,3,0)</f>
        <v>24.11506849</v>
      </c>
      <c r="X1042" s="7">
        <v>45.0</v>
      </c>
      <c r="Y1042" s="7">
        <f t="shared" si="3243"/>
        <v>94</v>
      </c>
      <c r="Z1042" s="7">
        <f>VLOOKUP(A1042,Jogos!A:L,3,0)</f>
        <v>47</v>
      </c>
      <c r="AA1042" s="7">
        <f t="shared" si="2229"/>
        <v>0</v>
      </c>
      <c r="AB1042" s="7">
        <f>VLOOKUP(A1042,Jogos!A:L,4,0)</f>
        <v>49</v>
      </c>
      <c r="AC1042" s="7">
        <f t="shared" si="2230"/>
        <v>49</v>
      </c>
      <c r="AD1042" s="7"/>
      <c r="AE1042" s="7"/>
      <c r="AF1042" s="7">
        <f t="shared" si="2231"/>
        <v>49</v>
      </c>
      <c r="AG1042" s="7">
        <v>5660.0</v>
      </c>
      <c r="AH1042" s="7">
        <v>2089.1</v>
      </c>
      <c r="AI1042" s="7">
        <v>2288.0</v>
      </c>
      <c r="AJ1042" s="7">
        <v>921.1</v>
      </c>
      <c r="AK1042" s="7">
        <v>292.5</v>
      </c>
      <c r="AL1042" s="7">
        <v>69.3</v>
      </c>
      <c r="AM1042" s="7">
        <v>86.0</v>
      </c>
      <c r="AN1042" s="7">
        <v>27.0</v>
      </c>
      <c r="AO1042" s="7">
        <v>27.6</v>
      </c>
      <c r="AP1042" s="9">
        <f t="shared" ref="AP1042:AR1042" si="3256">AG1042/$AF1042</f>
        <v>115.5102041</v>
      </c>
      <c r="AQ1042" s="9">
        <f t="shared" si="3256"/>
        <v>42.63469388</v>
      </c>
      <c r="AR1042" s="9">
        <f t="shared" si="3256"/>
        <v>46.69387755</v>
      </c>
      <c r="AS1042" s="9">
        <f t="shared" si="2233"/>
        <v>89.32857143</v>
      </c>
      <c r="AT1042" s="9">
        <f t="shared" ref="AT1042:AV1042" si="3257">AJ1042/$AF1042</f>
        <v>18.79795918</v>
      </c>
      <c r="AU1042" s="9">
        <f t="shared" si="3257"/>
        <v>5.969387755</v>
      </c>
      <c r="AV1042" s="9">
        <f t="shared" si="3257"/>
        <v>1.414285714</v>
      </c>
      <c r="AW1042" s="9">
        <f t="shared" si="2235"/>
        <v>7.383673469</v>
      </c>
      <c r="AX1042" s="9">
        <f t="shared" ref="AX1042:AY1042" si="3258">AM1042/$AF1042</f>
        <v>1.755102041</v>
      </c>
      <c r="AY1042" s="9">
        <f t="shared" si="3258"/>
        <v>0.5510204082</v>
      </c>
      <c r="AZ1042" s="9">
        <f>VLOOKUP(A1042,Jogos!A:BN,58,0)</f>
        <v>27.835</v>
      </c>
      <c r="BA1042" s="9">
        <f>VLOOKUP(A1042,Jogos!A:BN,59,0)</f>
        <v>23.2</v>
      </c>
      <c r="BB1042" s="9">
        <f>VLOOKUP(A1042,Jogos!A:BN,60,0)</f>
        <v>75.5</v>
      </c>
      <c r="BC1042" s="9">
        <f>VLOOKUP(A1042,Jogos!A:BN,61,0)</f>
        <v>26.965</v>
      </c>
      <c r="BD1042" s="9">
        <f>VLOOKUP(A1042,Jogos!A:BN,62,0)</f>
        <v>0</v>
      </c>
      <c r="BE1042" s="9">
        <f>VLOOKUP(A1042,Jogos!A:BN,63,0)</f>
        <v>2.185</v>
      </c>
      <c r="BF1042" s="9">
        <f>VLOOKUP(A1042,Jogos!A:BN,64,0)</f>
        <v>24.65</v>
      </c>
      <c r="BG1042" s="9">
        <f>VLOOKUP(A1042,Jogos!A:BN,65,0)</f>
        <v>42.37</v>
      </c>
      <c r="BH1042" s="9">
        <f>VLOOKUP(A1042,Jogos!A:BN,66,0)</f>
        <v>28.515</v>
      </c>
      <c r="BI1042" s="9"/>
      <c r="BJ1042" s="9"/>
    </row>
    <row r="1043" hidden="1">
      <c r="A1043" s="10">
        <v>35.0</v>
      </c>
      <c r="B1043" s="11" t="s">
        <v>60</v>
      </c>
      <c r="C1043" s="2" t="s">
        <v>61</v>
      </c>
      <c r="D1043" s="12">
        <v>45831.0</v>
      </c>
      <c r="E1043" s="13">
        <v>0.875</v>
      </c>
      <c r="F1043" s="5" t="str">
        <f>VLOOKUP(A1043,Jogos!A:N,10,0)</f>
        <v>Evening</v>
      </c>
      <c r="G1043" s="11" t="s">
        <v>62</v>
      </c>
      <c r="H1043" s="6" t="str">
        <f>VLOOKUP(A1043,Jogos!A:L,12,0)</f>
        <v>Open</v>
      </c>
      <c r="I1043" s="6" t="str">
        <f>VLOOKUP(G1043,'Estádios e Cidades'!A:B,2,0)</f>
        <v>Miami Gardens - Flórida</v>
      </c>
      <c r="J1043" s="11" t="s">
        <v>250</v>
      </c>
      <c r="K1043" s="2" t="str">
        <f>VLOOKUP(J1043,Equipes!A:F,6,0)</f>
        <v>Temperate</v>
      </c>
      <c r="L1043" s="2">
        <f>VLOOKUP(J1043,Equipes!A:C,3,0)</f>
        <v>8</v>
      </c>
      <c r="M1043" s="2" t="str">
        <f t="shared" si="4"/>
        <v>Quarter-final</v>
      </c>
      <c r="N1043" s="11" t="s">
        <v>64</v>
      </c>
      <c r="O1043" s="2">
        <f>VLOOKUP(N1043,Equipes!A:C,3,0)</f>
        <v>16</v>
      </c>
      <c r="P1043" s="2" t="str">
        <f t="shared" si="5"/>
        <v>Round of 16</v>
      </c>
      <c r="Q1043" s="2">
        <f t="shared" si="6"/>
        <v>-8</v>
      </c>
      <c r="R1043" s="2" t="str">
        <f>VLOOKUP(J1043,Equipes!A:B,2,0)</f>
        <v>Palmeiras</v>
      </c>
      <c r="S1043" s="6" t="s">
        <v>278</v>
      </c>
      <c r="T1043" s="7">
        <v>40.0</v>
      </c>
      <c r="U1043" s="7" t="s">
        <v>279</v>
      </c>
      <c r="V1043" s="7" t="str">
        <f>VLOOKUP(U1043,Jogadores!B:C,2,0)</f>
        <v>MF</v>
      </c>
      <c r="W1043" s="8">
        <f>VLOOKUP(U1043,Jogadores!B:D,3,0)</f>
        <v>21.28767123</v>
      </c>
      <c r="X1043" s="7">
        <v>67.0</v>
      </c>
      <c r="Y1043" s="7">
        <f t="shared" si="3243"/>
        <v>94</v>
      </c>
      <c r="Z1043" s="7">
        <f>VLOOKUP(A1043,Jogos!A:L,3,0)</f>
        <v>47</v>
      </c>
      <c r="AA1043" s="7">
        <f t="shared" si="2229"/>
        <v>0</v>
      </c>
      <c r="AB1043" s="7">
        <f>VLOOKUP(A1043,Jogos!A:L,4,0)</f>
        <v>49</v>
      </c>
      <c r="AC1043" s="7">
        <f t="shared" si="2230"/>
        <v>27</v>
      </c>
      <c r="AD1043" s="7"/>
      <c r="AE1043" s="7"/>
      <c r="AF1043" s="7">
        <f t="shared" si="2231"/>
        <v>27</v>
      </c>
      <c r="AG1043" s="7">
        <v>3208.0</v>
      </c>
      <c r="AH1043" s="7">
        <v>1348.4</v>
      </c>
      <c r="AI1043" s="7">
        <v>1129.9</v>
      </c>
      <c r="AJ1043" s="7">
        <v>443.1</v>
      </c>
      <c r="AK1043" s="7">
        <v>181.3</v>
      </c>
      <c r="AL1043" s="7">
        <v>105.4</v>
      </c>
      <c r="AM1043" s="7">
        <v>39.0</v>
      </c>
      <c r="AN1043" s="7">
        <v>18.0</v>
      </c>
      <c r="AO1043" s="7">
        <v>31.0</v>
      </c>
      <c r="AP1043" s="9">
        <f t="shared" ref="AP1043:AR1043" si="3259">AG1043/$AF1043</f>
        <v>118.8148148</v>
      </c>
      <c r="AQ1043" s="9">
        <f t="shared" si="3259"/>
        <v>49.94074074</v>
      </c>
      <c r="AR1043" s="9">
        <f t="shared" si="3259"/>
        <v>41.84814815</v>
      </c>
      <c r="AS1043" s="9">
        <f t="shared" si="2233"/>
        <v>91.78888889</v>
      </c>
      <c r="AT1043" s="9">
        <f t="shared" ref="AT1043:AV1043" si="3260">AJ1043/$AF1043</f>
        <v>16.41111111</v>
      </c>
      <c r="AU1043" s="9">
        <f t="shared" si="3260"/>
        <v>6.714814815</v>
      </c>
      <c r="AV1043" s="9">
        <f t="shared" si="3260"/>
        <v>3.903703704</v>
      </c>
      <c r="AW1043" s="9">
        <f t="shared" si="2235"/>
        <v>10.61851852</v>
      </c>
      <c r="AX1043" s="9">
        <f t="shared" ref="AX1043:AY1043" si="3261">AM1043/$AF1043</f>
        <v>1.444444444</v>
      </c>
      <c r="AY1043" s="9">
        <f t="shared" si="3261"/>
        <v>0.6666666667</v>
      </c>
      <c r="AZ1043" s="9">
        <f>VLOOKUP(A1043,Jogos!A:BN,58,0)</f>
        <v>27.835</v>
      </c>
      <c r="BA1043" s="9">
        <f>VLOOKUP(A1043,Jogos!A:BN,59,0)</f>
        <v>23.2</v>
      </c>
      <c r="BB1043" s="9">
        <f>VLOOKUP(A1043,Jogos!A:BN,60,0)</f>
        <v>75.5</v>
      </c>
      <c r="BC1043" s="9">
        <f>VLOOKUP(A1043,Jogos!A:BN,61,0)</f>
        <v>26.965</v>
      </c>
      <c r="BD1043" s="9">
        <f>VLOOKUP(A1043,Jogos!A:BN,62,0)</f>
        <v>0</v>
      </c>
      <c r="BE1043" s="9">
        <f>VLOOKUP(A1043,Jogos!A:BN,63,0)</f>
        <v>2.185</v>
      </c>
      <c r="BF1043" s="9">
        <f>VLOOKUP(A1043,Jogos!A:BN,64,0)</f>
        <v>24.65</v>
      </c>
      <c r="BG1043" s="9">
        <f>VLOOKUP(A1043,Jogos!A:BN,65,0)</f>
        <v>42.37</v>
      </c>
      <c r="BH1043" s="9">
        <f>VLOOKUP(A1043,Jogos!A:BN,66,0)</f>
        <v>28.515</v>
      </c>
      <c r="BI1043" s="9"/>
      <c r="BJ1043" s="9"/>
    </row>
    <row r="1044" hidden="1">
      <c r="A1044" s="2">
        <v>36.0</v>
      </c>
      <c r="B1044" s="2" t="s">
        <v>60</v>
      </c>
      <c r="C1044" s="2" t="s">
        <v>61</v>
      </c>
      <c r="D1044" s="3">
        <v>45831.0</v>
      </c>
      <c r="E1044" s="4">
        <v>0.875</v>
      </c>
      <c r="F1044" s="5" t="str">
        <f>VLOOKUP(A1044,Jogos!A:N,10,0)</f>
        <v>Evening</v>
      </c>
      <c r="G1044" s="2" t="s">
        <v>249</v>
      </c>
      <c r="H1044" s="6" t="str">
        <f>VLOOKUP(A1044,Jogos!A:L,12,0)</f>
        <v>Open</v>
      </c>
      <c r="I1044" s="6" t="str">
        <f>VLOOKUP(G1044,'Estádios e Cidades'!A:B,2,0)</f>
        <v>East Rutherford</v>
      </c>
      <c r="J1044" s="2" t="s">
        <v>251</v>
      </c>
      <c r="K1044" s="2" t="str">
        <f>VLOOKUP(J1044,Equipes!A:F,6,0)</f>
        <v>Temperate</v>
      </c>
      <c r="L1044" s="2">
        <f>VLOOKUP(J1044,Equipes!A:C,3,0)</f>
        <v>23</v>
      </c>
      <c r="M1044" s="2" t="str">
        <f t="shared" si="4"/>
        <v>Group</v>
      </c>
      <c r="N1044" s="2" t="s">
        <v>63</v>
      </c>
      <c r="O1044" s="2">
        <f>VLOOKUP(N1044,Equipes!A:C,3,0)</f>
        <v>25</v>
      </c>
      <c r="P1044" s="2" t="str">
        <f t="shared" si="5"/>
        <v>Group</v>
      </c>
      <c r="Q1044" s="2">
        <f t="shared" si="6"/>
        <v>-2</v>
      </c>
      <c r="R1044" s="2" t="str">
        <f>VLOOKUP(J1044,Equipes!A:B,2,0)</f>
        <v>Porto</v>
      </c>
      <c r="S1044" s="6" t="s">
        <v>282</v>
      </c>
      <c r="T1044" s="7">
        <v>5.0</v>
      </c>
      <c r="U1044" s="7" t="s">
        <v>283</v>
      </c>
      <c r="V1044" s="7" t="str">
        <f>VLOOKUP(U1044,Jogadores!B:C,2,0)</f>
        <v>DF</v>
      </c>
      <c r="W1044" s="8">
        <f>VLOOKUP(U1044,Jogadores!B:D,3,0)</f>
        <v>38.12328767</v>
      </c>
      <c r="X1044" s="7">
        <v>0.0</v>
      </c>
      <c r="Y1044" s="7">
        <f t="shared" si="3243"/>
        <v>96</v>
      </c>
      <c r="Z1044" s="7">
        <f>VLOOKUP(A1044,Jogos!A:L,3,0)</f>
        <v>51</v>
      </c>
      <c r="AA1044" s="7">
        <f t="shared" si="2229"/>
        <v>51</v>
      </c>
      <c r="AB1044" s="7">
        <f>VLOOKUP(A1044,Jogos!A:L,4,0)</f>
        <v>51</v>
      </c>
      <c r="AC1044" s="7">
        <f t="shared" si="2230"/>
        <v>51</v>
      </c>
      <c r="AD1044" s="7"/>
      <c r="AE1044" s="7"/>
      <c r="AF1044" s="7">
        <f t="shared" si="2231"/>
        <v>102</v>
      </c>
      <c r="AG1044" s="7">
        <v>9945.1</v>
      </c>
      <c r="AH1044" s="7">
        <v>4177.0</v>
      </c>
      <c r="AI1044" s="7">
        <v>3722.4</v>
      </c>
      <c r="AJ1044" s="7">
        <v>1139.3</v>
      </c>
      <c r="AK1044" s="7">
        <v>613.5</v>
      </c>
      <c r="AL1044" s="7">
        <v>293.0</v>
      </c>
      <c r="AM1044" s="7">
        <v>100.0</v>
      </c>
      <c r="AN1044" s="7">
        <v>48.0</v>
      </c>
      <c r="AO1044" s="7">
        <v>31.1</v>
      </c>
      <c r="AP1044" s="9">
        <f t="shared" ref="AP1044:AR1044" si="3262">AG1044/$AF1044</f>
        <v>97.50098039</v>
      </c>
      <c r="AQ1044" s="9">
        <f t="shared" si="3262"/>
        <v>40.95098039</v>
      </c>
      <c r="AR1044" s="9">
        <f t="shared" si="3262"/>
        <v>36.49411765</v>
      </c>
      <c r="AS1044" s="9">
        <f t="shared" si="2233"/>
        <v>77.44509804</v>
      </c>
      <c r="AT1044" s="9">
        <f t="shared" ref="AT1044:AV1044" si="3263">AJ1044/$AF1044</f>
        <v>11.16960784</v>
      </c>
      <c r="AU1044" s="9">
        <f t="shared" si="3263"/>
        <v>6.014705882</v>
      </c>
      <c r="AV1044" s="9">
        <f t="shared" si="3263"/>
        <v>2.87254902</v>
      </c>
      <c r="AW1044" s="9">
        <f t="shared" si="2235"/>
        <v>8.887254902</v>
      </c>
      <c r="AX1044" s="9">
        <f t="shared" ref="AX1044:AY1044" si="3264">AM1044/$AF1044</f>
        <v>0.9803921569</v>
      </c>
      <c r="AY1044" s="9">
        <f t="shared" si="3264"/>
        <v>0.4705882353</v>
      </c>
      <c r="AZ1044" s="9">
        <f>VLOOKUP(A1044,Jogos!A:BN,58,0)</f>
        <v>30.27</v>
      </c>
      <c r="BA1044" s="9">
        <f>VLOOKUP(A1044,Jogos!A:BN,59,0)</f>
        <v>25.63</v>
      </c>
      <c r="BB1044" s="9">
        <f>VLOOKUP(A1044,Jogos!A:BN,60,0)</f>
        <v>76</v>
      </c>
      <c r="BC1044" s="9">
        <f>VLOOKUP(A1044,Jogos!A:BN,61,0)</f>
        <v>30.805</v>
      </c>
      <c r="BD1044" s="9">
        <f>VLOOKUP(A1044,Jogos!A:BN,62,0)</f>
        <v>0</v>
      </c>
      <c r="BE1044" s="9">
        <f>VLOOKUP(A1044,Jogos!A:BN,63,0)</f>
        <v>1.53</v>
      </c>
      <c r="BF1044" s="9">
        <f>VLOOKUP(A1044,Jogos!A:BN,64,0)</f>
        <v>26.67</v>
      </c>
      <c r="BG1044" s="9">
        <f>VLOOKUP(A1044,Jogos!A:BN,65,0)</f>
        <v>46.42</v>
      </c>
      <c r="BH1044" s="9">
        <f>VLOOKUP(A1044,Jogos!A:BN,66,0)</f>
        <v>30.975</v>
      </c>
      <c r="BI1044" s="9"/>
      <c r="BJ1044" s="9"/>
    </row>
    <row r="1045" hidden="1">
      <c r="A1045" s="2">
        <v>36.0</v>
      </c>
      <c r="B1045" s="2" t="s">
        <v>60</v>
      </c>
      <c r="C1045" s="2" t="s">
        <v>61</v>
      </c>
      <c r="D1045" s="3">
        <v>45831.0</v>
      </c>
      <c r="E1045" s="4">
        <v>0.875</v>
      </c>
      <c r="F1045" s="5" t="str">
        <f>VLOOKUP(A1045,Jogos!A:N,10,0)</f>
        <v>Evening</v>
      </c>
      <c r="G1045" s="2" t="s">
        <v>249</v>
      </c>
      <c r="H1045" s="6" t="str">
        <f>VLOOKUP(A1045,Jogos!A:L,12,0)</f>
        <v>Open</v>
      </c>
      <c r="I1045" s="6" t="str">
        <f>VLOOKUP(G1045,'Estádios e Cidades'!A:B,2,0)</f>
        <v>East Rutherford</v>
      </c>
      <c r="J1045" s="2" t="s">
        <v>251</v>
      </c>
      <c r="K1045" s="2" t="str">
        <f>VLOOKUP(J1045,Equipes!A:F,6,0)</f>
        <v>Temperate</v>
      </c>
      <c r="L1045" s="2">
        <f>VLOOKUP(J1045,Equipes!A:C,3,0)</f>
        <v>23</v>
      </c>
      <c r="M1045" s="2" t="str">
        <f t="shared" si="4"/>
        <v>Group</v>
      </c>
      <c r="N1045" s="2" t="s">
        <v>63</v>
      </c>
      <c r="O1045" s="2">
        <f>VLOOKUP(N1045,Equipes!A:C,3,0)</f>
        <v>25</v>
      </c>
      <c r="P1045" s="2" t="str">
        <f t="shared" si="5"/>
        <v>Group</v>
      </c>
      <c r="Q1045" s="2">
        <f t="shared" si="6"/>
        <v>-2</v>
      </c>
      <c r="R1045" s="2" t="str">
        <f>VLOOKUP(J1045,Equipes!A:B,2,0)</f>
        <v>Porto</v>
      </c>
      <c r="S1045" s="6" t="s">
        <v>302</v>
      </c>
      <c r="T1045" s="7">
        <v>6.0</v>
      </c>
      <c r="U1045" s="7" t="s">
        <v>303</v>
      </c>
      <c r="V1045" s="7" t="str">
        <f>VLOOKUP(U1045,Jogadores!B:C,2,0)</f>
        <v>MF</v>
      </c>
      <c r="W1045" s="8">
        <f>VLOOKUP(U1045,Jogadores!B:D,3,0)</f>
        <v>28.61917808</v>
      </c>
      <c r="X1045" s="7">
        <v>0.0</v>
      </c>
      <c r="Y1045" s="7">
        <f t="shared" si="3243"/>
        <v>96</v>
      </c>
      <c r="Z1045" s="7">
        <f>VLOOKUP(A1045,Jogos!A:L,3,0)</f>
        <v>51</v>
      </c>
      <c r="AA1045" s="7">
        <f t="shared" si="2229"/>
        <v>51</v>
      </c>
      <c r="AB1045" s="7">
        <f>VLOOKUP(A1045,Jogos!A:L,4,0)</f>
        <v>51</v>
      </c>
      <c r="AC1045" s="7">
        <f t="shared" si="2230"/>
        <v>51</v>
      </c>
      <c r="AD1045" s="7"/>
      <c r="AE1045" s="7"/>
      <c r="AF1045" s="7">
        <f t="shared" si="2231"/>
        <v>102</v>
      </c>
      <c r="AG1045" s="7">
        <v>12218.2</v>
      </c>
      <c r="AH1045" s="7">
        <v>4039.0</v>
      </c>
      <c r="AI1045" s="7">
        <v>4646.9</v>
      </c>
      <c r="AJ1045" s="7">
        <v>2630.4</v>
      </c>
      <c r="AK1045" s="7">
        <v>839.6</v>
      </c>
      <c r="AL1045" s="7">
        <v>62.4</v>
      </c>
      <c r="AM1045" s="7">
        <v>221.0</v>
      </c>
      <c r="AN1045" s="7">
        <v>54.0</v>
      </c>
      <c r="AO1045" s="7">
        <v>27.9</v>
      </c>
      <c r="AP1045" s="9">
        <f t="shared" ref="AP1045:AR1045" si="3265">AG1045/$AF1045</f>
        <v>119.7862745</v>
      </c>
      <c r="AQ1045" s="9">
        <f t="shared" si="3265"/>
        <v>39.59803922</v>
      </c>
      <c r="AR1045" s="9">
        <f t="shared" si="3265"/>
        <v>45.55784314</v>
      </c>
      <c r="AS1045" s="9">
        <f t="shared" si="2233"/>
        <v>85.15588235</v>
      </c>
      <c r="AT1045" s="9">
        <f t="shared" ref="AT1045:AV1045" si="3266">AJ1045/$AF1045</f>
        <v>25.78823529</v>
      </c>
      <c r="AU1045" s="9">
        <f t="shared" si="3266"/>
        <v>8.231372549</v>
      </c>
      <c r="AV1045" s="9">
        <f t="shared" si="3266"/>
        <v>0.6117647059</v>
      </c>
      <c r="AW1045" s="9">
        <f t="shared" si="2235"/>
        <v>8.843137255</v>
      </c>
      <c r="AX1045" s="9">
        <f t="shared" ref="AX1045:AY1045" si="3267">AM1045/$AF1045</f>
        <v>2.166666667</v>
      </c>
      <c r="AY1045" s="9">
        <f t="shared" si="3267"/>
        <v>0.5294117647</v>
      </c>
      <c r="AZ1045" s="9">
        <f>VLOOKUP(A1045,Jogos!A:BN,58,0)</f>
        <v>30.27</v>
      </c>
      <c r="BA1045" s="9">
        <f>VLOOKUP(A1045,Jogos!A:BN,59,0)</f>
        <v>25.63</v>
      </c>
      <c r="BB1045" s="9">
        <f>VLOOKUP(A1045,Jogos!A:BN,60,0)</f>
        <v>76</v>
      </c>
      <c r="BC1045" s="9">
        <f>VLOOKUP(A1045,Jogos!A:BN,61,0)</f>
        <v>30.805</v>
      </c>
      <c r="BD1045" s="9">
        <f>VLOOKUP(A1045,Jogos!A:BN,62,0)</f>
        <v>0</v>
      </c>
      <c r="BE1045" s="9">
        <f>VLOOKUP(A1045,Jogos!A:BN,63,0)</f>
        <v>1.53</v>
      </c>
      <c r="BF1045" s="9">
        <f>VLOOKUP(A1045,Jogos!A:BN,64,0)</f>
        <v>26.67</v>
      </c>
      <c r="BG1045" s="9">
        <f>VLOOKUP(A1045,Jogos!A:BN,65,0)</f>
        <v>46.42</v>
      </c>
      <c r="BH1045" s="9">
        <f>VLOOKUP(A1045,Jogos!A:BN,66,0)</f>
        <v>30.975</v>
      </c>
      <c r="BI1045" s="9"/>
      <c r="BJ1045" s="9"/>
    </row>
    <row r="1046" hidden="1">
      <c r="A1046" s="2">
        <v>36.0</v>
      </c>
      <c r="B1046" s="2" t="s">
        <v>60</v>
      </c>
      <c r="C1046" s="2" t="s">
        <v>61</v>
      </c>
      <c r="D1046" s="3">
        <v>45831.0</v>
      </c>
      <c r="E1046" s="4">
        <v>0.875</v>
      </c>
      <c r="F1046" s="5" t="str">
        <f>VLOOKUP(A1046,Jogos!A:N,10,0)</f>
        <v>Evening</v>
      </c>
      <c r="G1046" s="2" t="s">
        <v>249</v>
      </c>
      <c r="H1046" s="6" t="str">
        <f>VLOOKUP(A1046,Jogos!A:L,12,0)</f>
        <v>Open</v>
      </c>
      <c r="I1046" s="6" t="str">
        <f>VLOOKUP(G1046,'Estádios e Cidades'!A:B,2,0)</f>
        <v>East Rutherford</v>
      </c>
      <c r="J1046" s="2" t="s">
        <v>251</v>
      </c>
      <c r="K1046" s="2" t="str">
        <f>VLOOKUP(J1046,Equipes!A:F,6,0)</f>
        <v>Temperate</v>
      </c>
      <c r="L1046" s="2">
        <f>VLOOKUP(J1046,Equipes!A:C,3,0)</f>
        <v>23</v>
      </c>
      <c r="M1046" s="2" t="str">
        <f t="shared" si="4"/>
        <v>Group</v>
      </c>
      <c r="N1046" s="2" t="s">
        <v>63</v>
      </c>
      <c r="O1046" s="2">
        <f>VLOOKUP(N1046,Equipes!A:C,3,0)</f>
        <v>25</v>
      </c>
      <c r="P1046" s="2" t="str">
        <f t="shared" si="5"/>
        <v>Group</v>
      </c>
      <c r="Q1046" s="2">
        <f t="shared" si="6"/>
        <v>-2</v>
      </c>
      <c r="R1046" s="2" t="str">
        <f>VLOOKUP(J1046,Equipes!A:B,2,0)</f>
        <v>Porto</v>
      </c>
      <c r="S1046" s="6" t="s">
        <v>1076</v>
      </c>
      <c r="T1046" s="7">
        <v>7.0</v>
      </c>
      <c r="U1046" s="7" t="s">
        <v>1077</v>
      </c>
      <c r="V1046" s="7" t="str">
        <f>VLOOKUP(U1046,Jogadores!B:C,2,0)</f>
        <v>FW</v>
      </c>
      <c r="W1046" s="8">
        <f>VLOOKUP(U1046,Jogadores!B:D,3,0)</f>
        <v>19.38356164</v>
      </c>
      <c r="X1046" s="7">
        <v>0.0</v>
      </c>
      <c r="Y1046" s="7">
        <v>69.0</v>
      </c>
      <c r="Z1046" s="7">
        <f>VLOOKUP(A1046,Jogos!A:L,3,0)</f>
        <v>51</v>
      </c>
      <c r="AA1046" s="7">
        <f t="shared" si="2229"/>
        <v>51</v>
      </c>
      <c r="AB1046" s="7">
        <f>VLOOKUP(A1046,Jogos!A:L,4,0)</f>
        <v>51</v>
      </c>
      <c r="AC1046" s="7">
        <f t="shared" si="2230"/>
        <v>24</v>
      </c>
      <c r="AD1046" s="7"/>
      <c r="AE1046" s="7"/>
      <c r="AF1046" s="7">
        <f t="shared" si="2231"/>
        <v>75</v>
      </c>
      <c r="AG1046" s="7">
        <v>6452.2</v>
      </c>
      <c r="AH1046" s="7">
        <v>2947.9</v>
      </c>
      <c r="AI1046" s="7">
        <v>2197.1</v>
      </c>
      <c r="AJ1046" s="7">
        <v>795.3</v>
      </c>
      <c r="AK1046" s="7">
        <v>405.3</v>
      </c>
      <c r="AL1046" s="7">
        <v>106.6</v>
      </c>
      <c r="AM1046" s="7">
        <v>80.0</v>
      </c>
      <c r="AN1046" s="7">
        <v>34.0</v>
      </c>
      <c r="AO1046" s="7">
        <v>31.4</v>
      </c>
      <c r="AP1046" s="9">
        <f t="shared" ref="AP1046:AR1046" si="3268">AG1046/$AF1046</f>
        <v>86.02933333</v>
      </c>
      <c r="AQ1046" s="9">
        <f t="shared" si="3268"/>
        <v>39.30533333</v>
      </c>
      <c r="AR1046" s="9">
        <f t="shared" si="3268"/>
        <v>29.29466667</v>
      </c>
      <c r="AS1046" s="9">
        <f t="shared" si="2233"/>
        <v>68.6</v>
      </c>
      <c r="AT1046" s="9">
        <f t="shared" ref="AT1046:AV1046" si="3269">AJ1046/$AF1046</f>
        <v>10.604</v>
      </c>
      <c r="AU1046" s="9">
        <f t="shared" si="3269"/>
        <v>5.404</v>
      </c>
      <c r="AV1046" s="9">
        <f t="shared" si="3269"/>
        <v>1.421333333</v>
      </c>
      <c r="AW1046" s="9">
        <f t="shared" si="2235"/>
        <v>6.825333333</v>
      </c>
      <c r="AX1046" s="9">
        <f t="shared" ref="AX1046:AY1046" si="3270">AM1046/$AF1046</f>
        <v>1.066666667</v>
      </c>
      <c r="AY1046" s="9">
        <f t="shared" si="3270"/>
        <v>0.4533333333</v>
      </c>
      <c r="AZ1046" s="9">
        <f>VLOOKUP(A1046,Jogos!A:BN,58,0)</f>
        <v>30.27</v>
      </c>
      <c r="BA1046" s="9">
        <f>VLOOKUP(A1046,Jogos!A:BN,59,0)</f>
        <v>25.63</v>
      </c>
      <c r="BB1046" s="9">
        <f>VLOOKUP(A1046,Jogos!A:BN,60,0)</f>
        <v>76</v>
      </c>
      <c r="BC1046" s="9">
        <f>VLOOKUP(A1046,Jogos!A:BN,61,0)</f>
        <v>30.805</v>
      </c>
      <c r="BD1046" s="9">
        <f>VLOOKUP(A1046,Jogos!A:BN,62,0)</f>
        <v>0</v>
      </c>
      <c r="BE1046" s="9">
        <f>VLOOKUP(A1046,Jogos!A:BN,63,0)</f>
        <v>1.53</v>
      </c>
      <c r="BF1046" s="9">
        <f>VLOOKUP(A1046,Jogos!A:BN,64,0)</f>
        <v>26.67</v>
      </c>
      <c r="BG1046" s="9">
        <f>VLOOKUP(A1046,Jogos!A:BN,65,0)</f>
        <v>46.42</v>
      </c>
      <c r="BH1046" s="9">
        <f>VLOOKUP(A1046,Jogos!A:BN,66,0)</f>
        <v>30.975</v>
      </c>
      <c r="BI1046" s="9"/>
      <c r="BJ1046" s="9"/>
    </row>
    <row r="1047" hidden="1">
      <c r="A1047" s="2">
        <v>36.0</v>
      </c>
      <c r="B1047" s="2" t="s">
        <v>60</v>
      </c>
      <c r="C1047" s="2" t="s">
        <v>61</v>
      </c>
      <c r="D1047" s="3">
        <v>45831.0</v>
      </c>
      <c r="E1047" s="4">
        <v>0.875</v>
      </c>
      <c r="F1047" s="5" t="str">
        <f>VLOOKUP(A1047,Jogos!A:N,10,0)</f>
        <v>Evening</v>
      </c>
      <c r="G1047" s="2" t="s">
        <v>249</v>
      </c>
      <c r="H1047" s="6" t="str">
        <f>VLOOKUP(A1047,Jogos!A:L,12,0)</f>
        <v>Open</v>
      </c>
      <c r="I1047" s="6" t="str">
        <f>VLOOKUP(G1047,'Estádios e Cidades'!A:B,2,0)</f>
        <v>East Rutherford</v>
      </c>
      <c r="J1047" s="2" t="s">
        <v>251</v>
      </c>
      <c r="K1047" s="2" t="str">
        <f>VLOOKUP(J1047,Equipes!A:F,6,0)</f>
        <v>Temperate</v>
      </c>
      <c r="L1047" s="2">
        <f>VLOOKUP(J1047,Equipes!A:C,3,0)</f>
        <v>23</v>
      </c>
      <c r="M1047" s="2" t="str">
        <f t="shared" si="4"/>
        <v>Group</v>
      </c>
      <c r="N1047" s="2" t="s">
        <v>63</v>
      </c>
      <c r="O1047" s="2">
        <f>VLOOKUP(N1047,Equipes!A:C,3,0)</f>
        <v>25</v>
      </c>
      <c r="P1047" s="2" t="str">
        <f t="shared" si="5"/>
        <v>Group</v>
      </c>
      <c r="Q1047" s="2">
        <f t="shared" si="6"/>
        <v>-2</v>
      </c>
      <c r="R1047" s="2" t="str">
        <f>VLOOKUP(J1047,Equipes!A:B,2,0)</f>
        <v>Porto</v>
      </c>
      <c r="S1047" s="6" t="s">
        <v>286</v>
      </c>
      <c r="T1047" s="7">
        <v>10.0</v>
      </c>
      <c r="U1047" s="7" t="s">
        <v>287</v>
      </c>
      <c r="V1047" s="7" t="str">
        <f>VLOOKUP(U1047,Jogadores!B:C,2,0)</f>
        <v>MF</v>
      </c>
      <c r="W1047" s="8">
        <f>VLOOKUP(U1047,Jogadores!B:D,3,0)</f>
        <v>25.17808219</v>
      </c>
      <c r="X1047" s="7">
        <v>0.0</v>
      </c>
      <c r="Y1047" s="7">
        <v>69.0</v>
      </c>
      <c r="Z1047" s="7">
        <f>VLOOKUP(A1047,Jogos!A:L,3,0)</f>
        <v>51</v>
      </c>
      <c r="AA1047" s="7">
        <f t="shared" si="2229"/>
        <v>51</v>
      </c>
      <c r="AB1047" s="7">
        <f>VLOOKUP(A1047,Jogos!A:L,4,0)</f>
        <v>51</v>
      </c>
      <c r="AC1047" s="7">
        <f t="shared" si="2230"/>
        <v>24</v>
      </c>
      <c r="AD1047" s="7"/>
      <c r="AE1047" s="7"/>
      <c r="AF1047" s="7">
        <f t="shared" si="2231"/>
        <v>75</v>
      </c>
      <c r="AG1047" s="7">
        <v>7498.7</v>
      </c>
      <c r="AH1047" s="7">
        <v>2760.1</v>
      </c>
      <c r="AI1047" s="7">
        <v>3066.5</v>
      </c>
      <c r="AJ1047" s="7">
        <v>1045.5</v>
      </c>
      <c r="AK1047" s="7">
        <v>527.8</v>
      </c>
      <c r="AL1047" s="7">
        <v>98.8</v>
      </c>
      <c r="AM1047" s="7">
        <v>94.0</v>
      </c>
      <c r="AN1047" s="7">
        <v>37.0</v>
      </c>
      <c r="AO1047" s="7">
        <v>30.3</v>
      </c>
      <c r="AP1047" s="9">
        <f t="shared" ref="AP1047:AR1047" si="3271">AG1047/$AF1047</f>
        <v>99.98266667</v>
      </c>
      <c r="AQ1047" s="9">
        <f t="shared" si="3271"/>
        <v>36.80133333</v>
      </c>
      <c r="AR1047" s="9">
        <f t="shared" si="3271"/>
        <v>40.88666667</v>
      </c>
      <c r="AS1047" s="9">
        <f t="shared" si="2233"/>
        <v>77.688</v>
      </c>
      <c r="AT1047" s="9">
        <f t="shared" ref="AT1047:AV1047" si="3272">AJ1047/$AF1047</f>
        <v>13.94</v>
      </c>
      <c r="AU1047" s="9">
        <f t="shared" si="3272"/>
        <v>7.037333333</v>
      </c>
      <c r="AV1047" s="9">
        <f t="shared" si="3272"/>
        <v>1.317333333</v>
      </c>
      <c r="AW1047" s="9">
        <f t="shared" si="2235"/>
        <v>8.354666667</v>
      </c>
      <c r="AX1047" s="9">
        <f t="shared" ref="AX1047:AY1047" si="3273">AM1047/$AF1047</f>
        <v>1.253333333</v>
      </c>
      <c r="AY1047" s="9">
        <f t="shared" si="3273"/>
        <v>0.4933333333</v>
      </c>
      <c r="AZ1047" s="9">
        <f>VLOOKUP(A1047,Jogos!A:BN,58,0)</f>
        <v>30.27</v>
      </c>
      <c r="BA1047" s="9">
        <f>VLOOKUP(A1047,Jogos!A:BN,59,0)</f>
        <v>25.63</v>
      </c>
      <c r="BB1047" s="9">
        <f>VLOOKUP(A1047,Jogos!A:BN,60,0)</f>
        <v>76</v>
      </c>
      <c r="BC1047" s="9">
        <f>VLOOKUP(A1047,Jogos!A:BN,61,0)</f>
        <v>30.805</v>
      </c>
      <c r="BD1047" s="9">
        <f>VLOOKUP(A1047,Jogos!A:BN,62,0)</f>
        <v>0</v>
      </c>
      <c r="BE1047" s="9">
        <f>VLOOKUP(A1047,Jogos!A:BN,63,0)</f>
        <v>1.53</v>
      </c>
      <c r="BF1047" s="9">
        <f>VLOOKUP(A1047,Jogos!A:BN,64,0)</f>
        <v>26.67</v>
      </c>
      <c r="BG1047" s="9">
        <f>VLOOKUP(A1047,Jogos!A:BN,65,0)</f>
        <v>46.42</v>
      </c>
      <c r="BH1047" s="9">
        <f>VLOOKUP(A1047,Jogos!A:BN,66,0)</f>
        <v>30.975</v>
      </c>
      <c r="BI1047" s="9"/>
      <c r="BJ1047" s="9"/>
    </row>
    <row r="1048" hidden="1">
      <c r="A1048" s="2">
        <v>36.0</v>
      </c>
      <c r="B1048" s="2" t="s">
        <v>60</v>
      </c>
      <c r="C1048" s="2" t="s">
        <v>61</v>
      </c>
      <c r="D1048" s="3">
        <v>45831.0</v>
      </c>
      <c r="E1048" s="4">
        <v>0.875</v>
      </c>
      <c r="F1048" s="5" t="str">
        <f>VLOOKUP(A1048,Jogos!A:N,10,0)</f>
        <v>Evening</v>
      </c>
      <c r="G1048" s="2" t="s">
        <v>249</v>
      </c>
      <c r="H1048" s="6" t="str">
        <f>VLOOKUP(A1048,Jogos!A:L,12,0)</f>
        <v>Open</v>
      </c>
      <c r="I1048" s="6" t="str">
        <f>VLOOKUP(G1048,'Estádios e Cidades'!A:B,2,0)</f>
        <v>East Rutherford</v>
      </c>
      <c r="J1048" s="2" t="s">
        <v>251</v>
      </c>
      <c r="K1048" s="2" t="str">
        <f>VLOOKUP(J1048,Equipes!A:F,6,0)</f>
        <v>Temperate</v>
      </c>
      <c r="L1048" s="2">
        <f>VLOOKUP(J1048,Equipes!A:C,3,0)</f>
        <v>23</v>
      </c>
      <c r="M1048" s="2" t="str">
        <f t="shared" si="4"/>
        <v>Group</v>
      </c>
      <c r="N1048" s="2" t="s">
        <v>63</v>
      </c>
      <c r="O1048" s="2">
        <f>VLOOKUP(N1048,Equipes!A:C,3,0)</f>
        <v>25</v>
      </c>
      <c r="P1048" s="2" t="str">
        <f t="shared" si="5"/>
        <v>Group</v>
      </c>
      <c r="Q1048" s="2">
        <f t="shared" si="6"/>
        <v>-2</v>
      </c>
      <c r="R1048" s="2" t="str">
        <f>VLOOKUP(J1048,Equipes!A:B,2,0)</f>
        <v>Porto</v>
      </c>
      <c r="S1048" s="6" t="s">
        <v>1249</v>
      </c>
      <c r="T1048" s="7">
        <v>19.0</v>
      </c>
      <c r="U1048" s="7" t="s">
        <v>1250</v>
      </c>
      <c r="V1048" s="7" t="str">
        <f>VLOOKUP(U1048,Jogadores!B:C,2,0)</f>
        <v>FW</v>
      </c>
      <c r="W1048" s="8">
        <f>VLOOKUP(U1048,Jogadores!B:D,3,0)</f>
        <v>24.76438356</v>
      </c>
      <c r="X1048" s="7">
        <v>0.0</v>
      </c>
      <c r="Y1048" s="7">
        <v>45.0</v>
      </c>
      <c r="Z1048" s="7">
        <f>VLOOKUP(A1048,Jogos!A:L,3,0)</f>
        <v>51</v>
      </c>
      <c r="AA1048" s="7">
        <f t="shared" si="2229"/>
        <v>51</v>
      </c>
      <c r="AB1048" s="7">
        <f>VLOOKUP(A1048,Jogos!A:L,4,0)</f>
        <v>51</v>
      </c>
      <c r="AC1048" s="7">
        <f t="shared" si="2230"/>
        <v>0</v>
      </c>
      <c r="AD1048" s="7"/>
      <c r="AE1048" s="7"/>
      <c r="AF1048" s="7">
        <f t="shared" si="2231"/>
        <v>51</v>
      </c>
      <c r="AG1048" s="7">
        <v>5589.8</v>
      </c>
      <c r="AH1048" s="7">
        <v>2057.5</v>
      </c>
      <c r="AI1048" s="7">
        <v>2295.2</v>
      </c>
      <c r="AJ1048" s="7">
        <v>847.1</v>
      </c>
      <c r="AK1048" s="7">
        <v>316.0</v>
      </c>
      <c r="AL1048" s="7">
        <v>74.0</v>
      </c>
      <c r="AM1048" s="7">
        <v>77.0</v>
      </c>
      <c r="AN1048" s="7">
        <v>26.0</v>
      </c>
      <c r="AO1048" s="7">
        <v>32.5</v>
      </c>
      <c r="AP1048" s="9">
        <f t="shared" ref="AP1048:AR1048" si="3274">AG1048/$AF1048</f>
        <v>109.6039216</v>
      </c>
      <c r="AQ1048" s="9">
        <f t="shared" si="3274"/>
        <v>40.34313725</v>
      </c>
      <c r="AR1048" s="9">
        <f t="shared" si="3274"/>
        <v>45.00392157</v>
      </c>
      <c r="AS1048" s="9">
        <f t="shared" si="2233"/>
        <v>85.34705882</v>
      </c>
      <c r="AT1048" s="9">
        <f t="shared" ref="AT1048:AV1048" si="3275">AJ1048/$AF1048</f>
        <v>16.60980392</v>
      </c>
      <c r="AU1048" s="9">
        <f t="shared" si="3275"/>
        <v>6.196078431</v>
      </c>
      <c r="AV1048" s="9">
        <f t="shared" si="3275"/>
        <v>1.450980392</v>
      </c>
      <c r="AW1048" s="9">
        <f t="shared" si="2235"/>
        <v>7.647058824</v>
      </c>
      <c r="AX1048" s="9">
        <f t="shared" ref="AX1048:AY1048" si="3276">AM1048/$AF1048</f>
        <v>1.509803922</v>
      </c>
      <c r="AY1048" s="9">
        <f t="shared" si="3276"/>
        <v>0.5098039216</v>
      </c>
      <c r="AZ1048" s="9">
        <f>VLOOKUP(A1048,Jogos!A:BN,58,0)</f>
        <v>30.27</v>
      </c>
      <c r="BA1048" s="9">
        <f>VLOOKUP(A1048,Jogos!A:BN,59,0)</f>
        <v>25.63</v>
      </c>
      <c r="BB1048" s="9">
        <f>VLOOKUP(A1048,Jogos!A:BN,60,0)</f>
        <v>76</v>
      </c>
      <c r="BC1048" s="9">
        <f>VLOOKUP(A1048,Jogos!A:BN,61,0)</f>
        <v>30.805</v>
      </c>
      <c r="BD1048" s="9">
        <f>VLOOKUP(A1048,Jogos!A:BN,62,0)</f>
        <v>0</v>
      </c>
      <c r="BE1048" s="9">
        <f>VLOOKUP(A1048,Jogos!A:BN,63,0)</f>
        <v>1.53</v>
      </c>
      <c r="BF1048" s="9">
        <f>VLOOKUP(A1048,Jogos!A:BN,64,0)</f>
        <v>26.67</v>
      </c>
      <c r="BG1048" s="9">
        <f>VLOOKUP(A1048,Jogos!A:BN,65,0)</f>
        <v>46.42</v>
      </c>
      <c r="BH1048" s="9">
        <f>VLOOKUP(A1048,Jogos!A:BN,66,0)</f>
        <v>30.975</v>
      </c>
      <c r="BI1048" s="9"/>
      <c r="BJ1048" s="9"/>
    </row>
    <row r="1049" hidden="1">
      <c r="A1049" s="2">
        <v>36.0</v>
      </c>
      <c r="B1049" s="2" t="s">
        <v>60</v>
      </c>
      <c r="C1049" s="2" t="s">
        <v>61</v>
      </c>
      <c r="D1049" s="3">
        <v>45831.0</v>
      </c>
      <c r="E1049" s="4">
        <v>0.875</v>
      </c>
      <c r="F1049" s="5" t="str">
        <f>VLOOKUP(A1049,Jogos!A:N,10,0)</f>
        <v>Evening</v>
      </c>
      <c r="G1049" s="2" t="s">
        <v>249</v>
      </c>
      <c r="H1049" s="6" t="str">
        <f>VLOOKUP(A1049,Jogos!A:L,12,0)</f>
        <v>Open</v>
      </c>
      <c r="I1049" s="6" t="str">
        <f>VLOOKUP(G1049,'Estádios e Cidades'!A:B,2,0)</f>
        <v>East Rutherford</v>
      </c>
      <c r="J1049" s="2" t="s">
        <v>251</v>
      </c>
      <c r="K1049" s="2" t="str">
        <f>VLOOKUP(J1049,Equipes!A:F,6,0)</f>
        <v>Temperate</v>
      </c>
      <c r="L1049" s="2">
        <f>VLOOKUP(J1049,Equipes!A:C,3,0)</f>
        <v>23</v>
      </c>
      <c r="M1049" s="2" t="str">
        <f t="shared" si="4"/>
        <v>Group</v>
      </c>
      <c r="N1049" s="2" t="s">
        <v>63</v>
      </c>
      <c r="O1049" s="2">
        <f>VLOOKUP(N1049,Equipes!A:C,3,0)</f>
        <v>25</v>
      </c>
      <c r="P1049" s="2" t="str">
        <f t="shared" si="5"/>
        <v>Group</v>
      </c>
      <c r="Q1049" s="2">
        <f t="shared" si="6"/>
        <v>-2</v>
      </c>
      <c r="R1049" s="2" t="str">
        <f>VLOOKUP(J1049,Equipes!A:B,2,0)</f>
        <v>Porto</v>
      </c>
      <c r="S1049" s="6" t="s">
        <v>290</v>
      </c>
      <c r="T1049" s="7">
        <v>22.0</v>
      </c>
      <c r="U1049" s="7" t="s">
        <v>291</v>
      </c>
      <c r="V1049" s="7" t="str">
        <f>VLOOKUP(U1049,Jogadores!B:C,2,0)</f>
        <v>MF</v>
      </c>
      <c r="W1049" s="8">
        <f>VLOOKUP(U1049,Jogadores!B:D,3,0)</f>
        <v>24.08219178</v>
      </c>
      <c r="X1049" s="7">
        <v>0.0</v>
      </c>
      <c r="Y1049" s="7">
        <v>45.0</v>
      </c>
      <c r="Z1049" s="7">
        <f>VLOOKUP(A1049,Jogos!A:L,3,0)</f>
        <v>51</v>
      </c>
      <c r="AA1049" s="7">
        <f t="shared" si="2229"/>
        <v>51</v>
      </c>
      <c r="AB1049" s="7">
        <f>VLOOKUP(A1049,Jogos!A:L,4,0)</f>
        <v>51</v>
      </c>
      <c r="AC1049" s="7">
        <f t="shared" si="2230"/>
        <v>0</v>
      </c>
      <c r="AD1049" s="7"/>
      <c r="AE1049" s="7"/>
      <c r="AF1049" s="7">
        <f t="shared" si="2231"/>
        <v>51</v>
      </c>
      <c r="AG1049" s="7">
        <v>5567.7</v>
      </c>
      <c r="AH1049" s="7">
        <v>1863.3</v>
      </c>
      <c r="AI1049" s="7">
        <v>2220.8</v>
      </c>
      <c r="AJ1049" s="7">
        <v>911.1</v>
      </c>
      <c r="AK1049" s="7">
        <v>471.5</v>
      </c>
      <c r="AL1049" s="7">
        <v>101.0</v>
      </c>
      <c r="AM1049" s="7">
        <v>87.0</v>
      </c>
      <c r="AN1049" s="7">
        <v>36.0</v>
      </c>
      <c r="AO1049" s="7">
        <v>29.6</v>
      </c>
      <c r="AP1049" s="9">
        <f t="shared" ref="AP1049:AR1049" si="3277">AG1049/$AF1049</f>
        <v>109.1705882</v>
      </c>
      <c r="AQ1049" s="9">
        <f t="shared" si="3277"/>
        <v>36.53529412</v>
      </c>
      <c r="AR1049" s="9">
        <f t="shared" si="3277"/>
        <v>43.54509804</v>
      </c>
      <c r="AS1049" s="9">
        <f t="shared" si="2233"/>
        <v>80.08039216</v>
      </c>
      <c r="AT1049" s="9">
        <f t="shared" ref="AT1049:AV1049" si="3278">AJ1049/$AF1049</f>
        <v>17.86470588</v>
      </c>
      <c r="AU1049" s="9">
        <f t="shared" si="3278"/>
        <v>9.245098039</v>
      </c>
      <c r="AV1049" s="9">
        <f t="shared" si="3278"/>
        <v>1.980392157</v>
      </c>
      <c r="AW1049" s="9">
        <f t="shared" si="2235"/>
        <v>11.2254902</v>
      </c>
      <c r="AX1049" s="9">
        <f t="shared" ref="AX1049:AY1049" si="3279">AM1049/$AF1049</f>
        <v>1.705882353</v>
      </c>
      <c r="AY1049" s="9">
        <f t="shared" si="3279"/>
        <v>0.7058823529</v>
      </c>
      <c r="AZ1049" s="9">
        <f>VLOOKUP(A1049,Jogos!A:BN,58,0)</f>
        <v>30.27</v>
      </c>
      <c r="BA1049" s="9">
        <f>VLOOKUP(A1049,Jogos!A:BN,59,0)</f>
        <v>25.63</v>
      </c>
      <c r="BB1049" s="9">
        <f>VLOOKUP(A1049,Jogos!A:BN,60,0)</f>
        <v>76</v>
      </c>
      <c r="BC1049" s="9">
        <f>VLOOKUP(A1049,Jogos!A:BN,61,0)</f>
        <v>30.805</v>
      </c>
      <c r="BD1049" s="9">
        <f>VLOOKUP(A1049,Jogos!A:BN,62,0)</f>
        <v>0</v>
      </c>
      <c r="BE1049" s="9">
        <f>VLOOKUP(A1049,Jogos!A:BN,63,0)</f>
        <v>1.53</v>
      </c>
      <c r="BF1049" s="9">
        <f>VLOOKUP(A1049,Jogos!A:BN,64,0)</f>
        <v>26.67</v>
      </c>
      <c r="BG1049" s="9">
        <f>VLOOKUP(A1049,Jogos!A:BN,65,0)</f>
        <v>46.42</v>
      </c>
      <c r="BH1049" s="9">
        <f>VLOOKUP(A1049,Jogos!A:BN,66,0)</f>
        <v>30.975</v>
      </c>
      <c r="BI1049" s="9"/>
      <c r="BJ1049" s="9"/>
    </row>
    <row r="1050" hidden="1">
      <c r="A1050" s="2">
        <v>36.0</v>
      </c>
      <c r="B1050" s="2" t="s">
        <v>60</v>
      </c>
      <c r="C1050" s="2" t="s">
        <v>61</v>
      </c>
      <c r="D1050" s="3">
        <v>45831.0</v>
      </c>
      <c r="E1050" s="4">
        <v>0.875</v>
      </c>
      <c r="F1050" s="5" t="str">
        <f>VLOOKUP(A1050,Jogos!A:N,10,0)</f>
        <v>Evening</v>
      </c>
      <c r="G1050" s="2" t="s">
        <v>249</v>
      </c>
      <c r="H1050" s="6" t="str">
        <f>VLOOKUP(A1050,Jogos!A:L,12,0)</f>
        <v>Open</v>
      </c>
      <c r="I1050" s="6" t="str">
        <f>VLOOKUP(G1050,'Estádios e Cidades'!A:B,2,0)</f>
        <v>East Rutherford</v>
      </c>
      <c r="J1050" s="2" t="s">
        <v>251</v>
      </c>
      <c r="K1050" s="2" t="str">
        <f>VLOOKUP(J1050,Equipes!A:F,6,0)</f>
        <v>Temperate</v>
      </c>
      <c r="L1050" s="2">
        <f>VLOOKUP(J1050,Equipes!A:C,3,0)</f>
        <v>23</v>
      </c>
      <c r="M1050" s="2" t="str">
        <f t="shared" si="4"/>
        <v>Group</v>
      </c>
      <c r="N1050" s="2" t="s">
        <v>63</v>
      </c>
      <c r="O1050" s="2">
        <f>VLOOKUP(N1050,Equipes!A:C,3,0)</f>
        <v>25</v>
      </c>
      <c r="P1050" s="2" t="str">
        <f t="shared" si="5"/>
        <v>Group</v>
      </c>
      <c r="Q1050" s="2">
        <f t="shared" si="6"/>
        <v>-2</v>
      </c>
      <c r="R1050" s="2" t="str">
        <f>VLOOKUP(J1050,Equipes!A:B,2,0)</f>
        <v>Porto</v>
      </c>
      <c r="S1050" s="6" t="s">
        <v>292</v>
      </c>
      <c r="T1050" s="7">
        <v>23.0</v>
      </c>
      <c r="U1050" s="7" t="s">
        <v>293</v>
      </c>
      <c r="V1050" s="7" t="str">
        <f>VLOOKUP(U1050,Jogadores!B:C,2,0)</f>
        <v>DF</v>
      </c>
      <c r="W1050" s="8">
        <f>VLOOKUP(U1050,Jogadores!B:D,3,0)</f>
        <v>25.58356164</v>
      </c>
      <c r="X1050" s="7">
        <v>0.0</v>
      </c>
      <c r="Y1050" s="7">
        <v>62.0</v>
      </c>
      <c r="Z1050" s="7">
        <f>VLOOKUP(A1050,Jogos!A:L,3,0)</f>
        <v>51</v>
      </c>
      <c r="AA1050" s="7">
        <f t="shared" si="2229"/>
        <v>51</v>
      </c>
      <c r="AB1050" s="7">
        <f>VLOOKUP(A1050,Jogos!A:L,4,0)</f>
        <v>51</v>
      </c>
      <c r="AC1050" s="7">
        <f t="shared" si="2230"/>
        <v>17</v>
      </c>
      <c r="AD1050" s="7"/>
      <c r="AE1050" s="7"/>
      <c r="AF1050" s="7">
        <f t="shared" si="2231"/>
        <v>68</v>
      </c>
      <c r="AG1050" s="7">
        <v>6587.9</v>
      </c>
      <c r="AH1050" s="7">
        <v>2580.5</v>
      </c>
      <c r="AI1050" s="7">
        <v>2717.4</v>
      </c>
      <c r="AJ1050" s="7">
        <v>782.8</v>
      </c>
      <c r="AK1050" s="7">
        <v>407.3</v>
      </c>
      <c r="AL1050" s="7">
        <v>99.9</v>
      </c>
      <c r="AM1050" s="7">
        <v>65.0</v>
      </c>
      <c r="AN1050" s="7">
        <v>35.0</v>
      </c>
      <c r="AO1050" s="7">
        <v>30.7</v>
      </c>
      <c r="AP1050" s="9">
        <f t="shared" ref="AP1050:AR1050" si="3280">AG1050/$AF1050</f>
        <v>96.88088235</v>
      </c>
      <c r="AQ1050" s="9">
        <f t="shared" si="3280"/>
        <v>37.94852941</v>
      </c>
      <c r="AR1050" s="9">
        <f t="shared" si="3280"/>
        <v>39.96176471</v>
      </c>
      <c r="AS1050" s="9">
        <f t="shared" si="2233"/>
        <v>77.91029412</v>
      </c>
      <c r="AT1050" s="9">
        <f t="shared" ref="AT1050:AV1050" si="3281">AJ1050/$AF1050</f>
        <v>11.51176471</v>
      </c>
      <c r="AU1050" s="9">
        <f t="shared" si="3281"/>
        <v>5.989705882</v>
      </c>
      <c r="AV1050" s="9">
        <f t="shared" si="3281"/>
        <v>1.469117647</v>
      </c>
      <c r="AW1050" s="9">
        <f t="shared" si="2235"/>
        <v>7.458823529</v>
      </c>
      <c r="AX1050" s="9">
        <f t="shared" ref="AX1050:AY1050" si="3282">AM1050/$AF1050</f>
        <v>0.9558823529</v>
      </c>
      <c r="AY1050" s="9">
        <f t="shared" si="3282"/>
        <v>0.5147058824</v>
      </c>
      <c r="AZ1050" s="9">
        <f>VLOOKUP(A1050,Jogos!A:BN,58,0)</f>
        <v>30.27</v>
      </c>
      <c r="BA1050" s="9">
        <f>VLOOKUP(A1050,Jogos!A:BN,59,0)</f>
        <v>25.63</v>
      </c>
      <c r="BB1050" s="9">
        <f>VLOOKUP(A1050,Jogos!A:BN,60,0)</f>
        <v>76</v>
      </c>
      <c r="BC1050" s="9">
        <f>VLOOKUP(A1050,Jogos!A:BN,61,0)</f>
        <v>30.805</v>
      </c>
      <c r="BD1050" s="9">
        <f>VLOOKUP(A1050,Jogos!A:BN,62,0)</f>
        <v>0</v>
      </c>
      <c r="BE1050" s="9">
        <f>VLOOKUP(A1050,Jogos!A:BN,63,0)</f>
        <v>1.53</v>
      </c>
      <c r="BF1050" s="9">
        <f>VLOOKUP(A1050,Jogos!A:BN,64,0)</f>
        <v>26.67</v>
      </c>
      <c r="BG1050" s="9">
        <f>VLOOKUP(A1050,Jogos!A:BN,65,0)</f>
        <v>46.42</v>
      </c>
      <c r="BH1050" s="9">
        <f>VLOOKUP(A1050,Jogos!A:BN,66,0)</f>
        <v>30.975</v>
      </c>
      <c r="BI1050" s="9"/>
      <c r="BJ1050" s="9"/>
    </row>
    <row r="1051" hidden="1">
      <c r="A1051" s="2">
        <v>36.0</v>
      </c>
      <c r="B1051" s="2" t="s">
        <v>60</v>
      </c>
      <c r="C1051" s="2" t="s">
        <v>61</v>
      </c>
      <c r="D1051" s="3">
        <v>45831.0</v>
      </c>
      <c r="E1051" s="4">
        <v>0.875</v>
      </c>
      <c r="F1051" s="5" t="str">
        <f>VLOOKUP(A1051,Jogos!A:N,10,0)</f>
        <v>Evening</v>
      </c>
      <c r="G1051" s="2" t="s">
        <v>249</v>
      </c>
      <c r="H1051" s="6" t="str">
        <f>VLOOKUP(A1051,Jogos!A:L,12,0)</f>
        <v>Open</v>
      </c>
      <c r="I1051" s="6" t="str">
        <f>VLOOKUP(G1051,'Estádios e Cidades'!A:B,2,0)</f>
        <v>East Rutherford</v>
      </c>
      <c r="J1051" s="2" t="s">
        <v>251</v>
      </c>
      <c r="K1051" s="2" t="str">
        <f>VLOOKUP(J1051,Equipes!A:F,6,0)</f>
        <v>Temperate</v>
      </c>
      <c r="L1051" s="2">
        <f>VLOOKUP(J1051,Equipes!A:C,3,0)</f>
        <v>23</v>
      </c>
      <c r="M1051" s="2" t="str">
        <f t="shared" si="4"/>
        <v>Group</v>
      </c>
      <c r="N1051" s="2" t="s">
        <v>63</v>
      </c>
      <c r="O1051" s="2">
        <f>VLOOKUP(N1051,Equipes!A:C,3,0)</f>
        <v>25</v>
      </c>
      <c r="P1051" s="2" t="str">
        <f t="shared" si="5"/>
        <v>Group</v>
      </c>
      <c r="Q1051" s="2">
        <f t="shared" si="6"/>
        <v>-2</v>
      </c>
      <c r="R1051" s="2" t="str">
        <f>VLOOKUP(J1051,Equipes!A:B,2,0)</f>
        <v>Porto</v>
      </c>
      <c r="S1051" s="6" t="s">
        <v>296</v>
      </c>
      <c r="T1051" s="7">
        <v>74.0</v>
      </c>
      <c r="U1051" s="7" t="s">
        <v>297</v>
      </c>
      <c r="V1051" s="7" t="str">
        <f>VLOOKUP(U1051,Jogadores!B:C,2,0)</f>
        <v>DF</v>
      </c>
      <c r="W1051" s="8">
        <f>VLOOKUP(U1051,Jogadores!B:D,3,0)</f>
        <v>25.96712329</v>
      </c>
      <c r="X1051" s="7">
        <v>0.0</v>
      </c>
      <c r="Y1051" s="7">
        <f t="shared" ref="Y1051:Y1059" si="3286">45+AB1051</f>
        <v>96</v>
      </c>
      <c r="Z1051" s="7">
        <f>VLOOKUP(A1051,Jogos!A:L,3,0)</f>
        <v>51</v>
      </c>
      <c r="AA1051" s="7">
        <f t="shared" si="2229"/>
        <v>51</v>
      </c>
      <c r="AB1051" s="7">
        <f>VLOOKUP(A1051,Jogos!A:L,4,0)</f>
        <v>51</v>
      </c>
      <c r="AC1051" s="7">
        <f t="shared" si="2230"/>
        <v>51</v>
      </c>
      <c r="AD1051" s="7"/>
      <c r="AE1051" s="7"/>
      <c r="AF1051" s="7">
        <f t="shared" si="2231"/>
        <v>102</v>
      </c>
      <c r="AG1051" s="7">
        <v>10868.4</v>
      </c>
      <c r="AH1051" s="7">
        <v>3795.2</v>
      </c>
      <c r="AI1051" s="7">
        <v>4020.3</v>
      </c>
      <c r="AJ1051" s="7">
        <v>1664.1</v>
      </c>
      <c r="AK1051" s="7">
        <v>1013.7</v>
      </c>
      <c r="AL1051" s="7">
        <v>375.2</v>
      </c>
      <c r="AM1051" s="7">
        <v>136.0</v>
      </c>
      <c r="AN1051" s="7">
        <v>76.0</v>
      </c>
      <c r="AO1051" s="7">
        <v>31.7</v>
      </c>
      <c r="AP1051" s="9">
        <f t="shared" ref="AP1051:AR1051" si="3283">AG1051/$AF1051</f>
        <v>106.5529412</v>
      </c>
      <c r="AQ1051" s="9">
        <f t="shared" si="3283"/>
        <v>37.20784314</v>
      </c>
      <c r="AR1051" s="9">
        <f t="shared" si="3283"/>
        <v>39.41470588</v>
      </c>
      <c r="AS1051" s="9">
        <f t="shared" si="2233"/>
        <v>76.62254902</v>
      </c>
      <c r="AT1051" s="9">
        <f t="shared" ref="AT1051:AV1051" si="3284">AJ1051/$AF1051</f>
        <v>16.31470588</v>
      </c>
      <c r="AU1051" s="9">
        <f t="shared" si="3284"/>
        <v>9.938235294</v>
      </c>
      <c r="AV1051" s="9">
        <f t="shared" si="3284"/>
        <v>3.678431373</v>
      </c>
      <c r="AW1051" s="9">
        <f t="shared" si="2235"/>
        <v>13.61666667</v>
      </c>
      <c r="AX1051" s="9">
        <f t="shared" ref="AX1051:AY1051" si="3285">AM1051/$AF1051</f>
        <v>1.333333333</v>
      </c>
      <c r="AY1051" s="9">
        <f t="shared" si="3285"/>
        <v>0.7450980392</v>
      </c>
      <c r="AZ1051" s="9">
        <f>VLOOKUP(A1051,Jogos!A:BN,58,0)</f>
        <v>30.27</v>
      </c>
      <c r="BA1051" s="9">
        <f>VLOOKUP(A1051,Jogos!A:BN,59,0)</f>
        <v>25.63</v>
      </c>
      <c r="BB1051" s="9">
        <f>VLOOKUP(A1051,Jogos!A:BN,60,0)</f>
        <v>76</v>
      </c>
      <c r="BC1051" s="9">
        <f>VLOOKUP(A1051,Jogos!A:BN,61,0)</f>
        <v>30.805</v>
      </c>
      <c r="BD1051" s="9">
        <f>VLOOKUP(A1051,Jogos!A:BN,62,0)</f>
        <v>0</v>
      </c>
      <c r="BE1051" s="9">
        <f>VLOOKUP(A1051,Jogos!A:BN,63,0)</f>
        <v>1.53</v>
      </c>
      <c r="BF1051" s="9">
        <f>VLOOKUP(A1051,Jogos!A:BN,64,0)</f>
        <v>26.67</v>
      </c>
      <c r="BG1051" s="9">
        <f>VLOOKUP(A1051,Jogos!A:BN,65,0)</f>
        <v>46.42</v>
      </c>
      <c r="BH1051" s="9">
        <f>VLOOKUP(A1051,Jogos!A:BN,66,0)</f>
        <v>30.975</v>
      </c>
      <c r="BI1051" s="9"/>
      <c r="BJ1051" s="9"/>
    </row>
    <row r="1052" hidden="1">
      <c r="A1052" s="2">
        <v>36.0</v>
      </c>
      <c r="B1052" s="2" t="s">
        <v>60</v>
      </c>
      <c r="C1052" s="2" t="s">
        <v>61</v>
      </c>
      <c r="D1052" s="3">
        <v>45831.0</v>
      </c>
      <c r="E1052" s="4">
        <v>0.875</v>
      </c>
      <c r="F1052" s="5" t="str">
        <f>VLOOKUP(A1052,Jogos!A:N,10,0)</f>
        <v>Evening</v>
      </c>
      <c r="G1052" s="2" t="s">
        <v>249</v>
      </c>
      <c r="H1052" s="6" t="str">
        <f>VLOOKUP(A1052,Jogos!A:L,12,0)</f>
        <v>Open</v>
      </c>
      <c r="I1052" s="6" t="str">
        <f>VLOOKUP(G1052,'Estádios e Cidades'!A:B,2,0)</f>
        <v>East Rutherford</v>
      </c>
      <c r="J1052" s="2" t="s">
        <v>251</v>
      </c>
      <c r="K1052" s="2" t="str">
        <f>VLOOKUP(J1052,Equipes!A:F,6,0)</f>
        <v>Temperate</v>
      </c>
      <c r="L1052" s="2">
        <f>VLOOKUP(J1052,Equipes!A:C,3,0)</f>
        <v>23</v>
      </c>
      <c r="M1052" s="2" t="str">
        <f t="shared" si="4"/>
        <v>Group</v>
      </c>
      <c r="N1052" s="2" t="s">
        <v>63</v>
      </c>
      <c r="O1052" s="2">
        <f>VLOOKUP(N1052,Equipes!A:C,3,0)</f>
        <v>25</v>
      </c>
      <c r="P1052" s="2" t="str">
        <f t="shared" si="5"/>
        <v>Group</v>
      </c>
      <c r="Q1052" s="2">
        <f t="shared" si="6"/>
        <v>-2</v>
      </c>
      <c r="R1052" s="2" t="str">
        <f>VLOOKUP(J1052,Equipes!A:B,2,0)</f>
        <v>Porto</v>
      </c>
      <c r="S1052" s="6" t="s">
        <v>298</v>
      </c>
      <c r="T1052" s="7">
        <v>86.0</v>
      </c>
      <c r="U1052" s="7" t="s">
        <v>299</v>
      </c>
      <c r="V1052" s="7" t="str">
        <f>VLOOKUP(U1052,Jogadores!B:C,2,0)</f>
        <v>FW</v>
      </c>
      <c r="W1052" s="8">
        <f>VLOOKUP(U1052,Jogadores!B:D,3,0)</f>
        <v>18.24383562</v>
      </c>
      <c r="X1052" s="7">
        <v>0.0</v>
      </c>
      <c r="Y1052" s="7">
        <f t="shared" si="3286"/>
        <v>96</v>
      </c>
      <c r="Z1052" s="7">
        <f>VLOOKUP(A1052,Jogos!A:L,3,0)</f>
        <v>51</v>
      </c>
      <c r="AA1052" s="7">
        <f t="shared" si="2229"/>
        <v>51</v>
      </c>
      <c r="AB1052" s="7">
        <f>VLOOKUP(A1052,Jogos!A:L,4,0)</f>
        <v>51</v>
      </c>
      <c r="AC1052" s="7">
        <f t="shared" si="2230"/>
        <v>51</v>
      </c>
      <c r="AD1052" s="7"/>
      <c r="AE1052" s="7"/>
      <c r="AF1052" s="7">
        <f t="shared" si="2231"/>
        <v>102</v>
      </c>
      <c r="AG1052" s="7">
        <v>11318.1</v>
      </c>
      <c r="AH1052" s="7">
        <v>4068.6</v>
      </c>
      <c r="AI1052" s="7">
        <v>4960.8</v>
      </c>
      <c r="AJ1052" s="7">
        <v>1601.0</v>
      </c>
      <c r="AK1052" s="7">
        <v>604.7</v>
      </c>
      <c r="AL1052" s="7">
        <v>83.0</v>
      </c>
      <c r="AM1052" s="7">
        <v>152.0</v>
      </c>
      <c r="AN1052" s="7">
        <v>40.0</v>
      </c>
      <c r="AO1052" s="7">
        <v>29.1</v>
      </c>
      <c r="AP1052" s="9">
        <f t="shared" ref="AP1052:AR1052" si="3287">AG1052/$AF1052</f>
        <v>110.9617647</v>
      </c>
      <c r="AQ1052" s="9">
        <f t="shared" si="3287"/>
        <v>39.88823529</v>
      </c>
      <c r="AR1052" s="9">
        <f t="shared" si="3287"/>
        <v>48.63529412</v>
      </c>
      <c r="AS1052" s="9">
        <f t="shared" si="2233"/>
        <v>88.52352941</v>
      </c>
      <c r="AT1052" s="9">
        <f t="shared" ref="AT1052:AV1052" si="3288">AJ1052/$AF1052</f>
        <v>15.69607843</v>
      </c>
      <c r="AU1052" s="9">
        <f t="shared" si="3288"/>
        <v>5.928431373</v>
      </c>
      <c r="AV1052" s="9">
        <f t="shared" si="3288"/>
        <v>0.8137254902</v>
      </c>
      <c r="AW1052" s="9">
        <f t="shared" si="2235"/>
        <v>6.742156863</v>
      </c>
      <c r="AX1052" s="9">
        <f t="shared" ref="AX1052:AY1052" si="3289">AM1052/$AF1052</f>
        <v>1.490196078</v>
      </c>
      <c r="AY1052" s="9">
        <f t="shared" si="3289"/>
        <v>0.3921568627</v>
      </c>
      <c r="AZ1052" s="9">
        <f>VLOOKUP(A1052,Jogos!A:BN,58,0)</f>
        <v>30.27</v>
      </c>
      <c r="BA1052" s="9">
        <f>VLOOKUP(A1052,Jogos!A:BN,59,0)</f>
        <v>25.63</v>
      </c>
      <c r="BB1052" s="9">
        <f>VLOOKUP(A1052,Jogos!A:BN,60,0)</f>
        <v>76</v>
      </c>
      <c r="BC1052" s="9">
        <f>VLOOKUP(A1052,Jogos!A:BN,61,0)</f>
        <v>30.805</v>
      </c>
      <c r="BD1052" s="9">
        <f>VLOOKUP(A1052,Jogos!A:BN,62,0)</f>
        <v>0</v>
      </c>
      <c r="BE1052" s="9">
        <f>VLOOKUP(A1052,Jogos!A:BN,63,0)</f>
        <v>1.53</v>
      </c>
      <c r="BF1052" s="9">
        <f>VLOOKUP(A1052,Jogos!A:BN,64,0)</f>
        <v>26.67</v>
      </c>
      <c r="BG1052" s="9">
        <f>VLOOKUP(A1052,Jogos!A:BN,65,0)</f>
        <v>46.42</v>
      </c>
      <c r="BH1052" s="9">
        <f>VLOOKUP(A1052,Jogos!A:BN,66,0)</f>
        <v>30.975</v>
      </c>
      <c r="BI1052" s="9"/>
      <c r="BJ1052" s="9"/>
    </row>
    <row r="1053" hidden="1">
      <c r="A1053" s="2">
        <v>36.0</v>
      </c>
      <c r="B1053" s="2" t="s">
        <v>60</v>
      </c>
      <c r="C1053" s="2" t="s">
        <v>61</v>
      </c>
      <c r="D1053" s="3">
        <v>45831.0</v>
      </c>
      <c r="E1053" s="4">
        <v>0.875</v>
      </c>
      <c r="F1053" s="5" t="str">
        <f>VLOOKUP(A1053,Jogos!A:N,10,0)</f>
        <v>Evening</v>
      </c>
      <c r="G1053" s="2" t="s">
        <v>249</v>
      </c>
      <c r="H1053" s="6" t="str">
        <f>VLOOKUP(A1053,Jogos!A:L,12,0)</f>
        <v>Open</v>
      </c>
      <c r="I1053" s="6" t="str">
        <f>VLOOKUP(G1053,'Estádios e Cidades'!A:B,2,0)</f>
        <v>East Rutherford</v>
      </c>
      <c r="J1053" s="2" t="s">
        <v>251</v>
      </c>
      <c r="K1053" s="2" t="str">
        <f>VLOOKUP(J1053,Equipes!A:F,6,0)</f>
        <v>Temperate</v>
      </c>
      <c r="L1053" s="2">
        <f>VLOOKUP(J1053,Equipes!A:C,3,0)</f>
        <v>23</v>
      </c>
      <c r="M1053" s="2" t="str">
        <f t="shared" si="4"/>
        <v>Group</v>
      </c>
      <c r="N1053" s="2" t="s">
        <v>63</v>
      </c>
      <c r="O1053" s="2">
        <f>VLOOKUP(N1053,Equipes!A:C,3,0)</f>
        <v>25</v>
      </c>
      <c r="P1053" s="2" t="str">
        <f t="shared" si="5"/>
        <v>Group</v>
      </c>
      <c r="Q1053" s="2">
        <f t="shared" si="6"/>
        <v>-2</v>
      </c>
      <c r="R1053" s="2" t="str">
        <f>VLOOKUP(J1053,Equipes!A:B,2,0)</f>
        <v>Porto</v>
      </c>
      <c r="S1053" s="6" t="s">
        <v>300</v>
      </c>
      <c r="T1053" s="7">
        <v>97.0</v>
      </c>
      <c r="U1053" s="7" t="s">
        <v>301</v>
      </c>
      <c r="V1053" s="7" t="str">
        <f>VLOOKUP(U1053,Jogadores!B:C,2,0)</f>
        <v>DF</v>
      </c>
      <c r="W1053" s="8">
        <f>VLOOKUP(U1053,Jogadores!B:D,3,0)</f>
        <v>28.16438356</v>
      </c>
      <c r="X1053" s="7">
        <v>0.0</v>
      </c>
      <c r="Y1053" s="7">
        <f t="shared" si="3286"/>
        <v>96</v>
      </c>
      <c r="Z1053" s="7">
        <f>VLOOKUP(A1053,Jogos!A:L,3,0)</f>
        <v>51</v>
      </c>
      <c r="AA1053" s="7">
        <f t="shared" si="2229"/>
        <v>51</v>
      </c>
      <c r="AB1053" s="7">
        <f>VLOOKUP(A1053,Jogos!A:L,4,0)</f>
        <v>51</v>
      </c>
      <c r="AC1053" s="7">
        <f t="shared" si="2230"/>
        <v>51</v>
      </c>
      <c r="AD1053" s="7"/>
      <c r="AE1053" s="7"/>
      <c r="AF1053" s="7">
        <f t="shared" si="2231"/>
        <v>102</v>
      </c>
      <c r="AG1053" s="7">
        <v>9502.3</v>
      </c>
      <c r="AH1053" s="7">
        <v>3529.1</v>
      </c>
      <c r="AI1053" s="7">
        <v>4153.7</v>
      </c>
      <c r="AJ1053" s="7">
        <v>1045.0</v>
      </c>
      <c r="AK1053" s="7">
        <v>436.3</v>
      </c>
      <c r="AL1053" s="7">
        <v>338.2</v>
      </c>
      <c r="AM1053" s="7">
        <v>85.0</v>
      </c>
      <c r="AN1053" s="7">
        <v>41.0</v>
      </c>
      <c r="AO1053" s="7">
        <v>31.2</v>
      </c>
      <c r="AP1053" s="9">
        <f t="shared" ref="AP1053:AR1053" si="3290">AG1053/$AF1053</f>
        <v>93.15980392</v>
      </c>
      <c r="AQ1053" s="9">
        <f t="shared" si="3290"/>
        <v>34.59901961</v>
      </c>
      <c r="AR1053" s="9">
        <f t="shared" si="3290"/>
        <v>40.72254902</v>
      </c>
      <c r="AS1053" s="9">
        <f t="shared" si="2233"/>
        <v>75.32156863</v>
      </c>
      <c r="AT1053" s="9">
        <f t="shared" ref="AT1053:AV1053" si="3291">AJ1053/$AF1053</f>
        <v>10.24509804</v>
      </c>
      <c r="AU1053" s="9">
        <f t="shared" si="3291"/>
        <v>4.27745098</v>
      </c>
      <c r="AV1053" s="9">
        <f t="shared" si="3291"/>
        <v>3.315686275</v>
      </c>
      <c r="AW1053" s="9">
        <f t="shared" si="2235"/>
        <v>7.593137255</v>
      </c>
      <c r="AX1053" s="9">
        <f t="shared" ref="AX1053:AY1053" si="3292">AM1053/$AF1053</f>
        <v>0.8333333333</v>
      </c>
      <c r="AY1053" s="9">
        <f t="shared" si="3292"/>
        <v>0.4019607843</v>
      </c>
      <c r="AZ1053" s="9">
        <f>VLOOKUP(A1053,Jogos!A:BN,58,0)</f>
        <v>30.27</v>
      </c>
      <c r="BA1053" s="9">
        <f>VLOOKUP(A1053,Jogos!A:BN,59,0)</f>
        <v>25.63</v>
      </c>
      <c r="BB1053" s="9">
        <f>VLOOKUP(A1053,Jogos!A:BN,60,0)</f>
        <v>76</v>
      </c>
      <c r="BC1053" s="9">
        <f>VLOOKUP(A1053,Jogos!A:BN,61,0)</f>
        <v>30.805</v>
      </c>
      <c r="BD1053" s="9">
        <f>VLOOKUP(A1053,Jogos!A:BN,62,0)</f>
        <v>0</v>
      </c>
      <c r="BE1053" s="9">
        <f>VLOOKUP(A1053,Jogos!A:BN,63,0)</f>
        <v>1.53</v>
      </c>
      <c r="BF1053" s="9">
        <f>VLOOKUP(A1053,Jogos!A:BN,64,0)</f>
        <v>26.67</v>
      </c>
      <c r="BG1053" s="9">
        <f>VLOOKUP(A1053,Jogos!A:BN,65,0)</f>
        <v>46.42</v>
      </c>
      <c r="BH1053" s="9">
        <f>VLOOKUP(A1053,Jogos!A:BN,66,0)</f>
        <v>30.975</v>
      </c>
      <c r="BI1053" s="9"/>
      <c r="BJ1053" s="9"/>
    </row>
    <row r="1054" hidden="1">
      <c r="A1054" s="2">
        <v>36.0</v>
      </c>
      <c r="B1054" s="2" t="s">
        <v>60</v>
      </c>
      <c r="C1054" s="2" t="s">
        <v>61</v>
      </c>
      <c r="D1054" s="3">
        <v>45831.0</v>
      </c>
      <c r="E1054" s="4">
        <v>0.875</v>
      </c>
      <c r="F1054" s="5" t="str">
        <f>VLOOKUP(A1054,Jogos!A:N,10,0)</f>
        <v>Evening</v>
      </c>
      <c r="G1054" s="2" t="s">
        <v>249</v>
      </c>
      <c r="H1054" s="6" t="str">
        <f>VLOOKUP(A1054,Jogos!A:L,12,0)</f>
        <v>Open</v>
      </c>
      <c r="I1054" s="6" t="str">
        <f>VLOOKUP(G1054,'Estádios e Cidades'!A:B,2,0)</f>
        <v>East Rutherford</v>
      </c>
      <c r="J1054" s="2" t="s">
        <v>251</v>
      </c>
      <c r="K1054" s="2" t="str">
        <f>VLOOKUP(J1054,Equipes!A:F,6,0)</f>
        <v>Temperate</v>
      </c>
      <c r="L1054" s="2">
        <f>VLOOKUP(J1054,Equipes!A:C,3,0)</f>
        <v>23</v>
      </c>
      <c r="M1054" s="2" t="str">
        <f t="shared" si="4"/>
        <v>Group</v>
      </c>
      <c r="N1054" s="2" t="s">
        <v>63</v>
      </c>
      <c r="O1054" s="2">
        <f>VLOOKUP(N1054,Equipes!A:C,3,0)</f>
        <v>25</v>
      </c>
      <c r="P1054" s="2" t="str">
        <f t="shared" si="5"/>
        <v>Group</v>
      </c>
      <c r="Q1054" s="2">
        <f t="shared" si="6"/>
        <v>-2</v>
      </c>
      <c r="R1054" s="2" t="str">
        <f>VLOOKUP(J1054,Equipes!A:B,2,0)</f>
        <v>Porto</v>
      </c>
      <c r="S1054" s="6" t="s">
        <v>284</v>
      </c>
      <c r="T1054" s="7">
        <v>9.0</v>
      </c>
      <c r="U1054" s="7" t="s">
        <v>285</v>
      </c>
      <c r="V1054" s="7" t="str">
        <f>VLOOKUP(U1054,Jogadores!B:C,2,0)</f>
        <v>FW</v>
      </c>
      <c r="W1054" s="8">
        <f>VLOOKUP(U1054,Jogadores!B:D,3,0)</f>
        <v>21.24383562</v>
      </c>
      <c r="X1054" s="7">
        <v>45.0</v>
      </c>
      <c r="Y1054" s="7">
        <f t="shared" si="3286"/>
        <v>96</v>
      </c>
      <c r="Z1054" s="7">
        <f>VLOOKUP(A1054,Jogos!A:L,3,0)</f>
        <v>51</v>
      </c>
      <c r="AA1054" s="7">
        <f t="shared" si="2229"/>
        <v>0</v>
      </c>
      <c r="AB1054" s="7">
        <f>VLOOKUP(A1054,Jogos!A:L,4,0)</f>
        <v>51</v>
      </c>
      <c r="AC1054" s="7">
        <f t="shared" si="2230"/>
        <v>51</v>
      </c>
      <c r="AD1054" s="7"/>
      <c r="AE1054" s="7"/>
      <c r="AF1054" s="7">
        <f t="shared" si="2231"/>
        <v>51</v>
      </c>
      <c r="AG1054" s="7">
        <v>4850.5</v>
      </c>
      <c r="AH1054" s="7">
        <v>2622.0</v>
      </c>
      <c r="AI1054" s="7">
        <v>1471.7</v>
      </c>
      <c r="AJ1054" s="7">
        <v>436.6</v>
      </c>
      <c r="AK1054" s="7">
        <v>178.8</v>
      </c>
      <c r="AL1054" s="7">
        <v>141.4</v>
      </c>
      <c r="AM1054" s="7">
        <v>43.0</v>
      </c>
      <c r="AN1054" s="7">
        <v>18.0</v>
      </c>
      <c r="AO1054" s="7">
        <v>32.5</v>
      </c>
      <c r="AP1054" s="9">
        <f t="shared" ref="AP1054:AR1054" si="3293">AG1054/$AF1054</f>
        <v>95.10784314</v>
      </c>
      <c r="AQ1054" s="9">
        <f t="shared" si="3293"/>
        <v>51.41176471</v>
      </c>
      <c r="AR1054" s="9">
        <f t="shared" si="3293"/>
        <v>28.85686275</v>
      </c>
      <c r="AS1054" s="9">
        <f t="shared" si="2233"/>
        <v>80.26862745</v>
      </c>
      <c r="AT1054" s="9">
        <f t="shared" ref="AT1054:AV1054" si="3294">AJ1054/$AF1054</f>
        <v>8.560784314</v>
      </c>
      <c r="AU1054" s="9">
        <f t="shared" si="3294"/>
        <v>3.505882353</v>
      </c>
      <c r="AV1054" s="9">
        <f t="shared" si="3294"/>
        <v>2.77254902</v>
      </c>
      <c r="AW1054" s="9">
        <f t="shared" si="2235"/>
        <v>6.278431373</v>
      </c>
      <c r="AX1054" s="9">
        <f t="shared" ref="AX1054:AY1054" si="3295">AM1054/$AF1054</f>
        <v>0.8431372549</v>
      </c>
      <c r="AY1054" s="9">
        <f t="shared" si="3295"/>
        <v>0.3529411765</v>
      </c>
      <c r="AZ1054" s="9">
        <f>VLOOKUP(A1054,Jogos!A:BN,58,0)</f>
        <v>30.27</v>
      </c>
      <c r="BA1054" s="9">
        <f>VLOOKUP(A1054,Jogos!A:BN,59,0)</f>
        <v>25.63</v>
      </c>
      <c r="BB1054" s="9">
        <f>VLOOKUP(A1054,Jogos!A:BN,60,0)</f>
        <v>76</v>
      </c>
      <c r="BC1054" s="9">
        <f>VLOOKUP(A1054,Jogos!A:BN,61,0)</f>
        <v>30.805</v>
      </c>
      <c r="BD1054" s="9">
        <f>VLOOKUP(A1054,Jogos!A:BN,62,0)</f>
        <v>0</v>
      </c>
      <c r="BE1054" s="9">
        <f>VLOOKUP(A1054,Jogos!A:BN,63,0)</f>
        <v>1.53</v>
      </c>
      <c r="BF1054" s="9">
        <f>VLOOKUP(A1054,Jogos!A:BN,64,0)</f>
        <v>26.67</v>
      </c>
      <c r="BG1054" s="9">
        <f>VLOOKUP(A1054,Jogos!A:BN,65,0)</f>
        <v>46.42</v>
      </c>
      <c r="BH1054" s="9">
        <f>VLOOKUP(A1054,Jogos!A:BN,66,0)</f>
        <v>30.975</v>
      </c>
      <c r="BI1054" s="9"/>
      <c r="BJ1054" s="9"/>
    </row>
    <row r="1055" hidden="1">
      <c r="A1055" s="2">
        <v>36.0</v>
      </c>
      <c r="B1055" s="2" t="s">
        <v>60</v>
      </c>
      <c r="C1055" s="2" t="s">
        <v>61</v>
      </c>
      <c r="D1055" s="3">
        <v>45831.0</v>
      </c>
      <c r="E1055" s="4">
        <v>0.875</v>
      </c>
      <c r="F1055" s="5" t="str">
        <f>VLOOKUP(A1055,Jogos!A:N,10,0)</f>
        <v>Evening</v>
      </c>
      <c r="G1055" s="2" t="s">
        <v>249</v>
      </c>
      <c r="H1055" s="6" t="str">
        <f>VLOOKUP(A1055,Jogos!A:L,12,0)</f>
        <v>Open</v>
      </c>
      <c r="I1055" s="6" t="str">
        <f>VLOOKUP(G1055,'Estádios e Cidades'!A:B,2,0)</f>
        <v>East Rutherford</v>
      </c>
      <c r="J1055" s="2" t="s">
        <v>251</v>
      </c>
      <c r="K1055" s="2" t="str">
        <f>VLOOKUP(J1055,Equipes!A:F,6,0)</f>
        <v>Temperate</v>
      </c>
      <c r="L1055" s="2">
        <f>VLOOKUP(J1055,Equipes!A:C,3,0)</f>
        <v>23</v>
      </c>
      <c r="M1055" s="2" t="str">
        <f t="shared" si="4"/>
        <v>Group</v>
      </c>
      <c r="N1055" s="2" t="s">
        <v>63</v>
      </c>
      <c r="O1055" s="2">
        <f>VLOOKUP(N1055,Equipes!A:C,3,0)</f>
        <v>25</v>
      </c>
      <c r="P1055" s="2" t="str">
        <f t="shared" si="5"/>
        <v>Group</v>
      </c>
      <c r="Q1055" s="2">
        <f t="shared" si="6"/>
        <v>-2</v>
      </c>
      <c r="R1055" s="2" t="str">
        <f>VLOOKUP(J1055,Equipes!A:B,2,0)</f>
        <v>Porto</v>
      </c>
      <c r="S1055" s="6" t="s">
        <v>304</v>
      </c>
      <c r="T1055" s="7">
        <v>11.0</v>
      </c>
      <c r="U1055" s="7" t="s">
        <v>305</v>
      </c>
      <c r="V1055" s="7" t="str">
        <f>VLOOKUP(U1055,Jogadores!B:C,2,0)</f>
        <v>FW</v>
      </c>
      <c r="W1055" s="8">
        <f>VLOOKUP(U1055,Jogadores!B:D,3,0)</f>
        <v>42.44657534</v>
      </c>
      <c r="X1055" s="7">
        <v>69.0</v>
      </c>
      <c r="Y1055" s="7">
        <f t="shared" si="3286"/>
        <v>96</v>
      </c>
      <c r="Z1055" s="7">
        <f>VLOOKUP(A1055,Jogos!A:L,3,0)</f>
        <v>51</v>
      </c>
      <c r="AA1055" s="7">
        <f t="shared" si="2229"/>
        <v>0</v>
      </c>
      <c r="AB1055" s="7">
        <f>VLOOKUP(A1055,Jogos!A:L,4,0)</f>
        <v>51</v>
      </c>
      <c r="AC1055" s="7">
        <f t="shared" si="2230"/>
        <v>27</v>
      </c>
      <c r="AD1055" s="7"/>
      <c r="AE1055" s="7"/>
      <c r="AF1055" s="7">
        <f t="shared" si="2231"/>
        <v>27</v>
      </c>
      <c r="AG1055" s="7">
        <v>3613.6</v>
      </c>
      <c r="AH1055" s="7">
        <v>1183.5</v>
      </c>
      <c r="AI1055" s="7">
        <v>1418.8</v>
      </c>
      <c r="AJ1055" s="7">
        <v>646.6</v>
      </c>
      <c r="AK1055" s="7">
        <v>238.9</v>
      </c>
      <c r="AL1055" s="7">
        <v>125.8</v>
      </c>
      <c r="AM1055" s="7">
        <v>55.0</v>
      </c>
      <c r="AN1055" s="7">
        <v>18.0</v>
      </c>
      <c r="AO1055" s="7">
        <v>32.7</v>
      </c>
      <c r="AP1055" s="9">
        <f t="shared" ref="AP1055:AR1055" si="3296">AG1055/$AF1055</f>
        <v>133.837037</v>
      </c>
      <c r="AQ1055" s="9">
        <f t="shared" si="3296"/>
        <v>43.83333333</v>
      </c>
      <c r="AR1055" s="9">
        <f t="shared" si="3296"/>
        <v>52.54814815</v>
      </c>
      <c r="AS1055" s="9">
        <f t="shared" si="2233"/>
        <v>96.38148148</v>
      </c>
      <c r="AT1055" s="9">
        <f t="shared" ref="AT1055:AV1055" si="3297">AJ1055/$AF1055</f>
        <v>23.94814815</v>
      </c>
      <c r="AU1055" s="9">
        <f t="shared" si="3297"/>
        <v>8.848148148</v>
      </c>
      <c r="AV1055" s="9">
        <f t="shared" si="3297"/>
        <v>4.659259259</v>
      </c>
      <c r="AW1055" s="9">
        <f t="shared" si="2235"/>
        <v>13.50740741</v>
      </c>
      <c r="AX1055" s="9">
        <f t="shared" ref="AX1055:AY1055" si="3298">AM1055/$AF1055</f>
        <v>2.037037037</v>
      </c>
      <c r="AY1055" s="9">
        <f t="shared" si="3298"/>
        <v>0.6666666667</v>
      </c>
      <c r="AZ1055" s="9">
        <f>VLOOKUP(A1055,Jogos!A:BN,58,0)</f>
        <v>30.27</v>
      </c>
      <c r="BA1055" s="9">
        <f>VLOOKUP(A1055,Jogos!A:BN,59,0)</f>
        <v>25.63</v>
      </c>
      <c r="BB1055" s="9">
        <f>VLOOKUP(A1055,Jogos!A:BN,60,0)</f>
        <v>76</v>
      </c>
      <c r="BC1055" s="9">
        <f>VLOOKUP(A1055,Jogos!A:BN,61,0)</f>
        <v>30.805</v>
      </c>
      <c r="BD1055" s="9">
        <f>VLOOKUP(A1055,Jogos!A:BN,62,0)</f>
        <v>0</v>
      </c>
      <c r="BE1055" s="9">
        <f>VLOOKUP(A1055,Jogos!A:BN,63,0)</f>
        <v>1.53</v>
      </c>
      <c r="BF1055" s="9">
        <f>VLOOKUP(A1055,Jogos!A:BN,64,0)</f>
        <v>26.67</v>
      </c>
      <c r="BG1055" s="9">
        <f>VLOOKUP(A1055,Jogos!A:BN,65,0)</f>
        <v>46.42</v>
      </c>
      <c r="BH1055" s="9">
        <f>VLOOKUP(A1055,Jogos!A:BN,66,0)</f>
        <v>30.975</v>
      </c>
      <c r="BI1055" s="9"/>
      <c r="BJ1055" s="9"/>
    </row>
    <row r="1056" hidden="1">
      <c r="A1056" s="2">
        <v>36.0</v>
      </c>
      <c r="B1056" s="2" t="s">
        <v>60</v>
      </c>
      <c r="C1056" s="2" t="s">
        <v>61</v>
      </c>
      <c r="D1056" s="3">
        <v>45831.0</v>
      </c>
      <c r="E1056" s="4">
        <v>0.875</v>
      </c>
      <c r="F1056" s="5" t="str">
        <f>VLOOKUP(A1056,Jogos!A:N,10,0)</f>
        <v>Evening</v>
      </c>
      <c r="G1056" s="2" t="s">
        <v>249</v>
      </c>
      <c r="H1056" s="6" t="str">
        <f>VLOOKUP(A1056,Jogos!A:L,12,0)</f>
        <v>Open</v>
      </c>
      <c r="I1056" s="6" t="str">
        <f>VLOOKUP(G1056,'Estádios e Cidades'!A:B,2,0)</f>
        <v>East Rutherford</v>
      </c>
      <c r="J1056" s="2" t="s">
        <v>251</v>
      </c>
      <c r="K1056" s="2" t="str">
        <f>VLOOKUP(J1056,Equipes!A:F,6,0)</f>
        <v>Temperate</v>
      </c>
      <c r="L1056" s="2">
        <f>VLOOKUP(J1056,Equipes!A:C,3,0)</f>
        <v>23</v>
      </c>
      <c r="M1056" s="2" t="str">
        <f t="shared" si="4"/>
        <v>Group</v>
      </c>
      <c r="N1056" s="2" t="s">
        <v>63</v>
      </c>
      <c r="O1056" s="2">
        <f>VLOOKUP(N1056,Equipes!A:C,3,0)</f>
        <v>25</v>
      </c>
      <c r="P1056" s="2" t="str">
        <f t="shared" si="5"/>
        <v>Group</v>
      </c>
      <c r="Q1056" s="2">
        <f t="shared" si="6"/>
        <v>-2</v>
      </c>
      <c r="R1056" s="2" t="str">
        <f>VLOOKUP(J1056,Equipes!A:B,2,0)</f>
        <v>Porto</v>
      </c>
      <c r="S1056" s="6" t="s">
        <v>288</v>
      </c>
      <c r="T1056" s="7">
        <v>17.0</v>
      </c>
      <c r="U1056" s="7" t="s">
        <v>289</v>
      </c>
      <c r="V1056" s="7" t="str">
        <f>VLOOKUP(U1056,Jogadores!B:C,2,0)</f>
        <v>MF</v>
      </c>
      <c r="W1056" s="8">
        <f>VLOOKUP(U1056,Jogadores!B:D,3,0)</f>
        <v>23.18630137</v>
      </c>
      <c r="X1056" s="7">
        <v>69.0</v>
      </c>
      <c r="Y1056" s="7">
        <f t="shared" si="3286"/>
        <v>96</v>
      </c>
      <c r="Z1056" s="7">
        <f>VLOOKUP(A1056,Jogos!A:L,3,0)</f>
        <v>51</v>
      </c>
      <c r="AA1056" s="7">
        <f t="shared" si="2229"/>
        <v>0</v>
      </c>
      <c r="AB1056" s="7">
        <f>VLOOKUP(A1056,Jogos!A:L,4,0)</f>
        <v>51</v>
      </c>
      <c r="AC1056" s="7">
        <f t="shared" si="2230"/>
        <v>27</v>
      </c>
      <c r="AD1056" s="7"/>
      <c r="AE1056" s="7"/>
      <c r="AF1056" s="7">
        <f t="shared" si="2231"/>
        <v>27</v>
      </c>
      <c r="AG1056" s="7">
        <v>3401.6</v>
      </c>
      <c r="AH1056" s="7">
        <v>1035.5</v>
      </c>
      <c r="AI1056" s="7">
        <v>1402.8</v>
      </c>
      <c r="AJ1056" s="7">
        <v>605.8</v>
      </c>
      <c r="AK1056" s="7">
        <v>242.7</v>
      </c>
      <c r="AL1056" s="7">
        <v>114.7</v>
      </c>
      <c r="AM1056" s="7">
        <v>48.0</v>
      </c>
      <c r="AN1056" s="7">
        <v>16.0</v>
      </c>
      <c r="AO1056" s="7">
        <v>29.9</v>
      </c>
      <c r="AP1056" s="9">
        <f t="shared" ref="AP1056:AR1056" si="3299">AG1056/$AF1056</f>
        <v>125.9851852</v>
      </c>
      <c r="AQ1056" s="9">
        <f t="shared" si="3299"/>
        <v>38.35185185</v>
      </c>
      <c r="AR1056" s="9">
        <f t="shared" si="3299"/>
        <v>51.95555556</v>
      </c>
      <c r="AS1056" s="9">
        <f t="shared" si="2233"/>
        <v>90.30740741</v>
      </c>
      <c r="AT1056" s="9">
        <f t="shared" ref="AT1056:AV1056" si="3300">AJ1056/$AF1056</f>
        <v>22.43703704</v>
      </c>
      <c r="AU1056" s="9">
        <f t="shared" si="3300"/>
        <v>8.988888889</v>
      </c>
      <c r="AV1056" s="9">
        <f t="shared" si="3300"/>
        <v>4.248148148</v>
      </c>
      <c r="AW1056" s="9">
        <f t="shared" si="2235"/>
        <v>13.23703704</v>
      </c>
      <c r="AX1056" s="9">
        <f t="shared" ref="AX1056:AY1056" si="3301">AM1056/$AF1056</f>
        <v>1.777777778</v>
      </c>
      <c r="AY1056" s="9">
        <f t="shared" si="3301"/>
        <v>0.5925925926</v>
      </c>
      <c r="AZ1056" s="9">
        <f>VLOOKUP(A1056,Jogos!A:BN,58,0)</f>
        <v>30.27</v>
      </c>
      <c r="BA1056" s="9">
        <f>VLOOKUP(A1056,Jogos!A:BN,59,0)</f>
        <v>25.63</v>
      </c>
      <c r="BB1056" s="9">
        <f>VLOOKUP(A1056,Jogos!A:BN,60,0)</f>
        <v>76</v>
      </c>
      <c r="BC1056" s="9">
        <f>VLOOKUP(A1056,Jogos!A:BN,61,0)</f>
        <v>30.805</v>
      </c>
      <c r="BD1056" s="9">
        <f>VLOOKUP(A1056,Jogos!A:BN,62,0)</f>
        <v>0</v>
      </c>
      <c r="BE1056" s="9">
        <f>VLOOKUP(A1056,Jogos!A:BN,63,0)</f>
        <v>1.53</v>
      </c>
      <c r="BF1056" s="9">
        <f>VLOOKUP(A1056,Jogos!A:BN,64,0)</f>
        <v>26.67</v>
      </c>
      <c r="BG1056" s="9">
        <f>VLOOKUP(A1056,Jogos!A:BN,65,0)</f>
        <v>46.42</v>
      </c>
      <c r="BH1056" s="9">
        <f>VLOOKUP(A1056,Jogos!A:BN,66,0)</f>
        <v>30.975</v>
      </c>
      <c r="BI1056" s="9"/>
      <c r="BJ1056" s="9"/>
    </row>
    <row r="1057" hidden="1">
      <c r="A1057" s="2">
        <v>36.0</v>
      </c>
      <c r="B1057" s="2" t="s">
        <v>60</v>
      </c>
      <c r="C1057" s="2" t="s">
        <v>61</v>
      </c>
      <c r="D1057" s="3">
        <v>45831.0</v>
      </c>
      <c r="E1057" s="4">
        <v>0.875</v>
      </c>
      <c r="F1057" s="5" t="str">
        <f>VLOOKUP(A1057,Jogos!A:N,10,0)</f>
        <v>Evening</v>
      </c>
      <c r="G1057" s="2" t="s">
        <v>249</v>
      </c>
      <c r="H1057" s="6" t="str">
        <f>VLOOKUP(A1057,Jogos!A:L,12,0)</f>
        <v>Open</v>
      </c>
      <c r="I1057" s="6" t="str">
        <f>VLOOKUP(G1057,'Estádios e Cidades'!A:B,2,0)</f>
        <v>East Rutherford</v>
      </c>
      <c r="J1057" s="2" t="s">
        <v>251</v>
      </c>
      <c r="K1057" s="2" t="str">
        <f>VLOOKUP(J1057,Equipes!A:F,6,0)</f>
        <v>Temperate</v>
      </c>
      <c r="L1057" s="2">
        <f>VLOOKUP(J1057,Equipes!A:C,3,0)</f>
        <v>23</v>
      </c>
      <c r="M1057" s="2" t="str">
        <f t="shared" si="4"/>
        <v>Group</v>
      </c>
      <c r="N1057" s="2" t="s">
        <v>63</v>
      </c>
      <c r="O1057" s="2">
        <f>VLOOKUP(N1057,Equipes!A:C,3,0)</f>
        <v>25</v>
      </c>
      <c r="P1057" s="2" t="str">
        <f t="shared" si="5"/>
        <v>Group</v>
      </c>
      <c r="Q1057" s="2">
        <f t="shared" si="6"/>
        <v>-2</v>
      </c>
      <c r="R1057" s="2" t="str">
        <f>VLOOKUP(J1057,Equipes!A:B,2,0)</f>
        <v>Porto</v>
      </c>
      <c r="S1057" s="6" t="s">
        <v>294</v>
      </c>
      <c r="T1057" s="7">
        <v>52.0</v>
      </c>
      <c r="U1057" s="7" t="s">
        <v>295</v>
      </c>
      <c r="V1057" s="7" t="str">
        <f>VLOOKUP(U1057,Jogadores!B:C,2,0)</f>
        <v>DF</v>
      </c>
      <c r="W1057" s="8">
        <f>VLOOKUP(U1057,Jogadores!B:D,3,0)</f>
        <v>19.5369863</v>
      </c>
      <c r="X1057" s="7">
        <v>62.0</v>
      </c>
      <c r="Y1057" s="7">
        <f t="shared" si="3286"/>
        <v>96</v>
      </c>
      <c r="Z1057" s="7">
        <f>VLOOKUP(A1057,Jogos!A:L,3,0)</f>
        <v>51</v>
      </c>
      <c r="AA1057" s="7">
        <f t="shared" si="2229"/>
        <v>0</v>
      </c>
      <c r="AB1057" s="7">
        <f>VLOOKUP(A1057,Jogos!A:L,4,0)</f>
        <v>51</v>
      </c>
      <c r="AC1057" s="7">
        <f t="shared" si="2230"/>
        <v>34</v>
      </c>
      <c r="AD1057" s="7"/>
      <c r="AE1057" s="7"/>
      <c r="AF1057" s="7">
        <f t="shared" si="2231"/>
        <v>34</v>
      </c>
      <c r="AG1057" s="7">
        <v>4404.5</v>
      </c>
      <c r="AH1057" s="7">
        <v>1463.4</v>
      </c>
      <c r="AI1057" s="7">
        <v>1697.7</v>
      </c>
      <c r="AJ1057" s="7">
        <v>746.8</v>
      </c>
      <c r="AK1057" s="7">
        <v>374.6</v>
      </c>
      <c r="AL1057" s="7">
        <v>121.9</v>
      </c>
      <c r="AM1057" s="7">
        <v>56.0</v>
      </c>
      <c r="AN1057" s="7">
        <v>28.0</v>
      </c>
      <c r="AO1057" s="7">
        <v>32.0</v>
      </c>
      <c r="AP1057" s="9">
        <f t="shared" ref="AP1057:AR1057" si="3302">AG1057/$AF1057</f>
        <v>129.5441176</v>
      </c>
      <c r="AQ1057" s="9">
        <f t="shared" si="3302"/>
        <v>43.04117647</v>
      </c>
      <c r="AR1057" s="9">
        <f t="shared" si="3302"/>
        <v>49.93235294</v>
      </c>
      <c r="AS1057" s="9">
        <f t="shared" si="2233"/>
        <v>92.97352941</v>
      </c>
      <c r="AT1057" s="9">
        <f t="shared" ref="AT1057:AV1057" si="3303">AJ1057/$AF1057</f>
        <v>21.96470588</v>
      </c>
      <c r="AU1057" s="9">
        <f t="shared" si="3303"/>
        <v>11.01764706</v>
      </c>
      <c r="AV1057" s="9">
        <f t="shared" si="3303"/>
        <v>3.585294118</v>
      </c>
      <c r="AW1057" s="9">
        <f t="shared" si="2235"/>
        <v>14.60294118</v>
      </c>
      <c r="AX1057" s="9">
        <f t="shared" ref="AX1057:AY1057" si="3304">AM1057/$AF1057</f>
        <v>1.647058824</v>
      </c>
      <c r="AY1057" s="9">
        <f t="shared" si="3304"/>
        <v>0.8235294118</v>
      </c>
      <c r="AZ1057" s="9">
        <f>VLOOKUP(A1057,Jogos!A:BN,58,0)</f>
        <v>30.27</v>
      </c>
      <c r="BA1057" s="9">
        <f>VLOOKUP(A1057,Jogos!A:BN,59,0)</f>
        <v>25.63</v>
      </c>
      <c r="BB1057" s="9">
        <f>VLOOKUP(A1057,Jogos!A:BN,60,0)</f>
        <v>76</v>
      </c>
      <c r="BC1057" s="9">
        <f>VLOOKUP(A1057,Jogos!A:BN,61,0)</f>
        <v>30.805</v>
      </c>
      <c r="BD1057" s="9">
        <f>VLOOKUP(A1057,Jogos!A:BN,62,0)</f>
        <v>0</v>
      </c>
      <c r="BE1057" s="9">
        <f>VLOOKUP(A1057,Jogos!A:BN,63,0)</f>
        <v>1.53</v>
      </c>
      <c r="BF1057" s="9">
        <f>VLOOKUP(A1057,Jogos!A:BN,64,0)</f>
        <v>26.67</v>
      </c>
      <c r="BG1057" s="9">
        <f>VLOOKUP(A1057,Jogos!A:BN,65,0)</f>
        <v>46.42</v>
      </c>
      <c r="BH1057" s="9">
        <f>VLOOKUP(A1057,Jogos!A:BN,66,0)</f>
        <v>30.975</v>
      </c>
      <c r="BI1057" s="9"/>
      <c r="BJ1057" s="9"/>
    </row>
    <row r="1058" hidden="1">
      <c r="A1058" s="2">
        <v>36.0</v>
      </c>
      <c r="B1058" s="2" t="s">
        <v>60</v>
      </c>
      <c r="C1058" s="2" t="s">
        <v>61</v>
      </c>
      <c r="D1058" s="3">
        <v>45831.0</v>
      </c>
      <c r="E1058" s="4">
        <v>0.875</v>
      </c>
      <c r="F1058" s="5" t="str">
        <f>VLOOKUP(A1058,Jogos!A:N,10,0)</f>
        <v>Evening</v>
      </c>
      <c r="G1058" s="2" t="s">
        <v>249</v>
      </c>
      <c r="H1058" s="6" t="str">
        <f>VLOOKUP(A1058,Jogos!A:L,12,0)</f>
        <v>Open</v>
      </c>
      <c r="I1058" s="6" t="str">
        <f>VLOOKUP(G1058,'Estádios e Cidades'!A:B,2,0)</f>
        <v>East Rutherford</v>
      </c>
      <c r="J1058" s="2" t="s">
        <v>251</v>
      </c>
      <c r="K1058" s="2" t="str">
        <f>VLOOKUP(J1058,Equipes!A:F,6,0)</f>
        <v>Temperate</v>
      </c>
      <c r="L1058" s="2">
        <f>VLOOKUP(J1058,Equipes!A:C,3,0)</f>
        <v>23</v>
      </c>
      <c r="M1058" s="2" t="str">
        <f t="shared" si="4"/>
        <v>Group</v>
      </c>
      <c r="N1058" s="2" t="s">
        <v>63</v>
      </c>
      <c r="O1058" s="2">
        <f>VLOOKUP(N1058,Equipes!A:C,3,0)</f>
        <v>25</v>
      </c>
      <c r="P1058" s="2" t="str">
        <f t="shared" si="5"/>
        <v>Group</v>
      </c>
      <c r="Q1058" s="2">
        <f t="shared" si="6"/>
        <v>-2</v>
      </c>
      <c r="R1058" s="2" t="str">
        <f>VLOOKUP(J1058,Equipes!A:B,2,0)</f>
        <v>Porto</v>
      </c>
      <c r="S1058" s="6" t="s">
        <v>1080</v>
      </c>
      <c r="T1058" s="7">
        <v>70.0</v>
      </c>
      <c r="U1058" s="7" t="s">
        <v>1081</v>
      </c>
      <c r="V1058" s="7" t="str">
        <f>VLOOKUP(U1058,Jogadores!B:C,2,0)</f>
        <v>FW</v>
      </c>
      <c r="W1058" s="8">
        <f>VLOOKUP(U1058,Jogadores!B:D,3,0)</f>
        <v>24.34794521</v>
      </c>
      <c r="X1058" s="7">
        <v>45.0</v>
      </c>
      <c r="Y1058" s="7">
        <f t="shared" si="3286"/>
        <v>96</v>
      </c>
      <c r="Z1058" s="7">
        <f>VLOOKUP(A1058,Jogos!A:L,3,0)</f>
        <v>51</v>
      </c>
      <c r="AA1058" s="7">
        <f t="shared" si="2229"/>
        <v>0</v>
      </c>
      <c r="AB1058" s="7">
        <f>VLOOKUP(A1058,Jogos!A:L,4,0)</f>
        <v>51</v>
      </c>
      <c r="AC1058" s="7">
        <f t="shared" si="2230"/>
        <v>51</v>
      </c>
      <c r="AD1058" s="7"/>
      <c r="AE1058" s="7"/>
      <c r="AF1058" s="7">
        <f t="shared" si="2231"/>
        <v>51</v>
      </c>
      <c r="AG1058" s="7">
        <v>5335.8</v>
      </c>
      <c r="AH1058" s="7">
        <v>2081.0</v>
      </c>
      <c r="AI1058" s="7">
        <v>2259.9</v>
      </c>
      <c r="AJ1058" s="7">
        <v>694.7</v>
      </c>
      <c r="AK1058" s="7">
        <v>221.9</v>
      </c>
      <c r="AL1058" s="7">
        <v>78.3</v>
      </c>
      <c r="AM1058" s="7">
        <v>62.0</v>
      </c>
      <c r="AN1058" s="7">
        <v>15.0</v>
      </c>
      <c r="AO1058" s="7">
        <v>34.0</v>
      </c>
      <c r="AP1058" s="9">
        <f t="shared" ref="AP1058:AR1058" si="3305">AG1058/$AF1058</f>
        <v>104.6235294</v>
      </c>
      <c r="AQ1058" s="9">
        <f t="shared" si="3305"/>
        <v>40.80392157</v>
      </c>
      <c r="AR1058" s="9">
        <f t="shared" si="3305"/>
        <v>44.31176471</v>
      </c>
      <c r="AS1058" s="9">
        <f t="shared" si="2233"/>
        <v>85.11568627</v>
      </c>
      <c r="AT1058" s="9">
        <f t="shared" ref="AT1058:AV1058" si="3306">AJ1058/$AF1058</f>
        <v>13.62156863</v>
      </c>
      <c r="AU1058" s="9">
        <f t="shared" si="3306"/>
        <v>4.350980392</v>
      </c>
      <c r="AV1058" s="9">
        <f t="shared" si="3306"/>
        <v>1.535294118</v>
      </c>
      <c r="AW1058" s="9">
        <f t="shared" si="2235"/>
        <v>5.88627451</v>
      </c>
      <c r="AX1058" s="9">
        <f t="shared" ref="AX1058:AY1058" si="3307">AM1058/$AF1058</f>
        <v>1.215686275</v>
      </c>
      <c r="AY1058" s="9">
        <f t="shared" si="3307"/>
        <v>0.2941176471</v>
      </c>
      <c r="AZ1058" s="9">
        <f>VLOOKUP(A1058,Jogos!A:BN,58,0)</f>
        <v>30.27</v>
      </c>
      <c r="BA1058" s="9">
        <f>VLOOKUP(A1058,Jogos!A:BN,59,0)</f>
        <v>25.63</v>
      </c>
      <c r="BB1058" s="9">
        <f>VLOOKUP(A1058,Jogos!A:BN,60,0)</f>
        <v>76</v>
      </c>
      <c r="BC1058" s="9">
        <f>VLOOKUP(A1058,Jogos!A:BN,61,0)</f>
        <v>30.805</v>
      </c>
      <c r="BD1058" s="9">
        <f>VLOOKUP(A1058,Jogos!A:BN,62,0)</f>
        <v>0</v>
      </c>
      <c r="BE1058" s="9">
        <f>VLOOKUP(A1058,Jogos!A:BN,63,0)</f>
        <v>1.53</v>
      </c>
      <c r="BF1058" s="9">
        <f>VLOOKUP(A1058,Jogos!A:BN,64,0)</f>
        <v>26.67</v>
      </c>
      <c r="BG1058" s="9">
        <f>VLOOKUP(A1058,Jogos!A:BN,65,0)</f>
        <v>46.42</v>
      </c>
      <c r="BH1058" s="9">
        <f>VLOOKUP(A1058,Jogos!A:BN,66,0)</f>
        <v>30.975</v>
      </c>
      <c r="BI1058" s="9"/>
      <c r="BJ1058" s="9"/>
    </row>
    <row r="1059" hidden="1">
      <c r="A1059" s="10">
        <v>36.0</v>
      </c>
      <c r="B1059" s="11" t="s">
        <v>60</v>
      </c>
      <c r="C1059" s="2" t="s">
        <v>61</v>
      </c>
      <c r="D1059" s="12">
        <v>45831.0</v>
      </c>
      <c r="E1059" s="13">
        <v>0.875</v>
      </c>
      <c r="F1059" s="5" t="str">
        <f>VLOOKUP(A1059,Jogos!A:N,10,0)</f>
        <v>Evening</v>
      </c>
      <c r="G1059" s="11" t="s">
        <v>249</v>
      </c>
      <c r="H1059" s="6" t="str">
        <f>VLOOKUP(A1059,Jogos!A:L,12,0)</f>
        <v>Open</v>
      </c>
      <c r="I1059" s="6" t="str">
        <f>VLOOKUP(G1059,'Estádios e Cidades'!A:B,2,0)</f>
        <v>East Rutherford</v>
      </c>
      <c r="J1059" s="11" t="s">
        <v>63</v>
      </c>
      <c r="K1059" s="2" t="str">
        <f>VLOOKUP(J1059,Equipes!A:F,6,0)</f>
        <v>Tropical</v>
      </c>
      <c r="L1059" s="2">
        <f>VLOOKUP(J1059,Equipes!A:C,3,0)</f>
        <v>25</v>
      </c>
      <c r="M1059" s="2" t="str">
        <f t="shared" si="4"/>
        <v>Group</v>
      </c>
      <c r="N1059" s="11" t="s">
        <v>251</v>
      </c>
      <c r="O1059" s="2">
        <f>VLOOKUP(N1059,Equipes!A:C,3,0)</f>
        <v>23</v>
      </c>
      <c r="P1059" s="2" t="str">
        <f t="shared" si="5"/>
        <v>Group</v>
      </c>
      <c r="Q1059" s="2">
        <f t="shared" si="6"/>
        <v>2</v>
      </c>
      <c r="R1059" s="2" t="str">
        <f>VLOOKUP(J1059,Equipes!A:B,2,0)</f>
        <v>AlAhly</v>
      </c>
      <c r="S1059" s="14" t="s">
        <v>1068</v>
      </c>
      <c r="T1059" s="7">
        <v>4.0</v>
      </c>
      <c r="U1059" s="7" t="s">
        <v>1069</v>
      </c>
      <c r="V1059" s="7" t="str">
        <f>VLOOKUP(U1059,Jogadores!B:C,2,0)</f>
        <v>DF</v>
      </c>
      <c r="W1059" s="8">
        <f>VLOOKUP(U1059,Jogadores!B:D,3,0)</f>
        <v>28.36712329</v>
      </c>
      <c r="X1059" s="7">
        <v>0.0</v>
      </c>
      <c r="Y1059" s="7">
        <f t="shared" si="3286"/>
        <v>96</v>
      </c>
      <c r="Z1059" s="7">
        <f>VLOOKUP(A1059,Jogos!A:L,3,0)</f>
        <v>51</v>
      </c>
      <c r="AA1059" s="7">
        <f t="shared" si="2229"/>
        <v>51</v>
      </c>
      <c r="AB1059" s="7">
        <f>VLOOKUP(A1059,Jogos!A:L,4,0)</f>
        <v>51</v>
      </c>
      <c r="AC1059" s="7">
        <f t="shared" si="2230"/>
        <v>51</v>
      </c>
      <c r="AD1059" s="7"/>
      <c r="AE1059" s="7"/>
      <c r="AF1059" s="7">
        <f t="shared" si="2231"/>
        <v>102</v>
      </c>
      <c r="AG1059" s="7">
        <v>9589.3</v>
      </c>
      <c r="AH1059" s="7">
        <v>4101.9</v>
      </c>
      <c r="AI1059" s="7">
        <v>4340.8</v>
      </c>
      <c r="AJ1059" s="7">
        <v>825.9</v>
      </c>
      <c r="AK1059" s="7">
        <v>229.3</v>
      </c>
      <c r="AL1059" s="7">
        <v>91.4</v>
      </c>
      <c r="AM1059" s="7">
        <v>84.0</v>
      </c>
      <c r="AN1059" s="7">
        <v>19.0</v>
      </c>
      <c r="AO1059" s="7">
        <v>29.3</v>
      </c>
      <c r="AP1059" s="9">
        <f t="shared" ref="AP1059:AR1059" si="3308">AG1059/$AF1059</f>
        <v>94.0127451</v>
      </c>
      <c r="AQ1059" s="9">
        <f t="shared" si="3308"/>
        <v>40.21470588</v>
      </c>
      <c r="AR1059" s="9">
        <f t="shared" si="3308"/>
        <v>42.55686275</v>
      </c>
      <c r="AS1059" s="9">
        <f t="shared" si="2233"/>
        <v>82.77156863</v>
      </c>
      <c r="AT1059" s="9">
        <f t="shared" ref="AT1059:AV1059" si="3309">AJ1059/$AF1059</f>
        <v>8.097058824</v>
      </c>
      <c r="AU1059" s="9">
        <f t="shared" si="3309"/>
        <v>2.248039216</v>
      </c>
      <c r="AV1059" s="9">
        <f t="shared" si="3309"/>
        <v>0.8960784314</v>
      </c>
      <c r="AW1059" s="9">
        <f t="shared" si="2235"/>
        <v>3.144117647</v>
      </c>
      <c r="AX1059" s="9">
        <f t="shared" ref="AX1059:AY1059" si="3310">AM1059/$AF1059</f>
        <v>0.8235294118</v>
      </c>
      <c r="AY1059" s="9">
        <f t="shared" si="3310"/>
        <v>0.1862745098</v>
      </c>
      <c r="AZ1059" s="9">
        <f>VLOOKUP(A1059,Jogos!A:BN,58,0)</f>
        <v>30.27</v>
      </c>
      <c r="BA1059" s="9">
        <f>VLOOKUP(A1059,Jogos!A:BN,59,0)</f>
        <v>25.63</v>
      </c>
      <c r="BB1059" s="9">
        <f>VLOOKUP(A1059,Jogos!A:BN,60,0)</f>
        <v>76</v>
      </c>
      <c r="BC1059" s="9">
        <f>VLOOKUP(A1059,Jogos!A:BN,61,0)</f>
        <v>30.805</v>
      </c>
      <c r="BD1059" s="9">
        <f>VLOOKUP(A1059,Jogos!A:BN,62,0)</f>
        <v>0</v>
      </c>
      <c r="BE1059" s="9">
        <f>VLOOKUP(A1059,Jogos!A:BN,63,0)</f>
        <v>1.53</v>
      </c>
      <c r="BF1059" s="9">
        <f>VLOOKUP(A1059,Jogos!A:BN,64,0)</f>
        <v>26.67</v>
      </c>
      <c r="BG1059" s="9">
        <f>VLOOKUP(A1059,Jogos!A:BN,65,0)</f>
        <v>46.42</v>
      </c>
      <c r="BH1059" s="9">
        <f>VLOOKUP(A1059,Jogos!A:BN,66,0)</f>
        <v>30.975</v>
      </c>
      <c r="BI1059" s="9"/>
      <c r="BJ1059" s="9"/>
    </row>
    <row r="1060" hidden="1">
      <c r="A1060" s="10">
        <v>36.0</v>
      </c>
      <c r="B1060" s="11" t="s">
        <v>60</v>
      </c>
      <c r="C1060" s="2" t="s">
        <v>61</v>
      </c>
      <c r="D1060" s="12">
        <v>45831.0</v>
      </c>
      <c r="E1060" s="13">
        <v>0.875</v>
      </c>
      <c r="F1060" s="5" t="str">
        <f>VLOOKUP(A1060,Jogos!A:N,10,0)</f>
        <v>Evening</v>
      </c>
      <c r="G1060" s="11" t="s">
        <v>249</v>
      </c>
      <c r="H1060" s="6" t="str">
        <f>VLOOKUP(A1060,Jogos!A:L,12,0)</f>
        <v>Open</v>
      </c>
      <c r="I1060" s="6" t="str">
        <f>VLOOKUP(G1060,'Estádios e Cidades'!A:B,2,0)</f>
        <v>East Rutherford</v>
      </c>
      <c r="J1060" s="11" t="s">
        <v>63</v>
      </c>
      <c r="K1060" s="2" t="str">
        <f>VLOOKUP(J1060,Equipes!A:F,6,0)</f>
        <v>Tropical</v>
      </c>
      <c r="L1060" s="2">
        <f>VLOOKUP(J1060,Equipes!A:C,3,0)</f>
        <v>25</v>
      </c>
      <c r="M1060" s="2" t="str">
        <f t="shared" si="4"/>
        <v>Group</v>
      </c>
      <c r="N1060" s="11" t="s">
        <v>251</v>
      </c>
      <c r="O1060" s="2">
        <f>VLOOKUP(N1060,Equipes!A:C,3,0)</f>
        <v>23</v>
      </c>
      <c r="P1060" s="2" t="str">
        <f t="shared" si="5"/>
        <v>Group</v>
      </c>
      <c r="Q1060" s="2">
        <f t="shared" si="6"/>
        <v>2</v>
      </c>
      <c r="R1060" s="2" t="str">
        <f>VLOOKUP(J1060,Equipes!A:B,2,0)</f>
        <v>AlAhly</v>
      </c>
      <c r="S1060" s="6" t="s">
        <v>65</v>
      </c>
      <c r="T1060" s="7">
        <v>5.0</v>
      </c>
      <c r="U1060" s="7" t="s">
        <v>66</v>
      </c>
      <c r="V1060" s="7" t="str">
        <f>VLOOKUP(U1060,Jogadores!B:C,2,0)</f>
        <v>MF</v>
      </c>
      <c r="W1060" s="8">
        <f>VLOOKUP(U1060,Jogadores!B:D,3,0)</f>
        <v>25.90958904</v>
      </c>
      <c r="X1060" s="7">
        <v>0.0</v>
      </c>
      <c r="Y1060" s="7">
        <v>87.0</v>
      </c>
      <c r="Z1060" s="7">
        <f>VLOOKUP(A1060,Jogos!A:L,3,0)</f>
        <v>51</v>
      </c>
      <c r="AA1060" s="7">
        <f t="shared" si="2229"/>
        <v>51</v>
      </c>
      <c r="AB1060" s="7">
        <f>VLOOKUP(A1060,Jogos!A:L,4,0)</f>
        <v>51</v>
      </c>
      <c r="AC1060" s="7">
        <f t="shared" si="2230"/>
        <v>42</v>
      </c>
      <c r="AD1060" s="7"/>
      <c r="AE1060" s="7"/>
      <c r="AF1060" s="7">
        <f t="shared" si="2231"/>
        <v>93</v>
      </c>
      <c r="AG1060" s="7">
        <v>10271.7</v>
      </c>
      <c r="AH1060" s="7">
        <v>3543.1</v>
      </c>
      <c r="AI1060" s="7">
        <v>4682.0</v>
      </c>
      <c r="AJ1060" s="7">
        <v>1412.1</v>
      </c>
      <c r="AK1060" s="7">
        <v>579.8</v>
      </c>
      <c r="AL1060" s="7">
        <v>54.7</v>
      </c>
      <c r="AM1060" s="7">
        <v>123.0</v>
      </c>
      <c r="AN1060" s="7">
        <v>40.0</v>
      </c>
      <c r="AO1060" s="7">
        <v>30.2</v>
      </c>
      <c r="AP1060" s="9">
        <f t="shared" ref="AP1060:AR1060" si="3311">AG1060/$AF1060</f>
        <v>110.4483871</v>
      </c>
      <c r="AQ1060" s="9">
        <f t="shared" si="3311"/>
        <v>38.09784946</v>
      </c>
      <c r="AR1060" s="9">
        <f t="shared" si="3311"/>
        <v>50.34408602</v>
      </c>
      <c r="AS1060" s="9">
        <f t="shared" si="2233"/>
        <v>88.44193548</v>
      </c>
      <c r="AT1060" s="9">
        <f t="shared" ref="AT1060:AV1060" si="3312">AJ1060/$AF1060</f>
        <v>15.18387097</v>
      </c>
      <c r="AU1060" s="9">
        <f t="shared" si="3312"/>
        <v>6.234408602</v>
      </c>
      <c r="AV1060" s="9">
        <f t="shared" si="3312"/>
        <v>0.588172043</v>
      </c>
      <c r="AW1060" s="9">
        <f t="shared" si="2235"/>
        <v>6.822580645</v>
      </c>
      <c r="AX1060" s="9">
        <f t="shared" ref="AX1060:AY1060" si="3313">AM1060/$AF1060</f>
        <v>1.322580645</v>
      </c>
      <c r="AY1060" s="9">
        <f t="shared" si="3313"/>
        <v>0.4301075269</v>
      </c>
      <c r="AZ1060" s="9">
        <f>VLOOKUP(A1060,Jogos!A:BN,58,0)</f>
        <v>30.27</v>
      </c>
      <c r="BA1060" s="9">
        <f>VLOOKUP(A1060,Jogos!A:BN,59,0)</f>
        <v>25.63</v>
      </c>
      <c r="BB1060" s="9">
        <f>VLOOKUP(A1060,Jogos!A:BN,60,0)</f>
        <v>76</v>
      </c>
      <c r="BC1060" s="9">
        <f>VLOOKUP(A1060,Jogos!A:BN,61,0)</f>
        <v>30.805</v>
      </c>
      <c r="BD1060" s="9">
        <f>VLOOKUP(A1060,Jogos!A:BN,62,0)</f>
        <v>0</v>
      </c>
      <c r="BE1060" s="9">
        <f>VLOOKUP(A1060,Jogos!A:BN,63,0)</f>
        <v>1.53</v>
      </c>
      <c r="BF1060" s="9">
        <f>VLOOKUP(A1060,Jogos!A:BN,64,0)</f>
        <v>26.67</v>
      </c>
      <c r="BG1060" s="9">
        <f>VLOOKUP(A1060,Jogos!A:BN,65,0)</f>
        <v>46.42</v>
      </c>
      <c r="BH1060" s="9">
        <f>VLOOKUP(A1060,Jogos!A:BN,66,0)</f>
        <v>30.975</v>
      </c>
      <c r="BI1060" s="9"/>
      <c r="BJ1060" s="9"/>
    </row>
    <row r="1061" hidden="1">
      <c r="A1061" s="10">
        <v>36.0</v>
      </c>
      <c r="B1061" s="11" t="s">
        <v>60</v>
      </c>
      <c r="C1061" s="2" t="s">
        <v>61</v>
      </c>
      <c r="D1061" s="12">
        <v>45831.0</v>
      </c>
      <c r="E1061" s="13">
        <v>0.875</v>
      </c>
      <c r="F1061" s="5" t="str">
        <f>VLOOKUP(A1061,Jogos!A:N,10,0)</f>
        <v>Evening</v>
      </c>
      <c r="G1061" s="11" t="s">
        <v>249</v>
      </c>
      <c r="H1061" s="6" t="str">
        <f>VLOOKUP(A1061,Jogos!A:L,12,0)</f>
        <v>Open</v>
      </c>
      <c r="I1061" s="6" t="str">
        <f>VLOOKUP(G1061,'Estádios e Cidades'!A:B,2,0)</f>
        <v>East Rutherford</v>
      </c>
      <c r="J1061" s="11" t="s">
        <v>63</v>
      </c>
      <c r="K1061" s="2" t="str">
        <f>VLOOKUP(J1061,Equipes!A:F,6,0)</f>
        <v>Tropical</v>
      </c>
      <c r="L1061" s="2">
        <f>VLOOKUP(J1061,Equipes!A:C,3,0)</f>
        <v>25</v>
      </c>
      <c r="M1061" s="2" t="str">
        <f t="shared" si="4"/>
        <v>Group</v>
      </c>
      <c r="N1061" s="11" t="s">
        <v>251</v>
      </c>
      <c r="O1061" s="2">
        <f>VLOOKUP(N1061,Equipes!A:C,3,0)</f>
        <v>23</v>
      </c>
      <c r="P1061" s="2" t="str">
        <f t="shared" si="5"/>
        <v>Group</v>
      </c>
      <c r="Q1061" s="2">
        <f t="shared" si="6"/>
        <v>2</v>
      </c>
      <c r="R1061" s="2" t="str">
        <f>VLOOKUP(J1061,Equipes!A:B,2,0)</f>
        <v>AlAhly</v>
      </c>
      <c r="S1061" s="6" t="s">
        <v>69</v>
      </c>
      <c r="T1061" s="7">
        <v>7.0</v>
      </c>
      <c r="U1061" s="7" t="s">
        <v>70</v>
      </c>
      <c r="V1061" s="7" t="str">
        <f>VLOOKUP(U1061,Jogadores!B:C,2,0)</f>
        <v>MF</v>
      </c>
      <c r="W1061" s="8">
        <f>VLOOKUP(U1061,Jogadores!B:D,3,0)</f>
        <v>30.84383562</v>
      </c>
      <c r="X1061" s="7">
        <v>0.0</v>
      </c>
      <c r="Y1061" s="7">
        <v>59.0</v>
      </c>
      <c r="Z1061" s="7">
        <f>VLOOKUP(A1061,Jogos!A:L,3,0)</f>
        <v>51</v>
      </c>
      <c r="AA1061" s="7">
        <f t="shared" si="2229"/>
        <v>51</v>
      </c>
      <c r="AB1061" s="7">
        <f>VLOOKUP(A1061,Jogos!A:L,4,0)</f>
        <v>51</v>
      </c>
      <c r="AC1061" s="7">
        <f t="shared" si="2230"/>
        <v>14</v>
      </c>
      <c r="AD1061" s="7"/>
      <c r="AE1061" s="7"/>
      <c r="AF1061" s="7">
        <f t="shared" si="2231"/>
        <v>65</v>
      </c>
      <c r="AG1061" s="7">
        <v>6859.1</v>
      </c>
      <c r="AH1061" s="7">
        <v>3147.1</v>
      </c>
      <c r="AI1061" s="7">
        <v>2061.3</v>
      </c>
      <c r="AJ1061" s="7">
        <v>909.0</v>
      </c>
      <c r="AK1061" s="7">
        <v>488.4</v>
      </c>
      <c r="AL1061" s="7">
        <v>253.2</v>
      </c>
      <c r="AM1061" s="7">
        <v>81.0</v>
      </c>
      <c r="AN1061" s="7">
        <v>47.0</v>
      </c>
      <c r="AO1061" s="7">
        <v>32.5</v>
      </c>
      <c r="AP1061" s="9">
        <f t="shared" ref="AP1061:AR1061" si="3314">AG1061/$AF1061</f>
        <v>105.5246154</v>
      </c>
      <c r="AQ1061" s="9">
        <f t="shared" si="3314"/>
        <v>48.41692308</v>
      </c>
      <c r="AR1061" s="9">
        <f t="shared" si="3314"/>
        <v>31.71230769</v>
      </c>
      <c r="AS1061" s="9">
        <f t="shared" si="2233"/>
        <v>80.12923077</v>
      </c>
      <c r="AT1061" s="9">
        <f t="shared" ref="AT1061:AV1061" si="3315">AJ1061/$AF1061</f>
        <v>13.98461538</v>
      </c>
      <c r="AU1061" s="9">
        <f t="shared" si="3315"/>
        <v>7.513846154</v>
      </c>
      <c r="AV1061" s="9">
        <f t="shared" si="3315"/>
        <v>3.895384615</v>
      </c>
      <c r="AW1061" s="9">
        <f t="shared" si="2235"/>
        <v>11.40923077</v>
      </c>
      <c r="AX1061" s="9">
        <f t="shared" ref="AX1061:AY1061" si="3316">AM1061/$AF1061</f>
        <v>1.246153846</v>
      </c>
      <c r="AY1061" s="9">
        <f t="shared" si="3316"/>
        <v>0.7230769231</v>
      </c>
      <c r="AZ1061" s="9">
        <f>VLOOKUP(A1061,Jogos!A:BN,58,0)</f>
        <v>30.27</v>
      </c>
      <c r="BA1061" s="9">
        <f>VLOOKUP(A1061,Jogos!A:BN,59,0)</f>
        <v>25.63</v>
      </c>
      <c r="BB1061" s="9">
        <f>VLOOKUP(A1061,Jogos!A:BN,60,0)</f>
        <v>76</v>
      </c>
      <c r="BC1061" s="9">
        <f>VLOOKUP(A1061,Jogos!A:BN,61,0)</f>
        <v>30.805</v>
      </c>
      <c r="BD1061" s="9">
        <f>VLOOKUP(A1061,Jogos!A:BN,62,0)</f>
        <v>0</v>
      </c>
      <c r="BE1061" s="9">
        <f>VLOOKUP(A1061,Jogos!A:BN,63,0)</f>
        <v>1.53</v>
      </c>
      <c r="BF1061" s="9">
        <f>VLOOKUP(A1061,Jogos!A:BN,64,0)</f>
        <v>26.67</v>
      </c>
      <c r="BG1061" s="9">
        <f>VLOOKUP(A1061,Jogos!A:BN,65,0)</f>
        <v>46.42</v>
      </c>
      <c r="BH1061" s="9">
        <f>VLOOKUP(A1061,Jogos!A:BN,66,0)</f>
        <v>30.975</v>
      </c>
      <c r="BI1061" s="9"/>
      <c r="BJ1061" s="9"/>
    </row>
    <row r="1062" hidden="1">
      <c r="A1062" s="10">
        <v>36.0</v>
      </c>
      <c r="B1062" s="11" t="s">
        <v>60</v>
      </c>
      <c r="C1062" s="2" t="s">
        <v>61</v>
      </c>
      <c r="D1062" s="12">
        <v>45831.0</v>
      </c>
      <c r="E1062" s="13">
        <v>0.875</v>
      </c>
      <c r="F1062" s="5" t="str">
        <f>VLOOKUP(A1062,Jogos!A:N,10,0)</f>
        <v>Evening</v>
      </c>
      <c r="G1062" s="11" t="s">
        <v>249</v>
      </c>
      <c r="H1062" s="6" t="str">
        <f>VLOOKUP(A1062,Jogos!A:L,12,0)</f>
        <v>Open</v>
      </c>
      <c r="I1062" s="6" t="str">
        <f>VLOOKUP(G1062,'Estádios e Cidades'!A:B,2,0)</f>
        <v>East Rutherford</v>
      </c>
      <c r="J1062" s="11" t="s">
        <v>63</v>
      </c>
      <c r="K1062" s="2" t="str">
        <f>VLOOKUP(J1062,Equipes!A:F,6,0)</f>
        <v>Tropical</v>
      </c>
      <c r="L1062" s="2">
        <f>VLOOKUP(J1062,Equipes!A:C,3,0)</f>
        <v>25</v>
      </c>
      <c r="M1062" s="2" t="str">
        <f t="shared" si="4"/>
        <v>Group</v>
      </c>
      <c r="N1062" s="11" t="s">
        <v>251</v>
      </c>
      <c r="O1062" s="2">
        <f>VLOOKUP(N1062,Equipes!A:C,3,0)</f>
        <v>23</v>
      </c>
      <c r="P1062" s="2" t="str">
        <f t="shared" si="5"/>
        <v>Group</v>
      </c>
      <c r="Q1062" s="2">
        <f t="shared" si="6"/>
        <v>2</v>
      </c>
      <c r="R1062" s="2" t="str">
        <f>VLOOKUP(J1062,Equipes!A:B,2,0)</f>
        <v>AlAhly</v>
      </c>
      <c r="S1062" s="6" t="s">
        <v>71</v>
      </c>
      <c r="T1062" s="7">
        <v>8.0</v>
      </c>
      <c r="U1062" s="7" t="s">
        <v>72</v>
      </c>
      <c r="V1062" s="7" t="str">
        <f>VLOOKUP(U1062,Jogadores!B:C,2,0)</f>
        <v>MF</v>
      </c>
      <c r="W1062" s="8">
        <f>VLOOKUP(U1062,Jogadores!B:D,3,0)</f>
        <v>30.84931507</v>
      </c>
      <c r="X1062" s="7">
        <v>0.0</v>
      </c>
      <c r="Y1062" s="7">
        <v>35.0</v>
      </c>
      <c r="Z1062" s="7">
        <f>VLOOKUP(A1062,Jogos!A:L,3,0)</f>
        <v>51</v>
      </c>
      <c r="AA1062" s="7">
        <f t="shared" si="2229"/>
        <v>35</v>
      </c>
      <c r="AB1062" s="7">
        <f>VLOOKUP(A1062,Jogos!A:L,4,0)</f>
        <v>51</v>
      </c>
      <c r="AC1062" s="7">
        <f t="shared" si="2230"/>
        <v>0</v>
      </c>
      <c r="AD1062" s="7"/>
      <c r="AE1062" s="7"/>
      <c r="AF1062" s="7">
        <f t="shared" si="2231"/>
        <v>35</v>
      </c>
      <c r="AG1062" s="7">
        <v>3810.8</v>
      </c>
      <c r="AH1062" s="7">
        <v>1253.0</v>
      </c>
      <c r="AI1062" s="7">
        <v>1778.8</v>
      </c>
      <c r="AJ1062" s="7">
        <v>660.6</v>
      </c>
      <c r="AK1062" s="7">
        <v>104.4</v>
      </c>
      <c r="AL1062" s="7">
        <v>14.1</v>
      </c>
      <c r="AM1062" s="7">
        <v>55.0</v>
      </c>
      <c r="AN1062" s="7">
        <v>8.0</v>
      </c>
      <c r="AO1062" s="7">
        <v>26.8</v>
      </c>
      <c r="AP1062" s="9">
        <f t="shared" ref="AP1062:AR1062" si="3317">AG1062/$AF1062</f>
        <v>108.88</v>
      </c>
      <c r="AQ1062" s="9">
        <f t="shared" si="3317"/>
        <v>35.8</v>
      </c>
      <c r="AR1062" s="9">
        <f t="shared" si="3317"/>
        <v>50.82285714</v>
      </c>
      <c r="AS1062" s="9">
        <f t="shared" si="2233"/>
        <v>86.62285714</v>
      </c>
      <c r="AT1062" s="9">
        <f t="shared" ref="AT1062:AV1062" si="3318">AJ1062/$AF1062</f>
        <v>18.87428571</v>
      </c>
      <c r="AU1062" s="9">
        <f t="shared" si="3318"/>
        <v>2.982857143</v>
      </c>
      <c r="AV1062" s="9">
        <f t="shared" si="3318"/>
        <v>0.4028571429</v>
      </c>
      <c r="AW1062" s="9">
        <f t="shared" si="2235"/>
        <v>3.385714286</v>
      </c>
      <c r="AX1062" s="9">
        <f t="shared" ref="AX1062:AY1062" si="3319">AM1062/$AF1062</f>
        <v>1.571428571</v>
      </c>
      <c r="AY1062" s="9">
        <f t="shared" si="3319"/>
        <v>0.2285714286</v>
      </c>
      <c r="AZ1062" s="9">
        <f>VLOOKUP(A1062,Jogos!A:BN,58,0)</f>
        <v>30.27</v>
      </c>
      <c r="BA1062" s="9">
        <f>VLOOKUP(A1062,Jogos!A:BN,59,0)</f>
        <v>25.63</v>
      </c>
      <c r="BB1062" s="9">
        <f>VLOOKUP(A1062,Jogos!A:BN,60,0)</f>
        <v>76</v>
      </c>
      <c r="BC1062" s="9">
        <f>VLOOKUP(A1062,Jogos!A:BN,61,0)</f>
        <v>30.805</v>
      </c>
      <c r="BD1062" s="9">
        <f>VLOOKUP(A1062,Jogos!A:BN,62,0)</f>
        <v>0</v>
      </c>
      <c r="BE1062" s="9">
        <f>VLOOKUP(A1062,Jogos!A:BN,63,0)</f>
        <v>1.53</v>
      </c>
      <c r="BF1062" s="9">
        <f>VLOOKUP(A1062,Jogos!A:BN,64,0)</f>
        <v>26.67</v>
      </c>
      <c r="BG1062" s="9">
        <f>VLOOKUP(A1062,Jogos!A:BN,65,0)</f>
        <v>46.42</v>
      </c>
      <c r="BH1062" s="9">
        <f>VLOOKUP(A1062,Jogos!A:BN,66,0)</f>
        <v>30.975</v>
      </c>
      <c r="BI1062" s="9"/>
      <c r="BJ1062" s="9"/>
    </row>
    <row r="1063" hidden="1">
      <c r="A1063" s="10">
        <v>36.0</v>
      </c>
      <c r="B1063" s="11" t="s">
        <v>60</v>
      </c>
      <c r="C1063" s="2" t="s">
        <v>61</v>
      </c>
      <c r="D1063" s="12">
        <v>45831.0</v>
      </c>
      <c r="E1063" s="13">
        <v>0.875</v>
      </c>
      <c r="F1063" s="5" t="str">
        <f>VLOOKUP(A1063,Jogos!A:N,10,0)</f>
        <v>Evening</v>
      </c>
      <c r="G1063" s="11" t="s">
        <v>249</v>
      </c>
      <c r="H1063" s="6" t="str">
        <f>VLOOKUP(A1063,Jogos!A:L,12,0)</f>
        <v>Open</v>
      </c>
      <c r="I1063" s="6" t="str">
        <f>VLOOKUP(G1063,'Estádios e Cidades'!A:B,2,0)</f>
        <v>East Rutherford</v>
      </c>
      <c r="J1063" s="11" t="s">
        <v>63</v>
      </c>
      <c r="K1063" s="2" t="str">
        <f>VLOOKUP(J1063,Equipes!A:F,6,0)</f>
        <v>Tropical</v>
      </c>
      <c r="L1063" s="2">
        <f>VLOOKUP(J1063,Equipes!A:C,3,0)</f>
        <v>25</v>
      </c>
      <c r="M1063" s="2" t="str">
        <f t="shared" si="4"/>
        <v>Group</v>
      </c>
      <c r="N1063" s="11" t="s">
        <v>251</v>
      </c>
      <c r="O1063" s="2">
        <f>VLOOKUP(N1063,Equipes!A:C,3,0)</f>
        <v>23</v>
      </c>
      <c r="P1063" s="2" t="str">
        <f t="shared" si="5"/>
        <v>Group</v>
      </c>
      <c r="Q1063" s="2">
        <f t="shared" si="6"/>
        <v>2</v>
      </c>
      <c r="R1063" s="2" t="str">
        <f>VLOOKUP(J1063,Equipes!A:B,2,0)</f>
        <v>AlAhly</v>
      </c>
      <c r="S1063" s="6" t="s">
        <v>73</v>
      </c>
      <c r="T1063" s="7">
        <v>9.0</v>
      </c>
      <c r="U1063" s="7" t="s">
        <v>74</v>
      </c>
      <c r="V1063" s="7" t="str">
        <f>VLOOKUP(U1063,Jogadores!B:C,2,0)</f>
        <v>FW</v>
      </c>
      <c r="W1063" s="8">
        <f>VLOOKUP(U1063,Jogadores!B:D,3,0)</f>
        <v>26.58082192</v>
      </c>
      <c r="X1063" s="7">
        <v>0.0</v>
      </c>
      <c r="Y1063" s="7">
        <v>58.0</v>
      </c>
      <c r="Z1063" s="7">
        <f>VLOOKUP(A1063,Jogos!A:L,3,0)</f>
        <v>51</v>
      </c>
      <c r="AA1063" s="7">
        <f t="shared" si="2229"/>
        <v>51</v>
      </c>
      <c r="AB1063" s="7">
        <f>VLOOKUP(A1063,Jogos!A:L,4,0)</f>
        <v>51</v>
      </c>
      <c r="AC1063" s="7">
        <f t="shared" si="2230"/>
        <v>13</v>
      </c>
      <c r="AD1063" s="7"/>
      <c r="AE1063" s="7"/>
      <c r="AF1063" s="7">
        <f t="shared" si="2231"/>
        <v>64</v>
      </c>
      <c r="AG1063" s="7">
        <v>6332.1</v>
      </c>
      <c r="AH1063" s="7">
        <v>2525.6</v>
      </c>
      <c r="AI1063" s="7">
        <v>1880.8</v>
      </c>
      <c r="AJ1063" s="7">
        <v>1177.4</v>
      </c>
      <c r="AK1063" s="7">
        <v>445.0</v>
      </c>
      <c r="AL1063" s="7">
        <v>303.2</v>
      </c>
      <c r="AM1063" s="7">
        <v>101.0</v>
      </c>
      <c r="AN1063" s="7">
        <v>38.0</v>
      </c>
      <c r="AO1063" s="7">
        <v>32.2</v>
      </c>
      <c r="AP1063" s="9">
        <f t="shared" ref="AP1063:AR1063" si="3320">AG1063/$AF1063</f>
        <v>98.9390625</v>
      </c>
      <c r="AQ1063" s="9">
        <f t="shared" si="3320"/>
        <v>39.4625</v>
      </c>
      <c r="AR1063" s="9">
        <f t="shared" si="3320"/>
        <v>29.3875</v>
      </c>
      <c r="AS1063" s="9">
        <f t="shared" si="2233"/>
        <v>68.85</v>
      </c>
      <c r="AT1063" s="9">
        <f t="shared" ref="AT1063:AV1063" si="3321">AJ1063/$AF1063</f>
        <v>18.396875</v>
      </c>
      <c r="AU1063" s="9">
        <f t="shared" si="3321"/>
        <v>6.953125</v>
      </c>
      <c r="AV1063" s="9">
        <f t="shared" si="3321"/>
        <v>4.7375</v>
      </c>
      <c r="AW1063" s="9">
        <f t="shared" si="2235"/>
        <v>11.690625</v>
      </c>
      <c r="AX1063" s="9">
        <f t="shared" ref="AX1063:AY1063" si="3322">AM1063/$AF1063</f>
        <v>1.578125</v>
      </c>
      <c r="AY1063" s="9">
        <f t="shared" si="3322"/>
        <v>0.59375</v>
      </c>
      <c r="AZ1063" s="9">
        <f>VLOOKUP(A1063,Jogos!A:BN,58,0)</f>
        <v>30.27</v>
      </c>
      <c r="BA1063" s="9">
        <f>VLOOKUP(A1063,Jogos!A:BN,59,0)</f>
        <v>25.63</v>
      </c>
      <c r="BB1063" s="9">
        <f>VLOOKUP(A1063,Jogos!A:BN,60,0)</f>
        <v>76</v>
      </c>
      <c r="BC1063" s="9">
        <f>VLOOKUP(A1063,Jogos!A:BN,61,0)</f>
        <v>30.805</v>
      </c>
      <c r="BD1063" s="9">
        <f>VLOOKUP(A1063,Jogos!A:BN,62,0)</f>
        <v>0</v>
      </c>
      <c r="BE1063" s="9">
        <f>VLOOKUP(A1063,Jogos!A:BN,63,0)</f>
        <v>1.53</v>
      </c>
      <c r="BF1063" s="9">
        <f>VLOOKUP(A1063,Jogos!A:BN,64,0)</f>
        <v>26.67</v>
      </c>
      <c r="BG1063" s="9">
        <f>VLOOKUP(A1063,Jogos!A:BN,65,0)</f>
        <v>46.42</v>
      </c>
      <c r="BH1063" s="9">
        <f>VLOOKUP(A1063,Jogos!A:BN,66,0)</f>
        <v>30.975</v>
      </c>
      <c r="BI1063" s="9"/>
      <c r="BJ1063" s="9"/>
    </row>
    <row r="1064" hidden="1">
      <c r="A1064" s="10">
        <v>36.0</v>
      </c>
      <c r="B1064" s="11" t="s">
        <v>60</v>
      </c>
      <c r="C1064" s="2" t="s">
        <v>61</v>
      </c>
      <c r="D1064" s="12">
        <v>45831.0</v>
      </c>
      <c r="E1064" s="13">
        <v>0.875</v>
      </c>
      <c r="F1064" s="5" t="str">
        <f>VLOOKUP(A1064,Jogos!A:N,10,0)</f>
        <v>Evening</v>
      </c>
      <c r="G1064" s="11" t="s">
        <v>249</v>
      </c>
      <c r="H1064" s="6" t="str">
        <f>VLOOKUP(A1064,Jogos!A:L,12,0)</f>
        <v>Open</v>
      </c>
      <c r="I1064" s="6" t="str">
        <f>VLOOKUP(G1064,'Estádios e Cidades'!A:B,2,0)</f>
        <v>East Rutherford</v>
      </c>
      <c r="J1064" s="11" t="s">
        <v>63</v>
      </c>
      <c r="K1064" s="2" t="str">
        <f>VLOOKUP(J1064,Equipes!A:F,6,0)</f>
        <v>Tropical</v>
      </c>
      <c r="L1064" s="2">
        <f>VLOOKUP(J1064,Equipes!A:C,3,0)</f>
        <v>25</v>
      </c>
      <c r="M1064" s="2" t="str">
        <f t="shared" si="4"/>
        <v>Group</v>
      </c>
      <c r="N1064" s="11" t="s">
        <v>251</v>
      </c>
      <c r="O1064" s="2">
        <f>VLOOKUP(N1064,Equipes!A:C,3,0)</f>
        <v>23</v>
      </c>
      <c r="P1064" s="2" t="str">
        <f t="shared" si="5"/>
        <v>Group</v>
      </c>
      <c r="Q1064" s="2">
        <f t="shared" si="6"/>
        <v>2</v>
      </c>
      <c r="R1064" s="2" t="str">
        <f>VLOOKUP(J1064,Equipes!A:B,2,0)</f>
        <v>AlAhly</v>
      </c>
      <c r="S1064" s="6" t="s">
        <v>87</v>
      </c>
      <c r="T1064" s="7">
        <v>14.0</v>
      </c>
      <c r="U1064" s="7" t="s">
        <v>88</v>
      </c>
      <c r="V1064" s="7" t="str">
        <f>VLOOKUP(U1064,Jogadores!B:C,2,0)</f>
        <v>MF</v>
      </c>
      <c r="W1064" s="8">
        <f>VLOOKUP(U1064,Jogadores!B:D,3,0)</f>
        <v>33.12328767</v>
      </c>
      <c r="X1064" s="7">
        <v>0.0</v>
      </c>
      <c r="Y1064" s="7">
        <v>59.0</v>
      </c>
      <c r="Z1064" s="7">
        <f>VLOOKUP(A1064,Jogos!A:L,3,0)</f>
        <v>51</v>
      </c>
      <c r="AA1064" s="7">
        <f t="shared" si="2229"/>
        <v>51</v>
      </c>
      <c r="AB1064" s="7">
        <f>VLOOKUP(A1064,Jogos!A:L,4,0)</f>
        <v>51</v>
      </c>
      <c r="AC1064" s="7">
        <f t="shared" si="2230"/>
        <v>14</v>
      </c>
      <c r="AD1064" s="7"/>
      <c r="AE1064" s="7"/>
      <c r="AF1064" s="7">
        <f t="shared" si="2231"/>
        <v>65</v>
      </c>
      <c r="AG1064" s="7">
        <v>6714.6</v>
      </c>
      <c r="AH1064" s="7">
        <v>2801.9</v>
      </c>
      <c r="AI1064" s="7">
        <v>2222.5</v>
      </c>
      <c r="AJ1064" s="7">
        <v>987.7</v>
      </c>
      <c r="AK1064" s="7">
        <v>653.1</v>
      </c>
      <c r="AL1064" s="7">
        <v>49.3</v>
      </c>
      <c r="AM1064" s="7">
        <v>100.0</v>
      </c>
      <c r="AN1064" s="7">
        <v>43.0</v>
      </c>
      <c r="AO1064" s="7">
        <v>27.4</v>
      </c>
      <c r="AP1064" s="9">
        <f t="shared" ref="AP1064:AR1064" si="3323">AG1064/$AF1064</f>
        <v>103.3015385</v>
      </c>
      <c r="AQ1064" s="9">
        <f t="shared" si="3323"/>
        <v>43.10615385</v>
      </c>
      <c r="AR1064" s="9">
        <f t="shared" si="3323"/>
        <v>34.19230769</v>
      </c>
      <c r="AS1064" s="9">
        <f t="shared" si="2233"/>
        <v>77.29846154</v>
      </c>
      <c r="AT1064" s="9">
        <f t="shared" ref="AT1064:AV1064" si="3324">AJ1064/$AF1064</f>
        <v>15.19538462</v>
      </c>
      <c r="AU1064" s="9">
        <f t="shared" si="3324"/>
        <v>10.04769231</v>
      </c>
      <c r="AV1064" s="9">
        <f t="shared" si="3324"/>
        <v>0.7584615385</v>
      </c>
      <c r="AW1064" s="9">
        <f t="shared" si="2235"/>
        <v>10.80615385</v>
      </c>
      <c r="AX1064" s="9">
        <f t="shared" ref="AX1064:AY1064" si="3325">AM1064/$AF1064</f>
        <v>1.538461538</v>
      </c>
      <c r="AY1064" s="9">
        <f t="shared" si="3325"/>
        <v>0.6615384615</v>
      </c>
      <c r="AZ1064" s="9">
        <f>VLOOKUP(A1064,Jogos!A:BN,58,0)</f>
        <v>30.27</v>
      </c>
      <c r="BA1064" s="9">
        <f>VLOOKUP(A1064,Jogos!A:BN,59,0)</f>
        <v>25.63</v>
      </c>
      <c r="BB1064" s="9">
        <f>VLOOKUP(A1064,Jogos!A:BN,60,0)</f>
        <v>76</v>
      </c>
      <c r="BC1064" s="9">
        <f>VLOOKUP(A1064,Jogos!A:BN,61,0)</f>
        <v>30.805</v>
      </c>
      <c r="BD1064" s="9">
        <f>VLOOKUP(A1064,Jogos!A:BN,62,0)</f>
        <v>0</v>
      </c>
      <c r="BE1064" s="9">
        <f>VLOOKUP(A1064,Jogos!A:BN,63,0)</f>
        <v>1.53</v>
      </c>
      <c r="BF1064" s="9">
        <f>VLOOKUP(A1064,Jogos!A:BN,64,0)</f>
        <v>26.67</v>
      </c>
      <c r="BG1064" s="9">
        <f>VLOOKUP(A1064,Jogos!A:BN,65,0)</f>
        <v>46.42</v>
      </c>
      <c r="BH1064" s="9">
        <f>VLOOKUP(A1064,Jogos!A:BN,66,0)</f>
        <v>30.975</v>
      </c>
      <c r="BI1064" s="9"/>
      <c r="BJ1064" s="9"/>
    </row>
    <row r="1065" hidden="1">
      <c r="A1065" s="10">
        <v>36.0</v>
      </c>
      <c r="B1065" s="11" t="s">
        <v>60</v>
      </c>
      <c r="C1065" s="2" t="s">
        <v>61</v>
      </c>
      <c r="D1065" s="12">
        <v>45831.0</v>
      </c>
      <c r="E1065" s="13">
        <v>0.875</v>
      </c>
      <c r="F1065" s="5" t="str">
        <f>VLOOKUP(A1065,Jogos!A:N,10,0)</f>
        <v>Evening</v>
      </c>
      <c r="G1065" s="11" t="s">
        <v>249</v>
      </c>
      <c r="H1065" s="6" t="str">
        <f>VLOOKUP(A1065,Jogos!A:L,12,0)</f>
        <v>Open</v>
      </c>
      <c r="I1065" s="6" t="str">
        <f>VLOOKUP(G1065,'Estádios e Cidades'!A:B,2,0)</f>
        <v>East Rutherford</v>
      </c>
      <c r="J1065" s="11" t="s">
        <v>63</v>
      </c>
      <c r="K1065" s="2" t="str">
        <f>VLOOKUP(J1065,Equipes!A:F,6,0)</f>
        <v>Tropical</v>
      </c>
      <c r="L1065" s="2">
        <f>VLOOKUP(J1065,Equipes!A:C,3,0)</f>
        <v>25</v>
      </c>
      <c r="M1065" s="2" t="str">
        <f t="shared" si="4"/>
        <v>Group</v>
      </c>
      <c r="N1065" s="11" t="s">
        <v>251</v>
      </c>
      <c r="O1065" s="2">
        <f>VLOOKUP(N1065,Equipes!A:C,3,0)</f>
        <v>23</v>
      </c>
      <c r="P1065" s="2" t="str">
        <f t="shared" si="5"/>
        <v>Group</v>
      </c>
      <c r="Q1065" s="2">
        <f t="shared" si="6"/>
        <v>2</v>
      </c>
      <c r="R1065" s="2" t="str">
        <f>VLOOKUP(J1065,Equipes!A:B,2,0)</f>
        <v>AlAhly</v>
      </c>
      <c r="S1065" s="6" t="s">
        <v>77</v>
      </c>
      <c r="T1065" s="7">
        <v>15.0</v>
      </c>
      <c r="U1065" s="7" t="s">
        <v>78</v>
      </c>
      <c r="V1065" s="7" t="str">
        <f>VLOOKUP(U1065,Jogadores!B:C,2,0)</f>
        <v>DF</v>
      </c>
      <c r="W1065" s="8">
        <f>VLOOKUP(U1065,Jogadores!B:D,3,0)</f>
        <v>26.24657534</v>
      </c>
      <c r="X1065" s="7">
        <v>0.0</v>
      </c>
      <c r="Y1065" s="7">
        <f t="shared" ref="Y1065:Y1078" si="3329">45+AB1065</f>
        <v>96</v>
      </c>
      <c r="Z1065" s="7">
        <f>VLOOKUP(A1065,Jogos!A:L,3,0)</f>
        <v>51</v>
      </c>
      <c r="AA1065" s="7">
        <f t="shared" si="2229"/>
        <v>51</v>
      </c>
      <c r="AB1065" s="7">
        <f>VLOOKUP(A1065,Jogos!A:L,4,0)</f>
        <v>51</v>
      </c>
      <c r="AC1065" s="7">
        <f t="shared" si="2230"/>
        <v>51</v>
      </c>
      <c r="AD1065" s="7"/>
      <c r="AE1065" s="7"/>
      <c r="AF1065" s="7">
        <f t="shared" si="2231"/>
        <v>102</v>
      </c>
      <c r="AG1065" s="7">
        <v>9368.9</v>
      </c>
      <c r="AH1065" s="7">
        <v>4185.9</v>
      </c>
      <c r="AI1065" s="7">
        <v>4059.3</v>
      </c>
      <c r="AJ1065" s="7">
        <v>853.8</v>
      </c>
      <c r="AK1065" s="7">
        <v>231.9</v>
      </c>
      <c r="AL1065" s="7">
        <v>38.1</v>
      </c>
      <c r="AM1065" s="7">
        <v>79.0</v>
      </c>
      <c r="AN1065" s="7">
        <v>21.0</v>
      </c>
      <c r="AO1065" s="7">
        <v>32.6</v>
      </c>
      <c r="AP1065" s="9">
        <f t="shared" ref="AP1065:AR1065" si="3326">AG1065/$AF1065</f>
        <v>91.85196078</v>
      </c>
      <c r="AQ1065" s="9">
        <f t="shared" si="3326"/>
        <v>41.03823529</v>
      </c>
      <c r="AR1065" s="9">
        <f t="shared" si="3326"/>
        <v>39.79705882</v>
      </c>
      <c r="AS1065" s="9">
        <f t="shared" si="2233"/>
        <v>80.83529412</v>
      </c>
      <c r="AT1065" s="9">
        <f t="shared" ref="AT1065:AV1065" si="3327">AJ1065/$AF1065</f>
        <v>8.370588235</v>
      </c>
      <c r="AU1065" s="9">
        <f t="shared" si="3327"/>
        <v>2.273529412</v>
      </c>
      <c r="AV1065" s="9">
        <f t="shared" si="3327"/>
        <v>0.3735294118</v>
      </c>
      <c r="AW1065" s="9">
        <f t="shared" si="2235"/>
        <v>2.647058824</v>
      </c>
      <c r="AX1065" s="9">
        <f t="shared" ref="AX1065:AY1065" si="3328">AM1065/$AF1065</f>
        <v>0.7745098039</v>
      </c>
      <c r="AY1065" s="9">
        <f t="shared" si="3328"/>
        <v>0.2058823529</v>
      </c>
      <c r="AZ1065" s="9">
        <f>VLOOKUP(A1065,Jogos!A:BN,58,0)</f>
        <v>30.27</v>
      </c>
      <c r="BA1065" s="9">
        <f>VLOOKUP(A1065,Jogos!A:BN,59,0)</f>
        <v>25.63</v>
      </c>
      <c r="BB1065" s="9">
        <f>VLOOKUP(A1065,Jogos!A:BN,60,0)</f>
        <v>76</v>
      </c>
      <c r="BC1065" s="9">
        <f>VLOOKUP(A1065,Jogos!A:BN,61,0)</f>
        <v>30.805</v>
      </c>
      <c r="BD1065" s="9">
        <f>VLOOKUP(A1065,Jogos!A:BN,62,0)</f>
        <v>0</v>
      </c>
      <c r="BE1065" s="9">
        <f>VLOOKUP(A1065,Jogos!A:BN,63,0)</f>
        <v>1.53</v>
      </c>
      <c r="BF1065" s="9">
        <f>VLOOKUP(A1065,Jogos!A:BN,64,0)</f>
        <v>26.67</v>
      </c>
      <c r="BG1065" s="9">
        <f>VLOOKUP(A1065,Jogos!A:BN,65,0)</f>
        <v>46.42</v>
      </c>
      <c r="BH1065" s="9">
        <f>VLOOKUP(A1065,Jogos!A:BN,66,0)</f>
        <v>30.975</v>
      </c>
      <c r="BI1065" s="9"/>
      <c r="BJ1065" s="9"/>
    </row>
    <row r="1066" hidden="1">
      <c r="A1066" s="10">
        <v>36.0</v>
      </c>
      <c r="B1066" s="11" t="s">
        <v>60</v>
      </c>
      <c r="C1066" s="2" t="s">
        <v>61</v>
      </c>
      <c r="D1066" s="12">
        <v>45831.0</v>
      </c>
      <c r="E1066" s="13">
        <v>0.875</v>
      </c>
      <c r="F1066" s="5" t="str">
        <f>VLOOKUP(A1066,Jogos!A:N,10,0)</f>
        <v>Evening</v>
      </c>
      <c r="G1066" s="11" t="s">
        <v>249</v>
      </c>
      <c r="H1066" s="6" t="str">
        <f>VLOOKUP(A1066,Jogos!A:L,12,0)</f>
        <v>Open</v>
      </c>
      <c r="I1066" s="6" t="str">
        <f>VLOOKUP(G1066,'Estádios e Cidades'!A:B,2,0)</f>
        <v>East Rutherford</v>
      </c>
      <c r="J1066" s="11" t="s">
        <v>63</v>
      </c>
      <c r="K1066" s="2" t="str">
        <f>VLOOKUP(J1066,Equipes!A:F,6,0)</f>
        <v>Tropical</v>
      </c>
      <c r="L1066" s="2">
        <f>VLOOKUP(J1066,Equipes!A:C,3,0)</f>
        <v>25</v>
      </c>
      <c r="M1066" s="2" t="str">
        <f t="shared" si="4"/>
        <v>Group</v>
      </c>
      <c r="N1066" s="11" t="s">
        <v>251</v>
      </c>
      <c r="O1066" s="2">
        <f>VLOOKUP(N1066,Equipes!A:C,3,0)</f>
        <v>23</v>
      </c>
      <c r="P1066" s="2" t="str">
        <f t="shared" si="5"/>
        <v>Group</v>
      </c>
      <c r="Q1066" s="2">
        <f t="shared" si="6"/>
        <v>2</v>
      </c>
      <c r="R1066" s="2" t="str">
        <f>VLOOKUP(J1066,Equipes!A:B,2,0)</f>
        <v>AlAhly</v>
      </c>
      <c r="S1066" s="6" t="s">
        <v>91</v>
      </c>
      <c r="T1066" s="7">
        <v>25.0</v>
      </c>
      <c r="U1066" s="7" t="s">
        <v>92</v>
      </c>
      <c r="V1066" s="7" t="str">
        <f>VLOOKUP(U1066,Jogadores!B:C,2,0)</f>
        <v>MF</v>
      </c>
      <c r="W1066" s="8">
        <f>VLOOKUP(U1066,Jogadores!B:D,3,0)</f>
        <v>29.56712329</v>
      </c>
      <c r="X1066" s="7">
        <v>0.0</v>
      </c>
      <c r="Y1066" s="7">
        <f t="shared" si="3329"/>
        <v>96</v>
      </c>
      <c r="Z1066" s="7">
        <f>VLOOKUP(A1066,Jogos!A:L,3,0)</f>
        <v>51</v>
      </c>
      <c r="AA1066" s="7">
        <f t="shared" si="2229"/>
        <v>51</v>
      </c>
      <c r="AB1066" s="7">
        <f>VLOOKUP(A1066,Jogos!A:L,4,0)</f>
        <v>51</v>
      </c>
      <c r="AC1066" s="7">
        <f t="shared" si="2230"/>
        <v>51</v>
      </c>
      <c r="AD1066" s="7"/>
      <c r="AE1066" s="7"/>
      <c r="AF1066" s="7">
        <f t="shared" si="2231"/>
        <v>102</v>
      </c>
      <c r="AG1066" s="7">
        <v>10891.8</v>
      </c>
      <c r="AH1066" s="7">
        <v>4343.5</v>
      </c>
      <c r="AI1066" s="7">
        <v>4173.4</v>
      </c>
      <c r="AJ1066" s="7">
        <v>1157.4</v>
      </c>
      <c r="AK1066" s="7">
        <v>725.4</v>
      </c>
      <c r="AL1066" s="7">
        <v>492.0</v>
      </c>
      <c r="AM1066" s="7">
        <v>94.0</v>
      </c>
      <c r="AN1066" s="7">
        <v>58.0</v>
      </c>
      <c r="AO1066" s="7">
        <v>30.7</v>
      </c>
      <c r="AP1066" s="9">
        <f t="shared" ref="AP1066:AR1066" si="3330">AG1066/$AF1066</f>
        <v>106.7823529</v>
      </c>
      <c r="AQ1066" s="9">
        <f t="shared" si="3330"/>
        <v>42.58333333</v>
      </c>
      <c r="AR1066" s="9">
        <f t="shared" si="3330"/>
        <v>40.91568627</v>
      </c>
      <c r="AS1066" s="9">
        <f t="shared" si="2233"/>
        <v>83.49901961</v>
      </c>
      <c r="AT1066" s="9">
        <f t="shared" ref="AT1066:AV1066" si="3331">AJ1066/$AF1066</f>
        <v>11.34705882</v>
      </c>
      <c r="AU1066" s="9">
        <f t="shared" si="3331"/>
        <v>7.111764706</v>
      </c>
      <c r="AV1066" s="9">
        <f t="shared" si="3331"/>
        <v>4.823529412</v>
      </c>
      <c r="AW1066" s="9">
        <f t="shared" si="2235"/>
        <v>11.93529412</v>
      </c>
      <c r="AX1066" s="9">
        <f t="shared" ref="AX1066:AY1066" si="3332">AM1066/$AF1066</f>
        <v>0.9215686275</v>
      </c>
      <c r="AY1066" s="9">
        <f t="shared" si="3332"/>
        <v>0.568627451</v>
      </c>
      <c r="AZ1066" s="9">
        <f>VLOOKUP(A1066,Jogos!A:BN,58,0)</f>
        <v>30.27</v>
      </c>
      <c r="BA1066" s="9">
        <f>VLOOKUP(A1066,Jogos!A:BN,59,0)</f>
        <v>25.63</v>
      </c>
      <c r="BB1066" s="9">
        <f>VLOOKUP(A1066,Jogos!A:BN,60,0)</f>
        <v>76</v>
      </c>
      <c r="BC1066" s="9">
        <f>VLOOKUP(A1066,Jogos!A:BN,61,0)</f>
        <v>30.805</v>
      </c>
      <c r="BD1066" s="9">
        <f>VLOOKUP(A1066,Jogos!A:BN,62,0)</f>
        <v>0</v>
      </c>
      <c r="BE1066" s="9">
        <f>VLOOKUP(A1066,Jogos!A:BN,63,0)</f>
        <v>1.53</v>
      </c>
      <c r="BF1066" s="9">
        <f>VLOOKUP(A1066,Jogos!A:BN,64,0)</f>
        <v>26.67</v>
      </c>
      <c r="BG1066" s="9">
        <f>VLOOKUP(A1066,Jogos!A:BN,65,0)</f>
        <v>46.42</v>
      </c>
      <c r="BH1066" s="9">
        <f>VLOOKUP(A1066,Jogos!A:BN,66,0)</f>
        <v>30.975</v>
      </c>
      <c r="BI1066" s="9"/>
      <c r="BJ1066" s="9"/>
    </row>
    <row r="1067" hidden="1">
      <c r="A1067" s="10">
        <v>36.0</v>
      </c>
      <c r="B1067" s="11" t="s">
        <v>60</v>
      </c>
      <c r="C1067" s="2" t="s">
        <v>61</v>
      </c>
      <c r="D1067" s="12">
        <v>45831.0</v>
      </c>
      <c r="E1067" s="13">
        <v>0.875</v>
      </c>
      <c r="F1067" s="5" t="str">
        <f>VLOOKUP(A1067,Jogos!A:N,10,0)</f>
        <v>Evening</v>
      </c>
      <c r="G1067" s="11" t="s">
        <v>249</v>
      </c>
      <c r="H1067" s="6" t="str">
        <f>VLOOKUP(A1067,Jogos!A:L,12,0)</f>
        <v>Open</v>
      </c>
      <c r="I1067" s="6" t="str">
        <f>VLOOKUP(G1067,'Estádios e Cidades'!A:B,2,0)</f>
        <v>East Rutherford</v>
      </c>
      <c r="J1067" s="11" t="s">
        <v>63</v>
      </c>
      <c r="K1067" s="2" t="str">
        <f>VLOOKUP(J1067,Equipes!A:F,6,0)</f>
        <v>Tropical</v>
      </c>
      <c r="L1067" s="2">
        <f>VLOOKUP(J1067,Equipes!A:C,3,0)</f>
        <v>25</v>
      </c>
      <c r="M1067" s="2" t="str">
        <f t="shared" si="4"/>
        <v>Group</v>
      </c>
      <c r="N1067" s="11" t="s">
        <v>251</v>
      </c>
      <c r="O1067" s="2">
        <f>VLOOKUP(N1067,Equipes!A:C,3,0)</f>
        <v>23</v>
      </c>
      <c r="P1067" s="2" t="str">
        <f t="shared" si="5"/>
        <v>Group</v>
      </c>
      <c r="Q1067" s="2">
        <f t="shared" si="6"/>
        <v>2</v>
      </c>
      <c r="R1067" s="2" t="str">
        <f>VLOOKUP(J1067,Equipes!A:B,2,0)</f>
        <v>AlAhly</v>
      </c>
      <c r="S1067" s="6" t="s">
        <v>81</v>
      </c>
      <c r="T1067" s="7">
        <v>30.0</v>
      </c>
      <c r="U1067" s="7" t="s">
        <v>82</v>
      </c>
      <c r="V1067" s="7" t="str">
        <f>VLOOKUP(U1067,Jogadores!B:C,2,0)</f>
        <v>DF</v>
      </c>
      <c r="W1067" s="8">
        <f>VLOOKUP(U1067,Jogadores!B:D,3,0)</f>
        <v>29.5260274</v>
      </c>
      <c r="X1067" s="7">
        <v>0.0</v>
      </c>
      <c r="Y1067" s="7">
        <f t="shared" si="3329"/>
        <v>96</v>
      </c>
      <c r="Z1067" s="7">
        <f>VLOOKUP(A1067,Jogos!A:L,3,0)</f>
        <v>51</v>
      </c>
      <c r="AA1067" s="7">
        <f t="shared" si="2229"/>
        <v>51</v>
      </c>
      <c r="AB1067" s="7">
        <f>VLOOKUP(A1067,Jogos!A:L,4,0)</f>
        <v>51</v>
      </c>
      <c r="AC1067" s="7">
        <f t="shared" si="2230"/>
        <v>51</v>
      </c>
      <c r="AD1067" s="7"/>
      <c r="AE1067" s="7"/>
      <c r="AF1067" s="7">
        <f t="shared" si="2231"/>
        <v>102</v>
      </c>
      <c r="AG1067" s="7">
        <v>9956.7</v>
      </c>
      <c r="AH1067" s="7">
        <v>4183.8</v>
      </c>
      <c r="AI1067" s="7">
        <v>4113.2</v>
      </c>
      <c r="AJ1067" s="7">
        <v>1200.5</v>
      </c>
      <c r="AK1067" s="7">
        <v>349.9</v>
      </c>
      <c r="AL1067" s="7">
        <v>109.4</v>
      </c>
      <c r="AM1067" s="7">
        <v>104.0</v>
      </c>
      <c r="AN1067" s="7">
        <v>30.0</v>
      </c>
      <c r="AO1067" s="7">
        <v>29.5</v>
      </c>
      <c r="AP1067" s="9">
        <f t="shared" ref="AP1067:AR1067" si="3333">AG1067/$AF1067</f>
        <v>97.61470588</v>
      </c>
      <c r="AQ1067" s="9">
        <f t="shared" si="3333"/>
        <v>41.01764706</v>
      </c>
      <c r="AR1067" s="9">
        <f t="shared" si="3333"/>
        <v>40.3254902</v>
      </c>
      <c r="AS1067" s="9">
        <f t="shared" si="2233"/>
        <v>81.34313725</v>
      </c>
      <c r="AT1067" s="9">
        <f t="shared" ref="AT1067:AV1067" si="3334">AJ1067/$AF1067</f>
        <v>11.76960784</v>
      </c>
      <c r="AU1067" s="9">
        <f t="shared" si="3334"/>
        <v>3.430392157</v>
      </c>
      <c r="AV1067" s="9">
        <f t="shared" si="3334"/>
        <v>1.07254902</v>
      </c>
      <c r="AW1067" s="9">
        <f t="shared" si="2235"/>
        <v>4.502941176</v>
      </c>
      <c r="AX1067" s="9">
        <f t="shared" ref="AX1067:AY1067" si="3335">AM1067/$AF1067</f>
        <v>1.019607843</v>
      </c>
      <c r="AY1067" s="9">
        <f t="shared" si="3335"/>
        <v>0.2941176471</v>
      </c>
      <c r="AZ1067" s="9">
        <f>VLOOKUP(A1067,Jogos!A:BN,58,0)</f>
        <v>30.27</v>
      </c>
      <c r="BA1067" s="9">
        <f>VLOOKUP(A1067,Jogos!A:BN,59,0)</f>
        <v>25.63</v>
      </c>
      <c r="BB1067" s="9">
        <f>VLOOKUP(A1067,Jogos!A:BN,60,0)</f>
        <v>76</v>
      </c>
      <c r="BC1067" s="9">
        <f>VLOOKUP(A1067,Jogos!A:BN,61,0)</f>
        <v>30.805</v>
      </c>
      <c r="BD1067" s="9">
        <f>VLOOKUP(A1067,Jogos!A:BN,62,0)</f>
        <v>0</v>
      </c>
      <c r="BE1067" s="9">
        <f>VLOOKUP(A1067,Jogos!A:BN,63,0)</f>
        <v>1.53</v>
      </c>
      <c r="BF1067" s="9">
        <f>VLOOKUP(A1067,Jogos!A:BN,64,0)</f>
        <v>26.67</v>
      </c>
      <c r="BG1067" s="9">
        <f>VLOOKUP(A1067,Jogos!A:BN,65,0)</f>
        <v>46.42</v>
      </c>
      <c r="BH1067" s="9">
        <f>VLOOKUP(A1067,Jogos!A:BN,66,0)</f>
        <v>30.975</v>
      </c>
      <c r="BI1067" s="9"/>
      <c r="BJ1067" s="9"/>
    </row>
    <row r="1068" hidden="1">
      <c r="A1068" s="10">
        <v>36.0</v>
      </c>
      <c r="B1068" s="11" t="s">
        <v>60</v>
      </c>
      <c r="C1068" s="2" t="s">
        <v>61</v>
      </c>
      <c r="D1068" s="12">
        <v>45831.0</v>
      </c>
      <c r="E1068" s="13">
        <v>0.875</v>
      </c>
      <c r="F1068" s="5" t="str">
        <f>VLOOKUP(A1068,Jogos!A:N,10,0)</f>
        <v>Evening</v>
      </c>
      <c r="G1068" s="11" t="s">
        <v>249</v>
      </c>
      <c r="H1068" s="6" t="str">
        <f>VLOOKUP(A1068,Jogos!A:L,12,0)</f>
        <v>Open</v>
      </c>
      <c r="I1068" s="6" t="str">
        <f>VLOOKUP(G1068,'Estádios e Cidades'!A:B,2,0)</f>
        <v>East Rutherford</v>
      </c>
      <c r="J1068" s="11" t="s">
        <v>63</v>
      </c>
      <c r="K1068" s="2" t="str">
        <f>VLOOKUP(J1068,Equipes!A:F,6,0)</f>
        <v>Tropical</v>
      </c>
      <c r="L1068" s="2">
        <f>VLOOKUP(J1068,Equipes!A:C,3,0)</f>
        <v>25</v>
      </c>
      <c r="M1068" s="2" t="str">
        <f t="shared" si="4"/>
        <v>Group</v>
      </c>
      <c r="N1068" s="11" t="s">
        <v>251</v>
      </c>
      <c r="O1068" s="2">
        <f>VLOOKUP(N1068,Equipes!A:C,3,0)</f>
        <v>23</v>
      </c>
      <c r="P1068" s="2" t="str">
        <f t="shared" si="5"/>
        <v>Group</v>
      </c>
      <c r="Q1068" s="2">
        <f t="shared" si="6"/>
        <v>2</v>
      </c>
      <c r="R1068" s="2" t="str">
        <f>VLOOKUP(J1068,Equipes!A:B,2,0)</f>
        <v>AlAhly</v>
      </c>
      <c r="S1068" s="6" t="s">
        <v>83</v>
      </c>
      <c r="T1068" s="7">
        <v>36.0</v>
      </c>
      <c r="U1068" s="7" t="s">
        <v>84</v>
      </c>
      <c r="V1068" s="7" t="str">
        <f>VLOOKUP(U1068,Jogadores!B:C,2,0)</f>
        <v>MF</v>
      </c>
      <c r="W1068" s="8">
        <f>VLOOKUP(U1068,Jogadores!B:D,3,0)</f>
        <v>24.08219178</v>
      </c>
      <c r="X1068" s="7">
        <v>0.0</v>
      </c>
      <c r="Y1068" s="7">
        <f t="shared" si="3329"/>
        <v>96</v>
      </c>
      <c r="Z1068" s="7">
        <f>VLOOKUP(A1068,Jogos!A:L,3,0)</f>
        <v>51</v>
      </c>
      <c r="AA1068" s="7">
        <f t="shared" si="2229"/>
        <v>51</v>
      </c>
      <c r="AB1068" s="7">
        <f>VLOOKUP(A1068,Jogos!A:L,4,0)</f>
        <v>51</v>
      </c>
      <c r="AC1068" s="7">
        <f t="shared" si="2230"/>
        <v>51</v>
      </c>
      <c r="AD1068" s="7"/>
      <c r="AE1068" s="7"/>
      <c r="AF1068" s="7">
        <f t="shared" si="2231"/>
        <v>102</v>
      </c>
      <c r="AG1068" s="7">
        <v>10482.7</v>
      </c>
      <c r="AH1068" s="7">
        <v>3998.5</v>
      </c>
      <c r="AI1068" s="7">
        <v>4543.6</v>
      </c>
      <c r="AJ1068" s="7">
        <v>1353.9</v>
      </c>
      <c r="AK1068" s="7">
        <v>401.1</v>
      </c>
      <c r="AL1068" s="7">
        <v>185.6</v>
      </c>
      <c r="AM1068" s="7">
        <v>116.0</v>
      </c>
      <c r="AN1068" s="7">
        <v>37.0</v>
      </c>
      <c r="AO1068" s="7">
        <v>31.7</v>
      </c>
      <c r="AP1068" s="9">
        <f t="shared" ref="AP1068:AR1068" si="3336">AG1068/$AF1068</f>
        <v>102.7715686</v>
      </c>
      <c r="AQ1068" s="9">
        <f t="shared" si="3336"/>
        <v>39.20098039</v>
      </c>
      <c r="AR1068" s="9">
        <f t="shared" si="3336"/>
        <v>44.54509804</v>
      </c>
      <c r="AS1068" s="9">
        <f t="shared" si="2233"/>
        <v>83.74607843</v>
      </c>
      <c r="AT1068" s="9">
        <f t="shared" ref="AT1068:AV1068" si="3337">AJ1068/$AF1068</f>
        <v>13.27352941</v>
      </c>
      <c r="AU1068" s="9">
        <f t="shared" si="3337"/>
        <v>3.932352941</v>
      </c>
      <c r="AV1068" s="9">
        <f t="shared" si="3337"/>
        <v>1.819607843</v>
      </c>
      <c r="AW1068" s="9">
        <f t="shared" si="2235"/>
        <v>5.751960784</v>
      </c>
      <c r="AX1068" s="9">
        <f t="shared" ref="AX1068:AY1068" si="3338">AM1068/$AF1068</f>
        <v>1.137254902</v>
      </c>
      <c r="AY1068" s="9">
        <f t="shared" si="3338"/>
        <v>0.362745098</v>
      </c>
      <c r="AZ1068" s="9">
        <f>VLOOKUP(A1068,Jogos!A:BN,58,0)</f>
        <v>30.27</v>
      </c>
      <c r="BA1068" s="9">
        <f>VLOOKUP(A1068,Jogos!A:BN,59,0)</f>
        <v>25.63</v>
      </c>
      <c r="BB1068" s="9">
        <f>VLOOKUP(A1068,Jogos!A:BN,60,0)</f>
        <v>76</v>
      </c>
      <c r="BC1068" s="9">
        <f>VLOOKUP(A1068,Jogos!A:BN,61,0)</f>
        <v>30.805</v>
      </c>
      <c r="BD1068" s="9">
        <f>VLOOKUP(A1068,Jogos!A:BN,62,0)</f>
        <v>0</v>
      </c>
      <c r="BE1068" s="9">
        <f>VLOOKUP(A1068,Jogos!A:BN,63,0)</f>
        <v>1.53</v>
      </c>
      <c r="BF1068" s="9">
        <f>VLOOKUP(A1068,Jogos!A:BN,64,0)</f>
        <v>26.67</v>
      </c>
      <c r="BG1068" s="9">
        <f>VLOOKUP(A1068,Jogos!A:BN,65,0)</f>
        <v>46.42</v>
      </c>
      <c r="BH1068" s="9">
        <f>VLOOKUP(A1068,Jogos!A:BN,66,0)</f>
        <v>30.975</v>
      </c>
      <c r="BI1068" s="9"/>
      <c r="BJ1068" s="9"/>
    </row>
    <row r="1069" hidden="1">
      <c r="A1069" s="10">
        <v>36.0</v>
      </c>
      <c r="B1069" s="11" t="s">
        <v>60</v>
      </c>
      <c r="C1069" s="2" t="s">
        <v>61</v>
      </c>
      <c r="D1069" s="12">
        <v>45831.0</v>
      </c>
      <c r="E1069" s="13">
        <v>0.875</v>
      </c>
      <c r="F1069" s="5" t="str">
        <f>VLOOKUP(A1069,Jogos!A:N,10,0)</f>
        <v>Evening</v>
      </c>
      <c r="G1069" s="11" t="s">
        <v>249</v>
      </c>
      <c r="H1069" s="6" t="str">
        <f>VLOOKUP(A1069,Jogos!A:L,12,0)</f>
        <v>Open</v>
      </c>
      <c r="I1069" s="6" t="str">
        <f>VLOOKUP(G1069,'Estádios e Cidades'!A:B,2,0)</f>
        <v>East Rutherford</v>
      </c>
      <c r="J1069" s="11" t="s">
        <v>63</v>
      </c>
      <c r="K1069" s="2" t="str">
        <f>VLOOKUP(J1069,Equipes!A:F,6,0)</f>
        <v>Tropical</v>
      </c>
      <c r="L1069" s="2">
        <f>VLOOKUP(J1069,Equipes!A:C,3,0)</f>
        <v>25</v>
      </c>
      <c r="M1069" s="2" t="str">
        <f t="shared" si="4"/>
        <v>Group</v>
      </c>
      <c r="N1069" s="11" t="s">
        <v>251</v>
      </c>
      <c r="O1069" s="2">
        <f>VLOOKUP(N1069,Equipes!A:C,3,0)</f>
        <v>23</v>
      </c>
      <c r="P1069" s="2" t="str">
        <f t="shared" si="5"/>
        <v>Group</v>
      </c>
      <c r="Q1069" s="2">
        <f t="shared" si="6"/>
        <v>2</v>
      </c>
      <c r="R1069" s="2" t="str">
        <f>VLOOKUP(J1069,Equipes!A:B,2,0)</f>
        <v>AlAhly</v>
      </c>
      <c r="S1069" s="6" t="s">
        <v>1251</v>
      </c>
      <c r="T1069" s="7">
        <v>3.0</v>
      </c>
      <c r="U1069" s="7" t="s">
        <v>1252</v>
      </c>
      <c r="V1069" s="7" t="str">
        <f>VLOOKUP(U1069,Jogadores!B:C,2,0)</f>
        <v>DF</v>
      </c>
      <c r="W1069" s="8">
        <f>VLOOKUP(U1069,Jogadores!B:D,3,0)</f>
        <v>31.84931507</v>
      </c>
      <c r="X1069" s="7">
        <v>59.0</v>
      </c>
      <c r="Y1069" s="7">
        <f t="shared" si="3329"/>
        <v>96</v>
      </c>
      <c r="Z1069" s="7">
        <f>VLOOKUP(A1069,Jogos!A:L,3,0)</f>
        <v>51</v>
      </c>
      <c r="AA1069" s="7">
        <f t="shared" si="2229"/>
        <v>0</v>
      </c>
      <c r="AB1069" s="7">
        <f>VLOOKUP(A1069,Jogos!A:L,4,0)</f>
        <v>51</v>
      </c>
      <c r="AC1069" s="7">
        <f t="shared" si="2230"/>
        <v>37</v>
      </c>
      <c r="AD1069" s="7"/>
      <c r="AE1069" s="7"/>
      <c r="AF1069" s="7">
        <f t="shared" si="2231"/>
        <v>37</v>
      </c>
      <c r="AG1069" s="7">
        <v>4450.0</v>
      </c>
      <c r="AH1069" s="7">
        <v>1762.5</v>
      </c>
      <c r="AI1069" s="7">
        <v>1547.9</v>
      </c>
      <c r="AJ1069" s="7">
        <v>629.0</v>
      </c>
      <c r="AK1069" s="7">
        <v>289.5</v>
      </c>
      <c r="AL1069" s="7">
        <v>221.0</v>
      </c>
      <c r="AM1069" s="7">
        <v>53.0</v>
      </c>
      <c r="AN1069" s="7">
        <v>23.0</v>
      </c>
      <c r="AO1069" s="7">
        <v>31.9</v>
      </c>
      <c r="AP1069" s="9">
        <f t="shared" ref="AP1069:AR1069" si="3339">AG1069/$AF1069</f>
        <v>120.2702703</v>
      </c>
      <c r="AQ1069" s="9">
        <f t="shared" si="3339"/>
        <v>47.63513514</v>
      </c>
      <c r="AR1069" s="9">
        <f t="shared" si="3339"/>
        <v>41.83513514</v>
      </c>
      <c r="AS1069" s="9">
        <f t="shared" si="2233"/>
        <v>89.47027027</v>
      </c>
      <c r="AT1069" s="9">
        <f t="shared" ref="AT1069:AV1069" si="3340">AJ1069/$AF1069</f>
        <v>17</v>
      </c>
      <c r="AU1069" s="9">
        <f t="shared" si="3340"/>
        <v>7.824324324</v>
      </c>
      <c r="AV1069" s="9">
        <f t="shared" si="3340"/>
        <v>5.972972973</v>
      </c>
      <c r="AW1069" s="9">
        <f t="shared" si="2235"/>
        <v>13.7972973</v>
      </c>
      <c r="AX1069" s="9">
        <f t="shared" ref="AX1069:AY1069" si="3341">AM1069/$AF1069</f>
        <v>1.432432432</v>
      </c>
      <c r="AY1069" s="9">
        <f t="shared" si="3341"/>
        <v>0.6216216216</v>
      </c>
      <c r="AZ1069" s="9">
        <f>VLOOKUP(A1069,Jogos!A:BN,58,0)</f>
        <v>30.27</v>
      </c>
      <c r="BA1069" s="9">
        <f>VLOOKUP(A1069,Jogos!A:BN,59,0)</f>
        <v>25.63</v>
      </c>
      <c r="BB1069" s="9">
        <f>VLOOKUP(A1069,Jogos!A:BN,60,0)</f>
        <v>76</v>
      </c>
      <c r="BC1069" s="9">
        <f>VLOOKUP(A1069,Jogos!A:BN,61,0)</f>
        <v>30.805</v>
      </c>
      <c r="BD1069" s="9">
        <f>VLOOKUP(A1069,Jogos!A:BN,62,0)</f>
        <v>0</v>
      </c>
      <c r="BE1069" s="9">
        <f>VLOOKUP(A1069,Jogos!A:BN,63,0)</f>
        <v>1.53</v>
      </c>
      <c r="BF1069" s="9">
        <f>VLOOKUP(A1069,Jogos!A:BN,64,0)</f>
        <v>26.67</v>
      </c>
      <c r="BG1069" s="9">
        <f>VLOOKUP(A1069,Jogos!A:BN,65,0)</f>
        <v>46.42</v>
      </c>
      <c r="BH1069" s="9">
        <f>VLOOKUP(A1069,Jogos!A:BN,66,0)</f>
        <v>30.975</v>
      </c>
      <c r="BI1069" s="9"/>
      <c r="BJ1069" s="9"/>
    </row>
    <row r="1070" hidden="1">
      <c r="A1070" s="10">
        <v>36.0</v>
      </c>
      <c r="B1070" s="11" t="s">
        <v>60</v>
      </c>
      <c r="C1070" s="2" t="s">
        <v>61</v>
      </c>
      <c r="D1070" s="12">
        <v>45831.0</v>
      </c>
      <c r="E1070" s="13">
        <v>0.875</v>
      </c>
      <c r="F1070" s="5" t="str">
        <f>VLOOKUP(A1070,Jogos!A:N,10,0)</f>
        <v>Evening</v>
      </c>
      <c r="G1070" s="11" t="s">
        <v>249</v>
      </c>
      <c r="H1070" s="6" t="str">
        <f>VLOOKUP(A1070,Jogos!A:L,12,0)</f>
        <v>Open</v>
      </c>
      <c r="I1070" s="6" t="str">
        <f>VLOOKUP(G1070,'Estádios e Cidades'!A:B,2,0)</f>
        <v>East Rutherford</v>
      </c>
      <c r="J1070" s="11" t="s">
        <v>63</v>
      </c>
      <c r="K1070" s="2" t="str">
        <f>VLOOKUP(J1070,Equipes!A:F,6,0)</f>
        <v>Tropical</v>
      </c>
      <c r="L1070" s="2">
        <f>VLOOKUP(J1070,Equipes!A:C,3,0)</f>
        <v>25</v>
      </c>
      <c r="M1070" s="2" t="str">
        <f t="shared" si="4"/>
        <v>Group</v>
      </c>
      <c r="N1070" s="11" t="s">
        <v>251</v>
      </c>
      <c r="O1070" s="2">
        <f>VLOOKUP(N1070,Equipes!A:C,3,0)</f>
        <v>23</v>
      </c>
      <c r="P1070" s="2" t="str">
        <f t="shared" si="5"/>
        <v>Group</v>
      </c>
      <c r="Q1070" s="2">
        <f t="shared" si="6"/>
        <v>2</v>
      </c>
      <c r="R1070" s="2" t="str">
        <f>VLOOKUP(J1070,Equipes!A:B,2,0)</f>
        <v>AlAhly</v>
      </c>
      <c r="S1070" s="6" t="s">
        <v>85</v>
      </c>
      <c r="T1070" s="7">
        <v>10.0</v>
      </c>
      <c r="U1070" s="7" t="s">
        <v>86</v>
      </c>
      <c r="V1070" s="7" t="str">
        <f>VLOOKUP(U1070,Jogadores!B:C,2,0)</f>
        <v>FW</v>
      </c>
      <c r="W1070" s="8">
        <f>VLOOKUP(U1070,Jogadores!B:D,3,0)</f>
        <v>22.99178082</v>
      </c>
      <c r="X1070" s="7">
        <v>58.0</v>
      </c>
      <c r="Y1070" s="7">
        <f t="shared" si="3329"/>
        <v>96</v>
      </c>
      <c r="Z1070" s="7">
        <f>VLOOKUP(A1070,Jogos!A:L,3,0)</f>
        <v>51</v>
      </c>
      <c r="AA1070" s="7">
        <f t="shared" si="2229"/>
        <v>0</v>
      </c>
      <c r="AB1070" s="7">
        <f>VLOOKUP(A1070,Jogos!A:L,4,0)</f>
        <v>51</v>
      </c>
      <c r="AC1070" s="7">
        <f t="shared" si="2230"/>
        <v>38</v>
      </c>
      <c r="AD1070" s="7"/>
      <c r="AE1070" s="7"/>
      <c r="AF1070" s="7">
        <f t="shared" si="2231"/>
        <v>38</v>
      </c>
      <c r="AG1070" s="7">
        <v>4516.8</v>
      </c>
      <c r="AH1070" s="7">
        <v>1492.7</v>
      </c>
      <c r="AI1070" s="7">
        <v>1967.4</v>
      </c>
      <c r="AJ1070" s="7">
        <v>572.7</v>
      </c>
      <c r="AK1070" s="7">
        <v>294.8</v>
      </c>
      <c r="AL1070" s="7">
        <v>189.2</v>
      </c>
      <c r="AM1070" s="7">
        <v>40.0</v>
      </c>
      <c r="AN1070" s="7">
        <v>29.0</v>
      </c>
      <c r="AO1070" s="7">
        <v>33.8</v>
      </c>
      <c r="AP1070" s="9">
        <f t="shared" ref="AP1070:AR1070" si="3342">AG1070/$AF1070</f>
        <v>118.8631579</v>
      </c>
      <c r="AQ1070" s="9">
        <f t="shared" si="3342"/>
        <v>39.28157895</v>
      </c>
      <c r="AR1070" s="9">
        <f t="shared" si="3342"/>
        <v>51.77368421</v>
      </c>
      <c r="AS1070" s="9">
        <f t="shared" si="2233"/>
        <v>91.05526316</v>
      </c>
      <c r="AT1070" s="9">
        <f t="shared" ref="AT1070:AV1070" si="3343">AJ1070/$AF1070</f>
        <v>15.07105263</v>
      </c>
      <c r="AU1070" s="9">
        <f t="shared" si="3343"/>
        <v>7.757894737</v>
      </c>
      <c r="AV1070" s="9">
        <f t="shared" si="3343"/>
        <v>4.978947368</v>
      </c>
      <c r="AW1070" s="9">
        <f t="shared" si="2235"/>
        <v>12.73684211</v>
      </c>
      <c r="AX1070" s="9">
        <f t="shared" ref="AX1070:AY1070" si="3344">AM1070/$AF1070</f>
        <v>1.052631579</v>
      </c>
      <c r="AY1070" s="9">
        <f t="shared" si="3344"/>
        <v>0.7631578947</v>
      </c>
      <c r="AZ1070" s="9">
        <f>VLOOKUP(A1070,Jogos!A:BN,58,0)</f>
        <v>30.27</v>
      </c>
      <c r="BA1070" s="9">
        <f>VLOOKUP(A1070,Jogos!A:BN,59,0)</f>
        <v>25.63</v>
      </c>
      <c r="BB1070" s="9">
        <f>VLOOKUP(A1070,Jogos!A:BN,60,0)</f>
        <v>76</v>
      </c>
      <c r="BC1070" s="9">
        <f>VLOOKUP(A1070,Jogos!A:BN,61,0)</f>
        <v>30.805</v>
      </c>
      <c r="BD1070" s="9">
        <f>VLOOKUP(A1070,Jogos!A:BN,62,0)</f>
        <v>0</v>
      </c>
      <c r="BE1070" s="9">
        <f>VLOOKUP(A1070,Jogos!A:BN,63,0)</f>
        <v>1.53</v>
      </c>
      <c r="BF1070" s="9">
        <f>VLOOKUP(A1070,Jogos!A:BN,64,0)</f>
        <v>26.67</v>
      </c>
      <c r="BG1070" s="9">
        <f>VLOOKUP(A1070,Jogos!A:BN,65,0)</f>
        <v>46.42</v>
      </c>
      <c r="BH1070" s="9">
        <f>VLOOKUP(A1070,Jogos!A:BN,66,0)</f>
        <v>30.975</v>
      </c>
      <c r="BI1070" s="9"/>
      <c r="BJ1070" s="9"/>
    </row>
    <row r="1071" hidden="1">
      <c r="A1071" s="10">
        <v>36.0</v>
      </c>
      <c r="B1071" s="11" t="s">
        <v>60</v>
      </c>
      <c r="C1071" s="2" t="s">
        <v>61</v>
      </c>
      <c r="D1071" s="12">
        <v>45831.0</v>
      </c>
      <c r="E1071" s="13">
        <v>0.875</v>
      </c>
      <c r="F1071" s="5" t="str">
        <f>VLOOKUP(A1071,Jogos!A:N,10,0)</f>
        <v>Evening</v>
      </c>
      <c r="G1071" s="11" t="s">
        <v>249</v>
      </c>
      <c r="H1071" s="6" t="str">
        <f>VLOOKUP(A1071,Jogos!A:L,12,0)</f>
        <v>Open</v>
      </c>
      <c r="I1071" s="6" t="str">
        <f>VLOOKUP(G1071,'Estádios e Cidades'!A:B,2,0)</f>
        <v>East Rutherford</v>
      </c>
      <c r="J1071" s="11" t="s">
        <v>63</v>
      </c>
      <c r="K1071" s="2" t="str">
        <f>VLOOKUP(J1071,Equipes!A:F,6,0)</f>
        <v>Tropical</v>
      </c>
      <c r="L1071" s="2">
        <f>VLOOKUP(J1071,Equipes!A:C,3,0)</f>
        <v>25</v>
      </c>
      <c r="M1071" s="2" t="str">
        <f t="shared" si="4"/>
        <v>Group</v>
      </c>
      <c r="N1071" s="11" t="s">
        <v>251</v>
      </c>
      <c r="O1071" s="2">
        <f>VLOOKUP(N1071,Equipes!A:C,3,0)</f>
        <v>23</v>
      </c>
      <c r="P1071" s="2" t="str">
        <f t="shared" si="5"/>
        <v>Group</v>
      </c>
      <c r="Q1071" s="2">
        <f t="shared" si="6"/>
        <v>2</v>
      </c>
      <c r="R1071" s="2" t="str">
        <f>VLOOKUP(J1071,Equipes!A:B,2,0)</f>
        <v>AlAhly</v>
      </c>
      <c r="S1071" s="6" t="s">
        <v>1070</v>
      </c>
      <c r="T1071" s="7">
        <v>17.0</v>
      </c>
      <c r="U1071" s="7" t="s">
        <v>1071</v>
      </c>
      <c r="V1071" s="7" t="str">
        <f>VLOOKUP(U1071,Jogadores!B:C,2,0)</f>
        <v>MF</v>
      </c>
      <c r="W1071" s="8">
        <f>VLOOKUP(U1071,Jogadores!B:D,3,0)</f>
        <v>30.8630137</v>
      </c>
      <c r="X1071" s="7">
        <v>59.0</v>
      </c>
      <c r="Y1071" s="7">
        <f t="shared" si="3329"/>
        <v>96</v>
      </c>
      <c r="Z1071" s="7">
        <f>VLOOKUP(A1071,Jogos!A:L,3,0)</f>
        <v>51</v>
      </c>
      <c r="AA1071" s="7">
        <f t="shared" si="2229"/>
        <v>0</v>
      </c>
      <c r="AB1071" s="7">
        <f>VLOOKUP(A1071,Jogos!A:L,4,0)</f>
        <v>51</v>
      </c>
      <c r="AC1071" s="7">
        <f t="shared" si="2230"/>
        <v>37</v>
      </c>
      <c r="AD1071" s="7"/>
      <c r="AE1071" s="7"/>
      <c r="AF1071" s="7">
        <f t="shared" si="2231"/>
        <v>37</v>
      </c>
      <c r="AG1071" s="7">
        <v>4915.3</v>
      </c>
      <c r="AH1071" s="7">
        <v>1415.6</v>
      </c>
      <c r="AI1071" s="7">
        <v>1897.1</v>
      </c>
      <c r="AJ1071" s="7">
        <v>825.9</v>
      </c>
      <c r="AK1071" s="7">
        <v>474.7</v>
      </c>
      <c r="AL1071" s="7">
        <v>301.9</v>
      </c>
      <c r="AM1071" s="7">
        <v>72.0</v>
      </c>
      <c r="AN1071" s="7">
        <v>34.0</v>
      </c>
      <c r="AO1071" s="7">
        <v>32.3</v>
      </c>
      <c r="AP1071" s="9">
        <f t="shared" ref="AP1071:AR1071" si="3345">AG1071/$AF1071</f>
        <v>132.8459459</v>
      </c>
      <c r="AQ1071" s="9">
        <f t="shared" si="3345"/>
        <v>38.25945946</v>
      </c>
      <c r="AR1071" s="9">
        <f t="shared" si="3345"/>
        <v>51.27297297</v>
      </c>
      <c r="AS1071" s="9">
        <f t="shared" si="2233"/>
        <v>89.53243243</v>
      </c>
      <c r="AT1071" s="9">
        <f t="shared" ref="AT1071:AV1071" si="3346">AJ1071/$AF1071</f>
        <v>22.32162162</v>
      </c>
      <c r="AU1071" s="9">
        <f t="shared" si="3346"/>
        <v>12.82972973</v>
      </c>
      <c r="AV1071" s="9">
        <f t="shared" si="3346"/>
        <v>8.159459459</v>
      </c>
      <c r="AW1071" s="9">
        <f t="shared" si="2235"/>
        <v>20.98918919</v>
      </c>
      <c r="AX1071" s="9">
        <f t="shared" ref="AX1071:AY1071" si="3347">AM1071/$AF1071</f>
        <v>1.945945946</v>
      </c>
      <c r="AY1071" s="9">
        <f t="shared" si="3347"/>
        <v>0.9189189189</v>
      </c>
      <c r="AZ1071" s="9">
        <f>VLOOKUP(A1071,Jogos!A:BN,58,0)</f>
        <v>30.27</v>
      </c>
      <c r="BA1071" s="9">
        <f>VLOOKUP(A1071,Jogos!A:BN,59,0)</f>
        <v>25.63</v>
      </c>
      <c r="BB1071" s="9">
        <f>VLOOKUP(A1071,Jogos!A:BN,60,0)</f>
        <v>76</v>
      </c>
      <c r="BC1071" s="9">
        <f>VLOOKUP(A1071,Jogos!A:BN,61,0)</f>
        <v>30.805</v>
      </c>
      <c r="BD1071" s="9">
        <f>VLOOKUP(A1071,Jogos!A:BN,62,0)</f>
        <v>0</v>
      </c>
      <c r="BE1071" s="9">
        <f>VLOOKUP(A1071,Jogos!A:BN,63,0)</f>
        <v>1.53</v>
      </c>
      <c r="BF1071" s="9">
        <f>VLOOKUP(A1071,Jogos!A:BN,64,0)</f>
        <v>26.67</v>
      </c>
      <c r="BG1071" s="9">
        <f>VLOOKUP(A1071,Jogos!A:BN,65,0)</f>
        <v>46.42</v>
      </c>
      <c r="BH1071" s="9">
        <f>VLOOKUP(A1071,Jogos!A:BN,66,0)</f>
        <v>30.975</v>
      </c>
      <c r="BI1071" s="9"/>
      <c r="BJ1071" s="9"/>
    </row>
    <row r="1072" hidden="1">
      <c r="A1072" s="10">
        <v>36.0</v>
      </c>
      <c r="B1072" s="11" t="s">
        <v>60</v>
      </c>
      <c r="C1072" s="2" t="s">
        <v>61</v>
      </c>
      <c r="D1072" s="12">
        <v>45831.0</v>
      </c>
      <c r="E1072" s="13">
        <v>0.875</v>
      </c>
      <c r="F1072" s="5" t="str">
        <f>VLOOKUP(A1072,Jogos!A:N,10,0)</f>
        <v>Evening</v>
      </c>
      <c r="G1072" s="11" t="s">
        <v>249</v>
      </c>
      <c r="H1072" s="6" t="str">
        <f>VLOOKUP(A1072,Jogos!A:L,12,0)</f>
        <v>Open</v>
      </c>
      <c r="I1072" s="6" t="str">
        <f>VLOOKUP(G1072,'Estádios e Cidades'!A:B,2,0)</f>
        <v>East Rutherford</v>
      </c>
      <c r="J1072" s="11" t="s">
        <v>63</v>
      </c>
      <c r="K1072" s="2" t="str">
        <f>VLOOKUP(J1072,Equipes!A:F,6,0)</f>
        <v>Tropical</v>
      </c>
      <c r="L1072" s="2">
        <f>VLOOKUP(J1072,Equipes!A:C,3,0)</f>
        <v>25</v>
      </c>
      <c r="M1072" s="2" t="str">
        <f t="shared" si="4"/>
        <v>Group</v>
      </c>
      <c r="N1072" s="11" t="s">
        <v>251</v>
      </c>
      <c r="O1072" s="2">
        <f>VLOOKUP(N1072,Equipes!A:C,3,0)</f>
        <v>23</v>
      </c>
      <c r="P1072" s="2" t="str">
        <f t="shared" si="5"/>
        <v>Group</v>
      </c>
      <c r="Q1072" s="2">
        <f t="shared" si="6"/>
        <v>2</v>
      </c>
      <c r="R1072" s="2" t="str">
        <f>VLOOKUP(J1072,Equipes!A:B,2,0)</f>
        <v>AlAhly</v>
      </c>
      <c r="S1072" s="6" t="s">
        <v>89</v>
      </c>
      <c r="T1072" s="7">
        <v>19.0</v>
      </c>
      <c r="U1072" s="7" t="s">
        <v>90</v>
      </c>
      <c r="V1072" s="7" t="str">
        <f>VLOOKUP(U1072,Jogadores!B:C,2,0)</f>
        <v>MF</v>
      </c>
      <c r="W1072" s="8">
        <f>VLOOKUP(U1072,Jogadores!B:D,3,0)</f>
        <v>29.16986301</v>
      </c>
      <c r="X1072" s="7">
        <v>87.0</v>
      </c>
      <c r="Y1072" s="7">
        <f t="shared" si="3329"/>
        <v>96</v>
      </c>
      <c r="Z1072" s="7">
        <f>VLOOKUP(A1072,Jogos!A:L,3,0)</f>
        <v>51</v>
      </c>
      <c r="AA1072" s="7">
        <f t="shared" si="2229"/>
        <v>0</v>
      </c>
      <c r="AB1072" s="7">
        <f>VLOOKUP(A1072,Jogos!A:L,4,0)</f>
        <v>51</v>
      </c>
      <c r="AC1072" s="7">
        <f t="shared" si="2230"/>
        <v>9</v>
      </c>
      <c r="AD1072" s="7"/>
      <c r="AE1072" s="7"/>
      <c r="AF1072" s="7">
        <f t="shared" si="2231"/>
        <v>9</v>
      </c>
      <c r="AG1072" s="7">
        <v>1348.1</v>
      </c>
      <c r="AH1072" s="7">
        <v>262.7</v>
      </c>
      <c r="AI1072" s="7">
        <v>588.0</v>
      </c>
      <c r="AJ1072" s="7">
        <v>295.2</v>
      </c>
      <c r="AK1072" s="7">
        <v>175.6</v>
      </c>
      <c r="AL1072" s="7">
        <v>26.7</v>
      </c>
      <c r="AM1072" s="7">
        <v>22.0</v>
      </c>
      <c r="AN1072" s="7">
        <v>11.0</v>
      </c>
      <c r="AO1072" s="7">
        <v>27.0</v>
      </c>
      <c r="AP1072" s="9">
        <f t="shared" ref="AP1072:AR1072" si="3348">AG1072/$AF1072</f>
        <v>149.7888889</v>
      </c>
      <c r="AQ1072" s="9">
        <f t="shared" si="3348"/>
        <v>29.18888889</v>
      </c>
      <c r="AR1072" s="9">
        <f t="shared" si="3348"/>
        <v>65.33333333</v>
      </c>
      <c r="AS1072" s="9">
        <f t="shared" si="2233"/>
        <v>94.52222222</v>
      </c>
      <c r="AT1072" s="9">
        <f t="shared" ref="AT1072:AV1072" si="3349">AJ1072/$AF1072</f>
        <v>32.8</v>
      </c>
      <c r="AU1072" s="9">
        <f t="shared" si="3349"/>
        <v>19.51111111</v>
      </c>
      <c r="AV1072" s="9">
        <f t="shared" si="3349"/>
        <v>2.966666667</v>
      </c>
      <c r="AW1072" s="9">
        <f t="shared" si="2235"/>
        <v>22.47777778</v>
      </c>
      <c r="AX1072" s="9">
        <f t="shared" ref="AX1072:AY1072" si="3350">AM1072/$AF1072</f>
        <v>2.444444444</v>
      </c>
      <c r="AY1072" s="9">
        <f t="shared" si="3350"/>
        <v>1.222222222</v>
      </c>
      <c r="AZ1072" s="9">
        <f>VLOOKUP(A1072,Jogos!A:BN,58,0)</f>
        <v>30.27</v>
      </c>
      <c r="BA1072" s="9">
        <f>VLOOKUP(A1072,Jogos!A:BN,59,0)</f>
        <v>25.63</v>
      </c>
      <c r="BB1072" s="9">
        <f>VLOOKUP(A1072,Jogos!A:BN,60,0)</f>
        <v>76</v>
      </c>
      <c r="BC1072" s="9">
        <f>VLOOKUP(A1072,Jogos!A:BN,61,0)</f>
        <v>30.805</v>
      </c>
      <c r="BD1072" s="9">
        <f>VLOOKUP(A1072,Jogos!A:BN,62,0)</f>
        <v>0</v>
      </c>
      <c r="BE1072" s="9">
        <f>VLOOKUP(A1072,Jogos!A:BN,63,0)</f>
        <v>1.53</v>
      </c>
      <c r="BF1072" s="9">
        <f>VLOOKUP(A1072,Jogos!A:BN,64,0)</f>
        <v>26.67</v>
      </c>
      <c r="BG1072" s="9">
        <f>VLOOKUP(A1072,Jogos!A:BN,65,0)</f>
        <v>46.42</v>
      </c>
      <c r="BH1072" s="9">
        <f>VLOOKUP(A1072,Jogos!A:BN,66,0)</f>
        <v>30.975</v>
      </c>
      <c r="BI1072" s="9"/>
      <c r="BJ1072" s="9"/>
    </row>
    <row r="1073" hidden="1">
      <c r="A1073" s="10">
        <v>36.0</v>
      </c>
      <c r="B1073" s="11" t="s">
        <v>60</v>
      </c>
      <c r="C1073" s="2" t="s">
        <v>61</v>
      </c>
      <c r="D1073" s="12">
        <v>45831.0</v>
      </c>
      <c r="E1073" s="13">
        <v>0.875</v>
      </c>
      <c r="F1073" s="5" t="str">
        <f>VLOOKUP(A1073,Jogos!A:N,10,0)</f>
        <v>Evening</v>
      </c>
      <c r="G1073" s="11" t="s">
        <v>249</v>
      </c>
      <c r="H1073" s="6" t="str">
        <f>VLOOKUP(A1073,Jogos!A:L,12,0)</f>
        <v>Open</v>
      </c>
      <c r="I1073" s="6" t="str">
        <f>VLOOKUP(G1073,'Estádios e Cidades'!A:B,2,0)</f>
        <v>East Rutherford</v>
      </c>
      <c r="J1073" s="11" t="s">
        <v>63</v>
      </c>
      <c r="K1073" s="2" t="str">
        <f>VLOOKUP(J1073,Equipes!A:F,6,0)</f>
        <v>Tropical</v>
      </c>
      <c r="L1073" s="2">
        <f>VLOOKUP(J1073,Equipes!A:C,3,0)</f>
        <v>25</v>
      </c>
      <c r="M1073" s="2" t="str">
        <f t="shared" si="4"/>
        <v>Group</v>
      </c>
      <c r="N1073" s="11" t="s">
        <v>251</v>
      </c>
      <c r="O1073" s="2">
        <f>VLOOKUP(N1073,Equipes!A:C,3,0)</f>
        <v>23</v>
      </c>
      <c r="P1073" s="2" t="str">
        <f t="shared" si="5"/>
        <v>Group</v>
      </c>
      <c r="Q1073" s="2">
        <f t="shared" si="6"/>
        <v>2</v>
      </c>
      <c r="R1073" s="2" t="str">
        <f>VLOOKUP(J1073,Equipes!A:B,2,0)</f>
        <v>AlAhly</v>
      </c>
      <c r="S1073" s="6" t="s">
        <v>1253</v>
      </c>
      <c r="T1073" s="7">
        <v>23.0</v>
      </c>
      <c r="U1073" s="7" t="s">
        <v>1254</v>
      </c>
      <c r="V1073" s="7" t="str">
        <f>VLOOKUP(U1073,Jogadores!B:C,2,0)</f>
        <v>MF</v>
      </c>
      <c r="W1073" s="8">
        <f>VLOOKUP(U1073,Jogadores!B:D,3,0)</f>
        <v>27.8</v>
      </c>
      <c r="X1073" s="7">
        <v>35.0</v>
      </c>
      <c r="Y1073" s="7">
        <f t="shared" si="3329"/>
        <v>96</v>
      </c>
      <c r="Z1073" s="7">
        <f>VLOOKUP(A1073,Jogos!A:L,3,0)</f>
        <v>51</v>
      </c>
      <c r="AA1073" s="7">
        <f t="shared" si="2229"/>
        <v>16</v>
      </c>
      <c r="AB1073" s="7">
        <f>VLOOKUP(A1073,Jogos!A:L,4,0)</f>
        <v>51</v>
      </c>
      <c r="AC1073" s="7">
        <f t="shared" si="2230"/>
        <v>51</v>
      </c>
      <c r="AD1073" s="7"/>
      <c r="AE1073" s="7"/>
      <c r="AF1073" s="7">
        <f t="shared" si="2231"/>
        <v>67</v>
      </c>
      <c r="AG1073" s="7">
        <v>7385.7</v>
      </c>
      <c r="AH1073" s="7">
        <v>2507.7</v>
      </c>
      <c r="AI1073" s="7">
        <v>3373.5</v>
      </c>
      <c r="AJ1073" s="7">
        <v>1055.2</v>
      </c>
      <c r="AK1073" s="7">
        <v>339.4</v>
      </c>
      <c r="AL1073" s="7">
        <v>109.9</v>
      </c>
      <c r="AM1073" s="7">
        <v>88.0</v>
      </c>
      <c r="AN1073" s="7">
        <v>32.0</v>
      </c>
      <c r="AO1073" s="7">
        <v>31.1</v>
      </c>
      <c r="AP1073" s="9">
        <f t="shared" ref="AP1073:AR1073" si="3351">AG1073/$AF1073</f>
        <v>110.2343284</v>
      </c>
      <c r="AQ1073" s="9">
        <f t="shared" si="3351"/>
        <v>37.42835821</v>
      </c>
      <c r="AR1073" s="9">
        <f t="shared" si="3351"/>
        <v>50.35074627</v>
      </c>
      <c r="AS1073" s="9">
        <f t="shared" si="2233"/>
        <v>87.77910448</v>
      </c>
      <c r="AT1073" s="9">
        <f t="shared" ref="AT1073:AV1073" si="3352">AJ1073/$AF1073</f>
        <v>15.74925373</v>
      </c>
      <c r="AU1073" s="9">
        <f t="shared" si="3352"/>
        <v>5.065671642</v>
      </c>
      <c r="AV1073" s="9">
        <f t="shared" si="3352"/>
        <v>1.640298507</v>
      </c>
      <c r="AW1073" s="9">
        <f t="shared" si="2235"/>
        <v>6.705970149</v>
      </c>
      <c r="AX1073" s="9">
        <f t="shared" ref="AX1073:AY1073" si="3353">AM1073/$AF1073</f>
        <v>1.313432836</v>
      </c>
      <c r="AY1073" s="9">
        <f t="shared" si="3353"/>
        <v>0.4776119403</v>
      </c>
      <c r="AZ1073" s="9">
        <f>VLOOKUP(A1073,Jogos!A:BN,58,0)</f>
        <v>30.27</v>
      </c>
      <c r="BA1073" s="9">
        <f>VLOOKUP(A1073,Jogos!A:BN,59,0)</f>
        <v>25.63</v>
      </c>
      <c r="BB1073" s="9">
        <f>VLOOKUP(A1073,Jogos!A:BN,60,0)</f>
        <v>76</v>
      </c>
      <c r="BC1073" s="9">
        <f>VLOOKUP(A1073,Jogos!A:BN,61,0)</f>
        <v>30.805</v>
      </c>
      <c r="BD1073" s="9">
        <f>VLOOKUP(A1073,Jogos!A:BN,62,0)</f>
        <v>0</v>
      </c>
      <c r="BE1073" s="9">
        <f>VLOOKUP(A1073,Jogos!A:BN,63,0)</f>
        <v>1.53</v>
      </c>
      <c r="BF1073" s="9">
        <f>VLOOKUP(A1073,Jogos!A:BN,64,0)</f>
        <v>26.67</v>
      </c>
      <c r="BG1073" s="9">
        <f>VLOOKUP(A1073,Jogos!A:BN,65,0)</f>
        <v>46.42</v>
      </c>
      <c r="BH1073" s="9">
        <f>VLOOKUP(A1073,Jogos!A:BN,66,0)</f>
        <v>30.975</v>
      </c>
      <c r="BI1073" s="9"/>
      <c r="BJ1073" s="9"/>
    </row>
    <row r="1074" hidden="1">
      <c r="A1074" s="2">
        <v>37.0</v>
      </c>
      <c r="B1074" s="11" t="s">
        <v>121</v>
      </c>
      <c r="C1074" s="2" t="s">
        <v>61</v>
      </c>
      <c r="D1074" s="3">
        <v>45832.0</v>
      </c>
      <c r="E1074" s="4">
        <v>0.5833333333333334</v>
      </c>
      <c r="F1074" s="5" t="str">
        <f>VLOOKUP(A1074,Jogos!A:N,10,0)</f>
        <v>Afternoon</v>
      </c>
      <c r="G1074" s="2" t="s">
        <v>1130</v>
      </c>
      <c r="H1074" s="6" t="str">
        <f>VLOOKUP(A1074,Jogos!A:L,12,0)</f>
        <v>Open</v>
      </c>
      <c r="I1074" s="6" t="str">
        <f>VLOOKUP(G1074,'Estádios e Cidades'!A:B,2,0)</f>
        <v>Nashville</v>
      </c>
      <c r="J1074" s="2" t="s">
        <v>124</v>
      </c>
      <c r="K1074" s="2" t="str">
        <f>VLOOKUP(J1074,Equipes!A:F,6,0)</f>
        <v>Temperate</v>
      </c>
      <c r="L1074" s="2">
        <f>VLOOKUP(J1074,Equipes!A:C,3,0)</f>
        <v>27</v>
      </c>
      <c r="M1074" s="2" t="str">
        <f t="shared" si="4"/>
        <v>Group</v>
      </c>
      <c r="N1074" s="2" t="s">
        <v>440</v>
      </c>
      <c r="O1074" s="2">
        <f>VLOOKUP(N1074,Equipes!A:C,3,0)</f>
        <v>24</v>
      </c>
      <c r="P1074" s="2" t="str">
        <f t="shared" si="5"/>
        <v>Group</v>
      </c>
      <c r="Q1074" s="2">
        <f t="shared" si="6"/>
        <v>3</v>
      </c>
      <c r="R1074" s="2" t="str">
        <f>VLOOKUP(J1074,Equipes!A:B,2,0)</f>
        <v>Auckland</v>
      </c>
      <c r="S1074" s="6" t="s">
        <v>155</v>
      </c>
      <c r="T1074" s="7">
        <v>2.0</v>
      </c>
      <c r="U1074" s="7" t="s">
        <v>156</v>
      </c>
      <c r="V1074" s="7" t="str">
        <f>VLOOKUP(U1074,Jogadores!B:C,2,0)</f>
        <v>DF</v>
      </c>
      <c r="W1074" s="8">
        <f>VLOOKUP(U1074,Jogadores!B:D,3,0)</f>
        <v>30.11780822</v>
      </c>
      <c r="X1074" s="7">
        <v>0.0</v>
      </c>
      <c r="Y1074" s="7">
        <f t="shared" si="3329"/>
        <v>96</v>
      </c>
      <c r="Z1074" s="7">
        <f>VLOOKUP(A1074,Jogos!A:L,3,0)</f>
        <v>50</v>
      </c>
      <c r="AA1074" s="7">
        <f t="shared" si="2229"/>
        <v>50</v>
      </c>
      <c r="AB1074" s="7">
        <f>VLOOKUP(A1074,Jogos!A:L,4,0)</f>
        <v>51</v>
      </c>
      <c r="AC1074" s="7">
        <f t="shared" si="2230"/>
        <v>51</v>
      </c>
      <c r="AD1074" s="7"/>
      <c r="AE1074" s="7"/>
      <c r="AF1074" s="7">
        <f t="shared" si="2231"/>
        <v>101</v>
      </c>
      <c r="AG1074" s="7">
        <v>12121.0</v>
      </c>
      <c r="AH1074" s="7">
        <v>3447.7</v>
      </c>
      <c r="AI1074" s="7">
        <v>6880.0</v>
      </c>
      <c r="AJ1074" s="7">
        <v>1564.2</v>
      </c>
      <c r="AK1074" s="7">
        <v>179.0</v>
      </c>
      <c r="AL1074" s="7">
        <v>50.1</v>
      </c>
      <c r="AM1074" s="7">
        <v>136.0</v>
      </c>
      <c r="AN1074" s="7">
        <v>13.0</v>
      </c>
      <c r="AO1074" s="7">
        <v>44.9</v>
      </c>
      <c r="AP1074" s="9">
        <f t="shared" ref="AP1074:AR1074" si="3354">AG1074/$AF1074</f>
        <v>120.009901</v>
      </c>
      <c r="AQ1074" s="9">
        <f t="shared" si="3354"/>
        <v>34.13564356</v>
      </c>
      <c r="AR1074" s="9">
        <f t="shared" si="3354"/>
        <v>68.11881188</v>
      </c>
      <c r="AS1074" s="9">
        <f t="shared" si="2233"/>
        <v>102.2544554</v>
      </c>
      <c r="AT1074" s="9">
        <f t="shared" ref="AT1074:AV1074" si="3355">AJ1074/$AF1074</f>
        <v>15.48712871</v>
      </c>
      <c r="AU1074" s="9">
        <f t="shared" si="3355"/>
        <v>1.772277228</v>
      </c>
      <c r="AV1074" s="9">
        <f t="shared" si="3355"/>
        <v>0.496039604</v>
      </c>
      <c r="AW1074" s="9">
        <f t="shared" si="2235"/>
        <v>2.268316832</v>
      </c>
      <c r="AX1074" s="9">
        <f t="shared" ref="AX1074:AY1074" si="3356">AM1074/$AF1074</f>
        <v>1.346534653</v>
      </c>
      <c r="AY1074" s="9">
        <f t="shared" si="3356"/>
        <v>0.1287128713</v>
      </c>
      <c r="AZ1074" s="9">
        <f>VLOOKUP(A1074,Jogos!A:BN,58,0)</f>
        <v>32.65666667</v>
      </c>
      <c r="BA1074" s="9">
        <f>VLOOKUP(A1074,Jogos!A:BN,59,0)</f>
        <v>22.84333333</v>
      </c>
      <c r="BB1074" s="9">
        <f>VLOOKUP(A1074,Jogos!A:BN,60,0)</f>
        <v>55.66666667</v>
      </c>
      <c r="BC1074" s="9">
        <f>VLOOKUP(A1074,Jogos!A:BN,61,0)</f>
        <v>35.02666667</v>
      </c>
      <c r="BD1074" s="9">
        <f>VLOOKUP(A1074,Jogos!A:BN,62,0)</f>
        <v>626.3666667</v>
      </c>
      <c r="BE1074" s="9">
        <f>VLOOKUP(A1074,Jogos!A:BN,63,0)</f>
        <v>0.5066666667</v>
      </c>
      <c r="BF1074" s="9">
        <f>VLOOKUP(A1074,Jogos!A:BN,64,0)</f>
        <v>26.82</v>
      </c>
      <c r="BG1074" s="9">
        <f>VLOOKUP(A1074,Jogos!A:BN,65,0)</f>
        <v>49.09333333</v>
      </c>
      <c r="BH1074" s="9">
        <f>VLOOKUP(A1074,Jogos!A:BN,66,0)</f>
        <v>31.85666667</v>
      </c>
      <c r="BI1074" s="9"/>
      <c r="BJ1074" s="9"/>
    </row>
    <row r="1075" hidden="1">
      <c r="A1075" s="2">
        <v>37.0</v>
      </c>
      <c r="B1075" s="11" t="s">
        <v>121</v>
      </c>
      <c r="C1075" s="2" t="s">
        <v>61</v>
      </c>
      <c r="D1075" s="3">
        <v>45832.0</v>
      </c>
      <c r="E1075" s="4">
        <v>0.5833333333333334</v>
      </c>
      <c r="F1075" s="5" t="str">
        <f>VLOOKUP(A1075,Jogos!A:N,10,0)</f>
        <v>Afternoon</v>
      </c>
      <c r="G1075" s="2" t="s">
        <v>1130</v>
      </c>
      <c r="H1075" s="6" t="str">
        <f>VLOOKUP(A1075,Jogos!A:L,12,0)</f>
        <v>Open</v>
      </c>
      <c r="I1075" s="6" t="str">
        <f>VLOOKUP(G1075,'Estádios e Cidades'!A:B,2,0)</f>
        <v>Nashville</v>
      </c>
      <c r="J1075" s="2" t="s">
        <v>124</v>
      </c>
      <c r="K1075" s="2" t="str">
        <f>VLOOKUP(J1075,Equipes!A:F,6,0)</f>
        <v>Temperate</v>
      </c>
      <c r="L1075" s="2">
        <f>VLOOKUP(J1075,Equipes!A:C,3,0)</f>
        <v>27</v>
      </c>
      <c r="M1075" s="2" t="str">
        <f t="shared" si="4"/>
        <v>Group</v>
      </c>
      <c r="N1075" s="2" t="s">
        <v>440</v>
      </c>
      <c r="O1075" s="2">
        <f>VLOOKUP(N1075,Equipes!A:C,3,0)</f>
        <v>24</v>
      </c>
      <c r="P1075" s="2" t="str">
        <f t="shared" si="5"/>
        <v>Group</v>
      </c>
      <c r="Q1075" s="2">
        <f t="shared" si="6"/>
        <v>3</v>
      </c>
      <c r="R1075" s="2" t="str">
        <f>VLOOKUP(J1075,Equipes!A:B,2,0)</f>
        <v>Auckland</v>
      </c>
      <c r="S1075" s="6" t="s">
        <v>157</v>
      </c>
      <c r="T1075" s="7">
        <v>3.0</v>
      </c>
      <c r="U1075" s="7" t="s">
        <v>158</v>
      </c>
      <c r="V1075" s="7" t="str">
        <f>VLOOKUP(U1075,Jogadores!B:C,2,0)</f>
        <v>DF</v>
      </c>
      <c r="W1075" s="8">
        <f>VLOOKUP(U1075,Jogadores!B:D,3,0)</f>
        <v>29.17534247</v>
      </c>
      <c r="X1075" s="7">
        <v>0.0</v>
      </c>
      <c r="Y1075" s="7">
        <f t="shared" si="3329"/>
        <v>96</v>
      </c>
      <c r="Z1075" s="7">
        <f>VLOOKUP(A1075,Jogos!A:L,3,0)</f>
        <v>50</v>
      </c>
      <c r="AA1075" s="7">
        <f t="shared" si="2229"/>
        <v>50</v>
      </c>
      <c r="AB1075" s="7">
        <f>VLOOKUP(A1075,Jogos!A:L,4,0)</f>
        <v>51</v>
      </c>
      <c r="AC1075" s="7">
        <f t="shared" si="2230"/>
        <v>51</v>
      </c>
      <c r="AD1075" s="7"/>
      <c r="AE1075" s="7"/>
      <c r="AF1075" s="7">
        <f t="shared" si="2231"/>
        <v>101</v>
      </c>
      <c r="AG1075" s="7">
        <v>9673.4</v>
      </c>
      <c r="AH1075" s="7">
        <v>4578.0</v>
      </c>
      <c r="AI1075" s="7">
        <v>3975.0</v>
      </c>
      <c r="AJ1075" s="7">
        <v>743.8</v>
      </c>
      <c r="AK1075" s="7">
        <v>339.2</v>
      </c>
      <c r="AL1075" s="7">
        <v>37.5</v>
      </c>
      <c r="AM1075" s="7">
        <v>67.0</v>
      </c>
      <c r="AN1075" s="7">
        <v>22.0</v>
      </c>
      <c r="AO1075" s="7">
        <v>43.5</v>
      </c>
      <c r="AP1075" s="9">
        <f t="shared" ref="AP1075:AR1075" si="3357">AG1075/$AF1075</f>
        <v>95.77623762</v>
      </c>
      <c r="AQ1075" s="9">
        <f t="shared" si="3357"/>
        <v>45.32673267</v>
      </c>
      <c r="AR1075" s="9">
        <f t="shared" si="3357"/>
        <v>39.35643564</v>
      </c>
      <c r="AS1075" s="9">
        <f t="shared" si="2233"/>
        <v>84.68316832</v>
      </c>
      <c r="AT1075" s="9">
        <f t="shared" ref="AT1075:AV1075" si="3358">AJ1075/$AF1075</f>
        <v>7.364356436</v>
      </c>
      <c r="AU1075" s="9">
        <f t="shared" si="3358"/>
        <v>3.358415842</v>
      </c>
      <c r="AV1075" s="9">
        <f t="shared" si="3358"/>
        <v>0.3712871287</v>
      </c>
      <c r="AW1075" s="9">
        <f t="shared" si="2235"/>
        <v>3.72970297</v>
      </c>
      <c r="AX1075" s="9">
        <f t="shared" ref="AX1075:AY1075" si="3359">AM1075/$AF1075</f>
        <v>0.6633663366</v>
      </c>
      <c r="AY1075" s="9">
        <f t="shared" si="3359"/>
        <v>0.2178217822</v>
      </c>
      <c r="AZ1075" s="9">
        <f>VLOOKUP(A1075,Jogos!A:BN,58,0)</f>
        <v>32.65666667</v>
      </c>
      <c r="BA1075" s="9">
        <f>VLOOKUP(A1075,Jogos!A:BN,59,0)</f>
        <v>22.84333333</v>
      </c>
      <c r="BB1075" s="9">
        <f>VLOOKUP(A1075,Jogos!A:BN,60,0)</f>
        <v>55.66666667</v>
      </c>
      <c r="BC1075" s="9">
        <f>VLOOKUP(A1075,Jogos!A:BN,61,0)</f>
        <v>35.02666667</v>
      </c>
      <c r="BD1075" s="9">
        <f>VLOOKUP(A1075,Jogos!A:BN,62,0)</f>
        <v>626.3666667</v>
      </c>
      <c r="BE1075" s="9">
        <f>VLOOKUP(A1075,Jogos!A:BN,63,0)</f>
        <v>0.5066666667</v>
      </c>
      <c r="BF1075" s="9">
        <f>VLOOKUP(A1075,Jogos!A:BN,64,0)</f>
        <v>26.82</v>
      </c>
      <c r="BG1075" s="9">
        <f>VLOOKUP(A1075,Jogos!A:BN,65,0)</f>
        <v>49.09333333</v>
      </c>
      <c r="BH1075" s="9">
        <f>VLOOKUP(A1075,Jogos!A:BN,66,0)</f>
        <v>31.85666667</v>
      </c>
      <c r="BI1075" s="9"/>
      <c r="BJ1075" s="9"/>
    </row>
    <row r="1076" hidden="1">
      <c r="A1076" s="2">
        <v>37.0</v>
      </c>
      <c r="B1076" s="11" t="s">
        <v>121</v>
      </c>
      <c r="C1076" s="2" t="s">
        <v>61</v>
      </c>
      <c r="D1076" s="3">
        <v>45832.0</v>
      </c>
      <c r="E1076" s="4">
        <v>0.5833333333333334</v>
      </c>
      <c r="F1076" s="5" t="str">
        <f>VLOOKUP(A1076,Jogos!A:N,10,0)</f>
        <v>Afternoon</v>
      </c>
      <c r="G1076" s="2" t="s">
        <v>1130</v>
      </c>
      <c r="H1076" s="6" t="str">
        <f>VLOOKUP(A1076,Jogos!A:L,12,0)</f>
        <v>Open</v>
      </c>
      <c r="I1076" s="6" t="str">
        <f>VLOOKUP(G1076,'Estádios e Cidades'!A:B,2,0)</f>
        <v>Nashville</v>
      </c>
      <c r="J1076" s="2" t="s">
        <v>124</v>
      </c>
      <c r="K1076" s="2" t="str">
        <f>VLOOKUP(J1076,Equipes!A:F,6,0)</f>
        <v>Temperate</v>
      </c>
      <c r="L1076" s="2">
        <f>VLOOKUP(J1076,Equipes!A:C,3,0)</f>
        <v>27</v>
      </c>
      <c r="M1076" s="2" t="str">
        <f t="shared" si="4"/>
        <v>Group</v>
      </c>
      <c r="N1076" s="2" t="s">
        <v>440</v>
      </c>
      <c r="O1076" s="2">
        <f>VLOOKUP(N1076,Equipes!A:C,3,0)</f>
        <v>24</v>
      </c>
      <c r="P1076" s="2" t="str">
        <f t="shared" si="5"/>
        <v>Group</v>
      </c>
      <c r="Q1076" s="2">
        <f t="shared" si="6"/>
        <v>3</v>
      </c>
      <c r="R1076" s="2" t="str">
        <f>VLOOKUP(J1076,Equipes!A:B,2,0)</f>
        <v>Auckland</v>
      </c>
      <c r="S1076" s="6" t="s">
        <v>1115</v>
      </c>
      <c r="T1076" s="7">
        <v>4.0</v>
      </c>
      <c r="U1076" s="7" t="s">
        <v>1116</v>
      </c>
      <c r="V1076" s="7" t="str">
        <f>VLOOKUP(U1076,Jogadores!B:C,2,0)</f>
        <v>DF</v>
      </c>
      <c r="W1076" s="8">
        <f>VLOOKUP(U1076,Jogadores!B:D,3,0)</f>
        <v>28.67945205</v>
      </c>
      <c r="X1076" s="7">
        <v>0.0</v>
      </c>
      <c r="Y1076" s="7">
        <f t="shared" si="3329"/>
        <v>96</v>
      </c>
      <c r="Z1076" s="7">
        <f>VLOOKUP(A1076,Jogos!A:L,3,0)</f>
        <v>50</v>
      </c>
      <c r="AA1076" s="7">
        <f t="shared" si="2229"/>
        <v>50</v>
      </c>
      <c r="AB1076" s="7">
        <f>VLOOKUP(A1076,Jogos!A:L,4,0)</f>
        <v>51</v>
      </c>
      <c r="AC1076" s="7">
        <f t="shared" si="2230"/>
        <v>51</v>
      </c>
      <c r="AD1076" s="7"/>
      <c r="AE1076" s="7"/>
      <c r="AF1076" s="7">
        <f t="shared" si="2231"/>
        <v>101</v>
      </c>
      <c r="AG1076" s="7">
        <v>8969.4</v>
      </c>
      <c r="AH1076" s="7">
        <v>4451.2</v>
      </c>
      <c r="AI1076" s="7">
        <v>3741.7</v>
      </c>
      <c r="AJ1076" s="7">
        <v>607.8</v>
      </c>
      <c r="AK1076" s="7">
        <v>142.9</v>
      </c>
      <c r="AL1076" s="7">
        <v>25.7</v>
      </c>
      <c r="AM1076" s="7">
        <v>47.0</v>
      </c>
      <c r="AN1076" s="7">
        <v>11.0</v>
      </c>
      <c r="AO1076" s="7">
        <v>41.9</v>
      </c>
      <c r="AP1076" s="9">
        <f t="shared" ref="AP1076:AR1076" si="3360">AG1076/$AF1076</f>
        <v>88.80594059</v>
      </c>
      <c r="AQ1076" s="9">
        <f t="shared" si="3360"/>
        <v>44.07128713</v>
      </c>
      <c r="AR1076" s="9">
        <f t="shared" si="3360"/>
        <v>37.04653465</v>
      </c>
      <c r="AS1076" s="9">
        <f t="shared" si="2233"/>
        <v>81.11782178</v>
      </c>
      <c r="AT1076" s="9">
        <f t="shared" ref="AT1076:AV1076" si="3361">AJ1076/$AF1076</f>
        <v>6.017821782</v>
      </c>
      <c r="AU1076" s="9">
        <f t="shared" si="3361"/>
        <v>1.414851485</v>
      </c>
      <c r="AV1076" s="9">
        <f t="shared" si="3361"/>
        <v>0.2544554455</v>
      </c>
      <c r="AW1076" s="9">
        <f t="shared" si="2235"/>
        <v>1.669306931</v>
      </c>
      <c r="AX1076" s="9">
        <f t="shared" ref="AX1076:AY1076" si="3362">AM1076/$AF1076</f>
        <v>0.4653465347</v>
      </c>
      <c r="AY1076" s="9">
        <f t="shared" si="3362"/>
        <v>0.1089108911</v>
      </c>
      <c r="AZ1076" s="9">
        <f>VLOOKUP(A1076,Jogos!A:BN,58,0)</f>
        <v>32.65666667</v>
      </c>
      <c r="BA1076" s="9">
        <f>VLOOKUP(A1076,Jogos!A:BN,59,0)</f>
        <v>22.84333333</v>
      </c>
      <c r="BB1076" s="9">
        <f>VLOOKUP(A1076,Jogos!A:BN,60,0)</f>
        <v>55.66666667</v>
      </c>
      <c r="BC1076" s="9">
        <f>VLOOKUP(A1076,Jogos!A:BN,61,0)</f>
        <v>35.02666667</v>
      </c>
      <c r="BD1076" s="9">
        <f>VLOOKUP(A1076,Jogos!A:BN,62,0)</f>
        <v>626.3666667</v>
      </c>
      <c r="BE1076" s="9">
        <f>VLOOKUP(A1076,Jogos!A:BN,63,0)</f>
        <v>0.5066666667</v>
      </c>
      <c r="BF1076" s="9">
        <f>VLOOKUP(A1076,Jogos!A:BN,64,0)</f>
        <v>26.82</v>
      </c>
      <c r="BG1076" s="9">
        <f>VLOOKUP(A1076,Jogos!A:BN,65,0)</f>
        <v>49.09333333</v>
      </c>
      <c r="BH1076" s="9">
        <f>VLOOKUP(A1076,Jogos!A:BN,66,0)</f>
        <v>31.85666667</v>
      </c>
      <c r="BI1076" s="9"/>
      <c r="BJ1076" s="9"/>
    </row>
    <row r="1077" hidden="1">
      <c r="A1077" s="2">
        <v>37.0</v>
      </c>
      <c r="B1077" s="11" t="s">
        <v>121</v>
      </c>
      <c r="C1077" s="2" t="s">
        <v>61</v>
      </c>
      <c r="D1077" s="3">
        <v>45832.0</v>
      </c>
      <c r="E1077" s="4">
        <v>0.5833333333333334</v>
      </c>
      <c r="F1077" s="5" t="str">
        <f>VLOOKUP(A1077,Jogos!A:N,10,0)</f>
        <v>Afternoon</v>
      </c>
      <c r="G1077" s="2" t="s">
        <v>1130</v>
      </c>
      <c r="H1077" s="6" t="str">
        <f>VLOOKUP(A1077,Jogos!A:L,12,0)</f>
        <v>Open</v>
      </c>
      <c r="I1077" s="6" t="str">
        <f>VLOOKUP(G1077,'Estádios e Cidades'!A:B,2,0)</f>
        <v>Nashville</v>
      </c>
      <c r="J1077" s="2" t="s">
        <v>124</v>
      </c>
      <c r="K1077" s="2" t="str">
        <f>VLOOKUP(J1077,Equipes!A:F,6,0)</f>
        <v>Temperate</v>
      </c>
      <c r="L1077" s="2">
        <f>VLOOKUP(J1077,Equipes!A:C,3,0)</f>
        <v>27</v>
      </c>
      <c r="M1077" s="2" t="str">
        <f t="shared" si="4"/>
        <v>Group</v>
      </c>
      <c r="N1077" s="2" t="s">
        <v>440</v>
      </c>
      <c r="O1077" s="2">
        <f>VLOOKUP(N1077,Equipes!A:C,3,0)</f>
        <v>24</v>
      </c>
      <c r="P1077" s="2" t="str">
        <f t="shared" si="5"/>
        <v>Group</v>
      </c>
      <c r="Q1077" s="2">
        <f t="shared" si="6"/>
        <v>3</v>
      </c>
      <c r="R1077" s="2" t="str">
        <f>VLOOKUP(J1077,Equipes!A:B,2,0)</f>
        <v>Auckland</v>
      </c>
      <c r="S1077" s="6" t="s">
        <v>159</v>
      </c>
      <c r="T1077" s="7">
        <v>5.0</v>
      </c>
      <c r="U1077" s="7" t="s">
        <v>160</v>
      </c>
      <c r="V1077" s="7" t="str">
        <f>VLOOKUP(U1077,Jogadores!B:C,2,0)</f>
        <v>DF</v>
      </c>
      <c r="W1077" s="8">
        <f>VLOOKUP(U1077,Jogadores!B:D,3,0)</f>
        <v>33.44657534</v>
      </c>
      <c r="X1077" s="7">
        <v>0.0</v>
      </c>
      <c r="Y1077" s="7">
        <f t="shared" si="3329"/>
        <v>96</v>
      </c>
      <c r="Z1077" s="7">
        <f>VLOOKUP(A1077,Jogos!A:L,3,0)</f>
        <v>50</v>
      </c>
      <c r="AA1077" s="7">
        <f t="shared" si="2229"/>
        <v>50</v>
      </c>
      <c r="AB1077" s="7">
        <f>VLOOKUP(A1077,Jogos!A:L,4,0)</f>
        <v>51</v>
      </c>
      <c r="AC1077" s="7">
        <f t="shared" si="2230"/>
        <v>51</v>
      </c>
      <c r="AD1077" s="7"/>
      <c r="AE1077" s="7"/>
      <c r="AF1077" s="7">
        <f t="shared" si="2231"/>
        <v>101</v>
      </c>
      <c r="AG1077" s="7">
        <v>8592.4</v>
      </c>
      <c r="AH1077" s="7">
        <v>4274.0</v>
      </c>
      <c r="AI1077" s="7">
        <v>3765.0</v>
      </c>
      <c r="AJ1077" s="7">
        <v>385.0</v>
      </c>
      <c r="AK1077" s="7">
        <v>121.6</v>
      </c>
      <c r="AL1077" s="7">
        <v>46.8</v>
      </c>
      <c r="AM1077" s="7">
        <v>35.0</v>
      </c>
      <c r="AN1077" s="7">
        <v>11.0</v>
      </c>
      <c r="AO1077" s="7">
        <v>40.3</v>
      </c>
      <c r="AP1077" s="9">
        <f t="shared" ref="AP1077:AR1077" si="3363">AG1077/$AF1077</f>
        <v>85.07326733</v>
      </c>
      <c r="AQ1077" s="9">
        <f t="shared" si="3363"/>
        <v>42.31683168</v>
      </c>
      <c r="AR1077" s="9">
        <f t="shared" si="3363"/>
        <v>37.27722772</v>
      </c>
      <c r="AS1077" s="9">
        <f t="shared" si="2233"/>
        <v>79.59405941</v>
      </c>
      <c r="AT1077" s="9">
        <f t="shared" ref="AT1077:AV1077" si="3364">AJ1077/$AF1077</f>
        <v>3.811881188</v>
      </c>
      <c r="AU1077" s="9">
        <f t="shared" si="3364"/>
        <v>1.203960396</v>
      </c>
      <c r="AV1077" s="9">
        <f t="shared" si="3364"/>
        <v>0.4633663366</v>
      </c>
      <c r="AW1077" s="9">
        <f t="shared" si="2235"/>
        <v>1.667326733</v>
      </c>
      <c r="AX1077" s="9">
        <f t="shared" ref="AX1077:AY1077" si="3365">AM1077/$AF1077</f>
        <v>0.3465346535</v>
      </c>
      <c r="AY1077" s="9">
        <f t="shared" si="3365"/>
        <v>0.1089108911</v>
      </c>
      <c r="AZ1077" s="9">
        <f>VLOOKUP(A1077,Jogos!A:BN,58,0)</f>
        <v>32.65666667</v>
      </c>
      <c r="BA1077" s="9">
        <f>VLOOKUP(A1077,Jogos!A:BN,59,0)</f>
        <v>22.84333333</v>
      </c>
      <c r="BB1077" s="9">
        <f>VLOOKUP(A1077,Jogos!A:BN,60,0)</f>
        <v>55.66666667</v>
      </c>
      <c r="BC1077" s="9">
        <f>VLOOKUP(A1077,Jogos!A:BN,61,0)</f>
        <v>35.02666667</v>
      </c>
      <c r="BD1077" s="9">
        <f>VLOOKUP(A1077,Jogos!A:BN,62,0)</f>
        <v>626.3666667</v>
      </c>
      <c r="BE1077" s="9">
        <f>VLOOKUP(A1077,Jogos!A:BN,63,0)</f>
        <v>0.5066666667</v>
      </c>
      <c r="BF1077" s="9">
        <f>VLOOKUP(A1077,Jogos!A:BN,64,0)</f>
        <v>26.82</v>
      </c>
      <c r="BG1077" s="9">
        <f>VLOOKUP(A1077,Jogos!A:BN,65,0)</f>
        <v>49.09333333</v>
      </c>
      <c r="BH1077" s="9">
        <f>VLOOKUP(A1077,Jogos!A:BN,66,0)</f>
        <v>31.85666667</v>
      </c>
      <c r="BI1077" s="9"/>
      <c r="BJ1077" s="9"/>
    </row>
    <row r="1078" hidden="1">
      <c r="A1078" s="2">
        <v>37.0</v>
      </c>
      <c r="B1078" s="11" t="s">
        <v>121</v>
      </c>
      <c r="C1078" s="2" t="s">
        <v>61</v>
      </c>
      <c r="D1078" s="3">
        <v>45832.0</v>
      </c>
      <c r="E1078" s="4">
        <v>0.5833333333333334</v>
      </c>
      <c r="F1078" s="5" t="str">
        <f>VLOOKUP(A1078,Jogos!A:N,10,0)</f>
        <v>Afternoon</v>
      </c>
      <c r="G1078" s="2" t="s">
        <v>1130</v>
      </c>
      <c r="H1078" s="6" t="str">
        <f>VLOOKUP(A1078,Jogos!A:L,12,0)</f>
        <v>Open</v>
      </c>
      <c r="I1078" s="6" t="str">
        <f>VLOOKUP(G1078,'Estádios e Cidades'!A:B,2,0)</f>
        <v>Nashville</v>
      </c>
      <c r="J1078" s="2" t="s">
        <v>124</v>
      </c>
      <c r="K1078" s="2" t="str">
        <f>VLOOKUP(J1078,Equipes!A:F,6,0)</f>
        <v>Temperate</v>
      </c>
      <c r="L1078" s="2">
        <f>VLOOKUP(J1078,Equipes!A:C,3,0)</f>
        <v>27</v>
      </c>
      <c r="M1078" s="2" t="str">
        <f t="shared" si="4"/>
        <v>Group</v>
      </c>
      <c r="N1078" s="2" t="s">
        <v>440</v>
      </c>
      <c r="O1078" s="2">
        <f>VLOOKUP(N1078,Equipes!A:C,3,0)</f>
        <v>24</v>
      </c>
      <c r="P1078" s="2" t="str">
        <f t="shared" si="5"/>
        <v>Group</v>
      </c>
      <c r="Q1078" s="2">
        <f t="shared" si="6"/>
        <v>3</v>
      </c>
      <c r="R1078" s="2" t="str">
        <f>VLOOKUP(J1078,Equipes!A:B,2,0)</f>
        <v>Auckland</v>
      </c>
      <c r="S1078" s="6" t="s">
        <v>161</v>
      </c>
      <c r="T1078" s="7">
        <v>7.0</v>
      </c>
      <c r="U1078" s="7" t="s">
        <v>162</v>
      </c>
      <c r="V1078" s="7" t="str">
        <f>VLOOKUP(U1078,Jogadores!B:C,2,0)</f>
        <v>FW</v>
      </c>
      <c r="W1078" s="8">
        <f>VLOOKUP(U1078,Jogadores!B:D,3,0)</f>
        <v>28.28219178</v>
      </c>
      <c r="X1078" s="7">
        <v>0.0</v>
      </c>
      <c r="Y1078" s="7">
        <f t="shared" si="3329"/>
        <v>96</v>
      </c>
      <c r="Z1078" s="7">
        <f>VLOOKUP(A1078,Jogos!A:L,3,0)</f>
        <v>50</v>
      </c>
      <c r="AA1078" s="7">
        <f t="shared" si="2229"/>
        <v>50</v>
      </c>
      <c r="AB1078" s="7">
        <f>VLOOKUP(A1078,Jogos!A:L,4,0)</f>
        <v>51</v>
      </c>
      <c r="AC1078" s="7">
        <f t="shared" si="2230"/>
        <v>51</v>
      </c>
      <c r="AD1078" s="7"/>
      <c r="AE1078" s="7"/>
      <c r="AF1078" s="7">
        <f t="shared" si="2231"/>
        <v>101</v>
      </c>
      <c r="AG1078" s="7">
        <v>11652.6</v>
      </c>
      <c r="AH1078" s="7">
        <v>4407.2</v>
      </c>
      <c r="AI1078" s="7">
        <v>5117.1</v>
      </c>
      <c r="AJ1078" s="7">
        <v>1473.8</v>
      </c>
      <c r="AK1078" s="7">
        <v>456.8</v>
      </c>
      <c r="AL1078" s="7">
        <v>197.7</v>
      </c>
      <c r="AM1078" s="7">
        <v>105.0</v>
      </c>
      <c r="AN1078" s="7">
        <v>41.0</v>
      </c>
      <c r="AO1078" s="7">
        <v>43.8</v>
      </c>
      <c r="AP1078" s="9">
        <f t="shared" ref="AP1078:AR1078" si="3366">AG1078/$AF1078</f>
        <v>115.3722772</v>
      </c>
      <c r="AQ1078" s="9">
        <f t="shared" si="3366"/>
        <v>43.63564356</v>
      </c>
      <c r="AR1078" s="9">
        <f t="shared" si="3366"/>
        <v>50.66435644</v>
      </c>
      <c r="AS1078" s="9">
        <f t="shared" si="2233"/>
        <v>94.3</v>
      </c>
      <c r="AT1078" s="9">
        <f t="shared" ref="AT1078:AV1078" si="3367">AJ1078/$AF1078</f>
        <v>14.59207921</v>
      </c>
      <c r="AU1078" s="9">
        <f t="shared" si="3367"/>
        <v>4.522772277</v>
      </c>
      <c r="AV1078" s="9">
        <f t="shared" si="3367"/>
        <v>1.957425743</v>
      </c>
      <c r="AW1078" s="9">
        <f t="shared" si="2235"/>
        <v>6.48019802</v>
      </c>
      <c r="AX1078" s="9">
        <f t="shared" ref="AX1078:AY1078" si="3368">AM1078/$AF1078</f>
        <v>1.03960396</v>
      </c>
      <c r="AY1078" s="9">
        <f t="shared" si="3368"/>
        <v>0.4059405941</v>
      </c>
      <c r="AZ1078" s="9">
        <f>VLOOKUP(A1078,Jogos!A:BN,58,0)</f>
        <v>32.65666667</v>
      </c>
      <c r="BA1078" s="9">
        <f>VLOOKUP(A1078,Jogos!A:BN,59,0)</f>
        <v>22.84333333</v>
      </c>
      <c r="BB1078" s="9">
        <f>VLOOKUP(A1078,Jogos!A:BN,60,0)</f>
        <v>55.66666667</v>
      </c>
      <c r="BC1078" s="9">
        <f>VLOOKUP(A1078,Jogos!A:BN,61,0)</f>
        <v>35.02666667</v>
      </c>
      <c r="BD1078" s="9">
        <f>VLOOKUP(A1078,Jogos!A:BN,62,0)</f>
        <v>626.3666667</v>
      </c>
      <c r="BE1078" s="9">
        <f>VLOOKUP(A1078,Jogos!A:BN,63,0)</f>
        <v>0.5066666667</v>
      </c>
      <c r="BF1078" s="9">
        <f>VLOOKUP(A1078,Jogos!A:BN,64,0)</f>
        <v>26.82</v>
      </c>
      <c r="BG1078" s="9">
        <f>VLOOKUP(A1078,Jogos!A:BN,65,0)</f>
        <v>49.09333333</v>
      </c>
      <c r="BH1078" s="9">
        <f>VLOOKUP(A1078,Jogos!A:BN,66,0)</f>
        <v>31.85666667</v>
      </c>
      <c r="BI1078" s="9"/>
      <c r="BJ1078" s="9"/>
    </row>
    <row r="1079" hidden="1">
      <c r="A1079" s="2">
        <v>37.0</v>
      </c>
      <c r="B1079" s="11" t="s">
        <v>121</v>
      </c>
      <c r="C1079" s="2" t="s">
        <v>61</v>
      </c>
      <c r="D1079" s="3">
        <v>45832.0</v>
      </c>
      <c r="E1079" s="4">
        <v>0.5833333333333334</v>
      </c>
      <c r="F1079" s="5" t="str">
        <f>VLOOKUP(A1079,Jogos!A:N,10,0)</f>
        <v>Afternoon</v>
      </c>
      <c r="G1079" s="2" t="s">
        <v>1130</v>
      </c>
      <c r="H1079" s="6" t="str">
        <f>VLOOKUP(A1079,Jogos!A:L,12,0)</f>
        <v>Open</v>
      </c>
      <c r="I1079" s="6" t="str">
        <f>VLOOKUP(G1079,'Estádios e Cidades'!A:B,2,0)</f>
        <v>Nashville</v>
      </c>
      <c r="J1079" s="2" t="s">
        <v>124</v>
      </c>
      <c r="K1079" s="2" t="str">
        <f>VLOOKUP(J1079,Equipes!A:F,6,0)</f>
        <v>Temperate</v>
      </c>
      <c r="L1079" s="2">
        <f>VLOOKUP(J1079,Equipes!A:C,3,0)</f>
        <v>27</v>
      </c>
      <c r="M1079" s="2" t="str">
        <f t="shared" si="4"/>
        <v>Group</v>
      </c>
      <c r="N1079" s="2" t="s">
        <v>440</v>
      </c>
      <c r="O1079" s="2">
        <f>VLOOKUP(N1079,Equipes!A:C,3,0)</f>
        <v>24</v>
      </c>
      <c r="P1079" s="2" t="str">
        <f t="shared" si="5"/>
        <v>Group</v>
      </c>
      <c r="Q1079" s="2">
        <f t="shared" si="6"/>
        <v>3</v>
      </c>
      <c r="R1079" s="2" t="str">
        <f>VLOOKUP(J1079,Equipes!A:B,2,0)</f>
        <v>Auckland</v>
      </c>
      <c r="S1079" s="6" t="s">
        <v>163</v>
      </c>
      <c r="T1079" s="7">
        <v>8.0</v>
      </c>
      <c r="U1079" s="7" t="s">
        <v>164</v>
      </c>
      <c r="V1079" s="7" t="str">
        <f>VLOOKUP(U1079,Jogadores!B:C,2,0)</f>
        <v>MF</v>
      </c>
      <c r="W1079" s="8">
        <f>VLOOKUP(U1079,Jogadores!B:D,3,0)</f>
        <v>32.1890411</v>
      </c>
      <c r="X1079" s="7">
        <v>0.0</v>
      </c>
      <c r="Y1079" s="7">
        <v>54.0</v>
      </c>
      <c r="Z1079" s="7">
        <f>VLOOKUP(A1079,Jogos!A:L,3,0)</f>
        <v>50</v>
      </c>
      <c r="AA1079" s="7">
        <f t="shared" si="2229"/>
        <v>50</v>
      </c>
      <c r="AB1079" s="7">
        <f>VLOOKUP(A1079,Jogos!A:L,4,0)</f>
        <v>51</v>
      </c>
      <c r="AC1079" s="7">
        <f t="shared" si="2230"/>
        <v>9</v>
      </c>
      <c r="AD1079" s="7"/>
      <c r="AE1079" s="7"/>
      <c r="AF1079" s="7">
        <f t="shared" si="2231"/>
        <v>59</v>
      </c>
      <c r="AG1079" s="7">
        <v>7964.8</v>
      </c>
      <c r="AH1079" s="7">
        <v>1872.7</v>
      </c>
      <c r="AI1079" s="7">
        <v>4568.8</v>
      </c>
      <c r="AJ1079" s="7">
        <v>1257.4</v>
      </c>
      <c r="AK1079" s="7">
        <v>161.8</v>
      </c>
      <c r="AL1079" s="7">
        <v>104.2</v>
      </c>
      <c r="AM1079" s="7">
        <v>95.0</v>
      </c>
      <c r="AN1079" s="7">
        <v>12.0</v>
      </c>
      <c r="AO1079" s="7">
        <v>30.5</v>
      </c>
      <c r="AP1079" s="9">
        <f t="shared" ref="AP1079:AR1079" si="3369">AG1079/$AF1079</f>
        <v>134.9966102</v>
      </c>
      <c r="AQ1079" s="9">
        <f t="shared" si="3369"/>
        <v>31.74067797</v>
      </c>
      <c r="AR1079" s="9">
        <f t="shared" si="3369"/>
        <v>77.43728814</v>
      </c>
      <c r="AS1079" s="9">
        <f t="shared" si="2233"/>
        <v>109.1779661</v>
      </c>
      <c r="AT1079" s="9">
        <f t="shared" ref="AT1079:AV1079" si="3370">AJ1079/$AF1079</f>
        <v>21.31186441</v>
      </c>
      <c r="AU1079" s="9">
        <f t="shared" si="3370"/>
        <v>2.742372881</v>
      </c>
      <c r="AV1079" s="9">
        <f t="shared" si="3370"/>
        <v>1.766101695</v>
      </c>
      <c r="AW1079" s="9">
        <f t="shared" si="2235"/>
        <v>4.508474576</v>
      </c>
      <c r="AX1079" s="9">
        <f t="shared" ref="AX1079:AY1079" si="3371">AM1079/$AF1079</f>
        <v>1.610169492</v>
      </c>
      <c r="AY1079" s="9">
        <f t="shared" si="3371"/>
        <v>0.2033898305</v>
      </c>
      <c r="AZ1079" s="9">
        <f>VLOOKUP(A1079,Jogos!A:BN,58,0)</f>
        <v>32.65666667</v>
      </c>
      <c r="BA1079" s="9">
        <f>VLOOKUP(A1079,Jogos!A:BN,59,0)</f>
        <v>22.84333333</v>
      </c>
      <c r="BB1079" s="9">
        <f>VLOOKUP(A1079,Jogos!A:BN,60,0)</f>
        <v>55.66666667</v>
      </c>
      <c r="BC1079" s="9">
        <f>VLOOKUP(A1079,Jogos!A:BN,61,0)</f>
        <v>35.02666667</v>
      </c>
      <c r="BD1079" s="9">
        <f>VLOOKUP(A1079,Jogos!A:BN,62,0)</f>
        <v>626.3666667</v>
      </c>
      <c r="BE1079" s="9">
        <f>VLOOKUP(A1079,Jogos!A:BN,63,0)</f>
        <v>0.5066666667</v>
      </c>
      <c r="BF1079" s="9">
        <f>VLOOKUP(A1079,Jogos!A:BN,64,0)</f>
        <v>26.82</v>
      </c>
      <c r="BG1079" s="9">
        <f>VLOOKUP(A1079,Jogos!A:BN,65,0)</f>
        <v>49.09333333</v>
      </c>
      <c r="BH1079" s="9">
        <f>VLOOKUP(A1079,Jogos!A:BN,66,0)</f>
        <v>31.85666667</v>
      </c>
      <c r="BI1079" s="9"/>
      <c r="BJ1079" s="9"/>
    </row>
    <row r="1080" hidden="1">
      <c r="A1080" s="2">
        <v>37.0</v>
      </c>
      <c r="B1080" s="11" t="s">
        <v>121</v>
      </c>
      <c r="C1080" s="2" t="s">
        <v>61</v>
      </c>
      <c r="D1080" s="3">
        <v>45832.0</v>
      </c>
      <c r="E1080" s="4">
        <v>0.5833333333333334</v>
      </c>
      <c r="F1080" s="5" t="str">
        <f>VLOOKUP(A1080,Jogos!A:N,10,0)</f>
        <v>Afternoon</v>
      </c>
      <c r="G1080" s="2" t="s">
        <v>1130</v>
      </c>
      <c r="H1080" s="6" t="str">
        <f>VLOOKUP(A1080,Jogos!A:L,12,0)</f>
        <v>Open</v>
      </c>
      <c r="I1080" s="6" t="str">
        <f>VLOOKUP(G1080,'Estádios e Cidades'!A:B,2,0)</f>
        <v>Nashville</v>
      </c>
      <c r="J1080" s="2" t="s">
        <v>124</v>
      </c>
      <c r="K1080" s="2" t="str">
        <f>VLOOKUP(J1080,Equipes!A:F,6,0)</f>
        <v>Temperate</v>
      </c>
      <c r="L1080" s="2">
        <f>VLOOKUP(J1080,Equipes!A:C,3,0)</f>
        <v>27</v>
      </c>
      <c r="M1080" s="2" t="str">
        <f t="shared" si="4"/>
        <v>Group</v>
      </c>
      <c r="N1080" s="2" t="s">
        <v>440</v>
      </c>
      <c r="O1080" s="2">
        <f>VLOOKUP(N1080,Equipes!A:C,3,0)</f>
        <v>24</v>
      </c>
      <c r="P1080" s="2" t="str">
        <f t="shared" si="5"/>
        <v>Group</v>
      </c>
      <c r="Q1080" s="2">
        <f t="shared" si="6"/>
        <v>3</v>
      </c>
      <c r="R1080" s="2" t="str">
        <f>VLOOKUP(J1080,Equipes!A:B,2,0)</f>
        <v>Auckland</v>
      </c>
      <c r="S1080" s="6" t="s">
        <v>165</v>
      </c>
      <c r="T1080" s="7">
        <v>10.0</v>
      </c>
      <c r="U1080" s="7" t="s">
        <v>166</v>
      </c>
      <c r="V1080" s="7" t="str">
        <f>VLOOKUP(U1080,Jogadores!B:C,2,0)</f>
        <v>FW</v>
      </c>
      <c r="W1080" s="8">
        <f>VLOOKUP(U1080,Jogadores!B:D,3,0)</f>
        <v>33.1369863</v>
      </c>
      <c r="X1080" s="7">
        <v>0.0</v>
      </c>
      <c r="Y1080" s="7">
        <v>68.0</v>
      </c>
      <c r="Z1080" s="7">
        <f>VLOOKUP(A1080,Jogos!A:L,3,0)</f>
        <v>50</v>
      </c>
      <c r="AA1080" s="7">
        <f t="shared" si="2229"/>
        <v>50</v>
      </c>
      <c r="AB1080" s="7">
        <f>VLOOKUP(A1080,Jogos!A:L,4,0)</f>
        <v>51</v>
      </c>
      <c r="AC1080" s="7">
        <f t="shared" si="2230"/>
        <v>23</v>
      </c>
      <c r="AD1080" s="7"/>
      <c r="AE1080" s="7"/>
      <c r="AF1080" s="7">
        <f t="shared" si="2231"/>
        <v>73</v>
      </c>
      <c r="AG1080" s="7">
        <v>9089.5</v>
      </c>
      <c r="AH1080" s="7">
        <v>2483.3</v>
      </c>
      <c r="AI1080" s="7">
        <v>4751.2</v>
      </c>
      <c r="AJ1080" s="7">
        <v>1295.9</v>
      </c>
      <c r="AK1080" s="7">
        <v>496.7</v>
      </c>
      <c r="AL1080" s="7">
        <v>62.4</v>
      </c>
      <c r="AM1080" s="7">
        <v>121.0</v>
      </c>
      <c r="AN1080" s="7">
        <v>31.0</v>
      </c>
      <c r="AO1080" s="7">
        <v>44.1</v>
      </c>
      <c r="AP1080" s="9">
        <f t="shared" ref="AP1080:AR1080" si="3372">AG1080/$AF1080</f>
        <v>124.5136986</v>
      </c>
      <c r="AQ1080" s="9">
        <f t="shared" si="3372"/>
        <v>34.01780822</v>
      </c>
      <c r="AR1080" s="9">
        <f t="shared" si="3372"/>
        <v>65.08493151</v>
      </c>
      <c r="AS1080" s="9">
        <f t="shared" si="2233"/>
        <v>99.10273973</v>
      </c>
      <c r="AT1080" s="9">
        <f t="shared" ref="AT1080:AV1080" si="3373">AJ1080/$AF1080</f>
        <v>17.75205479</v>
      </c>
      <c r="AU1080" s="9">
        <f t="shared" si="3373"/>
        <v>6.804109589</v>
      </c>
      <c r="AV1080" s="9">
        <f t="shared" si="3373"/>
        <v>0.8547945205</v>
      </c>
      <c r="AW1080" s="9">
        <f t="shared" si="2235"/>
        <v>7.65890411</v>
      </c>
      <c r="AX1080" s="9">
        <f t="shared" ref="AX1080:AY1080" si="3374">AM1080/$AF1080</f>
        <v>1.657534247</v>
      </c>
      <c r="AY1080" s="9">
        <f t="shared" si="3374"/>
        <v>0.4246575342</v>
      </c>
      <c r="AZ1080" s="9">
        <f>VLOOKUP(A1080,Jogos!A:BN,58,0)</f>
        <v>32.65666667</v>
      </c>
      <c r="BA1080" s="9">
        <f>VLOOKUP(A1080,Jogos!A:BN,59,0)</f>
        <v>22.84333333</v>
      </c>
      <c r="BB1080" s="9">
        <f>VLOOKUP(A1080,Jogos!A:BN,60,0)</f>
        <v>55.66666667</v>
      </c>
      <c r="BC1080" s="9">
        <f>VLOOKUP(A1080,Jogos!A:BN,61,0)</f>
        <v>35.02666667</v>
      </c>
      <c r="BD1080" s="9">
        <f>VLOOKUP(A1080,Jogos!A:BN,62,0)</f>
        <v>626.3666667</v>
      </c>
      <c r="BE1080" s="9">
        <f>VLOOKUP(A1080,Jogos!A:BN,63,0)</f>
        <v>0.5066666667</v>
      </c>
      <c r="BF1080" s="9">
        <f>VLOOKUP(A1080,Jogos!A:BN,64,0)</f>
        <v>26.82</v>
      </c>
      <c r="BG1080" s="9">
        <f>VLOOKUP(A1080,Jogos!A:BN,65,0)</f>
        <v>49.09333333</v>
      </c>
      <c r="BH1080" s="9">
        <f>VLOOKUP(A1080,Jogos!A:BN,66,0)</f>
        <v>31.85666667</v>
      </c>
      <c r="BI1080" s="9"/>
      <c r="BJ1080" s="9"/>
    </row>
    <row r="1081" hidden="1">
      <c r="A1081" s="2">
        <v>37.0</v>
      </c>
      <c r="B1081" s="11" t="s">
        <v>121</v>
      </c>
      <c r="C1081" s="2" t="s">
        <v>61</v>
      </c>
      <c r="D1081" s="3">
        <v>45832.0</v>
      </c>
      <c r="E1081" s="4">
        <v>0.5833333333333334</v>
      </c>
      <c r="F1081" s="5" t="str">
        <f>VLOOKUP(A1081,Jogos!A:N,10,0)</f>
        <v>Afternoon</v>
      </c>
      <c r="G1081" s="2" t="s">
        <v>1130</v>
      </c>
      <c r="H1081" s="6" t="str">
        <f>VLOOKUP(A1081,Jogos!A:L,12,0)</f>
        <v>Open</v>
      </c>
      <c r="I1081" s="6" t="str">
        <f>VLOOKUP(G1081,'Estádios e Cidades'!A:B,2,0)</f>
        <v>Nashville</v>
      </c>
      <c r="J1081" s="2" t="s">
        <v>124</v>
      </c>
      <c r="K1081" s="2" t="str">
        <f>VLOOKUP(J1081,Equipes!A:F,6,0)</f>
        <v>Temperate</v>
      </c>
      <c r="L1081" s="2">
        <f>VLOOKUP(J1081,Equipes!A:C,3,0)</f>
        <v>27</v>
      </c>
      <c r="M1081" s="2" t="str">
        <f t="shared" si="4"/>
        <v>Group</v>
      </c>
      <c r="N1081" s="2" t="s">
        <v>440</v>
      </c>
      <c r="O1081" s="2">
        <f>VLOOKUP(N1081,Equipes!A:C,3,0)</f>
        <v>24</v>
      </c>
      <c r="P1081" s="2" t="str">
        <f t="shared" si="5"/>
        <v>Group</v>
      </c>
      <c r="Q1081" s="2">
        <f t="shared" si="6"/>
        <v>3</v>
      </c>
      <c r="R1081" s="2" t="str">
        <f>VLOOKUP(J1081,Equipes!A:B,2,0)</f>
        <v>Auckland</v>
      </c>
      <c r="S1081" s="6" t="s">
        <v>167</v>
      </c>
      <c r="T1081" s="7">
        <v>12.0</v>
      </c>
      <c r="U1081" s="7" t="s">
        <v>168</v>
      </c>
      <c r="V1081" s="7" t="str">
        <f>VLOOKUP(U1081,Jogadores!B:C,2,0)</f>
        <v>DF</v>
      </c>
      <c r="W1081" s="8">
        <f>VLOOKUP(U1081,Jogadores!B:D,3,0)</f>
        <v>29.22465753</v>
      </c>
      <c r="X1081" s="7">
        <v>0.0</v>
      </c>
      <c r="Y1081" s="7">
        <v>54.0</v>
      </c>
      <c r="Z1081" s="7">
        <f>VLOOKUP(A1081,Jogos!A:L,3,0)</f>
        <v>50</v>
      </c>
      <c r="AA1081" s="7">
        <f t="shared" si="2229"/>
        <v>50</v>
      </c>
      <c r="AB1081" s="7">
        <f>VLOOKUP(A1081,Jogos!A:L,4,0)</f>
        <v>51</v>
      </c>
      <c r="AC1081" s="7">
        <f t="shared" si="2230"/>
        <v>9</v>
      </c>
      <c r="AD1081" s="7"/>
      <c r="AE1081" s="7"/>
      <c r="AF1081" s="7">
        <f t="shared" si="2231"/>
        <v>59</v>
      </c>
      <c r="AG1081" s="7">
        <v>6766.3</v>
      </c>
      <c r="AH1081" s="7">
        <v>2651.7</v>
      </c>
      <c r="AI1081" s="7">
        <v>3081.3</v>
      </c>
      <c r="AJ1081" s="7">
        <v>732.1</v>
      </c>
      <c r="AK1081" s="7">
        <v>234.6</v>
      </c>
      <c r="AL1081" s="7">
        <v>66.6</v>
      </c>
      <c r="AM1081" s="7">
        <v>63.0</v>
      </c>
      <c r="AN1081" s="7">
        <v>18.0</v>
      </c>
      <c r="AO1081" s="7">
        <v>27.5</v>
      </c>
      <c r="AP1081" s="9">
        <f t="shared" ref="AP1081:AR1081" si="3375">AG1081/$AF1081</f>
        <v>114.6830508</v>
      </c>
      <c r="AQ1081" s="9">
        <f t="shared" si="3375"/>
        <v>44.9440678</v>
      </c>
      <c r="AR1081" s="9">
        <f t="shared" si="3375"/>
        <v>52.22542373</v>
      </c>
      <c r="AS1081" s="9">
        <f t="shared" si="2233"/>
        <v>97.16949153</v>
      </c>
      <c r="AT1081" s="9">
        <f t="shared" ref="AT1081:AV1081" si="3376">AJ1081/$AF1081</f>
        <v>12.40847458</v>
      </c>
      <c r="AU1081" s="9">
        <f t="shared" si="3376"/>
        <v>3.976271186</v>
      </c>
      <c r="AV1081" s="9">
        <f t="shared" si="3376"/>
        <v>1.128813559</v>
      </c>
      <c r="AW1081" s="9">
        <f t="shared" si="2235"/>
        <v>5.105084746</v>
      </c>
      <c r="AX1081" s="9">
        <f t="shared" ref="AX1081:AY1081" si="3377">AM1081/$AF1081</f>
        <v>1.06779661</v>
      </c>
      <c r="AY1081" s="9">
        <f t="shared" si="3377"/>
        <v>0.3050847458</v>
      </c>
      <c r="AZ1081" s="9">
        <f>VLOOKUP(A1081,Jogos!A:BN,58,0)</f>
        <v>32.65666667</v>
      </c>
      <c r="BA1081" s="9">
        <f>VLOOKUP(A1081,Jogos!A:BN,59,0)</f>
        <v>22.84333333</v>
      </c>
      <c r="BB1081" s="9">
        <f>VLOOKUP(A1081,Jogos!A:BN,60,0)</f>
        <v>55.66666667</v>
      </c>
      <c r="BC1081" s="9">
        <f>VLOOKUP(A1081,Jogos!A:BN,61,0)</f>
        <v>35.02666667</v>
      </c>
      <c r="BD1081" s="9">
        <f>VLOOKUP(A1081,Jogos!A:BN,62,0)</f>
        <v>626.3666667</v>
      </c>
      <c r="BE1081" s="9">
        <f>VLOOKUP(A1081,Jogos!A:BN,63,0)</f>
        <v>0.5066666667</v>
      </c>
      <c r="BF1081" s="9">
        <f>VLOOKUP(A1081,Jogos!A:BN,64,0)</f>
        <v>26.82</v>
      </c>
      <c r="BG1081" s="9">
        <f>VLOOKUP(A1081,Jogos!A:BN,65,0)</f>
        <v>49.09333333</v>
      </c>
      <c r="BH1081" s="9">
        <f>VLOOKUP(A1081,Jogos!A:BN,66,0)</f>
        <v>31.85666667</v>
      </c>
      <c r="BI1081" s="9"/>
      <c r="BJ1081" s="9"/>
    </row>
    <row r="1082" hidden="1">
      <c r="A1082" s="2">
        <v>37.0</v>
      </c>
      <c r="B1082" s="11" t="s">
        <v>121</v>
      </c>
      <c r="C1082" s="2" t="s">
        <v>61</v>
      </c>
      <c r="D1082" s="3">
        <v>45832.0</v>
      </c>
      <c r="E1082" s="4">
        <v>0.5833333333333334</v>
      </c>
      <c r="F1082" s="5" t="str">
        <f>VLOOKUP(A1082,Jogos!A:N,10,0)</f>
        <v>Afternoon</v>
      </c>
      <c r="G1082" s="2" t="s">
        <v>1130</v>
      </c>
      <c r="H1082" s="6" t="str">
        <f>VLOOKUP(A1082,Jogos!A:L,12,0)</f>
        <v>Open</v>
      </c>
      <c r="I1082" s="6" t="str">
        <f>VLOOKUP(G1082,'Estádios e Cidades'!A:B,2,0)</f>
        <v>Nashville</v>
      </c>
      <c r="J1082" s="2" t="s">
        <v>124</v>
      </c>
      <c r="K1082" s="2" t="str">
        <f>VLOOKUP(J1082,Equipes!A:F,6,0)</f>
        <v>Temperate</v>
      </c>
      <c r="L1082" s="2">
        <f>VLOOKUP(J1082,Equipes!A:C,3,0)</f>
        <v>27</v>
      </c>
      <c r="M1082" s="2" t="str">
        <f t="shared" si="4"/>
        <v>Group</v>
      </c>
      <c r="N1082" s="2" t="s">
        <v>440</v>
      </c>
      <c r="O1082" s="2">
        <f>VLOOKUP(N1082,Equipes!A:C,3,0)</f>
        <v>24</v>
      </c>
      <c r="P1082" s="2" t="str">
        <f t="shared" si="5"/>
        <v>Group</v>
      </c>
      <c r="Q1082" s="2">
        <f t="shared" si="6"/>
        <v>3</v>
      </c>
      <c r="R1082" s="2" t="str">
        <f>VLOOKUP(J1082,Equipes!A:B,2,0)</f>
        <v>Auckland</v>
      </c>
      <c r="S1082" s="6" t="s">
        <v>179</v>
      </c>
      <c r="T1082" s="7">
        <v>17.0</v>
      </c>
      <c r="U1082" s="7" t="s">
        <v>180</v>
      </c>
      <c r="V1082" s="7" t="str">
        <f>VLOOKUP(U1082,Jogadores!B:C,2,0)</f>
        <v>FW</v>
      </c>
      <c r="W1082" s="8">
        <f>VLOOKUP(U1082,Jogadores!B:D,3,0)</f>
        <v>23.56164384</v>
      </c>
      <c r="X1082" s="7">
        <v>0.0</v>
      </c>
      <c r="Y1082" s="7">
        <v>83.0</v>
      </c>
      <c r="Z1082" s="7">
        <f>VLOOKUP(A1082,Jogos!A:L,3,0)</f>
        <v>50</v>
      </c>
      <c r="AA1082" s="7">
        <f t="shared" si="2229"/>
        <v>50</v>
      </c>
      <c r="AB1082" s="7">
        <f>VLOOKUP(A1082,Jogos!A:L,4,0)</f>
        <v>51</v>
      </c>
      <c r="AC1082" s="7">
        <f t="shared" si="2230"/>
        <v>38</v>
      </c>
      <c r="AD1082" s="7"/>
      <c r="AE1082" s="7"/>
      <c r="AF1082" s="7">
        <f t="shared" si="2231"/>
        <v>88</v>
      </c>
      <c r="AG1082" s="7">
        <v>8826.4</v>
      </c>
      <c r="AH1082" s="7">
        <v>3313.7</v>
      </c>
      <c r="AI1082" s="7">
        <v>4533.8</v>
      </c>
      <c r="AJ1082" s="7">
        <v>746.4</v>
      </c>
      <c r="AK1082" s="7">
        <v>133.5</v>
      </c>
      <c r="AL1082" s="7">
        <v>99.1</v>
      </c>
      <c r="AM1082" s="7">
        <v>65.0</v>
      </c>
      <c r="AN1082" s="7">
        <v>13.0</v>
      </c>
      <c r="AO1082" s="7">
        <v>42.6</v>
      </c>
      <c r="AP1082" s="9">
        <f t="shared" ref="AP1082:AR1082" si="3378">AG1082/$AF1082</f>
        <v>100.3</v>
      </c>
      <c r="AQ1082" s="9">
        <f t="shared" si="3378"/>
        <v>37.65568182</v>
      </c>
      <c r="AR1082" s="9">
        <f t="shared" si="3378"/>
        <v>51.52045455</v>
      </c>
      <c r="AS1082" s="9">
        <f t="shared" si="2233"/>
        <v>89.17613636</v>
      </c>
      <c r="AT1082" s="9">
        <f t="shared" ref="AT1082:AV1082" si="3379">AJ1082/$AF1082</f>
        <v>8.481818182</v>
      </c>
      <c r="AU1082" s="9">
        <f t="shared" si="3379"/>
        <v>1.517045455</v>
      </c>
      <c r="AV1082" s="9">
        <f t="shared" si="3379"/>
        <v>1.126136364</v>
      </c>
      <c r="AW1082" s="9">
        <f t="shared" si="2235"/>
        <v>2.643181818</v>
      </c>
      <c r="AX1082" s="9">
        <f t="shared" ref="AX1082:AY1082" si="3380">AM1082/$AF1082</f>
        <v>0.7386363636</v>
      </c>
      <c r="AY1082" s="9">
        <f t="shared" si="3380"/>
        <v>0.1477272727</v>
      </c>
      <c r="AZ1082" s="9">
        <f>VLOOKUP(A1082,Jogos!A:BN,58,0)</f>
        <v>32.65666667</v>
      </c>
      <c r="BA1082" s="9">
        <f>VLOOKUP(A1082,Jogos!A:BN,59,0)</f>
        <v>22.84333333</v>
      </c>
      <c r="BB1082" s="9">
        <f>VLOOKUP(A1082,Jogos!A:BN,60,0)</f>
        <v>55.66666667</v>
      </c>
      <c r="BC1082" s="9">
        <f>VLOOKUP(A1082,Jogos!A:BN,61,0)</f>
        <v>35.02666667</v>
      </c>
      <c r="BD1082" s="9">
        <f>VLOOKUP(A1082,Jogos!A:BN,62,0)</f>
        <v>626.3666667</v>
      </c>
      <c r="BE1082" s="9">
        <f>VLOOKUP(A1082,Jogos!A:BN,63,0)</f>
        <v>0.5066666667</v>
      </c>
      <c r="BF1082" s="9">
        <f>VLOOKUP(A1082,Jogos!A:BN,64,0)</f>
        <v>26.82</v>
      </c>
      <c r="BG1082" s="9">
        <f>VLOOKUP(A1082,Jogos!A:BN,65,0)</f>
        <v>49.09333333</v>
      </c>
      <c r="BH1082" s="9">
        <f>VLOOKUP(A1082,Jogos!A:BN,66,0)</f>
        <v>31.85666667</v>
      </c>
      <c r="BI1082" s="9"/>
      <c r="BJ1082" s="9"/>
    </row>
    <row r="1083" hidden="1">
      <c r="A1083" s="2">
        <v>37.0</v>
      </c>
      <c r="B1083" s="11" t="s">
        <v>121</v>
      </c>
      <c r="C1083" s="2" t="s">
        <v>61</v>
      </c>
      <c r="D1083" s="3">
        <v>45832.0</v>
      </c>
      <c r="E1083" s="4">
        <v>0.5833333333333334</v>
      </c>
      <c r="F1083" s="5" t="str">
        <f>VLOOKUP(A1083,Jogos!A:N,10,0)</f>
        <v>Afternoon</v>
      </c>
      <c r="G1083" s="2" t="s">
        <v>1130</v>
      </c>
      <c r="H1083" s="6" t="str">
        <f>VLOOKUP(A1083,Jogos!A:L,12,0)</f>
        <v>Open</v>
      </c>
      <c r="I1083" s="6" t="str">
        <f>VLOOKUP(G1083,'Estádios e Cidades'!A:B,2,0)</f>
        <v>Nashville</v>
      </c>
      <c r="J1083" s="2" t="s">
        <v>124</v>
      </c>
      <c r="K1083" s="2" t="str">
        <f>VLOOKUP(J1083,Equipes!A:F,6,0)</f>
        <v>Temperate</v>
      </c>
      <c r="L1083" s="2">
        <f>VLOOKUP(J1083,Equipes!A:C,3,0)</f>
        <v>27</v>
      </c>
      <c r="M1083" s="2" t="str">
        <f t="shared" si="4"/>
        <v>Group</v>
      </c>
      <c r="N1083" s="2" t="s">
        <v>440</v>
      </c>
      <c r="O1083" s="2">
        <f>VLOOKUP(N1083,Equipes!A:C,3,0)</f>
        <v>24</v>
      </c>
      <c r="P1083" s="2" t="str">
        <f t="shared" si="5"/>
        <v>Group</v>
      </c>
      <c r="Q1083" s="2">
        <f t="shared" si="6"/>
        <v>3</v>
      </c>
      <c r="R1083" s="2" t="str">
        <f>VLOOKUP(J1083,Equipes!A:B,2,0)</f>
        <v>Auckland</v>
      </c>
      <c r="S1083" s="6" t="s">
        <v>173</v>
      </c>
      <c r="T1083" s="7">
        <v>26.0</v>
      </c>
      <c r="U1083" s="7" t="s">
        <v>174</v>
      </c>
      <c r="V1083" s="7" t="str">
        <f>VLOOKUP(U1083,Jogadores!B:C,2,0)</f>
        <v>FW</v>
      </c>
      <c r="W1083" s="8">
        <f>VLOOKUP(U1083,Jogadores!B:D,3,0)</f>
        <v>25.65753425</v>
      </c>
      <c r="X1083" s="7">
        <v>0.0</v>
      </c>
      <c r="Y1083" s="7">
        <v>54.0</v>
      </c>
      <c r="Z1083" s="7">
        <f>VLOOKUP(A1083,Jogos!A:L,3,0)</f>
        <v>50</v>
      </c>
      <c r="AA1083" s="7">
        <f t="shared" si="2229"/>
        <v>50</v>
      </c>
      <c r="AB1083" s="7">
        <f>VLOOKUP(A1083,Jogos!A:L,4,0)</f>
        <v>51</v>
      </c>
      <c r="AC1083" s="7">
        <f t="shared" si="2230"/>
        <v>9</v>
      </c>
      <c r="AD1083" s="7"/>
      <c r="AE1083" s="7"/>
      <c r="AF1083" s="7">
        <f t="shared" si="2231"/>
        <v>59</v>
      </c>
      <c r="AG1083" s="7">
        <v>7438.7</v>
      </c>
      <c r="AH1083" s="7">
        <v>2127.3</v>
      </c>
      <c r="AI1083" s="7">
        <v>3909.2</v>
      </c>
      <c r="AJ1083" s="7">
        <v>1076.2</v>
      </c>
      <c r="AK1083" s="7">
        <v>263.6</v>
      </c>
      <c r="AL1083" s="7">
        <v>62.3</v>
      </c>
      <c r="AM1083" s="7">
        <v>85.0</v>
      </c>
      <c r="AN1083" s="7">
        <v>22.0</v>
      </c>
      <c r="AO1083" s="7">
        <v>28.6</v>
      </c>
      <c r="AP1083" s="9">
        <f t="shared" ref="AP1083:AR1083" si="3381">AG1083/$AF1083</f>
        <v>126.079661</v>
      </c>
      <c r="AQ1083" s="9">
        <f t="shared" si="3381"/>
        <v>36.0559322</v>
      </c>
      <c r="AR1083" s="9">
        <f t="shared" si="3381"/>
        <v>66.25762712</v>
      </c>
      <c r="AS1083" s="9">
        <f t="shared" si="2233"/>
        <v>102.3135593</v>
      </c>
      <c r="AT1083" s="9">
        <f t="shared" ref="AT1083:AV1083" si="3382">AJ1083/$AF1083</f>
        <v>18.24067797</v>
      </c>
      <c r="AU1083" s="9">
        <f t="shared" si="3382"/>
        <v>4.46779661</v>
      </c>
      <c r="AV1083" s="9">
        <f t="shared" si="3382"/>
        <v>1.055932203</v>
      </c>
      <c r="AW1083" s="9">
        <f t="shared" si="2235"/>
        <v>5.523728814</v>
      </c>
      <c r="AX1083" s="9">
        <f t="shared" ref="AX1083:AY1083" si="3383">AM1083/$AF1083</f>
        <v>1.440677966</v>
      </c>
      <c r="AY1083" s="9">
        <f t="shared" si="3383"/>
        <v>0.3728813559</v>
      </c>
      <c r="AZ1083" s="9">
        <f>VLOOKUP(A1083,Jogos!A:BN,58,0)</f>
        <v>32.65666667</v>
      </c>
      <c r="BA1083" s="9">
        <f>VLOOKUP(A1083,Jogos!A:BN,59,0)</f>
        <v>22.84333333</v>
      </c>
      <c r="BB1083" s="9">
        <f>VLOOKUP(A1083,Jogos!A:BN,60,0)</f>
        <v>55.66666667</v>
      </c>
      <c r="BC1083" s="9">
        <f>VLOOKUP(A1083,Jogos!A:BN,61,0)</f>
        <v>35.02666667</v>
      </c>
      <c r="BD1083" s="9">
        <f>VLOOKUP(A1083,Jogos!A:BN,62,0)</f>
        <v>626.3666667</v>
      </c>
      <c r="BE1083" s="9">
        <f>VLOOKUP(A1083,Jogos!A:BN,63,0)</f>
        <v>0.5066666667</v>
      </c>
      <c r="BF1083" s="9">
        <f>VLOOKUP(A1083,Jogos!A:BN,64,0)</f>
        <v>26.82</v>
      </c>
      <c r="BG1083" s="9">
        <f>VLOOKUP(A1083,Jogos!A:BN,65,0)</f>
        <v>49.09333333</v>
      </c>
      <c r="BH1083" s="9">
        <f>VLOOKUP(A1083,Jogos!A:BN,66,0)</f>
        <v>31.85666667</v>
      </c>
      <c r="BI1083" s="9"/>
      <c r="BJ1083" s="9"/>
    </row>
    <row r="1084" hidden="1">
      <c r="A1084" s="2">
        <v>37.0</v>
      </c>
      <c r="B1084" s="11" t="s">
        <v>121</v>
      </c>
      <c r="C1084" s="2" t="s">
        <v>61</v>
      </c>
      <c r="D1084" s="3">
        <v>45832.0</v>
      </c>
      <c r="E1084" s="4">
        <v>0.5833333333333334</v>
      </c>
      <c r="F1084" s="5" t="str">
        <f>VLOOKUP(A1084,Jogos!A:N,10,0)</f>
        <v>Afternoon</v>
      </c>
      <c r="G1084" s="2" t="s">
        <v>1130</v>
      </c>
      <c r="H1084" s="6" t="str">
        <f>VLOOKUP(A1084,Jogos!A:L,12,0)</f>
        <v>Open</v>
      </c>
      <c r="I1084" s="6" t="str">
        <f>VLOOKUP(G1084,'Estádios e Cidades'!A:B,2,0)</f>
        <v>Nashville</v>
      </c>
      <c r="J1084" s="2" t="s">
        <v>124</v>
      </c>
      <c r="K1084" s="2" t="str">
        <f>VLOOKUP(J1084,Equipes!A:F,6,0)</f>
        <v>Temperate</v>
      </c>
      <c r="L1084" s="2">
        <f>VLOOKUP(J1084,Equipes!A:C,3,0)</f>
        <v>27</v>
      </c>
      <c r="M1084" s="2" t="str">
        <f t="shared" si="4"/>
        <v>Group</v>
      </c>
      <c r="N1084" s="2" t="s">
        <v>440</v>
      </c>
      <c r="O1084" s="2">
        <f>VLOOKUP(N1084,Equipes!A:C,3,0)</f>
        <v>24</v>
      </c>
      <c r="P1084" s="2" t="str">
        <f t="shared" si="5"/>
        <v>Group</v>
      </c>
      <c r="Q1084" s="2">
        <f t="shared" si="6"/>
        <v>3</v>
      </c>
      <c r="R1084" s="2" t="str">
        <f>VLOOKUP(J1084,Equipes!A:B,2,0)</f>
        <v>Auckland</v>
      </c>
      <c r="S1084" s="6" t="s">
        <v>1255</v>
      </c>
      <c r="T1084" s="7">
        <v>14.0</v>
      </c>
      <c r="U1084" s="7" t="s">
        <v>1256</v>
      </c>
      <c r="V1084" s="7" t="str">
        <f>VLOOKUP(U1084,Jogadores!B:C,2,0)</f>
        <v>MF</v>
      </c>
      <c r="W1084" s="8">
        <f>VLOOKUP(U1084,Jogadores!B:D,3,0)</f>
        <v>31.55342466</v>
      </c>
      <c r="X1084" s="7">
        <v>54.0</v>
      </c>
      <c r="Y1084" s="7">
        <f t="shared" ref="Y1084:Y1089" si="3387">45+AB1084</f>
        <v>96</v>
      </c>
      <c r="Z1084" s="7">
        <f>VLOOKUP(A1084,Jogos!A:L,3,0)</f>
        <v>50</v>
      </c>
      <c r="AA1084" s="7">
        <f t="shared" si="2229"/>
        <v>0</v>
      </c>
      <c r="AB1084" s="7">
        <f>VLOOKUP(A1084,Jogos!A:L,4,0)</f>
        <v>51</v>
      </c>
      <c r="AC1084" s="7">
        <f t="shared" si="2230"/>
        <v>42</v>
      </c>
      <c r="AD1084" s="7"/>
      <c r="AE1084" s="7"/>
      <c r="AF1084" s="7">
        <f t="shared" si="2231"/>
        <v>42</v>
      </c>
      <c r="AG1084" s="7">
        <v>4752.9</v>
      </c>
      <c r="AH1084" s="7">
        <v>1354.9</v>
      </c>
      <c r="AI1084" s="7">
        <v>2313.5</v>
      </c>
      <c r="AJ1084" s="7">
        <v>792.2</v>
      </c>
      <c r="AK1084" s="7">
        <v>260.4</v>
      </c>
      <c r="AL1084" s="7">
        <v>31.9</v>
      </c>
      <c r="AM1084" s="7">
        <v>63.0</v>
      </c>
      <c r="AN1084" s="7">
        <v>16.0</v>
      </c>
      <c r="AO1084" s="7">
        <v>28.7</v>
      </c>
      <c r="AP1084" s="9">
        <f t="shared" ref="AP1084:AR1084" si="3384">AG1084/$AF1084</f>
        <v>113.1642857</v>
      </c>
      <c r="AQ1084" s="9">
        <f t="shared" si="3384"/>
        <v>32.25952381</v>
      </c>
      <c r="AR1084" s="9">
        <f t="shared" si="3384"/>
        <v>55.08333333</v>
      </c>
      <c r="AS1084" s="9">
        <f t="shared" si="2233"/>
        <v>87.34285714</v>
      </c>
      <c r="AT1084" s="9">
        <f t="shared" ref="AT1084:AV1084" si="3385">AJ1084/$AF1084</f>
        <v>18.86190476</v>
      </c>
      <c r="AU1084" s="9">
        <f t="shared" si="3385"/>
        <v>6.2</v>
      </c>
      <c r="AV1084" s="9">
        <f t="shared" si="3385"/>
        <v>0.7595238095</v>
      </c>
      <c r="AW1084" s="9">
        <f t="shared" si="2235"/>
        <v>6.95952381</v>
      </c>
      <c r="AX1084" s="9">
        <f t="shared" ref="AX1084:AY1084" si="3386">AM1084/$AF1084</f>
        <v>1.5</v>
      </c>
      <c r="AY1084" s="9">
        <f t="shared" si="3386"/>
        <v>0.380952381</v>
      </c>
      <c r="AZ1084" s="9">
        <f>VLOOKUP(A1084,Jogos!A:BN,58,0)</f>
        <v>32.65666667</v>
      </c>
      <c r="BA1084" s="9">
        <f>VLOOKUP(A1084,Jogos!A:BN,59,0)</f>
        <v>22.84333333</v>
      </c>
      <c r="BB1084" s="9">
        <f>VLOOKUP(A1084,Jogos!A:BN,60,0)</f>
        <v>55.66666667</v>
      </c>
      <c r="BC1084" s="9">
        <f>VLOOKUP(A1084,Jogos!A:BN,61,0)</f>
        <v>35.02666667</v>
      </c>
      <c r="BD1084" s="9">
        <f>VLOOKUP(A1084,Jogos!A:BN,62,0)</f>
        <v>626.3666667</v>
      </c>
      <c r="BE1084" s="9">
        <f>VLOOKUP(A1084,Jogos!A:BN,63,0)</f>
        <v>0.5066666667</v>
      </c>
      <c r="BF1084" s="9">
        <f>VLOOKUP(A1084,Jogos!A:BN,64,0)</f>
        <v>26.82</v>
      </c>
      <c r="BG1084" s="9">
        <f>VLOOKUP(A1084,Jogos!A:BN,65,0)</f>
        <v>49.09333333</v>
      </c>
      <c r="BH1084" s="9">
        <f>VLOOKUP(A1084,Jogos!A:BN,66,0)</f>
        <v>31.85666667</v>
      </c>
      <c r="BI1084" s="9"/>
      <c r="BJ1084" s="9"/>
    </row>
    <row r="1085" hidden="1">
      <c r="A1085" s="2">
        <v>37.0</v>
      </c>
      <c r="B1085" s="11" t="s">
        <v>121</v>
      </c>
      <c r="C1085" s="2" t="s">
        <v>61</v>
      </c>
      <c r="D1085" s="3">
        <v>45832.0</v>
      </c>
      <c r="E1085" s="4">
        <v>0.5833333333333334</v>
      </c>
      <c r="F1085" s="5" t="str">
        <f>VLOOKUP(A1085,Jogos!A:N,10,0)</f>
        <v>Afternoon</v>
      </c>
      <c r="G1085" s="2" t="s">
        <v>1130</v>
      </c>
      <c r="H1085" s="6" t="str">
        <f>VLOOKUP(A1085,Jogos!A:L,12,0)</f>
        <v>Open</v>
      </c>
      <c r="I1085" s="6" t="str">
        <f>VLOOKUP(G1085,'Estádios e Cidades'!A:B,2,0)</f>
        <v>Nashville</v>
      </c>
      <c r="J1085" s="2" t="s">
        <v>124</v>
      </c>
      <c r="K1085" s="2" t="str">
        <f>VLOOKUP(J1085,Equipes!A:F,6,0)</f>
        <v>Temperate</v>
      </c>
      <c r="L1085" s="2">
        <f>VLOOKUP(J1085,Equipes!A:C,3,0)</f>
        <v>27</v>
      </c>
      <c r="M1085" s="2" t="str">
        <f t="shared" si="4"/>
        <v>Group</v>
      </c>
      <c r="N1085" s="2" t="s">
        <v>440</v>
      </c>
      <c r="O1085" s="2">
        <f>VLOOKUP(N1085,Equipes!A:C,3,0)</f>
        <v>24</v>
      </c>
      <c r="P1085" s="2" t="str">
        <f t="shared" si="5"/>
        <v>Group</v>
      </c>
      <c r="Q1085" s="2">
        <f t="shared" si="6"/>
        <v>3</v>
      </c>
      <c r="R1085" s="2" t="str">
        <f>VLOOKUP(J1085,Equipes!A:B,2,0)</f>
        <v>Auckland</v>
      </c>
      <c r="S1085" s="6" t="s">
        <v>1257</v>
      </c>
      <c r="T1085" s="7">
        <v>16.0</v>
      </c>
      <c r="U1085" s="7" t="s">
        <v>1258</v>
      </c>
      <c r="V1085" s="7" t="str">
        <f>VLOOKUP(U1085,Jogadores!B:C,2,0)</f>
        <v>FW</v>
      </c>
      <c r="W1085" s="8">
        <f>VLOOKUP(U1085,Jogadores!B:D,3,0)</f>
        <v>23.06027397</v>
      </c>
      <c r="X1085" s="7">
        <v>83.0</v>
      </c>
      <c r="Y1085" s="7">
        <f t="shared" si="3387"/>
        <v>96</v>
      </c>
      <c r="Z1085" s="7">
        <f>VLOOKUP(A1085,Jogos!A:L,3,0)</f>
        <v>50</v>
      </c>
      <c r="AA1085" s="7">
        <f t="shared" si="2229"/>
        <v>0</v>
      </c>
      <c r="AB1085" s="7">
        <f>VLOOKUP(A1085,Jogos!A:L,4,0)</f>
        <v>51</v>
      </c>
      <c r="AC1085" s="7">
        <f t="shared" si="2230"/>
        <v>13</v>
      </c>
      <c r="AD1085" s="7"/>
      <c r="AE1085" s="7"/>
      <c r="AF1085" s="7">
        <f t="shared" si="2231"/>
        <v>13</v>
      </c>
      <c r="AG1085" s="7">
        <v>1979.3</v>
      </c>
      <c r="AH1085" s="7">
        <v>521.3</v>
      </c>
      <c r="AI1085" s="7">
        <v>860.2</v>
      </c>
      <c r="AJ1085" s="7">
        <v>385.9</v>
      </c>
      <c r="AK1085" s="7">
        <v>181.2</v>
      </c>
      <c r="AL1085" s="7">
        <v>30.6</v>
      </c>
      <c r="AM1085" s="7">
        <v>35.0</v>
      </c>
      <c r="AN1085" s="7">
        <v>14.0</v>
      </c>
      <c r="AO1085" s="7">
        <v>28.9</v>
      </c>
      <c r="AP1085" s="9">
        <f t="shared" ref="AP1085:AR1085" si="3388">AG1085/$AF1085</f>
        <v>152.2538462</v>
      </c>
      <c r="AQ1085" s="9">
        <f t="shared" si="3388"/>
        <v>40.1</v>
      </c>
      <c r="AR1085" s="9">
        <f t="shared" si="3388"/>
        <v>66.16923077</v>
      </c>
      <c r="AS1085" s="9">
        <f t="shared" si="2233"/>
        <v>106.2692308</v>
      </c>
      <c r="AT1085" s="9">
        <f t="shared" ref="AT1085:AV1085" si="3389">AJ1085/$AF1085</f>
        <v>29.68461538</v>
      </c>
      <c r="AU1085" s="9">
        <f t="shared" si="3389"/>
        <v>13.93846154</v>
      </c>
      <c r="AV1085" s="9">
        <f t="shared" si="3389"/>
        <v>2.353846154</v>
      </c>
      <c r="AW1085" s="9">
        <f t="shared" si="2235"/>
        <v>16.29230769</v>
      </c>
      <c r="AX1085" s="9">
        <f t="shared" ref="AX1085:AY1085" si="3390">AM1085/$AF1085</f>
        <v>2.692307692</v>
      </c>
      <c r="AY1085" s="9">
        <f t="shared" si="3390"/>
        <v>1.076923077</v>
      </c>
      <c r="AZ1085" s="9">
        <f>VLOOKUP(A1085,Jogos!A:BN,58,0)</f>
        <v>32.65666667</v>
      </c>
      <c r="BA1085" s="9">
        <f>VLOOKUP(A1085,Jogos!A:BN,59,0)</f>
        <v>22.84333333</v>
      </c>
      <c r="BB1085" s="9">
        <f>VLOOKUP(A1085,Jogos!A:BN,60,0)</f>
        <v>55.66666667</v>
      </c>
      <c r="BC1085" s="9">
        <f>VLOOKUP(A1085,Jogos!A:BN,61,0)</f>
        <v>35.02666667</v>
      </c>
      <c r="BD1085" s="9">
        <f>VLOOKUP(A1085,Jogos!A:BN,62,0)</f>
        <v>626.3666667</v>
      </c>
      <c r="BE1085" s="9">
        <f>VLOOKUP(A1085,Jogos!A:BN,63,0)</f>
        <v>0.5066666667</v>
      </c>
      <c r="BF1085" s="9">
        <f>VLOOKUP(A1085,Jogos!A:BN,64,0)</f>
        <v>26.82</v>
      </c>
      <c r="BG1085" s="9">
        <f>VLOOKUP(A1085,Jogos!A:BN,65,0)</f>
        <v>49.09333333</v>
      </c>
      <c r="BH1085" s="9">
        <f>VLOOKUP(A1085,Jogos!A:BN,66,0)</f>
        <v>31.85666667</v>
      </c>
      <c r="BI1085" s="9"/>
      <c r="BJ1085" s="9"/>
    </row>
    <row r="1086" hidden="1">
      <c r="A1086" s="2">
        <v>37.0</v>
      </c>
      <c r="B1086" s="11" t="s">
        <v>121</v>
      </c>
      <c r="C1086" s="2" t="s">
        <v>61</v>
      </c>
      <c r="D1086" s="3">
        <v>45832.0</v>
      </c>
      <c r="E1086" s="4">
        <v>0.5833333333333334</v>
      </c>
      <c r="F1086" s="5" t="str">
        <f>VLOOKUP(A1086,Jogos!A:N,10,0)</f>
        <v>Afternoon</v>
      </c>
      <c r="G1086" s="2" t="s">
        <v>1130</v>
      </c>
      <c r="H1086" s="6" t="str">
        <f>VLOOKUP(A1086,Jogos!A:L,12,0)</f>
        <v>Open</v>
      </c>
      <c r="I1086" s="6" t="str">
        <f>VLOOKUP(G1086,'Estádios e Cidades'!A:B,2,0)</f>
        <v>Nashville</v>
      </c>
      <c r="J1086" s="2" t="s">
        <v>124</v>
      </c>
      <c r="K1086" s="2" t="str">
        <f>VLOOKUP(J1086,Equipes!A:F,6,0)</f>
        <v>Temperate</v>
      </c>
      <c r="L1086" s="2">
        <f>VLOOKUP(J1086,Equipes!A:C,3,0)</f>
        <v>27</v>
      </c>
      <c r="M1086" s="2" t="str">
        <f t="shared" si="4"/>
        <v>Group</v>
      </c>
      <c r="N1086" s="2" t="s">
        <v>440</v>
      </c>
      <c r="O1086" s="2">
        <f>VLOOKUP(N1086,Equipes!A:C,3,0)</f>
        <v>24</v>
      </c>
      <c r="P1086" s="2" t="str">
        <f t="shared" si="5"/>
        <v>Group</v>
      </c>
      <c r="Q1086" s="2">
        <f t="shared" si="6"/>
        <v>3</v>
      </c>
      <c r="R1086" s="2" t="str">
        <f>VLOOKUP(J1086,Equipes!A:B,2,0)</f>
        <v>Auckland</v>
      </c>
      <c r="S1086" s="6" t="s">
        <v>1259</v>
      </c>
      <c r="T1086" s="7">
        <v>19.0</v>
      </c>
      <c r="U1086" s="7" t="s">
        <v>1260</v>
      </c>
      <c r="V1086" s="7" t="str">
        <f>VLOOKUP(U1086,Jogadores!B:C,2,0)</f>
        <v>DF</v>
      </c>
      <c r="W1086" s="8">
        <f>VLOOKUP(U1086,Jogadores!B:D,3,0)</f>
        <v>25.21643836</v>
      </c>
      <c r="X1086" s="7">
        <v>54.0</v>
      </c>
      <c r="Y1086" s="7">
        <f t="shared" si="3387"/>
        <v>96</v>
      </c>
      <c r="Z1086" s="7">
        <f>VLOOKUP(A1086,Jogos!A:L,3,0)</f>
        <v>50</v>
      </c>
      <c r="AA1086" s="7">
        <f t="shared" si="2229"/>
        <v>0</v>
      </c>
      <c r="AB1086" s="7">
        <f>VLOOKUP(A1086,Jogos!A:L,4,0)</f>
        <v>51</v>
      </c>
      <c r="AC1086" s="7">
        <f t="shared" si="2230"/>
        <v>42</v>
      </c>
      <c r="AD1086" s="7"/>
      <c r="AE1086" s="7"/>
      <c r="AF1086" s="7">
        <f t="shared" si="2231"/>
        <v>42</v>
      </c>
      <c r="AG1086" s="7">
        <v>4119.0</v>
      </c>
      <c r="AH1086" s="7">
        <v>1628.7</v>
      </c>
      <c r="AI1086" s="7">
        <v>1942.3</v>
      </c>
      <c r="AJ1086" s="7">
        <v>438.5</v>
      </c>
      <c r="AK1086" s="7">
        <v>94.7</v>
      </c>
      <c r="AL1086" s="7">
        <v>14.6</v>
      </c>
      <c r="AM1086" s="7">
        <v>36.0</v>
      </c>
      <c r="AN1086" s="7">
        <v>8.0</v>
      </c>
      <c r="AO1086" s="7">
        <v>27.4</v>
      </c>
      <c r="AP1086" s="9">
        <f t="shared" ref="AP1086:AR1086" si="3391">AG1086/$AF1086</f>
        <v>98.07142857</v>
      </c>
      <c r="AQ1086" s="9">
        <f t="shared" si="3391"/>
        <v>38.77857143</v>
      </c>
      <c r="AR1086" s="9">
        <f t="shared" si="3391"/>
        <v>46.2452381</v>
      </c>
      <c r="AS1086" s="9">
        <f t="shared" si="2233"/>
        <v>85.02380952</v>
      </c>
      <c r="AT1086" s="9">
        <f t="shared" ref="AT1086:AV1086" si="3392">AJ1086/$AF1086</f>
        <v>10.44047619</v>
      </c>
      <c r="AU1086" s="9">
        <f t="shared" si="3392"/>
        <v>2.254761905</v>
      </c>
      <c r="AV1086" s="9">
        <f t="shared" si="3392"/>
        <v>0.3476190476</v>
      </c>
      <c r="AW1086" s="9">
        <f t="shared" si="2235"/>
        <v>2.602380952</v>
      </c>
      <c r="AX1086" s="9">
        <f t="shared" ref="AX1086:AY1086" si="3393">AM1086/$AF1086</f>
        <v>0.8571428571</v>
      </c>
      <c r="AY1086" s="9">
        <f t="shared" si="3393"/>
        <v>0.1904761905</v>
      </c>
      <c r="AZ1086" s="9">
        <f>VLOOKUP(A1086,Jogos!A:BN,58,0)</f>
        <v>32.65666667</v>
      </c>
      <c r="BA1086" s="9">
        <f>VLOOKUP(A1086,Jogos!A:BN,59,0)</f>
        <v>22.84333333</v>
      </c>
      <c r="BB1086" s="9">
        <f>VLOOKUP(A1086,Jogos!A:BN,60,0)</f>
        <v>55.66666667</v>
      </c>
      <c r="BC1086" s="9">
        <f>VLOOKUP(A1086,Jogos!A:BN,61,0)</f>
        <v>35.02666667</v>
      </c>
      <c r="BD1086" s="9">
        <f>VLOOKUP(A1086,Jogos!A:BN,62,0)</f>
        <v>626.3666667</v>
      </c>
      <c r="BE1086" s="9">
        <f>VLOOKUP(A1086,Jogos!A:BN,63,0)</f>
        <v>0.5066666667</v>
      </c>
      <c r="BF1086" s="9">
        <f>VLOOKUP(A1086,Jogos!A:BN,64,0)</f>
        <v>26.82</v>
      </c>
      <c r="BG1086" s="9">
        <f>VLOOKUP(A1086,Jogos!A:BN,65,0)</f>
        <v>49.09333333</v>
      </c>
      <c r="BH1086" s="9">
        <f>VLOOKUP(A1086,Jogos!A:BN,66,0)</f>
        <v>31.85666667</v>
      </c>
      <c r="BI1086" s="9"/>
      <c r="BJ1086" s="9"/>
    </row>
    <row r="1087" hidden="1">
      <c r="A1087" s="2">
        <v>37.0</v>
      </c>
      <c r="B1087" s="11" t="s">
        <v>121</v>
      </c>
      <c r="C1087" s="2" t="s">
        <v>61</v>
      </c>
      <c r="D1087" s="3">
        <v>45832.0</v>
      </c>
      <c r="E1087" s="4">
        <v>0.5833333333333334</v>
      </c>
      <c r="F1087" s="5" t="str">
        <f>VLOOKUP(A1087,Jogos!A:N,10,0)</f>
        <v>Afternoon</v>
      </c>
      <c r="G1087" s="2" t="s">
        <v>1130</v>
      </c>
      <c r="H1087" s="6" t="str">
        <f>VLOOKUP(A1087,Jogos!A:L,12,0)</f>
        <v>Open</v>
      </c>
      <c r="I1087" s="6" t="str">
        <f>VLOOKUP(G1087,'Estádios e Cidades'!A:B,2,0)</f>
        <v>Nashville</v>
      </c>
      <c r="J1087" s="2" t="s">
        <v>124</v>
      </c>
      <c r="K1087" s="2" t="str">
        <f>VLOOKUP(J1087,Equipes!A:F,6,0)</f>
        <v>Temperate</v>
      </c>
      <c r="L1087" s="2">
        <f>VLOOKUP(J1087,Equipes!A:C,3,0)</f>
        <v>27</v>
      </c>
      <c r="M1087" s="2" t="str">
        <f t="shared" si="4"/>
        <v>Group</v>
      </c>
      <c r="N1087" s="2" t="s">
        <v>440</v>
      </c>
      <c r="O1087" s="2">
        <f>VLOOKUP(N1087,Equipes!A:C,3,0)</f>
        <v>24</v>
      </c>
      <c r="P1087" s="2" t="str">
        <f t="shared" si="5"/>
        <v>Group</v>
      </c>
      <c r="Q1087" s="2">
        <f t="shared" si="6"/>
        <v>3</v>
      </c>
      <c r="R1087" s="2" t="str">
        <f>VLOOKUP(J1087,Equipes!A:B,2,0)</f>
        <v>Auckland</v>
      </c>
      <c r="S1087" s="6" t="s">
        <v>1119</v>
      </c>
      <c r="T1087" s="7">
        <v>20.0</v>
      </c>
      <c r="U1087" s="7" t="s">
        <v>1120</v>
      </c>
      <c r="V1087" s="7" t="str">
        <f>VLOOKUP(U1087,Jogadores!B:C,2,0)</f>
        <v>MF</v>
      </c>
      <c r="W1087" s="8">
        <f>VLOOKUP(U1087,Jogadores!B:D,3,0)</f>
        <v>24.43013699</v>
      </c>
      <c r="X1087" s="7">
        <v>54.0</v>
      </c>
      <c r="Y1087" s="7">
        <f t="shared" si="3387"/>
        <v>96</v>
      </c>
      <c r="Z1087" s="7">
        <f>VLOOKUP(A1087,Jogos!A:L,3,0)</f>
        <v>50</v>
      </c>
      <c r="AA1087" s="7">
        <f t="shared" si="2229"/>
        <v>0</v>
      </c>
      <c r="AB1087" s="7">
        <f>VLOOKUP(A1087,Jogos!A:L,4,0)</f>
        <v>51</v>
      </c>
      <c r="AC1087" s="7">
        <f t="shared" si="2230"/>
        <v>42</v>
      </c>
      <c r="AD1087" s="7"/>
      <c r="AE1087" s="7"/>
      <c r="AF1087" s="7">
        <f t="shared" si="2231"/>
        <v>42</v>
      </c>
      <c r="AG1087" s="7">
        <v>4892.4</v>
      </c>
      <c r="AH1087" s="7">
        <v>1532.7</v>
      </c>
      <c r="AI1087" s="7">
        <v>2145.2</v>
      </c>
      <c r="AJ1087" s="7">
        <v>807.9</v>
      </c>
      <c r="AK1087" s="7">
        <v>312.1</v>
      </c>
      <c r="AL1087" s="7">
        <v>94.5</v>
      </c>
      <c r="AM1087" s="7">
        <v>66.0</v>
      </c>
      <c r="AN1087" s="7">
        <v>27.0</v>
      </c>
      <c r="AO1087" s="7">
        <v>31.4</v>
      </c>
      <c r="AP1087" s="9">
        <f t="shared" ref="AP1087:AR1087" si="3394">AG1087/$AF1087</f>
        <v>116.4857143</v>
      </c>
      <c r="AQ1087" s="9">
        <f t="shared" si="3394"/>
        <v>36.49285714</v>
      </c>
      <c r="AR1087" s="9">
        <f t="shared" si="3394"/>
        <v>51.07619048</v>
      </c>
      <c r="AS1087" s="9">
        <f t="shared" si="2233"/>
        <v>87.56904762</v>
      </c>
      <c r="AT1087" s="9">
        <f t="shared" ref="AT1087:AV1087" si="3395">AJ1087/$AF1087</f>
        <v>19.23571429</v>
      </c>
      <c r="AU1087" s="9">
        <f t="shared" si="3395"/>
        <v>7.430952381</v>
      </c>
      <c r="AV1087" s="9">
        <f t="shared" si="3395"/>
        <v>2.25</v>
      </c>
      <c r="AW1087" s="9">
        <f t="shared" si="2235"/>
        <v>9.680952381</v>
      </c>
      <c r="AX1087" s="9">
        <f t="shared" ref="AX1087:AY1087" si="3396">AM1087/$AF1087</f>
        <v>1.571428571</v>
      </c>
      <c r="AY1087" s="9">
        <f t="shared" si="3396"/>
        <v>0.6428571429</v>
      </c>
      <c r="AZ1087" s="9">
        <f>VLOOKUP(A1087,Jogos!A:BN,58,0)</f>
        <v>32.65666667</v>
      </c>
      <c r="BA1087" s="9">
        <f>VLOOKUP(A1087,Jogos!A:BN,59,0)</f>
        <v>22.84333333</v>
      </c>
      <c r="BB1087" s="9">
        <f>VLOOKUP(A1087,Jogos!A:BN,60,0)</f>
        <v>55.66666667</v>
      </c>
      <c r="BC1087" s="9">
        <f>VLOOKUP(A1087,Jogos!A:BN,61,0)</f>
        <v>35.02666667</v>
      </c>
      <c r="BD1087" s="9">
        <f>VLOOKUP(A1087,Jogos!A:BN,62,0)</f>
        <v>626.3666667</v>
      </c>
      <c r="BE1087" s="9">
        <f>VLOOKUP(A1087,Jogos!A:BN,63,0)</f>
        <v>0.5066666667</v>
      </c>
      <c r="BF1087" s="9">
        <f>VLOOKUP(A1087,Jogos!A:BN,64,0)</f>
        <v>26.82</v>
      </c>
      <c r="BG1087" s="9">
        <f>VLOOKUP(A1087,Jogos!A:BN,65,0)</f>
        <v>49.09333333</v>
      </c>
      <c r="BH1087" s="9">
        <f>VLOOKUP(A1087,Jogos!A:BN,66,0)</f>
        <v>31.85666667</v>
      </c>
      <c r="BI1087" s="9"/>
      <c r="BJ1087" s="9"/>
    </row>
    <row r="1088" hidden="1">
      <c r="A1088" s="2">
        <v>37.0</v>
      </c>
      <c r="B1088" s="11" t="s">
        <v>121</v>
      </c>
      <c r="C1088" s="2" t="s">
        <v>61</v>
      </c>
      <c r="D1088" s="3">
        <v>45832.0</v>
      </c>
      <c r="E1088" s="4">
        <v>0.5833333333333334</v>
      </c>
      <c r="F1088" s="5" t="str">
        <f>VLOOKUP(A1088,Jogos!A:N,10,0)</f>
        <v>Afternoon</v>
      </c>
      <c r="G1088" s="2" t="s">
        <v>1130</v>
      </c>
      <c r="H1088" s="6" t="str">
        <f>VLOOKUP(A1088,Jogos!A:L,12,0)</f>
        <v>Open</v>
      </c>
      <c r="I1088" s="6" t="str">
        <f>VLOOKUP(G1088,'Estádios e Cidades'!A:B,2,0)</f>
        <v>Nashville</v>
      </c>
      <c r="J1088" s="2" t="s">
        <v>124</v>
      </c>
      <c r="K1088" s="2" t="str">
        <f>VLOOKUP(J1088,Equipes!A:F,6,0)</f>
        <v>Temperate</v>
      </c>
      <c r="L1088" s="2">
        <f>VLOOKUP(J1088,Equipes!A:C,3,0)</f>
        <v>27</v>
      </c>
      <c r="M1088" s="2" t="str">
        <f t="shared" si="4"/>
        <v>Group</v>
      </c>
      <c r="N1088" s="2" t="s">
        <v>440</v>
      </c>
      <c r="O1088" s="2">
        <f>VLOOKUP(N1088,Equipes!A:C,3,0)</f>
        <v>24</v>
      </c>
      <c r="P1088" s="2" t="str">
        <f t="shared" si="5"/>
        <v>Group</v>
      </c>
      <c r="Q1088" s="2">
        <f t="shared" si="6"/>
        <v>3</v>
      </c>
      <c r="R1088" s="2" t="str">
        <f>VLOOKUP(J1088,Equipes!A:B,2,0)</f>
        <v>Auckland</v>
      </c>
      <c r="S1088" s="6" t="s">
        <v>1113</v>
      </c>
      <c r="T1088" s="7">
        <v>27.0</v>
      </c>
      <c r="U1088" s="7" t="s">
        <v>1114</v>
      </c>
      <c r="V1088" s="7" t="str">
        <f>VLOOKUP(U1088,Jogadores!B:C,2,0)</f>
        <v>FW</v>
      </c>
      <c r="W1088" s="8">
        <f>VLOOKUP(U1088,Jogadores!B:D,3,0)</f>
        <v>24.21917808</v>
      </c>
      <c r="X1088" s="7">
        <v>68.0</v>
      </c>
      <c r="Y1088" s="7">
        <f t="shared" si="3387"/>
        <v>96</v>
      </c>
      <c r="Z1088" s="7">
        <f>VLOOKUP(A1088,Jogos!A:L,3,0)</f>
        <v>50</v>
      </c>
      <c r="AA1088" s="7">
        <f t="shared" si="2229"/>
        <v>0</v>
      </c>
      <c r="AB1088" s="7">
        <f>VLOOKUP(A1088,Jogos!A:L,4,0)</f>
        <v>51</v>
      </c>
      <c r="AC1088" s="7">
        <f t="shared" si="2230"/>
        <v>28</v>
      </c>
      <c r="AD1088" s="7"/>
      <c r="AE1088" s="7"/>
      <c r="AF1088" s="7">
        <f t="shared" si="2231"/>
        <v>28</v>
      </c>
      <c r="AG1088" s="7">
        <v>2825.6</v>
      </c>
      <c r="AH1088" s="7">
        <v>1199.4</v>
      </c>
      <c r="AI1088" s="7">
        <v>1094.5</v>
      </c>
      <c r="AJ1088" s="7">
        <v>314.2</v>
      </c>
      <c r="AK1088" s="7">
        <v>180.4</v>
      </c>
      <c r="AL1088" s="7">
        <v>37.0</v>
      </c>
      <c r="AM1088" s="7">
        <v>30.0</v>
      </c>
      <c r="AN1088" s="7">
        <v>15.0</v>
      </c>
      <c r="AO1088" s="7">
        <v>27.3</v>
      </c>
      <c r="AP1088" s="9">
        <f t="shared" ref="AP1088:AR1088" si="3397">AG1088/$AF1088</f>
        <v>100.9142857</v>
      </c>
      <c r="AQ1088" s="9">
        <f t="shared" si="3397"/>
        <v>42.83571429</v>
      </c>
      <c r="AR1088" s="9">
        <f t="shared" si="3397"/>
        <v>39.08928571</v>
      </c>
      <c r="AS1088" s="9">
        <f t="shared" si="2233"/>
        <v>81.925</v>
      </c>
      <c r="AT1088" s="9">
        <f t="shared" ref="AT1088:AV1088" si="3398">AJ1088/$AF1088</f>
        <v>11.22142857</v>
      </c>
      <c r="AU1088" s="9">
        <f t="shared" si="3398"/>
        <v>6.442857143</v>
      </c>
      <c r="AV1088" s="9">
        <f t="shared" si="3398"/>
        <v>1.321428571</v>
      </c>
      <c r="AW1088" s="9">
        <f t="shared" si="2235"/>
        <v>7.764285714</v>
      </c>
      <c r="AX1088" s="9">
        <f t="shared" ref="AX1088:AY1088" si="3399">AM1088/$AF1088</f>
        <v>1.071428571</v>
      </c>
      <c r="AY1088" s="9">
        <f t="shared" si="3399"/>
        <v>0.5357142857</v>
      </c>
      <c r="AZ1088" s="9">
        <f>VLOOKUP(A1088,Jogos!A:BN,58,0)</f>
        <v>32.65666667</v>
      </c>
      <c r="BA1088" s="9">
        <f>VLOOKUP(A1088,Jogos!A:BN,59,0)</f>
        <v>22.84333333</v>
      </c>
      <c r="BB1088" s="9">
        <f>VLOOKUP(A1088,Jogos!A:BN,60,0)</f>
        <v>55.66666667</v>
      </c>
      <c r="BC1088" s="9">
        <f>VLOOKUP(A1088,Jogos!A:BN,61,0)</f>
        <v>35.02666667</v>
      </c>
      <c r="BD1088" s="9">
        <f>VLOOKUP(A1088,Jogos!A:BN,62,0)</f>
        <v>626.3666667</v>
      </c>
      <c r="BE1088" s="9">
        <f>VLOOKUP(A1088,Jogos!A:BN,63,0)</f>
        <v>0.5066666667</v>
      </c>
      <c r="BF1088" s="9">
        <f>VLOOKUP(A1088,Jogos!A:BN,64,0)</f>
        <v>26.82</v>
      </c>
      <c r="BG1088" s="9">
        <f>VLOOKUP(A1088,Jogos!A:BN,65,0)</f>
        <v>49.09333333</v>
      </c>
      <c r="BH1088" s="9">
        <f>VLOOKUP(A1088,Jogos!A:BN,66,0)</f>
        <v>31.85666667</v>
      </c>
      <c r="BI1088" s="9"/>
      <c r="BJ1088" s="9"/>
    </row>
    <row r="1089" hidden="1">
      <c r="A1089" s="10">
        <v>37.0</v>
      </c>
      <c r="B1089" s="11" t="s">
        <v>121</v>
      </c>
      <c r="C1089" s="2" t="s">
        <v>61</v>
      </c>
      <c r="D1089" s="12">
        <v>45832.0</v>
      </c>
      <c r="E1089" s="13">
        <v>0.5833333333333334</v>
      </c>
      <c r="F1089" s="5" t="str">
        <f>VLOOKUP(A1089,Jogos!A:N,10,0)</f>
        <v>Afternoon</v>
      </c>
      <c r="G1089" s="11" t="s">
        <v>1130</v>
      </c>
      <c r="H1089" s="6" t="str">
        <f>VLOOKUP(A1089,Jogos!A:L,12,0)</f>
        <v>Open</v>
      </c>
      <c r="I1089" s="6" t="str">
        <f>VLOOKUP(G1089,'Estádios e Cidades'!A:B,2,0)</f>
        <v>Nashville</v>
      </c>
      <c r="J1089" s="11" t="s">
        <v>440</v>
      </c>
      <c r="K1089" s="2" t="str">
        <f>VLOOKUP(J1089,Equipes!A:F,6,0)</f>
        <v>Temperate</v>
      </c>
      <c r="L1089" s="2">
        <f>VLOOKUP(J1089,Equipes!A:C,3,0)</f>
        <v>24</v>
      </c>
      <c r="M1089" s="2" t="str">
        <f t="shared" si="4"/>
        <v>Group</v>
      </c>
      <c r="N1089" s="11" t="s">
        <v>124</v>
      </c>
      <c r="O1089" s="2">
        <f>VLOOKUP(N1089,Equipes!A:C,3,0)</f>
        <v>27</v>
      </c>
      <c r="P1089" s="2" t="str">
        <f t="shared" si="5"/>
        <v>Group</v>
      </c>
      <c r="Q1089" s="2">
        <f t="shared" si="6"/>
        <v>-3</v>
      </c>
      <c r="R1089" s="2" t="str">
        <f>VLOOKUP(J1089,Equipes!A:B,2,0)</f>
        <v>Boca</v>
      </c>
      <c r="S1089" s="14" t="s">
        <v>444</v>
      </c>
      <c r="T1089" s="7">
        <v>5.0</v>
      </c>
      <c r="U1089" s="7" t="s">
        <v>445</v>
      </c>
      <c r="V1089" s="7" t="str">
        <f>VLOOKUP(U1089,Jogadores!B:C,2,0)</f>
        <v>MF</v>
      </c>
      <c r="W1089" s="8">
        <f>VLOOKUP(U1089,Jogadores!B:D,3,0)</f>
        <v>34.06849315</v>
      </c>
      <c r="X1089" s="7">
        <v>0.0</v>
      </c>
      <c r="Y1089" s="7">
        <f t="shared" si="3387"/>
        <v>96</v>
      </c>
      <c r="Z1089" s="7">
        <f>VLOOKUP(A1089,Jogos!A:L,3,0)</f>
        <v>50</v>
      </c>
      <c r="AA1089" s="7">
        <f t="shared" si="2229"/>
        <v>50</v>
      </c>
      <c r="AB1089" s="7">
        <f>VLOOKUP(A1089,Jogos!A:L,4,0)</f>
        <v>51</v>
      </c>
      <c r="AC1089" s="7">
        <f t="shared" si="2230"/>
        <v>51</v>
      </c>
      <c r="AD1089" s="7"/>
      <c r="AE1089" s="7"/>
      <c r="AF1089" s="7">
        <f t="shared" si="2231"/>
        <v>101</v>
      </c>
      <c r="AG1089" s="7">
        <v>9693.1</v>
      </c>
      <c r="AH1089" s="7">
        <v>4583.0</v>
      </c>
      <c r="AI1089" s="7">
        <v>4155.3</v>
      </c>
      <c r="AJ1089" s="7">
        <v>788.8</v>
      </c>
      <c r="AK1089" s="7">
        <v>101.0</v>
      </c>
      <c r="AL1089" s="7">
        <v>65.1</v>
      </c>
      <c r="AM1089" s="7">
        <v>70.0</v>
      </c>
      <c r="AN1089" s="7">
        <v>11.0</v>
      </c>
      <c r="AO1089" s="7">
        <v>44.3</v>
      </c>
      <c r="AP1089" s="9">
        <f t="shared" ref="AP1089:AR1089" si="3400">AG1089/$AF1089</f>
        <v>95.97128713</v>
      </c>
      <c r="AQ1089" s="9">
        <f t="shared" si="3400"/>
        <v>45.37623762</v>
      </c>
      <c r="AR1089" s="9">
        <f t="shared" si="3400"/>
        <v>41.14158416</v>
      </c>
      <c r="AS1089" s="9">
        <f t="shared" si="2233"/>
        <v>86.51782178</v>
      </c>
      <c r="AT1089" s="9">
        <f t="shared" ref="AT1089:AV1089" si="3401">AJ1089/$AF1089</f>
        <v>7.80990099</v>
      </c>
      <c r="AU1089" s="9">
        <f t="shared" si="3401"/>
        <v>1</v>
      </c>
      <c r="AV1089" s="9">
        <f t="shared" si="3401"/>
        <v>0.6445544554</v>
      </c>
      <c r="AW1089" s="9">
        <f t="shared" si="2235"/>
        <v>1.644554455</v>
      </c>
      <c r="AX1089" s="9">
        <f t="shared" ref="AX1089:AY1089" si="3402">AM1089/$AF1089</f>
        <v>0.6930693069</v>
      </c>
      <c r="AY1089" s="9">
        <f t="shared" si="3402"/>
        <v>0.1089108911</v>
      </c>
      <c r="AZ1089" s="9">
        <f>VLOOKUP(A1089,Jogos!A:BN,58,0)</f>
        <v>32.65666667</v>
      </c>
      <c r="BA1089" s="9">
        <f>VLOOKUP(A1089,Jogos!A:BN,59,0)</f>
        <v>22.84333333</v>
      </c>
      <c r="BB1089" s="9">
        <f>VLOOKUP(A1089,Jogos!A:BN,60,0)</f>
        <v>55.66666667</v>
      </c>
      <c r="BC1089" s="9">
        <f>VLOOKUP(A1089,Jogos!A:BN,61,0)</f>
        <v>35.02666667</v>
      </c>
      <c r="BD1089" s="9">
        <f>VLOOKUP(A1089,Jogos!A:BN,62,0)</f>
        <v>626.3666667</v>
      </c>
      <c r="BE1089" s="9">
        <f>VLOOKUP(A1089,Jogos!A:BN,63,0)</f>
        <v>0.5066666667</v>
      </c>
      <c r="BF1089" s="9">
        <f>VLOOKUP(A1089,Jogos!A:BN,64,0)</f>
        <v>26.82</v>
      </c>
      <c r="BG1089" s="9">
        <f>VLOOKUP(A1089,Jogos!A:BN,65,0)</f>
        <v>49.09333333</v>
      </c>
      <c r="BH1089" s="9">
        <f>VLOOKUP(A1089,Jogos!A:BN,66,0)</f>
        <v>31.85666667</v>
      </c>
      <c r="BI1089" s="9"/>
      <c r="BJ1089" s="9"/>
    </row>
    <row r="1090" hidden="1">
      <c r="A1090" s="10">
        <v>37.0</v>
      </c>
      <c r="B1090" s="11" t="s">
        <v>121</v>
      </c>
      <c r="C1090" s="2" t="s">
        <v>61</v>
      </c>
      <c r="D1090" s="12">
        <v>45832.0</v>
      </c>
      <c r="E1090" s="13">
        <v>0.5833333333333334</v>
      </c>
      <c r="F1090" s="5" t="str">
        <f>VLOOKUP(A1090,Jogos!A:N,10,0)</f>
        <v>Afternoon</v>
      </c>
      <c r="G1090" s="11" t="s">
        <v>1130</v>
      </c>
      <c r="H1090" s="6" t="str">
        <f>VLOOKUP(A1090,Jogos!A:L,12,0)</f>
        <v>Open</v>
      </c>
      <c r="I1090" s="6" t="str">
        <f>VLOOKUP(G1090,'Estádios e Cidades'!A:B,2,0)</f>
        <v>Nashville</v>
      </c>
      <c r="J1090" s="11" t="s">
        <v>440</v>
      </c>
      <c r="K1090" s="2" t="str">
        <f>VLOOKUP(J1090,Equipes!A:F,6,0)</f>
        <v>Temperate</v>
      </c>
      <c r="L1090" s="2">
        <f>VLOOKUP(J1090,Equipes!A:C,3,0)</f>
        <v>24</v>
      </c>
      <c r="M1090" s="2" t="str">
        <f t="shared" si="4"/>
        <v>Group</v>
      </c>
      <c r="N1090" s="11" t="s">
        <v>124</v>
      </c>
      <c r="O1090" s="2">
        <f>VLOOKUP(N1090,Equipes!A:C,3,0)</f>
        <v>27</v>
      </c>
      <c r="P1090" s="2" t="str">
        <f t="shared" si="5"/>
        <v>Group</v>
      </c>
      <c r="Q1090" s="2">
        <f t="shared" si="6"/>
        <v>-3</v>
      </c>
      <c r="R1090" s="2" t="str">
        <f>VLOOKUP(J1090,Equipes!A:B,2,0)</f>
        <v>Boca</v>
      </c>
      <c r="S1090" s="6" t="s">
        <v>462</v>
      </c>
      <c r="T1090" s="7">
        <v>7.0</v>
      </c>
      <c r="U1090" s="7" t="s">
        <v>463</v>
      </c>
      <c r="V1090" s="7" t="str">
        <f>VLOOKUP(U1090,Jogadores!B:C,2,0)</f>
        <v>FW</v>
      </c>
      <c r="W1090" s="8">
        <f>VLOOKUP(U1090,Jogadores!B:D,3,0)</f>
        <v>23.27671233</v>
      </c>
      <c r="X1090" s="7">
        <v>0.0</v>
      </c>
      <c r="Y1090" s="7">
        <v>26.0</v>
      </c>
      <c r="Z1090" s="7">
        <f>VLOOKUP(A1090,Jogos!A:L,3,0)</f>
        <v>50</v>
      </c>
      <c r="AA1090" s="7">
        <f t="shared" si="2229"/>
        <v>26</v>
      </c>
      <c r="AB1090" s="7">
        <f>VLOOKUP(A1090,Jogos!A:L,4,0)</f>
        <v>51</v>
      </c>
      <c r="AC1090" s="7">
        <f t="shared" si="2230"/>
        <v>0</v>
      </c>
      <c r="AD1090" s="7"/>
      <c r="AE1090" s="7"/>
      <c r="AF1090" s="7">
        <f t="shared" si="2231"/>
        <v>26</v>
      </c>
      <c r="AG1090" s="7">
        <v>2588.8</v>
      </c>
      <c r="AH1090" s="7">
        <v>1029.1</v>
      </c>
      <c r="AI1090" s="7">
        <v>1090.0</v>
      </c>
      <c r="AJ1090" s="7">
        <v>280.5</v>
      </c>
      <c r="AK1090" s="7">
        <v>133.6</v>
      </c>
      <c r="AL1090" s="7">
        <v>55.7</v>
      </c>
      <c r="AM1090" s="7">
        <v>22.0</v>
      </c>
      <c r="AN1090" s="7">
        <v>16.0</v>
      </c>
      <c r="AO1090" s="7">
        <v>30.7</v>
      </c>
      <c r="AP1090" s="9">
        <f t="shared" ref="AP1090:AR1090" si="3403">AG1090/$AF1090</f>
        <v>99.56923077</v>
      </c>
      <c r="AQ1090" s="9">
        <f t="shared" si="3403"/>
        <v>39.58076923</v>
      </c>
      <c r="AR1090" s="9">
        <f t="shared" si="3403"/>
        <v>41.92307692</v>
      </c>
      <c r="AS1090" s="9">
        <f t="shared" si="2233"/>
        <v>81.50384615</v>
      </c>
      <c r="AT1090" s="9">
        <f t="shared" ref="AT1090:AV1090" si="3404">AJ1090/$AF1090</f>
        <v>10.78846154</v>
      </c>
      <c r="AU1090" s="9">
        <f t="shared" si="3404"/>
        <v>5.138461538</v>
      </c>
      <c r="AV1090" s="9">
        <f t="shared" si="3404"/>
        <v>2.142307692</v>
      </c>
      <c r="AW1090" s="9">
        <f t="shared" si="2235"/>
        <v>7.280769231</v>
      </c>
      <c r="AX1090" s="9">
        <f t="shared" ref="AX1090:AY1090" si="3405">AM1090/$AF1090</f>
        <v>0.8461538462</v>
      </c>
      <c r="AY1090" s="9">
        <f t="shared" si="3405"/>
        <v>0.6153846154</v>
      </c>
      <c r="AZ1090" s="9">
        <f>VLOOKUP(A1090,Jogos!A:BN,58,0)</f>
        <v>32.65666667</v>
      </c>
      <c r="BA1090" s="9">
        <f>VLOOKUP(A1090,Jogos!A:BN,59,0)</f>
        <v>22.84333333</v>
      </c>
      <c r="BB1090" s="9">
        <f>VLOOKUP(A1090,Jogos!A:BN,60,0)</f>
        <v>55.66666667</v>
      </c>
      <c r="BC1090" s="9">
        <f>VLOOKUP(A1090,Jogos!A:BN,61,0)</f>
        <v>35.02666667</v>
      </c>
      <c r="BD1090" s="9">
        <f>VLOOKUP(A1090,Jogos!A:BN,62,0)</f>
        <v>626.3666667</v>
      </c>
      <c r="BE1090" s="9">
        <f>VLOOKUP(A1090,Jogos!A:BN,63,0)</f>
        <v>0.5066666667</v>
      </c>
      <c r="BF1090" s="9">
        <f>VLOOKUP(A1090,Jogos!A:BN,64,0)</f>
        <v>26.82</v>
      </c>
      <c r="BG1090" s="9">
        <f>VLOOKUP(A1090,Jogos!A:BN,65,0)</f>
        <v>49.09333333</v>
      </c>
      <c r="BH1090" s="9">
        <f>VLOOKUP(A1090,Jogos!A:BN,66,0)</f>
        <v>31.85666667</v>
      </c>
      <c r="BI1090" s="9"/>
      <c r="BJ1090" s="9"/>
    </row>
    <row r="1091" hidden="1">
      <c r="A1091" s="10">
        <v>37.0</v>
      </c>
      <c r="B1091" s="11" t="s">
        <v>121</v>
      </c>
      <c r="C1091" s="2" t="s">
        <v>61</v>
      </c>
      <c r="D1091" s="12">
        <v>45832.0</v>
      </c>
      <c r="E1091" s="13">
        <v>0.5833333333333334</v>
      </c>
      <c r="F1091" s="5" t="str">
        <f>VLOOKUP(A1091,Jogos!A:N,10,0)</f>
        <v>Afternoon</v>
      </c>
      <c r="G1091" s="11" t="s">
        <v>1130</v>
      </c>
      <c r="H1091" s="6" t="str">
        <f>VLOOKUP(A1091,Jogos!A:L,12,0)</f>
        <v>Open</v>
      </c>
      <c r="I1091" s="6" t="str">
        <f>VLOOKUP(G1091,'Estádios e Cidades'!A:B,2,0)</f>
        <v>Nashville</v>
      </c>
      <c r="J1091" s="11" t="s">
        <v>440</v>
      </c>
      <c r="K1091" s="2" t="str">
        <f>VLOOKUP(J1091,Equipes!A:F,6,0)</f>
        <v>Temperate</v>
      </c>
      <c r="L1091" s="2">
        <f>VLOOKUP(J1091,Equipes!A:C,3,0)</f>
        <v>24</v>
      </c>
      <c r="M1091" s="2" t="str">
        <f t="shared" si="4"/>
        <v>Group</v>
      </c>
      <c r="N1091" s="11" t="s">
        <v>124</v>
      </c>
      <c r="O1091" s="2">
        <f>VLOOKUP(N1091,Equipes!A:C,3,0)</f>
        <v>27</v>
      </c>
      <c r="P1091" s="2" t="str">
        <f t="shared" si="5"/>
        <v>Group</v>
      </c>
      <c r="Q1091" s="2">
        <f t="shared" si="6"/>
        <v>-3</v>
      </c>
      <c r="R1091" s="2" t="str">
        <f>VLOOKUP(J1091,Equipes!A:B,2,0)</f>
        <v>Boca</v>
      </c>
      <c r="S1091" s="6" t="s">
        <v>446</v>
      </c>
      <c r="T1091" s="7">
        <v>8.0</v>
      </c>
      <c r="U1091" s="7" t="s">
        <v>447</v>
      </c>
      <c r="V1091" s="7" t="str">
        <f>VLOOKUP(U1091,Jogadores!B:C,2,0)</f>
        <v>MF</v>
      </c>
      <c r="W1091" s="8">
        <f>VLOOKUP(U1091,Jogadores!B:D,3,0)</f>
        <v>25.03835616</v>
      </c>
      <c r="X1091" s="7">
        <v>0.0</v>
      </c>
      <c r="Y1091" s="7">
        <f>45+AB1091</f>
        <v>96</v>
      </c>
      <c r="Z1091" s="7">
        <f>VLOOKUP(A1091,Jogos!A:L,3,0)</f>
        <v>50</v>
      </c>
      <c r="AA1091" s="7">
        <f t="shared" si="2229"/>
        <v>50</v>
      </c>
      <c r="AB1091" s="7">
        <f>VLOOKUP(A1091,Jogos!A:L,4,0)</f>
        <v>51</v>
      </c>
      <c r="AC1091" s="7">
        <f t="shared" si="2230"/>
        <v>51</v>
      </c>
      <c r="AD1091" s="7"/>
      <c r="AE1091" s="7"/>
      <c r="AF1091" s="7">
        <f t="shared" si="2231"/>
        <v>101</v>
      </c>
      <c r="AG1091" s="7">
        <v>10539.6</v>
      </c>
      <c r="AH1091" s="7">
        <v>4438.3</v>
      </c>
      <c r="AI1091" s="7">
        <v>4444.8</v>
      </c>
      <c r="AJ1091" s="7">
        <v>1343.3</v>
      </c>
      <c r="AK1091" s="7">
        <v>240.2</v>
      </c>
      <c r="AL1091" s="7">
        <v>73.0</v>
      </c>
      <c r="AM1091" s="7">
        <v>121.0</v>
      </c>
      <c r="AN1091" s="7">
        <v>23.0</v>
      </c>
      <c r="AO1091" s="7">
        <v>44.5</v>
      </c>
      <c r="AP1091" s="9">
        <f t="shared" ref="AP1091:AR1091" si="3406">AG1091/$AF1091</f>
        <v>104.3524752</v>
      </c>
      <c r="AQ1091" s="9">
        <f t="shared" si="3406"/>
        <v>43.94356436</v>
      </c>
      <c r="AR1091" s="9">
        <f t="shared" si="3406"/>
        <v>44.00792079</v>
      </c>
      <c r="AS1091" s="9">
        <f t="shared" si="2233"/>
        <v>87.95148515</v>
      </c>
      <c r="AT1091" s="9">
        <f t="shared" ref="AT1091:AV1091" si="3407">AJ1091/$AF1091</f>
        <v>13.3</v>
      </c>
      <c r="AU1091" s="9">
        <f t="shared" si="3407"/>
        <v>2.378217822</v>
      </c>
      <c r="AV1091" s="9">
        <f t="shared" si="3407"/>
        <v>0.7227722772</v>
      </c>
      <c r="AW1091" s="9">
        <f t="shared" si="2235"/>
        <v>3.100990099</v>
      </c>
      <c r="AX1091" s="9">
        <f t="shared" ref="AX1091:AY1091" si="3408">AM1091/$AF1091</f>
        <v>1.198019802</v>
      </c>
      <c r="AY1091" s="9">
        <f t="shared" si="3408"/>
        <v>0.2277227723</v>
      </c>
      <c r="AZ1091" s="9">
        <f>VLOOKUP(A1091,Jogos!A:BN,58,0)</f>
        <v>32.65666667</v>
      </c>
      <c r="BA1091" s="9">
        <f>VLOOKUP(A1091,Jogos!A:BN,59,0)</f>
        <v>22.84333333</v>
      </c>
      <c r="BB1091" s="9">
        <f>VLOOKUP(A1091,Jogos!A:BN,60,0)</f>
        <v>55.66666667</v>
      </c>
      <c r="BC1091" s="9">
        <f>VLOOKUP(A1091,Jogos!A:BN,61,0)</f>
        <v>35.02666667</v>
      </c>
      <c r="BD1091" s="9">
        <f>VLOOKUP(A1091,Jogos!A:BN,62,0)</f>
        <v>626.3666667</v>
      </c>
      <c r="BE1091" s="9">
        <f>VLOOKUP(A1091,Jogos!A:BN,63,0)</f>
        <v>0.5066666667</v>
      </c>
      <c r="BF1091" s="9">
        <f>VLOOKUP(A1091,Jogos!A:BN,64,0)</f>
        <v>26.82</v>
      </c>
      <c r="BG1091" s="9">
        <f>VLOOKUP(A1091,Jogos!A:BN,65,0)</f>
        <v>49.09333333</v>
      </c>
      <c r="BH1091" s="9">
        <f>VLOOKUP(A1091,Jogos!A:BN,66,0)</f>
        <v>31.85666667</v>
      </c>
      <c r="BI1091" s="9"/>
      <c r="BJ1091" s="9"/>
    </row>
    <row r="1092" hidden="1">
      <c r="A1092" s="10">
        <v>37.0</v>
      </c>
      <c r="B1092" s="11" t="s">
        <v>121</v>
      </c>
      <c r="C1092" s="2" t="s">
        <v>61</v>
      </c>
      <c r="D1092" s="12">
        <v>45832.0</v>
      </c>
      <c r="E1092" s="13">
        <v>0.5833333333333334</v>
      </c>
      <c r="F1092" s="5" t="str">
        <f>VLOOKUP(A1092,Jogos!A:N,10,0)</f>
        <v>Afternoon</v>
      </c>
      <c r="G1092" s="11" t="s">
        <v>1130</v>
      </c>
      <c r="H1092" s="6" t="str">
        <f>VLOOKUP(A1092,Jogos!A:L,12,0)</f>
        <v>Open</v>
      </c>
      <c r="I1092" s="6" t="str">
        <f>VLOOKUP(G1092,'Estádios e Cidades'!A:B,2,0)</f>
        <v>Nashville</v>
      </c>
      <c r="J1092" s="11" t="s">
        <v>440</v>
      </c>
      <c r="K1092" s="2" t="str">
        <f>VLOOKUP(J1092,Equipes!A:F,6,0)</f>
        <v>Temperate</v>
      </c>
      <c r="L1092" s="2">
        <f>VLOOKUP(J1092,Equipes!A:C,3,0)</f>
        <v>24</v>
      </c>
      <c r="M1092" s="2" t="str">
        <f t="shared" si="4"/>
        <v>Group</v>
      </c>
      <c r="N1092" s="11" t="s">
        <v>124</v>
      </c>
      <c r="O1092" s="2">
        <f>VLOOKUP(N1092,Equipes!A:C,3,0)</f>
        <v>27</v>
      </c>
      <c r="P1092" s="2" t="str">
        <f t="shared" si="5"/>
        <v>Group</v>
      </c>
      <c r="Q1092" s="2">
        <f t="shared" si="6"/>
        <v>-3</v>
      </c>
      <c r="R1092" s="2" t="str">
        <f>VLOOKUP(J1092,Equipes!A:B,2,0)</f>
        <v>Boca</v>
      </c>
      <c r="S1092" s="6" t="s">
        <v>1261</v>
      </c>
      <c r="T1092" s="7">
        <v>10.0</v>
      </c>
      <c r="U1092" s="7" t="s">
        <v>1262</v>
      </c>
      <c r="V1092" s="7" t="str">
        <f>VLOOKUP(U1092,Jogadores!B:C,2,0)</f>
        <v>FW</v>
      </c>
      <c r="W1092" s="8">
        <f>VLOOKUP(U1092,Jogadores!B:D,3,0)</f>
        <v>38.47671233</v>
      </c>
      <c r="X1092" s="7">
        <v>0.0</v>
      </c>
      <c r="Y1092" s="7">
        <v>54.0</v>
      </c>
      <c r="Z1092" s="7">
        <f>VLOOKUP(A1092,Jogos!A:L,3,0)</f>
        <v>50</v>
      </c>
      <c r="AA1092" s="7">
        <f t="shared" si="2229"/>
        <v>50</v>
      </c>
      <c r="AB1092" s="7">
        <f>VLOOKUP(A1092,Jogos!A:L,4,0)</f>
        <v>51</v>
      </c>
      <c r="AC1092" s="7">
        <f t="shared" si="2230"/>
        <v>9</v>
      </c>
      <c r="AD1092" s="7"/>
      <c r="AE1092" s="7"/>
      <c r="AF1092" s="7">
        <f t="shared" si="2231"/>
        <v>59</v>
      </c>
      <c r="AG1092" s="7">
        <v>5552.1</v>
      </c>
      <c r="AH1092" s="7">
        <v>2817.0</v>
      </c>
      <c r="AI1092" s="7">
        <v>2042.0</v>
      </c>
      <c r="AJ1092" s="7">
        <v>470.1</v>
      </c>
      <c r="AK1092" s="7">
        <v>187.1</v>
      </c>
      <c r="AL1092" s="7">
        <v>36.0</v>
      </c>
      <c r="AM1092" s="7">
        <v>44.0</v>
      </c>
      <c r="AN1092" s="7">
        <v>16.0</v>
      </c>
      <c r="AO1092" s="7">
        <v>27.5</v>
      </c>
      <c r="AP1092" s="9">
        <f t="shared" ref="AP1092:AR1092" si="3409">AG1092/$AF1092</f>
        <v>94.10338983</v>
      </c>
      <c r="AQ1092" s="9">
        <f t="shared" si="3409"/>
        <v>47.74576271</v>
      </c>
      <c r="AR1092" s="9">
        <f t="shared" si="3409"/>
        <v>34.61016949</v>
      </c>
      <c r="AS1092" s="9">
        <f t="shared" si="2233"/>
        <v>82.3559322</v>
      </c>
      <c r="AT1092" s="9">
        <f t="shared" ref="AT1092:AV1092" si="3410">AJ1092/$AF1092</f>
        <v>7.96779661</v>
      </c>
      <c r="AU1092" s="9">
        <f t="shared" si="3410"/>
        <v>3.171186441</v>
      </c>
      <c r="AV1092" s="9">
        <f t="shared" si="3410"/>
        <v>0.6101694915</v>
      </c>
      <c r="AW1092" s="9">
        <f t="shared" si="2235"/>
        <v>3.781355932</v>
      </c>
      <c r="AX1092" s="9">
        <f t="shared" ref="AX1092:AY1092" si="3411">AM1092/$AF1092</f>
        <v>0.7457627119</v>
      </c>
      <c r="AY1092" s="9">
        <f t="shared" si="3411"/>
        <v>0.2711864407</v>
      </c>
      <c r="AZ1092" s="9">
        <f>VLOOKUP(A1092,Jogos!A:BN,58,0)</f>
        <v>32.65666667</v>
      </c>
      <c r="BA1092" s="9">
        <f>VLOOKUP(A1092,Jogos!A:BN,59,0)</f>
        <v>22.84333333</v>
      </c>
      <c r="BB1092" s="9">
        <f>VLOOKUP(A1092,Jogos!A:BN,60,0)</f>
        <v>55.66666667</v>
      </c>
      <c r="BC1092" s="9">
        <f>VLOOKUP(A1092,Jogos!A:BN,61,0)</f>
        <v>35.02666667</v>
      </c>
      <c r="BD1092" s="9">
        <f>VLOOKUP(A1092,Jogos!A:BN,62,0)</f>
        <v>626.3666667</v>
      </c>
      <c r="BE1092" s="9">
        <f>VLOOKUP(A1092,Jogos!A:BN,63,0)</f>
        <v>0.5066666667</v>
      </c>
      <c r="BF1092" s="9">
        <f>VLOOKUP(A1092,Jogos!A:BN,64,0)</f>
        <v>26.82</v>
      </c>
      <c r="BG1092" s="9">
        <f>VLOOKUP(A1092,Jogos!A:BN,65,0)</f>
        <v>49.09333333</v>
      </c>
      <c r="BH1092" s="9">
        <f>VLOOKUP(A1092,Jogos!A:BN,66,0)</f>
        <v>31.85666667</v>
      </c>
      <c r="BI1092" s="9"/>
      <c r="BJ1092" s="9"/>
    </row>
    <row r="1093" hidden="1">
      <c r="A1093" s="10">
        <v>37.0</v>
      </c>
      <c r="B1093" s="11" t="s">
        <v>121</v>
      </c>
      <c r="C1093" s="2" t="s">
        <v>61</v>
      </c>
      <c r="D1093" s="12">
        <v>45832.0</v>
      </c>
      <c r="E1093" s="13">
        <v>0.5833333333333334</v>
      </c>
      <c r="F1093" s="5" t="str">
        <f>VLOOKUP(A1093,Jogos!A:N,10,0)</f>
        <v>Afternoon</v>
      </c>
      <c r="G1093" s="11" t="s">
        <v>1130</v>
      </c>
      <c r="H1093" s="6" t="str">
        <f>VLOOKUP(A1093,Jogos!A:L,12,0)</f>
        <v>Open</v>
      </c>
      <c r="I1093" s="6" t="str">
        <f>VLOOKUP(G1093,'Estádios e Cidades'!A:B,2,0)</f>
        <v>Nashville</v>
      </c>
      <c r="J1093" s="11" t="s">
        <v>440</v>
      </c>
      <c r="K1093" s="2" t="str">
        <f>VLOOKUP(J1093,Equipes!A:F,6,0)</f>
        <v>Temperate</v>
      </c>
      <c r="L1093" s="2">
        <f>VLOOKUP(J1093,Equipes!A:C,3,0)</f>
        <v>24</v>
      </c>
      <c r="M1093" s="2" t="str">
        <f t="shared" si="4"/>
        <v>Group</v>
      </c>
      <c r="N1093" s="11" t="s">
        <v>124</v>
      </c>
      <c r="O1093" s="2">
        <f>VLOOKUP(N1093,Equipes!A:C,3,0)</f>
        <v>27</v>
      </c>
      <c r="P1093" s="2" t="str">
        <f t="shared" si="5"/>
        <v>Group</v>
      </c>
      <c r="Q1093" s="2">
        <f t="shared" si="6"/>
        <v>-3</v>
      </c>
      <c r="R1093" s="2" t="str">
        <f>VLOOKUP(J1093,Equipes!A:B,2,0)</f>
        <v>Boca</v>
      </c>
      <c r="S1093" s="6" t="s">
        <v>448</v>
      </c>
      <c r="T1093" s="7">
        <v>16.0</v>
      </c>
      <c r="U1093" s="7" t="s">
        <v>449</v>
      </c>
      <c r="V1093" s="7" t="str">
        <f>VLOOKUP(U1093,Jogadores!B:C,2,0)</f>
        <v>FW</v>
      </c>
      <c r="W1093" s="8">
        <f>VLOOKUP(U1093,Jogadores!B:D,3,0)</f>
        <v>29.44383562</v>
      </c>
      <c r="X1093" s="7">
        <v>0.0</v>
      </c>
      <c r="Y1093" s="7">
        <f t="shared" ref="Y1093:Y1094" si="3415">45+AB1093</f>
        <v>96</v>
      </c>
      <c r="Z1093" s="7">
        <f>VLOOKUP(A1093,Jogos!A:L,3,0)</f>
        <v>50</v>
      </c>
      <c r="AA1093" s="7">
        <f t="shared" si="2229"/>
        <v>50</v>
      </c>
      <c r="AB1093" s="7">
        <f>VLOOKUP(A1093,Jogos!A:L,4,0)</f>
        <v>51</v>
      </c>
      <c r="AC1093" s="7">
        <f t="shared" si="2230"/>
        <v>51</v>
      </c>
      <c r="AD1093" s="7"/>
      <c r="AE1093" s="7"/>
      <c r="AF1093" s="7">
        <f t="shared" si="2231"/>
        <v>101</v>
      </c>
      <c r="AG1093" s="7">
        <v>9322.8</v>
      </c>
      <c r="AH1093" s="7">
        <v>4845.8</v>
      </c>
      <c r="AI1093" s="7">
        <v>3223.7</v>
      </c>
      <c r="AJ1093" s="7">
        <v>867.5</v>
      </c>
      <c r="AK1093" s="7">
        <v>299.0</v>
      </c>
      <c r="AL1093" s="7">
        <v>86.8</v>
      </c>
      <c r="AM1093" s="7">
        <v>79.0</v>
      </c>
      <c r="AN1093" s="7">
        <v>29.0</v>
      </c>
      <c r="AO1093" s="7">
        <v>44.4</v>
      </c>
      <c r="AP1093" s="9">
        <f t="shared" ref="AP1093:AR1093" si="3412">AG1093/$AF1093</f>
        <v>92.3049505</v>
      </c>
      <c r="AQ1093" s="9">
        <f t="shared" si="3412"/>
        <v>47.97821782</v>
      </c>
      <c r="AR1093" s="9">
        <f t="shared" si="3412"/>
        <v>31.91782178</v>
      </c>
      <c r="AS1093" s="9">
        <f t="shared" si="2233"/>
        <v>79.8960396</v>
      </c>
      <c r="AT1093" s="9">
        <f t="shared" ref="AT1093:AV1093" si="3413">AJ1093/$AF1093</f>
        <v>8.589108911</v>
      </c>
      <c r="AU1093" s="9">
        <f t="shared" si="3413"/>
        <v>2.96039604</v>
      </c>
      <c r="AV1093" s="9">
        <f t="shared" si="3413"/>
        <v>0.8594059406</v>
      </c>
      <c r="AW1093" s="9">
        <f t="shared" si="2235"/>
        <v>3.81980198</v>
      </c>
      <c r="AX1093" s="9">
        <f t="shared" ref="AX1093:AY1093" si="3414">AM1093/$AF1093</f>
        <v>0.7821782178</v>
      </c>
      <c r="AY1093" s="9">
        <f t="shared" si="3414"/>
        <v>0.2871287129</v>
      </c>
      <c r="AZ1093" s="9">
        <f>VLOOKUP(A1093,Jogos!A:BN,58,0)</f>
        <v>32.65666667</v>
      </c>
      <c r="BA1093" s="9">
        <f>VLOOKUP(A1093,Jogos!A:BN,59,0)</f>
        <v>22.84333333</v>
      </c>
      <c r="BB1093" s="9">
        <f>VLOOKUP(A1093,Jogos!A:BN,60,0)</f>
        <v>55.66666667</v>
      </c>
      <c r="BC1093" s="9">
        <f>VLOOKUP(A1093,Jogos!A:BN,61,0)</f>
        <v>35.02666667</v>
      </c>
      <c r="BD1093" s="9">
        <f>VLOOKUP(A1093,Jogos!A:BN,62,0)</f>
        <v>626.3666667</v>
      </c>
      <c r="BE1093" s="9">
        <f>VLOOKUP(A1093,Jogos!A:BN,63,0)</f>
        <v>0.5066666667</v>
      </c>
      <c r="BF1093" s="9">
        <f>VLOOKUP(A1093,Jogos!A:BN,64,0)</f>
        <v>26.82</v>
      </c>
      <c r="BG1093" s="9">
        <f>VLOOKUP(A1093,Jogos!A:BN,65,0)</f>
        <v>49.09333333</v>
      </c>
      <c r="BH1093" s="9">
        <f>VLOOKUP(A1093,Jogos!A:BN,66,0)</f>
        <v>31.85666667</v>
      </c>
      <c r="BI1093" s="9"/>
      <c r="BJ1093" s="9"/>
    </row>
    <row r="1094" hidden="1">
      <c r="A1094" s="10">
        <v>37.0</v>
      </c>
      <c r="B1094" s="11" t="s">
        <v>121</v>
      </c>
      <c r="C1094" s="2" t="s">
        <v>61</v>
      </c>
      <c r="D1094" s="12">
        <v>45832.0</v>
      </c>
      <c r="E1094" s="13">
        <v>0.5833333333333334</v>
      </c>
      <c r="F1094" s="5" t="str">
        <f>VLOOKUP(A1094,Jogos!A:N,10,0)</f>
        <v>Afternoon</v>
      </c>
      <c r="G1094" s="11" t="s">
        <v>1130</v>
      </c>
      <c r="H1094" s="6" t="str">
        <f>VLOOKUP(A1094,Jogos!A:L,12,0)</f>
        <v>Open</v>
      </c>
      <c r="I1094" s="6" t="str">
        <f>VLOOKUP(G1094,'Estádios e Cidades'!A:B,2,0)</f>
        <v>Nashville</v>
      </c>
      <c r="J1094" s="11" t="s">
        <v>440</v>
      </c>
      <c r="K1094" s="2" t="str">
        <f>VLOOKUP(J1094,Equipes!A:F,6,0)</f>
        <v>Temperate</v>
      </c>
      <c r="L1094" s="2">
        <f>VLOOKUP(J1094,Equipes!A:C,3,0)</f>
        <v>24</v>
      </c>
      <c r="M1094" s="2" t="str">
        <f t="shared" si="4"/>
        <v>Group</v>
      </c>
      <c r="N1094" s="11" t="s">
        <v>124</v>
      </c>
      <c r="O1094" s="2">
        <f>VLOOKUP(N1094,Equipes!A:C,3,0)</f>
        <v>27</v>
      </c>
      <c r="P1094" s="2" t="str">
        <f t="shared" si="5"/>
        <v>Group</v>
      </c>
      <c r="Q1094" s="2">
        <f t="shared" si="6"/>
        <v>-3</v>
      </c>
      <c r="R1094" s="2" t="str">
        <f>VLOOKUP(J1094,Equipes!A:B,2,0)</f>
        <v>Boca</v>
      </c>
      <c r="S1094" s="6" t="s">
        <v>450</v>
      </c>
      <c r="T1094" s="7">
        <v>17.0</v>
      </c>
      <c r="U1094" s="7" t="s">
        <v>451</v>
      </c>
      <c r="V1094" s="7" t="str">
        <f>VLOOKUP(U1094,Jogadores!B:C,2,0)</f>
        <v>DF</v>
      </c>
      <c r="W1094" s="8">
        <f>VLOOKUP(U1094,Jogadores!B:D,3,0)</f>
        <v>35.43013699</v>
      </c>
      <c r="X1094" s="7">
        <v>0.0</v>
      </c>
      <c r="Y1094" s="7">
        <f t="shared" si="3415"/>
        <v>96</v>
      </c>
      <c r="Z1094" s="7">
        <f>VLOOKUP(A1094,Jogos!A:L,3,0)</f>
        <v>50</v>
      </c>
      <c r="AA1094" s="7">
        <f t="shared" si="2229"/>
        <v>50</v>
      </c>
      <c r="AB1094" s="7">
        <f>VLOOKUP(A1094,Jogos!A:L,4,0)</f>
        <v>51</v>
      </c>
      <c r="AC1094" s="7">
        <f t="shared" si="2230"/>
        <v>51</v>
      </c>
      <c r="AD1094" s="7"/>
      <c r="AE1094" s="7"/>
      <c r="AF1094" s="7">
        <f t="shared" si="2231"/>
        <v>101</v>
      </c>
      <c r="AG1094" s="7">
        <v>9381.7</v>
      </c>
      <c r="AH1094" s="7">
        <v>4458.4</v>
      </c>
      <c r="AI1094" s="7">
        <v>3468.0</v>
      </c>
      <c r="AJ1094" s="7">
        <v>970.0</v>
      </c>
      <c r="AK1094" s="7">
        <v>396.3</v>
      </c>
      <c r="AL1094" s="7">
        <v>89.0</v>
      </c>
      <c r="AM1094" s="7">
        <v>77.0</v>
      </c>
      <c r="AN1094" s="7">
        <v>32.0</v>
      </c>
      <c r="AO1094" s="7">
        <v>44.9</v>
      </c>
      <c r="AP1094" s="9">
        <f t="shared" ref="AP1094:AR1094" si="3416">AG1094/$AF1094</f>
        <v>92.88811881</v>
      </c>
      <c r="AQ1094" s="9">
        <f t="shared" si="3416"/>
        <v>44.14257426</v>
      </c>
      <c r="AR1094" s="9">
        <f t="shared" si="3416"/>
        <v>34.33663366</v>
      </c>
      <c r="AS1094" s="9">
        <f t="shared" si="2233"/>
        <v>78.47920792</v>
      </c>
      <c r="AT1094" s="9">
        <f t="shared" ref="AT1094:AV1094" si="3417">AJ1094/$AF1094</f>
        <v>9.603960396</v>
      </c>
      <c r="AU1094" s="9">
        <f t="shared" si="3417"/>
        <v>3.923762376</v>
      </c>
      <c r="AV1094" s="9">
        <f t="shared" si="3417"/>
        <v>0.8811881188</v>
      </c>
      <c r="AW1094" s="9">
        <f t="shared" si="2235"/>
        <v>4.804950495</v>
      </c>
      <c r="AX1094" s="9">
        <f t="shared" ref="AX1094:AY1094" si="3418">AM1094/$AF1094</f>
        <v>0.7623762376</v>
      </c>
      <c r="AY1094" s="9">
        <f t="shared" si="3418"/>
        <v>0.3168316832</v>
      </c>
      <c r="AZ1094" s="9">
        <f>VLOOKUP(A1094,Jogos!A:BN,58,0)</f>
        <v>32.65666667</v>
      </c>
      <c r="BA1094" s="9">
        <f>VLOOKUP(A1094,Jogos!A:BN,59,0)</f>
        <v>22.84333333</v>
      </c>
      <c r="BB1094" s="9">
        <f>VLOOKUP(A1094,Jogos!A:BN,60,0)</f>
        <v>55.66666667</v>
      </c>
      <c r="BC1094" s="9">
        <f>VLOOKUP(A1094,Jogos!A:BN,61,0)</f>
        <v>35.02666667</v>
      </c>
      <c r="BD1094" s="9">
        <f>VLOOKUP(A1094,Jogos!A:BN,62,0)</f>
        <v>626.3666667</v>
      </c>
      <c r="BE1094" s="9">
        <f>VLOOKUP(A1094,Jogos!A:BN,63,0)</f>
        <v>0.5066666667</v>
      </c>
      <c r="BF1094" s="9">
        <f>VLOOKUP(A1094,Jogos!A:BN,64,0)</f>
        <v>26.82</v>
      </c>
      <c r="BG1094" s="9">
        <f>VLOOKUP(A1094,Jogos!A:BN,65,0)</f>
        <v>49.09333333</v>
      </c>
      <c r="BH1094" s="9">
        <f>VLOOKUP(A1094,Jogos!A:BN,66,0)</f>
        <v>31.85666667</v>
      </c>
      <c r="BI1094" s="9"/>
      <c r="BJ1094" s="9"/>
    </row>
    <row r="1095" hidden="1">
      <c r="A1095" s="10">
        <v>37.0</v>
      </c>
      <c r="B1095" s="11" t="s">
        <v>121</v>
      </c>
      <c r="C1095" s="2" t="s">
        <v>61</v>
      </c>
      <c r="D1095" s="12">
        <v>45832.0</v>
      </c>
      <c r="E1095" s="13">
        <v>0.5833333333333334</v>
      </c>
      <c r="F1095" s="5" t="str">
        <f>VLOOKUP(A1095,Jogos!A:N,10,0)</f>
        <v>Afternoon</v>
      </c>
      <c r="G1095" s="11" t="s">
        <v>1130</v>
      </c>
      <c r="H1095" s="6" t="str">
        <f>VLOOKUP(A1095,Jogos!A:L,12,0)</f>
        <v>Open</v>
      </c>
      <c r="I1095" s="6" t="str">
        <f>VLOOKUP(G1095,'Estádios e Cidades'!A:B,2,0)</f>
        <v>Nashville</v>
      </c>
      <c r="J1095" s="11" t="s">
        <v>440</v>
      </c>
      <c r="K1095" s="2" t="str">
        <f>VLOOKUP(J1095,Equipes!A:F,6,0)</f>
        <v>Temperate</v>
      </c>
      <c r="L1095" s="2">
        <f>VLOOKUP(J1095,Equipes!A:C,3,0)</f>
        <v>24</v>
      </c>
      <c r="M1095" s="2" t="str">
        <f t="shared" si="4"/>
        <v>Group</v>
      </c>
      <c r="N1095" s="11" t="s">
        <v>124</v>
      </c>
      <c r="O1095" s="2">
        <f>VLOOKUP(N1095,Equipes!A:C,3,0)</f>
        <v>27</v>
      </c>
      <c r="P1095" s="2" t="str">
        <f t="shared" si="5"/>
        <v>Group</v>
      </c>
      <c r="Q1095" s="2">
        <f t="shared" si="6"/>
        <v>-3</v>
      </c>
      <c r="R1095" s="2" t="str">
        <f>VLOOKUP(J1095,Equipes!A:B,2,0)</f>
        <v>Boca</v>
      </c>
      <c r="S1095" s="6" t="s">
        <v>452</v>
      </c>
      <c r="T1095" s="7">
        <v>20.0</v>
      </c>
      <c r="U1095" s="7" t="s">
        <v>453</v>
      </c>
      <c r="V1095" s="7" t="str">
        <f>VLOOKUP(U1095,Jogadores!B:C,2,0)</f>
        <v>MF</v>
      </c>
      <c r="W1095" s="8">
        <f>VLOOKUP(U1095,Jogadores!B:D,3,0)</f>
        <v>23.01917808</v>
      </c>
      <c r="X1095" s="7">
        <v>0.0</v>
      </c>
      <c r="Y1095" s="7">
        <v>54.0</v>
      </c>
      <c r="Z1095" s="7">
        <f>VLOOKUP(A1095,Jogos!A:L,3,0)</f>
        <v>50</v>
      </c>
      <c r="AA1095" s="7">
        <f t="shared" si="2229"/>
        <v>50</v>
      </c>
      <c r="AB1095" s="7">
        <f>VLOOKUP(A1095,Jogos!A:L,4,0)</f>
        <v>51</v>
      </c>
      <c r="AC1095" s="7">
        <f t="shared" si="2230"/>
        <v>9</v>
      </c>
      <c r="AD1095" s="7"/>
      <c r="AE1095" s="7"/>
      <c r="AF1095" s="7">
        <f t="shared" si="2231"/>
        <v>59</v>
      </c>
      <c r="AG1095" s="7">
        <v>7397.9</v>
      </c>
      <c r="AH1095" s="7">
        <v>2272.8</v>
      </c>
      <c r="AI1095" s="7">
        <v>4035.4</v>
      </c>
      <c r="AJ1095" s="7">
        <v>863.4</v>
      </c>
      <c r="AK1095" s="7">
        <v>212.5</v>
      </c>
      <c r="AL1095" s="7">
        <v>13.9</v>
      </c>
      <c r="AM1095" s="7">
        <v>73.0</v>
      </c>
      <c r="AN1095" s="7">
        <v>17.0</v>
      </c>
      <c r="AO1095" s="7">
        <v>26.0</v>
      </c>
      <c r="AP1095" s="9">
        <f t="shared" ref="AP1095:AR1095" si="3419">AG1095/$AF1095</f>
        <v>125.3881356</v>
      </c>
      <c r="AQ1095" s="9">
        <f t="shared" si="3419"/>
        <v>38.5220339</v>
      </c>
      <c r="AR1095" s="9">
        <f t="shared" si="3419"/>
        <v>68.39661017</v>
      </c>
      <c r="AS1095" s="9">
        <f t="shared" si="2233"/>
        <v>106.9186441</v>
      </c>
      <c r="AT1095" s="9">
        <f t="shared" ref="AT1095:AV1095" si="3420">AJ1095/$AF1095</f>
        <v>14.63389831</v>
      </c>
      <c r="AU1095" s="9">
        <f t="shared" si="3420"/>
        <v>3.601694915</v>
      </c>
      <c r="AV1095" s="9">
        <f t="shared" si="3420"/>
        <v>0.2355932203</v>
      </c>
      <c r="AW1095" s="9">
        <f t="shared" si="2235"/>
        <v>3.837288136</v>
      </c>
      <c r="AX1095" s="9">
        <f t="shared" ref="AX1095:AY1095" si="3421">AM1095/$AF1095</f>
        <v>1.237288136</v>
      </c>
      <c r="AY1095" s="9">
        <f t="shared" si="3421"/>
        <v>0.2881355932</v>
      </c>
      <c r="AZ1095" s="9">
        <f>VLOOKUP(A1095,Jogos!A:BN,58,0)</f>
        <v>32.65666667</v>
      </c>
      <c r="BA1095" s="9">
        <f>VLOOKUP(A1095,Jogos!A:BN,59,0)</f>
        <v>22.84333333</v>
      </c>
      <c r="BB1095" s="9">
        <f>VLOOKUP(A1095,Jogos!A:BN,60,0)</f>
        <v>55.66666667</v>
      </c>
      <c r="BC1095" s="9">
        <f>VLOOKUP(A1095,Jogos!A:BN,61,0)</f>
        <v>35.02666667</v>
      </c>
      <c r="BD1095" s="9">
        <f>VLOOKUP(A1095,Jogos!A:BN,62,0)</f>
        <v>626.3666667</v>
      </c>
      <c r="BE1095" s="9">
        <f>VLOOKUP(A1095,Jogos!A:BN,63,0)</f>
        <v>0.5066666667</v>
      </c>
      <c r="BF1095" s="9">
        <f>VLOOKUP(A1095,Jogos!A:BN,64,0)</f>
        <v>26.82</v>
      </c>
      <c r="BG1095" s="9">
        <f>VLOOKUP(A1095,Jogos!A:BN,65,0)</f>
        <v>49.09333333</v>
      </c>
      <c r="BH1095" s="9">
        <f>VLOOKUP(A1095,Jogos!A:BN,66,0)</f>
        <v>31.85666667</v>
      </c>
      <c r="BI1095" s="9"/>
      <c r="BJ1095" s="9"/>
    </row>
    <row r="1096" hidden="1">
      <c r="A1096" s="10">
        <v>37.0</v>
      </c>
      <c r="B1096" s="11" t="s">
        <v>121</v>
      </c>
      <c r="C1096" s="2" t="s">
        <v>61</v>
      </c>
      <c r="D1096" s="12">
        <v>45832.0</v>
      </c>
      <c r="E1096" s="13">
        <v>0.5833333333333334</v>
      </c>
      <c r="F1096" s="5" t="str">
        <f>VLOOKUP(A1096,Jogos!A:N,10,0)</f>
        <v>Afternoon</v>
      </c>
      <c r="G1096" s="11" t="s">
        <v>1130</v>
      </c>
      <c r="H1096" s="6" t="str">
        <f>VLOOKUP(A1096,Jogos!A:L,12,0)</f>
        <v>Open</v>
      </c>
      <c r="I1096" s="6" t="str">
        <f>VLOOKUP(G1096,'Estádios e Cidades'!A:B,2,0)</f>
        <v>Nashville</v>
      </c>
      <c r="J1096" s="11" t="s">
        <v>440</v>
      </c>
      <c r="K1096" s="2" t="str">
        <f>VLOOKUP(J1096,Equipes!A:F,6,0)</f>
        <v>Temperate</v>
      </c>
      <c r="L1096" s="2">
        <f>VLOOKUP(J1096,Equipes!A:C,3,0)</f>
        <v>24</v>
      </c>
      <c r="M1096" s="2" t="str">
        <f t="shared" si="4"/>
        <v>Group</v>
      </c>
      <c r="N1096" s="11" t="s">
        <v>124</v>
      </c>
      <c r="O1096" s="2">
        <f>VLOOKUP(N1096,Equipes!A:C,3,0)</f>
        <v>27</v>
      </c>
      <c r="P1096" s="2" t="str">
        <f t="shared" si="5"/>
        <v>Group</v>
      </c>
      <c r="Q1096" s="2">
        <f t="shared" si="6"/>
        <v>-3</v>
      </c>
      <c r="R1096" s="2" t="str">
        <f>VLOOKUP(J1096,Equipes!A:B,2,0)</f>
        <v>Boca</v>
      </c>
      <c r="S1096" s="6" t="s">
        <v>458</v>
      </c>
      <c r="T1096" s="7">
        <v>23.0</v>
      </c>
      <c r="U1096" s="7" t="s">
        <v>459</v>
      </c>
      <c r="V1096" s="7" t="str">
        <f>VLOOKUP(U1096,Jogadores!B:C,2,0)</f>
        <v>DF</v>
      </c>
      <c r="W1096" s="8">
        <f>VLOOKUP(U1096,Jogadores!B:D,3,0)</f>
        <v>26.45479452</v>
      </c>
      <c r="X1096" s="7">
        <v>0.0</v>
      </c>
      <c r="Y1096" s="7">
        <f t="shared" ref="Y1096:Y1103" si="3425">45+AB1096</f>
        <v>96</v>
      </c>
      <c r="Z1096" s="7">
        <f>VLOOKUP(A1096,Jogos!A:L,3,0)</f>
        <v>50</v>
      </c>
      <c r="AA1096" s="7">
        <f t="shared" si="2229"/>
        <v>50</v>
      </c>
      <c r="AB1096" s="7">
        <f>VLOOKUP(A1096,Jogos!A:L,4,0)</f>
        <v>51</v>
      </c>
      <c r="AC1096" s="7">
        <f t="shared" si="2230"/>
        <v>51</v>
      </c>
      <c r="AD1096" s="7"/>
      <c r="AE1096" s="7"/>
      <c r="AF1096" s="7">
        <f t="shared" si="2231"/>
        <v>101</v>
      </c>
      <c r="AG1096" s="7">
        <v>10653.5</v>
      </c>
      <c r="AH1096" s="7">
        <v>5366.3</v>
      </c>
      <c r="AI1096" s="7">
        <v>3743.2</v>
      </c>
      <c r="AJ1096" s="7">
        <v>1155.5</v>
      </c>
      <c r="AK1096" s="7">
        <v>241.0</v>
      </c>
      <c r="AL1096" s="7">
        <v>147.5</v>
      </c>
      <c r="AM1096" s="7">
        <v>94.0</v>
      </c>
      <c r="AN1096" s="7">
        <v>25.0</v>
      </c>
      <c r="AO1096" s="7">
        <v>44.1</v>
      </c>
      <c r="AP1096" s="9">
        <f t="shared" ref="AP1096:AR1096" si="3422">AG1096/$AF1096</f>
        <v>105.480198</v>
      </c>
      <c r="AQ1096" s="9">
        <f t="shared" si="3422"/>
        <v>53.13168317</v>
      </c>
      <c r="AR1096" s="9">
        <f t="shared" si="3422"/>
        <v>37.06138614</v>
      </c>
      <c r="AS1096" s="9">
        <f t="shared" si="2233"/>
        <v>90.19306931</v>
      </c>
      <c r="AT1096" s="9">
        <f t="shared" ref="AT1096:AV1096" si="3423">AJ1096/$AF1096</f>
        <v>11.44059406</v>
      </c>
      <c r="AU1096" s="9">
        <f t="shared" si="3423"/>
        <v>2.386138614</v>
      </c>
      <c r="AV1096" s="9">
        <f t="shared" si="3423"/>
        <v>1.46039604</v>
      </c>
      <c r="AW1096" s="9">
        <f t="shared" si="2235"/>
        <v>3.846534653</v>
      </c>
      <c r="AX1096" s="9">
        <f t="shared" ref="AX1096:AY1096" si="3424">AM1096/$AF1096</f>
        <v>0.9306930693</v>
      </c>
      <c r="AY1096" s="9">
        <f t="shared" si="3424"/>
        <v>0.2475247525</v>
      </c>
      <c r="AZ1096" s="9">
        <f>VLOOKUP(A1096,Jogos!A:BN,58,0)</f>
        <v>32.65666667</v>
      </c>
      <c r="BA1096" s="9">
        <f>VLOOKUP(A1096,Jogos!A:BN,59,0)</f>
        <v>22.84333333</v>
      </c>
      <c r="BB1096" s="9">
        <f>VLOOKUP(A1096,Jogos!A:BN,60,0)</f>
        <v>55.66666667</v>
      </c>
      <c r="BC1096" s="9">
        <f>VLOOKUP(A1096,Jogos!A:BN,61,0)</f>
        <v>35.02666667</v>
      </c>
      <c r="BD1096" s="9">
        <f>VLOOKUP(A1096,Jogos!A:BN,62,0)</f>
        <v>626.3666667</v>
      </c>
      <c r="BE1096" s="9">
        <f>VLOOKUP(A1096,Jogos!A:BN,63,0)</f>
        <v>0.5066666667</v>
      </c>
      <c r="BF1096" s="9">
        <f>VLOOKUP(A1096,Jogos!A:BN,64,0)</f>
        <v>26.82</v>
      </c>
      <c r="BG1096" s="9">
        <f>VLOOKUP(A1096,Jogos!A:BN,65,0)</f>
        <v>49.09333333</v>
      </c>
      <c r="BH1096" s="9">
        <f>VLOOKUP(A1096,Jogos!A:BN,66,0)</f>
        <v>31.85666667</v>
      </c>
      <c r="BI1096" s="9"/>
      <c r="BJ1096" s="9"/>
    </row>
    <row r="1097" hidden="1">
      <c r="A1097" s="10">
        <v>37.0</v>
      </c>
      <c r="B1097" s="11" t="s">
        <v>121</v>
      </c>
      <c r="C1097" s="2" t="s">
        <v>61</v>
      </c>
      <c r="D1097" s="12">
        <v>45832.0</v>
      </c>
      <c r="E1097" s="13">
        <v>0.5833333333333334</v>
      </c>
      <c r="F1097" s="5" t="str">
        <f>VLOOKUP(A1097,Jogos!A:N,10,0)</f>
        <v>Afternoon</v>
      </c>
      <c r="G1097" s="11" t="s">
        <v>1130</v>
      </c>
      <c r="H1097" s="6" t="str">
        <f>VLOOKUP(A1097,Jogos!A:L,12,0)</f>
        <v>Open</v>
      </c>
      <c r="I1097" s="6" t="str">
        <f>VLOOKUP(G1097,'Estádios e Cidades'!A:B,2,0)</f>
        <v>Nashville</v>
      </c>
      <c r="J1097" s="11" t="s">
        <v>440</v>
      </c>
      <c r="K1097" s="2" t="str">
        <f>VLOOKUP(J1097,Equipes!A:F,6,0)</f>
        <v>Temperate</v>
      </c>
      <c r="L1097" s="2">
        <f>VLOOKUP(J1097,Equipes!A:C,3,0)</f>
        <v>24</v>
      </c>
      <c r="M1097" s="2" t="str">
        <f t="shared" si="4"/>
        <v>Group</v>
      </c>
      <c r="N1097" s="11" t="s">
        <v>124</v>
      </c>
      <c r="O1097" s="2">
        <f>VLOOKUP(N1097,Equipes!A:C,3,0)</f>
        <v>27</v>
      </c>
      <c r="P1097" s="2" t="str">
        <f t="shared" si="5"/>
        <v>Group</v>
      </c>
      <c r="Q1097" s="2">
        <f t="shared" si="6"/>
        <v>-3</v>
      </c>
      <c r="R1097" s="2" t="str">
        <f>VLOOKUP(J1097,Equipes!A:B,2,0)</f>
        <v>Boca</v>
      </c>
      <c r="S1097" s="6" t="s">
        <v>1263</v>
      </c>
      <c r="T1097" s="7">
        <v>26.0</v>
      </c>
      <c r="U1097" s="7" t="s">
        <v>1264</v>
      </c>
      <c r="V1097" s="7" t="str">
        <f>VLOOKUP(U1097,Jogadores!B:C,2,0)</f>
        <v>DF</v>
      </c>
      <c r="W1097" s="8">
        <f>VLOOKUP(U1097,Jogadores!B:D,3,0)</f>
        <v>23.04383562</v>
      </c>
      <c r="X1097" s="7">
        <v>0.0</v>
      </c>
      <c r="Y1097" s="7">
        <f t="shared" si="3425"/>
        <v>96</v>
      </c>
      <c r="Z1097" s="7">
        <f>VLOOKUP(A1097,Jogos!A:L,3,0)</f>
        <v>50</v>
      </c>
      <c r="AA1097" s="7">
        <f t="shared" si="2229"/>
        <v>50</v>
      </c>
      <c r="AB1097" s="7">
        <f>VLOOKUP(A1097,Jogos!A:L,4,0)</f>
        <v>51</v>
      </c>
      <c r="AC1097" s="7">
        <f t="shared" si="2230"/>
        <v>51</v>
      </c>
      <c r="AD1097" s="7"/>
      <c r="AE1097" s="7"/>
      <c r="AF1097" s="7">
        <f t="shared" si="2231"/>
        <v>101</v>
      </c>
      <c r="AG1097" s="7">
        <v>9620.1</v>
      </c>
      <c r="AH1097" s="7">
        <v>4616.6</v>
      </c>
      <c r="AI1097" s="7">
        <v>3950.5</v>
      </c>
      <c r="AJ1097" s="7">
        <v>798.6</v>
      </c>
      <c r="AK1097" s="7">
        <v>176.5</v>
      </c>
      <c r="AL1097" s="7">
        <v>78.0</v>
      </c>
      <c r="AM1097" s="7">
        <v>56.0</v>
      </c>
      <c r="AN1097" s="7">
        <v>15.0</v>
      </c>
      <c r="AO1097" s="7">
        <v>44.5</v>
      </c>
      <c r="AP1097" s="9">
        <f t="shared" ref="AP1097:AR1097" si="3426">AG1097/$AF1097</f>
        <v>95.24851485</v>
      </c>
      <c r="AQ1097" s="9">
        <f t="shared" si="3426"/>
        <v>45.70891089</v>
      </c>
      <c r="AR1097" s="9">
        <f t="shared" si="3426"/>
        <v>39.11386139</v>
      </c>
      <c r="AS1097" s="9">
        <f t="shared" si="2233"/>
        <v>84.82277228</v>
      </c>
      <c r="AT1097" s="9">
        <f t="shared" ref="AT1097:AV1097" si="3427">AJ1097/$AF1097</f>
        <v>7.906930693</v>
      </c>
      <c r="AU1097" s="9">
        <f t="shared" si="3427"/>
        <v>1.747524752</v>
      </c>
      <c r="AV1097" s="9">
        <f t="shared" si="3427"/>
        <v>0.7722772277</v>
      </c>
      <c r="AW1097" s="9">
        <f t="shared" si="2235"/>
        <v>2.51980198</v>
      </c>
      <c r="AX1097" s="9">
        <f t="shared" ref="AX1097:AY1097" si="3428">AM1097/$AF1097</f>
        <v>0.5544554455</v>
      </c>
      <c r="AY1097" s="9">
        <f t="shared" si="3428"/>
        <v>0.1485148515</v>
      </c>
      <c r="AZ1097" s="9">
        <f>VLOOKUP(A1097,Jogos!A:BN,58,0)</f>
        <v>32.65666667</v>
      </c>
      <c r="BA1097" s="9">
        <f>VLOOKUP(A1097,Jogos!A:BN,59,0)</f>
        <v>22.84333333</v>
      </c>
      <c r="BB1097" s="9">
        <f>VLOOKUP(A1097,Jogos!A:BN,60,0)</f>
        <v>55.66666667</v>
      </c>
      <c r="BC1097" s="9">
        <f>VLOOKUP(A1097,Jogos!A:BN,61,0)</f>
        <v>35.02666667</v>
      </c>
      <c r="BD1097" s="9">
        <f>VLOOKUP(A1097,Jogos!A:BN,62,0)</f>
        <v>626.3666667</v>
      </c>
      <c r="BE1097" s="9">
        <f>VLOOKUP(A1097,Jogos!A:BN,63,0)</f>
        <v>0.5066666667</v>
      </c>
      <c r="BF1097" s="9">
        <f>VLOOKUP(A1097,Jogos!A:BN,64,0)</f>
        <v>26.82</v>
      </c>
      <c r="BG1097" s="9">
        <f>VLOOKUP(A1097,Jogos!A:BN,65,0)</f>
        <v>49.09333333</v>
      </c>
      <c r="BH1097" s="9">
        <f>VLOOKUP(A1097,Jogos!A:BN,66,0)</f>
        <v>31.85666667</v>
      </c>
      <c r="BI1097" s="9"/>
      <c r="BJ1097" s="9"/>
    </row>
    <row r="1098" hidden="1">
      <c r="A1098" s="10">
        <v>37.0</v>
      </c>
      <c r="B1098" s="11" t="s">
        <v>121</v>
      </c>
      <c r="C1098" s="2" t="s">
        <v>61</v>
      </c>
      <c r="D1098" s="12">
        <v>45832.0</v>
      </c>
      <c r="E1098" s="13">
        <v>0.5833333333333334</v>
      </c>
      <c r="F1098" s="5" t="str">
        <f>VLOOKUP(A1098,Jogos!A:N,10,0)</f>
        <v>Afternoon</v>
      </c>
      <c r="G1098" s="11" t="s">
        <v>1130</v>
      </c>
      <c r="H1098" s="6" t="str">
        <f>VLOOKUP(A1098,Jogos!A:L,12,0)</f>
        <v>Open</v>
      </c>
      <c r="I1098" s="6" t="str">
        <f>VLOOKUP(G1098,'Estádios e Cidades'!A:B,2,0)</f>
        <v>Nashville</v>
      </c>
      <c r="J1098" s="11" t="s">
        <v>440</v>
      </c>
      <c r="K1098" s="2" t="str">
        <f>VLOOKUP(J1098,Equipes!A:F,6,0)</f>
        <v>Temperate</v>
      </c>
      <c r="L1098" s="2">
        <f>VLOOKUP(J1098,Equipes!A:C,3,0)</f>
        <v>24</v>
      </c>
      <c r="M1098" s="2" t="str">
        <f t="shared" si="4"/>
        <v>Group</v>
      </c>
      <c r="N1098" s="11" t="s">
        <v>124</v>
      </c>
      <c r="O1098" s="2">
        <f>VLOOKUP(N1098,Equipes!A:C,3,0)</f>
        <v>27</v>
      </c>
      <c r="P1098" s="2" t="str">
        <f t="shared" si="5"/>
        <v>Group</v>
      </c>
      <c r="Q1098" s="2">
        <f t="shared" si="6"/>
        <v>-3</v>
      </c>
      <c r="R1098" s="2" t="str">
        <f>VLOOKUP(J1098,Equipes!A:B,2,0)</f>
        <v>Boca</v>
      </c>
      <c r="S1098" s="6" t="s">
        <v>1142</v>
      </c>
      <c r="T1098" s="7">
        <v>40.0</v>
      </c>
      <c r="U1098" s="7" t="s">
        <v>1143</v>
      </c>
      <c r="V1098" s="7" t="str">
        <f>VLOOKUP(U1098,Jogadores!B:C,2,0)</f>
        <v>DF</v>
      </c>
      <c r="W1098" s="8">
        <f>VLOOKUP(U1098,Jogadores!B:D,3,0)</f>
        <v>21.39726027</v>
      </c>
      <c r="X1098" s="7">
        <v>0.0</v>
      </c>
      <c r="Y1098" s="7">
        <f t="shared" si="3425"/>
        <v>96</v>
      </c>
      <c r="Z1098" s="7">
        <f>VLOOKUP(A1098,Jogos!A:L,3,0)</f>
        <v>50</v>
      </c>
      <c r="AA1098" s="7">
        <f t="shared" si="2229"/>
        <v>50</v>
      </c>
      <c r="AB1098" s="7">
        <f>VLOOKUP(A1098,Jogos!A:L,4,0)</f>
        <v>51</v>
      </c>
      <c r="AC1098" s="7">
        <f t="shared" si="2230"/>
        <v>51</v>
      </c>
      <c r="AD1098" s="7"/>
      <c r="AE1098" s="7"/>
      <c r="AF1098" s="7">
        <f t="shared" si="2231"/>
        <v>101</v>
      </c>
      <c r="AG1098" s="7">
        <v>9943.7</v>
      </c>
      <c r="AH1098" s="7">
        <v>4542.5</v>
      </c>
      <c r="AI1098" s="7">
        <v>4279.6</v>
      </c>
      <c r="AJ1098" s="7">
        <v>782.9</v>
      </c>
      <c r="AK1098" s="7">
        <v>279.0</v>
      </c>
      <c r="AL1098" s="7">
        <v>59.7</v>
      </c>
      <c r="AM1098" s="7">
        <v>62.0</v>
      </c>
      <c r="AN1098" s="7">
        <v>16.0</v>
      </c>
      <c r="AO1098" s="7">
        <v>44.2</v>
      </c>
      <c r="AP1098" s="9">
        <f t="shared" ref="AP1098:AR1098" si="3429">AG1098/$AF1098</f>
        <v>98.45247525</v>
      </c>
      <c r="AQ1098" s="9">
        <f t="shared" si="3429"/>
        <v>44.97524752</v>
      </c>
      <c r="AR1098" s="9">
        <f t="shared" si="3429"/>
        <v>42.37227723</v>
      </c>
      <c r="AS1098" s="9">
        <f t="shared" si="2233"/>
        <v>87.34752475</v>
      </c>
      <c r="AT1098" s="9">
        <f t="shared" ref="AT1098:AV1098" si="3430">AJ1098/$AF1098</f>
        <v>7.751485149</v>
      </c>
      <c r="AU1098" s="9">
        <f t="shared" si="3430"/>
        <v>2.762376238</v>
      </c>
      <c r="AV1098" s="9">
        <f t="shared" si="3430"/>
        <v>0.5910891089</v>
      </c>
      <c r="AW1098" s="9">
        <f t="shared" si="2235"/>
        <v>3.353465347</v>
      </c>
      <c r="AX1098" s="9">
        <f t="shared" ref="AX1098:AY1098" si="3431">AM1098/$AF1098</f>
        <v>0.6138613861</v>
      </c>
      <c r="AY1098" s="9">
        <f t="shared" si="3431"/>
        <v>0.1584158416</v>
      </c>
      <c r="AZ1098" s="9">
        <f>VLOOKUP(A1098,Jogos!A:BN,58,0)</f>
        <v>32.65666667</v>
      </c>
      <c r="BA1098" s="9">
        <f>VLOOKUP(A1098,Jogos!A:BN,59,0)</f>
        <v>22.84333333</v>
      </c>
      <c r="BB1098" s="9">
        <f>VLOOKUP(A1098,Jogos!A:BN,60,0)</f>
        <v>55.66666667</v>
      </c>
      <c r="BC1098" s="9">
        <f>VLOOKUP(A1098,Jogos!A:BN,61,0)</f>
        <v>35.02666667</v>
      </c>
      <c r="BD1098" s="9">
        <f>VLOOKUP(A1098,Jogos!A:BN,62,0)</f>
        <v>626.3666667</v>
      </c>
      <c r="BE1098" s="9">
        <f>VLOOKUP(A1098,Jogos!A:BN,63,0)</f>
        <v>0.5066666667</v>
      </c>
      <c r="BF1098" s="9">
        <f>VLOOKUP(A1098,Jogos!A:BN,64,0)</f>
        <v>26.82</v>
      </c>
      <c r="BG1098" s="9">
        <f>VLOOKUP(A1098,Jogos!A:BN,65,0)</f>
        <v>49.09333333</v>
      </c>
      <c r="BH1098" s="9">
        <f>VLOOKUP(A1098,Jogos!A:BN,66,0)</f>
        <v>31.85666667</v>
      </c>
      <c r="BI1098" s="9"/>
      <c r="BJ1098" s="9"/>
    </row>
    <row r="1099" hidden="1">
      <c r="A1099" s="10">
        <v>37.0</v>
      </c>
      <c r="B1099" s="11" t="s">
        <v>121</v>
      </c>
      <c r="C1099" s="2" t="s">
        <v>61</v>
      </c>
      <c r="D1099" s="12">
        <v>45832.0</v>
      </c>
      <c r="E1099" s="13">
        <v>0.5833333333333334</v>
      </c>
      <c r="F1099" s="5" t="str">
        <f>VLOOKUP(A1099,Jogos!A:N,10,0)</f>
        <v>Afternoon</v>
      </c>
      <c r="G1099" s="11" t="s">
        <v>1130</v>
      </c>
      <c r="H1099" s="6" t="str">
        <f>VLOOKUP(A1099,Jogos!A:L,12,0)</f>
        <v>Open</v>
      </c>
      <c r="I1099" s="6" t="str">
        <f>VLOOKUP(G1099,'Estádios e Cidades'!A:B,2,0)</f>
        <v>Nashville</v>
      </c>
      <c r="J1099" s="11" t="s">
        <v>440</v>
      </c>
      <c r="K1099" s="2" t="str">
        <f>VLOOKUP(J1099,Equipes!A:F,6,0)</f>
        <v>Temperate</v>
      </c>
      <c r="L1099" s="2">
        <f>VLOOKUP(J1099,Equipes!A:C,3,0)</f>
        <v>24</v>
      </c>
      <c r="M1099" s="2" t="str">
        <f t="shared" si="4"/>
        <v>Group</v>
      </c>
      <c r="N1099" s="11" t="s">
        <v>124</v>
      </c>
      <c r="O1099" s="2">
        <f>VLOOKUP(N1099,Equipes!A:C,3,0)</f>
        <v>27</v>
      </c>
      <c r="P1099" s="2" t="str">
        <f t="shared" si="5"/>
        <v>Group</v>
      </c>
      <c r="Q1099" s="2">
        <f t="shared" si="6"/>
        <v>-3</v>
      </c>
      <c r="R1099" s="2" t="str">
        <f>VLOOKUP(J1099,Equipes!A:B,2,0)</f>
        <v>Boca</v>
      </c>
      <c r="S1099" s="6" t="s">
        <v>464</v>
      </c>
      <c r="T1099" s="7">
        <v>9.0</v>
      </c>
      <c r="U1099" s="7" t="s">
        <v>465</v>
      </c>
      <c r="V1099" s="7" t="str">
        <f>VLOOKUP(U1099,Jogadores!B:C,2,0)</f>
        <v>FW</v>
      </c>
      <c r="W1099" s="8">
        <f>VLOOKUP(U1099,Jogadores!B:D,3,0)</f>
        <v>28.97808219</v>
      </c>
      <c r="X1099" s="7">
        <v>54.0</v>
      </c>
      <c r="Y1099" s="7">
        <f t="shared" si="3425"/>
        <v>96</v>
      </c>
      <c r="Z1099" s="7">
        <f>VLOOKUP(A1099,Jogos!A:L,3,0)</f>
        <v>50</v>
      </c>
      <c r="AA1099" s="7">
        <f t="shared" si="2229"/>
        <v>0</v>
      </c>
      <c r="AB1099" s="7">
        <f>VLOOKUP(A1099,Jogos!A:L,4,0)</f>
        <v>51</v>
      </c>
      <c r="AC1099" s="7">
        <f t="shared" si="2230"/>
        <v>42</v>
      </c>
      <c r="AD1099" s="7"/>
      <c r="AE1099" s="7"/>
      <c r="AF1099" s="7">
        <f t="shared" si="2231"/>
        <v>42</v>
      </c>
      <c r="AG1099" s="7">
        <v>4109.0</v>
      </c>
      <c r="AH1099" s="7">
        <v>2033.4</v>
      </c>
      <c r="AI1099" s="7">
        <v>1551.4</v>
      </c>
      <c r="AJ1099" s="7">
        <v>373.6</v>
      </c>
      <c r="AK1099" s="7">
        <v>102.9</v>
      </c>
      <c r="AL1099" s="7">
        <v>47.6</v>
      </c>
      <c r="AM1099" s="7">
        <v>32.0</v>
      </c>
      <c r="AN1099" s="7">
        <v>8.0</v>
      </c>
      <c r="AO1099" s="7">
        <v>29.0</v>
      </c>
      <c r="AP1099" s="9">
        <f t="shared" ref="AP1099:AR1099" si="3432">AG1099/$AF1099</f>
        <v>97.83333333</v>
      </c>
      <c r="AQ1099" s="9">
        <f t="shared" si="3432"/>
        <v>48.41428571</v>
      </c>
      <c r="AR1099" s="9">
        <f t="shared" si="3432"/>
        <v>36.93809524</v>
      </c>
      <c r="AS1099" s="9">
        <f t="shared" si="2233"/>
        <v>85.35238095</v>
      </c>
      <c r="AT1099" s="9">
        <f t="shared" ref="AT1099:AV1099" si="3433">AJ1099/$AF1099</f>
        <v>8.895238095</v>
      </c>
      <c r="AU1099" s="9">
        <f t="shared" si="3433"/>
        <v>2.45</v>
      </c>
      <c r="AV1099" s="9">
        <f t="shared" si="3433"/>
        <v>1.133333333</v>
      </c>
      <c r="AW1099" s="9">
        <f t="shared" si="2235"/>
        <v>3.583333333</v>
      </c>
      <c r="AX1099" s="9">
        <f t="shared" ref="AX1099:AY1099" si="3434">AM1099/$AF1099</f>
        <v>0.7619047619</v>
      </c>
      <c r="AY1099" s="9">
        <f t="shared" si="3434"/>
        <v>0.1904761905</v>
      </c>
      <c r="AZ1099" s="9">
        <f>VLOOKUP(A1099,Jogos!A:BN,58,0)</f>
        <v>32.65666667</v>
      </c>
      <c r="BA1099" s="9">
        <f>VLOOKUP(A1099,Jogos!A:BN,59,0)</f>
        <v>22.84333333</v>
      </c>
      <c r="BB1099" s="9">
        <f>VLOOKUP(A1099,Jogos!A:BN,60,0)</f>
        <v>55.66666667</v>
      </c>
      <c r="BC1099" s="9">
        <f>VLOOKUP(A1099,Jogos!A:BN,61,0)</f>
        <v>35.02666667</v>
      </c>
      <c r="BD1099" s="9">
        <f>VLOOKUP(A1099,Jogos!A:BN,62,0)</f>
        <v>626.3666667</v>
      </c>
      <c r="BE1099" s="9">
        <f>VLOOKUP(A1099,Jogos!A:BN,63,0)</f>
        <v>0.5066666667</v>
      </c>
      <c r="BF1099" s="9">
        <f>VLOOKUP(A1099,Jogos!A:BN,64,0)</f>
        <v>26.82</v>
      </c>
      <c r="BG1099" s="9">
        <f>VLOOKUP(A1099,Jogos!A:BN,65,0)</f>
        <v>49.09333333</v>
      </c>
      <c r="BH1099" s="9">
        <f>VLOOKUP(A1099,Jogos!A:BN,66,0)</f>
        <v>31.85666667</v>
      </c>
      <c r="BI1099" s="9"/>
      <c r="BJ1099" s="9"/>
    </row>
    <row r="1100" hidden="1">
      <c r="A1100" s="10">
        <v>37.0</v>
      </c>
      <c r="B1100" s="11" t="s">
        <v>121</v>
      </c>
      <c r="C1100" s="2" t="s">
        <v>61</v>
      </c>
      <c r="D1100" s="12">
        <v>45832.0</v>
      </c>
      <c r="E1100" s="13">
        <v>0.5833333333333334</v>
      </c>
      <c r="F1100" s="5" t="str">
        <f>VLOOKUP(A1100,Jogos!A:N,10,0)</f>
        <v>Afternoon</v>
      </c>
      <c r="G1100" s="11" t="s">
        <v>1130</v>
      </c>
      <c r="H1100" s="6" t="str">
        <f>VLOOKUP(A1100,Jogos!A:L,12,0)</f>
        <v>Open</v>
      </c>
      <c r="I1100" s="6" t="str">
        <f>VLOOKUP(G1100,'Estádios e Cidades'!A:B,2,0)</f>
        <v>Nashville</v>
      </c>
      <c r="J1100" s="11" t="s">
        <v>440</v>
      </c>
      <c r="K1100" s="2" t="str">
        <f>VLOOKUP(J1100,Equipes!A:F,6,0)</f>
        <v>Temperate</v>
      </c>
      <c r="L1100" s="2">
        <f>VLOOKUP(J1100,Equipes!A:C,3,0)</f>
        <v>24</v>
      </c>
      <c r="M1100" s="2" t="str">
        <f t="shared" si="4"/>
        <v>Group</v>
      </c>
      <c r="N1100" s="11" t="s">
        <v>124</v>
      </c>
      <c r="O1100" s="2">
        <f>VLOOKUP(N1100,Equipes!A:C,3,0)</f>
        <v>27</v>
      </c>
      <c r="P1100" s="2" t="str">
        <f t="shared" si="5"/>
        <v>Group</v>
      </c>
      <c r="Q1100" s="2">
        <f t="shared" si="6"/>
        <v>-3</v>
      </c>
      <c r="R1100" s="2" t="str">
        <f>VLOOKUP(J1100,Equipes!A:B,2,0)</f>
        <v>Boca</v>
      </c>
      <c r="S1100" s="6" t="s">
        <v>456</v>
      </c>
      <c r="T1100" s="7">
        <v>22.0</v>
      </c>
      <c r="U1100" s="7" t="s">
        <v>457</v>
      </c>
      <c r="V1100" s="7" t="str">
        <f>VLOOKUP(U1100,Jogadores!B:C,2,0)</f>
        <v>MF</v>
      </c>
      <c r="W1100" s="8">
        <f>VLOOKUP(U1100,Jogadores!B:D,3,0)</f>
        <v>24.0109589</v>
      </c>
      <c r="X1100" s="7">
        <v>26.0</v>
      </c>
      <c r="Y1100" s="7">
        <f t="shared" si="3425"/>
        <v>96</v>
      </c>
      <c r="Z1100" s="7">
        <f>VLOOKUP(A1100,Jogos!A:L,3,0)</f>
        <v>50</v>
      </c>
      <c r="AA1100" s="7">
        <f t="shared" si="2229"/>
        <v>24</v>
      </c>
      <c r="AB1100" s="7">
        <f>VLOOKUP(A1100,Jogos!A:L,4,0)</f>
        <v>51</v>
      </c>
      <c r="AC1100" s="7">
        <f t="shared" si="2230"/>
        <v>51</v>
      </c>
      <c r="AD1100" s="7"/>
      <c r="AE1100" s="7"/>
      <c r="AF1100" s="7">
        <f t="shared" si="2231"/>
        <v>75</v>
      </c>
      <c r="AG1100" s="7">
        <v>8053.0</v>
      </c>
      <c r="AH1100" s="7">
        <v>3304.5</v>
      </c>
      <c r="AI1100" s="7">
        <v>3477.6</v>
      </c>
      <c r="AJ1100" s="7">
        <v>844.8</v>
      </c>
      <c r="AK1100" s="7">
        <v>370.4</v>
      </c>
      <c r="AL1100" s="7">
        <v>55.6</v>
      </c>
      <c r="AM1100" s="7">
        <v>71.0</v>
      </c>
      <c r="AN1100" s="7">
        <v>26.0</v>
      </c>
      <c r="AO1100" s="7">
        <v>44.4</v>
      </c>
      <c r="AP1100" s="9">
        <f t="shared" ref="AP1100:AR1100" si="3435">AG1100/$AF1100</f>
        <v>107.3733333</v>
      </c>
      <c r="AQ1100" s="9">
        <f t="shared" si="3435"/>
        <v>44.06</v>
      </c>
      <c r="AR1100" s="9">
        <f t="shared" si="3435"/>
        <v>46.368</v>
      </c>
      <c r="AS1100" s="9">
        <f t="shared" si="2233"/>
        <v>90.428</v>
      </c>
      <c r="AT1100" s="9">
        <f t="shared" ref="AT1100:AV1100" si="3436">AJ1100/$AF1100</f>
        <v>11.264</v>
      </c>
      <c r="AU1100" s="9">
        <f t="shared" si="3436"/>
        <v>4.938666667</v>
      </c>
      <c r="AV1100" s="9">
        <f t="shared" si="3436"/>
        <v>0.7413333333</v>
      </c>
      <c r="AW1100" s="9">
        <f t="shared" si="2235"/>
        <v>5.68</v>
      </c>
      <c r="AX1100" s="9">
        <f t="shared" ref="AX1100:AY1100" si="3437">AM1100/$AF1100</f>
        <v>0.9466666667</v>
      </c>
      <c r="AY1100" s="9">
        <f t="shared" si="3437"/>
        <v>0.3466666667</v>
      </c>
      <c r="AZ1100" s="9">
        <f>VLOOKUP(A1100,Jogos!A:BN,58,0)</f>
        <v>32.65666667</v>
      </c>
      <c r="BA1100" s="9">
        <f>VLOOKUP(A1100,Jogos!A:BN,59,0)</f>
        <v>22.84333333</v>
      </c>
      <c r="BB1100" s="9">
        <f>VLOOKUP(A1100,Jogos!A:BN,60,0)</f>
        <v>55.66666667</v>
      </c>
      <c r="BC1100" s="9">
        <f>VLOOKUP(A1100,Jogos!A:BN,61,0)</f>
        <v>35.02666667</v>
      </c>
      <c r="BD1100" s="9">
        <f>VLOOKUP(A1100,Jogos!A:BN,62,0)</f>
        <v>626.3666667</v>
      </c>
      <c r="BE1100" s="9">
        <f>VLOOKUP(A1100,Jogos!A:BN,63,0)</f>
        <v>0.5066666667</v>
      </c>
      <c r="BF1100" s="9">
        <f>VLOOKUP(A1100,Jogos!A:BN,64,0)</f>
        <v>26.82</v>
      </c>
      <c r="BG1100" s="9">
        <f>VLOOKUP(A1100,Jogos!A:BN,65,0)</f>
        <v>49.09333333</v>
      </c>
      <c r="BH1100" s="9">
        <f>VLOOKUP(A1100,Jogos!A:BN,66,0)</f>
        <v>31.85666667</v>
      </c>
      <c r="BI1100" s="9"/>
      <c r="BJ1100" s="9"/>
    </row>
    <row r="1101" hidden="1">
      <c r="A1101" s="10">
        <v>37.0</v>
      </c>
      <c r="B1101" s="11" t="s">
        <v>121</v>
      </c>
      <c r="C1101" s="2" t="s">
        <v>61</v>
      </c>
      <c r="D1101" s="12">
        <v>45832.0</v>
      </c>
      <c r="E1101" s="13">
        <v>0.5833333333333334</v>
      </c>
      <c r="F1101" s="5" t="str">
        <f>VLOOKUP(A1101,Jogos!A:N,10,0)</f>
        <v>Afternoon</v>
      </c>
      <c r="G1101" s="11" t="s">
        <v>1130</v>
      </c>
      <c r="H1101" s="6" t="str">
        <f>VLOOKUP(A1101,Jogos!A:L,12,0)</f>
        <v>Open</v>
      </c>
      <c r="I1101" s="6" t="str">
        <f>VLOOKUP(G1101,'Estádios e Cidades'!A:B,2,0)</f>
        <v>Nashville</v>
      </c>
      <c r="J1101" s="11" t="s">
        <v>440</v>
      </c>
      <c r="K1101" s="2" t="str">
        <f>VLOOKUP(J1101,Equipes!A:F,6,0)</f>
        <v>Temperate</v>
      </c>
      <c r="L1101" s="2">
        <f>VLOOKUP(J1101,Equipes!A:C,3,0)</f>
        <v>24</v>
      </c>
      <c r="M1101" s="2" t="str">
        <f t="shared" si="4"/>
        <v>Group</v>
      </c>
      <c r="N1101" s="11" t="s">
        <v>124</v>
      </c>
      <c r="O1101" s="2">
        <f>VLOOKUP(N1101,Equipes!A:C,3,0)</f>
        <v>27</v>
      </c>
      <c r="P1101" s="2" t="str">
        <f t="shared" si="5"/>
        <v>Group</v>
      </c>
      <c r="Q1101" s="2">
        <f t="shared" si="6"/>
        <v>-3</v>
      </c>
      <c r="R1101" s="2" t="str">
        <f>VLOOKUP(J1101,Equipes!A:B,2,0)</f>
        <v>Boca</v>
      </c>
      <c r="S1101" s="6" t="s">
        <v>1150</v>
      </c>
      <c r="T1101" s="7">
        <v>27.0</v>
      </c>
      <c r="U1101" s="7" t="s">
        <v>1151</v>
      </c>
      <c r="V1101" s="7" t="str">
        <f>VLOOKUP(U1101,Jogadores!B:C,2,0)</f>
        <v>MF</v>
      </c>
      <c r="W1101" s="8">
        <f>VLOOKUP(U1101,Jogadores!B:D,3,0)</f>
        <v>28.21643836</v>
      </c>
      <c r="X1101" s="7">
        <v>54.0</v>
      </c>
      <c r="Y1101" s="7">
        <f t="shared" si="3425"/>
        <v>96</v>
      </c>
      <c r="Z1101" s="7">
        <f>VLOOKUP(A1101,Jogos!A:L,3,0)</f>
        <v>50</v>
      </c>
      <c r="AA1101" s="7">
        <f t="shared" si="2229"/>
        <v>0</v>
      </c>
      <c r="AB1101" s="7">
        <f>VLOOKUP(A1101,Jogos!A:L,4,0)</f>
        <v>51</v>
      </c>
      <c r="AC1101" s="7">
        <f t="shared" si="2230"/>
        <v>42</v>
      </c>
      <c r="AD1101" s="7"/>
      <c r="AE1101" s="7"/>
      <c r="AF1101" s="7">
        <f t="shared" si="2231"/>
        <v>42</v>
      </c>
      <c r="AG1101" s="7">
        <v>4554.4</v>
      </c>
      <c r="AH1101" s="7">
        <v>1795.9</v>
      </c>
      <c r="AI1101" s="7">
        <v>1761.5</v>
      </c>
      <c r="AJ1101" s="7">
        <v>659.6</v>
      </c>
      <c r="AK1101" s="7">
        <v>283.7</v>
      </c>
      <c r="AL1101" s="7">
        <v>53.7</v>
      </c>
      <c r="AM1101" s="7">
        <v>53.0</v>
      </c>
      <c r="AN1101" s="7">
        <v>23.0</v>
      </c>
      <c r="AO1101" s="7">
        <v>27.8</v>
      </c>
      <c r="AP1101" s="9">
        <f t="shared" ref="AP1101:AR1101" si="3438">AG1101/$AF1101</f>
        <v>108.4380952</v>
      </c>
      <c r="AQ1101" s="9">
        <f t="shared" si="3438"/>
        <v>42.75952381</v>
      </c>
      <c r="AR1101" s="9">
        <f t="shared" si="3438"/>
        <v>41.94047619</v>
      </c>
      <c r="AS1101" s="9">
        <f t="shared" si="2233"/>
        <v>84.7</v>
      </c>
      <c r="AT1101" s="9">
        <f t="shared" ref="AT1101:AV1101" si="3439">AJ1101/$AF1101</f>
        <v>15.7047619</v>
      </c>
      <c r="AU1101" s="9">
        <f t="shared" si="3439"/>
        <v>6.754761905</v>
      </c>
      <c r="AV1101" s="9">
        <f t="shared" si="3439"/>
        <v>1.278571429</v>
      </c>
      <c r="AW1101" s="9">
        <f t="shared" si="2235"/>
        <v>8.033333333</v>
      </c>
      <c r="AX1101" s="9">
        <f t="shared" ref="AX1101:AY1101" si="3440">AM1101/$AF1101</f>
        <v>1.261904762</v>
      </c>
      <c r="AY1101" s="9">
        <f t="shared" si="3440"/>
        <v>0.5476190476</v>
      </c>
      <c r="AZ1101" s="9">
        <f>VLOOKUP(A1101,Jogos!A:BN,58,0)</f>
        <v>32.65666667</v>
      </c>
      <c r="BA1101" s="9">
        <f>VLOOKUP(A1101,Jogos!A:BN,59,0)</f>
        <v>22.84333333</v>
      </c>
      <c r="BB1101" s="9">
        <f>VLOOKUP(A1101,Jogos!A:BN,60,0)</f>
        <v>55.66666667</v>
      </c>
      <c r="BC1101" s="9">
        <f>VLOOKUP(A1101,Jogos!A:BN,61,0)</f>
        <v>35.02666667</v>
      </c>
      <c r="BD1101" s="9">
        <f>VLOOKUP(A1101,Jogos!A:BN,62,0)</f>
        <v>626.3666667</v>
      </c>
      <c r="BE1101" s="9">
        <f>VLOOKUP(A1101,Jogos!A:BN,63,0)</f>
        <v>0.5066666667</v>
      </c>
      <c r="BF1101" s="9">
        <f>VLOOKUP(A1101,Jogos!A:BN,64,0)</f>
        <v>26.82</v>
      </c>
      <c r="BG1101" s="9">
        <f>VLOOKUP(A1101,Jogos!A:BN,65,0)</f>
        <v>49.09333333</v>
      </c>
      <c r="BH1101" s="9">
        <f>VLOOKUP(A1101,Jogos!A:BN,66,0)</f>
        <v>31.85666667</v>
      </c>
      <c r="BI1101" s="9"/>
      <c r="BJ1101" s="9"/>
    </row>
    <row r="1102" hidden="1">
      <c r="A1102" s="2">
        <v>38.0</v>
      </c>
      <c r="B1102" s="2" t="s">
        <v>121</v>
      </c>
      <c r="C1102" s="2" t="s">
        <v>61</v>
      </c>
      <c r="D1102" s="3">
        <v>45832.0</v>
      </c>
      <c r="E1102" s="4">
        <v>0.625</v>
      </c>
      <c r="F1102" s="5" t="str">
        <f>VLOOKUP(A1102,Jogos!A:N,10,0)</f>
        <v>Afternoon</v>
      </c>
      <c r="G1102" s="2" t="s">
        <v>1200</v>
      </c>
      <c r="H1102" s="6" t="str">
        <f>VLOOKUP(A1102,Jogos!A:L,12,0)</f>
        <v>Open</v>
      </c>
      <c r="I1102" s="6" t="str">
        <f>VLOOKUP(G1102,'Estádios e Cidades'!A:B,2,0)</f>
        <v>Charlotte</v>
      </c>
      <c r="J1102" s="2" t="s">
        <v>441</v>
      </c>
      <c r="K1102" s="2" t="str">
        <f>VLOOKUP(J1102,Equipes!A:F,6,0)</f>
        <v>Temperate</v>
      </c>
      <c r="L1102" s="2">
        <f>VLOOKUP(J1102,Equipes!A:C,3,0)</f>
        <v>10</v>
      </c>
      <c r="M1102" s="2" t="str">
        <f t="shared" si="4"/>
        <v>Round of 16</v>
      </c>
      <c r="N1102" s="2" t="s">
        <v>123</v>
      </c>
      <c r="O1102" s="2">
        <f>VLOOKUP(N1102,Equipes!A:C,3,0)</f>
        <v>6</v>
      </c>
      <c r="P1102" s="2" t="str">
        <f t="shared" si="5"/>
        <v>Quarter-final</v>
      </c>
      <c r="Q1102" s="2">
        <f t="shared" si="6"/>
        <v>4</v>
      </c>
      <c r="R1102" s="2" t="str">
        <f>VLOOKUP(J1102,Equipes!A:B,2,0)</f>
        <v>Benfica</v>
      </c>
      <c r="S1102" s="6" t="s">
        <v>472</v>
      </c>
      <c r="T1102" s="7">
        <v>4.0</v>
      </c>
      <c r="U1102" s="7" t="s">
        <v>473</v>
      </c>
      <c r="V1102" s="7" t="str">
        <f>VLOOKUP(U1102,Jogadores!B:C,2,0)</f>
        <v>DF</v>
      </c>
      <c r="W1102" s="8">
        <f>VLOOKUP(U1102,Jogadores!B:D,3,0)</f>
        <v>21.75890411</v>
      </c>
      <c r="X1102" s="7">
        <v>0.0</v>
      </c>
      <c r="Y1102" s="7">
        <f t="shared" si="3425"/>
        <v>98</v>
      </c>
      <c r="Z1102" s="7">
        <f>VLOOKUP(A1102,Jogos!A:L,3,0)</f>
        <v>49</v>
      </c>
      <c r="AA1102" s="7">
        <f t="shared" si="2229"/>
        <v>49</v>
      </c>
      <c r="AB1102" s="7">
        <f>VLOOKUP(A1102,Jogos!A:L,4,0)</f>
        <v>53</v>
      </c>
      <c r="AC1102" s="7">
        <f t="shared" si="2230"/>
        <v>53</v>
      </c>
      <c r="AD1102" s="7"/>
      <c r="AE1102" s="7"/>
      <c r="AF1102" s="7">
        <f t="shared" si="2231"/>
        <v>102</v>
      </c>
      <c r="AG1102" s="7">
        <v>9307.0</v>
      </c>
      <c r="AH1102" s="7">
        <v>4379.3</v>
      </c>
      <c r="AI1102" s="7">
        <v>3825.2</v>
      </c>
      <c r="AJ1102" s="7">
        <v>760.4</v>
      </c>
      <c r="AK1102" s="7">
        <v>260.9</v>
      </c>
      <c r="AL1102" s="7">
        <v>81.2</v>
      </c>
      <c r="AM1102" s="7">
        <v>69.0</v>
      </c>
      <c r="AN1102" s="7">
        <v>24.0</v>
      </c>
      <c r="AO1102" s="7">
        <v>32.0</v>
      </c>
      <c r="AP1102" s="9">
        <f t="shared" ref="AP1102:AR1102" si="3441">AG1102/$AF1102</f>
        <v>91.24509804</v>
      </c>
      <c r="AQ1102" s="9">
        <f t="shared" si="3441"/>
        <v>42.93431373</v>
      </c>
      <c r="AR1102" s="9">
        <f t="shared" si="3441"/>
        <v>37.50196078</v>
      </c>
      <c r="AS1102" s="9">
        <f t="shared" si="2233"/>
        <v>80.43627451</v>
      </c>
      <c r="AT1102" s="9">
        <f t="shared" ref="AT1102:AV1102" si="3442">AJ1102/$AF1102</f>
        <v>7.454901961</v>
      </c>
      <c r="AU1102" s="9">
        <f t="shared" si="3442"/>
        <v>2.557843137</v>
      </c>
      <c r="AV1102" s="9">
        <f t="shared" si="3442"/>
        <v>0.7960784314</v>
      </c>
      <c r="AW1102" s="9">
        <f t="shared" si="2235"/>
        <v>3.353921569</v>
      </c>
      <c r="AX1102" s="9">
        <f t="shared" ref="AX1102:AY1102" si="3443">AM1102/$AF1102</f>
        <v>0.6764705882</v>
      </c>
      <c r="AY1102" s="9">
        <f t="shared" si="3443"/>
        <v>0.2352941176</v>
      </c>
      <c r="AZ1102" s="9">
        <f>VLOOKUP(A1102,Jogos!A:BN,58,0)</f>
        <v>37.37</v>
      </c>
      <c r="BA1102" s="9">
        <f>VLOOKUP(A1102,Jogos!A:BN,59,0)</f>
        <v>19.55</v>
      </c>
      <c r="BB1102" s="9">
        <f>VLOOKUP(A1102,Jogos!A:BN,60,0)</f>
        <v>34.5</v>
      </c>
      <c r="BC1102" s="9">
        <f>VLOOKUP(A1102,Jogos!A:BN,61,0)</f>
        <v>44.775</v>
      </c>
      <c r="BD1102" s="9">
        <f>VLOOKUP(A1102,Jogos!A:BN,62,0)</f>
        <v>622.1</v>
      </c>
      <c r="BE1102" s="9">
        <f>VLOOKUP(A1102,Jogos!A:BN,63,0)</f>
        <v>1.695</v>
      </c>
      <c r="BF1102" s="9">
        <f>VLOOKUP(A1102,Jogos!A:BN,64,0)</f>
        <v>26.625</v>
      </c>
      <c r="BG1102" s="9">
        <f>VLOOKUP(A1102,Jogos!A:BN,65,0)</f>
        <v>52.59</v>
      </c>
      <c r="BH1102" s="9">
        <f>VLOOKUP(A1102,Jogos!A:BN,66,0)</f>
        <v>32.895</v>
      </c>
      <c r="BI1102" s="9"/>
      <c r="BJ1102" s="9"/>
    </row>
    <row r="1103" hidden="1">
      <c r="A1103" s="2">
        <v>38.0</v>
      </c>
      <c r="B1103" s="2" t="s">
        <v>121</v>
      </c>
      <c r="C1103" s="2" t="s">
        <v>61</v>
      </c>
      <c r="D1103" s="3">
        <v>45832.0</v>
      </c>
      <c r="E1103" s="4">
        <v>0.625</v>
      </c>
      <c r="F1103" s="5" t="str">
        <f>VLOOKUP(A1103,Jogos!A:N,10,0)</f>
        <v>Afternoon</v>
      </c>
      <c r="G1103" s="2" t="s">
        <v>1200</v>
      </c>
      <c r="H1103" s="6" t="str">
        <f>VLOOKUP(A1103,Jogos!A:L,12,0)</f>
        <v>Open</v>
      </c>
      <c r="I1103" s="6" t="str">
        <f>VLOOKUP(G1103,'Estádios e Cidades'!A:B,2,0)</f>
        <v>Charlotte</v>
      </c>
      <c r="J1103" s="2" t="s">
        <v>441</v>
      </c>
      <c r="K1103" s="2" t="str">
        <f>VLOOKUP(J1103,Equipes!A:F,6,0)</f>
        <v>Temperate</v>
      </c>
      <c r="L1103" s="2">
        <f>VLOOKUP(J1103,Equipes!A:C,3,0)</f>
        <v>10</v>
      </c>
      <c r="M1103" s="2" t="str">
        <f t="shared" si="4"/>
        <v>Round of 16</v>
      </c>
      <c r="N1103" s="2" t="s">
        <v>123</v>
      </c>
      <c r="O1103" s="2">
        <f>VLOOKUP(N1103,Equipes!A:C,3,0)</f>
        <v>6</v>
      </c>
      <c r="P1103" s="2" t="str">
        <f t="shared" si="5"/>
        <v>Quarter-final</v>
      </c>
      <c r="Q1103" s="2">
        <f t="shared" si="6"/>
        <v>4</v>
      </c>
      <c r="R1103" s="2" t="str">
        <f>VLOOKUP(J1103,Equipes!A:B,2,0)</f>
        <v>Benfica</v>
      </c>
      <c r="S1103" s="6" t="s">
        <v>474</v>
      </c>
      <c r="T1103" s="7">
        <v>8.0</v>
      </c>
      <c r="U1103" s="7" t="s">
        <v>475</v>
      </c>
      <c r="V1103" s="7" t="str">
        <f>VLOOKUP(U1103,Jogadores!B:C,2,0)</f>
        <v>MF</v>
      </c>
      <c r="W1103" s="8">
        <f>VLOOKUP(U1103,Jogadores!B:D,3,0)</f>
        <v>29.65205479</v>
      </c>
      <c r="X1103" s="7">
        <v>0.0</v>
      </c>
      <c r="Y1103" s="7">
        <f t="shared" si="3425"/>
        <v>98</v>
      </c>
      <c r="Z1103" s="7">
        <f>VLOOKUP(A1103,Jogos!A:L,3,0)</f>
        <v>49</v>
      </c>
      <c r="AA1103" s="7">
        <f t="shared" si="2229"/>
        <v>49</v>
      </c>
      <c r="AB1103" s="7">
        <f>VLOOKUP(A1103,Jogos!A:L,4,0)</f>
        <v>53</v>
      </c>
      <c r="AC1103" s="7">
        <f t="shared" si="2230"/>
        <v>53</v>
      </c>
      <c r="AD1103" s="7"/>
      <c r="AE1103" s="7"/>
      <c r="AF1103" s="7">
        <f t="shared" si="2231"/>
        <v>102</v>
      </c>
      <c r="AG1103" s="7">
        <v>10240.4</v>
      </c>
      <c r="AH1103" s="7">
        <v>4194.1</v>
      </c>
      <c r="AI1103" s="7">
        <v>4543.0</v>
      </c>
      <c r="AJ1103" s="7">
        <v>963.2</v>
      </c>
      <c r="AK1103" s="7">
        <v>360.6</v>
      </c>
      <c r="AL1103" s="7">
        <v>179.5</v>
      </c>
      <c r="AM1103" s="7">
        <v>85.0</v>
      </c>
      <c r="AN1103" s="7">
        <v>29.0</v>
      </c>
      <c r="AO1103" s="7">
        <v>32.0</v>
      </c>
      <c r="AP1103" s="9">
        <f t="shared" ref="AP1103:AR1103" si="3444">AG1103/$AF1103</f>
        <v>100.3960784</v>
      </c>
      <c r="AQ1103" s="9">
        <f t="shared" si="3444"/>
        <v>41.11862745</v>
      </c>
      <c r="AR1103" s="9">
        <f t="shared" si="3444"/>
        <v>44.53921569</v>
      </c>
      <c r="AS1103" s="9">
        <f t="shared" si="2233"/>
        <v>85.65784314</v>
      </c>
      <c r="AT1103" s="9">
        <f t="shared" ref="AT1103:AV1103" si="3445">AJ1103/$AF1103</f>
        <v>9.443137255</v>
      </c>
      <c r="AU1103" s="9">
        <f t="shared" si="3445"/>
        <v>3.535294118</v>
      </c>
      <c r="AV1103" s="9">
        <f t="shared" si="3445"/>
        <v>1.759803922</v>
      </c>
      <c r="AW1103" s="9">
        <f t="shared" si="2235"/>
        <v>5.295098039</v>
      </c>
      <c r="AX1103" s="9">
        <f t="shared" ref="AX1103:AY1103" si="3446">AM1103/$AF1103</f>
        <v>0.8333333333</v>
      </c>
      <c r="AY1103" s="9">
        <f t="shared" si="3446"/>
        <v>0.2843137255</v>
      </c>
      <c r="AZ1103" s="9">
        <f>VLOOKUP(A1103,Jogos!A:BN,58,0)</f>
        <v>37.37</v>
      </c>
      <c r="BA1103" s="9">
        <f>VLOOKUP(A1103,Jogos!A:BN,59,0)</f>
        <v>19.55</v>
      </c>
      <c r="BB1103" s="9">
        <f>VLOOKUP(A1103,Jogos!A:BN,60,0)</f>
        <v>34.5</v>
      </c>
      <c r="BC1103" s="9">
        <f>VLOOKUP(A1103,Jogos!A:BN,61,0)</f>
        <v>44.775</v>
      </c>
      <c r="BD1103" s="9">
        <f>VLOOKUP(A1103,Jogos!A:BN,62,0)</f>
        <v>622.1</v>
      </c>
      <c r="BE1103" s="9">
        <f>VLOOKUP(A1103,Jogos!A:BN,63,0)</f>
        <v>1.695</v>
      </c>
      <c r="BF1103" s="9">
        <f>VLOOKUP(A1103,Jogos!A:BN,64,0)</f>
        <v>26.625</v>
      </c>
      <c r="BG1103" s="9">
        <f>VLOOKUP(A1103,Jogos!A:BN,65,0)</f>
        <v>52.59</v>
      </c>
      <c r="BH1103" s="9">
        <f>VLOOKUP(A1103,Jogos!A:BN,66,0)</f>
        <v>32.895</v>
      </c>
      <c r="BI1103" s="9"/>
      <c r="BJ1103" s="9"/>
    </row>
    <row r="1104" hidden="1">
      <c r="A1104" s="2">
        <v>38.0</v>
      </c>
      <c r="B1104" s="2" t="s">
        <v>121</v>
      </c>
      <c r="C1104" s="2" t="s">
        <v>61</v>
      </c>
      <c r="D1104" s="3">
        <v>45832.0</v>
      </c>
      <c r="E1104" s="4">
        <v>0.625</v>
      </c>
      <c r="F1104" s="5" t="str">
        <f>VLOOKUP(A1104,Jogos!A:N,10,0)</f>
        <v>Afternoon</v>
      </c>
      <c r="G1104" s="2" t="s">
        <v>1200</v>
      </c>
      <c r="H1104" s="6" t="str">
        <f>VLOOKUP(A1104,Jogos!A:L,12,0)</f>
        <v>Open</v>
      </c>
      <c r="I1104" s="6" t="str">
        <f>VLOOKUP(G1104,'Estádios e Cidades'!A:B,2,0)</f>
        <v>Charlotte</v>
      </c>
      <c r="J1104" s="2" t="s">
        <v>441</v>
      </c>
      <c r="K1104" s="2" t="str">
        <f>VLOOKUP(J1104,Equipes!A:F,6,0)</f>
        <v>Temperate</v>
      </c>
      <c r="L1104" s="2">
        <f>VLOOKUP(J1104,Equipes!A:C,3,0)</f>
        <v>10</v>
      </c>
      <c r="M1104" s="2" t="str">
        <f t="shared" si="4"/>
        <v>Round of 16</v>
      </c>
      <c r="N1104" s="2" t="s">
        <v>123</v>
      </c>
      <c r="O1104" s="2">
        <f>VLOOKUP(N1104,Equipes!A:C,3,0)</f>
        <v>6</v>
      </c>
      <c r="P1104" s="2" t="str">
        <f t="shared" si="5"/>
        <v>Quarter-final</v>
      </c>
      <c r="Q1104" s="2">
        <f t="shared" si="6"/>
        <v>4</v>
      </c>
      <c r="R1104" s="2" t="str">
        <f>VLOOKUP(J1104,Equipes!A:B,2,0)</f>
        <v>Benfica</v>
      </c>
      <c r="S1104" s="6" t="s">
        <v>476</v>
      </c>
      <c r="T1104" s="7">
        <v>11.0</v>
      </c>
      <c r="U1104" s="7" t="s">
        <v>477</v>
      </c>
      <c r="V1104" s="7" t="str">
        <f>VLOOKUP(U1104,Jogadores!B:C,2,0)</f>
        <v>FW</v>
      </c>
      <c r="W1104" s="8">
        <f>VLOOKUP(U1104,Jogadores!B:D,3,0)</f>
        <v>37.47671233</v>
      </c>
      <c r="X1104" s="7">
        <v>0.0</v>
      </c>
      <c r="Y1104" s="7">
        <v>87.0</v>
      </c>
      <c r="Z1104" s="7">
        <f>VLOOKUP(A1104,Jogos!A:L,3,0)</f>
        <v>49</v>
      </c>
      <c r="AA1104" s="7">
        <f t="shared" si="2229"/>
        <v>49</v>
      </c>
      <c r="AB1104" s="7">
        <f>VLOOKUP(A1104,Jogos!A:L,4,0)</f>
        <v>53</v>
      </c>
      <c r="AC1104" s="7">
        <f t="shared" si="2230"/>
        <v>42</v>
      </c>
      <c r="AD1104" s="7"/>
      <c r="AE1104" s="7"/>
      <c r="AF1104" s="7">
        <f t="shared" si="2231"/>
        <v>91</v>
      </c>
      <c r="AG1104" s="7">
        <v>7880.6</v>
      </c>
      <c r="AH1104" s="7">
        <v>4021.3</v>
      </c>
      <c r="AI1104" s="7">
        <v>2496.0</v>
      </c>
      <c r="AJ1104" s="7">
        <v>785.1</v>
      </c>
      <c r="AK1104" s="7">
        <v>396.9</v>
      </c>
      <c r="AL1104" s="7">
        <v>181.3</v>
      </c>
      <c r="AM1104" s="7">
        <v>72.0</v>
      </c>
      <c r="AN1104" s="7">
        <v>35.0</v>
      </c>
      <c r="AO1104" s="7">
        <v>31.1</v>
      </c>
      <c r="AP1104" s="9">
        <f t="shared" ref="AP1104:AR1104" si="3447">AG1104/$AF1104</f>
        <v>86.6</v>
      </c>
      <c r="AQ1104" s="9">
        <f t="shared" si="3447"/>
        <v>44.19010989</v>
      </c>
      <c r="AR1104" s="9">
        <f t="shared" si="3447"/>
        <v>27.42857143</v>
      </c>
      <c r="AS1104" s="9">
        <f t="shared" si="2233"/>
        <v>71.61868132</v>
      </c>
      <c r="AT1104" s="9">
        <f t="shared" ref="AT1104:AV1104" si="3448">AJ1104/$AF1104</f>
        <v>8.627472527</v>
      </c>
      <c r="AU1104" s="9">
        <f t="shared" si="3448"/>
        <v>4.361538462</v>
      </c>
      <c r="AV1104" s="9">
        <f t="shared" si="3448"/>
        <v>1.992307692</v>
      </c>
      <c r="AW1104" s="9">
        <f t="shared" si="2235"/>
        <v>6.353846154</v>
      </c>
      <c r="AX1104" s="9">
        <f t="shared" ref="AX1104:AY1104" si="3449">AM1104/$AF1104</f>
        <v>0.7912087912</v>
      </c>
      <c r="AY1104" s="9">
        <f t="shared" si="3449"/>
        <v>0.3846153846</v>
      </c>
      <c r="AZ1104" s="9">
        <f>VLOOKUP(A1104,Jogos!A:BN,58,0)</f>
        <v>37.37</v>
      </c>
      <c r="BA1104" s="9">
        <f>VLOOKUP(A1104,Jogos!A:BN,59,0)</f>
        <v>19.55</v>
      </c>
      <c r="BB1104" s="9">
        <f>VLOOKUP(A1104,Jogos!A:BN,60,0)</f>
        <v>34.5</v>
      </c>
      <c r="BC1104" s="9">
        <f>VLOOKUP(A1104,Jogos!A:BN,61,0)</f>
        <v>44.775</v>
      </c>
      <c r="BD1104" s="9">
        <f>VLOOKUP(A1104,Jogos!A:BN,62,0)</f>
        <v>622.1</v>
      </c>
      <c r="BE1104" s="9">
        <f>VLOOKUP(A1104,Jogos!A:BN,63,0)</f>
        <v>1.695</v>
      </c>
      <c r="BF1104" s="9">
        <f>VLOOKUP(A1104,Jogos!A:BN,64,0)</f>
        <v>26.625</v>
      </c>
      <c r="BG1104" s="9">
        <f>VLOOKUP(A1104,Jogos!A:BN,65,0)</f>
        <v>52.59</v>
      </c>
      <c r="BH1104" s="9">
        <f>VLOOKUP(A1104,Jogos!A:BN,66,0)</f>
        <v>32.895</v>
      </c>
      <c r="BI1104" s="9"/>
      <c r="BJ1104" s="9"/>
    </row>
    <row r="1105" hidden="1">
      <c r="A1105" s="2">
        <v>38.0</v>
      </c>
      <c r="B1105" s="2" t="s">
        <v>121</v>
      </c>
      <c r="C1105" s="2" t="s">
        <v>61</v>
      </c>
      <c r="D1105" s="3">
        <v>45832.0</v>
      </c>
      <c r="E1105" s="4">
        <v>0.625</v>
      </c>
      <c r="F1105" s="5" t="str">
        <f>VLOOKUP(A1105,Jogos!A:N,10,0)</f>
        <v>Afternoon</v>
      </c>
      <c r="G1105" s="2" t="s">
        <v>1200</v>
      </c>
      <c r="H1105" s="6" t="str">
        <f>VLOOKUP(A1105,Jogos!A:L,12,0)</f>
        <v>Open</v>
      </c>
      <c r="I1105" s="6" t="str">
        <f>VLOOKUP(G1105,'Estádios e Cidades'!A:B,2,0)</f>
        <v>Charlotte</v>
      </c>
      <c r="J1105" s="2" t="s">
        <v>441</v>
      </c>
      <c r="K1105" s="2" t="str">
        <f>VLOOKUP(J1105,Equipes!A:F,6,0)</f>
        <v>Temperate</v>
      </c>
      <c r="L1105" s="2">
        <f>VLOOKUP(J1105,Equipes!A:C,3,0)</f>
        <v>10</v>
      </c>
      <c r="M1105" s="2" t="str">
        <f t="shared" si="4"/>
        <v>Round of 16</v>
      </c>
      <c r="N1105" s="2" t="s">
        <v>123</v>
      </c>
      <c r="O1105" s="2">
        <f>VLOOKUP(N1105,Equipes!A:C,3,0)</f>
        <v>6</v>
      </c>
      <c r="P1105" s="2" t="str">
        <f t="shared" si="5"/>
        <v>Quarter-final</v>
      </c>
      <c r="Q1105" s="2">
        <f t="shared" si="6"/>
        <v>4</v>
      </c>
      <c r="R1105" s="2" t="str">
        <f>VLOOKUP(J1105,Equipes!A:B,2,0)</f>
        <v>Benfica</v>
      </c>
      <c r="S1105" s="6" t="s">
        <v>478</v>
      </c>
      <c r="T1105" s="7">
        <v>14.0</v>
      </c>
      <c r="U1105" s="7" t="s">
        <v>479</v>
      </c>
      <c r="V1105" s="7" t="str">
        <f>VLOOKUP(U1105,Jogadores!B:C,2,0)</f>
        <v>FW</v>
      </c>
      <c r="W1105" s="8">
        <f>VLOOKUP(U1105,Jogadores!B:D,3,0)</f>
        <v>26.70136986</v>
      </c>
      <c r="X1105" s="7">
        <v>0.0</v>
      </c>
      <c r="Y1105" s="7">
        <v>87.0</v>
      </c>
      <c r="Z1105" s="7">
        <f>VLOOKUP(A1105,Jogos!A:L,3,0)</f>
        <v>49</v>
      </c>
      <c r="AA1105" s="7">
        <f t="shared" si="2229"/>
        <v>49</v>
      </c>
      <c r="AB1105" s="7">
        <f>VLOOKUP(A1105,Jogos!A:L,4,0)</f>
        <v>53</v>
      </c>
      <c r="AC1105" s="7">
        <f t="shared" si="2230"/>
        <v>42</v>
      </c>
      <c r="AD1105" s="7"/>
      <c r="AE1105" s="7"/>
      <c r="AF1105" s="7">
        <f t="shared" si="2231"/>
        <v>91</v>
      </c>
      <c r="AG1105" s="7">
        <v>8817.1</v>
      </c>
      <c r="AH1105" s="7">
        <v>3756.9</v>
      </c>
      <c r="AI1105" s="7">
        <v>3781.4</v>
      </c>
      <c r="AJ1105" s="7">
        <v>797.8</v>
      </c>
      <c r="AK1105" s="7">
        <v>329.6</v>
      </c>
      <c r="AL1105" s="7">
        <v>151.4</v>
      </c>
      <c r="AM1105" s="7">
        <v>70.0</v>
      </c>
      <c r="AN1105" s="7">
        <v>27.0</v>
      </c>
      <c r="AO1105" s="7">
        <v>32.7</v>
      </c>
      <c r="AP1105" s="9">
        <f t="shared" ref="AP1105:AR1105" si="3450">AG1105/$AF1105</f>
        <v>96.89120879</v>
      </c>
      <c r="AQ1105" s="9">
        <f t="shared" si="3450"/>
        <v>41.28461538</v>
      </c>
      <c r="AR1105" s="9">
        <f t="shared" si="3450"/>
        <v>41.55384615</v>
      </c>
      <c r="AS1105" s="9">
        <f t="shared" si="2233"/>
        <v>82.83846154</v>
      </c>
      <c r="AT1105" s="9">
        <f t="shared" ref="AT1105:AV1105" si="3451">AJ1105/$AF1105</f>
        <v>8.767032967</v>
      </c>
      <c r="AU1105" s="9">
        <f t="shared" si="3451"/>
        <v>3.621978022</v>
      </c>
      <c r="AV1105" s="9">
        <f t="shared" si="3451"/>
        <v>1.663736264</v>
      </c>
      <c r="AW1105" s="9">
        <f t="shared" si="2235"/>
        <v>5.285714286</v>
      </c>
      <c r="AX1105" s="9">
        <f t="shared" ref="AX1105:AY1105" si="3452">AM1105/$AF1105</f>
        <v>0.7692307692</v>
      </c>
      <c r="AY1105" s="9">
        <f t="shared" si="3452"/>
        <v>0.2967032967</v>
      </c>
      <c r="AZ1105" s="9">
        <f>VLOOKUP(A1105,Jogos!A:BN,58,0)</f>
        <v>37.37</v>
      </c>
      <c r="BA1105" s="9">
        <f>VLOOKUP(A1105,Jogos!A:BN,59,0)</f>
        <v>19.55</v>
      </c>
      <c r="BB1105" s="9">
        <f>VLOOKUP(A1105,Jogos!A:BN,60,0)</f>
        <v>34.5</v>
      </c>
      <c r="BC1105" s="9">
        <f>VLOOKUP(A1105,Jogos!A:BN,61,0)</f>
        <v>44.775</v>
      </c>
      <c r="BD1105" s="9">
        <f>VLOOKUP(A1105,Jogos!A:BN,62,0)</f>
        <v>622.1</v>
      </c>
      <c r="BE1105" s="9">
        <f>VLOOKUP(A1105,Jogos!A:BN,63,0)</f>
        <v>1.695</v>
      </c>
      <c r="BF1105" s="9">
        <f>VLOOKUP(A1105,Jogos!A:BN,64,0)</f>
        <v>26.625</v>
      </c>
      <c r="BG1105" s="9">
        <f>VLOOKUP(A1105,Jogos!A:BN,65,0)</f>
        <v>52.59</v>
      </c>
      <c r="BH1105" s="9">
        <f>VLOOKUP(A1105,Jogos!A:BN,66,0)</f>
        <v>32.895</v>
      </c>
      <c r="BI1105" s="9"/>
      <c r="BJ1105" s="9"/>
    </row>
    <row r="1106" hidden="1">
      <c r="A1106" s="2">
        <v>38.0</v>
      </c>
      <c r="B1106" s="2" t="s">
        <v>121</v>
      </c>
      <c r="C1106" s="2" t="s">
        <v>61</v>
      </c>
      <c r="D1106" s="3">
        <v>45832.0</v>
      </c>
      <c r="E1106" s="4">
        <v>0.625</v>
      </c>
      <c r="F1106" s="5" t="str">
        <f>VLOOKUP(A1106,Jogos!A:N,10,0)</f>
        <v>Afternoon</v>
      </c>
      <c r="G1106" s="2" t="s">
        <v>1200</v>
      </c>
      <c r="H1106" s="6" t="str">
        <f>VLOOKUP(A1106,Jogos!A:L,12,0)</f>
        <v>Open</v>
      </c>
      <c r="I1106" s="6" t="str">
        <f>VLOOKUP(G1106,'Estádios e Cidades'!A:B,2,0)</f>
        <v>Charlotte</v>
      </c>
      <c r="J1106" s="2" t="s">
        <v>441</v>
      </c>
      <c r="K1106" s="2" t="str">
        <f>VLOOKUP(J1106,Equipes!A:F,6,0)</f>
        <v>Temperate</v>
      </c>
      <c r="L1106" s="2">
        <f>VLOOKUP(J1106,Equipes!A:C,3,0)</f>
        <v>10</v>
      </c>
      <c r="M1106" s="2" t="str">
        <f t="shared" si="4"/>
        <v>Round of 16</v>
      </c>
      <c r="N1106" s="2" t="s">
        <v>123</v>
      </c>
      <c r="O1106" s="2">
        <f>VLOOKUP(N1106,Equipes!A:C,3,0)</f>
        <v>6</v>
      </c>
      <c r="P1106" s="2" t="str">
        <f t="shared" si="5"/>
        <v>Quarter-final</v>
      </c>
      <c r="Q1106" s="2">
        <f t="shared" si="6"/>
        <v>4</v>
      </c>
      <c r="R1106" s="2" t="str">
        <f>VLOOKUP(J1106,Equipes!A:B,2,0)</f>
        <v>Benfica</v>
      </c>
      <c r="S1106" s="6" t="s">
        <v>494</v>
      </c>
      <c r="T1106" s="7">
        <v>18.0</v>
      </c>
      <c r="U1106" s="7" t="s">
        <v>495</v>
      </c>
      <c r="V1106" s="7" t="str">
        <f>VLOOKUP(U1106,Jogadores!B:C,2,0)</f>
        <v>MF</v>
      </c>
      <c r="W1106" s="8">
        <f>VLOOKUP(U1106,Jogadores!B:D,3,0)</f>
        <v>25.58356164</v>
      </c>
      <c r="X1106" s="7">
        <v>0.0</v>
      </c>
      <c r="Y1106" s="7">
        <f>45+AB1106</f>
        <v>98</v>
      </c>
      <c r="Z1106" s="7">
        <f>VLOOKUP(A1106,Jogos!A:L,3,0)</f>
        <v>49</v>
      </c>
      <c r="AA1106" s="7">
        <f t="shared" si="2229"/>
        <v>49</v>
      </c>
      <c r="AB1106" s="7">
        <f>VLOOKUP(A1106,Jogos!A:L,4,0)</f>
        <v>53</v>
      </c>
      <c r="AC1106" s="7">
        <f t="shared" si="2230"/>
        <v>53</v>
      </c>
      <c r="AD1106" s="7"/>
      <c r="AE1106" s="7"/>
      <c r="AF1106" s="7">
        <f t="shared" si="2231"/>
        <v>102</v>
      </c>
      <c r="AG1106" s="7">
        <v>10664.9</v>
      </c>
      <c r="AH1106" s="7">
        <v>4302.9</v>
      </c>
      <c r="AI1106" s="7">
        <v>4680.1</v>
      </c>
      <c r="AJ1106" s="7">
        <v>1431.0</v>
      </c>
      <c r="AK1106" s="7">
        <v>196.4</v>
      </c>
      <c r="AL1106" s="7">
        <v>54.5</v>
      </c>
      <c r="AM1106" s="7">
        <v>120.0</v>
      </c>
      <c r="AN1106" s="7">
        <v>19.0</v>
      </c>
      <c r="AO1106" s="7">
        <v>29.9</v>
      </c>
      <c r="AP1106" s="9">
        <f t="shared" ref="AP1106:AR1106" si="3453">AG1106/$AF1106</f>
        <v>104.5578431</v>
      </c>
      <c r="AQ1106" s="9">
        <f t="shared" si="3453"/>
        <v>42.18529412</v>
      </c>
      <c r="AR1106" s="9">
        <f t="shared" si="3453"/>
        <v>45.88333333</v>
      </c>
      <c r="AS1106" s="9">
        <f t="shared" si="2233"/>
        <v>88.06862745</v>
      </c>
      <c r="AT1106" s="9">
        <f t="shared" ref="AT1106:AV1106" si="3454">AJ1106/$AF1106</f>
        <v>14.02941176</v>
      </c>
      <c r="AU1106" s="9">
        <f t="shared" si="3454"/>
        <v>1.925490196</v>
      </c>
      <c r="AV1106" s="9">
        <f t="shared" si="3454"/>
        <v>0.5343137255</v>
      </c>
      <c r="AW1106" s="9">
        <f t="shared" si="2235"/>
        <v>2.459803922</v>
      </c>
      <c r="AX1106" s="9">
        <f t="shared" ref="AX1106:AY1106" si="3455">AM1106/$AF1106</f>
        <v>1.176470588</v>
      </c>
      <c r="AY1106" s="9">
        <f t="shared" si="3455"/>
        <v>0.1862745098</v>
      </c>
      <c r="AZ1106" s="9">
        <f>VLOOKUP(A1106,Jogos!A:BN,58,0)</f>
        <v>37.37</v>
      </c>
      <c r="BA1106" s="9">
        <f>VLOOKUP(A1106,Jogos!A:BN,59,0)</f>
        <v>19.55</v>
      </c>
      <c r="BB1106" s="9">
        <f>VLOOKUP(A1106,Jogos!A:BN,60,0)</f>
        <v>34.5</v>
      </c>
      <c r="BC1106" s="9">
        <f>VLOOKUP(A1106,Jogos!A:BN,61,0)</f>
        <v>44.775</v>
      </c>
      <c r="BD1106" s="9">
        <f>VLOOKUP(A1106,Jogos!A:BN,62,0)</f>
        <v>622.1</v>
      </c>
      <c r="BE1106" s="9">
        <f>VLOOKUP(A1106,Jogos!A:BN,63,0)</f>
        <v>1.695</v>
      </c>
      <c r="BF1106" s="9">
        <f>VLOOKUP(A1106,Jogos!A:BN,64,0)</f>
        <v>26.625</v>
      </c>
      <c r="BG1106" s="9">
        <f>VLOOKUP(A1106,Jogos!A:BN,65,0)</f>
        <v>52.59</v>
      </c>
      <c r="BH1106" s="9">
        <f>VLOOKUP(A1106,Jogos!A:BN,66,0)</f>
        <v>32.895</v>
      </c>
      <c r="BI1106" s="9"/>
      <c r="BJ1106" s="9"/>
    </row>
    <row r="1107" hidden="1">
      <c r="A1107" s="2">
        <v>38.0</v>
      </c>
      <c r="B1107" s="2" t="s">
        <v>121</v>
      </c>
      <c r="C1107" s="2" t="s">
        <v>61</v>
      </c>
      <c r="D1107" s="3">
        <v>45832.0</v>
      </c>
      <c r="E1107" s="4">
        <v>0.625</v>
      </c>
      <c r="F1107" s="5" t="str">
        <f>VLOOKUP(A1107,Jogos!A:N,10,0)</f>
        <v>Afternoon</v>
      </c>
      <c r="G1107" s="2" t="s">
        <v>1200</v>
      </c>
      <c r="H1107" s="6" t="str">
        <f>VLOOKUP(A1107,Jogos!A:L,12,0)</f>
        <v>Open</v>
      </c>
      <c r="I1107" s="6" t="str">
        <f>VLOOKUP(G1107,'Estádios e Cidades'!A:B,2,0)</f>
        <v>Charlotte</v>
      </c>
      <c r="J1107" s="2" t="s">
        <v>441</v>
      </c>
      <c r="K1107" s="2" t="str">
        <f>VLOOKUP(J1107,Equipes!A:F,6,0)</f>
        <v>Temperate</v>
      </c>
      <c r="L1107" s="2">
        <f>VLOOKUP(J1107,Equipes!A:C,3,0)</f>
        <v>10</v>
      </c>
      <c r="M1107" s="2" t="str">
        <f t="shared" si="4"/>
        <v>Round of 16</v>
      </c>
      <c r="N1107" s="2" t="s">
        <v>123</v>
      </c>
      <c r="O1107" s="2">
        <f>VLOOKUP(N1107,Equipes!A:C,3,0)</f>
        <v>6</v>
      </c>
      <c r="P1107" s="2" t="str">
        <f t="shared" si="5"/>
        <v>Quarter-final</v>
      </c>
      <c r="Q1107" s="2">
        <f t="shared" si="6"/>
        <v>4</v>
      </c>
      <c r="R1107" s="2" t="str">
        <f>VLOOKUP(J1107,Equipes!A:B,2,0)</f>
        <v>Benfica</v>
      </c>
      <c r="S1107" s="6" t="s">
        <v>1103</v>
      </c>
      <c r="T1107" s="7">
        <v>21.0</v>
      </c>
      <c r="U1107" s="7" t="s">
        <v>1104</v>
      </c>
      <c r="V1107" s="7" t="str">
        <f>VLOOKUP(U1107,Jogadores!B:C,2,0)</f>
        <v>FW</v>
      </c>
      <c r="W1107" s="8">
        <f>VLOOKUP(U1107,Jogadores!B:D,3,0)</f>
        <v>21.16986301</v>
      </c>
      <c r="X1107" s="7">
        <v>0.0</v>
      </c>
      <c r="Y1107" s="7">
        <v>55.0</v>
      </c>
      <c r="Z1107" s="7">
        <f>VLOOKUP(A1107,Jogos!A:L,3,0)</f>
        <v>49</v>
      </c>
      <c r="AA1107" s="7">
        <f t="shared" si="2229"/>
        <v>49</v>
      </c>
      <c r="AB1107" s="7">
        <f>VLOOKUP(A1107,Jogos!A:L,4,0)</f>
        <v>53</v>
      </c>
      <c r="AC1107" s="7">
        <f t="shared" si="2230"/>
        <v>10</v>
      </c>
      <c r="AD1107" s="7"/>
      <c r="AE1107" s="7"/>
      <c r="AF1107" s="7">
        <f t="shared" si="2231"/>
        <v>59</v>
      </c>
      <c r="AG1107" s="7">
        <v>6133.7</v>
      </c>
      <c r="AH1107" s="7">
        <v>2558.2</v>
      </c>
      <c r="AI1107" s="7">
        <v>2362.4</v>
      </c>
      <c r="AJ1107" s="7">
        <v>754.1</v>
      </c>
      <c r="AK1107" s="7">
        <v>378.5</v>
      </c>
      <c r="AL1107" s="7">
        <v>80.5</v>
      </c>
      <c r="AM1107" s="7">
        <v>69.0</v>
      </c>
      <c r="AN1107" s="7">
        <v>28.0</v>
      </c>
      <c r="AO1107" s="7">
        <v>31.5</v>
      </c>
      <c r="AP1107" s="9">
        <f t="shared" ref="AP1107:AR1107" si="3456">AG1107/$AF1107</f>
        <v>103.9610169</v>
      </c>
      <c r="AQ1107" s="9">
        <f t="shared" si="3456"/>
        <v>43.35932203</v>
      </c>
      <c r="AR1107" s="9">
        <f t="shared" si="3456"/>
        <v>40.04067797</v>
      </c>
      <c r="AS1107" s="9">
        <f t="shared" si="2233"/>
        <v>83.4</v>
      </c>
      <c r="AT1107" s="9">
        <f t="shared" ref="AT1107:AV1107" si="3457">AJ1107/$AF1107</f>
        <v>12.78135593</v>
      </c>
      <c r="AU1107" s="9">
        <f t="shared" si="3457"/>
        <v>6.415254237</v>
      </c>
      <c r="AV1107" s="9">
        <f t="shared" si="3457"/>
        <v>1.36440678</v>
      </c>
      <c r="AW1107" s="9">
        <f t="shared" si="2235"/>
        <v>7.779661017</v>
      </c>
      <c r="AX1107" s="9">
        <f t="shared" ref="AX1107:AY1107" si="3458">AM1107/$AF1107</f>
        <v>1.169491525</v>
      </c>
      <c r="AY1107" s="9">
        <f t="shared" si="3458"/>
        <v>0.4745762712</v>
      </c>
      <c r="AZ1107" s="9">
        <f>VLOOKUP(A1107,Jogos!A:BN,58,0)</f>
        <v>37.37</v>
      </c>
      <c r="BA1107" s="9">
        <f>VLOOKUP(A1107,Jogos!A:BN,59,0)</f>
        <v>19.55</v>
      </c>
      <c r="BB1107" s="9">
        <f>VLOOKUP(A1107,Jogos!A:BN,60,0)</f>
        <v>34.5</v>
      </c>
      <c r="BC1107" s="9">
        <f>VLOOKUP(A1107,Jogos!A:BN,61,0)</f>
        <v>44.775</v>
      </c>
      <c r="BD1107" s="9">
        <f>VLOOKUP(A1107,Jogos!A:BN,62,0)</f>
        <v>622.1</v>
      </c>
      <c r="BE1107" s="9">
        <f>VLOOKUP(A1107,Jogos!A:BN,63,0)</f>
        <v>1.695</v>
      </c>
      <c r="BF1107" s="9">
        <f>VLOOKUP(A1107,Jogos!A:BN,64,0)</f>
        <v>26.625</v>
      </c>
      <c r="BG1107" s="9">
        <f>VLOOKUP(A1107,Jogos!A:BN,65,0)</f>
        <v>52.59</v>
      </c>
      <c r="BH1107" s="9">
        <f>VLOOKUP(A1107,Jogos!A:BN,66,0)</f>
        <v>32.895</v>
      </c>
      <c r="BI1107" s="9"/>
      <c r="BJ1107" s="9"/>
    </row>
    <row r="1108" hidden="1">
      <c r="A1108" s="2">
        <v>38.0</v>
      </c>
      <c r="B1108" s="2" t="s">
        <v>121</v>
      </c>
      <c r="C1108" s="2" t="s">
        <v>61</v>
      </c>
      <c r="D1108" s="3">
        <v>45832.0</v>
      </c>
      <c r="E1108" s="4">
        <v>0.625</v>
      </c>
      <c r="F1108" s="5" t="str">
        <f>VLOOKUP(A1108,Jogos!A:N,10,0)</f>
        <v>Afternoon</v>
      </c>
      <c r="G1108" s="2" t="s">
        <v>1200</v>
      </c>
      <c r="H1108" s="6" t="str">
        <f>VLOOKUP(A1108,Jogos!A:L,12,0)</f>
        <v>Open</v>
      </c>
      <c r="I1108" s="6" t="str">
        <f>VLOOKUP(G1108,'Estádios e Cidades'!A:B,2,0)</f>
        <v>Charlotte</v>
      </c>
      <c r="J1108" s="2" t="s">
        <v>441</v>
      </c>
      <c r="K1108" s="2" t="str">
        <f>VLOOKUP(J1108,Equipes!A:F,6,0)</f>
        <v>Temperate</v>
      </c>
      <c r="L1108" s="2">
        <f>VLOOKUP(J1108,Equipes!A:C,3,0)</f>
        <v>10</v>
      </c>
      <c r="M1108" s="2" t="str">
        <f t="shared" si="4"/>
        <v>Round of 16</v>
      </c>
      <c r="N1108" s="2" t="s">
        <v>123</v>
      </c>
      <c r="O1108" s="2">
        <f>VLOOKUP(N1108,Equipes!A:C,3,0)</f>
        <v>6</v>
      </c>
      <c r="P1108" s="2" t="str">
        <f t="shared" si="5"/>
        <v>Quarter-final</v>
      </c>
      <c r="Q1108" s="2">
        <f t="shared" si="6"/>
        <v>4</v>
      </c>
      <c r="R1108" s="2" t="str">
        <f>VLOOKUP(J1108,Equipes!A:B,2,0)</f>
        <v>Benfica</v>
      </c>
      <c r="S1108" s="6" t="s">
        <v>498</v>
      </c>
      <c r="T1108" s="7">
        <v>25.0</v>
      </c>
      <c r="U1108" s="7" t="s">
        <v>499</v>
      </c>
      <c r="V1108" s="7" t="str">
        <f>VLOOKUP(U1108,Jogadores!B:C,2,0)</f>
        <v>FW</v>
      </c>
      <c r="W1108" s="8">
        <f>VLOOKUP(U1108,Jogadores!B:D,3,0)</f>
        <v>19.50136986</v>
      </c>
      <c r="X1108" s="7">
        <v>0.0</v>
      </c>
      <c r="Y1108" s="7">
        <v>55.0</v>
      </c>
      <c r="Z1108" s="7">
        <f>VLOOKUP(A1108,Jogos!A:L,3,0)</f>
        <v>49</v>
      </c>
      <c r="AA1108" s="7">
        <f t="shared" si="2229"/>
        <v>49</v>
      </c>
      <c r="AB1108" s="7">
        <f>VLOOKUP(A1108,Jogos!A:L,4,0)</f>
        <v>53</v>
      </c>
      <c r="AC1108" s="7">
        <f t="shared" si="2230"/>
        <v>10</v>
      </c>
      <c r="AD1108" s="7"/>
      <c r="AE1108" s="7"/>
      <c r="AF1108" s="7">
        <f t="shared" si="2231"/>
        <v>59</v>
      </c>
      <c r="AG1108" s="7">
        <v>6110.6</v>
      </c>
      <c r="AH1108" s="7">
        <v>2207.4</v>
      </c>
      <c r="AI1108" s="7">
        <v>2736.7</v>
      </c>
      <c r="AJ1108" s="7">
        <v>808.2</v>
      </c>
      <c r="AK1108" s="7">
        <v>250.3</v>
      </c>
      <c r="AL1108" s="7">
        <v>108.0</v>
      </c>
      <c r="AM1108" s="7">
        <v>79.0</v>
      </c>
      <c r="AN1108" s="7">
        <v>22.0</v>
      </c>
      <c r="AO1108" s="7">
        <v>30.3</v>
      </c>
      <c r="AP1108" s="9">
        <f t="shared" ref="AP1108:AR1108" si="3459">AG1108/$AF1108</f>
        <v>103.5694915</v>
      </c>
      <c r="AQ1108" s="9">
        <f t="shared" si="3459"/>
        <v>37.41355932</v>
      </c>
      <c r="AR1108" s="9">
        <f t="shared" si="3459"/>
        <v>46.38474576</v>
      </c>
      <c r="AS1108" s="9">
        <f t="shared" si="2233"/>
        <v>83.79830508</v>
      </c>
      <c r="AT1108" s="9">
        <f t="shared" ref="AT1108:AV1108" si="3460">AJ1108/$AF1108</f>
        <v>13.69830508</v>
      </c>
      <c r="AU1108" s="9">
        <f t="shared" si="3460"/>
        <v>4.242372881</v>
      </c>
      <c r="AV1108" s="9">
        <f t="shared" si="3460"/>
        <v>1.830508475</v>
      </c>
      <c r="AW1108" s="9">
        <f t="shared" si="2235"/>
        <v>6.072881356</v>
      </c>
      <c r="AX1108" s="9">
        <f t="shared" ref="AX1108:AY1108" si="3461">AM1108/$AF1108</f>
        <v>1.338983051</v>
      </c>
      <c r="AY1108" s="9">
        <f t="shared" si="3461"/>
        <v>0.3728813559</v>
      </c>
      <c r="AZ1108" s="9">
        <f>VLOOKUP(A1108,Jogos!A:BN,58,0)</f>
        <v>37.37</v>
      </c>
      <c r="BA1108" s="9">
        <f>VLOOKUP(A1108,Jogos!A:BN,59,0)</f>
        <v>19.55</v>
      </c>
      <c r="BB1108" s="9">
        <f>VLOOKUP(A1108,Jogos!A:BN,60,0)</f>
        <v>34.5</v>
      </c>
      <c r="BC1108" s="9">
        <f>VLOOKUP(A1108,Jogos!A:BN,61,0)</f>
        <v>44.775</v>
      </c>
      <c r="BD1108" s="9">
        <f>VLOOKUP(A1108,Jogos!A:BN,62,0)</f>
        <v>622.1</v>
      </c>
      <c r="BE1108" s="9">
        <f>VLOOKUP(A1108,Jogos!A:BN,63,0)</f>
        <v>1.695</v>
      </c>
      <c r="BF1108" s="9">
        <f>VLOOKUP(A1108,Jogos!A:BN,64,0)</f>
        <v>26.625</v>
      </c>
      <c r="BG1108" s="9">
        <f>VLOOKUP(A1108,Jogos!A:BN,65,0)</f>
        <v>52.59</v>
      </c>
      <c r="BH1108" s="9">
        <f>VLOOKUP(A1108,Jogos!A:BN,66,0)</f>
        <v>32.895</v>
      </c>
      <c r="BI1108" s="9"/>
      <c r="BJ1108" s="9"/>
    </row>
    <row r="1109" hidden="1">
      <c r="A1109" s="2">
        <v>38.0</v>
      </c>
      <c r="B1109" s="2" t="s">
        <v>121</v>
      </c>
      <c r="C1109" s="2" t="s">
        <v>61</v>
      </c>
      <c r="D1109" s="3">
        <v>45832.0</v>
      </c>
      <c r="E1109" s="4">
        <v>0.625</v>
      </c>
      <c r="F1109" s="5" t="str">
        <f>VLOOKUP(A1109,Jogos!A:N,10,0)</f>
        <v>Afternoon</v>
      </c>
      <c r="G1109" s="2" t="s">
        <v>1200</v>
      </c>
      <c r="H1109" s="6" t="str">
        <f>VLOOKUP(A1109,Jogos!A:L,12,0)</f>
        <v>Open</v>
      </c>
      <c r="I1109" s="6" t="str">
        <f>VLOOKUP(G1109,'Estádios e Cidades'!A:B,2,0)</f>
        <v>Charlotte</v>
      </c>
      <c r="J1109" s="2" t="s">
        <v>441</v>
      </c>
      <c r="K1109" s="2" t="str">
        <f>VLOOKUP(J1109,Equipes!A:F,6,0)</f>
        <v>Temperate</v>
      </c>
      <c r="L1109" s="2">
        <f>VLOOKUP(J1109,Equipes!A:C,3,0)</f>
        <v>10</v>
      </c>
      <c r="M1109" s="2" t="str">
        <f t="shared" si="4"/>
        <v>Round of 16</v>
      </c>
      <c r="N1109" s="2" t="s">
        <v>123</v>
      </c>
      <c r="O1109" s="2">
        <f>VLOOKUP(N1109,Equipes!A:C,3,0)</f>
        <v>6</v>
      </c>
      <c r="P1109" s="2" t="str">
        <f t="shared" si="5"/>
        <v>Quarter-final</v>
      </c>
      <c r="Q1109" s="2">
        <f t="shared" si="6"/>
        <v>4</v>
      </c>
      <c r="R1109" s="2" t="str">
        <f>VLOOKUP(J1109,Equipes!A:B,2,0)</f>
        <v>Benfica</v>
      </c>
      <c r="S1109" s="6" t="s">
        <v>480</v>
      </c>
      <c r="T1109" s="7">
        <v>26.0</v>
      </c>
      <c r="U1109" s="7" t="s">
        <v>481</v>
      </c>
      <c r="V1109" s="7" t="str">
        <f>VLOOKUP(U1109,Jogadores!B:C,2,0)</f>
        <v>DF</v>
      </c>
      <c r="W1109" s="8">
        <f>VLOOKUP(U1109,Jogadores!B:D,3,0)</f>
        <v>22.41643836</v>
      </c>
      <c r="X1109" s="7">
        <v>0.0</v>
      </c>
      <c r="Y1109" s="7">
        <f t="shared" ref="Y1109:Y1110" si="3465">45+AB1109</f>
        <v>98</v>
      </c>
      <c r="Z1109" s="7">
        <f>VLOOKUP(A1109,Jogos!A:L,3,0)</f>
        <v>49</v>
      </c>
      <c r="AA1109" s="7">
        <f t="shared" si="2229"/>
        <v>49</v>
      </c>
      <c r="AB1109" s="7">
        <f>VLOOKUP(A1109,Jogos!A:L,4,0)</f>
        <v>53</v>
      </c>
      <c r="AC1109" s="7">
        <f t="shared" si="2230"/>
        <v>53</v>
      </c>
      <c r="AD1109" s="7"/>
      <c r="AE1109" s="7"/>
      <c r="AF1109" s="7">
        <f t="shared" si="2231"/>
        <v>102</v>
      </c>
      <c r="AG1109" s="7">
        <v>9772.5</v>
      </c>
      <c r="AH1109" s="7">
        <v>4142.4</v>
      </c>
      <c r="AI1109" s="7">
        <v>4306.5</v>
      </c>
      <c r="AJ1109" s="7">
        <v>819.6</v>
      </c>
      <c r="AK1109" s="7">
        <v>419.3</v>
      </c>
      <c r="AL1109" s="7">
        <v>84.8</v>
      </c>
      <c r="AM1109" s="7">
        <v>78.0</v>
      </c>
      <c r="AN1109" s="7">
        <v>30.0</v>
      </c>
      <c r="AO1109" s="7">
        <v>28.8</v>
      </c>
      <c r="AP1109" s="9">
        <f t="shared" ref="AP1109:AR1109" si="3462">AG1109/$AF1109</f>
        <v>95.80882353</v>
      </c>
      <c r="AQ1109" s="9">
        <f t="shared" si="3462"/>
        <v>40.61176471</v>
      </c>
      <c r="AR1109" s="9">
        <f t="shared" si="3462"/>
        <v>42.22058824</v>
      </c>
      <c r="AS1109" s="9">
        <f t="shared" si="2233"/>
        <v>82.83235294</v>
      </c>
      <c r="AT1109" s="9">
        <f t="shared" ref="AT1109:AV1109" si="3463">AJ1109/$AF1109</f>
        <v>8.035294118</v>
      </c>
      <c r="AU1109" s="9">
        <f t="shared" si="3463"/>
        <v>4.110784314</v>
      </c>
      <c r="AV1109" s="9">
        <f t="shared" si="3463"/>
        <v>0.831372549</v>
      </c>
      <c r="AW1109" s="9">
        <f t="shared" si="2235"/>
        <v>4.942156863</v>
      </c>
      <c r="AX1109" s="9">
        <f t="shared" ref="AX1109:AY1109" si="3464">AM1109/$AF1109</f>
        <v>0.7647058824</v>
      </c>
      <c r="AY1109" s="9">
        <f t="shared" si="3464"/>
        <v>0.2941176471</v>
      </c>
      <c r="AZ1109" s="9">
        <f>VLOOKUP(A1109,Jogos!A:BN,58,0)</f>
        <v>37.37</v>
      </c>
      <c r="BA1109" s="9">
        <f>VLOOKUP(A1109,Jogos!A:BN,59,0)</f>
        <v>19.55</v>
      </c>
      <c r="BB1109" s="9">
        <f>VLOOKUP(A1109,Jogos!A:BN,60,0)</f>
        <v>34.5</v>
      </c>
      <c r="BC1109" s="9">
        <f>VLOOKUP(A1109,Jogos!A:BN,61,0)</f>
        <v>44.775</v>
      </c>
      <c r="BD1109" s="9">
        <f>VLOOKUP(A1109,Jogos!A:BN,62,0)</f>
        <v>622.1</v>
      </c>
      <c r="BE1109" s="9">
        <f>VLOOKUP(A1109,Jogos!A:BN,63,0)</f>
        <v>1.695</v>
      </c>
      <c r="BF1109" s="9">
        <f>VLOOKUP(A1109,Jogos!A:BN,64,0)</f>
        <v>26.625</v>
      </c>
      <c r="BG1109" s="9">
        <f>VLOOKUP(A1109,Jogos!A:BN,65,0)</f>
        <v>52.59</v>
      </c>
      <c r="BH1109" s="9">
        <f>VLOOKUP(A1109,Jogos!A:BN,66,0)</f>
        <v>32.895</v>
      </c>
      <c r="BI1109" s="9"/>
      <c r="BJ1109" s="9"/>
    </row>
    <row r="1110" hidden="1">
      <c r="A1110" s="2">
        <v>38.0</v>
      </c>
      <c r="B1110" s="2" t="s">
        <v>121</v>
      </c>
      <c r="C1110" s="2" t="s">
        <v>61</v>
      </c>
      <c r="D1110" s="3">
        <v>45832.0</v>
      </c>
      <c r="E1110" s="4">
        <v>0.625</v>
      </c>
      <c r="F1110" s="5" t="str">
        <f>VLOOKUP(A1110,Jogos!A:N,10,0)</f>
        <v>Afternoon</v>
      </c>
      <c r="G1110" s="2" t="s">
        <v>1200</v>
      </c>
      <c r="H1110" s="6" t="str">
        <f>VLOOKUP(A1110,Jogos!A:L,12,0)</f>
        <v>Open</v>
      </c>
      <c r="I1110" s="6" t="str">
        <f>VLOOKUP(G1110,'Estádios e Cidades'!A:B,2,0)</f>
        <v>Charlotte</v>
      </c>
      <c r="J1110" s="2" t="s">
        <v>441</v>
      </c>
      <c r="K1110" s="2" t="str">
        <f>VLOOKUP(J1110,Equipes!A:F,6,0)</f>
        <v>Temperate</v>
      </c>
      <c r="L1110" s="2">
        <f>VLOOKUP(J1110,Equipes!A:C,3,0)</f>
        <v>10</v>
      </c>
      <c r="M1110" s="2" t="str">
        <f t="shared" si="4"/>
        <v>Round of 16</v>
      </c>
      <c r="N1110" s="2" t="s">
        <v>123</v>
      </c>
      <c r="O1110" s="2">
        <f>VLOOKUP(N1110,Equipes!A:C,3,0)</f>
        <v>6</v>
      </c>
      <c r="P1110" s="2" t="str">
        <f t="shared" si="5"/>
        <v>Quarter-final</v>
      </c>
      <c r="Q1110" s="2">
        <f t="shared" si="6"/>
        <v>4</v>
      </c>
      <c r="R1110" s="2" t="str">
        <f>VLOOKUP(J1110,Equipes!A:B,2,0)</f>
        <v>Benfica</v>
      </c>
      <c r="S1110" s="6" t="s">
        <v>484</v>
      </c>
      <c r="T1110" s="7">
        <v>30.0</v>
      </c>
      <c r="U1110" s="7" t="s">
        <v>485</v>
      </c>
      <c r="V1110" s="7" t="str">
        <f>VLOOKUP(U1110,Jogadores!B:C,2,0)</f>
        <v>DF</v>
      </c>
      <c r="W1110" s="8">
        <f>VLOOKUP(U1110,Jogadores!B:D,3,0)</f>
        <v>37.48219178</v>
      </c>
      <c r="X1110" s="7">
        <v>0.0</v>
      </c>
      <c r="Y1110" s="7">
        <f t="shared" si="3465"/>
        <v>98</v>
      </c>
      <c r="Z1110" s="7">
        <f>VLOOKUP(A1110,Jogos!A:L,3,0)</f>
        <v>49</v>
      </c>
      <c r="AA1110" s="7">
        <f t="shared" si="2229"/>
        <v>49</v>
      </c>
      <c r="AB1110" s="7">
        <f>VLOOKUP(A1110,Jogos!A:L,4,0)</f>
        <v>53</v>
      </c>
      <c r="AC1110" s="7">
        <f t="shared" si="2230"/>
        <v>53</v>
      </c>
      <c r="AD1110" s="7"/>
      <c r="AE1110" s="7"/>
      <c r="AF1110" s="7">
        <f t="shared" si="2231"/>
        <v>102</v>
      </c>
      <c r="AG1110" s="7">
        <v>9066.7</v>
      </c>
      <c r="AH1110" s="7">
        <v>4305.6</v>
      </c>
      <c r="AI1110" s="7">
        <v>3753.1</v>
      </c>
      <c r="AJ1110" s="7">
        <v>734.1</v>
      </c>
      <c r="AK1110" s="7">
        <v>230.3</v>
      </c>
      <c r="AL1110" s="7">
        <v>43.6</v>
      </c>
      <c r="AM1110" s="7">
        <v>71.0</v>
      </c>
      <c r="AN1110" s="7">
        <v>18.0</v>
      </c>
      <c r="AO1110" s="7">
        <v>28.6</v>
      </c>
      <c r="AP1110" s="9">
        <f t="shared" ref="AP1110:AR1110" si="3466">AG1110/$AF1110</f>
        <v>88.88921569</v>
      </c>
      <c r="AQ1110" s="9">
        <f t="shared" si="3466"/>
        <v>42.21176471</v>
      </c>
      <c r="AR1110" s="9">
        <f t="shared" si="3466"/>
        <v>36.79509804</v>
      </c>
      <c r="AS1110" s="9">
        <f t="shared" si="2233"/>
        <v>79.00686275</v>
      </c>
      <c r="AT1110" s="9">
        <f t="shared" ref="AT1110:AV1110" si="3467">AJ1110/$AF1110</f>
        <v>7.197058824</v>
      </c>
      <c r="AU1110" s="9">
        <f t="shared" si="3467"/>
        <v>2.257843137</v>
      </c>
      <c r="AV1110" s="9">
        <f t="shared" si="3467"/>
        <v>0.4274509804</v>
      </c>
      <c r="AW1110" s="9">
        <f t="shared" si="2235"/>
        <v>2.685294118</v>
      </c>
      <c r="AX1110" s="9">
        <f t="shared" ref="AX1110:AY1110" si="3468">AM1110/$AF1110</f>
        <v>0.6960784314</v>
      </c>
      <c r="AY1110" s="9">
        <f t="shared" si="3468"/>
        <v>0.1764705882</v>
      </c>
      <c r="AZ1110" s="9">
        <f>VLOOKUP(A1110,Jogos!A:BN,58,0)</f>
        <v>37.37</v>
      </c>
      <c r="BA1110" s="9">
        <f>VLOOKUP(A1110,Jogos!A:BN,59,0)</f>
        <v>19.55</v>
      </c>
      <c r="BB1110" s="9">
        <f>VLOOKUP(A1110,Jogos!A:BN,60,0)</f>
        <v>34.5</v>
      </c>
      <c r="BC1110" s="9">
        <f>VLOOKUP(A1110,Jogos!A:BN,61,0)</f>
        <v>44.775</v>
      </c>
      <c r="BD1110" s="9">
        <f>VLOOKUP(A1110,Jogos!A:BN,62,0)</f>
        <v>622.1</v>
      </c>
      <c r="BE1110" s="9">
        <f>VLOOKUP(A1110,Jogos!A:BN,63,0)</f>
        <v>1.695</v>
      </c>
      <c r="BF1110" s="9">
        <f>VLOOKUP(A1110,Jogos!A:BN,64,0)</f>
        <v>26.625</v>
      </c>
      <c r="BG1110" s="9">
        <f>VLOOKUP(A1110,Jogos!A:BN,65,0)</f>
        <v>52.59</v>
      </c>
      <c r="BH1110" s="9">
        <f>VLOOKUP(A1110,Jogos!A:BN,66,0)</f>
        <v>32.895</v>
      </c>
      <c r="BI1110" s="9"/>
      <c r="BJ1110" s="9"/>
    </row>
    <row r="1111" hidden="1">
      <c r="A1111" s="2">
        <v>38.0</v>
      </c>
      <c r="B1111" s="2" t="s">
        <v>121</v>
      </c>
      <c r="C1111" s="2" t="s">
        <v>61</v>
      </c>
      <c r="D1111" s="3">
        <v>45832.0</v>
      </c>
      <c r="E1111" s="4">
        <v>0.625</v>
      </c>
      <c r="F1111" s="5" t="str">
        <f>VLOOKUP(A1111,Jogos!A:N,10,0)</f>
        <v>Afternoon</v>
      </c>
      <c r="G1111" s="2" t="s">
        <v>1200</v>
      </c>
      <c r="H1111" s="6" t="str">
        <f>VLOOKUP(A1111,Jogos!A:L,12,0)</f>
        <v>Open</v>
      </c>
      <c r="I1111" s="6" t="str">
        <f>VLOOKUP(G1111,'Estádios e Cidades'!A:B,2,0)</f>
        <v>Charlotte</v>
      </c>
      <c r="J1111" s="2" t="s">
        <v>441</v>
      </c>
      <c r="K1111" s="2" t="str">
        <f>VLOOKUP(J1111,Equipes!A:F,6,0)</f>
        <v>Temperate</v>
      </c>
      <c r="L1111" s="2">
        <f>VLOOKUP(J1111,Equipes!A:C,3,0)</f>
        <v>10</v>
      </c>
      <c r="M1111" s="2" t="str">
        <f t="shared" si="4"/>
        <v>Round of 16</v>
      </c>
      <c r="N1111" s="2" t="s">
        <v>123</v>
      </c>
      <c r="O1111" s="2">
        <f>VLOOKUP(N1111,Equipes!A:C,3,0)</f>
        <v>6</v>
      </c>
      <c r="P1111" s="2" t="str">
        <f t="shared" si="5"/>
        <v>Quarter-final</v>
      </c>
      <c r="Q1111" s="2">
        <f t="shared" si="6"/>
        <v>4</v>
      </c>
      <c r="R1111" s="2" t="str">
        <f>VLOOKUP(J1111,Equipes!A:B,2,0)</f>
        <v>Benfica</v>
      </c>
      <c r="S1111" s="6" t="s">
        <v>488</v>
      </c>
      <c r="T1111" s="7">
        <v>85.0</v>
      </c>
      <c r="U1111" s="7" t="s">
        <v>489</v>
      </c>
      <c r="V1111" s="7" t="str">
        <f>VLOOKUP(U1111,Jogadores!B:C,2,0)</f>
        <v>MF</v>
      </c>
      <c r="W1111" s="8">
        <f>VLOOKUP(U1111,Jogadores!B:D,3,0)</f>
        <v>27.96164384</v>
      </c>
      <c r="X1111" s="7">
        <v>0.0</v>
      </c>
      <c r="Y1111" s="7">
        <v>78.0</v>
      </c>
      <c r="Z1111" s="7">
        <f>VLOOKUP(A1111,Jogos!A:L,3,0)</f>
        <v>49</v>
      </c>
      <c r="AA1111" s="7">
        <f t="shared" si="2229"/>
        <v>49</v>
      </c>
      <c r="AB1111" s="7">
        <f>VLOOKUP(A1111,Jogos!A:L,4,0)</f>
        <v>53</v>
      </c>
      <c r="AC1111" s="7">
        <f t="shared" si="2230"/>
        <v>33</v>
      </c>
      <c r="AD1111" s="7"/>
      <c r="AE1111" s="7"/>
      <c r="AF1111" s="7">
        <f t="shared" si="2231"/>
        <v>82</v>
      </c>
      <c r="AG1111" s="7">
        <v>8202.2</v>
      </c>
      <c r="AH1111" s="7">
        <v>3284.3</v>
      </c>
      <c r="AI1111" s="7">
        <v>3616.0</v>
      </c>
      <c r="AJ1111" s="7">
        <v>1016.1</v>
      </c>
      <c r="AK1111" s="7">
        <v>262.1</v>
      </c>
      <c r="AL1111" s="7">
        <v>23.7</v>
      </c>
      <c r="AM1111" s="7">
        <v>92.0</v>
      </c>
      <c r="AN1111" s="7">
        <v>20.0</v>
      </c>
      <c r="AO1111" s="7">
        <v>26.6</v>
      </c>
      <c r="AP1111" s="9">
        <f t="shared" ref="AP1111:AR1111" si="3469">AG1111/$AF1111</f>
        <v>100.0268293</v>
      </c>
      <c r="AQ1111" s="9">
        <f t="shared" si="3469"/>
        <v>40.05243902</v>
      </c>
      <c r="AR1111" s="9">
        <f t="shared" si="3469"/>
        <v>44.09756098</v>
      </c>
      <c r="AS1111" s="9">
        <f t="shared" si="2233"/>
        <v>84.15</v>
      </c>
      <c r="AT1111" s="9">
        <f t="shared" ref="AT1111:AV1111" si="3470">AJ1111/$AF1111</f>
        <v>12.39146341</v>
      </c>
      <c r="AU1111" s="9">
        <f t="shared" si="3470"/>
        <v>3.196341463</v>
      </c>
      <c r="AV1111" s="9">
        <f t="shared" si="3470"/>
        <v>0.2890243902</v>
      </c>
      <c r="AW1111" s="9">
        <f t="shared" si="2235"/>
        <v>3.485365854</v>
      </c>
      <c r="AX1111" s="9">
        <f t="shared" ref="AX1111:AY1111" si="3471">AM1111/$AF1111</f>
        <v>1.12195122</v>
      </c>
      <c r="AY1111" s="9">
        <f t="shared" si="3471"/>
        <v>0.243902439</v>
      </c>
      <c r="AZ1111" s="9">
        <f>VLOOKUP(A1111,Jogos!A:BN,58,0)</f>
        <v>37.37</v>
      </c>
      <c r="BA1111" s="9">
        <f>VLOOKUP(A1111,Jogos!A:BN,59,0)</f>
        <v>19.55</v>
      </c>
      <c r="BB1111" s="9">
        <f>VLOOKUP(A1111,Jogos!A:BN,60,0)</f>
        <v>34.5</v>
      </c>
      <c r="BC1111" s="9">
        <f>VLOOKUP(A1111,Jogos!A:BN,61,0)</f>
        <v>44.775</v>
      </c>
      <c r="BD1111" s="9">
        <f>VLOOKUP(A1111,Jogos!A:BN,62,0)</f>
        <v>622.1</v>
      </c>
      <c r="BE1111" s="9">
        <f>VLOOKUP(A1111,Jogos!A:BN,63,0)</f>
        <v>1.695</v>
      </c>
      <c r="BF1111" s="9">
        <f>VLOOKUP(A1111,Jogos!A:BN,64,0)</f>
        <v>26.625</v>
      </c>
      <c r="BG1111" s="9">
        <f>VLOOKUP(A1111,Jogos!A:BN,65,0)</f>
        <v>52.59</v>
      </c>
      <c r="BH1111" s="9">
        <f>VLOOKUP(A1111,Jogos!A:BN,66,0)</f>
        <v>32.895</v>
      </c>
      <c r="BI1111" s="9"/>
      <c r="BJ1111" s="9"/>
    </row>
    <row r="1112" hidden="1">
      <c r="A1112" s="2">
        <v>38.0</v>
      </c>
      <c r="B1112" s="2" t="s">
        <v>121</v>
      </c>
      <c r="C1112" s="2" t="s">
        <v>61</v>
      </c>
      <c r="D1112" s="3">
        <v>45832.0</v>
      </c>
      <c r="E1112" s="4">
        <v>0.625</v>
      </c>
      <c r="F1112" s="5" t="str">
        <f>VLOOKUP(A1112,Jogos!A:N,10,0)</f>
        <v>Afternoon</v>
      </c>
      <c r="G1112" s="2" t="s">
        <v>1200</v>
      </c>
      <c r="H1112" s="6" t="str">
        <f>VLOOKUP(A1112,Jogos!A:L,12,0)</f>
        <v>Open</v>
      </c>
      <c r="I1112" s="6" t="str">
        <f>VLOOKUP(G1112,'Estádios e Cidades'!A:B,2,0)</f>
        <v>Charlotte</v>
      </c>
      <c r="J1112" s="2" t="s">
        <v>441</v>
      </c>
      <c r="K1112" s="2" t="str">
        <f>VLOOKUP(J1112,Equipes!A:F,6,0)</f>
        <v>Temperate</v>
      </c>
      <c r="L1112" s="2">
        <f>VLOOKUP(J1112,Equipes!A:C,3,0)</f>
        <v>10</v>
      </c>
      <c r="M1112" s="2" t="str">
        <f t="shared" si="4"/>
        <v>Round of 16</v>
      </c>
      <c r="N1112" s="2" t="s">
        <v>123</v>
      </c>
      <c r="O1112" s="2">
        <f>VLOOKUP(N1112,Equipes!A:C,3,0)</f>
        <v>6</v>
      </c>
      <c r="P1112" s="2" t="str">
        <f t="shared" si="5"/>
        <v>Quarter-final</v>
      </c>
      <c r="Q1112" s="2">
        <f t="shared" si="6"/>
        <v>4</v>
      </c>
      <c r="R1112" s="2" t="str">
        <f>VLOOKUP(J1112,Equipes!A:B,2,0)</f>
        <v>Benfica</v>
      </c>
      <c r="S1112" s="6" t="s">
        <v>490</v>
      </c>
      <c r="T1112" s="7">
        <v>10.0</v>
      </c>
      <c r="U1112" s="7" t="s">
        <v>491</v>
      </c>
      <c r="V1112" s="7" t="str">
        <f>VLOOKUP(U1112,Jogadores!B:C,2,0)</f>
        <v>MF</v>
      </c>
      <c r="W1112" s="8">
        <f>VLOOKUP(U1112,Jogadores!B:D,3,0)</f>
        <v>24.59452055</v>
      </c>
      <c r="X1112" s="7">
        <v>55.0</v>
      </c>
      <c r="Y1112" s="7">
        <f t="shared" ref="Y1112:Y1116" si="3475">45+AB1112</f>
        <v>98</v>
      </c>
      <c r="Z1112" s="7">
        <f>VLOOKUP(A1112,Jogos!A:L,3,0)</f>
        <v>49</v>
      </c>
      <c r="AA1112" s="7">
        <f t="shared" si="2229"/>
        <v>0</v>
      </c>
      <c r="AB1112" s="7">
        <f>VLOOKUP(A1112,Jogos!A:L,4,0)</f>
        <v>53</v>
      </c>
      <c r="AC1112" s="7">
        <f t="shared" si="2230"/>
        <v>43</v>
      </c>
      <c r="AD1112" s="7"/>
      <c r="AE1112" s="7"/>
      <c r="AF1112" s="7">
        <f t="shared" si="2231"/>
        <v>43</v>
      </c>
      <c r="AG1112" s="7">
        <v>4221.9</v>
      </c>
      <c r="AH1112" s="7">
        <v>1658.1</v>
      </c>
      <c r="AI1112" s="7">
        <v>1889.6</v>
      </c>
      <c r="AJ1112" s="7">
        <v>478.8</v>
      </c>
      <c r="AK1112" s="7">
        <v>150.9</v>
      </c>
      <c r="AL1112" s="7">
        <v>44.5</v>
      </c>
      <c r="AM1112" s="7">
        <v>39.0</v>
      </c>
      <c r="AN1112" s="7">
        <v>10.0</v>
      </c>
      <c r="AO1112" s="7">
        <v>31.6</v>
      </c>
      <c r="AP1112" s="9">
        <f t="shared" ref="AP1112:AR1112" si="3472">AG1112/$AF1112</f>
        <v>98.18372093</v>
      </c>
      <c r="AQ1112" s="9">
        <f t="shared" si="3472"/>
        <v>38.56046512</v>
      </c>
      <c r="AR1112" s="9">
        <f t="shared" si="3472"/>
        <v>43.94418605</v>
      </c>
      <c r="AS1112" s="9">
        <f t="shared" si="2233"/>
        <v>82.50465116</v>
      </c>
      <c r="AT1112" s="9">
        <f t="shared" ref="AT1112:AV1112" si="3473">AJ1112/$AF1112</f>
        <v>11.13488372</v>
      </c>
      <c r="AU1112" s="9">
        <f t="shared" si="3473"/>
        <v>3.509302326</v>
      </c>
      <c r="AV1112" s="9">
        <f t="shared" si="3473"/>
        <v>1.034883721</v>
      </c>
      <c r="AW1112" s="9">
        <f t="shared" si="2235"/>
        <v>4.544186047</v>
      </c>
      <c r="AX1112" s="9">
        <f t="shared" ref="AX1112:AY1112" si="3474">AM1112/$AF1112</f>
        <v>0.9069767442</v>
      </c>
      <c r="AY1112" s="9">
        <f t="shared" si="3474"/>
        <v>0.2325581395</v>
      </c>
      <c r="AZ1112" s="9">
        <f>VLOOKUP(A1112,Jogos!A:BN,58,0)</f>
        <v>37.37</v>
      </c>
      <c r="BA1112" s="9">
        <f>VLOOKUP(A1112,Jogos!A:BN,59,0)</f>
        <v>19.55</v>
      </c>
      <c r="BB1112" s="9">
        <f>VLOOKUP(A1112,Jogos!A:BN,60,0)</f>
        <v>34.5</v>
      </c>
      <c r="BC1112" s="9">
        <f>VLOOKUP(A1112,Jogos!A:BN,61,0)</f>
        <v>44.775</v>
      </c>
      <c r="BD1112" s="9">
        <f>VLOOKUP(A1112,Jogos!A:BN,62,0)</f>
        <v>622.1</v>
      </c>
      <c r="BE1112" s="9">
        <f>VLOOKUP(A1112,Jogos!A:BN,63,0)</f>
        <v>1.695</v>
      </c>
      <c r="BF1112" s="9">
        <f>VLOOKUP(A1112,Jogos!A:BN,64,0)</f>
        <v>26.625</v>
      </c>
      <c r="BG1112" s="9">
        <f>VLOOKUP(A1112,Jogos!A:BN,65,0)</f>
        <v>52.59</v>
      </c>
      <c r="BH1112" s="9">
        <f>VLOOKUP(A1112,Jogos!A:BN,66,0)</f>
        <v>32.895</v>
      </c>
      <c r="BI1112" s="9"/>
      <c r="BJ1112" s="9"/>
    </row>
    <row r="1113" hidden="1">
      <c r="A1113" s="2">
        <v>38.0</v>
      </c>
      <c r="B1113" s="2" t="s">
        <v>121</v>
      </c>
      <c r="C1113" s="2" t="s">
        <v>61</v>
      </c>
      <c r="D1113" s="3">
        <v>45832.0</v>
      </c>
      <c r="E1113" s="4">
        <v>0.625</v>
      </c>
      <c r="F1113" s="5" t="str">
        <f>VLOOKUP(A1113,Jogos!A:N,10,0)</f>
        <v>Afternoon</v>
      </c>
      <c r="G1113" s="2" t="s">
        <v>1200</v>
      </c>
      <c r="H1113" s="6" t="str">
        <f>VLOOKUP(A1113,Jogos!A:L,12,0)</f>
        <v>Open</v>
      </c>
      <c r="I1113" s="6" t="str">
        <f>VLOOKUP(G1113,'Estádios e Cidades'!A:B,2,0)</f>
        <v>Charlotte</v>
      </c>
      <c r="J1113" s="2" t="s">
        <v>441</v>
      </c>
      <c r="K1113" s="2" t="str">
        <f>VLOOKUP(J1113,Equipes!A:F,6,0)</f>
        <v>Temperate</v>
      </c>
      <c r="L1113" s="2">
        <f>VLOOKUP(J1113,Equipes!A:C,3,0)</f>
        <v>10</v>
      </c>
      <c r="M1113" s="2" t="str">
        <f t="shared" si="4"/>
        <v>Round of 16</v>
      </c>
      <c r="N1113" s="2" t="s">
        <v>123</v>
      </c>
      <c r="O1113" s="2">
        <f>VLOOKUP(N1113,Equipes!A:C,3,0)</f>
        <v>6</v>
      </c>
      <c r="P1113" s="2" t="str">
        <f t="shared" si="5"/>
        <v>Quarter-final</v>
      </c>
      <c r="Q1113" s="2">
        <f t="shared" si="6"/>
        <v>4</v>
      </c>
      <c r="R1113" s="2" t="str">
        <f>VLOOKUP(J1113,Equipes!A:B,2,0)</f>
        <v>Benfica</v>
      </c>
      <c r="S1113" s="6" t="s">
        <v>492</v>
      </c>
      <c r="T1113" s="7">
        <v>17.0</v>
      </c>
      <c r="U1113" s="7" t="s">
        <v>493</v>
      </c>
      <c r="V1113" s="7" t="str">
        <f>VLOOKUP(U1113,Jogadores!B:C,2,0)</f>
        <v>FW</v>
      </c>
      <c r="W1113" s="8">
        <f>VLOOKUP(U1113,Jogadores!B:D,3,0)</f>
        <v>26.78630137</v>
      </c>
      <c r="X1113" s="7">
        <v>55.0</v>
      </c>
      <c r="Y1113" s="7">
        <f t="shared" si="3475"/>
        <v>98</v>
      </c>
      <c r="Z1113" s="7">
        <f>VLOOKUP(A1113,Jogos!A:L,3,0)</f>
        <v>49</v>
      </c>
      <c r="AA1113" s="7">
        <f t="shared" si="2229"/>
        <v>0</v>
      </c>
      <c r="AB1113" s="7">
        <f>VLOOKUP(A1113,Jogos!A:L,4,0)</f>
        <v>53</v>
      </c>
      <c r="AC1113" s="7">
        <f t="shared" si="2230"/>
        <v>43</v>
      </c>
      <c r="AD1113" s="7"/>
      <c r="AE1113" s="7"/>
      <c r="AF1113" s="7">
        <f t="shared" si="2231"/>
        <v>43</v>
      </c>
      <c r="AG1113" s="7">
        <v>4509.8</v>
      </c>
      <c r="AH1113" s="7">
        <v>1945.1</v>
      </c>
      <c r="AI1113" s="7">
        <v>1702.7</v>
      </c>
      <c r="AJ1113" s="7">
        <v>511.0</v>
      </c>
      <c r="AK1113" s="7">
        <v>246.4</v>
      </c>
      <c r="AL1113" s="7">
        <v>104.6</v>
      </c>
      <c r="AM1113" s="7">
        <v>48.0</v>
      </c>
      <c r="AN1113" s="7">
        <v>23.0</v>
      </c>
      <c r="AO1113" s="7">
        <v>31.8</v>
      </c>
      <c r="AP1113" s="9">
        <f t="shared" ref="AP1113:AR1113" si="3476">AG1113/$AF1113</f>
        <v>104.8790698</v>
      </c>
      <c r="AQ1113" s="9">
        <f t="shared" si="3476"/>
        <v>45.23488372</v>
      </c>
      <c r="AR1113" s="9">
        <f t="shared" si="3476"/>
        <v>39.59767442</v>
      </c>
      <c r="AS1113" s="9">
        <f t="shared" si="2233"/>
        <v>84.83255814</v>
      </c>
      <c r="AT1113" s="9">
        <f t="shared" ref="AT1113:AV1113" si="3477">AJ1113/$AF1113</f>
        <v>11.88372093</v>
      </c>
      <c r="AU1113" s="9">
        <f t="shared" si="3477"/>
        <v>5.730232558</v>
      </c>
      <c r="AV1113" s="9">
        <f t="shared" si="3477"/>
        <v>2.43255814</v>
      </c>
      <c r="AW1113" s="9">
        <f t="shared" si="2235"/>
        <v>8.162790698</v>
      </c>
      <c r="AX1113" s="9">
        <f t="shared" ref="AX1113:AY1113" si="3478">AM1113/$AF1113</f>
        <v>1.11627907</v>
      </c>
      <c r="AY1113" s="9">
        <f t="shared" si="3478"/>
        <v>0.5348837209</v>
      </c>
      <c r="AZ1113" s="9">
        <f>VLOOKUP(A1113,Jogos!A:BN,58,0)</f>
        <v>37.37</v>
      </c>
      <c r="BA1113" s="9">
        <f>VLOOKUP(A1113,Jogos!A:BN,59,0)</f>
        <v>19.55</v>
      </c>
      <c r="BB1113" s="9">
        <f>VLOOKUP(A1113,Jogos!A:BN,60,0)</f>
        <v>34.5</v>
      </c>
      <c r="BC1113" s="9">
        <f>VLOOKUP(A1113,Jogos!A:BN,61,0)</f>
        <v>44.775</v>
      </c>
      <c r="BD1113" s="9">
        <f>VLOOKUP(A1113,Jogos!A:BN,62,0)</f>
        <v>622.1</v>
      </c>
      <c r="BE1113" s="9">
        <f>VLOOKUP(A1113,Jogos!A:BN,63,0)</f>
        <v>1.695</v>
      </c>
      <c r="BF1113" s="9">
        <f>VLOOKUP(A1113,Jogos!A:BN,64,0)</f>
        <v>26.625</v>
      </c>
      <c r="BG1113" s="9">
        <f>VLOOKUP(A1113,Jogos!A:BN,65,0)</f>
        <v>52.59</v>
      </c>
      <c r="BH1113" s="9">
        <f>VLOOKUP(A1113,Jogos!A:BN,66,0)</f>
        <v>32.895</v>
      </c>
      <c r="BI1113" s="9"/>
      <c r="BJ1113" s="9"/>
    </row>
    <row r="1114" hidden="1">
      <c r="A1114" s="2">
        <v>38.0</v>
      </c>
      <c r="B1114" s="2" t="s">
        <v>121</v>
      </c>
      <c r="C1114" s="2" t="s">
        <v>61</v>
      </c>
      <c r="D1114" s="3">
        <v>45832.0</v>
      </c>
      <c r="E1114" s="4">
        <v>0.625</v>
      </c>
      <c r="F1114" s="5" t="str">
        <f>VLOOKUP(A1114,Jogos!A:N,10,0)</f>
        <v>Afternoon</v>
      </c>
      <c r="G1114" s="2" t="s">
        <v>1200</v>
      </c>
      <c r="H1114" s="6" t="str">
        <f>VLOOKUP(A1114,Jogos!A:L,12,0)</f>
        <v>Open</v>
      </c>
      <c r="I1114" s="6" t="str">
        <f>VLOOKUP(G1114,'Estádios e Cidades'!A:B,2,0)</f>
        <v>Charlotte</v>
      </c>
      <c r="J1114" s="2" t="s">
        <v>441</v>
      </c>
      <c r="K1114" s="2" t="str">
        <f>VLOOKUP(J1114,Equipes!A:F,6,0)</f>
        <v>Temperate</v>
      </c>
      <c r="L1114" s="2">
        <f>VLOOKUP(J1114,Equipes!A:C,3,0)</f>
        <v>10</v>
      </c>
      <c r="M1114" s="2" t="str">
        <f t="shared" si="4"/>
        <v>Round of 16</v>
      </c>
      <c r="N1114" s="2" t="s">
        <v>123</v>
      </c>
      <c r="O1114" s="2">
        <f>VLOOKUP(N1114,Equipes!A:C,3,0)</f>
        <v>6</v>
      </c>
      <c r="P1114" s="2" t="str">
        <f t="shared" si="5"/>
        <v>Quarter-final</v>
      </c>
      <c r="Q1114" s="2">
        <f t="shared" si="6"/>
        <v>4</v>
      </c>
      <c r="R1114" s="2" t="str">
        <f>VLOOKUP(J1114,Equipes!A:B,2,0)</f>
        <v>Benfica</v>
      </c>
      <c r="S1114" s="6" t="s">
        <v>1105</v>
      </c>
      <c r="T1114" s="7">
        <v>47.0</v>
      </c>
      <c r="U1114" s="7" t="s">
        <v>1106</v>
      </c>
      <c r="V1114" s="7" t="str">
        <f>VLOOKUP(U1114,Jogadores!B:C,2,0)</f>
        <v>FW</v>
      </c>
      <c r="W1114" s="8">
        <f>VLOOKUP(U1114,Jogadores!B:D,3,0)</f>
        <v>24.1260274</v>
      </c>
      <c r="X1114" s="7">
        <v>87.0</v>
      </c>
      <c r="Y1114" s="7">
        <f t="shared" si="3475"/>
        <v>98</v>
      </c>
      <c r="Z1114" s="7">
        <f>VLOOKUP(A1114,Jogos!A:L,3,0)</f>
        <v>49</v>
      </c>
      <c r="AA1114" s="7">
        <f t="shared" si="2229"/>
        <v>0</v>
      </c>
      <c r="AB1114" s="7">
        <f>VLOOKUP(A1114,Jogos!A:L,4,0)</f>
        <v>53</v>
      </c>
      <c r="AC1114" s="7">
        <f t="shared" si="2230"/>
        <v>11</v>
      </c>
      <c r="AD1114" s="7"/>
      <c r="AE1114" s="7"/>
      <c r="AF1114" s="7">
        <f t="shared" si="2231"/>
        <v>11</v>
      </c>
      <c r="AG1114" s="7">
        <v>1379.5</v>
      </c>
      <c r="AH1114" s="7">
        <v>498.5</v>
      </c>
      <c r="AI1114" s="7">
        <v>558.8</v>
      </c>
      <c r="AJ1114" s="7">
        <v>121.9</v>
      </c>
      <c r="AK1114" s="7">
        <v>127.3</v>
      </c>
      <c r="AL1114" s="7">
        <v>72.9</v>
      </c>
      <c r="AM1114" s="7">
        <v>10.0</v>
      </c>
      <c r="AN1114" s="7">
        <v>9.0</v>
      </c>
      <c r="AO1114" s="7">
        <v>31.6</v>
      </c>
      <c r="AP1114" s="9">
        <f t="shared" ref="AP1114:AR1114" si="3479">AG1114/$AF1114</f>
        <v>125.4090909</v>
      </c>
      <c r="AQ1114" s="9">
        <f t="shared" si="3479"/>
        <v>45.31818182</v>
      </c>
      <c r="AR1114" s="9">
        <f t="shared" si="3479"/>
        <v>50.8</v>
      </c>
      <c r="AS1114" s="9">
        <f t="shared" si="2233"/>
        <v>96.11818182</v>
      </c>
      <c r="AT1114" s="9">
        <f t="shared" ref="AT1114:AV1114" si="3480">AJ1114/$AF1114</f>
        <v>11.08181818</v>
      </c>
      <c r="AU1114" s="9">
        <f t="shared" si="3480"/>
        <v>11.57272727</v>
      </c>
      <c r="AV1114" s="9">
        <f t="shared" si="3480"/>
        <v>6.627272727</v>
      </c>
      <c r="AW1114" s="9">
        <f t="shared" si="2235"/>
        <v>18.2</v>
      </c>
      <c r="AX1114" s="9">
        <f t="shared" ref="AX1114:AY1114" si="3481">AM1114/$AF1114</f>
        <v>0.9090909091</v>
      </c>
      <c r="AY1114" s="9">
        <f t="shared" si="3481"/>
        <v>0.8181818182</v>
      </c>
      <c r="AZ1114" s="9">
        <f>VLOOKUP(A1114,Jogos!A:BN,58,0)</f>
        <v>37.37</v>
      </c>
      <c r="BA1114" s="9">
        <f>VLOOKUP(A1114,Jogos!A:BN,59,0)</f>
        <v>19.55</v>
      </c>
      <c r="BB1114" s="9">
        <f>VLOOKUP(A1114,Jogos!A:BN,60,0)</f>
        <v>34.5</v>
      </c>
      <c r="BC1114" s="9">
        <f>VLOOKUP(A1114,Jogos!A:BN,61,0)</f>
        <v>44.775</v>
      </c>
      <c r="BD1114" s="9">
        <f>VLOOKUP(A1114,Jogos!A:BN,62,0)</f>
        <v>622.1</v>
      </c>
      <c r="BE1114" s="9">
        <f>VLOOKUP(A1114,Jogos!A:BN,63,0)</f>
        <v>1.695</v>
      </c>
      <c r="BF1114" s="9">
        <f>VLOOKUP(A1114,Jogos!A:BN,64,0)</f>
        <v>26.625</v>
      </c>
      <c r="BG1114" s="9">
        <f>VLOOKUP(A1114,Jogos!A:BN,65,0)</f>
        <v>52.59</v>
      </c>
      <c r="BH1114" s="9">
        <f>VLOOKUP(A1114,Jogos!A:BN,66,0)</f>
        <v>32.895</v>
      </c>
      <c r="BI1114" s="9"/>
      <c r="BJ1114" s="9"/>
    </row>
    <row r="1115" hidden="1">
      <c r="A1115" s="2">
        <v>38.0</v>
      </c>
      <c r="B1115" s="2" t="s">
        <v>121</v>
      </c>
      <c r="C1115" s="2" t="s">
        <v>61</v>
      </c>
      <c r="D1115" s="3">
        <v>45832.0</v>
      </c>
      <c r="E1115" s="4">
        <v>0.625</v>
      </c>
      <c r="F1115" s="5" t="str">
        <f>VLOOKUP(A1115,Jogos!A:N,10,0)</f>
        <v>Afternoon</v>
      </c>
      <c r="G1115" s="2" t="s">
        <v>1200</v>
      </c>
      <c r="H1115" s="6" t="str">
        <f>VLOOKUP(A1115,Jogos!A:L,12,0)</f>
        <v>Open</v>
      </c>
      <c r="I1115" s="6" t="str">
        <f>VLOOKUP(G1115,'Estádios e Cidades'!A:B,2,0)</f>
        <v>Charlotte</v>
      </c>
      <c r="J1115" s="2" t="s">
        <v>441</v>
      </c>
      <c r="K1115" s="2" t="str">
        <f>VLOOKUP(J1115,Equipes!A:F,6,0)</f>
        <v>Temperate</v>
      </c>
      <c r="L1115" s="2">
        <f>VLOOKUP(J1115,Equipes!A:C,3,0)</f>
        <v>10</v>
      </c>
      <c r="M1115" s="2" t="str">
        <f t="shared" si="4"/>
        <v>Round of 16</v>
      </c>
      <c r="N1115" s="2" t="s">
        <v>123</v>
      </c>
      <c r="O1115" s="2">
        <f>VLOOKUP(N1115,Equipes!A:C,3,0)</f>
        <v>6</v>
      </c>
      <c r="P1115" s="2" t="str">
        <f t="shared" si="5"/>
        <v>Quarter-final</v>
      </c>
      <c r="Q1115" s="2">
        <f t="shared" si="6"/>
        <v>4</v>
      </c>
      <c r="R1115" s="2" t="str">
        <f>VLOOKUP(J1115,Equipes!A:B,2,0)</f>
        <v>Benfica</v>
      </c>
      <c r="S1115" s="6" t="s">
        <v>1107</v>
      </c>
      <c r="T1115" s="7">
        <v>81.0</v>
      </c>
      <c r="U1115" s="7" t="s">
        <v>1108</v>
      </c>
      <c r="V1115" s="7" t="str">
        <f>VLOOKUP(U1115,Jogadores!B:C,2,0)</f>
        <v>DF</v>
      </c>
      <c r="W1115" s="8">
        <f>VLOOKUP(U1115,Jogadores!B:D,3,0)</f>
        <v>23.32876712</v>
      </c>
      <c r="X1115" s="7">
        <v>78.0</v>
      </c>
      <c r="Y1115" s="7">
        <f t="shared" si="3475"/>
        <v>98</v>
      </c>
      <c r="Z1115" s="7">
        <f>VLOOKUP(A1115,Jogos!A:L,3,0)</f>
        <v>49</v>
      </c>
      <c r="AA1115" s="7">
        <f t="shared" si="2229"/>
        <v>0</v>
      </c>
      <c r="AB1115" s="7">
        <f>VLOOKUP(A1115,Jogos!A:L,4,0)</f>
        <v>53</v>
      </c>
      <c r="AC1115" s="7">
        <f t="shared" si="2230"/>
        <v>20</v>
      </c>
      <c r="AD1115" s="7"/>
      <c r="AE1115" s="7"/>
      <c r="AF1115" s="7">
        <f t="shared" si="2231"/>
        <v>20</v>
      </c>
      <c r="AG1115" s="7">
        <v>2048.9</v>
      </c>
      <c r="AH1115" s="7">
        <v>915.3</v>
      </c>
      <c r="AI1115" s="7">
        <v>842.3</v>
      </c>
      <c r="AJ1115" s="7">
        <v>188.5</v>
      </c>
      <c r="AK1115" s="7">
        <v>82.1</v>
      </c>
      <c r="AL1115" s="7">
        <v>20.5</v>
      </c>
      <c r="AM1115" s="7">
        <v>14.0</v>
      </c>
      <c r="AN1115" s="7">
        <v>8.0</v>
      </c>
      <c r="AO1115" s="7">
        <v>27.2</v>
      </c>
      <c r="AP1115" s="9">
        <f t="shared" ref="AP1115:AR1115" si="3482">AG1115/$AF1115</f>
        <v>102.445</v>
      </c>
      <c r="AQ1115" s="9">
        <f t="shared" si="3482"/>
        <v>45.765</v>
      </c>
      <c r="AR1115" s="9">
        <f t="shared" si="3482"/>
        <v>42.115</v>
      </c>
      <c r="AS1115" s="9">
        <f t="shared" si="2233"/>
        <v>87.88</v>
      </c>
      <c r="AT1115" s="9">
        <f t="shared" ref="AT1115:AV1115" si="3483">AJ1115/$AF1115</f>
        <v>9.425</v>
      </c>
      <c r="AU1115" s="9">
        <f t="shared" si="3483"/>
        <v>4.105</v>
      </c>
      <c r="AV1115" s="9">
        <f t="shared" si="3483"/>
        <v>1.025</v>
      </c>
      <c r="AW1115" s="9">
        <f t="shared" si="2235"/>
        <v>5.13</v>
      </c>
      <c r="AX1115" s="9">
        <f t="shared" ref="AX1115:AY1115" si="3484">AM1115/$AF1115</f>
        <v>0.7</v>
      </c>
      <c r="AY1115" s="9">
        <f t="shared" si="3484"/>
        <v>0.4</v>
      </c>
      <c r="AZ1115" s="9">
        <f>VLOOKUP(A1115,Jogos!A:BN,58,0)</f>
        <v>37.37</v>
      </c>
      <c r="BA1115" s="9">
        <f>VLOOKUP(A1115,Jogos!A:BN,59,0)</f>
        <v>19.55</v>
      </c>
      <c r="BB1115" s="9">
        <f>VLOOKUP(A1115,Jogos!A:BN,60,0)</f>
        <v>34.5</v>
      </c>
      <c r="BC1115" s="9">
        <f>VLOOKUP(A1115,Jogos!A:BN,61,0)</f>
        <v>44.775</v>
      </c>
      <c r="BD1115" s="9">
        <f>VLOOKUP(A1115,Jogos!A:BN,62,0)</f>
        <v>622.1</v>
      </c>
      <c r="BE1115" s="9">
        <f>VLOOKUP(A1115,Jogos!A:BN,63,0)</f>
        <v>1.695</v>
      </c>
      <c r="BF1115" s="9">
        <f>VLOOKUP(A1115,Jogos!A:BN,64,0)</f>
        <v>26.625</v>
      </c>
      <c r="BG1115" s="9">
        <f>VLOOKUP(A1115,Jogos!A:BN,65,0)</f>
        <v>52.59</v>
      </c>
      <c r="BH1115" s="9">
        <f>VLOOKUP(A1115,Jogos!A:BN,66,0)</f>
        <v>32.895</v>
      </c>
      <c r="BI1115" s="9"/>
      <c r="BJ1115" s="9"/>
    </row>
    <row r="1116" hidden="1">
      <c r="A1116" s="2">
        <v>38.0</v>
      </c>
      <c r="B1116" s="2" t="s">
        <v>121</v>
      </c>
      <c r="C1116" s="2" t="s">
        <v>61</v>
      </c>
      <c r="D1116" s="3">
        <v>45832.0</v>
      </c>
      <c r="E1116" s="4">
        <v>0.625</v>
      </c>
      <c r="F1116" s="5" t="str">
        <f>VLOOKUP(A1116,Jogos!A:N,10,0)</f>
        <v>Afternoon</v>
      </c>
      <c r="G1116" s="2" t="s">
        <v>1200</v>
      </c>
      <c r="H1116" s="6" t="str">
        <f>VLOOKUP(A1116,Jogos!A:L,12,0)</f>
        <v>Open</v>
      </c>
      <c r="I1116" s="6" t="str">
        <f>VLOOKUP(G1116,'Estádios e Cidades'!A:B,2,0)</f>
        <v>Charlotte</v>
      </c>
      <c r="J1116" s="2" t="s">
        <v>441</v>
      </c>
      <c r="K1116" s="2" t="str">
        <f>VLOOKUP(J1116,Equipes!A:F,6,0)</f>
        <v>Temperate</v>
      </c>
      <c r="L1116" s="2">
        <f>VLOOKUP(J1116,Equipes!A:C,3,0)</f>
        <v>10</v>
      </c>
      <c r="M1116" s="2" t="str">
        <f t="shared" si="4"/>
        <v>Round of 16</v>
      </c>
      <c r="N1116" s="2" t="s">
        <v>123</v>
      </c>
      <c r="O1116" s="2">
        <f>VLOOKUP(N1116,Equipes!A:C,3,0)</f>
        <v>6</v>
      </c>
      <c r="P1116" s="2" t="str">
        <f t="shared" si="5"/>
        <v>Quarter-final</v>
      </c>
      <c r="Q1116" s="2">
        <f t="shared" si="6"/>
        <v>4</v>
      </c>
      <c r="R1116" s="2" t="str">
        <f>VLOOKUP(J1116,Equipes!A:B,2,0)</f>
        <v>Benfica</v>
      </c>
      <c r="S1116" s="6" t="s">
        <v>1109</v>
      </c>
      <c r="T1116" s="7">
        <v>84.0</v>
      </c>
      <c r="U1116" s="7" t="s">
        <v>1110</v>
      </c>
      <c r="V1116" s="7" t="str">
        <f>VLOOKUP(U1116,Jogadores!B:C,2,0)</f>
        <v>FW</v>
      </c>
      <c r="W1116" s="8">
        <f>VLOOKUP(U1116,Jogadores!B:D,3,0)</f>
        <v>20.11780822</v>
      </c>
      <c r="X1116" s="7">
        <v>87.0</v>
      </c>
      <c r="Y1116" s="7">
        <f t="shared" si="3475"/>
        <v>98</v>
      </c>
      <c r="Z1116" s="7">
        <f>VLOOKUP(A1116,Jogos!A:L,3,0)</f>
        <v>49</v>
      </c>
      <c r="AA1116" s="7">
        <f t="shared" si="2229"/>
        <v>0</v>
      </c>
      <c r="AB1116" s="7">
        <f>VLOOKUP(A1116,Jogos!A:L,4,0)</f>
        <v>53</v>
      </c>
      <c r="AC1116" s="7">
        <f t="shared" si="2230"/>
        <v>11</v>
      </c>
      <c r="AD1116" s="7"/>
      <c r="AE1116" s="7"/>
      <c r="AF1116" s="7">
        <f t="shared" si="2231"/>
        <v>11</v>
      </c>
      <c r="AG1116" s="7">
        <v>1609.1</v>
      </c>
      <c r="AH1116" s="7">
        <v>433.8</v>
      </c>
      <c r="AI1116" s="7">
        <v>768.7</v>
      </c>
      <c r="AJ1116" s="7">
        <v>242.9</v>
      </c>
      <c r="AK1116" s="7">
        <v>121.7</v>
      </c>
      <c r="AL1116" s="7">
        <v>42.0</v>
      </c>
      <c r="AM1116" s="7">
        <v>20.0</v>
      </c>
      <c r="AN1116" s="7">
        <v>9.0</v>
      </c>
      <c r="AO1116" s="7">
        <v>27.6</v>
      </c>
      <c r="AP1116" s="9">
        <f t="shared" ref="AP1116:AR1116" si="3485">AG1116/$AF1116</f>
        <v>146.2818182</v>
      </c>
      <c r="AQ1116" s="9">
        <f t="shared" si="3485"/>
        <v>39.43636364</v>
      </c>
      <c r="AR1116" s="9">
        <f t="shared" si="3485"/>
        <v>69.88181818</v>
      </c>
      <c r="AS1116" s="9">
        <f t="shared" si="2233"/>
        <v>109.3181818</v>
      </c>
      <c r="AT1116" s="9">
        <f t="shared" ref="AT1116:AV1116" si="3486">AJ1116/$AF1116</f>
        <v>22.08181818</v>
      </c>
      <c r="AU1116" s="9">
        <f t="shared" si="3486"/>
        <v>11.06363636</v>
      </c>
      <c r="AV1116" s="9">
        <f t="shared" si="3486"/>
        <v>3.818181818</v>
      </c>
      <c r="AW1116" s="9">
        <f t="shared" si="2235"/>
        <v>14.88181818</v>
      </c>
      <c r="AX1116" s="9">
        <f t="shared" ref="AX1116:AY1116" si="3487">AM1116/$AF1116</f>
        <v>1.818181818</v>
      </c>
      <c r="AY1116" s="9">
        <f t="shared" si="3487"/>
        <v>0.8181818182</v>
      </c>
      <c r="AZ1116" s="9">
        <f>VLOOKUP(A1116,Jogos!A:BN,58,0)</f>
        <v>37.37</v>
      </c>
      <c r="BA1116" s="9">
        <f>VLOOKUP(A1116,Jogos!A:BN,59,0)</f>
        <v>19.55</v>
      </c>
      <c r="BB1116" s="9">
        <f>VLOOKUP(A1116,Jogos!A:BN,60,0)</f>
        <v>34.5</v>
      </c>
      <c r="BC1116" s="9">
        <f>VLOOKUP(A1116,Jogos!A:BN,61,0)</f>
        <v>44.775</v>
      </c>
      <c r="BD1116" s="9">
        <f>VLOOKUP(A1116,Jogos!A:BN,62,0)</f>
        <v>622.1</v>
      </c>
      <c r="BE1116" s="9">
        <f>VLOOKUP(A1116,Jogos!A:BN,63,0)</f>
        <v>1.695</v>
      </c>
      <c r="BF1116" s="9">
        <f>VLOOKUP(A1116,Jogos!A:BN,64,0)</f>
        <v>26.625</v>
      </c>
      <c r="BG1116" s="9">
        <f>VLOOKUP(A1116,Jogos!A:BN,65,0)</f>
        <v>52.59</v>
      </c>
      <c r="BH1116" s="9">
        <f>VLOOKUP(A1116,Jogos!A:BN,66,0)</f>
        <v>32.895</v>
      </c>
      <c r="BI1116" s="9"/>
      <c r="BJ1116" s="9"/>
    </row>
    <row r="1117" hidden="1">
      <c r="A1117" s="10">
        <v>38.0</v>
      </c>
      <c r="B1117" s="11" t="s">
        <v>121</v>
      </c>
      <c r="C1117" s="2" t="s">
        <v>61</v>
      </c>
      <c r="D1117" s="12">
        <v>45832.0</v>
      </c>
      <c r="E1117" s="13">
        <v>0.625</v>
      </c>
      <c r="F1117" s="5" t="str">
        <f>VLOOKUP(A1117,Jogos!A:N,10,0)</f>
        <v>Afternoon</v>
      </c>
      <c r="G1117" s="11" t="s">
        <v>1200</v>
      </c>
      <c r="H1117" s="6" t="str">
        <f>VLOOKUP(A1117,Jogos!A:L,12,0)</f>
        <v>Open</v>
      </c>
      <c r="I1117" s="6" t="str">
        <f>VLOOKUP(G1117,'Estádios e Cidades'!A:B,2,0)</f>
        <v>Charlotte</v>
      </c>
      <c r="J1117" s="15" t="s">
        <v>123</v>
      </c>
      <c r="K1117" s="2" t="str">
        <f>VLOOKUP(J1117,Equipes!A:F,6,0)</f>
        <v>Temperate</v>
      </c>
      <c r="L1117" s="2">
        <f>VLOOKUP(J1117,Equipes!A:C,3,0)</f>
        <v>6</v>
      </c>
      <c r="M1117" s="2" t="str">
        <f t="shared" si="4"/>
        <v>Quarter-final</v>
      </c>
      <c r="N1117" s="11" t="s">
        <v>441</v>
      </c>
      <c r="O1117" s="2">
        <f>VLOOKUP(N1117,Equipes!A:C,3,0)</f>
        <v>10</v>
      </c>
      <c r="P1117" s="2" t="str">
        <f t="shared" si="5"/>
        <v>Round of 16</v>
      </c>
      <c r="Q1117" s="2">
        <f t="shared" si="6"/>
        <v>-4</v>
      </c>
      <c r="R1117" s="2" t="str">
        <f>VLOOKUP(J1117,Equipes!A:B,2,0)</f>
        <v>Bayern</v>
      </c>
      <c r="S1117" s="14" t="s">
        <v>145</v>
      </c>
      <c r="T1117" s="7">
        <v>2.0</v>
      </c>
      <c r="U1117" s="7" t="s">
        <v>146</v>
      </c>
      <c r="V1117" s="7" t="str">
        <f>VLOOKUP(U1117,Jogadores!B:C,2,0)</f>
        <v>DF</v>
      </c>
      <c r="W1117" s="8">
        <f>VLOOKUP(U1117,Jogadores!B:D,3,0)</f>
        <v>26.76986301</v>
      </c>
      <c r="X1117" s="7">
        <v>0.0</v>
      </c>
      <c r="Y1117" s="7">
        <v>58.0</v>
      </c>
      <c r="Z1117" s="7">
        <f>VLOOKUP(A1117,Jogos!A:L,3,0)</f>
        <v>49</v>
      </c>
      <c r="AA1117" s="7">
        <f t="shared" si="2229"/>
        <v>49</v>
      </c>
      <c r="AB1117" s="7">
        <f>VLOOKUP(A1117,Jogos!A:L,4,0)</f>
        <v>53</v>
      </c>
      <c r="AC1117" s="7">
        <f t="shared" si="2230"/>
        <v>13</v>
      </c>
      <c r="AD1117" s="7"/>
      <c r="AE1117" s="7"/>
      <c r="AF1117" s="7">
        <f t="shared" si="2231"/>
        <v>62</v>
      </c>
      <c r="AG1117" s="7">
        <v>6239.3</v>
      </c>
      <c r="AH1117" s="7">
        <v>2450.6</v>
      </c>
      <c r="AI1117" s="7">
        <v>2729.4</v>
      </c>
      <c r="AJ1117" s="7">
        <v>716.5</v>
      </c>
      <c r="AK1117" s="7">
        <v>245.0</v>
      </c>
      <c r="AL1117" s="7">
        <v>97.8</v>
      </c>
      <c r="AM1117" s="7">
        <v>72.0</v>
      </c>
      <c r="AN1117" s="7">
        <v>21.0</v>
      </c>
      <c r="AO1117" s="7">
        <v>33.5</v>
      </c>
      <c r="AP1117" s="9">
        <f t="shared" ref="AP1117:AR1117" si="3488">AG1117/$AF1117</f>
        <v>100.633871</v>
      </c>
      <c r="AQ1117" s="9">
        <f t="shared" si="3488"/>
        <v>39.52580645</v>
      </c>
      <c r="AR1117" s="9">
        <f t="shared" si="3488"/>
        <v>44.02258065</v>
      </c>
      <c r="AS1117" s="9">
        <f t="shared" si="2233"/>
        <v>83.5483871</v>
      </c>
      <c r="AT1117" s="9">
        <f t="shared" ref="AT1117:AV1117" si="3489">AJ1117/$AF1117</f>
        <v>11.55645161</v>
      </c>
      <c r="AU1117" s="9">
        <f t="shared" si="3489"/>
        <v>3.951612903</v>
      </c>
      <c r="AV1117" s="9">
        <f t="shared" si="3489"/>
        <v>1.577419355</v>
      </c>
      <c r="AW1117" s="9">
        <f t="shared" si="2235"/>
        <v>5.529032258</v>
      </c>
      <c r="AX1117" s="9">
        <f t="shared" ref="AX1117:AY1117" si="3490">AM1117/$AF1117</f>
        <v>1.161290323</v>
      </c>
      <c r="AY1117" s="9">
        <f t="shared" si="3490"/>
        <v>0.3387096774</v>
      </c>
      <c r="AZ1117" s="9">
        <f>VLOOKUP(A1117,Jogos!A:BN,58,0)</f>
        <v>37.37</v>
      </c>
      <c r="BA1117" s="9">
        <f>VLOOKUP(A1117,Jogos!A:BN,59,0)</f>
        <v>19.55</v>
      </c>
      <c r="BB1117" s="9">
        <f>VLOOKUP(A1117,Jogos!A:BN,60,0)</f>
        <v>34.5</v>
      </c>
      <c r="BC1117" s="9">
        <f>VLOOKUP(A1117,Jogos!A:BN,61,0)</f>
        <v>44.775</v>
      </c>
      <c r="BD1117" s="9">
        <f>VLOOKUP(A1117,Jogos!A:BN,62,0)</f>
        <v>622.1</v>
      </c>
      <c r="BE1117" s="9">
        <f>VLOOKUP(A1117,Jogos!A:BN,63,0)</f>
        <v>1.695</v>
      </c>
      <c r="BF1117" s="9">
        <f>VLOOKUP(A1117,Jogos!A:BN,64,0)</f>
        <v>26.625</v>
      </c>
      <c r="BG1117" s="9">
        <f>VLOOKUP(A1117,Jogos!A:BN,65,0)</f>
        <v>52.59</v>
      </c>
      <c r="BH1117" s="9">
        <f>VLOOKUP(A1117,Jogos!A:BN,66,0)</f>
        <v>32.895</v>
      </c>
      <c r="BI1117" s="9"/>
      <c r="BJ1117" s="9"/>
    </row>
    <row r="1118" hidden="1">
      <c r="A1118" s="10">
        <v>38.0</v>
      </c>
      <c r="B1118" s="11" t="s">
        <v>121</v>
      </c>
      <c r="C1118" s="2" t="s">
        <v>61</v>
      </c>
      <c r="D1118" s="12">
        <v>45832.0</v>
      </c>
      <c r="E1118" s="13">
        <v>0.625</v>
      </c>
      <c r="F1118" s="5" t="str">
        <f>VLOOKUP(A1118,Jogos!A:N,10,0)</f>
        <v>Afternoon</v>
      </c>
      <c r="G1118" s="11" t="s">
        <v>1200</v>
      </c>
      <c r="H1118" s="6" t="str">
        <f>VLOOKUP(A1118,Jogos!A:L,12,0)</f>
        <v>Open</v>
      </c>
      <c r="I1118" s="6" t="str">
        <f>VLOOKUP(G1118,'Estádios e Cidades'!A:B,2,0)</f>
        <v>Charlotte</v>
      </c>
      <c r="J1118" s="15" t="s">
        <v>123</v>
      </c>
      <c r="K1118" s="2" t="str">
        <f>VLOOKUP(J1118,Equipes!A:F,6,0)</f>
        <v>Temperate</v>
      </c>
      <c r="L1118" s="2">
        <f>VLOOKUP(J1118,Equipes!A:C,3,0)</f>
        <v>6</v>
      </c>
      <c r="M1118" s="2" t="str">
        <f t="shared" si="4"/>
        <v>Quarter-final</v>
      </c>
      <c r="N1118" s="11" t="s">
        <v>441</v>
      </c>
      <c r="O1118" s="2">
        <f>VLOOKUP(N1118,Equipes!A:C,3,0)</f>
        <v>10</v>
      </c>
      <c r="P1118" s="2" t="str">
        <f t="shared" si="5"/>
        <v>Round of 16</v>
      </c>
      <c r="Q1118" s="2">
        <f t="shared" si="6"/>
        <v>-4</v>
      </c>
      <c r="R1118" s="2" t="str">
        <f>VLOOKUP(J1118,Equipes!A:B,2,0)</f>
        <v>Bayern</v>
      </c>
      <c r="S1118" s="6" t="s">
        <v>147</v>
      </c>
      <c r="T1118" s="7">
        <v>7.0</v>
      </c>
      <c r="U1118" s="7" t="s">
        <v>148</v>
      </c>
      <c r="V1118" s="7" t="str">
        <f>VLOOKUP(U1118,Jogadores!B:C,2,0)</f>
        <v>FW</v>
      </c>
      <c r="W1118" s="8">
        <f>VLOOKUP(U1118,Jogadores!B:D,3,0)</f>
        <v>30.06027397</v>
      </c>
      <c r="X1118" s="7">
        <v>0.0</v>
      </c>
      <c r="Y1118" s="7">
        <v>45.0</v>
      </c>
      <c r="Z1118" s="7">
        <f>VLOOKUP(A1118,Jogos!A:L,3,0)</f>
        <v>49</v>
      </c>
      <c r="AA1118" s="7">
        <f t="shared" si="2229"/>
        <v>49</v>
      </c>
      <c r="AB1118" s="7">
        <f>VLOOKUP(A1118,Jogos!A:L,4,0)</f>
        <v>53</v>
      </c>
      <c r="AC1118" s="7">
        <f t="shared" si="2230"/>
        <v>0</v>
      </c>
      <c r="AD1118" s="7"/>
      <c r="AE1118" s="7"/>
      <c r="AF1118" s="7">
        <f t="shared" si="2231"/>
        <v>49</v>
      </c>
      <c r="AG1118" s="7">
        <v>4847.9</v>
      </c>
      <c r="AH1118" s="7">
        <v>1892.2</v>
      </c>
      <c r="AI1118" s="7">
        <v>1919.5</v>
      </c>
      <c r="AJ1118" s="7">
        <v>686.5</v>
      </c>
      <c r="AK1118" s="7">
        <v>257.5</v>
      </c>
      <c r="AL1118" s="7">
        <v>92.1</v>
      </c>
      <c r="AM1118" s="7">
        <v>56.0</v>
      </c>
      <c r="AN1118" s="7">
        <v>22.0</v>
      </c>
      <c r="AO1118" s="7">
        <v>32.5</v>
      </c>
      <c r="AP1118" s="9">
        <f t="shared" ref="AP1118:AR1118" si="3491">AG1118/$AF1118</f>
        <v>98.93673469</v>
      </c>
      <c r="AQ1118" s="9">
        <f t="shared" si="3491"/>
        <v>38.61632653</v>
      </c>
      <c r="AR1118" s="9">
        <f t="shared" si="3491"/>
        <v>39.17346939</v>
      </c>
      <c r="AS1118" s="9">
        <f t="shared" si="2233"/>
        <v>77.78979592</v>
      </c>
      <c r="AT1118" s="9">
        <f t="shared" ref="AT1118:AV1118" si="3492">AJ1118/$AF1118</f>
        <v>14.01020408</v>
      </c>
      <c r="AU1118" s="9">
        <f t="shared" si="3492"/>
        <v>5.255102041</v>
      </c>
      <c r="AV1118" s="9">
        <f t="shared" si="3492"/>
        <v>1.879591837</v>
      </c>
      <c r="AW1118" s="9">
        <f t="shared" si="2235"/>
        <v>7.134693878</v>
      </c>
      <c r="AX1118" s="9">
        <f t="shared" ref="AX1118:AY1118" si="3493">AM1118/$AF1118</f>
        <v>1.142857143</v>
      </c>
      <c r="AY1118" s="9">
        <f t="shared" si="3493"/>
        <v>0.4489795918</v>
      </c>
      <c r="AZ1118" s="9">
        <f>VLOOKUP(A1118,Jogos!A:BN,58,0)</f>
        <v>37.37</v>
      </c>
      <c r="BA1118" s="9">
        <f>VLOOKUP(A1118,Jogos!A:BN,59,0)</f>
        <v>19.55</v>
      </c>
      <c r="BB1118" s="9">
        <f>VLOOKUP(A1118,Jogos!A:BN,60,0)</f>
        <v>34.5</v>
      </c>
      <c r="BC1118" s="9">
        <f>VLOOKUP(A1118,Jogos!A:BN,61,0)</f>
        <v>44.775</v>
      </c>
      <c r="BD1118" s="9">
        <f>VLOOKUP(A1118,Jogos!A:BN,62,0)</f>
        <v>622.1</v>
      </c>
      <c r="BE1118" s="9">
        <f>VLOOKUP(A1118,Jogos!A:BN,63,0)</f>
        <v>1.695</v>
      </c>
      <c r="BF1118" s="9">
        <f>VLOOKUP(A1118,Jogos!A:BN,64,0)</f>
        <v>26.625</v>
      </c>
      <c r="BG1118" s="9">
        <f>VLOOKUP(A1118,Jogos!A:BN,65,0)</f>
        <v>52.59</v>
      </c>
      <c r="BH1118" s="9">
        <f>VLOOKUP(A1118,Jogos!A:BN,66,0)</f>
        <v>32.895</v>
      </c>
      <c r="BI1118" s="9"/>
      <c r="BJ1118" s="9"/>
    </row>
    <row r="1119" hidden="1">
      <c r="A1119" s="10">
        <v>38.0</v>
      </c>
      <c r="B1119" s="11" t="s">
        <v>121</v>
      </c>
      <c r="C1119" s="2" t="s">
        <v>61</v>
      </c>
      <c r="D1119" s="12">
        <v>45832.0</v>
      </c>
      <c r="E1119" s="13">
        <v>0.625</v>
      </c>
      <c r="F1119" s="5" t="str">
        <f>VLOOKUP(A1119,Jogos!A:N,10,0)</f>
        <v>Afternoon</v>
      </c>
      <c r="G1119" s="11" t="s">
        <v>1200</v>
      </c>
      <c r="H1119" s="6" t="str">
        <f>VLOOKUP(A1119,Jogos!A:L,12,0)</f>
        <v>Open</v>
      </c>
      <c r="I1119" s="6" t="str">
        <f>VLOOKUP(G1119,'Estádios e Cidades'!A:B,2,0)</f>
        <v>Charlotte</v>
      </c>
      <c r="J1119" s="15" t="s">
        <v>123</v>
      </c>
      <c r="K1119" s="2" t="str">
        <f>VLOOKUP(J1119,Equipes!A:F,6,0)</f>
        <v>Temperate</v>
      </c>
      <c r="L1119" s="2">
        <f>VLOOKUP(J1119,Equipes!A:C,3,0)</f>
        <v>6</v>
      </c>
      <c r="M1119" s="2" t="str">
        <f t="shared" si="4"/>
        <v>Quarter-final</v>
      </c>
      <c r="N1119" s="11" t="s">
        <v>441</v>
      </c>
      <c r="O1119" s="2">
        <f>VLOOKUP(N1119,Equipes!A:C,3,0)</f>
        <v>10</v>
      </c>
      <c r="P1119" s="2" t="str">
        <f t="shared" si="5"/>
        <v>Round of 16</v>
      </c>
      <c r="Q1119" s="2">
        <f t="shared" si="6"/>
        <v>-4</v>
      </c>
      <c r="R1119" s="2" t="str">
        <f>VLOOKUP(J1119,Equipes!A:B,2,0)</f>
        <v>Bayern</v>
      </c>
      <c r="S1119" s="6" t="s">
        <v>1140</v>
      </c>
      <c r="T1119" s="7">
        <v>10.0</v>
      </c>
      <c r="U1119" s="7" t="s">
        <v>1141</v>
      </c>
      <c r="V1119" s="7" t="str">
        <f>VLOOKUP(U1119,Jogadores!B:C,2,0)</f>
        <v>FW</v>
      </c>
      <c r="W1119" s="8">
        <f>VLOOKUP(U1119,Jogadores!B:D,3,0)</f>
        <v>29.56438356</v>
      </c>
      <c r="X1119" s="7">
        <v>0.0</v>
      </c>
      <c r="Y1119" s="7">
        <f>45+AB1119</f>
        <v>98</v>
      </c>
      <c r="Z1119" s="7">
        <f>VLOOKUP(A1119,Jogos!A:L,3,0)</f>
        <v>49</v>
      </c>
      <c r="AA1119" s="7">
        <f t="shared" si="2229"/>
        <v>49</v>
      </c>
      <c r="AB1119" s="7">
        <f>VLOOKUP(A1119,Jogos!A:L,4,0)</f>
        <v>53</v>
      </c>
      <c r="AC1119" s="7">
        <f t="shared" si="2230"/>
        <v>53</v>
      </c>
      <c r="AD1119" s="7"/>
      <c r="AE1119" s="7"/>
      <c r="AF1119" s="7">
        <f t="shared" si="2231"/>
        <v>102</v>
      </c>
      <c r="AG1119" s="7">
        <v>9314.3</v>
      </c>
      <c r="AH1119" s="7">
        <v>4141.0</v>
      </c>
      <c r="AI1119" s="7">
        <v>3097.6</v>
      </c>
      <c r="AJ1119" s="7">
        <v>1242.6</v>
      </c>
      <c r="AK1119" s="7">
        <v>583.1</v>
      </c>
      <c r="AL1119" s="7">
        <v>250.0</v>
      </c>
      <c r="AM1119" s="7">
        <v>93.0</v>
      </c>
      <c r="AN1119" s="7">
        <v>51.0</v>
      </c>
      <c r="AO1119" s="7">
        <v>34.2</v>
      </c>
      <c r="AP1119" s="9">
        <f t="shared" ref="AP1119:AR1119" si="3494">AG1119/$AF1119</f>
        <v>91.31666667</v>
      </c>
      <c r="AQ1119" s="9">
        <f t="shared" si="3494"/>
        <v>40.59803922</v>
      </c>
      <c r="AR1119" s="9">
        <f t="shared" si="3494"/>
        <v>30.36862745</v>
      </c>
      <c r="AS1119" s="9">
        <f t="shared" si="2233"/>
        <v>70.96666667</v>
      </c>
      <c r="AT1119" s="9">
        <f t="shared" ref="AT1119:AV1119" si="3495">AJ1119/$AF1119</f>
        <v>12.18235294</v>
      </c>
      <c r="AU1119" s="9">
        <f t="shared" si="3495"/>
        <v>5.716666667</v>
      </c>
      <c r="AV1119" s="9">
        <f t="shared" si="3495"/>
        <v>2.450980392</v>
      </c>
      <c r="AW1119" s="9">
        <f t="shared" si="2235"/>
        <v>8.167647059</v>
      </c>
      <c r="AX1119" s="9">
        <f t="shared" ref="AX1119:AY1119" si="3496">AM1119/$AF1119</f>
        <v>0.9117647059</v>
      </c>
      <c r="AY1119" s="9">
        <f t="shared" si="3496"/>
        <v>0.5</v>
      </c>
      <c r="AZ1119" s="9">
        <f>VLOOKUP(A1119,Jogos!A:BN,58,0)</f>
        <v>37.37</v>
      </c>
      <c r="BA1119" s="9">
        <f>VLOOKUP(A1119,Jogos!A:BN,59,0)</f>
        <v>19.55</v>
      </c>
      <c r="BB1119" s="9">
        <f>VLOOKUP(A1119,Jogos!A:BN,60,0)</f>
        <v>34.5</v>
      </c>
      <c r="BC1119" s="9">
        <f>VLOOKUP(A1119,Jogos!A:BN,61,0)</f>
        <v>44.775</v>
      </c>
      <c r="BD1119" s="9">
        <f>VLOOKUP(A1119,Jogos!A:BN,62,0)</f>
        <v>622.1</v>
      </c>
      <c r="BE1119" s="9">
        <f>VLOOKUP(A1119,Jogos!A:BN,63,0)</f>
        <v>1.695</v>
      </c>
      <c r="BF1119" s="9">
        <f>VLOOKUP(A1119,Jogos!A:BN,64,0)</f>
        <v>26.625</v>
      </c>
      <c r="BG1119" s="9">
        <f>VLOOKUP(A1119,Jogos!A:BN,65,0)</f>
        <v>52.59</v>
      </c>
      <c r="BH1119" s="9">
        <f>VLOOKUP(A1119,Jogos!A:BN,66,0)</f>
        <v>32.895</v>
      </c>
      <c r="BI1119" s="9"/>
      <c r="BJ1119" s="9"/>
    </row>
    <row r="1120" hidden="1">
      <c r="A1120" s="10">
        <v>38.0</v>
      </c>
      <c r="B1120" s="11" t="s">
        <v>121</v>
      </c>
      <c r="C1120" s="2" t="s">
        <v>61</v>
      </c>
      <c r="D1120" s="12">
        <v>45832.0</v>
      </c>
      <c r="E1120" s="13">
        <v>0.625</v>
      </c>
      <c r="F1120" s="5" t="str">
        <f>VLOOKUP(A1120,Jogos!A:N,10,0)</f>
        <v>Afternoon</v>
      </c>
      <c r="G1120" s="11" t="s">
        <v>1200</v>
      </c>
      <c r="H1120" s="6" t="str">
        <f>VLOOKUP(A1120,Jogos!A:L,12,0)</f>
        <v>Open</v>
      </c>
      <c r="I1120" s="6" t="str">
        <f>VLOOKUP(G1120,'Estádios e Cidades'!A:B,2,0)</f>
        <v>Charlotte</v>
      </c>
      <c r="J1120" s="15" t="s">
        <v>123</v>
      </c>
      <c r="K1120" s="2" t="str">
        <f>VLOOKUP(J1120,Equipes!A:F,6,0)</f>
        <v>Temperate</v>
      </c>
      <c r="L1120" s="2">
        <f>VLOOKUP(J1120,Equipes!A:C,3,0)</f>
        <v>6</v>
      </c>
      <c r="M1120" s="2" t="str">
        <f t="shared" si="4"/>
        <v>Quarter-final</v>
      </c>
      <c r="N1120" s="11" t="s">
        <v>441</v>
      </c>
      <c r="O1120" s="2">
        <f>VLOOKUP(N1120,Equipes!A:C,3,0)</f>
        <v>10</v>
      </c>
      <c r="P1120" s="2" t="str">
        <f t="shared" si="5"/>
        <v>Round of 16</v>
      </c>
      <c r="Q1120" s="2">
        <f t="shared" si="6"/>
        <v>-4</v>
      </c>
      <c r="R1120" s="2" t="str">
        <f>VLOOKUP(J1120,Equipes!A:B,2,0)</f>
        <v>Bayern</v>
      </c>
      <c r="S1120" s="6" t="s">
        <v>1265</v>
      </c>
      <c r="T1120" s="7">
        <v>16.0</v>
      </c>
      <c r="U1120" s="7" t="s">
        <v>1266</v>
      </c>
      <c r="V1120" s="7" t="str">
        <f>VLOOKUP(U1120,Jogadores!B:C,2,0)</f>
        <v>MF</v>
      </c>
      <c r="W1120" s="8">
        <f>VLOOKUP(U1120,Jogadores!B:D,3,0)</f>
        <v>30.0739726</v>
      </c>
      <c r="X1120" s="7">
        <v>0.0</v>
      </c>
      <c r="Y1120" s="7">
        <v>45.0</v>
      </c>
      <c r="Z1120" s="7">
        <f>VLOOKUP(A1120,Jogos!A:L,3,0)</f>
        <v>49</v>
      </c>
      <c r="AA1120" s="7">
        <f t="shared" si="2229"/>
        <v>49</v>
      </c>
      <c r="AB1120" s="7">
        <f>VLOOKUP(A1120,Jogos!A:L,4,0)</f>
        <v>53</v>
      </c>
      <c r="AC1120" s="7">
        <f t="shared" si="2230"/>
        <v>0</v>
      </c>
      <c r="AD1120" s="7"/>
      <c r="AE1120" s="7"/>
      <c r="AF1120" s="7">
        <f t="shared" si="2231"/>
        <v>49</v>
      </c>
      <c r="AG1120" s="7">
        <v>5324.3</v>
      </c>
      <c r="AH1120" s="7">
        <v>1870.5</v>
      </c>
      <c r="AI1120" s="7">
        <v>2589.5</v>
      </c>
      <c r="AJ1120" s="7">
        <v>707.5</v>
      </c>
      <c r="AK1120" s="7">
        <v>146.3</v>
      </c>
      <c r="AL1120" s="7">
        <v>10.6</v>
      </c>
      <c r="AM1120" s="7">
        <v>67.0</v>
      </c>
      <c r="AN1120" s="7">
        <v>9.0</v>
      </c>
      <c r="AO1120" s="7">
        <v>25.4</v>
      </c>
      <c r="AP1120" s="9">
        <f t="shared" ref="AP1120:AR1120" si="3497">AG1120/$AF1120</f>
        <v>108.6591837</v>
      </c>
      <c r="AQ1120" s="9">
        <f t="shared" si="3497"/>
        <v>38.17346939</v>
      </c>
      <c r="AR1120" s="9">
        <f t="shared" si="3497"/>
        <v>52.84693878</v>
      </c>
      <c r="AS1120" s="9">
        <f t="shared" si="2233"/>
        <v>91.02040816</v>
      </c>
      <c r="AT1120" s="9">
        <f t="shared" ref="AT1120:AV1120" si="3498">AJ1120/$AF1120</f>
        <v>14.43877551</v>
      </c>
      <c r="AU1120" s="9">
        <f t="shared" si="3498"/>
        <v>2.985714286</v>
      </c>
      <c r="AV1120" s="9">
        <f t="shared" si="3498"/>
        <v>0.2163265306</v>
      </c>
      <c r="AW1120" s="9">
        <f t="shared" si="2235"/>
        <v>3.202040816</v>
      </c>
      <c r="AX1120" s="9">
        <f t="shared" ref="AX1120:AY1120" si="3499">AM1120/$AF1120</f>
        <v>1.367346939</v>
      </c>
      <c r="AY1120" s="9">
        <f t="shared" si="3499"/>
        <v>0.1836734694</v>
      </c>
      <c r="AZ1120" s="9">
        <f>VLOOKUP(A1120,Jogos!A:BN,58,0)</f>
        <v>37.37</v>
      </c>
      <c r="BA1120" s="9">
        <f>VLOOKUP(A1120,Jogos!A:BN,59,0)</f>
        <v>19.55</v>
      </c>
      <c r="BB1120" s="9">
        <f>VLOOKUP(A1120,Jogos!A:BN,60,0)</f>
        <v>34.5</v>
      </c>
      <c r="BC1120" s="9">
        <f>VLOOKUP(A1120,Jogos!A:BN,61,0)</f>
        <v>44.775</v>
      </c>
      <c r="BD1120" s="9">
        <f>VLOOKUP(A1120,Jogos!A:BN,62,0)</f>
        <v>622.1</v>
      </c>
      <c r="BE1120" s="9">
        <f>VLOOKUP(A1120,Jogos!A:BN,63,0)</f>
        <v>1.695</v>
      </c>
      <c r="BF1120" s="9">
        <f>VLOOKUP(A1120,Jogos!A:BN,64,0)</f>
        <v>26.625</v>
      </c>
      <c r="BG1120" s="9">
        <f>VLOOKUP(A1120,Jogos!A:BN,65,0)</f>
        <v>52.59</v>
      </c>
      <c r="BH1120" s="9">
        <f>VLOOKUP(A1120,Jogos!A:BN,66,0)</f>
        <v>32.895</v>
      </c>
      <c r="BI1120" s="9"/>
      <c r="BJ1120" s="9"/>
    </row>
    <row r="1121" hidden="1">
      <c r="A1121" s="10">
        <v>38.0</v>
      </c>
      <c r="B1121" s="11" t="s">
        <v>121</v>
      </c>
      <c r="C1121" s="2" t="s">
        <v>61</v>
      </c>
      <c r="D1121" s="12">
        <v>45832.0</v>
      </c>
      <c r="E1121" s="13">
        <v>0.625</v>
      </c>
      <c r="F1121" s="5" t="str">
        <f>VLOOKUP(A1121,Jogos!A:N,10,0)</f>
        <v>Afternoon</v>
      </c>
      <c r="G1121" s="11" t="s">
        <v>1200</v>
      </c>
      <c r="H1121" s="6" t="str">
        <f>VLOOKUP(A1121,Jogos!A:L,12,0)</f>
        <v>Open</v>
      </c>
      <c r="I1121" s="6" t="str">
        <f>VLOOKUP(G1121,'Estádios e Cidades'!A:B,2,0)</f>
        <v>Charlotte</v>
      </c>
      <c r="J1121" s="15" t="s">
        <v>123</v>
      </c>
      <c r="K1121" s="2" t="str">
        <f>VLOOKUP(J1121,Equipes!A:F,6,0)</f>
        <v>Temperate</v>
      </c>
      <c r="L1121" s="2">
        <f>VLOOKUP(J1121,Equipes!A:C,3,0)</f>
        <v>6</v>
      </c>
      <c r="M1121" s="2" t="str">
        <f t="shared" si="4"/>
        <v>Quarter-final</v>
      </c>
      <c r="N1121" s="11" t="s">
        <v>441</v>
      </c>
      <c r="O1121" s="2">
        <f>VLOOKUP(N1121,Equipes!A:C,3,0)</f>
        <v>10</v>
      </c>
      <c r="P1121" s="2" t="str">
        <f t="shared" si="5"/>
        <v>Round of 16</v>
      </c>
      <c r="Q1121" s="2">
        <f t="shared" si="6"/>
        <v>-4</v>
      </c>
      <c r="R1121" s="2" t="str">
        <f>VLOOKUP(J1121,Equipes!A:B,2,0)</f>
        <v>Bayern</v>
      </c>
      <c r="S1121" s="6" t="s">
        <v>1267</v>
      </c>
      <c r="T1121" s="7">
        <v>20.0</v>
      </c>
      <c r="U1121" s="7" t="s">
        <v>1268</v>
      </c>
      <c r="V1121" s="7" t="str">
        <f>VLOOKUP(U1121,Jogadores!B:C,2,0)</f>
        <v>MF</v>
      </c>
      <c r="W1121" s="8">
        <f>VLOOKUP(U1121,Jogadores!B:D,3,0)</f>
        <v>20.09589041</v>
      </c>
      <c r="X1121" s="7">
        <v>0.0</v>
      </c>
      <c r="Y1121" s="7">
        <v>45.0</v>
      </c>
      <c r="Z1121" s="7">
        <f>VLOOKUP(A1121,Jogos!A:L,3,0)</f>
        <v>49</v>
      </c>
      <c r="AA1121" s="7">
        <f t="shared" si="2229"/>
        <v>49</v>
      </c>
      <c r="AB1121" s="7">
        <f>VLOOKUP(A1121,Jogos!A:L,4,0)</f>
        <v>53</v>
      </c>
      <c r="AC1121" s="7">
        <f t="shared" si="2230"/>
        <v>0</v>
      </c>
      <c r="AD1121" s="7"/>
      <c r="AE1121" s="7"/>
      <c r="AF1121" s="7">
        <f t="shared" si="2231"/>
        <v>49</v>
      </c>
      <c r="AG1121" s="7">
        <v>5748.7</v>
      </c>
      <c r="AH1121" s="7">
        <v>1684.3</v>
      </c>
      <c r="AI1121" s="7">
        <v>2805.0</v>
      </c>
      <c r="AJ1121" s="7">
        <v>975.4</v>
      </c>
      <c r="AK1121" s="7">
        <v>271.5</v>
      </c>
      <c r="AL1121" s="7">
        <v>12.5</v>
      </c>
      <c r="AM1121" s="7">
        <v>91.0</v>
      </c>
      <c r="AN1121" s="7">
        <v>20.0</v>
      </c>
      <c r="AO1121" s="7">
        <v>27.8</v>
      </c>
      <c r="AP1121" s="9">
        <f t="shared" ref="AP1121:AR1121" si="3500">AG1121/$AF1121</f>
        <v>117.3204082</v>
      </c>
      <c r="AQ1121" s="9">
        <f t="shared" si="3500"/>
        <v>34.37346939</v>
      </c>
      <c r="AR1121" s="9">
        <f t="shared" si="3500"/>
        <v>57.24489796</v>
      </c>
      <c r="AS1121" s="9">
        <f t="shared" si="2233"/>
        <v>91.61836735</v>
      </c>
      <c r="AT1121" s="9">
        <f t="shared" ref="AT1121:AV1121" si="3501">AJ1121/$AF1121</f>
        <v>19.90612245</v>
      </c>
      <c r="AU1121" s="9">
        <f t="shared" si="3501"/>
        <v>5.540816327</v>
      </c>
      <c r="AV1121" s="9">
        <f t="shared" si="3501"/>
        <v>0.2551020408</v>
      </c>
      <c r="AW1121" s="9">
        <f t="shared" si="2235"/>
        <v>5.795918367</v>
      </c>
      <c r="AX1121" s="9">
        <f t="shared" ref="AX1121:AY1121" si="3502">AM1121/$AF1121</f>
        <v>1.857142857</v>
      </c>
      <c r="AY1121" s="9">
        <f t="shared" si="3502"/>
        <v>0.4081632653</v>
      </c>
      <c r="AZ1121" s="9">
        <f>VLOOKUP(A1121,Jogos!A:BN,58,0)</f>
        <v>37.37</v>
      </c>
      <c r="BA1121" s="9">
        <f>VLOOKUP(A1121,Jogos!A:BN,59,0)</f>
        <v>19.55</v>
      </c>
      <c r="BB1121" s="9">
        <f>VLOOKUP(A1121,Jogos!A:BN,60,0)</f>
        <v>34.5</v>
      </c>
      <c r="BC1121" s="9">
        <f>VLOOKUP(A1121,Jogos!A:BN,61,0)</f>
        <v>44.775</v>
      </c>
      <c r="BD1121" s="9">
        <f>VLOOKUP(A1121,Jogos!A:BN,62,0)</f>
        <v>622.1</v>
      </c>
      <c r="BE1121" s="9">
        <f>VLOOKUP(A1121,Jogos!A:BN,63,0)</f>
        <v>1.695</v>
      </c>
      <c r="BF1121" s="9">
        <f>VLOOKUP(A1121,Jogos!A:BN,64,0)</f>
        <v>26.625</v>
      </c>
      <c r="BG1121" s="9">
        <f>VLOOKUP(A1121,Jogos!A:BN,65,0)</f>
        <v>52.59</v>
      </c>
      <c r="BH1121" s="9">
        <f>VLOOKUP(A1121,Jogos!A:BN,66,0)</f>
        <v>32.895</v>
      </c>
      <c r="BI1121" s="9"/>
      <c r="BJ1121" s="9"/>
    </row>
    <row r="1122" hidden="1">
      <c r="A1122" s="10">
        <v>38.0</v>
      </c>
      <c r="B1122" s="11" t="s">
        <v>121</v>
      </c>
      <c r="C1122" s="2" t="s">
        <v>61</v>
      </c>
      <c r="D1122" s="12">
        <v>45832.0</v>
      </c>
      <c r="E1122" s="13">
        <v>0.625</v>
      </c>
      <c r="F1122" s="5" t="str">
        <f>VLOOKUP(A1122,Jogos!A:N,10,0)</f>
        <v>Afternoon</v>
      </c>
      <c r="G1122" s="11" t="s">
        <v>1200</v>
      </c>
      <c r="H1122" s="6" t="str">
        <f>VLOOKUP(A1122,Jogos!A:L,12,0)</f>
        <v>Open</v>
      </c>
      <c r="I1122" s="6" t="str">
        <f>VLOOKUP(G1122,'Estádios e Cidades'!A:B,2,0)</f>
        <v>Charlotte</v>
      </c>
      <c r="J1122" s="15" t="s">
        <v>123</v>
      </c>
      <c r="K1122" s="2" t="str">
        <f>VLOOKUP(J1122,Equipes!A:F,6,0)</f>
        <v>Temperate</v>
      </c>
      <c r="L1122" s="2">
        <f>VLOOKUP(J1122,Equipes!A:C,3,0)</f>
        <v>6</v>
      </c>
      <c r="M1122" s="2" t="str">
        <f t="shared" si="4"/>
        <v>Quarter-final</v>
      </c>
      <c r="N1122" s="11" t="s">
        <v>441</v>
      </c>
      <c r="O1122" s="2">
        <f>VLOOKUP(N1122,Equipes!A:C,3,0)</f>
        <v>10</v>
      </c>
      <c r="P1122" s="2" t="str">
        <f t="shared" si="5"/>
        <v>Round of 16</v>
      </c>
      <c r="Q1122" s="2">
        <f t="shared" si="6"/>
        <v>-4</v>
      </c>
      <c r="R1122" s="2" t="str">
        <f>VLOOKUP(J1122,Equipes!A:B,2,0)</f>
        <v>Bayern</v>
      </c>
      <c r="S1122" s="6" t="s">
        <v>135</v>
      </c>
      <c r="T1122" s="7">
        <v>22.0</v>
      </c>
      <c r="U1122" s="7" t="s">
        <v>136</v>
      </c>
      <c r="V1122" s="7" t="str">
        <f>VLOOKUP(U1122,Jogadores!B:C,2,0)</f>
        <v>DF</v>
      </c>
      <c r="W1122" s="8">
        <f>VLOOKUP(U1122,Jogadores!B:D,3,0)</f>
        <v>31.61917808</v>
      </c>
      <c r="X1122" s="7">
        <v>0.0</v>
      </c>
      <c r="Y1122" s="7">
        <f>45+AB1122</f>
        <v>98</v>
      </c>
      <c r="Z1122" s="7">
        <f>VLOOKUP(A1122,Jogos!A:L,3,0)</f>
        <v>49</v>
      </c>
      <c r="AA1122" s="7">
        <f t="shared" si="2229"/>
        <v>49</v>
      </c>
      <c r="AB1122" s="7">
        <f>VLOOKUP(A1122,Jogos!A:L,4,0)</f>
        <v>53</v>
      </c>
      <c r="AC1122" s="7">
        <f t="shared" si="2230"/>
        <v>53</v>
      </c>
      <c r="AD1122" s="7"/>
      <c r="AE1122" s="7"/>
      <c r="AF1122" s="7">
        <f t="shared" si="2231"/>
        <v>102</v>
      </c>
      <c r="AG1122" s="7">
        <v>10506.0</v>
      </c>
      <c r="AH1122" s="7">
        <v>3769.8</v>
      </c>
      <c r="AI1122" s="7">
        <v>4939.2</v>
      </c>
      <c r="AJ1122" s="7">
        <v>1194.9</v>
      </c>
      <c r="AK1122" s="7">
        <v>521.9</v>
      </c>
      <c r="AL1122" s="7">
        <v>80.2</v>
      </c>
      <c r="AM1122" s="7">
        <v>113.0</v>
      </c>
      <c r="AN1122" s="7">
        <v>36.0</v>
      </c>
      <c r="AO1122" s="7">
        <v>28.3</v>
      </c>
      <c r="AP1122" s="9">
        <f t="shared" ref="AP1122:AR1122" si="3503">AG1122/$AF1122</f>
        <v>103</v>
      </c>
      <c r="AQ1122" s="9">
        <f t="shared" si="3503"/>
        <v>36.95882353</v>
      </c>
      <c r="AR1122" s="9">
        <f t="shared" si="3503"/>
        <v>48.42352941</v>
      </c>
      <c r="AS1122" s="9">
        <f t="shared" si="2233"/>
        <v>85.38235294</v>
      </c>
      <c r="AT1122" s="9">
        <f t="shared" ref="AT1122:AV1122" si="3504">AJ1122/$AF1122</f>
        <v>11.71470588</v>
      </c>
      <c r="AU1122" s="9">
        <f t="shared" si="3504"/>
        <v>5.116666667</v>
      </c>
      <c r="AV1122" s="9">
        <f t="shared" si="3504"/>
        <v>0.7862745098</v>
      </c>
      <c r="AW1122" s="9">
        <f t="shared" si="2235"/>
        <v>5.902941176</v>
      </c>
      <c r="AX1122" s="9">
        <f t="shared" ref="AX1122:AY1122" si="3505">AM1122/$AF1122</f>
        <v>1.107843137</v>
      </c>
      <c r="AY1122" s="9">
        <f t="shared" si="3505"/>
        <v>0.3529411765</v>
      </c>
      <c r="AZ1122" s="9">
        <f>VLOOKUP(A1122,Jogos!A:BN,58,0)</f>
        <v>37.37</v>
      </c>
      <c r="BA1122" s="9">
        <f>VLOOKUP(A1122,Jogos!A:BN,59,0)</f>
        <v>19.55</v>
      </c>
      <c r="BB1122" s="9">
        <f>VLOOKUP(A1122,Jogos!A:BN,60,0)</f>
        <v>34.5</v>
      </c>
      <c r="BC1122" s="9">
        <f>VLOOKUP(A1122,Jogos!A:BN,61,0)</f>
        <v>44.775</v>
      </c>
      <c r="BD1122" s="9">
        <f>VLOOKUP(A1122,Jogos!A:BN,62,0)</f>
        <v>622.1</v>
      </c>
      <c r="BE1122" s="9">
        <f>VLOOKUP(A1122,Jogos!A:BN,63,0)</f>
        <v>1.695</v>
      </c>
      <c r="BF1122" s="9">
        <f>VLOOKUP(A1122,Jogos!A:BN,64,0)</f>
        <v>26.625</v>
      </c>
      <c r="BG1122" s="9">
        <f>VLOOKUP(A1122,Jogos!A:BN,65,0)</f>
        <v>52.59</v>
      </c>
      <c r="BH1122" s="9">
        <f>VLOOKUP(A1122,Jogos!A:BN,66,0)</f>
        <v>32.895</v>
      </c>
      <c r="BI1122" s="9"/>
      <c r="BJ1122" s="9"/>
    </row>
    <row r="1123" hidden="1">
      <c r="A1123" s="10">
        <v>38.0</v>
      </c>
      <c r="B1123" s="11" t="s">
        <v>121</v>
      </c>
      <c r="C1123" s="2" t="s">
        <v>61</v>
      </c>
      <c r="D1123" s="12">
        <v>45832.0</v>
      </c>
      <c r="E1123" s="13">
        <v>0.625</v>
      </c>
      <c r="F1123" s="5" t="str">
        <f>VLOOKUP(A1123,Jogos!A:N,10,0)</f>
        <v>Afternoon</v>
      </c>
      <c r="G1123" s="11" t="s">
        <v>1200</v>
      </c>
      <c r="H1123" s="6" t="str">
        <f>VLOOKUP(A1123,Jogos!A:L,12,0)</f>
        <v>Open</v>
      </c>
      <c r="I1123" s="6" t="str">
        <f>VLOOKUP(G1123,'Estádios e Cidades'!A:B,2,0)</f>
        <v>Charlotte</v>
      </c>
      <c r="J1123" s="15" t="s">
        <v>123</v>
      </c>
      <c r="K1123" s="2" t="str">
        <f>VLOOKUP(J1123,Equipes!A:F,6,0)</f>
        <v>Temperate</v>
      </c>
      <c r="L1123" s="2">
        <f>VLOOKUP(J1123,Equipes!A:C,3,0)</f>
        <v>6</v>
      </c>
      <c r="M1123" s="2" t="str">
        <f t="shared" si="4"/>
        <v>Quarter-final</v>
      </c>
      <c r="N1123" s="11" t="s">
        <v>441</v>
      </c>
      <c r="O1123" s="2">
        <f>VLOOKUP(N1123,Equipes!A:C,3,0)</f>
        <v>10</v>
      </c>
      <c r="P1123" s="2" t="str">
        <f t="shared" si="5"/>
        <v>Round of 16</v>
      </c>
      <c r="Q1123" s="2">
        <f t="shared" si="6"/>
        <v>-4</v>
      </c>
      <c r="R1123" s="2" t="str">
        <f>VLOOKUP(J1123,Equipes!A:B,2,0)</f>
        <v>Bayern</v>
      </c>
      <c r="S1123" s="6" t="s">
        <v>137</v>
      </c>
      <c r="T1123" s="7">
        <v>23.0</v>
      </c>
      <c r="U1123" s="7" t="s">
        <v>138</v>
      </c>
      <c r="V1123" s="7" t="str">
        <f>VLOOKUP(U1123,Jogadores!B:C,2,0)</f>
        <v>DF</v>
      </c>
      <c r="W1123" s="8">
        <f>VLOOKUP(U1123,Jogadores!B:D,3,0)</f>
        <v>24.88767123</v>
      </c>
      <c r="X1123" s="7">
        <v>0.0</v>
      </c>
      <c r="Y1123" s="7">
        <v>62.0</v>
      </c>
      <c r="Z1123" s="7">
        <f>VLOOKUP(A1123,Jogos!A:L,3,0)</f>
        <v>49</v>
      </c>
      <c r="AA1123" s="7">
        <f t="shared" si="2229"/>
        <v>49</v>
      </c>
      <c r="AB1123" s="7">
        <f>VLOOKUP(A1123,Jogos!A:L,4,0)</f>
        <v>53</v>
      </c>
      <c r="AC1123" s="7">
        <f t="shared" si="2230"/>
        <v>17</v>
      </c>
      <c r="AD1123" s="7"/>
      <c r="AE1123" s="7"/>
      <c r="AF1123" s="7">
        <f t="shared" si="2231"/>
        <v>66</v>
      </c>
      <c r="AG1123" s="7">
        <v>6630.4</v>
      </c>
      <c r="AH1123" s="7">
        <v>2517.0</v>
      </c>
      <c r="AI1123" s="7">
        <v>2830.0</v>
      </c>
      <c r="AJ1123" s="7">
        <v>729.7</v>
      </c>
      <c r="AK1123" s="7">
        <v>418.0</v>
      </c>
      <c r="AL1123" s="7">
        <v>135.7</v>
      </c>
      <c r="AM1123" s="7">
        <v>68.0</v>
      </c>
      <c r="AN1123" s="7">
        <v>34.0</v>
      </c>
      <c r="AO1123" s="7">
        <v>32.6</v>
      </c>
      <c r="AP1123" s="9">
        <f t="shared" ref="AP1123:AR1123" si="3506">AG1123/$AF1123</f>
        <v>100.4606061</v>
      </c>
      <c r="AQ1123" s="9">
        <f t="shared" si="3506"/>
        <v>38.13636364</v>
      </c>
      <c r="AR1123" s="9">
        <f t="shared" si="3506"/>
        <v>42.87878788</v>
      </c>
      <c r="AS1123" s="9">
        <f t="shared" si="2233"/>
        <v>81.01515152</v>
      </c>
      <c r="AT1123" s="9">
        <f t="shared" ref="AT1123:AV1123" si="3507">AJ1123/$AF1123</f>
        <v>11.05606061</v>
      </c>
      <c r="AU1123" s="9">
        <f t="shared" si="3507"/>
        <v>6.333333333</v>
      </c>
      <c r="AV1123" s="9">
        <f t="shared" si="3507"/>
        <v>2.056060606</v>
      </c>
      <c r="AW1123" s="9">
        <f t="shared" si="2235"/>
        <v>8.389393939</v>
      </c>
      <c r="AX1123" s="9">
        <f t="shared" ref="AX1123:AY1123" si="3508">AM1123/$AF1123</f>
        <v>1.03030303</v>
      </c>
      <c r="AY1123" s="9">
        <f t="shared" si="3508"/>
        <v>0.5151515152</v>
      </c>
      <c r="AZ1123" s="9">
        <f>VLOOKUP(A1123,Jogos!A:BN,58,0)</f>
        <v>37.37</v>
      </c>
      <c r="BA1123" s="9">
        <f>VLOOKUP(A1123,Jogos!A:BN,59,0)</f>
        <v>19.55</v>
      </c>
      <c r="BB1123" s="9">
        <f>VLOOKUP(A1123,Jogos!A:BN,60,0)</f>
        <v>34.5</v>
      </c>
      <c r="BC1123" s="9">
        <f>VLOOKUP(A1123,Jogos!A:BN,61,0)</f>
        <v>44.775</v>
      </c>
      <c r="BD1123" s="9">
        <f>VLOOKUP(A1123,Jogos!A:BN,62,0)</f>
        <v>622.1</v>
      </c>
      <c r="BE1123" s="9">
        <f>VLOOKUP(A1123,Jogos!A:BN,63,0)</f>
        <v>1.695</v>
      </c>
      <c r="BF1123" s="9">
        <f>VLOOKUP(A1123,Jogos!A:BN,64,0)</f>
        <v>26.625</v>
      </c>
      <c r="BG1123" s="9">
        <f>VLOOKUP(A1123,Jogos!A:BN,65,0)</f>
        <v>52.59</v>
      </c>
      <c r="BH1123" s="9">
        <f>VLOOKUP(A1123,Jogos!A:BN,66,0)</f>
        <v>32.895</v>
      </c>
      <c r="BI1123" s="9"/>
      <c r="BJ1123" s="9"/>
    </row>
    <row r="1124" hidden="1">
      <c r="A1124" s="10">
        <v>38.0</v>
      </c>
      <c r="B1124" s="11" t="s">
        <v>121</v>
      </c>
      <c r="C1124" s="2" t="s">
        <v>61</v>
      </c>
      <c r="D1124" s="12">
        <v>45832.0</v>
      </c>
      <c r="E1124" s="13">
        <v>0.625</v>
      </c>
      <c r="F1124" s="5" t="str">
        <f>VLOOKUP(A1124,Jogos!A:N,10,0)</f>
        <v>Afternoon</v>
      </c>
      <c r="G1124" s="11" t="s">
        <v>1200</v>
      </c>
      <c r="H1124" s="6" t="str">
        <f>VLOOKUP(A1124,Jogos!A:L,12,0)</f>
        <v>Open</v>
      </c>
      <c r="I1124" s="6" t="str">
        <f>VLOOKUP(G1124,'Estádios e Cidades'!A:B,2,0)</f>
        <v>Charlotte</v>
      </c>
      <c r="J1124" s="15" t="s">
        <v>123</v>
      </c>
      <c r="K1124" s="2" t="str">
        <f>VLOOKUP(J1124,Equipes!A:F,6,0)</f>
        <v>Temperate</v>
      </c>
      <c r="L1124" s="2">
        <f>VLOOKUP(J1124,Equipes!A:C,3,0)</f>
        <v>6</v>
      </c>
      <c r="M1124" s="2" t="str">
        <f t="shared" si="4"/>
        <v>Quarter-final</v>
      </c>
      <c r="N1124" s="11" t="s">
        <v>441</v>
      </c>
      <c r="O1124" s="2">
        <f>VLOOKUP(N1124,Equipes!A:C,3,0)</f>
        <v>10</v>
      </c>
      <c r="P1124" s="2" t="str">
        <f t="shared" si="5"/>
        <v>Round of 16</v>
      </c>
      <c r="Q1124" s="2">
        <f t="shared" si="6"/>
        <v>-4</v>
      </c>
      <c r="R1124" s="2" t="str">
        <f>VLOOKUP(J1124,Equipes!A:B,2,0)</f>
        <v>Bayern</v>
      </c>
      <c r="S1124" s="6" t="s">
        <v>139</v>
      </c>
      <c r="T1124" s="7">
        <v>25.0</v>
      </c>
      <c r="U1124" s="7" t="s">
        <v>140</v>
      </c>
      <c r="V1124" s="7" t="str">
        <f>VLOOKUP(U1124,Jogadores!B:C,2,0)</f>
        <v>FW</v>
      </c>
      <c r="W1124" s="8">
        <f>VLOOKUP(U1124,Jogadores!B:D,3,0)</f>
        <v>35.89589041</v>
      </c>
      <c r="X1124" s="7">
        <v>0.0</v>
      </c>
      <c r="Y1124" s="7">
        <f t="shared" ref="Y1124:Y1132" si="3512">45+AB1124</f>
        <v>98</v>
      </c>
      <c r="Z1124" s="7">
        <f>VLOOKUP(A1124,Jogos!A:L,3,0)</f>
        <v>49</v>
      </c>
      <c r="AA1124" s="7">
        <f t="shared" si="2229"/>
        <v>49</v>
      </c>
      <c r="AB1124" s="7">
        <f>VLOOKUP(A1124,Jogos!A:L,4,0)</f>
        <v>53</v>
      </c>
      <c r="AC1124" s="7">
        <f t="shared" si="2230"/>
        <v>53</v>
      </c>
      <c r="AD1124" s="7"/>
      <c r="AE1124" s="7"/>
      <c r="AF1124" s="7">
        <f t="shared" si="2231"/>
        <v>102</v>
      </c>
      <c r="AG1124" s="7">
        <v>10626.4</v>
      </c>
      <c r="AH1124" s="7">
        <v>4370.9</v>
      </c>
      <c r="AI1124" s="7">
        <v>4258.3</v>
      </c>
      <c r="AJ1124" s="7">
        <v>1234.6</v>
      </c>
      <c r="AK1124" s="7">
        <v>707.6</v>
      </c>
      <c r="AL1124" s="7">
        <v>54.9</v>
      </c>
      <c r="AM1124" s="7">
        <v>109.0</v>
      </c>
      <c r="AN1124" s="7">
        <v>50.0</v>
      </c>
      <c r="AO1124" s="7">
        <v>28.1</v>
      </c>
      <c r="AP1124" s="9">
        <f t="shared" ref="AP1124:AR1124" si="3509">AG1124/$AF1124</f>
        <v>104.1803922</v>
      </c>
      <c r="AQ1124" s="9">
        <f t="shared" si="3509"/>
        <v>42.85196078</v>
      </c>
      <c r="AR1124" s="9">
        <f t="shared" si="3509"/>
        <v>41.74803922</v>
      </c>
      <c r="AS1124" s="9">
        <f t="shared" si="2233"/>
        <v>84.6</v>
      </c>
      <c r="AT1124" s="9">
        <f t="shared" ref="AT1124:AV1124" si="3510">AJ1124/$AF1124</f>
        <v>12.10392157</v>
      </c>
      <c r="AU1124" s="9">
        <f t="shared" si="3510"/>
        <v>6.937254902</v>
      </c>
      <c r="AV1124" s="9">
        <f t="shared" si="3510"/>
        <v>0.5382352941</v>
      </c>
      <c r="AW1124" s="9">
        <f t="shared" si="2235"/>
        <v>7.475490196</v>
      </c>
      <c r="AX1124" s="9">
        <f t="shared" ref="AX1124:AY1124" si="3511">AM1124/$AF1124</f>
        <v>1.068627451</v>
      </c>
      <c r="AY1124" s="9">
        <f t="shared" si="3511"/>
        <v>0.4901960784</v>
      </c>
      <c r="AZ1124" s="9">
        <f>VLOOKUP(A1124,Jogos!A:BN,58,0)</f>
        <v>37.37</v>
      </c>
      <c r="BA1124" s="9">
        <f>VLOOKUP(A1124,Jogos!A:BN,59,0)</f>
        <v>19.55</v>
      </c>
      <c r="BB1124" s="9">
        <f>VLOOKUP(A1124,Jogos!A:BN,60,0)</f>
        <v>34.5</v>
      </c>
      <c r="BC1124" s="9">
        <f>VLOOKUP(A1124,Jogos!A:BN,61,0)</f>
        <v>44.775</v>
      </c>
      <c r="BD1124" s="9">
        <f>VLOOKUP(A1124,Jogos!A:BN,62,0)</f>
        <v>622.1</v>
      </c>
      <c r="BE1124" s="9">
        <f>VLOOKUP(A1124,Jogos!A:BN,63,0)</f>
        <v>1.695</v>
      </c>
      <c r="BF1124" s="9">
        <f>VLOOKUP(A1124,Jogos!A:BN,64,0)</f>
        <v>26.625</v>
      </c>
      <c r="BG1124" s="9">
        <f>VLOOKUP(A1124,Jogos!A:BN,65,0)</f>
        <v>52.59</v>
      </c>
      <c r="BH1124" s="9">
        <f>VLOOKUP(A1124,Jogos!A:BN,66,0)</f>
        <v>32.895</v>
      </c>
      <c r="BI1124" s="9"/>
      <c r="BJ1124" s="9"/>
    </row>
    <row r="1125" hidden="1">
      <c r="A1125" s="10">
        <v>38.0</v>
      </c>
      <c r="B1125" s="11" t="s">
        <v>121</v>
      </c>
      <c r="C1125" s="2" t="s">
        <v>61</v>
      </c>
      <c r="D1125" s="12">
        <v>45832.0</v>
      </c>
      <c r="E1125" s="13">
        <v>0.625</v>
      </c>
      <c r="F1125" s="5" t="str">
        <f>VLOOKUP(A1125,Jogos!A:N,10,0)</f>
        <v>Afternoon</v>
      </c>
      <c r="G1125" s="11" t="s">
        <v>1200</v>
      </c>
      <c r="H1125" s="6" t="str">
        <f>VLOOKUP(A1125,Jogos!A:L,12,0)</f>
        <v>Open</v>
      </c>
      <c r="I1125" s="6" t="str">
        <f>VLOOKUP(G1125,'Estádios e Cidades'!A:B,2,0)</f>
        <v>Charlotte</v>
      </c>
      <c r="J1125" s="15" t="s">
        <v>123</v>
      </c>
      <c r="K1125" s="2" t="str">
        <f>VLOOKUP(J1125,Equipes!A:F,6,0)</f>
        <v>Temperate</v>
      </c>
      <c r="L1125" s="2">
        <f>VLOOKUP(J1125,Equipes!A:C,3,0)</f>
        <v>6</v>
      </c>
      <c r="M1125" s="2" t="str">
        <f t="shared" si="4"/>
        <v>Quarter-final</v>
      </c>
      <c r="N1125" s="11" t="s">
        <v>441</v>
      </c>
      <c r="O1125" s="2">
        <f>VLOOKUP(N1125,Equipes!A:C,3,0)</f>
        <v>10</v>
      </c>
      <c r="P1125" s="2" t="str">
        <f t="shared" si="5"/>
        <v>Round of 16</v>
      </c>
      <c r="Q1125" s="2">
        <f t="shared" si="6"/>
        <v>-4</v>
      </c>
      <c r="R1125" s="2" t="str">
        <f>VLOOKUP(J1125,Equipes!A:B,2,0)</f>
        <v>Bayern</v>
      </c>
      <c r="S1125" s="6" t="s">
        <v>141</v>
      </c>
      <c r="T1125" s="7">
        <v>44.0</v>
      </c>
      <c r="U1125" s="7" t="s">
        <v>142</v>
      </c>
      <c r="V1125" s="7" t="str">
        <f>VLOOKUP(U1125,Jogadores!B:C,2,0)</f>
        <v>DF</v>
      </c>
      <c r="W1125" s="8">
        <f>VLOOKUP(U1125,Jogadores!B:D,3,0)</f>
        <v>25.3369863</v>
      </c>
      <c r="X1125" s="7">
        <v>0.0</v>
      </c>
      <c r="Y1125" s="7">
        <f t="shared" si="3512"/>
        <v>98</v>
      </c>
      <c r="Z1125" s="7">
        <f>VLOOKUP(A1125,Jogos!A:L,3,0)</f>
        <v>49</v>
      </c>
      <c r="AA1125" s="7">
        <f t="shared" si="2229"/>
        <v>49</v>
      </c>
      <c r="AB1125" s="7">
        <f>VLOOKUP(A1125,Jogos!A:L,4,0)</f>
        <v>53</v>
      </c>
      <c r="AC1125" s="7">
        <f t="shared" si="2230"/>
        <v>53</v>
      </c>
      <c r="AD1125" s="7"/>
      <c r="AE1125" s="7"/>
      <c r="AF1125" s="7">
        <f t="shared" si="2231"/>
        <v>102</v>
      </c>
      <c r="AG1125" s="7">
        <v>9118.0</v>
      </c>
      <c r="AH1125" s="7">
        <v>4109.0</v>
      </c>
      <c r="AI1125" s="7">
        <v>3489.9</v>
      </c>
      <c r="AJ1125" s="7">
        <v>870.8</v>
      </c>
      <c r="AK1125" s="7">
        <v>395.6</v>
      </c>
      <c r="AL1125" s="7">
        <v>252.8</v>
      </c>
      <c r="AM1125" s="7">
        <v>76.0</v>
      </c>
      <c r="AN1125" s="7">
        <v>38.0</v>
      </c>
      <c r="AO1125" s="7">
        <v>34.5</v>
      </c>
      <c r="AP1125" s="9">
        <f t="shared" ref="AP1125:AR1125" si="3513">AG1125/$AF1125</f>
        <v>89.39215686</v>
      </c>
      <c r="AQ1125" s="9">
        <f t="shared" si="3513"/>
        <v>40.28431373</v>
      </c>
      <c r="AR1125" s="9">
        <f t="shared" si="3513"/>
        <v>34.21470588</v>
      </c>
      <c r="AS1125" s="9">
        <f t="shared" si="2233"/>
        <v>74.49901961</v>
      </c>
      <c r="AT1125" s="9">
        <f t="shared" ref="AT1125:AV1125" si="3514">AJ1125/$AF1125</f>
        <v>8.537254902</v>
      </c>
      <c r="AU1125" s="9">
        <f t="shared" si="3514"/>
        <v>3.878431373</v>
      </c>
      <c r="AV1125" s="9">
        <f t="shared" si="3514"/>
        <v>2.478431373</v>
      </c>
      <c r="AW1125" s="9">
        <f t="shared" si="2235"/>
        <v>6.356862745</v>
      </c>
      <c r="AX1125" s="9">
        <f t="shared" ref="AX1125:AY1125" si="3515">AM1125/$AF1125</f>
        <v>0.7450980392</v>
      </c>
      <c r="AY1125" s="9">
        <f t="shared" si="3515"/>
        <v>0.3725490196</v>
      </c>
      <c r="AZ1125" s="9">
        <f>VLOOKUP(A1125,Jogos!A:BN,58,0)</f>
        <v>37.37</v>
      </c>
      <c r="BA1125" s="9">
        <f>VLOOKUP(A1125,Jogos!A:BN,59,0)</f>
        <v>19.55</v>
      </c>
      <c r="BB1125" s="9">
        <f>VLOOKUP(A1125,Jogos!A:BN,60,0)</f>
        <v>34.5</v>
      </c>
      <c r="BC1125" s="9">
        <f>VLOOKUP(A1125,Jogos!A:BN,61,0)</f>
        <v>44.775</v>
      </c>
      <c r="BD1125" s="9">
        <f>VLOOKUP(A1125,Jogos!A:BN,62,0)</f>
        <v>622.1</v>
      </c>
      <c r="BE1125" s="9">
        <f>VLOOKUP(A1125,Jogos!A:BN,63,0)</f>
        <v>1.695</v>
      </c>
      <c r="BF1125" s="9">
        <f>VLOOKUP(A1125,Jogos!A:BN,64,0)</f>
        <v>26.625</v>
      </c>
      <c r="BG1125" s="9">
        <f>VLOOKUP(A1125,Jogos!A:BN,65,0)</f>
        <v>52.59</v>
      </c>
      <c r="BH1125" s="9">
        <f>VLOOKUP(A1125,Jogos!A:BN,66,0)</f>
        <v>32.895</v>
      </c>
      <c r="BI1125" s="9"/>
      <c r="BJ1125" s="9"/>
    </row>
    <row r="1126" hidden="1">
      <c r="A1126" s="10">
        <v>38.0</v>
      </c>
      <c r="B1126" s="11" t="s">
        <v>121</v>
      </c>
      <c r="C1126" s="2" t="s">
        <v>61</v>
      </c>
      <c r="D1126" s="12">
        <v>45832.0</v>
      </c>
      <c r="E1126" s="13">
        <v>0.625</v>
      </c>
      <c r="F1126" s="5" t="str">
        <f>VLOOKUP(A1126,Jogos!A:N,10,0)</f>
        <v>Afternoon</v>
      </c>
      <c r="G1126" s="11" t="s">
        <v>1200</v>
      </c>
      <c r="H1126" s="6" t="str">
        <f>VLOOKUP(A1126,Jogos!A:L,12,0)</f>
        <v>Open</v>
      </c>
      <c r="I1126" s="6" t="str">
        <f>VLOOKUP(G1126,'Estádios e Cidades'!A:B,2,0)</f>
        <v>Charlotte</v>
      </c>
      <c r="J1126" s="15" t="s">
        <v>123</v>
      </c>
      <c r="K1126" s="2" t="str">
        <f>VLOOKUP(J1126,Equipes!A:F,6,0)</f>
        <v>Temperate</v>
      </c>
      <c r="L1126" s="2">
        <f>VLOOKUP(J1126,Equipes!A:C,3,0)</f>
        <v>6</v>
      </c>
      <c r="M1126" s="2" t="str">
        <f t="shared" si="4"/>
        <v>Quarter-final</v>
      </c>
      <c r="N1126" s="11" t="s">
        <v>441</v>
      </c>
      <c r="O1126" s="2">
        <f>VLOOKUP(N1126,Equipes!A:C,3,0)</f>
        <v>10</v>
      </c>
      <c r="P1126" s="2" t="str">
        <f t="shared" si="5"/>
        <v>Round of 16</v>
      </c>
      <c r="Q1126" s="2">
        <f t="shared" si="6"/>
        <v>-4</v>
      </c>
      <c r="R1126" s="2" t="str">
        <f>VLOOKUP(J1126,Equipes!A:B,2,0)</f>
        <v>Bayern</v>
      </c>
      <c r="S1126" s="6" t="s">
        <v>143</v>
      </c>
      <c r="T1126" s="7">
        <v>45.0</v>
      </c>
      <c r="U1126" s="7" t="s">
        <v>144</v>
      </c>
      <c r="V1126" s="7" t="str">
        <f>VLOOKUP(U1126,Jogadores!B:C,2,0)</f>
        <v>MF</v>
      </c>
      <c r="W1126" s="8">
        <f>VLOOKUP(U1126,Jogadores!B:D,3,0)</f>
        <v>21.24931507</v>
      </c>
      <c r="X1126" s="7">
        <v>0.0</v>
      </c>
      <c r="Y1126" s="7">
        <f t="shared" si="3512"/>
        <v>98</v>
      </c>
      <c r="Z1126" s="7">
        <f>VLOOKUP(A1126,Jogos!A:L,3,0)</f>
        <v>49</v>
      </c>
      <c r="AA1126" s="7">
        <f t="shared" si="2229"/>
        <v>49</v>
      </c>
      <c r="AB1126" s="7">
        <f>VLOOKUP(A1126,Jogos!A:L,4,0)</f>
        <v>53</v>
      </c>
      <c r="AC1126" s="7">
        <f t="shared" si="2230"/>
        <v>53</v>
      </c>
      <c r="AD1126" s="7"/>
      <c r="AE1126" s="7"/>
      <c r="AF1126" s="7">
        <f t="shared" si="2231"/>
        <v>102</v>
      </c>
      <c r="AG1126" s="7">
        <v>12258.3</v>
      </c>
      <c r="AH1126" s="7">
        <v>3440.0</v>
      </c>
      <c r="AI1126" s="7">
        <v>5752.0</v>
      </c>
      <c r="AJ1126" s="7">
        <v>2248.0</v>
      </c>
      <c r="AK1126" s="7">
        <v>673.3</v>
      </c>
      <c r="AL1126" s="7">
        <v>145.1</v>
      </c>
      <c r="AM1126" s="7">
        <v>195.0</v>
      </c>
      <c r="AN1126" s="7">
        <v>46.0</v>
      </c>
      <c r="AO1126" s="7">
        <v>28.8</v>
      </c>
      <c r="AP1126" s="9">
        <f t="shared" ref="AP1126:AR1126" si="3516">AG1126/$AF1126</f>
        <v>120.1794118</v>
      </c>
      <c r="AQ1126" s="9">
        <f t="shared" si="3516"/>
        <v>33.7254902</v>
      </c>
      <c r="AR1126" s="9">
        <f t="shared" si="3516"/>
        <v>56.39215686</v>
      </c>
      <c r="AS1126" s="9">
        <f t="shared" si="2233"/>
        <v>90.11764706</v>
      </c>
      <c r="AT1126" s="9">
        <f t="shared" ref="AT1126:AV1126" si="3517">AJ1126/$AF1126</f>
        <v>22.03921569</v>
      </c>
      <c r="AU1126" s="9">
        <f t="shared" si="3517"/>
        <v>6.600980392</v>
      </c>
      <c r="AV1126" s="9">
        <f t="shared" si="3517"/>
        <v>1.42254902</v>
      </c>
      <c r="AW1126" s="9">
        <f t="shared" si="2235"/>
        <v>8.023529412</v>
      </c>
      <c r="AX1126" s="9">
        <f t="shared" ref="AX1126:AY1126" si="3518">AM1126/$AF1126</f>
        <v>1.911764706</v>
      </c>
      <c r="AY1126" s="9">
        <f t="shared" si="3518"/>
        <v>0.4509803922</v>
      </c>
      <c r="AZ1126" s="9">
        <f>VLOOKUP(A1126,Jogos!A:BN,58,0)</f>
        <v>37.37</v>
      </c>
      <c r="BA1126" s="9">
        <f>VLOOKUP(A1126,Jogos!A:BN,59,0)</f>
        <v>19.55</v>
      </c>
      <c r="BB1126" s="9">
        <f>VLOOKUP(A1126,Jogos!A:BN,60,0)</f>
        <v>34.5</v>
      </c>
      <c r="BC1126" s="9">
        <f>VLOOKUP(A1126,Jogos!A:BN,61,0)</f>
        <v>44.775</v>
      </c>
      <c r="BD1126" s="9">
        <f>VLOOKUP(A1126,Jogos!A:BN,62,0)</f>
        <v>622.1</v>
      </c>
      <c r="BE1126" s="9">
        <f>VLOOKUP(A1126,Jogos!A:BN,63,0)</f>
        <v>1.695</v>
      </c>
      <c r="BF1126" s="9">
        <f>VLOOKUP(A1126,Jogos!A:BN,64,0)</f>
        <v>26.625</v>
      </c>
      <c r="BG1126" s="9">
        <f>VLOOKUP(A1126,Jogos!A:BN,65,0)</f>
        <v>52.59</v>
      </c>
      <c r="BH1126" s="9">
        <f>VLOOKUP(A1126,Jogos!A:BN,66,0)</f>
        <v>32.895</v>
      </c>
      <c r="BI1126" s="9"/>
      <c r="BJ1126" s="9"/>
    </row>
    <row r="1127" hidden="1">
      <c r="A1127" s="10">
        <v>38.0</v>
      </c>
      <c r="B1127" s="11" t="s">
        <v>121</v>
      </c>
      <c r="C1127" s="2" t="s">
        <v>61</v>
      </c>
      <c r="D1127" s="12">
        <v>45832.0</v>
      </c>
      <c r="E1127" s="13">
        <v>0.625</v>
      </c>
      <c r="F1127" s="5" t="str">
        <f>VLOOKUP(A1127,Jogos!A:N,10,0)</f>
        <v>Afternoon</v>
      </c>
      <c r="G1127" s="11" t="s">
        <v>1200</v>
      </c>
      <c r="H1127" s="6" t="str">
        <f>VLOOKUP(A1127,Jogos!A:L,12,0)</f>
        <v>Open</v>
      </c>
      <c r="I1127" s="6" t="str">
        <f>VLOOKUP(G1127,'Estádios e Cidades'!A:B,2,0)</f>
        <v>Charlotte</v>
      </c>
      <c r="J1127" s="15" t="s">
        <v>123</v>
      </c>
      <c r="K1127" s="2" t="str">
        <f>VLOOKUP(J1127,Equipes!A:F,6,0)</f>
        <v>Temperate</v>
      </c>
      <c r="L1127" s="2">
        <f>VLOOKUP(J1127,Equipes!A:C,3,0)</f>
        <v>6</v>
      </c>
      <c r="M1127" s="2" t="str">
        <f t="shared" si="4"/>
        <v>Quarter-final</v>
      </c>
      <c r="N1127" s="11" t="s">
        <v>441</v>
      </c>
      <c r="O1127" s="2">
        <f>VLOOKUP(N1127,Equipes!A:C,3,0)</f>
        <v>10</v>
      </c>
      <c r="P1127" s="2" t="str">
        <f t="shared" si="5"/>
        <v>Round of 16</v>
      </c>
      <c r="Q1127" s="2">
        <f t="shared" si="6"/>
        <v>-4</v>
      </c>
      <c r="R1127" s="2" t="str">
        <f>VLOOKUP(J1127,Equipes!A:B,2,0)</f>
        <v>Bayern</v>
      </c>
      <c r="S1127" s="6" t="s">
        <v>125</v>
      </c>
      <c r="T1127" s="7">
        <v>4.0</v>
      </c>
      <c r="U1127" s="7" t="s">
        <v>126</v>
      </c>
      <c r="V1127" s="7" t="str">
        <f>VLOOKUP(U1127,Jogadores!B:C,2,0)</f>
        <v>DF</v>
      </c>
      <c r="W1127" s="8">
        <f>VLOOKUP(U1127,Jogadores!B:D,3,0)</f>
        <v>29.47945205</v>
      </c>
      <c r="X1127" s="7">
        <v>58.0</v>
      </c>
      <c r="Y1127" s="7">
        <f t="shared" si="3512"/>
        <v>98</v>
      </c>
      <c r="Z1127" s="7">
        <f>VLOOKUP(A1127,Jogos!A:L,3,0)</f>
        <v>49</v>
      </c>
      <c r="AA1127" s="7">
        <f t="shared" si="2229"/>
        <v>0</v>
      </c>
      <c r="AB1127" s="7">
        <f>VLOOKUP(A1127,Jogos!A:L,4,0)</f>
        <v>53</v>
      </c>
      <c r="AC1127" s="7">
        <f t="shared" si="2230"/>
        <v>40</v>
      </c>
      <c r="AD1127" s="7"/>
      <c r="AE1127" s="7"/>
      <c r="AF1127" s="7">
        <f t="shared" si="2231"/>
        <v>40</v>
      </c>
      <c r="AG1127" s="7">
        <v>4119.6</v>
      </c>
      <c r="AH1127" s="7">
        <v>1605.9</v>
      </c>
      <c r="AI1127" s="7">
        <v>1786.6</v>
      </c>
      <c r="AJ1127" s="7">
        <v>371.3</v>
      </c>
      <c r="AK1127" s="7">
        <v>255.6</v>
      </c>
      <c r="AL1127" s="7">
        <v>100.1</v>
      </c>
      <c r="AM1127" s="7">
        <v>28.0</v>
      </c>
      <c r="AN1127" s="7">
        <v>15.0</v>
      </c>
      <c r="AO1127" s="7">
        <v>30.8</v>
      </c>
      <c r="AP1127" s="9">
        <f t="shared" ref="AP1127:AR1127" si="3519">AG1127/$AF1127</f>
        <v>102.99</v>
      </c>
      <c r="AQ1127" s="9">
        <f t="shared" si="3519"/>
        <v>40.1475</v>
      </c>
      <c r="AR1127" s="9">
        <f t="shared" si="3519"/>
        <v>44.665</v>
      </c>
      <c r="AS1127" s="9">
        <f t="shared" si="2233"/>
        <v>84.8125</v>
      </c>
      <c r="AT1127" s="9">
        <f t="shared" ref="AT1127:AV1127" si="3520">AJ1127/$AF1127</f>
        <v>9.2825</v>
      </c>
      <c r="AU1127" s="9">
        <f t="shared" si="3520"/>
        <v>6.39</v>
      </c>
      <c r="AV1127" s="9">
        <f t="shared" si="3520"/>
        <v>2.5025</v>
      </c>
      <c r="AW1127" s="9">
        <f t="shared" si="2235"/>
        <v>8.8925</v>
      </c>
      <c r="AX1127" s="9">
        <f t="shared" ref="AX1127:AY1127" si="3521">AM1127/$AF1127</f>
        <v>0.7</v>
      </c>
      <c r="AY1127" s="9">
        <f t="shared" si="3521"/>
        <v>0.375</v>
      </c>
      <c r="AZ1127" s="9">
        <f>VLOOKUP(A1127,Jogos!A:BN,58,0)</f>
        <v>37.37</v>
      </c>
      <c r="BA1127" s="9">
        <f>VLOOKUP(A1127,Jogos!A:BN,59,0)</f>
        <v>19.55</v>
      </c>
      <c r="BB1127" s="9">
        <f>VLOOKUP(A1127,Jogos!A:BN,60,0)</f>
        <v>34.5</v>
      </c>
      <c r="BC1127" s="9">
        <f>VLOOKUP(A1127,Jogos!A:BN,61,0)</f>
        <v>44.775</v>
      </c>
      <c r="BD1127" s="9">
        <f>VLOOKUP(A1127,Jogos!A:BN,62,0)</f>
        <v>622.1</v>
      </c>
      <c r="BE1127" s="9">
        <f>VLOOKUP(A1127,Jogos!A:BN,63,0)</f>
        <v>1.695</v>
      </c>
      <c r="BF1127" s="9">
        <f>VLOOKUP(A1127,Jogos!A:BN,64,0)</f>
        <v>26.625</v>
      </c>
      <c r="BG1127" s="9">
        <f>VLOOKUP(A1127,Jogos!A:BN,65,0)</f>
        <v>52.59</v>
      </c>
      <c r="BH1127" s="9">
        <f>VLOOKUP(A1127,Jogos!A:BN,66,0)</f>
        <v>32.895</v>
      </c>
      <c r="BI1127" s="9"/>
      <c r="BJ1127" s="9"/>
    </row>
    <row r="1128" hidden="1">
      <c r="A1128" s="10">
        <v>38.0</v>
      </c>
      <c r="B1128" s="11" t="s">
        <v>121</v>
      </c>
      <c r="C1128" s="2" t="s">
        <v>61</v>
      </c>
      <c r="D1128" s="12">
        <v>45832.0</v>
      </c>
      <c r="E1128" s="13">
        <v>0.625</v>
      </c>
      <c r="F1128" s="5" t="str">
        <f>VLOOKUP(A1128,Jogos!A:N,10,0)</f>
        <v>Afternoon</v>
      </c>
      <c r="G1128" s="11" t="s">
        <v>1200</v>
      </c>
      <c r="H1128" s="6" t="str">
        <f>VLOOKUP(A1128,Jogos!A:L,12,0)</f>
        <v>Open</v>
      </c>
      <c r="I1128" s="6" t="str">
        <f>VLOOKUP(G1128,'Estádios e Cidades'!A:B,2,0)</f>
        <v>Charlotte</v>
      </c>
      <c r="J1128" s="15" t="s">
        <v>123</v>
      </c>
      <c r="K1128" s="2" t="str">
        <f>VLOOKUP(J1128,Equipes!A:F,6,0)</f>
        <v>Temperate</v>
      </c>
      <c r="L1128" s="2">
        <f>VLOOKUP(J1128,Equipes!A:C,3,0)</f>
        <v>6</v>
      </c>
      <c r="M1128" s="2" t="str">
        <f t="shared" si="4"/>
        <v>Quarter-final</v>
      </c>
      <c r="N1128" s="11" t="s">
        <v>441</v>
      </c>
      <c r="O1128" s="2">
        <f>VLOOKUP(N1128,Equipes!A:C,3,0)</f>
        <v>10</v>
      </c>
      <c r="P1128" s="2" t="str">
        <f t="shared" si="5"/>
        <v>Round of 16</v>
      </c>
      <c r="Q1128" s="2">
        <f t="shared" si="6"/>
        <v>-4</v>
      </c>
      <c r="R1128" s="2" t="str">
        <f>VLOOKUP(J1128,Equipes!A:B,2,0)</f>
        <v>Bayern</v>
      </c>
      <c r="S1128" s="6" t="s">
        <v>127</v>
      </c>
      <c r="T1128" s="7">
        <v>6.0</v>
      </c>
      <c r="U1128" s="7" t="s">
        <v>128</v>
      </c>
      <c r="V1128" s="7" t="str">
        <f>VLOOKUP(U1128,Jogadores!B:C,2,0)</f>
        <v>MF</v>
      </c>
      <c r="W1128" s="8">
        <f>VLOOKUP(U1128,Jogadores!B:D,3,0)</f>
        <v>30.48767123</v>
      </c>
      <c r="X1128" s="7">
        <v>45.0</v>
      </c>
      <c r="Y1128" s="7">
        <f t="shared" si="3512"/>
        <v>98</v>
      </c>
      <c r="Z1128" s="7">
        <f>VLOOKUP(A1128,Jogos!A:L,3,0)</f>
        <v>49</v>
      </c>
      <c r="AA1128" s="7">
        <f t="shared" si="2229"/>
        <v>0</v>
      </c>
      <c r="AB1128" s="7">
        <f>VLOOKUP(A1128,Jogos!A:L,4,0)</f>
        <v>53</v>
      </c>
      <c r="AC1128" s="7">
        <f t="shared" si="2230"/>
        <v>53</v>
      </c>
      <c r="AD1128" s="7"/>
      <c r="AE1128" s="7"/>
      <c r="AF1128" s="7">
        <f t="shared" si="2231"/>
        <v>53</v>
      </c>
      <c r="AG1128" s="7">
        <v>5989.5</v>
      </c>
      <c r="AH1128" s="7">
        <v>1920.7</v>
      </c>
      <c r="AI1128" s="7">
        <v>2817.2</v>
      </c>
      <c r="AJ1128" s="7">
        <v>953.5</v>
      </c>
      <c r="AK1128" s="7">
        <v>228.2</v>
      </c>
      <c r="AL1128" s="7">
        <v>69.8</v>
      </c>
      <c r="AM1128" s="7">
        <v>76.0</v>
      </c>
      <c r="AN1128" s="7">
        <v>21.0</v>
      </c>
      <c r="AO1128" s="7">
        <v>31.4</v>
      </c>
      <c r="AP1128" s="9">
        <f t="shared" ref="AP1128:AR1128" si="3522">AG1128/$AF1128</f>
        <v>113.009434</v>
      </c>
      <c r="AQ1128" s="9">
        <f t="shared" si="3522"/>
        <v>36.23962264</v>
      </c>
      <c r="AR1128" s="9">
        <f t="shared" si="3522"/>
        <v>53.15471698</v>
      </c>
      <c r="AS1128" s="9">
        <f t="shared" si="2233"/>
        <v>89.39433962</v>
      </c>
      <c r="AT1128" s="9">
        <f t="shared" ref="AT1128:AV1128" si="3523">AJ1128/$AF1128</f>
        <v>17.99056604</v>
      </c>
      <c r="AU1128" s="9">
        <f t="shared" si="3523"/>
        <v>4.305660377</v>
      </c>
      <c r="AV1128" s="9">
        <f t="shared" si="3523"/>
        <v>1.316981132</v>
      </c>
      <c r="AW1128" s="9">
        <f t="shared" si="2235"/>
        <v>5.622641509</v>
      </c>
      <c r="AX1128" s="9">
        <f t="shared" ref="AX1128:AY1128" si="3524">AM1128/$AF1128</f>
        <v>1.433962264</v>
      </c>
      <c r="AY1128" s="9">
        <f t="shared" si="3524"/>
        <v>0.3962264151</v>
      </c>
      <c r="AZ1128" s="9">
        <f>VLOOKUP(A1128,Jogos!A:BN,58,0)</f>
        <v>37.37</v>
      </c>
      <c r="BA1128" s="9">
        <f>VLOOKUP(A1128,Jogos!A:BN,59,0)</f>
        <v>19.55</v>
      </c>
      <c r="BB1128" s="9">
        <f>VLOOKUP(A1128,Jogos!A:BN,60,0)</f>
        <v>34.5</v>
      </c>
      <c r="BC1128" s="9">
        <f>VLOOKUP(A1128,Jogos!A:BN,61,0)</f>
        <v>44.775</v>
      </c>
      <c r="BD1128" s="9">
        <f>VLOOKUP(A1128,Jogos!A:BN,62,0)</f>
        <v>622.1</v>
      </c>
      <c r="BE1128" s="9">
        <f>VLOOKUP(A1128,Jogos!A:BN,63,0)</f>
        <v>1.695</v>
      </c>
      <c r="BF1128" s="9">
        <f>VLOOKUP(A1128,Jogos!A:BN,64,0)</f>
        <v>26.625</v>
      </c>
      <c r="BG1128" s="9">
        <f>VLOOKUP(A1128,Jogos!A:BN,65,0)</f>
        <v>52.59</v>
      </c>
      <c r="BH1128" s="9">
        <f>VLOOKUP(A1128,Jogos!A:BN,66,0)</f>
        <v>32.895</v>
      </c>
      <c r="BI1128" s="9"/>
      <c r="BJ1128" s="9"/>
    </row>
    <row r="1129" hidden="1">
      <c r="A1129" s="10">
        <v>38.0</v>
      </c>
      <c r="B1129" s="11" t="s">
        <v>121</v>
      </c>
      <c r="C1129" s="2" t="s">
        <v>61</v>
      </c>
      <c r="D1129" s="12">
        <v>45832.0</v>
      </c>
      <c r="E1129" s="13">
        <v>0.625</v>
      </c>
      <c r="F1129" s="5" t="str">
        <f>VLOOKUP(A1129,Jogos!A:N,10,0)</f>
        <v>Afternoon</v>
      </c>
      <c r="G1129" s="11" t="s">
        <v>1200</v>
      </c>
      <c r="H1129" s="6" t="str">
        <f>VLOOKUP(A1129,Jogos!A:L,12,0)</f>
        <v>Open</v>
      </c>
      <c r="I1129" s="6" t="str">
        <f>VLOOKUP(G1129,'Estádios e Cidades'!A:B,2,0)</f>
        <v>Charlotte</v>
      </c>
      <c r="J1129" s="15" t="s">
        <v>123</v>
      </c>
      <c r="K1129" s="2" t="str">
        <f>VLOOKUP(J1129,Equipes!A:F,6,0)</f>
        <v>Temperate</v>
      </c>
      <c r="L1129" s="2">
        <f>VLOOKUP(J1129,Equipes!A:C,3,0)</f>
        <v>6</v>
      </c>
      <c r="M1129" s="2" t="str">
        <f t="shared" si="4"/>
        <v>Quarter-final</v>
      </c>
      <c r="N1129" s="11" t="s">
        <v>441</v>
      </c>
      <c r="O1129" s="2">
        <f>VLOOKUP(N1129,Equipes!A:C,3,0)</f>
        <v>10</v>
      </c>
      <c r="P1129" s="2" t="str">
        <f t="shared" si="5"/>
        <v>Round of 16</v>
      </c>
      <c r="Q1129" s="2">
        <f t="shared" si="6"/>
        <v>-4</v>
      </c>
      <c r="R1129" s="2" t="str">
        <f>VLOOKUP(J1129,Equipes!A:B,2,0)</f>
        <v>Bayern</v>
      </c>
      <c r="S1129" s="6" t="s">
        <v>129</v>
      </c>
      <c r="T1129" s="7">
        <v>9.0</v>
      </c>
      <c r="U1129" s="7" t="s">
        <v>130</v>
      </c>
      <c r="V1129" s="7" t="str">
        <f>VLOOKUP(U1129,Jogadores!B:C,2,0)</f>
        <v>FW</v>
      </c>
      <c r="W1129" s="8">
        <f>VLOOKUP(U1129,Jogadores!B:D,3,0)</f>
        <v>32.02191781</v>
      </c>
      <c r="X1129" s="7">
        <v>45.0</v>
      </c>
      <c r="Y1129" s="7">
        <f t="shared" si="3512"/>
        <v>98</v>
      </c>
      <c r="Z1129" s="7">
        <f>VLOOKUP(A1129,Jogos!A:L,3,0)</f>
        <v>49</v>
      </c>
      <c r="AA1129" s="7">
        <f t="shared" si="2229"/>
        <v>0</v>
      </c>
      <c r="AB1129" s="7">
        <f>VLOOKUP(A1129,Jogos!A:L,4,0)</f>
        <v>53</v>
      </c>
      <c r="AC1129" s="7">
        <f t="shared" si="2230"/>
        <v>53</v>
      </c>
      <c r="AD1129" s="7"/>
      <c r="AE1129" s="7"/>
      <c r="AF1129" s="7">
        <f t="shared" si="2231"/>
        <v>53</v>
      </c>
      <c r="AG1129" s="7">
        <v>5424.7</v>
      </c>
      <c r="AH1129" s="7">
        <v>2182.3</v>
      </c>
      <c r="AI1129" s="7">
        <v>2477.2</v>
      </c>
      <c r="AJ1129" s="7">
        <v>524.7</v>
      </c>
      <c r="AK1129" s="7">
        <v>216.3</v>
      </c>
      <c r="AL1129" s="7">
        <v>24.2</v>
      </c>
      <c r="AM1129" s="7">
        <v>49.0</v>
      </c>
      <c r="AN1129" s="7">
        <v>12.0</v>
      </c>
      <c r="AO1129" s="7">
        <v>28.0</v>
      </c>
      <c r="AP1129" s="9">
        <f t="shared" ref="AP1129:AR1129" si="3525">AG1129/$AF1129</f>
        <v>102.3528302</v>
      </c>
      <c r="AQ1129" s="9">
        <f t="shared" si="3525"/>
        <v>41.1754717</v>
      </c>
      <c r="AR1129" s="9">
        <f t="shared" si="3525"/>
        <v>46.73962264</v>
      </c>
      <c r="AS1129" s="9">
        <f t="shared" si="2233"/>
        <v>87.91509434</v>
      </c>
      <c r="AT1129" s="9">
        <f t="shared" ref="AT1129:AV1129" si="3526">AJ1129/$AF1129</f>
        <v>9.9</v>
      </c>
      <c r="AU1129" s="9">
        <f t="shared" si="3526"/>
        <v>4.081132075</v>
      </c>
      <c r="AV1129" s="9">
        <f t="shared" si="3526"/>
        <v>0.4566037736</v>
      </c>
      <c r="AW1129" s="9">
        <f t="shared" si="2235"/>
        <v>4.537735849</v>
      </c>
      <c r="AX1129" s="9">
        <f t="shared" ref="AX1129:AY1129" si="3527">AM1129/$AF1129</f>
        <v>0.9245283019</v>
      </c>
      <c r="AY1129" s="9">
        <f t="shared" si="3527"/>
        <v>0.2264150943</v>
      </c>
      <c r="AZ1129" s="9">
        <f>VLOOKUP(A1129,Jogos!A:BN,58,0)</f>
        <v>37.37</v>
      </c>
      <c r="BA1129" s="9">
        <f>VLOOKUP(A1129,Jogos!A:BN,59,0)</f>
        <v>19.55</v>
      </c>
      <c r="BB1129" s="9">
        <f>VLOOKUP(A1129,Jogos!A:BN,60,0)</f>
        <v>34.5</v>
      </c>
      <c r="BC1129" s="9">
        <f>VLOOKUP(A1129,Jogos!A:BN,61,0)</f>
        <v>44.775</v>
      </c>
      <c r="BD1129" s="9">
        <f>VLOOKUP(A1129,Jogos!A:BN,62,0)</f>
        <v>622.1</v>
      </c>
      <c r="BE1129" s="9">
        <f>VLOOKUP(A1129,Jogos!A:BN,63,0)</f>
        <v>1.695</v>
      </c>
      <c r="BF1129" s="9">
        <f>VLOOKUP(A1129,Jogos!A:BN,64,0)</f>
        <v>26.625</v>
      </c>
      <c r="BG1129" s="9">
        <f>VLOOKUP(A1129,Jogos!A:BN,65,0)</f>
        <v>52.59</v>
      </c>
      <c r="BH1129" s="9">
        <f>VLOOKUP(A1129,Jogos!A:BN,66,0)</f>
        <v>32.895</v>
      </c>
      <c r="BI1129" s="9"/>
      <c r="BJ1129" s="9"/>
    </row>
    <row r="1130" hidden="1">
      <c r="A1130" s="10">
        <v>38.0</v>
      </c>
      <c r="B1130" s="11" t="s">
        <v>121</v>
      </c>
      <c r="C1130" s="2" t="s">
        <v>61</v>
      </c>
      <c r="D1130" s="12">
        <v>45832.0</v>
      </c>
      <c r="E1130" s="13">
        <v>0.625</v>
      </c>
      <c r="F1130" s="5" t="str">
        <f>VLOOKUP(A1130,Jogos!A:N,10,0)</f>
        <v>Afternoon</v>
      </c>
      <c r="G1130" s="11" t="s">
        <v>1200</v>
      </c>
      <c r="H1130" s="6" t="str">
        <f>VLOOKUP(A1130,Jogos!A:L,12,0)</f>
        <v>Open</v>
      </c>
      <c r="I1130" s="6" t="str">
        <f>VLOOKUP(G1130,'Estádios e Cidades'!A:B,2,0)</f>
        <v>Charlotte</v>
      </c>
      <c r="J1130" s="15" t="s">
        <v>123</v>
      </c>
      <c r="K1130" s="2" t="str">
        <f>VLOOKUP(J1130,Equipes!A:F,6,0)</f>
        <v>Temperate</v>
      </c>
      <c r="L1130" s="2">
        <f>VLOOKUP(J1130,Equipes!A:C,3,0)</f>
        <v>6</v>
      </c>
      <c r="M1130" s="2" t="str">
        <f t="shared" si="4"/>
        <v>Quarter-final</v>
      </c>
      <c r="N1130" s="11" t="s">
        <v>441</v>
      </c>
      <c r="O1130" s="2">
        <f>VLOOKUP(N1130,Equipes!A:C,3,0)</f>
        <v>10</v>
      </c>
      <c r="P1130" s="2" t="str">
        <f t="shared" si="5"/>
        <v>Round of 16</v>
      </c>
      <c r="Q1130" s="2">
        <f t="shared" si="6"/>
        <v>-4</v>
      </c>
      <c r="R1130" s="2" t="str">
        <f>VLOOKUP(J1130,Equipes!A:B,2,0)</f>
        <v>Bayern</v>
      </c>
      <c r="S1130" s="6" t="s">
        <v>133</v>
      </c>
      <c r="T1130" s="7">
        <v>17.0</v>
      </c>
      <c r="U1130" s="7" t="s">
        <v>134</v>
      </c>
      <c r="V1130" s="7" t="str">
        <f>VLOOKUP(U1130,Jogadores!B:C,2,0)</f>
        <v>FW</v>
      </c>
      <c r="W1130" s="8">
        <f>VLOOKUP(U1130,Jogadores!B:D,3,0)</f>
        <v>23.64109589</v>
      </c>
      <c r="X1130" s="7">
        <v>45.0</v>
      </c>
      <c r="Y1130" s="7">
        <f t="shared" si="3512"/>
        <v>98</v>
      </c>
      <c r="Z1130" s="7">
        <f>VLOOKUP(A1130,Jogos!A:L,3,0)</f>
        <v>49</v>
      </c>
      <c r="AA1130" s="7">
        <f t="shared" si="2229"/>
        <v>0</v>
      </c>
      <c r="AB1130" s="7">
        <f>VLOOKUP(A1130,Jogos!A:L,4,0)</f>
        <v>53</v>
      </c>
      <c r="AC1130" s="7">
        <f t="shared" si="2230"/>
        <v>53</v>
      </c>
      <c r="AD1130" s="7"/>
      <c r="AE1130" s="7"/>
      <c r="AF1130" s="7">
        <f t="shared" si="2231"/>
        <v>53</v>
      </c>
      <c r="AG1130" s="7">
        <v>5743.0</v>
      </c>
      <c r="AH1130" s="7">
        <v>2164.3</v>
      </c>
      <c r="AI1130" s="7">
        <v>2459.3</v>
      </c>
      <c r="AJ1130" s="7">
        <v>714.0</v>
      </c>
      <c r="AK1130" s="7">
        <v>293.2</v>
      </c>
      <c r="AL1130" s="7">
        <v>112.1</v>
      </c>
      <c r="AM1130" s="7">
        <v>65.0</v>
      </c>
      <c r="AN1130" s="7">
        <v>22.0</v>
      </c>
      <c r="AO1130" s="7">
        <v>29.4</v>
      </c>
      <c r="AP1130" s="9">
        <f t="shared" ref="AP1130:AR1130" si="3528">AG1130/$AF1130</f>
        <v>108.3584906</v>
      </c>
      <c r="AQ1130" s="9">
        <f t="shared" si="3528"/>
        <v>40.83584906</v>
      </c>
      <c r="AR1130" s="9">
        <f t="shared" si="3528"/>
        <v>46.40188679</v>
      </c>
      <c r="AS1130" s="9">
        <f t="shared" si="2233"/>
        <v>87.23773585</v>
      </c>
      <c r="AT1130" s="9">
        <f t="shared" ref="AT1130:AV1130" si="3529">AJ1130/$AF1130</f>
        <v>13.47169811</v>
      </c>
      <c r="AU1130" s="9">
        <f t="shared" si="3529"/>
        <v>5.532075472</v>
      </c>
      <c r="AV1130" s="9">
        <f t="shared" si="3529"/>
        <v>2.11509434</v>
      </c>
      <c r="AW1130" s="9">
        <f t="shared" si="2235"/>
        <v>7.647169811</v>
      </c>
      <c r="AX1130" s="9">
        <f t="shared" ref="AX1130:AY1130" si="3530">AM1130/$AF1130</f>
        <v>1.226415094</v>
      </c>
      <c r="AY1130" s="9">
        <f t="shared" si="3530"/>
        <v>0.4150943396</v>
      </c>
      <c r="AZ1130" s="9">
        <f>VLOOKUP(A1130,Jogos!A:BN,58,0)</f>
        <v>37.37</v>
      </c>
      <c r="BA1130" s="9">
        <f>VLOOKUP(A1130,Jogos!A:BN,59,0)</f>
        <v>19.55</v>
      </c>
      <c r="BB1130" s="9">
        <f>VLOOKUP(A1130,Jogos!A:BN,60,0)</f>
        <v>34.5</v>
      </c>
      <c r="BC1130" s="9">
        <f>VLOOKUP(A1130,Jogos!A:BN,61,0)</f>
        <v>44.775</v>
      </c>
      <c r="BD1130" s="9">
        <f>VLOOKUP(A1130,Jogos!A:BN,62,0)</f>
        <v>622.1</v>
      </c>
      <c r="BE1130" s="9">
        <f>VLOOKUP(A1130,Jogos!A:BN,63,0)</f>
        <v>1.695</v>
      </c>
      <c r="BF1130" s="9">
        <f>VLOOKUP(A1130,Jogos!A:BN,64,0)</f>
        <v>26.625</v>
      </c>
      <c r="BG1130" s="9">
        <f>VLOOKUP(A1130,Jogos!A:BN,65,0)</f>
        <v>52.59</v>
      </c>
      <c r="BH1130" s="9">
        <f>VLOOKUP(A1130,Jogos!A:BN,66,0)</f>
        <v>32.895</v>
      </c>
      <c r="BI1130" s="9"/>
      <c r="BJ1130" s="9"/>
    </row>
    <row r="1131" hidden="1">
      <c r="A1131" s="10">
        <v>38.0</v>
      </c>
      <c r="B1131" s="11" t="s">
        <v>121</v>
      </c>
      <c r="C1131" s="2" t="s">
        <v>61</v>
      </c>
      <c r="D1131" s="12">
        <v>45832.0</v>
      </c>
      <c r="E1131" s="13">
        <v>0.625</v>
      </c>
      <c r="F1131" s="5" t="str">
        <f>VLOOKUP(A1131,Jogos!A:N,10,0)</f>
        <v>Afternoon</v>
      </c>
      <c r="G1131" s="11" t="s">
        <v>1200</v>
      </c>
      <c r="H1131" s="6" t="str">
        <f>VLOOKUP(A1131,Jogos!A:L,12,0)</f>
        <v>Open</v>
      </c>
      <c r="I1131" s="6" t="str">
        <f>VLOOKUP(G1131,'Estádios e Cidades'!A:B,2,0)</f>
        <v>Charlotte</v>
      </c>
      <c r="J1131" s="15" t="s">
        <v>123</v>
      </c>
      <c r="K1131" s="2" t="str">
        <f>VLOOKUP(J1131,Equipes!A:F,6,0)</f>
        <v>Temperate</v>
      </c>
      <c r="L1131" s="2">
        <f>VLOOKUP(J1131,Equipes!A:C,3,0)</f>
        <v>6</v>
      </c>
      <c r="M1131" s="2" t="str">
        <f t="shared" si="4"/>
        <v>Quarter-final</v>
      </c>
      <c r="N1131" s="11" t="s">
        <v>441</v>
      </c>
      <c r="O1131" s="2">
        <f>VLOOKUP(N1131,Equipes!A:C,3,0)</f>
        <v>10</v>
      </c>
      <c r="P1131" s="2" t="str">
        <f t="shared" si="5"/>
        <v>Round of 16</v>
      </c>
      <c r="Q1131" s="2">
        <f t="shared" si="6"/>
        <v>-4</v>
      </c>
      <c r="R1131" s="2" t="str">
        <f>VLOOKUP(J1131,Equipes!A:B,2,0)</f>
        <v>Bayern</v>
      </c>
      <c r="S1131" s="6" t="s">
        <v>1138</v>
      </c>
      <c r="T1131" s="7">
        <v>27.0</v>
      </c>
      <c r="U1131" s="7" t="s">
        <v>1139</v>
      </c>
      <c r="V1131" s="7" t="str">
        <f>VLOOKUP(U1131,Jogadores!B:C,2,0)</f>
        <v>MF</v>
      </c>
      <c r="W1131" s="8">
        <f>VLOOKUP(U1131,Jogadores!B:D,3,0)</f>
        <v>28.1890411</v>
      </c>
      <c r="X1131" s="7">
        <v>62.0</v>
      </c>
      <c r="Y1131" s="7">
        <f t="shared" si="3512"/>
        <v>98</v>
      </c>
      <c r="Z1131" s="7">
        <f>VLOOKUP(A1131,Jogos!A:L,3,0)</f>
        <v>49</v>
      </c>
      <c r="AA1131" s="7">
        <f t="shared" si="2229"/>
        <v>0</v>
      </c>
      <c r="AB1131" s="7">
        <f>VLOOKUP(A1131,Jogos!A:L,4,0)</f>
        <v>53</v>
      </c>
      <c r="AC1131" s="7">
        <f t="shared" si="2230"/>
        <v>36</v>
      </c>
      <c r="AD1131" s="7"/>
      <c r="AE1131" s="7"/>
      <c r="AF1131" s="7">
        <f t="shared" si="2231"/>
        <v>36</v>
      </c>
      <c r="AG1131" s="7">
        <v>3930.4</v>
      </c>
      <c r="AH1131" s="7">
        <v>1425.4</v>
      </c>
      <c r="AI1131" s="7">
        <v>1534.4</v>
      </c>
      <c r="AJ1131" s="7">
        <v>616.3</v>
      </c>
      <c r="AK1131" s="7">
        <v>270.3</v>
      </c>
      <c r="AL1131" s="7">
        <v>84.0</v>
      </c>
      <c r="AM1131" s="7">
        <v>52.0</v>
      </c>
      <c r="AN1131" s="7">
        <v>28.0</v>
      </c>
      <c r="AO1131" s="7">
        <v>30.6</v>
      </c>
      <c r="AP1131" s="9">
        <f t="shared" ref="AP1131:AR1131" si="3531">AG1131/$AF1131</f>
        <v>109.1777778</v>
      </c>
      <c r="AQ1131" s="9">
        <f t="shared" si="3531"/>
        <v>39.59444444</v>
      </c>
      <c r="AR1131" s="9">
        <f t="shared" si="3531"/>
        <v>42.62222222</v>
      </c>
      <c r="AS1131" s="9">
        <f t="shared" si="2233"/>
        <v>82.21666667</v>
      </c>
      <c r="AT1131" s="9">
        <f t="shared" ref="AT1131:AV1131" si="3532">AJ1131/$AF1131</f>
        <v>17.11944444</v>
      </c>
      <c r="AU1131" s="9">
        <f t="shared" si="3532"/>
        <v>7.508333333</v>
      </c>
      <c r="AV1131" s="9">
        <f t="shared" si="3532"/>
        <v>2.333333333</v>
      </c>
      <c r="AW1131" s="9">
        <f t="shared" si="2235"/>
        <v>9.841666667</v>
      </c>
      <c r="AX1131" s="9">
        <f t="shared" ref="AX1131:AY1131" si="3533">AM1131/$AF1131</f>
        <v>1.444444444</v>
      </c>
      <c r="AY1131" s="9">
        <f t="shared" si="3533"/>
        <v>0.7777777778</v>
      </c>
      <c r="AZ1131" s="9">
        <f>VLOOKUP(A1131,Jogos!A:BN,58,0)</f>
        <v>37.37</v>
      </c>
      <c r="BA1131" s="9">
        <f>VLOOKUP(A1131,Jogos!A:BN,59,0)</f>
        <v>19.55</v>
      </c>
      <c r="BB1131" s="9">
        <f>VLOOKUP(A1131,Jogos!A:BN,60,0)</f>
        <v>34.5</v>
      </c>
      <c r="BC1131" s="9">
        <f>VLOOKUP(A1131,Jogos!A:BN,61,0)</f>
        <v>44.775</v>
      </c>
      <c r="BD1131" s="9">
        <f>VLOOKUP(A1131,Jogos!A:BN,62,0)</f>
        <v>622.1</v>
      </c>
      <c r="BE1131" s="9">
        <f>VLOOKUP(A1131,Jogos!A:BN,63,0)</f>
        <v>1.695</v>
      </c>
      <c r="BF1131" s="9">
        <f>VLOOKUP(A1131,Jogos!A:BN,64,0)</f>
        <v>26.625</v>
      </c>
      <c r="BG1131" s="9">
        <f>VLOOKUP(A1131,Jogos!A:BN,65,0)</f>
        <v>52.59</v>
      </c>
      <c r="BH1131" s="9">
        <f>VLOOKUP(A1131,Jogos!A:BN,66,0)</f>
        <v>32.895</v>
      </c>
      <c r="BI1131" s="9"/>
      <c r="BJ1131" s="9"/>
    </row>
    <row r="1132" hidden="1">
      <c r="A1132" s="2">
        <v>39.0</v>
      </c>
      <c r="B1132" s="2" t="s">
        <v>375</v>
      </c>
      <c r="C1132" s="2" t="s">
        <v>61</v>
      </c>
      <c r="D1132" s="3">
        <v>45832.0</v>
      </c>
      <c r="E1132" s="4">
        <v>0.875</v>
      </c>
      <c r="F1132" s="5" t="str">
        <f>VLOOKUP(A1132,Jogos!A:N,10,0)</f>
        <v>Evening</v>
      </c>
      <c r="G1132" s="2" t="s">
        <v>1269</v>
      </c>
      <c r="H1132" s="6" t="str">
        <f>VLOOKUP(A1132,Jogos!A:L,12,0)</f>
        <v>Open</v>
      </c>
      <c r="I1132" s="6" t="str">
        <f>VLOOKUP(G1132,'Estádios e Cidades'!A:B,2,0)</f>
        <v>Orlando</v>
      </c>
      <c r="J1132" s="2" t="s">
        <v>378</v>
      </c>
      <c r="K1132" s="2" t="str">
        <f>VLOOKUP(J1132,Equipes!A:F,6,0)</f>
        <v>Temperate</v>
      </c>
      <c r="L1132" s="2">
        <f>VLOOKUP(J1132,Equipes!A:C,3,0)</f>
        <v>26</v>
      </c>
      <c r="M1132" s="2" t="str">
        <f t="shared" si="4"/>
        <v>Group</v>
      </c>
      <c r="N1132" s="2" t="s">
        <v>501</v>
      </c>
      <c r="O1132" s="2">
        <f>VLOOKUP(N1132,Equipes!A:C,3,0)</f>
        <v>11</v>
      </c>
      <c r="P1132" s="2" t="str">
        <f t="shared" si="5"/>
        <v>Round of 16</v>
      </c>
      <c r="Q1132" s="2">
        <f t="shared" si="6"/>
        <v>15</v>
      </c>
      <c r="R1132" s="2" t="str">
        <f>VLOOKUP(J1132,Equipes!A:B,2,0)</f>
        <v>LAFC</v>
      </c>
      <c r="S1132" s="6" t="s">
        <v>411</v>
      </c>
      <c r="T1132" s="7">
        <v>4.0</v>
      </c>
      <c r="U1132" s="7" t="s">
        <v>412</v>
      </c>
      <c r="V1132" s="7" t="str">
        <f>VLOOKUP(U1132,Jogadores!B:C,2,0)</f>
        <v>DF</v>
      </c>
      <c r="W1132" s="8">
        <f>VLOOKUP(U1132,Jogadores!B:D,3,0)</f>
        <v>28.50136986</v>
      </c>
      <c r="X1132" s="7">
        <v>0.0</v>
      </c>
      <c r="Y1132" s="7">
        <f t="shared" si="3512"/>
        <v>94</v>
      </c>
      <c r="Z1132" s="7">
        <f>VLOOKUP(A1132,Jogos!A:L,3,0)</f>
        <v>49</v>
      </c>
      <c r="AA1132" s="7">
        <f t="shared" si="2229"/>
        <v>49</v>
      </c>
      <c r="AB1132" s="7">
        <f>VLOOKUP(A1132,Jogos!A:L,4,0)</f>
        <v>49</v>
      </c>
      <c r="AC1132" s="7">
        <f t="shared" si="2230"/>
        <v>49</v>
      </c>
      <c r="AD1132" s="7"/>
      <c r="AE1132" s="7"/>
      <c r="AF1132" s="7">
        <f t="shared" si="2231"/>
        <v>98</v>
      </c>
      <c r="AG1132" s="7">
        <v>9597.7</v>
      </c>
      <c r="AH1132" s="7">
        <v>3996.9</v>
      </c>
      <c r="AI1132" s="7">
        <v>4072.9</v>
      </c>
      <c r="AJ1132" s="7">
        <v>1154.3</v>
      </c>
      <c r="AK1132" s="7">
        <v>261.0</v>
      </c>
      <c r="AL1132" s="7">
        <v>112.7</v>
      </c>
      <c r="AM1132" s="7">
        <v>99.0</v>
      </c>
      <c r="AN1132" s="7">
        <v>21.0</v>
      </c>
      <c r="AO1132" s="7">
        <v>30.8</v>
      </c>
      <c r="AP1132" s="9">
        <f t="shared" ref="AP1132:AR1132" si="3534">AG1132/$AF1132</f>
        <v>97.93571429</v>
      </c>
      <c r="AQ1132" s="9">
        <f t="shared" si="3534"/>
        <v>40.78469388</v>
      </c>
      <c r="AR1132" s="9">
        <f t="shared" si="3534"/>
        <v>41.56020408</v>
      </c>
      <c r="AS1132" s="9">
        <f t="shared" si="2233"/>
        <v>82.34489796</v>
      </c>
      <c r="AT1132" s="9">
        <f t="shared" ref="AT1132:AV1132" si="3535">AJ1132/$AF1132</f>
        <v>11.77857143</v>
      </c>
      <c r="AU1132" s="9">
        <f t="shared" si="3535"/>
        <v>2.663265306</v>
      </c>
      <c r="AV1132" s="9">
        <f t="shared" si="3535"/>
        <v>1.15</v>
      </c>
      <c r="AW1132" s="9">
        <f t="shared" si="2235"/>
        <v>3.813265306</v>
      </c>
      <c r="AX1132" s="9">
        <f t="shared" ref="AX1132:AY1132" si="3536">AM1132/$AF1132</f>
        <v>1.010204082</v>
      </c>
      <c r="AY1132" s="9">
        <f t="shared" si="3536"/>
        <v>0.2142857143</v>
      </c>
      <c r="AZ1132" s="9">
        <f>VLOOKUP(A1132,Jogos!A:BN,58,0)</f>
        <v>27.145</v>
      </c>
      <c r="BA1132" s="9">
        <f>VLOOKUP(A1132,Jogos!A:BN,59,0)</f>
        <v>23.175</v>
      </c>
      <c r="BB1132" s="9">
        <f>VLOOKUP(A1132,Jogos!A:BN,60,0)</f>
        <v>78.5</v>
      </c>
      <c r="BC1132" s="9">
        <f>VLOOKUP(A1132,Jogos!A:BN,61,0)</f>
        <v>25.955</v>
      </c>
      <c r="BD1132" s="9">
        <f>VLOOKUP(A1132,Jogos!A:BN,62,0)</f>
        <v>0</v>
      </c>
      <c r="BE1132" s="9">
        <f>VLOOKUP(A1132,Jogos!A:BN,63,0)</f>
        <v>1.1</v>
      </c>
      <c r="BF1132" s="9">
        <f>VLOOKUP(A1132,Jogos!A:BN,64,0)</f>
        <v>24.635</v>
      </c>
      <c r="BG1132" s="9">
        <f>VLOOKUP(A1132,Jogos!A:BN,65,0)</f>
        <v>42.785</v>
      </c>
      <c r="BH1132" s="9">
        <f>VLOOKUP(A1132,Jogos!A:BN,66,0)</f>
        <v>28.515</v>
      </c>
      <c r="BI1132" s="9"/>
      <c r="BJ1132" s="9"/>
    </row>
    <row r="1133" hidden="1">
      <c r="A1133" s="2">
        <v>39.0</v>
      </c>
      <c r="B1133" s="2" t="s">
        <v>375</v>
      </c>
      <c r="C1133" s="2" t="s">
        <v>61</v>
      </c>
      <c r="D1133" s="3">
        <v>45832.0</v>
      </c>
      <c r="E1133" s="4">
        <v>0.875</v>
      </c>
      <c r="F1133" s="5" t="str">
        <f>VLOOKUP(A1133,Jogos!A:N,10,0)</f>
        <v>Evening</v>
      </c>
      <c r="G1133" s="2" t="s">
        <v>1269</v>
      </c>
      <c r="H1133" s="6" t="str">
        <f>VLOOKUP(A1133,Jogos!A:L,12,0)</f>
        <v>Open</v>
      </c>
      <c r="I1133" s="6" t="str">
        <f>VLOOKUP(G1133,'Estádios e Cidades'!A:B,2,0)</f>
        <v>Orlando</v>
      </c>
      <c r="J1133" s="2" t="s">
        <v>378</v>
      </c>
      <c r="K1133" s="2" t="str">
        <f>VLOOKUP(J1133,Equipes!A:F,6,0)</f>
        <v>Temperate</v>
      </c>
      <c r="L1133" s="2">
        <f>VLOOKUP(J1133,Equipes!A:C,3,0)</f>
        <v>26</v>
      </c>
      <c r="M1133" s="2" t="str">
        <f t="shared" si="4"/>
        <v>Group</v>
      </c>
      <c r="N1133" s="2" t="s">
        <v>501</v>
      </c>
      <c r="O1133" s="2">
        <f>VLOOKUP(N1133,Equipes!A:C,3,0)</f>
        <v>11</v>
      </c>
      <c r="P1133" s="2" t="str">
        <f t="shared" si="5"/>
        <v>Round of 16</v>
      </c>
      <c r="Q1133" s="2">
        <f t="shared" si="6"/>
        <v>15</v>
      </c>
      <c r="R1133" s="2" t="str">
        <f>VLOOKUP(J1133,Equipes!A:B,2,0)</f>
        <v>LAFC</v>
      </c>
      <c r="S1133" s="6" t="s">
        <v>430</v>
      </c>
      <c r="T1133" s="7">
        <v>5.0</v>
      </c>
      <c r="U1133" s="7" t="s">
        <v>431</v>
      </c>
      <c r="V1133" s="7" t="str">
        <f>VLOOKUP(U1133,Jogadores!B:C,2,0)</f>
        <v>DF</v>
      </c>
      <c r="W1133" s="8">
        <f>VLOOKUP(U1133,Jogadores!B:D,3,0)</f>
        <v>29.90958904</v>
      </c>
      <c r="X1133" s="7">
        <v>0.0</v>
      </c>
      <c r="Y1133" s="7">
        <v>45.0</v>
      </c>
      <c r="Z1133" s="7">
        <f>VLOOKUP(A1133,Jogos!A:L,3,0)</f>
        <v>49</v>
      </c>
      <c r="AA1133" s="7">
        <f t="shared" si="2229"/>
        <v>49</v>
      </c>
      <c r="AB1133" s="7">
        <f>VLOOKUP(A1133,Jogos!A:L,4,0)</f>
        <v>49</v>
      </c>
      <c r="AC1133" s="7">
        <f t="shared" si="2230"/>
        <v>0</v>
      </c>
      <c r="AD1133" s="7"/>
      <c r="AE1133" s="7"/>
      <c r="AF1133" s="7">
        <f t="shared" si="2231"/>
        <v>49</v>
      </c>
      <c r="AG1133" s="7">
        <v>4329.6</v>
      </c>
      <c r="AH1133" s="7">
        <v>1755.2</v>
      </c>
      <c r="AI1133" s="7">
        <v>1958.1</v>
      </c>
      <c r="AJ1133" s="7">
        <v>550.2</v>
      </c>
      <c r="AK1133" s="7">
        <v>66.1</v>
      </c>
      <c r="AL1133" s="7">
        <v>49.0</v>
      </c>
      <c r="AM1133" s="7">
        <v>4.0</v>
      </c>
      <c r="AN1133" s="7">
        <v>23.4</v>
      </c>
      <c r="AO1133" s="7"/>
      <c r="AP1133" s="9">
        <f t="shared" ref="AP1133:AR1133" si="3537">AG1133/$AF1133</f>
        <v>88.35918367</v>
      </c>
      <c r="AQ1133" s="9">
        <f t="shared" si="3537"/>
        <v>35.82040816</v>
      </c>
      <c r="AR1133" s="9">
        <f t="shared" si="3537"/>
        <v>39.96122449</v>
      </c>
      <c r="AS1133" s="9">
        <f t="shared" si="2233"/>
        <v>75.78163265</v>
      </c>
      <c r="AT1133" s="9">
        <f t="shared" ref="AT1133:AV1133" si="3538">AJ1133/$AF1133</f>
        <v>11.22857143</v>
      </c>
      <c r="AU1133" s="9">
        <f t="shared" si="3538"/>
        <v>1.348979592</v>
      </c>
      <c r="AV1133" s="9">
        <f t="shared" si="3538"/>
        <v>1</v>
      </c>
      <c r="AW1133" s="9">
        <f t="shared" si="2235"/>
        <v>2.348979592</v>
      </c>
      <c r="AX1133" s="9">
        <f t="shared" ref="AX1133:AY1133" si="3539">AM1133/$AF1133</f>
        <v>0.08163265306</v>
      </c>
      <c r="AY1133" s="9">
        <f t="shared" si="3539"/>
        <v>0.4775510204</v>
      </c>
      <c r="AZ1133" s="9">
        <f>VLOOKUP(A1133,Jogos!A:BN,58,0)</f>
        <v>27.145</v>
      </c>
      <c r="BA1133" s="9">
        <f>VLOOKUP(A1133,Jogos!A:BN,59,0)</f>
        <v>23.175</v>
      </c>
      <c r="BB1133" s="9">
        <f>VLOOKUP(A1133,Jogos!A:BN,60,0)</f>
        <v>78.5</v>
      </c>
      <c r="BC1133" s="9">
        <f>VLOOKUP(A1133,Jogos!A:BN,61,0)</f>
        <v>25.955</v>
      </c>
      <c r="BD1133" s="9">
        <f>VLOOKUP(A1133,Jogos!A:BN,62,0)</f>
        <v>0</v>
      </c>
      <c r="BE1133" s="9">
        <f>VLOOKUP(A1133,Jogos!A:BN,63,0)</f>
        <v>1.1</v>
      </c>
      <c r="BF1133" s="9">
        <f>VLOOKUP(A1133,Jogos!A:BN,64,0)</f>
        <v>24.635</v>
      </c>
      <c r="BG1133" s="9">
        <f>VLOOKUP(A1133,Jogos!A:BN,65,0)</f>
        <v>42.785</v>
      </c>
      <c r="BH1133" s="9">
        <f>VLOOKUP(A1133,Jogos!A:BN,66,0)</f>
        <v>28.515</v>
      </c>
      <c r="BI1133" s="9"/>
      <c r="BJ1133" s="9"/>
    </row>
    <row r="1134" hidden="1">
      <c r="A1134" s="2">
        <v>39.0</v>
      </c>
      <c r="B1134" s="2" t="s">
        <v>375</v>
      </c>
      <c r="C1134" s="2" t="s">
        <v>61</v>
      </c>
      <c r="D1134" s="3">
        <v>45832.0</v>
      </c>
      <c r="E1134" s="4">
        <v>0.875</v>
      </c>
      <c r="F1134" s="5" t="str">
        <f>VLOOKUP(A1134,Jogos!A:N,10,0)</f>
        <v>Evening</v>
      </c>
      <c r="G1134" s="2" t="s">
        <v>1269</v>
      </c>
      <c r="H1134" s="6" t="str">
        <f>VLOOKUP(A1134,Jogos!A:L,12,0)</f>
        <v>Open</v>
      </c>
      <c r="I1134" s="6" t="str">
        <f>VLOOKUP(G1134,'Estádios e Cidades'!A:B,2,0)</f>
        <v>Orlando</v>
      </c>
      <c r="J1134" s="2" t="s">
        <v>378</v>
      </c>
      <c r="K1134" s="2" t="str">
        <f>VLOOKUP(J1134,Equipes!A:F,6,0)</f>
        <v>Temperate</v>
      </c>
      <c r="L1134" s="2">
        <f>VLOOKUP(J1134,Equipes!A:C,3,0)</f>
        <v>26</v>
      </c>
      <c r="M1134" s="2" t="str">
        <f t="shared" si="4"/>
        <v>Group</v>
      </c>
      <c r="N1134" s="2" t="s">
        <v>501</v>
      </c>
      <c r="O1134" s="2">
        <f>VLOOKUP(N1134,Equipes!A:C,3,0)</f>
        <v>11</v>
      </c>
      <c r="P1134" s="2" t="str">
        <f t="shared" si="5"/>
        <v>Round of 16</v>
      </c>
      <c r="Q1134" s="2">
        <f t="shared" si="6"/>
        <v>15</v>
      </c>
      <c r="R1134" s="2" t="str">
        <f>VLOOKUP(J1134,Equipes!A:B,2,0)</f>
        <v>LAFC</v>
      </c>
      <c r="S1134" s="6" t="s">
        <v>413</v>
      </c>
      <c r="T1134" s="7">
        <v>6.0</v>
      </c>
      <c r="U1134" s="7" t="s">
        <v>334</v>
      </c>
      <c r="V1134" s="7" t="str">
        <f>VLOOKUP(U1134,Jogadores!B:C,2,0)</f>
        <v>FW</v>
      </c>
      <c r="W1134" s="8">
        <f>VLOOKUP(U1134,Jogadores!B:D,3,0)</f>
        <v>24.43561644</v>
      </c>
      <c r="X1134" s="7">
        <v>0.0</v>
      </c>
      <c r="Y1134" s="7">
        <f>45+AB1134</f>
        <v>94</v>
      </c>
      <c r="Z1134" s="7">
        <f>VLOOKUP(A1134,Jogos!A:L,3,0)</f>
        <v>49</v>
      </c>
      <c r="AA1134" s="7">
        <f t="shared" si="2229"/>
        <v>49</v>
      </c>
      <c r="AB1134" s="7">
        <f>VLOOKUP(A1134,Jogos!A:L,4,0)</f>
        <v>49</v>
      </c>
      <c r="AC1134" s="7">
        <f t="shared" si="2230"/>
        <v>49</v>
      </c>
      <c r="AD1134" s="7"/>
      <c r="AE1134" s="7"/>
      <c r="AF1134" s="7">
        <f t="shared" si="2231"/>
        <v>98</v>
      </c>
      <c r="AG1134" s="7">
        <v>10560.3</v>
      </c>
      <c r="AH1134" s="7">
        <v>3245.2</v>
      </c>
      <c r="AI1134" s="7">
        <v>5448.3</v>
      </c>
      <c r="AJ1134" s="7">
        <v>1377.0</v>
      </c>
      <c r="AK1134" s="7">
        <v>367.3</v>
      </c>
      <c r="AL1134" s="7">
        <v>122.5</v>
      </c>
      <c r="AM1134" s="7">
        <v>113.0</v>
      </c>
      <c r="AN1134" s="7">
        <v>34.0</v>
      </c>
      <c r="AO1134" s="7">
        <v>31.1</v>
      </c>
      <c r="AP1134" s="9">
        <f t="shared" ref="AP1134:AR1134" si="3540">AG1134/$AF1134</f>
        <v>107.7581633</v>
      </c>
      <c r="AQ1134" s="9">
        <f t="shared" si="3540"/>
        <v>33.11428571</v>
      </c>
      <c r="AR1134" s="9">
        <f t="shared" si="3540"/>
        <v>55.59489796</v>
      </c>
      <c r="AS1134" s="9">
        <f t="shared" si="2233"/>
        <v>88.70918367</v>
      </c>
      <c r="AT1134" s="9">
        <f t="shared" ref="AT1134:AV1134" si="3541">AJ1134/$AF1134</f>
        <v>14.05102041</v>
      </c>
      <c r="AU1134" s="9">
        <f t="shared" si="3541"/>
        <v>3.747959184</v>
      </c>
      <c r="AV1134" s="9">
        <f t="shared" si="3541"/>
        <v>1.25</v>
      </c>
      <c r="AW1134" s="9">
        <f t="shared" si="2235"/>
        <v>4.997959184</v>
      </c>
      <c r="AX1134" s="9">
        <f t="shared" ref="AX1134:AY1134" si="3542">AM1134/$AF1134</f>
        <v>1.153061224</v>
      </c>
      <c r="AY1134" s="9">
        <f t="shared" si="3542"/>
        <v>0.3469387755</v>
      </c>
      <c r="AZ1134" s="9">
        <f>VLOOKUP(A1134,Jogos!A:BN,58,0)</f>
        <v>27.145</v>
      </c>
      <c r="BA1134" s="9">
        <f>VLOOKUP(A1134,Jogos!A:BN,59,0)</f>
        <v>23.175</v>
      </c>
      <c r="BB1134" s="9">
        <f>VLOOKUP(A1134,Jogos!A:BN,60,0)</f>
        <v>78.5</v>
      </c>
      <c r="BC1134" s="9">
        <f>VLOOKUP(A1134,Jogos!A:BN,61,0)</f>
        <v>25.955</v>
      </c>
      <c r="BD1134" s="9">
        <f>VLOOKUP(A1134,Jogos!A:BN,62,0)</f>
        <v>0</v>
      </c>
      <c r="BE1134" s="9">
        <f>VLOOKUP(A1134,Jogos!A:BN,63,0)</f>
        <v>1.1</v>
      </c>
      <c r="BF1134" s="9">
        <f>VLOOKUP(A1134,Jogos!A:BN,64,0)</f>
        <v>24.635</v>
      </c>
      <c r="BG1134" s="9">
        <f>VLOOKUP(A1134,Jogos!A:BN,65,0)</f>
        <v>42.785</v>
      </c>
      <c r="BH1134" s="9">
        <f>VLOOKUP(A1134,Jogos!A:BN,66,0)</f>
        <v>28.515</v>
      </c>
      <c r="BI1134" s="9"/>
      <c r="BJ1134" s="9"/>
    </row>
    <row r="1135" hidden="1">
      <c r="A1135" s="2">
        <v>39.0</v>
      </c>
      <c r="B1135" s="2" t="s">
        <v>375</v>
      </c>
      <c r="C1135" s="2" t="s">
        <v>61</v>
      </c>
      <c r="D1135" s="3">
        <v>45832.0</v>
      </c>
      <c r="E1135" s="4">
        <v>0.875</v>
      </c>
      <c r="F1135" s="5" t="str">
        <f>VLOOKUP(A1135,Jogos!A:N,10,0)</f>
        <v>Evening</v>
      </c>
      <c r="G1135" s="2" t="s">
        <v>1269</v>
      </c>
      <c r="H1135" s="6" t="str">
        <f>VLOOKUP(A1135,Jogos!A:L,12,0)</f>
        <v>Open</v>
      </c>
      <c r="I1135" s="6" t="str">
        <f>VLOOKUP(G1135,'Estádios e Cidades'!A:B,2,0)</f>
        <v>Orlando</v>
      </c>
      <c r="J1135" s="2" t="s">
        <v>378</v>
      </c>
      <c r="K1135" s="2" t="str">
        <f>VLOOKUP(J1135,Equipes!A:F,6,0)</f>
        <v>Temperate</v>
      </c>
      <c r="L1135" s="2">
        <f>VLOOKUP(J1135,Equipes!A:C,3,0)</f>
        <v>26</v>
      </c>
      <c r="M1135" s="2" t="str">
        <f t="shared" si="4"/>
        <v>Group</v>
      </c>
      <c r="N1135" s="2" t="s">
        <v>501</v>
      </c>
      <c r="O1135" s="2">
        <f>VLOOKUP(N1135,Equipes!A:C,3,0)</f>
        <v>11</v>
      </c>
      <c r="P1135" s="2" t="str">
        <f t="shared" si="5"/>
        <v>Round of 16</v>
      </c>
      <c r="Q1135" s="2">
        <f t="shared" si="6"/>
        <v>15</v>
      </c>
      <c r="R1135" s="2" t="str">
        <f>VLOOKUP(J1135,Equipes!A:B,2,0)</f>
        <v>LAFC</v>
      </c>
      <c r="S1135" s="6" t="s">
        <v>414</v>
      </c>
      <c r="T1135" s="7">
        <v>8.0</v>
      </c>
      <c r="U1135" s="7" t="s">
        <v>415</v>
      </c>
      <c r="V1135" s="7" t="str">
        <f>VLOOKUP(U1135,Jogadores!B:C,2,0)</f>
        <v>MF</v>
      </c>
      <c r="W1135" s="8">
        <f>VLOOKUP(U1135,Jogadores!B:D,3,0)</f>
        <v>30.22191781</v>
      </c>
      <c r="X1135" s="7">
        <v>0.0</v>
      </c>
      <c r="Y1135" s="7">
        <v>89.0</v>
      </c>
      <c r="Z1135" s="7">
        <f>VLOOKUP(A1135,Jogos!A:L,3,0)</f>
        <v>49</v>
      </c>
      <c r="AA1135" s="7">
        <f t="shared" si="2229"/>
        <v>49</v>
      </c>
      <c r="AB1135" s="7">
        <f>VLOOKUP(A1135,Jogos!A:L,4,0)</f>
        <v>49</v>
      </c>
      <c r="AC1135" s="7">
        <f t="shared" si="2230"/>
        <v>44</v>
      </c>
      <c r="AD1135" s="7"/>
      <c r="AE1135" s="7"/>
      <c r="AF1135" s="7">
        <f t="shared" si="2231"/>
        <v>93</v>
      </c>
      <c r="AG1135" s="7">
        <v>10743.0</v>
      </c>
      <c r="AH1135" s="7">
        <v>2912.3</v>
      </c>
      <c r="AI1135" s="7">
        <v>5729.2</v>
      </c>
      <c r="AJ1135" s="7">
        <v>1558.2</v>
      </c>
      <c r="AK1135" s="7">
        <v>412.4</v>
      </c>
      <c r="AL1135" s="7">
        <v>130.9</v>
      </c>
      <c r="AM1135" s="7">
        <v>134.0</v>
      </c>
      <c r="AN1135" s="7">
        <v>31.0</v>
      </c>
      <c r="AO1135" s="7">
        <v>28.8</v>
      </c>
      <c r="AP1135" s="9">
        <f t="shared" ref="AP1135:AR1135" si="3543">AG1135/$AF1135</f>
        <v>115.516129</v>
      </c>
      <c r="AQ1135" s="9">
        <f t="shared" si="3543"/>
        <v>31.31505376</v>
      </c>
      <c r="AR1135" s="9">
        <f t="shared" si="3543"/>
        <v>61.60430108</v>
      </c>
      <c r="AS1135" s="9">
        <f t="shared" si="2233"/>
        <v>92.91935484</v>
      </c>
      <c r="AT1135" s="9">
        <f t="shared" ref="AT1135:AV1135" si="3544">AJ1135/$AF1135</f>
        <v>16.75483871</v>
      </c>
      <c r="AU1135" s="9">
        <f t="shared" si="3544"/>
        <v>4.434408602</v>
      </c>
      <c r="AV1135" s="9">
        <f t="shared" si="3544"/>
        <v>1.407526882</v>
      </c>
      <c r="AW1135" s="9">
        <f t="shared" si="2235"/>
        <v>5.841935484</v>
      </c>
      <c r="AX1135" s="9">
        <f t="shared" ref="AX1135:AY1135" si="3545">AM1135/$AF1135</f>
        <v>1.440860215</v>
      </c>
      <c r="AY1135" s="9">
        <f t="shared" si="3545"/>
        <v>0.3333333333</v>
      </c>
      <c r="AZ1135" s="9">
        <f>VLOOKUP(A1135,Jogos!A:BN,58,0)</f>
        <v>27.145</v>
      </c>
      <c r="BA1135" s="9">
        <f>VLOOKUP(A1135,Jogos!A:BN,59,0)</f>
        <v>23.175</v>
      </c>
      <c r="BB1135" s="9">
        <f>VLOOKUP(A1135,Jogos!A:BN,60,0)</f>
        <v>78.5</v>
      </c>
      <c r="BC1135" s="9">
        <f>VLOOKUP(A1135,Jogos!A:BN,61,0)</f>
        <v>25.955</v>
      </c>
      <c r="BD1135" s="9">
        <f>VLOOKUP(A1135,Jogos!A:BN,62,0)</f>
        <v>0</v>
      </c>
      <c r="BE1135" s="9">
        <f>VLOOKUP(A1135,Jogos!A:BN,63,0)</f>
        <v>1.1</v>
      </c>
      <c r="BF1135" s="9">
        <f>VLOOKUP(A1135,Jogos!A:BN,64,0)</f>
        <v>24.635</v>
      </c>
      <c r="BG1135" s="9">
        <f>VLOOKUP(A1135,Jogos!A:BN,65,0)</f>
        <v>42.785</v>
      </c>
      <c r="BH1135" s="9">
        <f>VLOOKUP(A1135,Jogos!A:BN,66,0)</f>
        <v>28.515</v>
      </c>
      <c r="BI1135" s="9"/>
      <c r="BJ1135" s="9"/>
    </row>
    <row r="1136" hidden="1">
      <c r="A1136" s="2">
        <v>39.0</v>
      </c>
      <c r="B1136" s="2" t="s">
        <v>375</v>
      </c>
      <c r="C1136" s="2" t="s">
        <v>61</v>
      </c>
      <c r="D1136" s="3">
        <v>45832.0</v>
      </c>
      <c r="E1136" s="4">
        <v>0.875</v>
      </c>
      <c r="F1136" s="5" t="str">
        <f>VLOOKUP(A1136,Jogos!A:N,10,0)</f>
        <v>Evening</v>
      </c>
      <c r="G1136" s="2" t="s">
        <v>1269</v>
      </c>
      <c r="H1136" s="6" t="str">
        <f>VLOOKUP(A1136,Jogos!A:L,12,0)</f>
        <v>Open</v>
      </c>
      <c r="I1136" s="6" t="str">
        <f>VLOOKUP(G1136,'Estádios e Cidades'!A:B,2,0)</f>
        <v>Orlando</v>
      </c>
      <c r="J1136" s="2" t="s">
        <v>378</v>
      </c>
      <c r="K1136" s="2" t="str">
        <f>VLOOKUP(J1136,Equipes!A:F,6,0)</f>
        <v>Temperate</v>
      </c>
      <c r="L1136" s="2">
        <f>VLOOKUP(J1136,Equipes!A:C,3,0)</f>
        <v>26</v>
      </c>
      <c r="M1136" s="2" t="str">
        <f t="shared" si="4"/>
        <v>Group</v>
      </c>
      <c r="N1136" s="2" t="s">
        <v>501</v>
      </c>
      <c r="O1136" s="2">
        <f>VLOOKUP(N1136,Equipes!A:C,3,0)</f>
        <v>11</v>
      </c>
      <c r="P1136" s="2" t="str">
        <f t="shared" si="5"/>
        <v>Round of 16</v>
      </c>
      <c r="Q1136" s="2">
        <f t="shared" si="6"/>
        <v>15</v>
      </c>
      <c r="R1136" s="2" t="str">
        <f>VLOOKUP(J1136,Equipes!A:B,2,0)</f>
        <v>LAFC</v>
      </c>
      <c r="S1136" s="6" t="s">
        <v>418</v>
      </c>
      <c r="T1136" s="7">
        <v>14.0</v>
      </c>
      <c r="U1136" s="7" t="s">
        <v>419</v>
      </c>
      <c r="V1136" s="7" t="str">
        <f>VLOOKUP(U1136,Jogadores!B:C,2,0)</f>
        <v>DF</v>
      </c>
      <c r="W1136" s="8">
        <f>VLOOKUP(U1136,Jogadores!B:D,3,0)</f>
        <v>29.36712329</v>
      </c>
      <c r="X1136" s="7">
        <v>0.0</v>
      </c>
      <c r="Y1136" s="7">
        <f t="shared" ref="Y1136:Y1137" si="3549">45+AB1136</f>
        <v>94</v>
      </c>
      <c r="Z1136" s="7">
        <f>VLOOKUP(A1136,Jogos!A:L,3,0)</f>
        <v>49</v>
      </c>
      <c r="AA1136" s="7">
        <f t="shared" si="2229"/>
        <v>49</v>
      </c>
      <c r="AB1136" s="7">
        <f>VLOOKUP(A1136,Jogos!A:L,4,0)</f>
        <v>49</v>
      </c>
      <c r="AC1136" s="7">
        <f t="shared" si="2230"/>
        <v>49</v>
      </c>
      <c r="AD1136" s="7"/>
      <c r="AE1136" s="7"/>
      <c r="AF1136" s="7">
        <f t="shared" si="2231"/>
        <v>98</v>
      </c>
      <c r="AG1136" s="7">
        <v>9333.1</v>
      </c>
      <c r="AH1136" s="7">
        <v>3784.1</v>
      </c>
      <c r="AI1136" s="7">
        <v>4384.8</v>
      </c>
      <c r="AJ1136" s="7">
        <v>744.6</v>
      </c>
      <c r="AK1136" s="7">
        <v>344.3</v>
      </c>
      <c r="AL1136" s="7">
        <v>75.4</v>
      </c>
      <c r="AM1136" s="7">
        <v>69.0</v>
      </c>
      <c r="AN1136" s="7">
        <v>28.0</v>
      </c>
      <c r="AO1136" s="7">
        <v>28.7</v>
      </c>
      <c r="AP1136" s="9">
        <f t="shared" ref="AP1136:AR1136" si="3546">AG1136/$AF1136</f>
        <v>95.23571429</v>
      </c>
      <c r="AQ1136" s="9">
        <f t="shared" si="3546"/>
        <v>38.61326531</v>
      </c>
      <c r="AR1136" s="9">
        <f t="shared" si="3546"/>
        <v>44.74285714</v>
      </c>
      <c r="AS1136" s="9">
        <f t="shared" si="2233"/>
        <v>83.35612245</v>
      </c>
      <c r="AT1136" s="9">
        <f t="shared" ref="AT1136:AV1136" si="3547">AJ1136/$AF1136</f>
        <v>7.597959184</v>
      </c>
      <c r="AU1136" s="9">
        <f t="shared" si="3547"/>
        <v>3.513265306</v>
      </c>
      <c r="AV1136" s="9">
        <f t="shared" si="3547"/>
        <v>0.7693877551</v>
      </c>
      <c r="AW1136" s="9">
        <f t="shared" si="2235"/>
        <v>4.282653061</v>
      </c>
      <c r="AX1136" s="9">
        <f t="shared" ref="AX1136:AY1136" si="3548">AM1136/$AF1136</f>
        <v>0.7040816327</v>
      </c>
      <c r="AY1136" s="9">
        <f t="shared" si="3548"/>
        <v>0.2857142857</v>
      </c>
      <c r="AZ1136" s="9">
        <f>VLOOKUP(A1136,Jogos!A:BN,58,0)</f>
        <v>27.145</v>
      </c>
      <c r="BA1136" s="9">
        <f>VLOOKUP(A1136,Jogos!A:BN,59,0)</f>
        <v>23.175</v>
      </c>
      <c r="BB1136" s="9">
        <f>VLOOKUP(A1136,Jogos!A:BN,60,0)</f>
        <v>78.5</v>
      </c>
      <c r="BC1136" s="9">
        <f>VLOOKUP(A1136,Jogos!A:BN,61,0)</f>
        <v>25.955</v>
      </c>
      <c r="BD1136" s="9">
        <f>VLOOKUP(A1136,Jogos!A:BN,62,0)</f>
        <v>0</v>
      </c>
      <c r="BE1136" s="9">
        <f>VLOOKUP(A1136,Jogos!A:BN,63,0)</f>
        <v>1.1</v>
      </c>
      <c r="BF1136" s="9">
        <f>VLOOKUP(A1136,Jogos!A:BN,64,0)</f>
        <v>24.635</v>
      </c>
      <c r="BG1136" s="9">
        <f>VLOOKUP(A1136,Jogos!A:BN,65,0)</f>
        <v>42.785</v>
      </c>
      <c r="BH1136" s="9">
        <f>VLOOKUP(A1136,Jogos!A:BN,66,0)</f>
        <v>28.515</v>
      </c>
      <c r="BI1136" s="9"/>
      <c r="BJ1136" s="9"/>
    </row>
    <row r="1137" hidden="1">
      <c r="A1137" s="2">
        <v>39.0</v>
      </c>
      <c r="B1137" s="2" t="s">
        <v>375</v>
      </c>
      <c r="C1137" s="2" t="s">
        <v>61</v>
      </c>
      <c r="D1137" s="3">
        <v>45832.0</v>
      </c>
      <c r="E1137" s="4">
        <v>0.875</v>
      </c>
      <c r="F1137" s="5" t="str">
        <f>VLOOKUP(A1137,Jogos!A:N,10,0)</f>
        <v>Evening</v>
      </c>
      <c r="G1137" s="2" t="s">
        <v>1269</v>
      </c>
      <c r="H1137" s="6" t="str">
        <f>VLOOKUP(A1137,Jogos!A:L,12,0)</f>
        <v>Open</v>
      </c>
      <c r="I1137" s="6" t="str">
        <f>VLOOKUP(G1137,'Estádios e Cidades'!A:B,2,0)</f>
        <v>Orlando</v>
      </c>
      <c r="J1137" s="2" t="s">
        <v>378</v>
      </c>
      <c r="K1137" s="2" t="str">
        <f>VLOOKUP(J1137,Equipes!A:F,6,0)</f>
        <v>Temperate</v>
      </c>
      <c r="L1137" s="2">
        <f>VLOOKUP(J1137,Equipes!A:C,3,0)</f>
        <v>26</v>
      </c>
      <c r="M1137" s="2" t="str">
        <f t="shared" si="4"/>
        <v>Group</v>
      </c>
      <c r="N1137" s="2" t="s">
        <v>501</v>
      </c>
      <c r="O1137" s="2">
        <f>VLOOKUP(N1137,Equipes!A:C,3,0)</f>
        <v>11</v>
      </c>
      <c r="P1137" s="2" t="str">
        <f t="shared" si="5"/>
        <v>Round of 16</v>
      </c>
      <c r="Q1137" s="2">
        <f t="shared" si="6"/>
        <v>15</v>
      </c>
      <c r="R1137" s="2" t="str">
        <f>VLOOKUP(J1137,Equipes!A:B,2,0)</f>
        <v>LAFC</v>
      </c>
      <c r="S1137" s="6" t="s">
        <v>422</v>
      </c>
      <c r="T1137" s="7">
        <v>24.0</v>
      </c>
      <c r="U1137" s="7" t="s">
        <v>423</v>
      </c>
      <c r="V1137" s="7" t="str">
        <f>VLOOKUP(U1137,Jogadores!B:C,2,0)</f>
        <v>DF</v>
      </c>
      <c r="W1137" s="8">
        <f>VLOOKUP(U1137,Jogadores!B:D,3,0)</f>
        <v>34.30684932</v>
      </c>
      <c r="X1137" s="7">
        <v>0.0</v>
      </c>
      <c r="Y1137" s="7">
        <f t="shared" si="3549"/>
        <v>94</v>
      </c>
      <c r="Z1137" s="7">
        <f>VLOOKUP(A1137,Jogos!A:L,3,0)</f>
        <v>49</v>
      </c>
      <c r="AA1137" s="7">
        <f t="shared" si="2229"/>
        <v>49</v>
      </c>
      <c r="AB1137" s="7">
        <f>VLOOKUP(A1137,Jogos!A:L,4,0)</f>
        <v>49</v>
      </c>
      <c r="AC1137" s="7">
        <f t="shared" si="2230"/>
        <v>49</v>
      </c>
      <c r="AD1137" s="7"/>
      <c r="AE1137" s="7"/>
      <c r="AF1137" s="7">
        <f t="shared" si="2231"/>
        <v>98</v>
      </c>
      <c r="AG1137" s="7">
        <v>10381.9</v>
      </c>
      <c r="AH1137" s="7">
        <v>3626.0</v>
      </c>
      <c r="AI1137" s="7">
        <v>4794.9</v>
      </c>
      <c r="AJ1137" s="7">
        <v>1374.2</v>
      </c>
      <c r="AK1137" s="7">
        <v>471.7</v>
      </c>
      <c r="AL1137" s="7">
        <v>115.1</v>
      </c>
      <c r="AM1137" s="7">
        <v>118.0</v>
      </c>
      <c r="AN1137" s="7">
        <v>38.0</v>
      </c>
      <c r="AO1137" s="7">
        <v>29.7</v>
      </c>
      <c r="AP1137" s="9">
        <f t="shared" ref="AP1137:AR1137" si="3550">AG1137/$AF1137</f>
        <v>105.9377551</v>
      </c>
      <c r="AQ1137" s="9">
        <f t="shared" si="3550"/>
        <v>37</v>
      </c>
      <c r="AR1137" s="9">
        <f t="shared" si="3550"/>
        <v>48.92755102</v>
      </c>
      <c r="AS1137" s="9">
        <f t="shared" si="2233"/>
        <v>85.92755102</v>
      </c>
      <c r="AT1137" s="9">
        <f t="shared" ref="AT1137:AV1137" si="3551">AJ1137/$AF1137</f>
        <v>14.02244898</v>
      </c>
      <c r="AU1137" s="9">
        <f t="shared" si="3551"/>
        <v>4.813265306</v>
      </c>
      <c r="AV1137" s="9">
        <f t="shared" si="3551"/>
        <v>1.174489796</v>
      </c>
      <c r="AW1137" s="9">
        <f t="shared" si="2235"/>
        <v>5.987755102</v>
      </c>
      <c r="AX1137" s="9">
        <f t="shared" ref="AX1137:AY1137" si="3552">AM1137/$AF1137</f>
        <v>1.204081633</v>
      </c>
      <c r="AY1137" s="9">
        <f t="shared" si="3552"/>
        <v>0.387755102</v>
      </c>
      <c r="AZ1137" s="9">
        <f>VLOOKUP(A1137,Jogos!A:BN,58,0)</f>
        <v>27.145</v>
      </c>
      <c r="BA1137" s="9">
        <f>VLOOKUP(A1137,Jogos!A:BN,59,0)</f>
        <v>23.175</v>
      </c>
      <c r="BB1137" s="9">
        <f>VLOOKUP(A1137,Jogos!A:BN,60,0)</f>
        <v>78.5</v>
      </c>
      <c r="BC1137" s="9">
        <f>VLOOKUP(A1137,Jogos!A:BN,61,0)</f>
        <v>25.955</v>
      </c>
      <c r="BD1137" s="9">
        <f>VLOOKUP(A1137,Jogos!A:BN,62,0)</f>
        <v>0</v>
      </c>
      <c r="BE1137" s="9">
        <f>VLOOKUP(A1137,Jogos!A:BN,63,0)</f>
        <v>1.1</v>
      </c>
      <c r="BF1137" s="9">
        <f>VLOOKUP(A1137,Jogos!A:BN,64,0)</f>
        <v>24.635</v>
      </c>
      <c r="BG1137" s="9">
        <f>VLOOKUP(A1137,Jogos!A:BN,65,0)</f>
        <v>42.785</v>
      </c>
      <c r="BH1137" s="9">
        <f>VLOOKUP(A1137,Jogos!A:BN,66,0)</f>
        <v>28.515</v>
      </c>
      <c r="BI1137" s="9"/>
      <c r="BJ1137" s="9"/>
    </row>
    <row r="1138" hidden="1">
      <c r="A1138" s="2">
        <v>39.0</v>
      </c>
      <c r="B1138" s="2" t="s">
        <v>375</v>
      </c>
      <c r="C1138" s="2" t="s">
        <v>61</v>
      </c>
      <c r="D1138" s="3">
        <v>45832.0</v>
      </c>
      <c r="E1138" s="4">
        <v>0.875</v>
      </c>
      <c r="F1138" s="5" t="str">
        <f>VLOOKUP(A1138,Jogos!A:N,10,0)</f>
        <v>Evening</v>
      </c>
      <c r="G1138" s="2" t="s">
        <v>1269</v>
      </c>
      <c r="H1138" s="6" t="str">
        <f>VLOOKUP(A1138,Jogos!A:L,12,0)</f>
        <v>Open</v>
      </c>
      <c r="I1138" s="6" t="str">
        <f>VLOOKUP(G1138,'Estádios e Cidades'!A:B,2,0)</f>
        <v>Orlando</v>
      </c>
      <c r="J1138" s="2" t="s">
        <v>378</v>
      </c>
      <c r="K1138" s="2" t="str">
        <f>VLOOKUP(J1138,Equipes!A:F,6,0)</f>
        <v>Temperate</v>
      </c>
      <c r="L1138" s="2">
        <f>VLOOKUP(J1138,Equipes!A:C,3,0)</f>
        <v>26</v>
      </c>
      <c r="M1138" s="2" t="str">
        <f t="shared" si="4"/>
        <v>Group</v>
      </c>
      <c r="N1138" s="2" t="s">
        <v>501</v>
      </c>
      <c r="O1138" s="2">
        <f>VLOOKUP(N1138,Equipes!A:C,3,0)</f>
        <v>11</v>
      </c>
      <c r="P1138" s="2" t="str">
        <f t="shared" si="5"/>
        <v>Round of 16</v>
      </c>
      <c r="Q1138" s="2">
        <f t="shared" si="6"/>
        <v>15</v>
      </c>
      <c r="R1138" s="2" t="str">
        <f>VLOOKUP(J1138,Equipes!A:B,2,0)</f>
        <v>LAFC</v>
      </c>
      <c r="S1138" s="6" t="s">
        <v>1131</v>
      </c>
      <c r="T1138" s="7">
        <v>26.0</v>
      </c>
      <c r="U1138" s="7" t="s">
        <v>1132</v>
      </c>
      <c r="V1138" s="7" t="s">
        <v>1133</v>
      </c>
      <c r="W1138" s="8">
        <f>VLOOKUP(U1138,Jogadores!B:D,3,0)</f>
        <v>27.11780822</v>
      </c>
      <c r="X1138" s="7">
        <v>0.0</v>
      </c>
      <c r="Y1138" s="7">
        <v>61.0</v>
      </c>
      <c r="Z1138" s="7">
        <f>VLOOKUP(A1138,Jogos!A:L,3,0)</f>
        <v>49</v>
      </c>
      <c r="AA1138" s="7">
        <f t="shared" si="2229"/>
        <v>49</v>
      </c>
      <c r="AB1138" s="7">
        <f>VLOOKUP(A1138,Jogos!A:L,4,0)</f>
        <v>49</v>
      </c>
      <c r="AC1138" s="7">
        <f t="shared" si="2230"/>
        <v>16</v>
      </c>
      <c r="AD1138" s="7"/>
      <c r="AE1138" s="7"/>
      <c r="AF1138" s="7">
        <f t="shared" si="2231"/>
        <v>65</v>
      </c>
      <c r="AG1138" s="7">
        <v>6785.3</v>
      </c>
      <c r="AH1138" s="7">
        <v>2579.7</v>
      </c>
      <c r="AI1138" s="7">
        <v>2778.0</v>
      </c>
      <c r="AJ1138" s="7">
        <v>974.8</v>
      </c>
      <c r="AK1138" s="7">
        <v>374.1</v>
      </c>
      <c r="AL1138" s="7">
        <v>78.7</v>
      </c>
      <c r="AM1138" s="7">
        <v>88.0</v>
      </c>
      <c r="AN1138" s="7">
        <v>26.0</v>
      </c>
      <c r="AO1138" s="7">
        <v>31.2</v>
      </c>
      <c r="AP1138" s="9">
        <f t="shared" ref="AP1138:AR1138" si="3553">AG1138/$AF1138</f>
        <v>104.3892308</v>
      </c>
      <c r="AQ1138" s="9">
        <f t="shared" si="3553"/>
        <v>39.68769231</v>
      </c>
      <c r="AR1138" s="9">
        <f t="shared" si="3553"/>
        <v>42.73846154</v>
      </c>
      <c r="AS1138" s="9">
        <f t="shared" si="2233"/>
        <v>82.42615385</v>
      </c>
      <c r="AT1138" s="9">
        <f t="shared" ref="AT1138:AV1138" si="3554">AJ1138/$AF1138</f>
        <v>14.99692308</v>
      </c>
      <c r="AU1138" s="9">
        <f t="shared" si="3554"/>
        <v>5.755384615</v>
      </c>
      <c r="AV1138" s="9">
        <f t="shared" si="3554"/>
        <v>1.210769231</v>
      </c>
      <c r="AW1138" s="9">
        <f t="shared" si="2235"/>
        <v>6.966153846</v>
      </c>
      <c r="AX1138" s="9">
        <f t="shared" ref="AX1138:AY1138" si="3555">AM1138/$AF1138</f>
        <v>1.353846154</v>
      </c>
      <c r="AY1138" s="9">
        <f t="shared" si="3555"/>
        <v>0.4</v>
      </c>
      <c r="AZ1138" s="9">
        <f>VLOOKUP(A1138,Jogos!A:BN,58,0)</f>
        <v>27.145</v>
      </c>
      <c r="BA1138" s="9">
        <f>VLOOKUP(A1138,Jogos!A:BN,59,0)</f>
        <v>23.175</v>
      </c>
      <c r="BB1138" s="9">
        <f>VLOOKUP(A1138,Jogos!A:BN,60,0)</f>
        <v>78.5</v>
      </c>
      <c r="BC1138" s="9">
        <f>VLOOKUP(A1138,Jogos!A:BN,61,0)</f>
        <v>25.955</v>
      </c>
      <c r="BD1138" s="9">
        <f>VLOOKUP(A1138,Jogos!A:BN,62,0)</f>
        <v>0</v>
      </c>
      <c r="BE1138" s="9">
        <f>VLOOKUP(A1138,Jogos!A:BN,63,0)</f>
        <v>1.1</v>
      </c>
      <c r="BF1138" s="9">
        <f>VLOOKUP(A1138,Jogos!A:BN,64,0)</f>
        <v>24.635</v>
      </c>
      <c r="BG1138" s="9">
        <f>VLOOKUP(A1138,Jogos!A:BN,65,0)</f>
        <v>42.785</v>
      </c>
      <c r="BH1138" s="9">
        <f>VLOOKUP(A1138,Jogos!A:BN,66,0)</f>
        <v>28.515</v>
      </c>
      <c r="BI1138" s="9"/>
      <c r="BJ1138" s="9"/>
    </row>
    <row r="1139" hidden="1">
      <c r="A1139" s="2">
        <v>39.0</v>
      </c>
      <c r="B1139" s="2" t="s">
        <v>375</v>
      </c>
      <c r="C1139" s="2" t="s">
        <v>61</v>
      </c>
      <c r="D1139" s="3">
        <v>45832.0</v>
      </c>
      <c r="E1139" s="4">
        <v>0.875</v>
      </c>
      <c r="F1139" s="5" t="str">
        <f>VLOOKUP(A1139,Jogos!A:N,10,0)</f>
        <v>Evening</v>
      </c>
      <c r="G1139" s="2" t="s">
        <v>1269</v>
      </c>
      <c r="H1139" s="6" t="str">
        <f>VLOOKUP(A1139,Jogos!A:L,12,0)</f>
        <v>Open</v>
      </c>
      <c r="I1139" s="6" t="str">
        <f>VLOOKUP(G1139,'Estádios e Cidades'!A:B,2,0)</f>
        <v>Orlando</v>
      </c>
      <c r="J1139" s="2" t="s">
        <v>378</v>
      </c>
      <c r="K1139" s="2" t="str">
        <f>VLOOKUP(J1139,Equipes!A:F,6,0)</f>
        <v>Temperate</v>
      </c>
      <c r="L1139" s="2">
        <f>VLOOKUP(J1139,Equipes!A:C,3,0)</f>
        <v>26</v>
      </c>
      <c r="M1139" s="2" t="str">
        <f t="shared" si="4"/>
        <v>Group</v>
      </c>
      <c r="N1139" s="2" t="s">
        <v>501</v>
      </c>
      <c r="O1139" s="2">
        <f>VLOOKUP(N1139,Equipes!A:C,3,0)</f>
        <v>11</v>
      </c>
      <c r="P1139" s="2" t="str">
        <f t="shared" si="5"/>
        <v>Round of 16</v>
      </c>
      <c r="Q1139" s="2">
        <f t="shared" si="6"/>
        <v>15</v>
      </c>
      <c r="R1139" s="2" t="str">
        <f>VLOOKUP(J1139,Equipes!A:B,2,0)</f>
        <v>LAFC</v>
      </c>
      <c r="S1139" s="6" t="s">
        <v>438</v>
      </c>
      <c r="T1139" s="7">
        <v>30.0</v>
      </c>
      <c r="U1139" s="7" t="s">
        <v>439</v>
      </c>
      <c r="V1139" s="7" t="str">
        <f>VLOOKUP(U1139,Jogadores!B:C,2,0)</f>
        <v>FW</v>
      </c>
      <c r="W1139" s="8">
        <f>VLOOKUP(U1139,Jogadores!B:D,3,0)</f>
        <v>19.08493151</v>
      </c>
      <c r="X1139" s="7">
        <v>0.0</v>
      </c>
      <c r="Y1139" s="7">
        <v>70.0</v>
      </c>
      <c r="Z1139" s="7">
        <f>VLOOKUP(A1139,Jogos!A:L,3,0)</f>
        <v>49</v>
      </c>
      <c r="AA1139" s="7">
        <f t="shared" si="2229"/>
        <v>49</v>
      </c>
      <c r="AB1139" s="7">
        <f>VLOOKUP(A1139,Jogos!A:L,4,0)</f>
        <v>49</v>
      </c>
      <c r="AC1139" s="7">
        <f t="shared" si="2230"/>
        <v>25</v>
      </c>
      <c r="AD1139" s="7"/>
      <c r="AE1139" s="7"/>
      <c r="AF1139" s="7">
        <f t="shared" si="2231"/>
        <v>74</v>
      </c>
      <c r="AG1139" s="7">
        <v>7957.5</v>
      </c>
      <c r="AH1139" s="7">
        <v>2776.2</v>
      </c>
      <c r="AI1139" s="7">
        <v>3331.1</v>
      </c>
      <c r="AJ1139" s="7">
        <v>1337.9</v>
      </c>
      <c r="AK1139" s="7">
        <v>317.1</v>
      </c>
      <c r="AL1139" s="7">
        <v>195.2</v>
      </c>
      <c r="AM1139" s="7">
        <v>119.0</v>
      </c>
      <c r="AN1139" s="7">
        <v>29.0</v>
      </c>
      <c r="AO1139" s="7">
        <v>31.3</v>
      </c>
      <c r="AP1139" s="9">
        <f t="shared" ref="AP1139:AR1139" si="3556">AG1139/$AF1139</f>
        <v>107.5337838</v>
      </c>
      <c r="AQ1139" s="9">
        <f t="shared" si="3556"/>
        <v>37.51621622</v>
      </c>
      <c r="AR1139" s="9">
        <f t="shared" si="3556"/>
        <v>45.01486486</v>
      </c>
      <c r="AS1139" s="9">
        <f t="shared" si="2233"/>
        <v>82.53108108</v>
      </c>
      <c r="AT1139" s="9">
        <f t="shared" ref="AT1139:AV1139" si="3557">AJ1139/$AF1139</f>
        <v>18.07972973</v>
      </c>
      <c r="AU1139" s="9">
        <f t="shared" si="3557"/>
        <v>4.285135135</v>
      </c>
      <c r="AV1139" s="9">
        <f t="shared" si="3557"/>
        <v>2.637837838</v>
      </c>
      <c r="AW1139" s="9">
        <f t="shared" si="2235"/>
        <v>6.922972973</v>
      </c>
      <c r="AX1139" s="9">
        <f t="shared" ref="AX1139:AY1139" si="3558">AM1139/$AF1139</f>
        <v>1.608108108</v>
      </c>
      <c r="AY1139" s="9">
        <f t="shared" si="3558"/>
        <v>0.3918918919</v>
      </c>
      <c r="AZ1139" s="9">
        <f>VLOOKUP(A1139,Jogos!A:BN,58,0)</f>
        <v>27.145</v>
      </c>
      <c r="BA1139" s="9">
        <f>VLOOKUP(A1139,Jogos!A:BN,59,0)</f>
        <v>23.175</v>
      </c>
      <c r="BB1139" s="9">
        <f>VLOOKUP(A1139,Jogos!A:BN,60,0)</f>
        <v>78.5</v>
      </c>
      <c r="BC1139" s="9">
        <f>VLOOKUP(A1139,Jogos!A:BN,61,0)</f>
        <v>25.955</v>
      </c>
      <c r="BD1139" s="9">
        <f>VLOOKUP(A1139,Jogos!A:BN,62,0)</f>
        <v>0</v>
      </c>
      <c r="BE1139" s="9">
        <f>VLOOKUP(A1139,Jogos!A:BN,63,0)</f>
        <v>1.1</v>
      </c>
      <c r="BF1139" s="9">
        <f>VLOOKUP(A1139,Jogos!A:BN,64,0)</f>
        <v>24.635</v>
      </c>
      <c r="BG1139" s="9">
        <f>VLOOKUP(A1139,Jogos!A:BN,65,0)</f>
        <v>42.785</v>
      </c>
      <c r="BH1139" s="9">
        <f>VLOOKUP(A1139,Jogos!A:BN,66,0)</f>
        <v>28.515</v>
      </c>
      <c r="BI1139" s="9"/>
      <c r="BJ1139" s="9"/>
    </row>
    <row r="1140" hidden="1">
      <c r="A1140" s="2">
        <v>39.0</v>
      </c>
      <c r="B1140" s="2" t="s">
        <v>375</v>
      </c>
      <c r="C1140" s="2" t="s">
        <v>61</v>
      </c>
      <c r="D1140" s="3">
        <v>45832.0</v>
      </c>
      <c r="E1140" s="4">
        <v>0.875</v>
      </c>
      <c r="F1140" s="5" t="str">
        <f>VLOOKUP(A1140,Jogos!A:N,10,0)</f>
        <v>Evening</v>
      </c>
      <c r="G1140" s="2" t="s">
        <v>1269</v>
      </c>
      <c r="H1140" s="6" t="str">
        <f>VLOOKUP(A1140,Jogos!A:L,12,0)</f>
        <v>Open</v>
      </c>
      <c r="I1140" s="6" t="str">
        <f>VLOOKUP(G1140,'Estádios e Cidades'!A:B,2,0)</f>
        <v>Orlando</v>
      </c>
      <c r="J1140" s="2" t="s">
        <v>378</v>
      </c>
      <c r="K1140" s="2" t="str">
        <f>VLOOKUP(J1140,Equipes!A:F,6,0)</f>
        <v>Temperate</v>
      </c>
      <c r="L1140" s="2">
        <f>VLOOKUP(J1140,Equipes!A:C,3,0)</f>
        <v>26</v>
      </c>
      <c r="M1140" s="2" t="str">
        <f t="shared" si="4"/>
        <v>Group</v>
      </c>
      <c r="N1140" s="2" t="s">
        <v>501</v>
      </c>
      <c r="O1140" s="2">
        <f>VLOOKUP(N1140,Equipes!A:C,3,0)</f>
        <v>11</v>
      </c>
      <c r="P1140" s="2" t="str">
        <f t="shared" si="5"/>
        <v>Round of 16</v>
      </c>
      <c r="Q1140" s="2">
        <f t="shared" si="6"/>
        <v>15</v>
      </c>
      <c r="R1140" s="2" t="str">
        <f>VLOOKUP(J1140,Equipes!A:B,2,0)</f>
        <v>LAFC</v>
      </c>
      <c r="S1140" s="6" t="s">
        <v>426</v>
      </c>
      <c r="T1140" s="7">
        <v>33.0</v>
      </c>
      <c r="U1140" s="7" t="s">
        <v>427</v>
      </c>
      <c r="V1140" s="7" t="str">
        <f>VLOOKUP(U1140,Jogadores!B:C,2,0)</f>
        <v>DF</v>
      </c>
      <c r="W1140" s="8">
        <f>VLOOKUP(U1140,Jogadores!B:D,3,0)</f>
        <v>32.81369863</v>
      </c>
      <c r="X1140" s="7">
        <v>0.0</v>
      </c>
      <c r="Y1140" s="7">
        <f t="shared" ref="Y1140:Y1147" si="3562">45+AB1140</f>
        <v>94</v>
      </c>
      <c r="Z1140" s="7">
        <f>VLOOKUP(A1140,Jogos!A:L,3,0)</f>
        <v>49</v>
      </c>
      <c r="AA1140" s="7">
        <f t="shared" si="2229"/>
        <v>49</v>
      </c>
      <c r="AB1140" s="7">
        <f>VLOOKUP(A1140,Jogos!A:L,4,0)</f>
        <v>49</v>
      </c>
      <c r="AC1140" s="7">
        <f t="shared" si="2230"/>
        <v>49</v>
      </c>
      <c r="AD1140" s="7"/>
      <c r="AE1140" s="7"/>
      <c r="AF1140" s="7">
        <f t="shared" si="2231"/>
        <v>98</v>
      </c>
      <c r="AG1140" s="7">
        <v>9087.2</v>
      </c>
      <c r="AH1140" s="7">
        <v>4277.6</v>
      </c>
      <c r="AI1140" s="7">
        <v>3963.8</v>
      </c>
      <c r="AJ1140" s="7">
        <v>635.8</v>
      </c>
      <c r="AK1140" s="7">
        <v>191.9</v>
      </c>
      <c r="AL1140" s="7">
        <v>18.2</v>
      </c>
      <c r="AM1140" s="7">
        <v>56.0</v>
      </c>
      <c r="AN1140" s="7">
        <v>15.0</v>
      </c>
      <c r="AO1140" s="7">
        <v>28.9</v>
      </c>
      <c r="AP1140" s="9">
        <f t="shared" ref="AP1140:AR1140" si="3559">AG1140/$AF1140</f>
        <v>92.72653061</v>
      </c>
      <c r="AQ1140" s="9">
        <f t="shared" si="3559"/>
        <v>43.64897959</v>
      </c>
      <c r="AR1140" s="9">
        <f t="shared" si="3559"/>
        <v>40.44693878</v>
      </c>
      <c r="AS1140" s="9">
        <f t="shared" si="2233"/>
        <v>84.09591837</v>
      </c>
      <c r="AT1140" s="9">
        <f t="shared" ref="AT1140:AV1140" si="3560">AJ1140/$AF1140</f>
        <v>6.487755102</v>
      </c>
      <c r="AU1140" s="9">
        <f t="shared" si="3560"/>
        <v>1.958163265</v>
      </c>
      <c r="AV1140" s="9">
        <f t="shared" si="3560"/>
        <v>0.1857142857</v>
      </c>
      <c r="AW1140" s="9">
        <f t="shared" si="2235"/>
        <v>2.143877551</v>
      </c>
      <c r="AX1140" s="9">
        <f t="shared" ref="AX1140:AY1140" si="3561">AM1140/$AF1140</f>
        <v>0.5714285714</v>
      </c>
      <c r="AY1140" s="9">
        <f t="shared" si="3561"/>
        <v>0.1530612245</v>
      </c>
      <c r="AZ1140" s="9">
        <f>VLOOKUP(A1140,Jogos!A:BN,58,0)</f>
        <v>27.145</v>
      </c>
      <c r="BA1140" s="9">
        <f>VLOOKUP(A1140,Jogos!A:BN,59,0)</f>
        <v>23.175</v>
      </c>
      <c r="BB1140" s="9">
        <f>VLOOKUP(A1140,Jogos!A:BN,60,0)</f>
        <v>78.5</v>
      </c>
      <c r="BC1140" s="9">
        <f>VLOOKUP(A1140,Jogos!A:BN,61,0)</f>
        <v>25.955</v>
      </c>
      <c r="BD1140" s="9">
        <f>VLOOKUP(A1140,Jogos!A:BN,62,0)</f>
        <v>0</v>
      </c>
      <c r="BE1140" s="9">
        <f>VLOOKUP(A1140,Jogos!A:BN,63,0)</f>
        <v>1.1</v>
      </c>
      <c r="BF1140" s="9">
        <f>VLOOKUP(A1140,Jogos!A:BN,64,0)</f>
        <v>24.635</v>
      </c>
      <c r="BG1140" s="9">
        <f>VLOOKUP(A1140,Jogos!A:BN,65,0)</f>
        <v>42.785</v>
      </c>
      <c r="BH1140" s="9">
        <f>VLOOKUP(A1140,Jogos!A:BN,66,0)</f>
        <v>28.515</v>
      </c>
      <c r="BI1140" s="9"/>
      <c r="BJ1140" s="9"/>
    </row>
    <row r="1141" hidden="1">
      <c r="A1141" s="2">
        <v>39.0</v>
      </c>
      <c r="B1141" s="2" t="s">
        <v>375</v>
      </c>
      <c r="C1141" s="2" t="s">
        <v>61</v>
      </c>
      <c r="D1141" s="3">
        <v>45832.0</v>
      </c>
      <c r="E1141" s="4">
        <v>0.875</v>
      </c>
      <c r="F1141" s="5" t="str">
        <f>VLOOKUP(A1141,Jogos!A:N,10,0)</f>
        <v>Evening</v>
      </c>
      <c r="G1141" s="2" t="s">
        <v>1269</v>
      </c>
      <c r="H1141" s="6" t="str">
        <f>VLOOKUP(A1141,Jogos!A:L,12,0)</f>
        <v>Open</v>
      </c>
      <c r="I1141" s="6" t="str">
        <f>VLOOKUP(G1141,'Estádios e Cidades'!A:B,2,0)</f>
        <v>Orlando</v>
      </c>
      <c r="J1141" s="2" t="s">
        <v>378</v>
      </c>
      <c r="K1141" s="2" t="str">
        <f>VLOOKUP(J1141,Equipes!A:F,6,0)</f>
        <v>Temperate</v>
      </c>
      <c r="L1141" s="2">
        <f>VLOOKUP(J1141,Equipes!A:C,3,0)</f>
        <v>26</v>
      </c>
      <c r="M1141" s="2" t="str">
        <f t="shared" si="4"/>
        <v>Group</v>
      </c>
      <c r="N1141" s="2" t="s">
        <v>501</v>
      </c>
      <c r="O1141" s="2">
        <f>VLOOKUP(N1141,Equipes!A:C,3,0)</f>
        <v>11</v>
      </c>
      <c r="P1141" s="2" t="str">
        <f t="shared" si="5"/>
        <v>Round of 16</v>
      </c>
      <c r="Q1141" s="2">
        <f t="shared" si="6"/>
        <v>15</v>
      </c>
      <c r="R1141" s="2" t="str">
        <f>VLOOKUP(J1141,Equipes!A:B,2,0)</f>
        <v>LAFC</v>
      </c>
      <c r="S1141" s="6" t="s">
        <v>428</v>
      </c>
      <c r="T1141" s="7">
        <v>99.0</v>
      </c>
      <c r="U1141" s="7" t="s">
        <v>429</v>
      </c>
      <c r="V1141" s="7" t="str">
        <f>VLOOKUP(U1141,Jogadores!B:C,2,0)</f>
        <v>FW</v>
      </c>
      <c r="W1141" s="8">
        <f>VLOOKUP(U1141,Jogadores!B:D,3,0)</f>
        <v>30.73150685</v>
      </c>
      <c r="X1141" s="7">
        <v>0.0</v>
      </c>
      <c r="Y1141" s="7">
        <f t="shared" si="3562"/>
        <v>94</v>
      </c>
      <c r="Z1141" s="7">
        <f>VLOOKUP(A1141,Jogos!A:L,3,0)</f>
        <v>49</v>
      </c>
      <c r="AA1141" s="7">
        <f t="shared" si="2229"/>
        <v>49</v>
      </c>
      <c r="AB1141" s="7">
        <f>VLOOKUP(A1141,Jogos!A:L,4,0)</f>
        <v>49</v>
      </c>
      <c r="AC1141" s="7">
        <f t="shared" si="2230"/>
        <v>49</v>
      </c>
      <c r="AD1141" s="7"/>
      <c r="AE1141" s="7"/>
      <c r="AF1141" s="7">
        <f t="shared" si="2231"/>
        <v>98</v>
      </c>
      <c r="AG1141" s="7">
        <v>10225.1</v>
      </c>
      <c r="AH1141" s="7">
        <v>4262.3</v>
      </c>
      <c r="AI1141" s="7">
        <v>4216.2</v>
      </c>
      <c r="AJ1141" s="7">
        <v>890.1</v>
      </c>
      <c r="AK1141" s="7">
        <v>478.8</v>
      </c>
      <c r="AL1141" s="7">
        <v>377.8</v>
      </c>
      <c r="AM1141" s="7">
        <v>75.0</v>
      </c>
      <c r="AN1141" s="7">
        <v>41.0</v>
      </c>
      <c r="AO1141" s="7">
        <v>33.8</v>
      </c>
      <c r="AP1141" s="9">
        <f t="shared" ref="AP1141:AR1141" si="3563">AG1141/$AF1141</f>
        <v>104.3377551</v>
      </c>
      <c r="AQ1141" s="9">
        <f t="shared" si="3563"/>
        <v>43.49285714</v>
      </c>
      <c r="AR1141" s="9">
        <f t="shared" si="3563"/>
        <v>43.02244898</v>
      </c>
      <c r="AS1141" s="9">
        <f t="shared" si="2233"/>
        <v>86.51530612</v>
      </c>
      <c r="AT1141" s="9">
        <f t="shared" ref="AT1141:AV1141" si="3564">AJ1141/$AF1141</f>
        <v>9.082653061</v>
      </c>
      <c r="AU1141" s="9">
        <f t="shared" si="3564"/>
        <v>4.885714286</v>
      </c>
      <c r="AV1141" s="9">
        <f t="shared" si="3564"/>
        <v>3.855102041</v>
      </c>
      <c r="AW1141" s="9">
        <f t="shared" si="2235"/>
        <v>8.740816327</v>
      </c>
      <c r="AX1141" s="9">
        <f t="shared" ref="AX1141:AY1141" si="3565">AM1141/$AF1141</f>
        <v>0.7653061224</v>
      </c>
      <c r="AY1141" s="9">
        <f t="shared" si="3565"/>
        <v>0.4183673469</v>
      </c>
      <c r="AZ1141" s="9">
        <f>VLOOKUP(A1141,Jogos!A:BN,58,0)</f>
        <v>27.145</v>
      </c>
      <c r="BA1141" s="9">
        <f>VLOOKUP(A1141,Jogos!A:BN,59,0)</f>
        <v>23.175</v>
      </c>
      <c r="BB1141" s="9">
        <f>VLOOKUP(A1141,Jogos!A:BN,60,0)</f>
        <v>78.5</v>
      </c>
      <c r="BC1141" s="9">
        <f>VLOOKUP(A1141,Jogos!A:BN,61,0)</f>
        <v>25.955</v>
      </c>
      <c r="BD1141" s="9">
        <f>VLOOKUP(A1141,Jogos!A:BN,62,0)</f>
        <v>0</v>
      </c>
      <c r="BE1141" s="9">
        <f>VLOOKUP(A1141,Jogos!A:BN,63,0)</f>
        <v>1.1</v>
      </c>
      <c r="BF1141" s="9">
        <f>VLOOKUP(A1141,Jogos!A:BN,64,0)</f>
        <v>24.635</v>
      </c>
      <c r="BG1141" s="9">
        <f>VLOOKUP(A1141,Jogos!A:BN,65,0)</f>
        <v>42.785</v>
      </c>
      <c r="BH1141" s="9">
        <f>VLOOKUP(A1141,Jogos!A:BN,66,0)</f>
        <v>28.515</v>
      </c>
      <c r="BI1141" s="9"/>
      <c r="BJ1141" s="9"/>
    </row>
    <row r="1142" hidden="1">
      <c r="A1142" s="2">
        <v>39.0</v>
      </c>
      <c r="B1142" s="2" t="s">
        <v>375</v>
      </c>
      <c r="C1142" s="2" t="s">
        <v>61</v>
      </c>
      <c r="D1142" s="3">
        <v>45832.0</v>
      </c>
      <c r="E1142" s="4">
        <v>0.875</v>
      </c>
      <c r="F1142" s="5" t="str">
        <f>VLOOKUP(A1142,Jogos!A:N,10,0)</f>
        <v>Evening</v>
      </c>
      <c r="G1142" s="2" t="s">
        <v>1269</v>
      </c>
      <c r="H1142" s="6" t="str">
        <f>VLOOKUP(A1142,Jogos!A:L,12,0)</f>
        <v>Open</v>
      </c>
      <c r="I1142" s="6" t="str">
        <f>VLOOKUP(G1142,'Estádios e Cidades'!A:B,2,0)</f>
        <v>Orlando</v>
      </c>
      <c r="J1142" s="2" t="s">
        <v>378</v>
      </c>
      <c r="K1142" s="2" t="str">
        <f>VLOOKUP(J1142,Equipes!A:F,6,0)</f>
        <v>Temperate</v>
      </c>
      <c r="L1142" s="2">
        <f>VLOOKUP(J1142,Equipes!A:C,3,0)</f>
        <v>26</v>
      </c>
      <c r="M1142" s="2" t="str">
        <f t="shared" si="4"/>
        <v>Group</v>
      </c>
      <c r="N1142" s="2" t="s">
        <v>501</v>
      </c>
      <c r="O1142" s="2">
        <f>VLOOKUP(N1142,Equipes!A:C,3,0)</f>
        <v>11</v>
      </c>
      <c r="P1142" s="2" t="str">
        <f t="shared" si="5"/>
        <v>Round of 16</v>
      </c>
      <c r="Q1142" s="2">
        <f t="shared" si="6"/>
        <v>15</v>
      </c>
      <c r="R1142" s="2" t="str">
        <f>VLOOKUP(J1142,Equipes!A:B,2,0)</f>
        <v>LAFC</v>
      </c>
      <c r="S1142" s="6" t="s">
        <v>432</v>
      </c>
      <c r="T1142" s="7">
        <v>9.0</v>
      </c>
      <c r="U1142" s="7" t="s">
        <v>433</v>
      </c>
      <c r="V1142" s="7" t="str">
        <f>VLOOKUP(U1142,Jogadores!B:C,2,0)</f>
        <v>FW</v>
      </c>
      <c r="W1142" s="8">
        <f>VLOOKUP(U1142,Jogadores!B:D,3,0)</f>
        <v>38.85205479</v>
      </c>
      <c r="X1142" s="7">
        <v>61.0</v>
      </c>
      <c r="Y1142" s="7">
        <f t="shared" si="3562"/>
        <v>94</v>
      </c>
      <c r="Z1142" s="7">
        <f>VLOOKUP(A1142,Jogos!A:L,3,0)</f>
        <v>49</v>
      </c>
      <c r="AA1142" s="7">
        <f t="shared" si="2229"/>
        <v>0</v>
      </c>
      <c r="AB1142" s="7">
        <f>VLOOKUP(A1142,Jogos!A:L,4,0)</f>
        <v>49</v>
      </c>
      <c r="AC1142" s="7">
        <f t="shared" si="2230"/>
        <v>33</v>
      </c>
      <c r="AD1142" s="7"/>
      <c r="AE1142" s="7"/>
      <c r="AF1142" s="7">
        <f t="shared" si="2231"/>
        <v>33</v>
      </c>
      <c r="AG1142" s="7">
        <v>3455.8</v>
      </c>
      <c r="AH1142" s="7">
        <v>1477.6</v>
      </c>
      <c r="AI1142" s="7">
        <v>1259.4</v>
      </c>
      <c r="AJ1142" s="7">
        <v>378.4</v>
      </c>
      <c r="AK1142" s="7">
        <v>198.2</v>
      </c>
      <c r="AL1142" s="7">
        <v>142.2</v>
      </c>
      <c r="AM1142" s="7">
        <v>44.0</v>
      </c>
      <c r="AN1142" s="7">
        <v>18.0</v>
      </c>
      <c r="AO1142" s="7">
        <v>29.1</v>
      </c>
      <c r="AP1142" s="9">
        <f t="shared" ref="AP1142:AR1142" si="3566">AG1142/$AF1142</f>
        <v>104.7212121</v>
      </c>
      <c r="AQ1142" s="9">
        <f t="shared" si="3566"/>
        <v>44.77575758</v>
      </c>
      <c r="AR1142" s="9">
        <f t="shared" si="3566"/>
        <v>38.16363636</v>
      </c>
      <c r="AS1142" s="9">
        <f t="shared" si="2233"/>
        <v>82.93939394</v>
      </c>
      <c r="AT1142" s="9">
        <f t="shared" ref="AT1142:AV1142" si="3567">AJ1142/$AF1142</f>
        <v>11.46666667</v>
      </c>
      <c r="AU1142" s="9">
        <f t="shared" si="3567"/>
        <v>6.006060606</v>
      </c>
      <c r="AV1142" s="9">
        <f t="shared" si="3567"/>
        <v>4.309090909</v>
      </c>
      <c r="AW1142" s="9">
        <f t="shared" si="2235"/>
        <v>10.31515152</v>
      </c>
      <c r="AX1142" s="9">
        <f t="shared" ref="AX1142:AY1142" si="3568">AM1142/$AF1142</f>
        <v>1.333333333</v>
      </c>
      <c r="AY1142" s="9">
        <f t="shared" si="3568"/>
        <v>0.5454545455</v>
      </c>
      <c r="AZ1142" s="9">
        <f>VLOOKUP(A1142,Jogos!A:BN,58,0)</f>
        <v>27.145</v>
      </c>
      <c r="BA1142" s="9">
        <f>VLOOKUP(A1142,Jogos!A:BN,59,0)</f>
        <v>23.175</v>
      </c>
      <c r="BB1142" s="9">
        <f>VLOOKUP(A1142,Jogos!A:BN,60,0)</f>
        <v>78.5</v>
      </c>
      <c r="BC1142" s="9">
        <f>VLOOKUP(A1142,Jogos!A:BN,61,0)</f>
        <v>25.955</v>
      </c>
      <c r="BD1142" s="9">
        <f>VLOOKUP(A1142,Jogos!A:BN,62,0)</f>
        <v>0</v>
      </c>
      <c r="BE1142" s="9">
        <f>VLOOKUP(A1142,Jogos!A:BN,63,0)</f>
        <v>1.1</v>
      </c>
      <c r="BF1142" s="9">
        <f>VLOOKUP(A1142,Jogos!A:BN,64,0)</f>
        <v>24.635</v>
      </c>
      <c r="BG1142" s="9">
        <f>VLOOKUP(A1142,Jogos!A:BN,65,0)</f>
        <v>42.785</v>
      </c>
      <c r="BH1142" s="9">
        <f>VLOOKUP(A1142,Jogos!A:BN,66,0)</f>
        <v>28.515</v>
      </c>
      <c r="BI1142" s="9"/>
      <c r="BJ1142" s="9"/>
    </row>
    <row r="1143" hidden="1">
      <c r="A1143" s="2">
        <v>39.0</v>
      </c>
      <c r="B1143" s="2" t="s">
        <v>375</v>
      </c>
      <c r="C1143" s="2" t="s">
        <v>61</v>
      </c>
      <c r="D1143" s="3">
        <v>45832.0</v>
      </c>
      <c r="E1143" s="4">
        <v>0.875</v>
      </c>
      <c r="F1143" s="5" t="str">
        <f>VLOOKUP(A1143,Jogos!A:N,10,0)</f>
        <v>Evening</v>
      </c>
      <c r="G1143" s="2" t="s">
        <v>1269</v>
      </c>
      <c r="H1143" s="6" t="str">
        <f>VLOOKUP(A1143,Jogos!A:L,12,0)</f>
        <v>Open</v>
      </c>
      <c r="I1143" s="6" t="str">
        <f>VLOOKUP(G1143,'Estádios e Cidades'!A:B,2,0)</f>
        <v>Orlando</v>
      </c>
      <c r="J1143" s="2" t="s">
        <v>378</v>
      </c>
      <c r="K1143" s="2" t="str">
        <f>VLOOKUP(J1143,Equipes!A:F,6,0)</f>
        <v>Temperate</v>
      </c>
      <c r="L1143" s="2">
        <f>VLOOKUP(J1143,Equipes!A:C,3,0)</f>
        <v>26</v>
      </c>
      <c r="M1143" s="2" t="str">
        <f t="shared" si="4"/>
        <v>Group</v>
      </c>
      <c r="N1143" s="2" t="s">
        <v>501</v>
      </c>
      <c r="O1143" s="2">
        <f>VLOOKUP(N1143,Equipes!A:C,3,0)</f>
        <v>11</v>
      </c>
      <c r="P1143" s="2" t="str">
        <f t="shared" si="5"/>
        <v>Round of 16</v>
      </c>
      <c r="Q1143" s="2">
        <f t="shared" si="6"/>
        <v>15</v>
      </c>
      <c r="R1143" s="2" t="str">
        <f>VLOOKUP(J1143,Equipes!A:B,2,0)</f>
        <v>LAFC</v>
      </c>
      <c r="S1143" s="6" t="s">
        <v>416</v>
      </c>
      <c r="T1143" s="7">
        <v>11.0</v>
      </c>
      <c r="U1143" s="7" t="s">
        <v>417</v>
      </c>
      <c r="V1143" s="7" t="str">
        <f>VLOOKUP(U1143,Jogadores!B:C,2,0)</f>
        <v>MF</v>
      </c>
      <c r="W1143" s="8">
        <f>VLOOKUP(U1143,Jogadores!B:D,3,0)</f>
        <v>26.58082192</v>
      </c>
      <c r="X1143" s="7">
        <v>70.0</v>
      </c>
      <c r="Y1143" s="7">
        <f t="shared" si="3562"/>
        <v>94</v>
      </c>
      <c r="Z1143" s="7">
        <f>VLOOKUP(A1143,Jogos!A:L,3,0)</f>
        <v>49</v>
      </c>
      <c r="AA1143" s="7">
        <f t="shared" si="2229"/>
        <v>0</v>
      </c>
      <c r="AB1143" s="7">
        <f>VLOOKUP(A1143,Jogos!A:L,4,0)</f>
        <v>49</v>
      </c>
      <c r="AC1143" s="7">
        <f t="shared" si="2230"/>
        <v>24</v>
      </c>
      <c r="AD1143" s="7"/>
      <c r="AE1143" s="7"/>
      <c r="AF1143" s="7">
        <f t="shared" si="2231"/>
        <v>24</v>
      </c>
      <c r="AG1143" s="7">
        <v>2585.7</v>
      </c>
      <c r="AH1143" s="7">
        <v>859.8</v>
      </c>
      <c r="AI1143" s="7">
        <v>1129.6</v>
      </c>
      <c r="AJ1143" s="7">
        <v>466.8</v>
      </c>
      <c r="AK1143" s="7">
        <v>118.3</v>
      </c>
      <c r="AL1143" s="7">
        <v>11.2</v>
      </c>
      <c r="AM1143" s="7">
        <v>41.0</v>
      </c>
      <c r="AN1143" s="7">
        <v>11.0</v>
      </c>
      <c r="AO1143" s="7">
        <v>28.0</v>
      </c>
      <c r="AP1143" s="9">
        <f t="shared" ref="AP1143:AR1143" si="3569">AG1143/$AF1143</f>
        <v>107.7375</v>
      </c>
      <c r="AQ1143" s="9">
        <f t="shared" si="3569"/>
        <v>35.825</v>
      </c>
      <c r="AR1143" s="9">
        <f t="shared" si="3569"/>
        <v>47.06666667</v>
      </c>
      <c r="AS1143" s="9">
        <f t="shared" si="2233"/>
        <v>82.89166667</v>
      </c>
      <c r="AT1143" s="9">
        <f t="shared" ref="AT1143:AV1143" si="3570">AJ1143/$AF1143</f>
        <v>19.45</v>
      </c>
      <c r="AU1143" s="9">
        <f t="shared" si="3570"/>
        <v>4.929166667</v>
      </c>
      <c r="AV1143" s="9">
        <f t="shared" si="3570"/>
        <v>0.4666666667</v>
      </c>
      <c r="AW1143" s="9">
        <f t="shared" si="2235"/>
        <v>5.395833333</v>
      </c>
      <c r="AX1143" s="9">
        <f t="shared" ref="AX1143:AY1143" si="3571">AM1143/$AF1143</f>
        <v>1.708333333</v>
      </c>
      <c r="AY1143" s="9">
        <f t="shared" si="3571"/>
        <v>0.4583333333</v>
      </c>
      <c r="AZ1143" s="9">
        <f>VLOOKUP(A1143,Jogos!A:BN,58,0)</f>
        <v>27.145</v>
      </c>
      <c r="BA1143" s="9">
        <f>VLOOKUP(A1143,Jogos!A:BN,59,0)</f>
        <v>23.175</v>
      </c>
      <c r="BB1143" s="9">
        <f>VLOOKUP(A1143,Jogos!A:BN,60,0)</f>
        <v>78.5</v>
      </c>
      <c r="BC1143" s="9">
        <f>VLOOKUP(A1143,Jogos!A:BN,61,0)</f>
        <v>25.955</v>
      </c>
      <c r="BD1143" s="9">
        <f>VLOOKUP(A1143,Jogos!A:BN,62,0)</f>
        <v>0</v>
      </c>
      <c r="BE1143" s="9">
        <f>VLOOKUP(A1143,Jogos!A:BN,63,0)</f>
        <v>1.1</v>
      </c>
      <c r="BF1143" s="9">
        <f>VLOOKUP(A1143,Jogos!A:BN,64,0)</f>
        <v>24.635</v>
      </c>
      <c r="BG1143" s="9">
        <f>VLOOKUP(A1143,Jogos!A:BN,65,0)</f>
        <v>42.785</v>
      </c>
      <c r="BH1143" s="9">
        <f>VLOOKUP(A1143,Jogos!A:BN,66,0)</f>
        <v>28.515</v>
      </c>
      <c r="BI1143" s="9"/>
      <c r="BJ1143" s="9"/>
    </row>
    <row r="1144" hidden="1">
      <c r="A1144" s="2">
        <v>39.0</v>
      </c>
      <c r="B1144" s="2" t="s">
        <v>375</v>
      </c>
      <c r="C1144" s="2" t="s">
        <v>61</v>
      </c>
      <c r="D1144" s="3">
        <v>45832.0</v>
      </c>
      <c r="E1144" s="4">
        <v>0.875</v>
      </c>
      <c r="F1144" s="5" t="str">
        <f>VLOOKUP(A1144,Jogos!A:N,10,0)</f>
        <v>Evening</v>
      </c>
      <c r="G1144" s="2" t="s">
        <v>1269</v>
      </c>
      <c r="H1144" s="6" t="str">
        <f>VLOOKUP(A1144,Jogos!A:L,12,0)</f>
        <v>Open</v>
      </c>
      <c r="I1144" s="6" t="str">
        <f>VLOOKUP(G1144,'Estádios e Cidades'!A:B,2,0)</f>
        <v>Orlando</v>
      </c>
      <c r="J1144" s="2" t="s">
        <v>378</v>
      </c>
      <c r="K1144" s="2" t="str">
        <f>VLOOKUP(J1144,Equipes!A:F,6,0)</f>
        <v>Temperate</v>
      </c>
      <c r="L1144" s="2">
        <f>VLOOKUP(J1144,Equipes!A:C,3,0)</f>
        <v>26</v>
      </c>
      <c r="M1144" s="2" t="str">
        <f t="shared" si="4"/>
        <v>Group</v>
      </c>
      <c r="N1144" s="2" t="s">
        <v>501</v>
      </c>
      <c r="O1144" s="2">
        <f>VLOOKUP(N1144,Equipes!A:C,3,0)</f>
        <v>11</v>
      </c>
      <c r="P1144" s="2" t="str">
        <f t="shared" si="5"/>
        <v>Round of 16</v>
      </c>
      <c r="Q1144" s="2">
        <f t="shared" si="6"/>
        <v>15</v>
      </c>
      <c r="R1144" s="2" t="str">
        <f>VLOOKUP(J1144,Equipes!A:B,2,0)</f>
        <v>LAFC</v>
      </c>
      <c r="S1144" s="6" t="s">
        <v>436</v>
      </c>
      <c r="T1144" s="7">
        <v>23.0</v>
      </c>
      <c r="U1144" s="7" t="s">
        <v>437</v>
      </c>
      <c r="V1144" s="7" t="str">
        <f>VLOOKUP(U1144,Jogadores!B:C,2,0)</f>
        <v>MF</v>
      </c>
      <c r="W1144" s="8">
        <f>VLOOKUP(U1144,Jogadores!B:D,3,0)</f>
        <v>24.85205479</v>
      </c>
      <c r="X1144" s="7">
        <v>89.0</v>
      </c>
      <c r="Y1144" s="7">
        <f t="shared" si="3562"/>
        <v>94</v>
      </c>
      <c r="Z1144" s="7">
        <f>VLOOKUP(A1144,Jogos!A:L,3,0)</f>
        <v>49</v>
      </c>
      <c r="AA1144" s="7">
        <f t="shared" si="2229"/>
        <v>0</v>
      </c>
      <c r="AB1144" s="7">
        <f>VLOOKUP(A1144,Jogos!A:L,4,0)</f>
        <v>49</v>
      </c>
      <c r="AC1144" s="7">
        <f t="shared" si="2230"/>
        <v>5</v>
      </c>
      <c r="AD1144" s="7"/>
      <c r="AE1144" s="7"/>
      <c r="AF1144" s="7">
        <f t="shared" si="2231"/>
        <v>5</v>
      </c>
      <c r="AG1144" s="7">
        <v>694.0</v>
      </c>
      <c r="AH1144" s="7">
        <v>176.5</v>
      </c>
      <c r="AI1144" s="7">
        <v>314.3</v>
      </c>
      <c r="AJ1144" s="7">
        <v>122.9</v>
      </c>
      <c r="AK1144" s="7">
        <v>46.4</v>
      </c>
      <c r="AL1144" s="7">
        <v>33.9</v>
      </c>
      <c r="AM1144" s="7">
        <v>10.0</v>
      </c>
      <c r="AN1144" s="7">
        <v>4.0</v>
      </c>
      <c r="AO1144" s="7">
        <v>28.0</v>
      </c>
      <c r="AP1144" s="9">
        <f t="shared" ref="AP1144:AR1144" si="3572">AG1144/$AF1144</f>
        <v>138.8</v>
      </c>
      <c r="AQ1144" s="9">
        <f t="shared" si="3572"/>
        <v>35.3</v>
      </c>
      <c r="AR1144" s="9">
        <f t="shared" si="3572"/>
        <v>62.86</v>
      </c>
      <c r="AS1144" s="9">
        <f t="shared" si="2233"/>
        <v>98.16</v>
      </c>
      <c r="AT1144" s="9">
        <f t="shared" ref="AT1144:AV1144" si="3573">AJ1144/$AF1144</f>
        <v>24.58</v>
      </c>
      <c r="AU1144" s="9">
        <f t="shared" si="3573"/>
        <v>9.28</v>
      </c>
      <c r="AV1144" s="9">
        <f t="shared" si="3573"/>
        <v>6.78</v>
      </c>
      <c r="AW1144" s="9">
        <f t="shared" si="2235"/>
        <v>16.06</v>
      </c>
      <c r="AX1144" s="9">
        <f t="shared" ref="AX1144:AY1144" si="3574">AM1144/$AF1144</f>
        <v>2</v>
      </c>
      <c r="AY1144" s="9">
        <f t="shared" si="3574"/>
        <v>0.8</v>
      </c>
      <c r="AZ1144" s="9">
        <f>VLOOKUP(A1144,Jogos!A:BN,58,0)</f>
        <v>27.145</v>
      </c>
      <c r="BA1144" s="9">
        <f>VLOOKUP(A1144,Jogos!A:BN,59,0)</f>
        <v>23.175</v>
      </c>
      <c r="BB1144" s="9">
        <f>VLOOKUP(A1144,Jogos!A:BN,60,0)</f>
        <v>78.5</v>
      </c>
      <c r="BC1144" s="9">
        <f>VLOOKUP(A1144,Jogos!A:BN,61,0)</f>
        <v>25.955</v>
      </c>
      <c r="BD1144" s="9">
        <f>VLOOKUP(A1144,Jogos!A:BN,62,0)</f>
        <v>0</v>
      </c>
      <c r="BE1144" s="9">
        <f>VLOOKUP(A1144,Jogos!A:BN,63,0)</f>
        <v>1.1</v>
      </c>
      <c r="BF1144" s="9">
        <f>VLOOKUP(A1144,Jogos!A:BN,64,0)</f>
        <v>24.635</v>
      </c>
      <c r="BG1144" s="9">
        <f>VLOOKUP(A1144,Jogos!A:BN,65,0)</f>
        <v>42.785</v>
      </c>
      <c r="BH1144" s="9">
        <f>VLOOKUP(A1144,Jogos!A:BN,66,0)</f>
        <v>28.515</v>
      </c>
      <c r="BI1144" s="9"/>
      <c r="BJ1144" s="9"/>
    </row>
    <row r="1145" hidden="1">
      <c r="A1145" s="2">
        <v>39.0</v>
      </c>
      <c r="B1145" s="2" t="s">
        <v>375</v>
      </c>
      <c r="C1145" s="2" t="s">
        <v>61</v>
      </c>
      <c r="D1145" s="3">
        <v>45832.0</v>
      </c>
      <c r="E1145" s="4">
        <v>0.875</v>
      </c>
      <c r="F1145" s="5" t="str">
        <f>VLOOKUP(A1145,Jogos!A:N,10,0)</f>
        <v>Evening</v>
      </c>
      <c r="G1145" s="2" t="s">
        <v>1269</v>
      </c>
      <c r="H1145" s="6" t="str">
        <f>VLOOKUP(A1145,Jogos!A:L,12,0)</f>
        <v>Open</v>
      </c>
      <c r="I1145" s="6" t="str">
        <f>VLOOKUP(G1145,'Estádios e Cidades'!A:B,2,0)</f>
        <v>Orlando</v>
      </c>
      <c r="J1145" s="2" t="s">
        <v>378</v>
      </c>
      <c r="K1145" s="2" t="str">
        <f>VLOOKUP(J1145,Equipes!A:F,6,0)</f>
        <v>Temperate</v>
      </c>
      <c r="L1145" s="2">
        <f>VLOOKUP(J1145,Equipes!A:C,3,0)</f>
        <v>26</v>
      </c>
      <c r="M1145" s="2" t="str">
        <f t="shared" si="4"/>
        <v>Group</v>
      </c>
      <c r="N1145" s="2" t="s">
        <v>501</v>
      </c>
      <c r="O1145" s="2">
        <f>VLOOKUP(N1145,Equipes!A:C,3,0)</f>
        <v>11</v>
      </c>
      <c r="P1145" s="2" t="str">
        <f t="shared" si="5"/>
        <v>Round of 16</v>
      </c>
      <c r="Q1145" s="2">
        <f t="shared" si="6"/>
        <v>15</v>
      </c>
      <c r="R1145" s="2" t="str">
        <f>VLOOKUP(J1145,Equipes!A:B,2,0)</f>
        <v>LAFC</v>
      </c>
      <c r="S1145" s="6" t="s">
        <v>1270</v>
      </c>
      <c r="T1145" s="7">
        <v>29.0</v>
      </c>
      <c r="U1145" s="7" t="s">
        <v>1271</v>
      </c>
      <c r="V1145" s="7" t="s">
        <v>1272</v>
      </c>
      <c r="W1145" s="8">
        <f>VLOOKUP(U1145,Jogadores!B:D,3,0)</f>
        <v>22.18082192</v>
      </c>
      <c r="X1145" s="7">
        <v>45.0</v>
      </c>
      <c r="Y1145" s="7">
        <f t="shared" si="3562"/>
        <v>94</v>
      </c>
      <c r="Z1145" s="7">
        <f>VLOOKUP(A1145,Jogos!A:L,3,0)</f>
        <v>49</v>
      </c>
      <c r="AA1145" s="7">
        <f t="shared" si="2229"/>
        <v>0</v>
      </c>
      <c r="AB1145" s="7">
        <f>VLOOKUP(A1145,Jogos!A:L,4,0)</f>
        <v>49</v>
      </c>
      <c r="AC1145" s="7">
        <f t="shared" si="2230"/>
        <v>49</v>
      </c>
      <c r="AD1145" s="7"/>
      <c r="AE1145" s="7"/>
      <c r="AF1145" s="7">
        <f t="shared" si="2231"/>
        <v>49</v>
      </c>
      <c r="AG1145" s="7">
        <v>5287.1</v>
      </c>
      <c r="AH1145" s="7">
        <v>1898.2</v>
      </c>
      <c r="AI1145" s="7">
        <v>2253.4</v>
      </c>
      <c r="AJ1145" s="7">
        <v>641.5</v>
      </c>
      <c r="AK1145" s="7">
        <v>345.5</v>
      </c>
      <c r="AL1145" s="7">
        <v>148.6</v>
      </c>
      <c r="AM1145" s="7">
        <v>54.0</v>
      </c>
      <c r="AN1145" s="7">
        <v>26.0</v>
      </c>
      <c r="AO1145" s="7">
        <v>32.6</v>
      </c>
      <c r="AP1145" s="9">
        <f t="shared" ref="AP1145:AR1145" si="3575">AG1145/$AF1145</f>
        <v>107.9</v>
      </c>
      <c r="AQ1145" s="9">
        <f t="shared" si="3575"/>
        <v>38.73877551</v>
      </c>
      <c r="AR1145" s="9">
        <f t="shared" si="3575"/>
        <v>45.9877551</v>
      </c>
      <c r="AS1145" s="9">
        <f t="shared" si="2233"/>
        <v>84.72653061</v>
      </c>
      <c r="AT1145" s="9">
        <f t="shared" ref="AT1145:AV1145" si="3576">AJ1145/$AF1145</f>
        <v>13.09183673</v>
      </c>
      <c r="AU1145" s="9">
        <f t="shared" si="3576"/>
        <v>7.051020408</v>
      </c>
      <c r="AV1145" s="9">
        <f t="shared" si="3576"/>
        <v>3.032653061</v>
      </c>
      <c r="AW1145" s="9">
        <f t="shared" si="2235"/>
        <v>10.08367347</v>
      </c>
      <c r="AX1145" s="9">
        <f t="shared" ref="AX1145:AY1145" si="3577">AM1145/$AF1145</f>
        <v>1.102040816</v>
      </c>
      <c r="AY1145" s="9">
        <f t="shared" si="3577"/>
        <v>0.5306122449</v>
      </c>
      <c r="AZ1145" s="9">
        <f>VLOOKUP(A1145,Jogos!A:BN,58,0)</f>
        <v>27.145</v>
      </c>
      <c r="BA1145" s="9">
        <f>VLOOKUP(A1145,Jogos!A:BN,59,0)</f>
        <v>23.175</v>
      </c>
      <c r="BB1145" s="9">
        <f>VLOOKUP(A1145,Jogos!A:BN,60,0)</f>
        <v>78.5</v>
      </c>
      <c r="BC1145" s="9">
        <f>VLOOKUP(A1145,Jogos!A:BN,61,0)</f>
        <v>25.955</v>
      </c>
      <c r="BD1145" s="9">
        <f>VLOOKUP(A1145,Jogos!A:BN,62,0)</f>
        <v>0</v>
      </c>
      <c r="BE1145" s="9">
        <f>VLOOKUP(A1145,Jogos!A:BN,63,0)</f>
        <v>1.1</v>
      </c>
      <c r="BF1145" s="9">
        <f>VLOOKUP(A1145,Jogos!A:BN,64,0)</f>
        <v>24.635</v>
      </c>
      <c r="BG1145" s="9">
        <f>VLOOKUP(A1145,Jogos!A:BN,65,0)</f>
        <v>42.785</v>
      </c>
      <c r="BH1145" s="9">
        <f>VLOOKUP(A1145,Jogos!A:BN,66,0)</f>
        <v>28.515</v>
      </c>
      <c r="BI1145" s="9"/>
      <c r="BJ1145" s="9"/>
    </row>
    <row r="1146" hidden="1">
      <c r="A1146" s="10">
        <v>39.0</v>
      </c>
      <c r="B1146" s="11" t="s">
        <v>375</v>
      </c>
      <c r="C1146" s="2" t="s">
        <v>61</v>
      </c>
      <c r="D1146" s="12">
        <v>45832.0</v>
      </c>
      <c r="E1146" s="13">
        <v>0.875</v>
      </c>
      <c r="F1146" s="5" t="str">
        <f>VLOOKUP(A1146,Jogos!A:N,10,0)</f>
        <v>Evening</v>
      </c>
      <c r="G1146" s="11" t="s">
        <v>1269</v>
      </c>
      <c r="H1146" s="6" t="str">
        <f>VLOOKUP(A1146,Jogos!A:L,12,0)</f>
        <v>Open</v>
      </c>
      <c r="I1146" s="6" t="str">
        <f>VLOOKUP(G1146,'Estádios e Cidades'!A:B,2,0)</f>
        <v>Orlando</v>
      </c>
      <c r="J1146" s="11" t="s">
        <v>501</v>
      </c>
      <c r="K1146" s="2" t="str">
        <f>VLOOKUP(J1146,Equipes!A:F,6,0)</f>
        <v>Tropical</v>
      </c>
      <c r="L1146" s="2">
        <f>VLOOKUP(J1146,Equipes!A:C,3,0)</f>
        <v>11</v>
      </c>
      <c r="M1146" s="2" t="str">
        <f t="shared" si="4"/>
        <v>Round of 16</v>
      </c>
      <c r="N1146" s="11" t="s">
        <v>378</v>
      </c>
      <c r="O1146" s="2">
        <f>VLOOKUP(N1146,Equipes!A:C,3,0)</f>
        <v>26</v>
      </c>
      <c r="P1146" s="2" t="str">
        <f t="shared" si="5"/>
        <v>Group</v>
      </c>
      <c r="Q1146" s="2">
        <f t="shared" si="6"/>
        <v>-15</v>
      </c>
      <c r="R1146" s="2" t="str">
        <f>VLOOKUP(J1146,Equipes!A:B,2,0)</f>
        <v>Flamengo</v>
      </c>
      <c r="S1146" s="14" t="s">
        <v>503</v>
      </c>
      <c r="T1146" s="7">
        <v>2.0</v>
      </c>
      <c r="U1146" s="7" t="s">
        <v>504</v>
      </c>
      <c r="V1146" s="7" t="str">
        <f>VLOOKUP(U1146,Jogadores!B:C,2,0)</f>
        <v>DF</v>
      </c>
      <c r="W1146" s="8">
        <f>VLOOKUP(U1146,Jogadores!B:D,3,0)</f>
        <v>32.36712329</v>
      </c>
      <c r="X1146" s="7">
        <v>0.0</v>
      </c>
      <c r="Y1146" s="7">
        <f t="shared" si="3562"/>
        <v>94</v>
      </c>
      <c r="Z1146" s="7">
        <f>VLOOKUP(A1146,Jogos!A:L,3,0)</f>
        <v>49</v>
      </c>
      <c r="AA1146" s="7">
        <f t="shared" si="2229"/>
        <v>49</v>
      </c>
      <c r="AB1146" s="7">
        <f>VLOOKUP(A1146,Jogos!A:L,4,0)</f>
        <v>49</v>
      </c>
      <c r="AC1146" s="7">
        <f t="shared" si="2230"/>
        <v>49</v>
      </c>
      <c r="AD1146" s="7"/>
      <c r="AE1146" s="7"/>
      <c r="AF1146" s="7">
        <f t="shared" si="2231"/>
        <v>98</v>
      </c>
      <c r="AG1146" s="7">
        <v>10642.8</v>
      </c>
      <c r="AH1146" s="7">
        <v>3848.3</v>
      </c>
      <c r="AI1146" s="7">
        <v>4448.7</v>
      </c>
      <c r="AJ1146" s="7">
        <v>1430.6</v>
      </c>
      <c r="AK1146" s="7">
        <v>605.2</v>
      </c>
      <c r="AL1146" s="7">
        <v>310.0</v>
      </c>
      <c r="AM1146" s="7">
        <v>136.0</v>
      </c>
      <c r="AN1146" s="7">
        <v>49.0</v>
      </c>
      <c r="AO1146" s="7">
        <v>32.1</v>
      </c>
      <c r="AP1146" s="9">
        <f t="shared" ref="AP1146:AR1146" si="3578">AG1146/$AF1146</f>
        <v>108.6</v>
      </c>
      <c r="AQ1146" s="9">
        <f t="shared" si="3578"/>
        <v>39.26836735</v>
      </c>
      <c r="AR1146" s="9">
        <f t="shared" si="3578"/>
        <v>45.39489796</v>
      </c>
      <c r="AS1146" s="9">
        <f t="shared" si="2233"/>
        <v>84.66326531</v>
      </c>
      <c r="AT1146" s="9">
        <f t="shared" ref="AT1146:AV1146" si="3579">AJ1146/$AF1146</f>
        <v>14.59795918</v>
      </c>
      <c r="AU1146" s="9">
        <f t="shared" si="3579"/>
        <v>6.175510204</v>
      </c>
      <c r="AV1146" s="9">
        <f t="shared" si="3579"/>
        <v>3.163265306</v>
      </c>
      <c r="AW1146" s="9">
        <f t="shared" si="2235"/>
        <v>9.33877551</v>
      </c>
      <c r="AX1146" s="9">
        <f t="shared" ref="AX1146:AY1146" si="3580">AM1146/$AF1146</f>
        <v>1.387755102</v>
      </c>
      <c r="AY1146" s="9">
        <f t="shared" si="3580"/>
        <v>0.5</v>
      </c>
      <c r="AZ1146" s="9">
        <f>VLOOKUP(A1146,Jogos!A:BN,58,0)</f>
        <v>27.145</v>
      </c>
      <c r="BA1146" s="9">
        <f>VLOOKUP(A1146,Jogos!A:BN,59,0)</f>
        <v>23.175</v>
      </c>
      <c r="BB1146" s="9">
        <f>VLOOKUP(A1146,Jogos!A:BN,60,0)</f>
        <v>78.5</v>
      </c>
      <c r="BC1146" s="9">
        <f>VLOOKUP(A1146,Jogos!A:BN,61,0)</f>
        <v>25.955</v>
      </c>
      <c r="BD1146" s="9">
        <f>VLOOKUP(A1146,Jogos!A:BN,62,0)</f>
        <v>0</v>
      </c>
      <c r="BE1146" s="9">
        <f>VLOOKUP(A1146,Jogos!A:BN,63,0)</f>
        <v>1.1</v>
      </c>
      <c r="BF1146" s="9">
        <f>VLOOKUP(A1146,Jogos!A:BN,64,0)</f>
        <v>24.635</v>
      </c>
      <c r="BG1146" s="9">
        <f>VLOOKUP(A1146,Jogos!A:BN,65,0)</f>
        <v>42.785</v>
      </c>
      <c r="BH1146" s="9">
        <f>VLOOKUP(A1146,Jogos!A:BN,66,0)</f>
        <v>28.515</v>
      </c>
      <c r="BI1146" s="9"/>
      <c r="BJ1146" s="9"/>
    </row>
    <row r="1147" hidden="1">
      <c r="A1147" s="10">
        <v>39.0</v>
      </c>
      <c r="B1147" s="11" t="s">
        <v>375</v>
      </c>
      <c r="C1147" s="2" t="s">
        <v>61</v>
      </c>
      <c r="D1147" s="12">
        <v>45832.0</v>
      </c>
      <c r="E1147" s="13">
        <v>0.875</v>
      </c>
      <c r="F1147" s="5" t="str">
        <f>VLOOKUP(A1147,Jogos!A:N,10,0)</f>
        <v>Evening</v>
      </c>
      <c r="G1147" s="11" t="s">
        <v>1269</v>
      </c>
      <c r="H1147" s="6" t="str">
        <f>VLOOKUP(A1147,Jogos!A:L,12,0)</f>
        <v>Open</v>
      </c>
      <c r="I1147" s="6" t="str">
        <f>VLOOKUP(G1147,'Estádios e Cidades'!A:B,2,0)</f>
        <v>Orlando</v>
      </c>
      <c r="J1147" s="11" t="s">
        <v>501</v>
      </c>
      <c r="K1147" s="2" t="str">
        <f>VLOOKUP(J1147,Equipes!A:F,6,0)</f>
        <v>Tropical</v>
      </c>
      <c r="L1147" s="2">
        <f>VLOOKUP(J1147,Equipes!A:C,3,0)</f>
        <v>11</v>
      </c>
      <c r="M1147" s="2" t="str">
        <f t="shared" si="4"/>
        <v>Round of 16</v>
      </c>
      <c r="N1147" s="11" t="s">
        <v>378</v>
      </c>
      <c r="O1147" s="2">
        <f>VLOOKUP(N1147,Equipes!A:C,3,0)</f>
        <v>26</v>
      </c>
      <c r="P1147" s="2" t="str">
        <f t="shared" si="5"/>
        <v>Group</v>
      </c>
      <c r="Q1147" s="2">
        <f t="shared" si="6"/>
        <v>-15</v>
      </c>
      <c r="R1147" s="2" t="str">
        <f>VLOOKUP(J1147,Equipes!A:B,2,0)</f>
        <v>Flamengo</v>
      </c>
      <c r="S1147" s="6" t="s">
        <v>505</v>
      </c>
      <c r="T1147" s="7">
        <v>3.0</v>
      </c>
      <c r="U1147" s="7" t="s">
        <v>506</v>
      </c>
      <c r="V1147" s="7" t="str">
        <f>VLOOKUP(U1147,Jogadores!B:C,2,0)</f>
        <v>DF</v>
      </c>
      <c r="W1147" s="8">
        <f>VLOOKUP(U1147,Jogadores!B:D,3,0)</f>
        <v>29.58630137</v>
      </c>
      <c r="X1147" s="7">
        <v>0.0</v>
      </c>
      <c r="Y1147" s="7">
        <f t="shared" si="3562"/>
        <v>94</v>
      </c>
      <c r="Z1147" s="7">
        <f>VLOOKUP(A1147,Jogos!A:L,3,0)</f>
        <v>49</v>
      </c>
      <c r="AA1147" s="7">
        <f t="shared" si="2229"/>
        <v>49</v>
      </c>
      <c r="AB1147" s="7">
        <f>VLOOKUP(A1147,Jogos!A:L,4,0)</f>
        <v>49</v>
      </c>
      <c r="AC1147" s="7">
        <f t="shared" si="2230"/>
        <v>49</v>
      </c>
      <c r="AD1147" s="7"/>
      <c r="AE1147" s="7"/>
      <c r="AF1147" s="7">
        <f t="shared" si="2231"/>
        <v>98</v>
      </c>
      <c r="AG1147" s="7">
        <v>8616.1</v>
      </c>
      <c r="AH1147" s="7">
        <v>4069.0</v>
      </c>
      <c r="AI1147" s="7">
        <v>3186.0</v>
      </c>
      <c r="AJ1147" s="7">
        <v>757.1</v>
      </c>
      <c r="AK1147" s="7">
        <v>416.0</v>
      </c>
      <c r="AL1147" s="7">
        <v>188.0</v>
      </c>
      <c r="AM1147" s="7">
        <v>72.0</v>
      </c>
      <c r="AN1147" s="7">
        <v>30.0</v>
      </c>
      <c r="AO1147" s="7">
        <v>32.4</v>
      </c>
      <c r="AP1147" s="9">
        <f t="shared" ref="AP1147:AR1147" si="3581">AG1147/$AF1147</f>
        <v>87.91938776</v>
      </c>
      <c r="AQ1147" s="9">
        <f t="shared" si="3581"/>
        <v>41.52040816</v>
      </c>
      <c r="AR1147" s="9">
        <f t="shared" si="3581"/>
        <v>32.51020408</v>
      </c>
      <c r="AS1147" s="9">
        <f t="shared" si="2233"/>
        <v>74.03061224</v>
      </c>
      <c r="AT1147" s="9">
        <f t="shared" ref="AT1147:AV1147" si="3582">AJ1147/$AF1147</f>
        <v>7.725510204</v>
      </c>
      <c r="AU1147" s="9">
        <f t="shared" si="3582"/>
        <v>4.244897959</v>
      </c>
      <c r="AV1147" s="9">
        <f t="shared" si="3582"/>
        <v>1.918367347</v>
      </c>
      <c r="AW1147" s="9">
        <f t="shared" si="2235"/>
        <v>6.163265306</v>
      </c>
      <c r="AX1147" s="9">
        <f t="shared" ref="AX1147:AY1147" si="3583">AM1147/$AF1147</f>
        <v>0.7346938776</v>
      </c>
      <c r="AY1147" s="9">
        <f t="shared" si="3583"/>
        <v>0.306122449</v>
      </c>
      <c r="AZ1147" s="9">
        <f>VLOOKUP(A1147,Jogos!A:BN,58,0)</f>
        <v>27.145</v>
      </c>
      <c r="BA1147" s="9">
        <f>VLOOKUP(A1147,Jogos!A:BN,59,0)</f>
        <v>23.175</v>
      </c>
      <c r="BB1147" s="9">
        <f>VLOOKUP(A1147,Jogos!A:BN,60,0)</f>
        <v>78.5</v>
      </c>
      <c r="BC1147" s="9">
        <f>VLOOKUP(A1147,Jogos!A:BN,61,0)</f>
        <v>25.955</v>
      </c>
      <c r="BD1147" s="9">
        <f>VLOOKUP(A1147,Jogos!A:BN,62,0)</f>
        <v>0</v>
      </c>
      <c r="BE1147" s="9">
        <f>VLOOKUP(A1147,Jogos!A:BN,63,0)</f>
        <v>1.1</v>
      </c>
      <c r="BF1147" s="9">
        <f>VLOOKUP(A1147,Jogos!A:BN,64,0)</f>
        <v>24.635</v>
      </c>
      <c r="BG1147" s="9">
        <f>VLOOKUP(A1147,Jogos!A:BN,65,0)</f>
        <v>42.785</v>
      </c>
      <c r="BH1147" s="9">
        <f>VLOOKUP(A1147,Jogos!A:BN,66,0)</f>
        <v>28.515</v>
      </c>
      <c r="BI1147" s="9"/>
      <c r="BJ1147" s="9"/>
    </row>
    <row r="1148" hidden="1">
      <c r="A1148" s="10">
        <v>39.0</v>
      </c>
      <c r="B1148" s="11" t="s">
        <v>375</v>
      </c>
      <c r="C1148" s="2" t="s">
        <v>61</v>
      </c>
      <c r="D1148" s="12">
        <v>45832.0</v>
      </c>
      <c r="E1148" s="13">
        <v>0.875</v>
      </c>
      <c r="F1148" s="5" t="str">
        <f>VLOOKUP(A1148,Jogos!A:N,10,0)</f>
        <v>Evening</v>
      </c>
      <c r="G1148" s="11" t="s">
        <v>1269</v>
      </c>
      <c r="H1148" s="6" t="str">
        <f>VLOOKUP(A1148,Jogos!A:L,12,0)</f>
        <v>Open</v>
      </c>
      <c r="I1148" s="6" t="str">
        <f>VLOOKUP(G1148,'Estádios e Cidades'!A:B,2,0)</f>
        <v>Orlando</v>
      </c>
      <c r="J1148" s="11" t="s">
        <v>501</v>
      </c>
      <c r="K1148" s="2" t="str">
        <f>VLOOKUP(J1148,Equipes!A:F,6,0)</f>
        <v>Tropical</v>
      </c>
      <c r="L1148" s="2">
        <f>VLOOKUP(J1148,Equipes!A:C,3,0)</f>
        <v>11</v>
      </c>
      <c r="M1148" s="2" t="str">
        <f t="shared" si="4"/>
        <v>Round of 16</v>
      </c>
      <c r="N1148" s="11" t="s">
        <v>378</v>
      </c>
      <c r="O1148" s="2">
        <f>VLOOKUP(N1148,Equipes!A:C,3,0)</f>
        <v>26</v>
      </c>
      <c r="P1148" s="2" t="str">
        <f t="shared" si="5"/>
        <v>Group</v>
      </c>
      <c r="Q1148" s="2">
        <f t="shared" si="6"/>
        <v>-15</v>
      </c>
      <c r="R1148" s="2" t="str">
        <f>VLOOKUP(J1148,Equipes!A:B,2,0)</f>
        <v>Flamengo</v>
      </c>
      <c r="S1148" s="6" t="s">
        <v>513</v>
      </c>
      <c r="T1148" s="7">
        <v>7.0</v>
      </c>
      <c r="U1148" s="7" t="s">
        <v>514</v>
      </c>
      <c r="V1148" s="7" t="str">
        <f>VLOOKUP(U1148,Jogadores!B:C,2,0)</f>
        <v>FW</v>
      </c>
      <c r="W1148" s="8">
        <f>VLOOKUP(U1148,Jogadores!B:D,3,0)</f>
        <v>29.17260274</v>
      </c>
      <c r="X1148" s="7">
        <v>0.0</v>
      </c>
      <c r="Y1148" s="7">
        <v>71.0</v>
      </c>
      <c r="Z1148" s="7">
        <f>VLOOKUP(A1148,Jogos!A:L,3,0)</f>
        <v>49</v>
      </c>
      <c r="AA1148" s="7">
        <f t="shared" si="2229"/>
        <v>49</v>
      </c>
      <c r="AB1148" s="7">
        <f>VLOOKUP(A1148,Jogos!A:L,4,0)</f>
        <v>49</v>
      </c>
      <c r="AC1148" s="7">
        <f t="shared" si="2230"/>
        <v>26</v>
      </c>
      <c r="AD1148" s="7"/>
      <c r="AE1148" s="7"/>
      <c r="AF1148" s="7">
        <f t="shared" si="2231"/>
        <v>75</v>
      </c>
      <c r="AG1148" s="7">
        <v>8339.4</v>
      </c>
      <c r="AH1148" s="7">
        <v>3288.5</v>
      </c>
      <c r="AI1148" s="7">
        <v>3081.6</v>
      </c>
      <c r="AJ1148" s="7">
        <v>1315.8</v>
      </c>
      <c r="AK1148" s="7">
        <v>488.1</v>
      </c>
      <c r="AL1148" s="7">
        <v>165.5</v>
      </c>
      <c r="AM1148" s="7">
        <v>104.0</v>
      </c>
      <c r="AN1148" s="7">
        <v>40.0</v>
      </c>
      <c r="AO1148" s="7">
        <v>32.3</v>
      </c>
      <c r="AP1148" s="9">
        <f t="shared" ref="AP1148:AR1148" si="3584">AG1148/$AF1148</f>
        <v>111.192</v>
      </c>
      <c r="AQ1148" s="9">
        <f t="shared" si="3584"/>
        <v>43.84666667</v>
      </c>
      <c r="AR1148" s="9">
        <f t="shared" si="3584"/>
        <v>41.088</v>
      </c>
      <c r="AS1148" s="9">
        <f t="shared" si="2233"/>
        <v>84.93466667</v>
      </c>
      <c r="AT1148" s="9">
        <f t="shared" ref="AT1148:AV1148" si="3585">AJ1148/$AF1148</f>
        <v>17.544</v>
      </c>
      <c r="AU1148" s="9">
        <f t="shared" si="3585"/>
        <v>6.508</v>
      </c>
      <c r="AV1148" s="9">
        <f t="shared" si="3585"/>
        <v>2.206666667</v>
      </c>
      <c r="AW1148" s="9">
        <f t="shared" si="2235"/>
        <v>8.714666667</v>
      </c>
      <c r="AX1148" s="9">
        <f t="shared" ref="AX1148:AY1148" si="3586">AM1148/$AF1148</f>
        <v>1.386666667</v>
      </c>
      <c r="AY1148" s="9">
        <f t="shared" si="3586"/>
        <v>0.5333333333</v>
      </c>
      <c r="AZ1148" s="9">
        <f>VLOOKUP(A1148,Jogos!A:BN,58,0)</f>
        <v>27.145</v>
      </c>
      <c r="BA1148" s="9">
        <f>VLOOKUP(A1148,Jogos!A:BN,59,0)</f>
        <v>23.175</v>
      </c>
      <c r="BB1148" s="9">
        <f>VLOOKUP(A1148,Jogos!A:BN,60,0)</f>
        <v>78.5</v>
      </c>
      <c r="BC1148" s="9">
        <f>VLOOKUP(A1148,Jogos!A:BN,61,0)</f>
        <v>25.955</v>
      </c>
      <c r="BD1148" s="9">
        <f>VLOOKUP(A1148,Jogos!A:BN,62,0)</f>
        <v>0</v>
      </c>
      <c r="BE1148" s="9">
        <f>VLOOKUP(A1148,Jogos!A:BN,63,0)</f>
        <v>1.1</v>
      </c>
      <c r="BF1148" s="9">
        <f>VLOOKUP(A1148,Jogos!A:BN,64,0)</f>
        <v>24.635</v>
      </c>
      <c r="BG1148" s="9">
        <f>VLOOKUP(A1148,Jogos!A:BN,65,0)</f>
        <v>42.785</v>
      </c>
      <c r="BH1148" s="9">
        <f>VLOOKUP(A1148,Jogos!A:BN,66,0)</f>
        <v>28.515</v>
      </c>
      <c r="BI1148" s="9"/>
      <c r="BJ1148" s="9"/>
    </row>
    <row r="1149" hidden="1">
      <c r="A1149" s="10">
        <v>39.0</v>
      </c>
      <c r="B1149" s="11" t="s">
        <v>375</v>
      </c>
      <c r="C1149" s="2" t="s">
        <v>61</v>
      </c>
      <c r="D1149" s="12">
        <v>45832.0</v>
      </c>
      <c r="E1149" s="13">
        <v>0.875</v>
      </c>
      <c r="F1149" s="5" t="str">
        <f>VLOOKUP(A1149,Jogos!A:N,10,0)</f>
        <v>Evening</v>
      </c>
      <c r="G1149" s="11" t="s">
        <v>1269</v>
      </c>
      <c r="H1149" s="6" t="str">
        <f>VLOOKUP(A1149,Jogos!A:L,12,0)</f>
        <v>Open</v>
      </c>
      <c r="I1149" s="6" t="str">
        <f>VLOOKUP(G1149,'Estádios e Cidades'!A:B,2,0)</f>
        <v>Orlando</v>
      </c>
      <c r="J1149" s="11" t="s">
        <v>501</v>
      </c>
      <c r="K1149" s="2" t="str">
        <f>VLOOKUP(J1149,Equipes!A:F,6,0)</f>
        <v>Tropical</v>
      </c>
      <c r="L1149" s="2">
        <f>VLOOKUP(J1149,Equipes!A:C,3,0)</f>
        <v>11</v>
      </c>
      <c r="M1149" s="2" t="str">
        <f t="shared" si="4"/>
        <v>Round of 16</v>
      </c>
      <c r="N1149" s="11" t="s">
        <v>378</v>
      </c>
      <c r="O1149" s="2">
        <f>VLOOKUP(N1149,Equipes!A:C,3,0)</f>
        <v>26</v>
      </c>
      <c r="P1149" s="2" t="str">
        <f t="shared" si="5"/>
        <v>Group</v>
      </c>
      <c r="Q1149" s="2">
        <f t="shared" si="6"/>
        <v>-15</v>
      </c>
      <c r="R1149" s="2" t="str">
        <f>VLOOKUP(J1149,Equipes!A:B,2,0)</f>
        <v>Flamengo</v>
      </c>
      <c r="S1149" s="6" t="s">
        <v>517</v>
      </c>
      <c r="T1149" s="7">
        <v>9.0</v>
      </c>
      <c r="U1149" s="7" t="s">
        <v>518</v>
      </c>
      <c r="V1149" s="7" t="str">
        <f>VLOOKUP(U1149,Jogadores!B:C,2,0)</f>
        <v>FW</v>
      </c>
      <c r="W1149" s="8">
        <f>VLOOKUP(U1149,Jogadores!B:D,3,0)</f>
        <v>28.12328767</v>
      </c>
      <c r="X1149" s="7">
        <v>0.0</v>
      </c>
      <c r="Y1149" s="7">
        <v>82.0</v>
      </c>
      <c r="Z1149" s="7">
        <f>VLOOKUP(A1149,Jogos!A:L,3,0)</f>
        <v>49</v>
      </c>
      <c r="AA1149" s="7">
        <f t="shared" si="2229"/>
        <v>49</v>
      </c>
      <c r="AB1149" s="7">
        <f>VLOOKUP(A1149,Jogos!A:L,4,0)</f>
        <v>49</v>
      </c>
      <c r="AC1149" s="7">
        <f t="shared" si="2230"/>
        <v>37</v>
      </c>
      <c r="AD1149" s="7"/>
      <c r="AE1149" s="7"/>
      <c r="AF1149" s="7">
        <f t="shared" si="2231"/>
        <v>86</v>
      </c>
      <c r="AG1149" s="7">
        <v>8334.6</v>
      </c>
      <c r="AH1149" s="7">
        <v>3897.5</v>
      </c>
      <c r="AI1149" s="7">
        <v>3275.9</v>
      </c>
      <c r="AJ1149" s="7">
        <v>892.2</v>
      </c>
      <c r="AK1149" s="7">
        <v>220.1</v>
      </c>
      <c r="AL1149" s="7">
        <v>48.8</v>
      </c>
      <c r="AM1149" s="7">
        <v>87.0</v>
      </c>
      <c r="AN1149" s="7">
        <v>16.0</v>
      </c>
      <c r="AO1149" s="7">
        <v>28.6</v>
      </c>
      <c r="AP1149" s="9">
        <f t="shared" ref="AP1149:AR1149" si="3587">AG1149/$AF1149</f>
        <v>96.91395349</v>
      </c>
      <c r="AQ1149" s="9">
        <f t="shared" si="3587"/>
        <v>45.31976744</v>
      </c>
      <c r="AR1149" s="9">
        <f t="shared" si="3587"/>
        <v>38.09186047</v>
      </c>
      <c r="AS1149" s="9">
        <f t="shared" si="2233"/>
        <v>83.41162791</v>
      </c>
      <c r="AT1149" s="9">
        <f t="shared" ref="AT1149:AV1149" si="3588">AJ1149/$AF1149</f>
        <v>10.3744186</v>
      </c>
      <c r="AU1149" s="9">
        <f t="shared" si="3588"/>
        <v>2.559302326</v>
      </c>
      <c r="AV1149" s="9">
        <f t="shared" si="3588"/>
        <v>0.5674418605</v>
      </c>
      <c r="AW1149" s="9">
        <f t="shared" si="2235"/>
        <v>3.126744186</v>
      </c>
      <c r="AX1149" s="9">
        <f t="shared" ref="AX1149:AY1149" si="3589">AM1149/$AF1149</f>
        <v>1.011627907</v>
      </c>
      <c r="AY1149" s="9">
        <f t="shared" si="3589"/>
        <v>0.1860465116</v>
      </c>
      <c r="AZ1149" s="9">
        <f>VLOOKUP(A1149,Jogos!A:BN,58,0)</f>
        <v>27.145</v>
      </c>
      <c r="BA1149" s="9">
        <f>VLOOKUP(A1149,Jogos!A:BN,59,0)</f>
        <v>23.175</v>
      </c>
      <c r="BB1149" s="9">
        <f>VLOOKUP(A1149,Jogos!A:BN,60,0)</f>
        <v>78.5</v>
      </c>
      <c r="BC1149" s="9">
        <f>VLOOKUP(A1149,Jogos!A:BN,61,0)</f>
        <v>25.955</v>
      </c>
      <c r="BD1149" s="9">
        <f>VLOOKUP(A1149,Jogos!A:BN,62,0)</f>
        <v>0</v>
      </c>
      <c r="BE1149" s="9">
        <f>VLOOKUP(A1149,Jogos!A:BN,63,0)</f>
        <v>1.1</v>
      </c>
      <c r="BF1149" s="9">
        <f>VLOOKUP(A1149,Jogos!A:BN,64,0)</f>
        <v>24.635</v>
      </c>
      <c r="BG1149" s="9">
        <f>VLOOKUP(A1149,Jogos!A:BN,65,0)</f>
        <v>42.785</v>
      </c>
      <c r="BH1149" s="9">
        <f>VLOOKUP(A1149,Jogos!A:BN,66,0)</f>
        <v>28.515</v>
      </c>
      <c r="BI1149" s="9"/>
      <c r="BJ1149" s="9"/>
    </row>
    <row r="1150" hidden="1">
      <c r="A1150" s="10">
        <v>39.0</v>
      </c>
      <c r="B1150" s="11" t="s">
        <v>375</v>
      </c>
      <c r="C1150" s="2" t="s">
        <v>61</v>
      </c>
      <c r="D1150" s="12">
        <v>45832.0</v>
      </c>
      <c r="E1150" s="13">
        <v>0.875</v>
      </c>
      <c r="F1150" s="5" t="str">
        <f>VLOOKUP(A1150,Jogos!A:N,10,0)</f>
        <v>Evening</v>
      </c>
      <c r="G1150" s="11" t="s">
        <v>1269</v>
      </c>
      <c r="H1150" s="6" t="str">
        <f>VLOOKUP(A1150,Jogos!A:L,12,0)</f>
        <v>Open</v>
      </c>
      <c r="I1150" s="6" t="str">
        <f>VLOOKUP(G1150,'Estádios e Cidades'!A:B,2,0)</f>
        <v>Orlando</v>
      </c>
      <c r="J1150" s="11" t="s">
        <v>501</v>
      </c>
      <c r="K1150" s="2" t="str">
        <f>VLOOKUP(J1150,Equipes!A:F,6,0)</f>
        <v>Tropical</v>
      </c>
      <c r="L1150" s="2">
        <f>VLOOKUP(J1150,Equipes!A:C,3,0)</f>
        <v>11</v>
      </c>
      <c r="M1150" s="2" t="str">
        <f t="shared" si="4"/>
        <v>Round of 16</v>
      </c>
      <c r="N1150" s="11" t="s">
        <v>378</v>
      </c>
      <c r="O1150" s="2">
        <f>VLOOKUP(N1150,Equipes!A:C,3,0)</f>
        <v>26</v>
      </c>
      <c r="P1150" s="2" t="str">
        <f t="shared" si="5"/>
        <v>Group</v>
      </c>
      <c r="Q1150" s="2">
        <f t="shared" si="6"/>
        <v>-15</v>
      </c>
      <c r="R1150" s="2" t="str">
        <f>VLOOKUP(J1150,Equipes!A:B,2,0)</f>
        <v>Flamengo</v>
      </c>
      <c r="S1150" s="6" t="s">
        <v>519</v>
      </c>
      <c r="T1150" s="7">
        <v>10.0</v>
      </c>
      <c r="U1150" s="7" t="s">
        <v>520</v>
      </c>
      <c r="V1150" s="7" t="str">
        <f>VLOOKUP(U1150,Jogadores!B:C,2,0)</f>
        <v>MF</v>
      </c>
      <c r="W1150" s="8">
        <f>VLOOKUP(U1150,Jogadores!B:D,3,0)</f>
        <v>31.17808219</v>
      </c>
      <c r="X1150" s="7">
        <v>0.0</v>
      </c>
      <c r="Y1150" s="7">
        <v>71.0</v>
      </c>
      <c r="Z1150" s="7">
        <f>VLOOKUP(A1150,Jogos!A:L,3,0)</f>
        <v>49</v>
      </c>
      <c r="AA1150" s="7">
        <f t="shared" si="2229"/>
        <v>49</v>
      </c>
      <c r="AB1150" s="7">
        <f>VLOOKUP(A1150,Jogos!A:L,4,0)</f>
        <v>49</v>
      </c>
      <c r="AC1150" s="7">
        <f t="shared" si="2230"/>
        <v>26</v>
      </c>
      <c r="AD1150" s="7"/>
      <c r="AE1150" s="7"/>
      <c r="AF1150" s="7">
        <f t="shared" si="2231"/>
        <v>75</v>
      </c>
      <c r="AG1150" s="7">
        <v>7988.0</v>
      </c>
      <c r="AH1150" s="7">
        <v>2936.8</v>
      </c>
      <c r="AI1150" s="7">
        <v>3883.6</v>
      </c>
      <c r="AJ1150" s="7">
        <v>900.1</v>
      </c>
      <c r="AK1150" s="7">
        <v>192.7</v>
      </c>
      <c r="AL1150" s="7">
        <v>74.7</v>
      </c>
      <c r="AM1150" s="7">
        <v>88.0</v>
      </c>
      <c r="AN1150" s="7">
        <v>18.0</v>
      </c>
      <c r="AO1150" s="7">
        <v>30.5</v>
      </c>
      <c r="AP1150" s="9">
        <f t="shared" ref="AP1150:AR1150" si="3590">AG1150/$AF1150</f>
        <v>106.5066667</v>
      </c>
      <c r="AQ1150" s="9">
        <f t="shared" si="3590"/>
        <v>39.15733333</v>
      </c>
      <c r="AR1150" s="9">
        <f t="shared" si="3590"/>
        <v>51.78133333</v>
      </c>
      <c r="AS1150" s="9">
        <f t="shared" si="2233"/>
        <v>90.93866667</v>
      </c>
      <c r="AT1150" s="9">
        <f t="shared" ref="AT1150:AV1150" si="3591">AJ1150/$AF1150</f>
        <v>12.00133333</v>
      </c>
      <c r="AU1150" s="9">
        <f t="shared" si="3591"/>
        <v>2.569333333</v>
      </c>
      <c r="AV1150" s="9">
        <f t="shared" si="3591"/>
        <v>0.996</v>
      </c>
      <c r="AW1150" s="9">
        <f t="shared" si="2235"/>
        <v>3.565333333</v>
      </c>
      <c r="AX1150" s="9">
        <f t="shared" ref="AX1150:AY1150" si="3592">AM1150/$AF1150</f>
        <v>1.173333333</v>
      </c>
      <c r="AY1150" s="9">
        <f t="shared" si="3592"/>
        <v>0.24</v>
      </c>
      <c r="AZ1150" s="9">
        <f>VLOOKUP(A1150,Jogos!A:BN,58,0)</f>
        <v>27.145</v>
      </c>
      <c r="BA1150" s="9">
        <f>VLOOKUP(A1150,Jogos!A:BN,59,0)</f>
        <v>23.175</v>
      </c>
      <c r="BB1150" s="9">
        <f>VLOOKUP(A1150,Jogos!A:BN,60,0)</f>
        <v>78.5</v>
      </c>
      <c r="BC1150" s="9">
        <f>VLOOKUP(A1150,Jogos!A:BN,61,0)</f>
        <v>25.955</v>
      </c>
      <c r="BD1150" s="9">
        <f>VLOOKUP(A1150,Jogos!A:BN,62,0)</f>
        <v>0</v>
      </c>
      <c r="BE1150" s="9">
        <f>VLOOKUP(A1150,Jogos!A:BN,63,0)</f>
        <v>1.1</v>
      </c>
      <c r="BF1150" s="9">
        <f>VLOOKUP(A1150,Jogos!A:BN,64,0)</f>
        <v>24.635</v>
      </c>
      <c r="BG1150" s="9">
        <f>VLOOKUP(A1150,Jogos!A:BN,65,0)</f>
        <v>42.785</v>
      </c>
      <c r="BH1150" s="9">
        <f>VLOOKUP(A1150,Jogos!A:BN,66,0)</f>
        <v>28.515</v>
      </c>
      <c r="BI1150" s="9"/>
      <c r="BJ1150" s="9"/>
    </row>
    <row r="1151" hidden="1">
      <c r="A1151" s="10">
        <v>39.0</v>
      </c>
      <c r="B1151" s="11" t="s">
        <v>375</v>
      </c>
      <c r="C1151" s="2" t="s">
        <v>61</v>
      </c>
      <c r="D1151" s="12">
        <v>45832.0</v>
      </c>
      <c r="E1151" s="13">
        <v>0.875</v>
      </c>
      <c r="F1151" s="5" t="str">
        <f>VLOOKUP(A1151,Jogos!A:N,10,0)</f>
        <v>Evening</v>
      </c>
      <c r="G1151" s="11" t="s">
        <v>1269</v>
      </c>
      <c r="H1151" s="6" t="str">
        <f>VLOOKUP(A1151,Jogos!A:L,12,0)</f>
        <v>Open</v>
      </c>
      <c r="I1151" s="6" t="str">
        <f>VLOOKUP(G1151,'Estádios e Cidades'!A:B,2,0)</f>
        <v>Orlando</v>
      </c>
      <c r="J1151" s="11" t="s">
        <v>501</v>
      </c>
      <c r="K1151" s="2" t="str">
        <f>VLOOKUP(J1151,Equipes!A:F,6,0)</f>
        <v>Tropical</v>
      </c>
      <c r="L1151" s="2">
        <f>VLOOKUP(J1151,Equipes!A:C,3,0)</f>
        <v>11</v>
      </c>
      <c r="M1151" s="2" t="str">
        <f t="shared" si="4"/>
        <v>Round of 16</v>
      </c>
      <c r="N1151" s="11" t="s">
        <v>378</v>
      </c>
      <c r="O1151" s="2">
        <f>VLOOKUP(N1151,Equipes!A:C,3,0)</f>
        <v>26</v>
      </c>
      <c r="P1151" s="2" t="str">
        <f t="shared" si="5"/>
        <v>Group</v>
      </c>
      <c r="Q1151" s="2">
        <f t="shared" si="6"/>
        <v>-15</v>
      </c>
      <c r="R1151" s="2" t="str">
        <f>VLOOKUP(J1151,Equipes!A:B,2,0)</f>
        <v>Flamengo</v>
      </c>
      <c r="S1151" s="6" t="s">
        <v>523</v>
      </c>
      <c r="T1151" s="7">
        <v>11.0</v>
      </c>
      <c r="U1151" s="7" t="s">
        <v>524</v>
      </c>
      <c r="V1151" s="7" t="str">
        <f>VLOOKUP(U1151,Jogadores!B:C,2,0)</f>
        <v>FW</v>
      </c>
      <c r="W1151" s="8">
        <f>VLOOKUP(U1151,Jogadores!B:D,3,0)</f>
        <v>29.36986301</v>
      </c>
      <c r="X1151" s="7">
        <v>0.0</v>
      </c>
      <c r="Y1151" s="7">
        <v>59.0</v>
      </c>
      <c r="Z1151" s="7">
        <f>VLOOKUP(A1151,Jogos!A:L,3,0)</f>
        <v>49</v>
      </c>
      <c r="AA1151" s="7">
        <f t="shared" si="2229"/>
        <v>49</v>
      </c>
      <c r="AB1151" s="7">
        <f>VLOOKUP(A1151,Jogos!A:L,4,0)</f>
        <v>49</v>
      </c>
      <c r="AC1151" s="7">
        <f t="shared" si="2230"/>
        <v>14</v>
      </c>
      <c r="AD1151" s="7"/>
      <c r="AE1151" s="7"/>
      <c r="AF1151" s="7">
        <f t="shared" si="2231"/>
        <v>63</v>
      </c>
      <c r="AG1151" s="7">
        <v>6210.6</v>
      </c>
      <c r="AH1151" s="7">
        <v>2659.2</v>
      </c>
      <c r="AI1151" s="7">
        <v>2289.9</v>
      </c>
      <c r="AJ1151" s="7">
        <v>739.0</v>
      </c>
      <c r="AK1151" s="7">
        <v>389.8</v>
      </c>
      <c r="AL1151" s="7">
        <v>132.7</v>
      </c>
      <c r="AM1151" s="7">
        <v>72.0</v>
      </c>
      <c r="AN1151" s="7">
        <v>36.0</v>
      </c>
      <c r="AO1151" s="7">
        <v>32.6</v>
      </c>
      <c r="AP1151" s="9">
        <f t="shared" ref="AP1151:AR1151" si="3593">AG1151/$AF1151</f>
        <v>98.58095238</v>
      </c>
      <c r="AQ1151" s="9">
        <f t="shared" si="3593"/>
        <v>42.20952381</v>
      </c>
      <c r="AR1151" s="9">
        <f t="shared" si="3593"/>
        <v>36.34761905</v>
      </c>
      <c r="AS1151" s="9">
        <f t="shared" si="2233"/>
        <v>78.55714286</v>
      </c>
      <c r="AT1151" s="9">
        <f t="shared" ref="AT1151:AV1151" si="3594">AJ1151/$AF1151</f>
        <v>11.73015873</v>
      </c>
      <c r="AU1151" s="9">
        <f t="shared" si="3594"/>
        <v>6.187301587</v>
      </c>
      <c r="AV1151" s="9">
        <f t="shared" si="3594"/>
        <v>2.106349206</v>
      </c>
      <c r="AW1151" s="9">
        <f t="shared" si="2235"/>
        <v>8.293650794</v>
      </c>
      <c r="AX1151" s="9">
        <f t="shared" ref="AX1151:AY1151" si="3595">AM1151/$AF1151</f>
        <v>1.142857143</v>
      </c>
      <c r="AY1151" s="9">
        <f t="shared" si="3595"/>
        <v>0.5714285714</v>
      </c>
      <c r="AZ1151" s="9">
        <f>VLOOKUP(A1151,Jogos!A:BN,58,0)</f>
        <v>27.145</v>
      </c>
      <c r="BA1151" s="9">
        <f>VLOOKUP(A1151,Jogos!A:BN,59,0)</f>
        <v>23.175</v>
      </c>
      <c r="BB1151" s="9">
        <f>VLOOKUP(A1151,Jogos!A:BN,60,0)</f>
        <v>78.5</v>
      </c>
      <c r="BC1151" s="9">
        <f>VLOOKUP(A1151,Jogos!A:BN,61,0)</f>
        <v>25.955</v>
      </c>
      <c r="BD1151" s="9">
        <f>VLOOKUP(A1151,Jogos!A:BN,62,0)</f>
        <v>0</v>
      </c>
      <c r="BE1151" s="9">
        <f>VLOOKUP(A1151,Jogos!A:BN,63,0)</f>
        <v>1.1</v>
      </c>
      <c r="BF1151" s="9">
        <f>VLOOKUP(A1151,Jogos!A:BN,64,0)</f>
        <v>24.635</v>
      </c>
      <c r="BG1151" s="9">
        <f>VLOOKUP(A1151,Jogos!A:BN,65,0)</f>
        <v>42.785</v>
      </c>
      <c r="BH1151" s="9">
        <f>VLOOKUP(A1151,Jogos!A:BN,66,0)</f>
        <v>28.515</v>
      </c>
      <c r="BI1151" s="9"/>
      <c r="BJ1151" s="9"/>
    </row>
    <row r="1152" hidden="1">
      <c r="A1152" s="10">
        <v>39.0</v>
      </c>
      <c r="B1152" s="11" t="s">
        <v>375</v>
      </c>
      <c r="C1152" s="2" t="s">
        <v>61</v>
      </c>
      <c r="D1152" s="12">
        <v>45832.0</v>
      </c>
      <c r="E1152" s="13">
        <v>0.875</v>
      </c>
      <c r="F1152" s="5" t="str">
        <f>VLOOKUP(A1152,Jogos!A:N,10,0)</f>
        <v>Evening</v>
      </c>
      <c r="G1152" s="11" t="s">
        <v>1269</v>
      </c>
      <c r="H1152" s="6" t="str">
        <f>VLOOKUP(A1152,Jogos!A:L,12,0)</f>
        <v>Open</v>
      </c>
      <c r="I1152" s="6" t="str">
        <f>VLOOKUP(G1152,'Estádios e Cidades'!A:B,2,0)</f>
        <v>Orlando</v>
      </c>
      <c r="J1152" s="11" t="s">
        <v>501</v>
      </c>
      <c r="K1152" s="2" t="str">
        <f>VLOOKUP(J1152,Equipes!A:F,6,0)</f>
        <v>Tropical</v>
      </c>
      <c r="L1152" s="2">
        <f>VLOOKUP(J1152,Equipes!A:C,3,0)</f>
        <v>11</v>
      </c>
      <c r="M1152" s="2" t="str">
        <f t="shared" si="4"/>
        <v>Round of 16</v>
      </c>
      <c r="N1152" s="11" t="s">
        <v>378</v>
      </c>
      <c r="O1152" s="2">
        <f>VLOOKUP(N1152,Equipes!A:C,3,0)</f>
        <v>26</v>
      </c>
      <c r="P1152" s="2" t="str">
        <f t="shared" si="5"/>
        <v>Group</v>
      </c>
      <c r="Q1152" s="2">
        <f t="shared" si="6"/>
        <v>-15</v>
      </c>
      <c r="R1152" s="2" t="str">
        <f>VLOOKUP(J1152,Equipes!A:B,2,0)</f>
        <v>Flamengo</v>
      </c>
      <c r="S1152" s="6" t="s">
        <v>1121</v>
      </c>
      <c r="T1152" s="7">
        <v>13.0</v>
      </c>
      <c r="U1152" s="7" t="s">
        <v>336</v>
      </c>
      <c r="V1152" s="7" t="str">
        <f>VLOOKUP(U1152,Jogadores!B:C,2,0)</f>
        <v>MF</v>
      </c>
      <c r="W1152" s="8">
        <f>VLOOKUP(U1152,Jogadores!B:D,3,0)</f>
        <v>24.2630137</v>
      </c>
      <c r="X1152" s="7">
        <v>0.0</v>
      </c>
      <c r="Y1152" s="7">
        <f>45+AB1152</f>
        <v>94</v>
      </c>
      <c r="Z1152" s="7">
        <f>VLOOKUP(A1152,Jogos!A:L,3,0)</f>
        <v>49</v>
      </c>
      <c r="AA1152" s="7">
        <f t="shared" si="2229"/>
        <v>49</v>
      </c>
      <c r="AB1152" s="7">
        <f>VLOOKUP(A1152,Jogos!A:L,4,0)</f>
        <v>49</v>
      </c>
      <c r="AC1152" s="7">
        <f t="shared" si="2230"/>
        <v>49</v>
      </c>
      <c r="AD1152" s="7"/>
      <c r="AE1152" s="7"/>
      <c r="AF1152" s="7">
        <f t="shared" si="2231"/>
        <v>98</v>
      </c>
      <c r="AG1152" s="7">
        <v>9193.8</v>
      </c>
      <c r="AH1152" s="7">
        <v>3964.3</v>
      </c>
      <c r="AI1152" s="7">
        <v>3293.2</v>
      </c>
      <c r="AJ1152" s="7">
        <v>1148.6</v>
      </c>
      <c r="AK1152" s="7">
        <v>610.0</v>
      </c>
      <c r="AL1152" s="7">
        <v>177.8</v>
      </c>
      <c r="AM1152" s="7">
        <v>103.0</v>
      </c>
      <c r="AN1152" s="7">
        <v>46.0</v>
      </c>
      <c r="AO1152" s="7">
        <v>31.1</v>
      </c>
      <c r="AP1152" s="9">
        <f t="shared" ref="AP1152:AR1152" si="3596">AG1152/$AF1152</f>
        <v>93.81428571</v>
      </c>
      <c r="AQ1152" s="9">
        <f t="shared" si="3596"/>
        <v>40.45204082</v>
      </c>
      <c r="AR1152" s="9">
        <f t="shared" si="3596"/>
        <v>33.60408163</v>
      </c>
      <c r="AS1152" s="9">
        <f t="shared" si="2233"/>
        <v>74.05612245</v>
      </c>
      <c r="AT1152" s="9">
        <f t="shared" ref="AT1152:AV1152" si="3597">AJ1152/$AF1152</f>
        <v>11.72040816</v>
      </c>
      <c r="AU1152" s="9">
        <f t="shared" si="3597"/>
        <v>6.224489796</v>
      </c>
      <c r="AV1152" s="9">
        <f t="shared" si="3597"/>
        <v>1.814285714</v>
      </c>
      <c r="AW1152" s="9">
        <f t="shared" si="2235"/>
        <v>8.03877551</v>
      </c>
      <c r="AX1152" s="9">
        <f t="shared" ref="AX1152:AY1152" si="3598">AM1152/$AF1152</f>
        <v>1.051020408</v>
      </c>
      <c r="AY1152" s="9">
        <f t="shared" si="3598"/>
        <v>0.4693877551</v>
      </c>
      <c r="AZ1152" s="9">
        <f>VLOOKUP(A1152,Jogos!A:BN,58,0)</f>
        <v>27.145</v>
      </c>
      <c r="BA1152" s="9">
        <f>VLOOKUP(A1152,Jogos!A:BN,59,0)</f>
        <v>23.175</v>
      </c>
      <c r="BB1152" s="9">
        <f>VLOOKUP(A1152,Jogos!A:BN,60,0)</f>
        <v>78.5</v>
      </c>
      <c r="BC1152" s="9">
        <f>VLOOKUP(A1152,Jogos!A:BN,61,0)</f>
        <v>25.955</v>
      </c>
      <c r="BD1152" s="9">
        <f>VLOOKUP(A1152,Jogos!A:BN,62,0)</f>
        <v>0</v>
      </c>
      <c r="BE1152" s="9">
        <f>VLOOKUP(A1152,Jogos!A:BN,63,0)</f>
        <v>1.1</v>
      </c>
      <c r="BF1152" s="9">
        <f>VLOOKUP(A1152,Jogos!A:BN,64,0)</f>
        <v>24.635</v>
      </c>
      <c r="BG1152" s="9">
        <f>VLOOKUP(A1152,Jogos!A:BN,65,0)</f>
        <v>42.785</v>
      </c>
      <c r="BH1152" s="9">
        <f>VLOOKUP(A1152,Jogos!A:BN,66,0)</f>
        <v>28.515</v>
      </c>
      <c r="BI1152" s="9"/>
      <c r="BJ1152" s="9"/>
    </row>
    <row r="1153" hidden="1">
      <c r="A1153" s="10">
        <v>39.0</v>
      </c>
      <c r="B1153" s="11" t="s">
        <v>375</v>
      </c>
      <c r="C1153" s="2" t="s">
        <v>61</v>
      </c>
      <c r="D1153" s="12">
        <v>45832.0</v>
      </c>
      <c r="E1153" s="13">
        <v>0.875</v>
      </c>
      <c r="F1153" s="5" t="str">
        <f>VLOOKUP(A1153,Jogos!A:N,10,0)</f>
        <v>Evening</v>
      </c>
      <c r="G1153" s="11" t="s">
        <v>1269</v>
      </c>
      <c r="H1153" s="6" t="str">
        <f>VLOOKUP(A1153,Jogos!A:L,12,0)</f>
        <v>Open</v>
      </c>
      <c r="I1153" s="6" t="str">
        <f>VLOOKUP(G1153,'Estádios e Cidades'!A:B,2,0)</f>
        <v>Orlando</v>
      </c>
      <c r="J1153" s="11" t="s">
        <v>501</v>
      </c>
      <c r="K1153" s="2" t="str">
        <f>VLOOKUP(J1153,Equipes!A:F,6,0)</f>
        <v>Tropical</v>
      </c>
      <c r="L1153" s="2">
        <f>VLOOKUP(J1153,Equipes!A:C,3,0)</f>
        <v>11</v>
      </c>
      <c r="M1153" s="2" t="str">
        <f t="shared" si="4"/>
        <v>Round of 16</v>
      </c>
      <c r="N1153" s="11" t="s">
        <v>378</v>
      </c>
      <c r="O1153" s="2">
        <f>VLOOKUP(N1153,Equipes!A:C,3,0)</f>
        <v>26</v>
      </c>
      <c r="P1153" s="2" t="str">
        <f t="shared" si="5"/>
        <v>Group</v>
      </c>
      <c r="Q1153" s="2">
        <f t="shared" si="6"/>
        <v>-15</v>
      </c>
      <c r="R1153" s="2" t="str">
        <f>VLOOKUP(J1153,Equipes!A:B,2,0)</f>
        <v>Flamengo</v>
      </c>
      <c r="S1153" s="6" t="s">
        <v>1273</v>
      </c>
      <c r="T1153" s="7">
        <v>26.0</v>
      </c>
      <c r="U1153" s="7" t="s">
        <v>1274</v>
      </c>
      <c r="V1153" s="7" t="s">
        <v>1272</v>
      </c>
      <c r="W1153" s="8">
        <f>VLOOKUP(U1153,Jogadores!B:D,3,0)</f>
        <v>34.5260274</v>
      </c>
      <c r="X1153" s="7">
        <v>0.0</v>
      </c>
      <c r="Y1153" s="7">
        <v>82.0</v>
      </c>
      <c r="Z1153" s="7">
        <f>VLOOKUP(A1153,Jogos!A:L,3,0)</f>
        <v>49</v>
      </c>
      <c r="AA1153" s="7">
        <f t="shared" si="2229"/>
        <v>49</v>
      </c>
      <c r="AB1153" s="7">
        <f>VLOOKUP(A1153,Jogos!A:L,4,0)</f>
        <v>49</v>
      </c>
      <c r="AC1153" s="7">
        <f t="shared" si="2230"/>
        <v>37</v>
      </c>
      <c r="AD1153" s="7"/>
      <c r="AE1153" s="7"/>
      <c r="AF1153" s="7">
        <f t="shared" si="2231"/>
        <v>86</v>
      </c>
      <c r="AG1153" s="7">
        <v>9088.6</v>
      </c>
      <c r="AH1153" s="7">
        <v>3165.4</v>
      </c>
      <c r="AI1153" s="7">
        <v>3701.4</v>
      </c>
      <c r="AJ1153" s="7">
        <v>1328.9</v>
      </c>
      <c r="AK1153" s="7">
        <v>631.2</v>
      </c>
      <c r="AL1153" s="7">
        <v>261.6</v>
      </c>
      <c r="AM1153" s="7">
        <v>114.0</v>
      </c>
      <c r="AN1153" s="7">
        <v>49.0</v>
      </c>
      <c r="AO1153" s="7">
        <v>30.9</v>
      </c>
      <c r="AP1153" s="9">
        <f t="shared" ref="AP1153:AR1153" si="3599">AG1153/$AF1153</f>
        <v>105.6813953</v>
      </c>
      <c r="AQ1153" s="9">
        <f t="shared" si="3599"/>
        <v>36.80697674</v>
      </c>
      <c r="AR1153" s="9">
        <f t="shared" si="3599"/>
        <v>43.03953488</v>
      </c>
      <c r="AS1153" s="9">
        <f t="shared" si="2233"/>
        <v>79.84651163</v>
      </c>
      <c r="AT1153" s="9">
        <f t="shared" ref="AT1153:AV1153" si="3600">AJ1153/$AF1153</f>
        <v>15.45232558</v>
      </c>
      <c r="AU1153" s="9">
        <f t="shared" si="3600"/>
        <v>7.339534884</v>
      </c>
      <c r="AV1153" s="9">
        <f t="shared" si="3600"/>
        <v>3.041860465</v>
      </c>
      <c r="AW1153" s="9">
        <f t="shared" si="2235"/>
        <v>10.38139535</v>
      </c>
      <c r="AX1153" s="9">
        <f t="shared" ref="AX1153:AY1153" si="3601">AM1153/$AF1153</f>
        <v>1.325581395</v>
      </c>
      <c r="AY1153" s="9">
        <f t="shared" si="3601"/>
        <v>0.5697674419</v>
      </c>
      <c r="AZ1153" s="9">
        <f>VLOOKUP(A1153,Jogos!A:BN,58,0)</f>
        <v>27.145</v>
      </c>
      <c r="BA1153" s="9">
        <f>VLOOKUP(A1153,Jogos!A:BN,59,0)</f>
        <v>23.175</v>
      </c>
      <c r="BB1153" s="9">
        <f>VLOOKUP(A1153,Jogos!A:BN,60,0)</f>
        <v>78.5</v>
      </c>
      <c r="BC1153" s="9">
        <f>VLOOKUP(A1153,Jogos!A:BN,61,0)</f>
        <v>25.955</v>
      </c>
      <c r="BD1153" s="9">
        <f>VLOOKUP(A1153,Jogos!A:BN,62,0)</f>
        <v>0</v>
      </c>
      <c r="BE1153" s="9">
        <f>VLOOKUP(A1153,Jogos!A:BN,63,0)</f>
        <v>1.1</v>
      </c>
      <c r="BF1153" s="9">
        <f>VLOOKUP(A1153,Jogos!A:BN,64,0)</f>
        <v>24.635</v>
      </c>
      <c r="BG1153" s="9">
        <f>VLOOKUP(A1153,Jogos!A:BN,65,0)</f>
        <v>42.785</v>
      </c>
      <c r="BH1153" s="9">
        <f>VLOOKUP(A1153,Jogos!A:BN,66,0)</f>
        <v>28.515</v>
      </c>
      <c r="BI1153" s="9"/>
      <c r="BJ1153" s="9"/>
    </row>
    <row r="1154" hidden="1">
      <c r="A1154" s="10">
        <v>39.0</v>
      </c>
      <c r="B1154" s="11" t="s">
        <v>375</v>
      </c>
      <c r="C1154" s="2" t="s">
        <v>61</v>
      </c>
      <c r="D1154" s="12">
        <v>45832.0</v>
      </c>
      <c r="E1154" s="13">
        <v>0.875</v>
      </c>
      <c r="F1154" s="5" t="str">
        <f>VLOOKUP(A1154,Jogos!A:N,10,0)</f>
        <v>Evening</v>
      </c>
      <c r="G1154" s="11" t="s">
        <v>1269</v>
      </c>
      <c r="H1154" s="6" t="str">
        <f>VLOOKUP(A1154,Jogos!A:L,12,0)</f>
        <v>Open</v>
      </c>
      <c r="I1154" s="6" t="str">
        <f>VLOOKUP(G1154,'Estádios e Cidades'!A:B,2,0)</f>
        <v>Orlando</v>
      </c>
      <c r="J1154" s="11" t="s">
        <v>501</v>
      </c>
      <c r="K1154" s="2" t="str">
        <f>VLOOKUP(J1154,Equipes!A:F,6,0)</f>
        <v>Tropical</v>
      </c>
      <c r="L1154" s="2">
        <f>VLOOKUP(J1154,Equipes!A:C,3,0)</f>
        <v>11</v>
      </c>
      <c r="M1154" s="2" t="str">
        <f t="shared" si="4"/>
        <v>Round of 16</v>
      </c>
      <c r="N1154" s="11" t="s">
        <v>378</v>
      </c>
      <c r="O1154" s="2">
        <f>VLOOKUP(N1154,Equipes!A:C,3,0)</f>
        <v>26</v>
      </c>
      <c r="P1154" s="2" t="str">
        <f t="shared" si="5"/>
        <v>Group</v>
      </c>
      <c r="Q1154" s="2">
        <f t="shared" si="6"/>
        <v>-15</v>
      </c>
      <c r="R1154" s="2" t="str">
        <f>VLOOKUP(J1154,Equipes!A:B,2,0)</f>
        <v>Flamengo</v>
      </c>
      <c r="S1154" s="6" t="s">
        <v>527</v>
      </c>
      <c r="T1154" s="7">
        <v>29.0</v>
      </c>
      <c r="U1154" s="7" t="s">
        <v>279</v>
      </c>
      <c r="V1154" s="7" t="str">
        <f>VLOOKUP(U1154,Jogadores!B:C,2,0)</f>
        <v>MF</v>
      </c>
      <c r="W1154" s="8">
        <f>VLOOKUP(U1154,Jogadores!B:D,3,0)</f>
        <v>21.28767123</v>
      </c>
      <c r="X1154" s="7">
        <v>0.0</v>
      </c>
      <c r="Y1154" s="7">
        <f>45+AB1154</f>
        <v>94</v>
      </c>
      <c r="Z1154" s="7">
        <f>VLOOKUP(A1154,Jogos!A:L,3,0)</f>
        <v>49</v>
      </c>
      <c r="AA1154" s="7">
        <f t="shared" si="2229"/>
        <v>49</v>
      </c>
      <c r="AB1154" s="7">
        <f>VLOOKUP(A1154,Jogos!A:L,4,0)</f>
        <v>49</v>
      </c>
      <c r="AC1154" s="7">
        <f t="shared" si="2230"/>
        <v>49</v>
      </c>
      <c r="AD1154" s="7"/>
      <c r="AE1154" s="7"/>
      <c r="AF1154" s="7">
        <f t="shared" si="2231"/>
        <v>98</v>
      </c>
      <c r="AG1154" s="7">
        <v>10542.3</v>
      </c>
      <c r="AH1154" s="7">
        <v>3325.9</v>
      </c>
      <c r="AI1154" s="7">
        <v>4790.8</v>
      </c>
      <c r="AJ1154" s="7">
        <v>1836.8</v>
      </c>
      <c r="AK1154" s="7">
        <v>474.6</v>
      </c>
      <c r="AL1154" s="7">
        <v>114.2</v>
      </c>
      <c r="AM1154" s="7">
        <v>153.0</v>
      </c>
      <c r="AN1154" s="7">
        <v>34.0</v>
      </c>
      <c r="AO1154" s="7">
        <v>30.3</v>
      </c>
      <c r="AP1154" s="9">
        <f t="shared" ref="AP1154:AR1154" si="3602">AG1154/$AF1154</f>
        <v>107.5744898</v>
      </c>
      <c r="AQ1154" s="9">
        <f t="shared" si="3602"/>
        <v>33.9377551</v>
      </c>
      <c r="AR1154" s="9">
        <f t="shared" si="3602"/>
        <v>48.88571429</v>
      </c>
      <c r="AS1154" s="9">
        <f t="shared" si="2233"/>
        <v>82.82346939</v>
      </c>
      <c r="AT1154" s="9">
        <f t="shared" ref="AT1154:AV1154" si="3603">AJ1154/$AF1154</f>
        <v>18.74285714</v>
      </c>
      <c r="AU1154" s="9">
        <f t="shared" si="3603"/>
        <v>4.842857143</v>
      </c>
      <c r="AV1154" s="9">
        <f t="shared" si="3603"/>
        <v>1.165306122</v>
      </c>
      <c r="AW1154" s="9">
        <f t="shared" si="2235"/>
        <v>6.008163265</v>
      </c>
      <c r="AX1154" s="9">
        <f t="shared" ref="AX1154:AY1154" si="3604">AM1154/$AF1154</f>
        <v>1.56122449</v>
      </c>
      <c r="AY1154" s="9">
        <f t="shared" si="3604"/>
        <v>0.3469387755</v>
      </c>
      <c r="AZ1154" s="9">
        <f>VLOOKUP(A1154,Jogos!A:BN,58,0)</f>
        <v>27.145</v>
      </c>
      <c r="BA1154" s="9">
        <f>VLOOKUP(A1154,Jogos!A:BN,59,0)</f>
        <v>23.175</v>
      </c>
      <c r="BB1154" s="9">
        <f>VLOOKUP(A1154,Jogos!A:BN,60,0)</f>
        <v>78.5</v>
      </c>
      <c r="BC1154" s="9">
        <f>VLOOKUP(A1154,Jogos!A:BN,61,0)</f>
        <v>25.955</v>
      </c>
      <c r="BD1154" s="9">
        <f>VLOOKUP(A1154,Jogos!A:BN,62,0)</f>
        <v>0</v>
      </c>
      <c r="BE1154" s="9">
        <f>VLOOKUP(A1154,Jogos!A:BN,63,0)</f>
        <v>1.1</v>
      </c>
      <c r="BF1154" s="9">
        <f>VLOOKUP(A1154,Jogos!A:BN,64,0)</f>
        <v>24.635</v>
      </c>
      <c r="BG1154" s="9">
        <f>VLOOKUP(A1154,Jogos!A:BN,65,0)</f>
        <v>42.785</v>
      </c>
      <c r="BH1154" s="9">
        <f>VLOOKUP(A1154,Jogos!A:BN,66,0)</f>
        <v>28.515</v>
      </c>
      <c r="BI1154" s="9"/>
      <c r="BJ1154" s="9"/>
    </row>
    <row r="1155" hidden="1">
      <c r="A1155" s="10">
        <v>39.0</v>
      </c>
      <c r="B1155" s="11" t="s">
        <v>375</v>
      </c>
      <c r="C1155" s="2" t="s">
        <v>61</v>
      </c>
      <c r="D1155" s="12">
        <v>45832.0</v>
      </c>
      <c r="E1155" s="13">
        <v>0.875</v>
      </c>
      <c r="F1155" s="5" t="str">
        <f>VLOOKUP(A1155,Jogos!A:N,10,0)</f>
        <v>Evening</v>
      </c>
      <c r="G1155" s="11" t="s">
        <v>1269</v>
      </c>
      <c r="H1155" s="6" t="str">
        <f>VLOOKUP(A1155,Jogos!A:L,12,0)</f>
        <v>Open</v>
      </c>
      <c r="I1155" s="6" t="str">
        <f>VLOOKUP(G1155,'Estádios e Cidades'!A:B,2,0)</f>
        <v>Orlando</v>
      </c>
      <c r="J1155" s="11" t="s">
        <v>501</v>
      </c>
      <c r="K1155" s="2" t="str">
        <f>VLOOKUP(J1155,Equipes!A:F,6,0)</f>
        <v>Tropical</v>
      </c>
      <c r="L1155" s="2">
        <f>VLOOKUP(J1155,Equipes!A:C,3,0)</f>
        <v>11</v>
      </c>
      <c r="M1155" s="2" t="str">
        <f t="shared" si="4"/>
        <v>Round of 16</v>
      </c>
      <c r="N1155" s="11" t="s">
        <v>378</v>
      </c>
      <c r="O1155" s="2">
        <f>VLOOKUP(N1155,Equipes!A:C,3,0)</f>
        <v>26</v>
      </c>
      <c r="P1155" s="2" t="str">
        <f t="shared" si="5"/>
        <v>Group</v>
      </c>
      <c r="Q1155" s="2">
        <f t="shared" si="6"/>
        <v>-15</v>
      </c>
      <c r="R1155" s="2" t="str">
        <f>VLOOKUP(J1155,Equipes!A:B,2,0)</f>
        <v>Flamengo</v>
      </c>
      <c r="S1155" s="6" t="s">
        <v>1275</v>
      </c>
      <c r="T1155" s="7">
        <v>52.0</v>
      </c>
      <c r="U1155" s="7" t="s">
        <v>1276</v>
      </c>
      <c r="V1155" s="7" t="str">
        <f>VLOOKUP(U1155,Jogadores!B:C,2,0)</f>
        <v>MF</v>
      </c>
      <c r="W1155" s="8">
        <f>VLOOKUP(U1155,Jogadores!B:D,3,0)</f>
        <v>22.42739726</v>
      </c>
      <c r="X1155" s="7">
        <v>0.0</v>
      </c>
      <c r="Y1155" s="7">
        <v>82.0</v>
      </c>
      <c r="Z1155" s="7">
        <f>VLOOKUP(A1155,Jogos!A:L,3,0)</f>
        <v>49</v>
      </c>
      <c r="AA1155" s="7">
        <f t="shared" si="2229"/>
        <v>49</v>
      </c>
      <c r="AB1155" s="7">
        <f>VLOOKUP(A1155,Jogos!A:L,4,0)</f>
        <v>49</v>
      </c>
      <c r="AC1155" s="7">
        <f t="shared" si="2230"/>
        <v>37</v>
      </c>
      <c r="AD1155" s="7"/>
      <c r="AE1155" s="7"/>
      <c r="AF1155" s="7">
        <f t="shared" si="2231"/>
        <v>86</v>
      </c>
      <c r="AG1155" s="7">
        <v>9103.0</v>
      </c>
      <c r="AH1155" s="7">
        <v>2931.1</v>
      </c>
      <c r="AI1155" s="7">
        <v>4336.1</v>
      </c>
      <c r="AJ1155" s="7">
        <v>1221.6</v>
      </c>
      <c r="AK1155" s="7">
        <v>494.9</v>
      </c>
      <c r="AL1155" s="7">
        <v>119.4</v>
      </c>
      <c r="AM1155" s="7">
        <v>105.0</v>
      </c>
      <c r="AN1155" s="7">
        <v>30.0</v>
      </c>
      <c r="AO1155" s="7">
        <v>29.0</v>
      </c>
      <c r="AP1155" s="9">
        <f t="shared" ref="AP1155:AR1155" si="3605">AG1155/$AF1155</f>
        <v>105.8488372</v>
      </c>
      <c r="AQ1155" s="9">
        <f t="shared" si="3605"/>
        <v>34.08255814</v>
      </c>
      <c r="AR1155" s="9">
        <f t="shared" si="3605"/>
        <v>50.41976744</v>
      </c>
      <c r="AS1155" s="9">
        <f t="shared" si="2233"/>
        <v>84.50232558</v>
      </c>
      <c r="AT1155" s="9">
        <f t="shared" ref="AT1155:AV1155" si="3606">AJ1155/$AF1155</f>
        <v>14.20465116</v>
      </c>
      <c r="AU1155" s="9">
        <f t="shared" si="3606"/>
        <v>5.754651163</v>
      </c>
      <c r="AV1155" s="9">
        <f t="shared" si="3606"/>
        <v>1.388372093</v>
      </c>
      <c r="AW1155" s="9">
        <f t="shared" si="2235"/>
        <v>7.143023256</v>
      </c>
      <c r="AX1155" s="9">
        <f t="shared" ref="AX1155:AY1155" si="3607">AM1155/$AF1155</f>
        <v>1.220930233</v>
      </c>
      <c r="AY1155" s="9">
        <f t="shared" si="3607"/>
        <v>0.3488372093</v>
      </c>
      <c r="AZ1155" s="9">
        <f>VLOOKUP(A1155,Jogos!A:BN,58,0)</f>
        <v>27.145</v>
      </c>
      <c r="BA1155" s="9">
        <f>VLOOKUP(A1155,Jogos!A:BN,59,0)</f>
        <v>23.175</v>
      </c>
      <c r="BB1155" s="9">
        <f>VLOOKUP(A1155,Jogos!A:BN,60,0)</f>
        <v>78.5</v>
      </c>
      <c r="BC1155" s="9">
        <f>VLOOKUP(A1155,Jogos!A:BN,61,0)</f>
        <v>25.955</v>
      </c>
      <c r="BD1155" s="9">
        <f>VLOOKUP(A1155,Jogos!A:BN,62,0)</f>
        <v>0</v>
      </c>
      <c r="BE1155" s="9">
        <f>VLOOKUP(A1155,Jogos!A:BN,63,0)</f>
        <v>1.1</v>
      </c>
      <c r="BF1155" s="9">
        <f>VLOOKUP(A1155,Jogos!A:BN,64,0)</f>
        <v>24.635</v>
      </c>
      <c r="BG1155" s="9">
        <f>VLOOKUP(A1155,Jogos!A:BN,65,0)</f>
        <v>42.785</v>
      </c>
      <c r="BH1155" s="9">
        <f>VLOOKUP(A1155,Jogos!A:BN,66,0)</f>
        <v>28.515</v>
      </c>
      <c r="BI1155" s="9"/>
      <c r="BJ1155" s="9"/>
    </row>
    <row r="1156" hidden="1">
      <c r="A1156" s="10">
        <v>39.0</v>
      </c>
      <c r="B1156" s="11" t="s">
        <v>375</v>
      </c>
      <c r="C1156" s="2" t="s">
        <v>61</v>
      </c>
      <c r="D1156" s="12">
        <v>45832.0</v>
      </c>
      <c r="E1156" s="13">
        <v>0.875</v>
      </c>
      <c r="F1156" s="5" t="str">
        <f>VLOOKUP(A1156,Jogos!A:N,10,0)</f>
        <v>Evening</v>
      </c>
      <c r="G1156" s="11" t="s">
        <v>1269</v>
      </c>
      <c r="H1156" s="6" t="str">
        <f>VLOOKUP(A1156,Jogos!A:L,12,0)</f>
        <v>Open</v>
      </c>
      <c r="I1156" s="6" t="str">
        <f>VLOOKUP(G1156,'Estádios e Cidades'!A:B,2,0)</f>
        <v>Orlando</v>
      </c>
      <c r="J1156" s="11" t="s">
        <v>501</v>
      </c>
      <c r="K1156" s="2" t="str">
        <f>VLOOKUP(J1156,Equipes!A:F,6,0)</f>
        <v>Tropical</v>
      </c>
      <c r="L1156" s="2">
        <f>VLOOKUP(J1156,Equipes!A:C,3,0)</f>
        <v>11</v>
      </c>
      <c r="M1156" s="2" t="str">
        <f t="shared" si="4"/>
        <v>Round of 16</v>
      </c>
      <c r="N1156" s="11" t="s">
        <v>378</v>
      </c>
      <c r="O1156" s="2">
        <f>VLOOKUP(N1156,Equipes!A:C,3,0)</f>
        <v>26</v>
      </c>
      <c r="P1156" s="2" t="str">
        <f t="shared" si="5"/>
        <v>Group</v>
      </c>
      <c r="Q1156" s="2">
        <f t="shared" si="6"/>
        <v>-15</v>
      </c>
      <c r="R1156" s="2" t="str">
        <f>VLOOKUP(J1156,Equipes!A:B,2,0)</f>
        <v>Flamengo</v>
      </c>
      <c r="S1156" s="6" t="s">
        <v>1277</v>
      </c>
      <c r="T1156" s="7">
        <v>17.0</v>
      </c>
      <c r="U1156" s="7" t="s">
        <v>1278</v>
      </c>
      <c r="V1156" s="7" t="str">
        <f>VLOOKUP(U1156,Jogadores!B:C,2,0)</f>
        <v>DF</v>
      </c>
      <c r="W1156" s="8">
        <f>VLOOKUP(U1156,Jogadores!B:D,3,0)</f>
        <v>27.73424658</v>
      </c>
      <c r="X1156" s="7">
        <v>82.0</v>
      </c>
      <c r="Y1156" s="7">
        <f t="shared" ref="Y1156:Y1163" si="3611">45+AB1156</f>
        <v>94</v>
      </c>
      <c r="Z1156" s="7">
        <f>VLOOKUP(A1156,Jogos!A:L,3,0)</f>
        <v>49</v>
      </c>
      <c r="AA1156" s="7">
        <f t="shared" si="2229"/>
        <v>0</v>
      </c>
      <c r="AB1156" s="7">
        <f>VLOOKUP(A1156,Jogos!A:L,4,0)</f>
        <v>49</v>
      </c>
      <c r="AC1156" s="7">
        <f t="shared" si="2230"/>
        <v>12</v>
      </c>
      <c r="AD1156" s="7"/>
      <c r="AE1156" s="7"/>
      <c r="AF1156" s="7">
        <f t="shared" si="2231"/>
        <v>12</v>
      </c>
      <c r="AG1156" s="7">
        <v>1460.4</v>
      </c>
      <c r="AH1156" s="7">
        <v>463.5</v>
      </c>
      <c r="AI1156" s="7">
        <v>597.1</v>
      </c>
      <c r="AJ1156" s="7">
        <v>255.0</v>
      </c>
      <c r="AK1156" s="7">
        <v>104.1</v>
      </c>
      <c r="AL1156" s="7">
        <v>40.7</v>
      </c>
      <c r="AM1156" s="7">
        <v>24.0</v>
      </c>
      <c r="AN1156" s="7">
        <v>10.0</v>
      </c>
      <c r="AO1156" s="7">
        <v>31.0</v>
      </c>
      <c r="AP1156" s="9">
        <f t="shared" ref="AP1156:AR1156" si="3608">AG1156/$AF1156</f>
        <v>121.7</v>
      </c>
      <c r="AQ1156" s="9">
        <f t="shared" si="3608"/>
        <v>38.625</v>
      </c>
      <c r="AR1156" s="9">
        <f t="shared" si="3608"/>
        <v>49.75833333</v>
      </c>
      <c r="AS1156" s="9">
        <f t="shared" si="2233"/>
        <v>88.38333333</v>
      </c>
      <c r="AT1156" s="9">
        <f t="shared" ref="AT1156:AV1156" si="3609">AJ1156/$AF1156</f>
        <v>21.25</v>
      </c>
      <c r="AU1156" s="9">
        <f t="shared" si="3609"/>
        <v>8.675</v>
      </c>
      <c r="AV1156" s="9">
        <f t="shared" si="3609"/>
        <v>3.391666667</v>
      </c>
      <c r="AW1156" s="9">
        <f t="shared" si="2235"/>
        <v>12.06666667</v>
      </c>
      <c r="AX1156" s="9">
        <f t="shared" ref="AX1156:AY1156" si="3610">AM1156/$AF1156</f>
        <v>2</v>
      </c>
      <c r="AY1156" s="9">
        <f t="shared" si="3610"/>
        <v>0.8333333333</v>
      </c>
      <c r="AZ1156" s="9">
        <f>VLOOKUP(A1156,Jogos!A:BN,58,0)</f>
        <v>27.145</v>
      </c>
      <c r="BA1156" s="9">
        <f>VLOOKUP(A1156,Jogos!A:BN,59,0)</f>
        <v>23.175</v>
      </c>
      <c r="BB1156" s="9">
        <f>VLOOKUP(A1156,Jogos!A:BN,60,0)</f>
        <v>78.5</v>
      </c>
      <c r="BC1156" s="9">
        <f>VLOOKUP(A1156,Jogos!A:BN,61,0)</f>
        <v>25.955</v>
      </c>
      <c r="BD1156" s="9">
        <f>VLOOKUP(A1156,Jogos!A:BN,62,0)</f>
        <v>0</v>
      </c>
      <c r="BE1156" s="9">
        <f>VLOOKUP(A1156,Jogos!A:BN,63,0)</f>
        <v>1.1</v>
      </c>
      <c r="BF1156" s="9">
        <f>VLOOKUP(A1156,Jogos!A:BN,64,0)</f>
        <v>24.635</v>
      </c>
      <c r="BG1156" s="9">
        <f>VLOOKUP(A1156,Jogos!A:BN,65,0)</f>
        <v>42.785</v>
      </c>
      <c r="BH1156" s="9">
        <f>VLOOKUP(A1156,Jogos!A:BN,66,0)</f>
        <v>28.515</v>
      </c>
      <c r="BI1156" s="9"/>
      <c r="BJ1156" s="9"/>
    </row>
    <row r="1157" hidden="1">
      <c r="A1157" s="10">
        <v>39.0</v>
      </c>
      <c r="B1157" s="11" t="s">
        <v>375</v>
      </c>
      <c r="C1157" s="2" t="s">
        <v>61</v>
      </c>
      <c r="D1157" s="12">
        <v>45832.0</v>
      </c>
      <c r="E1157" s="13">
        <v>0.875</v>
      </c>
      <c r="F1157" s="5" t="str">
        <f>VLOOKUP(A1157,Jogos!A:N,10,0)</f>
        <v>Evening</v>
      </c>
      <c r="G1157" s="11" t="s">
        <v>1269</v>
      </c>
      <c r="H1157" s="6" t="str">
        <f>VLOOKUP(A1157,Jogos!A:L,12,0)</f>
        <v>Open</v>
      </c>
      <c r="I1157" s="6" t="str">
        <f>VLOOKUP(G1157,'Estádios e Cidades'!A:B,2,0)</f>
        <v>Orlando</v>
      </c>
      <c r="J1157" s="11" t="s">
        <v>501</v>
      </c>
      <c r="K1157" s="2" t="str">
        <f>VLOOKUP(J1157,Equipes!A:F,6,0)</f>
        <v>Tropical</v>
      </c>
      <c r="L1157" s="2">
        <f>VLOOKUP(J1157,Equipes!A:C,3,0)</f>
        <v>11</v>
      </c>
      <c r="M1157" s="2" t="str">
        <f t="shared" si="4"/>
        <v>Round of 16</v>
      </c>
      <c r="N1157" s="11" t="s">
        <v>378</v>
      </c>
      <c r="O1157" s="2">
        <f>VLOOKUP(N1157,Equipes!A:C,3,0)</f>
        <v>26</v>
      </c>
      <c r="P1157" s="2" t="str">
        <f t="shared" si="5"/>
        <v>Group</v>
      </c>
      <c r="Q1157" s="2">
        <f t="shared" si="6"/>
        <v>-15</v>
      </c>
      <c r="R1157" s="2" t="str">
        <f>VLOOKUP(J1157,Equipes!A:B,2,0)</f>
        <v>Flamengo</v>
      </c>
      <c r="S1157" s="6" t="s">
        <v>521</v>
      </c>
      <c r="T1157" s="7">
        <v>21.0</v>
      </c>
      <c r="U1157" s="7" t="s">
        <v>522</v>
      </c>
      <c r="V1157" s="7" t="str">
        <f>VLOOKUP(U1157,Jogadores!B:C,2,0)</f>
        <v>MF</v>
      </c>
      <c r="W1157" s="8">
        <f>VLOOKUP(U1157,Jogadores!B:D,3,0)</f>
        <v>33.62739726</v>
      </c>
      <c r="X1157" s="7">
        <v>82.0</v>
      </c>
      <c r="Y1157" s="7">
        <f t="shared" si="3611"/>
        <v>94</v>
      </c>
      <c r="Z1157" s="7">
        <f>VLOOKUP(A1157,Jogos!A:L,3,0)</f>
        <v>49</v>
      </c>
      <c r="AA1157" s="7">
        <f t="shared" si="2229"/>
        <v>0</v>
      </c>
      <c r="AB1157" s="7">
        <f>VLOOKUP(A1157,Jogos!A:L,4,0)</f>
        <v>49</v>
      </c>
      <c r="AC1157" s="7">
        <f t="shared" si="2230"/>
        <v>12</v>
      </c>
      <c r="AD1157" s="7"/>
      <c r="AE1157" s="7"/>
      <c r="AF1157" s="7">
        <f t="shared" si="2231"/>
        <v>12</v>
      </c>
      <c r="AG1157" s="7">
        <v>1573.3</v>
      </c>
      <c r="AH1157" s="7">
        <v>362.6</v>
      </c>
      <c r="AI1157" s="7">
        <v>881.8</v>
      </c>
      <c r="AJ1157" s="7">
        <v>299.4</v>
      </c>
      <c r="AK1157" s="7">
        <v>29.5</v>
      </c>
      <c r="AL1157" s="7">
        <v>27.0</v>
      </c>
      <c r="AM1157" s="7">
        <v>2.0</v>
      </c>
      <c r="AN1157" s="7">
        <v>24.5</v>
      </c>
      <c r="AO1157" s="7"/>
      <c r="AP1157" s="9">
        <f t="shared" ref="AP1157:AR1157" si="3612">AG1157/$AF1157</f>
        <v>131.1083333</v>
      </c>
      <c r="AQ1157" s="9">
        <f t="shared" si="3612"/>
        <v>30.21666667</v>
      </c>
      <c r="AR1157" s="9">
        <f t="shared" si="3612"/>
        <v>73.48333333</v>
      </c>
      <c r="AS1157" s="9">
        <f t="shared" si="2233"/>
        <v>103.7</v>
      </c>
      <c r="AT1157" s="9">
        <f t="shared" ref="AT1157:AV1157" si="3613">AJ1157/$AF1157</f>
        <v>24.95</v>
      </c>
      <c r="AU1157" s="9">
        <f t="shared" si="3613"/>
        <v>2.458333333</v>
      </c>
      <c r="AV1157" s="9">
        <f t="shared" si="3613"/>
        <v>2.25</v>
      </c>
      <c r="AW1157" s="9">
        <f t="shared" si="2235"/>
        <v>4.708333333</v>
      </c>
      <c r="AX1157" s="9">
        <f t="shared" ref="AX1157:AY1157" si="3614">AM1157/$AF1157</f>
        <v>0.1666666667</v>
      </c>
      <c r="AY1157" s="9">
        <f t="shared" si="3614"/>
        <v>2.041666667</v>
      </c>
      <c r="AZ1157" s="9">
        <f>VLOOKUP(A1157,Jogos!A:BN,58,0)</f>
        <v>27.145</v>
      </c>
      <c r="BA1157" s="9">
        <f>VLOOKUP(A1157,Jogos!A:BN,59,0)</f>
        <v>23.175</v>
      </c>
      <c r="BB1157" s="9">
        <f>VLOOKUP(A1157,Jogos!A:BN,60,0)</f>
        <v>78.5</v>
      </c>
      <c r="BC1157" s="9">
        <f>VLOOKUP(A1157,Jogos!A:BN,61,0)</f>
        <v>25.955</v>
      </c>
      <c r="BD1157" s="9">
        <f>VLOOKUP(A1157,Jogos!A:BN,62,0)</f>
        <v>0</v>
      </c>
      <c r="BE1157" s="9">
        <f>VLOOKUP(A1157,Jogos!A:BN,63,0)</f>
        <v>1.1</v>
      </c>
      <c r="BF1157" s="9">
        <f>VLOOKUP(A1157,Jogos!A:BN,64,0)</f>
        <v>24.635</v>
      </c>
      <c r="BG1157" s="9">
        <f>VLOOKUP(A1157,Jogos!A:BN,65,0)</f>
        <v>42.785</v>
      </c>
      <c r="BH1157" s="9">
        <f>VLOOKUP(A1157,Jogos!A:BN,66,0)</f>
        <v>28.515</v>
      </c>
      <c r="BI1157" s="9"/>
      <c r="BJ1157" s="9"/>
    </row>
    <row r="1158" hidden="1">
      <c r="A1158" s="10">
        <v>39.0</v>
      </c>
      <c r="B1158" s="11" t="s">
        <v>375</v>
      </c>
      <c r="C1158" s="2" t="s">
        <v>61</v>
      </c>
      <c r="D1158" s="12">
        <v>45832.0</v>
      </c>
      <c r="E1158" s="13">
        <v>0.875</v>
      </c>
      <c r="F1158" s="5" t="str">
        <f>VLOOKUP(A1158,Jogos!A:N,10,0)</f>
        <v>Evening</v>
      </c>
      <c r="G1158" s="11" t="s">
        <v>1269</v>
      </c>
      <c r="H1158" s="6" t="str">
        <f>VLOOKUP(A1158,Jogos!A:L,12,0)</f>
        <v>Open</v>
      </c>
      <c r="I1158" s="6" t="str">
        <f>VLOOKUP(G1158,'Estádios e Cidades'!A:B,2,0)</f>
        <v>Orlando</v>
      </c>
      <c r="J1158" s="11" t="s">
        <v>501</v>
      </c>
      <c r="K1158" s="2" t="str">
        <f>VLOOKUP(J1158,Equipes!A:F,6,0)</f>
        <v>Tropical</v>
      </c>
      <c r="L1158" s="2">
        <f>VLOOKUP(J1158,Equipes!A:C,3,0)</f>
        <v>11</v>
      </c>
      <c r="M1158" s="2" t="str">
        <f t="shared" si="4"/>
        <v>Round of 16</v>
      </c>
      <c r="N1158" s="11" t="s">
        <v>378</v>
      </c>
      <c r="O1158" s="2">
        <f>VLOOKUP(N1158,Equipes!A:C,3,0)</f>
        <v>26</v>
      </c>
      <c r="P1158" s="2" t="str">
        <f t="shared" si="5"/>
        <v>Group</v>
      </c>
      <c r="Q1158" s="2">
        <f t="shared" si="6"/>
        <v>-15</v>
      </c>
      <c r="R1158" s="2" t="str">
        <f>VLOOKUP(J1158,Equipes!A:B,2,0)</f>
        <v>Flamengo</v>
      </c>
      <c r="S1158" s="6" t="s">
        <v>1279</v>
      </c>
      <c r="T1158" s="7">
        <v>23.0</v>
      </c>
      <c r="U1158" s="7" t="s">
        <v>1280</v>
      </c>
      <c r="V1158" s="7" t="str">
        <f>VLOOKUP(U1158,Jogadores!B:C,2,0)</f>
        <v>FW</v>
      </c>
      <c r="W1158" s="8">
        <f>VLOOKUP(U1158,Jogadores!B:D,3,0)</f>
        <v>28.70136986</v>
      </c>
      <c r="X1158" s="7">
        <v>82.0</v>
      </c>
      <c r="Y1158" s="7">
        <f t="shared" si="3611"/>
        <v>94</v>
      </c>
      <c r="Z1158" s="7">
        <f>VLOOKUP(A1158,Jogos!A:L,3,0)</f>
        <v>49</v>
      </c>
      <c r="AA1158" s="7">
        <f t="shared" si="2229"/>
        <v>0</v>
      </c>
      <c r="AB1158" s="7">
        <f>VLOOKUP(A1158,Jogos!A:L,4,0)</f>
        <v>49</v>
      </c>
      <c r="AC1158" s="7">
        <f t="shared" si="2230"/>
        <v>12</v>
      </c>
      <c r="AD1158" s="7"/>
      <c r="AE1158" s="7"/>
      <c r="AF1158" s="7">
        <f t="shared" si="2231"/>
        <v>12</v>
      </c>
      <c r="AG1158" s="7">
        <v>1577.4</v>
      </c>
      <c r="AH1158" s="7">
        <v>420.2</v>
      </c>
      <c r="AI1158" s="7">
        <v>719.2</v>
      </c>
      <c r="AJ1158" s="7">
        <v>257.9</v>
      </c>
      <c r="AK1158" s="7">
        <v>111.6</v>
      </c>
      <c r="AL1158" s="7">
        <v>68.5</v>
      </c>
      <c r="AM1158" s="7">
        <v>22.0</v>
      </c>
      <c r="AN1158" s="7">
        <v>11.0</v>
      </c>
      <c r="AO1158" s="7">
        <v>32.6</v>
      </c>
      <c r="AP1158" s="9">
        <f t="shared" ref="AP1158:AR1158" si="3615">AG1158/$AF1158</f>
        <v>131.45</v>
      </c>
      <c r="AQ1158" s="9">
        <f t="shared" si="3615"/>
        <v>35.01666667</v>
      </c>
      <c r="AR1158" s="9">
        <f t="shared" si="3615"/>
        <v>59.93333333</v>
      </c>
      <c r="AS1158" s="9">
        <f t="shared" si="2233"/>
        <v>94.95</v>
      </c>
      <c r="AT1158" s="9">
        <f t="shared" ref="AT1158:AV1158" si="3616">AJ1158/$AF1158</f>
        <v>21.49166667</v>
      </c>
      <c r="AU1158" s="9">
        <f t="shared" si="3616"/>
        <v>9.3</v>
      </c>
      <c r="AV1158" s="9">
        <f t="shared" si="3616"/>
        <v>5.708333333</v>
      </c>
      <c r="AW1158" s="9">
        <f t="shared" si="2235"/>
        <v>15.00833333</v>
      </c>
      <c r="AX1158" s="9">
        <f t="shared" ref="AX1158:AY1158" si="3617">AM1158/$AF1158</f>
        <v>1.833333333</v>
      </c>
      <c r="AY1158" s="9">
        <f t="shared" si="3617"/>
        <v>0.9166666667</v>
      </c>
      <c r="AZ1158" s="9">
        <f>VLOOKUP(A1158,Jogos!A:BN,58,0)</f>
        <v>27.145</v>
      </c>
      <c r="BA1158" s="9">
        <f>VLOOKUP(A1158,Jogos!A:BN,59,0)</f>
        <v>23.175</v>
      </c>
      <c r="BB1158" s="9">
        <f>VLOOKUP(A1158,Jogos!A:BN,60,0)</f>
        <v>78.5</v>
      </c>
      <c r="BC1158" s="9">
        <f>VLOOKUP(A1158,Jogos!A:BN,61,0)</f>
        <v>25.955</v>
      </c>
      <c r="BD1158" s="9">
        <f>VLOOKUP(A1158,Jogos!A:BN,62,0)</f>
        <v>0</v>
      </c>
      <c r="BE1158" s="9">
        <f>VLOOKUP(A1158,Jogos!A:BN,63,0)</f>
        <v>1.1</v>
      </c>
      <c r="BF1158" s="9">
        <f>VLOOKUP(A1158,Jogos!A:BN,64,0)</f>
        <v>24.635</v>
      </c>
      <c r="BG1158" s="9">
        <f>VLOOKUP(A1158,Jogos!A:BN,65,0)</f>
        <v>42.785</v>
      </c>
      <c r="BH1158" s="9">
        <f>VLOOKUP(A1158,Jogos!A:BN,66,0)</f>
        <v>28.515</v>
      </c>
      <c r="BI1158" s="9"/>
      <c r="BJ1158" s="9"/>
    </row>
    <row r="1159" hidden="1">
      <c r="A1159" s="10">
        <v>39.0</v>
      </c>
      <c r="B1159" s="11" t="s">
        <v>375</v>
      </c>
      <c r="C1159" s="2" t="s">
        <v>61</v>
      </c>
      <c r="D1159" s="12">
        <v>45832.0</v>
      </c>
      <c r="E1159" s="13">
        <v>0.875</v>
      </c>
      <c r="F1159" s="5" t="str">
        <f>VLOOKUP(A1159,Jogos!A:N,10,0)</f>
        <v>Evening</v>
      </c>
      <c r="G1159" s="11" t="s">
        <v>1269</v>
      </c>
      <c r="H1159" s="6" t="str">
        <f>VLOOKUP(A1159,Jogos!A:L,12,0)</f>
        <v>Open</v>
      </c>
      <c r="I1159" s="6" t="str">
        <f>VLOOKUP(G1159,'Estádios e Cidades'!A:B,2,0)</f>
        <v>Orlando</v>
      </c>
      <c r="J1159" s="11" t="s">
        <v>501</v>
      </c>
      <c r="K1159" s="2" t="str">
        <f>VLOOKUP(J1159,Equipes!A:F,6,0)</f>
        <v>Tropical</v>
      </c>
      <c r="L1159" s="2">
        <f>VLOOKUP(J1159,Equipes!A:C,3,0)</f>
        <v>11</v>
      </c>
      <c r="M1159" s="2" t="str">
        <f t="shared" si="4"/>
        <v>Round of 16</v>
      </c>
      <c r="N1159" s="11" t="s">
        <v>378</v>
      </c>
      <c r="O1159" s="2">
        <f>VLOOKUP(N1159,Equipes!A:C,3,0)</f>
        <v>26</v>
      </c>
      <c r="P1159" s="2" t="str">
        <f t="shared" si="5"/>
        <v>Group</v>
      </c>
      <c r="Q1159" s="2">
        <f t="shared" si="6"/>
        <v>-15</v>
      </c>
      <c r="R1159" s="2" t="str">
        <f>VLOOKUP(J1159,Equipes!A:B,2,0)</f>
        <v>Flamengo</v>
      </c>
      <c r="S1159" s="6" t="s">
        <v>525</v>
      </c>
      <c r="T1159" s="7">
        <v>27.0</v>
      </c>
      <c r="U1159" s="7" t="s">
        <v>526</v>
      </c>
      <c r="V1159" s="7" t="str">
        <f>VLOOKUP(U1159,Jogadores!B:C,2,0)</f>
        <v>FW</v>
      </c>
      <c r="W1159" s="8">
        <f>VLOOKUP(U1159,Jogadores!B:D,3,0)</f>
        <v>34.6</v>
      </c>
      <c r="X1159" s="7">
        <v>71.0</v>
      </c>
      <c r="Y1159" s="7">
        <f t="shared" si="3611"/>
        <v>94</v>
      </c>
      <c r="Z1159" s="7">
        <f>VLOOKUP(A1159,Jogos!A:L,3,0)</f>
        <v>49</v>
      </c>
      <c r="AA1159" s="7">
        <f t="shared" si="2229"/>
        <v>0</v>
      </c>
      <c r="AB1159" s="7">
        <f>VLOOKUP(A1159,Jogos!A:L,4,0)</f>
        <v>49</v>
      </c>
      <c r="AC1159" s="7">
        <f t="shared" si="2230"/>
        <v>23</v>
      </c>
      <c r="AD1159" s="7"/>
      <c r="AE1159" s="7"/>
      <c r="AF1159" s="7">
        <f t="shared" si="2231"/>
        <v>23</v>
      </c>
      <c r="AG1159" s="7">
        <v>2336.3</v>
      </c>
      <c r="AH1159" s="7">
        <v>843.9</v>
      </c>
      <c r="AI1159" s="7">
        <v>1067.6</v>
      </c>
      <c r="AJ1159" s="7">
        <v>252.9</v>
      </c>
      <c r="AK1159" s="7">
        <v>110.0</v>
      </c>
      <c r="AL1159" s="7">
        <v>61.9</v>
      </c>
      <c r="AM1159" s="7">
        <v>25.0</v>
      </c>
      <c r="AN1159" s="7">
        <v>11.0</v>
      </c>
      <c r="AO1159" s="7">
        <v>29.7</v>
      </c>
      <c r="AP1159" s="9">
        <f t="shared" ref="AP1159:AR1159" si="3618">AG1159/$AF1159</f>
        <v>101.5782609</v>
      </c>
      <c r="AQ1159" s="9">
        <f t="shared" si="3618"/>
        <v>36.69130435</v>
      </c>
      <c r="AR1159" s="9">
        <f t="shared" si="3618"/>
        <v>46.4173913</v>
      </c>
      <c r="AS1159" s="9">
        <f t="shared" si="2233"/>
        <v>83.10869565</v>
      </c>
      <c r="AT1159" s="9">
        <f t="shared" ref="AT1159:AV1159" si="3619">AJ1159/$AF1159</f>
        <v>10.99565217</v>
      </c>
      <c r="AU1159" s="9">
        <f t="shared" si="3619"/>
        <v>4.782608696</v>
      </c>
      <c r="AV1159" s="9">
        <f t="shared" si="3619"/>
        <v>2.691304348</v>
      </c>
      <c r="AW1159" s="9">
        <f t="shared" si="2235"/>
        <v>7.473913043</v>
      </c>
      <c r="AX1159" s="9">
        <f t="shared" ref="AX1159:AY1159" si="3620">AM1159/$AF1159</f>
        <v>1.086956522</v>
      </c>
      <c r="AY1159" s="9">
        <f t="shared" si="3620"/>
        <v>0.4782608696</v>
      </c>
      <c r="AZ1159" s="9">
        <f>VLOOKUP(A1159,Jogos!A:BN,58,0)</f>
        <v>27.145</v>
      </c>
      <c r="BA1159" s="9">
        <f>VLOOKUP(A1159,Jogos!A:BN,59,0)</f>
        <v>23.175</v>
      </c>
      <c r="BB1159" s="9">
        <f>VLOOKUP(A1159,Jogos!A:BN,60,0)</f>
        <v>78.5</v>
      </c>
      <c r="BC1159" s="9">
        <f>VLOOKUP(A1159,Jogos!A:BN,61,0)</f>
        <v>25.955</v>
      </c>
      <c r="BD1159" s="9">
        <f>VLOOKUP(A1159,Jogos!A:BN,62,0)</f>
        <v>0</v>
      </c>
      <c r="BE1159" s="9">
        <f>VLOOKUP(A1159,Jogos!A:BN,63,0)</f>
        <v>1.1</v>
      </c>
      <c r="BF1159" s="9">
        <f>VLOOKUP(A1159,Jogos!A:BN,64,0)</f>
        <v>24.635</v>
      </c>
      <c r="BG1159" s="9">
        <f>VLOOKUP(A1159,Jogos!A:BN,65,0)</f>
        <v>42.785</v>
      </c>
      <c r="BH1159" s="9">
        <f>VLOOKUP(A1159,Jogos!A:BN,66,0)</f>
        <v>28.515</v>
      </c>
      <c r="BI1159" s="9"/>
      <c r="BJ1159" s="9"/>
    </row>
    <row r="1160" hidden="1">
      <c r="A1160" s="10">
        <v>39.0</v>
      </c>
      <c r="B1160" s="11" t="s">
        <v>375</v>
      </c>
      <c r="C1160" s="2" t="s">
        <v>61</v>
      </c>
      <c r="D1160" s="12">
        <v>45832.0</v>
      </c>
      <c r="E1160" s="13">
        <v>0.875</v>
      </c>
      <c r="F1160" s="5" t="str">
        <f>VLOOKUP(A1160,Jogos!A:N,10,0)</f>
        <v>Evening</v>
      </c>
      <c r="G1160" s="11" t="s">
        <v>1269</v>
      </c>
      <c r="H1160" s="6" t="str">
        <f>VLOOKUP(A1160,Jogos!A:L,12,0)</f>
        <v>Open</v>
      </c>
      <c r="I1160" s="6" t="str">
        <f>VLOOKUP(G1160,'Estádios e Cidades'!A:B,2,0)</f>
        <v>Orlando</v>
      </c>
      <c r="J1160" s="11" t="s">
        <v>501</v>
      </c>
      <c r="K1160" s="2" t="str">
        <f>VLOOKUP(J1160,Equipes!A:F,6,0)</f>
        <v>Tropical</v>
      </c>
      <c r="L1160" s="2">
        <f>VLOOKUP(J1160,Equipes!A:C,3,0)</f>
        <v>11</v>
      </c>
      <c r="M1160" s="2" t="str">
        <f t="shared" si="4"/>
        <v>Round of 16</v>
      </c>
      <c r="N1160" s="11" t="s">
        <v>378</v>
      </c>
      <c r="O1160" s="2">
        <f>VLOOKUP(N1160,Equipes!A:C,3,0)</f>
        <v>26</v>
      </c>
      <c r="P1160" s="2" t="str">
        <f t="shared" si="5"/>
        <v>Group</v>
      </c>
      <c r="Q1160" s="2">
        <f t="shared" si="6"/>
        <v>-15</v>
      </c>
      <c r="R1160" s="2" t="str">
        <f>VLOOKUP(J1160,Equipes!A:B,2,0)</f>
        <v>Flamengo</v>
      </c>
      <c r="S1160" s="6" t="s">
        <v>528</v>
      </c>
      <c r="T1160" s="7">
        <v>30.0</v>
      </c>
      <c r="U1160" s="7" t="s">
        <v>529</v>
      </c>
      <c r="V1160" s="7" t="str">
        <f>VLOOKUP(U1160,Jogadores!B:C,2,0)</f>
        <v>FW</v>
      </c>
      <c r="W1160" s="8">
        <f>VLOOKUP(U1160,Jogadores!B:D,3,0)</f>
        <v>29.39726027</v>
      </c>
      <c r="X1160" s="7">
        <v>59.0</v>
      </c>
      <c r="Y1160" s="7">
        <f t="shared" si="3611"/>
        <v>94</v>
      </c>
      <c r="Z1160" s="7">
        <f>VLOOKUP(A1160,Jogos!A:L,3,0)</f>
        <v>49</v>
      </c>
      <c r="AA1160" s="7">
        <f t="shared" si="2229"/>
        <v>0</v>
      </c>
      <c r="AB1160" s="7">
        <f>VLOOKUP(A1160,Jogos!A:L,4,0)</f>
        <v>49</v>
      </c>
      <c r="AC1160" s="7">
        <f t="shared" si="2230"/>
        <v>35</v>
      </c>
      <c r="AD1160" s="7"/>
      <c r="AE1160" s="7"/>
      <c r="AF1160" s="7">
        <f t="shared" si="2231"/>
        <v>35</v>
      </c>
      <c r="AG1160" s="7">
        <v>3843.1</v>
      </c>
      <c r="AH1160" s="7">
        <v>1212.9</v>
      </c>
      <c r="AI1160" s="7">
        <v>1768.0</v>
      </c>
      <c r="AJ1160" s="7">
        <v>512.5</v>
      </c>
      <c r="AK1160" s="7">
        <v>279.8</v>
      </c>
      <c r="AL1160" s="7">
        <v>70.0</v>
      </c>
      <c r="AM1160" s="7">
        <v>42.0</v>
      </c>
      <c r="AN1160" s="7">
        <v>22.0</v>
      </c>
      <c r="AO1160" s="7">
        <v>29.9</v>
      </c>
      <c r="AP1160" s="9">
        <f t="shared" ref="AP1160:AR1160" si="3621">AG1160/$AF1160</f>
        <v>109.8028571</v>
      </c>
      <c r="AQ1160" s="9">
        <f t="shared" si="3621"/>
        <v>34.65428571</v>
      </c>
      <c r="AR1160" s="9">
        <f t="shared" si="3621"/>
        <v>50.51428571</v>
      </c>
      <c r="AS1160" s="9">
        <f t="shared" si="2233"/>
        <v>85.16857143</v>
      </c>
      <c r="AT1160" s="9">
        <f t="shared" ref="AT1160:AV1160" si="3622">AJ1160/$AF1160</f>
        <v>14.64285714</v>
      </c>
      <c r="AU1160" s="9">
        <f t="shared" si="3622"/>
        <v>7.994285714</v>
      </c>
      <c r="AV1160" s="9">
        <f t="shared" si="3622"/>
        <v>2</v>
      </c>
      <c r="AW1160" s="9">
        <f t="shared" si="2235"/>
        <v>9.994285714</v>
      </c>
      <c r="AX1160" s="9">
        <f t="shared" ref="AX1160:AY1160" si="3623">AM1160/$AF1160</f>
        <v>1.2</v>
      </c>
      <c r="AY1160" s="9">
        <f t="shared" si="3623"/>
        <v>0.6285714286</v>
      </c>
      <c r="AZ1160" s="9">
        <f>VLOOKUP(A1160,Jogos!A:BN,58,0)</f>
        <v>27.145</v>
      </c>
      <c r="BA1160" s="9">
        <f>VLOOKUP(A1160,Jogos!A:BN,59,0)</f>
        <v>23.175</v>
      </c>
      <c r="BB1160" s="9">
        <f>VLOOKUP(A1160,Jogos!A:BN,60,0)</f>
        <v>78.5</v>
      </c>
      <c r="BC1160" s="9">
        <f>VLOOKUP(A1160,Jogos!A:BN,61,0)</f>
        <v>25.955</v>
      </c>
      <c r="BD1160" s="9">
        <f>VLOOKUP(A1160,Jogos!A:BN,62,0)</f>
        <v>0</v>
      </c>
      <c r="BE1160" s="9">
        <f>VLOOKUP(A1160,Jogos!A:BN,63,0)</f>
        <v>1.1</v>
      </c>
      <c r="BF1160" s="9">
        <f>VLOOKUP(A1160,Jogos!A:BN,64,0)</f>
        <v>24.635</v>
      </c>
      <c r="BG1160" s="9">
        <f>VLOOKUP(A1160,Jogos!A:BN,65,0)</f>
        <v>42.785</v>
      </c>
      <c r="BH1160" s="9">
        <f>VLOOKUP(A1160,Jogos!A:BN,66,0)</f>
        <v>28.515</v>
      </c>
      <c r="BI1160" s="9"/>
      <c r="BJ1160" s="9"/>
    </row>
    <row r="1161" hidden="1">
      <c r="A1161" s="10">
        <v>39.0</v>
      </c>
      <c r="B1161" s="11" t="s">
        <v>375</v>
      </c>
      <c r="C1161" s="2" t="s">
        <v>61</v>
      </c>
      <c r="D1161" s="12">
        <v>45832.0</v>
      </c>
      <c r="E1161" s="13">
        <v>0.875</v>
      </c>
      <c r="F1161" s="5" t="str">
        <f>VLOOKUP(A1161,Jogos!A:N,10,0)</f>
        <v>Evening</v>
      </c>
      <c r="G1161" s="11" t="s">
        <v>1269</v>
      </c>
      <c r="H1161" s="6" t="str">
        <f>VLOOKUP(A1161,Jogos!A:L,12,0)</f>
        <v>Open</v>
      </c>
      <c r="I1161" s="6" t="str">
        <f>VLOOKUP(G1161,'Estádios e Cidades'!A:B,2,0)</f>
        <v>Orlando</v>
      </c>
      <c r="J1161" s="11" t="s">
        <v>501</v>
      </c>
      <c r="K1161" s="2" t="str">
        <f>VLOOKUP(J1161,Equipes!A:F,6,0)</f>
        <v>Tropical</v>
      </c>
      <c r="L1161" s="2">
        <f>VLOOKUP(J1161,Equipes!A:C,3,0)</f>
        <v>11</v>
      </c>
      <c r="M1161" s="2" t="str">
        <f t="shared" si="4"/>
        <v>Round of 16</v>
      </c>
      <c r="N1161" s="11" t="s">
        <v>378</v>
      </c>
      <c r="O1161" s="2">
        <f>VLOOKUP(N1161,Equipes!A:C,3,0)</f>
        <v>26</v>
      </c>
      <c r="P1161" s="2" t="str">
        <f t="shared" si="5"/>
        <v>Group</v>
      </c>
      <c r="Q1161" s="2">
        <f t="shared" si="6"/>
        <v>-15</v>
      </c>
      <c r="R1161" s="2" t="str">
        <f>VLOOKUP(J1161,Equipes!A:B,2,0)</f>
        <v>Flamengo</v>
      </c>
      <c r="S1161" s="6" t="s">
        <v>1124</v>
      </c>
      <c r="T1161" s="7">
        <v>64.0</v>
      </c>
      <c r="U1161" s="7" t="s">
        <v>1125</v>
      </c>
      <c r="V1161" s="7" t="str">
        <f>VLOOKUP(U1161,Jogadores!B:C,2,0)</f>
        <v>FW</v>
      </c>
      <c r="W1161" s="8">
        <f>VLOOKUP(U1161,Jogadores!B:D,3,0)</f>
        <v>20.47945205</v>
      </c>
      <c r="X1161" s="7">
        <v>71.0</v>
      </c>
      <c r="Y1161" s="7">
        <f t="shared" si="3611"/>
        <v>94</v>
      </c>
      <c r="Z1161" s="7">
        <f>VLOOKUP(A1161,Jogos!A:L,3,0)</f>
        <v>49</v>
      </c>
      <c r="AA1161" s="7">
        <f t="shared" si="2229"/>
        <v>0</v>
      </c>
      <c r="AB1161" s="7">
        <f>VLOOKUP(A1161,Jogos!A:L,4,0)</f>
        <v>49</v>
      </c>
      <c r="AC1161" s="7">
        <f t="shared" si="2230"/>
        <v>23</v>
      </c>
      <c r="AD1161" s="7"/>
      <c r="AE1161" s="7"/>
      <c r="AF1161" s="7">
        <f t="shared" si="2231"/>
        <v>23</v>
      </c>
      <c r="AG1161" s="7">
        <v>2770.5</v>
      </c>
      <c r="AH1161" s="7">
        <v>911.2</v>
      </c>
      <c r="AI1161" s="7">
        <v>1058.8</v>
      </c>
      <c r="AJ1161" s="7">
        <v>559.1</v>
      </c>
      <c r="AK1161" s="7">
        <v>182.6</v>
      </c>
      <c r="AL1161" s="7">
        <v>58.7</v>
      </c>
      <c r="AM1161" s="7">
        <v>48.0</v>
      </c>
      <c r="AN1161" s="7">
        <v>15.0</v>
      </c>
      <c r="AO1161" s="7">
        <v>30.3</v>
      </c>
      <c r="AP1161" s="9">
        <f t="shared" ref="AP1161:AR1161" si="3624">AG1161/$AF1161</f>
        <v>120.4565217</v>
      </c>
      <c r="AQ1161" s="9">
        <f t="shared" si="3624"/>
        <v>39.6173913</v>
      </c>
      <c r="AR1161" s="9">
        <f t="shared" si="3624"/>
        <v>46.03478261</v>
      </c>
      <c r="AS1161" s="9">
        <f t="shared" si="2233"/>
        <v>85.65217391</v>
      </c>
      <c r="AT1161" s="9">
        <f t="shared" ref="AT1161:AV1161" si="3625">AJ1161/$AF1161</f>
        <v>24.30869565</v>
      </c>
      <c r="AU1161" s="9">
        <f t="shared" si="3625"/>
        <v>7.939130435</v>
      </c>
      <c r="AV1161" s="9">
        <f t="shared" si="3625"/>
        <v>2.552173913</v>
      </c>
      <c r="AW1161" s="9">
        <f t="shared" si="2235"/>
        <v>10.49130435</v>
      </c>
      <c r="AX1161" s="9">
        <f t="shared" ref="AX1161:AY1161" si="3626">AM1161/$AF1161</f>
        <v>2.086956522</v>
      </c>
      <c r="AY1161" s="9">
        <f t="shared" si="3626"/>
        <v>0.652173913</v>
      </c>
      <c r="AZ1161" s="9">
        <f>VLOOKUP(A1161,Jogos!A:BN,58,0)</f>
        <v>27.145</v>
      </c>
      <c r="BA1161" s="9">
        <f>VLOOKUP(A1161,Jogos!A:BN,59,0)</f>
        <v>23.175</v>
      </c>
      <c r="BB1161" s="9">
        <f>VLOOKUP(A1161,Jogos!A:BN,60,0)</f>
        <v>78.5</v>
      </c>
      <c r="BC1161" s="9">
        <f>VLOOKUP(A1161,Jogos!A:BN,61,0)</f>
        <v>25.955</v>
      </c>
      <c r="BD1161" s="9">
        <f>VLOOKUP(A1161,Jogos!A:BN,62,0)</f>
        <v>0</v>
      </c>
      <c r="BE1161" s="9">
        <f>VLOOKUP(A1161,Jogos!A:BN,63,0)</f>
        <v>1.1</v>
      </c>
      <c r="BF1161" s="9">
        <f>VLOOKUP(A1161,Jogos!A:BN,64,0)</f>
        <v>24.635</v>
      </c>
      <c r="BG1161" s="9">
        <f>VLOOKUP(A1161,Jogos!A:BN,65,0)</f>
        <v>42.785</v>
      </c>
      <c r="BH1161" s="9">
        <f>VLOOKUP(A1161,Jogos!A:BN,66,0)</f>
        <v>28.515</v>
      </c>
      <c r="BI1161" s="9"/>
      <c r="BJ1161" s="9"/>
    </row>
    <row r="1162" hidden="1">
      <c r="A1162" s="2">
        <v>40.0</v>
      </c>
      <c r="B1162" s="11" t="s">
        <v>375</v>
      </c>
      <c r="C1162" s="2" t="s">
        <v>61</v>
      </c>
      <c r="D1162" s="3">
        <v>45832.0</v>
      </c>
      <c r="E1162" s="4">
        <v>0.875</v>
      </c>
      <c r="F1162" s="5" t="str">
        <f>VLOOKUP(A1162,Jogos!A:N,10,0)</f>
        <v>Evening</v>
      </c>
      <c r="G1162" s="2" t="s">
        <v>500</v>
      </c>
      <c r="H1162" s="6" t="str">
        <f>VLOOKUP(A1162,Jogos!A:L,12,0)</f>
        <v>Open</v>
      </c>
      <c r="I1162" s="6" t="str">
        <f>VLOOKUP(G1162,'Estádios e Cidades'!A:B,2,0)</f>
        <v>Philadelphia</v>
      </c>
      <c r="J1162" s="2" t="s">
        <v>502</v>
      </c>
      <c r="K1162" s="2" t="str">
        <f>VLOOKUP(J1162,Equipes!A:F,6,0)</f>
        <v>Temperate</v>
      </c>
      <c r="L1162" s="2">
        <f>VLOOKUP(J1162,Equipes!A:C,3,0)</f>
        <v>21</v>
      </c>
      <c r="M1162" s="2" t="str">
        <f t="shared" si="4"/>
        <v>Group</v>
      </c>
      <c r="N1162" s="2" t="s">
        <v>377</v>
      </c>
      <c r="O1162" s="2">
        <f>VLOOKUP(N1162,Equipes!A:C,3,0)</f>
        <v>1</v>
      </c>
      <c r="P1162" s="2" t="str">
        <f t="shared" si="5"/>
        <v>Final</v>
      </c>
      <c r="Q1162" s="2">
        <f t="shared" si="6"/>
        <v>20</v>
      </c>
      <c r="R1162" s="2" t="str">
        <f>VLOOKUP(J1162,Equipes!A:B,2,0)</f>
        <v>Esperance</v>
      </c>
      <c r="S1162" s="6" t="s">
        <v>532</v>
      </c>
      <c r="T1162" s="7">
        <v>2.0</v>
      </c>
      <c r="U1162" s="7" t="s">
        <v>533</v>
      </c>
      <c r="V1162" s="7" t="str">
        <f>VLOOKUP(U1162,Jogadores!B:C,2,0)</f>
        <v>MF</v>
      </c>
      <c r="W1162" s="8">
        <f>VLOOKUP(U1162,Jogadores!B:D,3,0)</f>
        <v>30.46575342</v>
      </c>
      <c r="X1162" s="7">
        <v>0.0</v>
      </c>
      <c r="Y1162" s="7">
        <f t="shared" si="3611"/>
        <v>97</v>
      </c>
      <c r="Z1162" s="7">
        <f>VLOOKUP(A1162,Jogos!A:L,3,0)</f>
        <v>50</v>
      </c>
      <c r="AA1162" s="7">
        <f t="shared" si="2229"/>
        <v>50</v>
      </c>
      <c r="AB1162" s="7">
        <f>VLOOKUP(A1162,Jogos!A:L,4,0)</f>
        <v>52</v>
      </c>
      <c r="AC1162" s="7">
        <f t="shared" si="2230"/>
        <v>52</v>
      </c>
      <c r="AD1162" s="7"/>
      <c r="AE1162" s="7"/>
      <c r="AF1162" s="7">
        <f t="shared" si="2231"/>
        <v>102</v>
      </c>
      <c r="AG1162" s="7">
        <v>8816.0</v>
      </c>
      <c r="AH1162" s="7">
        <v>4322.5</v>
      </c>
      <c r="AI1162" s="7">
        <v>2828.4</v>
      </c>
      <c r="AJ1162" s="7">
        <v>901.6</v>
      </c>
      <c r="AK1162" s="7">
        <v>527.9</v>
      </c>
      <c r="AL1162" s="7">
        <v>235.6</v>
      </c>
      <c r="AM1162" s="7">
        <v>86.0</v>
      </c>
      <c r="AN1162" s="7">
        <v>47.0</v>
      </c>
      <c r="AO1162" s="7">
        <v>30.3</v>
      </c>
      <c r="AP1162" s="9">
        <f t="shared" ref="AP1162:AR1162" si="3627">AG1162/$AF1162</f>
        <v>86.43137255</v>
      </c>
      <c r="AQ1162" s="9">
        <f t="shared" si="3627"/>
        <v>42.37745098</v>
      </c>
      <c r="AR1162" s="9">
        <f t="shared" si="3627"/>
        <v>27.72941176</v>
      </c>
      <c r="AS1162" s="9">
        <f t="shared" si="2233"/>
        <v>70.10686275</v>
      </c>
      <c r="AT1162" s="9">
        <f t="shared" ref="AT1162:AV1162" si="3628">AJ1162/$AF1162</f>
        <v>8.839215686</v>
      </c>
      <c r="AU1162" s="9">
        <f t="shared" si="3628"/>
        <v>5.175490196</v>
      </c>
      <c r="AV1162" s="9">
        <f t="shared" si="3628"/>
        <v>2.309803922</v>
      </c>
      <c r="AW1162" s="9">
        <f t="shared" si="2235"/>
        <v>7.485294118</v>
      </c>
      <c r="AX1162" s="9">
        <f t="shared" ref="AX1162:AY1162" si="3629">AM1162/$AF1162</f>
        <v>0.8431372549</v>
      </c>
      <c r="AY1162" s="9">
        <f t="shared" si="3629"/>
        <v>0.4607843137</v>
      </c>
      <c r="AZ1162" s="9">
        <f>VLOOKUP(A1162,Jogos!A:BN,58,0)</f>
        <v>30.175</v>
      </c>
      <c r="BA1162" s="9">
        <f>VLOOKUP(A1162,Jogos!A:BN,59,0)</f>
        <v>20.145</v>
      </c>
      <c r="BB1162" s="9">
        <f>VLOOKUP(A1162,Jogos!A:BN,60,0)</f>
        <v>54.5</v>
      </c>
      <c r="BC1162" s="9">
        <f>VLOOKUP(A1162,Jogos!A:BN,61,0)</f>
        <v>30.65</v>
      </c>
      <c r="BD1162" s="9">
        <f>VLOOKUP(A1162,Jogos!A:BN,62,0)</f>
        <v>0</v>
      </c>
      <c r="BE1162" s="9">
        <f>VLOOKUP(A1162,Jogos!A:BN,63,0)</f>
        <v>1.86</v>
      </c>
      <c r="BF1162" s="9">
        <f>VLOOKUP(A1162,Jogos!A:BN,64,0)</f>
        <v>24.52</v>
      </c>
      <c r="BG1162" s="9">
        <f>VLOOKUP(A1162,Jogos!A:BN,65,0)</f>
        <v>44.17</v>
      </c>
      <c r="BH1162" s="9">
        <f>VLOOKUP(A1162,Jogos!A:BN,66,0)</f>
        <v>29.015</v>
      </c>
      <c r="BI1162" s="9"/>
      <c r="BJ1162" s="9"/>
    </row>
    <row r="1163" hidden="1">
      <c r="A1163" s="2">
        <v>40.0</v>
      </c>
      <c r="B1163" s="11" t="s">
        <v>375</v>
      </c>
      <c r="C1163" s="2" t="s">
        <v>61</v>
      </c>
      <c r="D1163" s="3">
        <v>45832.0</v>
      </c>
      <c r="E1163" s="4">
        <v>0.875</v>
      </c>
      <c r="F1163" s="5" t="str">
        <f>VLOOKUP(A1163,Jogos!A:N,10,0)</f>
        <v>Evening</v>
      </c>
      <c r="G1163" s="2" t="s">
        <v>500</v>
      </c>
      <c r="H1163" s="6" t="str">
        <f>VLOOKUP(A1163,Jogos!A:L,12,0)</f>
        <v>Open</v>
      </c>
      <c r="I1163" s="6" t="str">
        <f>VLOOKUP(G1163,'Estádios e Cidades'!A:B,2,0)</f>
        <v>Philadelphia</v>
      </c>
      <c r="J1163" s="2" t="s">
        <v>502</v>
      </c>
      <c r="K1163" s="2" t="str">
        <f>VLOOKUP(J1163,Equipes!A:F,6,0)</f>
        <v>Temperate</v>
      </c>
      <c r="L1163" s="2">
        <f>VLOOKUP(J1163,Equipes!A:C,3,0)</f>
        <v>21</v>
      </c>
      <c r="M1163" s="2" t="str">
        <f t="shared" si="4"/>
        <v>Group</v>
      </c>
      <c r="N1163" s="2" t="s">
        <v>377</v>
      </c>
      <c r="O1163" s="2">
        <f>VLOOKUP(N1163,Equipes!A:C,3,0)</f>
        <v>1</v>
      </c>
      <c r="P1163" s="2" t="str">
        <f t="shared" si="5"/>
        <v>Final</v>
      </c>
      <c r="Q1163" s="2">
        <f t="shared" si="6"/>
        <v>20</v>
      </c>
      <c r="R1163" s="2" t="str">
        <f>VLOOKUP(J1163,Equipes!A:B,2,0)</f>
        <v>Esperance</v>
      </c>
      <c r="S1163" s="6" t="s">
        <v>534</v>
      </c>
      <c r="T1163" s="7">
        <v>5.0</v>
      </c>
      <c r="U1163" s="7" t="s">
        <v>535</v>
      </c>
      <c r="V1163" s="7" t="str">
        <f>VLOOKUP(U1163,Jogadores!B:C,2,0)</f>
        <v>DF</v>
      </c>
      <c r="W1163" s="8">
        <f>VLOOKUP(U1163,Jogadores!B:D,3,0)</f>
        <v>32.09315068</v>
      </c>
      <c r="X1163" s="7">
        <v>0.0</v>
      </c>
      <c r="Y1163" s="7">
        <f t="shared" si="3611"/>
        <v>97</v>
      </c>
      <c r="Z1163" s="7">
        <f>VLOOKUP(A1163,Jogos!A:L,3,0)</f>
        <v>50</v>
      </c>
      <c r="AA1163" s="7">
        <f t="shared" si="2229"/>
        <v>50</v>
      </c>
      <c r="AB1163" s="7">
        <f>VLOOKUP(A1163,Jogos!A:L,4,0)</f>
        <v>52</v>
      </c>
      <c r="AC1163" s="7">
        <f t="shared" si="2230"/>
        <v>52</v>
      </c>
      <c r="AD1163" s="7"/>
      <c r="AE1163" s="7"/>
      <c r="AF1163" s="7">
        <f t="shared" si="2231"/>
        <v>102</v>
      </c>
      <c r="AG1163" s="7">
        <v>8404.7</v>
      </c>
      <c r="AH1163" s="7">
        <v>4004.6</v>
      </c>
      <c r="AI1163" s="7">
        <v>3333.9</v>
      </c>
      <c r="AJ1163" s="7">
        <v>697.7</v>
      </c>
      <c r="AK1163" s="7">
        <v>254.1</v>
      </c>
      <c r="AL1163" s="7">
        <v>114.4</v>
      </c>
      <c r="AM1163" s="7">
        <v>63.0</v>
      </c>
      <c r="AN1163" s="7">
        <v>23.0</v>
      </c>
      <c r="AO1163" s="7">
        <v>30.1</v>
      </c>
      <c r="AP1163" s="9">
        <f t="shared" ref="AP1163:AR1163" si="3630">AG1163/$AF1163</f>
        <v>82.39901961</v>
      </c>
      <c r="AQ1163" s="9">
        <f t="shared" si="3630"/>
        <v>39.26078431</v>
      </c>
      <c r="AR1163" s="9">
        <f t="shared" si="3630"/>
        <v>32.68529412</v>
      </c>
      <c r="AS1163" s="9">
        <f t="shared" si="2233"/>
        <v>71.94607843</v>
      </c>
      <c r="AT1163" s="9">
        <f t="shared" ref="AT1163:AV1163" si="3631">AJ1163/$AF1163</f>
        <v>6.840196078</v>
      </c>
      <c r="AU1163" s="9">
        <f t="shared" si="3631"/>
        <v>2.491176471</v>
      </c>
      <c r="AV1163" s="9">
        <f t="shared" si="3631"/>
        <v>1.121568627</v>
      </c>
      <c r="AW1163" s="9">
        <f t="shared" si="2235"/>
        <v>3.612745098</v>
      </c>
      <c r="AX1163" s="9">
        <f t="shared" ref="AX1163:AY1163" si="3632">AM1163/$AF1163</f>
        <v>0.6176470588</v>
      </c>
      <c r="AY1163" s="9">
        <f t="shared" si="3632"/>
        <v>0.2254901961</v>
      </c>
      <c r="AZ1163" s="9">
        <f>VLOOKUP(A1163,Jogos!A:BN,58,0)</f>
        <v>30.175</v>
      </c>
      <c r="BA1163" s="9">
        <f>VLOOKUP(A1163,Jogos!A:BN,59,0)</f>
        <v>20.145</v>
      </c>
      <c r="BB1163" s="9">
        <f>VLOOKUP(A1163,Jogos!A:BN,60,0)</f>
        <v>54.5</v>
      </c>
      <c r="BC1163" s="9">
        <f>VLOOKUP(A1163,Jogos!A:BN,61,0)</f>
        <v>30.65</v>
      </c>
      <c r="BD1163" s="9">
        <f>VLOOKUP(A1163,Jogos!A:BN,62,0)</f>
        <v>0</v>
      </c>
      <c r="BE1163" s="9">
        <f>VLOOKUP(A1163,Jogos!A:BN,63,0)</f>
        <v>1.86</v>
      </c>
      <c r="BF1163" s="9">
        <f>VLOOKUP(A1163,Jogos!A:BN,64,0)</f>
        <v>24.52</v>
      </c>
      <c r="BG1163" s="9">
        <f>VLOOKUP(A1163,Jogos!A:BN,65,0)</f>
        <v>44.17</v>
      </c>
      <c r="BH1163" s="9">
        <f>VLOOKUP(A1163,Jogos!A:BN,66,0)</f>
        <v>29.015</v>
      </c>
      <c r="BI1163" s="9"/>
      <c r="BJ1163" s="9"/>
    </row>
    <row r="1164" hidden="1">
      <c r="A1164" s="2">
        <v>40.0</v>
      </c>
      <c r="B1164" s="11" t="s">
        <v>375</v>
      </c>
      <c r="C1164" s="2" t="s">
        <v>61</v>
      </c>
      <c r="D1164" s="3">
        <v>45832.0</v>
      </c>
      <c r="E1164" s="4">
        <v>0.875</v>
      </c>
      <c r="F1164" s="5" t="str">
        <f>VLOOKUP(A1164,Jogos!A:N,10,0)</f>
        <v>Evening</v>
      </c>
      <c r="G1164" s="2" t="s">
        <v>500</v>
      </c>
      <c r="H1164" s="6" t="str">
        <f>VLOOKUP(A1164,Jogos!A:L,12,0)</f>
        <v>Open</v>
      </c>
      <c r="I1164" s="6" t="str">
        <f>VLOOKUP(G1164,'Estádios e Cidades'!A:B,2,0)</f>
        <v>Philadelphia</v>
      </c>
      <c r="J1164" s="2" t="s">
        <v>502</v>
      </c>
      <c r="K1164" s="2" t="str">
        <f>VLOOKUP(J1164,Equipes!A:F,6,0)</f>
        <v>Temperate</v>
      </c>
      <c r="L1164" s="2">
        <f>VLOOKUP(J1164,Equipes!A:C,3,0)</f>
        <v>21</v>
      </c>
      <c r="M1164" s="2" t="str">
        <f t="shared" si="4"/>
        <v>Group</v>
      </c>
      <c r="N1164" s="2" t="s">
        <v>377</v>
      </c>
      <c r="O1164" s="2">
        <f>VLOOKUP(N1164,Equipes!A:C,3,0)</f>
        <v>1</v>
      </c>
      <c r="P1164" s="2" t="str">
        <f t="shared" si="5"/>
        <v>Final</v>
      </c>
      <c r="Q1164" s="2">
        <f t="shared" si="6"/>
        <v>20</v>
      </c>
      <c r="R1164" s="2" t="str">
        <f>VLOOKUP(J1164,Equipes!A:B,2,0)</f>
        <v>Esperance</v>
      </c>
      <c r="S1164" s="6" t="s">
        <v>538</v>
      </c>
      <c r="T1164" s="7">
        <v>10.0</v>
      </c>
      <c r="U1164" s="7" t="s">
        <v>539</v>
      </c>
      <c r="V1164" s="7" t="str">
        <f>VLOOKUP(U1164,Jogadores!B:C,2,0)</f>
        <v>MF</v>
      </c>
      <c r="W1164" s="8">
        <f>VLOOKUP(U1164,Jogadores!B:D,3,0)</f>
        <v>28.11232877</v>
      </c>
      <c r="X1164" s="7">
        <v>0.0</v>
      </c>
      <c r="Y1164" s="7">
        <v>83.0</v>
      </c>
      <c r="Z1164" s="7">
        <f>VLOOKUP(A1164,Jogos!A:L,3,0)</f>
        <v>50</v>
      </c>
      <c r="AA1164" s="7">
        <f t="shared" si="2229"/>
        <v>50</v>
      </c>
      <c r="AB1164" s="7">
        <f>VLOOKUP(A1164,Jogos!A:L,4,0)</f>
        <v>52</v>
      </c>
      <c r="AC1164" s="7">
        <f t="shared" si="2230"/>
        <v>38</v>
      </c>
      <c r="AD1164" s="7"/>
      <c r="AE1164" s="7"/>
      <c r="AF1164" s="7">
        <f t="shared" si="2231"/>
        <v>88</v>
      </c>
      <c r="AG1164" s="7">
        <v>8785.0</v>
      </c>
      <c r="AH1164" s="7">
        <v>3980.4</v>
      </c>
      <c r="AI1164" s="7">
        <v>2778.6</v>
      </c>
      <c r="AJ1164" s="7">
        <v>1070.3</v>
      </c>
      <c r="AK1164" s="7">
        <v>648.1</v>
      </c>
      <c r="AL1164" s="7">
        <v>307.5</v>
      </c>
      <c r="AM1164" s="7">
        <v>100.0</v>
      </c>
      <c r="AN1164" s="7">
        <v>51.0</v>
      </c>
      <c r="AO1164" s="7">
        <v>30.3</v>
      </c>
      <c r="AP1164" s="9">
        <f t="shared" ref="AP1164:AR1164" si="3633">AG1164/$AF1164</f>
        <v>99.82954545</v>
      </c>
      <c r="AQ1164" s="9">
        <f t="shared" si="3633"/>
        <v>45.23181818</v>
      </c>
      <c r="AR1164" s="9">
        <f t="shared" si="3633"/>
        <v>31.575</v>
      </c>
      <c r="AS1164" s="9">
        <f t="shared" si="2233"/>
        <v>76.80681818</v>
      </c>
      <c r="AT1164" s="9">
        <f t="shared" ref="AT1164:AV1164" si="3634">AJ1164/$AF1164</f>
        <v>12.1625</v>
      </c>
      <c r="AU1164" s="9">
        <f t="shared" si="3634"/>
        <v>7.364772727</v>
      </c>
      <c r="AV1164" s="9">
        <f t="shared" si="3634"/>
        <v>3.494318182</v>
      </c>
      <c r="AW1164" s="9">
        <f t="shared" si="2235"/>
        <v>10.85909091</v>
      </c>
      <c r="AX1164" s="9">
        <f t="shared" ref="AX1164:AY1164" si="3635">AM1164/$AF1164</f>
        <v>1.136363636</v>
      </c>
      <c r="AY1164" s="9">
        <f t="shared" si="3635"/>
        <v>0.5795454545</v>
      </c>
      <c r="AZ1164" s="9">
        <f>VLOOKUP(A1164,Jogos!A:BN,58,0)</f>
        <v>30.175</v>
      </c>
      <c r="BA1164" s="9">
        <f>VLOOKUP(A1164,Jogos!A:BN,59,0)</f>
        <v>20.145</v>
      </c>
      <c r="BB1164" s="9">
        <f>VLOOKUP(A1164,Jogos!A:BN,60,0)</f>
        <v>54.5</v>
      </c>
      <c r="BC1164" s="9">
        <f>VLOOKUP(A1164,Jogos!A:BN,61,0)</f>
        <v>30.65</v>
      </c>
      <c r="BD1164" s="9">
        <f>VLOOKUP(A1164,Jogos!A:BN,62,0)</f>
        <v>0</v>
      </c>
      <c r="BE1164" s="9">
        <f>VLOOKUP(A1164,Jogos!A:BN,63,0)</f>
        <v>1.86</v>
      </c>
      <c r="BF1164" s="9">
        <f>VLOOKUP(A1164,Jogos!A:BN,64,0)</f>
        <v>24.52</v>
      </c>
      <c r="BG1164" s="9">
        <f>VLOOKUP(A1164,Jogos!A:BN,65,0)</f>
        <v>44.17</v>
      </c>
      <c r="BH1164" s="9">
        <f>VLOOKUP(A1164,Jogos!A:BN,66,0)</f>
        <v>29.015</v>
      </c>
      <c r="BI1164" s="9"/>
      <c r="BJ1164" s="9"/>
    </row>
    <row r="1165" hidden="1">
      <c r="A1165" s="2">
        <v>40.0</v>
      </c>
      <c r="B1165" s="11" t="s">
        <v>375</v>
      </c>
      <c r="C1165" s="2" t="s">
        <v>61</v>
      </c>
      <c r="D1165" s="3">
        <v>45832.0</v>
      </c>
      <c r="E1165" s="4">
        <v>0.875</v>
      </c>
      <c r="F1165" s="5" t="str">
        <f>VLOOKUP(A1165,Jogos!A:N,10,0)</f>
        <v>Evening</v>
      </c>
      <c r="G1165" s="2" t="s">
        <v>500</v>
      </c>
      <c r="H1165" s="6" t="str">
        <f>VLOOKUP(A1165,Jogos!A:L,12,0)</f>
        <v>Open</v>
      </c>
      <c r="I1165" s="6" t="str">
        <f>VLOOKUP(G1165,'Estádios e Cidades'!A:B,2,0)</f>
        <v>Philadelphia</v>
      </c>
      <c r="J1165" s="2" t="s">
        <v>502</v>
      </c>
      <c r="K1165" s="2" t="str">
        <f>VLOOKUP(J1165,Equipes!A:F,6,0)</f>
        <v>Temperate</v>
      </c>
      <c r="L1165" s="2">
        <f>VLOOKUP(J1165,Equipes!A:C,3,0)</f>
        <v>21</v>
      </c>
      <c r="M1165" s="2" t="str">
        <f t="shared" si="4"/>
        <v>Group</v>
      </c>
      <c r="N1165" s="2" t="s">
        <v>377</v>
      </c>
      <c r="O1165" s="2">
        <f>VLOOKUP(N1165,Equipes!A:C,3,0)</f>
        <v>1</v>
      </c>
      <c r="P1165" s="2" t="str">
        <f t="shared" si="5"/>
        <v>Final</v>
      </c>
      <c r="Q1165" s="2">
        <f t="shared" si="6"/>
        <v>20</v>
      </c>
      <c r="R1165" s="2" t="str">
        <f>VLOOKUP(J1165,Equipes!A:B,2,0)</f>
        <v>Esperance</v>
      </c>
      <c r="S1165" s="6" t="s">
        <v>542</v>
      </c>
      <c r="T1165" s="7">
        <v>14.0</v>
      </c>
      <c r="U1165" s="7" t="s">
        <v>543</v>
      </c>
      <c r="V1165" s="7" t="str">
        <f>VLOOKUP(U1165,Jogadores!B:C,2,0)</f>
        <v>MF</v>
      </c>
      <c r="W1165" s="8">
        <f>VLOOKUP(U1165,Jogadores!B:D,3,0)</f>
        <v>22.23287671</v>
      </c>
      <c r="X1165" s="7">
        <v>0.0</v>
      </c>
      <c r="Y1165" s="7">
        <f t="shared" ref="Y1165:Y1166" si="3639">45+AB1165</f>
        <v>97</v>
      </c>
      <c r="Z1165" s="7">
        <f>VLOOKUP(A1165,Jogos!A:L,3,0)</f>
        <v>50</v>
      </c>
      <c r="AA1165" s="7">
        <f t="shared" si="2229"/>
        <v>50</v>
      </c>
      <c r="AB1165" s="7">
        <f>VLOOKUP(A1165,Jogos!A:L,4,0)</f>
        <v>52</v>
      </c>
      <c r="AC1165" s="7">
        <f t="shared" si="2230"/>
        <v>52</v>
      </c>
      <c r="AD1165" s="7"/>
      <c r="AE1165" s="7"/>
      <c r="AF1165" s="7">
        <f t="shared" si="2231"/>
        <v>102</v>
      </c>
      <c r="AG1165" s="7">
        <v>9207.6</v>
      </c>
      <c r="AH1165" s="7">
        <v>3897.0</v>
      </c>
      <c r="AI1165" s="7">
        <v>3692.3</v>
      </c>
      <c r="AJ1165" s="7">
        <v>1097.6</v>
      </c>
      <c r="AK1165" s="7">
        <v>401.5</v>
      </c>
      <c r="AL1165" s="7">
        <v>119.3</v>
      </c>
      <c r="AM1165" s="7">
        <v>107.0</v>
      </c>
      <c r="AN1165" s="7">
        <v>32.0</v>
      </c>
      <c r="AO1165" s="7">
        <v>30.8</v>
      </c>
      <c r="AP1165" s="9">
        <f t="shared" ref="AP1165:AR1165" si="3636">AG1165/$AF1165</f>
        <v>90.27058824</v>
      </c>
      <c r="AQ1165" s="9">
        <f t="shared" si="3636"/>
        <v>38.20588235</v>
      </c>
      <c r="AR1165" s="9">
        <f t="shared" si="3636"/>
        <v>36.19901961</v>
      </c>
      <c r="AS1165" s="9">
        <f t="shared" si="2233"/>
        <v>74.40490196</v>
      </c>
      <c r="AT1165" s="9">
        <f t="shared" ref="AT1165:AV1165" si="3637">AJ1165/$AF1165</f>
        <v>10.76078431</v>
      </c>
      <c r="AU1165" s="9">
        <f t="shared" si="3637"/>
        <v>3.93627451</v>
      </c>
      <c r="AV1165" s="9">
        <f t="shared" si="3637"/>
        <v>1.169607843</v>
      </c>
      <c r="AW1165" s="9">
        <f t="shared" si="2235"/>
        <v>5.105882353</v>
      </c>
      <c r="AX1165" s="9">
        <f t="shared" ref="AX1165:AY1165" si="3638">AM1165/$AF1165</f>
        <v>1.049019608</v>
      </c>
      <c r="AY1165" s="9">
        <f t="shared" si="3638"/>
        <v>0.3137254902</v>
      </c>
      <c r="AZ1165" s="9">
        <f>VLOOKUP(A1165,Jogos!A:BN,58,0)</f>
        <v>30.175</v>
      </c>
      <c r="BA1165" s="9">
        <f>VLOOKUP(A1165,Jogos!A:BN,59,0)</f>
        <v>20.145</v>
      </c>
      <c r="BB1165" s="9">
        <f>VLOOKUP(A1165,Jogos!A:BN,60,0)</f>
        <v>54.5</v>
      </c>
      <c r="BC1165" s="9">
        <f>VLOOKUP(A1165,Jogos!A:BN,61,0)</f>
        <v>30.65</v>
      </c>
      <c r="BD1165" s="9">
        <f>VLOOKUP(A1165,Jogos!A:BN,62,0)</f>
        <v>0</v>
      </c>
      <c r="BE1165" s="9">
        <f>VLOOKUP(A1165,Jogos!A:BN,63,0)</f>
        <v>1.86</v>
      </c>
      <c r="BF1165" s="9">
        <f>VLOOKUP(A1165,Jogos!A:BN,64,0)</f>
        <v>24.52</v>
      </c>
      <c r="BG1165" s="9">
        <f>VLOOKUP(A1165,Jogos!A:BN,65,0)</f>
        <v>44.17</v>
      </c>
      <c r="BH1165" s="9">
        <f>VLOOKUP(A1165,Jogos!A:BN,66,0)</f>
        <v>29.015</v>
      </c>
      <c r="BI1165" s="9"/>
      <c r="BJ1165" s="9"/>
    </row>
    <row r="1166" hidden="1">
      <c r="A1166" s="2">
        <v>40.0</v>
      </c>
      <c r="B1166" s="11" t="s">
        <v>375</v>
      </c>
      <c r="C1166" s="2" t="s">
        <v>61</v>
      </c>
      <c r="D1166" s="3">
        <v>45832.0</v>
      </c>
      <c r="E1166" s="4">
        <v>0.875</v>
      </c>
      <c r="F1166" s="5" t="str">
        <f>VLOOKUP(A1166,Jogos!A:N,10,0)</f>
        <v>Evening</v>
      </c>
      <c r="G1166" s="2" t="s">
        <v>500</v>
      </c>
      <c r="H1166" s="6" t="str">
        <f>VLOOKUP(A1166,Jogos!A:L,12,0)</f>
        <v>Open</v>
      </c>
      <c r="I1166" s="6" t="str">
        <f>VLOOKUP(G1166,'Estádios e Cidades'!A:B,2,0)</f>
        <v>Philadelphia</v>
      </c>
      <c r="J1166" s="2" t="s">
        <v>502</v>
      </c>
      <c r="K1166" s="2" t="str">
        <f>VLOOKUP(J1166,Equipes!A:F,6,0)</f>
        <v>Temperate</v>
      </c>
      <c r="L1166" s="2">
        <f>VLOOKUP(J1166,Equipes!A:C,3,0)</f>
        <v>21</v>
      </c>
      <c r="M1166" s="2" t="str">
        <f t="shared" si="4"/>
        <v>Group</v>
      </c>
      <c r="N1166" s="2" t="s">
        <v>377</v>
      </c>
      <c r="O1166" s="2">
        <f>VLOOKUP(N1166,Equipes!A:C,3,0)</f>
        <v>1</v>
      </c>
      <c r="P1166" s="2" t="str">
        <f t="shared" si="5"/>
        <v>Final</v>
      </c>
      <c r="Q1166" s="2">
        <f t="shared" si="6"/>
        <v>20</v>
      </c>
      <c r="R1166" s="2" t="str">
        <f>VLOOKUP(J1166,Equipes!A:B,2,0)</f>
        <v>Esperance</v>
      </c>
      <c r="S1166" s="6" t="s">
        <v>544</v>
      </c>
      <c r="T1166" s="7">
        <v>15.0</v>
      </c>
      <c r="U1166" s="7" t="s">
        <v>545</v>
      </c>
      <c r="V1166" s="7" t="str">
        <f>VLOOKUP(U1166,Jogadores!B:C,2,0)</f>
        <v>DF</v>
      </c>
      <c r="W1166" s="8">
        <f>VLOOKUP(U1166,Jogadores!B:D,3,0)</f>
        <v>25.53150685</v>
      </c>
      <c r="X1166" s="7">
        <v>0.0</v>
      </c>
      <c r="Y1166" s="7">
        <f t="shared" si="3639"/>
        <v>97</v>
      </c>
      <c r="Z1166" s="7">
        <f>VLOOKUP(A1166,Jogos!A:L,3,0)</f>
        <v>50</v>
      </c>
      <c r="AA1166" s="7">
        <f t="shared" si="2229"/>
        <v>50</v>
      </c>
      <c r="AB1166" s="7">
        <f>VLOOKUP(A1166,Jogos!A:L,4,0)</f>
        <v>52</v>
      </c>
      <c r="AC1166" s="7">
        <f t="shared" si="2230"/>
        <v>52</v>
      </c>
      <c r="AD1166" s="7"/>
      <c r="AE1166" s="7"/>
      <c r="AF1166" s="7">
        <f t="shared" si="2231"/>
        <v>102</v>
      </c>
      <c r="AG1166" s="7">
        <v>8775.3</v>
      </c>
      <c r="AH1166" s="7">
        <v>4245.6</v>
      </c>
      <c r="AI1166" s="7">
        <v>3343.0</v>
      </c>
      <c r="AJ1166" s="7">
        <v>825.7</v>
      </c>
      <c r="AK1166" s="7">
        <v>246.8</v>
      </c>
      <c r="AL1166" s="7">
        <v>114.3</v>
      </c>
      <c r="AM1166" s="7">
        <v>80.0</v>
      </c>
      <c r="AN1166" s="7">
        <v>23.0</v>
      </c>
      <c r="AO1166" s="7">
        <v>30.6</v>
      </c>
      <c r="AP1166" s="9">
        <f t="shared" ref="AP1166:AR1166" si="3640">AG1166/$AF1166</f>
        <v>86.03235294</v>
      </c>
      <c r="AQ1166" s="9">
        <f t="shared" si="3640"/>
        <v>41.62352941</v>
      </c>
      <c r="AR1166" s="9">
        <f t="shared" si="3640"/>
        <v>32.7745098</v>
      </c>
      <c r="AS1166" s="9">
        <f t="shared" si="2233"/>
        <v>74.39803922</v>
      </c>
      <c r="AT1166" s="9">
        <f t="shared" ref="AT1166:AV1166" si="3641">AJ1166/$AF1166</f>
        <v>8.095098039</v>
      </c>
      <c r="AU1166" s="9">
        <f t="shared" si="3641"/>
        <v>2.419607843</v>
      </c>
      <c r="AV1166" s="9">
        <f t="shared" si="3641"/>
        <v>1.120588235</v>
      </c>
      <c r="AW1166" s="9">
        <f t="shared" si="2235"/>
        <v>3.540196078</v>
      </c>
      <c r="AX1166" s="9">
        <f t="shared" ref="AX1166:AY1166" si="3642">AM1166/$AF1166</f>
        <v>0.7843137255</v>
      </c>
      <c r="AY1166" s="9">
        <f t="shared" si="3642"/>
        <v>0.2254901961</v>
      </c>
      <c r="AZ1166" s="9">
        <f>VLOOKUP(A1166,Jogos!A:BN,58,0)</f>
        <v>30.175</v>
      </c>
      <c r="BA1166" s="9">
        <f>VLOOKUP(A1166,Jogos!A:BN,59,0)</f>
        <v>20.145</v>
      </c>
      <c r="BB1166" s="9">
        <f>VLOOKUP(A1166,Jogos!A:BN,60,0)</f>
        <v>54.5</v>
      </c>
      <c r="BC1166" s="9">
        <f>VLOOKUP(A1166,Jogos!A:BN,61,0)</f>
        <v>30.65</v>
      </c>
      <c r="BD1166" s="9">
        <f>VLOOKUP(A1166,Jogos!A:BN,62,0)</f>
        <v>0</v>
      </c>
      <c r="BE1166" s="9">
        <f>VLOOKUP(A1166,Jogos!A:BN,63,0)</f>
        <v>1.86</v>
      </c>
      <c r="BF1166" s="9">
        <f>VLOOKUP(A1166,Jogos!A:BN,64,0)</f>
        <v>24.52</v>
      </c>
      <c r="BG1166" s="9">
        <f>VLOOKUP(A1166,Jogos!A:BN,65,0)</f>
        <v>44.17</v>
      </c>
      <c r="BH1166" s="9">
        <f>VLOOKUP(A1166,Jogos!A:BN,66,0)</f>
        <v>29.015</v>
      </c>
      <c r="BI1166" s="9"/>
      <c r="BJ1166" s="9"/>
    </row>
    <row r="1167" hidden="1">
      <c r="A1167" s="2">
        <v>40.0</v>
      </c>
      <c r="B1167" s="11" t="s">
        <v>375</v>
      </c>
      <c r="C1167" s="2" t="s">
        <v>61</v>
      </c>
      <c r="D1167" s="3">
        <v>45832.0</v>
      </c>
      <c r="E1167" s="4">
        <v>0.875</v>
      </c>
      <c r="F1167" s="5" t="str">
        <f>VLOOKUP(A1167,Jogos!A:N,10,0)</f>
        <v>Evening</v>
      </c>
      <c r="G1167" s="2" t="s">
        <v>500</v>
      </c>
      <c r="H1167" s="6" t="str">
        <f>VLOOKUP(A1167,Jogos!A:L,12,0)</f>
        <v>Open</v>
      </c>
      <c r="I1167" s="6" t="str">
        <f>VLOOKUP(G1167,'Estádios e Cidades'!A:B,2,0)</f>
        <v>Philadelphia</v>
      </c>
      <c r="J1167" s="2" t="s">
        <v>502</v>
      </c>
      <c r="K1167" s="2" t="str">
        <f>VLOOKUP(J1167,Equipes!A:F,6,0)</f>
        <v>Temperate</v>
      </c>
      <c r="L1167" s="2">
        <f>VLOOKUP(J1167,Equipes!A:C,3,0)</f>
        <v>21</v>
      </c>
      <c r="M1167" s="2" t="str">
        <f t="shared" si="4"/>
        <v>Group</v>
      </c>
      <c r="N1167" s="2" t="s">
        <v>377</v>
      </c>
      <c r="O1167" s="2">
        <f>VLOOKUP(N1167,Equipes!A:C,3,0)</f>
        <v>1</v>
      </c>
      <c r="P1167" s="2" t="str">
        <f t="shared" si="5"/>
        <v>Final</v>
      </c>
      <c r="Q1167" s="2">
        <f t="shared" si="6"/>
        <v>20</v>
      </c>
      <c r="R1167" s="2" t="str">
        <f>VLOOKUP(J1167,Equipes!A:B,2,0)</f>
        <v>Esperance</v>
      </c>
      <c r="S1167" s="6" t="s">
        <v>556</v>
      </c>
      <c r="T1167" s="7">
        <v>19.0</v>
      </c>
      <c r="U1167" s="7" t="s">
        <v>557</v>
      </c>
      <c r="V1167" s="7" t="str">
        <f>VLOOKUP(U1167,Jogadores!B:C,2,0)</f>
        <v>FW</v>
      </c>
      <c r="W1167" s="8">
        <f>VLOOKUP(U1167,Jogadores!B:D,3,0)</f>
        <v>23.63013699</v>
      </c>
      <c r="X1167" s="7">
        <v>0.0</v>
      </c>
      <c r="Y1167" s="7">
        <v>56.0</v>
      </c>
      <c r="Z1167" s="7">
        <f>VLOOKUP(A1167,Jogos!A:L,3,0)</f>
        <v>50</v>
      </c>
      <c r="AA1167" s="7">
        <f t="shared" si="2229"/>
        <v>50</v>
      </c>
      <c r="AB1167" s="7">
        <f>VLOOKUP(A1167,Jogos!A:L,4,0)</f>
        <v>52</v>
      </c>
      <c r="AC1167" s="7">
        <f t="shared" si="2230"/>
        <v>11</v>
      </c>
      <c r="AD1167" s="7"/>
      <c r="AE1167" s="7"/>
      <c r="AF1167" s="7">
        <f t="shared" si="2231"/>
        <v>61</v>
      </c>
      <c r="AG1167" s="7">
        <v>5793.2</v>
      </c>
      <c r="AH1167" s="7">
        <v>2531.4</v>
      </c>
      <c r="AI1167" s="7">
        <v>2225.8</v>
      </c>
      <c r="AJ1167" s="7">
        <v>472.3</v>
      </c>
      <c r="AK1167" s="7">
        <v>377.7</v>
      </c>
      <c r="AL1167" s="7">
        <v>186.1</v>
      </c>
      <c r="AM1167" s="7">
        <v>44.0</v>
      </c>
      <c r="AN1167" s="7">
        <v>32.0</v>
      </c>
      <c r="AO1167" s="7">
        <v>32.6</v>
      </c>
      <c r="AP1167" s="9">
        <f t="shared" ref="AP1167:AR1167" si="3643">AG1167/$AF1167</f>
        <v>94.9704918</v>
      </c>
      <c r="AQ1167" s="9">
        <f t="shared" si="3643"/>
        <v>41.49836066</v>
      </c>
      <c r="AR1167" s="9">
        <f t="shared" si="3643"/>
        <v>36.48852459</v>
      </c>
      <c r="AS1167" s="9">
        <f t="shared" si="2233"/>
        <v>77.98688525</v>
      </c>
      <c r="AT1167" s="9">
        <f t="shared" ref="AT1167:AV1167" si="3644">AJ1167/$AF1167</f>
        <v>7.742622951</v>
      </c>
      <c r="AU1167" s="9">
        <f t="shared" si="3644"/>
        <v>6.191803279</v>
      </c>
      <c r="AV1167" s="9">
        <f t="shared" si="3644"/>
        <v>3.050819672</v>
      </c>
      <c r="AW1167" s="9">
        <f t="shared" si="2235"/>
        <v>9.242622951</v>
      </c>
      <c r="AX1167" s="9">
        <f t="shared" ref="AX1167:AY1167" si="3645">AM1167/$AF1167</f>
        <v>0.7213114754</v>
      </c>
      <c r="AY1167" s="9">
        <f t="shared" si="3645"/>
        <v>0.5245901639</v>
      </c>
      <c r="AZ1167" s="9">
        <f>VLOOKUP(A1167,Jogos!A:BN,58,0)</f>
        <v>30.175</v>
      </c>
      <c r="BA1167" s="9">
        <f>VLOOKUP(A1167,Jogos!A:BN,59,0)</f>
        <v>20.145</v>
      </c>
      <c r="BB1167" s="9">
        <f>VLOOKUP(A1167,Jogos!A:BN,60,0)</f>
        <v>54.5</v>
      </c>
      <c r="BC1167" s="9">
        <f>VLOOKUP(A1167,Jogos!A:BN,61,0)</f>
        <v>30.65</v>
      </c>
      <c r="BD1167" s="9">
        <f>VLOOKUP(A1167,Jogos!A:BN,62,0)</f>
        <v>0</v>
      </c>
      <c r="BE1167" s="9">
        <f>VLOOKUP(A1167,Jogos!A:BN,63,0)</f>
        <v>1.86</v>
      </c>
      <c r="BF1167" s="9">
        <f>VLOOKUP(A1167,Jogos!A:BN,64,0)</f>
        <v>24.52</v>
      </c>
      <c r="BG1167" s="9">
        <f>VLOOKUP(A1167,Jogos!A:BN,65,0)</f>
        <v>44.17</v>
      </c>
      <c r="BH1167" s="9">
        <f>VLOOKUP(A1167,Jogos!A:BN,66,0)</f>
        <v>29.015</v>
      </c>
      <c r="BI1167" s="9"/>
      <c r="BJ1167" s="9"/>
    </row>
    <row r="1168" hidden="1">
      <c r="A1168" s="2">
        <v>40.0</v>
      </c>
      <c r="B1168" s="11" t="s">
        <v>375</v>
      </c>
      <c r="C1168" s="2" t="s">
        <v>61</v>
      </c>
      <c r="D1168" s="3">
        <v>45832.0</v>
      </c>
      <c r="E1168" s="4">
        <v>0.875</v>
      </c>
      <c r="F1168" s="5" t="str">
        <f>VLOOKUP(A1168,Jogos!A:N,10,0)</f>
        <v>Evening</v>
      </c>
      <c r="G1168" s="2" t="s">
        <v>500</v>
      </c>
      <c r="H1168" s="6" t="str">
        <f>VLOOKUP(A1168,Jogos!A:L,12,0)</f>
        <v>Open</v>
      </c>
      <c r="I1168" s="6" t="str">
        <f>VLOOKUP(G1168,'Estádios e Cidades'!A:B,2,0)</f>
        <v>Philadelphia</v>
      </c>
      <c r="J1168" s="2" t="s">
        <v>502</v>
      </c>
      <c r="K1168" s="2" t="str">
        <f>VLOOKUP(J1168,Equipes!A:F,6,0)</f>
        <v>Temperate</v>
      </c>
      <c r="L1168" s="2">
        <f>VLOOKUP(J1168,Equipes!A:C,3,0)</f>
        <v>21</v>
      </c>
      <c r="M1168" s="2" t="str">
        <f t="shared" si="4"/>
        <v>Group</v>
      </c>
      <c r="N1168" s="2" t="s">
        <v>377</v>
      </c>
      <c r="O1168" s="2">
        <f>VLOOKUP(N1168,Equipes!A:C,3,0)</f>
        <v>1</v>
      </c>
      <c r="P1168" s="2" t="str">
        <f t="shared" si="5"/>
        <v>Final</v>
      </c>
      <c r="Q1168" s="2">
        <f t="shared" si="6"/>
        <v>20</v>
      </c>
      <c r="R1168" s="2" t="str">
        <f>VLOOKUP(J1168,Equipes!A:B,2,0)</f>
        <v>Esperance</v>
      </c>
      <c r="S1168" s="6" t="s">
        <v>546</v>
      </c>
      <c r="T1168" s="7">
        <v>20.0</v>
      </c>
      <c r="U1168" s="7" t="s">
        <v>547</v>
      </c>
      <c r="V1168" s="7" t="str">
        <f>VLOOKUP(U1168,Jogadores!B:C,2,0)</f>
        <v>DF</v>
      </c>
      <c r="W1168" s="8">
        <f>VLOOKUP(U1168,Jogadores!B:D,3,0)</f>
        <v>29.63835616</v>
      </c>
      <c r="X1168" s="7">
        <v>0.0</v>
      </c>
      <c r="Y1168" s="7">
        <f>45+AB1168</f>
        <v>97</v>
      </c>
      <c r="Z1168" s="7">
        <f>VLOOKUP(A1168,Jogos!A:L,3,0)</f>
        <v>50</v>
      </c>
      <c r="AA1168" s="7">
        <f t="shared" si="2229"/>
        <v>50</v>
      </c>
      <c r="AB1168" s="7">
        <f>VLOOKUP(A1168,Jogos!A:L,4,0)</f>
        <v>52</v>
      </c>
      <c r="AC1168" s="7">
        <f t="shared" si="2230"/>
        <v>52</v>
      </c>
      <c r="AD1168" s="7"/>
      <c r="AE1168" s="7"/>
      <c r="AF1168" s="7">
        <f t="shared" si="2231"/>
        <v>102</v>
      </c>
      <c r="AG1168" s="7">
        <v>9757.5</v>
      </c>
      <c r="AH1168" s="7">
        <v>4700.9</v>
      </c>
      <c r="AI1168" s="7">
        <v>3528.0</v>
      </c>
      <c r="AJ1168" s="7">
        <v>889.7</v>
      </c>
      <c r="AK1168" s="7">
        <v>391.0</v>
      </c>
      <c r="AL1168" s="7">
        <v>247.9</v>
      </c>
      <c r="AM1168" s="7">
        <v>83.0</v>
      </c>
      <c r="AN1168" s="7">
        <v>33.0</v>
      </c>
      <c r="AO1168" s="7">
        <v>31.9</v>
      </c>
      <c r="AP1168" s="9">
        <f t="shared" ref="AP1168:AR1168" si="3646">AG1168/$AF1168</f>
        <v>95.66176471</v>
      </c>
      <c r="AQ1168" s="9">
        <f t="shared" si="3646"/>
        <v>46.0872549</v>
      </c>
      <c r="AR1168" s="9">
        <f t="shared" si="3646"/>
        <v>34.58823529</v>
      </c>
      <c r="AS1168" s="9">
        <f t="shared" si="2233"/>
        <v>80.6754902</v>
      </c>
      <c r="AT1168" s="9">
        <f t="shared" ref="AT1168:AV1168" si="3647">AJ1168/$AF1168</f>
        <v>8.72254902</v>
      </c>
      <c r="AU1168" s="9">
        <f t="shared" si="3647"/>
        <v>3.833333333</v>
      </c>
      <c r="AV1168" s="9">
        <f t="shared" si="3647"/>
        <v>2.430392157</v>
      </c>
      <c r="AW1168" s="9">
        <f t="shared" si="2235"/>
        <v>6.26372549</v>
      </c>
      <c r="AX1168" s="9">
        <f t="shared" ref="AX1168:AY1168" si="3648">AM1168/$AF1168</f>
        <v>0.8137254902</v>
      </c>
      <c r="AY1168" s="9">
        <f t="shared" si="3648"/>
        <v>0.3235294118</v>
      </c>
      <c r="AZ1168" s="9">
        <f>VLOOKUP(A1168,Jogos!A:BN,58,0)</f>
        <v>30.175</v>
      </c>
      <c r="BA1168" s="9">
        <f>VLOOKUP(A1168,Jogos!A:BN,59,0)</f>
        <v>20.145</v>
      </c>
      <c r="BB1168" s="9">
        <f>VLOOKUP(A1168,Jogos!A:BN,60,0)</f>
        <v>54.5</v>
      </c>
      <c r="BC1168" s="9">
        <f>VLOOKUP(A1168,Jogos!A:BN,61,0)</f>
        <v>30.65</v>
      </c>
      <c r="BD1168" s="9">
        <f>VLOOKUP(A1168,Jogos!A:BN,62,0)</f>
        <v>0</v>
      </c>
      <c r="BE1168" s="9">
        <f>VLOOKUP(A1168,Jogos!A:BN,63,0)</f>
        <v>1.86</v>
      </c>
      <c r="BF1168" s="9">
        <f>VLOOKUP(A1168,Jogos!A:BN,64,0)</f>
        <v>24.52</v>
      </c>
      <c r="BG1168" s="9">
        <f>VLOOKUP(A1168,Jogos!A:BN,65,0)</f>
        <v>44.17</v>
      </c>
      <c r="BH1168" s="9">
        <f>VLOOKUP(A1168,Jogos!A:BN,66,0)</f>
        <v>29.015</v>
      </c>
      <c r="BI1168" s="9"/>
      <c r="BJ1168" s="9"/>
    </row>
    <row r="1169" hidden="1">
      <c r="A1169" s="2">
        <v>40.0</v>
      </c>
      <c r="B1169" s="11" t="s">
        <v>375</v>
      </c>
      <c r="C1169" s="2" t="s">
        <v>61</v>
      </c>
      <c r="D1169" s="3">
        <v>45832.0</v>
      </c>
      <c r="E1169" s="4">
        <v>0.875</v>
      </c>
      <c r="F1169" s="5" t="str">
        <f>VLOOKUP(A1169,Jogos!A:N,10,0)</f>
        <v>Evening</v>
      </c>
      <c r="G1169" s="2" t="s">
        <v>500</v>
      </c>
      <c r="H1169" s="6" t="str">
        <f>VLOOKUP(A1169,Jogos!A:L,12,0)</f>
        <v>Open</v>
      </c>
      <c r="I1169" s="6" t="str">
        <f>VLOOKUP(G1169,'Estádios e Cidades'!A:B,2,0)</f>
        <v>Philadelphia</v>
      </c>
      <c r="J1169" s="2" t="s">
        <v>502</v>
      </c>
      <c r="K1169" s="2" t="str">
        <f>VLOOKUP(J1169,Equipes!A:F,6,0)</f>
        <v>Temperate</v>
      </c>
      <c r="L1169" s="2">
        <f>VLOOKUP(J1169,Equipes!A:C,3,0)</f>
        <v>21</v>
      </c>
      <c r="M1169" s="2" t="str">
        <f t="shared" si="4"/>
        <v>Group</v>
      </c>
      <c r="N1169" s="2" t="s">
        <v>377</v>
      </c>
      <c r="O1169" s="2">
        <f>VLOOKUP(N1169,Equipes!A:C,3,0)</f>
        <v>1</v>
      </c>
      <c r="P1169" s="2" t="str">
        <f t="shared" si="5"/>
        <v>Final</v>
      </c>
      <c r="Q1169" s="2">
        <f t="shared" si="6"/>
        <v>20</v>
      </c>
      <c r="R1169" s="2" t="str">
        <f>VLOOKUP(J1169,Equipes!A:B,2,0)</f>
        <v>Esperance</v>
      </c>
      <c r="S1169" s="6" t="s">
        <v>558</v>
      </c>
      <c r="T1169" s="7">
        <v>21.0</v>
      </c>
      <c r="U1169" s="7" t="s">
        <v>559</v>
      </c>
      <c r="V1169" s="7" t="str">
        <f>VLOOKUP(U1169,Jogadores!B:C,2,0)</f>
        <v>MF</v>
      </c>
      <c r="W1169" s="8">
        <f>VLOOKUP(U1169,Jogadores!B:D,3,0)</f>
        <v>19.10410959</v>
      </c>
      <c r="X1169" s="7">
        <v>0.0</v>
      </c>
      <c r="Y1169" s="7">
        <v>83.0</v>
      </c>
      <c r="Z1169" s="7">
        <f>VLOOKUP(A1169,Jogos!A:L,3,0)</f>
        <v>50</v>
      </c>
      <c r="AA1169" s="7">
        <f t="shared" si="2229"/>
        <v>50</v>
      </c>
      <c r="AB1169" s="7">
        <f>VLOOKUP(A1169,Jogos!A:L,4,0)</f>
        <v>52</v>
      </c>
      <c r="AC1169" s="7">
        <f t="shared" si="2230"/>
        <v>38</v>
      </c>
      <c r="AD1169" s="7"/>
      <c r="AE1169" s="7"/>
      <c r="AF1169" s="7">
        <f t="shared" si="2231"/>
        <v>88</v>
      </c>
      <c r="AG1169" s="7">
        <v>8237.4</v>
      </c>
      <c r="AH1169" s="7">
        <v>3579.3</v>
      </c>
      <c r="AI1169" s="7">
        <v>3127.2</v>
      </c>
      <c r="AJ1169" s="7">
        <v>1062.0</v>
      </c>
      <c r="AK1169" s="7">
        <v>343.3</v>
      </c>
      <c r="AL1169" s="7">
        <v>125.6</v>
      </c>
      <c r="AM1169" s="7">
        <v>101.0</v>
      </c>
      <c r="AN1169" s="7">
        <v>32.0</v>
      </c>
      <c r="AO1169" s="7">
        <v>29.8</v>
      </c>
      <c r="AP1169" s="9">
        <f t="shared" ref="AP1169:AR1169" si="3649">AG1169/$AF1169</f>
        <v>93.60681818</v>
      </c>
      <c r="AQ1169" s="9">
        <f t="shared" si="3649"/>
        <v>40.67386364</v>
      </c>
      <c r="AR1169" s="9">
        <f t="shared" si="3649"/>
        <v>35.53636364</v>
      </c>
      <c r="AS1169" s="9">
        <f t="shared" si="2233"/>
        <v>76.21022727</v>
      </c>
      <c r="AT1169" s="9">
        <f t="shared" ref="AT1169:AV1169" si="3650">AJ1169/$AF1169</f>
        <v>12.06818182</v>
      </c>
      <c r="AU1169" s="9">
        <f t="shared" si="3650"/>
        <v>3.901136364</v>
      </c>
      <c r="AV1169" s="9">
        <f t="shared" si="3650"/>
        <v>1.427272727</v>
      </c>
      <c r="AW1169" s="9">
        <f t="shared" si="2235"/>
        <v>5.328409091</v>
      </c>
      <c r="AX1169" s="9">
        <f t="shared" ref="AX1169:AY1169" si="3651">AM1169/$AF1169</f>
        <v>1.147727273</v>
      </c>
      <c r="AY1169" s="9">
        <f t="shared" si="3651"/>
        <v>0.3636363636</v>
      </c>
      <c r="AZ1169" s="9">
        <f>VLOOKUP(A1169,Jogos!A:BN,58,0)</f>
        <v>30.175</v>
      </c>
      <c r="BA1169" s="9">
        <f>VLOOKUP(A1169,Jogos!A:BN,59,0)</f>
        <v>20.145</v>
      </c>
      <c r="BB1169" s="9">
        <f>VLOOKUP(A1169,Jogos!A:BN,60,0)</f>
        <v>54.5</v>
      </c>
      <c r="BC1169" s="9">
        <f>VLOOKUP(A1169,Jogos!A:BN,61,0)</f>
        <v>30.65</v>
      </c>
      <c r="BD1169" s="9">
        <f>VLOOKUP(A1169,Jogos!A:BN,62,0)</f>
        <v>0</v>
      </c>
      <c r="BE1169" s="9">
        <f>VLOOKUP(A1169,Jogos!A:BN,63,0)</f>
        <v>1.86</v>
      </c>
      <c r="BF1169" s="9">
        <f>VLOOKUP(A1169,Jogos!A:BN,64,0)</f>
        <v>24.52</v>
      </c>
      <c r="BG1169" s="9">
        <f>VLOOKUP(A1169,Jogos!A:BN,65,0)</f>
        <v>44.17</v>
      </c>
      <c r="BH1169" s="9">
        <f>VLOOKUP(A1169,Jogos!A:BN,66,0)</f>
        <v>29.015</v>
      </c>
      <c r="BI1169" s="9"/>
      <c r="BJ1169" s="9"/>
    </row>
    <row r="1170" hidden="1">
      <c r="A1170" s="2">
        <v>40.0</v>
      </c>
      <c r="B1170" s="11" t="s">
        <v>375</v>
      </c>
      <c r="C1170" s="2" t="s">
        <v>61</v>
      </c>
      <c r="D1170" s="3">
        <v>45832.0</v>
      </c>
      <c r="E1170" s="4">
        <v>0.875</v>
      </c>
      <c r="F1170" s="5" t="str">
        <f>VLOOKUP(A1170,Jogos!A:N,10,0)</f>
        <v>Evening</v>
      </c>
      <c r="G1170" s="2" t="s">
        <v>500</v>
      </c>
      <c r="H1170" s="6" t="str">
        <f>VLOOKUP(A1170,Jogos!A:L,12,0)</f>
        <v>Open</v>
      </c>
      <c r="I1170" s="6" t="str">
        <f>VLOOKUP(G1170,'Estádios e Cidades'!A:B,2,0)</f>
        <v>Philadelphia</v>
      </c>
      <c r="J1170" s="2" t="s">
        <v>502</v>
      </c>
      <c r="K1170" s="2" t="str">
        <f>VLOOKUP(J1170,Equipes!A:F,6,0)</f>
        <v>Temperate</v>
      </c>
      <c r="L1170" s="2">
        <f>VLOOKUP(J1170,Equipes!A:C,3,0)</f>
        <v>21</v>
      </c>
      <c r="M1170" s="2" t="str">
        <f t="shared" si="4"/>
        <v>Group</v>
      </c>
      <c r="N1170" s="2" t="s">
        <v>377</v>
      </c>
      <c r="O1170" s="2">
        <f>VLOOKUP(N1170,Equipes!A:C,3,0)</f>
        <v>1</v>
      </c>
      <c r="P1170" s="2" t="str">
        <f t="shared" si="5"/>
        <v>Final</v>
      </c>
      <c r="Q1170" s="2">
        <f t="shared" si="6"/>
        <v>20</v>
      </c>
      <c r="R1170" s="2" t="str">
        <f>VLOOKUP(J1170,Equipes!A:B,2,0)</f>
        <v>Esperance</v>
      </c>
      <c r="S1170" s="6" t="s">
        <v>560</v>
      </c>
      <c r="T1170" s="7">
        <v>24.0</v>
      </c>
      <c r="U1170" s="7" t="s">
        <v>561</v>
      </c>
      <c r="V1170" s="7" t="str">
        <f>VLOOKUP(U1170,Jogadores!B:C,2,0)</f>
        <v>FW</v>
      </c>
      <c r="W1170" s="8">
        <f>VLOOKUP(U1170,Jogadores!B:D,3,0)</f>
        <v>25.90410959</v>
      </c>
      <c r="X1170" s="7">
        <v>0.0</v>
      </c>
      <c r="Y1170" s="7">
        <v>45.0</v>
      </c>
      <c r="Z1170" s="7">
        <f>VLOOKUP(A1170,Jogos!A:L,3,0)</f>
        <v>50</v>
      </c>
      <c r="AA1170" s="7">
        <f t="shared" si="2229"/>
        <v>50</v>
      </c>
      <c r="AB1170" s="7">
        <f>VLOOKUP(A1170,Jogos!A:L,4,0)</f>
        <v>52</v>
      </c>
      <c r="AC1170" s="7">
        <f t="shared" si="2230"/>
        <v>0</v>
      </c>
      <c r="AD1170" s="7"/>
      <c r="AE1170" s="7"/>
      <c r="AF1170" s="7">
        <f t="shared" si="2231"/>
        <v>50</v>
      </c>
      <c r="AG1170" s="7">
        <v>5471.1</v>
      </c>
      <c r="AH1170" s="7">
        <v>1856.5</v>
      </c>
      <c r="AI1170" s="7">
        <v>2192.8</v>
      </c>
      <c r="AJ1170" s="7">
        <v>836.2</v>
      </c>
      <c r="AK1170" s="7">
        <v>392.0</v>
      </c>
      <c r="AL1170" s="7">
        <v>193.5</v>
      </c>
      <c r="AM1170" s="7">
        <v>74.0</v>
      </c>
      <c r="AN1170" s="7">
        <v>34.0</v>
      </c>
      <c r="AO1170" s="7">
        <v>32.9</v>
      </c>
      <c r="AP1170" s="9">
        <f t="shared" ref="AP1170:AR1170" si="3652">AG1170/$AF1170</f>
        <v>109.422</v>
      </c>
      <c r="AQ1170" s="9">
        <f t="shared" si="3652"/>
        <v>37.13</v>
      </c>
      <c r="AR1170" s="9">
        <f t="shared" si="3652"/>
        <v>43.856</v>
      </c>
      <c r="AS1170" s="9">
        <f t="shared" si="2233"/>
        <v>80.986</v>
      </c>
      <c r="AT1170" s="9">
        <f t="shared" ref="AT1170:AV1170" si="3653">AJ1170/$AF1170</f>
        <v>16.724</v>
      </c>
      <c r="AU1170" s="9">
        <f t="shared" si="3653"/>
        <v>7.84</v>
      </c>
      <c r="AV1170" s="9">
        <f t="shared" si="3653"/>
        <v>3.87</v>
      </c>
      <c r="AW1170" s="9">
        <f t="shared" si="2235"/>
        <v>11.71</v>
      </c>
      <c r="AX1170" s="9">
        <f t="shared" ref="AX1170:AY1170" si="3654">AM1170/$AF1170</f>
        <v>1.48</v>
      </c>
      <c r="AY1170" s="9">
        <f t="shared" si="3654"/>
        <v>0.68</v>
      </c>
      <c r="AZ1170" s="9">
        <f>VLOOKUP(A1170,Jogos!A:BN,58,0)</f>
        <v>30.175</v>
      </c>
      <c r="BA1170" s="9">
        <f>VLOOKUP(A1170,Jogos!A:BN,59,0)</f>
        <v>20.145</v>
      </c>
      <c r="BB1170" s="9">
        <f>VLOOKUP(A1170,Jogos!A:BN,60,0)</f>
        <v>54.5</v>
      </c>
      <c r="BC1170" s="9">
        <f>VLOOKUP(A1170,Jogos!A:BN,61,0)</f>
        <v>30.65</v>
      </c>
      <c r="BD1170" s="9">
        <f>VLOOKUP(A1170,Jogos!A:BN,62,0)</f>
        <v>0</v>
      </c>
      <c r="BE1170" s="9">
        <f>VLOOKUP(A1170,Jogos!A:BN,63,0)</f>
        <v>1.86</v>
      </c>
      <c r="BF1170" s="9">
        <f>VLOOKUP(A1170,Jogos!A:BN,64,0)</f>
        <v>24.52</v>
      </c>
      <c r="BG1170" s="9">
        <f>VLOOKUP(A1170,Jogos!A:BN,65,0)</f>
        <v>44.17</v>
      </c>
      <c r="BH1170" s="9">
        <f>VLOOKUP(A1170,Jogos!A:BN,66,0)</f>
        <v>29.015</v>
      </c>
      <c r="BI1170" s="9"/>
      <c r="BJ1170" s="9"/>
    </row>
    <row r="1171" hidden="1">
      <c r="A1171" s="2">
        <v>40.0</v>
      </c>
      <c r="B1171" s="11" t="s">
        <v>375</v>
      </c>
      <c r="C1171" s="2" t="s">
        <v>61</v>
      </c>
      <c r="D1171" s="3">
        <v>45832.0</v>
      </c>
      <c r="E1171" s="4">
        <v>0.875</v>
      </c>
      <c r="F1171" s="5" t="str">
        <f>VLOOKUP(A1171,Jogos!A:N,10,0)</f>
        <v>Evening</v>
      </c>
      <c r="G1171" s="2" t="s">
        <v>500</v>
      </c>
      <c r="H1171" s="6" t="str">
        <f>VLOOKUP(A1171,Jogos!A:L,12,0)</f>
        <v>Open</v>
      </c>
      <c r="I1171" s="6" t="str">
        <f>VLOOKUP(G1171,'Estádios e Cidades'!A:B,2,0)</f>
        <v>Philadelphia</v>
      </c>
      <c r="J1171" s="2" t="s">
        <v>502</v>
      </c>
      <c r="K1171" s="2" t="str">
        <f>VLOOKUP(J1171,Equipes!A:F,6,0)</f>
        <v>Temperate</v>
      </c>
      <c r="L1171" s="2">
        <f>VLOOKUP(J1171,Equipes!A:C,3,0)</f>
        <v>21</v>
      </c>
      <c r="M1171" s="2" t="str">
        <f t="shared" si="4"/>
        <v>Group</v>
      </c>
      <c r="N1171" s="2" t="s">
        <v>377</v>
      </c>
      <c r="O1171" s="2">
        <f>VLOOKUP(N1171,Equipes!A:C,3,0)</f>
        <v>1</v>
      </c>
      <c r="P1171" s="2" t="str">
        <f t="shared" si="5"/>
        <v>Final</v>
      </c>
      <c r="Q1171" s="2">
        <f t="shared" si="6"/>
        <v>20</v>
      </c>
      <c r="R1171" s="2" t="str">
        <f>VLOOKUP(J1171,Equipes!A:B,2,0)</f>
        <v>Esperance</v>
      </c>
      <c r="S1171" s="6" t="s">
        <v>550</v>
      </c>
      <c r="T1171" s="7">
        <v>38.0</v>
      </c>
      <c r="U1171" s="7" t="s">
        <v>551</v>
      </c>
      <c r="V1171" s="7" t="str">
        <f>VLOOKUP(U1171,Jogadores!B:C,2,0)</f>
        <v>MF</v>
      </c>
      <c r="W1171" s="8">
        <f>VLOOKUP(U1171,Jogadores!B:D,3,0)</f>
        <v>22.64383562</v>
      </c>
      <c r="X1171" s="7">
        <v>0.0</v>
      </c>
      <c r="Y1171" s="7">
        <v>72.0</v>
      </c>
      <c r="Z1171" s="7">
        <f>VLOOKUP(A1171,Jogos!A:L,3,0)</f>
        <v>50</v>
      </c>
      <c r="AA1171" s="7">
        <f t="shared" si="2229"/>
        <v>50</v>
      </c>
      <c r="AB1171" s="7">
        <f>VLOOKUP(A1171,Jogos!A:L,4,0)</f>
        <v>52</v>
      </c>
      <c r="AC1171" s="7">
        <f t="shared" si="2230"/>
        <v>27</v>
      </c>
      <c r="AD1171" s="7"/>
      <c r="AE1171" s="7"/>
      <c r="AF1171" s="7">
        <f t="shared" si="2231"/>
        <v>77</v>
      </c>
      <c r="AG1171" s="7">
        <v>8806.1</v>
      </c>
      <c r="AH1171" s="7">
        <v>3233.9</v>
      </c>
      <c r="AI1171" s="7">
        <v>3697.8</v>
      </c>
      <c r="AJ1171" s="7">
        <v>1427.7</v>
      </c>
      <c r="AK1171" s="7">
        <v>350.9</v>
      </c>
      <c r="AL1171" s="7">
        <v>95.8</v>
      </c>
      <c r="AM1171" s="7">
        <v>129.0</v>
      </c>
      <c r="AN1171" s="7">
        <v>31.0</v>
      </c>
      <c r="AO1171" s="7">
        <v>29.5</v>
      </c>
      <c r="AP1171" s="9">
        <f t="shared" ref="AP1171:AR1171" si="3655">AG1171/$AF1171</f>
        <v>114.3649351</v>
      </c>
      <c r="AQ1171" s="9">
        <f t="shared" si="3655"/>
        <v>41.9987013</v>
      </c>
      <c r="AR1171" s="9">
        <f t="shared" si="3655"/>
        <v>48.02337662</v>
      </c>
      <c r="AS1171" s="9">
        <f t="shared" si="2233"/>
        <v>90.02207792</v>
      </c>
      <c r="AT1171" s="9">
        <f t="shared" ref="AT1171:AV1171" si="3656">AJ1171/$AF1171</f>
        <v>18.54155844</v>
      </c>
      <c r="AU1171" s="9">
        <f t="shared" si="3656"/>
        <v>4.557142857</v>
      </c>
      <c r="AV1171" s="9">
        <f t="shared" si="3656"/>
        <v>1.244155844</v>
      </c>
      <c r="AW1171" s="9">
        <f t="shared" si="2235"/>
        <v>5.801298701</v>
      </c>
      <c r="AX1171" s="9">
        <f t="shared" ref="AX1171:AY1171" si="3657">AM1171/$AF1171</f>
        <v>1.675324675</v>
      </c>
      <c r="AY1171" s="9">
        <f t="shared" si="3657"/>
        <v>0.4025974026</v>
      </c>
      <c r="AZ1171" s="9">
        <f>VLOOKUP(A1171,Jogos!A:BN,58,0)</f>
        <v>30.175</v>
      </c>
      <c r="BA1171" s="9">
        <f>VLOOKUP(A1171,Jogos!A:BN,59,0)</f>
        <v>20.145</v>
      </c>
      <c r="BB1171" s="9">
        <f>VLOOKUP(A1171,Jogos!A:BN,60,0)</f>
        <v>54.5</v>
      </c>
      <c r="BC1171" s="9">
        <f>VLOOKUP(A1171,Jogos!A:BN,61,0)</f>
        <v>30.65</v>
      </c>
      <c r="BD1171" s="9">
        <f>VLOOKUP(A1171,Jogos!A:BN,62,0)</f>
        <v>0</v>
      </c>
      <c r="BE1171" s="9">
        <f>VLOOKUP(A1171,Jogos!A:BN,63,0)</f>
        <v>1.86</v>
      </c>
      <c r="BF1171" s="9">
        <f>VLOOKUP(A1171,Jogos!A:BN,64,0)</f>
        <v>24.52</v>
      </c>
      <c r="BG1171" s="9">
        <f>VLOOKUP(A1171,Jogos!A:BN,65,0)</f>
        <v>44.17</v>
      </c>
      <c r="BH1171" s="9">
        <f>VLOOKUP(A1171,Jogos!A:BN,66,0)</f>
        <v>29.015</v>
      </c>
      <c r="BI1171" s="9"/>
      <c r="BJ1171" s="9"/>
    </row>
    <row r="1172" hidden="1">
      <c r="A1172" s="2">
        <v>40.0</v>
      </c>
      <c r="B1172" s="11" t="s">
        <v>375</v>
      </c>
      <c r="C1172" s="2" t="s">
        <v>61</v>
      </c>
      <c r="D1172" s="3">
        <v>45832.0</v>
      </c>
      <c r="E1172" s="4">
        <v>0.875</v>
      </c>
      <c r="F1172" s="5" t="str">
        <f>VLOOKUP(A1172,Jogos!A:N,10,0)</f>
        <v>Evening</v>
      </c>
      <c r="G1172" s="2" t="s">
        <v>500</v>
      </c>
      <c r="H1172" s="6" t="str">
        <f>VLOOKUP(A1172,Jogos!A:L,12,0)</f>
        <v>Open</v>
      </c>
      <c r="I1172" s="6" t="str">
        <f>VLOOKUP(G1172,'Estádios e Cidades'!A:B,2,0)</f>
        <v>Philadelphia</v>
      </c>
      <c r="J1172" s="2" t="s">
        <v>502</v>
      </c>
      <c r="K1172" s="2" t="str">
        <f>VLOOKUP(J1172,Equipes!A:F,6,0)</f>
        <v>Temperate</v>
      </c>
      <c r="L1172" s="2">
        <f>VLOOKUP(J1172,Equipes!A:C,3,0)</f>
        <v>21</v>
      </c>
      <c r="M1172" s="2" t="str">
        <f t="shared" si="4"/>
        <v>Group</v>
      </c>
      <c r="N1172" s="2" t="s">
        <v>377</v>
      </c>
      <c r="O1172" s="2">
        <f>VLOOKUP(N1172,Equipes!A:C,3,0)</f>
        <v>1</v>
      </c>
      <c r="P1172" s="2" t="str">
        <f t="shared" si="5"/>
        <v>Final</v>
      </c>
      <c r="Q1172" s="2">
        <f t="shared" si="6"/>
        <v>20</v>
      </c>
      <c r="R1172" s="2" t="str">
        <f>VLOOKUP(J1172,Equipes!A:B,2,0)</f>
        <v>Esperance</v>
      </c>
      <c r="S1172" s="6" t="s">
        <v>552</v>
      </c>
      <c r="T1172" s="7">
        <v>4.0</v>
      </c>
      <c r="U1172" s="7" t="s">
        <v>553</v>
      </c>
      <c r="V1172" s="7" t="str">
        <f>VLOOKUP(U1172,Jogadores!B:C,2,0)</f>
        <v>MF</v>
      </c>
      <c r="W1172" s="8">
        <f>VLOOKUP(U1172,Jogadores!B:D,3,0)</f>
        <v>22.1260274</v>
      </c>
      <c r="X1172" s="7">
        <v>45.0</v>
      </c>
      <c r="Y1172" s="7">
        <f t="shared" ref="Y1172:Y1178" si="3661">45+AB1172</f>
        <v>97</v>
      </c>
      <c r="Z1172" s="7">
        <f>VLOOKUP(A1172,Jogos!A:L,3,0)</f>
        <v>50</v>
      </c>
      <c r="AA1172" s="7">
        <f t="shared" si="2229"/>
        <v>0</v>
      </c>
      <c r="AB1172" s="7">
        <f>VLOOKUP(A1172,Jogos!A:L,4,0)</f>
        <v>52</v>
      </c>
      <c r="AC1172" s="7">
        <f t="shared" si="2230"/>
        <v>52</v>
      </c>
      <c r="AD1172" s="7"/>
      <c r="AE1172" s="7"/>
      <c r="AF1172" s="7">
        <f t="shared" si="2231"/>
        <v>52</v>
      </c>
      <c r="AG1172" s="7">
        <v>6160.1</v>
      </c>
      <c r="AH1172" s="7">
        <v>1859.6</v>
      </c>
      <c r="AI1172" s="7">
        <v>2656.4</v>
      </c>
      <c r="AJ1172" s="7">
        <v>1015.3</v>
      </c>
      <c r="AK1172" s="7">
        <v>475.9</v>
      </c>
      <c r="AL1172" s="7">
        <v>152.8</v>
      </c>
      <c r="AM1172" s="7">
        <v>81.0</v>
      </c>
      <c r="AN1172" s="7">
        <v>32.0</v>
      </c>
      <c r="AO1172" s="7">
        <v>30.3</v>
      </c>
      <c r="AP1172" s="9">
        <f t="shared" ref="AP1172:AR1172" si="3658">AG1172/$AF1172</f>
        <v>118.4634615</v>
      </c>
      <c r="AQ1172" s="9">
        <f t="shared" si="3658"/>
        <v>35.76153846</v>
      </c>
      <c r="AR1172" s="9">
        <f t="shared" si="3658"/>
        <v>51.08461538</v>
      </c>
      <c r="AS1172" s="9">
        <f t="shared" si="2233"/>
        <v>86.84615385</v>
      </c>
      <c r="AT1172" s="9">
        <f t="shared" ref="AT1172:AV1172" si="3659">AJ1172/$AF1172</f>
        <v>19.525</v>
      </c>
      <c r="AU1172" s="9">
        <f t="shared" si="3659"/>
        <v>9.151923077</v>
      </c>
      <c r="AV1172" s="9">
        <f t="shared" si="3659"/>
        <v>2.938461538</v>
      </c>
      <c r="AW1172" s="9">
        <f t="shared" si="2235"/>
        <v>12.09038462</v>
      </c>
      <c r="AX1172" s="9">
        <f t="shared" ref="AX1172:AY1172" si="3660">AM1172/$AF1172</f>
        <v>1.557692308</v>
      </c>
      <c r="AY1172" s="9">
        <f t="shared" si="3660"/>
        <v>0.6153846154</v>
      </c>
      <c r="AZ1172" s="9">
        <f>VLOOKUP(A1172,Jogos!A:BN,58,0)</f>
        <v>30.175</v>
      </c>
      <c r="BA1172" s="9">
        <f>VLOOKUP(A1172,Jogos!A:BN,59,0)</f>
        <v>20.145</v>
      </c>
      <c r="BB1172" s="9">
        <f>VLOOKUP(A1172,Jogos!A:BN,60,0)</f>
        <v>54.5</v>
      </c>
      <c r="BC1172" s="9">
        <f>VLOOKUP(A1172,Jogos!A:BN,61,0)</f>
        <v>30.65</v>
      </c>
      <c r="BD1172" s="9">
        <f>VLOOKUP(A1172,Jogos!A:BN,62,0)</f>
        <v>0</v>
      </c>
      <c r="BE1172" s="9">
        <f>VLOOKUP(A1172,Jogos!A:BN,63,0)</f>
        <v>1.86</v>
      </c>
      <c r="BF1172" s="9">
        <f>VLOOKUP(A1172,Jogos!A:BN,64,0)</f>
        <v>24.52</v>
      </c>
      <c r="BG1172" s="9">
        <f>VLOOKUP(A1172,Jogos!A:BN,65,0)</f>
        <v>44.17</v>
      </c>
      <c r="BH1172" s="9">
        <f>VLOOKUP(A1172,Jogos!A:BN,66,0)</f>
        <v>29.015</v>
      </c>
      <c r="BI1172" s="9"/>
      <c r="BJ1172" s="9"/>
    </row>
    <row r="1173" hidden="1">
      <c r="A1173" s="2">
        <v>40.0</v>
      </c>
      <c r="B1173" s="11" t="s">
        <v>375</v>
      </c>
      <c r="C1173" s="2" t="s">
        <v>61</v>
      </c>
      <c r="D1173" s="3">
        <v>45832.0</v>
      </c>
      <c r="E1173" s="4">
        <v>0.875</v>
      </c>
      <c r="F1173" s="5" t="str">
        <f>VLOOKUP(A1173,Jogos!A:N,10,0)</f>
        <v>Evening</v>
      </c>
      <c r="G1173" s="2" t="s">
        <v>500</v>
      </c>
      <c r="H1173" s="6" t="str">
        <f>VLOOKUP(A1173,Jogos!A:L,12,0)</f>
        <v>Open</v>
      </c>
      <c r="I1173" s="6" t="str">
        <f>VLOOKUP(G1173,'Estádios e Cidades'!A:B,2,0)</f>
        <v>Philadelphia</v>
      </c>
      <c r="J1173" s="2" t="s">
        <v>502</v>
      </c>
      <c r="K1173" s="2" t="str">
        <f>VLOOKUP(J1173,Equipes!A:F,6,0)</f>
        <v>Temperate</v>
      </c>
      <c r="L1173" s="2">
        <f>VLOOKUP(J1173,Equipes!A:C,3,0)</f>
        <v>21</v>
      </c>
      <c r="M1173" s="2" t="str">
        <f t="shared" si="4"/>
        <v>Group</v>
      </c>
      <c r="N1173" s="2" t="s">
        <v>377</v>
      </c>
      <c r="O1173" s="2">
        <f>VLOOKUP(N1173,Equipes!A:C,3,0)</f>
        <v>1</v>
      </c>
      <c r="P1173" s="2" t="str">
        <f t="shared" si="5"/>
        <v>Final</v>
      </c>
      <c r="Q1173" s="2">
        <f t="shared" si="6"/>
        <v>20</v>
      </c>
      <c r="R1173" s="2" t="str">
        <f>VLOOKUP(J1173,Equipes!A:B,2,0)</f>
        <v>Esperance</v>
      </c>
      <c r="S1173" s="6" t="s">
        <v>1281</v>
      </c>
      <c r="T1173" s="7">
        <v>8.0</v>
      </c>
      <c r="U1173" s="7" t="s">
        <v>1282</v>
      </c>
      <c r="V1173" s="7" t="str">
        <f>VLOOKUP(U1173,Jogadores!B:C,2,0)</f>
        <v>MF</v>
      </c>
      <c r="W1173" s="8">
        <f>VLOOKUP(U1173,Jogadores!B:D,3,0)</f>
        <v>24.96438356</v>
      </c>
      <c r="X1173" s="7">
        <v>83.0</v>
      </c>
      <c r="Y1173" s="7">
        <f t="shared" si="3661"/>
        <v>97</v>
      </c>
      <c r="Z1173" s="7">
        <f>VLOOKUP(A1173,Jogos!A:L,3,0)</f>
        <v>50</v>
      </c>
      <c r="AA1173" s="7">
        <f t="shared" si="2229"/>
        <v>0</v>
      </c>
      <c r="AB1173" s="7">
        <f>VLOOKUP(A1173,Jogos!A:L,4,0)</f>
        <v>52</v>
      </c>
      <c r="AC1173" s="7">
        <f t="shared" si="2230"/>
        <v>14</v>
      </c>
      <c r="AD1173" s="7"/>
      <c r="AE1173" s="7"/>
      <c r="AF1173" s="7">
        <f t="shared" si="2231"/>
        <v>14</v>
      </c>
      <c r="AG1173" s="7">
        <v>1790.8</v>
      </c>
      <c r="AH1173" s="7">
        <v>545.5</v>
      </c>
      <c r="AI1173" s="7">
        <v>814.1</v>
      </c>
      <c r="AJ1173" s="7">
        <v>280.7</v>
      </c>
      <c r="AK1173" s="7">
        <v>134.9</v>
      </c>
      <c r="AL1173" s="7">
        <v>15.6</v>
      </c>
      <c r="AM1173" s="7">
        <v>25.0</v>
      </c>
      <c r="AN1173" s="7">
        <v>13.0</v>
      </c>
      <c r="AO1173" s="7">
        <v>29.4</v>
      </c>
      <c r="AP1173" s="9">
        <f t="shared" ref="AP1173:AR1173" si="3662">AG1173/$AF1173</f>
        <v>127.9142857</v>
      </c>
      <c r="AQ1173" s="9">
        <f t="shared" si="3662"/>
        <v>38.96428571</v>
      </c>
      <c r="AR1173" s="9">
        <f t="shared" si="3662"/>
        <v>58.15</v>
      </c>
      <c r="AS1173" s="9">
        <f t="shared" si="2233"/>
        <v>97.11428571</v>
      </c>
      <c r="AT1173" s="9">
        <f t="shared" ref="AT1173:AV1173" si="3663">AJ1173/$AF1173</f>
        <v>20.05</v>
      </c>
      <c r="AU1173" s="9">
        <f t="shared" si="3663"/>
        <v>9.635714286</v>
      </c>
      <c r="AV1173" s="9">
        <f t="shared" si="3663"/>
        <v>1.114285714</v>
      </c>
      <c r="AW1173" s="9">
        <f t="shared" si="2235"/>
        <v>10.75</v>
      </c>
      <c r="AX1173" s="9">
        <f t="shared" ref="AX1173:AY1173" si="3664">AM1173/$AF1173</f>
        <v>1.785714286</v>
      </c>
      <c r="AY1173" s="9">
        <f t="shared" si="3664"/>
        <v>0.9285714286</v>
      </c>
      <c r="AZ1173" s="9">
        <f>VLOOKUP(A1173,Jogos!A:BN,58,0)</f>
        <v>30.175</v>
      </c>
      <c r="BA1173" s="9">
        <f>VLOOKUP(A1173,Jogos!A:BN,59,0)</f>
        <v>20.145</v>
      </c>
      <c r="BB1173" s="9">
        <f>VLOOKUP(A1173,Jogos!A:BN,60,0)</f>
        <v>54.5</v>
      </c>
      <c r="BC1173" s="9">
        <f>VLOOKUP(A1173,Jogos!A:BN,61,0)</f>
        <v>30.65</v>
      </c>
      <c r="BD1173" s="9">
        <f>VLOOKUP(A1173,Jogos!A:BN,62,0)</f>
        <v>0</v>
      </c>
      <c r="BE1173" s="9">
        <f>VLOOKUP(A1173,Jogos!A:BN,63,0)</f>
        <v>1.86</v>
      </c>
      <c r="BF1173" s="9">
        <f>VLOOKUP(A1173,Jogos!A:BN,64,0)</f>
        <v>24.52</v>
      </c>
      <c r="BG1173" s="9">
        <f>VLOOKUP(A1173,Jogos!A:BN,65,0)</f>
        <v>44.17</v>
      </c>
      <c r="BH1173" s="9">
        <f>VLOOKUP(A1173,Jogos!A:BN,66,0)</f>
        <v>29.015</v>
      </c>
      <c r="BI1173" s="9"/>
      <c r="BJ1173" s="9"/>
    </row>
    <row r="1174" hidden="1">
      <c r="A1174" s="2">
        <v>40.0</v>
      </c>
      <c r="B1174" s="11" t="s">
        <v>375</v>
      </c>
      <c r="C1174" s="2" t="s">
        <v>61</v>
      </c>
      <c r="D1174" s="3">
        <v>45832.0</v>
      </c>
      <c r="E1174" s="4">
        <v>0.875</v>
      </c>
      <c r="F1174" s="5" t="str">
        <f>VLOOKUP(A1174,Jogos!A:N,10,0)</f>
        <v>Evening</v>
      </c>
      <c r="G1174" s="2" t="s">
        <v>500</v>
      </c>
      <c r="H1174" s="6" t="str">
        <f>VLOOKUP(A1174,Jogos!A:L,12,0)</f>
        <v>Open</v>
      </c>
      <c r="I1174" s="6" t="str">
        <f>VLOOKUP(G1174,'Estádios e Cidades'!A:B,2,0)</f>
        <v>Philadelphia</v>
      </c>
      <c r="J1174" s="2" t="s">
        <v>502</v>
      </c>
      <c r="K1174" s="2" t="str">
        <f>VLOOKUP(J1174,Equipes!A:F,6,0)</f>
        <v>Temperate</v>
      </c>
      <c r="L1174" s="2">
        <f>VLOOKUP(J1174,Equipes!A:C,3,0)</f>
        <v>21</v>
      </c>
      <c r="M1174" s="2" t="str">
        <f t="shared" si="4"/>
        <v>Group</v>
      </c>
      <c r="N1174" s="2" t="s">
        <v>377</v>
      </c>
      <c r="O1174" s="2">
        <f>VLOOKUP(N1174,Equipes!A:C,3,0)</f>
        <v>1</v>
      </c>
      <c r="P1174" s="2" t="str">
        <f t="shared" si="5"/>
        <v>Final</v>
      </c>
      <c r="Q1174" s="2">
        <f t="shared" si="6"/>
        <v>20</v>
      </c>
      <c r="R1174" s="2" t="str">
        <f>VLOOKUP(J1174,Equipes!A:B,2,0)</f>
        <v>Esperance</v>
      </c>
      <c r="S1174" s="6" t="s">
        <v>536</v>
      </c>
      <c r="T1174" s="7">
        <v>9.0</v>
      </c>
      <c r="U1174" s="7" t="s">
        <v>537</v>
      </c>
      <c r="V1174" s="7" t="str">
        <f>VLOOKUP(U1174,Jogadores!B:C,2,0)</f>
        <v>FW</v>
      </c>
      <c r="W1174" s="8">
        <f>VLOOKUP(U1174,Jogadores!B:D,3,0)</f>
        <v>29.12876712</v>
      </c>
      <c r="X1174" s="7">
        <v>56.0</v>
      </c>
      <c r="Y1174" s="7">
        <f t="shared" si="3661"/>
        <v>97</v>
      </c>
      <c r="Z1174" s="7">
        <f>VLOOKUP(A1174,Jogos!A:L,3,0)</f>
        <v>50</v>
      </c>
      <c r="AA1174" s="7">
        <f t="shared" si="2229"/>
        <v>0</v>
      </c>
      <c r="AB1174" s="7">
        <f>VLOOKUP(A1174,Jogos!A:L,4,0)</f>
        <v>52</v>
      </c>
      <c r="AC1174" s="7">
        <f t="shared" si="2230"/>
        <v>41</v>
      </c>
      <c r="AD1174" s="7"/>
      <c r="AE1174" s="7"/>
      <c r="AF1174" s="7">
        <f t="shared" si="2231"/>
        <v>41</v>
      </c>
      <c r="AG1174" s="7">
        <v>3855.0</v>
      </c>
      <c r="AH1174" s="7">
        <v>1639.8</v>
      </c>
      <c r="AI1174" s="7">
        <v>1610.9</v>
      </c>
      <c r="AJ1174" s="7">
        <v>397.1</v>
      </c>
      <c r="AK1174" s="7">
        <v>137.9</v>
      </c>
      <c r="AL1174" s="7">
        <v>69.3</v>
      </c>
      <c r="AM1174" s="7">
        <v>28.0</v>
      </c>
      <c r="AN1174" s="7">
        <v>13.0</v>
      </c>
      <c r="AO1174" s="7">
        <v>29.5</v>
      </c>
      <c r="AP1174" s="9">
        <f t="shared" ref="AP1174:AR1174" si="3665">AG1174/$AF1174</f>
        <v>94.02439024</v>
      </c>
      <c r="AQ1174" s="9">
        <f t="shared" si="3665"/>
        <v>39.99512195</v>
      </c>
      <c r="AR1174" s="9">
        <f t="shared" si="3665"/>
        <v>39.2902439</v>
      </c>
      <c r="AS1174" s="9">
        <f t="shared" si="2233"/>
        <v>79.28536585</v>
      </c>
      <c r="AT1174" s="9">
        <f t="shared" ref="AT1174:AV1174" si="3666">AJ1174/$AF1174</f>
        <v>9.685365854</v>
      </c>
      <c r="AU1174" s="9">
        <f t="shared" si="3666"/>
        <v>3.363414634</v>
      </c>
      <c r="AV1174" s="9">
        <f t="shared" si="3666"/>
        <v>1.690243902</v>
      </c>
      <c r="AW1174" s="9">
        <f t="shared" si="2235"/>
        <v>5.053658537</v>
      </c>
      <c r="AX1174" s="9">
        <f t="shared" ref="AX1174:AY1174" si="3667">AM1174/$AF1174</f>
        <v>0.6829268293</v>
      </c>
      <c r="AY1174" s="9">
        <f t="shared" si="3667"/>
        <v>0.3170731707</v>
      </c>
      <c r="AZ1174" s="9">
        <f>VLOOKUP(A1174,Jogos!A:BN,58,0)</f>
        <v>30.175</v>
      </c>
      <c r="BA1174" s="9">
        <f>VLOOKUP(A1174,Jogos!A:BN,59,0)</f>
        <v>20.145</v>
      </c>
      <c r="BB1174" s="9">
        <f>VLOOKUP(A1174,Jogos!A:BN,60,0)</f>
        <v>54.5</v>
      </c>
      <c r="BC1174" s="9">
        <f>VLOOKUP(A1174,Jogos!A:BN,61,0)</f>
        <v>30.65</v>
      </c>
      <c r="BD1174" s="9">
        <f>VLOOKUP(A1174,Jogos!A:BN,62,0)</f>
        <v>0</v>
      </c>
      <c r="BE1174" s="9">
        <f>VLOOKUP(A1174,Jogos!A:BN,63,0)</f>
        <v>1.86</v>
      </c>
      <c r="BF1174" s="9">
        <f>VLOOKUP(A1174,Jogos!A:BN,64,0)</f>
        <v>24.52</v>
      </c>
      <c r="BG1174" s="9">
        <f>VLOOKUP(A1174,Jogos!A:BN,65,0)</f>
        <v>44.17</v>
      </c>
      <c r="BH1174" s="9">
        <f>VLOOKUP(A1174,Jogos!A:BN,66,0)</f>
        <v>29.015</v>
      </c>
      <c r="BI1174" s="9"/>
      <c r="BJ1174" s="9"/>
    </row>
    <row r="1175" hidden="1">
      <c r="A1175" s="2">
        <v>40.0</v>
      </c>
      <c r="B1175" s="11" t="s">
        <v>375</v>
      </c>
      <c r="C1175" s="2" t="s">
        <v>61</v>
      </c>
      <c r="D1175" s="3">
        <v>45832.0</v>
      </c>
      <c r="E1175" s="4">
        <v>0.875</v>
      </c>
      <c r="F1175" s="5" t="str">
        <f>VLOOKUP(A1175,Jogos!A:N,10,0)</f>
        <v>Evening</v>
      </c>
      <c r="G1175" s="2" t="s">
        <v>500</v>
      </c>
      <c r="H1175" s="6" t="str">
        <f>VLOOKUP(A1175,Jogos!A:L,12,0)</f>
        <v>Open</v>
      </c>
      <c r="I1175" s="6" t="str">
        <f>VLOOKUP(G1175,'Estádios e Cidades'!A:B,2,0)</f>
        <v>Philadelphia</v>
      </c>
      <c r="J1175" s="2" t="s">
        <v>502</v>
      </c>
      <c r="K1175" s="2" t="str">
        <f>VLOOKUP(J1175,Equipes!A:F,6,0)</f>
        <v>Temperate</v>
      </c>
      <c r="L1175" s="2">
        <f>VLOOKUP(J1175,Equipes!A:C,3,0)</f>
        <v>21</v>
      </c>
      <c r="M1175" s="2" t="str">
        <f t="shared" si="4"/>
        <v>Group</v>
      </c>
      <c r="N1175" s="2" t="s">
        <v>377</v>
      </c>
      <c r="O1175" s="2">
        <f>VLOOKUP(N1175,Equipes!A:C,3,0)</f>
        <v>1</v>
      </c>
      <c r="P1175" s="2" t="str">
        <f t="shared" si="5"/>
        <v>Final</v>
      </c>
      <c r="Q1175" s="2">
        <f t="shared" si="6"/>
        <v>20</v>
      </c>
      <c r="R1175" s="2" t="str">
        <f>VLOOKUP(J1175,Equipes!A:B,2,0)</f>
        <v>Esperance</v>
      </c>
      <c r="S1175" s="6" t="s">
        <v>554</v>
      </c>
      <c r="T1175" s="7">
        <v>13.0</v>
      </c>
      <c r="U1175" s="7" t="s">
        <v>555</v>
      </c>
      <c r="V1175" s="7" t="str">
        <f>VLOOKUP(U1175,Jogadores!B:C,2,0)</f>
        <v>DF</v>
      </c>
      <c r="W1175" s="8">
        <f>VLOOKUP(U1175,Jogadores!B:D,3,0)</f>
        <v>21.85479452</v>
      </c>
      <c r="X1175" s="7">
        <v>72.0</v>
      </c>
      <c r="Y1175" s="7">
        <f t="shared" si="3661"/>
        <v>97</v>
      </c>
      <c r="Z1175" s="7">
        <f>VLOOKUP(A1175,Jogos!A:L,3,0)</f>
        <v>50</v>
      </c>
      <c r="AA1175" s="7">
        <f t="shared" si="2229"/>
        <v>0</v>
      </c>
      <c r="AB1175" s="7">
        <f>VLOOKUP(A1175,Jogos!A:L,4,0)</f>
        <v>52</v>
      </c>
      <c r="AC1175" s="7">
        <f t="shared" si="2230"/>
        <v>25</v>
      </c>
      <c r="AD1175" s="7"/>
      <c r="AE1175" s="7"/>
      <c r="AF1175" s="7">
        <f t="shared" si="2231"/>
        <v>25</v>
      </c>
      <c r="AG1175" s="7">
        <v>2721.4</v>
      </c>
      <c r="AH1175" s="7">
        <v>923.7</v>
      </c>
      <c r="AI1175" s="7">
        <v>1181.8</v>
      </c>
      <c r="AJ1175" s="7">
        <v>336.0</v>
      </c>
      <c r="AK1175" s="7">
        <v>188.9</v>
      </c>
      <c r="AL1175" s="7">
        <v>91.0</v>
      </c>
      <c r="AM1175" s="7">
        <v>32.0</v>
      </c>
      <c r="AN1175" s="7">
        <v>15.0</v>
      </c>
      <c r="AO1175" s="7">
        <v>28.9</v>
      </c>
      <c r="AP1175" s="9">
        <f t="shared" ref="AP1175:AR1175" si="3668">AG1175/$AF1175</f>
        <v>108.856</v>
      </c>
      <c r="AQ1175" s="9">
        <f t="shared" si="3668"/>
        <v>36.948</v>
      </c>
      <c r="AR1175" s="9">
        <f t="shared" si="3668"/>
        <v>47.272</v>
      </c>
      <c r="AS1175" s="9">
        <f t="shared" si="2233"/>
        <v>84.22</v>
      </c>
      <c r="AT1175" s="9">
        <f t="shared" ref="AT1175:AV1175" si="3669">AJ1175/$AF1175</f>
        <v>13.44</v>
      </c>
      <c r="AU1175" s="9">
        <f t="shared" si="3669"/>
        <v>7.556</v>
      </c>
      <c r="AV1175" s="9">
        <f t="shared" si="3669"/>
        <v>3.64</v>
      </c>
      <c r="AW1175" s="9">
        <f t="shared" si="2235"/>
        <v>11.196</v>
      </c>
      <c r="AX1175" s="9">
        <f t="shared" ref="AX1175:AY1175" si="3670">AM1175/$AF1175</f>
        <v>1.28</v>
      </c>
      <c r="AY1175" s="9">
        <f t="shared" si="3670"/>
        <v>0.6</v>
      </c>
      <c r="AZ1175" s="9">
        <f>VLOOKUP(A1175,Jogos!A:BN,58,0)</f>
        <v>30.175</v>
      </c>
      <c r="BA1175" s="9">
        <f>VLOOKUP(A1175,Jogos!A:BN,59,0)</f>
        <v>20.145</v>
      </c>
      <c r="BB1175" s="9">
        <f>VLOOKUP(A1175,Jogos!A:BN,60,0)</f>
        <v>54.5</v>
      </c>
      <c r="BC1175" s="9">
        <f>VLOOKUP(A1175,Jogos!A:BN,61,0)</f>
        <v>30.65</v>
      </c>
      <c r="BD1175" s="9">
        <f>VLOOKUP(A1175,Jogos!A:BN,62,0)</f>
        <v>0</v>
      </c>
      <c r="BE1175" s="9">
        <f>VLOOKUP(A1175,Jogos!A:BN,63,0)</f>
        <v>1.86</v>
      </c>
      <c r="BF1175" s="9">
        <f>VLOOKUP(A1175,Jogos!A:BN,64,0)</f>
        <v>24.52</v>
      </c>
      <c r="BG1175" s="9">
        <f>VLOOKUP(A1175,Jogos!A:BN,65,0)</f>
        <v>44.17</v>
      </c>
      <c r="BH1175" s="9">
        <f>VLOOKUP(A1175,Jogos!A:BN,66,0)</f>
        <v>29.015</v>
      </c>
      <c r="BI1175" s="9"/>
      <c r="BJ1175" s="9"/>
    </row>
    <row r="1176" hidden="1">
      <c r="A1176" s="2">
        <v>40.0</v>
      </c>
      <c r="B1176" s="11" t="s">
        <v>375</v>
      </c>
      <c r="C1176" s="2" t="s">
        <v>61</v>
      </c>
      <c r="D1176" s="3">
        <v>45832.0</v>
      </c>
      <c r="E1176" s="4">
        <v>0.875</v>
      </c>
      <c r="F1176" s="5" t="str">
        <f>VLOOKUP(A1176,Jogos!A:N,10,0)</f>
        <v>Evening</v>
      </c>
      <c r="G1176" s="2" t="s">
        <v>500</v>
      </c>
      <c r="H1176" s="6" t="str">
        <f>VLOOKUP(A1176,Jogos!A:L,12,0)</f>
        <v>Open</v>
      </c>
      <c r="I1176" s="6" t="str">
        <f>VLOOKUP(G1176,'Estádios e Cidades'!A:B,2,0)</f>
        <v>Philadelphia</v>
      </c>
      <c r="J1176" s="2" t="s">
        <v>502</v>
      </c>
      <c r="K1176" s="2" t="str">
        <f>VLOOKUP(J1176,Equipes!A:F,6,0)</f>
        <v>Temperate</v>
      </c>
      <c r="L1176" s="2">
        <f>VLOOKUP(J1176,Equipes!A:C,3,0)</f>
        <v>21</v>
      </c>
      <c r="M1176" s="2" t="str">
        <f t="shared" si="4"/>
        <v>Group</v>
      </c>
      <c r="N1176" s="2" t="s">
        <v>377</v>
      </c>
      <c r="O1176" s="2">
        <f>VLOOKUP(N1176,Equipes!A:C,3,0)</f>
        <v>1</v>
      </c>
      <c r="P1176" s="2" t="str">
        <f t="shared" si="5"/>
        <v>Final</v>
      </c>
      <c r="Q1176" s="2">
        <f t="shared" si="6"/>
        <v>20</v>
      </c>
      <c r="R1176" s="2" t="str">
        <f>VLOOKUP(J1176,Equipes!A:B,2,0)</f>
        <v>Esperance</v>
      </c>
      <c r="S1176" s="6" t="s">
        <v>548</v>
      </c>
      <c r="T1176" s="7">
        <v>36.0</v>
      </c>
      <c r="U1176" s="7" t="s">
        <v>549</v>
      </c>
      <c r="V1176" s="7" t="str">
        <f>VLOOKUP(U1176,Jogadores!B:C,2,0)</f>
        <v>FW</v>
      </c>
      <c r="W1176" s="8">
        <f>VLOOKUP(U1176,Jogadores!B:D,3,0)</f>
        <v>29.19452055</v>
      </c>
      <c r="X1176" s="7">
        <v>83.0</v>
      </c>
      <c r="Y1176" s="7">
        <f t="shared" si="3661"/>
        <v>97</v>
      </c>
      <c r="Z1176" s="7">
        <f>VLOOKUP(A1176,Jogos!A:L,3,0)</f>
        <v>50</v>
      </c>
      <c r="AA1176" s="7">
        <f t="shared" si="2229"/>
        <v>0</v>
      </c>
      <c r="AB1176" s="7">
        <f>VLOOKUP(A1176,Jogos!A:L,4,0)</f>
        <v>52</v>
      </c>
      <c r="AC1176" s="7">
        <f t="shared" si="2230"/>
        <v>14</v>
      </c>
      <c r="AD1176" s="7"/>
      <c r="AE1176" s="7"/>
      <c r="AF1176" s="7">
        <f t="shared" si="2231"/>
        <v>14</v>
      </c>
      <c r="AG1176" s="7">
        <v>2092.0</v>
      </c>
      <c r="AH1176" s="7">
        <v>461.7</v>
      </c>
      <c r="AI1176" s="7">
        <v>975.0</v>
      </c>
      <c r="AJ1176" s="7">
        <v>411.1</v>
      </c>
      <c r="AK1176" s="7">
        <v>211.5</v>
      </c>
      <c r="AL1176" s="7">
        <v>32.7</v>
      </c>
      <c r="AM1176" s="7">
        <v>37.0</v>
      </c>
      <c r="AN1176" s="7">
        <v>16.0</v>
      </c>
      <c r="AO1176" s="7">
        <v>27.0</v>
      </c>
      <c r="AP1176" s="9">
        <f t="shared" ref="AP1176:AR1176" si="3671">AG1176/$AF1176</f>
        <v>149.4285714</v>
      </c>
      <c r="AQ1176" s="9">
        <f t="shared" si="3671"/>
        <v>32.97857143</v>
      </c>
      <c r="AR1176" s="9">
        <f t="shared" si="3671"/>
        <v>69.64285714</v>
      </c>
      <c r="AS1176" s="9">
        <f t="shared" si="2233"/>
        <v>102.6214286</v>
      </c>
      <c r="AT1176" s="9">
        <f t="shared" ref="AT1176:AV1176" si="3672">AJ1176/$AF1176</f>
        <v>29.36428571</v>
      </c>
      <c r="AU1176" s="9">
        <f t="shared" si="3672"/>
        <v>15.10714286</v>
      </c>
      <c r="AV1176" s="9">
        <f t="shared" si="3672"/>
        <v>2.335714286</v>
      </c>
      <c r="AW1176" s="9">
        <f t="shared" si="2235"/>
        <v>17.44285714</v>
      </c>
      <c r="AX1176" s="9">
        <f t="shared" ref="AX1176:AY1176" si="3673">AM1176/$AF1176</f>
        <v>2.642857143</v>
      </c>
      <c r="AY1176" s="9">
        <f t="shared" si="3673"/>
        <v>1.142857143</v>
      </c>
      <c r="AZ1176" s="9">
        <f>VLOOKUP(A1176,Jogos!A:BN,58,0)</f>
        <v>30.175</v>
      </c>
      <c r="BA1176" s="9">
        <f>VLOOKUP(A1176,Jogos!A:BN,59,0)</f>
        <v>20.145</v>
      </c>
      <c r="BB1176" s="9">
        <f>VLOOKUP(A1176,Jogos!A:BN,60,0)</f>
        <v>54.5</v>
      </c>
      <c r="BC1176" s="9">
        <f>VLOOKUP(A1176,Jogos!A:BN,61,0)</f>
        <v>30.65</v>
      </c>
      <c r="BD1176" s="9">
        <f>VLOOKUP(A1176,Jogos!A:BN,62,0)</f>
        <v>0</v>
      </c>
      <c r="BE1176" s="9">
        <f>VLOOKUP(A1176,Jogos!A:BN,63,0)</f>
        <v>1.86</v>
      </c>
      <c r="BF1176" s="9">
        <f>VLOOKUP(A1176,Jogos!A:BN,64,0)</f>
        <v>24.52</v>
      </c>
      <c r="BG1176" s="9">
        <f>VLOOKUP(A1176,Jogos!A:BN,65,0)</f>
        <v>44.17</v>
      </c>
      <c r="BH1176" s="9">
        <f>VLOOKUP(A1176,Jogos!A:BN,66,0)</f>
        <v>29.015</v>
      </c>
      <c r="BI1176" s="9"/>
      <c r="BJ1176" s="9"/>
    </row>
    <row r="1177" hidden="1">
      <c r="A1177" s="10">
        <v>40.0</v>
      </c>
      <c r="B1177" s="11" t="s">
        <v>375</v>
      </c>
      <c r="C1177" s="2" t="s">
        <v>61</v>
      </c>
      <c r="D1177" s="12">
        <v>45832.0</v>
      </c>
      <c r="E1177" s="13">
        <v>0.875</v>
      </c>
      <c r="F1177" s="5" t="str">
        <f>VLOOKUP(A1177,Jogos!A:N,10,0)</f>
        <v>Evening</v>
      </c>
      <c r="G1177" s="11" t="s">
        <v>500</v>
      </c>
      <c r="H1177" s="6" t="str">
        <f>VLOOKUP(A1177,Jogos!A:L,12,0)</f>
        <v>Open</v>
      </c>
      <c r="I1177" s="6" t="str">
        <f>VLOOKUP(G1177,'Estádios e Cidades'!A:B,2,0)</f>
        <v>Philadelphia</v>
      </c>
      <c r="J1177" s="11" t="s">
        <v>377</v>
      </c>
      <c r="K1177" s="2" t="str">
        <f>VLOOKUP(J1177,Equipes!A:F,6,0)</f>
        <v>Temperate</v>
      </c>
      <c r="L1177" s="2">
        <f>VLOOKUP(J1177,Equipes!A:C,3,0)</f>
        <v>1</v>
      </c>
      <c r="M1177" s="2" t="str">
        <f t="shared" si="4"/>
        <v>Final</v>
      </c>
      <c r="N1177" s="11" t="s">
        <v>502</v>
      </c>
      <c r="O1177" s="2">
        <f>VLOOKUP(N1177,Equipes!A:C,3,0)</f>
        <v>21</v>
      </c>
      <c r="P1177" s="2" t="str">
        <f t="shared" si="5"/>
        <v>Group</v>
      </c>
      <c r="Q1177" s="2">
        <f t="shared" si="6"/>
        <v>-20</v>
      </c>
      <c r="R1177" s="2" t="str">
        <f>VLOOKUP(J1177,Equipes!A:B,2,0)</f>
        <v>Chelsea</v>
      </c>
      <c r="S1177" s="14" t="s">
        <v>381</v>
      </c>
      <c r="T1177" s="7">
        <v>4.0</v>
      </c>
      <c r="U1177" s="7" t="s">
        <v>382</v>
      </c>
      <c r="V1177" s="7" t="str">
        <f>VLOOKUP(U1177,Jogadores!B:C,2,0)</f>
        <v>DF</v>
      </c>
      <c r="W1177" s="8">
        <f>VLOOKUP(U1177,Jogadores!B:D,3,0)</f>
        <v>27.86027397</v>
      </c>
      <c r="X1177" s="7">
        <v>0.0</v>
      </c>
      <c r="Y1177" s="7">
        <f t="shared" si="3661"/>
        <v>97</v>
      </c>
      <c r="Z1177" s="7">
        <f>VLOOKUP(A1177,Jogos!A:L,3,0)</f>
        <v>50</v>
      </c>
      <c r="AA1177" s="7">
        <f t="shared" si="2229"/>
        <v>50</v>
      </c>
      <c r="AB1177" s="7">
        <f>VLOOKUP(A1177,Jogos!A:L,4,0)</f>
        <v>52</v>
      </c>
      <c r="AC1177" s="7">
        <f t="shared" si="2230"/>
        <v>52</v>
      </c>
      <c r="AD1177" s="7"/>
      <c r="AE1177" s="7"/>
      <c r="AF1177" s="7">
        <f t="shared" si="2231"/>
        <v>102</v>
      </c>
      <c r="AG1177" s="7">
        <v>8474.9</v>
      </c>
      <c r="AH1177" s="7">
        <v>4646.8</v>
      </c>
      <c r="AI1177" s="7">
        <v>2918.1</v>
      </c>
      <c r="AJ1177" s="7">
        <v>581.4</v>
      </c>
      <c r="AK1177" s="7">
        <v>223.3</v>
      </c>
      <c r="AL1177" s="7">
        <v>105.2</v>
      </c>
      <c r="AM1177" s="7">
        <v>52.0</v>
      </c>
      <c r="AN1177" s="7">
        <v>19.0</v>
      </c>
      <c r="AO1177" s="7">
        <v>33.1</v>
      </c>
      <c r="AP1177" s="9">
        <f t="shared" ref="AP1177:AR1177" si="3674">AG1177/$AF1177</f>
        <v>83.0872549</v>
      </c>
      <c r="AQ1177" s="9">
        <f t="shared" si="3674"/>
        <v>45.55686275</v>
      </c>
      <c r="AR1177" s="9">
        <f t="shared" si="3674"/>
        <v>28.60882353</v>
      </c>
      <c r="AS1177" s="9">
        <f t="shared" si="2233"/>
        <v>74.16568627</v>
      </c>
      <c r="AT1177" s="9">
        <f t="shared" ref="AT1177:AV1177" si="3675">AJ1177/$AF1177</f>
        <v>5.7</v>
      </c>
      <c r="AU1177" s="9">
        <f t="shared" si="3675"/>
        <v>2.189215686</v>
      </c>
      <c r="AV1177" s="9">
        <f t="shared" si="3675"/>
        <v>1.031372549</v>
      </c>
      <c r="AW1177" s="9">
        <f t="shared" si="2235"/>
        <v>3.220588235</v>
      </c>
      <c r="AX1177" s="9">
        <f t="shared" ref="AX1177:AY1177" si="3676">AM1177/$AF1177</f>
        <v>0.5098039216</v>
      </c>
      <c r="AY1177" s="9">
        <f t="shared" si="3676"/>
        <v>0.1862745098</v>
      </c>
      <c r="AZ1177" s="9">
        <f>VLOOKUP(A1177,Jogos!A:BN,58,0)</f>
        <v>30.175</v>
      </c>
      <c r="BA1177" s="9">
        <f>VLOOKUP(A1177,Jogos!A:BN,59,0)</f>
        <v>20.145</v>
      </c>
      <c r="BB1177" s="9">
        <f>VLOOKUP(A1177,Jogos!A:BN,60,0)</f>
        <v>54.5</v>
      </c>
      <c r="BC1177" s="9">
        <f>VLOOKUP(A1177,Jogos!A:BN,61,0)</f>
        <v>30.65</v>
      </c>
      <c r="BD1177" s="9">
        <f>VLOOKUP(A1177,Jogos!A:BN,62,0)</f>
        <v>0</v>
      </c>
      <c r="BE1177" s="9">
        <f>VLOOKUP(A1177,Jogos!A:BN,63,0)</f>
        <v>1.86</v>
      </c>
      <c r="BF1177" s="9">
        <f>VLOOKUP(A1177,Jogos!A:BN,64,0)</f>
        <v>24.52</v>
      </c>
      <c r="BG1177" s="9">
        <f>VLOOKUP(A1177,Jogos!A:BN,65,0)</f>
        <v>44.17</v>
      </c>
      <c r="BH1177" s="9">
        <f>VLOOKUP(A1177,Jogos!A:BN,66,0)</f>
        <v>29.015</v>
      </c>
      <c r="BI1177" s="9"/>
      <c r="BJ1177" s="9"/>
    </row>
    <row r="1178" hidden="1">
      <c r="A1178" s="10">
        <v>40.0</v>
      </c>
      <c r="B1178" s="11" t="s">
        <v>375</v>
      </c>
      <c r="C1178" s="2" t="s">
        <v>61</v>
      </c>
      <c r="D1178" s="12">
        <v>45832.0</v>
      </c>
      <c r="E1178" s="13">
        <v>0.875</v>
      </c>
      <c r="F1178" s="5" t="str">
        <f>VLOOKUP(A1178,Jogos!A:N,10,0)</f>
        <v>Evening</v>
      </c>
      <c r="G1178" s="11" t="s">
        <v>500</v>
      </c>
      <c r="H1178" s="6" t="str">
        <f>VLOOKUP(A1178,Jogos!A:L,12,0)</f>
        <v>Open</v>
      </c>
      <c r="I1178" s="6" t="str">
        <f>VLOOKUP(G1178,'Estádios e Cidades'!A:B,2,0)</f>
        <v>Philadelphia</v>
      </c>
      <c r="J1178" s="11" t="s">
        <v>377</v>
      </c>
      <c r="K1178" s="2" t="str">
        <f>VLOOKUP(J1178,Equipes!A:F,6,0)</f>
        <v>Temperate</v>
      </c>
      <c r="L1178" s="2">
        <f>VLOOKUP(J1178,Equipes!A:C,3,0)</f>
        <v>1</v>
      </c>
      <c r="M1178" s="2" t="str">
        <f t="shared" si="4"/>
        <v>Final</v>
      </c>
      <c r="N1178" s="11" t="s">
        <v>502</v>
      </c>
      <c r="O1178" s="2">
        <f>VLOOKUP(N1178,Equipes!A:C,3,0)</f>
        <v>21</v>
      </c>
      <c r="P1178" s="2" t="str">
        <f t="shared" si="5"/>
        <v>Group</v>
      </c>
      <c r="Q1178" s="2">
        <f t="shared" si="6"/>
        <v>-20</v>
      </c>
      <c r="R1178" s="2" t="str">
        <f>VLOOKUP(J1178,Equipes!A:B,2,0)</f>
        <v>Chelsea</v>
      </c>
      <c r="S1178" s="6" t="s">
        <v>1283</v>
      </c>
      <c r="T1178" s="7">
        <v>5.0</v>
      </c>
      <c r="U1178" s="7" t="s">
        <v>1284</v>
      </c>
      <c r="V1178" s="7" t="str">
        <f>VLOOKUP(U1178,Jogadores!B:C,2,0)</f>
        <v>DF</v>
      </c>
      <c r="W1178" s="8">
        <f>VLOOKUP(U1178,Jogadores!B:D,3,0)</f>
        <v>24.35616438</v>
      </c>
      <c r="X1178" s="7">
        <v>0.0</v>
      </c>
      <c r="Y1178" s="7">
        <f t="shared" si="3661"/>
        <v>97</v>
      </c>
      <c r="Z1178" s="7">
        <f>VLOOKUP(A1178,Jogos!A:L,3,0)</f>
        <v>50</v>
      </c>
      <c r="AA1178" s="7">
        <f t="shared" si="2229"/>
        <v>50</v>
      </c>
      <c r="AB1178" s="7">
        <f>VLOOKUP(A1178,Jogos!A:L,4,0)</f>
        <v>52</v>
      </c>
      <c r="AC1178" s="7">
        <f t="shared" si="2230"/>
        <v>52</v>
      </c>
      <c r="AD1178" s="7"/>
      <c r="AE1178" s="7"/>
      <c r="AF1178" s="7">
        <f t="shared" si="2231"/>
        <v>102</v>
      </c>
      <c r="AG1178" s="7">
        <v>8561.4</v>
      </c>
      <c r="AH1178" s="7">
        <v>4369.6</v>
      </c>
      <c r="AI1178" s="7">
        <v>3047.6</v>
      </c>
      <c r="AJ1178" s="7">
        <v>796.0</v>
      </c>
      <c r="AK1178" s="7">
        <v>274.5</v>
      </c>
      <c r="AL1178" s="7">
        <v>73.6</v>
      </c>
      <c r="AM1178" s="7">
        <v>76.0</v>
      </c>
      <c r="AN1178" s="7">
        <v>21.0</v>
      </c>
      <c r="AO1178" s="7">
        <v>30.6</v>
      </c>
      <c r="AP1178" s="9">
        <f t="shared" ref="AP1178:AR1178" si="3677">AG1178/$AF1178</f>
        <v>83.93529412</v>
      </c>
      <c r="AQ1178" s="9">
        <f t="shared" si="3677"/>
        <v>42.83921569</v>
      </c>
      <c r="AR1178" s="9">
        <f t="shared" si="3677"/>
        <v>29.87843137</v>
      </c>
      <c r="AS1178" s="9">
        <f t="shared" si="2233"/>
        <v>72.71764706</v>
      </c>
      <c r="AT1178" s="9">
        <f t="shared" ref="AT1178:AV1178" si="3678">AJ1178/$AF1178</f>
        <v>7.803921569</v>
      </c>
      <c r="AU1178" s="9">
        <f t="shared" si="3678"/>
        <v>2.691176471</v>
      </c>
      <c r="AV1178" s="9">
        <f t="shared" si="3678"/>
        <v>0.7215686275</v>
      </c>
      <c r="AW1178" s="9">
        <f t="shared" si="2235"/>
        <v>3.412745098</v>
      </c>
      <c r="AX1178" s="9">
        <f t="shared" ref="AX1178:AY1178" si="3679">AM1178/$AF1178</f>
        <v>0.7450980392</v>
      </c>
      <c r="AY1178" s="9">
        <f t="shared" si="3679"/>
        <v>0.2058823529</v>
      </c>
      <c r="AZ1178" s="9">
        <f>VLOOKUP(A1178,Jogos!A:BN,58,0)</f>
        <v>30.175</v>
      </c>
      <c r="BA1178" s="9">
        <f>VLOOKUP(A1178,Jogos!A:BN,59,0)</f>
        <v>20.145</v>
      </c>
      <c r="BB1178" s="9">
        <f>VLOOKUP(A1178,Jogos!A:BN,60,0)</f>
        <v>54.5</v>
      </c>
      <c r="BC1178" s="9">
        <f>VLOOKUP(A1178,Jogos!A:BN,61,0)</f>
        <v>30.65</v>
      </c>
      <c r="BD1178" s="9">
        <f>VLOOKUP(A1178,Jogos!A:BN,62,0)</f>
        <v>0</v>
      </c>
      <c r="BE1178" s="9">
        <f>VLOOKUP(A1178,Jogos!A:BN,63,0)</f>
        <v>1.86</v>
      </c>
      <c r="BF1178" s="9">
        <f>VLOOKUP(A1178,Jogos!A:BN,64,0)</f>
        <v>24.52</v>
      </c>
      <c r="BG1178" s="9">
        <f>VLOOKUP(A1178,Jogos!A:BN,65,0)</f>
        <v>44.17</v>
      </c>
      <c r="BH1178" s="9">
        <f>VLOOKUP(A1178,Jogos!A:BN,66,0)</f>
        <v>29.015</v>
      </c>
      <c r="BI1178" s="9"/>
      <c r="BJ1178" s="9"/>
    </row>
    <row r="1179" hidden="1">
      <c r="A1179" s="10">
        <v>40.0</v>
      </c>
      <c r="B1179" s="11" t="s">
        <v>375</v>
      </c>
      <c r="C1179" s="2" t="s">
        <v>61</v>
      </c>
      <c r="D1179" s="12">
        <v>45832.0</v>
      </c>
      <c r="E1179" s="13">
        <v>0.875</v>
      </c>
      <c r="F1179" s="5" t="str">
        <f>VLOOKUP(A1179,Jogos!A:N,10,0)</f>
        <v>Evening</v>
      </c>
      <c r="G1179" s="11" t="s">
        <v>500</v>
      </c>
      <c r="H1179" s="6" t="str">
        <f>VLOOKUP(A1179,Jogos!A:L,12,0)</f>
        <v>Open</v>
      </c>
      <c r="I1179" s="6" t="str">
        <f>VLOOKUP(G1179,'Estádios e Cidades'!A:B,2,0)</f>
        <v>Philadelphia</v>
      </c>
      <c r="J1179" s="11" t="s">
        <v>377</v>
      </c>
      <c r="K1179" s="2" t="str">
        <f>VLOOKUP(J1179,Equipes!A:F,6,0)</f>
        <v>Temperate</v>
      </c>
      <c r="L1179" s="2">
        <f>VLOOKUP(J1179,Equipes!A:C,3,0)</f>
        <v>1</v>
      </c>
      <c r="M1179" s="2" t="str">
        <f t="shared" si="4"/>
        <v>Final</v>
      </c>
      <c r="N1179" s="11" t="s">
        <v>502</v>
      </c>
      <c r="O1179" s="2">
        <f>VLOOKUP(N1179,Equipes!A:C,3,0)</f>
        <v>21</v>
      </c>
      <c r="P1179" s="2" t="str">
        <f t="shared" si="5"/>
        <v>Group</v>
      </c>
      <c r="Q1179" s="2">
        <f t="shared" si="6"/>
        <v>-20</v>
      </c>
      <c r="R1179" s="2" t="str">
        <f>VLOOKUP(J1179,Equipes!A:B,2,0)</f>
        <v>Chelsea</v>
      </c>
      <c r="S1179" s="6" t="s">
        <v>399</v>
      </c>
      <c r="T1179" s="7">
        <v>8.0</v>
      </c>
      <c r="U1179" s="7" t="s">
        <v>400</v>
      </c>
      <c r="V1179" s="7" t="str">
        <f>VLOOKUP(U1179,Jogadores!B:C,2,0)</f>
        <v>MF</v>
      </c>
      <c r="W1179" s="8">
        <f>VLOOKUP(U1179,Jogadores!B:D,3,0)</f>
        <v>24.54246575</v>
      </c>
      <c r="X1179" s="7">
        <v>0.0</v>
      </c>
      <c r="Y1179" s="7">
        <v>68.0</v>
      </c>
      <c r="Z1179" s="7">
        <f>VLOOKUP(A1179,Jogos!A:L,3,0)</f>
        <v>50</v>
      </c>
      <c r="AA1179" s="7">
        <f t="shared" si="2229"/>
        <v>50</v>
      </c>
      <c r="AB1179" s="7">
        <f>VLOOKUP(A1179,Jogos!A:L,4,0)</f>
        <v>52</v>
      </c>
      <c r="AC1179" s="7">
        <f t="shared" si="2230"/>
        <v>23</v>
      </c>
      <c r="AD1179" s="7"/>
      <c r="AE1179" s="7"/>
      <c r="AF1179" s="7">
        <f t="shared" si="2231"/>
        <v>73</v>
      </c>
      <c r="AG1179" s="7">
        <v>7592.4</v>
      </c>
      <c r="AH1179" s="7">
        <v>2951.7</v>
      </c>
      <c r="AI1179" s="7">
        <v>3038.5</v>
      </c>
      <c r="AJ1179" s="7">
        <v>1027.9</v>
      </c>
      <c r="AK1179" s="7">
        <v>462.2</v>
      </c>
      <c r="AL1179" s="7">
        <v>112.1</v>
      </c>
      <c r="AM1179" s="7">
        <v>96.0</v>
      </c>
      <c r="AN1179" s="7">
        <v>36.0</v>
      </c>
      <c r="AO1179" s="7">
        <v>33.2</v>
      </c>
      <c r="AP1179" s="9">
        <f t="shared" ref="AP1179:AR1179" si="3680">AG1179/$AF1179</f>
        <v>104.0054795</v>
      </c>
      <c r="AQ1179" s="9">
        <f t="shared" si="3680"/>
        <v>40.43424658</v>
      </c>
      <c r="AR1179" s="9">
        <f t="shared" si="3680"/>
        <v>41.62328767</v>
      </c>
      <c r="AS1179" s="9">
        <f t="shared" si="2233"/>
        <v>82.05753425</v>
      </c>
      <c r="AT1179" s="9">
        <f t="shared" ref="AT1179:AV1179" si="3681">AJ1179/$AF1179</f>
        <v>14.08082192</v>
      </c>
      <c r="AU1179" s="9">
        <f t="shared" si="3681"/>
        <v>6.331506849</v>
      </c>
      <c r="AV1179" s="9">
        <f t="shared" si="3681"/>
        <v>1.535616438</v>
      </c>
      <c r="AW1179" s="9">
        <f t="shared" si="2235"/>
        <v>7.867123288</v>
      </c>
      <c r="AX1179" s="9">
        <f t="shared" ref="AX1179:AY1179" si="3682">AM1179/$AF1179</f>
        <v>1.315068493</v>
      </c>
      <c r="AY1179" s="9">
        <f t="shared" si="3682"/>
        <v>0.4931506849</v>
      </c>
      <c r="AZ1179" s="9">
        <f>VLOOKUP(A1179,Jogos!A:BN,58,0)</f>
        <v>30.175</v>
      </c>
      <c r="BA1179" s="9">
        <f>VLOOKUP(A1179,Jogos!A:BN,59,0)</f>
        <v>20.145</v>
      </c>
      <c r="BB1179" s="9">
        <f>VLOOKUP(A1179,Jogos!A:BN,60,0)</f>
        <v>54.5</v>
      </c>
      <c r="BC1179" s="9">
        <f>VLOOKUP(A1179,Jogos!A:BN,61,0)</f>
        <v>30.65</v>
      </c>
      <c r="BD1179" s="9">
        <f>VLOOKUP(A1179,Jogos!A:BN,62,0)</f>
        <v>0</v>
      </c>
      <c r="BE1179" s="9">
        <f>VLOOKUP(A1179,Jogos!A:BN,63,0)</f>
        <v>1.86</v>
      </c>
      <c r="BF1179" s="9">
        <f>VLOOKUP(A1179,Jogos!A:BN,64,0)</f>
        <v>24.52</v>
      </c>
      <c r="BG1179" s="9">
        <f>VLOOKUP(A1179,Jogos!A:BN,65,0)</f>
        <v>44.17</v>
      </c>
      <c r="BH1179" s="9">
        <f>VLOOKUP(A1179,Jogos!A:BN,66,0)</f>
        <v>29.015</v>
      </c>
      <c r="BI1179" s="9"/>
      <c r="BJ1179" s="9"/>
    </row>
    <row r="1180" hidden="1">
      <c r="A1180" s="10">
        <v>40.0</v>
      </c>
      <c r="B1180" s="11" t="s">
        <v>375</v>
      </c>
      <c r="C1180" s="2" t="s">
        <v>61</v>
      </c>
      <c r="D1180" s="12">
        <v>45832.0</v>
      </c>
      <c r="E1180" s="13">
        <v>0.875</v>
      </c>
      <c r="F1180" s="5" t="str">
        <f>VLOOKUP(A1180,Jogos!A:N,10,0)</f>
        <v>Evening</v>
      </c>
      <c r="G1180" s="11" t="s">
        <v>500</v>
      </c>
      <c r="H1180" s="6" t="str">
        <f>VLOOKUP(A1180,Jogos!A:L,12,0)</f>
        <v>Open</v>
      </c>
      <c r="I1180" s="6" t="str">
        <f>VLOOKUP(G1180,'Estádios e Cidades'!A:B,2,0)</f>
        <v>Philadelphia</v>
      </c>
      <c r="J1180" s="11" t="s">
        <v>377</v>
      </c>
      <c r="K1180" s="2" t="str">
        <f>VLOOKUP(J1180,Equipes!A:F,6,0)</f>
        <v>Temperate</v>
      </c>
      <c r="L1180" s="2">
        <f>VLOOKUP(J1180,Equipes!A:C,3,0)</f>
        <v>1</v>
      </c>
      <c r="M1180" s="2" t="str">
        <f t="shared" si="4"/>
        <v>Final</v>
      </c>
      <c r="N1180" s="11" t="s">
        <v>502</v>
      </c>
      <c r="O1180" s="2">
        <f>VLOOKUP(N1180,Equipes!A:C,3,0)</f>
        <v>21</v>
      </c>
      <c r="P1180" s="2" t="str">
        <f t="shared" si="5"/>
        <v>Group</v>
      </c>
      <c r="Q1180" s="2">
        <f t="shared" si="6"/>
        <v>-20</v>
      </c>
      <c r="R1180" s="2" t="str">
        <f>VLOOKUP(J1180,Equipes!A:B,2,0)</f>
        <v>Chelsea</v>
      </c>
      <c r="S1180" s="6" t="s">
        <v>401</v>
      </c>
      <c r="T1180" s="7">
        <v>9.0</v>
      </c>
      <c r="U1180" s="7" t="s">
        <v>402</v>
      </c>
      <c r="V1180" s="7" t="str">
        <f>VLOOKUP(U1180,Jogadores!B:C,2,0)</f>
        <v>FW</v>
      </c>
      <c r="W1180" s="8">
        <f>VLOOKUP(U1180,Jogadores!B:D,3,0)</f>
        <v>22.48219178</v>
      </c>
      <c r="X1180" s="7">
        <v>0.0</v>
      </c>
      <c r="Y1180" s="7">
        <v>59.0</v>
      </c>
      <c r="Z1180" s="7">
        <f>VLOOKUP(A1180,Jogos!A:L,3,0)</f>
        <v>50</v>
      </c>
      <c r="AA1180" s="7">
        <f t="shared" si="2229"/>
        <v>50</v>
      </c>
      <c r="AB1180" s="7">
        <f>VLOOKUP(A1180,Jogos!A:L,4,0)</f>
        <v>52</v>
      </c>
      <c r="AC1180" s="7">
        <f t="shared" si="2230"/>
        <v>14</v>
      </c>
      <c r="AD1180" s="7"/>
      <c r="AE1180" s="7"/>
      <c r="AF1180" s="7">
        <f t="shared" si="2231"/>
        <v>64</v>
      </c>
      <c r="AG1180" s="7">
        <v>6263.3</v>
      </c>
      <c r="AH1180" s="7">
        <v>2838.5</v>
      </c>
      <c r="AI1180" s="7">
        <v>2274.9</v>
      </c>
      <c r="AJ1180" s="7">
        <v>592.1</v>
      </c>
      <c r="AK1180" s="7">
        <v>378.2</v>
      </c>
      <c r="AL1180" s="7">
        <v>179.6</v>
      </c>
      <c r="AM1180" s="7">
        <v>47.0</v>
      </c>
      <c r="AN1180" s="7">
        <v>37.0</v>
      </c>
      <c r="AO1180" s="7">
        <v>32.1</v>
      </c>
      <c r="AP1180" s="9">
        <f t="shared" ref="AP1180:AR1180" si="3683">AG1180/$AF1180</f>
        <v>97.8640625</v>
      </c>
      <c r="AQ1180" s="9">
        <f t="shared" si="3683"/>
        <v>44.3515625</v>
      </c>
      <c r="AR1180" s="9">
        <f t="shared" si="3683"/>
        <v>35.5453125</v>
      </c>
      <c r="AS1180" s="9">
        <f t="shared" si="2233"/>
        <v>79.896875</v>
      </c>
      <c r="AT1180" s="9">
        <f t="shared" ref="AT1180:AV1180" si="3684">AJ1180/$AF1180</f>
        <v>9.2515625</v>
      </c>
      <c r="AU1180" s="9">
        <f t="shared" si="3684"/>
        <v>5.909375</v>
      </c>
      <c r="AV1180" s="9">
        <f t="shared" si="3684"/>
        <v>2.80625</v>
      </c>
      <c r="AW1180" s="9">
        <f t="shared" si="2235"/>
        <v>8.715625</v>
      </c>
      <c r="AX1180" s="9">
        <f t="shared" ref="AX1180:AY1180" si="3685">AM1180/$AF1180</f>
        <v>0.734375</v>
      </c>
      <c r="AY1180" s="9">
        <f t="shared" si="3685"/>
        <v>0.578125</v>
      </c>
      <c r="AZ1180" s="9">
        <f>VLOOKUP(A1180,Jogos!A:BN,58,0)</f>
        <v>30.175</v>
      </c>
      <c r="BA1180" s="9">
        <f>VLOOKUP(A1180,Jogos!A:BN,59,0)</f>
        <v>20.145</v>
      </c>
      <c r="BB1180" s="9">
        <f>VLOOKUP(A1180,Jogos!A:BN,60,0)</f>
        <v>54.5</v>
      </c>
      <c r="BC1180" s="9">
        <f>VLOOKUP(A1180,Jogos!A:BN,61,0)</f>
        <v>30.65</v>
      </c>
      <c r="BD1180" s="9">
        <f>VLOOKUP(A1180,Jogos!A:BN,62,0)</f>
        <v>0</v>
      </c>
      <c r="BE1180" s="9">
        <f>VLOOKUP(A1180,Jogos!A:BN,63,0)</f>
        <v>1.86</v>
      </c>
      <c r="BF1180" s="9">
        <f>VLOOKUP(A1180,Jogos!A:BN,64,0)</f>
        <v>24.52</v>
      </c>
      <c r="BG1180" s="9">
        <f>VLOOKUP(A1180,Jogos!A:BN,65,0)</f>
        <v>44.17</v>
      </c>
      <c r="BH1180" s="9">
        <f>VLOOKUP(A1180,Jogos!A:BN,66,0)</f>
        <v>29.015</v>
      </c>
      <c r="BI1180" s="9"/>
      <c r="BJ1180" s="9"/>
    </row>
    <row r="1181" hidden="1">
      <c r="A1181" s="10">
        <v>40.0</v>
      </c>
      <c r="B1181" s="11" t="s">
        <v>375</v>
      </c>
      <c r="C1181" s="2" t="s">
        <v>61</v>
      </c>
      <c r="D1181" s="12">
        <v>45832.0</v>
      </c>
      <c r="E1181" s="13">
        <v>0.875</v>
      </c>
      <c r="F1181" s="5" t="str">
        <f>VLOOKUP(A1181,Jogos!A:N,10,0)</f>
        <v>Evening</v>
      </c>
      <c r="G1181" s="11" t="s">
        <v>500</v>
      </c>
      <c r="H1181" s="6" t="str">
        <f>VLOOKUP(A1181,Jogos!A:L,12,0)</f>
        <v>Open</v>
      </c>
      <c r="I1181" s="6" t="str">
        <f>VLOOKUP(G1181,'Estádios e Cidades'!A:B,2,0)</f>
        <v>Philadelphia</v>
      </c>
      <c r="J1181" s="11" t="s">
        <v>377</v>
      </c>
      <c r="K1181" s="2" t="str">
        <f>VLOOKUP(J1181,Equipes!A:F,6,0)</f>
        <v>Temperate</v>
      </c>
      <c r="L1181" s="2">
        <f>VLOOKUP(J1181,Equipes!A:C,3,0)</f>
        <v>1</v>
      </c>
      <c r="M1181" s="2" t="str">
        <f t="shared" si="4"/>
        <v>Final</v>
      </c>
      <c r="N1181" s="11" t="s">
        <v>502</v>
      </c>
      <c r="O1181" s="2">
        <f>VLOOKUP(N1181,Equipes!A:C,3,0)</f>
        <v>21</v>
      </c>
      <c r="P1181" s="2" t="str">
        <f t="shared" si="5"/>
        <v>Group</v>
      </c>
      <c r="Q1181" s="2">
        <f t="shared" si="6"/>
        <v>-20</v>
      </c>
      <c r="R1181" s="2" t="str">
        <f>VLOOKUP(J1181,Equipes!A:B,2,0)</f>
        <v>Chelsea</v>
      </c>
      <c r="S1181" s="6" t="s">
        <v>389</v>
      </c>
      <c r="T1181" s="7">
        <v>11.0</v>
      </c>
      <c r="U1181" s="7" t="s">
        <v>390</v>
      </c>
      <c r="V1181" s="7" t="str">
        <f>VLOOKUP(U1181,Jogadores!B:C,2,0)</f>
        <v>FW</v>
      </c>
      <c r="W1181" s="8">
        <f>VLOOKUP(U1181,Jogadores!B:D,3,0)</f>
        <v>23.4</v>
      </c>
      <c r="X1181" s="7">
        <v>0.0</v>
      </c>
      <c r="Y1181" s="7">
        <v>68.0</v>
      </c>
      <c r="Z1181" s="7">
        <f>VLOOKUP(A1181,Jogos!A:L,3,0)</f>
        <v>50</v>
      </c>
      <c r="AA1181" s="7">
        <f t="shared" si="2229"/>
        <v>50</v>
      </c>
      <c r="AB1181" s="7">
        <f>VLOOKUP(A1181,Jogos!A:L,4,0)</f>
        <v>52</v>
      </c>
      <c r="AC1181" s="7">
        <f t="shared" si="2230"/>
        <v>23</v>
      </c>
      <c r="AD1181" s="7"/>
      <c r="AE1181" s="7"/>
      <c r="AF1181" s="7">
        <f t="shared" si="2231"/>
        <v>73</v>
      </c>
      <c r="AG1181" s="7">
        <v>5997.9</v>
      </c>
      <c r="AH1181" s="7">
        <v>3170.4</v>
      </c>
      <c r="AI1181" s="7">
        <v>1727.9</v>
      </c>
      <c r="AJ1181" s="7">
        <v>575.6</v>
      </c>
      <c r="AK1181" s="7">
        <v>305.8</v>
      </c>
      <c r="AL1181" s="7">
        <v>218.1</v>
      </c>
      <c r="AM1181" s="7">
        <v>52.0</v>
      </c>
      <c r="AN1181" s="7">
        <v>32.0</v>
      </c>
      <c r="AO1181" s="7">
        <v>32.9</v>
      </c>
      <c r="AP1181" s="9">
        <f t="shared" ref="AP1181:AR1181" si="3686">AG1181/$AF1181</f>
        <v>82.1630137</v>
      </c>
      <c r="AQ1181" s="9">
        <f t="shared" si="3686"/>
        <v>43.43013699</v>
      </c>
      <c r="AR1181" s="9">
        <f t="shared" si="3686"/>
        <v>23.66986301</v>
      </c>
      <c r="AS1181" s="9">
        <f t="shared" si="2233"/>
        <v>67.1</v>
      </c>
      <c r="AT1181" s="9">
        <f t="shared" ref="AT1181:AV1181" si="3687">AJ1181/$AF1181</f>
        <v>7.884931507</v>
      </c>
      <c r="AU1181" s="9">
        <f t="shared" si="3687"/>
        <v>4.189041096</v>
      </c>
      <c r="AV1181" s="9">
        <f t="shared" si="3687"/>
        <v>2.987671233</v>
      </c>
      <c r="AW1181" s="9">
        <f t="shared" si="2235"/>
        <v>7.176712329</v>
      </c>
      <c r="AX1181" s="9">
        <f t="shared" ref="AX1181:AY1181" si="3688">AM1181/$AF1181</f>
        <v>0.7123287671</v>
      </c>
      <c r="AY1181" s="9">
        <f t="shared" si="3688"/>
        <v>0.4383561644</v>
      </c>
      <c r="AZ1181" s="9">
        <f>VLOOKUP(A1181,Jogos!A:BN,58,0)</f>
        <v>30.175</v>
      </c>
      <c r="BA1181" s="9">
        <f>VLOOKUP(A1181,Jogos!A:BN,59,0)</f>
        <v>20.145</v>
      </c>
      <c r="BB1181" s="9">
        <f>VLOOKUP(A1181,Jogos!A:BN,60,0)</f>
        <v>54.5</v>
      </c>
      <c r="BC1181" s="9">
        <f>VLOOKUP(A1181,Jogos!A:BN,61,0)</f>
        <v>30.65</v>
      </c>
      <c r="BD1181" s="9">
        <f>VLOOKUP(A1181,Jogos!A:BN,62,0)</f>
        <v>0</v>
      </c>
      <c r="BE1181" s="9">
        <f>VLOOKUP(A1181,Jogos!A:BN,63,0)</f>
        <v>1.86</v>
      </c>
      <c r="BF1181" s="9">
        <f>VLOOKUP(A1181,Jogos!A:BN,64,0)</f>
        <v>24.52</v>
      </c>
      <c r="BG1181" s="9">
        <f>VLOOKUP(A1181,Jogos!A:BN,65,0)</f>
        <v>44.17</v>
      </c>
      <c r="BH1181" s="9">
        <f>VLOOKUP(A1181,Jogos!A:BN,66,0)</f>
        <v>29.015</v>
      </c>
      <c r="BI1181" s="9"/>
      <c r="BJ1181" s="9"/>
    </row>
    <row r="1182" hidden="1">
      <c r="A1182" s="10">
        <v>40.0</v>
      </c>
      <c r="B1182" s="11" t="s">
        <v>375</v>
      </c>
      <c r="C1182" s="2" t="s">
        <v>61</v>
      </c>
      <c r="D1182" s="12">
        <v>45832.0</v>
      </c>
      <c r="E1182" s="13">
        <v>0.875</v>
      </c>
      <c r="F1182" s="5" t="str">
        <f>VLOOKUP(A1182,Jogos!A:N,10,0)</f>
        <v>Evening</v>
      </c>
      <c r="G1182" s="11" t="s">
        <v>500</v>
      </c>
      <c r="H1182" s="6" t="str">
        <f>VLOOKUP(A1182,Jogos!A:L,12,0)</f>
        <v>Open</v>
      </c>
      <c r="I1182" s="6" t="str">
        <f>VLOOKUP(G1182,'Estádios e Cidades'!A:B,2,0)</f>
        <v>Philadelphia</v>
      </c>
      <c r="J1182" s="11" t="s">
        <v>377</v>
      </c>
      <c r="K1182" s="2" t="str">
        <f>VLOOKUP(J1182,Equipes!A:F,6,0)</f>
        <v>Temperate</v>
      </c>
      <c r="L1182" s="2">
        <f>VLOOKUP(J1182,Equipes!A:C,3,0)</f>
        <v>1</v>
      </c>
      <c r="M1182" s="2" t="str">
        <f t="shared" si="4"/>
        <v>Final</v>
      </c>
      <c r="N1182" s="11" t="s">
        <v>502</v>
      </c>
      <c r="O1182" s="2">
        <f>VLOOKUP(N1182,Equipes!A:C,3,0)</f>
        <v>21</v>
      </c>
      <c r="P1182" s="2" t="str">
        <f t="shared" si="5"/>
        <v>Group</v>
      </c>
      <c r="Q1182" s="2">
        <f t="shared" si="6"/>
        <v>-20</v>
      </c>
      <c r="R1182" s="2" t="str">
        <f>VLOOKUP(J1182,Equipes!A:B,2,0)</f>
        <v>Chelsea</v>
      </c>
      <c r="S1182" s="6" t="s">
        <v>405</v>
      </c>
      <c r="T1182" s="7">
        <v>18.0</v>
      </c>
      <c r="U1182" s="7" t="s">
        <v>406</v>
      </c>
      <c r="V1182" s="7" t="str">
        <f>VLOOKUP(U1182,Jogadores!B:C,2,0)</f>
        <v>FW</v>
      </c>
      <c r="W1182" s="8">
        <f>VLOOKUP(U1182,Jogadores!B:D,3,0)</f>
        <v>27.72054795</v>
      </c>
      <c r="X1182" s="7">
        <v>0.0</v>
      </c>
      <c r="Y1182" s="7">
        <f t="shared" ref="Y1182:Y1183" si="3692">45+AB1182</f>
        <v>97</v>
      </c>
      <c r="Z1182" s="7">
        <f>VLOOKUP(A1182,Jogos!A:L,3,0)</f>
        <v>50</v>
      </c>
      <c r="AA1182" s="7">
        <f t="shared" si="2229"/>
        <v>50</v>
      </c>
      <c r="AB1182" s="7">
        <f>VLOOKUP(A1182,Jogos!A:L,4,0)</f>
        <v>52</v>
      </c>
      <c r="AC1182" s="7">
        <f t="shared" si="2230"/>
        <v>52</v>
      </c>
      <c r="AD1182" s="7"/>
      <c r="AE1182" s="7"/>
      <c r="AF1182" s="7">
        <f t="shared" si="2231"/>
        <v>102</v>
      </c>
      <c r="AG1182" s="7">
        <v>9886.1</v>
      </c>
      <c r="AH1182" s="7">
        <v>3729.1</v>
      </c>
      <c r="AI1182" s="7">
        <v>4122.9</v>
      </c>
      <c r="AJ1182" s="7">
        <v>1403.9</v>
      </c>
      <c r="AK1182" s="7">
        <v>471.4</v>
      </c>
      <c r="AL1182" s="7">
        <v>158.9</v>
      </c>
      <c r="AM1182" s="7">
        <v>118.0</v>
      </c>
      <c r="AN1182" s="7">
        <v>38.0</v>
      </c>
      <c r="AO1182" s="7">
        <v>30.1</v>
      </c>
      <c r="AP1182" s="9">
        <f t="shared" ref="AP1182:AR1182" si="3689">AG1182/$AF1182</f>
        <v>96.92254902</v>
      </c>
      <c r="AQ1182" s="9">
        <f t="shared" si="3689"/>
        <v>36.55980392</v>
      </c>
      <c r="AR1182" s="9">
        <f t="shared" si="3689"/>
        <v>40.42058824</v>
      </c>
      <c r="AS1182" s="9">
        <f t="shared" si="2233"/>
        <v>76.98039216</v>
      </c>
      <c r="AT1182" s="9">
        <f t="shared" ref="AT1182:AV1182" si="3690">AJ1182/$AF1182</f>
        <v>13.76372549</v>
      </c>
      <c r="AU1182" s="9">
        <f t="shared" si="3690"/>
        <v>4.621568627</v>
      </c>
      <c r="AV1182" s="9">
        <f t="shared" si="3690"/>
        <v>1.557843137</v>
      </c>
      <c r="AW1182" s="9">
        <f t="shared" si="2235"/>
        <v>6.179411765</v>
      </c>
      <c r="AX1182" s="9">
        <f t="shared" ref="AX1182:AY1182" si="3691">AM1182/$AF1182</f>
        <v>1.156862745</v>
      </c>
      <c r="AY1182" s="9">
        <f t="shared" si="3691"/>
        <v>0.3725490196</v>
      </c>
      <c r="AZ1182" s="9">
        <f>VLOOKUP(A1182,Jogos!A:BN,58,0)</f>
        <v>30.175</v>
      </c>
      <c r="BA1182" s="9">
        <f>VLOOKUP(A1182,Jogos!A:BN,59,0)</f>
        <v>20.145</v>
      </c>
      <c r="BB1182" s="9">
        <f>VLOOKUP(A1182,Jogos!A:BN,60,0)</f>
        <v>54.5</v>
      </c>
      <c r="BC1182" s="9">
        <f>VLOOKUP(A1182,Jogos!A:BN,61,0)</f>
        <v>30.65</v>
      </c>
      <c r="BD1182" s="9">
        <f>VLOOKUP(A1182,Jogos!A:BN,62,0)</f>
        <v>0</v>
      </c>
      <c r="BE1182" s="9">
        <f>VLOOKUP(A1182,Jogos!A:BN,63,0)</f>
        <v>1.86</v>
      </c>
      <c r="BF1182" s="9">
        <f>VLOOKUP(A1182,Jogos!A:BN,64,0)</f>
        <v>24.52</v>
      </c>
      <c r="BG1182" s="9">
        <f>VLOOKUP(A1182,Jogos!A:BN,65,0)</f>
        <v>44.17</v>
      </c>
      <c r="BH1182" s="9">
        <f>VLOOKUP(A1182,Jogos!A:BN,66,0)</f>
        <v>29.015</v>
      </c>
      <c r="BI1182" s="9"/>
      <c r="BJ1182" s="9"/>
    </row>
    <row r="1183" hidden="1">
      <c r="A1183" s="10">
        <v>40.0</v>
      </c>
      <c r="B1183" s="11" t="s">
        <v>375</v>
      </c>
      <c r="C1183" s="2" t="s">
        <v>61</v>
      </c>
      <c r="D1183" s="12">
        <v>45832.0</v>
      </c>
      <c r="E1183" s="13">
        <v>0.875</v>
      </c>
      <c r="F1183" s="5" t="str">
        <f>VLOOKUP(A1183,Jogos!A:N,10,0)</f>
        <v>Evening</v>
      </c>
      <c r="G1183" s="11" t="s">
        <v>500</v>
      </c>
      <c r="H1183" s="6" t="str">
        <f>VLOOKUP(A1183,Jogos!A:L,12,0)</f>
        <v>Open</v>
      </c>
      <c r="I1183" s="6" t="str">
        <f>VLOOKUP(G1183,'Estádios e Cidades'!A:B,2,0)</f>
        <v>Philadelphia</v>
      </c>
      <c r="J1183" s="11" t="s">
        <v>377</v>
      </c>
      <c r="K1183" s="2" t="str">
        <f>VLOOKUP(J1183,Equipes!A:F,6,0)</f>
        <v>Temperate</v>
      </c>
      <c r="L1183" s="2">
        <f>VLOOKUP(J1183,Equipes!A:C,3,0)</f>
        <v>1</v>
      </c>
      <c r="M1183" s="2" t="str">
        <f t="shared" si="4"/>
        <v>Final</v>
      </c>
      <c r="N1183" s="11" t="s">
        <v>502</v>
      </c>
      <c r="O1183" s="2">
        <f>VLOOKUP(N1183,Equipes!A:C,3,0)</f>
        <v>21</v>
      </c>
      <c r="P1183" s="2" t="str">
        <f t="shared" si="5"/>
        <v>Group</v>
      </c>
      <c r="Q1183" s="2">
        <f t="shared" si="6"/>
        <v>-20</v>
      </c>
      <c r="R1183" s="2" t="str">
        <f>VLOOKUP(J1183,Equipes!A:B,2,0)</f>
        <v>Chelsea</v>
      </c>
      <c r="S1183" s="6" t="s">
        <v>1285</v>
      </c>
      <c r="T1183" s="7">
        <v>22.0</v>
      </c>
      <c r="U1183" s="7" t="s">
        <v>1286</v>
      </c>
      <c r="V1183" s="7" t="str">
        <f>VLOOKUP(U1183,Jogadores!B:C,2,0)</f>
        <v>MF</v>
      </c>
      <c r="W1183" s="8">
        <f>VLOOKUP(U1183,Jogadores!B:D,3,0)</f>
        <v>26.90958904</v>
      </c>
      <c r="X1183" s="7">
        <v>0.0</v>
      </c>
      <c r="Y1183" s="7">
        <f t="shared" si="3692"/>
        <v>97</v>
      </c>
      <c r="Z1183" s="7">
        <f>VLOOKUP(A1183,Jogos!A:L,3,0)</f>
        <v>50</v>
      </c>
      <c r="AA1183" s="7">
        <f t="shared" si="2229"/>
        <v>50</v>
      </c>
      <c r="AB1183" s="7">
        <f>VLOOKUP(A1183,Jogos!A:L,4,0)</f>
        <v>52</v>
      </c>
      <c r="AC1183" s="7">
        <f t="shared" si="2230"/>
        <v>52</v>
      </c>
      <c r="AD1183" s="7"/>
      <c r="AE1183" s="7"/>
      <c r="AF1183" s="7">
        <f t="shared" si="2231"/>
        <v>102</v>
      </c>
      <c r="AG1183" s="7">
        <v>10354.6</v>
      </c>
      <c r="AH1183" s="7">
        <v>4660.9</v>
      </c>
      <c r="AI1183" s="7">
        <v>3656.9</v>
      </c>
      <c r="AJ1183" s="7">
        <v>1298.6</v>
      </c>
      <c r="AK1183" s="7">
        <v>536.9</v>
      </c>
      <c r="AL1183" s="7">
        <v>201.2</v>
      </c>
      <c r="AM1183" s="7">
        <v>112.0</v>
      </c>
      <c r="AN1183" s="7">
        <v>44.0</v>
      </c>
      <c r="AO1183" s="7">
        <v>28.7</v>
      </c>
      <c r="AP1183" s="9">
        <f t="shared" ref="AP1183:AR1183" si="3693">AG1183/$AF1183</f>
        <v>101.5156863</v>
      </c>
      <c r="AQ1183" s="9">
        <f t="shared" si="3693"/>
        <v>45.69509804</v>
      </c>
      <c r="AR1183" s="9">
        <f t="shared" si="3693"/>
        <v>35.85196078</v>
      </c>
      <c r="AS1183" s="9">
        <f t="shared" si="2233"/>
        <v>81.54705882</v>
      </c>
      <c r="AT1183" s="9">
        <f t="shared" ref="AT1183:AV1183" si="3694">AJ1183/$AF1183</f>
        <v>12.73137255</v>
      </c>
      <c r="AU1183" s="9">
        <f t="shared" si="3694"/>
        <v>5.26372549</v>
      </c>
      <c r="AV1183" s="9">
        <f t="shared" si="3694"/>
        <v>1.97254902</v>
      </c>
      <c r="AW1183" s="9">
        <f t="shared" si="2235"/>
        <v>7.23627451</v>
      </c>
      <c r="AX1183" s="9">
        <f t="shared" ref="AX1183:AY1183" si="3695">AM1183/$AF1183</f>
        <v>1.098039216</v>
      </c>
      <c r="AY1183" s="9">
        <f t="shared" si="3695"/>
        <v>0.431372549</v>
      </c>
      <c r="AZ1183" s="9">
        <f>VLOOKUP(A1183,Jogos!A:BN,58,0)</f>
        <v>30.175</v>
      </c>
      <c r="BA1183" s="9">
        <f>VLOOKUP(A1183,Jogos!A:BN,59,0)</f>
        <v>20.145</v>
      </c>
      <c r="BB1183" s="9">
        <f>VLOOKUP(A1183,Jogos!A:BN,60,0)</f>
        <v>54.5</v>
      </c>
      <c r="BC1183" s="9">
        <f>VLOOKUP(A1183,Jogos!A:BN,61,0)</f>
        <v>30.65</v>
      </c>
      <c r="BD1183" s="9">
        <f>VLOOKUP(A1183,Jogos!A:BN,62,0)</f>
        <v>0</v>
      </c>
      <c r="BE1183" s="9">
        <f>VLOOKUP(A1183,Jogos!A:BN,63,0)</f>
        <v>1.86</v>
      </c>
      <c r="BF1183" s="9">
        <f>VLOOKUP(A1183,Jogos!A:BN,64,0)</f>
        <v>24.52</v>
      </c>
      <c r="BG1183" s="9">
        <f>VLOOKUP(A1183,Jogos!A:BN,65,0)</f>
        <v>44.17</v>
      </c>
      <c r="BH1183" s="9">
        <f>VLOOKUP(A1183,Jogos!A:BN,66,0)</f>
        <v>29.015</v>
      </c>
      <c r="BI1183" s="9"/>
      <c r="BJ1183" s="9"/>
    </row>
    <row r="1184" hidden="1">
      <c r="A1184" s="10">
        <v>40.0</v>
      </c>
      <c r="B1184" s="11" t="s">
        <v>375</v>
      </c>
      <c r="C1184" s="2" t="s">
        <v>61</v>
      </c>
      <c r="D1184" s="12">
        <v>45832.0</v>
      </c>
      <c r="E1184" s="13">
        <v>0.875</v>
      </c>
      <c r="F1184" s="5" t="str">
        <f>VLOOKUP(A1184,Jogos!A:N,10,0)</f>
        <v>Evening</v>
      </c>
      <c r="G1184" s="11" t="s">
        <v>500</v>
      </c>
      <c r="H1184" s="6" t="str">
        <f>VLOOKUP(A1184,Jogos!A:L,12,0)</f>
        <v>Open</v>
      </c>
      <c r="I1184" s="6" t="str">
        <f>VLOOKUP(G1184,'Estádios e Cidades'!A:B,2,0)</f>
        <v>Philadelphia</v>
      </c>
      <c r="J1184" s="11" t="s">
        <v>377</v>
      </c>
      <c r="K1184" s="2" t="str">
        <f>VLOOKUP(J1184,Equipes!A:F,6,0)</f>
        <v>Temperate</v>
      </c>
      <c r="L1184" s="2">
        <f>VLOOKUP(J1184,Equipes!A:C,3,0)</f>
        <v>1</v>
      </c>
      <c r="M1184" s="2" t="str">
        <f t="shared" si="4"/>
        <v>Final</v>
      </c>
      <c r="N1184" s="11" t="s">
        <v>502</v>
      </c>
      <c r="O1184" s="2">
        <f>VLOOKUP(N1184,Equipes!A:C,3,0)</f>
        <v>21</v>
      </c>
      <c r="P1184" s="2" t="str">
        <f t="shared" si="5"/>
        <v>Group</v>
      </c>
      <c r="Q1184" s="2">
        <f t="shared" si="6"/>
        <v>-20</v>
      </c>
      <c r="R1184" s="2" t="str">
        <f>VLOOKUP(J1184,Equipes!A:B,2,0)</f>
        <v>Chelsea</v>
      </c>
      <c r="S1184" s="6" t="s">
        <v>407</v>
      </c>
      <c r="T1184" s="7">
        <v>27.0</v>
      </c>
      <c r="U1184" s="7" t="s">
        <v>408</v>
      </c>
      <c r="V1184" s="7" t="str">
        <f>VLOOKUP(U1184,Jogadores!B:C,2,0)</f>
        <v>DF</v>
      </c>
      <c r="W1184" s="8">
        <f>VLOOKUP(U1184,Jogadores!B:D,3,0)</f>
        <v>22.20821918</v>
      </c>
      <c r="X1184" s="7">
        <v>0.0</v>
      </c>
      <c r="Y1184" s="7">
        <v>82.0</v>
      </c>
      <c r="Z1184" s="7">
        <f>VLOOKUP(A1184,Jogos!A:L,3,0)</f>
        <v>50</v>
      </c>
      <c r="AA1184" s="7">
        <f t="shared" si="2229"/>
        <v>50</v>
      </c>
      <c r="AB1184" s="7">
        <f>VLOOKUP(A1184,Jogos!A:L,4,0)</f>
        <v>52</v>
      </c>
      <c r="AC1184" s="7">
        <f t="shared" si="2230"/>
        <v>37</v>
      </c>
      <c r="AD1184" s="7"/>
      <c r="AE1184" s="7"/>
      <c r="AF1184" s="7">
        <f t="shared" si="2231"/>
        <v>87</v>
      </c>
      <c r="AG1184" s="7">
        <v>8775.0</v>
      </c>
      <c r="AH1184" s="7">
        <v>3439.0</v>
      </c>
      <c r="AI1184" s="7">
        <v>3389.9</v>
      </c>
      <c r="AJ1184" s="7">
        <v>1197.6</v>
      </c>
      <c r="AK1184" s="7">
        <v>490.2</v>
      </c>
      <c r="AL1184" s="7">
        <v>258.2</v>
      </c>
      <c r="AM1184" s="7">
        <v>111.0</v>
      </c>
      <c r="AN1184" s="7">
        <v>45.0</v>
      </c>
      <c r="AO1184" s="7">
        <v>35.6</v>
      </c>
      <c r="AP1184" s="9">
        <f t="shared" ref="AP1184:AR1184" si="3696">AG1184/$AF1184</f>
        <v>100.862069</v>
      </c>
      <c r="AQ1184" s="9">
        <f t="shared" si="3696"/>
        <v>39.52873563</v>
      </c>
      <c r="AR1184" s="9">
        <f t="shared" si="3696"/>
        <v>38.96436782</v>
      </c>
      <c r="AS1184" s="9">
        <f t="shared" si="2233"/>
        <v>78.49310345</v>
      </c>
      <c r="AT1184" s="9">
        <f t="shared" ref="AT1184:AV1184" si="3697">AJ1184/$AF1184</f>
        <v>13.76551724</v>
      </c>
      <c r="AU1184" s="9">
        <f t="shared" si="3697"/>
        <v>5.634482759</v>
      </c>
      <c r="AV1184" s="9">
        <f t="shared" si="3697"/>
        <v>2.967816092</v>
      </c>
      <c r="AW1184" s="9">
        <f t="shared" si="2235"/>
        <v>8.602298851</v>
      </c>
      <c r="AX1184" s="9">
        <f t="shared" ref="AX1184:AY1184" si="3698">AM1184/$AF1184</f>
        <v>1.275862069</v>
      </c>
      <c r="AY1184" s="9">
        <f t="shared" si="3698"/>
        <v>0.5172413793</v>
      </c>
      <c r="AZ1184" s="9">
        <f>VLOOKUP(A1184,Jogos!A:BN,58,0)</f>
        <v>30.175</v>
      </c>
      <c r="BA1184" s="9">
        <f>VLOOKUP(A1184,Jogos!A:BN,59,0)</f>
        <v>20.145</v>
      </c>
      <c r="BB1184" s="9">
        <f>VLOOKUP(A1184,Jogos!A:BN,60,0)</f>
        <v>54.5</v>
      </c>
      <c r="BC1184" s="9">
        <f>VLOOKUP(A1184,Jogos!A:BN,61,0)</f>
        <v>30.65</v>
      </c>
      <c r="BD1184" s="9">
        <f>VLOOKUP(A1184,Jogos!A:BN,62,0)</f>
        <v>0</v>
      </c>
      <c r="BE1184" s="9">
        <f>VLOOKUP(A1184,Jogos!A:BN,63,0)</f>
        <v>1.86</v>
      </c>
      <c r="BF1184" s="9">
        <f>VLOOKUP(A1184,Jogos!A:BN,64,0)</f>
        <v>24.52</v>
      </c>
      <c r="BG1184" s="9">
        <f>VLOOKUP(A1184,Jogos!A:BN,65,0)</f>
        <v>44.17</v>
      </c>
      <c r="BH1184" s="9">
        <f>VLOOKUP(A1184,Jogos!A:BN,66,0)</f>
        <v>29.015</v>
      </c>
      <c r="BI1184" s="9"/>
      <c r="BJ1184" s="9"/>
    </row>
    <row r="1185" hidden="1">
      <c r="A1185" s="10">
        <v>40.0</v>
      </c>
      <c r="B1185" s="11" t="s">
        <v>375</v>
      </c>
      <c r="C1185" s="2" t="s">
        <v>61</v>
      </c>
      <c r="D1185" s="12">
        <v>45832.0</v>
      </c>
      <c r="E1185" s="13">
        <v>0.875</v>
      </c>
      <c r="F1185" s="5" t="str">
        <f>VLOOKUP(A1185,Jogos!A:N,10,0)</f>
        <v>Evening</v>
      </c>
      <c r="G1185" s="11" t="s">
        <v>500</v>
      </c>
      <c r="H1185" s="6" t="str">
        <f>VLOOKUP(A1185,Jogos!A:L,12,0)</f>
        <v>Open</v>
      </c>
      <c r="I1185" s="6" t="str">
        <f>VLOOKUP(G1185,'Estádios e Cidades'!A:B,2,0)</f>
        <v>Philadelphia</v>
      </c>
      <c r="J1185" s="11" t="s">
        <v>377</v>
      </c>
      <c r="K1185" s="2" t="str">
        <f>VLOOKUP(J1185,Equipes!A:F,6,0)</f>
        <v>Temperate</v>
      </c>
      <c r="L1185" s="2">
        <f>VLOOKUP(J1185,Equipes!A:C,3,0)</f>
        <v>1</v>
      </c>
      <c r="M1185" s="2" t="str">
        <f t="shared" si="4"/>
        <v>Final</v>
      </c>
      <c r="N1185" s="11" t="s">
        <v>502</v>
      </c>
      <c r="O1185" s="2">
        <f>VLOOKUP(N1185,Equipes!A:C,3,0)</f>
        <v>21</v>
      </c>
      <c r="P1185" s="2" t="str">
        <f t="shared" si="5"/>
        <v>Group</v>
      </c>
      <c r="Q1185" s="2">
        <f t="shared" si="6"/>
        <v>-20</v>
      </c>
      <c r="R1185" s="2" t="str">
        <f>VLOOKUP(J1185,Equipes!A:B,2,0)</f>
        <v>Chelsea</v>
      </c>
      <c r="S1185" s="6" t="s">
        <v>1287</v>
      </c>
      <c r="T1185" s="7">
        <v>34.0</v>
      </c>
      <c r="U1185" s="7" t="s">
        <v>1288</v>
      </c>
      <c r="V1185" s="7" t="str">
        <f>VLOOKUP(U1185,Jogadores!B:C,2,0)</f>
        <v>DF</v>
      </c>
      <c r="W1185" s="8">
        <f>VLOOKUP(U1185,Jogadores!B:D,3,0)</f>
        <v>19.24383562</v>
      </c>
      <c r="X1185" s="7">
        <v>0.0</v>
      </c>
      <c r="Y1185" s="7">
        <f>45+AB1185</f>
        <v>97</v>
      </c>
      <c r="Z1185" s="7">
        <f>VLOOKUP(A1185,Jogos!A:L,3,0)</f>
        <v>50</v>
      </c>
      <c r="AA1185" s="7">
        <f t="shared" si="2229"/>
        <v>50</v>
      </c>
      <c r="AB1185" s="7">
        <f>VLOOKUP(A1185,Jogos!A:L,4,0)</f>
        <v>52</v>
      </c>
      <c r="AC1185" s="7">
        <f t="shared" si="2230"/>
        <v>52</v>
      </c>
      <c r="AD1185" s="7"/>
      <c r="AE1185" s="7"/>
      <c r="AF1185" s="7">
        <f t="shared" si="2231"/>
        <v>102</v>
      </c>
      <c r="AG1185" s="7">
        <v>9547.7</v>
      </c>
      <c r="AH1185" s="7">
        <v>4521.4</v>
      </c>
      <c r="AI1185" s="7">
        <v>3554.6</v>
      </c>
      <c r="AJ1185" s="7">
        <v>849.5</v>
      </c>
      <c r="AK1185" s="7">
        <v>456.2</v>
      </c>
      <c r="AL1185" s="7">
        <v>166.0</v>
      </c>
      <c r="AM1185" s="7">
        <v>67.0</v>
      </c>
      <c r="AN1185" s="7">
        <v>34.0</v>
      </c>
      <c r="AO1185" s="7">
        <v>32.2</v>
      </c>
      <c r="AP1185" s="9">
        <f t="shared" ref="AP1185:AR1185" si="3699">AG1185/$AF1185</f>
        <v>93.60490196</v>
      </c>
      <c r="AQ1185" s="9">
        <f t="shared" si="3699"/>
        <v>44.32745098</v>
      </c>
      <c r="AR1185" s="9">
        <f t="shared" si="3699"/>
        <v>34.84901961</v>
      </c>
      <c r="AS1185" s="9">
        <f t="shared" si="2233"/>
        <v>79.17647059</v>
      </c>
      <c r="AT1185" s="9">
        <f t="shared" ref="AT1185:AV1185" si="3700">AJ1185/$AF1185</f>
        <v>8.328431373</v>
      </c>
      <c r="AU1185" s="9">
        <f t="shared" si="3700"/>
        <v>4.47254902</v>
      </c>
      <c r="AV1185" s="9">
        <f t="shared" si="3700"/>
        <v>1.62745098</v>
      </c>
      <c r="AW1185" s="9">
        <f t="shared" si="2235"/>
        <v>6.1</v>
      </c>
      <c r="AX1185" s="9">
        <f t="shared" ref="AX1185:AY1185" si="3701">AM1185/$AF1185</f>
        <v>0.6568627451</v>
      </c>
      <c r="AY1185" s="9">
        <f t="shared" si="3701"/>
        <v>0.3333333333</v>
      </c>
      <c r="AZ1185" s="9">
        <f>VLOOKUP(A1185,Jogos!A:BN,58,0)</f>
        <v>30.175</v>
      </c>
      <c r="BA1185" s="9">
        <f>VLOOKUP(A1185,Jogos!A:BN,59,0)</f>
        <v>20.145</v>
      </c>
      <c r="BB1185" s="9">
        <f>VLOOKUP(A1185,Jogos!A:BN,60,0)</f>
        <v>54.5</v>
      </c>
      <c r="BC1185" s="9">
        <f>VLOOKUP(A1185,Jogos!A:BN,61,0)</f>
        <v>30.65</v>
      </c>
      <c r="BD1185" s="9">
        <f>VLOOKUP(A1185,Jogos!A:BN,62,0)</f>
        <v>0</v>
      </c>
      <c r="BE1185" s="9">
        <f>VLOOKUP(A1185,Jogos!A:BN,63,0)</f>
        <v>1.86</v>
      </c>
      <c r="BF1185" s="9">
        <f>VLOOKUP(A1185,Jogos!A:BN,64,0)</f>
        <v>24.52</v>
      </c>
      <c r="BG1185" s="9">
        <f>VLOOKUP(A1185,Jogos!A:BN,65,0)</f>
        <v>44.17</v>
      </c>
      <c r="BH1185" s="9">
        <f>VLOOKUP(A1185,Jogos!A:BN,66,0)</f>
        <v>29.015</v>
      </c>
      <c r="BI1185" s="9"/>
      <c r="BJ1185" s="9"/>
    </row>
    <row r="1186" hidden="1">
      <c r="A1186" s="10">
        <v>40.0</v>
      </c>
      <c r="B1186" s="11" t="s">
        <v>375</v>
      </c>
      <c r="C1186" s="2" t="s">
        <v>61</v>
      </c>
      <c r="D1186" s="12">
        <v>45832.0</v>
      </c>
      <c r="E1186" s="13">
        <v>0.875</v>
      </c>
      <c r="F1186" s="5" t="str">
        <f>VLOOKUP(A1186,Jogos!A:N,10,0)</f>
        <v>Evening</v>
      </c>
      <c r="G1186" s="11" t="s">
        <v>500</v>
      </c>
      <c r="H1186" s="6" t="str">
        <f>VLOOKUP(A1186,Jogos!A:L,12,0)</f>
        <v>Open</v>
      </c>
      <c r="I1186" s="6" t="str">
        <f>VLOOKUP(G1186,'Estádios e Cidades'!A:B,2,0)</f>
        <v>Philadelphia</v>
      </c>
      <c r="J1186" s="11" t="s">
        <v>377</v>
      </c>
      <c r="K1186" s="2" t="str">
        <f>VLOOKUP(J1186,Equipes!A:F,6,0)</f>
        <v>Temperate</v>
      </c>
      <c r="L1186" s="2">
        <f>VLOOKUP(J1186,Equipes!A:C,3,0)</f>
        <v>1</v>
      </c>
      <c r="M1186" s="2" t="str">
        <f t="shared" si="4"/>
        <v>Final</v>
      </c>
      <c r="N1186" s="11" t="s">
        <v>502</v>
      </c>
      <c r="O1186" s="2">
        <f>VLOOKUP(N1186,Equipes!A:C,3,0)</f>
        <v>21</v>
      </c>
      <c r="P1186" s="2" t="str">
        <f t="shared" si="5"/>
        <v>Group</v>
      </c>
      <c r="Q1186" s="2">
        <f t="shared" si="6"/>
        <v>-20</v>
      </c>
      <c r="R1186" s="2" t="str">
        <f>VLOOKUP(J1186,Equipes!A:B,2,0)</f>
        <v>Chelsea</v>
      </c>
      <c r="S1186" s="6" t="s">
        <v>397</v>
      </c>
      <c r="T1186" s="7">
        <v>45.0</v>
      </c>
      <c r="U1186" s="7" t="s">
        <v>398</v>
      </c>
      <c r="V1186" s="7" t="str">
        <f>VLOOKUP(U1186,Jogadores!B:C,2,0)</f>
        <v>MF</v>
      </c>
      <c r="W1186" s="8">
        <f>VLOOKUP(U1186,Jogadores!B:D,3,0)</f>
        <v>21.57260274</v>
      </c>
      <c r="X1186" s="7">
        <v>0.0</v>
      </c>
      <c r="Y1186" s="7">
        <v>59.0</v>
      </c>
      <c r="Z1186" s="7">
        <f>VLOOKUP(A1186,Jogos!A:L,3,0)</f>
        <v>50</v>
      </c>
      <c r="AA1186" s="7">
        <f t="shared" si="2229"/>
        <v>50</v>
      </c>
      <c r="AB1186" s="7">
        <f>VLOOKUP(A1186,Jogos!A:L,4,0)</f>
        <v>52</v>
      </c>
      <c r="AC1186" s="7">
        <f t="shared" si="2230"/>
        <v>14</v>
      </c>
      <c r="AD1186" s="7"/>
      <c r="AE1186" s="7"/>
      <c r="AF1186" s="7">
        <f t="shared" si="2231"/>
        <v>64</v>
      </c>
      <c r="AG1186" s="7">
        <v>5765.2</v>
      </c>
      <c r="AH1186" s="7">
        <v>2499.0</v>
      </c>
      <c r="AI1186" s="7">
        <v>2232.3</v>
      </c>
      <c r="AJ1186" s="7">
        <v>655.2</v>
      </c>
      <c r="AK1186" s="7">
        <v>308.2</v>
      </c>
      <c r="AL1186" s="7">
        <v>70.5</v>
      </c>
      <c r="AM1186" s="7">
        <v>57.0</v>
      </c>
      <c r="AN1186" s="7">
        <v>25.0</v>
      </c>
      <c r="AO1186" s="7">
        <v>28.2</v>
      </c>
      <c r="AP1186" s="9">
        <f t="shared" ref="AP1186:AR1186" si="3702">AG1186/$AF1186</f>
        <v>90.08125</v>
      </c>
      <c r="AQ1186" s="9">
        <f t="shared" si="3702"/>
        <v>39.046875</v>
      </c>
      <c r="AR1186" s="9">
        <f t="shared" si="3702"/>
        <v>34.8796875</v>
      </c>
      <c r="AS1186" s="9">
        <f t="shared" si="2233"/>
        <v>73.9265625</v>
      </c>
      <c r="AT1186" s="9">
        <f t="shared" ref="AT1186:AV1186" si="3703">AJ1186/$AF1186</f>
        <v>10.2375</v>
      </c>
      <c r="AU1186" s="9">
        <f t="shared" si="3703"/>
        <v>4.815625</v>
      </c>
      <c r="AV1186" s="9">
        <f t="shared" si="3703"/>
        <v>1.1015625</v>
      </c>
      <c r="AW1186" s="9">
        <f t="shared" si="2235"/>
        <v>5.9171875</v>
      </c>
      <c r="AX1186" s="9">
        <f t="shared" ref="AX1186:AY1186" si="3704">AM1186/$AF1186</f>
        <v>0.890625</v>
      </c>
      <c r="AY1186" s="9">
        <f t="shared" si="3704"/>
        <v>0.390625</v>
      </c>
      <c r="AZ1186" s="9">
        <f>VLOOKUP(A1186,Jogos!A:BN,58,0)</f>
        <v>30.175</v>
      </c>
      <c r="BA1186" s="9">
        <f>VLOOKUP(A1186,Jogos!A:BN,59,0)</f>
        <v>20.145</v>
      </c>
      <c r="BB1186" s="9">
        <f>VLOOKUP(A1186,Jogos!A:BN,60,0)</f>
        <v>54.5</v>
      </c>
      <c r="BC1186" s="9">
        <f>VLOOKUP(A1186,Jogos!A:BN,61,0)</f>
        <v>30.65</v>
      </c>
      <c r="BD1186" s="9">
        <f>VLOOKUP(A1186,Jogos!A:BN,62,0)</f>
        <v>0</v>
      </c>
      <c r="BE1186" s="9">
        <f>VLOOKUP(A1186,Jogos!A:BN,63,0)</f>
        <v>1.86</v>
      </c>
      <c r="BF1186" s="9">
        <f>VLOOKUP(A1186,Jogos!A:BN,64,0)</f>
        <v>24.52</v>
      </c>
      <c r="BG1186" s="9">
        <f>VLOOKUP(A1186,Jogos!A:BN,65,0)</f>
        <v>44.17</v>
      </c>
      <c r="BH1186" s="9">
        <f>VLOOKUP(A1186,Jogos!A:BN,66,0)</f>
        <v>29.015</v>
      </c>
      <c r="BI1186" s="9"/>
      <c r="BJ1186" s="9"/>
    </row>
    <row r="1187" hidden="1">
      <c r="A1187" s="10">
        <v>40.0</v>
      </c>
      <c r="B1187" s="11" t="s">
        <v>375</v>
      </c>
      <c r="C1187" s="2" t="s">
        <v>61</v>
      </c>
      <c r="D1187" s="12">
        <v>45832.0</v>
      </c>
      <c r="E1187" s="13">
        <v>0.875</v>
      </c>
      <c r="F1187" s="5" t="str">
        <f>VLOOKUP(A1187,Jogos!A:N,10,0)</f>
        <v>Evening</v>
      </c>
      <c r="G1187" s="11" t="s">
        <v>500</v>
      </c>
      <c r="H1187" s="6" t="str">
        <f>VLOOKUP(A1187,Jogos!A:L,12,0)</f>
        <v>Open</v>
      </c>
      <c r="I1187" s="6" t="str">
        <f>VLOOKUP(G1187,'Estádios e Cidades'!A:B,2,0)</f>
        <v>Philadelphia</v>
      </c>
      <c r="J1187" s="11" t="s">
        <v>377</v>
      </c>
      <c r="K1187" s="2" t="str">
        <f>VLOOKUP(J1187,Equipes!A:F,6,0)</f>
        <v>Temperate</v>
      </c>
      <c r="L1187" s="2">
        <f>VLOOKUP(J1187,Equipes!A:C,3,0)</f>
        <v>1</v>
      </c>
      <c r="M1187" s="2" t="str">
        <f t="shared" si="4"/>
        <v>Final</v>
      </c>
      <c r="N1187" s="11" t="s">
        <v>502</v>
      </c>
      <c r="O1187" s="2">
        <f>VLOOKUP(N1187,Equipes!A:C,3,0)</f>
        <v>21</v>
      </c>
      <c r="P1187" s="2" t="str">
        <f t="shared" si="5"/>
        <v>Group</v>
      </c>
      <c r="Q1187" s="2">
        <f t="shared" si="6"/>
        <v>-20</v>
      </c>
      <c r="R1187" s="2" t="str">
        <f>VLOOKUP(J1187,Equipes!A:B,2,0)</f>
        <v>Chelsea</v>
      </c>
      <c r="S1187" s="6" t="s">
        <v>403</v>
      </c>
      <c r="T1187" s="7">
        <v>14.0</v>
      </c>
      <c r="U1187" s="7" t="s">
        <v>404</v>
      </c>
      <c r="V1187" s="7" t="str">
        <f>VLOOKUP(U1187,Jogadores!B:C,2,0)</f>
        <v>MF</v>
      </c>
      <c r="W1187" s="8">
        <f>VLOOKUP(U1187,Jogadores!B:D,3,0)</f>
        <v>20.38630137</v>
      </c>
      <c r="X1187" s="7">
        <v>59.0</v>
      </c>
      <c r="Y1187" s="7">
        <f t="shared" ref="Y1187:Y1194" si="3708">45+AB1187</f>
        <v>97</v>
      </c>
      <c r="Z1187" s="7">
        <f>VLOOKUP(A1187,Jogos!A:L,3,0)</f>
        <v>50</v>
      </c>
      <c r="AA1187" s="7">
        <f t="shared" si="2229"/>
        <v>0</v>
      </c>
      <c r="AB1187" s="7">
        <f>VLOOKUP(A1187,Jogos!A:L,4,0)</f>
        <v>52</v>
      </c>
      <c r="AC1187" s="7">
        <f t="shared" si="2230"/>
        <v>38</v>
      </c>
      <c r="AD1187" s="7"/>
      <c r="AE1187" s="7"/>
      <c r="AF1187" s="7">
        <f t="shared" si="2231"/>
        <v>38</v>
      </c>
      <c r="AG1187" s="7">
        <v>4126.0</v>
      </c>
      <c r="AH1187" s="7">
        <v>1432.7</v>
      </c>
      <c r="AI1187" s="7">
        <v>1937.5</v>
      </c>
      <c r="AJ1187" s="7">
        <v>550.1</v>
      </c>
      <c r="AK1187" s="7">
        <v>149.0</v>
      </c>
      <c r="AL1187" s="7">
        <v>56.8</v>
      </c>
      <c r="AM1187" s="7">
        <v>52.0</v>
      </c>
      <c r="AN1187" s="7">
        <v>12.0</v>
      </c>
      <c r="AO1187" s="7">
        <v>27.1</v>
      </c>
      <c r="AP1187" s="9">
        <f t="shared" ref="AP1187:AR1187" si="3705">AG1187/$AF1187</f>
        <v>108.5789474</v>
      </c>
      <c r="AQ1187" s="9">
        <f t="shared" si="3705"/>
        <v>37.70263158</v>
      </c>
      <c r="AR1187" s="9">
        <f t="shared" si="3705"/>
        <v>50.98684211</v>
      </c>
      <c r="AS1187" s="9">
        <f t="shared" si="2233"/>
        <v>88.68947368</v>
      </c>
      <c r="AT1187" s="9">
        <f t="shared" ref="AT1187:AV1187" si="3706">AJ1187/$AF1187</f>
        <v>14.47631579</v>
      </c>
      <c r="AU1187" s="9">
        <f t="shared" si="3706"/>
        <v>3.921052632</v>
      </c>
      <c r="AV1187" s="9">
        <f t="shared" si="3706"/>
        <v>1.494736842</v>
      </c>
      <c r="AW1187" s="9">
        <f t="shared" si="2235"/>
        <v>5.415789474</v>
      </c>
      <c r="AX1187" s="9">
        <f t="shared" ref="AX1187:AY1187" si="3707">AM1187/$AF1187</f>
        <v>1.368421053</v>
      </c>
      <c r="AY1187" s="9">
        <f t="shared" si="3707"/>
        <v>0.3157894737</v>
      </c>
      <c r="AZ1187" s="9">
        <f>VLOOKUP(A1187,Jogos!A:BN,58,0)</f>
        <v>30.175</v>
      </c>
      <c r="BA1187" s="9">
        <f>VLOOKUP(A1187,Jogos!A:BN,59,0)</f>
        <v>20.145</v>
      </c>
      <c r="BB1187" s="9">
        <f>VLOOKUP(A1187,Jogos!A:BN,60,0)</f>
        <v>54.5</v>
      </c>
      <c r="BC1187" s="9">
        <f>VLOOKUP(A1187,Jogos!A:BN,61,0)</f>
        <v>30.65</v>
      </c>
      <c r="BD1187" s="9">
        <f>VLOOKUP(A1187,Jogos!A:BN,62,0)</f>
        <v>0</v>
      </c>
      <c r="BE1187" s="9">
        <f>VLOOKUP(A1187,Jogos!A:BN,63,0)</f>
        <v>1.86</v>
      </c>
      <c r="BF1187" s="9">
        <f>VLOOKUP(A1187,Jogos!A:BN,64,0)</f>
        <v>24.52</v>
      </c>
      <c r="BG1187" s="9">
        <f>VLOOKUP(A1187,Jogos!A:BN,65,0)</f>
        <v>44.17</v>
      </c>
      <c r="BH1187" s="9">
        <f>VLOOKUP(A1187,Jogos!A:BN,66,0)</f>
        <v>29.015</v>
      </c>
      <c r="BI1187" s="9"/>
      <c r="BJ1187" s="9"/>
    </row>
    <row r="1188" hidden="1">
      <c r="A1188" s="10">
        <v>40.0</v>
      </c>
      <c r="B1188" s="11" t="s">
        <v>375</v>
      </c>
      <c r="C1188" s="2" t="s">
        <v>61</v>
      </c>
      <c r="D1188" s="12">
        <v>45832.0</v>
      </c>
      <c r="E1188" s="13">
        <v>0.875</v>
      </c>
      <c r="F1188" s="5" t="str">
        <f>VLOOKUP(A1188,Jogos!A:N,10,0)</f>
        <v>Evening</v>
      </c>
      <c r="G1188" s="11" t="s">
        <v>500</v>
      </c>
      <c r="H1188" s="6" t="str">
        <f>VLOOKUP(A1188,Jogos!A:L,12,0)</f>
        <v>Open</v>
      </c>
      <c r="I1188" s="6" t="str">
        <f>VLOOKUP(G1188,'Estádios e Cidades'!A:B,2,0)</f>
        <v>Philadelphia</v>
      </c>
      <c r="J1188" s="11" t="s">
        <v>377</v>
      </c>
      <c r="K1188" s="2" t="str">
        <f>VLOOKUP(J1188,Equipes!A:F,6,0)</f>
        <v>Temperate</v>
      </c>
      <c r="L1188" s="2">
        <f>VLOOKUP(J1188,Equipes!A:C,3,0)</f>
        <v>1</v>
      </c>
      <c r="M1188" s="2" t="str">
        <f t="shared" si="4"/>
        <v>Final</v>
      </c>
      <c r="N1188" s="11" t="s">
        <v>502</v>
      </c>
      <c r="O1188" s="2">
        <f>VLOOKUP(N1188,Equipes!A:C,3,0)</f>
        <v>21</v>
      </c>
      <c r="P1188" s="2" t="str">
        <f t="shared" si="5"/>
        <v>Group</v>
      </c>
      <c r="Q1188" s="2">
        <f t="shared" si="6"/>
        <v>-20</v>
      </c>
      <c r="R1188" s="2" t="str">
        <f>VLOOKUP(J1188,Equipes!A:B,2,0)</f>
        <v>Chelsea</v>
      </c>
      <c r="S1188" s="6" t="s">
        <v>1289</v>
      </c>
      <c r="T1188" s="7">
        <v>17.0</v>
      </c>
      <c r="U1188" s="7" t="s">
        <v>1290</v>
      </c>
      <c r="V1188" s="7" t="str">
        <f>VLOOKUP(U1188,Jogadores!B:C,2,0)</f>
        <v>MF</v>
      </c>
      <c r="W1188" s="8">
        <f>VLOOKUP(U1188,Jogadores!B:D,3,0)</f>
        <v>21.24931507</v>
      </c>
      <c r="X1188" s="7">
        <v>68.0</v>
      </c>
      <c r="Y1188" s="7">
        <f t="shared" si="3708"/>
        <v>97</v>
      </c>
      <c r="Z1188" s="7">
        <f>VLOOKUP(A1188,Jogos!A:L,3,0)</f>
        <v>50</v>
      </c>
      <c r="AA1188" s="7">
        <f t="shared" si="2229"/>
        <v>0</v>
      </c>
      <c r="AB1188" s="7">
        <f>VLOOKUP(A1188,Jogos!A:L,4,0)</f>
        <v>52</v>
      </c>
      <c r="AC1188" s="7">
        <f t="shared" si="2230"/>
        <v>29</v>
      </c>
      <c r="AD1188" s="7"/>
      <c r="AE1188" s="7"/>
      <c r="AF1188" s="7">
        <f t="shared" si="2231"/>
        <v>29</v>
      </c>
      <c r="AG1188" s="7">
        <v>3243.7</v>
      </c>
      <c r="AH1188" s="7">
        <v>1103.1</v>
      </c>
      <c r="AI1188" s="7">
        <v>1274.3</v>
      </c>
      <c r="AJ1188" s="7">
        <v>571.8</v>
      </c>
      <c r="AK1188" s="7">
        <v>254.6</v>
      </c>
      <c r="AL1188" s="7">
        <v>40.0</v>
      </c>
      <c r="AM1188" s="7">
        <v>50.0</v>
      </c>
      <c r="AN1188" s="7">
        <v>18.0</v>
      </c>
      <c r="AO1188" s="7">
        <v>27.5</v>
      </c>
      <c r="AP1188" s="9">
        <f t="shared" ref="AP1188:AR1188" si="3709">AG1188/$AF1188</f>
        <v>111.8517241</v>
      </c>
      <c r="AQ1188" s="9">
        <f t="shared" si="3709"/>
        <v>38.03793103</v>
      </c>
      <c r="AR1188" s="9">
        <f t="shared" si="3709"/>
        <v>43.94137931</v>
      </c>
      <c r="AS1188" s="9">
        <f t="shared" si="2233"/>
        <v>81.97931034</v>
      </c>
      <c r="AT1188" s="9">
        <f t="shared" ref="AT1188:AV1188" si="3710">AJ1188/$AF1188</f>
        <v>19.71724138</v>
      </c>
      <c r="AU1188" s="9">
        <f t="shared" si="3710"/>
        <v>8.779310345</v>
      </c>
      <c r="AV1188" s="9">
        <f t="shared" si="3710"/>
        <v>1.379310345</v>
      </c>
      <c r="AW1188" s="9">
        <f t="shared" si="2235"/>
        <v>10.15862069</v>
      </c>
      <c r="AX1188" s="9">
        <f t="shared" ref="AX1188:AY1188" si="3711">AM1188/$AF1188</f>
        <v>1.724137931</v>
      </c>
      <c r="AY1188" s="9">
        <f t="shared" si="3711"/>
        <v>0.6206896552</v>
      </c>
      <c r="AZ1188" s="9">
        <f>VLOOKUP(A1188,Jogos!A:BN,58,0)</f>
        <v>30.175</v>
      </c>
      <c r="BA1188" s="9">
        <f>VLOOKUP(A1188,Jogos!A:BN,59,0)</f>
        <v>20.145</v>
      </c>
      <c r="BB1188" s="9">
        <f>VLOOKUP(A1188,Jogos!A:BN,60,0)</f>
        <v>54.5</v>
      </c>
      <c r="BC1188" s="9">
        <f>VLOOKUP(A1188,Jogos!A:BN,61,0)</f>
        <v>30.65</v>
      </c>
      <c r="BD1188" s="9">
        <f>VLOOKUP(A1188,Jogos!A:BN,62,0)</f>
        <v>0</v>
      </c>
      <c r="BE1188" s="9">
        <f>VLOOKUP(A1188,Jogos!A:BN,63,0)</f>
        <v>1.86</v>
      </c>
      <c r="BF1188" s="9">
        <f>VLOOKUP(A1188,Jogos!A:BN,64,0)</f>
        <v>24.52</v>
      </c>
      <c r="BG1188" s="9">
        <f>VLOOKUP(A1188,Jogos!A:BN,65,0)</f>
        <v>44.17</v>
      </c>
      <c r="BH1188" s="9">
        <f>VLOOKUP(A1188,Jogos!A:BN,66,0)</f>
        <v>29.015</v>
      </c>
      <c r="BI1188" s="9"/>
      <c r="BJ1188" s="9"/>
    </row>
    <row r="1189" hidden="1">
      <c r="A1189" s="10">
        <v>40.0</v>
      </c>
      <c r="B1189" s="11" t="s">
        <v>375</v>
      </c>
      <c r="C1189" s="2" t="s">
        <v>61</v>
      </c>
      <c r="D1189" s="12">
        <v>45832.0</v>
      </c>
      <c r="E1189" s="13">
        <v>0.875</v>
      </c>
      <c r="F1189" s="5" t="str">
        <f>VLOOKUP(A1189,Jogos!A:N,10,0)</f>
        <v>Evening</v>
      </c>
      <c r="G1189" s="11" t="s">
        <v>500</v>
      </c>
      <c r="H1189" s="6" t="str">
        <f>VLOOKUP(A1189,Jogos!A:L,12,0)</f>
        <v>Open</v>
      </c>
      <c r="I1189" s="6" t="str">
        <f>VLOOKUP(G1189,'Estádios e Cidades'!A:B,2,0)</f>
        <v>Philadelphia</v>
      </c>
      <c r="J1189" s="11" t="s">
        <v>377</v>
      </c>
      <c r="K1189" s="2" t="str">
        <f>VLOOKUP(J1189,Equipes!A:F,6,0)</f>
        <v>Temperate</v>
      </c>
      <c r="L1189" s="2">
        <f>VLOOKUP(J1189,Equipes!A:C,3,0)</f>
        <v>1</v>
      </c>
      <c r="M1189" s="2" t="str">
        <f t="shared" si="4"/>
        <v>Final</v>
      </c>
      <c r="N1189" s="11" t="s">
        <v>502</v>
      </c>
      <c r="O1189" s="2">
        <f>VLOOKUP(N1189,Equipes!A:C,3,0)</f>
        <v>21</v>
      </c>
      <c r="P1189" s="2" t="str">
        <f t="shared" si="5"/>
        <v>Group</v>
      </c>
      <c r="Q1189" s="2">
        <f t="shared" si="6"/>
        <v>-20</v>
      </c>
      <c r="R1189" s="2" t="str">
        <f>VLOOKUP(J1189,Equipes!A:B,2,0)</f>
        <v>Chelsea</v>
      </c>
      <c r="S1189" s="6" t="s">
        <v>1291</v>
      </c>
      <c r="T1189" s="7">
        <v>19.0</v>
      </c>
      <c r="U1189" s="7" t="s">
        <v>1292</v>
      </c>
      <c r="V1189" s="7" t="str">
        <f>VLOOKUP(U1189,Jogadores!B:C,2,0)</f>
        <v>DF</v>
      </c>
      <c r="W1189" s="8">
        <f>VLOOKUP(U1189,Jogadores!B:D,3,0)</f>
        <v>19.9260274</v>
      </c>
      <c r="X1189" s="7">
        <v>82.0</v>
      </c>
      <c r="Y1189" s="7">
        <f t="shared" si="3708"/>
        <v>97</v>
      </c>
      <c r="Z1189" s="7">
        <f>VLOOKUP(A1189,Jogos!A:L,3,0)</f>
        <v>50</v>
      </c>
      <c r="AA1189" s="7">
        <f t="shared" si="2229"/>
        <v>0</v>
      </c>
      <c r="AB1189" s="7">
        <f>VLOOKUP(A1189,Jogos!A:L,4,0)</f>
        <v>52</v>
      </c>
      <c r="AC1189" s="7">
        <f t="shared" si="2230"/>
        <v>15</v>
      </c>
      <c r="AD1189" s="7"/>
      <c r="AE1189" s="7"/>
      <c r="AF1189" s="7">
        <f t="shared" si="2231"/>
        <v>15</v>
      </c>
      <c r="AG1189" s="7">
        <v>1664.9</v>
      </c>
      <c r="AH1189" s="7">
        <v>590.7</v>
      </c>
      <c r="AI1189" s="7">
        <v>813.6</v>
      </c>
      <c r="AJ1189" s="7">
        <v>191.5</v>
      </c>
      <c r="AK1189" s="7">
        <v>58.5</v>
      </c>
      <c r="AL1189" s="7">
        <v>10.7</v>
      </c>
      <c r="AM1189" s="7">
        <v>19.0</v>
      </c>
      <c r="AN1189" s="7">
        <v>4.0</v>
      </c>
      <c r="AO1189" s="7">
        <v>27.4</v>
      </c>
      <c r="AP1189" s="9">
        <f t="shared" ref="AP1189:AR1189" si="3712">AG1189/$AF1189</f>
        <v>110.9933333</v>
      </c>
      <c r="AQ1189" s="9">
        <f t="shared" si="3712"/>
        <v>39.38</v>
      </c>
      <c r="AR1189" s="9">
        <f t="shared" si="3712"/>
        <v>54.24</v>
      </c>
      <c r="AS1189" s="9">
        <f t="shared" si="2233"/>
        <v>93.62</v>
      </c>
      <c r="AT1189" s="9">
        <f t="shared" ref="AT1189:AV1189" si="3713">AJ1189/$AF1189</f>
        <v>12.76666667</v>
      </c>
      <c r="AU1189" s="9">
        <f t="shared" si="3713"/>
        <v>3.9</v>
      </c>
      <c r="AV1189" s="9">
        <f t="shared" si="3713"/>
        <v>0.7133333333</v>
      </c>
      <c r="AW1189" s="9">
        <f t="shared" si="2235"/>
        <v>4.613333333</v>
      </c>
      <c r="AX1189" s="9">
        <f t="shared" ref="AX1189:AY1189" si="3714">AM1189/$AF1189</f>
        <v>1.266666667</v>
      </c>
      <c r="AY1189" s="9">
        <f t="shared" si="3714"/>
        <v>0.2666666667</v>
      </c>
      <c r="AZ1189" s="9">
        <f>VLOOKUP(A1189,Jogos!A:BN,58,0)</f>
        <v>30.175</v>
      </c>
      <c r="BA1189" s="9">
        <f>VLOOKUP(A1189,Jogos!A:BN,59,0)</f>
        <v>20.145</v>
      </c>
      <c r="BB1189" s="9">
        <f>VLOOKUP(A1189,Jogos!A:BN,60,0)</f>
        <v>54.5</v>
      </c>
      <c r="BC1189" s="9">
        <f>VLOOKUP(A1189,Jogos!A:BN,61,0)</f>
        <v>30.65</v>
      </c>
      <c r="BD1189" s="9">
        <f>VLOOKUP(A1189,Jogos!A:BN,62,0)</f>
        <v>0</v>
      </c>
      <c r="BE1189" s="9">
        <f>VLOOKUP(A1189,Jogos!A:BN,63,0)</f>
        <v>1.86</v>
      </c>
      <c r="BF1189" s="9">
        <f>VLOOKUP(A1189,Jogos!A:BN,64,0)</f>
        <v>24.52</v>
      </c>
      <c r="BG1189" s="9">
        <f>VLOOKUP(A1189,Jogos!A:BN,65,0)</f>
        <v>44.17</v>
      </c>
      <c r="BH1189" s="9">
        <f>VLOOKUP(A1189,Jogos!A:BN,66,0)</f>
        <v>29.015</v>
      </c>
      <c r="BI1189" s="9"/>
      <c r="BJ1189" s="9"/>
    </row>
    <row r="1190" hidden="1">
      <c r="A1190" s="10">
        <v>40.0</v>
      </c>
      <c r="B1190" s="11" t="s">
        <v>375</v>
      </c>
      <c r="C1190" s="2" t="s">
        <v>61</v>
      </c>
      <c r="D1190" s="12">
        <v>45832.0</v>
      </c>
      <c r="E1190" s="13">
        <v>0.875</v>
      </c>
      <c r="F1190" s="5" t="str">
        <f>VLOOKUP(A1190,Jogos!A:N,10,0)</f>
        <v>Evening</v>
      </c>
      <c r="G1190" s="11" t="s">
        <v>500</v>
      </c>
      <c r="H1190" s="6" t="str">
        <f>VLOOKUP(A1190,Jogos!A:L,12,0)</f>
        <v>Open</v>
      </c>
      <c r="I1190" s="6" t="str">
        <f>VLOOKUP(G1190,'Estádios e Cidades'!A:B,2,0)</f>
        <v>Philadelphia</v>
      </c>
      <c r="J1190" s="11" t="s">
        <v>377</v>
      </c>
      <c r="K1190" s="2" t="str">
        <f>VLOOKUP(J1190,Equipes!A:F,6,0)</f>
        <v>Temperate</v>
      </c>
      <c r="L1190" s="2">
        <f>VLOOKUP(J1190,Equipes!A:C,3,0)</f>
        <v>1</v>
      </c>
      <c r="M1190" s="2" t="str">
        <f t="shared" si="4"/>
        <v>Final</v>
      </c>
      <c r="N1190" s="11" t="s">
        <v>502</v>
      </c>
      <c r="O1190" s="2">
        <f>VLOOKUP(N1190,Equipes!A:C,3,0)</f>
        <v>21</v>
      </c>
      <c r="P1190" s="2" t="str">
        <f t="shared" si="5"/>
        <v>Group</v>
      </c>
      <c r="Q1190" s="2">
        <f t="shared" si="6"/>
        <v>-20</v>
      </c>
      <c r="R1190" s="2" t="str">
        <f>VLOOKUP(J1190,Equipes!A:B,2,0)</f>
        <v>Chelsea</v>
      </c>
      <c r="S1190" s="6" t="s">
        <v>409</v>
      </c>
      <c r="T1190" s="7">
        <v>32.0</v>
      </c>
      <c r="U1190" s="7" t="s">
        <v>410</v>
      </c>
      <c r="V1190" s="7" t="str">
        <f>VLOOKUP(U1190,Jogadores!B:C,2,0)</f>
        <v>FW</v>
      </c>
      <c r="W1190" s="8">
        <f>VLOOKUP(U1190,Jogadores!B:D,3,0)</f>
        <v>19.49041096</v>
      </c>
      <c r="X1190" s="7">
        <v>68.0</v>
      </c>
      <c r="Y1190" s="7">
        <f t="shared" si="3708"/>
        <v>97</v>
      </c>
      <c r="Z1190" s="7">
        <f>VLOOKUP(A1190,Jogos!A:L,3,0)</f>
        <v>50</v>
      </c>
      <c r="AA1190" s="7">
        <f t="shared" si="2229"/>
        <v>0</v>
      </c>
      <c r="AB1190" s="7">
        <f>VLOOKUP(A1190,Jogos!A:L,4,0)</f>
        <v>52</v>
      </c>
      <c r="AC1190" s="7">
        <f t="shared" si="2230"/>
        <v>29</v>
      </c>
      <c r="AD1190" s="7"/>
      <c r="AE1190" s="7"/>
      <c r="AF1190" s="7">
        <f t="shared" si="2231"/>
        <v>29</v>
      </c>
      <c r="AG1190" s="7">
        <v>2727.1</v>
      </c>
      <c r="AH1190" s="7">
        <v>1102.2</v>
      </c>
      <c r="AI1190" s="7">
        <v>1042.9</v>
      </c>
      <c r="AJ1190" s="7">
        <v>294.3</v>
      </c>
      <c r="AK1190" s="7">
        <v>190.7</v>
      </c>
      <c r="AL1190" s="7">
        <v>97.0</v>
      </c>
      <c r="AM1190" s="7">
        <v>22.0</v>
      </c>
      <c r="AN1190" s="7">
        <v>17.0</v>
      </c>
      <c r="AO1190" s="7">
        <v>32.1</v>
      </c>
      <c r="AP1190" s="9">
        <f t="shared" ref="AP1190:AR1190" si="3715">AG1190/$AF1190</f>
        <v>94.03793103</v>
      </c>
      <c r="AQ1190" s="9">
        <f t="shared" si="3715"/>
        <v>38.00689655</v>
      </c>
      <c r="AR1190" s="9">
        <f t="shared" si="3715"/>
        <v>35.96206897</v>
      </c>
      <c r="AS1190" s="9">
        <f t="shared" si="2233"/>
        <v>73.96896552</v>
      </c>
      <c r="AT1190" s="9">
        <f t="shared" ref="AT1190:AV1190" si="3716">AJ1190/$AF1190</f>
        <v>10.14827586</v>
      </c>
      <c r="AU1190" s="9">
        <f t="shared" si="3716"/>
        <v>6.575862069</v>
      </c>
      <c r="AV1190" s="9">
        <f t="shared" si="3716"/>
        <v>3.344827586</v>
      </c>
      <c r="AW1190" s="9">
        <f t="shared" si="2235"/>
        <v>9.920689655</v>
      </c>
      <c r="AX1190" s="9">
        <f t="shared" ref="AX1190:AY1190" si="3717">AM1190/$AF1190</f>
        <v>0.7586206897</v>
      </c>
      <c r="AY1190" s="9">
        <f t="shared" si="3717"/>
        <v>0.5862068966</v>
      </c>
      <c r="AZ1190" s="9">
        <f>VLOOKUP(A1190,Jogos!A:BN,58,0)</f>
        <v>30.175</v>
      </c>
      <c r="BA1190" s="9">
        <f>VLOOKUP(A1190,Jogos!A:BN,59,0)</f>
        <v>20.145</v>
      </c>
      <c r="BB1190" s="9">
        <f>VLOOKUP(A1190,Jogos!A:BN,60,0)</f>
        <v>54.5</v>
      </c>
      <c r="BC1190" s="9">
        <f>VLOOKUP(A1190,Jogos!A:BN,61,0)</f>
        <v>30.65</v>
      </c>
      <c r="BD1190" s="9">
        <f>VLOOKUP(A1190,Jogos!A:BN,62,0)</f>
        <v>0</v>
      </c>
      <c r="BE1190" s="9">
        <f>VLOOKUP(A1190,Jogos!A:BN,63,0)</f>
        <v>1.86</v>
      </c>
      <c r="BF1190" s="9">
        <f>VLOOKUP(A1190,Jogos!A:BN,64,0)</f>
        <v>24.52</v>
      </c>
      <c r="BG1190" s="9">
        <f>VLOOKUP(A1190,Jogos!A:BN,65,0)</f>
        <v>44.17</v>
      </c>
      <c r="BH1190" s="9">
        <f>VLOOKUP(A1190,Jogos!A:BN,66,0)</f>
        <v>29.015</v>
      </c>
      <c r="BI1190" s="9"/>
      <c r="BJ1190" s="9"/>
    </row>
    <row r="1191" hidden="1">
      <c r="A1191" s="10">
        <v>40.0</v>
      </c>
      <c r="B1191" s="11" t="s">
        <v>375</v>
      </c>
      <c r="C1191" s="2" t="s">
        <v>61</v>
      </c>
      <c r="D1191" s="12">
        <v>45832.0</v>
      </c>
      <c r="E1191" s="13">
        <v>0.875</v>
      </c>
      <c r="F1191" s="5" t="str">
        <f>VLOOKUP(A1191,Jogos!A:N,10,0)</f>
        <v>Evening</v>
      </c>
      <c r="G1191" s="11" t="s">
        <v>500</v>
      </c>
      <c r="H1191" s="6" t="str">
        <f>VLOOKUP(A1191,Jogos!A:L,12,0)</f>
        <v>Open</v>
      </c>
      <c r="I1191" s="6" t="str">
        <f>VLOOKUP(G1191,'Estádios e Cidades'!A:B,2,0)</f>
        <v>Philadelphia</v>
      </c>
      <c r="J1191" s="11" t="s">
        <v>377</v>
      </c>
      <c r="K1191" s="2" t="str">
        <f>VLOOKUP(J1191,Equipes!A:F,6,0)</f>
        <v>Temperate</v>
      </c>
      <c r="L1191" s="2">
        <f>VLOOKUP(J1191,Equipes!A:C,3,0)</f>
        <v>1</v>
      </c>
      <c r="M1191" s="2" t="str">
        <f t="shared" si="4"/>
        <v>Final</v>
      </c>
      <c r="N1191" s="11" t="s">
        <v>502</v>
      </c>
      <c r="O1191" s="2">
        <f>VLOOKUP(N1191,Equipes!A:C,3,0)</f>
        <v>21</v>
      </c>
      <c r="P1191" s="2" t="str">
        <f t="shared" si="5"/>
        <v>Group</v>
      </c>
      <c r="Q1191" s="2">
        <f t="shared" si="6"/>
        <v>-20</v>
      </c>
      <c r="R1191" s="2" t="str">
        <f>VLOOKUP(J1191,Equipes!A:B,2,0)</f>
        <v>Chelsea</v>
      </c>
      <c r="S1191" s="6" t="s">
        <v>1128</v>
      </c>
      <c r="T1191" s="7">
        <v>38.0</v>
      </c>
      <c r="U1191" s="7" t="s">
        <v>1129</v>
      </c>
      <c r="V1191" s="7" t="str">
        <f>VLOOKUP(U1191,Jogadores!B:C,2,0)</f>
        <v>FW</v>
      </c>
      <c r="W1191" s="8">
        <f>VLOOKUP(U1191,Jogadores!B:D,3,0)</f>
        <v>19.57534247</v>
      </c>
      <c r="X1191" s="7">
        <v>59.0</v>
      </c>
      <c r="Y1191" s="7">
        <f t="shared" si="3708"/>
        <v>97</v>
      </c>
      <c r="Z1191" s="7">
        <f>VLOOKUP(A1191,Jogos!A:L,3,0)</f>
        <v>50</v>
      </c>
      <c r="AA1191" s="7">
        <f t="shared" si="2229"/>
        <v>0</v>
      </c>
      <c r="AB1191" s="7">
        <f>VLOOKUP(A1191,Jogos!A:L,4,0)</f>
        <v>52</v>
      </c>
      <c r="AC1191" s="7">
        <f t="shared" si="2230"/>
        <v>38</v>
      </c>
      <c r="AD1191" s="7"/>
      <c r="AE1191" s="7"/>
      <c r="AF1191" s="7">
        <f t="shared" si="2231"/>
        <v>38</v>
      </c>
      <c r="AG1191" s="7">
        <v>3749.0</v>
      </c>
      <c r="AH1191" s="7">
        <v>1409.7</v>
      </c>
      <c r="AI1191" s="7">
        <v>1589.0</v>
      </c>
      <c r="AJ1191" s="7">
        <v>479.4</v>
      </c>
      <c r="AK1191" s="7">
        <v>177.6</v>
      </c>
      <c r="AL1191" s="7">
        <v>93.4</v>
      </c>
      <c r="AM1191" s="7">
        <v>47.0</v>
      </c>
      <c r="AN1191" s="7">
        <v>16.0</v>
      </c>
      <c r="AO1191" s="7">
        <v>31.1</v>
      </c>
      <c r="AP1191" s="9">
        <f t="shared" ref="AP1191:AR1191" si="3718">AG1191/$AF1191</f>
        <v>98.65789474</v>
      </c>
      <c r="AQ1191" s="9">
        <f t="shared" si="3718"/>
        <v>37.09736842</v>
      </c>
      <c r="AR1191" s="9">
        <f t="shared" si="3718"/>
        <v>41.81578947</v>
      </c>
      <c r="AS1191" s="9">
        <f t="shared" si="2233"/>
        <v>78.91315789</v>
      </c>
      <c r="AT1191" s="9">
        <f t="shared" ref="AT1191:AV1191" si="3719">AJ1191/$AF1191</f>
        <v>12.61578947</v>
      </c>
      <c r="AU1191" s="9">
        <f t="shared" si="3719"/>
        <v>4.673684211</v>
      </c>
      <c r="AV1191" s="9">
        <f t="shared" si="3719"/>
        <v>2.457894737</v>
      </c>
      <c r="AW1191" s="9">
        <f t="shared" si="2235"/>
        <v>7.131578947</v>
      </c>
      <c r="AX1191" s="9">
        <f t="shared" ref="AX1191:AY1191" si="3720">AM1191/$AF1191</f>
        <v>1.236842105</v>
      </c>
      <c r="AY1191" s="9">
        <f t="shared" si="3720"/>
        <v>0.4210526316</v>
      </c>
      <c r="AZ1191" s="9">
        <f>VLOOKUP(A1191,Jogos!A:BN,58,0)</f>
        <v>30.175</v>
      </c>
      <c r="BA1191" s="9">
        <f>VLOOKUP(A1191,Jogos!A:BN,59,0)</f>
        <v>20.145</v>
      </c>
      <c r="BB1191" s="9">
        <f>VLOOKUP(A1191,Jogos!A:BN,60,0)</f>
        <v>54.5</v>
      </c>
      <c r="BC1191" s="9">
        <f>VLOOKUP(A1191,Jogos!A:BN,61,0)</f>
        <v>30.65</v>
      </c>
      <c r="BD1191" s="9">
        <f>VLOOKUP(A1191,Jogos!A:BN,62,0)</f>
        <v>0</v>
      </c>
      <c r="BE1191" s="9">
        <f>VLOOKUP(A1191,Jogos!A:BN,63,0)</f>
        <v>1.86</v>
      </c>
      <c r="BF1191" s="9">
        <f>VLOOKUP(A1191,Jogos!A:BN,64,0)</f>
        <v>24.52</v>
      </c>
      <c r="BG1191" s="9">
        <f>VLOOKUP(A1191,Jogos!A:BN,65,0)</f>
        <v>44.17</v>
      </c>
      <c r="BH1191" s="9">
        <f>VLOOKUP(A1191,Jogos!A:BN,66,0)</f>
        <v>29.015</v>
      </c>
      <c r="BI1191" s="9"/>
      <c r="BJ1191" s="9"/>
    </row>
    <row r="1192" hidden="1">
      <c r="A1192" s="2">
        <v>41.0</v>
      </c>
      <c r="B1192" s="15" t="s">
        <v>562</v>
      </c>
      <c r="C1192" s="2" t="s">
        <v>61</v>
      </c>
      <c r="D1192" s="3">
        <v>45833.0</v>
      </c>
      <c r="E1192" s="4">
        <v>0.625</v>
      </c>
      <c r="F1192" s="5" t="str">
        <f>VLOOKUP(A1192,Jogos!A:N,10,0)</f>
        <v>Afternoon</v>
      </c>
      <c r="G1192" s="2" t="s">
        <v>122</v>
      </c>
      <c r="H1192" s="6" t="str">
        <f>VLOOKUP(A1192,Jogos!A:L,12,0)</f>
        <v>Open</v>
      </c>
      <c r="I1192" s="6" t="str">
        <f>VLOOKUP(G1192,'Estádios e Cidades'!A:B,2,0)</f>
        <v>Cincinnati</v>
      </c>
      <c r="J1192" s="2" t="s">
        <v>564</v>
      </c>
      <c r="K1192" s="2" t="str">
        <f>VLOOKUP(J1192,Equipes!A:F,6,0)</f>
        <v>Temperate</v>
      </c>
      <c r="L1192" s="2">
        <f>VLOOKUP(J1192,Equipes!A:C,3,0)</f>
        <v>5</v>
      </c>
      <c r="M1192" s="2" t="str">
        <f t="shared" si="4"/>
        <v>Quarter-final</v>
      </c>
      <c r="N1192" s="2" t="s">
        <v>687</v>
      </c>
      <c r="O1192" s="2">
        <f>VLOOKUP(N1192,Equipes!A:C,3,0)</f>
        <v>28</v>
      </c>
      <c r="P1192" s="2" t="str">
        <f t="shared" si="5"/>
        <v>Group</v>
      </c>
      <c r="Q1192" s="2">
        <f t="shared" si="6"/>
        <v>-23</v>
      </c>
      <c r="R1192" s="2" t="str">
        <f>VLOOKUP(J1192,Equipes!A:B,2,0)</f>
        <v>Borussia</v>
      </c>
      <c r="S1192" s="6" t="s">
        <v>613</v>
      </c>
      <c r="T1192" s="7">
        <v>2.0</v>
      </c>
      <c r="U1192" s="7" t="s">
        <v>614</v>
      </c>
      <c r="V1192" s="7" t="str">
        <f>VLOOKUP(U1192,Jogadores!B:C,2,0)</f>
        <v>DF</v>
      </c>
      <c r="W1192" s="8">
        <f>VLOOKUP(U1192,Jogadores!B:D,3,0)</f>
        <v>23.16712329</v>
      </c>
      <c r="X1192" s="7">
        <v>0.0</v>
      </c>
      <c r="Y1192" s="7">
        <f t="shared" si="3708"/>
        <v>94</v>
      </c>
      <c r="Z1192" s="7">
        <f>VLOOKUP(A1192,Jogos!A:L,3,0)</f>
        <v>48</v>
      </c>
      <c r="AA1192" s="7">
        <f t="shared" si="2229"/>
        <v>48</v>
      </c>
      <c r="AB1192" s="7">
        <f>VLOOKUP(A1192,Jogos!A:L,4,0)</f>
        <v>49</v>
      </c>
      <c r="AC1192" s="7">
        <f t="shared" si="2230"/>
        <v>49</v>
      </c>
      <c r="AD1192" s="7"/>
      <c r="AE1192" s="7"/>
      <c r="AF1192" s="7">
        <f t="shared" si="2231"/>
        <v>97</v>
      </c>
      <c r="AG1192" s="7">
        <v>9803.5</v>
      </c>
      <c r="AH1192" s="7">
        <v>3457.1</v>
      </c>
      <c r="AI1192" s="7">
        <v>4355.4</v>
      </c>
      <c r="AJ1192" s="7">
        <v>1205.1</v>
      </c>
      <c r="AK1192" s="7">
        <v>637.3</v>
      </c>
      <c r="AL1192" s="7">
        <v>148.6</v>
      </c>
      <c r="AM1192" s="7">
        <v>107.0</v>
      </c>
      <c r="AN1192" s="7">
        <v>49.0</v>
      </c>
      <c r="AO1192" s="7">
        <v>30.4</v>
      </c>
      <c r="AP1192" s="9">
        <f t="shared" ref="AP1192:AR1192" si="3721">AG1192/$AF1192</f>
        <v>101.0670103</v>
      </c>
      <c r="AQ1192" s="9">
        <f t="shared" si="3721"/>
        <v>35.64020619</v>
      </c>
      <c r="AR1192" s="9">
        <f t="shared" si="3721"/>
        <v>44.90103093</v>
      </c>
      <c r="AS1192" s="9">
        <f t="shared" si="2233"/>
        <v>80.54123711</v>
      </c>
      <c r="AT1192" s="9">
        <f t="shared" ref="AT1192:AV1192" si="3722">AJ1192/$AF1192</f>
        <v>12.42371134</v>
      </c>
      <c r="AU1192" s="9">
        <f t="shared" si="3722"/>
        <v>6.570103093</v>
      </c>
      <c r="AV1192" s="9">
        <f t="shared" si="3722"/>
        <v>1.531958763</v>
      </c>
      <c r="AW1192" s="9">
        <f t="shared" si="2235"/>
        <v>8.102061856</v>
      </c>
      <c r="AX1192" s="9">
        <f t="shared" ref="AX1192:AY1192" si="3723">AM1192/$AF1192</f>
        <v>1.103092784</v>
      </c>
      <c r="AY1192" s="9">
        <f t="shared" si="3723"/>
        <v>0.5051546392</v>
      </c>
      <c r="AZ1192" s="9">
        <f>VLOOKUP(A1192,Jogos!A:BN,58,0)</f>
        <v>30.535</v>
      </c>
      <c r="BA1192" s="9">
        <f>VLOOKUP(A1192,Jogos!A:BN,59,0)</f>
        <v>22.76</v>
      </c>
      <c r="BB1192" s="9">
        <f>VLOOKUP(A1192,Jogos!A:BN,60,0)</f>
        <v>62.5</v>
      </c>
      <c r="BC1192" s="9">
        <f>VLOOKUP(A1192,Jogos!A:BN,61,0)</f>
        <v>31.25</v>
      </c>
      <c r="BD1192" s="9">
        <f>VLOOKUP(A1192,Jogos!A:BN,62,0)</f>
        <v>612.6</v>
      </c>
      <c r="BE1192" s="9">
        <f>VLOOKUP(A1192,Jogos!A:BN,63,0)</f>
        <v>1.575</v>
      </c>
      <c r="BF1192" s="9">
        <f>VLOOKUP(A1192,Jogos!A:BN,64,0)</f>
        <v>25.73</v>
      </c>
      <c r="BG1192" s="9">
        <f>VLOOKUP(A1192,Jogos!A:BN,65,0)</f>
        <v>45.645</v>
      </c>
      <c r="BH1192" s="9">
        <f>VLOOKUP(A1192,Jogos!A:BN,66,0)</f>
        <v>30.195</v>
      </c>
      <c r="BI1192" s="9"/>
      <c r="BJ1192" s="9"/>
    </row>
    <row r="1193" hidden="1">
      <c r="A1193" s="2">
        <v>41.0</v>
      </c>
      <c r="B1193" s="15" t="s">
        <v>562</v>
      </c>
      <c r="C1193" s="2" t="s">
        <v>61</v>
      </c>
      <c r="D1193" s="3">
        <v>45833.0</v>
      </c>
      <c r="E1193" s="4">
        <v>0.625</v>
      </c>
      <c r="F1193" s="5" t="str">
        <f>VLOOKUP(A1193,Jogos!A:N,10,0)</f>
        <v>Afternoon</v>
      </c>
      <c r="G1193" s="2" t="s">
        <v>122</v>
      </c>
      <c r="H1193" s="6" t="str">
        <f>VLOOKUP(A1193,Jogos!A:L,12,0)</f>
        <v>Open</v>
      </c>
      <c r="I1193" s="6" t="str">
        <f>VLOOKUP(G1193,'Estádios e Cidades'!A:B,2,0)</f>
        <v>Cincinnati</v>
      </c>
      <c r="J1193" s="2" t="s">
        <v>564</v>
      </c>
      <c r="K1193" s="2" t="str">
        <f>VLOOKUP(J1193,Equipes!A:F,6,0)</f>
        <v>Temperate</v>
      </c>
      <c r="L1193" s="2">
        <f>VLOOKUP(J1193,Equipes!A:C,3,0)</f>
        <v>5</v>
      </c>
      <c r="M1193" s="2" t="str">
        <f t="shared" si="4"/>
        <v>Quarter-final</v>
      </c>
      <c r="N1193" s="2" t="s">
        <v>687</v>
      </c>
      <c r="O1193" s="2">
        <f>VLOOKUP(N1193,Equipes!A:C,3,0)</f>
        <v>28</v>
      </c>
      <c r="P1193" s="2" t="str">
        <f t="shared" si="5"/>
        <v>Group</v>
      </c>
      <c r="Q1193" s="2">
        <f t="shared" si="6"/>
        <v>-23</v>
      </c>
      <c r="R1193" s="2" t="str">
        <f>VLOOKUP(J1193,Equipes!A:B,2,0)</f>
        <v>Borussia</v>
      </c>
      <c r="S1193" s="6" t="s">
        <v>593</v>
      </c>
      <c r="T1193" s="7">
        <v>3.0</v>
      </c>
      <c r="U1193" s="7" t="s">
        <v>594</v>
      </c>
      <c r="V1193" s="7" t="str">
        <f>VLOOKUP(U1193,Jogadores!B:C,2,0)</f>
        <v>DF</v>
      </c>
      <c r="W1193" s="8">
        <f>VLOOKUP(U1193,Jogadores!B:D,3,0)</f>
        <v>29.04109589</v>
      </c>
      <c r="X1193" s="7">
        <v>0.0</v>
      </c>
      <c r="Y1193" s="7">
        <f t="shared" si="3708"/>
        <v>94</v>
      </c>
      <c r="Z1193" s="7">
        <f>VLOOKUP(A1193,Jogos!A:L,3,0)</f>
        <v>48</v>
      </c>
      <c r="AA1193" s="7">
        <f t="shared" si="2229"/>
        <v>48</v>
      </c>
      <c r="AB1193" s="7">
        <f>VLOOKUP(A1193,Jogos!A:L,4,0)</f>
        <v>49</v>
      </c>
      <c r="AC1193" s="7">
        <f t="shared" si="2230"/>
        <v>49</v>
      </c>
      <c r="AD1193" s="7"/>
      <c r="AE1193" s="7"/>
      <c r="AF1193" s="7">
        <f t="shared" si="2231"/>
        <v>97</v>
      </c>
      <c r="AG1193" s="7">
        <v>10220.8</v>
      </c>
      <c r="AH1193" s="7">
        <v>3761.0</v>
      </c>
      <c r="AI1193" s="7">
        <v>4395.7</v>
      </c>
      <c r="AJ1193" s="7">
        <v>1386.2</v>
      </c>
      <c r="AK1193" s="7">
        <v>559.9</v>
      </c>
      <c r="AL1193" s="7">
        <v>118.0</v>
      </c>
      <c r="AM1193" s="7">
        <v>138.0</v>
      </c>
      <c r="AN1193" s="7">
        <v>39.0</v>
      </c>
      <c r="AO1193" s="7">
        <v>29.7</v>
      </c>
      <c r="AP1193" s="9">
        <f t="shared" ref="AP1193:AR1193" si="3724">AG1193/$AF1193</f>
        <v>105.3690722</v>
      </c>
      <c r="AQ1193" s="9">
        <f t="shared" si="3724"/>
        <v>38.77319588</v>
      </c>
      <c r="AR1193" s="9">
        <f t="shared" si="3724"/>
        <v>45.31649485</v>
      </c>
      <c r="AS1193" s="9">
        <f t="shared" si="2233"/>
        <v>84.08969072</v>
      </c>
      <c r="AT1193" s="9">
        <f t="shared" ref="AT1193:AV1193" si="3725">AJ1193/$AF1193</f>
        <v>14.29072165</v>
      </c>
      <c r="AU1193" s="9">
        <f t="shared" si="3725"/>
        <v>5.772164948</v>
      </c>
      <c r="AV1193" s="9">
        <f t="shared" si="3725"/>
        <v>1.216494845</v>
      </c>
      <c r="AW1193" s="9">
        <f t="shared" si="2235"/>
        <v>6.988659794</v>
      </c>
      <c r="AX1193" s="9">
        <f t="shared" ref="AX1193:AY1193" si="3726">AM1193/$AF1193</f>
        <v>1.422680412</v>
      </c>
      <c r="AY1193" s="9">
        <f t="shared" si="3726"/>
        <v>0.4020618557</v>
      </c>
      <c r="AZ1193" s="9">
        <f>VLOOKUP(A1193,Jogos!A:BN,58,0)</f>
        <v>30.535</v>
      </c>
      <c r="BA1193" s="9">
        <f>VLOOKUP(A1193,Jogos!A:BN,59,0)</f>
        <v>22.76</v>
      </c>
      <c r="BB1193" s="9">
        <f>VLOOKUP(A1193,Jogos!A:BN,60,0)</f>
        <v>62.5</v>
      </c>
      <c r="BC1193" s="9">
        <f>VLOOKUP(A1193,Jogos!A:BN,61,0)</f>
        <v>31.25</v>
      </c>
      <c r="BD1193" s="9">
        <f>VLOOKUP(A1193,Jogos!A:BN,62,0)</f>
        <v>612.6</v>
      </c>
      <c r="BE1193" s="9">
        <f>VLOOKUP(A1193,Jogos!A:BN,63,0)</f>
        <v>1.575</v>
      </c>
      <c r="BF1193" s="9">
        <f>VLOOKUP(A1193,Jogos!A:BN,64,0)</f>
        <v>25.73</v>
      </c>
      <c r="BG1193" s="9">
        <f>VLOOKUP(A1193,Jogos!A:BN,65,0)</f>
        <v>45.645</v>
      </c>
      <c r="BH1193" s="9">
        <f>VLOOKUP(A1193,Jogos!A:BN,66,0)</f>
        <v>30.195</v>
      </c>
      <c r="BI1193" s="9"/>
      <c r="BJ1193" s="9"/>
    </row>
    <row r="1194" hidden="1">
      <c r="A1194" s="2">
        <v>41.0</v>
      </c>
      <c r="B1194" s="15" t="s">
        <v>562</v>
      </c>
      <c r="C1194" s="2" t="s">
        <v>61</v>
      </c>
      <c r="D1194" s="3">
        <v>45833.0</v>
      </c>
      <c r="E1194" s="4">
        <v>0.625</v>
      </c>
      <c r="F1194" s="5" t="str">
        <f>VLOOKUP(A1194,Jogos!A:N,10,0)</f>
        <v>Afternoon</v>
      </c>
      <c r="G1194" s="2" t="s">
        <v>122</v>
      </c>
      <c r="H1194" s="6" t="str">
        <f>VLOOKUP(A1194,Jogos!A:L,12,0)</f>
        <v>Open</v>
      </c>
      <c r="I1194" s="6" t="str">
        <f>VLOOKUP(G1194,'Estádios e Cidades'!A:B,2,0)</f>
        <v>Cincinnati</v>
      </c>
      <c r="J1194" s="2" t="s">
        <v>564</v>
      </c>
      <c r="K1194" s="2" t="str">
        <f>VLOOKUP(J1194,Equipes!A:F,6,0)</f>
        <v>Temperate</v>
      </c>
      <c r="L1194" s="2">
        <f>VLOOKUP(J1194,Equipes!A:C,3,0)</f>
        <v>5</v>
      </c>
      <c r="M1194" s="2" t="str">
        <f t="shared" si="4"/>
        <v>Quarter-final</v>
      </c>
      <c r="N1194" s="2" t="s">
        <v>687</v>
      </c>
      <c r="O1194" s="2">
        <f>VLOOKUP(N1194,Equipes!A:C,3,0)</f>
        <v>28</v>
      </c>
      <c r="P1194" s="2" t="str">
        <f t="shared" si="5"/>
        <v>Group</v>
      </c>
      <c r="Q1194" s="2">
        <f t="shared" si="6"/>
        <v>-23</v>
      </c>
      <c r="R1194" s="2" t="str">
        <f>VLOOKUP(J1194,Equipes!A:B,2,0)</f>
        <v>Borussia</v>
      </c>
      <c r="S1194" s="6" t="s">
        <v>595</v>
      </c>
      <c r="T1194" s="7">
        <v>5.0</v>
      </c>
      <c r="U1194" s="7" t="s">
        <v>596</v>
      </c>
      <c r="V1194" s="7" t="str">
        <f>VLOOKUP(U1194,Jogadores!B:C,2,0)</f>
        <v>DF</v>
      </c>
      <c r="W1194" s="8">
        <f>VLOOKUP(U1194,Jogadores!B:D,3,0)</f>
        <v>30.30410959</v>
      </c>
      <c r="X1194" s="7">
        <v>0.0</v>
      </c>
      <c r="Y1194" s="7">
        <f t="shared" si="3708"/>
        <v>94</v>
      </c>
      <c r="Z1194" s="7">
        <f>VLOOKUP(A1194,Jogos!A:L,3,0)</f>
        <v>48</v>
      </c>
      <c r="AA1194" s="7">
        <f t="shared" si="2229"/>
        <v>48</v>
      </c>
      <c r="AB1194" s="7">
        <f>VLOOKUP(A1194,Jogos!A:L,4,0)</f>
        <v>49</v>
      </c>
      <c r="AC1194" s="7">
        <f t="shared" si="2230"/>
        <v>49</v>
      </c>
      <c r="AD1194" s="7"/>
      <c r="AE1194" s="7"/>
      <c r="AF1194" s="7">
        <f t="shared" si="2231"/>
        <v>97</v>
      </c>
      <c r="AG1194" s="7">
        <v>8890.5</v>
      </c>
      <c r="AH1194" s="7">
        <v>4047.5</v>
      </c>
      <c r="AI1194" s="7">
        <v>3374.7</v>
      </c>
      <c r="AJ1194" s="7">
        <v>954.4</v>
      </c>
      <c r="AK1194" s="7">
        <v>436.3</v>
      </c>
      <c r="AL1194" s="7">
        <v>77.6</v>
      </c>
      <c r="AM1194" s="7">
        <v>87.0</v>
      </c>
      <c r="AN1194" s="7">
        <v>32.0</v>
      </c>
      <c r="AO1194" s="7">
        <v>32.8</v>
      </c>
      <c r="AP1194" s="9">
        <f t="shared" ref="AP1194:AR1194" si="3727">AG1194/$AF1194</f>
        <v>91.65463918</v>
      </c>
      <c r="AQ1194" s="9">
        <f t="shared" si="3727"/>
        <v>41.72680412</v>
      </c>
      <c r="AR1194" s="9">
        <f t="shared" si="3727"/>
        <v>34.79072165</v>
      </c>
      <c r="AS1194" s="9">
        <f t="shared" si="2233"/>
        <v>76.51752577</v>
      </c>
      <c r="AT1194" s="9">
        <f t="shared" ref="AT1194:AV1194" si="3728">AJ1194/$AF1194</f>
        <v>9.839175258</v>
      </c>
      <c r="AU1194" s="9">
        <f t="shared" si="3728"/>
        <v>4.497938144</v>
      </c>
      <c r="AV1194" s="9">
        <f t="shared" si="3728"/>
        <v>0.8</v>
      </c>
      <c r="AW1194" s="9">
        <f t="shared" si="2235"/>
        <v>5.297938144</v>
      </c>
      <c r="AX1194" s="9">
        <f t="shared" ref="AX1194:AY1194" si="3729">AM1194/$AF1194</f>
        <v>0.8969072165</v>
      </c>
      <c r="AY1194" s="9">
        <f t="shared" si="3729"/>
        <v>0.3298969072</v>
      </c>
      <c r="AZ1194" s="9">
        <f>VLOOKUP(A1194,Jogos!A:BN,58,0)</f>
        <v>30.535</v>
      </c>
      <c r="BA1194" s="9">
        <f>VLOOKUP(A1194,Jogos!A:BN,59,0)</f>
        <v>22.76</v>
      </c>
      <c r="BB1194" s="9">
        <f>VLOOKUP(A1194,Jogos!A:BN,60,0)</f>
        <v>62.5</v>
      </c>
      <c r="BC1194" s="9">
        <f>VLOOKUP(A1194,Jogos!A:BN,61,0)</f>
        <v>31.25</v>
      </c>
      <c r="BD1194" s="9">
        <f>VLOOKUP(A1194,Jogos!A:BN,62,0)</f>
        <v>612.6</v>
      </c>
      <c r="BE1194" s="9">
        <f>VLOOKUP(A1194,Jogos!A:BN,63,0)</f>
        <v>1.575</v>
      </c>
      <c r="BF1194" s="9">
        <f>VLOOKUP(A1194,Jogos!A:BN,64,0)</f>
        <v>25.73</v>
      </c>
      <c r="BG1194" s="9">
        <f>VLOOKUP(A1194,Jogos!A:BN,65,0)</f>
        <v>45.645</v>
      </c>
      <c r="BH1194" s="9">
        <f>VLOOKUP(A1194,Jogos!A:BN,66,0)</f>
        <v>30.195</v>
      </c>
      <c r="BI1194" s="9"/>
      <c r="BJ1194" s="9"/>
    </row>
    <row r="1195" hidden="1">
      <c r="A1195" s="2">
        <v>41.0</v>
      </c>
      <c r="B1195" s="15" t="s">
        <v>562</v>
      </c>
      <c r="C1195" s="2" t="s">
        <v>61</v>
      </c>
      <c r="D1195" s="3">
        <v>45833.0</v>
      </c>
      <c r="E1195" s="4">
        <v>0.625</v>
      </c>
      <c r="F1195" s="5" t="str">
        <f>VLOOKUP(A1195,Jogos!A:N,10,0)</f>
        <v>Afternoon</v>
      </c>
      <c r="G1195" s="2" t="s">
        <v>122</v>
      </c>
      <c r="H1195" s="6" t="str">
        <f>VLOOKUP(A1195,Jogos!A:L,12,0)</f>
        <v>Open</v>
      </c>
      <c r="I1195" s="6" t="str">
        <f>VLOOKUP(G1195,'Estádios e Cidades'!A:B,2,0)</f>
        <v>Cincinnati</v>
      </c>
      <c r="J1195" s="2" t="s">
        <v>564</v>
      </c>
      <c r="K1195" s="2" t="str">
        <f>VLOOKUP(J1195,Equipes!A:F,6,0)</f>
        <v>Temperate</v>
      </c>
      <c r="L1195" s="2">
        <f>VLOOKUP(J1195,Equipes!A:C,3,0)</f>
        <v>5</v>
      </c>
      <c r="M1195" s="2" t="str">
        <f t="shared" si="4"/>
        <v>Quarter-final</v>
      </c>
      <c r="N1195" s="2" t="s">
        <v>687</v>
      </c>
      <c r="O1195" s="2">
        <f>VLOOKUP(N1195,Equipes!A:C,3,0)</f>
        <v>28</v>
      </c>
      <c r="P1195" s="2" t="str">
        <f t="shared" si="5"/>
        <v>Group</v>
      </c>
      <c r="Q1195" s="2">
        <f t="shared" si="6"/>
        <v>-23</v>
      </c>
      <c r="R1195" s="2" t="str">
        <f>VLOOKUP(J1195,Equipes!A:B,2,0)</f>
        <v>Borussia</v>
      </c>
      <c r="S1195" s="6" t="s">
        <v>615</v>
      </c>
      <c r="T1195" s="7">
        <v>8.0</v>
      </c>
      <c r="U1195" s="7" t="s">
        <v>616</v>
      </c>
      <c r="V1195" s="7" t="str">
        <f>VLOOKUP(U1195,Jogadores!B:C,2,0)</f>
        <v>MF</v>
      </c>
      <c r="W1195" s="8">
        <f>VLOOKUP(U1195,Jogadores!B:D,3,0)</f>
        <v>24.81369863</v>
      </c>
      <c r="X1195" s="7">
        <v>0.0</v>
      </c>
      <c r="Y1195" s="7">
        <v>58.0</v>
      </c>
      <c r="Z1195" s="7">
        <f>VLOOKUP(A1195,Jogos!A:L,3,0)</f>
        <v>48</v>
      </c>
      <c r="AA1195" s="7">
        <f t="shared" si="2229"/>
        <v>48</v>
      </c>
      <c r="AB1195" s="7">
        <f>VLOOKUP(A1195,Jogos!A:L,4,0)</f>
        <v>49</v>
      </c>
      <c r="AC1195" s="7">
        <f t="shared" si="2230"/>
        <v>13</v>
      </c>
      <c r="AD1195" s="7"/>
      <c r="AE1195" s="7"/>
      <c r="AF1195" s="7">
        <f t="shared" si="2231"/>
        <v>61</v>
      </c>
      <c r="AG1195" s="7">
        <v>6578.2</v>
      </c>
      <c r="AH1195" s="7">
        <v>2373.4</v>
      </c>
      <c r="AI1195" s="7">
        <v>3010.5</v>
      </c>
      <c r="AJ1195" s="7">
        <v>827.2</v>
      </c>
      <c r="AK1195" s="7">
        <v>270.5</v>
      </c>
      <c r="AL1195" s="7">
        <v>96.6</v>
      </c>
      <c r="AM1195" s="7">
        <v>74.0</v>
      </c>
      <c r="AN1195" s="7">
        <v>20.0</v>
      </c>
      <c r="AO1195" s="7">
        <v>29.2</v>
      </c>
      <c r="AP1195" s="9">
        <f t="shared" ref="AP1195:AR1195" si="3730">AG1195/$AF1195</f>
        <v>107.8393443</v>
      </c>
      <c r="AQ1195" s="9">
        <f t="shared" si="3730"/>
        <v>38.90819672</v>
      </c>
      <c r="AR1195" s="9">
        <f t="shared" si="3730"/>
        <v>49.35245902</v>
      </c>
      <c r="AS1195" s="9">
        <f t="shared" si="2233"/>
        <v>88.26065574</v>
      </c>
      <c r="AT1195" s="9">
        <f t="shared" ref="AT1195:AV1195" si="3731">AJ1195/$AF1195</f>
        <v>13.56065574</v>
      </c>
      <c r="AU1195" s="9">
        <f t="shared" si="3731"/>
        <v>4.43442623</v>
      </c>
      <c r="AV1195" s="9">
        <f t="shared" si="3731"/>
        <v>1.583606557</v>
      </c>
      <c r="AW1195" s="9">
        <f t="shared" si="2235"/>
        <v>6.018032787</v>
      </c>
      <c r="AX1195" s="9">
        <f t="shared" ref="AX1195:AY1195" si="3732">AM1195/$AF1195</f>
        <v>1.213114754</v>
      </c>
      <c r="AY1195" s="9">
        <f t="shared" si="3732"/>
        <v>0.3278688525</v>
      </c>
      <c r="AZ1195" s="9">
        <f>VLOOKUP(A1195,Jogos!A:BN,58,0)</f>
        <v>30.535</v>
      </c>
      <c r="BA1195" s="9">
        <f>VLOOKUP(A1195,Jogos!A:BN,59,0)</f>
        <v>22.76</v>
      </c>
      <c r="BB1195" s="9">
        <f>VLOOKUP(A1195,Jogos!A:BN,60,0)</f>
        <v>62.5</v>
      </c>
      <c r="BC1195" s="9">
        <f>VLOOKUP(A1195,Jogos!A:BN,61,0)</f>
        <v>31.25</v>
      </c>
      <c r="BD1195" s="9">
        <f>VLOOKUP(A1195,Jogos!A:BN,62,0)</f>
        <v>612.6</v>
      </c>
      <c r="BE1195" s="9">
        <f>VLOOKUP(A1195,Jogos!A:BN,63,0)</f>
        <v>1.575</v>
      </c>
      <c r="BF1195" s="9">
        <f>VLOOKUP(A1195,Jogos!A:BN,64,0)</f>
        <v>25.73</v>
      </c>
      <c r="BG1195" s="9">
        <f>VLOOKUP(A1195,Jogos!A:BN,65,0)</f>
        <v>45.645</v>
      </c>
      <c r="BH1195" s="9">
        <f>VLOOKUP(A1195,Jogos!A:BN,66,0)</f>
        <v>30.195</v>
      </c>
      <c r="BI1195" s="9"/>
      <c r="BJ1195" s="9"/>
    </row>
    <row r="1196" hidden="1">
      <c r="A1196" s="2">
        <v>41.0</v>
      </c>
      <c r="B1196" s="15" t="s">
        <v>562</v>
      </c>
      <c r="C1196" s="2" t="s">
        <v>61</v>
      </c>
      <c r="D1196" s="3">
        <v>45833.0</v>
      </c>
      <c r="E1196" s="4">
        <v>0.625</v>
      </c>
      <c r="F1196" s="5" t="str">
        <f>VLOOKUP(A1196,Jogos!A:N,10,0)</f>
        <v>Afternoon</v>
      </c>
      <c r="G1196" s="2" t="s">
        <v>122</v>
      </c>
      <c r="H1196" s="6" t="str">
        <f>VLOOKUP(A1196,Jogos!A:L,12,0)</f>
        <v>Open</v>
      </c>
      <c r="I1196" s="6" t="str">
        <f>VLOOKUP(G1196,'Estádios e Cidades'!A:B,2,0)</f>
        <v>Cincinnati</v>
      </c>
      <c r="J1196" s="2" t="s">
        <v>564</v>
      </c>
      <c r="K1196" s="2" t="str">
        <f>VLOOKUP(J1196,Equipes!A:F,6,0)</f>
        <v>Temperate</v>
      </c>
      <c r="L1196" s="2">
        <f>VLOOKUP(J1196,Equipes!A:C,3,0)</f>
        <v>5</v>
      </c>
      <c r="M1196" s="2" t="str">
        <f t="shared" si="4"/>
        <v>Quarter-final</v>
      </c>
      <c r="N1196" s="2" t="s">
        <v>687</v>
      </c>
      <c r="O1196" s="2">
        <f>VLOOKUP(N1196,Equipes!A:C,3,0)</f>
        <v>28</v>
      </c>
      <c r="P1196" s="2" t="str">
        <f t="shared" si="5"/>
        <v>Group</v>
      </c>
      <c r="Q1196" s="2">
        <f t="shared" si="6"/>
        <v>-23</v>
      </c>
      <c r="R1196" s="2" t="str">
        <f>VLOOKUP(J1196,Equipes!A:B,2,0)</f>
        <v>Borussia</v>
      </c>
      <c r="S1196" s="6" t="s">
        <v>597</v>
      </c>
      <c r="T1196" s="7">
        <v>9.0</v>
      </c>
      <c r="U1196" s="7" t="s">
        <v>598</v>
      </c>
      <c r="V1196" s="7" t="str">
        <f>VLOOKUP(U1196,Jogadores!B:C,2,0)</f>
        <v>FW</v>
      </c>
      <c r="W1196" s="8">
        <f>VLOOKUP(U1196,Jogadores!B:D,3,0)</f>
        <v>29.39726027</v>
      </c>
      <c r="X1196" s="7">
        <v>0.0</v>
      </c>
      <c r="Y1196" s="7">
        <v>78.0</v>
      </c>
      <c r="Z1196" s="7">
        <f>VLOOKUP(A1196,Jogos!A:L,3,0)</f>
        <v>48</v>
      </c>
      <c r="AA1196" s="7">
        <f t="shared" si="2229"/>
        <v>48</v>
      </c>
      <c r="AB1196" s="7">
        <f>VLOOKUP(A1196,Jogos!A:L,4,0)</f>
        <v>49</v>
      </c>
      <c r="AC1196" s="7">
        <f t="shared" si="2230"/>
        <v>33</v>
      </c>
      <c r="AD1196" s="7"/>
      <c r="AE1196" s="7"/>
      <c r="AF1196" s="7">
        <f t="shared" si="2231"/>
        <v>81</v>
      </c>
      <c r="AG1196" s="7">
        <v>7752.0</v>
      </c>
      <c r="AH1196" s="7">
        <v>3404.6</v>
      </c>
      <c r="AI1196" s="7">
        <v>2954.0</v>
      </c>
      <c r="AJ1196" s="7">
        <v>937.3</v>
      </c>
      <c r="AK1196" s="7">
        <v>369.3</v>
      </c>
      <c r="AL1196" s="7">
        <v>86.7</v>
      </c>
      <c r="AM1196" s="7">
        <v>73.0</v>
      </c>
      <c r="AN1196" s="7">
        <v>28.0</v>
      </c>
      <c r="AO1196" s="7">
        <v>30.2</v>
      </c>
      <c r="AP1196" s="9">
        <f t="shared" ref="AP1196:AR1196" si="3733">AG1196/$AF1196</f>
        <v>95.7037037</v>
      </c>
      <c r="AQ1196" s="9">
        <f t="shared" si="3733"/>
        <v>42.03209877</v>
      </c>
      <c r="AR1196" s="9">
        <f t="shared" si="3733"/>
        <v>36.4691358</v>
      </c>
      <c r="AS1196" s="9">
        <f t="shared" si="2233"/>
        <v>78.50123457</v>
      </c>
      <c r="AT1196" s="9">
        <f t="shared" ref="AT1196:AV1196" si="3734">AJ1196/$AF1196</f>
        <v>11.57160494</v>
      </c>
      <c r="AU1196" s="9">
        <f t="shared" si="3734"/>
        <v>4.559259259</v>
      </c>
      <c r="AV1196" s="9">
        <f t="shared" si="3734"/>
        <v>1.07037037</v>
      </c>
      <c r="AW1196" s="9">
        <f t="shared" si="2235"/>
        <v>5.62962963</v>
      </c>
      <c r="AX1196" s="9">
        <f t="shared" ref="AX1196:AY1196" si="3735">AM1196/$AF1196</f>
        <v>0.9012345679</v>
      </c>
      <c r="AY1196" s="9">
        <f t="shared" si="3735"/>
        <v>0.3456790123</v>
      </c>
      <c r="AZ1196" s="9">
        <f>VLOOKUP(A1196,Jogos!A:BN,58,0)</f>
        <v>30.535</v>
      </c>
      <c r="BA1196" s="9">
        <f>VLOOKUP(A1196,Jogos!A:BN,59,0)</f>
        <v>22.76</v>
      </c>
      <c r="BB1196" s="9">
        <f>VLOOKUP(A1196,Jogos!A:BN,60,0)</f>
        <v>62.5</v>
      </c>
      <c r="BC1196" s="9">
        <f>VLOOKUP(A1196,Jogos!A:BN,61,0)</f>
        <v>31.25</v>
      </c>
      <c r="BD1196" s="9">
        <f>VLOOKUP(A1196,Jogos!A:BN,62,0)</f>
        <v>612.6</v>
      </c>
      <c r="BE1196" s="9">
        <f>VLOOKUP(A1196,Jogos!A:BN,63,0)</f>
        <v>1.575</v>
      </c>
      <c r="BF1196" s="9">
        <f>VLOOKUP(A1196,Jogos!A:BN,64,0)</f>
        <v>25.73</v>
      </c>
      <c r="BG1196" s="9">
        <f>VLOOKUP(A1196,Jogos!A:BN,65,0)</f>
        <v>45.645</v>
      </c>
      <c r="BH1196" s="9">
        <f>VLOOKUP(A1196,Jogos!A:BN,66,0)</f>
        <v>30.195</v>
      </c>
      <c r="BI1196" s="9"/>
      <c r="BJ1196" s="9"/>
    </row>
    <row r="1197" hidden="1">
      <c r="A1197" s="2">
        <v>41.0</v>
      </c>
      <c r="B1197" s="15" t="s">
        <v>562</v>
      </c>
      <c r="C1197" s="2" t="s">
        <v>61</v>
      </c>
      <c r="D1197" s="3">
        <v>45833.0</v>
      </c>
      <c r="E1197" s="4">
        <v>0.625</v>
      </c>
      <c r="F1197" s="5" t="str">
        <f>VLOOKUP(A1197,Jogos!A:N,10,0)</f>
        <v>Afternoon</v>
      </c>
      <c r="G1197" s="2" t="s">
        <v>122</v>
      </c>
      <c r="H1197" s="6" t="str">
        <f>VLOOKUP(A1197,Jogos!A:L,12,0)</f>
        <v>Open</v>
      </c>
      <c r="I1197" s="6" t="str">
        <f>VLOOKUP(G1197,'Estádios e Cidades'!A:B,2,0)</f>
        <v>Cincinnati</v>
      </c>
      <c r="J1197" s="2" t="s">
        <v>564</v>
      </c>
      <c r="K1197" s="2" t="str">
        <f>VLOOKUP(J1197,Equipes!A:F,6,0)</f>
        <v>Temperate</v>
      </c>
      <c r="L1197" s="2">
        <f>VLOOKUP(J1197,Equipes!A:C,3,0)</f>
        <v>5</v>
      </c>
      <c r="M1197" s="2" t="str">
        <f t="shared" si="4"/>
        <v>Quarter-final</v>
      </c>
      <c r="N1197" s="2" t="s">
        <v>687</v>
      </c>
      <c r="O1197" s="2">
        <f>VLOOKUP(N1197,Equipes!A:C,3,0)</f>
        <v>28</v>
      </c>
      <c r="P1197" s="2" t="str">
        <f t="shared" si="5"/>
        <v>Group</v>
      </c>
      <c r="Q1197" s="2">
        <f t="shared" si="6"/>
        <v>-23</v>
      </c>
      <c r="R1197" s="2" t="str">
        <f>VLOOKUP(J1197,Equipes!A:B,2,0)</f>
        <v>Borussia</v>
      </c>
      <c r="S1197" s="6" t="s">
        <v>601</v>
      </c>
      <c r="T1197" s="7">
        <v>13.0</v>
      </c>
      <c r="U1197" s="7" t="s">
        <v>602</v>
      </c>
      <c r="V1197" s="7" t="str">
        <f>VLOOKUP(U1197,Jogadores!B:C,2,0)</f>
        <v>MF</v>
      </c>
      <c r="W1197" s="8">
        <f>VLOOKUP(U1197,Jogadores!B:D,3,0)</f>
        <v>34.14246575</v>
      </c>
      <c r="X1197" s="7">
        <v>0.0</v>
      </c>
      <c r="Y1197" s="7">
        <v>78.0</v>
      </c>
      <c r="Z1197" s="7">
        <f>VLOOKUP(A1197,Jogos!A:L,3,0)</f>
        <v>48</v>
      </c>
      <c r="AA1197" s="7">
        <f t="shared" si="2229"/>
        <v>48</v>
      </c>
      <c r="AB1197" s="7">
        <f>VLOOKUP(A1197,Jogos!A:L,4,0)</f>
        <v>49</v>
      </c>
      <c r="AC1197" s="7">
        <f t="shared" si="2230"/>
        <v>33</v>
      </c>
      <c r="AD1197" s="7"/>
      <c r="AE1197" s="7"/>
      <c r="AF1197" s="7">
        <f t="shared" si="2231"/>
        <v>81</v>
      </c>
      <c r="AG1197" s="7">
        <v>9401.4</v>
      </c>
      <c r="AH1197" s="7">
        <v>2951.0</v>
      </c>
      <c r="AI1197" s="7">
        <v>4468.8</v>
      </c>
      <c r="AJ1197" s="7">
        <v>1576.1</v>
      </c>
      <c r="AK1197" s="7">
        <v>371.5</v>
      </c>
      <c r="AL1197" s="7">
        <v>34.1</v>
      </c>
      <c r="AM1197" s="7">
        <v>138.0</v>
      </c>
      <c r="AN1197" s="7">
        <v>29.0</v>
      </c>
      <c r="AO1197" s="7">
        <v>26.9</v>
      </c>
      <c r="AP1197" s="9">
        <f t="shared" ref="AP1197:AR1197" si="3736">AG1197/$AF1197</f>
        <v>116.0666667</v>
      </c>
      <c r="AQ1197" s="9">
        <f t="shared" si="3736"/>
        <v>36.43209877</v>
      </c>
      <c r="AR1197" s="9">
        <f t="shared" si="3736"/>
        <v>55.17037037</v>
      </c>
      <c r="AS1197" s="9">
        <f t="shared" si="2233"/>
        <v>91.60246914</v>
      </c>
      <c r="AT1197" s="9">
        <f t="shared" ref="AT1197:AV1197" si="3737">AJ1197/$AF1197</f>
        <v>19.45802469</v>
      </c>
      <c r="AU1197" s="9">
        <f t="shared" si="3737"/>
        <v>4.586419753</v>
      </c>
      <c r="AV1197" s="9">
        <f t="shared" si="3737"/>
        <v>0.4209876543</v>
      </c>
      <c r="AW1197" s="9">
        <f t="shared" si="2235"/>
        <v>5.007407407</v>
      </c>
      <c r="AX1197" s="9">
        <f t="shared" ref="AX1197:AY1197" si="3738">AM1197/$AF1197</f>
        <v>1.703703704</v>
      </c>
      <c r="AY1197" s="9">
        <f t="shared" si="3738"/>
        <v>0.3580246914</v>
      </c>
      <c r="AZ1197" s="9">
        <f>VLOOKUP(A1197,Jogos!A:BN,58,0)</f>
        <v>30.535</v>
      </c>
      <c r="BA1197" s="9">
        <f>VLOOKUP(A1197,Jogos!A:BN,59,0)</f>
        <v>22.76</v>
      </c>
      <c r="BB1197" s="9">
        <f>VLOOKUP(A1197,Jogos!A:BN,60,0)</f>
        <v>62.5</v>
      </c>
      <c r="BC1197" s="9">
        <f>VLOOKUP(A1197,Jogos!A:BN,61,0)</f>
        <v>31.25</v>
      </c>
      <c r="BD1197" s="9">
        <f>VLOOKUP(A1197,Jogos!A:BN,62,0)</f>
        <v>612.6</v>
      </c>
      <c r="BE1197" s="9">
        <f>VLOOKUP(A1197,Jogos!A:BN,63,0)</f>
        <v>1.575</v>
      </c>
      <c r="BF1197" s="9">
        <f>VLOOKUP(A1197,Jogos!A:BN,64,0)</f>
        <v>25.73</v>
      </c>
      <c r="BG1197" s="9">
        <f>VLOOKUP(A1197,Jogos!A:BN,65,0)</f>
        <v>45.645</v>
      </c>
      <c r="BH1197" s="9">
        <f>VLOOKUP(A1197,Jogos!A:BN,66,0)</f>
        <v>30.195</v>
      </c>
      <c r="BI1197" s="9"/>
      <c r="BJ1197" s="9"/>
    </row>
    <row r="1198" hidden="1">
      <c r="A1198" s="2">
        <v>41.0</v>
      </c>
      <c r="B1198" s="15" t="s">
        <v>562</v>
      </c>
      <c r="C1198" s="2" t="s">
        <v>61</v>
      </c>
      <c r="D1198" s="3">
        <v>45833.0</v>
      </c>
      <c r="E1198" s="4">
        <v>0.625</v>
      </c>
      <c r="F1198" s="5" t="str">
        <f>VLOOKUP(A1198,Jogos!A:N,10,0)</f>
        <v>Afternoon</v>
      </c>
      <c r="G1198" s="2" t="s">
        <v>122</v>
      </c>
      <c r="H1198" s="6" t="str">
        <f>VLOOKUP(A1198,Jogos!A:L,12,0)</f>
        <v>Open</v>
      </c>
      <c r="I1198" s="6" t="str">
        <f>VLOOKUP(G1198,'Estádios e Cidades'!A:B,2,0)</f>
        <v>Cincinnati</v>
      </c>
      <c r="J1198" s="2" t="s">
        <v>564</v>
      </c>
      <c r="K1198" s="2" t="str">
        <f>VLOOKUP(J1198,Equipes!A:F,6,0)</f>
        <v>Temperate</v>
      </c>
      <c r="L1198" s="2">
        <f>VLOOKUP(J1198,Equipes!A:C,3,0)</f>
        <v>5</v>
      </c>
      <c r="M1198" s="2" t="str">
        <f t="shared" si="4"/>
        <v>Quarter-final</v>
      </c>
      <c r="N1198" s="2" t="s">
        <v>687</v>
      </c>
      <c r="O1198" s="2">
        <f>VLOOKUP(N1198,Equipes!A:C,3,0)</f>
        <v>28</v>
      </c>
      <c r="P1198" s="2" t="str">
        <f t="shared" si="5"/>
        <v>Group</v>
      </c>
      <c r="Q1198" s="2">
        <f t="shared" si="6"/>
        <v>-23</v>
      </c>
      <c r="R1198" s="2" t="str">
        <f>VLOOKUP(J1198,Equipes!A:B,2,0)</f>
        <v>Borussia</v>
      </c>
      <c r="S1198" s="6" t="s">
        <v>605</v>
      </c>
      <c r="T1198" s="7">
        <v>24.0</v>
      </c>
      <c r="U1198" s="7" t="s">
        <v>606</v>
      </c>
      <c r="V1198" s="7" t="str">
        <f>VLOOKUP(U1198,Jogadores!B:C,2,0)</f>
        <v>DF</v>
      </c>
      <c r="W1198" s="8">
        <f>VLOOKUP(U1198,Jogadores!B:D,3,0)</f>
        <v>23.47123288</v>
      </c>
      <c r="X1198" s="7">
        <v>0.0</v>
      </c>
      <c r="Y1198" s="7">
        <f t="shared" ref="Y1198:Y1199" si="3742">45+AB1198</f>
        <v>94</v>
      </c>
      <c r="Z1198" s="7">
        <f>VLOOKUP(A1198,Jogos!A:L,3,0)</f>
        <v>48</v>
      </c>
      <c r="AA1198" s="7">
        <f t="shared" si="2229"/>
        <v>48</v>
      </c>
      <c r="AB1198" s="7">
        <f>VLOOKUP(A1198,Jogos!A:L,4,0)</f>
        <v>49</v>
      </c>
      <c r="AC1198" s="7">
        <f t="shared" si="2230"/>
        <v>49</v>
      </c>
      <c r="AD1198" s="7"/>
      <c r="AE1198" s="7"/>
      <c r="AF1198" s="7">
        <f t="shared" si="2231"/>
        <v>97</v>
      </c>
      <c r="AG1198" s="7">
        <v>11552.7</v>
      </c>
      <c r="AH1198" s="7">
        <v>3618.6</v>
      </c>
      <c r="AI1198" s="7">
        <v>4864.5</v>
      </c>
      <c r="AJ1198" s="7">
        <v>1818.2</v>
      </c>
      <c r="AK1198" s="7">
        <v>1039.9</v>
      </c>
      <c r="AL1198" s="7">
        <v>211.6</v>
      </c>
      <c r="AM1198" s="7">
        <v>155.0</v>
      </c>
      <c r="AN1198" s="7">
        <v>74.0</v>
      </c>
      <c r="AO1198" s="7">
        <v>32.0</v>
      </c>
      <c r="AP1198" s="9">
        <f t="shared" ref="AP1198:AR1198" si="3739">AG1198/$AF1198</f>
        <v>119.1</v>
      </c>
      <c r="AQ1198" s="9">
        <f t="shared" si="3739"/>
        <v>37.30515464</v>
      </c>
      <c r="AR1198" s="9">
        <f t="shared" si="3739"/>
        <v>50.14948454</v>
      </c>
      <c r="AS1198" s="9">
        <f t="shared" si="2233"/>
        <v>87.45463918</v>
      </c>
      <c r="AT1198" s="9">
        <f t="shared" ref="AT1198:AV1198" si="3740">AJ1198/$AF1198</f>
        <v>18.7443299</v>
      </c>
      <c r="AU1198" s="9">
        <f t="shared" si="3740"/>
        <v>10.72061856</v>
      </c>
      <c r="AV1198" s="9">
        <f t="shared" si="3740"/>
        <v>2.181443299</v>
      </c>
      <c r="AW1198" s="9">
        <f t="shared" si="2235"/>
        <v>12.90206186</v>
      </c>
      <c r="AX1198" s="9">
        <f t="shared" ref="AX1198:AY1198" si="3741">AM1198/$AF1198</f>
        <v>1.597938144</v>
      </c>
      <c r="AY1198" s="9">
        <f t="shared" si="3741"/>
        <v>0.7628865979</v>
      </c>
      <c r="AZ1198" s="9">
        <f>VLOOKUP(A1198,Jogos!A:BN,58,0)</f>
        <v>30.535</v>
      </c>
      <c r="BA1198" s="9">
        <f>VLOOKUP(A1198,Jogos!A:BN,59,0)</f>
        <v>22.76</v>
      </c>
      <c r="BB1198" s="9">
        <f>VLOOKUP(A1198,Jogos!A:BN,60,0)</f>
        <v>62.5</v>
      </c>
      <c r="BC1198" s="9">
        <f>VLOOKUP(A1198,Jogos!A:BN,61,0)</f>
        <v>31.25</v>
      </c>
      <c r="BD1198" s="9">
        <f>VLOOKUP(A1198,Jogos!A:BN,62,0)</f>
        <v>612.6</v>
      </c>
      <c r="BE1198" s="9">
        <f>VLOOKUP(A1198,Jogos!A:BN,63,0)</f>
        <v>1.575</v>
      </c>
      <c r="BF1198" s="9">
        <f>VLOOKUP(A1198,Jogos!A:BN,64,0)</f>
        <v>25.73</v>
      </c>
      <c r="BG1198" s="9">
        <f>VLOOKUP(A1198,Jogos!A:BN,65,0)</f>
        <v>45.645</v>
      </c>
      <c r="BH1198" s="9">
        <f>VLOOKUP(A1198,Jogos!A:BN,66,0)</f>
        <v>30.195</v>
      </c>
      <c r="BI1198" s="9"/>
      <c r="BJ1198" s="9"/>
    </row>
    <row r="1199" hidden="1">
      <c r="A1199" s="2">
        <v>41.0</v>
      </c>
      <c r="B1199" s="15" t="s">
        <v>562</v>
      </c>
      <c r="C1199" s="2" t="s">
        <v>61</v>
      </c>
      <c r="D1199" s="3">
        <v>45833.0</v>
      </c>
      <c r="E1199" s="4">
        <v>0.625</v>
      </c>
      <c r="F1199" s="5" t="str">
        <f>VLOOKUP(A1199,Jogos!A:N,10,0)</f>
        <v>Afternoon</v>
      </c>
      <c r="G1199" s="2" t="s">
        <v>122</v>
      </c>
      <c r="H1199" s="6" t="str">
        <f>VLOOKUP(A1199,Jogos!A:L,12,0)</f>
        <v>Open</v>
      </c>
      <c r="I1199" s="6" t="str">
        <f>VLOOKUP(G1199,'Estádios e Cidades'!A:B,2,0)</f>
        <v>Cincinnati</v>
      </c>
      <c r="J1199" s="2" t="s">
        <v>564</v>
      </c>
      <c r="K1199" s="2" t="str">
        <f>VLOOKUP(J1199,Equipes!A:F,6,0)</f>
        <v>Temperate</v>
      </c>
      <c r="L1199" s="2">
        <f>VLOOKUP(J1199,Equipes!A:C,3,0)</f>
        <v>5</v>
      </c>
      <c r="M1199" s="2" t="str">
        <f t="shared" si="4"/>
        <v>Quarter-final</v>
      </c>
      <c r="N1199" s="2" t="s">
        <v>687</v>
      </c>
      <c r="O1199" s="2">
        <f>VLOOKUP(N1199,Equipes!A:C,3,0)</f>
        <v>28</v>
      </c>
      <c r="P1199" s="2" t="str">
        <f t="shared" si="5"/>
        <v>Group</v>
      </c>
      <c r="Q1199" s="2">
        <f t="shared" si="6"/>
        <v>-23</v>
      </c>
      <c r="R1199" s="2" t="str">
        <f>VLOOKUP(J1199,Equipes!A:B,2,0)</f>
        <v>Borussia</v>
      </c>
      <c r="S1199" s="6" t="s">
        <v>609</v>
      </c>
      <c r="T1199" s="7">
        <v>26.0</v>
      </c>
      <c r="U1199" s="7" t="s">
        <v>610</v>
      </c>
      <c r="V1199" s="7" t="str">
        <f>VLOOKUP(U1199,Jogadores!B:C,2,0)</f>
        <v>DF</v>
      </c>
      <c r="W1199" s="8">
        <f>VLOOKUP(U1199,Jogadores!B:D,3,0)</f>
        <v>27.71232877</v>
      </c>
      <c r="X1199" s="7">
        <v>0.0</v>
      </c>
      <c r="Y1199" s="7">
        <f t="shared" si="3742"/>
        <v>94</v>
      </c>
      <c r="Z1199" s="7">
        <f>VLOOKUP(A1199,Jogos!A:L,3,0)</f>
        <v>48</v>
      </c>
      <c r="AA1199" s="7">
        <f t="shared" si="2229"/>
        <v>48</v>
      </c>
      <c r="AB1199" s="7">
        <f>VLOOKUP(A1199,Jogos!A:L,4,0)</f>
        <v>49</v>
      </c>
      <c r="AC1199" s="7">
        <f t="shared" si="2230"/>
        <v>49</v>
      </c>
      <c r="AD1199" s="7"/>
      <c r="AE1199" s="7"/>
      <c r="AF1199" s="7">
        <f t="shared" si="2231"/>
        <v>97</v>
      </c>
      <c r="AG1199" s="7">
        <v>9983.0</v>
      </c>
      <c r="AH1199" s="7">
        <v>4020.7</v>
      </c>
      <c r="AI1199" s="7">
        <v>4062.7</v>
      </c>
      <c r="AJ1199" s="7">
        <v>1230.1</v>
      </c>
      <c r="AK1199" s="7">
        <v>533.9</v>
      </c>
      <c r="AL1199" s="7">
        <v>135.6</v>
      </c>
      <c r="AM1199" s="7">
        <v>108.0</v>
      </c>
      <c r="AN1199" s="7">
        <v>41.0</v>
      </c>
      <c r="AO1199" s="7">
        <v>30.8</v>
      </c>
      <c r="AP1199" s="9">
        <f t="shared" ref="AP1199:AR1199" si="3743">AG1199/$AF1199</f>
        <v>102.9175258</v>
      </c>
      <c r="AQ1199" s="9">
        <f t="shared" si="3743"/>
        <v>41.45051546</v>
      </c>
      <c r="AR1199" s="9">
        <f t="shared" si="3743"/>
        <v>41.88350515</v>
      </c>
      <c r="AS1199" s="9">
        <f t="shared" si="2233"/>
        <v>83.33402062</v>
      </c>
      <c r="AT1199" s="9">
        <f t="shared" ref="AT1199:AV1199" si="3744">AJ1199/$AF1199</f>
        <v>12.6814433</v>
      </c>
      <c r="AU1199" s="9">
        <f t="shared" si="3744"/>
        <v>5.504123711</v>
      </c>
      <c r="AV1199" s="9">
        <f t="shared" si="3744"/>
        <v>1.397938144</v>
      </c>
      <c r="AW1199" s="9">
        <f t="shared" si="2235"/>
        <v>6.902061856</v>
      </c>
      <c r="AX1199" s="9">
        <f t="shared" ref="AX1199:AY1199" si="3745">AM1199/$AF1199</f>
        <v>1.113402062</v>
      </c>
      <c r="AY1199" s="9">
        <f t="shared" si="3745"/>
        <v>0.4226804124</v>
      </c>
      <c r="AZ1199" s="9">
        <f>VLOOKUP(A1199,Jogos!A:BN,58,0)</f>
        <v>30.535</v>
      </c>
      <c r="BA1199" s="9">
        <f>VLOOKUP(A1199,Jogos!A:BN,59,0)</f>
        <v>22.76</v>
      </c>
      <c r="BB1199" s="9">
        <f>VLOOKUP(A1199,Jogos!A:BN,60,0)</f>
        <v>62.5</v>
      </c>
      <c r="BC1199" s="9">
        <f>VLOOKUP(A1199,Jogos!A:BN,61,0)</f>
        <v>31.25</v>
      </c>
      <c r="BD1199" s="9">
        <f>VLOOKUP(A1199,Jogos!A:BN,62,0)</f>
        <v>612.6</v>
      </c>
      <c r="BE1199" s="9">
        <f>VLOOKUP(A1199,Jogos!A:BN,63,0)</f>
        <v>1.575</v>
      </c>
      <c r="BF1199" s="9">
        <f>VLOOKUP(A1199,Jogos!A:BN,64,0)</f>
        <v>25.73</v>
      </c>
      <c r="BG1199" s="9">
        <f>VLOOKUP(A1199,Jogos!A:BN,65,0)</f>
        <v>45.645</v>
      </c>
      <c r="BH1199" s="9">
        <f>VLOOKUP(A1199,Jogos!A:BN,66,0)</f>
        <v>30.195</v>
      </c>
      <c r="BI1199" s="9"/>
      <c r="BJ1199" s="9"/>
    </row>
    <row r="1200" hidden="1">
      <c r="A1200" s="2">
        <v>41.0</v>
      </c>
      <c r="B1200" s="15" t="s">
        <v>562</v>
      </c>
      <c r="C1200" s="2" t="s">
        <v>61</v>
      </c>
      <c r="D1200" s="3">
        <v>45833.0</v>
      </c>
      <c r="E1200" s="4">
        <v>0.625</v>
      </c>
      <c r="F1200" s="5" t="str">
        <f>VLOOKUP(A1200,Jogos!A:N,10,0)</f>
        <v>Afternoon</v>
      </c>
      <c r="G1200" s="2" t="s">
        <v>122</v>
      </c>
      <c r="H1200" s="6" t="str">
        <f>VLOOKUP(A1200,Jogos!A:L,12,0)</f>
        <v>Open</v>
      </c>
      <c r="I1200" s="6" t="str">
        <f>VLOOKUP(G1200,'Estádios e Cidades'!A:B,2,0)</f>
        <v>Cincinnati</v>
      </c>
      <c r="J1200" s="2" t="s">
        <v>564</v>
      </c>
      <c r="K1200" s="2" t="str">
        <f>VLOOKUP(J1200,Equipes!A:F,6,0)</f>
        <v>Temperate</v>
      </c>
      <c r="L1200" s="2">
        <f>VLOOKUP(J1200,Equipes!A:C,3,0)</f>
        <v>5</v>
      </c>
      <c r="M1200" s="2" t="str">
        <f t="shared" si="4"/>
        <v>Quarter-final</v>
      </c>
      <c r="N1200" s="2" t="s">
        <v>687</v>
      </c>
      <c r="O1200" s="2">
        <f>VLOOKUP(N1200,Equipes!A:C,3,0)</f>
        <v>28</v>
      </c>
      <c r="P1200" s="2" t="str">
        <f t="shared" si="5"/>
        <v>Group</v>
      </c>
      <c r="Q1200" s="2">
        <f t="shared" si="6"/>
        <v>-23</v>
      </c>
      <c r="R1200" s="2" t="str">
        <f>VLOOKUP(J1200,Equipes!A:B,2,0)</f>
        <v>Borussia</v>
      </c>
      <c r="S1200" s="6" t="s">
        <v>611</v>
      </c>
      <c r="T1200" s="7">
        <v>27.0</v>
      </c>
      <c r="U1200" s="7" t="s">
        <v>612</v>
      </c>
      <c r="V1200" s="7" t="str">
        <f>VLOOKUP(U1200,Jogadores!B:C,2,0)</f>
        <v>FW</v>
      </c>
      <c r="W1200" s="8">
        <f>VLOOKUP(U1200,Jogadores!B:D,3,0)</f>
        <v>23.53972603</v>
      </c>
      <c r="X1200" s="7">
        <v>0.0</v>
      </c>
      <c r="Y1200" s="7">
        <v>58.0</v>
      </c>
      <c r="Z1200" s="7">
        <f>VLOOKUP(A1200,Jogos!A:L,3,0)</f>
        <v>48</v>
      </c>
      <c r="AA1200" s="7">
        <f t="shared" si="2229"/>
        <v>48</v>
      </c>
      <c r="AB1200" s="7">
        <f>VLOOKUP(A1200,Jogos!A:L,4,0)</f>
        <v>49</v>
      </c>
      <c r="AC1200" s="7">
        <f t="shared" si="2230"/>
        <v>13</v>
      </c>
      <c r="AD1200" s="7"/>
      <c r="AE1200" s="7"/>
      <c r="AF1200" s="7">
        <f t="shared" si="2231"/>
        <v>61</v>
      </c>
      <c r="AG1200" s="7">
        <v>5822.9</v>
      </c>
      <c r="AH1200" s="7">
        <v>2538.4</v>
      </c>
      <c r="AI1200" s="7">
        <v>2142.2</v>
      </c>
      <c r="AJ1200" s="7">
        <v>551.1</v>
      </c>
      <c r="AK1200" s="7">
        <v>335.8</v>
      </c>
      <c r="AL1200" s="7">
        <v>255.3</v>
      </c>
      <c r="AM1200" s="7">
        <v>47.0</v>
      </c>
      <c r="AN1200" s="7">
        <v>31.0</v>
      </c>
      <c r="AO1200" s="7">
        <v>34.4</v>
      </c>
      <c r="AP1200" s="9">
        <f t="shared" ref="AP1200:AR1200" si="3746">AG1200/$AF1200</f>
        <v>95.45737705</v>
      </c>
      <c r="AQ1200" s="9">
        <f t="shared" si="3746"/>
        <v>41.61311475</v>
      </c>
      <c r="AR1200" s="9">
        <f t="shared" si="3746"/>
        <v>35.11803279</v>
      </c>
      <c r="AS1200" s="9">
        <f t="shared" si="2233"/>
        <v>76.73114754</v>
      </c>
      <c r="AT1200" s="9">
        <f t="shared" ref="AT1200:AV1200" si="3747">AJ1200/$AF1200</f>
        <v>9.03442623</v>
      </c>
      <c r="AU1200" s="9">
        <f t="shared" si="3747"/>
        <v>5.504918033</v>
      </c>
      <c r="AV1200" s="9">
        <f t="shared" si="3747"/>
        <v>4.185245902</v>
      </c>
      <c r="AW1200" s="9">
        <f t="shared" si="2235"/>
        <v>9.690163934</v>
      </c>
      <c r="AX1200" s="9">
        <f t="shared" ref="AX1200:AY1200" si="3748">AM1200/$AF1200</f>
        <v>0.7704918033</v>
      </c>
      <c r="AY1200" s="9">
        <f t="shared" si="3748"/>
        <v>0.5081967213</v>
      </c>
      <c r="AZ1200" s="9">
        <f>VLOOKUP(A1200,Jogos!A:BN,58,0)</f>
        <v>30.535</v>
      </c>
      <c r="BA1200" s="9">
        <f>VLOOKUP(A1200,Jogos!A:BN,59,0)</f>
        <v>22.76</v>
      </c>
      <c r="BB1200" s="9">
        <f>VLOOKUP(A1200,Jogos!A:BN,60,0)</f>
        <v>62.5</v>
      </c>
      <c r="BC1200" s="9">
        <f>VLOOKUP(A1200,Jogos!A:BN,61,0)</f>
        <v>31.25</v>
      </c>
      <c r="BD1200" s="9">
        <f>VLOOKUP(A1200,Jogos!A:BN,62,0)</f>
        <v>612.6</v>
      </c>
      <c r="BE1200" s="9">
        <f>VLOOKUP(A1200,Jogos!A:BN,63,0)</f>
        <v>1.575</v>
      </c>
      <c r="BF1200" s="9">
        <f>VLOOKUP(A1200,Jogos!A:BN,64,0)</f>
        <v>25.73</v>
      </c>
      <c r="BG1200" s="9">
        <f>VLOOKUP(A1200,Jogos!A:BN,65,0)</f>
        <v>45.645</v>
      </c>
      <c r="BH1200" s="9">
        <f>VLOOKUP(A1200,Jogos!A:BN,66,0)</f>
        <v>30.195</v>
      </c>
      <c r="BI1200" s="9"/>
      <c r="BJ1200" s="9"/>
    </row>
    <row r="1201" hidden="1">
      <c r="A1201" s="2">
        <v>41.0</v>
      </c>
      <c r="B1201" s="15" t="s">
        <v>562</v>
      </c>
      <c r="C1201" s="2" t="s">
        <v>61</v>
      </c>
      <c r="D1201" s="3">
        <v>45833.0</v>
      </c>
      <c r="E1201" s="4">
        <v>0.625</v>
      </c>
      <c r="F1201" s="5" t="str">
        <f>VLOOKUP(A1201,Jogos!A:N,10,0)</f>
        <v>Afternoon</v>
      </c>
      <c r="G1201" s="2" t="s">
        <v>122</v>
      </c>
      <c r="H1201" s="6" t="str">
        <f>VLOOKUP(A1201,Jogos!A:L,12,0)</f>
        <v>Open</v>
      </c>
      <c r="I1201" s="6" t="str">
        <f>VLOOKUP(G1201,'Estádios e Cidades'!A:B,2,0)</f>
        <v>Cincinnati</v>
      </c>
      <c r="J1201" s="2" t="s">
        <v>564</v>
      </c>
      <c r="K1201" s="2" t="str">
        <f>VLOOKUP(J1201,Equipes!A:F,6,0)</f>
        <v>Temperate</v>
      </c>
      <c r="L1201" s="2">
        <f>VLOOKUP(J1201,Equipes!A:C,3,0)</f>
        <v>5</v>
      </c>
      <c r="M1201" s="2" t="str">
        <f t="shared" si="4"/>
        <v>Quarter-final</v>
      </c>
      <c r="N1201" s="2" t="s">
        <v>687</v>
      </c>
      <c r="O1201" s="2">
        <f>VLOOKUP(N1201,Equipes!A:C,3,0)</f>
        <v>28</v>
      </c>
      <c r="P1201" s="2" t="str">
        <f t="shared" si="5"/>
        <v>Group</v>
      </c>
      <c r="Q1201" s="2">
        <f t="shared" si="6"/>
        <v>-23</v>
      </c>
      <c r="R1201" s="2" t="str">
        <f>VLOOKUP(J1201,Equipes!A:B,2,0)</f>
        <v>Borussia</v>
      </c>
      <c r="S1201" s="6" t="s">
        <v>621</v>
      </c>
      <c r="T1201" s="7">
        <v>77.0</v>
      </c>
      <c r="U1201" s="7" t="s">
        <v>622</v>
      </c>
      <c r="V1201" s="7" t="str">
        <f>VLOOKUP(U1201,Jogadores!B:C,2,0)</f>
        <v>MF</v>
      </c>
      <c r="W1201" s="8">
        <f>VLOOKUP(U1201,Jogadores!B:D,3,0)</f>
        <v>19.85753425</v>
      </c>
      <c r="X1201" s="7">
        <v>0.0</v>
      </c>
      <c r="Y1201" s="7">
        <v>58.0</v>
      </c>
      <c r="Z1201" s="7">
        <f>VLOOKUP(A1201,Jogos!A:L,3,0)</f>
        <v>48</v>
      </c>
      <c r="AA1201" s="7">
        <f t="shared" si="2229"/>
        <v>48</v>
      </c>
      <c r="AB1201" s="7">
        <f>VLOOKUP(A1201,Jogos!A:L,4,0)</f>
        <v>49</v>
      </c>
      <c r="AC1201" s="7">
        <f t="shared" si="2230"/>
        <v>13</v>
      </c>
      <c r="AD1201" s="7"/>
      <c r="AE1201" s="7"/>
      <c r="AF1201" s="7">
        <f t="shared" si="2231"/>
        <v>61</v>
      </c>
      <c r="AG1201" s="7">
        <v>6257.5</v>
      </c>
      <c r="AH1201" s="7">
        <v>2562.8</v>
      </c>
      <c r="AI1201" s="7">
        <v>2466.2</v>
      </c>
      <c r="AJ1201" s="7">
        <v>874.2</v>
      </c>
      <c r="AK1201" s="7">
        <v>243.1</v>
      </c>
      <c r="AL1201" s="7">
        <v>111.2</v>
      </c>
      <c r="AM1201" s="7">
        <v>83.0</v>
      </c>
      <c r="AN1201" s="7">
        <v>21.0</v>
      </c>
      <c r="AO1201" s="7">
        <v>29.8</v>
      </c>
      <c r="AP1201" s="9">
        <f t="shared" ref="AP1201:AR1201" si="3749">AG1201/$AF1201</f>
        <v>102.5819672</v>
      </c>
      <c r="AQ1201" s="9">
        <f t="shared" si="3749"/>
        <v>42.01311475</v>
      </c>
      <c r="AR1201" s="9">
        <f t="shared" si="3749"/>
        <v>40.4295082</v>
      </c>
      <c r="AS1201" s="9">
        <f t="shared" si="2233"/>
        <v>82.44262295</v>
      </c>
      <c r="AT1201" s="9">
        <f t="shared" ref="AT1201:AV1201" si="3750">AJ1201/$AF1201</f>
        <v>14.33114754</v>
      </c>
      <c r="AU1201" s="9">
        <f t="shared" si="3750"/>
        <v>3.985245902</v>
      </c>
      <c r="AV1201" s="9">
        <f t="shared" si="3750"/>
        <v>1.82295082</v>
      </c>
      <c r="AW1201" s="9">
        <f t="shared" si="2235"/>
        <v>5.808196721</v>
      </c>
      <c r="AX1201" s="9">
        <f t="shared" ref="AX1201:AY1201" si="3751">AM1201/$AF1201</f>
        <v>1.360655738</v>
      </c>
      <c r="AY1201" s="9">
        <f t="shared" si="3751"/>
        <v>0.3442622951</v>
      </c>
      <c r="AZ1201" s="9">
        <f>VLOOKUP(A1201,Jogos!A:BN,58,0)</f>
        <v>30.535</v>
      </c>
      <c r="BA1201" s="9">
        <f>VLOOKUP(A1201,Jogos!A:BN,59,0)</f>
        <v>22.76</v>
      </c>
      <c r="BB1201" s="9">
        <f>VLOOKUP(A1201,Jogos!A:BN,60,0)</f>
        <v>62.5</v>
      </c>
      <c r="BC1201" s="9">
        <f>VLOOKUP(A1201,Jogos!A:BN,61,0)</f>
        <v>31.25</v>
      </c>
      <c r="BD1201" s="9">
        <f>VLOOKUP(A1201,Jogos!A:BN,62,0)</f>
        <v>612.6</v>
      </c>
      <c r="BE1201" s="9">
        <f>VLOOKUP(A1201,Jogos!A:BN,63,0)</f>
        <v>1.575</v>
      </c>
      <c r="BF1201" s="9">
        <f>VLOOKUP(A1201,Jogos!A:BN,64,0)</f>
        <v>25.73</v>
      </c>
      <c r="BG1201" s="9">
        <f>VLOOKUP(A1201,Jogos!A:BN,65,0)</f>
        <v>45.645</v>
      </c>
      <c r="BH1201" s="9">
        <f>VLOOKUP(A1201,Jogos!A:BN,66,0)</f>
        <v>30.195</v>
      </c>
      <c r="BI1201" s="9"/>
      <c r="BJ1201" s="9"/>
    </row>
    <row r="1202" hidden="1">
      <c r="A1202" s="2">
        <v>41.0</v>
      </c>
      <c r="B1202" s="15" t="s">
        <v>562</v>
      </c>
      <c r="C1202" s="2" t="s">
        <v>61</v>
      </c>
      <c r="D1202" s="3">
        <v>45833.0</v>
      </c>
      <c r="E1202" s="4">
        <v>0.625</v>
      </c>
      <c r="F1202" s="5" t="str">
        <f>VLOOKUP(A1202,Jogos!A:N,10,0)</f>
        <v>Afternoon</v>
      </c>
      <c r="G1202" s="2" t="s">
        <v>122</v>
      </c>
      <c r="H1202" s="6" t="str">
        <f>VLOOKUP(A1202,Jogos!A:L,12,0)</f>
        <v>Open</v>
      </c>
      <c r="I1202" s="6" t="str">
        <f>VLOOKUP(G1202,'Estádios e Cidades'!A:B,2,0)</f>
        <v>Cincinnati</v>
      </c>
      <c r="J1202" s="2" t="s">
        <v>564</v>
      </c>
      <c r="K1202" s="2" t="str">
        <f>VLOOKUP(J1202,Equipes!A:F,6,0)</f>
        <v>Temperate</v>
      </c>
      <c r="L1202" s="2">
        <f>VLOOKUP(J1202,Equipes!A:C,3,0)</f>
        <v>5</v>
      </c>
      <c r="M1202" s="2" t="str">
        <f t="shared" si="4"/>
        <v>Quarter-final</v>
      </c>
      <c r="N1202" s="2" t="s">
        <v>687</v>
      </c>
      <c r="O1202" s="2">
        <f>VLOOKUP(N1202,Equipes!A:C,3,0)</f>
        <v>28</v>
      </c>
      <c r="P1202" s="2" t="str">
        <f t="shared" si="5"/>
        <v>Group</v>
      </c>
      <c r="Q1202" s="2">
        <f t="shared" si="6"/>
        <v>-23</v>
      </c>
      <c r="R1202" s="2" t="str">
        <f>VLOOKUP(J1202,Equipes!A:B,2,0)</f>
        <v>Borussia</v>
      </c>
      <c r="S1202" s="6" t="s">
        <v>1293</v>
      </c>
      <c r="T1202" s="7">
        <v>7.0</v>
      </c>
      <c r="U1202" s="7" t="s">
        <v>1294</v>
      </c>
      <c r="V1202" s="7" t="str">
        <f>VLOOKUP(U1202,Jogadores!B:C,2,0)</f>
        <v>FW</v>
      </c>
      <c r="W1202" s="8">
        <f>VLOOKUP(U1202,Jogadores!B:D,3,0)</f>
        <v>22.72054795</v>
      </c>
      <c r="X1202" s="7">
        <v>78.0</v>
      </c>
      <c r="Y1202" s="7">
        <f t="shared" ref="Y1202:Y1206" si="3755">45+AB1202</f>
        <v>94</v>
      </c>
      <c r="Z1202" s="7">
        <f>VLOOKUP(A1202,Jogos!A:L,3,0)</f>
        <v>48</v>
      </c>
      <c r="AA1202" s="7">
        <f t="shared" si="2229"/>
        <v>0</v>
      </c>
      <c r="AB1202" s="7">
        <f>VLOOKUP(A1202,Jogos!A:L,4,0)</f>
        <v>49</v>
      </c>
      <c r="AC1202" s="7">
        <f t="shared" si="2230"/>
        <v>16</v>
      </c>
      <c r="AD1202" s="7"/>
      <c r="AE1202" s="7"/>
      <c r="AF1202" s="7">
        <f t="shared" si="2231"/>
        <v>16</v>
      </c>
      <c r="AG1202" s="7">
        <v>1844.7</v>
      </c>
      <c r="AH1202" s="7">
        <v>662.0</v>
      </c>
      <c r="AI1202" s="7">
        <v>728.1</v>
      </c>
      <c r="AJ1202" s="7">
        <v>347.1</v>
      </c>
      <c r="AK1202" s="7">
        <v>107.6</v>
      </c>
      <c r="AL1202" s="7">
        <v>33.0</v>
      </c>
      <c r="AM1202" s="7">
        <v>6.0</v>
      </c>
      <c r="AN1202" s="7">
        <v>23.4</v>
      </c>
      <c r="AO1202" s="7"/>
      <c r="AP1202" s="9">
        <f t="shared" ref="AP1202:AR1202" si="3752">AG1202/$AF1202</f>
        <v>115.29375</v>
      </c>
      <c r="AQ1202" s="9">
        <f t="shared" si="3752"/>
        <v>41.375</v>
      </c>
      <c r="AR1202" s="9">
        <f t="shared" si="3752"/>
        <v>45.50625</v>
      </c>
      <c r="AS1202" s="9">
        <f t="shared" si="2233"/>
        <v>86.88125</v>
      </c>
      <c r="AT1202" s="9">
        <f t="shared" ref="AT1202:AV1202" si="3753">AJ1202/$AF1202</f>
        <v>21.69375</v>
      </c>
      <c r="AU1202" s="9">
        <f t="shared" si="3753"/>
        <v>6.725</v>
      </c>
      <c r="AV1202" s="9">
        <f t="shared" si="3753"/>
        <v>2.0625</v>
      </c>
      <c r="AW1202" s="9">
        <f t="shared" si="2235"/>
        <v>8.7875</v>
      </c>
      <c r="AX1202" s="9">
        <f t="shared" ref="AX1202:AY1202" si="3754">AM1202/$AF1202</f>
        <v>0.375</v>
      </c>
      <c r="AY1202" s="9">
        <f t="shared" si="3754"/>
        <v>1.4625</v>
      </c>
      <c r="AZ1202" s="9">
        <f>VLOOKUP(A1202,Jogos!A:BN,58,0)</f>
        <v>30.535</v>
      </c>
      <c r="BA1202" s="9">
        <f>VLOOKUP(A1202,Jogos!A:BN,59,0)</f>
        <v>22.76</v>
      </c>
      <c r="BB1202" s="9">
        <f>VLOOKUP(A1202,Jogos!A:BN,60,0)</f>
        <v>62.5</v>
      </c>
      <c r="BC1202" s="9">
        <f>VLOOKUP(A1202,Jogos!A:BN,61,0)</f>
        <v>31.25</v>
      </c>
      <c r="BD1202" s="9">
        <f>VLOOKUP(A1202,Jogos!A:BN,62,0)</f>
        <v>612.6</v>
      </c>
      <c r="BE1202" s="9">
        <f>VLOOKUP(A1202,Jogos!A:BN,63,0)</f>
        <v>1.575</v>
      </c>
      <c r="BF1202" s="9">
        <f>VLOOKUP(A1202,Jogos!A:BN,64,0)</f>
        <v>25.73</v>
      </c>
      <c r="BG1202" s="9">
        <f>VLOOKUP(A1202,Jogos!A:BN,65,0)</f>
        <v>45.645</v>
      </c>
      <c r="BH1202" s="9">
        <f>VLOOKUP(A1202,Jogos!A:BN,66,0)</f>
        <v>30.195</v>
      </c>
      <c r="BI1202" s="9"/>
      <c r="BJ1202" s="9"/>
    </row>
    <row r="1203" hidden="1">
      <c r="A1203" s="2">
        <v>41.0</v>
      </c>
      <c r="B1203" s="15" t="s">
        <v>562</v>
      </c>
      <c r="C1203" s="2" t="s">
        <v>61</v>
      </c>
      <c r="D1203" s="3">
        <v>45833.0</v>
      </c>
      <c r="E1203" s="4">
        <v>0.625</v>
      </c>
      <c r="F1203" s="5" t="str">
        <f>VLOOKUP(A1203,Jogos!A:N,10,0)</f>
        <v>Afternoon</v>
      </c>
      <c r="G1203" s="2" t="s">
        <v>122</v>
      </c>
      <c r="H1203" s="6" t="str">
        <f>VLOOKUP(A1203,Jogos!A:L,12,0)</f>
        <v>Open</v>
      </c>
      <c r="I1203" s="6" t="str">
        <f>VLOOKUP(G1203,'Estádios e Cidades'!A:B,2,0)</f>
        <v>Cincinnati</v>
      </c>
      <c r="J1203" s="2" t="s">
        <v>564</v>
      </c>
      <c r="K1203" s="2" t="str">
        <f>VLOOKUP(J1203,Equipes!A:F,6,0)</f>
        <v>Temperate</v>
      </c>
      <c r="L1203" s="2">
        <f>VLOOKUP(J1203,Equipes!A:C,3,0)</f>
        <v>5</v>
      </c>
      <c r="M1203" s="2" t="str">
        <f t="shared" si="4"/>
        <v>Quarter-final</v>
      </c>
      <c r="N1203" s="2" t="s">
        <v>687</v>
      </c>
      <c r="O1203" s="2">
        <f>VLOOKUP(N1203,Equipes!A:C,3,0)</f>
        <v>28</v>
      </c>
      <c r="P1203" s="2" t="str">
        <f t="shared" si="5"/>
        <v>Group</v>
      </c>
      <c r="Q1203" s="2">
        <f t="shared" si="6"/>
        <v>-23</v>
      </c>
      <c r="R1203" s="2" t="str">
        <f>VLOOKUP(J1203,Equipes!A:B,2,0)</f>
        <v>Borussia</v>
      </c>
      <c r="S1203" s="6" t="s">
        <v>599</v>
      </c>
      <c r="T1203" s="7">
        <v>10.0</v>
      </c>
      <c r="U1203" s="7" t="s">
        <v>600</v>
      </c>
      <c r="V1203" s="7" t="str">
        <f>VLOOKUP(U1203,Jogadores!B:C,2,0)</f>
        <v>FW</v>
      </c>
      <c r="W1203" s="8">
        <f>VLOOKUP(U1203,Jogadores!B:D,3,0)</f>
        <v>28.92054795</v>
      </c>
      <c r="X1203" s="7">
        <v>58.0</v>
      </c>
      <c r="Y1203" s="7">
        <f t="shared" si="3755"/>
        <v>94</v>
      </c>
      <c r="Z1203" s="7">
        <f>VLOOKUP(A1203,Jogos!A:L,3,0)</f>
        <v>48</v>
      </c>
      <c r="AA1203" s="7">
        <f t="shared" si="2229"/>
        <v>0</v>
      </c>
      <c r="AB1203" s="7">
        <f>VLOOKUP(A1203,Jogos!A:L,4,0)</f>
        <v>49</v>
      </c>
      <c r="AC1203" s="7">
        <f t="shared" si="2230"/>
        <v>36</v>
      </c>
      <c r="AD1203" s="7"/>
      <c r="AE1203" s="7"/>
      <c r="AF1203" s="7">
        <f t="shared" si="2231"/>
        <v>36</v>
      </c>
      <c r="AG1203" s="7">
        <v>4186.5</v>
      </c>
      <c r="AH1203" s="7">
        <v>1312.1</v>
      </c>
      <c r="AI1203" s="7">
        <v>1814.9</v>
      </c>
      <c r="AJ1203" s="7">
        <v>772.8</v>
      </c>
      <c r="AK1203" s="7">
        <v>212.3</v>
      </c>
      <c r="AL1203" s="7">
        <v>74.4</v>
      </c>
      <c r="AM1203" s="7">
        <v>64.0</v>
      </c>
      <c r="AN1203" s="7">
        <v>18.0</v>
      </c>
      <c r="AO1203" s="7">
        <v>29.5</v>
      </c>
      <c r="AP1203" s="9">
        <f t="shared" ref="AP1203:AR1203" si="3756">AG1203/$AF1203</f>
        <v>116.2916667</v>
      </c>
      <c r="AQ1203" s="9">
        <f t="shared" si="3756"/>
        <v>36.44722222</v>
      </c>
      <c r="AR1203" s="9">
        <f t="shared" si="3756"/>
        <v>50.41388889</v>
      </c>
      <c r="AS1203" s="9">
        <f t="shared" si="2233"/>
        <v>86.86111111</v>
      </c>
      <c r="AT1203" s="9">
        <f t="shared" ref="AT1203:AV1203" si="3757">AJ1203/$AF1203</f>
        <v>21.46666667</v>
      </c>
      <c r="AU1203" s="9">
        <f t="shared" si="3757"/>
        <v>5.897222222</v>
      </c>
      <c r="AV1203" s="9">
        <f t="shared" si="3757"/>
        <v>2.066666667</v>
      </c>
      <c r="AW1203" s="9">
        <f t="shared" si="2235"/>
        <v>7.963888889</v>
      </c>
      <c r="AX1203" s="9">
        <f t="shared" ref="AX1203:AY1203" si="3758">AM1203/$AF1203</f>
        <v>1.777777778</v>
      </c>
      <c r="AY1203" s="9">
        <f t="shared" si="3758"/>
        <v>0.5</v>
      </c>
      <c r="AZ1203" s="9">
        <f>VLOOKUP(A1203,Jogos!A:BN,58,0)</f>
        <v>30.535</v>
      </c>
      <c r="BA1203" s="9">
        <f>VLOOKUP(A1203,Jogos!A:BN,59,0)</f>
        <v>22.76</v>
      </c>
      <c r="BB1203" s="9">
        <f>VLOOKUP(A1203,Jogos!A:BN,60,0)</f>
        <v>62.5</v>
      </c>
      <c r="BC1203" s="9">
        <f>VLOOKUP(A1203,Jogos!A:BN,61,0)</f>
        <v>31.25</v>
      </c>
      <c r="BD1203" s="9">
        <f>VLOOKUP(A1203,Jogos!A:BN,62,0)</f>
        <v>612.6</v>
      </c>
      <c r="BE1203" s="9">
        <f>VLOOKUP(A1203,Jogos!A:BN,63,0)</f>
        <v>1.575</v>
      </c>
      <c r="BF1203" s="9">
        <f>VLOOKUP(A1203,Jogos!A:BN,64,0)</f>
        <v>25.73</v>
      </c>
      <c r="BG1203" s="9">
        <f>VLOOKUP(A1203,Jogos!A:BN,65,0)</f>
        <v>45.645</v>
      </c>
      <c r="BH1203" s="9">
        <f>VLOOKUP(A1203,Jogos!A:BN,66,0)</f>
        <v>30.195</v>
      </c>
      <c r="BI1203" s="9"/>
      <c r="BJ1203" s="9"/>
    </row>
    <row r="1204" hidden="1">
      <c r="A1204" s="2">
        <v>41.0</v>
      </c>
      <c r="B1204" s="15" t="s">
        <v>562</v>
      </c>
      <c r="C1204" s="2" t="s">
        <v>61</v>
      </c>
      <c r="D1204" s="3">
        <v>45833.0</v>
      </c>
      <c r="E1204" s="4">
        <v>0.625</v>
      </c>
      <c r="F1204" s="5" t="str">
        <f>VLOOKUP(A1204,Jogos!A:N,10,0)</f>
        <v>Afternoon</v>
      </c>
      <c r="G1204" s="2" t="s">
        <v>122</v>
      </c>
      <c r="H1204" s="6" t="str">
        <f>VLOOKUP(A1204,Jogos!A:L,12,0)</f>
        <v>Open</v>
      </c>
      <c r="I1204" s="6" t="str">
        <f>VLOOKUP(G1204,'Estádios e Cidades'!A:B,2,0)</f>
        <v>Cincinnati</v>
      </c>
      <c r="J1204" s="2" t="s">
        <v>564</v>
      </c>
      <c r="K1204" s="2" t="str">
        <f>VLOOKUP(J1204,Equipes!A:F,6,0)</f>
        <v>Temperate</v>
      </c>
      <c r="L1204" s="2">
        <f>VLOOKUP(J1204,Equipes!A:C,3,0)</f>
        <v>5</v>
      </c>
      <c r="M1204" s="2" t="str">
        <f t="shared" si="4"/>
        <v>Quarter-final</v>
      </c>
      <c r="N1204" s="2" t="s">
        <v>687</v>
      </c>
      <c r="O1204" s="2">
        <f>VLOOKUP(N1204,Equipes!A:C,3,0)</f>
        <v>28</v>
      </c>
      <c r="P1204" s="2" t="str">
        <f t="shared" si="5"/>
        <v>Group</v>
      </c>
      <c r="Q1204" s="2">
        <f t="shared" si="6"/>
        <v>-23</v>
      </c>
      <c r="R1204" s="2" t="str">
        <f>VLOOKUP(J1204,Equipes!A:B,2,0)</f>
        <v>Borussia</v>
      </c>
      <c r="S1204" s="6" t="s">
        <v>1156</v>
      </c>
      <c r="T1204" s="7">
        <v>14.0</v>
      </c>
      <c r="U1204" s="7" t="s">
        <v>1157</v>
      </c>
      <c r="V1204" s="7" t="str">
        <f>VLOOKUP(U1204,Jogadores!B:C,2,0)</f>
        <v>FW</v>
      </c>
      <c r="W1204" s="8">
        <f>VLOOKUP(U1204,Jogadores!B:D,3,0)</f>
        <v>22.79452055</v>
      </c>
      <c r="X1204" s="7">
        <v>58.0</v>
      </c>
      <c r="Y1204" s="7">
        <f t="shared" si="3755"/>
        <v>94</v>
      </c>
      <c r="Z1204" s="7">
        <f>VLOOKUP(A1204,Jogos!A:L,3,0)</f>
        <v>48</v>
      </c>
      <c r="AA1204" s="7">
        <f t="shared" si="2229"/>
        <v>0</v>
      </c>
      <c r="AB1204" s="7">
        <f>VLOOKUP(A1204,Jogos!A:L,4,0)</f>
        <v>49</v>
      </c>
      <c r="AC1204" s="7">
        <f t="shared" si="2230"/>
        <v>36</v>
      </c>
      <c r="AD1204" s="7"/>
      <c r="AE1204" s="7"/>
      <c r="AF1204" s="7">
        <f t="shared" si="2231"/>
        <v>36</v>
      </c>
      <c r="AG1204" s="7">
        <v>4083.9</v>
      </c>
      <c r="AH1204" s="7">
        <v>1287.5</v>
      </c>
      <c r="AI1204" s="7">
        <v>1704.7</v>
      </c>
      <c r="AJ1204" s="7">
        <v>641.6</v>
      </c>
      <c r="AK1204" s="7">
        <v>298.8</v>
      </c>
      <c r="AL1204" s="7">
        <v>151.4</v>
      </c>
      <c r="AM1204" s="7">
        <v>50.0</v>
      </c>
      <c r="AN1204" s="7">
        <v>23.0</v>
      </c>
      <c r="AO1204" s="7">
        <v>33.0</v>
      </c>
      <c r="AP1204" s="9">
        <f t="shared" ref="AP1204:AR1204" si="3759">AG1204/$AF1204</f>
        <v>113.4416667</v>
      </c>
      <c r="AQ1204" s="9">
        <f t="shared" si="3759"/>
        <v>35.76388889</v>
      </c>
      <c r="AR1204" s="9">
        <f t="shared" si="3759"/>
        <v>47.35277778</v>
      </c>
      <c r="AS1204" s="9">
        <f t="shared" si="2233"/>
        <v>83.11666667</v>
      </c>
      <c r="AT1204" s="9">
        <f t="shared" ref="AT1204:AV1204" si="3760">AJ1204/$AF1204</f>
        <v>17.82222222</v>
      </c>
      <c r="AU1204" s="9">
        <f t="shared" si="3760"/>
        <v>8.3</v>
      </c>
      <c r="AV1204" s="9">
        <f t="shared" si="3760"/>
        <v>4.205555556</v>
      </c>
      <c r="AW1204" s="9">
        <f t="shared" si="2235"/>
        <v>12.50555556</v>
      </c>
      <c r="AX1204" s="9">
        <f t="shared" ref="AX1204:AY1204" si="3761">AM1204/$AF1204</f>
        <v>1.388888889</v>
      </c>
      <c r="AY1204" s="9">
        <f t="shared" si="3761"/>
        <v>0.6388888889</v>
      </c>
      <c r="AZ1204" s="9">
        <f>VLOOKUP(A1204,Jogos!A:BN,58,0)</f>
        <v>30.535</v>
      </c>
      <c r="BA1204" s="9">
        <f>VLOOKUP(A1204,Jogos!A:BN,59,0)</f>
        <v>22.76</v>
      </c>
      <c r="BB1204" s="9">
        <f>VLOOKUP(A1204,Jogos!A:BN,60,0)</f>
        <v>62.5</v>
      </c>
      <c r="BC1204" s="9">
        <f>VLOOKUP(A1204,Jogos!A:BN,61,0)</f>
        <v>31.25</v>
      </c>
      <c r="BD1204" s="9">
        <f>VLOOKUP(A1204,Jogos!A:BN,62,0)</f>
        <v>612.6</v>
      </c>
      <c r="BE1204" s="9">
        <f>VLOOKUP(A1204,Jogos!A:BN,63,0)</f>
        <v>1.575</v>
      </c>
      <c r="BF1204" s="9">
        <f>VLOOKUP(A1204,Jogos!A:BN,64,0)</f>
        <v>25.73</v>
      </c>
      <c r="BG1204" s="9">
        <f>VLOOKUP(A1204,Jogos!A:BN,65,0)</f>
        <v>45.645</v>
      </c>
      <c r="BH1204" s="9">
        <f>VLOOKUP(A1204,Jogos!A:BN,66,0)</f>
        <v>30.195</v>
      </c>
      <c r="BI1204" s="9"/>
      <c r="BJ1204" s="9"/>
    </row>
    <row r="1205" hidden="1">
      <c r="A1205" s="2">
        <v>41.0</v>
      </c>
      <c r="B1205" s="15" t="s">
        <v>562</v>
      </c>
      <c r="C1205" s="2" t="s">
        <v>61</v>
      </c>
      <c r="D1205" s="3">
        <v>45833.0</v>
      </c>
      <c r="E1205" s="4">
        <v>0.625</v>
      </c>
      <c r="F1205" s="5" t="str">
        <f>VLOOKUP(A1205,Jogos!A:N,10,0)</f>
        <v>Afternoon</v>
      </c>
      <c r="G1205" s="2" t="s">
        <v>122</v>
      </c>
      <c r="H1205" s="6" t="str">
        <f>VLOOKUP(A1205,Jogos!A:L,12,0)</f>
        <v>Open</v>
      </c>
      <c r="I1205" s="6" t="str">
        <f>VLOOKUP(G1205,'Estádios e Cidades'!A:B,2,0)</f>
        <v>Cincinnati</v>
      </c>
      <c r="J1205" s="2" t="s">
        <v>564</v>
      </c>
      <c r="K1205" s="2" t="str">
        <f>VLOOKUP(J1205,Equipes!A:F,6,0)</f>
        <v>Temperate</v>
      </c>
      <c r="L1205" s="2">
        <f>VLOOKUP(J1205,Equipes!A:C,3,0)</f>
        <v>5</v>
      </c>
      <c r="M1205" s="2" t="str">
        <f t="shared" si="4"/>
        <v>Quarter-final</v>
      </c>
      <c r="N1205" s="2" t="s">
        <v>687</v>
      </c>
      <c r="O1205" s="2">
        <f>VLOOKUP(N1205,Equipes!A:C,3,0)</f>
        <v>28</v>
      </c>
      <c r="P1205" s="2" t="str">
        <f t="shared" si="5"/>
        <v>Group</v>
      </c>
      <c r="Q1205" s="2">
        <f t="shared" si="6"/>
        <v>-23</v>
      </c>
      <c r="R1205" s="2" t="str">
        <f>VLOOKUP(J1205,Equipes!A:B,2,0)</f>
        <v>Borussia</v>
      </c>
      <c r="S1205" s="6" t="s">
        <v>1295</v>
      </c>
      <c r="T1205" s="7">
        <v>16.0</v>
      </c>
      <c r="U1205" s="7" t="s">
        <v>1296</v>
      </c>
      <c r="V1205" s="7" t="str">
        <f>VLOOKUP(U1205,Jogadores!B:C,2,0)</f>
        <v>FW</v>
      </c>
      <c r="W1205" s="8">
        <f>VLOOKUP(U1205,Jogadores!B:D,3,0)</f>
        <v>19.24383562</v>
      </c>
      <c r="X1205" s="7">
        <v>58.0</v>
      </c>
      <c r="Y1205" s="7">
        <f t="shared" si="3755"/>
        <v>94</v>
      </c>
      <c r="Z1205" s="7">
        <f>VLOOKUP(A1205,Jogos!A:L,3,0)</f>
        <v>48</v>
      </c>
      <c r="AA1205" s="7">
        <f t="shared" si="2229"/>
        <v>0</v>
      </c>
      <c r="AB1205" s="7">
        <f>VLOOKUP(A1205,Jogos!A:L,4,0)</f>
        <v>49</v>
      </c>
      <c r="AC1205" s="7">
        <f t="shared" si="2230"/>
        <v>36</v>
      </c>
      <c r="AD1205" s="7"/>
      <c r="AE1205" s="7"/>
      <c r="AF1205" s="7">
        <f t="shared" si="2231"/>
        <v>36</v>
      </c>
      <c r="AG1205" s="7">
        <v>3961.2</v>
      </c>
      <c r="AH1205" s="7">
        <v>1609.9</v>
      </c>
      <c r="AI1205" s="7">
        <v>1429.0</v>
      </c>
      <c r="AJ1205" s="7">
        <v>509.2</v>
      </c>
      <c r="AK1205" s="7">
        <v>220.4</v>
      </c>
      <c r="AL1205" s="7">
        <v>192.7</v>
      </c>
      <c r="AM1205" s="7">
        <v>42.0</v>
      </c>
      <c r="AN1205" s="7">
        <v>20.0</v>
      </c>
      <c r="AO1205" s="7">
        <v>35.2</v>
      </c>
      <c r="AP1205" s="9">
        <f t="shared" ref="AP1205:AR1205" si="3762">AG1205/$AF1205</f>
        <v>110.0333333</v>
      </c>
      <c r="AQ1205" s="9">
        <f t="shared" si="3762"/>
        <v>44.71944444</v>
      </c>
      <c r="AR1205" s="9">
        <f t="shared" si="3762"/>
        <v>39.69444444</v>
      </c>
      <c r="AS1205" s="9">
        <f t="shared" si="2233"/>
        <v>84.41388889</v>
      </c>
      <c r="AT1205" s="9">
        <f t="shared" ref="AT1205:AV1205" si="3763">AJ1205/$AF1205</f>
        <v>14.14444444</v>
      </c>
      <c r="AU1205" s="9">
        <f t="shared" si="3763"/>
        <v>6.122222222</v>
      </c>
      <c r="AV1205" s="9">
        <f t="shared" si="3763"/>
        <v>5.352777778</v>
      </c>
      <c r="AW1205" s="9">
        <f t="shared" si="2235"/>
        <v>11.475</v>
      </c>
      <c r="AX1205" s="9">
        <f t="shared" ref="AX1205:AY1205" si="3764">AM1205/$AF1205</f>
        <v>1.166666667</v>
      </c>
      <c r="AY1205" s="9">
        <f t="shared" si="3764"/>
        <v>0.5555555556</v>
      </c>
      <c r="AZ1205" s="9">
        <f>VLOOKUP(A1205,Jogos!A:BN,58,0)</f>
        <v>30.535</v>
      </c>
      <c r="BA1205" s="9">
        <f>VLOOKUP(A1205,Jogos!A:BN,59,0)</f>
        <v>22.76</v>
      </c>
      <c r="BB1205" s="9">
        <f>VLOOKUP(A1205,Jogos!A:BN,60,0)</f>
        <v>62.5</v>
      </c>
      <c r="BC1205" s="9">
        <f>VLOOKUP(A1205,Jogos!A:BN,61,0)</f>
        <v>31.25</v>
      </c>
      <c r="BD1205" s="9">
        <f>VLOOKUP(A1205,Jogos!A:BN,62,0)</f>
        <v>612.6</v>
      </c>
      <c r="BE1205" s="9">
        <f>VLOOKUP(A1205,Jogos!A:BN,63,0)</f>
        <v>1.575</v>
      </c>
      <c r="BF1205" s="9">
        <f>VLOOKUP(A1205,Jogos!A:BN,64,0)</f>
        <v>25.73</v>
      </c>
      <c r="BG1205" s="9">
        <f>VLOOKUP(A1205,Jogos!A:BN,65,0)</f>
        <v>45.645</v>
      </c>
      <c r="BH1205" s="9">
        <f>VLOOKUP(A1205,Jogos!A:BN,66,0)</f>
        <v>30.195</v>
      </c>
      <c r="BI1205" s="9"/>
      <c r="BJ1205" s="9"/>
    </row>
    <row r="1206" hidden="1">
      <c r="A1206" s="2">
        <v>41.0</v>
      </c>
      <c r="B1206" s="15" t="s">
        <v>562</v>
      </c>
      <c r="C1206" s="2" t="s">
        <v>61</v>
      </c>
      <c r="D1206" s="3">
        <v>45833.0</v>
      </c>
      <c r="E1206" s="4">
        <v>0.625</v>
      </c>
      <c r="F1206" s="5" t="str">
        <f>VLOOKUP(A1206,Jogos!A:N,10,0)</f>
        <v>Afternoon</v>
      </c>
      <c r="G1206" s="2" t="s">
        <v>122</v>
      </c>
      <c r="H1206" s="6" t="str">
        <f>VLOOKUP(A1206,Jogos!A:L,12,0)</f>
        <v>Open</v>
      </c>
      <c r="I1206" s="6" t="str">
        <f>VLOOKUP(G1206,'Estádios e Cidades'!A:B,2,0)</f>
        <v>Cincinnati</v>
      </c>
      <c r="J1206" s="2" t="s">
        <v>564</v>
      </c>
      <c r="K1206" s="2" t="str">
        <f>VLOOKUP(J1206,Equipes!A:F,6,0)</f>
        <v>Temperate</v>
      </c>
      <c r="L1206" s="2">
        <f>VLOOKUP(J1206,Equipes!A:C,3,0)</f>
        <v>5</v>
      </c>
      <c r="M1206" s="2" t="str">
        <f t="shared" si="4"/>
        <v>Quarter-final</v>
      </c>
      <c r="N1206" s="2" t="s">
        <v>687</v>
      </c>
      <c r="O1206" s="2">
        <f>VLOOKUP(N1206,Equipes!A:C,3,0)</f>
        <v>28</v>
      </c>
      <c r="P1206" s="2" t="str">
        <f t="shared" si="5"/>
        <v>Group</v>
      </c>
      <c r="Q1206" s="2">
        <f t="shared" si="6"/>
        <v>-23</v>
      </c>
      <c r="R1206" s="2" t="str">
        <f>VLOOKUP(J1206,Equipes!A:B,2,0)</f>
        <v>Borussia</v>
      </c>
      <c r="S1206" s="6" t="s">
        <v>617</v>
      </c>
      <c r="T1206" s="7">
        <v>17.0</v>
      </c>
      <c r="U1206" s="7" t="s">
        <v>618</v>
      </c>
      <c r="V1206" s="7" t="str">
        <f>VLOOKUP(U1206,Jogadores!B:C,2,0)</f>
        <v>MF</v>
      </c>
      <c r="W1206" s="8">
        <f>VLOOKUP(U1206,Jogadores!B:D,3,0)</f>
        <v>21.78630137</v>
      </c>
      <c r="X1206" s="7">
        <v>78.0</v>
      </c>
      <c r="Y1206" s="7">
        <f t="shared" si="3755"/>
        <v>94</v>
      </c>
      <c r="Z1206" s="7">
        <f>VLOOKUP(A1206,Jogos!A:L,3,0)</f>
        <v>48</v>
      </c>
      <c r="AA1206" s="7">
        <f t="shared" si="2229"/>
        <v>0</v>
      </c>
      <c r="AB1206" s="7">
        <f>VLOOKUP(A1206,Jogos!A:L,4,0)</f>
        <v>49</v>
      </c>
      <c r="AC1206" s="7">
        <f t="shared" si="2230"/>
        <v>16</v>
      </c>
      <c r="AD1206" s="7"/>
      <c r="AE1206" s="7"/>
      <c r="AF1206" s="7">
        <f t="shared" si="2231"/>
        <v>16</v>
      </c>
      <c r="AG1206" s="7">
        <v>1751.8</v>
      </c>
      <c r="AH1206" s="7">
        <v>738.1</v>
      </c>
      <c r="AI1206" s="7">
        <v>610.0</v>
      </c>
      <c r="AJ1206" s="7">
        <v>283.1</v>
      </c>
      <c r="AK1206" s="7">
        <v>94.5</v>
      </c>
      <c r="AL1206" s="7">
        <v>26.0</v>
      </c>
      <c r="AM1206" s="7">
        <v>23.0</v>
      </c>
      <c r="AN1206" s="7">
        <v>9.0</v>
      </c>
      <c r="AO1206" s="7">
        <v>32.0</v>
      </c>
      <c r="AP1206" s="9">
        <f t="shared" ref="AP1206:AR1206" si="3765">AG1206/$AF1206</f>
        <v>109.4875</v>
      </c>
      <c r="AQ1206" s="9">
        <f t="shared" si="3765"/>
        <v>46.13125</v>
      </c>
      <c r="AR1206" s="9">
        <f t="shared" si="3765"/>
        <v>38.125</v>
      </c>
      <c r="AS1206" s="9">
        <f t="shared" si="2233"/>
        <v>84.25625</v>
      </c>
      <c r="AT1206" s="9">
        <f t="shared" ref="AT1206:AV1206" si="3766">AJ1206/$AF1206</f>
        <v>17.69375</v>
      </c>
      <c r="AU1206" s="9">
        <f t="shared" si="3766"/>
        <v>5.90625</v>
      </c>
      <c r="AV1206" s="9">
        <f t="shared" si="3766"/>
        <v>1.625</v>
      </c>
      <c r="AW1206" s="9">
        <f t="shared" si="2235"/>
        <v>7.53125</v>
      </c>
      <c r="AX1206" s="9">
        <f t="shared" ref="AX1206:AY1206" si="3767">AM1206/$AF1206</f>
        <v>1.4375</v>
      </c>
      <c r="AY1206" s="9">
        <f t="shared" si="3767"/>
        <v>0.5625</v>
      </c>
      <c r="AZ1206" s="9">
        <f>VLOOKUP(A1206,Jogos!A:BN,58,0)</f>
        <v>30.535</v>
      </c>
      <c r="BA1206" s="9">
        <f>VLOOKUP(A1206,Jogos!A:BN,59,0)</f>
        <v>22.76</v>
      </c>
      <c r="BB1206" s="9">
        <f>VLOOKUP(A1206,Jogos!A:BN,60,0)</f>
        <v>62.5</v>
      </c>
      <c r="BC1206" s="9">
        <f>VLOOKUP(A1206,Jogos!A:BN,61,0)</f>
        <v>31.25</v>
      </c>
      <c r="BD1206" s="9">
        <f>VLOOKUP(A1206,Jogos!A:BN,62,0)</f>
        <v>612.6</v>
      </c>
      <c r="BE1206" s="9">
        <f>VLOOKUP(A1206,Jogos!A:BN,63,0)</f>
        <v>1.575</v>
      </c>
      <c r="BF1206" s="9">
        <f>VLOOKUP(A1206,Jogos!A:BN,64,0)</f>
        <v>25.73</v>
      </c>
      <c r="BG1206" s="9">
        <f>VLOOKUP(A1206,Jogos!A:BN,65,0)</f>
        <v>45.645</v>
      </c>
      <c r="BH1206" s="9">
        <f>VLOOKUP(A1206,Jogos!A:BN,66,0)</f>
        <v>30.195</v>
      </c>
      <c r="BI1206" s="9"/>
      <c r="BJ1206" s="9"/>
    </row>
    <row r="1207" hidden="1">
      <c r="A1207" s="10">
        <v>41.0</v>
      </c>
      <c r="B1207" s="11" t="s">
        <v>562</v>
      </c>
      <c r="C1207" s="2" t="s">
        <v>61</v>
      </c>
      <c r="D1207" s="12">
        <v>45833.0</v>
      </c>
      <c r="E1207" s="13">
        <v>0.625</v>
      </c>
      <c r="F1207" s="5" t="str">
        <f>VLOOKUP(A1207,Jogos!A:N,10,0)</f>
        <v>Afternoon</v>
      </c>
      <c r="G1207" s="11" t="s">
        <v>122</v>
      </c>
      <c r="H1207" s="6" t="str">
        <f>VLOOKUP(A1207,Jogos!A:L,12,0)</f>
        <v>Open</v>
      </c>
      <c r="I1207" s="6" t="str">
        <f>VLOOKUP(G1207,'Estádios e Cidades'!A:B,2,0)</f>
        <v>Cincinnati</v>
      </c>
      <c r="J1207" s="11" t="s">
        <v>687</v>
      </c>
      <c r="K1207" s="2" t="str">
        <f>VLOOKUP(J1207,Equipes!A:F,6,0)</f>
        <v>Temperate</v>
      </c>
      <c r="L1207" s="2">
        <f>VLOOKUP(J1207,Equipes!A:C,3,0)</f>
        <v>28</v>
      </c>
      <c r="M1207" s="2" t="str">
        <f t="shared" si="4"/>
        <v>Group</v>
      </c>
      <c r="N1207" s="11" t="s">
        <v>564</v>
      </c>
      <c r="O1207" s="2">
        <f>VLOOKUP(N1207,Equipes!A:C,3,0)</f>
        <v>5</v>
      </c>
      <c r="P1207" s="2" t="str">
        <f t="shared" si="5"/>
        <v>Quarter-final</v>
      </c>
      <c r="Q1207" s="2">
        <f t="shared" si="6"/>
        <v>23</v>
      </c>
      <c r="R1207" s="2" t="str">
        <f>VLOOKUP(J1207,Equipes!A:B,2,0)</f>
        <v>Ulsan</v>
      </c>
      <c r="S1207" s="14" t="s">
        <v>693</v>
      </c>
      <c r="T1207" s="7">
        <v>6.0</v>
      </c>
      <c r="U1207" s="7" t="s">
        <v>694</v>
      </c>
      <c r="V1207" s="7" t="str">
        <f>VLOOKUP(U1207,Jogadores!B:C,2,0)</f>
        <v>MF</v>
      </c>
      <c r="W1207" s="8">
        <f>VLOOKUP(U1207,Jogadores!B:D,3,0)</f>
        <v>30.60273973</v>
      </c>
      <c r="X1207" s="7">
        <v>0.0</v>
      </c>
      <c r="Y1207" s="7">
        <v>80.0</v>
      </c>
      <c r="Z1207" s="7">
        <f>VLOOKUP(A1207,Jogos!A:L,3,0)</f>
        <v>48</v>
      </c>
      <c r="AA1207" s="7">
        <f t="shared" si="2229"/>
        <v>48</v>
      </c>
      <c r="AB1207" s="7">
        <f>VLOOKUP(A1207,Jogos!A:L,4,0)</f>
        <v>49</v>
      </c>
      <c r="AC1207" s="7">
        <f t="shared" si="2230"/>
        <v>35</v>
      </c>
      <c r="AD1207" s="7"/>
      <c r="AE1207" s="7"/>
      <c r="AF1207" s="7">
        <f t="shared" si="2231"/>
        <v>83</v>
      </c>
      <c r="AG1207" s="7">
        <v>8663.2</v>
      </c>
      <c r="AH1207" s="7">
        <v>2915.5</v>
      </c>
      <c r="AI1207" s="7">
        <v>4434.7</v>
      </c>
      <c r="AJ1207" s="7">
        <v>1089.2</v>
      </c>
      <c r="AK1207" s="7">
        <v>182.2</v>
      </c>
      <c r="AL1207" s="7">
        <v>41.5</v>
      </c>
      <c r="AM1207" s="7">
        <v>88.0</v>
      </c>
      <c r="AN1207" s="7">
        <v>8.0</v>
      </c>
      <c r="AO1207" s="7">
        <v>27.4</v>
      </c>
      <c r="AP1207" s="9">
        <f t="shared" ref="AP1207:AR1207" si="3768">AG1207/$AF1207</f>
        <v>104.3759036</v>
      </c>
      <c r="AQ1207" s="9">
        <f t="shared" si="3768"/>
        <v>35.12650602</v>
      </c>
      <c r="AR1207" s="9">
        <f t="shared" si="3768"/>
        <v>53.43012048</v>
      </c>
      <c r="AS1207" s="9">
        <f t="shared" si="2233"/>
        <v>88.55662651</v>
      </c>
      <c r="AT1207" s="9">
        <f t="shared" ref="AT1207:AV1207" si="3769">AJ1207/$AF1207</f>
        <v>13.12289157</v>
      </c>
      <c r="AU1207" s="9">
        <f t="shared" si="3769"/>
        <v>2.195180723</v>
      </c>
      <c r="AV1207" s="9">
        <f t="shared" si="3769"/>
        <v>0.5</v>
      </c>
      <c r="AW1207" s="9">
        <f t="shared" si="2235"/>
        <v>2.695180723</v>
      </c>
      <c r="AX1207" s="9">
        <f t="shared" ref="AX1207:AY1207" si="3770">AM1207/$AF1207</f>
        <v>1.060240964</v>
      </c>
      <c r="AY1207" s="9">
        <f t="shared" si="3770"/>
        <v>0.09638554217</v>
      </c>
      <c r="AZ1207" s="9">
        <f>VLOOKUP(A1207,Jogos!A:BN,58,0)</f>
        <v>30.535</v>
      </c>
      <c r="BA1207" s="9">
        <f>VLOOKUP(A1207,Jogos!A:BN,59,0)</f>
        <v>22.76</v>
      </c>
      <c r="BB1207" s="9">
        <f>VLOOKUP(A1207,Jogos!A:BN,60,0)</f>
        <v>62.5</v>
      </c>
      <c r="BC1207" s="9">
        <f>VLOOKUP(A1207,Jogos!A:BN,61,0)</f>
        <v>31.25</v>
      </c>
      <c r="BD1207" s="9">
        <f>VLOOKUP(A1207,Jogos!A:BN,62,0)</f>
        <v>612.6</v>
      </c>
      <c r="BE1207" s="9">
        <f>VLOOKUP(A1207,Jogos!A:BN,63,0)</f>
        <v>1.575</v>
      </c>
      <c r="BF1207" s="9">
        <f>VLOOKUP(A1207,Jogos!A:BN,64,0)</f>
        <v>25.73</v>
      </c>
      <c r="BG1207" s="9">
        <f>VLOOKUP(A1207,Jogos!A:BN,65,0)</f>
        <v>45.645</v>
      </c>
      <c r="BH1207" s="9">
        <f>VLOOKUP(A1207,Jogos!A:BN,66,0)</f>
        <v>30.195</v>
      </c>
      <c r="BI1207" s="9"/>
      <c r="BJ1207" s="9"/>
    </row>
    <row r="1208" hidden="1">
      <c r="A1208" s="10">
        <v>41.0</v>
      </c>
      <c r="B1208" s="11" t="s">
        <v>562</v>
      </c>
      <c r="C1208" s="2" t="s">
        <v>61</v>
      </c>
      <c r="D1208" s="12">
        <v>45833.0</v>
      </c>
      <c r="E1208" s="13">
        <v>0.625</v>
      </c>
      <c r="F1208" s="5" t="str">
        <f>VLOOKUP(A1208,Jogos!A:N,10,0)</f>
        <v>Afternoon</v>
      </c>
      <c r="G1208" s="11" t="s">
        <v>122</v>
      </c>
      <c r="H1208" s="6" t="str">
        <f>VLOOKUP(A1208,Jogos!A:L,12,0)</f>
        <v>Open</v>
      </c>
      <c r="I1208" s="6" t="str">
        <f>VLOOKUP(G1208,'Estádios e Cidades'!A:B,2,0)</f>
        <v>Cincinnati</v>
      </c>
      <c r="J1208" s="11" t="s">
        <v>687</v>
      </c>
      <c r="K1208" s="2" t="str">
        <f>VLOOKUP(J1208,Equipes!A:F,6,0)</f>
        <v>Temperate</v>
      </c>
      <c r="L1208" s="2">
        <f>VLOOKUP(J1208,Equipes!A:C,3,0)</f>
        <v>28</v>
      </c>
      <c r="M1208" s="2" t="str">
        <f t="shared" si="4"/>
        <v>Group</v>
      </c>
      <c r="N1208" s="11" t="s">
        <v>564</v>
      </c>
      <c r="O1208" s="2">
        <f>VLOOKUP(N1208,Equipes!A:C,3,0)</f>
        <v>5</v>
      </c>
      <c r="P1208" s="2" t="str">
        <f t="shared" si="5"/>
        <v>Quarter-final</v>
      </c>
      <c r="Q1208" s="2">
        <f t="shared" si="6"/>
        <v>23</v>
      </c>
      <c r="R1208" s="2" t="str">
        <f>VLOOKUP(J1208,Equipes!A:B,2,0)</f>
        <v>Ulsan</v>
      </c>
      <c r="S1208" s="6" t="s">
        <v>709</v>
      </c>
      <c r="T1208" s="7">
        <v>13.0</v>
      </c>
      <c r="U1208" s="7" t="s">
        <v>710</v>
      </c>
      <c r="V1208" s="7" t="str">
        <f>VLOOKUP(U1208,Jogadores!B:C,2,0)</f>
        <v>DF</v>
      </c>
      <c r="W1208" s="8">
        <f>VLOOKUP(U1208,Jogadores!B:D,3,0)</f>
        <v>31.82739726</v>
      </c>
      <c r="X1208" s="7">
        <v>0.0</v>
      </c>
      <c r="Y1208" s="7">
        <f t="shared" ref="Y1208:Y1211" si="3774">45+AB1208</f>
        <v>94</v>
      </c>
      <c r="Z1208" s="7">
        <f>VLOOKUP(A1208,Jogos!A:L,3,0)</f>
        <v>48</v>
      </c>
      <c r="AA1208" s="7">
        <f t="shared" si="2229"/>
        <v>48</v>
      </c>
      <c r="AB1208" s="7">
        <f>VLOOKUP(A1208,Jogos!A:L,4,0)</f>
        <v>49</v>
      </c>
      <c r="AC1208" s="7">
        <f t="shared" si="2230"/>
        <v>49</v>
      </c>
      <c r="AD1208" s="7"/>
      <c r="AE1208" s="7"/>
      <c r="AF1208" s="7">
        <f t="shared" si="2231"/>
        <v>97</v>
      </c>
      <c r="AG1208" s="7">
        <v>9892.9</v>
      </c>
      <c r="AH1208" s="7">
        <v>4490.6</v>
      </c>
      <c r="AI1208" s="7">
        <v>3810.0</v>
      </c>
      <c r="AJ1208" s="7">
        <v>965.0</v>
      </c>
      <c r="AK1208" s="7">
        <v>486.0</v>
      </c>
      <c r="AL1208" s="7">
        <v>141.3</v>
      </c>
      <c r="AM1208" s="7">
        <v>93.0</v>
      </c>
      <c r="AN1208" s="7">
        <v>36.0</v>
      </c>
      <c r="AO1208" s="7">
        <v>32.4</v>
      </c>
      <c r="AP1208" s="9">
        <f t="shared" ref="AP1208:AR1208" si="3771">AG1208/$AF1208</f>
        <v>101.9886598</v>
      </c>
      <c r="AQ1208" s="9">
        <f t="shared" si="3771"/>
        <v>46.29484536</v>
      </c>
      <c r="AR1208" s="9">
        <f t="shared" si="3771"/>
        <v>39.27835052</v>
      </c>
      <c r="AS1208" s="9">
        <f t="shared" si="2233"/>
        <v>85.57319588</v>
      </c>
      <c r="AT1208" s="9">
        <f t="shared" ref="AT1208:AV1208" si="3772">AJ1208/$AF1208</f>
        <v>9.948453608</v>
      </c>
      <c r="AU1208" s="9">
        <f t="shared" si="3772"/>
        <v>5.010309278</v>
      </c>
      <c r="AV1208" s="9">
        <f t="shared" si="3772"/>
        <v>1.456701031</v>
      </c>
      <c r="AW1208" s="9">
        <f t="shared" si="2235"/>
        <v>6.467010309</v>
      </c>
      <c r="AX1208" s="9">
        <f t="shared" ref="AX1208:AY1208" si="3773">AM1208/$AF1208</f>
        <v>0.9587628866</v>
      </c>
      <c r="AY1208" s="9">
        <f t="shared" si="3773"/>
        <v>0.3711340206</v>
      </c>
      <c r="AZ1208" s="9">
        <f>VLOOKUP(A1208,Jogos!A:BN,58,0)</f>
        <v>30.535</v>
      </c>
      <c r="BA1208" s="9">
        <f>VLOOKUP(A1208,Jogos!A:BN,59,0)</f>
        <v>22.76</v>
      </c>
      <c r="BB1208" s="9">
        <f>VLOOKUP(A1208,Jogos!A:BN,60,0)</f>
        <v>62.5</v>
      </c>
      <c r="BC1208" s="9">
        <f>VLOOKUP(A1208,Jogos!A:BN,61,0)</f>
        <v>31.25</v>
      </c>
      <c r="BD1208" s="9">
        <f>VLOOKUP(A1208,Jogos!A:BN,62,0)</f>
        <v>612.6</v>
      </c>
      <c r="BE1208" s="9">
        <f>VLOOKUP(A1208,Jogos!A:BN,63,0)</f>
        <v>1.575</v>
      </c>
      <c r="BF1208" s="9">
        <f>VLOOKUP(A1208,Jogos!A:BN,64,0)</f>
        <v>25.73</v>
      </c>
      <c r="BG1208" s="9">
        <f>VLOOKUP(A1208,Jogos!A:BN,65,0)</f>
        <v>45.645</v>
      </c>
      <c r="BH1208" s="9">
        <f>VLOOKUP(A1208,Jogos!A:BN,66,0)</f>
        <v>30.195</v>
      </c>
      <c r="BI1208" s="9"/>
      <c r="BJ1208" s="9"/>
    </row>
    <row r="1209" hidden="1">
      <c r="A1209" s="10">
        <v>41.0</v>
      </c>
      <c r="B1209" s="11" t="s">
        <v>562</v>
      </c>
      <c r="C1209" s="2" t="s">
        <v>61</v>
      </c>
      <c r="D1209" s="12">
        <v>45833.0</v>
      </c>
      <c r="E1209" s="13">
        <v>0.625</v>
      </c>
      <c r="F1209" s="5" t="str">
        <f>VLOOKUP(A1209,Jogos!A:N,10,0)</f>
        <v>Afternoon</v>
      </c>
      <c r="G1209" s="11" t="s">
        <v>122</v>
      </c>
      <c r="H1209" s="6" t="str">
        <f>VLOOKUP(A1209,Jogos!A:L,12,0)</f>
        <v>Open</v>
      </c>
      <c r="I1209" s="6" t="str">
        <f>VLOOKUP(G1209,'Estádios e Cidades'!A:B,2,0)</f>
        <v>Cincinnati</v>
      </c>
      <c r="J1209" s="11" t="s">
        <v>687</v>
      </c>
      <c r="K1209" s="2" t="str">
        <f>VLOOKUP(J1209,Equipes!A:F,6,0)</f>
        <v>Temperate</v>
      </c>
      <c r="L1209" s="2">
        <f>VLOOKUP(J1209,Equipes!A:C,3,0)</f>
        <v>28</v>
      </c>
      <c r="M1209" s="2" t="str">
        <f t="shared" si="4"/>
        <v>Group</v>
      </c>
      <c r="N1209" s="11" t="s">
        <v>564</v>
      </c>
      <c r="O1209" s="2">
        <f>VLOOKUP(N1209,Equipes!A:C,3,0)</f>
        <v>5</v>
      </c>
      <c r="P1209" s="2" t="str">
        <f t="shared" si="5"/>
        <v>Quarter-final</v>
      </c>
      <c r="Q1209" s="2">
        <f t="shared" si="6"/>
        <v>23</v>
      </c>
      <c r="R1209" s="2" t="str">
        <f>VLOOKUP(J1209,Equipes!A:B,2,0)</f>
        <v>Ulsan</v>
      </c>
      <c r="S1209" s="6" t="s">
        <v>711</v>
      </c>
      <c r="T1209" s="7">
        <v>14.0</v>
      </c>
      <c r="U1209" s="7" t="s">
        <v>712</v>
      </c>
      <c r="V1209" s="7" t="str">
        <f>VLOOKUP(U1209,Jogadores!B:C,2,0)</f>
        <v>MF</v>
      </c>
      <c r="W1209" s="8">
        <f>VLOOKUP(U1209,Jogadores!B:D,3,0)</f>
        <v>27.93972603</v>
      </c>
      <c r="X1209" s="7">
        <v>0.0</v>
      </c>
      <c r="Y1209" s="7">
        <f t="shared" si="3774"/>
        <v>94</v>
      </c>
      <c r="Z1209" s="7">
        <f>VLOOKUP(A1209,Jogos!A:L,3,0)</f>
        <v>48</v>
      </c>
      <c r="AA1209" s="7">
        <f t="shared" si="2229"/>
        <v>48</v>
      </c>
      <c r="AB1209" s="7">
        <f>VLOOKUP(A1209,Jogos!A:L,4,0)</f>
        <v>49</v>
      </c>
      <c r="AC1209" s="7">
        <f t="shared" si="2230"/>
        <v>49</v>
      </c>
      <c r="AD1209" s="7"/>
      <c r="AE1209" s="7"/>
      <c r="AF1209" s="7">
        <f t="shared" si="2231"/>
        <v>97</v>
      </c>
      <c r="AG1209" s="7">
        <v>11102.0</v>
      </c>
      <c r="AH1209" s="7">
        <v>3658.1</v>
      </c>
      <c r="AI1209" s="7">
        <v>5078.5</v>
      </c>
      <c r="AJ1209" s="7">
        <v>1714.8</v>
      </c>
      <c r="AK1209" s="7">
        <v>548.9</v>
      </c>
      <c r="AL1209" s="7">
        <v>101.7</v>
      </c>
      <c r="AM1209" s="7">
        <v>147.0</v>
      </c>
      <c r="AN1209" s="7">
        <v>30.0</v>
      </c>
      <c r="AO1209" s="7">
        <v>30.2</v>
      </c>
      <c r="AP1209" s="9">
        <f t="shared" ref="AP1209:AR1209" si="3775">AG1209/$AF1209</f>
        <v>114.4536082</v>
      </c>
      <c r="AQ1209" s="9">
        <f t="shared" si="3775"/>
        <v>37.71237113</v>
      </c>
      <c r="AR1209" s="9">
        <f t="shared" si="3775"/>
        <v>52.3556701</v>
      </c>
      <c r="AS1209" s="9">
        <f t="shared" si="2233"/>
        <v>90.06804124</v>
      </c>
      <c r="AT1209" s="9">
        <f t="shared" ref="AT1209:AV1209" si="3776">AJ1209/$AF1209</f>
        <v>17.67835052</v>
      </c>
      <c r="AU1209" s="9">
        <f t="shared" si="3776"/>
        <v>5.658762887</v>
      </c>
      <c r="AV1209" s="9">
        <f t="shared" si="3776"/>
        <v>1.048453608</v>
      </c>
      <c r="AW1209" s="9">
        <f t="shared" si="2235"/>
        <v>6.707216495</v>
      </c>
      <c r="AX1209" s="9">
        <f t="shared" ref="AX1209:AY1209" si="3777">AM1209/$AF1209</f>
        <v>1.515463918</v>
      </c>
      <c r="AY1209" s="9">
        <f t="shared" si="3777"/>
        <v>0.3092783505</v>
      </c>
      <c r="AZ1209" s="9">
        <f>VLOOKUP(A1209,Jogos!A:BN,58,0)</f>
        <v>30.535</v>
      </c>
      <c r="BA1209" s="9">
        <f>VLOOKUP(A1209,Jogos!A:BN,59,0)</f>
        <v>22.76</v>
      </c>
      <c r="BB1209" s="9">
        <f>VLOOKUP(A1209,Jogos!A:BN,60,0)</f>
        <v>62.5</v>
      </c>
      <c r="BC1209" s="9">
        <f>VLOOKUP(A1209,Jogos!A:BN,61,0)</f>
        <v>31.25</v>
      </c>
      <c r="BD1209" s="9">
        <f>VLOOKUP(A1209,Jogos!A:BN,62,0)</f>
        <v>612.6</v>
      </c>
      <c r="BE1209" s="9">
        <f>VLOOKUP(A1209,Jogos!A:BN,63,0)</f>
        <v>1.575</v>
      </c>
      <c r="BF1209" s="9">
        <f>VLOOKUP(A1209,Jogos!A:BN,64,0)</f>
        <v>25.73</v>
      </c>
      <c r="BG1209" s="9">
        <f>VLOOKUP(A1209,Jogos!A:BN,65,0)</f>
        <v>45.645</v>
      </c>
      <c r="BH1209" s="9">
        <f>VLOOKUP(A1209,Jogos!A:BN,66,0)</f>
        <v>30.195</v>
      </c>
      <c r="BI1209" s="9"/>
      <c r="BJ1209" s="9"/>
    </row>
    <row r="1210" hidden="1">
      <c r="A1210" s="10">
        <v>41.0</v>
      </c>
      <c r="B1210" s="11" t="s">
        <v>562</v>
      </c>
      <c r="C1210" s="2" t="s">
        <v>61</v>
      </c>
      <c r="D1210" s="12">
        <v>45833.0</v>
      </c>
      <c r="E1210" s="13">
        <v>0.625</v>
      </c>
      <c r="F1210" s="5" t="str">
        <f>VLOOKUP(A1210,Jogos!A:N,10,0)</f>
        <v>Afternoon</v>
      </c>
      <c r="G1210" s="11" t="s">
        <v>122</v>
      </c>
      <c r="H1210" s="6" t="str">
        <f>VLOOKUP(A1210,Jogos!A:L,12,0)</f>
        <v>Open</v>
      </c>
      <c r="I1210" s="6" t="str">
        <f>VLOOKUP(G1210,'Estádios e Cidades'!A:B,2,0)</f>
        <v>Cincinnati</v>
      </c>
      <c r="J1210" s="11" t="s">
        <v>687</v>
      </c>
      <c r="K1210" s="2" t="str">
        <f>VLOOKUP(J1210,Equipes!A:F,6,0)</f>
        <v>Temperate</v>
      </c>
      <c r="L1210" s="2">
        <f>VLOOKUP(J1210,Equipes!A:C,3,0)</f>
        <v>28</v>
      </c>
      <c r="M1210" s="2" t="str">
        <f t="shared" si="4"/>
        <v>Group</v>
      </c>
      <c r="N1210" s="11" t="s">
        <v>564</v>
      </c>
      <c r="O1210" s="2">
        <f>VLOOKUP(N1210,Equipes!A:C,3,0)</f>
        <v>5</v>
      </c>
      <c r="P1210" s="2" t="str">
        <f t="shared" si="5"/>
        <v>Quarter-final</v>
      </c>
      <c r="Q1210" s="2">
        <f t="shared" si="6"/>
        <v>23</v>
      </c>
      <c r="R1210" s="2" t="str">
        <f>VLOOKUP(J1210,Equipes!A:B,2,0)</f>
        <v>Ulsan</v>
      </c>
      <c r="S1210" s="6" t="s">
        <v>699</v>
      </c>
      <c r="T1210" s="7">
        <v>17.0</v>
      </c>
      <c r="U1210" s="7" t="s">
        <v>700</v>
      </c>
      <c r="V1210" s="7" t="str">
        <f>VLOOKUP(U1210,Jogadores!B:C,2,0)</f>
        <v>MF</v>
      </c>
      <c r="W1210" s="8">
        <f>VLOOKUP(U1210,Jogadores!B:D,3,0)</f>
        <v>31.79178082</v>
      </c>
      <c r="X1210" s="7">
        <v>0.0</v>
      </c>
      <c r="Y1210" s="7">
        <f t="shared" si="3774"/>
        <v>94</v>
      </c>
      <c r="Z1210" s="7">
        <f>VLOOKUP(A1210,Jogos!A:L,3,0)</f>
        <v>48</v>
      </c>
      <c r="AA1210" s="7">
        <f t="shared" si="2229"/>
        <v>48</v>
      </c>
      <c r="AB1210" s="7">
        <f>VLOOKUP(A1210,Jogos!A:L,4,0)</f>
        <v>49</v>
      </c>
      <c r="AC1210" s="7">
        <f t="shared" si="2230"/>
        <v>49</v>
      </c>
      <c r="AD1210" s="7"/>
      <c r="AE1210" s="7"/>
      <c r="AF1210" s="7">
        <f t="shared" si="2231"/>
        <v>97</v>
      </c>
      <c r="AG1210" s="7">
        <v>10278.5</v>
      </c>
      <c r="AH1210" s="7">
        <v>4244.1</v>
      </c>
      <c r="AI1210" s="7">
        <v>4071.2</v>
      </c>
      <c r="AJ1210" s="7">
        <v>1176.5</v>
      </c>
      <c r="AK1210" s="7">
        <v>618.8</v>
      </c>
      <c r="AL1210" s="7">
        <v>167.9</v>
      </c>
      <c r="AM1210" s="7">
        <v>111.0</v>
      </c>
      <c r="AN1210" s="7">
        <v>47.0</v>
      </c>
      <c r="AO1210" s="7">
        <v>31.4</v>
      </c>
      <c r="AP1210" s="9">
        <f t="shared" ref="AP1210:AR1210" si="3778">AG1210/$AF1210</f>
        <v>105.9639175</v>
      </c>
      <c r="AQ1210" s="9">
        <f t="shared" si="3778"/>
        <v>43.75360825</v>
      </c>
      <c r="AR1210" s="9">
        <f t="shared" si="3778"/>
        <v>41.97113402</v>
      </c>
      <c r="AS1210" s="9">
        <f t="shared" si="2233"/>
        <v>85.72474227</v>
      </c>
      <c r="AT1210" s="9">
        <f t="shared" ref="AT1210:AV1210" si="3779">AJ1210/$AF1210</f>
        <v>12.12886598</v>
      </c>
      <c r="AU1210" s="9">
        <f t="shared" si="3779"/>
        <v>6.379381443</v>
      </c>
      <c r="AV1210" s="9">
        <f t="shared" si="3779"/>
        <v>1.730927835</v>
      </c>
      <c r="AW1210" s="9">
        <f t="shared" si="2235"/>
        <v>8.110309278</v>
      </c>
      <c r="AX1210" s="9">
        <f t="shared" ref="AX1210:AY1210" si="3780">AM1210/$AF1210</f>
        <v>1.144329897</v>
      </c>
      <c r="AY1210" s="9">
        <f t="shared" si="3780"/>
        <v>0.4845360825</v>
      </c>
      <c r="AZ1210" s="9">
        <f>VLOOKUP(A1210,Jogos!A:BN,58,0)</f>
        <v>30.535</v>
      </c>
      <c r="BA1210" s="9">
        <f>VLOOKUP(A1210,Jogos!A:BN,59,0)</f>
        <v>22.76</v>
      </c>
      <c r="BB1210" s="9">
        <f>VLOOKUP(A1210,Jogos!A:BN,60,0)</f>
        <v>62.5</v>
      </c>
      <c r="BC1210" s="9">
        <f>VLOOKUP(A1210,Jogos!A:BN,61,0)</f>
        <v>31.25</v>
      </c>
      <c r="BD1210" s="9">
        <f>VLOOKUP(A1210,Jogos!A:BN,62,0)</f>
        <v>612.6</v>
      </c>
      <c r="BE1210" s="9">
        <f>VLOOKUP(A1210,Jogos!A:BN,63,0)</f>
        <v>1.575</v>
      </c>
      <c r="BF1210" s="9">
        <f>VLOOKUP(A1210,Jogos!A:BN,64,0)</f>
        <v>25.73</v>
      </c>
      <c r="BG1210" s="9">
        <f>VLOOKUP(A1210,Jogos!A:BN,65,0)</f>
        <v>45.645</v>
      </c>
      <c r="BH1210" s="9">
        <f>VLOOKUP(A1210,Jogos!A:BN,66,0)</f>
        <v>30.195</v>
      </c>
      <c r="BI1210" s="9"/>
      <c r="BJ1210" s="9"/>
    </row>
    <row r="1211" hidden="1">
      <c r="A1211" s="10">
        <v>41.0</v>
      </c>
      <c r="B1211" s="11" t="s">
        <v>562</v>
      </c>
      <c r="C1211" s="2" t="s">
        <v>61</v>
      </c>
      <c r="D1211" s="12">
        <v>45833.0</v>
      </c>
      <c r="E1211" s="13">
        <v>0.625</v>
      </c>
      <c r="F1211" s="5" t="str">
        <f>VLOOKUP(A1211,Jogos!A:N,10,0)</f>
        <v>Afternoon</v>
      </c>
      <c r="G1211" s="11" t="s">
        <v>122</v>
      </c>
      <c r="H1211" s="6" t="str">
        <f>VLOOKUP(A1211,Jogos!A:L,12,0)</f>
        <v>Open</v>
      </c>
      <c r="I1211" s="6" t="str">
        <f>VLOOKUP(G1211,'Estádios e Cidades'!A:B,2,0)</f>
        <v>Cincinnati</v>
      </c>
      <c r="J1211" s="11" t="s">
        <v>687</v>
      </c>
      <c r="K1211" s="2" t="str">
        <f>VLOOKUP(J1211,Equipes!A:F,6,0)</f>
        <v>Temperate</v>
      </c>
      <c r="L1211" s="2">
        <f>VLOOKUP(J1211,Equipes!A:C,3,0)</f>
        <v>28</v>
      </c>
      <c r="M1211" s="2" t="str">
        <f t="shared" si="4"/>
        <v>Group</v>
      </c>
      <c r="N1211" s="11" t="s">
        <v>564</v>
      </c>
      <c r="O1211" s="2">
        <f>VLOOKUP(N1211,Equipes!A:C,3,0)</f>
        <v>5</v>
      </c>
      <c r="P1211" s="2" t="str">
        <f t="shared" si="5"/>
        <v>Quarter-final</v>
      </c>
      <c r="Q1211" s="2">
        <f t="shared" si="6"/>
        <v>23</v>
      </c>
      <c r="R1211" s="2" t="str">
        <f>VLOOKUP(J1211,Equipes!A:B,2,0)</f>
        <v>Ulsan</v>
      </c>
      <c r="S1211" s="6" t="s">
        <v>701</v>
      </c>
      <c r="T1211" s="7">
        <v>19.0</v>
      </c>
      <c r="U1211" s="7" t="s">
        <v>702</v>
      </c>
      <c r="V1211" s="7" t="str">
        <f>VLOOKUP(U1211,Jogadores!B:C,2,0)</f>
        <v>DF</v>
      </c>
      <c r="W1211" s="8">
        <f>VLOOKUP(U1211,Jogadores!B:D,3,0)</f>
        <v>35.43835616</v>
      </c>
      <c r="X1211" s="7">
        <v>0.0</v>
      </c>
      <c r="Y1211" s="7">
        <f t="shared" si="3774"/>
        <v>94</v>
      </c>
      <c r="Z1211" s="7">
        <f>VLOOKUP(A1211,Jogos!A:L,3,0)</f>
        <v>48</v>
      </c>
      <c r="AA1211" s="7">
        <f t="shared" si="2229"/>
        <v>48</v>
      </c>
      <c r="AB1211" s="7">
        <f>VLOOKUP(A1211,Jogos!A:L,4,0)</f>
        <v>49</v>
      </c>
      <c r="AC1211" s="7">
        <f t="shared" si="2230"/>
        <v>49</v>
      </c>
      <c r="AD1211" s="7"/>
      <c r="AE1211" s="7"/>
      <c r="AF1211" s="7">
        <f t="shared" si="2231"/>
        <v>97</v>
      </c>
      <c r="AG1211" s="7">
        <v>8238.4</v>
      </c>
      <c r="AH1211" s="7">
        <v>4578.4</v>
      </c>
      <c r="AI1211" s="7">
        <v>2660.4</v>
      </c>
      <c r="AJ1211" s="7">
        <v>737.3</v>
      </c>
      <c r="AK1211" s="7">
        <v>201.8</v>
      </c>
      <c r="AL1211" s="7">
        <v>60.5</v>
      </c>
      <c r="AM1211" s="7">
        <v>60.0</v>
      </c>
      <c r="AN1211" s="7">
        <v>17.0</v>
      </c>
      <c r="AO1211" s="7">
        <v>29.1</v>
      </c>
      <c r="AP1211" s="9">
        <f t="shared" ref="AP1211:AR1211" si="3781">AG1211/$AF1211</f>
        <v>84.93195876</v>
      </c>
      <c r="AQ1211" s="9">
        <f t="shared" si="3781"/>
        <v>47.2</v>
      </c>
      <c r="AR1211" s="9">
        <f t="shared" si="3781"/>
        <v>27.42680412</v>
      </c>
      <c r="AS1211" s="9">
        <f t="shared" si="2233"/>
        <v>74.62680412</v>
      </c>
      <c r="AT1211" s="9">
        <f t="shared" ref="AT1211:AV1211" si="3782">AJ1211/$AF1211</f>
        <v>7.601030928</v>
      </c>
      <c r="AU1211" s="9">
        <f t="shared" si="3782"/>
        <v>2.080412371</v>
      </c>
      <c r="AV1211" s="9">
        <f t="shared" si="3782"/>
        <v>0.6237113402</v>
      </c>
      <c r="AW1211" s="9">
        <f t="shared" si="2235"/>
        <v>2.704123711</v>
      </c>
      <c r="AX1211" s="9">
        <f t="shared" ref="AX1211:AY1211" si="3783">AM1211/$AF1211</f>
        <v>0.618556701</v>
      </c>
      <c r="AY1211" s="9">
        <f t="shared" si="3783"/>
        <v>0.175257732</v>
      </c>
      <c r="AZ1211" s="9">
        <f>VLOOKUP(A1211,Jogos!A:BN,58,0)</f>
        <v>30.535</v>
      </c>
      <c r="BA1211" s="9">
        <f>VLOOKUP(A1211,Jogos!A:BN,59,0)</f>
        <v>22.76</v>
      </c>
      <c r="BB1211" s="9">
        <f>VLOOKUP(A1211,Jogos!A:BN,60,0)</f>
        <v>62.5</v>
      </c>
      <c r="BC1211" s="9">
        <f>VLOOKUP(A1211,Jogos!A:BN,61,0)</f>
        <v>31.25</v>
      </c>
      <c r="BD1211" s="9">
        <f>VLOOKUP(A1211,Jogos!A:BN,62,0)</f>
        <v>612.6</v>
      </c>
      <c r="BE1211" s="9">
        <f>VLOOKUP(A1211,Jogos!A:BN,63,0)</f>
        <v>1.575</v>
      </c>
      <c r="BF1211" s="9">
        <f>VLOOKUP(A1211,Jogos!A:BN,64,0)</f>
        <v>25.73</v>
      </c>
      <c r="BG1211" s="9">
        <f>VLOOKUP(A1211,Jogos!A:BN,65,0)</f>
        <v>45.645</v>
      </c>
      <c r="BH1211" s="9">
        <f>VLOOKUP(A1211,Jogos!A:BN,66,0)</f>
        <v>30.195</v>
      </c>
      <c r="BI1211" s="9"/>
      <c r="BJ1211" s="9"/>
    </row>
    <row r="1212" hidden="1">
      <c r="A1212" s="10">
        <v>41.0</v>
      </c>
      <c r="B1212" s="11" t="s">
        <v>562</v>
      </c>
      <c r="C1212" s="2" t="s">
        <v>61</v>
      </c>
      <c r="D1212" s="12">
        <v>45833.0</v>
      </c>
      <c r="E1212" s="13">
        <v>0.625</v>
      </c>
      <c r="F1212" s="5" t="str">
        <f>VLOOKUP(A1212,Jogos!A:N,10,0)</f>
        <v>Afternoon</v>
      </c>
      <c r="G1212" s="11" t="s">
        <v>122</v>
      </c>
      <c r="H1212" s="6" t="str">
        <f>VLOOKUP(A1212,Jogos!A:L,12,0)</f>
        <v>Open</v>
      </c>
      <c r="I1212" s="6" t="str">
        <f>VLOOKUP(G1212,'Estádios e Cidades'!A:B,2,0)</f>
        <v>Cincinnati</v>
      </c>
      <c r="J1212" s="11" t="s">
        <v>687</v>
      </c>
      <c r="K1212" s="2" t="str">
        <f>VLOOKUP(J1212,Equipes!A:F,6,0)</f>
        <v>Temperate</v>
      </c>
      <c r="L1212" s="2">
        <f>VLOOKUP(J1212,Equipes!A:C,3,0)</f>
        <v>28</v>
      </c>
      <c r="M1212" s="2" t="str">
        <f t="shared" si="4"/>
        <v>Group</v>
      </c>
      <c r="N1212" s="11" t="s">
        <v>564</v>
      </c>
      <c r="O1212" s="2">
        <f>VLOOKUP(N1212,Equipes!A:C,3,0)</f>
        <v>5</v>
      </c>
      <c r="P1212" s="2" t="str">
        <f t="shared" si="5"/>
        <v>Quarter-final</v>
      </c>
      <c r="Q1212" s="2">
        <f t="shared" si="6"/>
        <v>23</v>
      </c>
      <c r="R1212" s="2" t="str">
        <f>VLOOKUP(J1212,Equipes!A:B,2,0)</f>
        <v>Ulsan</v>
      </c>
      <c r="S1212" s="6" t="s">
        <v>1297</v>
      </c>
      <c r="T1212" s="7">
        <v>22.0</v>
      </c>
      <c r="U1212" s="7" t="s">
        <v>1298</v>
      </c>
      <c r="V1212" s="7" t="str">
        <f>VLOOKUP(U1212,Jogadores!B:C,2,0)</f>
        <v>MF</v>
      </c>
      <c r="W1212" s="8">
        <f>VLOOKUP(U1212,Jogadores!B:D,3,0)</f>
        <v>32.96986301</v>
      </c>
      <c r="X1212" s="7">
        <v>0.0</v>
      </c>
      <c r="Y1212" s="7">
        <v>45.0</v>
      </c>
      <c r="Z1212" s="7">
        <f>VLOOKUP(A1212,Jogos!A:L,3,0)</f>
        <v>48</v>
      </c>
      <c r="AA1212" s="7">
        <f t="shared" si="2229"/>
        <v>48</v>
      </c>
      <c r="AB1212" s="7">
        <f>VLOOKUP(A1212,Jogos!A:L,4,0)</f>
        <v>49</v>
      </c>
      <c r="AC1212" s="7">
        <f t="shared" si="2230"/>
        <v>0</v>
      </c>
      <c r="AD1212" s="7"/>
      <c r="AE1212" s="7"/>
      <c r="AF1212" s="7">
        <f t="shared" si="2231"/>
        <v>48</v>
      </c>
      <c r="AG1212" s="7">
        <v>5772.6</v>
      </c>
      <c r="AH1212" s="7">
        <v>2050.4</v>
      </c>
      <c r="AI1212" s="7">
        <v>2440.2</v>
      </c>
      <c r="AJ1212" s="7">
        <v>882.9</v>
      </c>
      <c r="AK1212" s="7">
        <v>301.7</v>
      </c>
      <c r="AL1212" s="7">
        <v>97.4</v>
      </c>
      <c r="AM1212" s="7">
        <v>78.0</v>
      </c>
      <c r="AN1212" s="7">
        <v>22.0</v>
      </c>
      <c r="AO1212" s="7">
        <v>29.8</v>
      </c>
      <c r="AP1212" s="9">
        <f t="shared" ref="AP1212:AR1212" si="3784">AG1212/$AF1212</f>
        <v>120.2625</v>
      </c>
      <c r="AQ1212" s="9">
        <f t="shared" si="3784"/>
        <v>42.71666667</v>
      </c>
      <c r="AR1212" s="9">
        <f t="shared" si="3784"/>
        <v>50.8375</v>
      </c>
      <c r="AS1212" s="9">
        <f t="shared" si="2233"/>
        <v>93.55416667</v>
      </c>
      <c r="AT1212" s="9">
        <f t="shared" ref="AT1212:AV1212" si="3785">AJ1212/$AF1212</f>
        <v>18.39375</v>
      </c>
      <c r="AU1212" s="9">
        <f t="shared" si="3785"/>
        <v>6.285416667</v>
      </c>
      <c r="AV1212" s="9">
        <f t="shared" si="3785"/>
        <v>2.029166667</v>
      </c>
      <c r="AW1212" s="9">
        <f t="shared" si="2235"/>
        <v>8.314583333</v>
      </c>
      <c r="AX1212" s="9">
        <f t="shared" ref="AX1212:AY1212" si="3786">AM1212/$AF1212</f>
        <v>1.625</v>
      </c>
      <c r="AY1212" s="9">
        <f t="shared" si="3786"/>
        <v>0.4583333333</v>
      </c>
      <c r="AZ1212" s="9">
        <f>VLOOKUP(A1212,Jogos!A:BN,58,0)</f>
        <v>30.535</v>
      </c>
      <c r="BA1212" s="9">
        <f>VLOOKUP(A1212,Jogos!A:BN,59,0)</f>
        <v>22.76</v>
      </c>
      <c r="BB1212" s="9">
        <f>VLOOKUP(A1212,Jogos!A:BN,60,0)</f>
        <v>62.5</v>
      </c>
      <c r="BC1212" s="9">
        <f>VLOOKUP(A1212,Jogos!A:BN,61,0)</f>
        <v>31.25</v>
      </c>
      <c r="BD1212" s="9">
        <f>VLOOKUP(A1212,Jogos!A:BN,62,0)</f>
        <v>612.6</v>
      </c>
      <c r="BE1212" s="9">
        <f>VLOOKUP(A1212,Jogos!A:BN,63,0)</f>
        <v>1.575</v>
      </c>
      <c r="BF1212" s="9">
        <f>VLOOKUP(A1212,Jogos!A:BN,64,0)</f>
        <v>25.73</v>
      </c>
      <c r="BG1212" s="9">
        <f>VLOOKUP(A1212,Jogos!A:BN,65,0)</f>
        <v>45.645</v>
      </c>
      <c r="BH1212" s="9">
        <f>VLOOKUP(A1212,Jogos!A:BN,66,0)</f>
        <v>30.195</v>
      </c>
      <c r="BI1212" s="9"/>
      <c r="BJ1212" s="9"/>
    </row>
    <row r="1213" hidden="1">
      <c r="A1213" s="10">
        <v>41.0</v>
      </c>
      <c r="B1213" s="11" t="s">
        <v>562</v>
      </c>
      <c r="C1213" s="2" t="s">
        <v>61</v>
      </c>
      <c r="D1213" s="12">
        <v>45833.0</v>
      </c>
      <c r="E1213" s="13">
        <v>0.625</v>
      </c>
      <c r="F1213" s="5" t="str">
        <f>VLOOKUP(A1213,Jogos!A:N,10,0)</f>
        <v>Afternoon</v>
      </c>
      <c r="G1213" s="11" t="s">
        <v>122</v>
      </c>
      <c r="H1213" s="6" t="str">
        <f>VLOOKUP(A1213,Jogos!A:L,12,0)</f>
        <v>Open</v>
      </c>
      <c r="I1213" s="6" t="str">
        <f>VLOOKUP(G1213,'Estádios e Cidades'!A:B,2,0)</f>
        <v>Cincinnati</v>
      </c>
      <c r="J1213" s="11" t="s">
        <v>687</v>
      </c>
      <c r="K1213" s="2" t="str">
        <f>VLOOKUP(J1213,Equipes!A:F,6,0)</f>
        <v>Temperate</v>
      </c>
      <c r="L1213" s="2">
        <f>VLOOKUP(J1213,Equipes!A:C,3,0)</f>
        <v>28</v>
      </c>
      <c r="M1213" s="2" t="str">
        <f t="shared" si="4"/>
        <v>Group</v>
      </c>
      <c r="N1213" s="11" t="s">
        <v>564</v>
      </c>
      <c r="O1213" s="2">
        <f>VLOOKUP(N1213,Equipes!A:C,3,0)</f>
        <v>5</v>
      </c>
      <c r="P1213" s="2" t="str">
        <f t="shared" si="5"/>
        <v>Quarter-final</v>
      </c>
      <c r="Q1213" s="2">
        <f t="shared" si="6"/>
        <v>23</v>
      </c>
      <c r="R1213" s="2" t="str">
        <f>VLOOKUP(J1213,Equipes!A:B,2,0)</f>
        <v>Ulsan</v>
      </c>
      <c r="S1213" s="6" t="s">
        <v>1174</v>
      </c>
      <c r="T1213" s="7">
        <v>28.0</v>
      </c>
      <c r="U1213" s="7" t="s">
        <v>1175</v>
      </c>
      <c r="V1213" s="7" t="str">
        <f>VLOOKUP(U1213,Jogadores!B:C,2,0)</f>
        <v>DF</v>
      </c>
      <c r="W1213" s="8">
        <f>VLOOKUP(U1213,Jogadores!B:D,3,0)</f>
        <v>26.20547945</v>
      </c>
      <c r="X1213" s="7">
        <v>0.0</v>
      </c>
      <c r="Y1213" s="7">
        <f>45+AB1213</f>
        <v>94</v>
      </c>
      <c r="Z1213" s="7">
        <f>VLOOKUP(A1213,Jogos!A:L,3,0)</f>
        <v>48</v>
      </c>
      <c r="AA1213" s="7">
        <f t="shared" si="2229"/>
        <v>48</v>
      </c>
      <c r="AB1213" s="7">
        <f>VLOOKUP(A1213,Jogos!A:L,4,0)</f>
        <v>49</v>
      </c>
      <c r="AC1213" s="7">
        <f t="shared" si="2230"/>
        <v>49</v>
      </c>
      <c r="AD1213" s="7"/>
      <c r="AE1213" s="7"/>
      <c r="AF1213" s="7">
        <f t="shared" si="2231"/>
        <v>97</v>
      </c>
      <c r="AG1213" s="7">
        <v>9174.8</v>
      </c>
      <c r="AH1213" s="7">
        <v>4139.8</v>
      </c>
      <c r="AI1213" s="7">
        <v>3602.3</v>
      </c>
      <c r="AJ1213" s="7">
        <v>956.5</v>
      </c>
      <c r="AK1213" s="7">
        <v>351.2</v>
      </c>
      <c r="AL1213" s="7">
        <v>125.0</v>
      </c>
      <c r="AM1213" s="7">
        <v>74.0</v>
      </c>
      <c r="AN1213" s="7">
        <v>26.0</v>
      </c>
      <c r="AO1213" s="7">
        <v>31.6</v>
      </c>
      <c r="AP1213" s="9">
        <f t="shared" ref="AP1213:AR1213" si="3787">AG1213/$AF1213</f>
        <v>94.58556701</v>
      </c>
      <c r="AQ1213" s="9">
        <f t="shared" si="3787"/>
        <v>42.67835052</v>
      </c>
      <c r="AR1213" s="9">
        <f t="shared" si="3787"/>
        <v>37.1371134</v>
      </c>
      <c r="AS1213" s="9">
        <f t="shared" si="2233"/>
        <v>79.81546392</v>
      </c>
      <c r="AT1213" s="9">
        <f t="shared" ref="AT1213:AV1213" si="3788">AJ1213/$AF1213</f>
        <v>9.860824742</v>
      </c>
      <c r="AU1213" s="9">
        <f t="shared" si="3788"/>
        <v>3.620618557</v>
      </c>
      <c r="AV1213" s="9">
        <f t="shared" si="3788"/>
        <v>1.288659794</v>
      </c>
      <c r="AW1213" s="9">
        <f t="shared" si="2235"/>
        <v>4.909278351</v>
      </c>
      <c r="AX1213" s="9">
        <f t="shared" ref="AX1213:AY1213" si="3789">AM1213/$AF1213</f>
        <v>0.7628865979</v>
      </c>
      <c r="AY1213" s="9">
        <f t="shared" si="3789"/>
        <v>0.2680412371</v>
      </c>
      <c r="AZ1213" s="9">
        <f>VLOOKUP(A1213,Jogos!A:BN,58,0)</f>
        <v>30.535</v>
      </c>
      <c r="BA1213" s="9">
        <f>VLOOKUP(A1213,Jogos!A:BN,59,0)</f>
        <v>22.76</v>
      </c>
      <c r="BB1213" s="9">
        <f>VLOOKUP(A1213,Jogos!A:BN,60,0)</f>
        <v>62.5</v>
      </c>
      <c r="BC1213" s="9">
        <f>VLOOKUP(A1213,Jogos!A:BN,61,0)</f>
        <v>31.25</v>
      </c>
      <c r="BD1213" s="9">
        <f>VLOOKUP(A1213,Jogos!A:BN,62,0)</f>
        <v>612.6</v>
      </c>
      <c r="BE1213" s="9">
        <f>VLOOKUP(A1213,Jogos!A:BN,63,0)</f>
        <v>1.575</v>
      </c>
      <c r="BF1213" s="9">
        <f>VLOOKUP(A1213,Jogos!A:BN,64,0)</f>
        <v>25.73</v>
      </c>
      <c r="BG1213" s="9">
        <f>VLOOKUP(A1213,Jogos!A:BN,65,0)</f>
        <v>45.645</v>
      </c>
      <c r="BH1213" s="9">
        <f>VLOOKUP(A1213,Jogos!A:BN,66,0)</f>
        <v>30.195</v>
      </c>
      <c r="BI1213" s="9"/>
      <c r="BJ1213" s="9"/>
    </row>
    <row r="1214" hidden="1">
      <c r="A1214" s="10">
        <v>41.0</v>
      </c>
      <c r="B1214" s="11" t="s">
        <v>562</v>
      </c>
      <c r="C1214" s="2" t="s">
        <v>61</v>
      </c>
      <c r="D1214" s="12">
        <v>45833.0</v>
      </c>
      <c r="E1214" s="13">
        <v>0.625</v>
      </c>
      <c r="F1214" s="5" t="str">
        <f>VLOOKUP(A1214,Jogos!A:N,10,0)</f>
        <v>Afternoon</v>
      </c>
      <c r="G1214" s="11" t="s">
        <v>122</v>
      </c>
      <c r="H1214" s="6" t="str">
        <f>VLOOKUP(A1214,Jogos!A:L,12,0)</f>
        <v>Open</v>
      </c>
      <c r="I1214" s="6" t="str">
        <f>VLOOKUP(G1214,'Estádios e Cidades'!A:B,2,0)</f>
        <v>Cincinnati</v>
      </c>
      <c r="J1214" s="11" t="s">
        <v>687</v>
      </c>
      <c r="K1214" s="2" t="str">
        <f>VLOOKUP(J1214,Equipes!A:F,6,0)</f>
        <v>Temperate</v>
      </c>
      <c r="L1214" s="2">
        <f>VLOOKUP(J1214,Equipes!A:C,3,0)</f>
        <v>28</v>
      </c>
      <c r="M1214" s="2" t="str">
        <f t="shared" si="4"/>
        <v>Group</v>
      </c>
      <c r="N1214" s="11" t="s">
        <v>564</v>
      </c>
      <c r="O1214" s="2">
        <f>VLOOKUP(N1214,Equipes!A:C,3,0)</f>
        <v>5</v>
      </c>
      <c r="P1214" s="2" t="str">
        <f t="shared" si="5"/>
        <v>Quarter-final</v>
      </c>
      <c r="Q1214" s="2">
        <f t="shared" si="6"/>
        <v>23</v>
      </c>
      <c r="R1214" s="2" t="str">
        <f>VLOOKUP(J1214,Equipes!A:B,2,0)</f>
        <v>Ulsan</v>
      </c>
      <c r="S1214" s="6" t="s">
        <v>715</v>
      </c>
      <c r="T1214" s="7">
        <v>36.0</v>
      </c>
      <c r="U1214" s="7" t="s">
        <v>716</v>
      </c>
      <c r="V1214" s="7" t="str">
        <f>VLOOKUP(U1214,Jogadores!B:C,2,0)</f>
        <v>MF</v>
      </c>
      <c r="W1214" s="8">
        <f>VLOOKUP(U1214,Jogadores!B:D,3,0)</f>
        <v>22.77534247</v>
      </c>
      <c r="X1214" s="7">
        <v>0.0</v>
      </c>
      <c r="Y1214" s="7">
        <v>45.0</v>
      </c>
      <c r="Z1214" s="7">
        <f>VLOOKUP(A1214,Jogos!A:L,3,0)</f>
        <v>48</v>
      </c>
      <c r="AA1214" s="7">
        <f t="shared" si="2229"/>
        <v>48</v>
      </c>
      <c r="AB1214" s="7">
        <f>VLOOKUP(A1214,Jogos!A:L,4,0)</f>
        <v>49</v>
      </c>
      <c r="AC1214" s="7">
        <f t="shared" si="2230"/>
        <v>0</v>
      </c>
      <c r="AD1214" s="7"/>
      <c r="AE1214" s="7"/>
      <c r="AF1214" s="7">
        <f t="shared" si="2231"/>
        <v>48</v>
      </c>
      <c r="AG1214" s="7">
        <v>5476.6</v>
      </c>
      <c r="AH1214" s="7">
        <v>2256.0</v>
      </c>
      <c r="AI1214" s="7">
        <v>2116.1</v>
      </c>
      <c r="AJ1214" s="7">
        <v>588.8</v>
      </c>
      <c r="AK1214" s="7">
        <v>346.8</v>
      </c>
      <c r="AL1214" s="7">
        <v>168.8</v>
      </c>
      <c r="AM1214" s="7">
        <v>42.0</v>
      </c>
      <c r="AN1214" s="7">
        <v>36.0</v>
      </c>
      <c r="AO1214" s="7">
        <v>31.4</v>
      </c>
      <c r="AP1214" s="9">
        <f t="shared" ref="AP1214:AR1214" si="3790">AG1214/$AF1214</f>
        <v>114.0958333</v>
      </c>
      <c r="AQ1214" s="9">
        <f t="shared" si="3790"/>
        <v>47</v>
      </c>
      <c r="AR1214" s="9">
        <f t="shared" si="3790"/>
        <v>44.08541667</v>
      </c>
      <c r="AS1214" s="9">
        <f t="shared" si="2233"/>
        <v>91.08541667</v>
      </c>
      <c r="AT1214" s="9">
        <f t="shared" ref="AT1214:AV1214" si="3791">AJ1214/$AF1214</f>
        <v>12.26666667</v>
      </c>
      <c r="AU1214" s="9">
        <f t="shared" si="3791"/>
        <v>7.225</v>
      </c>
      <c r="AV1214" s="9">
        <f t="shared" si="3791"/>
        <v>3.516666667</v>
      </c>
      <c r="AW1214" s="9">
        <f t="shared" si="2235"/>
        <v>10.74166667</v>
      </c>
      <c r="AX1214" s="9">
        <f t="shared" ref="AX1214:AY1214" si="3792">AM1214/$AF1214</f>
        <v>0.875</v>
      </c>
      <c r="AY1214" s="9">
        <f t="shared" si="3792"/>
        <v>0.75</v>
      </c>
      <c r="AZ1214" s="9">
        <f>VLOOKUP(A1214,Jogos!A:BN,58,0)</f>
        <v>30.535</v>
      </c>
      <c r="BA1214" s="9">
        <f>VLOOKUP(A1214,Jogos!A:BN,59,0)</f>
        <v>22.76</v>
      </c>
      <c r="BB1214" s="9">
        <f>VLOOKUP(A1214,Jogos!A:BN,60,0)</f>
        <v>62.5</v>
      </c>
      <c r="BC1214" s="9">
        <f>VLOOKUP(A1214,Jogos!A:BN,61,0)</f>
        <v>31.25</v>
      </c>
      <c r="BD1214" s="9">
        <f>VLOOKUP(A1214,Jogos!A:BN,62,0)</f>
        <v>612.6</v>
      </c>
      <c r="BE1214" s="9">
        <f>VLOOKUP(A1214,Jogos!A:BN,63,0)</f>
        <v>1.575</v>
      </c>
      <c r="BF1214" s="9">
        <f>VLOOKUP(A1214,Jogos!A:BN,64,0)</f>
        <v>25.73</v>
      </c>
      <c r="BG1214" s="9">
        <f>VLOOKUP(A1214,Jogos!A:BN,65,0)</f>
        <v>45.645</v>
      </c>
      <c r="BH1214" s="9">
        <f>VLOOKUP(A1214,Jogos!A:BN,66,0)</f>
        <v>30.195</v>
      </c>
      <c r="BI1214" s="9"/>
      <c r="BJ1214" s="9"/>
    </row>
    <row r="1215" hidden="1">
      <c r="A1215" s="10">
        <v>41.0</v>
      </c>
      <c r="B1215" s="11" t="s">
        <v>562</v>
      </c>
      <c r="C1215" s="2" t="s">
        <v>61</v>
      </c>
      <c r="D1215" s="12">
        <v>45833.0</v>
      </c>
      <c r="E1215" s="13">
        <v>0.625</v>
      </c>
      <c r="F1215" s="5" t="str">
        <f>VLOOKUP(A1215,Jogos!A:N,10,0)</f>
        <v>Afternoon</v>
      </c>
      <c r="G1215" s="11" t="s">
        <v>122</v>
      </c>
      <c r="H1215" s="6" t="str">
        <f>VLOOKUP(A1215,Jogos!A:L,12,0)</f>
        <v>Open</v>
      </c>
      <c r="I1215" s="6" t="str">
        <f>VLOOKUP(G1215,'Estádios e Cidades'!A:B,2,0)</f>
        <v>Cincinnati</v>
      </c>
      <c r="J1215" s="11" t="s">
        <v>687</v>
      </c>
      <c r="K1215" s="2" t="str">
        <f>VLOOKUP(J1215,Equipes!A:F,6,0)</f>
        <v>Temperate</v>
      </c>
      <c r="L1215" s="2">
        <f>VLOOKUP(J1215,Equipes!A:C,3,0)</f>
        <v>28</v>
      </c>
      <c r="M1215" s="2" t="str">
        <f t="shared" si="4"/>
        <v>Group</v>
      </c>
      <c r="N1215" s="11" t="s">
        <v>564</v>
      </c>
      <c r="O1215" s="2">
        <f>VLOOKUP(N1215,Equipes!A:C,3,0)</f>
        <v>5</v>
      </c>
      <c r="P1215" s="2" t="str">
        <f t="shared" si="5"/>
        <v>Quarter-final</v>
      </c>
      <c r="Q1215" s="2">
        <f t="shared" si="6"/>
        <v>23</v>
      </c>
      <c r="R1215" s="2" t="str">
        <f>VLOOKUP(J1215,Equipes!A:B,2,0)</f>
        <v>Ulsan</v>
      </c>
      <c r="S1215" s="6" t="s">
        <v>705</v>
      </c>
      <c r="T1215" s="7">
        <v>66.0</v>
      </c>
      <c r="U1215" s="7" t="s">
        <v>706</v>
      </c>
      <c r="V1215" s="7" t="str">
        <f>VLOOKUP(U1215,Jogadores!B:C,2,0)</f>
        <v>DF</v>
      </c>
      <c r="W1215" s="8">
        <f>VLOOKUP(U1215,Jogadores!B:D,3,0)</f>
        <v>31.25205479</v>
      </c>
      <c r="X1215" s="7">
        <v>0.0</v>
      </c>
      <c r="Y1215" s="7">
        <v>86.0</v>
      </c>
      <c r="Z1215" s="7">
        <f>VLOOKUP(A1215,Jogos!A:L,3,0)</f>
        <v>48</v>
      </c>
      <c r="AA1215" s="7">
        <f t="shared" si="2229"/>
        <v>48</v>
      </c>
      <c r="AB1215" s="7">
        <f>VLOOKUP(A1215,Jogos!A:L,4,0)</f>
        <v>49</v>
      </c>
      <c r="AC1215" s="7">
        <f t="shared" si="2230"/>
        <v>41</v>
      </c>
      <c r="AD1215" s="7"/>
      <c r="AE1215" s="7"/>
      <c r="AF1215" s="7">
        <f t="shared" si="2231"/>
        <v>89</v>
      </c>
      <c r="AG1215" s="7">
        <v>8252.7</v>
      </c>
      <c r="AH1215" s="7">
        <v>3876.7</v>
      </c>
      <c r="AI1215" s="7">
        <v>3091.3</v>
      </c>
      <c r="AJ1215" s="7">
        <v>873.8</v>
      </c>
      <c r="AK1215" s="7">
        <v>279.9</v>
      </c>
      <c r="AL1215" s="7">
        <v>130.9</v>
      </c>
      <c r="AM1215" s="7">
        <v>74.0</v>
      </c>
      <c r="AN1215" s="7">
        <v>22.0</v>
      </c>
      <c r="AO1215" s="7">
        <v>30.9</v>
      </c>
      <c r="AP1215" s="9">
        <f t="shared" ref="AP1215:AR1215" si="3793">AG1215/$AF1215</f>
        <v>92.72696629</v>
      </c>
      <c r="AQ1215" s="9">
        <f t="shared" si="3793"/>
        <v>43.55842697</v>
      </c>
      <c r="AR1215" s="9">
        <f t="shared" si="3793"/>
        <v>34.73370787</v>
      </c>
      <c r="AS1215" s="9">
        <f t="shared" si="2233"/>
        <v>78.29213483</v>
      </c>
      <c r="AT1215" s="9">
        <f t="shared" ref="AT1215:AV1215" si="3794">AJ1215/$AF1215</f>
        <v>9.817977528</v>
      </c>
      <c r="AU1215" s="9">
        <f t="shared" si="3794"/>
        <v>3.14494382</v>
      </c>
      <c r="AV1215" s="9">
        <f t="shared" si="3794"/>
        <v>1.470786517</v>
      </c>
      <c r="AW1215" s="9">
        <f t="shared" si="2235"/>
        <v>4.615730337</v>
      </c>
      <c r="AX1215" s="9">
        <f t="shared" ref="AX1215:AY1215" si="3795">AM1215/$AF1215</f>
        <v>0.8314606742</v>
      </c>
      <c r="AY1215" s="9">
        <f t="shared" si="3795"/>
        <v>0.2471910112</v>
      </c>
      <c r="AZ1215" s="9">
        <f>VLOOKUP(A1215,Jogos!A:BN,58,0)</f>
        <v>30.535</v>
      </c>
      <c r="BA1215" s="9">
        <f>VLOOKUP(A1215,Jogos!A:BN,59,0)</f>
        <v>22.76</v>
      </c>
      <c r="BB1215" s="9">
        <f>VLOOKUP(A1215,Jogos!A:BN,60,0)</f>
        <v>62.5</v>
      </c>
      <c r="BC1215" s="9">
        <f>VLOOKUP(A1215,Jogos!A:BN,61,0)</f>
        <v>31.25</v>
      </c>
      <c r="BD1215" s="9">
        <f>VLOOKUP(A1215,Jogos!A:BN,62,0)</f>
        <v>612.6</v>
      </c>
      <c r="BE1215" s="9">
        <f>VLOOKUP(A1215,Jogos!A:BN,63,0)</f>
        <v>1.575</v>
      </c>
      <c r="BF1215" s="9">
        <f>VLOOKUP(A1215,Jogos!A:BN,64,0)</f>
        <v>25.73</v>
      </c>
      <c r="BG1215" s="9">
        <f>VLOOKUP(A1215,Jogos!A:BN,65,0)</f>
        <v>45.645</v>
      </c>
      <c r="BH1215" s="9">
        <f>VLOOKUP(A1215,Jogos!A:BN,66,0)</f>
        <v>30.195</v>
      </c>
      <c r="BI1215" s="9"/>
      <c r="BJ1215" s="9"/>
    </row>
    <row r="1216" hidden="1">
      <c r="A1216" s="10">
        <v>41.0</v>
      </c>
      <c r="B1216" s="11" t="s">
        <v>562</v>
      </c>
      <c r="C1216" s="2" t="s">
        <v>61</v>
      </c>
      <c r="D1216" s="12">
        <v>45833.0</v>
      </c>
      <c r="E1216" s="13">
        <v>0.625</v>
      </c>
      <c r="F1216" s="5" t="str">
        <f>VLOOKUP(A1216,Jogos!A:N,10,0)</f>
        <v>Afternoon</v>
      </c>
      <c r="G1216" s="11" t="s">
        <v>122</v>
      </c>
      <c r="H1216" s="6" t="str">
        <f>VLOOKUP(A1216,Jogos!A:L,12,0)</f>
        <v>Open</v>
      </c>
      <c r="I1216" s="6" t="str">
        <f>VLOOKUP(G1216,'Estádios e Cidades'!A:B,2,0)</f>
        <v>Cincinnati</v>
      </c>
      <c r="J1216" s="11" t="s">
        <v>687</v>
      </c>
      <c r="K1216" s="2" t="str">
        <f>VLOOKUP(J1216,Equipes!A:F,6,0)</f>
        <v>Temperate</v>
      </c>
      <c r="L1216" s="2">
        <f>VLOOKUP(J1216,Equipes!A:C,3,0)</f>
        <v>28</v>
      </c>
      <c r="M1216" s="2" t="str">
        <f t="shared" si="4"/>
        <v>Group</v>
      </c>
      <c r="N1216" s="11" t="s">
        <v>564</v>
      </c>
      <c r="O1216" s="2">
        <f>VLOOKUP(N1216,Equipes!A:C,3,0)</f>
        <v>5</v>
      </c>
      <c r="P1216" s="2" t="str">
        <f t="shared" si="5"/>
        <v>Quarter-final</v>
      </c>
      <c r="Q1216" s="2">
        <f t="shared" si="6"/>
        <v>23</v>
      </c>
      <c r="R1216" s="2" t="str">
        <f>VLOOKUP(J1216,Equipes!A:B,2,0)</f>
        <v>Ulsan</v>
      </c>
      <c r="S1216" s="6" t="s">
        <v>707</v>
      </c>
      <c r="T1216" s="7">
        <v>97.0</v>
      </c>
      <c r="U1216" s="7" t="s">
        <v>708</v>
      </c>
      <c r="V1216" s="7" t="str">
        <f>VLOOKUP(U1216,Jogadores!B:C,2,0)</f>
        <v>MF</v>
      </c>
      <c r="W1216" s="8">
        <f>VLOOKUP(U1216,Jogadores!B:D,3,0)</f>
        <v>28.58356164</v>
      </c>
      <c r="X1216" s="7">
        <v>0.0</v>
      </c>
      <c r="Y1216" s="7">
        <v>80.0</v>
      </c>
      <c r="Z1216" s="7">
        <f>VLOOKUP(A1216,Jogos!A:L,3,0)</f>
        <v>48</v>
      </c>
      <c r="AA1216" s="7">
        <f t="shared" si="2229"/>
        <v>48</v>
      </c>
      <c r="AB1216" s="7">
        <f>VLOOKUP(A1216,Jogos!A:L,4,0)</f>
        <v>49</v>
      </c>
      <c r="AC1216" s="7">
        <f t="shared" si="2230"/>
        <v>35</v>
      </c>
      <c r="AD1216" s="7"/>
      <c r="AE1216" s="7"/>
      <c r="AF1216" s="7">
        <f t="shared" si="2231"/>
        <v>83</v>
      </c>
      <c r="AG1216" s="7">
        <v>7971.2</v>
      </c>
      <c r="AH1216" s="7">
        <v>3742.0</v>
      </c>
      <c r="AI1216" s="7">
        <v>2962.2</v>
      </c>
      <c r="AJ1216" s="7">
        <v>716.4</v>
      </c>
      <c r="AK1216" s="7">
        <v>358.8</v>
      </c>
      <c r="AL1216" s="7">
        <v>191.8</v>
      </c>
      <c r="AM1216" s="7">
        <v>64.0</v>
      </c>
      <c r="AN1216" s="7">
        <v>26.0</v>
      </c>
      <c r="AO1216" s="7">
        <v>33.0</v>
      </c>
      <c r="AP1216" s="9">
        <f t="shared" ref="AP1216:AR1216" si="3796">AG1216/$AF1216</f>
        <v>96.03855422</v>
      </c>
      <c r="AQ1216" s="9">
        <f t="shared" si="3796"/>
        <v>45.08433735</v>
      </c>
      <c r="AR1216" s="9">
        <f t="shared" si="3796"/>
        <v>35.68915663</v>
      </c>
      <c r="AS1216" s="9">
        <f t="shared" si="2233"/>
        <v>80.77349398</v>
      </c>
      <c r="AT1216" s="9">
        <f t="shared" ref="AT1216:AV1216" si="3797">AJ1216/$AF1216</f>
        <v>8.631325301</v>
      </c>
      <c r="AU1216" s="9">
        <f t="shared" si="3797"/>
        <v>4.322891566</v>
      </c>
      <c r="AV1216" s="9">
        <f t="shared" si="3797"/>
        <v>2.310843373</v>
      </c>
      <c r="AW1216" s="9">
        <f t="shared" si="2235"/>
        <v>6.63373494</v>
      </c>
      <c r="AX1216" s="9">
        <f t="shared" ref="AX1216:AY1216" si="3798">AM1216/$AF1216</f>
        <v>0.7710843373</v>
      </c>
      <c r="AY1216" s="9">
        <f t="shared" si="3798"/>
        <v>0.313253012</v>
      </c>
      <c r="AZ1216" s="9">
        <f>VLOOKUP(A1216,Jogos!A:BN,58,0)</f>
        <v>30.535</v>
      </c>
      <c r="BA1216" s="9">
        <f>VLOOKUP(A1216,Jogos!A:BN,59,0)</f>
        <v>22.76</v>
      </c>
      <c r="BB1216" s="9">
        <f>VLOOKUP(A1216,Jogos!A:BN,60,0)</f>
        <v>62.5</v>
      </c>
      <c r="BC1216" s="9">
        <f>VLOOKUP(A1216,Jogos!A:BN,61,0)</f>
        <v>31.25</v>
      </c>
      <c r="BD1216" s="9">
        <f>VLOOKUP(A1216,Jogos!A:BN,62,0)</f>
        <v>612.6</v>
      </c>
      <c r="BE1216" s="9">
        <f>VLOOKUP(A1216,Jogos!A:BN,63,0)</f>
        <v>1.575</v>
      </c>
      <c r="BF1216" s="9">
        <f>VLOOKUP(A1216,Jogos!A:BN,64,0)</f>
        <v>25.73</v>
      </c>
      <c r="BG1216" s="9">
        <f>VLOOKUP(A1216,Jogos!A:BN,65,0)</f>
        <v>45.645</v>
      </c>
      <c r="BH1216" s="9">
        <f>VLOOKUP(A1216,Jogos!A:BN,66,0)</f>
        <v>30.195</v>
      </c>
      <c r="BI1216" s="9"/>
      <c r="BJ1216" s="9"/>
    </row>
    <row r="1217" hidden="1">
      <c r="A1217" s="10">
        <v>41.0</v>
      </c>
      <c r="B1217" s="11" t="s">
        <v>562</v>
      </c>
      <c r="C1217" s="2" t="s">
        <v>61</v>
      </c>
      <c r="D1217" s="12">
        <v>45833.0</v>
      </c>
      <c r="E1217" s="13">
        <v>0.625</v>
      </c>
      <c r="F1217" s="5" t="str">
        <f>VLOOKUP(A1217,Jogos!A:N,10,0)</f>
        <v>Afternoon</v>
      </c>
      <c r="G1217" s="11" t="s">
        <v>122</v>
      </c>
      <c r="H1217" s="6" t="str">
        <f>VLOOKUP(A1217,Jogos!A:L,12,0)</f>
        <v>Open</v>
      </c>
      <c r="I1217" s="6" t="str">
        <f>VLOOKUP(G1217,'Estádios e Cidades'!A:B,2,0)</f>
        <v>Cincinnati</v>
      </c>
      <c r="J1217" s="11" t="s">
        <v>687</v>
      </c>
      <c r="K1217" s="2" t="str">
        <f>VLOOKUP(J1217,Equipes!A:F,6,0)</f>
        <v>Temperate</v>
      </c>
      <c r="L1217" s="2">
        <f>VLOOKUP(J1217,Equipes!A:C,3,0)</f>
        <v>28</v>
      </c>
      <c r="M1217" s="2" t="str">
        <f t="shared" si="4"/>
        <v>Group</v>
      </c>
      <c r="N1217" s="11" t="s">
        <v>564</v>
      </c>
      <c r="O1217" s="2">
        <f>VLOOKUP(N1217,Equipes!A:C,3,0)</f>
        <v>5</v>
      </c>
      <c r="P1217" s="2" t="str">
        <f t="shared" si="5"/>
        <v>Quarter-final</v>
      </c>
      <c r="Q1217" s="2">
        <f t="shared" si="6"/>
        <v>23</v>
      </c>
      <c r="R1217" s="2" t="str">
        <f>VLOOKUP(J1217,Equipes!A:B,2,0)</f>
        <v>Ulsan</v>
      </c>
      <c r="S1217" s="6" t="s">
        <v>695</v>
      </c>
      <c r="T1217" s="7">
        <v>7.0</v>
      </c>
      <c r="U1217" s="7" t="s">
        <v>696</v>
      </c>
      <c r="V1217" s="7" t="str">
        <f>VLOOKUP(U1217,Jogadores!B:C,2,0)</f>
        <v>MF</v>
      </c>
      <c r="W1217" s="8">
        <f>VLOOKUP(U1217,Jogadores!B:D,3,0)</f>
        <v>31.28219178</v>
      </c>
      <c r="X1217" s="7">
        <v>45.0</v>
      </c>
      <c r="Y1217" s="7">
        <f t="shared" ref="Y1217:Y1221" si="3802">45+AB1217</f>
        <v>94</v>
      </c>
      <c r="Z1217" s="7">
        <f>VLOOKUP(A1217,Jogos!A:L,3,0)</f>
        <v>48</v>
      </c>
      <c r="AA1217" s="7">
        <f t="shared" si="2229"/>
        <v>0</v>
      </c>
      <c r="AB1217" s="7">
        <f>VLOOKUP(A1217,Jogos!A:L,4,0)</f>
        <v>49</v>
      </c>
      <c r="AC1217" s="7">
        <f t="shared" si="2230"/>
        <v>49</v>
      </c>
      <c r="AD1217" s="7"/>
      <c r="AE1217" s="7"/>
      <c r="AF1217" s="7">
        <f t="shared" si="2231"/>
        <v>49</v>
      </c>
      <c r="AG1217" s="7">
        <v>6016.6</v>
      </c>
      <c r="AH1217" s="7">
        <v>1669.7</v>
      </c>
      <c r="AI1217" s="7">
        <v>2529.4</v>
      </c>
      <c r="AJ1217" s="7">
        <v>1207.3</v>
      </c>
      <c r="AK1217" s="7">
        <v>526.8</v>
      </c>
      <c r="AL1217" s="7">
        <v>83.4</v>
      </c>
      <c r="AM1217" s="7">
        <v>100.0</v>
      </c>
      <c r="AN1217" s="7">
        <v>34.0</v>
      </c>
      <c r="AO1217" s="7">
        <v>29.5</v>
      </c>
      <c r="AP1217" s="9">
        <f t="shared" ref="AP1217:AR1217" si="3799">AG1217/$AF1217</f>
        <v>122.7877551</v>
      </c>
      <c r="AQ1217" s="9">
        <f t="shared" si="3799"/>
        <v>34.0755102</v>
      </c>
      <c r="AR1217" s="9">
        <f t="shared" si="3799"/>
        <v>51.62040816</v>
      </c>
      <c r="AS1217" s="9">
        <f t="shared" si="2233"/>
        <v>85.69591837</v>
      </c>
      <c r="AT1217" s="9">
        <f t="shared" ref="AT1217:AV1217" si="3800">AJ1217/$AF1217</f>
        <v>24.63877551</v>
      </c>
      <c r="AU1217" s="9">
        <f t="shared" si="3800"/>
        <v>10.75102041</v>
      </c>
      <c r="AV1217" s="9">
        <f t="shared" si="3800"/>
        <v>1.702040816</v>
      </c>
      <c r="AW1217" s="9">
        <f t="shared" si="2235"/>
        <v>12.45306122</v>
      </c>
      <c r="AX1217" s="9">
        <f t="shared" ref="AX1217:AY1217" si="3801">AM1217/$AF1217</f>
        <v>2.040816327</v>
      </c>
      <c r="AY1217" s="9">
        <f t="shared" si="3801"/>
        <v>0.693877551</v>
      </c>
      <c r="AZ1217" s="9">
        <f>VLOOKUP(A1217,Jogos!A:BN,58,0)</f>
        <v>30.535</v>
      </c>
      <c r="BA1217" s="9">
        <f>VLOOKUP(A1217,Jogos!A:BN,59,0)</f>
        <v>22.76</v>
      </c>
      <c r="BB1217" s="9">
        <f>VLOOKUP(A1217,Jogos!A:BN,60,0)</f>
        <v>62.5</v>
      </c>
      <c r="BC1217" s="9">
        <f>VLOOKUP(A1217,Jogos!A:BN,61,0)</f>
        <v>31.25</v>
      </c>
      <c r="BD1217" s="9">
        <f>VLOOKUP(A1217,Jogos!A:BN,62,0)</f>
        <v>612.6</v>
      </c>
      <c r="BE1217" s="9">
        <f>VLOOKUP(A1217,Jogos!A:BN,63,0)</f>
        <v>1.575</v>
      </c>
      <c r="BF1217" s="9">
        <f>VLOOKUP(A1217,Jogos!A:BN,64,0)</f>
        <v>25.73</v>
      </c>
      <c r="BG1217" s="9">
        <f>VLOOKUP(A1217,Jogos!A:BN,65,0)</f>
        <v>45.645</v>
      </c>
      <c r="BH1217" s="9">
        <f>VLOOKUP(A1217,Jogos!A:BN,66,0)</f>
        <v>30.195</v>
      </c>
      <c r="BI1217" s="9"/>
      <c r="BJ1217" s="9"/>
    </row>
    <row r="1218" hidden="1">
      <c r="A1218" s="10">
        <v>41.0</v>
      </c>
      <c r="B1218" s="11" t="s">
        <v>562</v>
      </c>
      <c r="C1218" s="2" t="s">
        <v>61</v>
      </c>
      <c r="D1218" s="12">
        <v>45833.0</v>
      </c>
      <c r="E1218" s="13">
        <v>0.625</v>
      </c>
      <c r="F1218" s="5" t="str">
        <f>VLOOKUP(A1218,Jogos!A:N,10,0)</f>
        <v>Afternoon</v>
      </c>
      <c r="G1218" s="11" t="s">
        <v>122</v>
      </c>
      <c r="H1218" s="6" t="str">
        <f>VLOOKUP(A1218,Jogos!A:L,12,0)</f>
        <v>Open</v>
      </c>
      <c r="I1218" s="6" t="str">
        <f>VLOOKUP(G1218,'Estádios e Cidades'!A:B,2,0)</f>
        <v>Cincinnati</v>
      </c>
      <c r="J1218" s="11" t="s">
        <v>687</v>
      </c>
      <c r="K1218" s="2" t="str">
        <f>VLOOKUP(J1218,Equipes!A:F,6,0)</f>
        <v>Temperate</v>
      </c>
      <c r="L1218" s="2">
        <f>VLOOKUP(J1218,Equipes!A:C,3,0)</f>
        <v>28</v>
      </c>
      <c r="M1218" s="2" t="str">
        <f t="shared" si="4"/>
        <v>Group</v>
      </c>
      <c r="N1218" s="11" t="s">
        <v>564</v>
      </c>
      <c r="O1218" s="2">
        <f>VLOOKUP(N1218,Equipes!A:C,3,0)</f>
        <v>5</v>
      </c>
      <c r="P1218" s="2" t="str">
        <f t="shared" si="5"/>
        <v>Quarter-final</v>
      </c>
      <c r="Q1218" s="2">
        <f t="shared" si="6"/>
        <v>23</v>
      </c>
      <c r="R1218" s="2" t="str">
        <f>VLOOKUP(J1218,Equipes!A:B,2,0)</f>
        <v>Ulsan</v>
      </c>
      <c r="S1218" s="6" t="s">
        <v>713</v>
      </c>
      <c r="T1218" s="7">
        <v>16.0</v>
      </c>
      <c r="U1218" s="7" t="s">
        <v>714</v>
      </c>
      <c r="V1218" s="7" t="str">
        <f>VLOOKUP(U1218,Jogadores!B:C,2,0)</f>
        <v>MF</v>
      </c>
      <c r="W1218" s="8">
        <f>VLOOKUP(U1218,Jogadores!B:D,3,0)</f>
        <v>27.26575342</v>
      </c>
      <c r="X1218" s="7">
        <v>80.0</v>
      </c>
      <c r="Y1218" s="7">
        <f t="shared" si="3802"/>
        <v>94</v>
      </c>
      <c r="Z1218" s="7">
        <f>VLOOKUP(A1218,Jogos!A:L,3,0)</f>
        <v>48</v>
      </c>
      <c r="AA1218" s="7">
        <f t="shared" si="2229"/>
        <v>0</v>
      </c>
      <c r="AB1218" s="7">
        <f>VLOOKUP(A1218,Jogos!A:L,4,0)</f>
        <v>49</v>
      </c>
      <c r="AC1218" s="7">
        <f t="shared" si="2230"/>
        <v>14</v>
      </c>
      <c r="AD1218" s="7"/>
      <c r="AE1218" s="7"/>
      <c r="AF1218" s="7">
        <f t="shared" si="2231"/>
        <v>14</v>
      </c>
      <c r="AG1218" s="7">
        <v>1937.5</v>
      </c>
      <c r="AH1218" s="7">
        <v>516.5</v>
      </c>
      <c r="AI1218" s="7">
        <v>884.8</v>
      </c>
      <c r="AJ1218" s="7">
        <v>326.4</v>
      </c>
      <c r="AK1218" s="7">
        <v>198.2</v>
      </c>
      <c r="AL1218" s="7">
        <v>11.7</v>
      </c>
      <c r="AM1218" s="7">
        <v>29.0</v>
      </c>
      <c r="AN1218" s="7">
        <v>13.0</v>
      </c>
      <c r="AO1218" s="7">
        <v>27.8</v>
      </c>
      <c r="AP1218" s="9">
        <f t="shared" ref="AP1218:AR1218" si="3803">AG1218/$AF1218</f>
        <v>138.3928571</v>
      </c>
      <c r="AQ1218" s="9">
        <f t="shared" si="3803"/>
        <v>36.89285714</v>
      </c>
      <c r="AR1218" s="9">
        <f t="shared" si="3803"/>
        <v>63.2</v>
      </c>
      <c r="AS1218" s="9">
        <f t="shared" si="2233"/>
        <v>100.0928571</v>
      </c>
      <c r="AT1218" s="9">
        <f t="shared" ref="AT1218:AV1218" si="3804">AJ1218/$AF1218</f>
        <v>23.31428571</v>
      </c>
      <c r="AU1218" s="9">
        <f t="shared" si="3804"/>
        <v>14.15714286</v>
      </c>
      <c r="AV1218" s="9">
        <f t="shared" si="3804"/>
        <v>0.8357142857</v>
      </c>
      <c r="AW1218" s="9">
        <f t="shared" si="2235"/>
        <v>14.99285714</v>
      </c>
      <c r="AX1218" s="9">
        <f t="shared" ref="AX1218:AY1218" si="3805">AM1218/$AF1218</f>
        <v>2.071428571</v>
      </c>
      <c r="AY1218" s="9">
        <f t="shared" si="3805"/>
        <v>0.9285714286</v>
      </c>
      <c r="AZ1218" s="9">
        <f>VLOOKUP(A1218,Jogos!A:BN,58,0)</f>
        <v>30.535</v>
      </c>
      <c r="BA1218" s="9">
        <f>VLOOKUP(A1218,Jogos!A:BN,59,0)</f>
        <v>22.76</v>
      </c>
      <c r="BB1218" s="9">
        <f>VLOOKUP(A1218,Jogos!A:BN,60,0)</f>
        <v>62.5</v>
      </c>
      <c r="BC1218" s="9">
        <f>VLOOKUP(A1218,Jogos!A:BN,61,0)</f>
        <v>31.25</v>
      </c>
      <c r="BD1218" s="9">
        <f>VLOOKUP(A1218,Jogos!A:BN,62,0)</f>
        <v>612.6</v>
      </c>
      <c r="BE1218" s="9">
        <f>VLOOKUP(A1218,Jogos!A:BN,63,0)</f>
        <v>1.575</v>
      </c>
      <c r="BF1218" s="9">
        <f>VLOOKUP(A1218,Jogos!A:BN,64,0)</f>
        <v>25.73</v>
      </c>
      <c r="BG1218" s="9">
        <f>VLOOKUP(A1218,Jogos!A:BN,65,0)</f>
        <v>45.645</v>
      </c>
      <c r="BH1218" s="9">
        <f>VLOOKUP(A1218,Jogos!A:BN,66,0)</f>
        <v>30.195</v>
      </c>
      <c r="BI1218" s="9"/>
      <c r="BJ1218" s="9"/>
    </row>
    <row r="1219" hidden="1">
      <c r="A1219" s="10">
        <v>41.0</v>
      </c>
      <c r="B1219" s="11" t="s">
        <v>562</v>
      </c>
      <c r="C1219" s="2" t="s">
        <v>61</v>
      </c>
      <c r="D1219" s="12">
        <v>45833.0</v>
      </c>
      <c r="E1219" s="13">
        <v>0.625</v>
      </c>
      <c r="F1219" s="5" t="str">
        <f>VLOOKUP(A1219,Jogos!A:N,10,0)</f>
        <v>Afternoon</v>
      </c>
      <c r="G1219" s="11" t="s">
        <v>122</v>
      </c>
      <c r="H1219" s="6" t="str">
        <f>VLOOKUP(A1219,Jogos!A:L,12,0)</f>
        <v>Open</v>
      </c>
      <c r="I1219" s="6" t="str">
        <f>VLOOKUP(G1219,'Estádios e Cidades'!A:B,2,0)</f>
        <v>Cincinnati</v>
      </c>
      <c r="J1219" s="11" t="s">
        <v>687</v>
      </c>
      <c r="K1219" s="2" t="str">
        <f>VLOOKUP(J1219,Equipes!A:F,6,0)</f>
        <v>Temperate</v>
      </c>
      <c r="L1219" s="2">
        <f>VLOOKUP(J1219,Equipes!A:C,3,0)</f>
        <v>28</v>
      </c>
      <c r="M1219" s="2" t="str">
        <f t="shared" si="4"/>
        <v>Group</v>
      </c>
      <c r="N1219" s="11" t="s">
        <v>564</v>
      </c>
      <c r="O1219" s="2">
        <f>VLOOKUP(N1219,Equipes!A:C,3,0)</f>
        <v>5</v>
      </c>
      <c r="P1219" s="2" t="str">
        <f t="shared" si="5"/>
        <v>Quarter-final</v>
      </c>
      <c r="Q1219" s="2">
        <f t="shared" si="6"/>
        <v>23</v>
      </c>
      <c r="R1219" s="2" t="str">
        <f>VLOOKUP(J1219,Equipes!A:B,2,0)</f>
        <v>Ulsan</v>
      </c>
      <c r="S1219" s="6" t="s">
        <v>1176</v>
      </c>
      <c r="T1219" s="7">
        <v>18.0</v>
      </c>
      <c r="U1219" s="7" t="s">
        <v>1177</v>
      </c>
      <c r="V1219" s="7" t="str">
        <f>VLOOKUP(U1219,Jogadores!B:C,2,0)</f>
        <v>FW</v>
      </c>
      <c r="W1219" s="8">
        <f>VLOOKUP(U1219,Jogadores!B:D,3,0)</f>
        <v>24.30958904</v>
      </c>
      <c r="X1219" s="7">
        <v>86.0</v>
      </c>
      <c r="Y1219" s="7">
        <f t="shared" si="3802"/>
        <v>94</v>
      </c>
      <c r="Z1219" s="7">
        <f>VLOOKUP(A1219,Jogos!A:L,3,0)</f>
        <v>48</v>
      </c>
      <c r="AA1219" s="7">
        <f t="shared" si="2229"/>
        <v>0</v>
      </c>
      <c r="AB1219" s="7">
        <f>VLOOKUP(A1219,Jogos!A:L,4,0)</f>
        <v>49</v>
      </c>
      <c r="AC1219" s="7">
        <f t="shared" si="2230"/>
        <v>8</v>
      </c>
      <c r="AD1219" s="7"/>
      <c r="AE1219" s="7"/>
      <c r="AF1219" s="7">
        <f t="shared" si="2231"/>
        <v>8</v>
      </c>
      <c r="AG1219" s="7">
        <v>1049.4</v>
      </c>
      <c r="AH1219" s="7">
        <v>341.2</v>
      </c>
      <c r="AI1219" s="7">
        <v>427.2</v>
      </c>
      <c r="AJ1219" s="7">
        <v>148.5</v>
      </c>
      <c r="AK1219" s="7">
        <v>75.2</v>
      </c>
      <c r="AL1219" s="7">
        <v>57.2</v>
      </c>
      <c r="AM1219" s="7">
        <v>11.0</v>
      </c>
      <c r="AN1219" s="7">
        <v>7.0</v>
      </c>
      <c r="AO1219" s="7">
        <v>30.2</v>
      </c>
      <c r="AP1219" s="9">
        <f t="shared" ref="AP1219:AR1219" si="3806">AG1219/$AF1219</f>
        <v>131.175</v>
      </c>
      <c r="AQ1219" s="9">
        <f t="shared" si="3806"/>
        <v>42.65</v>
      </c>
      <c r="AR1219" s="9">
        <f t="shared" si="3806"/>
        <v>53.4</v>
      </c>
      <c r="AS1219" s="9">
        <f t="shared" si="2233"/>
        <v>96.05</v>
      </c>
      <c r="AT1219" s="9">
        <f t="shared" ref="AT1219:AV1219" si="3807">AJ1219/$AF1219</f>
        <v>18.5625</v>
      </c>
      <c r="AU1219" s="9">
        <f t="shared" si="3807"/>
        <v>9.4</v>
      </c>
      <c r="AV1219" s="9">
        <f t="shared" si="3807"/>
        <v>7.15</v>
      </c>
      <c r="AW1219" s="9">
        <f t="shared" si="2235"/>
        <v>16.55</v>
      </c>
      <c r="AX1219" s="9">
        <f t="shared" ref="AX1219:AY1219" si="3808">AM1219/$AF1219</f>
        <v>1.375</v>
      </c>
      <c r="AY1219" s="9">
        <f t="shared" si="3808"/>
        <v>0.875</v>
      </c>
      <c r="AZ1219" s="9">
        <f>VLOOKUP(A1219,Jogos!A:BN,58,0)</f>
        <v>30.535</v>
      </c>
      <c r="BA1219" s="9">
        <f>VLOOKUP(A1219,Jogos!A:BN,59,0)</f>
        <v>22.76</v>
      </c>
      <c r="BB1219" s="9">
        <f>VLOOKUP(A1219,Jogos!A:BN,60,0)</f>
        <v>62.5</v>
      </c>
      <c r="BC1219" s="9">
        <f>VLOOKUP(A1219,Jogos!A:BN,61,0)</f>
        <v>31.25</v>
      </c>
      <c r="BD1219" s="9">
        <f>VLOOKUP(A1219,Jogos!A:BN,62,0)</f>
        <v>612.6</v>
      </c>
      <c r="BE1219" s="9">
        <f>VLOOKUP(A1219,Jogos!A:BN,63,0)</f>
        <v>1.575</v>
      </c>
      <c r="BF1219" s="9">
        <f>VLOOKUP(A1219,Jogos!A:BN,64,0)</f>
        <v>25.73</v>
      </c>
      <c r="BG1219" s="9">
        <f>VLOOKUP(A1219,Jogos!A:BN,65,0)</f>
        <v>45.645</v>
      </c>
      <c r="BH1219" s="9">
        <f>VLOOKUP(A1219,Jogos!A:BN,66,0)</f>
        <v>30.195</v>
      </c>
      <c r="BI1219" s="9"/>
      <c r="BJ1219" s="9"/>
    </row>
    <row r="1220" hidden="1">
      <c r="A1220" s="10">
        <v>41.0</v>
      </c>
      <c r="B1220" s="11" t="s">
        <v>562</v>
      </c>
      <c r="C1220" s="2" t="s">
        <v>61</v>
      </c>
      <c r="D1220" s="12">
        <v>45833.0</v>
      </c>
      <c r="E1220" s="13">
        <v>0.625</v>
      </c>
      <c r="F1220" s="5" t="str">
        <f>VLOOKUP(A1220,Jogos!A:N,10,0)</f>
        <v>Afternoon</v>
      </c>
      <c r="G1220" s="11" t="s">
        <v>122</v>
      </c>
      <c r="H1220" s="6" t="str">
        <f>VLOOKUP(A1220,Jogos!A:L,12,0)</f>
        <v>Open</v>
      </c>
      <c r="I1220" s="6" t="str">
        <f>VLOOKUP(G1220,'Estádios e Cidades'!A:B,2,0)</f>
        <v>Cincinnati</v>
      </c>
      <c r="J1220" s="11" t="s">
        <v>687</v>
      </c>
      <c r="K1220" s="2" t="str">
        <f>VLOOKUP(J1220,Equipes!A:F,6,0)</f>
        <v>Temperate</v>
      </c>
      <c r="L1220" s="2">
        <f>VLOOKUP(J1220,Equipes!A:C,3,0)</f>
        <v>28</v>
      </c>
      <c r="M1220" s="2" t="str">
        <f t="shared" si="4"/>
        <v>Group</v>
      </c>
      <c r="N1220" s="11" t="s">
        <v>564</v>
      </c>
      <c r="O1220" s="2">
        <f>VLOOKUP(N1220,Equipes!A:C,3,0)</f>
        <v>5</v>
      </c>
      <c r="P1220" s="2" t="str">
        <f t="shared" si="5"/>
        <v>Quarter-final</v>
      </c>
      <c r="Q1220" s="2">
        <f t="shared" si="6"/>
        <v>23</v>
      </c>
      <c r="R1220" s="2" t="str">
        <f>VLOOKUP(J1220,Equipes!A:B,2,0)</f>
        <v>Ulsan</v>
      </c>
      <c r="S1220" s="6" t="s">
        <v>1299</v>
      </c>
      <c r="T1220" s="7">
        <v>26.0</v>
      </c>
      <c r="U1220" s="7" t="s">
        <v>1300</v>
      </c>
      <c r="V1220" s="7" t="str">
        <f>VLOOKUP(U1220,Jogadores!B:C,2,0)</f>
        <v>DF</v>
      </c>
      <c r="W1220" s="8">
        <f>VLOOKUP(U1220,Jogadores!B:D,3,0)</f>
        <v>24.88219178</v>
      </c>
      <c r="X1220" s="7">
        <v>45.0</v>
      </c>
      <c r="Y1220" s="7">
        <f t="shared" si="3802"/>
        <v>94</v>
      </c>
      <c r="Z1220" s="7">
        <f>VLOOKUP(A1220,Jogos!A:L,3,0)</f>
        <v>48</v>
      </c>
      <c r="AA1220" s="7">
        <f t="shared" si="2229"/>
        <v>0</v>
      </c>
      <c r="AB1220" s="7">
        <f>VLOOKUP(A1220,Jogos!A:L,4,0)</f>
        <v>49</v>
      </c>
      <c r="AC1220" s="7">
        <f t="shared" si="2230"/>
        <v>49</v>
      </c>
      <c r="AD1220" s="7"/>
      <c r="AE1220" s="7"/>
      <c r="AF1220" s="7">
        <f t="shared" si="2231"/>
        <v>49</v>
      </c>
      <c r="AG1220" s="7">
        <v>5018.4</v>
      </c>
      <c r="AH1220" s="7">
        <v>1908.9</v>
      </c>
      <c r="AI1220" s="7">
        <v>1907.8</v>
      </c>
      <c r="AJ1220" s="7">
        <v>663.3</v>
      </c>
      <c r="AK1220" s="7">
        <v>402.1</v>
      </c>
      <c r="AL1220" s="7">
        <v>136.4</v>
      </c>
      <c r="AM1220" s="7">
        <v>55.0</v>
      </c>
      <c r="AN1220" s="7">
        <v>28.0</v>
      </c>
      <c r="AO1220" s="7">
        <v>30.4</v>
      </c>
      <c r="AP1220" s="9">
        <f t="shared" ref="AP1220:AR1220" si="3809">AG1220/$AF1220</f>
        <v>102.4163265</v>
      </c>
      <c r="AQ1220" s="9">
        <f t="shared" si="3809"/>
        <v>38.95714286</v>
      </c>
      <c r="AR1220" s="9">
        <f t="shared" si="3809"/>
        <v>38.93469388</v>
      </c>
      <c r="AS1220" s="9">
        <f t="shared" si="2233"/>
        <v>77.89183673</v>
      </c>
      <c r="AT1220" s="9">
        <f t="shared" ref="AT1220:AV1220" si="3810">AJ1220/$AF1220</f>
        <v>13.53673469</v>
      </c>
      <c r="AU1220" s="9">
        <f t="shared" si="3810"/>
        <v>8.206122449</v>
      </c>
      <c r="AV1220" s="9">
        <f t="shared" si="3810"/>
        <v>2.783673469</v>
      </c>
      <c r="AW1220" s="9">
        <f t="shared" si="2235"/>
        <v>10.98979592</v>
      </c>
      <c r="AX1220" s="9">
        <f t="shared" ref="AX1220:AY1220" si="3811">AM1220/$AF1220</f>
        <v>1.12244898</v>
      </c>
      <c r="AY1220" s="9">
        <f t="shared" si="3811"/>
        <v>0.5714285714</v>
      </c>
      <c r="AZ1220" s="9">
        <f>VLOOKUP(A1220,Jogos!A:BN,58,0)</f>
        <v>30.535</v>
      </c>
      <c r="BA1220" s="9">
        <f>VLOOKUP(A1220,Jogos!A:BN,59,0)</f>
        <v>22.76</v>
      </c>
      <c r="BB1220" s="9">
        <f>VLOOKUP(A1220,Jogos!A:BN,60,0)</f>
        <v>62.5</v>
      </c>
      <c r="BC1220" s="9">
        <f>VLOOKUP(A1220,Jogos!A:BN,61,0)</f>
        <v>31.25</v>
      </c>
      <c r="BD1220" s="9">
        <f>VLOOKUP(A1220,Jogos!A:BN,62,0)</f>
        <v>612.6</v>
      </c>
      <c r="BE1220" s="9">
        <f>VLOOKUP(A1220,Jogos!A:BN,63,0)</f>
        <v>1.575</v>
      </c>
      <c r="BF1220" s="9">
        <f>VLOOKUP(A1220,Jogos!A:BN,64,0)</f>
        <v>25.73</v>
      </c>
      <c r="BG1220" s="9">
        <f>VLOOKUP(A1220,Jogos!A:BN,65,0)</f>
        <v>45.645</v>
      </c>
      <c r="BH1220" s="9">
        <f>VLOOKUP(A1220,Jogos!A:BN,66,0)</f>
        <v>30.195</v>
      </c>
      <c r="BI1220" s="9"/>
      <c r="BJ1220" s="9"/>
    </row>
    <row r="1221" hidden="1">
      <c r="A1221" s="10">
        <v>41.0</v>
      </c>
      <c r="B1221" s="11" t="s">
        <v>562</v>
      </c>
      <c r="C1221" s="2" t="s">
        <v>61</v>
      </c>
      <c r="D1221" s="12">
        <v>45833.0</v>
      </c>
      <c r="E1221" s="13">
        <v>0.625</v>
      </c>
      <c r="F1221" s="5" t="str">
        <f>VLOOKUP(A1221,Jogos!A:N,10,0)</f>
        <v>Afternoon</v>
      </c>
      <c r="G1221" s="11" t="s">
        <v>122</v>
      </c>
      <c r="H1221" s="6" t="str">
        <f>VLOOKUP(A1221,Jogos!A:L,12,0)</f>
        <v>Open</v>
      </c>
      <c r="I1221" s="6" t="str">
        <f>VLOOKUP(G1221,'Estádios e Cidades'!A:B,2,0)</f>
        <v>Cincinnati</v>
      </c>
      <c r="J1221" s="11" t="s">
        <v>687</v>
      </c>
      <c r="K1221" s="2" t="str">
        <f>VLOOKUP(J1221,Equipes!A:F,6,0)</f>
        <v>Temperate</v>
      </c>
      <c r="L1221" s="2">
        <f>VLOOKUP(J1221,Equipes!A:C,3,0)</f>
        <v>28</v>
      </c>
      <c r="M1221" s="2" t="str">
        <f t="shared" si="4"/>
        <v>Group</v>
      </c>
      <c r="N1221" s="11" t="s">
        <v>564</v>
      </c>
      <c r="O1221" s="2">
        <f>VLOOKUP(N1221,Equipes!A:C,3,0)</f>
        <v>5</v>
      </c>
      <c r="P1221" s="2" t="str">
        <f t="shared" si="5"/>
        <v>Quarter-final</v>
      </c>
      <c r="Q1221" s="2">
        <f t="shared" si="6"/>
        <v>23</v>
      </c>
      <c r="R1221" s="2" t="str">
        <f>VLOOKUP(J1221,Equipes!A:B,2,0)</f>
        <v>Ulsan</v>
      </c>
      <c r="S1221" s="6" t="s">
        <v>703</v>
      </c>
      <c r="T1221" s="7">
        <v>27.0</v>
      </c>
      <c r="U1221" s="7" t="s">
        <v>704</v>
      </c>
      <c r="V1221" s="7" t="str">
        <f>VLOOKUP(U1221,Jogadores!B:C,2,0)</f>
        <v>MF</v>
      </c>
      <c r="W1221" s="8">
        <f>VLOOKUP(U1221,Jogadores!B:D,3,0)</f>
        <v>37.09589041</v>
      </c>
      <c r="X1221" s="7">
        <v>80.0</v>
      </c>
      <c r="Y1221" s="7">
        <f t="shared" si="3802"/>
        <v>94</v>
      </c>
      <c r="Z1221" s="7">
        <f>VLOOKUP(A1221,Jogos!A:L,3,0)</f>
        <v>48</v>
      </c>
      <c r="AA1221" s="7">
        <f t="shared" si="2229"/>
        <v>0</v>
      </c>
      <c r="AB1221" s="7">
        <f>VLOOKUP(A1221,Jogos!A:L,4,0)</f>
        <v>49</v>
      </c>
      <c r="AC1221" s="7">
        <f t="shared" si="2230"/>
        <v>14</v>
      </c>
      <c r="AD1221" s="7"/>
      <c r="AE1221" s="7"/>
      <c r="AF1221" s="7">
        <f t="shared" si="2231"/>
        <v>14</v>
      </c>
      <c r="AG1221" s="7">
        <v>1895.5</v>
      </c>
      <c r="AH1221" s="7">
        <v>548.1</v>
      </c>
      <c r="AI1221" s="7">
        <v>744.4</v>
      </c>
      <c r="AJ1221" s="7">
        <v>412.9</v>
      </c>
      <c r="AK1221" s="7">
        <v>183.3</v>
      </c>
      <c r="AL1221" s="7">
        <v>6.8</v>
      </c>
      <c r="AM1221" s="7">
        <v>34.0</v>
      </c>
      <c r="AN1221" s="7">
        <v>12.0</v>
      </c>
      <c r="AO1221" s="7">
        <v>25.4</v>
      </c>
      <c r="AP1221" s="9">
        <f t="shared" ref="AP1221:AR1221" si="3812">AG1221/$AF1221</f>
        <v>135.3928571</v>
      </c>
      <c r="AQ1221" s="9">
        <f t="shared" si="3812"/>
        <v>39.15</v>
      </c>
      <c r="AR1221" s="9">
        <f t="shared" si="3812"/>
        <v>53.17142857</v>
      </c>
      <c r="AS1221" s="9">
        <f t="shared" si="2233"/>
        <v>92.32142857</v>
      </c>
      <c r="AT1221" s="9">
        <f t="shared" ref="AT1221:AV1221" si="3813">AJ1221/$AF1221</f>
        <v>29.49285714</v>
      </c>
      <c r="AU1221" s="9">
        <f t="shared" si="3813"/>
        <v>13.09285714</v>
      </c>
      <c r="AV1221" s="9">
        <f t="shared" si="3813"/>
        <v>0.4857142857</v>
      </c>
      <c r="AW1221" s="9">
        <f t="shared" si="2235"/>
        <v>13.57857143</v>
      </c>
      <c r="AX1221" s="9">
        <f t="shared" ref="AX1221:AY1221" si="3814">AM1221/$AF1221</f>
        <v>2.428571429</v>
      </c>
      <c r="AY1221" s="9">
        <f t="shared" si="3814"/>
        <v>0.8571428571</v>
      </c>
      <c r="AZ1221" s="9">
        <f>VLOOKUP(A1221,Jogos!A:BN,58,0)</f>
        <v>30.535</v>
      </c>
      <c r="BA1221" s="9">
        <f>VLOOKUP(A1221,Jogos!A:BN,59,0)</f>
        <v>22.76</v>
      </c>
      <c r="BB1221" s="9">
        <f>VLOOKUP(A1221,Jogos!A:BN,60,0)</f>
        <v>62.5</v>
      </c>
      <c r="BC1221" s="9">
        <f>VLOOKUP(A1221,Jogos!A:BN,61,0)</f>
        <v>31.25</v>
      </c>
      <c r="BD1221" s="9">
        <f>VLOOKUP(A1221,Jogos!A:BN,62,0)</f>
        <v>612.6</v>
      </c>
      <c r="BE1221" s="9">
        <f>VLOOKUP(A1221,Jogos!A:BN,63,0)</f>
        <v>1.575</v>
      </c>
      <c r="BF1221" s="9">
        <f>VLOOKUP(A1221,Jogos!A:BN,64,0)</f>
        <v>25.73</v>
      </c>
      <c r="BG1221" s="9">
        <f>VLOOKUP(A1221,Jogos!A:BN,65,0)</f>
        <v>45.645</v>
      </c>
      <c r="BH1221" s="9">
        <f>VLOOKUP(A1221,Jogos!A:BN,66,0)</f>
        <v>30.195</v>
      </c>
      <c r="BI1221" s="9"/>
      <c r="BJ1221" s="9"/>
    </row>
    <row r="1222">
      <c r="A1222" s="2">
        <v>42.0</v>
      </c>
      <c r="B1222" s="11" t="s">
        <v>562</v>
      </c>
      <c r="C1222" s="2" t="s">
        <v>61</v>
      </c>
      <c r="D1222" s="3">
        <v>45833.0</v>
      </c>
      <c r="E1222" s="4">
        <v>0.625</v>
      </c>
      <c r="F1222" s="5" t="str">
        <f>VLOOKUP(A1222,Jogos!A:N,10,0)</f>
        <v>Afternoon</v>
      </c>
      <c r="G1222" s="2" t="s">
        <v>62</v>
      </c>
      <c r="H1222" s="6" t="str">
        <f>VLOOKUP(A1222,Jogos!A:L,12,0)</f>
        <v>Open</v>
      </c>
      <c r="I1222" s="6" t="str">
        <f>VLOOKUP(G1222,'Estádios e Cidades'!A:B,2,0)</f>
        <v>Miami Gardens - Flórida</v>
      </c>
      <c r="J1222" s="2" t="s">
        <v>688</v>
      </c>
      <c r="K1222" s="2" t="str">
        <f>VLOOKUP(J1222,Equipes!A:F,6,0)</f>
        <v>Tropical</v>
      </c>
      <c r="L1222" s="2">
        <f>VLOOKUP(J1222,Equipes!A:C,3,0)</f>
        <v>18</v>
      </c>
      <c r="M1222" s="2" t="str">
        <f t="shared" si="4"/>
        <v>Group</v>
      </c>
      <c r="N1222" s="2" t="s">
        <v>563</v>
      </c>
      <c r="O1222" s="2">
        <f>VLOOKUP(N1222,Equipes!A:C,3,0)</f>
        <v>4</v>
      </c>
      <c r="P1222" s="2" t="str">
        <f t="shared" si="5"/>
        <v>Semi-final</v>
      </c>
      <c r="Q1222" s="2">
        <f t="shared" si="6"/>
        <v>14</v>
      </c>
      <c r="R1222" s="2" t="str">
        <f>VLOOKUP(J1222,Equipes!A:B,2,0)</f>
        <v>Mamelodi</v>
      </c>
      <c r="S1222" s="6" t="s">
        <v>717</v>
      </c>
      <c r="T1222" s="7">
        <v>4.0</v>
      </c>
      <c r="U1222" s="7" t="s">
        <v>718</v>
      </c>
      <c r="V1222" s="7" t="str">
        <f>VLOOKUP(U1222,Jogadores!B:C,2,0)</f>
        <v>MF</v>
      </c>
      <c r="W1222" s="8">
        <f>VLOOKUP(U1222,Jogadores!B:D,3,0)</f>
        <v>28.5260274</v>
      </c>
      <c r="X1222" s="7">
        <v>0.0</v>
      </c>
      <c r="Y1222" s="7">
        <v>45.0</v>
      </c>
      <c r="Z1222" s="7">
        <f>VLOOKUP(A1222,Jogos!A:L,3,0)</f>
        <v>49</v>
      </c>
      <c r="AA1222" s="7">
        <f t="shared" si="2229"/>
        <v>49</v>
      </c>
      <c r="AB1222" s="7">
        <f>VLOOKUP(A1222,Jogos!A:L,4,0)</f>
        <v>53</v>
      </c>
      <c r="AC1222" s="7">
        <f t="shared" si="2230"/>
        <v>0</v>
      </c>
      <c r="AD1222" s="7"/>
      <c r="AE1222" s="7"/>
      <c r="AF1222" s="7">
        <f t="shared" si="2231"/>
        <v>49</v>
      </c>
      <c r="AG1222" s="7">
        <v>4584.2</v>
      </c>
      <c r="AH1222" s="7">
        <v>1589.6</v>
      </c>
      <c r="AI1222" s="7">
        <v>2235.1</v>
      </c>
      <c r="AJ1222" s="7">
        <v>635.5</v>
      </c>
      <c r="AK1222" s="7">
        <v>104.0</v>
      </c>
      <c r="AL1222" s="7">
        <v>20.0</v>
      </c>
      <c r="AM1222" s="7">
        <v>49.0</v>
      </c>
      <c r="AN1222" s="7">
        <v>10.0</v>
      </c>
      <c r="AO1222" s="7">
        <v>29.9</v>
      </c>
      <c r="AP1222" s="9">
        <f t="shared" ref="AP1222:AR1222" si="3815">AG1222/$AF1222</f>
        <v>93.55510204</v>
      </c>
      <c r="AQ1222" s="9">
        <f t="shared" si="3815"/>
        <v>32.44081633</v>
      </c>
      <c r="AR1222" s="9">
        <f t="shared" si="3815"/>
        <v>45.61428571</v>
      </c>
      <c r="AS1222" s="9">
        <f t="shared" si="2233"/>
        <v>78.05510204</v>
      </c>
      <c r="AT1222" s="9">
        <f t="shared" ref="AT1222:AV1222" si="3816">AJ1222/$AF1222</f>
        <v>12.96938776</v>
      </c>
      <c r="AU1222" s="9">
        <f t="shared" si="3816"/>
        <v>2.12244898</v>
      </c>
      <c r="AV1222" s="9">
        <f t="shared" si="3816"/>
        <v>0.4081632653</v>
      </c>
      <c r="AW1222" s="9">
        <f t="shared" si="2235"/>
        <v>2.530612245</v>
      </c>
      <c r="AX1222" s="9">
        <f t="shared" ref="AX1222:AY1222" si="3817">AM1222/$AF1222</f>
        <v>1</v>
      </c>
      <c r="AY1222" s="9">
        <f t="shared" si="3817"/>
        <v>0.2040816327</v>
      </c>
      <c r="AZ1222" s="9">
        <f>VLOOKUP(A1222,Jogos!A:BN,58,0)</f>
        <v>31.34</v>
      </c>
      <c r="BA1222" s="9">
        <f>VLOOKUP(A1222,Jogos!A:BN,59,0)</f>
        <v>21.79</v>
      </c>
      <c r="BB1222" s="9">
        <f>VLOOKUP(A1222,Jogos!A:BN,60,0)</f>
        <v>56</v>
      </c>
      <c r="BC1222" s="9">
        <f>VLOOKUP(A1222,Jogos!A:BN,61,0)</f>
        <v>32.65</v>
      </c>
      <c r="BD1222" s="9">
        <f>VLOOKUP(A1222,Jogos!A:BN,62,0)</f>
        <v>676.65</v>
      </c>
      <c r="BE1222" s="9">
        <f>VLOOKUP(A1222,Jogos!A:BN,63,0)</f>
        <v>1.775</v>
      </c>
      <c r="BF1222" s="9">
        <f>VLOOKUP(A1222,Jogos!A:BN,64,0)</f>
        <v>25.61</v>
      </c>
      <c r="BG1222" s="9">
        <f>VLOOKUP(A1222,Jogos!A:BN,65,0)</f>
        <v>46.015</v>
      </c>
      <c r="BH1222" s="9">
        <f>VLOOKUP(A1222,Jogos!A:BN,66,0)</f>
        <v>30.26</v>
      </c>
      <c r="BI1222" s="9"/>
      <c r="BJ1222" s="9"/>
    </row>
    <row r="1223">
      <c r="A1223" s="2">
        <v>42.0</v>
      </c>
      <c r="B1223" s="11" t="s">
        <v>562</v>
      </c>
      <c r="C1223" s="2" t="s">
        <v>61</v>
      </c>
      <c r="D1223" s="3">
        <v>45833.0</v>
      </c>
      <c r="E1223" s="4">
        <v>0.625</v>
      </c>
      <c r="F1223" s="5" t="str">
        <f>VLOOKUP(A1223,Jogos!A:N,10,0)</f>
        <v>Afternoon</v>
      </c>
      <c r="G1223" s="2" t="s">
        <v>62</v>
      </c>
      <c r="H1223" s="6" t="str">
        <f>VLOOKUP(A1223,Jogos!A:L,12,0)</f>
        <v>Open</v>
      </c>
      <c r="I1223" s="6" t="str">
        <f>VLOOKUP(G1223,'Estádios e Cidades'!A:B,2,0)</f>
        <v>Miami Gardens - Flórida</v>
      </c>
      <c r="J1223" s="2" t="s">
        <v>688</v>
      </c>
      <c r="K1223" s="2" t="str">
        <f>VLOOKUP(J1223,Equipes!A:F,6,0)</f>
        <v>Tropical</v>
      </c>
      <c r="L1223" s="2">
        <f>VLOOKUP(J1223,Equipes!A:C,3,0)</f>
        <v>18</v>
      </c>
      <c r="M1223" s="2" t="str">
        <f t="shared" si="4"/>
        <v>Group</v>
      </c>
      <c r="N1223" s="2" t="s">
        <v>563</v>
      </c>
      <c r="O1223" s="2">
        <f>VLOOKUP(N1223,Equipes!A:C,3,0)</f>
        <v>4</v>
      </c>
      <c r="P1223" s="2" t="str">
        <f t="shared" si="5"/>
        <v>Semi-final</v>
      </c>
      <c r="Q1223" s="2">
        <f t="shared" si="6"/>
        <v>14</v>
      </c>
      <c r="R1223" s="2" t="str">
        <f>VLOOKUP(J1223,Equipes!A:B,2,0)</f>
        <v>Mamelodi</v>
      </c>
      <c r="S1223" s="6" t="s">
        <v>721</v>
      </c>
      <c r="T1223" s="7">
        <v>10.0</v>
      </c>
      <c r="U1223" s="7" t="s">
        <v>722</v>
      </c>
      <c r="V1223" s="7" t="str">
        <f>VLOOKUP(U1223,Jogadores!B:C,2,0)</f>
        <v>FW</v>
      </c>
      <c r="W1223" s="8">
        <f>VLOOKUP(U1223,Jogadores!B:D,3,0)</f>
        <v>26.81917808</v>
      </c>
      <c r="X1223" s="7">
        <v>0.0</v>
      </c>
      <c r="Y1223" s="7">
        <v>77.0</v>
      </c>
      <c r="Z1223" s="7">
        <f>VLOOKUP(A1223,Jogos!A:L,3,0)</f>
        <v>49</v>
      </c>
      <c r="AA1223" s="7">
        <f t="shared" si="2229"/>
        <v>49</v>
      </c>
      <c r="AB1223" s="7">
        <f>VLOOKUP(A1223,Jogos!A:L,4,0)</f>
        <v>53</v>
      </c>
      <c r="AC1223" s="7">
        <f t="shared" si="2230"/>
        <v>32</v>
      </c>
      <c r="AD1223" s="7"/>
      <c r="AE1223" s="7"/>
      <c r="AF1223" s="7">
        <f t="shared" si="2231"/>
        <v>81</v>
      </c>
      <c r="AG1223" s="7">
        <v>6546.5</v>
      </c>
      <c r="AH1223" s="7">
        <v>3415.1</v>
      </c>
      <c r="AI1223" s="7">
        <v>2080.6</v>
      </c>
      <c r="AJ1223" s="7">
        <v>713.3</v>
      </c>
      <c r="AK1223" s="7">
        <v>242.9</v>
      </c>
      <c r="AL1223" s="7">
        <v>94.6</v>
      </c>
      <c r="AM1223" s="7">
        <v>64.0</v>
      </c>
      <c r="AN1223" s="7">
        <v>22.0</v>
      </c>
      <c r="AO1223" s="7">
        <v>29.9</v>
      </c>
      <c r="AP1223" s="9">
        <f t="shared" ref="AP1223:AR1223" si="3818">AG1223/$AF1223</f>
        <v>80.82098765</v>
      </c>
      <c r="AQ1223" s="9">
        <f t="shared" si="3818"/>
        <v>42.1617284</v>
      </c>
      <c r="AR1223" s="9">
        <f t="shared" si="3818"/>
        <v>25.68641975</v>
      </c>
      <c r="AS1223" s="9">
        <f t="shared" si="2233"/>
        <v>67.84814815</v>
      </c>
      <c r="AT1223" s="9">
        <f t="shared" ref="AT1223:AV1223" si="3819">AJ1223/$AF1223</f>
        <v>8.80617284</v>
      </c>
      <c r="AU1223" s="9">
        <f t="shared" si="3819"/>
        <v>2.998765432</v>
      </c>
      <c r="AV1223" s="9">
        <f t="shared" si="3819"/>
        <v>1.167901235</v>
      </c>
      <c r="AW1223" s="9">
        <f t="shared" si="2235"/>
        <v>4.166666667</v>
      </c>
      <c r="AX1223" s="9">
        <f t="shared" ref="AX1223:AY1223" si="3820">AM1223/$AF1223</f>
        <v>0.7901234568</v>
      </c>
      <c r="AY1223" s="9">
        <f t="shared" si="3820"/>
        <v>0.2716049383</v>
      </c>
      <c r="AZ1223" s="9">
        <f>VLOOKUP(A1223,Jogos!A:BN,58,0)</f>
        <v>31.34</v>
      </c>
      <c r="BA1223" s="9">
        <f>VLOOKUP(A1223,Jogos!A:BN,59,0)</f>
        <v>21.79</v>
      </c>
      <c r="BB1223" s="9">
        <f>VLOOKUP(A1223,Jogos!A:BN,60,0)</f>
        <v>56</v>
      </c>
      <c r="BC1223" s="9">
        <f>VLOOKUP(A1223,Jogos!A:BN,61,0)</f>
        <v>32.65</v>
      </c>
      <c r="BD1223" s="9">
        <f>VLOOKUP(A1223,Jogos!A:BN,62,0)</f>
        <v>676.65</v>
      </c>
      <c r="BE1223" s="9">
        <f>VLOOKUP(A1223,Jogos!A:BN,63,0)</f>
        <v>1.775</v>
      </c>
      <c r="BF1223" s="9">
        <f>VLOOKUP(A1223,Jogos!A:BN,64,0)</f>
        <v>25.61</v>
      </c>
      <c r="BG1223" s="9">
        <f>VLOOKUP(A1223,Jogos!A:BN,65,0)</f>
        <v>46.015</v>
      </c>
      <c r="BH1223" s="9">
        <f>VLOOKUP(A1223,Jogos!A:BN,66,0)</f>
        <v>30.26</v>
      </c>
      <c r="BI1223" s="9"/>
      <c r="BJ1223" s="9"/>
    </row>
    <row r="1224">
      <c r="A1224" s="2">
        <v>42.0</v>
      </c>
      <c r="B1224" s="11" t="s">
        <v>562</v>
      </c>
      <c r="C1224" s="2" t="s">
        <v>61</v>
      </c>
      <c r="D1224" s="3">
        <v>45833.0</v>
      </c>
      <c r="E1224" s="4">
        <v>0.625</v>
      </c>
      <c r="F1224" s="5" t="str">
        <f>VLOOKUP(A1224,Jogos!A:N,10,0)</f>
        <v>Afternoon</v>
      </c>
      <c r="G1224" s="2" t="s">
        <v>62</v>
      </c>
      <c r="H1224" s="6" t="str">
        <f>VLOOKUP(A1224,Jogos!A:L,12,0)</f>
        <v>Open</v>
      </c>
      <c r="I1224" s="6" t="str">
        <f>VLOOKUP(G1224,'Estádios e Cidades'!A:B,2,0)</f>
        <v>Miami Gardens - Flórida</v>
      </c>
      <c r="J1224" s="2" t="s">
        <v>688</v>
      </c>
      <c r="K1224" s="2" t="str">
        <f>VLOOKUP(J1224,Equipes!A:F,6,0)</f>
        <v>Tropical</v>
      </c>
      <c r="L1224" s="2">
        <f>VLOOKUP(J1224,Equipes!A:C,3,0)</f>
        <v>18</v>
      </c>
      <c r="M1224" s="2" t="str">
        <f t="shared" si="4"/>
        <v>Group</v>
      </c>
      <c r="N1224" s="2" t="s">
        <v>563</v>
      </c>
      <c r="O1224" s="2">
        <f>VLOOKUP(N1224,Equipes!A:C,3,0)</f>
        <v>4</v>
      </c>
      <c r="P1224" s="2" t="str">
        <f t="shared" si="5"/>
        <v>Semi-final</v>
      </c>
      <c r="Q1224" s="2">
        <f t="shared" si="6"/>
        <v>14</v>
      </c>
      <c r="R1224" s="2" t="str">
        <f>VLOOKUP(J1224,Equipes!A:B,2,0)</f>
        <v>Mamelodi</v>
      </c>
      <c r="S1224" s="6" t="s">
        <v>723</v>
      </c>
      <c r="T1224" s="7">
        <v>11.0</v>
      </c>
      <c r="U1224" s="7" t="s">
        <v>724</v>
      </c>
      <c r="V1224" s="7" t="str">
        <f>VLOOKUP(U1224,Jogadores!B:C,2,0)</f>
        <v>MF</v>
      </c>
      <c r="W1224" s="8">
        <f>VLOOKUP(U1224,Jogadores!B:D,3,0)</f>
        <v>26.3260274</v>
      </c>
      <c r="X1224" s="7">
        <v>0.0</v>
      </c>
      <c r="Y1224" s="7">
        <f t="shared" ref="Y1224:Y1225" si="3824">45+AB1224</f>
        <v>98</v>
      </c>
      <c r="Z1224" s="7">
        <f>VLOOKUP(A1224,Jogos!A:L,3,0)</f>
        <v>49</v>
      </c>
      <c r="AA1224" s="7">
        <f t="shared" si="2229"/>
        <v>49</v>
      </c>
      <c r="AB1224" s="7">
        <f>VLOOKUP(A1224,Jogos!A:L,4,0)</f>
        <v>53</v>
      </c>
      <c r="AC1224" s="7">
        <f t="shared" si="2230"/>
        <v>53</v>
      </c>
      <c r="AD1224" s="7"/>
      <c r="AE1224" s="7"/>
      <c r="AF1224" s="7">
        <f t="shared" si="2231"/>
        <v>102</v>
      </c>
      <c r="AG1224" s="7">
        <v>11142.0</v>
      </c>
      <c r="AH1224" s="7">
        <v>3945.1</v>
      </c>
      <c r="AI1224" s="7">
        <v>5187.1</v>
      </c>
      <c r="AJ1224" s="7">
        <v>1498.1</v>
      </c>
      <c r="AK1224" s="7">
        <v>432.7</v>
      </c>
      <c r="AL1224" s="7">
        <v>79.0</v>
      </c>
      <c r="AM1224" s="7">
        <v>134.0</v>
      </c>
      <c r="AN1224" s="7">
        <v>27.0</v>
      </c>
      <c r="AO1224" s="7">
        <v>26.3</v>
      </c>
      <c r="AP1224" s="9">
        <f t="shared" ref="AP1224:AR1224" si="3821">AG1224/$AF1224</f>
        <v>109.2352941</v>
      </c>
      <c r="AQ1224" s="9">
        <f t="shared" si="3821"/>
        <v>38.67745098</v>
      </c>
      <c r="AR1224" s="9">
        <f t="shared" si="3821"/>
        <v>50.85392157</v>
      </c>
      <c r="AS1224" s="9">
        <f t="shared" si="2233"/>
        <v>89.53137255</v>
      </c>
      <c r="AT1224" s="9">
        <f t="shared" ref="AT1224:AV1224" si="3822">AJ1224/$AF1224</f>
        <v>14.6872549</v>
      </c>
      <c r="AU1224" s="9">
        <f t="shared" si="3822"/>
        <v>4.242156863</v>
      </c>
      <c r="AV1224" s="9">
        <f t="shared" si="3822"/>
        <v>0.7745098039</v>
      </c>
      <c r="AW1224" s="9">
        <f t="shared" si="2235"/>
        <v>5.016666667</v>
      </c>
      <c r="AX1224" s="9">
        <f t="shared" ref="AX1224:AY1224" si="3823">AM1224/$AF1224</f>
        <v>1.31372549</v>
      </c>
      <c r="AY1224" s="9">
        <f t="shared" si="3823"/>
        <v>0.2647058824</v>
      </c>
      <c r="AZ1224" s="9">
        <f>VLOOKUP(A1224,Jogos!A:BN,58,0)</f>
        <v>31.34</v>
      </c>
      <c r="BA1224" s="9">
        <f>VLOOKUP(A1224,Jogos!A:BN,59,0)</f>
        <v>21.79</v>
      </c>
      <c r="BB1224" s="9">
        <f>VLOOKUP(A1224,Jogos!A:BN,60,0)</f>
        <v>56</v>
      </c>
      <c r="BC1224" s="9">
        <f>VLOOKUP(A1224,Jogos!A:BN,61,0)</f>
        <v>32.65</v>
      </c>
      <c r="BD1224" s="9">
        <f>VLOOKUP(A1224,Jogos!A:BN,62,0)</f>
        <v>676.65</v>
      </c>
      <c r="BE1224" s="9">
        <f>VLOOKUP(A1224,Jogos!A:BN,63,0)</f>
        <v>1.775</v>
      </c>
      <c r="BF1224" s="9">
        <f>VLOOKUP(A1224,Jogos!A:BN,64,0)</f>
        <v>25.61</v>
      </c>
      <c r="BG1224" s="9">
        <f>VLOOKUP(A1224,Jogos!A:BN,65,0)</f>
        <v>46.015</v>
      </c>
      <c r="BH1224" s="9">
        <f>VLOOKUP(A1224,Jogos!A:BN,66,0)</f>
        <v>30.26</v>
      </c>
      <c r="BI1224" s="9"/>
      <c r="BJ1224" s="9"/>
    </row>
    <row r="1225">
      <c r="A1225" s="2">
        <v>42.0</v>
      </c>
      <c r="B1225" s="11" t="s">
        <v>562</v>
      </c>
      <c r="C1225" s="2" t="s">
        <v>61</v>
      </c>
      <c r="D1225" s="3">
        <v>45833.0</v>
      </c>
      <c r="E1225" s="4">
        <v>0.625</v>
      </c>
      <c r="F1225" s="5" t="str">
        <f>VLOOKUP(A1225,Jogos!A:N,10,0)</f>
        <v>Afternoon</v>
      </c>
      <c r="G1225" s="2" t="s">
        <v>62</v>
      </c>
      <c r="H1225" s="6" t="str">
        <f>VLOOKUP(A1225,Jogos!A:L,12,0)</f>
        <v>Open</v>
      </c>
      <c r="I1225" s="6" t="str">
        <f>VLOOKUP(G1225,'Estádios e Cidades'!A:B,2,0)</f>
        <v>Miami Gardens - Flórida</v>
      </c>
      <c r="J1225" s="2" t="s">
        <v>688</v>
      </c>
      <c r="K1225" s="2" t="str">
        <f>VLOOKUP(J1225,Equipes!A:F,6,0)</f>
        <v>Tropical</v>
      </c>
      <c r="L1225" s="2">
        <f>VLOOKUP(J1225,Equipes!A:C,3,0)</f>
        <v>18</v>
      </c>
      <c r="M1225" s="2" t="str">
        <f t="shared" si="4"/>
        <v>Group</v>
      </c>
      <c r="N1225" s="2" t="s">
        <v>563</v>
      </c>
      <c r="O1225" s="2">
        <f>VLOOKUP(N1225,Equipes!A:C,3,0)</f>
        <v>4</v>
      </c>
      <c r="P1225" s="2" t="str">
        <f t="shared" si="5"/>
        <v>Semi-final</v>
      </c>
      <c r="Q1225" s="2">
        <f t="shared" si="6"/>
        <v>14</v>
      </c>
      <c r="R1225" s="2" t="str">
        <f>VLOOKUP(J1225,Equipes!A:B,2,0)</f>
        <v>Mamelodi</v>
      </c>
      <c r="S1225" s="6" t="s">
        <v>725</v>
      </c>
      <c r="T1225" s="7">
        <v>13.0</v>
      </c>
      <c r="U1225" s="7" t="s">
        <v>726</v>
      </c>
      <c r="V1225" s="7" t="str">
        <f>VLOOKUP(U1225,Jogadores!B:C,2,0)</f>
        <v>FW</v>
      </c>
      <c r="W1225" s="8">
        <f>VLOOKUP(U1225,Jogadores!B:D,3,0)</f>
        <v>29.62739726</v>
      </c>
      <c r="X1225" s="7">
        <v>0.0</v>
      </c>
      <c r="Y1225" s="7">
        <f t="shared" si="3824"/>
        <v>98</v>
      </c>
      <c r="Z1225" s="7">
        <f>VLOOKUP(A1225,Jogos!A:L,3,0)</f>
        <v>49</v>
      </c>
      <c r="AA1225" s="7">
        <f t="shared" si="2229"/>
        <v>49</v>
      </c>
      <c r="AB1225" s="7">
        <f>VLOOKUP(A1225,Jogos!A:L,4,0)</f>
        <v>53</v>
      </c>
      <c r="AC1225" s="7">
        <f t="shared" si="2230"/>
        <v>53</v>
      </c>
      <c r="AD1225" s="7"/>
      <c r="AE1225" s="7"/>
      <c r="AF1225" s="7">
        <f t="shared" si="2231"/>
        <v>102</v>
      </c>
      <c r="AG1225" s="7">
        <v>8721.7</v>
      </c>
      <c r="AH1225" s="7">
        <v>4568.6</v>
      </c>
      <c r="AI1225" s="7">
        <v>2239.8</v>
      </c>
      <c r="AJ1225" s="7">
        <v>986.7</v>
      </c>
      <c r="AK1225" s="7">
        <v>675.5</v>
      </c>
      <c r="AL1225" s="7">
        <v>251.2</v>
      </c>
      <c r="AM1225" s="7">
        <v>86.0</v>
      </c>
      <c r="AN1225" s="7">
        <v>56.0</v>
      </c>
      <c r="AO1225" s="7">
        <v>33.1</v>
      </c>
      <c r="AP1225" s="9">
        <f t="shared" ref="AP1225:AR1225" si="3825">AG1225/$AF1225</f>
        <v>85.50686275</v>
      </c>
      <c r="AQ1225" s="9">
        <f t="shared" si="3825"/>
        <v>44.79019608</v>
      </c>
      <c r="AR1225" s="9">
        <f t="shared" si="3825"/>
        <v>21.95882353</v>
      </c>
      <c r="AS1225" s="9">
        <f t="shared" si="2233"/>
        <v>66.74901961</v>
      </c>
      <c r="AT1225" s="9">
        <f t="shared" ref="AT1225:AV1225" si="3826">AJ1225/$AF1225</f>
        <v>9.673529412</v>
      </c>
      <c r="AU1225" s="9">
        <f t="shared" si="3826"/>
        <v>6.62254902</v>
      </c>
      <c r="AV1225" s="9">
        <f t="shared" si="3826"/>
        <v>2.462745098</v>
      </c>
      <c r="AW1225" s="9">
        <f t="shared" si="2235"/>
        <v>9.085294118</v>
      </c>
      <c r="AX1225" s="9">
        <f t="shared" ref="AX1225:AY1225" si="3827">AM1225/$AF1225</f>
        <v>0.8431372549</v>
      </c>
      <c r="AY1225" s="9">
        <f t="shared" si="3827"/>
        <v>0.5490196078</v>
      </c>
      <c r="AZ1225" s="9">
        <f>VLOOKUP(A1225,Jogos!A:BN,58,0)</f>
        <v>31.34</v>
      </c>
      <c r="BA1225" s="9">
        <f>VLOOKUP(A1225,Jogos!A:BN,59,0)</f>
        <v>21.79</v>
      </c>
      <c r="BB1225" s="9">
        <f>VLOOKUP(A1225,Jogos!A:BN,60,0)</f>
        <v>56</v>
      </c>
      <c r="BC1225" s="9">
        <f>VLOOKUP(A1225,Jogos!A:BN,61,0)</f>
        <v>32.65</v>
      </c>
      <c r="BD1225" s="9">
        <f>VLOOKUP(A1225,Jogos!A:BN,62,0)</f>
        <v>676.65</v>
      </c>
      <c r="BE1225" s="9">
        <f>VLOOKUP(A1225,Jogos!A:BN,63,0)</f>
        <v>1.775</v>
      </c>
      <c r="BF1225" s="9">
        <f>VLOOKUP(A1225,Jogos!A:BN,64,0)</f>
        <v>25.61</v>
      </c>
      <c r="BG1225" s="9">
        <f>VLOOKUP(A1225,Jogos!A:BN,65,0)</f>
        <v>46.015</v>
      </c>
      <c r="BH1225" s="9">
        <f>VLOOKUP(A1225,Jogos!A:BN,66,0)</f>
        <v>30.26</v>
      </c>
      <c r="BI1225" s="9"/>
      <c r="BJ1225" s="9"/>
    </row>
    <row r="1226">
      <c r="A1226" s="2">
        <v>42.0</v>
      </c>
      <c r="B1226" s="11" t="s">
        <v>562</v>
      </c>
      <c r="C1226" s="2" t="s">
        <v>61</v>
      </c>
      <c r="D1226" s="3">
        <v>45833.0</v>
      </c>
      <c r="E1226" s="4">
        <v>0.625</v>
      </c>
      <c r="F1226" s="5" t="str">
        <f>VLOOKUP(A1226,Jogos!A:N,10,0)</f>
        <v>Afternoon</v>
      </c>
      <c r="G1226" s="2" t="s">
        <v>62</v>
      </c>
      <c r="H1226" s="6" t="str">
        <f>VLOOKUP(A1226,Jogos!A:L,12,0)</f>
        <v>Open</v>
      </c>
      <c r="I1226" s="6" t="str">
        <f>VLOOKUP(G1226,'Estádios e Cidades'!A:B,2,0)</f>
        <v>Miami Gardens - Flórida</v>
      </c>
      <c r="J1226" s="2" t="s">
        <v>688</v>
      </c>
      <c r="K1226" s="2" t="str">
        <f>VLOOKUP(J1226,Equipes!A:F,6,0)</f>
        <v>Tropical</v>
      </c>
      <c r="L1226" s="2">
        <f>VLOOKUP(J1226,Equipes!A:C,3,0)</f>
        <v>18</v>
      </c>
      <c r="M1226" s="2" t="str">
        <f t="shared" si="4"/>
        <v>Group</v>
      </c>
      <c r="N1226" s="2" t="s">
        <v>563</v>
      </c>
      <c r="O1226" s="2">
        <f>VLOOKUP(N1226,Equipes!A:C,3,0)</f>
        <v>4</v>
      </c>
      <c r="P1226" s="2" t="str">
        <f t="shared" si="5"/>
        <v>Semi-final</v>
      </c>
      <c r="Q1226" s="2">
        <f t="shared" si="6"/>
        <v>14</v>
      </c>
      <c r="R1226" s="2" t="str">
        <f>VLOOKUP(J1226,Equipes!A:B,2,0)</f>
        <v>Mamelodi</v>
      </c>
      <c r="S1226" s="6" t="s">
        <v>741</v>
      </c>
      <c r="T1226" s="7">
        <v>17.0</v>
      </c>
      <c r="U1226" s="7" t="s">
        <v>742</v>
      </c>
      <c r="V1226" s="7" t="str">
        <f>VLOOKUP(U1226,Jogadores!B:C,2,0)</f>
        <v>FW</v>
      </c>
      <c r="W1226" s="8">
        <f>VLOOKUP(U1226,Jogadores!B:D,3,0)</f>
        <v>24.89041096</v>
      </c>
      <c r="X1226" s="7">
        <v>0.0</v>
      </c>
      <c r="Y1226" s="7">
        <v>60.0</v>
      </c>
      <c r="Z1226" s="7">
        <f>VLOOKUP(A1226,Jogos!A:L,3,0)</f>
        <v>49</v>
      </c>
      <c r="AA1226" s="7">
        <f t="shared" si="2229"/>
        <v>49</v>
      </c>
      <c r="AB1226" s="7">
        <f>VLOOKUP(A1226,Jogos!A:L,4,0)</f>
        <v>53</v>
      </c>
      <c r="AC1226" s="7">
        <f t="shared" si="2230"/>
        <v>15</v>
      </c>
      <c r="AD1226" s="7"/>
      <c r="AE1226" s="7"/>
      <c r="AF1226" s="7">
        <f t="shared" si="2231"/>
        <v>64</v>
      </c>
      <c r="AG1226" s="7">
        <v>6405.1</v>
      </c>
      <c r="AH1226" s="7">
        <v>2472.4</v>
      </c>
      <c r="AI1226" s="7">
        <v>2423.6</v>
      </c>
      <c r="AJ1226" s="7">
        <v>852.3</v>
      </c>
      <c r="AK1226" s="7">
        <v>447.1</v>
      </c>
      <c r="AL1226" s="7">
        <v>209.7</v>
      </c>
      <c r="AM1226" s="7">
        <v>75.0</v>
      </c>
      <c r="AN1226" s="7">
        <v>42.0</v>
      </c>
      <c r="AO1226" s="7">
        <v>32.3</v>
      </c>
      <c r="AP1226" s="9">
        <f t="shared" ref="AP1226:AR1226" si="3828">AG1226/$AF1226</f>
        <v>100.0796875</v>
      </c>
      <c r="AQ1226" s="9">
        <f t="shared" si="3828"/>
        <v>38.63125</v>
      </c>
      <c r="AR1226" s="9">
        <f t="shared" si="3828"/>
        <v>37.86875</v>
      </c>
      <c r="AS1226" s="9">
        <f t="shared" si="2233"/>
        <v>76.5</v>
      </c>
      <c r="AT1226" s="9">
        <f t="shared" ref="AT1226:AV1226" si="3829">AJ1226/$AF1226</f>
        <v>13.3171875</v>
      </c>
      <c r="AU1226" s="9">
        <f t="shared" si="3829"/>
        <v>6.9859375</v>
      </c>
      <c r="AV1226" s="9">
        <f t="shared" si="3829"/>
        <v>3.2765625</v>
      </c>
      <c r="AW1226" s="9">
        <f t="shared" si="2235"/>
        <v>10.2625</v>
      </c>
      <c r="AX1226" s="9">
        <f t="shared" ref="AX1226:AY1226" si="3830">AM1226/$AF1226</f>
        <v>1.171875</v>
      </c>
      <c r="AY1226" s="9">
        <f t="shared" si="3830"/>
        <v>0.65625</v>
      </c>
      <c r="AZ1226" s="9">
        <f>VLOOKUP(A1226,Jogos!A:BN,58,0)</f>
        <v>31.34</v>
      </c>
      <c r="BA1226" s="9">
        <f>VLOOKUP(A1226,Jogos!A:BN,59,0)</f>
        <v>21.79</v>
      </c>
      <c r="BB1226" s="9">
        <f>VLOOKUP(A1226,Jogos!A:BN,60,0)</f>
        <v>56</v>
      </c>
      <c r="BC1226" s="9">
        <f>VLOOKUP(A1226,Jogos!A:BN,61,0)</f>
        <v>32.65</v>
      </c>
      <c r="BD1226" s="9">
        <f>VLOOKUP(A1226,Jogos!A:BN,62,0)</f>
        <v>676.65</v>
      </c>
      <c r="BE1226" s="9">
        <f>VLOOKUP(A1226,Jogos!A:BN,63,0)</f>
        <v>1.775</v>
      </c>
      <c r="BF1226" s="9">
        <f>VLOOKUP(A1226,Jogos!A:BN,64,0)</f>
        <v>25.61</v>
      </c>
      <c r="BG1226" s="9">
        <f>VLOOKUP(A1226,Jogos!A:BN,65,0)</f>
        <v>46.015</v>
      </c>
      <c r="BH1226" s="9">
        <f>VLOOKUP(A1226,Jogos!A:BN,66,0)</f>
        <v>30.26</v>
      </c>
      <c r="BI1226" s="9"/>
      <c r="BJ1226" s="9"/>
    </row>
    <row r="1227">
      <c r="A1227" s="2">
        <v>42.0</v>
      </c>
      <c r="B1227" s="11" t="s">
        <v>562</v>
      </c>
      <c r="C1227" s="2" t="s">
        <v>61</v>
      </c>
      <c r="D1227" s="3">
        <v>45833.0</v>
      </c>
      <c r="E1227" s="4">
        <v>0.625</v>
      </c>
      <c r="F1227" s="5" t="str">
        <f>VLOOKUP(A1227,Jogos!A:N,10,0)</f>
        <v>Afternoon</v>
      </c>
      <c r="G1227" s="2" t="s">
        <v>62</v>
      </c>
      <c r="H1227" s="6" t="str">
        <f>VLOOKUP(A1227,Jogos!A:L,12,0)</f>
        <v>Open</v>
      </c>
      <c r="I1227" s="6" t="str">
        <f>VLOOKUP(G1227,'Estádios e Cidades'!A:B,2,0)</f>
        <v>Miami Gardens - Flórida</v>
      </c>
      <c r="J1227" s="2" t="s">
        <v>688</v>
      </c>
      <c r="K1227" s="2" t="str">
        <f>VLOOKUP(J1227,Equipes!A:F,6,0)</f>
        <v>Tropical</v>
      </c>
      <c r="L1227" s="2">
        <f>VLOOKUP(J1227,Equipes!A:C,3,0)</f>
        <v>18</v>
      </c>
      <c r="M1227" s="2" t="str">
        <f t="shared" si="4"/>
        <v>Group</v>
      </c>
      <c r="N1227" s="2" t="s">
        <v>563</v>
      </c>
      <c r="O1227" s="2">
        <f>VLOOKUP(N1227,Equipes!A:C,3,0)</f>
        <v>4</v>
      </c>
      <c r="P1227" s="2" t="str">
        <f t="shared" si="5"/>
        <v>Semi-final</v>
      </c>
      <c r="Q1227" s="2">
        <f t="shared" si="6"/>
        <v>14</v>
      </c>
      <c r="R1227" s="2" t="str">
        <f>VLOOKUP(J1227,Equipes!A:B,2,0)</f>
        <v>Mamelodi</v>
      </c>
      <c r="S1227" s="6" t="s">
        <v>727</v>
      </c>
      <c r="T1227" s="7">
        <v>18.0</v>
      </c>
      <c r="U1227" s="7" t="s">
        <v>728</v>
      </c>
      <c r="V1227" s="7" t="str">
        <f>VLOOKUP(U1227,Jogadores!B:C,2,0)</f>
        <v>MF</v>
      </c>
      <c r="W1227" s="8">
        <f>VLOOKUP(U1227,Jogadores!B:D,3,0)</f>
        <v>36.00821918</v>
      </c>
      <c r="X1227" s="7">
        <v>0.0</v>
      </c>
      <c r="Y1227" s="7">
        <v>85.0</v>
      </c>
      <c r="Z1227" s="7">
        <f>VLOOKUP(A1227,Jogos!A:L,3,0)</f>
        <v>49</v>
      </c>
      <c r="AA1227" s="7">
        <f t="shared" si="2229"/>
        <v>49</v>
      </c>
      <c r="AB1227" s="7">
        <f>VLOOKUP(A1227,Jogos!A:L,4,0)</f>
        <v>53</v>
      </c>
      <c r="AC1227" s="7">
        <f t="shared" si="2230"/>
        <v>40</v>
      </c>
      <c r="AD1227" s="7"/>
      <c r="AE1227" s="7"/>
      <c r="AF1227" s="7">
        <f t="shared" si="2231"/>
        <v>89</v>
      </c>
      <c r="AG1227" s="7">
        <v>8762.0</v>
      </c>
      <c r="AH1227" s="7">
        <v>3460.3</v>
      </c>
      <c r="AI1227" s="7">
        <v>3406.3</v>
      </c>
      <c r="AJ1227" s="7">
        <v>1413.7</v>
      </c>
      <c r="AK1227" s="7">
        <v>432.7</v>
      </c>
      <c r="AL1227" s="7">
        <v>49.0</v>
      </c>
      <c r="AM1227" s="7">
        <v>121.0</v>
      </c>
      <c r="AN1227" s="7">
        <v>31.0</v>
      </c>
      <c r="AO1227" s="7">
        <v>27.5</v>
      </c>
      <c r="AP1227" s="9">
        <f t="shared" ref="AP1227:AR1227" si="3831">AG1227/$AF1227</f>
        <v>98.4494382</v>
      </c>
      <c r="AQ1227" s="9">
        <f t="shared" si="3831"/>
        <v>38.87977528</v>
      </c>
      <c r="AR1227" s="9">
        <f t="shared" si="3831"/>
        <v>38.27303371</v>
      </c>
      <c r="AS1227" s="9">
        <f t="shared" si="2233"/>
        <v>77.15280899</v>
      </c>
      <c r="AT1227" s="9">
        <f t="shared" ref="AT1227:AV1227" si="3832">AJ1227/$AF1227</f>
        <v>15.88426966</v>
      </c>
      <c r="AU1227" s="9">
        <f t="shared" si="3832"/>
        <v>4.861797753</v>
      </c>
      <c r="AV1227" s="9">
        <f t="shared" si="3832"/>
        <v>0.5505617978</v>
      </c>
      <c r="AW1227" s="9">
        <f t="shared" si="2235"/>
        <v>5.412359551</v>
      </c>
      <c r="AX1227" s="9">
        <f t="shared" ref="AX1227:AY1227" si="3833">AM1227/$AF1227</f>
        <v>1.359550562</v>
      </c>
      <c r="AY1227" s="9">
        <f t="shared" si="3833"/>
        <v>0.3483146067</v>
      </c>
      <c r="AZ1227" s="9">
        <f>VLOOKUP(A1227,Jogos!A:BN,58,0)</f>
        <v>31.34</v>
      </c>
      <c r="BA1227" s="9">
        <f>VLOOKUP(A1227,Jogos!A:BN,59,0)</f>
        <v>21.79</v>
      </c>
      <c r="BB1227" s="9">
        <f>VLOOKUP(A1227,Jogos!A:BN,60,0)</f>
        <v>56</v>
      </c>
      <c r="BC1227" s="9">
        <f>VLOOKUP(A1227,Jogos!A:BN,61,0)</f>
        <v>32.65</v>
      </c>
      <c r="BD1227" s="9">
        <f>VLOOKUP(A1227,Jogos!A:BN,62,0)</f>
        <v>676.65</v>
      </c>
      <c r="BE1227" s="9">
        <f>VLOOKUP(A1227,Jogos!A:BN,63,0)</f>
        <v>1.775</v>
      </c>
      <c r="BF1227" s="9">
        <f>VLOOKUP(A1227,Jogos!A:BN,64,0)</f>
        <v>25.61</v>
      </c>
      <c r="BG1227" s="9">
        <f>VLOOKUP(A1227,Jogos!A:BN,65,0)</f>
        <v>46.015</v>
      </c>
      <c r="BH1227" s="9">
        <f>VLOOKUP(A1227,Jogos!A:BN,66,0)</f>
        <v>30.26</v>
      </c>
      <c r="BI1227" s="9"/>
      <c r="BJ1227" s="9"/>
    </row>
    <row r="1228">
      <c r="A1228" s="2">
        <v>42.0</v>
      </c>
      <c r="B1228" s="11" t="s">
        <v>562</v>
      </c>
      <c r="C1228" s="2" t="s">
        <v>61</v>
      </c>
      <c r="D1228" s="3">
        <v>45833.0</v>
      </c>
      <c r="E1228" s="4">
        <v>0.625</v>
      </c>
      <c r="F1228" s="5" t="str">
        <f>VLOOKUP(A1228,Jogos!A:N,10,0)</f>
        <v>Afternoon</v>
      </c>
      <c r="G1228" s="2" t="s">
        <v>62</v>
      </c>
      <c r="H1228" s="6" t="str">
        <f>VLOOKUP(A1228,Jogos!A:L,12,0)</f>
        <v>Open</v>
      </c>
      <c r="I1228" s="6" t="str">
        <f>VLOOKUP(G1228,'Estádios e Cidades'!A:B,2,0)</f>
        <v>Miami Gardens - Flórida</v>
      </c>
      <c r="J1228" s="2" t="s">
        <v>688</v>
      </c>
      <c r="K1228" s="2" t="str">
        <f>VLOOKUP(J1228,Equipes!A:F,6,0)</f>
        <v>Tropical</v>
      </c>
      <c r="L1228" s="2">
        <f>VLOOKUP(J1228,Equipes!A:C,3,0)</f>
        <v>18</v>
      </c>
      <c r="M1228" s="2" t="str">
        <f t="shared" si="4"/>
        <v>Group</v>
      </c>
      <c r="N1228" s="2" t="s">
        <v>563</v>
      </c>
      <c r="O1228" s="2">
        <f>VLOOKUP(N1228,Equipes!A:C,3,0)</f>
        <v>4</v>
      </c>
      <c r="P1228" s="2" t="str">
        <f t="shared" si="5"/>
        <v>Semi-final</v>
      </c>
      <c r="Q1228" s="2">
        <f t="shared" si="6"/>
        <v>14</v>
      </c>
      <c r="R1228" s="2" t="str">
        <f>VLOOKUP(J1228,Equipes!A:B,2,0)</f>
        <v>Mamelodi</v>
      </c>
      <c r="S1228" s="6" t="s">
        <v>729</v>
      </c>
      <c r="T1228" s="7">
        <v>20.0</v>
      </c>
      <c r="U1228" s="7" t="s">
        <v>730</v>
      </c>
      <c r="V1228" s="7" t="str">
        <f>VLOOKUP(U1228,Jogadores!B:C,2,0)</f>
        <v>DF</v>
      </c>
      <c r="W1228" s="8">
        <f>VLOOKUP(U1228,Jogadores!B:D,3,0)</f>
        <v>32.76164384</v>
      </c>
      <c r="X1228" s="7">
        <v>0.0</v>
      </c>
      <c r="Y1228" s="7">
        <f>45+AB1228</f>
        <v>98</v>
      </c>
      <c r="Z1228" s="7">
        <f>VLOOKUP(A1228,Jogos!A:L,3,0)</f>
        <v>49</v>
      </c>
      <c r="AA1228" s="7">
        <f t="shared" si="2229"/>
        <v>49</v>
      </c>
      <c r="AB1228" s="7">
        <f>VLOOKUP(A1228,Jogos!A:L,4,0)</f>
        <v>53</v>
      </c>
      <c r="AC1228" s="7">
        <f t="shared" si="2230"/>
        <v>53</v>
      </c>
      <c r="AD1228" s="7"/>
      <c r="AE1228" s="7"/>
      <c r="AF1228" s="7">
        <f t="shared" si="2231"/>
        <v>102</v>
      </c>
      <c r="AG1228" s="7">
        <v>8546.3</v>
      </c>
      <c r="AH1228" s="7">
        <v>3793.5</v>
      </c>
      <c r="AI1228" s="7">
        <v>3635.8</v>
      </c>
      <c r="AJ1228" s="7">
        <v>748.6</v>
      </c>
      <c r="AK1228" s="7">
        <v>283.8</v>
      </c>
      <c r="AL1228" s="7">
        <v>84.7</v>
      </c>
      <c r="AM1228" s="7">
        <v>71.0</v>
      </c>
      <c r="AN1228" s="7">
        <v>23.0</v>
      </c>
      <c r="AO1228" s="7">
        <v>27.7</v>
      </c>
      <c r="AP1228" s="9">
        <f t="shared" ref="AP1228:AR1228" si="3834">AG1228/$AF1228</f>
        <v>83.7872549</v>
      </c>
      <c r="AQ1228" s="9">
        <f t="shared" si="3834"/>
        <v>37.19117647</v>
      </c>
      <c r="AR1228" s="9">
        <f t="shared" si="3834"/>
        <v>35.64509804</v>
      </c>
      <c r="AS1228" s="9">
        <f t="shared" si="2233"/>
        <v>72.83627451</v>
      </c>
      <c r="AT1228" s="9">
        <f t="shared" ref="AT1228:AV1228" si="3835">AJ1228/$AF1228</f>
        <v>7.339215686</v>
      </c>
      <c r="AU1228" s="9">
        <f t="shared" si="3835"/>
        <v>2.782352941</v>
      </c>
      <c r="AV1228" s="9">
        <f t="shared" si="3835"/>
        <v>0.8303921569</v>
      </c>
      <c r="AW1228" s="9">
        <f t="shared" si="2235"/>
        <v>3.612745098</v>
      </c>
      <c r="AX1228" s="9">
        <f t="shared" ref="AX1228:AY1228" si="3836">AM1228/$AF1228</f>
        <v>0.6960784314</v>
      </c>
      <c r="AY1228" s="9">
        <f t="shared" si="3836"/>
        <v>0.2254901961</v>
      </c>
      <c r="AZ1228" s="9">
        <f>VLOOKUP(A1228,Jogos!A:BN,58,0)</f>
        <v>31.34</v>
      </c>
      <c r="BA1228" s="9">
        <f>VLOOKUP(A1228,Jogos!A:BN,59,0)</f>
        <v>21.79</v>
      </c>
      <c r="BB1228" s="9">
        <f>VLOOKUP(A1228,Jogos!A:BN,60,0)</f>
        <v>56</v>
      </c>
      <c r="BC1228" s="9">
        <f>VLOOKUP(A1228,Jogos!A:BN,61,0)</f>
        <v>32.65</v>
      </c>
      <c r="BD1228" s="9">
        <f>VLOOKUP(A1228,Jogos!A:BN,62,0)</f>
        <v>676.65</v>
      </c>
      <c r="BE1228" s="9">
        <f>VLOOKUP(A1228,Jogos!A:BN,63,0)</f>
        <v>1.775</v>
      </c>
      <c r="BF1228" s="9">
        <f>VLOOKUP(A1228,Jogos!A:BN,64,0)</f>
        <v>25.61</v>
      </c>
      <c r="BG1228" s="9">
        <f>VLOOKUP(A1228,Jogos!A:BN,65,0)</f>
        <v>46.015</v>
      </c>
      <c r="BH1228" s="9">
        <f>VLOOKUP(A1228,Jogos!A:BN,66,0)</f>
        <v>30.26</v>
      </c>
      <c r="BI1228" s="9"/>
      <c r="BJ1228" s="9"/>
    </row>
    <row r="1229">
      <c r="A1229" s="2">
        <v>42.0</v>
      </c>
      <c r="B1229" s="11" t="s">
        <v>562</v>
      </c>
      <c r="C1229" s="2" t="s">
        <v>61</v>
      </c>
      <c r="D1229" s="3">
        <v>45833.0</v>
      </c>
      <c r="E1229" s="4">
        <v>0.625</v>
      </c>
      <c r="F1229" s="5" t="str">
        <f>VLOOKUP(A1229,Jogos!A:N,10,0)</f>
        <v>Afternoon</v>
      </c>
      <c r="G1229" s="2" t="s">
        <v>62</v>
      </c>
      <c r="H1229" s="6" t="str">
        <f>VLOOKUP(A1229,Jogos!A:L,12,0)</f>
        <v>Open</v>
      </c>
      <c r="I1229" s="6" t="str">
        <f>VLOOKUP(G1229,'Estádios e Cidades'!A:B,2,0)</f>
        <v>Miami Gardens - Flórida</v>
      </c>
      <c r="J1229" s="2" t="s">
        <v>688</v>
      </c>
      <c r="K1229" s="2" t="str">
        <f>VLOOKUP(J1229,Equipes!A:F,6,0)</f>
        <v>Tropical</v>
      </c>
      <c r="L1229" s="2">
        <f>VLOOKUP(J1229,Equipes!A:C,3,0)</f>
        <v>18</v>
      </c>
      <c r="M1229" s="2" t="str">
        <f t="shared" si="4"/>
        <v>Group</v>
      </c>
      <c r="N1229" s="2" t="s">
        <v>563</v>
      </c>
      <c r="O1229" s="2">
        <f>VLOOKUP(N1229,Equipes!A:C,3,0)</f>
        <v>4</v>
      </c>
      <c r="P1229" s="2" t="str">
        <f t="shared" si="5"/>
        <v>Semi-final</v>
      </c>
      <c r="Q1229" s="2">
        <f t="shared" si="6"/>
        <v>14</v>
      </c>
      <c r="R1229" s="2" t="str">
        <f>VLOOKUP(J1229,Equipes!A:B,2,0)</f>
        <v>Mamelodi</v>
      </c>
      <c r="S1229" s="6" t="s">
        <v>731</v>
      </c>
      <c r="T1229" s="7">
        <v>24.0</v>
      </c>
      <c r="U1229" s="7" t="s">
        <v>732</v>
      </c>
      <c r="V1229" s="7" t="str">
        <f>VLOOKUP(U1229,Jogadores!B:C,2,0)</f>
        <v>DF</v>
      </c>
      <c r="W1229" s="8">
        <f>VLOOKUP(U1229,Jogadores!B:D,3,0)</f>
        <v>27.55068493</v>
      </c>
      <c r="X1229" s="7">
        <v>0.0</v>
      </c>
      <c r="Y1229" s="7">
        <v>60.0</v>
      </c>
      <c r="Z1229" s="7">
        <f>VLOOKUP(A1229,Jogos!A:L,3,0)</f>
        <v>49</v>
      </c>
      <c r="AA1229" s="7">
        <f t="shared" si="2229"/>
        <v>49</v>
      </c>
      <c r="AB1229" s="7">
        <f>VLOOKUP(A1229,Jogos!A:L,4,0)</f>
        <v>53</v>
      </c>
      <c r="AC1229" s="7">
        <f t="shared" si="2230"/>
        <v>15</v>
      </c>
      <c r="AD1229" s="7"/>
      <c r="AE1229" s="7"/>
      <c r="AF1229" s="7">
        <f t="shared" si="2231"/>
        <v>64</v>
      </c>
      <c r="AG1229" s="7">
        <v>5702.7</v>
      </c>
      <c r="AH1229" s="7">
        <v>2436.6</v>
      </c>
      <c r="AI1229" s="7">
        <v>2391.9</v>
      </c>
      <c r="AJ1229" s="7">
        <v>573.6</v>
      </c>
      <c r="AK1229" s="7">
        <v>201.4</v>
      </c>
      <c r="AL1229" s="7">
        <v>99.2</v>
      </c>
      <c r="AM1229" s="7">
        <v>56.0</v>
      </c>
      <c r="AN1229" s="7">
        <v>16.0</v>
      </c>
      <c r="AO1229" s="7">
        <v>30.6</v>
      </c>
      <c r="AP1229" s="9">
        <f t="shared" ref="AP1229:AR1229" si="3837">AG1229/$AF1229</f>
        <v>89.1046875</v>
      </c>
      <c r="AQ1229" s="9">
        <f t="shared" si="3837"/>
        <v>38.071875</v>
      </c>
      <c r="AR1229" s="9">
        <f t="shared" si="3837"/>
        <v>37.3734375</v>
      </c>
      <c r="AS1229" s="9">
        <f t="shared" si="2233"/>
        <v>75.4453125</v>
      </c>
      <c r="AT1229" s="9">
        <f t="shared" ref="AT1229:AV1229" si="3838">AJ1229/$AF1229</f>
        <v>8.9625</v>
      </c>
      <c r="AU1229" s="9">
        <f t="shared" si="3838"/>
        <v>3.146875</v>
      </c>
      <c r="AV1229" s="9">
        <f t="shared" si="3838"/>
        <v>1.55</v>
      </c>
      <c r="AW1229" s="9">
        <f t="shared" si="2235"/>
        <v>4.696875</v>
      </c>
      <c r="AX1229" s="9">
        <f t="shared" ref="AX1229:AY1229" si="3839">AM1229/$AF1229</f>
        <v>0.875</v>
      </c>
      <c r="AY1229" s="9">
        <f t="shared" si="3839"/>
        <v>0.25</v>
      </c>
      <c r="AZ1229" s="9">
        <f>VLOOKUP(A1229,Jogos!A:BN,58,0)</f>
        <v>31.34</v>
      </c>
      <c r="BA1229" s="9">
        <f>VLOOKUP(A1229,Jogos!A:BN,59,0)</f>
        <v>21.79</v>
      </c>
      <c r="BB1229" s="9">
        <f>VLOOKUP(A1229,Jogos!A:BN,60,0)</f>
        <v>56</v>
      </c>
      <c r="BC1229" s="9">
        <f>VLOOKUP(A1229,Jogos!A:BN,61,0)</f>
        <v>32.65</v>
      </c>
      <c r="BD1229" s="9">
        <f>VLOOKUP(A1229,Jogos!A:BN,62,0)</f>
        <v>676.65</v>
      </c>
      <c r="BE1229" s="9">
        <f>VLOOKUP(A1229,Jogos!A:BN,63,0)</f>
        <v>1.775</v>
      </c>
      <c r="BF1229" s="9">
        <f>VLOOKUP(A1229,Jogos!A:BN,64,0)</f>
        <v>25.61</v>
      </c>
      <c r="BG1229" s="9">
        <f>VLOOKUP(A1229,Jogos!A:BN,65,0)</f>
        <v>46.015</v>
      </c>
      <c r="BH1229" s="9">
        <f>VLOOKUP(A1229,Jogos!A:BN,66,0)</f>
        <v>30.26</v>
      </c>
      <c r="BI1229" s="9"/>
      <c r="BJ1229" s="9"/>
    </row>
    <row r="1230">
      <c r="A1230" s="2">
        <v>42.0</v>
      </c>
      <c r="B1230" s="11" t="s">
        <v>562</v>
      </c>
      <c r="C1230" s="2" t="s">
        <v>61</v>
      </c>
      <c r="D1230" s="3">
        <v>45833.0</v>
      </c>
      <c r="E1230" s="4">
        <v>0.625</v>
      </c>
      <c r="F1230" s="5" t="str">
        <f>VLOOKUP(A1230,Jogos!A:N,10,0)</f>
        <v>Afternoon</v>
      </c>
      <c r="G1230" s="2" t="s">
        <v>62</v>
      </c>
      <c r="H1230" s="6" t="str">
        <f>VLOOKUP(A1230,Jogos!A:L,12,0)</f>
        <v>Open</v>
      </c>
      <c r="I1230" s="6" t="str">
        <f>VLOOKUP(G1230,'Estádios e Cidades'!A:B,2,0)</f>
        <v>Miami Gardens - Flórida</v>
      </c>
      <c r="J1230" s="2" t="s">
        <v>688</v>
      </c>
      <c r="K1230" s="2" t="str">
        <f>VLOOKUP(J1230,Equipes!A:F,6,0)</f>
        <v>Tropical</v>
      </c>
      <c r="L1230" s="2">
        <f>VLOOKUP(J1230,Equipes!A:C,3,0)</f>
        <v>18</v>
      </c>
      <c r="M1230" s="2" t="str">
        <f t="shared" si="4"/>
        <v>Group</v>
      </c>
      <c r="N1230" s="2" t="s">
        <v>563</v>
      </c>
      <c r="O1230" s="2">
        <f>VLOOKUP(N1230,Equipes!A:C,3,0)</f>
        <v>4</v>
      </c>
      <c r="P1230" s="2" t="str">
        <f t="shared" si="5"/>
        <v>Semi-final</v>
      </c>
      <c r="Q1230" s="2">
        <f t="shared" si="6"/>
        <v>14</v>
      </c>
      <c r="R1230" s="2" t="str">
        <f>VLOOKUP(J1230,Equipes!A:B,2,0)</f>
        <v>Mamelodi</v>
      </c>
      <c r="S1230" s="6" t="s">
        <v>733</v>
      </c>
      <c r="T1230" s="7">
        <v>25.0</v>
      </c>
      <c r="U1230" s="7" t="s">
        <v>734</v>
      </c>
      <c r="V1230" s="7" t="str">
        <f>VLOOKUP(U1230,Jogadores!B:C,2,0)</f>
        <v>DF</v>
      </c>
      <c r="W1230" s="8">
        <f>VLOOKUP(U1230,Jogadores!B:D,3,0)</f>
        <v>30.27671233</v>
      </c>
      <c r="X1230" s="7">
        <v>0.0</v>
      </c>
      <c r="Y1230" s="7">
        <f t="shared" ref="Y1230:Y1239" si="3843">45+AB1230</f>
        <v>98</v>
      </c>
      <c r="Z1230" s="7">
        <f>VLOOKUP(A1230,Jogos!A:L,3,0)</f>
        <v>49</v>
      </c>
      <c r="AA1230" s="7">
        <f t="shared" si="2229"/>
        <v>49</v>
      </c>
      <c r="AB1230" s="7">
        <f>VLOOKUP(A1230,Jogos!A:L,4,0)</f>
        <v>53</v>
      </c>
      <c r="AC1230" s="7">
        <f t="shared" si="2230"/>
        <v>53</v>
      </c>
      <c r="AD1230" s="7"/>
      <c r="AE1230" s="7"/>
      <c r="AF1230" s="7">
        <f t="shared" si="2231"/>
        <v>102</v>
      </c>
      <c r="AG1230" s="7">
        <v>8068.8</v>
      </c>
      <c r="AH1230" s="7">
        <v>3680.5</v>
      </c>
      <c r="AI1230" s="7">
        <v>2966.0</v>
      </c>
      <c r="AJ1230" s="7">
        <v>770.0</v>
      </c>
      <c r="AK1230" s="7">
        <v>457.0</v>
      </c>
      <c r="AL1230" s="7">
        <v>195.4</v>
      </c>
      <c r="AM1230" s="7">
        <v>74.0</v>
      </c>
      <c r="AN1230" s="7">
        <v>37.0</v>
      </c>
      <c r="AO1230" s="7">
        <v>33.3</v>
      </c>
      <c r="AP1230" s="9">
        <f t="shared" ref="AP1230:AR1230" si="3840">AG1230/$AF1230</f>
        <v>79.10588235</v>
      </c>
      <c r="AQ1230" s="9">
        <f t="shared" si="3840"/>
        <v>36.08333333</v>
      </c>
      <c r="AR1230" s="9">
        <f t="shared" si="3840"/>
        <v>29.07843137</v>
      </c>
      <c r="AS1230" s="9">
        <f t="shared" si="2233"/>
        <v>65.16176471</v>
      </c>
      <c r="AT1230" s="9">
        <f t="shared" ref="AT1230:AV1230" si="3841">AJ1230/$AF1230</f>
        <v>7.549019608</v>
      </c>
      <c r="AU1230" s="9">
        <f t="shared" si="3841"/>
        <v>4.480392157</v>
      </c>
      <c r="AV1230" s="9">
        <f t="shared" si="3841"/>
        <v>1.915686275</v>
      </c>
      <c r="AW1230" s="9">
        <f t="shared" si="2235"/>
        <v>6.396078431</v>
      </c>
      <c r="AX1230" s="9">
        <f t="shared" ref="AX1230:AY1230" si="3842">AM1230/$AF1230</f>
        <v>0.7254901961</v>
      </c>
      <c r="AY1230" s="9">
        <f t="shared" si="3842"/>
        <v>0.362745098</v>
      </c>
      <c r="AZ1230" s="9">
        <f>VLOOKUP(A1230,Jogos!A:BN,58,0)</f>
        <v>31.34</v>
      </c>
      <c r="BA1230" s="9">
        <f>VLOOKUP(A1230,Jogos!A:BN,59,0)</f>
        <v>21.79</v>
      </c>
      <c r="BB1230" s="9">
        <f>VLOOKUP(A1230,Jogos!A:BN,60,0)</f>
        <v>56</v>
      </c>
      <c r="BC1230" s="9">
        <f>VLOOKUP(A1230,Jogos!A:BN,61,0)</f>
        <v>32.65</v>
      </c>
      <c r="BD1230" s="9">
        <f>VLOOKUP(A1230,Jogos!A:BN,62,0)</f>
        <v>676.65</v>
      </c>
      <c r="BE1230" s="9">
        <f>VLOOKUP(A1230,Jogos!A:BN,63,0)</f>
        <v>1.775</v>
      </c>
      <c r="BF1230" s="9">
        <f>VLOOKUP(A1230,Jogos!A:BN,64,0)</f>
        <v>25.61</v>
      </c>
      <c r="BG1230" s="9">
        <f>VLOOKUP(A1230,Jogos!A:BN,65,0)</f>
        <v>46.015</v>
      </c>
      <c r="BH1230" s="9">
        <f>VLOOKUP(A1230,Jogos!A:BN,66,0)</f>
        <v>30.26</v>
      </c>
      <c r="BI1230" s="9"/>
      <c r="BJ1230" s="9"/>
    </row>
    <row r="1231">
      <c r="A1231" s="2">
        <v>42.0</v>
      </c>
      <c r="B1231" s="11" t="s">
        <v>562</v>
      </c>
      <c r="C1231" s="2" t="s">
        <v>61</v>
      </c>
      <c r="D1231" s="3">
        <v>45833.0</v>
      </c>
      <c r="E1231" s="4">
        <v>0.625</v>
      </c>
      <c r="F1231" s="5" t="str">
        <f>VLOOKUP(A1231,Jogos!A:N,10,0)</f>
        <v>Afternoon</v>
      </c>
      <c r="G1231" s="2" t="s">
        <v>62</v>
      </c>
      <c r="H1231" s="6" t="str">
        <f>VLOOKUP(A1231,Jogos!A:L,12,0)</f>
        <v>Open</v>
      </c>
      <c r="I1231" s="6" t="str">
        <f>VLOOKUP(G1231,'Estádios e Cidades'!A:B,2,0)</f>
        <v>Miami Gardens - Flórida</v>
      </c>
      <c r="J1231" s="2" t="s">
        <v>688</v>
      </c>
      <c r="K1231" s="2" t="str">
        <f>VLOOKUP(J1231,Equipes!A:F,6,0)</f>
        <v>Tropical</v>
      </c>
      <c r="L1231" s="2">
        <f>VLOOKUP(J1231,Equipes!A:C,3,0)</f>
        <v>18</v>
      </c>
      <c r="M1231" s="2" t="str">
        <f t="shared" si="4"/>
        <v>Group</v>
      </c>
      <c r="N1231" s="2" t="s">
        <v>563</v>
      </c>
      <c r="O1231" s="2">
        <f>VLOOKUP(N1231,Equipes!A:C,3,0)</f>
        <v>4</v>
      </c>
      <c r="P1231" s="2" t="str">
        <f t="shared" si="5"/>
        <v>Semi-final</v>
      </c>
      <c r="Q1231" s="2">
        <f t="shared" si="6"/>
        <v>14</v>
      </c>
      <c r="R1231" s="2" t="str">
        <f>VLOOKUP(J1231,Equipes!A:B,2,0)</f>
        <v>Mamelodi</v>
      </c>
      <c r="S1231" s="6" t="s">
        <v>735</v>
      </c>
      <c r="T1231" s="7">
        <v>29.0</v>
      </c>
      <c r="U1231" s="7" t="s">
        <v>736</v>
      </c>
      <c r="V1231" s="7" t="str">
        <f>VLOOKUP(U1231,Jogadores!B:C,2,0)</f>
        <v>DF</v>
      </c>
      <c r="W1231" s="8">
        <f>VLOOKUP(U1231,Jogadores!B:D,3,0)</f>
        <v>30.1890411</v>
      </c>
      <c r="X1231" s="7">
        <v>0.0</v>
      </c>
      <c r="Y1231" s="7">
        <f t="shared" si="3843"/>
        <v>98</v>
      </c>
      <c r="Z1231" s="7">
        <f>VLOOKUP(A1231,Jogos!A:L,3,0)</f>
        <v>49</v>
      </c>
      <c r="AA1231" s="7">
        <f t="shared" si="2229"/>
        <v>49</v>
      </c>
      <c r="AB1231" s="7">
        <f>VLOOKUP(A1231,Jogos!A:L,4,0)</f>
        <v>53</v>
      </c>
      <c r="AC1231" s="7">
        <f t="shared" si="2230"/>
        <v>53</v>
      </c>
      <c r="AD1231" s="7"/>
      <c r="AE1231" s="7"/>
      <c r="AF1231" s="7">
        <f t="shared" si="2231"/>
        <v>102</v>
      </c>
      <c r="AG1231" s="7">
        <v>8549.7</v>
      </c>
      <c r="AH1231" s="7">
        <v>3944.5</v>
      </c>
      <c r="AI1231" s="7">
        <v>3066.9</v>
      </c>
      <c r="AJ1231" s="7">
        <v>865.2</v>
      </c>
      <c r="AK1231" s="7">
        <v>466.8</v>
      </c>
      <c r="AL1231" s="7">
        <v>206.3</v>
      </c>
      <c r="AM1231" s="7">
        <v>79.0</v>
      </c>
      <c r="AN1231" s="7">
        <v>37.0</v>
      </c>
      <c r="AO1231" s="7">
        <v>32.0</v>
      </c>
      <c r="AP1231" s="9">
        <f t="shared" ref="AP1231:AR1231" si="3844">AG1231/$AF1231</f>
        <v>83.82058824</v>
      </c>
      <c r="AQ1231" s="9">
        <f t="shared" si="3844"/>
        <v>38.67156863</v>
      </c>
      <c r="AR1231" s="9">
        <f t="shared" si="3844"/>
        <v>30.06764706</v>
      </c>
      <c r="AS1231" s="9">
        <f t="shared" si="2233"/>
        <v>68.73921569</v>
      </c>
      <c r="AT1231" s="9">
        <f t="shared" ref="AT1231:AV1231" si="3845">AJ1231/$AF1231</f>
        <v>8.482352941</v>
      </c>
      <c r="AU1231" s="9">
        <f t="shared" si="3845"/>
        <v>4.576470588</v>
      </c>
      <c r="AV1231" s="9">
        <f t="shared" si="3845"/>
        <v>2.02254902</v>
      </c>
      <c r="AW1231" s="9">
        <f t="shared" si="2235"/>
        <v>6.599019608</v>
      </c>
      <c r="AX1231" s="9">
        <f t="shared" ref="AX1231:AY1231" si="3846">AM1231/$AF1231</f>
        <v>0.7745098039</v>
      </c>
      <c r="AY1231" s="9">
        <f t="shared" si="3846"/>
        <v>0.362745098</v>
      </c>
      <c r="AZ1231" s="9">
        <f>VLOOKUP(A1231,Jogos!A:BN,58,0)</f>
        <v>31.34</v>
      </c>
      <c r="BA1231" s="9">
        <f>VLOOKUP(A1231,Jogos!A:BN,59,0)</f>
        <v>21.79</v>
      </c>
      <c r="BB1231" s="9">
        <f>VLOOKUP(A1231,Jogos!A:BN,60,0)</f>
        <v>56</v>
      </c>
      <c r="BC1231" s="9">
        <f>VLOOKUP(A1231,Jogos!A:BN,61,0)</f>
        <v>32.65</v>
      </c>
      <c r="BD1231" s="9">
        <f>VLOOKUP(A1231,Jogos!A:BN,62,0)</f>
        <v>676.65</v>
      </c>
      <c r="BE1231" s="9">
        <f>VLOOKUP(A1231,Jogos!A:BN,63,0)</f>
        <v>1.775</v>
      </c>
      <c r="BF1231" s="9">
        <f>VLOOKUP(A1231,Jogos!A:BN,64,0)</f>
        <v>25.61</v>
      </c>
      <c r="BG1231" s="9">
        <f>VLOOKUP(A1231,Jogos!A:BN,65,0)</f>
        <v>46.015</v>
      </c>
      <c r="BH1231" s="9">
        <f>VLOOKUP(A1231,Jogos!A:BN,66,0)</f>
        <v>30.26</v>
      </c>
      <c r="BI1231" s="9"/>
      <c r="BJ1231" s="9"/>
    </row>
    <row r="1232">
      <c r="A1232" s="2">
        <v>42.0</v>
      </c>
      <c r="B1232" s="11" t="s">
        <v>562</v>
      </c>
      <c r="C1232" s="2" t="s">
        <v>61</v>
      </c>
      <c r="D1232" s="3">
        <v>45833.0</v>
      </c>
      <c r="E1232" s="4">
        <v>0.625</v>
      </c>
      <c r="F1232" s="5" t="str">
        <f>VLOOKUP(A1232,Jogos!A:N,10,0)</f>
        <v>Afternoon</v>
      </c>
      <c r="G1232" s="2" t="s">
        <v>62</v>
      </c>
      <c r="H1232" s="6" t="str">
        <f>VLOOKUP(A1232,Jogos!A:L,12,0)</f>
        <v>Open</v>
      </c>
      <c r="I1232" s="6" t="str">
        <f>VLOOKUP(G1232,'Estádios e Cidades'!A:B,2,0)</f>
        <v>Miami Gardens - Flórida</v>
      </c>
      <c r="J1232" s="2" t="s">
        <v>688</v>
      </c>
      <c r="K1232" s="2" t="str">
        <f>VLOOKUP(J1232,Equipes!A:F,6,0)</f>
        <v>Tropical</v>
      </c>
      <c r="L1232" s="2">
        <f>VLOOKUP(J1232,Equipes!A:C,3,0)</f>
        <v>18</v>
      </c>
      <c r="M1232" s="2" t="str">
        <f t="shared" si="4"/>
        <v>Group</v>
      </c>
      <c r="N1232" s="2" t="s">
        <v>563</v>
      </c>
      <c r="O1232" s="2">
        <f>VLOOKUP(N1232,Equipes!A:C,3,0)</f>
        <v>4</v>
      </c>
      <c r="P1232" s="2" t="str">
        <f t="shared" si="5"/>
        <v>Semi-final</v>
      </c>
      <c r="Q1232" s="2">
        <f t="shared" si="6"/>
        <v>14</v>
      </c>
      <c r="R1232" s="2" t="str">
        <f>VLOOKUP(J1232,Equipes!A:B,2,0)</f>
        <v>Mamelodi</v>
      </c>
      <c r="S1232" s="6" t="s">
        <v>1301</v>
      </c>
      <c r="T1232" s="7">
        <v>5.0</v>
      </c>
      <c r="U1232" s="7" t="s">
        <v>1302</v>
      </c>
      <c r="V1232" s="7" t="str">
        <f>VLOOKUP(U1232,Jogadores!B:C,2,0)</f>
        <v>DF</v>
      </c>
      <c r="W1232" s="8">
        <f>VLOOKUP(U1232,Jogadores!B:D,3,0)</f>
        <v>32.81917808</v>
      </c>
      <c r="X1232" s="7">
        <v>60.0</v>
      </c>
      <c r="Y1232" s="7">
        <f t="shared" si="3843"/>
        <v>98</v>
      </c>
      <c r="Z1232" s="7">
        <f>VLOOKUP(A1232,Jogos!A:L,3,0)</f>
        <v>49</v>
      </c>
      <c r="AA1232" s="7">
        <f t="shared" si="2229"/>
        <v>0</v>
      </c>
      <c r="AB1232" s="7">
        <f>VLOOKUP(A1232,Jogos!A:L,4,0)</f>
        <v>53</v>
      </c>
      <c r="AC1232" s="7">
        <f t="shared" si="2230"/>
        <v>38</v>
      </c>
      <c r="AD1232" s="7"/>
      <c r="AE1232" s="7"/>
      <c r="AF1232" s="7">
        <f t="shared" si="2231"/>
        <v>38</v>
      </c>
      <c r="AG1232" s="7">
        <v>3165.2</v>
      </c>
      <c r="AH1232" s="7">
        <v>1322.6</v>
      </c>
      <c r="AI1232" s="7">
        <v>1220.6</v>
      </c>
      <c r="AJ1232" s="7">
        <v>432.3</v>
      </c>
      <c r="AK1232" s="7">
        <v>160.9</v>
      </c>
      <c r="AL1232" s="7">
        <v>28.8</v>
      </c>
      <c r="AM1232" s="7">
        <v>38.0</v>
      </c>
      <c r="AN1232" s="7">
        <v>14.0</v>
      </c>
      <c r="AO1232" s="7">
        <v>28.5</v>
      </c>
      <c r="AP1232" s="9">
        <f t="shared" ref="AP1232:AR1232" si="3847">AG1232/$AF1232</f>
        <v>83.29473684</v>
      </c>
      <c r="AQ1232" s="9">
        <f t="shared" si="3847"/>
        <v>34.80526316</v>
      </c>
      <c r="AR1232" s="9">
        <f t="shared" si="3847"/>
        <v>32.12105263</v>
      </c>
      <c r="AS1232" s="9">
        <f t="shared" si="2233"/>
        <v>66.92631579</v>
      </c>
      <c r="AT1232" s="9">
        <f t="shared" ref="AT1232:AV1232" si="3848">AJ1232/$AF1232</f>
        <v>11.37631579</v>
      </c>
      <c r="AU1232" s="9">
        <f t="shared" si="3848"/>
        <v>4.234210526</v>
      </c>
      <c r="AV1232" s="9">
        <f t="shared" si="3848"/>
        <v>0.7578947368</v>
      </c>
      <c r="AW1232" s="9">
        <f t="shared" si="2235"/>
        <v>4.992105263</v>
      </c>
      <c r="AX1232" s="9">
        <f t="shared" ref="AX1232:AY1232" si="3849">AM1232/$AF1232</f>
        <v>1</v>
      </c>
      <c r="AY1232" s="9">
        <f t="shared" si="3849"/>
        <v>0.3684210526</v>
      </c>
      <c r="AZ1232" s="9">
        <f>VLOOKUP(A1232,Jogos!A:BN,58,0)</f>
        <v>31.34</v>
      </c>
      <c r="BA1232" s="9">
        <f>VLOOKUP(A1232,Jogos!A:BN,59,0)</f>
        <v>21.79</v>
      </c>
      <c r="BB1232" s="9">
        <f>VLOOKUP(A1232,Jogos!A:BN,60,0)</f>
        <v>56</v>
      </c>
      <c r="BC1232" s="9">
        <f>VLOOKUP(A1232,Jogos!A:BN,61,0)</f>
        <v>32.65</v>
      </c>
      <c r="BD1232" s="9">
        <f>VLOOKUP(A1232,Jogos!A:BN,62,0)</f>
        <v>676.65</v>
      </c>
      <c r="BE1232" s="9">
        <f>VLOOKUP(A1232,Jogos!A:BN,63,0)</f>
        <v>1.775</v>
      </c>
      <c r="BF1232" s="9">
        <f>VLOOKUP(A1232,Jogos!A:BN,64,0)</f>
        <v>25.61</v>
      </c>
      <c r="BG1232" s="9">
        <f>VLOOKUP(A1232,Jogos!A:BN,65,0)</f>
        <v>46.015</v>
      </c>
      <c r="BH1232" s="9">
        <f>VLOOKUP(A1232,Jogos!A:BN,66,0)</f>
        <v>30.26</v>
      </c>
      <c r="BI1232" s="9"/>
      <c r="BJ1232" s="9"/>
    </row>
    <row r="1233">
      <c r="A1233" s="2">
        <v>42.0</v>
      </c>
      <c r="B1233" s="11" t="s">
        <v>562</v>
      </c>
      <c r="C1233" s="2" t="s">
        <v>61</v>
      </c>
      <c r="D1233" s="3">
        <v>45833.0</v>
      </c>
      <c r="E1233" s="4">
        <v>0.625</v>
      </c>
      <c r="F1233" s="5" t="str">
        <f>VLOOKUP(A1233,Jogos!A:N,10,0)</f>
        <v>Afternoon</v>
      </c>
      <c r="G1233" s="2" t="s">
        <v>62</v>
      </c>
      <c r="H1233" s="6" t="str">
        <f>VLOOKUP(A1233,Jogos!A:L,12,0)</f>
        <v>Open</v>
      </c>
      <c r="I1233" s="6" t="str">
        <f>VLOOKUP(G1233,'Estádios e Cidades'!A:B,2,0)</f>
        <v>Miami Gardens - Flórida</v>
      </c>
      <c r="J1233" s="2" t="s">
        <v>688</v>
      </c>
      <c r="K1233" s="2" t="str">
        <f>VLOOKUP(J1233,Equipes!A:F,6,0)</f>
        <v>Tropical</v>
      </c>
      <c r="L1233" s="2">
        <f>VLOOKUP(J1233,Equipes!A:C,3,0)</f>
        <v>18</v>
      </c>
      <c r="M1233" s="2" t="str">
        <f t="shared" si="4"/>
        <v>Group</v>
      </c>
      <c r="N1233" s="2" t="s">
        <v>563</v>
      </c>
      <c r="O1233" s="2">
        <f>VLOOKUP(N1233,Equipes!A:C,3,0)</f>
        <v>4</v>
      </c>
      <c r="P1233" s="2" t="str">
        <f t="shared" si="5"/>
        <v>Semi-final</v>
      </c>
      <c r="Q1233" s="2">
        <f t="shared" si="6"/>
        <v>14</v>
      </c>
      <c r="R1233" s="2" t="str">
        <f>VLOOKUP(J1233,Equipes!A:B,2,0)</f>
        <v>Mamelodi</v>
      </c>
      <c r="S1233" s="6" t="s">
        <v>737</v>
      </c>
      <c r="T1233" s="7">
        <v>8.0</v>
      </c>
      <c r="U1233" s="7" t="s">
        <v>738</v>
      </c>
      <c r="V1233" s="7" t="str">
        <f>VLOOKUP(U1233,Jogadores!B:C,2,0)</f>
        <v>MF</v>
      </c>
      <c r="W1233" s="8">
        <f>VLOOKUP(U1233,Jogadores!B:D,3,0)</f>
        <v>24.24657534</v>
      </c>
      <c r="X1233" s="7">
        <v>45.0</v>
      </c>
      <c r="Y1233" s="7">
        <f t="shared" si="3843"/>
        <v>98</v>
      </c>
      <c r="Z1233" s="7">
        <f>VLOOKUP(A1233,Jogos!A:L,3,0)</f>
        <v>49</v>
      </c>
      <c r="AA1233" s="7">
        <f t="shared" si="2229"/>
        <v>0</v>
      </c>
      <c r="AB1233" s="7">
        <f>VLOOKUP(A1233,Jogos!A:L,4,0)</f>
        <v>53</v>
      </c>
      <c r="AC1233" s="7">
        <f t="shared" si="2230"/>
        <v>53</v>
      </c>
      <c r="AD1233" s="7"/>
      <c r="AE1233" s="7"/>
      <c r="AF1233" s="7">
        <f t="shared" si="2231"/>
        <v>53</v>
      </c>
      <c r="AG1233" s="7">
        <v>4825.7</v>
      </c>
      <c r="AH1233" s="7">
        <v>1948.7</v>
      </c>
      <c r="AI1233" s="7">
        <v>2225.5</v>
      </c>
      <c r="AJ1233" s="7">
        <v>487.7</v>
      </c>
      <c r="AK1233" s="7">
        <v>158.1</v>
      </c>
      <c r="AL1233" s="7">
        <v>5.7</v>
      </c>
      <c r="AM1233" s="7">
        <v>47.0</v>
      </c>
      <c r="AN1233" s="7">
        <v>12.0</v>
      </c>
      <c r="AO1233" s="7">
        <v>25.6</v>
      </c>
      <c r="AP1233" s="9">
        <f t="shared" ref="AP1233:AR1233" si="3850">AG1233/$AF1233</f>
        <v>91.0509434</v>
      </c>
      <c r="AQ1233" s="9">
        <f t="shared" si="3850"/>
        <v>36.76792453</v>
      </c>
      <c r="AR1233" s="9">
        <f t="shared" si="3850"/>
        <v>41.99056604</v>
      </c>
      <c r="AS1233" s="9">
        <f t="shared" si="2233"/>
        <v>78.75849057</v>
      </c>
      <c r="AT1233" s="9">
        <f t="shared" ref="AT1233:AV1233" si="3851">AJ1233/$AF1233</f>
        <v>9.201886792</v>
      </c>
      <c r="AU1233" s="9">
        <f t="shared" si="3851"/>
        <v>2.983018868</v>
      </c>
      <c r="AV1233" s="9">
        <f t="shared" si="3851"/>
        <v>0.1075471698</v>
      </c>
      <c r="AW1233" s="9">
        <f t="shared" si="2235"/>
        <v>3.090566038</v>
      </c>
      <c r="AX1233" s="9">
        <f t="shared" ref="AX1233:AY1233" si="3852">AM1233/$AF1233</f>
        <v>0.8867924528</v>
      </c>
      <c r="AY1233" s="9">
        <f t="shared" si="3852"/>
        <v>0.2264150943</v>
      </c>
      <c r="AZ1233" s="9">
        <f>VLOOKUP(A1233,Jogos!A:BN,58,0)</f>
        <v>31.34</v>
      </c>
      <c r="BA1233" s="9">
        <f>VLOOKUP(A1233,Jogos!A:BN,59,0)</f>
        <v>21.79</v>
      </c>
      <c r="BB1233" s="9">
        <f>VLOOKUP(A1233,Jogos!A:BN,60,0)</f>
        <v>56</v>
      </c>
      <c r="BC1233" s="9">
        <f>VLOOKUP(A1233,Jogos!A:BN,61,0)</f>
        <v>32.65</v>
      </c>
      <c r="BD1233" s="9">
        <f>VLOOKUP(A1233,Jogos!A:BN,62,0)</f>
        <v>676.65</v>
      </c>
      <c r="BE1233" s="9">
        <f>VLOOKUP(A1233,Jogos!A:BN,63,0)</f>
        <v>1.775</v>
      </c>
      <c r="BF1233" s="9">
        <f>VLOOKUP(A1233,Jogos!A:BN,64,0)</f>
        <v>25.61</v>
      </c>
      <c r="BG1233" s="9">
        <f>VLOOKUP(A1233,Jogos!A:BN,65,0)</f>
        <v>46.015</v>
      </c>
      <c r="BH1233" s="9">
        <f>VLOOKUP(A1233,Jogos!A:BN,66,0)</f>
        <v>30.26</v>
      </c>
      <c r="BI1233" s="9"/>
      <c r="BJ1233" s="9"/>
    </row>
    <row r="1234">
      <c r="A1234" s="2">
        <v>42.0</v>
      </c>
      <c r="B1234" s="11" t="s">
        <v>562</v>
      </c>
      <c r="C1234" s="2" t="s">
        <v>61</v>
      </c>
      <c r="D1234" s="3">
        <v>45833.0</v>
      </c>
      <c r="E1234" s="4">
        <v>0.625</v>
      </c>
      <c r="F1234" s="5" t="str">
        <f>VLOOKUP(A1234,Jogos!A:N,10,0)</f>
        <v>Afternoon</v>
      </c>
      <c r="G1234" s="2" t="s">
        <v>62</v>
      </c>
      <c r="H1234" s="6" t="str">
        <f>VLOOKUP(A1234,Jogos!A:L,12,0)</f>
        <v>Open</v>
      </c>
      <c r="I1234" s="6" t="str">
        <f>VLOOKUP(G1234,'Estádios e Cidades'!A:B,2,0)</f>
        <v>Miami Gardens - Flórida</v>
      </c>
      <c r="J1234" s="2" t="s">
        <v>688</v>
      </c>
      <c r="K1234" s="2" t="str">
        <f>VLOOKUP(J1234,Equipes!A:F,6,0)</f>
        <v>Tropical</v>
      </c>
      <c r="L1234" s="2">
        <f>VLOOKUP(J1234,Equipes!A:C,3,0)</f>
        <v>18</v>
      </c>
      <c r="M1234" s="2" t="str">
        <f t="shared" si="4"/>
        <v>Group</v>
      </c>
      <c r="N1234" s="2" t="s">
        <v>563</v>
      </c>
      <c r="O1234" s="2">
        <f>VLOOKUP(N1234,Equipes!A:C,3,0)</f>
        <v>4</v>
      </c>
      <c r="P1234" s="2" t="str">
        <f t="shared" si="5"/>
        <v>Semi-final</v>
      </c>
      <c r="Q1234" s="2">
        <f t="shared" si="6"/>
        <v>14</v>
      </c>
      <c r="R1234" s="2" t="str">
        <f>VLOOKUP(J1234,Equipes!A:B,2,0)</f>
        <v>Mamelodi</v>
      </c>
      <c r="S1234" s="6" t="s">
        <v>719</v>
      </c>
      <c r="T1234" s="7">
        <v>9.0</v>
      </c>
      <c r="U1234" s="7" t="s">
        <v>720</v>
      </c>
      <c r="V1234" s="7" t="str">
        <f>VLOOKUP(U1234,Jogadores!B:C,2,0)</f>
        <v>FW</v>
      </c>
      <c r="W1234" s="8">
        <f>VLOOKUP(U1234,Jogadores!B:D,3,0)</f>
        <v>23.08493151</v>
      </c>
      <c r="X1234" s="7">
        <v>60.0</v>
      </c>
      <c r="Y1234" s="7">
        <f t="shared" si="3843"/>
        <v>98</v>
      </c>
      <c r="Z1234" s="7">
        <f>VLOOKUP(A1234,Jogos!A:L,3,0)</f>
        <v>49</v>
      </c>
      <c r="AA1234" s="7">
        <f t="shared" si="2229"/>
        <v>0</v>
      </c>
      <c r="AB1234" s="7">
        <f>VLOOKUP(A1234,Jogos!A:L,4,0)</f>
        <v>53</v>
      </c>
      <c r="AC1234" s="7">
        <f t="shared" si="2230"/>
        <v>38</v>
      </c>
      <c r="AD1234" s="7"/>
      <c r="AE1234" s="7"/>
      <c r="AF1234" s="7">
        <f t="shared" si="2231"/>
        <v>38</v>
      </c>
      <c r="AG1234" s="7">
        <v>3801.9</v>
      </c>
      <c r="AH1234" s="7">
        <v>1389.3</v>
      </c>
      <c r="AI1234" s="7">
        <v>1455.3</v>
      </c>
      <c r="AJ1234" s="7">
        <v>607.8</v>
      </c>
      <c r="AK1234" s="7">
        <v>262.7</v>
      </c>
      <c r="AL1234" s="7">
        <v>86.9</v>
      </c>
      <c r="AM1234" s="7">
        <v>49.0</v>
      </c>
      <c r="AN1234" s="7">
        <v>25.0</v>
      </c>
      <c r="AO1234" s="7">
        <v>29.4</v>
      </c>
      <c r="AP1234" s="9">
        <f t="shared" ref="AP1234:AR1234" si="3853">AG1234/$AF1234</f>
        <v>100.05</v>
      </c>
      <c r="AQ1234" s="9">
        <f t="shared" si="3853"/>
        <v>36.56052632</v>
      </c>
      <c r="AR1234" s="9">
        <f t="shared" si="3853"/>
        <v>38.29736842</v>
      </c>
      <c r="AS1234" s="9">
        <f t="shared" si="2233"/>
        <v>74.85789474</v>
      </c>
      <c r="AT1234" s="9">
        <f t="shared" ref="AT1234:AV1234" si="3854">AJ1234/$AF1234</f>
        <v>15.99473684</v>
      </c>
      <c r="AU1234" s="9">
        <f t="shared" si="3854"/>
        <v>6.913157895</v>
      </c>
      <c r="AV1234" s="9">
        <f t="shared" si="3854"/>
        <v>2.286842105</v>
      </c>
      <c r="AW1234" s="9">
        <f t="shared" si="2235"/>
        <v>9.2</v>
      </c>
      <c r="AX1234" s="9">
        <f t="shared" ref="AX1234:AY1234" si="3855">AM1234/$AF1234</f>
        <v>1.289473684</v>
      </c>
      <c r="AY1234" s="9">
        <f t="shared" si="3855"/>
        <v>0.6578947368</v>
      </c>
      <c r="AZ1234" s="9">
        <f>VLOOKUP(A1234,Jogos!A:BN,58,0)</f>
        <v>31.34</v>
      </c>
      <c r="BA1234" s="9">
        <f>VLOOKUP(A1234,Jogos!A:BN,59,0)</f>
        <v>21.79</v>
      </c>
      <c r="BB1234" s="9">
        <f>VLOOKUP(A1234,Jogos!A:BN,60,0)</f>
        <v>56</v>
      </c>
      <c r="BC1234" s="9">
        <f>VLOOKUP(A1234,Jogos!A:BN,61,0)</f>
        <v>32.65</v>
      </c>
      <c r="BD1234" s="9">
        <f>VLOOKUP(A1234,Jogos!A:BN,62,0)</f>
        <v>676.65</v>
      </c>
      <c r="BE1234" s="9">
        <f>VLOOKUP(A1234,Jogos!A:BN,63,0)</f>
        <v>1.775</v>
      </c>
      <c r="BF1234" s="9">
        <f>VLOOKUP(A1234,Jogos!A:BN,64,0)</f>
        <v>25.61</v>
      </c>
      <c r="BG1234" s="9">
        <f>VLOOKUP(A1234,Jogos!A:BN,65,0)</f>
        <v>46.015</v>
      </c>
      <c r="BH1234" s="9">
        <f>VLOOKUP(A1234,Jogos!A:BN,66,0)</f>
        <v>30.26</v>
      </c>
      <c r="BI1234" s="9"/>
      <c r="BJ1234" s="9"/>
    </row>
    <row r="1235">
      <c r="A1235" s="2">
        <v>42.0</v>
      </c>
      <c r="B1235" s="11" t="s">
        <v>562</v>
      </c>
      <c r="C1235" s="2" t="s">
        <v>61</v>
      </c>
      <c r="D1235" s="3">
        <v>45833.0</v>
      </c>
      <c r="E1235" s="4">
        <v>0.625</v>
      </c>
      <c r="F1235" s="5" t="str">
        <f>VLOOKUP(A1235,Jogos!A:N,10,0)</f>
        <v>Afternoon</v>
      </c>
      <c r="G1235" s="2" t="s">
        <v>62</v>
      </c>
      <c r="H1235" s="6" t="str">
        <f>VLOOKUP(A1235,Jogos!A:L,12,0)</f>
        <v>Open</v>
      </c>
      <c r="I1235" s="6" t="str">
        <f>VLOOKUP(G1235,'Estádios e Cidades'!A:B,2,0)</f>
        <v>Miami Gardens - Flórida</v>
      </c>
      <c r="J1235" s="2" t="s">
        <v>688</v>
      </c>
      <c r="K1235" s="2" t="str">
        <f>VLOOKUP(J1235,Equipes!A:F,6,0)</f>
        <v>Tropical</v>
      </c>
      <c r="L1235" s="2">
        <f>VLOOKUP(J1235,Equipes!A:C,3,0)</f>
        <v>18</v>
      </c>
      <c r="M1235" s="2" t="str">
        <f t="shared" si="4"/>
        <v>Group</v>
      </c>
      <c r="N1235" s="2" t="s">
        <v>563</v>
      </c>
      <c r="O1235" s="2">
        <f>VLOOKUP(N1235,Equipes!A:C,3,0)</f>
        <v>4</v>
      </c>
      <c r="P1235" s="2" t="str">
        <f t="shared" si="5"/>
        <v>Semi-final</v>
      </c>
      <c r="Q1235" s="2">
        <f t="shared" si="6"/>
        <v>14</v>
      </c>
      <c r="R1235" s="2" t="str">
        <f>VLOOKUP(J1235,Equipes!A:B,2,0)</f>
        <v>Mamelodi</v>
      </c>
      <c r="S1235" s="6" t="s">
        <v>1152</v>
      </c>
      <c r="T1235" s="7">
        <v>16.0</v>
      </c>
      <c r="U1235" s="7" t="s">
        <v>1153</v>
      </c>
      <c r="V1235" s="7" t="str">
        <f>VLOOKUP(U1235,Jogadores!B:C,2,0)</f>
        <v>FW</v>
      </c>
      <c r="W1235" s="8">
        <f>VLOOKUP(U1235,Jogadores!B:D,3,0)</f>
        <v>19.35616438</v>
      </c>
      <c r="X1235" s="7">
        <v>85.0</v>
      </c>
      <c r="Y1235" s="7">
        <f t="shared" si="3843"/>
        <v>98</v>
      </c>
      <c r="Z1235" s="7">
        <f>VLOOKUP(A1235,Jogos!A:L,3,0)</f>
        <v>49</v>
      </c>
      <c r="AA1235" s="7">
        <f t="shared" si="2229"/>
        <v>0</v>
      </c>
      <c r="AB1235" s="7">
        <f>VLOOKUP(A1235,Jogos!A:L,4,0)</f>
        <v>53</v>
      </c>
      <c r="AC1235" s="7">
        <f t="shared" si="2230"/>
        <v>13</v>
      </c>
      <c r="AD1235" s="7"/>
      <c r="AE1235" s="7"/>
      <c r="AF1235" s="7">
        <f t="shared" si="2231"/>
        <v>13</v>
      </c>
      <c r="AG1235" s="7">
        <v>1414.0</v>
      </c>
      <c r="AH1235" s="7">
        <v>538.0</v>
      </c>
      <c r="AI1235" s="7">
        <v>565.1</v>
      </c>
      <c r="AJ1235" s="7">
        <v>194.8</v>
      </c>
      <c r="AK1235" s="7">
        <v>84.1</v>
      </c>
      <c r="AL1235" s="7">
        <v>32.0</v>
      </c>
      <c r="AM1235" s="7">
        <v>19.0</v>
      </c>
      <c r="AN1235" s="7">
        <v>7.0</v>
      </c>
      <c r="AO1235" s="7">
        <v>29.3</v>
      </c>
      <c r="AP1235" s="9">
        <f t="shared" ref="AP1235:AR1235" si="3856">AG1235/$AF1235</f>
        <v>108.7692308</v>
      </c>
      <c r="AQ1235" s="9">
        <f t="shared" si="3856"/>
        <v>41.38461538</v>
      </c>
      <c r="AR1235" s="9">
        <f t="shared" si="3856"/>
        <v>43.46923077</v>
      </c>
      <c r="AS1235" s="9">
        <f t="shared" si="2233"/>
        <v>84.85384615</v>
      </c>
      <c r="AT1235" s="9">
        <f t="shared" ref="AT1235:AV1235" si="3857">AJ1235/$AF1235</f>
        <v>14.98461538</v>
      </c>
      <c r="AU1235" s="9">
        <f t="shared" si="3857"/>
        <v>6.469230769</v>
      </c>
      <c r="AV1235" s="9">
        <f t="shared" si="3857"/>
        <v>2.461538462</v>
      </c>
      <c r="AW1235" s="9">
        <f t="shared" si="2235"/>
        <v>8.930769231</v>
      </c>
      <c r="AX1235" s="9">
        <f t="shared" ref="AX1235:AY1235" si="3858">AM1235/$AF1235</f>
        <v>1.461538462</v>
      </c>
      <c r="AY1235" s="9">
        <f t="shared" si="3858"/>
        <v>0.5384615385</v>
      </c>
      <c r="AZ1235" s="9">
        <f>VLOOKUP(A1235,Jogos!A:BN,58,0)</f>
        <v>31.34</v>
      </c>
      <c r="BA1235" s="9">
        <f>VLOOKUP(A1235,Jogos!A:BN,59,0)</f>
        <v>21.79</v>
      </c>
      <c r="BB1235" s="9">
        <f>VLOOKUP(A1235,Jogos!A:BN,60,0)</f>
        <v>56</v>
      </c>
      <c r="BC1235" s="9">
        <f>VLOOKUP(A1235,Jogos!A:BN,61,0)</f>
        <v>32.65</v>
      </c>
      <c r="BD1235" s="9">
        <f>VLOOKUP(A1235,Jogos!A:BN,62,0)</f>
        <v>676.65</v>
      </c>
      <c r="BE1235" s="9">
        <f>VLOOKUP(A1235,Jogos!A:BN,63,0)</f>
        <v>1.775</v>
      </c>
      <c r="BF1235" s="9">
        <f>VLOOKUP(A1235,Jogos!A:BN,64,0)</f>
        <v>25.61</v>
      </c>
      <c r="BG1235" s="9">
        <f>VLOOKUP(A1235,Jogos!A:BN,65,0)</f>
        <v>46.015</v>
      </c>
      <c r="BH1235" s="9">
        <f>VLOOKUP(A1235,Jogos!A:BN,66,0)</f>
        <v>30.26</v>
      </c>
      <c r="BI1235" s="9"/>
      <c r="BJ1235" s="9"/>
    </row>
    <row r="1236">
      <c r="A1236" s="2">
        <v>42.0</v>
      </c>
      <c r="B1236" s="11" t="s">
        <v>562</v>
      </c>
      <c r="C1236" s="2" t="s">
        <v>61</v>
      </c>
      <c r="D1236" s="3">
        <v>45833.0</v>
      </c>
      <c r="E1236" s="4">
        <v>0.625</v>
      </c>
      <c r="F1236" s="5" t="str">
        <f>VLOOKUP(A1236,Jogos!A:N,10,0)</f>
        <v>Afternoon</v>
      </c>
      <c r="G1236" s="2" t="s">
        <v>62</v>
      </c>
      <c r="H1236" s="6" t="str">
        <f>VLOOKUP(A1236,Jogos!A:L,12,0)</f>
        <v>Open</v>
      </c>
      <c r="I1236" s="6" t="str">
        <f>VLOOKUP(G1236,'Estádios e Cidades'!A:B,2,0)</f>
        <v>Miami Gardens - Flórida</v>
      </c>
      <c r="J1236" s="2" t="s">
        <v>688</v>
      </c>
      <c r="K1236" s="2" t="str">
        <f>VLOOKUP(J1236,Equipes!A:F,6,0)</f>
        <v>Tropical</v>
      </c>
      <c r="L1236" s="2">
        <f>VLOOKUP(J1236,Equipes!A:C,3,0)</f>
        <v>18</v>
      </c>
      <c r="M1236" s="2" t="str">
        <f t="shared" si="4"/>
        <v>Group</v>
      </c>
      <c r="N1236" s="2" t="s">
        <v>563</v>
      </c>
      <c r="O1236" s="2">
        <f>VLOOKUP(N1236,Equipes!A:C,3,0)</f>
        <v>4</v>
      </c>
      <c r="P1236" s="2" t="str">
        <f t="shared" si="5"/>
        <v>Semi-final</v>
      </c>
      <c r="Q1236" s="2">
        <f t="shared" si="6"/>
        <v>14</v>
      </c>
      <c r="R1236" s="2" t="str">
        <f>VLOOKUP(J1236,Equipes!A:B,2,0)</f>
        <v>Mamelodi</v>
      </c>
      <c r="S1236" s="6" t="s">
        <v>1303</v>
      </c>
      <c r="T1236" s="7">
        <v>38.0</v>
      </c>
      <c r="U1236" s="7" t="s">
        <v>1304</v>
      </c>
      <c r="V1236" s="7" t="str">
        <f>VLOOKUP(U1236,Jogadores!B:C,2,0)</f>
        <v>FW</v>
      </c>
      <c r="W1236" s="8">
        <f>VLOOKUP(U1236,Jogadores!B:D,3,0)</f>
        <v>31.78356164</v>
      </c>
      <c r="X1236" s="7">
        <v>77.0</v>
      </c>
      <c r="Y1236" s="7">
        <f t="shared" si="3843"/>
        <v>98</v>
      </c>
      <c r="Z1236" s="7">
        <f>VLOOKUP(A1236,Jogos!A:L,3,0)</f>
        <v>49</v>
      </c>
      <c r="AA1236" s="7">
        <f t="shared" si="2229"/>
        <v>0</v>
      </c>
      <c r="AB1236" s="7">
        <f>VLOOKUP(A1236,Jogos!A:L,4,0)</f>
        <v>53</v>
      </c>
      <c r="AC1236" s="7">
        <f t="shared" si="2230"/>
        <v>21</v>
      </c>
      <c r="AD1236" s="7"/>
      <c r="AE1236" s="7"/>
      <c r="AF1236" s="7">
        <f t="shared" si="2231"/>
        <v>21</v>
      </c>
      <c r="AG1236" s="7">
        <v>1821.6</v>
      </c>
      <c r="AH1236" s="7">
        <v>916.7</v>
      </c>
      <c r="AI1236" s="7">
        <v>636.1</v>
      </c>
      <c r="AJ1236" s="7">
        <v>192.5</v>
      </c>
      <c r="AK1236" s="7">
        <v>69.0</v>
      </c>
      <c r="AL1236" s="7">
        <v>7.3</v>
      </c>
      <c r="AM1236" s="7">
        <v>16.0</v>
      </c>
      <c r="AN1236" s="7">
        <v>4.0</v>
      </c>
      <c r="AO1236" s="7">
        <v>26.1</v>
      </c>
      <c r="AP1236" s="9">
        <f t="shared" ref="AP1236:AR1236" si="3859">AG1236/$AF1236</f>
        <v>86.74285714</v>
      </c>
      <c r="AQ1236" s="9">
        <f t="shared" si="3859"/>
        <v>43.65238095</v>
      </c>
      <c r="AR1236" s="9">
        <f t="shared" si="3859"/>
        <v>30.29047619</v>
      </c>
      <c r="AS1236" s="9">
        <f t="shared" si="2233"/>
        <v>73.94285714</v>
      </c>
      <c r="AT1236" s="9">
        <f t="shared" ref="AT1236:AV1236" si="3860">AJ1236/$AF1236</f>
        <v>9.166666667</v>
      </c>
      <c r="AU1236" s="9">
        <f t="shared" si="3860"/>
        <v>3.285714286</v>
      </c>
      <c r="AV1236" s="9">
        <f t="shared" si="3860"/>
        <v>0.3476190476</v>
      </c>
      <c r="AW1236" s="9">
        <f t="shared" si="2235"/>
        <v>3.633333333</v>
      </c>
      <c r="AX1236" s="9">
        <f t="shared" ref="AX1236:AY1236" si="3861">AM1236/$AF1236</f>
        <v>0.7619047619</v>
      </c>
      <c r="AY1236" s="9">
        <f t="shared" si="3861"/>
        <v>0.1904761905</v>
      </c>
      <c r="AZ1236" s="9">
        <f>VLOOKUP(A1236,Jogos!A:BN,58,0)</f>
        <v>31.34</v>
      </c>
      <c r="BA1236" s="9">
        <f>VLOOKUP(A1236,Jogos!A:BN,59,0)</f>
        <v>21.79</v>
      </c>
      <c r="BB1236" s="9">
        <f>VLOOKUP(A1236,Jogos!A:BN,60,0)</f>
        <v>56</v>
      </c>
      <c r="BC1236" s="9">
        <f>VLOOKUP(A1236,Jogos!A:BN,61,0)</f>
        <v>32.65</v>
      </c>
      <c r="BD1236" s="9">
        <f>VLOOKUP(A1236,Jogos!A:BN,62,0)</f>
        <v>676.65</v>
      </c>
      <c r="BE1236" s="9">
        <f>VLOOKUP(A1236,Jogos!A:BN,63,0)</f>
        <v>1.775</v>
      </c>
      <c r="BF1236" s="9">
        <f>VLOOKUP(A1236,Jogos!A:BN,64,0)</f>
        <v>25.61</v>
      </c>
      <c r="BG1236" s="9">
        <f>VLOOKUP(A1236,Jogos!A:BN,65,0)</f>
        <v>46.015</v>
      </c>
      <c r="BH1236" s="9">
        <f>VLOOKUP(A1236,Jogos!A:BN,66,0)</f>
        <v>30.26</v>
      </c>
      <c r="BI1236" s="9"/>
      <c r="BJ1236" s="9"/>
    </row>
    <row r="1237" hidden="1">
      <c r="A1237" s="10">
        <v>42.0</v>
      </c>
      <c r="B1237" s="11" t="s">
        <v>562</v>
      </c>
      <c r="C1237" s="2" t="s">
        <v>61</v>
      </c>
      <c r="D1237" s="12">
        <v>45833.0</v>
      </c>
      <c r="E1237" s="13">
        <v>0.625</v>
      </c>
      <c r="F1237" s="5" t="str">
        <f>VLOOKUP(A1237,Jogos!A:N,10,0)</f>
        <v>Afternoon</v>
      </c>
      <c r="G1237" s="11" t="s">
        <v>62</v>
      </c>
      <c r="H1237" s="6" t="str">
        <f>VLOOKUP(A1237,Jogos!A:L,12,0)</f>
        <v>Open</v>
      </c>
      <c r="I1237" s="6" t="str">
        <f>VLOOKUP(G1237,'Estádios e Cidades'!A:B,2,0)</f>
        <v>Miami Gardens - Flórida</v>
      </c>
      <c r="J1237" s="11" t="s">
        <v>563</v>
      </c>
      <c r="K1237" s="2" t="str">
        <f>VLOOKUP(J1237,Equipes!A:F,6,0)</f>
        <v>Tropical</v>
      </c>
      <c r="L1237" s="2">
        <f>VLOOKUP(J1237,Equipes!A:C,3,0)</f>
        <v>4</v>
      </c>
      <c r="M1237" s="2" t="str">
        <f t="shared" si="4"/>
        <v>Semi-final</v>
      </c>
      <c r="N1237" s="11" t="s">
        <v>688</v>
      </c>
      <c r="O1237" s="2">
        <f>VLOOKUP(N1237,Equipes!A:C,3,0)</f>
        <v>18</v>
      </c>
      <c r="P1237" s="2" t="str">
        <f t="shared" si="5"/>
        <v>Group</v>
      </c>
      <c r="Q1237" s="2">
        <f t="shared" si="6"/>
        <v>-14</v>
      </c>
      <c r="R1237" s="2" t="str">
        <f>VLOOKUP(J1237,Equipes!A:B,2,0)</f>
        <v>Fluminense</v>
      </c>
      <c r="S1237" s="14" t="s">
        <v>565</v>
      </c>
      <c r="T1237" s="7">
        <v>2.0</v>
      </c>
      <c r="U1237" s="7" t="s">
        <v>566</v>
      </c>
      <c r="V1237" s="7" t="str">
        <f>VLOOKUP(U1237,Jogadores!B:C,2,0)</f>
        <v>DF</v>
      </c>
      <c r="W1237" s="8">
        <f>VLOOKUP(U1237,Jogadores!B:D,3,0)</f>
        <v>35.16712329</v>
      </c>
      <c r="X1237" s="7">
        <v>0.0</v>
      </c>
      <c r="Y1237" s="7">
        <f t="shared" si="3843"/>
        <v>98</v>
      </c>
      <c r="Z1237" s="7">
        <f>VLOOKUP(A1237,Jogos!A:L,3,0)</f>
        <v>49</v>
      </c>
      <c r="AA1237" s="7">
        <f t="shared" si="2229"/>
        <v>49</v>
      </c>
      <c r="AB1237" s="7">
        <f>VLOOKUP(A1237,Jogos!A:L,4,0)</f>
        <v>53</v>
      </c>
      <c r="AC1237" s="7">
        <f t="shared" si="2230"/>
        <v>53</v>
      </c>
      <c r="AD1237" s="7"/>
      <c r="AE1237" s="7"/>
      <c r="AF1237" s="7">
        <f t="shared" si="2231"/>
        <v>102</v>
      </c>
      <c r="AG1237" s="7">
        <v>8654.4</v>
      </c>
      <c r="AH1237" s="7">
        <v>4104.2</v>
      </c>
      <c r="AI1237" s="7">
        <v>3038.6</v>
      </c>
      <c r="AJ1237" s="7">
        <v>923.7</v>
      </c>
      <c r="AK1237" s="7">
        <v>481.7</v>
      </c>
      <c r="AL1237" s="7">
        <v>106.3</v>
      </c>
      <c r="AM1237" s="7">
        <v>76.0</v>
      </c>
      <c r="AN1237" s="7">
        <v>35.0</v>
      </c>
      <c r="AO1237" s="7">
        <v>30.5</v>
      </c>
      <c r="AP1237" s="9">
        <f t="shared" ref="AP1237:AR1237" si="3862">AG1237/$AF1237</f>
        <v>84.84705882</v>
      </c>
      <c r="AQ1237" s="9">
        <f t="shared" si="3862"/>
        <v>40.2372549</v>
      </c>
      <c r="AR1237" s="9">
        <f t="shared" si="3862"/>
        <v>29.79019608</v>
      </c>
      <c r="AS1237" s="9">
        <f t="shared" si="2233"/>
        <v>70.02745098</v>
      </c>
      <c r="AT1237" s="9">
        <f t="shared" ref="AT1237:AV1237" si="3863">AJ1237/$AF1237</f>
        <v>9.055882353</v>
      </c>
      <c r="AU1237" s="9">
        <f t="shared" si="3863"/>
        <v>4.72254902</v>
      </c>
      <c r="AV1237" s="9">
        <f t="shared" si="3863"/>
        <v>1.042156863</v>
      </c>
      <c r="AW1237" s="9">
        <f t="shared" si="2235"/>
        <v>5.764705882</v>
      </c>
      <c r="AX1237" s="9">
        <f t="shared" ref="AX1237:AY1237" si="3864">AM1237/$AF1237</f>
        <v>0.7450980392</v>
      </c>
      <c r="AY1237" s="9">
        <f t="shared" si="3864"/>
        <v>0.3431372549</v>
      </c>
      <c r="AZ1237" s="9">
        <f>VLOOKUP(A1237,Jogos!A:BN,58,0)</f>
        <v>31.34</v>
      </c>
      <c r="BA1237" s="9">
        <f>VLOOKUP(A1237,Jogos!A:BN,59,0)</f>
        <v>21.79</v>
      </c>
      <c r="BB1237" s="9">
        <f>VLOOKUP(A1237,Jogos!A:BN,60,0)</f>
        <v>56</v>
      </c>
      <c r="BC1237" s="9">
        <f>VLOOKUP(A1237,Jogos!A:BN,61,0)</f>
        <v>32.65</v>
      </c>
      <c r="BD1237" s="9">
        <f>VLOOKUP(A1237,Jogos!A:BN,62,0)</f>
        <v>676.65</v>
      </c>
      <c r="BE1237" s="9">
        <f>VLOOKUP(A1237,Jogos!A:BN,63,0)</f>
        <v>1.775</v>
      </c>
      <c r="BF1237" s="9">
        <f>VLOOKUP(A1237,Jogos!A:BN,64,0)</f>
        <v>25.61</v>
      </c>
      <c r="BG1237" s="9">
        <f>VLOOKUP(A1237,Jogos!A:BN,65,0)</f>
        <v>46.015</v>
      </c>
      <c r="BH1237" s="9">
        <f>VLOOKUP(A1237,Jogos!A:BN,66,0)</f>
        <v>30.26</v>
      </c>
      <c r="BI1237" s="9"/>
      <c r="BJ1237" s="9"/>
    </row>
    <row r="1238" hidden="1">
      <c r="A1238" s="10">
        <v>42.0</v>
      </c>
      <c r="B1238" s="11" t="s">
        <v>562</v>
      </c>
      <c r="C1238" s="2" t="s">
        <v>61</v>
      </c>
      <c r="D1238" s="12">
        <v>45833.0</v>
      </c>
      <c r="E1238" s="13">
        <v>0.625</v>
      </c>
      <c r="F1238" s="5" t="str">
        <f>VLOOKUP(A1238,Jogos!A:N,10,0)</f>
        <v>Afternoon</v>
      </c>
      <c r="G1238" s="11" t="s">
        <v>62</v>
      </c>
      <c r="H1238" s="6" t="str">
        <f>VLOOKUP(A1238,Jogos!A:L,12,0)</f>
        <v>Open</v>
      </c>
      <c r="I1238" s="6" t="str">
        <f>VLOOKUP(G1238,'Estádios e Cidades'!A:B,2,0)</f>
        <v>Miami Gardens - Flórida</v>
      </c>
      <c r="J1238" s="11" t="s">
        <v>563</v>
      </c>
      <c r="K1238" s="2" t="str">
        <f>VLOOKUP(J1238,Equipes!A:F,6,0)</f>
        <v>Tropical</v>
      </c>
      <c r="L1238" s="2">
        <f>VLOOKUP(J1238,Equipes!A:C,3,0)</f>
        <v>4</v>
      </c>
      <c r="M1238" s="2" t="str">
        <f t="shared" si="4"/>
        <v>Semi-final</v>
      </c>
      <c r="N1238" s="11" t="s">
        <v>688</v>
      </c>
      <c r="O1238" s="2">
        <f>VLOOKUP(N1238,Equipes!A:C,3,0)</f>
        <v>18</v>
      </c>
      <c r="P1238" s="2" t="str">
        <f t="shared" si="5"/>
        <v>Group</v>
      </c>
      <c r="Q1238" s="2">
        <f t="shared" si="6"/>
        <v>-14</v>
      </c>
      <c r="R1238" s="2" t="str">
        <f>VLOOKUP(J1238,Equipes!A:B,2,0)</f>
        <v>Fluminense</v>
      </c>
      <c r="S1238" s="6" t="s">
        <v>1305</v>
      </c>
      <c r="T1238" s="7">
        <v>4.0</v>
      </c>
      <c r="U1238" s="7" t="s">
        <v>1306</v>
      </c>
      <c r="V1238" s="7" t="str">
        <f>VLOOKUP(U1238,Jogadores!B:C,2,0)</f>
        <v>DF</v>
      </c>
      <c r="W1238" s="8">
        <f>VLOOKUP(U1238,Jogadores!B:D,3,0)</f>
        <v>28.6739726</v>
      </c>
      <c r="X1238" s="7">
        <v>0.0</v>
      </c>
      <c r="Y1238" s="7">
        <f t="shared" si="3843"/>
        <v>98</v>
      </c>
      <c r="Z1238" s="7">
        <f>VLOOKUP(A1238,Jogos!A:L,3,0)</f>
        <v>49</v>
      </c>
      <c r="AA1238" s="7">
        <f t="shared" si="2229"/>
        <v>49</v>
      </c>
      <c r="AB1238" s="7">
        <f>VLOOKUP(A1238,Jogos!A:L,4,0)</f>
        <v>53</v>
      </c>
      <c r="AC1238" s="7">
        <f t="shared" si="2230"/>
        <v>53</v>
      </c>
      <c r="AD1238" s="7"/>
      <c r="AE1238" s="7"/>
      <c r="AF1238" s="7">
        <f t="shared" si="2231"/>
        <v>102</v>
      </c>
      <c r="AG1238" s="7">
        <v>8527.9</v>
      </c>
      <c r="AH1238" s="7">
        <v>4489.2</v>
      </c>
      <c r="AI1238" s="7">
        <v>2783.2</v>
      </c>
      <c r="AJ1238" s="7">
        <v>761.9</v>
      </c>
      <c r="AK1238" s="7">
        <v>345.4</v>
      </c>
      <c r="AL1238" s="7">
        <v>148.1</v>
      </c>
      <c r="AM1238" s="7">
        <v>70.0</v>
      </c>
      <c r="AN1238" s="7">
        <v>31.0</v>
      </c>
      <c r="AO1238" s="7">
        <v>33.1</v>
      </c>
      <c r="AP1238" s="9">
        <f t="shared" ref="AP1238:AR1238" si="3865">AG1238/$AF1238</f>
        <v>83.60686275</v>
      </c>
      <c r="AQ1238" s="9">
        <f t="shared" si="3865"/>
        <v>44.01176471</v>
      </c>
      <c r="AR1238" s="9">
        <f t="shared" si="3865"/>
        <v>27.28627451</v>
      </c>
      <c r="AS1238" s="9">
        <f t="shared" si="2233"/>
        <v>71.29803922</v>
      </c>
      <c r="AT1238" s="9">
        <f t="shared" ref="AT1238:AV1238" si="3866">AJ1238/$AF1238</f>
        <v>7.469607843</v>
      </c>
      <c r="AU1238" s="9">
        <f t="shared" si="3866"/>
        <v>3.38627451</v>
      </c>
      <c r="AV1238" s="9">
        <f t="shared" si="3866"/>
        <v>1.451960784</v>
      </c>
      <c r="AW1238" s="9">
        <f t="shared" si="2235"/>
        <v>4.838235294</v>
      </c>
      <c r="AX1238" s="9">
        <f t="shared" ref="AX1238:AY1238" si="3867">AM1238/$AF1238</f>
        <v>0.6862745098</v>
      </c>
      <c r="AY1238" s="9">
        <f t="shared" si="3867"/>
        <v>0.3039215686</v>
      </c>
      <c r="AZ1238" s="9">
        <f>VLOOKUP(A1238,Jogos!A:BN,58,0)</f>
        <v>31.34</v>
      </c>
      <c r="BA1238" s="9">
        <f>VLOOKUP(A1238,Jogos!A:BN,59,0)</f>
        <v>21.79</v>
      </c>
      <c r="BB1238" s="9">
        <f>VLOOKUP(A1238,Jogos!A:BN,60,0)</f>
        <v>56</v>
      </c>
      <c r="BC1238" s="9">
        <f>VLOOKUP(A1238,Jogos!A:BN,61,0)</f>
        <v>32.65</v>
      </c>
      <c r="BD1238" s="9">
        <f>VLOOKUP(A1238,Jogos!A:BN,62,0)</f>
        <v>676.65</v>
      </c>
      <c r="BE1238" s="9">
        <f>VLOOKUP(A1238,Jogos!A:BN,63,0)</f>
        <v>1.775</v>
      </c>
      <c r="BF1238" s="9">
        <f>VLOOKUP(A1238,Jogos!A:BN,64,0)</f>
        <v>25.61</v>
      </c>
      <c r="BG1238" s="9">
        <f>VLOOKUP(A1238,Jogos!A:BN,65,0)</f>
        <v>46.015</v>
      </c>
      <c r="BH1238" s="9">
        <f>VLOOKUP(A1238,Jogos!A:BN,66,0)</f>
        <v>30.26</v>
      </c>
      <c r="BI1238" s="9"/>
      <c r="BJ1238" s="9"/>
    </row>
    <row r="1239" hidden="1">
      <c r="A1239" s="10">
        <v>42.0</v>
      </c>
      <c r="B1239" s="11" t="s">
        <v>562</v>
      </c>
      <c r="C1239" s="2" t="s">
        <v>61</v>
      </c>
      <c r="D1239" s="12">
        <v>45833.0</v>
      </c>
      <c r="E1239" s="13">
        <v>0.625</v>
      </c>
      <c r="F1239" s="5" t="str">
        <f>VLOOKUP(A1239,Jogos!A:N,10,0)</f>
        <v>Afternoon</v>
      </c>
      <c r="G1239" s="11" t="s">
        <v>62</v>
      </c>
      <c r="H1239" s="6" t="str">
        <f>VLOOKUP(A1239,Jogos!A:L,12,0)</f>
        <v>Open</v>
      </c>
      <c r="I1239" s="6" t="str">
        <f>VLOOKUP(G1239,'Estádios e Cidades'!A:B,2,0)</f>
        <v>Miami Gardens - Flórida</v>
      </c>
      <c r="J1239" s="11" t="s">
        <v>563</v>
      </c>
      <c r="K1239" s="2" t="str">
        <f>VLOOKUP(J1239,Equipes!A:F,6,0)</f>
        <v>Tropical</v>
      </c>
      <c r="L1239" s="2">
        <f>VLOOKUP(J1239,Equipes!A:C,3,0)</f>
        <v>4</v>
      </c>
      <c r="M1239" s="2" t="str">
        <f t="shared" si="4"/>
        <v>Semi-final</v>
      </c>
      <c r="N1239" s="11" t="s">
        <v>688</v>
      </c>
      <c r="O1239" s="2">
        <f>VLOOKUP(N1239,Equipes!A:C,3,0)</f>
        <v>18</v>
      </c>
      <c r="P1239" s="2" t="str">
        <f t="shared" si="5"/>
        <v>Group</v>
      </c>
      <c r="Q1239" s="2">
        <f t="shared" si="6"/>
        <v>-14</v>
      </c>
      <c r="R1239" s="2" t="str">
        <f>VLOOKUP(J1239,Equipes!A:B,2,0)</f>
        <v>Fluminense</v>
      </c>
      <c r="S1239" s="6" t="s">
        <v>569</v>
      </c>
      <c r="T1239" s="7">
        <v>6.0</v>
      </c>
      <c r="U1239" s="7" t="s">
        <v>570</v>
      </c>
      <c r="V1239" s="7" t="str">
        <f>VLOOKUP(U1239,Jogadores!B:C,2,0)</f>
        <v>DF</v>
      </c>
      <c r="W1239" s="8">
        <f>VLOOKUP(U1239,Jogadores!B:D,3,0)</f>
        <v>32.89041096</v>
      </c>
      <c r="X1239" s="7">
        <v>0.0</v>
      </c>
      <c r="Y1239" s="7">
        <f t="shared" si="3843"/>
        <v>98</v>
      </c>
      <c r="Z1239" s="7">
        <f>VLOOKUP(A1239,Jogos!A:L,3,0)</f>
        <v>49</v>
      </c>
      <c r="AA1239" s="7">
        <f t="shared" si="2229"/>
        <v>49</v>
      </c>
      <c r="AB1239" s="7">
        <f>VLOOKUP(A1239,Jogos!A:L,4,0)</f>
        <v>53</v>
      </c>
      <c r="AC1239" s="7">
        <f t="shared" si="2230"/>
        <v>53</v>
      </c>
      <c r="AD1239" s="7"/>
      <c r="AE1239" s="7"/>
      <c r="AF1239" s="7">
        <f t="shared" si="2231"/>
        <v>102</v>
      </c>
      <c r="AG1239" s="7">
        <v>8753.0</v>
      </c>
      <c r="AH1239" s="7">
        <v>4438.8</v>
      </c>
      <c r="AI1239" s="7">
        <v>2996.9</v>
      </c>
      <c r="AJ1239" s="7">
        <v>770.8</v>
      </c>
      <c r="AK1239" s="7">
        <v>357.4</v>
      </c>
      <c r="AL1239" s="7">
        <v>189.1</v>
      </c>
      <c r="AM1239" s="7">
        <v>62.0</v>
      </c>
      <c r="AN1239" s="7">
        <v>34.0</v>
      </c>
      <c r="AO1239" s="7">
        <v>31.2</v>
      </c>
      <c r="AP1239" s="9">
        <f t="shared" ref="AP1239:AR1239" si="3868">AG1239/$AF1239</f>
        <v>85.81372549</v>
      </c>
      <c r="AQ1239" s="9">
        <f t="shared" si="3868"/>
        <v>43.51764706</v>
      </c>
      <c r="AR1239" s="9">
        <f t="shared" si="3868"/>
        <v>29.38137255</v>
      </c>
      <c r="AS1239" s="9">
        <f t="shared" si="2233"/>
        <v>72.89901961</v>
      </c>
      <c r="AT1239" s="9">
        <f t="shared" ref="AT1239:AV1239" si="3869">AJ1239/$AF1239</f>
        <v>7.556862745</v>
      </c>
      <c r="AU1239" s="9">
        <f t="shared" si="3869"/>
        <v>3.503921569</v>
      </c>
      <c r="AV1239" s="9">
        <f t="shared" si="3869"/>
        <v>1.853921569</v>
      </c>
      <c r="AW1239" s="9">
        <f t="shared" si="2235"/>
        <v>5.357843137</v>
      </c>
      <c r="AX1239" s="9">
        <f t="shared" ref="AX1239:AY1239" si="3870">AM1239/$AF1239</f>
        <v>0.6078431373</v>
      </c>
      <c r="AY1239" s="9">
        <f t="shared" si="3870"/>
        <v>0.3333333333</v>
      </c>
      <c r="AZ1239" s="9">
        <f>VLOOKUP(A1239,Jogos!A:BN,58,0)</f>
        <v>31.34</v>
      </c>
      <c r="BA1239" s="9">
        <f>VLOOKUP(A1239,Jogos!A:BN,59,0)</f>
        <v>21.79</v>
      </c>
      <c r="BB1239" s="9">
        <f>VLOOKUP(A1239,Jogos!A:BN,60,0)</f>
        <v>56</v>
      </c>
      <c r="BC1239" s="9">
        <f>VLOOKUP(A1239,Jogos!A:BN,61,0)</f>
        <v>32.65</v>
      </c>
      <c r="BD1239" s="9">
        <f>VLOOKUP(A1239,Jogos!A:BN,62,0)</f>
        <v>676.65</v>
      </c>
      <c r="BE1239" s="9">
        <f>VLOOKUP(A1239,Jogos!A:BN,63,0)</f>
        <v>1.775</v>
      </c>
      <c r="BF1239" s="9">
        <f>VLOOKUP(A1239,Jogos!A:BN,64,0)</f>
        <v>25.61</v>
      </c>
      <c r="BG1239" s="9">
        <f>VLOOKUP(A1239,Jogos!A:BN,65,0)</f>
        <v>46.015</v>
      </c>
      <c r="BH1239" s="9">
        <f>VLOOKUP(A1239,Jogos!A:BN,66,0)</f>
        <v>30.26</v>
      </c>
      <c r="BI1239" s="9"/>
      <c r="BJ1239" s="9"/>
    </row>
    <row r="1240" hidden="1">
      <c r="A1240" s="10">
        <v>42.0</v>
      </c>
      <c r="B1240" s="11" t="s">
        <v>562</v>
      </c>
      <c r="C1240" s="2" t="s">
        <v>61</v>
      </c>
      <c r="D1240" s="12">
        <v>45833.0</v>
      </c>
      <c r="E1240" s="13">
        <v>0.625</v>
      </c>
      <c r="F1240" s="5" t="str">
        <f>VLOOKUP(A1240,Jogos!A:N,10,0)</f>
        <v>Afternoon</v>
      </c>
      <c r="G1240" s="11" t="s">
        <v>62</v>
      </c>
      <c r="H1240" s="6" t="str">
        <f>VLOOKUP(A1240,Jogos!A:L,12,0)</f>
        <v>Open</v>
      </c>
      <c r="I1240" s="6" t="str">
        <f>VLOOKUP(G1240,'Estádios e Cidades'!A:B,2,0)</f>
        <v>Miami Gardens - Flórida</v>
      </c>
      <c r="J1240" s="11" t="s">
        <v>563</v>
      </c>
      <c r="K1240" s="2" t="str">
        <f>VLOOKUP(J1240,Equipes!A:F,6,0)</f>
        <v>Tropical</v>
      </c>
      <c r="L1240" s="2">
        <f>VLOOKUP(J1240,Equipes!A:C,3,0)</f>
        <v>4</v>
      </c>
      <c r="M1240" s="2" t="str">
        <f t="shared" si="4"/>
        <v>Semi-final</v>
      </c>
      <c r="N1240" s="11" t="s">
        <v>688</v>
      </c>
      <c r="O1240" s="2">
        <f>VLOOKUP(N1240,Equipes!A:C,3,0)</f>
        <v>18</v>
      </c>
      <c r="P1240" s="2" t="str">
        <f t="shared" si="5"/>
        <v>Group</v>
      </c>
      <c r="Q1240" s="2">
        <f t="shared" si="6"/>
        <v>-14</v>
      </c>
      <c r="R1240" s="2" t="str">
        <f>VLOOKUP(J1240,Equipes!A:B,2,0)</f>
        <v>Fluminense</v>
      </c>
      <c r="S1240" s="6" t="s">
        <v>571</v>
      </c>
      <c r="T1240" s="7">
        <v>8.0</v>
      </c>
      <c r="U1240" s="7" t="s">
        <v>572</v>
      </c>
      <c r="V1240" s="7" t="str">
        <f>VLOOKUP(U1240,Jogadores!B:C,2,0)</f>
        <v>MF</v>
      </c>
      <c r="W1240" s="8">
        <f>VLOOKUP(U1240,Jogadores!B:D,3,0)</f>
        <v>23.82739726</v>
      </c>
      <c r="X1240" s="7">
        <v>0.0</v>
      </c>
      <c r="Y1240" s="7">
        <v>77.0</v>
      </c>
      <c r="Z1240" s="7">
        <f>VLOOKUP(A1240,Jogos!A:L,3,0)</f>
        <v>49</v>
      </c>
      <c r="AA1240" s="7">
        <f t="shared" si="2229"/>
        <v>49</v>
      </c>
      <c r="AB1240" s="7">
        <f>VLOOKUP(A1240,Jogos!A:L,4,0)</f>
        <v>53</v>
      </c>
      <c r="AC1240" s="7">
        <f t="shared" si="2230"/>
        <v>32</v>
      </c>
      <c r="AD1240" s="7"/>
      <c r="AE1240" s="7"/>
      <c r="AF1240" s="7">
        <f t="shared" si="2231"/>
        <v>81</v>
      </c>
      <c r="AG1240" s="7">
        <v>8399.1</v>
      </c>
      <c r="AH1240" s="7">
        <v>3060.1</v>
      </c>
      <c r="AI1240" s="7">
        <v>3435.0</v>
      </c>
      <c r="AJ1240" s="7">
        <v>1467.4</v>
      </c>
      <c r="AK1240" s="7">
        <v>375.9</v>
      </c>
      <c r="AL1240" s="7">
        <v>60.6</v>
      </c>
      <c r="AM1240" s="7">
        <v>117.0</v>
      </c>
      <c r="AN1240" s="7">
        <v>29.0</v>
      </c>
      <c r="AO1240" s="7">
        <v>27.1</v>
      </c>
      <c r="AP1240" s="9">
        <f t="shared" ref="AP1240:AR1240" si="3871">AG1240/$AF1240</f>
        <v>103.6925926</v>
      </c>
      <c r="AQ1240" s="9">
        <f t="shared" si="3871"/>
        <v>37.77901235</v>
      </c>
      <c r="AR1240" s="9">
        <f t="shared" si="3871"/>
        <v>42.40740741</v>
      </c>
      <c r="AS1240" s="9">
        <f t="shared" si="2233"/>
        <v>80.18641975</v>
      </c>
      <c r="AT1240" s="9">
        <f t="shared" ref="AT1240:AV1240" si="3872">AJ1240/$AF1240</f>
        <v>18.11604938</v>
      </c>
      <c r="AU1240" s="9">
        <f t="shared" si="3872"/>
        <v>4.640740741</v>
      </c>
      <c r="AV1240" s="9">
        <f t="shared" si="3872"/>
        <v>0.7481481481</v>
      </c>
      <c r="AW1240" s="9">
        <f t="shared" si="2235"/>
        <v>5.388888889</v>
      </c>
      <c r="AX1240" s="9">
        <f t="shared" ref="AX1240:AY1240" si="3873">AM1240/$AF1240</f>
        <v>1.444444444</v>
      </c>
      <c r="AY1240" s="9">
        <f t="shared" si="3873"/>
        <v>0.3580246914</v>
      </c>
      <c r="AZ1240" s="9">
        <f>VLOOKUP(A1240,Jogos!A:BN,58,0)</f>
        <v>31.34</v>
      </c>
      <c r="BA1240" s="9">
        <f>VLOOKUP(A1240,Jogos!A:BN,59,0)</f>
        <v>21.79</v>
      </c>
      <c r="BB1240" s="9">
        <f>VLOOKUP(A1240,Jogos!A:BN,60,0)</f>
        <v>56</v>
      </c>
      <c r="BC1240" s="9">
        <f>VLOOKUP(A1240,Jogos!A:BN,61,0)</f>
        <v>32.65</v>
      </c>
      <c r="BD1240" s="9">
        <f>VLOOKUP(A1240,Jogos!A:BN,62,0)</f>
        <v>676.65</v>
      </c>
      <c r="BE1240" s="9">
        <f>VLOOKUP(A1240,Jogos!A:BN,63,0)</f>
        <v>1.775</v>
      </c>
      <c r="BF1240" s="9">
        <f>VLOOKUP(A1240,Jogos!A:BN,64,0)</f>
        <v>25.61</v>
      </c>
      <c r="BG1240" s="9">
        <f>VLOOKUP(A1240,Jogos!A:BN,65,0)</f>
        <v>46.015</v>
      </c>
      <c r="BH1240" s="9">
        <f>VLOOKUP(A1240,Jogos!A:BN,66,0)</f>
        <v>30.26</v>
      </c>
      <c r="BI1240" s="9"/>
      <c r="BJ1240" s="9"/>
    </row>
    <row r="1241" hidden="1">
      <c r="A1241" s="10">
        <v>42.0</v>
      </c>
      <c r="B1241" s="11" t="s">
        <v>562</v>
      </c>
      <c r="C1241" s="2" t="s">
        <v>61</v>
      </c>
      <c r="D1241" s="12">
        <v>45833.0</v>
      </c>
      <c r="E1241" s="13">
        <v>0.625</v>
      </c>
      <c r="F1241" s="5" t="str">
        <f>VLOOKUP(A1241,Jogos!A:N,10,0)</f>
        <v>Afternoon</v>
      </c>
      <c r="G1241" s="11" t="s">
        <v>62</v>
      </c>
      <c r="H1241" s="6" t="str">
        <f>VLOOKUP(A1241,Jogos!A:L,12,0)</f>
        <v>Open</v>
      </c>
      <c r="I1241" s="6" t="str">
        <f>VLOOKUP(G1241,'Estádios e Cidades'!A:B,2,0)</f>
        <v>Miami Gardens - Flórida</v>
      </c>
      <c r="J1241" s="11" t="s">
        <v>563</v>
      </c>
      <c r="K1241" s="2" t="str">
        <f>VLOOKUP(J1241,Equipes!A:F,6,0)</f>
        <v>Tropical</v>
      </c>
      <c r="L1241" s="2">
        <f>VLOOKUP(J1241,Equipes!A:C,3,0)</f>
        <v>4</v>
      </c>
      <c r="M1241" s="2" t="str">
        <f t="shared" si="4"/>
        <v>Semi-final</v>
      </c>
      <c r="N1241" s="11" t="s">
        <v>688</v>
      </c>
      <c r="O1241" s="2">
        <f>VLOOKUP(N1241,Equipes!A:C,3,0)</f>
        <v>18</v>
      </c>
      <c r="P1241" s="2" t="str">
        <f t="shared" si="5"/>
        <v>Group</v>
      </c>
      <c r="Q1241" s="2">
        <f t="shared" si="6"/>
        <v>-14</v>
      </c>
      <c r="R1241" s="2" t="str">
        <f>VLOOKUP(J1241,Equipes!A:B,2,0)</f>
        <v>Fluminense</v>
      </c>
      <c r="S1241" s="6" t="s">
        <v>585</v>
      </c>
      <c r="T1241" s="7">
        <v>14.0</v>
      </c>
      <c r="U1241" s="7" t="s">
        <v>586</v>
      </c>
      <c r="V1241" s="7" t="str">
        <f>VLOOKUP(U1241,Jogadores!B:C,2,0)</f>
        <v>FW</v>
      </c>
      <c r="W1241" s="8">
        <f>VLOOKUP(U1241,Jogadores!B:D,3,0)</f>
        <v>37.50958904</v>
      </c>
      <c r="X1241" s="7">
        <v>0.0</v>
      </c>
      <c r="Y1241" s="7">
        <v>86.0</v>
      </c>
      <c r="Z1241" s="7">
        <f>VLOOKUP(A1241,Jogos!A:L,3,0)</f>
        <v>49</v>
      </c>
      <c r="AA1241" s="7">
        <f t="shared" si="2229"/>
        <v>49</v>
      </c>
      <c r="AB1241" s="7">
        <f>VLOOKUP(A1241,Jogos!A:L,4,0)</f>
        <v>53</v>
      </c>
      <c r="AC1241" s="7">
        <f t="shared" si="2230"/>
        <v>41</v>
      </c>
      <c r="AD1241" s="7"/>
      <c r="AE1241" s="7"/>
      <c r="AF1241" s="7">
        <f t="shared" si="2231"/>
        <v>90</v>
      </c>
      <c r="AG1241" s="7">
        <v>7777.6</v>
      </c>
      <c r="AH1241" s="7">
        <v>3627.3</v>
      </c>
      <c r="AI1241" s="7">
        <v>2656.8</v>
      </c>
      <c r="AJ1241" s="7">
        <v>1069.6</v>
      </c>
      <c r="AK1241" s="7">
        <v>356.1</v>
      </c>
      <c r="AL1241" s="7">
        <v>67.8</v>
      </c>
      <c r="AM1241" s="7">
        <v>92.0</v>
      </c>
      <c r="AN1241" s="7">
        <v>29.0</v>
      </c>
      <c r="AO1241" s="7">
        <v>29.0</v>
      </c>
      <c r="AP1241" s="9">
        <f t="shared" ref="AP1241:AR1241" si="3874">AG1241/$AF1241</f>
        <v>86.41777778</v>
      </c>
      <c r="AQ1241" s="9">
        <f t="shared" si="3874"/>
        <v>40.30333333</v>
      </c>
      <c r="AR1241" s="9">
        <f t="shared" si="3874"/>
        <v>29.52</v>
      </c>
      <c r="AS1241" s="9">
        <f t="shared" si="2233"/>
        <v>69.82333333</v>
      </c>
      <c r="AT1241" s="9">
        <f t="shared" ref="AT1241:AV1241" si="3875">AJ1241/$AF1241</f>
        <v>11.88444444</v>
      </c>
      <c r="AU1241" s="9">
        <f t="shared" si="3875"/>
        <v>3.956666667</v>
      </c>
      <c r="AV1241" s="9">
        <f t="shared" si="3875"/>
        <v>0.7533333333</v>
      </c>
      <c r="AW1241" s="9">
        <f t="shared" si="2235"/>
        <v>4.71</v>
      </c>
      <c r="AX1241" s="9">
        <f t="shared" ref="AX1241:AY1241" si="3876">AM1241/$AF1241</f>
        <v>1.022222222</v>
      </c>
      <c r="AY1241" s="9">
        <f t="shared" si="3876"/>
        <v>0.3222222222</v>
      </c>
      <c r="AZ1241" s="9">
        <f>VLOOKUP(A1241,Jogos!A:BN,58,0)</f>
        <v>31.34</v>
      </c>
      <c r="BA1241" s="9">
        <f>VLOOKUP(A1241,Jogos!A:BN,59,0)</f>
        <v>21.79</v>
      </c>
      <c r="BB1241" s="9">
        <f>VLOOKUP(A1241,Jogos!A:BN,60,0)</f>
        <v>56</v>
      </c>
      <c r="BC1241" s="9">
        <f>VLOOKUP(A1241,Jogos!A:BN,61,0)</f>
        <v>32.65</v>
      </c>
      <c r="BD1241" s="9">
        <f>VLOOKUP(A1241,Jogos!A:BN,62,0)</f>
        <v>676.65</v>
      </c>
      <c r="BE1241" s="9">
        <f>VLOOKUP(A1241,Jogos!A:BN,63,0)</f>
        <v>1.775</v>
      </c>
      <c r="BF1241" s="9">
        <f>VLOOKUP(A1241,Jogos!A:BN,64,0)</f>
        <v>25.61</v>
      </c>
      <c r="BG1241" s="9">
        <f>VLOOKUP(A1241,Jogos!A:BN,65,0)</f>
        <v>46.015</v>
      </c>
      <c r="BH1241" s="9">
        <f>VLOOKUP(A1241,Jogos!A:BN,66,0)</f>
        <v>30.26</v>
      </c>
      <c r="BI1241" s="9"/>
      <c r="BJ1241" s="9"/>
    </row>
    <row r="1242" hidden="1">
      <c r="A1242" s="10">
        <v>42.0</v>
      </c>
      <c r="B1242" s="11" t="s">
        <v>562</v>
      </c>
      <c r="C1242" s="2" t="s">
        <v>61</v>
      </c>
      <c r="D1242" s="12">
        <v>45833.0</v>
      </c>
      <c r="E1242" s="13">
        <v>0.625</v>
      </c>
      <c r="F1242" s="5" t="str">
        <f>VLOOKUP(A1242,Jogos!A:N,10,0)</f>
        <v>Afternoon</v>
      </c>
      <c r="G1242" s="11" t="s">
        <v>62</v>
      </c>
      <c r="H1242" s="6" t="str">
        <f>VLOOKUP(A1242,Jogos!A:L,12,0)</f>
        <v>Open</v>
      </c>
      <c r="I1242" s="6" t="str">
        <f>VLOOKUP(G1242,'Estádios e Cidades'!A:B,2,0)</f>
        <v>Miami Gardens - Flórida</v>
      </c>
      <c r="J1242" s="11" t="s">
        <v>563</v>
      </c>
      <c r="K1242" s="2" t="str">
        <f>VLOOKUP(J1242,Equipes!A:F,6,0)</f>
        <v>Tropical</v>
      </c>
      <c r="L1242" s="2">
        <f>VLOOKUP(J1242,Equipes!A:C,3,0)</f>
        <v>4</v>
      </c>
      <c r="M1242" s="2" t="str">
        <f t="shared" si="4"/>
        <v>Semi-final</v>
      </c>
      <c r="N1242" s="11" t="s">
        <v>688</v>
      </c>
      <c r="O1242" s="2">
        <f>VLOOKUP(N1242,Equipes!A:C,3,0)</f>
        <v>18</v>
      </c>
      <c r="P1242" s="2" t="str">
        <f t="shared" si="5"/>
        <v>Group</v>
      </c>
      <c r="Q1242" s="2">
        <f t="shared" si="6"/>
        <v>-14</v>
      </c>
      <c r="R1242" s="2" t="str">
        <f>VLOOKUP(J1242,Equipes!A:B,2,0)</f>
        <v>Fluminense</v>
      </c>
      <c r="S1242" s="6" t="s">
        <v>575</v>
      </c>
      <c r="T1242" s="7">
        <v>16.0</v>
      </c>
      <c r="U1242" s="7" t="s">
        <v>576</v>
      </c>
      <c r="V1242" s="7" t="str">
        <f>VLOOKUP(U1242,Jogadores!B:C,2,0)</f>
        <v>MF</v>
      </c>
      <c r="W1242" s="8">
        <f>VLOOKUP(U1242,Jogadores!B:D,3,0)</f>
        <v>27.42191781</v>
      </c>
      <c r="X1242" s="7">
        <v>0.0</v>
      </c>
      <c r="Y1242" s="7">
        <v>86.0</v>
      </c>
      <c r="Z1242" s="7">
        <f>VLOOKUP(A1242,Jogos!A:L,3,0)</f>
        <v>49</v>
      </c>
      <c r="AA1242" s="7">
        <f t="shared" si="2229"/>
        <v>49</v>
      </c>
      <c r="AB1242" s="7">
        <f>VLOOKUP(A1242,Jogos!A:L,4,0)</f>
        <v>53</v>
      </c>
      <c r="AC1242" s="7">
        <f t="shared" si="2230"/>
        <v>41</v>
      </c>
      <c r="AD1242" s="7"/>
      <c r="AE1242" s="7"/>
      <c r="AF1242" s="7">
        <f t="shared" si="2231"/>
        <v>90</v>
      </c>
      <c r="AG1242" s="7">
        <v>9251.1</v>
      </c>
      <c r="AH1242" s="7">
        <v>3582.9</v>
      </c>
      <c r="AI1242" s="7">
        <v>3909.3</v>
      </c>
      <c r="AJ1242" s="7">
        <v>1271.8</v>
      </c>
      <c r="AK1242" s="7">
        <v>461.2</v>
      </c>
      <c r="AL1242" s="7">
        <v>25.8</v>
      </c>
      <c r="AM1242" s="7">
        <v>115.0</v>
      </c>
      <c r="AN1242" s="7">
        <v>33.0</v>
      </c>
      <c r="AO1242" s="7">
        <v>31.8</v>
      </c>
      <c r="AP1242" s="9">
        <f t="shared" ref="AP1242:AR1242" si="3877">AG1242/$AF1242</f>
        <v>102.79</v>
      </c>
      <c r="AQ1242" s="9">
        <f t="shared" si="3877"/>
        <v>39.81</v>
      </c>
      <c r="AR1242" s="9">
        <f t="shared" si="3877"/>
        <v>43.43666667</v>
      </c>
      <c r="AS1242" s="9">
        <f t="shared" si="2233"/>
        <v>83.24666667</v>
      </c>
      <c r="AT1242" s="9">
        <f t="shared" ref="AT1242:AV1242" si="3878">AJ1242/$AF1242</f>
        <v>14.13111111</v>
      </c>
      <c r="AU1242" s="9">
        <f t="shared" si="3878"/>
        <v>5.124444444</v>
      </c>
      <c r="AV1242" s="9">
        <f t="shared" si="3878"/>
        <v>0.2866666667</v>
      </c>
      <c r="AW1242" s="9">
        <f t="shared" si="2235"/>
        <v>5.411111111</v>
      </c>
      <c r="AX1242" s="9">
        <f t="shared" ref="AX1242:AY1242" si="3879">AM1242/$AF1242</f>
        <v>1.277777778</v>
      </c>
      <c r="AY1242" s="9">
        <f t="shared" si="3879"/>
        <v>0.3666666667</v>
      </c>
      <c r="AZ1242" s="9">
        <f>VLOOKUP(A1242,Jogos!A:BN,58,0)</f>
        <v>31.34</v>
      </c>
      <c r="BA1242" s="9">
        <f>VLOOKUP(A1242,Jogos!A:BN,59,0)</f>
        <v>21.79</v>
      </c>
      <c r="BB1242" s="9">
        <f>VLOOKUP(A1242,Jogos!A:BN,60,0)</f>
        <v>56</v>
      </c>
      <c r="BC1242" s="9">
        <f>VLOOKUP(A1242,Jogos!A:BN,61,0)</f>
        <v>32.65</v>
      </c>
      <c r="BD1242" s="9">
        <f>VLOOKUP(A1242,Jogos!A:BN,62,0)</f>
        <v>676.65</v>
      </c>
      <c r="BE1242" s="9">
        <f>VLOOKUP(A1242,Jogos!A:BN,63,0)</f>
        <v>1.775</v>
      </c>
      <c r="BF1242" s="9">
        <f>VLOOKUP(A1242,Jogos!A:BN,64,0)</f>
        <v>25.61</v>
      </c>
      <c r="BG1242" s="9">
        <f>VLOOKUP(A1242,Jogos!A:BN,65,0)</f>
        <v>46.015</v>
      </c>
      <c r="BH1242" s="9">
        <f>VLOOKUP(A1242,Jogos!A:BN,66,0)</f>
        <v>30.26</v>
      </c>
      <c r="BI1242" s="9"/>
      <c r="BJ1242" s="9"/>
    </row>
    <row r="1243" hidden="1">
      <c r="A1243" s="10">
        <v>42.0</v>
      </c>
      <c r="B1243" s="11" t="s">
        <v>562</v>
      </c>
      <c r="C1243" s="2" t="s">
        <v>61</v>
      </c>
      <c r="D1243" s="12">
        <v>45833.0</v>
      </c>
      <c r="E1243" s="13">
        <v>0.625</v>
      </c>
      <c r="F1243" s="5" t="str">
        <f>VLOOKUP(A1243,Jogos!A:N,10,0)</f>
        <v>Afternoon</v>
      </c>
      <c r="G1243" s="11" t="s">
        <v>62</v>
      </c>
      <c r="H1243" s="6" t="str">
        <f>VLOOKUP(A1243,Jogos!A:L,12,0)</f>
        <v>Open</v>
      </c>
      <c r="I1243" s="6" t="str">
        <f>VLOOKUP(G1243,'Estádios e Cidades'!A:B,2,0)</f>
        <v>Miami Gardens - Flórida</v>
      </c>
      <c r="J1243" s="11" t="s">
        <v>563</v>
      </c>
      <c r="K1243" s="2" t="str">
        <f>VLOOKUP(J1243,Equipes!A:F,6,0)</f>
        <v>Tropical</v>
      </c>
      <c r="L1243" s="2">
        <f>VLOOKUP(J1243,Equipes!A:C,3,0)</f>
        <v>4</v>
      </c>
      <c r="M1243" s="2" t="str">
        <f t="shared" si="4"/>
        <v>Semi-final</v>
      </c>
      <c r="N1243" s="11" t="s">
        <v>688</v>
      </c>
      <c r="O1243" s="2">
        <f>VLOOKUP(N1243,Equipes!A:C,3,0)</f>
        <v>18</v>
      </c>
      <c r="P1243" s="2" t="str">
        <f t="shared" si="5"/>
        <v>Group</v>
      </c>
      <c r="Q1243" s="2">
        <f t="shared" si="6"/>
        <v>-14</v>
      </c>
      <c r="R1243" s="2" t="str">
        <f>VLOOKUP(J1243,Equipes!A:B,2,0)</f>
        <v>Fluminense</v>
      </c>
      <c r="S1243" s="6" t="s">
        <v>577</v>
      </c>
      <c r="T1243" s="7">
        <v>17.0</v>
      </c>
      <c r="U1243" s="7" t="s">
        <v>578</v>
      </c>
      <c r="V1243" s="7" t="str">
        <f>VLOOKUP(U1243,Jogadores!B:C,2,0)</f>
        <v>FW</v>
      </c>
      <c r="W1243" s="8">
        <f>VLOOKUP(U1243,Jogadores!B:D,3,0)</f>
        <v>26.84109589</v>
      </c>
      <c r="X1243" s="7">
        <v>0.0</v>
      </c>
      <c r="Y1243" s="7">
        <v>67.0</v>
      </c>
      <c r="Z1243" s="7">
        <f>VLOOKUP(A1243,Jogos!A:L,3,0)</f>
        <v>49</v>
      </c>
      <c r="AA1243" s="7">
        <f t="shared" si="2229"/>
        <v>49</v>
      </c>
      <c r="AB1243" s="7">
        <f>VLOOKUP(A1243,Jogos!A:L,4,0)</f>
        <v>53</v>
      </c>
      <c r="AC1243" s="7">
        <f t="shared" si="2230"/>
        <v>22</v>
      </c>
      <c r="AD1243" s="7"/>
      <c r="AE1243" s="7"/>
      <c r="AF1243" s="7">
        <f t="shared" si="2231"/>
        <v>71</v>
      </c>
      <c r="AG1243" s="7">
        <v>7981.2</v>
      </c>
      <c r="AH1243" s="7">
        <v>2583.6</v>
      </c>
      <c r="AI1243" s="7">
        <v>3188.1</v>
      </c>
      <c r="AJ1243" s="7">
        <v>1209.4</v>
      </c>
      <c r="AK1243" s="7">
        <v>634.8</v>
      </c>
      <c r="AL1243" s="7">
        <v>365.2</v>
      </c>
      <c r="AM1243" s="7">
        <v>112.0</v>
      </c>
      <c r="AN1243" s="7">
        <v>48.0</v>
      </c>
      <c r="AO1243" s="7">
        <v>31.3</v>
      </c>
      <c r="AP1243" s="9">
        <f t="shared" ref="AP1243:AR1243" si="3880">AG1243/$AF1243</f>
        <v>112.4112676</v>
      </c>
      <c r="AQ1243" s="9">
        <f t="shared" si="3880"/>
        <v>36.38873239</v>
      </c>
      <c r="AR1243" s="9">
        <f t="shared" si="3880"/>
        <v>44.9028169</v>
      </c>
      <c r="AS1243" s="9">
        <f t="shared" si="2233"/>
        <v>81.2915493</v>
      </c>
      <c r="AT1243" s="9">
        <f t="shared" ref="AT1243:AV1243" si="3881">AJ1243/$AF1243</f>
        <v>17.03380282</v>
      </c>
      <c r="AU1243" s="9">
        <f t="shared" si="3881"/>
        <v>8.94084507</v>
      </c>
      <c r="AV1243" s="9">
        <f t="shared" si="3881"/>
        <v>5.143661972</v>
      </c>
      <c r="AW1243" s="9">
        <f t="shared" si="2235"/>
        <v>14.08450704</v>
      </c>
      <c r="AX1243" s="9">
        <f t="shared" ref="AX1243:AY1243" si="3882">AM1243/$AF1243</f>
        <v>1.577464789</v>
      </c>
      <c r="AY1243" s="9">
        <f t="shared" si="3882"/>
        <v>0.676056338</v>
      </c>
      <c r="AZ1243" s="9">
        <f>VLOOKUP(A1243,Jogos!A:BN,58,0)</f>
        <v>31.34</v>
      </c>
      <c r="BA1243" s="9">
        <f>VLOOKUP(A1243,Jogos!A:BN,59,0)</f>
        <v>21.79</v>
      </c>
      <c r="BB1243" s="9">
        <f>VLOOKUP(A1243,Jogos!A:BN,60,0)</f>
        <v>56</v>
      </c>
      <c r="BC1243" s="9">
        <f>VLOOKUP(A1243,Jogos!A:BN,61,0)</f>
        <v>32.65</v>
      </c>
      <c r="BD1243" s="9">
        <f>VLOOKUP(A1243,Jogos!A:BN,62,0)</f>
        <v>676.65</v>
      </c>
      <c r="BE1243" s="9">
        <f>VLOOKUP(A1243,Jogos!A:BN,63,0)</f>
        <v>1.775</v>
      </c>
      <c r="BF1243" s="9">
        <f>VLOOKUP(A1243,Jogos!A:BN,64,0)</f>
        <v>25.61</v>
      </c>
      <c r="BG1243" s="9">
        <f>VLOOKUP(A1243,Jogos!A:BN,65,0)</f>
        <v>46.015</v>
      </c>
      <c r="BH1243" s="9">
        <f>VLOOKUP(A1243,Jogos!A:BN,66,0)</f>
        <v>30.26</v>
      </c>
      <c r="BI1243" s="9"/>
      <c r="BJ1243" s="9"/>
    </row>
    <row r="1244" hidden="1">
      <c r="A1244" s="10">
        <v>42.0</v>
      </c>
      <c r="B1244" s="11" t="s">
        <v>562</v>
      </c>
      <c r="C1244" s="2" t="s">
        <v>61</v>
      </c>
      <c r="D1244" s="12">
        <v>45833.0</v>
      </c>
      <c r="E1244" s="13">
        <v>0.625</v>
      </c>
      <c r="F1244" s="5" t="str">
        <f>VLOOKUP(A1244,Jogos!A:N,10,0)</f>
        <v>Afternoon</v>
      </c>
      <c r="G1244" s="11" t="s">
        <v>62</v>
      </c>
      <c r="H1244" s="6" t="str">
        <f>VLOOKUP(A1244,Jogos!A:L,12,0)</f>
        <v>Open</v>
      </c>
      <c r="I1244" s="6" t="str">
        <f>VLOOKUP(G1244,'Estádios e Cidades'!A:B,2,0)</f>
        <v>Miami Gardens - Flórida</v>
      </c>
      <c r="J1244" s="11" t="s">
        <v>563</v>
      </c>
      <c r="K1244" s="2" t="str">
        <f>VLOOKUP(J1244,Equipes!A:F,6,0)</f>
        <v>Tropical</v>
      </c>
      <c r="L1244" s="2">
        <f>VLOOKUP(J1244,Equipes!A:C,3,0)</f>
        <v>4</v>
      </c>
      <c r="M1244" s="2" t="str">
        <f t="shared" si="4"/>
        <v>Semi-final</v>
      </c>
      <c r="N1244" s="11" t="s">
        <v>688</v>
      </c>
      <c r="O1244" s="2">
        <f>VLOOKUP(N1244,Equipes!A:C,3,0)</f>
        <v>18</v>
      </c>
      <c r="P1244" s="2" t="str">
        <f t="shared" si="5"/>
        <v>Group</v>
      </c>
      <c r="Q1244" s="2">
        <f t="shared" si="6"/>
        <v>-14</v>
      </c>
      <c r="R1244" s="2" t="str">
        <f>VLOOKUP(J1244,Equipes!A:B,2,0)</f>
        <v>Fluminense</v>
      </c>
      <c r="S1244" s="6" t="s">
        <v>579</v>
      </c>
      <c r="T1244" s="7">
        <v>21.0</v>
      </c>
      <c r="U1244" s="7" t="s">
        <v>580</v>
      </c>
      <c r="V1244" s="7" t="str">
        <f>VLOOKUP(U1244,Jogadores!B:C,2,0)</f>
        <v>FW</v>
      </c>
      <c r="W1244" s="8">
        <f>VLOOKUP(U1244,Jogadores!B:D,3,0)</f>
        <v>27.86849315</v>
      </c>
      <c r="X1244" s="7">
        <v>0.0</v>
      </c>
      <c r="Y1244" s="7">
        <f t="shared" ref="Y1244:Y1245" si="3886">45+AB1244</f>
        <v>98</v>
      </c>
      <c r="Z1244" s="7">
        <f>VLOOKUP(A1244,Jogos!A:L,3,0)</f>
        <v>49</v>
      </c>
      <c r="AA1244" s="7">
        <f t="shared" si="2229"/>
        <v>49</v>
      </c>
      <c r="AB1244" s="7">
        <f>VLOOKUP(A1244,Jogos!A:L,4,0)</f>
        <v>53</v>
      </c>
      <c r="AC1244" s="7">
        <f t="shared" si="2230"/>
        <v>53</v>
      </c>
      <c r="AD1244" s="7"/>
      <c r="AE1244" s="7"/>
      <c r="AF1244" s="7">
        <f t="shared" si="2231"/>
        <v>102</v>
      </c>
      <c r="AG1244" s="7">
        <v>8499.3</v>
      </c>
      <c r="AH1244" s="7">
        <v>4541.1</v>
      </c>
      <c r="AI1244" s="7">
        <v>2693.2</v>
      </c>
      <c r="AJ1244" s="7">
        <v>741.6</v>
      </c>
      <c r="AK1244" s="7">
        <v>398.6</v>
      </c>
      <c r="AL1244" s="7">
        <v>124.9</v>
      </c>
      <c r="AM1244" s="7">
        <v>70.0</v>
      </c>
      <c r="AN1244" s="7">
        <v>32.0</v>
      </c>
      <c r="AO1244" s="7">
        <v>31.8</v>
      </c>
      <c r="AP1244" s="9">
        <f t="shared" ref="AP1244:AR1244" si="3883">AG1244/$AF1244</f>
        <v>83.32647059</v>
      </c>
      <c r="AQ1244" s="9">
        <f t="shared" si="3883"/>
        <v>44.52058824</v>
      </c>
      <c r="AR1244" s="9">
        <f t="shared" si="3883"/>
        <v>26.40392157</v>
      </c>
      <c r="AS1244" s="9">
        <f t="shared" si="2233"/>
        <v>70.9245098</v>
      </c>
      <c r="AT1244" s="9">
        <f t="shared" ref="AT1244:AV1244" si="3884">AJ1244/$AF1244</f>
        <v>7.270588235</v>
      </c>
      <c r="AU1244" s="9">
        <f t="shared" si="3884"/>
        <v>3.907843137</v>
      </c>
      <c r="AV1244" s="9">
        <f t="shared" si="3884"/>
        <v>1.224509804</v>
      </c>
      <c r="AW1244" s="9">
        <f t="shared" si="2235"/>
        <v>5.132352941</v>
      </c>
      <c r="AX1244" s="9">
        <f t="shared" ref="AX1244:AY1244" si="3885">AM1244/$AF1244</f>
        <v>0.6862745098</v>
      </c>
      <c r="AY1244" s="9">
        <f t="shared" si="3885"/>
        <v>0.3137254902</v>
      </c>
      <c r="AZ1244" s="9">
        <f>VLOOKUP(A1244,Jogos!A:BN,58,0)</f>
        <v>31.34</v>
      </c>
      <c r="BA1244" s="9">
        <f>VLOOKUP(A1244,Jogos!A:BN,59,0)</f>
        <v>21.79</v>
      </c>
      <c r="BB1244" s="9">
        <f>VLOOKUP(A1244,Jogos!A:BN,60,0)</f>
        <v>56</v>
      </c>
      <c r="BC1244" s="9">
        <f>VLOOKUP(A1244,Jogos!A:BN,61,0)</f>
        <v>32.65</v>
      </c>
      <c r="BD1244" s="9">
        <f>VLOOKUP(A1244,Jogos!A:BN,62,0)</f>
        <v>676.65</v>
      </c>
      <c r="BE1244" s="9">
        <f>VLOOKUP(A1244,Jogos!A:BN,63,0)</f>
        <v>1.775</v>
      </c>
      <c r="BF1244" s="9">
        <f>VLOOKUP(A1244,Jogos!A:BN,64,0)</f>
        <v>25.61</v>
      </c>
      <c r="BG1244" s="9">
        <f>VLOOKUP(A1244,Jogos!A:BN,65,0)</f>
        <v>46.015</v>
      </c>
      <c r="BH1244" s="9">
        <f>VLOOKUP(A1244,Jogos!A:BN,66,0)</f>
        <v>30.26</v>
      </c>
      <c r="BI1244" s="9"/>
      <c r="BJ1244" s="9"/>
    </row>
    <row r="1245" hidden="1">
      <c r="A1245" s="10">
        <v>42.0</v>
      </c>
      <c r="B1245" s="11" t="s">
        <v>562</v>
      </c>
      <c r="C1245" s="2" t="s">
        <v>61</v>
      </c>
      <c r="D1245" s="12">
        <v>45833.0</v>
      </c>
      <c r="E1245" s="13">
        <v>0.625</v>
      </c>
      <c r="F1245" s="5" t="str">
        <f>VLOOKUP(A1245,Jogos!A:N,10,0)</f>
        <v>Afternoon</v>
      </c>
      <c r="G1245" s="11" t="s">
        <v>62</v>
      </c>
      <c r="H1245" s="6" t="str">
        <f>VLOOKUP(A1245,Jogos!A:L,12,0)</f>
        <v>Open</v>
      </c>
      <c r="I1245" s="6" t="str">
        <f>VLOOKUP(G1245,'Estádios e Cidades'!A:B,2,0)</f>
        <v>Miami Gardens - Flórida</v>
      </c>
      <c r="J1245" s="11" t="s">
        <v>563</v>
      </c>
      <c r="K1245" s="2" t="str">
        <f>VLOOKUP(J1245,Equipes!A:F,6,0)</f>
        <v>Tropical</v>
      </c>
      <c r="L1245" s="2">
        <f>VLOOKUP(J1245,Equipes!A:C,3,0)</f>
        <v>4</v>
      </c>
      <c r="M1245" s="2" t="str">
        <f t="shared" si="4"/>
        <v>Semi-final</v>
      </c>
      <c r="N1245" s="11" t="s">
        <v>688</v>
      </c>
      <c r="O1245" s="2">
        <f>VLOOKUP(N1245,Equipes!A:C,3,0)</f>
        <v>18</v>
      </c>
      <c r="P1245" s="2" t="str">
        <f t="shared" si="5"/>
        <v>Group</v>
      </c>
      <c r="Q1245" s="2">
        <f t="shared" si="6"/>
        <v>-14</v>
      </c>
      <c r="R1245" s="2" t="str">
        <f>VLOOKUP(J1245,Equipes!A:B,2,0)</f>
        <v>Fluminense</v>
      </c>
      <c r="S1245" s="6" t="s">
        <v>581</v>
      </c>
      <c r="T1245" s="7">
        <v>22.0</v>
      </c>
      <c r="U1245" s="7" t="s">
        <v>582</v>
      </c>
      <c r="V1245" s="7" t="str">
        <f>VLOOKUP(U1245,Jogadores!B:C,2,0)</f>
        <v>DF</v>
      </c>
      <c r="W1245" s="8">
        <f>VLOOKUP(U1245,Jogadores!B:D,3,0)</f>
        <v>25.56164384</v>
      </c>
      <c r="X1245" s="7">
        <v>0.0</v>
      </c>
      <c r="Y1245" s="7">
        <f t="shared" si="3886"/>
        <v>98</v>
      </c>
      <c r="Z1245" s="7">
        <f>VLOOKUP(A1245,Jogos!A:L,3,0)</f>
        <v>49</v>
      </c>
      <c r="AA1245" s="7">
        <f t="shared" si="2229"/>
        <v>49</v>
      </c>
      <c r="AB1245" s="7">
        <f>VLOOKUP(A1245,Jogos!A:L,4,0)</f>
        <v>53</v>
      </c>
      <c r="AC1245" s="7">
        <f t="shared" si="2230"/>
        <v>53</v>
      </c>
      <c r="AD1245" s="7"/>
      <c r="AE1245" s="7"/>
      <c r="AF1245" s="7">
        <f t="shared" si="2231"/>
        <v>102</v>
      </c>
      <c r="AG1245" s="7">
        <v>8571.0</v>
      </c>
      <c r="AH1245" s="7">
        <v>3812.5</v>
      </c>
      <c r="AI1245" s="7">
        <v>3291.9</v>
      </c>
      <c r="AJ1245" s="7">
        <v>865.9</v>
      </c>
      <c r="AK1245" s="7">
        <v>423.9</v>
      </c>
      <c r="AL1245" s="7">
        <v>176.7</v>
      </c>
      <c r="AM1245" s="7">
        <v>79.0</v>
      </c>
      <c r="AN1245" s="7">
        <v>33.0</v>
      </c>
      <c r="AO1245" s="7">
        <v>31.6</v>
      </c>
      <c r="AP1245" s="9">
        <f t="shared" ref="AP1245:AR1245" si="3887">AG1245/$AF1245</f>
        <v>84.02941176</v>
      </c>
      <c r="AQ1245" s="9">
        <f t="shared" si="3887"/>
        <v>37.37745098</v>
      </c>
      <c r="AR1245" s="9">
        <f t="shared" si="3887"/>
        <v>32.27352941</v>
      </c>
      <c r="AS1245" s="9">
        <f t="shared" si="2233"/>
        <v>69.65098039</v>
      </c>
      <c r="AT1245" s="9">
        <f t="shared" ref="AT1245:AV1245" si="3888">AJ1245/$AF1245</f>
        <v>8.489215686</v>
      </c>
      <c r="AU1245" s="9">
        <f t="shared" si="3888"/>
        <v>4.155882353</v>
      </c>
      <c r="AV1245" s="9">
        <f t="shared" si="3888"/>
        <v>1.732352941</v>
      </c>
      <c r="AW1245" s="9">
        <f t="shared" si="2235"/>
        <v>5.888235294</v>
      </c>
      <c r="AX1245" s="9">
        <f t="shared" ref="AX1245:AY1245" si="3889">AM1245/$AF1245</f>
        <v>0.7745098039</v>
      </c>
      <c r="AY1245" s="9">
        <f t="shared" si="3889"/>
        <v>0.3235294118</v>
      </c>
      <c r="AZ1245" s="9">
        <f>VLOOKUP(A1245,Jogos!A:BN,58,0)</f>
        <v>31.34</v>
      </c>
      <c r="BA1245" s="9">
        <f>VLOOKUP(A1245,Jogos!A:BN,59,0)</f>
        <v>21.79</v>
      </c>
      <c r="BB1245" s="9">
        <f>VLOOKUP(A1245,Jogos!A:BN,60,0)</f>
        <v>56</v>
      </c>
      <c r="BC1245" s="9">
        <f>VLOOKUP(A1245,Jogos!A:BN,61,0)</f>
        <v>32.65</v>
      </c>
      <c r="BD1245" s="9">
        <f>VLOOKUP(A1245,Jogos!A:BN,62,0)</f>
        <v>676.65</v>
      </c>
      <c r="BE1245" s="9">
        <f>VLOOKUP(A1245,Jogos!A:BN,63,0)</f>
        <v>1.775</v>
      </c>
      <c r="BF1245" s="9">
        <f>VLOOKUP(A1245,Jogos!A:BN,64,0)</f>
        <v>25.61</v>
      </c>
      <c r="BG1245" s="9">
        <f>VLOOKUP(A1245,Jogos!A:BN,65,0)</f>
        <v>46.015</v>
      </c>
      <c r="BH1245" s="9">
        <f>VLOOKUP(A1245,Jogos!A:BN,66,0)</f>
        <v>30.26</v>
      </c>
      <c r="BI1245" s="9"/>
      <c r="BJ1245" s="9"/>
    </row>
    <row r="1246" hidden="1">
      <c r="A1246" s="10">
        <v>42.0</v>
      </c>
      <c r="B1246" s="11" t="s">
        <v>562</v>
      </c>
      <c r="C1246" s="2" t="s">
        <v>61</v>
      </c>
      <c r="D1246" s="12">
        <v>45833.0</v>
      </c>
      <c r="E1246" s="13">
        <v>0.625</v>
      </c>
      <c r="F1246" s="5" t="str">
        <f>VLOOKUP(A1246,Jogos!A:N,10,0)</f>
        <v>Afternoon</v>
      </c>
      <c r="G1246" s="11" t="s">
        <v>62</v>
      </c>
      <c r="H1246" s="6" t="str">
        <f>VLOOKUP(A1246,Jogos!A:L,12,0)</f>
        <v>Open</v>
      </c>
      <c r="I1246" s="6" t="str">
        <f>VLOOKUP(G1246,'Estádios e Cidades'!A:B,2,0)</f>
        <v>Miami Gardens - Flórida</v>
      </c>
      <c r="J1246" s="11" t="s">
        <v>563</v>
      </c>
      <c r="K1246" s="2" t="str">
        <f>VLOOKUP(J1246,Equipes!A:F,6,0)</f>
        <v>Tropical</v>
      </c>
      <c r="L1246" s="2">
        <f>VLOOKUP(J1246,Equipes!A:C,3,0)</f>
        <v>4</v>
      </c>
      <c r="M1246" s="2" t="str">
        <f t="shared" si="4"/>
        <v>Semi-final</v>
      </c>
      <c r="N1246" s="11" t="s">
        <v>688</v>
      </c>
      <c r="O1246" s="2">
        <f>VLOOKUP(N1246,Equipes!A:C,3,0)</f>
        <v>18</v>
      </c>
      <c r="P1246" s="2" t="str">
        <f t="shared" si="5"/>
        <v>Group</v>
      </c>
      <c r="Q1246" s="2">
        <f t="shared" si="6"/>
        <v>-14</v>
      </c>
      <c r="R1246" s="2" t="str">
        <f>VLOOKUP(J1246,Equipes!A:B,2,0)</f>
        <v>Fluminense</v>
      </c>
      <c r="S1246" s="6" t="s">
        <v>583</v>
      </c>
      <c r="T1246" s="7">
        <v>35.0</v>
      </c>
      <c r="U1246" s="7" t="s">
        <v>584</v>
      </c>
      <c r="V1246" s="7" t="str">
        <f>VLOOKUP(U1246,Jogadores!B:C,2,0)</f>
        <v>MF</v>
      </c>
      <c r="W1246" s="8">
        <f>VLOOKUP(U1246,Jogadores!B:D,3,0)</f>
        <v>24.78630137</v>
      </c>
      <c r="X1246" s="7">
        <v>0.0</v>
      </c>
      <c r="Y1246" s="7">
        <v>68.0</v>
      </c>
      <c r="Z1246" s="7">
        <f>VLOOKUP(A1246,Jogos!A:L,3,0)</f>
        <v>49</v>
      </c>
      <c r="AA1246" s="7">
        <f t="shared" si="2229"/>
        <v>49</v>
      </c>
      <c r="AB1246" s="7">
        <f>VLOOKUP(A1246,Jogos!A:L,4,0)</f>
        <v>53</v>
      </c>
      <c r="AC1246" s="7">
        <f t="shared" si="2230"/>
        <v>23</v>
      </c>
      <c r="AD1246" s="7"/>
      <c r="AE1246" s="7"/>
      <c r="AF1246" s="7">
        <f t="shared" si="2231"/>
        <v>72</v>
      </c>
      <c r="AG1246" s="7">
        <v>6961.8</v>
      </c>
      <c r="AH1246" s="7">
        <v>2828.6</v>
      </c>
      <c r="AI1246" s="7">
        <v>3102.5</v>
      </c>
      <c r="AJ1246" s="7">
        <v>723.9</v>
      </c>
      <c r="AK1246" s="7">
        <v>276.5</v>
      </c>
      <c r="AL1246" s="7">
        <v>30.3</v>
      </c>
      <c r="AM1246" s="7">
        <v>66.0</v>
      </c>
      <c r="AN1246" s="7">
        <v>20.0</v>
      </c>
      <c r="AO1246" s="7">
        <v>27.5</v>
      </c>
      <c r="AP1246" s="9">
        <f t="shared" ref="AP1246:AR1246" si="3890">AG1246/$AF1246</f>
        <v>96.69166667</v>
      </c>
      <c r="AQ1246" s="9">
        <f t="shared" si="3890"/>
        <v>39.28611111</v>
      </c>
      <c r="AR1246" s="9">
        <f t="shared" si="3890"/>
        <v>43.09027778</v>
      </c>
      <c r="AS1246" s="9">
        <f t="shared" si="2233"/>
        <v>82.37638889</v>
      </c>
      <c r="AT1246" s="9">
        <f t="shared" ref="AT1246:AV1246" si="3891">AJ1246/$AF1246</f>
        <v>10.05416667</v>
      </c>
      <c r="AU1246" s="9">
        <f t="shared" si="3891"/>
        <v>3.840277778</v>
      </c>
      <c r="AV1246" s="9">
        <f t="shared" si="3891"/>
        <v>0.4208333333</v>
      </c>
      <c r="AW1246" s="9">
        <f t="shared" si="2235"/>
        <v>4.261111111</v>
      </c>
      <c r="AX1246" s="9">
        <f t="shared" ref="AX1246:AY1246" si="3892">AM1246/$AF1246</f>
        <v>0.9166666667</v>
      </c>
      <c r="AY1246" s="9">
        <f t="shared" si="3892"/>
        <v>0.2777777778</v>
      </c>
      <c r="AZ1246" s="9">
        <f>VLOOKUP(A1246,Jogos!A:BN,58,0)</f>
        <v>31.34</v>
      </c>
      <c r="BA1246" s="9">
        <f>VLOOKUP(A1246,Jogos!A:BN,59,0)</f>
        <v>21.79</v>
      </c>
      <c r="BB1246" s="9">
        <f>VLOOKUP(A1246,Jogos!A:BN,60,0)</f>
        <v>56</v>
      </c>
      <c r="BC1246" s="9">
        <f>VLOOKUP(A1246,Jogos!A:BN,61,0)</f>
        <v>32.65</v>
      </c>
      <c r="BD1246" s="9">
        <f>VLOOKUP(A1246,Jogos!A:BN,62,0)</f>
        <v>676.65</v>
      </c>
      <c r="BE1246" s="9">
        <f>VLOOKUP(A1246,Jogos!A:BN,63,0)</f>
        <v>1.775</v>
      </c>
      <c r="BF1246" s="9">
        <f>VLOOKUP(A1246,Jogos!A:BN,64,0)</f>
        <v>25.61</v>
      </c>
      <c r="BG1246" s="9">
        <f>VLOOKUP(A1246,Jogos!A:BN,65,0)</f>
        <v>46.015</v>
      </c>
      <c r="BH1246" s="9">
        <f>VLOOKUP(A1246,Jogos!A:BN,66,0)</f>
        <v>30.26</v>
      </c>
      <c r="BI1246" s="9"/>
      <c r="BJ1246" s="9"/>
    </row>
    <row r="1247" hidden="1">
      <c r="A1247" s="10">
        <v>42.0</v>
      </c>
      <c r="B1247" s="11" t="s">
        <v>562</v>
      </c>
      <c r="C1247" s="2" t="s">
        <v>61</v>
      </c>
      <c r="D1247" s="12">
        <v>45833.0</v>
      </c>
      <c r="E1247" s="13">
        <v>0.625</v>
      </c>
      <c r="F1247" s="5" t="str">
        <f>VLOOKUP(A1247,Jogos!A:N,10,0)</f>
        <v>Afternoon</v>
      </c>
      <c r="G1247" s="11" t="s">
        <v>62</v>
      </c>
      <c r="H1247" s="6" t="str">
        <f>VLOOKUP(A1247,Jogos!A:L,12,0)</f>
        <v>Open</v>
      </c>
      <c r="I1247" s="6" t="str">
        <f>VLOOKUP(G1247,'Estádios e Cidades'!A:B,2,0)</f>
        <v>Miami Gardens - Flórida</v>
      </c>
      <c r="J1247" s="11" t="s">
        <v>563</v>
      </c>
      <c r="K1247" s="2" t="str">
        <f>VLOOKUP(J1247,Equipes!A:F,6,0)</f>
        <v>Tropical</v>
      </c>
      <c r="L1247" s="2">
        <f>VLOOKUP(J1247,Equipes!A:C,3,0)</f>
        <v>4</v>
      </c>
      <c r="M1247" s="2" t="str">
        <f t="shared" si="4"/>
        <v>Semi-final</v>
      </c>
      <c r="N1247" s="11" t="s">
        <v>688</v>
      </c>
      <c r="O1247" s="2">
        <f>VLOOKUP(N1247,Equipes!A:C,3,0)</f>
        <v>18</v>
      </c>
      <c r="P1247" s="2" t="str">
        <f t="shared" si="5"/>
        <v>Group</v>
      </c>
      <c r="Q1247" s="2">
        <f t="shared" si="6"/>
        <v>-14</v>
      </c>
      <c r="R1247" s="2" t="str">
        <f>VLOOKUP(J1247,Equipes!A:B,2,0)</f>
        <v>Fluminense</v>
      </c>
      <c r="S1247" s="6" t="s">
        <v>1170</v>
      </c>
      <c r="T1247" s="7">
        <v>5.0</v>
      </c>
      <c r="U1247" s="7" t="s">
        <v>1171</v>
      </c>
      <c r="V1247" s="7" t="str">
        <f>VLOOKUP(U1247,Jogadores!B:C,2,0)</f>
        <v>MF</v>
      </c>
      <c r="W1247" s="8">
        <f>VLOOKUP(U1247,Jogadores!B:D,3,0)</f>
        <v>21.95068493</v>
      </c>
      <c r="X1247" s="7">
        <v>68.0</v>
      </c>
      <c r="Y1247" s="7">
        <f t="shared" ref="Y1247:Y1252" si="3896">45+AB1247</f>
        <v>98</v>
      </c>
      <c r="Z1247" s="7">
        <f>VLOOKUP(A1247,Jogos!A:L,3,0)</f>
        <v>49</v>
      </c>
      <c r="AA1247" s="7">
        <f t="shared" si="2229"/>
        <v>0</v>
      </c>
      <c r="AB1247" s="7">
        <f>VLOOKUP(A1247,Jogos!A:L,4,0)</f>
        <v>53</v>
      </c>
      <c r="AC1247" s="7">
        <f t="shared" si="2230"/>
        <v>30</v>
      </c>
      <c r="AD1247" s="7"/>
      <c r="AE1247" s="7"/>
      <c r="AF1247" s="7">
        <f t="shared" si="2231"/>
        <v>30</v>
      </c>
      <c r="AG1247" s="7">
        <v>3191.1</v>
      </c>
      <c r="AH1247" s="7">
        <v>1263.6</v>
      </c>
      <c r="AI1247" s="7">
        <v>1301.7</v>
      </c>
      <c r="AJ1247" s="7">
        <v>429.8</v>
      </c>
      <c r="AK1247" s="7">
        <v>165.1</v>
      </c>
      <c r="AL1247" s="7">
        <v>30.8</v>
      </c>
      <c r="AM1247" s="7">
        <v>43.0</v>
      </c>
      <c r="AN1247" s="7">
        <v>15.0</v>
      </c>
      <c r="AO1247" s="7">
        <v>29.4</v>
      </c>
      <c r="AP1247" s="9">
        <f t="shared" ref="AP1247:AR1247" si="3893">AG1247/$AF1247</f>
        <v>106.37</v>
      </c>
      <c r="AQ1247" s="9">
        <f t="shared" si="3893"/>
        <v>42.12</v>
      </c>
      <c r="AR1247" s="9">
        <f t="shared" si="3893"/>
        <v>43.39</v>
      </c>
      <c r="AS1247" s="9">
        <f t="shared" si="2233"/>
        <v>85.51</v>
      </c>
      <c r="AT1247" s="9">
        <f t="shared" ref="AT1247:AV1247" si="3894">AJ1247/$AF1247</f>
        <v>14.32666667</v>
      </c>
      <c r="AU1247" s="9">
        <f t="shared" si="3894"/>
        <v>5.503333333</v>
      </c>
      <c r="AV1247" s="9">
        <f t="shared" si="3894"/>
        <v>1.026666667</v>
      </c>
      <c r="AW1247" s="9">
        <f t="shared" si="2235"/>
        <v>6.53</v>
      </c>
      <c r="AX1247" s="9">
        <f t="shared" ref="AX1247:AY1247" si="3895">AM1247/$AF1247</f>
        <v>1.433333333</v>
      </c>
      <c r="AY1247" s="9">
        <f t="shared" si="3895"/>
        <v>0.5</v>
      </c>
      <c r="AZ1247" s="9">
        <f>VLOOKUP(A1247,Jogos!A:BN,58,0)</f>
        <v>31.34</v>
      </c>
      <c r="BA1247" s="9">
        <f>VLOOKUP(A1247,Jogos!A:BN,59,0)</f>
        <v>21.79</v>
      </c>
      <c r="BB1247" s="9">
        <f>VLOOKUP(A1247,Jogos!A:BN,60,0)</f>
        <v>56</v>
      </c>
      <c r="BC1247" s="9">
        <f>VLOOKUP(A1247,Jogos!A:BN,61,0)</f>
        <v>32.65</v>
      </c>
      <c r="BD1247" s="9">
        <f>VLOOKUP(A1247,Jogos!A:BN,62,0)</f>
        <v>676.65</v>
      </c>
      <c r="BE1247" s="9">
        <f>VLOOKUP(A1247,Jogos!A:BN,63,0)</f>
        <v>1.775</v>
      </c>
      <c r="BF1247" s="9">
        <f>VLOOKUP(A1247,Jogos!A:BN,64,0)</f>
        <v>25.61</v>
      </c>
      <c r="BG1247" s="9">
        <f>VLOOKUP(A1247,Jogos!A:BN,65,0)</f>
        <v>46.015</v>
      </c>
      <c r="BH1247" s="9">
        <f>VLOOKUP(A1247,Jogos!A:BN,66,0)</f>
        <v>30.26</v>
      </c>
      <c r="BI1247" s="9"/>
      <c r="BJ1247" s="9"/>
    </row>
    <row r="1248" hidden="1">
      <c r="A1248" s="10">
        <v>42.0</v>
      </c>
      <c r="B1248" s="11" t="s">
        <v>562</v>
      </c>
      <c r="C1248" s="2" t="s">
        <v>61</v>
      </c>
      <c r="D1248" s="12">
        <v>45833.0</v>
      </c>
      <c r="E1248" s="13">
        <v>0.625</v>
      </c>
      <c r="F1248" s="5" t="str">
        <f>VLOOKUP(A1248,Jogos!A:N,10,0)</f>
        <v>Afternoon</v>
      </c>
      <c r="G1248" s="11" t="s">
        <v>62</v>
      </c>
      <c r="H1248" s="6" t="str">
        <f>VLOOKUP(A1248,Jogos!A:L,12,0)</f>
        <v>Open</v>
      </c>
      <c r="I1248" s="6" t="str">
        <f>VLOOKUP(G1248,'Estádios e Cidades'!A:B,2,0)</f>
        <v>Miami Gardens - Flórida</v>
      </c>
      <c r="J1248" s="11" t="s">
        <v>563</v>
      </c>
      <c r="K1248" s="2" t="str">
        <f>VLOOKUP(J1248,Equipes!A:F,6,0)</f>
        <v>Tropical</v>
      </c>
      <c r="L1248" s="2">
        <f>VLOOKUP(J1248,Equipes!A:C,3,0)</f>
        <v>4</v>
      </c>
      <c r="M1248" s="2" t="str">
        <f t="shared" si="4"/>
        <v>Semi-final</v>
      </c>
      <c r="N1248" s="11" t="s">
        <v>688</v>
      </c>
      <c r="O1248" s="2">
        <f>VLOOKUP(N1248,Equipes!A:C,3,0)</f>
        <v>18</v>
      </c>
      <c r="P1248" s="2" t="str">
        <f t="shared" si="5"/>
        <v>Group</v>
      </c>
      <c r="Q1248" s="2">
        <f t="shared" si="6"/>
        <v>-14</v>
      </c>
      <c r="R1248" s="2" t="str">
        <f>VLOOKUP(J1248,Equipes!A:B,2,0)</f>
        <v>Fluminense</v>
      </c>
      <c r="S1248" s="6" t="s">
        <v>573</v>
      </c>
      <c r="T1248" s="7">
        <v>9.0</v>
      </c>
      <c r="U1248" s="7" t="s">
        <v>574</v>
      </c>
      <c r="V1248" s="7" t="str">
        <f>VLOOKUP(U1248,Jogadores!B:C,2,0)</f>
        <v>FW</v>
      </c>
      <c r="W1248" s="8">
        <f>VLOOKUP(U1248,Jogadores!B:D,3,0)</f>
        <v>34.08767123</v>
      </c>
      <c r="X1248" s="7">
        <v>86.0</v>
      </c>
      <c r="Y1248" s="7">
        <f t="shared" si="3896"/>
        <v>98</v>
      </c>
      <c r="Z1248" s="7">
        <f>VLOOKUP(A1248,Jogos!A:L,3,0)</f>
        <v>49</v>
      </c>
      <c r="AA1248" s="7">
        <f t="shared" si="2229"/>
        <v>0</v>
      </c>
      <c r="AB1248" s="7">
        <f>VLOOKUP(A1248,Jogos!A:L,4,0)</f>
        <v>53</v>
      </c>
      <c r="AC1248" s="7">
        <f t="shared" si="2230"/>
        <v>12</v>
      </c>
      <c r="AD1248" s="7"/>
      <c r="AE1248" s="7"/>
      <c r="AF1248" s="7">
        <f t="shared" si="2231"/>
        <v>12</v>
      </c>
      <c r="AG1248" s="7">
        <v>1255.2</v>
      </c>
      <c r="AH1248" s="7">
        <v>477.0</v>
      </c>
      <c r="AI1248" s="7">
        <v>434.5</v>
      </c>
      <c r="AJ1248" s="7">
        <v>242.1</v>
      </c>
      <c r="AK1248" s="7">
        <v>79.2</v>
      </c>
      <c r="AL1248" s="7">
        <v>22.5</v>
      </c>
      <c r="AM1248" s="7">
        <v>19.0</v>
      </c>
      <c r="AN1248" s="7">
        <v>8.0</v>
      </c>
      <c r="AO1248" s="7">
        <v>30.4</v>
      </c>
      <c r="AP1248" s="9">
        <f t="shared" ref="AP1248:AR1248" si="3897">AG1248/$AF1248</f>
        <v>104.6</v>
      </c>
      <c r="AQ1248" s="9">
        <f t="shared" si="3897"/>
        <v>39.75</v>
      </c>
      <c r="AR1248" s="9">
        <f t="shared" si="3897"/>
        <v>36.20833333</v>
      </c>
      <c r="AS1248" s="9">
        <f t="shared" si="2233"/>
        <v>75.95833333</v>
      </c>
      <c r="AT1248" s="9">
        <f t="shared" ref="AT1248:AV1248" si="3898">AJ1248/$AF1248</f>
        <v>20.175</v>
      </c>
      <c r="AU1248" s="9">
        <f t="shared" si="3898"/>
        <v>6.6</v>
      </c>
      <c r="AV1248" s="9">
        <f t="shared" si="3898"/>
        <v>1.875</v>
      </c>
      <c r="AW1248" s="9">
        <f t="shared" si="2235"/>
        <v>8.475</v>
      </c>
      <c r="AX1248" s="9">
        <f t="shared" ref="AX1248:AY1248" si="3899">AM1248/$AF1248</f>
        <v>1.583333333</v>
      </c>
      <c r="AY1248" s="9">
        <f t="shared" si="3899"/>
        <v>0.6666666667</v>
      </c>
      <c r="AZ1248" s="9">
        <f>VLOOKUP(A1248,Jogos!A:BN,58,0)</f>
        <v>31.34</v>
      </c>
      <c r="BA1248" s="9">
        <f>VLOOKUP(A1248,Jogos!A:BN,59,0)</f>
        <v>21.79</v>
      </c>
      <c r="BB1248" s="9">
        <f>VLOOKUP(A1248,Jogos!A:BN,60,0)</f>
        <v>56</v>
      </c>
      <c r="BC1248" s="9">
        <f>VLOOKUP(A1248,Jogos!A:BN,61,0)</f>
        <v>32.65</v>
      </c>
      <c r="BD1248" s="9">
        <f>VLOOKUP(A1248,Jogos!A:BN,62,0)</f>
        <v>676.65</v>
      </c>
      <c r="BE1248" s="9">
        <f>VLOOKUP(A1248,Jogos!A:BN,63,0)</f>
        <v>1.775</v>
      </c>
      <c r="BF1248" s="9">
        <f>VLOOKUP(A1248,Jogos!A:BN,64,0)</f>
        <v>25.61</v>
      </c>
      <c r="BG1248" s="9">
        <f>VLOOKUP(A1248,Jogos!A:BN,65,0)</f>
        <v>46.015</v>
      </c>
      <c r="BH1248" s="9">
        <f>VLOOKUP(A1248,Jogos!A:BN,66,0)</f>
        <v>30.26</v>
      </c>
      <c r="BI1248" s="9"/>
      <c r="BJ1248" s="9"/>
    </row>
    <row r="1249" hidden="1">
      <c r="A1249" s="10">
        <v>42.0</v>
      </c>
      <c r="B1249" s="11" t="s">
        <v>562</v>
      </c>
      <c r="C1249" s="2" t="s">
        <v>61</v>
      </c>
      <c r="D1249" s="12">
        <v>45833.0</v>
      </c>
      <c r="E1249" s="13">
        <v>0.625</v>
      </c>
      <c r="F1249" s="5" t="str">
        <f>VLOOKUP(A1249,Jogos!A:N,10,0)</f>
        <v>Afternoon</v>
      </c>
      <c r="G1249" s="11" t="s">
        <v>62</v>
      </c>
      <c r="H1249" s="6" t="str">
        <f>VLOOKUP(A1249,Jogos!A:L,12,0)</f>
        <v>Open</v>
      </c>
      <c r="I1249" s="6" t="str">
        <f>VLOOKUP(G1249,'Estádios e Cidades'!A:B,2,0)</f>
        <v>Miami Gardens - Flórida</v>
      </c>
      <c r="J1249" s="11" t="s">
        <v>563</v>
      </c>
      <c r="K1249" s="2" t="str">
        <f>VLOOKUP(J1249,Equipes!A:F,6,0)</f>
        <v>Tropical</v>
      </c>
      <c r="L1249" s="2">
        <f>VLOOKUP(J1249,Equipes!A:C,3,0)</f>
        <v>4</v>
      </c>
      <c r="M1249" s="2" t="str">
        <f t="shared" si="4"/>
        <v>Semi-final</v>
      </c>
      <c r="N1249" s="11" t="s">
        <v>688</v>
      </c>
      <c r="O1249" s="2">
        <f>VLOOKUP(N1249,Equipes!A:C,3,0)</f>
        <v>18</v>
      </c>
      <c r="P1249" s="2" t="str">
        <f t="shared" si="5"/>
        <v>Group</v>
      </c>
      <c r="Q1249" s="2">
        <f t="shared" si="6"/>
        <v>-14</v>
      </c>
      <c r="R1249" s="2" t="str">
        <f>VLOOKUP(J1249,Equipes!A:B,2,0)</f>
        <v>Fluminense</v>
      </c>
      <c r="S1249" s="6" t="s">
        <v>1172</v>
      </c>
      <c r="T1249" s="7">
        <v>11.0</v>
      </c>
      <c r="U1249" s="7" t="s">
        <v>1173</v>
      </c>
      <c r="V1249" s="7" t="str">
        <f>VLOOKUP(U1249,Jogadores!B:C,2,0)</f>
        <v>FW</v>
      </c>
      <c r="W1249" s="8">
        <f>VLOOKUP(U1249,Jogadores!B:D,3,0)</f>
        <v>35.90410959</v>
      </c>
      <c r="X1249" s="7">
        <v>67.0</v>
      </c>
      <c r="Y1249" s="7">
        <f t="shared" si="3896"/>
        <v>98</v>
      </c>
      <c r="Z1249" s="7">
        <f>VLOOKUP(A1249,Jogos!A:L,3,0)</f>
        <v>49</v>
      </c>
      <c r="AA1249" s="7">
        <f t="shared" si="2229"/>
        <v>0</v>
      </c>
      <c r="AB1249" s="7">
        <f>VLOOKUP(A1249,Jogos!A:L,4,0)</f>
        <v>53</v>
      </c>
      <c r="AC1249" s="7">
        <f t="shared" si="2230"/>
        <v>31</v>
      </c>
      <c r="AD1249" s="7"/>
      <c r="AE1249" s="7"/>
      <c r="AF1249" s="7">
        <f t="shared" si="2231"/>
        <v>31</v>
      </c>
      <c r="AG1249" s="7">
        <v>2486.0</v>
      </c>
      <c r="AH1249" s="7">
        <v>1267.8</v>
      </c>
      <c r="AI1249" s="7">
        <v>743.6</v>
      </c>
      <c r="AJ1249" s="7">
        <v>310.7</v>
      </c>
      <c r="AK1249" s="7">
        <v>135.9</v>
      </c>
      <c r="AL1249" s="7">
        <v>28.0</v>
      </c>
      <c r="AM1249" s="7">
        <v>30.0</v>
      </c>
      <c r="AN1249" s="7">
        <v>11.0</v>
      </c>
      <c r="AO1249" s="7">
        <v>29.4</v>
      </c>
      <c r="AP1249" s="9">
        <f t="shared" ref="AP1249:AR1249" si="3900">AG1249/$AF1249</f>
        <v>80.19354839</v>
      </c>
      <c r="AQ1249" s="9">
        <f t="shared" si="3900"/>
        <v>40.89677419</v>
      </c>
      <c r="AR1249" s="9">
        <f t="shared" si="3900"/>
        <v>23.98709677</v>
      </c>
      <c r="AS1249" s="9">
        <f t="shared" si="2233"/>
        <v>64.88387097</v>
      </c>
      <c r="AT1249" s="9">
        <f t="shared" ref="AT1249:AV1249" si="3901">AJ1249/$AF1249</f>
        <v>10.02258065</v>
      </c>
      <c r="AU1249" s="9">
        <f t="shared" si="3901"/>
        <v>4.383870968</v>
      </c>
      <c r="AV1249" s="9">
        <f t="shared" si="3901"/>
        <v>0.9032258065</v>
      </c>
      <c r="AW1249" s="9">
        <f t="shared" si="2235"/>
        <v>5.287096774</v>
      </c>
      <c r="AX1249" s="9">
        <f t="shared" ref="AX1249:AY1249" si="3902">AM1249/$AF1249</f>
        <v>0.9677419355</v>
      </c>
      <c r="AY1249" s="9">
        <f t="shared" si="3902"/>
        <v>0.3548387097</v>
      </c>
      <c r="AZ1249" s="9">
        <f>VLOOKUP(A1249,Jogos!A:BN,58,0)</f>
        <v>31.34</v>
      </c>
      <c r="BA1249" s="9">
        <f>VLOOKUP(A1249,Jogos!A:BN,59,0)</f>
        <v>21.79</v>
      </c>
      <c r="BB1249" s="9">
        <f>VLOOKUP(A1249,Jogos!A:BN,60,0)</f>
        <v>56</v>
      </c>
      <c r="BC1249" s="9">
        <f>VLOOKUP(A1249,Jogos!A:BN,61,0)</f>
        <v>32.65</v>
      </c>
      <c r="BD1249" s="9">
        <f>VLOOKUP(A1249,Jogos!A:BN,62,0)</f>
        <v>676.65</v>
      </c>
      <c r="BE1249" s="9">
        <f>VLOOKUP(A1249,Jogos!A:BN,63,0)</f>
        <v>1.775</v>
      </c>
      <c r="BF1249" s="9">
        <f>VLOOKUP(A1249,Jogos!A:BN,64,0)</f>
        <v>25.61</v>
      </c>
      <c r="BG1249" s="9">
        <f>VLOOKUP(A1249,Jogos!A:BN,65,0)</f>
        <v>46.015</v>
      </c>
      <c r="BH1249" s="9">
        <f>VLOOKUP(A1249,Jogos!A:BN,66,0)</f>
        <v>30.26</v>
      </c>
      <c r="BI1249" s="9"/>
      <c r="BJ1249" s="9"/>
    </row>
    <row r="1250" hidden="1">
      <c r="A1250" s="10">
        <v>42.0</v>
      </c>
      <c r="B1250" s="11" t="s">
        <v>562</v>
      </c>
      <c r="C1250" s="2" t="s">
        <v>61</v>
      </c>
      <c r="D1250" s="12">
        <v>45833.0</v>
      </c>
      <c r="E1250" s="13">
        <v>0.625</v>
      </c>
      <c r="F1250" s="5" t="str">
        <f>VLOOKUP(A1250,Jogos!A:N,10,0)</f>
        <v>Afternoon</v>
      </c>
      <c r="G1250" s="11" t="s">
        <v>62</v>
      </c>
      <c r="H1250" s="6" t="str">
        <f>VLOOKUP(A1250,Jogos!A:L,12,0)</f>
        <v>Open</v>
      </c>
      <c r="I1250" s="6" t="str">
        <f>VLOOKUP(G1250,'Estádios e Cidades'!A:B,2,0)</f>
        <v>Miami Gardens - Flórida</v>
      </c>
      <c r="J1250" s="11" t="s">
        <v>563</v>
      </c>
      <c r="K1250" s="2" t="str">
        <f>VLOOKUP(J1250,Equipes!A:F,6,0)</f>
        <v>Tropical</v>
      </c>
      <c r="L1250" s="2">
        <f>VLOOKUP(J1250,Equipes!A:C,3,0)</f>
        <v>4</v>
      </c>
      <c r="M1250" s="2" t="str">
        <f t="shared" si="4"/>
        <v>Semi-final</v>
      </c>
      <c r="N1250" s="11" t="s">
        <v>688</v>
      </c>
      <c r="O1250" s="2">
        <f>VLOOKUP(N1250,Equipes!A:C,3,0)</f>
        <v>18</v>
      </c>
      <c r="P1250" s="2" t="str">
        <f t="shared" si="5"/>
        <v>Group</v>
      </c>
      <c r="Q1250" s="2">
        <f t="shared" si="6"/>
        <v>-14</v>
      </c>
      <c r="R1250" s="2" t="str">
        <f>VLOOKUP(J1250,Equipes!A:B,2,0)</f>
        <v>Fluminense</v>
      </c>
      <c r="S1250" s="6" t="s">
        <v>1307</v>
      </c>
      <c r="T1250" s="7">
        <v>29.0</v>
      </c>
      <c r="U1250" s="7" t="s">
        <v>1308</v>
      </c>
      <c r="V1250" s="7" t="str">
        <f>VLOOKUP(U1250,Jogadores!B:C,2,0)</f>
        <v>DF</v>
      </c>
      <c r="W1250" s="8">
        <f>VLOOKUP(U1250,Jogadores!B:D,3,0)</f>
        <v>36.26575342</v>
      </c>
      <c r="X1250" s="7">
        <v>86.0</v>
      </c>
      <c r="Y1250" s="7">
        <f t="shared" si="3896"/>
        <v>98</v>
      </c>
      <c r="Z1250" s="7">
        <f>VLOOKUP(A1250,Jogos!A:L,3,0)</f>
        <v>49</v>
      </c>
      <c r="AA1250" s="7">
        <f t="shared" si="2229"/>
        <v>0</v>
      </c>
      <c r="AB1250" s="7">
        <f>VLOOKUP(A1250,Jogos!A:L,4,0)</f>
        <v>53</v>
      </c>
      <c r="AC1250" s="7">
        <f t="shared" si="2230"/>
        <v>12</v>
      </c>
      <c r="AD1250" s="7"/>
      <c r="AE1250" s="7"/>
      <c r="AF1250" s="7">
        <f t="shared" si="2231"/>
        <v>12</v>
      </c>
      <c r="AG1250" s="7">
        <v>1249.9</v>
      </c>
      <c r="AH1250" s="7">
        <v>482.9</v>
      </c>
      <c r="AI1250" s="7">
        <v>439.0</v>
      </c>
      <c r="AJ1250" s="7">
        <v>219.4</v>
      </c>
      <c r="AK1250" s="7">
        <v>88.2</v>
      </c>
      <c r="AL1250" s="7">
        <v>20.4</v>
      </c>
      <c r="AM1250" s="7">
        <v>19.0</v>
      </c>
      <c r="AN1250" s="7">
        <v>6.0</v>
      </c>
      <c r="AO1250" s="7">
        <v>26.2</v>
      </c>
      <c r="AP1250" s="9">
        <f t="shared" ref="AP1250:AR1250" si="3903">AG1250/$AF1250</f>
        <v>104.1583333</v>
      </c>
      <c r="AQ1250" s="9">
        <f t="shared" si="3903"/>
        <v>40.24166667</v>
      </c>
      <c r="AR1250" s="9">
        <f t="shared" si="3903"/>
        <v>36.58333333</v>
      </c>
      <c r="AS1250" s="9">
        <f t="shared" si="2233"/>
        <v>76.825</v>
      </c>
      <c r="AT1250" s="9">
        <f t="shared" ref="AT1250:AV1250" si="3904">AJ1250/$AF1250</f>
        <v>18.28333333</v>
      </c>
      <c r="AU1250" s="9">
        <f t="shared" si="3904"/>
        <v>7.35</v>
      </c>
      <c r="AV1250" s="9">
        <f t="shared" si="3904"/>
        <v>1.7</v>
      </c>
      <c r="AW1250" s="9">
        <f t="shared" si="2235"/>
        <v>9.05</v>
      </c>
      <c r="AX1250" s="9">
        <f t="shared" ref="AX1250:AY1250" si="3905">AM1250/$AF1250</f>
        <v>1.583333333</v>
      </c>
      <c r="AY1250" s="9">
        <f t="shared" si="3905"/>
        <v>0.5</v>
      </c>
      <c r="AZ1250" s="9">
        <f>VLOOKUP(A1250,Jogos!A:BN,58,0)</f>
        <v>31.34</v>
      </c>
      <c r="BA1250" s="9">
        <f>VLOOKUP(A1250,Jogos!A:BN,59,0)</f>
        <v>21.79</v>
      </c>
      <c r="BB1250" s="9">
        <f>VLOOKUP(A1250,Jogos!A:BN,60,0)</f>
        <v>56</v>
      </c>
      <c r="BC1250" s="9">
        <f>VLOOKUP(A1250,Jogos!A:BN,61,0)</f>
        <v>32.65</v>
      </c>
      <c r="BD1250" s="9">
        <f>VLOOKUP(A1250,Jogos!A:BN,62,0)</f>
        <v>676.65</v>
      </c>
      <c r="BE1250" s="9">
        <f>VLOOKUP(A1250,Jogos!A:BN,63,0)</f>
        <v>1.775</v>
      </c>
      <c r="BF1250" s="9">
        <f>VLOOKUP(A1250,Jogos!A:BN,64,0)</f>
        <v>25.61</v>
      </c>
      <c r="BG1250" s="9">
        <f>VLOOKUP(A1250,Jogos!A:BN,65,0)</f>
        <v>46.015</v>
      </c>
      <c r="BH1250" s="9">
        <f>VLOOKUP(A1250,Jogos!A:BN,66,0)</f>
        <v>30.26</v>
      </c>
      <c r="BI1250" s="9"/>
      <c r="BJ1250" s="9"/>
    </row>
    <row r="1251" hidden="1">
      <c r="A1251" s="10">
        <v>42.0</v>
      </c>
      <c r="B1251" s="11" t="s">
        <v>562</v>
      </c>
      <c r="C1251" s="2" t="s">
        <v>61</v>
      </c>
      <c r="D1251" s="12">
        <v>45833.0</v>
      </c>
      <c r="E1251" s="13">
        <v>0.625</v>
      </c>
      <c r="F1251" s="5" t="str">
        <f>VLOOKUP(A1251,Jogos!A:N,10,0)</f>
        <v>Afternoon</v>
      </c>
      <c r="G1251" s="11" t="s">
        <v>62</v>
      </c>
      <c r="H1251" s="6" t="str">
        <f>VLOOKUP(A1251,Jogos!A:L,12,0)</f>
        <v>Open</v>
      </c>
      <c r="I1251" s="6" t="str">
        <f>VLOOKUP(G1251,'Estádios e Cidades'!A:B,2,0)</f>
        <v>Miami Gardens - Flórida</v>
      </c>
      <c r="J1251" s="11" t="s">
        <v>563</v>
      </c>
      <c r="K1251" s="2" t="str">
        <f>VLOOKUP(J1251,Equipes!A:F,6,0)</f>
        <v>Tropical</v>
      </c>
      <c r="L1251" s="2">
        <f>VLOOKUP(J1251,Equipes!A:C,3,0)</f>
        <v>4</v>
      </c>
      <c r="M1251" s="2" t="str">
        <f t="shared" si="4"/>
        <v>Semi-final</v>
      </c>
      <c r="N1251" s="11" t="s">
        <v>688</v>
      </c>
      <c r="O1251" s="2">
        <f>VLOOKUP(N1251,Equipes!A:C,3,0)</f>
        <v>18</v>
      </c>
      <c r="P1251" s="2" t="str">
        <f t="shared" si="5"/>
        <v>Group</v>
      </c>
      <c r="Q1251" s="2">
        <f t="shared" si="6"/>
        <v>-14</v>
      </c>
      <c r="R1251" s="2" t="str">
        <f>VLOOKUP(J1251,Equipes!A:B,2,0)</f>
        <v>Fluminense</v>
      </c>
      <c r="S1251" s="6" t="s">
        <v>587</v>
      </c>
      <c r="T1251" s="7">
        <v>45.0</v>
      </c>
      <c r="U1251" s="7" t="s">
        <v>588</v>
      </c>
      <c r="V1251" s="7" t="str">
        <f>VLOOKUP(U1251,Jogadores!B:C,2,0)</f>
        <v>MF</v>
      </c>
      <c r="W1251" s="8">
        <f>VLOOKUP(U1251,Jogadores!B:D,3,0)</f>
        <v>29.14794521</v>
      </c>
      <c r="X1251" s="7">
        <v>77.0</v>
      </c>
      <c r="Y1251" s="7">
        <f t="shared" si="3896"/>
        <v>98</v>
      </c>
      <c r="Z1251" s="7">
        <f>VLOOKUP(A1251,Jogos!A:L,3,0)</f>
        <v>49</v>
      </c>
      <c r="AA1251" s="7">
        <f t="shared" si="2229"/>
        <v>0</v>
      </c>
      <c r="AB1251" s="7">
        <f>VLOOKUP(A1251,Jogos!A:L,4,0)</f>
        <v>53</v>
      </c>
      <c r="AC1251" s="7">
        <f t="shared" si="2230"/>
        <v>21</v>
      </c>
      <c r="AD1251" s="7"/>
      <c r="AE1251" s="7"/>
      <c r="AF1251" s="7">
        <f t="shared" si="2231"/>
        <v>21</v>
      </c>
      <c r="AG1251" s="7">
        <v>2213.7</v>
      </c>
      <c r="AH1251" s="7">
        <v>710.8</v>
      </c>
      <c r="AI1251" s="7">
        <v>1064.2</v>
      </c>
      <c r="AJ1251" s="7">
        <v>374.6</v>
      </c>
      <c r="AK1251" s="7">
        <v>41.9</v>
      </c>
      <c r="AL1251" s="7">
        <v>22.1</v>
      </c>
      <c r="AM1251" s="7">
        <v>31.0</v>
      </c>
      <c r="AN1251" s="7">
        <v>4.0</v>
      </c>
      <c r="AO1251" s="7">
        <v>28.6</v>
      </c>
      <c r="AP1251" s="9">
        <f t="shared" ref="AP1251:AR1251" si="3906">AG1251/$AF1251</f>
        <v>105.4142857</v>
      </c>
      <c r="AQ1251" s="9">
        <f t="shared" si="3906"/>
        <v>33.84761905</v>
      </c>
      <c r="AR1251" s="9">
        <f t="shared" si="3906"/>
        <v>50.67619048</v>
      </c>
      <c r="AS1251" s="9">
        <f t="shared" si="2233"/>
        <v>84.52380952</v>
      </c>
      <c r="AT1251" s="9">
        <f t="shared" ref="AT1251:AV1251" si="3907">AJ1251/$AF1251</f>
        <v>17.83809524</v>
      </c>
      <c r="AU1251" s="9">
        <f t="shared" si="3907"/>
        <v>1.995238095</v>
      </c>
      <c r="AV1251" s="9">
        <f t="shared" si="3907"/>
        <v>1.052380952</v>
      </c>
      <c r="AW1251" s="9">
        <f t="shared" si="2235"/>
        <v>3.047619048</v>
      </c>
      <c r="AX1251" s="9">
        <f t="shared" ref="AX1251:AY1251" si="3908">AM1251/$AF1251</f>
        <v>1.476190476</v>
      </c>
      <c r="AY1251" s="9">
        <f t="shared" si="3908"/>
        <v>0.1904761905</v>
      </c>
      <c r="AZ1251" s="9">
        <f>VLOOKUP(A1251,Jogos!A:BN,58,0)</f>
        <v>31.34</v>
      </c>
      <c r="BA1251" s="9">
        <f>VLOOKUP(A1251,Jogos!A:BN,59,0)</f>
        <v>21.79</v>
      </c>
      <c r="BB1251" s="9">
        <f>VLOOKUP(A1251,Jogos!A:BN,60,0)</f>
        <v>56</v>
      </c>
      <c r="BC1251" s="9">
        <f>VLOOKUP(A1251,Jogos!A:BN,61,0)</f>
        <v>32.65</v>
      </c>
      <c r="BD1251" s="9">
        <f>VLOOKUP(A1251,Jogos!A:BN,62,0)</f>
        <v>676.65</v>
      </c>
      <c r="BE1251" s="9">
        <f>VLOOKUP(A1251,Jogos!A:BN,63,0)</f>
        <v>1.775</v>
      </c>
      <c r="BF1251" s="9">
        <f>VLOOKUP(A1251,Jogos!A:BN,64,0)</f>
        <v>25.61</v>
      </c>
      <c r="BG1251" s="9">
        <f>VLOOKUP(A1251,Jogos!A:BN,65,0)</f>
        <v>46.015</v>
      </c>
      <c r="BH1251" s="9">
        <f>VLOOKUP(A1251,Jogos!A:BN,66,0)</f>
        <v>30.26</v>
      </c>
      <c r="BI1251" s="9"/>
      <c r="BJ1251" s="9"/>
    </row>
    <row r="1252" hidden="1">
      <c r="A1252" s="2">
        <v>43.0</v>
      </c>
      <c r="B1252" s="11" t="s">
        <v>623</v>
      </c>
      <c r="C1252" s="2" t="s">
        <v>61</v>
      </c>
      <c r="D1252" s="3">
        <v>45833.0</v>
      </c>
      <c r="E1252" s="4">
        <v>0.75</v>
      </c>
      <c r="F1252" s="5" t="str">
        <f>VLOOKUP(A1252,Jogos!A:N,10,0)</f>
        <v>Evening</v>
      </c>
      <c r="G1252" s="2" t="s">
        <v>312</v>
      </c>
      <c r="H1252" s="6" t="str">
        <f>VLOOKUP(A1252,Jogos!A:L,12,0)</f>
        <v>Open</v>
      </c>
      <c r="I1252" s="6" t="str">
        <f>VLOOKUP(G1252,'Estádios e Cidades'!A:B,2,0)</f>
        <v>Seatte</v>
      </c>
      <c r="J1252" s="2" t="s">
        <v>748</v>
      </c>
      <c r="K1252" s="2" t="str">
        <f>VLOOKUP(J1252,Equipes!A:F,6,0)</f>
        <v>Temperate</v>
      </c>
      <c r="L1252" s="2">
        <f>VLOOKUP(J1252,Equipes!A:C,3,0)</f>
        <v>12</v>
      </c>
      <c r="M1252" s="2" t="str">
        <f t="shared" si="4"/>
        <v>Round of 16</v>
      </c>
      <c r="N1252" s="2" t="s">
        <v>624</v>
      </c>
      <c r="O1252" s="2">
        <f>VLOOKUP(N1252,Equipes!A:C,3,0)</f>
        <v>19</v>
      </c>
      <c r="P1252" s="2" t="str">
        <f t="shared" si="5"/>
        <v>Group</v>
      </c>
      <c r="Q1252" s="2">
        <f t="shared" si="6"/>
        <v>-7</v>
      </c>
      <c r="R1252" s="2" t="str">
        <f>VLOOKUP(J1252,Equipes!A:B,2,0)</f>
        <v>InterMilano</v>
      </c>
      <c r="S1252" s="6" t="s">
        <v>1309</v>
      </c>
      <c r="T1252" s="7">
        <v>2.0</v>
      </c>
      <c r="U1252" s="7" t="s">
        <v>1310</v>
      </c>
      <c r="V1252" s="7" t="s">
        <v>1311</v>
      </c>
      <c r="W1252" s="8">
        <f>VLOOKUP(U1252,Jogadores!B:D,3,0)</f>
        <v>29.29589041</v>
      </c>
      <c r="X1252" s="7">
        <v>0.0</v>
      </c>
      <c r="Y1252" s="7">
        <f t="shared" si="3896"/>
        <v>96</v>
      </c>
      <c r="Z1252" s="7">
        <f>VLOOKUP(A1252,Jogos!A:L,3,0)</f>
        <v>47</v>
      </c>
      <c r="AA1252" s="7">
        <f t="shared" si="2229"/>
        <v>47</v>
      </c>
      <c r="AB1252" s="7">
        <f>VLOOKUP(A1252,Jogos!A:L,4,0)</f>
        <v>51</v>
      </c>
      <c r="AC1252" s="7">
        <f t="shared" si="2230"/>
        <v>51</v>
      </c>
      <c r="AD1252" s="7"/>
      <c r="AE1252" s="7"/>
      <c r="AF1252" s="7">
        <f t="shared" si="2231"/>
        <v>98</v>
      </c>
      <c r="AG1252" s="7">
        <v>10109.6</v>
      </c>
      <c r="AH1252" s="7">
        <v>4178.9</v>
      </c>
      <c r="AI1252" s="7">
        <v>3129.2</v>
      </c>
      <c r="AJ1252" s="7">
        <v>1550.5</v>
      </c>
      <c r="AK1252" s="7">
        <v>831.3</v>
      </c>
      <c r="AL1252" s="7">
        <v>419.6</v>
      </c>
      <c r="AM1252" s="7">
        <v>135.0</v>
      </c>
      <c r="AN1252" s="7">
        <v>64.0</v>
      </c>
      <c r="AO1252" s="7">
        <v>33.1</v>
      </c>
      <c r="AP1252" s="9">
        <f t="shared" ref="AP1252:AR1252" si="3909">AG1252/$AF1252</f>
        <v>103.1591837</v>
      </c>
      <c r="AQ1252" s="9">
        <f t="shared" si="3909"/>
        <v>42.64183673</v>
      </c>
      <c r="AR1252" s="9">
        <f t="shared" si="3909"/>
        <v>31.93061224</v>
      </c>
      <c r="AS1252" s="9">
        <f t="shared" si="2233"/>
        <v>74.57244898</v>
      </c>
      <c r="AT1252" s="9">
        <f t="shared" ref="AT1252:AV1252" si="3910">AJ1252/$AF1252</f>
        <v>15.82142857</v>
      </c>
      <c r="AU1252" s="9">
        <f t="shared" si="3910"/>
        <v>8.482653061</v>
      </c>
      <c r="AV1252" s="9">
        <f t="shared" si="3910"/>
        <v>4.281632653</v>
      </c>
      <c r="AW1252" s="9">
        <f t="shared" si="2235"/>
        <v>12.76428571</v>
      </c>
      <c r="AX1252" s="9">
        <f t="shared" ref="AX1252:AY1252" si="3911">AM1252/$AF1252</f>
        <v>1.37755102</v>
      </c>
      <c r="AY1252" s="9">
        <f t="shared" si="3911"/>
        <v>0.6530612245</v>
      </c>
      <c r="AZ1252" s="9">
        <f>VLOOKUP(A1252,Jogos!A:BN,58,0)</f>
        <v>19.79</v>
      </c>
      <c r="BA1252" s="9">
        <f>VLOOKUP(A1252,Jogos!A:BN,59,0)</f>
        <v>11.375</v>
      </c>
      <c r="BB1252" s="9">
        <f>VLOOKUP(A1252,Jogos!A:BN,60,0)</f>
        <v>57.5</v>
      </c>
      <c r="BC1252" s="9">
        <f>VLOOKUP(A1252,Jogos!A:BN,61,0)</f>
        <v>17.065</v>
      </c>
      <c r="BD1252" s="9">
        <f>VLOOKUP(A1252,Jogos!A:BN,62,0)</f>
        <v>197.15</v>
      </c>
      <c r="BE1252" s="9">
        <f>VLOOKUP(A1252,Jogos!A:BN,63,0)</f>
        <v>1.505</v>
      </c>
      <c r="BF1252" s="9">
        <f>VLOOKUP(A1252,Jogos!A:BN,64,0)</f>
        <v>17.4</v>
      </c>
      <c r="BG1252" s="9">
        <f>VLOOKUP(A1252,Jogos!A:BN,65,0)</f>
        <v>30.53</v>
      </c>
      <c r="BH1252" s="9">
        <f>VLOOKUP(A1252,Jogos!A:BN,66,0)</f>
        <v>20.265</v>
      </c>
      <c r="BI1252" s="9"/>
      <c r="BJ1252" s="9"/>
    </row>
    <row r="1253" hidden="1">
      <c r="A1253" s="2">
        <v>43.0</v>
      </c>
      <c r="B1253" s="11" t="s">
        <v>623</v>
      </c>
      <c r="C1253" s="2" t="s">
        <v>61</v>
      </c>
      <c r="D1253" s="3">
        <v>45833.0</v>
      </c>
      <c r="E1253" s="4">
        <v>0.75</v>
      </c>
      <c r="F1253" s="5" t="str">
        <f>VLOOKUP(A1253,Jogos!A:N,10,0)</f>
        <v>Evening</v>
      </c>
      <c r="G1253" s="2" t="s">
        <v>312</v>
      </c>
      <c r="H1253" s="6" t="str">
        <f>VLOOKUP(A1253,Jogos!A:L,12,0)</f>
        <v>Open</v>
      </c>
      <c r="I1253" s="6" t="str">
        <f>VLOOKUP(G1253,'Estádios e Cidades'!A:B,2,0)</f>
        <v>Seatte</v>
      </c>
      <c r="J1253" s="2" t="s">
        <v>748</v>
      </c>
      <c r="K1253" s="2" t="str">
        <f>VLOOKUP(J1253,Equipes!A:F,6,0)</f>
        <v>Temperate</v>
      </c>
      <c r="L1253" s="2">
        <f>VLOOKUP(J1253,Equipes!A:C,3,0)</f>
        <v>12</v>
      </c>
      <c r="M1253" s="2" t="str">
        <f t="shared" si="4"/>
        <v>Round of 16</v>
      </c>
      <c r="N1253" s="2" t="s">
        <v>624</v>
      </c>
      <c r="O1253" s="2">
        <f>VLOOKUP(N1253,Equipes!A:C,3,0)</f>
        <v>19</v>
      </c>
      <c r="P1253" s="2" t="str">
        <f t="shared" si="5"/>
        <v>Group</v>
      </c>
      <c r="Q1253" s="2">
        <f t="shared" si="6"/>
        <v>-7</v>
      </c>
      <c r="R1253" s="2" t="str">
        <f>VLOOKUP(J1253,Equipes!A:B,2,0)</f>
        <v>InterMilano</v>
      </c>
      <c r="S1253" s="6" t="s">
        <v>779</v>
      </c>
      <c r="T1253" s="7">
        <v>10.0</v>
      </c>
      <c r="U1253" s="7" t="s">
        <v>780</v>
      </c>
      <c r="V1253" s="7" t="str">
        <f>VLOOKUP(U1253,Jogadores!B:C,2,0)</f>
        <v>FW</v>
      </c>
      <c r="W1253" s="8">
        <f>VLOOKUP(U1253,Jogadores!B:D,3,0)</f>
        <v>27.95068493</v>
      </c>
      <c r="X1253" s="7">
        <v>0.0</v>
      </c>
      <c r="Y1253" s="7">
        <v>73.0</v>
      </c>
      <c r="Z1253" s="7">
        <f>VLOOKUP(A1253,Jogos!A:L,3,0)</f>
        <v>47</v>
      </c>
      <c r="AA1253" s="7">
        <f t="shared" si="2229"/>
        <v>47</v>
      </c>
      <c r="AB1253" s="7">
        <f>VLOOKUP(A1253,Jogos!A:L,4,0)</f>
        <v>51</v>
      </c>
      <c r="AC1253" s="7">
        <f t="shared" si="2230"/>
        <v>28</v>
      </c>
      <c r="AD1253" s="7"/>
      <c r="AE1253" s="7"/>
      <c r="AF1253" s="7">
        <f t="shared" si="2231"/>
        <v>75</v>
      </c>
      <c r="AG1253" s="7">
        <v>7368.6</v>
      </c>
      <c r="AH1253" s="7">
        <v>3066.4</v>
      </c>
      <c r="AI1253" s="7">
        <v>2823.5</v>
      </c>
      <c r="AJ1253" s="7">
        <v>867.4</v>
      </c>
      <c r="AK1253" s="7">
        <v>479.1</v>
      </c>
      <c r="AL1253" s="7">
        <v>132.1</v>
      </c>
      <c r="AM1253" s="7">
        <v>78.0</v>
      </c>
      <c r="AN1253" s="7">
        <v>32.0</v>
      </c>
      <c r="AO1253" s="7">
        <v>29.6</v>
      </c>
      <c r="AP1253" s="9">
        <f t="shared" ref="AP1253:AR1253" si="3912">AG1253/$AF1253</f>
        <v>98.248</v>
      </c>
      <c r="AQ1253" s="9">
        <f t="shared" si="3912"/>
        <v>40.88533333</v>
      </c>
      <c r="AR1253" s="9">
        <f t="shared" si="3912"/>
        <v>37.64666667</v>
      </c>
      <c r="AS1253" s="9">
        <f t="shared" si="2233"/>
        <v>78.532</v>
      </c>
      <c r="AT1253" s="9">
        <f t="shared" ref="AT1253:AV1253" si="3913">AJ1253/$AF1253</f>
        <v>11.56533333</v>
      </c>
      <c r="AU1253" s="9">
        <f t="shared" si="3913"/>
        <v>6.388</v>
      </c>
      <c r="AV1253" s="9">
        <f t="shared" si="3913"/>
        <v>1.761333333</v>
      </c>
      <c r="AW1253" s="9">
        <f t="shared" si="2235"/>
        <v>8.149333333</v>
      </c>
      <c r="AX1253" s="9">
        <f t="shared" ref="AX1253:AY1253" si="3914">AM1253/$AF1253</f>
        <v>1.04</v>
      </c>
      <c r="AY1253" s="9">
        <f t="shared" si="3914"/>
        <v>0.4266666667</v>
      </c>
      <c r="AZ1253" s="9">
        <f>VLOOKUP(A1253,Jogos!A:BN,58,0)</f>
        <v>19.79</v>
      </c>
      <c r="BA1253" s="9">
        <f>VLOOKUP(A1253,Jogos!A:BN,59,0)</f>
        <v>11.375</v>
      </c>
      <c r="BB1253" s="9">
        <f>VLOOKUP(A1253,Jogos!A:BN,60,0)</f>
        <v>57.5</v>
      </c>
      <c r="BC1253" s="9">
        <f>VLOOKUP(A1253,Jogos!A:BN,61,0)</f>
        <v>17.065</v>
      </c>
      <c r="BD1253" s="9">
        <f>VLOOKUP(A1253,Jogos!A:BN,62,0)</f>
        <v>197.15</v>
      </c>
      <c r="BE1253" s="9">
        <f>VLOOKUP(A1253,Jogos!A:BN,63,0)</f>
        <v>1.505</v>
      </c>
      <c r="BF1253" s="9">
        <f>VLOOKUP(A1253,Jogos!A:BN,64,0)</f>
        <v>17.4</v>
      </c>
      <c r="BG1253" s="9">
        <f>VLOOKUP(A1253,Jogos!A:BN,65,0)</f>
        <v>30.53</v>
      </c>
      <c r="BH1253" s="9">
        <f>VLOOKUP(A1253,Jogos!A:BN,66,0)</f>
        <v>20.265</v>
      </c>
      <c r="BI1253" s="9"/>
      <c r="BJ1253" s="9"/>
    </row>
    <row r="1254" hidden="1">
      <c r="A1254" s="2">
        <v>43.0</v>
      </c>
      <c r="B1254" s="11" t="s">
        <v>623</v>
      </c>
      <c r="C1254" s="2" t="s">
        <v>61</v>
      </c>
      <c r="D1254" s="3">
        <v>45833.0</v>
      </c>
      <c r="E1254" s="4">
        <v>0.75</v>
      </c>
      <c r="F1254" s="5" t="str">
        <f>VLOOKUP(A1254,Jogos!A:N,10,0)</f>
        <v>Evening</v>
      </c>
      <c r="G1254" s="2" t="s">
        <v>312</v>
      </c>
      <c r="H1254" s="6" t="str">
        <f>VLOOKUP(A1254,Jogos!A:L,12,0)</f>
        <v>Open</v>
      </c>
      <c r="I1254" s="6" t="str">
        <f>VLOOKUP(G1254,'Estádios e Cidades'!A:B,2,0)</f>
        <v>Seatte</v>
      </c>
      <c r="J1254" s="2" t="s">
        <v>748</v>
      </c>
      <c r="K1254" s="2" t="str">
        <f>VLOOKUP(J1254,Equipes!A:F,6,0)</f>
        <v>Temperate</v>
      </c>
      <c r="L1254" s="2">
        <f>VLOOKUP(J1254,Equipes!A:C,3,0)</f>
        <v>12</v>
      </c>
      <c r="M1254" s="2" t="str">
        <f t="shared" si="4"/>
        <v>Round of 16</v>
      </c>
      <c r="N1254" s="2" t="s">
        <v>624</v>
      </c>
      <c r="O1254" s="2">
        <f>VLOOKUP(N1254,Equipes!A:C,3,0)</f>
        <v>19</v>
      </c>
      <c r="P1254" s="2" t="str">
        <f t="shared" si="5"/>
        <v>Group</v>
      </c>
      <c r="Q1254" s="2">
        <f t="shared" si="6"/>
        <v>-7</v>
      </c>
      <c r="R1254" s="2" t="str">
        <f>VLOOKUP(J1254,Equipes!A:B,2,0)</f>
        <v>InterMilano</v>
      </c>
      <c r="S1254" s="6" t="s">
        <v>781</v>
      </c>
      <c r="T1254" s="7">
        <v>15.0</v>
      </c>
      <c r="U1254" s="7" t="s">
        <v>782</v>
      </c>
      <c r="V1254" s="7" t="str">
        <f>VLOOKUP(U1254,Jogadores!B:C,2,0)</f>
        <v>DF</v>
      </c>
      <c r="W1254" s="8">
        <f>VLOOKUP(U1254,Jogadores!B:D,3,0)</f>
        <v>37.48767123</v>
      </c>
      <c r="X1254" s="7">
        <v>0.0</v>
      </c>
      <c r="Y1254" s="7">
        <f t="shared" ref="Y1254:Y1256" si="3918">45+AB1254</f>
        <v>96</v>
      </c>
      <c r="Z1254" s="7">
        <f>VLOOKUP(A1254,Jogos!A:L,3,0)</f>
        <v>47</v>
      </c>
      <c r="AA1254" s="7">
        <f t="shared" si="2229"/>
        <v>47</v>
      </c>
      <c r="AB1254" s="7">
        <f>VLOOKUP(A1254,Jogos!A:L,4,0)</f>
        <v>51</v>
      </c>
      <c r="AC1254" s="7">
        <f t="shared" si="2230"/>
        <v>51</v>
      </c>
      <c r="AD1254" s="7"/>
      <c r="AE1254" s="7"/>
      <c r="AF1254" s="7">
        <f t="shared" si="2231"/>
        <v>98</v>
      </c>
      <c r="AG1254" s="7">
        <v>9546.6</v>
      </c>
      <c r="AH1254" s="7">
        <v>3748.9</v>
      </c>
      <c r="AI1254" s="7">
        <v>3930.6</v>
      </c>
      <c r="AJ1254" s="7">
        <v>1213.5</v>
      </c>
      <c r="AK1254" s="7">
        <v>397.5</v>
      </c>
      <c r="AL1254" s="7">
        <v>256.1</v>
      </c>
      <c r="AM1254" s="7">
        <v>104.0</v>
      </c>
      <c r="AN1254" s="7">
        <v>34.0</v>
      </c>
      <c r="AO1254" s="7">
        <v>30.8</v>
      </c>
      <c r="AP1254" s="9">
        <f t="shared" ref="AP1254:AR1254" si="3915">AG1254/$AF1254</f>
        <v>97.41428571</v>
      </c>
      <c r="AQ1254" s="9">
        <f t="shared" si="3915"/>
        <v>38.25408163</v>
      </c>
      <c r="AR1254" s="9">
        <f t="shared" si="3915"/>
        <v>40.10816327</v>
      </c>
      <c r="AS1254" s="9">
        <f t="shared" si="2233"/>
        <v>78.3622449</v>
      </c>
      <c r="AT1254" s="9">
        <f t="shared" ref="AT1254:AV1254" si="3916">AJ1254/$AF1254</f>
        <v>12.38265306</v>
      </c>
      <c r="AU1254" s="9">
        <f t="shared" si="3916"/>
        <v>4.056122449</v>
      </c>
      <c r="AV1254" s="9">
        <f t="shared" si="3916"/>
        <v>2.613265306</v>
      </c>
      <c r="AW1254" s="9">
        <f t="shared" si="2235"/>
        <v>6.669387755</v>
      </c>
      <c r="AX1254" s="9">
        <f t="shared" ref="AX1254:AY1254" si="3917">AM1254/$AF1254</f>
        <v>1.06122449</v>
      </c>
      <c r="AY1254" s="9">
        <f t="shared" si="3917"/>
        <v>0.3469387755</v>
      </c>
      <c r="AZ1254" s="9">
        <f>VLOOKUP(A1254,Jogos!A:BN,58,0)</f>
        <v>19.79</v>
      </c>
      <c r="BA1254" s="9">
        <f>VLOOKUP(A1254,Jogos!A:BN,59,0)</f>
        <v>11.375</v>
      </c>
      <c r="BB1254" s="9">
        <f>VLOOKUP(A1254,Jogos!A:BN,60,0)</f>
        <v>57.5</v>
      </c>
      <c r="BC1254" s="9">
        <f>VLOOKUP(A1254,Jogos!A:BN,61,0)</f>
        <v>17.065</v>
      </c>
      <c r="BD1254" s="9">
        <f>VLOOKUP(A1254,Jogos!A:BN,62,0)</f>
        <v>197.15</v>
      </c>
      <c r="BE1254" s="9">
        <f>VLOOKUP(A1254,Jogos!A:BN,63,0)</f>
        <v>1.505</v>
      </c>
      <c r="BF1254" s="9">
        <f>VLOOKUP(A1254,Jogos!A:BN,64,0)</f>
        <v>17.4</v>
      </c>
      <c r="BG1254" s="9">
        <f>VLOOKUP(A1254,Jogos!A:BN,65,0)</f>
        <v>30.53</v>
      </c>
      <c r="BH1254" s="9">
        <f>VLOOKUP(A1254,Jogos!A:BN,66,0)</f>
        <v>20.265</v>
      </c>
      <c r="BI1254" s="9"/>
      <c r="BJ1254" s="9"/>
    </row>
    <row r="1255" hidden="1">
      <c r="A1255" s="2">
        <v>43.0</v>
      </c>
      <c r="B1255" s="11" t="s">
        <v>623</v>
      </c>
      <c r="C1255" s="2" t="s">
        <v>61</v>
      </c>
      <c r="D1255" s="3">
        <v>45833.0</v>
      </c>
      <c r="E1255" s="4">
        <v>0.75</v>
      </c>
      <c r="F1255" s="5" t="str">
        <f>VLOOKUP(A1255,Jogos!A:N,10,0)</f>
        <v>Evening</v>
      </c>
      <c r="G1255" s="2" t="s">
        <v>312</v>
      </c>
      <c r="H1255" s="6" t="str">
        <f>VLOOKUP(A1255,Jogos!A:L,12,0)</f>
        <v>Open</v>
      </c>
      <c r="I1255" s="6" t="str">
        <f>VLOOKUP(G1255,'Estádios e Cidades'!A:B,2,0)</f>
        <v>Seatte</v>
      </c>
      <c r="J1255" s="2" t="s">
        <v>748</v>
      </c>
      <c r="K1255" s="2" t="str">
        <f>VLOOKUP(J1255,Equipes!A:F,6,0)</f>
        <v>Temperate</v>
      </c>
      <c r="L1255" s="2">
        <f>VLOOKUP(J1255,Equipes!A:C,3,0)</f>
        <v>12</v>
      </c>
      <c r="M1255" s="2" t="str">
        <f t="shared" si="4"/>
        <v>Round of 16</v>
      </c>
      <c r="N1255" s="2" t="s">
        <v>624</v>
      </c>
      <c r="O1255" s="2">
        <f>VLOOKUP(N1255,Equipes!A:C,3,0)</f>
        <v>19</v>
      </c>
      <c r="P1255" s="2" t="str">
        <f t="shared" si="5"/>
        <v>Group</v>
      </c>
      <c r="Q1255" s="2">
        <f t="shared" si="6"/>
        <v>-7</v>
      </c>
      <c r="R1255" s="2" t="str">
        <f>VLOOKUP(J1255,Equipes!A:B,2,0)</f>
        <v>InterMilano</v>
      </c>
      <c r="S1255" s="6" t="s">
        <v>783</v>
      </c>
      <c r="T1255" s="7">
        <v>21.0</v>
      </c>
      <c r="U1255" s="7" t="s">
        <v>784</v>
      </c>
      <c r="V1255" s="7" t="str">
        <f>VLOOKUP(U1255,Jogadores!B:C,2,0)</f>
        <v>MF</v>
      </c>
      <c r="W1255" s="8">
        <f>VLOOKUP(U1255,Jogadores!B:D,3,0)</f>
        <v>23.40273973</v>
      </c>
      <c r="X1255" s="7">
        <v>0.0</v>
      </c>
      <c r="Y1255" s="7">
        <f t="shared" si="3918"/>
        <v>96</v>
      </c>
      <c r="Z1255" s="7">
        <f>VLOOKUP(A1255,Jogos!A:L,3,0)</f>
        <v>47</v>
      </c>
      <c r="AA1255" s="7">
        <f t="shared" si="2229"/>
        <v>47</v>
      </c>
      <c r="AB1255" s="7">
        <f>VLOOKUP(A1255,Jogos!A:L,4,0)</f>
        <v>51</v>
      </c>
      <c r="AC1255" s="7">
        <f t="shared" si="2230"/>
        <v>51</v>
      </c>
      <c r="AD1255" s="7"/>
      <c r="AE1255" s="7"/>
      <c r="AF1255" s="7">
        <f t="shared" si="2231"/>
        <v>98</v>
      </c>
      <c r="AG1255" s="7">
        <v>11263.0</v>
      </c>
      <c r="AH1255" s="7">
        <v>3397.3</v>
      </c>
      <c r="AI1255" s="7">
        <v>5148.5</v>
      </c>
      <c r="AJ1255" s="7">
        <v>2059.1</v>
      </c>
      <c r="AK1255" s="7">
        <v>567.8</v>
      </c>
      <c r="AL1255" s="7">
        <v>90.5</v>
      </c>
      <c r="AM1255" s="7">
        <v>175.0</v>
      </c>
      <c r="AN1255" s="7">
        <v>40.0</v>
      </c>
      <c r="AO1255" s="7">
        <v>30.3</v>
      </c>
      <c r="AP1255" s="9">
        <f t="shared" ref="AP1255:AR1255" si="3919">AG1255/$AF1255</f>
        <v>114.9285714</v>
      </c>
      <c r="AQ1255" s="9">
        <f t="shared" si="3919"/>
        <v>34.66632653</v>
      </c>
      <c r="AR1255" s="9">
        <f t="shared" si="3919"/>
        <v>52.53571429</v>
      </c>
      <c r="AS1255" s="9">
        <f t="shared" si="2233"/>
        <v>87.20204082</v>
      </c>
      <c r="AT1255" s="9">
        <f t="shared" ref="AT1255:AV1255" si="3920">AJ1255/$AF1255</f>
        <v>21.01122449</v>
      </c>
      <c r="AU1255" s="9">
        <f t="shared" si="3920"/>
        <v>5.793877551</v>
      </c>
      <c r="AV1255" s="9">
        <f t="shared" si="3920"/>
        <v>0.9234693878</v>
      </c>
      <c r="AW1255" s="9">
        <f t="shared" si="2235"/>
        <v>6.717346939</v>
      </c>
      <c r="AX1255" s="9">
        <f t="shared" ref="AX1255:AY1255" si="3921">AM1255/$AF1255</f>
        <v>1.785714286</v>
      </c>
      <c r="AY1255" s="9">
        <f t="shared" si="3921"/>
        <v>0.4081632653</v>
      </c>
      <c r="AZ1255" s="9">
        <f>VLOOKUP(A1255,Jogos!A:BN,58,0)</f>
        <v>19.79</v>
      </c>
      <c r="BA1255" s="9">
        <f>VLOOKUP(A1255,Jogos!A:BN,59,0)</f>
        <v>11.375</v>
      </c>
      <c r="BB1255" s="9">
        <f>VLOOKUP(A1255,Jogos!A:BN,60,0)</f>
        <v>57.5</v>
      </c>
      <c r="BC1255" s="9">
        <f>VLOOKUP(A1255,Jogos!A:BN,61,0)</f>
        <v>17.065</v>
      </c>
      <c r="BD1255" s="9">
        <f>VLOOKUP(A1255,Jogos!A:BN,62,0)</f>
        <v>197.15</v>
      </c>
      <c r="BE1255" s="9">
        <f>VLOOKUP(A1255,Jogos!A:BN,63,0)</f>
        <v>1.505</v>
      </c>
      <c r="BF1255" s="9">
        <f>VLOOKUP(A1255,Jogos!A:BN,64,0)</f>
        <v>17.4</v>
      </c>
      <c r="BG1255" s="9">
        <f>VLOOKUP(A1255,Jogos!A:BN,65,0)</f>
        <v>30.53</v>
      </c>
      <c r="BH1255" s="9">
        <f>VLOOKUP(A1255,Jogos!A:BN,66,0)</f>
        <v>20.265</v>
      </c>
      <c r="BI1255" s="9"/>
      <c r="BJ1255" s="9"/>
    </row>
    <row r="1256" hidden="1">
      <c r="A1256" s="2">
        <v>43.0</v>
      </c>
      <c r="B1256" s="11" t="s">
        <v>623</v>
      </c>
      <c r="C1256" s="2" t="s">
        <v>61</v>
      </c>
      <c r="D1256" s="3">
        <v>45833.0</v>
      </c>
      <c r="E1256" s="4">
        <v>0.75</v>
      </c>
      <c r="F1256" s="5" t="str">
        <f>VLOOKUP(A1256,Jogos!A:N,10,0)</f>
        <v>Evening</v>
      </c>
      <c r="G1256" s="2" t="s">
        <v>312</v>
      </c>
      <c r="H1256" s="6" t="str">
        <f>VLOOKUP(A1256,Jogos!A:L,12,0)</f>
        <v>Open</v>
      </c>
      <c r="I1256" s="6" t="str">
        <f>VLOOKUP(G1256,'Estádios e Cidades'!A:B,2,0)</f>
        <v>Seatte</v>
      </c>
      <c r="J1256" s="2" t="s">
        <v>748</v>
      </c>
      <c r="K1256" s="2" t="str">
        <f>VLOOKUP(J1256,Equipes!A:F,6,0)</f>
        <v>Temperate</v>
      </c>
      <c r="L1256" s="2">
        <f>VLOOKUP(J1256,Equipes!A:C,3,0)</f>
        <v>12</v>
      </c>
      <c r="M1256" s="2" t="str">
        <f t="shared" si="4"/>
        <v>Round of 16</v>
      </c>
      <c r="N1256" s="2" t="s">
        <v>624</v>
      </c>
      <c r="O1256" s="2">
        <f>VLOOKUP(N1256,Equipes!A:C,3,0)</f>
        <v>19</v>
      </c>
      <c r="P1256" s="2" t="str">
        <f t="shared" si="5"/>
        <v>Group</v>
      </c>
      <c r="Q1256" s="2">
        <f t="shared" si="6"/>
        <v>-7</v>
      </c>
      <c r="R1256" s="2" t="str">
        <f>VLOOKUP(J1256,Equipes!A:B,2,0)</f>
        <v>InterMilano</v>
      </c>
      <c r="S1256" s="6" t="s">
        <v>785</v>
      </c>
      <c r="T1256" s="7">
        <v>22.0</v>
      </c>
      <c r="U1256" s="7" t="s">
        <v>786</v>
      </c>
      <c r="V1256" s="7" t="str">
        <f>VLOOKUP(U1256,Jogadores!B:C,2,0)</f>
        <v>MF</v>
      </c>
      <c r="W1256" s="8">
        <f>VLOOKUP(U1256,Jogadores!B:D,3,0)</f>
        <v>36.53972603</v>
      </c>
      <c r="X1256" s="7">
        <v>0.0</v>
      </c>
      <c r="Y1256" s="7">
        <f t="shared" si="3918"/>
        <v>96</v>
      </c>
      <c r="Z1256" s="7">
        <f>VLOOKUP(A1256,Jogos!A:L,3,0)</f>
        <v>47</v>
      </c>
      <c r="AA1256" s="7">
        <f t="shared" si="2229"/>
        <v>47</v>
      </c>
      <c r="AB1256" s="7">
        <f>VLOOKUP(A1256,Jogos!A:L,4,0)</f>
        <v>51</v>
      </c>
      <c r="AC1256" s="7">
        <f t="shared" si="2230"/>
        <v>51</v>
      </c>
      <c r="AD1256" s="7"/>
      <c r="AE1256" s="7"/>
      <c r="AF1256" s="7">
        <f t="shared" si="2231"/>
        <v>98</v>
      </c>
      <c r="AG1256" s="7">
        <v>10996.2</v>
      </c>
      <c r="AH1256" s="7">
        <v>3619.1</v>
      </c>
      <c r="AI1256" s="7">
        <v>4099.0</v>
      </c>
      <c r="AJ1256" s="7">
        <v>1856.5</v>
      </c>
      <c r="AK1256" s="7">
        <v>1006.0</v>
      </c>
      <c r="AL1256" s="7">
        <v>415.6</v>
      </c>
      <c r="AM1256" s="7">
        <v>166.0</v>
      </c>
      <c r="AN1256" s="7">
        <v>69.0</v>
      </c>
      <c r="AO1256" s="7">
        <v>32.9</v>
      </c>
      <c r="AP1256" s="9">
        <f t="shared" ref="AP1256:AR1256" si="3922">AG1256/$AF1256</f>
        <v>112.2061224</v>
      </c>
      <c r="AQ1256" s="9">
        <f t="shared" si="3922"/>
        <v>36.92959184</v>
      </c>
      <c r="AR1256" s="9">
        <f t="shared" si="3922"/>
        <v>41.82653061</v>
      </c>
      <c r="AS1256" s="9">
        <f t="shared" si="2233"/>
        <v>78.75612245</v>
      </c>
      <c r="AT1256" s="9">
        <f t="shared" ref="AT1256:AV1256" si="3923">AJ1256/$AF1256</f>
        <v>18.94387755</v>
      </c>
      <c r="AU1256" s="9">
        <f t="shared" si="3923"/>
        <v>10.26530612</v>
      </c>
      <c r="AV1256" s="9">
        <f t="shared" si="3923"/>
        <v>4.240816327</v>
      </c>
      <c r="AW1256" s="9">
        <f t="shared" si="2235"/>
        <v>14.50612245</v>
      </c>
      <c r="AX1256" s="9">
        <f t="shared" ref="AX1256:AY1256" si="3924">AM1256/$AF1256</f>
        <v>1.693877551</v>
      </c>
      <c r="AY1256" s="9">
        <f t="shared" si="3924"/>
        <v>0.7040816327</v>
      </c>
      <c r="AZ1256" s="9">
        <f>VLOOKUP(A1256,Jogos!A:BN,58,0)</f>
        <v>19.79</v>
      </c>
      <c r="BA1256" s="9">
        <f>VLOOKUP(A1256,Jogos!A:BN,59,0)</f>
        <v>11.375</v>
      </c>
      <c r="BB1256" s="9">
        <f>VLOOKUP(A1256,Jogos!A:BN,60,0)</f>
        <v>57.5</v>
      </c>
      <c r="BC1256" s="9">
        <f>VLOOKUP(A1256,Jogos!A:BN,61,0)</f>
        <v>17.065</v>
      </c>
      <c r="BD1256" s="9">
        <f>VLOOKUP(A1256,Jogos!A:BN,62,0)</f>
        <v>197.15</v>
      </c>
      <c r="BE1256" s="9">
        <f>VLOOKUP(A1256,Jogos!A:BN,63,0)</f>
        <v>1.505</v>
      </c>
      <c r="BF1256" s="9">
        <f>VLOOKUP(A1256,Jogos!A:BN,64,0)</f>
        <v>17.4</v>
      </c>
      <c r="BG1256" s="9">
        <f>VLOOKUP(A1256,Jogos!A:BN,65,0)</f>
        <v>30.53</v>
      </c>
      <c r="BH1256" s="9">
        <f>VLOOKUP(A1256,Jogos!A:BN,66,0)</f>
        <v>20.265</v>
      </c>
      <c r="BI1256" s="9"/>
      <c r="BJ1256" s="9"/>
    </row>
    <row r="1257" hidden="1">
      <c r="A1257" s="2">
        <v>43.0</v>
      </c>
      <c r="B1257" s="11" t="s">
        <v>623</v>
      </c>
      <c r="C1257" s="2" t="s">
        <v>61</v>
      </c>
      <c r="D1257" s="3">
        <v>45833.0</v>
      </c>
      <c r="E1257" s="4">
        <v>0.75</v>
      </c>
      <c r="F1257" s="5" t="str">
        <f>VLOOKUP(A1257,Jogos!A:N,10,0)</f>
        <v>Evening</v>
      </c>
      <c r="G1257" s="2" t="s">
        <v>312</v>
      </c>
      <c r="H1257" s="6" t="str">
        <f>VLOOKUP(A1257,Jogos!A:L,12,0)</f>
        <v>Open</v>
      </c>
      <c r="I1257" s="6" t="str">
        <f>VLOOKUP(G1257,'Estádios e Cidades'!A:B,2,0)</f>
        <v>Seatte</v>
      </c>
      <c r="J1257" s="2" t="s">
        <v>748</v>
      </c>
      <c r="K1257" s="2" t="str">
        <f>VLOOKUP(J1257,Equipes!A:F,6,0)</f>
        <v>Temperate</v>
      </c>
      <c r="L1257" s="2">
        <f>VLOOKUP(J1257,Equipes!A:C,3,0)</f>
        <v>12</v>
      </c>
      <c r="M1257" s="2" t="str">
        <f t="shared" si="4"/>
        <v>Round of 16</v>
      </c>
      <c r="N1257" s="2" t="s">
        <v>624</v>
      </c>
      <c r="O1257" s="2">
        <f>VLOOKUP(N1257,Equipes!A:C,3,0)</f>
        <v>19</v>
      </c>
      <c r="P1257" s="2" t="str">
        <f t="shared" si="5"/>
        <v>Group</v>
      </c>
      <c r="Q1257" s="2">
        <f t="shared" si="6"/>
        <v>-7</v>
      </c>
      <c r="R1257" s="2" t="str">
        <f>VLOOKUP(J1257,Equipes!A:B,2,0)</f>
        <v>InterMilano</v>
      </c>
      <c r="S1257" s="6" t="s">
        <v>787</v>
      </c>
      <c r="T1257" s="7">
        <v>23.0</v>
      </c>
      <c r="U1257" s="7" t="s">
        <v>788</v>
      </c>
      <c r="V1257" s="7" t="str">
        <f>VLOOKUP(U1257,Jogadores!B:C,2,0)</f>
        <v>MF</v>
      </c>
      <c r="W1257" s="8">
        <f>VLOOKUP(U1257,Jogadores!B:D,3,0)</f>
        <v>28.48767123</v>
      </c>
      <c r="X1257" s="7">
        <v>0.0</v>
      </c>
      <c r="Y1257" s="7">
        <v>62.0</v>
      </c>
      <c r="Z1257" s="7">
        <f>VLOOKUP(A1257,Jogos!A:L,3,0)</f>
        <v>47</v>
      </c>
      <c r="AA1257" s="7">
        <f t="shared" si="2229"/>
        <v>47</v>
      </c>
      <c r="AB1257" s="7">
        <f>VLOOKUP(A1257,Jogos!A:L,4,0)</f>
        <v>51</v>
      </c>
      <c r="AC1257" s="7">
        <f t="shared" si="2230"/>
        <v>17</v>
      </c>
      <c r="AD1257" s="7"/>
      <c r="AE1257" s="7"/>
      <c r="AF1257" s="7">
        <f t="shared" si="2231"/>
        <v>64</v>
      </c>
      <c r="AG1257" s="7">
        <v>7888.8</v>
      </c>
      <c r="AH1257" s="7">
        <v>2606.0</v>
      </c>
      <c r="AI1257" s="7">
        <v>3145.4</v>
      </c>
      <c r="AJ1257" s="7">
        <v>1344.3</v>
      </c>
      <c r="AK1257" s="7">
        <v>527.0</v>
      </c>
      <c r="AL1257" s="7">
        <v>266.0</v>
      </c>
      <c r="AM1257" s="7">
        <v>104.0</v>
      </c>
      <c r="AN1257" s="7">
        <v>40.0</v>
      </c>
      <c r="AO1257" s="7">
        <v>31.9</v>
      </c>
      <c r="AP1257" s="9">
        <f t="shared" ref="AP1257:AR1257" si="3925">AG1257/$AF1257</f>
        <v>123.2625</v>
      </c>
      <c r="AQ1257" s="9">
        <f t="shared" si="3925"/>
        <v>40.71875</v>
      </c>
      <c r="AR1257" s="9">
        <f t="shared" si="3925"/>
        <v>49.146875</v>
      </c>
      <c r="AS1257" s="9">
        <f t="shared" si="2233"/>
        <v>89.865625</v>
      </c>
      <c r="AT1257" s="9">
        <f t="shared" ref="AT1257:AV1257" si="3926">AJ1257/$AF1257</f>
        <v>21.0046875</v>
      </c>
      <c r="AU1257" s="9">
        <f t="shared" si="3926"/>
        <v>8.234375</v>
      </c>
      <c r="AV1257" s="9">
        <f t="shared" si="3926"/>
        <v>4.15625</v>
      </c>
      <c r="AW1257" s="9">
        <f t="shared" si="2235"/>
        <v>12.390625</v>
      </c>
      <c r="AX1257" s="9">
        <f t="shared" ref="AX1257:AY1257" si="3927">AM1257/$AF1257</f>
        <v>1.625</v>
      </c>
      <c r="AY1257" s="9">
        <f t="shared" si="3927"/>
        <v>0.625</v>
      </c>
      <c r="AZ1257" s="9">
        <f>VLOOKUP(A1257,Jogos!A:BN,58,0)</f>
        <v>19.79</v>
      </c>
      <c r="BA1257" s="9">
        <f>VLOOKUP(A1257,Jogos!A:BN,59,0)</f>
        <v>11.375</v>
      </c>
      <c r="BB1257" s="9">
        <f>VLOOKUP(A1257,Jogos!A:BN,60,0)</f>
        <v>57.5</v>
      </c>
      <c r="BC1257" s="9">
        <f>VLOOKUP(A1257,Jogos!A:BN,61,0)</f>
        <v>17.065</v>
      </c>
      <c r="BD1257" s="9">
        <f>VLOOKUP(A1257,Jogos!A:BN,62,0)</f>
        <v>197.15</v>
      </c>
      <c r="BE1257" s="9">
        <f>VLOOKUP(A1257,Jogos!A:BN,63,0)</f>
        <v>1.505</v>
      </c>
      <c r="BF1257" s="9">
        <f>VLOOKUP(A1257,Jogos!A:BN,64,0)</f>
        <v>17.4</v>
      </c>
      <c r="BG1257" s="9">
        <f>VLOOKUP(A1257,Jogos!A:BN,65,0)</f>
        <v>30.53</v>
      </c>
      <c r="BH1257" s="9">
        <f>VLOOKUP(A1257,Jogos!A:BN,66,0)</f>
        <v>20.265</v>
      </c>
      <c r="BI1257" s="9"/>
      <c r="BJ1257" s="9"/>
    </row>
    <row r="1258" hidden="1">
      <c r="A1258" s="2">
        <v>43.0</v>
      </c>
      <c r="B1258" s="11" t="s">
        <v>623</v>
      </c>
      <c r="C1258" s="2" t="s">
        <v>61</v>
      </c>
      <c r="D1258" s="3">
        <v>45833.0</v>
      </c>
      <c r="E1258" s="4">
        <v>0.75</v>
      </c>
      <c r="F1258" s="5" t="str">
        <f>VLOOKUP(A1258,Jogos!A:N,10,0)</f>
        <v>Evening</v>
      </c>
      <c r="G1258" s="2" t="s">
        <v>312</v>
      </c>
      <c r="H1258" s="6" t="str">
        <f>VLOOKUP(A1258,Jogos!A:L,12,0)</f>
        <v>Open</v>
      </c>
      <c r="I1258" s="6" t="str">
        <f>VLOOKUP(G1258,'Estádios e Cidades'!A:B,2,0)</f>
        <v>Seatte</v>
      </c>
      <c r="J1258" s="2" t="s">
        <v>748</v>
      </c>
      <c r="K1258" s="2" t="str">
        <f>VLOOKUP(J1258,Equipes!A:F,6,0)</f>
        <v>Temperate</v>
      </c>
      <c r="L1258" s="2">
        <f>VLOOKUP(J1258,Equipes!A:C,3,0)</f>
        <v>12</v>
      </c>
      <c r="M1258" s="2" t="str">
        <f t="shared" si="4"/>
        <v>Round of 16</v>
      </c>
      <c r="N1258" s="2" t="s">
        <v>624</v>
      </c>
      <c r="O1258" s="2">
        <f>VLOOKUP(N1258,Equipes!A:C,3,0)</f>
        <v>19</v>
      </c>
      <c r="P1258" s="2" t="str">
        <f t="shared" si="5"/>
        <v>Group</v>
      </c>
      <c r="Q1258" s="2">
        <f t="shared" si="6"/>
        <v>-7</v>
      </c>
      <c r="R1258" s="2" t="str">
        <f>VLOOKUP(J1258,Equipes!A:B,2,0)</f>
        <v>InterMilano</v>
      </c>
      <c r="S1258" s="6" t="s">
        <v>805</v>
      </c>
      <c r="T1258" s="7">
        <v>32.0</v>
      </c>
      <c r="U1258" s="7" t="s">
        <v>806</v>
      </c>
      <c r="V1258" s="7" t="str">
        <f>VLOOKUP(U1258,Jogadores!B:C,2,0)</f>
        <v>DF</v>
      </c>
      <c r="W1258" s="8">
        <f>VLOOKUP(U1258,Jogadores!B:D,3,0)</f>
        <v>27.73150685</v>
      </c>
      <c r="X1258" s="7">
        <v>0.0</v>
      </c>
      <c r="Y1258" s="7">
        <v>63.0</v>
      </c>
      <c r="Z1258" s="7">
        <f>VLOOKUP(A1258,Jogos!A:L,3,0)</f>
        <v>47</v>
      </c>
      <c r="AA1258" s="7">
        <f t="shared" si="2229"/>
        <v>47</v>
      </c>
      <c r="AB1258" s="7">
        <f>VLOOKUP(A1258,Jogos!A:L,4,0)</f>
        <v>51</v>
      </c>
      <c r="AC1258" s="7">
        <f t="shared" si="2230"/>
        <v>18</v>
      </c>
      <c r="AD1258" s="7"/>
      <c r="AE1258" s="7"/>
      <c r="AF1258" s="7">
        <f t="shared" si="2231"/>
        <v>65</v>
      </c>
      <c r="AG1258" s="7">
        <v>7053.5</v>
      </c>
      <c r="AH1258" s="7">
        <v>2452.8</v>
      </c>
      <c r="AI1258" s="7">
        <v>2416.9</v>
      </c>
      <c r="AJ1258" s="7">
        <v>1036.3</v>
      </c>
      <c r="AK1258" s="7">
        <v>744.7</v>
      </c>
      <c r="AL1258" s="7">
        <v>402.7</v>
      </c>
      <c r="AM1258" s="7">
        <v>90.0</v>
      </c>
      <c r="AN1258" s="7">
        <v>57.0</v>
      </c>
      <c r="AO1258" s="7">
        <v>33.2</v>
      </c>
      <c r="AP1258" s="9">
        <f t="shared" ref="AP1258:AR1258" si="3928">AG1258/$AF1258</f>
        <v>108.5153846</v>
      </c>
      <c r="AQ1258" s="9">
        <f t="shared" si="3928"/>
        <v>37.73538462</v>
      </c>
      <c r="AR1258" s="9">
        <f t="shared" si="3928"/>
        <v>37.18307692</v>
      </c>
      <c r="AS1258" s="9">
        <f t="shared" si="2233"/>
        <v>74.91846154</v>
      </c>
      <c r="AT1258" s="9">
        <f t="shared" ref="AT1258:AV1258" si="3929">AJ1258/$AF1258</f>
        <v>15.94307692</v>
      </c>
      <c r="AU1258" s="9">
        <f t="shared" si="3929"/>
        <v>11.45692308</v>
      </c>
      <c r="AV1258" s="9">
        <f t="shared" si="3929"/>
        <v>6.195384615</v>
      </c>
      <c r="AW1258" s="9">
        <f t="shared" si="2235"/>
        <v>17.65230769</v>
      </c>
      <c r="AX1258" s="9">
        <f t="shared" ref="AX1258:AY1258" si="3930">AM1258/$AF1258</f>
        <v>1.384615385</v>
      </c>
      <c r="AY1258" s="9">
        <f t="shared" si="3930"/>
        <v>0.8769230769</v>
      </c>
      <c r="AZ1258" s="9">
        <f>VLOOKUP(A1258,Jogos!A:BN,58,0)</f>
        <v>19.79</v>
      </c>
      <c r="BA1258" s="9">
        <f>VLOOKUP(A1258,Jogos!A:BN,59,0)</f>
        <v>11.375</v>
      </c>
      <c r="BB1258" s="9">
        <f>VLOOKUP(A1258,Jogos!A:BN,60,0)</f>
        <v>57.5</v>
      </c>
      <c r="BC1258" s="9">
        <f>VLOOKUP(A1258,Jogos!A:BN,61,0)</f>
        <v>17.065</v>
      </c>
      <c r="BD1258" s="9">
        <f>VLOOKUP(A1258,Jogos!A:BN,62,0)</f>
        <v>197.15</v>
      </c>
      <c r="BE1258" s="9">
        <f>VLOOKUP(A1258,Jogos!A:BN,63,0)</f>
        <v>1.505</v>
      </c>
      <c r="BF1258" s="9">
        <f>VLOOKUP(A1258,Jogos!A:BN,64,0)</f>
        <v>17.4</v>
      </c>
      <c r="BG1258" s="9">
        <f>VLOOKUP(A1258,Jogos!A:BN,65,0)</f>
        <v>30.53</v>
      </c>
      <c r="BH1258" s="9">
        <f>VLOOKUP(A1258,Jogos!A:BN,66,0)</f>
        <v>20.265</v>
      </c>
      <c r="BI1258" s="9"/>
      <c r="BJ1258" s="9"/>
    </row>
    <row r="1259" hidden="1">
      <c r="A1259" s="2">
        <v>43.0</v>
      </c>
      <c r="B1259" s="11" t="s">
        <v>623</v>
      </c>
      <c r="C1259" s="2" t="s">
        <v>61</v>
      </c>
      <c r="D1259" s="3">
        <v>45833.0</v>
      </c>
      <c r="E1259" s="4">
        <v>0.75</v>
      </c>
      <c r="F1259" s="5" t="str">
        <f>VLOOKUP(A1259,Jogos!A:N,10,0)</f>
        <v>Evening</v>
      </c>
      <c r="G1259" s="2" t="s">
        <v>312</v>
      </c>
      <c r="H1259" s="6" t="str">
        <f>VLOOKUP(A1259,Jogos!A:L,12,0)</f>
        <v>Open</v>
      </c>
      <c r="I1259" s="6" t="str">
        <f>VLOOKUP(G1259,'Estádios e Cidades'!A:B,2,0)</f>
        <v>Seatte</v>
      </c>
      <c r="J1259" s="2" t="s">
        <v>748</v>
      </c>
      <c r="K1259" s="2" t="str">
        <f>VLOOKUP(J1259,Equipes!A:F,6,0)</f>
        <v>Temperate</v>
      </c>
      <c r="L1259" s="2">
        <f>VLOOKUP(J1259,Equipes!A:C,3,0)</f>
        <v>12</v>
      </c>
      <c r="M1259" s="2" t="str">
        <f t="shared" si="4"/>
        <v>Round of 16</v>
      </c>
      <c r="N1259" s="2" t="s">
        <v>624</v>
      </c>
      <c r="O1259" s="2">
        <f>VLOOKUP(N1259,Equipes!A:C,3,0)</f>
        <v>19</v>
      </c>
      <c r="P1259" s="2" t="str">
        <f t="shared" si="5"/>
        <v>Group</v>
      </c>
      <c r="Q1259" s="2">
        <f t="shared" si="6"/>
        <v>-7</v>
      </c>
      <c r="R1259" s="2" t="str">
        <f>VLOOKUP(J1259,Equipes!A:B,2,0)</f>
        <v>InterMilano</v>
      </c>
      <c r="S1259" s="6" t="s">
        <v>793</v>
      </c>
      <c r="T1259" s="7">
        <v>36.0</v>
      </c>
      <c r="U1259" s="7" t="s">
        <v>794</v>
      </c>
      <c r="V1259" s="7" t="str">
        <f>VLOOKUP(U1259,Jogadores!B:C,2,0)</f>
        <v>DF</v>
      </c>
      <c r="W1259" s="8">
        <f>VLOOKUP(U1259,Jogadores!B:D,3,0)</f>
        <v>35.67671233</v>
      </c>
      <c r="X1259" s="7">
        <v>0.0</v>
      </c>
      <c r="Y1259" s="7">
        <v>83.0</v>
      </c>
      <c r="Z1259" s="7">
        <f>VLOOKUP(A1259,Jogos!A:L,3,0)</f>
        <v>47</v>
      </c>
      <c r="AA1259" s="7">
        <f t="shared" si="2229"/>
        <v>47</v>
      </c>
      <c r="AB1259" s="7">
        <f>VLOOKUP(A1259,Jogos!A:L,4,0)</f>
        <v>51</v>
      </c>
      <c r="AC1259" s="7">
        <f t="shared" si="2230"/>
        <v>38</v>
      </c>
      <c r="AD1259" s="7"/>
      <c r="AE1259" s="7"/>
      <c r="AF1259" s="7">
        <f t="shared" si="2231"/>
        <v>85</v>
      </c>
      <c r="AG1259" s="7">
        <v>8623.3</v>
      </c>
      <c r="AH1259" s="7">
        <v>3478.3</v>
      </c>
      <c r="AI1259" s="7">
        <v>3231.8</v>
      </c>
      <c r="AJ1259" s="7">
        <v>1350.1</v>
      </c>
      <c r="AK1259" s="7">
        <v>425.4</v>
      </c>
      <c r="AL1259" s="7">
        <v>137.8</v>
      </c>
      <c r="AM1259" s="7">
        <v>124.0</v>
      </c>
      <c r="AN1259" s="7">
        <v>38.0</v>
      </c>
      <c r="AO1259" s="7">
        <v>31.3</v>
      </c>
      <c r="AP1259" s="9">
        <f t="shared" ref="AP1259:AR1259" si="3931">AG1259/$AF1259</f>
        <v>101.4505882</v>
      </c>
      <c r="AQ1259" s="9">
        <f t="shared" si="3931"/>
        <v>40.92117647</v>
      </c>
      <c r="AR1259" s="9">
        <f t="shared" si="3931"/>
        <v>38.02117647</v>
      </c>
      <c r="AS1259" s="9">
        <f t="shared" si="2233"/>
        <v>78.94235294</v>
      </c>
      <c r="AT1259" s="9">
        <f t="shared" ref="AT1259:AV1259" si="3932">AJ1259/$AF1259</f>
        <v>15.88352941</v>
      </c>
      <c r="AU1259" s="9">
        <f t="shared" si="3932"/>
        <v>5.004705882</v>
      </c>
      <c r="AV1259" s="9">
        <f t="shared" si="3932"/>
        <v>1.621176471</v>
      </c>
      <c r="AW1259" s="9">
        <f t="shared" si="2235"/>
        <v>6.625882353</v>
      </c>
      <c r="AX1259" s="9">
        <f t="shared" ref="AX1259:AY1259" si="3933">AM1259/$AF1259</f>
        <v>1.458823529</v>
      </c>
      <c r="AY1259" s="9">
        <f t="shared" si="3933"/>
        <v>0.4470588235</v>
      </c>
      <c r="AZ1259" s="9">
        <f>VLOOKUP(A1259,Jogos!A:BN,58,0)</f>
        <v>19.79</v>
      </c>
      <c r="BA1259" s="9">
        <f>VLOOKUP(A1259,Jogos!A:BN,59,0)</f>
        <v>11.375</v>
      </c>
      <c r="BB1259" s="9">
        <f>VLOOKUP(A1259,Jogos!A:BN,60,0)</f>
        <v>57.5</v>
      </c>
      <c r="BC1259" s="9">
        <f>VLOOKUP(A1259,Jogos!A:BN,61,0)</f>
        <v>17.065</v>
      </c>
      <c r="BD1259" s="9">
        <f>VLOOKUP(A1259,Jogos!A:BN,62,0)</f>
        <v>197.15</v>
      </c>
      <c r="BE1259" s="9">
        <f>VLOOKUP(A1259,Jogos!A:BN,63,0)</f>
        <v>1.505</v>
      </c>
      <c r="BF1259" s="9">
        <f>VLOOKUP(A1259,Jogos!A:BN,64,0)</f>
        <v>17.4</v>
      </c>
      <c r="BG1259" s="9">
        <f>VLOOKUP(A1259,Jogos!A:BN,65,0)</f>
        <v>30.53</v>
      </c>
      <c r="BH1259" s="9">
        <f>VLOOKUP(A1259,Jogos!A:BN,66,0)</f>
        <v>20.265</v>
      </c>
      <c r="BI1259" s="9"/>
      <c r="BJ1259" s="9"/>
    </row>
    <row r="1260" hidden="1">
      <c r="A1260" s="2">
        <v>43.0</v>
      </c>
      <c r="B1260" s="11" t="s">
        <v>623</v>
      </c>
      <c r="C1260" s="2" t="s">
        <v>61</v>
      </c>
      <c r="D1260" s="3">
        <v>45833.0</v>
      </c>
      <c r="E1260" s="4">
        <v>0.75</v>
      </c>
      <c r="F1260" s="5" t="str">
        <f>VLOOKUP(A1260,Jogos!A:N,10,0)</f>
        <v>Evening</v>
      </c>
      <c r="G1260" s="2" t="s">
        <v>312</v>
      </c>
      <c r="H1260" s="6" t="str">
        <f>VLOOKUP(A1260,Jogos!A:L,12,0)</f>
        <v>Open</v>
      </c>
      <c r="I1260" s="6" t="str">
        <f>VLOOKUP(G1260,'Estádios e Cidades'!A:B,2,0)</f>
        <v>Seatte</v>
      </c>
      <c r="J1260" s="2" t="s">
        <v>748</v>
      </c>
      <c r="K1260" s="2" t="str">
        <f>VLOOKUP(J1260,Equipes!A:F,6,0)</f>
        <v>Temperate</v>
      </c>
      <c r="L1260" s="2">
        <f>VLOOKUP(J1260,Equipes!A:C,3,0)</f>
        <v>12</v>
      </c>
      <c r="M1260" s="2" t="str">
        <f t="shared" si="4"/>
        <v>Round of 16</v>
      </c>
      <c r="N1260" s="2" t="s">
        <v>624</v>
      </c>
      <c r="O1260" s="2">
        <f>VLOOKUP(N1260,Equipes!A:C,3,0)</f>
        <v>19</v>
      </c>
      <c r="P1260" s="2" t="str">
        <f t="shared" si="5"/>
        <v>Group</v>
      </c>
      <c r="Q1260" s="2">
        <f t="shared" si="6"/>
        <v>-7</v>
      </c>
      <c r="R1260" s="2" t="str">
        <f>VLOOKUP(J1260,Equipes!A:B,2,0)</f>
        <v>InterMilano</v>
      </c>
      <c r="S1260" s="6" t="s">
        <v>1162</v>
      </c>
      <c r="T1260" s="7">
        <v>94.0</v>
      </c>
      <c r="U1260" s="7" t="s">
        <v>1163</v>
      </c>
      <c r="V1260" s="7" t="str">
        <f>VLOOKUP(U1260,Jogadores!B:C,2,0)</f>
        <v>FW</v>
      </c>
      <c r="W1260" s="8">
        <f>VLOOKUP(U1260,Jogadores!B:D,3,0)</f>
        <v>20.09589041</v>
      </c>
      <c r="X1260" s="7">
        <v>0.0</v>
      </c>
      <c r="Y1260" s="7">
        <v>83.0</v>
      </c>
      <c r="Z1260" s="7">
        <f>VLOOKUP(A1260,Jogos!A:L,3,0)</f>
        <v>47</v>
      </c>
      <c r="AA1260" s="7">
        <f t="shared" si="2229"/>
        <v>47</v>
      </c>
      <c r="AB1260" s="7">
        <f>VLOOKUP(A1260,Jogos!A:L,4,0)</f>
        <v>51</v>
      </c>
      <c r="AC1260" s="7">
        <f t="shared" si="2230"/>
        <v>38</v>
      </c>
      <c r="AD1260" s="7"/>
      <c r="AE1260" s="7"/>
      <c r="AF1260" s="7">
        <f t="shared" si="2231"/>
        <v>85</v>
      </c>
      <c r="AG1260" s="7">
        <v>9424.6</v>
      </c>
      <c r="AH1260" s="7">
        <v>3044.7</v>
      </c>
      <c r="AI1260" s="7">
        <v>3925.4</v>
      </c>
      <c r="AJ1260" s="7">
        <v>1495.3</v>
      </c>
      <c r="AK1260" s="7">
        <v>769.2</v>
      </c>
      <c r="AL1260" s="7">
        <v>190.0</v>
      </c>
      <c r="AM1260" s="7">
        <v>138.0</v>
      </c>
      <c r="AN1260" s="7">
        <v>55.0</v>
      </c>
      <c r="AO1260" s="7">
        <v>28.7</v>
      </c>
      <c r="AP1260" s="9">
        <f t="shared" ref="AP1260:AR1260" si="3934">AG1260/$AF1260</f>
        <v>110.8776471</v>
      </c>
      <c r="AQ1260" s="9">
        <f t="shared" si="3934"/>
        <v>35.82</v>
      </c>
      <c r="AR1260" s="9">
        <f t="shared" si="3934"/>
        <v>46.18117647</v>
      </c>
      <c r="AS1260" s="9">
        <f t="shared" si="2233"/>
        <v>82.00117647</v>
      </c>
      <c r="AT1260" s="9">
        <f t="shared" ref="AT1260:AV1260" si="3935">AJ1260/$AF1260</f>
        <v>17.59176471</v>
      </c>
      <c r="AU1260" s="9">
        <f t="shared" si="3935"/>
        <v>9.049411765</v>
      </c>
      <c r="AV1260" s="9">
        <f t="shared" si="3935"/>
        <v>2.235294118</v>
      </c>
      <c r="AW1260" s="9">
        <f t="shared" si="2235"/>
        <v>11.28470588</v>
      </c>
      <c r="AX1260" s="9">
        <f t="shared" ref="AX1260:AY1260" si="3936">AM1260/$AF1260</f>
        <v>1.623529412</v>
      </c>
      <c r="AY1260" s="9">
        <f t="shared" si="3936"/>
        <v>0.6470588235</v>
      </c>
      <c r="AZ1260" s="9">
        <f>VLOOKUP(A1260,Jogos!A:BN,58,0)</f>
        <v>19.79</v>
      </c>
      <c r="BA1260" s="9">
        <f>VLOOKUP(A1260,Jogos!A:BN,59,0)</f>
        <v>11.375</v>
      </c>
      <c r="BB1260" s="9">
        <f>VLOOKUP(A1260,Jogos!A:BN,60,0)</f>
        <v>57.5</v>
      </c>
      <c r="BC1260" s="9">
        <f>VLOOKUP(A1260,Jogos!A:BN,61,0)</f>
        <v>17.065</v>
      </c>
      <c r="BD1260" s="9">
        <f>VLOOKUP(A1260,Jogos!A:BN,62,0)</f>
        <v>197.15</v>
      </c>
      <c r="BE1260" s="9">
        <f>VLOOKUP(A1260,Jogos!A:BN,63,0)</f>
        <v>1.505</v>
      </c>
      <c r="BF1260" s="9">
        <f>VLOOKUP(A1260,Jogos!A:BN,64,0)</f>
        <v>17.4</v>
      </c>
      <c r="BG1260" s="9">
        <f>VLOOKUP(A1260,Jogos!A:BN,65,0)</f>
        <v>30.53</v>
      </c>
      <c r="BH1260" s="9">
        <f>VLOOKUP(A1260,Jogos!A:BN,66,0)</f>
        <v>20.265</v>
      </c>
      <c r="BI1260" s="9"/>
      <c r="BJ1260" s="9"/>
    </row>
    <row r="1261" hidden="1">
      <c r="A1261" s="2">
        <v>43.0</v>
      </c>
      <c r="B1261" s="11" t="s">
        <v>623</v>
      </c>
      <c r="C1261" s="2" t="s">
        <v>61</v>
      </c>
      <c r="D1261" s="3">
        <v>45833.0</v>
      </c>
      <c r="E1261" s="4">
        <v>0.75</v>
      </c>
      <c r="F1261" s="5" t="str">
        <f>VLOOKUP(A1261,Jogos!A:N,10,0)</f>
        <v>Evening</v>
      </c>
      <c r="G1261" s="2" t="s">
        <v>312</v>
      </c>
      <c r="H1261" s="6" t="str">
        <f>VLOOKUP(A1261,Jogos!A:L,12,0)</f>
        <v>Open</v>
      </c>
      <c r="I1261" s="6" t="str">
        <f>VLOOKUP(G1261,'Estádios e Cidades'!A:B,2,0)</f>
        <v>Seatte</v>
      </c>
      <c r="J1261" s="2" t="s">
        <v>748</v>
      </c>
      <c r="K1261" s="2" t="str">
        <f>VLOOKUP(J1261,Equipes!A:F,6,0)</f>
        <v>Temperate</v>
      </c>
      <c r="L1261" s="2">
        <f>VLOOKUP(J1261,Equipes!A:C,3,0)</f>
        <v>12</v>
      </c>
      <c r="M1261" s="2" t="str">
        <f t="shared" si="4"/>
        <v>Round of 16</v>
      </c>
      <c r="N1261" s="2" t="s">
        <v>624</v>
      </c>
      <c r="O1261" s="2">
        <f>VLOOKUP(N1261,Equipes!A:C,3,0)</f>
        <v>19</v>
      </c>
      <c r="P1261" s="2" t="str">
        <f t="shared" si="5"/>
        <v>Group</v>
      </c>
      <c r="Q1261" s="2">
        <f t="shared" si="6"/>
        <v>-7</v>
      </c>
      <c r="R1261" s="2" t="str">
        <f>VLOOKUP(J1261,Equipes!A:B,2,0)</f>
        <v>InterMilano</v>
      </c>
      <c r="S1261" s="6" t="s">
        <v>797</v>
      </c>
      <c r="T1261" s="7">
        <v>95.0</v>
      </c>
      <c r="U1261" s="7" t="s">
        <v>798</v>
      </c>
      <c r="V1261" s="7" t="str">
        <f>VLOOKUP(U1261,Jogadores!B:C,2,0)</f>
        <v>DF</v>
      </c>
      <c r="W1261" s="8">
        <f>VLOOKUP(U1261,Jogadores!B:D,3,0)</f>
        <v>26.30958904</v>
      </c>
      <c r="X1261" s="7">
        <v>0.0</v>
      </c>
      <c r="Y1261" s="7">
        <f t="shared" ref="Y1261:Y1267" si="3940">45+AB1261</f>
        <v>96</v>
      </c>
      <c r="Z1261" s="7">
        <f>VLOOKUP(A1261,Jogos!A:L,3,0)</f>
        <v>47</v>
      </c>
      <c r="AA1261" s="7">
        <f t="shared" si="2229"/>
        <v>47</v>
      </c>
      <c r="AB1261" s="7">
        <f>VLOOKUP(A1261,Jogos!A:L,4,0)</f>
        <v>51</v>
      </c>
      <c r="AC1261" s="7">
        <f t="shared" si="2230"/>
        <v>51</v>
      </c>
      <c r="AD1261" s="7"/>
      <c r="AE1261" s="7"/>
      <c r="AF1261" s="7">
        <f t="shared" si="2231"/>
        <v>98</v>
      </c>
      <c r="AG1261" s="7">
        <v>9889.7</v>
      </c>
      <c r="AH1261" s="7">
        <v>4063.3</v>
      </c>
      <c r="AI1261" s="7">
        <v>3615.9</v>
      </c>
      <c r="AJ1261" s="7">
        <v>1340.1</v>
      </c>
      <c r="AK1261" s="7">
        <v>518.8</v>
      </c>
      <c r="AL1261" s="7">
        <v>351.6</v>
      </c>
      <c r="AM1261" s="7">
        <v>110.0</v>
      </c>
      <c r="AN1261" s="7">
        <v>45.0</v>
      </c>
      <c r="AO1261" s="7">
        <v>32.0</v>
      </c>
      <c r="AP1261" s="9">
        <f t="shared" ref="AP1261:AR1261" si="3937">AG1261/$AF1261</f>
        <v>100.9153061</v>
      </c>
      <c r="AQ1261" s="9">
        <f t="shared" si="3937"/>
        <v>41.4622449</v>
      </c>
      <c r="AR1261" s="9">
        <f t="shared" si="3937"/>
        <v>36.89693878</v>
      </c>
      <c r="AS1261" s="9">
        <f t="shared" si="2233"/>
        <v>78.35918367</v>
      </c>
      <c r="AT1261" s="9">
        <f t="shared" ref="AT1261:AV1261" si="3938">AJ1261/$AF1261</f>
        <v>13.6744898</v>
      </c>
      <c r="AU1261" s="9">
        <f t="shared" si="3938"/>
        <v>5.293877551</v>
      </c>
      <c r="AV1261" s="9">
        <f t="shared" si="3938"/>
        <v>3.587755102</v>
      </c>
      <c r="AW1261" s="9">
        <f t="shared" si="2235"/>
        <v>8.881632653</v>
      </c>
      <c r="AX1261" s="9">
        <f t="shared" ref="AX1261:AY1261" si="3939">AM1261/$AF1261</f>
        <v>1.12244898</v>
      </c>
      <c r="AY1261" s="9">
        <f t="shared" si="3939"/>
        <v>0.4591836735</v>
      </c>
      <c r="AZ1261" s="9">
        <f>VLOOKUP(A1261,Jogos!A:BN,58,0)</f>
        <v>19.79</v>
      </c>
      <c r="BA1261" s="9">
        <f>VLOOKUP(A1261,Jogos!A:BN,59,0)</f>
        <v>11.375</v>
      </c>
      <c r="BB1261" s="9">
        <f>VLOOKUP(A1261,Jogos!A:BN,60,0)</f>
        <v>57.5</v>
      </c>
      <c r="BC1261" s="9">
        <f>VLOOKUP(A1261,Jogos!A:BN,61,0)</f>
        <v>17.065</v>
      </c>
      <c r="BD1261" s="9">
        <f>VLOOKUP(A1261,Jogos!A:BN,62,0)</f>
        <v>197.15</v>
      </c>
      <c r="BE1261" s="9">
        <f>VLOOKUP(A1261,Jogos!A:BN,63,0)</f>
        <v>1.505</v>
      </c>
      <c r="BF1261" s="9">
        <f>VLOOKUP(A1261,Jogos!A:BN,64,0)</f>
        <v>17.4</v>
      </c>
      <c r="BG1261" s="9">
        <f>VLOOKUP(A1261,Jogos!A:BN,65,0)</f>
        <v>30.53</v>
      </c>
      <c r="BH1261" s="9">
        <f>VLOOKUP(A1261,Jogos!A:BN,66,0)</f>
        <v>20.265</v>
      </c>
      <c r="BI1261" s="9"/>
      <c r="BJ1261" s="9"/>
    </row>
    <row r="1262" hidden="1">
      <c r="A1262" s="2">
        <v>43.0</v>
      </c>
      <c r="B1262" s="11" t="s">
        <v>623</v>
      </c>
      <c r="C1262" s="2" t="s">
        <v>61</v>
      </c>
      <c r="D1262" s="3">
        <v>45833.0</v>
      </c>
      <c r="E1262" s="4">
        <v>0.75</v>
      </c>
      <c r="F1262" s="5" t="str">
        <f>VLOOKUP(A1262,Jogos!A:N,10,0)</f>
        <v>Evening</v>
      </c>
      <c r="G1262" s="2" t="s">
        <v>312</v>
      </c>
      <c r="H1262" s="6" t="str">
        <f>VLOOKUP(A1262,Jogos!A:L,12,0)</f>
        <v>Open</v>
      </c>
      <c r="I1262" s="6" t="str">
        <f>VLOOKUP(G1262,'Estádios e Cidades'!A:B,2,0)</f>
        <v>Seatte</v>
      </c>
      <c r="J1262" s="2" t="s">
        <v>748</v>
      </c>
      <c r="K1262" s="2" t="str">
        <f>VLOOKUP(J1262,Equipes!A:F,6,0)</f>
        <v>Temperate</v>
      </c>
      <c r="L1262" s="2">
        <f>VLOOKUP(J1262,Equipes!A:C,3,0)</f>
        <v>12</v>
      </c>
      <c r="M1262" s="2" t="str">
        <f t="shared" si="4"/>
        <v>Round of 16</v>
      </c>
      <c r="N1262" s="2" t="s">
        <v>624</v>
      </c>
      <c r="O1262" s="2">
        <f>VLOOKUP(N1262,Equipes!A:C,3,0)</f>
        <v>19</v>
      </c>
      <c r="P1262" s="2" t="str">
        <f t="shared" si="5"/>
        <v>Group</v>
      </c>
      <c r="Q1262" s="2">
        <f t="shared" si="6"/>
        <v>-7</v>
      </c>
      <c r="R1262" s="2" t="str">
        <f>VLOOKUP(J1262,Equipes!A:B,2,0)</f>
        <v>InterMilano</v>
      </c>
      <c r="S1262" s="6" t="s">
        <v>1158</v>
      </c>
      <c r="T1262" s="7">
        <v>6.0</v>
      </c>
      <c r="U1262" s="7" t="s">
        <v>1159</v>
      </c>
      <c r="V1262" s="7" t="str">
        <f>VLOOKUP(U1262,Jogadores!B:C,2,0)</f>
        <v>DF</v>
      </c>
      <c r="W1262" s="8">
        <f>VLOOKUP(U1262,Jogadores!B:D,3,0)</f>
        <v>33.49863014</v>
      </c>
      <c r="X1262" s="7">
        <v>83.0</v>
      </c>
      <c r="Y1262" s="7">
        <f t="shared" si="3940"/>
        <v>96</v>
      </c>
      <c r="Z1262" s="7">
        <f>VLOOKUP(A1262,Jogos!A:L,3,0)</f>
        <v>47</v>
      </c>
      <c r="AA1262" s="7">
        <f t="shared" si="2229"/>
        <v>0</v>
      </c>
      <c r="AB1262" s="7">
        <f>VLOOKUP(A1262,Jogos!A:L,4,0)</f>
        <v>51</v>
      </c>
      <c r="AC1262" s="7">
        <f t="shared" si="2230"/>
        <v>13</v>
      </c>
      <c r="AD1262" s="7"/>
      <c r="AE1262" s="7"/>
      <c r="AF1262" s="7">
        <f t="shared" si="2231"/>
        <v>13</v>
      </c>
      <c r="AG1262" s="7">
        <v>1344.1</v>
      </c>
      <c r="AH1262" s="7">
        <v>460.5</v>
      </c>
      <c r="AI1262" s="7">
        <v>638.3</v>
      </c>
      <c r="AJ1262" s="7">
        <v>196.6</v>
      </c>
      <c r="AK1262" s="7">
        <v>48.6</v>
      </c>
      <c r="AL1262" s="7">
        <v>17.0</v>
      </c>
      <c r="AM1262" s="7">
        <v>3.0</v>
      </c>
      <c r="AN1262" s="7">
        <v>23.8</v>
      </c>
      <c r="AO1262" s="7"/>
      <c r="AP1262" s="9">
        <f t="shared" ref="AP1262:AR1262" si="3941">AG1262/$AF1262</f>
        <v>103.3923077</v>
      </c>
      <c r="AQ1262" s="9">
        <f t="shared" si="3941"/>
        <v>35.42307692</v>
      </c>
      <c r="AR1262" s="9">
        <f t="shared" si="3941"/>
        <v>49.1</v>
      </c>
      <c r="AS1262" s="9">
        <f t="shared" si="2233"/>
        <v>84.52307692</v>
      </c>
      <c r="AT1262" s="9">
        <f t="shared" ref="AT1262:AV1262" si="3942">AJ1262/$AF1262</f>
        <v>15.12307692</v>
      </c>
      <c r="AU1262" s="9">
        <f t="shared" si="3942"/>
        <v>3.738461538</v>
      </c>
      <c r="AV1262" s="9">
        <f t="shared" si="3942"/>
        <v>1.307692308</v>
      </c>
      <c r="AW1262" s="9">
        <f t="shared" si="2235"/>
        <v>5.046153846</v>
      </c>
      <c r="AX1262" s="9">
        <f t="shared" ref="AX1262:AY1262" si="3943">AM1262/$AF1262</f>
        <v>0.2307692308</v>
      </c>
      <c r="AY1262" s="9">
        <f t="shared" si="3943"/>
        <v>1.830769231</v>
      </c>
      <c r="AZ1262" s="9">
        <f>VLOOKUP(A1262,Jogos!A:BN,58,0)</f>
        <v>19.79</v>
      </c>
      <c r="BA1262" s="9">
        <f>VLOOKUP(A1262,Jogos!A:BN,59,0)</f>
        <v>11.375</v>
      </c>
      <c r="BB1262" s="9">
        <f>VLOOKUP(A1262,Jogos!A:BN,60,0)</f>
        <v>57.5</v>
      </c>
      <c r="BC1262" s="9">
        <f>VLOOKUP(A1262,Jogos!A:BN,61,0)</f>
        <v>17.065</v>
      </c>
      <c r="BD1262" s="9">
        <f>VLOOKUP(A1262,Jogos!A:BN,62,0)</f>
        <v>197.15</v>
      </c>
      <c r="BE1262" s="9">
        <f>VLOOKUP(A1262,Jogos!A:BN,63,0)</f>
        <v>1.505</v>
      </c>
      <c r="BF1262" s="9">
        <f>VLOOKUP(A1262,Jogos!A:BN,64,0)</f>
        <v>17.4</v>
      </c>
      <c r="BG1262" s="9">
        <f>VLOOKUP(A1262,Jogos!A:BN,65,0)</f>
        <v>30.53</v>
      </c>
      <c r="BH1262" s="9">
        <f>VLOOKUP(A1262,Jogos!A:BN,66,0)</f>
        <v>20.265</v>
      </c>
      <c r="BI1262" s="9"/>
      <c r="BJ1262" s="9"/>
    </row>
    <row r="1263" hidden="1">
      <c r="A1263" s="2">
        <v>43.0</v>
      </c>
      <c r="B1263" s="11" t="s">
        <v>623</v>
      </c>
      <c r="C1263" s="2" t="s">
        <v>61</v>
      </c>
      <c r="D1263" s="3">
        <v>45833.0</v>
      </c>
      <c r="E1263" s="4">
        <v>0.75</v>
      </c>
      <c r="F1263" s="5" t="str">
        <f>VLOOKUP(A1263,Jogos!A:N,10,0)</f>
        <v>Evening</v>
      </c>
      <c r="G1263" s="2" t="s">
        <v>312</v>
      </c>
      <c r="H1263" s="6" t="str">
        <f>VLOOKUP(A1263,Jogos!A:L,12,0)</f>
        <v>Open</v>
      </c>
      <c r="I1263" s="6" t="str">
        <f>VLOOKUP(G1263,'Estádios e Cidades'!A:B,2,0)</f>
        <v>Seatte</v>
      </c>
      <c r="J1263" s="2" t="s">
        <v>748</v>
      </c>
      <c r="K1263" s="2" t="str">
        <f>VLOOKUP(J1263,Equipes!A:F,6,0)</f>
        <v>Temperate</v>
      </c>
      <c r="L1263" s="2">
        <f>VLOOKUP(J1263,Equipes!A:C,3,0)</f>
        <v>12</v>
      </c>
      <c r="M1263" s="2" t="str">
        <f t="shared" si="4"/>
        <v>Round of 16</v>
      </c>
      <c r="N1263" s="2" t="s">
        <v>624</v>
      </c>
      <c r="O1263" s="2">
        <f>VLOOKUP(N1263,Equipes!A:C,3,0)</f>
        <v>19</v>
      </c>
      <c r="P1263" s="2" t="str">
        <f t="shared" si="5"/>
        <v>Group</v>
      </c>
      <c r="Q1263" s="2">
        <f t="shared" si="6"/>
        <v>-7</v>
      </c>
      <c r="R1263" s="2" t="str">
        <f>VLOOKUP(J1263,Equipes!A:B,2,0)</f>
        <v>InterMilano</v>
      </c>
      <c r="S1263" s="6" t="s">
        <v>799</v>
      </c>
      <c r="T1263" s="7">
        <v>8.0</v>
      </c>
      <c r="U1263" s="7" t="s">
        <v>800</v>
      </c>
      <c r="V1263" s="7" t="str">
        <f>VLOOKUP(U1263,Jogadores!B:C,2,0)</f>
        <v>MF</v>
      </c>
      <c r="W1263" s="8">
        <f>VLOOKUP(U1263,Jogadores!B:D,3,0)</f>
        <v>21.77260274</v>
      </c>
      <c r="X1263" s="7">
        <v>62.0</v>
      </c>
      <c r="Y1263" s="7">
        <f t="shared" si="3940"/>
        <v>96</v>
      </c>
      <c r="Z1263" s="7">
        <f>VLOOKUP(A1263,Jogos!A:L,3,0)</f>
        <v>47</v>
      </c>
      <c r="AA1263" s="7">
        <f t="shared" si="2229"/>
        <v>0</v>
      </c>
      <c r="AB1263" s="7">
        <f>VLOOKUP(A1263,Jogos!A:L,4,0)</f>
        <v>51</v>
      </c>
      <c r="AC1263" s="7">
        <f t="shared" si="2230"/>
        <v>34</v>
      </c>
      <c r="AD1263" s="7"/>
      <c r="AE1263" s="7"/>
      <c r="AF1263" s="7">
        <f t="shared" si="2231"/>
        <v>34</v>
      </c>
      <c r="AG1263" s="7">
        <v>3863.7</v>
      </c>
      <c r="AH1263" s="7">
        <v>1135.5</v>
      </c>
      <c r="AI1263" s="7">
        <v>1589.0</v>
      </c>
      <c r="AJ1263" s="7">
        <v>707.8</v>
      </c>
      <c r="AK1263" s="7">
        <v>357.7</v>
      </c>
      <c r="AL1263" s="7">
        <v>73.7</v>
      </c>
      <c r="AM1263" s="7">
        <v>68.0</v>
      </c>
      <c r="AN1263" s="7">
        <v>23.0</v>
      </c>
      <c r="AO1263" s="7">
        <v>27.5</v>
      </c>
      <c r="AP1263" s="9">
        <f t="shared" ref="AP1263:AR1263" si="3944">AG1263/$AF1263</f>
        <v>113.6382353</v>
      </c>
      <c r="AQ1263" s="9">
        <f t="shared" si="3944"/>
        <v>33.39705882</v>
      </c>
      <c r="AR1263" s="9">
        <f t="shared" si="3944"/>
        <v>46.73529412</v>
      </c>
      <c r="AS1263" s="9">
        <f t="shared" si="2233"/>
        <v>80.13235294</v>
      </c>
      <c r="AT1263" s="9">
        <f t="shared" ref="AT1263:AV1263" si="3945">AJ1263/$AF1263</f>
        <v>20.81764706</v>
      </c>
      <c r="AU1263" s="9">
        <f t="shared" si="3945"/>
        <v>10.52058824</v>
      </c>
      <c r="AV1263" s="9">
        <f t="shared" si="3945"/>
        <v>2.167647059</v>
      </c>
      <c r="AW1263" s="9">
        <f t="shared" si="2235"/>
        <v>12.68823529</v>
      </c>
      <c r="AX1263" s="9">
        <f t="shared" ref="AX1263:AY1263" si="3946">AM1263/$AF1263</f>
        <v>2</v>
      </c>
      <c r="AY1263" s="9">
        <f t="shared" si="3946"/>
        <v>0.6764705882</v>
      </c>
      <c r="AZ1263" s="9">
        <f>VLOOKUP(A1263,Jogos!A:BN,58,0)</f>
        <v>19.79</v>
      </c>
      <c r="BA1263" s="9">
        <f>VLOOKUP(A1263,Jogos!A:BN,59,0)</f>
        <v>11.375</v>
      </c>
      <c r="BB1263" s="9">
        <f>VLOOKUP(A1263,Jogos!A:BN,60,0)</f>
        <v>57.5</v>
      </c>
      <c r="BC1263" s="9">
        <f>VLOOKUP(A1263,Jogos!A:BN,61,0)</f>
        <v>17.065</v>
      </c>
      <c r="BD1263" s="9">
        <f>VLOOKUP(A1263,Jogos!A:BN,62,0)</f>
        <v>197.15</v>
      </c>
      <c r="BE1263" s="9">
        <f>VLOOKUP(A1263,Jogos!A:BN,63,0)</f>
        <v>1.505</v>
      </c>
      <c r="BF1263" s="9">
        <f>VLOOKUP(A1263,Jogos!A:BN,64,0)</f>
        <v>17.4</v>
      </c>
      <c r="BG1263" s="9">
        <f>VLOOKUP(A1263,Jogos!A:BN,65,0)</f>
        <v>30.53</v>
      </c>
      <c r="BH1263" s="9">
        <f>VLOOKUP(A1263,Jogos!A:BN,66,0)</f>
        <v>20.265</v>
      </c>
      <c r="BI1263" s="9"/>
      <c r="BJ1263" s="9"/>
    </row>
    <row r="1264" hidden="1">
      <c r="A1264" s="2">
        <v>43.0</v>
      </c>
      <c r="B1264" s="11" t="s">
        <v>623</v>
      </c>
      <c r="C1264" s="2" t="s">
        <v>61</v>
      </c>
      <c r="D1264" s="3">
        <v>45833.0</v>
      </c>
      <c r="E1264" s="4">
        <v>0.75</v>
      </c>
      <c r="F1264" s="5" t="str">
        <f>VLOOKUP(A1264,Jogos!A:N,10,0)</f>
        <v>Evening</v>
      </c>
      <c r="G1264" s="2" t="s">
        <v>312</v>
      </c>
      <c r="H1264" s="6" t="str">
        <f>VLOOKUP(A1264,Jogos!A:L,12,0)</f>
        <v>Open</v>
      </c>
      <c r="I1264" s="6" t="str">
        <f>VLOOKUP(G1264,'Estádios e Cidades'!A:B,2,0)</f>
        <v>Seatte</v>
      </c>
      <c r="J1264" s="2" t="s">
        <v>748</v>
      </c>
      <c r="K1264" s="2" t="str">
        <f>VLOOKUP(J1264,Equipes!A:F,6,0)</f>
        <v>Temperate</v>
      </c>
      <c r="L1264" s="2">
        <f>VLOOKUP(J1264,Equipes!A:C,3,0)</f>
        <v>12</v>
      </c>
      <c r="M1264" s="2" t="str">
        <f t="shared" si="4"/>
        <v>Round of 16</v>
      </c>
      <c r="N1264" s="2" t="s">
        <v>624</v>
      </c>
      <c r="O1264" s="2">
        <f>VLOOKUP(N1264,Equipes!A:C,3,0)</f>
        <v>19</v>
      </c>
      <c r="P1264" s="2" t="str">
        <f t="shared" si="5"/>
        <v>Group</v>
      </c>
      <c r="Q1264" s="2">
        <f t="shared" si="6"/>
        <v>-7</v>
      </c>
      <c r="R1264" s="2" t="str">
        <f>VLOOKUP(J1264,Equipes!A:B,2,0)</f>
        <v>InterMilano</v>
      </c>
      <c r="S1264" s="6" t="s">
        <v>791</v>
      </c>
      <c r="T1264" s="7">
        <v>30.0</v>
      </c>
      <c r="U1264" s="7" t="s">
        <v>792</v>
      </c>
      <c r="V1264" s="7" t="str">
        <f>VLOOKUP(U1264,Jogadores!B:C,2,0)</f>
        <v>DF</v>
      </c>
      <c r="W1264" s="8">
        <f>VLOOKUP(U1264,Jogadores!B:D,3,0)</f>
        <v>26.57260274</v>
      </c>
      <c r="X1264" s="7">
        <v>63.0</v>
      </c>
      <c r="Y1264" s="7">
        <f t="shared" si="3940"/>
        <v>96</v>
      </c>
      <c r="Z1264" s="7">
        <f>VLOOKUP(A1264,Jogos!A:L,3,0)</f>
        <v>47</v>
      </c>
      <c r="AA1264" s="7">
        <f t="shared" si="2229"/>
        <v>0</v>
      </c>
      <c r="AB1264" s="7">
        <f>VLOOKUP(A1264,Jogos!A:L,4,0)</f>
        <v>51</v>
      </c>
      <c r="AC1264" s="7">
        <f t="shared" si="2230"/>
        <v>33</v>
      </c>
      <c r="AD1264" s="7"/>
      <c r="AE1264" s="7"/>
      <c r="AF1264" s="7">
        <f t="shared" si="2231"/>
        <v>33</v>
      </c>
      <c r="AG1264" s="7">
        <v>3281.1</v>
      </c>
      <c r="AH1264" s="7">
        <v>1479.8</v>
      </c>
      <c r="AI1264" s="7">
        <v>1107.0</v>
      </c>
      <c r="AJ1264" s="7">
        <v>381.4</v>
      </c>
      <c r="AK1264" s="7">
        <v>264.9</v>
      </c>
      <c r="AL1264" s="7">
        <v>48.0</v>
      </c>
      <c r="AM1264" s="7">
        <v>37.0</v>
      </c>
      <c r="AN1264" s="7">
        <v>16.0</v>
      </c>
      <c r="AO1264" s="7">
        <v>29.7</v>
      </c>
      <c r="AP1264" s="9">
        <f t="shared" ref="AP1264:AR1264" si="3947">AG1264/$AF1264</f>
        <v>99.42727273</v>
      </c>
      <c r="AQ1264" s="9">
        <f t="shared" si="3947"/>
        <v>44.84242424</v>
      </c>
      <c r="AR1264" s="9">
        <f t="shared" si="3947"/>
        <v>33.54545455</v>
      </c>
      <c r="AS1264" s="9">
        <f t="shared" si="2233"/>
        <v>78.38787879</v>
      </c>
      <c r="AT1264" s="9">
        <f t="shared" ref="AT1264:AV1264" si="3948">AJ1264/$AF1264</f>
        <v>11.55757576</v>
      </c>
      <c r="AU1264" s="9">
        <f t="shared" si="3948"/>
        <v>8.027272727</v>
      </c>
      <c r="AV1264" s="9">
        <f t="shared" si="3948"/>
        <v>1.454545455</v>
      </c>
      <c r="AW1264" s="9">
        <f t="shared" si="2235"/>
        <v>9.481818182</v>
      </c>
      <c r="AX1264" s="9">
        <f t="shared" ref="AX1264:AY1264" si="3949">AM1264/$AF1264</f>
        <v>1.121212121</v>
      </c>
      <c r="AY1264" s="9">
        <f t="shared" si="3949"/>
        <v>0.4848484848</v>
      </c>
      <c r="AZ1264" s="9">
        <f>VLOOKUP(A1264,Jogos!A:BN,58,0)</f>
        <v>19.79</v>
      </c>
      <c r="BA1264" s="9">
        <f>VLOOKUP(A1264,Jogos!A:BN,59,0)</f>
        <v>11.375</v>
      </c>
      <c r="BB1264" s="9">
        <f>VLOOKUP(A1264,Jogos!A:BN,60,0)</f>
        <v>57.5</v>
      </c>
      <c r="BC1264" s="9">
        <f>VLOOKUP(A1264,Jogos!A:BN,61,0)</f>
        <v>17.065</v>
      </c>
      <c r="BD1264" s="9">
        <f>VLOOKUP(A1264,Jogos!A:BN,62,0)</f>
        <v>197.15</v>
      </c>
      <c r="BE1264" s="9">
        <f>VLOOKUP(A1264,Jogos!A:BN,63,0)</f>
        <v>1.505</v>
      </c>
      <c r="BF1264" s="9">
        <f>VLOOKUP(A1264,Jogos!A:BN,64,0)</f>
        <v>17.4</v>
      </c>
      <c r="BG1264" s="9">
        <f>VLOOKUP(A1264,Jogos!A:BN,65,0)</f>
        <v>30.53</v>
      </c>
      <c r="BH1264" s="9">
        <f>VLOOKUP(A1264,Jogos!A:BN,66,0)</f>
        <v>20.265</v>
      </c>
      <c r="BI1264" s="9"/>
      <c r="BJ1264" s="9"/>
    </row>
    <row r="1265" hidden="1">
      <c r="A1265" s="2">
        <v>43.0</v>
      </c>
      <c r="B1265" s="11" t="s">
        <v>623</v>
      </c>
      <c r="C1265" s="2" t="s">
        <v>61</v>
      </c>
      <c r="D1265" s="3">
        <v>45833.0</v>
      </c>
      <c r="E1265" s="4">
        <v>0.75</v>
      </c>
      <c r="F1265" s="5" t="str">
        <f>VLOOKUP(A1265,Jogos!A:N,10,0)</f>
        <v>Evening</v>
      </c>
      <c r="G1265" s="2" t="s">
        <v>312</v>
      </c>
      <c r="H1265" s="6" t="str">
        <f>VLOOKUP(A1265,Jogos!A:L,12,0)</f>
        <v>Open</v>
      </c>
      <c r="I1265" s="6" t="str">
        <f>VLOOKUP(G1265,'Estádios e Cidades'!A:B,2,0)</f>
        <v>Seatte</v>
      </c>
      <c r="J1265" s="2" t="s">
        <v>748</v>
      </c>
      <c r="K1265" s="2" t="str">
        <f>VLOOKUP(J1265,Equipes!A:F,6,0)</f>
        <v>Temperate</v>
      </c>
      <c r="L1265" s="2">
        <f>VLOOKUP(J1265,Equipes!A:C,3,0)</f>
        <v>12</v>
      </c>
      <c r="M1265" s="2" t="str">
        <f t="shared" si="4"/>
        <v>Round of 16</v>
      </c>
      <c r="N1265" s="2" t="s">
        <v>624</v>
      </c>
      <c r="O1265" s="2">
        <f>VLOOKUP(N1265,Equipes!A:C,3,0)</f>
        <v>19</v>
      </c>
      <c r="P1265" s="2" t="str">
        <f t="shared" si="5"/>
        <v>Group</v>
      </c>
      <c r="Q1265" s="2">
        <f t="shared" si="6"/>
        <v>-7</v>
      </c>
      <c r="R1265" s="2" t="str">
        <f>VLOOKUP(J1265,Equipes!A:B,2,0)</f>
        <v>InterMilano</v>
      </c>
      <c r="S1265" s="6" t="s">
        <v>1160</v>
      </c>
      <c r="T1265" s="7">
        <v>45.0</v>
      </c>
      <c r="U1265" s="7" t="s">
        <v>1161</v>
      </c>
      <c r="V1265" s="7" t="str">
        <f>VLOOKUP(U1265,Jogadores!B:C,2,0)</f>
        <v>FW</v>
      </c>
      <c r="W1265" s="8">
        <f>VLOOKUP(U1265,Jogadores!B:D,3,0)</f>
        <v>20.4109589</v>
      </c>
      <c r="X1265" s="7">
        <v>73.0</v>
      </c>
      <c r="Y1265" s="7">
        <f t="shared" si="3940"/>
        <v>96</v>
      </c>
      <c r="Z1265" s="7">
        <f>VLOOKUP(A1265,Jogos!A:L,3,0)</f>
        <v>47</v>
      </c>
      <c r="AA1265" s="7">
        <f t="shared" si="2229"/>
        <v>0</v>
      </c>
      <c r="AB1265" s="7">
        <f>VLOOKUP(A1265,Jogos!A:L,4,0)</f>
        <v>51</v>
      </c>
      <c r="AC1265" s="7">
        <f t="shared" si="2230"/>
        <v>23</v>
      </c>
      <c r="AD1265" s="7"/>
      <c r="AE1265" s="7"/>
      <c r="AF1265" s="7">
        <f t="shared" si="2231"/>
        <v>23</v>
      </c>
      <c r="AG1265" s="7">
        <v>2688.9</v>
      </c>
      <c r="AH1265" s="7">
        <v>791.2</v>
      </c>
      <c r="AI1265" s="7">
        <v>1199.6</v>
      </c>
      <c r="AJ1265" s="7">
        <v>499.6</v>
      </c>
      <c r="AK1265" s="7">
        <v>157.2</v>
      </c>
      <c r="AL1265" s="7">
        <v>41.2</v>
      </c>
      <c r="AM1265" s="7">
        <v>39.0</v>
      </c>
      <c r="AN1265" s="7">
        <v>12.0</v>
      </c>
      <c r="AO1265" s="7">
        <v>26.4</v>
      </c>
      <c r="AP1265" s="9">
        <f t="shared" ref="AP1265:AR1265" si="3950">AG1265/$AF1265</f>
        <v>116.9086957</v>
      </c>
      <c r="AQ1265" s="9">
        <f t="shared" si="3950"/>
        <v>34.4</v>
      </c>
      <c r="AR1265" s="9">
        <f t="shared" si="3950"/>
        <v>52.15652174</v>
      </c>
      <c r="AS1265" s="9">
        <f t="shared" si="2233"/>
        <v>86.55652174</v>
      </c>
      <c r="AT1265" s="9">
        <f t="shared" ref="AT1265:AV1265" si="3951">AJ1265/$AF1265</f>
        <v>21.72173913</v>
      </c>
      <c r="AU1265" s="9">
        <f t="shared" si="3951"/>
        <v>6.834782609</v>
      </c>
      <c r="AV1265" s="9">
        <f t="shared" si="3951"/>
        <v>1.791304348</v>
      </c>
      <c r="AW1265" s="9">
        <f t="shared" si="2235"/>
        <v>8.626086957</v>
      </c>
      <c r="AX1265" s="9">
        <f t="shared" ref="AX1265:AY1265" si="3952">AM1265/$AF1265</f>
        <v>1.695652174</v>
      </c>
      <c r="AY1265" s="9">
        <f t="shared" si="3952"/>
        <v>0.5217391304</v>
      </c>
      <c r="AZ1265" s="9">
        <f>VLOOKUP(A1265,Jogos!A:BN,58,0)</f>
        <v>19.79</v>
      </c>
      <c r="BA1265" s="9">
        <f>VLOOKUP(A1265,Jogos!A:BN,59,0)</f>
        <v>11.375</v>
      </c>
      <c r="BB1265" s="9">
        <f>VLOOKUP(A1265,Jogos!A:BN,60,0)</f>
        <v>57.5</v>
      </c>
      <c r="BC1265" s="9">
        <f>VLOOKUP(A1265,Jogos!A:BN,61,0)</f>
        <v>17.065</v>
      </c>
      <c r="BD1265" s="9">
        <f>VLOOKUP(A1265,Jogos!A:BN,62,0)</f>
        <v>197.15</v>
      </c>
      <c r="BE1265" s="9">
        <f>VLOOKUP(A1265,Jogos!A:BN,63,0)</f>
        <v>1.505</v>
      </c>
      <c r="BF1265" s="9">
        <f>VLOOKUP(A1265,Jogos!A:BN,64,0)</f>
        <v>17.4</v>
      </c>
      <c r="BG1265" s="9">
        <f>VLOOKUP(A1265,Jogos!A:BN,65,0)</f>
        <v>30.53</v>
      </c>
      <c r="BH1265" s="9">
        <f>VLOOKUP(A1265,Jogos!A:BN,66,0)</f>
        <v>20.265</v>
      </c>
      <c r="BI1265" s="9"/>
      <c r="BJ1265" s="9"/>
    </row>
    <row r="1266" hidden="1">
      <c r="A1266" s="2">
        <v>43.0</v>
      </c>
      <c r="B1266" s="11" t="s">
        <v>623</v>
      </c>
      <c r="C1266" s="2" t="s">
        <v>61</v>
      </c>
      <c r="D1266" s="3">
        <v>45833.0</v>
      </c>
      <c r="E1266" s="4">
        <v>0.75</v>
      </c>
      <c r="F1266" s="5" t="str">
        <f>VLOOKUP(A1266,Jogos!A:N,10,0)</f>
        <v>Evening</v>
      </c>
      <c r="G1266" s="2" t="s">
        <v>312</v>
      </c>
      <c r="H1266" s="6" t="str">
        <f>VLOOKUP(A1266,Jogos!A:L,12,0)</f>
        <v>Open</v>
      </c>
      <c r="I1266" s="6" t="str">
        <f>VLOOKUP(G1266,'Estádios e Cidades'!A:B,2,0)</f>
        <v>Seatte</v>
      </c>
      <c r="J1266" s="2" t="s">
        <v>748</v>
      </c>
      <c r="K1266" s="2" t="str">
        <f>VLOOKUP(J1266,Equipes!A:F,6,0)</f>
        <v>Temperate</v>
      </c>
      <c r="L1266" s="2">
        <f>VLOOKUP(J1266,Equipes!A:C,3,0)</f>
        <v>12</v>
      </c>
      <c r="M1266" s="2" t="str">
        <f t="shared" si="4"/>
        <v>Round of 16</v>
      </c>
      <c r="N1266" s="2" t="s">
        <v>624</v>
      </c>
      <c r="O1266" s="2">
        <f>VLOOKUP(N1266,Equipes!A:C,3,0)</f>
        <v>19</v>
      </c>
      <c r="P1266" s="2" t="str">
        <f t="shared" si="5"/>
        <v>Group</v>
      </c>
      <c r="Q1266" s="2">
        <f t="shared" si="6"/>
        <v>-7</v>
      </c>
      <c r="R1266" s="2" t="str">
        <f>VLOOKUP(J1266,Equipes!A:B,2,0)</f>
        <v>InterMilano</v>
      </c>
      <c r="S1266" s="6" t="s">
        <v>795</v>
      </c>
      <c r="T1266" s="7">
        <v>70.0</v>
      </c>
      <c r="U1266" s="7" t="s">
        <v>796</v>
      </c>
      <c r="V1266" s="7" t="str">
        <f>VLOOKUP(U1266,Jogadores!B:C,2,0)</f>
        <v>FW</v>
      </c>
      <c r="W1266" s="8">
        <f>VLOOKUP(U1266,Jogadores!B:D,3,0)</f>
        <v>23.08767123</v>
      </c>
      <c r="X1266" s="7">
        <v>83.0</v>
      </c>
      <c r="Y1266" s="7">
        <f t="shared" si="3940"/>
        <v>96</v>
      </c>
      <c r="Z1266" s="7">
        <f>VLOOKUP(A1266,Jogos!A:L,3,0)</f>
        <v>47</v>
      </c>
      <c r="AA1266" s="7">
        <f t="shared" si="2229"/>
        <v>0</v>
      </c>
      <c r="AB1266" s="7">
        <f>VLOOKUP(A1266,Jogos!A:L,4,0)</f>
        <v>51</v>
      </c>
      <c r="AC1266" s="7">
        <f t="shared" si="2230"/>
        <v>13</v>
      </c>
      <c r="AD1266" s="7"/>
      <c r="AE1266" s="7"/>
      <c r="AF1266" s="7">
        <f t="shared" si="2231"/>
        <v>13</v>
      </c>
      <c r="AG1266" s="7">
        <v>1670.3</v>
      </c>
      <c r="AH1266" s="7">
        <v>411.0</v>
      </c>
      <c r="AI1266" s="7">
        <v>732.6</v>
      </c>
      <c r="AJ1266" s="7">
        <v>332.4</v>
      </c>
      <c r="AK1266" s="7">
        <v>182.2</v>
      </c>
      <c r="AL1266" s="7">
        <v>12.2</v>
      </c>
      <c r="AM1266" s="7">
        <v>32.0</v>
      </c>
      <c r="AN1266" s="7">
        <v>16.0</v>
      </c>
      <c r="AO1266" s="7">
        <v>26.4</v>
      </c>
      <c r="AP1266" s="9">
        <f t="shared" ref="AP1266:AR1266" si="3953">AG1266/$AF1266</f>
        <v>128.4846154</v>
      </c>
      <c r="AQ1266" s="9">
        <f t="shared" si="3953"/>
        <v>31.61538462</v>
      </c>
      <c r="AR1266" s="9">
        <f t="shared" si="3953"/>
        <v>56.35384615</v>
      </c>
      <c r="AS1266" s="9">
        <f t="shared" si="2233"/>
        <v>87.96923077</v>
      </c>
      <c r="AT1266" s="9">
        <f t="shared" ref="AT1266:AV1266" si="3954">AJ1266/$AF1266</f>
        <v>25.56923077</v>
      </c>
      <c r="AU1266" s="9">
        <f t="shared" si="3954"/>
        <v>14.01538462</v>
      </c>
      <c r="AV1266" s="9">
        <f t="shared" si="3954"/>
        <v>0.9384615385</v>
      </c>
      <c r="AW1266" s="9">
        <f t="shared" si="2235"/>
        <v>14.95384615</v>
      </c>
      <c r="AX1266" s="9">
        <f t="shared" ref="AX1266:AY1266" si="3955">AM1266/$AF1266</f>
        <v>2.461538462</v>
      </c>
      <c r="AY1266" s="9">
        <f t="shared" si="3955"/>
        <v>1.230769231</v>
      </c>
      <c r="AZ1266" s="9">
        <f>VLOOKUP(A1266,Jogos!A:BN,58,0)</f>
        <v>19.79</v>
      </c>
      <c r="BA1266" s="9">
        <f>VLOOKUP(A1266,Jogos!A:BN,59,0)</f>
        <v>11.375</v>
      </c>
      <c r="BB1266" s="9">
        <f>VLOOKUP(A1266,Jogos!A:BN,60,0)</f>
        <v>57.5</v>
      </c>
      <c r="BC1266" s="9">
        <f>VLOOKUP(A1266,Jogos!A:BN,61,0)</f>
        <v>17.065</v>
      </c>
      <c r="BD1266" s="9">
        <f>VLOOKUP(A1266,Jogos!A:BN,62,0)</f>
        <v>197.15</v>
      </c>
      <c r="BE1266" s="9">
        <f>VLOOKUP(A1266,Jogos!A:BN,63,0)</f>
        <v>1.505</v>
      </c>
      <c r="BF1266" s="9">
        <f>VLOOKUP(A1266,Jogos!A:BN,64,0)</f>
        <v>17.4</v>
      </c>
      <c r="BG1266" s="9">
        <f>VLOOKUP(A1266,Jogos!A:BN,65,0)</f>
        <v>30.53</v>
      </c>
      <c r="BH1266" s="9">
        <f>VLOOKUP(A1266,Jogos!A:BN,66,0)</f>
        <v>20.265</v>
      </c>
      <c r="BI1266" s="9"/>
      <c r="BJ1266" s="9"/>
    </row>
    <row r="1267" hidden="1">
      <c r="A1267" s="10">
        <v>43.0</v>
      </c>
      <c r="B1267" s="11" t="s">
        <v>623</v>
      </c>
      <c r="C1267" s="2" t="s">
        <v>61</v>
      </c>
      <c r="D1267" s="12">
        <v>45833.0</v>
      </c>
      <c r="E1267" s="13">
        <v>0.75</v>
      </c>
      <c r="F1267" s="5" t="str">
        <f>VLOOKUP(A1267,Jogos!A:N,10,0)</f>
        <v>Evening</v>
      </c>
      <c r="G1267" s="11" t="s">
        <v>312</v>
      </c>
      <c r="H1267" s="6" t="str">
        <f>VLOOKUP(A1267,Jogos!A:L,12,0)</f>
        <v>Open</v>
      </c>
      <c r="I1267" s="6" t="str">
        <f>VLOOKUP(G1267,'Estádios e Cidades'!A:B,2,0)</f>
        <v>Seatte</v>
      </c>
      <c r="J1267" s="11" t="s">
        <v>624</v>
      </c>
      <c r="K1267" s="2" t="str">
        <f>VLOOKUP(J1267,Equipes!A:F,6,0)</f>
        <v>Temperate</v>
      </c>
      <c r="L1267" s="2">
        <f>VLOOKUP(J1267,Equipes!A:C,3,0)</f>
        <v>19</v>
      </c>
      <c r="M1267" s="2" t="str">
        <f t="shared" si="4"/>
        <v>Group</v>
      </c>
      <c r="N1267" s="11" t="s">
        <v>748</v>
      </c>
      <c r="O1267" s="2">
        <f>VLOOKUP(N1267,Equipes!A:C,3,0)</f>
        <v>12</v>
      </c>
      <c r="P1267" s="2" t="str">
        <f t="shared" si="5"/>
        <v>Round of 16</v>
      </c>
      <c r="Q1267" s="2">
        <f t="shared" si="6"/>
        <v>7</v>
      </c>
      <c r="R1267" s="2" t="str">
        <f>VLOOKUP(J1267,Equipes!A:B,2,0)</f>
        <v>River</v>
      </c>
      <c r="S1267" s="14" t="s">
        <v>626</v>
      </c>
      <c r="T1267" s="7">
        <v>4.0</v>
      </c>
      <c r="U1267" s="7" t="s">
        <v>627</v>
      </c>
      <c r="V1267" s="7" t="str">
        <f>VLOOKUP(U1267,Jogadores!B:C,2,0)</f>
        <v>DF</v>
      </c>
      <c r="W1267" s="8">
        <f>VLOOKUP(U1267,Jogadores!B:D,3,0)</f>
        <v>28.5890411</v>
      </c>
      <c r="X1267" s="7">
        <v>0.0</v>
      </c>
      <c r="Y1267" s="7">
        <f t="shared" si="3940"/>
        <v>96</v>
      </c>
      <c r="Z1267" s="7">
        <f>VLOOKUP(A1267,Jogos!A:L,3,0)</f>
        <v>47</v>
      </c>
      <c r="AA1267" s="7">
        <f t="shared" si="2229"/>
        <v>47</v>
      </c>
      <c r="AB1267" s="7">
        <f>VLOOKUP(A1267,Jogos!A:L,4,0)</f>
        <v>51</v>
      </c>
      <c r="AC1267" s="7">
        <f t="shared" si="2230"/>
        <v>51</v>
      </c>
      <c r="AD1267" s="7"/>
      <c r="AE1267" s="7"/>
      <c r="AF1267" s="7">
        <f t="shared" si="2231"/>
        <v>98</v>
      </c>
      <c r="AG1267" s="7">
        <v>10962.0</v>
      </c>
      <c r="AH1267" s="7">
        <v>3596.7</v>
      </c>
      <c r="AI1267" s="7">
        <v>3998.8</v>
      </c>
      <c r="AJ1267" s="7">
        <v>1805.6</v>
      </c>
      <c r="AK1267" s="7">
        <v>1137.2</v>
      </c>
      <c r="AL1267" s="7">
        <v>423.6</v>
      </c>
      <c r="AM1267" s="7">
        <v>152.0</v>
      </c>
      <c r="AN1267" s="7">
        <v>89.0</v>
      </c>
      <c r="AO1267" s="7">
        <v>33.6</v>
      </c>
      <c r="AP1267" s="9">
        <f t="shared" ref="AP1267:AR1267" si="3956">AG1267/$AF1267</f>
        <v>111.8571429</v>
      </c>
      <c r="AQ1267" s="9">
        <f t="shared" si="3956"/>
        <v>36.70102041</v>
      </c>
      <c r="AR1267" s="9">
        <f t="shared" si="3956"/>
        <v>40.80408163</v>
      </c>
      <c r="AS1267" s="9">
        <f t="shared" si="2233"/>
        <v>77.50510204</v>
      </c>
      <c r="AT1267" s="9">
        <f t="shared" ref="AT1267:AV1267" si="3957">AJ1267/$AF1267</f>
        <v>18.4244898</v>
      </c>
      <c r="AU1267" s="9">
        <f t="shared" si="3957"/>
        <v>11.60408163</v>
      </c>
      <c r="AV1267" s="9">
        <f t="shared" si="3957"/>
        <v>4.32244898</v>
      </c>
      <c r="AW1267" s="9">
        <f t="shared" si="2235"/>
        <v>15.92653061</v>
      </c>
      <c r="AX1267" s="9">
        <f t="shared" ref="AX1267:AY1267" si="3958">AM1267/$AF1267</f>
        <v>1.551020408</v>
      </c>
      <c r="AY1267" s="9">
        <f t="shared" si="3958"/>
        <v>0.9081632653</v>
      </c>
      <c r="AZ1267" s="9">
        <f>VLOOKUP(A1267,Jogos!A:BN,58,0)</f>
        <v>19.79</v>
      </c>
      <c r="BA1267" s="9">
        <f>VLOOKUP(A1267,Jogos!A:BN,59,0)</f>
        <v>11.375</v>
      </c>
      <c r="BB1267" s="9">
        <f>VLOOKUP(A1267,Jogos!A:BN,60,0)</f>
        <v>57.5</v>
      </c>
      <c r="BC1267" s="9">
        <f>VLOOKUP(A1267,Jogos!A:BN,61,0)</f>
        <v>17.065</v>
      </c>
      <c r="BD1267" s="9">
        <f>VLOOKUP(A1267,Jogos!A:BN,62,0)</f>
        <v>197.15</v>
      </c>
      <c r="BE1267" s="9">
        <f>VLOOKUP(A1267,Jogos!A:BN,63,0)</f>
        <v>1.505</v>
      </c>
      <c r="BF1267" s="9">
        <f>VLOOKUP(A1267,Jogos!A:BN,64,0)</f>
        <v>17.4</v>
      </c>
      <c r="BG1267" s="9">
        <f>VLOOKUP(A1267,Jogos!A:BN,65,0)</f>
        <v>30.53</v>
      </c>
      <c r="BH1267" s="9">
        <f>VLOOKUP(A1267,Jogos!A:BN,66,0)</f>
        <v>20.265</v>
      </c>
      <c r="BI1267" s="9"/>
      <c r="BJ1267" s="9"/>
    </row>
    <row r="1268" hidden="1">
      <c r="A1268" s="10">
        <v>43.0</v>
      </c>
      <c r="B1268" s="11" t="s">
        <v>623</v>
      </c>
      <c r="C1268" s="2" t="s">
        <v>61</v>
      </c>
      <c r="D1268" s="12">
        <v>45833.0</v>
      </c>
      <c r="E1268" s="13">
        <v>0.75</v>
      </c>
      <c r="F1268" s="5" t="str">
        <f>VLOOKUP(A1268,Jogos!A:N,10,0)</f>
        <v>Evening</v>
      </c>
      <c r="G1268" s="11" t="s">
        <v>312</v>
      </c>
      <c r="H1268" s="6" t="str">
        <f>VLOOKUP(A1268,Jogos!A:L,12,0)</f>
        <v>Open</v>
      </c>
      <c r="I1268" s="6" t="str">
        <f>VLOOKUP(G1268,'Estádios e Cidades'!A:B,2,0)</f>
        <v>Seatte</v>
      </c>
      <c r="J1268" s="11" t="s">
        <v>624</v>
      </c>
      <c r="K1268" s="2" t="str">
        <f>VLOOKUP(J1268,Equipes!A:F,6,0)</f>
        <v>Temperate</v>
      </c>
      <c r="L1268" s="2">
        <f>VLOOKUP(J1268,Equipes!A:C,3,0)</f>
        <v>19</v>
      </c>
      <c r="M1268" s="2" t="str">
        <f t="shared" si="4"/>
        <v>Group</v>
      </c>
      <c r="N1268" s="11" t="s">
        <v>748</v>
      </c>
      <c r="O1268" s="2">
        <f>VLOOKUP(N1268,Equipes!A:C,3,0)</f>
        <v>12</v>
      </c>
      <c r="P1268" s="2" t="str">
        <f t="shared" si="5"/>
        <v>Round of 16</v>
      </c>
      <c r="Q1268" s="2">
        <f t="shared" si="6"/>
        <v>7</v>
      </c>
      <c r="R1268" s="2" t="str">
        <f>VLOOKUP(J1268,Equipes!A:B,2,0)</f>
        <v>River</v>
      </c>
      <c r="S1268" s="6" t="s">
        <v>1182</v>
      </c>
      <c r="T1268" s="7">
        <v>5.0</v>
      </c>
      <c r="U1268" s="7" t="s">
        <v>1183</v>
      </c>
      <c r="V1268" s="7" t="str">
        <f>VLOOKUP(U1268,Jogadores!B:C,2,0)</f>
        <v>MF</v>
      </c>
      <c r="W1268" s="8">
        <f>VLOOKUP(U1268,Jogadores!B:D,3,0)</f>
        <v>32.20821918</v>
      </c>
      <c r="X1268" s="7">
        <v>0.0</v>
      </c>
      <c r="Y1268" s="7">
        <v>62.0</v>
      </c>
      <c r="Z1268" s="7">
        <f>VLOOKUP(A1268,Jogos!A:L,3,0)</f>
        <v>47</v>
      </c>
      <c r="AA1268" s="7">
        <f t="shared" si="2229"/>
        <v>47</v>
      </c>
      <c r="AB1268" s="7">
        <f>VLOOKUP(A1268,Jogos!A:L,4,0)</f>
        <v>51</v>
      </c>
      <c r="AC1268" s="7">
        <f t="shared" si="2230"/>
        <v>17</v>
      </c>
      <c r="AD1268" s="7"/>
      <c r="AE1268" s="7"/>
      <c r="AF1268" s="7">
        <f t="shared" si="2231"/>
        <v>64</v>
      </c>
      <c r="AG1268" s="7">
        <v>7077.3</v>
      </c>
      <c r="AH1268" s="7">
        <v>2549.1</v>
      </c>
      <c r="AI1268" s="7">
        <v>2552.0</v>
      </c>
      <c r="AJ1268" s="7">
        <v>1201.6</v>
      </c>
      <c r="AK1268" s="7">
        <v>606.2</v>
      </c>
      <c r="AL1268" s="7">
        <v>168.5</v>
      </c>
      <c r="AM1268" s="7">
        <v>106.0</v>
      </c>
      <c r="AN1268" s="7">
        <v>43.0</v>
      </c>
      <c r="AO1268" s="7">
        <v>29.9</v>
      </c>
      <c r="AP1268" s="9">
        <f t="shared" ref="AP1268:AR1268" si="3959">AG1268/$AF1268</f>
        <v>110.5828125</v>
      </c>
      <c r="AQ1268" s="9">
        <f t="shared" si="3959"/>
        <v>39.8296875</v>
      </c>
      <c r="AR1268" s="9">
        <f t="shared" si="3959"/>
        <v>39.875</v>
      </c>
      <c r="AS1268" s="9">
        <f t="shared" si="2233"/>
        <v>79.7046875</v>
      </c>
      <c r="AT1268" s="9">
        <f t="shared" ref="AT1268:AV1268" si="3960">AJ1268/$AF1268</f>
        <v>18.775</v>
      </c>
      <c r="AU1268" s="9">
        <f t="shared" si="3960"/>
        <v>9.471875</v>
      </c>
      <c r="AV1268" s="9">
        <f t="shared" si="3960"/>
        <v>2.6328125</v>
      </c>
      <c r="AW1268" s="9">
        <f t="shared" si="2235"/>
        <v>12.1046875</v>
      </c>
      <c r="AX1268" s="9">
        <f t="shared" ref="AX1268:AY1268" si="3961">AM1268/$AF1268</f>
        <v>1.65625</v>
      </c>
      <c r="AY1268" s="9">
        <f t="shared" si="3961"/>
        <v>0.671875</v>
      </c>
      <c r="AZ1268" s="9">
        <f>VLOOKUP(A1268,Jogos!A:BN,58,0)</f>
        <v>19.79</v>
      </c>
      <c r="BA1268" s="9">
        <f>VLOOKUP(A1268,Jogos!A:BN,59,0)</f>
        <v>11.375</v>
      </c>
      <c r="BB1268" s="9">
        <f>VLOOKUP(A1268,Jogos!A:BN,60,0)</f>
        <v>57.5</v>
      </c>
      <c r="BC1268" s="9">
        <f>VLOOKUP(A1268,Jogos!A:BN,61,0)</f>
        <v>17.065</v>
      </c>
      <c r="BD1268" s="9">
        <f>VLOOKUP(A1268,Jogos!A:BN,62,0)</f>
        <v>197.15</v>
      </c>
      <c r="BE1268" s="9">
        <f>VLOOKUP(A1268,Jogos!A:BN,63,0)</f>
        <v>1.505</v>
      </c>
      <c r="BF1268" s="9">
        <f>VLOOKUP(A1268,Jogos!A:BN,64,0)</f>
        <v>17.4</v>
      </c>
      <c r="BG1268" s="9">
        <f>VLOOKUP(A1268,Jogos!A:BN,65,0)</f>
        <v>30.53</v>
      </c>
      <c r="BH1268" s="9">
        <f>VLOOKUP(A1268,Jogos!A:BN,66,0)</f>
        <v>20.265</v>
      </c>
      <c r="BI1268" s="9"/>
      <c r="BJ1268" s="9"/>
    </row>
    <row r="1269" hidden="1">
      <c r="A1269" s="10">
        <v>43.0</v>
      </c>
      <c r="B1269" s="11" t="s">
        <v>623</v>
      </c>
      <c r="C1269" s="2" t="s">
        <v>61</v>
      </c>
      <c r="D1269" s="12">
        <v>45833.0</v>
      </c>
      <c r="E1269" s="13">
        <v>0.75</v>
      </c>
      <c r="F1269" s="5" t="str">
        <f>VLOOKUP(A1269,Jogos!A:N,10,0)</f>
        <v>Evening</v>
      </c>
      <c r="G1269" s="11" t="s">
        <v>312</v>
      </c>
      <c r="H1269" s="6" t="str">
        <f>VLOOKUP(A1269,Jogos!A:L,12,0)</f>
        <v>Open</v>
      </c>
      <c r="I1269" s="6" t="str">
        <f>VLOOKUP(G1269,'Estádios e Cidades'!A:B,2,0)</f>
        <v>Seatte</v>
      </c>
      <c r="J1269" s="11" t="s">
        <v>624</v>
      </c>
      <c r="K1269" s="2" t="str">
        <f>VLOOKUP(J1269,Equipes!A:F,6,0)</f>
        <v>Temperate</v>
      </c>
      <c r="L1269" s="2">
        <f>VLOOKUP(J1269,Equipes!A:C,3,0)</f>
        <v>19</v>
      </c>
      <c r="M1269" s="2" t="str">
        <f t="shared" si="4"/>
        <v>Group</v>
      </c>
      <c r="N1269" s="11" t="s">
        <v>748</v>
      </c>
      <c r="O1269" s="2">
        <f>VLOOKUP(N1269,Equipes!A:C,3,0)</f>
        <v>12</v>
      </c>
      <c r="P1269" s="2" t="str">
        <f t="shared" si="5"/>
        <v>Round of 16</v>
      </c>
      <c r="Q1269" s="2">
        <f t="shared" si="6"/>
        <v>7</v>
      </c>
      <c r="R1269" s="2" t="str">
        <f>VLOOKUP(J1269,Equipes!A:B,2,0)</f>
        <v>River</v>
      </c>
      <c r="S1269" s="6" t="s">
        <v>646</v>
      </c>
      <c r="T1269" s="7">
        <v>8.0</v>
      </c>
      <c r="U1269" s="7" t="s">
        <v>647</v>
      </c>
      <c r="V1269" s="7" t="str">
        <f>VLOOKUP(U1269,Jogadores!B:C,2,0)</f>
        <v>MF</v>
      </c>
      <c r="W1269" s="8">
        <f>VLOOKUP(U1269,Jogadores!B:D,3,0)</f>
        <v>32.63835616</v>
      </c>
      <c r="X1269" s="7">
        <v>0.0</v>
      </c>
      <c r="Y1269" s="7">
        <v>55.0</v>
      </c>
      <c r="Z1269" s="7">
        <f>VLOOKUP(A1269,Jogos!A:L,3,0)</f>
        <v>47</v>
      </c>
      <c r="AA1269" s="7">
        <f t="shared" si="2229"/>
        <v>47</v>
      </c>
      <c r="AB1269" s="7">
        <f>VLOOKUP(A1269,Jogos!A:L,4,0)</f>
        <v>51</v>
      </c>
      <c r="AC1269" s="7">
        <f t="shared" si="2230"/>
        <v>10</v>
      </c>
      <c r="AD1269" s="7"/>
      <c r="AE1269" s="7"/>
      <c r="AF1269" s="7">
        <f t="shared" si="2231"/>
        <v>57</v>
      </c>
      <c r="AG1269" s="7">
        <v>6862.5</v>
      </c>
      <c r="AH1269" s="7">
        <v>2162.6</v>
      </c>
      <c r="AI1269" s="7">
        <v>2841.1</v>
      </c>
      <c r="AJ1269" s="7">
        <v>1163.5</v>
      </c>
      <c r="AK1269" s="7">
        <v>535.3</v>
      </c>
      <c r="AL1269" s="7">
        <v>160.0</v>
      </c>
      <c r="AM1269" s="7">
        <v>100.0</v>
      </c>
      <c r="AN1269" s="7">
        <v>39.0</v>
      </c>
      <c r="AO1269" s="7">
        <v>30.7</v>
      </c>
      <c r="AP1269" s="9">
        <f t="shared" ref="AP1269:AR1269" si="3962">AG1269/$AF1269</f>
        <v>120.3947368</v>
      </c>
      <c r="AQ1269" s="9">
        <f t="shared" si="3962"/>
        <v>37.94035088</v>
      </c>
      <c r="AR1269" s="9">
        <f t="shared" si="3962"/>
        <v>49.84385965</v>
      </c>
      <c r="AS1269" s="9">
        <f t="shared" si="2233"/>
        <v>87.78421053</v>
      </c>
      <c r="AT1269" s="9">
        <f t="shared" ref="AT1269:AV1269" si="3963">AJ1269/$AF1269</f>
        <v>20.4122807</v>
      </c>
      <c r="AU1269" s="9">
        <f t="shared" si="3963"/>
        <v>9.39122807</v>
      </c>
      <c r="AV1269" s="9">
        <f t="shared" si="3963"/>
        <v>2.807017544</v>
      </c>
      <c r="AW1269" s="9">
        <f t="shared" si="2235"/>
        <v>12.19824561</v>
      </c>
      <c r="AX1269" s="9">
        <f t="shared" ref="AX1269:AY1269" si="3964">AM1269/$AF1269</f>
        <v>1.754385965</v>
      </c>
      <c r="AY1269" s="9">
        <f t="shared" si="3964"/>
        <v>0.6842105263</v>
      </c>
      <c r="AZ1269" s="9">
        <f>VLOOKUP(A1269,Jogos!A:BN,58,0)</f>
        <v>19.79</v>
      </c>
      <c r="BA1269" s="9">
        <f>VLOOKUP(A1269,Jogos!A:BN,59,0)</f>
        <v>11.375</v>
      </c>
      <c r="BB1269" s="9">
        <f>VLOOKUP(A1269,Jogos!A:BN,60,0)</f>
        <v>57.5</v>
      </c>
      <c r="BC1269" s="9">
        <f>VLOOKUP(A1269,Jogos!A:BN,61,0)</f>
        <v>17.065</v>
      </c>
      <c r="BD1269" s="9">
        <f>VLOOKUP(A1269,Jogos!A:BN,62,0)</f>
        <v>197.15</v>
      </c>
      <c r="BE1269" s="9">
        <f>VLOOKUP(A1269,Jogos!A:BN,63,0)</f>
        <v>1.505</v>
      </c>
      <c r="BF1269" s="9">
        <f>VLOOKUP(A1269,Jogos!A:BN,64,0)</f>
        <v>17.4</v>
      </c>
      <c r="BG1269" s="9">
        <f>VLOOKUP(A1269,Jogos!A:BN,65,0)</f>
        <v>30.53</v>
      </c>
      <c r="BH1269" s="9">
        <f>VLOOKUP(A1269,Jogos!A:BN,66,0)</f>
        <v>20.265</v>
      </c>
      <c r="BI1269" s="9"/>
      <c r="BJ1269" s="9"/>
    </row>
    <row r="1270" hidden="1">
      <c r="A1270" s="10">
        <v>43.0</v>
      </c>
      <c r="B1270" s="11" t="s">
        <v>623</v>
      </c>
      <c r="C1270" s="2" t="s">
        <v>61</v>
      </c>
      <c r="D1270" s="12">
        <v>45833.0</v>
      </c>
      <c r="E1270" s="13">
        <v>0.75</v>
      </c>
      <c r="F1270" s="5" t="str">
        <f>VLOOKUP(A1270,Jogos!A:N,10,0)</f>
        <v>Evening</v>
      </c>
      <c r="G1270" s="11" t="s">
        <v>312</v>
      </c>
      <c r="H1270" s="6" t="str">
        <f>VLOOKUP(A1270,Jogos!A:L,12,0)</f>
        <v>Open</v>
      </c>
      <c r="I1270" s="6" t="str">
        <f>VLOOKUP(G1270,'Estádios e Cidades'!A:B,2,0)</f>
        <v>Seatte</v>
      </c>
      <c r="J1270" s="11" t="s">
        <v>624</v>
      </c>
      <c r="K1270" s="2" t="str">
        <f>VLOOKUP(J1270,Equipes!A:F,6,0)</f>
        <v>Temperate</v>
      </c>
      <c r="L1270" s="2">
        <f>VLOOKUP(J1270,Equipes!A:C,3,0)</f>
        <v>19</v>
      </c>
      <c r="M1270" s="2" t="str">
        <f t="shared" si="4"/>
        <v>Group</v>
      </c>
      <c r="N1270" s="11" t="s">
        <v>748</v>
      </c>
      <c r="O1270" s="2">
        <f>VLOOKUP(N1270,Equipes!A:C,3,0)</f>
        <v>12</v>
      </c>
      <c r="P1270" s="2" t="str">
        <f t="shared" si="5"/>
        <v>Round of 16</v>
      </c>
      <c r="Q1270" s="2">
        <f t="shared" si="6"/>
        <v>7</v>
      </c>
      <c r="R1270" s="2" t="str">
        <f>VLOOKUP(J1270,Equipes!A:B,2,0)</f>
        <v>River</v>
      </c>
      <c r="S1270" s="6" t="s">
        <v>648</v>
      </c>
      <c r="T1270" s="7">
        <v>9.0</v>
      </c>
      <c r="U1270" s="7" t="s">
        <v>649</v>
      </c>
      <c r="V1270" s="7" t="str">
        <f>VLOOKUP(U1270,Jogadores!B:C,2,0)</f>
        <v>FW</v>
      </c>
      <c r="W1270" s="8">
        <f>VLOOKUP(U1270,Jogadores!B:D,3,0)</f>
        <v>32.52328767</v>
      </c>
      <c r="X1270" s="7">
        <v>0.0</v>
      </c>
      <c r="Y1270" s="7">
        <f>45+AB1270</f>
        <v>96</v>
      </c>
      <c r="Z1270" s="7">
        <f>VLOOKUP(A1270,Jogos!A:L,3,0)</f>
        <v>47</v>
      </c>
      <c r="AA1270" s="7">
        <f t="shared" si="2229"/>
        <v>47</v>
      </c>
      <c r="AB1270" s="7">
        <f>VLOOKUP(A1270,Jogos!A:L,4,0)</f>
        <v>51</v>
      </c>
      <c r="AC1270" s="7">
        <f t="shared" si="2230"/>
        <v>51</v>
      </c>
      <c r="AD1270" s="7"/>
      <c r="AE1270" s="7"/>
      <c r="AF1270" s="7">
        <f t="shared" si="2231"/>
        <v>98</v>
      </c>
      <c r="AG1270" s="7">
        <v>9224.5</v>
      </c>
      <c r="AH1270" s="7">
        <v>3554.9</v>
      </c>
      <c r="AI1270" s="7">
        <v>3754.9</v>
      </c>
      <c r="AJ1270" s="7">
        <v>1048.8</v>
      </c>
      <c r="AK1270" s="7">
        <v>566.2</v>
      </c>
      <c r="AL1270" s="7">
        <v>299.7</v>
      </c>
      <c r="AM1270" s="7">
        <v>97.0</v>
      </c>
      <c r="AN1270" s="7">
        <v>54.0</v>
      </c>
      <c r="AO1270" s="7">
        <v>31.8</v>
      </c>
      <c r="AP1270" s="9">
        <f t="shared" ref="AP1270:AR1270" si="3965">AG1270/$AF1270</f>
        <v>94.12755102</v>
      </c>
      <c r="AQ1270" s="9">
        <f t="shared" si="3965"/>
        <v>36.2744898</v>
      </c>
      <c r="AR1270" s="9">
        <f t="shared" si="3965"/>
        <v>38.31530612</v>
      </c>
      <c r="AS1270" s="9">
        <f t="shared" si="2233"/>
        <v>74.58979592</v>
      </c>
      <c r="AT1270" s="9">
        <f t="shared" ref="AT1270:AV1270" si="3966">AJ1270/$AF1270</f>
        <v>10.70204082</v>
      </c>
      <c r="AU1270" s="9">
        <f t="shared" si="3966"/>
        <v>5.77755102</v>
      </c>
      <c r="AV1270" s="9">
        <f t="shared" si="3966"/>
        <v>3.058163265</v>
      </c>
      <c r="AW1270" s="9">
        <f t="shared" si="2235"/>
        <v>8.835714286</v>
      </c>
      <c r="AX1270" s="9">
        <f t="shared" ref="AX1270:AY1270" si="3967">AM1270/$AF1270</f>
        <v>0.9897959184</v>
      </c>
      <c r="AY1270" s="9">
        <f t="shared" si="3967"/>
        <v>0.5510204082</v>
      </c>
      <c r="AZ1270" s="9">
        <f>VLOOKUP(A1270,Jogos!A:BN,58,0)</f>
        <v>19.79</v>
      </c>
      <c r="BA1270" s="9">
        <f>VLOOKUP(A1270,Jogos!A:BN,59,0)</f>
        <v>11.375</v>
      </c>
      <c r="BB1270" s="9">
        <f>VLOOKUP(A1270,Jogos!A:BN,60,0)</f>
        <v>57.5</v>
      </c>
      <c r="BC1270" s="9">
        <f>VLOOKUP(A1270,Jogos!A:BN,61,0)</f>
        <v>17.065</v>
      </c>
      <c r="BD1270" s="9">
        <f>VLOOKUP(A1270,Jogos!A:BN,62,0)</f>
        <v>197.15</v>
      </c>
      <c r="BE1270" s="9">
        <f>VLOOKUP(A1270,Jogos!A:BN,63,0)</f>
        <v>1.505</v>
      </c>
      <c r="BF1270" s="9">
        <f>VLOOKUP(A1270,Jogos!A:BN,64,0)</f>
        <v>17.4</v>
      </c>
      <c r="BG1270" s="9">
        <f>VLOOKUP(A1270,Jogos!A:BN,65,0)</f>
        <v>30.53</v>
      </c>
      <c r="BH1270" s="9">
        <f>VLOOKUP(A1270,Jogos!A:BN,66,0)</f>
        <v>20.265</v>
      </c>
      <c r="BI1270" s="9"/>
      <c r="BJ1270" s="9"/>
    </row>
    <row r="1271" hidden="1">
      <c r="A1271" s="10">
        <v>43.0</v>
      </c>
      <c r="B1271" s="11" t="s">
        <v>623</v>
      </c>
      <c r="C1271" s="2" t="s">
        <v>61</v>
      </c>
      <c r="D1271" s="12">
        <v>45833.0</v>
      </c>
      <c r="E1271" s="13">
        <v>0.75</v>
      </c>
      <c r="F1271" s="5" t="str">
        <f>VLOOKUP(A1271,Jogos!A:N,10,0)</f>
        <v>Evening</v>
      </c>
      <c r="G1271" s="11" t="s">
        <v>312</v>
      </c>
      <c r="H1271" s="6" t="str">
        <f>VLOOKUP(A1271,Jogos!A:L,12,0)</f>
        <v>Open</v>
      </c>
      <c r="I1271" s="6" t="str">
        <f>VLOOKUP(G1271,'Estádios e Cidades'!A:B,2,0)</f>
        <v>Seatte</v>
      </c>
      <c r="J1271" s="11" t="s">
        <v>624</v>
      </c>
      <c r="K1271" s="2" t="str">
        <f>VLOOKUP(J1271,Equipes!A:F,6,0)</f>
        <v>Temperate</v>
      </c>
      <c r="L1271" s="2">
        <f>VLOOKUP(J1271,Equipes!A:C,3,0)</f>
        <v>19</v>
      </c>
      <c r="M1271" s="2" t="str">
        <f t="shared" si="4"/>
        <v>Group</v>
      </c>
      <c r="N1271" s="11" t="s">
        <v>748</v>
      </c>
      <c r="O1271" s="2">
        <f>VLOOKUP(N1271,Equipes!A:C,3,0)</f>
        <v>12</v>
      </c>
      <c r="P1271" s="2" t="str">
        <f t="shared" si="5"/>
        <v>Round of 16</v>
      </c>
      <c r="Q1271" s="2">
        <f t="shared" si="6"/>
        <v>7</v>
      </c>
      <c r="R1271" s="2" t="str">
        <f>VLOOKUP(J1271,Equipes!A:B,2,0)</f>
        <v>River</v>
      </c>
      <c r="S1271" s="6" t="s">
        <v>630</v>
      </c>
      <c r="T1271" s="7">
        <v>11.0</v>
      </c>
      <c r="U1271" s="7" t="s">
        <v>631</v>
      </c>
      <c r="V1271" s="7" t="str">
        <f>VLOOKUP(U1271,Jogadores!B:C,2,0)</f>
        <v>FW</v>
      </c>
      <c r="W1271" s="8">
        <f>VLOOKUP(U1271,Jogadores!B:D,3,0)</f>
        <v>25.58082192</v>
      </c>
      <c r="X1271" s="7">
        <v>0.0</v>
      </c>
      <c r="Y1271" s="7">
        <v>68.0</v>
      </c>
      <c r="Z1271" s="7">
        <f>VLOOKUP(A1271,Jogos!A:L,3,0)</f>
        <v>47</v>
      </c>
      <c r="AA1271" s="7">
        <f t="shared" si="2229"/>
        <v>47</v>
      </c>
      <c r="AB1271" s="7">
        <f>VLOOKUP(A1271,Jogos!A:L,4,0)</f>
        <v>51</v>
      </c>
      <c r="AC1271" s="7">
        <f t="shared" si="2230"/>
        <v>23</v>
      </c>
      <c r="AD1271" s="7"/>
      <c r="AE1271" s="7"/>
      <c r="AF1271" s="7">
        <f t="shared" si="2231"/>
        <v>70</v>
      </c>
      <c r="AG1271" s="7">
        <v>7167.8</v>
      </c>
      <c r="AH1271" s="7">
        <v>2634.8</v>
      </c>
      <c r="AI1271" s="7">
        <v>2648.5</v>
      </c>
      <c r="AJ1271" s="7">
        <v>1114.1</v>
      </c>
      <c r="AK1271" s="7">
        <v>513.5</v>
      </c>
      <c r="AL1271" s="7">
        <v>257.0</v>
      </c>
      <c r="AM1271" s="7">
        <v>91.0</v>
      </c>
      <c r="AN1271" s="7">
        <v>43.0</v>
      </c>
      <c r="AO1271" s="7">
        <v>33.5</v>
      </c>
      <c r="AP1271" s="9">
        <f t="shared" ref="AP1271:AR1271" si="3968">AG1271/$AF1271</f>
        <v>102.3971429</v>
      </c>
      <c r="AQ1271" s="9">
        <f t="shared" si="3968"/>
        <v>37.64</v>
      </c>
      <c r="AR1271" s="9">
        <f t="shared" si="3968"/>
        <v>37.83571429</v>
      </c>
      <c r="AS1271" s="9">
        <f t="shared" si="2233"/>
        <v>75.47571429</v>
      </c>
      <c r="AT1271" s="9">
        <f t="shared" ref="AT1271:AV1271" si="3969">AJ1271/$AF1271</f>
        <v>15.91571429</v>
      </c>
      <c r="AU1271" s="9">
        <f t="shared" si="3969"/>
        <v>7.335714286</v>
      </c>
      <c r="AV1271" s="9">
        <f t="shared" si="3969"/>
        <v>3.671428571</v>
      </c>
      <c r="AW1271" s="9">
        <f t="shared" si="2235"/>
        <v>11.00714286</v>
      </c>
      <c r="AX1271" s="9">
        <f t="shared" ref="AX1271:AY1271" si="3970">AM1271/$AF1271</f>
        <v>1.3</v>
      </c>
      <c r="AY1271" s="9">
        <f t="shared" si="3970"/>
        <v>0.6142857143</v>
      </c>
      <c r="AZ1271" s="9">
        <f>VLOOKUP(A1271,Jogos!A:BN,58,0)</f>
        <v>19.79</v>
      </c>
      <c r="BA1271" s="9">
        <f>VLOOKUP(A1271,Jogos!A:BN,59,0)</f>
        <v>11.375</v>
      </c>
      <c r="BB1271" s="9">
        <f>VLOOKUP(A1271,Jogos!A:BN,60,0)</f>
        <v>57.5</v>
      </c>
      <c r="BC1271" s="9">
        <f>VLOOKUP(A1271,Jogos!A:BN,61,0)</f>
        <v>17.065</v>
      </c>
      <c r="BD1271" s="9">
        <f>VLOOKUP(A1271,Jogos!A:BN,62,0)</f>
        <v>197.15</v>
      </c>
      <c r="BE1271" s="9">
        <f>VLOOKUP(A1271,Jogos!A:BN,63,0)</f>
        <v>1.505</v>
      </c>
      <c r="BF1271" s="9">
        <f>VLOOKUP(A1271,Jogos!A:BN,64,0)</f>
        <v>17.4</v>
      </c>
      <c r="BG1271" s="9">
        <f>VLOOKUP(A1271,Jogos!A:BN,65,0)</f>
        <v>30.53</v>
      </c>
      <c r="BH1271" s="9">
        <f>VLOOKUP(A1271,Jogos!A:BN,66,0)</f>
        <v>20.265</v>
      </c>
      <c r="BI1271" s="9"/>
      <c r="BJ1271" s="9"/>
    </row>
    <row r="1272" hidden="1">
      <c r="A1272" s="10">
        <v>43.0</v>
      </c>
      <c r="B1272" s="11" t="s">
        <v>623</v>
      </c>
      <c r="C1272" s="2" t="s">
        <v>61</v>
      </c>
      <c r="D1272" s="12">
        <v>45833.0</v>
      </c>
      <c r="E1272" s="13">
        <v>0.75</v>
      </c>
      <c r="F1272" s="5" t="str">
        <f>VLOOKUP(A1272,Jogos!A:N,10,0)</f>
        <v>Evening</v>
      </c>
      <c r="G1272" s="11" t="s">
        <v>312</v>
      </c>
      <c r="H1272" s="6" t="str">
        <f>VLOOKUP(A1272,Jogos!A:L,12,0)</f>
        <v>Open</v>
      </c>
      <c r="I1272" s="6" t="str">
        <f>VLOOKUP(G1272,'Estádios e Cidades'!A:B,2,0)</f>
        <v>Seatte</v>
      </c>
      <c r="J1272" s="11" t="s">
        <v>624</v>
      </c>
      <c r="K1272" s="2" t="str">
        <f>VLOOKUP(J1272,Equipes!A:F,6,0)</f>
        <v>Temperate</v>
      </c>
      <c r="L1272" s="2">
        <f>VLOOKUP(J1272,Equipes!A:C,3,0)</f>
        <v>19</v>
      </c>
      <c r="M1272" s="2" t="str">
        <f t="shared" si="4"/>
        <v>Group</v>
      </c>
      <c r="N1272" s="11" t="s">
        <v>748</v>
      </c>
      <c r="O1272" s="2">
        <f>VLOOKUP(N1272,Equipes!A:C,3,0)</f>
        <v>12</v>
      </c>
      <c r="P1272" s="2" t="str">
        <f t="shared" si="5"/>
        <v>Round of 16</v>
      </c>
      <c r="Q1272" s="2">
        <f t="shared" si="6"/>
        <v>7</v>
      </c>
      <c r="R1272" s="2" t="str">
        <f>VLOOKUP(J1272,Equipes!A:B,2,0)</f>
        <v>River</v>
      </c>
      <c r="S1272" s="6" t="s">
        <v>1180</v>
      </c>
      <c r="T1272" s="7">
        <v>17.0</v>
      </c>
      <c r="U1272" s="7" t="s">
        <v>1181</v>
      </c>
      <c r="V1272" s="7" t="str">
        <f>VLOOKUP(U1272,Jogadores!B:C,2,0)</f>
        <v>DF</v>
      </c>
      <c r="W1272" s="8">
        <f>VLOOKUP(U1272,Jogadores!B:D,3,0)</f>
        <v>30.94520548</v>
      </c>
      <c r="X1272" s="7">
        <v>0.0</v>
      </c>
      <c r="Y1272" s="7">
        <f t="shared" ref="Y1272:Y1273" si="3974">45+AB1272</f>
        <v>96</v>
      </c>
      <c r="Z1272" s="7">
        <f>VLOOKUP(A1272,Jogos!A:L,3,0)</f>
        <v>47</v>
      </c>
      <c r="AA1272" s="7">
        <f t="shared" si="2229"/>
        <v>47</v>
      </c>
      <c r="AB1272" s="7">
        <f>VLOOKUP(A1272,Jogos!A:L,4,0)</f>
        <v>51</v>
      </c>
      <c r="AC1272" s="7">
        <f t="shared" si="2230"/>
        <v>51</v>
      </c>
      <c r="AD1272" s="7"/>
      <c r="AE1272" s="7"/>
      <c r="AF1272" s="7">
        <f t="shared" si="2231"/>
        <v>98</v>
      </c>
      <c r="AG1272" s="7">
        <v>9602.4</v>
      </c>
      <c r="AH1272" s="7">
        <v>3624.2</v>
      </c>
      <c r="AI1272" s="7">
        <v>3853.0</v>
      </c>
      <c r="AJ1272" s="7">
        <v>1527.7</v>
      </c>
      <c r="AK1272" s="7">
        <v>496.9</v>
      </c>
      <c r="AL1272" s="7">
        <v>100.7</v>
      </c>
      <c r="AM1272" s="7">
        <v>135.0</v>
      </c>
      <c r="AN1272" s="7">
        <v>36.0</v>
      </c>
      <c r="AO1272" s="7">
        <v>29.2</v>
      </c>
      <c r="AP1272" s="9">
        <f t="shared" ref="AP1272:AR1272" si="3971">AG1272/$AF1272</f>
        <v>97.98367347</v>
      </c>
      <c r="AQ1272" s="9">
        <f t="shared" si="3971"/>
        <v>36.98163265</v>
      </c>
      <c r="AR1272" s="9">
        <f t="shared" si="3971"/>
        <v>39.31632653</v>
      </c>
      <c r="AS1272" s="9">
        <f t="shared" si="2233"/>
        <v>76.29795918</v>
      </c>
      <c r="AT1272" s="9">
        <f t="shared" ref="AT1272:AV1272" si="3972">AJ1272/$AF1272</f>
        <v>15.58877551</v>
      </c>
      <c r="AU1272" s="9">
        <f t="shared" si="3972"/>
        <v>5.070408163</v>
      </c>
      <c r="AV1272" s="9">
        <f t="shared" si="3972"/>
        <v>1.02755102</v>
      </c>
      <c r="AW1272" s="9">
        <f t="shared" si="2235"/>
        <v>6.097959184</v>
      </c>
      <c r="AX1272" s="9">
        <f t="shared" ref="AX1272:AY1272" si="3973">AM1272/$AF1272</f>
        <v>1.37755102</v>
      </c>
      <c r="AY1272" s="9">
        <f t="shared" si="3973"/>
        <v>0.3673469388</v>
      </c>
      <c r="AZ1272" s="9">
        <f>VLOOKUP(A1272,Jogos!A:BN,58,0)</f>
        <v>19.79</v>
      </c>
      <c r="BA1272" s="9">
        <f>VLOOKUP(A1272,Jogos!A:BN,59,0)</f>
        <v>11.375</v>
      </c>
      <c r="BB1272" s="9">
        <f>VLOOKUP(A1272,Jogos!A:BN,60,0)</f>
        <v>57.5</v>
      </c>
      <c r="BC1272" s="9">
        <f>VLOOKUP(A1272,Jogos!A:BN,61,0)</f>
        <v>17.065</v>
      </c>
      <c r="BD1272" s="9">
        <f>VLOOKUP(A1272,Jogos!A:BN,62,0)</f>
        <v>197.15</v>
      </c>
      <c r="BE1272" s="9">
        <f>VLOOKUP(A1272,Jogos!A:BN,63,0)</f>
        <v>1.505</v>
      </c>
      <c r="BF1272" s="9">
        <f>VLOOKUP(A1272,Jogos!A:BN,64,0)</f>
        <v>17.4</v>
      </c>
      <c r="BG1272" s="9">
        <f>VLOOKUP(A1272,Jogos!A:BN,65,0)</f>
        <v>30.53</v>
      </c>
      <c r="BH1272" s="9">
        <f>VLOOKUP(A1272,Jogos!A:BN,66,0)</f>
        <v>20.265</v>
      </c>
      <c r="BI1272" s="9"/>
      <c r="BJ1272" s="9"/>
    </row>
    <row r="1273" hidden="1">
      <c r="A1273" s="10">
        <v>43.0</v>
      </c>
      <c r="B1273" s="11" t="s">
        <v>623</v>
      </c>
      <c r="C1273" s="2" t="s">
        <v>61</v>
      </c>
      <c r="D1273" s="12">
        <v>45833.0</v>
      </c>
      <c r="E1273" s="13">
        <v>0.75</v>
      </c>
      <c r="F1273" s="5" t="str">
        <f>VLOOKUP(A1273,Jogos!A:N,10,0)</f>
        <v>Evening</v>
      </c>
      <c r="G1273" s="11" t="s">
        <v>312</v>
      </c>
      <c r="H1273" s="6" t="str">
        <f>VLOOKUP(A1273,Jogos!A:L,12,0)</f>
        <v>Open</v>
      </c>
      <c r="I1273" s="6" t="str">
        <f>VLOOKUP(G1273,'Estádios e Cidades'!A:B,2,0)</f>
        <v>Seatte</v>
      </c>
      <c r="J1273" s="11" t="s">
        <v>624</v>
      </c>
      <c r="K1273" s="2" t="str">
        <f>VLOOKUP(J1273,Equipes!A:F,6,0)</f>
        <v>Temperate</v>
      </c>
      <c r="L1273" s="2">
        <f>VLOOKUP(J1273,Equipes!A:C,3,0)</f>
        <v>19</v>
      </c>
      <c r="M1273" s="2" t="str">
        <f t="shared" si="4"/>
        <v>Group</v>
      </c>
      <c r="N1273" s="11" t="s">
        <v>748</v>
      </c>
      <c r="O1273" s="2">
        <f>VLOOKUP(N1273,Equipes!A:C,3,0)</f>
        <v>12</v>
      </c>
      <c r="P1273" s="2" t="str">
        <f t="shared" si="5"/>
        <v>Round of 16</v>
      </c>
      <c r="Q1273" s="2">
        <f t="shared" si="6"/>
        <v>7</v>
      </c>
      <c r="R1273" s="2" t="str">
        <f>VLOOKUP(J1273,Equipes!A:B,2,0)</f>
        <v>River</v>
      </c>
      <c r="S1273" s="6" t="s">
        <v>634</v>
      </c>
      <c r="T1273" s="7">
        <v>21.0</v>
      </c>
      <c r="U1273" s="7" t="s">
        <v>635</v>
      </c>
      <c r="V1273" s="7" t="str">
        <f>VLOOKUP(U1273,Jogadores!B:C,2,0)</f>
        <v>DF</v>
      </c>
      <c r="W1273" s="8">
        <f>VLOOKUP(U1273,Jogadores!B:D,3,0)</f>
        <v>33.77260274</v>
      </c>
      <c r="X1273" s="7">
        <v>0.0</v>
      </c>
      <c r="Y1273" s="7">
        <f t="shared" si="3974"/>
        <v>96</v>
      </c>
      <c r="Z1273" s="7">
        <f>VLOOKUP(A1273,Jogos!A:L,3,0)</f>
        <v>47</v>
      </c>
      <c r="AA1273" s="7">
        <f t="shared" si="2229"/>
        <v>47</v>
      </c>
      <c r="AB1273" s="7">
        <f>VLOOKUP(A1273,Jogos!A:L,4,0)</f>
        <v>51</v>
      </c>
      <c r="AC1273" s="7">
        <f t="shared" si="2230"/>
        <v>51</v>
      </c>
      <c r="AD1273" s="7"/>
      <c r="AE1273" s="7"/>
      <c r="AF1273" s="7">
        <f t="shared" si="2231"/>
        <v>98</v>
      </c>
      <c r="AG1273" s="7">
        <v>9639.1</v>
      </c>
      <c r="AH1273" s="7">
        <v>3906.0</v>
      </c>
      <c r="AI1273" s="7">
        <v>3414.6</v>
      </c>
      <c r="AJ1273" s="7">
        <v>1348.6</v>
      </c>
      <c r="AK1273" s="7">
        <v>656.6</v>
      </c>
      <c r="AL1273" s="7">
        <v>313.3</v>
      </c>
      <c r="AM1273" s="7">
        <v>110.0</v>
      </c>
      <c r="AN1273" s="7">
        <v>55.0</v>
      </c>
      <c r="AO1273" s="7">
        <v>32.6</v>
      </c>
      <c r="AP1273" s="9">
        <f t="shared" ref="AP1273:AR1273" si="3975">AG1273/$AF1273</f>
        <v>98.35816327</v>
      </c>
      <c r="AQ1273" s="9">
        <f t="shared" si="3975"/>
        <v>39.85714286</v>
      </c>
      <c r="AR1273" s="9">
        <f t="shared" si="3975"/>
        <v>34.84285714</v>
      </c>
      <c r="AS1273" s="9">
        <f t="shared" si="2233"/>
        <v>74.7</v>
      </c>
      <c r="AT1273" s="9">
        <f t="shared" ref="AT1273:AV1273" si="3976">AJ1273/$AF1273</f>
        <v>13.76122449</v>
      </c>
      <c r="AU1273" s="9">
        <f t="shared" si="3976"/>
        <v>6.7</v>
      </c>
      <c r="AV1273" s="9">
        <f t="shared" si="3976"/>
        <v>3.196938776</v>
      </c>
      <c r="AW1273" s="9">
        <f t="shared" si="2235"/>
        <v>9.896938776</v>
      </c>
      <c r="AX1273" s="9">
        <f t="shared" ref="AX1273:AY1273" si="3977">AM1273/$AF1273</f>
        <v>1.12244898</v>
      </c>
      <c r="AY1273" s="9">
        <f t="shared" si="3977"/>
        <v>0.5612244898</v>
      </c>
      <c r="AZ1273" s="9">
        <f>VLOOKUP(A1273,Jogos!A:BN,58,0)</f>
        <v>19.79</v>
      </c>
      <c r="BA1273" s="9">
        <f>VLOOKUP(A1273,Jogos!A:BN,59,0)</f>
        <v>11.375</v>
      </c>
      <c r="BB1273" s="9">
        <f>VLOOKUP(A1273,Jogos!A:BN,60,0)</f>
        <v>57.5</v>
      </c>
      <c r="BC1273" s="9">
        <f>VLOOKUP(A1273,Jogos!A:BN,61,0)</f>
        <v>17.065</v>
      </c>
      <c r="BD1273" s="9">
        <f>VLOOKUP(A1273,Jogos!A:BN,62,0)</f>
        <v>197.15</v>
      </c>
      <c r="BE1273" s="9">
        <f>VLOOKUP(A1273,Jogos!A:BN,63,0)</f>
        <v>1.505</v>
      </c>
      <c r="BF1273" s="9">
        <f>VLOOKUP(A1273,Jogos!A:BN,64,0)</f>
        <v>17.4</v>
      </c>
      <c r="BG1273" s="9">
        <f>VLOOKUP(A1273,Jogos!A:BN,65,0)</f>
        <v>30.53</v>
      </c>
      <c r="BH1273" s="9">
        <f>VLOOKUP(A1273,Jogos!A:BN,66,0)</f>
        <v>20.265</v>
      </c>
      <c r="BI1273" s="9"/>
      <c r="BJ1273" s="9"/>
    </row>
    <row r="1274" hidden="1">
      <c r="A1274" s="10">
        <v>43.0</v>
      </c>
      <c r="B1274" s="11" t="s">
        <v>623</v>
      </c>
      <c r="C1274" s="2" t="s">
        <v>61</v>
      </c>
      <c r="D1274" s="12">
        <v>45833.0</v>
      </c>
      <c r="E1274" s="13">
        <v>0.75</v>
      </c>
      <c r="F1274" s="5" t="str">
        <f>VLOOKUP(A1274,Jogos!A:N,10,0)</f>
        <v>Evening</v>
      </c>
      <c r="G1274" s="11" t="s">
        <v>312</v>
      </c>
      <c r="H1274" s="6" t="str">
        <f>VLOOKUP(A1274,Jogos!A:L,12,0)</f>
        <v>Open</v>
      </c>
      <c r="I1274" s="6" t="str">
        <f>VLOOKUP(G1274,'Estádios e Cidades'!A:B,2,0)</f>
        <v>Seatte</v>
      </c>
      <c r="J1274" s="11" t="s">
        <v>624</v>
      </c>
      <c r="K1274" s="2" t="str">
        <f>VLOOKUP(J1274,Equipes!A:F,6,0)</f>
        <v>Temperate</v>
      </c>
      <c r="L1274" s="2">
        <f>VLOOKUP(J1274,Equipes!A:C,3,0)</f>
        <v>19</v>
      </c>
      <c r="M1274" s="2" t="str">
        <f t="shared" si="4"/>
        <v>Group</v>
      </c>
      <c r="N1274" s="11" t="s">
        <v>748</v>
      </c>
      <c r="O1274" s="2">
        <f>VLOOKUP(N1274,Equipes!A:C,3,0)</f>
        <v>12</v>
      </c>
      <c r="P1274" s="2" t="str">
        <f t="shared" si="5"/>
        <v>Round of 16</v>
      </c>
      <c r="Q1274" s="2">
        <f t="shared" si="6"/>
        <v>7</v>
      </c>
      <c r="R1274" s="2" t="str">
        <f>VLOOKUP(J1274,Equipes!A:B,2,0)</f>
        <v>River</v>
      </c>
      <c r="S1274" s="6" t="s">
        <v>642</v>
      </c>
      <c r="T1274" s="7">
        <v>28.0</v>
      </c>
      <c r="U1274" s="7" t="s">
        <v>643</v>
      </c>
      <c r="V1274" s="7" t="str">
        <f>VLOOKUP(U1274,Jogadores!B:C,2,0)</f>
        <v>DF</v>
      </c>
      <c r="W1274" s="8">
        <f>VLOOKUP(U1274,Jogadores!B:D,3,0)</f>
        <v>29.23561644</v>
      </c>
      <c r="X1274" s="7">
        <v>0.0</v>
      </c>
      <c r="Y1274" s="7">
        <v>65.0</v>
      </c>
      <c r="Z1274" s="7">
        <f>VLOOKUP(A1274,Jogos!A:L,3,0)</f>
        <v>47</v>
      </c>
      <c r="AA1274" s="7">
        <f t="shared" si="2229"/>
        <v>47</v>
      </c>
      <c r="AB1274" s="7">
        <f>VLOOKUP(A1274,Jogos!A:L,4,0)</f>
        <v>51</v>
      </c>
      <c r="AC1274" s="7">
        <f t="shared" si="2230"/>
        <v>20</v>
      </c>
      <c r="AD1274" s="7"/>
      <c r="AE1274" s="7"/>
      <c r="AF1274" s="7">
        <f t="shared" si="2231"/>
        <v>67</v>
      </c>
      <c r="AG1274" s="7">
        <v>7732.0</v>
      </c>
      <c r="AH1274" s="7">
        <v>2623.4</v>
      </c>
      <c r="AI1274" s="7">
        <v>3066.7</v>
      </c>
      <c r="AJ1274" s="7">
        <v>1407.7</v>
      </c>
      <c r="AK1274" s="7">
        <v>537.1</v>
      </c>
      <c r="AL1274" s="7">
        <v>97.1</v>
      </c>
      <c r="AM1274" s="7">
        <v>111.0</v>
      </c>
      <c r="AN1274" s="7">
        <v>37.0</v>
      </c>
      <c r="AO1274" s="7">
        <v>29.5</v>
      </c>
      <c r="AP1274" s="9">
        <f t="shared" ref="AP1274:AR1274" si="3978">AG1274/$AF1274</f>
        <v>115.4029851</v>
      </c>
      <c r="AQ1274" s="9">
        <f t="shared" si="3978"/>
        <v>39.15522388</v>
      </c>
      <c r="AR1274" s="9">
        <f t="shared" si="3978"/>
        <v>45.77164179</v>
      </c>
      <c r="AS1274" s="9">
        <f t="shared" si="2233"/>
        <v>84.92686567</v>
      </c>
      <c r="AT1274" s="9">
        <f t="shared" ref="AT1274:AV1274" si="3979">AJ1274/$AF1274</f>
        <v>21.01044776</v>
      </c>
      <c r="AU1274" s="9">
        <f t="shared" si="3979"/>
        <v>8.01641791</v>
      </c>
      <c r="AV1274" s="9">
        <f t="shared" si="3979"/>
        <v>1.449253731</v>
      </c>
      <c r="AW1274" s="9">
        <f t="shared" si="2235"/>
        <v>9.465671642</v>
      </c>
      <c r="AX1274" s="9">
        <f t="shared" ref="AX1274:AY1274" si="3980">AM1274/$AF1274</f>
        <v>1.656716418</v>
      </c>
      <c r="AY1274" s="9">
        <f t="shared" si="3980"/>
        <v>0.552238806</v>
      </c>
      <c r="AZ1274" s="9">
        <f>VLOOKUP(A1274,Jogos!A:BN,58,0)</f>
        <v>19.79</v>
      </c>
      <c r="BA1274" s="9">
        <f>VLOOKUP(A1274,Jogos!A:BN,59,0)</f>
        <v>11.375</v>
      </c>
      <c r="BB1274" s="9">
        <f>VLOOKUP(A1274,Jogos!A:BN,60,0)</f>
        <v>57.5</v>
      </c>
      <c r="BC1274" s="9">
        <f>VLOOKUP(A1274,Jogos!A:BN,61,0)</f>
        <v>17.065</v>
      </c>
      <c r="BD1274" s="9">
        <f>VLOOKUP(A1274,Jogos!A:BN,62,0)</f>
        <v>197.15</v>
      </c>
      <c r="BE1274" s="9">
        <f>VLOOKUP(A1274,Jogos!A:BN,63,0)</f>
        <v>1.505</v>
      </c>
      <c r="BF1274" s="9">
        <f>VLOOKUP(A1274,Jogos!A:BN,64,0)</f>
        <v>17.4</v>
      </c>
      <c r="BG1274" s="9">
        <f>VLOOKUP(A1274,Jogos!A:BN,65,0)</f>
        <v>30.53</v>
      </c>
      <c r="BH1274" s="9">
        <f>VLOOKUP(A1274,Jogos!A:BN,66,0)</f>
        <v>20.265</v>
      </c>
      <c r="BI1274" s="9"/>
      <c r="BJ1274" s="9"/>
    </row>
    <row r="1275" hidden="1">
      <c r="A1275" s="10">
        <v>43.0</v>
      </c>
      <c r="B1275" s="11" t="s">
        <v>623</v>
      </c>
      <c r="C1275" s="2" t="s">
        <v>61</v>
      </c>
      <c r="D1275" s="12">
        <v>45833.0</v>
      </c>
      <c r="E1275" s="13">
        <v>0.75</v>
      </c>
      <c r="F1275" s="5" t="str">
        <f>VLOOKUP(A1275,Jogos!A:N,10,0)</f>
        <v>Evening</v>
      </c>
      <c r="G1275" s="11" t="s">
        <v>312</v>
      </c>
      <c r="H1275" s="6" t="str">
        <f>VLOOKUP(A1275,Jogos!A:L,12,0)</f>
        <v>Open</v>
      </c>
      <c r="I1275" s="6" t="str">
        <f>VLOOKUP(G1275,'Estádios e Cidades'!A:B,2,0)</f>
        <v>Seatte</v>
      </c>
      <c r="J1275" s="11" t="s">
        <v>624</v>
      </c>
      <c r="K1275" s="2" t="str">
        <f>VLOOKUP(J1275,Equipes!A:F,6,0)</f>
        <v>Temperate</v>
      </c>
      <c r="L1275" s="2">
        <f>VLOOKUP(J1275,Equipes!A:C,3,0)</f>
        <v>19</v>
      </c>
      <c r="M1275" s="2" t="str">
        <f t="shared" si="4"/>
        <v>Group</v>
      </c>
      <c r="N1275" s="11" t="s">
        <v>748</v>
      </c>
      <c r="O1275" s="2">
        <f>VLOOKUP(N1275,Equipes!A:C,3,0)</f>
        <v>12</v>
      </c>
      <c r="P1275" s="2" t="str">
        <f t="shared" si="5"/>
        <v>Round of 16</v>
      </c>
      <c r="Q1275" s="2">
        <f t="shared" si="6"/>
        <v>7</v>
      </c>
      <c r="R1275" s="2" t="str">
        <f>VLOOKUP(J1275,Equipes!A:B,2,0)</f>
        <v>River</v>
      </c>
      <c r="S1275" s="6" t="s">
        <v>1312</v>
      </c>
      <c r="T1275" s="7">
        <v>29.0</v>
      </c>
      <c r="U1275" s="7" t="s">
        <v>1313</v>
      </c>
      <c r="V1275" s="7" t="str">
        <f>VLOOKUP(U1275,Jogadores!B:C,2,0)</f>
        <v>MF</v>
      </c>
      <c r="W1275" s="8">
        <f>VLOOKUP(U1275,Jogadores!B:D,3,0)</f>
        <v>34.46849315</v>
      </c>
      <c r="X1275" s="7">
        <v>0.0</v>
      </c>
      <c r="Y1275" s="7">
        <v>61.0</v>
      </c>
      <c r="Z1275" s="7">
        <f>VLOOKUP(A1275,Jogos!A:L,3,0)</f>
        <v>47</v>
      </c>
      <c r="AA1275" s="7">
        <f t="shared" si="2229"/>
        <v>47</v>
      </c>
      <c r="AB1275" s="7">
        <f>VLOOKUP(A1275,Jogos!A:L,4,0)</f>
        <v>51</v>
      </c>
      <c r="AC1275" s="7">
        <f t="shared" si="2230"/>
        <v>16</v>
      </c>
      <c r="AD1275" s="7"/>
      <c r="AE1275" s="7"/>
      <c r="AF1275" s="7">
        <f t="shared" si="2231"/>
        <v>63</v>
      </c>
      <c r="AG1275" s="7">
        <v>7497.7</v>
      </c>
      <c r="AH1275" s="7">
        <v>2383.0</v>
      </c>
      <c r="AI1275" s="7">
        <v>2639.8</v>
      </c>
      <c r="AJ1275" s="7">
        <v>1485.9</v>
      </c>
      <c r="AK1275" s="7">
        <v>711.4</v>
      </c>
      <c r="AL1275" s="7">
        <v>277.6</v>
      </c>
      <c r="AM1275" s="7">
        <v>124.0</v>
      </c>
      <c r="AN1275" s="7">
        <v>56.0</v>
      </c>
      <c r="AO1275" s="7">
        <v>30.1</v>
      </c>
      <c r="AP1275" s="9">
        <f t="shared" ref="AP1275:AR1275" si="3981">AG1275/$AF1275</f>
        <v>119.0111111</v>
      </c>
      <c r="AQ1275" s="9">
        <f t="shared" si="3981"/>
        <v>37.82539683</v>
      </c>
      <c r="AR1275" s="9">
        <f t="shared" si="3981"/>
        <v>41.9015873</v>
      </c>
      <c r="AS1275" s="9">
        <f t="shared" si="2233"/>
        <v>79.72698413</v>
      </c>
      <c r="AT1275" s="9">
        <f t="shared" ref="AT1275:AV1275" si="3982">AJ1275/$AF1275</f>
        <v>23.58571429</v>
      </c>
      <c r="AU1275" s="9">
        <f t="shared" si="3982"/>
        <v>11.29206349</v>
      </c>
      <c r="AV1275" s="9">
        <f t="shared" si="3982"/>
        <v>4.406349206</v>
      </c>
      <c r="AW1275" s="9">
        <f t="shared" si="2235"/>
        <v>15.6984127</v>
      </c>
      <c r="AX1275" s="9">
        <f t="shared" ref="AX1275:AY1275" si="3983">AM1275/$AF1275</f>
        <v>1.968253968</v>
      </c>
      <c r="AY1275" s="9">
        <f t="shared" si="3983"/>
        <v>0.8888888889</v>
      </c>
      <c r="AZ1275" s="9">
        <f>VLOOKUP(A1275,Jogos!A:BN,58,0)</f>
        <v>19.79</v>
      </c>
      <c r="BA1275" s="9">
        <f>VLOOKUP(A1275,Jogos!A:BN,59,0)</f>
        <v>11.375</v>
      </c>
      <c r="BB1275" s="9">
        <f>VLOOKUP(A1275,Jogos!A:BN,60,0)</f>
        <v>57.5</v>
      </c>
      <c r="BC1275" s="9">
        <f>VLOOKUP(A1275,Jogos!A:BN,61,0)</f>
        <v>17.065</v>
      </c>
      <c r="BD1275" s="9">
        <f>VLOOKUP(A1275,Jogos!A:BN,62,0)</f>
        <v>197.15</v>
      </c>
      <c r="BE1275" s="9">
        <f>VLOOKUP(A1275,Jogos!A:BN,63,0)</f>
        <v>1.505</v>
      </c>
      <c r="BF1275" s="9">
        <f>VLOOKUP(A1275,Jogos!A:BN,64,0)</f>
        <v>17.4</v>
      </c>
      <c r="BG1275" s="9">
        <f>VLOOKUP(A1275,Jogos!A:BN,65,0)</f>
        <v>30.53</v>
      </c>
      <c r="BH1275" s="9">
        <f>VLOOKUP(A1275,Jogos!A:BN,66,0)</f>
        <v>20.265</v>
      </c>
      <c r="BI1275" s="9"/>
      <c r="BJ1275" s="9"/>
    </row>
    <row r="1276" hidden="1">
      <c r="A1276" s="10">
        <v>43.0</v>
      </c>
      <c r="B1276" s="11" t="s">
        <v>623</v>
      </c>
      <c r="C1276" s="2" t="s">
        <v>61</v>
      </c>
      <c r="D1276" s="12">
        <v>45833.0</v>
      </c>
      <c r="E1276" s="13">
        <v>0.75</v>
      </c>
      <c r="F1276" s="5" t="str">
        <f>VLOOKUP(A1276,Jogos!A:N,10,0)</f>
        <v>Evening</v>
      </c>
      <c r="G1276" s="11" t="s">
        <v>312</v>
      </c>
      <c r="H1276" s="6" t="str">
        <f>VLOOKUP(A1276,Jogos!A:L,12,0)</f>
        <v>Open</v>
      </c>
      <c r="I1276" s="6" t="str">
        <f>VLOOKUP(G1276,'Estádios e Cidades'!A:B,2,0)</f>
        <v>Seatte</v>
      </c>
      <c r="J1276" s="11" t="s">
        <v>624</v>
      </c>
      <c r="K1276" s="2" t="str">
        <f>VLOOKUP(J1276,Equipes!A:F,6,0)</f>
        <v>Temperate</v>
      </c>
      <c r="L1276" s="2">
        <f>VLOOKUP(J1276,Equipes!A:C,3,0)</f>
        <v>19</v>
      </c>
      <c r="M1276" s="2" t="str">
        <f t="shared" si="4"/>
        <v>Group</v>
      </c>
      <c r="N1276" s="11" t="s">
        <v>748</v>
      </c>
      <c r="O1276" s="2">
        <f>VLOOKUP(N1276,Equipes!A:C,3,0)</f>
        <v>12</v>
      </c>
      <c r="P1276" s="2" t="str">
        <f t="shared" si="5"/>
        <v>Round of 16</v>
      </c>
      <c r="Q1276" s="2">
        <f t="shared" si="6"/>
        <v>7</v>
      </c>
      <c r="R1276" s="2" t="str">
        <f>VLOOKUP(J1276,Equipes!A:B,2,0)</f>
        <v>River</v>
      </c>
      <c r="S1276" s="6" t="s">
        <v>644</v>
      </c>
      <c r="T1276" s="7">
        <v>30.0</v>
      </c>
      <c r="U1276" s="7" t="s">
        <v>645</v>
      </c>
      <c r="V1276" s="7" t="str">
        <f>VLOOKUP(U1276,Jogadores!B:C,2,0)</f>
        <v>FW</v>
      </c>
      <c r="W1276" s="8">
        <f>VLOOKUP(U1276,Jogadores!B:D,3,0)</f>
        <v>17.96712329</v>
      </c>
      <c r="X1276" s="7">
        <v>0.0</v>
      </c>
      <c r="Y1276" s="7">
        <f t="shared" ref="Y1276:Y1282" si="3987">45+AB1276</f>
        <v>96</v>
      </c>
      <c r="Z1276" s="7">
        <f>VLOOKUP(A1276,Jogos!A:L,3,0)</f>
        <v>47</v>
      </c>
      <c r="AA1276" s="7">
        <f t="shared" si="2229"/>
        <v>47</v>
      </c>
      <c r="AB1276" s="7">
        <f>VLOOKUP(A1276,Jogos!A:L,4,0)</f>
        <v>51</v>
      </c>
      <c r="AC1276" s="7">
        <f t="shared" si="2230"/>
        <v>51</v>
      </c>
      <c r="AD1276" s="7"/>
      <c r="AE1276" s="7"/>
      <c r="AF1276" s="7">
        <f t="shared" si="2231"/>
        <v>98</v>
      </c>
      <c r="AG1276" s="7">
        <v>9315.0</v>
      </c>
      <c r="AH1276" s="7">
        <v>4300.8</v>
      </c>
      <c r="AI1276" s="7">
        <v>2507.3</v>
      </c>
      <c r="AJ1276" s="7">
        <v>1320.9</v>
      </c>
      <c r="AK1276" s="7">
        <v>731.4</v>
      </c>
      <c r="AL1276" s="7">
        <v>454.5</v>
      </c>
      <c r="AM1276" s="7">
        <v>117.0</v>
      </c>
      <c r="AN1276" s="7">
        <v>66.0</v>
      </c>
      <c r="AO1276" s="7">
        <v>32.9</v>
      </c>
      <c r="AP1276" s="9">
        <f t="shared" ref="AP1276:AR1276" si="3984">AG1276/$AF1276</f>
        <v>95.05102041</v>
      </c>
      <c r="AQ1276" s="9">
        <f t="shared" si="3984"/>
        <v>43.88571429</v>
      </c>
      <c r="AR1276" s="9">
        <f t="shared" si="3984"/>
        <v>25.58469388</v>
      </c>
      <c r="AS1276" s="9">
        <f t="shared" si="2233"/>
        <v>69.47040816</v>
      </c>
      <c r="AT1276" s="9">
        <f t="shared" ref="AT1276:AV1276" si="3985">AJ1276/$AF1276</f>
        <v>13.47857143</v>
      </c>
      <c r="AU1276" s="9">
        <f t="shared" si="3985"/>
        <v>7.463265306</v>
      </c>
      <c r="AV1276" s="9">
        <f t="shared" si="3985"/>
        <v>4.637755102</v>
      </c>
      <c r="AW1276" s="9">
        <f t="shared" si="2235"/>
        <v>12.10102041</v>
      </c>
      <c r="AX1276" s="9">
        <f t="shared" ref="AX1276:AY1276" si="3986">AM1276/$AF1276</f>
        <v>1.193877551</v>
      </c>
      <c r="AY1276" s="9">
        <f t="shared" si="3986"/>
        <v>0.6734693878</v>
      </c>
      <c r="AZ1276" s="9">
        <f>VLOOKUP(A1276,Jogos!A:BN,58,0)</f>
        <v>19.79</v>
      </c>
      <c r="BA1276" s="9">
        <f>VLOOKUP(A1276,Jogos!A:BN,59,0)</f>
        <v>11.375</v>
      </c>
      <c r="BB1276" s="9">
        <f>VLOOKUP(A1276,Jogos!A:BN,60,0)</f>
        <v>57.5</v>
      </c>
      <c r="BC1276" s="9">
        <f>VLOOKUP(A1276,Jogos!A:BN,61,0)</f>
        <v>17.065</v>
      </c>
      <c r="BD1276" s="9">
        <f>VLOOKUP(A1276,Jogos!A:BN,62,0)</f>
        <v>197.15</v>
      </c>
      <c r="BE1276" s="9">
        <f>VLOOKUP(A1276,Jogos!A:BN,63,0)</f>
        <v>1.505</v>
      </c>
      <c r="BF1276" s="9">
        <f>VLOOKUP(A1276,Jogos!A:BN,64,0)</f>
        <v>17.4</v>
      </c>
      <c r="BG1276" s="9">
        <f>VLOOKUP(A1276,Jogos!A:BN,65,0)</f>
        <v>30.53</v>
      </c>
      <c r="BH1276" s="9">
        <f>VLOOKUP(A1276,Jogos!A:BN,66,0)</f>
        <v>20.265</v>
      </c>
      <c r="BI1276" s="9"/>
      <c r="BJ1276" s="9"/>
    </row>
    <row r="1277" hidden="1">
      <c r="A1277" s="10">
        <v>43.0</v>
      </c>
      <c r="B1277" s="11" t="s">
        <v>623</v>
      </c>
      <c r="C1277" s="2" t="s">
        <v>61</v>
      </c>
      <c r="D1277" s="12">
        <v>45833.0</v>
      </c>
      <c r="E1277" s="13">
        <v>0.75</v>
      </c>
      <c r="F1277" s="5" t="str">
        <f>VLOOKUP(A1277,Jogos!A:N,10,0)</f>
        <v>Evening</v>
      </c>
      <c r="G1277" s="11" t="s">
        <v>312</v>
      </c>
      <c r="H1277" s="6" t="str">
        <f>VLOOKUP(A1277,Jogos!A:L,12,0)</f>
        <v>Open</v>
      </c>
      <c r="I1277" s="6" t="str">
        <f>VLOOKUP(G1277,'Estádios e Cidades'!A:B,2,0)</f>
        <v>Seatte</v>
      </c>
      <c r="J1277" s="11" t="s">
        <v>624</v>
      </c>
      <c r="K1277" s="2" t="str">
        <f>VLOOKUP(J1277,Equipes!A:F,6,0)</f>
        <v>Temperate</v>
      </c>
      <c r="L1277" s="2">
        <f>VLOOKUP(J1277,Equipes!A:C,3,0)</f>
        <v>19</v>
      </c>
      <c r="M1277" s="2" t="str">
        <f t="shared" si="4"/>
        <v>Group</v>
      </c>
      <c r="N1277" s="11" t="s">
        <v>748</v>
      </c>
      <c r="O1277" s="2">
        <f>VLOOKUP(N1277,Equipes!A:C,3,0)</f>
        <v>12</v>
      </c>
      <c r="P1277" s="2" t="str">
        <f t="shared" si="5"/>
        <v>Round of 16</v>
      </c>
      <c r="Q1277" s="2">
        <f t="shared" si="6"/>
        <v>7</v>
      </c>
      <c r="R1277" s="2" t="str">
        <f>VLOOKUP(J1277,Equipes!A:B,2,0)</f>
        <v>River</v>
      </c>
      <c r="S1277" s="6" t="s">
        <v>628</v>
      </c>
      <c r="T1277" s="7">
        <v>6.0</v>
      </c>
      <c r="U1277" s="7" t="s">
        <v>629</v>
      </c>
      <c r="V1277" s="7" t="str">
        <f>VLOOKUP(U1277,Jogadores!B:C,2,0)</f>
        <v>DF</v>
      </c>
      <c r="W1277" s="8">
        <f>VLOOKUP(U1277,Jogadores!B:D,3,0)</f>
        <v>34.10958904</v>
      </c>
      <c r="X1277" s="7">
        <v>68.0</v>
      </c>
      <c r="Y1277" s="7">
        <f t="shared" si="3987"/>
        <v>96</v>
      </c>
      <c r="Z1277" s="7">
        <f>VLOOKUP(A1277,Jogos!A:L,3,0)</f>
        <v>47</v>
      </c>
      <c r="AA1277" s="7">
        <f t="shared" si="2229"/>
        <v>0</v>
      </c>
      <c r="AB1277" s="7">
        <f>VLOOKUP(A1277,Jogos!A:L,4,0)</f>
        <v>51</v>
      </c>
      <c r="AC1277" s="7">
        <f t="shared" si="2230"/>
        <v>28</v>
      </c>
      <c r="AD1277" s="7"/>
      <c r="AE1277" s="7"/>
      <c r="AF1277" s="7">
        <f t="shared" si="2231"/>
        <v>28</v>
      </c>
      <c r="AG1277" s="7">
        <v>2885.1</v>
      </c>
      <c r="AH1277" s="7">
        <v>1002.1</v>
      </c>
      <c r="AI1277" s="7">
        <v>1216.3</v>
      </c>
      <c r="AJ1277" s="7">
        <v>441.4</v>
      </c>
      <c r="AK1277" s="7">
        <v>181.7</v>
      </c>
      <c r="AL1277" s="7">
        <v>43.6</v>
      </c>
      <c r="AM1277" s="7">
        <v>38.0</v>
      </c>
      <c r="AN1277" s="7">
        <v>13.0</v>
      </c>
      <c r="AO1277" s="7">
        <v>28.4</v>
      </c>
      <c r="AP1277" s="9">
        <f t="shared" ref="AP1277:AR1277" si="3988">AG1277/$AF1277</f>
        <v>103.0392857</v>
      </c>
      <c r="AQ1277" s="9">
        <f t="shared" si="3988"/>
        <v>35.78928571</v>
      </c>
      <c r="AR1277" s="9">
        <f t="shared" si="3988"/>
        <v>43.43928571</v>
      </c>
      <c r="AS1277" s="9">
        <f t="shared" si="2233"/>
        <v>79.22857143</v>
      </c>
      <c r="AT1277" s="9">
        <f t="shared" ref="AT1277:AV1277" si="3989">AJ1277/$AF1277</f>
        <v>15.76428571</v>
      </c>
      <c r="AU1277" s="9">
        <f t="shared" si="3989"/>
        <v>6.489285714</v>
      </c>
      <c r="AV1277" s="9">
        <f t="shared" si="3989"/>
        <v>1.557142857</v>
      </c>
      <c r="AW1277" s="9">
        <f t="shared" si="2235"/>
        <v>8.046428571</v>
      </c>
      <c r="AX1277" s="9">
        <f t="shared" ref="AX1277:AY1277" si="3990">AM1277/$AF1277</f>
        <v>1.357142857</v>
      </c>
      <c r="AY1277" s="9">
        <f t="shared" si="3990"/>
        <v>0.4642857143</v>
      </c>
      <c r="AZ1277" s="9">
        <f>VLOOKUP(A1277,Jogos!A:BN,58,0)</f>
        <v>19.79</v>
      </c>
      <c r="BA1277" s="9">
        <f>VLOOKUP(A1277,Jogos!A:BN,59,0)</f>
        <v>11.375</v>
      </c>
      <c r="BB1277" s="9">
        <f>VLOOKUP(A1277,Jogos!A:BN,60,0)</f>
        <v>57.5</v>
      </c>
      <c r="BC1277" s="9">
        <f>VLOOKUP(A1277,Jogos!A:BN,61,0)</f>
        <v>17.065</v>
      </c>
      <c r="BD1277" s="9">
        <f>VLOOKUP(A1277,Jogos!A:BN,62,0)</f>
        <v>197.15</v>
      </c>
      <c r="BE1277" s="9">
        <f>VLOOKUP(A1277,Jogos!A:BN,63,0)</f>
        <v>1.505</v>
      </c>
      <c r="BF1277" s="9">
        <f>VLOOKUP(A1277,Jogos!A:BN,64,0)</f>
        <v>17.4</v>
      </c>
      <c r="BG1277" s="9">
        <f>VLOOKUP(A1277,Jogos!A:BN,65,0)</f>
        <v>30.53</v>
      </c>
      <c r="BH1277" s="9">
        <f>VLOOKUP(A1277,Jogos!A:BN,66,0)</f>
        <v>20.265</v>
      </c>
      <c r="BI1277" s="9"/>
      <c r="BJ1277" s="9"/>
    </row>
    <row r="1278" hidden="1">
      <c r="A1278" s="10">
        <v>43.0</v>
      </c>
      <c r="B1278" s="11" t="s">
        <v>623</v>
      </c>
      <c r="C1278" s="2" t="s">
        <v>61</v>
      </c>
      <c r="D1278" s="12">
        <v>45833.0</v>
      </c>
      <c r="E1278" s="13">
        <v>0.75</v>
      </c>
      <c r="F1278" s="5" t="str">
        <f>VLOOKUP(A1278,Jogos!A:N,10,0)</f>
        <v>Evening</v>
      </c>
      <c r="G1278" s="11" t="s">
        <v>312</v>
      </c>
      <c r="H1278" s="6" t="str">
        <f>VLOOKUP(A1278,Jogos!A:L,12,0)</f>
        <v>Open</v>
      </c>
      <c r="I1278" s="6" t="str">
        <f>VLOOKUP(G1278,'Estádios e Cidades'!A:B,2,0)</f>
        <v>Seatte</v>
      </c>
      <c r="J1278" s="11" t="s">
        <v>624</v>
      </c>
      <c r="K1278" s="2" t="str">
        <f>VLOOKUP(J1278,Equipes!A:F,6,0)</f>
        <v>Temperate</v>
      </c>
      <c r="L1278" s="2">
        <f>VLOOKUP(J1278,Equipes!A:C,3,0)</f>
        <v>19</v>
      </c>
      <c r="M1278" s="2" t="str">
        <f t="shared" si="4"/>
        <v>Group</v>
      </c>
      <c r="N1278" s="11" t="s">
        <v>748</v>
      </c>
      <c r="O1278" s="2">
        <f>VLOOKUP(N1278,Equipes!A:C,3,0)</f>
        <v>12</v>
      </c>
      <c r="P1278" s="2" t="str">
        <f t="shared" si="5"/>
        <v>Round of 16</v>
      </c>
      <c r="Q1278" s="2">
        <f t="shared" si="6"/>
        <v>7</v>
      </c>
      <c r="R1278" s="2" t="str">
        <f>VLOOKUP(J1278,Equipes!A:B,2,0)</f>
        <v>River</v>
      </c>
      <c r="S1278" s="6" t="s">
        <v>1314</v>
      </c>
      <c r="T1278" s="7">
        <v>10.0</v>
      </c>
      <c r="U1278" s="7" t="s">
        <v>1315</v>
      </c>
      <c r="V1278" s="7" t="str">
        <f>VLOOKUP(U1278,Jogadores!B:C,2,0)</f>
        <v>MF</v>
      </c>
      <c r="W1278" s="8">
        <f>VLOOKUP(U1278,Jogadores!B:D,3,0)</f>
        <v>32.46849315</v>
      </c>
      <c r="X1278" s="7">
        <v>61.0</v>
      </c>
      <c r="Y1278" s="7">
        <f t="shared" si="3987"/>
        <v>96</v>
      </c>
      <c r="Z1278" s="7">
        <f>VLOOKUP(A1278,Jogos!A:L,3,0)</f>
        <v>47</v>
      </c>
      <c r="AA1278" s="7">
        <f t="shared" si="2229"/>
        <v>0</v>
      </c>
      <c r="AB1278" s="7">
        <f>VLOOKUP(A1278,Jogos!A:L,4,0)</f>
        <v>51</v>
      </c>
      <c r="AC1278" s="7">
        <f t="shared" si="2230"/>
        <v>35</v>
      </c>
      <c r="AD1278" s="7"/>
      <c r="AE1278" s="7"/>
      <c r="AF1278" s="7">
        <f t="shared" si="2231"/>
        <v>35</v>
      </c>
      <c r="AG1278" s="7">
        <v>3806.2</v>
      </c>
      <c r="AH1278" s="7">
        <v>1091.5</v>
      </c>
      <c r="AI1278" s="7">
        <v>1583.3</v>
      </c>
      <c r="AJ1278" s="7">
        <v>678.8</v>
      </c>
      <c r="AK1278" s="7">
        <v>346.7</v>
      </c>
      <c r="AL1278" s="7">
        <v>105.9</v>
      </c>
      <c r="AM1278" s="7">
        <v>70.0</v>
      </c>
      <c r="AN1278" s="7">
        <v>24.0</v>
      </c>
      <c r="AO1278" s="7">
        <v>29.4</v>
      </c>
      <c r="AP1278" s="9">
        <f t="shared" ref="AP1278:AR1278" si="3991">AG1278/$AF1278</f>
        <v>108.7485714</v>
      </c>
      <c r="AQ1278" s="9">
        <f t="shared" si="3991"/>
        <v>31.18571429</v>
      </c>
      <c r="AR1278" s="9">
        <f t="shared" si="3991"/>
        <v>45.23714286</v>
      </c>
      <c r="AS1278" s="9">
        <f t="shared" si="2233"/>
        <v>76.42285714</v>
      </c>
      <c r="AT1278" s="9">
        <f t="shared" ref="AT1278:AV1278" si="3992">AJ1278/$AF1278</f>
        <v>19.39428571</v>
      </c>
      <c r="AU1278" s="9">
        <f t="shared" si="3992"/>
        <v>9.905714286</v>
      </c>
      <c r="AV1278" s="9">
        <f t="shared" si="3992"/>
        <v>3.025714286</v>
      </c>
      <c r="AW1278" s="9">
        <f t="shared" si="2235"/>
        <v>12.93142857</v>
      </c>
      <c r="AX1278" s="9">
        <f t="shared" ref="AX1278:AY1278" si="3993">AM1278/$AF1278</f>
        <v>2</v>
      </c>
      <c r="AY1278" s="9">
        <f t="shared" si="3993"/>
        <v>0.6857142857</v>
      </c>
      <c r="AZ1278" s="9">
        <f>VLOOKUP(A1278,Jogos!A:BN,58,0)</f>
        <v>19.79</v>
      </c>
      <c r="BA1278" s="9">
        <f>VLOOKUP(A1278,Jogos!A:BN,59,0)</f>
        <v>11.375</v>
      </c>
      <c r="BB1278" s="9">
        <f>VLOOKUP(A1278,Jogos!A:BN,60,0)</f>
        <v>57.5</v>
      </c>
      <c r="BC1278" s="9">
        <f>VLOOKUP(A1278,Jogos!A:BN,61,0)</f>
        <v>17.065</v>
      </c>
      <c r="BD1278" s="9">
        <f>VLOOKUP(A1278,Jogos!A:BN,62,0)</f>
        <v>197.15</v>
      </c>
      <c r="BE1278" s="9">
        <f>VLOOKUP(A1278,Jogos!A:BN,63,0)</f>
        <v>1.505</v>
      </c>
      <c r="BF1278" s="9">
        <f>VLOOKUP(A1278,Jogos!A:BN,64,0)</f>
        <v>17.4</v>
      </c>
      <c r="BG1278" s="9">
        <f>VLOOKUP(A1278,Jogos!A:BN,65,0)</f>
        <v>30.53</v>
      </c>
      <c r="BH1278" s="9">
        <f>VLOOKUP(A1278,Jogos!A:BN,66,0)</f>
        <v>20.265</v>
      </c>
      <c r="BI1278" s="9"/>
      <c r="BJ1278" s="9"/>
    </row>
    <row r="1279" hidden="1">
      <c r="A1279" s="10">
        <v>43.0</v>
      </c>
      <c r="B1279" s="11" t="s">
        <v>623</v>
      </c>
      <c r="C1279" s="2" t="s">
        <v>61</v>
      </c>
      <c r="D1279" s="12">
        <v>45833.0</v>
      </c>
      <c r="E1279" s="13">
        <v>0.75</v>
      </c>
      <c r="F1279" s="5" t="str">
        <f>VLOOKUP(A1279,Jogos!A:N,10,0)</f>
        <v>Evening</v>
      </c>
      <c r="G1279" s="11" t="s">
        <v>312</v>
      </c>
      <c r="H1279" s="6" t="str">
        <f>VLOOKUP(A1279,Jogos!A:L,12,0)</f>
        <v>Open</v>
      </c>
      <c r="I1279" s="6" t="str">
        <f>VLOOKUP(G1279,'Estádios e Cidades'!A:B,2,0)</f>
        <v>Seatte</v>
      </c>
      <c r="J1279" s="11" t="s">
        <v>624</v>
      </c>
      <c r="K1279" s="2" t="str">
        <f>VLOOKUP(J1279,Equipes!A:F,6,0)</f>
        <v>Temperate</v>
      </c>
      <c r="L1279" s="2">
        <f>VLOOKUP(J1279,Equipes!A:C,3,0)</f>
        <v>19</v>
      </c>
      <c r="M1279" s="2" t="str">
        <f t="shared" si="4"/>
        <v>Group</v>
      </c>
      <c r="N1279" s="11" t="s">
        <v>748</v>
      </c>
      <c r="O1279" s="2">
        <f>VLOOKUP(N1279,Equipes!A:C,3,0)</f>
        <v>12</v>
      </c>
      <c r="P1279" s="2" t="str">
        <f t="shared" si="5"/>
        <v>Round of 16</v>
      </c>
      <c r="Q1279" s="2">
        <f t="shared" si="6"/>
        <v>7</v>
      </c>
      <c r="R1279" s="2" t="str">
        <f>VLOOKUP(J1279,Equipes!A:B,2,0)</f>
        <v>River</v>
      </c>
      <c r="S1279" s="6" t="s">
        <v>640</v>
      </c>
      <c r="T1279" s="7">
        <v>26.0</v>
      </c>
      <c r="U1279" s="7" t="s">
        <v>641</v>
      </c>
      <c r="V1279" s="7" t="str">
        <f>VLOOKUP(U1279,Jogadores!B:C,2,0)</f>
        <v>MF</v>
      </c>
      <c r="W1279" s="8">
        <f>VLOOKUP(U1279,Jogadores!B:D,3,0)</f>
        <v>35.56438356</v>
      </c>
      <c r="X1279" s="7">
        <v>55.0</v>
      </c>
      <c r="Y1279" s="7">
        <f t="shared" si="3987"/>
        <v>96</v>
      </c>
      <c r="Z1279" s="7">
        <f>VLOOKUP(A1279,Jogos!A:L,3,0)</f>
        <v>47</v>
      </c>
      <c r="AA1279" s="7">
        <f t="shared" si="2229"/>
        <v>0</v>
      </c>
      <c r="AB1279" s="7">
        <f>VLOOKUP(A1279,Jogos!A:L,4,0)</f>
        <v>51</v>
      </c>
      <c r="AC1279" s="7">
        <f t="shared" si="2230"/>
        <v>41</v>
      </c>
      <c r="AD1279" s="7"/>
      <c r="AE1279" s="7"/>
      <c r="AF1279" s="7">
        <f t="shared" si="2231"/>
        <v>41</v>
      </c>
      <c r="AG1279" s="7">
        <v>4827.3</v>
      </c>
      <c r="AH1279" s="7">
        <v>1267.6</v>
      </c>
      <c r="AI1279" s="7">
        <v>1853.8</v>
      </c>
      <c r="AJ1279" s="7">
        <v>998.4</v>
      </c>
      <c r="AK1279" s="7">
        <v>574.7</v>
      </c>
      <c r="AL1279" s="7">
        <v>132.8</v>
      </c>
      <c r="AM1279" s="7">
        <v>93.0</v>
      </c>
      <c r="AN1279" s="7">
        <v>43.0</v>
      </c>
      <c r="AO1279" s="7">
        <v>30.5</v>
      </c>
      <c r="AP1279" s="9">
        <f t="shared" ref="AP1279:AR1279" si="3994">AG1279/$AF1279</f>
        <v>117.7390244</v>
      </c>
      <c r="AQ1279" s="9">
        <f t="shared" si="3994"/>
        <v>30.91707317</v>
      </c>
      <c r="AR1279" s="9">
        <f t="shared" si="3994"/>
        <v>45.21463415</v>
      </c>
      <c r="AS1279" s="9">
        <f t="shared" si="2233"/>
        <v>76.13170732</v>
      </c>
      <c r="AT1279" s="9">
        <f t="shared" ref="AT1279:AV1279" si="3995">AJ1279/$AF1279</f>
        <v>24.35121951</v>
      </c>
      <c r="AU1279" s="9">
        <f t="shared" si="3995"/>
        <v>14.01707317</v>
      </c>
      <c r="AV1279" s="9">
        <f t="shared" si="3995"/>
        <v>3.23902439</v>
      </c>
      <c r="AW1279" s="9">
        <f t="shared" si="2235"/>
        <v>17.25609756</v>
      </c>
      <c r="AX1279" s="9">
        <f t="shared" ref="AX1279:AY1279" si="3996">AM1279/$AF1279</f>
        <v>2.268292683</v>
      </c>
      <c r="AY1279" s="9">
        <f t="shared" si="3996"/>
        <v>1.048780488</v>
      </c>
      <c r="AZ1279" s="9">
        <f>VLOOKUP(A1279,Jogos!A:BN,58,0)</f>
        <v>19.79</v>
      </c>
      <c r="BA1279" s="9">
        <f>VLOOKUP(A1279,Jogos!A:BN,59,0)</f>
        <v>11.375</v>
      </c>
      <c r="BB1279" s="9">
        <f>VLOOKUP(A1279,Jogos!A:BN,60,0)</f>
        <v>57.5</v>
      </c>
      <c r="BC1279" s="9">
        <f>VLOOKUP(A1279,Jogos!A:BN,61,0)</f>
        <v>17.065</v>
      </c>
      <c r="BD1279" s="9">
        <f>VLOOKUP(A1279,Jogos!A:BN,62,0)</f>
        <v>197.15</v>
      </c>
      <c r="BE1279" s="9">
        <f>VLOOKUP(A1279,Jogos!A:BN,63,0)</f>
        <v>1.505</v>
      </c>
      <c r="BF1279" s="9">
        <f>VLOOKUP(A1279,Jogos!A:BN,64,0)</f>
        <v>17.4</v>
      </c>
      <c r="BG1279" s="9">
        <f>VLOOKUP(A1279,Jogos!A:BN,65,0)</f>
        <v>30.53</v>
      </c>
      <c r="BH1279" s="9">
        <f>VLOOKUP(A1279,Jogos!A:BN,66,0)</f>
        <v>20.265</v>
      </c>
      <c r="BI1279" s="9"/>
      <c r="BJ1279" s="9"/>
    </row>
    <row r="1280" hidden="1">
      <c r="A1280" s="10">
        <v>43.0</v>
      </c>
      <c r="B1280" s="11" t="s">
        <v>623</v>
      </c>
      <c r="C1280" s="2" t="s">
        <v>61</v>
      </c>
      <c r="D1280" s="12">
        <v>45833.0</v>
      </c>
      <c r="E1280" s="13">
        <v>0.75</v>
      </c>
      <c r="F1280" s="5" t="str">
        <f>VLOOKUP(A1280,Jogos!A:N,10,0)</f>
        <v>Evening</v>
      </c>
      <c r="G1280" s="11" t="s">
        <v>312</v>
      </c>
      <c r="H1280" s="6" t="str">
        <f>VLOOKUP(A1280,Jogos!A:L,12,0)</f>
        <v>Open</v>
      </c>
      <c r="I1280" s="6" t="str">
        <f>VLOOKUP(G1280,'Estádios e Cidades'!A:B,2,0)</f>
        <v>Seatte</v>
      </c>
      <c r="J1280" s="11" t="s">
        <v>624</v>
      </c>
      <c r="K1280" s="2" t="str">
        <f>VLOOKUP(J1280,Equipes!A:F,6,0)</f>
        <v>Temperate</v>
      </c>
      <c r="L1280" s="2">
        <f>VLOOKUP(J1280,Equipes!A:C,3,0)</f>
        <v>19</v>
      </c>
      <c r="M1280" s="2" t="str">
        <f t="shared" si="4"/>
        <v>Group</v>
      </c>
      <c r="N1280" s="11" t="s">
        <v>748</v>
      </c>
      <c r="O1280" s="2">
        <f>VLOOKUP(N1280,Equipes!A:C,3,0)</f>
        <v>12</v>
      </c>
      <c r="P1280" s="2" t="str">
        <f t="shared" si="5"/>
        <v>Round of 16</v>
      </c>
      <c r="Q1280" s="2">
        <f t="shared" si="6"/>
        <v>7</v>
      </c>
      <c r="R1280" s="2" t="str">
        <f>VLOOKUP(J1280,Equipes!A:B,2,0)</f>
        <v>River</v>
      </c>
      <c r="S1280" s="6" t="s">
        <v>1316</v>
      </c>
      <c r="T1280" s="7">
        <v>35.0</v>
      </c>
      <c r="U1280" s="7" t="s">
        <v>1317</v>
      </c>
      <c r="V1280" s="7" t="s">
        <v>1311</v>
      </c>
      <c r="W1280" s="8">
        <f>VLOOKUP(U1280,Jogadores!B:D,3,0)</f>
        <v>19.29589041</v>
      </c>
      <c r="X1280" s="7">
        <v>62.0</v>
      </c>
      <c r="Y1280" s="7">
        <f t="shared" si="3987"/>
        <v>96</v>
      </c>
      <c r="Z1280" s="7">
        <f>VLOOKUP(A1280,Jogos!A:L,3,0)</f>
        <v>47</v>
      </c>
      <c r="AA1280" s="7">
        <f t="shared" si="2229"/>
        <v>0</v>
      </c>
      <c r="AB1280" s="7">
        <f>VLOOKUP(A1280,Jogos!A:L,4,0)</f>
        <v>51</v>
      </c>
      <c r="AC1280" s="7">
        <f t="shared" si="2230"/>
        <v>34</v>
      </c>
      <c r="AD1280" s="7"/>
      <c r="AE1280" s="7"/>
      <c r="AF1280" s="7">
        <f t="shared" si="2231"/>
        <v>34</v>
      </c>
      <c r="AG1280" s="7">
        <v>3794.5</v>
      </c>
      <c r="AH1280" s="7">
        <v>1045.8</v>
      </c>
      <c r="AI1280" s="7">
        <v>1515.7</v>
      </c>
      <c r="AJ1280" s="7">
        <v>814.3</v>
      </c>
      <c r="AK1280" s="7">
        <v>305.2</v>
      </c>
      <c r="AL1280" s="7">
        <v>113.4</v>
      </c>
      <c r="AM1280" s="7">
        <v>75.0</v>
      </c>
      <c r="AN1280" s="7">
        <v>20.0</v>
      </c>
      <c r="AO1280" s="7">
        <v>29.2</v>
      </c>
      <c r="AP1280" s="9">
        <f t="shared" ref="AP1280:AR1280" si="3997">AG1280/$AF1280</f>
        <v>111.6029412</v>
      </c>
      <c r="AQ1280" s="9">
        <f t="shared" si="3997"/>
        <v>30.75882353</v>
      </c>
      <c r="AR1280" s="9">
        <f t="shared" si="3997"/>
        <v>44.57941176</v>
      </c>
      <c r="AS1280" s="9">
        <f t="shared" si="2233"/>
        <v>75.33823529</v>
      </c>
      <c r="AT1280" s="9">
        <f t="shared" ref="AT1280:AV1280" si="3998">AJ1280/$AF1280</f>
        <v>23.95</v>
      </c>
      <c r="AU1280" s="9">
        <f t="shared" si="3998"/>
        <v>8.976470588</v>
      </c>
      <c r="AV1280" s="9">
        <f t="shared" si="3998"/>
        <v>3.335294118</v>
      </c>
      <c r="AW1280" s="9">
        <f t="shared" si="2235"/>
        <v>12.31176471</v>
      </c>
      <c r="AX1280" s="9">
        <f t="shared" ref="AX1280:AY1280" si="3999">AM1280/$AF1280</f>
        <v>2.205882353</v>
      </c>
      <c r="AY1280" s="9">
        <f t="shared" si="3999"/>
        <v>0.5882352941</v>
      </c>
      <c r="AZ1280" s="9">
        <f>VLOOKUP(A1280,Jogos!A:BN,58,0)</f>
        <v>19.79</v>
      </c>
      <c r="BA1280" s="9">
        <f>VLOOKUP(A1280,Jogos!A:BN,59,0)</f>
        <v>11.375</v>
      </c>
      <c r="BB1280" s="9">
        <f>VLOOKUP(A1280,Jogos!A:BN,60,0)</f>
        <v>57.5</v>
      </c>
      <c r="BC1280" s="9">
        <f>VLOOKUP(A1280,Jogos!A:BN,61,0)</f>
        <v>17.065</v>
      </c>
      <c r="BD1280" s="9">
        <f>VLOOKUP(A1280,Jogos!A:BN,62,0)</f>
        <v>197.15</v>
      </c>
      <c r="BE1280" s="9">
        <f>VLOOKUP(A1280,Jogos!A:BN,63,0)</f>
        <v>1.505</v>
      </c>
      <c r="BF1280" s="9">
        <f>VLOOKUP(A1280,Jogos!A:BN,64,0)</f>
        <v>17.4</v>
      </c>
      <c r="BG1280" s="9">
        <f>VLOOKUP(A1280,Jogos!A:BN,65,0)</f>
        <v>30.53</v>
      </c>
      <c r="BH1280" s="9">
        <f>VLOOKUP(A1280,Jogos!A:BN,66,0)</f>
        <v>20.265</v>
      </c>
      <c r="BI1280" s="9"/>
      <c r="BJ1280" s="9"/>
    </row>
    <row r="1281" hidden="1">
      <c r="A1281" s="2">
        <v>44.0</v>
      </c>
      <c r="B1281" s="2" t="s">
        <v>623</v>
      </c>
      <c r="C1281" s="2" t="s">
        <v>61</v>
      </c>
      <c r="D1281" s="3">
        <v>45833.0</v>
      </c>
      <c r="E1281" s="4">
        <v>0.75</v>
      </c>
      <c r="F1281" s="5" t="str">
        <f>VLOOKUP(A1281,Jogos!A:N,10,0)</f>
        <v>Evening</v>
      </c>
      <c r="G1281" s="2" t="s">
        <v>186</v>
      </c>
      <c r="H1281" s="6" t="str">
        <f>VLOOKUP(A1281,Jogos!A:L,12,0)</f>
        <v>Open</v>
      </c>
      <c r="I1281" s="6" t="str">
        <f>VLOOKUP(G1281,'Estádios e Cidades'!A:B,2,0)</f>
        <v>Pasadena</v>
      </c>
      <c r="J1281" s="2" t="s">
        <v>625</v>
      </c>
      <c r="K1281" s="2" t="str">
        <f>VLOOKUP(J1281,Equipes!A:F,6,0)</f>
        <v>Temperate</v>
      </c>
      <c r="L1281" s="2">
        <f>VLOOKUP(J1281,Equipes!A:C,3,0)</f>
        <v>32</v>
      </c>
      <c r="M1281" s="2" t="str">
        <f t="shared" si="4"/>
        <v>Group</v>
      </c>
      <c r="N1281" s="2" t="s">
        <v>747</v>
      </c>
      <c r="O1281" s="2">
        <f>VLOOKUP(N1281,Equipes!A:C,3,0)</f>
        <v>15</v>
      </c>
      <c r="P1281" s="2" t="str">
        <f t="shared" si="5"/>
        <v>Round of 16</v>
      </c>
      <c r="Q1281" s="2">
        <f t="shared" si="6"/>
        <v>17</v>
      </c>
      <c r="R1281" s="2" t="str">
        <f>VLOOKUP(J1281,Equipes!A:B,2,0)</f>
        <v>Urawa</v>
      </c>
      <c r="S1281" s="6" t="s">
        <v>656</v>
      </c>
      <c r="T1281" s="7">
        <v>3.0</v>
      </c>
      <c r="U1281" s="7" t="s">
        <v>657</v>
      </c>
      <c r="V1281" s="7" t="str">
        <f>VLOOKUP(U1281,Jogadores!B:C,2,0)</f>
        <v>DF</v>
      </c>
      <c r="W1281" s="8">
        <f>VLOOKUP(U1281,Jogadores!B:D,3,0)</f>
        <v>27.24657534</v>
      </c>
      <c r="X1281" s="7">
        <v>0.0</v>
      </c>
      <c r="Y1281" s="7">
        <f t="shared" si="3987"/>
        <v>97</v>
      </c>
      <c r="Z1281" s="7">
        <f>VLOOKUP(A1281,Jogos!A:L,3,0)</f>
        <v>49</v>
      </c>
      <c r="AA1281" s="7">
        <f t="shared" si="2229"/>
        <v>49</v>
      </c>
      <c r="AB1281" s="7">
        <f>VLOOKUP(A1281,Jogos!A:L,4,0)</f>
        <v>52</v>
      </c>
      <c r="AC1281" s="7">
        <f t="shared" si="2230"/>
        <v>52</v>
      </c>
      <c r="AD1281" s="7"/>
      <c r="AE1281" s="7"/>
      <c r="AF1281" s="7">
        <f t="shared" si="2231"/>
        <v>101</v>
      </c>
      <c r="AG1281" s="7">
        <v>10853.4</v>
      </c>
      <c r="AH1281" s="7">
        <v>3988.9</v>
      </c>
      <c r="AI1281" s="7">
        <v>4679.6</v>
      </c>
      <c r="AJ1281" s="7">
        <v>1314.0</v>
      </c>
      <c r="AK1281" s="7">
        <v>590.8</v>
      </c>
      <c r="AL1281" s="7">
        <v>280.1</v>
      </c>
      <c r="AM1281" s="7">
        <v>109.0</v>
      </c>
      <c r="AN1281" s="7">
        <v>41.0</v>
      </c>
      <c r="AO1281" s="7">
        <v>32.2</v>
      </c>
      <c r="AP1281" s="9">
        <f t="shared" ref="AP1281:AR1281" si="4000">AG1281/$AF1281</f>
        <v>107.4594059</v>
      </c>
      <c r="AQ1281" s="9">
        <f t="shared" si="4000"/>
        <v>39.49405941</v>
      </c>
      <c r="AR1281" s="9">
        <f t="shared" si="4000"/>
        <v>46.33267327</v>
      </c>
      <c r="AS1281" s="9">
        <f t="shared" si="2233"/>
        <v>85.82673267</v>
      </c>
      <c r="AT1281" s="9">
        <f t="shared" ref="AT1281:AV1281" si="4001">AJ1281/$AF1281</f>
        <v>13.00990099</v>
      </c>
      <c r="AU1281" s="9">
        <f t="shared" si="4001"/>
        <v>5.84950495</v>
      </c>
      <c r="AV1281" s="9">
        <f t="shared" si="4001"/>
        <v>2.773267327</v>
      </c>
      <c r="AW1281" s="9">
        <f t="shared" si="2235"/>
        <v>8.622772277</v>
      </c>
      <c r="AX1281" s="9">
        <f t="shared" ref="AX1281:AY1281" si="4002">AM1281/$AF1281</f>
        <v>1.079207921</v>
      </c>
      <c r="AY1281" s="9">
        <f t="shared" si="4002"/>
        <v>0.4059405941</v>
      </c>
      <c r="AZ1281" s="9">
        <f>VLOOKUP(A1281,Jogos!A:BN,58,0)</f>
        <v>23.335</v>
      </c>
      <c r="BA1281" s="9">
        <f>VLOOKUP(A1281,Jogos!A:BN,59,0)</f>
        <v>12.11</v>
      </c>
      <c r="BB1281" s="9">
        <f>VLOOKUP(A1281,Jogos!A:BN,60,0)</f>
        <v>49</v>
      </c>
      <c r="BC1281" s="9">
        <f>VLOOKUP(A1281,Jogos!A:BN,61,0)</f>
        <v>20.975</v>
      </c>
      <c r="BD1281" s="9">
        <f>VLOOKUP(A1281,Jogos!A:BN,62,0)</f>
        <v>161.4</v>
      </c>
      <c r="BE1281" s="9">
        <f>VLOOKUP(A1281,Jogos!A:BN,63,0)</f>
        <v>1.06</v>
      </c>
      <c r="BF1281" s="9">
        <f>VLOOKUP(A1281,Jogos!A:BN,64,0)</f>
        <v>19.095</v>
      </c>
      <c r="BG1281" s="9">
        <f>VLOOKUP(A1281,Jogos!A:BN,65,0)</f>
        <v>35.115</v>
      </c>
      <c r="BH1281" s="9">
        <f>VLOOKUP(A1281,Jogos!A:BN,66,0)</f>
        <v>22.725</v>
      </c>
      <c r="BI1281" s="9"/>
      <c r="BJ1281" s="9"/>
    </row>
    <row r="1282" hidden="1">
      <c r="A1282" s="2">
        <v>44.0</v>
      </c>
      <c r="B1282" s="2" t="s">
        <v>623</v>
      </c>
      <c r="C1282" s="2" t="s">
        <v>61</v>
      </c>
      <c r="D1282" s="3">
        <v>45833.0</v>
      </c>
      <c r="E1282" s="4">
        <v>0.75</v>
      </c>
      <c r="F1282" s="5" t="str">
        <f>VLOOKUP(A1282,Jogos!A:N,10,0)</f>
        <v>Evening</v>
      </c>
      <c r="G1282" s="2" t="s">
        <v>186</v>
      </c>
      <c r="H1282" s="6" t="str">
        <f>VLOOKUP(A1282,Jogos!A:L,12,0)</f>
        <v>Open</v>
      </c>
      <c r="I1282" s="6" t="str">
        <f>VLOOKUP(G1282,'Estádios e Cidades'!A:B,2,0)</f>
        <v>Pasadena</v>
      </c>
      <c r="J1282" s="2" t="s">
        <v>625</v>
      </c>
      <c r="K1282" s="2" t="str">
        <f>VLOOKUP(J1282,Equipes!A:F,6,0)</f>
        <v>Temperate</v>
      </c>
      <c r="L1282" s="2">
        <f>VLOOKUP(J1282,Equipes!A:C,3,0)</f>
        <v>32</v>
      </c>
      <c r="M1282" s="2" t="str">
        <f t="shared" si="4"/>
        <v>Group</v>
      </c>
      <c r="N1282" s="2" t="s">
        <v>747</v>
      </c>
      <c r="O1282" s="2">
        <f>VLOOKUP(N1282,Equipes!A:C,3,0)</f>
        <v>15</v>
      </c>
      <c r="P1282" s="2" t="str">
        <f t="shared" si="5"/>
        <v>Round of 16</v>
      </c>
      <c r="Q1282" s="2">
        <f t="shared" si="6"/>
        <v>17</v>
      </c>
      <c r="R1282" s="2" t="str">
        <f>VLOOKUP(J1282,Equipes!A:B,2,0)</f>
        <v>Urawa</v>
      </c>
      <c r="S1282" s="6" t="s">
        <v>660</v>
      </c>
      <c r="T1282" s="7">
        <v>5.0</v>
      </c>
      <c r="U1282" s="7" t="s">
        <v>661</v>
      </c>
      <c r="V1282" s="7" t="str">
        <f>VLOOKUP(U1282,Jogadores!B:C,2,0)</f>
        <v>DF</v>
      </c>
      <c r="W1282" s="8">
        <f>VLOOKUP(U1282,Jogadores!B:D,3,0)</f>
        <v>30.53150685</v>
      </c>
      <c r="X1282" s="7">
        <v>0.0</v>
      </c>
      <c r="Y1282" s="7">
        <f t="shared" si="3987"/>
        <v>97</v>
      </c>
      <c r="Z1282" s="7">
        <f>VLOOKUP(A1282,Jogos!A:L,3,0)</f>
        <v>49</v>
      </c>
      <c r="AA1282" s="7">
        <f t="shared" si="2229"/>
        <v>49</v>
      </c>
      <c r="AB1282" s="7">
        <f>VLOOKUP(A1282,Jogos!A:L,4,0)</f>
        <v>52</v>
      </c>
      <c r="AC1282" s="7">
        <f t="shared" si="2230"/>
        <v>52</v>
      </c>
      <c r="AD1282" s="7"/>
      <c r="AE1282" s="7"/>
      <c r="AF1282" s="7">
        <f t="shared" si="2231"/>
        <v>101</v>
      </c>
      <c r="AG1282" s="7">
        <v>10480.0</v>
      </c>
      <c r="AH1282" s="7">
        <v>3500.9</v>
      </c>
      <c r="AI1282" s="7">
        <v>4972.6</v>
      </c>
      <c r="AJ1282" s="7">
        <v>1392.3</v>
      </c>
      <c r="AK1282" s="7">
        <v>418.4</v>
      </c>
      <c r="AL1282" s="7">
        <v>195.8</v>
      </c>
      <c r="AM1282" s="7">
        <v>122.0</v>
      </c>
      <c r="AN1282" s="7">
        <v>29.0</v>
      </c>
      <c r="AO1282" s="7">
        <v>31.9</v>
      </c>
      <c r="AP1282" s="9">
        <f t="shared" ref="AP1282:AR1282" si="4003">AG1282/$AF1282</f>
        <v>103.7623762</v>
      </c>
      <c r="AQ1282" s="9">
        <f t="shared" si="4003"/>
        <v>34.66237624</v>
      </c>
      <c r="AR1282" s="9">
        <f t="shared" si="4003"/>
        <v>49.23366337</v>
      </c>
      <c r="AS1282" s="9">
        <f t="shared" si="2233"/>
        <v>83.8960396</v>
      </c>
      <c r="AT1282" s="9">
        <f t="shared" ref="AT1282:AV1282" si="4004">AJ1282/$AF1282</f>
        <v>13.78514851</v>
      </c>
      <c r="AU1282" s="9">
        <f t="shared" si="4004"/>
        <v>4.142574257</v>
      </c>
      <c r="AV1282" s="9">
        <f t="shared" si="4004"/>
        <v>1.938613861</v>
      </c>
      <c r="AW1282" s="9">
        <f t="shared" si="2235"/>
        <v>6.081188119</v>
      </c>
      <c r="AX1282" s="9">
        <f t="shared" ref="AX1282:AY1282" si="4005">AM1282/$AF1282</f>
        <v>1.207920792</v>
      </c>
      <c r="AY1282" s="9">
        <f t="shared" si="4005"/>
        <v>0.2871287129</v>
      </c>
      <c r="AZ1282" s="9">
        <f>VLOOKUP(A1282,Jogos!A:BN,58,0)</f>
        <v>23.335</v>
      </c>
      <c r="BA1282" s="9">
        <f>VLOOKUP(A1282,Jogos!A:BN,59,0)</f>
        <v>12.11</v>
      </c>
      <c r="BB1282" s="9">
        <f>VLOOKUP(A1282,Jogos!A:BN,60,0)</f>
        <v>49</v>
      </c>
      <c r="BC1282" s="9">
        <f>VLOOKUP(A1282,Jogos!A:BN,61,0)</f>
        <v>20.975</v>
      </c>
      <c r="BD1282" s="9">
        <f>VLOOKUP(A1282,Jogos!A:BN,62,0)</f>
        <v>161.4</v>
      </c>
      <c r="BE1282" s="9">
        <f>VLOOKUP(A1282,Jogos!A:BN,63,0)</f>
        <v>1.06</v>
      </c>
      <c r="BF1282" s="9">
        <f>VLOOKUP(A1282,Jogos!A:BN,64,0)</f>
        <v>19.095</v>
      </c>
      <c r="BG1282" s="9">
        <f>VLOOKUP(A1282,Jogos!A:BN,65,0)</f>
        <v>35.115</v>
      </c>
      <c r="BH1282" s="9">
        <f>VLOOKUP(A1282,Jogos!A:BN,66,0)</f>
        <v>22.725</v>
      </c>
      <c r="BI1282" s="9"/>
      <c r="BJ1282" s="9"/>
    </row>
    <row r="1283" hidden="1">
      <c r="A1283" s="2">
        <v>44.0</v>
      </c>
      <c r="B1283" s="2" t="s">
        <v>623</v>
      </c>
      <c r="C1283" s="2" t="s">
        <v>61</v>
      </c>
      <c r="D1283" s="3">
        <v>45833.0</v>
      </c>
      <c r="E1283" s="4">
        <v>0.75</v>
      </c>
      <c r="F1283" s="5" t="str">
        <f>VLOOKUP(A1283,Jogos!A:N,10,0)</f>
        <v>Evening</v>
      </c>
      <c r="G1283" s="2" t="s">
        <v>186</v>
      </c>
      <c r="H1283" s="6" t="str">
        <f>VLOOKUP(A1283,Jogos!A:L,12,0)</f>
        <v>Open</v>
      </c>
      <c r="I1283" s="6" t="str">
        <f>VLOOKUP(G1283,'Estádios e Cidades'!A:B,2,0)</f>
        <v>Pasadena</v>
      </c>
      <c r="J1283" s="2" t="s">
        <v>625</v>
      </c>
      <c r="K1283" s="2" t="str">
        <f>VLOOKUP(J1283,Equipes!A:F,6,0)</f>
        <v>Temperate</v>
      </c>
      <c r="L1283" s="2">
        <f>VLOOKUP(J1283,Equipes!A:C,3,0)</f>
        <v>32</v>
      </c>
      <c r="M1283" s="2" t="str">
        <f t="shared" si="4"/>
        <v>Group</v>
      </c>
      <c r="N1283" s="2" t="s">
        <v>747</v>
      </c>
      <c r="O1283" s="2">
        <f>VLOOKUP(N1283,Equipes!A:C,3,0)</f>
        <v>15</v>
      </c>
      <c r="P1283" s="2" t="str">
        <f t="shared" si="5"/>
        <v>Round of 16</v>
      </c>
      <c r="Q1283" s="2">
        <f t="shared" si="6"/>
        <v>17</v>
      </c>
      <c r="R1283" s="2" t="str">
        <f>VLOOKUP(J1283,Equipes!A:B,2,0)</f>
        <v>Urawa</v>
      </c>
      <c r="S1283" s="6" t="s">
        <v>662</v>
      </c>
      <c r="T1283" s="7">
        <v>8.0</v>
      </c>
      <c r="U1283" s="7" t="s">
        <v>663</v>
      </c>
      <c r="V1283" s="7" t="str">
        <f>VLOOKUP(U1283,Jogadores!B:C,2,0)</f>
        <v>MF</v>
      </c>
      <c r="W1283" s="8">
        <f>VLOOKUP(U1283,Jogadores!B:D,3,0)</f>
        <v>28.30410959</v>
      </c>
      <c r="X1283" s="7">
        <v>0.0</v>
      </c>
      <c r="Y1283" s="7">
        <v>71.0</v>
      </c>
      <c r="Z1283" s="7">
        <f>VLOOKUP(A1283,Jogos!A:L,3,0)</f>
        <v>49</v>
      </c>
      <c r="AA1283" s="7">
        <f t="shared" si="2229"/>
        <v>49</v>
      </c>
      <c r="AB1283" s="7">
        <f>VLOOKUP(A1283,Jogos!A:L,4,0)</f>
        <v>52</v>
      </c>
      <c r="AC1283" s="7">
        <f t="shared" si="2230"/>
        <v>26</v>
      </c>
      <c r="AD1283" s="7"/>
      <c r="AE1283" s="7"/>
      <c r="AF1283" s="7">
        <f t="shared" si="2231"/>
        <v>75</v>
      </c>
      <c r="AG1283" s="7">
        <v>8818.8</v>
      </c>
      <c r="AH1283" s="7">
        <v>3011.0</v>
      </c>
      <c r="AI1283" s="7">
        <v>3511.2</v>
      </c>
      <c r="AJ1283" s="7">
        <v>1421.7</v>
      </c>
      <c r="AK1283" s="7">
        <v>671.5</v>
      </c>
      <c r="AL1283" s="7">
        <v>203.3</v>
      </c>
      <c r="AM1283" s="7">
        <v>123.0</v>
      </c>
      <c r="AN1283" s="7">
        <v>52.0</v>
      </c>
      <c r="AO1283" s="7">
        <v>32.1</v>
      </c>
      <c r="AP1283" s="9">
        <f t="shared" ref="AP1283:AR1283" si="4006">AG1283/$AF1283</f>
        <v>117.584</v>
      </c>
      <c r="AQ1283" s="9">
        <f t="shared" si="4006"/>
        <v>40.14666667</v>
      </c>
      <c r="AR1283" s="9">
        <f t="shared" si="4006"/>
        <v>46.816</v>
      </c>
      <c r="AS1283" s="9">
        <f t="shared" si="2233"/>
        <v>86.96266667</v>
      </c>
      <c r="AT1283" s="9">
        <f t="shared" ref="AT1283:AV1283" si="4007">AJ1283/$AF1283</f>
        <v>18.956</v>
      </c>
      <c r="AU1283" s="9">
        <f t="shared" si="4007"/>
        <v>8.953333333</v>
      </c>
      <c r="AV1283" s="9">
        <f t="shared" si="4007"/>
        <v>2.710666667</v>
      </c>
      <c r="AW1283" s="9">
        <f t="shared" si="2235"/>
        <v>11.664</v>
      </c>
      <c r="AX1283" s="9">
        <f t="shared" ref="AX1283:AY1283" si="4008">AM1283/$AF1283</f>
        <v>1.64</v>
      </c>
      <c r="AY1283" s="9">
        <f t="shared" si="4008"/>
        <v>0.6933333333</v>
      </c>
      <c r="AZ1283" s="9">
        <f>VLOOKUP(A1283,Jogos!A:BN,58,0)</f>
        <v>23.335</v>
      </c>
      <c r="BA1283" s="9">
        <f>VLOOKUP(A1283,Jogos!A:BN,59,0)</f>
        <v>12.11</v>
      </c>
      <c r="BB1283" s="9">
        <f>VLOOKUP(A1283,Jogos!A:BN,60,0)</f>
        <v>49</v>
      </c>
      <c r="BC1283" s="9">
        <f>VLOOKUP(A1283,Jogos!A:BN,61,0)</f>
        <v>20.975</v>
      </c>
      <c r="BD1283" s="9">
        <f>VLOOKUP(A1283,Jogos!A:BN,62,0)</f>
        <v>161.4</v>
      </c>
      <c r="BE1283" s="9">
        <f>VLOOKUP(A1283,Jogos!A:BN,63,0)</f>
        <v>1.06</v>
      </c>
      <c r="BF1283" s="9">
        <f>VLOOKUP(A1283,Jogos!A:BN,64,0)</f>
        <v>19.095</v>
      </c>
      <c r="BG1283" s="9">
        <f>VLOOKUP(A1283,Jogos!A:BN,65,0)</f>
        <v>35.115</v>
      </c>
      <c r="BH1283" s="9">
        <f>VLOOKUP(A1283,Jogos!A:BN,66,0)</f>
        <v>22.725</v>
      </c>
      <c r="BI1283" s="9"/>
      <c r="BJ1283" s="9"/>
    </row>
    <row r="1284" hidden="1">
      <c r="A1284" s="2">
        <v>44.0</v>
      </c>
      <c r="B1284" s="2" t="s">
        <v>623</v>
      </c>
      <c r="C1284" s="2" t="s">
        <v>61</v>
      </c>
      <c r="D1284" s="3">
        <v>45833.0</v>
      </c>
      <c r="E1284" s="4">
        <v>0.75</v>
      </c>
      <c r="F1284" s="5" t="str">
        <f>VLOOKUP(A1284,Jogos!A:N,10,0)</f>
        <v>Evening</v>
      </c>
      <c r="G1284" s="2" t="s">
        <v>186</v>
      </c>
      <c r="H1284" s="6" t="str">
        <f>VLOOKUP(A1284,Jogos!A:L,12,0)</f>
        <v>Open</v>
      </c>
      <c r="I1284" s="6" t="str">
        <f>VLOOKUP(G1284,'Estádios e Cidades'!A:B,2,0)</f>
        <v>Pasadena</v>
      </c>
      <c r="J1284" s="2" t="s">
        <v>625</v>
      </c>
      <c r="K1284" s="2" t="str">
        <f>VLOOKUP(J1284,Equipes!A:F,6,0)</f>
        <v>Temperate</v>
      </c>
      <c r="L1284" s="2">
        <f>VLOOKUP(J1284,Equipes!A:C,3,0)</f>
        <v>32</v>
      </c>
      <c r="M1284" s="2" t="str">
        <f t="shared" si="4"/>
        <v>Group</v>
      </c>
      <c r="N1284" s="2" t="s">
        <v>747</v>
      </c>
      <c r="O1284" s="2">
        <f>VLOOKUP(N1284,Equipes!A:C,3,0)</f>
        <v>15</v>
      </c>
      <c r="P1284" s="2" t="str">
        <f t="shared" si="5"/>
        <v>Round of 16</v>
      </c>
      <c r="Q1284" s="2">
        <f t="shared" si="6"/>
        <v>17</v>
      </c>
      <c r="R1284" s="2" t="str">
        <f>VLOOKUP(J1284,Equipes!A:B,2,0)</f>
        <v>Urawa</v>
      </c>
      <c r="S1284" s="6" t="s">
        <v>664</v>
      </c>
      <c r="T1284" s="7">
        <v>11.0</v>
      </c>
      <c r="U1284" s="7" t="s">
        <v>665</v>
      </c>
      <c r="V1284" s="7" t="str">
        <f>VLOOKUP(U1284,Jogadores!B:C,2,0)</f>
        <v>MF</v>
      </c>
      <c r="W1284" s="8">
        <f>VLOOKUP(U1284,Jogadores!B:D,3,0)</f>
        <v>30.56438356</v>
      </c>
      <c r="X1284" s="7">
        <v>0.0</v>
      </c>
      <c r="Y1284" s="7">
        <v>45.0</v>
      </c>
      <c r="Z1284" s="7">
        <f>VLOOKUP(A1284,Jogos!A:L,3,0)</f>
        <v>49</v>
      </c>
      <c r="AA1284" s="7">
        <f t="shared" si="2229"/>
        <v>49</v>
      </c>
      <c r="AB1284" s="7">
        <f>VLOOKUP(A1284,Jogos!A:L,4,0)</f>
        <v>52</v>
      </c>
      <c r="AC1284" s="7">
        <f t="shared" si="2230"/>
        <v>0</v>
      </c>
      <c r="AD1284" s="7"/>
      <c r="AE1284" s="7"/>
      <c r="AF1284" s="7">
        <f t="shared" si="2231"/>
        <v>49</v>
      </c>
      <c r="AG1284" s="7">
        <v>5958.2</v>
      </c>
      <c r="AH1284" s="7">
        <v>1557.7</v>
      </c>
      <c r="AI1284" s="7">
        <v>2975.6</v>
      </c>
      <c r="AJ1284" s="7">
        <v>966.7</v>
      </c>
      <c r="AK1284" s="7">
        <v>368.0</v>
      </c>
      <c r="AL1284" s="7">
        <v>90.2</v>
      </c>
      <c r="AM1284" s="7">
        <v>80.0</v>
      </c>
      <c r="AN1284" s="7">
        <v>31.0</v>
      </c>
      <c r="AO1284" s="7">
        <v>29.0</v>
      </c>
      <c r="AP1284" s="9">
        <f t="shared" ref="AP1284:AR1284" si="4009">AG1284/$AF1284</f>
        <v>121.5959184</v>
      </c>
      <c r="AQ1284" s="9">
        <f t="shared" si="4009"/>
        <v>31.78979592</v>
      </c>
      <c r="AR1284" s="9">
        <f t="shared" si="4009"/>
        <v>60.72653061</v>
      </c>
      <c r="AS1284" s="9">
        <f t="shared" si="2233"/>
        <v>92.51632653</v>
      </c>
      <c r="AT1284" s="9">
        <f t="shared" ref="AT1284:AV1284" si="4010">AJ1284/$AF1284</f>
        <v>19.72857143</v>
      </c>
      <c r="AU1284" s="9">
        <f t="shared" si="4010"/>
        <v>7.510204082</v>
      </c>
      <c r="AV1284" s="9">
        <f t="shared" si="4010"/>
        <v>1.840816327</v>
      </c>
      <c r="AW1284" s="9">
        <f t="shared" si="2235"/>
        <v>9.351020408</v>
      </c>
      <c r="AX1284" s="9">
        <f t="shared" ref="AX1284:AY1284" si="4011">AM1284/$AF1284</f>
        <v>1.632653061</v>
      </c>
      <c r="AY1284" s="9">
        <f t="shared" si="4011"/>
        <v>0.6326530612</v>
      </c>
      <c r="AZ1284" s="9">
        <f>VLOOKUP(A1284,Jogos!A:BN,58,0)</f>
        <v>23.335</v>
      </c>
      <c r="BA1284" s="9">
        <f>VLOOKUP(A1284,Jogos!A:BN,59,0)</f>
        <v>12.11</v>
      </c>
      <c r="BB1284" s="9">
        <f>VLOOKUP(A1284,Jogos!A:BN,60,0)</f>
        <v>49</v>
      </c>
      <c r="BC1284" s="9">
        <f>VLOOKUP(A1284,Jogos!A:BN,61,0)</f>
        <v>20.975</v>
      </c>
      <c r="BD1284" s="9">
        <f>VLOOKUP(A1284,Jogos!A:BN,62,0)</f>
        <v>161.4</v>
      </c>
      <c r="BE1284" s="9">
        <f>VLOOKUP(A1284,Jogos!A:BN,63,0)</f>
        <v>1.06</v>
      </c>
      <c r="BF1284" s="9">
        <f>VLOOKUP(A1284,Jogos!A:BN,64,0)</f>
        <v>19.095</v>
      </c>
      <c r="BG1284" s="9">
        <f>VLOOKUP(A1284,Jogos!A:BN,65,0)</f>
        <v>35.115</v>
      </c>
      <c r="BH1284" s="9">
        <f>VLOOKUP(A1284,Jogos!A:BN,66,0)</f>
        <v>22.725</v>
      </c>
      <c r="BI1284" s="9"/>
      <c r="BJ1284" s="9"/>
    </row>
    <row r="1285" hidden="1">
      <c r="A1285" s="2">
        <v>44.0</v>
      </c>
      <c r="B1285" s="2" t="s">
        <v>623</v>
      </c>
      <c r="C1285" s="2" t="s">
        <v>61</v>
      </c>
      <c r="D1285" s="3">
        <v>45833.0</v>
      </c>
      <c r="E1285" s="4">
        <v>0.75</v>
      </c>
      <c r="F1285" s="5" t="str">
        <f>VLOOKUP(A1285,Jogos!A:N,10,0)</f>
        <v>Evening</v>
      </c>
      <c r="G1285" s="2" t="s">
        <v>186</v>
      </c>
      <c r="H1285" s="6" t="str">
        <f>VLOOKUP(A1285,Jogos!A:L,12,0)</f>
        <v>Open</v>
      </c>
      <c r="I1285" s="6" t="str">
        <f>VLOOKUP(G1285,'Estádios e Cidades'!A:B,2,0)</f>
        <v>Pasadena</v>
      </c>
      <c r="J1285" s="2" t="s">
        <v>625</v>
      </c>
      <c r="K1285" s="2" t="str">
        <f>VLOOKUP(J1285,Equipes!A:F,6,0)</f>
        <v>Temperate</v>
      </c>
      <c r="L1285" s="2">
        <f>VLOOKUP(J1285,Equipes!A:C,3,0)</f>
        <v>32</v>
      </c>
      <c r="M1285" s="2" t="str">
        <f t="shared" si="4"/>
        <v>Group</v>
      </c>
      <c r="N1285" s="2" t="s">
        <v>747</v>
      </c>
      <c r="O1285" s="2">
        <f>VLOOKUP(N1285,Equipes!A:C,3,0)</f>
        <v>15</v>
      </c>
      <c r="P1285" s="2" t="str">
        <f t="shared" si="5"/>
        <v>Round of 16</v>
      </c>
      <c r="Q1285" s="2">
        <f t="shared" si="6"/>
        <v>17</v>
      </c>
      <c r="R1285" s="2" t="str">
        <f>VLOOKUP(J1285,Equipes!A:B,2,0)</f>
        <v>Urawa</v>
      </c>
      <c r="S1285" s="6" t="s">
        <v>666</v>
      </c>
      <c r="T1285" s="7">
        <v>13.0</v>
      </c>
      <c r="U1285" s="7" t="s">
        <v>667</v>
      </c>
      <c r="V1285" s="7" t="str">
        <f>VLOOKUP(U1285,Jogadores!B:C,2,0)</f>
        <v>MF</v>
      </c>
      <c r="W1285" s="8">
        <f>VLOOKUP(U1285,Jogadores!B:D,3,0)</f>
        <v>28.83835616</v>
      </c>
      <c r="X1285" s="7">
        <v>0.0</v>
      </c>
      <c r="Y1285" s="7">
        <f>45+AB1285</f>
        <v>97</v>
      </c>
      <c r="Z1285" s="7">
        <f>VLOOKUP(A1285,Jogos!A:L,3,0)</f>
        <v>49</v>
      </c>
      <c r="AA1285" s="7">
        <f t="shared" si="2229"/>
        <v>49</v>
      </c>
      <c r="AB1285" s="7">
        <f>VLOOKUP(A1285,Jogos!A:L,4,0)</f>
        <v>52</v>
      </c>
      <c r="AC1285" s="7">
        <f t="shared" si="2230"/>
        <v>52</v>
      </c>
      <c r="AD1285" s="7"/>
      <c r="AE1285" s="7"/>
      <c r="AF1285" s="7">
        <f t="shared" si="2231"/>
        <v>101</v>
      </c>
      <c r="AG1285" s="7">
        <v>12527.5</v>
      </c>
      <c r="AH1285" s="7">
        <v>3631.2</v>
      </c>
      <c r="AI1285" s="7">
        <v>5270.3</v>
      </c>
      <c r="AJ1285" s="7">
        <v>2405.1</v>
      </c>
      <c r="AK1285" s="7">
        <v>978.8</v>
      </c>
      <c r="AL1285" s="7">
        <v>242.0</v>
      </c>
      <c r="AM1285" s="7">
        <v>208.0</v>
      </c>
      <c r="AN1285" s="7">
        <v>66.0</v>
      </c>
      <c r="AO1285" s="7">
        <v>29.7</v>
      </c>
      <c r="AP1285" s="9">
        <f t="shared" ref="AP1285:AR1285" si="4012">AG1285/$AF1285</f>
        <v>124.0346535</v>
      </c>
      <c r="AQ1285" s="9">
        <f t="shared" si="4012"/>
        <v>35.95247525</v>
      </c>
      <c r="AR1285" s="9">
        <f t="shared" si="4012"/>
        <v>52.18118812</v>
      </c>
      <c r="AS1285" s="9">
        <f t="shared" si="2233"/>
        <v>88.13366337</v>
      </c>
      <c r="AT1285" s="9">
        <f t="shared" ref="AT1285:AV1285" si="4013">AJ1285/$AF1285</f>
        <v>23.81287129</v>
      </c>
      <c r="AU1285" s="9">
        <f t="shared" si="4013"/>
        <v>9.691089109</v>
      </c>
      <c r="AV1285" s="9">
        <f t="shared" si="4013"/>
        <v>2.396039604</v>
      </c>
      <c r="AW1285" s="9">
        <f t="shared" si="2235"/>
        <v>12.08712871</v>
      </c>
      <c r="AX1285" s="9">
        <f t="shared" ref="AX1285:AY1285" si="4014">AM1285/$AF1285</f>
        <v>2.059405941</v>
      </c>
      <c r="AY1285" s="9">
        <f t="shared" si="4014"/>
        <v>0.6534653465</v>
      </c>
      <c r="AZ1285" s="9">
        <f>VLOOKUP(A1285,Jogos!A:BN,58,0)</f>
        <v>23.335</v>
      </c>
      <c r="BA1285" s="9">
        <f>VLOOKUP(A1285,Jogos!A:BN,59,0)</f>
        <v>12.11</v>
      </c>
      <c r="BB1285" s="9">
        <f>VLOOKUP(A1285,Jogos!A:BN,60,0)</f>
        <v>49</v>
      </c>
      <c r="BC1285" s="9">
        <f>VLOOKUP(A1285,Jogos!A:BN,61,0)</f>
        <v>20.975</v>
      </c>
      <c r="BD1285" s="9">
        <f>VLOOKUP(A1285,Jogos!A:BN,62,0)</f>
        <v>161.4</v>
      </c>
      <c r="BE1285" s="9">
        <f>VLOOKUP(A1285,Jogos!A:BN,63,0)</f>
        <v>1.06</v>
      </c>
      <c r="BF1285" s="9">
        <f>VLOOKUP(A1285,Jogos!A:BN,64,0)</f>
        <v>19.095</v>
      </c>
      <c r="BG1285" s="9">
        <f>VLOOKUP(A1285,Jogos!A:BN,65,0)</f>
        <v>35.115</v>
      </c>
      <c r="BH1285" s="9">
        <f>VLOOKUP(A1285,Jogos!A:BN,66,0)</f>
        <v>22.725</v>
      </c>
      <c r="BI1285" s="9"/>
      <c r="BJ1285" s="9"/>
    </row>
    <row r="1286" hidden="1">
      <c r="A1286" s="2">
        <v>44.0</v>
      </c>
      <c r="B1286" s="2" t="s">
        <v>623</v>
      </c>
      <c r="C1286" s="2" t="s">
        <v>61</v>
      </c>
      <c r="D1286" s="3">
        <v>45833.0</v>
      </c>
      <c r="E1286" s="4">
        <v>0.75</v>
      </c>
      <c r="F1286" s="5" t="str">
        <f>VLOOKUP(A1286,Jogos!A:N,10,0)</f>
        <v>Evening</v>
      </c>
      <c r="G1286" s="2" t="s">
        <v>186</v>
      </c>
      <c r="H1286" s="6" t="str">
        <f>VLOOKUP(A1286,Jogos!A:L,12,0)</f>
        <v>Open</v>
      </c>
      <c r="I1286" s="6" t="str">
        <f>VLOOKUP(G1286,'Estádios e Cidades'!A:B,2,0)</f>
        <v>Pasadena</v>
      </c>
      <c r="J1286" s="2" t="s">
        <v>625</v>
      </c>
      <c r="K1286" s="2" t="str">
        <f>VLOOKUP(J1286,Equipes!A:F,6,0)</f>
        <v>Temperate</v>
      </c>
      <c r="L1286" s="2">
        <f>VLOOKUP(J1286,Equipes!A:C,3,0)</f>
        <v>32</v>
      </c>
      <c r="M1286" s="2" t="str">
        <f t="shared" si="4"/>
        <v>Group</v>
      </c>
      <c r="N1286" s="2" t="s">
        <v>747</v>
      </c>
      <c r="O1286" s="2">
        <f>VLOOKUP(N1286,Equipes!A:C,3,0)</f>
        <v>15</v>
      </c>
      <c r="P1286" s="2" t="str">
        <f t="shared" si="5"/>
        <v>Round of 16</v>
      </c>
      <c r="Q1286" s="2">
        <f t="shared" si="6"/>
        <v>17</v>
      </c>
      <c r="R1286" s="2" t="str">
        <f>VLOOKUP(J1286,Equipes!A:B,2,0)</f>
        <v>Urawa</v>
      </c>
      <c r="S1286" s="6" t="s">
        <v>682</v>
      </c>
      <c r="T1286" s="7">
        <v>14.0</v>
      </c>
      <c r="U1286" s="7" t="s">
        <v>683</v>
      </c>
      <c r="V1286" s="7" t="str">
        <f>VLOOKUP(U1286,Jogadores!B:C,2,0)</f>
        <v>MF</v>
      </c>
      <c r="W1286" s="8">
        <f>VLOOKUP(U1286,Jogadores!B:D,3,0)</f>
        <v>30.29589041</v>
      </c>
      <c r="X1286" s="7">
        <v>0.0</v>
      </c>
      <c r="Y1286" s="7">
        <v>68.0</v>
      </c>
      <c r="Z1286" s="7">
        <f>VLOOKUP(A1286,Jogos!A:L,3,0)</f>
        <v>49</v>
      </c>
      <c r="AA1286" s="7">
        <f t="shared" si="2229"/>
        <v>49</v>
      </c>
      <c r="AB1286" s="7">
        <f>VLOOKUP(A1286,Jogos!A:L,4,0)</f>
        <v>52</v>
      </c>
      <c r="AC1286" s="7">
        <f t="shared" si="2230"/>
        <v>23</v>
      </c>
      <c r="AD1286" s="7"/>
      <c r="AE1286" s="7"/>
      <c r="AF1286" s="7">
        <f t="shared" si="2231"/>
        <v>72</v>
      </c>
      <c r="AG1286" s="7">
        <v>8150.0</v>
      </c>
      <c r="AH1286" s="7">
        <v>2546.3</v>
      </c>
      <c r="AI1286" s="7">
        <v>3496.3</v>
      </c>
      <c r="AJ1286" s="7">
        <v>1317.4</v>
      </c>
      <c r="AK1286" s="7">
        <v>581.9</v>
      </c>
      <c r="AL1286" s="7">
        <v>208.2</v>
      </c>
      <c r="AM1286" s="7">
        <v>112.0</v>
      </c>
      <c r="AN1286" s="7">
        <v>43.0</v>
      </c>
      <c r="AO1286" s="7">
        <v>30.7</v>
      </c>
      <c r="AP1286" s="9">
        <f t="shared" ref="AP1286:AR1286" si="4015">AG1286/$AF1286</f>
        <v>113.1944444</v>
      </c>
      <c r="AQ1286" s="9">
        <f t="shared" si="4015"/>
        <v>35.36527778</v>
      </c>
      <c r="AR1286" s="9">
        <f t="shared" si="4015"/>
        <v>48.55972222</v>
      </c>
      <c r="AS1286" s="9">
        <f t="shared" si="2233"/>
        <v>83.925</v>
      </c>
      <c r="AT1286" s="9">
        <f t="shared" ref="AT1286:AV1286" si="4016">AJ1286/$AF1286</f>
        <v>18.29722222</v>
      </c>
      <c r="AU1286" s="9">
        <f t="shared" si="4016"/>
        <v>8.081944444</v>
      </c>
      <c r="AV1286" s="9">
        <f t="shared" si="4016"/>
        <v>2.891666667</v>
      </c>
      <c r="AW1286" s="9">
        <f t="shared" si="2235"/>
        <v>10.97361111</v>
      </c>
      <c r="AX1286" s="9">
        <f t="shared" ref="AX1286:AY1286" si="4017">AM1286/$AF1286</f>
        <v>1.555555556</v>
      </c>
      <c r="AY1286" s="9">
        <f t="shared" si="4017"/>
        <v>0.5972222222</v>
      </c>
      <c r="AZ1286" s="9">
        <f>VLOOKUP(A1286,Jogos!A:BN,58,0)</f>
        <v>23.335</v>
      </c>
      <c r="BA1286" s="9">
        <f>VLOOKUP(A1286,Jogos!A:BN,59,0)</f>
        <v>12.11</v>
      </c>
      <c r="BB1286" s="9">
        <f>VLOOKUP(A1286,Jogos!A:BN,60,0)</f>
        <v>49</v>
      </c>
      <c r="BC1286" s="9">
        <f>VLOOKUP(A1286,Jogos!A:BN,61,0)</f>
        <v>20.975</v>
      </c>
      <c r="BD1286" s="9">
        <f>VLOOKUP(A1286,Jogos!A:BN,62,0)</f>
        <v>161.4</v>
      </c>
      <c r="BE1286" s="9">
        <f>VLOOKUP(A1286,Jogos!A:BN,63,0)</f>
        <v>1.06</v>
      </c>
      <c r="BF1286" s="9">
        <f>VLOOKUP(A1286,Jogos!A:BN,64,0)</f>
        <v>19.095</v>
      </c>
      <c r="BG1286" s="9">
        <f>VLOOKUP(A1286,Jogos!A:BN,65,0)</f>
        <v>35.115</v>
      </c>
      <c r="BH1286" s="9">
        <f>VLOOKUP(A1286,Jogos!A:BN,66,0)</f>
        <v>22.725</v>
      </c>
      <c r="BI1286" s="9"/>
      <c r="BJ1286" s="9"/>
    </row>
    <row r="1287" hidden="1">
      <c r="A1287" s="2">
        <v>44.0</v>
      </c>
      <c r="B1287" s="2" t="s">
        <v>623</v>
      </c>
      <c r="C1287" s="2" t="s">
        <v>61</v>
      </c>
      <c r="D1287" s="3">
        <v>45833.0</v>
      </c>
      <c r="E1287" s="4">
        <v>0.75</v>
      </c>
      <c r="F1287" s="5" t="str">
        <f>VLOOKUP(A1287,Jogos!A:N,10,0)</f>
        <v>Evening</v>
      </c>
      <c r="G1287" s="2" t="s">
        <v>186</v>
      </c>
      <c r="H1287" s="6" t="str">
        <f>VLOOKUP(A1287,Jogos!A:L,12,0)</f>
        <v>Open</v>
      </c>
      <c r="I1287" s="6" t="str">
        <f>VLOOKUP(G1287,'Estádios e Cidades'!A:B,2,0)</f>
        <v>Pasadena</v>
      </c>
      <c r="J1287" s="2" t="s">
        <v>625</v>
      </c>
      <c r="K1287" s="2" t="str">
        <f>VLOOKUP(J1287,Equipes!A:F,6,0)</f>
        <v>Temperate</v>
      </c>
      <c r="L1287" s="2">
        <f>VLOOKUP(J1287,Equipes!A:C,3,0)</f>
        <v>32</v>
      </c>
      <c r="M1287" s="2" t="str">
        <f t="shared" si="4"/>
        <v>Group</v>
      </c>
      <c r="N1287" s="2" t="s">
        <v>747</v>
      </c>
      <c r="O1287" s="2">
        <f>VLOOKUP(N1287,Equipes!A:C,3,0)</f>
        <v>15</v>
      </c>
      <c r="P1287" s="2" t="str">
        <f t="shared" si="5"/>
        <v>Round of 16</v>
      </c>
      <c r="Q1287" s="2">
        <f t="shared" si="6"/>
        <v>17</v>
      </c>
      <c r="R1287" s="2" t="str">
        <f>VLOOKUP(J1287,Equipes!A:B,2,0)</f>
        <v>Urawa</v>
      </c>
      <c r="S1287" s="6" t="s">
        <v>668</v>
      </c>
      <c r="T1287" s="7">
        <v>24.0</v>
      </c>
      <c r="U1287" s="7" t="s">
        <v>669</v>
      </c>
      <c r="V1287" s="7" t="str">
        <f>VLOOKUP(U1287,Jogadores!B:C,2,0)</f>
        <v>MF</v>
      </c>
      <c r="W1287" s="8">
        <f>VLOOKUP(U1287,Jogadores!B:D,3,0)</f>
        <v>28.03287671</v>
      </c>
      <c r="X1287" s="7">
        <v>0.0</v>
      </c>
      <c r="Y1287" s="7">
        <f>45+AB1287</f>
        <v>97</v>
      </c>
      <c r="Z1287" s="7">
        <f>VLOOKUP(A1287,Jogos!A:L,3,0)</f>
        <v>49</v>
      </c>
      <c r="AA1287" s="7">
        <f t="shared" si="2229"/>
        <v>49</v>
      </c>
      <c r="AB1287" s="7">
        <f>VLOOKUP(A1287,Jogos!A:L,4,0)</f>
        <v>52</v>
      </c>
      <c r="AC1287" s="7">
        <f t="shared" si="2230"/>
        <v>52</v>
      </c>
      <c r="AD1287" s="7"/>
      <c r="AE1287" s="7"/>
      <c r="AF1287" s="7">
        <f t="shared" si="2231"/>
        <v>101</v>
      </c>
      <c r="AG1287" s="7">
        <v>10895.6</v>
      </c>
      <c r="AH1287" s="7">
        <v>4132.6</v>
      </c>
      <c r="AI1287" s="7">
        <v>4352.7</v>
      </c>
      <c r="AJ1287" s="7">
        <v>1508.6</v>
      </c>
      <c r="AK1287" s="7">
        <v>688.0</v>
      </c>
      <c r="AL1287" s="7">
        <v>213.8</v>
      </c>
      <c r="AM1287" s="7">
        <v>124.0</v>
      </c>
      <c r="AN1287" s="7">
        <v>59.0</v>
      </c>
      <c r="AO1287" s="7">
        <v>29.9</v>
      </c>
      <c r="AP1287" s="9">
        <f t="shared" ref="AP1287:AR1287" si="4018">AG1287/$AF1287</f>
        <v>107.8772277</v>
      </c>
      <c r="AQ1287" s="9">
        <f t="shared" si="4018"/>
        <v>40.91683168</v>
      </c>
      <c r="AR1287" s="9">
        <f t="shared" si="4018"/>
        <v>43.0960396</v>
      </c>
      <c r="AS1287" s="9">
        <f t="shared" si="2233"/>
        <v>84.01287129</v>
      </c>
      <c r="AT1287" s="9">
        <f t="shared" ref="AT1287:AV1287" si="4019">AJ1287/$AF1287</f>
        <v>14.93663366</v>
      </c>
      <c r="AU1287" s="9">
        <f t="shared" si="4019"/>
        <v>6.811881188</v>
      </c>
      <c r="AV1287" s="9">
        <f t="shared" si="4019"/>
        <v>2.116831683</v>
      </c>
      <c r="AW1287" s="9">
        <f t="shared" si="2235"/>
        <v>8.928712871</v>
      </c>
      <c r="AX1287" s="9">
        <f t="shared" ref="AX1287:AY1287" si="4020">AM1287/$AF1287</f>
        <v>1.227722772</v>
      </c>
      <c r="AY1287" s="9">
        <f t="shared" si="4020"/>
        <v>0.5841584158</v>
      </c>
      <c r="AZ1287" s="9">
        <f>VLOOKUP(A1287,Jogos!A:BN,58,0)</f>
        <v>23.335</v>
      </c>
      <c r="BA1287" s="9">
        <f>VLOOKUP(A1287,Jogos!A:BN,59,0)</f>
        <v>12.11</v>
      </c>
      <c r="BB1287" s="9">
        <f>VLOOKUP(A1287,Jogos!A:BN,60,0)</f>
        <v>49</v>
      </c>
      <c r="BC1287" s="9">
        <f>VLOOKUP(A1287,Jogos!A:BN,61,0)</f>
        <v>20.975</v>
      </c>
      <c r="BD1287" s="9">
        <f>VLOOKUP(A1287,Jogos!A:BN,62,0)</f>
        <v>161.4</v>
      </c>
      <c r="BE1287" s="9">
        <f>VLOOKUP(A1287,Jogos!A:BN,63,0)</f>
        <v>1.06</v>
      </c>
      <c r="BF1287" s="9">
        <f>VLOOKUP(A1287,Jogos!A:BN,64,0)</f>
        <v>19.095</v>
      </c>
      <c r="BG1287" s="9">
        <f>VLOOKUP(A1287,Jogos!A:BN,65,0)</f>
        <v>35.115</v>
      </c>
      <c r="BH1287" s="9">
        <f>VLOOKUP(A1287,Jogos!A:BN,66,0)</f>
        <v>22.725</v>
      </c>
      <c r="BI1287" s="9"/>
      <c r="BJ1287" s="9"/>
    </row>
    <row r="1288" hidden="1">
      <c r="A1288" s="2">
        <v>44.0</v>
      </c>
      <c r="B1288" s="2" t="s">
        <v>623</v>
      </c>
      <c r="C1288" s="2" t="s">
        <v>61</v>
      </c>
      <c r="D1288" s="3">
        <v>45833.0</v>
      </c>
      <c r="E1288" s="4">
        <v>0.75</v>
      </c>
      <c r="F1288" s="5" t="str">
        <f>VLOOKUP(A1288,Jogos!A:N,10,0)</f>
        <v>Evening</v>
      </c>
      <c r="G1288" s="2" t="s">
        <v>186</v>
      </c>
      <c r="H1288" s="6" t="str">
        <f>VLOOKUP(A1288,Jogos!A:L,12,0)</f>
        <v>Open</v>
      </c>
      <c r="I1288" s="6" t="str">
        <f>VLOOKUP(G1288,'Estádios e Cidades'!A:B,2,0)</f>
        <v>Pasadena</v>
      </c>
      <c r="J1288" s="2" t="s">
        <v>625</v>
      </c>
      <c r="K1288" s="2" t="str">
        <f>VLOOKUP(J1288,Equipes!A:F,6,0)</f>
        <v>Temperate</v>
      </c>
      <c r="L1288" s="2">
        <f>VLOOKUP(J1288,Equipes!A:C,3,0)</f>
        <v>32</v>
      </c>
      <c r="M1288" s="2" t="str">
        <f t="shared" si="4"/>
        <v>Group</v>
      </c>
      <c r="N1288" s="2" t="s">
        <v>747</v>
      </c>
      <c r="O1288" s="2">
        <f>VLOOKUP(N1288,Equipes!A:C,3,0)</f>
        <v>15</v>
      </c>
      <c r="P1288" s="2" t="str">
        <f t="shared" si="5"/>
        <v>Round of 16</v>
      </c>
      <c r="Q1288" s="2">
        <f t="shared" si="6"/>
        <v>17</v>
      </c>
      <c r="R1288" s="2" t="str">
        <f>VLOOKUP(J1288,Equipes!A:B,2,0)</f>
        <v>Urawa</v>
      </c>
      <c r="S1288" s="6" t="s">
        <v>670</v>
      </c>
      <c r="T1288" s="7">
        <v>25.0</v>
      </c>
      <c r="U1288" s="7" t="s">
        <v>671</v>
      </c>
      <c r="V1288" s="7" t="str">
        <f>VLOOKUP(U1288,Jogadores!B:C,2,0)</f>
        <v>MF</v>
      </c>
      <c r="W1288" s="8">
        <f>VLOOKUP(U1288,Jogadores!B:D,3,0)</f>
        <v>25.48219178</v>
      </c>
      <c r="X1288" s="7">
        <v>0.0</v>
      </c>
      <c r="Y1288" s="7">
        <v>81.0</v>
      </c>
      <c r="Z1288" s="7">
        <f>VLOOKUP(A1288,Jogos!A:L,3,0)</f>
        <v>49</v>
      </c>
      <c r="AA1288" s="7">
        <f t="shared" si="2229"/>
        <v>49</v>
      </c>
      <c r="AB1288" s="7">
        <f>VLOOKUP(A1288,Jogos!A:L,4,0)</f>
        <v>52</v>
      </c>
      <c r="AC1288" s="7">
        <f t="shared" si="2230"/>
        <v>36</v>
      </c>
      <c r="AD1288" s="7"/>
      <c r="AE1288" s="7"/>
      <c r="AF1288" s="7">
        <f t="shared" si="2231"/>
        <v>85</v>
      </c>
      <c r="AG1288" s="7">
        <v>9628.0</v>
      </c>
      <c r="AH1288" s="7">
        <v>3070.6</v>
      </c>
      <c r="AI1288" s="7">
        <v>4294.0</v>
      </c>
      <c r="AJ1288" s="7">
        <v>1696.9</v>
      </c>
      <c r="AK1288" s="7">
        <v>464.4</v>
      </c>
      <c r="AL1288" s="7">
        <v>102.1</v>
      </c>
      <c r="AM1288" s="7">
        <v>143.0</v>
      </c>
      <c r="AN1288" s="7">
        <v>39.0</v>
      </c>
      <c r="AO1288" s="7">
        <v>31.6</v>
      </c>
      <c r="AP1288" s="9">
        <f t="shared" ref="AP1288:AR1288" si="4021">AG1288/$AF1288</f>
        <v>113.2705882</v>
      </c>
      <c r="AQ1288" s="9">
        <f t="shared" si="4021"/>
        <v>36.12470588</v>
      </c>
      <c r="AR1288" s="9">
        <f t="shared" si="4021"/>
        <v>50.51764706</v>
      </c>
      <c r="AS1288" s="9">
        <f t="shared" si="2233"/>
        <v>86.64235294</v>
      </c>
      <c r="AT1288" s="9">
        <f t="shared" ref="AT1288:AV1288" si="4022">AJ1288/$AF1288</f>
        <v>19.96352941</v>
      </c>
      <c r="AU1288" s="9">
        <f t="shared" si="4022"/>
        <v>5.463529412</v>
      </c>
      <c r="AV1288" s="9">
        <f t="shared" si="4022"/>
        <v>1.201176471</v>
      </c>
      <c r="AW1288" s="9">
        <f t="shared" si="2235"/>
        <v>6.664705882</v>
      </c>
      <c r="AX1288" s="9">
        <f t="shared" ref="AX1288:AY1288" si="4023">AM1288/$AF1288</f>
        <v>1.682352941</v>
      </c>
      <c r="AY1288" s="9">
        <f t="shared" si="4023"/>
        <v>0.4588235294</v>
      </c>
      <c r="AZ1288" s="9">
        <f>VLOOKUP(A1288,Jogos!A:BN,58,0)</f>
        <v>23.335</v>
      </c>
      <c r="BA1288" s="9">
        <f>VLOOKUP(A1288,Jogos!A:BN,59,0)</f>
        <v>12.11</v>
      </c>
      <c r="BB1288" s="9">
        <f>VLOOKUP(A1288,Jogos!A:BN,60,0)</f>
        <v>49</v>
      </c>
      <c r="BC1288" s="9">
        <f>VLOOKUP(A1288,Jogos!A:BN,61,0)</f>
        <v>20.975</v>
      </c>
      <c r="BD1288" s="9">
        <f>VLOOKUP(A1288,Jogos!A:BN,62,0)</f>
        <v>161.4</v>
      </c>
      <c r="BE1288" s="9">
        <f>VLOOKUP(A1288,Jogos!A:BN,63,0)</f>
        <v>1.06</v>
      </c>
      <c r="BF1288" s="9">
        <f>VLOOKUP(A1288,Jogos!A:BN,64,0)</f>
        <v>19.095</v>
      </c>
      <c r="BG1288" s="9">
        <f>VLOOKUP(A1288,Jogos!A:BN,65,0)</f>
        <v>35.115</v>
      </c>
      <c r="BH1288" s="9">
        <f>VLOOKUP(A1288,Jogos!A:BN,66,0)</f>
        <v>22.725</v>
      </c>
      <c r="BI1288" s="9"/>
      <c r="BJ1288" s="9"/>
    </row>
    <row r="1289" hidden="1">
      <c r="A1289" s="2">
        <v>44.0</v>
      </c>
      <c r="B1289" s="2" t="s">
        <v>623</v>
      </c>
      <c r="C1289" s="2" t="s">
        <v>61</v>
      </c>
      <c r="D1289" s="3">
        <v>45833.0</v>
      </c>
      <c r="E1289" s="4">
        <v>0.75</v>
      </c>
      <c r="F1289" s="5" t="str">
        <f>VLOOKUP(A1289,Jogos!A:N,10,0)</f>
        <v>Evening</v>
      </c>
      <c r="G1289" s="2" t="s">
        <v>186</v>
      </c>
      <c r="H1289" s="6" t="str">
        <f>VLOOKUP(A1289,Jogos!A:L,12,0)</f>
        <v>Open</v>
      </c>
      <c r="I1289" s="6" t="str">
        <f>VLOOKUP(G1289,'Estádios e Cidades'!A:B,2,0)</f>
        <v>Pasadena</v>
      </c>
      <c r="J1289" s="2" t="s">
        <v>625</v>
      </c>
      <c r="K1289" s="2" t="str">
        <f>VLOOKUP(J1289,Equipes!A:F,6,0)</f>
        <v>Temperate</v>
      </c>
      <c r="L1289" s="2">
        <f>VLOOKUP(J1289,Equipes!A:C,3,0)</f>
        <v>32</v>
      </c>
      <c r="M1289" s="2" t="str">
        <f t="shared" si="4"/>
        <v>Group</v>
      </c>
      <c r="N1289" s="2" t="s">
        <v>747</v>
      </c>
      <c r="O1289" s="2">
        <f>VLOOKUP(N1289,Equipes!A:C,3,0)</f>
        <v>15</v>
      </c>
      <c r="P1289" s="2" t="str">
        <f t="shared" si="5"/>
        <v>Round of 16</v>
      </c>
      <c r="Q1289" s="2">
        <f t="shared" si="6"/>
        <v>17</v>
      </c>
      <c r="R1289" s="2" t="str">
        <f>VLOOKUP(J1289,Equipes!A:B,2,0)</f>
        <v>Urawa</v>
      </c>
      <c r="S1289" s="6" t="s">
        <v>672</v>
      </c>
      <c r="T1289" s="7">
        <v>77.0</v>
      </c>
      <c r="U1289" s="7" t="s">
        <v>673</v>
      </c>
      <c r="V1289" s="7" t="str">
        <f>VLOOKUP(U1289,Jogadores!B:C,2,0)</f>
        <v>MF</v>
      </c>
      <c r="W1289" s="8">
        <f>VLOOKUP(U1289,Jogadores!B:D,3,0)</f>
        <v>28.01369863</v>
      </c>
      <c r="X1289" s="7">
        <v>0.0</v>
      </c>
      <c r="Y1289" s="7">
        <v>45.0</v>
      </c>
      <c r="Z1289" s="7">
        <f>VLOOKUP(A1289,Jogos!A:L,3,0)</f>
        <v>49</v>
      </c>
      <c r="AA1289" s="7">
        <f t="shared" si="2229"/>
        <v>49</v>
      </c>
      <c r="AB1289" s="7">
        <f>VLOOKUP(A1289,Jogos!A:L,4,0)</f>
        <v>52</v>
      </c>
      <c r="AC1289" s="7">
        <f t="shared" si="2230"/>
        <v>0</v>
      </c>
      <c r="AD1289" s="7"/>
      <c r="AE1289" s="7"/>
      <c r="AF1289" s="7">
        <f t="shared" si="2231"/>
        <v>49</v>
      </c>
      <c r="AG1289" s="7">
        <v>5469.8</v>
      </c>
      <c r="AH1289" s="7">
        <v>1733.9</v>
      </c>
      <c r="AI1289" s="7">
        <v>2392.4</v>
      </c>
      <c r="AJ1289" s="7">
        <v>777.3</v>
      </c>
      <c r="AK1289" s="7">
        <v>402.0</v>
      </c>
      <c r="AL1289" s="7">
        <v>164.2</v>
      </c>
      <c r="AM1289" s="7">
        <v>66.0</v>
      </c>
      <c r="AN1289" s="7">
        <v>31.0</v>
      </c>
      <c r="AO1289" s="7">
        <v>30.7</v>
      </c>
      <c r="AP1289" s="9">
        <f t="shared" ref="AP1289:AR1289" si="4024">AG1289/$AF1289</f>
        <v>111.6285714</v>
      </c>
      <c r="AQ1289" s="9">
        <f t="shared" si="4024"/>
        <v>35.38571429</v>
      </c>
      <c r="AR1289" s="9">
        <f t="shared" si="4024"/>
        <v>48.8244898</v>
      </c>
      <c r="AS1289" s="9">
        <f t="shared" si="2233"/>
        <v>84.21020408</v>
      </c>
      <c r="AT1289" s="9">
        <f t="shared" ref="AT1289:AV1289" si="4025">AJ1289/$AF1289</f>
        <v>15.86326531</v>
      </c>
      <c r="AU1289" s="9">
        <f t="shared" si="4025"/>
        <v>8.204081633</v>
      </c>
      <c r="AV1289" s="9">
        <f t="shared" si="4025"/>
        <v>3.351020408</v>
      </c>
      <c r="AW1289" s="9">
        <f t="shared" si="2235"/>
        <v>11.55510204</v>
      </c>
      <c r="AX1289" s="9">
        <f t="shared" ref="AX1289:AY1289" si="4026">AM1289/$AF1289</f>
        <v>1.346938776</v>
      </c>
      <c r="AY1289" s="9">
        <f t="shared" si="4026"/>
        <v>0.6326530612</v>
      </c>
      <c r="AZ1289" s="9">
        <f>VLOOKUP(A1289,Jogos!A:BN,58,0)</f>
        <v>23.335</v>
      </c>
      <c r="BA1289" s="9">
        <f>VLOOKUP(A1289,Jogos!A:BN,59,0)</f>
        <v>12.11</v>
      </c>
      <c r="BB1289" s="9">
        <f>VLOOKUP(A1289,Jogos!A:BN,60,0)</f>
        <v>49</v>
      </c>
      <c r="BC1289" s="9">
        <f>VLOOKUP(A1289,Jogos!A:BN,61,0)</f>
        <v>20.975</v>
      </c>
      <c r="BD1289" s="9">
        <f>VLOOKUP(A1289,Jogos!A:BN,62,0)</f>
        <v>161.4</v>
      </c>
      <c r="BE1289" s="9">
        <f>VLOOKUP(A1289,Jogos!A:BN,63,0)</f>
        <v>1.06</v>
      </c>
      <c r="BF1289" s="9">
        <f>VLOOKUP(A1289,Jogos!A:BN,64,0)</f>
        <v>19.095</v>
      </c>
      <c r="BG1289" s="9">
        <f>VLOOKUP(A1289,Jogos!A:BN,65,0)</f>
        <v>35.115</v>
      </c>
      <c r="BH1289" s="9">
        <f>VLOOKUP(A1289,Jogos!A:BN,66,0)</f>
        <v>22.725</v>
      </c>
      <c r="BI1289" s="9"/>
      <c r="BJ1289" s="9"/>
    </row>
    <row r="1290" hidden="1">
      <c r="A1290" s="2">
        <v>44.0</v>
      </c>
      <c r="B1290" s="2" t="s">
        <v>623</v>
      </c>
      <c r="C1290" s="2" t="s">
        <v>61</v>
      </c>
      <c r="D1290" s="3">
        <v>45833.0</v>
      </c>
      <c r="E1290" s="4">
        <v>0.75</v>
      </c>
      <c r="F1290" s="5" t="str">
        <f>VLOOKUP(A1290,Jogos!A:N,10,0)</f>
        <v>Evening</v>
      </c>
      <c r="G1290" s="2" t="s">
        <v>186</v>
      </c>
      <c r="H1290" s="6" t="str">
        <f>VLOOKUP(A1290,Jogos!A:L,12,0)</f>
        <v>Open</v>
      </c>
      <c r="I1290" s="6" t="str">
        <f>VLOOKUP(G1290,'Estádios e Cidades'!A:B,2,0)</f>
        <v>Pasadena</v>
      </c>
      <c r="J1290" s="2" t="s">
        <v>625</v>
      </c>
      <c r="K1290" s="2" t="str">
        <f>VLOOKUP(J1290,Equipes!A:F,6,0)</f>
        <v>Temperate</v>
      </c>
      <c r="L1290" s="2">
        <f>VLOOKUP(J1290,Equipes!A:C,3,0)</f>
        <v>32</v>
      </c>
      <c r="M1290" s="2" t="str">
        <f t="shared" si="4"/>
        <v>Group</v>
      </c>
      <c r="N1290" s="2" t="s">
        <v>747</v>
      </c>
      <c r="O1290" s="2">
        <f>VLOOKUP(N1290,Equipes!A:C,3,0)</f>
        <v>15</v>
      </c>
      <c r="P1290" s="2" t="str">
        <f t="shared" si="5"/>
        <v>Round of 16</v>
      </c>
      <c r="Q1290" s="2">
        <f t="shared" si="6"/>
        <v>17</v>
      </c>
      <c r="R1290" s="2" t="str">
        <f>VLOOKUP(J1290,Equipes!A:B,2,0)</f>
        <v>Urawa</v>
      </c>
      <c r="S1290" s="6" t="s">
        <v>674</v>
      </c>
      <c r="T1290" s="7">
        <v>88.0</v>
      </c>
      <c r="U1290" s="7" t="s">
        <v>675</v>
      </c>
      <c r="V1290" s="7" t="str">
        <f>VLOOKUP(U1290,Jogadores!B:C,2,0)</f>
        <v>MF</v>
      </c>
      <c r="W1290" s="8">
        <f>VLOOKUP(U1290,Jogadores!B:D,3,0)</f>
        <v>28.30684932</v>
      </c>
      <c r="X1290" s="7">
        <v>0.0</v>
      </c>
      <c r="Y1290" s="7">
        <f t="shared" ref="Y1290:Y1296" si="4030">45+AB1290</f>
        <v>97</v>
      </c>
      <c r="Z1290" s="7">
        <f>VLOOKUP(A1290,Jogos!A:L,3,0)</f>
        <v>49</v>
      </c>
      <c r="AA1290" s="7">
        <f t="shared" si="2229"/>
        <v>49</v>
      </c>
      <c r="AB1290" s="7">
        <f>VLOOKUP(A1290,Jogos!A:L,4,0)</f>
        <v>52</v>
      </c>
      <c r="AC1290" s="7">
        <f t="shared" si="2230"/>
        <v>52</v>
      </c>
      <c r="AD1290" s="7"/>
      <c r="AE1290" s="7"/>
      <c r="AF1290" s="7">
        <f t="shared" si="2231"/>
        <v>101</v>
      </c>
      <c r="AG1290" s="7">
        <v>10757.9</v>
      </c>
      <c r="AH1290" s="7">
        <v>3806.9</v>
      </c>
      <c r="AI1290" s="7">
        <v>4080.8</v>
      </c>
      <c r="AJ1290" s="7">
        <v>1754.2</v>
      </c>
      <c r="AK1290" s="7">
        <v>866.2</v>
      </c>
      <c r="AL1290" s="7">
        <v>249.8</v>
      </c>
      <c r="AM1290" s="7">
        <v>148.0</v>
      </c>
      <c r="AN1290" s="7">
        <v>65.0</v>
      </c>
      <c r="AO1290" s="7">
        <v>31.9</v>
      </c>
      <c r="AP1290" s="9">
        <f t="shared" ref="AP1290:AR1290" si="4027">AG1290/$AF1290</f>
        <v>106.5138614</v>
      </c>
      <c r="AQ1290" s="9">
        <f t="shared" si="4027"/>
        <v>37.69207921</v>
      </c>
      <c r="AR1290" s="9">
        <f t="shared" si="4027"/>
        <v>40.4039604</v>
      </c>
      <c r="AS1290" s="9">
        <f t="shared" si="2233"/>
        <v>78.0960396</v>
      </c>
      <c r="AT1290" s="9">
        <f t="shared" ref="AT1290:AV1290" si="4028">AJ1290/$AF1290</f>
        <v>17.36831683</v>
      </c>
      <c r="AU1290" s="9">
        <f t="shared" si="4028"/>
        <v>8.576237624</v>
      </c>
      <c r="AV1290" s="9">
        <f t="shared" si="4028"/>
        <v>2.473267327</v>
      </c>
      <c r="AW1290" s="9">
        <f t="shared" si="2235"/>
        <v>11.04950495</v>
      </c>
      <c r="AX1290" s="9">
        <f t="shared" ref="AX1290:AY1290" si="4029">AM1290/$AF1290</f>
        <v>1.465346535</v>
      </c>
      <c r="AY1290" s="9">
        <f t="shared" si="4029"/>
        <v>0.6435643564</v>
      </c>
      <c r="AZ1290" s="9">
        <f>VLOOKUP(A1290,Jogos!A:BN,58,0)</f>
        <v>23.335</v>
      </c>
      <c r="BA1290" s="9">
        <f>VLOOKUP(A1290,Jogos!A:BN,59,0)</f>
        <v>12.11</v>
      </c>
      <c r="BB1290" s="9">
        <f>VLOOKUP(A1290,Jogos!A:BN,60,0)</f>
        <v>49</v>
      </c>
      <c r="BC1290" s="9">
        <f>VLOOKUP(A1290,Jogos!A:BN,61,0)</f>
        <v>20.975</v>
      </c>
      <c r="BD1290" s="9">
        <f>VLOOKUP(A1290,Jogos!A:BN,62,0)</f>
        <v>161.4</v>
      </c>
      <c r="BE1290" s="9">
        <f>VLOOKUP(A1290,Jogos!A:BN,63,0)</f>
        <v>1.06</v>
      </c>
      <c r="BF1290" s="9">
        <f>VLOOKUP(A1290,Jogos!A:BN,64,0)</f>
        <v>19.095</v>
      </c>
      <c r="BG1290" s="9">
        <f>VLOOKUP(A1290,Jogos!A:BN,65,0)</f>
        <v>35.115</v>
      </c>
      <c r="BH1290" s="9">
        <f>VLOOKUP(A1290,Jogos!A:BN,66,0)</f>
        <v>22.725</v>
      </c>
      <c r="BI1290" s="9"/>
      <c r="BJ1290" s="9"/>
    </row>
    <row r="1291" hidden="1">
      <c r="A1291" s="2">
        <v>44.0</v>
      </c>
      <c r="B1291" s="2" t="s">
        <v>623</v>
      </c>
      <c r="C1291" s="2" t="s">
        <v>61</v>
      </c>
      <c r="D1291" s="3">
        <v>45833.0</v>
      </c>
      <c r="E1291" s="4">
        <v>0.75</v>
      </c>
      <c r="F1291" s="5" t="str">
        <f>VLOOKUP(A1291,Jogos!A:N,10,0)</f>
        <v>Evening</v>
      </c>
      <c r="G1291" s="2" t="s">
        <v>186</v>
      </c>
      <c r="H1291" s="6" t="str">
        <f>VLOOKUP(A1291,Jogos!A:L,12,0)</f>
        <v>Open</v>
      </c>
      <c r="I1291" s="6" t="str">
        <f>VLOOKUP(G1291,'Estádios e Cidades'!A:B,2,0)</f>
        <v>Pasadena</v>
      </c>
      <c r="J1291" s="2" t="s">
        <v>625</v>
      </c>
      <c r="K1291" s="2" t="str">
        <f>VLOOKUP(J1291,Equipes!A:F,6,0)</f>
        <v>Temperate</v>
      </c>
      <c r="L1291" s="2">
        <f>VLOOKUP(J1291,Equipes!A:C,3,0)</f>
        <v>32</v>
      </c>
      <c r="M1291" s="2" t="str">
        <f t="shared" si="4"/>
        <v>Group</v>
      </c>
      <c r="N1291" s="2" t="s">
        <v>747</v>
      </c>
      <c r="O1291" s="2">
        <f>VLOOKUP(N1291,Equipes!A:C,3,0)</f>
        <v>15</v>
      </c>
      <c r="P1291" s="2" t="str">
        <f t="shared" si="5"/>
        <v>Round of 16</v>
      </c>
      <c r="Q1291" s="2">
        <f t="shared" si="6"/>
        <v>17</v>
      </c>
      <c r="R1291" s="2" t="str">
        <f>VLOOKUP(J1291,Equipes!A:B,2,0)</f>
        <v>Urawa</v>
      </c>
      <c r="S1291" s="6" t="s">
        <v>676</v>
      </c>
      <c r="T1291" s="7">
        <v>6.0</v>
      </c>
      <c r="U1291" s="7" t="s">
        <v>677</v>
      </c>
      <c r="V1291" s="7" t="str">
        <f>VLOOKUP(U1291,Jogadores!B:C,2,0)</f>
        <v>MF</v>
      </c>
      <c r="W1291" s="8">
        <f>VLOOKUP(U1291,Jogadores!B:D,3,0)</f>
        <v>26.95068493</v>
      </c>
      <c r="X1291" s="7">
        <v>45.0</v>
      </c>
      <c r="Y1291" s="7">
        <f t="shared" si="4030"/>
        <v>97</v>
      </c>
      <c r="Z1291" s="7">
        <f>VLOOKUP(A1291,Jogos!A:L,3,0)</f>
        <v>49</v>
      </c>
      <c r="AA1291" s="7">
        <f t="shared" si="2229"/>
        <v>0</v>
      </c>
      <c r="AB1291" s="7">
        <f>VLOOKUP(A1291,Jogos!A:L,4,0)</f>
        <v>52</v>
      </c>
      <c r="AC1291" s="7">
        <f t="shared" si="2230"/>
        <v>52</v>
      </c>
      <c r="AD1291" s="7"/>
      <c r="AE1291" s="7"/>
      <c r="AF1291" s="7">
        <f t="shared" si="2231"/>
        <v>52</v>
      </c>
      <c r="AG1291" s="7">
        <v>6851.8</v>
      </c>
      <c r="AH1291" s="7">
        <v>1631.1</v>
      </c>
      <c r="AI1291" s="7">
        <v>2971.4</v>
      </c>
      <c r="AJ1291" s="7">
        <v>1577.9</v>
      </c>
      <c r="AK1291" s="7">
        <v>515.8</v>
      </c>
      <c r="AL1291" s="7">
        <v>155.5</v>
      </c>
      <c r="AM1291" s="7">
        <v>131.0</v>
      </c>
      <c r="AN1291" s="7">
        <v>41.0</v>
      </c>
      <c r="AO1291" s="7">
        <v>30.2</v>
      </c>
      <c r="AP1291" s="9">
        <f t="shared" ref="AP1291:AR1291" si="4031">AG1291/$AF1291</f>
        <v>131.7653846</v>
      </c>
      <c r="AQ1291" s="9">
        <f t="shared" si="4031"/>
        <v>31.36730769</v>
      </c>
      <c r="AR1291" s="9">
        <f t="shared" si="4031"/>
        <v>57.14230769</v>
      </c>
      <c r="AS1291" s="9">
        <f t="shared" si="2233"/>
        <v>88.50961538</v>
      </c>
      <c r="AT1291" s="9">
        <f t="shared" ref="AT1291:AV1291" si="4032">AJ1291/$AF1291</f>
        <v>30.34423077</v>
      </c>
      <c r="AU1291" s="9">
        <f t="shared" si="4032"/>
        <v>9.919230769</v>
      </c>
      <c r="AV1291" s="9">
        <f t="shared" si="4032"/>
        <v>2.990384615</v>
      </c>
      <c r="AW1291" s="9">
        <f t="shared" si="2235"/>
        <v>12.90961538</v>
      </c>
      <c r="AX1291" s="9">
        <f t="shared" ref="AX1291:AY1291" si="4033">AM1291/$AF1291</f>
        <v>2.519230769</v>
      </c>
      <c r="AY1291" s="9">
        <f t="shared" si="4033"/>
        <v>0.7884615385</v>
      </c>
      <c r="AZ1291" s="9">
        <f>VLOOKUP(A1291,Jogos!A:BN,58,0)</f>
        <v>23.335</v>
      </c>
      <c r="BA1291" s="9">
        <f>VLOOKUP(A1291,Jogos!A:BN,59,0)</f>
        <v>12.11</v>
      </c>
      <c r="BB1291" s="9">
        <f>VLOOKUP(A1291,Jogos!A:BN,60,0)</f>
        <v>49</v>
      </c>
      <c r="BC1291" s="9">
        <f>VLOOKUP(A1291,Jogos!A:BN,61,0)</f>
        <v>20.975</v>
      </c>
      <c r="BD1291" s="9">
        <f>VLOOKUP(A1291,Jogos!A:BN,62,0)</f>
        <v>161.4</v>
      </c>
      <c r="BE1291" s="9">
        <f>VLOOKUP(A1291,Jogos!A:BN,63,0)</f>
        <v>1.06</v>
      </c>
      <c r="BF1291" s="9">
        <f>VLOOKUP(A1291,Jogos!A:BN,64,0)</f>
        <v>19.095</v>
      </c>
      <c r="BG1291" s="9">
        <f>VLOOKUP(A1291,Jogos!A:BN,65,0)</f>
        <v>35.115</v>
      </c>
      <c r="BH1291" s="9">
        <f>VLOOKUP(A1291,Jogos!A:BN,66,0)</f>
        <v>22.725</v>
      </c>
      <c r="BI1291" s="9"/>
      <c r="BJ1291" s="9"/>
    </row>
    <row r="1292" hidden="1">
      <c r="A1292" s="2">
        <v>44.0</v>
      </c>
      <c r="B1292" s="2" t="s">
        <v>623</v>
      </c>
      <c r="C1292" s="2" t="s">
        <v>61</v>
      </c>
      <c r="D1292" s="3">
        <v>45833.0</v>
      </c>
      <c r="E1292" s="4">
        <v>0.75</v>
      </c>
      <c r="F1292" s="5" t="str">
        <f>VLOOKUP(A1292,Jogos!A:N,10,0)</f>
        <v>Evening</v>
      </c>
      <c r="G1292" s="2" t="s">
        <v>186</v>
      </c>
      <c r="H1292" s="6" t="str">
        <f>VLOOKUP(A1292,Jogos!A:L,12,0)</f>
        <v>Open</v>
      </c>
      <c r="I1292" s="6" t="str">
        <f>VLOOKUP(G1292,'Estádios e Cidades'!A:B,2,0)</f>
        <v>Pasadena</v>
      </c>
      <c r="J1292" s="2" t="s">
        <v>625</v>
      </c>
      <c r="K1292" s="2" t="str">
        <f>VLOOKUP(J1292,Equipes!A:F,6,0)</f>
        <v>Temperate</v>
      </c>
      <c r="L1292" s="2">
        <f>VLOOKUP(J1292,Equipes!A:C,3,0)</f>
        <v>32</v>
      </c>
      <c r="M1292" s="2" t="str">
        <f t="shared" si="4"/>
        <v>Group</v>
      </c>
      <c r="N1292" s="2" t="s">
        <v>747</v>
      </c>
      <c r="O1292" s="2">
        <f>VLOOKUP(N1292,Equipes!A:C,3,0)</f>
        <v>15</v>
      </c>
      <c r="P1292" s="2" t="str">
        <f t="shared" si="5"/>
        <v>Round of 16</v>
      </c>
      <c r="Q1292" s="2">
        <f t="shared" si="6"/>
        <v>17</v>
      </c>
      <c r="R1292" s="2" t="str">
        <f>VLOOKUP(J1292,Equipes!A:B,2,0)</f>
        <v>Urawa</v>
      </c>
      <c r="S1292" s="6" t="s">
        <v>680</v>
      </c>
      <c r="T1292" s="7">
        <v>12.0</v>
      </c>
      <c r="U1292" s="7" t="s">
        <v>681</v>
      </c>
      <c r="V1292" s="7" t="str">
        <f>VLOOKUP(U1292,Jogadores!B:C,2,0)</f>
        <v>FW</v>
      </c>
      <c r="W1292" s="8">
        <f>VLOOKUP(U1292,Jogadores!B:D,3,0)</f>
        <v>32.49863014</v>
      </c>
      <c r="X1292" s="7">
        <v>45.0</v>
      </c>
      <c r="Y1292" s="7">
        <f t="shared" si="4030"/>
        <v>97</v>
      </c>
      <c r="Z1292" s="7">
        <f>VLOOKUP(A1292,Jogos!A:L,3,0)</f>
        <v>49</v>
      </c>
      <c r="AA1292" s="7">
        <f t="shared" si="2229"/>
        <v>0</v>
      </c>
      <c r="AB1292" s="7">
        <f>VLOOKUP(A1292,Jogos!A:L,4,0)</f>
        <v>52</v>
      </c>
      <c r="AC1292" s="7">
        <f t="shared" si="2230"/>
        <v>52</v>
      </c>
      <c r="AD1292" s="7"/>
      <c r="AE1292" s="7"/>
      <c r="AF1292" s="7">
        <f t="shared" si="2231"/>
        <v>52</v>
      </c>
      <c r="AG1292" s="7">
        <v>5645.2</v>
      </c>
      <c r="AH1292" s="7">
        <v>2084.9</v>
      </c>
      <c r="AI1292" s="7">
        <v>2162.0</v>
      </c>
      <c r="AJ1292" s="7">
        <v>824.0</v>
      </c>
      <c r="AK1292" s="7">
        <v>380.6</v>
      </c>
      <c r="AL1292" s="7">
        <v>193.7</v>
      </c>
      <c r="AM1292" s="7">
        <v>70.0</v>
      </c>
      <c r="AN1292" s="7">
        <v>29.0</v>
      </c>
      <c r="AO1292" s="7">
        <v>31.6</v>
      </c>
      <c r="AP1292" s="9">
        <f t="shared" ref="AP1292:AR1292" si="4034">AG1292/$AF1292</f>
        <v>108.5615385</v>
      </c>
      <c r="AQ1292" s="9">
        <f t="shared" si="4034"/>
        <v>40.09423077</v>
      </c>
      <c r="AR1292" s="9">
        <f t="shared" si="4034"/>
        <v>41.57692308</v>
      </c>
      <c r="AS1292" s="9">
        <f t="shared" si="2233"/>
        <v>81.67115385</v>
      </c>
      <c r="AT1292" s="9">
        <f t="shared" ref="AT1292:AV1292" si="4035">AJ1292/$AF1292</f>
        <v>15.84615385</v>
      </c>
      <c r="AU1292" s="9">
        <f t="shared" si="4035"/>
        <v>7.319230769</v>
      </c>
      <c r="AV1292" s="9">
        <f t="shared" si="4035"/>
        <v>3.725</v>
      </c>
      <c r="AW1292" s="9">
        <f t="shared" si="2235"/>
        <v>11.04423077</v>
      </c>
      <c r="AX1292" s="9">
        <f t="shared" ref="AX1292:AY1292" si="4036">AM1292/$AF1292</f>
        <v>1.346153846</v>
      </c>
      <c r="AY1292" s="9">
        <f t="shared" si="4036"/>
        <v>0.5576923077</v>
      </c>
      <c r="AZ1292" s="9">
        <f>VLOOKUP(A1292,Jogos!A:BN,58,0)</f>
        <v>23.335</v>
      </c>
      <c r="BA1292" s="9">
        <f>VLOOKUP(A1292,Jogos!A:BN,59,0)</f>
        <v>12.11</v>
      </c>
      <c r="BB1292" s="9">
        <f>VLOOKUP(A1292,Jogos!A:BN,60,0)</f>
        <v>49</v>
      </c>
      <c r="BC1292" s="9">
        <f>VLOOKUP(A1292,Jogos!A:BN,61,0)</f>
        <v>20.975</v>
      </c>
      <c r="BD1292" s="9">
        <f>VLOOKUP(A1292,Jogos!A:BN,62,0)</f>
        <v>161.4</v>
      </c>
      <c r="BE1292" s="9">
        <f>VLOOKUP(A1292,Jogos!A:BN,63,0)</f>
        <v>1.06</v>
      </c>
      <c r="BF1292" s="9">
        <f>VLOOKUP(A1292,Jogos!A:BN,64,0)</f>
        <v>19.095</v>
      </c>
      <c r="BG1292" s="9">
        <f>VLOOKUP(A1292,Jogos!A:BN,65,0)</f>
        <v>35.115</v>
      </c>
      <c r="BH1292" s="9">
        <f>VLOOKUP(A1292,Jogos!A:BN,66,0)</f>
        <v>22.725</v>
      </c>
      <c r="BI1292" s="9"/>
      <c r="BJ1292" s="9"/>
    </row>
    <row r="1293" hidden="1">
      <c r="A1293" s="2">
        <v>44.0</v>
      </c>
      <c r="B1293" s="2" t="s">
        <v>623</v>
      </c>
      <c r="C1293" s="2" t="s">
        <v>61</v>
      </c>
      <c r="D1293" s="3">
        <v>45833.0</v>
      </c>
      <c r="E1293" s="4">
        <v>0.75</v>
      </c>
      <c r="F1293" s="5" t="str">
        <f>VLOOKUP(A1293,Jogos!A:N,10,0)</f>
        <v>Evening</v>
      </c>
      <c r="G1293" s="2" t="s">
        <v>186</v>
      </c>
      <c r="H1293" s="6" t="str">
        <f>VLOOKUP(A1293,Jogos!A:L,12,0)</f>
        <v>Open</v>
      </c>
      <c r="I1293" s="6" t="str">
        <f>VLOOKUP(G1293,'Estádios e Cidades'!A:B,2,0)</f>
        <v>Pasadena</v>
      </c>
      <c r="J1293" s="2" t="s">
        <v>625</v>
      </c>
      <c r="K1293" s="2" t="str">
        <f>VLOOKUP(J1293,Equipes!A:F,6,0)</f>
        <v>Temperate</v>
      </c>
      <c r="L1293" s="2">
        <f>VLOOKUP(J1293,Equipes!A:C,3,0)</f>
        <v>32</v>
      </c>
      <c r="M1293" s="2" t="str">
        <f t="shared" si="4"/>
        <v>Group</v>
      </c>
      <c r="N1293" s="2" t="s">
        <v>747</v>
      </c>
      <c r="O1293" s="2">
        <f>VLOOKUP(N1293,Equipes!A:C,3,0)</f>
        <v>15</v>
      </c>
      <c r="P1293" s="2" t="str">
        <f t="shared" si="5"/>
        <v>Round of 16</v>
      </c>
      <c r="Q1293" s="2">
        <f t="shared" si="6"/>
        <v>17</v>
      </c>
      <c r="R1293" s="2" t="str">
        <f>VLOOKUP(J1293,Equipes!A:B,2,0)</f>
        <v>Urawa</v>
      </c>
      <c r="S1293" s="6" t="s">
        <v>1318</v>
      </c>
      <c r="T1293" s="7">
        <v>21.0</v>
      </c>
      <c r="U1293" s="7" t="s">
        <v>1319</v>
      </c>
      <c r="V1293" s="7" t="str">
        <f>VLOOKUP(U1293,Jogadores!B:C,2,0)</f>
        <v>MF</v>
      </c>
      <c r="W1293" s="8">
        <f>VLOOKUP(U1293,Jogadores!B:D,3,0)</f>
        <v>27.03287671</v>
      </c>
      <c r="X1293" s="7">
        <v>71.0</v>
      </c>
      <c r="Y1293" s="7">
        <f t="shared" si="4030"/>
        <v>97</v>
      </c>
      <c r="Z1293" s="7">
        <f>VLOOKUP(A1293,Jogos!A:L,3,0)</f>
        <v>49</v>
      </c>
      <c r="AA1293" s="7">
        <f t="shared" si="2229"/>
        <v>0</v>
      </c>
      <c r="AB1293" s="7">
        <f>VLOOKUP(A1293,Jogos!A:L,4,0)</f>
        <v>52</v>
      </c>
      <c r="AC1293" s="7">
        <f t="shared" si="2230"/>
        <v>26</v>
      </c>
      <c r="AD1293" s="7"/>
      <c r="AE1293" s="7"/>
      <c r="AF1293" s="7">
        <f t="shared" si="2231"/>
        <v>26</v>
      </c>
      <c r="AG1293" s="7">
        <v>3273.5</v>
      </c>
      <c r="AH1293" s="7">
        <v>792.8</v>
      </c>
      <c r="AI1293" s="7">
        <v>1342.3</v>
      </c>
      <c r="AJ1293" s="7">
        <v>657.3</v>
      </c>
      <c r="AK1293" s="7">
        <v>348.7</v>
      </c>
      <c r="AL1293" s="7">
        <v>132.5</v>
      </c>
      <c r="AM1293" s="7">
        <v>56.0</v>
      </c>
      <c r="AN1293" s="7">
        <v>25.0</v>
      </c>
      <c r="AO1293" s="7">
        <v>31.7</v>
      </c>
      <c r="AP1293" s="9">
        <f t="shared" ref="AP1293:AR1293" si="4037">AG1293/$AF1293</f>
        <v>125.9038462</v>
      </c>
      <c r="AQ1293" s="9">
        <f t="shared" si="4037"/>
        <v>30.49230769</v>
      </c>
      <c r="AR1293" s="9">
        <f t="shared" si="4037"/>
        <v>51.62692308</v>
      </c>
      <c r="AS1293" s="9">
        <f t="shared" si="2233"/>
        <v>82.11923077</v>
      </c>
      <c r="AT1293" s="9">
        <f t="shared" ref="AT1293:AV1293" si="4038">AJ1293/$AF1293</f>
        <v>25.28076923</v>
      </c>
      <c r="AU1293" s="9">
        <f t="shared" si="4038"/>
        <v>13.41153846</v>
      </c>
      <c r="AV1293" s="9">
        <f t="shared" si="4038"/>
        <v>5.096153846</v>
      </c>
      <c r="AW1293" s="9">
        <f t="shared" si="2235"/>
        <v>18.50769231</v>
      </c>
      <c r="AX1293" s="9">
        <f t="shared" ref="AX1293:AY1293" si="4039">AM1293/$AF1293</f>
        <v>2.153846154</v>
      </c>
      <c r="AY1293" s="9">
        <f t="shared" si="4039"/>
        <v>0.9615384615</v>
      </c>
      <c r="AZ1293" s="9">
        <f>VLOOKUP(A1293,Jogos!A:BN,58,0)</f>
        <v>23.335</v>
      </c>
      <c r="BA1293" s="9">
        <f>VLOOKUP(A1293,Jogos!A:BN,59,0)</f>
        <v>12.11</v>
      </c>
      <c r="BB1293" s="9">
        <f>VLOOKUP(A1293,Jogos!A:BN,60,0)</f>
        <v>49</v>
      </c>
      <c r="BC1293" s="9">
        <f>VLOOKUP(A1293,Jogos!A:BN,61,0)</f>
        <v>20.975</v>
      </c>
      <c r="BD1293" s="9">
        <f>VLOOKUP(A1293,Jogos!A:BN,62,0)</f>
        <v>161.4</v>
      </c>
      <c r="BE1293" s="9">
        <f>VLOOKUP(A1293,Jogos!A:BN,63,0)</f>
        <v>1.06</v>
      </c>
      <c r="BF1293" s="9">
        <f>VLOOKUP(A1293,Jogos!A:BN,64,0)</f>
        <v>19.095</v>
      </c>
      <c r="BG1293" s="9">
        <f>VLOOKUP(A1293,Jogos!A:BN,65,0)</f>
        <v>35.115</v>
      </c>
      <c r="BH1293" s="9">
        <f>VLOOKUP(A1293,Jogos!A:BN,66,0)</f>
        <v>22.725</v>
      </c>
      <c r="BI1293" s="9"/>
      <c r="BJ1293" s="9"/>
    </row>
    <row r="1294" hidden="1">
      <c r="A1294" s="2">
        <v>44.0</v>
      </c>
      <c r="B1294" s="2" t="s">
        <v>623</v>
      </c>
      <c r="C1294" s="2" t="s">
        <v>61</v>
      </c>
      <c r="D1294" s="3">
        <v>45833.0</v>
      </c>
      <c r="E1294" s="4">
        <v>0.75</v>
      </c>
      <c r="F1294" s="5" t="str">
        <f>VLOOKUP(A1294,Jogos!A:N,10,0)</f>
        <v>Evening</v>
      </c>
      <c r="G1294" s="2" t="s">
        <v>186</v>
      </c>
      <c r="H1294" s="6" t="str">
        <f>VLOOKUP(A1294,Jogos!A:L,12,0)</f>
        <v>Open</v>
      </c>
      <c r="I1294" s="6" t="str">
        <f>VLOOKUP(G1294,'Estádios e Cidades'!A:B,2,0)</f>
        <v>Pasadena</v>
      </c>
      <c r="J1294" s="2" t="s">
        <v>625</v>
      </c>
      <c r="K1294" s="2" t="str">
        <f>VLOOKUP(J1294,Equipes!A:F,6,0)</f>
        <v>Temperate</v>
      </c>
      <c r="L1294" s="2">
        <f>VLOOKUP(J1294,Equipes!A:C,3,0)</f>
        <v>32</v>
      </c>
      <c r="M1294" s="2" t="str">
        <f t="shared" si="4"/>
        <v>Group</v>
      </c>
      <c r="N1294" s="2" t="s">
        <v>747</v>
      </c>
      <c r="O1294" s="2">
        <f>VLOOKUP(N1294,Equipes!A:C,3,0)</f>
        <v>15</v>
      </c>
      <c r="P1294" s="2" t="str">
        <f t="shared" si="5"/>
        <v>Round of 16</v>
      </c>
      <c r="Q1294" s="2">
        <f t="shared" si="6"/>
        <v>17</v>
      </c>
      <c r="R1294" s="2" t="str">
        <f>VLOOKUP(J1294,Equipes!A:B,2,0)</f>
        <v>Urawa</v>
      </c>
      <c r="S1294" s="6" t="s">
        <v>684</v>
      </c>
      <c r="T1294" s="7">
        <v>26.0</v>
      </c>
      <c r="U1294" s="7" t="s">
        <v>685</v>
      </c>
      <c r="V1294" s="7" t="str">
        <f>VLOOKUP(U1294,Jogadores!B:C,2,0)</f>
        <v>DF</v>
      </c>
      <c r="W1294" s="8">
        <f>VLOOKUP(U1294,Jogadores!B:D,3,0)</f>
        <v>25.69589041</v>
      </c>
      <c r="X1294" s="7">
        <v>68.0</v>
      </c>
      <c r="Y1294" s="7">
        <f t="shared" si="4030"/>
        <v>97</v>
      </c>
      <c r="Z1294" s="7">
        <f>VLOOKUP(A1294,Jogos!A:L,3,0)</f>
        <v>49</v>
      </c>
      <c r="AA1294" s="7">
        <f t="shared" si="2229"/>
        <v>0</v>
      </c>
      <c r="AB1294" s="7">
        <f>VLOOKUP(A1294,Jogos!A:L,4,0)</f>
        <v>52</v>
      </c>
      <c r="AC1294" s="7">
        <f t="shared" si="2230"/>
        <v>29</v>
      </c>
      <c r="AD1294" s="7"/>
      <c r="AE1294" s="7"/>
      <c r="AF1294" s="7">
        <f t="shared" si="2231"/>
        <v>29</v>
      </c>
      <c r="AG1294" s="7">
        <v>3074.8</v>
      </c>
      <c r="AH1294" s="7">
        <v>1111.4</v>
      </c>
      <c r="AI1294" s="7">
        <v>1139.5</v>
      </c>
      <c r="AJ1294" s="7">
        <v>482.3</v>
      </c>
      <c r="AK1294" s="7">
        <v>219.7</v>
      </c>
      <c r="AL1294" s="7">
        <v>121.9</v>
      </c>
      <c r="AM1294" s="7">
        <v>39.0</v>
      </c>
      <c r="AN1294" s="7">
        <v>18.0</v>
      </c>
      <c r="AO1294" s="7">
        <v>32.3</v>
      </c>
      <c r="AP1294" s="9">
        <f t="shared" ref="AP1294:AR1294" si="4040">AG1294/$AF1294</f>
        <v>106.0275862</v>
      </c>
      <c r="AQ1294" s="9">
        <f t="shared" si="4040"/>
        <v>38.32413793</v>
      </c>
      <c r="AR1294" s="9">
        <f t="shared" si="4040"/>
        <v>39.29310345</v>
      </c>
      <c r="AS1294" s="9">
        <f t="shared" si="2233"/>
        <v>77.61724138</v>
      </c>
      <c r="AT1294" s="9">
        <f t="shared" ref="AT1294:AV1294" si="4041">AJ1294/$AF1294</f>
        <v>16.63103448</v>
      </c>
      <c r="AU1294" s="9">
        <f t="shared" si="4041"/>
        <v>7.575862069</v>
      </c>
      <c r="AV1294" s="9">
        <f t="shared" si="4041"/>
        <v>4.203448276</v>
      </c>
      <c r="AW1294" s="9">
        <f t="shared" si="2235"/>
        <v>11.77931034</v>
      </c>
      <c r="AX1294" s="9">
        <f t="shared" ref="AX1294:AY1294" si="4042">AM1294/$AF1294</f>
        <v>1.344827586</v>
      </c>
      <c r="AY1294" s="9">
        <f t="shared" si="4042"/>
        <v>0.6206896552</v>
      </c>
      <c r="AZ1294" s="9">
        <f>VLOOKUP(A1294,Jogos!A:BN,58,0)</f>
        <v>23.335</v>
      </c>
      <c r="BA1294" s="9">
        <f>VLOOKUP(A1294,Jogos!A:BN,59,0)</f>
        <v>12.11</v>
      </c>
      <c r="BB1294" s="9">
        <f>VLOOKUP(A1294,Jogos!A:BN,60,0)</f>
        <v>49</v>
      </c>
      <c r="BC1294" s="9">
        <f>VLOOKUP(A1294,Jogos!A:BN,61,0)</f>
        <v>20.975</v>
      </c>
      <c r="BD1294" s="9">
        <f>VLOOKUP(A1294,Jogos!A:BN,62,0)</f>
        <v>161.4</v>
      </c>
      <c r="BE1294" s="9">
        <f>VLOOKUP(A1294,Jogos!A:BN,63,0)</f>
        <v>1.06</v>
      </c>
      <c r="BF1294" s="9">
        <f>VLOOKUP(A1294,Jogos!A:BN,64,0)</f>
        <v>19.095</v>
      </c>
      <c r="BG1294" s="9">
        <f>VLOOKUP(A1294,Jogos!A:BN,65,0)</f>
        <v>35.115</v>
      </c>
      <c r="BH1294" s="9">
        <f>VLOOKUP(A1294,Jogos!A:BN,66,0)</f>
        <v>22.725</v>
      </c>
      <c r="BI1294" s="9"/>
      <c r="BJ1294" s="9"/>
    </row>
    <row r="1295" hidden="1">
      <c r="A1295" s="2">
        <v>44.0</v>
      </c>
      <c r="B1295" s="2" t="s">
        <v>623</v>
      </c>
      <c r="C1295" s="2" t="s">
        <v>61</v>
      </c>
      <c r="D1295" s="3">
        <v>45833.0</v>
      </c>
      <c r="E1295" s="4">
        <v>0.75</v>
      </c>
      <c r="F1295" s="5" t="str">
        <f>VLOOKUP(A1295,Jogos!A:N,10,0)</f>
        <v>Evening</v>
      </c>
      <c r="G1295" s="2" t="s">
        <v>186</v>
      </c>
      <c r="H1295" s="6" t="str">
        <f>VLOOKUP(A1295,Jogos!A:L,12,0)</f>
        <v>Open</v>
      </c>
      <c r="I1295" s="6" t="str">
        <f>VLOOKUP(G1295,'Estádios e Cidades'!A:B,2,0)</f>
        <v>Pasadena</v>
      </c>
      <c r="J1295" s="2" t="s">
        <v>625</v>
      </c>
      <c r="K1295" s="2" t="str">
        <f>VLOOKUP(J1295,Equipes!A:F,6,0)</f>
        <v>Temperate</v>
      </c>
      <c r="L1295" s="2">
        <f>VLOOKUP(J1295,Equipes!A:C,3,0)</f>
        <v>32</v>
      </c>
      <c r="M1295" s="2" t="str">
        <f t="shared" si="4"/>
        <v>Group</v>
      </c>
      <c r="N1295" s="2" t="s">
        <v>747</v>
      </c>
      <c r="O1295" s="2">
        <f>VLOOKUP(N1295,Equipes!A:C,3,0)</f>
        <v>15</v>
      </c>
      <c r="P1295" s="2" t="str">
        <f t="shared" si="5"/>
        <v>Round of 16</v>
      </c>
      <c r="Q1295" s="2">
        <f t="shared" si="6"/>
        <v>17</v>
      </c>
      <c r="R1295" s="2" t="str">
        <f>VLOOKUP(J1295,Equipes!A:B,2,0)</f>
        <v>Urawa</v>
      </c>
      <c r="S1295" s="6" t="s">
        <v>1320</v>
      </c>
      <c r="T1295" s="7">
        <v>41.0</v>
      </c>
      <c r="U1295" s="7" t="s">
        <v>1321</v>
      </c>
      <c r="V1295" s="7" t="s">
        <v>1133</v>
      </c>
      <c r="W1295" s="8">
        <f>VLOOKUP(U1295,Jogadores!B:D,3,0)</f>
        <v>22.31506849</v>
      </c>
      <c r="X1295" s="7">
        <v>81.0</v>
      </c>
      <c r="Y1295" s="7">
        <f t="shared" si="4030"/>
        <v>97</v>
      </c>
      <c r="Z1295" s="7">
        <f>VLOOKUP(A1295,Jogos!A:L,3,0)</f>
        <v>49</v>
      </c>
      <c r="AA1295" s="7">
        <f t="shared" si="2229"/>
        <v>0</v>
      </c>
      <c r="AB1295" s="7">
        <f>VLOOKUP(A1295,Jogos!A:L,4,0)</f>
        <v>52</v>
      </c>
      <c r="AC1295" s="7">
        <f t="shared" si="2230"/>
        <v>16</v>
      </c>
      <c r="AD1295" s="7"/>
      <c r="AE1295" s="7"/>
      <c r="AF1295" s="7">
        <f t="shared" si="2231"/>
        <v>16</v>
      </c>
      <c r="AG1295" s="7">
        <v>2175.8</v>
      </c>
      <c r="AH1295" s="7">
        <v>570.0</v>
      </c>
      <c r="AI1295" s="7">
        <v>817.1</v>
      </c>
      <c r="AJ1295" s="7">
        <v>381.0</v>
      </c>
      <c r="AK1295" s="7">
        <v>217.7</v>
      </c>
      <c r="AL1295" s="7">
        <v>190.0</v>
      </c>
      <c r="AM1295" s="7">
        <v>29.0</v>
      </c>
      <c r="AN1295" s="7">
        <v>19.0</v>
      </c>
      <c r="AO1295" s="7">
        <v>33.5</v>
      </c>
      <c r="AP1295" s="9">
        <f t="shared" ref="AP1295:AR1295" si="4043">AG1295/$AF1295</f>
        <v>135.9875</v>
      </c>
      <c r="AQ1295" s="9">
        <f t="shared" si="4043"/>
        <v>35.625</v>
      </c>
      <c r="AR1295" s="9">
        <f t="shared" si="4043"/>
        <v>51.06875</v>
      </c>
      <c r="AS1295" s="9">
        <f t="shared" si="2233"/>
        <v>86.69375</v>
      </c>
      <c r="AT1295" s="9">
        <f t="shared" ref="AT1295:AV1295" si="4044">AJ1295/$AF1295</f>
        <v>23.8125</v>
      </c>
      <c r="AU1295" s="9">
        <f t="shared" si="4044"/>
        <v>13.60625</v>
      </c>
      <c r="AV1295" s="9">
        <f t="shared" si="4044"/>
        <v>11.875</v>
      </c>
      <c r="AW1295" s="9">
        <f t="shared" si="2235"/>
        <v>25.48125</v>
      </c>
      <c r="AX1295" s="9">
        <f t="shared" ref="AX1295:AY1295" si="4045">AM1295/$AF1295</f>
        <v>1.8125</v>
      </c>
      <c r="AY1295" s="9">
        <f t="shared" si="4045"/>
        <v>1.1875</v>
      </c>
      <c r="AZ1295" s="9">
        <f>VLOOKUP(A1295,Jogos!A:BN,58,0)</f>
        <v>23.335</v>
      </c>
      <c r="BA1295" s="9">
        <f>VLOOKUP(A1295,Jogos!A:BN,59,0)</f>
        <v>12.11</v>
      </c>
      <c r="BB1295" s="9">
        <f>VLOOKUP(A1295,Jogos!A:BN,60,0)</f>
        <v>49</v>
      </c>
      <c r="BC1295" s="9">
        <f>VLOOKUP(A1295,Jogos!A:BN,61,0)</f>
        <v>20.975</v>
      </c>
      <c r="BD1295" s="9">
        <f>VLOOKUP(A1295,Jogos!A:BN,62,0)</f>
        <v>161.4</v>
      </c>
      <c r="BE1295" s="9">
        <f>VLOOKUP(A1295,Jogos!A:BN,63,0)</f>
        <v>1.06</v>
      </c>
      <c r="BF1295" s="9">
        <f>VLOOKUP(A1295,Jogos!A:BN,64,0)</f>
        <v>19.095</v>
      </c>
      <c r="BG1295" s="9">
        <f>VLOOKUP(A1295,Jogos!A:BN,65,0)</f>
        <v>35.115</v>
      </c>
      <c r="BH1295" s="9">
        <f>VLOOKUP(A1295,Jogos!A:BN,66,0)</f>
        <v>22.725</v>
      </c>
      <c r="BI1295" s="9"/>
      <c r="BJ1295" s="9"/>
    </row>
    <row r="1296" hidden="1">
      <c r="A1296" s="10">
        <v>44.0</v>
      </c>
      <c r="B1296" s="11" t="s">
        <v>623</v>
      </c>
      <c r="C1296" s="2" t="s">
        <v>61</v>
      </c>
      <c r="D1296" s="12">
        <v>45833.0</v>
      </c>
      <c r="E1296" s="13">
        <v>0.75</v>
      </c>
      <c r="F1296" s="5" t="str">
        <f>VLOOKUP(A1296,Jogos!A:N,10,0)</f>
        <v>Evening</v>
      </c>
      <c r="G1296" s="15" t="s">
        <v>186</v>
      </c>
      <c r="H1296" s="6" t="str">
        <f>VLOOKUP(A1296,Jogos!A:L,12,0)</f>
        <v>Open</v>
      </c>
      <c r="I1296" s="6" t="str">
        <f>VLOOKUP(G1296,'Estádios e Cidades'!A:B,2,0)</f>
        <v>Pasadena</v>
      </c>
      <c r="J1296" s="11" t="s">
        <v>747</v>
      </c>
      <c r="K1296" s="2" t="str">
        <f>VLOOKUP(J1296,Equipes!A:F,6,0)</f>
        <v>Tropical</v>
      </c>
      <c r="L1296" s="2">
        <f>VLOOKUP(J1296,Equipes!A:C,3,0)</f>
        <v>15</v>
      </c>
      <c r="M1296" s="2" t="str">
        <f t="shared" si="4"/>
        <v>Round of 16</v>
      </c>
      <c r="N1296" s="11" t="s">
        <v>625</v>
      </c>
      <c r="O1296" s="2">
        <f>VLOOKUP(N1296,Equipes!A:C,3,0)</f>
        <v>32</v>
      </c>
      <c r="P1296" s="2" t="str">
        <f t="shared" si="5"/>
        <v>Group</v>
      </c>
      <c r="Q1296" s="2">
        <f t="shared" si="6"/>
        <v>-17</v>
      </c>
      <c r="R1296" s="2" t="str">
        <f>VLOOKUP(J1296,Equipes!A:B,2,0)</f>
        <v>Monterrey</v>
      </c>
      <c r="S1296" s="14" t="s">
        <v>749</v>
      </c>
      <c r="T1296" s="7">
        <v>2.0</v>
      </c>
      <c r="U1296" s="7" t="s">
        <v>750</v>
      </c>
      <c r="V1296" s="7" t="str">
        <f>VLOOKUP(U1296,Jogadores!B:C,2,0)</f>
        <v>DF</v>
      </c>
      <c r="W1296" s="8">
        <f>VLOOKUP(U1296,Jogadores!B:D,3,0)</f>
        <v>30.70958904</v>
      </c>
      <c r="X1296" s="7">
        <v>0.0</v>
      </c>
      <c r="Y1296" s="7">
        <f t="shared" si="4030"/>
        <v>97</v>
      </c>
      <c r="Z1296" s="7">
        <f>VLOOKUP(A1296,Jogos!A:L,3,0)</f>
        <v>49</v>
      </c>
      <c r="AA1296" s="7">
        <f t="shared" si="2229"/>
        <v>49</v>
      </c>
      <c r="AB1296" s="7">
        <f>VLOOKUP(A1296,Jogos!A:L,4,0)</f>
        <v>52</v>
      </c>
      <c r="AC1296" s="7">
        <f t="shared" si="2230"/>
        <v>52</v>
      </c>
      <c r="AD1296" s="7"/>
      <c r="AE1296" s="7"/>
      <c r="AF1296" s="7">
        <f t="shared" si="2231"/>
        <v>101</v>
      </c>
      <c r="AG1296" s="7">
        <v>11212.9</v>
      </c>
      <c r="AH1296" s="7">
        <v>3461.7</v>
      </c>
      <c r="AI1296" s="7">
        <v>5154.2</v>
      </c>
      <c r="AJ1296" s="7">
        <v>1417.1</v>
      </c>
      <c r="AK1296" s="7">
        <v>774.6</v>
      </c>
      <c r="AL1296" s="7">
        <v>405.3</v>
      </c>
      <c r="AM1296" s="7">
        <v>131.0</v>
      </c>
      <c r="AN1296" s="7">
        <v>64.0</v>
      </c>
      <c r="AO1296" s="7">
        <v>31.2</v>
      </c>
      <c r="AP1296" s="9">
        <f t="shared" ref="AP1296:AR1296" si="4046">AG1296/$AF1296</f>
        <v>111.0188119</v>
      </c>
      <c r="AQ1296" s="9">
        <f t="shared" si="4046"/>
        <v>34.27425743</v>
      </c>
      <c r="AR1296" s="9">
        <f t="shared" si="4046"/>
        <v>51.03168317</v>
      </c>
      <c r="AS1296" s="9">
        <f t="shared" si="2233"/>
        <v>85.30594059</v>
      </c>
      <c r="AT1296" s="9">
        <f t="shared" ref="AT1296:AV1296" si="4047">AJ1296/$AF1296</f>
        <v>14.03069307</v>
      </c>
      <c r="AU1296" s="9">
        <f t="shared" si="4047"/>
        <v>7.669306931</v>
      </c>
      <c r="AV1296" s="9">
        <f t="shared" si="4047"/>
        <v>4.012871287</v>
      </c>
      <c r="AW1296" s="9">
        <f t="shared" si="2235"/>
        <v>11.68217822</v>
      </c>
      <c r="AX1296" s="9">
        <f t="shared" ref="AX1296:AY1296" si="4048">AM1296/$AF1296</f>
        <v>1.297029703</v>
      </c>
      <c r="AY1296" s="9">
        <f t="shared" si="4048"/>
        <v>0.6336633663</v>
      </c>
      <c r="AZ1296" s="9">
        <f>VLOOKUP(A1296,Jogos!A:BN,58,0)</f>
        <v>23.335</v>
      </c>
      <c r="BA1296" s="9">
        <f>VLOOKUP(A1296,Jogos!A:BN,59,0)</f>
        <v>12.11</v>
      </c>
      <c r="BB1296" s="9">
        <f>VLOOKUP(A1296,Jogos!A:BN,60,0)</f>
        <v>49</v>
      </c>
      <c r="BC1296" s="9">
        <f>VLOOKUP(A1296,Jogos!A:BN,61,0)</f>
        <v>20.975</v>
      </c>
      <c r="BD1296" s="9">
        <f>VLOOKUP(A1296,Jogos!A:BN,62,0)</f>
        <v>161.4</v>
      </c>
      <c r="BE1296" s="9">
        <f>VLOOKUP(A1296,Jogos!A:BN,63,0)</f>
        <v>1.06</v>
      </c>
      <c r="BF1296" s="9">
        <f>VLOOKUP(A1296,Jogos!A:BN,64,0)</f>
        <v>19.095</v>
      </c>
      <c r="BG1296" s="9">
        <f>VLOOKUP(A1296,Jogos!A:BN,65,0)</f>
        <v>35.115</v>
      </c>
      <c r="BH1296" s="9">
        <f>VLOOKUP(A1296,Jogos!A:BN,66,0)</f>
        <v>22.725</v>
      </c>
      <c r="BI1296" s="9"/>
      <c r="BJ1296" s="9"/>
    </row>
    <row r="1297" hidden="1">
      <c r="A1297" s="10">
        <v>44.0</v>
      </c>
      <c r="B1297" s="11" t="s">
        <v>623</v>
      </c>
      <c r="C1297" s="2" t="s">
        <v>61</v>
      </c>
      <c r="D1297" s="12">
        <v>45833.0</v>
      </c>
      <c r="E1297" s="13">
        <v>0.75</v>
      </c>
      <c r="F1297" s="5" t="str">
        <f>VLOOKUP(A1297,Jogos!A:N,10,0)</f>
        <v>Evening</v>
      </c>
      <c r="G1297" s="15" t="s">
        <v>186</v>
      </c>
      <c r="H1297" s="6" t="str">
        <f>VLOOKUP(A1297,Jogos!A:L,12,0)</f>
        <v>Open</v>
      </c>
      <c r="I1297" s="6" t="str">
        <f>VLOOKUP(G1297,'Estádios e Cidades'!A:B,2,0)</f>
        <v>Pasadena</v>
      </c>
      <c r="J1297" s="11" t="s">
        <v>747</v>
      </c>
      <c r="K1297" s="2" t="str">
        <f>VLOOKUP(J1297,Equipes!A:F,6,0)</f>
        <v>Tropical</v>
      </c>
      <c r="L1297" s="2">
        <f>VLOOKUP(J1297,Equipes!A:C,3,0)</f>
        <v>15</v>
      </c>
      <c r="M1297" s="2" t="str">
        <f t="shared" si="4"/>
        <v>Round of 16</v>
      </c>
      <c r="N1297" s="11" t="s">
        <v>625</v>
      </c>
      <c r="O1297" s="2">
        <f>VLOOKUP(N1297,Equipes!A:C,3,0)</f>
        <v>32</v>
      </c>
      <c r="P1297" s="2" t="str">
        <f t="shared" si="5"/>
        <v>Group</v>
      </c>
      <c r="Q1297" s="2">
        <f t="shared" si="6"/>
        <v>-17</v>
      </c>
      <c r="R1297" s="2" t="str">
        <f>VLOOKUP(J1297,Equipes!A:B,2,0)</f>
        <v>Monterrey</v>
      </c>
      <c r="S1297" s="6" t="s">
        <v>769</v>
      </c>
      <c r="T1297" s="7">
        <v>5.0</v>
      </c>
      <c r="U1297" s="7" t="s">
        <v>770</v>
      </c>
      <c r="V1297" s="7" t="str">
        <f>VLOOKUP(U1297,Jogadores!B:C,2,0)</f>
        <v>MF</v>
      </c>
      <c r="W1297" s="8">
        <f>VLOOKUP(U1297,Jogadores!B:D,3,0)</f>
        <v>22.36986301</v>
      </c>
      <c r="X1297" s="7">
        <v>0.0</v>
      </c>
      <c r="Y1297" s="7">
        <v>84.0</v>
      </c>
      <c r="Z1297" s="7">
        <f>VLOOKUP(A1297,Jogos!A:L,3,0)</f>
        <v>49</v>
      </c>
      <c r="AA1297" s="7">
        <f t="shared" si="2229"/>
        <v>49</v>
      </c>
      <c r="AB1297" s="7">
        <f>VLOOKUP(A1297,Jogos!A:L,4,0)</f>
        <v>52</v>
      </c>
      <c r="AC1297" s="7">
        <f t="shared" si="2230"/>
        <v>39</v>
      </c>
      <c r="AD1297" s="7"/>
      <c r="AE1297" s="7"/>
      <c r="AF1297" s="7">
        <f t="shared" si="2231"/>
        <v>88</v>
      </c>
      <c r="AG1297" s="7">
        <v>10360.4</v>
      </c>
      <c r="AH1297" s="7">
        <v>3002.3</v>
      </c>
      <c r="AI1297" s="7">
        <v>5083.5</v>
      </c>
      <c r="AJ1297" s="7">
        <v>1570.9</v>
      </c>
      <c r="AK1297" s="7">
        <v>606.2</v>
      </c>
      <c r="AL1297" s="7">
        <v>97.4</v>
      </c>
      <c r="AM1297" s="7">
        <v>139.0</v>
      </c>
      <c r="AN1297" s="7">
        <v>50.0</v>
      </c>
      <c r="AO1297" s="7">
        <v>27.6</v>
      </c>
      <c r="AP1297" s="9">
        <f t="shared" ref="AP1297:AR1297" si="4049">AG1297/$AF1297</f>
        <v>117.7318182</v>
      </c>
      <c r="AQ1297" s="9">
        <f t="shared" si="4049"/>
        <v>34.11704545</v>
      </c>
      <c r="AR1297" s="9">
        <f t="shared" si="4049"/>
        <v>57.76704545</v>
      </c>
      <c r="AS1297" s="9">
        <f t="shared" si="2233"/>
        <v>91.88409091</v>
      </c>
      <c r="AT1297" s="9">
        <f t="shared" ref="AT1297:AV1297" si="4050">AJ1297/$AF1297</f>
        <v>17.85113636</v>
      </c>
      <c r="AU1297" s="9">
        <f t="shared" si="4050"/>
        <v>6.888636364</v>
      </c>
      <c r="AV1297" s="9">
        <f t="shared" si="4050"/>
        <v>1.106818182</v>
      </c>
      <c r="AW1297" s="9">
        <f t="shared" si="2235"/>
        <v>7.995454545</v>
      </c>
      <c r="AX1297" s="9">
        <f t="shared" ref="AX1297:AY1297" si="4051">AM1297/$AF1297</f>
        <v>1.579545455</v>
      </c>
      <c r="AY1297" s="9">
        <f t="shared" si="4051"/>
        <v>0.5681818182</v>
      </c>
      <c r="AZ1297" s="9">
        <f>VLOOKUP(A1297,Jogos!A:BN,58,0)</f>
        <v>23.335</v>
      </c>
      <c r="BA1297" s="9">
        <f>VLOOKUP(A1297,Jogos!A:BN,59,0)</f>
        <v>12.11</v>
      </c>
      <c r="BB1297" s="9">
        <f>VLOOKUP(A1297,Jogos!A:BN,60,0)</f>
        <v>49</v>
      </c>
      <c r="BC1297" s="9">
        <f>VLOOKUP(A1297,Jogos!A:BN,61,0)</f>
        <v>20.975</v>
      </c>
      <c r="BD1297" s="9">
        <f>VLOOKUP(A1297,Jogos!A:BN,62,0)</f>
        <v>161.4</v>
      </c>
      <c r="BE1297" s="9">
        <f>VLOOKUP(A1297,Jogos!A:BN,63,0)</f>
        <v>1.06</v>
      </c>
      <c r="BF1297" s="9">
        <f>VLOOKUP(A1297,Jogos!A:BN,64,0)</f>
        <v>19.095</v>
      </c>
      <c r="BG1297" s="9">
        <f>VLOOKUP(A1297,Jogos!A:BN,65,0)</f>
        <v>35.115</v>
      </c>
      <c r="BH1297" s="9">
        <f>VLOOKUP(A1297,Jogos!A:BN,66,0)</f>
        <v>22.725</v>
      </c>
      <c r="BI1297" s="9"/>
      <c r="BJ1297" s="9"/>
    </row>
    <row r="1298" hidden="1">
      <c r="A1298" s="10">
        <v>44.0</v>
      </c>
      <c r="B1298" s="11" t="s">
        <v>623</v>
      </c>
      <c r="C1298" s="2" t="s">
        <v>61</v>
      </c>
      <c r="D1298" s="12">
        <v>45833.0</v>
      </c>
      <c r="E1298" s="13">
        <v>0.75</v>
      </c>
      <c r="F1298" s="5" t="str">
        <f>VLOOKUP(A1298,Jogos!A:N,10,0)</f>
        <v>Evening</v>
      </c>
      <c r="G1298" s="15" t="s">
        <v>186</v>
      </c>
      <c r="H1298" s="6" t="str">
        <f>VLOOKUP(A1298,Jogos!A:L,12,0)</f>
        <v>Open</v>
      </c>
      <c r="I1298" s="6" t="str">
        <f>VLOOKUP(G1298,'Estádios e Cidades'!A:B,2,0)</f>
        <v>Pasadena</v>
      </c>
      <c r="J1298" s="11" t="s">
        <v>747</v>
      </c>
      <c r="K1298" s="2" t="str">
        <f>VLOOKUP(J1298,Equipes!A:F,6,0)</f>
        <v>Tropical</v>
      </c>
      <c r="L1298" s="2">
        <f>VLOOKUP(J1298,Equipes!A:C,3,0)</f>
        <v>15</v>
      </c>
      <c r="M1298" s="2" t="str">
        <f t="shared" si="4"/>
        <v>Round of 16</v>
      </c>
      <c r="N1298" s="11" t="s">
        <v>625</v>
      </c>
      <c r="O1298" s="2">
        <f>VLOOKUP(N1298,Equipes!A:C,3,0)</f>
        <v>32</v>
      </c>
      <c r="P1298" s="2" t="str">
        <f t="shared" si="5"/>
        <v>Group</v>
      </c>
      <c r="Q1298" s="2">
        <f t="shared" si="6"/>
        <v>-17</v>
      </c>
      <c r="R1298" s="2" t="str">
        <f>VLOOKUP(J1298,Equipes!A:B,2,0)</f>
        <v>Monterrey</v>
      </c>
      <c r="S1298" s="6" t="s">
        <v>771</v>
      </c>
      <c r="T1298" s="7">
        <v>6.0</v>
      </c>
      <c r="U1298" s="7" t="s">
        <v>772</v>
      </c>
      <c r="V1298" s="7" t="str">
        <f>VLOOKUP(U1298,Jogadores!B:C,2,0)</f>
        <v>MF</v>
      </c>
      <c r="W1298" s="8">
        <f>VLOOKUP(U1298,Jogadores!B:D,3,0)</f>
        <v>25.49041096</v>
      </c>
      <c r="X1298" s="7">
        <v>0.0</v>
      </c>
      <c r="Y1298" s="7">
        <f t="shared" ref="Y1298:Y1300" si="4055">45+AB1298</f>
        <v>97</v>
      </c>
      <c r="Z1298" s="7">
        <f>VLOOKUP(A1298,Jogos!A:L,3,0)</f>
        <v>49</v>
      </c>
      <c r="AA1298" s="7">
        <f t="shared" si="2229"/>
        <v>49</v>
      </c>
      <c r="AB1298" s="7">
        <f>VLOOKUP(A1298,Jogos!A:L,4,0)</f>
        <v>52</v>
      </c>
      <c r="AC1298" s="7">
        <f t="shared" si="2230"/>
        <v>52</v>
      </c>
      <c r="AD1298" s="7"/>
      <c r="AE1298" s="7"/>
      <c r="AF1298" s="7">
        <f t="shared" si="2231"/>
        <v>101</v>
      </c>
      <c r="AG1298" s="7">
        <v>11509.4</v>
      </c>
      <c r="AH1298" s="7">
        <v>3823.6</v>
      </c>
      <c r="AI1298" s="7">
        <v>4715.5</v>
      </c>
      <c r="AJ1298" s="7">
        <v>1727.2</v>
      </c>
      <c r="AK1298" s="7">
        <v>885.3</v>
      </c>
      <c r="AL1298" s="7">
        <v>357.9</v>
      </c>
      <c r="AM1298" s="7">
        <v>148.0</v>
      </c>
      <c r="AN1298" s="7">
        <v>70.0</v>
      </c>
      <c r="AO1298" s="7">
        <v>34.2</v>
      </c>
      <c r="AP1298" s="9">
        <f t="shared" ref="AP1298:AR1298" si="4052">AG1298/$AF1298</f>
        <v>113.9544554</v>
      </c>
      <c r="AQ1298" s="9">
        <f t="shared" si="4052"/>
        <v>37.85742574</v>
      </c>
      <c r="AR1298" s="9">
        <f t="shared" si="4052"/>
        <v>46.68811881</v>
      </c>
      <c r="AS1298" s="9">
        <f t="shared" si="2233"/>
        <v>84.54554455</v>
      </c>
      <c r="AT1298" s="9">
        <f t="shared" ref="AT1298:AV1298" si="4053">AJ1298/$AF1298</f>
        <v>17.1009901</v>
      </c>
      <c r="AU1298" s="9">
        <f t="shared" si="4053"/>
        <v>8.765346535</v>
      </c>
      <c r="AV1298" s="9">
        <f t="shared" si="4053"/>
        <v>3.543564356</v>
      </c>
      <c r="AW1298" s="9">
        <f t="shared" si="2235"/>
        <v>12.30891089</v>
      </c>
      <c r="AX1298" s="9">
        <f t="shared" ref="AX1298:AY1298" si="4054">AM1298/$AF1298</f>
        <v>1.465346535</v>
      </c>
      <c r="AY1298" s="9">
        <f t="shared" si="4054"/>
        <v>0.6930693069</v>
      </c>
      <c r="AZ1298" s="9">
        <f>VLOOKUP(A1298,Jogos!A:BN,58,0)</f>
        <v>23.335</v>
      </c>
      <c r="BA1298" s="9">
        <f>VLOOKUP(A1298,Jogos!A:BN,59,0)</f>
        <v>12.11</v>
      </c>
      <c r="BB1298" s="9">
        <f>VLOOKUP(A1298,Jogos!A:BN,60,0)</f>
        <v>49</v>
      </c>
      <c r="BC1298" s="9">
        <f>VLOOKUP(A1298,Jogos!A:BN,61,0)</f>
        <v>20.975</v>
      </c>
      <c r="BD1298" s="9">
        <f>VLOOKUP(A1298,Jogos!A:BN,62,0)</f>
        <v>161.4</v>
      </c>
      <c r="BE1298" s="9">
        <f>VLOOKUP(A1298,Jogos!A:BN,63,0)</f>
        <v>1.06</v>
      </c>
      <c r="BF1298" s="9">
        <f>VLOOKUP(A1298,Jogos!A:BN,64,0)</f>
        <v>19.095</v>
      </c>
      <c r="BG1298" s="9">
        <f>VLOOKUP(A1298,Jogos!A:BN,65,0)</f>
        <v>35.115</v>
      </c>
      <c r="BH1298" s="9">
        <f>VLOOKUP(A1298,Jogos!A:BN,66,0)</f>
        <v>22.725</v>
      </c>
      <c r="BI1298" s="9"/>
      <c r="BJ1298" s="9"/>
    </row>
    <row r="1299" hidden="1">
      <c r="A1299" s="10">
        <v>44.0</v>
      </c>
      <c r="B1299" s="11" t="s">
        <v>623</v>
      </c>
      <c r="C1299" s="2" t="s">
        <v>61</v>
      </c>
      <c r="D1299" s="12">
        <v>45833.0</v>
      </c>
      <c r="E1299" s="13">
        <v>0.75</v>
      </c>
      <c r="F1299" s="5" t="str">
        <f>VLOOKUP(A1299,Jogos!A:N,10,0)</f>
        <v>Evening</v>
      </c>
      <c r="G1299" s="15" t="s">
        <v>186</v>
      </c>
      <c r="H1299" s="6" t="str">
        <f>VLOOKUP(A1299,Jogos!A:L,12,0)</f>
        <v>Open</v>
      </c>
      <c r="I1299" s="6" t="str">
        <f>VLOOKUP(G1299,'Estádios e Cidades'!A:B,2,0)</f>
        <v>Pasadena</v>
      </c>
      <c r="J1299" s="11" t="s">
        <v>747</v>
      </c>
      <c r="K1299" s="2" t="str">
        <f>VLOOKUP(J1299,Equipes!A:F,6,0)</f>
        <v>Tropical</v>
      </c>
      <c r="L1299" s="2">
        <f>VLOOKUP(J1299,Equipes!A:C,3,0)</f>
        <v>15</v>
      </c>
      <c r="M1299" s="2" t="str">
        <f t="shared" si="4"/>
        <v>Round of 16</v>
      </c>
      <c r="N1299" s="11" t="s">
        <v>625</v>
      </c>
      <c r="O1299" s="2">
        <f>VLOOKUP(N1299,Equipes!A:C,3,0)</f>
        <v>32</v>
      </c>
      <c r="P1299" s="2" t="str">
        <f t="shared" si="5"/>
        <v>Group</v>
      </c>
      <c r="Q1299" s="2">
        <f t="shared" si="6"/>
        <v>-17</v>
      </c>
      <c r="R1299" s="2" t="str">
        <f>VLOOKUP(J1299,Equipes!A:B,2,0)</f>
        <v>Monterrey</v>
      </c>
      <c r="S1299" s="6" t="s">
        <v>755</v>
      </c>
      <c r="T1299" s="7">
        <v>7.0</v>
      </c>
      <c r="U1299" s="7" t="s">
        <v>756</v>
      </c>
      <c r="V1299" s="7" t="str">
        <f>VLOOKUP(U1299,Jogadores!B:C,2,0)</f>
        <v>FW</v>
      </c>
      <c r="W1299" s="8">
        <f>VLOOKUP(U1299,Jogadores!B:D,3,0)</f>
        <v>26.72328767</v>
      </c>
      <c r="X1299" s="7">
        <v>0.0</v>
      </c>
      <c r="Y1299" s="7">
        <f t="shared" si="4055"/>
        <v>97</v>
      </c>
      <c r="Z1299" s="7">
        <f>VLOOKUP(A1299,Jogos!A:L,3,0)</f>
        <v>49</v>
      </c>
      <c r="AA1299" s="7">
        <f t="shared" si="2229"/>
        <v>49</v>
      </c>
      <c r="AB1299" s="7">
        <f>VLOOKUP(A1299,Jogos!A:L,4,0)</f>
        <v>52</v>
      </c>
      <c r="AC1299" s="7">
        <f t="shared" si="2230"/>
        <v>52</v>
      </c>
      <c r="AD1299" s="7"/>
      <c r="AE1299" s="7"/>
      <c r="AF1299" s="7">
        <f t="shared" si="2231"/>
        <v>101</v>
      </c>
      <c r="AG1299" s="7">
        <v>10543.4</v>
      </c>
      <c r="AH1299" s="7">
        <v>3930.9</v>
      </c>
      <c r="AI1299" s="7">
        <v>4097.3</v>
      </c>
      <c r="AJ1299" s="7">
        <v>1458.5</v>
      </c>
      <c r="AK1299" s="7">
        <v>666.9</v>
      </c>
      <c r="AL1299" s="7">
        <v>389.7</v>
      </c>
      <c r="AM1299" s="7">
        <v>126.0</v>
      </c>
      <c r="AN1299" s="7">
        <v>55.0</v>
      </c>
      <c r="AO1299" s="7">
        <v>32.3</v>
      </c>
      <c r="AP1299" s="9">
        <f t="shared" ref="AP1299:AR1299" si="4056">AG1299/$AF1299</f>
        <v>104.390099</v>
      </c>
      <c r="AQ1299" s="9">
        <f t="shared" si="4056"/>
        <v>38.91980198</v>
      </c>
      <c r="AR1299" s="9">
        <f t="shared" si="4056"/>
        <v>40.56732673</v>
      </c>
      <c r="AS1299" s="9">
        <f t="shared" si="2233"/>
        <v>79.48712871</v>
      </c>
      <c r="AT1299" s="9">
        <f t="shared" ref="AT1299:AV1299" si="4057">AJ1299/$AF1299</f>
        <v>14.44059406</v>
      </c>
      <c r="AU1299" s="9">
        <f t="shared" si="4057"/>
        <v>6.602970297</v>
      </c>
      <c r="AV1299" s="9">
        <f t="shared" si="4057"/>
        <v>3.858415842</v>
      </c>
      <c r="AW1299" s="9">
        <f t="shared" si="2235"/>
        <v>10.46138614</v>
      </c>
      <c r="AX1299" s="9">
        <f t="shared" ref="AX1299:AY1299" si="4058">AM1299/$AF1299</f>
        <v>1.247524752</v>
      </c>
      <c r="AY1299" s="9">
        <f t="shared" si="4058"/>
        <v>0.5445544554</v>
      </c>
      <c r="AZ1299" s="9">
        <f>VLOOKUP(A1299,Jogos!A:BN,58,0)</f>
        <v>23.335</v>
      </c>
      <c r="BA1299" s="9">
        <f>VLOOKUP(A1299,Jogos!A:BN,59,0)</f>
        <v>12.11</v>
      </c>
      <c r="BB1299" s="9">
        <f>VLOOKUP(A1299,Jogos!A:BN,60,0)</f>
        <v>49</v>
      </c>
      <c r="BC1299" s="9">
        <f>VLOOKUP(A1299,Jogos!A:BN,61,0)</f>
        <v>20.975</v>
      </c>
      <c r="BD1299" s="9">
        <f>VLOOKUP(A1299,Jogos!A:BN,62,0)</f>
        <v>161.4</v>
      </c>
      <c r="BE1299" s="9">
        <f>VLOOKUP(A1299,Jogos!A:BN,63,0)</f>
        <v>1.06</v>
      </c>
      <c r="BF1299" s="9">
        <f>VLOOKUP(A1299,Jogos!A:BN,64,0)</f>
        <v>19.095</v>
      </c>
      <c r="BG1299" s="9">
        <f>VLOOKUP(A1299,Jogos!A:BN,65,0)</f>
        <v>35.115</v>
      </c>
      <c r="BH1299" s="9">
        <f>VLOOKUP(A1299,Jogos!A:BN,66,0)</f>
        <v>22.725</v>
      </c>
      <c r="BI1299" s="9"/>
      <c r="BJ1299" s="9"/>
    </row>
    <row r="1300" hidden="1">
      <c r="A1300" s="10">
        <v>44.0</v>
      </c>
      <c r="B1300" s="11" t="s">
        <v>623</v>
      </c>
      <c r="C1300" s="2" t="s">
        <v>61</v>
      </c>
      <c r="D1300" s="12">
        <v>45833.0</v>
      </c>
      <c r="E1300" s="13">
        <v>0.75</v>
      </c>
      <c r="F1300" s="5" t="str">
        <f>VLOOKUP(A1300,Jogos!A:N,10,0)</f>
        <v>Evening</v>
      </c>
      <c r="G1300" s="15" t="s">
        <v>186</v>
      </c>
      <c r="H1300" s="6" t="str">
        <f>VLOOKUP(A1300,Jogos!A:L,12,0)</f>
        <v>Open</v>
      </c>
      <c r="I1300" s="6" t="str">
        <f>VLOOKUP(G1300,'Estádios e Cidades'!A:B,2,0)</f>
        <v>Pasadena</v>
      </c>
      <c r="J1300" s="11" t="s">
        <v>747</v>
      </c>
      <c r="K1300" s="2" t="str">
        <f>VLOOKUP(J1300,Equipes!A:F,6,0)</f>
        <v>Tropical</v>
      </c>
      <c r="L1300" s="2">
        <f>VLOOKUP(J1300,Equipes!A:C,3,0)</f>
        <v>15</v>
      </c>
      <c r="M1300" s="2" t="str">
        <f t="shared" si="4"/>
        <v>Round of 16</v>
      </c>
      <c r="N1300" s="11" t="s">
        <v>625</v>
      </c>
      <c r="O1300" s="2">
        <f>VLOOKUP(N1300,Equipes!A:C,3,0)</f>
        <v>32</v>
      </c>
      <c r="P1300" s="2" t="str">
        <f t="shared" si="5"/>
        <v>Group</v>
      </c>
      <c r="Q1300" s="2">
        <f t="shared" si="6"/>
        <v>-17</v>
      </c>
      <c r="R1300" s="2" t="str">
        <f>VLOOKUP(J1300,Equipes!A:B,2,0)</f>
        <v>Monterrey</v>
      </c>
      <c r="S1300" s="6" t="s">
        <v>757</v>
      </c>
      <c r="T1300" s="7">
        <v>8.0</v>
      </c>
      <c r="U1300" s="7" t="s">
        <v>758</v>
      </c>
      <c r="V1300" s="7" t="str">
        <f>VLOOKUP(U1300,Jogadores!B:C,2,0)</f>
        <v>MF</v>
      </c>
      <c r="W1300" s="8">
        <f>VLOOKUP(U1300,Jogadores!B:D,3,0)</f>
        <v>30.73424658</v>
      </c>
      <c r="X1300" s="7">
        <v>0.0</v>
      </c>
      <c r="Y1300" s="7">
        <f t="shared" si="4055"/>
        <v>97</v>
      </c>
      <c r="Z1300" s="7">
        <f>VLOOKUP(A1300,Jogos!A:L,3,0)</f>
        <v>49</v>
      </c>
      <c r="AA1300" s="7">
        <f t="shared" si="2229"/>
        <v>49</v>
      </c>
      <c r="AB1300" s="7">
        <f>VLOOKUP(A1300,Jogos!A:L,4,0)</f>
        <v>52</v>
      </c>
      <c r="AC1300" s="7">
        <f t="shared" si="2230"/>
        <v>52</v>
      </c>
      <c r="AD1300" s="7"/>
      <c r="AE1300" s="7"/>
      <c r="AF1300" s="7">
        <f t="shared" si="2231"/>
        <v>101</v>
      </c>
      <c r="AG1300" s="7">
        <v>11932.4</v>
      </c>
      <c r="AH1300" s="7">
        <v>3739.3</v>
      </c>
      <c r="AI1300" s="7">
        <v>5194.2</v>
      </c>
      <c r="AJ1300" s="7">
        <v>2194.5</v>
      </c>
      <c r="AK1300" s="7">
        <v>653.6</v>
      </c>
      <c r="AL1300" s="7">
        <v>150.8</v>
      </c>
      <c r="AM1300" s="7">
        <v>180.0</v>
      </c>
      <c r="AN1300" s="7">
        <v>44.0</v>
      </c>
      <c r="AO1300" s="7">
        <v>29.7</v>
      </c>
      <c r="AP1300" s="9">
        <f t="shared" ref="AP1300:AR1300" si="4059">AG1300/$AF1300</f>
        <v>118.1425743</v>
      </c>
      <c r="AQ1300" s="9">
        <f t="shared" si="4059"/>
        <v>37.02277228</v>
      </c>
      <c r="AR1300" s="9">
        <f t="shared" si="4059"/>
        <v>51.42772277</v>
      </c>
      <c r="AS1300" s="9">
        <f t="shared" si="2233"/>
        <v>88.45049505</v>
      </c>
      <c r="AT1300" s="9">
        <f t="shared" ref="AT1300:AV1300" si="4060">AJ1300/$AF1300</f>
        <v>21.72772277</v>
      </c>
      <c r="AU1300" s="9">
        <f t="shared" si="4060"/>
        <v>6.471287129</v>
      </c>
      <c r="AV1300" s="9">
        <f t="shared" si="4060"/>
        <v>1.493069307</v>
      </c>
      <c r="AW1300" s="9">
        <f t="shared" si="2235"/>
        <v>7.964356436</v>
      </c>
      <c r="AX1300" s="9">
        <f t="shared" ref="AX1300:AY1300" si="4061">AM1300/$AF1300</f>
        <v>1.782178218</v>
      </c>
      <c r="AY1300" s="9">
        <f t="shared" si="4061"/>
        <v>0.4356435644</v>
      </c>
      <c r="AZ1300" s="9">
        <f>VLOOKUP(A1300,Jogos!A:BN,58,0)</f>
        <v>23.335</v>
      </c>
      <c r="BA1300" s="9">
        <f>VLOOKUP(A1300,Jogos!A:BN,59,0)</f>
        <v>12.11</v>
      </c>
      <c r="BB1300" s="9">
        <f>VLOOKUP(A1300,Jogos!A:BN,60,0)</f>
        <v>49</v>
      </c>
      <c r="BC1300" s="9">
        <f>VLOOKUP(A1300,Jogos!A:BN,61,0)</f>
        <v>20.975</v>
      </c>
      <c r="BD1300" s="9">
        <f>VLOOKUP(A1300,Jogos!A:BN,62,0)</f>
        <v>161.4</v>
      </c>
      <c r="BE1300" s="9">
        <f>VLOOKUP(A1300,Jogos!A:BN,63,0)</f>
        <v>1.06</v>
      </c>
      <c r="BF1300" s="9">
        <f>VLOOKUP(A1300,Jogos!A:BN,64,0)</f>
        <v>19.095</v>
      </c>
      <c r="BG1300" s="9">
        <f>VLOOKUP(A1300,Jogos!A:BN,65,0)</f>
        <v>35.115</v>
      </c>
      <c r="BH1300" s="9">
        <f>VLOOKUP(A1300,Jogos!A:BN,66,0)</f>
        <v>22.725</v>
      </c>
      <c r="BI1300" s="9"/>
      <c r="BJ1300" s="9"/>
    </row>
    <row r="1301" hidden="1">
      <c r="A1301" s="10">
        <v>44.0</v>
      </c>
      <c r="B1301" s="11" t="s">
        <v>623</v>
      </c>
      <c r="C1301" s="2" t="s">
        <v>61</v>
      </c>
      <c r="D1301" s="12">
        <v>45833.0</v>
      </c>
      <c r="E1301" s="13">
        <v>0.75</v>
      </c>
      <c r="F1301" s="5" t="str">
        <f>VLOOKUP(A1301,Jogos!A:N,10,0)</f>
        <v>Evening</v>
      </c>
      <c r="G1301" s="15" t="s">
        <v>186</v>
      </c>
      <c r="H1301" s="6" t="str">
        <f>VLOOKUP(A1301,Jogos!A:L,12,0)</f>
        <v>Open</v>
      </c>
      <c r="I1301" s="6" t="str">
        <f>VLOOKUP(G1301,'Estádios e Cidades'!A:B,2,0)</f>
        <v>Pasadena</v>
      </c>
      <c r="J1301" s="11" t="s">
        <v>747</v>
      </c>
      <c r="K1301" s="2" t="str">
        <f>VLOOKUP(J1301,Equipes!A:F,6,0)</f>
        <v>Tropical</v>
      </c>
      <c r="L1301" s="2">
        <f>VLOOKUP(J1301,Equipes!A:C,3,0)</f>
        <v>15</v>
      </c>
      <c r="M1301" s="2" t="str">
        <f t="shared" si="4"/>
        <v>Round of 16</v>
      </c>
      <c r="N1301" s="11" t="s">
        <v>625</v>
      </c>
      <c r="O1301" s="2">
        <f>VLOOKUP(N1301,Equipes!A:C,3,0)</f>
        <v>32</v>
      </c>
      <c r="P1301" s="2" t="str">
        <f t="shared" si="5"/>
        <v>Group</v>
      </c>
      <c r="Q1301" s="2">
        <f t="shared" si="6"/>
        <v>-17</v>
      </c>
      <c r="R1301" s="2" t="str">
        <f>VLOOKUP(J1301,Equipes!A:B,2,0)</f>
        <v>Monterrey</v>
      </c>
      <c r="S1301" s="6" t="s">
        <v>1186</v>
      </c>
      <c r="T1301" s="7">
        <v>11.0</v>
      </c>
      <c r="U1301" s="7" t="s">
        <v>1187</v>
      </c>
      <c r="V1301" s="7" t="str">
        <f>VLOOKUP(U1301,Jogadores!B:C,2,0)</f>
        <v>FW</v>
      </c>
      <c r="W1301" s="8">
        <f>VLOOKUP(U1301,Jogadores!B:D,3,0)</f>
        <v>25.38630137</v>
      </c>
      <c r="X1301" s="7">
        <v>0.0</v>
      </c>
      <c r="Y1301" s="7">
        <v>65.0</v>
      </c>
      <c r="Z1301" s="7">
        <f>VLOOKUP(A1301,Jogos!A:L,3,0)</f>
        <v>49</v>
      </c>
      <c r="AA1301" s="7">
        <f t="shared" si="2229"/>
        <v>49</v>
      </c>
      <c r="AB1301" s="7">
        <f>VLOOKUP(A1301,Jogos!A:L,4,0)</f>
        <v>52</v>
      </c>
      <c r="AC1301" s="7">
        <f t="shared" si="2230"/>
        <v>20</v>
      </c>
      <c r="AD1301" s="7"/>
      <c r="AE1301" s="7"/>
      <c r="AF1301" s="7">
        <f t="shared" si="2231"/>
        <v>69</v>
      </c>
      <c r="AG1301" s="7">
        <v>7970.1</v>
      </c>
      <c r="AH1301" s="7">
        <v>2904.5</v>
      </c>
      <c r="AI1301" s="7">
        <v>3282.1</v>
      </c>
      <c r="AJ1301" s="7">
        <v>1037.6</v>
      </c>
      <c r="AK1301" s="7">
        <v>579.7</v>
      </c>
      <c r="AL1301" s="7">
        <v>166.2</v>
      </c>
      <c r="AM1301" s="7">
        <v>101.0</v>
      </c>
      <c r="AN1301" s="7">
        <v>43.0</v>
      </c>
      <c r="AO1301" s="7">
        <v>31.4</v>
      </c>
      <c r="AP1301" s="9">
        <f t="shared" ref="AP1301:AR1301" si="4062">AG1301/$AF1301</f>
        <v>115.5086957</v>
      </c>
      <c r="AQ1301" s="9">
        <f t="shared" si="4062"/>
        <v>42.0942029</v>
      </c>
      <c r="AR1301" s="9">
        <f t="shared" si="4062"/>
        <v>47.56666667</v>
      </c>
      <c r="AS1301" s="9">
        <f t="shared" si="2233"/>
        <v>89.66086957</v>
      </c>
      <c r="AT1301" s="9">
        <f t="shared" ref="AT1301:AV1301" si="4063">AJ1301/$AF1301</f>
        <v>15.03768116</v>
      </c>
      <c r="AU1301" s="9">
        <f t="shared" si="4063"/>
        <v>8.401449275</v>
      </c>
      <c r="AV1301" s="9">
        <f t="shared" si="4063"/>
        <v>2.408695652</v>
      </c>
      <c r="AW1301" s="9">
        <f t="shared" si="2235"/>
        <v>10.81014493</v>
      </c>
      <c r="AX1301" s="9">
        <f t="shared" ref="AX1301:AY1301" si="4064">AM1301/$AF1301</f>
        <v>1.463768116</v>
      </c>
      <c r="AY1301" s="9">
        <f t="shared" si="4064"/>
        <v>0.6231884058</v>
      </c>
      <c r="AZ1301" s="9">
        <f>VLOOKUP(A1301,Jogos!A:BN,58,0)</f>
        <v>23.335</v>
      </c>
      <c r="BA1301" s="9">
        <f>VLOOKUP(A1301,Jogos!A:BN,59,0)</f>
        <v>12.11</v>
      </c>
      <c r="BB1301" s="9">
        <f>VLOOKUP(A1301,Jogos!A:BN,60,0)</f>
        <v>49</v>
      </c>
      <c r="BC1301" s="9">
        <f>VLOOKUP(A1301,Jogos!A:BN,61,0)</f>
        <v>20.975</v>
      </c>
      <c r="BD1301" s="9">
        <f>VLOOKUP(A1301,Jogos!A:BN,62,0)</f>
        <v>161.4</v>
      </c>
      <c r="BE1301" s="9">
        <f>VLOOKUP(A1301,Jogos!A:BN,63,0)</f>
        <v>1.06</v>
      </c>
      <c r="BF1301" s="9">
        <f>VLOOKUP(A1301,Jogos!A:BN,64,0)</f>
        <v>19.095</v>
      </c>
      <c r="BG1301" s="9">
        <f>VLOOKUP(A1301,Jogos!A:BN,65,0)</f>
        <v>35.115</v>
      </c>
      <c r="BH1301" s="9">
        <f>VLOOKUP(A1301,Jogos!A:BN,66,0)</f>
        <v>22.725</v>
      </c>
      <c r="BI1301" s="9"/>
      <c r="BJ1301" s="9"/>
    </row>
    <row r="1302" hidden="1">
      <c r="A1302" s="10">
        <v>44.0</v>
      </c>
      <c r="B1302" s="11" t="s">
        <v>623</v>
      </c>
      <c r="C1302" s="2" t="s">
        <v>61</v>
      </c>
      <c r="D1302" s="12">
        <v>45833.0</v>
      </c>
      <c r="E1302" s="13">
        <v>0.75</v>
      </c>
      <c r="F1302" s="5" t="str">
        <f>VLOOKUP(A1302,Jogos!A:N,10,0)</f>
        <v>Evening</v>
      </c>
      <c r="G1302" s="15" t="s">
        <v>186</v>
      </c>
      <c r="H1302" s="6" t="str">
        <f>VLOOKUP(A1302,Jogos!A:L,12,0)</f>
        <v>Open</v>
      </c>
      <c r="I1302" s="6" t="str">
        <f>VLOOKUP(G1302,'Estádios e Cidades'!A:B,2,0)</f>
        <v>Pasadena</v>
      </c>
      <c r="J1302" s="11" t="s">
        <v>747</v>
      </c>
      <c r="K1302" s="2" t="str">
        <f>VLOOKUP(J1302,Equipes!A:F,6,0)</f>
        <v>Tropical</v>
      </c>
      <c r="L1302" s="2">
        <f>VLOOKUP(J1302,Equipes!A:C,3,0)</f>
        <v>15</v>
      </c>
      <c r="M1302" s="2" t="str">
        <f t="shared" si="4"/>
        <v>Round of 16</v>
      </c>
      <c r="N1302" s="11" t="s">
        <v>625</v>
      </c>
      <c r="O1302" s="2">
        <f>VLOOKUP(N1302,Equipes!A:C,3,0)</f>
        <v>32</v>
      </c>
      <c r="P1302" s="2" t="str">
        <f t="shared" si="5"/>
        <v>Group</v>
      </c>
      <c r="Q1302" s="2">
        <f t="shared" si="6"/>
        <v>-17</v>
      </c>
      <c r="R1302" s="2" t="str">
        <f>VLOOKUP(J1302,Equipes!A:B,2,0)</f>
        <v>Monterrey</v>
      </c>
      <c r="S1302" s="6" t="s">
        <v>1184</v>
      </c>
      <c r="T1302" s="7">
        <v>17.0</v>
      </c>
      <c r="U1302" s="7" t="s">
        <v>1185</v>
      </c>
      <c r="V1302" s="7" t="str">
        <f>VLOOKUP(U1302,Jogadores!B:C,2,0)</f>
        <v>MF</v>
      </c>
      <c r="W1302" s="8">
        <f>VLOOKUP(U1302,Jogadores!B:D,3,0)</f>
        <v>32.57808219</v>
      </c>
      <c r="X1302" s="7">
        <v>0.0</v>
      </c>
      <c r="Y1302" s="7">
        <v>66.0</v>
      </c>
      <c r="Z1302" s="7">
        <f>VLOOKUP(A1302,Jogos!A:L,3,0)</f>
        <v>49</v>
      </c>
      <c r="AA1302" s="7">
        <f t="shared" si="2229"/>
        <v>49</v>
      </c>
      <c r="AB1302" s="7">
        <f>VLOOKUP(A1302,Jogos!A:L,4,0)</f>
        <v>52</v>
      </c>
      <c r="AC1302" s="7">
        <f t="shared" si="2230"/>
        <v>21</v>
      </c>
      <c r="AD1302" s="7"/>
      <c r="AE1302" s="7"/>
      <c r="AF1302" s="7">
        <f t="shared" si="2231"/>
        <v>70</v>
      </c>
      <c r="AG1302" s="7">
        <v>7555.7</v>
      </c>
      <c r="AH1302" s="7">
        <v>2535.9</v>
      </c>
      <c r="AI1302" s="7">
        <v>3430.4</v>
      </c>
      <c r="AJ1302" s="7">
        <v>973.0</v>
      </c>
      <c r="AK1302" s="7">
        <v>407.7</v>
      </c>
      <c r="AL1302" s="7">
        <v>208.8</v>
      </c>
      <c r="AM1302" s="7">
        <v>95.0</v>
      </c>
      <c r="AN1302" s="7">
        <v>38.0</v>
      </c>
      <c r="AO1302" s="7">
        <v>31.2</v>
      </c>
      <c r="AP1302" s="9">
        <f t="shared" ref="AP1302:AR1302" si="4065">AG1302/$AF1302</f>
        <v>107.9385714</v>
      </c>
      <c r="AQ1302" s="9">
        <f t="shared" si="4065"/>
        <v>36.22714286</v>
      </c>
      <c r="AR1302" s="9">
        <f t="shared" si="4065"/>
        <v>49.00571429</v>
      </c>
      <c r="AS1302" s="9">
        <f t="shared" si="2233"/>
        <v>85.23285714</v>
      </c>
      <c r="AT1302" s="9">
        <f t="shared" ref="AT1302:AV1302" si="4066">AJ1302/$AF1302</f>
        <v>13.9</v>
      </c>
      <c r="AU1302" s="9">
        <f t="shared" si="4066"/>
        <v>5.824285714</v>
      </c>
      <c r="AV1302" s="9">
        <f t="shared" si="4066"/>
        <v>2.982857143</v>
      </c>
      <c r="AW1302" s="9">
        <f t="shared" si="2235"/>
        <v>8.807142857</v>
      </c>
      <c r="AX1302" s="9">
        <f t="shared" ref="AX1302:AY1302" si="4067">AM1302/$AF1302</f>
        <v>1.357142857</v>
      </c>
      <c r="AY1302" s="9">
        <f t="shared" si="4067"/>
        <v>0.5428571429</v>
      </c>
      <c r="AZ1302" s="9">
        <f>VLOOKUP(A1302,Jogos!A:BN,58,0)</f>
        <v>23.335</v>
      </c>
      <c r="BA1302" s="9">
        <f>VLOOKUP(A1302,Jogos!A:BN,59,0)</f>
        <v>12.11</v>
      </c>
      <c r="BB1302" s="9">
        <f>VLOOKUP(A1302,Jogos!A:BN,60,0)</f>
        <v>49</v>
      </c>
      <c r="BC1302" s="9">
        <f>VLOOKUP(A1302,Jogos!A:BN,61,0)</f>
        <v>20.975</v>
      </c>
      <c r="BD1302" s="9">
        <f>VLOOKUP(A1302,Jogos!A:BN,62,0)</f>
        <v>161.4</v>
      </c>
      <c r="BE1302" s="9">
        <f>VLOOKUP(A1302,Jogos!A:BN,63,0)</f>
        <v>1.06</v>
      </c>
      <c r="BF1302" s="9">
        <f>VLOOKUP(A1302,Jogos!A:BN,64,0)</f>
        <v>19.095</v>
      </c>
      <c r="BG1302" s="9">
        <f>VLOOKUP(A1302,Jogos!A:BN,65,0)</f>
        <v>35.115</v>
      </c>
      <c r="BH1302" s="9">
        <f>VLOOKUP(A1302,Jogos!A:BN,66,0)</f>
        <v>22.725</v>
      </c>
      <c r="BI1302" s="9"/>
      <c r="BJ1302" s="9"/>
    </row>
    <row r="1303" hidden="1">
      <c r="A1303" s="10">
        <v>44.0</v>
      </c>
      <c r="B1303" s="11" t="s">
        <v>623</v>
      </c>
      <c r="C1303" s="2" t="s">
        <v>61</v>
      </c>
      <c r="D1303" s="12">
        <v>45833.0</v>
      </c>
      <c r="E1303" s="13">
        <v>0.75</v>
      </c>
      <c r="F1303" s="5" t="str">
        <f>VLOOKUP(A1303,Jogos!A:N,10,0)</f>
        <v>Evening</v>
      </c>
      <c r="G1303" s="15" t="s">
        <v>186</v>
      </c>
      <c r="H1303" s="6" t="str">
        <f>VLOOKUP(A1303,Jogos!A:L,12,0)</f>
        <v>Open</v>
      </c>
      <c r="I1303" s="6" t="str">
        <f>VLOOKUP(G1303,'Estádios e Cidades'!A:B,2,0)</f>
        <v>Pasadena</v>
      </c>
      <c r="J1303" s="11" t="s">
        <v>747</v>
      </c>
      <c r="K1303" s="2" t="str">
        <f>VLOOKUP(J1303,Equipes!A:F,6,0)</f>
        <v>Tropical</v>
      </c>
      <c r="L1303" s="2">
        <f>VLOOKUP(J1303,Equipes!A:C,3,0)</f>
        <v>15</v>
      </c>
      <c r="M1303" s="2" t="str">
        <f t="shared" si="4"/>
        <v>Round of 16</v>
      </c>
      <c r="N1303" s="11" t="s">
        <v>625</v>
      </c>
      <c r="O1303" s="2">
        <f>VLOOKUP(N1303,Equipes!A:C,3,0)</f>
        <v>32</v>
      </c>
      <c r="P1303" s="2" t="str">
        <f t="shared" si="5"/>
        <v>Group</v>
      </c>
      <c r="Q1303" s="2">
        <f t="shared" si="6"/>
        <v>-17</v>
      </c>
      <c r="R1303" s="2" t="str">
        <f>VLOOKUP(J1303,Equipes!A:B,2,0)</f>
        <v>Monterrey</v>
      </c>
      <c r="S1303" s="6" t="s">
        <v>1322</v>
      </c>
      <c r="T1303" s="7">
        <v>21.0</v>
      </c>
      <c r="U1303" s="7" t="s">
        <v>1323</v>
      </c>
      <c r="V1303" s="7" t="str">
        <f>VLOOKUP(U1303,Jogadores!B:C,2,0)</f>
        <v>DF</v>
      </c>
      <c r="W1303" s="8">
        <f>VLOOKUP(U1303,Jogadores!B:D,3,0)</f>
        <v>34.34246575</v>
      </c>
      <c r="X1303" s="7">
        <v>0.0</v>
      </c>
      <c r="Y1303" s="7">
        <v>65.0</v>
      </c>
      <c r="Z1303" s="7">
        <f>VLOOKUP(A1303,Jogos!A:L,3,0)</f>
        <v>49</v>
      </c>
      <c r="AA1303" s="7">
        <f t="shared" si="2229"/>
        <v>49</v>
      </c>
      <c r="AB1303" s="7">
        <f>VLOOKUP(A1303,Jogos!A:L,4,0)</f>
        <v>52</v>
      </c>
      <c r="AC1303" s="7">
        <f t="shared" si="2230"/>
        <v>20</v>
      </c>
      <c r="AD1303" s="7"/>
      <c r="AE1303" s="7"/>
      <c r="AF1303" s="7">
        <f t="shared" si="2231"/>
        <v>69</v>
      </c>
      <c r="AG1303" s="7">
        <v>7553.9</v>
      </c>
      <c r="AH1303" s="7">
        <v>2467.6</v>
      </c>
      <c r="AI1303" s="7">
        <v>3331.2</v>
      </c>
      <c r="AJ1303" s="7">
        <v>1117.1</v>
      </c>
      <c r="AK1303" s="7">
        <v>541.1</v>
      </c>
      <c r="AL1303" s="7">
        <v>96.9</v>
      </c>
      <c r="AM1303" s="7">
        <v>102.0</v>
      </c>
      <c r="AN1303" s="7">
        <v>32.0</v>
      </c>
      <c r="AO1303" s="7">
        <v>31.4</v>
      </c>
      <c r="AP1303" s="9">
        <f t="shared" ref="AP1303:AR1303" si="4068">AG1303/$AF1303</f>
        <v>109.4768116</v>
      </c>
      <c r="AQ1303" s="9">
        <f t="shared" si="4068"/>
        <v>35.76231884</v>
      </c>
      <c r="AR1303" s="9">
        <f t="shared" si="4068"/>
        <v>48.27826087</v>
      </c>
      <c r="AS1303" s="9">
        <f t="shared" si="2233"/>
        <v>84.04057971</v>
      </c>
      <c r="AT1303" s="9">
        <f t="shared" ref="AT1303:AV1303" si="4069">AJ1303/$AF1303</f>
        <v>16.18985507</v>
      </c>
      <c r="AU1303" s="9">
        <f t="shared" si="4069"/>
        <v>7.842028986</v>
      </c>
      <c r="AV1303" s="9">
        <f t="shared" si="4069"/>
        <v>1.404347826</v>
      </c>
      <c r="AW1303" s="9">
        <f t="shared" si="2235"/>
        <v>9.246376812</v>
      </c>
      <c r="AX1303" s="9">
        <f t="shared" ref="AX1303:AY1303" si="4070">AM1303/$AF1303</f>
        <v>1.47826087</v>
      </c>
      <c r="AY1303" s="9">
        <f t="shared" si="4070"/>
        <v>0.4637681159</v>
      </c>
      <c r="AZ1303" s="9">
        <f>VLOOKUP(A1303,Jogos!A:BN,58,0)</f>
        <v>23.335</v>
      </c>
      <c r="BA1303" s="9">
        <f>VLOOKUP(A1303,Jogos!A:BN,59,0)</f>
        <v>12.11</v>
      </c>
      <c r="BB1303" s="9">
        <f>VLOOKUP(A1303,Jogos!A:BN,60,0)</f>
        <v>49</v>
      </c>
      <c r="BC1303" s="9">
        <f>VLOOKUP(A1303,Jogos!A:BN,61,0)</f>
        <v>20.975</v>
      </c>
      <c r="BD1303" s="9">
        <f>VLOOKUP(A1303,Jogos!A:BN,62,0)</f>
        <v>161.4</v>
      </c>
      <c r="BE1303" s="9">
        <f>VLOOKUP(A1303,Jogos!A:BN,63,0)</f>
        <v>1.06</v>
      </c>
      <c r="BF1303" s="9">
        <f>VLOOKUP(A1303,Jogos!A:BN,64,0)</f>
        <v>19.095</v>
      </c>
      <c r="BG1303" s="9">
        <f>VLOOKUP(A1303,Jogos!A:BN,65,0)</f>
        <v>35.115</v>
      </c>
      <c r="BH1303" s="9">
        <f>VLOOKUP(A1303,Jogos!A:BN,66,0)</f>
        <v>22.725</v>
      </c>
      <c r="BI1303" s="9"/>
      <c r="BJ1303" s="9"/>
    </row>
    <row r="1304" hidden="1">
      <c r="A1304" s="10">
        <v>44.0</v>
      </c>
      <c r="B1304" s="11" t="s">
        <v>623</v>
      </c>
      <c r="C1304" s="2" t="s">
        <v>61</v>
      </c>
      <c r="D1304" s="12">
        <v>45833.0</v>
      </c>
      <c r="E1304" s="13">
        <v>0.75</v>
      </c>
      <c r="F1304" s="5" t="str">
        <f>VLOOKUP(A1304,Jogos!A:N,10,0)</f>
        <v>Evening</v>
      </c>
      <c r="G1304" s="15" t="s">
        <v>186</v>
      </c>
      <c r="H1304" s="6" t="str">
        <f>VLOOKUP(A1304,Jogos!A:L,12,0)</f>
        <v>Open</v>
      </c>
      <c r="I1304" s="6" t="str">
        <f>VLOOKUP(G1304,'Estádios e Cidades'!A:B,2,0)</f>
        <v>Pasadena</v>
      </c>
      <c r="J1304" s="11" t="s">
        <v>747</v>
      </c>
      <c r="K1304" s="2" t="str">
        <f>VLOOKUP(J1304,Equipes!A:F,6,0)</f>
        <v>Tropical</v>
      </c>
      <c r="L1304" s="2">
        <f>VLOOKUP(J1304,Equipes!A:C,3,0)</f>
        <v>15</v>
      </c>
      <c r="M1304" s="2" t="str">
        <f t="shared" si="4"/>
        <v>Round of 16</v>
      </c>
      <c r="N1304" s="11" t="s">
        <v>625</v>
      </c>
      <c r="O1304" s="2">
        <f>VLOOKUP(N1304,Equipes!A:C,3,0)</f>
        <v>32</v>
      </c>
      <c r="P1304" s="2" t="str">
        <f t="shared" si="5"/>
        <v>Group</v>
      </c>
      <c r="Q1304" s="2">
        <f t="shared" si="6"/>
        <v>-17</v>
      </c>
      <c r="R1304" s="2" t="str">
        <f>VLOOKUP(J1304,Equipes!A:B,2,0)</f>
        <v>Monterrey</v>
      </c>
      <c r="S1304" s="6" t="s">
        <v>765</v>
      </c>
      <c r="T1304" s="7">
        <v>33.0</v>
      </c>
      <c r="U1304" s="7" t="s">
        <v>766</v>
      </c>
      <c r="V1304" s="7" t="str">
        <f>VLOOKUP(U1304,Jogadores!B:C,2,0)</f>
        <v>DF</v>
      </c>
      <c r="W1304" s="8">
        <f>VLOOKUP(U1304,Jogadores!B:D,3,0)</f>
        <v>33.14246575</v>
      </c>
      <c r="X1304" s="7">
        <v>0.0</v>
      </c>
      <c r="Y1304" s="7">
        <v>86.0</v>
      </c>
      <c r="Z1304" s="7">
        <f>VLOOKUP(A1304,Jogos!A:L,3,0)</f>
        <v>49</v>
      </c>
      <c r="AA1304" s="7">
        <f t="shared" si="2229"/>
        <v>49</v>
      </c>
      <c r="AB1304" s="7">
        <f>VLOOKUP(A1304,Jogos!A:L,4,0)</f>
        <v>52</v>
      </c>
      <c r="AC1304" s="7">
        <f t="shared" si="2230"/>
        <v>41</v>
      </c>
      <c r="AD1304" s="7"/>
      <c r="AE1304" s="7"/>
      <c r="AF1304" s="7">
        <f t="shared" si="2231"/>
        <v>90</v>
      </c>
      <c r="AG1304" s="7">
        <v>9035.4</v>
      </c>
      <c r="AH1304" s="7">
        <v>3468.8</v>
      </c>
      <c r="AI1304" s="7">
        <v>3831.8</v>
      </c>
      <c r="AJ1304" s="7">
        <v>1193.7</v>
      </c>
      <c r="AK1304" s="7">
        <v>357.1</v>
      </c>
      <c r="AL1304" s="7">
        <v>184.0</v>
      </c>
      <c r="AM1304" s="7">
        <v>97.0</v>
      </c>
      <c r="AN1304" s="7">
        <v>30.0</v>
      </c>
      <c r="AO1304" s="7">
        <v>31.3</v>
      </c>
      <c r="AP1304" s="9">
        <f t="shared" ref="AP1304:AR1304" si="4071">AG1304/$AF1304</f>
        <v>100.3933333</v>
      </c>
      <c r="AQ1304" s="9">
        <f t="shared" si="4071"/>
        <v>38.54222222</v>
      </c>
      <c r="AR1304" s="9">
        <f t="shared" si="4071"/>
        <v>42.57555556</v>
      </c>
      <c r="AS1304" s="9">
        <f t="shared" si="2233"/>
        <v>81.11777778</v>
      </c>
      <c r="AT1304" s="9">
        <f t="shared" ref="AT1304:AV1304" si="4072">AJ1304/$AF1304</f>
        <v>13.26333333</v>
      </c>
      <c r="AU1304" s="9">
        <f t="shared" si="4072"/>
        <v>3.967777778</v>
      </c>
      <c r="AV1304" s="9">
        <f t="shared" si="4072"/>
        <v>2.044444444</v>
      </c>
      <c r="AW1304" s="9">
        <f t="shared" si="2235"/>
        <v>6.012222222</v>
      </c>
      <c r="AX1304" s="9">
        <f t="shared" ref="AX1304:AY1304" si="4073">AM1304/$AF1304</f>
        <v>1.077777778</v>
      </c>
      <c r="AY1304" s="9">
        <f t="shared" si="4073"/>
        <v>0.3333333333</v>
      </c>
      <c r="AZ1304" s="9">
        <f>VLOOKUP(A1304,Jogos!A:BN,58,0)</f>
        <v>23.335</v>
      </c>
      <c r="BA1304" s="9">
        <f>VLOOKUP(A1304,Jogos!A:BN,59,0)</f>
        <v>12.11</v>
      </c>
      <c r="BB1304" s="9">
        <f>VLOOKUP(A1304,Jogos!A:BN,60,0)</f>
        <v>49</v>
      </c>
      <c r="BC1304" s="9">
        <f>VLOOKUP(A1304,Jogos!A:BN,61,0)</f>
        <v>20.975</v>
      </c>
      <c r="BD1304" s="9">
        <f>VLOOKUP(A1304,Jogos!A:BN,62,0)</f>
        <v>161.4</v>
      </c>
      <c r="BE1304" s="9">
        <f>VLOOKUP(A1304,Jogos!A:BN,63,0)</f>
        <v>1.06</v>
      </c>
      <c r="BF1304" s="9">
        <f>VLOOKUP(A1304,Jogos!A:BN,64,0)</f>
        <v>19.095</v>
      </c>
      <c r="BG1304" s="9">
        <f>VLOOKUP(A1304,Jogos!A:BN,65,0)</f>
        <v>35.115</v>
      </c>
      <c r="BH1304" s="9">
        <f>VLOOKUP(A1304,Jogos!A:BN,66,0)</f>
        <v>22.725</v>
      </c>
      <c r="BI1304" s="9"/>
      <c r="BJ1304" s="9"/>
    </row>
    <row r="1305" hidden="1">
      <c r="A1305" s="10">
        <v>44.0</v>
      </c>
      <c r="B1305" s="11" t="s">
        <v>623</v>
      </c>
      <c r="C1305" s="2" t="s">
        <v>61</v>
      </c>
      <c r="D1305" s="12">
        <v>45833.0</v>
      </c>
      <c r="E1305" s="13">
        <v>0.75</v>
      </c>
      <c r="F1305" s="5" t="str">
        <f>VLOOKUP(A1305,Jogos!A:N,10,0)</f>
        <v>Evening</v>
      </c>
      <c r="G1305" s="15" t="s">
        <v>186</v>
      </c>
      <c r="H1305" s="6" t="str">
        <f>VLOOKUP(A1305,Jogos!A:L,12,0)</f>
        <v>Open</v>
      </c>
      <c r="I1305" s="6" t="str">
        <f>VLOOKUP(G1305,'Estádios e Cidades'!A:B,2,0)</f>
        <v>Pasadena</v>
      </c>
      <c r="J1305" s="11" t="s">
        <v>747</v>
      </c>
      <c r="K1305" s="2" t="str">
        <f>VLOOKUP(J1305,Equipes!A:F,6,0)</f>
        <v>Tropical</v>
      </c>
      <c r="L1305" s="2">
        <f>VLOOKUP(J1305,Equipes!A:C,3,0)</f>
        <v>15</v>
      </c>
      <c r="M1305" s="2" t="str">
        <f t="shared" si="4"/>
        <v>Round of 16</v>
      </c>
      <c r="N1305" s="11" t="s">
        <v>625</v>
      </c>
      <c r="O1305" s="2">
        <f>VLOOKUP(N1305,Equipes!A:C,3,0)</f>
        <v>32</v>
      </c>
      <c r="P1305" s="2" t="str">
        <f t="shared" si="5"/>
        <v>Group</v>
      </c>
      <c r="Q1305" s="2">
        <f t="shared" si="6"/>
        <v>-17</v>
      </c>
      <c r="R1305" s="2" t="str">
        <f>VLOOKUP(J1305,Equipes!A:B,2,0)</f>
        <v>Monterrey</v>
      </c>
      <c r="S1305" s="6" t="s">
        <v>767</v>
      </c>
      <c r="T1305" s="7">
        <v>93.0</v>
      </c>
      <c r="U1305" s="7" t="s">
        <v>768</v>
      </c>
      <c r="V1305" s="7" t="str">
        <f>VLOOKUP(U1305,Jogadores!B:C,2,0)</f>
        <v>DF</v>
      </c>
      <c r="W1305" s="8">
        <f>VLOOKUP(U1305,Jogadores!B:D,3,0)</f>
        <v>39.35616438</v>
      </c>
      <c r="X1305" s="7">
        <v>0.0</v>
      </c>
      <c r="Y1305" s="7">
        <f t="shared" ref="Y1305:Y1310" si="4077">45+AB1305</f>
        <v>97</v>
      </c>
      <c r="Z1305" s="7">
        <f>VLOOKUP(A1305,Jogos!A:L,3,0)</f>
        <v>49</v>
      </c>
      <c r="AA1305" s="7">
        <f t="shared" si="2229"/>
        <v>49</v>
      </c>
      <c r="AB1305" s="7">
        <f>VLOOKUP(A1305,Jogos!A:L,4,0)</f>
        <v>52</v>
      </c>
      <c r="AC1305" s="7">
        <f t="shared" si="2230"/>
        <v>52</v>
      </c>
      <c r="AD1305" s="7"/>
      <c r="AE1305" s="7"/>
      <c r="AF1305" s="7">
        <f t="shared" si="2231"/>
        <v>101</v>
      </c>
      <c r="AG1305" s="7">
        <v>10688.5</v>
      </c>
      <c r="AH1305" s="7">
        <v>3900.0</v>
      </c>
      <c r="AI1305" s="7">
        <v>4797.3</v>
      </c>
      <c r="AJ1305" s="7">
        <v>1363.8</v>
      </c>
      <c r="AK1305" s="7">
        <v>554.4</v>
      </c>
      <c r="AL1305" s="7">
        <v>73.1</v>
      </c>
      <c r="AM1305" s="7">
        <v>130.0</v>
      </c>
      <c r="AN1305" s="7">
        <v>36.0</v>
      </c>
      <c r="AO1305" s="7">
        <v>27.5</v>
      </c>
      <c r="AP1305" s="9">
        <f t="shared" ref="AP1305:AR1305" si="4074">AG1305/$AF1305</f>
        <v>105.8267327</v>
      </c>
      <c r="AQ1305" s="9">
        <f t="shared" si="4074"/>
        <v>38.61386139</v>
      </c>
      <c r="AR1305" s="9">
        <f t="shared" si="4074"/>
        <v>47.4980198</v>
      </c>
      <c r="AS1305" s="9">
        <f t="shared" si="2233"/>
        <v>86.11188119</v>
      </c>
      <c r="AT1305" s="9">
        <f t="shared" ref="AT1305:AV1305" si="4075">AJ1305/$AF1305</f>
        <v>13.5029703</v>
      </c>
      <c r="AU1305" s="9">
        <f t="shared" si="4075"/>
        <v>5.489108911</v>
      </c>
      <c r="AV1305" s="9">
        <f t="shared" si="4075"/>
        <v>0.7237623762</v>
      </c>
      <c r="AW1305" s="9">
        <f t="shared" si="2235"/>
        <v>6.212871287</v>
      </c>
      <c r="AX1305" s="9">
        <f t="shared" ref="AX1305:AY1305" si="4076">AM1305/$AF1305</f>
        <v>1.287128713</v>
      </c>
      <c r="AY1305" s="9">
        <f t="shared" si="4076"/>
        <v>0.3564356436</v>
      </c>
      <c r="AZ1305" s="9">
        <f>VLOOKUP(A1305,Jogos!A:BN,58,0)</f>
        <v>23.335</v>
      </c>
      <c r="BA1305" s="9">
        <f>VLOOKUP(A1305,Jogos!A:BN,59,0)</f>
        <v>12.11</v>
      </c>
      <c r="BB1305" s="9">
        <f>VLOOKUP(A1305,Jogos!A:BN,60,0)</f>
        <v>49</v>
      </c>
      <c r="BC1305" s="9">
        <f>VLOOKUP(A1305,Jogos!A:BN,61,0)</f>
        <v>20.975</v>
      </c>
      <c r="BD1305" s="9">
        <f>VLOOKUP(A1305,Jogos!A:BN,62,0)</f>
        <v>161.4</v>
      </c>
      <c r="BE1305" s="9">
        <f>VLOOKUP(A1305,Jogos!A:BN,63,0)</f>
        <v>1.06</v>
      </c>
      <c r="BF1305" s="9">
        <f>VLOOKUP(A1305,Jogos!A:BN,64,0)</f>
        <v>19.095</v>
      </c>
      <c r="BG1305" s="9">
        <f>VLOOKUP(A1305,Jogos!A:BN,65,0)</f>
        <v>35.115</v>
      </c>
      <c r="BH1305" s="9">
        <f>VLOOKUP(A1305,Jogos!A:BN,66,0)</f>
        <v>22.725</v>
      </c>
      <c r="BI1305" s="9"/>
      <c r="BJ1305" s="9"/>
    </row>
    <row r="1306" hidden="1">
      <c r="A1306" s="10">
        <v>44.0</v>
      </c>
      <c r="B1306" s="11" t="s">
        <v>623</v>
      </c>
      <c r="C1306" s="2" t="s">
        <v>61</v>
      </c>
      <c r="D1306" s="12">
        <v>45833.0</v>
      </c>
      <c r="E1306" s="13">
        <v>0.75</v>
      </c>
      <c r="F1306" s="5" t="str">
        <f>VLOOKUP(A1306,Jogos!A:N,10,0)</f>
        <v>Evening</v>
      </c>
      <c r="G1306" s="15" t="s">
        <v>186</v>
      </c>
      <c r="H1306" s="6" t="str">
        <f>VLOOKUP(A1306,Jogos!A:L,12,0)</f>
        <v>Open</v>
      </c>
      <c r="I1306" s="6" t="str">
        <f>VLOOKUP(G1306,'Estádios e Cidades'!A:B,2,0)</f>
        <v>Pasadena</v>
      </c>
      <c r="J1306" s="11" t="s">
        <v>747</v>
      </c>
      <c r="K1306" s="2" t="str">
        <f>VLOOKUP(J1306,Equipes!A:F,6,0)</f>
        <v>Tropical</v>
      </c>
      <c r="L1306" s="2">
        <f>VLOOKUP(J1306,Equipes!A:C,3,0)</f>
        <v>15</v>
      </c>
      <c r="M1306" s="2" t="str">
        <f t="shared" si="4"/>
        <v>Round of 16</v>
      </c>
      <c r="N1306" s="11" t="s">
        <v>625</v>
      </c>
      <c r="O1306" s="2">
        <f>VLOOKUP(N1306,Equipes!A:C,3,0)</f>
        <v>32</v>
      </c>
      <c r="P1306" s="2" t="str">
        <f t="shared" si="5"/>
        <v>Group</v>
      </c>
      <c r="Q1306" s="2">
        <f t="shared" si="6"/>
        <v>-17</v>
      </c>
      <c r="R1306" s="2" t="str">
        <f>VLOOKUP(J1306,Equipes!A:B,2,0)</f>
        <v>Monterrey</v>
      </c>
      <c r="S1306" s="6" t="s">
        <v>751</v>
      </c>
      <c r="T1306" s="7">
        <v>3.0</v>
      </c>
      <c r="U1306" s="7" t="s">
        <v>752</v>
      </c>
      <c r="V1306" s="7" t="str">
        <f>VLOOKUP(U1306,Jogadores!B:C,2,0)</f>
        <v>DF</v>
      </c>
      <c r="W1306" s="8">
        <f>VLOOKUP(U1306,Jogadores!B:D,3,0)</f>
        <v>26.90684932</v>
      </c>
      <c r="X1306" s="7">
        <v>65.0</v>
      </c>
      <c r="Y1306" s="7">
        <f t="shared" si="4077"/>
        <v>97</v>
      </c>
      <c r="Z1306" s="7">
        <f>VLOOKUP(A1306,Jogos!A:L,3,0)</f>
        <v>49</v>
      </c>
      <c r="AA1306" s="7">
        <f t="shared" si="2229"/>
        <v>0</v>
      </c>
      <c r="AB1306" s="7">
        <f>VLOOKUP(A1306,Jogos!A:L,4,0)</f>
        <v>52</v>
      </c>
      <c r="AC1306" s="7">
        <f t="shared" si="2230"/>
        <v>32</v>
      </c>
      <c r="AD1306" s="7"/>
      <c r="AE1306" s="7"/>
      <c r="AF1306" s="7">
        <f t="shared" si="2231"/>
        <v>32</v>
      </c>
      <c r="AG1306" s="7">
        <v>3339.8</v>
      </c>
      <c r="AH1306" s="7">
        <v>1319.3</v>
      </c>
      <c r="AI1306" s="7">
        <v>1182.1</v>
      </c>
      <c r="AJ1306" s="7">
        <v>421.6</v>
      </c>
      <c r="AK1306" s="7">
        <v>238.8</v>
      </c>
      <c r="AL1306" s="7">
        <v>178.0</v>
      </c>
      <c r="AM1306" s="7">
        <v>31.0</v>
      </c>
      <c r="AN1306" s="7">
        <v>21.0</v>
      </c>
      <c r="AO1306" s="7">
        <v>33.8</v>
      </c>
      <c r="AP1306" s="9">
        <f t="shared" ref="AP1306:AR1306" si="4078">AG1306/$AF1306</f>
        <v>104.36875</v>
      </c>
      <c r="AQ1306" s="9">
        <f t="shared" si="4078"/>
        <v>41.228125</v>
      </c>
      <c r="AR1306" s="9">
        <f t="shared" si="4078"/>
        <v>36.940625</v>
      </c>
      <c r="AS1306" s="9">
        <f t="shared" si="2233"/>
        <v>78.16875</v>
      </c>
      <c r="AT1306" s="9">
        <f t="shared" ref="AT1306:AV1306" si="4079">AJ1306/$AF1306</f>
        <v>13.175</v>
      </c>
      <c r="AU1306" s="9">
        <f t="shared" si="4079"/>
        <v>7.4625</v>
      </c>
      <c r="AV1306" s="9">
        <f t="shared" si="4079"/>
        <v>5.5625</v>
      </c>
      <c r="AW1306" s="9">
        <f t="shared" si="2235"/>
        <v>13.025</v>
      </c>
      <c r="AX1306" s="9">
        <f t="shared" ref="AX1306:AY1306" si="4080">AM1306/$AF1306</f>
        <v>0.96875</v>
      </c>
      <c r="AY1306" s="9">
        <f t="shared" si="4080"/>
        <v>0.65625</v>
      </c>
      <c r="AZ1306" s="9">
        <f>VLOOKUP(A1306,Jogos!A:BN,58,0)</f>
        <v>23.335</v>
      </c>
      <c r="BA1306" s="9">
        <f>VLOOKUP(A1306,Jogos!A:BN,59,0)</f>
        <v>12.11</v>
      </c>
      <c r="BB1306" s="9">
        <f>VLOOKUP(A1306,Jogos!A:BN,60,0)</f>
        <v>49</v>
      </c>
      <c r="BC1306" s="9">
        <f>VLOOKUP(A1306,Jogos!A:BN,61,0)</f>
        <v>20.975</v>
      </c>
      <c r="BD1306" s="9">
        <f>VLOOKUP(A1306,Jogos!A:BN,62,0)</f>
        <v>161.4</v>
      </c>
      <c r="BE1306" s="9">
        <f>VLOOKUP(A1306,Jogos!A:BN,63,0)</f>
        <v>1.06</v>
      </c>
      <c r="BF1306" s="9">
        <f>VLOOKUP(A1306,Jogos!A:BN,64,0)</f>
        <v>19.095</v>
      </c>
      <c r="BG1306" s="9">
        <f>VLOOKUP(A1306,Jogos!A:BN,65,0)</f>
        <v>35.115</v>
      </c>
      <c r="BH1306" s="9">
        <f>VLOOKUP(A1306,Jogos!A:BN,66,0)</f>
        <v>22.725</v>
      </c>
      <c r="BI1306" s="9"/>
      <c r="BJ1306" s="9"/>
    </row>
    <row r="1307" hidden="1">
      <c r="A1307" s="10">
        <v>44.0</v>
      </c>
      <c r="B1307" s="11" t="s">
        <v>623</v>
      </c>
      <c r="C1307" s="2" t="s">
        <v>61</v>
      </c>
      <c r="D1307" s="12">
        <v>45833.0</v>
      </c>
      <c r="E1307" s="13">
        <v>0.75</v>
      </c>
      <c r="F1307" s="5" t="str">
        <f>VLOOKUP(A1307,Jogos!A:N,10,0)</f>
        <v>Evening</v>
      </c>
      <c r="G1307" s="15" t="s">
        <v>186</v>
      </c>
      <c r="H1307" s="6" t="str">
        <f>VLOOKUP(A1307,Jogos!A:L,12,0)</f>
        <v>Open</v>
      </c>
      <c r="I1307" s="6" t="str">
        <f>VLOOKUP(G1307,'Estádios e Cidades'!A:B,2,0)</f>
        <v>Pasadena</v>
      </c>
      <c r="J1307" s="11" t="s">
        <v>747</v>
      </c>
      <c r="K1307" s="2" t="str">
        <f>VLOOKUP(J1307,Equipes!A:F,6,0)</f>
        <v>Tropical</v>
      </c>
      <c r="L1307" s="2">
        <f>VLOOKUP(J1307,Equipes!A:C,3,0)</f>
        <v>15</v>
      </c>
      <c r="M1307" s="2" t="str">
        <f t="shared" si="4"/>
        <v>Round of 16</v>
      </c>
      <c r="N1307" s="11" t="s">
        <v>625</v>
      </c>
      <c r="O1307" s="2">
        <f>VLOOKUP(N1307,Equipes!A:C,3,0)</f>
        <v>32</v>
      </c>
      <c r="P1307" s="2" t="str">
        <f t="shared" si="5"/>
        <v>Group</v>
      </c>
      <c r="Q1307" s="2">
        <f t="shared" si="6"/>
        <v>-17</v>
      </c>
      <c r="R1307" s="2" t="str">
        <f>VLOOKUP(J1307,Equipes!A:B,2,0)</f>
        <v>Monterrey</v>
      </c>
      <c r="S1307" s="6" t="s">
        <v>753</v>
      </c>
      <c r="T1307" s="7">
        <v>4.0</v>
      </c>
      <c r="U1307" s="7" t="s">
        <v>754</v>
      </c>
      <c r="V1307" s="7" t="str">
        <f>VLOOKUP(U1307,Jogadores!B:C,2,0)</f>
        <v>DF</v>
      </c>
      <c r="W1307" s="8">
        <f>VLOOKUP(U1307,Jogadores!B:D,3,0)</f>
        <v>23.40821918</v>
      </c>
      <c r="X1307" s="7">
        <v>86.0</v>
      </c>
      <c r="Y1307" s="7">
        <f t="shared" si="4077"/>
        <v>97</v>
      </c>
      <c r="Z1307" s="7">
        <f>VLOOKUP(A1307,Jogos!A:L,3,0)</f>
        <v>49</v>
      </c>
      <c r="AA1307" s="7">
        <f t="shared" si="2229"/>
        <v>0</v>
      </c>
      <c r="AB1307" s="7">
        <f>VLOOKUP(A1307,Jogos!A:L,4,0)</f>
        <v>52</v>
      </c>
      <c r="AC1307" s="7">
        <f t="shared" si="2230"/>
        <v>11</v>
      </c>
      <c r="AD1307" s="7"/>
      <c r="AE1307" s="7"/>
      <c r="AF1307" s="7">
        <f t="shared" si="2231"/>
        <v>11</v>
      </c>
      <c r="AG1307" s="7">
        <v>1068.6</v>
      </c>
      <c r="AH1307" s="7">
        <v>405.7</v>
      </c>
      <c r="AI1307" s="7">
        <v>508.7</v>
      </c>
      <c r="AJ1307" s="7">
        <v>86.7</v>
      </c>
      <c r="AK1307" s="7">
        <v>37.3</v>
      </c>
      <c r="AL1307" s="7">
        <v>30.2</v>
      </c>
      <c r="AM1307" s="7">
        <v>8.0</v>
      </c>
      <c r="AN1307" s="7">
        <v>2.0</v>
      </c>
      <c r="AO1307" s="7">
        <v>27.1</v>
      </c>
      <c r="AP1307" s="9">
        <f t="shared" ref="AP1307:AR1307" si="4081">AG1307/$AF1307</f>
        <v>97.14545455</v>
      </c>
      <c r="AQ1307" s="9">
        <f t="shared" si="4081"/>
        <v>36.88181818</v>
      </c>
      <c r="AR1307" s="9">
        <f t="shared" si="4081"/>
        <v>46.24545455</v>
      </c>
      <c r="AS1307" s="9">
        <f t="shared" si="2233"/>
        <v>83.12727273</v>
      </c>
      <c r="AT1307" s="9">
        <f t="shared" ref="AT1307:AV1307" si="4082">AJ1307/$AF1307</f>
        <v>7.881818182</v>
      </c>
      <c r="AU1307" s="9">
        <f t="shared" si="4082"/>
        <v>3.390909091</v>
      </c>
      <c r="AV1307" s="9">
        <f t="shared" si="4082"/>
        <v>2.745454545</v>
      </c>
      <c r="AW1307" s="9">
        <f t="shared" si="2235"/>
        <v>6.136363636</v>
      </c>
      <c r="AX1307" s="9">
        <f t="shared" ref="AX1307:AY1307" si="4083">AM1307/$AF1307</f>
        <v>0.7272727273</v>
      </c>
      <c r="AY1307" s="9">
        <f t="shared" si="4083"/>
        <v>0.1818181818</v>
      </c>
      <c r="AZ1307" s="9">
        <f>VLOOKUP(A1307,Jogos!A:BN,58,0)</f>
        <v>23.335</v>
      </c>
      <c r="BA1307" s="9">
        <f>VLOOKUP(A1307,Jogos!A:BN,59,0)</f>
        <v>12.11</v>
      </c>
      <c r="BB1307" s="9">
        <f>VLOOKUP(A1307,Jogos!A:BN,60,0)</f>
        <v>49</v>
      </c>
      <c r="BC1307" s="9">
        <f>VLOOKUP(A1307,Jogos!A:BN,61,0)</f>
        <v>20.975</v>
      </c>
      <c r="BD1307" s="9">
        <f>VLOOKUP(A1307,Jogos!A:BN,62,0)</f>
        <v>161.4</v>
      </c>
      <c r="BE1307" s="9">
        <f>VLOOKUP(A1307,Jogos!A:BN,63,0)</f>
        <v>1.06</v>
      </c>
      <c r="BF1307" s="9">
        <f>VLOOKUP(A1307,Jogos!A:BN,64,0)</f>
        <v>19.095</v>
      </c>
      <c r="BG1307" s="9">
        <f>VLOOKUP(A1307,Jogos!A:BN,65,0)</f>
        <v>35.115</v>
      </c>
      <c r="BH1307" s="9">
        <f>VLOOKUP(A1307,Jogos!A:BN,66,0)</f>
        <v>22.725</v>
      </c>
      <c r="BI1307" s="9"/>
      <c r="BJ1307" s="9"/>
    </row>
    <row r="1308" hidden="1">
      <c r="A1308" s="10">
        <v>44.0</v>
      </c>
      <c r="B1308" s="11" t="s">
        <v>623</v>
      </c>
      <c r="C1308" s="2" t="s">
        <v>61</v>
      </c>
      <c r="D1308" s="12">
        <v>45833.0</v>
      </c>
      <c r="E1308" s="13">
        <v>0.75</v>
      </c>
      <c r="F1308" s="5" t="str">
        <f>VLOOKUP(A1308,Jogos!A:N,10,0)</f>
        <v>Evening</v>
      </c>
      <c r="G1308" s="15" t="s">
        <v>186</v>
      </c>
      <c r="H1308" s="6" t="str">
        <f>VLOOKUP(A1308,Jogos!A:L,12,0)</f>
        <v>Open</v>
      </c>
      <c r="I1308" s="6" t="str">
        <f>VLOOKUP(G1308,'Estádios e Cidades'!A:B,2,0)</f>
        <v>Pasadena</v>
      </c>
      <c r="J1308" s="11" t="s">
        <v>747</v>
      </c>
      <c r="K1308" s="2" t="str">
        <f>VLOOKUP(J1308,Equipes!A:F,6,0)</f>
        <v>Tropical</v>
      </c>
      <c r="L1308" s="2">
        <f>VLOOKUP(J1308,Equipes!A:C,3,0)</f>
        <v>15</v>
      </c>
      <c r="M1308" s="2" t="str">
        <f t="shared" si="4"/>
        <v>Round of 16</v>
      </c>
      <c r="N1308" s="11" t="s">
        <v>625</v>
      </c>
      <c r="O1308" s="2">
        <f>VLOOKUP(N1308,Equipes!A:C,3,0)</f>
        <v>32</v>
      </c>
      <c r="P1308" s="2" t="str">
        <f t="shared" si="5"/>
        <v>Group</v>
      </c>
      <c r="Q1308" s="2">
        <f t="shared" si="6"/>
        <v>-17</v>
      </c>
      <c r="R1308" s="2" t="str">
        <f>VLOOKUP(J1308,Equipes!A:B,2,0)</f>
        <v>Monterrey</v>
      </c>
      <c r="S1308" s="6" t="s">
        <v>777</v>
      </c>
      <c r="T1308" s="7">
        <v>19.0</v>
      </c>
      <c r="U1308" s="7" t="s">
        <v>778</v>
      </c>
      <c r="V1308" s="7" t="str">
        <f>VLOOKUP(U1308,Jogadores!B:C,2,0)</f>
        <v>MF</v>
      </c>
      <c r="W1308" s="8">
        <f>VLOOKUP(U1308,Jogadores!B:D,3,0)</f>
        <v>29.09589041</v>
      </c>
      <c r="X1308" s="7">
        <v>84.0</v>
      </c>
      <c r="Y1308" s="7">
        <f t="shared" si="4077"/>
        <v>97</v>
      </c>
      <c r="Z1308" s="7">
        <f>VLOOKUP(A1308,Jogos!A:L,3,0)</f>
        <v>49</v>
      </c>
      <c r="AA1308" s="7">
        <f t="shared" si="2229"/>
        <v>0</v>
      </c>
      <c r="AB1308" s="7">
        <f>VLOOKUP(A1308,Jogos!A:L,4,0)</f>
        <v>52</v>
      </c>
      <c r="AC1308" s="7">
        <f t="shared" si="2230"/>
        <v>13</v>
      </c>
      <c r="AD1308" s="7"/>
      <c r="AE1308" s="7"/>
      <c r="AF1308" s="7">
        <f t="shared" si="2231"/>
        <v>13</v>
      </c>
      <c r="AG1308" s="7">
        <v>1653.5</v>
      </c>
      <c r="AH1308" s="7">
        <v>451.9</v>
      </c>
      <c r="AI1308" s="7">
        <v>594.7</v>
      </c>
      <c r="AJ1308" s="7">
        <v>365.2</v>
      </c>
      <c r="AK1308" s="7">
        <v>219.8</v>
      </c>
      <c r="AL1308" s="7">
        <v>22.0</v>
      </c>
      <c r="AM1308" s="7">
        <v>27.0</v>
      </c>
      <c r="AN1308" s="7">
        <v>14.0</v>
      </c>
      <c r="AO1308" s="7">
        <v>28.4</v>
      </c>
      <c r="AP1308" s="9">
        <f t="shared" ref="AP1308:AR1308" si="4084">AG1308/$AF1308</f>
        <v>127.1923077</v>
      </c>
      <c r="AQ1308" s="9">
        <f t="shared" si="4084"/>
        <v>34.76153846</v>
      </c>
      <c r="AR1308" s="9">
        <f t="shared" si="4084"/>
        <v>45.74615385</v>
      </c>
      <c r="AS1308" s="9">
        <f t="shared" si="2233"/>
        <v>80.50769231</v>
      </c>
      <c r="AT1308" s="9">
        <f t="shared" ref="AT1308:AV1308" si="4085">AJ1308/$AF1308</f>
        <v>28.09230769</v>
      </c>
      <c r="AU1308" s="9">
        <f t="shared" si="4085"/>
        <v>16.90769231</v>
      </c>
      <c r="AV1308" s="9">
        <f t="shared" si="4085"/>
        <v>1.692307692</v>
      </c>
      <c r="AW1308" s="9">
        <f t="shared" si="2235"/>
        <v>18.6</v>
      </c>
      <c r="AX1308" s="9">
        <f t="shared" ref="AX1308:AY1308" si="4086">AM1308/$AF1308</f>
        <v>2.076923077</v>
      </c>
      <c r="AY1308" s="9">
        <f t="shared" si="4086"/>
        <v>1.076923077</v>
      </c>
      <c r="AZ1308" s="9">
        <f>VLOOKUP(A1308,Jogos!A:BN,58,0)</f>
        <v>23.335</v>
      </c>
      <c r="BA1308" s="9">
        <f>VLOOKUP(A1308,Jogos!A:BN,59,0)</f>
        <v>12.11</v>
      </c>
      <c r="BB1308" s="9">
        <f>VLOOKUP(A1308,Jogos!A:BN,60,0)</f>
        <v>49</v>
      </c>
      <c r="BC1308" s="9">
        <f>VLOOKUP(A1308,Jogos!A:BN,61,0)</f>
        <v>20.975</v>
      </c>
      <c r="BD1308" s="9">
        <f>VLOOKUP(A1308,Jogos!A:BN,62,0)</f>
        <v>161.4</v>
      </c>
      <c r="BE1308" s="9">
        <f>VLOOKUP(A1308,Jogos!A:BN,63,0)</f>
        <v>1.06</v>
      </c>
      <c r="BF1308" s="9">
        <f>VLOOKUP(A1308,Jogos!A:BN,64,0)</f>
        <v>19.095</v>
      </c>
      <c r="BG1308" s="9">
        <f>VLOOKUP(A1308,Jogos!A:BN,65,0)</f>
        <v>35.115</v>
      </c>
      <c r="BH1308" s="9">
        <f>VLOOKUP(A1308,Jogos!A:BN,66,0)</f>
        <v>22.725</v>
      </c>
      <c r="BI1308" s="9"/>
      <c r="BJ1308" s="9"/>
    </row>
    <row r="1309" hidden="1">
      <c r="A1309" s="10">
        <v>44.0</v>
      </c>
      <c r="B1309" s="11" t="s">
        <v>623</v>
      </c>
      <c r="C1309" s="2" t="s">
        <v>61</v>
      </c>
      <c r="D1309" s="12">
        <v>45833.0</v>
      </c>
      <c r="E1309" s="13">
        <v>0.75</v>
      </c>
      <c r="F1309" s="5" t="str">
        <f>VLOOKUP(A1309,Jogos!A:N,10,0)</f>
        <v>Evening</v>
      </c>
      <c r="G1309" s="15" t="s">
        <v>186</v>
      </c>
      <c r="H1309" s="6" t="str">
        <f>VLOOKUP(A1309,Jogos!A:L,12,0)</f>
        <v>Open</v>
      </c>
      <c r="I1309" s="6" t="str">
        <f>VLOOKUP(G1309,'Estádios e Cidades'!A:B,2,0)</f>
        <v>Pasadena</v>
      </c>
      <c r="J1309" s="11" t="s">
        <v>747</v>
      </c>
      <c r="K1309" s="2" t="str">
        <f>VLOOKUP(J1309,Equipes!A:F,6,0)</f>
        <v>Tropical</v>
      </c>
      <c r="L1309" s="2">
        <f>VLOOKUP(J1309,Equipes!A:C,3,0)</f>
        <v>15</v>
      </c>
      <c r="M1309" s="2" t="str">
        <f t="shared" si="4"/>
        <v>Round of 16</v>
      </c>
      <c r="N1309" s="11" t="s">
        <v>625</v>
      </c>
      <c r="O1309" s="2">
        <f>VLOOKUP(N1309,Equipes!A:C,3,0)</f>
        <v>32</v>
      </c>
      <c r="P1309" s="2" t="str">
        <f t="shared" si="5"/>
        <v>Group</v>
      </c>
      <c r="Q1309" s="2">
        <f t="shared" si="6"/>
        <v>-17</v>
      </c>
      <c r="R1309" s="2" t="str">
        <f>VLOOKUP(J1309,Equipes!A:B,2,0)</f>
        <v>Monterrey</v>
      </c>
      <c r="S1309" s="6" t="s">
        <v>1188</v>
      </c>
      <c r="T1309" s="7">
        <v>31.0</v>
      </c>
      <c r="U1309" s="7" t="s">
        <v>1189</v>
      </c>
      <c r="V1309" s="7" t="str">
        <f>VLOOKUP(U1309,Jogadores!B:C,2,0)</f>
        <v>FW</v>
      </c>
      <c r="W1309" s="8">
        <f>VLOOKUP(U1309,Jogadores!B:D,3,0)</f>
        <v>25.58082192</v>
      </c>
      <c r="X1309" s="7">
        <v>65.0</v>
      </c>
      <c r="Y1309" s="7">
        <f t="shared" si="4077"/>
        <v>97</v>
      </c>
      <c r="Z1309" s="7">
        <f>VLOOKUP(A1309,Jogos!A:L,3,0)</f>
        <v>49</v>
      </c>
      <c r="AA1309" s="7">
        <f t="shared" si="2229"/>
        <v>0</v>
      </c>
      <c r="AB1309" s="7">
        <f>VLOOKUP(A1309,Jogos!A:L,4,0)</f>
        <v>52</v>
      </c>
      <c r="AC1309" s="7">
        <f t="shared" si="2230"/>
        <v>32</v>
      </c>
      <c r="AD1309" s="7"/>
      <c r="AE1309" s="7"/>
      <c r="AF1309" s="7">
        <f t="shared" si="2231"/>
        <v>32</v>
      </c>
      <c r="AG1309" s="7">
        <v>3237.2</v>
      </c>
      <c r="AH1309" s="7">
        <v>1081.1</v>
      </c>
      <c r="AI1309" s="7">
        <v>1384.9</v>
      </c>
      <c r="AJ1309" s="7">
        <v>466.0</v>
      </c>
      <c r="AK1309" s="7">
        <v>239.9</v>
      </c>
      <c r="AL1309" s="7">
        <v>65.4</v>
      </c>
      <c r="AM1309" s="7">
        <v>38.0</v>
      </c>
      <c r="AN1309" s="7">
        <v>19.0</v>
      </c>
      <c r="AO1309" s="7">
        <v>28.0</v>
      </c>
      <c r="AP1309" s="9">
        <f t="shared" ref="AP1309:AR1309" si="4087">AG1309/$AF1309</f>
        <v>101.1625</v>
      </c>
      <c r="AQ1309" s="9">
        <f t="shared" si="4087"/>
        <v>33.784375</v>
      </c>
      <c r="AR1309" s="9">
        <f t="shared" si="4087"/>
        <v>43.278125</v>
      </c>
      <c r="AS1309" s="9">
        <f t="shared" si="2233"/>
        <v>77.0625</v>
      </c>
      <c r="AT1309" s="9">
        <f t="shared" ref="AT1309:AV1309" si="4088">AJ1309/$AF1309</f>
        <v>14.5625</v>
      </c>
      <c r="AU1309" s="9">
        <f t="shared" si="4088"/>
        <v>7.496875</v>
      </c>
      <c r="AV1309" s="9">
        <f t="shared" si="4088"/>
        <v>2.04375</v>
      </c>
      <c r="AW1309" s="9">
        <f t="shared" si="2235"/>
        <v>9.540625</v>
      </c>
      <c r="AX1309" s="9">
        <f t="shared" ref="AX1309:AY1309" si="4089">AM1309/$AF1309</f>
        <v>1.1875</v>
      </c>
      <c r="AY1309" s="9">
        <f t="shared" si="4089"/>
        <v>0.59375</v>
      </c>
      <c r="AZ1309" s="9">
        <f>VLOOKUP(A1309,Jogos!A:BN,58,0)</f>
        <v>23.335</v>
      </c>
      <c r="BA1309" s="9">
        <f>VLOOKUP(A1309,Jogos!A:BN,59,0)</f>
        <v>12.11</v>
      </c>
      <c r="BB1309" s="9">
        <f>VLOOKUP(A1309,Jogos!A:BN,60,0)</f>
        <v>49</v>
      </c>
      <c r="BC1309" s="9">
        <f>VLOOKUP(A1309,Jogos!A:BN,61,0)</f>
        <v>20.975</v>
      </c>
      <c r="BD1309" s="9">
        <f>VLOOKUP(A1309,Jogos!A:BN,62,0)</f>
        <v>161.4</v>
      </c>
      <c r="BE1309" s="9">
        <f>VLOOKUP(A1309,Jogos!A:BN,63,0)</f>
        <v>1.06</v>
      </c>
      <c r="BF1309" s="9">
        <f>VLOOKUP(A1309,Jogos!A:BN,64,0)</f>
        <v>19.095</v>
      </c>
      <c r="BG1309" s="9">
        <f>VLOOKUP(A1309,Jogos!A:BN,65,0)</f>
        <v>35.115</v>
      </c>
      <c r="BH1309" s="9">
        <f>VLOOKUP(A1309,Jogos!A:BN,66,0)</f>
        <v>22.725</v>
      </c>
      <c r="BI1309" s="9"/>
      <c r="BJ1309" s="9"/>
    </row>
    <row r="1310" hidden="1">
      <c r="A1310" s="10">
        <v>44.0</v>
      </c>
      <c r="B1310" s="11" t="s">
        <v>623</v>
      </c>
      <c r="C1310" s="2" t="s">
        <v>61</v>
      </c>
      <c r="D1310" s="12">
        <v>45833.0</v>
      </c>
      <c r="E1310" s="13">
        <v>0.75</v>
      </c>
      <c r="F1310" s="5" t="str">
        <f>VLOOKUP(A1310,Jogos!A:N,10,0)</f>
        <v>Evening</v>
      </c>
      <c r="G1310" s="15" t="s">
        <v>186</v>
      </c>
      <c r="H1310" s="6" t="str">
        <f>VLOOKUP(A1310,Jogos!A:L,12,0)</f>
        <v>Open</v>
      </c>
      <c r="I1310" s="6" t="str">
        <f>VLOOKUP(G1310,'Estádios e Cidades'!A:B,2,0)</f>
        <v>Pasadena</v>
      </c>
      <c r="J1310" s="11" t="s">
        <v>747</v>
      </c>
      <c r="K1310" s="2" t="str">
        <f>VLOOKUP(J1310,Equipes!A:F,6,0)</f>
        <v>Tropical</v>
      </c>
      <c r="L1310" s="2">
        <f>VLOOKUP(J1310,Equipes!A:C,3,0)</f>
        <v>15</v>
      </c>
      <c r="M1310" s="2" t="str">
        <f t="shared" si="4"/>
        <v>Round of 16</v>
      </c>
      <c r="N1310" s="11" t="s">
        <v>625</v>
      </c>
      <c r="O1310" s="2">
        <f>VLOOKUP(N1310,Equipes!A:C,3,0)</f>
        <v>32</v>
      </c>
      <c r="P1310" s="2" t="str">
        <f t="shared" si="5"/>
        <v>Group</v>
      </c>
      <c r="Q1310" s="2">
        <f t="shared" si="6"/>
        <v>-17</v>
      </c>
      <c r="R1310" s="2" t="str">
        <f>VLOOKUP(J1310,Equipes!A:B,2,0)</f>
        <v>Monterrey</v>
      </c>
      <c r="S1310" s="6" t="s">
        <v>1324</v>
      </c>
      <c r="T1310" s="7">
        <v>37.0</v>
      </c>
      <c r="U1310" s="7" t="s">
        <v>1325</v>
      </c>
      <c r="V1310" s="7" t="str">
        <f>VLOOKUP(U1310,Jogadores!B:C,2,0)</f>
        <v>MF</v>
      </c>
      <c r="W1310" s="8">
        <f>VLOOKUP(U1310,Jogadores!B:D,3,0)</f>
        <v>20.16712329</v>
      </c>
      <c r="X1310" s="7">
        <v>66.0</v>
      </c>
      <c r="Y1310" s="7">
        <f t="shared" si="4077"/>
        <v>97</v>
      </c>
      <c r="Z1310" s="7">
        <f>VLOOKUP(A1310,Jogos!A:L,3,0)</f>
        <v>49</v>
      </c>
      <c r="AA1310" s="7">
        <f t="shared" si="2229"/>
        <v>0</v>
      </c>
      <c r="AB1310" s="7">
        <f>VLOOKUP(A1310,Jogos!A:L,4,0)</f>
        <v>52</v>
      </c>
      <c r="AC1310" s="7">
        <f t="shared" si="2230"/>
        <v>31</v>
      </c>
      <c r="AD1310" s="7"/>
      <c r="AE1310" s="7"/>
      <c r="AF1310" s="7">
        <f t="shared" si="2231"/>
        <v>31</v>
      </c>
      <c r="AG1310" s="7">
        <v>3954.8</v>
      </c>
      <c r="AH1310" s="7">
        <v>1045.3</v>
      </c>
      <c r="AI1310" s="7">
        <v>1782.1</v>
      </c>
      <c r="AJ1310" s="7">
        <v>831.4</v>
      </c>
      <c r="AK1310" s="7">
        <v>232.7</v>
      </c>
      <c r="AL1310" s="7">
        <v>63.3</v>
      </c>
      <c r="AM1310" s="7">
        <v>68.0</v>
      </c>
      <c r="AN1310" s="7">
        <v>19.0</v>
      </c>
      <c r="AO1310" s="7">
        <v>28.4</v>
      </c>
      <c r="AP1310" s="9">
        <f t="shared" ref="AP1310:AR1310" si="4090">AG1310/$AF1310</f>
        <v>127.5741935</v>
      </c>
      <c r="AQ1310" s="9">
        <f t="shared" si="4090"/>
        <v>33.71935484</v>
      </c>
      <c r="AR1310" s="9">
        <f t="shared" si="4090"/>
        <v>57.48709677</v>
      </c>
      <c r="AS1310" s="9">
        <f t="shared" si="2233"/>
        <v>91.20645161</v>
      </c>
      <c r="AT1310" s="9">
        <f t="shared" ref="AT1310:AV1310" si="4091">AJ1310/$AF1310</f>
        <v>26.81935484</v>
      </c>
      <c r="AU1310" s="9">
        <f t="shared" si="4091"/>
        <v>7.506451613</v>
      </c>
      <c r="AV1310" s="9">
        <f t="shared" si="4091"/>
        <v>2.041935484</v>
      </c>
      <c r="AW1310" s="9">
        <f t="shared" si="2235"/>
        <v>9.548387097</v>
      </c>
      <c r="AX1310" s="9">
        <f t="shared" ref="AX1310:AY1310" si="4092">AM1310/$AF1310</f>
        <v>2.193548387</v>
      </c>
      <c r="AY1310" s="9">
        <f t="shared" si="4092"/>
        <v>0.6129032258</v>
      </c>
      <c r="AZ1310" s="9">
        <f>VLOOKUP(A1310,Jogos!A:BN,58,0)</f>
        <v>23.335</v>
      </c>
      <c r="BA1310" s="9">
        <f>VLOOKUP(A1310,Jogos!A:BN,59,0)</f>
        <v>12.11</v>
      </c>
      <c r="BB1310" s="9">
        <f>VLOOKUP(A1310,Jogos!A:BN,60,0)</f>
        <v>49</v>
      </c>
      <c r="BC1310" s="9">
        <f>VLOOKUP(A1310,Jogos!A:BN,61,0)</f>
        <v>20.975</v>
      </c>
      <c r="BD1310" s="9">
        <f>VLOOKUP(A1310,Jogos!A:BN,62,0)</f>
        <v>161.4</v>
      </c>
      <c r="BE1310" s="9">
        <f>VLOOKUP(A1310,Jogos!A:BN,63,0)</f>
        <v>1.06</v>
      </c>
      <c r="BF1310" s="9">
        <f>VLOOKUP(A1310,Jogos!A:BN,64,0)</f>
        <v>19.095</v>
      </c>
      <c r="BG1310" s="9">
        <f>VLOOKUP(A1310,Jogos!A:BN,65,0)</f>
        <v>35.115</v>
      </c>
      <c r="BH1310" s="9">
        <f>VLOOKUP(A1310,Jogos!A:BN,66,0)</f>
        <v>22.725</v>
      </c>
      <c r="BI1310" s="9"/>
      <c r="BJ1310" s="9"/>
    </row>
    <row r="1311" hidden="1">
      <c r="A1311" s="2">
        <v>45.0</v>
      </c>
      <c r="B1311" s="11" t="s">
        <v>809</v>
      </c>
      <c r="C1311" s="2" t="s">
        <v>61</v>
      </c>
      <c r="D1311" s="3">
        <v>45834.0</v>
      </c>
      <c r="E1311" s="4">
        <v>0.625</v>
      </c>
      <c r="F1311" s="5" t="str">
        <f>VLOOKUP(A1311,Jogos!A:N,10,0)</f>
        <v>Afternoon</v>
      </c>
      <c r="G1311" s="2" t="s">
        <v>1269</v>
      </c>
      <c r="H1311" s="6" t="str">
        <f>VLOOKUP(A1311,Jogos!A:L,12,0)</f>
        <v>Open</v>
      </c>
      <c r="I1311" s="6" t="str">
        <f>VLOOKUP(G1311,'Estádios e Cidades'!A:B,2,0)</f>
        <v>Orlando</v>
      </c>
      <c r="J1311" s="2" t="s">
        <v>999</v>
      </c>
      <c r="K1311" s="2" t="str">
        <f>VLOOKUP(J1311,Equipes!A:F,6,0)</f>
        <v>Temperate</v>
      </c>
      <c r="L1311" s="2">
        <f>VLOOKUP(J1311,Equipes!A:C,3,0)</f>
        <v>13</v>
      </c>
      <c r="M1311" s="2" t="str">
        <f t="shared" si="4"/>
        <v>Round of 16</v>
      </c>
      <c r="N1311" s="2" t="s">
        <v>810</v>
      </c>
      <c r="O1311" s="2">
        <f>VLOOKUP(N1311,Equipes!A:C,3,0)</f>
        <v>9</v>
      </c>
      <c r="P1311" s="2" t="str">
        <f t="shared" si="5"/>
        <v>Round of 16</v>
      </c>
      <c r="Q1311" s="2">
        <f t="shared" si="6"/>
        <v>4</v>
      </c>
      <c r="R1311" s="2" t="str">
        <f>VLOOKUP(J1311,Equipes!A:B,2,0)</f>
        <v>Juventus</v>
      </c>
      <c r="S1311" s="6" t="s">
        <v>1030</v>
      </c>
      <c r="T1311" s="7">
        <v>2.0</v>
      </c>
      <c r="U1311" s="7" t="s">
        <v>1031</v>
      </c>
      <c r="V1311" s="7" t="str">
        <f>VLOOKUP(U1311,Jogadores!B:C,2,0)</f>
        <v>DF</v>
      </c>
      <c r="W1311" s="8">
        <f>VLOOKUP(U1311,Jogadores!B:D,3,0)</f>
        <v>21.84383562</v>
      </c>
      <c r="X1311" s="7">
        <v>0.0</v>
      </c>
      <c r="Y1311" s="7">
        <v>57.0</v>
      </c>
      <c r="Z1311" s="7">
        <f>VLOOKUP(A1311,Jogos!A:L,3,0)</f>
        <v>49</v>
      </c>
      <c r="AA1311" s="7">
        <f t="shared" si="2229"/>
        <v>49</v>
      </c>
      <c r="AB1311" s="7">
        <f>VLOOKUP(A1311,Jogos!A:L,4,0)</f>
        <v>48</v>
      </c>
      <c r="AC1311" s="7">
        <f t="shared" si="2230"/>
        <v>12</v>
      </c>
      <c r="AD1311" s="7"/>
      <c r="AE1311" s="7"/>
      <c r="AF1311" s="7">
        <f t="shared" si="2231"/>
        <v>61</v>
      </c>
      <c r="AG1311" s="7">
        <v>6440.0</v>
      </c>
      <c r="AH1311" s="7">
        <v>2352.0</v>
      </c>
      <c r="AI1311" s="7">
        <v>2589.3</v>
      </c>
      <c r="AJ1311" s="7">
        <v>891.1</v>
      </c>
      <c r="AK1311" s="7">
        <v>429.5</v>
      </c>
      <c r="AL1311" s="7">
        <v>178.1</v>
      </c>
      <c r="AM1311" s="7">
        <v>48.0</v>
      </c>
      <c r="AN1311" s="7">
        <v>9.0</v>
      </c>
      <c r="AO1311" s="7">
        <v>33.8</v>
      </c>
      <c r="AP1311" s="9">
        <f t="shared" ref="AP1311:AR1311" si="4093">AG1311/$AF1311</f>
        <v>105.5737705</v>
      </c>
      <c r="AQ1311" s="9">
        <f t="shared" si="4093"/>
        <v>38.55737705</v>
      </c>
      <c r="AR1311" s="9">
        <f t="shared" si="4093"/>
        <v>42.44754098</v>
      </c>
      <c r="AS1311" s="9">
        <f t="shared" si="2233"/>
        <v>81.00491803</v>
      </c>
      <c r="AT1311" s="9">
        <f t="shared" ref="AT1311:AV1311" si="4094">AJ1311/$AF1311</f>
        <v>14.60819672</v>
      </c>
      <c r="AU1311" s="9">
        <f t="shared" si="4094"/>
        <v>7.040983607</v>
      </c>
      <c r="AV1311" s="9">
        <f t="shared" si="4094"/>
        <v>2.919672131</v>
      </c>
      <c r="AW1311" s="9">
        <f t="shared" si="2235"/>
        <v>9.960655738</v>
      </c>
      <c r="AX1311" s="9">
        <f t="shared" ref="AX1311:AY1311" si="4095">AM1311/$AF1311</f>
        <v>0.7868852459</v>
      </c>
      <c r="AY1311" s="9">
        <f t="shared" si="4095"/>
        <v>0.1475409836</v>
      </c>
      <c r="AZ1311" s="9">
        <f>VLOOKUP(A1311,Jogos!A:BN,58,0)</f>
        <v>29.045</v>
      </c>
      <c r="BA1311" s="9">
        <f>VLOOKUP(A1311,Jogos!A:BN,59,0)</f>
        <v>21.59</v>
      </c>
      <c r="BB1311" s="9">
        <f>VLOOKUP(A1311,Jogos!A:BN,60,0)</f>
        <v>63.5</v>
      </c>
      <c r="BC1311" s="9">
        <f>VLOOKUP(A1311,Jogos!A:BN,61,0)</f>
        <v>28.83</v>
      </c>
      <c r="BD1311" s="9">
        <f>VLOOKUP(A1311,Jogos!A:BN,62,0)</f>
        <v>660.25</v>
      </c>
      <c r="BE1311" s="9">
        <f>VLOOKUP(A1311,Jogos!A:BN,63,0)</f>
        <v>1.74</v>
      </c>
      <c r="BF1311" s="9">
        <f>VLOOKUP(A1311,Jogos!A:BN,64,0)</f>
        <v>24.685</v>
      </c>
      <c r="BG1311" s="9">
        <f>VLOOKUP(A1311,Jogos!A:BN,65,0)</f>
        <v>43.51</v>
      </c>
      <c r="BH1311" s="9">
        <f>VLOOKUP(A1311,Jogos!A:BN,66,0)</f>
        <v>28.885</v>
      </c>
      <c r="BI1311" s="9"/>
      <c r="BJ1311" s="9"/>
    </row>
    <row r="1312" hidden="1">
      <c r="A1312" s="2">
        <v>45.0</v>
      </c>
      <c r="B1312" s="11" t="s">
        <v>809</v>
      </c>
      <c r="C1312" s="2" t="s">
        <v>61</v>
      </c>
      <c r="D1312" s="3">
        <v>45834.0</v>
      </c>
      <c r="E1312" s="4">
        <v>0.625</v>
      </c>
      <c r="F1312" s="5" t="str">
        <f>VLOOKUP(A1312,Jogos!A:N,10,0)</f>
        <v>Afternoon</v>
      </c>
      <c r="G1312" s="2" t="s">
        <v>1269</v>
      </c>
      <c r="H1312" s="6" t="str">
        <f>VLOOKUP(A1312,Jogos!A:L,12,0)</f>
        <v>Open</v>
      </c>
      <c r="I1312" s="6" t="str">
        <f>VLOOKUP(G1312,'Estádios e Cidades'!A:B,2,0)</f>
        <v>Orlando</v>
      </c>
      <c r="J1312" s="2" t="s">
        <v>999</v>
      </c>
      <c r="K1312" s="2" t="str">
        <f>VLOOKUP(J1312,Equipes!A:F,6,0)</f>
        <v>Temperate</v>
      </c>
      <c r="L1312" s="2">
        <f>VLOOKUP(J1312,Equipes!A:C,3,0)</f>
        <v>13</v>
      </c>
      <c r="M1312" s="2" t="str">
        <f t="shared" si="4"/>
        <v>Round of 16</v>
      </c>
      <c r="N1312" s="2" t="s">
        <v>810</v>
      </c>
      <c r="O1312" s="2">
        <f>VLOOKUP(N1312,Equipes!A:C,3,0)</f>
        <v>9</v>
      </c>
      <c r="P1312" s="2" t="str">
        <f t="shared" si="5"/>
        <v>Round of 16</v>
      </c>
      <c r="Q1312" s="2">
        <f t="shared" si="6"/>
        <v>4</v>
      </c>
      <c r="R1312" s="2" t="str">
        <f>VLOOKUP(J1312,Equipes!A:B,2,0)</f>
        <v>Juventus</v>
      </c>
      <c r="S1312" s="6" t="s">
        <v>1190</v>
      </c>
      <c r="T1312" s="7">
        <v>5.0</v>
      </c>
      <c r="U1312" s="7" t="s">
        <v>1191</v>
      </c>
      <c r="V1312" s="7" t="str">
        <f>VLOOKUP(U1312,Jogadores!B:C,2,0)</f>
        <v>MF</v>
      </c>
      <c r="W1312" s="8">
        <f>VLOOKUP(U1312,Jogadores!B:D,3,0)</f>
        <v>27.56986301</v>
      </c>
      <c r="X1312" s="7">
        <v>0.0</v>
      </c>
      <c r="Y1312" s="7">
        <v>57.0</v>
      </c>
      <c r="Z1312" s="7">
        <f>VLOOKUP(A1312,Jogos!A:L,3,0)</f>
        <v>49</v>
      </c>
      <c r="AA1312" s="7">
        <f t="shared" si="2229"/>
        <v>49</v>
      </c>
      <c r="AB1312" s="7">
        <f>VLOOKUP(A1312,Jogos!A:L,4,0)</f>
        <v>48</v>
      </c>
      <c r="AC1312" s="7">
        <f t="shared" si="2230"/>
        <v>12</v>
      </c>
      <c r="AD1312" s="7"/>
      <c r="AE1312" s="7"/>
      <c r="AF1312" s="7">
        <f t="shared" si="2231"/>
        <v>61</v>
      </c>
      <c r="AG1312" s="7">
        <v>7122.5</v>
      </c>
      <c r="AH1312" s="7">
        <v>2127.0</v>
      </c>
      <c r="AI1312" s="7">
        <v>3607.4</v>
      </c>
      <c r="AJ1312" s="7">
        <v>1153.8</v>
      </c>
      <c r="AK1312" s="7">
        <v>221.9</v>
      </c>
      <c r="AL1312" s="7">
        <v>12.5</v>
      </c>
      <c r="AM1312" s="7">
        <v>17.0</v>
      </c>
      <c r="AN1312" s="7"/>
      <c r="AO1312" s="7"/>
      <c r="AP1312" s="9">
        <f t="shared" ref="AP1312:AR1312" si="4096">AG1312/$AF1312</f>
        <v>116.7622951</v>
      </c>
      <c r="AQ1312" s="9">
        <f t="shared" si="4096"/>
        <v>34.86885246</v>
      </c>
      <c r="AR1312" s="9">
        <f t="shared" si="4096"/>
        <v>59.13770492</v>
      </c>
      <c r="AS1312" s="9">
        <f t="shared" si="2233"/>
        <v>94.00655738</v>
      </c>
      <c r="AT1312" s="9">
        <f t="shared" ref="AT1312:AV1312" si="4097">AJ1312/$AF1312</f>
        <v>18.9147541</v>
      </c>
      <c r="AU1312" s="9">
        <f t="shared" si="4097"/>
        <v>3.637704918</v>
      </c>
      <c r="AV1312" s="9">
        <f t="shared" si="4097"/>
        <v>0.2049180328</v>
      </c>
      <c r="AW1312" s="9">
        <f t="shared" si="2235"/>
        <v>3.842622951</v>
      </c>
      <c r="AX1312" s="9">
        <f t="shared" ref="AX1312:AY1312" si="4098">AM1312/$AF1312</f>
        <v>0.2786885246</v>
      </c>
      <c r="AY1312" s="9">
        <f t="shared" si="4098"/>
        <v>0</v>
      </c>
      <c r="AZ1312" s="9">
        <f>VLOOKUP(A1312,Jogos!A:BN,58,0)</f>
        <v>29.045</v>
      </c>
      <c r="BA1312" s="9">
        <f>VLOOKUP(A1312,Jogos!A:BN,59,0)</f>
        <v>21.59</v>
      </c>
      <c r="BB1312" s="9">
        <f>VLOOKUP(A1312,Jogos!A:BN,60,0)</f>
        <v>63.5</v>
      </c>
      <c r="BC1312" s="9">
        <f>VLOOKUP(A1312,Jogos!A:BN,61,0)</f>
        <v>28.83</v>
      </c>
      <c r="BD1312" s="9">
        <f>VLOOKUP(A1312,Jogos!A:BN,62,0)</f>
        <v>660.25</v>
      </c>
      <c r="BE1312" s="9">
        <f>VLOOKUP(A1312,Jogos!A:BN,63,0)</f>
        <v>1.74</v>
      </c>
      <c r="BF1312" s="9">
        <f>VLOOKUP(A1312,Jogos!A:BN,64,0)</f>
        <v>24.685</v>
      </c>
      <c r="BG1312" s="9">
        <f>VLOOKUP(A1312,Jogos!A:BN,65,0)</f>
        <v>43.51</v>
      </c>
      <c r="BH1312" s="9">
        <f>VLOOKUP(A1312,Jogos!A:BN,66,0)</f>
        <v>28.885</v>
      </c>
      <c r="BI1312" s="9"/>
      <c r="BJ1312" s="9"/>
    </row>
    <row r="1313" hidden="1">
      <c r="A1313" s="2">
        <v>45.0</v>
      </c>
      <c r="B1313" s="11" t="s">
        <v>809</v>
      </c>
      <c r="C1313" s="2" t="s">
        <v>61</v>
      </c>
      <c r="D1313" s="3">
        <v>45834.0</v>
      </c>
      <c r="E1313" s="4">
        <v>0.625</v>
      </c>
      <c r="F1313" s="5" t="str">
        <f>VLOOKUP(A1313,Jogos!A:N,10,0)</f>
        <v>Afternoon</v>
      </c>
      <c r="G1313" s="2" t="s">
        <v>1269</v>
      </c>
      <c r="H1313" s="6" t="str">
        <f>VLOOKUP(A1313,Jogos!A:L,12,0)</f>
        <v>Open</v>
      </c>
      <c r="I1313" s="6" t="str">
        <f>VLOOKUP(G1313,'Estádios e Cidades'!A:B,2,0)</f>
        <v>Orlando</v>
      </c>
      <c r="J1313" s="2" t="s">
        <v>999</v>
      </c>
      <c r="K1313" s="2" t="str">
        <f>VLOOKUP(J1313,Equipes!A:F,6,0)</f>
        <v>Temperate</v>
      </c>
      <c r="L1313" s="2">
        <f>VLOOKUP(J1313,Equipes!A:C,3,0)</f>
        <v>13</v>
      </c>
      <c r="M1313" s="2" t="str">
        <f t="shared" si="4"/>
        <v>Round of 16</v>
      </c>
      <c r="N1313" s="2" t="s">
        <v>810</v>
      </c>
      <c r="O1313" s="2">
        <f>VLOOKUP(N1313,Equipes!A:C,3,0)</f>
        <v>9</v>
      </c>
      <c r="P1313" s="2" t="str">
        <f t="shared" si="5"/>
        <v>Round of 16</v>
      </c>
      <c r="Q1313" s="2">
        <f t="shared" si="6"/>
        <v>4</v>
      </c>
      <c r="R1313" s="2" t="str">
        <f>VLOOKUP(J1313,Equipes!A:B,2,0)</f>
        <v>Juventus</v>
      </c>
      <c r="S1313" s="6" t="s">
        <v>1032</v>
      </c>
      <c r="T1313" s="7">
        <v>6.0</v>
      </c>
      <c r="U1313" s="7" t="s">
        <v>1033</v>
      </c>
      <c r="V1313" s="7" t="str">
        <f>VLOOKUP(U1313,Jogadores!B:C,2,0)</f>
        <v>DF</v>
      </c>
      <c r="W1313" s="8">
        <f>VLOOKUP(U1313,Jogadores!B:D,3,0)</f>
        <v>26.82739726</v>
      </c>
      <c r="X1313" s="7">
        <v>0.0</v>
      </c>
      <c r="Y1313" s="7">
        <f>45+AB1313</f>
        <v>93</v>
      </c>
      <c r="Z1313" s="7">
        <f>VLOOKUP(A1313,Jogos!A:L,3,0)</f>
        <v>49</v>
      </c>
      <c r="AA1313" s="7">
        <f t="shared" si="2229"/>
        <v>49</v>
      </c>
      <c r="AB1313" s="7">
        <f>VLOOKUP(A1313,Jogos!A:L,4,0)</f>
        <v>48</v>
      </c>
      <c r="AC1313" s="7">
        <f t="shared" si="2230"/>
        <v>48</v>
      </c>
      <c r="AD1313" s="7"/>
      <c r="AE1313" s="7"/>
      <c r="AF1313" s="7">
        <f t="shared" si="2231"/>
        <v>97</v>
      </c>
      <c r="AG1313" s="7">
        <v>9355.0</v>
      </c>
      <c r="AH1313" s="7">
        <v>3917.4</v>
      </c>
      <c r="AI1313" s="7">
        <v>3622.8</v>
      </c>
      <c r="AJ1313" s="7">
        <v>1190.3</v>
      </c>
      <c r="AK1313" s="7">
        <v>479.1</v>
      </c>
      <c r="AL1313" s="7">
        <v>145.5</v>
      </c>
      <c r="AM1313" s="7">
        <v>58.0</v>
      </c>
      <c r="AN1313" s="7">
        <v>10.0</v>
      </c>
      <c r="AO1313" s="7">
        <v>32.0</v>
      </c>
      <c r="AP1313" s="9">
        <f t="shared" ref="AP1313:AR1313" si="4099">AG1313/$AF1313</f>
        <v>96.44329897</v>
      </c>
      <c r="AQ1313" s="9">
        <f t="shared" si="4099"/>
        <v>40.38556701</v>
      </c>
      <c r="AR1313" s="9">
        <f t="shared" si="4099"/>
        <v>37.34845361</v>
      </c>
      <c r="AS1313" s="9">
        <f t="shared" si="2233"/>
        <v>77.73402062</v>
      </c>
      <c r="AT1313" s="9">
        <f t="shared" ref="AT1313:AV1313" si="4100">AJ1313/$AF1313</f>
        <v>12.27113402</v>
      </c>
      <c r="AU1313" s="9">
        <f t="shared" si="4100"/>
        <v>4.939175258</v>
      </c>
      <c r="AV1313" s="9">
        <f t="shared" si="4100"/>
        <v>1.5</v>
      </c>
      <c r="AW1313" s="9">
        <f t="shared" si="2235"/>
        <v>6.439175258</v>
      </c>
      <c r="AX1313" s="9">
        <f t="shared" ref="AX1313:AY1313" si="4101">AM1313/$AF1313</f>
        <v>0.5979381443</v>
      </c>
      <c r="AY1313" s="9">
        <f t="shared" si="4101"/>
        <v>0.1030927835</v>
      </c>
      <c r="AZ1313" s="9">
        <f>VLOOKUP(A1313,Jogos!A:BN,58,0)</f>
        <v>29.045</v>
      </c>
      <c r="BA1313" s="9">
        <f>VLOOKUP(A1313,Jogos!A:BN,59,0)</f>
        <v>21.59</v>
      </c>
      <c r="BB1313" s="9">
        <f>VLOOKUP(A1313,Jogos!A:BN,60,0)</f>
        <v>63.5</v>
      </c>
      <c r="BC1313" s="9">
        <f>VLOOKUP(A1313,Jogos!A:BN,61,0)</f>
        <v>28.83</v>
      </c>
      <c r="BD1313" s="9">
        <f>VLOOKUP(A1313,Jogos!A:BN,62,0)</f>
        <v>660.25</v>
      </c>
      <c r="BE1313" s="9">
        <f>VLOOKUP(A1313,Jogos!A:BN,63,0)</f>
        <v>1.74</v>
      </c>
      <c r="BF1313" s="9">
        <f>VLOOKUP(A1313,Jogos!A:BN,64,0)</f>
        <v>24.685</v>
      </c>
      <c r="BG1313" s="9">
        <f>VLOOKUP(A1313,Jogos!A:BN,65,0)</f>
        <v>43.51</v>
      </c>
      <c r="BH1313" s="9">
        <f>VLOOKUP(A1313,Jogos!A:BN,66,0)</f>
        <v>28.885</v>
      </c>
      <c r="BI1313" s="9"/>
      <c r="BJ1313" s="9"/>
    </row>
    <row r="1314" hidden="1">
      <c r="A1314" s="2">
        <v>45.0</v>
      </c>
      <c r="B1314" s="11" t="s">
        <v>809</v>
      </c>
      <c r="C1314" s="2" t="s">
        <v>61</v>
      </c>
      <c r="D1314" s="3">
        <v>45834.0</v>
      </c>
      <c r="E1314" s="4">
        <v>0.625</v>
      </c>
      <c r="F1314" s="5" t="str">
        <f>VLOOKUP(A1314,Jogos!A:N,10,0)</f>
        <v>Afternoon</v>
      </c>
      <c r="G1314" s="2" t="s">
        <v>1269</v>
      </c>
      <c r="H1314" s="6" t="str">
        <f>VLOOKUP(A1314,Jogos!A:L,12,0)</f>
        <v>Open</v>
      </c>
      <c r="I1314" s="6" t="str">
        <f>VLOOKUP(G1314,'Estádios e Cidades'!A:B,2,0)</f>
        <v>Orlando</v>
      </c>
      <c r="J1314" s="2" t="s">
        <v>999</v>
      </c>
      <c r="K1314" s="2" t="str">
        <f>VLOOKUP(J1314,Equipes!A:F,6,0)</f>
        <v>Temperate</v>
      </c>
      <c r="L1314" s="2">
        <f>VLOOKUP(J1314,Equipes!A:C,3,0)</f>
        <v>13</v>
      </c>
      <c r="M1314" s="2" t="str">
        <f t="shared" si="4"/>
        <v>Round of 16</v>
      </c>
      <c r="N1314" s="2" t="s">
        <v>810</v>
      </c>
      <c r="O1314" s="2">
        <f>VLOOKUP(N1314,Equipes!A:C,3,0)</f>
        <v>9</v>
      </c>
      <c r="P1314" s="2" t="str">
        <f t="shared" si="5"/>
        <v>Round of 16</v>
      </c>
      <c r="Q1314" s="2">
        <f t="shared" si="6"/>
        <v>4</v>
      </c>
      <c r="R1314" s="2" t="str">
        <f>VLOOKUP(J1314,Equipes!A:B,2,0)</f>
        <v>Juventus</v>
      </c>
      <c r="S1314" s="6" t="s">
        <v>1052</v>
      </c>
      <c r="T1314" s="7">
        <v>8.0</v>
      </c>
      <c r="U1314" s="7" t="s">
        <v>1053</v>
      </c>
      <c r="V1314" s="7" t="str">
        <f>VLOOKUP(U1314,Jogadores!B:C,2,0)</f>
        <v>MF</v>
      </c>
      <c r="W1314" s="8">
        <f>VLOOKUP(U1314,Jogadores!B:D,3,0)</f>
        <v>27.43013699</v>
      </c>
      <c r="X1314" s="7">
        <v>0.0</v>
      </c>
      <c r="Y1314" s="7">
        <v>57.0</v>
      </c>
      <c r="Z1314" s="7">
        <f>VLOOKUP(A1314,Jogos!A:L,3,0)</f>
        <v>49</v>
      </c>
      <c r="AA1314" s="7">
        <f t="shared" si="2229"/>
        <v>49</v>
      </c>
      <c r="AB1314" s="7">
        <f>VLOOKUP(A1314,Jogos!A:L,4,0)</f>
        <v>48</v>
      </c>
      <c r="AC1314" s="7">
        <f t="shared" si="2230"/>
        <v>12</v>
      </c>
      <c r="AD1314" s="7"/>
      <c r="AE1314" s="7"/>
      <c r="AF1314" s="7">
        <f t="shared" si="2231"/>
        <v>61</v>
      </c>
      <c r="AG1314" s="7">
        <v>7296.6</v>
      </c>
      <c r="AH1314" s="7">
        <v>2101.7</v>
      </c>
      <c r="AI1314" s="7">
        <v>3371.7</v>
      </c>
      <c r="AJ1314" s="7">
        <v>1330.1</v>
      </c>
      <c r="AK1314" s="7">
        <v>415.8</v>
      </c>
      <c r="AL1314" s="7">
        <v>77.4</v>
      </c>
      <c r="AM1314" s="7">
        <v>38.0</v>
      </c>
      <c r="AN1314" s="7">
        <v>6.0</v>
      </c>
      <c r="AO1314" s="7">
        <v>27.9</v>
      </c>
      <c r="AP1314" s="9">
        <f t="shared" ref="AP1314:AR1314" si="4102">AG1314/$AF1314</f>
        <v>119.6163934</v>
      </c>
      <c r="AQ1314" s="9">
        <f t="shared" si="4102"/>
        <v>34.45409836</v>
      </c>
      <c r="AR1314" s="9">
        <f t="shared" si="4102"/>
        <v>55.27377049</v>
      </c>
      <c r="AS1314" s="9">
        <f t="shared" si="2233"/>
        <v>89.72786885</v>
      </c>
      <c r="AT1314" s="9">
        <f t="shared" ref="AT1314:AV1314" si="4103">AJ1314/$AF1314</f>
        <v>21.80491803</v>
      </c>
      <c r="AU1314" s="9">
        <f t="shared" si="4103"/>
        <v>6.816393443</v>
      </c>
      <c r="AV1314" s="9">
        <f t="shared" si="4103"/>
        <v>1.268852459</v>
      </c>
      <c r="AW1314" s="9">
        <f t="shared" si="2235"/>
        <v>8.085245902</v>
      </c>
      <c r="AX1314" s="9">
        <f t="shared" ref="AX1314:AY1314" si="4104">AM1314/$AF1314</f>
        <v>0.6229508197</v>
      </c>
      <c r="AY1314" s="9">
        <f t="shared" si="4104"/>
        <v>0.09836065574</v>
      </c>
      <c r="AZ1314" s="9">
        <f>VLOOKUP(A1314,Jogos!A:BN,58,0)</f>
        <v>29.045</v>
      </c>
      <c r="BA1314" s="9">
        <f>VLOOKUP(A1314,Jogos!A:BN,59,0)</f>
        <v>21.59</v>
      </c>
      <c r="BB1314" s="9">
        <f>VLOOKUP(A1314,Jogos!A:BN,60,0)</f>
        <v>63.5</v>
      </c>
      <c r="BC1314" s="9">
        <f>VLOOKUP(A1314,Jogos!A:BN,61,0)</f>
        <v>28.83</v>
      </c>
      <c r="BD1314" s="9">
        <f>VLOOKUP(A1314,Jogos!A:BN,62,0)</f>
        <v>660.25</v>
      </c>
      <c r="BE1314" s="9">
        <f>VLOOKUP(A1314,Jogos!A:BN,63,0)</f>
        <v>1.74</v>
      </c>
      <c r="BF1314" s="9">
        <f>VLOOKUP(A1314,Jogos!A:BN,64,0)</f>
        <v>24.685</v>
      </c>
      <c r="BG1314" s="9">
        <f>VLOOKUP(A1314,Jogos!A:BN,65,0)</f>
        <v>43.51</v>
      </c>
      <c r="BH1314" s="9">
        <f>VLOOKUP(A1314,Jogos!A:BN,66,0)</f>
        <v>28.885</v>
      </c>
      <c r="BI1314" s="9"/>
      <c r="BJ1314" s="9"/>
    </row>
    <row r="1315" hidden="1">
      <c r="A1315" s="2">
        <v>45.0</v>
      </c>
      <c r="B1315" s="11" t="s">
        <v>809</v>
      </c>
      <c r="C1315" s="2" t="s">
        <v>61</v>
      </c>
      <c r="D1315" s="3">
        <v>45834.0</v>
      </c>
      <c r="E1315" s="4">
        <v>0.625</v>
      </c>
      <c r="F1315" s="5" t="str">
        <f>VLOOKUP(A1315,Jogos!A:N,10,0)</f>
        <v>Afternoon</v>
      </c>
      <c r="G1315" s="2" t="s">
        <v>1269</v>
      </c>
      <c r="H1315" s="6" t="str">
        <f>VLOOKUP(A1315,Jogos!A:L,12,0)</f>
        <v>Open</v>
      </c>
      <c r="I1315" s="6" t="str">
        <f>VLOOKUP(G1315,'Estádios e Cidades'!A:B,2,0)</f>
        <v>Orlando</v>
      </c>
      <c r="J1315" s="2" t="s">
        <v>999</v>
      </c>
      <c r="K1315" s="2" t="str">
        <f>VLOOKUP(J1315,Equipes!A:F,6,0)</f>
        <v>Temperate</v>
      </c>
      <c r="L1315" s="2">
        <f>VLOOKUP(J1315,Equipes!A:C,3,0)</f>
        <v>13</v>
      </c>
      <c r="M1315" s="2" t="str">
        <f t="shared" si="4"/>
        <v>Round of 16</v>
      </c>
      <c r="N1315" s="2" t="s">
        <v>810</v>
      </c>
      <c r="O1315" s="2">
        <f>VLOOKUP(N1315,Equipes!A:C,3,0)</f>
        <v>9</v>
      </c>
      <c r="P1315" s="2" t="str">
        <f t="shared" si="5"/>
        <v>Round of 16</v>
      </c>
      <c r="Q1315" s="2">
        <f t="shared" si="6"/>
        <v>4</v>
      </c>
      <c r="R1315" s="2" t="str">
        <f>VLOOKUP(J1315,Equipes!A:B,2,0)</f>
        <v>Juventus</v>
      </c>
      <c r="S1315" s="6" t="s">
        <v>1054</v>
      </c>
      <c r="T1315" s="7">
        <v>9.0</v>
      </c>
      <c r="U1315" s="7" t="s">
        <v>1055</v>
      </c>
      <c r="V1315" s="7" t="str">
        <f>VLOOKUP(U1315,Jogadores!B:C,2,0)</f>
        <v>FW</v>
      </c>
      <c r="W1315" s="8">
        <f>VLOOKUP(U1315,Jogadores!B:D,3,0)</f>
        <v>25.51506849</v>
      </c>
      <c r="X1315" s="7">
        <v>0.0</v>
      </c>
      <c r="Y1315" s="7">
        <f t="shared" ref="Y1315:Y1317" si="4108">45+AB1315</f>
        <v>93</v>
      </c>
      <c r="Z1315" s="7">
        <f>VLOOKUP(A1315,Jogos!A:L,3,0)</f>
        <v>49</v>
      </c>
      <c r="AA1315" s="7">
        <f t="shared" si="2229"/>
        <v>49</v>
      </c>
      <c r="AB1315" s="7">
        <f>VLOOKUP(A1315,Jogos!A:L,4,0)</f>
        <v>48</v>
      </c>
      <c r="AC1315" s="7">
        <f t="shared" si="2230"/>
        <v>48</v>
      </c>
      <c r="AD1315" s="7"/>
      <c r="AE1315" s="7"/>
      <c r="AF1315" s="7">
        <f t="shared" si="2231"/>
        <v>97</v>
      </c>
      <c r="AG1315" s="7">
        <v>9905.8</v>
      </c>
      <c r="AH1315" s="7">
        <v>3763.0</v>
      </c>
      <c r="AI1315" s="7">
        <v>4424.9</v>
      </c>
      <c r="AJ1315" s="7">
        <v>1090.7</v>
      </c>
      <c r="AK1315" s="7">
        <v>409.9</v>
      </c>
      <c r="AL1315" s="7">
        <v>217.3</v>
      </c>
      <c r="AM1315" s="7">
        <v>52.0</v>
      </c>
      <c r="AN1315" s="7">
        <v>15.0</v>
      </c>
      <c r="AO1315" s="7">
        <v>32.0</v>
      </c>
      <c r="AP1315" s="9">
        <f t="shared" ref="AP1315:AR1315" si="4105">AG1315/$AF1315</f>
        <v>102.1216495</v>
      </c>
      <c r="AQ1315" s="9">
        <f t="shared" si="4105"/>
        <v>38.79381443</v>
      </c>
      <c r="AR1315" s="9">
        <f t="shared" si="4105"/>
        <v>45.61752577</v>
      </c>
      <c r="AS1315" s="9">
        <f t="shared" si="2233"/>
        <v>84.41134021</v>
      </c>
      <c r="AT1315" s="9">
        <f t="shared" ref="AT1315:AV1315" si="4106">AJ1315/$AF1315</f>
        <v>11.2443299</v>
      </c>
      <c r="AU1315" s="9">
        <f t="shared" si="4106"/>
        <v>4.225773196</v>
      </c>
      <c r="AV1315" s="9">
        <f t="shared" si="4106"/>
        <v>2.240206186</v>
      </c>
      <c r="AW1315" s="9">
        <f t="shared" si="2235"/>
        <v>6.465979381</v>
      </c>
      <c r="AX1315" s="9">
        <f t="shared" ref="AX1315:AY1315" si="4107">AM1315/$AF1315</f>
        <v>0.5360824742</v>
      </c>
      <c r="AY1315" s="9">
        <f t="shared" si="4107"/>
        <v>0.1546391753</v>
      </c>
      <c r="AZ1315" s="9">
        <f>VLOOKUP(A1315,Jogos!A:BN,58,0)</f>
        <v>29.045</v>
      </c>
      <c r="BA1315" s="9">
        <f>VLOOKUP(A1315,Jogos!A:BN,59,0)</f>
        <v>21.59</v>
      </c>
      <c r="BB1315" s="9">
        <f>VLOOKUP(A1315,Jogos!A:BN,60,0)</f>
        <v>63.5</v>
      </c>
      <c r="BC1315" s="9">
        <f>VLOOKUP(A1315,Jogos!A:BN,61,0)</f>
        <v>28.83</v>
      </c>
      <c r="BD1315" s="9">
        <f>VLOOKUP(A1315,Jogos!A:BN,62,0)</f>
        <v>660.25</v>
      </c>
      <c r="BE1315" s="9">
        <f>VLOOKUP(A1315,Jogos!A:BN,63,0)</f>
        <v>1.74</v>
      </c>
      <c r="BF1315" s="9">
        <f>VLOOKUP(A1315,Jogos!A:BN,64,0)</f>
        <v>24.685</v>
      </c>
      <c r="BG1315" s="9">
        <f>VLOOKUP(A1315,Jogos!A:BN,65,0)</f>
        <v>43.51</v>
      </c>
      <c r="BH1315" s="9">
        <f>VLOOKUP(A1315,Jogos!A:BN,66,0)</f>
        <v>28.885</v>
      </c>
      <c r="BI1315" s="9"/>
      <c r="BJ1315" s="9"/>
    </row>
    <row r="1316" hidden="1">
      <c r="A1316" s="2">
        <v>45.0</v>
      </c>
      <c r="B1316" s="11" t="s">
        <v>809</v>
      </c>
      <c r="C1316" s="2" t="s">
        <v>61</v>
      </c>
      <c r="D1316" s="3">
        <v>45834.0</v>
      </c>
      <c r="E1316" s="4">
        <v>0.625</v>
      </c>
      <c r="F1316" s="5" t="str">
        <f>VLOOKUP(A1316,Jogos!A:N,10,0)</f>
        <v>Afternoon</v>
      </c>
      <c r="G1316" s="2" t="s">
        <v>1269</v>
      </c>
      <c r="H1316" s="6" t="str">
        <f>VLOOKUP(A1316,Jogos!A:L,12,0)</f>
        <v>Open</v>
      </c>
      <c r="I1316" s="6" t="str">
        <f>VLOOKUP(G1316,'Estádios e Cidades'!A:B,2,0)</f>
        <v>Orlando</v>
      </c>
      <c r="J1316" s="2" t="s">
        <v>999</v>
      </c>
      <c r="K1316" s="2" t="str">
        <f>VLOOKUP(J1316,Equipes!A:F,6,0)</f>
        <v>Temperate</v>
      </c>
      <c r="L1316" s="2">
        <f>VLOOKUP(J1316,Equipes!A:C,3,0)</f>
        <v>13</v>
      </c>
      <c r="M1316" s="2" t="str">
        <f t="shared" si="4"/>
        <v>Round of 16</v>
      </c>
      <c r="N1316" s="2" t="s">
        <v>810</v>
      </c>
      <c r="O1316" s="2">
        <f>VLOOKUP(N1316,Equipes!A:C,3,0)</f>
        <v>9</v>
      </c>
      <c r="P1316" s="2" t="str">
        <f t="shared" si="5"/>
        <v>Round of 16</v>
      </c>
      <c r="Q1316" s="2">
        <f t="shared" si="6"/>
        <v>4</v>
      </c>
      <c r="R1316" s="2" t="str">
        <f>VLOOKUP(J1316,Equipes!A:B,2,0)</f>
        <v>Juventus</v>
      </c>
      <c r="S1316" s="6" t="s">
        <v>1192</v>
      </c>
      <c r="T1316" s="7">
        <v>11.0</v>
      </c>
      <c r="U1316" s="7" t="s">
        <v>1193</v>
      </c>
      <c r="V1316" s="7" t="str">
        <f>VLOOKUP(U1316,Jogadores!B:C,2,0)</f>
        <v>FW</v>
      </c>
      <c r="W1316" s="8">
        <f>VLOOKUP(U1316,Jogadores!B:D,3,0)</f>
        <v>27.32876712</v>
      </c>
      <c r="X1316" s="7">
        <v>0.0</v>
      </c>
      <c r="Y1316" s="7">
        <f t="shared" si="4108"/>
        <v>93</v>
      </c>
      <c r="Z1316" s="7">
        <f>VLOOKUP(A1316,Jogos!A:L,3,0)</f>
        <v>49</v>
      </c>
      <c r="AA1316" s="7">
        <f t="shared" si="2229"/>
        <v>49</v>
      </c>
      <c r="AB1316" s="7">
        <f>VLOOKUP(A1316,Jogos!A:L,4,0)</f>
        <v>48</v>
      </c>
      <c r="AC1316" s="7">
        <f t="shared" si="2230"/>
        <v>48</v>
      </c>
      <c r="AD1316" s="7"/>
      <c r="AE1316" s="7"/>
      <c r="AF1316" s="7">
        <f t="shared" si="2231"/>
        <v>97</v>
      </c>
      <c r="AG1316" s="7">
        <v>10366.7</v>
      </c>
      <c r="AH1316" s="7">
        <v>3663.6</v>
      </c>
      <c r="AI1316" s="7">
        <v>4684.0</v>
      </c>
      <c r="AJ1316" s="7">
        <v>1351.6</v>
      </c>
      <c r="AK1316" s="7">
        <v>427.8</v>
      </c>
      <c r="AL1316" s="7">
        <v>239.7</v>
      </c>
      <c r="AM1316" s="7">
        <v>53.0</v>
      </c>
      <c r="AN1316" s="7">
        <v>11.0</v>
      </c>
      <c r="AO1316" s="7">
        <v>33.2</v>
      </c>
      <c r="AP1316" s="9">
        <f t="shared" ref="AP1316:AR1316" si="4109">AG1316/$AF1316</f>
        <v>106.8731959</v>
      </c>
      <c r="AQ1316" s="9">
        <f t="shared" si="4109"/>
        <v>37.76907216</v>
      </c>
      <c r="AR1316" s="9">
        <f t="shared" si="4109"/>
        <v>48.28865979</v>
      </c>
      <c r="AS1316" s="9">
        <f t="shared" si="2233"/>
        <v>86.05773196</v>
      </c>
      <c r="AT1316" s="9">
        <f t="shared" ref="AT1316:AV1316" si="4110">AJ1316/$AF1316</f>
        <v>13.93402062</v>
      </c>
      <c r="AU1316" s="9">
        <f t="shared" si="4110"/>
        <v>4.410309278</v>
      </c>
      <c r="AV1316" s="9">
        <f t="shared" si="4110"/>
        <v>2.471134021</v>
      </c>
      <c r="AW1316" s="9">
        <f t="shared" si="2235"/>
        <v>6.881443299</v>
      </c>
      <c r="AX1316" s="9">
        <f t="shared" ref="AX1316:AY1316" si="4111">AM1316/$AF1316</f>
        <v>0.5463917526</v>
      </c>
      <c r="AY1316" s="9">
        <f t="shared" si="4111"/>
        <v>0.1134020619</v>
      </c>
      <c r="AZ1316" s="9">
        <f>VLOOKUP(A1316,Jogos!A:BN,58,0)</f>
        <v>29.045</v>
      </c>
      <c r="BA1316" s="9">
        <f>VLOOKUP(A1316,Jogos!A:BN,59,0)</f>
        <v>21.59</v>
      </c>
      <c r="BB1316" s="9">
        <f>VLOOKUP(A1316,Jogos!A:BN,60,0)</f>
        <v>63.5</v>
      </c>
      <c r="BC1316" s="9">
        <f>VLOOKUP(A1316,Jogos!A:BN,61,0)</f>
        <v>28.83</v>
      </c>
      <c r="BD1316" s="9">
        <f>VLOOKUP(A1316,Jogos!A:BN,62,0)</f>
        <v>660.25</v>
      </c>
      <c r="BE1316" s="9">
        <f>VLOOKUP(A1316,Jogos!A:BN,63,0)</f>
        <v>1.74</v>
      </c>
      <c r="BF1316" s="9">
        <f>VLOOKUP(A1316,Jogos!A:BN,64,0)</f>
        <v>24.685</v>
      </c>
      <c r="BG1316" s="9">
        <f>VLOOKUP(A1316,Jogos!A:BN,65,0)</f>
        <v>43.51</v>
      </c>
      <c r="BH1316" s="9">
        <f>VLOOKUP(A1316,Jogos!A:BN,66,0)</f>
        <v>28.885</v>
      </c>
      <c r="BI1316" s="9"/>
      <c r="BJ1316" s="9"/>
    </row>
    <row r="1317" hidden="1">
      <c r="A1317" s="2">
        <v>45.0</v>
      </c>
      <c r="B1317" s="11" t="s">
        <v>809</v>
      </c>
      <c r="C1317" s="2" t="s">
        <v>61</v>
      </c>
      <c r="D1317" s="3">
        <v>45834.0</v>
      </c>
      <c r="E1317" s="4">
        <v>0.625</v>
      </c>
      <c r="F1317" s="5" t="str">
        <f>VLOOKUP(A1317,Jogos!A:N,10,0)</f>
        <v>Afternoon</v>
      </c>
      <c r="G1317" s="2" t="s">
        <v>1269</v>
      </c>
      <c r="H1317" s="6" t="str">
        <f>VLOOKUP(A1317,Jogos!A:L,12,0)</f>
        <v>Open</v>
      </c>
      <c r="I1317" s="6" t="str">
        <f>VLOOKUP(G1317,'Estádios e Cidades'!A:B,2,0)</f>
        <v>Orlando</v>
      </c>
      <c r="J1317" s="2" t="s">
        <v>999</v>
      </c>
      <c r="K1317" s="2" t="str">
        <f>VLOOKUP(J1317,Equipes!A:F,6,0)</f>
        <v>Temperate</v>
      </c>
      <c r="L1317" s="2">
        <f>VLOOKUP(J1317,Equipes!A:C,3,0)</f>
        <v>13</v>
      </c>
      <c r="M1317" s="2" t="str">
        <f t="shared" si="4"/>
        <v>Round of 16</v>
      </c>
      <c r="N1317" s="2" t="s">
        <v>810</v>
      </c>
      <c r="O1317" s="2">
        <f>VLOOKUP(N1317,Equipes!A:C,3,0)</f>
        <v>9</v>
      </c>
      <c r="P1317" s="2" t="str">
        <f t="shared" si="5"/>
        <v>Round of 16</v>
      </c>
      <c r="Q1317" s="2">
        <f t="shared" si="6"/>
        <v>4</v>
      </c>
      <c r="R1317" s="2" t="str">
        <f>VLOOKUP(J1317,Equipes!A:B,2,0)</f>
        <v>Juventus</v>
      </c>
      <c r="S1317" s="6" t="s">
        <v>1038</v>
      </c>
      <c r="T1317" s="7">
        <v>15.0</v>
      </c>
      <c r="U1317" s="7" t="s">
        <v>1039</v>
      </c>
      <c r="V1317" s="7" t="str">
        <f>VLOOKUP(U1317,Jogadores!B:C,2,0)</f>
        <v>DF</v>
      </c>
      <c r="W1317" s="8">
        <f>VLOOKUP(U1317,Jogadores!B:D,3,0)</f>
        <v>25.16164384</v>
      </c>
      <c r="X1317" s="7">
        <v>0.0</v>
      </c>
      <c r="Y1317" s="7">
        <f t="shared" si="4108"/>
        <v>93</v>
      </c>
      <c r="Z1317" s="7">
        <f>VLOOKUP(A1317,Jogos!A:L,3,0)</f>
        <v>49</v>
      </c>
      <c r="AA1317" s="7">
        <f t="shared" si="2229"/>
        <v>49</v>
      </c>
      <c r="AB1317" s="7">
        <f>VLOOKUP(A1317,Jogos!A:L,4,0)</f>
        <v>48</v>
      </c>
      <c r="AC1317" s="7">
        <f t="shared" si="2230"/>
        <v>48</v>
      </c>
      <c r="AD1317" s="7"/>
      <c r="AE1317" s="7"/>
      <c r="AF1317" s="7">
        <f t="shared" si="2231"/>
        <v>97</v>
      </c>
      <c r="AG1317" s="7">
        <v>9728.5</v>
      </c>
      <c r="AH1317" s="7">
        <v>3798.5</v>
      </c>
      <c r="AI1317" s="7">
        <v>3924.5</v>
      </c>
      <c r="AJ1317" s="7">
        <v>1215.4</v>
      </c>
      <c r="AK1317" s="7">
        <v>668.1</v>
      </c>
      <c r="AL1317" s="7">
        <v>122.0</v>
      </c>
      <c r="AM1317" s="7">
        <v>65.0</v>
      </c>
      <c r="AN1317" s="7">
        <v>12.0</v>
      </c>
      <c r="AO1317" s="7">
        <v>29.8</v>
      </c>
      <c r="AP1317" s="9">
        <f t="shared" ref="AP1317:AR1317" si="4112">AG1317/$AF1317</f>
        <v>100.2938144</v>
      </c>
      <c r="AQ1317" s="9">
        <f t="shared" si="4112"/>
        <v>39.15979381</v>
      </c>
      <c r="AR1317" s="9">
        <f t="shared" si="4112"/>
        <v>40.45876289</v>
      </c>
      <c r="AS1317" s="9">
        <f t="shared" si="2233"/>
        <v>79.6185567</v>
      </c>
      <c r="AT1317" s="9">
        <f t="shared" ref="AT1317:AV1317" si="4113">AJ1317/$AF1317</f>
        <v>12.52989691</v>
      </c>
      <c r="AU1317" s="9">
        <f t="shared" si="4113"/>
        <v>6.887628866</v>
      </c>
      <c r="AV1317" s="9">
        <f t="shared" si="4113"/>
        <v>1.257731959</v>
      </c>
      <c r="AW1317" s="9">
        <f t="shared" si="2235"/>
        <v>8.145360825</v>
      </c>
      <c r="AX1317" s="9">
        <f t="shared" ref="AX1317:AY1317" si="4114">AM1317/$AF1317</f>
        <v>0.6701030928</v>
      </c>
      <c r="AY1317" s="9">
        <f t="shared" si="4114"/>
        <v>0.1237113402</v>
      </c>
      <c r="AZ1317" s="9">
        <f>VLOOKUP(A1317,Jogos!A:BN,58,0)</f>
        <v>29.045</v>
      </c>
      <c r="BA1317" s="9">
        <f>VLOOKUP(A1317,Jogos!A:BN,59,0)</f>
        <v>21.59</v>
      </c>
      <c r="BB1317" s="9">
        <f>VLOOKUP(A1317,Jogos!A:BN,60,0)</f>
        <v>63.5</v>
      </c>
      <c r="BC1317" s="9">
        <f>VLOOKUP(A1317,Jogos!A:BN,61,0)</f>
        <v>28.83</v>
      </c>
      <c r="BD1317" s="9">
        <f>VLOOKUP(A1317,Jogos!A:BN,62,0)</f>
        <v>660.25</v>
      </c>
      <c r="BE1317" s="9">
        <f>VLOOKUP(A1317,Jogos!A:BN,63,0)</f>
        <v>1.74</v>
      </c>
      <c r="BF1317" s="9">
        <f>VLOOKUP(A1317,Jogos!A:BN,64,0)</f>
        <v>24.685</v>
      </c>
      <c r="BG1317" s="9">
        <f>VLOOKUP(A1317,Jogos!A:BN,65,0)</f>
        <v>43.51</v>
      </c>
      <c r="BH1317" s="9">
        <f>VLOOKUP(A1317,Jogos!A:BN,66,0)</f>
        <v>28.885</v>
      </c>
      <c r="BI1317" s="9"/>
      <c r="BJ1317" s="9"/>
    </row>
    <row r="1318" hidden="1">
      <c r="A1318" s="2">
        <v>45.0</v>
      </c>
      <c r="B1318" s="11" t="s">
        <v>809</v>
      </c>
      <c r="C1318" s="2" t="s">
        <v>61</v>
      </c>
      <c r="D1318" s="3">
        <v>45834.0</v>
      </c>
      <c r="E1318" s="4">
        <v>0.625</v>
      </c>
      <c r="F1318" s="5" t="str">
        <f>VLOOKUP(A1318,Jogos!A:N,10,0)</f>
        <v>Afternoon</v>
      </c>
      <c r="G1318" s="2" t="s">
        <v>1269</v>
      </c>
      <c r="H1318" s="6" t="str">
        <f>VLOOKUP(A1318,Jogos!A:L,12,0)</f>
        <v>Open</v>
      </c>
      <c r="I1318" s="6" t="str">
        <f>VLOOKUP(G1318,'Estádios e Cidades'!A:B,2,0)</f>
        <v>Orlando</v>
      </c>
      <c r="J1318" s="2" t="s">
        <v>999</v>
      </c>
      <c r="K1318" s="2" t="str">
        <f>VLOOKUP(J1318,Equipes!A:F,6,0)</f>
        <v>Temperate</v>
      </c>
      <c r="L1318" s="2">
        <f>VLOOKUP(J1318,Equipes!A:C,3,0)</f>
        <v>13</v>
      </c>
      <c r="M1318" s="2" t="str">
        <f t="shared" si="4"/>
        <v>Round of 16</v>
      </c>
      <c r="N1318" s="2" t="s">
        <v>810</v>
      </c>
      <c r="O1318" s="2">
        <f>VLOOKUP(N1318,Equipes!A:C,3,0)</f>
        <v>9</v>
      </c>
      <c r="P1318" s="2" t="str">
        <f t="shared" si="5"/>
        <v>Round of 16</v>
      </c>
      <c r="Q1318" s="2">
        <f t="shared" si="6"/>
        <v>4</v>
      </c>
      <c r="R1318" s="2" t="str">
        <f>VLOOKUP(J1318,Equipes!A:B,2,0)</f>
        <v>Juventus</v>
      </c>
      <c r="S1318" s="6" t="s">
        <v>1040</v>
      </c>
      <c r="T1318" s="7">
        <v>16.0</v>
      </c>
      <c r="U1318" s="7" t="s">
        <v>1041</v>
      </c>
      <c r="V1318" s="7" t="str">
        <f>VLOOKUP(U1318,Jogadores!B:C,2,0)</f>
        <v>MF</v>
      </c>
      <c r="W1318" s="8">
        <f>VLOOKUP(U1318,Jogadores!B:D,3,0)</f>
        <v>26.93424658</v>
      </c>
      <c r="X1318" s="7">
        <v>0.0</v>
      </c>
      <c r="Y1318" s="7">
        <v>83.0</v>
      </c>
      <c r="Z1318" s="7">
        <f>VLOOKUP(A1318,Jogos!A:L,3,0)</f>
        <v>49</v>
      </c>
      <c r="AA1318" s="7">
        <f t="shared" si="2229"/>
        <v>49</v>
      </c>
      <c r="AB1318" s="7">
        <f>VLOOKUP(A1318,Jogos!A:L,4,0)</f>
        <v>48</v>
      </c>
      <c r="AC1318" s="7">
        <f t="shared" si="2230"/>
        <v>38</v>
      </c>
      <c r="AD1318" s="7"/>
      <c r="AE1318" s="7"/>
      <c r="AF1318" s="7">
        <f t="shared" si="2231"/>
        <v>87</v>
      </c>
      <c r="AG1318" s="7">
        <v>9567.2</v>
      </c>
      <c r="AH1318" s="7">
        <v>3313.5</v>
      </c>
      <c r="AI1318" s="7">
        <v>4380.4</v>
      </c>
      <c r="AJ1318" s="7">
        <v>1472.6</v>
      </c>
      <c r="AK1318" s="7">
        <v>344.9</v>
      </c>
      <c r="AL1318" s="7">
        <v>55.8</v>
      </c>
      <c r="AM1318" s="7">
        <v>33.0</v>
      </c>
      <c r="AN1318" s="7">
        <v>6.0</v>
      </c>
      <c r="AO1318" s="7">
        <v>28.4</v>
      </c>
      <c r="AP1318" s="9">
        <f t="shared" ref="AP1318:AR1318" si="4115">AG1318/$AF1318</f>
        <v>109.9678161</v>
      </c>
      <c r="AQ1318" s="9">
        <f t="shared" si="4115"/>
        <v>38.0862069</v>
      </c>
      <c r="AR1318" s="9">
        <f t="shared" si="4115"/>
        <v>50.34942529</v>
      </c>
      <c r="AS1318" s="9">
        <f t="shared" si="2233"/>
        <v>88.43563218</v>
      </c>
      <c r="AT1318" s="9">
        <f t="shared" ref="AT1318:AV1318" si="4116">AJ1318/$AF1318</f>
        <v>16.92643678</v>
      </c>
      <c r="AU1318" s="9">
        <f t="shared" si="4116"/>
        <v>3.964367816</v>
      </c>
      <c r="AV1318" s="9">
        <f t="shared" si="4116"/>
        <v>0.6413793103</v>
      </c>
      <c r="AW1318" s="9">
        <f t="shared" si="2235"/>
        <v>4.605747126</v>
      </c>
      <c r="AX1318" s="9">
        <f t="shared" ref="AX1318:AY1318" si="4117">AM1318/$AF1318</f>
        <v>0.3793103448</v>
      </c>
      <c r="AY1318" s="9">
        <f t="shared" si="4117"/>
        <v>0.06896551724</v>
      </c>
      <c r="AZ1318" s="9">
        <f>VLOOKUP(A1318,Jogos!A:BN,58,0)</f>
        <v>29.045</v>
      </c>
      <c r="BA1318" s="9">
        <f>VLOOKUP(A1318,Jogos!A:BN,59,0)</f>
        <v>21.59</v>
      </c>
      <c r="BB1318" s="9">
        <f>VLOOKUP(A1318,Jogos!A:BN,60,0)</f>
        <v>63.5</v>
      </c>
      <c r="BC1318" s="9">
        <f>VLOOKUP(A1318,Jogos!A:BN,61,0)</f>
        <v>28.83</v>
      </c>
      <c r="BD1318" s="9">
        <f>VLOOKUP(A1318,Jogos!A:BN,62,0)</f>
        <v>660.25</v>
      </c>
      <c r="BE1318" s="9">
        <f>VLOOKUP(A1318,Jogos!A:BN,63,0)</f>
        <v>1.74</v>
      </c>
      <c r="BF1318" s="9">
        <f>VLOOKUP(A1318,Jogos!A:BN,64,0)</f>
        <v>24.685</v>
      </c>
      <c r="BG1318" s="9">
        <f>VLOOKUP(A1318,Jogos!A:BN,65,0)</f>
        <v>43.51</v>
      </c>
      <c r="BH1318" s="9">
        <f>VLOOKUP(A1318,Jogos!A:BN,66,0)</f>
        <v>28.885</v>
      </c>
      <c r="BI1318" s="9"/>
      <c r="BJ1318" s="9"/>
    </row>
    <row r="1319" hidden="1">
      <c r="A1319" s="2">
        <v>45.0</v>
      </c>
      <c r="B1319" s="11" t="s">
        <v>809</v>
      </c>
      <c r="C1319" s="2" t="s">
        <v>61</v>
      </c>
      <c r="D1319" s="3">
        <v>45834.0</v>
      </c>
      <c r="E1319" s="4">
        <v>0.625</v>
      </c>
      <c r="F1319" s="5" t="str">
        <f>VLOOKUP(A1319,Jogos!A:N,10,0)</f>
        <v>Afternoon</v>
      </c>
      <c r="G1319" s="2" t="s">
        <v>1269</v>
      </c>
      <c r="H1319" s="6" t="str">
        <f>VLOOKUP(A1319,Jogos!A:L,12,0)</f>
        <v>Open</v>
      </c>
      <c r="I1319" s="6" t="str">
        <f>VLOOKUP(G1319,'Estádios e Cidades'!A:B,2,0)</f>
        <v>Orlando</v>
      </c>
      <c r="J1319" s="2" t="s">
        <v>999</v>
      </c>
      <c r="K1319" s="2" t="str">
        <f>VLOOKUP(J1319,Equipes!A:F,6,0)</f>
        <v>Temperate</v>
      </c>
      <c r="L1319" s="2">
        <f>VLOOKUP(J1319,Equipes!A:C,3,0)</f>
        <v>13</v>
      </c>
      <c r="M1319" s="2" t="str">
        <f t="shared" si="4"/>
        <v>Round of 16</v>
      </c>
      <c r="N1319" s="2" t="s">
        <v>810</v>
      </c>
      <c r="O1319" s="2">
        <f>VLOOKUP(N1319,Equipes!A:C,3,0)</f>
        <v>9</v>
      </c>
      <c r="P1319" s="2" t="str">
        <f t="shared" si="5"/>
        <v>Round of 16</v>
      </c>
      <c r="Q1319" s="2">
        <f t="shared" si="6"/>
        <v>4</v>
      </c>
      <c r="R1319" s="2" t="str">
        <f>VLOOKUP(J1319,Equipes!A:B,2,0)</f>
        <v>Juventus</v>
      </c>
      <c r="S1319" s="6" t="s">
        <v>1326</v>
      </c>
      <c r="T1319" s="7">
        <v>18.0</v>
      </c>
      <c r="U1319" s="7" t="s">
        <v>1327</v>
      </c>
      <c r="V1319" s="7" t="str">
        <f>VLOOKUP(U1319,Jogadores!B:C,2,0)</f>
        <v>MF</v>
      </c>
      <c r="W1319" s="8">
        <f>VLOOKUP(U1319,Jogadores!B:D,3,0)</f>
        <v>32.75890411</v>
      </c>
      <c r="X1319" s="7">
        <v>0.0</v>
      </c>
      <c r="Y1319" s="7">
        <f>45+AB1319</f>
        <v>93</v>
      </c>
      <c r="Z1319" s="7">
        <f>VLOOKUP(A1319,Jogos!A:L,3,0)</f>
        <v>49</v>
      </c>
      <c r="AA1319" s="7">
        <f t="shared" si="2229"/>
        <v>49</v>
      </c>
      <c r="AB1319" s="7">
        <f>VLOOKUP(A1319,Jogos!A:L,4,0)</f>
        <v>48</v>
      </c>
      <c r="AC1319" s="7">
        <f t="shared" si="2230"/>
        <v>48</v>
      </c>
      <c r="AD1319" s="7"/>
      <c r="AE1319" s="7"/>
      <c r="AF1319" s="7">
        <f t="shared" si="2231"/>
        <v>97</v>
      </c>
      <c r="AG1319" s="7">
        <v>10040.4</v>
      </c>
      <c r="AH1319" s="7">
        <v>3977.3</v>
      </c>
      <c r="AI1319" s="7">
        <v>3634.8</v>
      </c>
      <c r="AJ1319" s="7">
        <v>1307.0</v>
      </c>
      <c r="AK1319" s="7">
        <v>962.7</v>
      </c>
      <c r="AL1319" s="7">
        <v>158.5</v>
      </c>
      <c r="AM1319" s="7">
        <v>79.0</v>
      </c>
      <c r="AN1319" s="7">
        <v>14.0</v>
      </c>
      <c r="AO1319" s="7">
        <v>31.8</v>
      </c>
      <c r="AP1319" s="9">
        <f t="shared" ref="AP1319:AR1319" si="4118">AG1319/$AF1319</f>
        <v>103.5092784</v>
      </c>
      <c r="AQ1319" s="9">
        <f t="shared" si="4118"/>
        <v>41.00309278</v>
      </c>
      <c r="AR1319" s="9">
        <f t="shared" si="4118"/>
        <v>37.47216495</v>
      </c>
      <c r="AS1319" s="9">
        <f t="shared" si="2233"/>
        <v>78.47525773</v>
      </c>
      <c r="AT1319" s="9">
        <f t="shared" ref="AT1319:AV1319" si="4119">AJ1319/$AF1319</f>
        <v>13.4742268</v>
      </c>
      <c r="AU1319" s="9">
        <f t="shared" si="4119"/>
        <v>9.924742268</v>
      </c>
      <c r="AV1319" s="9">
        <f t="shared" si="4119"/>
        <v>1.634020619</v>
      </c>
      <c r="AW1319" s="9">
        <f t="shared" si="2235"/>
        <v>11.55876289</v>
      </c>
      <c r="AX1319" s="9">
        <f t="shared" ref="AX1319:AY1319" si="4120">AM1319/$AF1319</f>
        <v>0.8144329897</v>
      </c>
      <c r="AY1319" s="9">
        <f t="shared" si="4120"/>
        <v>0.1443298969</v>
      </c>
      <c r="AZ1319" s="9">
        <f>VLOOKUP(A1319,Jogos!A:BN,58,0)</f>
        <v>29.045</v>
      </c>
      <c r="BA1319" s="9">
        <f>VLOOKUP(A1319,Jogos!A:BN,59,0)</f>
        <v>21.59</v>
      </c>
      <c r="BB1319" s="9">
        <f>VLOOKUP(A1319,Jogos!A:BN,60,0)</f>
        <v>63.5</v>
      </c>
      <c r="BC1319" s="9">
        <f>VLOOKUP(A1319,Jogos!A:BN,61,0)</f>
        <v>28.83</v>
      </c>
      <c r="BD1319" s="9">
        <f>VLOOKUP(A1319,Jogos!A:BN,62,0)</f>
        <v>660.25</v>
      </c>
      <c r="BE1319" s="9">
        <f>VLOOKUP(A1319,Jogos!A:BN,63,0)</f>
        <v>1.74</v>
      </c>
      <c r="BF1319" s="9">
        <f>VLOOKUP(A1319,Jogos!A:BN,64,0)</f>
        <v>24.685</v>
      </c>
      <c r="BG1319" s="9">
        <f>VLOOKUP(A1319,Jogos!A:BN,65,0)</f>
        <v>43.51</v>
      </c>
      <c r="BH1319" s="9">
        <f>VLOOKUP(A1319,Jogos!A:BN,66,0)</f>
        <v>28.885</v>
      </c>
      <c r="BI1319" s="9"/>
      <c r="BJ1319" s="9"/>
    </row>
    <row r="1320" hidden="1">
      <c r="A1320" s="2">
        <v>45.0</v>
      </c>
      <c r="B1320" s="11" t="s">
        <v>809</v>
      </c>
      <c r="C1320" s="2" t="s">
        <v>61</v>
      </c>
      <c r="D1320" s="3">
        <v>45834.0</v>
      </c>
      <c r="E1320" s="4">
        <v>0.625</v>
      </c>
      <c r="F1320" s="5" t="str">
        <f>VLOOKUP(A1320,Jogos!A:N,10,0)</f>
        <v>Afternoon</v>
      </c>
      <c r="G1320" s="2" t="s">
        <v>1269</v>
      </c>
      <c r="H1320" s="6" t="str">
        <f>VLOOKUP(A1320,Jogos!A:L,12,0)</f>
        <v>Open</v>
      </c>
      <c r="I1320" s="6" t="str">
        <f>VLOOKUP(G1320,'Estádios e Cidades'!A:B,2,0)</f>
        <v>Orlando</v>
      </c>
      <c r="J1320" s="2" t="s">
        <v>999</v>
      </c>
      <c r="K1320" s="2" t="str">
        <f>VLOOKUP(J1320,Equipes!A:F,6,0)</f>
        <v>Temperate</v>
      </c>
      <c r="L1320" s="2">
        <f>VLOOKUP(J1320,Equipes!A:C,3,0)</f>
        <v>13</v>
      </c>
      <c r="M1320" s="2" t="str">
        <f t="shared" si="4"/>
        <v>Round of 16</v>
      </c>
      <c r="N1320" s="2" t="s">
        <v>810</v>
      </c>
      <c r="O1320" s="2">
        <f>VLOOKUP(N1320,Equipes!A:C,3,0)</f>
        <v>9</v>
      </c>
      <c r="P1320" s="2" t="str">
        <f t="shared" si="5"/>
        <v>Round of 16</v>
      </c>
      <c r="Q1320" s="2">
        <f t="shared" si="6"/>
        <v>4</v>
      </c>
      <c r="R1320" s="2" t="str">
        <f>VLOOKUP(J1320,Equipes!A:B,2,0)</f>
        <v>Juventus</v>
      </c>
      <c r="S1320" s="6" t="s">
        <v>1048</v>
      </c>
      <c r="T1320" s="7">
        <v>37.0</v>
      </c>
      <c r="U1320" s="7" t="s">
        <v>1049</v>
      </c>
      <c r="V1320" s="7" t="str">
        <f>VLOOKUP(U1320,Jogadores!B:C,2,0)</f>
        <v>DF</v>
      </c>
      <c r="W1320" s="8">
        <f>VLOOKUP(U1320,Jogadores!B:D,3,0)</f>
        <v>22.37534247</v>
      </c>
      <c r="X1320" s="7">
        <v>0.0</v>
      </c>
      <c r="Y1320" s="7">
        <v>60.0</v>
      </c>
      <c r="Z1320" s="7">
        <f>VLOOKUP(A1320,Jogos!A:L,3,0)</f>
        <v>49</v>
      </c>
      <c r="AA1320" s="7">
        <f t="shared" si="2229"/>
        <v>49</v>
      </c>
      <c r="AB1320" s="7">
        <f>VLOOKUP(A1320,Jogos!A:L,4,0)</f>
        <v>48</v>
      </c>
      <c r="AC1320" s="7">
        <f t="shared" si="2230"/>
        <v>15</v>
      </c>
      <c r="AD1320" s="7"/>
      <c r="AE1320" s="7"/>
      <c r="AF1320" s="7">
        <f t="shared" si="2231"/>
        <v>64</v>
      </c>
      <c r="AG1320" s="7">
        <v>6471.7</v>
      </c>
      <c r="AH1320" s="7">
        <v>2530.6</v>
      </c>
      <c r="AI1320" s="7">
        <v>2569.0</v>
      </c>
      <c r="AJ1320" s="7">
        <v>838.9</v>
      </c>
      <c r="AK1320" s="7">
        <v>404.5</v>
      </c>
      <c r="AL1320" s="7">
        <v>128.8</v>
      </c>
      <c r="AM1320" s="7">
        <v>47.0</v>
      </c>
      <c r="AN1320" s="7">
        <v>12.0</v>
      </c>
      <c r="AO1320" s="7">
        <v>31.8</v>
      </c>
      <c r="AP1320" s="9">
        <f t="shared" ref="AP1320:AR1320" si="4121">AG1320/$AF1320</f>
        <v>101.1203125</v>
      </c>
      <c r="AQ1320" s="9">
        <f t="shared" si="4121"/>
        <v>39.540625</v>
      </c>
      <c r="AR1320" s="9">
        <f t="shared" si="4121"/>
        <v>40.140625</v>
      </c>
      <c r="AS1320" s="9">
        <f t="shared" si="2233"/>
        <v>79.68125</v>
      </c>
      <c r="AT1320" s="9">
        <f t="shared" ref="AT1320:AV1320" si="4122">AJ1320/$AF1320</f>
        <v>13.1078125</v>
      </c>
      <c r="AU1320" s="9">
        <f t="shared" si="4122"/>
        <v>6.3203125</v>
      </c>
      <c r="AV1320" s="9">
        <f t="shared" si="4122"/>
        <v>2.0125</v>
      </c>
      <c r="AW1320" s="9">
        <f t="shared" si="2235"/>
        <v>8.3328125</v>
      </c>
      <c r="AX1320" s="9">
        <f t="shared" ref="AX1320:AY1320" si="4123">AM1320/$AF1320</f>
        <v>0.734375</v>
      </c>
      <c r="AY1320" s="9">
        <f t="shared" si="4123"/>
        <v>0.1875</v>
      </c>
      <c r="AZ1320" s="9">
        <f>VLOOKUP(A1320,Jogos!A:BN,58,0)</f>
        <v>29.045</v>
      </c>
      <c r="BA1320" s="9">
        <f>VLOOKUP(A1320,Jogos!A:BN,59,0)</f>
        <v>21.59</v>
      </c>
      <c r="BB1320" s="9">
        <f>VLOOKUP(A1320,Jogos!A:BN,60,0)</f>
        <v>63.5</v>
      </c>
      <c r="BC1320" s="9">
        <f>VLOOKUP(A1320,Jogos!A:BN,61,0)</f>
        <v>28.83</v>
      </c>
      <c r="BD1320" s="9">
        <f>VLOOKUP(A1320,Jogos!A:BN,62,0)</f>
        <v>660.25</v>
      </c>
      <c r="BE1320" s="9">
        <f>VLOOKUP(A1320,Jogos!A:BN,63,0)</f>
        <v>1.74</v>
      </c>
      <c r="BF1320" s="9">
        <f>VLOOKUP(A1320,Jogos!A:BN,64,0)</f>
        <v>24.685</v>
      </c>
      <c r="BG1320" s="9">
        <f>VLOOKUP(A1320,Jogos!A:BN,65,0)</f>
        <v>43.51</v>
      </c>
      <c r="BH1320" s="9">
        <f>VLOOKUP(A1320,Jogos!A:BN,66,0)</f>
        <v>28.885</v>
      </c>
      <c r="BI1320" s="9"/>
      <c r="BJ1320" s="9"/>
    </row>
    <row r="1321" hidden="1">
      <c r="A1321" s="2">
        <v>45.0</v>
      </c>
      <c r="B1321" s="11" t="s">
        <v>809</v>
      </c>
      <c r="C1321" s="2" t="s">
        <v>61</v>
      </c>
      <c r="D1321" s="3">
        <v>45834.0</v>
      </c>
      <c r="E1321" s="4">
        <v>0.625</v>
      </c>
      <c r="F1321" s="5" t="str">
        <f>VLOOKUP(A1321,Jogos!A:N,10,0)</f>
        <v>Afternoon</v>
      </c>
      <c r="G1321" s="2" t="s">
        <v>1269</v>
      </c>
      <c r="H1321" s="6" t="str">
        <f>VLOOKUP(A1321,Jogos!A:L,12,0)</f>
        <v>Open</v>
      </c>
      <c r="I1321" s="6" t="str">
        <f>VLOOKUP(G1321,'Estádios e Cidades'!A:B,2,0)</f>
        <v>Orlando</v>
      </c>
      <c r="J1321" s="2" t="s">
        <v>999</v>
      </c>
      <c r="K1321" s="2" t="str">
        <f>VLOOKUP(J1321,Equipes!A:F,6,0)</f>
        <v>Temperate</v>
      </c>
      <c r="L1321" s="2">
        <f>VLOOKUP(J1321,Equipes!A:C,3,0)</f>
        <v>13</v>
      </c>
      <c r="M1321" s="2" t="str">
        <f t="shared" si="4"/>
        <v>Round of 16</v>
      </c>
      <c r="N1321" s="2" t="s">
        <v>810</v>
      </c>
      <c r="O1321" s="2">
        <f>VLOOKUP(N1321,Equipes!A:C,3,0)</f>
        <v>9</v>
      </c>
      <c r="P1321" s="2" t="str">
        <f t="shared" si="5"/>
        <v>Round of 16</v>
      </c>
      <c r="Q1321" s="2">
        <f t="shared" si="6"/>
        <v>4</v>
      </c>
      <c r="R1321" s="2" t="str">
        <f>VLOOKUP(J1321,Equipes!A:B,2,0)</f>
        <v>Juventus</v>
      </c>
      <c r="S1321" s="6" t="s">
        <v>1050</v>
      </c>
      <c r="T1321" s="7">
        <v>4.0</v>
      </c>
      <c r="U1321" s="7" t="s">
        <v>1051</v>
      </c>
      <c r="V1321" s="7" t="str">
        <f>VLOOKUP(U1321,Jogadores!B:C,2,0)</f>
        <v>DF</v>
      </c>
      <c r="W1321" s="8">
        <f>VLOOKUP(U1321,Jogadores!B:D,3,0)</f>
        <v>27.11232877</v>
      </c>
      <c r="X1321" s="7">
        <v>60.0</v>
      </c>
      <c r="Y1321" s="7">
        <f t="shared" ref="Y1321:Y1327" si="4127">45+AB1321</f>
        <v>93</v>
      </c>
      <c r="Z1321" s="7">
        <f>VLOOKUP(A1321,Jogos!A:L,3,0)</f>
        <v>49</v>
      </c>
      <c r="AA1321" s="7">
        <f t="shared" si="2229"/>
        <v>0</v>
      </c>
      <c r="AB1321" s="7">
        <f>VLOOKUP(A1321,Jogos!A:L,4,0)</f>
        <v>48</v>
      </c>
      <c r="AC1321" s="7">
        <f t="shared" si="2230"/>
        <v>33</v>
      </c>
      <c r="AD1321" s="7"/>
      <c r="AE1321" s="7"/>
      <c r="AF1321" s="7">
        <f t="shared" si="2231"/>
        <v>33</v>
      </c>
      <c r="AG1321" s="7">
        <v>3135.8</v>
      </c>
      <c r="AH1321" s="7">
        <v>1381.9</v>
      </c>
      <c r="AI1321" s="7">
        <v>1335.8</v>
      </c>
      <c r="AJ1321" s="7">
        <v>331.9</v>
      </c>
      <c r="AK1321" s="7">
        <v>72.5</v>
      </c>
      <c r="AL1321" s="7">
        <v>13.8</v>
      </c>
      <c r="AM1321" s="7">
        <v>10.0</v>
      </c>
      <c r="AN1321" s="7">
        <v>2.0</v>
      </c>
      <c r="AO1321" s="7">
        <v>27.1</v>
      </c>
      <c r="AP1321" s="9">
        <f t="shared" ref="AP1321:AR1321" si="4124">AG1321/$AF1321</f>
        <v>95.02424242</v>
      </c>
      <c r="AQ1321" s="9">
        <f t="shared" si="4124"/>
        <v>41.87575758</v>
      </c>
      <c r="AR1321" s="9">
        <f t="shared" si="4124"/>
        <v>40.47878788</v>
      </c>
      <c r="AS1321" s="9">
        <f t="shared" si="2233"/>
        <v>82.35454545</v>
      </c>
      <c r="AT1321" s="9">
        <f t="shared" ref="AT1321:AV1321" si="4125">AJ1321/$AF1321</f>
        <v>10.05757576</v>
      </c>
      <c r="AU1321" s="9">
        <f t="shared" si="4125"/>
        <v>2.196969697</v>
      </c>
      <c r="AV1321" s="9">
        <f t="shared" si="4125"/>
        <v>0.4181818182</v>
      </c>
      <c r="AW1321" s="9">
        <f t="shared" si="2235"/>
        <v>2.615151515</v>
      </c>
      <c r="AX1321" s="9">
        <f t="shared" ref="AX1321:AY1321" si="4126">AM1321/$AF1321</f>
        <v>0.303030303</v>
      </c>
      <c r="AY1321" s="9">
        <f t="shared" si="4126"/>
        <v>0.06060606061</v>
      </c>
      <c r="AZ1321" s="9">
        <f>VLOOKUP(A1321,Jogos!A:BN,58,0)</f>
        <v>29.045</v>
      </c>
      <c r="BA1321" s="9">
        <f>VLOOKUP(A1321,Jogos!A:BN,59,0)</f>
        <v>21.59</v>
      </c>
      <c r="BB1321" s="9">
        <f>VLOOKUP(A1321,Jogos!A:BN,60,0)</f>
        <v>63.5</v>
      </c>
      <c r="BC1321" s="9">
        <f>VLOOKUP(A1321,Jogos!A:BN,61,0)</f>
        <v>28.83</v>
      </c>
      <c r="BD1321" s="9">
        <f>VLOOKUP(A1321,Jogos!A:BN,62,0)</f>
        <v>660.25</v>
      </c>
      <c r="BE1321" s="9">
        <f>VLOOKUP(A1321,Jogos!A:BN,63,0)</f>
        <v>1.74</v>
      </c>
      <c r="BF1321" s="9">
        <f>VLOOKUP(A1321,Jogos!A:BN,64,0)</f>
        <v>24.685</v>
      </c>
      <c r="BG1321" s="9">
        <f>VLOOKUP(A1321,Jogos!A:BN,65,0)</f>
        <v>43.51</v>
      </c>
      <c r="BH1321" s="9">
        <f>VLOOKUP(A1321,Jogos!A:BN,66,0)</f>
        <v>28.885</v>
      </c>
      <c r="BI1321" s="9"/>
      <c r="BJ1321" s="9"/>
    </row>
    <row r="1322" hidden="1">
      <c r="A1322" s="2">
        <v>45.0</v>
      </c>
      <c r="B1322" s="11" t="s">
        <v>809</v>
      </c>
      <c r="C1322" s="2" t="s">
        <v>61</v>
      </c>
      <c r="D1322" s="3">
        <v>45834.0</v>
      </c>
      <c r="E1322" s="4">
        <v>0.625</v>
      </c>
      <c r="F1322" s="5" t="str">
        <f>VLOOKUP(A1322,Jogos!A:N,10,0)</f>
        <v>Afternoon</v>
      </c>
      <c r="G1322" s="2" t="s">
        <v>1269</v>
      </c>
      <c r="H1322" s="6" t="str">
        <f>VLOOKUP(A1322,Jogos!A:L,12,0)</f>
        <v>Open</v>
      </c>
      <c r="I1322" s="6" t="str">
        <f>VLOOKUP(G1322,'Estádios e Cidades'!A:B,2,0)</f>
        <v>Orlando</v>
      </c>
      <c r="J1322" s="2" t="s">
        <v>999</v>
      </c>
      <c r="K1322" s="2" t="str">
        <f>VLOOKUP(J1322,Equipes!A:F,6,0)</f>
        <v>Temperate</v>
      </c>
      <c r="L1322" s="2">
        <f>VLOOKUP(J1322,Equipes!A:C,3,0)</f>
        <v>13</v>
      </c>
      <c r="M1322" s="2" t="str">
        <f t="shared" si="4"/>
        <v>Round of 16</v>
      </c>
      <c r="N1322" s="2" t="s">
        <v>810</v>
      </c>
      <c r="O1322" s="2">
        <f>VLOOKUP(N1322,Equipes!A:C,3,0)</f>
        <v>9</v>
      </c>
      <c r="P1322" s="2" t="str">
        <f t="shared" si="5"/>
        <v>Round of 16</v>
      </c>
      <c r="Q1322" s="2">
        <f t="shared" si="6"/>
        <v>4</v>
      </c>
      <c r="R1322" s="2" t="str">
        <f>VLOOKUP(J1322,Equipes!A:B,2,0)</f>
        <v>Juventus</v>
      </c>
      <c r="S1322" s="6" t="s">
        <v>1036</v>
      </c>
      <c r="T1322" s="7">
        <v>10.0</v>
      </c>
      <c r="U1322" s="7" t="s">
        <v>1037</v>
      </c>
      <c r="V1322" s="7" t="str">
        <f>VLOOKUP(U1322,Jogadores!B:C,2,0)</f>
        <v>FW</v>
      </c>
      <c r="W1322" s="8">
        <f>VLOOKUP(U1322,Jogadores!B:D,3,0)</f>
        <v>20.24657534</v>
      </c>
      <c r="X1322" s="7">
        <v>57.0</v>
      </c>
      <c r="Y1322" s="7">
        <f t="shared" si="4127"/>
        <v>93</v>
      </c>
      <c r="Z1322" s="7">
        <f>VLOOKUP(A1322,Jogos!A:L,3,0)</f>
        <v>49</v>
      </c>
      <c r="AA1322" s="7">
        <f t="shared" si="2229"/>
        <v>0</v>
      </c>
      <c r="AB1322" s="7">
        <f>VLOOKUP(A1322,Jogos!A:L,4,0)</f>
        <v>48</v>
      </c>
      <c r="AC1322" s="7">
        <f t="shared" si="2230"/>
        <v>36</v>
      </c>
      <c r="AD1322" s="7"/>
      <c r="AE1322" s="7"/>
      <c r="AF1322" s="7">
        <f t="shared" si="2231"/>
        <v>36</v>
      </c>
      <c r="AG1322" s="7">
        <v>3607.5</v>
      </c>
      <c r="AH1322" s="7">
        <v>1283.4</v>
      </c>
      <c r="AI1322" s="7">
        <v>1561.3</v>
      </c>
      <c r="AJ1322" s="7">
        <v>516.9</v>
      </c>
      <c r="AK1322" s="7">
        <v>198.2</v>
      </c>
      <c r="AL1322" s="7">
        <v>47.6</v>
      </c>
      <c r="AM1322" s="7">
        <v>27.0</v>
      </c>
      <c r="AN1322" s="7">
        <v>4.0</v>
      </c>
      <c r="AO1322" s="7">
        <v>30.4</v>
      </c>
      <c r="AP1322" s="9">
        <f t="shared" ref="AP1322:AR1322" si="4128">AG1322/$AF1322</f>
        <v>100.2083333</v>
      </c>
      <c r="AQ1322" s="9">
        <f t="shared" si="4128"/>
        <v>35.65</v>
      </c>
      <c r="AR1322" s="9">
        <f t="shared" si="4128"/>
        <v>43.36944444</v>
      </c>
      <c r="AS1322" s="9">
        <f t="shared" si="2233"/>
        <v>79.01944444</v>
      </c>
      <c r="AT1322" s="9">
        <f t="shared" ref="AT1322:AV1322" si="4129">AJ1322/$AF1322</f>
        <v>14.35833333</v>
      </c>
      <c r="AU1322" s="9">
        <f t="shared" si="4129"/>
        <v>5.505555556</v>
      </c>
      <c r="AV1322" s="9">
        <f t="shared" si="4129"/>
        <v>1.322222222</v>
      </c>
      <c r="AW1322" s="9">
        <f t="shared" si="2235"/>
        <v>6.827777778</v>
      </c>
      <c r="AX1322" s="9">
        <f t="shared" ref="AX1322:AY1322" si="4130">AM1322/$AF1322</f>
        <v>0.75</v>
      </c>
      <c r="AY1322" s="9">
        <f t="shared" si="4130"/>
        <v>0.1111111111</v>
      </c>
      <c r="AZ1322" s="9">
        <f>VLOOKUP(A1322,Jogos!A:BN,58,0)</f>
        <v>29.045</v>
      </c>
      <c r="BA1322" s="9">
        <f>VLOOKUP(A1322,Jogos!A:BN,59,0)</f>
        <v>21.59</v>
      </c>
      <c r="BB1322" s="9">
        <f>VLOOKUP(A1322,Jogos!A:BN,60,0)</f>
        <v>63.5</v>
      </c>
      <c r="BC1322" s="9">
        <f>VLOOKUP(A1322,Jogos!A:BN,61,0)</f>
        <v>28.83</v>
      </c>
      <c r="BD1322" s="9">
        <f>VLOOKUP(A1322,Jogos!A:BN,62,0)</f>
        <v>660.25</v>
      </c>
      <c r="BE1322" s="9">
        <f>VLOOKUP(A1322,Jogos!A:BN,63,0)</f>
        <v>1.74</v>
      </c>
      <c r="BF1322" s="9">
        <f>VLOOKUP(A1322,Jogos!A:BN,64,0)</f>
        <v>24.685</v>
      </c>
      <c r="BG1322" s="9">
        <f>VLOOKUP(A1322,Jogos!A:BN,65,0)</f>
        <v>43.51</v>
      </c>
      <c r="BH1322" s="9">
        <f>VLOOKUP(A1322,Jogos!A:BN,66,0)</f>
        <v>28.885</v>
      </c>
      <c r="BI1322" s="9"/>
      <c r="BJ1322" s="9"/>
    </row>
    <row r="1323" hidden="1">
      <c r="A1323" s="2">
        <v>45.0</v>
      </c>
      <c r="B1323" s="11" t="s">
        <v>809</v>
      </c>
      <c r="C1323" s="2" t="s">
        <v>61</v>
      </c>
      <c r="D1323" s="3">
        <v>45834.0</v>
      </c>
      <c r="E1323" s="4">
        <v>0.625</v>
      </c>
      <c r="F1323" s="5" t="str">
        <f>VLOOKUP(A1323,Jogos!A:N,10,0)</f>
        <v>Afternoon</v>
      </c>
      <c r="G1323" s="2" t="s">
        <v>1269</v>
      </c>
      <c r="H1323" s="6" t="str">
        <f>VLOOKUP(A1323,Jogos!A:L,12,0)</f>
        <v>Open</v>
      </c>
      <c r="I1323" s="6" t="str">
        <f>VLOOKUP(G1323,'Estádios e Cidades'!A:B,2,0)</f>
        <v>Orlando</v>
      </c>
      <c r="J1323" s="2" t="s">
        <v>999</v>
      </c>
      <c r="K1323" s="2" t="str">
        <f>VLOOKUP(J1323,Equipes!A:F,6,0)</f>
        <v>Temperate</v>
      </c>
      <c r="L1323" s="2">
        <f>VLOOKUP(J1323,Equipes!A:C,3,0)</f>
        <v>13</v>
      </c>
      <c r="M1323" s="2" t="str">
        <f t="shared" si="4"/>
        <v>Round of 16</v>
      </c>
      <c r="N1323" s="2" t="s">
        <v>810</v>
      </c>
      <c r="O1323" s="2">
        <f>VLOOKUP(N1323,Equipes!A:C,3,0)</f>
        <v>9</v>
      </c>
      <c r="P1323" s="2" t="str">
        <f t="shared" si="5"/>
        <v>Round of 16</v>
      </c>
      <c r="Q1323" s="2">
        <f t="shared" si="6"/>
        <v>4</v>
      </c>
      <c r="R1323" s="2" t="str">
        <f>VLOOKUP(J1323,Equipes!A:B,2,0)</f>
        <v>Juventus</v>
      </c>
      <c r="S1323" s="6" t="s">
        <v>1328</v>
      </c>
      <c r="T1323" s="7">
        <v>17.0</v>
      </c>
      <c r="U1323" s="7" t="s">
        <v>1329</v>
      </c>
      <c r="V1323" s="7" t="str">
        <f>VLOOKUP(U1323,Jogadores!B:C,2,0)</f>
        <v>MF</v>
      </c>
      <c r="W1323" s="8">
        <f>VLOOKUP(U1323,Jogadores!B:D,3,0)</f>
        <v>19.22465753</v>
      </c>
      <c r="X1323" s="7">
        <v>83.0</v>
      </c>
      <c r="Y1323" s="7">
        <f t="shared" si="4127"/>
        <v>93</v>
      </c>
      <c r="Z1323" s="7">
        <f>VLOOKUP(A1323,Jogos!A:L,3,0)</f>
        <v>49</v>
      </c>
      <c r="AA1323" s="7">
        <f t="shared" si="2229"/>
        <v>0</v>
      </c>
      <c r="AB1323" s="7">
        <f>VLOOKUP(A1323,Jogos!A:L,4,0)</f>
        <v>48</v>
      </c>
      <c r="AC1323" s="7">
        <f t="shared" si="2230"/>
        <v>10</v>
      </c>
      <c r="AD1323" s="7"/>
      <c r="AE1323" s="7"/>
      <c r="AF1323" s="7">
        <f t="shared" si="2231"/>
        <v>10</v>
      </c>
      <c r="AG1323" s="7">
        <v>1554.3</v>
      </c>
      <c r="AH1323" s="7">
        <v>280.9</v>
      </c>
      <c r="AI1323" s="7">
        <v>862.9</v>
      </c>
      <c r="AJ1323" s="7">
        <v>298.5</v>
      </c>
      <c r="AK1323" s="7">
        <v>93.2</v>
      </c>
      <c r="AL1323" s="7">
        <v>18.8</v>
      </c>
      <c r="AM1323" s="7">
        <v>8.0</v>
      </c>
      <c r="AN1323" s="7">
        <v>1.0</v>
      </c>
      <c r="AO1323" s="7">
        <v>27.7</v>
      </c>
      <c r="AP1323" s="9">
        <f t="shared" ref="AP1323:AR1323" si="4131">AG1323/$AF1323</f>
        <v>155.43</v>
      </c>
      <c r="AQ1323" s="9">
        <f t="shared" si="4131"/>
        <v>28.09</v>
      </c>
      <c r="AR1323" s="9">
        <f t="shared" si="4131"/>
        <v>86.29</v>
      </c>
      <c r="AS1323" s="9">
        <f t="shared" si="2233"/>
        <v>114.38</v>
      </c>
      <c r="AT1323" s="9">
        <f t="shared" ref="AT1323:AV1323" si="4132">AJ1323/$AF1323</f>
        <v>29.85</v>
      </c>
      <c r="AU1323" s="9">
        <f t="shared" si="4132"/>
        <v>9.32</v>
      </c>
      <c r="AV1323" s="9">
        <f t="shared" si="4132"/>
        <v>1.88</v>
      </c>
      <c r="AW1323" s="9">
        <f t="shared" si="2235"/>
        <v>11.2</v>
      </c>
      <c r="AX1323" s="9">
        <f t="shared" ref="AX1323:AY1323" si="4133">AM1323/$AF1323</f>
        <v>0.8</v>
      </c>
      <c r="AY1323" s="9">
        <f t="shared" si="4133"/>
        <v>0.1</v>
      </c>
      <c r="AZ1323" s="9">
        <f>VLOOKUP(A1323,Jogos!A:BN,58,0)</f>
        <v>29.045</v>
      </c>
      <c r="BA1323" s="9">
        <f>VLOOKUP(A1323,Jogos!A:BN,59,0)</f>
        <v>21.59</v>
      </c>
      <c r="BB1323" s="9">
        <f>VLOOKUP(A1323,Jogos!A:BN,60,0)</f>
        <v>63.5</v>
      </c>
      <c r="BC1323" s="9">
        <f>VLOOKUP(A1323,Jogos!A:BN,61,0)</f>
        <v>28.83</v>
      </c>
      <c r="BD1323" s="9">
        <f>VLOOKUP(A1323,Jogos!A:BN,62,0)</f>
        <v>660.25</v>
      </c>
      <c r="BE1323" s="9">
        <f>VLOOKUP(A1323,Jogos!A:BN,63,0)</f>
        <v>1.74</v>
      </c>
      <c r="BF1323" s="9">
        <f>VLOOKUP(A1323,Jogos!A:BN,64,0)</f>
        <v>24.685</v>
      </c>
      <c r="BG1323" s="9">
        <f>VLOOKUP(A1323,Jogos!A:BN,65,0)</f>
        <v>43.51</v>
      </c>
      <c r="BH1323" s="9">
        <f>VLOOKUP(A1323,Jogos!A:BN,66,0)</f>
        <v>28.885</v>
      </c>
      <c r="BI1323" s="9"/>
      <c r="BJ1323" s="9"/>
    </row>
    <row r="1324" hidden="1">
      <c r="A1324" s="2">
        <v>45.0</v>
      </c>
      <c r="B1324" s="11" t="s">
        <v>809</v>
      </c>
      <c r="C1324" s="2" t="s">
        <v>61</v>
      </c>
      <c r="D1324" s="3">
        <v>45834.0</v>
      </c>
      <c r="E1324" s="4">
        <v>0.625</v>
      </c>
      <c r="F1324" s="5" t="str">
        <f>VLOOKUP(A1324,Jogos!A:N,10,0)</f>
        <v>Afternoon</v>
      </c>
      <c r="G1324" s="2" t="s">
        <v>1269</v>
      </c>
      <c r="H1324" s="6" t="str">
        <f>VLOOKUP(A1324,Jogos!A:L,12,0)</f>
        <v>Open</v>
      </c>
      <c r="I1324" s="6" t="str">
        <f>VLOOKUP(G1324,'Estádios e Cidades'!A:B,2,0)</f>
        <v>Orlando</v>
      </c>
      <c r="J1324" s="2" t="s">
        <v>999</v>
      </c>
      <c r="K1324" s="2" t="str">
        <f>VLOOKUP(J1324,Equipes!A:F,6,0)</f>
        <v>Temperate</v>
      </c>
      <c r="L1324" s="2">
        <f>VLOOKUP(J1324,Equipes!A:C,3,0)</f>
        <v>13</v>
      </c>
      <c r="M1324" s="2" t="str">
        <f t="shared" si="4"/>
        <v>Round of 16</v>
      </c>
      <c r="N1324" s="2" t="s">
        <v>810</v>
      </c>
      <c r="O1324" s="2">
        <f>VLOOKUP(N1324,Equipes!A:C,3,0)</f>
        <v>9</v>
      </c>
      <c r="P1324" s="2" t="str">
        <f t="shared" si="5"/>
        <v>Round of 16</v>
      </c>
      <c r="Q1324" s="2">
        <f t="shared" si="6"/>
        <v>4</v>
      </c>
      <c r="R1324" s="2" t="str">
        <f>VLOOKUP(J1324,Equipes!A:B,2,0)</f>
        <v>Juventus</v>
      </c>
      <c r="S1324" s="6" t="s">
        <v>1042</v>
      </c>
      <c r="T1324" s="7">
        <v>19.0</v>
      </c>
      <c r="U1324" s="7" t="s">
        <v>1043</v>
      </c>
      <c r="V1324" s="7" t="str">
        <f>VLOOKUP(U1324,Jogadores!B:C,2,0)</f>
        <v>MF</v>
      </c>
      <c r="W1324" s="8">
        <f>VLOOKUP(U1324,Jogadores!B:D,3,0)</f>
        <v>24.35616438</v>
      </c>
      <c r="X1324" s="7">
        <v>57.0</v>
      </c>
      <c r="Y1324" s="7">
        <f t="shared" si="4127"/>
        <v>93</v>
      </c>
      <c r="Z1324" s="7">
        <f>VLOOKUP(A1324,Jogos!A:L,3,0)</f>
        <v>49</v>
      </c>
      <c r="AA1324" s="7">
        <f t="shared" si="2229"/>
        <v>0</v>
      </c>
      <c r="AB1324" s="7">
        <f>VLOOKUP(A1324,Jogos!A:L,4,0)</f>
        <v>48</v>
      </c>
      <c r="AC1324" s="7">
        <f t="shared" si="2230"/>
        <v>36</v>
      </c>
      <c r="AD1324" s="7"/>
      <c r="AE1324" s="7"/>
      <c r="AF1324" s="7">
        <f t="shared" si="2231"/>
        <v>36</v>
      </c>
      <c r="AG1324" s="7">
        <v>3951.0</v>
      </c>
      <c r="AH1324" s="7">
        <v>1176.2</v>
      </c>
      <c r="AI1324" s="7">
        <v>1732.0</v>
      </c>
      <c r="AJ1324" s="7">
        <v>876.6</v>
      </c>
      <c r="AK1324" s="7">
        <v>143.5</v>
      </c>
      <c r="AL1324" s="7">
        <v>22.7</v>
      </c>
      <c r="AM1324" s="7">
        <v>16.0</v>
      </c>
      <c r="AN1324" s="7">
        <v>2.0</v>
      </c>
      <c r="AO1324" s="7">
        <v>26.6</v>
      </c>
      <c r="AP1324" s="9">
        <f t="shared" ref="AP1324:AR1324" si="4134">AG1324/$AF1324</f>
        <v>109.75</v>
      </c>
      <c r="AQ1324" s="9">
        <f t="shared" si="4134"/>
        <v>32.67222222</v>
      </c>
      <c r="AR1324" s="9">
        <f t="shared" si="4134"/>
        <v>48.11111111</v>
      </c>
      <c r="AS1324" s="9">
        <f t="shared" si="2233"/>
        <v>80.78333333</v>
      </c>
      <c r="AT1324" s="9">
        <f t="shared" ref="AT1324:AV1324" si="4135">AJ1324/$AF1324</f>
        <v>24.35</v>
      </c>
      <c r="AU1324" s="9">
        <f t="shared" si="4135"/>
        <v>3.986111111</v>
      </c>
      <c r="AV1324" s="9">
        <f t="shared" si="4135"/>
        <v>0.6305555556</v>
      </c>
      <c r="AW1324" s="9">
        <f t="shared" si="2235"/>
        <v>4.616666667</v>
      </c>
      <c r="AX1324" s="9">
        <f t="shared" ref="AX1324:AY1324" si="4136">AM1324/$AF1324</f>
        <v>0.4444444444</v>
      </c>
      <c r="AY1324" s="9">
        <f t="shared" si="4136"/>
        <v>0.05555555556</v>
      </c>
      <c r="AZ1324" s="9">
        <f>VLOOKUP(A1324,Jogos!A:BN,58,0)</f>
        <v>29.045</v>
      </c>
      <c r="BA1324" s="9">
        <f>VLOOKUP(A1324,Jogos!A:BN,59,0)</f>
        <v>21.59</v>
      </c>
      <c r="BB1324" s="9">
        <f>VLOOKUP(A1324,Jogos!A:BN,60,0)</f>
        <v>63.5</v>
      </c>
      <c r="BC1324" s="9">
        <f>VLOOKUP(A1324,Jogos!A:BN,61,0)</f>
        <v>28.83</v>
      </c>
      <c r="BD1324" s="9">
        <f>VLOOKUP(A1324,Jogos!A:BN,62,0)</f>
        <v>660.25</v>
      </c>
      <c r="BE1324" s="9">
        <f>VLOOKUP(A1324,Jogos!A:BN,63,0)</f>
        <v>1.74</v>
      </c>
      <c r="BF1324" s="9">
        <f>VLOOKUP(A1324,Jogos!A:BN,64,0)</f>
        <v>24.685</v>
      </c>
      <c r="BG1324" s="9">
        <f>VLOOKUP(A1324,Jogos!A:BN,65,0)</f>
        <v>43.51</v>
      </c>
      <c r="BH1324" s="9">
        <f>VLOOKUP(A1324,Jogos!A:BN,66,0)</f>
        <v>28.885</v>
      </c>
      <c r="BI1324" s="9"/>
      <c r="BJ1324" s="9"/>
    </row>
    <row r="1325" hidden="1">
      <c r="A1325" s="2">
        <v>45.0</v>
      </c>
      <c r="B1325" s="11" t="s">
        <v>809</v>
      </c>
      <c r="C1325" s="2" t="s">
        <v>61</v>
      </c>
      <c r="D1325" s="3">
        <v>45834.0</v>
      </c>
      <c r="E1325" s="4">
        <v>0.625</v>
      </c>
      <c r="F1325" s="5" t="str">
        <f>VLOOKUP(A1325,Jogos!A:N,10,0)</f>
        <v>Afternoon</v>
      </c>
      <c r="G1325" s="2" t="s">
        <v>1269</v>
      </c>
      <c r="H1325" s="6" t="str">
        <f>VLOOKUP(A1325,Jogos!A:L,12,0)</f>
        <v>Open</v>
      </c>
      <c r="I1325" s="6" t="str">
        <f>VLOOKUP(G1325,'Estádios e Cidades'!A:B,2,0)</f>
        <v>Orlando</v>
      </c>
      <c r="J1325" s="2" t="s">
        <v>999</v>
      </c>
      <c r="K1325" s="2" t="str">
        <f>VLOOKUP(J1325,Equipes!A:F,6,0)</f>
        <v>Temperate</v>
      </c>
      <c r="L1325" s="2">
        <f>VLOOKUP(J1325,Equipes!A:C,3,0)</f>
        <v>13</v>
      </c>
      <c r="M1325" s="2" t="str">
        <f t="shared" si="4"/>
        <v>Round of 16</v>
      </c>
      <c r="N1325" s="2" t="s">
        <v>810</v>
      </c>
      <c r="O1325" s="2">
        <f>VLOOKUP(N1325,Equipes!A:C,3,0)</f>
        <v>9</v>
      </c>
      <c r="P1325" s="2" t="str">
        <f t="shared" si="5"/>
        <v>Round of 16</v>
      </c>
      <c r="Q1325" s="2">
        <f t="shared" si="6"/>
        <v>4</v>
      </c>
      <c r="R1325" s="2" t="str">
        <f>VLOOKUP(J1325,Equipes!A:B,2,0)</f>
        <v>Juventus</v>
      </c>
      <c r="S1325" s="6" t="s">
        <v>1046</v>
      </c>
      <c r="T1325" s="7">
        <v>27.0</v>
      </c>
      <c r="U1325" s="7" t="s">
        <v>1047</v>
      </c>
      <c r="V1325" s="7" t="str">
        <f>VLOOKUP(U1325,Jogadores!B:C,2,0)</f>
        <v>DF</v>
      </c>
      <c r="W1325" s="8">
        <f>VLOOKUP(U1325,Jogadores!B:D,3,0)</f>
        <v>25.45205479</v>
      </c>
      <c r="X1325" s="7">
        <v>57.0</v>
      </c>
      <c r="Y1325" s="7">
        <f t="shared" si="4127"/>
        <v>93</v>
      </c>
      <c r="Z1325" s="7">
        <f>VLOOKUP(A1325,Jogos!A:L,3,0)</f>
        <v>49</v>
      </c>
      <c r="AA1325" s="7">
        <f t="shared" si="2229"/>
        <v>0</v>
      </c>
      <c r="AB1325" s="7">
        <f>VLOOKUP(A1325,Jogos!A:L,4,0)</f>
        <v>48</v>
      </c>
      <c r="AC1325" s="7">
        <f t="shared" si="2230"/>
        <v>36</v>
      </c>
      <c r="AD1325" s="7"/>
      <c r="AE1325" s="7"/>
      <c r="AF1325" s="7">
        <f t="shared" si="2231"/>
        <v>36</v>
      </c>
      <c r="AG1325" s="7">
        <v>3647.6</v>
      </c>
      <c r="AH1325" s="7">
        <v>1351.0</v>
      </c>
      <c r="AI1325" s="7">
        <v>1529.0</v>
      </c>
      <c r="AJ1325" s="7">
        <v>499.4</v>
      </c>
      <c r="AK1325" s="7">
        <v>243.3</v>
      </c>
      <c r="AL1325" s="7">
        <v>24.9</v>
      </c>
      <c r="AM1325" s="7">
        <v>19.0</v>
      </c>
      <c r="AN1325" s="7">
        <v>1.0</v>
      </c>
      <c r="AO1325" s="7">
        <v>30.6</v>
      </c>
      <c r="AP1325" s="9">
        <f t="shared" ref="AP1325:AR1325" si="4137">AG1325/$AF1325</f>
        <v>101.3222222</v>
      </c>
      <c r="AQ1325" s="9">
        <f t="shared" si="4137"/>
        <v>37.52777778</v>
      </c>
      <c r="AR1325" s="9">
        <f t="shared" si="4137"/>
        <v>42.47222222</v>
      </c>
      <c r="AS1325" s="9">
        <f t="shared" si="2233"/>
        <v>80</v>
      </c>
      <c r="AT1325" s="9">
        <f t="shared" ref="AT1325:AV1325" si="4138">AJ1325/$AF1325</f>
        <v>13.87222222</v>
      </c>
      <c r="AU1325" s="9">
        <f t="shared" si="4138"/>
        <v>6.758333333</v>
      </c>
      <c r="AV1325" s="9">
        <f t="shared" si="4138"/>
        <v>0.6916666667</v>
      </c>
      <c r="AW1325" s="9">
        <f t="shared" si="2235"/>
        <v>7.45</v>
      </c>
      <c r="AX1325" s="9">
        <f t="shared" ref="AX1325:AY1325" si="4139">AM1325/$AF1325</f>
        <v>0.5277777778</v>
      </c>
      <c r="AY1325" s="9">
        <f t="shared" si="4139"/>
        <v>0.02777777778</v>
      </c>
      <c r="AZ1325" s="9">
        <f>VLOOKUP(A1325,Jogos!A:BN,58,0)</f>
        <v>29.045</v>
      </c>
      <c r="BA1325" s="9">
        <f>VLOOKUP(A1325,Jogos!A:BN,59,0)</f>
        <v>21.59</v>
      </c>
      <c r="BB1325" s="9">
        <f>VLOOKUP(A1325,Jogos!A:BN,60,0)</f>
        <v>63.5</v>
      </c>
      <c r="BC1325" s="9">
        <f>VLOOKUP(A1325,Jogos!A:BN,61,0)</f>
        <v>28.83</v>
      </c>
      <c r="BD1325" s="9">
        <f>VLOOKUP(A1325,Jogos!A:BN,62,0)</f>
        <v>660.25</v>
      </c>
      <c r="BE1325" s="9">
        <f>VLOOKUP(A1325,Jogos!A:BN,63,0)</f>
        <v>1.74</v>
      </c>
      <c r="BF1325" s="9">
        <f>VLOOKUP(A1325,Jogos!A:BN,64,0)</f>
        <v>24.685</v>
      </c>
      <c r="BG1325" s="9">
        <f>VLOOKUP(A1325,Jogos!A:BN,65,0)</f>
        <v>43.51</v>
      </c>
      <c r="BH1325" s="9">
        <f>VLOOKUP(A1325,Jogos!A:BN,66,0)</f>
        <v>28.885</v>
      </c>
      <c r="BI1325" s="9"/>
      <c r="BJ1325" s="9"/>
    </row>
    <row r="1326" hidden="1">
      <c r="A1326" s="10">
        <v>45.0</v>
      </c>
      <c r="B1326" s="11" t="s">
        <v>809</v>
      </c>
      <c r="C1326" s="2" t="s">
        <v>61</v>
      </c>
      <c r="D1326" s="12">
        <v>45834.0</v>
      </c>
      <c r="E1326" s="13">
        <v>0.625</v>
      </c>
      <c r="F1326" s="5" t="str">
        <f>VLOOKUP(A1326,Jogos!A:N,10,0)</f>
        <v>Afternoon</v>
      </c>
      <c r="G1326" s="11" t="s">
        <v>1269</v>
      </c>
      <c r="H1326" s="6" t="str">
        <f>VLOOKUP(A1326,Jogos!A:L,12,0)</f>
        <v>Open</v>
      </c>
      <c r="I1326" s="6" t="str">
        <f>VLOOKUP(G1326,'Estádios e Cidades'!A:B,2,0)</f>
        <v>Orlando</v>
      </c>
      <c r="J1326" s="11" t="s">
        <v>810</v>
      </c>
      <c r="K1326" s="2" t="str">
        <f>VLOOKUP(J1326,Equipes!A:F,6,0)</f>
        <v>Temperate</v>
      </c>
      <c r="L1326" s="2">
        <f>VLOOKUP(J1326,Equipes!A:C,3,0)</f>
        <v>9</v>
      </c>
      <c r="M1326" s="2" t="str">
        <f t="shared" si="4"/>
        <v>Round of 16</v>
      </c>
      <c r="N1326" s="11" t="s">
        <v>999</v>
      </c>
      <c r="O1326" s="2">
        <f>VLOOKUP(N1326,Equipes!A:C,3,0)</f>
        <v>13</v>
      </c>
      <c r="P1326" s="2" t="str">
        <f t="shared" si="5"/>
        <v>Round of 16</v>
      </c>
      <c r="Q1326" s="2">
        <f t="shared" si="6"/>
        <v>-4</v>
      </c>
      <c r="R1326" s="2" t="str">
        <f>VLOOKUP(J1326,Equipes!A:B,2,0)</f>
        <v>City</v>
      </c>
      <c r="S1326" s="14" t="s">
        <v>1229</v>
      </c>
      <c r="T1326" s="7">
        <v>3.0</v>
      </c>
      <c r="U1326" s="7" t="s">
        <v>1230</v>
      </c>
      <c r="V1326" s="7" t="str">
        <f>VLOOKUP(U1326,Jogadores!B:C,2,0)</f>
        <v>DF</v>
      </c>
      <c r="W1326" s="8">
        <f>VLOOKUP(U1326,Jogadores!B:D,3,0)</f>
        <v>28.22465753</v>
      </c>
      <c r="X1326" s="7">
        <v>0.0</v>
      </c>
      <c r="Y1326" s="7">
        <f t="shared" si="4127"/>
        <v>93</v>
      </c>
      <c r="Z1326" s="7">
        <f>VLOOKUP(A1326,Jogos!A:L,3,0)</f>
        <v>49</v>
      </c>
      <c r="AA1326" s="7">
        <f t="shared" si="2229"/>
        <v>49</v>
      </c>
      <c r="AB1326" s="7">
        <f>VLOOKUP(A1326,Jogos!A:L,4,0)</f>
        <v>48</v>
      </c>
      <c r="AC1326" s="7">
        <f t="shared" si="2230"/>
        <v>48</v>
      </c>
      <c r="AD1326" s="7"/>
      <c r="AE1326" s="7"/>
      <c r="AF1326" s="7">
        <f t="shared" si="2231"/>
        <v>97</v>
      </c>
      <c r="AG1326" s="7">
        <v>10557.6</v>
      </c>
      <c r="AH1326" s="7">
        <v>4097.5</v>
      </c>
      <c r="AI1326" s="7">
        <v>4663.6</v>
      </c>
      <c r="AJ1326" s="7">
        <v>1310.9</v>
      </c>
      <c r="AK1326" s="7">
        <v>390.3</v>
      </c>
      <c r="AL1326" s="7">
        <v>95.3</v>
      </c>
      <c r="AM1326" s="7">
        <v>43.0</v>
      </c>
      <c r="AN1326" s="7">
        <v>9.0</v>
      </c>
      <c r="AO1326" s="7">
        <v>31.9</v>
      </c>
      <c r="AP1326" s="9">
        <f t="shared" ref="AP1326:AR1326" si="4140">AG1326/$AF1326</f>
        <v>108.8412371</v>
      </c>
      <c r="AQ1326" s="9">
        <f t="shared" si="4140"/>
        <v>42.24226804</v>
      </c>
      <c r="AR1326" s="9">
        <f t="shared" si="4140"/>
        <v>48.07835052</v>
      </c>
      <c r="AS1326" s="9">
        <f t="shared" si="2233"/>
        <v>90.32061856</v>
      </c>
      <c r="AT1326" s="9">
        <f t="shared" ref="AT1326:AV1326" si="4141">AJ1326/$AF1326</f>
        <v>13.51443299</v>
      </c>
      <c r="AU1326" s="9">
        <f t="shared" si="4141"/>
        <v>4.02371134</v>
      </c>
      <c r="AV1326" s="9">
        <f t="shared" si="4141"/>
        <v>0.9824742268</v>
      </c>
      <c r="AW1326" s="9">
        <f t="shared" si="2235"/>
        <v>5.006185567</v>
      </c>
      <c r="AX1326" s="9">
        <f t="shared" ref="AX1326:AY1326" si="4142">AM1326/$AF1326</f>
        <v>0.4432989691</v>
      </c>
      <c r="AY1326" s="9">
        <f t="shared" si="4142"/>
        <v>0.09278350515</v>
      </c>
      <c r="AZ1326" s="9">
        <f>VLOOKUP(A1326,Jogos!A:BN,58,0)</f>
        <v>29.045</v>
      </c>
      <c r="BA1326" s="9">
        <f>VLOOKUP(A1326,Jogos!A:BN,59,0)</f>
        <v>21.59</v>
      </c>
      <c r="BB1326" s="9">
        <f>VLOOKUP(A1326,Jogos!A:BN,60,0)</f>
        <v>63.5</v>
      </c>
      <c r="BC1326" s="9">
        <f>VLOOKUP(A1326,Jogos!A:BN,61,0)</f>
        <v>28.83</v>
      </c>
      <c r="BD1326" s="9">
        <f>VLOOKUP(A1326,Jogos!A:BN,62,0)</f>
        <v>660.25</v>
      </c>
      <c r="BE1326" s="9">
        <f>VLOOKUP(A1326,Jogos!A:BN,63,0)</f>
        <v>1.74</v>
      </c>
      <c r="BF1326" s="9">
        <f>VLOOKUP(A1326,Jogos!A:BN,64,0)</f>
        <v>24.685</v>
      </c>
      <c r="BG1326" s="9">
        <f>VLOOKUP(A1326,Jogos!A:BN,65,0)</f>
        <v>43.51</v>
      </c>
      <c r="BH1326" s="9">
        <f>VLOOKUP(A1326,Jogos!A:BN,66,0)</f>
        <v>28.885</v>
      </c>
      <c r="BI1326" s="9"/>
      <c r="BJ1326" s="9"/>
    </row>
    <row r="1327" hidden="1">
      <c r="A1327" s="10">
        <v>45.0</v>
      </c>
      <c r="B1327" s="11" t="s">
        <v>809</v>
      </c>
      <c r="C1327" s="2" t="s">
        <v>61</v>
      </c>
      <c r="D1327" s="12">
        <v>45834.0</v>
      </c>
      <c r="E1327" s="13">
        <v>0.625</v>
      </c>
      <c r="F1327" s="5" t="str">
        <f>VLOOKUP(A1327,Jogos!A:N,10,0)</f>
        <v>Afternoon</v>
      </c>
      <c r="G1327" s="11" t="s">
        <v>1269</v>
      </c>
      <c r="H1327" s="6" t="str">
        <f>VLOOKUP(A1327,Jogos!A:L,12,0)</f>
        <v>Open</v>
      </c>
      <c r="I1327" s="6" t="str">
        <f>VLOOKUP(G1327,'Estádios e Cidades'!A:B,2,0)</f>
        <v>Orlando</v>
      </c>
      <c r="J1327" s="11" t="s">
        <v>810</v>
      </c>
      <c r="K1327" s="2" t="str">
        <f>VLOOKUP(J1327,Equipes!A:F,6,0)</f>
        <v>Temperate</v>
      </c>
      <c r="L1327" s="2">
        <f>VLOOKUP(J1327,Equipes!A:C,3,0)</f>
        <v>9</v>
      </c>
      <c r="M1327" s="2" t="str">
        <f t="shared" si="4"/>
        <v>Round of 16</v>
      </c>
      <c r="N1327" s="11" t="s">
        <v>999</v>
      </c>
      <c r="O1327" s="2">
        <f>VLOOKUP(N1327,Equipes!A:C,3,0)</f>
        <v>13</v>
      </c>
      <c r="P1327" s="2" t="str">
        <f t="shared" si="5"/>
        <v>Round of 16</v>
      </c>
      <c r="Q1327" s="2">
        <f t="shared" si="6"/>
        <v>-4</v>
      </c>
      <c r="R1327" s="2" t="str">
        <f>VLOOKUP(J1327,Equipes!A:B,2,0)</f>
        <v>City</v>
      </c>
      <c r="S1327" s="6" t="s">
        <v>812</v>
      </c>
      <c r="T1327" s="7">
        <v>4.0</v>
      </c>
      <c r="U1327" s="7" t="s">
        <v>813</v>
      </c>
      <c r="V1327" s="7" t="str">
        <f>VLOOKUP(U1327,Jogadores!B:C,2,0)</f>
        <v>MF</v>
      </c>
      <c r="W1327" s="8">
        <f>VLOOKUP(U1327,Jogadores!B:D,3,0)</f>
        <v>27.01643836</v>
      </c>
      <c r="X1327" s="7">
        <v>0.0</v>
      </c>
      <c r="Y1327" s="7">
        <f t="shared" si="4127"/>
        <v>93</v>
      </c>
      <c r="Z1327" s="7">
        <f>VLOOKUP(A1327,Jogos!A:L,3,0)</f>
        <v>49</v>
      </c>
      <c r="AA1327" s="7">
        <f t="shared" si="2229"/>
        <v>49</v>
      </c>
      <c r="AB1327" s="7">
        <f>VLOOKUP(A1327,Jogos!A:L,4,0)</f>
        <v>48</v>
      </c>
      <c r="AC1327" s="7">
        <f t="shared" si="2230"/>
        <v>48</v>
      </c>
      <c r="AD1327" s="7"/>
      <c r="AE1327" s="7"/>
      <c r="AF1327" s="7">
        <f t="shared" si="2231"/>
        <v>97</v>
      </c>
      <c r="AG1327" s="7">
        <v>11226.5</v>
      </c>
      <c r="AH1327" s="7">
        <v>3399.9</v>
      </c>
      <c r="AI1327" s="7">
        <v>4937.0</v>
      </c>
      <c r="AJ1327" s="7">
        <v>2030.7</v>
      </c>
      <c r="AK1327" s="7">
        <v>708.4</v>
      </c>
      <c r="AL1327" s="7">
        <v>150.4</v>
      </c>
      <c r="AM1327" s="7">
        <v>72.0</v>
      </c>
      <c r="AN1327" s="7">
        <v>14.0</v>
      </c>
      <c r="AO1327" s="7">
        <v>31.3</v>
      </c>
      <c r="AP1327" s="9">
        <f t="shared" ref="AP1327:AR1327" si="4143">AG1327/$AF1327</f>
        <v>115.7371134</v>
      </c>
      <c r="AQ1327" s="9">
        <f t="shared" si="4143"/>
        <v>35.05051546</v>
      </c>
      <c r="AR1327" s="9">
        <f t="shared" si="4143"/>
        <v>50.89690722</v>
      </c>
      <c r="AS1327" s="9">
        <f t="shared" si="2233"/>
        <v>85.94742268</v>
      </c>
      <c r="AT1327" s="9">
        <f t="shared" ref="AT1327:AV1327" si="4144">AJ1327/$AF1327</f>
        <v>20.93505155</v>
      </c>
      <c r="AU1327" s="9">
        <f t="shared" si="4144"/>
        <v>7.303092784</v>
      </c>
      <c r="AV1327" s="9">
        <f t="shared" si="4144"/>
        <v>1.550515464</v>
      </c>
      <c r="AW1327" s="9">
        <f t="shared" si="2235"/>
        <v>8.853608247</v>
      </c>
      <c r="AX1327" s="9">
        <f t="shared" ref="AX1327:AY1327" si="4145">AM1327/$AF1327</f>
        <v>0.7422680412</v>
      </c>
      <c r="AY1327" s="9">
        <f t="shared" si="4145"/>
        <v>0.1443298969</v>
      </c>
      <c r="AZ1327" s="9">
        <f>VLOOKUP(A1327,Jogos!A:BN,58,0)</f>
        <v>29.045</v>
      </c>
      <c r="BA1327" s="9">
        <f>VLOOKUP(A1327,Jogos!A:BN,59,0)</f>
        <v>21.59</v>
      </c>
      <c r="BB1327" s="9">
        <f>VLOOKUP(A1327,Jogos!A:BN,60,0)</f>
        <v>63.5</v>
      </c>
      <c r="BC1327" s="9">
        <f>VLOOKUP(A1327,Jogos!A:BN,61,0)</f>
        <v>28.83</v>
      </c>
      <c r="BD1327" s="9">
        <f>VLOOKUP(A1327,Jogos!A:BN,62,0)</f>
        <v>660.25</v>
      </c>
      <c r="BE1327" s="9">
        <f>VLOOKUP(A1327,Jogos!A:BN,63,0)</f>
        <v>1.74</v>
      </c>
      <c r="BF1327" s="9">
        <f>VLOOKUP(A1327,Jogos!A:BN,64,0)</f>
        <v>24.685</v>
      </c>
      <c r="BG1327" s="9">
        <f>VLOOKUP(A1327,Jogos!A:BN,65,0)</f>
        <v>43.51</v>
      </c>
      <c r="BH1327" s="9">
        <f>VLOOKUP(A1327,Jogos!A:BN,66,0)</f>
        <v>28.885</v>
      </c>
      <c r="BI1327" s="9"/>
      <c r="BJ1327" s="9"/>
    </row>
    <row r="1328" hidden="1">
      <c r="A1328" s="10">
        <v>45.0</v>
      </c>
      <c r="B1328" s="11" t="s">
        <v>809</v>
      </c>
      <c r="C1328" s="2" t="s">
        <v>61</v>
      </c>
      <c r="D1328" s="12">
        <v>45834.0</v>
      </c>
      <c r="E1328" s="13">
        <v>0.625</v>
      </c>
      <c r="F1328" s="5" t="str">
        <f>VLOOKUP(A1328,Jogos!A:N,10,0)</f>
        <v>Afternoon</v>
      </c>
      <c r="G1328" s="11" t="s">
        <v>1269</v>
      </c>
      <c r="H1328" s="6" t="str">
        <f>VLOOKUP(A1328,Jogos!A:L,12,0)</f>
        <v>Open</v>
      </c>
      <c r="I1328" s="6" t="str">
        <f>VLOOKUP(G1328,'Estádios e Cidades'!A:B,2,0)</f>
        <v>Orlando</v>
      </c>
      <c r="J1328" s="11" t="s">
        <v>810</v>
      </c>
      <c r="K1328" s="2" t="str">
        <f>VLOOKUP(J1328,Equipes!A:F,6,0)</f>
        <v>Temperate</v>
      </c>
      <c r="L1328" s="2">
        <f>VLOOKUP(J1328,Equipes!A:C,3,0)</f>
        <v>9</v>
      </c>
      <c r="M1328" s="2" t="str">
        <f t="shared" si="4"/>
        <v>Round of 16</v>
      </c>
      <c r="N1328" s="11" t="s">
        <v>999</v>
      </c>
      <c r="O1328" s="2">
        <f>VLOOKUP(N1328,Equipes!A:C,3,0)</f>
        <v>13</v>
      </c>
      <c r="P1328" s="2" t="str">
        <f t="shared" si="5"/>
        <v>Round of 16</v>
      </c>
      <c r="Q1328" s="2">
        <f t="shared" si="6"/>
        <v>-4</v>
      </c>
      <c r="R1328" s="2" t="str">
        <f>VLOOKUP(J1328,Equipes!A:B,2,0)</f>
        <v>City</v>
      </c>
      <c r="S1328" s="6" t="s">
        <v>816</v>
      </c>
      <c r="T1328" s="7">
        <v>7.0</v>
      </c>
      <c r="U1328" s="7" t="s">
        <v>817</v>
      </c>
      <c r="V1328" s="7" t="str">
        <f>VLOOKUP(U1328,Jogadores!B:C,2,0)</f>
        <v>FW</v>
      </c>
      <c r="W1328" s="8">
        <f>VLOOKUP(U1328,Jogadores!B:D,3,0)</f>
        <v>26.48767123</v>
      </c>
      <c r="X1328" s="7">
        <v>0.0</v>
      </c>
      <c r="Y1328" s="7">
        <v>45.0</v>
      </c>
      <c r="Z1328" s="7">
        <f>VLOOKUP(A1328,Jogos!A:L,3,0)</f>
        <v>49</v>
      </c>
      <c r="AA1328" s="7">
        <f t="shared" si="2229"/>
        <v>49</v>
      </c>
      <c r="AB1328" s="7">
        <f>VLOOKUP(A1328,Jogos!A:L,4,0)</f>
        <v>48</v>
      </c>
      <c r="AC1328" s="7">
        <f t="shared" si="2230"/>
        <v>0</v>
      </c>
      <c r="AD1328" s="7"/>
      <c r="AE1328" s="7"/>
      <c r="AF1328" s="7">
        <f t="shared" si="2231"/>
        <v>49</v>
      </c>
      <c r="AG1328" s="7">
        <v>5064.8</v>
      </c>
      <c r="AH1328" s="7">
        <v>2095.6</v>
      </c>
      <c r="AI1328" s="7">
        <v>1735.6</v>
      </c>
      <c r="AJ1328" s="7">
        <v>736.9</v>
      </c>
      <c r="AK1328" s="7">
        <v>267.5</v>
      </c>
      <c r="AL1328" s="7">
        <v>229.2</v>
      </c>
      <c r="AM1328" s="7">
        <v>45.0</v>
      </c>
      <c r="AN1328" s="7">
        <v>14.0</v>
      </c>
      <c r="AO1328" s="7">
        <v>32.7</v>
      </c>
      <c r="AP1328" s="9">
        <f t="shared" ref="AP1328:AR1328" si="4146">AG1328/$AF1328</f>
        <v>103.3632653</v>
      </c>
      <c r="AQ1328" s="9">
        <f t="shared" si="4146"/>
        <v>42.76734694</v>
      </c>
      <c r="AR1328" s="9">
        <f t="shared" si="4146"/>
        <v>35.42040816</v>
      </c>
      <c r="AS1328" s="9">
        <f t="shared" si="2233"/>
        <v>78.1877551</v>
      </c>
      <c r="AT1328" s="9">
        <f t="shared" ref="AT1328:AV1328" si="4147">AJ1328/$AF1328</f>
        <v>15.03877551</v>
      </c>
      <c r="AU1328" s="9">
        <f t="shared" si="4147"/>
        <v>5.459183673</v>
      </c>
      <c r="AV1328" s="9">
        <f t="shared" si="4147"/>
        <v>4.67755102</v>
      </c>
      <c r="AW1328" s="9">
        <f t="shared" si="2235"/>
        <v>10.13673469</v>
      </c>
      <c r="AX1328" s="9">
        <f t="shared" ref="AX1328:AY1328" si="4148">AM1328/$AF1328</f>
        <v>0.9183673469</v>
      </c>
      <c r="AY1328" s="9">
        <f t="shared" si="4148"/>
        <v>0.2857142857</v>
      </c>
      <c r="AZ1328" s="9">
        <f>VLOOKUP(A1328,Jogos!A:BN,58,0)</f>
        <v>29.045</v>
      </c>
      <c r="BA1328" s="9">
        <f>VLOOKUP(A1328,Jogos!A:BN,59,0)</f>
        <v>21.59</v>
      </c>
      <c r="BB1328" s="9">
        <f>VLOOKUP(A1328,Jogos!A:BN,60,0)</f>
        <v>63.5</v>
      </c>
      <c r="BC1328" s="9">
        <f>VLOOKUP(A1328,Jogos!A:BN,61,0)</f>
        <v>28.83</v>
      </c>
      <c r="BD1328" s="9">
        <f>VLOOKUP(A1328,Jogos!A:BN,62,0)</f>
        <v>660.25</v>
      </c>
      <c r="BE1328" s="9">
        <f>VLOOKUP(A1328,Jogos!A:BN,63,0)</f>
        <v>1.74</v>
      </c>
      <c r="BF1328" s="9">
        <f>VLOOKUP(A1328,Jogos!A:BN,64,0)</f>
        <v>24.685</v>
      </c>
      <c r="BG1328" s="9">
        <f>VLOOKUP(A1328,Jogos!A:BN,65,0)</f>
        <v>43.51</v>
      </c>
      <c r="BH1328" s="9">
        <f>VLOOKUP(A1328,Jogos!A:BN,66,0)</f>
        <v>28.885</v>
      </c>
      <c r="BI1328" s="9"/>
      <c r="BJ1328" s="9"/>
    </row>
    <row r="1329" hidden="1">
      <c r="A1329" s="10">
        <v>45.0</v>
      </c>
      <c r="B1329" s="11" t="s">
        <v>809</v>
      </c>
      <c r="C1329" s="2" t="s">
        <v>61</v>
      </c>
      <c r="D1329" s="12">
        <v>45834.0</v>
      </c>
      <c r="E1329" s="13">
        <v>0.625</v>
      </c>
      <c r="F1329" s="5" t="str">
        <f>VLOOKUP(A1329,Jogos!A:N,10,0)</f>
        <v>Afternoon</v>
      </c>
      <c r="G1329" s="11" t="s">
        <v>1269</v>
      </c>
      <c r="H1329" s="6" t="str">
        <f>VLOOKUP(A1329,Jogos!A:L,12,0)</f>
        <v>Open</v>
      </c>
      <c r="I1329" s="6" t="str">
        <f>VLOOKUP(G1329,'Estádios e Cidades'!A:B,2,0)</f>
        <v>Orlando</v>
      </c>
      <c r="J1329" s="11" t="s">
        <v>810</v>
      </c>
      <c r="K1329" s="2" t="str">
        <f>VLOOKUP(J1329,Equipes!A:F,6,0)</f>
        <v>Temperate</v>
      </c>
      <c r="L1329" s="2">
        <f>VLOOKUP(J1329,Equipes!A:C,3,0)</f>
        <v>9</v>
      </c>
      <c r="M1329" s="2" t="str">
        <f t="shared" si="4"/>
        <v>Round of 16</v>
      </c>
      <c r="N1329" s="11" t="s">
        <v>999</v>
      </c>
      <c r="O1329" s="2">
        <f>VLOOKUP(N1329,Equipes!A:C,3,0)</f>
        <v>13</v>
      </c>
      <c r="P1329" s="2" t="str">
        <f t="shared" si="5"/>
        <v>Round of 16</v>
      </c>
      <c r="Q1329" s="2">
        <f t="shared" si="6"/>
        <v>-4</v>
      </c>
      <c r="R1329" s="2" t="str">
        <f>VLOOKUP(J1329,Equipes!A:B,2,0)</f>
        <v>City</v>
      </c>
      <c r="S1329" s="6" t="s">
        <v>818</v>
      </c>
      <c r="T1329" s="7">
        <v>11.0</v>
      </c>
      <c r="U1329" s="7" t="s">
        <v>819</v>
      </c>
      <c r="V1329" s="7" t="str">
        <f>VLOOKUP(U1329,Jogadores!B:C,2,0)</f>
        <v>MF</v>
      </c>
      <c r="W1329" s="8">
        <f>VLOOKUP(U1329,Jogadores!B:D,3,0)</f>
        <v>23.18630137</v>
      </c>
      <c r="X1329" s="7">
        <v>0.0</v>
      </c>
      <c r="Y1329" s="7">
        <v>66.0</v>
      </c>
      <c r="Z1329" s="7">
        <f>VLOOKUP(A1329,Jogos!A:L,3,0)</f>
        <v>49</v>
      </c>
      <c r="AA1329" s="7">
        <f t="shared" si="2229"/>
        <v>49</v>
      </c>
      <c r="AB1329" s="7">
        <f>VLOOKUP(A1329,Jogos!A:L,4,0)</f>
        <v>48</v>
      </c>
      <c r="AC1329" s="7">
        <f t="shared" si="2230"/>
        <v>21</v>
      </c>
      <c r="AD1329" s="7"/>
      <c r="AE1329" s="7"/>
      <c r="AF1329" s="7">
        <f t="shared" si="2231"/>
        <v>70</v>
      </c>
      <c r="AG1329" s="7">
        <v>7358.5</v>
      </c>
      <c r="AH1329" s="7">
        <v>2890.2</v>
      </c>
      <c r="AI1329" s="7">
        <v>2833.2</v>
      </c>
      <c r="AJ1329" s="7">
        <v>1040.2</v>
      </c>
      <c r="AK1329" s="7">
        <v>472.8</v>
      </c>
      <c r="AL1329" s="7">
        <v>122.1</v>
      </c>
      <c r="AM1329" s="7">
        <v>50.0</v>
      </c>
      <c r="AN1329" s="7">
        <v>12.0</v>
      </c>
      <c r="AO1329" s="7">
        <v>29.4</v>
      </c>
      <c r="AP1329" s="9">
        <f t="shared" ref="AP1329:AR1329" si="4149">AG1329/$AF1329</f>
        <v>105.1214286</v>
      </c>
      <c r="AQ1329" s="9">
        <f t="shared" si="4149"/>
        <v>41.28857143</v>
      </c>
      <c r="AR1329" s="9">
        <f t="shared" si="4149"/>
        <v>40.47428571</v>
      </c>
      <c r="AS1329" s="9">
        <f t="shared" si="2233"/>
        <v>81.76285714</v>
      </c>
      <c r="AT1329" s="9">
        <f t="shared" ref="AT1329:AV1329" si="4150">AJ1329/$AF1329</f>
        <v>14.86</v>
      </c>
      <c r="AU1329" s="9">
        <f t="shared" si="4150"/>
        <v>6.754285714</v>
      </c>
      <c r="AV1329" s="9">
        <f t="shared" si="4150"/>
        <v>1.744285714</v>
      </c>
      <c r="AW1329" s="9">
        <f t="shared" si="2235"/>
        <v>8.498571429</v>
      </c>
      <c r="AX1329" s="9">
        <f t="shared" ref="AX1329:AY1329" si="4151">AM1329/$AF1329</f>
        <v>0.7142857143</v>
      </c>
      <c r="AY1329" s="9">
        <f t="shared" si="4151"/>
        <v>0.1714285714</v>
      </c>
      <c r="AZ1329" s="9">
        <f>VLOOKUP(A1329,Jogos!A:BN,58,0)</f>
        <v>29.045</v>
      </c>
      <c r="BA1329" s="9">
        <f>VLOOKUP(A1329,Jogos!A:BN,59,0)</f>
        <v>21.59</v>
      </c>
      <c r="BB1329" s="9">
        <f>VLOOKUP(A1329,Jogos!A:BN,60,0)</f>
        <v>63.5</v>
      </c>
      <c r="BC1329" s="9">
        <f>VLOOKUP(A1329,Jogos!A:BN,61,0)</f>
        <v>28.83</v>
      </c>
      <c r="BD1329" s="9">
        <f>VLOOKUP(A1329,Jogos!A:BN,62,0)</f>
        <v>660.25</v>
      </c>
      <c r="BE1329" s="9">
        <f>VLOOKUP(A1329,Jogos!A:BN,63,0)</f>
        <v>1.74</v>
      </c>
      <c r="BF1329" s="9">
        <f>VLOOKUP(A1329,Jogos!A:BN,64,0)</f>
        <v>24.685</v>
      </c>
      <c r="BG1329" s="9">
        <f>VLOOKUP(A1329,Jogos!A:BN,65,0)</f>
        <v>43.51</v>
      </c>
      <c r="BH1329" s="9">
        <f>VLOOKUP(A1329,Jogos!A:BN,66,0)</f>
        <v>28.885</v>
      </c>
      <c r="BI1329" s="9"/>
      <c r="BJ1329" s="9"/>
    </row>
    <row r="1330" hidden="1">
      <c r="A1330" s="10">
        <v>45.0</v>
      </c>
      <c r="B1330" s="11" t="s">
        <v>809</v>
      </c>
      <c r="C1330" s="2" t="s">
        <v>61</v>
      </c>
      <c r="D1330" s="12">
        <v>45834.0</v>
      </c>
      <c r="E1330" s="13">
        <v>0.625</v>
      </c>
      <c r="F1330" s="5" t="str">
        <f>VLOOKUP(A1330,Jogos!A:N,10,0)</f>
        <v>Afternoon</v>
      </c>
      <c r="G1330" s="11" t="s">
        <v>1269</v>
      </c>
      <c r="H1330" s="6" t="str">
        <f>VLOOKUP(A1330,Jogos!A:L,12,0)</f>
        <v>Open</v>
      </c>
      <c r="I1330" s="6" t="str">
        <f>VLOOKUP(G1330,'Estádios e Cidades'!A:B,2,0)</f>
        <v>Orlando</v>
      </c>
      <c r="J1330" s="11" t="s">
        <v>810</v>
      </c>
      <c r="K1330" s="2" t="str">
        <f>VLOOKUP(J1330,Equipes!A:F,6,0)</f>
        <v>Temperate</v>
      </c>
      <c r="L1330" s="2">
        <f>VLOOKUP(J1330,Equipes!A:C,3,0)</f>
        <v>9</v>
      </c>
      <c r="M1330" s="2" t="str">
        <f t="shared" si="4"/>
        <v>Round of 16</v>
      </c>
      <c r="N1330" s="11" t="s">
        <v>999</v>
      </c>
      <c r="O1330" s="2">
        <f>VLOOKUP(N1330,Equipes!A:C,3,0)</f>
        <v>13</v>
      </c>
      <c r="P1330" s="2" t="str">
        <f t="shared" si="5"/>
        <v>Round of 16</v>
      </c>
      <c r="Q1330" s="2">
        <f t="shared" si="6"/>
        <v>-4</v>
      </c>
      <c r="R1330" s="2" t="str">
        <f>VLOOKUP(J1330,Equipes!A:B,2,0)</f>
        <v>City</v>
      </c>
      <c r="S1330" s="6" t="s">
        <v>834</v>
      </c>
      <c r="T1330" s="7">
        <v>16.0</v>
      </c>
      <c r="U1330" s="7" t="s">
        <v>835</v>
      </c>
      <c r="V1330" s="7" t="str">
        <f>VLOOKUP(U1330,Jogadores!B:C,2,0)</f>
        <v>MF</v>
      </c>
      <c r="W1330" s="8">
        <f>VLOOKUP(U1330,Jogadores!B:D,3,0)</f>
        <v>29.11780822</v>
      </c>
      <c r="X1330" s="7">
        <v>0.0</v>
      </c>
      <c r="Y1330" s="7">
        <v>66.0</v>
      </c>
      <c r="Z1330" s="7">
        <f>VLOOKUP(A1330,Jogos!A:L,3,0)</f>
        <v>49</v>
      </c>
      <c r="AA1330" s="7">
        <f t="shared" si="2229"/>
        <v>49</v>
      </c>
      <c r="AB1330" s="7">
        <f>VLOOKUP(A1330,Jogos!A:L,4,0)</f>
        <v>48</v>
      </c>
      <c r="AC1330" s="7">
        <f t="shared" si="2230"/>
        <v>21</v>
      </c>
      <c r="AD1330" s="7"/>
      <c r="AE1330" s="7"/>
      <c r="AF1330" s="7">
        <f t="shared" si="2231"/>
        <v>70</v>
      </c>
      <c r="AG1330" s="7">
        <v>7997.5</v>
      </c>
      <c r="AH1330" s="7">
        <v>2608.6</v>
      </c>
      <c r="AI1330" s="7">
        <v>3791.0</v>
      </c>
      <c r="AJ1330" s="7">
        <v>1159.9</v>
      </c>
      <c r="AK1330" s="7">
        <v>344.3</v>
      </c>
      <c r="AL1330" s="7">
        <v>93.7</v>
      </c>
      <c r="AM1330" s="7">
        <v>33.0</v>
      </c>
      <c r="AN1330" s="7">
        <v>5.0</v>
      </c>
      <c r="AO1330" s="7">
        <v>39.6</v>
      </c>
      <c r="AP1330" s="9">
        <f t="shared" ref="AP1330:AR1330" si="4152">AG1330/$AF1330</f>
        <v>114.25</v>
      </c>
      <c r="AQ1330" s="9">
        <f t="shared" si="4152"/>
        <v>37.26571429</v>
      </c>
      <c r="AR1330" s="9">
        <f t="shared" si="4152"/>
        <v>54.15714286</v>
      </c>
      <c r="AS1330" s="9">
        <f t="shared" si="2233"/>
        <v>91.42285714</v>
      </c>
      <c r="AT1330" s="9">
        <f t="shared" ref="AT1330:AV1330" si="4153">AJ1330/$AF1330</f>
        <v>16.57</v>
      </c>
      <c r="AU1330" s="9">
        <f t="shared" si="4153"/>
        <v>4.918571429</v>
      </c>
      <c r="AV1330" s="9">
        <f t="shared" si="4153"/>
        <v>1.338571429</v>
      </c>
      <c r="AW1330" s="9">
        <f t="shared" si="2235"/>
        <v>6.257142857</v>
      </c>
      <c r="AX1330" s="9">
        <f t="shared" ref="AX1330:AY1330" si="4154">AM1330/$AF1330</f>
        <v>0.4714285714</v>
      </c>
      <c r="AY1330" s="9">
        <f t="shared" si="4154"/>
        <v>0.07142857143</v>
      </c>
      <c r="AZ1330" s="9">
        <f>VLOOKUP(A1330,Jogos!A:BN,58,0)</f>
        <v>29.045</v>
      </c>
      <c r="BA1330" s="9">
        <f>VLOOKUP(A1330,Jogos!A:BN,59,0)</f>
        <v>21.59</v>
      </c>
      <c r="BB1330" s="9">
        <f>VLOOKUP(A1330,Jogos!A:BN,60,0)</f>
        <v>63.5</v>
      </c>
      <c r="BC1330" s="9">
        <f>VLOOKUP(A1330,Jogos!A:BN,61,0)</f>
        <v>28.83</v>
      </c>
      <c r="BD1330" s="9">
        <f>VLOOKUP(A1330,Jogos!A:BN,62,0)</f>
        <v>660.25</v>
      </c>
      <c r="BE1330" s="9">
        <f>VLOOKUP(A1330,Jogos!A:BN,63,0)</f>
        <v>1.74</v>
      </c>
      <c r="BF1330" s="9">
        <f>VLOOKUP(A1330,Jogos!A:BN,64,0)</f>
        <v>24.685</v>
      </c>
      <c r="BG1330" s="9">
        <f>VLOOKUP(A1330,Jogos!A:BN,65,0)</f>
        <v>43.51</v>
      </c>
      <c r="BH1330" s="9">
        <f>VLOOKUP(A1330,Jogos!A:BN,66,0)</f>
        <v>28.885</v>
      </c>
      <c r="BI1330" s="9"/>
      <c r="BJ1330" s="9"/>
    </row>
    <row r="1331" hidden="1">
      <c r="A1331" s="10">
        <v>45.0</v>
      </c>
      <c r="B1331" s="11" t="s">
        <v>809</v>
      </c>
      <c r="C1331" s="2" t="s">
        <v>61</v>
      </c>
      <c r="D1331" s="12">
        <v>45834.0</v>
      </c>
      <c r="E1331" s="13">
        <v>0.625</v>
      </c>
      <c r="F1331" s="5" t="str">
        <f>VLOOKUP(A1331,Jogos!A:N,10,0)</f>
        <v>Afternoon</v>
      </c>
      <c r="G1331" s="11" t="s">
        <v>1269</v>
      </c>
      <c r="H1331" s="6" t="str">
        <f>VLOOKUP(A1331,Jogos!A:L,12,0)</f>
        <v>Open</v>
      </c>
      <c r="I1331" s="6" t="str">
        <f>VLOOKUP(G1331,'Estádios e Cidades'!A:B,2,0)</f>
        <v>Orlando</v>
      </c>
      <c r="J1331" s="11" t="s">
        <v>810</v>
      </c>
      <c r="K1331" s="2" t="str">
        <f>VLOOKUP(J1331,Equipes!A:F,6,0)</f>
        <v>Temperate</v>
      </c>
      <c r="L1331" s="2">
        <f>VLOOKUP(J1331,Equipes!A:C,3,0)</f>
        <v>9</v>
      </c>
      <c r="M1331" s="2" t="str">
        <f t="shared" si="4"/>
        <v>Round of 16</v>
      </c>
      <c r="N1331" s="11" t="s">
        <v>999</v>
      </c>
      <c r="O1331" s="2">
        <f>VLOOKUP(N1331,Equipes!A:C,3,0)</f>
        <v>13</v>
      </c>
      <c r="P1331" s="2" t="str">
        <f t="shared" si="5"/>
        <v>Round of 16</v>
      </c>
      <c r="Q1331" s="2">
        <f t="shared" si="6"/>
        <v>-4</v>
      </c>
      <c r="R1331" s="2" t="str">
        <f>VLOOKUP(J1331,Equipes!A:B,2,0)</f>
        <v>City</v>
      </c>
      <c r="S1331" s="6" t="s">
        <v>1217</v>
      </c>
      <c r="T1331" s="7">
        <v>20.0</v>
      </c>
      <c r="U1331" s="7" t="s">
        <v>1218</v>
      </c>
      <c r="V1331" s="7" t="str">
        <f>VLOOKUP(U1331,Jogadores!B:C,2,0)</f>
        <v>MF</v>
      </c>
      <c r="W1331" s="8">
        <f>VLOOKUP(U1331,Jogadores!B:D,3,0)</f>
        <v>30.98630137</v>
      </c>
      <c r="X1331" s="7">
        <v>0.0</v>
      </c>
      <c r="Y1331" s="7">
        <v>75.0</v>
      </c>
      <c r="Z1331" s="7">
        <f>VLOOKUP(A1331,Jogos!A:L,3,0)</f>
        <v>49</v>
      </c>
      <c r="AA1331" s="7">
        <f t="shared" si="2229"/>
        <v>49</v>
      </c>
      <c r="AB1331" s="7">
        <f>VLOOKUP(A1331,Jogos!A:L,4,0)</f>
        <v>48</v>
      </c>
      <c r="AC1331" s="7">
        <f t="shared" si="2230"/>
        <v>30</v>
      </c>
      <c r="AD1331" s="7"/>
      <c r="AE1331" s="7"/>
      <c r="AF1331" s="7">
        <f t="shared" si="2231"/>
        <v>79</v>
      </c>
      <c r="AG1331" s="7">
        <v>9472.9</v>
      </c>
      <c r="AH1331" s="7">
        <v>2849.1</v>
      </c>
      <c r="AI1331" s="7">
        <v>4486.7</v>
      </c>
      <c r="AJ1331" s="7">
        <v>1527.8</v>
      </c>
      <c r="AK1331" s="7">
        <v>521.5</v>
      </c>
      <c r="AL1331" s="7">
        <v>87.8</v>
      </c>
      <c r="AM1331" s="7">
        <v>47.0</v>
      </c>
      <c r="AN1331" s="7">
        <v>5.0</v>
      </c>
      <c r="AO1331" s="7">
        <v>28.2</v>
      </c>
      <c r="AP1331" s="9">
        <f t="shared" ref="AP1331:AR1331" si="4155">AG1331/$AF1331</f>
        <v>119.9101266</v>
      </c>
      <c r="AQ1331" s="9">
        <f t="shared" si="4155"/>
        <v>36.06455696</v>
      </c>
      <c r="AR1331" s="9">
        <f t="shared" si="4155"/>
        <v>56.79367089</v>
      </c>
      <c r="AS1331" s="9">
        <f t="shared" si="2233"/>
        <v>92.85822785</v>
      </c>
      <c r="AT1331" s="9">
        <f t="shared" ref="AT1331:AV1331" si="4156">AJ1331/$AF1331</f>
        <v>19.33924051</v>
      </c>
      <c r="AU1331" s="9">
        <f t="shared" si="4156"/>
        <v>6.601265823</v>
      </c>
      <c r="AV1331" s="9">
        <f t="shared" si="4156"/>
        <v>1.111392405</v>
      </c>
      <c r="AW1331" s="9">
        <f t="shared" si="2235"/>
        <v>7.712658228</v>
      </c>
      <c r="AX1331" s="9">
        <f t="shared" ref="AX1331:AY1331" si="4157">AM1331/$AF1331</f>
        <v>0.5949367089</v>
      </c>
      <c r="AY1331" s="9">
        <f t="shared" si="4157"/>
        <v>0.06329113924</v>
      </c>
      <c r="AZ1331" s="9">
        <f>VLOOKUP(A1331,Jogos!A:BN,58,0)</f>
        <v>29.045</v>
      </c>
      <c r="BA1331" s="9">
        <f>VLOOKUP(A1331,Jogos!A:BN,59,0)</f>
        <v>21.59</v>
      </c>
      <c r="BB1331" s="9">
        <f>VLOOKUP(A1331,Jogos!A:BN,60,0)</f>
        <v>63.5</v>
      </c>
      <c r="BC1331" s="9">
        <f>VLOOKUP(A1331,Jogos!A:BN,61,0)</f>
        <v>28.83</v>
      </c>
      <c r="BD1331" s="9">
        <f>VLOOKUP(A1331,Jogos!A:BN,62,0)</f>
        <v>660.25</v>
      </c>
      <c r="BE1331" s="9">
        <f>VLOOKUP(A1331,Jogos!A:BN,63,0)</f>
        <v>1.74</v>
      </c>
      <c r="BF1331" s="9">
        <f>VLOOKUP(A1331,Jogos!A:BN,64,0)</f>
        <v>24.685</v>
      </c>
      <c r="BG1331" s="9">
        <f>VLOOKUP(A1331,Jogos!A:BN,65,0)</f>
        <v>43.51</v>
      </c>
      <c r="BH1331" s="9">
        <f>VLOOKUP(A1331,Jogos!A:BN,66,0)</f>
        <v>28.885</v>
      </c>
      <c r="BI1331" s="9"/>
      <c r="BJ1331" s="9"/>
    </row>
    <row r="1332" hidden="1">
      <c r="A1332" s="10">
        <v>45.0</v>
      </c>
      <c r="B1332" s="11" t="s">
        <v>809</v>
      </c>
      <c r="C1332" s="2" t="s">
        <v>61</v>
      </c>
      <c r="D1332" s="12">
        <v>45834.0</v>
      </c>
      <c r="E1332" s="13">
        <v>0.625</v>
      </c>
      <c r="F1332" s="5" t="str">
        <f>VLOOKUP(A1332,Jogos!A:N,10,0)</f>
        <v>Afternoon</v>
      </c>
      <c r="G1332" s="11" t="s">
        <v>1269</v>
      </c>
      <c r="H1332" s="6" t="str">
        <f>VLOOKUP(A1332,Jogos!A:L,12,0)</f>
        <v>Open</v>
      </c>
      <c r="I1332" s="6" t="str">
        <f>VLOOKUP(G1332,'Estádios e Cidades'!A:B,2,0)</f>
        <v>Orlando</v>
      </c>
      <c r="J1332" s="11" t="s">
        <v>810</v>
      </c>
      <c r="K1332" s="2" t="str">
        <f>VLOOKUP(J1332,Equipes!A:F,6,0)</f>
        <v>Temperate</v>
      </c>
      <c r="L1332" s="2">
        <f>VLOOKUP(J1332,Equipes!A:C,3,0)</f>
        <v>9</v>
      </c>
      <c r="M1332" s="2" t="str">
        <f t="shared" si="4"/>
        <v>Round of 16</v>
      </c>
      <c r="N1332" s="11" t="s">
        <v>999</v>
      </c>
      <c r="O1332" s="2">
        <f>VLOOKUP(N1332,Equipes!A:C,3,0)</f>
        <v>13</v>
      </c>
      <c r="P1332" s="2" t="str">
        <f t="shared" si="5"/>
        <v>Round of 16</v>
      </c>
      <c r="Q1332" s="2">
        <f t="shared" si="6"/>
        <v>-4</v>
      </c>
      <c r="R1332" s="2" t="str">
        <f>VLOOKUP(J1332,Equipes!A:B,2,0)</f>
        <v>City</v>
      </c>
      <c r="S1332" s="6" t="s">
        <v>1219</v>
      </c>
      <c r="T1332" s="7">
        <v>21.0</v>
      </c>
      <c r="U1332" s="7" t="s">
        <v>1220</v>
      </c>
      <c r="V1332" s="7" t="str">
        <f>VLOOKUP(U1332,Jogadores!B:C,2,0)</f>
        <v>DF</v>
      </c>
      <c r="W1332" s="8">
        <f>VLOOKUP(U1332,Jogadores!B:D,3,0)</f>
        <v>24.15890411</v>
      </c>
      <c r="X1332" s="7">
        <v>0.0</v>
      </c>
      <c r="Y1332" s="7">
        <v>75.0</v>
      </c>
      <c r="Z1332" s="7">
        <f>VLOOKUP(A1332,Jogos!A:L,3,0)</f>
        <v>49</v>
      </c>
      <c r="AA1332" s="7">
        <f t="shared" si="2229"/>
        <v>49</v>
      </c>
      <c r="AB1332" s="7">
        <f>VLOOKUP(A1332,Jogos!A:L,4,0)</f>
        <v>48</v>
      </c>
      <c r="AC1332" s="7">
        <f t="shared" si="2230"/>
        <v>30</v>
      </c>
      <c r="AD1332" s="7"/>
      <c r="AE1332" s="7"/>
      <c r="AF1332" s="7">
        <f t="shared" si="2231"/>
        <v>79</v>
      </c>
      <c r="AG1332" s="7">
        <v>8472.3</v>
      </c>
      <c r="AH1332" s="7">
        <v>2967.4</v>
      </c>
      <c r="AI1332" s="7">
        <v>4207.0</v>
      </c>
      <c r="AJ1332" s="7">
        <v>769.3</v>
      </c>
      <c r="AK1332" s="7">
        <v>317.5</v>
      </c>
      <c r="AL1332" s="7">
        <v>211.1</v>
      </c>
      <c r="AM1332" s="7">
        <v>50.0</v>
      </c>
      <c r="AN1332" s="7">
        <v>12.0</v>
      </c>
      <c r="AO1332" s="7">
        <v>31.8</v>
      </c>
      <c r="AP1332" s="9">
        <f t="shared" ref="AP1332:AR1332" si="4158">AG1332/$AF1332</f>
        <v>107.2443038</v>
      </c>
      <c r="AQ1332" s="9">
        <f t="shared" si="4158"/>
        <v>37.56202532</v>
      </c>
      <c r="AR1332" s="9">
        <f t="shared" si="4158"/>
        <v>53.25316456</v>
      </c>
      <c r="AS1332" s="9">
        <f t="shared" si="2233"/>
        <v>90.81518987</v>
      </c>
      <c r="AT1332" s="9">
        <f t="shared" ref="AT1332:AV1332" si="4159">AJ1332/$AF1332</f>
        <v>9.737974684</v>
      </c>
      <c r="AU1332" s="9">
        <f t="shared" si="4159"/>
        <v>4.018987342</v>
      </c>
      <c r="AV1332" s="9">
        <f t="shared" si="4159"/>
        <v>2.672151899</v>
      </c>
      <c r="AW1332" s="9">
        <f t="shared" si="2235"/>
        <v>6.691139241</v>
      </c>
      <c r="AX1332" s="9">
        <f t="shared" ref="AX1332:AY1332" si="4160">AM1332/$AF1332</f>
        <v>0.6329113924</v>
      </c>
      <c r="AY1332" s="9">
        <f t="shared" si="4160"/>
        <v>0.1518987342</v>
      </c>
      <c r="AZ1332" s="9">
        <f>VLOOKUP(A1332,Jogos!A:BN,58,0)</f>
        <v>29.045</v>
      </c>
      <c r="BA1332" s="9">
        <f>VLOOKUP(A1332,Jogos!A:BN,59,0)</f>
        <v>21.59</v>
      </c>
      <c r="BB1332" s="9">
        <f>VLOOKUP(A1332,Jogos!A:BN,60,0)</f>
        <v>63.5</v>
      </c>
      <c r="BC1332" s="9">
        <f>VLOOKUP(A1332,Jogos!A:BN,61,0)</f>
        <v>28.83</v>
      </c>
      <c r="BD1332" s="9">
        <f>VLOOKUP(A1332,Jogos!A:BN,62,0)</f>
        <v>660.25</v>
      </c>
      <c r="BE1332" s="9">
        <f>VLOOKUP(A1332,Jogos!A:BN,63,0)</f>
        <v>1.74</v>
      </c>
      <c r="BF1332" s="9">
        <f>VLOOKUP(A1332,Jogos!A:BN,64,0)</f>
        <v>24.685</v>
      </c>
      <c r="BG1332" s="9">
        <f>VLOOKUP(A1332,Jogos!A:BN,65,0)</f>
        <v>43.51</v>
      </c>
      <c r="BH1332" s="9">
        <f>VLOOKUP(A1332,Jogos!A:BN,66,0)</f>
        <v>28.885</v>
      </c>
      <c r="BI1332" s="9"/>
      <c r="BJ1332" s="9"/>
    </row>
    <row r="1333" hidden="1">
      <c r="A1333" s="10">
        <v>45.0</v>
      </c>
      <c r="B1333" s="11" t="s">
        <v>809</v>
      </c>
      <c r="C1333" s="2" t="s">
        <v>61</v>
      </c>
      <c r="D1333" s="12">
        <v>45834.0</v>
      </c>
      <c r="E1333" s="13">
        <v>0.625</v>
      </c>
      <c r="F1333" s="5" t="str">
        <f>VLOOKUP(A1333,Jogos!A:N,10,0)</f>
        <v>Afternoon</v>
      </c>
      <c r="G1333" s="11" t="s">
        <v>1269</v>
      </c>
      <c r="H1333" s="6" t="str">
        <f>VLOOKUP(A1333,Jogos!A:L,12,0)</f>
        <v>Open</v>
      </c>
      <c r="I1333" s="6" t="str">
        <f>VLOOKUP(G1333,'Estádios e Cidades'!A:B,2,0)</f>
        <v>Orlando</v>
      </c>
      <c r="J1333" s="11" t="s">
        <v>810</v>
      </c>
      <c r="K1333" s="2" t="str">
        <f>VLOOKUP(J1333,Equipes!A:F,6,0)</f>
        <v>Temperate</v>
      </c>
      <c r="L1333" s="2">
        <f>VLOOKUP(J1333,Equipes!A:C,3,0)</f>
        <v>9</v>
      </c>
      <c r="M1333" s="2" t="str">
        <f t="shared" si="4"/>
        <v>Round of 16</v>
      </c>
      <c r="N1333" s="11" t="s">
        <v>999</v>
      </c>
      <c r="O1333" s="2">
        <f>VLOOKUP(N1333,Equipes!A:C,3,0)</f>
        <v>13</v>
      </c>
      <c r="P1333" s="2" t="str">
        <f t="shared" si="5"/>
        <v>Round of 16</v>
      </c>
      <c r="Q1333" s="2">
        <f t="shared" si="6"/>
        <v>-4</v>
      </c>
      <c r="R1333" s="2" t="str">
        <f>VLOOKUP(J1333,Equipes!A:B,2,0)</f>
        <v>City</v>
      </c>
      <c r="S1333" s="6" t="s">
        <v>1223</v>
      </c>
      <c r="T1333" s="7">
        <v>25.0</v>
      </c>
      <c r="U1333" s="7" t="s">
        <v>1224</v>
      </c>
      <c r="V1333" s="7" t="str">
        <f>VLOOKUP(U1333,Jogadores!B:C,2,0)</f>
        <v>DF</v>
      </c>
      <c r="W1333" s="8">
        <f>VLOOKUP(U1333,Jogadores!B:D,3,0)</f>
        <v>30.04657534</v>
      </c>
      <c r="X1333" s="7">
        <v>0.0</v>
      </c>
      <c r="Y1333" s="7">
        <f t="shared" ref="Y1333:Y1343" si="4164">45+AB1333</f>
        <v>93</v>
      </c>
      <c r="Z1333" s="7">
        <f>VLOOKUP(A1333,Jogos!A:L,3,0)</f>
        <v>49</v>
      </c>
      <c r="AA1333" s="7">
        <f t="shared" si="2229"/>
        <v>49</v>
      </c>
      <c r="AB1333" s="7">
        <f>VLOOKUP(A1333,Jogos!A:L,4,0)</f>
        <v>48</v>
      </c>
      <c r="AC1333" s="7">
        <f t="shared" si="2230"/>
        <v>48</v>
      </c>
      <c r="AD1333" s="7"/>
      <c r="AE1333" s="7"/>
      <c r="AF1333" s="7">
        <f t="shared" si="2231"/>
        <v>97</v>
      </c>
      <c r="AG1333" s="7">
        <v>9197.1</v>
      </c>
      <c r="AH1333" s="7">
        <v>3858.5</v>
      </c>
      <c r="AI1333" s="7">
        <v>3674.8</v>
      </c>
      <c r="AJ1333" s="7">
        <v>1182.7</v>
      </c>
      <c r="AK1333" s="7">
        <v>387.8</v>
      </c>
      <c r="AL1333" s="7">
        <v>93.3</v>
      </c>
      <c r="AM1333" s="7">
        <v>45.0</v>
      </c>
      <c r="AN1333" s="7">
        <v>8.0</v>
      </c>
      <c r="AO1333" s="7">
        <v>30.9</v>
      </c>
      <c r="AP1333" s="9">
        <f t="shared" ref="AP1333:AR1333" si="4161">AG1333/$AF1333</f>
        <v>94.81546392</v>
      </c>
      <c r="AQ1333" s="9">
        <f t="shared" si="4161"/>
        <v>39.77835052</v>
      </c>
      <c r="AR1333" s="9">
        <f t="shared" si="4161"/>
        <v>37.88453608</v>
      </c>
      <c r="AS1333" s="9">
        <f t="shared" si="2233"/>
        <v>77.6628866</v>
      </c>
      <c r="AT1333" s="9">
        <f t="shared" ref="AT1333:AV1333" si="4162">AJ1333/$AF1333</f>
        <v>12.19278351</v>
      </c>
      <c r="AU1333" s="9">
        <f t="shared" si="4162"/>
        <v>3.997938144</v>
      </c>
      <c r="AV1333" s="9">
        <f t="shared" si="4162"/>
        <v>0.9618556701</v>
      </c>
      <c r="AW1333" s="9">
        <f t="shared" si="2235"/>
        <v>4.959793814</v>
      </c>
      <c r="AX1333" s="9">
        <f t="shared" ref="AX1333:AY1333" si="4163">AM1333/$AF1333</f>
        <v>0.4639175258</v>
      </c>
      <c r="AY1333" s="9">
        <f t="shared" si="4163"/>
        <v>0.0824742268</v>
      </c>
      <c r="AZ1333" s="9">
        <f>VLOOKUP(A1333,Jogos!A:BN,58,0)</f>
        <v>29.045</v>
      </c>
      <c r="BA1333" s="9">
        <f>VLOOKUP(A1333,Jogos!A:BN,59,0)</f>
        <v>21.59</v>
      </c>
      <c r="BB1333" s="9">
        <f>VLOOKUP(A1333,Jogos!A:BN,60,0)</f>
        <v>63.5</v>
      </c>
      <c r="BC1333" s="9">
        <f>VLOOKUP(A1333,Jogos!A:BN,61,0)</f>
        <v>28.83</v>
      </c>
      <c r="BD1333" s="9">
        <f>VLOOKUP(A1333,Jogos!A:BN,62,0)</f>
        <v>660.25</v>
      </c>
      <c r="BE1333" s="9">
        <f>VLOOKUP(A1333,Jogos!A:BN,63,0)</f>
        <v>1.74</v>
      </c>
      <c r="BF1333" s="9">
        <f>VLOOKUP(A1333,Jogos!A:BN,64,0)</f>
        <v>24.685</v>
      </c>
      <c r="BG1333" s="9">
        <f>VLOOKUP(A1333,Jogos!A:BN,65,0)</f>
        <v>43.51</v>
      </c>
      <c r="BH1333" s="9">
        <f>VLOOKUP(A1333,Jogos!A:BN,66,0)</f>
        <v>28.885</v>
      </c>
      <c r="BI1333" s="9"/>
      <c r="BJ1333" s="9"/>
    </row>
    <row r="1334" hidden="1">
      <c r="A1334" s="10">
        <v>45.0</v>
      </c>
      <c r="B1334" s="11" t="s">
        <v>809</v>
      </c>
      <c r="C1334" s="2" t="s">
        <v>61</v>
      </c>
      <c r="D1334" s="12">
        <v>45834.0</v>
      </c>
      <c r="E1334" s="13">
        <v>0.625</v>
      </c>
      <c r="F1334" s="5" t="str">
        <f>VLOOKUP(A1334,Jogos!A:N,10,0)</f>
        <v>Afternoon</v>
      </c>
      <c r="G1334" s="11" t="s">
        <v>1269</v>
      </c>
      <c r="H1334" s="6" t="str">
        <f>VLOOKUP(A1334,Jogos!A:L,12,0)</f>
        <v>Open</v>
      </c>
      <c r="I1334" s="6" t="str">
        <f>VLOOKUP(G1334,'Estádios e Cidades'!A:B,2,0)</f>
        <v>Orlando</v>
      </c>
      <c r="J1334" s="11" t="s">
        <v>810</v>
      </c>
      <c r="K1334" s="2" t="str">
        <f>VLOOKUP(J1334,Equipes!A:F,6,0)</f>
        <v>Temperate</v>
      </c>
      <c r="L1334" s="2">
        <f>VLOOKUP(J1334,Equipes!A:C,3,0)</f>
        <v>9</v>
      </c>
      <c r="M1334" s="2" t="str">
        <f t="shared" si="4"/>
        <v>Round of 16</v>
      </c>
      <c r="N1334" s="11" t="s">
        <v>999</v>
      </c>
      <c r="O1334" s="2">
        <f>VLOOKUP(N1334,Equipes!A:C,3,0)</f>
        <v>13</v>
      </c>
      <c r="P1334" s="2" t="str">
        <f t="shared" si="5"/>
        <v>Round of 16</v>
      </c>
      <c r="Q1334" s="2">
        <f t="shared" si="6"/>
        <v>-4</v>
      </c>
      <c r="R1334" s="2" t="str">
        <f>VLOOKUP(J1334,Equipes!A:B,2,0)</f>
        <v>City</v>
      </c>
      <c r="S1334" s="6" t="s">
        <v>822</v>
      </c>
      <c r="T1334" s="7">
        <v>26.0</v>
      </c>
      <c r="U1334" s="7" t="s">
        <v>823</v>
      </c>
      <c r="V1334" s="7" t="str">
        <f>VLOOKUP(U1334,Jogadores!B:C,2,0)</f>
        <v>MF</v>
      </c>
      <c r="W1334" s="8">
        <f>VLOOKUP(U1334,Jogadores!B:D,3,0)</f>
        <v>21.31232877</v>
      </c>
      <c r="X1334" s="7">
        <v>0.0</v>
      </c>
      <c r="Y1334" s="7">
        <f t="shared" si="4164"/>
        <v>93</v>
      </c>
      <c r="Z1334" s="7">
        <f>VLOOKUP(A1334,Jogos!A:L,3,0)</f>
        <v>49</v>
      </c>
      <c r="AA1334" s="7">
        <f t="shared" si="2229"/>
        <v>49</v>
      </c>
      <c r="AB1334" s="7">
        <f>VLOOKUP(A1334,Jogos!A:L,4,0)</f>
        <v>48</v>
      </c>
      <c r="AC1334" s="7">
        <f t="shared" si="2230"/>
        <v>48</v>
      </c>
      <c r="AD1334" s="7"/>
      <c r="AE1334" s="7"/>
      <c r="AF1334" s="7">
        <f t="shared" si="2231"/>
        <v>97</v>
      </c>
      <c r="AG1334" s="7">
        <v>10489.0</v>
      </c>
      <c r="AH1334" s="7">
        <v>3905.9</v>
      </c>
      <c r="AI1334" s="7">
        <v>3659.6</v>
      </c>
      <c r="AJ1334" s="7">
        <v>1615.5</v>
      </c>
      <c r="AK1334" s="7">
        <v>921.4</v>
      </c>
      <c r="AL1334" s="7">
        <v>386.6</v>
      </c>
      <c r="AM1334" s="7">
        <v>98.0</v>
      </c>
      <c r="AN1334" s="7">
        <v>21.0</v>
      </c>
      <c r="AO1334" s="7">
        <v>33.1</v>
      </c>
      <c r="AP1334" s="9">
        <f t="shared" ref="AP1334:AR1334" si="4165">AG1334/$AF1334</f>
        <v>108.1340206</v>
      </c>
      <c r="AQ1334" s="9">
        <f t="shared" si="4165"/>
        <v>40.26701031</v>
      </c>
      <c r="AR1334" s="9">
        <f t="shared" si="4165"/>
        <v>37.72783505</v>
      </c>
      <c r="AS1334" s="9">
        <f t="shared" si="2233"/>
        <v>77.99484536</v>
      </c>
      <c r="AT1334" s="9">
        <f t="shared" ref="AT1334:AV1334" si="4166">AJ1334/$AF1334</f>
        <v>16.65463918</v>
      </c>
      <c r="AU1334" s="9">
        <f t="shared" si="4166"/>
        <v>9.498969072</v>
      </c>
      <c r="AV1334" s="9">
        <f t="shared" si="4166"/>
        <v>3.98556701</v>
      </c>
      <c r="AW1334" s="9">
        <f t="shared" si="2235"/>
        <v>13.48453608</v>
      </c>
      <c r="AX1334" s="9">
        <f t="shared" ref="AX1334:AY1334" si="4167">AM1334/$AF1334</f>
        <v>1.010309278</v>
      </c>
      <c r="AY1334" s="9">
        <f t="shared" si="4167"/>
        <v>0.2164948454</v>
      </c>
      <c r="AZ1334" s="9">
        <f>VLOOKUP(A1334,Jogos!A:BN,58,0)</f>
        <v>29.045</v>
      </c>
      <c r="BA1334" s="9">
        <f>VLOOKUP(A1334,Jogos!A:BN,59,0)</f>
        <v>21.59</v>
      </c>
      <c r="BB1334" s="9">
        <f>VLOOKUP(A1334,Jogos!A:BN,60,0)</f>
        <v>63.5</v>
      </c>
      <c r="BC1334" s="9">
        <f>VLOOKUP(A1334,Jogos!A:BN,61,0)</f>
        <v>28.83</v>
      </c>
      <c r="BD1334" s="9">
        <f>VLOOKUP(A1334,Jogos!A:BN,62,0)</f>
        <v>660.25</v>
      </c>
      <c r="BE1334" s="9">
        <f>VLOOKUP(A1334,Jogos!A:BN,63,0)</f>
        <v>1.74</v>
      </c>
      <c r="BF1334" s="9">
        <f>VLOOKUP(A1334,Jogos!A:BN,64,0)</f>
        <v>24.685</v>
      </c>
      <c r="BG1334" s="9">
        <f>VLOOKUP(A1334,Jogos!A:BN,65,0)</f>
        <v>43.51</v>
      </c>
      <c r="BH1334" s="9">
        <f>VLOOKUP(A1334,Jogos!A:BN,66,0)</f>
        <v>28.885</v>
      </c>
      <c r="BI1334" s="9"/>
      <c r="BJ1334" s="9"/>
    </row>
    <row r="1335" hidden="1">
      <c r="A1335" s="10">
        <v>45.0</v>
      </c>
      <c r="B1335" s="11" t="s">
        <v>809</v>
      </c>
      <c r="C1335" s="2" t="s">
        <v>61</v>
      </c>
      <c r="D1335" s="12">
        <v>45834.0</v>
      </c>
      <c r="E1335" s="13">
        <v>0.625</v>
      </c>
      <c r="F1335" s="5" t="str">
        <f>VLOOKUP(A1335,Jogos!A:N,10,0)</f>
        <v>Afternoon</v>
      </c>
      <c r="G1335" s="11" t="s">
        <v>1269</v>
      </c>
      <c r="H1335" s="6" t="str">
        <f>VLOOKUP(A1335,Jogos!A:L,12,0)</f>
        <v>Open</v>
      </c>
      <c r="I1335" s="6" t="str">
        <f>VLOOKUP(G1335,'Estádios e Cidades'!A:B,2,0)</f>
        <v>Orlando</v>
      </c>
      <c r="J1335" s="11" t="s">
        <v>810</v>
      </c>
      <c r="K1335" s="2" t="str">
        <f>VLOOKUP(J1335,Equipes!A:F,6,0)</f>
        <v>Temperate</v>
      </c>
      <c r="L1335" s="2">
        <f>VLOOKUP(J1335,Equipes!A:C,3,0)</f>
        <v>9</v>
      </c>
      <c r="M1335" s="2" t="str">
        <f t="shared" si="4"/>
        <v>Round of 16</v>
      </c>
      <c r="N1335" s="11" t="s">
        <v>999</v>
      </c>
      <c r="O1335" s="2">
        <f>VLOOKUP(N1335,Equipes!A:C,3,0)</f>
        <v>13</v>
      </c>
      <c r="P1335" s="2" t="str">
        <f t="shared" si="5"/>
        <v>Round of 16</v>
      </c>
      <c r="Q1335" s="2">
        <f t="shared" si="6"/>
        <v>-4</v>
      </c>
      <c r="R1335" s="2" t="str">
        <f>VLOOKUP(J1335,Equipes!A:B,2,0)</f>
        <v>City</v>
      </c>
      <c r="S1335" s="6" t="s">
        <v>838</v>
      </c>
      <c r="T1335" s="7">
        <v>27.0</v>
      </c>
      <c r="U1335" s="7" t="s">
        <v>839</v>
      </c>
      <c r="V1335" s="7" t="str">
        <f>VLOOKUP(U1335,Jogadores!B:C,2,0)</f>
        <v>MF</v>
      </c>
      <c r="W1335" s="8">
        <f>VLOOKUP(U1335,Jogadores!B:D,3,0)</f>
        <v>26.9369863</v>
      </c>
      <c r="X1335" s="7">
        <v>0.0</v>
      </c>
      <c r="Y1335" s="7">
        <f t="shared" si="4164"/>
        <v>93</v>
      </c>
      <c r="Z1335" s="7">
        <f>VLOOKUP(A1335,Jogos!A:L,3,0)</f>
        <v>49</v>
      </c>
      <c r="AA1335" s="7">
        <f t="shared" si="2229"/>
        <v>49</v>
      </c>
      <c r="AB1335" s="7">
        <f>VLOOKUP(A1335,Jogos!A:L,4,0)</f>
        <v>48</v>
      </c>
      <c r="AC1335" s="7">
        <f t="shared" si="2230"/>
        <v>48</v>
      </c>
      <c r="AD1335" s="7"/>
      <c r="AE1335" s="7"/>
      <c r="AF1335" s="7">
        <f t="shared" si="2231"/>
        <v>97</v>
      </c>
      <c r="AG1335" s="7">
        <v>10048.1</v>
      </c>
      <c r="AH1335" s="7">
        <v>3873.2</v>
      </c>
      <c r="AI1335" s="7">
        <v>4031.9</v>
      </c>
      <c r="AJ1335" s="7">
        <v>1183.9</v>
      </c>
      <c r="AK1335" s="7">
        <v>598.4</v>
      </c>
      <c r="AL1335" s="7">
        <v>360.8</v>
      </c>
      <c r="AM1335" s="7">
        <v>78.0</v>
      </c>
      <c r="AN1335" s="7">
        <v>21.0</v>
      </c>
      <c r="AO1335" s="7">
        <v>32.0</v>
      </c>
      <c r="AP1335" s="9">
        <f t="shared" ref="AP1335:AR1335" si="4168">AG1335/$AF1335</f>
        <v>103.5886598</v>
      </c>
      <c r="AQ1335" s="9">
        <f t="shared" si="4168"/>
        <v>39.92989691</v>
      </c>
      <c r="AR1335" s="9">
        <f t="shared" si="4168"/>
        <v>41.56597938</v>
      </c>
      <c r="AS1335" s="9">
        <f t="shared" si="2233"/>
        <v>81.49587629</v>
      </c>
      <c r="AT1335" s="9">
        <f t="shared" ref="AT1335:AV1335" si="4169">AJ1335/$AF1335</f>
        <v>12.20515464</v>
      </c>
      <c r="AU1335" s="9">
        <f t="shared" si="4169"/>
        <v>6.169072165</v>
      </c>
      <c r="AV1335" s="9">
        <f t="shared" si="4169"/>
        <v>3.719587629</v>
      </c>
      <c r="AW1335" s="9">
        <f t="shared" si="2235"/>
        <v>9.888659794</v>
      </c>
      <c r="AX1335" s="9">
        <f t="shared" ref="AX1335:AY1335" si="4170">AM1335/$AF1335</f>
        <v>0.8041237113</v>
      </c>
      <c r="AY1335" s="9">
        <f t="shared" si="4170"/>
        <v>0.2164948454</v>
      </c>
      <c r="AZ1335" s="9">
        <f>VLOOKUP(A1335,Jogos!A:BN,58,0)</f>
        <v>29.045</v>
      </c>
      <c r="BA1335" s="9">
        <f>VLOOKUP(A1335,Jogos!A:BN,59,0)</f>
        <v>21.59</v>
      </c>
      <c r="BB1335" s="9">
        <f>VLOOKUP(A1335,Jogos!A:BN,60,0)</f>
        <v>63.5</v>
      </c>
      <c r="BC1335" s="9">
        <f>VLOOKUP(A1335,Jogos!A:BN,61,0)</f>
        <v>28.83</v>
      </c>
      <c r="BD1335" s="9">
        <f>VLOOKUP(A1335,Jogos!A:BN,62,0)</f>
        <v>660.25</v>
      </c>
      <c r="BE1335" s="9">
        <f>VLOOKUP(A1335,Jogos!A:BN,63,0)</f>
        <v>1.74</v>
      </c>
      <c r="BF1335" s="9">
        <f>VLOOKUP(A1335,Jogos!A:BN,64,0)</f>
        <v>24.685</v>
      </c>
      <c r="BG1335" s="9">
        <f>VLOOKUP(A1335,Jogos!A:BN,65,0)</f>
        <v>43.51</v>
      </c>
      <c r="BH1335" s="9">
        <f>VLOOKUP(A1335,Jogos!A:BN,66,0)</f>
        <v>28.885</v>
      </c>
      <c r="BI1335" s="9"/>
      <c r="BJ1335" s="9"/>
    </row>
    <row r="1336" hidden="1">
      <c r="A1336" s="10">
        <v>45.0</v>
      </c>
      <c r="B1336" s="11" t="s">
        <v>809</v>
      </c>
      <c r="C1336" s="2" t="s">
        <v>61</v>
      </c>
      <c r="D1336" s="12">
        <v>45834.0</v>
      </c>
      <c r="E1336" s="13">
        <v>0.625</v>
      </c>
      <c r="F1336" s="5" t="str">
        <f>VLOOKUP(A1336,Jogos!A:N,10,0)</f>
        <v>Afternoon</v>
      </c>
      <c r="G1336" s="11" t="s">
        <v>1269</v>
      </c>
      <c r="H1336" s="6" t="str">
        <f>VLOOKUP(A1336,Jogos!A:L,12,0)</f>
        <v>Open</v>
      </c>
      <c r="I1336" s="6" t="str">
        <f>VLOOKUP(G1336,'Estádios e Cidades'!A:B,2,0)</f>
        <v>Orlando</v>
      </c>
      <c r="J1336" s="11" t="s">
        <v>810</v>
      </c>
      <c r="K1336" s="2" t="str">
        <f>VLOOKUP(J1336,Equipes!A:F,6,0)</f>
        <v>Temperate</v>
      </c>
      <c r="L1336" s="2">
        <f>VLOOKUP(J1336,Equipes!A:C,3,0)</f>
        <v>9</v>
      </c>
      <c r="M1336" s="2" t="str">
        <f t="shared" si="4"/>
        <v>Round of 16</v>
      </c>
      <c r="N1336" s="11" t="s">
        <v>999</v>
      </c>
      <c r="O1336" s="2">
        <f>VLOOKUP(N1336,Equipes!A:C,3,0)</f>
        <v>13</v>
      </c>
      <c r="P1336" s="2" t="str">
        <f t="shared" si="5"/>
        <v>Round of 16</v>
      </c>
      <c r="Q1336" s="2">
        <f t="shared" si="6"/>
        <v>-4</v>
      </c>
      <c r="R1336" s="2" t="str">
        <f>VLOOKUP(J1336,Equipes!A:B,2,0)</f>
        <v>City</v>
      </c>
      <c r="S1336" s="6" t="s">
        <v>832</v>
      </c>
      <c r="T1336" s="7">
        <v>9.0</v>
      </c>
      <c r="U1336" s="7" t="s">
        <v>833</v>
      </c>
      <c r="V1336" s="7" t="str">
        <f>VLOOKUP(U1336,Jogadores!B:C,2,0)</f>
        <v>FW</v>
      </c>
      <c r="W1336" s="8">
        <f>VLOOKUP(U1336,Jogadores!B:D,3,0)</f>
        <v>25.03561644</v>
      </c>
      <c r="X1336" s="7">
        <v>45.0</v>
      </c>
      <c r="Y1336" s="7">
        <f t="shared" si="4164"/>
        <v>93</v>
      </c>
      <c r="Z1336" s="7">
        <f>VLOOKUP(A1336,Jogos!A:L,3,0)</f>
        <v>49</v>
      </c>
      <c r="AA1336" s="7">
        <f t="shared" si="2229"/>
        <v>0</v>
      </c>
      <c r="AB1336" s="7">
        <f>VLOOKUP(A1336,Jogos!A:L,4,0)</f>
        <v>48</v>
      </c>
      <c r="AC1336" s="7">
        <f t="shared" si="2230"/>
        <v>48</v>
      </c>
      <c r="AD1336" s="7"/>
      <c r="AE1336" s="7"/>
      <c r="AF1336" s="7">
        <f t="shared" si="2231"/>
        <v>48</v>
      </c>
      <c r="AG1336" s="7">
        <v>4838.1</v>
      </c>
      <c r="AH1336" s="7">
        <v>1978.9</v>
      </c>
      <c r="AI1336" s="7">
        <v>1772.4</v>
      </c>
      <c r="AJ1336" s="7">
        <v>642.8</v>
      </c>
      <c r="AK1336" s="7">
        <v>272.0</v>
      </c>
      <c r="AL1336" s="7">
        <v>172.0</v>
      </c>
      <c r="AM1336" s="7">
        <v>40.0</v>
      </c>
      <c r="AN1336" s="7">
        <v>12.0</v>
      </c>
      <c r="AO1336" s="7">
        <v>30.9</v>
      </c>
      <c r="AP1336" s="9">
        <f t="shared" ref="AP1336:AR1336" si="4171">AG1336/$AF1336</f>
        <v>100.79375</v>
      </c>
      <c r="AQ1336" s="9">
        <f t="shared" si="4171"/>
        <v>41.22708333</v>
      </c>
      <c r="AR1336" s="9">
        <f t="shared" si="4171"/>
        <v>36.925</v>
      </c>
      <c r="AS1336" s="9">
        <f t="shared" si="2233"/>
        <v>78.15208333</v>
      </c>
      <c r="AT1336" s="9">
        <f t="shared" ref="AT1336:AV1336" si="4172">AJ1336/$AF1336</f>
        <v>13.39166667</v>
      </c>
      <c r="AU1336" s="9">
        <f t="shared" si="4172"/>
        <v>5.666666667</v>
      </c>
      <c r="AV1336" s="9">
        <f t="shared" si="4172"/>
        <v>3.583333333</v>
      </c>
      <c r="AW1336" s="9">
        <f t="shared" si="2235"/>
        <v>9.25</v>
      </c>
      <c r="AX1336" s="9">
        <f t="shared" ref="AX1336:AY1336" si="4173">AM1336/$AF1336</f>
        <v>0.8333333333</v>
      </c>
      <c r="AY1336" s="9">
        <f t="shared" si="4173"/>
        <v>0.25</v>
      </c>
      <c r="AZ1336" s="9">
        <f>VLOOKUP(A1336,Jogos!A:BN,58,0)</f>
        <v>29.045</v>
      </c>
      <c r="BA1336" s="9">
        <f>VLOOKUP(A1336,Jogos!A:BN,59,0)</f>
        <v>21.59</v>
      </c>
      <c r="BB1336" s="9">
        <f>VLOOKUP(A1336,Jogos!A:BN,60,0)</f>
        <v>63.5</v>
      </c>
      <c r="BC1336" s="9">
        <f>VLOOKUP(A1336,Jogos!A:BN,61,0)</f>
        <v>28.83</v>
      </c>
      <c r="BD1336" s="9">
        <f>VLOOKUP(A1336,Jogos!A:BN,62,0)</f>
        <v>660.25</v>
      </c>
      <c r="BE1336" s="9">
        <f>VLOOKUP(A1336,Jogos!A:BN,63,0)</f>
        <v>1.74</v>
      </c>
      <c r="BF1336" s="9">
        <f>VLOOKUP(A1336,Jogos!A:BN,64,0)</f>
        <v>24.685</v>
      </c>
      <c r="BG1336" s="9">
        <f>VLOOKUP(A1336,Jogos!A:BN,65,0)</f>
        <v>43.51</v>
      </c>
      <c r="BH1336" s="9">
        <f>VLOOKUP(A1336,Jogos!A:BN,66,0)</f>
        <v>28.885</v>
      </c>
      <c r="BI1336" s="9"/>
      <c r="BJ1336" s="9"/>
    </row>
    <row r="1337" hidden="1">
      <c r="A1337" s="10">
        <v>45.0</v>
      </c>
      <c r="B1337" s="11" t="s">
        <v>809</v>
      </c>
      <c r="C1337" s="2" t="s">
        <v>61</v>
      </c>
      <c r="D1337" s="12">
        <v>45834.0</v>
      </c>
      <c r="E1337" s="13">
        <v>0.625</v>
      </c>
      <c r="F1337" s="5" t="str">
        <f>VLOOKUP(A1337,Jogos!A:N,10,0)</f>
        <v>Afternoon</v>
      </c>
      <c r="G1337" s="11" t="s">
        <v>1269</v>
      </c>
      <c r="H1337" s="6" t="str">
        <f>VLOOKUP(A1337,Jogos!A:L,12,0)</f>
        <v>Open</v>
      </c>
      <c r="I1337" s="6" t="str">
        <f>VLOOKUP(G1337,'Estádios e Cidades'!A:B,2,0)</f>
        <v>Orlando</v>
      </c>
      <c r="J1337" s="11" t="s">
        <v>810</v>
      </c>
      <c r="K1337" s="2" t="str">
        <f>VLOOKUP(J1337,Equipes!A:F,6,0)</f>
        <v>Temperate</v>
      </c>
      <c r="L1337" s="2">
        <f>VLOOKUP(J1337,Equipes!A:C,3,0)</f>
        <v>9</v>
      </c>
      <c r="M1337" s="2" t="str">
        <f t="shared" si="4"/>
        <v>Round of 16</v>
      </c>
      <c r="N1337" s="11" t="s">
        <v>999</v>
      </c>
      <c r="O1337" s="2">
        <f>VLOOKUP(N1337,Equipes!A:C,3,0)</f>
        <v>13</v>
      </c>
      <c r="P1337" s="2" t="str">
        <f t="shared" si="5"/>
        <v>Round of 16</v>
      </c>
      <c r="Q1337" s="2">
        <f t="shared" si="6"/>
        <v>-4</v>
      </c>
      <c r="R1337" s="2" t="str">
        <f>VLOOKUP(J1337,Equipes!A:B,2,0)</f>
        <v>City</v>
      </c>
      <c r="S1337" s="6" t="s">
        <v>836</v>
      </c>
      <c r="T1337" s="7">
        <v>19.0</v>
      </c>
      <c r="U1337" s="7" t="s">
        <v>837</v>
      </c>
      <c r="V1337" s="7" t="str">
        <f>VLOOKUP(U1337,Jogadores!B:C,2,0)</f>
        <v>MF</v>
      </c>
      <c r="W1337" s="8">
        <f>VLOOKUP(U1337,Jogadores!B:D,3,0)</f>
        <v>34.78356164</v>
      </c>
      <c r="X1337" s="7">
        <v>66.0</v>
      </c>
      <c r="Y1337" s="7">
        <f t="shared" si="4164"/>
        <v>93</v>
      </c>
      <c r="Z1337" s="7">
        <f>VLOOKUP(A1337,Jogos!A:L,3,0)</f>
        <v>49</v>
      </c>
      <c r="AA1337" s="7">
        <f t="shared" si="2229"/>
        <v>0</v>
      </c>
      <c r="AB1337" s="7">
        <f>VLOOKUP(A1337,Jogos!A:L,4,0)</f>
        <v>48</v>
      </c>
      <c r="AC1337" s="7">
        <f t="shared" si="2230"/>
        <v>27</v>
      </c>
      <c r="AD1337" s="7"/>
      <c r="AE1337" s="7"/>
      <c r="AF1337" s="7">
        <f t="shared" si="2231"/>
        <v>27</v>
      </c>
      <c r="AG1337" s="7">
        <v>3179.8</v>
      </c>
      <c r="AH1337" s="7">
        <v>936.3</v>
      </c>
      <c r="AI1337" s="7">
        <v>1544.8</v>
      </c>
      <c r="AJ1337" s="7">
        <v>557.0</v>
      </c>
      <c r="AK1337" s="7">
        <v>133.1</v>
      </c>
      <c r="AL1337" s="7">
        <v>8.6</v>
      </c>
      <c r="AM1337" s="7">
        <v>17.0</v>
      </c>
      <c r="AN1337" s="7">
        <v>1.0</v>
      </c>
      <c r="AO1337" s="7">
        <v>26.4</v>
      </c>
      <c r="AP1337" s="9">
        <f t="shared" ref="AP1337:AR1337" si="4174">AG1337/$AF1337</f>
        <v>117.7703704</v>
      </c>
      <c r="AQ1337" s="9">
        <f t="shared" si="4174"/>
        <v>34.67777778</v>
      </c>
      <c r="AR1337" s="9">
        <f t="shared" si="4174"/>
        <v>57.21481481</v>
      </c>
      <c r="AS1337" s="9">
        <f t="shared" si="2233"/>
        <v>91.89259259</v>
      </c>
      <c r="AT1337" s="9">
        <f t="shared" ref="AT1337:AV1337" si="4175">AJ1337/$AF1337</f>
        <v>20.62962963</v>
      </c>
      <c r="AU1337" s="9">
        <f t="shared" si="4175"/>
        <v>4.92962963</v>
      </c>
      <c r="AV1337" s="9">
        <f t="shared" si="4175"/>
        <v>0.3185185185</v>
      </c>
      <c r="AW1337" s="9">
        <f t="shared" si="2235"/>
        <v>5.248148148</v>
      </c>
      <c r="AX1337" s="9">
        <f t="shared" ref="AX1337:AY1337" si="4176">AM1337/$AF1337</f>
        <v>0.6296296296</v>
      </c>
      <c r="AY1337" s="9">
        <f t="shared" si="4176"/>
        <v>0.03703703704</v>
      </c>
      <c r="AZ1337" s="9">
        <f>VLOOKUP(A1337,Jogos!A:BN,58,0)</f>
        <v>29.045</v>
      </c>
      <c r="BA1337" s="9">
        <f>VLOOKUP(A1337,Jogos!A:BN,59,0)</f>
        <v>21.59</v>
      </c>
      <c r="BB1337" s="9">
        <f>VLOOKUP(A1337,Jogos!A:BN,60,0)</f>
        <v>63.5</v>
      </c>
      <c r="BC1337" s="9">
        <f>VLOOKUP(A1337,Jogos!A:BN,61,0)</f>
        <v>28.83</v>
      </c>
      <c r="BD1337" s="9">
        <f>VLOOKUP(A1337,Jogos!A:BN,62,0)</f>
        <v>660.25</v>
      </c>
      <c r="BE1337" s="9">
        <f>VLOOKUP(A1337,Jogos!A:BN,63,0)</f>
        <v>1.74</v>
      </c>
      <c r="BF1337" s="9">
        <f>VLOOKUP(A1337,Jogos!A:BN,64,0)</f>
        <v>24.685</v>
      </c>
      <c r="BG1337" s="9">
        <f>VLOOKUP(A1337,Jogos!A:BN,65,0)</f>
        <v>43.51</v>
      </c>
      <c r="BH1337" s="9">
        <f>VLOOKUP(A1337,Jogos!A:BN,66,0)</f>
        <v>28.885</v>
      </c>
      <c r="BI1337" s="9"/>
      <c r="BJ1337" s="9"/>
    </row>
    <row r="1338" hidden="1">
      <c r="A1338" s="10">
        <v>45.0</v>
      </c>
      <c r="B1338" s="11" t="s">
        <v>809</v>
      </c>
      <c r="C1338" s="2" t="s">
        <v>61</v>
      </c>
      <c r="D1338" s="12">
        <v>45834.0</v>
      </c>
      <c r="E1338" s="13">
        <v>0.625</v>
      </c>
      <c r="F1338" s="5" t="str">
        <f>VLOOKUP(A1338,Jogos!A:N,10,0)</f>
        <v>Afternoon</v>
      </c>
      <c r="G1338" s="11" t="s">
        <v>1269</v>
      </c>
      <c r="H1338" s="6" t="str">
        <f>VLOOKUP(A1338,Jogos!A:L,12,0)</f>
        <v>Open</v>
      </c>
      <c r="I1338" s="6" t="str">
        <f>VLOOKUP(G1338,'Estádios e Cidades'!A:B,2,0)</f>
        <v>Orlando</v>
      </c>
      <c r="J1338" s="11" t="s">
        <v>810</v>
      </c>
      <c r="K1338" s="2" t="str">
        <f>VLOOKUP(J1338,Equipes!A:F,6,0)</f>
        <v>Temperate</v>
      </c>
      <c r="L1338" s="2">
        <f>VLOOKUP(J1338,Equipes!A:C,3,0)</f>
        <v>9</v>
      </c>
      <c r="M1338" s="2" t="str">
        <f t="shared" si="4"/>
        <v>Round of 16</v>
      </c>
      <c r="N1338" s="11" t="s">
        <v>999</v>
      </c>
      <c r="O1338" s="2">
        <f>VLOOKUP(N1338,Equipes!A:C,3,0)</f>
        <v>13</v>
      </c>
      <c r="P1338" s="2" t="str">
        <f t="shared" si="5"/>
        <v>Round of 16</v>
      </c>
      <c r="Q1338" s="2">
        <f t="shared" si="6"/>
        <v>-4</v>
      </c>
      <c r="R1338" s="2" t="str">
        <f>VLOOKUP(J1338,Equipes!A:B,2,0)</f>
        <v>City</v>
      </c>
      <c r="S1338" s="6" t="s">
        <v>824</v>
      </c>
      <c r="T1338" s="7">
        <v>29.0</v>
      </c>
      <c r="U1338" s="7" t="s">
        <v>825</v>
      </c>
      <c r="V1338" s="7" t="str">
        <f>VLOOKUP(U1338,Jogadores!B:C,2,0)</f>
        <v>MF</v>
      </c>
      <c r="W1338" s="8">
        <f>VLOOKUP(U1338,Jogadores!B:D,3,0)</f>
        <v>21.96164384</v>
      </c>
      <c r="X1338" s="7">
        <v>75.0</v>
      </c>
      <c r="Y1338" s="7">
        <f t="shared" si="4164"/>
        <v>93</v>
      </c>
      <c r="Z1338" s="7">
        <f>VLOOKUP(A1338,Jogos!A:L,3,0)</f>
        <v>49</v>
      </c>
      <c r="AA1338" s="7">
        <f t="shared" si="2229"/>
        <v>0</v>
      </c>
      <c r="AB1338" s="7">
        <f>VLOOKUP(A1338,Jogos!A:L,4,0)</f>
        <v>48</v>
      </c>
      <c r="AC1338" s="7">
        <f t="shared" si="2230"/>
        <v>18</v>
      </c>
      <c r="AD1338" s="7"/>
      <c r="AE1338" s="7"/>
      <c r="AF1338" s="7">
        <f t="shared" si="2231"/>
        <v>18</v>
      </c>
      <c r="AG1338" s="7">
        <v>2314.8</v>
      </c>
      <c r="AH1338" s="7">
        <v>649.3</v>
      </c>
      <c r="AI1338" s="7">
        <v>969.7</v>
      </c>
      <c r="AJ1338" s="7">
        <v>423.8</v>
      </c>
      <c r="AK1338" s="7">
        <v>193.1</v>
      </c>
      <c r="AL1338" s="7">
        <v>78.8</v>
      </c>
      <c r="AM1338" s="7">
        <v>21.0</v>
      </c>
      <c r="AN1338" s="7">
        <v>7.0</v>
      </c>
      <c r="AO1338" s="7">
        <v>30.5</v>
      </c>
      <c r="AP1338" s="9">
        <f t="shared" ref="AP1338:AR1338" si="4177">AG1338/$AF1338</f>
        <v>128.6</v>
      </c>
      <c r="AQ1338" s="9">
        <f t="shared" si="4177"/>
        <v>36.07222222</v>
      </c>
      <c r="AR1338" s="9">
        <f t="shared" si="4177"/>
        <v>53.87222222</v>
      </c>
      <c r="AS1338" s="9">
        <f t="shared" si="2233"/>
        <v>89.94444444</v>
      </c>
      <c r="AT1338" s="9">
        <f t="shared" ref="AT1338:AV1338" si="4178">AJ1338/$AF1338</f>
        <v>23.54444444</v>
      </c>
      <c r="AU1338" s="9">
        <f t="shared" si="4178"/>
        <v>10.72777778</v>
      </c>
      <c r="AV1338" s="9">
        <f t="shared" si="4178"/>
        <v>4.377777778</v>
      </c>
      <c r="AW1338" s="9">
        <f t="shared" si="2235"/>
        <v>15.10555556</v>
      </c>
      <c r="AX1338" s="9">
        <f t="shared" ref="AX1338:AY1338" si="4179">AM1338/$AF1338</f>
        <v>1.166666667</v>
      </c>
      <c r="AY1338" s="9">
        <f t="shared" si="4179"/>
        <v>0.3888888889</v>
      </c>
      <c r="AZ1338" s="9">
        <f>VLOOKUP(A1338,Jogos!A:BN,58,0)</f>
        <v>29.045</v>
      </c>
      <c r="BA1338" s="9">
        <f>VLOOKUP(A1338,Jogos!A:BN,59,0)</f>
        <v>21.59</v>
      </c>
      <c r="BB1338" s="9">
        <f>VLOOKUP(A1338,Jogos!A:BN,60,0)</f>
        <v>63.5</v>
      </c>
      <c r="BC1338" s="9">
        <f>VLOOKUP(A1338,Jogos!A:BN,61,0)</f>
        <v>28.83</v>
      </c>
      <c r="BD1338" s="9">
        <f>VLOOKUP(A1338,Jogos!A:BN,62,0)</f>
        <v>660.25</v>
      </c>
      <c r="BE1338" s="9">
        <f>VLOOKUP(A1338,Jogos!A:BN,63,0)</f>
        <v>1.74</v>
      </c>
      <c r="BF1338" s="9">
        <f>VLOOKUP(A1338,Jogos!A:BN,64,0)</f>
        <v>24.685</v>
      </c>
      <c r="BG1338" s="9">
        <f>VLOOKUP(A1338,Jogos!A:BN,65,0)</f>
        <v>43.51</v>
      </c>
      <c r="BH1338" s="9">
        <f>VLOOKUP(A1338,Jogos!A:BN,66,0)</f>
        <v>28.885</v>
      </c>
      <c r="BI1338" s="9"/>
      <c r="BJ1338" s="9"/>
    </row>
    <row r="1339" hidden="1">
      <c r="A1339" s="10">
        <v>45.0</v>
      </c>
      <c r="B1339" s="11" t="s">
        <v>809</v>
      </c>
      <c r="C1339" s="2" t="s">
        <v>61</v>
      </c>
      <c r="D1339" s="12">
        <v>45834.0</v>
      </c>
      <c r="E1339" s="13">
        <v>0.625</v>
      </c>
      <c r="F1339" s="5" t="str">
        <f>VLOOKUP(A1339,Jogos!A:N,10,0)</f>
        <v>Afternoon</v>
      </c>
      <c r="G1339" s="11" t="s">
        <v>1269</v>
      </c>
      <c r="H1339" s="6" t="str">
        <f>VLOOKUP(A1339,Jogos!A:L,12,0)</f>
        <v>Open</v>
      </c>
      <c r="I1339" s="6" t="str">
        <f>VLOOKUP(G1339,'Estádios e Cidades'!A:B,2,0)</f>
        <v>Orlando</v>
      </c>
      <c r="J1339" s="11" t="s">
        <v>810</v>
      </c>
      <c r="K1339" s="2" t="str">
        <f>VLOOKUP(J1339,Equipes!A:F,6,0)</f>
        <v>Temperate</v>
      </c>
      <c r="L1339" s="2">
        <f>VLOOKUP(J1339,Equipes!A:C,3,0)</f>
        <v>9</v>
      </c>
      <c r="M1339" s="2" t="str">
        <f t="shared" si="4"/>
        <v>Round of 16</v>
      </c>
      <c r="N1339" s="11" t="s">
        <v>999</v>
      </c>
      <c r="O1339" s="2">
        <f>VLOOKUP(N1339,Equipes!A:C,3,0)</f>
        <v>13</v>
      </c>
      <c r="P1339" s="2" t="str">
        <f t="shared" si="5"/>
        <v>Round of 16</v>
      </c>
      <c r="Q1339" s="2">
        <f t="shared" si="6"/>
        <v>-4</v>
      </c>
      <c r="R1339" s="2" t="str">
        <f>VLOOKUP(J1339,Equipes!A:B,2,0)</f>
        <v>City</v>
      </c>
      <c r="S1339" s="6" t="s">
        <v>826</v>
      </c>
      <c r="T1339" s="7">
        <v>47.0</v>
      </c>
      <c r="U1339" s="7" t="s">
        <v>827</v>
      </c>
      <c r="V1339" s="7" t="str">
        <f>VLOOKUP(U1339,Jogadores!B:C,2,0)</f>
        <v>MF</v>
      </c>
      <c r="W1339" s="8">
        <f>VLOOKUP(U1339,Jogadores!B:D,3,0)</f>
        <v>25.18356164</v>
      </c>
      <c r="X1339" s="7">
        <v>66.0</v>
      </c>
      <c r="Y1339" s="7">
        <f t="shared" si="4164"/>
        <v>93</v>
      </c>
      <c r="Z1339" s="7">
        <f>VLOOKUP(A1339,Jogos!A:L,3,0)</f>
        <v>49</v>
      </c>
      <c r="AA1339" s="7">
        <f t="shared" si="2229"/>
        <v>0</v>
      </c>
      <c r="AB1339" s="7">
        <f>VLOOKUP(A1339,Jogos!A:L,4,0)</f>
        <v>48</v>
      </c>
      <c r="AC1339" s="7">
        <f t="shared" si="2230"/>
        <v>27</v>
      </c>
      <c r="AD1339" s="7"/>
      <c r="AE1339" s="7"/>
      <c r="AF1339" s="7">
        <f t="shared" si="2231"/>
        <v>27</v>
      </c>
      <c r="AG1339" s="7">
        <v>3325.2</v>
      </c>
      <c r="AH1339" s="7">
        <v>1008.7</v>
      </c>
      <c r="AI1339" s="7">
        <v>1459.5</v>
      </c>
      <c r="AJ1339" s="7">
        <v>528.6</v>
      </c>
      <c r="AK1339" s="7">
        <v>255.8</v>
      </c>
      <c r="AL1339" s="7">
        <v>72.5</v>
      </c>
      <c r="AM1339" s="7">
        <v>37.0</v>
      </c>
      <c r="AN1339" s="7">
        <v>10.0</v>
      </c>
      <c r="AO1339" s="7">
        <v>28.9</v>
      </c>
      <c r="AP1339" s="9">
        <f t="shared" ref="AP1339:AR1339" si="4180">AG1339/$AF1339</f>
        <v>123.1555556</v>
      </c>
      <c r="AQ1339" s="9">
        <f t="shared" si="4180"/>
        <v>37.35925926</v>
      </c>
      <c r="AR1339" s="9">
        <f t="shared" si="4180"/>
        <v>54.05555556</v>
      </c>
      <c r="AS1339" s="9">
        <f t="shared" si="2233"/>
        <v>91.41481481</v>
      </c>
      <c r="AT1339" s="9">
        <f t="shared" ref="AT1339:AV1339" si="4181">AJ1339/$AF1339</f>
        <v>19.57777778</v>
      </c>
      <c r="AU1339" s="9">
        <f t="shared" si="4181"/>
        <v>9.474074074</v>
      </c>
      <c r="AV1339" s="9">
        <f t="shared" si="4181"/>
        <v>2.685185185</v>
      </c>
      <c r="AW1339" s="9">
        <f t="shared" si="2235"/>
        <v>12.15925926</v>
      </c>
      <c r="AX1339" s="9">
        <f t="shared" ref="AX1339:AY1339" si="4182">AM1339/$AF1339</f>
        <v>1.37037037</v>
      </c>
      <c r="AY1339" s="9">
        <f t="shared" si="4182"/>
        <v>0.3703703704</v>
      </c>
      <c r="AZ1339" s="9">
        <f>VLOOKUP(A1339,Jogos!A:BN,58,0)</f>
        <v>29.045</v>
      </c>
      <c r="BA1339" s="9">
        <f>VLOOKUP(A1339,Jogos!A:BN,59,0)</f>
        <v>21.59</v>
      </c>
      <c r="BB1339" s="9">
        <f>VLOOKUP(A1339,Jogos!A:BN,60,0)</f>
        <v>63.5</v>
      </c>
      <c r="BC1339" s="9">
        <f>VLOOKUP(A1339,Jogos!A:BN,61,0)</f>
        <v>28.83</v>
      </c>
      <c r="BD1339" s="9">
        <f>VLOOKUP(A1339,Jogos!A:BN,62,0)</f>
        <v>660.25</v>
      </c>
      <c r="BE1339" s="9">
        <f>VLOOKUP(A1339,Jogos!A:BN,63,0)</f>
        <v>1.74</v>
      </c>
      <c r="BF1339" s="9">
        <f>VLOOKUP(A1339,Jogos!A:BN,64,0)</f>
        <v>24.685</v>
      </c>
      <c r="BG1339" s="9">
        <f>VLOOKUP(A1339,Jogos!A:BN,65,0)</f>
        <v>43.51</v>
      </c>
      <c r="BH1339" s="9">
        <f>VLOOKUP(A1339,Jogos!A:BN,66,0)</f>
        <v>28.885</v>
      </c>
      <c r="BI1339" s="9"/>
      <c r="BJ1339" s="9"/>
    </row>
    <row r="1340" hidden="1">
      <c r="A1340" s="10">
        <v>45.0</v>
      </c>
      <c r="B1340" s="11" t="s">
        <v>809</v>
      </c>
      <c r="C1340" s="2" t="s">
        <v>61</v>
      </c>
      <c r="D1340" s="12">
        <v>45834.0</v>
      </c>
      <c r="E1340" s="13">
        <v>0.625</v>
      </c>
      <c r="F1340" s="5" t="str">
        <f>VLOOKUP(A1340,Jogos!A:N,10,0)</f>
        <v>Afternoon</v>
      </c>
      <c r="G1340" s="11" t="s">
        <v>1269</v>
      </c>
      <c r="H1340" s="6" t="str">
        <f>VLOOKUP(A1340,Jogos!A:L,12,0)</f>
        <v>Open</v>
      </c>
      <c r="I1340" s="6" t="str">
        <f>VLOOKUP(G1340,'Estádios e Cidades'!A:B,2,0)</f>
        <v>Orlando</v>
      </c>
      <c r="J1340" s="11" t="s">
        <v>810</v>
      </c>
      <c r="K1340" s="2" t="str">
        <f>VLOOKUP(J1340,Equipes!A:F,6,0)</f>
        <v>Temperate</v>
      </c>
      <c r="L1340" s="2">
        <f>VLOOKUP(J1340,Equipes!A:C,3,0)</f>
        <v>9</v>
      </c>
      <c r="M1340" s="2" t="str">
        <f t="shared" si="4"/>
        <v>Round of 16</v>
      </c>
      <c r="N1340" s="11" t="s">
        <v>999</v>
      </c>
      <c r="O1340" s="2">
        <f>VLOOKUP(N1340,Equipes!A:C,3,0)</f>
        <v>13</v>
      </c>
      <c r="P1340" s="2" t="str">
        <f t="shared" si="5"/>
        <v>Round of 16</v>
      </c>
      <c r="Q1340" s="2">
        <f t="shared" si="6"/>
        <v>-4</v>
      </c>
      <c r="R1340" s="2" t="str">
        <f>VLOOKUP(J1340,Equipes!A:B,2,0)</f>
        <v>City</v>
      </c>
      <c r="S1340" s="6" t="s">
        <v>828</v>
      </c>
      <c r="T1340" s="7">
        <v>75.0</v>
      </c>
      <c r="U1340" s="7" t="s">
        <v>829</v>
      </c>
      <c r="V1340" s="7" t="str">
        <f>VLOOKUP(U1340,Jogadores!B:C,2,0)</f>
        <v>MF</v>
      </c>
      <c r="W1340" s="8">
        <f>VLOOKUP(U1340,Jogadores!B:D,3,0)</f>
        <v>20.36712329</v>
      </c>
      <c r="X1340" s="7">
        <v>75.0</v>
      </c>
      <c r="Y1340" s="7">
        <f t="shared" si="4164"/>
        <v>93</v>
      </c>
      <c r="Z1340" s="7">
        <f>VLOOKUP(A1340,Jogos!A:L,3,0)</f>
        <v>49</v>
      </c>
      <c r="AA1340" s="7">
        <f t="shared" si="2229"/>
        <v>0</v>
      </c>
      <c r="AB1340" s="7">
        <f>VLOOKUP(A1340,Jogos!A:L,4,0)</f>
        <v>48</v>
      </c>
      <c r="AC1340" s="7">
        <f t="shared" si="2230"/>
        <v>18</v>
      </c>
      <c r="AD1340" s="7"/>
      <c r="AE1340" s="7"/>
      <c r="AF1340" s="7">
        <f t="shared" si="2231"/>
        <v>18</v>
      </c>
      <c r="AG1340" s="7">
        <v>2168.6</v>
      </c>
      <c r="AH1340" s="7">
        <v>704.5</v>
      </c>
      <c r="AI1340" s="7">
        <v>985.2</v>
      </c>
      <c r="AJ1340" s="7">
        <v>279.4</v>
      </c>
      <c r="AK1340" s="7">
        <v>147.2</v>
      </c>
      <c r="AL1340" s="7">
        <v>52.2</v>
      </c>
      <c r="AM1340" s="7">
        <v>18.0</v>
      </c>
      <c r="AN1340" s="7">
        <v>4.0</v>
      </c>
      <c r="AO1340" s="7">
        <v>28.6</v>
      </c>
      <c r="AP1340" s="9">
        <f t="shared" ref="AP1340:AR1340" si="4183">AG1340/$AF1340</f>
        <v>120.4777778</v>
      </c>
      <c r="AQ1340" s="9">
        <f t="shared" si="4183"/>
        <v>39.13888889</v>
      </c>
      <c r="AR1340" s="9">
        <f t="shared" si="4183"/>
        <v>54.73333333</v>
      </c>
      <c r="AS1340" s="9">
        <f t="shared" si="2233"/>
        <v>93.87222222</v>
      </c>
      <c r="AT1340" s="9">
        <f t="shared" ref="AT1340:AV1340" si="4184">AJ1340/$AF1340</f>
        <v>15.52222222</v>
      </c>
      <c r="AU1340" s="9">
        <f t="shared" si="4184"/>
        <v>8.177777778</v>
      </c>
      <c r="AV1340" s="9">
        <f t="shared" si="4184"/>
        <v>2.9</v>
      </c>
      <c r="AW1340" s="9">
        <f t="shared" si="2235"/>
        <v>11.07777778</v>
      </c>
      <c r="AX1340" s="9">
        <f t="shared" ref="AX1340:AY1340" si="4185">AM1340/$AF1340</f>
        <v>1</v>
      </c>
      <c r="AY1340" s="9">
        <f t="shared" si="4185"/>
        <v>0.2222222222</v>
      </c>
      <c r="AZ1340" s="9">
        <f>VLOOKUP(A1340,Jogos!A:BN,58,0)</f>
        <v>29.045</v>
      </c>
      <c r="BA1340" s="9">
        <f>VLOOKUP(A1340,Jogos!A:BN,59,0)</f>
        <v>21.59</v>
      </c>
      <c r="BB1340" s="9">
        <f>VLOOKUP(A1340,Jogos!A:BN,60,0)</f>
        <v>63.5</v>
      </c>
      <c r="BC1340" s="9">
        <f>VLOOKUP(A1340,Jogos!A:BN,61,0)</f>
        <v>28.83</v>
      </c>
      <c r="BD1340" s="9">
        <f>VLOOKUP(A1340,Jogos!A:BN,62,0)</f>
        <v>660.25</v>
      </c>
      <c r="BE1340" s="9">
        <f>VLOOKUP(A1340,Jogos!A:BN,63,0)</f>
        <v>1.74</v>
      </c>
      <c r="BF1340" s="9">
        <f>VLOOKUP(A1340,Jogos!A:BN,64,0)</f>
        <v>24.685</v>
      </c>
      <c r="BG1340" s="9">
        <f>VLOOKUP(A1340,Jogos!A:BN,65,0)</f>
        <v>43.51</v>
      </c>
      <c r="BH1340" s="9">
        <f>VLOOKUP(A1340,Jogos!A:BN,66,0)</f>
        <v>28.885</v>
      </c>
      <c r="BI1340" s="9"/>
      <c r="BJ1340" s="9"/>
    </row>
    <row r="1341" hidden="1">
      <c r="A1341" s="2">
        <v>46.0</v>
      </c>
      <c r="B1341" s="15" t="s">
        <v>809</v>
      </c>
      <c r="C1341" s="2" t="s">
        <v>61</v>
      </c>
      <c r="D1341" s="3">
        <v>45834.0</v>
      </c>
      <c r="E1341" s="4">
        <v>0.625</v>
      </c>
      <c r="F1341" s="5" t="str">
        <f>VLOOKUP(A1341,Jogos!A:N,10,0)</f>
        <v>Afternoon</v>
      </c>
      <c r="G1341" s="2" t="s">
        <v>997</v>
      </c>
      <c r="H1341" s="6" t="str">
        <f>VLOOKUP(A1341,Jogos!A:L,12,0)</f>
        <v>Open</v>
      </c>
      <c r="I1341" s="6" t="str">
        <f>VLOOKUP(G1341,'Estádios e Cidades'!A:B,2,0)</f>
        <v>Washington, D.C.</v>
      </c>
      <c r="J1341" s="2" t="s">
        <v>811</v>
      </c>
      <c r="K1341" s="2" t="str">
        <f>VLOOKUP(J1341,Equipes!A:F,6,0)</f>
        <v>Temperate</v>
      </c>
      <c r="L1341" s="2">
        <f>VLOOKUP(J1341,Equipes!A:C,3,0)</f>
        <v>31</v>
      </c>
      <c r="M1341" s="2" t="str">
        <f t="shared" si="4"/>
        <v>Group</v>
      </c>
      <c r="N1341" s="2" t="s">
        <v>998</v>
      </c>
      <c r="O1341" s="2">
        <f>VLOOKUP(N1341,Equipes!A:C,3,0)</f>
        <v>22</v>
      </c>
      <c r="P1341" s="2" t="str">
        <f t="shared" si="5"/>
        <v>Group</v>
      </c>
      <c r="Q1341" s="2">
        <f t="shared" si="6"/>
        <v>9</v>
      </c>
      <c r="R1341" s="2" t="str">
        <f>VLOOKUP(J1341,Equipes!A:B,2,0)</f>
        <v>Wydad</v>
      </c>
      <c r="S1341" s="6" t="s">
        <v>842</v>
      </c>
      <c r="T1341" s="7">
        <v>2.0</v>
      </c>
      <c r="U1341" s="7" t="s">
        <v>843</v>
      </c>
      <c r="V1341" s="7" t="str">
        <f>VLOOKUP(U1341,Jogadores!B:C,2,0)</f>
        <v>DF</v>
      </c>
      <c r="W1341" s="8">
        <f>VLOOKUP(U1341,Jogadores!B:D,3,0)</f>
        <v>25.55890411</v>
      </c>
      <c r="X1341" s="7">
        <v>0.0</v>
      </c>
      <c r="Y1341" s="7">
        <f t="shared" si="4164"/>
        <v>98</v>
      </c>
      <c r="Z1341" s="7">
        <f>VLOOKUP(A1341,Jogos!A:L,3,0)</f>
        <v>52</v>
      </c>
      <c r="AA1341" s="7">
        <f t="shared" si="2229"/>
        <v>52</v>
      </c>
      <c r="AB1341" s="7">
        <f>VLOOKUP(A1341,Jogos!A:L,4,0)</f>
        <v>53</v>
      </c>
      <c r="AC1341" s="7">
        <f t="shared" si="2230"/>
        <v>53</v>
      </c>
      <c r="AD1341" s="7"/>
      <c r="AE1341" s="7"/>
      <c r="AF1341" s="7">
        <f t="shared" si="2231"/>
        <v>105</v>
      </c>
      <c r="AG1341" s="7">
        <v>9678.9</v>
      </c>
      <c r="AH1341" s="7">
        <v>4501.1</v>
      </c>
      <c r="AI1341" s="7">
        <v>3458.0</v>
      </c>
      <c r="AJ1341" s="7">
        <v>930.7</v>
      </c>
      <c r="AK1341" s="7">
        <v>523.5</v>
      </c>
      <c r="AL1341" s="7">
        <v>265.7</v>
      </c>
      <c r="AM1341" s="7">
        <v>83.0</v>
      </c>
      <c r="AN1341" s="7">
        <v>43.0</v>
      </c>
      <c r="AO1341" s="7">
        <v>33.1</v>
      </c>
      <c r="AP1341" s="9">
        <f t="shared" ref="AP1341:AR1341" si="4186">AG1341/$AF1341</f>
        <v>92.18</v>
      </c>
      <c r="AQ1341" s="9">
        <f t="shared" si="4186"/>
        <v>42.86761905</v>
      </c>
      <c r="AR1341" s="9">
        <f t="shared" si="4186"/>
        <v>32.93333333</v>
      </c>
      <c r="AS1341" s="9">
        <f t="shared" si="2233"/>
        <v>75.80095238</v>
      </c>
      <c r="AT1341" s="9">
        <f t="shared" ref="AT1341:AV1341" si="4187">AJ1341/$AF1341</f>
        <v>8.863809524</v>
      </c>
      <c r="AU1341" s="9">
        <f t="shared" si="4187"/>
        <v>4.985714286</v>
      </c>
      <c r="AV1341" s="9">
        <f t="shared" si="4187"/>
        <v>2.53047619</v>
      </c>
      <c r="AW1341" s="9">
        <f t="shared" si="2235"/>
        <v>7.516190476</v>
      </c>
      <c r="AX1341" s="9">
        <f t="shared" ref="AX1341:AY1341" si="4188">AM1341/$AF1341</f>
        <v>0.7904761905</v>
      </c>
      <c r="AY1341" s="9">
        <f t="shared" si="4188"/>
        <v>0.4095238095</v>
      </c>
      <c r="AZ1341" s="9">
        <f>VLOOKUP(A1341,Jogos!A:BN,58,0)</f>
        <v>33.475</v>
      </c>
      <c r="BA1341" s="9">
        <f>VLOOKUP(A1341,Jogos!A:BN,59,0)</f>
        <v>22.655</v>
      </c>
      <c r="BB1341" s="9">
        <f>VLOOKUP(A1341,Jogos!A:BN,60,0)</f>
        <v>53</v>
      </c>
      <c r="BC1341" s="9">
        <f>VLOOKUP(A1341,Jogos!A:BN,61,0)</f>
        <v>36.585</v>
      </c>
      <c r="BD1341" s="9">
        <f>VLOOKUP(A1341,Jogos!A:BN,62,0)</f>
        <v>577.75</v>
      </c>
      <c r="BE1341" s="9">
        <f>VLOOKUP(A1341,Jogos!A:BN,63,0)</f>
        <v>0.93</v>
      </c>
      <c r="BF1341" s="9">
        <f>VLOOKUP(A1341,Jogos!A:BN,64,0)</f>
        <v>26.93</v>
      </c>
      <c r="BG1341" s="9">
        <f>VLOOKUP(A1341,Jogos!A:BN,65,0)</f>
        <v>49.51</v>
      </c>
      <c r="BH1341" s="9">
        <f>VLOOKUP(A1341,Jogos!A:BN,66,0)</f>
        <v>32.105</v>
      </c>
      <c r="BI1341" s="9"/>
      <c r="BJ1341" s="9"/>
    </row>
    <row r="1342" hidden="1">
      <c r="A1342" s="2">
        <v>46.0</v>
      </c>
      <c r="B1342" s="15" t="s">
        <v>809</v>
      </c>
      <c r="C1342" s="2" t="s">
        <v>61</v>
      </c>
      <c r="D1342" s="3">
        <v>45834.0</v>
      </c>
      <c r="E1342" s="4">
        <v>0.625</v>
      </c>
      <c r="F1342" s="5" t="str">
        <f>VLOOKUP(A1342,Jogos!A:N,10,0)</f>
        <v>Afternoon</v>
      </c>
      <c r="G1342" s="2" t="s">
        <v>997</v>
      </c>
      <c r="H1342" s="6" t="str">
        <f>VLOOKUP(A1342,Jogos!A:L,12,0)</f>
        <v>Open</v>
      </c>
      <c r="I1342" s="6" t="str">
        <f>VLOOKUP(G1342,'Estádios e Cidades'!A:B,2,0)</f>
        <v>Washington, D.C.</v>
      </c>
      <c r="J1342" s="2" t="s">
        <v>811</v>
      </c>
      <c r="K1342" s="2" t="str">
        <f>VLOOKUP(J1342,Equipes!A:F,6,0)</f>
        <v>Temperate</v>
      </c>
      <c r="L1342" s="2">
        <f>VLOOKUP(J1342,Equipes!A:C,3,0)</f>
        <v>31</v>
      </c>
      <c r="M1342" s="2" t="str">
        <f t="shared" si="4"/>
        <v>Group</v>
      </c>
      <c r="N1342" s="2" t="s">
        <v>998</v>
      </c>
      <c r="O1342" s="2">
        <f>VLOOKUP(N1342,Equipes!A:C,3,0)</f>
        <v>22</v>
      </c>
      <c r="P1342" s="2" t="str">
        <f t="shared" si="5"/>
        <v>Group</v>
      </c>
      <c r="Q1342" s="2">
        <f t="shared" si="6"/>
        <v>9</v>
      </c>
      <c r="R1342" s="2" t="str">
        <f>VLOOKUP(J1342,Equipes!A:B,2,0)</f>
        <v>Wydad</v>
      </c>
      <c r="S1342" s="6" t="s">
        <v>844</v>
      </c>
      <c r="T1342" s="7">
        <v>4.0</v>
      </c>
      <c r="U1342" s="7" t="s">
        <v>845</v>
      </c>
      <c r="V1342" s="7" t="str">
        <f>VLOOKUP(U1342,Jogadores!B:C,2,0)</f>
        <v>FW</v>
      </c>
      <c r="W1342" s="8">
        <f>VLOOKUP(U1342,Jogadores!B:D,3,0)</f>
        <v>32.03835616</v>
      </c>
      <c r="X1342" s="7">
        <v>0.0</v>
      </c>
      <c r="Y1342" s="7">
        <f t="shared" si="4164"/>
        <v>98</v>
      </c>
      <c r="Z1342" s="7">
        <f>VLOOKUP(A1342,Jogos!A:L,3,0)</f>
        <v>52</v>
      </c>
      <c r="AA1342" s="7">
        <f t="shared" si="2229"/>
        <v>52</v>
      </c>
      <c r="AB1342" s="7">
        <f>VLOOKUP(A1342,Jogos!A:L,4,0)</f>
        <v>53</v>
      </c>
      <c r="AC1342" s="7">
        <f t="shared" si="2230"/>
        <v>53</v>
      </c>
      <c r="AD1342" s="7"/>
      <c r="AE1342" s="7"/>
      <c r="AF1342" s="7">
        <f t="shared" si="2231"/>
        <v>105</v>
      </c>
      <c r="AG1342" s="7">
        <v>9762.4</v>
      </c>
      <c r="AH1342" s="7">
        <v>3809.0</v>
      </c>
      <c r="AI1342" s="7">
        <v>3845.1</v>
      </c>
      <c r="AJ1342" s="7">
        <v>1280.9</v>
      </c>
      <c r="AK1342" s="7">
        <v>580.5</v>
      </c>
      <c r="AL1342" s="7">
        <v>246.9</v>
      </c>
      <c r="AM1342" s="7">
        <v>105.0</v>
      </c>
      <c r="AN1342" s="7">
        <v>55.0</v>
      </c>
      <c r="AO1342" s="7">
        <v>31.3</v>
      </c>
      <c r="AP1342" s="9">
        <f t="shared" ref="AP1342:AR1342" si="4189">AG1342/$AF1342</f>
        <v>92.9752381</v>
      </c>
      <c r="AQ1342" s="9">
        <f t="shared" si="4189"/>
        <v>36.27619048</v>
      </c>
      <c r="AR1342" s="9">
        <f t="shared" si="4189"/>
        <v>36.62</v>
      </c>
      <c r="AS1342" s="9">
        <f t="shared" si="2233"/>
        <v>72.89619048</v>
      </c>
      <c r="AT1342" s="9">
        <f t="shared" ref="AT1342:AV1342" si="4190">AJ1342/$AF1342</f>
        <v>12.19904762</v>
      </c>
      <c r="AU1342" s="9">
        <f t="shared" si="4190"/>
        <v>5.528571429</v>
      </c>
      <c r="AV1342" s="9">
        <f t="shared" si="4190"/>
        <v>2.351428571</v>
      </c>
      <c r="AW1342" s="9">
        <f t="shared" si="2235"/>
        <v>7.88</v>
      </c>
      <c r="AX1342" s="9">
        <f t="shared" ref="AX1342:AY1342" si="4191">AM1342/$AF1342</f>
        <v>1</v>
      </c>
      <c r="AY1342" s="9">
        <f t="shared" si="4191"/>
        <v>0.5238095238</v>
      </c>
      <c r="AZ1342" s="9">
        <f>VLOOKUP(A1342,Jogos!A:BN,58,0)</f>
        <v>33.475</v>
      </c>
      <c r="BA1342" s="9">
        <f>VLOOKUP(A1342,Jogos!A:BN,59,0)</f>
        <v>22.655</v>
      </c>
      <c r="BB1342" s="9">
        <f>VLOOKUP(A1342,Jogos!A:BN,60,0)</f>
        <v>53</v>
      </c>
      <c r="BC1342" s="9">
        <f>VLOOKUP(A1342,Jogos!A:BN,61,0)</f>
        <v>36.585</v>
      </c>
      <c r="BD1342" s="9">
        <f>VLOOKUP(A1342,Jogos!A:BN,62,0)</f>
        <v>577.75</v>
      </c>
      <c r="BE1342" s="9">
        <f>VLOOKUP(A1342,Jogos!A:BN,63,0)</f>
        <v>0.93</v>
      </c>
      <c r="BF1342" s="9">
        <f>VLOOKUP(A1342,Jogos!A:BN,64,0)</f>
        <v>26.93</v>
      </c>
      <c r="BG1342" s="9">
        <f>VLOOKUP(A1342,Jogos!A:BN,65,0)</f>
        <v>49.51</v>
      </c>
      <c r="BH1342" s="9">
        <f>VLOOKUP(A1342,Jogos!A:BN,66,0)</f>
        <v>32.105</v>
      </c>
      <c r="BI1342" s="9"/>
      <c r="BJ1342" s="9"/>
    </row>
    <row r="1343" hidden="1">
      <c r="A1343" s="2">
        <v>46.0</v>
      </c>
      <c r="B1343" s="15" t="s">
        <v>809</v>
      </c>
      <c r="C1343" s="2" t="s">
        <v>61</v>
      </c>
      <c r="D1343" s="3">
        <v>45834.0</v>
      </c>
      <c r="E1343" s="4">
        <v>0.625</v>
      </c>
      <c r="F1343" s="5" t="str">
        <f>VLOOKUP(A1343,Jogos!A:N,10,0)</f>
        <v>Afternoon</v>
      </c>
      <c r="G1343" s="2" t="s">
        <v>997</v>
      </c>
      <c r="H1343" s="6" t="str">
        <f>VLOOKUP(A1343,Jogos!A:L,12,0)</f>
        <v>Open</v>
      </c>
      <c r="I1343" s="6" t="str">
        <f>VLOOKUP(G1343,'Estádios e Cidades'!A:B,2,0)</f>
        <v>Washington, D.C.</v>
      </c>
      <c r="J1343" s="2" t="s">
        <v>811</v>
      </c>
      <c r="K1343" s="2" t="str">
        <f>VLOOKUP(J1343,Equipes!A:F,6,0)</f>
        <v>Temperate</v>
      </c>
      <c r="L1343" s="2">
        <f>VLOOKUP(J1343,Equipes!A:C,3,0)</f>
        <v>31</v>
      </c>
      <c r="M1343" s="2" t="str">
        <f t="shared" si="4"/>
        <v>Group</v>
      </c>
      <c r="N1343" s="2" t="s">
        <v>998</v>
      </c>
      <c r="O1343" s="2">
        <f>VLOOKUP(N1343,Equipes!A:C,3,0)</f>
        <v>22</v>
      </c>
      <c r="P1343" s="2" t="str">
        <f t="shared" si="5"/>
        <v>Group</v>
      </c>
      <c r="Q1343" s="2">
        <f t="shared" si="6"/>
        <v>9</v>
      </c>
      <c r="R1343" s="2" t="str">
        <f>VLOOKUP(J1343,Equipes!A:B,2,0)</f>
        <v>Wydad</v>
      </c>
      <c r="S1343" s="6" t="s">
        <v>846</v>
      </c>
      <c r="T1343" s="7">
        <v>11.0</v>
      </c>
      <c r="U1343" s="7" t="s">
        <v>847</v>
      </c>
      <c r="V1343" s="7" t="str">
        <f>VLOOKUP(U1343,Jogadores!B:C,2,0)</f>
        <v>FW</v>
      </c>
      <c r="W1343" s="8">
        <f>VLOOKUP(U1343,Jogadores!B:D,3,0)</f>
        <v>38.35342466</v>
      </c>
      <c r="X1343" s="7">
        <v>0.0</v>
      </c>
      <c r="Y1343" s="7">
        <f t="shared" si="4164"/>
        <v>98</v>
      </c>
      <c r="Z1343" s="7">
        <f>VLOOKUP(A1343,Jogos!A:L,3,0)</f>
        <v>52</v>
      </c>
      <c r="AA1343" s="7">
        <f t="shared" si="2229"/>
        <v>52</v>
      </c>
      <c r="AB1343" s="7">
        <f>VLOOKUP(A1343,Jogos!A:L,4,0)</f>
        <v>53</v>
      </c>
      <c r="AC1343" s="7">
        <f t="shared" si="2230"/>
        <v>53</v>
      </c>
      <c r="AD1343" s="7"/>
      <c r="AE1343" s="7"/>
      <c r="AF1343" s="7">
        <f t="shared" si="2231"/>
        <v>105</v>
      </c>
      <c r="AG1343" s="7">
        <v>8505.4</v>
      </c>
      <c r="AH1343" s="7">
        <v>4687.2</v>
      </c>
      <c r="AI1343" s="7">
        <v>2518.2</v>
      </c>
      <c r="AJ1343" s="7">
        <v>784.8</v>
      </c>
      <c r="AK1343" s="7">
        <v>313.9</v>
      </c>
      <c r="AL1343" s="7">
        <v>201.3</v>
      </c>
      <c r="AM1343" s="7">
        <v>70.0</v>
      </c>
      <c r="AN1343" s="7">
        <v>32.0</v>
      </c>
      <c r="AO1343" s="7">
        <v>33.6</v>
      </c>
      <c r="AP1343" s="9">
        <f t="shared" ref="AP1343:AR1343" si="4192">AG1343/$AF1343</f>
        <v>81.00380952</v>
      </c>
      <c r="AQ1343" s="9">
        <f t="shared" si="4192"/>
        <v>44.64</v>
      </c>
      <c r="AR1343" s="9">
        <f t="shared" si="4192"/>
        <v>23.98285714</v>
      </c>
      <c r="AS1343" s="9">
        <f t="shared" si="2233"/>
        <v>68.62285714</v>
      </c>
      <c r="AT1343" s="9">
        <f t="shared" ref="AT1343:AV1343" si="4193">AJ1343/$AF1343</f>
        <v>7.474285714</v>
      </c>
      <c r="AU1343" s="9">
        <f t="shared" si="4193"/>
        <v>2.98952381</v>
      </c>
      <c r="AV1343" s="9">
        <f t="shared" si="4193"/>
        <v>1.917142857</v>
      </c>
      <c r="AW1343" s="9">
        <f t="shared" si="2235"/>
        <v>4.906666667</v>
      </c>
      <c r="AX1343" s="9">
        <f t="shared" ref="AX1343:AY1343" si="4194">AM1343/$AF1343</f>
        <v>0.6666666667</v>
      </c>
      <c r="AY1343" s="9">
        <f t="shared" si="4194"/>
        <v>0.3047619048</v>
      </c>
      <c r="AZ1343" s="9">
        <f>VLOOKUP(A1343,Jogos!A:BN,58,0)</f>
        <v>33.475</v>
      </c>
      <c r="BA1343" s="9">
        <f>VLOOKUP(A1343,Jogos!A:BN,59,0)</f>
        <v>22.655</v>
      </c>
      <c r="BB1343" s="9">
        <f>VLOOKUP(A1343,Jogos!A:BN,60,0)</f>
        <v>53</v>
      </c>
      <c r="BC1343" s="9">
        <f>VLOOKUP(A1343,Jogos!A:BN,61,0)</f>
        <v>36.585</v>
      </c>
      <c r="BD1343" s="9">
        <f>VLOOKUP(A1343,Jogos!A:BN,62,0)</f>
        <v>577.75</v>
      </c>
      <c r="BE1343" s="9">
        <f>VLOOKUP(A1343,Jogos!A:BN,63,0)</f>
        <v>0.93</v>
      </c>
      <c r="BF1343" s="9">
        <f>VLOOKUP(A1343,Jogos!A:BN,64,0)</f>
        <v>26.93</v>
      </c>
      <c r="BG1343" s="9">
        <f>VLOOKUP(A1343,Jogos!A:BN,65,0)</f>
        <v>49.51</v>
      </c>
      <c r="BH1343" s="9">
        <f>VLOOKUP(A1343,Jogos!A:BN,66,0)</f>
        <v>32.105</v>
      </c>
      <c r="BI1343" s="9"/>
      <c r="BJ1343" s="9"/>
    </row>
    <row r="1344" hidden="1">
      <c r="A1344" s="2">
        <v>46.0</v>
      </c>
      <c r="B1344" s="15" t="s">
        <v>809</v>
      </c>
      <c r="C1344" s="2" t="s">
        <v>61</v>
      </c>
      <c r="D1344" s="3">
        <v>45834.0</v>
      </c>
      <c r="E1344" s="4">
        <v>0.625</v>
      </c>
      <c r="F1344" s="5" t="str">
        <f>VLOOKUP(A1344,Jogos!A:N,10,0)</f>
        <v>Afternoon</v>
      </c>
      <c r="G1344" s="2" t="s">
        <v>997</v>
      </c>
      <c r="H1344" s="6" t="str">
        <f>VLOOKUP(A1344,Jogos!A:L,12,0)</f>
        <v>Open</v>
      </c>
      <c r="I1344" s="6" t="str">
        <f>VLOOKUP(G1344,'Estádios e Cidades'!A:B,2,0)</f>
        <v>Washington, D.C.</v>
      </c>
      <c r="J1344" s="2" t="s">
        <v>811</v>
      </c>
      <c r="K1344" s="2" t="str">
        <f>VLOOKUP(J1344,Equipes!A:F,6,0)</f>
        <v>Temperate</v>
      </c>
      <c r="L1344" s="2">
        <f>VLOOKUP(J1344,Equipes!A:C,3,0)</f>
        <v>31</v>
      </c>
      <c r="M1344" s="2" t="str">
        <f t="shared" si="4"/>
        <v>Group</v>
      </c>
      <c r="N1344" s="2" t="s">
        <v>998</v>
      </c>
      <c r="O1344" s="2">
        <f>VLOOKUP(N1344,Equipes!A:C,3,0)</f>
        <v>22</v>
      </c>
      <c r="P1344" s="2" t="str">
        <f t="shared" si="5"/>
        <v>Group</v>
      </c>
      <c r="Q1344" s="2">
        <f t="shared" si="6"/>
        <v>9</v>
      </c>
      <c r="R1344" s="2" t="str">
        <f>VLOOKUP(J1344,Equipes!A:B,2,0)</f>
        <v>Wydad</v>
      </c>
      <c r="S1344" s="6" t="s">
        <v>1194</v>
      </c>
      <c r="T1344" s="7">
        <v>16.0</v>
      </c>
      <c r="U1344" s="7" t="s">
        <v>1195</v>
      </c>
      <c r="V1344" s="7" t="str">
        <f>VLOOKUP(U1344,Jogadores!B:C,2,0)</f>
        <v>DF</v>
      </c>
      <c r="W1344" s="8">
        <f>VLOOKUP(U1344,Jogadores!B:D,3,0)</f>
        <v>29.69589041</v>
      </c>
      <c r="X1344" s="7">
        <v>0.0</v>
      </c>
      <c r="Y1344" s="7">
        <v>55.0</v>
      </c>
      <c r="Z1344" s="7">
        <f>VLOOKUP(A1344,Jogos!A:L,3,0)</f>
        <v>52</v>
      </c>
      <c r="AA1344" s="7">
        <f t="shared" si="2229"/>
        <v>52</v>
      </c>
      <c r="AB1344" s="7">
        <f>VLOOKUP(A1344,Jogos!A:L,4,0)</f>
        <v>53</v>
      </c>
      <c r="AC1344" s="7">
        <f t="shared" si="2230"/>
        <v>10</v>
      </c>
      <c r="AD1344" s="7"/>
      <c r="AE1344" s="7"/>
      <c r="AF1344" s="7">
        <f t="shared" si="2231"/>
        <v>62</v>
      </c>
      <c r="AG1344" s="7">
        <v>4816.4</v>
      </c>
      <c r="AH1344" s="7">
        <v>2418.0</v>
      </c>
      <c r="AI1344" s="7">
        <v>1627.1</v>
      </c>
      <c r="AJ1344" s="7">
        <v>479.2</v>
      </c>
      <c r="AK1344" s="7">
        <v>207.4</v>
      </c>
      <c r="AL1344" s="7">
        <v>84.7</v>
      </c>
      <c r="AM1344" s="7">
        <v>39.0</v>
      </c>
      <c r="AN1344" s="7">
        <v>17.0</v>
      </c>
      <c r="AO1344" s="7">
        <v>32.1</v>
      </c>
      <c r="AP1344" s="9">
        <f t="shared" ref="AP1344:AR1344" si="4195">AG1344/$AF1344</f>
        <v>77.68387097</v>
      </c>
      <c r="AQ1344" s="9">
        <f t="shared" si="4195"/>
        <v>39</v>
      </c>
      <c r="AR1344" s="9">
        <f t="shared" si="4195"/>
        <v>26.24354839</v>
      </c>
      <c r="AS1344" s="9">
        <f t="shared" si="2233"/>
        <v>65.24354839</v>
      </c>
      <c r="AT1344" s="9">
        <f t="shared" ref="AT1344:AV1344" si="4196">AJ1344/$AF1344</f>
        <v>7.729032258</v>
      </c>
      <c r="AU1344" s="9">
        <f t="shared" si="4196"/>
        <v>3.34516129</v>
      </c>
      <c r="AV1344" s="9">
        <f t="shared" si="4196"/>
        <v>1.366129032</v>
      </c>
      <c r="AW1344" s="9">
        <f t="shared" si="2235"/>
        <v>4.711290323</v>
      </c>
      <c r="AX1344" s="9">
        <f t="shared" ref="AX1344:AY1344" si="4197">AM1344/$AF1344</f>
        <v>0.6290322581</v>
      </c>
      <c r="AY1344" s="9">
        <f t="shared" si="4197"/>
        <v>0.2741935484</v>
      </c>
      <c r="AZ1344" s="9">
        <f>VLOOKUP(A1344,Jogos!A:BN,58,0)</f>
        <v>33.475</v>
      </c>
      <c r="BA1344" s="9">
        <f>VLOOKUP(A1344,Jogos!A:BN,59,0)</f>
        <v>22.655</v>
      </c>
      <c r="BB1344" s="9">
        <f>VLOOKUP(A1344,Jogos!A:BN,60,0)</f>
        <v>53</v>
      </c>
      <c r="BC1344" s="9">
        <f>VLOOKUP(A1344,Jogos!A:BN,61,0)</f>
        <v>36.585</v>
      </c>
      <c r="BD1344" s="9">
        <f>VLOOKUP(A1344,Jogos!A:BN,62,0)</f>
        <v>577.75</v>
      </c>
      <c r="BE1344" s="9">
        <f>VLOOKUP(A1344,Jogos!A:BN,63,0)</f>
        <v>0.93</v>
      </c>
      <c r="BF1344" s="9">
        <f>VLOOKUP(A1344,Jogos!A:BN,64,0)</f>
        <v>26.93</v>
      </c>
      <c r="BG1344" s="9">
        <f>VLOOKUP(A1344,Jogos!A:BN,65,0)</f>
        <v>49.51</v>
      </c>
      <c r="BH1344" s="9">
        <f>VLOOKUP(A1344,Jogos!A:BN,66,0)</f>
        <v>32.105</v>
      </c>
      <c r="BI1344" s="9"/>
      <c r="BJ1344" s="9"/>
    </row>
    <row r="1345" hidden="1">
      <c r="A1345" s="2">
        <v>46.0</v>
      </c>
      <c r="B1345" s="15" t="s">
        <v>809</v>
      </c>
      <c r="C1345" s="2" t="s">
        <v>61</v>
      </c>
      <c r="D1345" s="3">
        <v>45834.0</v>
      </c>
      <c r="E1345" s="4">
        <v>0.625</v>
      </c>
      <c r="F1345" s="5" t="str">
        <f>VLOOKUP(A1345,Jogos!A:N,10,0)</f>
        <v>Afternoon</v>
      </c>
      <c r="G1345" s="2" t="s">
        <v>997</v>
      </c>
      <c r="H1345" s="6" t="str">
        <f>VLOOKUP(A1345,Jogos!A:L,12,0)</f>
        <v>Open</v>
      </c>
      <c r="I1345" s="6" t="str">
        <f>VLOOKUP(G1345,'Estádios e Cidades'!A:B,2,0)</f>
        <v>Washington, D.C.</v>
      </c>
      <c r="J1345" s="2" t="s">
        <v>811</v>
      </c>
      <c r="K1345" s="2" t="str">
        <f>VLOOKUP(J1345,Equipes!A:F,6,0)</f>
        <v>Temperate</v>
      </c>
      <c r="L1345" s="2">
        <f>VLOOKUP(J1345,Equipes!A:C,3,0)</f>
        <v>31</v>
      </c>
      <c r="M1345" s="2" t="str">
        <f t="shared" si="4"/>
        <v>Group</v>
      </c>
      <c r="N1345" s="2" t="s">
        <v>998</v>
      </c>
      <c r="O1345" s="2">
        <f>VLOOKUP(N1345,Equipes!A:C,3,0)</f>
        <v>22</v>
      </c>
      <c r="P1345" s="2" t="str">
        <f t="shared" si="5"/>
        <v>Group</v>
      </c>
      <c r="Q1345" s="2">
        <f t="shared" si="6"/>
        <v>9</v>
      </c>
      <c r="R1345" s="2" t="str">
        <f>VLOOKUP(J1345,Equipes!A:B,2,0)</f>
        <v>Wydad</v>
      </c>
      <c r="S1345" s="6" t="s">
        <v>852</v>
      </c>
      <c r="T1345" s="7">
        <v>19.0</v>
      </c>
      <c r="U1345" s="7" t="s">
        <v>853</v>
      </c>
      <c r="V1345" s="7" t="str">
        <f>VLOOKUP(U1345,Jogadores!B:C,2,0)</f>
        <v>MF</v>
      </c>
      <c r="W1345" s="8">
        <f>VLOOKUP(U1345,Jogadores!B:D,3,0)</f>
        <v>24.52876712</v>
      </c>
      <c r="X1345" s="7">
        <v>0.0</v>
      </c>
      <c r="Y1345" s="7">
        <v>78.0</v>
      </c>
      <c r="Z1345" s="7">
        <f>VLOOKUP(A1345,Jogos!A:L,3,0)</f>
        <v>52</v>
      </c>
      <c r="AA1345" s="7">
        <f t="shared" si="2229"/>
        <v>52</v>
      </c>
      <c r="AB1345" s="7">
        <f>VLOOKUP(A1345,Jogos!A:L,4,0)</f>
        <v>53</v>
      </c>
      <c r="AC1345" s="7">
        <f t="shared" si="2230"/>
        <v>33</v>
      </c>
      <c r="AD1345" s="7"/>
      <c r="AE1345" s="7"/>
      <c r="AF1345" s="7">
        <f t="shared" si="2231"/>
        <v>85</v>
      </c>
      <c r="AG1345" s="7">
        <v>8290.7</v>
      </c>
      <c r="AH1345" s="7">
        <v>2715.8</v>
      </c>
      <c r="AI1345" s="7">
        <v>3933.3</v>
      </c>
      <c r="AJ1345" s="7">
        <v>1324.6</v>
      </c>
      <c r="AK1345" s="7">
        <v>317.0</v>
      </c>
      <c r="AL1345" s="7">
        <v>112.0</v>
      </c>
      <c r="AM1345" s="7">
        <v>23.0</v>
      </c>
      <c r="AN1345" s="7">
        <v>24.8</v>
      </c>
      <c r="AO1345" s="7"/>
      <c r="AP1345" s="9">
        <f t="shared" ref="AP1345:AR1345" si="4198">AG1345/$AF1345</f>
        <v>97.53764706</v>
      </c>
      <c r="AQ1345" s="9">
        <f t="shared" si="4198"/>
        <v>31.95058824</v>
      </c>
      <c r="AR1345" s="9">
        <f t="shared" si="4198"/>
        <v>46.27411765</v>
      </c>
      <c r="AS1345" s="9">
        <f t="shared" si="2233"/>
        <v>78.22470588</v>
      </c>
      <c r="AT1345" s="9">
        <f t="shared" ref="AT1345:AV1345" si="4199">AJ1345/$AF1345</f>
        <v>15.58352941</v>
      </c>
      <c r="AU1345" s="9">
        <f t="shared" si="4199"/>
        <v>3.729411765</v>
      </c>
      <c r="AV1345" s="9">
        <f t="shared" si="4199"/>
        <v>1.317647059</v>
      </c>
      <c r="AW1345" s="9">
        <f t="shared" si="2235"/>
        <v>5.047058824</v>
      </c>
      <c r="AX1345" s="9">
        <f t="shared" ref="AX1345:AY1345" si="4200">AM1345/$AF1345</f>
        <v>0.2705882353</v>
      </c>
      <c r="AY1345" s="9">
        <f t="shared" si="4200"/>
        <v>0.2917647059</v>
      </c>
      <c r="AZ1345" s="9">
        <f>VLOOKUP(A1345,Jogos!A:BN,58,0)</f>
        <v>33.475</v>
      </c>
      <c r="BA1345" s="9">
        <f>VLOOKUP(A1345,Jogos!A:BN,59,0)</f>
        <v>22.655</v>
      </c>
      <c r="BB1345" s="9">
        <f>VLOOKUP(A1345,Jogos!A:BN,60,0)</f>
        <v>53</v>
      </c>
      <c r="BC1345" s="9">
        <f>VLOOKUP(A1345,Jogos!A:BN,61,0)</f>
        <v>36.585</v>
      </c>
      <c r="BD1345" s="9">
        <f>VLOOKUP(A1345,Jogos!A:BN,62,0)</f>
        <v>577.75</v>
      </c>
      <c r="BE1345" s="9">
        <f>VLOOKUP(A1345,Jogos!A:BN,63,0)</f>
        <v>0.93</v>
      </c>
      <c r="BF1345" s="9">
        <f>VLOOKUP(A1345,Jogos!A:BN,64,0)</f>
        <v>26.93</v>
      </c>
      <c r="BG1345" s="9">
        <f>VLOOKUP(A1345,Jogos!A:BN,65,0)</f>
        <v>49.51</v>
      </c>
      <c r="BH1345" s="9">
        <f>VLOOKUP(A1345,Jogos!A:BN,66,0)</f>
        <v>32.105</v>
      </c>
      <c r="BI1345" s="9"/>
      <c r="BJ1345" s="9"/>
    </row>
    <row r="1346" hidden="1">
      <c r="A1346" s="2">
        <v>46.0</v>
      </c>
      <c r="B1346" s="15" t="s">
        <v>809</v>
      </c>
      <c r="C1346" s="2" t="s">
        <v>61</v>
      </c>
      <c r="D1346" s="3">
        <v>45834.0</v>
      </c>
      <c r="E1346" s="4">
        <v>0.625</v>
      </c>
      <c r="F1346" s="5" t="str">
        <f>VLOOKUP(A1346,Jogos!A:N,10,0)</f>
        <v>Afternoon</v>
      </c>
      <c r="G1346" s="2" t="s">
        <v>997</v>
      </c>
      <c r="H1346" s="6" t="str">
        <f>VLOOKUP(A1346,Jogos!A:L,12,0)</f>
        <v>Open</v>
      </c>
      <c r="I1346" s="6" t="str">
        <f>VLOOKUP(G1346,'Estádios e Cidades'!A:B,2,0)</f>
        <v>Washington, D.C.</v>
      </c>
      <c r="J1346" s="2" t="s">
        <v>811</v>
      </c>
      <c r="K1346" s="2" t="str">
        <f>VLOOKUP(J1346,Equipes!A:F,6,0)</f>
        <v>Temperate</v>
      </c>
      <c r="L1346" s="2">
        <f>VLOOKUP(J1346,Equipes!A:C,3,0)</f>
        <v>31</v>
      </c>
      <c r="M1346" s="2" t="str">
        <f t="shared" si="4"/>
        <v>Group</v>
      </c>
      <c r="N1346" s="2" t="s">
        <v>998</v>
      </c>
      <c r="O1346" s="2">
        <f>VLOOKUP(N1346,Equipes!A:C,3,0)</f>
        <v>22</v>
      </c>
      <c r="P1346" s="2" t="str">
        <f t="shared" si="5"/>
        <v>Group</v>
      </c>
      <c r="Q1346" s="2">
        <f t="shared" si="6"/>
        <v>9</v>
      </c>
      <c r="R1346" s="2" t="str">
        <f>VLOOKUP(J1346,Equipes!A:B,2,0)</f>
        <v>Wydad</v>
      </c>
      <c r="S1346" s="6" t="s">
        <v>854</v>
      </c>
      <c r="T1346" s="7">
        <v>21.0</v>
      </c>
      <c r="U1346" s="7" t="s">
        <v>855</v>
      </c>
      <c r="V1346" s="7" t="str">
        <f>VLOOKUP(U1346,Jogadores!B:C,2,0)</f>
        <v>FW</v>
      </c>
      <c r="W1346" s="8">
        <f>VLOOKUP(U1346,Jogadores!B:D,3,0)</f>
        <v>24.14246575</v>
      </c>
      <c r="X1346" s="7">
        <v>0.0</v>
      </c>
      <c r="Y1346" s="7">
        <v>62.0</v>
      </c>
      <c r="Z1346" s="7">
        <f>VLOOKUP(A1346,Jogos!A:L,3,0)</f>
        <v>52</v>
      </c>
      <c r="AA1346" s="7">
        <f t="shared" si="2229"/>
        <v>52</v>
      </c>
      <c r="AB1346" s="7">
        <f>VLOOKUP(A1346,Jogos!A:L,4,0)</f>
        <v>53</v>
      </c>
      <c r="AC1346" s="7">
        <f t="shared" si="2230"/>
        <v>17</v>
      </c>
      <c r="AD1346" s="7"/>
      <c r="AE1346" s="7"/>
      <c r="AF1346" s="7">
        <f t="shared" si="2231"/>
        <v>69</v>
      </c>
      <c r="AG1346" s="7">
        <v>6962.7</v>
      </c>
      <c r="AH1346" s="7">
        <v>2545.9</v>
      </c>
      <c r="AI1346" s="7">
        <v>3099.3</v>
      </c>
      <c r="AJ1346" s="7">
        <v>992.2</v>
      </c>
      <c r="AK1346" s="7">
        <v>291.1</v>
      </c>
      <c r="AL1346" s="7">
        <v>34.1</v>
      </c>
      <c r="AM1346" s="7">
        <v>82.0</v>
      </c>
      <c r="AN1346" s="7">
        <v>27.0</v>
      </c>
      <c r="AO1346" s="7">
        <v>31.0</v>
      </c>
      <c r="AP1346" s="9">
        <f t="shared" ref="AP1346:AR1346" si="4201">AG1346/$AF1346</f>
        <v>100.9086957</v>
      </c>
      <c r="AQ1346" s="9">
        <f t="shared" si="4201"/>
        <v>36.89710145</v>
      </c>
      <c r="AR1346" s="9">
        <f t="shared" si="4201"/>
        <v>44.9173913</v>
      </c>
      <c r="AS1346" s="9">
        <f t="shared" si="2233"/>
        <v>81.81449275</v>
      </c>
      <c r="AT1346" s="9">
        <f t="shared" ref="AT1346:AV1346" si="4202">AJ1346/$AF1346</f>
        <v>14.37971014</v>
      </c>
      <c r="AU1346" s="9">
        <f t="shared" si="4202"/>
        <v>4.21884058</v>
      </c>
      <c r="AV1346" s="9">
        <f t="shared" si="4202"/>
        <v>0.4942028986</v>
      </c>
      <c r="AW1346" s="9">
        <f t="shared" si="2235"/>
        <v>4.713043478</v>
      </c>
      <c r="AX1346" s="9">
        <f t="shared" ref="AX1346:AY1346" si="4203">AM1346/$AF1346</f>
        <v>1.188405797</v>
      </c>
      <c r="AY1346" s="9">
        <f t="shared" si="4203"/>
        <v>0.3913043478</v>
      </c>
      <c r="AZ1346" s="9">
        <f>VLOOKUP(A1346,Jogos!A:BN,58,0)</f>
        <v>33.475</v>
      </c>
      <c r="BA1346" s="9">
        <f>VLOOKUP(A1346,Jogos!A:BN,59,0)</f>
        <v>22.655</v>
      </c>
      <c r="BB1346" s="9">
        <f>VLOOKUP(A1346,Jogos!A:BN,60,0)</f>
        <v>53</v>
      </c>
      <c r="BC1346" s="9">
        <f>VLOOKUP(A1346,Jogos!A:BN,61,0)</f>
        <v>36.585</v>
      </c>
      <c r="BD1346" s="9">
        <f>VLOOKUP(A1346,Jogos!A:BN,62,0)</f>
        <v>577.75</v>
      </c>
      <c r="BE1346" s="9">
        <f>VLOOKUP(A1346,Jogos!A:BN,63,0)</f>
        <v>0.93</v>
      </c>
      <c r="BF1346" s="9">
        <f>VLOOKUP(A1346,Jogos!A:BN,64,0)</f>
        <v>26.93</v>
      </c>
      <c r="BG1346" s="9">
        <f>VLOOKUP(A1346,Jogos!A:BN,65,0)</f>
        <v>49.51</v>
      </c>
      <c r="BH1346" s="9">
        <f>VLOOKUP(A1346,Jogos!A:BN,66,0)</f>
        <v>32.105</v>
      </c>
      <c r="BI1346" s="9"/>
      <c r="BJ1346" s="9"/>
    </row>
    <row r="1347" hidden="1">
      <c r="A1347" s="2">
        <v>46.0</v>
      </c>
      <c r="B1347" s="15" t="s">
        <v>809</v>
      </c>
      <c r="C1347" s="2" t="s">
        <v>61</v>
      </c>
      <c r="D1347" s="3">
        <v>45834.0</v>
      </c>
      <c r="E1347" s="4">
        <v>0.625</v>
      </c>
      <c r="F1347" s="5" t="str">
        <f>VLOOKUP(A1347,Jogos!A:N,10,0)</f>
        <v>Afternoon</v>
      </c>
      <c r="G1347" s="2" t="s">
        <v>997</v>
      </c>
      <c r="H1347" s="6" t="str">
        <f>VLOOKUP(A1347,Jogos!A:L,12,0)</f>
        <v>Open</v>
      </c>
      <c r="I1347" s="6" t="str">
        <f>VLOOKUP(G1347,'Estádios e Cidades'!A:B,2,0)</f>
        <v>Washington, D.C.</v>
      </c>
      <c r="J1347" s="2" t="s">
        <v>811</v>
      </c>
      <c r="K1347" s="2" t="str">
        <f>VLOOKUP(J1347,Equipes!A:F,6,0)</f>
        <v>Temperate</v>
      </c>
      <c r="L1347" s="2">
        <f>VLOOKUP(J1347,Equipes!A:C,3,0)</f>
        <v>31</v>
      </c>
      <c r="M1347" s="2" t="str">
        <f t="shared" si="4"/>
        <v>Group</v>
      </c>
      <c r="N1347" s="2" t="s">
        <v>998</v>
      </c>
      <c r="O1347" s="2">
        <f>VLOOKUP(N1347,Equipes!A:C,3,0)</f>
        <v>22</v>
      </c>
      <c r="P1347" s="2" t="str">
        <f t="shared" si="5"/>
        <v>Group</v>
      </c>
      <c r="Q1347" s="2">
        <f t="shared" si="6"/>
        <v>9</v>
      </c>
      <c r="R1347" s="2" t="str">
        <f>VLOOKUP(J1347,Equipes!A:B,2,0)</f>
        <v>Wydad</v>
      </c>
      <c r="S1347" s="6" t="s">
        <v>858</v>
      </c>
      <c r="T1347" s="7">
        <v>23.0</v>
      </c>
      <c r="U1347" s="7" t="s">
        <v>859</v>
      </c>
      <c r="V1347" s="7" t="str">
        <f>VLOOKUP(U1347,Jogadores!B:C,2,0)</f>
        <v>MF</v>
      </c>
      <c r="W1347" s="8">
        <f>VLOOKUP(U1347,Jogadores!B:D,3,0)</f>
        <v>23.42465753</v>
      </c>
      <c r="X1347" s="7">
        <v>0.0</v>
      </c>
      <c r="Y1347" s="7">
        <v>79.0</v>
      </c>
      <c r="Z1347" s="7">
        <f>VLOOKUP(A1347,Jogos!A:L,3,0)</f>
        <v>52</v>
      </c>
      <c r="AA1347" s="7">
        <f t="shared" si="2229"/>
        <v>52</v>
      </c>
      <c r="AB1347" s="7">
        <f>VLOOKUP(A1347,Jogos!A:L,4,0)</f>
        <v>53</v>
      </c>
      <c r="AC1347" s="7">
        <f t="shared" si="2230"/>
        <v>34</v>
      </c>
      <c r="AD1347" s="7"/>
      <c r="AE1347" s="7"/>
      <c r="AF1347" s="7">
        <f t="shared" si="2231"/>
        <v>86</v>
      </c>
      <c r="AG1347" s="7">
        <v>8877.9</v>
      </c>
      <c r="AH1347" s="7">
        <v>3116.7</v>
      </c>
      <c r="AI1347" s="7">
        <v>4539.7</v>
      </c>
      <c r="AJ1347" s="7">
        <v>1054.0</v>
      </c>
      <c r="AK1347" s="7">
        <v>127.5</v>
      </c>
      <c r="AL1347" s="7">
        <v>40.0</v>
      </c>
      <c r="AM1347" s="7">
        <v>84.0</v>
      </c>
      <c r="AN1347" s="7">
        <v>11.0</v>
      </c>
      <c r="AO1347" s="7">
        <v>27.0</v>
      </c>
      <c r="AP1347" s="9">
        <f t="shared" ref="AP1347:AR1347" si="4204">AG1347/$AF1347</f>
        <v>103.2313953</v>
      </c>
      <c r="AQ1347" s="9">
        <f t="shared" si="4204"/>
        <v>36.24069767</v>
      </c>
      <c r="AR1347" s="9">
        <f t="shared" si="4204"/>
        <v>52.7872093</v>
      </c>
      <c r="AS1347" s="9">
        <f t="shared" si="2233"/>
        <v>89.02790698</v>
      </c>
      <c r="AT1347" s="9">
        <f t="shared" ref="AT1347:AV1347" si="4205">AJ1347/$AF1347</f>
        <v>12.25581395</v>
      </c>
      <c r="AU1347" s="9">
        <f t="shared" si="4205"/>
        <v>1.48255814</v>
      </c>
      <c r="AV1347" s="9">
        <f t="shared" si="4205"/>
        <v>0.4651162791</v>
      </c>
      <c r="AW1347" s="9">
        <f t="shared" si="2235"/>
        <v>1.947674419</v>
      </c>
      <c r="AX1347" s="9">
        <f t="shared" ref="AX1347:AY1347" si="4206">AM1347/$AF1347</f>
        <v>0.976744186</v>
      </c>
      <c r="AY1347" s="9">
        <f t="shared" si="4206"/>
        <v>0.1279069767</v>
      </c>
      <c r="AZ1347" s="9">
        <f>VLOOKUP(A1347,Jogos!A:BN,58,0)</f>
        <v>33.475</v>
      </c>
      <c r="BA1347" s="9">
        <f>VLOOKUP(A1347,Jogos!A:BN,59,0)</f>
        <v>22.655</v>
      </c>
      <c r="BB1347" s="9">
        <f>VLOOKUP(A1347,Jogos!A:BN,60,0)</f>
        <v>53</v>
      </c>
      <c r="BC1347" s="9">
        <f>VLOOKUP(A1347,Jogos!A:BN,61,0)</f>
        <v>36.585</v>
      </c>
      <c r="BD1347" s="9">
        <f>VLOOKUP(A1347,Jogos!A:BN,62,0)</f>
        <v>577.75</v>
      </c>
      <c r="BE1347" s="9">
        <f>VLOOKUP(A1347,Jogos!A:BN,63,0)</f>
        <v>0.93</v>
      </c>
      <c r="BF1347" s="9">
        <f>VLOOKUP(A1347,Jogos!A:BN,64,0)</f>
        <v>26.93</v>
      </c>
      <c r="BG1347" s="9">
        <f>VLOOKUP(A1347,Jogos!A:BN,65,0)</f>
        <v>49.51</v>
      </c>
      <c r="BH1347" s="9">
        <f>VLOOKUP(A1347,Jogos!A:BN,66,0)</f>
        <v>32.105</v>
      </c>
      <c r="BI1347" s="9"/>
      <c r="BJ1347" s="9"/>
    </row>
    <row r="1348" hidden="1">
      <c r="A1348" s="2">
        <v>46.0</v>
      </c>
      <c r="B1348" s="15" t="s">
        <v>809</v>
      </c>
      <c r="C1348" s="2" t="s">
        <v>61</v>
      </c>
      <c r="D1348" s="3">
        <v>45834.0</v>
      </c>
      <c r="E1348" s="4">
        <v>0.625</v>
      </c>
      <c r="F1348" s="5" t="str">
        <f>VLOOKUP(A1348,Jogos!A:N,10,0)</f>
        <v>Afternoon</v>
      </c>
      <c r="G1348" s="2" t="s">
        <v>997</v>
      </c>
      <c r="H1348" s="6" t="str">
        <f>VLOOKUP(A1348,Jogos!A:L,12,0)</f>
        <v>Open</v>
      </c>
      <c r="I1348" s="6" t="str">
        <f>VLOOKUP(G1348,'Estádios e Cidades'!A:B,2,0)</f>
        <v>Washington, D.C.</v>
      </c>
      <c r="J1348" s="2" t="s">
        <v>811</v>
      </c>
      <c r="K1348" s="2" t="str">
        <f>VLOOKUP(J1348,Equipes!A:F,6,0)</f>
        <v>Temperate</v>
      </c>
      <c r="L1348" s="2">
        <f>VLOOKUP(J1348,Equipes!A:C,3,0)</f>
        <v>31</v>
      </c>
      <c r="M1348" s="2" t="str">
        <f t="shared" si="4"/>
        <v>Group</v>
      </c>
      <c r="N1348" s="2" t="s">
        <v>998</v>
      </c>
      <c r="O1348" s="2">
        <f>VLOOKUP(N1348,Equipes!A:C,3,0)</f>
        <v>22</v>
      </c>
      <c r="P1348" s="2" t="str">
        <f t="shared" si="5"/>
        <v>Group</v>
      </c>
      <c r="Q1348" s="2">
        <f t="shared" si="6"/>
        <v>9</v>
      </c>
      <c r="R1348" s="2" t="str">
        <f>VLOOKUP(J1348,Equipes!A:B,2,0)</f>
        <v>Wydad</v>
      </c>
      <c r="S1348" s="6" t="s">
        <v>1330</v>
      </c>
      <c r="T1348" s="7">
        <v>24.0</v>
      </c>
      <c r="U1348" s="7" t="s">
        <v>1331</v>
      </c>
      <c r="V1348" s="7" t="str">
        <f>VLOOKUP(U1348,Jogadores!B:C,2,0)</f>
        <v>DF</v>
      </c>
      <c r="W1348" s="8">
        <f>VLOOKUP(U1348,Jogadores!B:D,3,0)</f>
        <v>31.67123288</v>
      </c>
      <c r="X1348" s="7">
        <v>0.0</v>
      </c>
      <c r="Y1348" s="7">
        <f t="shared" ref="Y1348:Y1349" si="4210">45+AB1348</f>
        <v>98</v>
      </c>
      <c r="Z1348" s="7">
        <f>VLOOKUP(A1348,Jogos!A:L,3,0)</f>
        <v>52</v>
      </c>
      <c r="AA1348" s="7">
        <f t="shared" si="2229"/>
        <v>52</v>
      </c>
      <c r="AB1348" s="7">
        <f>VLOOKUP(A1348,Jogos!A:L,4,0)</f>
        <v>53</v>
      </c>
      <c r="AC1348" s="7">
        <f t="shared" si="2230"/>
        <v>53</v>
      </c>
      <c r="AD1348" s="7"/>
      <c r="AE1348" s="7"/>
      <c r="AF1348" s="7">
        <f t="shared" si="2231"/>
        <v>105</v>
      </c>
      <c r="AG1348" s="7">
        <v>10316.7</v>
      </c>
      <c r="AH1348" s="7">
        <v>4637.4</v>
      </c>
      <c r="AI1348" s="7">
        <v>3574.5</v>
      </c>
      <c r="AJ1348" s="7">
        <v>1394.3</v>
      </c>
      <c r="AK1348" s="7">
        <v>500.0</v>
      </c>
      <c r="AL1348" s="7">
        <v>210.5</v>
      </c>
      <c r="AM1348" s="7">
        <v>121.0</v>
      </c>
      <c r="AN1348" s="7">
        <v>40.0</v>
      </c>
      <c r="AO1348" s="7">
        <v>32.7</v>
      </c>
      <c r="AP1348" s="9">
        <f t="shared" ref="AP1348:AR1348" si="4207">AG1348/$AF1348</f>
        <v>98.25428571</v>
      </c>
      <c r="AQ1348" s="9">
        <f t="shared" si="4207"/>
        <v>44.16571429</v>
      </c>
      <c r="AR1348" s="9">
        <f t="shared" si="4207"/>
        <v>34.04285714</v>
      </c>
      <c r="AS1348" s="9">
        <f t="shared" si="2233"/>
        <v>78.20857143</v>
      </c>
      <c r="AT1348" s="9">
        <f t="shared" ref="AT1348:AV1348" si="4208">AJ1348/$AF1348</f>
        <v>13.27904762</v>
      </c>
      <c r="AU1348" s="9">
        <f t="shared" si="4208"/>
        <v>4.761904762</v>
      </c>
      <c r="AV1348" s="9">
        <f t="shared" si="4208"/>
        <v>2.004761905</v>
      </c>
      <c r="AW1348" s="9">
        <f t="shared" si="2235"/>
        <v>6.766666667</v>
      </c>
      <c r="AX1348" s="9">
        <f t="shared" ref="AX1348:AY1348" si="4209">AM1348/$AF1348</f>
        <v>1.152380952</v>
      </c>
      <c r="AY1348" s="9">
        <f t="shared" si="4209"/>
        <v>0.380952381</v>
      </c>
      <c r="AZ1348" s="9">
        <f>VLOOKUP(A1348,Jogos!A:BN,58,0)</f>
        <v>33.475</v>
      </c>
      <c r="BA1348" s="9">
        <f>VLOOKUP(A1348,Jogos!A:BN,59,0)</f>
        <v>22.655</v>
      </c>
      <c r="BB1348" s="9">
        <f>VLOOKUP(A1348,Jogos!A:BN,60,0)</f>
        <v>53</v>
      </c>
      <c r="BC1348" s="9">
        <f>VLOOKUP(A1348,Jogos!A:BN,61,0)</f>
        <v>36.585</v>
      </c>
      <c r="BD1348" s="9">
        <f>VLOOKUP(A1348,Jogos!A:BN,62,0)</f>
        <v>577.75</v>
      </c>
      <c r="BE1348" s="9">
        <f>VLOOKUP(A1348,Jogos!A:BN,63,0)</f>
        <v>0.93</v>
      </c>
      <c r="BF1348" s="9">
        <f>VLOOKUP(A1348,Jogos!A:BN,64,0)</f>
        <v>26.93</v>
      </c>
      <c r="BG1348" s="9">
        <f>VLOOKUP(A1348,Jogos!A:BN,65,0)</f>
        <v>49.51</v>
      </c>
      <c r="BH1348" s="9">
        <f>VLOOKUP(A1348,Jogos!A:BN,66,0)</f>
        <v>32.105</v>
      </c>
      <c r="BI1348" s="9"/>
      <c r="BJ1348" s="9"/>
    </row>
    <row r="1349" hidden="1">
      <c r="A1349" s="2">
        <v>46.0</v>
      </c>
      <c r="B1349" s="15" t="s">
        <v>809</v>
      </c>
      <c r="C1349" s="2" t="s">
        <v>61</v>
      </c>
      <c r="D1349" s="3">
        <v>45834.0</v>
      </c>
      <c r="E1349" s="4">
        <v>0.625</v>
      </c>
      <c r="F1349" s="5" t="str">
        <f>VLOOKUP(A1349,Jogos!A:N,10,0)</f>
        <v>Afternoon</v>
      </c>
      <c r="G1349" s="2" t="s">
        <v>997</v>
      </c>
      <c r="H1349" s="6" t="str">
        <f>VLOOKUP(A1349,Jogos!A:L,12,0)</f>
        <v>Open</v>
      </c>
      <c r="I1349" s="6" t="str">
        <f>VLOOKUP(G1349,'Estádios e Cidades'!A:B,2,0)</f>
        <v>Washington, D.C.</v>
      </c>
      <c r="J1349" s="2" t="s">
        <v>811</v>
      </c>
      <c r="K1349" s="2" t="str">
        <f>VLOOKUP(J1349,Equipes!A:F,6,0)</f>
        <v>Temperate</v>
      </c>
      <c r="L1349" s="2">
        <f>VLOOKUP(J1349,Equipes!A:C,3,0)</f>
        <v>31</v>
      </c>
      <c r="M1349" s="2" t="str">
        <f t="shared" si="4"/>
        <v>Group</v>
      </c>
      <c r="N1349" s="2" t="s">
        <v>998</v>
      </c>
      <c r="O1349" s="2">
        <f>VLOOKUP(N1349,Equipes!A:C,3,0)</f>
        <v>22</v>
      </c>
      <c r="P1349" s="2" t="str">
        <f t="shared" si="5"/>
        <v>Group</v>
      </c>
      <c r="Q1349" s="2">
        <f t="shared" si="6"/>
        <v>9</v>
      </c>
      <c r="R1349" s="2" t="str">
        <f>VLOOKUP(J1349,Equipes!A:B,2,0)</f>
        <v>Wydad</v>
      </c>
      <c r="S1349" s="6" t="s">
        <v>860</v>
      </c>
      <c r="T1349" s="7">
        <v>72.0</v>
      </c>
      <c r="U1349" s="7" t="s">
        <v>861</v>
      </c>
      <c r="V1349" s="7" t="str">
        <f>VLOOKUP(U1349,Jogadores!B:C,2,0)</f>
        <v>DF</v>
      </c>
      <c r="W1349" s="8">
        <f>VLOOKUP(U1349,Jogadores!B:D,3,0)</f>
        <v>25.67123288</v>
      </c>
      <c r="X1349" s="7">
        <v>0.0</v>
      </c>
      <c r="Y1349" s="7">
        <f t="shared" si="4210"/>
        <v>98</v>
      </c>
      <c r="Z1349" s="7">
        <f>VLOOKUP(A1349,Jogos!A:L,3,0)</f>
        <v>52</v>
      </c>
      <c r="AA1349" s="7">
        <f t="shared" si="2229"/>
        <v>52</v>
      </c>
      <c r="AB1349" s="7">
        <f>VLOOKUP(A1349,Jogos!A:L,4,0)</f>
        <v>53</v>
      </c>
      <c r="AC1349" s="7">
        <f t="shared" si="2230"/>
        <v>53</v>
      </c>
      <c r="AD1349" s="7"/>
      <c r="AE1349" s="7"/>
      <c r="AF1349" s="7">
        <f t="shared" si="2231"/>
        <v>105</v>
      </c>
      <c r="AG1349" s="7">
        <v>8381.2</v>
      </c>
      <c r="AH1349" s="7">
        <v>4397.1</v>
      </c>
      <c r="AI1349" s="7">
        <v>2903.3</v>
      </c>
      <c r="AJ1349" s="7">
        <v>702.0</v>
      </c>
      <c r="AK1349" s="7">
        <v>285.5</v>
      </c>
      <c r="AL1349" s="7">
        <v>93.4</v>
      </c>
      <c r="AM1349" s="7">
        <v>59.0</v>
      </c>
      <c r="AN1349" s="7">
        <v>22.0</v>
      </c>
      <c r="AO1349" s="7">
        <v>31.6</v>
      </c>
      <c r="AP1349" s="9">
        <f t="shared" ref="AP1349:AR1349" si="4211">AG1349/$AF1349</f>
        <v>79.82095238</v>
      </c>
      <c r="AQ1349" s="9">
        <f t="shared" si="4211"/>
        <v>41.87714286</v>
      </c>
      <c r="AR1349" s="9">
        <f t="shared" si="4211"/>
        <v>27.65047619</v>
      </c>
      <c r="AS1349" s="9">
        <f t="shared" si="2233"/>
        <v>69.52761905</v>
      </c>
      <c r="AT1349" s="9">
        <f t="shared" ref="AT1349:AV1349" si="4212">AJ1349/$AF1349</f>
        <v>6.685714286</v>
      </c>
      <c r="AU1349" s="9">
        <f t="shared" si="4212"/>
        <v>2.719047619</v>
      </c>
      <c r="AV1349" s="9">
        <f t="shared" si="4212"/>
        <v>0.8895238095</v>
      </c>
      <c r="AW1349" s="9">
        <f t="shared" si="2235"/>
        <v>3.608571429</v>
      </c>
      <c r="AX1349" s="9">
        <f t="shared" ref="AX1349:AY1349" si="4213">AM1349/$AF1349</f>
        <v>0.5619047619</v>
      </c>
      <c r="AY1349" s="9">
        <f t="shared" si="4213"/>
        <v>0.2095238095</v>
      </c>
      <c r="AZ1349" s="9">
        <f>VLOOKUP(A1349,Jogos!A:BN,58,0)</f>
        <v>33.475</v>
      </c>
      <c r="BA1349" s="9">
        <f>VLOOKUP(A1349,Jogos!A:BN,59,0)</f>
        <v>22.655</v>
      </c>
      <c r="BB1349" s="9">
        <f>VLOOKUP(A1349,Jogos!A:BN,60,0)</f>
        <v>53</v>
      </c>
      <c r="BC1349" s="9">
        <f>VLOOKUP(A1349,Jogos!A:BN,61,0)</f>
        <v>36.585</v>
      </c>
      <c r="BD1349" s="9">
        <f>VLOOKUP(A1349,Jogos!A:BN,62,0)</f>
        <v>577.75</v>
      </c>
      <c r="BE1349" s="9">
        <f>VLOOKUP(A1349,Jogos!A:BN,63,0)</f>
        <v>0.93</v>
      </c>
      <c r="BF1349" s="9">
        <f>VLOOKUP(A1349,Jogos!A:BN,64,0)</f>
        <v>26.93</v>
      </c>
      <c r="BG1349" s="9">
        <f>VLOOKUP(A1349,Jogos!A:BN,65,0)</f>
        <v>49.51</v>
      </c>
      <c r="BH1349" s="9">
        <f>VLOOKUP(A1349,Jogos!A:BN,66,0)</f>
        <v>32.105</v>
      </c>
      <c r="BI1349" s="9"/>
      <c r="BJ1349" s="9"/>
    </row>
    <row r="1350" hidden="1">
      <c r="A1350" s="2">
        <v>46.0</v>
      </c>
      <c r="B1350" s="15" t="s">
        <v>809</v>
      </c>
      <c r="C1350" s="2" t="s">
        <v>61</v>
      </c>
      <c r="D1350" s="3">
        <v>45834.0</v>
      </c>
      <c r="E1350" s="4">
        <v>0.625</v>
      </c>
      <c r="F1350" s="5" t="str">
        <f>VLOOKUP(A1350,Jogos!A:N,10,0)</f>
        <v>Afternoon</v>
      </c>
      <c r="G1350" s="2" t="s">
        <v>997</v>
      </c>
      <c r="H1350" s="6" t="str">
        <f>VLOOKUP(A1350,Jogos!A:L,12,0)</f>
        <v>Open</v>
      </c>
      <c r="I1350" s="6" t="str">
        <f>VLOOKUP(G1350,'Estádios e Cidades'!A:B,2,0)</f>
        <v>Washington, D.C.</v>
      </c>
      <c r="J1350" s="2" t="s">
        <v>811</v>
      </c>
      <c r="K1350" s="2" t="str">
        <f>VLOOKUP(J1350,Equipes!A:F,6,0)</f>
        <v>Temperate</v>
      </c>
      <c r="L1350" s="2">
        <f>VLOOKUP(J1350,Equipes!A:C,3,0)</f>
        <v>31</v>
      </c>
      <c r="M1350" s="2" t="str">
        <f t="shared" si="4"/>
        <v>Group</v>
      </c>
      <c r="N1350" s="2" t="s">
        <v>998</v>
      </c>
      <c r="O1350" s="2">
        <f>VLOOKUP(N1350,Equipes!A:C,3,0)</f>
        <v>22</v>
      </c>
      <c r="P1350" s="2" t="str">
        <f t="shared" si="5"/>
        <v>Group</v>
      </c>
      <c r="Q1350" s="2">
        <f t="shared" si="6"/>
        <v>9</v>
      </c>
      <c r="R1350" s="2" t="str">
        <f>VLOOKUP(J1350,Equipes!A:B,2,0)</f>
        <v>Wydad</v>
      </c>
      <c r="S1350" s="6" t="s">
        <v>1198</v>
      </c>
      <c r="T1350" s="7">
        <v>99.0</v>
      </c>
      <c r="U1350" s="7" t="s">
        <v>1199</v>
      </c>
      <c r="V1350" s="7" t="str">
        <f>VLOOKUP(U1350,Jogadores!B:C,2,0)</f>
        <v>FW</v>
      </c>
      <c r="W1350" s="8">
        <f>VLOOKUP(U1350,Jogadores!B:D,3,0)</f>
        <v>36.37260274</v>
      </c>
      <c r="X1350" s="7">
        <v>0.0</v>
      </c>
      <c r="Y1350" s="7">
        <v>62.0</v>
      </c>
      <c r="Z1350" s="7">
        <f>VLOOKUP(A1350,Jogos!A:L,3,0)</f>
        <v>52</v>
      </c>
      <c r="AA1350" s="7">
        <f t="shared" si="2229"/>
        <v>52</v>
      </c>
      <c r="AB1350" s="7">
        <f>VLOOKUP(A1350,Jogos!A:L,4,0)</f>
        <v>53</v>
      </c>
      <c r="AC1350" s="7">
        <f t="shared" si="2230"/>
        <v>17</v>
      </c>
      <c r="AD1350" s="7"/>
      <c r="AE1350" s="7"/>
      <c r="AF1350" s="7">
        <f t="shared" si="2231"/>
        <v>69</v>
      </c>
      <c r="AG1350" s="7">
        <v>6093.4</v>
      </c>
      <c r="AH1350" s="7">
        <v>2866.8</v>
      </c>
      <c r="AI1350" s="7">
        <v>2281.9</v>
      </c>
      <c r="AJ1350" s="7">
        <v>679.3</v>
      </c>
      <c r="AK1350" s="7">
        <v>228.1</v>
      </c>
      <c r="AL1350" s="7">
        <v>37.2</v>
      </c>
      <c r="AM1350" s="7">
        <v>57.0</v>
      </c>
      <c r="AN1350" s="7">
        <v>21.0</v>
      </c>
      <c r="AO1350" s="7">
        <v>29.3</v>
      </c>
      <c r="AP1350" s="9">
        <f t="shared" ref="AP1350:AR1350" si="4214">AG1350/$AF1350</f>
        <v>88.31014493</v>
      </c>
      <c r="AQ1350" s="9">
        <f t="shared" si="4214"/>
        <v>41.54782609</v>
      </c>
      <c r="AR1350" s="9">
        <f t="shared" si="4214"/>
        <v>33.07101449</v>
      </c>
      <c r="AS1350" s="9">
        <f t="shared" si="2233"/>
        <v>74.61884058</v>
      </c>
      <c r="AT1350" s="9">
        <f t="shared" ref="AT1350:AV1350" si="4215">AJ1350/$AF1350</f>
        <v>9.844927536</v>
      </c>
      <c r="AU1350" s="9">
        <f t="shared" si="4215"/>
        <v>3.305797101</v>
      </c>
      <c r="AV1350" s="9">
        <f t="shared" si="4215"/>
        <v>0.5391304348</v>
      </c>
      <c r="AW1350" s="9">
        <f t="shared" si="2235"/>
        <v>3.844927536</v>
      </c>
      <c r="AX1350" s="9">
        <f t="shared" ref="AX1350:AY1350" si="4216">AM1350/$AF1350</f>
        <v>0.8260869565</v>
      </c>
      <c r="AY1350" s="9">
        <f t="shared" si="4216"/>
        <v>0.3043478261</v>
      </c>
      <c r="AZ1350" s="9">
        <f>VLOOKUP(A1350,Jogos!A:BN,58,0)</f>
        <v>33.475</v>
      </c>
      <c r="BA1350" s="9">
        <f>VLOOKUP(A1350,Jogos!A:BN,59,0)</f>
        <v>22.655</v>
      </c>
      <c r="BB1350" s="9">
        <f>VLOOKUP(A1350,Jogos!A:BN,60,0)</f>
        <v>53</v>
      </c>
      <c r="BC1350" s="9">
        <f>VLOOKUP(A1350,Jogos!A:BN,61,0)</f>
        <v>36.585</v>
      </c>
      <c r="BD1350" s="9">
        <f>VLOOKUP(A1350,Jogos!A:BN,62,0)</f>
        <v>577.75</v>
      </c>
      <c r="BE1350" s="9">
        <f>VLOOKUP(A1350,Jogos!A:BN,63,0)</f>
        <v>0.93</v>
      </c>
      <c r="BF1350" s="9">
        <f>VLOOKUP(A1350,Jogos!A:BN,64,0)</f>
        <v>26.93</v>
      </c>
      <c r="BG1350" s="9">
        <f>VLOOKUP(A1350,Jogos!A:BN,65,0)</f>
        <v>49.51</v>
      </c>
      <c r="BH1350" s="9">
        <f>VLOOKUP(A1350,Jogos!A:BN,66,0)</f>
        <v>32.105</v>
      </c>
      <c r="BI1350" s="9"/>
      <c r="BJ1350" s="9"/>
    </row>
    <row r="1351" hidden="1">
      <c r="A1351" s="2">
        <v>46.0</v>
      </c>
      <c r="B1351" s="15" t="s">
        <v>809</v>
      </c>
      <c r="C1351" s="2" t="s">
        <v>61</v>
      </c>
      <c r="D1351" s="3">
        <v>45834.0</v>
      </c>
      <c r="E1351" s="4">
        <v>0.625</v>
      </c>
      <c r="F1351" s="5" t="str">
        <f>VLOOKUP(A1351,Jogos!A:N,10,0)</f>
        <v>Afternoon</v>
      </c>
      <c r="G1351" s="2" t="s">
        <v>997</v>
      </c>
      <c r="H1351" s="6" t="str">
        <f>VLOOKUP(A1351,Jogos!A:L,12,0)</f>
        <v>Open</v>
      </c>
      <c r="I1351" s="6" t="str">
        <f>VLOOKUP(G1351,'Estádios e Cidades'!A:B,2,0)</f>
        <v>Washington, D.C.</v>
      </c>
      <c r="J1351" s="2" t="s">
        <v>811</v>
      </c>
      <c r="K1351" s="2" t="str">
        <f>VLOOKUP(J1351,Equipes!A:F,6,0)</f>
        <v>Temperate</v>
      </c>
      <c r="L1351" s="2">
        <f>VLOOKUP(J1351,Equipes!A:C,3,0)</f>
        <v>31</v>
      </c>
      <c r="M1351" s="2" t="str">
        <f t="shared" si="4"/>
        <v>Group</v>
      </c>
      <c r="N1351" s="2" t="s">
        <v>998</v>
      </c>
      <c r="O1351" s="2">
        <f>VLOOKUP(N1351,Equipes!A:C,3,0)</f>
        <v>22</v>
      </c>
      <c r="P1351" s="2" t="str">
        <f t="shared" si="5"/>
        <v>Group</v>
      </c>
      <c r="Q1351" s="2">
        <f t="shared" si="6"/>
        <v>9</v>
      </c>
      <c r="R1351" s="2" t="str">
        <f>VLOOKUP(J1351,Equipes!A:B,2,0)</f>
        <v>Wydad</v>
      </c>
      <c r="S1351" s="6" t="s">
        <v>862</v>
      </c>
      <c r="T1351" s="7">
        <v>5.0</v>
      </c>
      <c r="U1351" s="7" t="s">
        <v>863</v>
      </c>
      <c r="V1351" s="7" t="str">
        <f>VLOOKUP(U1351,Jogadores!B:C,2,0)</f>
        <v>MF</v>
      </c>
      <c r="W1351" s="8">
        <f>VLOOKUP(U1351,Jogadores!B:D,3,0)</f>
        <v>25.50410959</v>
      </c>
      <c r="X1351" s="7">
        <v>79.0</v>
      </c>
      <c r="Y1351" s="7">
        <f t="shared" ref="Y1351:Y1357" si="4220">45+AB1351</f>
        <v>98</v>
      </c>
      <c r="Z1351" s="7">
        <f>VLOOKUP(A1351,Jogos!A:L,3,0)</f>
        <v>52</v>
      </c>
      <c r="AA1351" s="7">
        <f t="shared" si="2229"/>
        <v>0</v>
      </c>
      <c r="AB1351" s="7">
        <f>VLOOKUP(A1351,Jogos!A:L,4,0)</f>
        <v>53</v>
      </c>
      <c r="AC1351" s="7">
        <f t="shared" si="2230"/>
        <v>19</v>
      </c>
      <c r="AD1351" s="7"/>
      <c r="AE1351" s="7"/>
      <c r="AF1351" s="7">
        <f t="shared" si="2231"/>
        <v>19</v>
      </c>
      <c r="AG1351" s="7">
        <v>2409.4</v>
      </c>
      <c r="AH1351" s="7">
        <v>820.4</v>
      </c>
      <c r="AI1351" s="7">
        <v>942.5</v>
      </c>
      <c r="AJ1351" s="7">
        <v>402.7</v>
      </c>
      <c r="AK1351" s="7">
        <v>178.6</v>
      </c>
      <c r="AL1351" s="7">
        <v>65.2</v>
      </c>
      <c r="AM1351" s="7">
        <v>37.0</v>
      </c>
      <c r="AN1351" s="7">
        <v>11.0</v>
      </c>
      <c r="AO1351" s="7">
        <v>32.6</v>
      </c>
      <c r="AP1351" s="9">
        <f t="shared" ref="AP1351:AR1351" si="4217">AG1351/$AF1351</f>
        <v>126.8105263</v>
      </c>
      <c r="AQ1351" s="9">
        <f t="shared" si="4217"/>
        <v>43.17894737</v>
      </c>
      <c r="AR1351" s="9">
        <f t="shared" si="4217"/>
        <v>49.60526316</v>
      </c>
      <c r="AS1351" s="9">
        <f t="shared" si="2233"/>
        <v>92.78421053</v>
      </c>
      <c r="AT1351" s="9">
        <f t="shared" ref="AT1351:AV1351" si="4218">AJ1351/$AF1351</f>
        <v>21.19473684</v>
      </c>
      <c r="AU1351" s="9">
        <f t="shared" si="4218"/>
        <v>9.4</v>
      </c>
      <c r="AV1351" s="9">
        <f t="shared" si="4218"/>
        <v>3.431578947</v>
      </c>
      <c r="AW1351" s="9">
        <f t="shared" si="2235"/>
        <v>12.83157895</v>
      </c>
      <c r="AX1351" s="9">
        <f t="shared" ref="AX1351:AY1351" si="4219">AM1351/$AF1351</f>
        <v>1.947368421</v>
      </c>
      <c r="AY1351" s="9">
        <f t="shared" si="4219"/>
        <v>0.5789473684</v>
      </c>
      <c r="AZ1351" s="9">
        <f>VLOOKUP(A1351,Jogos!A:BN,58,0)</f>
        <v>33.475</v>
      </c>
      <c r="BA1351" s="9">
        <f>VLOOKUP(A1351,Jogos!A:BN,59,0)</f>
        <v>22.655</v>
      </c>
      <c r="BB1351" s="9">
        <f>VLOOKUP(A1351,Jogos!A:BN,60,0)</f>
        <v>53</v>
      </c>
      <c r="BC1351" s="9">
        <f>VLOOKUP(A1351,Jogos!A:BN,61,0)</f>
        <v>36.585</v>
      </c>
      <c r="BD1351" s="9">
        <f>VLOOKUP(A1351,Jogos!A:BN,62,0)</f>
        <v>577.75</v>
      </c>
      <c r="BE1351" s="9">
        <f>VLOOKUP(A1351,Jogos!A:BN,63,0)</f>
        <v>0.93</v>
      </c>
      <c r="BF1351" s="9">
        <f>VLOOKUP(A1351,Jogos!A:BN,64,0)</f>
        <v>26.93</v>
      </c>
      <c r="BG1351" s="9">
        <f>VLOOKUP(A1351,Jogos!A:BN,65,0)</f>
        <v>49.51</v>
      </c>
      <c r="BH1351" s="9">
        <f>VLOOKUP(A1351,Jogos!A:BN,66,0)</f>
        <v>32.105</v>
      </c>
      <c r="BI1351" s="9"/>
      <c r="BJ1351" s="9"/>
    </row>
    <row r="1352" hidden="1">
      <c r="A1352" s="2">
        <v>46.0</v>
      </c>
      <c r="B1352" s="15" t="s">
        <v>809</v>
      </c>
      <c r="C1352" s="2" t="s">
        <v>61</v>
      </c>
      <c r="D1352" s="3">
        <v>45834.0</v>
      </c>
      <c r="E1352" s="4">
        <v>0.625</v>
      </c>
      <c r="F1352" s="5" t="str">
        <f>VLOOKUP(A1352,Jogos!A:N,10,0)</f>
        <v>Afternoon</v>
      </c>
      <c r="G1352" s="2" t="s">
        <v>997</v>
      </c>
      <c r="H1352" s="6" t="str">
        <f>VLOOKUP(A1352,Jogos!A:L,12,0)</f>
        <v>Open</v>
      </c>
      <c r="I1352" s="6" t="str">
        <f>VLOOKUP(G1352,'Estádios e Cidades'!A:B,2,0)</f>
        <v>Washington, D.C.</v>
      </c>
      <c r="J1352" s="2" t="s">
        <v>811</v>
      </c>
      <c r="K1352" s="2" t="str">
        <f>VLOOKUP(J1352,Equipes!A:F,6,0)</f>
        <v>Temperate</v>
      </c>
      <c r="L1352" s="2">
        <f>VLOOKUP(J1352,Equipes!A:C,3,0)</f>
        <v>31</v>
      </c>
      <c r="M1352" s="2" t="str">
        <f t="shared" si="4"/>
        <v>Group</v>
      </c>
      <c r="N1352" s="2" t="s">
        <v>998</v>
      </c>
      <c r="O1352" s="2">
        <f>VLOOKUP(N1352,Equipes!A:C,3,0)</f>
        <v>22</v>
      </c>
      <c r="P1352" s="2" t="str">
        <f t="shared" si="5"/>
        <v>Group</v>
      </c>
      <c r="Q1352" s="2">
        <f t="shared" si="6"/>
        <v>9</v>
      </c>
      <c r="R1352" s="2" t="str">
        <f>VLOOKUP(J1352,Equipes!A:B,2,0)</f>
        <v>Wydad</v>
      </c>
      <c r="S1352" s="6" t="s">
        <v>868</v>
      </c>
      <c r="T1352" s="7">
        <v>9.0</v>
      </c>
      <c r="U1352" s="7" t="s">
        <v>869</v>
      </c>
      <c r="V1352" s="7" t="str">
        <f>VLOOKUP(U1352,Jogadores!B:C,2,0)</f>
        <v>FW</v>
      </c>
      <c r="W1352" s="8">
        <f>VLOOKUP(U1352,Jogadores!B:D,3,0)</f>
        <v>28.22191781</v>
      </c>
      <c r="X1352" s="7">
        <v>62.0</v>
      </c>
      <c r="Y1352" s="7">
        <f t="shared" si="4220"/>
        <v>98</v>
      </c>
      <c r="Z1352" s="7">
        <f>VLOOKUP(A1352,Jogos!A:L,3,0)</f>
        <v>52</v>
      </c>
      <c r="AA1352" s="7">
        <f t="shared" si="2229"/>
        <v>0</v>
      </c>
      <c r="AB1352" s="7">
        <f>VLOOKUP(A1352,Jogos!A:L,4,0)</f>
        <v>53</v>
      </c>
      <c r="AC1352" s="7">
        <f t="shared" si="2230"/>
        <v>36</v>
      </c>
      <c r="AD1352" s="7"/>
      <c r="AE1352" s="7"/>
      <c r="AF1352" s="7">
        <f t="shared" si="2231"/>
        <v>36</v>
      </c>
      <c r="AG1352" s="7">
        <v>3611.7</v>
      </c>
      <c r="AH1352" s="7">
        <v>1514.5</v>
      </c>
      <c r="AI1352" s="7">
        <v>1284.9</v>
      </c>
      <c r="AJ1352" s="7">
        <v>493.2</v>
      </c>
      <c r="AK1352" s="7">
        <v>253.6</v>
      </c>
      <c r="AL1352" s="7">
        <v>65.4</v>
      </c>
      <c r="AM1352" s="7">
        <v>44.0</v>
      </c>
      <c r="AN1352" s="7">
        <v>22.0</v>
      </c>
      <c r="AO1352" s="7">
        <v>29.0</v>
      </c>
      <c r="AP1352" s="9">
        <f t="shared" ref="AP1352:AR1352" si="4221">AG1352/$AF1352</f>
        <v>100.325</v>
      </c>
      <c r="AQ1352" s="9">
        <f t="shared" si="4221"/>
        <v>42.06944444</v>
      </c>
      <c r="AR1352" s="9">
        <f t="shared" si="4221"/>
        <v>35.69166667</v>
      </c>
      <c r="AS1352" s="9">
        <f t="shared" si="2233"/>
        <v>77.76111111</v>
      </c>
      <c r="AT1352" s="9">
        <f t="shared" ref="AT1352:AV1352" si="4222">AJ1352/$AF1352</f>
        <v>13.7</v>
      </c>
      <c r="AU1352" s="9">
        <f t="shared" si="4222"/>
        <v>7.044444444</v>
      </c>
      <c r="AV1352" s="9">
        <f t="shared" si="4222"/>
        <v>1.816666667</v>
      </c>
      <c r="AW1352" s="9">
        <f t="shared" si="2235"/>
        <v>8.861111111</v>
      </c>
      <c r="AX1352" s="9">
        <f t="shared" ref="AX1352:AY1352" si="4223">AM1352/$AF1352</f>
        <v>1.222222222</v>
      </c>
      <c r="AY1352" s="9">
        <f t="shared" si="4223"/>
        <v>0.6111111111</v>
      </c>
      <c r="AZ1352" s="9">
        <f>VLOOKUP(A1352,Jogos!A:BN,58,0)</f>
        <v>33.475</v>
      </c>
      <c r="BA1352" s="9">
        <f>VLOOKUP(A1352,Jogos!A:BN,59,0)</f>
        <v>22.655</v>
      </c>
      <c r="BB1352" s="9">
        <f>VLOOKUP(A1352,Jogos!A:BN,60,0)</f>
        <v>53</v>
      </c>
      <c r="BC1352" s="9">
        <f>VLOOKUP(A1352,Jogos!A:BN,61,0)</f>
        <v>36.585</v>
      </c>
      <c r="BD1352" s="9">
        <f>VLOOKUP(A1352,Jogos!A:BN,62,0)</f>
        <v>577.75</v>
      </c>
      <c r="BE1352" s="9">
        <f>VLOOKUP(A1352,Jogos!A:BN,63,0)</f>
        <v>0.93</v>
      </c>
      <c r="BF1352" s="9">
        <f>VLOOKUP(A1352,Jogos!A:BN,64,0)</f>
        <v>26.93</v>
      </c>
      <c r="BG1352" s="9">
        <f>VLOOKUP(A1352,Jogos!A:BN,65,0)</f>
        <v>49.51</v>
      </c>
      <c r="BH1352" s="9">
        <f>VLOOKUP(A1352,Jogos!A:BN,66,0)</f>
        <v>32.105</v>
      </c>
      <c r="BI1352" s="9"/>
      <c r="BJ1352" s="9"/>
    </row>
    <row r="1353" hidden="1">
      <c r="A1353" s="2">
        <v>46.0</v>
      </c>
      <c r="B1353" s="15" t="s">
        <v>809</v>
      </c>
      <c r="C1353" s="2" t="s">
        <v>61</v>
      </c>
      <c r="D1353" s="3">
        <v>45834.0</v>
      </c>
      <c r="E1353" s="4">
        <v>0.625</v>
      </c>
      <c r="F1353" s="5" t="str">
        <f>VLOOKUP(A1353,Jogos!A:N,10,0)</f>
        <v>Afternoon</v>
      </c>
      <c r="G1353" s="2" t="s">
        <v>997</v>
      </c>
      <c r="H1353" s="6" t="str">
        <f>VLOOKUP(A1353,Jogos!A:L,12,0)</f>
        <v>Open</v>
      </c>
      <c r="I1353" s="6" t="str">
        <f>VLOOKUP(G1353,'Estádios e Cidades'!A:B,2,0)</f>
        <v>Washington, D.C.</v>
      </c>
      <c r="J1353" s="2" t="s">
        <v>811</v>
      </c>
      <c r="K1353" s="2" t="str">
        <f>VLOOKUP(J1353,Equipes!A:F,6,0)</f>
        <v>Temperate</v>
      </c>
      <c r="L1353" s="2">
        <f>VLOOKUP(J1353,Equipes!A:C,3,0)</f>
        <v>31</v>
      </c>
      <c r="M1353" s="2" t="str">
        <f t="shared" si="4"/>
        <v>Group</v>
      </c>
      <c r="N1353" s="2" t="s">
        <v>998</v>
      </c>
      <c r="O1353" s="2">
        <f>VLOOKUP(N1353,Equipes!A:C,3,0)</f>
        <v>22</v>
      </c>
      <c r="P1353" s="2" t="str">
        <f t="shared" si="5"/>
        <v>Group</v>
      </c>
      <c r="Q1353" s="2">
        <f t="shared" si="6"/>
        <v>9</v>
      </c>
      <c r="R1353" s="2" t="str">
        <f>VLOOKUP(J1353,Equipes!A:B,2,0)</f>
        <v>Wydad</v>
      </c>
      <c r="S1353" s="6" t="s">
        <v>856</v>
      </c>
      <c r="T1353" s="7">
        <v>22.0</v>
      </c>
      <c r="U1353" s="7" t="s">
        <v>857</v>
      </c>
      <c r="V1353" s="7" t="str">
        <f>VLOOKUP(U1353,Jogadores!B:C,2,0)</f>
        <v>DF</v>
      </c>
      <c r="W1353" s="8">
        <f>VLOOKUP(U1353,Jogadores!B:D,3,0)</f>
        <v>28.56438356</v>
      </c>
      <c r="X1353" s="7">
        <v>55.0</v>
      </c>
      <c r="Y1353" s="7">
        <f t="shared" si="4220"/>
        <v>98</v>
      </c>
      <c r="Z1353" s="7">
        <f>VLOOKUP(A1353,Jogos!A:L,3,0)</f>
        <v>52</v>
      </c>
      <c r="AA1353" s="7">
        <f t="shared" si="2229"/>
        <v>0</v>
      </c>
      <c r="AB1353" s="7">
        <f>VLOOKUP(A1353,Jogos!A:L,4,0)</f>
        <v>53</v>
      </c>
      <c r="AC1353" s="7">
        <f t="shared" si="2230"/>
        <v>43</v>
      </c>
      <c r="AD1353" s="7"/>
      <c r="AE1353" s="7"/>
      <c r="AF1353" s="7">
        <f t="shared" si="2231"/>
        <v>43</v>
      </c>
      <c r="AG1353" s="7">
        <v>4267.9</v>
      </c>
      <c r="AH1353" s="7">
        <v>1834.9</v>
      </c>
      <c r="AI1353" s="7">
        <v>1720.4</v>
      </c>
      <c r="AJ1353" s="7">
        <v>487.1</v>
      </c>
      <c r="AK1353" s="7">
        <v>116.5</v>
      </c>
      <c r="AL1353" s="7">
        <v>108.9</v>
      </c>
      <c r="AM1353" s="7">
        <v>40.0</v>
      </c>
      <c r="AN1353" s="7">
        <v>10.0</v>
      </c>
      <c r="AO1353" s="7">
        <v>30.3</v>
      </c>
      <c r="AP1353" s="9">
        <f t="shared" ref="AP1353:AR1353" si="4224">AG1353/$AF1353</f>
        <v>99.25348837</v>
      </c>
      <c r="AQ1353" s="9">
        <f t="shared" si="4224"/>
        <v>42.67209302</v>
      </c>
      <c r="AR1353" s="9">
        <f t="shared" si="4224"/>
        <v>40.00930233</v>
      </c>
      <c r="AS1353" s="9">
        <f t="shared" si="2233"/>
        <v>82.68139535</v>
      </c>
      <c r="AT1353" s="9">
        <f t="shared" ref="AT1353:AV1353" si="4225">AJ1353/$AF1353</f>
        <v>11.32790698</v>
      </c>
      <c r="AU1353" s="9">
        <f t="shared" si="4225"/>
        <v>2.709302326</v>
      </c>
      <c r="AV1353" s="9">
        <f t="shared" si="4225"/>
        <v>2.53255814</v>
      </c>
      <c r="AW1353" s="9">
        <f t="shared" si="2235"/>
        <v>5.241860465</v>
      </c>
      <c r="AX1353" s="9">
        <f t="shared" ref="AX1353:AY1353" si="4226">AM1353/$AF1353</f>
        <v>0.9302325581</v>
      </c>
      <c r="AY1353" s="9">
        <f t="shared" si="4226"/>
        <v>0.2325581395</v>
      </c>
      <c r="AZ1353" s="9">
        <f>VLOOKUP(A1353,Jogos!A:BN,58,0)</f>
        <v>33.475</v>
      </c>
      <c r="BA1353" s="9">
        <f>VLOOKUP(A1353,Jogos!A:BN,59,0)</f>
        <v>22.655</v>
      </c>
      <c r="BB1353" s="9">
        <f>VLOOKUP(A1353,Jogos!A:BN,60,0)</f>
        <v>53</v>
      </c>
      <c r="BC1353" s="9">
        <f>VLOOKUP(A1353,Jogos!A:BN,61,0)</f>
        <v>36.585</v>
      </c>
      <c r="BD1353" s="9">
        <f>VLOOKUP(A1353,Jogos!A:BN,62,0)</f>
        <v>577.75</v>
      </c>
      <c r="BE1353" s="9">
        <f>VLOOKUP(A1353,Jogos!A:BN,63,0)</f>
        <v>0.93</v>
      </c>
      <c r="BF1353" s="9">
        <f>VLOOKUP(A1353,Jogos!A:BN,64,0)</f>
        <v>26.93</v>
      </c>
      <c r="BG1353" s="9">
        <f>VLOOKUP(A1353,Jogos!A:BN,65,0)</f>
        <v>49.51</v>
      </c>
      <c r="BH1353" s="9">
        <f>VLOOKUP(A1353,Jogos!A:BN,66,0)</f>
        <v>32.105</v>
      </c>
      <c r="BI1353" s="9"/>
      <c r="BJ1353" s="9"/>
    </row>
    <row r="1354" hidden="1">
      <c r="A1354" s="2">
        <v>46.0</v>
      </c>
      <c r="B1354" s="15" t="s">
        <v>809</v>
      </c>
      <c r="C1354" s="2" t="s">
        <v>61</v>
      </c>
      <c r="D1354" s="3">
        <v>45834.0</v>
      </c>
      <c r="E1354" s="4">
        <v>0.625</v>
      </c>
      <c r="F1354" s="5" t="str">
        <f>VLOOKUP(A1354,Jogos!A:N,10,0)</f>
        <v>Afternoon</v>
      </c>
      <c r="G1354" s="2" t="s">
        <v>997</v>
      </c>
      <c r="H1354" s="6" t="str">
        <f>VLOOKUP(A1354,Jogos!A:L,12,0)</f>
        <v>Open</v>
      </c>
      <c r="I1354" s="6" t="str">
        <f>VLOOKUP(G1354,'Estádios e Cidades'!A:B,2,0)</f>
        <v>Washington, D.C.</v>
      </c>
      <c r="J1354" s="2" t="s">
        <v>811</v>
      </c>
      <c r="K1354" s="2" t="str">
        <f>VLOOKUP(J1354,Equipes!A:F,6,0)</f>
        <v>Temperate</v>
      </c>
      <c r="L1354" s="2">
        <f>VLOOKUP(J1354,Equipes!A:C,3,0)</f>
        <v>31</v>
      </c>
      <c r="M1354" s="2" t="str">
        <f t="shared" si="4"/>
        <v>Group</v>
      </c>
      <c r="N1354" s="2" t="s">
        <v>998</v>
      </c>
      <c r="O1354" s="2">
        <f>VLOOKUP(N1354,Equipes!A:C,3,0)</f>
        <v>22</v>
      </c>
      <c r="P1354" s="2" t="str">
        <f t="shared" si="5"/>
        <v>Group</v>
      </c>
      <c r="Q1354" s="2">
        <f t="shared" si="6"/>
        <v>9</v>
      </c>
      <c r="R1354" s="2" t="str">
        <f>VLOOKUP(J1354,Equipes!A:B,2,0)</f>
        <v>Wydad</v>
      </c>
      <c r="S1354" s="6" t="s">
        <v>1196</v>
      </c>
      <c r="T1354" s="7">
        <v>26.0</v>
      </c>
      <c r="U1354" s="7" t="s">
        <v>1197</v>
      </c>
      <c r="V1354" s="7" t="str">
        <f>VLOOKUP(U1354,Jogadores!B:C,2,0)</f>
        <v>FW</v>
      </c>
      <c r="W1354" s="8">
        <f>VLOOKUP(U1354,Jogadores!B:D,3,0)</f>
        <v>26.66027397</v>
      </c>
      <c r="X1354" s="7">
        <v>62.0</v>
      </c>
      <c r="Y1354" s="7">
        <f t="shared" si="4220"/>
        <v>98</v>
      </c>
      <c r="Z1354" s="7">
        <f>VLOOKUP(A1354,Jogos!A:L,3,0)</f>
        <v>52</v>
      </c>
      <c r="AA1354" s="7">
        <f t="shared" si="2229"/>
        <v>0</v>
      </c>
      <c r="AB1354" s="7">
        <f>VLOOKUP(A1354,Jogos!A:L,4,0)</f>
        <v>53</v>
      </c>
      <c r="AC1354" s="7">
        <f t="shared" si="2230"/>
        <v>36</v>
      </c>
      <c r="AD1354" s="7"/>
      <c r="AE1354" s="7"/>
      <c r="AF1354" s="7">
        <f t="shared" si="2231"/>
        <v>36</v>
      </c>
      <c r="AG1354" s="7">
        <v>4161.1</v>
      </c>
      <c r="AH1354" s="7">
        <v>1420.3</v>
      </c>
      <c r="AI1354" s="7">
        <v>1598.9</v>
      </c>
      <c r="AJ1354" s="7">
        <v>823.8</v>
      </c>
      <c r="AK1354" s="7">
        <v>270.4</v>
      </c>
      <c r="AL1354" s="7">
        <v>47.7</v>
      </c>
      <c r="AM1354" s="7">
        <v>66.0</v>
      </c>
      <c r="AN1354" s="7">
        <v>22.0</v>
      </c>
      <c r="AO1354" s="7">
        <v>29.6</v>
      </c>
      <c r="AP1354" s="9">
        <f t="shared" ref="AP1354:AR1354" si="4227">AG1354/$AF1354</f>
        <v>115.5861111</v>
      </c>
      <c r="AQ1354" s="9">
        <f t="shared" si="4227"/>
        <v>39.45277778</v>
      </c>
      <c r="AR1354" s="9">
        <f t="shared" si="4227"/>
        <v>44.41388889</v>
      </c>
      <c r="AS1354" s="9">
        <f t="shared" si="2233"/>
        <v>83.86666667</v>
      </c>
      <c r="AT1354" s="9">
        <f t="shared" ref="AT1354:AV1354" si="4228">AJ1354/$AF1354</f>
        <v>22.88333333</v>
      </c>
      <c r="AU1354" s="9">
        <f t="shared" si="4228"/>
        <v>7.511111111</v>
      </c>
      <c r="AV1354" s="9">
        <f t="shared" si="4228"/>
        <v>1.325</v>
      </c>
      <c r="AW1354" s="9">
        <f t="shared" si="2235"/>
        <v>8.836111111</v>
      </c>
      <c r="AX1354" s="9">
        <f t="shared" ref="AX1354:AY1354" si="4229">AM1354/$AF1354</f>
        <v>1.833333333</v>
      </c>
      <c r="AY1354" s="9">
        <f t="shared" si="4229"/>
        <v>0.6111111111</v>
      </c>
      <c r="AZ1354" s="9">
        <f>VLOOKUP(A1354,Jogos!A:BN,58,0)</f>
        <v>33.475</v>
      </c>
      <c r="BA1354" s="9">
        <f>VLOOKUP(A1354,Jogos!A:BN,59,0)</f>
        <v>22.655</v>
      </c>
      <c r="BB1354" s="9">
        <f>VLOOKUP(A1354,Jogos!A:BN,60,0)</f>
        <v>53</v>
      </c>
      <c r="BC1354" s="9">
        <f>VLOOKUP(A1354,Jogos!A:BN,61,0)</f>
        <v>36.585</v>
      </c>
      <c r="BD1354" s="9">
        <f>VLOOKUP(A1354,Jogos!A:BN,62,0)</f>
        <v>577.75</v>
      </c>
      <c r="BE1354" s="9">
        <f>VLOOKUP(A1354,Jogos!A:BN,63,0)</f>
        <v>0.93</v>
      </c>
      <c r="BF1354" s="9">
        <f>VLOOKUP(A1354,Jogos!A:BN,64,0)</f>
        <v>26.93</v>
      </c>
      <c r="BG1354" s="9">
        <f>VLOOKUP(A1354,Jogos!A:BN,65,0)</f>
        <v>49.51</v>
      </c>
      <c r="BH1354" s="9">
        <f>VLOOKUP(A1354,Jogos!A:BN,66,0)</f>
        <v>32.105</v>
      </c>
      <c r="BI1354" s="9"/>
      <c r="BJ1354" s="9"/>
    </row>
    <row r="1355" hidden="1">
      <c r="A1355" s="2">
        <v>46.0</v>
      </c>
      <c r="B1355" s="15" t="s">
        <v>809</v>
      </c>
      <c r="C1355" s="2" t="s">
        <v>61</v>
      </c>
      <c r="D1355" s="3">
        <v>45834.0</v>
      </c>
      <c r="E1355" s="4">
        <v>0.625</v>
      </c>
      <c r="F1355" s="5" t="str">
        <f>VLOOKUP(A1355,Jogos!A:N,10,0)</f>
        <v>Afternoon</v>
      </c>
      <c r="G1355" s="2" t="s">
        <v>997</v>
      </c>
      <c r="H1355" s="6" t="str">
        <f>VLOOKUP(A1355,Jogos!A:L,12,0)</f>
        <v>Open</v>
      </c>
      <c r="I1355" s="6" t="str">
        <f>VLOOKUP(G1355,'Estádios e Cidades'!A:B,2,0)</f>
        <v>Washington, D.C.</v>
      </c>
      <c r="J1355" s="2" t="s">
        <v>811</v>
      </c>
      <c r="K1355" s="2" t="str">
        <f>VLOOKUP(J1355,Equipes!A:F,6,0)</f>
        <v>Temperate</v>
      </c>
      <c r="L1355" s="2">
        <f>VLOOKUP(J1355,Equipes!A:C,3,0)</f>
        <v>31</v>
      </c>
      <c r="M1355" s="2" t="str">
        <f t="shared" si="4"/>
        <v>Group</v>
      </c>
      <c r="N1355" s="2" t="s">
        <v>998</v>
      </c>
      <c r="O1355" s="2">
        <f>VLOOKUP(N1355,Equipes!A:C,3,0)</f>
        <v>22</v>
      </c>
      <c r="P1355" s="2" t="str">
        <f t="shared" si="5"/>
        <v>Group</v>
      </c>
      <c r="Q1355" s="2">
        <f t="shared" si="6"/>
        <v>9</v>
      </c>
      <c r="R1355" s="2" t="str">
        <f>VLOOKUP(J1355,Equipes!A:B,2,0)</f>
        <v>Wydad</v>
      </c>
      <c r="S1355" s="6" t="s">
        <v>1332</v>
      </c>
      <c r="T1355" s="7">
        <v>27.0</v>
      </c>
      <c r="U1355" s="7" t="s">
        <v>1333</v>
      </c>
      <c r="V1355" s="7" t="str">
        <f>VLOOKUP(U1355,Jogadores!B:C,2,0)</f>
        <v>MF</v>
      </c>
      <c r="W1355" s="8">
        <f>VLOOKUP(U1355,Jogadores!B:D,3,0)</f>
        <v>27.08493151</v>
      </c>
      <c r="X1355" s="7">
        <v>78.0</v>
      </c>
      <c r="Y1355" s="7">
        <f t="shared" si="4220"/>
        <v>98</v>
      </c>
      <c r="Z1355" s="7">
        <f>VLOOKUP(A1355,Jogos!A:L,3,0)</f>
        <v>52</v>
      </c>
      <c r="AA1355" s="7">
        <f t="shared" si="2229"/>
        <v>0</v>
      </c>
      <c r="AB1355" s="7">
        <f>VLOOKUP(A1355,Jogos!A:L,4,0)</f>
        <v>53</v>
      </c>
      <c r="AC1355" s="7">
        <f t="shared" si="2230"/>
        <v>20</v>
      </c>
      <c r="AD1355" s="7"/>
      <c r="AE1355" s="7"/>
      <c r="AF1355" s="7">
        <f t="shared" si="2231"/>
        <v>20</v>
      </c>
      <c r="AG1355" s="7">
        <v>2466.1</v>
      </c>
      <c r="AH1355" s="7">
        <v>788.0</v>
      </c>
      <c r="AI1355" s="7">
        <v>1005.5</v>
      </c>
      <c r="AJ1355" s="7">
        <v>513.0</v>
      </c>
      <c r="AK1355" s="7">
        <v>114.5</v>
      </c>
      <c r="AL1355" s="7">
        <v>45.1</v>
      </c>
      <c r="AM1355" s="7">
        <v>43.0</v>
      </c>
      <c r="AN1355" s="7">
        <v>11.0</v>
      </c>
      <c r="AO1355" s="7">
        <v>30.8</v>
      </c>
      <c r="AP1355" s="9">
        <f t="shared" ref="AP1355:AR1355" si="4230">AG1355/$AF1355</f>
        <v>123.305</v>
      </c>
      <c r="AQ1355" s="9">
        <f t="shared" si="4230"/>
        <v>39.4</v>
      </c>
      <c r="AR1355" s="9">
        <f t="shared" si="4230"/>
        <v>50.275</v>
      </c>
      <c r="AS1355" s="9">
        <f t="shared" si="2233"/>
        <v>89.675</v>
      </c>
      <c r="AT1355" s="9">
        <f t="shared" ref="AT1355:AV1355" si="4231">AJ1355/$AF1355</f>
        <v>25.65</v>
      </c>
      <c r="AU1355" s="9">
        <f t="shared" si="4231"/>
        <v>5.725</v>
      </c>
      <c r="AV1355" s="9">
        <f t="shared" si="4231"/>
        <v>2.255</v>
      </c>
      <c r="AW1355" s="9">
        <f t="shared" si="2235"/>
        <v>7.98</v>
      </c>
      <c r="AX1355" s="9">
        <f t="shared" ref="AX1355:AY1355" si="4232">AM1355/$AF1355</f>
        <v>2.15</v>
      </c>
      <c r="AY1355" s="9">
        <f t="shared" si="4232"/>
        <v>0.55</v>
      </c>
      <c r="AZ1355" s="9">
        <f>VLOOKUP(A1355,Jogos!A:BN,58,0)</f>
        <v>33.475</v>
      </c>
      <c r="BA1355" s="9">
        <f>VLOOKUP(A1355,Jogos!A:BN,59,0)</f>
        <v>22.655</v>
      </c>
      <c r="BB1355" s="9">
        <f>VLOOKUP(A1355,Jogos!A:BN,60,0)</f>
        <v>53</v>
      </c>
      <c r="BC1355" s="9">
        <f>VLOOKUP(A1355,Jogos!A:BN,61,0)</f>
        <v>36.585</v>
      </c>
      <c r="BD1355" s="9">
        <f>VLOOKUP(A1355,Jogos!A:BN,62,0)</f>
        <v>577.75</v>
      </c>
      <c r="BE1355" s="9">
        <f>VLOOKUP(A1355,Jogos!A:BN,63,0)</f>
        <v>0.93</v>
      </c>
      <c r="BF1355" s="9">
        <f>VLOOKUP(A1355,Jogos!A:BN,64,0)</f>
        <v>26.93</v>
      </c>
      <c r="BG1355" s="9">
        <f>VLOOKUP(A1355,Jogos!A:BN,65,0)</f>
        <v>49.51</v>
      </c>
      <c r="BH1355" s="9">
        <f>VLOOKUP(A1355,Jogos!A:BN,66,0)</f>
        <v>32.105</v>
      </c>
      <c r="BI1355" s="9"/>
      <c r="BJ1355" s="9"/>
    </row>
    <row r="1356" hidden="1">
      <c r="A1356" s="10">
        <v>46.0</v>
      </c>
      <c r="B1356" s="11" t="s">
        <v>809</v>
      </c>
      <c r="C1356" s="2" t="s">
        <v>61</v>
      </c>
      <c r="D1356" s="12">
        <v>45834.0</v>
      </c>
      <c r="E1356" s="13">
        <v>0.625</v>
      </c>
      <c r="F1356" s="5" t="str">
        <f>VLOOKUP(A1356,Jogos!A:N,10,0)</f>
        <v>Afternoon</v>
      </c>
      <c r="G1356" s="11" t="s">
        <v>997</v>
      </c>
      <c r="H1356" s="6" t="str">
        <f>VLOOKUP(A1356,Jogos!A:L,12,0)</f>
        <v>Open</v>
      </c>
      <c r="I1356" s="6" t="str">
        <f>VLOOKUP(G1356,'Estádios e Cidades'!A:B,2,0)</f>
        <v>Washington, D.C.</v>
      </c>
      <c r="J1356" s="11" t="s">
        <v>998</v>
      </c>
      <c r="K1356" s="2" t="str">
        <f>VLOOKUP(J1356,Equipes!A:F,6,0)</f>
        <v>Tropical</v>
      </c>
      <c r="L1356" s="2">
        <f>VLOOKUP(J1356,Equipes!A:C,3,0)</f>
        <v>22</v>
      </c>
      <c r="M1356" s="2" t="str">
        <f t="shared" si="4"/>
        <v>Group</v>
      </c>
      <c r="N1356" s="11" t="s">
        <v>811</v>
      </c>
      <c r="O1356" s="2">
        <f>VLOOKUP(N1356,Equipes!A:C,3,0)</f>
        <v>31</v>
      </c>
      <c r="P1356" s="2" t="str">
        <f t="shared" si="5"/>
        <v>Group</v>
      </c>
      <c r="Q1356" s="2">
        <f t="shared" si="6"/>
        <v>-9</v>
      </c>
      <c r="R1356" s="2" t="str">
        <f>VLOOKUP(J1356,Equipes!A:B,2,0)</f>
        <v>AlAin</v>
      </c>
      <c r="S1356" s="14" t="s">
        <v>1334</v>
      </c>
      <c r="T1356" s="7">
        <v>4.0</v>
      </c>
      <c r="U1356" s="7" t="s">
        <v>1335</v>
      </c>
      <c r="V1356" s="7" t="str">
        <f>VLOOKUP(U1356,Jogadores!B:C,2,0)</f>
        <v>DF</v>
      </c>
      <c r="W1356" s="8">
        <f>VLOOKUP(U1356,Jogadores!B:D,3,0)</f>
        <v>23.88493151</v>
      </c>
      <c r="X1356" s="7">
        <v>0.0</v>
      </c>
      <c r="Y1356" s="7">
        <f t="shared" si="4220"/>
        <v>98</v>
      </c>
      <c r="Z1356" s="7">
        <f>VLOOKUP(A1356,Jogos!A:L,3,0)</f>
        <v>52</v>
      </c>
      <c r="AA1356" s="7">
        <f t="shared" si="2229"/>
        <v>52</v>
      </c>
      <c r="AB1356" s="7">
        <f>VLOOKUP(A1356,Jogos!A:L,4,0)</f>
        <v>53</v>
      </c>
      <c r="AC1356" s="7">
        <f t="shared" si="2230"/>
        <v>53</v>
      </c>
      <c r="AD1356" s="7"/>
      <c r="AE1356" s="7"/>
      <c r="AF1356" s="7">
        <f t="shared" si="2231"/>
        <v>105</v>
      </c>
      <c r="AG1356" s="7">
        <v>9161.9</v>
      </c>
      <c r="AH1356" s="7">
        <v>4078.2</v>
      </c>
      <c r="AI1356" s="7">
        <v>3556.6</v>
      </c>
      <c r="AJ1356" s="7">
        <v>931.2</v>
      </c>
      <c r="AK1356" s="7">
        <v>347.5</v>
      </c>
      <c r="AL1356" s="7">
        <v>248.4</v>
      </c>
      <c r="AM1356" s="7">
        <v>90.0</v>
      </c>
      <c r="AN1356" s="7">
        <v>33.0</v>
      </c>
      <c r="AO1356" s="7">
        <v>33.8</v>
      </c>
      <c r="AP1356" s="9">
        <f t="shared" ref="AP1356:AR1356" si="4233">AG1356/$AF1356</f>
        <v>87.25619048</v>
      </c>
      <c r="AQ1356" s="9">
        <f t="shared" si="4233"/>
        <v>38.84</v>
      </c>
      <c r="AR1356" s="9">
        <f t="shared" si="4233"/>
        <v>33.87238095</v>
      </c>
      <c r="AS1356" s="9">
        <f t="shared" si="2233"/>
        <v>72.71238095</v>
      </c>
      <c r="AT1356" s="9">
        <f t="shared" ref="AT1356:AV1356" si="4234">AJ1356/$AF1356</f>
        <v>8.868571429</v>
      </c>
      <c r="AU1356" s="9">
        <f t="shared" si="4234"/>
        <v>3.30952381</v>
      </c>
      <c r="AV1356" s="9">
        <f t="shared" si="4234"/>
        <v>2.365714286</v>
      </c>
      <c r="AW1356" s="9">
        <f t="shared" si="2235"/>
        <v>5.675238095</v>
      </c>
      <c r="AX1356" s="9">
        <f t="shared" ref="AX1356:AY1356" si="4235">AM1356/$AF1356</f>
        <v>0.8571428571</v>
      </c>
      <c r="AY1356" s="9">
        <f t="shared" si="4235"/>
        <v>0.3142857143</v>
      </c>
      <c r="AZ1356" s="9">
        <f>VLOOKUP(A1356,Jogos!A:BN,58,0)</f>
        <v>33.475</v>
      </c>
      <c r="BA1356" s="9">
        <f>VLOOKUP(A1356,Jogos!A:BN,59,0)</f>
        <v>22.655</v>
      </c>
      <c r="BB1356" s="9">
        <f>VLOOKUP(A1356,Jogos!A:BN,60,0)</f>
        <v>53</v>
      </c>
      <c r="BC1356" s="9">
        <f>VLOOKUP(A1356,Jogos!A:BN,61,0)</f>
        <v>36.585</v>
      </c>
      <c r="BD1356" s="9">
        <f>VLOOKUP(A1356,Jogos!A:BN,62,0)</f>
        <v>577.75</v>
      </c>
      <c r="BE1356" s="9">
        <f>VLOOKUP(A1356,Jogos!A:BN,63,0)</f>
        <v>0.93</v>
      </c>
      <c r="BF1356" s="9">
        <f>VLOOKUP(A1356,Jogos!A:BN,64,0)</f>
        <v>26.93</v>
      </c>
      <c r="BG1356" s="9">
        <f>VLOOKUP(A1356,Jogos!A:BN,65,0)</f>
        <v>49.51</v>
      </c>
      <c r="BH1356" s="9">
        <f>VLOOKUP(A1356,Jogos!A:BN,66,0)</f>
        <v>32.105</v>
      </c>
      <c r="BI1356" s="9"/>
      <c r="BJ1356" s="9"/>
    </row>
    <row r="1357" hidden="1">
      <c r="A1357" s="10">
        <v>46.0</v>
      </c>
      <c r="B1357" s="11" t="s">
        <v>809</v>
      </c>
      <c r="C1357" s="2" t="s">
        <v>61</v>
      </c>
      <c r="D1357" s="12">
        <v>45834.0</v>
      </c>
      <c r="E1357" s="13">
        <v>0.625</v>
      </c>
      <c r="F1357" s="5" t="str">
        <f>VLOOKUP(A1357,Jogos!A:N,10,0)</f>
        <v>Afternoon</v>
      </c>
      <c r="G1357" s="11" t="s">
        <v>997</v>
      </c>
      <c r="H1357" s="6" t="str">
        <f>VLOOKUP(A1357,Jogos!A:L,12,0)</f>
        <v>Open</v>
      </c>
      <c r="I1357" s="6" t="str">
        <f>VLOOKUP(G1357,'Estádios e Cidades'!A:B,2,0)</f>
        <v>Washington, D.C.</v>
      </c>
      <c r="J1357" s="11" t="s">
        <v>998</v>
      </c>
      <c r="K1357" s="2" t="str">
        <f>VLOOKUP(J1357,Equipes!A:F,6,0)</f>
        <v>Tropical</v>
      </c>
      <c r="L1357" s="2">
        <f>VLOOKUP(J1357,Equipes!A:C,3,0)</f>
        <v>22</v>
      </c>
      <c r="M1357" s="2" t="str">
        <f t="shared" si="4"/>
        <v>Group</v>
      </c>
      <c r="N1357" s="11" t="s">
        <v>811</v>
      </c>
      <c r="O1357" s="2">
        <f>VLOOKUP(N1357,Equipes!A:C,3,0)</f>
        <v>31</v>
      </c>
      <c r="P1357" s="2" t="str">
        <f t="shared" si="5"/>
        <v>Group</v>
      </c>
      <c r="Q1357" s="2">
        <f t="shared" si="6"/>
        <v>-9</v>
      </c>
      <c r="R1357" s="2" t="str">
        <f>VLOOKUP(J1357,Equipes!A:B,2,0)</f>
        <v>AlAin</v>
      </c>
      <c r="S1357" s="6" t="s">
        <v>1002</v>
      </c>
      <c r="T1357" s="7">
        <v>5.0</v>
      </c>
      <c r="U1357" s="7" t="s">
        <v>1003</v>
      </c>
      <c r="V1357" s="7" t="str">
        <f>VLOOKUP(U1357,Jogadores!B:C,2,0)</f>
        <v>MF</v>
      </c>
      <c r="W1357" s="8">
        <f>VLOOKUP(U1357,Jogadores!B:D,3,0)</f>
        <v>31.90136986</v>
      </c>
      <c r="X1357" s="7">
        <v>0.0</v>
      </c>
      <c r="Y1357" s="7">
        <f t="shared" si="4220"/>
        <v>98</v>
      </c>
      <c r="Z1357" s="7">
        <f>VLOOKUP(A1357,Jogos!A:L,3,0)</f>
        <v>52</v>
      </c>
      <c r="AA1357" s="7">
        <f t="shared" si="2229"/>
        <v>52</v>
      </c>
      <c r="AB1357" s="7">
        <f>VLOOKUP(A1357,Jogos!A:L,4,0)</f>
        <v>53</v>
      </c>
      <c r="AC1357" s="7">
        <f t="shared" si="2230"/>
        <v>53</v>
      </c>
      <c r="AD1357" s="7"/>
      <c r="AE1357" s="7"/>
      <c r="AF1357" s="7">
        <f t="shared" si="2231"/>
        <v>105</v>
      </c>
      <c r="AG1357" s="7">
        <v>9324.6</v>
      </c>
      <c r="AH1357" s="7">
        <v>4501.0</v>
      </c>
      <c r="AI1357" s="7">
        <v>3497.7</v>
      </c>
      <c r="AJ1357" s="7">
        <v>984.2</v>
      </c>
      <c r="AK1357" s="7">
        <v>272.9</v>
      </c>
      <c r="AL1357" s="7">
        <v>68.8</v>
      </c>
      <c r="AM1357" s="7">
        <v>94.0</v>
      </c>
      <c r="AN1357" s="7">
        <v>31.0</v>
      </c>
      <c r="AO1357" s="7">
        <v>33.3</v>
      </c>
      <c r="AP1357" s="9">
        <f t="shared" ref="AP1357:AR1357" si="4236">AG1357/$AF1357</f>
        <v>88.80571429</v>
      </c>
      <c r="AQ1357" s="9">
        <f t="shared" si="4236"/>
        <v>42.86666667</v>
      </c>
      <c r="AR1357" s="9">
        <f t="shared" si="4236"/>
        <v>33.31142857</v>
      </c>
      <c r="AS1357" s="9">
        <f t="shared" si="2233"/>
        <v>76.17809524</v>
      </c>
      <c r="AT1357" s="9">
        <f t="shared" ref="AT1357:AV1357" si="4237">AJ1357/$AF1357</f>
        <v>9.373333333</v>
      </c>
      <c r="AU1357" s="9">
        <f t="shared" si="4237"/>
        <v>2.599047619</v>
      </c>
      <c r="AV1357" s="9">
        <f t="shared" si="4237"/>
        <v>0.6552380952</v>
      </c>
      <c r="AW1357" s="9">
        <f t="shared" si="2235"/>
        <v>3.254285714</v>
      </c>
      <c r="AX1357" s="9">
        <f t="shared" ref="AX1357:AY1357" si="4238">AM1357/$AF1357</f>
        <v>0.8952380952</v>
      </c>
      <c r="AY1357" s="9">
        <f t="shared" si="4238"/>
        <v>0.2952380952</v>
      </c>
      <c r="AZ1357" s="9">
        <f>VLOOKUP(A1357,Jogos!A:BN,58,0)</f>
        <v>33.475</v>
      </c>
      <c r="BA1357" s="9">
        <f>VLOOKUP(A1357,Jogos!A:BN,59,0)</f>
        <v>22.655</v>
      </c>
      <c r="BB1357" s="9">
        <f>VLOOKUP(A1357,Jogos!A:BN,60,0)</f>
        <v>53</v>
      </c>
      <c r="BC1357" s="9">
        <f>VLOOKUP(A1357,Jogos!A:BN,61,0)</f>
        <v>36.585</v>
      </c>
      <c r="BD1357" s="9">
        <f>VLOOKUP(A1357,Jogos!A:BN,62,0)</f>
        <v>577.75</v>
      </c>
      <c r="BE1357" s="9">
        <f>VLOOKUP(A1357,Jogos!A:BN,63,0)</f>
        <v>0.93</v>
      </c>
      <c r="BF1357" s="9">
        <f>VLOOKUP(A1357,Jogos!A:BN,64,0)</f>
        <v>26.93</v>
      </c>
      <c r="BG1357" s="9">
        <f>VLOOKUP(A1357,Jogos!A:BN,65,0)</f>
        <v>49.51</v>
      </c>
      <c r="BH1357" s="9">
        <f>VLOOKUP(A1357,Jogos!A:BN,66,0)</f>
        <v>32.105</v>
      </c>
      <c r="BI1357" s="9"/>
      <c r="BJ1357" s="9"/>
    </row>
    <row r="1358" hidden="1">
      <c r="A1358" s="10">
        <v>46.0</v>
      </c>
      <c r="B1358" s="11" t="s">
        <v>809</v>
      </c>
      <c r="C1358" s="2" t="s">
        <v>61</v>
      </c>
      <c r="D1358" s="12">
        <v>45834.0</v>
      </c>
      <c r="E1358" s="13">
        <v>0.625</v>
      </c>
      <c r="F1358" s="5" t="str">
        <f>VLOOKUP(A1358,Jogos!A:N,10,0)</f>
        <v>Afternoon</v>
      </c>
      <c r="G1358" s="11" t="s">
        <v>997</v>
      </c>
      <c r="H1358" s="6" t="str">
        <f>VLOOKUP(A1358,Jogos!A:L,12,0)</f>
        <v>Open</v>
      </c>
      <c r="I1358" s="6" t="str">
        <f>VLOOKUP(G1358,'Estádios e Cidades'!A:B,2,0)</f>
        <v>Washington, D.C.</v>
      </c>
      <c r="J1358" s="11" t="s">
        <v>998</v>
      </c>
      <c r="K1358" s="2" t="str">
        <f>VLOOKUP(J1358,Equipes!A:F,6,0)</f>
        <v>Tropical</v>
      </c>
      <c r="L1358" s="2">
        <f>VLOOKUP(J1358,Equipes!A:C,3,0)</f>
        <v>22</v>
      </c>
      <c r="M1358" s="2" t="str">
        <f t="shared" si="4"/>
        <v>Group</v>
      </c>
      <c r="N1358" s="11" t="s">
        <v>811</v>
      </c>
      <c r="O1358" s="2">
        <f>VLOOKUP(N1358,Equipes!A:C,3,0)</f>
        <v>31</v>
      </c>
      <c r="P1358" s="2" t="str">
        <f t="shared" si="5"/>
        <v>Group</v>
      </c>
      <c r="Q1358" s="2">
        <f t="shared" si="6"/>
        <v>-9</v>
      </c>
      <c r="R1358" s="2" t="str">
        <f>VLOOKUP(J1358,Equipes!A:B,2,0)</f>
        <v>AlAin</v>
      </c>
      <c r="S1358" s="6" t="s">
        <v>1004</v>
      </c>
      <c r="T1358" s="7">
        <v>9.0</v>
      </c>
      <c r="U1358" s="7" t="s">
        <v>1005</v>
      </c>
      <c r="V1358" s="7" t="str">
        <f>VLOOKUP(U1358,Jogadores!B:C,2,0)</f>
        <v>FW</v>
      </c>
      <c r="W1358" s="8">
        <f>VLOOKUP(U1358,Jogadores!B:D,3,0)</f>
        <v>33.52328767</v>
      </c>
      <c r="X1358" s="7">
        <v>0.0</v>
      </c>
      <c r="Y1358" s="7">
        <v>87.0</v>
      </c>
      <c r="Z1358" s="7">
        <f>VLOOKUP(A1358,Jogos!A:L,3,0)</f>
        <v>52</v>
      </c>
      <c r="AA1358" s="7">
        <f t="shared" si="2229"/>
        <v>52</v>
      </c>
      <c r="AB1358" s="7">
        <f>VLOOKUP(A1358,Jogos!A:L,4,0)</f>
        <v>53</v>
      </c>
      <c r="AC1358" s="7">
        <f t="shared" si="2230"/>
        <v>42</v>
      </c>
      <c r="AD1358" s="7"/>
      <c r="AE1358" s="7"/>
      <c r="AF1358" s="7">
        <f t="shared" si="2231"/>
        <v>94</v>
      </c>
      <c r="AG1358" s="7">
        <v>7955.5</v>
      </c>
      <c r="AH1358" s="7">
        <v>3827.3</v>
      </c>
      <c r="AI1358" s="7">
        <v>2731.1</v>
      </c>
      <c r="AJ1358" s="7">
        <v>827.2</v>
      </c>
      <c r="AK1358" s="7">
        <v>381.1</v>
      </c>
      <c r="AL1358" s="7">
        <v>188.8</v>
      </c>
      <c r="AM1358" s="7">
        <v>72.0</v>
      </c>
      <c r="AN1358" s="7">
        <v>39.0</v>
      </c>
      <c r="AO1358" s="7">
        <v>31.1</v>
      </c>
      <c r="AP1358" s="9">
        <f t="shared" ref="AP1358:AR1358" si="4239">AG1358/$AF1358</f>
        <v>84.63297872</v>
      </c>
      <c r="AQ1358" s="9">
        <f t="shared" si="4239"/>
        <v>40.71595745</v>
      </c>
      <c r="AR1358" s="9">
        <f t="shared" si="4239"/>
        <v>29.05425532</v>
      </c>
      <c r="AS1358" s="9">
        <f t="shared" si="2233"/>
        <v>69.77021277</v>
      </c>
      <c r="AT1358" s="9">
        <f t="shared" ref="AT1358:AV1358" si="4240">AJ1358/$AF1358</f>
        <v>8.8</v>
      </c>
      <c r="AU1358" s="9">
        <f t="shared" si="4240"/>
        <v>4.054255319</v>
      </c>
      <c r="AV1358" s="9">
        <f t="shared" si="4240"/>
        <v>2.008510638</v>
      </c>
      <c r="AW1358" s="9">
        <f t="shared" si="2235"/>
        <v>6.062765957</v>
      </c>
      <c r="AX1358" s="9">
        <f t="shared" ref="AX1358:AY1358" si="4241">AM1358/$AF1358</f>
        <v>0.7659574468</v>
      </c>
      <c r="AY1358" s="9">
        <f t="shared" si="4241"/>
        <v>0.414893617</v>
      </c>
      <c r="AZ1358" s="9">
        <f>VLOOKUP(A1358,Jogos!A:BN,58,0)</f>
        <v>33.475</v>
      </c>
      <c r="BA1358" s="9">
        <f>VLOOKUP(A1358,Jogos!A:BN,59,0)</f>
        <v>22.655</v>
      </c>
      <c r="BB1358" s="9">
        <f>VLOOKUP(A1358,Jogos!A:BN,60,0)</f>
        <v>53</v>
      </c>
      <c r="BC1358" s="9">
        <f>VLOOKUP(A1358,Jogos!A:BN,61,0)</f>
        <v>36.585</v>
      </c>
      <c r="BD1358" s="9">
        <f>VLOOKUP(A1358,Jogos!A:BN,62,0)</f>
        <v>577.75</v>
      </c>
      <c r="BE1358" s="9">
        <f>VLOOKUP(A1358,Jogos!A:BN,63,0)</f>
        <v>0.93</v>
      </c>
      <c r="BF1358" s="9">
        <f>VLOOKUP(A1358,Jogos!A:BN,64,0)</f>
        <v>26.93</v>
      </c>
      <c r="BG1358" s="9">
        <f>VLOOKUP(A1358,Jogos!A:BN,65,0)</f>
        <v>49.51</v>
      </c>
      <c r="BH1358" s="9">
        <f>VLOOKUP(A1358,Jogos!A:BN,66,0)</f>
        <v>32.105</v>
      </c>
      <c r="BI1358" s="9"/>
      <c r="BJ1358" s="9"/>
    </row>
    <row r="1359" hidden="1">
      <c r="A1359" s="10">
        <v>46.0</v>
      </c>
      <c r="B1359" s="11" t="s">
        <v>809</v>
      </c>
      <c r="C1359" s="2" t="s">
        <v>61</v>
      </c>
      <c r="D1359" s="12">
        <v>45834.0</v>
      </c>
      <c r="E1359" s="13">
        <v>0.625</v>
      </c>
      <c r="F1359" s="5" t="str">
        <f>VLOOKUP(A1359,Jogos!A:N,10,0)</f>
        <v>Afternoon</v>
      </c>
      <c r="G1359" s="11" t="s">
        <v>997</v>
      </c>
      <c r="H1359" s="6" t="str">
        <f>VLOOKUP(A1359,Jogos!A:L,12,0)</f>
        <v>Open</v>
      </c>
      <c r="I1359" s="6" t="str">
        <f>VLOOKUP(G1359,'Estádios e Cidades'!A:B,2,0)</f>
        <v>Washington, D.C.</v>
      </c>
      <c r="J1359" s="11" t="s">
        <v>998</v>
      </c>
      <c r="K1359" s="2" t="str">
        <f>VLOOKUP(J1359,Equipes!A:F,6,0)</f>
        <v>Tropical</v>
      </c>
      <c r="L1359" s="2">
        <f>VLOOKUP(J1359,Equipes!A:C,3,0)</f>
        <v>22</v>
      </c>
      <c r="M1359" s="2" t="str">
        <f t="shared" si="4"/>
        <v>Group</v>
      </c>
      <c r="N1359" s="11" t="s">
        <v>811</v>
      </c>
      <c r="O1359" s="2">
        <f>VLOOKUP(N1359,Equipes!A:C,3,0)</f>
        <v>31</v>
      </c>
      <c r="P1359" s="2" t="str">
        <f t="shared" si="5"/>
        <v>Group</v>
      </c>
      <c r="Q1359" s="2">
        <f t="shared" si="6"/>
        <v>-9</v>
      </c>
      <c r="R1359" s="2" t="str">
        <f>VLOOKUP(J1359,Equipes!A:B,2,0)</f>
        <v>AlAin</v>
      </c>
      <c r="S1359" s="6" t="s">
        <v>1006</v>
      </c>
      <c r="T1359" s="7">
        <v>10.0</v>
      </c>
      <c r="U1359" s="7" t="s">
        <v>1007</v>
      </c>
      <c r="V1359" s="7" t="str">
        <f>VLOOKUP(U1359,Jogadores!B:C,2,0)</f>
        <v>FW</v>
      </c>
      <c r="W1359" s="8">
        <f>VLOOKUP(U1359,Jogadores!B:D,3,0)</f>
        <v>30.56438356</v>
      </c>
      <c r="X1359" s="7">
        <v>0.0</v>
      </c>
      <c r="Y1359" s="7">
        <v>65.0</v>
      </c>
      <c r="Z1359" s="7">
        <f>VLOOKUP(A1359,Jogos!A:L,3,0)</f>
        <v>52</v>
      </c>
      <c r="AA1359" s="7">
        <f t="shared" si="2229"/>
        <v>52</v>
      </c>
      <c r="AB1359" s="7">
        <f>VLOOKUP(A1359,Jogos!A:L,4,0)</f>
        <v>53</v>
      </c>
      <c r="AC1359" s="7">
        <f t="shared" si="2230"/>
        <v>20</v>
      </c>
      <c r="AD1359" s="7"/>
      <c r="AE1359" s="7"/>
      <c r="AF1359" s="7">
        <f t="shared" si="2231"/>
        <v>72</v>
      </c>
      <c r="AG1359" s="7">
        <v>6865.0</v>
      </c>
      <c r="AH1359" s="7">
        <v>2689.9</v>
      </c>
      <c r="AI1359" s="7">
        <v>2839.5</v>
      </c>
      <c r="AJ1359" s="7">
        <v>933.5</v>
      </c>
      <c r="AK1359" s="7">
        <v>353.4</v>
      </c>
      <c r="AL1359" s="7">
        <v>48.7</v>
      </c>
      <c r="AM1359" s="7">
        <v>86.0</v>
      </c>
      <c r="AN1359" s="7">
        <v>27.0</v>
      </c>
      <c r="AO1359" s="7">
        <v>27.2</v>
      </c>
      <c r="AP1359" s="9">
        <f t="shared" ref="AP1359:AR1359" si="4242">AG1359/$AF1359</f>
        <v>95.34722222</v>
      </c>
      <c r="AQ1359" s="9">
        <f t="shared" si="4242"/>
        <v>37.35972222</v>
      </c>
      <c r="AR1359" s="9">
        <f t="shared" si="4242"/>
        <v>39.4375</v>
      </c>
      <c r="AS1359" s="9">
        <f t="shared" si="2233"/>
        <v>76.79722222</v>
      </c>
      <c r="AT1359" s="9">
        <f t="shared" ref="AT1359:AV1359" si="4243">AJ1359/$AF1359</f>
        <v>12.96527778</v>
      </c>
      <c r="AU1359" s="9">
        <f t="shared" si="4243"/>
        <v>4.908333333</v>
      </c>
      <c r="AV1359" s="9">
        <f t="shared" si="4243"/>
        <v>0.6763888889</v>
      </c>
      <c r="AW1359" s="9">
        <f t="shared" si="2235"/>
        <v>5.584722222</v>
      </c>
      <c r="AX1359" s="9">
        <f t="shared" ref="AX1359:AY1359" si="4244">AM1359/$AF1359</f>
        <v>1.194444444</v>
      </c>
      <c r="AY1359" s="9">
        <f t="shared" si="4244"/>
        <v>0.375</v>
      </c>
      <c r="AZ1359" s="9">
        <f>VLOOKUP(A1359,Jogos!A:BN,58,0)</f>
        <v>33.475</v>
      </c>
      <c r="BA1359" s="9">
        <f>VLOOKUP(A1359,Jogos!A:BN,59,0)</f>
        <v>22.655</v>
      </c>
      <c r="BB1359" s="9">
        <f>VLOOKUP(A1359,Jogos!A:BN,60,0)</f>
        <v>53</v>
      </c>
      <c r="BC1359" s="9">
        <f>VLOOKUP(A1359,Jogos!A:BN,61,0)</f>
        <v>36.585</v>
      </c>
      <c r="BD1359" s="9">
        <f>VLOOKUP(A1359,Jogos!A:BN,62,0)</f>
        <v>577.75</v>
      </c>
      <c r="BE1359" s="9">
        <f>VLOOKUP(A1359,Jogos!A:BN,63,0)</f>
        <v>0.93</v>
      </c>
      <c r="BF1359" s="9">
        <f>VLOOKUP(A1359,Jogos!A:BN,64,0)</f>
        <v>26.93</v>
      </c>
      <c r="BG1359" s="9">
        <f>VLOOKUP(A1359,Jogos!A:BN,65,0)</f>
        <v>49.51</v>
      </c>
      <c r="BH1359" s="9">
        <f>VLOOKUP(A1359,Jogos!A:BN,66,0)</f>
        <v>32.105</v>
      </c>
      <c r="BI1359" s="9"/>
      <c r="BJ1359" s="9"/>
    </row>
    <row r="1360" hidden="1">
      <c r="A1360" s="10">
        <v>46.0</v>
      </c>
      <c r="B1360" s="11" t="s">
        <v>809</v>
      </c>
      <c r="C1360" s="2" t="s">
        <v>61</v>
      </c>
      <c r="D1360" s="12">
        <v>45834.0</v>
      </c>
      <c r="E1360" s="13">
        <v>0.625</v>
      </c>
      <c r="F1360" s="5" t="str">
        <f>VLOOKUP(A1360,Jogos!A:N,10,0)</f>
        <v>Afternoon</v>
      </c>
      <c r="G1360" s="11" t="s">
        <v>997</v>
      </c>
      <c r="H1360" s="6" t="str">
        <f>VLOOKUP(A1360,Jogos!A:L,12,0)</f>
        <v>Open</v>
      </c>
      <c r="I1360" s="6" t="str">
        <f>VLOOKUP(G1360,'Estádios e Cidades'!A:B,2,0)</f>
        <v>Washington, D.C.</v>
      </c>
      <c r="J1360" s="11" t="s">
        <v>998</v>
      </c>
      <c r="K1360" s="2" t="str">
        <f>VLOOKUP(J1360,Equipes!A:F,6,0)</f>
        <v>Tropical</v>
      </c>
      <c r="L1360" s="2">
        <f>VLOOKUP(J1360,Equipes!A:C,3,0)</f>
        <v>22</v>
      </c>
      <c r="M1360" s="2" t="str">
        <f t="shared" si="4"/>
        <v>Group</v>
      </c>
      <c r="N1360" s="11" t="s">
        <v>811</v>
      </c>
      <c r="O1360" s="2">
        <f>VLOOKUP(N1360,Equipes!A:C,3,0)</f>
        <v>31</v>
      </c>
      <c r="P1360" s="2" t="str">
        <f t="shared" si="5"/>
        <v>Group</v>
      </c>
      <c r="Q1360" s="2">
        <f t="shared" si="6"/>
        <v>-9</v>
      </c>
      <c r="R1360" s="2" t="str">
        <f>VLOOKUP(J1360,Equipes!A:B,2,0)</f>
        <v>AlAin</v>
      </c>
      <c r="S1360" s="6" t="s">
        <v>1010</v>
      </c>
      <c r="T1360" s="7">
        <v>20.0</v>
      </c>
      <c r="U1360" s="7" t="s">
        <v>1011</v>
      </c>
      <c r="V1360" s="7" t="str">
        <f>VLOOKUP(U1360,Jogadores!B:C,2,0)</f>
        <v>MF</v>
      </c>
      <c r="W1360" s="8">
        <f>VLOOKUP(U1360,Jogadores!B:D,3,0)</f>
        <v>23.23287671</v>
      </c>
      <c r="X1360" s="7">
        <v>0.0</v>
      </c>
      <c r="Y1360" s="7">
        <v>94.0</v>
      </c>
      <c r="Z1360" s="7">
        <f>VLOOKUP(A1360,Jogos!A:L,3,0)</f>
        <v>52</v>
      </c>
      <c r="AA1360" s="7">
        <f t="shared" si="2229"/>
        <v>52</v>
      </c>
      <c r="AB1360" s="7">
        <f>VLOOKUP(A1360,Jogos!A:L,4,0)</f>
        <v>53</v>
      </c>
      <c r="AC1360" s="7">
        <f t="shared" si="2230"/>
        <v>49</v>
      </c>
      <c r="AD1360" s="7"/>
      <c r="AE1360" s="7"/>
      <c r="AF1360" s="7">
        <f t="shared" si="2231"/>
        <v>101</v>
      </c>
      <c r="AG1360" s="7">
        <v>10684.3</v>
      </c>
      <c r="AH1360" s="7">
        <v>3792.6</v>
      </c>
      <c r="AI1360" s="7">
        <v>4522.9</v>
      </c>
      <c r="AJ1360" s="7">
        <v>1817.5</v>
      </c>
      <c r="AK1360" s="7">
        <v>491.5</v>
      </c>
      <c r="AL1360" s="7">
        <v>59.8</v>
      </c>
      <c r="AM1360" s="7">
        <v>158.0</v>
      </c>
      <c r="AN1360" s="7">
        <v>38.0</v>
      </c>
      <c r="AO1360" s="7">
        <v>28.9</v>
      </c>
      <c r="AP1360" s="9">
        <f t="shared" ref="AP1360:AR1360" si="4245">AG1360/$AF1360</f>
        <v>105.7851485</v>
      </c>
      <c r="AQ1360" s="9">
        <f t="shared" si="4245"/>
        <v>37.55049505</v>
      </c>
      <c r="AR1360" s="9">
        <f t="shared" si="4245"/>
        <v>44.78118812</v>
      </c>
      <c r="AS1360" s="9">
        <f t="shared" si="2233"/>
        <v>82.33168317</v>
      </c>
      <c r="AT1360" s="9">
        <f t="shared" ref="AT1360:AV1360" si="4246">AJ1360/$AF1360</f>
        <v>17.9950495</v>
      </c>
      <c r="AU1360" s="9">
        <f t="shared" si="4246"/>
        <v>4.866336634</v>
      </c>
      <c r="AV1360" s="9">
        <f t="shared" si="4246"/>
        <v>0.5920792079</v>
      </c>
      <c r="AW1360" s="9">
        <f t="shared" si="2235"/>
        <v>5.458415842</v>
      </c>
      <c r="AX1360" s="9">
        <f t="shared" ref="AX1360:AY1360" si="4247">AM1360/$AF1360</f>
        <v>1.564356436</v>
      </c>
      <c r="AY1360" s="9">
        <f t="shared" si="4247"/>
        <v>0.3762376238</v>
      </c>
      <c r="AZ1360" s="9">
        <f>VLOOKUP(A1360,Jogos!A:BN,58,0)</f>
        <v>33.475</v>
      </c>
      <c r="BA1360" s="9">
        <f>VLOOKUP(A1360,Jogos!A:BN,59,0)</f>
        <v>22.655</v>
      </c>
      <c r="BB1360" s="9">
        <f>VLOOKUP(A1360,Jogos!A:BN,60,0)</f>
        <v>53</v>
      </c>
      <c r="BC1360" s="9">
        <f>VLOOKUP(A1360,Jogos!A:BN,61,0)</f>
        <v>36.585</v>
      </c>
      <c r="BD1360" s="9">
        <f>VLOOKUP(A1360,Jogos!A:BN,62,0)</f>
        <v>577.75</v>
      </c>
      <c r="BE1360" s="9">
        <f>VLOOKUP(A1360,Jogos!A:BN,63,0)</f>
        <v>0.93</v>
      </c>
      <c r="BF1360" s="9">
        <f>VLOOKUP(A1360,Jogos!A:BN,64,0)</f>
        <v>26.93</v>
      </c>
      <c r="BG1360" s="9">
        <f>VLOOKUP(A1360,Jogos!A:BN,65,0)</f>
        <v>49.51</v>
      </c>
      <c r="BH1360" s="9">
        <f>VLOOKUP(A1360,Jogos!A:BN,66,0)</f>
        <v>32.105</v>
      </c>
      <c r="BI1360" s="9"/>
      <c r="BJ1360" s="9"/>
    </row>
    <row r="1361" hidden="1">
      <c r="A1361" s="10">
        <v>46.0</v>
      </c>
      <c r="B1361" s="11" t="s">
        <v>809</v>
      </c>
      <c r="C1361" s="2" t="s">
        <v>61</v>
      </c>
      <c r="D1361" s="12">
        <v>45834.0</v>
      </c>
      <c r="E1361" s="13">
        <v>0.625</v>
      </c>
      <c r="F1361" s="5" t="str">
        <f>VLOOKUP(A1361,Jogos!A:N,10,0)</f>
        <v>Afternoon</v>
      </c>
      <c r="G1361" s="11" t="s">
        <v>997</v>
      </c>
      <c r="H1361" s="6" t="str">
        <f>VLOOKUP(A1361,Jogos!A:L,12,0)</f>
        <v>Open</v>
      </c>
      <c r="I1361" s="6" t="str">
        <f>VLOOKUP(G1361,'Estádios e Cidades'!A:B,2,0)</f>
        <v>Washington, D.C.</v>
      </c>
      <c r="J1361" s="11" t="s">
        <v>998</v>
      </c>
      <c r="K1361" s="2" t="str">
        <f>VLOOKUP(J1361,Equipes!A:F,6,0)</f>
        <v>Tropical</v>
      </c>
      <c r="L1361" s="2">
        <f>VLOOKUP(J1361,Equipes!A:C,3,0)</f>
        <v>22</v>
      </c>
      <c r="M1361" s="2" t="str">
        <f t="shared" si="4"/>
        <v>Group</v>
      </c>
      <c r="N1361" s="11" t="s">
        <v>811</v>
      </c>
      <c r="O1361" s="2">
        <f>VLOOKUP(N1361,Equipes!A:C,3,0)</f>
        <v>31</v>
      </c>
      <c r="P1361" s="2" t="str">
        <f t="shared" si="5"/>
        <v>Group</v>
      </c>
      <c r="Q1361" s="2">
        <f t="shared" si="6"/>
        <v>-9</v>
      </c>
      <c r="R1361" s="2" t="str">
        <f>VLOOKUP(J1361,Equipes!A:B,2,0)</f>
        <v>AlAin</v>
      </c>
      <c r="S1361" s="6" t="s">
        <v>1012</v>
      </c>
      <c r="T1361" s="7">
        <v>21.0</v>
      </c>
      <c r="U1361" s="7" t="s">
        <v>1013</v>
      </c>
      <c r="V1361" s="7" t="str">
        <f>VLOOKUP(U1361,Jogadores!B:C,2,0)</f>
        <v>MF</v>
      </c>
      <c r="W1361" s="8">
        <f>VLOOKUP(U1361,Jogadores!B:D,3,0)</f>
        <v>29.17260274</v>
      </c>
      <c r="X1361" s="7">
        <v>0.0</v>
      </c>
      <c r="Y1361" s="7">
        <v>94.0</v>
      </c>
      <c r="Z1361" s="7">
        <f>VLOOKUP(A1361,Jogos!A:L,3,0)</f>
        <v>52</v>
      </c>
      <c r="AA1361" s="7">
        <f t="shared" si="2229"/>
        <v>52</v>
      </c>
      <c r="AB1361" s="7">
        <f>VLOOKUP(A1361,Jogos!A:L,4,0)</f>
        <v>53</v>
      </c>
      <c r="AC1361" s="7">
        <f t="shared" si="2230"/>
        <v>49</v>
      </c>
      <c r="AD1361" s="7"/>
      <c r="AE1361" s="7"/>
      <c r="AF1361" s="7">
        <f t="shared" si="2231"/>
        <v>101</v>
      </c>
      <c r="AG1361" s="7">
        <v>10265.9</v>
      </c>
      <c r="AH1361" s="7">
        <v>4793.0</v>
      </c>
      <c r="AI1361" s="7">
        <v>3477.9</v>
      </c>
      <c r="AJ1361" s="7">
        <v>1214.7</v>
      </c>
      <c r="AK1361" s="7">
        <v>537.8</v>
      </c>
      <c r="AL1361" s="7">
        <v>242.4</v>
      </c>
      <c r="AM1361" s="7">
        <v>105.0</v>
      </c>
      <c r="AN1361" s="7">
        <v>47.0</v>
      </c>
      <c r="AO1361" s="7">
        <v>34.1</v>
      </c>
      <c r="AP1361" s="9">
        <f t="shared" ref="AP1361:AR1361" si="4248">AG1361/$AF1361</f>
        <v>101.6425743</v>
      </c>
      <c r="AQ1361" s="9">
        <f t="shared" si="4248"/>
        <v>47.45544554</v>
      </c>
      <c r="AR1361" s="9">
        <f t="shared" si="4248"/>
        <v>34.43465347</v>
      </c>
      <c r="AS1361" s="9">
        <f t="shared" si="2233"/>
        <v>81.89009901</v>
      </c>
      <c r="AT1361" s="9">
        <f t="shared" ref="AT1361:AV1361" si="4249">AJ1361/$AF1361</f>
        <v>12.02673267</v>
      </c>
      <c r="AU1361" s="9">
        <f t="shared" si="4249"/>
        <v>5.324752475</v>
      </c>
      <c r="AV1361" s="9">
        <f t="shared" si="4249"/>
        <v>2.4</v>
      </c>
      <c r="AW1361" s="9">
        <f t="shared" si="2235"/>
        <v>7.724752475</v>
      </c>
      <c r="AX1361" s="9">
        <f t="shared" ref="AX1361:AY1361" si="4250">AM1361/$AF1361</f>
        <v>1.03960396</v>
      </c>
      <c r="AY1361" s="9">
        <f t="shared" si="4250"/>
        <v>0.4653465347</v>
      </c>
      <c r="AZ1361" s="9">
        <f>VLOOKUP(A1361,Jogos!A:BN,58,0)</f>
        <v>33.475</v>
      </c>
      <c r="BA1361" s="9">
        <f>VLOOKUP(A1361,Jogos!A:BN,59,0)</f>
        <v>22.655</v>
      </c>
      <c r="BB1361" s="9">
        <f>VLOOKUP(A1361,Jogos!A:BN,60,0)</f>
        <v>53</v>
      </c>
      <c r="BC1361" s="9">
        <f>VLOOKUP(A1361,Jogos!A:BN,61,0)</f>
        <v>36.585</v>
      </c>
      <c r="BD1361" s="9">
        <f>VLOOKUP(A1361,Jogos!A:BN,62,0)</f>
        <v>577.75</v>
      </c>
      <c r="BE1361" s="9">
        <f>VLOOKUP(A1361,Jogos!A:BN,63,0)</f>
        <v>0.93</v>
      </c>
      <c r="BF1361" s="9">
        <f>VLOOKUP(A1361,Jogos!A:BN,64,0)</f>
        <v>26.93</v>
      </c>
      <c r="BG1361" s="9">
        <f>VLOOKUP(A1361,Jogos!A:BN,65,0)</f>
        <v>49.51</v>
      </c>
      <c r="BH1361" s="9">
        <f>VLOOKUP(A1361,Jogos!A:BN,66,0)</f>
        <v>32.105</v>
      </c>
      <c r="BI1361" s="9"/>
      <c r="BJ1361" s="9"/>
    </row>
    <row r="1362" hidden="1">
      <c r="A1362" s="10">
        <v>46.0</v>
      </c>
      <c r="B1362" s="11" t="s">
        <v>809</v>
      </c>
      <c r="C1362" s="2" t="s">
        <v>61</v>
      </c>
      <c r="D1362" s="12">
        <v>45834.0</v>
      </c>
      <c r="E1362" s="13">
        <v>0.625</v>
      </c>
      <c r="F1362" s="5" t="str">
        <f>VLOOKUP(A1362,Jogos!A:N,10,0)</f>
        <v>Afternoon</v>
      </c>
      <c r="G1362" s="11" t="s">
        <v>997</v>
      </c>
      <c r="H1362" s="6" t="str">
        <f>VLOOKUP(A1362,Jogos!A:L,12,0)</f>
        <v>Open</v>
      </c>
      <c r="I1362" s="6" t="str">
        <f>VLOOKUP(G1362,'Estádios e Cidades'!A:B,2,0)</f>
        <v>Washington, D.C.</v>
      </c>
      <c r="J1362" s="11" t="s">
        <v>998</v>
      </c>
      <c r="K1362" s="2" t="str">
        <f>VLOOKUP(J1362,Equipes!A:F,6,0)</f>
        <v>Tropical</v>
      </c>
      <c r="L1362" s="2">
        <f>VLOOKUP(J1362,Equipes!A:C,3,0)</f>
        <v>22</v>
      </c>
      <c r="M1362" s="2" t="str">
        <f t="shared" si="4"/>
        <v>Group</v>
      </c>
      <c r="N1362" s="11" t="s">
        <v>811</v>
      </c>
      <c r="O1362" s="2">
        <f>VLOOKUP(N1362,Equipes!A:C,3,0)</f>
        <v>31</v>
      </c>
      <c r="P1362" s="2" t="str">
        <f t="shared" si="5"/>
        <v>Group</v>
      </c>
      <c r="Q1362" s="2">
        <f t="shared" si="6"/>
        <v>-9</v>
      </c>
      <c r="R1362" s="2" t="str">
        <f>VLOOKUP(J1362,Equipes!A:B,2,0)</f>
        <v>AlAin</v>
      </c>
      <c r="S1362" s="6" t="s">
        <v>1014</v>
      </c>
      <c r="T1362" s="7">
        <v>25.0</v>
      </c>
      <c r="U1362" s="7" t="s">
        <v>1015</v>
      </c>
      <c r="V1362" s="7" t="str">
        <f>VLOOKUP(U1362,Jogadores!B:C,2,0)</f>
        <v>DF</v>
      </c>
      <c r="W1362" s="8">
        <f>VLOOKUP(U1362,Jogadores!B:D,3,0)</f>
        <v>32.2109589</v>
      </c>
      <c r="X1362" s="7">
        <v>0.0</v>
      </c>
      <c r="Y1362" s="7">
        <f t="shared" ref="Y1362:Y1364" si="4254">45+AB1362</f>
        <v>98</v>
      </c>
      <c r="Z1362" s="7">
        <f>VLOOKUP(A1362,Jogos!A:L,3,0)</f>
        <v>52</v>
      </c>
      <c r="AA1362" s="7">
        <f t="shared" si="2229"/>
        <v>52</v>
      </c>
      <c r="AB1362" s="7">
        <f>VLOOKUP(A1362,Jogos!A:L,4,0)</f>
        <v>53</v>
      </c>
      <c r="AC1362" s="7">
        <f t="shared" si="2230"/>
        <v>53</v>
      </c>
      <c r="AD1362" s="7"/>
      <c r="AE1362" s="7"/>
      <c r="AF1362" s="7">
        <f t="shared" si="2231"/>
        <v>105</v>
      </c>
      <c r="AG1362" s="7">
        <v>9468.3</v>
      </c>
      <c r="AH1362" s="7">
        <v>4389.1</v>
      </c>
      <c r="AI1362" s="7">
        <v>3739.9</v>
      </c>
      <c r="AJ1362" s="7">
        <v>892.0</v>
      </c>
      <c r="AK1362" s="7">
        <v>317.2</v>
      </c>
      <c r="AL1362" s="7">
        <v>130.2</v>
      </c>
      <c r="AM1362" s="7">
        <v>84.0</v>
      </c>
      <c r="AN1362" s="7">
        <v>30.0</v>
      </c>
      <c r="AO1362" s="7">
        <v>32.3</v>
      </c>
      <c r="AP1362" s="9">
        <f t="shared" ref="AP1362:AR1362" si="4251">AG1362/$AF1362</f>
        <v>90.17428571</v>
      </c>
      <c r="AQ1362" s="9">
        <f t="shared" si="4251"/>
        <v>41.80095238</v>
      </c>
      <c r="AR1362" s="9">
        <f t="shared" si="4251"/>
        <v>35.61809524</v>
      </c>
      <c r="AS1362" s="9">
        <f t="shared" si="2233"/>
        <v>77.41904762</v>
      </c>
      <c r="AT1362" s="9">
        <f t="shared" ref="AT1362:AV1362" si="4252">AJ1362/$AF1362</f>
        <v>8.495238095</v>
      </c>
      <c r="AU1362" s="9">
        <f t="shared" si="4252"/>
        <v>3.020952381</v>
      </c>
      <c r="AV1362" s="9">
        <f t="shared" si="4252"/>
        <v>1.24</v>
      </c>
      <c r="AW1362" s="9">
        <f t="shared" si="2235"/>
        <v>4.260952381</v>
      </c>
      <c r="AX1362" s="9">
        <f t="shared" ref="AX1362:AY1362" si="4253">AM1362/$AF1362</f>
        <v>0.8</v>
      </c>
      <c r="AY1362" s="9">
        <f t="shared" si="4253"/>
        <v>0.2857142857</v>
      </c>
      <c r="AZ1362" s="9">
        <f>VLOOKUP(A1362,Jogos!A:BN,58,0)</f>
        <v>33.475</v>
      </c>
      <c r="BA1362" s="9">
        <f>VLOOKUP(A1362,Jogos!A:BN,59,0)</f>
        <v>22.655</v>
      </c>
      <c r="BB1362" s="9">
        <f>VLOOKUP(A1362,Jogos!A:BN,60,0)</f>
        <v>53</v>
      </c>
      <c r="BC1362" s="9">
        <f>VLOOKUP(A1362,Jogos!A:BN,61,0)</f>
        <v>36.585</v>
      </c>
      <c r="BD1362" s="9">
        <f>VLOOKUP(A1362,Jogos!A:BN,62,0)</f>
        <v>577.75</v>
      </c>
      <c r="BE1362" s="9">
        <f>VLOOKUP(A1362,Jogos!A:BN,63,0)</f>
        <v>0.93</v>
      </c>
      <c r="BF1362" s="9">
        <f>VLOOKUP(A1362,Jogos!A:BN,64,0)</f>
        <v>26.93</v>
      </c>
      <c r="BG1362" s="9">
        <f>VLOOKUP(A1362,Jogos!A:BN,65,0)</f>
        <v>49.51</v>
      </c>
      <c r="BH1362" s="9">
        <f>VLOOKUP(A1362,Jogos!A:BN,66,0)</f>
        <v>32.105</v>
      </c>
      <c r="BI1362" s="9"/>
      <c r="BJ1362" s="9"/>
    </row>
    <row r="1363" hidden="1">
      <c r="A1363" s="10">
        <v>46.0</v>
      </c>
      <c r="B1363" s="11" t="s">
        <v>809</v>
      </c>
      <c r="C1363" s="2" t="s">
        <v>61</v>
      </c>
      <c r="D1363" s="12">
        <v>45834.0</v>
      </c>
      <c r="E1363" s="13">
        <v>0.625</v>
      </c>
      <c r="F1363" s="5" t="str">
        <f>VLOOKUP(A1363,Jogos!A:N,10,0)</f>
        <v>Afternoon</v>
      </c>
      <c r="G1363" s="11" t="s">
        <v>997</v>
      </c>
      <c r="H1363" s="6" t="str">
        <f>VLOOKUP(A1363,Jogos!A:L,12,0)</f>
        <v>Open</v>
      </c>
      <c r="I1363" s="6" t="str">
        <f>VLOOKUP(G1363,'Estádios e Cidades'!A:B,2,0)</f>
        <v>Washington, D.C.</v>
      </c>
      <c r="J1363" s="11" t="s">
        <v>998</v>
      </c>
      <c r="K1363" s="2" t="str">
        <f>VLOOKUP(J1363,Equipes!A:F,6,0)</f>
        <v>Tropical</v>
      </c>
      <c r="L1363" s="2">
        <f>VLOOKUP(J1363,Equipes!A:C,3,0)</f>
        <v>22</v>
      </c>
      <c r="M1363" s="2" t="str">
        <f t="shared" si="4"/>
        <v>Group</v>
      </c>
      <c r="N1363" s="11" t="s">
        <v>811</v>
      </c>
      <c r="O1363" s="2">
        <f>VLOOKUP(N1363,Equipes!A:C,3,0)</f>
        <v>31</v>
      </c>
      <c r="P1363" s="2" t="str">
        <f t="shared" si="5"/>
        <v>Group</v>
      </c>
      <c r="Q1363" s="2">
        <f t="shared" si="6"/>
        <v>-9</v>
      </c>
      <c r="R1363" s="2" t="str">
        <f>VLOOKUP(J1363,Equipes!A:B,2,0)</f>
        <v>AlAin</v>
      </c>
      <c r="S1363" s="6" t="s">
        <v>1016</v>
      </c>
      <c r="T1363" s="7">
        <v>36.0</v>
      </c>
      <c r="U1363" s="7" t="s">
        <v>1017</v>
      </c>
      <c r="V1363" s="7" t="str">
        <f>VLOOKUP(U1363,Jogadores!B:C,2,0)</f>
        <v>DF</v>
      </c>
      <c r="W1363" s="8">
        <f>VLOOKUP(U1363,Jogadores!B:D,3,0)</f>
        <v>26.58630137</v>
      </c>
      <c r="X1363" s="7">
        <v>0.0</v>
      </c>
      <c r="Y1363" s="7">
        <f t="shared" si="4254"/>
        <v>98</v>
      </c>
      <c r="Z1363" s="7">
        <f>VLOOKUP(A1363,Jogos!A:L,3,0)</f>
        <v>52</v>
      </c>
      <c r="AA1363" s="7">
        <f t="shared" si="2229"/>
        <v>52</v>
      </c>
      <c r="AB1363" s="7">
        <f>VLOOKUP(A1363,Jogos!A:L,4,0)</f>
        <v>53</v>
      </c>
      <c r="AC1363" s="7">
        <f t="shared" si="2230"/>
        <v>53</v>
      </c>
      <c r="AD1363" s="7"/>
      <c r="AE1363" s="7"/>
      <c r="AF1363" s="7">
        <f t="shared" si="2231"/>
        <v>105</v>
      </c>
      <c r="AG1363" s="7">
        <v>9458.8</v>
      </c>
      <c r="AH1363" s="7">
        <v>5072.0</v>
      </c>
      <c r="AI1363" s="7">
        <v>3120.0</v>
      </c>
      <c r="AJ1363" s="7">
        <v>722.2</v>
      </c>
      <c r="AK1363" s="7">
        <v>370.7</v>
      </c>
      <c r="AL1363" s="7">
        <v>174.0</v>
      </c>
      <c r="AM1363" s="7">
        <v>65.0</v>
      </c>
      <c r="AN1363" s="7">
        <v>35.0</v>
      </c>
      <c r="AO1363" s="7">
        <v>31.7</v>
      </c>
      <c r="AP1363" s="9">
        <f t="shared" ref="AP1363:AR1363" si="4255">AG1363/$AF1363</f>
        <v>90.08380952</v>
      </c>
      <c r="AQ1363" s="9">
        <f t="shared" si="4255"/>
        <v>48.3047619</v>
      </c>
      <c r="AR1363" s="9">
        <f t="shared" si="4255"/>
        <v>29.71428571</v>
      </c>
      <c r="AS1363" s="9">
        <f t="shared" si="2233"/>
        <v>78.01904762</v>
      </c>
      <c r="AT1363" s="9">
        <f t="shared" ref="AT1363:AV1363" si="4256">AJ1363/$AF1363</f>
        <v>6.878095238</v>
      </c>
      <c r="AU1363" s="9">
        <f t="shared" si="4256"/>
        <v>3.53047619</v>
      </c>
      <c r="AV1363" s="9">
        <f t="shared" si="4256"/>
        <v>1.657142857</v>
      </c>
      <c r="AW1363" s="9">
        <f t="shared" si="2235"/>
        <v>5.187619048</v>
      </c>
      <c r="AX1363" s="9">
        <f t="shared" ref="AX1363:AY1363" si="4257">AM1363/$AF1363</f>
        <v>0.619047619</v>
      </c>
      <c r="AY1363" s="9">
        <f t="shared" si="4257"/>
        <v>0.3333333333</v>
      </c>
      <c r="AZ1363" s="9">
        <f>VLOOKUP(A1363,Jogos!A:BN,58,0)</f>
        <v>33.475</v>
      </c>
      <c r="BA1363" s="9">
        <f>VLOOKUP(A1363,Jogos!A:BN,59,0)</f>
        <v>22.655</v>
      </c>
      <c r="BB1363" s="9">
        <f>VLOOKUP(A1363,Jogos!A:BN,60,0)</f>
        <v>53</v>
      </c>
      <c r="BC1363" s="9">
        <f>VLOOKUP(A1363,Jogos!A:BN,61,0)</f>
        <v>36.585</v>
      </c>
      <c r="BD1363" s="9">
        <f>VLOOKUP(A1363,Jogos!A:BN,62,0)</f>
        <v>577.75</v>
      </c>
      <c r="BE1363" s="9">
        <f>VLOOKUP(A1363,Jogos!A:BN,63,0)</f>
        <v>0.93</v>
      </c>
      <c r="BF1363" s="9">
        <f>VLOOKUP(A1363,Jogos!A:BN,64,0)</f>
        <v>26.93</v>
      </c>
      <c r="BG1363" s="9">
        <f>VLOOKUP(A1363,Jogos!A:BN,65,0)</f>
        <v>49.51</v>
      </c>
      <c r="BH1363" s="9">
        <f>VLOOKUP(A1363,Jogos!A:BN,66,0)</f>
        <v>32.105</v>
      </c>
      <c r="BI1363" s="9"/>
      <c r="BJ1363" s="9"/>
    </row>
    <row r="1364" hidden="1">
      <c r="A1364" s="10">
        <v>46.0</v>
      </c>
      <c r="B1364" s="11" t="s">
        <v>809</v>
      </c>
      <c r="C1364" s="2" t="s">
        <v>61</v>
      </c>
      <c r="D1364" s="12">
        <v>45834.0</v>
      </c>
      <c r="E1364" s="13">
        <v>0.625</v>
      </c>
      <c r="F1364" s="5" t="str">
        <f>VLOOKUP(A1364,Jogos!A:N,10,0)</f>
        <v>Afternoon</v>
      </c>
      <c r="G1364" s="11" t="s">
        <v>997</v>
      </c>
      <c r="H1364" s="6" t="str">
        <f>VLOOKUP(A1364,Jogos!A:L,12,0)</f>
        <v>Open</v>
      </c>
      <c r="I1364" s="6" t="str">
        <f>VLOOKUP(G1364,'Estádios e Cidades'!A:B,2,0)</f>
        <v>Washington, D.C.</v>
      </c>
      <c r="J1364" s="11" t="s">
        <v>998</v>
      </c>
      <c r="K1364" s="2" t="str">
        <f>VLOOKUP(J1364,Equipes!A:F,6,0)</f>
        <v>Tropical</v>
      </c>
      <c r="L1364" s="2">
        <f>VLOOKUP(J1364,Equipes!A:C,3,0)</f>
        <v>22</v>
      </c>
      <c r="M1364" s="2" t="str">
        <f t="shared" si="4"/>
        <v>Group</v>
      </c>
      <c r="N1364" s="11" t="s">
        <v>811</v>
      </c>
      <c r="O1364" s="2">
        <f>VLOOKUP(N1364,Equipes!A:C,3,0)</f>
        <v>31</v>
      </c>
      <c r="P1364" s="2" t="str">
        <f t="shared" si="5"/>
        <v>Group</v>
      </c>
      <c r="Q1364" s="2">
        <f t="shared" si="6"/>
        <v>-9</v>
      </c>
      <c r="R1364" s="2" t="str">
        <f>VLOOKUP(J1364,Equipes!A:B,2,0)</f>
        <v>AlAin</v>
      </c>
      <c r="S1364" s="6" t="s">
        <v>1018</v>
      </c>
      <c r="T1364" s="7">
        <v>70.0</v>
      </c>
      <c r="U1364" s="7" t="s">
        <v>1019</v>
      </c>
      <c r="V1364" s="7" t="str">
        <f>VLOOKUP(U1364,Jogadores!B:C,2,0)</f>
        <v>MF</v>
      </c>
      <c r="W1364" s="8">
        <f>VLOOKUP(U1364,Jogadores!B:D,3,0)</f>
        <v>20.55616438</v>
      </c>
      <c r="X1364" s="7">
        <v>0.0</v>
      </c>
      <c r="Y1364" s="7">
        <f t="shared" si="4254"/>
        <v>98</v>
      </c>
      <c r="Z1364" s="7">
        <f>VLOOKUP(A1364,Jogos!A:L,3,0)</f>
        <v>52</v>
      </c>
      <c r="AA1364" s="7">
        <f t="shared" si="2229"/>
        <v>52</v>
      </c>
      <c r="AB1364" s="7">
        <f>VLOOKUP(A1364,Jogos!A:L,4,0)</f>
        <v>53</v>
      </c>
      <c r="AC1364" s="7">
        <f t="shared" si="2230"/>
        <v>53</v>
      </c>
      <c r="AD1364" s="7"/>
      <c r="AE1364" s="7"/>
      <c r="AF1364" s="7">
        <f t="shared" si="2231"/>
        <v>105</v>
      </c>
      <c r="AG1364" s="7">
        <v>10291.7</v>
      </c>
      <c r="AH1364" s="7">
        <v>4395.8</v>
      </c>
      <c r="AI1364" s="7">
        <v>3933.6</v>
      </c>
      <c r="AJ1364" s="7">
        <v>1393.0</v>
      </c>
      <c r="AK1364" s="7">
        <v>480.9</v>
      </c>
      <c r="AL1364" s="7">
        <v>88.3</v>
      </c>
      <c r="AM1364" s="7">
        <v>116.0</v>
      </c>
      <c r="AN1364" s="7">
        <v>36.0</v>
      </c>
      <c r="AO1364" s="7">
        <v>29.7</v>
      </c>
      <c r="AP1364" s="9">
        <f t="shared" ref="AP1364:AR1364" si="4258">AG1364/$AF1364</f>
        <v>98.01619048</v>
      </c>
      <c r="AQ1364" s="9">
        <f t="shared" si="4258"/>
        <v>41.8647619</v>
      </c>
      <c r="AR1364" s="9">
        <f t="shared" si="4258"/>
        <v>37.46285714</v>
      </c>
      <c r="AS1364" s="9">
        <f t="shared" si="2233"/>
        <v>79.32761905</v>
      </c>
      <c r="AT1364" s="9">
        <f t="shared" ref="AT1364:AV1364" si="4259">AJ1364/$AF1364</f>
        <v>13.26666667</v>
      </c>
      <c r="AU1364" s="9">
        <f t="shared" si="4259"/>
        <v>4.58</v>
      </c>
      <c r="AV1364" s="9">
        <f t="shared" si="4259"/>
        <v>0.840952381</v>
      </c>
      <c r="AW1364" s="9">
        <f t="shared" si="2235"/>
        <v>5.420952381</v>
      </c>
      <c r="AX1364" s="9">
        <f t="shared" ref="AX1364:AY1364" si="4260">AM1364/$AF1364</f>
        <v>1.104761905</v>
      </c>
      <c r="AY1364" s="9">
        <f t="shared" si="4260"/>
        <v>0.3428571429</v>
      </c>
      <c r="AZ1364" s="9">
        <f>VLOOKUP(A1364,Jogos!A:BN,58,0)</f>
        <v>33.475</v>
      </c>
      <c r="BA1364" s="9">
        <f>VLOOKUP(A1364,Jogos!A:BN,59,0)</f>
        <v>22.655</v>
      </c>
      <c r="BB1364" s="9">
        <f>VLOOKUP(A1364,Jogos!A:BN,60,0)</f>
        <v>53</v>
      </c>
      <c r="BC1364" s="9">
        <f>VLOOKUP(A1364,Jogos!A:BN,61,0)</f>
        <v>36.585</v>
      </c>
      <c r="BD1364" s="9">
        <f>VLOOKUP(A1364,Jogos!A:BN,62,0)</f>
        <v>577.75</v>
      </c>
      <c r="BE1364" s="9">
        <f>VLOOKUP(A1364,Jogos!A:BN,63,0)</f>
        <v>0.93</v>
      </c>
      <c r="BF1364" s="9">
        <f>VLOOKUP(A1364,Jogos!A:BN,64,0)</f>
        <v>26.93</v>
      </c>
      <c r="BG1364" s="9">
        <f>VLOOKUP(A1364,Jogos!A:BN,65,0)</f>
        <v>49.51</v>
      </c>
      <c r="BH1364" s="9">
        <f>VLOOKUP(A1364,Jogos!A:BN,66,0)</f>
        <v>32.105</v>
      </c>
      <c r="BI1364" s="9"/>
      <c r="BJ1364" s="9"/>
    </row>
    <row r="1365" hidden="1">
      <c r="A1365" s="10">
        <v>46.0</v>
      </c>
      <c r="B1365" s="11" t="s">
        <v>809</v>
      </c>
      <c r="C1365" s="2" t="s">
        <v>61</v>
      </c>
      <c r="D1365" s="12">
        <v>45834.0</v>
      </c>
      <c r="E1365" s="13">
        <v>0.625</v>
      </c>
      <c r="F1365" s="5" t="str">
        <f>VLOOKUP(A1365,Jogos!A:N,10,0)</f>
        <v>Afternoon</v>
      </c>
      <c r="G1365" s="11" t="s">
        <v>997</v>
      </c>
      <c r="H1365" s="6" t="str">
        <f>VLOOKUP(A1365,Jogos!A:L,12,0)</f>
        <v>Open</v>
      </c>
      <c r="I1365" s="6" t="str">
        <f>VLOOKUP(G1365,'Estádios e Cidades'!A:B,2,0)</f>
        <v>Washington, D.C.</v>
      </c>
      <c r="J1365" s="11" t="s">
        <v>998</v>
      </c>
      <c r="K1365" s="2" t="str">
        <f>VLOOKUP(J1365,Equipes!A:F,6,0)</f>
        <v>Tropical</v>
      </c>
      <c r="L1365" s="2">
        <f>VLOOKUP(J1365,Equipes!A:C,3,0)</f>
        <v>22</v>
      </c>
      <c r="M1365" s="2" t="str">
        <f t="shared" si="4"/>
        <v>Group</v>
      </c>
      <c r="N1365" s="11" t="s">
        <v>811</v>
      </c>
      <c r="O1365" s="2">
        <f>VLOOKUP(N1365,Equipes!A:C,3,0)</f>
        <v>31</v>
      </c>
      <c r="P1365" s="2" t="str">
        <f t="shared" si="5"/>
        <v>Group</v>
      </c>
      <c r="Q1365" s="2">
        <f t="shared" si="6"/>
        <v>-9</v>
      </c>
      <c r="R1365" s="2" t="str">
        <f>VLOOKUP(J1365,Equipes!A:B,2,0)</f>
        <v>AlAin</v>
      </c>
      <c r="S1365" s="6" t="s">
        <v>1028</v>
      </c>
      <c r="T1365" s="7">
        <v>97.0</v>
      </c>
      <c r="U1365" s="7" t="s">
        <v>1029</v>
      </c>
      <c r="V1365" s="7" t="str">
        <f>VLOOKUP(U1365,Jogadores!B:C,2,0)</f>
        <v>DF</v>
      </c>
      <c r="W1365" s="8">
        <f>VLOOKUP(U1365,Jogadores!B:D,3,0)</f>
        <v>22.47123288</v>
      </c>
      <c r="X1365" s="7">
        <v>0.0</v>
      </c>
      <c r="Y1365" s="7">
        <v>65.0</v>
      </c>
      <c r="Z1365" s="7">
        <f>VLOOKUP(A1365,Jogos!A:L,3,0)</f>
        <v>52</v>
      </c>
      <c r="AA1365" s="7">
        <f t="shared" si="2229"/>
        <v>52</v>
      </c>
      <c r="AB1365" s="7">
        <f>VLOOKUP(A1365,Jogos!A:L,4,0)</f>
        <v>53</v>
      </c>
      <c r="AC1365" s="7">
        <f t="shared" si="2230"/>
        <v>20</v>
      </c>
      <c r="AD1365" s="7"/>
      <c r="AE1365" s="7"/>
      <c r="AF1365" s="7">
        <f t="shared" si="2231"/>
        <v>72</v>
      </c>
      <c r="AG1365" s="7">
        <v>7081.3</v>
      </c>
      <c r="AH1365" s="7">
        <v>2622.5</v>
      </c>
      <c r="AI1365" s="7">
        <v>3110.1</v>
      </c>
      <c r="AJ1365" s="7">
        <v>884.5</v>
      </c>
      <c r="AK1365" s="7">
        <v>365.2</v>
      </c>
      <c r="AL1365" s="7">
        <v>99.0</v>
      </c>
      <c r="AM1365" s="7">
        <v>76.0</v>
      </c>
      <c r="AN1365" s="7">
        <v>32.0</v>
      </c>
      <c r="AO1365" s="7">
        <v>29.6</v>
      </c>
      <c r="AP1365" s="9">
        <f t="shared" ref="AP1365:AR1365" si="4261">AG1365/$AF1365</f>
        <v>98.35138889</v>
      </c>
      <c r="AQ1365" s="9">
        <f t="shared" si="4261"/>
        <v>36.42361111</v>
      </c>
      <c r="AR1365" s="9">
        <f t="shared" si="4261"/>
        <v>43.19583333</v>
      </c>
      <c r="AS1365" s="9">
        <f t="shared" si="2233"/>
        <v>79.61944444</v>
      </c>
      <c r="AT1365" s="9">
        <f t="shared" ref="AT1365:AV1365" si="4262">AJ1365/$AF1365</f>
        <v>12.28472222</v>
      </c>
      <c r="AU1365" s="9">
        <f t="shared" si="4262"/>
        <v>5.072222222</v>
      </c>
      <c r="AV1365" s="9">
        <f t="shared" si="4262"/>
        <v>1.375</v>
      </c>
      <c r="AW1365" s="9">
        <f t="shared" si="2235"/>
        <v>6.447222222</v>
      </c>
      <c r="AX1365" s="9">
        <f t="shared" ref="AX1365:AY1365" si="4263">AM1365/$AF1365</f>
        <v>1.055555556</v>
      </c>
      <c r="AY1365" s="9">
        <f t="shared" si="4263"/>
        <v>0.4444444444</v>
      </c>
      <c r="AZ1365" s="9">
        <f>VLOOKUP(A1365,Jogos!A:BN,58,0)</f>
        <v>33.475</v>
      </c>
      <c r="BA1365" s="9">
        <f>VLOOKUP(A1365,Jogos!A:BN,59,0)</f>
        <v>22.655</v>
      </c>
      <c r="BB1365" s="9">
        <f>VLOOKUP(A1365,Jogos!A:BN,60,0)</f>
        <v>53</v>
      </c>
      <c r="BC1365" s="9">
        <f>VLOOKUP(A1365,Jogos!A:BN,61,0)</f>
        <v>36.585</v>
      </c>
      <c r="BD1365" s="9">
        <f>VLOOKUP(A1365,Jogos!A:BN,62,0)</f>
        <v>577.75</v>
      </c>
      <c r="BE1365" s="9">
        <f>VLOOKUP(A1365,Jogos!A:BN,63,0)</f>
        <v>0.93</v>
      </c>
      <c r="BF1365" s="9">
        <f>VLOOKUP(A1365,Jogos!A:BN,64,0)</f>
        <v>26.93</v>
      </c>
      <c r="BG1365" s="9">
        <f>VLOOKUP(A1365,Jogos!A:BN,65,0)</f>
        <v>49.51</v>
      </c>
      <c r="BH1365" s="9">
        <f>VLOOKUP(A1365,Jogos!A:BN,66,0)</f>
        <v>32.105</v>
      </c>
      <c r="BI1365" s="9"/>
      <c r="BJ1365" s="9"/>
    </row>
    <row r="1366" hidden="1">
      <c r="A1366" s="10">
        <v>46.0</v>
      </c>
      <c r="B1366" s="11" t="s">
        <v>809</v>
      </c>
      <c r="C1366" s="2" t="s">
        <v>61</v>
      </c>
      <c r="D1366" s="12">
        <v>45834.0</v>
      </c>
      <c r="E1366" s="13">
        <v>0.625</v>
      </c>
      <c r="F1366" s="5" t="str">
        <f>VLOOKUP(A1366,Jogos!A:N,10,0)</f>
        <v>Afternoon</v>
      </c>
      <c r="G1366" s="11" t="s">
        <v>997</v>
      </c>
      <c r="H1366" s="6" t="str">
        <f>VLOOKUP(A1366,Jogos!A:L,12,0)</f>
        <v>Open</v>
      </c>
      <c r="I1366" s="6" t="str">
        <f>VLOOKUP(G1366,'Estádios e Cidades'!A:B,2,0)</f>
        <v>Washington, D.C.</v>
      </c>
      <c r="J1366" s="11" t="s">
        <v>998</v>
      </c>
      <c r="K1366" s="2" t="str">
        <f>VLOOKUP(J1366,Equipes!A:F,6,0)</f>
        <v>Tropical</v>
      </c>
      <c r="L1366" s="2">
        <f>VLOOKUP(J1366,Equipes!A:C,3,0)</f>
        <v>22</v>
      </c>
      <c r="M1366" s="2" t="str">
        <f t="shared" si="4"/>
        <v>Group</v>
      </c>
      <c r="N1366" s="11" t="s">
        <v>811</v>
      </c>
      <c r="O1366" s="2">
        <f>VLOOKUP(N1366,Equipes!A:C,3,0)</f>
        <v>31</v>
      </c>
      <c r="P1366" s="2" t="str">
        <f t="shared" si="5"/>
        <v>Group</v>
      </c>
      <c r="Q1366" s="2">
        <f t="shared" si="6"/>
        <v>-9</v>
      </c>
      <c r="R1366" s="2" t="str">
        <f>VLOOKUP(J1366,Equipes!A:B,2,0)</f>
        <v>AlAin</v>
      </c>
      <c r="S1366" s="6" t="s">
        <v>1020</v>
      </c>
      <c r="T1366" s="7">
        <v>6.0</v>
      </c>
      <c r="U1366" s="7" t="s">
        <v>1021</v>
      </c>
      <c r="V1366" s="7" t="str">
        <f>VLOOKUP(U1366,Jogadores!B:C,2,0)</f>
        <v>MF</v>
      </c>
      <c r="W1366" s="8">
        <f>VLOOKUP(U1366,Jogadores!B:D,3,0)</f>
        <v>26.89589041</v>
      </c>
      <c r="X1366" s="7">
        <v>87.0</v>
      </c>
      <c r="Y1366" s="7">
        <f t="shared" ref="Y1366:Y1371" si="4267">45+AB1366</f>
        <v>98</v>
      </c>
      <c r="Z1366" s="7">
        <f>VLOOKUP(A1366,Jogos!A:L,3,0)</f>
        <v>52</v>
      </c>
      <c r="AA1366" s="7">
        <f t="shared" si="2229"/>
        <v>0</v>
      </c>
      <c r="AB1366" s="7">
        <f>VLOOKUP(A1366,Jogos!A:L,4,0)</f>
        <v>53</v>
      </c>
      <c r="AC1366" s="7">
        <f t="shared" si="2230"/>
        <v>11</v>
      </c>
      <c r="AD1366" s="7"/>
      <c r="AE1366" s="7"/>
      <c r="AF1366" s="7">
        <f t="shared" si="2231"/>
        <v>11</v>
      </c>
      <c r="AG1366" s="7">
        <v>1615.5</v>
      </c>
      <c r="AH1366" s="7">
        <v>438.2</v>
      </c>
      <c r="AI1366" s="7">
        <v>730.2</v>
      </c>
      <c r="AJ1366" s="7">
        <v>318.0</v>
      </c>
      <c r="AK1366" s="7">
        <v>95.0</v>
      </c>
      <c r="AL1366" s="7">
        <v>34.0</v>
      </c>
      <c r="AM1366" s="7">
        <v>31.0</v>
      </c>
      <c r="AN1366" s="7">
        <v>8.0</v>
      </c>
      <c r="AO1366" s="7">
        <v>28.1</v>
      </c>
      <c r="AP1366" s="9">
        <f t="shared" ref="AP1366:AR1366" si="4264">AG1366/$AF1366</f>
        <v>146.8636364</v>
      </c>
      <c r="AQ1366" s="9">
        <f t="shared" si="4264"/>
        <v>39.83636364</v>
      </c>
      <c r="AR1366" s="9">
        <f t="shared" si="4264"/>
        <v>66.38181818</v>
      </c>
      <c r="AS1366" s="9">
        <f t="shared" si="2233"/>
        <v>106.2181818</v>
      </c>
      <c r="AT1366" s="9">
        <f t="shared" ref="AT1366:AV1366" si="4265">AJ1366/$AF1366</f>
        <v>28.90909091</v>
      </c>
      <c r="AU1366" s="9">
        <f t="shared" si="4265"/>
        <v>8.636363636</v>
      </c>
      <c r="AV1366" s="9">
        <f t="shared" si="4265"/>
        <v>3.090909091</v>
      </c>
      <c r="AW1366" s="9">
        <f t="shared" si="2235"/>
        <v>11.72727273</v>
      </c>
      <c r="AX1366" s="9">
        <f t="shared" ref="AX1366:AY1366" si="4266">AM1366/$AF1366</f>
        <v>2.818181818</v>
      </c>
      <c r="AY1366" s="9">
        <f t="shared" si="4266"/>
        <v>0.7272727273</v>
      </c>
      <c r="AZ1366" s="9">
        <f>VLOOKUP(A1366,Jogos!A:BN,58,0)</f>
        <v>33.475</v>
      </c>
      <c r="BA1366" s="9">
        <f>VLOOKUP(A1366,Jogos!A:BN,59,0)</f>
        <v>22.655</v>
      </c>
      <c r="BB1366" s="9">
        <f>VLOOKUP(A1366,Jogos!A:BN,60,0)</f>
        <v>53</v>
      </c>
      <c r="BC1366" s="9">
        <f>VLOOKUP(A1366,Jogos!A:BN,61,0)</f>
        <v>36.585</v>
      </c>
      <c r="BD1366" s="9">
        <f>VLOOKUP(A1366,Jogos!A:BN,62,0)</f>
        <v>577.75</v>
      </c>
      <c r="BE1366" s="9">
        <f>VLOOKUP(A1366,Jogos!A:BN,63,0)</f>
        <v>0.93</v>
      </c>
      <c r="BF1366" s="9">
        <f>VLOOKUP(A1366,Jogos!A:BN,64,0)</f>
        <v>26.93</v>
      </c>
      <c r="BG1366" s="9">
        <f>VLOOKUP(A1366,Jogos!A:BN,65,0)</f>
        <v>49.51</v>
      </c>
      <c r="BH1366" s="9">
        <f>VLOOKUP(A1366,Jogos!A:BN,66,0)</f>
        <v>32.105</v>
      </c>
      <c r="BI1366" s="9"/>
      <c r="BJ1366" s="9"/>
    </row>
    <row r="1367" hidden="1">
      <c r="A1367" s="10">
        <v>46.0</v>
      </c>
      <c r="B1367" s="11" t="s">
        <v>809</v>
      </c>
      <c r="C1367" s="2" t="s">
        <v>61</v>
      </c>
      <c r="D1367" s="12">
        <v>45834.0</v>
      </c>
      <c r="E1367" s="13">
        <v>0.625</v>
      </c>
      <c r="F1367" s="5" t="str">
        <f>VLOOKUP(A1367,Jogos!A:N,10,0)</f>
        <v>Afternoon</v>
      </c>
      <c r="G1367" s="11" t="s">
        <v>997</v>
      </c>
      <c r="H1367" s="6" t="str">
        <f>VLOOKUP(A1367,Jogos!A:L,12,0)</f>
        <v>Open</v>
      </c>
      <c r="I1367" s="6" t="str">
        <f>VLOOKUP(G1367,'Estádios e Cidades'!A:B,2,0)</f>
        <v>Washington, D.C.</v>
      </c>
      <c r="J1367" s="11" t="s">
        <v>998</v>
      </c>
      <c r="K1367" s="2" t="str">
        <f>VLOOKUP(J1367,Equipes!A:F,6,0)</f>
        <v>Tropical</v>
      </c>
      <c r="L1367" s="2">
        <f>VLOOKUP(J1367,Equipes!A:C,3,0)</f>
        <v>22</v>
      </c>
      <c r="M1367" s="2" t="str">
        <f t="shared" si="4"/>
        <v>Group</v>
      </c>
      <c r="N1367" s="11" t="s">
        <v>811</v>
      </c>
      <c r="O1367" s="2">
        <f>VLOOKUP(N1367,Equipes!A:C,3,0)</f>
        <v>31</v>
      </c>
      <c r="P1367" s="2" t="str">
        <f t="shared" si="5"/>
        <v>Group</v>
      </c>
      <c r="Q1367" s="2">
        <f t="shared" si="6"/>
        <v>-9</v>
      </c>
      <c r="R1367" s="2" t="str">
        <f>VLOOKUP(J1367,Equipes!A:B,2,0)</f>
        <v>AlAin</v>
      </c>
      <c r="S1367" s="6" t="s">
        <v>1231</v>
      </c>
      <c r="T1367" s="7">
        <v>8.0</v>
      </c>
      <c r="U1367" s="7" t="s">
        <v>1232</v>
      </c>
      <c r="V1367" s="7" t="str">
        <f>VLOOKUP(U1367,Jogadores!B:C,2,0)</f>
        <v>MF</v>
      </c>
      <c r="W1367" s="8">
        <f>VLOOKUP(U1367,Jogadores!B:D,3,0)</f>
        <v>22.84109589</v>
      </c>
      <c r="X1367" s="7">
        <v>65.0</v>
      </c>
      <c r="Y1367" s="7">
        <f t="shared" si="4267"/>
        <v>98</v>
      </c>
      <c r="Z1367" s="7">
        <f>VLOOKUP(A1367,Jogos!A:L,3,0)</f>
        <v>52</v>
      </c>
      <c r="AA1367" s="7">
        <f t="shared" si="2229"/>
        <v>0</v>
      </c>
      <c r="AB1367" s="7">
        <f>VLOOKUP(A1367,Jogos!A:L,4,0)</f>
        <v>53</v>
      </c>
      <c r="AC1367" s="7">
        <f t="shared" si="2230"/>
        <v>33</v>
      </c>
      <c r="AD1367" s="7"/>
      <c r="AE1367" s="7"/>
      <c r="AF1367" s="7">
        <f t="shared" si="2231"/>
        <v>33</v>
      </c>
      <c r="AG1367" s="7">
        <v>3510.3</v>
      </c>
      <c r="AH1367" s="7">
        <v>1493.0</v>
      </c>
      <c r="AI1367" s="7">
        <v>1320.6</v>
      </c>
      <c r="AJ1367" s="7">
        <v>527.1</v>
      </c>
      <c r="AK1367" s="7">
        <v>160.0</v>
      </c>
      <c r="AL1367" s="7">
        <v>9.6</v>
      </c>
      <c r="AM1367" s="7">
        <v>52.0</v>
      </c>
      <c r="AN1367" s="7">
        <v>14.0</v>
      </c>
      <c r="AO1367" s="7">
        <v>28.7</v>
      </c>
      <c r="AP1367" s="9">
        <f t="shared" ref="AP1367:AR1367" si="4268">AG1367/$AF1367</f>
        <v>106.3727273</v>
      </c>
      <c r="AQ1367" s="9">
        <f t="shared" si="4268"/>
        <v>45.24242424</v>
      </c>
      <c r="AR1367" s="9">
        <f t="shared" si="4268"/>
        <v>40.01818182</v>
      </c>
      <c r="AS1367" s="9">
        <f t="shared" si="2233"/>
        <v>85.26060606</v>
      </c>
      <c r="AT1367" s="9">
        <f t="shared" ref="AT1367:AV1367" si="4269">AJ1367/$AF1367</f>
        <v>15.97272727</v>
      </c>
      <c r="AU1367" s="9">
        <f t="shared" si="4269"/>
        <v>4.848484848</v>
      </c>
      <c r="AV1367" s="9">
        <f t="shared" si="4269"/>
        <v>0.2909090909</v>
      </c>
      <c r="AW1367" s="9">
        <f t="shared" si="2235"/>
        <v>5.139393939</v>
      </c>
      <c r="AX1367" s="9">
        <f t="shared" ref="AX1367:AY1367" si="4270">AM1367/$AF1367</f>
        <v>1.575757576</v>
      </c>
      <c r="AY1367" s="9">
        <f t="shared" si="4270"/>
        <v>0.4242424242</v>
      </c>
      <c r="AZ1367" s="9">
        <f>VLOOKUP(A1367,Jogos!A:BN,58,0)</f>
        <v>33.475</v>
      </c>
      <c r="BA1367" s="9">
        <f>VLOOKUP(A1367,Jogos!A:BN,59,0)</f>
        <v>22.655</v>
      </c>
      <c r="BB1367" s="9">
        <f>VLOOKUP(A1367,Jogos!A:BN,60,0)</f>
        <v>53</v>
      </c>
      <c r="BC1367" s="9">
        <f>VLOOKUP(A1367,Jogos!A:BN,61,0)</f>
        <v>36.585</v>
      </c>
      <c r="BD1367" s="9">
        <f>VLOOKUP(A1367,Jogos!A:BN,62,0)</f>
        <v>577.75</v>
      </c>
      <c r="BE1367" s="9">
        <f>VLOOKUP(A1367,Jogos!A:BN,63,0)</f>
        <v>0.93</v>
      </c>
      <c r="BF1367" s="9">
        <f>VLOOKUP(A1367,Jogos!A:BN,64,0)</f>
        <v>26.93</v>
      </c>
      <c r="BG1367" s="9">
        <f>VLOOKUP(A1367,Jogos!A:BN,65,0)</f>
        <v>49.51</v>
      </c>
      <c r="BH1367" s="9">
        <f>VLOOKUP(A1367,Jogos!A:BN,66,0)</f>
        <v>32.105</v>
      </c>
      <c r="BI1367" s="9"/>
      <c r="BJ1367" s="9"/>
    </row>
    <row r="1368" hidden="1">
      <c r="A1368" s="10">
        <v>46.0</v>
      </c>
      <c r="B1368" s="11" t="s">
        <v>809</v>
      </c>
      <c r="C1368" s="2" t="s">
        <v>61</v>
      </c>
      <c r="D1368" s="12">
        <v>45834.0</v>
      </c>
      <c r="E1368" s="13">
        <v>0.625</v>
      </c>
      <c r="F1368" s="5" t="str">
        <f>VLOOKUP(A1368,Jogos!A:N,10,0)</f>
        <v>Afternoon</v>
      </c>
      <c r="G1368" s="11" t="s">
        <v>997</v>
      </c>
      <c r="H1368" s="6" t="str">
        <f>VLOOKUP(A1368,Jogos!A:L,12,0)</f>
        <v>Open</v>
      </c>
      <c r="I1368" s="6" t="str">
        <f>VLOOKUP(G1368,'Estádios e Cidades'!A:B,2,0)</f>
        <v>Washington, D.C.</v>
      </c>
      <c r="J1368" s="11" t="s">
        <v>998</v>
      </c>
      <c r="K1368" s="2" t="str">
        <f>VLOOKUP(J1368,Equipes!A:F,6,0)</f>
        <v>Tropical</v>
      </c>
      <c r="L1368" s="2">
        <f>VLOOKUP(J1368,Equipes!A:C,3,0)</f>
        <v>22</v>
      </c>
      <c r="M1368" s="2" t="str">
        <f t="shared" si="4"/>
        <v>Group</v>
      </c>
      <c r="N1368" s="11" t="s">
        <v>811</v>
      </c>
      <c r="O1368" s="2">
        <f>VLOOKUP(N1368,Equipes!A:C,3,0)</f>
        <v>31</v>
      </c>
      <c r="P1368" s="2" t="str">
        <f t="shared" si="5"/>
        <v>Group</v>
      </c>
      <c r="Q1368" s="2">
        <f t="shared" si="6"/>
        <v>-9</v>
      </c>
      <c r="R1368" s="2" t="str">
        <f>VLOOKUP(J1368,Equipes!A:B,2,0)</f>
        <v>AlAin</v>
      </c>
      <c r="S1368" s="6" t="s">
        <v>1336</v>
      </c>
      <c r="T1368" s="7">
        <v>13.0</v>
      </c>
      <c r="U1368" s="7" t="s">
        <v>1337</v>
      </c>
      <c r="V1368" s="7" t="str">
        <f>VLOOKUP(U1368,Jogadores!B:C,2,0)</f>
        <v>FW</v>
      </c>
      <c r="W1368" s="8">
        <f>VLOOKUP(U1368,Jogadores!B:D,3,0)</f>
        <v>23.49315068</v>
      </c>
      <c r="X1368" s="7">
        <v>94.0</v>
      </c>
      <c r="Y1368" s="7">
        <f t="shared" si="4267"/>
        <v>98</v>
      </c>
      <c r="Z1368" s="7">
        <f>VLOOKUP(A1368,Jogos!A:L,3,0)</f>
        <v>52</v>
      </c>
      <c r="AA1368" s="7">
        <f t="shared" si="2229"/>
        <v>0</v>
      </c>
      <c r="AB1368" s="7">
        <f>VLOOKUP(A1368,Jogos!A:L,4,0)</f>
        <v>53</v>
      </c>
      <c r="AC1368" s="7">
        <f t="shared" si="2230"/>
        <v>4</v>
      </c>
      <c r="AD1368" s="7"/>
      <c r="AE1368" s="7"/>
      <c r="AF1368" s="7">
        <f t="shared" si="2231"/>
        <v>4</v>
      </c>
      <c r="AG1368" s="7">
        <v>747.1</v>
      </c>
      <c r="AH1368" s="7">
        <v>243.5</v>
      </c>
      <c r="AI1368" s="7">
        <v>207.9</v>
      </c>
      <c r="AJ1368" s="7">
        <v>154.0</v>
      </c>
      <c r="AK1368" s="7">
        <v>88.3</v>
      </c>
      <c r="AL1368" s="7">
        <v>53.4</v>
      </c>
      <c r="AM1368" s="7">
        <v>14.0</v>
      </c>
      <c r="AN1368" s="7">
        <v>9.0</v>
      </c>
      <c r="AO1368" s="7">
        <v>30.1</v>
      </c>
      <c r="AP1368" s="9">
        <f t="shared" ref="AP1368:AR1368" si="4271">AG1368/$AF1368</f>
        <v>186.775</v>
      </c>
      <c r="AQ1368" s="9">
        <f t="shared" si="4271"/>
        <v>60.875</v>
      </c>
      <c r="AR1368" s="9">
        <f t="shared" si="4271"/>
        <v>51.975</v>
      </c>
      <c r="AS1368" s="9">
        <f t="shared" si="2233"/>
        <v>112.85</v>
      </c>
      <c r="AT1368" s="9">
        <f t="shared" ref="AT1368:AV1368" si="4272">AJ1368/$AF1368</f>
        <v>38.5</v>
      </c>
      <c r="AU1368" s="9">
        <f t="shared" si="4272"/>
        <v>22.075</v>
      </c>
      <c r="AV1368" s="9">
        <f t="shared" si="4272"/>
        <v>13.35</v>
      </c>
      <c r="AW1368" s="9">
        <f t="shared" si="2235"/>
        <v>35.425</v>
      </c>
      <c r="AX1368" s="9">
        <f t="shared" ref="AX1368:AY1368" si="4273">AM1368/$AF1368</f>
        <v>3.5</v>
      </c>
      <c r="AY1368" s="9">
        <f t="shared" si="4273"/>
        <v>2.25</v>
      </c>
      <c r="AZ1368" s="9">
        <f>VLOOKUP(A1368,Jogos!A:BN,58,0)</f>
        <v>33.475</v>
      </c>
      <c r="BA1368" s="9">
        <f>VLOOKUP(A1368,Jogos!A:BN,59,0)</f>
        <v>22.655</v>
      </c>
      <c r="BB1368" s="9">
        <f>VLOOKUP(A1368,Jogos!A:BN,60,0)</f>
        <v>53</v>
      </c>
      <c r="BC1368" s="9">
        <f>VLOOKUP(A1368,Jogos!A:BN,61,0)</f>
        <v>36.585</v>
      </c>
      <c r="BD1368" s="9">
        <f>VLOOKUP(A1368,Jogos!A:BN,62,0)</f>
        <v>577.75</v>
      </c>
      <c r="BE1368" s="9">
        <f>VLOOKUP(A1368,Jogos!A:BN,63,0)</f>
        <v>0.93</v>
      </c>
      <c r="BF1368" s="9">
        <f>VLOOKUP(A1368,Jogos!A:BN,64,0)</f>
        <v>26.93</v>
      </c>
      <c r="BG1368" s="9">
        <f>VLOOKUP(A1368,Jogos!A:BN,65,0)</f>
        <v>49.51</v>
      </c>
      <c r="BH1368" s="9">
        <f>VLOOKUP(A1368,Jogos!A:BN,66,0)</f>
        <v>32.105</v>
      </c>
      <c r="BI1368" s="9"/>
      <c r="BJ1368" s="9"/>
    </row>
    <row r="1369" hidden="1">
      <c r="A1369" s="10">
        <v>46.0</v>
      </c>
      <c r="B1369" s="11" t="s">
        <v>809</v>
      </c>
      <c r="C1369" s="2" t="s">
        <v>61</v>
      </c>
      <c r="D1369" s="12">
        <v>45834.0</v>
      </c>
      <c r="E1369" s="13">
        <v>0.625</v>
      </c>
      <c r="F1369" s="5" t="str">
        <f>VLOOKUP(A1369,Jogos!A:N,10,0)</f>
        <v>Afternoon</v>
      </c>
      <c r="G1369" s="11" t="s">
        <v>997</v>
      </c>
      <c r="H1369" s="6" t="str">
        <f>VLOOKUP(A1369,Jogos!A:L,12,0)</f>
        <v>Open</v>
      </c>
      <c r="I1369" s="6" t="str">
        <f>VLOOKUP(G1369,'Estádios e Cidades'!A:B,2,0)</f>
        <v>Washington, D.C.</v>
      </c>
      <c r="J1369" s="11" t="s">
        <v>998</v>
      </c>
      <c r="K1369" s="2" t="str">
        <f>VLOOKUP(J1369,Equipes!A:F,6,0)</f>
        <v>Tropical</v>
      </c>
      <c r="L1369" s="2">
        <f>VLOOKUP(J1369,Equipes!A:C,3,0)</f>
        <v>22</v>
      </c>
      <c r="M1369" s="2" t="str">
        <f t="shared" si="4"/>
        <v>Group</v>
      </c>
      <c r="N1369" s="11" t="s">
        <v>811</v>
      </c>
      <c r="O1369" s="2">
        <f>VLOOKUP(N1369,Equipes!A:C,3,0)</f>
        <v>31</v>
      </c>
      <c r="P1369" s="2" t="str">
        <f t="shared" si="5"/>
        <v>Group</v>
      </c>
      <c r="Q1369" s="2">
        <f t="shared" si="6"/>
        <v>-9</v>
      </c>
      <c r="R1369" s="2" t="str">
        <f>VLOOKUP(J1369,Equipes!A:B,2,0)</f>
        <v>AlAin</v>
      </c>
      <c r="S1369" s="6" t="s">
        <v>1022</v>
      </c>
      <c r="T1369" s="7">
        <v>28.0</v>
      </c>
      <c r="U1369" s="7" t="s">
        <v>1023</v>
      </c>
      <c r="V1369" s="7" t="str">
        <f>VLOOKUP(U1369,Jogadores!B:C,2,0)</f>
        <v>MF</v>
      </c>
      <c r="W1369" s="8">
        <f>VLOOKUP(U1369,Jogadores!B:D,3,0)</f>
        <v>24.01643836</v>
      </c>
      <c r="X1369" s="7">
        <v>65.0</v>
      </c>
      <c r="Y1369" s="7">
        <f t="shared" si="4267"/>
        <v>98</v>
      </c>
      <c r="Z1369" s="7">
        <f>VLOOKUP(A1369,Jogos!A:L,3,0)</f>
        <v>52</v>
      </c>
      <c r="AA1369" s="7">
        <f t="shared" si="2229"/>
        <v>0</v>
      </c>
      <c r="AB1369" s="7">
        <f>VLOOKUP(A1369,Jogos!A:L,4,0)</f>
        <v>53</v>
      </c>
      <c r="AC1369" s="7">
        <f t="shared" si="2230"/>
        <v>33</v>
      </c>
      <c r="AD1369" s="7"/>
      <c r="AE1369" s="7"/>
      <c r="AF1369" s="7">
        <f t="shared" si="2231"/>
        <v>33</v>
      </c>
      <c r="AG1369" s="7">
        <v>3453.9</v>
      </c>
      <c r="AH1369" s="7">
        <v>1469.3</v>
      </c>
      <c r="AI1369" s="7">
        <v>1256.7</v>
      </c>
      <c r="AJ1369" s="7">
        <v>439.5</v>
      </c>
      <c r="AK1369" s="7">
        <v>149.1</v>
      </c>
      <c r="AL1369" s="7">
        <v>139.3</v>
      </c>
      <c r="AM1369" s="7">
        <v>38.0</v>
      </c>
      <c r="AN1369" s="7">
        <v>12.0</v>
      </c>
      <c r="AO1369" s="7">
        <v>32.9</v>
      </c>
      <c r="AP1369" s="9">
        <f t="shared" ref="AP1369:AR1369" si="4274">AG1369/$AF1369</f>
        <v>104.6636364</v>
      </c>
      <c r="AQ1369" s="9">
        <f t="shared" si="4274"/>
        <v>44.52424242</v>
      </c>
      <c r="AR1369" s="9">
        <f t="shared" si="4274"/>
        <v>38.08181818</v>
      </c>
      <c r="AS1369" s="9">
        <f t="shared" si="2233"/>
        <v>82.60606061</v>
      </c>
      <c r="AT1369" s="9">
        <f t="shared" ref="AT1369:AV1369" si="4275">AJ1369/$AF1369</f>
        <v>13.31818182</v>
      </c>
      <c r="AU1369" s="9">
        <f t="shared" si="4275"/>
        <v>4.518181818</v>
      </c>
      <c r="AV1369" s="9">
        <f t="shared" si="4275"/>
        <v>4.221212121</v>
      </c>
      <c r="AW1369" s="9">
        <f t="shared" si="2235"/>
        <v>8.739393939</v>
      </c>
      <c r="AX1369" s="9">
        <f t="shared" ref="AX1369:AY1369" si="4276">AM1369/$AF1369</f>
        <v>1.151515152</v>
      </c>
      <c r="AY1369" s="9">
        <f t="shared" si="4276"/>
        <v>0.3636363636</v>
      </c>
      <c r="AZ1369" s="9">
        <f>VLOOKUP(A1369,Jogos!A:BN,58,0)</f>
        <v>33.475</v>
      </c>
      <c r="BA1369" s="9">
        <f>VLOOKUP(A1369,Jogos!A:BN,59,0)</f>
        <v>22.655</v>
      </c>
      <c r="BB1369" s="9">
        <f>VLOOKUP(A1369,Jogos!A:BN,60,0)</f>
        <v>53</v>
      </c>
      <c r="BC1369" s="9">
        <f>VLOOKUP(A1369,Jogos!A:BN,61,0)</f>
        <v>36.585</v>
      </c>
      <c r="BD1369" s="9">
        <f>VLOOKUP(A1369,Jogos!A:BN,62,0)</f>
        <v>577.75</v>
      </c>
      <c r="BE1369" s="9">
        <f>VLOOKUP(A1369,Jogos!A:BN,63,0)</f>
        <v>0.93</v>
      </c>
      <c r="BF1369" s="9">
        <f>VLOOKUP(A1369,Jogos!A:BN,64,0)</f>
        <v>26.93</v>
      </c>
      <c r="BG1369" s="9">
        <f>VLOOKUP(A1369,Jogos!A:BN,65,0)</f>
        <v>49.51</v>
      </c>
      <c r="BH1369" s="9">
        <f>VLOOKUP(A1369,Jogos!A:BN,66,0)</f>
        <v>32.105</v>
      </c>
      <c r="BI1369" s="9"/>
      <c r="BJ1369" s="9"/>
    </row>
    <row r="1370" hidden="1">
      <c r="A1370" s="10">
        <v>46.0</v>
      </c>
      <c r="B1370" s="11" t="s">
        <v>809</v>
      </c>
      <c r="C1370" s="2" t="s">
        <v>61</v>
      </c>
      <c r="D1370" s="12">
        <v>45834.0</v>
      </c>
      <c r="E1370" s="13">
        <v>0.625</v>
      </c>
      <c r="F1370" s="5" t="str">
        <f>VLOOKUP(A1370,Jogos!A:N,10,0)</f>
        <v>Afternoon</v>
      </c>
      <c r="G1370" s="11" t="s">
        <v>997</v>
      </c>
      <c r="H1370" s="6" t="str">
        <f>VLOOKUP(A1370,Jogos!A:L,12,0)</f>
        <v>Open</v>
      </c>
      <c r="I1370" s="6" t="str">
        <f>VLOOKUP(G1370,'Estádios e Cidades'!A:B,2,0)</f>
        <v>Washington, D.C.</v>
      </c>
      <c r="J1370" s="11" t="s">
        <v>998</v>
      </c>
      <c r="K1370" s="2" t="str">
        <f>VLOOKUP(J1370,Equipes!A:F,6,0)</f>
        <v>Tropical</v>
      </c>
      <c r="L1370" s="2">
        <f>VLOOKUP(J1370,Equipes!A:C,3,0)</f>
        <v>22</v>
      </c>
      <c r="M1370" s="2" t="str">
        <f t="shared" si="4"/>
        <v>Group</v>
      </c>
      <c r="N1370" s="11" t="s">
        <v>811</v>
      </c>
      <c r="O1370" s="2">
        <f>VLOOKUP(N1370,Equipes!A:C,3,0)</f>
        <v>31</v>
      </c>
      <c r="P1370" s="2" t="str">
        <f t="shared" si="5"/>
        <v>Group</v>
      </c>
      <c r="Q1370" s="2">
        <f t="shared" si="6"/>
        <v>-9</v>
      </c>
      <c r="R1370" s="2" t="str">
        <f>VLOOKUP(J1370,Equipes!A:B,2,0)</f>
        <v>AlAin</v>
      </c>
      <c r="S1370" s="6" t="s">
        <v>1024</v>
      </c>
      <c r="T1370" s="7">
        <v>56.0</v>
      </c>
      <c r="U1370" s="7" t="s">
        <v>1025</v>
      </c>
      <c r="V1370" s="7" t="str">
        <f>VLOOKUP(U1370,Jogadores!B:C,2,0)</f>
        <v>DF</v>
      </c>
      <c r="W1370" s="8">
        <f>VLOOKUP(U1370,Jogadores!B:D,3,0)</f>
        <v>19.92328767</v>
      </c>
      <c r="X1370" s="7">
        <v>94.0</v>
      </c>
      <c r="Y1370" s="7">
        <f t="shared" si="4267"/>
        <v>98</v>
      </c>
      <c r="Z1370" s="7">
        <f>VLOOKUP(A1370,Jogos!A:L,3,0)</f>
        <v>52</v>
      </c>
      <c r="AA1370" s="7">
        <f t="shared" si="2229"/>
        <v>0</v>
      </c>
      <c r="AB1370" s="7">
        <f>VLOOKUP(A1370,Jogos!A:L,4,0)</f>
        <v>53</v>
      </c>
      <c r="AC1370" s="7">
        <f t="shared" si="2230"/>
        <v>4</v>
      </c>
      <c r="AD1370" s="7"/>
      <c r="AE1370" s="7"/>
      <c r="AF1370" s="7">
        <f t="shared" si="2231"/>
        <v>4</v>
      </c>
      <c r="AG1370" s="7">
        <v>642.2</v>
      </c>
      <c r="AH1370" s="7">
        <v>244.6</v>
      </c>
      <c r="AI1370" s="7">
        <v>234.8</v>
      </c>
      <c r="AJ1370" s="7">
        <v>114.3</v>
      </c>
      <c r="AK1370" s="7">
        <v>18.7</v>
      </c>
      <c r="AL1370" s="7">
        <v>29.7</v>
      </c>
      <c r="AM1370" s="7">
        <v>8.0</v>
      </c>
      <c r="AN1370" s="7">
        <v>2.0</v>
      </c>
      <c r="AO1370" s="7">
        <v>28.5</v>
      </c>
      <c r="AP1370" s="9">
        <f t="shared" ref="AP1370:AR1370" si="4277">AG1370/$AF1370</f>
        <v>160.55</v>
      </c>
      <c r="AQ1370" s="9">
        <f t="shared" si="4277"/>
        <v>61.15</v>
      </c>
      <c r="AR1370" s="9">
        <f t="shared" si="4277"/>
        <v>58.7</v>
      </c>
      <c r="AS1370" s="9">
        <f t="shared" si="2233"/>
        <v>119.85</v>
      </c>
      <c r="AT1370" s="9">
        <f t="shared" ref="AT1370:AV1370" si="4278">AJ1370/$AF1370</f>
        <v>28.575</v>
      </c>
      <c r="AU1370" s="9">
        <f t="shared" si="4278"/>
        <v>4.675</v>
      </c>
      <c r="AV1370" s="9">
        <f t="shared" si="4278"/>
        <v>7.425</v>
      </c>
      <c r="AW1370" s="9">
        <f t="shared" si="2235"/>
        <v>12.1</v>
      </c>
      <c r="AX1370" s="9">
        <f t="shared" ref="AX1370:AY1370" si="4279">AM1370/$AF1370</f>
        <v>2</v>
      </c>
      <c r="AY1370" s="9">
        <f t="shared" si="4279"/>
        <v>0.5</v>
      </c>
      <c r="AZ1370" s="9">
        <f>VLOOKUP(A1370,Jogos!A:BN,58,0)</f>
        <v>33.475</v>
      </c>
      <c r="BA1370" s="9">
        <f>VLOOKUP(A1370,Jogos!A:BN,59,0)</f>
        <v>22.655</v>
      </c>
      <c r="BB1370" s="9">
        <f>VLOOKUP(A1370,Jogos!A:BN,60,0)</f>
        <v>53</v>
      </c>
      <c r="BC1370" s="9">
        <f>VLOOKUP(A1370,Jogos!A:BN,61,0)</f>
        <v>36.585</v>
      </c>
      <c r="BD1370" s="9">
        <f>VLOOKUP(A1370,Jogos!A:BN,62,0)</f>
        <v>577.75</v>
      </c>
      <c r="BE1370" s="9">
        <f>VLOOKUP(A1370,Jogos!A:BN,63,0)</f>
        <v>0.93</v>
      </c>
      <c r="BF1370" s="9">
        <f>VLOOKUP(A1370,Jogos!A:BN,64,0)</f>
        <v>26.93</v>
      </c>
      <c r="BG1370" s="9">
        <f>VLOOKUP(A1370,Jogos!A:BN,65,0)</f>
        <v>49.51</v>
      </c>
      <c r="BH1370" s="9">
        <f>VLOOKUP(A1370,Jogos!A:BN,66,0)</f>
        <v>32.105</v>
      </c>
      <c r="BI1370" s="9"/>
      <c r="BJ1370" s="9"/>
    </row>
    <row r="1371" hidden="1">
      <c r="A1371" s="2">
        <v>47.0</v>
      </c>
      <c r="B1371" s="11" t="s">
        <v>872</v>
      </c>
      <c r="C1371" s="2" t="s">
        <v>61</v>
      </c>
      <c r="D1371" s="3">
        <v>45834.0</v>
      </c>
      <c r="E1371" s="4">
        <v>0.8333333333333334</v>
      </c>
      <c r="F1371" s="5" t="str">
        <f>VLOOKUP(A1371,Jogos!A:N,10,0)</f>
        <v>Evening</v>
      </c>
      <c r="G1371" s="2" t="s">
        <v>1130</v>
      </c>
      <c r="H1371" s="6" t="str">
        <f>VLOOKUP(A1371,Jogos!A:L,12,0)</f>
        <v>Open</v>
      </c>
      <c r="I1371" s="6" t="str">
        <f>VLOOKUP(G1371,'Estádios e Cidades'!A:B,2,0)</f>
        <v>Nashville</v>
      </c>
      <c r="J1371" s="2" t="s">
        <v>874</v>
      </c>
      <c r="K1371" s="2" t="str">
        <f>VLOOKUP(J1371,Equipes!A:F,6,0)</f>
        <v>Tropical</v>
      </c>
      <c r="L1371" s="2">
        <f>VLOOKUP(J1371,Equipes!A:C,3,0)</f>
        <v>7</v>
      </c>
      <c r="M1371" s="2" t="str">
        <f t="shared" si="4"/>
        <v>Quarter-final</v>
      </c>
      <c r="N1371" s="2" t="s">
        <v>935</v>
      </c>
      <c r="O1371" s="2">
        <f>VLOOKUP(N1371,Equipes!A:C,3,0)</f>
        <v>30</v>
      </c>
      <c r="P1371" s="2" t="str">
        <f t="shared" si="5"/>
        <v>Group</v>
      </c>
      <c r="Q1371" s="2">
        <f t="shared" si="6"/>
        <v>-23</v>
      </c>
      <c r="R1371" s="2" t="str">
        <f>VLOOKUP(J1371,Equipes!A:B,2,0)</f>
        <v>AlHilal</v>
      </c>
      <c r="S1371" s="6" t="s">
        <v>905</v>
      </c>
      <c r="T1371" s="7">
        <v>3.0</v>
      </c>
      <c r="U1371" s="7" t="s">
        <v>906</v>
      </c>
      <c r="V1371" s="7" t="str">
        <f>VLOOKUP(U1371,Jogadores!B:C,2,0)</f>
        <v>DF</v>
      </c>
      <c r="W1371" s="8">
        <f>VLOOKUP(U1371,Jogadores!B:D,3,0)</f>
        <v>34.12876712</v>
      </c>
      <c r="X1371" s="7">
        <v>0.0</v>
      </c>
      <c r="Y1371" s="7">
        <f t="shared" si="4267"/>
        <v>96</v>
      </c>
      <c r="Z1371" s="7">
        <f>VLOOKUP(A1371,Jogos!A:L,3,0)</f>
        <v>49</v>
      </c>
      <c r="AA1371" s="7">
        <f t="shared" si="2229"/>
        <v>49</v>
      </c>
      <c r="AB1371" s="7">
        <f>VLOOKUP(A1371,Jogos!A:L,4,0)</f>
        <v>51</v>
      </c>
      <c r="AC1371" s="7">
        <f t="shared" si="2230"/>
        <v>51</v>
      </c>
      <c r="AD1371" s="7"/>
      <c r="AE1371" s="7"/>
      <c r="AF1371" s="7">
        <f t="shared" si="2231"/>
        <v>100</v>
      </c>
      <c r="AG1371" s="7">
        <v>9213.7</v>
      </c>
      <c r="AH1371" s="7">
        <v>4113.5</v>
      </c>
      <c r="AI1371" s="7">
        <v>3485.2</v>
      </c>
      <c r="AJ1371" s="7">
        <v>1196.6</v>
      </c>
      <c r="AK1371" s="7">
        <v>373.2</v>
      </c>
      <c r="AL1371" s="7">
        <v>45.2</v>
      </c>
      <c r="AM1371" s="7">
        <v>100.0</v>
      </c>
      <c r="AN1371" s="7">
        <v>29.0</v>
      </c>
      <c r="AO1371" s="7">
        <v>32.2</v>
      </c>
      <c r="AP1371" s="9">
        <f t="shared" ref="AP1371:AR1371" si="4280">AG1371/$AF1371</f>
        <v>92.137</v>
      </c>
      <c r="AQ1371" s="9">
        <f t="shared" si="4280"/>
        <v>41.135</v>
      </c>
      <c r="AR1371" s="9">
        <f t="shared" si="4280"/>
        <v>34.852</v>
      </c>
      <c r="AS1371" s="9">
        <f t="shared" si="2233"/>
        <v>75.987</v>
      </c>
      <c r="AT1371" s="9">
        <f t="shared" ref="AT1371:AV1371" si="4281">AJ1371/$AF1371</f>
        <v>11.966</v>
      </c>
      <c r="AU1371" s="9">
        <f t="shared" si="4281"/>
        <v>3.732</v>
      </c>
      <c r="AV1371" s="9">
        <f t="shared" si="4281"/>
        <v>0.452</v>
      </c>
      <c r="AW1371" s="9">
        <f t="shared" si="2235"/>
        <v>4.184</v>
      </c>
      <c r="AX1371" s="9">
        <f t="shared" ref="AX1371:AY1371" si="4282">AM1371/$AF1371</f>
        <v>1</v>
      </c>
      <c r="AY1371" s="9">
        <f t="shared" si="4282"/>
        <v>0.29</v>
      </c>
      <c r="AZ1371" s="9">
        <f>VLOOKUP(A1371,Jogos!A:BN,58,0)</f>
        <v>27.61</v>
      </c>
      <c r="BA1371" s="9">
        <f>VLOOKUP(A1371,Jogos!A:BN,59,0)</f>
        <v>23.84</v>
      </c>
      <c r="BB1371" s="9">
        <f>VLOOKUP(A1371,Jogos!A:BN,60,0)</f>
        <v>79.5</v>
      </c>
      <c r="BC1371" s="9">
        <f>VLOOKUP(A1371,Jogos!A:BN,61,0)</f>
        <v>26.635</v>
      </c>
      <c r="BD1371" s="9">
        <f>VLOOKUP(A1371,Jogos!A:BN,62,0)</f>
        <v>0.05</v>
      </c>
      <c r="BE1371" s="9">
        <f>VLOOKUP(A1371,Jogos!A:BN,63,0)</f>
        <v>0.44</v>
      </c>
      <c r="BF1371" s="9">
        <f>VLOOKUP(A1371,Jogos!A:BN,64,0)</f>
        <v>25.225</v>
      </c>
      <c r="BG1371" s="9">
        <f>VLOOKUP(A1371,Jogos!A:BN,65,0)</f>
        <v>44.18</v>
      </c>
      <c r="BH1371" s="9">
        <f>VLOOKUP(A1371,Jogos!A:BN,66,0)</f>
        <v>29.25</v>
      </c>
      <c r="BI1371" s="9"/>
      <c r="BJ1371" s="9"/>
    </row>
    <row r="1372" hidden="1">
      <c r="A1372" s="2">
        <v>47.0</v>
      </c>
      <c r="B1372" s="11" t="s">
        <v>872</v>
      </c>
      <c r="C1372" s="2" t="s">
        <v>61</v>
      </c>
      <c r="D1372" s="3">
        <v>45834.0</v>
      </c>
      <c r="E1372" s="4">
        <v>0.8333333333333334</v>
      </c>
      <c r="F1372" s="5" t="str">
        <f>VLOOKUP(A1372,Jogos!A:N,10,0)</f>
        <v>Evening</v>
      </c>
      <c r="G1372" s="2" t="s">
        <v>1130</v>
      </c>
      <c r="H1372" s="6" t="str">
        <f>VLOOKUP(A1372,Jogos!A:L,12,0)</f>
        <v>Open</v>
      </c>
      <c r="I1372" s="6" t="str">
        <f>VLOOKUP(G1372,'Estádios e Cidades'!A:B,2,0)</f>
        <v>Nashville</v>
      </c>
      <c r="J1372" s="2" t="s">
        <v>874</v>
      </c>
      <c r="K1372" s="2" t="str">
        <f>VLOOKUP(J1372,Equipes!A:F,6,0)</f>
        <v>Tropical</v>
      </c>
      <c r="L1372" s="2">
        <f>VLOOKUP(J1372,Equipes!A:C,3,0)</f>
        <v>7</v>
      </c>
      <c r="M1372" s="2" t="str">
        <f t="shared" si="4"/>
        <v>Quarter-final</v>
      </c>
      <c r="N1372" s="2" t="s">
        <v>935</v>
      </c>
      <c r="O1372" s="2">
        <f>VLOOKUP(N1372,Equipes!A:C,3,0)</f>
        <v>30</v>
      </c>
      <c r="P1372" s="2" t="str">
        <f t="shared" si="5"/>
        <v>Group</v>
      </c>
      <c r="Q1372" s="2">
        <f t="shared" si="6"/>
        <v>-23</v>
      </c>
      <c r="R1372" s="2" t="str">
        <f>VLOOKUP(J1372,Equipes!A:B,2,0)</f>
        <v>AlHilal</v>
      </c>
      <c r="S1372" s="6" t="s">
        <v>907</v>
      </c>
      <c r="T1372" s="7">
        <v>6.0</v>
      </c>
      <c r="U1372" s="7" t="s">
        <v>908</v>
      </c>
      <c r="V1372" s="7" t="str">
        <f>VLOOKUP(U1372,Jogadores!B:C,2,0)</f>
        <v>MF</v>
      </c>
      <c r="W1372" s="8">
        <f>VLOOKUP(U1372,Jogadores!B:D,3,0)</f>
        <v>27.32328767</v>
      </c>
      <c r="X1372" s="7">
        <v>0.0</v>
      </c>
      <c r="Y1372" s="7">
        <v>71.0</v>
      </c>
      <c r="Z1372" s="7">
        <f>VLOOKUP(A1372,Jogos!A:L,3,0)</f>
        <v>49</v>
      </c>
      <c r="AA1372" s="7">
        <f t="shared" si="2229"/>
        <v>49</v>
      </c>
      <c r="AB1372" s="7">
        <f>VLOOKUP(A1372,Jogos!A:L,4,0)</f>
        <v>51</v>
      </c>
      <c r="AC1372" s="7">
        <f t="shared" si="2230"/>
        <v>26</v>
      </c>
      <c r="AD1372" s="7"/>
      <c r="AE1372" s="7"/>
      <c r="AF1372" s="7">
        <f t="shared" si="2231"/>
        <v>75</v>
      </c>
      <c r="AG1372" s="7">
        <v>8058.3</v>
      </c>
      <c r="AH1372" s="7">
        <v>3044.6</v>
      </c>
      <c r="AI1372" s="7">
        <v>3057.8</v>
      </c>
      <c r="AJ1372" s="7">
        <v>1264.7</v>
      </c>
      <c r="AK1372" s="7">
        <v>542.5</v>
      </c>
      <c r="AL1372" s="7">
        <v>148.7</v>
      </c>
      <c r="AM1372" s="7">
        <v>116.0</v>
      </c>
      <c r="AN1372" s="7">
        <v>41.0</v>
      </c>
      <c r="AO1372" s="7">
        <v>31.5</v>
      </c>
      <c r="AP1372" s="9">
        <f t="shared" ref="AP1372:AR1372" si="4283">AG1372/$AF1372</f>
        <v>107.444</v>
      </c>
      <c r="AQ1372" s="9">
        <f t="shared" si="4283"/>
        <v>40.59466667</v>
      </c>
      <c r="AR1372" s="9">
        <f t="shared" si="4283"/>
        <v>40.77066667</v>
      </c>
      <c r="AS1372" s="9">
        <f t="shared" si="2233"/>
        <v>81.36533333</v>
      </c>
      <c r="AT1372" s="9">
        <f t="shared" ref="AT1372:AV1372" si="4284">AJ1372/$AF1372</f>
        <v>16.86266667</v>
      </c>
      <c r="AU1372" s="9">
        <f t="shared" si="4284"/>
        <v>7.233333333</v>
      </c>
      <c r="AV1372" s="9">
        <f t="shared" si="4284"/>
        <v>1.982666667</v>
      </c>
      <c r="AW1372" s="9">
        <f t="shared" si="2235"/>
        <v>9.216</v>
      </c>
      <c r="AX1372" s="9">
        <f t="shared" ref="AX1372:AY1372" si="4285">AM1372/$AF1372</f>
        <v>1.546666667</v>
      </c>
      <c r="AY1372" s="9">
        <f t="shared" si="4285"/>
        <v>0.5466666667</v>
      </c>
      <c r="AZ1372" s="9">
        <f>VLOOKUP(A1372,Jogos!A:BN,58,0)</f>
        <v>27.61</v>
      </c>
      <c r="BA1372" s="9">
        <f>VLOOKUP(A1372,Jogos!A:BN,59,0)</f>
        <v>23.84</v>
      </c>
      <c r="BB1372" s="9">
        <f>VLOOKUP(A1372,Jogos!A:BN,60,0)</f>
        <v>79.5</v>
      </c>
      <c r="BC1372" s="9">
        <f>VLOOKUP(A1372,Jogos!A:BN,61,0)</f>
        <v>26.635</v>
      </c>
      <c r="BD1372" s="9">
        <f>VLOOKUP(A1372,Jogos!A:BN,62,0)</f>
        <v>0.05</v>
      </c>
      <c r="BE1372" s="9">
        <f>VLOOKUP(A1372,Jogos!A:BN,63,0)</f>
        <v>0.44</v>
      </c>
      <c r="BF1372" s="9">
        <f>VLOOKUP(A1372,Jogos!A:BN,64,0)</f>
        <v>25.225</v>
      </c>
      <c r="BG1372" s="9">
        <f>VLOOKUP(A1372,Jogos!A:BN,65,0)</f>
        <v>44.18</v>
      </c>
      <c r="BH1372" s="9">
        <f>VLOOKUP(A1372,Jogos!A:BN,66,0)</f>
        <v>29.25</v>
      </c>
      <c r="BI1372" s="9"/>
      <c r="BJ1372" s="9"/>
    </row>
    <row r="1373" hidden="1">
      <c r="A1373" s="2">
        <v>47.0</v>
      </c>
      <c r="B1373" s="11" t="s">
        <v>872</v>
      </c>
      <c r="C1373" s="2" t="s">
        <v>61</v>
      </c>
      <c r="D1373" s="3">
        <v>45834.0</v>
      </c>
      <c r="E1373" s="4">
        <v>0.8333333333333334</v>
      </c>
      <c r="F1373" s="5" t="str">
        <f>VLOOKUP(A1373,Jogos!A:N,10,0)</f>
        <v>Evening</v>
      </c>
      <c r="G1373" s="2" t="s">
        <v>1130</v>
      </c>
      <c r="H1373" s="6" t="str">
        <f>VLOOKUP(A1373,Jogos!A:L,12,0)</f>
        <v>Open</v>
      </c>
      <c r="I1373" s="6" t="str">
        <f>VLOOKUP(G1373,'Estádios e Cidades'!A:B,2,0)</f>
        <v>Nashville</v>
      </c>
      <c r="J1373" s="2" t="s">
        <v>874</v>
      </c>
      <c r="K1373" s="2" t="str">
        <f>VLOOKUP(J1373,Equipes!A:F,6,0)</f>
        <v>Tropical</v>
      </c>
      <c r="L1373" s="2">
        <f>VLOOKUP(J1373,Equipes!A:C,3,0)</f>
        <v>7</v>
      </c>
      <c r="M1373" s="2" t="str">
        <f t="shared" si="4"/>
        <v>Quarter-final</v>
      </c>
      <c r="N1373" s="2" t="s">
        <v>935</v>
      </c>
      <c r="O1373" s="2">
        <f>VLOOKUP(N1373,Equipes!A:C,3,0)</f>
        <v>30</v>
      </c>
      <c r="P1373" s="2" t="str">
        <f t="shared" si="5"/>
        <v>Group</v>
      </c>
      <c r="Q1373" s="2">
        <f t="shared" si="6"/>
        <v>-23</v>
      </c>
      <c r="R1373" s="2" t="str">
        <f>VLOOKUP(J1373,Equipes!A:B,2,0)</f>
        <v>AlHilal</v>
      </c>
      <c r="S1373" s="6" t="s">
        <v>909</v>
      </c>
      <c r="T1373" s="7">
        <v>8.0</v>
      </c>
      <c r="U1373" s="7" t="s">
        <v>910</v>
      </c>
      <c r="V1373" s="7" t="str">
        <f>VLOOKUP(U1373,Jogadores!B:C,2,0)</f>
        <v>MF</v>
      </c>
      <c r="W1373" s="8">
        <f>VLOOKUP(U1373,Jogadores!B:D,3,0)</f>
        <v>28.39452055</v>
      </c>
      <c r="X1373" s="7">
        <v>0.0</v>
      </c>
      <c r="Y1373" s="7">
        <f t="shared" ref="Y1373:Y1375" si="4289">45+AB1373</f>
        <v>96</v>
      </c>
      <c r="Z1373" s="7">
        <f>VLOOKUP(A1373,Jogos!A:L,3,0)</f>
        <v>49</v>
      </c>
      <c r="AA1373" s="7">
        <f t="shared" si="2229"/>
        <v>49</v>
      </c>
      <c r="AB1373" s="7">
        <f>VLOOKUP(A1373,Jogos!A:L,4,0)</f>
        <v>51</v>
      </c>
      <c r="AC1373" s="7">
        <f t="shared" si="2230"/>
        <v>51</v>
      </c>
      <c r="AD1373" s="7"/>
      <c r="AE1373" s="7"/>
      <c r="AF1373" s="7">
        <f t="shared" si="2231"/>
        <v>100</v>
      </c>
      <c r="AG1373" s="7">
        <v>10270.8</v>
      </c>
      <c r="AH1373" s="7">
        <v>4060.7</v>
      </c>
      <c r="AI1373" s="7">
        <v>4671.6</v>
      </c>
      <c r="AJ1373" s="7">
        <v>1078.2</v>
      </c>
      <c r="AK1373" s="7">
        <v>365.3</v>
      </c>
      <c r="AL1373" s="7">
        <v>95.0</v>
      </c>
      <c r="AM1373" s="7">
        <v>101.0</v>
      </c>
      <c r="AN1373" s="7">
        <v>29.0</v>
      </c>
      <c r="AO1373" s="7">
        <v>31.8</v>
      </c>
      <c r="AP1373" s="9">
        <f t="shared" ref="AP1373:AR1373" si="4286">AG1373/$AF1373</f>
        <v>102.708</v>
      </c>
      <c r="AQ1373" s="9">
        <f t="shared" si="4286"/>
        <v>40.607</v>
      </c>
      <c r="AR1373" s="9">
        <f t="shared" si="4286"/>
        <v>46.716</v>
      </c>
      <c r="AS1373" s="9">
        <f t="shared" si="2233"/>
        <v>87.323</v>
      </c>
      <c r="AT1373" s="9">
        <f t="shared" ref="AT1373:AV1373" si="4287">AJ1373/$AF1373</f>
        <v>10.782</v>
      </c>
      <c r="AU1373" s="9">
        <f t="shared" si="4287"/>
        <v>3.653</v>
      </c>
      <c r="AV1373" s="9">
        <f t="shared" si="4287"/>
        <v>0.95</v>
      </c>
      <c r="AW1373" s="9">
        <f t="shared" si="2235"/>
        <v>4.603</v>
      </c>
      <c r="AX1373" s="9">
        <f t="shared" ref="AX1373:AY1373" si="4288">AM1373/$AF1373</f>
        <v>1.01</v>
      </c>
      <c r="AY1373" s="9">
        <f t="shared" si="4288"/>
        <v>0.29</v>
      </c>
      <c r="AZ1373" s="9">
        <f>VLOOKUP(A1373,Jogos!A:BN,58,0)</f>
        <v>27.61</v>
      </c>
      <c r="BA1373" s="9">
        <f>VLOOKUP(A1373,Jogos!A:BN,59,0)</f>
        <v>23.84</v>
      </c>
      <c r="BB1373" s="9">
        <f>VLOOKUP(A1373,Jogos!A:BN,60,0)</f>
        <v>79.5</v>
      </c>
      <c r="BC1373" s="9">
        <f>VLOOKUP(A1373,Jogos!A:BN,61,0)</f>
        <v>26.635</v>
      </c>
      <c r="BD1373" s="9">
        <f>VLOOKUP(A1373,Jogos!A:BN,62,0)</f>
        <v>0.05</v>
      </c>
      <c r="BE1373" s="9">
        <f>VLOOKUP(A1373,Jogos!A:BN,63,0)</f>
        <v>0.44</v>
      </c>
      <c r="BF1373" s="9">
        <f>VLOOKUP(A1373,Jogos!A:BN,64,0)</f>
        <v>25.225</v>
      </c>
      <c r="BG1373" s="9">
        <f>VLOOKUP(A1373,Jogos!A:BN,65,0)</f>
        <v>44.18</v>
      </c>
      <c r="BH1373" s="9">
        <f>VLOOKUP(A1373,Jogos!A:BN,66,0)</f>
        <v>29.25</v>
      </c>
      <c r="BI1373" s="9"/>
      <c r="BJ1373" s="9"/>
    </row>
    <row r="1374" hidden="1">
      <c r="A1374" s="2">
        <v>47.0</v>
      </c>
      <c r="B1374" s="11" t="s">
        <v>872</v>
      </c>
      <c r="C1374" s="2" t="s">
        <v>61</v>
      </c>
      <c r="D1374" s="3">
        <v>45834.0</v>
      </c>
      <c r="E1374" s="4">
        <v>0.8333333333333334</v>
      </c>
      <c r="F1374" s="5" t="str">
        <f>VLOOKUP(A1374,Jogos!A:N,10,0)</f>
        <v>Evening</v>
      </c>
      <c r="G1374" s="2" t="s">
        <v>1130</v>
      </c>
      <c r="H1374" s="6" t="str">
        <f>VLOOKUP(A1374,Jogos!A:L,12,0)</f>
        <v>Open</v>
      </c>
      <c r="I1374" s="6" t="str">
        <f>VLOOKUP(G1374,'Estádios e Cidades'!A:B,2,0)</f>
        <v>Nashville</v>
      </c>
      <c r="J1374" s="2" t="s">
        <v>874</v>
      </c>
      <c r="K1374" s="2" t="str">
        <f>VLOOKUP(J1374,Equipes!A:F,6,0)</f>
        <v>Tropical</v>
      </c>
      <c r="L1374" s="2">
        <f>VLOOKUP(J1374,Equipes!A:C,3,0)</f>
        <v>7</v>
      </c>
      <c r="M1374" s="2" t="str">
        <f t="shared" si="4"/>
        <v>Quarter-final</v>
      </c>
      <c r="N1374" s="2" t="s">
        <v>935</v>
      </c>
      <c r="O1374" s="2">
        <f>VLOOKUP(N1374,Equipes!A:C,3,0)</f>
        <v>30</v>
      </c>
      <c r="P1374" s="2" t="str">
        <f t="shared" si="5"/>
        <v>Group</v>
      </c>
      <c r="Q1374" s="2">
        <f t="shared" si="6"/>
        <v>-23</v>
      </c>
      <c r="R1374" s="2" t="str">
        <f>VLOOKUP(J1374,Equipes!A:B,2,0)</f>
        <v>AlHilal</v>
      </c>
      <c r="S1374" s="6" t="s">
        <v>911</v>
      </c>
      <c r="T1374" s="7">
        <v>11.0</v>
      </c>
      <c r="U1374" s="7" t="s">
        <v>912</v>
      </c>
      <c r="V1374" s="7" t="str">
        <f>VLOOKUP(U1374,Jogadores!B:C,2,0)</f>
        <v>FW</v>
      </c>
      <c r="W1374" s="8">
        <f>VLOOKUP(U1374,Jogadores!B:D,3,0)</f>
        <v>22.25479452</v>
      </c>
      <c r="X1374" s="7">
        <v>0.0</v>
      </c>
      <c r="Y1374" s="7">
        <f t="shared" si="4289"/>
        <v>96</v>
      </c>
      <c r="Z1374" s="7">
        <f>VLOOKUP(A1374,Jogos!A:L,3,0)</f>
        <v>49</v>
      </c>
      <c r="AA1374" s="7">
        <f t="shared" si="2229"/>
        <v>49</v>
      </c>
      <c r="AB1374" s="7">
        <f>VLOOKUP(A1374,Jogos!A:L,4,0)</f>
        <v>51</v>
      </c>
      <c r="AC1374" s="7">
        <f t="shared" si="2230"/>
        <v>51</v>
      </c>
      <c r="AD1374" s="7"/>
      <c r="AE1374" s="7"/>
      <c r="AF1374" s="7">
        <f t="shared" si="2231"/>
        <v>100</v>
      </c>
      <c r="AG1374" s="7">
        <v>9983.0</v>
      </c>
      <c r="AH1374" s="7">
        <v>4102.8</v>
      </c>
      <c r="AI1374" s="7">
        <v>3985.3</v>
      </c>
      <c r="AJ1374" s="7">
        <v>950.0</v>
      </c>
      <c r="AK1374" s="7">
        <v>628.1</v>
      </c>
      <c r="AL1374" s="7">
        <v>316.8</v>
      </c>
      <c r="AM1374" s="7">
        <v>89.0</v>
      </c>
      <c r="AN1374" s="7">
        <v>52.0</v>
      </c>
      <c r="AO1374" s="7">
        <v>31.3</v>
      </c>
      <c r="AP1374" s="9">
        <f t="shared" ref="AP1374:AR1374" si="4290">AG1374/$AF1374</f>
        <v>99.83</v>
      </c>
      <c r="AQ1374" s="9">
        <f t="shared" si="4290"/>
        <v>41.028</v>
      </c>
      <c r="AR1374" s="9">
        <f t="shared" si="4290"/>
        <v>39.853</v>
      </c>
      <c r="AS1374" s="9">
        <f t="shared" si="2233"/>
        <v>80.881</v>
      </c>
      <c r="AT1374" s="9">
        <f t="shared" ref="AT1374:AV1374" si="4291">AJ1374/$AF1374</f>
        <v>9.5</v>
      </c>
      <c r="AU1374" s="9">
        <f t="shared" si="4291"/>
        <v>6.281</v>
      </c>
      <c r="AV1374" s="9">
        <f t="shared" si="4291"/>
        <v>3.168</v>
      </c>
      <c r="AW1374" s="9">
        <f t="shared" si="2235"/>
        <v>9.449</v>
      </c>
      <c r="AX1374" s="9">
        <f t="shared" ref="AX1374:AY1374" si="4292">AM1374/$AF1374</f>
        <v>0.89</v>
      </c>
      <c r="AY1374" s="9">
        <f t="shared" si="4292"/>
        <v>0.52</v>
      </c>
      <c r="AZ1374" s="9">
        <f>VLOOKUP(A1374,Jogos!A:BN,58,0)</f>
        <v>27.61</v>
      </c>
      <c r="BA1374" s="9">
        <f>VLOOKUP(A1374,Jogos!A:BN,59,0)</f>
        <v>23.84</v>
      </c>
      <c r="BB1374" s="9">
        <f>VLOOKUP(A1374,Jogos!A:BN,60,0)</f>
        <v>79.5</v>
      </c>
      <c r="BC1374" s="9">
        <f>VLOOKUP(A1374,Jogos!A:BN,61,0)</f>
        <v>26.635</v>
      </c>
      <c r="BD1374" s="9">
        <f>VLOOKUP(A1374,Jogos!A:BN,62,0)</f>
        <v>0.05</v>
      </c>
      <c r="BE1374" s="9">
        <f>VLOOKUP(A1374,Jogos!A:BN,63,0)</f>
        <v>0.44</v>
      </c>
      <c r="BF1374" s="9">
        <f>VLOOKUP(A1374,Jogos!A:BN,64,0)</f>
        <v>25.225</v>
      </c>
      <c r="BG1374" s="9">
        <f>VLOOKUP(A1374,Jogos!A:BN,65,0)</f>
        <v>44.18</v>
      </c>
      <c r="BH1374" s="9">
        <f>VLOOKUP(A1374,Jogos!A:BN,66,0)</f>
        <v>29.25</v>
      </c>
      <c r="BI1374" s="9"/>
      <c r="BJ1374" s="9"/>
    </row>
    <row r="1375" hidden="1">
      <c r="A1375" s="2">
        <v>47.0</v>
      </c>
      <c r="B1375" s="11" t="s">
        <v>872</v>
      </c>
      <c r="C1375" s="2" t="s">
        <v>61</v>
      </c>
      <c r="D1375" s="3">
        <v>45834.0</v>
      </c>
      <c r="E1375" s="4">
        <v>0.8333333333333334</v>
      </c>
      <c r="F1375" s="5" t="str">
        <f>VLOOKUP(A1375,Jogos!A:N,10,0)</f>
        <v>Evening</v>
      </c>
      <c r="G1375" s="2" t="s">
        <v>1130</v>
      </c>
      <c r="H1375" s="6" t="str">
        <f>VLOOKUP(A1375,Jogos!A:L,12,0)</f>
        <v>Open</v>
      </c>
      <c r="I1375" s="6" t="str">
        <f>VLOOKUP(G1375,'Estádios e Cidades'!A:B,2,0)</f>
        <v>Nashville</v>
      </c>
      <c r="J1375" s="2" t="s">
        <v>874</v>
      </c>
      <c r="K1375" s="2" t="str">
        <f>VLOOKUP(J1375,Equipes!A:F,6,0)</f>
        <v>Tropical</v>
      </c>
      <c r="L1375" s="2">
        <f>VLOOKUP(J1375,Equipes!A:C,3,0)</f>
        <v>7</v>
      </c>
      <c r="M1375" s="2" t="str">
        <f t="shared" si="4"/>
        <v>Quarter-final</v>
      </c>
      <c r="N1375" s="2" t="s">
        <v>935</v>
      </c>
      <c r="O1375" s="2">
        <f>VLOOKUP(N1375,Equipes!A:C,3,0)</f>
        <v>30</v>
      </c>
      <c r="P1375" s="2" t="str">
        <f t="shared" si="5"/>
        <v>Group</v>
      </c>
      <c r="Q1375" s="2">
        <f t="shared" si="6"/>
        <v>-23</v>
      </c>
      <c r="R1375" s="2" t="str">
        <f>VLOOKUP(J1375,Equipes!A:B,2,0)</f>
        <v>AlHilal</v>
      </c>
      <c r="S1375" s="6" t="s">
        <v>913</v>
      </c>
      <c r="T1375" s="7">
        <v>16.0</v>
      </c>
      <c r="U1375" s="7" t="s">
        <v>914</v>
      </c>
      <c r="V1375" s="7" t="str">
        <f>VLOOKUP(U1375,Jogadores!B:C,2,0)</f>
        <v>MF</v>
      </c>
      <c r="W1375" s="8">
        <f>VLOOKUP(U1375,Jogadores!B:D,3,0)</f>
        <v>26.62465753</v>
      </c>
      <c r="X1375" s="7">
        <v>0.0</v>
      </c>
      <c r="Y1375" s="7">
        <f t="shared" si="4289"/>
        <v>96</v>
      </c>
      <c r="Z1375" s="7">
        <f>VLOOKUP(A1375,Jogos!A:L,3,0)</f>
        <v>49</v>
      </c>
      <c r="AA1375" s="7">
        <f t="shared" si="2229"/>
        <v>49</v>
      </c>
      <c r="AB1375" s="7">
        <f>VLOOKUP(A1375,Jogos!A:L,4,0)</f>
        <v>51</v>
      </c>
      <c r="AC1375" s="7">
        <f t="shared" si="2230"/>
        <v>51</v>
      </c>
      <c r="AD1375" s="7"/>
      <c r="AE1375" s="7"/>
      <c r="AF1375" s="7">
        <f t="shared" si="2231"/>
        <v>100</v>
      </c>
      <c r="AG1375" s="7">
        <v>11957.7</v>
      </c>
      <c r="AH1375" s="7">
        <v>3525.1</v>
      </c>
      <c r="AI1375" s="7">
        <v>5110.5</v>
      </c>
      <c r="AJ1375" s="7">
        <v>2481.7</v>
      </c>
      <c r="AK1375" s="7">
        <v>754.0</v>
      </c>
      <c r="AL1375" s="7">
        <v>86.4</v>
      </c>
      <c r="AM1375" s="7">
        <v>190.0</v>
      </c>
      <c r="AN1375" s="7">
        <v>64.0</v>
      </c>
      <c r="AO1375" s="7">
        <v>29.7</v>
      </c>
      <c r="AP1375" s="9">
        <f t="shared" ref="AP1375:AR1375" si="4293">AG1375/$AF1375</f>
        <v>119.577</v>
      </c>
      <c r="AQ1375" s="9">
        <f t="shared" si="4293"/>
        <v>35.251</v>
      </c>
      <c r="AR1375" s="9">
        <f t="shared" si="4293"/>
        <v>51.105</v>
      </c>
      <c r="AS1375" s="9">
        <f t="shared" si="2233"/>
        <v>86.356</v>
      </c>
      <c r="AT1375" s="9">
        <f t="shared" ref="AT1375:AV1375" si="4294">AJ1375/$AF1375</f>
        <v>24.817</v>
      </c>
      <c r="AU1375" s="9">
        <f t="shared" si="4294"/>
        <v>7.54</v>
      </c>
      <c r="AV1375" s="9">
        <f t="shared" si="4294"/>
        <v>0.864</v>
      </c>
      <c r="AW1375" s="9">
        <f t="shared" si="2235"/>
        <v>8.404</v>
      </c>
      <c r="AX1375" s="9">
        <f t="shared" ref="AX1375:AY1375" si="4295">AM1375/$AF1375</f>
        <v>1.9</v>
      </c>
      <c r="AY1375" s="9">
        <f t="shared" si="4295"/>
        <v>0.64</v>
      </c>
      <c r="AZ1375" s="9">
        <f>VLOOKUP(A1375,Jogos!A:BN,58,0)</f>
        <v>27.61</v>
      </c>
      <c r="BA1375" s="9">
        <f>VLOOKUP(A1375,Jogos!A:BN,59,0)</f>
        <v>23.84</v>
      </c>
      <c r="BB1375" s="9">
        <f>VLOOKUP(A1375,Jogos!A:BN,60,0)</f>
        <v>79.5</v>
      </c>
      <c r="BC1375" s="9">
        <f>VLOOKUP(A1375,Jogos!A:BN,61,0)</f>
        <v>26.635</v>
      </c>
      <c r="BD1375" s="9">
        <f>VLOOKUP(A1375,Jogos!A:BN,62,0)</f>
        <v>0.05</v>
      </c>
      <c r="BE1375" s="9">
        <f>VLOOKUP(A1375,Jogos!A:BN,63,0)</f>
        <v>0.44</v>
      </c>
      <c r="BF1375" s="9">
        <f>VLOOKUP(A1375,Jogos!A:BN,64,0)</f>
        <v>25.225</v>
      </c>
      <c r="BG1375" s="9">
        <f>VLOOKUP(A1375,Jogos!A:BN,65,0)</f>
        <v>44.18</v>
      </c>
      <c r="BH1375" s="9">
        <f>VLOOKUP(A1375,Jogos!A:BN,66,0)</f>
        <v>29.25</v>
      </c>
      <c r="BI1375" s="9"/>
      <c r="BJ1375" s="9"/>
    </row>
    <row r="1376" hidden="1">
      <c r="A1376" s="2">
        <v>47.0</v>
      </c>
      <c r="B1376" s="11" t="s">
        <v>872</v>
      </c>
      <c r="C1376" s="2" t="s">
        <v>61</v>
      </c>
      <c r="D1376" s="3">
        <v>45834.0</v>
      </c>
      <c r="E1376" s="4">
        <v>0.8333333333333334</v>
      </c>
      <c r="F1376" s="5" t="str">
        <f>VLOOKUP(A1376,Jogos!A:N,10,0)</f>
        <v>Evening</v>
      </c>
      <c r="G1376" s="2" t="s">
        <v>1130</v>
      </c>
      <c r="H1376" s="6" t="str">
        <f>VLOOKUP(A1376,Jogos!A:L,12,0)</f>
        <v>Open</v>
      </c>
      <c r="I1376" s="6" t="str">
        <f>VLOOKUP(G1376,'Estádios e Cidades'!A:B,2,0)</f>
        <v>Nashville</v>
      </c>
      <c r="J1376" s="2" t="s">
        <v>874</v>
      </c>
      <c r="K1376" s="2" t="str">
        <f>VLOOKUP(J1376,Equipes!A:F,6,0)</f>
        <v>Tropical</v>
      </c>
      <c r="L1376" s="2">
        <f>VLOOKUP(J1376,Equipes!A:C,3,0)</f>
        <v>7</v>
      </c>
      <c r="M1376" s="2" t="str">
        <f t="shared" si="4"/>
        <v>Quarter-final</v>
      </c>
      <c r="N1376" s="2" t="s">
        <v>935</v>
      </c>
      <c r="O1376" s="2">
        <f>VLOOKUP(N1376,Equipes!A:C,3,0)</f>
        <v>30</v>
      </c>
      <c r="P1376" s="2" t="str">
        <f t="shared" si="5"/>
        <v>Group</v>
      </c>
      <c r="Q1376" s="2">
        <f t="shared" si="6"/>
        <v>-23</v>
      </c>
      <c r="R1376" s="2" t="str">
        <f>VLOOKUP(J1376,Equipes!A:B,2,0)</f>
        <v>AlHilal</v>
      </c>
      <c r="S1376" s="6" t="s">
        <v>915</v>
      </c>
      <c r="T1376" s="7">
        <v>20.0</v>
      </c>
      <c r="U1376" s="7" t="s">
        <v>916</v>
      </c>
      <c r="V1376" s="7" t="str">
        <f>VLOOKUP(U1376,Jogadores!B:C,2,0)</f>
        <v>DF</v>
      </c>
      <c r="W1376" s="8">
        <f>VLOOKUP(U1376,Jogadores!B:D,3,0)</f>
        <v>31.19178082</v>
      </c>
      <c r="X1376" s="7">
        <v>0.0</v>
      </c>
      <c r="Y1376" s="7">
        <v>86.0</v>
      </c>
      <c r="Z1376" s="7">
        <f>VLOOKUP(A1376,Jogos!A:L,3,0)</f>
        <v>49</v>
      </c>
      <c r="AA1376" s="7">
        <f t="shared" si="2229"/>
        <v>49</v>
      </c>
      <c r="AB1376" s="7">
        <f>VLOOKUP(A1376,Jogos!A:L,4,0)</f>
        <v>51</v>
      </c>
      <c r="AC1376" s="7">
        <f t="shared" si="2230"/>
        <v>41</v>
      </c>
      <c r="AD1376" s="7"/>
      <c r="AE1376" s="7"/>
      <c r="AF1376" s="7">
        <f t="shared" si="2231"/>
        <v>90</v>
      </c>
      <c r="AG1376" s="7">
        <v>9448.2</v>
      </c>
      <c r="AH1376" s="7">
        <v>4058.2</v>
      </c>
      <c r="AI1376" s="7">
        <v>3164.7</v>
      </c>
      <c r="AJ1376" s="7">
        <v>1335.3</v>
      </c>
      <c r="AK1376" s="7">
        <v>630.0</v>
      </c>
      <c r="AL1376" s="7">
        <v>259.9</v>
      </c>
      <c r="AM1376" s="7">
        <v>125.0</v>
      </c>
      <c r="AN1376" s="7">
        <v>47.0</v>
      </c>
      <c r="AO1376" s="7">
        <v>31.1</v>
      </c>
      <c r="AP1376" s="9">
        <f t="shared" ref="AP1376:AR1376" si="4296">AG1376/$AF1376</f>
        <v>104.98</v>
      </c>
      <c r="AQ1376" s="9">
        <f t="shared" si="4296"/>
        <v>45.09111111</v>
      </c>
      <c r="AR1376" s="9">
        <f t="shared" si="4296"/>
        <v>35.16333333</v>
      </c>
      <c r="AS1376" s="9">
        <f t="shared" si="2233"/>
        <v>80.25444444</v>
      </c>
      <c r="AT1376" s="9">
        <f t="shared" ref="AT1376:AV1376" si="4297">AJ1376/$AF1376</f>
        <v>14.83666667</v>
      </c>
      <c r="AU1376" s="9">
        <f t="shared" si="4297"/>
        <v>7</v>
      </c>
      <c r="AV1376" s="9">
        <f t="shared" si="4297"/>
        <v>2.887777778</v>
      </c>
      <c r="AW1376" s="9">
        <f t="shared" si="2235"/>
        <v>9.887777778</v>
      </c>
      <c r="AX1376" s="9">
        <f t="shared" ref="AX1376:AY1376" si="4298">AM1376/$AF1376</f>
        <v>1.388888889</v>
      </c>
      <c r="AY1376" s="9">
        <f t="shared" si="4298"/>
        <v>0.5222222222</v>
      </c>
      <c r="AZ1376" s="9">
        <f>VLOOKUP(A1376,Jogos!A:BN,58,0)</f>
        <v>27.61</v>
      </c>
      <c r="BA1376" s="9">
        <f>VLOOKUP(A1376,Jogos!A:BN,59,0)</f>
        <v>23.84</v>
      </c>
      <c r="BB1376" s="9">
        <f>VLOOKUP(A1376,Jogos!A:BN,60,0)</f>
        <v>79.5</v>
      </c>
      <c r="BC1376" s="9">
        <f>VLOOKUP(A1376,Jogos!A:BN,61,0)</f>
        <v>26.635</v>
      </c>
      <c r="BD1376" s="9">
        <f>VLOOKUP(A1376,Jogos!A:BN,62,0)</f>
        <v>0.05</v>
      </c>
      <c r="BE1376" s="9">
        <f>VLOOKUP(A1376,Jogos!A:BN,63,0)</f>
        <v>0.44</v>
      </c>
      <c r="BF1376" s="9">
        <f>VLOOKUP(A1376,Jogos!A:BN,64,0)</f>
        <v>25.225</v>
      </c>
      <c r="BG1376" s="9">
        <f>VLOOKUP(A1376,Jogos!A:BN,65,0)</f>
        <v>44.18</v>
      </c>
      <c r="BH1376" s="9">
        <f>VLOOKUP(A1376,Jogos!A:BN,66,0)</f>
        <v>29.25</v>
      </c>
      <c r="BI1376" s="9"/>
      <c r="BJ1376" s="9"/>
    </row>
    <row r="1377" hidden="1">
      <c r="A1377" s="2">
        <v>47.0</v>
      </c>
      <c r="B1377" s="11" t="s">
        <v>872</v>
      </c>
      <c r="C1377" s="2" t="s">
        <v>61</v>
      </c>
      <c r="D1377" s="3">
        <v>45834.0</v>
      </c>
      <c r="E1377" s="4">
        <v>0.8333333333333334</v>
      </c>
      <c r="F1377" s="5" t="str">
        <f>VLOOKUP(A1377,Jogos!A:N,10,0)</f>
        <v>Evening</v>
      </c>
      <c r="G1377" s="2" t="s">
        <v>1130</v>
      </c>
      <c r="H1377" s="6" t="str">
        <f>VLOOKUP(A1377,Jogos!A:L,12,0)</f>
        <v>Open</v>
      </c>
      <c r="I1377" s="6" t="str">
        <f>VLOOKUP(G1377,'Estádios e Cidades'!A:B,2,0)</f>
        <v>Nashville</v>
      </c>
      <c r="J1377" s="2" t="s">
        <v>874</v>
      </c>
      <c r="K1377" s="2" t="str">
        <f>VLOOKUP(J1377,Equipes!A:F,6,0)</f>
        <v>Tropical</v>
      </c>
      <c r="L1377" s="2">
        <f>VLOOKUP(J1377,Equipes!A:C,3,0)</f>
        <v>7</v>
      </c>
      <c r="M1377" s="2" t="str">
        <f t="shared" si="4"/>
        <v>Quarter-final</v>
      </c>
      <c r="N1377" s="2" t="s">
        <v>935</v>
      </c>
      <c r="O1377" s="2">
        <f>VLOOKUP(N1377,Equipes!A:C,3,0)</f>
        <v>30</v>
      </c>
      <c r="P1377" s="2" t="str">
        <f t="shared" si="5"/>
        <v>Group</v>
      </c>
      <c r="Q1377" s="2">
        <f t="shared" si="6"/>
        <v>-23</v>
      </c>
      <c r="R1377" s="2" t="str">
        <f>VLOOKUP(J1377,Equipes!A:B,2,0)</f>
        <v>AlHilal</v>
      </c>
      <c r="S1377" s="6" t="s">
        <v>917</v>
      </c>
      <c r="T1377" s="7">
        <v>22.0</v>
      </c>
      <c r="U1377" s="7" t="s">
        <v>918</v>
      </c>
      <c r="V1377" s="7" t="str">
        <f>VLOOKUP(U1377,Jogadores!B:C,2,0)</f>
        <v>MF</v>
      </c>
      <c r="W1377" s="8">
        <f>VLOOKUP(U1377,Jogadores!B:D,3,0)</f>
        <v>30.43561644</v>
      </c>
      <c r="X1377" s="7">
        <v>0.0</v>
      </c>
      <c r="Y1377" s="7">
        <f>45+AB1377</f>
        <v>96</v>
      </c>
      <c r="Z1377" s="7">
        <f>VLOOKUP(A1377,Jogos!A:L,3,0)</f>
        <v>49</v>
      </c>
      <c r="AA1377" s="7">
        <f t="shared" si="2229"/>
        <v>49</v>
      </c>
      <c r="AB1377" s="7">
        <f>VLOOKUP(A1377,Jogos!A:L,4,0)</f>
        <v>51</v>
      </c>
      <c r="AC1377" s="7">
        <f t="shared" si="2230"/>
        <v>51</v>
      </c>
      <c r="AD1377" s="7"/>
      <c r="AE1377" s="7"/>
      <c r="AF1377" s="7">
        <f t="shared" si="2231"/>
        <v>100</v>
      </c>
      <c r="AG1377" s="7">
        <v>12277.4</v>
      </c>
      <c r="AH1377" s="7">
        <v>3748.2</v>
      </c>
      <c r="AI1377" s="7">
        <v>6133.7</v>
      </c>
      <c r="AJ1377" s="7">
        <v>1920.2</v>
      </c>
      <c r="AK1377" s="7">
        <v>416.1</v>
      </c>
      <c r="AL1377" s="7">
        <v>59.3</v>
      </c>
      <c r="AM1377" s="7">
        <v>163.0</v>
      </c>
      <c r="AN1377" s="7">
        <v>35.0</v>
      </c>
      <c r="AO1377" s="7">
        <v>28.8</v>
      </c>
      <c r="AP1377" s="9">
        <f t="shared" ref="AP1377:AR1377" si="4299">AG1377/$AF1377</f>
        <v>122.774</v>
      </c>
      <c r="AQ1377" s="9">
        <f t="shared" si="4299"/>
        <v>37.482</v>
      </c>
      <c r="AR1377" s="9">
        <f t="shared" si="4299"/>
        <v>61.337</v>
      </c>
      <c r="AS1377" s="9">
        <f t="shared" si="2233"/>
        <v>98.819</v>
      </c>
      <c r="AT1377" s="9">
        <f t="shared" ref="AT1377:AV1377" si="4300">AJ1377/$AF1377</f>
        <v>19.202</v>
      </c>
      <c r="AU1377" s="9">
        <f t="shared" si="4300"/>
        <v>4.161</v>
      </c>
      <c r="AV1377" s="9">
        <f t="shared" si="4300"/>
        <v>0.593</v>
      </c>
      <c r="AW1377" s="9">
        <f t="shared" si="2235"/>
        <v>4.754</v>
      </c>
      <c r="AX1377" s="9">
        <f t="shared" ref="AX1377:AY1377" si="4301">AM1377/$AF1377</f>
        <v>1.63</v>
      </c>
      <c r="AY1377" s="9">
        <f t="shared" si="4301"/>
        <v>0.35</v>
      </c>
      <c r="AZ1377" s="9">
        <f>VLOOKUP(A1377,Jogos!A:BN,58,0)</f>
        <v>27.61</v>
      </c>
      <c r="BA1377" s="9">
        <f>VLOOKUP(A1377,Jogos!A:BN,59,0)</f>
        <v>23.84</v>
      </c>
      <c r="BB1377" s="9">
        <f>VLOOKUP(A1377,Jogos!A:BN,60,0)</f>
        <v>79.5</v>
      </c>
      <c r="BC1377" s="9">
        <f>VLOOKUP(A1377,Jogos!A:BN,61,0)</f>
        <v>26.635</v>
      </c>
      <c r="BD1377" s="9">
        <f>VLOOKUP(A1377,Jogos!A:BN,62,0)</f>
        <v>0.05</v>
      </c>
      <c r="BE1377" s="9">
        <f>VLOOKUP(A1377,Jogos!A:BN,63,0)</f>
        <v>0.44</v>
      </c>
      <c r="BF1377" s="9">
        <f>VLOOKUP(A1377,Jogos!A:BN,64,0)</f>
        <v>25.225</v>
      </c>
      <c r="BG1377" s="9">
        <f>VLOOKUP(A1377,Jogos!A:BN,65,0)</f>
        <v>44.18</v>
      </c>
      <c r="BH1377" s="9">
        <f>VLOOKUP(A1377,Jogos!A:BN,66,0)</f>
        <v>29.25</v>
      </c>
      <c r="BI1377" s="9"/>
      <c r="BJ1377" s="9"/>
    </row>
    <row r="1378" hidden="1">
      <c r="A1378" s="2">
        <v>47.0</v>
      </c>
      <c r="B1378" s="11" t="s">
        <v>872</v>
      </c>
      <c r="C1378" s="2" t="s">
        <v>61</v>
      </c>
      <c r="D1378" s="3">
        <v>45834.0</v>
      </c>
      <c r="E1378" s="4">
        <v>0.8333333333333334</v>
      </c>
      <c r="F1378" s="5" t="str">
        <f>VLOOKUP(A1378,Jogos!A:N,10,0)</f>
        <v>Evening</v>
      </c>
      <c r="G1378" s="2" t="s">
        <v>1130</v>
      </c>
      <c r="H1378" s="6" t="str">
        <f>VLOOKUP(A1378,Jogos!A:L,12,0)</f>
        <v>Open</v>
      </c>
      <c r="I1378" s="6" t="str">
        <f>VLOOKUP(G1378,'Estádios e Cidades'!A:B,2,0)</f>
        <v>Nashville</v>
      </c>
      <c r="J1378" s="2" t="s">
        <v>874</v>
      </c>
      <c r="K1378" s="2" t="str">
        <f>VLOOKUP(J1378,Equipes!A:F,6,0)</f>
        <v>Tropical</v>
      </c>
      <c r="L1378" s="2">
        <f>VLOOKUP(J1378,Equipes!A:C,3,0)</f>
        <v>7</v>
      </c>
      <c r="M1378" s="2" t="str">
        <f t="shared" si="4"/>
        <v>Quarter-final</v>
      </c>
      <c r="N1378" s="2" t="s">
        <v>935</v>
      </c>
      <c r="O1378" s="2">
        <f>VLOOKUP(N1378,Equipes!A:C,3,0)</f>
        <v>30</v>
      </c>
      <c r="P1378" s="2" t="str">
        <f t="shared" si="5"/>
        <v>Group</v>
      </c>
      <c r="Q1378" s="2">
        <f t="shared" si="6"/>
        <v>-23</v>
      </c>
      <c r="R1378" s="2" t="str">
        <f>VLOOKUP(J1378,Equipes!A:B,2,0)</f>
        <v>AlHilal</v>
      </c>
      <c r="S1378" s="6" t="s">
        <v>919</v>
      </c>
      <c r="T1378" s="7">
        <v>29.0</v>
      </c>
      <c r="U1378" s="7" t="s">
        <v>920</v>
      </c>
      <c r="V1378" s="7" t="str">
        <f>VLOOKUP(U1378,Jogadores!B:C,2,0)</f>
        <v>MF</v>
      </c>
      <c r="W1378" s="8">
        <f>VLOOKUP(U1378,Jogadores!B:D,3,0)</f>
        <v>33.96438356</v>
      </c>
      <c r="X1378" s="7">
        <v>0.0</v>
      </c>
      <c r="Y1378" s="7">
        <v>76.0</v>
      </c>
      <c r="Z1378" s="7">
        <f>VLOOKUP(A1378,Jogos!A:L,3,0)</f>
        <v>49</v>
      </c>
      <c r="AA1378" s="7">
        <f t="shared" si="2229"/>
        <v>49</v>
      </c>
      <c r="AB1378" s="7">
        <f>VLOOKUP(A1378,Jogos!A:L,4,0)</f>
        <v>51</v>
      </c>
      <c r="AC1378" s="7">
        <f t="shared" si="2230"/>
        <v>31</v>
      </c>
      <c r="AD1378" s="7"/>
      <c r="AE1378" s="7"/>
      <c r="AF1378" s="7">
        <f t="shared" si="2231"/>
        <v>80</v>
      </c>
      <c r="AG1378" s="7">
        <v>7667.8</v>
      </c>
      <c r="AH1378" s="7">
        <v>3275.7</v>
      </c>
      <c r="AI1378" s="7">
        <v>2504.2</v>
      </c>
      <c r="AJ1378" s="7">
        <v>1020.0</v>
      </c>
      <c r="AK1378" s="7">
        <v>574.4</v>
      </c>
      <c r="AL1378" s="7">
        <v>293.5</v>
      </c>
      <c r="AM1378" s="7">
        <v>92.0</v>
      </c>
      <c r="AN1378" s="7">
        <v>53.0</v>
      </c>
      <c r="AO1378" s="7">
        <v>32.5</v>
      </c>
      <c r="AP1378" s="9">
        <f t="shared" ref="AP1378:AR1378" si="4302">AG1378/$AF1378</f>
        <v>95.8475</v>
      </c>
      <c r="AQ1378" s="9">
        <f t="shared" si="4302"/>
        <v>40.94625</v>
      </c>
      <c r="AR1378" s="9">
        <f t="shared" si="4302"/>
        <v>31.3025</v>
      </c>
      <c r="AS1378" s="9">
        <f t="shared" si="2233"/>
        <v>72.24875</v>
      </c>
      <c r="AT1378" s="9">
        <f t="shared" ref="AT1378:AV1378" si="4303">AJ1378/$AF1378</f>
        <v>12.75</v>
      </c>
      <c r="AU1378" s="9">
        <f t="shared" si="4303"/>
        <v>7.18</v>
      </c>
      <c r="AV1378" s="9">
        <f t="shared" si="4303"/>
        <v>3.66875</v>
      </c>
      <c r="AW1378" s="9">
        <f t="shared" si="2235"/>
        <v>10.84875</v>
      </c>
      <c r="AX1378" s="9">
        <f t="shared" ref="AX1378:AY1378" si="4304">AM1378/$AF1378</f>
        <v>1.15</v>
      </c>
      <c r="AY1378" s="9">
        <f t="shared" si="4304"/>
        <v>0.6625</v>
      </c>
      <c r="AZ1378" s="9">
        <f>VLOOKUP(A1378,Jogos!A:BN,58,0)</f>
        <v>27.61</v>
      </c>
      <c r="BA1378" s="9">
        <f>VLOOKUP(A1378,Jogos!A:BN,59,0)</f>
        <v>23.84</v>
      </c>
      <c r="BB1378" s="9">
        <f>VLOOKUP(A1378,Jogos!A:BN,60,0)</f>
        <v>79.5</v>
      </c>
      <c r="BC1378" s="9">
        <f>VLOOKUP(A1378,Jogos!A:BN,61,0)</f>
        <v>26.635</v>
      </c>
      <c r="BD1378" s="9">
        <f>VLOOKUP(A1378,Jogos!A:BN,62,0)</f>
        <v>0.05</v>
      </c>
      <c r="BE1378" s="9">
        <f>VLOOKUP(A1378,Jogos!A:BN,63,0)</f>
        <v>0.44</v>
      </c>
      <c r="BF1378" s="9">
        <f>VLOOKUP(A1378,Jogos!A:BN,64,0)</f>
        <v>25.225</v>
      </c>
      <c r="BG1378" s="9">
        <f>VLOOKUP(A1378,Jogos!A:BN,65,0)</f>
        <v>44.18</v>
      </c>
      <c r="BH1378" s="9">
        <f>VLOOKUP(A1378,Jogos!A:BN,66,0)</f>
        <v>29.25</v>
      </c>
      <c r="BI1378" s="9"/>
      <c r="BJ1378" s="9"/>
    </row>
    <row r="1379" hidden="1">
      <c r="A1379" s="2">
        <v>47.0</v>
      </c>
      <c r="B1379" s="11" t="s">
        <v>872</v>
      </c>
      <c r="C1379" s="2" t="s">
        <v>61</v>
      </c>
      <c r="D1379" s="3">
        <v>45834.0</v>
      </c>
      <c r="E1379" s="4">
        <v>0.8333333333333334</v>
      </c>
      <c r="F1379" s="5" t="str">
        <f>VLOOKUP(A1379,Jogos!A:N,10,0)</f>
        <v>Evening</v>
      </c>
      <c r="G1379" s="2" t="s">
        <v>1130</v>
      </c>
      <c r="H1379" s="6" t="str">
        <f>VLOOKUP(A1379,Jogos!A:L,12,0)</f>
        <v>Open</v>
      </c>
      <c r="I1379" s="6" t="str">
        <f>VLOOKUP(G1379,'Estádios e Cidades'!A:B,2,0)</f>
        <v>Nashville</v>
      </c>
      <c r="J1379" s="2" t="s">
        <v>874</v>
      </c>
      <c r="K1379" s="2" t="str">
        <f>VLOOKUP(J1379,Equipes!A:F,6,0)</f>
        <v>Tropical</v>
      </c>
      <c r="L1379" s="2">
        <f>VLOOKUP(J1379,Equipes!A:C,3,0)</f>
        <v>7</v>
      </c>
      <c r="M1379" s="2" t="str">
        <f t="shared" si="4"/>
        <v>Quarter-final</v>
      </c>
      <c r="N1379" s="2" t="s">
        <v>935</v>
      </c>
      <c r="O1379" s="2">
        <f>VLOOKUP(N1379,Equipes!A:C,3,0)</f>
        <v>30</v>
      </c>
      <c r="P1379" s="2" t="str">
        <f t="shared" si="5"/>
        <v>Group</v>
      </c>
      <c r="Q1379" s="2">
        <f t="shared" si="6"/>
        <v>-23</v>
      </c>
      <c r="R1379" s="2" t="str">
        <f>VLOOKUP(J1379,Equipes!A:B,2,0)</f>
        <v>AlHilal</v>
      </c>
      <c r="S1379" s="6" t="s">
        <v>921</v>
      </c>
      <c r="T1379" s="7">
        <v>77.0</v>
      </c>
      <c r="U1379" s="7" t="s">
        <v>922</v>
      </c>
      <c r="V1379" s="7" t="str">
        <f>VLOOKUP(U1379,Jogadores!B:C,2,0)</f>
        <v>MF</v>
      </c>
      <c r="W1379" s="8">
        <f>VLOOKUP(U1379,Jogadores!B:D,3,0)</f>
        <v>28.43561644</v>
      </c>
      <c r="X1379" s="7">
        <v>0.0</v>
      </c>
      <c r="Y1379" s="7">
        <v>86.0</v>
      </c>
      <c r="Z1379" s="7">
        <f>VLOOKUP(A1379,Jogos!A:L,3,0)</f>
        <v>49</v>
      </c>
      <c r="AA1379" s="7">
        <f t="shared" si="2229"/>
        <v>49</v>
      </c>
      <c r="AB1379" s="7">
        <f>VLOOKUP(A1379,Jogos!A:L,4,0)</f>
        <v>51</v>
      </c>
      <c r="AC1379" s="7">
        <f t="shared" si="2230"/>
        <v>41</v>
      </c>
      <c r="AD1379" s="7"/>
      <c r="AE1379" s="7"/>
      <c r="AF1379" s="7">
        <f t="shared" si="2231"/>
        <v>90</v>
      </c>
      <c r="AG1379" s="7">
        <v>9275.4</v>
      </c>
      <c r="AH1379" s="7">
        <v>3335.6</v>
      </c>
      <c r="AI1379" s="7">
        <v>3940.6</v>
      </c>
      <c r="AJ1379" s="7">
        <v>1232.1</v>
      </c>
      <c r="AK1379" s="7">
        <v>462.5</v>
      </c>
      <c r="AL1379" s="7">
        <v>304.6</v>
      </c>
      <c r="AM1379" s="7">
        <v>108.0</v>
      </c>
      <c r="AN1379" s="7">
        <v>43.0</v>
      </c>
      <c r="AO1379" s="7">
        <v>30.9</v>
      </c>
      <c r="AP1379" s="9">
        <f t="shared" ref="AP1379:AR1379" si="4305">AG1379/$AF1379</f>
        <v>103.06</v>
      </c>
      <c r="AQ1379" s="9">
        <f t="shared" si="4305"/>
        <v>37.06222222</v>
      </c>
      <c r="AR1379" s="9">
        <f t="shared" si="4305"/>
        <v>43.78444444</v>
      </c>
      <c r="AS1379" s="9">
        <f t="shared" si="2233"/>
        <v>80.84666667</v>
      </c>
      <c r="AT1379" s="9">
        <f t="shared" ref="AT1379:AV1379" si="4306">AJ1379/$AF1379</f>
        <v>13.69</v>
      </c>
      <c r="AU1379" s="9">
        <f t="shared" si="4306"/>
        <v>5.138888889</v>
      </c>
      <c r="AV1379" s="9">
        <f t="shared" si="4306"/>
        <v>3.384444444</v>
      </c>
      <c r="AW1379" s="9">
        <f t="shared" si="2235"/>
        <v>8.523333333</v>
      </c>
      <c r="AX1379" s="9">
        <f t="shared" ref="AX1379:AY1379" si="4307">AM1379/$AF1379</f>
        <v>1.2</v>
      </c>
      <c r="AY1379" s="9">
        <f t="shared" si="4307"/>
        <v>0.4777777778</v>
      </c>
      <c r="AZ1379" s="9">
        <f>VLOOKUP(A1379,Jogos!A:BN,58,0)</f>
        <v>27.61</v>
      </c>
      <c r="BA1379" s="9">
        <f>VLOOKUP(A1379,Jogos!A:BN,59,0)</f>
        <v>23.84</v>
      </c>
      <c r="BB1379" s="9">
        <f>VLOOKUP(A1379,Jogos!A:BN,60,0)</f>
        <v>79.5</v>
      </c>
      <c r="BC1379" s="9">
        <f>VLOOKUP(A1379,Jogos!A:BN,61,0)</f>
        <v>26.635</v>
      </c>
      <c r="BD1379" s="9">
        <f>VLOOKUP(A1379,Jogos!A:BN,62,0)</f>
        <v>0.05</v>
      </c>
      <c r="BE1379" s="9">
        <f>VLOOKUP(A1379,Jogos!A:BN,63,0)</f>
        <v>0.44</v>
      </c>
      <c r="BF1379" s="9">
        <f>VLOOKUP(A1379,Jogos!A:BN,64,0)</f>
        <v>25.225</v>
      </c>
      <c r="BG1379" s="9">
        <f>VLOOKUP(A1379,Jogos!A:BN,65,0)</f>
        <v>44.18</v>
      </c>
      <c r="BH1379" s="9">
        <f>VLOOKUP(A1379,Jogos!A:BN,66,0)</f>
        <v>29.25</v>
      </c>
      <c r="BI1379" s="9"/>
      <c r="BJ1379" s="9"/>
    </row>
    <row r="1380" hidden="1">
      <c r="A1380" s="2">
        <v>47.0</v>
      </c>
      <c r="B1380" s="11" t="s">
        <v>872</v>
      </c>
      <c r="C1380" s="2" t="s">
        <v>61</v>
      </c>
      <c r="D1380" s="3">
        <v>45834.0</v>
      </c>
      <c r="E1380" s="4">
        <v>0.8333333333333334</v>
      </c>
      <c r="F1380" s="5" t="str">
        <f>VLOOKUP(A1380,Jogos!A:N,10,0)</f>
        <v>Evening</v>
      </c>
      <c r="G1380" s="2" t="s">
        <v>1130</v>
      </c>
      <c r="H1380" s="6" t="str">
        <f>VLOOKUP(A1380,Jogos!A:L,12,0)</f>
        <v>Open</v>
      </c>
      <c r="I1380" s="6" t="str">
        <f>VLOOKUP(G1380,'Estádios e Cidades'!A:B,2,0)</f>
        <v>Nashville</v>
      </c>
      <c r="J1380" s="2" t="s">
        <v>874</v>
      </c>
      <c r="K1380" s="2" t="str">
        <f>VLOOKUP(J1380,Equipes!A:F,6,0)</f>
        <v>Tropical</v>
      </c>
      <c r="L1380" s="2">
        <f>VLOOKUP(J1380,Equipes!A:C,3,0)</f>
        <v>7</v>
      </c>
      <c r="M1380" s="2" t="str">
        <f t="shared" si="4"/>
        <v>Quarter-final</v>
      </c>
      <c r="N1380" s="2" t="s">
        <v>935</v>
      </c>
      <c r="O1380" s="2">
        <f>VLOOKUP(N1380,Equipes!A:C,3,0)</f>
        <v>30</v>
      </c>
      <c r="P1380" s="2" t="str">
        <f t="shared" si="5"/>
        <v>Group</v>
      </c>
      <c r="Q1380" s="2">
        <f t="shared" si="6"/>
        <v>-23</v>
      </c>
      <c r="R1380" s="2" t="str">
        <f>VLOOKUP(J1380,Equipes!A:B,2,0)</f>
        <v>AlHilal</v>
      </c>
      <c r="S1380" s="6" t="s">
        <v>923</v>
      </c>
      <c r="T1380" s="7">
        <v>87.0</v>
      </c>
      <c r="U1380" s="7" t="s">
        <v>924</v>
      </c>
      <c r="V1380" s="7" t="str">
        <f>VLOOKUP(U1380,Jogadores!B:C,2,0)</f>
        <v>DF</v>
      </c>
      <c r="W1380" s="8">
        <f>VLOOKUP(U1380,Jogadores!B:D,3,0)</f>
        <v>26.48219178</v>
      </c>
      <c r="X1380" s="7">
        <v>0.0</v>
      </c>
      <c r="Y1380" s="7">
        <v>77.0</v>
      </c>
      <c r="Z1380" s="7">
        <f>VLOOKUP(A1380,Jogos!A:L,3,0)</f>
        <v>49</v>
      </c>
      <c r="AA1380" s="7">
        <f t="shared" si="2229"/>
        <v>49</v>
      </c>
      <c r="AB1380" s="7">
        <f>VLOOKUP(A1380,Jogos!A:L,4,0)</f>
        <v>51</v>
      </c>
      <c r="AC1380" s="7">
        <f t="shared" si="2230"/>
        <v>32</v>
      </c>
      <c r="AD1380" s="7"/>
      <c r="AE1380" s="7"/>
      <c r="AF1380" s="7">
        <f t="shared" si="2231"/>
        <v>81</v>
      </c>
      <c r="AG1380" s="7">
        <v>7375.8</v>
      </c>
      <c r="AH1380" s="7">
        <v>2983.6</v>
      </c>
      <c r="AI1380" s="7">
        <v>3154.9</v>
      </c>
      <c r="AJ1380" s="7">
        <v>841.6</v>
      </c>
      <c r="AK1380" s="7">
        <v>251.9</v>
      </c>
      <c r="AL1380" s="7">
        <v>143.7</v>
      </c>
      <c r="AM1380" s="7">
        <v>76.0</v>
      </c>
      <c r="AN1380" s="7">
        <v>23.0</v>
      </c>
      <c r="AO1380" s="7">
        <v>30.0</v>
      </c>
      <c r="AP1380" s="9">
        <f t="shared" ref="AP1380:AR1380" si="4308">AG1380/$AF1380</f>
        <v>91.05925926</v>
      </c>
      <c r="AQ1380" s="9">
        <f t="shared" si="4308"/>
        <v>36.8345679</v>
      </c>
      <c r="AR1380" s="9">
        <f t="shared" si="4308"/>
        <v>38.94938272</v>
      </c>
      <c r="AS1380" s="9">
        <f t="shared" si="2233"/>
        <v>75.78395062</v>
      </c>
      <c r="AT1380" s="9">
        <f t="shared" ref="AT1380:AV1380" si="4309">AJ1380/$AF1380</f>
        <v>10.39012346</v>
      </c>
      <c r="AU1380" s="9">
        <f t="shared" si="4309"/>
        <v>3.109876543</v>
      </c>
      <c r="AV1380" s="9">
        <f t="shared" si="4309"/>
        <v>1.774074074</v>
      </c>
      <c r="AW1380" s="9">
        <f t="shared" si="2235"/>
        <v>4.883950617</v>
      </c>
      <c r="AX1380" s="9">
        <f t="shared" ref="AX1380:AY1380" si="4310">AM1380/$AF1380</f>
        <v>0.9382716049</v>
      </c>
      <c r="AY1380" s="9">
        <f t="shared" si="4310"/>
        <v>0.2839506173</v>
      </c>
      <c r="AZ1380" s="9">
        <f>VLOOKUP(A1380,Jogos!A:BN,58,0)</f>
        <v>27.61</v>
      </c>
      <c r="BA1380" s="9">
        <f>VLOOKUP(A1380,Jogos!A:BN,59,0)</f>
        <v>23.84</v>
      </c>
      <c r="BB1380" s="9">
        <f>VLOOKUP(A1380,Jogos!A:BN,60,0)</f>
        <v>79.5</v>
      </c>
      <c r="BC1380" s="9">
        <f>VLOOKUP(A1380,Jogos!A:BN,61,0)</f>
        <v>26.635</v>
      </c>
      <c r="BD1380" s="9">
        <f>VLOOKUP(A1380,Jogos!A:BN,62,0)</f>
        <v>0.05</v>
      </c>
      <c r="BE1380" s="9">
        <f>VLOOKUP(A1380,Jogos!A:BN,63,0)</f>
        <v>0.44</v>
      </c>
      <c r="BF1380" s="9">
        <f>VLOOKUP(A1380,Jogos!A:BN,64,0)</f>
        <v>25.225</v>
      </c>
      <c r="BG1380" s="9">
        <f>VLOOKUP(A1380,Jogos!A:BN,65,0)</f>
        <v>44.18</v>
      </c>
      <c r="BH1380" s="9">
        <f>VLOOKUP(A1380,Jogos!A:BN,66,0)</f>
        <v>29.25</v>
      </c>
      <c r="BI1380" s="9"/>
      <c r="BJ1380" s="9"/>
    </row>
    <row r="1381" hidden="1">
      <c r="A1381" s="2">
        <v>47.0</v>
      </c>
      <c r="B1381" s="11" t="s">
        <v>872</v>
      </c>
      <c r="C1381" s="2" t="s">
        <v>61</v>
      </c>
      <c r="D1381" s="3">
        <v>45834.0</v>
      </c>
      <c r="E1381" s="4">
        <v>0.8333333333333334</v>
      </c>
      <c r="F1381" s="5" t="str">
        <f>VLOOKUP(A1381,Jogos!A:N,10,0)</f>
        <v>Evening</v>
      </c>
      <c r="G1381" s="2" t="s">
        <v>1130</v>
      </c>
      <c r="H1381" s="6" t="str">
        <f>VLOOKUP(A1381,Jogos!A:L,12,0)</f>
        <v>Open</v>
      </c>
      <c r="I1381" s="6" t="str">
        <f>VLOOKUP(G1381,'Estádios e Cidades'!A:B,2,0)</f>
        <v>Nashville</v>
      </c>
      <c r="J1381" s="2" t="s">
        <v>874</v>
      </c>
      <c r="K1381" s="2" t="str">
        <f>VLOOKUP(J1381,Equipes!A:F,6,0)</f>
        <v>Tropical</v>
      </c>
      <c r="L1381" s="2">
        <f>VLOOKUP(J1381,Equipes!A:C,3,0)</f>
        <v>7</v>
      </c>
      <c r="M1381" s="2" t="str">
        <f t="shared" si="4"/>
        <v>Quarter-final</v>
      </c>
      <c r="N1381" s="2" t="s">
        <v>935</v>
      </c>
      <c r="O1381" s="2">
        <f>VLOOKUP(N1381,Equipes!A:C,3,0)</f>
        <v>30</v>
      </c>
      <c r="P1381" s="2" t="str">
        <f t="shared" si="5"/>
        <v>Group</v>
      </c>
      <c r="Q1381" s="2">
        <f t="shared" si="6"/>
        <v>-23</v>
      </c>
      <c r="R1381" s="2" t="str">
        <f>VLOOKUP(J1381,Equipes!A:B,2,0)</f>
        <v>AlHilal</v>
      </c>
      <c r="S1381" s="6" t="s">
        <v>927</v>
      </c>
      <c r="T1381" s="7">
        <v>18.0</v>
      </c>
      <c r="U1381" s="7" t="s">
        <v>928</v>
      </c>
      <c r="V1381" s="7" t="str">
        <f>VLOOKUP(U1381,Jogadores!B:C,2,0)</f>
        <v>MF</v>
      </c>
      <c r="W1381" s="8">
        <f>VLOOKUP(U1381,Jogadores!B:D,3,0)</f>
        <v>22.12054795</v>
      </c>
      <c r="X1381" s="7">
        <v>86.0</v>
      </c>
      <c r="Y1381" s="7">
        <f t="shared" ref="Y1381:Y1385" si="4314">45+AB1381</f>
        <v>96</v>
      </c>
      <c r="Z1381" s="7">
        <f>VLOOKUP(A1381,Jogos!A:L,3,0)</f>
        <v>49</v>
      </c>
      <c r="AA1381" s="7">
        <f t="shared" si="2229"/>
        <v>0</v>
      </c>
      <c r="AB1381" s="7">
        <f>VLOOKUP(A1381,Jogos!A:L,4,0)</f>
        <v>51</v>
      </c>
      <c r="AC1381" s="7">
        <f t="shared" si="2230"/>
        <v>10</v>
      </c>
      <c r="AD1381" s="7"/>
      <c r="AE1381" s="7"/>
      <c r="AF1381" s="7">
        <f t="shared" si="2231"/>
        <v>10</v>
      </c>
      <c r="AG1381" s="7">
        <v>1338.6</v>
      </c>
      <c r="AH1381" s="7">
        <v>362.0</v>
      </c>
      <c r="AI1381" s="7">
        <v>622.5</v>
      </c>
      <c r="AJ1381" s="7">
        <v>206.8</v>
      </c>
      <c r="AK1381" s="7">
        <v>87.7</v>
      </c>
      <c r="AL1381" s="7">
        <v>59.7</v>
      </c>
      <c r="AM1381" s="7">
        <v>23.0</v>
      </c>
      <c r="AN1381" s="7">
        <v>8.0</v>
      </c>
      <c r="AO1381" s="7">
        <v>30.0</v>
      </c>
      <c r="AP1381" s="9">
        <f t="shared" ref="AP1381:AR1381" si="4311">AG1381/$AF1381</f>
        <v>133.86</v>
      </c>
      <c r="AQ1381" s="9">
        <f t="shared" si="4311"/>
        <v>36.2</v>
      </c>
      <c r="AR1381" s="9">
        <f t="shared" si="4311"/>
        <v>62.25</v>
      </c>
      <c r="AS1381" s="9">
        <f t="shared" si="2233"/>
        <v>98.45</v>
      </c>
      <c r="AT1381" s="9">
        <f t="shared" ref="AT1381:AV1381" si="4312">AJ1381/$AF1381</f>
        <v>20.68</v>
      </c>
      <c r="AU1381" s="9">
        <f t="shared" si="4312"/>
        <v>8.77</v>
      </c>
      <c r="AV1381" s="9">
        <f t="shared" si="4312"/>
        <v>5.97</v>
      </c>
      <c r="AW1381" s="9">
        <f t="shared" si="2235"/>
        <v>14.74</v>
      </c>
      <c r="AX1381" s="9">
        <f t="shared" ref="AX1381:AY1381" si="4313">AM1381/$AF1381</f>
        <v>2.3</v>
      </c>
      <c r="AY1381" s="9">
        <f t="shared" si="4313"/>
        <v>0.8</v>
      </c>
      <c r="AZ1381" s="9">
        <f>VLOOKUP(A1381,Jogos!A:BN,58,0)</f>
        <v>27.61</v>
      </c>
      <c r="BA1381" s="9">
        <f>VLOOKUP(A1381,Jogos!A:BN,59,0)</f>
        <v>23.84</v>
      </c>
      <c r="BB1381" s="9">
        <f>VLOOKUP(A1381,Jogos!A:BN,60,0)</f>
        <v>79.5</v>
      </c>
      <c r="BC1381" s="9">
        <f>VLOOKUP(A1381,Jogos!A:BN,61,0)</f>
        <v>26.635</v>
      </c>
      <c r="BD1381" s="9">
        <f>VLOOKUP(A1381,Jogos!A:BN,62,0)</f>
        <v>0.05</v>
      </c>
      <c r="BE1381" s="9">
        <f>VLOOKUP(A1381,Jogos!A:BN,63,0)</f>
        <v>0.44</v>
      </c>
      <c r="BF1381" s="9">
        <f>VLOOKUP(A1381,Jogos!A:BN,64,0)</f>
        <v>25.225</v>
      </c>
      <c r="BG1381" s="9">
        <f>VLOOKUP(A1381,Jogos!A:BN,65,0)</f>
        <v>44.18</v>
      </c>
      <c r="BH1381" s="9">
        <f>VLOOKUP(A1381,Jogos!A:BN,66,0)</f>
        <v>29.25</v>
      </c>
      <c r="BI1381" s="9"/>
      <c r="BJ1381" s="9"/>
    </row>
    <row r="1382" hidden="1">
      <c r="A1382" s="2">
        <v>47.0</v>
      </c>
      <c r="B1382" s="11" t="s">
        <v>872</v>
      </c>
      <c r="C1382" s="2" t="s">
        <v>61</v>
      </c>
      <c r="D1382" s="3">
        <v>45834.0</v>
      </c>
      <c r="E1382" s="4">
        <v>0.8333333333333334</v>
      </c>
      <c r="F1382" s="5" t="str">
        <f>VLOOKUP(A1382,Jogos!A:N,10,0)</f>
        <v>Evening</v>
      </c>
      <c r="G1382" s="2" t="s">
        <v>1130</v>
      </c>
      <c r="H1382" s="6" t="str">
        <f>VLOOKUP(A1382,Jogos!A:L,12,0)</f>
        <v>Open</v>
      </c>
      <c r="I1382" s="6" t="str">
        <f>VLOOKUP(G1382,'Estádios e Cidades'!A:B,2,0)</f>
        <v>Nashville</v>
      </c>
      <c r="J1382" s="2" t="s">
        <v>874</v>
      </c>
      <c r="K1382" s="2" t="str">
        <f>VLOOKUP(J1382,Equipes!A:F,6,0)</f>
        <v>Tropical</v>
      </c>
      <c r="L1382" s="2">
        <f>VLOOKUP(J1382,Equipes!A:C,3,0)</f>
        <v>7</v>
      </c>
      <c r="M1382" s="2" t="str">
        <f t="shared" si="4"/>
        <v>Quarter-final</v>
      </c>
      <c r="N1382" s="2" t="s">
        <v>935</v>
      </c>
      <c r="O1382" s="2">
        <f>VLOOKUP(N1382,Equipes!A:C,3,0)</f>
        <v>30</v>
      </c>
      <c r="P1382" s="2" t="str">
        <f t="shared" si="5"/>
        <v>Group</v>
      </c>
      <c r="Q1382" s="2">
        <f t="shared" si="6"/>
        <v>-23</v>
      </c>
      <c r="R1382" s="2" t="str">
        <f>VLOOKUP(J1382,Equipes!A:B,2,0)</f>
        <v>AlHilal</v>
      </c>
      <c r="S1382" s="6" t="s">
        <v>929</v>
      </c>
      <c r="T1382" s="7">
        <v>24.0</v>
      </c>
      <c r="U1382" s="7" t="s">
        <v>930</v>
      </c>
      <c r="V1382" s="7" t="str">
        <f>VLOOKUP(U1382,Jogadores!B:C,2,0)</f>
        <v>DF</v>
      </c>
      <c r="W1382" s="8">
        <f>VLOOKUP(U1382,Jogadores!B:D,3,0)</f>
        <v>25.45479452</v>
      </c>
      <c r="X1382" s="7">
        <v>71.0</v>
      </c>
      <c r="Y1382" s="7">
        <f t="shared" si="4314"/>
        <v>96</v>
      </c>
      <c r="Z1382" s="7">
        <f>VLOOKUP(A1382,Jogos!A:L,3,0)</f>
        <v>49</v>
      </c>
      <c r="AA1382" s="7">
        <f t="shared" si="2229"/>
        <v>0</v>
      </c>
      <c r="AB1382" s="7">
        <f>VLOOKUP(A1382,Jogos!A:L,4,0)</f>
        <v>51</v>
      </c>
      <c r="AC1382" s="7">
        <f t="shared" si="2230"/>
        <v>25</v>
      </c>
      <c r="AD1382" s="7"/>
      <c r="AE1382" s="7"/>
      <c r="AF1382" s="7">
        <f t="shared" si="2231"/>
        <v>25</v>
      </c>
      <c r="AG1382" s="7">
        <v>2703.6</v>
      </c>
      <c r="AH1382" s="7">
        <v>1057.4</v>
      </c>
      <c r="AI1382" s="7">
        <v>888.1</v>
      </c>
      <c r="AJ1382" s="7">
        <v>443.0</v>
      </c>
      <c r="AK1382" s="7">
        <v>200.0</v>
      </c>
      <c r="AL1382" s="7">
        <v>115.0</v>
      </c>
      <c r="AM1382" s="7">
        <v>37.0</v>
      </c>
      <c r="AN1382" s="7">
        <v>20.0</v>
      </c>
      <c r="AO1382" s="7">
        <v>33.7</v>
      </c>
      <c r="AP1382" s="9">
        <f t="shared" ref="AP1382:AR1382" si="4315">AG1382/$AF1382</f>
        <v>108.144</v>
      </c>
      <c r="AQ1382" s="9">
        <f t="shared" si="4315"/>
        <v>42.296</v>
      </c>
      <c r="AR1382" s="9">
        <f t="shared" si="4315"/>
        <v>35.524</v>
      </c>
      <c r="AS1382" s="9">
        <f t="shared" si="2233"/>
        <v>77.82</v>
      </c>
      <c r="AT1382" s="9">
        <f t="shared" ref="AT1382:AV1382" si="4316">AJ1382/$AF1382</f>
        <v>17.72</v>
      </c>
      <c r="AU1382" s="9">
        <f t="shared" si="4316"/>
        <v>8</v>
      </c>
      <c r="AV1382" s="9">
        <f t="shared" si="4316"/>
        <v>4.6</v>
      </c>
      <c r="AW1382" s="9">
        <f t="shared" si="2235"/>
        <v>12.6</v>
      </c>
      <c r="AX1382" s="9">
        <f t="shared" ref="AX1382:AY1382" si="4317">AM1382/$AF1382</f>
        <v>1.48</v>
      </c>
      <c r="AY1382" s="9">
        <f t="shared" si="4317"/>
        <v>0.8</v>
      </c>
      <c r="AZ1382" s="9">
        <f>VLOOKUP(A1382,Jogos!A:BN,58,0)</f>
        <v>27.61</v>
      </c>
      <c r="BA1382" s="9">
        <f>VLOOKUP(A1382,Jogos!A:BN,59,0)</f>
        <v>23.84</v>
      </c>
      <c r="BB1382" s="9">
        <f>VLOOKUP(A1382,Jogos!A:BN,60,0)</f>
        <v>79.5</v>
      </c>
      <c r="BC1382" s="9">
        <f>VLOOKUP(A1382,Jogos!A:BN,61,0)</f>
        <v>26.635</v>
      </c>
      <c r="BD1382" s="9">
        <f>VLOOKUP(A1382,Jogos!A:BN,62,0)</f>
        <v>0.05</v>
      </c>
      <c r="BE1382" s="9">
        <f>VLOOKUP(A1382,Jogos!A:BN,63,0)</f>
        <v>0.44</v>
      </c>
      <c r="BF1382" s="9">
        <f>VLOOKUP(A1382,Jogos!A:BN,64,0)</f>
        <v>25.225</v>
      </c>
      <c r="BG1382" s="9">
        <f>VLOOKUP(A1382,Jogos!A:BN,65,0)</f>
        <v>44.18</v>
      </c>
      <c r="BH1382" s="9">
        <f>VLOOKUP(A1382,Jogos!A:BN,66,0)</f>
        <v>29.25</v>
      </c>
      <c r="BI1382" s="9"/>
      <c r="BJ1382" s="9"/>
    </row>
    <row r="1383" hidden="1">
      <c r="A1383" s="2">
        <v>47.0</v>
      </c>
      <c r="B1383" s="11" t="s">
        <v>872</v>
      </c>
      <c r="C1383" s="2" t="s">
        <v>61</v>
      </c>
      <c r="D1383" s="3">
        <v>45834.0</v>
      </c>
      <c r="E1383" s="4">
        <v>0.8333333333333334</v>
      </c>
      <c r="F1383" s="5" t="str">
        <f>VLOOKUP(A1383,Jogos!A:N,10,0)</f>
        <v>Evening</v>
      </c>
      <c r="G1383" s="2" t="s">
        <v>1130</v>
      </c>
      <c r="H1383" s="6" t="str">
        <f>VLOOKUP(A1383,Jogos!A:L,12,0)</f>
        <v>Open</v>
      </c>
      <c r="I1383" s="6" t="str">
        <f>VLOOKUP(G1383,'Estádios e Cidades'!A:B,2,0)</f>
        <v>Nashville</v>
      </c>
      <c r="J1383" s="2" t="s">
        <v>874</v>
      </c>
      <c r="K1383" s="2" t="str">
        <f>VLOOKUP(J1383,Equipes!A:F,6,0)</f>
        <v>Tropical</v>
      </c>
      <c r="L1383" s="2">
        <f>VLOOKUP(J1383,Equipes!A:C,3,0)</f>
        <v>7</v>
      </c>
      <c r="M1383" s="2" t="str">
        <f t="shared" si="4"/>
        <v>Quarter-final</v>
      </c>
      <c r="N1383" s="2" t="s">
        <v>935</v>
      </c>
      <c r="O1383" s="2">
        <f>VLOOKUP(N1383,Equipes!A:C,3,0)</f>
        <v>30</v>
      </c>
      <c r="P1383" s="2" t="str">
        <f t="shared" si="5"/>
        <v>Group</v>
      </c>
      <c r="Q1383" s="2">
        <f t="shared" si="6"/>
        <v>-23</v>
      </c>
      <c r="R1383" s="2" t="str">
        <f>VLOOKUP(J1383,Equipes!A:B,2,0)</f>
        <v>AlHilal</v>
      </c>
      <c r="S1383" s="6" t="s">
        <v>931</v>
      </c>
      <c r="T1383" s="7">
        <v>28.0</v>
      </c>
      <c r="U1383" s="7" t="s">
        <v>932</v>
      </c>
      <c r="V1383" s="7" t="str">
        <f>VLOOKUP(U1383,Jogadores!B:C,2,0)</f>
        <v>MF</v>
      </c>
      <c r="W1383" s="8">
        <f>VLOOKUP(U1383,Jogadores!B:D,3,0)</f>
        <v>30.86849315</v>
      </c>
      <c r="X1383" s="7">
        <v>76.0</v>
      </c>
      <c r="Y1383" s="7">
        <f t="shared" si="4314"/>
        <v>96</v>
      </c>
      <c r="Z1383" s="7">
        <f>VLOOKUP(A1383,Jogos!A:L,3,0)</f>
        <v>49</v>
      </c>
      <c r="AA1383" s="7">
        <f t="shared" si="2229"/>
        <v>0</v>
      </c>
      <c r="AB1383" s="7">
        <f>VLOOKUP(A1383,Jogos!A:L,4,0)</f>
        <v>51</v>
      </c>
      <c r="AC1383" s="7">
        <f t="shared" si="2230"/>
        <v>20</v>
      </c>
      <c r="AD1383" s="7"/>
      <c r="AE1383" s="7"/>
      <c r="AF1383" s="7">
        <f t="shared" si="2231"/>
        <v>20</v>
      </c>
      <c r="AG1383" s="7">
        <v>2359.6</v>
      </c>
      <c r="AH1383" s="7">
        <v>877.0</v>
      </c>
      <c r="AI1383" s="7">
        <v>867.6</v>
      </c>
      <c r="AJ1383" s="7">
        <v>416.8</v>
      </c>
      <c r="AK1383" s="7">
        <v>166.2</v>
      </c>
      <c r="AL1383" s="7">
        <v>32.0</v>
      </c>
      <c r="AM1383" s="7">
        <v>44.0</v>
      </c>
      <c r="AN1383" s="7">
        <v>14.0</v>
      </c>
      <c r="AO1383" s="7">
        <v>28.1</v>
      </c>
      <c r="AP1383" s="9">
        <f t="shared" ref="AP1383:AR1383" si="4318">AG1383/$AF1383</f>
        <v>117.98</v>
      </c>
      <c r="AQ1383" s="9">
        <f t="shared" si="4318"/>
        <v>43.85</v>
      </c>
      <c r="AR1383" s="9">
        <f t="shared" si="4318"/>
        <v>43.38</v>
      </c>
      <c r="AS1383" s="9">
        <f t="shared" si="2233"/>
        <v>87.23</v>
      </c>
      <c r="AT1383" s="9">
        <f t="shared" ref="AT1383:AV1383" si="4319">AJ1383/$AF1383</f>
        <v>20.84</v>
      </c>
      <c r="AU1383" s="9">
        <f t="shared" si="4319"/>
        <v>8.31</v>
      </c>
      <c r="AV1383" s="9">
        <f t="shared" si="4319"/>
        <v>1.6</v>
      </c>
      <c r="AW1383" s="9">
        <f t="shared" si="2235"/>
        <v>9.91</v>
      </c>
      <c r="AX1383" s="9">
        <f t="shared" ref="AX1383:AY1383" si="4320">AM1383/$AF1383</f>
        <v>2.2</v>
      </c>
      <c r="AY1383" s="9">
        <f t="shared" si="4320"/>
        <v>0.7</v>
      </c>
      <c r="AZ1383" s="9">
        <f>VLOOKUP(A1383,Jogos!A:BN,58,0)</f>
        <v>27.61</v>
      </c>
      <c r="BA1383" s="9">
        <f>VLOOKUP(A1383,Jogos!A:BN,59,0)</f>
        <v>23.84</v>
      </c>
      <c r="BB1383" s="9">
        <f>VLOOKUP(A1383,Jogos!A:BN,60,0)</f>
        <v>79.5</v>
      </c>
      <c r="BC1383" s="9">
        <f>VLOOKUP(A1383,Jogos!A:BN,61,0)</f>
        <v>26.635</v>
      </c>
      <c r="BD1383" s="9">
        <f>VLOOKUP(A1383,Jogos!A:BN,62,0)</f>
        <v>0.05</v>
      </c>
      <c r="BE1383" s="9">
        <f>VLOOKUP(A1383,Jogos!A:BN,63,0)</f>
        <v>0.44</v>
      </c>
      <c r="BF1383" s="9">
        <f>VLOOKUP(A1383,Jogos!A:BN,64,0)</f>
        <v>25.225</v>
      </c>
      <c r="BG1383" s="9">
        <f>VLOOKUP(A1383,Jogos!A:BN,65,0)</f>
        <v>44.18</v>
      </c>
      <c r="BH1383" s="9">
        <f>VLOOKUP(A1383,Jogos!A:BN,66,0)</f>
        <v>29.25</v>
      </c>
      <c r="BI1383" s="9"/>
      <c r="BJ1383" s="9"/>
    </row>
    <row r="1384" hidden="1">
      <c r="A1384" s="2">
        <v>47.0</v>
      </c>
      <c r="B1384" s="11" t="s">
        <v>872</v>
      </c>
      <c r="C1384" s="2" t="s">
        <v>61</v>
      </c>
      <c r="D1384" s="3">
        <v>45834.0</v>
      </c>
      <c r="E1384" s="4">
        <v>0.8333333333333334</v>
      </c>
      <c r="F1384" s="5" t="str">
        <f>VLOOKUP(A1384,Jogos!A:N,10,0)</f>
        <v>Evening</v>
      </c>
      <c r="G1384" s="2" t="s">
        <v>1130</v>
      </c>
      <c r="H1384" s="6" t="str">
        <f>VLOOKUP(A1384,Jogos!A:L,12,0)</f>
        <v>Open</v>
      </c>
      <c r="I1384" s="6" t="str">
        <f>VLOOKUP(G1384,'Estádios e Cidades'!A:B,2,0)</f>
        <v>Nashville</v>
      </c>
      <c r="J1384" s="2" t="s">
        <v>874</v>
      </c>
      <c r="K1384" s="2" t="str">
        <f>VLOOKUP(J1384,Equipes!A:F,6,0)</f>
        <v>Tropical</v>
      </c>
      <c r="L1384" s="2">
        <f>VLOOKUP(J1384,Equipes!A:C,3,0)</f>
        <v>7</v>
      </c>
      <c r="M1384" s="2" t="str">
        <f t="shared" si="4"/>
        <v>Quarter-final</v>
      </c>
      <c r="N1384" s="2" t="s">
        <v>935</v>
      </c>
      <c r="O1384" s="2">
        <f>VLOOKUP(N1384,Equipes!A:C,3,0)</f>
        <v>30</v>
      </c>
      <c r="P1384" s="2" t="str">
        <f t="shared" si="5"/>
        <v>Group</v>
      </c>
      <c r="Q1384" s="2">
        <f t="shared" si="6"/>
        <v>-23</v>
      </c>
      <c r="R1384" s="2" t="str">
        <f>VLOOKUP(J1384,Equipes!A:B,2,0)</f>
        <v>AlHilal</v>
      </c>
      <c r="S1384" s="6" t="s">
        <v>1214</v>
      </c>
      <c r="T1384" s="7">
        <v>78.0</v>
      </c>
      <c r="U1384" s="7" t="s">
        <v>1215</v>
      </c>
      <c r="V1384" s="7" t="str">
        <f>VLOOKUP(U1384,Jogadores!B:C,2,0)</f>
        <v>DF</v>
      </c>
      <c r="W1384" s="8">
        <f>VLOOKUP(U1384,Jogadores!B:D,3,0)</f>
        <v>29.27945205</v>
      </c>
      <c r="X1384" s="7">
        <v>77.0</v>
      </c>
      <c r="Y1384" s="7">
        <f t="shared" si="4314"/>
        <v>96</v>
      </c>
      <c r="Z1384" s="7">
        <f>VLOOKUP(A1384,Jogos!A:L,3,0)</f>
        <v>49</v>
      </c>
      <c r="AA1384" s="7">
        <f t="shared" si="2229"/>
        <v>0</v>
      </c>
      <c r="AB1384" s="7">
        <f>VLOOKUP(A1384,Jogos!A:L,4,0)</f>
        <v>51</v>
      </c>
      <c r="AC1384" s="7">
        <f t="shared" si="2230"/>
        <v>19</v>
      </c>
      <c r="AD1384" s="7"/>
      <c r="AE1384" s="7"/>
      <c r="AF1384" s="7">
        <f t="shared" si="2231"/>
        <v>19</v>
      </c>
      <c r="AG1384" s="7">
        <v>2102.0</v>
      </c>
      <c r="AH1384" s="7">
        <v>913.6</v>
      </c>
      <c r="AI1384" s="7">
        <v>922.1</v>
      </c>
      <c r="AJ1384" s="7">
        <v>181.4</v>
      </c>
      <c r="AK1384" s="7">
        <v>57.7</v>
      </c>
      <c r="AL1384" s="7">
        <v>27.3</v>
      </c>
      <c r="AM1384" s="7">
        <v>15.0</v>
      </c>
      <c r="AN1384" s="7">
        <v>5.0</v>
      </c>
      <c r="AO1384" s="7">
        <v>26.3</v>
      </c>
      <c r="AP1384" s="9">
        <f t="shared" ref="AP1384:AR1384" si="4321">AG1384/$AF1384</f>
        <v>110.6315789</v>
      </c>
      <c r="AQ1384" s="9">
        <f t="shared" si="4321"/>
        <v>48.08421053</v>
      </c>
      <c r="AR1384" s="9">
        <f t="shared" si="4321"/>
        <v>48.53157895</v>
      </c>
      <c r="AS1384" s="9">
        <f t="shared" si="2233"/>
        <v>96.61578947</v>
      </c>
      <c r="AT1384" s="9">
        <f t="shared" ref="AT1384:AV1384" si="4322">AJ1384/$AF1384</f>
        <v>9.547368421</v>
      </c>
      <c r="AU1384" s="9">
        <f t="shared" si="4322"/>
        <v>3.036842105</v>
      </c>
      <c r="AV1384" s="9">
        <f t="shared" si="4322"/>
        <v>1.436842105</v>
      </c>
      <c r="AW1384" s="9">
        <f t="shared" si="2235"/>
        <v>4.473684211</v>
      </c>
      <c r="AX1384" s="9">
        <f t="shared" ref="AX1384:AY1384" si="4323">AM1384/$AF1384</f>
        <v>0.7894736842</v>
      </c>
      <c r="AY1384" s="9">
        <f t="shared" si="4323"/>
        <v>0.2631578947</v>
      </c>
      <c r="AZ1384" s="9">
        <f>VLOOKUP(A1384,Jogos!A:BN,58,0)</f>
        <v>27.61</v>
      </c>
      <c r="BA1384" s="9">
        <f>VLOOKUP(A1384,Jogos!A:BN,59,0)</f>
        <v>23.84</v>
      </c>
      <c r="BB1384" s="9">
        <f>VLOOKUP(A1384,Jogos!A:BN,60,0)</f>
        <v>79.5</v>
      </c>
      <c r="BC1384" s="9">
        <f>VLOOKUP(A1384,Jogos!A:BN,61,0)</f>
        <v>26.635</v>
      </c>
      <c r="BD1384" s="9">
        <f>VLOOKUP(A1384,Jogos!A:BN,62,0)</f>
        <v>0.05</v>
      </c>
      <c r="BE1384" s="9">
        <f>VLOOKUP(A1384,Jogos!A:BN,63,0)</f>
        <v>0.44</v>
      </c>
      <c r="BF1384" s="9">
        <f>VLOOKUP(A1384,Jogos!A:BN,64,0)</f>
        <v>25.225</v>
      </c>
      <c r="BG1384" s="9">
        <f>VLOOKUP(A1384,Jogos!A:BN,65,0)</f>
        <v>44.18</v>
      </c>
      <c r="BH1384" s="9">
        <f>VLOOKUP(A1384,Jogos!A:BN,66,0)</f>
        <v>29.25</v>
      </c>
      <c r="BI1384" s="9"/>
      <c r="BJ1384" s="9"/>
    </row>
    <row r="1385" hidden="1">
      <c r="A1385" s="2">
        <v>47.0</v>
      </c>
      <c r="B1385" s="11" t="s">
        <v>872</v>
      </c>
      <c r="C1385" s="2" t="s">
        <v>61</v>
      </c>
      <c r="D1385" s="3">
        <v>45834.0</v>
      </c>
      <c r="E1385" s="4">
        <v>0.8333333333333334</v>
      </c>
      <c r="F1385" s="5" t="str">
        <f>VLOOKUP(A1385,Jogos!A:N,10,0)</f>
        <v>Evening</v>
      </c>
      <c r="G1385" s="2" t="s">
        <v>1130</v>
      </c>
      <c r="H1385" s="6" t="str">
        <f>VLOOKUP(A1385,Jogos!A:L,12,0)</f>
        <v>Open</v>
      </c>
      <c r="I1385" s="6" t="str">
        <f>VLOOKUP(G1385,'Estádios e Cidades'!A:B,2,0)</f>
        <v>Nashville</v>
      </c>
      <c r="J1385" s="2" t="s">
        <v>874</v>
      </c>
      <c r="K1385" s="2" t="str">
        <f>VLOOKUP(J1385,Equipes!A:F,6,0)</f>
        <v>Tropical</v>
      </c>
      <c r="L1385" s="2">
        <f>VLOOKUP(J1385,Equipes!A:C,3,0)</f>
        <v>7</v>
      </c>
      <c r="M1385" s="2" t="str">
        <f t="shared" si="4"/>
        <v>Quarter-final</v>
      </c>
      <c r="N1385" s="2" t="s">
        <v>935</v>
      </c>
      <c r="O1385" s="2">
        <f>VLOOKUP(N1385,Equipes!A:C,3,0)</f>
        <v>30</v>
      </c>
      <c r="P1385" s="2" t="str">
        <f t="shared" si="5"/>
        <v>Group</v>
      </c>
      <c r="Q1385" s="2">
        <f t="shared" si="6"/>
        <v>-23</v>
      </c>
      <c r="R1385" s="2" t="str">
        <f>VLOOKUP(J1385,Equipes!A:B,2,0)</f>
        <v>AlHilal</v>
      </c>
      <c r="S1385" s="6" t="s">
        <v>933</v>
      </c>
      <c r="T1385" s="7">
        <v>88.0</v>
      </c>
      <c r="U1385" s="7" t="s">
        <v>934</v>
      </c>
      <c r="V1385" s="7" t="str">
        <f>VLOOKUP(U1385,Jogadores!B:C,2,0)</f>
        <v>DF</v>
      </c>
      <c r="W1385" s="8">
        <f>VLOOKUP(U1385,Jogadores!B:D,3,0)</f>
        <v>26.21643836</v>
      </c>
      <c r="X1385" s="7">
        <v>86.0</v>
      </c>
      <c r="Y1385" s="7">
        <f t="shared" si="4314"/>
        <v>96</v>
      </c>
      <c r="Z1385" s="7">
        <f>VLOOKUP(A1385,Jogos!A:L,3,0)</f>
        <v>49</v>
      </c>
      <c r="AA1385" s="7">
        <f t="shared" si="2229"/>
        <v>0</v>
      </c>
      <c r="AB1385" s="7">
        <f>VLOOKUP(A1385,Jogos!A:L,4,0)</f>
        <v>51</v>
      </c>
      <c r="AC1385" s="7">
        <f t="shared" si="2230"/>
        <v>10</v>
      </c>
      <c r="AD1385" s="7"/>
      <c r="AE1385" s="7"/>
      <c r="AF1385" s="7">
        <f t="shared" si="2231"/>
        <v>10</v>
      </c>
      <c r="AG1385" s="7">
        <v>1275.8</v>
      </c>
      <c r="AH1385" s="7">
        <v>410.3</v>
      </c>
      <c r="AI1385" s="7">
        <v>531.3</v>
      </c>
      <c r="AJ1385" s="7">
        <v>214.6</v>
      </c>
      <c r="AK1385" s="7">
        <v>77.0</v>
      </c>
      <c r="AL1385" s="7">
        <v>42.6</v>
      </c>
      <c r="AM1385" s="7">
        <v>15.0</v>
      </c>
      <c r="AN1385" s="7">
        <v>5.0</v>
      </c>
      <c r="AO1385" s="7">
        <v>32.1</v>
      </c>
      <c r="AP1385" s="9">
        <f t="shared" ref="AP1385:AR1385" si="4324">AG1385/$AF1385</f>
        <v>127.58</v>
      </c>
      <c r="AQ1385" s="9">
        <f t="shared" si="4324"/>
        <v>41.03</v>
      </c>
      <c r="AR1385" s="9">
        <f t="shared" si="4324"/>
        <v>53.13</v>
      </c>
      <c r="AS1385" s="9">
        <f t="shared" si="2233"/>
        <v>94.16</v>
      </c>
      <c r="AT1385" s="9">
        <f t="shared" ref="AT1385:AV1385" si="4325">AJ1385/$AF1385</f>
        <v>21.46</v>
      </c>
      <c r="AU1385" s="9">
        <f t="shared" si="4325"/>
        <v>7.7</v>
      </c>
      <c r="AV1385" s="9">
        <f t="shared" si="4325"/>
        <v>4.26</v>
      </c>
      <c r="AW1385" s="9">
        <f t="shared" si="2235"/>
        <v>11.96</v>
      </c>
      <c r="AX1385" s="9">
        <f t="shared" ref="AX1385:AY1385" si="4326">AM1385/$AF1385</f>
        <v>1.5</v>
      </c>
      <c r="AY1385" s="9">
        <f t="shared" si="4326"/>
        <v>0.5</v>
      </c>
      <c r="AZ1385" s="9">
        <f>VLOOKUP(A1385,Jogos!A:BN,58,0)</f>
        <v>27.61</v>
      </c>
      <c r="BA1385" s="9">
        <f>VLOOKUP(A1385,Jogos!A:BN,59,0)</f>
        <v>23.84</v>
      </c>
      <c r="BB1385" s="9">
        <f>VLOOKUP(A1385,Jogos!A:BN,60,0)</f>
        <v>79.5</v>
      </c>
      <c r="BC1385" s="9">
        <f>VLOOKUP(A1385,Jogos!A:BN,61,0)</f>
        <v>26.635</v>
      </c>
      <c r="BD1385" s="9">
        <f>VLOOKUP(A1385,Jogos!A:BN,62,0)</f>
        <v>0.05</v>
      </c>
      <c r="BE1385" s="9">
        <f>VLOOKUP(A1385,Jogos!A:BN,63,0)</f>
        <v>0.44</v>
      </c>
      <c r="BF1385" s="9">
        <f>VLOOKUP(A1385,Jogos!A:BN,64,0)</f>
        <v>25.225</v>
      </c>
      <c r="BG1385" s="9">
        <f>VLOOKUP(A1385,Jogos!A:BN,65,0)</f>
        <v>44.18</v>
      </c>
      <c r="BH1385" s="9">
        <f>VLOOKUP(A1385,Jogos!A:BN,66,0)</f>
        <v>29.25</v>
      </c>
      <c r="BI1385" s="9"/>
      <c r="BJ1385" s="9"/>
    </row>
    <row r="1386" hidden="1">
      <c r="A1386" s="10">
        <v>47.0</v>
      </c>
      <c r="B1386" s="11" t="s">
        <v>872</v>
      </c>
      <c r="C1386" s="2" t="s">
        <v>61</v>
      </c>
      <c r="D1386" s="12">
        <v>45834.0</v>
      </c>
      <c r="E1386" s="13">
        <v>0.8333333333333334</v>
      </c>
      <c r="F1386" s="5" t="str">
        <f>VLOOKUP(A1386,Jogos!A:N,10,0)</f>
        <v>Evening</v>
      </c>
      <c r="G1386" s="11" t="s">
        <v>1130</v>
      </c>
      <c r="H1386" s="6" t="str">
        <f>VLOOKUP(A1386,Jogos!A:L,12,0)</f>
        <v>Open</v>
      </c>
      <c r="I1386" s="6" t="str">
        <f>VLOOKUP(G1386,'Estádios e Cidades'!A:B,2,0)</f>
        <v>Nashville</v>
      </c>
      <c r="J1386" s="11" t="s">
        <v>935</v>
      </c>
      <c r="K1386" s="2" t="str">
        <f>VLOOKUP(J1386,Equipes!A:F,6,0)</f>
        <v>Temperate</v>
      </c>
      <c r="L1386" s="2">
        <f>VLOOKUP(J1386,Equipes!A:C,3,0)</f>
        <v>30</v>
      </c>
      <c r="M1386" s="2" t="str">
        <f t="shared" si="4"/>
        <v>Group</v>
      </c>
      <c r="N1386" s="11" t="s">
        <v>874</v>
      </c>
      <c r="O1386" s="2">
        <f>VLOOKUP(N1386,Equipes!A:C,3,0)</f>
        <v>7</v>
      </c>
      <c r="P1386" s="2" t="str">
        <f t="shared" si="5"/>
        <v>Quarter-final</v>
      </c>
      <c r="Q1386" s="2">
        <f t="shared" si="6"/>
        <v>23</v>
      </c>
      <c r="R1386" s="2" t="str">
        <f>VLOOKUP(J1386,Equipes!A:B,2,0)</f>
        <v>Pachuca</v>
      </c>
      <c r="S1386" s="21" t="s">
        <v>1338</v>
      </c>
      <c r="T1386" s="7">
        <v>2.0</v>
      </c>
      <c r="U1386" s="7" t="s">
        <v>1339</v>
      </c>
      <c r="V1386" s="7" t="str">
        <f>VLOOKUP(U1386,Jogadores!B:C,2,0)</f>
        <v>DF</v>
      </c>
      <c r="W1386" s="8">
        <f>VLOOKUP(U1386,Jogadores!B:D,3,0)</f>
        <v>26.29041096</v>
      </c>
      <c r="X1386" s="7">
        <v>0.0</v>
      </c>
      <c r="Y1386" s="7">
        <v>57.0</v>
      </c>
      <c r="Z1386" s="7">
        <f>VLOOKUP(A1386,Jogos!A:L,3,0)</f>
        <v>49</v>
      </c>
      <c r="AA1386" s="7">
        <f t="shared" si="2229"/>
        <v>49</v>
      </c>
      <c r="AB1386" s="7">
        <f>VLOOKUP(A1386,Jogos!A:L,4,0)</f>
        <v>51</v>
      </c>
      <c r="AC1386" s="7">
        <f t="shared" si="2230"/>
        <v>12</v>
      </c>
      <c r="AD1386" s="7"/>
      <c r="AE1386" s="7"/>
      <c r="AF1386" s="7">
        <f t="shared" si="2231"/>
        <v>61</v>
      </c>
      <c r="AG1386" s="7">
        <v>6327.5</v>
      </c>
      <c r="AH1386" s="7">
        <v>2397.1</v>
      </c>
      <c r="AI1386" s="7">
        <v>2799.3</v>
      </c>
      <c r="AJ1386" s="7">
        <v>638.5</v>
      </c>
      <c r="AK1386" s="7">
        <v>391.5</v>
      </c>
      <c r="AL1386" s="7">
        <v>101.1</v>
      </c>
      <c r="AM1386" s="7">
        <v>62.0</v>
      </c>
      <c r="AN1386" s="7">
        <v>25.0</v>
      </c>
      <c r="AO1386" s="7">
        <v>31.1</v>
      </c>
      <c r="AP1386" s="9">
        <f t="shared" ref="AP1386:AR1386" si="4327">AG1386/$AF1386</f>
        <v>103.7295082</v>
      </c>
      <c r="AQ1386" s="9">
        <f t="shared" si="4327"/>
        <v>39.29672131</v>
      </c>
      <c r="AR1386" s="9">
        <f t="shared" si="4327"/>
        <v>45.89016393</v>
      </c>
      <c r="AS1386" s="9">
        <f t="shared" si="2233"/>
        <v>85.18688525</v>
      </c>
      <c r="AT1386" s="9">
        <f t="shared" ref="AT1386:AV1386" si="4328">AJ1386/$AF1386</f>
        <v>10.46721311</v>
      </c>
      <c r="AU1386" s="9">
        <f t="shared" si="4328"/>
        <v>6.418032787</v>
      </c>
      <c r="AV1386" s="9">
        <f t="shared" si="4328"/>
        <v>1.657377049</v>
      </c>
      <c r="AW1386" s="9">
        <f t="shared" si="2235"/>
        <v>8.075409836</v>
      </c>
      <c r="AX1386" s="9">
        <f t="shared" ref="AX1386:AY1386" si="4329">AM1386/$AF1386</f>
        <v>1.016393443</v>
      </c>
      <c r="AY1386" s="9">
        <f t="shared" si="4329"/>
        <v>0.4098360656</v>
      </c>
      <c r="AZ1386" s="9">
        <f>VLOOKUP(A1386,Jogos!A:BN,58,0)</f>
        <v>27.61</v>
      </c>
      <c r="BA1386" s="9">
        <f>VLOOKUP(A1386,Jogos!A:BN,59,0)</f>
        <v>23.84</v>
      </c>
      <c r="BB1386" s="9">
        <f>VLOOKUP(A1386,Jogos!A:BN,60,0)</f>
        <v>79.5</v>
      </c>
      <c r="BC1386" s="9">
        <f>VLOOKUP(A1386,Jogos!A:BN,61,0)</f>
        <v>26.635</v>
      </c>
      <c r="BD1386" s="9">
        <f>VLOOKUP(A1386,Jogos!A:BN,62,0)</f>
        <v>0.05</v>
      </c>
      <c r="BE1386" s="9">
        <f>VLOOKUP(A1386,Jogos!A:BN,63,0)</f>
        <v>0.44</v>
      </c>
      <c r="BF1386" s="9">
        <f>VLOOKUP(A1386,Jogos!A:BN,64,0)</f>
        <v>25.225</v>
      </c>
      <c r="BG1386" s="9">
        <f>VLOOKUP(A1386,Jogos!A:BN,65,0)</f>
        <v>44.18</v>
      </c>
      <c r="BH1386" s="9">
        <f>VLOOKUP(A1386,Jogos!A:BN,66,0)</f>
        <v>29.25</v>
      </c>
      <c r="BI1386" s="9"/>
      <c r="BJ1386" s="9"/>
    </row>
    <row r="1387" hidden="1">
      <c r="A1387" s="10">
        <v>47.0</v>
      </c>
      <c r="B1387" s="11" t="s">
        <v>872</v>
      </c>
      <c r="C1387" s="2" t="s">
        <v>61</v>
      </c>
      <c r="D1387" s="12">
        <v>45834.0</v>
      </c>
      <c r="E1387" s="13">
        <v>0.8333333333333334</v>
      </c>
      <c r="F1387" s="5" t="str">
        <f>VLOOKUP(A1387,Jogos!A:N,10,0)</f>
        <v>Evening</v>
      </c>
      <c r="G1387" s="11" t="s">
        <v>1130</v>
      </c>
      <c r="H1387" s="6" t="str">
        <f>VLOOKUP(A1387,Jogos!A:L,12,0)</f>
        <v>Open</v>
      </c>
      <c r="I1387" s="6" t="str">
        <f>VLOOKUP(G1387,'Estádios e Cidades'!A:B,2,0)</f>
        <v>Nashville</v>
      </c>
      <c r="J1387" s="11" t="s">
        <v>935</v>
      </c>
      <c r="K1387" s="2" t="str">
        <f>VLOOKUP(J1387,Equipes!A:F,6,0)</f>
        <v>Temperate</v>
      </c>
      <c r="L1387" s="2">
        <f>VLOOKUP(J1387,Equipes!A:C,3,0)</f>
        <v>30</v>
      </c>
      <c r="M1387" s="2" t="str">
        <f t="shared" si="4"/>
        <v>Group</v>
      </c>
      <c r="N1387" s="11" t="s">
        <v>874</v>
      </c>
      <c r="O1387" s="2">
        <f>VLOOKUP(N1387,Equipes!A:C,3,0)</f>
        <v>7</v>
      </c>
      <c r="P1387" s="2" t="str">
        <f t="shared" si="5"/>
        <v>Quarter-final</v>
      </c>
      <c r="Q1387" s="2">
        <f t="shared" si="6"/>
        <v>23</v>
      </c>
      <c r="R1387" s="2" t="str">
        <f>VLOOKUP(J1387,Equipes!A:B,2,0)</f>
        <v>Pachuca</v>
      </c>
      <c r="S1387" s="14" t="s">
        <v>1340</v>
      </c>
      <c r="T1387" s="7">
        <v>3.0</v>
      </c>
      <c r="U1387" s="7" t="s">
        <v>1341</v>
      </c>
      <c r="V1387" s="7" t="str">
        <f>VLOOKUP(U1387,Jogadores!B:C,2,0)</f>
        <v>DF</v>
      </c>
      <c r="W1387" s="8">
        <f>VLOOKUP(U1387,Jogadores!B:D,3,0)</f>
        <v>24.35068493</v>
      </c>
      <c r="X1387" s="7">
        <v>0.0</v>
      </c>
      <c r="Y1387" s="7">
        <f t="shared" ref="Y1387:Y1388" si="4333">45+AB1387</f>
        <v>96</v>
      </c>
      <c r="Z1387" s="7">
        <f>VLOOKUP(A1387,Jogos!A:L,3,0)</f>
        <v>49</v>
      </c>
      <c r="AA1387" s="7">
        <f t="shared" si="2229"/>
        <v>49</v>
      </c>
      <c r="AB1387" s="7">
        <f>VLOOKUP(A1387,Jogos!A:L,4,0)</f>
        <v>51</v>
      </c>
      <c r="AC1387" s="7">
        <f t="shared" si="2230"/>
        <v>51</v>
      </c>
      <c r="AD1387" s="7"/>
      <c r="AE1387" s="7"/>
      <c r="AF1387" s="7">
        <f t="shared" si="2231"/>
        <v>100</v>
      </c>
      <c r="AG1387" s="7">
        <v>10722.8</v>
      </c>
      <c r="AH1387" s="7">
        <v>3629.8</v>
      </c>
      <c r="AI1387" s="7">
        <v>4346.7</v>
      </c>
      <c r="AJ1387" s="7">
        <v>1508.7</v>
      </c>
      <c r="AK1387" s="7">
        <v>913.8</v>
      </c>
      <c r="AL1387" s="7">
        <v>323.9</v>
      </c>
      <c r="AM1387" s="7">
        <v>134.0</v>
      </c>
      <c r="AN1387" s="7">
        <v>68.0</v>
      </c>
      <c r="AO1387" s="7">
        <v>32.8</v>
      </c>
      <c r="AP1387" s="9">
        <f t="shared" ref="AP1387:AR1387" si="4330">AG1387/$AF1387</f>
        <v>107.228</v>
      </c>
      <c r="AQ1387" s="9">
        <f t="shared" si="4330"/>
        <v>36.298</v>
      </c>
      <c r="AR1387" s="9">
        <f t="shared" si="4330"/>
        <v>43.467</v>
      </c>
      <c r="AS1387" s="9">
        <f t="shared" si="2233"/>
        <v>79.765</v>
      </c>
      <c r="AT1387" s="9">
        <f t="shared" ref="AT1387:AV1387" si="4331">AJ1387/$AF1387</f>
        <v>15.087</v>
      </c>
      <c r="AU1387" s="9">
        <f t="shared" si="4331"/>
        <v>9.138</v>
      </c>
      <c r="AV1387" s="9">
        <f t="shared" si="4331"/>
        <v>3.239</v>
      </c>
      <c r="AW1387" s="9">
        <f t="shared" si="2235"/>
        <v>12.377</v>
      </c>
      <c r="AX1387" s="9">
        <f t="shared" ref="AX1387:AY1387" si="4332">AM1387/$AF1387</f>
        <v>1.34</v>
      </c>
      <c r="AY1387" s="9">
        <f t="shared" si="4332"/>
        <v>0.68</v>
      </c>
      <c r="AZ1387" s="9">
        <f>VLOOKUP(A1387,Jogos!A:BN,58,0)</f>
        <v>27.61</v>
      </c>
      <c r="BA1387" s="9">
        <f>VLOOKUP(A1387,Jogos!A:BN,59,0)</f>
        <v>23.84</v>
      </c>
      <c r="BB1387" s="9">
        <f>VLOOKUP(A1387,Jogos!A:BN,60,0)</f>
        <v>79.5</v>
      </c>
      <c r="BC1387" s="9">
        <f>VLOOKUP(A1387,Jogos!A:BN,61,0)</f>
        <v>26.635</v>
      </c>
      <c r="BD1387" s="9">
        <f>VLOOKUP(A1387,Jogos!A:BN,62,0)</f>
        <v>0.05</v>
      </c>
      <c r="BE1387" s="9">
        <f>VLOOKUP(A1387,Jogos!A:BN,63,0)</f>
        <v>0.44</v>
      </c>
      <c r="BF1387" s="9">
        <f>VLOOKUP(A1387,Jogos!A:BN,64,0)</f>
        <v>25.225</v>
      </c>
      <c r="BG1387" s="9">
        <f>VLOOKUP(A1387,Jogos!A:BN,65,0)</f>
        <v>44.18</v>
      </c>
      <c r="BH1387" s="9">
        <f>VLOOKUP(A1387,Jogos!A:BN,66,0)</f>
        <v>29.25</v>
      </c>
      <c r="BI1387" s="9"/>
      <c r="BJ1387" s="9"/>
    </row>
    <row r="1388" hidden="1">
      <c r="A1388" s="10">
        <v>47.0</v>
      </c>
      <c r="B1388" s="11" t="s">
        <v>872</v>
      </c>
      <c r="C1388" s="2" t="s">
        <v>61</v>
      </c>
      <c r="D1388" s="12">
        <v>45834.0</v>
      </c>
      <c r="E1388" s="13">
        <v>0.8333333333333334</v>
      </c>
      <c r="F1388" s="5" t="str">
        <f>VLOOKUP(A1388,Jogos!A:N,10,0)</f>
        <v>Evening</v>
      </c>
      <c r="G1388" s="11" t="s">
        <v>1130</v>
      </c>
      <c r="H1388" s="6" t="str">
        <f>VLOOKUP(A1388,Jogos!A:L,12,0)</f>
        <v>Open</v>
      </c>
      <c r="I1388" s="6" t="str">
        <f>VLOOKUP(G1388,'Estádios e Cidades'!A:B,2,0)</f>
        <v>Nashville</v>
      </c>
      <c r="J1388" s="11" t="s">
        <v>935</v>
      </c>
      <c r="K1388" s="2" t="str">
        <f>VLOOKUP(J1388,Equipes!A:F,6,0)</f>
        <v>Temperate</v>
      </c>
      <c r="L1388" s="2">
        <f>VLOOKUP(J1388,Equipes!A:C,3,0)</f>
        <v>30</v>
      </c>
      <c r="M1388" s="2" t="str">
        <f t="shared" si="4"/>
        <v>Group</v>
      </c>
      <c r="N1388" s="11" t="s">
        <v>874</v>
      </c>
      <c r="O1388" s="2">
        <f>VLOOKUP(N1388,Equipes!A:C,3,0)</f>
        <v>7</v>
      </c>
      <c r="P1388" s="2" t="str">
        <f t="shared" si="5"/>
        <v>Quarter-final</v>
      </c>
      <c r="Q1388" s="2">
        <f t="shared" si="6"/>
        <v>23</v>
      </c>
      <c r="R1388" s="2" t="str">
        <f>VLOOKUP(J1388,Equipes!A:B,2,0)</f>
        <v>Pachuca</v>
      </c>
      <c r="S1388" s="14" t="s">
        <v>937</v>
      </c>
      <c r="T1388" s="7">
        <v>4.0</v>
      </c>
      <c r="U1388" s="7" t="s">
        <v>938</v>
      </c>
      <c r="V1388" s="7" t="str">
        <f>VLOOKUP(U1388,Jogadores!B:C,2,0)</f>
        <v>DF</v>
      </c>
      <c r="W1388" s="8">
        <f>VLOOKUP(U1388,Jogadores!B:D,3,0)</f>
        <v>29.4739726</v>
      </c>
      <c r="X1388" s="7">
        <v>0.0</v>
      </c>
      <c r="Y1388" s="7">
        <f t="shared" si="4333"/>
        <v>96</v>
      </c>
      <c r="Z1388" s="7">
        <f>VLOOKUP(A1388,Jogos!A:L,3,0)</f>
        <v>49</v>
      </c>
      <c r="AA1388" s="7">
        <f t="shared" si="2229"/>
        <v>49</v>
      </c>
      <c r="AB1388" s="7">
        <f>VLOOKUP(A1388,Jogos!A:L,4,0)</f>
        <v>51</v>
      </c>
      <c r="AC1388" s="7">
        <f t="shared" si="2230"/>
        <v>51</v>
      </c>
      <c r="AD1388" s="7"/>
      <c r="AE1388" s="7"/>
      <c r="AF1388" s="7">
        <f t="shared" si="2231"/>
        <v>100</v>
      </c>
      <c r="AG1388" s="7">
        <v>9592.1</v>
      </c>
      <c r="AH1388" s="7">
        <v>4139.8</v>
      </c>
      <c r="AI1388" s="7">
        <v>3776.9</v>
      </c>
      <c r="AJ1388" s="7">
        <v>1046.9</v>
      </c>
      <c r="AK1388" s="7">
        <v>481.0</v>
      </c>
      <c r="AL1388" s="7">
        <v>147.6</v>
      </c>
      <c r="AM1388" s="7">
        <v>97.0</v>
      </c>
      <c r="AN1388" s="7">
        <v>37.0</v>
      </c>
      <c r="AO1388" s="7">
        <v>33.4</v>
      </c>
      <c r="AP1388" s="9">
        <f t="shared" ref="AP1388:AR1388" si="4334">AG1388/$AF1388</f>
        <v>95.921</v>
      </c>
      <c r="AQ1388" s="9">
        <f t="shared" si="4334"/>
        <v>41.398</v>
      </c>
      <c r="AR1388" s="9">
        <f t="shared" si="4334"/>
        <v>37.769</v>
      </c>
      <c r="AS1388" s="9">
        <f t="shared" si="2233"/>
        <v>79.167</v>
      </c>
      <c r="AT1388" s="9">
        <f t="shared" ref="AT1388:AV1388" si="4335">AJ1388/$AF1388</f>
        <v>10.469</v>
      </c>
      <c r="AU1388" s="9">
        <f t="shared" si="4335"/>
        <v>4.81</v>
      </c>
      <c r="AV1388" s="9">
        <f t="shared" si="4335"/>
        <v>1.476</v>
      </c>
      <c r="AW1388" s="9">
        <f t="shared" si="2235"/>
        <v>6.286</v>
      </c>
      <c r="AX1388" s="9">
        <f t="shared" ref="AX1388:AY1388" si="4336">AM1388/$AF1388</f>
        <v>0.97</v>
      </c>
      <c r="AY1388" s="9">
        <f t="shared" si="4336"/>
        <v>0.37</v>
      </c>
      <c r="AZ1388" s="9">
        <f>VLOOKUP(A1388,Jogos!A:BN,58,0)</f>
        <v>27.61</v>
      </c>
      <c r="BA1388" s="9">
        <f>VLOOKUP(A1388,Jogos!A:BN,59,0)</f>
        <v>23.84</v>
      </c>
      <c r="BB1388" s="9">
        <f>VLOOKUP(A1388,Jogos!A:BN,60,0)</f>
        <v>79.5</v>
      </c>
      <c r="BC1388" s="9">
        <f>VLOOKUP(A1388,Jogos!A:BN,61,0)</f>
        <v>26.635</v>
      </c>
      <c r="BD1388" s="9">
        <f>VLOOKUP(A1388,Jogos!A:BN,62,0)</f>
        <v>0.05</v>
      </c>
      <c r="BE1388" s="9">
        <f>VLOOKUP(A1388,Jogos!A:BN,63,0)</f>
        <v>0.44</v>
      </c>
      <c r="BF1388" s="9">
        <f>VLOOKUP(A1388,Jogos!A:BN,64,0)</f>
        <v>25.225</v>
      </c>
      <c r="BG1388" s="9">
        <f>VLOOKUP(A1388,Jogos!A:BN,65,0)</f>
        <v>44.18</v>
      </c>
      <c r="BH1388" s="9">
        <f>VLOOKUP(A1388,Jogos!A:BN,66,0)</f>
        <v>29.25</v>
      </c>
      <c r="BI1388" s="9"/>
      <c r="BJ1388" s="9"/>
    </row>
    <row r="1389" hidden="1">
      <c r="A1389" s="10">
        <v>47.0</v>
      </c>
      <c r="B1389" s="11" t="s">
        <v>872</v>
      </c>
      <c r="C1389" s="2" t="s">
        <v>61</v>
      </c>
      <c r="D1389" s="12">
        <v>45834.0</v>
      </c>
      <c r="E1389" s="13">
        <v>0.8333333333333334</v>
      </c>
      <c r="F1389" s="5" t="str">
        <f>VLOOKUP(A1389,Jogos!A:N,10,0)</f>
        <v>Evening</v>
      </c>
      <c r="G1389" s="11" t="s">
        <v>1130</v>
      </c>
      <c r="H1389" s="6" t="str">
        <f>VLOOKUP(A1389,Jogos!A:L,12,0)</f>
        <v>Open</v>
      </c>
      <c r="I1389" s="6" t="str">
        <f>VLOOKUP(G1389,'Estádios e Cidades'!A:B,2,0)</f>
        <v>Nashville</v>
      </c>
      <c r="J1389" s="11" t="s">
        <v>935</v>
      </c>
      <c r="K1389" s="2" t="str">
        <f>VLOOKUP(J1389,Equipes!A:F,6,0)</f>
        <v>Temperate</v>
      </c>
      <c r="L1389" s="2">
        <f>VLOOKUP(J1389,Equipes!A:C,3,0)</f>
        <v>30</v>
      </c>
      <c r="M1389" s="2" t="str">
        <f t="shared" si="4"/>
        <v>Group</v>
      </c>
      <c r="N1389" s="11" t="s">
        <v>874</v>
      </c>
      <c r="O1389" s="2">
        <f>VLOOKUP(N1389,Equipes!A:C,3,0)</f>
        <v>7</v>
      </c>
      <c r="P1389" s="2" t="str">
        <f t="shared" si="5"/>
        <v>Quarter-final</v>
      </c>
      <c r="Q1389" s="2">
        <f t="shared" si="6"/>
        <v>23</v>
      </c>
      <c r="R1389" s="2" t="str">
        <f>VLOOKUP(J1389,Equipes!A:B,2,0)</f>
        <v>Pachuca</v>
      </c>
      <c r="S1389" s="14" t="s">
        <v>943</v>
      </c>
      <c r="T1389" s="7">
        <v>12.0</v>
      </c>
      <c r="U1389" s="7" t="s">
        <v>944</v>
      </c>
      <c r="V1389" s="7" t="str">
        <f>VLOOKUP(U1389,Jogadores!B:C,2,0)</f>
        <v>FW</v>
      </c>
      <c r="W1389" s="8">
        <f>VLOOKUP(U1389,Jogadores!B:D,3,0)</f>
        <v>20.57808219</v>
      </c>
      <c r="X1389" s="7">
        <v>0.0</v>
      </c>
      <c r="Y1389" s="7">
        <v>57.0</v>
      </c>
      <c r="Z1389" s="7">
        <f>VLOOKUP(A1389,Jogos!A:L,3,0)</f>
        <v>49</v>
      </c>
      <c r="AA1389" s="7">
        <f t="shared" si="2229"/>
        <v>49</v>
      </c>
      <c r="AB1389" s="7">
        <f>VLOOKUP(A1389,Jogos!A:L,4,0)</f>
        <v>51</v>
      </c>
      <c r="AC1389" s="7">
        <f t="shared" si="2230"/>
        <v>12</v>
      </c>
      <c r="AD1389" s="7"/>
      <c r="AE1389" s="7"/>
      <c r="AF1389" s="7">
        <f t="shared" si="2231"/>
        <v>61</v>
      </c>
      <c r="AG1389" s="7">
        <v>7361.6</v>
      </c>
      <c r="AH1389" s="7">
        <v>2258.1</v>
      </c>
      <c r="AI1389" s="7">
        <v>3289.5</v>
      </c>
      <c r="AJ1389" s="7">
        <v>1017.7</v>
      </c>
      <c r="AK1389" s="7">
        <v>612.7</v>
      </c>
      <c r="AL1389" s="7">
        <v>183.7</v>
      </c>
      <c r="AM1389" s="7">
        <v>89.0</v>
      </c>
      <c r="AN1389" s="7">
        <v>50.0</v>
      </c>
      <c r="AO1389" s="7">
        <v>32.9</v>
      </c>
      <c r="AP1389" s="9">
        <f t="shared" ref="AP1389:AR1389" si="4337">AG1389/$AF1389</f>
        <v>120.6819672</v>
      </c>
      <c r="AQ1389" s="9">
        <f t="shared" si="4337"/>
        <v>37.01803279</v>
      </c>
      <c r="AR1389" s="9">
        <f t="shared" si="4337"/>
        <v>53.92622951</v>
      </c>
      <c r="AS1389" s="9">
        <f t="shared" si="2233"/>
        <v>90.9442623</v>
      </c>
      <c r="AT1389" s="9">
        <f t="shared" ref="AT1389:AV1389" si="4338">AJ1389/$AF1389</f>
        <v>16.68360656</v>
      </c>
      <c r="AU1389" s="9">
        <f t="shared" si="4338"/>
        <v>10.0442623</v>
      </c>
      <c r="AV1389" s="9">
        <f t="shared" si="4338"/>
        <v>3.01147541</v>
      </c>
      <c r="AW1389" s="9">
        <f t="shared" si="2235"/>
        <v>13.0557377</v>
      </c>
      <c r="AX1389" s="9">
        <f t="shared" ref="AX1389:AY1389" si="4339">AM1389/$AF1389</f>
        <v>1.459016393</v>
      </c>
      <c r="AY1389" s="9">
        <f t="shared" si="4339"/>
        <v>0.8196721311</v>
      </c>
      <c r="AZ1389" s="9">
        <f>VLOOKUP(A1389,Jogos!A:BN,58,0)</f>
        <v>27.61</v>
      </c>
      <c r="BA1389" s="9">
        <f>VLOOKUP(A1389,Jogos!A:BN,59,0)</f>
        <v>23.84</v>
      </c>
      <c r="BB1389" s="9">
        <f>VLOOKUP(A1389,Jogos!A:BN,60,0)</f>
        <v>79.5</v>
      </c>
      <c r="BC1389" s="9">
        <f>VLOOKUP(A1389,Jogos!A:BN,61,0)</f>
        <v>26.635</v>
      </c>
      <c r="BD1389" s="9">
        <f>VLOOKUP(A1389,Jogos!A:BN,62,0)</f>
        <v>0.05</v>
      </c>
      <c r="BE1389" s="9">
        <f>VLOOKUP(A1389,Jogos!A:BN,63,0)</f>
        <v>0.44</v>
      </c>
      <c r="BF1389" s="9">
        <f>VLOOKUP(A1389,Jogos!A:BN,64,0)</f>
        <v>25.225</v>
      </c>
      <c r="BG1389" s="9">
        <f>VLOOKUP(A1389,Jogos!A:BN,65,0)</f>
        <v>44.18</v>
      </c>
      <c r="BH1389" s="9">
        <f>VLOOKUP(A1389,Jogos!A:BN,66,0)</f>
        <v>29.25</v>
      </c>
      <c r="BI1389" s="9"/>
      <c r="BJ1389" s="9"/>
    </row>
    <row r="1390" hidden="1">
      <c r="A1390" s="10">
        <v>47.0</v>
      </c>
      <c r="B1390" s="11" t="s">
        <v>872</v>
      </c>
      <c r="C1390" s="2" t="s">
        <v>61</v>
      </c>
      <c r="D1390" s="12">
        <v>45834.0</v>
      </c>
      <c r="E1390" s="13">
        <v>0.8333333333333334</v>
      </c>
      <c r="F1390" s="5" t="str">
        <f>VLOOKUP(A1390,Jogos!A:N,10,0)</f>
        <v>Evening</v>
      </c>
      <c r="G1390" s="11" t="s">
        <v>1130</v>
      </c>
      <c r="H1390" s="6" t="str">
        <f>VLOOKUP(A1390,Jogos!A:L,12,0)</f>
        <v>Open</v>
      </c>
      <c r="I1390" s="6" t="str">
        <f>VLOOKUP(G1390,'Estádios e Cidades'!A:B,2,0)</f>
        <v>Nashville</v>
      </c>
      <c r="J1390" s="11" t="s">
        <v>935</v>
      </c>
      <c r="K1390" s="2" t="str">
        <f>VLOOKUP(J1390,Equipes!A:F,6,0)</f>
        <v>Temperate</v>
      </c>
      <c r="L1390" s="2">
        <f>VLOOKUP(J1390,Equipes!A:C,3,0)</f>
        <v>30</v>
      </c>
      <c r="M1390" s="2" t="str">
        <f t="shared" si="4"/>
        <v>Group</v>
      </c>
      <c r="N1390" s="11" t="s">
        <v>874</v>
      </c>
      <c r="O1390" s="2">
        <f>VLOOKUP(N1390,Equipes!A:C,3,0)</f>
        <v>7</v>
      </c>
      <c r="P1390" s="2" t="str">
        <f t="shared" si="5"/>
        <v>Quarter-final</v>
      </c>
      <c r="Q1390" s="2">
        <f t="shared" si="6"/>
        <v>23</v>
      </c>
      <c r="R1390" s="2" t="str">
        <f>VLOOKUP(J1390,Equipes!A:B,2,0)</f>
        <v>Pachuca</v>
      </c>
      <c r="S1390" s="14" t="s">
        <v>961</v>
      </c>
      <c r="T1390" s="7">
        <v>14.0</v>
      </c>
      <c r="U1390" s="7" t="s">
        <v>962</v>
      </c>
      <c r="V1390" s="7" t="str">
        <f>VLOOKUP(U1390,Jogadores!B:C,2,0)</f>
        <v>DF</v>
      </c>
      <c r="W1390" s="8">
        <f>VLOOKUP(U1390,Jogadores!B:D,3,0)</f>
        <v>23.30684932</v>
      </c>
      <c r="X1390" s="7">
        <v>0.0</v>
      </c>
      <c r="Y1390" s="7">
        <v>77.0</v>
      </c>
      <c r="Z1390" s="7">
        <f>VLOOKUP(A1390,Jogos!A:L,3,0)</f>
        <v>49</v>
      </c>
      <c r="AA1390" s="7">
        <f t="shared" si="2229"/>
        <v>49</v>
      </c>
      <c r="AB1390" s="7">
        <f>VLOOKUP(A1390,Jogos!A:L,4,0)</f>
        <v>51</v>
      </c>
      <c r="AC1390" s="7">
        <f t="shared" si="2230"/>
        <v>32</v>
      </c>
      <c r="AD1390" s="7"/>
      <c r="AE1390" s="7"/>
      <c r="AF1390" s="7">
        <f t="shared" si="2231"/>
        <v>81</v>
      </c>
      <c r="AG1390" s="7">
        <v>8301.1</v>
      </c>
      <c r="AH1390" s="7">
        <v>3128.6</v>
      </c>
      <c r="AI1390" s="7">
        <v>3306.9</v>
      </c>
      <c r="AJ1390" s="7">
        <v>1050.9</v>
      </c>
      <c r="AK1390" s="7">
        <v>603.8</v>
      </c>
      <c r="AL1390" s="7">
        <v>210.9</v>
      </c>
      <c r="AM1390" s="7">
        <v>94.0</v>
      </c>
      <c r="AN1390" s="7">
        <v>48.0</v>
      </c>
      <c r="AO1390" s="7">
        <v>31.7</v>
      </c>
      <c r="AP1390" s="9">
        <f t="shared" ref="AP1390:AR1390" si="4340">AG1390/$AF1390</f>
        <v>102.482716</v>
      </c>
      <c r="AQ1390" s="9">
        <f t="shared" si="4340"/>
        <v>38.62469136</v>
      </c>
      <c r="AR1390" s="9">
        <f t="shared" si="4340"/>
        <v>40.82592593</v>
      </c>
      <c r="AS1390" s="9">
        <f t="shared" si="2233"/>
        <v>79.45061728</v>
      </c>
      <c r="AT1390" s="9">
        <f t="shared" ref="AT1390:AV1390" si="4341">AJ1390/$AF1390</f>
        <v>12.97407407</v>
      </c>
      <c r="AU1390" s="9">
        <f t="shared" si="4341"/>
        <v>7.454320988</v>
      </c>
      <c r="AV1390" s="9">
        <f t="shared" si="4341"/>
        <v>2.603703704</v>
      </c>
      <c r="AW1390" s="9">
        <f t="shared" si="2235"/>
        <v>10.05802469</v>
      </c>
      <c r="AX1390" s="9">
        <f t="shared" ref="AX1390:AY1390" si="4342">AM1390/$AF1390</f>
        <v>1.160493827</v>
      </c>
      <c r="AY1390" s="9">
        <f t="shared" si="4342"/>
        <v>0.5925925926</v>
      </c>
      <c r="AZ1390" s="9">
        <f>VLOOKUP(A1390,Jogos!A:BN,58,0)</f>
        <v>27.61</v>
      </c>
      <c r="BA1390" s="9">
        <f>VLOOKUP(A1390,Jogos!A:BN,59,0)</f>
        <v>23.84</v>
      </c>
      <c r="BB1390" s="9">
        <f>VLOOKUP(A1390,Jogos!A:BN,60,0)</f>
        <v>79.5</v>
      </c>
      <c r="BC1390" s="9">
        <f>VLOOKUP(A1390,Jogos!A:BN,61,0)</f>
        <v>26.635</v>
      </c>
      <c r="BD1390" s="9">
        <f>VLOOKUP(A1390,Jogos!A:BN,62,0)</f>
        <v>0.05</v>
      </c>
      <c r="BE1390" s="9">
        <f>VLOOKUP(A1390,Jogos!A:BN,63,0)</f>
        <v>0.44</v>
      </c>
      <c r="BF1390" s="9">
        <f>VLOOKUP(A1390,Jogos!A:BN,64,0)</f>
        <v>25.225</v>
      </c>
      <c r="BG1390" s="9">
        <f>VLOOKUP(A1390,Jogos!A:BN,65,0)</f>
        <v>44.18</v>
      </c>
      <c r="BH1390" s="9">
        <f>VLOOKUP(A1390,Jogos!A:BN,66,0)</f>
        <v>29.25</v>
      </c>
      <c r="BI1390" s="9"/>
      <c r="BJ1390" s="9"/>
    </row>
    <row r="1391" hidden="1">
      <c r="A1391" s="10">
        <v>47.0</v>
      </c>
      <c r="B1391" s="11" t="s">
        <v>872</v>
      </c>
      <c r="C1391" s="2" t="s">
        <v>61</v>
      </c>
      <c r="D1391" s="12">
        <v>45834.0</v>
      </c>
      <c r="E1391" s="13">
        <v>0.8333333333333334</v>
      </c>
      <c r="F1391" s="5" t="str">
        <f>VLOOKUP(A1391,Jogos!A:N,10,0)</f>
        <v>Evening</v>
      </c>
      <c r="G1391" s="11" t="s">
        <v>1130</v>
      </c>
      <c r="H1391" s="6" t="str">
        <f>VLOOKUP(A1391,Jogos!A:L,12,0)</f>
        <v>Open</v>
      </c>
      <c r="I1391" s="6" t="str">
        <f>VLOOKUP(G1391,'Estádios e Cidades'!A:B,2,0)</f>
        <v>Nashville</v>
      </c>
      <c r="J1391" s="11" t="s">
        <v>935</v>
      </c>
      <c r="K1391" s="2" t="str">
        <f>VLOOKUP(J1391,Equipes!A:F,6,0)</f>
        <v>Temperate</v>
      </c>
      <c r="L1391" s="2">
        <f>VLOOKUP(J1391,Equipes!A:C,3,0)</f>
        <v>30</v>
      </c>
      <c r="M1391" s="2" t="str">
        <f t="shared" si="4"/>
        <v>Group</v>
      </c>
      <c r="N1391" s="11" t="s">
        <v>874</v>
      </c>
      <c r="O1391" s="2">
        <f>VLOOKUP(N1391,Equipes!A:C,3,0)</f>
        <v>7</v>
      </c>
      <c r="P1391" s="2" t="str">
        <f t="shared" si="5"/>
        <v>Quarter-final</v>
      </c>
      <c r="Q1391" s="2">
        <f t="shared" si="6"/>
        <v>23</v>
      </c>
      <c r="R1391" s="2" t="str">
        <f>VLOOKUP(J1391,Equipes!A:B,2,0)</f>
        <v>Pachuca</v>
      </c>
      <c r="S1391" s="14" t="s">
        <v>945</v>
      </c>
      <c r="T1391" s="7">
        <v>16.0</v>
      </c>
      <c r="U1391" s="7" t="s">
        <v>946</v>
      </c>
      <c r="V1391" s="7" t="str">
        <f>VLOOKUP(U1391,Jogadores!B:C,2,0)</f>
        <v>DF</v>
      </c>
      <c r="W1391" s="8">
        <f>VLOOKUP(U1391,Jogadores!B:D,3,0)</f>
        <v>25.44109589</v>
      </c>
      <c r="X1391" s="7">
        <v>0.0</v>
      </c>
      <c r="Y1391" s="7">
        <f>45+AB1391</f>
        <v>96</v>
      </c>
      <c r="Z1391" s="7">
        <f>VLOOKUP(A1391,Jogos!A:L,3,0)</f>
        <v>49</v>
      </c>
      <c r="AA1391" s="7">
        <f t="shared" si="2229"/>
        <v>49</v>
      </c>
      <c r="AB1391" s="7">
        <f>VLOOKUP(A1391,Jogos!A:L,4,0)</f>
        <v>51</v>
      </c>
      <c r="AC1391" s="7">
        <f t="shared" si="2230"/>
        <v>51</v>
      </c>
      <c r="AD1391" s="7"/>
      <c r="AE1391" s="7"/>
      <c r="AF1391" s="7">
        <f t="shared" si="2231"/>
        <v>100</v>
      </c>
      <c r="AG1391" s="7">
        <v>9921.6</v>
      </c>
      <c r="AH1391" s="7">
        <v>3910.6</v>
      </c>
      <c r="AI1391" s="7">
        <v>4164.2</v>
      </c>
      <c r="AJ1391" s="7">
        <v>1086.3</v>
      </c>
      <c r="AK1391" s="7">
        <v>553.4</v>
      </c>
      <c r="AL1391" s="7">
        <v>207.1</v>
      </c>
      <c r="AM1391" s="7">
        <v>98.0</v>
      </c>
      <c r="AN1391" s="7">
        <v>46.0</v>
      </c>
      <c r="AO1391" s="7">
        <v>32.1</v>
      </c>
      <c r="AP1391" s="9">
        <f t="shared" ref="AP1391:AR1391" si="4343">AG1391/$AF1391</f>
        <v>99.216</v>
      </c>
      <c r="AQ1391" s="9">
        <f t="shared" si="4343"/>
        <v>39.106</v>
      </c>
      <c r="AR1391" s="9">
        <f t="shared" si="4343"/>
        <v>41.642</v>
      </c>
      <c r="AS1391" s="9">
        <f t="shared" si="2233"/>
        <v>80.748</v>
      </c>
      <c r="AT1391" s="9">
        <f t="shared" ref="AT1391:AV1391" si="4344">AJ1391/$AF1391</f>
        <v>10.863</v>
      </c>
      <c r="AU1391" s="9">
        <f t="shared" si="4344"/>
        <v>5.534</v>
      </c>
      <c r="AV1391" s="9">
        <f t="shared" si="4344"/>
        <v>2.071</v>
      </c>
      <c r="AW1391" s="9">
        <f t="shared" si="2235"/>
        <v>7.605</v>
      </c>
      <c r="AX1391" s="9">
        <f t="shared" ref="AX1391:AY1391" si="4345">AM1391/$AF1391</f>
        <v>0.98</v>
      </c>
      <c r="AY1391" s="9">
        <f t="shared" si="4345"/>
        <v>0.46</v>
      </c>
      <c r="AZ1391" s="9">
        <f>VLOOKUP(A1391,Jogos!A:BN,58,0)</f>
        <v>27.61</v>
      </c>
      <c r="BA1391" s="9">
        <f>VLOOKUP(A1391,Jogos!A:BN,59,0)</f>
        <v>23.84</v>
      </c>
      <c r="BB1391" s="9">
        <f>VLOOKUP(A1391,Jogos!A:BN,60,0)</f>
        <v>79.5</v>
      </c>
      <c r="BC1391" s="9">
        <f>VLOOKUP(A1391,Jogos!A:BN,61,0)</f>
        <v>26.635</v>
      </c>
      <c r="BD1391" s="9">
        <f>VLOOKUP(A1391,Jogos!A:BN,62,0)</f>
        <v>0.05</v>
      </c>
      <c r="BE1391" s="9">
        <f>VLOOKUP(A1391,Jogos!A:BN,63,0)</f>
        <v>0.44</v>
      </c>
      <c r="BF1391" s="9">
        <f>VLOOKUP(A1391,Jogos!A:BN,64,0)</f>
        <v>25.225</v>
      </c>
      <c r="BG1391" s="9">
        <f>VLOOKUP(A1391,Jogos!A:BN,65,0)</f>
        <v>44.18</v>
      </c>
      <c r="BH1391" s="9">
        <f>VLOOKUP(A1391,Jogos!A:BN,66,0)</f>
        <v>29.25</v>
      </c>
      <c r="BI1391" s="9"/>
      <c r="BJ1391" s="9"/>
    </row>
    <row r="1392" hidden="1">
      <c r="A1392" s="10">
        <v>47.0</v>
      </c>
      <c r="B1392" s="11" t="s">
        <v>872</v>
      </c>
      <c r="C1392" s="2" t="s">
        <v>61</v>
      </c>
      <c r="D1392" s="12">
        <v>45834.0</v>
      </c>
      <c r="E1392" s="13">
        <v>0.8333333333333334</v>
      </c>
      <c r="F1392" s="5" t="str">
        <f>VLOOKUP(A1392,Jogos!A:N,10,0)</f>
        <v>Evening</v>
      </c>
      <c r="G1392" s="11" t="s">
        <v>1130</v>
      </c>
      <c r="H1392" s="6" t="str">
        <f>VLOOKUP(A1392,Jogos!A:L,12,0)</f>
        <v>Open</v>
      </c>
      <c r="I1392" s="6" t="str">
        <f>VLOOKUP(G1392,'Estádios e Cidades'!A:B,2,0)</f>
        <v>Nashville</v>
      </c>
      <c r="J1392" s="11" t="s">
        <v>935</v>
      </c>
      <c r="K1392" s="2" t="str">
        <f>VLOOKUP(J1392,Equipes!A:F,6,0)</f>
        <v>Temperate</v>
      </c>
      <c r="L1392" s="2">
        <f>VLOOKUP(J1392,Equipes!A:C,3,0)</f>
        <v>30</v>
      </c>
      <c r="M1392" s="2" t="str">
        <f t="shared" si="4"/>
        <v>Group</v>
      </c>
      <c r="N1392" s="11" t="s">
        <v>874</v>
      </c>
      <c r="O1392" s="2">
        <f>VLOOKUP(N1392,Equipes!A:C,3,0)</f>
        <v>7</v>
      </c>
      <c r="P1392" s="2" t="str">
        <f t="shared" si="5"/>
        <v>Quarter-final</v>
      </c>
      <c r="Q1392" s="2">
        <f t="shared" si="6"/>
        <v>23</v>
      </c>
      <c r="R1392" s="2" t="str">
        <f>VLOOKUP(J1392,Equipes!A:B,2,0)</f>
        <v>Pachuca</v>
      </c>
      <c r="S1392" s="14" t="s">
        <v>947</v>
      </c>
      <c r="T1392" s="7">
        <v>18.0</v>
      </c>
      <c r="U1392" s="7" t="s">
        <v>948</v>
      </c>
      <c r="V1392" s="7" t="str">
        <f>VLOOKUP(U1392,Jogadores!B:C,2,0)</f>
        <v>MF</v>
      </c>
      <c r="W1392" s="8">
        <f>VLOOKUP(U1392,Jogadores!B:D,3,0)</f>
        <v>28.73424658</v>
      </c>
      <c r="X1392" s="7">
        <v>0.0</v>
      </c>
      <c r="Y1392" s="7">
        <v>77.0</v>
      </c>
      <c r="Z1392" s="7">
        <f>VLOOKUP(A1392,Jogos!A:L,3,0)</f>
        <v>49</v>
      </c>
      <c r="AA1392" s="7">
        <f t="shared" si="2229"/>
        <v>49</v>
      </c>
      <c r="AB1392" s="7">
        <f>VLOOKUP(A1392,Jogos!A:L,4,0)</f>
        <v>51</v>
      </c>
      <c r="AC1392" s="7">
        <f t="shared" si="2230"/>
        <v>32</v>
      </c>
      <c r="AD1392" s="7"/>
      <c r="AE1392" s="7"/>
      <c r="AF1392" s="7">
        <f t="shared" si="2231"/>
        <v>81</v>
      </c>
      <c r="AG1392" s="7">
        <v>9905.2</v>
      </c>
      <c r="AH1392" s="7">
        <v>2938.7</v>
      </c>
      <c r="AI1392" s="7">
        <v>4495.8</v>
      </c>
      <c r="AJ1392" s="7">
        <v>1784.9</v>
      </c>
      <c r="AK1392" s="7">
        <v>636.0</v>
      </c>
      <c r="AL1392" s="7">
        <v>49.9</v>
      </c>
      <c r="AM1392" s="7">
        <v>152.0</v>
      </c>
      <c r="AN1392" s="7">
        <v>46.0</v>
      </c>
      <c r="AO1392" s="7">
        <v>28.6</v>
      </c>
      <c r="AP1392" s="9">
        <f t="shared" ref="AP1392:AR1392" si="4346">AG1392/$AF1392</f>
        <v>122.2864198</v>
      </c>
      <c r="AQ1392" s="9">
        <f t="shared" si="4346"/>
        <v>36.28024691</v>
      </c>
      <c r="AR1392" s="9">
        <f t="shared" si="4346"/>
        <v>55.5037037</v>
      </c>
      <c r="AS1392" s="9">
        <f t="shared" si="2233"/>
        <v>91.78395062</v>
      </c>
      <c r="AT1392" s="9">
        <f t="shared" ref="AT1392:AV1392" si="4347">AJ1392/$AF1392</f>
        <v>22.03580247</v>
      </c>
      <c r="AU1392" s="9">
        <f t="shared" si="4347"/>
        <v>7.851851852</v>
      </c>
      <c r="AV1392" s="9">
        <f t="shared" si="4347"/>
        <v>0.6160493827</v>
      </c>
      <c r="AW1392" s="9">
        <f t="shared" si="2235"/>
        <v>8.467901235</v>
      </c>
      <c r="AX1392" s="9">
        <f t="shared" ref="AX1392:AY1392" si="4348">AM1392/$AF1392</f>
        <v>1.87654321</v>
      </c>
      <c r="AY1392" s="9">
        <f t="shared" si="4348"/>
        <v>0.5679012346</v>
      </c>
      <c r="AZ1392" s="9">
        <f>VLOOKUP(A1392,Jogos!A:BN,58,0)</f>
        <v>27.61</v>
      </c>
      <c r="BA1392" s="9">
        <f>VLOOKUP(A1392,Jogos!A:BN,59,0)</f>
        <v>23.84</v>
      </c>
      <c r="BB1392" s="9">
        <f>VLOOKUP(A1392,Jogos!A:BN,60,0)</f>
        <v>79.5</v>
      </c>
      <c r="BC1392" s="9">
        <f>VLOOKUP(A1392,Jogos!A:BN,61,0)</f>
        <v>26.635</v>
      </c>
      <c r="BD1392" s="9">
        <f>VLOOKUP(A1392,Jogos!A:BN,62,0)</f>
        <v>0.05</v>
      </c>
      <c r="BE1392" s="9">
        <f>VLOOKUP(A1392,Jogos!A:BN,63,0)</f>
        <v>0.44</v>
      </c>
      <c r="BF1392" s="9">
        <f>VLOOKUP(A1392,Jogos!A:BN,64,0)</f>
        <v>25.225</v>
      </c>
      <c r="BG1392" s="9">
        <f>VLOOKUP(A1392,Jogos!A:BN,65,0)</f>
        <v>44.18</v>
      </c>
      <c r="BH1392" s="9">
        <f>VLOOKUP(A1392,Jogos!A:BN,66,0)</f>
        <v>29.25</v>
      </c>
      <c r="BI1392" s="9"/>
      <c r="BJ1392" s="9"/>
    </row>
    <row r="1393" hidden="1">
      <c r="A1393" s="10">
        <v>47.0</v>
      </c>
      <c r="B1393" s="11" t="s">
        <v>872</v>
      </c>
      <c r="C1393" s="2" t="s">
        <v>61</v>
      </c>
      <c r="D1393" s="12">
        <v>45834.0</v>
      </c>
      <c r="E1393" s="13">
        <v>0.8333333333333334</v>
      </c>
      <c r="F1393" s="5" t="str">
        <f>VLOOKUP(A1393,Jogos!A:N,10,0)</f>
        <v>Evening</v>
      </c>
      <c r="G1393" s="11" t="s">
        <v>1130</v>
      </c>
      <c r="H1393" s="6" t="str">
        <f>VLOOKUP(A1393,Jogos!A:L,12,0)</f>
        <v>Open</v>
      </c>
      <c r="I1393" s="6" t="str">
        <f>VLOOKUP(G1393,'Estádios e Cidades'!A:B,2,0)</f>
        <v>Nashville</v>
      </c>
      <c r="J1393" s="11" t="s">
        <v>935</v>
      </c>
      <c r="K1393" s="2" t="str">
        <f>VLOOKUP(J1393,Equipes!A:F,6,0)</f>
        <v>Temperate</v>
      </c>
      <c r="L1393" s="2">
        <f>VLOOKUP(J1393,Equipes!A:C,3,0)</f>
        <v>30</v>
      </c>
      <c r="M1393" s="2" t="str">
        <f t="shared" si="4"/>
        <v>Group</v>
      </c>
      <c r="N1393" s="11" t="s">
        <v>874</v>
      </c>
      <c r="O1393" s="2">
        <f>VLOOKUP(N1393,Equipes!A:C,3,0)</f>
        <v>7</v>
      </c>
      <c r="P1393" s="2" t="str">
        <f t="shared" si="5"/>
        <v>Quarter-final</v>
      </c>
      <c r="Q1393" s="2">
        <f t="shared" si="6"/>
        <v>23</v>
      </c>
      <c r="R1393" s="2" t="str">
        <f>VLOOKUP(J1393,Equipes!A:B,2,0)</f>
        <v>Pachuca</v>
      </c>
      <c r="S1393" s="14" t="s">
        <v>949</v>
      </c>
      <c r="T1393" s="7">
        <v>23.0</v>
      </c>
      <c r="U1393" s="7" t="s">
        <v>950</v>
      </c>
      <c r="V1393" s="7" t="str">
        <f>VLOOKUP(U1393,Jogadores!B:C,2,0)</f>
        <v>FW</v>
      </c>
      <c r="W1393" s="8">
        <f>VLOOKUP(U1393,Jogadores!B:D,3,0)</f>
        <v>35.88767123</v>
      </c>
      <c r="X1393" s="7">
        <v>0.0</v>
      </c>
      <c r="Y1393" s="7">
        <f t="shared" ref="Y1393:Y1394" si="4352">45+AB1393</f>
        <v>96</v>
      </c>
      <c r="Z1393" s="7">
        <f>VLOOKUP(A1393,Jogos!A:L,3,0)</f>
        <v>49</v>
      </c>
      <c r="AA1393" s="7">
        <f t="shared" si="2229"/>
        <v>49</v>
      </c>
      <c r="AB1393" s="7">
        <f>VLOOKUP(A1393,Jogos!A:L,4,0)</f>
        <v>51</v>
      </c>
      <c r="AC1393" s="7">
        <f t="shared" si="2230"/>
        <v>51</v>
      </c>
      <c r="AD1393" s="7"/>
      <c r="AE1393" s="7"/>
      <c r="AF1393" s="7">
        <f t="shared" si="2231"/>
        <v>100</v>
      </c>
      <c r="AG1393" s="7">
        <v>9384.0</v>
      </c>
      <c r="AH1393" s="7">
        <v>4235.7</v>
      </c>
      <c r="AI1393" s="7">
        <v>3760.0</v>
      </c>
      <c r="AJ1393" s="7">
        <v>873.5</v>
      </c>
      <c r="AK1393" s="7">
        <v>404.5</v>
      </c>
      <c r="AL1393" s="7">
        <v>110.3</v>
      </c>
      <c r="AM1393" s="7">
        <v>75.0</v>
      </c>
      <c r="AN1393" s="7">
        <v>31.0</v>
      </c>
      <c r="AO1393" s="7">
        <v>32.7</v>
      </c>
      <c r="AP1393" s="9">
        <f t="shared" ref="AP1393:AR1393" si="4349">AG1393/$AF1393</f>
        <v>93.84</v>
      </c>
      <c r="AQ1393" s="9">
        <f t="shared" si="4349"/>
        <v>42.357</v>
      </c>
      <c r="AR1393" s="9">
        <f t="shared" si="4349"/>
        <v>37.6</v>
      </c>
      <c r="AS1393" s="9">
        <f t="shared" si="2233"/>
        <v>79.957</v>
      </c>
      <c r="AT1393" s="9">
        <f t="shared" ref="AT1393:AV1393" si="4350">AJ1393/$AF1393</f>
        <v>8.735</v>
      </c>
      <c r="AU1393" s="9">
        <f t="shared" si="4350"/>
        <v>4.045</v>
      </c>
      <c r="AV1393" s="9">
        <f t="shared" si="4350"/>
        <v>1.103</v>
      </c>
      <c r="AW1393" s="9">
        <f t="shared" si="2235"/>
        <v>5.148</v>
      </c>
      <c r="AX1393" s="9">
        <f t="shared" ref="AX1393:AY1393" si="4351">AM1393/$AF1393</f>
        <v>0.75</v>
      </c>
      <c r="AY1393" s="9">
        <f t="shared" si="4351"/>
        <v>0.31</v>
      </c>
      <c r="AZ1393" s="9">
        <f>VLOOKUP(A1393,Jogos!A:BN,58,0)</f>
        <v>27.61</v>
      </c>
      <c r="BA1393" s="9">
        <f>VLOOKUP(A1393,Jogos!A:BN,59,0)</f>
        <v>23.84</v>
      </c>
      <c r="BB1393" s="9">
        <f>VLOOKUP(A1393,Jogos!A:BN,60,0)</f>
        <v>79.5</v>
      </c>
      <c r="BC1393" s="9">
        <f>VLOOKUP(A1393,Jogos!A:BN,61,0)</f>
        <v>26.635</v>
      </c>
      <c r="BD1393" s="9">
        <f>VLOOKUP(A1393,Jogos!A:BN,62,0)</f>
        <v>0.05</v>
      </c>
      <c r="BE1393" s="9">
        <f>VLOOKUP(A1393,Jogos!A:BN,63,0)</f>
        <v>0.44</v>
      </c>
      <c r="BF1393" s="9">
        <f>VLOOKUP(A1393,Jogos!A:BN,64,0)</f>
        <v>25.225</v>
      </c>
      <c r="BG1393" s="9">
        <f>VLOOKUP(A1393,Jogos!A:BN,65,0)</f>
        <v>44.18</v>
      </c>
      <c r="BH1393" s="9">
        <f>VLOOKUP(A1393,Jogos!A:BN,66,0)</f>
        <v>29.25</v>
      </c>
      <c r="BI1393" s="9"/>
      <c r="BJ1393" s="9"/>
    </row>
    <row r="1394" hidden="1">
      <c r="A1394" s="10">
        <v>47.0</v>
      </c>
      <c r="B1394" s="11" t="s">
        <v>872</v>
      </c>
      <c r="C1394" s="2" t="s">
        <v>61</v>
      </c>
      <c r="D1394" s="12">
        <v>45834.0</v>
      </c>
      <c r="E1394" s="13">
        <v>0.8333333333333334</v>
      </c>
      <c r="F1394" s="5" t="str">
        <f>VLOOKUP(A1394,Jogos!A:N,10,0)</f>
        <v>Evening</v>
      </c>
      <c r="G1394" s="11" t="s">
        <v>1130</v>
      </c>
      <c r="H1394" s="6" t="str">
        <f>VLOOKUP(A1394,Jogos!A:L,12,0)</f>
        <v>Open</v>
      </c>
      <c r="I1394" s="6" t="str">
        <f>VLOOKUP(G1394,'Estádios e Cidades'!A:B,2,0)</f>
        <v>Nashville</v>
      </c>
      <c r="J1394" s="11" t="s">
        <v>935</v>
      </c>
      <c r="K1394" s="2" t="str">
        <f>VLOOKUP(J1394,Equipes!A:F,6,0)</f>
        <v>Temperate</v>
      </c>
      <c r="L1394" s="2">
        <f>VLOOKUP(J1394,Equipes!A:C,3,0)</f>
        <v>30</v>
      </c>
      <c r="M1394" s="2" t="str">
        <f t="shared" si="4"/>
        <v>Group</v>
      </c>
      <c r="N1394" s="11" t="s">
        <v>874</v>
      </c>
      <c r="O1394" s="2">
        <f>VLOOKUP(N1394,Equipes!A:C,3,0)</f>
        <v>7</v>
      </c>
      <c r="P1394" s="2" t="str">
        <f t="shared" si="5"/>
        <v>Quarter-final</v>
      </c>
      <c r="Q1394" s="2">
        <f t="shared" si="6"/>
        <v>23</v>
      </c>
      <c r="R1394" s="2" t="str">
        <f>VLOOKUP(J1394,Equipes!A:B,2,0)</f>
        <v>Pachuca</v>
      </c>
      <c r="S1394" s="14" t="s">
        <v>953</v>
      </c>
      <c r="T1394" s="7">
        <v>28.0</v>
      </c>
      <c r="U1394" s="7" t="s">
        <v>954</v>
      </c>
      <c r="V1394" s="7" t="str">
        <f>VLOOKUP(U1394,Jogadores!B:C,2,0)</f>
        <v>MF</v>
      </c>
      <c r="W1394" s="8">
        <f>VLOOKUP(U1394,Jogadores!B:D,3,0)</f>
        <v>19.81917808</v>
      </c>
      <c r="X1394" s="7">
        <v>0.0</v>
      </c>
      <c r="Y1394" s="7">
        <f t="shared" si="4352"/>
        <v>96</v>
      </c>
      <c r="Z1394" s="7">
        <f>VLOOKUP(A1394,Jogos!A:L,3,0)</f>
        <v>49</v>
      </c>
      <c r="AA1394" s="7">
        <f t="shared" si="2229"/>
        <v>49</v>
      </c>
      <c r="AB1394" s="7">
        <f>VLOOKUP(A1394,Jogos!A:L,4,0)</f>
        <v>51</v>
      </c>
      <c r="AC1394" s="7">
        <f t="shared" si="2230"/>
        <v>51</v>
      </c>
      <c r="AD1394" s="7"/>
      <c r="AE1394" s="7"/>
      <c r="AF1394" s="7">
        <f t="shared" si="2231"/>
        <v>100</v>
      </c>
      <c r="AG1394" s="7">
        <v>11824.5</v>
      </c>
      <c r="AH1394" s="7">
        <v>3334.9</v>
      </c>
      <c r="AI1394" s="7">
        <v>5418.7</v>
      </c>
      <c r="AJ1394" s="7">
        <v>2238.5</v>
      </c>
      <c r="AK1394" s="7">
        <v>667.6</v>
      </c>
      <c r="AL1394" s="7">
        <v>164.8</v>
      </c>
      <c r="AM1394" s="7">
        <v>193.0</v>
      </c>
      <c r="AN1394" s="7">
        <v>50.0</v>
      </c>
      <c r="AO1394" s="7">
        <v>30.7</v>
      </c>
      <c r="AP1394" s="9">
        <f t="shared" ref="AP1394:AR1394" si="4353">AG1394/$AF1394</f>
        <v>118.245</v>
      </c>
      <c r="AQ1394" s="9">
        <f t="shared" si="4353"/>
        <v>33.349</v>
      </c>
      <c r="AR1394" s="9">
        <f t="shared" si="4353"/>
        <v>54.187</v>
      </c>
      <c r="AS1394" s="9">
        <f t="shared" si="2233"/>
        <v>87.536</v>
      </c>
      <c r="AT1394" s="9">
        <f t="shared" ref="AT1394:AV1394" si="4354">AJ1394/$AF1394</f>
        <v>22.385</v>
      </c>
      <c r="AU1394" s="9">
        <f t="shared" si="4354"/>
        <v>6.676</v>
      </c>
      <c r="AV1394" s="9">
        <f t="shared" si="4354"/>
        <v>1.648</v>
      </c>
      <c r="AW1394" s="9">
        <f t="shared" si="2235"/>
        <v>8.324</v>
      </c>
      <c r="AX1394" s="9">
        <f t="shared" ref="AX1394:AY1394" si="4355">AM1394/$AF1394</f>
        <v>1.93</v>
      </c>
      <c r="AY1394" s="9">
        <f t="shared" si="4355"/>
        <v>0.5</v>
      </c>
      <c r="AZ1394" s="9">
        <f>VLOOKUP(A1394,Jogos!A:BN,58,0)</f>
        <v>27.61</v>
      </c>
      <c r="BA1394" s="9">
        <f>VLOOKUP(A1394,Jogos!A:BN,59,0)</f>
        <v>23.84</v>
      </c>
      <c r="BB1394" s="9">
        <f>VLOOKUP(A1394,Jogos!A:BN,60,0)</f>
        <v>79.5</v>
      </c>
      <c r="BC1394" s="9">
        <f>VLOOKUP(A1394,Jogos!A:BN,61,0)</f>
        <v>26.635</v>
      </c>
      <c r="BD1394" s="9">
        <f>VLOOKUP(A1394,Jogos!A:BN,62,0)</f>
        <v>0.05</v>
      </c>
      <c r="BE1394" s="9">
        <f>VLOOKUP(A1394,Jogos!A:BN,63,0)</f>
        <v>0.44</v>
      </c>
      <c r="BF1394" s="9">
        <f>VLOOKUP(A1394,Jogos!A:BN,64,0)</f>
        <v>25.225</v>
      </c>
      <c r="BG1394" s="9">
        <f>VLOOKUP(A1394,Jogos!A:BN,65,0)</f>
        <v>44.18</v>
      </c>
      <c r="BH1394" s="9">
        <f>VLOOKUP(A1394,Jogos!A:BN,66,0)</f>
        <v>29.25</v>
      </c>
      <c r="BI1394" s="9"/>
      <c r="BJ1394" s="9"/>
    </row>
    <row r="1395" hidden="1">
      <c r="A1395" s="10">
        <v>47.0</v>
      </c>
      <c r="B1395" s="11" t="s">
        <v>872</v>
      </c>
      <c r="C1395" s="2" t="s">
        <v>61</v>
      </c>
      <c r="D1395" s="12">
        <v>45834.0</v>
      </c>
      <c r="E1395" s="13">
        <v>0.8333333333333334</v>
      </c>
      <c r="F1395" s="5" t="str">
        <f>VLOOKUP(A1395,Jogos!A:N,10,0)</f>
        <v>Evening</v>
      </c>
      <c r="G1395" s="11" t="s">
        <v>1130</v>
      </c>
      <c r="H1395" s="6" t="str">
        <f>VLOOKUP(A1395,Jogos!A:L,12,0)</f>
        <v>Open</v>
      </c>
      <c r="I1395" s="6" t="str">
        <f>VLOOKUP(G1395,'Estádios e Cidades'!A:B,2,0)</f>
        <v>Nashville</v>
      </c>
      <c r="J1395" s="11" t="s">
        <v>935</v>
      </c>
      <c r="K1395" s="2" t="str">
        <f>VLOOKUP(J1395,Equipes!A:F,6,0)</f>
        <v>Temperate</v>
      </c>
      <c r="L1395" s="2">
        <f>VLOOKUP(J1395,Equipes!A:C,3,0)</f>
        <v>30</v>
      </c>
      <c r="M1395" s="2" t="str">
        <f t="shared" si="4"/>
        <v>Group</v>
      </c>
      <c r="N1395" s="11" t="s">
        <v>874</v>
      </c>
      <c r="O1395" s="2">
        <f>VLOOKUP(N1395,Equipes!A:C,3,0)</f>
        <v>7</v>
      </c>
      <c r="P1395" s="2" t="str">
        <f t="shared" si="5"/>
        <v>Quarter-final</v>
      </c>
      <c r="Q1395" s="2">
        <f t="shared" si="6"/>
        <v>23</v>
      </c>
      <c r="R1395" s="2" t="str">
        <f>VLOOKUP(J1395,Equipes!A:B,2,0)</f>
        <v>Pachuca</v>
      </c>
      <c r="S1395" s="14" t="s">
        <v>955</v>
      </c>
      <c r="T1395" s="7">
        <v>29.0</v>
      </c>
      <c r="U1395" s="7" t="s">
        <v>956</v>
      </c>
      <c r="V1395" s="7" t="str">
        <f>VLOOKUP(U1395,Jogadores!B:C,2,0)</f>
        <v>FW</v>
      </c>
      <c r="W1395" s="8">
        <f>VLOOKUP(U1395,Jogadores!B:D,3,0)</f>
        <v>29.48767123</v>
      </c>
      <c r="X1395" s="7">
        <v>0.0</v>
      </c>
      <c r="Y1395" s="7">
        <v>63.0</v>
      </c>
      <c r="Z1395" s="7">
        <f>VLOOKUP(A1395,Jogos!A:L,3,0)</f>
        <v>49</v>
      </c>
      <c r="AA1395" s="7">
        <f t="shared" si="2229"/>
        <v>49</v>
      </c>
      <c r="AB1395" s="7">
        <f>VLOOKUP(A1395,Jogos!A:L,4,0)</f>
        <v>51</v>
      </c>
      <c r="AC1395" s="7">
        <f t="shared" si="2230"/>
        <v>18</v>
      </c>
      <c r="AD1395" s="7"/>
      <c r="AE1395" s="7"/>
      <c r="AF1395" s="7">
        <f t="shared" si="2231"/>
        <v>67</v>
      </c>
      <c r="AG1395" s="7">
        <v>7115.9</v>
      </c>
      <c r="AH1395" s="7">
        <v>2799.7</v>
      </c>
      <c r="AI1395" s="7">
        <v>2594.3</v>
      </c>
      <c r="AJ1395" s="7">
        <v>995.9</v>
      </c>
      <c r="AK1395" s="7">
        <v>458.1</v>
      </c>
      <c r="AL1395" s="7">
        <v>267.9</v>
      </c>
      <c r="AM1395" s="7">
        <v>85.0</v>
      </c>
      <c r="AN1395" s="7">
        <v>41.0</v>
      </c>
      <c r="AO1395" s="7">
        <v>32.1</v>
      </c>
      <c r="AP1395" s="9">
        <f t="shared" ref="AP1395:AR1395" si="4356">AG1395/$AF1395</f>
        <v>106.2074627</v>
      </c>
      <c r="AQ1395" s="9">
        <f t="shared" si="4356"/>
        <v>41.78656716</v>
      </c>
      <c r="AR1395" s="9">
        <f t="shared" si="4356"/>
        <v>38.72089552</v>
      </c>
      <c r="AS1395" s="9">
        <f t="shared" si="2233"/>
        <v>80.50746269</v>
      </c>
      <c r="AT1395" s="9">
        <f t="shared" ref="AT1395:AV1395" si="4357">AJ1395/$AF1395</f>
        <v>14.8641791</v>
      </c>
      <c r="AU1395" s="9">
        <f t="shared" si="4357"/>
        <v>6.837313433</v>
      </c>
      <c r="AV1395" s="9">
        <f t="shared" si="4357"/>
        <v>3.998507463</v>
      </c>
      <c r="AW1395" s="9">
        <f t="shared" si="2235"/>
        <v>10.8358209</v>
      </c>
      <c r="AX1395" s="9">
        <f t="shared" ref="AX1395:AY1395" si="4358">AM1395/$AF1395</f>
        <v>1.268656716</v>
      </c>
      <c r="AY1395" s="9">
        <f t="shared" si="4358"/>
        <v>0.6119402985</v>
      </c>
      <c r="AZ1395" s="9">
        <f>VLOOKUP(A1395,Jogos!A:BN,58,0)</f>
        <v>27.61</v>
      </c>
      <c r="BA1395" s="9">
        <f>VLOOKUP(A1395,Jogos!A:BN,59,0)</f>
        <v>23.84</v>
      </c>
      <c r="BB1395" s="9">
        <f>VLOOKUP(A1395,Jogos!A:BN,60,0)</f>
        <v>79.5</v>
      </c>
      <c r="BC1395" s="9">
        <f>VLOOKUP(A1395,Jogos!A:BN,61,0)</f>
        <v>26.635</v>
      </c>
      <c r="BD1395" s="9">
        <f>VLOOKUP(A1395,Jogos!A:BN,62,0)</f>
        <v>0.05</v>
      </c>
      <c r="BE1395" s="9">
        <f>VLOOKUP(A1395,Jogos!A:BN,63,0)</f>
        <v>0.44</v>
      </c>
      <c r="BF1395" s="9">
        <f>VLOOKUP(A1395,Jogos!A:BN,64,0)</f>
        <v>25.225</v>
      </c>
      <c r="BG1395" s="9">
        <f>VLOOKUP(A1395,Jogos!A:BN,65,0)</f>
        <v>44.18</v>
      </c>
      <c r="BH1395" s="9">
        <f>VLOOKUP(A1395,Jogos!A:BN,66,0)</f>
        <v>29.25</v>
      </c>
      <c r="BI1395" s="9"/>
      <c r="BJ1395" s="9"/>
    </row>
    <row r="1396" hidden="1">
      <c r="A1396" s="10">
        <v>47.0</v>
      </c>
      <c r="B1396" s="11" t="s">
        <v>872</v>
      </c>
      <c r="C1396" s="2" t="s">
        <v>61</v>
      </c>
      <c r="D1396" s="12">
        <v>45834.0</v>
      </c>
      <c r="E1396" s="13">
        <v>0.8333333333333334</v>
      </c>
      <c r="F1396" s="5" t="str">
        <f>VLOOKUP(A1396,Jogos!A:N,10,0)</f>
        <v>Evening</v>
      </c>
      <c r="G1396" s="11" t="s">
        <v>1130</v>
      </c>
      <c r="H1396" s="6" t="str">
        <f>VLOOKUP(A1396,Jogos!A:L,12,0)</f>
        <v>Open</v>
      </c>
      <c r="I1396" s="6" t="str">
        <f>VLOOKUP(G1396,'Estádios e Cidades'!A:B,2,0)</f>
        <v>Nashville</v>
      </c>
      <c r="J1396" s="11" t="s">
        <v>935</v>
      </c>
      <c r="K1396" s="2" t="str">
        <f>VLOOKUP(J1396,Equipes!A:F,6,0)</f>
        <v>Temperate</v>
      </c>
      <c r="L1396" s="2">
        <f>VLOOKUP(J1396,Equipes!A:C,3,0)</f>
        <v>30</v>
      </c>
      <c r="M1396" s="2" t="str">
        <f t="shared" si="4"/>
        <v>Group</v>
      </c>
      <c r="N1396" s="11" t="s">
        <v>874</v>
      </c>
      <c r="O1396" s="2">
        <f>VLOOKUP(N1396,Equipes!A:C,3,0)</f>
        <v>7</v>
      </c>
      <c r="P1396" s="2" t="str">
        <f t="shared" si="5"/>
        <v>Quarter-final</v>
      </c>
      <c r="Q1396" s="2">
        <f t="shared" si="6"/>
        <v>23</v>
      </c>
      <c r="R1396" s="2" t="str">
        <f>VLOOKUP(J1396,Equipes!A:B,2,0)</f>
        <v>Pachuca</v>
      </c>
      <c r="S1396" s="14" t="s">
        <v>939</v>
      </c>
      <c r="T1396" s="7">
        <v>5.0</v>
      </c>
      <c r="U1396" s="7" t="s">
        <v>940</v>
      </c>
      <c r="V1396" s="7" t="str">
        <f>VLOOKUP(U1396,Jogadores!B:C,2,0)</f>
        <v>MF</v>
      </c>
      <c r="W1396" s="8">
        <f>VLOOKUP(U1396,Jogadores!B:D,3,0)</f>
        <v>25.26027397</v>
      </c>
      <c r="X1396" s="7">
        <v>77.0</v>
      </c>
      <c r="Y1396" s="7">
        <f t="shared" ref="Y1396:Y1401" si="4362">45+AB1396</f>
        <v>96</v>
      </c>
      <c r="Z1396" s="7">
        <f>VLOOKUP(A1396,Jogos!A:L,3,0)</f>
        <v>49</v>
      </c>
      <c r="AA1396" s="7">
        <f t="shared" si="2229"/>
        <v>0</v>
      </c>
      <c r="AB1396" s="7">
        <f>VLOOKUP(A1396,Jogos!A:L,4,0)</f>
        <v>51</v>
      </c>
      <c r="AC1396" s="7">
        <f t="shared" si="2230"/>
        <v>19</v>
      </c>
      <c r="AD1396" s="7"/>
      <c r="AE1396" s="7"/>
      <c r="AF1396" s="7">
        <f t="shared" si="2231"/>
        <v>19</v>
      </c>
      <c r="AG1396" s="7">
        <v>2530.6</v>
      </c>
      <c r="AH1396" s="7">
        <v>754.5</v>
      </c>
      <c r="AI1396" s="7">
        <v>1235.7</v>
      </c>
      <c r="AJ1396" s="7">
        <v>363.1</v>
      </c>
      <c r="AK1396" s="7">
        <v>137.4</v>
      </c>
      <c r="AL1396" s="7">
        <v>39.9</v>
      </c>
      <c r="AM1396" s="7">
        <v>30.0</v>
      </c>
      <c r="AN1396" s="7">
        <v>10.0</v>
      </c>
      <c r="AO1396" s="7">
        <v>28.1</v>
      </c>
      <c r="AP1396" s="9">
        <f t="shared" ref="AP1396:AR1396" si="4359">AG1396/$AF1396</f>
        <v>133.1894737</v>
      </c>
      <c r="AQ1396" s="9">
        <f t="shared" si="4359"/>
        <v>39.71052632</v>
      </c>
      <c r="AR1396" s="9">
        <f t="shared" si="4359"/>
        <v>65.03684211</v>
      </c>
      <c r="AS1396" s="9">
        <f t="shared" si="2233"/>
        <v>104.7473684</v>
      </c>
      <c r="AT1396" s="9">
        <f t="shared" ref="AT1396:AV1396" si="4360">AJ1396/$AF1396</f>
        <v>19.11052632</v>
      </c>
      <c r="AU1396" s="9">
        <f t="shared" si="4360"/>
        <v>7.231578947</v>
      </c>
      <c r="AV1396" s="9">
        <f t="shared" si="4360"/>
        <v>2.1</v>
      </c>
      <c r="AW1396" s="9">
        <f t="shared" si="2235"/>
        <v>9.331578947</v>
      </c>
      <c r="AX1396" s="9">
        <f t="shared" ref="AX1396:AY1396" si="4361">AM1396/$AF1396</f>
        <v>1.578947368</v>
      </c>
      <c r="AY1396" s="9">
        <f t="shared" si="4361"/>
        <v>0.5263157895</v>
      </c>
      <c r="AZ1396" s="9">
        <f>VLOOKUP(A1396,Jogos!A:BN,58,0)</f>
        <v>27.61</v>
      </c>
      <c r="BA1396" s="9">
        <f>VLOOKUP(A1396,Jogos!A:BN,59,0)</f>
        <v>23.84</v>
      </c>
      <c r="BB1396" s="9">
        <f>VLOOKUP(A1396,Jogos!A:BN,60,0)</f>
        <v>79.5</v>
      </c>
      <c r="BC1396" s="9">
        <f>VLOOKUP(A1396,Jogos!A:BN,61,0)</f>
        <v>26.635</v>
      </c>
      <c r="BD1396" s="9">
        <f>VLOOKUP(A1396,Jogos!A:BN,62,0)</f>
        <v>0.05</v>
      </c>
      <c r="BE1396" s="9">
        <f>VLOOKUP(A1396,Jogos!A:BN,63,0)</f>
        <v>0.44</v>
      </c>
      <c r="BF1396" s="9">
        <f>VLOOKUP(A1396,Jogos!A:BN,64,0)</f>
        <v>25.225</v>
      </c>
      <c r="BG1396" s="9">
        <f>VLOOKUP(A1396,Jogos!A:BN,65,0)</f>
        <v>44.18</v>
      </c>
      <c r="BH1396" s="9">
        <f>VLOOKUP(A1396,Jogos!A:BN,66,0)</f>
        <v>29.25</v>
      </c>
      <c r="BI1396" s="9"/>
      <c r="BJ1396" s="9"/>
    </row>
    <row r="1397" hidden="1">
      <c r="A1397" s="10">
        <v>47.0</v>
      </c>
      <c r="B1397" s="11" t="s">
        <v>872</v>
      </c>
      <c r="C1397" s="2" t="s">
        <v>61</v>
      </c>
      <c r="D1397" s="12">
        <v>45834.0</v>
      </c>
      <c r="E1397" s="13">
        <v>0.8333333333333334</v>
      </c>
      <c r="F1397" s="5" t="str">
        <f>VLOOKUP(A1397,Jogos!A:N,10,0)</f>
        <v>Evening</v>
      </c>
      <c r="G1397" s="11" t="s">
        <v>1130</v>
      </c>
      <c r="H1397" s="6" t="str">
        <f>VLOOKUP(A1397,Jogos!A:L,12,0)</f>
        <v>Open</v>
      </c>
      <c r="I1397" s="6" t="str">
        <f>VLOOKUP(G1397,'Estádios e Cidades'!A:B,2,0)</f>
        <v>Nashville</v>
      </c>
      <c r="J1397" s="11" t="s">
        <v>935</v>
      </c>
      <c r="K1397" s="2" t="str">
        <f>VLOOKUP(J1397,Equipes!A:F,6,0)</f>
        <v>Temperate</v>
      </c>
      <c r="L1397" s="2">
        <f>VLOOKUP(J1397,Equipes!A:C,3,0)</f>
        <v>30</v>
      </c>
      <c r="M1397" s="2" t="str">
        <f t="shared" si="4"/>
        <v>Group</v>
      </c>
      <c r="N1397" s="11" t="s">
        <v>874</v>
      </c>
      <c r="O1397" s="2">
        <f>VLOOKUP(N1397,Equipes!A:C,3,0)</f>
        <v>7</v>
      </c>
      <c r="P1397" s="2" t="str">
        <f t="shared" si="5"/>
        <v>Quarter-final</v>
      </c>
      <c r="Q1397" s="2">
        <f t="shared" si="6"/>
        <v>23</v>
      </c>
      <c r="R1397" s="2" t="str">
        <f>VLOOKUP(J1397,Equipes!A:B,2,0)</f>
        <v>Pachuca</v>
      </c>
      <c r="S1397" s="14" t="s">
        <v>941</v>
      </c>
      <c r="T1397" s="7">
        <v>8.0</v>
      </c>
      <c r="U1397" s="7" t="s">
        <v>942</v>
      </c>
      <c r="V1397" s="7" t="str">
        <f>VLOOKUP(U1397,Jogadores!B:C,2,0)</f>
        <v>DF</v>
      </c>
      <c r="W1397" s="8">
        <f>VLOOKUP(U1397,Jogadores!B:D,3,0)</f>
        <v>22.31506849</v>
      </c>
      <c r="X1397" s="7">
        <v>57.0</v>
      </c>
      <c r="Y1397" s="7">
        <f t="shared" si="4362"/>
        <v>96</v>
      </c>
      <c r="Z1397" s="7">
        <f>VLOOKUP(A1397,Jogos!A:L,3,0)</f>
        <v>49</v>
      </c>
      <c r="AA1397" s="7">
        <f t="shared" si="2229"/>
        <v>0</v>
      </c>
      <c r="AB1397" s="7">
        <f>VLOOKUP(A1397,Jogos!A:L,4,0)</f>
        <v>51</v>
      </c>
      <c r="AC1397" s="7">
        <f t="shared" si="2230"/>
        <v>39</v>
      </c>
      <c r="AD1397" s="7"/>
      <c r="AE1397" s="7"/>
      <c r="AF1397" s="7">
        <f t="shared" si="2231"/>
        <v>39</v>
      </c>
      <c r="AG1397" s="7">
        <v>4419.4</v>
      </c>
      <c r="AH1397" s="7">
        <v>1658.8</v>
      </c>
      <c r="AI1397" s="7">
        <v>1828.1</v>
      </c>
      <c r="AJ1397" s="7">
        <v>541.7</v>
      </c>
      <c r="AK1397" s="7">
        <v>301.5</v>
      </c>
      <c r="AL1397" s="7">
        <v>89.3</v>
      </c>
      <c r="AM1397" s="7">
        <v>51.0</v>
      </c>
      <c r="AN1397" s="7">
        <v>24.0</v>
      </c>
      <c r="AO1397" s="7">
        <v>29.8</v>
      </c>
      <c r="AP1397" s="9">
        <f t="shared" ref="AP1397:AR1397" si="4363">AG1397/$AF1397</f>
        <v>113.3179487</v>
      </c>
      <c r="AQ1397" s="9">
        <f t="shared" si="4363"/>
        <v>42.53333333</v>
      </c>
      <c r="AR1397" s="9">
        <f t="shared" si="4363"/>
        <v>46.87435897</v>
      </c>
      <c r="AS1397" s="9">
        <f t="shared" si="2233"/>
        <v>89.40769231</v>
      </c>
      <c r="AT1397" s="9">
        <f t="shared" ref="AT1397:AV1397" si="4364">AJ1397/$AF1397</f>
        <v>13.88974359</v>
      </c>
      <c r="AU1397" s="9">
        <f t="shared" si="4364"/>
        <v>7.730769231</v>
      </c>
      <c r="AV1397" s="9">
        <f t="shared" si="4364"/>
        <v>2.28974359</v>
      </c>
      <c r="AW1397" s="9">
        <f t="shared" si="2235"/>
        <v>10.02051282</v>
      </c>
      <c r="AX1397" s="9">
        <f t="shared" ref="AX1397:AY1397" si="4365">AM1397/$AF1397</f>
        <v>1.307692308</v>
      </c>
      <c r="AY1397" s="9">
        <f t="shared" si="4365"/>
        <v>0.6153846154</v>
      </c>
      <c r="AZ1397" s="9">
        <f>VLOOKUP(A1397,Jogos!A:BN,58,0)</f>
        <v>27.61</v>
      </c>
      <c r="BA1397" s="9">
        <f>VLOOKUP(A1397,Jogos!A:BN,59,0)</f>
        <v>23.84</v>
      </c>
      <c r="BB1397" s="9">
        <f>VLOOKUP(A1397,Jogos!A:BN,60,0)</f>
        <v>79.5</v>
      </c>
      <c r="BC1397" s="9">
        <f>VLOOKUP(A1397,Jogos!A:BN,61,0)</f>
        <v>26.635</v>
      </c>
      <c r="BD1397" s="9">
        <f>VLOOKUP(A1397,Jogos!A:BN,62,0)</f>
        <v>0.05</v>
      </c>
      <c r="BE1397" s="9">
        <f>VLOOKUP(A1397,Jogos!A:BN,63,0)</f>
        <v>0.44</v>
      </c>
      <c r="BF1397" s="9">
        <f>VLOOKUP(A1397,Jogos!A:BN,64,0)</f>
        <v>25.225</v>
      </c>
      <c r="BG1397" s="9">
        <f>VLOOKUP(A1397,Jogos!A:BN,65,0)</f>
        <v>44.18</v>
      </c>
      <c r="BH1397" s="9">
        <f>VLOOKUP(A1397,Jogos!A:BN,66,0)</f>
        <v>29.25</v>
      </c>
      <c r="BI1397" s="9"/>
      <c r="BJ1397" s="9"/>
    </row>
    <row r="1398" hidden="1">
      <c r="A1398" s="10">
        <v>47.0</v>
      </c>
      <c r="B1398" s="11" t="s">
        <v>872</v>
      </c>
      <c r="C1398" s="2" t="s">
        <v>61</v>
      </c>
      <c r="D1398" s="12">
        <v>45834.0</v>
      </c>
      <c r="E1398" s="13">
        <v>0.8333333333333334</v>
      </c>
      <c r="F1398" s="5" t="str">
        <f>VLOOKUP(A1398,Jogos!A:N,10,0)</f>
        <v>Evening</v>
      </c>
      <c r="G1398" s="11" t="s">
        <v>1130</v>
      </c>
      <c r="H1398" s="6" t="str">
        <f>VLOOKUP(A1398,Jogos!A:L,12,0)</f>
        <v>Open</v>
      </c>
      <c r="I1398" s="6" t="str">
        <f>VLOOKUP(G1398,'Estádios e Cidades'!A:B,2,0)</f>
        <v>Nashville</v>
      </c>
      <c r="J1398" s="11" t="s">
        <v>935</v>
      </c>
      <c r="K1398" s="2" t="str">
        <f>VLOOKUP(J1398,Equipes!A:F,6,0)</f>
        <v>Temperate</v>
      </c>
      <c r="L1398" s="2">
        <f>VLOOKUP(J1398,Equipes!A:C,3,0)</f>
        <v>30</v>
      </c>
      <c r="M1398" s="2" t="str">
        <f t="shared" si="4"/>
        <v>Group</v>
      </c>
      <c r="N1398" s="11" t="s">
        <v>874</v>
      </c>
      <c r="O1398" s="2">
        <f>VLOOKUP(N1398,Equipes!A:C,3,0)</f>
        <v>7</v>
      </c>
      <c r="P1398" s="2" t="str">
        <f t="shared" si="5"/>
        <v>Quarter-final</v>
      </c>
      <c r="Q1398" s="2">
        <f t="shared" si="6"/>
        <v>23</v>
      </c>
      <c r="R1398" s="2" t="str">
        <f>VLOOKUP(J1398,Equipes!A:B,2,0)</f>
        <v>Pachuca</v>
      </c>
      <c r="S1398" s="14" t="s">
        <v>1342</v>
      </c>
      <c r="T1398" s="7">
        <v>9.0</v>
      </c>
      <c r="U1398" s="7" t="s">
        <v>1343</v>
      </c>
      <c r="V1398" s="7" t="str">
        <f>VLOOKUP(U1398,Jogadores!B:C,2,0)</f>
        <v>FW</v>
      </c>
      <c r="W1398" s="8">
        <f>VLOOKUP(U1398,Jogadores!B:D,3,0)</f>
        <v>25.30958904</v>
      </c>
      <c r="X1398" s="7">
        <v>77.0</v>
      </c>
      <c r="Y1398" s="7">
        <f t="shared" si="4362"/>
        <v>96</v>
      </c>
      <c r="Z1398" s="7">
        <f>VLOOKUP(A1398,Jogos!A:L,3,0)</f>
        <v>49</v>
      </c>
      <c r="AA1398" s="7">
        <f t="shared" si="2229"/>
        <v>0</v>
      </c>
      <c r="AB1398" s="7">
        <f>VLOOKUP(A1398,Jogos!A:L,4,0)</f>
        <v>51</v>
      </c>
      <c r="AC1398" s="7">
        <f t="shared" si="2230"/>
        <v>19</v>
      </c>
      <c r="AD1398" s="7"/>
      <c r="AE1398" s="7"/>
      <c r="AF1398" s="7">
        <f t="shared" si="2231"/>
        <v>19</v>
      </c>
      <c r="AG1398" s="7">
        <v>2343.7</v>
      </c>
      <c r="AH1398" s="7">
        <v>835.8</v>
      </c>
      <c r="AI1398" s="7">
        <v>925.4</v>
      </c>
      <c r="AJ1398" s="7">
        <v>420.1</v>
      </c>
      <c r="AK1398" s="7">
        <v>159.7</v>
      </c>
      <c r="AL1398" s="7">
        <v>2.7</v>
      </c>
      <c r="AM1398" s="7">
        <v>33.0</v>
      </c>
      <c r="AN1398" s="7">
        <v>11.0</v>
      </c>
      <c r="AO1398" s="7">
        <v>25.3</v>
      </c>
      <c r="AP1398" s="9">
        <f t="shared" ref="AP1398:AR1398" si="4366">AG1398/$AF1398</f>
        <v>123.3526316</v>
      </c>
      <c r="AQ1398" s="9">
        <f t="shared" si="4366"/>
        <v>43.98947368</v>
      </c>
      <c r="AR1398" s="9">
        <f t="shared" si="4366"/>
        <v>48.70526316</v>
      </c>
      <c r="AS1398" s="9">
        <f t="shared" si="2233"/>
        <v>92.69473684</v>
      </c>
      <c r="AT1398" s="9">
        <f t="shared" ref="AT1398:AV1398" si="4367">AJ1398/$AF1398</f>
        <v>22.11052632</v>
      </c>
      <c r="AU1398" s="9">
        <f t="shared" si="4367"/>
        <v>8.405263158</v>
      </c>
      <c r="AV1398" s="9">
        <f t="shared" si="4367"/>
        <v>0.1421052632</v>
      </c>
      <c r="AW1398" s="9">
        <f t="shared" si="2235"/>
        <v>8.547368421</v>
      </c>
      <c r="AX1398" s="9">
        <f t="shared" ref="AX1398:AY1398" si="4368">AM1398/$AF1398</f>
        <v>1.736842105</v>
      </c>
      <c r="AY1398" s="9">
        <f t="shared" si="4368"/>
        <v>0.5789473684</v>
      </c>
      <c r="AZ1398" s="9">
        <f>VLOOKUP(A1398,Jogos!A:BN,58,0)</f>
        <v>27.61</v>
      </c>
      <c r="BA1398" s="9">
        <f>VLOOKUP(A1398,Jogos!A:BN,59,0)</f>
        <v>23.84</v>
      </c>
      <c r="BB1398" s="9">
        <f>VLOOKUP(A1398,Jogos!A:BN,60,0)</f>
        <v>79.5</v>
      </c>
      <c r="BC1398" s="9">
        <f>VLOOKUP(A1398,Jogos!A:BN,61,0)</f>
        <v>26.635</v>
      </c>
      <c r="BD1398" s="9">
        <f>VLOOKUP(A1398,Jogos!A:BN,62,0)</f>
        <v>0.05</v>
      </c>
      <c r="BE1398" s="9">
        <f>VLOOKUP(A1398,Jogos!A:BN,63,0)</f>
        <v>0.44</v>
      </c>
      <c r="BF1398" s="9">
        <f>VLOOKUP(A1398,Jogos!A:BN,64,0)</f>
        <v>25.225</v>
      </c>
      <c r="BG1398" s="9">
        <f>VLOOKUP(A1398,Jogos!A:BN,65,0)</f>
        <v>44.18</v>
      </c>
      <c r="BH1398" s="9">
        <f>VLOOKUP(A1398,Jogos!A:BN,66,0)</f>
        <v>29.25</v>
      </c>
      <c r="BI1398" s="9"/>
      <c r="BJ1398" s="9"/>
    </row>
    <row r="1399" hidden="1">
      <c r="A1399" s="10">
        <v>47.0</v>
      </c>
      <c r="B1399" s="11" t="s">
        <v>872</v>
      </c>
      <c r="C1399" s="2" t="s">
        <v>61</v>
      </c>
      <c r="D1399" s="12">
        <v>45834.0</v>
      </c>
      <c r="E1399" s="13">
        <v>0.8333333333333334</v>
      </c>
      <c r="F1399" s="5" t="str">
        <f>VLOOKUP(A1399,Jogos!A:N,10,0)</f>
        <v>Evening</v>
      </c>
      <c r="G1399" s="11" t="s">
        <v>1130</v>
      </c>
      <c r="H1399" s="6" t="str">
        <f>VLOOKUP(A1399,Jogos!A:L,12,0)</f>
        <v>Open</v>
      </c>
      <c r="I1399" s="6" t="str">
        <f>VLOOKUP(G1399,'Estádios e Cidades'!A:B,2,0)</f>
        <v>Nashville</v>
      </c>
      <c r="J1399" s="11" t="s">
        <v>935</v>
      </c>
      <c r="K1399" s="2" t="str">
        <f>VLOOKUP(J1399,Equipes!A:F,6,0)</f>
        <v>Temperate</v>
      </c>
      <c r="L1399" s="2">
        <f>VLOOKUP(J1399,Equipes!A:C,3,0)</f>
        <v>30</v>
      </c>
      <c r="M1399" s="2" t="str">
        <f t="shared" si="4"/>
        <v>Group</v>
      </c>
      <c r="N1399" s="11" t="s">
        <v>874</v>
      </c>
      <c r="O1399" s="2">
        <f>VLOOKUP(N1399,Equipes!A:C,3,0)</f>
        <v>7</v>
      </c>
      <c r="P1399" s="2" t="str">
        <f t="shared" si="5"/>
        <v>Quarter-final</v>
      </c>
      <c r="Q1399" s="2">
        <f t="shared" si="6"/>
        <v>23</v>
      </c>
      <c r="R1399" s="2" t="str">
        <f>VLOOKUP(J1399,Equipes!A:B,2,0)</f>
        <v>Pachuca</v>
      </c>
      <c r="S1399" s="14" t="s">
        <v>963</v>
      </c>
      <c r="T1399" s="7">
        <v>26.0</v>
      </c>
      <c r="U1399" s="7" t="s">
        <v>964</v>
      </c>
      <c r="V1399" s="7" t="str">
        <f>VLOOKUP(U1399,Jogadores!B:C,2,0)</f>
        <v>MF</v>
      </c>
      <c r="W1399" s="8">
        <f>VLOOKUP(U1399,Jogadores!B:D,3,0)</f>
        <v>23.14520548</v>
      </c>
      <c r="X1399" s="7">
        <v>63.0</v>
      </c>
      <c r="Y1399" s="7">
        <f t="shared" si="4362"/>
        <v>96</v>
      </c>
      <c r="Z1399" s="7">
        <f>VLOOKUP(A1399,Jogos!A:L,3,0)</f>
        <v>49</v>
      </c>
      <c r="AA1399" s="7">
        <f t="shared" si="2229"/>
        <v>0</v>
      </c>
      <c r="AB1399" s="7">
        <f>VLOOKUP(A1399,Jogos!A:L,4,0)</f>
        <v>51</v>
      </c>
      <c r="AC1399" s="7">
        <f t="shared" si="2230"/>
        <v>33</v>
      </c>
      <c r="AD1399" s="7"/>
      <c r="AE1399" s="7"/>
      <c r="AF1399" s="7">
        <f t="shared" si="2231"/>
        <v>33</v>
      </c>
      <c r="AG1399" s="7">
        <v>4046.2</v>
      </c>
      <c r="AH1399" s="7">
        <v>1072.7</v>
      </c>
      <c r="AI1399" s="7">
        <v>1566.4</v>
      </c>
      <c r="AJ1399" s="7">
        <v>834.7</v>
      </c>
      <c r="AK1399" s="7">
        <v>541.0</v>
      </c>
      <c r="AL1399" s="7">
        <v>31.5</v>
      </c>
      <c r="AM1399" s="7">
        <v>72.0</v>
      </c>
      <c r="AN1399" s="7">
        <v>36.0</v>
      </c>
      <c r="AO1399" s="7">
        <v>26.7</v>
      </c>
      <c r="AP1399" s="9">
        <f t="shared" ref="AP1399:AR1399" si="4369">AG1399/$AF1399</f>
        <v>122.6121212</v>
      </c>
      <c r="AQ1399" s="9">
        <f t="shared" si="4369"/>
        <v>32.50606061</v>
      </c>
      <c r="AR1399" s="9">
        <f t="shared" si="4369"/>
        <v>47.46666667</v>
      </c>
      <c r="AS1399" s="9">
        <f t="shared" si="2233"/>
        <v>79.97272727</v>
      </c>
      <c r="AT1399" s="9">
        <f t="shared" ref="AT1399:AV1399" si="4370">AJ1399/$AF1399</f>
        <v>25.29393939</v>
      </c>
      <c r="AU1399" s="9">
        <f t="shared" si="4370"/>
        <v>16.39393939</v>
      </c>
      <c r="AV1399" s="9">
        <f t="shared" si="4370"/>
        <v>0.9545454545</v>
      </c>
      <c r="AW1399" s="9">
        <f t="shared" si="2235"/>
        <v>17.34848485</v>
      </c>
      <c r="AX1399" s="9">
        <f t="shared" ref="AX1399:AY1399" si="4371">AM1399/$AF1399</f>
        <v>2.181818182</v>
      </c>
      <c r="AY1399" s="9">
        <f t="shared" si="4371"/>
        <v>1.090909091</v>
      </c>
      <c r="AZ1399" s="9">
        <f>VLOOKUP(A1399,Jogos!A:BN,58,0)</f>
        <v>27.61</v>
      </c>
      <c r="BA1399" s="9">
        <f>VLOOKUP(A1399,Jogos!A:BN,59,0)</f>
        <v>23.84</v>
      </c>
      <c r="BB1399" s="9">
        <f>VLOOKUP(A1399,Jogos!A:BN,60,0)</f>
        <v>79.5</v>
      </c>
      <c r="BC1399" s="9">
        <f>VLOOKUP(A1399,Jogos!A:BN,61,0)</f>
        <v>26.635</v>
      </c>
      <c r="BD1399" s="9">
        <f>VLOOKUP(A1399,Jogos!A:BN,62,0)</f>
        <v>0.05</v>
      </c>
      <c r="BE1399" s="9">
        <f>VLOOKUP(A1399,Jogos!A:BN,63,0)</f>
        <v>0.44</v>
      </c>
      <c r="BF1399" s="9">
        <f>VLOOKUP(A1399,Jogos!A:BN,64,0)</f>
        <v>25.225</v>
      </c>
      <c r="BG1399" s="9">
        <f>VLOOKUP(A1399,Jogos!A:BN,65,0)</f>
        <v>44.18</v>
      </c>
      <c r="BH1399" s="9">
        <f>VLOOKUP(A1399,Jogos!A:BN,66,0)</f>
        <v>29.25</v>
      </c>
      <c r="BI1399" s="9"/>
      <c r="BJ1399" s="9"/>
    </row>
    <row r="1400" hidden="1">
      <c r="A1400" s="10">
        <v>47.0</v>
      </c>
      <c r="B1400" s="11" t="s">
        <v>872</v>
      </c>
      <c r="C1400" s="2" t="s">
        <v>61</v>
      </c>
      <c r="D1400" s="12">
        <v>45834.0</v>
      </c>
      <c r="E1400" s="13">
        <v>0.8333333333333334</v>
      </c>
      <c r="F1400" s="5" t="str">
        <f>VLOOKUP(A1400,Jogos!A:N,10,0)</f>
        <v>Evening</v>
      </c>
      <c r="G1400" s="11" t="s">
        <v>1130</v>
      </c>
      <c r="H1400" s="6" t="str">
        <f>VLOOKUP(A1400,Jogos!A:L,12,0)</f>
        <v>Open</v>
      </c>
      <c r="I1400" s="6" t="str">
        <f>VLOOKUP(G1400,'Estádios e Cidades'!A:B,2,0)</f>
        <v>Nashville</v>
      </c>
      <c r="J1400" s="11" t="s">
        <v>935</v>
      </c>
      <c r="K1400" s="2" t="str">
        <f>VLOOKUP(J1400,Equipes!A:F,6,0)</f>
        <v>Temperate</v>
      </c>
      <c r="L1400" s="2">
        <f>VLOOKUP(J1400,Equipes!A:C,3,0)</f>
        <v>30</v>
      </c>
      <c r="M1400" s="2" t="str">
        <f t="shared" si="4"/>
        <v>Group</v>
      </c>
      <c r="N1400" s="11" t="s">
        <v>874</v>
      </c>
      <c r="O1400" s="2">
        <f>VLOOKUP(N1400,Equipes!A:C,3,0)</f>
        <v>7</v>
      </c>
      <c r="P1400" s="2" t="str">
        <f t="shared" si="5"/>
        <v>Quarter-final</v>
      </c>
      <c r="Q1400" s="2">
        <f t="shared" si="6"/>
        <v>23</v>
      </c>
      <c r="R1400" s="2" t="str">
        <f>VLOOKUP(J1400,Equipes!A:B,2,0)</f>
        <v>Pachuca</v>
      </c>
      <c r="S1400" s="14" t="s">
        <v>965</v>
      </c>
      <c r="T1400" s="7">
        <v>30.0</v>
      </c>
      <c r="U1400" s="7" t="s">
        <v>966</v>
      </c>
      <c r="V1400" s="7" t="str">
        <f>VLOOKUP(U1400,Jogadores!B:C,2,0)</f>
        <v>FW</v>
      </c>
      <c r="W1400" s="8">
        <f>VLOOKUP(U1400,Jogadores!B:D,3,0)</f>
        <v>38.29863014</v>
      </c>
      <c r="X1400" s="7">
        <v>57.0</v>
      </c>
      <c r="Y1400" s="7">
        <f t="shared" si="4362"/>
        <v>96</v>
      </c>
      <c r="Z1400" s="7">
        <f>VLOOKUP(A1400,Jogos!A:L,3,0)</f>
        <v>49</v>
      </c>
      <c r="AA1400" s="7">
        <f t="shared" si="2229"/>
        <v>0</v>
      </c>
      <c r="AB1400" s="7">
        <f>VLOOKUP(A1400,Jogos!A:L,4,0)</f>
        <v>51</v>
      </c>
      <c r="AC1400" s="7">
        <f t="shared" si="2230"/>
        <v>39</v>
      </c>
      <c r="AD1400" s="7"/>
      <c r="AE1400" s="7"/>
      <c r="AF1400" s="7">
        <f t="shared" si="2231"/>
        <v>39</v>
      </c>
      <c r="AG1400" s="7">
        <v>4334.4</v>
      </c>
      <c r="AH1400" s="7">
        <v>1390.8</v>
      </c>
      <c r="AI1400" s="7">
        <v>1815.0</v>
      </c>
      <c r="AJ1400" s="7">
        <v>719.6</v>
      </c>
      <c r="AK1400" s="7">
        <v>285.9</v>
      </c>
      <c r="AL1400" s="7">
        <v>123.1</v>
      </c>
      <c r="AM1400" s="7">
        <v>69.0</v>
      </c>
      <c r="AN1400" s="7">
        <v>23.0</v>
      </c>
      <c r="AO1400" s="7">
        <v>30.9</v>
      </c>
      <c r="AP1400" s="9">
        <f t="shared" ref="AP1400:AR1400" si="4372">AG1400/$AF1400</f>
        <v>111.1384615</v>
      </c>
      <c r="AQ1400" s="9">
        <f t="shared" si="4372"/>
        <v>35.66153846</v>
      </c>
      <c r="AR1400" s="9">
        <f t="shared" si="4372"/>
        <v>46.53846154</v>
      </c>
      <c r="AS1400" s="9">
        <f t="shared" si="2233"/>
        <v>82.2</v>
      </c>
      <c r="AT1400" s="9">
        <f t="shared" ref="AT1400:AV1400" si="4373">AJ1400/$AF1400</f>
        <v>18.45128205</v>
      </c>
      <c r="AU1400" s="9">
        <f t="shared" si="4373"/>
        <v>7.330769231</v>
      </c>
      <c r="AV1400" s="9">
        <f t="shared" si="4373"/>
        <v>3.156410256</v>
      </c>
      <c r="AW1400" s="9">
        <f t="shared" si="2235"/>
        <v>10.48717949</v>
      </c>
      <c r="AX1400" s="9">
        <f t="shared" ref="AX1400:AY1400" si="4374">AM1400/$AF1400</f>
        <v>1.769230769</v>
      </c>
      <c r="AY1400" s="9">
        <f t="shared" si="4374"/>
        <v>0.5897435897</v>
      </c>
      <c r="AZ1400" s="9">
        <f>VLOOKUP(A1400,Jogos!A:BN,58,0)</f>
        <v>27.61</v>
      </c>
      <c r="BA1400" s="9">
        <f>VLOOKUP(A1400,Jogos!A:BN,59,0)</f>
        <v>23.84</v>
      </c>
      <c r="BB1400" s="9">
        <f>VLOOKUP(A1400,Jogos!A:BN,60,0)</f>
        <v>79.5</v>
      </c>
      <c r="BC1400" s="9">
        <f>VLOOKUP(A1400,Jogos!A:BN,61,0)</f>
        <v>26.635</v>
      </c>
      <c r="BD1400" s="9">
        <f>VLOOKUP(A1400,Jogos!A:BN,62,0)</f>
        <v>0.05</v>
      </c>
      <c r="BE1400" s="9">
        <f>VLOOKUP(A1400,Jogos!A:BN,63,0)</f>
        <v>0.44</v>
      </c>
      <c r="BF1400" s="9">
        <f>VLOOKUP(A1400,Jogos!A:BN,64,0)</f>
        <v>25.225</v>
      </c>
      <c r="BG1400" s="9">
        <f>VLOOKUP(A1400,Jogos!A:BN,65,0)</f>
        <v>44.18</v>
      </c>
      <c r="BH1400" s="9">
        <f>VLOOKUP(A1400,Jogos!A:BN,66,0)</f>
        <v>29.25</v>
      </c>
      <c r="BI1400" s="9"/>
      <c r="BJ1400" s="9"/>
    </row>
    <row r="1401" hidden="1">
      <c r="A1401" s="2">
        <v>48.0</v>
      </c>
      <c r="B1401" s="2" t="s">
        <v>872</v>
      </c>
      <c r="C1401" s="2" t="s">
        <v>61</v>
      </c>
      <c r="D1401" s="3">
        <v>45834.0</v>
      </c>
      <c r="E1401" s="4">
        <v>0.875</v>
      </c>
      <c r="F1401" s="5" t="str">
        <f>VLOOKUP(A1401,Jogos!A:N,10,0)</f>
        <v>Evening</v>
      </c>
      <c r="G1401" s="2" t="s">
        <v>500</v>
      </c>
      <c r="H1401" s="6" t="str">
        <f>VLOOKUP(A1401,Jogos!A:L,12,0)</f>
        <v>Open</v>
      </c>
      <c r="I1401" s="6" t="str">
        <f>VLOOKUP(G1401,'Estádios e Cidades'!A:B,2,0)</f>
        <v>Philadelphia</v>
      </c>
      <c r="J1401" s="2" t="s">
        <v>936</v>
      </c>
      <c r="K1401" s="2" t="str">
        <f>VLOOKUP(J1401,Equipes!A:F,6,0)</f>
        <v>Temperate</v>
      </c>
      <c r="L1401" s="2">
        <f>VLOOKUP(J1401,Equipes!A:C,3,0)</f>
        <v>20</v>
      </c>
      <c r="M1401" s="2" t="str">
        <f t="shared" si="4"/>
        <v>Group</v>
      </c>
      <c r="N1401" s="2" t="s">
        <v>873</v>
      </c>
      <c r="O1401" s="2">
        <f>VLOOKUP(N1401,Equipes!A:C,3,0)</f>
        <v>3</v>
      </c>
      <c r="P1401" s="2" t="str">
        <f t="shared" si="5"/>
        <v>Semi-final</v>
      </c>
      <c r="Q1401" s="2">
        <f t="shared" si="6"/>
        <v>17</v>
      </c>
      <c r="R1401" s="2" t="str">
        <f>VLOOKUP(J1401,Equipes!A:B,2,0)</f>
        <v>Salzburg</v>
      </c>
      <c r="S1401" s="6" t="s">
        <v>967</v>
      </c>
      <c r="T1401" s="7">
        <v>2.0</v>
      </c>
      <c r="U1401" s="7" t="s">
        <v>968</v>
      </c>
      <c r="V1401" s="7" t="str">
        <f>VLOOKUP(U1401,Jogadores!B:C,2,0)</f>
        <v>DF</v>
      </c>
      <c r="W1401" s="8">
        <f>VLOOKUP(U1401,Jogadores!B:D,3,0)</f>
        <v>28.18630137</v>
      </c>
      <c r="X1401" s="7">
        <v>0.0</v>
      </c>
      <c r="Y1401" s="7">
        <f t="shared" si="4362"/>
        <v>93</v>
      </c>
      <c r="Z1401" s="7">
        <f>VLOOKUP(A1401,Jogos!A:L,3,0)</f>
        <v>49</v>
      </c>
      <c r="AA1401" s="7">
        <f t="shared" si="2229"/>
        <v>49</v>
      </c>
      <c r="AB1401" s="7">
        <f>VLOOKUP(A1401,Jogos!A:L,4,0)</f>
        <v>48</v>
      </c>
      <c r="AC1401" s="7">
        <f t="shared" si="2230"/>
        <v>48</v>
      </c>
      <c r="AD1401" s="7"/>
      <c r="AE1401" s="7"/>
      <c r="AF1401" s="7">
        <f t="shared" si="2231"/>
        <v>97</v>
      </c>
      <c r="AG1401" s="7">
        <v>10047.6</v>
      </c>
      <c r="AH1401" s="7">
        <v>4351.5</v>
      </c>
      <c r="AI1401" s="7">
        <v>3870.0</v>
      </c>
      <c r="AJ1401" s="7">
        <v>1162.0</v>
      </c>
      <c r="AK1401" s="7">
        <v>512.9</v>
      </c>
      <c r="AL1401" s="7">
        <v>151.3</v>
      </c>
      <c r="AM1401" s="7">
        <v>100.0</v>
      </c>
      <c r="AN1401" s="7">
        <v>35.0</v>
      </c>
      <c r="AO1401" s="7">
        <v>30.0</v>
      </c>
      <c r="AP1401" s="9">
        <f t="shared" ref="AP1401:AR1401" si="4375">AG1401/$AF1401</f>
        <v>103.5835052</v>
      </c>
      <c r="AQ1401" s="9">
        <f t="shared" si="4375"/>
        <v>44.86082474</v>
      </c>
      <c r="AR1401" s="9">
        <f t="shared" si="4375"/>
        <v>39.89690722</v>
      </c>
      <c r="AS1401" s="9">
        <f t="shared" si="2233"/>
        <v>84.75773196</v>
      </c>
      <c r="AT1401" s="9">
        <f t="shared" ref="AT1401:AV1401" si="4376">AJ1401/$AF1401</f>
        <v>11.97938144</v>
      </c>
      <c r="AU1401" s="9">
        <f t="shared" si="4376"/>
        <v>5.287628866</v>
      </c>
      <c r="AV1401" s="9">
        <f t="shared" si="4376"/>
        <v>1.559793814</v>
      </c>
      <c r="AW1401" s="9">
        <f t="shared" si="2235"/>
        <v>6.84742268</v>
      </c>
      <c r="AX1401" s="9">
        <f t="shared" ref="AX1401:AY1401" si="4377">AM1401/$AF1401</f>
        <v>1.030927835</v>
      </c>
      <c r="AY1401" s="9">
        <f t="shared" si="4377"/>
        <v>0.3608247423</v>
      </c>
      <c r="AZ1401" s="9">
        <f>VLOOKUP(A1401,Jogos!A:BN,58,0)</f>
        <v>20.425</v>
      </c>
      <c r="BA1401" s="9">
        <f>VLOOKUP(A1401,Jogos!A:BN,59,0)</f>
        <v>14.16</v>
      </c>
      <c r="BB1401" s="9">
        <f>VLOOKUP(A1401,Jogos!A:BN,60,0)</f>
        <v>67</v>
      </c>
      <c r="BC1401" s="9">
        <f>VLOOKUP(A1401,Jogos!A:BN,61,0)</f>
        <v>17.71</v>
      </c>
      <c r="BD1401" s="9">
        <f>VLOOKUP(A1401,Jogos!A:BN,62,0)</f>
        <v>0</v>
      </c>
      <c r="BE1401" s="9">
        <f>VLOOKUP(A1401,Jogos!A:BN,63,0)</f>
        <v>3.065</v>
      </c>
      <c r="BF1401" s="9">
        <f>VLOOKUP(A1401,Jogos!A:BN,64,0)</f>
        <v>18.25</v>
      </c>
      <c r="BG1401" s="9">
        <f>VLOOKUP(A1401,Jogos!A:BN,65,0)</f>
        <v>30.565</v>
      </c>
      <c r="BH1401" s="9">
        <f>VLOOKUP(A1401,Jogos!A:BN,66,0)</f>
        <v>20.93</v>
      </c>
      <c r="BI1401" s="9"/>
      <c r="BJ1401" s="9"/>
    </row>
    <row r="1402" hidden="1">
      <c r="A1402" s="2">
        <v>48.0</v>
      </c>
      <c r="B1402" s="2" t="s">
        <v>872</v>
      </c>
      <c r="C1402" s="2" t="s">
        <v>61</v>
      </c>
      <c r="D1402" s="3">
        <v>45834.0</v>
      </c>
      <c r="E1402" s="4">
        <v>0.875</v>
      </c>
      <c r="F1402" s="5" t="str">
        <f>VLOOKUP(A1402,Jogos!A:N,10,0)</f>
        <v>Evening</v>
      </c>
      <c r="G1402" s="2" t="s">
        <v>500</v>
      </c>
      <c r="H1402" s="6" t="str">
        <f>VLOOKUP(A1402,Jogos!A:L,12,0)</f>
        <v>Open</v>
      </c>
      <c r="I1402" s="6" t="str">
        <f>VLOOKUP(G1402,'Estádios e Cidades'!A:B,2,0)</f>
        <v>Philadelphia</v>
      </c>
      <c r="J1402" s="2" t="s">
        <v>936</v>
      </c>
      <c r="K1402" s="2" t="str">
        <f>VLOOKUP(J1402,Equipes!A:F,6,0)</f>
        <v>Temperate</v>
      </c>
      <c r="L1402" s="2">
        <f>VLOOKUP(J1402,Equipes!A:C,3,0)</f>
        <v>20</v>
      </c>
      <c r="M1402" s="2" t="str">
        <f t="shared" si="4"/>
        <v>Group</v>
      </c>
      <c r="N1402" s="2" t="s">
        <v>873</v>
      </c>
      <c r="O1402" s="2">
        <f>VLOOKUP(N1402,Equipes!A:C,3,0)</f>
        <v>3</v>
      </c>
      <c r="P1402" s="2" t="str">
        <f t="shared" si="5"/>
        <v>Semi-final</v>
      </c>
      <c r="Q1402" s="2">
        <f t="shared" si="6"/>
        <v>17</v>
      </c>
      <c r="R1402" s="2" t="str">
        <f>VLOOKUP(J1402,Equipes!A:B,2,0)</f>
        <v>Salzburg</v>
      </c>
      <c r="S1402" s="6" t="s">
        <v>987</v>
      </c>
      <c r="T1402" s="7">
        <v>5.0</v>
      </c>
      <c r="U1402" s="7" t="s">
        <v>988</v>
      </c>
      <c r="V1402" s="7" t="str">
        <f>VLOOKUP(U1402,Jogadores!B:C,2,0)</f>
        <v>MF</v>
      </c>
      <c r="W1402" s="8">
        <f>VLOOKUP(U1402,Jogadores!B:D,3,0)</f>
        <v>20.69315068</v>
      </c>
      <c r="X1402" s="7">
        <v>0.0</v>
      </c>
      <c r="Y1402" s="7">
        <v>73.0</v>
      </c>
      <c r="Z1402" s="7">
        <f>VLOOKUP(A1402,Jogos!A:L,3,0)</f>
        <v>49</v>
      </c>
      <c r="AA1402" s="7">
        <f t="shared" si="2229"/>
        <v>49</v>
      </c>
      <c r="AB1402" s="7">
        <f>VLOOKUP(A1402,Jogos!A:L,4,0)</f>
        <v>48</v>
      </c>
      <c r="AC1402" s="7">
        <f t="shared" si="2230"/>
        <v>28</v>
      </c>
      <c r="AD1402" s="7"/>
      <c r="AE1402" s="7"/>
      <c r="AF1402" s="7">
        <f t="shared" si="2231"/>
        <v>77</v>
      </c>
      <c r="AG1402" s="7">
        <v>9738.1</v>
      </c>
      <c r="AH1402" s="7">
        <v>2501.4</v>
      </c>
      <c r="AI1402" s="7">
        <v>4718.8</v>
      </c>
      <c r="AJ1402" s="7">
        <v>1927.6</v>
      </c>
      <c r="AK1402" s="7">
        <v>462.7</v>
      </c>
      <c r="AL1402" s="7">
        <v>127.7</v>
      </c>
      <c r="AM1402" s="7">
        <v>163.0</v>
      </c>
      <c r="AN1402" s="7">
        <v>32.0</v>
      </c>
      <c r="AO1402" s="7">
        <v>31.6</v>
      </c>
      <c r="AP1402" s="9">
        <f t="shared" ref="AP1402:AR1402" si="4378">AG1402/$AF1402</f>
        <v>126.4688312</v>
      </c>
      <c r="AQ1402" s="9">
        <f t="shared" si="4378"/>
        <v>32.48571429</v>
      </c>
      <c r="AR1402" s="9">
        <f t="shared" si="4378"/>
        <v>61.28311688</v>
      </c>
      <c r="AS1402" s="9">
        <f t="shared" si="2233"/>
        <v>93.76883117</v>
      </c>
      <c r="AT1402" s="9">
        <f t="shared" ref="AT1402:AV1402" si="4379">AJ1402/$AF1402</f>
        <v>25.03376623</v>
      </c>
      <c r="AU1402" s="9">
        <f t="shared" si="4379"/>
        <v>6.009090909</v>
      </c>
      <c r="AV1402" s="9">
        <f t="shared" si="4379"/>
        <v>1.658441558</v>
      </c>
      <c r="AW1402" s="9">
        <f t="shared" si="2235"/>
        <v>7.667532468</v>
      </c>
      <c r="AX1402" s="9">
        <f t="shared" ref="AX1402:AY1402" si="4380">AM1402/$AF1402</f>
        <v>2.116883117</v>
      </c>
      <c r="AY1402" s="9">
        <f t="shared" si="4380"/>
        <v>0.4155844156</v>
      </c>
      <c r="AZ1402" s="9">
        <f>VLOOKUP(A1402,Jogos!A:BN,58,0)</f>
        <v>20.425</v>
      </c>
      <c r="BA1402" s="9">
        <f>VLOOKUP(A1402,Jogos!A:BN,59,0)</f>
        <v>14.16</v>
      </c>
      <c r="BB1402" s="9">
        <f>VLOOKUP(A1402,Jogos!A:BN,60,0)</f>
        <v>67</v>
      </c>
      <c r="BC1402" s="9">
        <f>VLOOKUP(A1402,Jogos!A:BN,61,0)</f>
        <v>17.71</v>
      </c>
      <c r="BD1402" s="9">
        <f>VLOOKUP(A1402,Jogos!A:BN,62,0)</f>
        <v>0</v>
      </c>
      <c r="BE1402" s="9">
        <f>VLOOKUP(A1402,Jogos!A:BN,63,0)</f>
        <v>3.065</v>
      </c>
      <c r="BF1402" s="9">
        <f>VLOOKUP(A1402,Jogos!A:BN,64,0)</f>
        <v>18.25</v>
      </c>
      <c r="BG1402" s="9">
        <f>VLOOKUP(A1402,Jogos!A:BN,65,0)</f>
        <v>30.565</v>
      </c>
      <c r="BH1402" s="9">
        <f>VLOOKUP(A1402,Jogos!A:BN,66,0)</f>
        <v>20.93</v>
      </c>
      <c r="BI1402" s="9"/>
      <c r="BJ1402" s="9"/>
    </row>
    <row r="1403" hidden="1">
      <c r="A1403" s="2">
        <v>48.0</v>
      </c>
      <c r="B1403" s="2" t="s">
        <v>872</v>
      </c>
      <c r="C1403" s="2" t="s">
        <v>61</v>
      </c>
      <c r="D1403" s="3">
        <v>45834.0</v>
      </c>
      <c r="E1403" s="4">
        <v>0.875</v>
      </c>
      <c r="F1403" s="5" t="str">
        <f>VLOOKUP(A1403,Jogos!A:N,10,0)</f>
        <v>Evening</v>
      </c>
      <c r="G1403" s="2" t="s">
        <v>500</v>
      </c>
      <c r="H1403" s="6" t="str">
        <f>VLOOKUP(A1403,Jogos!A:L,12,0)</f>
        <v>Open</v>
      </c>
      <c r="I1403" s="6" t="str">
        <f>VLOOKUP(G1403,'Estádios e Cidades'!A:B,2,0)</f>
        <v>Philadelphia</v>
      </c>
      <c r="J1403" s="2" t="s">
        <v>936</v>
      </c>
      <c r="K1403" s="2" t="str">
        <f>VLOOKUP(J1403,Equipes!A:F,6,0)</f>
        <v>Temperate</v>
      </c>
      <c r="L1403" s="2">
        <f>VLOOKUP(J1403,Equipes!A:C,3,0)</f>
        <v>20</v>
      </c>
      <c r="M1403" s="2" t="str">
        <f t="shared" si="4"/>
        <v>Group</v>
      </c>
      <c r="N1403" s="2" t="s">
        <v>873</v>
      </c>
      <c r="O1403" s="2">
        <f>VLOOKUP(N1403,Equipes!A:C,3,0)</f>
        <v>3</v>
      </c>
      <c r="P1403" s="2" t="str">
        <f t="shared" si="5"/>
        <v>Semi-final</v>
      </c>
      <c r="Q1403" s="2">
        <f t="shared" si="6"/>
        <v>17</v>
      </c>
      <c r="R1403" s="2" t="str">
        <f>VLOOKUP(J1403,Equipes!A:B,2,0)</f>
        <v>Salzburg</v>
      </c>
      <c r="S1403" s="6" t="s">
        <v>969</v>
      </c>
      <c r="T1403" s="7">
        <v>13.0</v>
      </c>
      <c r="U1403" s="7" t="s">
        <v>970</v>
      </c>
      <c r="V1403" s="7" t="str">
        <f>VLOOKUP(U1403,Jogadores!B:C,2,0)</f>
        <v>DF</v>
      </c>
      <c r="W1403" s="8">
        <f>VLOOKUP(U1403,Jogadores!B:D,3,0)</f>
        <v>22.55068493</v>
      </c>
      <c r="X1403" s="7">
        <v>0.0</v>
      </c>
      <c r="Y1403" s="7">
        <f>45+AB1403</f>
        <v>93</v>
      </c>
      <c r="Z1403" s="7">
        <f>VLOOKUP(A1403,Jogos!A:L,3,0)</f>
        <v>49</v>
      </c>
      <c r="AA1403" s="7">
        <f t="shared" si="2229"/>
        <v>49</v>
      </c>
      <c r="AB1403" s="7">
        <f>VLOOKUP(A1403,Jogos!A:L,4,0)</f>
        <v>48</v>
      </c>
      <c r="AC1403" s="7">
        <f t="shared" si="2230"/>
        <v>48</v>
      </c>
      <c r="AD1403" s="7"/>
      <c r="AE1403" s="7"/>
      <c r="AF1403" s="7">
        <f t="shared" si="2231"/>
        <v>97</v>
      </c>
      <c r="AG1403" s="7">
        <v>11022.9</v>
      </c>
      <c r="AH1403" s="7">
        <v>3915.8</v>
      </c>
      <c r="AI1403" s="7">
        <v>4126.7</v>
      </c>
      <c r="AJ1403" s="7">
        <v>1845.4</v>
      </c>
      <c r="AK1403" s="7">
        <v>859.7</v>
      </c>
      <c r="AL1403" s="7">
        <v>275.2</v>
      </c>
      <c r="AM1403" s="7">
        <v>157.0</v>
      </c>
      <c r="AN1403" s="7">
        <v>73.0</v>
      </c>
      <c r="AO1403" s="7">
        <v>30.9</v>
      </c>
      <c r="AP1403" s="9">
        <f t="shared" ref="AP1403:AR1403" si="4381">AG1403/$AF1403</f>
        <v>113.6381443</v>
      </c>
      <c r="AQ1403" s="9">
        <f t="shared" si="4381"/>
        <v>40.36907216</v>
      </c>
      <c r="AR1403" s="9">
        <f t="shared" si="4381"/>
        <v>42.54329897</v>
      </c>
      <c r="AS1403" s="9">
        <f t="shared" si="2233"/>
        <v>82.91237113</v>
      </c>
      <c r="AT1403" s="9">
        <f t="shared" ref="AT1403:AV1403" si="4382">AJ1403/$AF1403</f>
        <v>19.02474227</v>
      </c>
      <c r="AU1403" s="9">
        <f t="shared" si="4382"/>
        <v>8.862886598</v>
      </c>
      <c r="AV1403" s="9">
        <f t="shared" si="4382"/>
        <v>2.837113402</v>
      </c>
      <c r="AW1403" s="9">
        <f t="shared" si="2235"/>
        <v>11.7</v>
      </c>
      <c r="AX1403" s="9">
        <f t="shared" ref="AX1403:AY1403" si="4383">AM1403/$AF1403</f>
        <v>1.618556701</v>
      </c>
      <c r="AY1403" s="9">
        <f t="shared" si="4383"/>
        <v>0.7525773196</v>
      </c>
      <c r="AZ1403" s="9">
        <f>VLOOKUP(A1403,Jogos!A:BN,58,0)</f>
        <v>20.425</v>
      </c>
      <c r="BA1403" s="9">
        <f>VLOOKUP(A1403,Jogos!A:BN,59,0)</f>
        <v>14.16</v>
      </c>
      <c r="BB1403" s="9">
        <f>VLOOKUP(A1403,Jogos!A:BN,60,0)</f>
        <v>67</v>
      </c>
      <c r="BC1403" s="9">
        <f>VLOOKUP(A1403,Jogos!A:BN,61,0)</f>
        <v>17.71</v>
      </c>
      <c r="BD1403" s="9">
        <f>VLOOKUP(A1403,Jogos!A:BN,62,0)</f>
        <v>0</v>
      </c>
      <c r="BE1403" s="9">
        <f>VLOOKUP(A1403,Jogos!A:BN,63,0)</f>
        <v>3.065</v>
      </c>
      <c r="BF1403" s="9">
        <f>VLOOKUP(A1403,Jogos!A:BN,64,0)</f>
        <v>18.25</v>
      </c>
      <c r="BG1403" s="9">
        <f>VLOOKUP(A1403,Jogos!A:BN,65,0)</f>
        <v>30.565</v>
      </c>
      <c r="BH1403" s="9">
        <f>VLOOKUP(A1403,Jogos!A:BN,66,0)</f>
        <v>20.93</v>
      </c>
      <c r="BI1403" s="9"/>
      <c r="BJ1403" s="9"/>
    </row>
    <row r="1404" hidden="1">
      <c r="A1404" s="2">
        <v>48.0</v>
      </c>
      <c r="B1404" s="2" t="s">
        <v>872</v>
      </c>
      <c r="C1404" s="2" t="s">
        <v>61</v>
      </c>
      <c r="D1404" s="3">
        <v>45834.0</v>
      </c>
      <c r="E1404" s="4">
        <v>0.875</v>
      </c>
      <c r="F1404" s="5" t="str">
        <f>VLOOKUP(A1404,Jogos!A:N,10,0)</f>
        <v>Evening</v>
      </c>
      <c r="G1404" s="2" t="s">
        <v>500</v>
      </c>
      <c r="H1404" s="6" t="str">
        <f>VLOOKUP(A1404,Jogos!A:L,12,0)</f>
        <v>Open</v>
      </c>
      <c r="I1404" s="6" t="str">
        <f>VLOOKUP(G1404,'Estádios e Cidades'!A:B,2,0)</f>
        <v>Philadelphia</v>
      </c>
      <c r="J1404" s="2" t="s">
        <v>936</v>
      </c>
      <c r="K1404" s="2" t="str">
        <f>VLOOKUP(J1404,Equipes!A:F,6,0)</f>
        <v>Temperate</v>
      </c>
      <c r="L1404" s="2">
        <f>VLOOKUP(J1404,Equipes!A:C,3,0)</f>
        <v>20</v>
      </c>
      <c r="M1404" s="2" t="str">
        <f t="shared" si="4"/>
        <v>Group</v>
      </c>
      <c r="N1404" s="2" t="s">
        <v>873</v>
      </c>
      <c r="O1404" s="2">
        <f>VLOOKUP(N1404,Equipes!A:C,3,0)</f>
        <v>3</v>
      </c>
      <c r="P1404" s="2" t="str">
        <f t="shared" si="5"/>
        <v>Semi-final</v>
      </c>
      <c r="Q1404" s="2">
        <f t="shared" si="6"/>
        <v>17</v>
      </c>
      <c r="R1404" s="2" t="str">
        <f>VLOOKUP(J1404,Equipes!A:B,2,0)</f>
        <v>Salzburg</v>
      </c>
      <c r="S1404" s="6" t="s">
        <v>1344</v>
      </c>
      <c r="T1404" s="7">
        <v>15.0</v>
      </c>
      <c r="U1404" s="7" t="s">
        <v>1345</v>
      </c>
      <c r="V1404" s="7" t="str">
        <f>VLOOKUP(U1404,Jogadores!B:C,2,0)</f>
        <v>MF</v>
      </c>
      <c r="W1404" s="8">
        <f>VLOOKUP(U1404,Jogadores!B:D,3,0)</f>
        <v>22.7260274</v>
      </c>
      <c r="X1404" s="7">
        <v>0.0</v>
      </c>
      <c r="Y1404" s="7">
        <v>45.0</v>
      </c>
      <c r="Z1404" s="7">
        <f>VLOOKUP(A1404,Jogos!A:L,3,0)</f>
        <v>49</v>
      </c>
      <c r="AA1404" s="7">
        <f t="shared" si="2229"/>
        <v>49</v>
      </c>
      <c r="AB1404" s="7">
        <f>VLOOKUP(A1404,Jogos!A:L,4,0)</f>
        <v>48</v>
      </c>
      <c r="AC1404" s="7">
        <f t="shared" si="2230"/>
        <v>0</v>
      </c>
      <c r="AD1404" s="7"/>
      <c r="AE1404" s="7"/>
      <c r="AF1404" s="7">
        <f t="shared" si="2231"/>
        <v>49</v>
      </c>
      <c r="AG1404" s="7">
        <v>6392.0</v>
      </c>
      <c r="AH1404" s="7">
        <v>1594.5</v>
      </c>
      <c r="AI1404" s="7">
        <v>3123.3</v>
      </c>
      <c r="AJ1404" s="7">
        <v>1344.7</v>
      </c>
      <c r="AK1404" s="7">
        <v>268.6</v>
      </c>
      <c r="AL1404" s="7">
        <v>60.9</v>
      </c>
      <c r="AM1404" s="7">
        <v>107.0</v>
      </c>
      <c r="AN1404" s="7">
        <v>22.0</v>
      </c>
      <c r="AO1404" s="7">
        <v>29.9</v>
      </c>
      <c r="AP1404" s="9">
        <f t="shared" ref="AP1404:AR1404" si="4384">AG1404/$AF1404</f>
        <v>130.4489796</v>
      </c>
      <c r="AQ1404" s="9">
        <f t="shared" si="4384"/>
        <v>32.54081633</v>
      </c>
      <c r="AR1404" s="9">
        <f t="shared" si="4384"/>
        <v>63.74081633</v>
      </c>
      <c r="AS1404" s="9">
        <f t="shared" si="2233"/>
        <v>96.28163265</v>
      </c>
      <c r="AT1404" s="9">
        <f t="shared" ref="AT1404:AV1404" si="4385">AJ1404/$AF1404</f>
        <v>27.44285714</v>
      </c>
      <c r="AU1404" s="9">
        <f t="shared" si="4385"/>
        <v>5.481632653</v>
      </c>
      <c r="AV1404" s="9">
        <f t="shared" si="4385"/>
        <v>1.242857143</v>
      </c>
      <c r="AW1404" s="9">
        <f t="shared" si="2235"/>
        <v>6.724489796</v>
      </c>
      <c r="AX1404" s="9">
        <f t="shared" ref="AX1404:AY1404" si="4386">AM1404/$AF1404</f>
        <v>2.183673469</v>
      </c>
      <c r="AY1404" s="9">
        <f t="shared" si="4386"/>
        <v>0.4489795918</v>
      </c>
      <c r="AZ1404" s="9">
        <f>VLOOKUP(A1404,Jogos!A:BN,58,0)</f>
        <v>20.425</v>
      </c>
      <c r="BA1404" s="9">
        <f>VLOOKUP(A1404,Jogos!A:BN,59,0)</f>
        <v>14.16</v>
      </c>
      <c r="BB1404" s="9">
        <f>VLOOKUP(A1404,Jogos!A:BN,60,0)</f>
        <v>67</v>
      </c>
      <c r="BC1404" s="9">
        <f>VLOOKUP(A1404,Jogos!A:BN,61,0)</f>
        <v>17.71</v>
      </c>
      <c r="BD1404" s="9">
        <f>VLOOKUP(A1404,Jogos!A:BN,62,0)</f>
        <v>0</v>
      </c>
      <c r="BE1404" s="9">
        <f>VLOOKUP(A1404,Jogos!A:BN,63,0)</f>
        <v>3.065</v>
      </c>
      <c r="BF1404" s="9">
        <f>VLOOKUP(A1404,Jogos!A:BN,64,0)</f>
        <v>18.25</v>
      </c>
      <c r="BG1404" s="9">
        <f>VLOOKUP(A1404,Jogos!A:BN,65,0)</f>
        <v>30.565</v>
      </c>
      <c r="BH1404" s="9">
        <f>VLOOKUP(A1404,Jogos!A:BN,66,0)</f>
        <v>20.93</v>
      </c>
      <c r="BI1404" s="9"/>
      <c r="BJ1404" s="9"/>
    </row>
    <row r="1405" hidden="1">
      <c r="A1405" s="2">
        <v>48.0</v>
      </c>
      <c r="B1405" s="2" t="s">
        <v>872</v>
      </c>
      <c r="C1405" s="2" t="s">
        <v>61</v>
      </c>
      <c r="D1405" s="3">
        <v>45834.0</v>
      </c>
      <c r="E1405" s="4">
        <v>0.875</v>
      </c>
      <c r="F1405" s="5" t="str">
        <f>VLOOKUP(A1405,Jogos!A:N,10,0)</f>
        <v>Evening</v>
      </c>
      <c r="G1405" s="2" t="s">
        <v>500</v>
      </c>
      <c r="H1405" s="6" t="str">
        <f>VLOOKUP(A1405,Jogos!A:L,12,0)</f>
        <v>Open</v>
      </c>
      <c r="I1405" s="6" t="str">
        <f>VLOOKUP(G1405,'Estádios e Cidades'!A:B,2,0)</f>
        <v>Philadelphia</v>
      </c>
      <c r="J1405" s="2" t="s">
        <v>936</v>
      </c>
      <c r="K1405" s="2" t="str">
        <f>VLOOKUP(J1405,Equipes!A:F,6,0)</f>
        <v>Temperate</v>
      </c>
      <c r="L1405" s="2">
        <f>VLOOKUP(J1405,Equipes!A:C,3,0)</f>
        <v>20</v>
      </c>
      <c r="M1405" s="2" t="str">
        <f t="shared" si="4"/>
        <v>Group</v>
      </c>
      <c r="N1405" s="2" t="s">
        <v>873</v>
      </c>
      <c r="O1405" s="2">
        <f>VLOOKUP(N1405,Equipes!A:C,3,0)</f>
        <v>3</v>
      </c>
      <c r="P1405" s="2" t="str">
        <f t="shared" si="5"/>
        <v>Semi-final</v>
      </c>
      <c r="Q1405" s="2">
        <f t="shared" si="6"/>
        <v>17</v>
      </c>
      <c r="R1405" s="2" t="str">
        <f>VLOOKUP(J1405,Equipes!A:B,2,0)</f>
        <v>Salzburg</v>
      </c>
      <c r="S1405" s="6" t="s">
        <v>973</v>
      </c>
      <c r="T1405" s="7">
        <v>20.0</v>
      </c>
      <c r="U1405" s="7" t="s">
        <v>974</v>
      </c>
      <c r="V1405" s="7" t="str">
        <f>VLOOKUP(U1405,Jogadores!B:C,2,0)</f>
        <v>FW</v>
      </c>
      <c r="W1405" s="8">
        <f>VLOOKUP(U1405,Jogadores!B:D,3,0)</f>
        <v>19.50410959</v>
      </c>
      <c r="X1405" s="7">
        <v>0.0</v>
      </c>
      <c r="Y1405" s="7">
        <v>89.0</v>
      </c>
      <c r="Z1405" s="7">
        <f>VLOOKUP(A1405,Jogos!A:L,3,0)</f>
        <v>49</v>
      </c>
      <c r="AA1405" s="7">
        <f t="shared" si="2229"/>
        <v>49</v>
      </c>
      <c r="AB1405" s="7">
        <f>VLOOKUP(A1405,Jogos!A:L,4,0)</f>
        <v>48</v>
      </c>
      <c r="AC1405" s="7">
        <f t="shared" si="2230"/>
        <v>44</v>
      </c>
      <c r="AD1405" s="7"/>
      <c r="AE1405" s="7"/>
      <c r="AF1405" s="7">
        <f t="shared" si="2231"/>
        <v>93</v>
      </c>
      <c r="AG1405" s="7">
        <v>11777.0</v>
      </c>
      <c r="AH1405" s="7">
        <v>2885.2</v>
      </c>
      <c r="AI1405" s="7">
        <v>5718.5</v>
      </c>
      <c r="AJ1405" s="7">
        <v>1881.2</v>
      </c>
      <c r="AK1405" s="7">
        <v>911.3</v>
      </c>
      <c r="AL1405" s="7">
        <v>381.0</v>
      </c>
      <c r="AM1405" s="7">
        <v>168.0</v>
      </c>
      <c r="AN1405" s="7">
        <v>68.0</v>
      </c>
      <c r="AO1405" s="7">
        <v>32.5</v>
      </c>
      <c r="AP1405" s="9">
        <f t="shared" ref="AP1405:AR1405" si="4387">AG1405/$AF1405</f>
        <v>126.6344086</v>
      </c>
      <c r="AQ1405" s="9">
        <f t="shared" si="4387"/>
        <v>31.02365591</v>
      </c>
      <c r="AR1405" s="9">
        <f t="shared" si="4387"/>
        <v>61.48924731</v>
      </c>
      <c r="AS1405" s="9">
        <f t="shared" si="2233"/>
        <v>92.51290323</v>
      </c>
      <c r="AT1405" s="9">
        <f t="shared" ref="AT1405:AV1405" si="4388">AJ1405/$AF1405</f>
        <v>20.22795699</v>
      </c>
      <c r="AU1405" s="9">
        <f t="shared" si="4388"/>
        <v>9.798924731</v>
      </c>
      <c r="AV1405" s="9">
        <f t="shared" si="4388"/>
        <v>4.096774194</v>
      </c>
      <c r="AW1405" s="9">
        <f t="shared" si="2235"/>
        <v>13.89569892</v>
      </c>
      <c r="AX1405" s="9">
        <f t="shared" ref="AX1405:AY1405" si="4389">AM1405/$AF1405</f>
        <v>1.806451613</v>
      </c>
      <c r="AY1405" s="9">
        <f t="shared" si="4389"/>
        <v>0.7311827957</v>
      </c>
      <c r="AZ1405" s="9">
        <f>VLOOKUP(A1405,Jogos!A:BN,58,0)</f>
        <v>20.425</v>
      </c>
      <c r="BA1405" s="9">
        <f>VLOOKUP(A1405,Jogos!A:BN,59,0)</f>
        <v>14.16</v>
      </c>
      <c r="BB1405" s="9">
        <f>VLOOKUP(A1405,Jogos!A:BN,60,0)</f>
        <v>67</v>
      </c>
      <c r="BC1405" s="9">
        <f>VLOOKUP(A1405,Jogos!A:BN,61,0)</f>
        <v>17.71</v>
      </c>
      <c r="BD1405" s="9">
        <f>VLOOKUP(A1405,Jogos!A:BN,62,0)</f>
        <v>0</v>
      </c>
      <c r="BE1405" s="9">
        <f>VLOOKUP(A1405,Jogos!A:BN,63,0)</f>
        <v>3.065</v>
      </c>
      <c r="BF1405" s="9">
        <f>VLOOKUP(A1405,Jogos!A:BN,64,0)</f>
        <v>18.25</v>
      </c>
      <c r="BG1405" s="9">
        <f>VLOOKUP(A1405,Jogos!A:BN,65,0)</f>
        <v>30.565</v>
      </c>
      <c r="BH1405" s="9">
        <f>VLOOKUP(A1405,Jogos!A:BN,66,0)</f>
        <v>20.93</v>
      </c>
      <c r="BI1405" s="9"/>
      <c r="BJ1405" s="9"/>
    </row>
    <row r="1406" hidden="1">
      <c r="A1406" s="2">
        <v>48.0</v>
      </c>
      <c r="B1406" s="2" t="s">
        <v>872</v>
      </c>
      <c r="C1406" s="2" t="s">
        <v>61</v>
      </c>
      <c r="D1406" s="3">
        <v>45834.0</v>
      </c>
      <c r="E1406" s="4">
        <v>0.875</v>
      </c>
      <c r="F1406" s="5" t="str">
        <f>VLOOKUP(A1406,Jogos!A:N,10,0)</f>
        <v>Evening</v>
      </c>
      <c r="G1406" s="2" t="s">
        <v>500</v>
      </c>
      <c r="H1406" s="6" t="str">
        <f>VLOOKUP(A1406,Jogos!A:L,12,0)</f>
        <v>Open</v>
      </c>
      <c r="I1406" s="6" t="str">
        <f>VLOOKUP(G1406,'Estádios e Cidades'!A:B,2,0)</f>
        <v>Philadelphia</v>
      </c>
      <c r="J1406" s="2" t="s">
        <v>936</v>
      </c>
      <c r="K1406" s="2" t="str">
        <f>VLOOKUP(J1406,Equipes!A:F,6,0)</f>
        <v>Temperate</v>
      </c>
      <c r="L1406" s="2">
        <f>VLOOKUP(J1406,Equipes!A:C,3,0)</f>
        <v>20</v>
      </c>
      <c r="M1406" s="2" t="str">
        <f t="shared" si="4"/>
        <v>Group</v>
      </c>
      <c r="N1406" s="2" t="s">
        <v>873</v>
      </c>
      <c r="O1406" s="2">
        <f>VLOOKUP(N1406,Equipes!A:C,3,0)</f>
        <v>3</v>
      </c>
      <c r="P1406" s="2" t="str">
        <f t="shared" si="5"/>
        <v>Semi-final</v>
      </c>
      <c r="Q1406" s="2">
        <f t="shared" si="6"/>
        <v>17</v>
      </c>
      <c r="R1406" s="2" t="str">
        <f>VLOOKUP(J1406,Equipes!A:B,2,0)</f>
        <v>Salzburg</v>
      </c>
      <c r="S1406" s="6" t="s">
        <v>975</v>
      </c>
      <c r="T1406" s="7">
        <v>21.0</v>
      </c>
      <c r="U1406" s="7" t="s">
        <v>976</v>
      </c>
      <c r="V1406" s="7" t="str">
        <f>VLOOKUP(U1406,Jogadores!B:C,2,0)</f>
        <v>FW</v>
      </c>
      <c r="W1406" s="8">
        <f>VLOOKUP(U1406,Jogadores!B:D,3,0)</f>
        <v>21.95890411</v>
      </c>
      <c r="X1406" s="7">
        <v>0.0</v>
      </c>
      <c r="Y1406" s="7">
        <v>45.0</v>
      </c>
      <c r="Z1406" s="7">
        <f>VLOOKUP(A1406,Jogos!A:L,3,0)</f>
        <v>49</v>
      </c>
      <c r="AA1406" s="7">
        <f t="shared" si="2229"/>
        <v>49</v>
      </c>
      <c r="AB1406" s="7">
        <f>VLOOKUP(A1406,Jogos!A:L,4,0)</f>
        <v>48</v>
      </c>
      <c r="AC1406" s="7">
        <f t="shared" si="2230"/>
        <v>0</v>
      </c>
      <c r="AD1406" s="7"/>
      <c r="AE1406" s="7"/>
      <c r="AF1406" s="7">
        <f t="shared" si="2231"/>
        <v>49</v>
      </c>
      <c r="AG1406" s="7">
        <v>5735.7</v>
      </c>
      <c r="AH1406" s="7">
        <v>1847.0</v>
      </c>
      <c r="AI1406" s="7">
        <v>2744.4</v>
      </c>
      <c r="AJ1406" s="7">
        <v>830.4</v>
      </c>
      <c r="AK1406" s="7">
        <v>250.6</v>
      </c>
      <c r="AL1406" s="7">
        <v>63.3</v>
      </c>
      <c r="AM1406" s="7">
        <v>71.0</v>
      </c>
      <c r="AN1406" s="7">
        <v>19.0</v>
      </c>
      <c r="AO1406" s="7">
        <v>29.2</v>
      </c>
      <c r="AP1406" s="9">
        <f t="shared" ref="AP1406:AR1406" si="4390">AG1406/$AF1406</f>
        <v>117.055102</v>
      </c>
      <c r="AQ1406" s="9">
        <f t="shared" si="4390"/>
        <v>37.69387755</v>
      </c>
      <c r="AR1406" s="9">
        <f t="shared" si="4390"/>
        <v>56.00816327</v>
      </c>
      <c r="AS1406" s="9">
        <f t="shared" si="2233"/>
        <v>93.70204082</v>
      </c>
      <c r="AT1406" s="9">
        <f t="shared" ref="AT1406:AV1406" si="4391">AJ1406/$AF1406</f>
        <v>16.94693878</v>
      </c>
      <c r="AU1406" s="9">
        <f t="shared" si="4391"/>
        <v>5.114285714</v>
      </c>
      <c r="AV1406" s="9">
        <f t="shared" si="4391"/>
        <v>1.291836735</v>
      </c>
      <c r="AW1406" s="9">
        <f t="shared" si="2235"/>
        <v>6.406122449</v>
      </c>
      <c r="AX1406" s="9">
        <f t="shared" ref="AX1406:AY1406" si="4392">AM1406/$AF1406</f>
        <v>1.448979592</v>
      </c>
      <c r="AY1406" s="9">
        <f t="shared" si="4392"/>
        <v>0.387755102</v>
      </c>
      <c r="AZ1406" s="9">
        <f>VLOOKUP(A1406,Jogos!A:BN,58,0)</f>
        <v>20.425</v>
      </c>
      <c r="BA1406" s="9">
        <f>VLOOKUP(A1406,Jogos!A:BN,59,0)</f>
        <v>14.16</v>
      </c>
      <c r="BB1406" s="9">
        <f>VLOOKUP(A1406,Jogos!A:BN,60,0)</f>
        <v>67</v>
      </c>
      <c r="BC1406" s="9">
        <f>VLOOKUP(A1406,Jogos!A:BN,61,0)</f>
        <v>17.71</v>
      </c>
      <c r="BD1406" s="9">
        <f>VLOOKUP(A1406,Jogos!A:BN,62,0)</f>
        <v>0</v>
      </c>
      <c r="BE1406" s="9">
        <f>VLOOKUP(A1406,Jogos!A:BN,63,0)</f>
        <v>3.065</v>
      </c>
      <c r="BF1406" s="9">
        <f>VLOOKUP(A1406,Jogos!A:BN,64,0)</f>
        <v>18.25</v>
      </c>
      <c r="BG1406" s="9">
        <f>VLOOKUP(A1406,Jogos!A:BN,65,0)</f>
        <v>30.565</v>
      </c>
      <c r="BH1406" s="9">
        <f>VLOOKUP(A1406,Jogos!A:BN,66,0)</f>
        <v>20.93</v>
      </c>
      <c r="BI1406" s="9"/>
      <c r="BJ1406" s="9"/>
    </row>
    <row r="1407" hidden="1">
      <c r="A1407" s="2">
        <v>48.0</v>
      </c>
      <c r="B1407" s="2" t="s">
        <v>872</v>
      </c>
      <c r="C1407" s="2" t="s">
        <v>61</v>
      </c>
      <c r="D1407" s="3">
        <v>45834.0</v>
      </c>
      <c r="E1407" s="4">
        <v>0.875</v>
      </c>
      <c r="F1407" s="5" t="str">
        <f>VLOOKUP(A1407,Jogos!A:N,10,0)</f>
        <v>Evening</v>
      </c>
      <c r="G1407" s="2" t="s">
        <v>500</v>
      </c>
      <c r="H1407" s="6" t="str">
        <f>VLOOKUP(A1407,Jogos!A:L,12,0)</f>
        <v>Open</v>
      </c>
      <c r="I1407" s="6" t="str">
        <f>VLOOKUP(G1407,'Estádios e Cidades'!A:B,2,0)</f>
        <v>Philadelphia</v>
      </c>
      <c r="J1407" s="2" t="s">
        <v>936</v>
      </c>
      <c r="K1407" s="2" t="str">
        <f>VLOOKUP(J1407,Equipes!A:F,6,0)</f>
        <v>Temperate</v>
      </c>
      <c r="L1407" s="2">
        <f>VLOOKUP(J1407,Equipes!A:C,3,0)</f>
        <v>20</v>
      </c>
      <c r="M1407" s="2" t="str">
        <f t="shared" si="4"/>
        <v>Group</v>
      </c>
      <c r="N1407" s="2" t="s">
        <v>873</v>
      </c>
      <c r="O1407" s="2">
        <f>VLOOKUP(N1407,Equipes!A:C,3,0)</f>
        <v>3</v>
      </c>
      <c r="P1407" s="2" t="str">
        <f t="shared" si="5"/>
        <v>Semi-final</v>
      </c>
      <c r="Q1407" s="2">
        <f t="shared" si="6"/>
        <v>17</v>
      </c>
      <c r="R1407" s="2" t="str">
        <f>VLOOKUP(J1407,Equipes!A:B,2,0)</f>
        <v>Salzburg</v>
      </c>
      <c r="S1407" s="6" t="s">
        <v>977</v>
      </c>
      <c r="T1407" s="7">
        <v>22.0</v>
      </c>
      <c r="U1407" s="7" t="s">
        <v>978</v>
      </c>
      <c r="V1407" s="7" t="str">
        <f>VLOOKUP(U1407,Jogadores!B:C,2,0)</f>
        <v>DF</v>
      </c>
      <c r="W1407" s="8">
        <f>VLOOKUP(U1407,Jogadores!B:D,3,0)</f>
        <v>32.93972603</v>
      </c>
      <c r="X1407" s="7">
        <v>0.0</v>
      </c>
      <c r="Y1407" s="7">
        <f t="shared" ref="Y1407:Y1409" si="4396">45+AB1407</f>
        <v>93</v>
      </c>
      <c r="Z1407" s="7">
        <f>VLOOKUP(A1407,Jogos!A:L,3,0)</f>
        <v>49</v>
      </c>
      <c r="AA1407" s="7">
        <f t="shared" si="2229"/>
        <v>49</v>
      </c>
      <c r="AB1407" s="7">
        <f>VLOOKUP(A1407,Jogos!A:L,4,0)</f>
        <v>48</v>
      </c>
      <c r="AC1407" s="7">
        <f t="shared" si="2230"/>
        <v>48</v>
      </c>
      <c r="AD1407" s="7"/>
      <c r="AE1407" s="7"/>
      <c r="AF1407" s="7">
        <f t="shared" si="2231"/>
        <v>97</v>
      </c>
      <c r="AG1407" s="7">
        <v>11386.9</v>
      </c>
      <c r="AH1407" s="7">
        <v>3656.2</v>
      </c>
      <c r="AI1407" s="7">
        <v>5062.4</v>
      </c>
      <c r="AJ1407" s="7">
        <v>1533.0</v>
      </c>
      <c r="AK1407" s="7">
        <v>721.0</v>
      </c>
      <c r="AL1407" s="7">
        <v>414.3</v>
      </c>
      <c r="AM1407" s="7">
        <v>142.0</v>
      </c>
      <c r="AN1407" s="7">
        <v>60.0</v>
      </c>
      <c r="AO1407" s="7">
        <v>32.0</v>
      </c>
      <c r="AP1407" s="9">
        <f t="shared" ref="AP1407:AR1407" si="4393">AG1407/$AF1407</f>
        <v>117.3907216</v>
      </c>
      <c r="AQ1407" s="9">
        <f t="shared" si="4393"/>
        <v>37.69278351</v>
      </c>
      <c r="AR1407" s="9">
        <f t="shared" si="4393"/>
        <v>52.18969072</v>
      </c>
      <c r="AS1407" s="9">
        <f t="shared" si="2233"/>
        <v>89.88247423</v>
      </c>
      <c r="AT1407" s="9">
        <f t="shared" ref="AT1407:AV1407" si="4394">AJ1407/$AF1407</f>
        <v>15.80412371</v>
      </c>
      <c r="AU1407" s="9">
        <f t="shared" si="4394"/>
        <v>7.432989691</v>
      </c>
      <c r="AV1407" s="9">
        <f t="shared" si="4394"/>
        <v>4.271134021</v>
      </c>
      <c r="AW1407" s="9">
        <f t="shared" si="2235"/>
        <v>11.70412371</v>
      </c>
      <c r="AX1407" s="9">
        <f t="shared" ref="AX1407:AY1407" si="4395">AM1407/$AF1407</f>
        <v>1.463917526</v>
      </c>
      <c r="AY1407" s="9">
        <f t="shared" si="4395"/>
        <v>0.618556701</v>
      </c>
      <c r="AZ1407" s="9">
        <f>VLOOKUP(A1407,Jogos!A:BN,58,0)</f>
        <v>20.425</v>
      </c>
      <c r="BA1407" s="9">
        <f>VLOOKUP(A1407,Jogos!A:BN,59,0)</f>
        <v>14.16</v>
      </c>
      <c r="BB1407" s="9">
        <f>VLOOKUP(A1407,Jogos!A:BN,60,0)</f>
        <v>67</v>
      </c>
      <c r="BC1407" s="9">
        <f>VLOOKUP(A1407,Jogos!A:BN,61,0)</f>
        <v>17.71</v>
      </c>
      <c r="BD1407" s="9">
        <f>VLOOKUP(A1407,Jogos!A:BN,62,0)</f>
        <v>0</v>
      </c>
      <c r="BE1407" s="9">
        <f>VLOOKUP(A1407,Jogos!A:BN,63,0)</f>
        <v>3.065</v>
      </c>
      <c r="BF1407" s="9">
        <f>VLOOKUP(A1407,Jogos!A:BN,64,0)</f>
        <v>18.25</v>
      </c>
      <c r="BG1407" s="9">
        <f>VLOOKUP(A1407,Jogos!A:BN,65,0)</f>
        <v>30.565</v>
      </c>
      <c r="BH1407" s="9">
        <f>VLOOKUP(A1407,Jogos!A:BN,66,0)</f>
        <v>20.93</v>
      </c>
      <c r="BI1407" s="9"/>
      <c r="BJ1407" s="9"/>
    </row>
    <row r="1408" hidden="1">
      <c r="A1408" s="2">
        <v>48.0</v>
      </c>
      <c r="B1408" s="2" t="s">
        <v>872</v>
      </c>
      <c r="C1408" s="2" t="s">
        <v>61</v>
      </c>
      <c r="D1408" s="3">
        <v>45834.0</v>
      </c>
      <c r="E1408" s="4">
        <v>0.875</v>
      </c>
      <c r="F1408" s="5" t="str">
        <f>VLOOKUP(A1408,Jogos!A:N,10,0)</f>
        <v>Evening</v>
      </c>
      <c r="G1408" s="2" t="s">
        <v>500</v>
      </c>
      <c r="H1408" s="6" t="str">
        <f>VLOOKUP(A1408,Jogos!A:L,12,0)</f>
        <v>Open</v>
      </c>
      <c r="I1408" s="6" t="str">
        <f>VLOOKUP(G1408,'Estádios e Cidades'!A:B,2,0)</f>
        <v>Philadelphia</v>
      </c>
      <c r="J1408" s="2" t="s">
        <v>936</v>
      </c>
      <c r="K1408" s="2" t="str">
        <f>VLOOKUP(J1408,Equipes!A:F,6,0)</f>
        <v>Temperate</v>
      </c>
      <c r="L1408" s="2">
        <f>VLOOKUP(J1408,Equipes!A:C,3,0)</f>
        <v>20</v>
      </c>
      <c r="M1408" s="2" t="str">
        <f t="shared" si="4"/>
        <v>Group</v>
      </c>
      <c r="N1408" s="2" t="s">
        <v>873</v>
      </c>
      <c r="O1408" s="2">
        <f>VLOOKUP(N1408,Equipes!A:C,3,0)</f>
        <v>3</v>
      </c>
      <c r="P1408" s="2" t="str">
        <f t="shared" si="5"/>
        <v>Semi-final</v>
      </c>
      <c r="Q1408" s="2">
        <f t="shared" si="6"/>
        <v>17</v>
      </c>
      <c r="R1408" s="2" t="str">
        <f>VLOOKUP(J1408,Equipes!A:B,2,0)</f>
        <v>Salzburg</v>
      </c>
      <c r="S1408" s="6" t="s">
        <v>979</v>
      </c>
      <c r="T1408" s="7">
        <v>23.0</v>
      </c>
      <c r="U1408" s="7" t="s">
        <v>980</v>
      </c>
      <c r="V1408" s="7" t="str">
        <f>VLOOKUP(U1408,Jogadores!B:C,2,0)</f>
        <v>DF</v>
      </c>
      <c r="W1408" s="8">
        <f>VLOOKUP(U1408,Jogadores!B:D,3,0)</f>
        <v>18.53972603</v>
      </c>
      <c r="X1408" s="7">
        <v>0.0</v>
      </c>
      <c r="Y1408" s="7">
        <f t="shared" si="4396"/>
        <v>93</v>
      </c>
      <c r="Z1408" s="7">
        <f>VLOOKUP(A1408,Jogos!A:L,3,0)</f>
        <v>49</v>
      </c>
      <c r="AA1408" s="7">
        <f t="shared" si="2229"/>
        <v>49</v>
      </c>
      <c r="AB1408" s="7">
        <f>VLOOKUP(A1408,Jogos!A:L,4,0)</f>
        <v>48</v>
      </c>
      <c r="AC1408" s="7">
        <f t="shared" si="2230"/>
        <v>48</v>
      </c>
      <c r="AD1408" s="7"/>
      <c r="AE1408" s="7"/>
      <c r="AF1408" s="7">
        <f t="shared" si="2231"/>
        <v>97</v>
      </c>
      <c r="AG1408" s="7">
        <v>10177.6</v>
      </c>
      <c r="AH1408" s="7">
        <v>4126.9</v>
      </c>
      <c r="AI1408" s="7">
        <v>4169.1</v>
      </c>
      <c r="AJ1408" s="7">
        <v>989.7</v>
      </c>
      <c r="AK1408" s="7">
        <v>537.4</v>
      </c>
      <c r="AL1408" s="7">
        <v>354.5</v>
      </c>
      <c r="AM1408" s="7">
        <v>83.0</v>
      </c>
      <c r="AN1408" s="7">
        <v>50.0</v>
      </c>
      <c r="AO1408" s="7">
        <v>35.8</v>
      </c>
      <c r="AP1408" s="9">
        <f t="shared" ref="AP1408:AR1408" si="4397">AG1408/$AF1408</f>
        <v>104.9237113</v>
      </c>
      <c r="AQ1408" s="9">
        <f t="shared" si="4397"/>
        <v>42.54536082</v>
      </c>
      <c r="AR1408" s="9">
        <f t="shared" si="4397"/>
        <v>42.98041237</v>
      </c>
      <c r="AS1408" s="9">
        <f t="shared" si="2233"/>
        <v>85.5257732</v>
      </c>
      <c r="AT1408" s="9">
        <f t="shared" ref="AT1408:AV1408" si="4398">AJ1408/$AF1408</f>
        <v>10.20309278</v>
      </c>
      <c r="AU1408" s="9">
        <f t="shared" si="4398"/>
        <v>5.540206186</v>
      </c>
      <c r="AV1408" s="9">
        <f t="shared" si="4398"/>
        <v>3.654639175</v>
      </c>
      <c r="AW1408" s="9">
        <f t="shared" si="2235"/>
        <v>9.194845361</v>
      </c>
      <c r="AX1408" s="9">
        <f t="shared" ref="AX1408:AY1408" si="4399">AM1408/$AF1408</f>
        <v>0.8556701031</v>
      </c>
      <c r="AY1408" s="9">
        <f t="shared" si="4399"/>
        <v>0.5154639175</v>
      </c>
      <c r="AZ1408" s="9">
        <f>VLOOKUP(A1408,Jogos!A:BN,58,0)</f>
        <v>20.425</v>
      </c>
      <c r="BA1408" s="9">
        <f>VLOOKUP(A1408,Jogos!A:BN,59,0)</f>
        <v>14.16</v>
      </c>
      <c r="BB1408" s="9">
        <f>VLOOKUP(A1408,Jogos!A:BN,60,0)</f>
        <v>67</v>
      </c>
      <c r="BC1408" s="9">
        <f>VLOOKUP(A1408,Jogos!A:BN,61,0)</f>
        <v>17.71</v>
      </c>
      <c r="BD1408" s="9">
        <f>VLOOKUP(A1408,Jogos!A:BN,62,0)</f>
        <v>0</v>
      </c>
      <c r="BE1408" s="9">
        <f>VLOOKUP(A1408,Jogos!A:BN,63,0)</f>
        <v>3.065</v>
      </c>
      <c r="BF1408" s="9">
        <f>VLOOKUP(A1408,Jogos!A:BN,64,0)</f>
        <v>18.25</v>
      </c>
      <c r="BG1408" s="9">
        <f>VLOOKUP(A1408,Jogos!A:BN,65,0)</f>
        <v>30.565</v>
      </c>
      <c r="BH1408" s="9">
        <f>VLOOKUP(A1408,Jogos!A:BN,66,0)</f>
        <v>20.93</v>
      </c>
      <c r="BI1408" s="9"/>
      <c r="BJ1408" s="9"/>
    </row>
    <row r="1409" hidden="1">
      <c r="A1409" s="2">
        <v>48.0</v>
      </c>
      <c r="B1409" s="2" t="s">
        <v>872</v>
      </c>
      <c r="C1409" s="2" t="s">
        <v>61</v>
      </c>
      <c r="D1409" s="3">
        <v>45834.0</v>
      </c>
      <c r="E1409" s="4">
        <v>0.875</v>
      </c>
      <c r="F1409" s="5" t="str">
        <f>VLOOKUP(A1409,Jogos!A:N,10,0)</f>
        <v>Evening</v>
      </c>
      <c r="G1409" s="2" t="s">
        <v>500</v>
      </c>
      <c r="H1409" s="6" t="str">
        <f>VLOOKUP(A1409,Jogos!A:L,12,0)</f>
        <v>Open</v>
      </c>
      <c r="I1409" s="6" t="str">
        <f>VLOOKUP(G1409,'Estádios e Cidades'!A:B,2,0)</f>
        <v>Philadelphia</v>
      </c>
      <c r="J1409" s="2" t="s">
        <v>936</v>
      </c>
      <c r="K1409" s="2" t="str">
        <f>VLOOKUP(J1409,Equipes!A:F,6,0)</f>
        <v>Temperate</v>
      </c>
      <c r="L1409" s="2">
        <f>VLOOKUP(J1409,Equipes!A:C,3,0)</f>
        <v>20</v>
      </c>
      <c r="M1409" s="2" t="str">
        <f t="shared" si="4"/>
        <v>Group</v>
      </c>
      <c r="N1409" s="2" t="s">
        <v>873</v>
      </c>
      <c r="O1409" s="2">
        <f>VLOOKUP(N1409,Equipes!A:C,3,0)</f>
        <v>3</v>
      </c>
      <c r="P1409" s="2" t="str">
        <f t="shared" si="5"/>
        <v>Semi-final</v>
      </c>
      <c r="Q1409" s="2">
        <f t="shared" si="6"/>
        <v>17</v>
      </c>
      <c r="R1409" s="2" t="str">
        <f>VLOOKUP(J1409,Equipes!A:B,2,0)</f>
        <v>Salzburg</v>
      </c>
      <c r="S1409" s="6" t="s">
        <v>981</v>
      </c>
      <c r="T1409" s="7">
        <v>30.0</v>
      </c>
      <c r="U1409" s="7" t="s">
        <v>982</v>
      </c>
      <c r="V1409" s="7" t="str">
        <f>VLOOKUP(U1409,Jogadores!B:C,2,0)</f>
        <v>MF</v>
      </c>
      <c r="W1409" s="8">
        <f>VLOOKUP(U1409,Jogadores!B:D,3,0)</f>
        <v>21.3369863</v>
      </c>
      <c r="X1409" s="7">
        <v>0.0</v>
      </c>
      <c r="Y1409" s="7">
        <f t="shared" si="4396"/>
        <v>93</v>
      </c>
      <c r="Z1409" s="7">
        <f>VLOOKUP(A1409,Jogos!A:L,3,0)</f>
        <v>49</v>
      </c>
      <c r="AA1409" s="7">
        <f t="shared" si="2229"/>
        <v>49</v>
      </c>
      <c r="AB1409" s="7">
        <f>VLOOKUP(A1409,Jogos!A:L,4,0)</f>
        <v>48</v>
      </c>
      <c r="AC1409" s="7">
        <f t="shared" si="2230"/>
        <v>48</v>
      </c>
      <c r="AD1409" s="7"/>
      <c r="AE1409" s="7"/>
      <c r="AF1409" s="7">
        <f t="shared" si="2231"/>
        <v>97</v>
      </c>
      <c r="AG1409" s="7">
        <v>11306.5</v>
      </c>
      <c r="AH1409" s="7">
        <v>3832.9</v>
      </c>
      <c r="AI1409" s="7">
        <v>4889.8</v>
      </c>
      <c r="AJ1409" s="7">
        <v>1828.2</v>
      </c>
      <c r="AK1409" s="7">
        <v>616.3</v>
      </c>
      <c r="AL1409" s="7">
        <v>139.3</v>
      </c>
      <c r="AM1409" s="7">
        <v>168.0</v>
      </c>
      <c r="AN1409" s="7">
        <v>54.0</v>
      </c>
      <c r="AO1409" s="7">
        <v>31.2</v>
      </c>
      <c r="AP1409" s="9">
        <f t="shared" ref="AP1409:AR1409" si="4400">AG1409/$AF1409</f>
        <v>116.5618557</v>
      </c>
      <c r="AQ1409" s="9">
        <f t="shared" si="4400"/>
        <v>39.51443299</v>
      </c>
      <c r="AR1409" s="9">
        <f t="shared" si="4400"/>
        <v>50.41030928</v>
      </c>
      <c r="AS1409" s="9">
        <f t="shared" si="2233"/>
        <v>89.92474227</v>
      </c>
      <c r="AT1409" s="9">
        <f t="shared" ref="AT1409:AV1409" si="4401">AJ1409/$AF1409</f>
        <v>18.84742268</v>
      </c>
      <c r="AU1409" s="9">
        <f t="shared" si="4401"/>
        <v>6.353608247</v>
      </c>
      <c r="AV1409" s="9">
        <f t="shared" si="4401"/>
        <v>1.436082474</v>
      </c>
      <c r="AW1409" s="9">
        <f t="shared" si="2235"/>
        <v>7.789690722</v>
      </c>
      <c r="AX1409" s="9">
        <f t="shared" ref="AX1409:AY1409" si="4402">AM1409/$AF1409</f>
        <v>1.731958763</v>
      </c>
      <c r="AY1409" s="9">
        <f t="shared" si="4402"/>
        <v>0.5567010309</v>
      </c>
      <c r="AZ1409" s="9">
        <f>VLOOKUP(A1409,Jogos!A:BN,58,0)</f>
        <v>20.425</v>
      </c>
      <c r="BA1409" s="9">
        <f>VLOOKUP(A1409,Jogos!A:BN,59,0)</f>
        <v>14.16</v>
      </c>
      <c r="BB1409" s="9">
        <f>VLOOKUP(A1409,Jogos!A:BN,60,0)</f>
        <v>67</v>
      </c>
      <c r="BC1409" s="9">
        <f>VLOOKUP(A1409,Jogos!A:BN,61,0)</f>
        <v>17.71</v>
      </c>
      <c r="BD1409" s="9">
        <f>VLOOKUP(A1409,Jogos!A:BN,62,0)</f>
        <v>0</v>
      </c>
      <c r="BE1409" s="9">
        <f>VLOOKUP(A1409,Jogos!A:BN,63,0)</f>
        <v>3.065</v>
      </c>
      <c r="BF1409" s="9">
        <f>VLOOKUP(A1409,Jogos!A:BN,64,0)</f>
        <v>18.25</v>
      </c>
      <c r="BG1409" s="9">
        <f>VLOOKUP(A1409,Jogos!A:BN,65,0)</f>
        <v>30.565</v>
      </c>
      <c r="BH1409" s="9">
        <f>VLOOKUP(A1409,Jogos!A:BN,66,0)</f>
        <v>20.93</v>
      </c>
      <c r="BI1409" s="9"/>
      <c r="BJ1409" s="9"/>
    </row>
    <row r="1410" hidden="1">
      <c r="A1410" s="2">
        <v>48.0</v>
      </c>
      <c r="B1410" s="2" t="s">
        <v>872</v>
      </c>
      <c r="C1410" s="2" t="s">
        <v>61</v>
      </c>
      <c r="D1410" s="3">
        <v>45834.0</v>
      </c>
      <c r="E1410" s="4">
        <v>0.875</v>
      </c>
      <c r="F1410" s="5" t="str">
        <f>VLOOKUP(A1410,Jogos!A:N,10,0)</f>
        <v>Evening</v>
      </c>
      <c r="G1410" s="2" t="s">
        <v>500</v>
      </c>
      <c r="H1410" s="6" t="str">
        <f>VLOOKUP(A1410,Jogos!A:L,12,0)</f>
        <v>Open</v>
      </c>
      <c r="I1410" s="6" t="str">
        <f>VLOOKUP(G1410,'Estádios e Cidades'!A:B,2,0)</f>
        <v>Philadelphia</v>
      </c>
      <c r="J1410" s="2" t="s">
        <v>936</v>
      </c>
      <c r="K1410" s="2" t="str">
        <f>VLOOKUP(J1410,Equipes!A:F,6,0)</f>
        <v>Temperate</v>
      </c>
      <c r="L1410" s="2">
        <f>VLOOKUP(J1410,Equipes!A:C,3,0)</f>
        <v>20</v>
      </c>
      <c r="M1410" s="2" t="str">
        <f t="shared" si="4"/>
        <v>Group</v>
      </c>
      <c r="N1410" s="2" t="s">
        <v>873</v>
      </c>
      <c r="O1410" s="2">
        <f>VLOOKUP(N1410,Equipes!A:C,3,0)</f>
        <v>3</v>
      </c>
      <c r="P1410" s="2" t="str">
        <f t="shared" si="5"/>
        <v>Semi-final</v>
      </c>
      <c r="Q1410" s="2">
        <f t="shared" si="6"/>
        <v>17</v>
      </c>
      <c r="R1410" s="2" t="str">
        <f>VLOOKUP(J1410,Equipes!A:B,2,0)</f>
        <v>Salzburg</v>
      </c>
      <c r="S1410" s="6" t="s">
        <v>985</v>
      </c>
      <c r="T1410" s="7">
        <v>45.0</v>
      </c>
      <c r="U1410" s="7" t="s">
        <v>986</v>
      </c>
      <c r="V1410" s="7" t="str">
        <f>VLOOKUP(U1410,Jogadores!B:C,2,0)</f>
        <v>FW</v>
      </c>
      <c r="W1410" s="8">
        <f>VLOOKUP(U1410,Jogadores!B:D,3,0)</f>
        <v>22.6109589</v>
      </c>
      <c r="X1410" s="7">
        <v>0.0</v>
      </c>
      <c r="Y1410" s="7">
        <v>89.0</v>
      </c>
      <c r="Z1410" s="7">
        <f>VLOOKUP(A1410,Jogos!A:L,3,0)</f>
        <v>49</v>
      </c>
      <c r="AA1410" s="7">
        <f t="shared" si="2229"/>
        <v>49</v>
      </c>
      <c r="AB1410" s="7">
        <f>VLOOKUP(A1410,Jogos!A:L,4,0)</f>
        <v>48</v>
      </c>
      <c r="AC1410" s="7">
        <f t="shared" si="2230"/>
        <v>44</v>
      </c>
      <c r="AD1410" s="7"/>
      <c r="AE1410" s="7"/>
      <c r="AF1410" s="7">
        <f t="shared" si="2231"/>
        <v>93</v>
      </c>
      <c r="AG1410" s="7">
        <v>11238.7</v>
      </c>
      <c r="AH1410" s="7">
        <v>3723.8</v>
      </c>
      <c r="AI1410" s="7">
        <v>4925.1</v>
      </c>
      <c r="AJ1410" s="7">
        <v>1811.7</v>
      </c>
      <c r="AK1410" s="7">
        <v>657.8</v>
      </c>
      <c r="AL1410" s="7">
        <v>120.3</v>
      </c>
      <c r="AM1410" s="7">
        <v>172.0</v>
      </c>
      <c r="AN1410" s="7">
        <v>47.0</v>
      </c>
      <c r="AO1410" s="7">
        <v>33.9</v>
      </c>
      <c r="AP1410" s="9">
        <f t="shared" ref="AP1410:AR1410" si="4403">AG1410/$AF1410</f>
        <v>120.8462366</v>
      </c>
      <c r="AQ1410" s="9">
        <f t="shared" si="4403"/>
        <v>40.04086022</v>
      </c>
      <c r="AR1410" s="9">
        <f t="shared" si="4403"/>
        <v>52.95806452</v>
      </c>
      <c r="AS1410" s="9">
        <f t="shared" si="2233"/>
        <v>92.99892473</v>
      </c>
      <c r="AT1410" s="9">
        <f t="shared" ref="AT1410:AV1410" si="4404">AJ1410/$AF1410</f>
        <v>19.48064516</v>
      </c>
      <c r="AU1410" s="9">
        <f t="shared" si="4404"/>
        <v>7.07311828</v>
      </c>
      <c r="AV1410" s="9">
        <f t="shared" si="4404"/>
        <v>1.293548387</v>
      </c>
      <c r="AW1410" s="9">
        <f t="shared" si="2235"/>
        <v>8.366666667</v>
      </c>
      <c r="AX1410" s="9">
        <f t="shared" ref="AX1410:AY1410" si="4405">AM1410/$AF1410</f>
        <v>1.849462366</v>
      </c>
      <c r="AY1410" s="9">
        <f t="shared" si="4405"/>
        <v>0.5053763441</v>
      </c>
      <c r="AZ1410" s="9">
        <f>VLOOKUP(A1410,Jogos!A:BN,58,0)</f>
        <v>20.425</v>
      </c>
      <c r="BA1410" s="9">
        <f>VLOOKUP(A1410,Jogos!A:BN,59,0)</f>
        <v>14.16</v>
      </c>
      <c r="BB1410" s="9">
        <f>VLOOKUP(A1410,Jogos!A:BN,60,0)</f>
        <v>67</v>
      </c>
      <c r="BC1410" s="9">
        <f>VLOOKUP(A1410,Jogos!A:BN,61,0)</f>
        <v>17.71</v>
      </c>
      <c r="BD1410" s="9">
        <f>VLOOKUP(A1410,Jogos!A:BN,62,0)</f>
        <v>0</v>
      </c>
      <c r="BE1410" s="9">
        <f>VLOOKUP(A1410,Jogos!A:BN,63,0)</f>
        <v>3.065</v>
      </c>
      <c r="BF1410" s="9">
        <f>VLOOKUP(A1410,Jogos!A:BN,64,0)</f>
        <v>18.25</v>
      </c>
      <c r="BG1410" s="9">
        <f>VLOOKUP(A1410,Jogos!A:BN,65,0)</f>
        <v>30.565</v>
      </c>
      <c r="BH1410" s="9">
        <f>VLOOKUP(A1410,Jogos!A:BN,66,0)</f>
        <v>20.93</v>
      </c>
      <c r="BI1410" s="9"/>
      <c r="BJ1410" s="9"/>
    </row>
    <row r="1411" hidden="1">
      <c r="A1411" s="2">
        <v>48.0</v>
      </c>
      <c r="B1411" s="2" t="s">
        <v>872</v>
      </c>
      <c r="C1411" s="2" t="s">
        <v>61</v>
      </c>
      <c r="D1411" s="3">
        <v>45834.0</v>
      </c>
      <c r="E1411" s="4">
        <v>0.875</v>
      </c>
      <c r="F1411" s="5" t="str">
        <f>VLOOKUP(A1411,Jogos!A:N,10,0)</f>
        <v>Evening</v>
      </c>
      <c r="G1411" s="2" t="s">
        <v>500</v>
      </c>
      <c r="H1411" s="6" t="str">
        <f>VLOOKUP(A1411,Jogos!A:L,12,0)</f>
        <v>Open</v>
      </c>
      <c r="I1411" s="6" t="str">
        <f>VLOOKUP(G1411,'Estádios e Cidades'!A:B,2,0)</f>
        <v>Philadelphia</v>
      </c>
      <c r="J1411" s="2" t="s">
        <v>936</v>
      </c>
      <c r="K1411" s="2" t="str">
        <f>VLOOKUP(J1411,Equipes!A:F,6,0)</f>
        <v>Temperate</v>
      </c>
      <c r="L1411" s="2">
        <f>VLOOKUP(J1411,Equipes!A:C,3,0)</f>
        <v>20</v>
      </c>
      <c r="M1411" s="2" t="str">
        <f t="shared" si="4"/>
        <v>Group</v>
      </c>
      <c r="N1411" s="2" t="s">
        <v>873</v>
      </c>
      <c r="O1411" s="2">
        <f>VLOOKUP(N1411,Equipes!A:C,3,0)</f>
        <v>3</v>
      </c>
      <c r="P1411" s="2" t="str">
        <f t="shared" si="5"/>
        <v>Semi-final</v>
      </c>
      <c r="Q1411" s="2">
        <f t="shared" si="6"/>
        <v>17</v>
      </c>
      <c r="R1411" s="2" t="str">
        <f>VLOOKUP(J1411,Equipes!A:B,2,0)</f>
        <v>Salzburg</v>
      </c>
      <c r="S1411" s="6" t="s">
        <v>1346</v>
      </c>
      <c r="T1411" s="7">
        <v>6.0</v>
      </c>
      <c r="U1411" s="7" t="s">
        <v>1347</v>
      </c>
      <c r="V1411" s="7" t="str">
        <f>VLOOKUP(U1411,Jogadores!B:C,2,0)</f>
        <v>DF</v>
      </c>
      <c r="W1411" s="8">
        <f>VLOOKUP(U1411,Jogadores!B:D,3,0)</f>
        <v>21.33972603</v>
      </c>
      <c r="X1411" s="7">
        <v>89.0</v>
      </c>
      <c r="Y1411" s="7">
        <f t="shared" ref="Y1411:Y1415" si="4409">45+AB1411</f>
        <v>93</v>
      </c>
      <c r="Z1411" s="7">
        <f>VLOOKUP(A1411,Jogos!A:L,3,0)</f>
        <v>49</v>
      </c>
      <c r="AA1411" s="7">
        <f t="shared" si="2229"/>
        <v>0</v>
      </c>
      <c r="AB1411" s="7">
        <f>VLOOKUP(A1411,Jogos!A:L,4,0)</f>
        <v>48</v>
      </c>
      <c r="AC1411" s="7">
        <f t="shared" si="2230"/>
        <v>4</v>
      </c>
      <c r="AD1411" s="7"/>
      <c r="AE1411" s="7"/>
      <c r="AF1411" s="7">
        <f t="shared" si="2231"/>
        <v>4</v>
      </c>
      <c r="AG1411" s="7">
        <v>675.7</v>
      </c>
      <c r="AH1411" s="7">
        <v>116.8</v>
      </c>
      <c r="AI1411" s="7">
        <v>356.6</v>
      </c>
      <c r="AJ1411" s="7">
        <v>141.8</v>
      </c>
      <c r="AK1411" s="7">
        <v>56.4</v>
      </c>
      <c r="AL1411" s="7">
        <v>4.1</v>
      </c>
      <c r="AM1411" s="7">
        <v>14.0</v>
      </c>
      <c r="AN1411" s="7">
        <v>3.0</v>
      </c>
      <c r="AO1411" s="7">
        <v>25.5</v>
      </c>
      <c r="AP1411" s="9">
        <f t="shared" ref="AP1411:AR1411" si="4406">AG1411/$AF1411</f>
        <v>168.925</v>
      </c>
      <c r="AQ1411" s="9">
        <f t="shared" si="4406"/>
        <v>29.2</v>
      </c>
      <c r="AR1411" s="9">
        <f t="shared" si="4406"/>
        <v>89.15</v>
      </c>
      <c r="AS1411" s="9">
        <f t="shared" si="2233"/>
        <v>118.35</v>
      </c>
      <c r="AT1411" s="9">
        <f t="shared" ref="AT1411:AV1411" si="4407">AJ1411/$AF1411</f>
        <v>35.45</v>
      </c>
      <c r="AU1411" s="9">
        <f t="shared" si="4407"/>
        <v>14.1</v>
      </c>
      <c r="AV1411" s="9">
        <f t="shared" si="4407"/>
        <v>1.025</v>
      </c>
      <c r="AW1411" s="9">
        <f t="shared" si="2235"/>
        <v>15.125</v>
      </c>
      <c r="AX1411" s="9">
        <f t="shared" ref="AX1411:AY1411" si="4408">AM1411/$AF1411</f>
        <v>3.5</v>
      </c>
      <c r="AY1411" s="9">
        <f t="shared" si="4408"/>
        <v>0.75</v>
      </c>
      <c r="AZ1411" s="9">
        <f>VLOOKUP(A1411,Jogos!A:BN,58,0)</f>
        <v>20.425</v>
      </c>
      <c r="BA1411" s="9">
        <f>VLOOKUP(A1411,Jogos!A:BN,59,0)</f>
        <v>14.16</v>
      </c>
      <c r="BB1411" s="9">
        <f>VLOOKUP(A1411,Jogos!A:BN,60,0)</f>
        <v>67</v>
      </c>
      <c r="BC1411" s="9">
        <f>VLOOKUP(A1411,Jogos!A:BN,61,0)</f>
        <v>17.71</v>
      </c>
      <c r="BD1411" s="9">
        <f>VLOOKUP(A1411,Jogos!A:BN,62,0)</f>
        <v>0</v>
      </c>
      <c r="BE1411" s="9">
        <f>VLOOKUP(A1411,Jogos!A:BN,63,0)</f>
        <v>3.065</v>
      </c>
      <c r="BF1411" s="9">
        <f>VLOOKUP(A1411,Jogos!A:BN,64,0)</f>
        <v>18.25</v>
      </c>
      <c r="BG1411" s="9">
        <f>VLOOKUP(A1411,Jogos!A:BN,65,0)</f>
        <v>30.565</v>
      </c>
      <c r="BH1411" s="9">
        <f>VLOOKUP(A1411,Jogos!A:BN,66,0)</f>
        <v>20.93</v>
      </c>
      <c r="BI1411" s="9"/>
      <c r="BJ1411" s="9"/>
    </row>
    <row r="1412" hidden="1">
      <c r="A1412" s="2">
        <v>48.0</v>
      </c>
      <c r="B1412" s="2" t="s">
        <v>872</v>
      </c>
      <c r="C1412" s="2" t="s">
        <v>61</v>
      </c>
      <c r="D1412" s="3">
        <v>45834.0</v>
      </c>
      <c r="E1412" s="4">
        <v>0.875</v>
      </c>
      <c r="F1412" s="5" t="str">
        <f>VLOOKUP(A1412,Jogos!A:N,10,0)</f>
        <v>Evening</v>
      </c>
      <c r="G1412" s="2" t="s">
        <v>500</v>
      </c>
      <c r="H1412" s="6" t="str">
        <f>VLOOKUP(A1412,Jogos!A:L,12,0)</f>
        <v>Open</v>
      </c>
      <c r="I1412" s="6" t="str">
        <f>VLOOKUP(G1412,'Estádios e Cidades'!A:B,2,0)</f>
        <v>Philadelphia</v>
      </c>
      <c r="J1412" s="2" t="s">
        <v>936</v>
      </c>
      <c r="K1412" s="2" t="str">
        <f>VLOOKUP(J1412,Equipes!A:F,6,0)</f>
        <v>Temperate</v>
      </c>
      <c r="L1412" s="2">
        <f>VLOOKUP(J1412,Equipes!A:C,3,0)</f>
        <v>20</v>
      </c>
      <c r="M1412" s="2" t="str">
        <f t="shared" si="4"/>
        <v>Group</v>
      </c>
      <c r="N1412" s="2" t="s">
        <v>873</v>
      </c>
      <c r="O1412" s="2">
        <f>VLOOKUP(N1412,Equipes!A:C,3,0)</f>
        <v>3</v>
      </c>
      <c r="P1412" s="2" t="str">
        <f t="shared" si="5"/>
        <v>Semi-final</v>
      </c>
      <c r="Q1412" s="2">
        <f t="shared" si="6"/>
        <v>17</v>
      </c>
      <c r="R1412" s="2" t="str">
        <f>VLOOKUP(J1412,Equipes!A:B,2,0)</f>
        <v>Salzburg</v>
      </c>
      <c r="S1412" s="6" t="s">
        <v>989</v>
      </c>
      <c r="T1412" s="7">
        <v>9.0</v>
      </c>
      <c r="U1412" s="7" t="s">
        <v>990</v>
      </c>
      <c r="V1412" s="7" t="str">
        <f>VLOOKUP(U1412,Jogadores!B:C,2,0)</f>
        <v>FW</v>
      </c>
      <c r="W1412" s="8">
        <f>VLOOKUP(U1412,Jogadores!B:D,3,0)</f>
        <v>33.38630137</v>
      </c>
      <c r="X1412" s="7">
        <v>89.0</v>
      </c>
      <c r="Y1412" s="7">
        <f t="shared" si="4409"/>
        <v>93</v>
      </c>
      <c r="Z1412" s="7">
        <f>VLOOKUP(A1412,Jogos!A:L,3,0)</f>
        <v>49</v>
      </c>
      <c r="AA1412" s="7">
        <f t="shared" si="2229"/>
        <v>0</v>
      </c>
      <c r="AB1412" s="7">
        <f>VLOOKUP(A1412,Jogos!A:L,4,0)</f>
        <v>48</v>
      </c>
      <c r="AC1412" s="7">
        <f t="shared" si="2230"/>
        <v>4</v>
      </c>
      <c r="AD1412" s="7"/>
      <c r="AE1412" s="7"/>
      <c r="AF1412" s="7">
        <f t="shared" si="2231"/>
        <v>4</v>
      </c>
      <c r="AG1412" s="7">
        <v>570.9</v>
      </c>
      <c r="AH1412" s="7">
        <v>135.9</v>
      </c>
      <c r="AI1412" s="7">
        <v>347.2</v>
      </c>
      <c r="AJ1412" s="7">
        <v>79.0</v>
      </c>
      <c r="AK1412" s="7">
        <v>8.8</v>
      </c>
      <c r="AL1412" s="7">
        <v>6.0</v>
      </c>
      <c r="AM1412" s="7">
        <v>1.0</v>
      </c>
      <c r="AN1412" s="7">
        <v>21.6</v>
      </c>
      <c r="AO1412" s="7"/>
      <c r="AP1412" s="9">
        <f t="shared" ref="AP1412:AR1412" si="4410">AG1412/$AF1412</f>
        <v>142.725</v>
      </c>
      <c r="AQ1412" s="9">
        <f t="shared" si="4410"/>
        <v>33.975</v>
      </c>
      <c r="AR1412" s="9">
        <f t="shared" si="4410"/>
        <v>86.8</v>
      </c>
      <c r="AS1412" s="9">
        <f t="shared" si="2233"/>
        <v>120.775</v>
      </c>
      <c r="AT1412" s="9">
        <f t="shared" ref="AT1412:AV1412" si="4411">AJ1412/$AF1412</f>
        <v>19.75</v>
      </c>
      <c r="AU1412" s="9">
        <f t="shared" si="4411"/>
        <v>2.2</v>
      </c>
      <c r="AV1412" s="9">
        <f t="shared" si="4411"/>
        <v>1.5</v>
      </c>
      <c r="AW1412" s="9">
        <f t="shared" si="2235"/>
        <v>3.7</v>
      </c>
      <c r="AX1412" s="9">
        <f t="shared" ref="AX1412:AY1412" si="4412">AM1412/$AF1412</f>
        <v>0.25</v>
      </c>
      <c r="AY1412" s="9">
        <f t="shared" si="4412"/>
        <v>5.4</v>
      </c>
      <c r="AZ1412" s="9">
        <f>VLOOKUP(A1412,Jogos!A:BN,58,0)</f>
        <v>20.425</v>
      </c>
      <c r="BA1412" s="9">
        <f>VLOOKUP(A1412,Jogos!A:BN,59,0)</f>
        <v>14.16</v>
      </c>
      <c r="BB1412" s="9">
        <f>VLOOKUP(A1412,Jogos!A:BN,60,0)</f>
        <v>67</v>
      </c>
      <c r="BC1412" s="9">
        <f>VLOOKUP(A1412,Jogos!A:BN,61,0)</f>
        <v>17.71</v>
      </c>
      <c r="BD1412" s="9">
        <f>VLOOKUP(A1412,Jogos!A:BN,62,0)</f>
        <v>0</v>
      </c>
      <c r="BE1412" s="9">
        <f>VLOOKUP(A1412,Jogos!A:BN,63,0)</f>
        <v>3.065</v>
      </c>
      <c r="BF1412" s="9">
        <f>VLOOKUP(A1412,Jogos!A:BN,64,0)</f>
        <v>18.25</v>
      </c>
      <c r="BG1412" s="9">
        <f>VLOOKUP(A1412,Jogos!A:BN,65,0)</f>
        <v>30.565</v>
      </c>
      <c r="BH1412" s="9">
        <f>VLOOKUP(A1412,Jogos!A:BN,66,0)</f>
        <v>20.93</v>
      </c>
      <c r="BI1412" s="9"/>
      <c r="BJ1412" s="9"/>
    </row>
    <row r="1413" hidden="1">
      <c r="A1413" s="2">
        <v>48.0</v>
      </c>
      <c r="B1413" s="2" t="s">
        <v>872</v>
      </c>
      <c r="C1413" s="2" t="s">
        <v>61</v>
      </c>
      <c r="D1413" s="3">
        <v>45834.0</v>
      </c>
      <c r="E1413" s="4">
        <v>0.875</v>
      </c>
      <c r="F1413" s="5" t="str">
        <f>VLOOKUP(A1413,Jogos!A:N,10,0)</f>
        <v>Evening</v>
      </c>
      <c r="G1413" s="2" t="s">
        <v>500</v>
      </c>
      <c r="H1413" s="6" t="str">
        <f>VLOOKUP(A1413,Jogos!A:L,12,0)</f>
        <v>Open</v>
      </c>
      <c r="I1413" s="6" t="str">
        <f>VLOOKUP(G1413,'Estádios e Cidades'!A:B,2,0)</f>
        <v>Philadelphia</v>
      </c>
      <c r="J1413" s="2" t="s">
        <v>936</v>
      </c>
      <c r="K1413" s="2" t="str">
        <f>VLOOKUP(J1413,Equipes!A:F,6,0)</f>
        <v>Temperate</v>
      </c>
      <c r="L1413" s="2">
        <f>VLOOKUP(J1413,Equipes!A:C,3,0)</f>
        <v>20</v>
      </c>
      <c r="M1413" s="2" t="str">
        <f t="shared" si="4"/>
        <v>Group</v>
      </c>
      <c r="N1413" s="2" t="s">
        <v>873</v>
      </c>
      <c r="O1413" s="2">
        <f>VLOOKUP(N1413,Equipes!A:C,3,0)</f>
        <v>3</v>
      </c>
      <c r="P1413" s="2" t="str">
        <f t="shared" si="5"/>
        <v>Semi-final</v>
      </c>
      <c r="Q1413" s="2">
        <f t="shared" si="6"/>
        <v>17</v>
      </c>
      <c r="R1413" s="2" t="str">
        <f>VLOOKUP(J1413,Equipes!A:B,2,0)</f>
        <v>Salzburg</v>
      </c>
      <c r="S1413" s="6" t="s">
        <v>991</v>
      </c>
      <c r="T1413" s="7">
        <v>11.0</v>
      </c>
      <c r="U1413" s="7" t="s">
        <v>992</v>
      </c>
      <c r="V1413" s="7" t="str">
        <f>VLOOKUP(U1413,Jogadores!B:C,2,0)</f>
        <v>FW</v>
      </c>
      <c r="W1413" s="8">
        <f>VLOOKUP(U1413,Jogadores!B:D,3,0)</f>
        <v>24.56712329</v>
      </c>
      <c r="X1413" s="7">
        <v>73.0</v>
      </c>
      <c r="Y1413" s="7">
        <f t="shared" si="4409"/>
        <v>93</v>
      </c>
      <c r="Z1413" s="7">
        <f>VLOOKUP(A1413,Jogos!A:L,3,0)</f>
        <v>49</v>
      </c>
      <c r="AA1413" s="7">
        <f t="shared" si="2229"/>
        <v>0</v>
      </c>
      <c r="AB1413" s="7">
        <f>VLOOKUP(A1413,Jogos!A:L,4,0)</f>
        <v>48</v>
      </c>
      <c r="AC1413" s="7">
        <f t="shared" si="2230"/>
        <v>20</v>
      </c>
      <c r="AD1413" s="7"/>
      <c r="AE1413" s="7"/>
      <c r="AF1413" s="7">
        <f t="shared" si="2231"/>
        <v>20</v>
      </c>
      <c r="AG1413" s="7">
        <v>2569.0</v>
      </c>
      <c r="AH1413" s="7">
        <v>737.9</v>
      </c>
      <c r="AI1413" s="7">
        <v>1151.2</v>
      </c>
      <c r="AJ1413" s="7">
        <v>433.7</v>
      </c>
      <c r="AK1413" s="7">
        <v>152.3</v>
      </c>
      <c r="AL1413" s="7">
        <v>93.9</v>
      </c>
      <c r="AM1413" s="7">
        <v>39.0</v>
      </c>
      <c r="AN1413" s="7">
        <v>12.0</v>
      </c>
      <c r="AO1413" s="7">
        <v>28.5</v>
      </c>
      <c r="AP1413" s="9">
        <f t="shared" ref="AP1413:AR1413" si="4413">AG1413/$AF1413</f>
        <v>128.45</v>
      </c>
      <c r="AQ1413" s="9">
        <f t="shared" si="4413"/>
        <v>36.895</v>
      </c>
      <c r="AR1413" s="9">
        <f t="shared" si="4413"/>
        <v>57.56</v>
      </c>
      <c r="AS1413" s="9">
        <f t="shared" si="2233"/>
        <v>94.455</v>
      </c>
      <c r="AT1413" s="9">
        <f t="shared" ref="AT1413:AV1413" si="4414">AJ1413/$AF1413</f>
        <v>21.685</v>
      </c>
      <c r="AU1413" s="9">
        <f t="shared" si="4414"/>
        <v>7.615</v>
      </c>
      <c r="AV1413" s="9">
        <f t="shared" si="4414"/>
        <v>4.695</v>
      </c>
      <c r="AW1413" s="9">
        <f t="shared" si="2235"/>
        <v>12.31</v>
      </c>
      <c r="AX1413" s="9">
        <f t="shared" ref="AX1413:AY1413" si="4415">AM1413/$AF1413</f>
        <v>1.95</v>
      </c>
      <c r="AY1413" s="9">
        <f t="shared" si="4415"/>
        <v>0.6</v>
      </c>
      <c r="AZ1413" s="9">
        <f>VLOOKUP(A1413,Jogos!A:BN,58,0)</f>
        <v>20.425</v>
      </c>
      <c r="BA1413" s="9">
        <f>VLOOKUP(A1413,Jogos!A:BN,59,0)</f>
        <v>14.16</v>
      </c>
      <c r="BB1413" s="9">
        <f>VLOOKUP(A1413,Jogos!A:BN,60,0)</f>
        <v>67</v>
      </c>
      <c r="BC1413" s="9">
        <f>VLOOKUP(A1413,Jogos!A:BN,61,0)</f>
        <v>17.71</v>
      </c>
      <c r="BD1413" s="9">
        <f>VLOOKUP(A1413,Jogos!A:BN,62,0)</f>
        <v>0</v>
      </c>
      <c r="BE1413" s="9">
        <f>VLOOKUP(A1413,Jogos!A:BN,63,0)</f>
        <v>3.065</v>
      </c>
      <c r="BF1413" s="9">
        <f>VLOOKUP(A1413,Jogos!A:BN,64,0)</f>
        <v>18.25</v>
      </c>
      <c r="BG1413" s="9">
        <f>VLOOKUP(A1413,Jogos!A:BN,65,0)</f>
        <v>30.565</v>
      </c>
      <c r="BH1413" s="9">
        <f>VLOOKUP(A1413,Jogos!A:BN,66,0)</f>
        <v>20.93</v>
      </c>
      <c r="BI1413" s="9"/>
      <c r="BJ1413" s="9"/>
    </row>
    <row r="1414" hidden="1">
      <c r="A1414" s="2">
        <v>48.0</v>
      </c>
      <c r="B1414" s="2" t="s">
        <v>872</v>
      </c>
      <c r="C1414" s="2" t="s">
        <v>61</v>
      </c>
      <c r="D1414" s="3">
        <v>45834.0</v>
      </c>
      <c r="E1414" s="4">
        <v>0.875</v>
      </c>
      <c r="F1414" s="5" t="str">
        <f>VLOOKUP(A1414,Jogos!A:N,10,0)</f>
        <v>Evening</v>
      </c>
      <c r="G1414" s="2" t="s">
        <v>500</v>
      </c>
      <c r="H1414" s="6" t="str">
        <f>VLOOKUP(A1414,Jogos!A:L,12,0)</f>
        <v>Open</v>
      </c>
      <c r="I1414" s="6" t="str">
        <f>VLOOKUP(G1414,'Estádios e Cidades'!A:B,2,0)</f>
        <v>Philadelphia</v>
      </c>
      <c r="J1414" s="2" t="s">
        <v>936</v>
      </c>
      <c r="K1414" s="2" t="str">
        <f>VLOOKUP(J1414,Equipes!A:F,6,0)</f>
        <v>Temperate</v>
      </c>
      <c r="L1414" s="2">
        <f>VLOOKUP(J1414,Equipes!A:C,3,0)</f>
        <v>20</v>
      </c>
      <c r="M1414" s="2" t="str">
        <f t="shared" si="4"/>
        <v>Group</v>
      </c>
      <c r="N1414" s="2" t="s">
        <v>873</v>
      </c>
      <c r="O1414" s="2">
        <f>VLOOKUP(N1414,Equipes!A:C,3,0)</f>
        <v>3</v>
      </c>
      <c r="P1414" s="2" t="str">
        <f t="shared" si="5"/>
        <v>Semi-final</v>
      </c>
      <c r="Q1414" s="2">
        <f t="shared" si="6"/>
        <v>17</v>
      </c>
      <c r="R1414" s="2" t="str">
        <f>VLOOKUP(J1414,Equipes!A:B,2,0)</f>
        <v>Salzburg</v>
      </c>
      <c r="S1414" s="6" t="s">
        <v>1212</v>
      </c>
      <c r="T1414" s="7">
        <v>14.0</v>
      </c>
      <c r="U1414" s="7" t="s">
        <v>1213</v>
      </c>
      <c r="V1414" s="7" t="str">
        <f>VLOOKUP(U1414,Jogadores!B:C,2,0)</f>
        <v>MF</v>
      </c>
      <c r="W1414" s="8">
        <f>VLOOKUP(U1414,Jogadores!B:D,3,0)</f>
        <v>22.10410959</v>
      </c>
      <c r="X1414" s="7">
        <v>45.0</v>
      </c>
      <c r="Y1414" s="7">
        <f t="shared" si="4409"/>
        <v>93</v>
      </c>
      <c r="Z1414" s="7">
        <f>VLOOKUP(A1414,Jogos!A:L,3,0)</f>
        <v>49</v>
      </c>
      <c r="AA1414" s="7">
        <f t="shared" si="2229"/>
        <v>0</v>
      </c>
      <c r="AB1414" s="7">
        <f>VLOOKUP(A1414,Jogos!A:L,4,0)</f>
        <v>48</v>
      </c>
      <c r="AC1414" s="7">
        <f t="shared" si="2230"/>
        <v>48</v>
      </c>
      <c r="AD1414" s="7"/>
      <c r="AE1414" s="7"/>
      <c r="AF1414" s="7">
        <f t="shared" si="2231"/>
        <v>48</v>
      </c>
      <c r="AG1414" s="7">
        <v>6325.3</v>
      </c>
      <c r="AH1414" s="7">
        <v>1597.2</v>
      </c>
      <c r="AI1414" s="7">
        <v>2975.8</v>
      </c>
      <c r="AJ1414" s="7">
        <v>1213.1</v>
      </c>
      <c r="AK1414" s="7">
        <v>400.0</v>
      </c>
      <c r="AL1414" s="7">
        <v>139.2</v>
      </c>
      <c r="AM1414" s="7">
        <v>100.0</v>
      </c>
      <c r="AN1414" s="7">
        <v>29.0</v>
      </c>
      <c r="AO1414" s="7">
        <v>31.4</v>
      </c>
      <c r="AP1414" s="9">
        <f t="shared" ref="AP1414:AR1414" si="4416">AG1414/$AF1414</f>
        <v>131.7770833</v>
      </c>
      <c r="AQ1414" s="9">
        <f t="shared" si="4416"/>
        <v>33.275</v>
      </c>
      <c r="AR1414" s="9">
        <f t="shared" si="4416"/>
        <v>61.99583333</v>
      </c>
      <c r="AS1414" s="9">
        <f t="shared" si="2233"/>
        <v>95.27083333</v>
      </c>
      <c r="AT1414" s="9">
        <f t="shared" ref="AT1414:AV1414" si="4417">AJ1414/$AF1414</f>
        <v>25.27291667</v>
      </c>
      <c r="AU1414" s="9">
        <f t="shared" si="4417"/>
        <v>8.333333333</v>
      </c>
      <c r="AV1414" s="9">
        <f t="shared" si="4417"/>
        <v>2.9</v>
      </c>
      <c r="AW1414" s="9">
        <f t="shared" si="2235"/>
        <v>11.23333333</v>
      </c>
      <c r="AX1414" s="9">
        <f t="shared" ref="AX1414:AY1414" si="4418">AM1414/$AF1414</f>
        <v>2.083333333</v>
      </c>
      <c r="AY1414" s="9">
        <f t="shared" si="4418"/>
        <v>0.6041666667</v>
      </c>
      <c r="AZ1414" s="9">
        <f>VLOOKUP(A1414,Jogos!A:BN,58,0)</f>
        <v>20.425</v>
      </c>
      <c r="BA1414" s="9">
        <f>VLOOKUP(A1414,Jogos!A:BN,59,0)</f>
        <v>14.16</v>
      </c>
      <c r="BB1414" s="9">
        <f>VLOOKUP(A1414,Jogos!A:BN,60,0)</f>
        <v>67</v>
      </c>
      <c r="BC1414" s="9">
        <f>VLOOKUP(A1414,Jogos!A:BN,61,0)</f>
        <v>17.71</v>
      </c>
      <c r="BD1414" s="9">
        <f>VLOOKUP(A1414,Jogos!A:BN,62,0)</f>
        <v>0</v>
      </c>
      <c r="BE1414" s="9">
        <f>VLOOKUP(A1414,Jogos!A:BN,63,0)</f>
        <v>3.065</v>
      </c>
      <c r="BF1414" s="9">
        <f>VLOOKUP(A1414,Jogos!A:BN,64,0)</f>
        <v>18.25</v>
      </c>
      <c r="BG1414" s="9">
        <f>VLOOKUP(A1414,Jogos!A:BN,65,0)</f>
        <v>30.565</v>
      </c>
      <c r="BH1414" s="9">
        <f>VLOOKUP(A1414,Jogos!A:BN,66,0)</f>
        <v>20.93</v>
      </c>
      <c r="BI1414" s="9"/>
      <c r="BJ1414" s="9"/>
    </row>
    <row r="1415" hidden="1">
      <c r="A1415" s="2">
        <v>48.0</v>
      </c>
      <c r="B1415" s="2" t="s">
        <v>872</v>
      </c>
      <c r="C1415" s="2" t="s">
        <v>61</v>
      </c>
      <c r="D1415" s="3">
        <v>45834.0</v>
      </c>
      <c r="E1415" s="4">
        <v>0.875</v>
      </c>
      <c r="F1415" s="5" t="str">
        <f>VLOOKUP(A1415,Jogos!A:N,10,0)</f>
        <v>Evening</v>
      </c>
      <c r="G1415" s="2" t="s">
        <v>500</v>
      </c>
      <c r="H1415" s="6" t="str">
        <f>VLOOKUP(A1415,Jogos!A:L,12,0)</f>
        <v>Open</v>
      </c>
      <c r="I1415" s="6" t="str">
        <f>VLOOKUP(G1415,'Estádios e Cidades'!A:B,2,0)</f>
        <v>Philadelphia</v>
      </c>
      <c r="J1415" s="2" t="s">
        <v>936</v>
      </c>
      <c r="K1415" s="2" t="str">
        <f>VLOOKUP(J1415,Equipes!A:F,6,0)</f>
        <v>Temperate</v>
      </c>
      <c r="L1415" s="2">
        <f>VLOOKUP(J1415,Equipes!A:C,3,0)</f>
        <v>20</v>
      </c>
      <c r="M1415" s="2" t="str">
        <f t="shared" si="4"/>
        <v>Group</v>
      </c>
      <c r="N1415" s="2" t="s">
        <v>873</v>
      </c>
      <c r="O1415" s="2">
        <f>VLOOKUP(N1415,Equipes!A:C,3,0)</f>
        <v>3</v>
      </c>
      <c r="P1415" s="2" t="str">
        <f t="shared" si="5"/>
        <v>Semi-final</v>
      </c>
      <c r="Q1415" s="2">
        <f t="shared" si="6"/>
        <v>17</v>
      </c>
      <c r="R1415" s="2" t="str">
        <f>VLOOKUP(J1415,Equipes!A:B,2,0)</f>
        <v>Salzburg</v>
      </c>
      <c r="S1415" s="6" t="s">
        <v>993</v>
      </c>
      <c r="T1415" s="7">
        <v>28.0</v>
      </c>
      <c r="U1415" s="7" t="s">
        <v>994</v>
      </c>
      <c r="V1415" s="7" t="str">
        <f>VLOOKUP(U1415,Jogadores!B:C,2,0)</f>
        <v>FW</v>
      </c>
      <c r="W1415" s="8">
        <f>VLOOKUP(U1415,Jogadores!B:D,3,0)</f>
        <v>19.84383562</v>
      </c>
      <c r="X1415" s="7">
        <v>45.0</v>
      </c>
      <c r="Y1415" s="7">
        <f t="shared" si="4409"/>
        <v>93</v>
      </c>
      <c r="Z1415" s="7">
        <f>VLOOKUP(A1415,Jogos!A:L,3,0)</f>
        <v>49</v>
      </c>
      <c r="AA1415" s="7">
        <f t="shared" si="2229"/>
        <v>0</v>
      </c>
      <c r="AB1415" s="7">
        <f>VLOOKUP(A1415,Jogos!A:L,4,0)</f>
        <v>48</v>
      </c>
      <c r="AC1415" s="7">
        <f t="shared" si="2230"/>
        <v>48</v>
      </c>
      <c r="AD1415" s="7"/>
      <c r="AE1415" s="7"/>
      <c r="AF1415" s="7">
        <f t="shared" si="2231"/>
        <v>48</v>
      </c>
      <c r="AG1415" s="7">
        <v>6340.5</v>
      </c>
      <c r="AH1415" s="7">
        <v>1592.4</v>
      </c>
      <c r="AI1415" s="7">
        <v>3181.4</v>
      </c>
      <c r="AJ1415" s="7">
        <v>846.6</v>
      </c>
      <c r="AK1415" s="7">
        <v>373.4</v>
      </c>
      <c r="AL1415" s="7">
        <v>346.8</v>
      </c>
      <c r="AM1415" s="7">
        <v>76.0</v>
      </c>
      <c r="AN1415" s="7">
        <v>40.0</v>
      </c>
      <c r="AO1415" s="7">
        <v>35.1</v>
      </c>
      <c r="AP1415" s="9">
        <f t="shared" ref="AP1415:AR1415" si="4419">AG1415/$AF1415</f>
        <v>132.09375</v>
      </c>
      <c r="AQ1415" s="9">
        <f t="shared" si="4419"/>
        <v>33.175</v>
      </c>
      <c r="AR1415" s="9">
        <f t="shared" si="4419"/>
        <v>66.27916667</v>
      </c>
      <c r="AS1415" s="9">
        <f t="shared" si="2233"/>
        <v>99.45416667</v>
      </c>
      <c r="AT1415" s="9">
        <f t="shared" ref="AT1415:AV1415" si="4420">AJ1415/$AF1415</f>
        <v>17.6375</v>
      </c>
      <c r="AU1415" s="9">
        <f t="shared" si="4420"/>
        <v>7.779166667</v>
      </c>
      <c r="AV1415" s="9">
        <f t="shared" si="4420"/>
        <v>7.225</v>
      </c>
      <c r="AW1415" s="9">
        <f t="shared" si="2235"/>
        <v>15.00416667</v>
      </c>
      <c r="AX1415" s="9">
        <f t="shared" ref="AX1415:AY1415" si="4421">AM1415/$AF1415</f>
        <v>1.583333333</v>
      </c>
      <c r="AY1415" s="9">
        <f t="shared" si="4421"/>
        <v>0.8333333333</v>
      </c>
      <c r="AZ1415" s="9">
        <f>VLOOKUP(A1415,Jogos!A:BN,58,0)</f>
        <v>20.425</v>
      </c>
      <c r="BA1415" s="9">
        <f>VLOOKUP(A1415,Jogos!A:BN,59,0)</f>
        <v>14.16</v>
      </c>
      <c r="BB1415" s="9">
        <f>VLOOKUP(A1415,Jogos!A:BN,60,0)</f>
        <v>67</v>
      </c>
      <c r="BC1415" s="9">
        <f>VLOOKUP(A1415,Jogos!A:BN,61,0)</f>
        <v>17.71</v>
      </c>
      <c r="BD1415" s="9">
        <f>VLOOKUP(A1415,Jogos!A:BN,62,0)</f>
        <v>0</v>
      </c>
      <c r="BE1415" s="9">
        <f>VLOOKUP(A1415,Jogos!A:BN,63,0)</f>
        <v>3.065</v>
      </c>
      <c r="BF1415" s="9">
        <f>VLOOKUP(A1415,Jogos!A:BN,64,0)</f>
        <v>18.25</v>
      </c>
      <c r="BG1415" s="9">
        <f>VLOOKUP(A1415,Jogos!A:BN,65,0)</f>
        <v>30.565</v>
      </c>
      <c r="BH1415" s="9">
        <f>VLOOKUP(A1415,Jogos!A:BN,66,0)</f>
        <v>20.93</v>
      </c>
      <c r="BI1415" s="9"/>
      <c r="BJ1415" s="9"/>
    </row>
    <row r="1416" hidden="1">
      <c r="A1416" s="10">
        <v>48.0</v>
      </c>
      <c r="B1416" s="11" t="s">
        <v>872</v>
      </c>
      <c r="C1416" s="2" t="s">
        <v>61</v>
      </c>
      <c r="D1416" s="12">
        <v>45834.0</v>
      </c>
      <c r="E1416" s="13">
        <v>0.875</v>
      </c>
      <c r="F1416" s="5" t="str">
        <f>VLOOKUP(A1416,Jogos!A:N,10,0)</f>
        <v>Evening</v>
      </c>
      <c r="G1416" s="11" t="s">
        <v>500</v>
      </c>
      <c r="H1416" s="6" t="str">
        <f>VLOOKUP(A1416,Jogos!A:L,12,0)</f>
        <v>Open</v>
      </c>
      <c r="I1416" s="6" t="str">
        <f>VLOOKUP(G1416,'Estádios e Cidades'!A:B,2,0)</f>
        <v>Philadelphia</v>
      </c>
      <c r="J1416" s="11" t="s">
        <v>873</v>
      </c>
      <c r="K1416" s="2" t="str">
        <f>VLOOKUP(J1416,Equipes!A:F,6,0)</f>
        <v>Temperate</v>
      </c>
      <c r="L1416" s="2">
        <f>VLOOKUP(J1416,Equipes!A:C,3,0)</f>
        <v>3</v>
      </c>
      <c r="M1416" s="2" t="str">
        <f t="shared" si="4"/>
        <v>Semi-final</v>
      </c>
      <c r="N1416" s="11" t="s">
        <v>936</v>
      </c>
      <c r="O1416" s="2">
        <f>VLOOKUP(N1416,Equipes!A:C,3,0)</f>
        <v>20</v>
      </c>
      <c r="P1416" s="2" t="str">
        <f t="shared" si="5"/>
        <v>Group</v>
      </c>
      <c r="Q1416" s="2">
        <f t="shared" si="6"/>
        <v>-17</v>
      </c>
      <c r="R1416" s="2" t="str">
        <f>VLOOKUP(J1416,Equipes!A:B,2,0)</f>
        <v>Real</v>
      </c>
      <c r="S1416" s="14" t="s">
        <v>875</v>
      </c>
      <c r="T1416" s="7">
        <v>5.0</v>
      </c>
      <c r="U1416" s="7" t="s">
        <v>876</v>
      </c>
      <c r="V1416" s="7" t="str">
        <f>VLOOKUP(U1416,Jogadores!B:C,2,0)</f>
        <v>MF</v>
      </c>
      <c r="W1416" s="8">
        <f>VLOOKUP(U1416,Jogadores!B:D,3,0)</f>
        <v>22.09589041</v>
      </c>
      <c r="X1416" s="7">
        <v>0.0</v>
      </c>
      <c r="Y1416" s="7">
        <v>82.0</v>
      </c>
      <c r="Z1416" s="7">
        <f>VLOOKUP(A1416,Jogos!A:L,3,0)</f>
        <v>49</v>
      </c>
      <c r="AA1416" s="7">
        <f t="shared" si="2229"/>
        <v>49</v>
      </c>
      <c r="AB1416" s="7">
        <f>VLOOKUP(A1416,Jogos!A:L,4,0)</f>
        <v>48</v>
      </c>
      <c r="AC1416" s="7">
        <f t="shared" si="2230"/>
        <v>37</v>
      </c>
      <c r="AD1416" s="7"/>
      <c r="AE1416" s="7"/>
      <c r="AF1416" s="7">
        <f t="shared" si="2231"/>
        <v>86</v>
      </c>
      <c r="AG1416" s="7">
        <v>9835.0</v>
      </c>
      <c r="AH1416" s="7">
        <v>3887.2</v>
      </c>
      <c r="AI1416" s="7">
        <v>3710.9</v>
      </c>
      <c r="AJ1416" s="7">
        <v>1322.7</v>
      </c>
      <c r="AK1416" s="7">
        <v>621.2</v>
      </c>
      <c r="AL1416" s="7">
        <v>293.0</v>
      </c>
      <c r="AM1416" s="7">
        <v>110.0</v>
      </c>
      <c r="AN1416" s="7">
        <v>51.0</v>
      </c>
      <c r="AO1416" s="7">
        <v>31.4</v>
      </c>
      <c r="AP1416" s="9">
        <f t="shared" ref="AP1416:AR1416" si="4422">AG1416/$AF1416</f>
        <v>114.3604651</v>
      </c>
      <c r="AQ1416" s="9">
        <f t="shared" si="4422"/>
        <v>45.2</v>
      </c>
      <c r="AR1416" s="9">
        <f t="shared" si="4422"/>
        <v>43.15</v>
      </c>
      <c r="AS1416" s="9">
        <f t="shared" si="2233"/>
        <v>88.35</v>
      </c>
      <c r="AT1416" s="9">
        <f t="shared" ref="AT1416:AV1416" si="4423">AJ1416/$AF1416</f>
        <v>15.38023256</v>
      </c>
      <c r="AU1416" s="9">
        <f t="shared" si="4423"/>
        <v>7.223255814</v>
      </c>
      <c r="AV1416" s="9">
        <f t="shared" si="4423"/>
        <v>3.406976744</v>
      </c>
      <c r="AW1416" s="9">
        <f t="shared" si="2235"/>
        <v>10.63023256</v>
      </c>
      <c r="AX1416" s="9">
        <f t="shared" ref="AX1416:AY1416" si="4424">AM1416/$AF1416</f>
        <v>1.279069767</v>
      </c>
      <c r="AY1416" s="9">
        <f t="shared" si="4424"/>
        <v>0.5930232558</v>
      </c>
      <c r="AZ1416" s="9">
        <f>VLOOKUP(A1416,Jogos!A:BN,58,0)</f>
        <v>20.425</v>
      </c>
      <c r="BA1416" s="9">
        <f>VLOOKUP(A1416,Jogos!A:BN,59,0)</f>
        <v>14.16</v>
      </c>
      <c r="BB1416" s="9">
        <f>VLOOKUP(A1416,Jogos!A:BN,60,0)</f>
        <v>67</v>
      </c>
      <c r="BC1416" s="9">
        <f>VLOOKUP(A1416,Jogos!A:BN,61,0)</f>
        <v>17.71</v>
      </c>
      <c r="BD1416" s="9">
        <f>VLOOKUP(A1416,Jogos!A:BN,62,0)</f>
        <v>0</v>
      </c>
      <c r="BE1416" s="9">
        <f>VLOOKUP(A1416,Jogos!A:BN,63,0)</f>
        <v>3.065</v>
      </c>
      <c r="BF1416" s="9">
        <f>VLOOKUP(A1416,Jogos!A:BN,64,0)</f>
        <v>18.25</v>
      </c>
      <c r="BG1416" s="9">
        <f>VLOOKUP(A1416,Jogos!A:BN,65,0)</f>
        <v>30.565</v>
      </c>
      <c r="BH1416" s="9">
        <f>VLOOKUP(A1416,Jogos!A:BN,66,0)</f>
        <v>20.93</v>
      </c>
      <c r="BI1416" s="9"/>
      <c r="BJ1416" s="9"/>
    </row>
    <row r="1417" hidden="1">
      <c r="A1417" s="10">
        <v>48.0</v>
      </c>
      <c r="B1417" s="11" t="s">
        <v>872</v>
      </c>
      <c r="C1417" s="2" t="s">
        <v>61</v>
      </c>
      <c r="D1417" s="12">
        <v>45834.0</v>
      </c>
      <c r="E1417" s="13">
        <v>0.875</v>
      </c>
      <c r="F1417" s="5" t="str">
        <f>VLOOKUP(A1417,Jogos!A:N,10,0)</f>
        <v>Evening</v>
      </c>
      <c r="G1417" s="11" t="s">
        <v>500</v>
      </c>
      <c r="H1417" s="6" t="str">
        <f>VLOOKUP(A1417,Jogos!A:L,12,0)</f>
        <v>Open</v>
      </c>
      <c r="I1417" s="6" t="str">
        <f>VLOOKUP(G1417,'Estádios e Cidades'!A:B,2,0)</f>
        <v>Philadelphia</v>
      </c>
      <c r="J1417" s="11" t="s">
        <v>873</v>
      </c>
      <c r="K1417" s="2" t="str">
        <f>VLOOKUP(J1417,Equipes!A:F,6,0)</f>
        <v>Temperate</v>
      </c>
      <c r="L1417" s="2">
        <f>VLOOKUP(J1417,Equipes!A:C,3,0)</f>
        <v>3</v>
      </c>
      <c r="M1417" s="2" t="str">
        <f t="shared" si="4"/>
        <v>Semi-final</v>
      </c>
      <c r="N1417" s="11" t="s">
        <v>936</v>
      </c>
      <c r="O1417" s="2">
        <f>VLOOKUP(N1417,Equipes!A:C,3,0)</f>
        <v>20</v>
      </c>
      <c r="P1417" s="2" t="str">
        <f t="shared" si="5"/>
        <v>Group</v>
      </c>
      <c r="Q1417" s="2">
        <f t="shared" si="6"/>
        <v>-17</v>
      </c>
      <c r="R1417" s="2" t="str">
        <f>VLOOKUP(J1417,Equipes!A:B,2,0)</f>
        <v>Real</v>
      </c>
      <c r="S1417" s="6" t="s">
        <v>877</v>
      </c>
      <c r="T1417" s="7">
        <v>7.0</v>
      </c>
      <c r="U1417" s="7" t="s">
        <v>878</v>
      </c>
      <c r="V1417" s="7" t="str">
        <f>VLOOKUP(U1417,Jogadores!B:C,2,0)</f>
        <v>FW</v>
      </c>
      <c r="W1417" s="8">
        <f>VLOOKUP(U1417,Jogadores!B:D,3,0)</f>
        <v>25.06027397</v>
      </c>
      <c r="X1417" s="7">
        <v>0.0</v>
      </c>
      <c r="Y1417" s="7">
        <v>67.0</v>
      </c>
      <c r="Z1417" s="7">
        <f>VLOOKUP(A1417,Jogos!A:L,3,0)</f>
        <v>49</v>
      </c>
      <c r="AA1417" s="7">
        <f t="shared" si="2229"/>
        <v>49</v>
      </c>
      <c r="AB1417" s="7">
        <f>VLOOKUP(A1417,Jogos!A:L,4,0)</f>
        <v>48</v>
      </c>
      <c r="AC1417" s="7">
        <f t="shared" si="2230"/>
        <v>22</v>
      </c>
      <c r="AD1417" s="7"/>
      <c r="AE1417" s="7"/>
      <c r="AF1417" s="7">
        <f t="shared" si="2231"/>
        <v>71</v>
      </c>
      <c r="AG1417" s="7">
        <v>8153.2</v>
      </c>
      <c r="AH1417" s="7">
        <v>3395.7</v>
      </c>
      <c r="AI1417" s="7">
        <v>2644.9</v>
      </c>
      <c r="AJ1417" s="7">
        <v>1401.0</v>
      </c>
      <c r="AK1417" s="7">
        <v>458.7</v>
      </c>
      <c r="AL1417" s="7">
        <v>252.9</v>
      </c>
      <c r="AM1417" s="7">
        <v>124.0</v>
      </c>
      <c r="AN1417" s="7">
        <v>42.0</v>
      </c>
      <c r="AO1417" s="7">
        <v>34.3</v>
      </c>
      <c r="AP1417" s="9">
        <f t="shared" ref="AP1417:AR1417" si="4425">AG1417/$AF1417</f>
        <v>114.8338028</v>
      </c>
      <c r="AQ1417" s="9">
        <f t="shared" si="4425"/>
        <v>47.82676056</v>
      </c>
      <c r="AR1417" s="9">
        <f t="shared" si="4425"/>
        <v>37.25211268</v>
      </c>
      <c r="AS1417" s="9">
        <f t="shared" si="2233"/>
        <v>85.07887324</v>
      </c>
      <c r="AT1417" s="9">
        <f t="shared" ref="AT1417:AV1417" si="4426">AJ1417/$AF1417</f>
        <v>19.73239437</v>
      </c>
      <c r="AU1417" s="9">
        <f t="shared" si="4426"/>
        <v>6.46056338</v>
      </c>
      <c r="AV1417" s="9">
        <f t="shared" si="4426"/>
        <v>3.561971831</v>
      </c>
      <c r="AW1417" s="9">
        <f t="shared" si="2235"/>
        <v>10.02253521</v>
      </c>
      <c r="AX1417" s="9">
        <f t="shared" ref="AX1417:AY1417" si="4427">AM1417/$AF1417</f>
        <v>1.746478873</v>
      </c>
      <c r="AY1417" s="9">
        <f t="shared" si="4427"/>
        <v>0.5915492958</v>
      </c>
      <c r="AZ1417" s="9">
        <f>VLOOKUP(A1417,Jogos!A:BN,58,0)</f>
        <v>20.425</v>
      </c>
      <c r="BA1417" s="9">
        <f>VLOOKUP(A1417,Jogos!A:BN,59,0)</f>
        <v>14.16</v>
      </c>
      <c r="BB1417" s="9">
        <f>VLOOKUP(A1417,Jogos!A:BN,60,0)</f>
        <v>67</v>
      </c>
      <c r="BC1417" s="9">
        <f>VLOOKUP(A1417,Jogos!A:BN,61,0)</f>
        <v>17.71</v>
      </c>
      <c r="BD1417" s="9">
        <f>VLOOKUP(A1417,Jogos!A:BN,62,0)</f>
        <v>0</v>
      </c>
      <c r="BE1417" s="9">
        <f>VLOOKUP(A1417,Jogos!A:BN,63,0)</f>
        <v>3.065</v>
      </c>
      <c r="BF1417" s="9">
        <f>VLOOKUP(A1417,Jogos!A:BN,64,0)</f>
        <v>18.25</v>
      </c>
      <c r="BG1417" s="9">
        <f>VLOOKUP(A1417,Jogos!A:BN,65,0)</f>
        <v>30.565</v>
      </c>
      <c r="BH1417" s="9">
        <f>VLOOKUP(A1417,Jogos!A:BN,66,0)</f>
        <v>20.93</v>
      </c>
      <c r="BI1417" s="9"/>
      <c r="BJ1417" s="9"/>
    </row>
    <row r="1418" hidden="1">
      <c r="A1418" s="10">
        <v>48.0</v>
      </c>
      <c r="B1418" s="11" t="s">
        <v>872</v>
      </c>
      <c r="C1418" s="2" t="s">
        <v>61</v>
      </c>
      <c r="D1418" s="12">
        <v>45834.0</v>
      </c>
      <c r="E1418" s="13">
        <v>0.875</v>
      </c>
      <c r="F1418" s="5" t="str">
        <f>VLOOKUP(A1418,Jogos!A:N,10,0)</f>
        <v>Evening</v>
      </c>
      <c r="G1418" s="11" t="s">
        <v>500</v>
      </c>
      <c r="H1418" s="6" t="str">
        <f>VLOOKUP(A1418,Jogos!A:L,12,0)</f>
        <v>Open</v>
      </c>
      <c r="I1418" s="6" t="str">
        <f>VLOOKUP(G1418,'Estádios e Cidades'!A:B,2,0)</f>
        <v>Philadelphia</v>
      </c>
      <c r="J1418" s="11" t="s">
        <v>873</v>
      </c>
      <c r="K1418" s="2" t="str">
        <f>VLOOKUP(J1418,Equipes!A:F,6,0)</f>
        <v>Temperate</v>
      </c>
      <c r="L1418" s="2">
        <f>VLOOKUP(J1418,Equipes!A:C,3,0)</f>
        <v>3</v>
      </c>
      <c r="M1418" s="2" t="str">
        <f t="shared" si="4"/>
        <v>Semi-final</v>
      </c>
      <c r="N1418" s="11" t="s">
        <v>936</v>
      </c>
      <c r="O1418" s="2">
        <f>VLOOKUP(N1418,Equipes!A:C,3,0)</f>
        <v>20</v>
      </c>
      <c r="P1418" s="2" t="str">
        <f t="shared" si="5"/>
        <v>Group</v>
      </c>
      <c r="Q1418" s="2">
        <f t="shared" si="6"/>
        <v>-17</v>
      </c>
      <c r="R1418" s="2" t="str">
        <f>VLOOKUP(J1418,Equipes!A:B,2,0)</f>
        <v>Real</v>
      </c>
      <c r="S1418" s="6" t="s">
        <v>879</v>
      </c>
      <c r="T1418" s="7">
        <v>8.0</v>
      </c>
      <c r="U1418" s="7" t="s">
        <v>880</v>
      </c>
      <c r="V1418" s="7" t="str">
        <f>VLOOKUP(U1418,Jogadores!B:C,2,0)</f>
        <v>MF</v>
      </c>
      <c r="W1418" s="8">
        <f>VLOOKUP(U1418,Jogadores!B:D,3,0)</f>
        <v>27.03561644</v>
      </c>
      <c r="X1418" s="7">
        <v>0.0</v>
      </c>
      <c r="Y1418" s="7">
        <v>74.0</v>
      </c>
      <c r="Z1418" s="7">
        <f>VLOOKUP(A1418,Jogos!A:L,3,0)</f>
        <v>49</v>
      </c>
      <c r="AA1418" s="7">
        <f t="shared" si="2229"/>
        <v>49</v>
      </c>
      <c r="AB1418" s="7">
        <f>VLOOKUP(A1418,Jogos!A:L,4,0)</f>
        <v>48</v>
      </c>
      <c r="AC1418" s="7">
        <f t="shared" si="2230"/>
        <v>29</v>
      </c>
      <c r="AD1418" s="7"/>
      <c r="AE1418" s="7"/>
      <c r="AF1418" s="7">
        <f t="shared" si="2231"/>
        <v>78</v>
      </c>
      <c r="AG1418" s="7">
        <v>9552.2</v>
      </c>
      <c r="AH1418" s="7">
        <v>2806.3</v>
      </c>
      <c r="AI1418" s="7">
        <v>4202.8</v>
      </c>
      <c r="AJ1418" s="7">
        <v>1656.8</v>
      </c>
      <c r="AK1418" s="7">
        <v>624.5</v>
      </c>
      <c r="AL1418" s="7">
        <v>261.9</v>
      </c>
      <c r="AM1418" s="7">
        <v>136.0</v>
      </c>
      <c r="AN1418" s="7">
        <v>47.0</v>
      </c>
      <c r="AO1418" s="7">
        <v>33.9</v>
      </c>
      <c r="AP1418" s="9">
        <f t="shared" ref="AP1418:AR1418" si="4428">AG1418/$AF1418</f>
        <v>122.4641026</v>
      </c>
      <c r="AQ1418" s="9">
        <f t="shared" si="4428"/>
        <v>35.97820513</v>
      </c>
      <c r="AR1418" s="9">
        <f t="shared" si="4428"/>
        <v>53.88205128</v>
      </c>
      <c r="AS1418" s="9">
        <f t="shared" si="2233"/>
        <v>89.86025641</v>
      </c>
      <c r="AT1418" s="9">
        <f t="shared" ref="AT1418:AV1418" si="4429">AJ1418/$AF1418</f>
        <v>21.24102564</v>
      </c>
      <c r="AU1418" s="9">
        <f t="shared" si="4429"/>
        <v>8.006410256</v>
      </c>
      <c r="AV1418" s="9">
        <f t="shared" si="4429"/>
        <v>3.357692308</v>
      </c>
      <c r="AW1418" s="9">
        <f t="shared" si="2235"/>
        <v>11.36410256</v>
      </c>
      <c r="AX1418" s="9">
        <f t="shared" ref="AX1418:AY1418" si="4430">AM1418/$AF1418</f>
        <v>1.743589744</v>
      </c>
      <c r="AY1418" s="9">
        <f t="shared" si="4430"/>
        <v>0.6025641026</v>
      </c>
      <c r="AZ1418" s="9">
        <f>VLOOKUP(A1418,Jogos!A:BN,58,0)</f>
        <v>20.425</v>
      </c>
      <c r="BA1418" s="9">
        <f>VLOOKUP(A1418,Jogos!A:BN,59,0)</f>
        <v>14.16</v>
      </c>
      <c r="BB1418" s="9">
        <f>VLOOKUP(A1418,Jogos!A:BN,60,0)</f>
        <v>67</v>
      </c>
      <c r="BC1418" s="9">
        <f>VLOOKUP(A1418,Jogos!A:BN,61,0)</f>
        <v>17.71</v>
      </c>
      <c r="BD1418" s="9">
        <f>VLOOKUP(A1418,Jogos!A:BN,62,0)</f>
        <v>0</v>
      </c>
      <c r="BE1418" s="9">
        <f>VLOOKUP(A1418,Jogos!A:BN,63,0)</f>
        <v>3.065</v>
      </c>
      <c r="BF1418" s="9">
        <f>VLOOKUP(A1418,Jogos!A:BN,64,0)</f>
        <v>18.25</v>
      </c>
      <c r="BG1418" s="9">
        <f>VLOOKUP(A1418,Jogos!A:BN,65,0)</f>
        <v>30.565</v>
      </c>
      <c r="BH1418" s="9">
        <f>VLOOKUP(A1418,Jogos!A:BN,66,0)</f>
        <v>20.93</v>
      </c>
      <c r="BI1418" s="9"/>
      <c r="BJ1418" s="9"/>
    </row>
    <row r="1419" hidden="1">
      <c r="A1419" s="10">
        <v>48.0</v>
      </c>
      <c r="B1419" s="11" t="s">
        <v>872</v>
      </c>
      <c r="C1419" s="2" t="s">
        <v>61</v>
      </c>
      <c r="D1419" s="12">
        <v>45834.0</v>
      </c>
      <c r="E1419" s="13">
        <v>0.875</v>
      </c>
      <c r="F1419" s="5" t="str">
        <f>VLOOKUP(A1419,Jogos!A:N,10,0)</f>
        <v>Evening</v>
      </c>
      <c r="G1419" s="11" t="s">
        <v>500</v>
      </c>
      <c r="H1419" s="6" t="str">
        <f>VLOOKUP(A1419,Jogos!A:L,12,0)</f>
        <v>Open</v>
      </c>
      <c r="I1419" s="6" t="str">
        <f>VLOOKUP(G1419,'Estádios e Cidades'!A:B,2,0)</f>
        <v>Philadelphia</v>
      </c>
      <c r="J1419" s="11" t="s">
        <v>873</v>
      </c>
      <c r="K1419" s="2" t="str">
        <f>VLOOKUP(J1419,Equipes!A:F,6,0)</f>
        <v>Temperate</v>
      </c>
      <c r="L1419" s="2">
        <f>VLOOKUP(J1419,Equipes!A:C,3,0)</f>
        <v>3</v>
      </c>
      <c r="M1419" s="2" t="str">
        <f t="shared" si="4"/>
        <v>Semi-final</v>
      </c>
      <c r="N1419" s="11" t="s">
        <v>936</v>
      </c>
      <c r="O1419" s="2">
        <f>VLOOKUP(N1419,Equipes!A:C,3,0)</f>
        <v>20</v>
      </c>
      <c r="P1419" s="2" t="str">
        <f t="shared" si="5"/>
        <v>Group</v>
      </c>
      <c r="Q1419" s="2">
        <f t="shared" si="6"/>
        <v>-17</v>
      </c>
      <c r="R1419" s="2" t="str">
        <f>VLOOKUP(J1419,Equipes!A:B,2,0)</f>
        <v>Real</v>
      </c>
      <c r="S1419" s="6" t="s">
        <v>883</v>
      </c>
      <c r="T1419" s="7">
        <v>12.0</v>
      </c>
      <c r="U1419" s="7" t="s">
        <v>884</v>
      </c>
      <c r="V1419" s="7" t="str">
        <f>VLOOKUP(U1419,Jogadores!B:C,2,0)</f>
        <v>DF</v>
      </c>
      <c r="W1419" s="8">
        <f>VLOOKUP(U1419,Jogadores!B:D,3,0)</f>
        <v>26.82465753</v>
      </c>
      <c r="X1419" s="7">
        <v>0.0</v>
      </c>
      <c r="Y1419" s="7">
        <f t="shared" ref="Y1419:Y1420" si="4434">45+AB1419</f>
        <v>93</v>
      </c>
      <c r="Z1419" s="7">
        <f>VLOOKUP(A1419,Jogos!A:L,3,0)</f>
        <v>49</v>
      </c>
      <c r="AA1419" s="7">
        <f t="shared" si="2229"/>
        <v>49</v>
      </c>
      <c r="AB1419" s="7">
        <f>VLOOKUP(A1419,Jogos!A:L,4,0)</f>
        <v>48</v>
      </c>
      <c r="AC1419" s="7">
        <f t="shared" si="2230"/>
        <v>48</v>
      </c>
      <c r="AD1419" s="7"/>
      <c r="AE1419" s="7"/>
      <c r="AF1419" s="7">
        <f t="shared" si="2231"/>
        <v>97</v>
      </c>
      <c r="AG1419" s="7">
        <v>10596.8</v>
      </c>
      <c r="AH1419" s="7">
        <v>4033.1</v>
      </c>
      <c r="AI1419" s="7">
        <v>4465.5</v>
      </c>
      <c r="AJ1419" s="7">
        <v>1386.3</v>
      </c>
      <c r="AK1419" s="7">
        <v>536.2</v>
      </c>
      <c r="AL1419" s="7">
        <v>175.6</v>
      </c>
      <c r="AM1419" s="7">
        <v>122.0</v>
      </c>
      <c r="AN1419" s="7">
        <v>41.0</v>
      </c>
      <c r="AO1419" s="7">
        <v>33.4</v>
      </c>
      <c r="AP1419" s="9">
        <f t="shared" ref="AP1419:AR1419" si="4431">AG1419/$AF1419</f>
        <v>109.2453608</v>
      </c>
      <c r="AQ1419" s="9">
        <f t="shared" si="4431"/>
        <v>41.57835052</v>
      </c>
      <c r="AR1419" s="9">
        <f t="shared" si="4431"/>
        <v>46.03608247</v>
      </c>
      <c r="AS1419" s="9">
        <f t="shared" si="2233"/>
        <v>87.61443299</v>
      </c>
      <c r="AT1419" s="9">
        <f t="shared" ref="AT1419:AV1419" si="4432">AJ1419/$AF1419</f>
        <v>14.29175258</v>
      </c>
      <c r="AU1419" s="9">
        <f t="shared" si="4432"/>
        <v>5.527835052</v>
      </c>
      <c r="AV1419" s="9">
        <f t="shared" si="4432"/>
        <v>1.810309278</v>
      </c>
      <c r="AW1419" s="9">
        <f t="shared" si="2235"/>
        <v>7.33814433</v>
      </c>
      <c r="AX1419" s="9">
        <f t="shared" ref="AX1419:AY1419" si="4433">AM1419/$AF1419</f>
        <v>1.257731959</v>
      </c>
      <c r="AY1419" s="9">
        <f t="shared" si="4433"/>
        <v>0.4226804124</v>
      </c>
      <c r="AZ1419" s="9">
        <f>VLOOKUP(A1419,Jogos!A:BN,58,0)</f>
        <v>20.425</v>
      </c>
      <c r="BA1419" s="9">
        <f>VLOOKUP(A1419,Jogos!A:BN,59,0)</f>
        <v>14.16</v>
      </c>
      <c r="BB1419" s="9">
        <f>VLOOKUP(A1419,Jogos!A:BN,60,0)</f>
        <v>67</v>
      </c>
      <c r="BC1419" s="9">
        <f>VLOOKUP(A1419,Jogos!A:BN,61,0)</f>
        <v>17.71</v>
      </c>
      <c r="BD1419" s="9">
        <f>VLOOKUP(A1419,Jogos!A:BN,62,0)</f>
        <v>0</v>
      </c>
      <c r="BE1419" s="9">
        <f>VLOOKUP(A1419,Jogos!A:BN,63,0)</f>
        <v>3.065</v>
      </c>
      <c r="BF1419" s="9">
        <f>VLOOKUP(A1419,Jogos!A:BN,64,0)</f>
        <v>18.25</v>
      </c>
      <c r="BG1419" s="9">
        <f>VLOOKUP(A1419,Jogos!A:BN,65,0)</f>
        <v>30.565</v>
      </c>
      <c r="BH1419" s="9">
        <f>VLOOKUP(A1419,Jogos!A:BN,66,0)</f>
        <v>20.93</v>
      </c>
      <c r="BI1419" s="9"/>
      <c r="BJ1419" s="9"/>
    </row>
    <row r="1420" hidden="1">
      <c r="A1420" s="10">
        <v>48.0</v>
      </c>
      <c r="B1420" s="11" t="s">
        <v>872</v>
      </c>
      <c r="C1420" s="2" t="s">
        <v>61</v>
      </c>
      <c r="D1420" s="12">
        <v>45834.0</v>
      </c>
      <c r="E1420" s="13">
        <v>0.875</v>
      </c>
      <c r="F1420" s="5" t="str">
        <f>VLOOKUP(A1420,Jogos!A:N,10,0)</f>
        <v>Evening</v>
      </c>
      <c r="G1420" s="11" t="s">
        <v>500</v>
      </c>
      <c r="H1420" s="6" t="str">
        <f>VLOOKUP(A1420,Jogos!A:L,12,0)</f>
        <v>Open</v>
      </c>
      <c r="I1420" s="6" t="str">
        <f>VLOOKUP(G1420,'Estádios e Cidades'!A:B,2,0)</f>
        <v>Philadelphia</v>
      </c>
      <c r="J1420" s="11" t="s">
        <v>873</v>
      </c>
      <c r="K1420" s="2" t="str">
        <f>VLOOKUP(J1420,Equipes!A:F,6,0)</f>
        <v>Temperate</v>
      </c>
      <c r="L1420" s="2">
        <f>VLOOKUP(J1420,Equipes!A:C,3,0)</f>
        <v>3</v>
      </c>
      <c r="M1420" s="2" t="str">
        <f t="shared" si="4"/>
        <v>Semi-final</v>
      </c>
      <c r="N1420" s="11" t="s">
        <v>936</v>
      </c>
      <c r="O1420" s="2">
        <f>VLOOKUP(N1420,Equipes!A:C,3,0)</f>
        <v>20</v>
      </c>
      <c r="P1420" s="2" t="str">
        <f t="shared" si="5"/>
        <v>Group</v>
      </c>
      <c r="Q1420" s="2">
        <f t="shared" si="6"/>
        <v>-17</v>
      </c>
      <c r="R1420" s="2" t="str">
        <f>VLOOKUP(J1420,Equipes!A:B,2,0)</f>
        <v>Real</v>
      </c>
      <c r="S1420" s="6" t="s">
        <v>885</v>
      </c>
      <c r="T1420" s="7">
        <v>14.0</v>
      </c>
      <c r="U1420" s="7" t="s">
        <v>886</v>
      </c>
      <c r="V1420" s="7" t="str">
        <f>VLOOKUP(U1420,Jogadores!B:C,2,0)</f>
        <v>MF</v>
      </c>
      <c r="W1420" s="8">
        <f>VLOOKUP(U1420,Jogadores!B:D,3,0)</f>
        <v>25.51780822</v>
      </c>
      <c r="X1420" s="7">
        <v>0.0</v>
      </c>
      <c r="Y1420" s="7">
        <f t="shared" si="4434"/>
        <v>93</v>
      </c>
      <c r="Z1420" s="7">
        <f>VLOOKUP(A1420,Jogos!A:L,3,0)</f>
        <v>49</v>
      </c>
      <c r="AA1420" s="7">
        <f t="shared" si="2229"/>
        <v>49</v>
      </c>
      <c r="AB1420" s="7">
        <f>VLOOKUP(A1420,Jogos!A:L,4,0)</f>
        <v>48</v>
      </c>
      <c r="AC1420" s="7">
        <f t="shared" si="2230"/>
        <v>48</v>
      </c>
      <c r="AD1420" s="7"/>
      <c r="AE1420" s="7"/>
      <c r="AF1420" s="7">
        <f t="shared" si="2231"/>
        <v>97</v>
      </c>
      <c r="AG1420" s="7">
        <v>10578.5</v>
      </c>
      <c r="AH1420" s="7">
        <v>4031.3</v>
      </c>
      <c r="AI1420" s="7">
        <v>4723.4</v>
      </c>
      <c r="AJ1420" s="7">
        <v>1429.5</v>
      </c>
      <c r="AK1420" s="7">
        <v>267.0</v>
      </c>
      <c r="AL1420" s="7">
        <v>127.4</v>
      </c>
      <c r="AM1420" s="7">
        <v>127.0</v>
      </c>
      <c r="AN1420" s="7">
        <v>22.0</v>
      </c>
      <c r="AO1420" s="7">
        <v>29.0</v>
      </c>
      <c r="AP1420" s="9">
        <f t="shared" ref="AP1420:AR1420" si="4435">AG1420/$AF1420</f>
        <v>109.056701</v>
      </c>
      <c r="AQ1420" s="9">
        <f t="shared" si="4435"/>
        <v>41.55979381</v>
      </c>
      <c r="AR1420" s="9">
        <f t="shared" si="4435"/>
        <v>48.69484536</v>
      </c>
      <c r="AS1420" s="9">
        <f t="shared" si="2233"/>
        <v>90.25463918</v>
      </c>
      <c r="AT1420" s="9">
        <f t="shared" ref="AT1420:AV1420" si="4436">AJ1420/$AF1420</f>
        <v>14.7371134</v>
      </c>
      <c r="AU1420" s="9">
        <f t="shared" si="4436"/>
        <v>2.75257732</v>
      </c>
      <c r="AV1420" s="9">
        <f t="shared" si="4436"/>
        <v>1.313402062</v>
      </c>
      <c r="AW1420" s="9">
        <f t="shared" si="2235"/>
        <v>4.065979381</v>
      </c>
      <c r="AX1420" s="9">
        <f t="shared" ref="AX1420:AY1420" si="4437">AM1420/$AF1420</f>
        <v>1.309278351</v>
      </c>
      <c r="AY1420" s="9">
        <f t="shared" si="4437"/>
        <v>0.2268041237</v>
      </c>
      <c r="AZ1420" s="9">
        <f>VLOOKUP(A1420,Jogos!A:BN,58,0)</f>
        <v>20.425</v>
      </c>
      <c r="BA1420" s="9">
        <f>VLOOKUP(A1420,Jogos!A:BN,59,0)</f>
        <v>14.16</v>
      </c>
      <c r="BB1420" s="9">
        <f>VLOOKUP(A1420,Jogos!A:BN,60,0)</f>
        <v>67</v>
      </c>
      <c r="BC1420" s="9">
        <f>VLOOKUP(A1420,Jogos!A:BN,61,0)</f>
        <v>17.71</v>
      </c>
      <c r="BD1420" s="9">
        <f>VLOOKUP(A1420,Jogos!A:BN,62,0)</f>
        <v>0</v>
      </c>
      <c r="BE1420" s="9">
        <f>VLOOKUP(A1420,Jogos!A:BN,63,0)</f>
        <v>3.065</v>
      </c>
      <c r="BF1420" s="9">
        <f>VLOOKUP(A1420,Jogos!A:BN,64,0)</f>
        <v>18.25</v>
      </c>
      <c r="BG1420" s="9">
        <f>VLOOKUP(A1420,Jogos!A:BN,65,0)</f>
        <v>30.565</v>
      </c>
      <c r="BH1420" s="9">
        <f>VLOOKUP(A1420,Jogos!A:BN,66,0)</f>
        <v>20.93</v>
      </c>
      <c r="BI1420" s="9"/>
      <c r="BJ1420" s="9"/>
    </row>
    <row r="1421" hidden="1">
      <c r="A1421" s="10">
        <v>48.0</v>
      </c>
      <c r="B1421" s="11" t="s">
        <v>872</v>
      </c>
      <c r="C1421" s="2" t="s">
        <v>61</v>
      </c>
      <c r="D1421" s="12">
        <v>45834.0</v>
      </c>
      <c r="E1421" s="13">
        <v>0.875</v>
      </c>
      <c r="F1421" s="5" t="str">
        <f>VLOOKUP(A1421,Jogos!A:N,10,0)</f>
        <v>Evening</v>
      </c>
      <c r="G1421" s="11" t="s">
        <v>500</v>
      </c>
      <c r="H1421" s="6" t="str">
        <f>VLOOKUP(A1421,Jogos!A:L,12,0)</f>
        <v>Open</v>
      </c>
      <c r="I1421" s="6" t="str">
        <f>VLOOKUP(G1421,'Estádios e Cidades'!A:B,2,0)</f>
        <v>Philadelphia</v>
      </c>
      <c r="J1421" s="11" t="s">
        <v>873</v>
      </c>
      <c r="K1421" s="2" t="str">
        <f>VLOOKUP(J1421,Equipes!A:F,6,0)</f>
        <v>Temperate</v>
      </c>
      <c r="L1421" s="2">
        <f>VLOOKUP(J1421,Equipes!A:C,3,0)</f>
        <v>3</v>
      </c>
      <c r="M1421" s="2" t="str">
        <f t="shared" si="4"/>
        <v>Semi-final</v>
      </c>
      <c r="N1421" s="11" t="s">
        <v>936</v>
      </c>
      <c r="O1421" s="2">
        <f>VLOOKUP(N1421,Equipes!A:C,3,0)</f>
        <v>20</v>
      </c>
      <c r="P1421" s="2" t="str">
        <f t="shared" si="5"/>
        <v>Group</v>
      </c>
      <c r="Q1421" s="2">
        <f t="shared" si="6"/>
        <v>-17</v>
      </c>
      <c r="R1421" s="2" t="str">
        <f>VLOOKUP(J1421,Equipes!A:B,2,0)</f>
        <v>Real</v>
      </c>
      <c r="S1421" s="6" t="s">
        <v>897</v>
      </c>
      <c r="T1421" s="7">
        <v>15.0</v>
      </c>
      <c r="U1421" s="7" t="s">
        <v>898</v>
      </c>
      <c r="V1421" s="7" t="str">
        <f>VLOOKUP(U1421,Jogadores!B:C,2,0)</f>
        <v>MF</v>
      </c>
      <c r="W1421" s="8">
        <f>VLOOKUP(U1421,Jogadores!B:D,3,0)</f>
        <v>20.43287671</v>
      </c>
      <c r="X1421" s="7">
        <v>0.0</v>
      </c>
      <c r="Y1421" s="7">
        <v>67.0</v>
      </c>
      <c r="Z1421" s="7">
        <f>VLOOKUP(A1421,Jogos!A:L,3,0)</f>
        <v>49</v>
      </c>
      <c r="AA1421" s="7">
        <f t="shared" si="2229"/>
        <v>49</v>
      </c>
      <c r="AB1421" s="7">
        <f>VLOOKUP(A1421,Jogos!A:L,4,0)</f>
        <v>48</v>
      </c>
      <c r="AC1421" s="7">
        <f t="shared" si="2230"/>
        <v>22</v>
      </c>
      <c r="AD1421" s="7"/>
      <c r="AE1421" s="7"/>
      <c r="AF1421" s="7">
        <f t="shared" si="2231"/>
        <v>71</v>
      </c>
      <c r="AG1421" s="7">
        <v>9124.3</v>
      </c>
      <c r="AH1421" s="7">
        <v>2418.2</v>
      </c>
      <c r="AI1421" s="7">
        <v>4636.2</v>
      </c>
      <c r="AJ1421" s="7">
        <v>1620.7</v>
      </c>
      <c r="AK1421" s="7">
        <v>359.8</v>
      </c>
      <c r="AL1421" s="7">
        <v>89.4</v>
      </c>
      <c r="AM1421" s="7">
        <v>140.0</v>
      </c>
      <c r="AN1421" s="7">
        <v>27.0</v>
      </c>
      <c r="AO1421" s="7">
        <v>30.3</v>
      </c>
      <c r="AP1421" s="9">
        <f t="shared" ref="AP1421:AR1421" si="4438">AG1421/$AF1421</f>
        <v>128.5112676</v>
      </c>
      <c r="AQ1421" s="9">
        <f t="shared" si="4438"/>
        <v>34.05915493</v>
      </c>
      <c r="AR1421" s="9">
        <f t="shared" si="4438"/>
        <v>65.29859155</v>
      </c>
      <c r="AS1421" s="9">
        <f t="shared" si="2233"/>
        <v>99.35774648</v>
      </c>
      <c r="AT1421" s="9">
        <f t="shared" ref="AT1421:AV1421" si="4439">AJ1421/$AF1421</f>
        <v>22.82676056</v>
      </c>
      <c r="AU1421" s="9">
        <f t="shared" si="4439"/>
        <v>5.067605634</v>
      </c>
      <c r="AV1421" s="9">
        <f t="shared" si="4439"/>
        <v>1.25915493</v>
      </c>
      <c r="AW1421" s="9">
        <f t="shared" si="2235"/>
        <v>6.326760563</v>
      </c>
      <c r="AX1421" s="9">
        <f t="shared" ref="AX1421:AY1421" si="4440">AM1421/$AF1421</f>
        <v>1.971830986</v>
      </c>
      <c r="AY1421" s="9">
        <f t="shared" si="4440"/>
        <v>0.3802816901</v>
      </c>
      <c r="AZ1421" s="9">
        <f>VLOOKUP(A1421,Jogos!A:BN,58,0)</f>
        <v>20.425</v>
      </c>
      <c r="BA1421" s="9">
        <f>VLOOKUP(A1421,Jogos!A:BN,59,0)</f>
        <v>14.16</v>
      </c>
      <c r="BB1421" s="9">
        <f>VLOOKUP(A1421,Jogos!A:BN,60,0)</f>
        <v>67</v>
      </c>
      <c r="BC1421" s="9">
        <f>VLOOKUP(A1421,Jogos!A:BN,61,0)</f>
        <v>17.71</v>
      </c>
      <c r="BD1421" s="9">
        <f>VLOOKUP(A1421,Jogos!A:BN,62,0)</f>
        <v>0</v>
      </c>
      <c r="BE1421" s="9">
        <f>VLOOKUP(A1421,Jogos!A:BN,63,0)</f>
        <v>3.065</v>
      </c>
      <c r="BF1421" s="9">
        <f>VLOOKUP(A1421,Jogos!A:BN,64,0)</f>
        <v>18.25</v>
      </c>
      <c r="BG1421" s="9">
        <f>VLOOKUP(A1421,Jogos!A:BN,65,0)</f>
        <v>30.565</v>
      </c>
      <c r="BH1421" s="9">
        <f>VLOOKUP(A1421,Jogos!A:BN,66,0)</f>
        <v>20.93</v>
      </c>
      <c r="BI1421" s="9"/>
      <c r="BJ1421" s="9"/>
    </row>
    <row r="1422" hidden="1">
      <c r="A1422" s="10">
        <v>48.0</v>
      </c>
      <c r="B1422" s="11" t="s">
        <v>872</v>
      </c>
      <c r="C1422" s="2" t="s">
        <v>61</v>
      </c>
      <c r="D1422" s="12">
        <v>45834.0</v>
      </c>
      <c r="E1422" s="13">
        <v>0.875</v>
      </c>
      <c r="F1422" s="5" t="str">
        <f>VLOOKUP(A1422,Jogos!A:N,10,0)</f>
        <v>Evening</v>
      </c>
      <c r="G1422" s="11" t="s">
        <v>500</v>
      </c>
      <c r="H1422" s="6" t="str">
        <f>VLOOKUP(A1422,Jogos!A:L,12,0)</f>
        <v>Open</v>
      </c>
      <c r="I1422" s="6" t="str">
        <f>VLOOKUP(G1422,'Estádios e Cidades'!A:B,2,0)</f>
        <v>Philadelphia</v>
      </c>
      <c r="J1422" s="11" t="s">
        <v>873</v>
      </c>
      <c r="K1422" s="2" t="str">
        <f>VLOOKUP(J1422,Equipes!A:F,6,0)</f>
        <v>Temperate</v>
      </c>
      <c r="L1422" s="2">
        <f>VLOOKUP(J1422,Equipes!A:C,3,0)</f>
        <v>3</v>
      </c>
      <c r="M1422" s="2" t="str">
        <f t="shared" si="4"/>
        <v>Semi-final</v>
      </c>
      <c r="N1422" s="11" t="s">
        <v>936</v>
      </c>
      <c r="O1422" s="2">
        <f>VLOOKUP(N1422,Equipes!A:C,3,0)</f>
        <v>20</v>
      </c>
      <c r="P1422" s="2" t="str">
        <f t="shared" si="5"/>
        <v>Group</v>
      </c>
      <c r="Q1422" s="2">
        <f t="shared" si="6"/>
        <v>-17</v>
      </c>
      <c r="R1422" s="2" t="str">
        <f>VLOOKUP(J1422,Equipes!A:B,2,0)</f>
        <v>Real</v>
      </c>
      <c r="S1422" s="6" t="s">
        <v>887</v>
      </c>
      <c r="T1422" s="7">
        <v>20.0</v>
      </c>
      <c r="U1422" s="7" t="s">
        <v>888</v>
      </c>
      <c r="V1422" s="7" t="str">
        <f>VLOOKUP(U1422,Jogadores!B:C,2,0)</f>
        <v>DF</v>
      </c>
      <c r="W1422" s="8">
        <f>VLOOKUP(U1422,Jogadores!B:D,3,0)</f>
        <v>25.97260274</v>
      </c>
      <c r="X1422" s="7">
        <v>0.0</v>
      </c>
      <c r="Y1422" s="7">
        <f>45+AB1422</f>
        <v>93</v>
      </c>
      <c r="Z1422" s="7">
        <f>VLOOKUP(A1422,Jogos!A:L,3,0)</f>
        <v>49</v>
      </c>
      <c r="AA1422" s="7">
        <f t="shared" si="2229"/>
        <v>49</v>
      </c>
      <c r="AB1422" s="7">
        <f>VLOOKUP(A1422,Jogos!A:L,4,0)</f>
        <v>48</v>
      </c>
      <c r="AC1422" s="7">
        <f t="shared" si="2230"/>
        <v>48</v>
      </c>
      <c r="AD1422" s="7"/>
      <c r="AE1422" s="7"/>
      <c r="AF1422" s="7">
        <f t="shared" si="2231"/>
        <v>97</v>
      </c>
      <c r="AG1422" s="7">
        <v>11826.5</v>
      </c>
      <c r="AH1422" s="7">
        <v>3799.7</v>
      </c>
      <c r="AI1422" s="7">
        <v>4727.6</v>
      </c>
      <c r="AJ1422" s="7">
        <v>1719.7</v>
      </c>
      <c r="AK1422" s="7">
        <v>961.0</v>
      </c>
      <c r="AL1422" s="7">
        <v>618.5</v>
      </c>
      <c r="AM1422" s="7">
        <v>144.0</v>
      </c>
      <c r="AN1422" s="7">
        <v>78.0</v>
      </c>
      <c r="AO1422" s="7">
        <v>33.3</v>
      </c>
      <c r="AP1422" s="9">
        <f t="shared" ref="AP1422:AR1422" si="4441">AG1422/$AF1422</f>
        <v>121.9226804</v>
      </c>
      <c r="AQ1422" s="9">
        <f t="shared" si="4441"/>
        <v>39.17216495</v>
      </c>
      <c r="AR1422" s="9">
        <f t="shared" si="4441"/>
        <v>48.73814433</v>
      </c>
      <c r="AS1422" s="9">
        <f t="shared" si="2233"/>
        <v>87.91030928</v>
      </c>
      <c r="AT1422" s="9">
        <f t="shared" ref="AT1422:AV1422" si="4442">AJ1422/$AF1422</f>
        <v>17.72886598</v>
      </c>
      <c r="AU1422" s="9">
        <f t="shared" si="4442"/>
        <v>9.907216495</v>
      </c>
      <c r="AV1422" s="9">
        <f t="shared" si="4442"/>
        <v>6.37628866</v>
      </c>
      <c r="AW1422" s="9">
        <f t="shared" si="2235"/>
        <v>16.28350515</v>
      </c>
      <c r="AX1422" s="9">
        <f t="shared" ref="AX1422:AY1422" si="4443">AM1422/$AF1422</f>
        <v>1.484536082</v>
      </c>
      <c r="AY1422" s="9">
        <f t="shared" si="4443"/>
        <v>0.8041237113</v>
      </c>
      <c r="AZ1422" s="9">
        <f>VLOOKUP(A1422,Jogos!A:BN,58,0)</f>
        <v>20.425</v>
      </c>
      <c r="BA1422" s="9">
        <f>VLOOKUP(A1422,Jogos!A:BN,59,0)</f>
        <v>14.16</v>
      </c>
      <c r="BB1422" s="9">
        <f>VLOOKUP(A1422,Jogos!A:BN,60,0)</f>
        <v>67</v>
      </c>
      <c r="BC1422" s="9">
        <f>VLOOKUP(A1422,Jogos!A:BN,61,0)</f>
        <v>17.71</v>
      </c>
      <c r="BD1422" s="9">
        <f>VLOOKUP(A1422,Jogos!A:BN,62,0)</f>
        <v>0</v>
      </c>
      <c r="BE1422" s="9">
        <f>VLOOKUP(A1422,Jogos!A:BN,63,0)</f>
        <v>3.065</v>
      </c>
      <c r="BF1422" s="9">
        <f>VLOOKUP(A1422,Jogos!A:BN,64,0)</f>
        <v>18.25</v>
      </c>
      <c r="BG1422" s="9">
        <f>VLOOKUP(A1422,Jogos!A:BN,65,0)</f>
        <v>30.565</v>
      </c>
      <c r="BH1422" s="9">
        <f>VLOOKUP(A1422,Jogos!A:BN,66,0)</f>
        <v>20.93</v>
      </c>
      <c r="BI1422" s="9"/>
      <c r="BJ1422" s="9"/>
    </row>
    <row r="1423" hidden="1">
      <c r="A1423" s="10">
        <v>48.0</v>
      </c>
      <c r="B1423" s="11" t="s">
        <v>872</v>
      </c>
      <c r="C1423" s="2" t="s">
        <v>61</v>
      </c>
      <c r="D1423" s="12">
        <v>45834.0</v>
      </c>
      <c r="E1423" s="13">
        <v>0.875</v>
      </c>
      <c r="F1423" s="5" t="str">
        <f>VLOOKUP(A1423,Jogos!A:N,10,0)</f>
        <v>Evening</v>
      </c>
      <c r="G1423" s="11" t="s">
        <v>500</v>
      </c>
      <c r="H1423" s="6" t="str">
        <f>VLOOKUP(A1423,Jogos!A:L,12,0)</f>
        <v>Open</v>
      </c>
      <c r="I1423" s="6" t="str">
        <f>VLOOKUP(G1423,'Estádios e Cidades'!A:B,2,0)</f>
        <v>Philadelphia</v>
      </c>
      <c r="J1423" s="11" t="s">
        <v>873</v>
      </c>
      <c r="K1423" s="2" t="str">
        <f>VLOOKUP(J1423,Equipes!A:F,6,0)</f>
        <v>Temperate</v>
      </c>
      <c r="L1423" s="2">
        <f>VLOOKUP(J1423,Equipes!A:C,3,0)</f>
        <v>3</v>
      </c>
      <c r="M1423" s="2" t="str">
        <f t="shared" si="4"/>
        <v>Semi-final</v>
      </c>
      <c r="N1423" s="11" t="s">
        <v>936</v>
      </c>
      <c r="O1423" s="2">
        <f>VLOOKUP(N1423,Equipes!A:C,3,0)</f>
        <v>20</v>
      </c>
      <c r="P1423" s="2" t="str">
        <f t="shared" si="5"/>
        <v>Group</v>
      </c>
      <c r="Q1423" s="2">
        <f t="shared" si="6"/>
        <v>-17</v>
      </c>
      <c r="R1423" s="2" t="str">
        <f>VLOOKUP(J1423,Equipes!A:B,2,0)</f>
        <v>Real</v>
      </c>
      <c r="S1423" s="6" t="s">
        <v>1203</v>
      </c>
      <c r="T1423" s="7">
        <v>22.0</v>
      </c>
      <c r="U1423" s="7" t="s">
        <v>1204</v>
      </c>
      <c r="V1423" s="7" t="str">
        <f>VLOOKUP(U1423,Jogadores!B:C,2,0)</f>
        <v>DF</v>
      </c>
      <c r="W1423" s="8">
        <f>VLOOKUP(U1423,Jogadores!B:D,3,0)</f>
        <v>32.42465753</v>
      </c>
      <c r="X1423" s="7">
        <v>0.0</v>
      </c>
      <c r="Y1423" s="7">
        <v>67.0</v>
      </c>
      <c r="Z1423" s="7">
        <f>VLOOKUP(A1423,Jogos!A:L,3,0)</f>
        <v>49</v>
      </c>
      <c r="AA1423" s="7">
        <f t="shared" si="2229"/>
        <v>49</v>
      </c>
      <c r="AB1423" s="7">
        <f>VLOOKUP(A1423,Jogos!A:L,4,0)</f>
        <v>48</v>
      </c>
      <c r="AC1423" s="7">
        <f t="shared" si="2230"/>
        <v>22</v>
      </c>
      <c r="AD1423" s="7"/>
      <c r="AE1423" s="7"/>
      <c r="AF1423" s="7">
        <f t="shared" si="2231"/>
        <v>71</v>
      </c>
      <c r="AG1423" s="7">
        <v>7514.4</v>
      </c>
      <c r="AH1423" s="7">
        <v>3031.3</v>
      </c>
      <c r="AI1423" s="7">
        <v>3000.7</v>
      </c>
      <c r="AJ1423" s="7">
        <v>878.0</v>
      </c>
      <c r="AK1423" s="7">
        <v>445.8</v>
      </c>
      <c r="AL1423" s="7">
        <v>158.6</v>
      </c>
      <c r="AM1423" s="7">
        <v>76.0</v>
      </c>
      <c r="AN1423" s="7">
        <v>33.0</v>
      </c>
      <c r="AO1423" s="7">
        <v>31.7</v>
      </c>
      <c r="AP1423" s="9">
        <f t="shared" ref="AP1423:AR1423" si="4444">AG1423/$AF1423</f>
        <v>105.8366197</v>
      </c>
      <c r="AQ1423" s="9">
        <f t="shared" si="4444"/>
        <v>42.6943662</v>
      </c>
      <c r="AR1423" s="9">
        <f t="shared" si="4444"/>
        <v>42.26338028</v>
      </c>
      <c r="AS1423" s="9">
        <f t="shared" si="2233"/>
        <v>84.95774648</v>
      </c>
      <c r="AT1423" s="9">
        <f t="shared" ref="AT1423:AV1423" si="4445">AJ1423/$AF1423</f>
        <v>12.36619718</v>
      </c>
      <c r="AU1423" s="9">
        <f t="shared" si="4445"/>
        <v>6.278873239</v>
      </c>
      <c r="AV1423" s="9">
        <f t="shared" si="4445"/>
        <v>2.233802817</v>
      </c>
      <c r="AW1423" s="9">
        <f t="shared" si="2235"/>
        <v>8.512676056</v>
      </c>
      <c r="AX1423" s="9">
        <f t="shared" ref="AX1423:AY1423" si="4446">AM1423/$AF1423</f>
        <v>1.070422535</v>
      </c>
      <c r="AY1423" s="9">
        <f t="shared" si="4446"/>
        <v>0.4647887324</v>
      </c>
      <c r="AZ1423" s="9">
        <f>VLOOKUP(A1423,Jogos!A:BN,58,0)</f>
        <v>20.425</v>
      </c>
      <c r="BA1423" s="9">
        <f>VLOOKUP(A1423,Jogos!A:BN,59,0)</f>
        <v>14.16</v>
      </c>
      <c r="BB1423" s="9">
        <f>VLOOKUP(A1423,Jogos!A:BN,60,0)</f>
        <v>67</v>
      </c>
      <c r="BC1423" s="9">
        <f>VLOOKUP(A1423,Jogos!A:BN,61,0)</f>
        <v>17.71</v>
      </c>
      <c r="BD1423" s="9">
        <f>VLOOKUP(A1423,Jogos!A:BN,62,0)</f>
        <v>0</v>
      </c>
      <c r="BE1423" s="9">
        <f>VLOOKUP(A1423,Jogos!A:BN,63,0)</f>
        <v>3.065</v>
      </c>
      <c r="BF1423" s="9">
        <f>VLOOKUP(A1423,Jogos!A:BN,64,0)</f>
        <v>18.25</v>
      </c>
      <c r="BG1423" s="9">
        <f>VLOOKUP(A1423,Jogos!A:BN,65,0)</f>
        <v>30.565</v>
      </c>
      <c r="BH1423" s="9">
        <f>VLOOKUP(A1423,Jogos!A:BN,66,0)</f>
        <v>20.93</v>
      </c>
      <c r="BI1423" s="9"/>
      <c r="BJ1423" s="9"/>
    </row>
    <row r="1424" hidden="1">
      <c r="A1424" s="10">
        <v>48.0</v>
      </c>
      <c r="B1424" s="11" t="s">
        <v>872</v>
      </c>
      <c r="C1424" s="2" t="s">
        <v>61</v>
      </c>
      <c r="D1424" s="12">
        <v>45834.0</v>
      </c>
      <c r="E1424" s="13">
        <v>0.875</v>
      </c>
      <c r="F1424" s="5" t="str">
        <f>VLOOKUP(A1424,Jogos!A:N,10,0)</f>
        <v>Evening</v>
      </c>
      <c r="G1424" s="11" t="s">
        <v>500</v>
      </c>
      <c r="H1424" s="6" t="str">
        <f>VLOOKUP(A1424,Jogos!A:L,12,0)</f>
        <v>Open</v>
      </c>
      <c r="I1424" s="6" t="str">
        <f>VLOOKUP(G1424,'Estádios e Cidades'!A:B,2,0)</f>
        <v>Philadelphia</v>
      </c>
      <c r="J1424" s="11" t="s">
        <v>873</v>
      </c>
      <c r="K1424" s="2" t="str">
        <f>VLOOKUP(J1424,Equipes!A:F,6,0)</f>
        <v>Temperate</v>
      </c>
      <c r="L1424" s="2">
        <f>VLOOKUP(J1424,Equipes!A:C,3,0)</f>
        <v>3</v>
      </c>
      <c r="M1424" s="2" t="str">
        <f t="shared" si="4"/>
        <v>Semi-final</v>
      </c>
      <c r="N1424" s="11" t="s">
        <v>936</v>
      </c>
      <c r="O1424" s="2">
        <f>VLOOKUP(N1424,Equipes!A:C,3,0)</f>
        <v>20</v>
      </c>
      <c r="P1424" s="2" t="str">
        <f t="shared" si="5"/>
        <v>Group</v>
      </c>
      <c r="Q1424" s="2">
        <f t="shared" si="6"/>
        <v>-17</v>
      </c>
      <c r="R1424" s="2" t="str">
        <f>VLOOKUP(J1424,Equipes!A:B,2,0)</f>
        <v>Real</v>
      </c>
      <c r="S1424" s="6" t="s">
        <v>889</v>
      </c>
      <c r="T1424" s="7">
        <v>24.0</v>
      </c>
      <c r="U1424" s="7" t="s">
        <v>890</v>
      </c>
      <c r="V1424" s="7" t="str">
        <f>VLOOKUP(U1424,Jogadores!B:C,2,0)</f>
        <v>DF</v>
      </c>
      <c r="W1424" s="8">
        <f>VLOOKUP(U1424,Jogadores!B:D,3,0)</f>
        <v>20.30136986</v>
      </c>
      <c r="X1424" s="7">
        <v>0.0</v>
      </c>
      <c r="Y1424" s="7">
        <f t="shared" ref="Y1424:Y1430" si="4450">45+AB1424</f>
        <v>93</v>
      </c>
      <c r="Z1424" s="7">
        <f>VLOOKUP(A1424,Jogos!A:L,3,0)</f>
        <v>49</v>
      </c>
      <c r="AA1424" s="7">
        <f t="shared" si="2229"/>
        <v>49</v>
      </c>
      <c r="AB1424" s="7">
        <f>VLOOKUP(A1424,Jogos!A:L,4,0)</f>
        <v>48</v>
      </c>
      <c r="AC1424" s="7">
        <f t="shared" si="2230"/>
        <v>48</v>
      </c>
      <c r="AD1424" s="7"/>
      <c r="AE1424" s="7"/>
      <c r="AF1424" s="7">
        <f t="shared" si="2231"/>
        <v>97</v>
      </c>
      <c r="AG1424" s="7">
        <v>11064.5</v>
      </c>
      <c r="AH1424" s="7">
        <v>3747.6</v>
      </c>
      <c r="AI1424" s="7">
        <v>4985.9</v>
      </c>
      <c r="AJ1424" s="7">
        <v>1603.2</v>
      </c>
      <c r="AK1424" s="7">
        <v>559.8</v>
      </c>
      <c r="AL1424" s="7">
        <v>168.0</v>
      </c>
      <c r="AM1424" s="7">
        <v>129.0</v>
      </c>
      <c r="AN1424" s="7">
        <v>52.0</v>
      </c>
      <c r="AO1424" s="7">
        <v>31.7</v>
      </c>
      <c r="AP1424" s="9">
        <f t="shared" ref="AP1424:AR1424" si="4447">AG1424/$AF1424</f>
        <v>114.0670103</v>
      </c>
      <c r="AQ1424" s="9">
        <f t="shared" si="4447"/>
        <v>38.63505155</v>
      </c>
      <c r="AR1424" s="9">
        <f t="shared" si="4447"/>
        <v>51.40103093</v>
      </c>
      <c r="AS1424" s="9">
        <f t="shared" si="2233"/>
        <v>90.03608247</v>
      </c>
      <c r="AT1424" s="9">
        <f t="shared" ref="AT1424:AV1424" si="4448">AJ1424/$AF1424</f>
        <v>16.52783505</v>
      </c>
      <c r="AU1424" s="9">
        <f t="shared" si="4448"/>
        <v>5.771134021</v>
      </c>
      <c r="AV1424" s="9">
        <f t="shared" si="4448"/>
        <v>1.731958763</v>
      </c>
      <c r="AW1424" s="9">
        <f t="shared" si="2235"/>
        <v>7.503092784</v>
      </c>
      <c r="AX1424" s="9">
        <f t="shared" ref="AX1424:AY1424" si="4449">AM1424/$AF1424</f>
        <v>1.329896907</v>
      </c>
      <c r="AY1424" s="9">
        <f t="shared" si="4449"/>
        <v>0.5360824742</v>
      </c>
      <c r="AZ1424" s="9">
        <f>VLOOKUP(A1424,Jogos!A:BN,58,0)</f>
        <v>20.425</v>
      </c>
      <c r="BA1424" s="9">
        <f>VLOOKUP(A1424,Jogos!A:BN,59,0)</f>
        <v>14.16</v>
      </c>
      <c r="BB1424" s="9">
        <f>VLOOKUP(A1424,Jogos!A:BN,60,0)</f>
        <v>67</v>
      </c>
      <c r="BC1424" s="9">
        <f>VLOOKUP(A1424,Jogos!A:BN,61,0)</f>
        <v>17.71</v>
      </c>
      <c r="BD1424" s="9">
        <f>VLOOKUP(A1424,Jogos!A:BN,62,0)</f>
        <v>0</v>
      </c>
      <c r="BE1424" s="9">
        <f>VLOOKUP(A1424,Jogos!A:BN,63,0)</f>
        <v>3.065</v>
      </c>
      <c r="BF1424" s="9">
        <f>VLOOKUP(A1424,Jogos!A:BN,64,0)</f>
        <v>18.25</v>
      </c>
      <c r="BG1424" s="9">
        <f>VLOOKUP(A1424,Jogos!A:BN,65,0)</f>
        <v>30.565</v>
      </c>
      <c r="BH1424" s="9">
        <f>VLOOKUP(A1424,Jogos!A:BN,66,0)</f>
        <v>20.93</v>
      </c>
      <c r="BI1424" s="9"/>
      <c r="BJ1424" s="9"/>
    </row>
    <row r="1425" hidden="1">
      <c r="A1425" s="10">
        <v>48.0</v>
      </c>
      <c r="B1425" s="11" t="s">
        <v>872</v>
      </c>
      <c r="C1425" s="2" t="s">
        <v>61</v>
      </c>
      <c r="D1425" s="12">
        <v>45834.0</v>
      </c>
      <c r="E1425" s="13">
        <v>0.875</v>
      </c>
      <c r="F1425" s="5" t="str">
        <f>VLOOKUP(A1425,Jogos!A:N,10,0)</f>
        <v>Evening</v>
      </c>
      <c r="G1425" s="11" t="s">
        <v>500</v>
      </c>
      <c r="H1425" s="6" t="str">
        <f>VLOOKUP(A1425,Jogos!A:L,12,0)</f>
        <v>Open</v>
      </c>
      <c r="I1425" s="6" t="str">
        <f>VLOOKUP(G1425,'Estádios e Cidades'!A:B,2,0)</f>
        <v>Philadelphia</v>
      </c>
      <c r="J1425" s="11" t="s">
        <v>873</v>
      </c>
      <c r="K1425" s="2" t="str">
        <f>VLOOKUP(J1425,Equipes!A:F,6,0)</f>
        <v>Temperate</v>
      </c>
      <c r="L1425" s="2">
        <f>VLOOKUP(J1425,Equipes!A:C,3,0)</f>
        <v>3</v>
      </c>
      <c r="M1425" s="2" t="str">
        <f t="shared" si="4"/>
        <v>Semi-final</v>
      </c>
      <c r="N1425" s="11" t="s">
        <v>936</v>
      </c>
      <c r="O1425" s="2">
        <f>VLOOKUP(N1425,Equipes!A:C,3,0)</f>
        <v>20</v>
      </c>
      <c r="P1425" s="2" t="str">
        <f t="shared" si="5"/>
        <v>Group</v>
      </c>
      <c r="Q1425" s="2">
        <f t="shared" si="6"/>
        <v>-17</v>
      </c>
      <c r="R1425" s="2" t="str">
        <f>VLOOKUP(J1425,Equipes!A:B,2,0)</f>
        <v>Real</v>
      </c>
      <c r="S1425" s="6" t="s">
        <v>891</v>
      </c>
      <c r="T1425" s="7">
        <v>30.0</v>
      </c>
      <c r="U1425" s="7" t="s">
        <v>892</v>
      </c>
      <c r="V1425" s="7" t="str">
        <f>VLOOKUP(U1425,Jogadores!B:C,2,0)</f>
        <v>FW</v>
      </c>
      <c r="W1425" s="8">
        <f>VLOOKUP(U1425,Jogadores!B:D,3,0)</f>
        <v>21.35890411</v>
      </c>
      <c r="X1425" s="7">
        <v>0.0</v>
      </c>
      <c r="Y1425" s="7">
        <f t="shared" si="4450"/>
        <v>93</v>
      </c>
      <c r="Z1425" s="7">
        <f>VLOOKUP(A1425,Jogos!A:L,3,0)</f>
        <v>49</v>
      </c>
      <c r="AA1425" s="7">
        <f t="shared" si="2229"/>
        <v>49</v>
      </c>
      <c r="AB1425" s="7">
        <f>VLOOKUP(A1425,Jogos!A:L,4,0)</f>
        <v>48</v>
      </c>
      <c r="AC1425" s="7">
        <f t="shared" si="2230"/>
        <v>48</v>
      </c>
      <c r="AD1425" s="7"/>
      <c r="AE1425" s="7"/>
      <c r="AF1425" s="7">
        <f t="shared" si="2231"/>
        <v>97</v>
      </c>
      <c r="AG1425" s="7">
        <v>11128.5</v>
      </c>
      <c r="AH1425" s="7">
        <v>4453.7</v>
      </c>
      <c r="AI1425" s="7">
        <v>3966.4</v>
      </c>
      <c r="AJ1425" s="7">
        <v>1388.3</v>
      </c>
      <c r="AK1425" s="7">
        <v>822.5</v>
      </c>
      <c r="AL1425" s="7">
        <v>497.7</v>
      </c>
      <c r="AM1425" s="7">
        <v>116.0</v>
      </c>
      <c r="AN1425" s="7">
        <v>78.0</v>
      </c>
      <c r="AO1425" s="7">
        <v>34.6</v>
      </c>
      <c r="AP1425" s="9">
        <f t="shared" ref="AP1425:AR1425" si="4451">AG1425/$AF1425</f>
        <v>114.7268041</v>
      </c>
      <c r="AQ1425" s="9">
        <f t="shared" si="4451"/>
        <v>45.91443299</v>
      </c>
      <c r="AR1425" s="9">
        <f t="shared" si="4451"/>
        <v>40.89072165</v>
      </c>
      <c r="AS1425" s="9">
        <f t="shared" si="2233"/>
        <v>86.80515464</v>
      </c>
      <c r="AT1425" s="9">
        <f t="shared" ref="AT1425:AV1425" si="4452">AJ1425/$AF1425</f>
        <v>14.31237113</v>
      </c>
      <c r="AU1425" s="9">
        <f t="shared" si="4452"/>
        <v>8.479381443</v>
      </c>
      <c r="AV1425" s="9">
        <f t="shared" si="4452"/>
        <v>5.130927835</v>
      </c>
      <c r="AW1425" s="9">
        <f t="shared" si="2235"/>
        <v>13.61030928</v>
      </c>
      <c r="AX1425" s="9">
        <f t="shared" ref="AX1425:AY1425" si="4453">AM1425/$AF1425</f>
        <v>1.195876289</v>
      </c>
      <c r="AY1425" s="9">
        <f t="shared" si="4453"/>
        <v>0.8041237113</v>
      </c>
      <c r="AZ1425" s="9">
        <f>VLOOKUP(A1425,Jogos!A:BN,58,0)</f>
        <v>20.425</v>
      </c>
      <c r="BA1425" s="9">
        <f>VLOOKUP(A1425,Jogos!A:BN,59,0)</f>
        <v>14.16</v>
      </c>
      <c r="BB1425" s="9">
        <f>VLOOKUP(A1425,Jogos!A:BN,60,0)</f>
        <v>67</v>
      </c>
      <c r="BC1425" s="9">
        <f>VLOOKUP(A1425,Jogos!A:BN,61,0)</f>
        <v>17.71</v>
      </c>
      <c r="BD1425" s="9">
        <f>VLOOKUP(A1425,Jogos!A:BN,62,0)</f>
        <v>0</v>
      </c>
      <c r="BE1425" s="9">
        <f>VLOOKUP(A1425,Jogos!A:BN,63,0)</f>
        <v>3.065</v>
      </c>
      <c r="BF1425" s="9">
        <f>VLOOKUP(A1425,Jogos!A:BN,64,0)</f>
        <v>18.25</v>
      </c>
      <c r="BG1425" s="9">
        <f>VLOOKUP(A1425,Jogos!A:BN,65,0)</f>
        <v>30.565</v>
      </c>
      <c r="BH1425" s="9">
        <f>VLOOKUP(A1425,Jogos!A:BN,66,0)</f>
        <v>20.93</v>
      </c>
      <c r="BI1425" s="9"/>
      <c r="BJ1425" s="9"/>
    </row>
    <row r="1426" hidden="1">
      <c r="A1426" s="10">
        <v>48.0</v>
      </c>
      <c r="B1426" s="11" t="s">
        <v>872</v>
      </c>
      <c r="C1426" s="2" t="s">
        <v>61</v>
      </c>
      <c r="D1426" s="12">
        <v>45834.0</v>
      </c>
      <c r="E1426" s="13">
        <v>0.875</v>
      </c>
      <c r="F1426" s="5" t="str">
        <f>VLOOKUP(A1426,Jogos!A:N,10,0)</f>
        <v>Evening</v>
      </c>
      <c r="G1426" s="11" t="s">
        <v>500</v>
      </c>
      <c r="H1426" s="6" t="str">
        <f>VLOOKUP(A1426,Jogos!A:L,12,0)</f>
        <v>Open</v>
      </c>
      <c r="I1426" s="6" t="str">
        <f>VLOOKUP(G1426,'Estádios e Cidades'!A:B,2,0)</f>
        <v>Philadelphia</v>
      </c>
      <c r="J1426" s="11" t="s">
        <v>873</v>
      </c>
      <c r="K1426" s="2" t="str">
        <f>VLOOKUP(J1426,Equipes!A:F,6,0)</f>
        <v>Temperate</v>
      </c>
      <c r="L1426" s="2">
        <f>VLOOKUP(J1426,Equipes!A:C,3,0)</f>
        <v>3</v>
      </c>
      <c r="M1426" s="2" t="str">
        <f t="shared" si="4"/>
        <v>Semi-final</v>
      </c>
      <c r="N1426" s="11" t="s">
        <v>936</v>
      </c>
      <c r="O1426" s="2">
        <f>VLOOKUP(N1426,Equipes!A:C,3,0)</f>
        <v>20</v>
      </c>
      <c r="P1426" s="2" t="str">
        <f t="shared" si="5"/>
        <v>Group</v>
      </c>
      <c r="Q1426" s="2">
        <f t="shared" si="6"/>
        <v>-17</v>
      </c>
      <c r="R1426" s="2" t="str">
        <f>VLOOKUP(J1426,Equipes!A:B,2,0)</f>
        <v>Real</v>
      </c>
      <c r="S1426" s="6" t="s">
        <v>895</v>
      </c>
      <c r="T1426" s="7">
        <v>10.0</v>
      </c>
      <c r="U1426" s="7" t="s">
        <v>896</v>
      </c>
      <c r="V1426" s="7" t="str">
        <f>VLOOKUP(U1426,Jogadores!B:C,2,0)</f>
        <v>MF</v>
      </c>
      <c r="W1426" s="8">
        <f>VLOOKUP(U1426,Jogadores!B:D,3,0)</f>
        <v>39.90958904</v>
      </c>
      <c r="X1426" s="7">
        <v>67.0</v>
      </c>
      <c r="Y1426" s="7">
        <f t="shared" si="4450"/>
        <v>93</v>
      </c>
      <c r="Z1426" s="7">
        <f>VLOOKUP(A1426,Jogos!A:L,3,0)</f>
        <v>49</v>
      </c>
      <c r="AA1426" s="7">
        <f t="shared" si="2229"/>
        <v>0</v>
      </c>
      <c r="AB1426" s="7">
        <f>VLOOKUP(A1426,Jogos!A:L,4,0)</f>
        <v>48</v>
      </c>
      <c r="AC1426" s="7">
        <f t="shared" si="2230"/>
        <v>26</v>
      </c>
      <c r="AD1426" s="7"/>
      <c r="AE1426" s="7"/>
      <c r="AF1426" s="7">
        <f t="shared" si="2231"/>
        <v>26</v>
      </c>
      <c r="AG1426" s="7">
        <v>3081.6</v>
      </c>
      <c r="AH1426" s="7">
        <v>988.8</v>
      </c>
      <c r="AI1426" s="7">
        <v>1352.6</v>
      </c>
      <c r="AJ1426" s="7">
        <v>566.8</v>
      </c>
      <c r="AK1426" s="7">
        <v>155.9</v>
      </c>
      <c r="AL1426" s="7">
        <v>17.6</v>
      </c>
      <c r="AM1426" s="7">
        <v>49.0</v>
      </c>
      <c r="AN1426" s="7">
        <v>13.0</v>
      </c>
      <c r="AO1426" s="7">
        <v>26.6</v>
      </c>
      <c r="AP1426" s="9">
        <f t="shared" ref="AP1426:AR1426" si="4454">AG1426/$AF1426</f>
        <v>118.5230769</v>
      </c>
      <c r="AQ1426" s="9">
        <f t="shared" si="4454"/>
        <v>38.03076923</v>
      </c>
      <c r="AR1426" s="9">
        <f t="shared" si="4454"/>
        <v>52.02307692</v>
      </c>
      <c r="AS1426" s="9">
        <f t="shared" si="2233"/>
        <v>90.05384615</v>
      </c>
      <c r="AT1426" s="9">
        <f t="shared" ref="AT1426:AV1426" si="4455">AJ1426/$AF1426</f>
        <v>21.8</v>
      </c>
      <c r="AU1426" s="9">
        <f t="shared" si="4455"/>
        <v>5.996153846</v>
      </c>
      <c r="AV1426" s="9">
        <f t="shared" si="4455"/>
        <v>0.6769230769</v>
      </c>
      <c r="AW1426" s="9">
        <f t="shared" si="2235"/>
        <v>6.673076923</v>
      </c>
      <c r="AX1426" s="9">
        <f t="shared" ref="AX1426:AY1426" si="4456">AM1426/$AF1426</f>
        <v>1.884615385</v>
      </c>
      <c r="AY1426" s="9">
        <f t="shared" si="4456"/>
        <v>0.5</v>
      </c>
      <c r="AZ1426" s="9">
        <f>VLOOKUP(A1426,Jogos!A:BN,58,0)</f>
        <v>20.425</v>
      </c>
      <c r="BA1426" s="9">
        <f>VLOOKUP(A1426,Jogos!A:BN,59,0)</f>
        <v>14.16</v>
      </c>
      <c r="BB1426" s="9">
        <f>VLOOKUP(A1426,Jogos!A:BN,60,0)</f>
        <v>67</v>
      </c>
      <c r="BC1426" s="9">
        <f>VLOOKUP(A1426,Jogos!A:BN,61,0)</f>
        <v>17.71</v>
      </c>
      <c r="BD1426" s="9">
        <f>VLOOKUP(A1426,Jogos!A:BN,62,0)</f>
        <v>0</v>
      </c>
      <c r="BE1426" s="9">
        <f>VLOOKUP(A1426,Jogos!A:BN,63,0)</f>
        <v>3.065</v>
      </c>
      <c r="BF1426" s="9">
        <f>VLOOKUP(A1426,Jogos!A:BN,64,0)</f>
        <v>18.25</v>
      </c>
      <c r="BG1426" s="9">
        <f>VLOOKUP(A1426,Jogos!A:BN,65,0)</f>
        <v>30.565</v>
      </c>
      <c r="BH1426" s="9">
        <f>VLOOKUP(A1426,Jogos!A:BN,66,0)</f>
        <v>20.93</v>
      </c>
      <c r="BI1426" s="9"/>
      <c r="BJ1426" s="9"/>
    </row>
    <row r="1427" hidden="1">
      <c r="A1427" s="10">
        <v>48.0</v>
      </c>
      <c r="B1427" s="11" t="s">
        <v>872</v>
      </c>
      <c r="C1427" s="2" t="s">
        <v>61</v>
      </c>
      <c r="D1427" s="12">
        <v>45834.0</v>
      </c>
      <c r="E1427" s="13">
        <v>0.875</v>
      </c>
      <c r="F1427" s="5" t="str">
        <f>VLOOKUP(A1427,Jogos!A:N,10,0)</f>
        <v>Evening</v>
      </c>
      <c r="G1427" s="11" t="s">
        <v>500</v>
      </c>
      <c r="H1427" s="6" t="str">
        <f>VLOOKUP(A1427,Jogos!A:L,12,0)</f>
        <v>Open</v>
      </c>
      <c r="I1427" s="6" t="str">
        <f>VLOOKUP(G1427,'Estádios e Cidades'!A:B,2,0)</f>
        <v>Philadelphia</v>
      </c>
      <c r="J1427" s="11" t="s">
        <v>873</v>
      </c>
      <c r="K1427" s="2" t="str">
        <f>VLOOKUP(J1427,Equipes!A:F,6,0)</f>
        <v>Temperate</v>
      </c>
      <c r="L1427" s="2">
        <f>VLOOKUP(J1427,Equipes!A:C,3,0)</f>
        <v>3</v>
      </c>
      <c r="M1427" s="2" t="str">
        <f t="shared" si="4"/>
        <v>Semi-final</v>
      </c>
      <c r="N1427" s="11" t="s">
        <v>936</v>
      </c>
      <c r="O1427" s="2">
        <f>VLOOKUP(N1427,Equipes!A:C,3,0)</f>
        <v>20</v>
      </c>
      <c r="P1427" s="2" t="str">
        <f t="shared" si="5"/>
        <v>Group</v>
      </c>
      <c r="Q1427" s="2">
        <f t="shared" si="6"/>
        <v>-17</v>
      </c>
      <c r="R1427" s="2" t="str">
        <f>VLOOKUP(J1427,Equipes!A:B,2,0)</f>
        <v>Real</v>
      </c>
      <c r="S1427" s="6" t="s">
        <v>881</v>
      </c>
      <c r="T1427" s="7">
        <v>11.0</v>
      </c>
      <c r="U1427" s="7" t="s">
        <v>882</v>
      </c>
      <c r="V1427" s="7" t="str">
        <f>VLOOKUP(U1427,Jogadores!B:C,2,0)</f>
        <v>FW</v>
      </c>
      <c r="W1427" s="8">
        <f>VLOOKUP(U1427,Jogadores!B:D,3,0)</f>
        <v>24.56438356</v>
      </c>
      <c r="X1427" s="7">
        <v>67.0</v>
      </c>
      <c r="Y1427" s="7">
        <f t="shared" si="4450"/>
        <v>93</v>
      </c>
      <c r="Z1427" s="7">
        <f>VLOOKUP(A1427,Jogos!A:L,3,0)</f>
        <v>49</v>
      </c>
      <c r="AA1427" s="7">
        <f t="shared" si="2229"/>
        <v>0</v>
      </c>
      <c r="AB1427" s="7">
        <f>VLOOKUP(A1427,Jogos!A:L,4,0)</f>
        <v>48</v>
      </c>
      <c r="AC1427" s="7">
        <f t="shared" si="2230"/>
        <v>26</v>
      </c>
      <c r="AD1427" s="7"/>
      <c r="AE1427" s="7"/>
      <c r="AF1427" s="7">
        <f t="shared" si="2231"/>
        <v>26</v>
      </c>
      <c r="AG1427" s="7">
        <v>3206.4</v>
      </c>
      <c r="AH1427" s="7">
        <v>1035.6</v>
      </c>
      <c r="AI1427" s="7">
        <v>1235.9</v>
      </c>
      <c r="AJ1427" s="7">
        <v>508.9</v>
      </c>
      <c r="AK1427" s="7">
        <v>316.0</v>
      </c>
      <c r="AL1427" s="7">
        <v>110.0</v>
      </c>
      <c r="AM1427" s="7">
        <v>45.0</v>
      </c>
      <c r="AN1427" s="7">
        <v>20.0</v>
      </c>
      <c r="AO1427" s="7">
        <v>31.7</v>
      </c>
      <c r="AP1427" s="9">
        <f t="shared" ref="AP1427:AR1427" si="4457">AG1427/$AF1427</f>
        <v>123.3230769</v>
      </c>
      <c r="AQ1427" s="9">
        <f t="shared" si="4457"/>
        <v>39.83076923</v>
      </c>
      <c r="AR1427" s="9">
        <f t="shared" si="4457"/>
        <v>47.53461538</v>
      </c>
      <c r="AS1427" s="9">
        <f t="shared" si="2233"/>
        <v>87.36538462</v>
      </c>
      <c r="AT1427" s="9">
        <f t="shared" ref="AT1427:AV1427" si="4458">AJ1427/$AF1427</f>
        <v>19.57307692</v>
      </c>
      <c r="AU1427" s="9">
        <f t="shared" si="4458"/>
        <v>12.15384615</v>
      </c>
      <c r="AV1427" s="9">
        <f t="shared" si="4458"/>
        <v>4.230769231</v>
      </c>
      <c r="AW1427" s="9">
        <f t="shared" si="2235"/>
        <v>16.38461538</v>
      </c>
      <c r="AX1427" s="9">
        <f t="shared" ref="AX1427:AY1427" si="4459">AM1427/$AF1427</f>
        <v>1.730769231</v>
      </c>
      <c r="AY1427" s="9">
        <f t="shared" si="4459"/>
        <v>0.7692307692</v>
      </c>
      <c r="AZ1427" s="9">
        <f>VLOOKUP(A1427,Jogos!A:BN,58,0)</f>
        <v>20.425</v>
      </c>
      <c r="BA1427" s="9">
        <f>VLOOKUP(A1427,Jogos!A:BN,59,0)</f>
        <v>14.16</v>
      </c>
      <c r="BB1427" s="9">
        <f>VLOOKUP(A1427,Jogos!A:BN,60,0)</f>
        <v>67</v>
      </c>
      <c r="BC1427" s="9">
        <f>VLOOKUP(A1427,Jogos!A:BN,61,0)</f>
        <v>17.71</v>
      </c>
      <c r="BD1427" s="9">
        <f>VLOOKUP(A1427,Jogos!A:BN,62,0)</f>
        <v>0</v>
      </c>
      <c r="BE1427" s="9">
        <f>VLOOKUP(A1427,Jogos!A:BN,63,0)</f>
        <v>3.065</v>
      </c>
      <c r="BF1427" s="9">
        <f>VLOOKUP(A1427,Jogos!A:BN,64,0)</f>
        <v>18.25</v>
      </c>
      <c r="BG1427" s="9">
        <f>VLOOKUP(A1427,Jogos!A:BN,65,0)</f>
        <v>30.565</v>
      </c>
      <c r="BH1427" s="9">
        <f>VLOOKUP(A1427,Jogos!A:BN,66,0)</f>
        <v>20.93</v>
      </c>
      <c r="BI1427" s="9"/>
      <c r="BJ1427" s="9"/>
    </row>
    <row r="1428" hidden="1">
      <c r="A1428" s="10">
        <v>48.0</v>
      </c>
      <c r="B1428" s="11" t="s">
        <v>872</v>
      </c>
      <c r="C1428" s="2" t="s">
        <v>61</v>
      </c>
      <c r="D1428" s="12">
        <v>45834.0</v>
      </c>
      <c r="E1428" s="13">
        <v>0.875</v>
      </c>
      <c r="F1428" s="5" t="str">
        <f>VLOOKUP(A1428,Jogos!A:N,10,0)</f>
        <v>Evening</v>
      </c>
      <c r="G1428" s="11" t="s">
        <v>500</v>
      </c>
      <c r="H1428" s="6" t="str">
        <f>VLOOKUP(A1428,Jogos!A:L,12,0)</f>
        <v>Open</v>
      </c>
      <c r="I1428" s="6" t="str">
        <f>VLOOKUP(G1428,'Estádios e Cidades'!A:B,2,0)</f>
        <v>Philadelphia</v>
      </c>
      <c r="J1428" s="11" t="s">
        <v>873</v>
      </c>
      <c r="K1428" s="2" t="str">
        <f>VLOOKUP(J1428,Equipes!A:F,6,0)</f>
        <v>Temperate</v>
      </c>
      <c r="L1428" s="2">
        <f>VLOOKUP(J1428,Equipes!A:C,3,0)</f>
        <v>3</v>
      </c>
      <c r="M1428" s="2" t="str">
        <f t="shared" si="4"/>
        <v>Semi-final</v>
      </c>
      <c r="N1428" s="11" t="s">
        <v>936</v>
      </c>
      <c r="O1428" s="2">
        <f>VLOOKUP(N1428,Equipes!A:C,3,0)</f>
        <v>20</v>
      </c>
      <c r="P1428" s="2" t="str">
        <f t="shared" si="5"/>
        <v>Group</v>
      </c>
      <c r="Q1428" s="2">
        <f t="shared" si="6"/>
        <v>-17</v>
      </c>
      <c r="R1428" s="2" t="str">
        <f>VLOOKUP(J1428,Equipes!A:B,2,0)</f>
        <v>Real</v>
      </c>
      <c r="S1428" s="6" t="s">
        <v>1201</v>
      </c>
      <c r="T1428" s="7">
        <v>19.0</v>
      </c>
      <c r="U1428" s="7" t="s">
        <v>1202</v>
      </c>
      <c r="V1428" s="7" t="str">
        <f>VLOOKUP(U1428,Jogadores!B:C,2,0)</f>
        <v>MF</v>
      </c>
      <c r="W1428" s="8">
        <f>VLOOKUP(U1428,Jogadores!B:D,3,0)</f>
        <v>28.99178082</v>
      </c>
      <c r="X1428" s="7">
        <v>74.0</v>
      </c>
      <c r="Y1428" s="7">
        <f t="shared" si="4450"/>
        <v>93</v>
      </c>
      <c r="Z1428" s="7">
        <f>VLOOKUP(A1428,Jogos!A:L,3,0)</f>
        <v>49</v>
      </c>
      <c r="AA1428" s="7">
        <f t="shared" si="2229"/>
        <v>0</v>
      </c>
      <c r="AB1428" s="7">
        <f>VLOOKUP(A1428,Jogos!A:L,4,0)</f>
        <v>48</v>
      </c>
      <c r="AC1428" s="7">
        <f t="shared" si="2230"/>
        <v>19</v>
      </c>
      <c r="AD1428" s="7"/>
      <c r="AE1428" s="7"/>
      <c r="AF1428" s="7">
        <f t="shared" si="2231"/>
        <v>19</v>
      </c>
      <c r="AG1428" s="7">
        <v>2529.8</v>
      </c>
      <c r="AH1428" s="7">
        <v>683.9</v>
      </c>
      <c r="AI1428" s="7">
        <v>1250.2</v>
      </c>
      <c r="AJ1428" s="7">
        <v>405.5</v>
      </c>
      <c r="AK1428" s="7">
        <v>139.9</v>
      </c>
      <c r="AL1428" s="7">
        <v>50.2</v>
      </c>
      <c r="AM1428" s="7">
        <v>35.0</v>
      </c>
      <c r="AN1428" s="7">
        <v>10.0</v>
      </c>
      <c r="AO1428" s="7">
        <v>27.5</v>
      </c>
      <c r="AP1428" s="9">
        <f t="shared" ref="AP1428:AR1428" si="4460">AG1428/$AF1428</f>
        <v>133.1473684</v>
      </c>
      <c r="AQ1428" s="9">
        <f t="shared" si="4460"/>
        <v>35.99473684</v>
      </c>
      <c r="AR1428" s="9">
        <f t="shared" si="4460"/>
        <v>65.8</v>
      </c>
      <c r="AS1428" s="9">
        <f t="shared" si="2233"/>
        <v>101.7947368</v>
      </c>
      <c r="AT1428" s="9">
        <f t="shared" ref="AT1428:AV1428" si="4461">AJ1428/$AF1428</f>
        <v>21.34210526</v>
      </c>
      <c r="AU1428" s="9">
        <f t="shared" si="4461"/>
        <v>7.363157895</v>
      </c>
      <c r="AV1428" s="9">
        <f t="shared" si="4461"/>
        <v>2.642105263</v>
      </c>
      <c r="AW1428" s="9">
        <f t="shared" si="2235"/>
        <v>10.00526316</v>
      </c>
      <c r="AX1428" s="9">
        <f t="shared" ref="AX1428:AY1428" si="4462">AM1428/$AF1428</f>
        <v>1.842105263</v>
      </c>
      <c r="AY1428" s="9">
        <f t="shared" si="4462"/>
        <v>0.5263157895</v>
      </c>
      <c r="AZ1428" s="9">
        <f>VLOOKUP(A1428,Jogos!A:BN,58,0)</f>
        <v>20.425</v>
      </c>
      <c r="BA1428" s="9">
        <f>VLOOKUP(A1428,Jogos!A:BN,59,0)</f>
        <v>14.16</v>
      </c>
      <c r="BB1428" s="9">
        <f>VLOOKUP(A1428,Jogos!A:BN,60,0)</f>
        <v>67</v>
      </c>
      <c r="BC1428" s="9">
        <f>VLOOKUP(A1428,Jogos!A:BN,61,0)</f>
        <v>17.71</v>
      </c>
      <c r="BD1428" s="9">
        <f>VLOOKUP(A1428,Jogos!A:BN,62,0)</f>
        <v>0</v>
      </c>
      <c r="BE1428" s="9">
        <f>VLOOKUP(A1428,Jogos!A:BN,63,0)</f>
        <v>3.065</v>
      </c>
      <c r="BF1428" s="9">
        <f>VLOOKUP(A1428,Jogos!A:BN,64,0)</f>
        <v>18.25</v>
      </c>
      <c r="BG1428" s="9">
        <f>VLOOKUP(A1428,Jogos!A:BN,65,0)</f>
        <v>30.565</v>
      </c>
      <c r="BH1428" s="9">
        <f>VLOOKUP(A1428,Jogos!A:BN,66,0)</f>
        <v>20.93</v>
      </c>
      <c r="BI1428" s="9"/>
      <c r="BJ1428" s="9"/>
    </row>
    <row r="1429" hidden="1">
      <c r="A1429" s="10">
        <v>48.0</v>
      </c>
      <c r="B1429" s="11" t="s">
        <v>872</v>
      </c>
      <c r="C1429" s="2" t="s">
        <v>61</v>
      </c>
      <c r="D1429" s="12">
        <v>45834.0</v>
      </c>
      <c r="E1429" s="13">
        <v>0.875</v>
      </c>
      <c r="F1429" s="5" t="str">
        <f>VLOOKUP(A1429,Jogos!A:N,10,0)</f>
        <v>Evening</v>
      </c>
      <c r="G1429" s="11" t="s">
        <v>500</v>
      </c>
      <c r="H1429" s="6" t="str">
        <f>VLOOKUP(A1429,Jogos!A:L,12,0)</f>
        <v>Open</v>
      </c>
      <c r="I1429" s="6" t="str">
        <f>VLOOKUP(G1429,'Estádios e Cidades'!A:B,2,0)</f>
        <v>Philadelphia</v>
      </c>
      <c r="J1429" s="11" t="s">
        <v>873</v>
      </c>
      <c r="K1429" s="2" t="str">
        <f>VLOOKUP(J1429,Equipes!A:F,6,0)</f>
        <v>Temperate</v>
      </c>
      <c r="L1429" s="2">
        <f>VLOOKUP(J1429,Equipes!A:C,3,0)</f>
        <v>3</v>
      </c>
      <c r="M1429" s="2" t="str">
        <f t="shared" si="4"/>
        <v>Semi-final</v>
      </c>
      <c r="N1429" s="11" t="s">
        <v>936</v>
      </c>
      <c r="O1429" s="2">
        <f>VLOOKUP(N1429,Equipes!A:C,3,0)</f>
        <v>20</v>
      </c>
      <c r="P1429" s="2" t="str">
        <f t="shared" si="5"/>
        <v>Group</v>
      </c>
      <c r="Q1429" s="2">
        <f t="shared" si="6"/>
        <v>-17</v>
      </c>
      <c r="R1429" s="2" t="str">
        <f>VLOOKUP(J1429,Equipes!A:B,2,0)</f>
        <v>Real</v>
      </c>
      <c r="S1429" s="6" t="s">
        <v>901</v>
      </c>
      <c r="T1429" s="7">
        <v>21.0</v>
      </c>
      <c r="U1429" s="7" t="s">
        <v>902</v>
      </c>
      <c r="V1429" s="7" t="str">
        <f>VLOOKUP(U1429,Jogadores!B:C,2,0)</f>
        <v>FW</v>
      </c>
      <c r="W1429" s="8">
        <f>VLOOKUP(U1429,Jogadores!B:D,3,0)</f>
        <v>26.00273973</v>
      </c>
      <c r="X1429" s="7">
        <v>82.0</v>
      </c>
      <c r="Y1429" s="7">
        <f t="shared" si="4450"/>
        <v>93</v>
      </c>
      <c r="Z1429" s="7">
        <f>VLOOKUP(A1429,Jogos!A:L,3,0)</f>
        <v>49</v>
      </c>
      <c r="AA1429" s="7">
        <f t="shared" si="2229"/>
        <v>0</v>
      </c>
      <c r="AB1429" s="7">
        <f>VLOOKUP(A1429,Jogos!A:L,4,0)</f>
        <v>48</v>
      </c>
      <c r="AC1429" s="7">
        <f t="shared" si="2230"/>
        <v>11</v>
      </c>
      <c r="AD1429" s="7"/>
      <c r="AE1429" s="7"/>
      <c r="AF1429" s="7">
        <f t="shared" si="2231"/>
        <v>11</v>
      </c>
      <c r="AG1429" s="7">
        <v>1452.4</v>
      </c>
      <c r="AH1429" s="7">
        <v>462.5</v>
      </c>
      <c r="AI1429" s="7">
        <v>564.9</v>
      </c>
      <c r="AJ1429" s="7">
        <v>208.8</v>
      </c>
      <c r="AK1429" s="7">
        <v>131.1</v>
      </c>
      <c r="AL1429" s="7">
        <v>85.1</v>
      </c>
      <c r="AM1429" s="7">
        <v>20.0</v>
      </c>
      <c r="AN1429" s="7">
        <v>9.0</v>
      </c>
      <c r="AO1429" s="7">
        <v>29.9</v>
      </c>
      <c r="AP1429" s="9">
        <f t="shared" ref="AP1429:AR1429" si="4463">AG1429/$AF1429</f>
        <v>132.0363636</v>
      </c>
      <c r="AQ1429" s="9">
        <f t="shared" si="4463"/>
        <v>42.04545455</v>
      </c>
      <c r="AR1429" s="9">
        <f t="shared" si="4463"/>
        <v>51.35454545</v>
      </c>
      <c r="AS1429" s="9">
        <f t="shared" si="2233"/>
        <v>93.4</v>
      </c>
      <c r="AT1429" s="9">
        <f t="shared" ref="AT1429:AV1429" si="4464">AJ1429/$AF1429</f>
        <v>18.98181818</v>
      </c>
      <c r="AU1429" s="9">
        <f t="shared" si="4464"/>
        <v>11.91818182</v>
      </c>
      <c r="AV1429" s="9">
        <f t="shared" si="4464"/>
        <v>7.736363636</v>
      </c>
      <c r="AW1429" s="9">
        <f t="shared" si="2235"/>
        <v>19.65454545</v>
      </c>
      <c r="AX1429" s="9">
        <f t="shared" ref="AX1429:AY1429" si="4465">AM1429/$AF1429</f>
        <v>1.818181818</v>
      </c>
      <c r="AY1429" s="9">
        <f t="shared" si="4465"/>
        <v>0.8181818182</v>
      </c>
      <c r="AZ1429" s="9">
        <f>VLOOKUP(A1429,Jogos!A:BN,58,0)</f>
        <v>20.425</v>
      </c>
      <c r="BA1429" s="9">
        <f>VLOOKUP(A1429,Jogos!A:BN,59,0)</f>
        <v>14.16</v>
      </c>
      <c r="BB1429" s="9">
        <f>VLOOKUP(A1429,Jogos!A:BN,60,0)</f>
        <v>67</v>
      </c>
      <c r="BC1429" s="9">
        <f>VLOOKUP(A1429,Jogos!A:BN,61,0)</f>
        <v>17.71</v>
      </c>
      <c r="BD1429" s="9">
        <f>VLOOKUP(A1429,Jogos!A:BN,62,0)</f>
        <v>0</v>
      </c>
      <c r="BE1429" s="9">
        <f>VLOOKUP(A1429,Jogos!A:BN,63,0)</f>
        <v>3.065</v>
      </c>
      <c r="BF1429" s="9">
        <f>VLOOKUP(A1429,Jogos!A:BN,64,0)</f>
        <v>18.25</v>
      </c>
      <c r="BG1429" s="9">
        <f>VLOOKUP(A1429,Jogos!A:BN,65,0)</f>
        <v>30.565</v>
      </c>
      <c r="BH1429" s="9">
        <f>VLOOKUP(A1429,Jogos!A:BN,66,0)</f>
        <v>20.93</v>
      </c>
      <c r="BI1429" s="9"/>
      <c r="BJ1429" s="9"/>
    </row>
    <row r="1430" hidden="1">
      <c r="A1430" s="10">
        <v>48.0</v>
      </c>
      <c r="B1430" s="11" t="s">
        <v>872</v>
      </c>
      <c r="C1430" s="2" t="s">
        <v>61</v>
      </c>
      <c r="D1430" s="12">
        <v>45834.0</v>
      </c>
      <c r="E1430" s="13">
        <v>0.875</v>
      </c>
      <c r="F1430" s="5" t="str">
        <f>VLOOKUP(A1430,Jogos!A:N,10,0)</f>
        <v>Evening</v>
      </c>
      <c r="G1430" s="11" t="s">
        <v>500</v>
      </c>
      <c r="H1430" s="6" t="str">
        <f>VLOOKUP(A1430,Jogos!A:L,12,0)</f>
        <v>Open</v>
      </c>
      <c r="I1430" s="6" t="str">
        <f>VLOOKUP(G1430,'Estádios e Cidades'!A:B,2,0)</f>
        <v>Philadelphia</v>
      </c>
      <c r="J1430" s="11" t="s">
        <v>873</v>
      </c>
      <c r="K1430" s="2" t="str">
        <f>VLOOKUP(J1430,Equipes!A:F,6,0)</f>
        <v>Temperate</v>
      </c>
      <c r="L1430" s="2">
        <f>VLOOKUP(J1430,Equipes!A:C,3,0)</f>
        <v>3</v>
      </c>
      <c r="M1430" s="2" t="str">
        <f t="shared" si="4"/>
        <v>Semi-final</v>
      </c>
      <c r="N1430" s="11" t="s">
        <v>936</v>
      </c>
      <c r="O1430" s="2">
        <f>VLOOKUP(N1430,Equipes!A:C,3,0)</f>
        <v>20</v>
      </c>
      <c r="P1430" s="2" t="str">
        <f t="shared" si="5"/>
        <v>Group</v>
      </c>
      <c r="Q1430" s="2">
        <f t="shared" si="6"/>
        <v>-17</v>
      </c>
      <c r="R1430" s="2" t="str">
        <f>VLOOKUP(J1430,Equipes!A:B,2,0)</f>
        <v>Real</v>
      </c>
      <c r="S1430" s="6" t="s">
        <v>1348</v>
      </c>
      <c r="T1430" s="7">
        <v>31.0</v>
      </c>
      <c r="U1430" s="7" t="s">
        <v>1349</v>
      </c>
      <c r="V1430" s="7" t="str">
        <f>VLOOKUP(U1430,Jogadores!B:C,2,0)</f>
        <v>DF</v>
      </c>
      <c r="W1430" s="8">
        <f>VLOOKUP(U1430,Jogadores!B:D,3,0)</f>
        <v>20.56986301</v>
      </c>
      <c r="X1430" s="7">
        <v>67.0</v>
      </c>
      <c r="Y1430" s="7">
        <f t="shared" si="4450"/>
        <v>93</v>
      </c>
      <c r="Z1430" s="7">
        <f>VLOOKUP(A1430,Jogos!A:L,3,0)</f>
        <v>49</v>
      </c>
      <c r="AA1430" s="7">
        <f t="shared" si="2229"/>
        <v>0</v>
      </c>
      <c r="AB1430" s="7">
        <f>VLOOKUP(A1430,Jogos!A:L,4,0)</f>
        <v>48</v>
      </c>
      <c r="AC1430" s="7">
        <f t="shared" si="2230"/>
        <v>26</v>
      </c>
      <c r="AD1430" s="7"/>
      <c r="AE1430" s="7"/>
      <c r="AF1430" s="7">
        <f t="shared" si="2231"/>
        <v>26</v>
      </c>
      <c r="AG1430" s="7">
        <v>2917.2</v>
      </c>
      <c r="AH1430" s="7">
        <v>1022.5</v>
      </c>
      <c r="AI1430" s="7">
        <v>1316.8</v>
      </c>
      <c r="AJ1430" s="7">
        <v>437.4</v>
      </c>
      <c r="AK1430" s="7">
        <v>95.6</v>
      </c>
      <c r="AL1430" s="7">
        <v>45.0</v>
      </c>
      <c r="AM1430" s="7">
        <v>36.0</v>
      </c>
      <c r="AN1430" s="7">
        <v>8.0</v>
      </c>
      <c r="AO1430" s="7">
        <v>33.3</v>
      </c>
      <c r="AP1430" s="9">
        <f t="shared" ref="AP1430:AR1430" si="4466">AG1430/$AF1430</f>
        <v>112.2</v>
      </c>
      <c r="AQ1430" s="9">
        <f t="shared" si="4466"/>
        <v>39.32692308</v>
      </c>
      <c r="AR1430" s="9">
        <f t="shared" si="4466"/>
        <v>50.64615385</v>
      </c>
      <c r="AS1430" s="9">
        <f t="shared" si="2233"/>
        <v>89.97307692</v>
      </c>
      <c r="AT1430" s="9">
        <f t="shared" ref="AT1430:AV1430" si="4467">AJ1430/$AF1430</f>
        <v>16.82307692</v>
      </c>
      <c r="AU1430" s="9">
        <f t="shared" si="4467"/>
        <v>3.676923077</v>
      </c>
      <c r="AV1430" s="9">
        <f t="shared" si="4467"/>
        <v>1.730769231</v>
      </c>
      <c r="AW1430" s="9">
        <f t="shared" si="2235"/>
        <v>5.407692308</v>
      </c>
      <c r="AX1430" s="9">
        <f t="shared" ref="AX1430:AY1430" si="4468">AM1430/$AF1430</f>
        <v>1.384615385</v>
      </c>
      <c r="AY1430" s="9">
        <f t="shared" si="4468"/>
        <v>0.3076923077</v>
      </c>
      <c r="AZ1430" s="9">
        <f>VLOOKUP(A1430,Jogos!A:BN,58,0)</f>
        <v>20.425</v>
      </c>
      <c r="BA1430" s="9">
        <f>VLOOKUP(A1430,Jogos!A:BN,59,0)</f>
        <v>14.16</v>
      </c>
      <c r="BB1430" s="9">
        <f>VLOOKUP(A1430,Jogos!A:BN,60,0)</f>
        <v>67</v>
      </c>
      <c r="BC1430" s="9">
        <f>VLOOKUP(A1430,Jogos!A:BN,61,0)</f>
        <v>17.71</v>
      </c>
      <c r="BD1430" s="9">
        <f>VLOOKUP(A1430,Jogos!A:BN,62,0)</f>
        <v>0</v>
      </c>
      <c r="BE1430" s="9">
        <f>VLOOKUP(A1430,Jogos!A:BN,63,0)</f>
        <v>3.065</v>
      </c>
      <c r="BF1430" s="9">
        <f>VLOOKUP(A1430,Jogos!A:BN,64,0)</f>
        <v>18.25</v>
      </c>
      <c r="BG1430" s="9">
        <f>VLOOKUP(A1430,Jogos!A:BN,65,0)</f>
        <v>30.565</v>
      </c>
      <c r="BH1430" s="9">
        <f>VLOOKUP(A1430,Jogos!A:BN,66,0)</f>
        <v>20.93</v>
      </c>
      <c r="BI1430" s="9"/>
      <c r="BJ1430" s="9"/>
    </row>
    <row r="1431" hidden="1">
      <c r="A1431" s="2">
        <v>49.0</v>
      </c>
      <c r="B1431" s="2" t="s">
        <v>1350</v>
      </c>
      <c r="C1431" s="2" t="s">
        <v>1351</v>
      </c>
      <c r="D1431" s="22">
        <v>45836.0</v>
      </c>
      <c r="E1431" s="4">
        <v>0.5</v>
      </c>
      <c r="F1431" s="5" t="str">
        <f>VLOOKUP(A1431,Jogos!A:N,10,0)</f>
        <v>Afternoon</v>
      </c>
      <c r="G1431" s="2" t="s">
        <v>500</v>
      </c>
      <c r="H1431" s="6" t="str">
        <f>VLOOKUP(A1431,Jogos!A:L,12,0)</f>
        <v>Open</v>
      </c>
      <c r="I1431" s="6" t="str">
        <f>VLOOKUP(G1431,'Estádios e Cidades'!A:B,2,0)</f>
        <v>Philadelphia</v>
      </c>
      <c r="J1431" s="2" t="s">
        <v>250</v>
      </c>
      <c r="K1431" s="2" t="str">
        <f>VLOOKUP(J1431,Equipes!A:F,6,0)</f>
        <v>Temperate</v>
      </c>
      <c r="L1431" s="2">
        <f>VLOOKUP(J1431,Equipes!A:C,3,0)</f>
        <v>8</v>
      </c>
      <c r="M1431" s="2" t="str">
        <f t="shared" si="4"/>
        <v>Quarter-final</v>
      </c>
      <c r="N1431" s="2" t="s">
        <v>313</v>
      </c>
      <c r="O1431" s="2">
        <f>VLOOKUP(N1431,Equipes!A:C,3,0)</f>
        <v>14</v>
      </c>
      <c r="P1431" s="2" t="str">
        <f t="shared" si="5"/>
        <v>Round of 16</v>
      </c>
      <c r="Q1431" s="2">
        <f t="shared" si="6"/>
        <v>-6</v>
      </c>
      <c r="R1431" s="2" t="str">
        <f>VLOOKUP(J1431,Equipes!A:B,2,0)</f>
        <v>Palmeiras</v>
      </c>
      <c r="S1431" s="6" t="s">
        <v>1247</v>
      </c>
      <c r="T1431" s="7">
        <v>3.0</v>
      </c>
      <c r="U1431" s="7" t="s">
        <v>1248</v>
      </c>
      <c r="V1431" s="7" t="str">
        <f>VLOOKUP(U1431,Jogadores!B:C,2,0)</f>
        <v>DF</v>
      </c>
      <c r="W1431" s="8">
        <f>VLOOKUP(U1431,Jogadores!B:D,3,0)</f>
        <v>26.34246575</v>
      </c>
      <c r="X1431" s="7">
        <v>0.0</v>
      </c>
      <c r="Y1431" s="7">
        <f t="shared" ref="Y1431:Y1433" si="4472">45+AB1431+AD1431</f>
        <v>133</v>
      </c>
      <c r="Z1431" s="7">
        <f>VLOOKUP(A1431,Jogos!A:L,3,0)</f>
        <v>51</v>
      </c>
      <c r="AA1431" s="7">
        <f t="shared" si="2229"/>
        <v>51</v>
      </c>
      <c r="AB1431" s="7">
        <f>VLOOKUP(A1431,Jogos!A:L,4,0)</f>
        <v>50</v>
      </c>
      <c r="AC1431" s="7">
        <f t="shared" ref="AC1431:AC1440" si="4473">IF(X1431&lt;45,if(Y1431&lt;=45,0,if(Y1431&gt;90,Y1431-45-AD1431,Y1431-45)),if(X1431&gt;=90,0,AB1431+45-X1431))</f>
        <v>50</v>
      </c>
      <c r="AD1431" s="7">
        <f>Jogos!$E$50-Jogos!$D$50-Jogos!$C$50</f>
        <v>38</v>
      </c>
      <c r="AE1431" s="7">
        <f t="shared" ref="AE1431:AE1441" si="4474">if(X1431&lt;=90,if(Y1431&lt;=90,0,(Y1431-45-AB1431)),90+AD1431-X1431)</f>
        <v>38</v>
      </c>
      <c r="AF1431" s="7">
        <f t="shared" si="2231"/>
        <v>139</v>
      </c>
      <c r="AG1431" s="7">
        <v>11451.8</v>
      </c>
      <c r="AH1431" s="7">
        <v>6488.0</v>
      </c>
      <c r="AI1431" s="7">
        <v>3279.3</v>
      </c>
      <c r="AJ1431" s="7">
        <v>1057.2</v>
      </c>
      <c r="AK1431" s="7">
        <v>510.0</v>
      </c>
      <c r="AL1431" s="7">
        <v>117.2</v>
      </c>
      <c r="AM1431" s="7">
        <v>95.0</v>
      </c>
      <c r="AN1431" s="7">
        <v>43.0</v>
      </c>
      <c r="AO1431" s="7">
        <v>31.8</v>
      </c>
      <c r="AP1431" s="9">
        <f t="shared" ref="AP1431:AR1431" si="4469">AG1431/$AF1431</f>
        <v>82.38705036</v>
      </c>
      <c r="AQ1431" s="9">
        <f t="shared" si="4469"/>
        <v>46.67625899</v>
      </c>
      <c r="AR1431" s="9">
        <f t="shared" si="4469"/>
        <v>23.59208633</v>
      </c>
      <c r="AS1431" s="9">
        <f t="shared" si="2233"/>
        <v>70.26834532</v>
      </c>
      <c r="AT1431" s="9">
        <f t="shared" ref="AT1431:AV1431" si="4470">AJ1431/$AF1431</f>
        <v>7.605755396</v>
      </c>
      <c r="AU1431" s="9">
        <f t="shared" si="4470"/>
        <v>3.669064748</v>
      </c>
      <c r="AV1431" s="9">
        <f t="shared" si="4470"/>
        <v>0.8431654676</v>
      </c>
      <c r="AW1431" s="9">
        <f t="shared" si="2235"/>
        <v>4.512230216</v>
      </c>
      <c r="AX1431" s="9">
        <f t="shared" ref="AX1431:AY1431" si="4471">AM1431/$AF1431</f>
        <v>0.6834532374</v>
      </c>
      <c r="AY1431" s="9">
        <f t="shared" si="4471"/>
        <v>0.309352518</v>
      </c>
      <c r="AZ1431" s="9">
        <f>VLOOKUP(A1431,Jogos!A:BN,58,0)</f>
        <v>28.665</v>
      </c>
      <c r="BA1431" s="9">
        <f>VLOOKUP(A1431,Jogos!A:BN,59,0)</f>
        <v>21.61</v>
      </c>
      <c r="BB1431" s="9">
        <f>VLOOKUP(A1431,Jogos!A:BN,60,0)</f>
        <v>65.25</v>
      </c>
      <c r="BC1431" s="9">
        <f>VLOOKUP(A1431,Jogos!A:BN,61,0)</f>
        <v>28.2875</v>
      </c>
      <c r="BD1431" s="9">
        <f>VLOOKUP(A1431,Jogos!A:BN,62,0)</f>
        <v>467.3</v>
      </c>
      <c r="BE1431" s="9">
        <f>VLOOKUP(A1431,Jogos!A:BN,63,0)</f>
        <v>1.925</v>
      </c>
      <c r="BF1431" s="9">
        <f>VLOOKUP(A1431,Jogos!A:BN,64,0)</f>
        <v>24.49</v>
      </c>
      <c r="BG1431" s="9">
        <f>VLOOKUP(A1431,Jogos!A:BN,65,0)</f>
        <v>42.9275</v>
      </c>
      <c r="BH1431" s="9">
        <f>VLOOKUP(A1431,Jogos!A:BN,66,0)</f>
        <v>28.5975</v>
      </c>
      <c r="BI1431" s="9"/>
      <c r="BJ1431" s="9"/>
    </row>
    <row r="1432" hidden="1">
      <c r="A1432" s="2">
        <v>49.0</v>
      </c>
      <c r="B1432" s="2" t="s">
        <v>1350</v>
      </c>
      <c r="C1432" s="2" t="s">
        <v>1351</v>
      </c>
      <c r="D1432" s="22">
        <v>45836.0</v>
      </c>
      <c r="E1432" s="4">
        <v>0.5</v>
      </c>
      <c r="F1432" s="5" t="str">
        <f>VLOOKUP(A1432,Jogos!A:N,10,0)</f>
        <v>Afternoon</v>
      </c>
      <c r="G1432" s="2" t="s">
        <v>500</v>
      </c>
      <c r="H1432" s="6" t="str">
        <f>VLOOKUP(A1432,Jogos!A:L,12,0)</f>
        <v>Open</v>
      </c>
      <c r="I1432" s="6" t="str">
        <f>VLOOKUP(G1432,'Estádios e Cidades'!A:B,2,0)</f>
        <v>Philadelphia</v>
      </c>
      <c r="J1432" s="2" t="s">
        <v>250</v>
      </c>
      <c r="K1432" s="2" t="str">
        <f>VLOOKUP(J1432,Equipes!A:F,6,0)</f>
        <v>Temperate</v>
      </c>
      <c r="L1432" s="2">
        <f>VLOOKUP(J1432,Equipes!A:C,3,0)</f>
        <v>8</v>
      </c>
      <c r="M1432" s="2" t="str">
        <f t="shared" si="4"/>
        <v>Quarter-final</v>
      </c>
      <c r="N1432" s="2" t="s">
        <v>313</v>
      </c>
      <c r="O1432" s="2">
        <f>VLOOKUP(N1432,Equipes!A:C,3,0)</f>
        <v>14</v>
      </c>
      <c r="P1432" s="2" t="str">
        <f t="shared" si="5"/>
        <v>Round of 16</v>
      </c>
      <c r="Q1432" s="2">
        <f t="shared" si="6"/>
        <v>-6</v>
      </c>
      <c r="R1432" s="2" t="str">
        <f>VLOOKUP(J1432,Equipes!A:B,2,0)</f>
        <v>Palmeiras</v>
      </c>
      <c r="S1432" s="6" t="s">
        <v>252</v>
      </c>
      <c r="T1432" s="7">
        <v>4.0</v>
      </c>
      <c r="U1432" s="7" t="s">
        <v>253</v>
      </c>
      <c r="V1432" s="7" t="str">
        <f>VLOOKUP(U1432,Jogadores!B:C,2,0)</f>
        <v>DF</v>
      </c>
      <c r="W1432" s="8">
        <f>VLOOKUP(U1432,Jogadores!B:D,3,0)</f>
        <v>21.54520548</v>
      </c>
      <c r="X1432" s="7">
        <v>0.0</v>
      </c>
      <c r="Y1432" s="7">
        <f t="shared" si="4472"/>
        <v>133</v>
      </c>
      <c r="Z1432" s="7">
        <f>VLOOKUP(A1432,Jogos!A:L,3,0)</f>
        <v>51</v>
      </c>
      <c r="AA1432" s="7">
        <f t="shared" si="2229"/>
        <v>51</v>
      </c>
      <c r="AB1432" s="7">
        <f>VLOOKUP(A1432,Jogos!A:L,4,0)</f>
        <v>50</v>
      </c>
      <c r="AC1432" s="7">
        <f t="shared" si="4473"/>
        <v>50</v>
      </c>
      <c r="AD1432" s="7">
        <f>Jogos!$E$50-Jogos!$D$50-Jogos!$C$50</f>
        <v>38</v>
      </c>
      <c r="AE1432" s="7">
        <f t="shared" si="4474"/>
        <v>38</v>
      </c>
      <c r="AF1432" s="7">
        <f t="shared" si="2231"/>
        <v>139</v>
      </c>
      <c r="AG1432" s="7">
        <v>12721.4</v>
      </c>
      <c r="AH1432" s="7">
        <v>5313.1</v>
      </c>
      <c r="AI1432" s="7">
        <v>5352.1</v>
      </c>
      <c r="AJ1432" s="7">
        <v>1280.3</v>
      </c>
      <c r="AK1432" s="7">
        <v>513.2</v>
      </c>
      <c r="AL1432" s="7">
        <v>262.6</v>
      </c>
      <c r="AM1432" s="7">
        <v>119.0</v>
      </c>
      <c r="AN1432" s="7">
        <v>40.0</v>
      </c>
      <c r="AO1432" s="7">
        <v>32.2</v>
      </c>
      <c r="AP1432" s="9">
        <f t="shared" ref="AP1432:AR1432" si="4475">AG1432/$AF1432</f>
        <v>91.52086331</v>
      </c>
      <c r="AQ1432" s="9">
        <f t="shared" si="4475"/>
        <v>38.22374101</v>
      </c>
      <c r="AR1432" s="9">
        <f t="shared" si="4475"/>
        <v>38.50431655</v>
      </c>
      <c r="AS1432" s="9">
        <f t="shared" si="2233"/>
        <v>76.72805755</v>
      </c>
      <c r="AT1432" s="9">
        <f t="shared" ref="AT1432:AV1432" si="4476">AJ1432/$AF1432</f>
        <v>9.210791367</v>
      </c>
      <c r="AU1432" s="9">
        <f t="shared" si="4476"/>
        <v>3.692086331</v>
      </c>
      <c r="AV1432" s="9">
        <f t="shared" si="4476"/>
        <v>1.889208633</v>
      </c>
      <c r="AW1432" s="9">
        <f t="shared" si="2235"/>
        <v>5.581294964</v>
      </c>
      <c r="AX1432" s="9">
        <f t="shared" ref="AX1432:AY1432" si="4477">AM1432/$AF1432</f>
        <v>0.8561151079</v>
      </c>
      <c r="AY1432" s="9">
        <f t="shared" si="4477"/>
        <v>0.2877697842</v>
      </c>
      <c r="AZ1432" s="9">
        <f>VLOOKUP(A1432,Jogos!A:BN,58,0)</f>
        <v>28.665</v>
      </c>
      <c r="BA1432" s="9">
        <f>VLOOKUP(A1432,Jogos!A:BN,59,0)</f>
        <v>21.61</v>
      </c>
      <c r="BB1432" s="9">
        <f>VLOOKUP(A1432,Jogos!A:BN,60,0)</f>
        <v>65.25</v>
      </c>
      <c r="BC1432" s="9">
        <f>VLOOKUP(A1432,Jogos!A:BN,61,0)</f>
        <v>28.2875</v>
      </c>
      <c r="BD1432" s="9">
        <f>VLOOKUP(A1432,Jogos!A:BN,62,0)</f>
        <v>467.3</v>
      </c>
      <c r="BE1432" s="9">
        <f>VLOOKUP(A1432,Jogos!A:BN,63,0)</f>
        <v>1.925</v>
      </c>
      <c r="BF1432" s="9">
        <f>VLOOKUP(A1432,Jogos!A:BN,64,0)</f>
        <v>24.49</v>
      </c>
      <c r="BG1432" s="9">
        <f>VLOOKUP(A1432,Jogos!A:BN,65,0)</f>
        <v>42.9275</v>
      </c>
      <c r="BH1432" s="9">
        <f>VLOOKUP(A1432,Jogos!A:BN,66,0)</f>
        <v>28.5975</v>
      </c>
      <c r="BI1432" s="9"/>
      <c r="BJ1432" s="9"/>
    </row>
    <row r="1433" hidden="1">
      <c r="A1433" s="2">
        <v>49.0</v>
      </c>
      <c r="B1433" s="2" t="s">
        <v>1350</v>
      </c>
      <c r="C1433" s="2" t="s">
        <v>1351</v>
      </c>
      <c r="D1433" s="22">
        <v>45836.0</v>
      </c>
      <c r="E1433" s="4">
        <v>0.5</v>
      </c>
      <c r="F1433" s="5" t="str">
        <f>VLOOKUP(A1433,Jogos!A:N,10,0)</f>
        <v>Afternoon</v>
      </c>
      <c r="G1433" s="2" t="s">
        <v>500</v>
      </c>
      <c r="H1433" s="6" t="str">
        <f>VLOOKUP(A1433,Jogos!A:L,12,0)</f>
        <v>Open</v>
      </c>
      <c r="I1433" s="6" t="str">
        <f>VLOOKUP(G1433,'Estádios e Cidades'!A:B,2,0)</f>
        <v>Philadelphia</v>
      </c>
      <c r="J1433" s="2" t="s">
        <v>250</v>
      </c>
      <c r="K1433" s="2" t="str">
        <f>VLOOKUP(J1433,Equipes!A:F,6,0)</f>
        <v>Temperate</v>
      </c>
      <c r="L1433" s="2">
        <f>VLOOKUP(J1433,Equipes!A:C,3,0)</f>
        <v>8</v>
      </c>
      <c r="M1433" s="2" t="str">
        <f t="shared" si="4"/>
        <v>Quarter-final</v>
      </c>
      <c r="N1433" s="2" t="s">
        <v>313</v>
      </c>
      <c r="O1433" s="2">
        <f>VLOOKUP(N1433,Equipes!A:C,3,0)</f>
        <v>14</v>
      </c>
      <c r="P1433" s="2" t="str">
        <f t="shared" si="5"/>
        <v>Round of 16</v>
      </c>
      <c r="Q1433" s="2">
        <f t="shared" si="6"/>
        <v>-6</v>
      </c>
      <c r="R1433" s="2" t="str">
        <f>VLOOKUP(J1433,Equipes!A:B,2,0)</f>
        <v>Palmeiras</v>
      </c>
      <c r="S1433" s="6" t="s">
        <v>258</v>
      </c>
      <c r="T1433" s="7">
        <v>8.0</v>
      </c>
      <c r="U1433" s="7" t="s">
        <v>259</v>
      </c>
      <c r="V1433" s="7" t="str">
        <f>VLOOKUP(U1433,Jogadores!B:C,2,0)</f>
        <v>MF</v>
      </c>
      <c r="W1433" s="8">
        <f>VLOOKUP(U1433,Jogadores!B:D,3,0)</f>
        <v>25.16986301</v>
      </c>
      <c r="X1433" s="7">
        <v>0.0</v>
      </c>
      <c r="Y1433" s="7">
        <f t="shared" si="4472"/>
        <v>133</v>
      </c>
      <c r="Z1433" s="7">
        <f>VLOOKUP(A1433,Jogos!A:L,3,0)</f>
        <v>51</v>
      </c>
      <c r="AA1433" s="7">
        <f t="shared" si="2229"/>
        <v>51</v>
      </c>
      <c r="AB1433" s="7">
        <f>VLOOKUP(A1433,Jogos!A:L,4,0)</f>
        <v>50</v>
      </c>
      <c r="AC1433" s="7">
        <f t="shared" si="4473"/>
        <v>50</v>
      </c>
      <c r="AD1433" s="7">
        <f>Jogos!$E$50-Jogos!$D$50-Jogos!$C$50</f>
        <v>38</v>
      </c>
      <c r="AE1433" s="7">
        <f t="shared" si="4474"/>
        <v>38</v>
      </c>
      <c r="AF1433" s="7">
        <f t="shared" si="2231"/>
        <v>139</v>
      </c>
      <c r="AG1433" s="7">
        <v>13431.6</v>
      </c>
      <c r="AH1433" s="7">
        <v>5933.4</v>
      </c>
      <c r="AI1433" s="7">
        <v>4462.2</v>
      </c>
      <c r="AJ1433" s="7">
        <v>1937.0</v>
      </c>
      <c r="AK1433" s="7">
        <v>836.3</v>
      </c>
      <c r="AL1433" s="7">
        <v>262.8</v>
      </c>
      <c r="AM1433" s="7">
        <v>155.0</v>
      </c>
      <c r="AN1433" s="7">
        <v>67.0</v>
      </c>
      <c r="AO1433" s="7">
        <v>30.6</v>
      </c>
      <c r="AP1433" s="9">
        <f t="shared" ref="AP1433:AR1433" si="4478">AG1433/$AF1433</f>
        <v>96.63021583</v>
      </c>
      <c r="AQ1433" s="9">
        <f t="shared" si="4478"/>
        <v>42.68633094</v>
      </c>
      <c r="AR1433" s="9">
        <f t="shared" si="4478"/>
        <v>32.10215827</v>
      </c>
      <c r="AS1433" s="9">
        <f t="shared" si="2233"/>
        <v>74.78848921</v>
      </c>
      <c r="AT1433" s="9">
        <f t="shared" ref="AT1433:AV1433" si="4479">AJ1433/$AF1433</f>
        <v>13.9352518</v>
      </c>
      <c r="AU1433" s="9">
        <f t="shared" si="4479"/>
        <v>6.016546763</v>
      </c>
      <c r="AV1433" s="9">
        <f t="shared" si="4479"/>
        <v>1.890647482</v>
      </c>
      <c r="AW1433" s="9">
        <f t="shared" si="2235"/>
        <v>7.907194245</v>
      </c>
      <c r="AX1433" s="9">
        <f t="shared" ref="AX1433:AY1433" si="4480">AM1433/$AF1433</f>
        <v>1.115107914</v>
      </c>
      <c r="AY1433" s="9">
        <f t="shared" si="4480"/>
        <v>0.4820143885</v>
      </c>
      <c r="AZ1433" s="9">
        <f>VLOOKUP(A1433,Jogos!A:BN,58,0)</f>
        <v>28.665</v>
      </c>
      <c r="BA1433" s="9">
        <f>VLOOKUP(A1433,Jogos!A:BN,59,0)</f>
        <v>21.61</v>
      </c>
      <c r="BB1433" s="9">
        <f>VLOOKUP(A1433,Jogos!A:BN,60,0)</f>
        <v>65.25</v>
      </c>
      <c r="BC1433" s="9">
        <f>VLOOKUP(A1433,Jogos!A:BN,61,0)</f>
        <v>28.2875</v>
      </c>
      <c r="BD1433" s="9">
        <f>VLOOKUP(A1433,Jogos!A:BN,62,0)</f>
        <v>467.3</v>
      </c>
      <c r="BE1433" s="9">
        <f>VLOOKUP(A1433,Jogos!A:BN,63,0)</f>
        <v>1.925</v>
      </c>
      <c r="BF1433" s="9">
        <f>VLOOKUP(A1433,Jogos!A:BN,64,0)</f>
        <v>24.49</v>
      </c>
      <c r="BG1433" s="9">
        <f>VLOOKUP(A1433,Jogos!A:BN,65,0)</f>
        <v>42.9275</v>
      </c>
      <c r="BH1433" s="9">
        <f>VLOOKUP(A1433,Jogos!A:BN,66,0)</f>
        <v>28.5975</v>
      </c>
      <c r="BI1433" s="9"/>
      <c r="BJ1433" s="9"/>
    </row>
    <row r="1434" hidden="1">
      <c r="A1434" s="2">
        <v>49.0</v>
      </c>
      <c r="B1434" s="2" t="s">
        <v>1350</v>
      </c>
      <c r="C1434" s="2" t="s">
        <v>1351</v>
      </c>
      <c r="D1434" s="22">
        <v>45836.0</v>
      </c>
      <c r="E1434" s="4">
        <v>0.5</v>
      </c>
      <c r="F1434" s="5" t="str">
        <f>VLOOKUP(A1434,Jogos!A:N,10,0)</f>
        <v>Afternoon</v>
      </c>
      <c r="G1434" s="2" t="s">
        <v>500</v>
      </c>
      <c r="H1434" s="6" t="str">
        <f>VLOOKUP(A1434,Jogos!A:L,12,0)</f>
        <v>Open</v>
      </c>
      <c r="I1434" s="6" t="str">
        <f>VLOOKUP(G1434,'Estádios e Cidades'!A:B,2,0)</f>
        <v>Philadelphia</v>
      </c>
      <c r="J1434" s="2" t="s">
        <v>250</v>
      </c>
      <c r="K1434" s="2" t="str">
        <f>VLOOKUP(J1434,Equipes!A:F,6,0)</f>
        <v>Temperate</v>
      </c>
      <c r="L1434" s="2">
        <f>VLOOKUP(J1434,Equipes!A:C,3,0)</f>
        <v>8</v>
      </c>
      <c r="M1434" s="2" t="str">
        <f t="shared" si="4"/>
        <v>Quarter-final</v>
      </c>
      <c r="N1434" s="2" t="s">
        <v>313</v>
      </c>
      <c r="O1434" s="2">
        <f>VLOOKUP(N1434,Equipes!A:C,3,0)</f>
        <v>14</v>
      </c>
      <c r="P1434" s="2" t="str">
        <f t="shared" si="5"/>
        <v>Round of 16</v>
      </c>
      <c r="Q1434" s="2">
        <f t="shared" si="6"/>
        <v>-6</v>
      </c>
      <c r="R1434" s="2" t="str">
        <f>VLOOKUP(J1434,Equipes!A:B,2,0)</f>
        <v>Palmeiras</v>
      </c>
      <c r="S1434" s="6" t="s">
        <v>260</v>
      </c>
      <c r="T1434" s="7">
        <v>9.0</v>
      </c>
      <c r="U1434" s="7" t="s">
        <v>261</v>
      </c>
      <c r="V1434" s="7" t="str">
        <f>VLOOKUP(U1434,Jogadores!B:C,2,0)</f>
        <v>FW</v>
      </c>
      <c r="W1434" s="8">
        <f>VLOOKUP(U1434,Jogadores!B:D,3,0)</f>
        <v>20.42465753</v>
      </c>
      <c r="X1434" s="7">
        <v>0.0</v>
      </c>
      <c r="Y1434" s="7">
        <v>64.0</v>
      </c>
      <c r="Z1434" s="7">
        <f>VLOOKUP(A1434,Jogos!A:L,3,0)</f>
        <v>51</v>
      </c>
      <c r="AA1434" s="7">
        <f t="shared" si="2229"/>
        <v>51</v>
      </c>
      <c r="AB1434" s="7">
        <f>VLOOKUP(A1434,Jogos!A:L,4,0)</f>
        <v>50</v>
      </c>
      <c r="AC1434" s="7">
        <f t="shared" si="4473"/>
        <v>19</v>
      </c>
      <c r="AD1434" s="7">
        <f>Jogos!$E$50-Jogos!$D$50-Jogos!$C$50</f>
        <v>38</v>
      </c>
      <c r="AE1434" s="7">
        <f t="shared" si="4474"/>
        <v>0</v>
      </c>
      <c r="AF1434" s="7">
        <f t="shared" si="2231"/>
        <v>70</v>
      </c>
      <c r="AG1434" s="7">
        <v>6467.3</v>
      </c>
      <c r="AH1434" s="7">
        <v>2856.4</v>
      </c>
      <c r="AI1434" s="7">
        <v>2291.4</v>
      </c>
      <c r="AJ1434" s="7">
        <v>631.3</v>
      </c>
      <c r="AK1434" s="7">
        <v>406.6</v>
      </c>
      <c r="AL1434" s="7">
        <v>281.5</v>
      </c>
      <c r="AM1434" s="7">
        <v>57.0</v>
      </c>
      <c r="AN1434" s="7">
        <v>43.0</v>
      </c>
      <c r="AO1434" s="7">
        <v>32.9</v>
      </c>
      <c r="AP1434" s="9">
        <f t="shared" ref="AP1434:AR1434" si="4481">AG1434/$AF1434</f>
        <v>92.39</v>
      </c>
      <c r="AQ1434" s="9">
        <f t="shared" si="4481"/>
        <v>40.80571429</v>
      </c>
      <c r="AR1434" s="9">
        <f t="shared" si="4481"/>
        <v>32.73428571</v>
      </c>
      <c r="AS1434" s="9">
        <f t="shared" si="2233"/>
        <v>73.54</v>
      </c>
      <c r="AT1434" s="9">
        <f t="shared" ref="AT1434:AV1434" si="4482">AJ1434/$AF1434</f>
        <v>9.018571429</v>
      </c>
      <c r="AU1434" s="9">
        <f t="shared" si="4482"/>
        <v>5.808571429</v>
      </c>
      <c r="AV1434" s="9">
        <f t="shared" si="4482"/>
        <v>4.021428571</v>
      </c>
      <c r="AW1434" s="9">
        <f t="shared" si="2235"/>
        <v>9.83</v>
      </c>
      <c r="AX1434" s="9">
        <f t="shared" ref="AX1434:AY1434" si="4483">AM1434/$AF1434</f>
        <v>0.8142857143</v>
      </c>
      <c r="AY1434" s="9">
        <f t="shared" si="4483"/>
        <v>0.6142857143</v>
      </c>
      <c r="AZ1434" s="9">
        <f>VLOOKUP(A1434,Jogos!A:BN,58,0)</f>
        <v>28.665</v>
      </c>
      <c r="BA1434" s="9">
        <f>VLOOKUP(A1434,Jogos!A:BN,59,0)</f>
        <v>21.61</v>
      </c>
      <c r="BB1434" s="9">
        <f>VLOOKUP(A1434,Jogos!A:BN,60,0)</f>
        <v>65.25</v>
      </c>
      <c r="BC1434" s="9">
        <f>VLOOKUP(A1434,Jogos!A:BN,61,0)</f>
        <v>28.2875</v>
      </c>
      <c r="BD1434" s="9">
        <f>VLOOKUP(A1434,Jogos!A:BN,62,0)</f>
        <v>467.3</v>
      </c>
      <c r="BE1434" s="9">
        <f>VLOOKUP(A1434,Jogos!A:BN,63,0)</f>
        <v>1.925</v>
      </c>
      <c r="BF1434" s="9">
        <f>VLOOKUP(A1434,Jogos!A:BN,64,0)</f>
        <v>24.49</v>
      </c>
      <c r="BG1434" s="9">
        <f>VLOOKUP(A1434,Jogos!A:BN,65,0)</f>
        <v>42.9275</v>
      </c>
      <c r="BH1434" s="9">
        <f>VLOOKUP(A1434,Jogos!A:BN,66,0)</f>
        <v>28.5975</v>
      </c>
      <c r="BI1434" s="9"/>
      <c r="BJ1434" s="9"/>
    </row>
    <row r="1435" hidden="1">
      <c r="A1435" s="2">
        <v>49.0</v>
      </c>
      <c r="B1435" s="2" t="s">
        <v>1350</v>
      </c>
      <c r="C1435" s="2" t="s">
        <v>1351</v>
      </c>
      <c r="D1435" s="22">
        <v>45836.0</v>
      </c>
      <c r="E1435" s="4">
        <v>0.5</v>
      </c>
      <c r="F1435" s="5" t="str">
        <f>VLOOKUP(A1435,Jogos!A:N,10,0)</f>
        <v>Afternoon</v>
      </c>
      <c r="G1435" s="2" t="s">
        <v>500</v>
      </c>
      <c r="H1435" s="6" t="str">
        <f>VLOOKUP(A1435,Jogos!A:L,12,0)</f>
        <v>Open</v>
      </c>
      <c r="I1435" s="6" t="str">
        <f>VLOOKUP(G1435,'Estádios e Cidades'!A:B,2,0)</f>
        <v>Philadelphia</v>
      </c>
      <c r="J1435" s="2" t="s">
        <v>250</v>
      </c>
      <c r="K1435" s="2" t="str">
        <f>VLOOKUP(J1435,Equipes!A:F,6,0)</f>
        <v>Temperate</v>
      </c>
      <c r="L1435" s="2">
        <f>VLOOKUP(J1435,Equipes!A:C,3,0)</f>
        <v>8</v>
      </c>
      <c r="M1435" s="2" t="str">
        <f t="shared" si="4"/>
        <v>Quarter-final</v>
      </c>
      <c r="N1435" s="2" t="s">
        <v>313</v>
      </c>
      <c r="O1435" s="2">
        <f>VLOOKUP(N1435,Equipes!A:C,3,0)</f>
        <v>14</v>
      </c>
      <c r="P1435" s="2" t="str">
        <f t="shared" si="5"/>
        <v>Round of 16</v>
      </c>
      <c r="Q1435" s="2">
        <f t="shared" si="6"/>
        <v>-6</v>
      </c>
      <c r="R1435" s="2" t="str">
        <f>VLOOKUP(J1435,Equipes!A:B,2,0)</f>
        <v>Palmeiras</v>
      </c>
      <c r="S1435" s="6" t="s">
        <v>262</v>
      </c>
      <c r="T1435" s="7">
        <v>15.0</v>
      </c>
      <c r="U1435" s="7" t="s">
        <v>263</v>
      </c>
      <c r="V1435" s="7" t="str">
        <f>VLOOKUP(U1435,Jogadores!B:C,2,0)</f>
        <v>DF</v>
      </c>
      <c r="W1435" s="8">
        <f>VLOOKUP(U1435,Jogadores!B:D,3,0)</f>
        <v>32.24931507</v>
      </c>
      <c r="X1435" s="7">
        <v>0.0</v>
      </c>
      <c r="Y1435" s="7">
        <f>45+AB1435+AD1435</f>
        <v>133</v>
      </c>
      <c r="Z1435" s="7">
        <f>VLOOKUP(A1435,Jogos!A:L,3,0)</f>
        <v>51</v>
      </c>
      <c r="AA1435" s="7">
        <f t="shared" si="2229"/>
        <v>51</v>
      </c>
      <c r="AB1435" s="7">
        <f>VLOOKUP(A1435,Jogos!A:L,4,0)</f>
        <v>50</v>
      </c>
      <c r="AC1435" s="7">
        <f t="shared" si="4473"/>
        <v>50</v>
      </c>
      <c r="AD1435" s="7">
        <f>Jogos!$E$50-Jogos!$D$50-Jogos!$C$50</f>
        <v>38</v>
      </c>
      <c r="AE1435" s="7">
        <f t="shared" si="4474"/>
        <v>38</v>
      </c>
      <c r="AF1435" s="7">
        <f t="shared" si="2231"/>
        <v>139</v>
      </c>
      <c r="AG1435" s="7">
        <v>11693.2</v>
      </c>
      <c r="AH1435" s="7">
        <v>5911.1</v>
      </c>
      <c r="AI1435" s="7">
        <v>3885.8</v>
      </c>
      <c r="AJ1435" s="7">
        <v>1300.7</v>
      </c>
      <c r="AK1435" s="7">
        <v>456.7</v>
      </c>
      <c r="AL1435" s="7">
        <v>138.9</v>
      </c>
      <c r="AM1435" s="7">
        <v>119.0</v>
      </c>
      <c r="AN1435" s="7">
        <v>38.0</v>
      </c>
      <c r="AO1435" s="7">
        <v>30.6</v>
      </c>
      <c r="AP1435" s="9">
        <f t="shared" ref="AP1435:AR1435" si="4484">AG1435/$AF1435</f>
        <v>84.12374101</v>
      </c>
      <c r="AQ1435" s="9">
        <f t="shared" si="4484"/>
        <v>42.52589928</v>
      </c>
      <c r="AR1435" s="9">
        <f t="shared" si="4484"/>
        <v>27.95539568</v>
      </c>
      <c r="AS1435" s="9">
        <f t="shared" si="2233"/>
        <v>70.48129496</v>
      </c>
      <c r="AT1435" s="9">
        <f t="shared" ref="AT1435:AV1435" si="4485">AJ1435/$AF1435</f>
        <v>9.357553957</v>
      </c>
      <c r="AU1435" s="9">
        <f t="shared" si="4485"/>
        <v>3.285611511</v>
      </c>
      <c r="AV1435" s="9">
        <f t="shared" si="4485"/>
        <v>0.9992805755</v>
      </c>
      <c r="AW1435" s="9">
        <f t="shared" si="2235"/>
        <v>4.284892086</v>
      </c>
      <c r="AX1435" s="9">
        <f t="shared" ref="AX1435:AY1435" si="4486">AM1435/$AF1435</f>
        <v>0.8561151079</v>
      </c>
      <c r="AY1435" s="9">
        <f t="shared" si="4486"/>
        <v>0.273381295</v>
      </c>
      <c r="AZ1435" s="9">
        <f>VLOOKUP(A1435,Jogos!A:BN,58,0)</f>
        <v>28.665</v>
      </c>
      <c r="BA1435" s="9">
        <f>VLOOKUP(A1435,Jogos!A:BN,59,0)</f>
        <v>21.61</v>
      </c>
      <c r="BB1435" s="9">
        <f>VLOOKUP(A1435,Jogos!A:BN,60,0)</f>
        <v>65.25</v>
      </c>
      <c r="BC1435" s="9">
        <f>VLOOKUP(A1435,Jogos!A:BN,61,0)</f>
        <v>28.2875</v>
      </c>
      <c r="BD1435" s="9">
        <f>VLOOKUP(A1435,Jogos!A:BN,62,0)</f>
        <v>467.3</v>
      </c>
      <c r="BE1435" s="9">
        <f>VLOOKUP(A1435,Jogos!A:BN,63,0)</f>
        <v>1.925</v>
      </c>
      <c r="BF1435" s="9">
        <f>VLOOKUP(A1435,Jogos!A:BN,64,0)</f>
        <v>24.49</v>
      </c>
      <c r="BG1435" s="9">
        <f>VLOOKUP(A1435,Jogos!A:BN,65,0)</f>
        <v>42.9275</v>
      </c>
      <c r="BH1435" s="9">
        <f>VLOOKUP(A1435,Jogos!A:BN,66,0)</f>
        <v>28.5975</v>
      </c>
      <c r="BI1435" s="9"/>
      <c r="BJ1435" s="9"/>
    </row>
    <row r="1436" hidden="1">
      <c r="A1436" s="2">
        <v>49.0</v>
      </c>
      <c r="B1436" s="2" t="s">
        <v>1350</v>
      </c>
      <c r="C1436" s="2" t="s">
        <v>1351</v>
      </c>
      <c r="D1436" s="22">
        <v>45836.0</v>
      </c>
      <c r="E1436" s="4">
        <v>0.5</v>
      </c>
      <c r="F1436" s="5" t="str">
        <f>VLOOKUP(A1436,Jogos!A:N,10,0)</f>
        <v>Afternoon</v>
      </c>
      <c r="G1436" s="2" t="s">
        <v>500</v>
      </c>
      <c r="H1436" s="6" t="str">
        <f>VLOOKUP(A1436,Jogos!A:L,12,0)</f>
        <v>Open</v>
      </c>
      <c r="I1436" s="6" t="str">
        <f>VLOOKUP(G1436,'Estádios e Cidades'!A:B,2,0)</f>
        <v>Philadelphia</v>
      </c>
      <c r="J1436" s="2" t="s">
        <v>250</v>
      </c>
      <c r="K1436" s="2" t="str">
        <f>VLOOKUP(J1436,Equipes!A:F,6,0)</f>
        <v>Temperate</v>
      </c>
      <c r="L1436" s="2">
        <f>VLOOKUP(J1436,Equipes!A:C,3,0)</f>
        <v>8</v>
      </c>
      <c r="M1436" s="2" t="str">
        <f t="shared" si="4"/>
        <v>Quarter-final</v>
      </c>
      <c r="N1436" s="2" t="s">
        <v>313</v>
      </c>
      <c r="O1436" s="2">
        <f>VLOOKUP(N1436,Equipes!A:C,3,0)</f>
        <v>14</v>
      </c>
      <c r="P1436" s="2" t="str">
        <f t="shared" si="5"/>
        <v>Round of 16</v>
      </c>
      <c r="Q1436" s="2">
        <f t="shared" si="6"/>
        <v>-6</v>
      </c>
      <c r="R1436" s="2" t="str">
        <f>VLOOKUP(J1436,Equipes!A:B,2,0)</f>
        <v>Palmeiras</v>
      </c>
      <c r="S1436" s="6" t="s">
        <v>264</v>
      </c>
      <c r="T1436" s="7">
        <v>18.0</v>
      </c>
      <c r="U1436" s="7" t="s">
        <v>265</v>
      </c>
      <c r="V1436" s="7" t="str">
        <f>VLOOKUP(U1436,Jogadores!B:C,2,0)</f>
        <v>FW</v>
      </c>
      <c r="W1436" s="8">
        <f>VLOOKUP(U1436,Jogadores!B:D,3,0)</f>
        <v>24.11506849</v>
      </c>
      <c r="X1436" s="7">
        <v>0.0</v>
      </c>
      <c r="Y1436" s="7">
        <v>85.0</v>
      </c>
      <c r="Z1436" s="7">
        <f>VLOOKUP(A1436,Jogos!A:L,3,0)</f>
        <v>51</v>
      </c>
      <c r="AA1436" s="7">
        <f t="shared" si="2229"/>
        <v>51</v>
      </c>
      <c r="AB1436" s="7">
        <f>VLOOKUP(A1436,Jogos!A:L,4,0)</f>
        <v>50</v>
      </c>
      <c r="AC1436" s="7">
        <f t="shared" si="4473"/>
        <v>40</v>
      </c>
      <c r="AD1436" s="7">
        <f>Jogos!$E$50-Jogos!$D$50-Jogos!$C$50</f>
        <v>38</v>
      </c>
      <c r="AE1436" s="7">
        <f t="shared" si="4474"/>
        <v>0</v>
      </c>
      <c r="AF1436" s="7">
        <f t="shared" si="2231"/>
        <v>91</v>
      </c>
      <c r="AG1436" s="7">
        <v>9484.8</v>
      </c>
      <c r="AH1436" s="7">
        <v>3443.4</v>
      </c>
      <c r="AI1436" s="7">
        <v>3817.3</v>
      </c>
      <c r="AJ1436" s="7">
        <v>1640.1</v>
      </c>
      <c r="AK1436" s="7">
        <v>515.2</v>
      </c>
      <c r="AL1436" s="7">
        <v>68.7</v>
      </c>
      <c r="AM1436" s="7">
        <v>148.0</v>
      </c>
      <c r="AN1436" s="7">
        <v>41.0</v>
      </c>
      <c r="AO1436" s="7">
        <v>30.1</v>
      </c>
      <c r="AP1436" s="9">
        <f t="shared" ref="AP1436:AR1436" si="4487">AG1436/$AF1436</f>
        <v>104.2285714</v>
      </c>
      <c r="AQ1436" s="9">
        <f t="shared" si="4487"/>
        <v>37.83956044</v>
      </c>
      <c r="AR1436" s="9">
        <f t="shared" si="4487"/>
        <v>41.94835165</v>
      </c>
      <c r="AS1436" s="9">
        <f t="shared" si="2233"/>
        <v>79.78791209</v>
      </c>
      <c r="AT1436" s="9">
        <f t="shared" ref="AT1436:AV1436" si="4488">AJ1436/$AF1436</f>
        <v>18.02307692</v>
      </c>
      <c r="AU1436" s="9">
        <f t="shared" si="4488"/>
        <v>5.661538462</v>
      </c>
      <c r="AV1436" s="9">
        <f t="shared" si="4488"/>
        <v>0.7549450549</v>
      </c>
      <c r="AW1436" s="9">
        <f t="shared" si="2235"/>
        <v>6.416483516</v>
      </c>
      <c r="AX1436" s="9">
        <f t="shared" ref="AX1436:AY1436" si="4489">AM1436/$AF1436</f>
        <v>1.626373626</v>
      </c>
      <c r="AY1436" s="9">
        <f t="shared" si="4489"/>
        <v>0.4505494505</v>
      </c>
      <c r="AZ1436" s="9">
        <f>VLOOKUP(A1436,Jogos!A:BN,58,0)</f>
        <v>28.665</v>
      </c>
      <c r="BA1436" s="9">
        <f>VLOOKUP(A1436,Jogos!A:BN,59,0)</f>
        <v>21.61</v>
      </c>
      <c r="BB1436" s="9">
        <f>VLOOKUP(A1436,Jogos!A:BN,60,0)</f>
        <v>65.25</v>
      </c>
      <c r="BC1436" s="9">
        <f>VLOOKUP(A1436,Jogos!A:BN,61,0)</f>
        <v>28.2875</v>
      </c>
      <c r="BD1436" s="9">
        <f>VLOOKUP(A1436,Jogos!A:BN,62,0)</f>
        <v>467.3</v>
      </c>
      <c r="BE1436" s="9">
        <f>VLOOKUP(A1436,Jogos!A:BN,63,0)</f>
        <v>1.925</v>
      </c>
      <c r="BF1436" s="9">
        <f>VLOOKUP(A1436,Jogos!A:BN,64,0)</f>
        <v>24.49</v>
      </c>
      <c r="BG1436" s="9">
        <f>VLOOKUP(A1436,Jogos!A:BN,65,0)</f>
        <v>42.9275</v>
      </c>
      <c r="BH1436" s="9">
        <f>VLOOKUP(A1436,Jogos!A:BN,66,0)</f>
        <v>28.5975</v>
      </c>
      <c r="BI1436" s="9"/>
      <c r="BJ1436" s="9"/>
    </row>
    <row r="1437" hidden="1">
      <c r="A1437" s="2">
        <v>49.0</v>
      </c>
      <c r="B1437" s="2" t="s">
        <v>1350</v>
      </c>
      <c r="C1437" s="2" t="s">
        <v>1351</v>
      </c>
      <c r="D1437" s="22">
        <v>45836.0</v>
      </c>
      <c r="E1437" s="4">
        <v>0.5</v>
      </c>
      <c r="F1437" s="5" t="str">
        <f>VLOOKUP(A1437,Jogos!A:N,10,0)</f>
        <v>Afternoon</v>
      </c>
      <c r="G1437" s="2" t="s">
        <v>500</v>
      </c>
      <c r="H1437" s="6" t="str">
        <f>VLOOKUP(A1437,Jogos!A:L,12,0)</f>
        <v>Open</v>
      </c>
      <c r="I1437" s="6" t="str">
        <f>VLOOKUP(G1437,'Estádios e Cidades'!A:B,2,0)</f>
        <v>Philadelphia</v>
      </c>
      <c r="J1437" s="2" t="s">
        <v>250</v>
      </c>
      <c r="K1437" s="2" t="str">
        <f>VLOOKUP(J1437,Equipes!A:F,6,0)</f>
        <v>Temperate</v>
      </c>
      <c r="L1437" s="2">
        <f>VLOOKUP(J1437,Equipes!A:C,3,0)</f>
        <v>8</v>
      </c>
      <c r="M1437" s="2" t="str">
        <f t="shared" si="4"/>
        <v>Quarter-final</v>
      </c>
      <c r="N1437" s="2" t="s">
        <v>313</v>
      </c>
      <c r="O1437" s="2">
        <f>VLOOKUP(N1437,Equipes!A:C,3,0)</f>
        <v>14</v>
      </c>
      <c r="P1437" s="2" t="str">
        <f t="shared" si="5"/>
        <v>Round of 16</v>
      </c>
      <c r="Q1437" s="2">
        <f t="shared" si="6"/>
        <v>-6</v>
      </c>
      <c r="R1437" s="2" t="str">
        <f>VLOOKUP(J1437,Equipes!A:B,2,0)</f>
        <v>Palmeiras</v>
      </c>
      <c r="S1437" s="6" t="s">
        <v>266</v>
      </c>
      <c r="T1437" s="7">
        <v>22.0</v>
      </c>
      <c r="U1437" s="7" t="s">
        <v>267</v>
      </c>
      <c r="V1437" s="7" t="str">
        <f>VLOOKUP(U1437,Jogadores!B:C,2,0)</f>
        <v>DF</v>
      </c>
      <c r="W1437" s="8">
        <f>VLOOKUP(U1437,Jogadores!B:D,3,0)</f>
        <v>26.94520548</v>
      </c>
      <c r="X1437" s="7">
        <v>0.0</v>
      </c>
      <c r="Y1437" s="7">
        <f>45+AB1437+AD1437</f>
        <v>133</v>
      </c>
      <c r="Z1437" s="7">
        <f>VLOOKUP(A1437,Jogos!A:L,3,0)</f>
        <v>51</v>
      </c>
      <c r="AA1437" s="7">
        <f t="shared" si="2229"/>
        <v>51</v>
      </c>
      <c r="AB1437" s="7">
        <f>VLOOKUP(A1437,Jogos!A:L,4,0)</f>
        <v>50</v>
      </c>
      <c r="AC1437" s="7">
        <f t="shared" si="4473"/>
        <v>50</v>
      </c>
      <c r="AD1437" s="7">
        <f>Jogos!$E$50-Jogos!$D$50-Jogos!$C$50</f>
        <v>38</v>
      </c>
      <c r="AE1437" s="7">
        <f t="shared" si="4474"/>
        <v>38</v>
      </c>
      <c r="AF1437" s="7">
        <f t="shared" si="2231"/>
        <v>139</v>
      </c>
      <c r="AG1437" s="7">
        <v>13334.5</v>
      </c>
      <c r="AH1437" s="7">
        <v>6135.8</v>
      </c>
      <c r="AI1437" s="7">
        <v>4346.9</v>
      </c>
      <c r="AJ1437" s="7">
        <v>1597.9</v>
      </c>
      <c r="AK1437" s="7">
        <v>856.0</v>
      </c>
      <c r="AL1437" s="7">
        <v>398.0</v>
      </c>
      <c r="AM1437" s="7">
        <v>143.0</v>
      </c>
      <c r="AN1437" s="7">
        <v>70.0</v>
      </c>
      <c r="AO1437" s="7">
        <v>32.1</v>
      </c>
      <c r="AP1437" s="9">
        <f t="shared" ref="AP1437:AR1437" si="4490">AG1437/$AF1437</f>
        <v>95.93165468</v>
      </c>
      <c r="AQ1437" s="9">
        <f t="shared" si="4490"/>
        <v>44.14244604</v>
      </c>
      <c r="AR1437" s="9">
        <f t="shared" si="4490"/>
        <v>31.27266187</v>
      </c>
      <c r="AS1437" s="9">
        <f t="shared" si="2233"/>
        <v>75.41510791</v>
      </c>
      <c r="AT1437" s="9">
        <f t="shared" ref="AT1437:AV1437" si="4491">AJ1437/$AF1437</f>
        <v>11.49568345</v>
      </c>
      <c r="AU1437" s="9">
        <f t="shared" si="4491"/>
        <v>6.158273381</v>
      </c>
      <c r="AV1437" s="9">
        <f t="shared" si="4491"/>
        <v>2.863309353</v>
      </c>
      <c r="AW1437" s="9">
        <f t="shared" si="2235"/>
        <v>9.021582734</v>
      </c>
      <c r="AX1437" s="9">
        <f t="shared" ref="AX1437:AY1437" si="4492">AM1437/$AF1437</f>
        <v>1.028776978</v>
      </c>
      <c r="AY1437" s="9">
        <f t="shared" si="4492"/>
        <v>0.5035971223</v>
      </c>
      <c r="AZ1437" s="9">
        <f>VLOOKUP(A1437,Jogos!A:BN,58,0)</f>
        <v>28.665</v>
      </c>
      <c r="BA1437" s="9">
        <f>VLOOKUP(A1437,Jogos!A:BN,59,0)</f>
        <v>21.61</v>
      </c>
      <c r="BB1437" s="9">
        <f>VLOOKUP(A1437,Jogos!A:BN,60,0)</f>
        <v>65.25</v>
      </c>
      <c r="BC1437" s="9">
        <f>VLOOKUP(A1437,Jogos!A:BN,61,0)</f>
        <v>28.2875</v>
      </c>
      <c r="BD1437" s="9">
        <f>VLOOKUP(A1437,Jogos!A:BN,62,0)</f>
        <v>467.3</v>
      </c>
      <c r="BE1437" s="9">
        <f>VLOOKUP(A1437,Jogos!A:BN,63,0)</f>
        <v>1.925</v>
      </c>
      <c r="BF1437" s="9">
        <f>VLOOKUP(A1437,Jogos!A:BN,64,0)</f>
        <v>24.49</v>
      </c>
      <c r="BG1437" s="9">
        <f>VLOOKUP(A1437,Jogos!A:BN,65,0)</f>
        <v>42.9275</v>
      </c>
      <c r="BH1437" s="9">
        <f>VLOOKUP(A1437,Jogos!A:BN,66,0)</f>
        <v>28.5975</v>
      </c>
      <c r="BI1437" s="9"/>
      <c r="BJ1437" s="9"/>
    </row>
    <row r="1438" hidden="1">
      <c r="A1438" s="2">
        <v>49.0</v>
      </c>
      <c r="B1438" s="2" t="s">
        <v>1350</v>
      </c>
      <c r="C1438" s="2" t="s">
        <v>1351</v>
      </c>
      <c r="D1438" s="22">
        <v>45836.0</v>
      </c>
      <c r="E1438" s="4">
        <v>0.5</v>
      </c>
      <c r="F1438" s="5" t="str">
        <f>VLOOKUP(A1438,Jogos!A:N,10,0)</f>
        <v>Afternoon</v>
      </c>
      <c r="G1438" s="2" t="s">
        <v>500</v>
      </c>
      <c r="H1438" s="6" t="str">
        <f>VLOOKUP(A1438,Jogos!A:L,12,0)</f>
        <v>Open</v>
      </c>
      <c r="I1438" s="6" t="str">
        <f>VLOOKUP(G1438,'Estádios e Cidades'!A:B,2,0)</f>
        <v>Philadelphia</v>
      </c>
      <c r="J1438" s="2" t="s">
        <v>250</v>
      </c>
      <c r="K1438" s="2" t="str">
        <f>VLOOKUP(J1438,Equipes!A:F,6,0)</f>
        <v>Temperate</v>
      </c>
      <c r="L1438" s="2">
        <f>VLOOKUP(J1438,Equipes!A:C,3,0)</f>
        <v>8</v>
      </c>
      <c r="M1438" s="2" t="str">
        <f t="shared" si="4"/>
        <v>Quarter-final</v>
      </c>
      <c r="N1438" s="2" t="s">
        <v>313</v>
      </c>
      <c r="O1438" s="2">
        <f>VLOOKUP(N1438,Equipes!A:C,3,0)</f>
        <v>14</v>
      </c>
      <c r="P1438" s="2" t="str">
        <f t="shared" si="5"/>
        <v>Round of 16</v>
      </c>
      <c r="Q1438" s="2">
        <f t="shared" si="6"/>
        <v>-6</v>
      </c>
      <c r="R1438" s="2" t="str">
        <f>VLOOKUP(J1438,Equipes!A:B,2,0)</f>
        <v>Palmeiras</v>
      </c>
      <c r="S1438" s="6" t="s">
        <v>1064</v>
      </c>
      <c r="T1438" s="7">
        <v>32.0</v>
      </c>
      <c r="U1438" s="7" t="s">
        <v>1065</v>
      </c>
      <c r="V1438" s="7" t="str">
        <f>VLOOKUP(U1438,Jogadores!B:C,2,0)</f>
        <v>MF</v>
      </c>
      <c r="W1438" s="8">
        <f>VLOOKUP(U1438,Jogadores!B:D,3,0)</f>
        <v>25.96438356</v>
      </c>
      <c r="X1438" s="7">
        <v>0.0</v>
      </c>
      <c r="Y1438" s="7">
        <v>90.0</v>
      </c>
      <c r="Z1438" s="7">
        <f>VLOOKUP(A1438,Jogos!A:L,3,0)</f>
        <v>51</v>
      </c>
      <c r="AA1438" s="7">
        <f t="shared" si="2229"/>
        <v>51</v>
      </c>
      <c r="AB1438" s="7">
        <f>VLOOKUP(A1438,Jogos!A:L,4,0)</f>
        <v>50</v>
      </c>
      <c r="AC1438" s="7">
        <f t="shared" si="4473"/>
        <v>45</v>
      </c>
      <c r="AD1438" s="7">
        <f>Jogos!$E$50-Jogos!$D$50-Jogos!$C$50</f>
        <v>38</v>
      </c>
      <c r="AE1438" s="7">
        <f t="shared" si="4474"/>
        <v>0</v>
      </c>
      <c r="AF1438" s="7">
        <f t="shared" si="2231"/>
        <v>96</v>
      </c>
      <c r="AG1438" s="7">
        <v>10747.8</v>
      </c>
      <c r="AH1438" s="7">
        <v>4316.2</v>
      </c>
      <c r="AI1438" s="7">
        <v>4593.6</v>
      </c>
      <c r="AJ1438" s="7">
        <v>1298.6</v>
      </c>
      <c r="AK1438" s="7">
        <v>415.0</v>
      </c>
      <c r="AL1438" s="7">
        <v>124.3</v>
      </c>
      <c r="AM1438" s="7">
        <v>114.0</v>
      </c>
      <c r="AN1438" s="7">
        <v>38.0</v>
      </c>
      <c r="AO1438" s="7">
        <v>30.1</v>
      </c>
      <c r="AP1438" s="9">
        <f t="shared" ref="AP1438:AR1438" si="4493">AG1438/$AF1438</f>
        <v>111.95625</v>
      </c>
      <c r="AQ1438" s="9">
        <f t="shared" si="4493"/>
        <v>44.96041667</v>
      </c>
      <c r="AR1438" s="9">
        <f t="shared" si="4493"/>
        <v>47.85</v>
      </c>
      <c r="AS1438" s="9">
        <f t="shared" si="2233"/>
        <v>92.81041667</v>
      </c>
      <c r="AT1438" s="9">
        <f t="shared" ref="AT1438:AV1438" si="4494">AJ1438/$AF1438</f>
        <v>13.52708333</v>
      </c>
      <c r="AU1438" s="9">
        <f t="shared" si="4494"/>
        <v>4.322916667</v>
      </c>
      <c r="AV1438" s="9">
        <f t="shared" si="4494"/>
        <v>1.294791667</v>
      </c>
      <c r="AW1438" s="9">
        <f t="shared" si="2235"/>
        <v>5.617708333</v>
      </c>
      <c r="AX1438" s="9">
        <f t="shared" ref="AX1438:AY1438" si="4495">AM1438/$AF1438</f>
        <v>1.1875</v>
      </c>
      <c r="AY1438" s="9">
        <f t="shared" si="4495"/>
        <v>0.3958333333</v>
      </c>
      <c r="AZ1438" s="9">
        <f>VLOOKUP(A1438,Jogos!A:BN,58,0)</f>
        <v>28.665</v>
      </c>
      <c r="BA1438" s="9">
        <f>VLOOKUP(A1438,Jogos!A:BN,59,0)</f>
        <v>21.61</v>
      </c>
      <c r="BB1438" s="9">
        <f>VLOOKUP(A1438,Jogos!A:BN,60,0)</f>
        <v>65.25</v>
      </c>
      <c r="BC1438" s="9">
        <f>VLOOKUP(A1438,Jogos!A:BN,61,0)</f>
        <v>28.2875</v>
      </c>
      <c r="BD1438" s="9">
        <f>VLOOKUP(A1438,Jogos!A:BN,62,0)</f>
        <v>467.3</v>
      </c>
      <c r="BE1438" s="9">
        <f>VLOOKUP(A1438,Jogos!A:BN,63,0)</f>
        <v>1.925</v>
      </c>
      <c r="BF1438" s="9">
        <f>VLOOKUP(A1438,Jogos!A:BN,64,0)</f>
        <v>24.49</v>
      </c>
      <c r="BG1438" s="9">
        <f>VLOOKUP(A1438,Jogos!A:BN,65,0)</f>
        <v>42.9275</v>
      </c>
      <c r="BH1438" s="9">
        <f>VLOOKUP(A1438,Jogos!A:BN,66,0)</f>
        <v>28.5975</v>
      </c>
      <c r="BI1438" s="9"/>
      <c r="BJ1438" s="9"/>
    </row>
    <row r="1439" hidden="1">
      <c r="A1439" s="2">
        <v>49.0</v>
      </c>
      <c r="B1439" s="2" t="s">
        <v>1350</v>
      </c>
      <c r="C1439" s="2" t="s">
        <v>1351</v>
      </c>
      <c r="D1439" s="22">
        <v>45836.0</v>
      </c>
      <c r="E1439" s="4">
        <v>0.5</v>
      </c>
      <c r="F1439" s="5" t="str">
        <f>VLOOKUP(A1439,Jogos!A:N,10,0)</f>
        <v>Afternoon</v>
      </c>
      <c r="G1439" s="2" t="s">
        <v>500</v>
      </c>
      <c r="H1439" s="6" t="str">
        <f>VLOOKUP(A1439,Jogos!A:L,12,0)</f>
        <v>Open</v>
      </c>
      <c r="I1439" s="6" t="str">
        <f>VLOOKUP(G1439,'Estádios e Cidades'!A:B,2,0)</f>
        <v>Philadelphia</v>
      </c>
      <c r="J1439" s="2" t="s">
        <v>250</v>
      </c>
      <c r="K1439" s="2" t="str">
        <f>VLOOKUP(J1439,Equipes!A:F,6,0)</f>
        <v>Temperate</v>
      </c>
      <c r="L1439" s="2">
        <f>VLOOKUP(J1439,Equipes!A:C,3,0)</f>
        <v>8</v>
      </c>
      <c r="M1439" s="2" t="str">
        <f t="shared" si="4"/>
        <v>Quarter-final</v>
      </c>
      <c r="N1439" s="2" t="s">
        <v>313</v>
      </c>
      <c r="O1439" s="2">
        <f>VLOOKUP(N1439,Equipes!A:C,3,0)</f>
        <v>14</v>
      </c>
      <c r="P1439" s="2" t="str">
        <f t="shared" si="5"/>
        <v>Round of 16</v>
      </c>
      <c r="Q1439" s="2">
        <f t="shared" si="6"/>
        <v>-6</v>
      </c>
      <c r="R1439" s="2" t="str">
        <f>VLOOKUP(J1439,Equipes!A:B,2,0)</f>
        <v>Palmeiras</v>
      </c>
      <c r="S1439" s="6" t="s">
        <v>278</v>
      </c>
      <c r="T1439" s="7">
        <v>40.0</v>
      </c>
      <c r="U1439" s="7" t="s">
        <v>279</v>
      </c>
      <c r="V1439" s="7" t="str">
        <f>VLOOKUP(U1439,Jogadores!B:C,2,0)</f>
        <v>MF</v>
      </c>
      <c r="W1439" s="8">
        <f>VLOOKUP(U1439,Jogadores!B:D,3,0)</f>
        <v>21.28767123</v>
      </c>
      <c r="X1439" s="7">
        <v>0.0</v>
      </c>
      <c r="Y1439" s="7">
        <v>71.0</v>
      </c>
      <c r="Z1439" s="7">
        <f>VLOOKUP(A1439,Jogos!A:L,3,0)</f>
        <v>51</v>
      </c>
      <c r="AA1439" s="7">
        <f t="shared" si="2229"/>
        <v>51</v>
      </c>
      <c r="AB1439" s="7">
        <f>VLOOKUP(A1439,Jogos!A:L,4,0)</f>
        <v>50</v>
      </c>
      <c r="AC1439" s="7">
        <f t="shared" si="4473"/>
        <v>26</v>
      </c>
      <c r="AD1439" s="7">
        <f>Jogos!$E$50-Jogos!$D$50-Jogos!$C$50</f>
        <v>38</v>
      </c>
      <c r="AE1439" s="7">
        <f t="shared" si="4474"/>
        <v>0</v>
      </c>
      <c r="AF1439" s="7">
        <f t="shared" si="2231"/>
        <v>77</v>
      </c>
      <c r="AG1439" s="7">
        <v>7742.9</v>
      </c>
      <c r="AH1439" s="7">
        <v>3352.7</v>
      </c>
      <c r="AI1439" s="7">
        <v>2648.1</v>
      </c>
      <c r="AJ1439" s="7">
        <v>1056.3</v>
      </c>
      <c r="AK1439" s="7">
        <v>521.4</v>
      </c>
      <c r="AL1439" s="7">
        <v>164.3</v>
      </c>
      <c r="AM1439" s="7">
        <v>84.0</v>
      </c>
      <c r="AN1439" s="7">
        <v>34.0</v>
      </c>
      <c r="AO1439" s="7">
        <v>30.5</v>
      </c>
      <c r="AP1439" s="9">
        <f t="shared" ref="AP1439:AR1439" si="4496">AG1439/$AF1439</f>
        <v>100.5571429</v>
      </c>
      <c r="AQ1439" s="9">
        <f t="shared" si="4496"/>
        <v>43.54155844</v>
      </c>
      <c r="AR1439" s="9">
        <f t="shared" si="4496"/>
        <v>34.39090909</v>
      </c>
      <c r="AS1439" s="9">
        <f t="shared" si="2233"/>
        <v>77.93246753</v>
      </c>
      <c r="AT1439" s="9">
        <f t="shared" ref="AT1439:AV1439" si="4497">AJ1439/$AF1439</f>
        <v>13.71818182</v>
      </c>
      <c r="AU1439" s="9">
        <f t="shared" si="4497"/>
        <v>6.771428571</v>
      </c>
      <c r="AV1439" s="9">
        <f t="shared" si="4497"/>
        <v>2.133766234</v>
      </c>
      <c r="AW1439" s="9">
        <f t="shared" si="2235"/>
        <v>8.905194805</v>
      </c>
      <c r="AX1439" s="9">
        <f t="shared" ref="AX1439:AY1439" si="4498">AM1439/$AF1439</f>
        <v>1.090909091</v>
      </c>
      <c r="AY1439" s="9">
        <f t="shared" si="4498"/>
        <v>0.4415584416</v>
      </c>
      <c r="AZ1439" s="9">
        <f>VLOOKUP(A1439,Jogos!A:BN,58,0)</f>
        <v>28.665</v>
      </c>
      <c r="BA1439" s="9">
        <f>VLOOKUP(A1439,Jogos!A:BN,59,0)</f>
        <v>21.61</v>
      </c>
      <c r="BB1439" s="9">
        <f>VLOOKUP(A1439,Jogos!A:BN,60,0)</f>
        <v>65.25</v>
      </c>
      <c r="BC1439" s="9">
        <f>VLOOKUP(A1439,Jogos!A:BN,61,0)</f>
        <v>28.2875</v>
      </c>
      <c r="BD1439" s="9">
        <f>VLOOKUP(A1439,Jogos!A:BN,62,0)</f>
        <v>467.3</v>
      </c>
      <c r="BE1439" s="9">
        <f>VLOOKUP(A1439,Jogos!A:BN,63,0)</f>
        <v>1.925</v>
      </c>
      <c r="BF1439" s="9">
        <f>VLOOKUP(A1439,Jogos!A:BN,64,0)</f>
        <v>24.49</v>
      </c>
      <c r="BG1439" s="9">
        <f>VLOOKUP(A1439,Jogos!A:BN,65,0)</f>
        <v>42.9275</v>
      </c>
      <c r="BH1439" s="9">
        <f>VLOOKUP(A1439,Jogos!A:BN,66,0)</f>
        <v>28.5975</v>
      </c>
      <c r="BI1439" s="9"/>
      <c r="BJ1439" s="9"/>
    </row>
    <row r="1440" hidden="1">
      <c r="A1440" s="2">
        <v>49.0</v>
      </c>
      <c r="B1440" s="2" t="s">
        <v>1350</v>
      </c>
      <c r="C1440" s="2" t="s">
        <v>1351</v>
      </c>
      <c r="D1440" s="22">
        <v>45836.0</v>
      </c>
      <c r="E1440" s="4">
        <v>0.5</v>
      </c>
      <c r="F1440" s="5" t="str">
        <f>VLOOKUP(A1440,Jogos!A:N,10,0)</f>
        <v>Afternoon</v>
      </c>
      <c r="G1440" s="2" t="s">
        <v>500</v>
      </c>
      <c r="H1440" s="6" t="str">
        <f>VLOOKUP(A1440,Jogos!A:L,12,0)</f>
        <v>Open</v>
      </c>
      <c r="I1440" s="6" t="str">
        <f>VLOOKUP(G1440,'Estádios e Cidades'!A:B,2,0)</f>
        <v>Philadelphia</v>
      </c>
      <c r="J1440" s="2" t="s">
        <v>250</v>
      </c>
      <c r="K1440" s="2" t="str">
        <f>VLOOKUP(J1440,Equipes!A:F,6,0)</f>
        <v>Temperate</v>
      </c>
      <c r="L1440" s="2">
        <f>VLOOKUP(J1440,Equipes!A:C,3,0)</f>
        <v>8</v>
      </c>
      <c r="M1440" s="2" t="str">
        <f t="shared" si="4"/>
        <v>Quarter-final</v>
      </c>
      <c r="N1440" s="2" t="s">
        <v>313</v>
      </c>
      <c r="O1440" s="2">
        <f>VLOOKUP(N1440,Equipes!A:C,3,0)</f>
        <v>14</v>
      </c>
      <c r="P1440" s="2" t="str">
        <f t="shared" si="5"/>
        <v>Round of 16</v>
      </c>
      <c r="Q1440" s="2">
        <f t="shared" si="6"/>
        <v>-6</v>
      </c>
      <c r="R1440" s="2" t="str">
        <f>VLOOKUP(J1440,Equipes!A:B,2,0)</f>
        <v>Palmeiras</v>
      </c>
      <c r="S1440" s="6" t="s">
        <v>270</v>
      </c>
      <c r="T1440" s="7">
        <v>41.0</v>
      </c>
      <c r="U1440" s="7" t="s">
        <v>271</v>
      </c>
      <c r="V1440" s="7" t="str">
        <f>VLOOKUP(U1440,Jogadores!B:C,2,0)</f>
        <v>FW</v>
      </c>
      <c r="W1440" s="8">
        <f>VLOOKUP(U1440,Jogadores!B:D,3,0)</f>
        <v>18.2739726</v>
      </c>
      <c r="X1440" s="7">
        <v>0.0</v>
      </c>
      <c r="Y1440" s="7">
        <v>63.0</v>
      </c>
      <c r="Z1440" s="7">
        <f>VLOOKUP(A1440,Jogos!A:L,3,0)</f>
        <v>51</v>
      </c>
      <c r="AA1440" s="7">
        <f t="shared" si="2229"/>
        <v>51</v>
      </c>
      <c r="AB1440" s="7">
        <f>VLOOKUP(A1440,Jogos!A:L,4,0)</f>
        <v>50</v>
      </c>
      <c r="AC1440" s="7">
        <f t="shared" si="4473"/>
        <v>18</v>
      </c>
      <c r="AD1440" s="7">
        <f>Jogos!$E$50-Jogos!$D$50-Jogos!$C$50</f>
        <v>38</v>
      </c>
      <c r="AE1440" s="7">
        <f t="shared" si="4474"/>
        <v>0</v>
      </c>
      <c r="AF1440" s="7">
        <f t="shared" si="2231"/>
        <v>69</v>
      </c>
      <c r="AG1440" s="7">
        <v>6518.2</v>
      </c>
      <c r="AH1440" s="7">
        <v>2657.8</v>
      </c>
      <c r="AI1440" s="7">
        <v>2280.1</v>
      </c>
      <c r="AJ1440" s="7">
        <v>1027.1</v>
      </c>
      <c r="AK1440" s="7">
        <v>338.0</v>
      </c>
      <c r="AL1440" s="7">
        <v>215.1</v>
      </c>
      <c r="AM1440" s="7">
        <v>73.0</v>
      </c>
      <c r="AN1440" s="7">
        <v>32.0</v>
      </c>
      <c r="AO1440" s="7">
        <v>32.7</v>
      </c>
      <c r="AP1440" s="9">
        <f t="shared" ref="AP1440:AR1440" si="4499">AG1440/$AF1440</f>
        <v>94.46666667</v>
      </c>
      <c r="AQ1440" s="9">
        <f t="shared" si="4499"/>
        <v>38.51884058</v>
      </c>
      <c r="AR1440" s="9">
        <f t="shared" si="4499"/>
        <v>33.04492754</v>
      </c>
      <c r="AS1440" s="9">
        <f t="shared" si="2233"/>
        <v>71.56376812</v>
      </c>
      <c r="AT1440" s="9">
        <f t="shared" ref="AT1440:AV1440" si="4500">AJ1440/$AF1440</f>
        <v>14.88550725</v>
      </c>
      <c r="AU1440" s="9">
        <f t="shared" si="4500"/>
        <v>4.898550725</v>
      </c>
      <c r="AV1440" s="9">
        <f t="shared" si="4500"/>
        <v>3.117391304</v>
      </c>
      <c r="AW1440" s="9">
        <f t="shared" si="2235"/>
        <v>8.015942029</v>
      </c>
      <c r="AX1440" s="9">
        <f t="shared" ref="AX1440:AY1440" si="4501">AM1440/$AF1440</f>
        <v>1.057971014</v>
      </c>
      <c r="AY1440" s="9">
        <f t="shared" si="4501"/>
        <v>0.4637681159</v>
      </c>
      <c r="AZ1440" s="9">
        <f>VLOOKUP(A1440,Jogos!A:BN,58,0)</f>
        <v>28.665</v>
      </c>
      <c r="BA1440" s="9">
        <f>VLOOKUP(A1440,Jogos!A:BN,59,0)</f>
        <v>21.61</v>
      </c>
      <c r="BB1440" s="9">
        <f>VLOOKUP(A1440,Jogos!A:BN,60,0)</f>
        <v>65.25</v>
      </c>
      <c r="BC1440" s="9">
        <f>VLOOKUP(A1440,Jogos!A:BN,61,0)</f>
        <v>28.2875</v>
      </c>
      <c r="BD1440" s="9">
        <f>VLOOKUP(A1440,Jogos!A:BN,62,0)</f>
        <v>467.3</v>
      </c>
      <c r="BE1440" s="9">
        <f>VLOOKUP(A1440,Jogos!A:BN,63,0)</f>
        <v>1.925</v>
      </c>
      <c r="BF1440" s="9">
        <f>VLOOKUP(A1440,Jogos!A:BN,64,0)</f>
        <v>24.49</v>
      </c>
      <c r="BG1440" s="9">
        <f>VLOOKUP(A1440,Jogos!A:BN,65,0)</f>
        <v>42.9275</v>
      </c>
      <c r="BH1440" s="9">
        <f>VLOOKUP(A1440,Jogos!A:BN,66,0)</f>
        <v>28.5975</v>
      </c>
      <c r="BI1440" s="9"/>
      <c r="BJ1440" s="9"/>
    </row>
    <row r="1441" hidden="1">
      <c r="A1441" s="2">
        <v>49.0</v>
      </c>
      <c r="B1441" s="2" t="s">
        <v>1350</v>
      </c>
      <c r="C1441" s="2" t="s">
        <v>1351</v>
      </c>
      <c r="D1441" s="22">
        <v>45836.0</v>
      </c>
      <c r="E1441" s="4">
        <v>0.5</v>
      </c>
      <c r="F1441" s="5" t="str">
        <f>VLOOKUP(A1441,Jogos!A:N,10,0)</f>
        <v>Afternoon</v>
      </c>
      <c r="G1441" s="2" t="s">
        <v>500</v>
      </c>
      <c r="H1441" s="6" t="str">
        <f>VLOOKUP(A1441,Jogos!A:L,12,0)</f>
        <v>Open</v>
      </c>
      <c r="I1441" s="6" t="str">
        <f>VLOOKUP(G1441,'Estádios e Cidades'!A:B,2,0)</f>
        <v>Philadelphia</v>
      </c>
      <c r="J1441" s="2" t="s">
        <v>250</v>
      </c>
      <c r="K1441" s="2" t="str">
        <f>VLOOKUP(J1441,Equipes!A:F,6,0)</f>
        <v>Temperate</v>
      </c>
      <c r="L1441" s="2">
        <f>VLOOKUP(J1441,Equipes!A:C,3,0)</f>
        <v>8</v>
      </c>
      <c r="M1441" s="2" t="str">
        <f t="shared" si="4"/>
        <v>Quarter-final</v>
      </c>
      <c r="N1441" s="2" t="s">
        <v>313</v>
      </c>
      <c r="O1441" s="2">
        <f>VLOOKUP(N1441,Equipes!A:C,3,0)</f>
        <v>14</v>
      </c>
      <c r="P1441" s="2" t="str">
        <f t="shared" si="5"/>
        <v>Round of 16</v>
      </c>
      <c r="Q1441" s="2">
        <f t="shared" si="6"/>
        <v>-6</v>
      </c>
      <c r="R1441" s="2" t="str">
        <f>VLOOKUP(J1441,Equipes!A:B,2,0)</f>
        <v>Palmeiras</v>
      </c>
      <c r="S1441" s="6" t="s">
        <v>254</v>
      </c>
      <c r="T1441" s="7">
        <v>5.0</v>
      </c>
      <c r="U1441" s="7" t="s">
        <v>255</v>
      </c>
      <c r="V1441" s="7" t="str">
        <f>VLOOKUP(U1441,Jogadores!B:C,2,0)</f>
        <v>MF</v>
      </c>
      <c r="W1441" s="8">
        <f>VLOOKUP(U1441,Jogadores!B:D,3,0)</f>
        <v>26.22739726</v>
      </c>
      <c r="X1441" s="7">
        <v>90.0</v>
      </c>
      <c r="Y1441" s="7">
        <f>45+AB1441+AD1441</f>
        <v>133</v>
      </c>
      <c r="Z1441" s="7">
        <f>VLOOKUP(A1441,Jogos!A:L,3,0)</f>
        <v>51</v>
      </c>
      <c r="AA1441" s="7">
        <f t="shared" si="2229"/>
        <v>0</v>
      </c>
      <c r="AB1441" s="7">
        <f>VLOOKUP(A1441,Jogos!A:L,4,0)</f>
        <v>50</v>
      </c>
      <c r="AC1441" s="23">
        <f>IF(X1441&lt;45,if(Y1441&lt;=45,0,if(Y1441&gt;90,Y1441-45-AD1441,Y1441-45)),if(X1441&gt;=90,0,AB1441+45-X1441))+5</f>
        <v>5</v>
      </c>
      <c r="AD1441" s="7">
        <f>Jogos!$E$50-Jogos!$D$50-Jogos!$C$50</f>
        <v>38</v>
      </c>
      <c r="AE1441" s="7">
        <f t="shared" si="4474"/>
        <v>38</v>
      </c>
      <c r="AF1441" s="7">
        <f t="shared" si="2231"/>
        <v>43</v>
      </c>
      <c r="AG1441" s="7">
        <v>4078.6</v>
      </c>
      <c r="AH1441" s="7">
        <v>1674.5</v>
      </c>
      <c r="AI1441" s="7">
        <v>1685.6</v>
      </c>
      <c r="AJ1441" s="7">
        <v>460.1</v>
      </c>
      <c r="AK1441" s="7">
        <v>223.4</v>
      </c>
      <c r="AL1441" s="7">
        <v>35.1</v>
      </c>
      <c r="AM1441" s="7">
        <v>45.0</v>
      </c>
      <c r="AN1441" s="7">
        <v>18.0</v>
      </c>
      <c r="AO1441" s="7">
        <v>27.0</v>
      </c>
      <c r="AP1441" s="9">
        <f t="shared" ref="AP1441:AR1441" si="4502">AG1441/$AF1441</f>
        <v>94.85116279</v>
      </c>
      <c r="AQ1441" s="9">
        <f t="shared" si="4502"/>
        <v>38.94186047</v>
      </c>
      <c r="AR1441" s="9">
        <f t="shared" si="4502"/>
        <v>39.2</v>
      </c>
      <c r="AS1441" s="9">
        <f t="shared" si="2233"/>
        <v>78.14186047</v>
      </c>
      <c r="AT1441" s="9">
        <f t="shared" ref="AT1441:AV1441" si="4503">AJ1441/$AF1441</f>
        <v>10.7</v>
      </c>
      <c r="AU1441" s="9">
        <f t="shared" si="4503"/>
        <v>5.195348837</v>
      </c>
      <c r="AV1441" s="9">
        <f t="shared" si="4503"/>
        <v>0.8162790698</v>
      </c>
      <c r="AW1441" s="9">
        <f t="shared" si="2235"/>
        <v>6.011627907</v>
      </c>
      <c r="AX1441" s="9">
        <f t="shared" ref="AX1441:AY1441" si="4504">AM1441/$AF1441</f>
        <v>1.046511628</v>
      </c>
      <c r="AY1441" s="9">
        <f t="shared" si="4504"/>
        <v>0.4186046512</v>
      </c>
      <c r="AZ1441" s="9">
        <f>VLOOKUP(A1441,Jogos!A:BN,58,0)</f>
        <v>28.665</v>
      </c>
      <c r="BA1441" s="9">
        <f>VLOOKUP(A1441,Jogos!A:BN,59,0)</f>
        <v>21.61</v>
      </c>
      <c r="BB1441" s="9">
        <f>VLOOKUP(A1441,Jogos!A:BN,60,0)</f>
        <v>65.25</v>
      </c>
      <c r="BC1441" s="9">
        <f>VLOOKUP(A1441,Jogos!A:BN,61,0)</f>
        <v>28.2875</v>
      </c>
      <c r="BD1441" s="9">
        <f>VLOOKUP(A1441,Jogos!A:BN,62,0)</f>
        <v>467.3</v>
      </c>
      <c r="BE1441" s="9">
        <f>VLOOKUP(A1441,Jogos!A:BN,63,0)</f>
        <v>1.925</v>
      </c>
      <c r="BF1441" s="9">
        <f>VLOOKUP(A1441,Jogos!A:BN,64,0)</f>
        <v>24.49</v>
      </c>
      <c r="BG1441" s="9">
        <f>VLOOKUP(A1441,Jogos!A:BN,65,0)</f>
        <v>42.9275</v>
      </c>
      <c r="BH1441" s="9">
        <f>VLOOKUP(A1441,Jogos!A:BN,66,0)</f>
        <v>28.5975</v>
      </c>
      <c r="BI1441" s="9"/>
      <c r="BJ1441" s="9"/>
    </row>
    <row r="1442" hidden="1">
      <c r="A1442" s="2">
        <v>49.0</v>
      </c>
      <c r="B1442" s="2" t="s">
        <v>1350</v>
      </c>
      <c r="C1442" s="2" t="s">
        <v>1351</v>
      </c>
      <c r="D1442" s="22">
        <v>45836.0</v>
      </c>
      <c r="E1442" s="4">
        <v>0.5</v>
      </c>
      <c r="F1442" s="5" t="str">
        <f>VLOOKUP(A1442,Jogos!A:N,10,0)</f>
        <v>Afternoon</v>
      </c>
      <c r="G1442" s="2" t="s">
        <v>500</v>
      </c>
      <c r="H1442" s="6" t="str">
        <f>VLOOKUP(A1442,Jogos!A:L,12,0)</f>
        <v>Open</v>
      </c>
      <c r="I1442" s="6" t="str">
        <f>VLOOKUP(G1442,'Estádios e Cidades'!A:B,2,0)</f>
        <v>Philadelphia</v>
      </c>
      <c r="J1442" s="2" t="s">
        <v>250</v>
      </c>
      <c r="K1442" s="2" t="str">
        <f>VLOOKUP(J1442,Equipes!A:F,6,0)</f>
        <v>Temperate</v>
      </c>
      <c r="L1442" s="2">
        <f>VLOOKUP(J1442,Equipes!A:C,3,0)</f>
        <v>8</v>
      </c>
      <c r="M1442" s="2" t="str">
        <f t="shared" si="4"/>
        <v>Quarter-final</v>
      </c>
      <c r="N1442" s="2" t="s">
        <v>313</v>
      </c>
      <c r="O1442" s="2">
        <f>VLOOKUP(N1442,Equipes!A:C,3,0)</f>
        <v>14</v>
      </c>
      <c r="P1442" s="2" t="str">
        <f t="shared" si="5"/>
        <v>Round of 16</v>
      </c>
      <c r="Q1442" s="2">
        <f t="shared" si="6"/>
        <v>-6</v>
      </c>
      <c r="R1442" s="2" t="str">
        <f>VLOOKUP(J1442,Equipes!A:B,2,0)</f>
        <v>Palmeiras</v>
      </c>
      <c r="S1442" s="6" t="s">
        <v>272</v>
      </c>
      <c r="T1442" s="7">
        <v>10.0</v>
      </c>
      <c r="U1442" s="7" t="s">
        <v>273</v>
      </c>
      <c r="V1442" s="7" t="str">
        <f>VLOOKUP(U1442,Jogadores!B:C,2,0)</f>
        <v>FW</v>
      </c>
      <c r="W1442" s="8">
        <f>VLOOKUP(U1442,Jogadores!B:D,3,0)</f>
        <v>25.05205479</v>
      </c>
      <c r="X1442" s="7">
        <v>64.0</v>
      </c>
      <c r="Y1442" s="7">
        <v>103.0</v>
      </c>
      <c r="Z1442" s="7">
        <f>VLOOKUP(A1442,Jogos!A:L,3,0)</f>
        <v>51</v>
      </c>
      <c r="AA1442" s="7">
        <f t="shared" si="2229"/>
        <v>0</v>
      </c>
      <c r="AB1442" s="7">
        <f>VLOOKUP(A1442,Jogos!A:L,4,0)</f>
        <v>50</v>
      </c>
      <c r="AC1442" s="7">
        <f t="shared" ref="AC1442:AC1451" si="4508">IF(X1442&lt;45,if(Y1442&lt;=45,0,if(Y1442&gt;90,Y1442-45-AD1442,Y1442-45)),if(X1442&gt;=90,0,AB1442+45-X1442))</f>
        <v>31</v>
      </c>
      <c r="AD1442" s="7">
        <f>Jogos!$E$50-Jogos!$D$50-Jogos!$C$50</f>
        <v>38</v>
      </c>
      <c r="AE1442" s="23">
        <v>13.0</v>
      </c>
      <c r="AF1442" s="7">
        <f t="shared" si="2231"/>
        <v>44</v>
      </c>
      <c r="AG1442" s="7">
        <v>4340.3</v>
      </c>
      <c r="AH1442" s="7">
        <v>2053.7</v>
      </c>
      <c r="AI1442" s="7">
        <v>1429.0</v>
      </c>
      <c r="AJ1442" s="7">
        <v>458.7</v>
      </c>
      <c r="AK1442" s="7">
        <v>347.3</v>
      </c>
      <c r="AL1442" s="7">
        <v>51.6</v>
      </c>
      <c r="AM1442" s="7">
        <v>41.0</v>
      </c>
      <c r="AN1442" s="7">
        <v>25.0</v>
      </c>
      <c r="AO1442" s="7">
        <v>29.3</v>
      </c>
      <c r="AP1442" s="9">
        <f t="shared" ref="AP1442:AR1442" si="4505">AG1442/$AF1442</f>
        <v>98.64318182</v>
      </c>
      <c r="AQ1442" s="9">
        <f t="shared" si="4505"/>
        <v>46.675</v>
      </c>
      <c r="AR1442" s="9">
        <f t="shared" si="4505"/>
        <v>32.47727273</v>
      </c>
      <c r="AS1442" s="9">
        <f t="shared" si="2233"/>
        <v>79.15227273</v>
      </c>
      <c r="AT1442" s="9">
        <f t="shared" ref="AT1442:AV1442" si="4506">AJ1442/$AF1442</f>
        <v>10.425</v>
      </c>
      <c r="AU1442" s="9">
        <f t="shared" si="4506"/>
        <v>7.893181818</v>
      </c>
      <c r="AV1442" s="9">
        <f t="shared" si="4506"/>
        <v>1.172727273</v>
      </c>
      <c r="AW1442" s="9">
        <f t="shared" si="2235"/>
        <v>9.065909091</v>
      </c>
      <c r="AX1442" s="9">
        <f t="shared" ref="AX1442:AY1442" si="4507">AM1442/$AF1442</f>
        <v>0.9318181818</v>
      </c>
      <c r="AY1442" s="9">
        <f t="shared" si="4507"/>
        <v>0.5681818182</v>
      </c>
      <c r="AZ1442" s="9">
        <f>VLOOKUP(A1442,Jogos!A:BN,58,0)</f>
        <v>28.665</v>
      </c>
      <c r="BA1442" s="9">
        <f>VLOOKUP(A1442,Jogos!A:BN,59,0)</f>
        <v>21.61</v>
      </c>
      <c r="BB1442" s="9">
        <f>VLOOKUP(A1442,Jogos!A:BN,60,0)</f>
        <v>65.25</v>
      </c>
      <c r="BC1442" s="9">
        <f>VLOOKUP(A1442,Jogos!A:BN,61,0)</f>
        <v>28.2875</v>
      </c>
      <c r="BD1442" s="9">
        <f>VLOOKUP(A1442,Jogos!A:BN,62,0)</f>
        <v>467.3</v>
      </c>
      <c r="BE1442" s="9">
        <f>VLOOKUP(A1442,Jogos!A:BN,63,0)</f>
        <v>1.925</v>
      </c>
      <c r="BF1442" s="9">
        <f>VLOOKUP(A1442,Jogos!A:BN,64,0)</f>
        <v>24.49</v>
      </c>
      <c r="BG1442" s="9">
        <f>VLOOKUP(A1442,Jogos!A:BN,65,0)</f>
        <v>42.9275</v>
      </c>
      <c r="BH1442" s="9">
        <f>VLOOKUP(A1442,Jogos!A:BN,66,0)</f>
        <v>28.5975</v>
      </c>
      <c r="BI1442" s="9"/>
      <c r="BJ1442" s="9"/>
    </row>
    <row r="1443" hidden="1">
      <c r="A1443" s="2">
        <v>49.0</v>
      </c>
      <c r="B1443" s="2" t="s">
        <v>1350</v>
      </c>
      <c r="C1443" s="2" t="s">
        <v>1351</v>
      </c>
      <c r="D1443" s="22">
        <v>45836.0</v>
      </c>
      <c r="E1443" s="4">
        <v>0.5</v>
      </c>
      <c r="F1443" s="5" t="str">
        <f>VLOOKUP(A1443,Jogos!A:N,10,0)</f>
        <v>Afternoon</v>
      </c>
      <c r="G1443" s="2" t="s">
        <v>500</v>
      </c>
      <c r="H1443" s="6" t="str">
        <f>VLOOKUP(A1443,Jogos!A:L,12,0)</f>
        <v>Open</v>
      </c>
      <c r="I1443" s="6" t="str">
        <f>VLOOKUP(G1443,'Estádios e Cidades'!A:B,2,0)</f>
        <v>Philadelphia</v>
      </c>
      <c r="J1443" s="2" t="s">
        <v>250</v>
      </c>
      <c r="K1443" s="2" t="str">
        <f>VLOOKUP(J1443,Equipes!A:F,6,0)</f>
        <v>Temperate</v>
      </c>
      <c r="L1443" s="2">
        <f>VLOOKUP(J1443,Equipes!A:C,3,0)</f>
        <v>8</v>
      </c>
      <c r="M1443" s="2" t="str">
        <f t="shared" si="4"/>
        <v>Quarter-final</v>
      </c>
      <c r="N1443" s="2" t="s">
        <v>313</v>
      </c>
      <c r="O1443" s="2">
        <f>VLOOKUP(N1443,Equipes!A:C,3,0)</f>
        <v>14</v>
      </c>
      <c r="P1443" s="2" t="str">
        <f t="shared" si="5"/>
        <v>Round of 16</v>
      </c>
      <c r="Q1443" s="2">
        <f t="shared" si="6"/>
        <v>-6</v>
      </c>
      <c r="R1443" s="2" t="str">
        <f>VLOOKUP(J1443,Equipes!A:B,2,0)</f>
        <v>Palmeiras</v>
      </c>
      <c r="S1443" s="6" t="s">
        <v>1352</v>
      </c>
      <c r="T1443" s="7">
        <v>12.0</v>
      </c>
      <c r="U1443" s="7" t="s">
        <v>1353</v>
      </c>
      <c r="V1443" s="7" t="str">
        <f>VLOOKUP(U1443,Jogadores!B:C,2,0)</f>
        <v>DF</v>
      </c>
      <c r="W1443" s="8">
        <f>VLOOKUP(U1443,Jogadores!B:D,3,0)</f>
        <v>32.73424658</v>
      </c>
      <c r="X1443" s="7">
        <v>71.0</v>
      </c>
      <c r="Y1443" s="7">
        <f t="shared" ref="Y1443:Y1447" si="4512">45+AB1443+AD1443</f>
        <v>133</v>
      </c>
      <c r="Z1443" s="7">
        <f>VLOOKUP(A1443,Jogos!A:L,3,0)</f>
        <v>51</v>
      </c>
      <c r="AA1443" s="7">
        <f t="shared" si="2229"/>
        <v>0</v>
      </c>
      <c r="AB1443" s="7">
        <f>VLOOKUP(A1443,Jogos!A:L,4,0)</f>
        <v>50</v>
      </c>
      <c r="AC1443" s="7">
        <f t="shared" si="4508"/>
        <v>24</v>
      </c>
      <c r="AD1443" s="7">
        <f>Jogos!$E$50-Jogos!$D$50-Jogos!$C$50</f>
        <v>38</v>
      </c>
      <c r="AE1443" s="7">
        <f t="shared" ref="AE1443:AE1451" si="4513">if(X1443&lt;=90,if(Y1443&lt;=90,0,(Y1443-45-AB1443)),90+AD1443-X1443)</f>
        <v>38</v>
      </c>
      <c r="AF1443" s="7">
        <f t="shared" si="2231"/>
        <v>62</v>
      </c>
      <c r="AG1443" s="7">
        <v>6299.3</v>
      </c>
      <c r="AH1443" s="7">
        <v>2641.2</v>
      </c>
      <c r="AI1443" s="7">
        <v>2272.4</v>
      </c>
      <c r="AJ1443" s="7">
        <v>819.3</v>
      </c>
      <c r="AK1443" s="7">
        <v>386.2</v>
      </c>
      <c r="AL1443" s="7">
        <v>180.2</v>
      </c>
      <c r="AM1443" s="7">
        <v>72.0</v>
      </c>
      <c r="AN1443" s="7">
        <v>29.0</v>
      </c>
      <c r="AO1443" s="7">
        <v>30.8</v>
      </c>
      <c r="AP1443" s="9">
        <f t="shared" ref="AP1443:AR1443" si="4509">AG1443/$AF1443</f>
        <v>101.6016129</v>
      </c>
      <c r="AQ1443" s="9">
        <f t="shared" si="4509"/>
        <v>42.6</v>
      </c>
      <c r="AR1443" s="9">
        <f t="shared" si="4509"/>
        <v>36.6516129</v>
      </c>
      <c r="AS1443" s="9">
        <f t="shared" si="2233"/>
        <v>79.2516129</v>
      </c>
      <c r="AT1443" s="9">
        <f t="shared" ref="AT1443:AV1443" si="4510">AJ1443/$AF1443</f>
        <v>13.21451613</v>
      </c>
      <c r="AU1443" s="9">
        <f t="shared" si="4510"/>
        <v>6.229032258</v>
      </c>
      <c r="AV1443" s="9">
        <f t="shared" si="4510"/>
        <v>2.906451613</v>
      </c>
      <c r="AW1443" s="9">
        <f t="shared" si="2235"/>
        <v>9.135483871</v>
      </c>
      <c r="AX1443" s="9">
        <f t="shared" ref="AX1443:AY1443" si="4511">AM1443/$AF1443</f>
        <v>1.161290323</v>
      </c>
      <c r="AY1443" s="9">
        <f t="shared" si="4511"/>
        <v>0.4677419355</v>
      </c>
      <c r="AZ1443" s="9">
        <f>VLOOKUP(A1443,Jogos!A:BN,58,0)</f>
        <v>28.665</v>
      </c>
      <c r="BA1443" s="9">
        <f>VLOOKUP(A1443,Jogos!A:BN,59,0)</f>
        <v>21.61</v>
      </c>
      <c r="BB1443" s="9">
        <f>VLOOKUP(A1443,Jogos!A:BN,60,0)</f>
        <v>65.25</v>
      </c>
      <c r="BC1443" s="9">
        <f>VLOOKUP(A1443,Jogos!A:BN,61,0)</f>
        <v>28.2875</v>
      </c>
      <c r="BD1443" s="9">
        <f>VLOOKUP(A1443,Jogos!A:BN,62,0)</f>
        <v>467.3</v>
      </c>
      <c r="BE1443" s="9">
        <f>VLOOKUP(A1443,Jogos!A:BN,63,0)</f>
        <v>1.925</v>
      </c>
      <c r="BF1443" s="9">
        <f>VLOOKUP(A1443,Jogos!A:BN,64,0)</f>
        <v>24.49</v>
      </c>
      <c r="BG1443" s="9">
        <f>VLOOKUP(A1443,Jogos!A:BN,65,0)</f>
        <v>42.9275</v>
      </c>
      <c r="BH1443" s="9">
        <f>VLOOKUP(A1443,Jogos!A:BN,66,0)</f>
        <v>28.5975</v>
      </c>
      <c r="BI1443" s="9"/>
      <c r="BJ1443" s="9"/>
    </row>
    <row r="1444" hidden="1">
      <c r="A1444" s="2">
        <v>49.0</v>
      </c>
      <c r="B1444" s="2" t="s">
        <v>1350</v>
      </c>
      <c r="C1444" s="2" t="s">
        <v>1351</v>
      </c>
      <c r="D1444" s="22">
        <v>45836.0</v>
      </c>
      <c r="E1444" s="4">
        <v>0.5</v>
      </c>
      <c r="F1444" s="5" t="str">
        <f>VLOOKUP(A1444,Jogos!A:N,10,0)</f>
        <v>Afternoon</v>
      </c>
      <c r="G1444" s="2" t="s">
        <v>500</v>
      </c>
      <c r="H1444" s="6" t="str">
        <f>VLOOKUP(A1444,Jogos!A:L,12,0)</f>
        <v>Open</v>
      </c>
      <c r="I1444" s="6" t="str">
        <f>VLOOKUP(G1444,'Estádios e Cidades'!A:B,2,0)</f>
        <v>Philadelphia</v>
      </c>
      <c r="J1444" s="2" t="s">
        <v>250</v>
      </c>
      <c r="K1444" s="2" t="str">
        <f>VLOOKUP(J1444,Equipes!A:F,6,0)</f>
        <v>Temperate</v>
      </c>
      <c r="L1444" s="2">
        <f>VLOOKUP(J1444,Equipes!A:C,3,0)</f>
        <v>8</v>
      </c>
      <c r="M1444" s="2" t="str">
        <f t="shared" si="4"/>
        <v>Quarter-final</v>
      </c>
      <c r="N1444" s="2" t="s">
        <v>313</v>
      </c>
      <c r="O1444" s="2">
        <f>VLOOKUP(N1444,Equipes!A:C,3,0)</f>
        <v>14</v>
      </c>
      <c r="P1444" s="2" t="str">
        <f t="shared" si="5"/>
        <v>Round of 16</v>
      </c>
      <c r="Q1444" s="2">
        <f t="shared" si="6"/>
        <v>-6</v>
      </c>
      <c r="R1444" s="2" t="str">
        <f>VLOOKUP(J1444,Equipes!A:B,2,0)</f>
        <v>Palmeiras</v>
      </c>
      <c r="S1444" s="6" t="s">
        <v>1354</v>
      </c>
      <c r="T1444" s="7">
        <v>13.0</v>
      </c>
      <c r="U1444" s="7" t="s">
        <v>1355</v>
      </c>
      <c r="V1444" s="7" t="str">
        <f>VLOOKUP(U1444,Jogadores!B:C,2,0)</f>
        <v>DF</v>
      </c>
      <c r="W1444" s="8">
        <f>VLOOKUP(U1444,Jogadores!B:D,3,0)</f>
        <v>42.4739726</v>
      </c>
      <c r="X1444" s="7">
        <v>103.0</v>
      </c>
      <c r="Y1444" s="7">
        <f t="shared" si="4512"/>
        <v>133</v>
      </c>
      <c r="Z1444" s="7">
        <f>VLOOKUP(A1444,Jogos!A:L,3,0)</f>
        <v>51</v>
      </c>
      <c r="AA1444" s="7">
        <f t="shared" si="2229"/>
        <v>0</v>
      </c>
      <c r="AB1444" s="7">
        <f>VLOOKUP(A1444,Jogos!A:L,4,0)</f>
        <v>50</v>
      </c>
      <c r="AC1444" s="7">
        <f t="shared" si="4508"/>
        <v>0</v>
      </c>
      <c r="AD1444" s="7">
        <f>Jogos!$E$50-Jogos!$D$50-Jogos!$C$50</f>
        <v>38</v>
      </c>
      <c r="AE1444" s="7">
        <f t="shared" si="4513"/>
        <v>25</v>
      </c>
      <c r="AF1444" s="7">
        <f t="shared" si="2231"/>
        <v>25</v>
      </c>
      <c r="AG1444" s="7">
        <v>2103.6</v>
      </c>
      <c r="AH1444" s="7">
        <v>1183.7</v>
      </c>
      <c r="AI1444" s="7">
        <v>649.2</v>
      </c>
      <c r="AJ1444" s="7">
        <v>154.2</v>
      </c>
      <c r="AK1444" s="7">
        <v>98.0</v>
      </c>
      <c r="AL1444" s="7">
        <v>18.6</v>
      </c>
      <c r="AM1444" s="7">
        <v>14.0</v>
      </c>
      <c r="AN1444" s="7">
        <v>8.0</v>
      </c>
      <c r="AO1444" s="7">
        <v>29.5</v>
      </c>
      <c r="AP1444" s="9">
        <f t="shared" ref="AP1444:AR1444" si="4514">AG1444/$AF1444</f>
        <v>84.144</v>
      </c>
      <c r="AQ1444" s="9">
        <f t="shared" si="4514"/>
        <v>47.348</v>
      </c>
      <c r="AR1444" s="9">
        <f t="shared" si="4514"/>
        <v>25.968</v>
      </c>
      <c r="AS1444" s="9">
        <f t="shared" si="2233"/>
        <v>73.316</v>
      </c>
      <c r="AT1444" s="9">
        <f t="shared" ref="AT1444:AV1444" si="4515">AJ1444/$AF1444</f>
        <v>6.168</v>
      </c>
      <c r="AU1444" s="9">
        <f t="shared" si="4515"/>
        <v>3.92</v>
      </c>
      <c r="AV1444" s="9">
        <f t="shared" si="4515"/>
        <v>0.744</v>
      </c>
      <c r="AW1444" s="9">
        <f t="shared" si="2235"/>
        <v>4.664</v>
      </c>
      <c r="AX1444" s="9">
        <f t="shared" ref="AX1444:AY1444" si="4516">AM1444/$AF1444</f>
        <v>0.56</v>
      </c>
      <c r="AY1444" s="9">
        <f t="shared" si="4516"/>
        <v>0.32</v>
      </c>
      <c r="AZ1444" s="9">
        <f>VLOOKUP(A1444,Jogos!A:BN,58,0)</f>
        <v>28.665</v>
      </c>
      <c r="BA1444" s="9">
        <f>VLOOKUP(A1444,Jogos!A:BN,59,0)</f>
        <v>21.61</v>
      </c>
      <c r="BB1444" s="9">
        <f>VLOOKUP(A1444,Jogos!A:BN,60,0)</f>
        <v>65.25</v>
      </c>
      <c r="BC1444" s="9">
        <f>VLOOKUP(A1444,Jogos!A:BN,61,0)</f>
        <v>28.2875</v>
      </c>
      <c r="BD1444" s="9">
        <f>VLOOKUP(A1444,Jogos!A:BN,62,0)</f>
        <v>467.3</v>
      </c>
      <c r="BE1444" s="9">
        <f>VLOOKUP(A1444,Jogos!A:BN,63,0)</f>
        <v>1.925</v>
      </c>
      <c r="BF1444" s="9">
        <f>VLOOKUP(A1444,Jogos!A:BN,64,0)</f>
        <v>24.49</v>
      </c>
      <c r="BG1444" s="9">
        <f>VLOOKUP(A1444,Jogos!A:BN,65,0)</f>
        <v>42.9275</v>
      </c>
      <c r="BH1444" s="9">
        <f>VLOOKUP(A1444,Jogos!A:BN,66,0)</f>
        <v>28.5975</v>
      </c>
      <c r="BI1444" s="9"/>
      <c r="BJ1444" s="9"/>
    </row>
    <row r="1445" hidden="1">
      <c r="A1445" s="2">
        <v>49.0</v>
      </c>
      <c r="B1445" s="2" t="s">
        <v>1350</v>
      </c>
      <c r="C1445" s="2" t="s">
        <v>1351</v>
      </c>
      <c r="D1445" s="22">
        <v>45836.0</v>
      </c>
      <c r="E1445" s="4">
        <v>0.5</v>
      </c>
      <c r="F1445" s="5" t="str">
        <f>VLOOKUP(A1445,Jogos!A:N,10,0)</f>
        <v>Afternoon</v>
      </c>
      <c r="G1445" s="2" t="s">
        <v>500</v>
      </c>
      <c r="H1445" s="6" t="str">
        <f>VLOOKUP(A1445,Jogos!A:L,12,0)</f>
        <v>Open</v>
      </c>
      <c r="I1445" s="6" t="str">
        <f>VLOOKUP(G1445,'Estádios e Cidades'!A:B,2,0)</f>
        <v>Philadelphia</v>
      </c>
      <c r="J1445" s="2" t="s">
        <v>250</v>
      </c>
      <c r="K1445" s="2" t="str">
        <f>VLOOKUP(J1445,Equipes!A:F,6,0)</f>
        <v>Temperate</v>
      </c>
      <c r="L1445" s="2">
        <f>VLOOKUP(J1445,Equipes!A:C,3,0)</f>
        <v>8</v>
      </c>
      <c r="M1445" s="2" t="str">
        <f t="shared" si="4"/>
        <v>Quarter-final</v>
      </c>
      <c r="N1445" s="2" t="s">
        <v>313</v>
      </c>
      <c r="O1445" s="2">
        <f>VLOOKUP(N1445,Equipes!A:C,3,0)</f>
        <v>14</v>
      </c>
      <c r="P1445" s="2" t="str">
        <f t="shared" si="5"/>
        <v>Round of 16</v>
      </c>
      <c r="Q1445" s="2">
        <f t="shared" si="6"/>
        <v>-6</v>
      </c>
      <c r="R1445" s="2" t="str">
        <f>VLOOKUP(J1445,Equipes!A:B,2,0)</f>
        <v>Palmeiras</v>
      </c>
      <c r="S1445" s="6" t="s">
        <v>1060</v>
      </c>
      <c r="T1445" s="7">
        <v>17.0</v>
      </c>
      <c r="U1445" s="7" t="s">
        <v>1061</v>
      </c>
      <c r="V1445" s="7" t="str">
        <f>VLOOKUP(U1445,Jogadores!B:C,2,0)</f>
        <v>FW</v>
      </c>
      <c r="W1445" s="8">
        <f>VLOOKUP(U1445,Jogadores!B:D,3,0)</f>
        <v>25.30684932</v>
      </c>
      <c r="X1445" s="7">
        <v>85.0</v>
      </c>
      <c r="Y1445" s="7">
        <f t="shared" si="4512"/>
        <v>133</v>
      </c>
      <c r="Z1445" s="7">
        <f>VLOOKUP(A1445,Jogos!A:L,3,0)</f>
        <v>51</v>
      </c>
      <c r="AA1445" s="7">
        <f t="shared" si="2229"/>
        <v>0</v>
      </c>
      <c r="AB1445" s="7">
        <f>VLOOKUP(A1445,Jogos!A:L,4,0)</f>
        <v>50</v>
      </c>
      <c r="AC1445" s="7">
        <f t="shared" si="4508"/>
        <v>10</v>
      </c>
      <c r="AD1445" s="7">
        <f>Jogos!$E$50-Jogos!$D$50-Jogos!$C$50</f>
        <v>38</v>
      </c>
      <c r="AE1445" s="7">
        <f t="shared" si="4513"/>
        <v>38</v>
      </c>
      <c r="AF1445" s="7">
        <f t="shared" si="2231"/>
        <v>48</v>
      </c>
      <c r="AG1445" s="7">
        <v>5578.0</v>
      </c>
      <c r="AH1445" s="7">
        <v>1988.7</v>
      </c>
      <c r="AI1445" s="7">
        <v>2483.4</v>
      </c>
      <c r="AJ1445" s="7">
        <v>790.3</v>
      </c>
      <c r="AK1445" s="7">
        <v>254.1</v>
      </c>
      <c r="AL1445" s="7">
        <v>61.5</v>
      </c>
      <c r="AM1445" s="7">
        <v>74.0</v>
      </c>
      <c r="AN1445" s="7">
        <v>19.0</v>
      </c>
      <c r="AO1445" s="7">
        <v>29.9</v>
      </c>
      <c r="AP1445" s="9">
        <f t="shared" ref="AP1445:AR1445" si="4517">AG1445/$AF1445</f>
        <v>116.2083333</v>
      </c>
      <c r="AQ1445" s="9">
        <f t="shared" si="4517"/>
        <v>41.43125</v>
      </c>
      <c r="AR1445" s="9">
        <f t="shared" si="4517"/>
        <v>51.7375</v>
      </c>
      <c r="AS1445" s="9">
        <f t="shared" si="2233"/>
        <v>93.16875</v>
      </c>
      <c r="AT1445" s="9">
        <f t="shared" ref="AT1445:AV1445" si="4518">AJ1445/$AF1445</f>
        <v>16.46458333</v>
      </c>
      <c r="AU1445" s="9">
        <f t="shared" si="4518"/>
        <v>5.29375</v>
      </c>
      <c r="AV1445" s="9">
        <f t="shared" si="4518"/>
        <v>1.28125</v>
      </c>
      <c r="AW1445" s="9">
        <f t="shared" si="2235"/>
        <v>6.575</v>
      </c>
      <c r="AX1445" s="9">
        <f t="shared" ref="AX1445:AY1445" si="4519">AM1445/$AF1445</f>
        <v>1.541666667</v>
      </c>
      <c r="AY1445" s="9">
        <f t="shared" si="4519"/>
        <v>0.3958333333</v>
      </c>
      <c r="AZ1445" s="9">
        <f>VLOOKUP(A1445,Jogos!A:BN,58,0)</f>
        <v>28.665</v>
      </c>
      <c r="BA1445" s="9">
        <f>VLOOKUP(A1445,Jogos!A:BN,59,0)</f>
        <v>21.61</v>
      </c>
      <c r="BB1445" s="9">
        <f>VLOOKUP(A1445,Jogos!A:BN,60,0)</f>
        <v>65.25</v>
      </c>
      <c r="BC1445" s="9">
        <f>VLOOKUP(A1445,Jogos!A:BN,61,0)</f>
        <v>28.2875</v>
      </c>
      <c r="BD1445" s="9">
        <f>VLOOKUP(A1445,Jogos!A:BN,62,0)</f>
        <v>467.3</v>
      </c>
      <c r="BE1445" s="9">
        <f>VLOOKUP(A1445,Jogos!A:BN,63,0)</f>
        <v>1.925</v>
      </c>
      <c r="BF1445" s="9">
        <f>VLOOKUP(A1445,Jogos!A:BN,64,0)</f>
        <v>24.49</v>
      </c>
      <c r="BG1445" s="9">
        <f>VLOOKUP(A1445,Jogos!A:BN,65,0)</f>
        <v>42.9275</v>
      </c>
      <c r="BH1445" s="9">
        <f>VLOOKUP(A1445,Jogos!A:BN,66,0)</f>
        <v>28.5975</v>
      </c>
      <c r="BI1445" s="9"/>
      <c r="BJ1445" s="9"/>
    </row>
    <row r="1446" hidden="1">
      <c r="A1446" s="2">
        <v>49.0</v>
      </c>
      <c r="B1446" s="2" t="s">
        <v>1350</v>
      </c>
      <c r="C1446" s="2" t="s">
        <v>1351</v>
      </c>
      <c r="D1446" s="22">
        <v>45836.0</v>
      </c>
      <c r="E1446" s="4">
        <v>0.5</v>
      </c>
      <c r="F1446" s="5" t="str">
        <f>VLOOKUP(A1446,Jogos!A:N,10,0)</f>
        <v>Afternoon</v>
      </c>
      <c r="G1446" s="2" t="s">
        <v>500</v>
      </c>
      <c r="H1446" s="6" t="str">
        <f>VLOOKUP(A1446,Jogos!A:L,12,0)</f>
        <v>Open</v>
      </c>
      <c r="I1446" s="6" t="str">
        <f>VLOOKUP(G1446,'Estádios e Cidades'!A:B,2,0)</f>
        <v>Philadelphia</v>
      </c>
      <c r="J1446" s="2" t="s">
        <v>250</v>
      </c>
      <c r="K1446" s="2" t="str">
        <f>VLOOKUP(J1446,Equipes!A:F,6,0)</f>
        <v>Temperate</v>
      </c>
      <c r="L1446" s="2">
        <f>VLOOKUP(J1446,Equipes!A:C,3,0)</f>
        <v>8</v>
      </c>
      <c r="M1446" s="2" t="str">
        <f t="shared" si="4"/>
        <v>Quarter-final</v>
      </c>
      <c r="N1446" s="2" t="s">
        <v>313</v>
      </c>
      <c r="O1446" s="2">
        <f>VLOOKUP(N1446,Equipes!A:C,3,0)</f>
        <v>14</v>
      </c>
      <c r="P1446" s="2" t="str">
        <f t="shared" si="5"/>
        <v>Round of 16</v>
      </c>
      <c r="Q1446" s="2">
        <f t="shared" si="6"/>
        <v>-6</v>
      </c>
      <c r="R1446" s="2" t="str">
        <f>VLOOKUP(J1446,Equipes!A:B,2,0)</f>
        <v>Palmeiras</v>
      </c>
      <c r="S1446" s="6" t="s">
        <v>1356</v>
      </c>
      <c r="T1446" s="7">
        <v>31.0</v>
      </c>
      <c r="U1446" s="7" t="s">
        <v>1357</v>
      </c>
      <c r="V1446" s="7" t="str">
        <f>VLOOKUP(U1446,Jogadores!B:C,2,0)</f>
        <v>FW</v>
      </c>
      <c r="W1446" s="8">
        <f>VLOOKUP(U1446,Jogadores!B:D,3,0)</f>
        <v>19.25753425</v>
      </c>
      <c r="X1446" s="7">
        <v>63.0</v>
      </c>
      <c r="Y1446" s="7">
        <f t="shared" si="4512"/>
        <v>133</v>
      </c>
      <c r="Z1446" s="7">
        <f>VLOOKUP(A1446,Jogos!A:L,3,0)</f>
        <v>51</v>
      </c>
      <c r="AA1446" s="7">
        <f t="shared" si="2229"/>
        <v>0</v>
      </c>
      <c r="AB1446" s="7">
        <f>VLOOKUP(A1446,Jogos!A:L,4,0)</f>
        <v>50</v>
      </c>
      <c r="AC1446" s="7">
        <f t="shared" si="4508"/>
        <v>32</v>
      </c>
      <c r="AD1446" s="7">
        <f>Jogos!$E$50-Jogos!$D$50-Jogos!$C$50</f>
        <v>38</v>
      </c>
      <c r="AE1446" s="7">
        <f t="shared" si="4513"/>
        <v>38</v>
      </c>
      <c r="AF1446" s="7">
        <f t="shared" si="2231"/>
        <v>70</v>
      </c>
      <c r="AG1446" s="7">
        <v>7334.3</v>
      </c>
      <c r="AH1446" s="7">
        <v>2874.1</v>
      </c>
      <c r="AI1446" s="7">
        <v>3116.1</v>
      </c>
      <c r="AJ1446" s="7">
        <v>911.9</v>
      </c>
      <c r="AK1446" s="7">
        <v>292.8</v>
      </c>
      <c r="AL1446" s="7">
        <v>139.4</v>
      </c>
      <c r="AM1446" s="7">
        <v>84.0</v>
      </c>
      <c r="AN1446" s="7">
        <v>25.0</v>
      </c>
      <c r="AO1446" s="7">
        <v>31.2</v>
      </c>
      <c r="AP1446" s="9">
        <f t="shared" ref="AP1446:AR1446" si="4520">AG1446/$AF1446</f>
        <v>104.7757143</v>
      </c>
      <c r="AQ1446" s="9">
        <f t="shared" si="4520"/>
        <v>41.05857143</v>
      </c>
      <c r="AR1446" s="9">
        <f t="shared" si="4520"/>
        <v>44.51571429</v>
      </c>
      <c r="AS1446" s="9">
        <f t="shared" si="2233"/>
        <v>85.57428571</v>
      </c>
      <c r="AT1446" s="9">
        <f t="shared" ref="AT1446:AV1446" si="4521">AJ1446/$AF1446</f>
        <v>13.02714286</v>
      </c>
      <c r="AU1446" s="9">
        <f t="shared" si="4521"/>
        <v>4.182857143</v>
      </c>
      <c r="AV1446" s="9">
        <f t="shared" si="4521"/>
        <v>1.991428571</v>
      </c>
      <c r="AW1446" s="9">
        <f t="shared" si="2235"/>
        <v>6.174285714</v>
      </c>
      <c r="AX1446" s="9">
        <f t="shared" ref="AX1446:AY1446" si="4522">AM1446/$AF1446</f>
        <v>1.2</v>
      </c>
      <c r="AY1446" s="9">
        <f t="shared" si="4522"/>
        <v>0.3571428571</v>
      </c>
      <c r="AZ1446" s="9">
        <f>VLOOKUP(A1446,Jogos!A:BN,58,0)</f>
        <v>28.665</v>
      </c>
      <c r="BA1446" s="9">
        <f>VLOOKUP(A1446,Jogos!A:BN,59,0)</f>
        <v>21.61</v>
      </c>
      <c r="BB1446" s="9">
        <f>VLOOKUP(A1446,Jogos!A:BN,60,0)</f>
        <v>65.25</v>
      </c>
      <c r="BC1446" s="9">
        <f>VLOOKUP(A1446,Jogos!A:BN,61,0)</f>
        <v>28.2875</v>
      </c>
      <c r="BD1446" s="9">
        <f>VLOOKUP(A1446,Jogos!A:BN,62,0)</f>
        <v>467.3</v>
      </c>
      <c r="BE1446" s="9">
        <f>VLOOKUP(A1446,Jogos!A:BN,63,0)</f>
        <v>1.925</v>
      </c>
      <c r="BF1446" s="9">
        <f>VLOOKUP(A1446,Jogos!A:BN,64,0)</f>
        <v>24.49</v>
      </c>
      <c r="BG1446" s="9">
        <f>VLOOKUP(A1446,Jogos!A:BN,65,0)</f>
        <v>42.9275</v>
      </c>
      <c r="BH1446" s="9">
        <f>VLOOKUP(A1446,Jogos!A:BN,66,0)</f>
        <v>28.5975</v>
      </c>
      <c r="BI1446" s="9"/>
      <c r="BJ1446" s="9"/>
    </row>
    <row r="1447" hidden="1">
      <c r="A1447" s="2">
        <v>49.0</v>
      </c>
      <c r="B1447" s="2" t="s">
        <v>1350</v>
      </c>
      <c r="C1447" s="2" t="s">
        <v>1351</v>
      </c>
      <c r="D1447" s="22">
        <v>45836.0</v>
      </c>
      <c r="E1447" s="4">
        <v>0.5</v>
      </c>
      <c r="F1447" s="5" t="str">
        <f>VLOOKUP(A1447,Jogos!A:N,10,0)</f>
        <v>Afternoon</v>
      </c>
      <c r="G1447" s="2" t="s">
        <v>500</v>
      </c>
      <c r="H1447" s="6" t="str">
        <f>VLOOKUP(A1447,Jogos!A:L,12,0)</f>
        <v>Open</v>
      </c>
      <c r="I1447" s="6" t="str">
        <f>VLOOKUP(G1447,'Estádios e Cidades'!A:B,2,0)</f>
        <v>Philadelphia</v>
      </c>
      <c r="J1447" s="2" t="s">
        <v>313</v>
      </c>
      <c r="K1447" s="2" t="str">
        <f>VLOOKUP(J1447,Equipes!A:F,6,0)</f>
        <v>Tropical</v>
      </c>
      <c r="L1447" s="2">
        <f>VLOOKUP(J1447,Equipes!A:C,3,0)</f>
        <v>14</v>
      </c>
      <c r="M1447" s="2" t="str">
        <f t="shared" si="4"/>
        <v>Round of 16</v>
      </c>
      <c r="N1447" s="2" t="s">
        <v>250</v>
      </c>
      <c r="O1447" s="2">
        <f>VLOOKUP(N1447,Equipes!A:C,3,0)</f>
        <v>8</v>
      </c>
      <c r="P1447" s="2" t="str">
        <f t="shared" si="5"/>
        <v>Quarter-final</v>
      </c>
      <c r="Q1447" s="2">
        <f t="shared" si="6"/>
        <v>6</v>
      </c>
      <c r="R1447" s="2" t="str">
        <f>VLOOKUP(J1447,Equipes!A:B,2,0)</f>
        <v>Botafogo</v>
      </c>
      <c r="S1447" s="14" t="s">
        <v>315</v>
      </c>
      <c r="T1447" s="7">
        <v>2.0</v>
      </c>
      <c r="U1447" s="7" t="s">
        <v>316</v>
      </c>
      <c r="V1447" s="7" t="str">
        <f>VLOOKUP(U1447,Jogadores!B:C,2,0)</f>
        <v>DF</v>
      </c>
      <c r="W1447" s="8">
        <f>VLOOKUP(U1447,Jogadores!B:D,3,0)</f>
        <v>26.03287671</v>
      </c>
      <c r="X1447" s="7">
        <v>0.0</v>
      </c>
      <c r="Y1447" s="7">
        <f t="shared" si="4512"/>
        <v>133</v>
      </c>
      <c r="Z1447" s="7">
        <f>VLOOKUP(A1447,Jogos!A:L,3,0)</f>
        <v>51</v>
      </c>
      <c r="AA1447" s="7">
        <f t="shared" si="2229"/>
        <v>51</v>
      </c>
      <c r="AB1447" s="7">
        <f>VLOOKUP(A1447,Jogos!A:L,4,0)</f>
        <v>50</v>
      </c>
      <c r="AC1447" s="7">
        <f t="shared" si="4508"/>
        <v>50</v>
      </c>
      <c r="AD1447" s="7">
        <f>Jogos!$E$50-Jogos!$D$50-Jogos!$C$50</f>
        <v>38</v>
      </c>
      <c r="AE1447" s="7">
        <f t="shared" si="4513"/>
        <v>38</v>
      </c>
      <c r="AF1447" s="7">
        <f t="shared" si="2231"/>
        <v>139</v>
      </c>
      <c r="AG1447" s="7">
        <v>13354.8</v>
      </c>
      <c r="AH1447" s="7">
        <v>5401.3</v>
      </c>
      <c r="AI1447" s="7">
        <v>5168.8</v>
      </c>
      <c r="AJ1447" s="7">
        <v>1840.2</v>
      </c>
      <c r="AK1447" s="7">
        <v>744.4</v>
      </c>
      <c r="AL1447" s="7">
        <v>200.2</v>
      </c>
      <c r="AM1447" s="7">
        <v>180.0</v>
      </c>
      <c r="AN1447" s="7">
        <v>67.0</v>
      </c>
      <c r="AO1447" s="7">
        <v>31.3</v>
      </c>
      <c r="AP1447" s="9">
        <f t="shared" ref="AP1447:AR1447" si="4523">AG1447/$AF1447</f>
        <v>96.07769784</v>
      </c>
      <c r="AQ1447" s="9">
        <f t="shared" si="4523"/>
        <v>38.85827338</v>
      </c>
      <c r="AR1447" s="9">
        <f t="shared" si="4523"/>
        <v>37.18561151</v>
      </c>
      <c r="AS1447" s="9">
        <f t="shared" si="2233"/>
        <v>76.04388489</v>
      </c>
      <c r="AT1447" s="9">
        <f t="shared" ref="AT1447:AV1447" si="4524">AJ1447/$AF1447</f>
        <v>13.23884892</v>
      </c>
      <c r="AU1447" s="9">
        <f t="shared" si="4524"/>
        <v>5.355395683</v>
      </c>
      <c r="AV1447" s="9">
        <f t="shared" si="4524"/>
        <v>1.44028777</v>
      </c>
      <c r="AW1447" s="9">
        <f t="shared" si="2235"/>
        <v>6.795683453</v>
      </c>
      <c r="AX1447" s="9">
        <f t="shared" ref="AX1447:AY1447" si="4525">AM1447/$AF1447</f>
        <v>1.294964029</v>
      </c>
      <c r="AY1447" s="9">
        <f t="shared" si="4525"/>
        <v>0.4820143885</v>
      </c>
      <c r="AZ1447" s="9">
        <f>VLOOKUP(A1447,Jogos!A:BN,58,0)</f>
        <v>28.665</v>
      </c>
      <c r="BA1447" s="9">
        <f>VLOOKUP(A1447,Jogos!A:BN,59,0)</f>
        <v>21.61</v>
      </c>
      <c r="BB1447" s="9">
        <f>VLOOKUP(A1447,Jogos!A:BN,60,0)</f>
        <v>65.25</v>
      </c>
      <c r="BC1447" s="9">
        <f>VLOOKUP(A1447,Jogos!A:BN,61,0)</f>
        <v>28.2875</v>
      </c>
      <c r="BD1447" s="9">
        <f>VLOOKUP(A1447,Jogos!A:BN,62,0)</f>
        <v>467.3</v>
      </c>
      <c r="BE1447" s="9">
        <f>VLOOKUP(A1447,Jogos!A:BN,63,0)</f>
        <v>1.925</v>
      </c>
      <c r="BF1447" s="9">
        <f>VLOOKUP(A1447,Jogos!A:BN,64,0)</f>
        <v>24.49</v>
      </c>
      <c r="BG1447" s="9">
        <f>VLOOKUP(A1447,Jogos!A:BN,65,0)</f>
        <v>42.9275</v>
      </c>
      <c r="BH1447" s="9">
        <f>VLOOKUP(A1447,Jogos!A:BN,66,0)</f>
        <v>28.5975</v>
      </c>
      <c r="BI1447" s="9"/>
      <c r="BJ1447" s="9"/>
    </row>
    <row r="1448" hidden="1">
      <c r="A1448" s="2">
        <v>49.0</v>
      </c>
      <c r="B1448" s="2" t="s">
        <v>1350</v>
      </c>
      <c r="C1448" s="2" t="s">
        <v>1351</v>
      </c>
      <c r="D1448" s="22">
        <v>45836.0</v>
      </c>
      <c r="E1448" s="4">
        <v>0.5</v>
      </c>
      <c r="F1448" s="5" t="str">
        <f>VLOOKUP(A1448,Jogos!A:N,10,0)</f>
        <v>Afternoon</v>
      </c>
      <c r="G1448" s="2" t="s">
        <v>500</v>
      </c>
      <c r="H1448" s="6" t="str">
        <f>VLOOKUP(A1448,Jogos!A:L,12,0)</f>
        <v>Open</v>
      </c>
      <c r="I1448" s="6" t="str">
        <f>VLOOKUP(G1448,'Estádios e Cidades'!A:B,2,0)</f>
        <v>Philadelphia</v>
      </c>
      <c r="J1448" s="2" t="s">
        <v>313</v>
      </c>
      <c r="K1448" s="2" t="str">
        <f>VLOOKUP(J1448,Equipes!A:F,6,0)</f>
        <v>Tropical</v>
      </c>
      <c r="L1448" s="2">
        <f>VLOOKUP(J1448,Equipes!A:C,3,0)</f>
        <v>14</v>
      </c>
      <c r="M1448" s="2" t="str">
        <f t="shared" si="4"/>
        <v>Round of 16</v>
      </c>
      <c r="N1448" s="2" t="s">
        <v>250</v>
      </c>
      <c r="O1448" s="2">
        <f>VLOOKUP(N1448,Equipes!A:C,3,0)</f>
        <v>8</v>
      </c>
      <c r="P1448" s="2" t="str">
        <f t="shared" si="5"/>
        <v>Quarter-final</v>
      </c>
      <c r="Q1448" s="2">
        <f t="shared" si="6"/>
        <v>6</v>
      </c>
      <c r="R1448" s="2" t="str">
        <f>VLOOKUP(J1448,Equipes!A:B,2,0)</f>
        <v>Botafogo</v>
      </c>
      <c r="S1448" s="6" t="s">
        <v>335</v>
      </c>
      <c r="T1448" s="7">
        <v>5.0</v>
      </c>
      <c r="U1448" s="7" t="s">
        <v>336</v>
      </c>
      <c r="V1448" s="7" t="str">
        <f>VLOOKUP(U1448,Jogadores!B:C,2,0)</f>
        <v>MF</v>
      </c>
      <c r="W1448" s="8">
        <f>VLOOKUP(U1448,Jogadores!B:D,3,0)</f>
        <v>24.2630137</v>
      </c>
      <c r="X1448" s="7">
        <v>0.0</v>
      </c>
      <c r="Y1448" s="7">
        <v>83.0</v>
      </c>
      <c r="Z1448" s="7">
        <f>VLOOKUP(A1448,Jogos!A:L,3,0)</f>
        <v>51</v>
      </c>
      <c r="AA1448" s="7">
        <f t="shared" si="2229"/>
        <v>51</v>
      </c>
      <c r="AB1448" s="7">
        <f>VLOOKUP(A1448,Jogos!A:L,4,0)</f>
        <v>50</v>
      </c>
      <c r="AC1448" s="7">
        <f t="shared" si="4508"/>
        <v>38</v>
      </c>
      <c r="AD1448" s="7">
        <f>Jogos!$E$50-Jogos!$D$50-Jogos!$C$50</f>
        <v>38</v>
      </c>
      <c r="AE1448" s="7">
        <f t="shared" si="4513"/>
        <v>0</v>
      </c>
      <c r="AF1448" s="7">
        <f t="shared" si="2231"/>
        <v>89</v>
      </c>
      <c r="AG1448" s="7">
        <v>9206.4</v>
      </c>
      <c r="AH1448" s="7">
        <v>3499.8</v>
      </c>
      <c r="AI1448" s="7">
        <v>4038.9</v>
      </c>
      <c r="AJ1448" s="7">
        <v>1189.1</v>
      </c>
      <c r="AK1448" s="7">
        <v>368.8</v>
      </c>
      <c r="AL1448" s="7">
        <v>109.8</v>
      </c>
      <c r="AM1448" s="7">
        <v>105.0</v>
      </c>
      <c r="AN1448" s="7">
        <v>33.0</v>
      </c>
      <c r="AO1448" s="7">
        <v>30.0</v>
      </c>
      <c r="AP1448" s="9">
        <f t="shared" ref="AP1448:AR1448" si="4526">AG1448/$AF1448</f>
        <v>103.4426966</v>
      </c>
      <c r="AQ1448" s="9">
        <f t="shared" si="4526"/>
        <v>39.32359551</v>
      </c>
      <c r="AR1448" s="9">
        <f t="shared" si="4526"/>
        <v>45.38089888</v>
      </c>
      <c r="AS1448" s="9">
        <f t="shared" si="2233"/>
        <v>84.70449438</v>
      </c>
      <c r="AT1448" s="9">
        <f t="shared" ref="AT1448:AV1448" si="4527">AJ1448/$AF1448</f>
        <v>13.36067416</v>
      </c>
      <c r="AU1448" s="9">
        <f t="shared" si="4527"/>
        <v>4.143820225</v>
      </c>
      <c r="AV1448" s="9">
        <f t="shared" si="4527"/>
        <v>1.233707865</v>
      </c>
      <c r="AW1448" s="9">
        <f t="shared" si="2235"/>
        <v>5.37752809</v>
      </c>
      <c r="AX1448" s="9">
        <f t="shared" ref="AX1448:AY1448" si="4528">AM1448/$AF1448</f>
        <v>1.179775281</v>
      </c>
      <c r="AY1448" s="9">
        <f t="shared" si="4528"/>
        <v>0.3707865169</v>
      </c>
      <c r="AZ1448" s="9">
        <f>VLOOKUP(A1448,Jogos!A:BN,58,0)</f>
        <v>28.665</v>
      </c>
      <c r="BA1448" s="9">
        <f>VLOOKUP(A1448,Jogos!A:BN,59,0)</f>
        <v>21.61</v>
      </c>
      <c r="BB1448" s="9">
        <f>VLOOKUP(A1448,Jogos!A:BN,60,0)</f>
        <v>65.25</v>
      </c>
      <c r="BC1448" s="9">
        <f>VLOOKUP(A1448,Jogos!A:BN,61,0)</f>
        <v>28.2875</v>
      </c>
      <c r="BD1448" s="9">
        <f>VLOOKUP(A1448,Jogos!A:BN,62,0)</f>
        <v>467.3</v>
      </c>
      <c r="BE1448" s="9">
        <f>VLOOKUP(A1448,Jogos!A:BN,63,0)</f>
        <v>1.925</v>
      </c>
      <c r="BF1448" s="9">
        <f>VLOOKUP(A1448,Jogos!A:BN,64,0)</f>
        <v>24.49</v>
      </c>
      <c r="BG1448" s="9">
        <f>VLOOKUP(A1448,Jogos!A:BN,65,0)</f>
        <v>42.9275</v>
      </c>
      <c r="BH1448" s="9">
        <f>VLOOKUP(A1448,Jogos!A:BN,66,0)</f>
        <v>28.5975</v>
      </c>
      <c r="BI1448" s="9"/>
      <c r="BJ1448" s="9"/>
    </row>
    <row r="1449" hidden="1">
      <c r="A1449" s="2">
        <v>49.0</v>
      </c>
      <c r="B1449" s="2" t="s">
        <v>1350</v>
      </c>
      <c r="C1449" s="2" t="s">
        <v>1351</v>
      </c>
      <c r="D1449" s="22">
        <v>45836.0</v>
      </c>
      <c r="E1449" s="4">
        <v>0.5</v>
      </c>
      <c r="F1449" s="5" t="str">
        <f>VLOOKUP(A1449,Jogos!A:N,10,0)</f>
        <v>Afternoon</v>
      </c>
      <c r="G1449" s="2" t="s">
        <v>500</v>
      </c>
      <c r="H1449" s="6" t="str">
        <f>VLOOKUP(A1449,Jogos!A:L,12,0)</f>
        <v>Open</v>
      </c>
      <c r="I1449" s="6" t="str">
        <f>VLOOKUP(G1449,'Estádios e Cidades'!A:B,2,0)</f>
        <v>Philadelphia</v>
      </c>
      <c r="J1449" s="2" t="s">
        <v>313</v>
      </c>
      <c r="K1449" s="2" t="str">
        <f>VLOOKUP(J1449,Equipes!A:F,6,0)</f>
        <v>Tropical</v>
      </c>
      <c r="L1449" s="2">
        <f>VLOOKUP(J1449,Equipes!A:C,3,0)</f>
        <v>14</v>
      </c>
      <c r="M1449" s="2" t="str">
        <f t="shared" si="4"/>
        <v>Round of 16</v>
      </c>
      <c r="N1449" s="2" t="s">
        <v>250</v>
      </c>
      <c r="O1449" s="2">
        <f>VLOOKUP(N1449,Equipes!A:C,3,0)</f>
        <v>8</v>
      </c>
      <c r="P1449" s="2" t="str">
        <f t="shared" si="5"/>
        <v>Quarter-final</v>
      </c>
      <c r="Q1449" s="2">
        <f t="shared" si="6"/>
        <v>6</v>
      </c>
      <c r="R1449" s="2" t="str">
        <f>VLOOKUP(J1449,Equipes!A:B,2,0)</f>
        <v>Botafogo</v>
      </c>
      <c r="S1449" s="6" t="s">
        <v>317</v>
      </c>
      <c r="T1449" s="7">
        <v>7.0</v>
      </c>
      <c r="U1449" s="7" t="s">
        <v>318</v>
      </c>
      <c r="V1449" s="7" t="str">
        <f>VLOOKUP(U1449,Jogadores!B:C,2,0)</f>
        <v>FW</v>
      </c>
      <c r="W1449" s="8">
        <f>VLOOKUP(U1449,Jogadores!B:D,3,0)</f>
        <v>27.46575342</v>
      </c>
      <c r="X1449" s="7">
        <v>0.0</v>
      </c>
      <c r="Y1449" s="7">
        <f>45+AB1449+AD1449</f>
        <v>133</v>
      </c>
      <c r="Z1449" s="7">
        <f>VLOOKUP(A1449,Jogos!A:L,3,0)</f>
        <v>51</v>
      </c>
      <c r="AA1449" s="7">
        <f t="shared" si="2229"/>
        <v>51</v>
      </c>
      <c r="AB1449" s="7">
        <f>VLOOKUP(A1449,Jogos!A:L,4,0)</f>
        <v>50</v>
      </c>
      <c r="AC1449" s="7">
        <f t="shared" si="4508"/>
        <v>50</v>
      </c>
      <c r="AD1449" s="7">
        <f>Jogos!$E$50-Jogos!$D$50-Jogos!$C$50</f>
        <v>38</v>
      </c>
      <c r="AE1449" s="7">
        <f t="shared" si="4513"/>
        <v>38</v>
      </c>
      <c r="AF1449" s="7">
        <f t="shared" si="2231"/>
        <v>139</v>
      </c>
      <c r="AG1449" s="7">
        <v>12847.7</v>
      </c>
      <c r="AH1449" s="7">
        <v>6063.8</v>
      </c>
      <c r="AI1449" s="7">
        <v>4395.3</v>
      </c>
      <c r="AJ1449" s="7">
        <v>1439.8</v>
      </c>
      <c r="AK1449" s="7">
        <v>624.6</v>
      </c>
      <c r="AL1449" s="7">
        <v>324.3</v>
      </c>
      <c r="AM1449" s="7">
        <v>128.0</v>
      </c>
      <c r="AN1449" s="7">
        <v>56.0</v>
      </c>
      <c r="AO1449" s="7">
        <v>33.3</v>
      </c>
      <c r="AP1449" s="9">
        <f t="shared" ref="AP1449:AR1449" si="4529">AG1449/$AF1449</f>
        <v>92.4294964</v>
      </c>
      <c r="AQ1449" s="9">
        <f t="shared" si="4529"/>
        <v>43.62446043</v>
      </c>
      <c r="AR1449" s="9">
        <f t="shared" si="4529"/>
        <v>31.62086331</v>
      </c>
      <c r="AS1449" s="9">
        <f t="shared" si="2233"/>
        <v>75.24532374</v>
      </c>
      <c r="AT1449" s="9">
        <f t="shared" ref="AT1449:AV1449" si="4530">AJ1449/$AF1449</f>
        <v>10.35827338</v>
      </c>
      <c r="AU1449" s="9">
        <f t="shared" si="4530"/>
        <v>4.49352518</v>
      </c>
      <c r="AV1449" s="9">
        <f t="shared" si="4530"/>
        <v>2.333093525</v>
      </c>
      <c r="AW1449" s="9">
        <f t="shared" si="2235"/>
        <v>6.826618705</v>
      </c>
      <c r="AX1449" s="9">
        <f t="shared" ref="AX1449:AY1449" si="4531">AM1449/$AF1449</f>
        <v>0.9208633094</v>
      </c>
      <c r="AY1449" s="9">
        <f t="shared" si="4531"/>
        <v>0.4028776978</v>
      </c>
      <c r="AZ1449" s="9">
        <f>VLOOKUP(A1449,Jogos!A:BN,58,0)</f>
        <v>28.665</v>
      </c>
      <c r="BA1449" s="9">
        <f>VLOOKUP(A1449,Jogos!A:BN,59,0)</f>
        <v>21.61</v>
      </c>
      <c r="BB1449" s="9">
        <f>VLOOKUP(A1449,Jogos!A:BN,60,0)</f>
        <v>65.25</v>
      </c>
      <c r="BC1449" s="9">
        <f>VLOOKUP(A1449,Jogos!A:BN,61,0)</f>
        <v>28.2875</v>
      </c>
      <c r="BD1449" s="9">
        <f>VLOOKUP(A1449,Jogos!A:BN,62,0)</f>
        <v>467.3</v>
      </c>
      <c r="BE1449" s="9">
        <f>VLOOKUP(A1449,Jogos!A:BN,63,0)</f>
        <v>1.925</v>
      </c>
      <c r="BF1449" s="9">
        <f>VLOOKUP(A1449,Jogos!A:BN,64,0)</f>
        <v>24.49</v>
      </c>
      <c r="BG1449" s="9">
        <f>VLOOKUP(A1449,Jogos!A:BN,65,0)</f>
        <v>42.9275</v>
      </c>
      <c r="BH1449" s="9">
        <f>VLOOKUP(A1449,Jogos!A:BN,66,0)</f>
        <v>28.5975</v>
      </c>
      <c r="BI1449" s="9"/>
      <c r="BJ1449" s="9"/>
    </row>
    <row r="1450" hidden="1">
      <c r="A1450" s="2">
        <v>49.0</v>
      </c>
      <c r="B1450" s="2" t="s">
        <v>1350</v>
      </c>
      <c r="C1450" s="2" t="s">
        <v>1351</v>
      </c>
      <c r="D1450" s="22">
        <v>45836.0</v>
      </c>
      <c r="E1450" s="4">
        <v>0.5</v>
      </c>
      <c r="F1450" s="5" t="str">
        <f>VLOOKUP(A1450,Jogos!A:N,10,0)</f>
        <v>Afternoon</v>
      </c>
      <c r="G1450" s="2" t="s">
        <v>500</v>
      </c>
      <c r="H1450" s="6" t="str">
        <f>VLOOKUP(A1450,Jogos!A:L,12,0)</f>
        <v>Open</v>
      </c>
      <c r="I1450" s="6" t="str">
        <f>VLOOKUP(G1450,'Estádios e Cidades'!A:B,2,0)</f>
        <v>Philadelphia</v>
      </c>
      <c r="J1450" s="2" t="s">
        <v>313</v>
      </c>
      <c r="K1450" s="2" t="str">
        <f>VLOOKUP(J1450,Equipes!A:F,6,0)</f>
        <v>Tropical</v>
      </c>
      <c r="L1450" s="2">
        <f>VLOOKUP(J1450,Equipes!A:C,3,0)</f>
        <v>14</v>
      </c>
      <c r="M1450" s="2" t="str">
        <f t="shared" si="4"/>
        <v>Round of 16</v>
      </c>
      <c r="N1450" s="2" t="s">
        <v>250</v>
      </c>
      <c r="O1450" s="2">
        <f>VLOOKUP(N1450,Equipes!A:C,3,0)</f>
        <v>8</v>
      </c>
      <c r="P1450" s="2" t="str">
        <f t="shared" si="5"/>
        <v>Quarter-final</v>
      </c>
      <c r="Q1450" s="2">
        <f t="shared" si="6"/>
        <v>6</v>
      </c>
      <c r="R1450" s="2" t="str">
        <f>VLOOKUP(J1450,Equipes!A:B,2,0)</f>
        <v>Botafogo</v>
      </c>
      <c r="S1450" s="6" t="s">
        <v>319</v>
      </c>
      <c r="T1450" s="7">
        <v>10.0</v>
      </c>
      <c r="U1450" s="7" t="s">
        <v>320</v>
      </c>
      <c r="V1450" s="7" t="str">
        <f>VLOOKUP(U1450,Jogadores!B:C,2,0)</f>
        <v>MF</v>
      </c>
      <c r="W1450" s="8">
        <f>VLOOKUP(U1450,Jogadores!B:D,3,0)</f>
        <v>28.72876712</v>
      </c>
      <c r="X1450" s="7">
        <v>0.0</v>
      </c>
      <c r="Y1450" s="7">
        <v>71.0</v>
      </c>
      <c r="Z1450" s="7">
        <f>VLOOKUP(A1450,Jogos!A:L,3,0)</f>
        <v>51</v>
      </c>
      <c r="AA1450" s="7">
        <f t="shared" si="2229"/>
        <v>51</v>
      </c>
      <c r="AB1450" s="7">
        <f>VLOOKUP(A1450,Jogos!A:L,4,0)</f>
        <v>50</v>
      </c>
      <c r="AC1450" s="7">
        <f t="shared" si="4508"/>
        <v>26</v>
      </c>
      <c r="AD1450" s="7">
        <f>Jogos!$E$50-Jogos!$D$50-Jogos!$C$50</f>
        <v>38</v>
      </c>
      <c r="AE1450" s="7">
        <f t="shared" si="4513"/>
        <v>0</v>
      </c>
      <c r="AF1450" s="7">
        <f t="shared" si="2231"/>
        <v>77</v>
      </c>
      <c r="AG1450" s="7">
        <v>8375.2</v>
      </c>
      <c r="AH1450" s="7">
        <v>3378.3</v>
      </c>
      <c r="AI1450" s="7">
        <v>3087.2</v>
      </c>
      <c r="AJ1450" s="7">
        <v>1346.7</v>
      </c>
      <c r="AK1450" s="7">
        <v>478.6</v>
      </c>
      <c r="AL1450" s="7">
        <v>84.4</v>
      </c>
      <c r="AM1450" s="7">
        <v>110.0</v>
      </c>
      <c r="AN1450" s="7">
        <v>36.0</v>
      </c>
      <c r="AO1450" s="7">
        <v>28.1</v>
      </c>
      <c r="AP1450" s="9">
        <f t="shared" ref="AP1450:AR1450" si="4532">AG1450/$AF1450</f>
        <v>108.7688312</v>
      </c>
      <c r="AQ1450" s="9">
        <f t="shared" si="4532"/>
        <v>43.87402597</v>
      </c>
      <c r="AR1450" s="9">
        <f t="shared" si="4532"/>
        <v>40.09350649</v>
      </c>
      <c r="AS1450" s="9">
        <f t="shared" si="2233"/>
        <v>83.96753247</v>
      </c>
      <c r="AT1450" s="9">
        <f t="shared" ref="AT1450:AV1450" si="4533">AJ1450/$AF1450</f>
        <v>17.48961039</v>
      </c>
      <c r="AU1450" s="9">
        <f t="shared" si="4533"/>
        <v>6.215584416</v>
      </c>
      <c r="AV1450" s="9">
        <f t="shared" si="4533"/>
        <v>1.096103896</v>
      </c>
      <c r="AW1450" s="9">
        <f t="shared" si="2235"/>
        <v>7.311688312</v>
      </c>
      <c r="AX1450" s="9">
        <f t="shared" ref="AX1450:AY1450" si="4534">AM1450/$AF1450</f>
        <v>1.428571429</v>
      </c>
      <c r="AY1450" s="9">
        <f t="shared" si="4534"/>
        <v>0.4675324675</v>
      </c>
      <c r="AZ1450" s="9">
        <f>VLOOKUP(A1450,Jogos!A:BN,58,0)</f>
        <v>28.665</v>
      </c>
      <c r="BA1450" s="9">
        <f>VLOOKUP(A1450,Jogos!A:BN,59,0)</f>
        <v>21.61</v>
      </c>
      <c r="BB1450" s="9">
        <f>VLOOKUP(A1450,Jogos!A:BN,60,0)</f>
        <v>65.25</v>
      </c>
      <c r="BC1450" s="9">
        <f>VLOOKUP(A1450,Jogos!A:BN,61,0)</f>
        <v>28.2875</v>
      </c>
      <c r="BD1450" s="9">
        <f>VLOOKUP(A1450,Jogos!A:BN,62,0)</f>
        <v>467.3</v>
      </c>
      <c r="BE1450" s="9">
        <f>VLOOKUP(A1450,Jogos!A:BN,63,0)</f>
        <v>1.925</v>
      </c>
      <c r="BF1450" s="9">
        <f>VLOOKUP(A1450,Jogos!A:BN,64,0)</f>
        <v>24.49</v>
      </c>
      <c r="BG1450" s="9">
        <f>VLOOKUP(A1450,Jogos!A:BN,65,0)</f>
        <v>42.9275</v>
      </c>
      <c r="BH1450" s="9">
        <f>VLOOKUP(A1450,Jogos!A:BN,66,0)</f>
        <v>28.5975</v>
      </c>
      <c r="BI1450" s="9"/>
      <c r="BJ1450" s="9"/>
    </row>
    <row r="1451" hidden="1">
      <c r="A1451" s="2">
        <v>49.0</v>
      </c>
      <c r="B1451" s="2" t="s">
        <v>1350</v>
      </c>
      <c r="C1451" s="2" t="s">
        <v>1351</v>
      </c>
      <c r="D1451" s="22">
        <v>45836.0</v>
      </c>
      <c r="E1451" s="4">
        <v>0.5</v>
      </c>
      <c r="F1451" s="5" t="str">
        <f>VLOOKUP(A1451,Jogos!A:N,10,0)</f>
        <v>Afternoon</v>
      </c>
      <c r="G1451" s="2" t="s">
        <v>500</v>
      </c>
      <c r="H1451" s="6" t="str">
        <f>VLOOKUP(A1451,Jogos!A:L,12,0)</f>
        <v>Open</v>
      </c>
      <c r="I1451" s="6" t="str">
        <f>VLOOKUP(G1451,'Estádios e Cidades'!A:B,2,0)</f>
        <v>Philadelphia</v>
      </c>
      <c r="J1451" s="2" t="s">
        <v>313</v>
      </c>
      <c r="K1451" s="2" t="str">
        <f>VLOOKUP(J1451,Equipes!A:F,6,0)</f>
        <v>Tropical</v>
      </c>
      <c r="L1451" s="2">
        <f>VLOOKUP(J1451,Equipes!A:C,3,0)</f>
        <v>14</v>
      </c>
      <c r="M1451" s="2" t="str">
        <f t="shared" si="4"/>
        <v>Round of 16</v>
      </c>
      <c r="N1451" s="2" t="s">
        <v>250</v>
      </c>
      <c r="O1451" s="2">
        <f>VLOOKUP(N1451,Equipes!A:C,3,0)</f>
        <v>8</v>
      </c>
      <c r="P1451" s="2" t="str">
        <f t="shared" si="5"/>
        <v>Quarter-final</v>
      </c>
      <c r="Q1451" s="2">
        <f t="shared" si="6"/>
        <v>6</v>
      </c>
      <c r="R1451" s="2" t="str">
        <f>VLOOKUP(J1451,Equipes!A:B,2,0)</f>
        <v>Botafogo</v>
      </c>
      <c r="S1451" s="6" t="s">
        <v>321</v>
      </c>
      <c r="T1451" s="7">
        <v>13.0</v>
      </c>
      <c r="U1451" s="7" t="s">
        <v>322</v>
      </c>
      <c r="V1451" s="7" t="str">
        <f>VLOOKUP(U1451,Jogadores!B:C,2,0)</f>
        <v>DF</v>
      </c>
      <c r="W1451" s="8">
        <f>VLOOKUP(U1451,Jogadores!B:D,3,0)</f>
        <v>32.63835616</v>
      </c>
      <c r="X1451" s="7">
        <v>0.0</v>
      </c>
      <c r="Y1451" s="7">
        <v>66.0</v>
      </c>
      <c r="Z1451" s="7">
        <f>VLOOKUP(A1451,Jogos!A:L,3,0)</f>
        <v>51</v>
      </c>
      <c r="AA1451" s="7">
        <f t="shared" si="2229"/>
        <v>51</v>
      </c>
      <c r="AB1451" s="7">
        <f>VLOOKUP(A1451,Jogos!A:L,4,0)</f>
        <v>50</v>
      </c>
      <c r="AC1451" s="7">
        <f t="shared" si="4508"/>
        <v>21</v>
      </c>
      <c r="AD1451" s="7">
        <f>Jogos!$E$50-Jogos!$D$50-Jogos!$C$50</f>
        <v>38</v>
      </c>
      <c r="AE1451" s="7">
        <f t="shared" si="4513"/>
        <v>0</v>
      </c>
      <c r="AF1451" s="7">
        <f t="shared" si="2231"/>
        <v>72</v>
      </c>
      <c r="AG1451" s="7">
        <v>7043.7</v>
      </c>
      <c r="AH1451" s="7">
        <v>2973.2</v>
      </c>
      <c r="AI1451" s="7">
        <v>2698.9</v>
      </c>
      <c r="AJ1451" s="7">
        <v>820.7</v>
      </c>
      <c r="AK1451" s="7">
        <v>455.1</v>
      </c>
      <c r="AL1451" s="7">
        <v>95.9</v>
      </c>
      <c r="AM1451" s="7">
        <v>81.0</v>
      </c>
      <c r="AN1451" s="7">
        <v>35.0</v>
      </c>
      <c r="AO1451" s="7">
        <v>29.0</v>
      </c>
      <c r="AP1451" s="9">
        <f t="shared" ref="AP1451:AR1451" si="4535">AG1451/$AF1451</f>
        <v>97.82916667</v>
      </c>
      <c r="AQ1451" s="9">
        <f t="shared" si="4535"/>
        <v>41.29444444</v>
      </c>
      <c r="AR1451" s="9">
        <f t="shared" si="4535"/>
        <v>37.48472222</v>
      </c>
      <c r="AS1451" s="9">
        <f t="shared" si="2233"/>
        <v>78.77916667</v>
      </c>
      <c r="AT1451" s="9">
        <f t="shared" ref="AT1451:AV1451" si="4536">AJ1451/$AF1451</f>
        <v>11.39861111</v>
      </c>
      <c r="AU1451" s="9">
        <f t="shared" si="4536"/>
        <v>6.320833333</v>
      </c>
      <c r="AV1451" s="9">
        <f t="shared" si="4536"/>
        <v>1.331944444</v>
      </c>
      <c r="AW1451" s="9">
        <f t="shared" si="2235"/>
        <v>7.652777778</v>
      </c>
      <c r="AX1451" s="9">
        <f t="shared" ref="AX1451:AY1451" si="4537">AM1451/$AF1451</f>
        <v>1.125</v>
      </c>
      <c r="AY1451" s="9">
        <f t="shared" si="4537"/>
        <v>0.4861111111</v>
      </c>
      <c r="AZ1451" s="9">
        <f>VLOOKUP(A1451,Jogos!A:BN,58,0)</f>
        <v>28.665</v>
      </c>
      <c r="BA1451" s="9">
        <f>VLOOKUP(A1451,Jogos!A:BN,59,0)</f>
        <v>21.61</v>
      </c>
      <c r="BB1451" s="9">
        <f>VLOOKUP(A1451,Jogos!A:BN,60,0)</f>
        <v>65.25</v>
      </c>
      <c r="BC1451" s="9">
        <f>VLOOKUP(A1451,Jogos!A:BN,61,0)</f>
        <v>28.2875</v>
      </c>
      <c r="BD1451" s="9">
        <f>VLOOKUP(A1451,Jogos!A:BN,62,0)</f>
        <v>467.3</v>
      </c>
      <c r="BE1451" s="9">
        <f>VLOOKUP(A1451,Jogos!A:BN,63,0)</f>
        <v>1.925</v>
      </c>
      <c r="BF1451" s="9">
        <f>VLOOKUP(A1451,Jogos!A:BN,64,0)</f>
        <v>24.49</v>
      </c>
      <c r="BG1451" s="9">
        <f>VLOOKUP(A1451,Jogos!A:BN,65,0)</f>
        <v>42.9275</v>
      </c>
      <c r="BH1451" s="9">
        <f>VLOOKUP(A1451,Jogos!A:BN,66,0)</f>
        <v>28.5975</v>
      </c>
      <c r="BI1451" s="9"/>
      <c r="BJ1451" s="9"/>
    </row>
    <row r="1452" hidden="1">
      <c r="A1452" s="2">
        <v>49.0</v>
      </c>
      <c r="B1452" s="2" t="s">
        <v>1350</v>
      </c>
      <c r="C1452" s="2" t="s">
        <v>1351</v>
      </c>
      <c r="D1452" s="22">
        <v>45836.0</v>
      </c>
      <c r="E1452" s="4">
        <v>0.5</v>
      </c>
      <c r="F1452" s="5" t="str">
        <f>VLOOKUP(A1452,Jogos!A:N,10,0)</f>
        <v>Afternoon</v>
      </c>
      <c r="G1452" s="2" t="s">
        <v>500</v>
      </c>
      <c r="H1452" s="6" t="str">
        <f>VLOOKUP(A1452,Jogos!A:L,12,0)</f>
        <v>Open</v>
      </c>
      <c r="I1452" s="6" t="str">
        <f>VLOOKUP(G1452,'Estádios e Cidades'!A:B,2,0)</f>
        <v>Philadelphia</v>
      </c>
      <c r="J1452" s="2" t="s">
        <v>313</v>
      </c>
      <c r="K1452" s="2" t="str">
        <f>VLOOKUP(J1452,Equipes!A:F,6,0)</f>
        <v>Tropical</v>
      </c>
      <c r="L1452" s="2">
        <f>VLOOKUP(J1452,Equipes!A:C,3,0)</f>
        <v>14</v>
      </c>
      <c r="M1452" s="2" t="str">
        <f t="shared" si="4"/>
        <v>Round of 16</v>
      </c>
      <c r="N1452" s="2" t="s">
        <v>250</v>
      </c>
      <c r="O1452" s="2">
        <f>VLOOKUP(N1452,Equipes!A:C,3,0)</f>
        <v>8</v>
      </c>
      <c r="P1452" s="2" t="str">
        <f t="shared" si="5"/>
        <v>Quarter-final</v>
      </c>
      <c r="Q1452" s="2">
        <f t="shared" si="6"/>
        <v>6</v>
      </c>
      <c r="R1452" s="2" t="str">
        <f>VLOOKUP(J1452,Equipes!A:B,2,0)</f>
        <v>Botafogo</v>
      </c>
      <c r="S1452" s="6" t="s">
        <v>323</v>
      </c>
      <c r="T1452" s="7">
        <v>17.0</v>
      </c>
      <c r="U1452" s="7" t="s">
        <v>324</v>
      </c>
      <c r="V1452" s="7" t="str">
        <f>VLOOKUP(U1452,Jogadores!B:C,2,0)</f>
        <v>MF</v>
      </c>
      <c r="W1452" s="8">
        <f>VLOOKUP(U1452,Jogadores!B:D,3,0)</f>
        <v>30.35890411</v>
      </c>
      <c r="X1452" s="7">
        <v>0.0</v>
      </c>
      <c r="Y1452" s="7">
        <v>103.0</v>
      </c>
      <c r="Z1452" s="7">
        <f>VLOOKUP(A1452,Jogos!A:L,3,0)</f>
        <v>51</v>
      </c>
      <c r="AA1452" s="7">
        <f t="shared" si="2229"/>
        <v>51</v>
      </c>
      <c r="AB1452" s="7">
        <f>VLOOKUP(A1452,Jogos!A:L,4,0)</f>
        <v>50</v>
      </c>
      <c r="AC1452" s="23">
        <v>50.0</v>
      </c>
      <c r="AD1452" s="7">
        <f>Jogos!$E$50-Jogos!$D$50-Jogos!$C$50</f>
        <v>38</v>
      </c>
      <c r="AE1452" s="23">
        <v>13.0</v>
      </c>
      <c r="AF1452" s="7">
        <f t="shared" si="2231"/>
        <v>114</v>
      </c>
      <c r="AG1452" s="7">
        <v>11704.7</v>
      </c>
      <c r="AH1452" s="7">
        <v>3956.6</v>
      </c>
      <c r="AI1452" s="7">
        <v>5528.5</v>
      </c>
      <c r="AJ1452" s="7">
        <v>1675.6</v>
      </c>
      <c r="AK1452" s="7">
        <v>496.9</v>
      </c>
      <c r="AL1452" s="7">
        <v>47.1</v>
      </c>
      <c r="AM1452" s="7">
        <v>147.0</v>
      </c>
      <c r="AN1452" s="7">
        <v>33.0</v>
      </c>
      <c r="AO1452" s="7">
        <v>27.7</v>
      </c>
      <c r="AP1452" s="9">
        <f t="shared" ref="AP1452:AR1452" si="4538">AG1452/$AF1452</f>
        <v>102.672807</v>
      </c>
      <c r="AQ1452" s="9">
        <f t="shared" si="4538"/>
        <v>34.70701754</v>
      </c>
      <c r="AR1452" s="9">
        <f t="shared" si="4538"/>
        <v>48.49561404</v>
      </c>
      <c r="AS1452" s="9">
        <f t="shared" si="2233"/>
        <v>83.20263158</v>
      </c>
      <c r="AT1452" s="9">
        <f t="shared" ref="AT1452:AV1452" si="4539">AJ1452/$AF1452</f>
        <v>14.69824561</v>
      </c>
      <c r="AU1452" s="9">
        <f t="shared" si="4539"/>
        <v>4.35877193</v>
      </c>
      <c r="AV1452" s="9">
        <f t="shared" si="4539"/>
        <v>0.4131578947</v>
      </c>
      <c r="AW1452" s="9">
        <f t="shared" si="2235"/>
        <v>4.771929825</v>
      </c>
      <c r="AX1452" s="9">
        <f t="shared" ref="AX1452:AY1452" si="4540">AM1452/$AF1452</f>
        <v>1.289473684</v>
      </c>
      <c r="AY1452" s="9">
        <f t="shared" si="4540"/>
        <v>0.2894736842</v>
      </c>
      <c r="AZ1452" s="9">
        <f>VLOOKUP(A1452,Jogos!A:BN,58,0)</f>
        <v>28.665</v>
      </c>
      <c r="BA1452" s="9">
        <f>VLOOKUP(A1452,Jogos!A:BN,59,0)</f>
        <v>21.61</v>
      </c>
      <c r="BB1452" s="9">
        <f>VLOOKUP(A1452,Jogos!A:BN,60,0)</f>
        <v>65.25</v>
      </c>
      <c r="BC1452" s="9">
        <f>VLOOKUP(A1452,Jogos!A:BN,61,0)</f>
        <v>28.2875</v>
      </c>
      <c r="BD1452" s="9">
        <f>VLOOKUP(A1452,Jogos!A:BN,62,0)</f>
        <v>467.3</v>
      </c>
      <c r="BE1452" s="9">
        <f>VLOOKUP(A1452,Jogos!A:BN,63,0)</f>
        <v>1.925</v>
      </c>
      <c r="BF1452" s="9">
        <f>VLOOKUP(A1452,Jogos!A:BN,64,0)</f>
        <v>24.49</v>
      </c>
      <c r="BG1452" s="9">
        <f>VLOOKUP(A1452,Jogos!A:BN,65,0)</f>
        <v>42.9275</v>
      </c>
      <c r="BH1452" s="9">
        <f>VLOOKUP(A1452,Jogos!A:BN,66,0)</f>
        <v>28.5975</v>
      </c>
      <c r="BI1452" s="9"/>
      <c r="BJ1452" s="9"/>
    </row>
    <row r="1453" hidden="1">
      <c r="A1453" s="2">
        <v>49.0</v>
      </c>
      <c r="B1453" s="2" t="s">
        <v>1350</v>
      </c>
      <c r="C1453" s="2" t="s">
        <v>1351</v>
      </c>
      <c r="D1453" s="22">
        <v>45836.0</v>
      </c>
      <c r="E1453" s="4">
        <v>0.5</v>
      </c>
      <c r="F1453" s="5" t="str">
        <f>VLOOKUP(A1453,Jogos!A:N,10,0)</f>
        <v>Afternoon</v>
      </c>
      <c r="G1453" s="2" t="s">
        <v>500</v>
      </c>
      <c r="H1453" s="6" t="str">
        <f>VLOOKUP(A1453,Jogos!A:L,12,0)</f>
        <v>Open</v>
      </c>
      <c r="I1453" s="6" t="str">
        <f>VLOOKUP(G1453,'Estádios e Cidades'!A:B,2,0)</f>
        <v>Philadelphia</v>
      </c>
      <c r="J1453" s="2" t="s">
        <v>313</v>
      </c>
      <c r="K1453" s="2" t="str">
        <f>VLOOKUP(J1453,Equipes!A:F,6,0)</f>
        <v>Tropical</v>
      </c>
      <c r="L1453" s="2">
        <f>VLOOKUP(J1453,Equipes!A:C,3,0)</f>
        <v>14</v>
      </c>
      <c r="M1453" s="2" t="str">
        <f t="shared" si="4"/>
        <v>Round of 16</v>
      </c>
      <c r="N1453" s="2" t="s">
        <v>250</v>
      </c>
      <c r="O1453" s="2">
        <f>VLOOKUP(N1453,Equipes!A:C,3,0)</f>
        <v>8</v>
      </c>
      <c r="P1453" s="2" t="str">
        <f t="shared" si="5"/>
        <v>Quarter-final</v>
      </c>
      <c r="Q1453" s="2">
        <f t="shared" si="6"/>
        <v>6</v>
      </c>
      <c r="R1453" s="2" t="str">
        <f>VLOOKUP(J1453,Equipes!A:B,2,0)</f>
        <v>Botafogo</v>
      </c>
      <c r="S1453" s="6" t="s">
        <v>325</v>
      </c>
      <c r="T1453" s="7">
        <v>20.0</v>
      </c>
      <c r="U1453" s="7" t="s">
        <v>326</v>
      </c>
      <c r="V1453" s="7" t="str">
        <f>VLOOKUP(U1453,Jogadores!B:C,2,0)</f>
        <v>DF</v>
      </c>
      <c r="W1453" s="8">
        <f>VLOOKUP(U1453,Jogadores!B:D,3,0)</f>
        <v>30.3890411</v>
      </c>
      <c r="X1453" s="7">
        <v>0.0</v>
      </c>
      <c r="Y1453" s="7">
        <f>45+AB1453+AD1453</f>
        <v>133</v>
      </c>
      <c r="Z1453" s="7">
        <f>VLOOKUP(A1453,Jogos!A:L,3,0)</f>
        <v>51</v>
      </c>
      <c r="AA1453" s="7">
        <f t="shared" si="2229"/>
        <v>51</v>
      </c>
      <c r="AB1453" s="7">
        <f>VLOOKUP(A1453,Jogos!A:L,4,0)</f>
        <v>50</v>
      </c>
      <c r="AC1453" s="7">
        <f t="shared" ref="AC1453:AC1457" si="4544">IF(X1453&lt;45,if(Y1453&lt;=45,0,if(Y1453&gt;90,Y1453-45-AD1453,Y1453-45)),if(X1453&gt;=90,0,AB1453+45-X1453))</f>
        <v>50</v>
      </c>
      <c r="AD1453" s="7">
        <f>Jogos!$E$50-Jogos!$D$50-Jogos!$C$50</f>
        <v>38</v>
      </c>
      <c r="AE1453" s="7">
        <f t="shared" ref="AE1453:AE1457" si="4545">if(X1453&lt;=90,if(Y1453&lt;=90,0,(Y1453-45-AB1453)),90+AD1453-X1453)</f>
        <v>38</v>
      </c>
      <c r="AF1453" s="7">
        <f t="shared" si="2231"/>
        <v>139</v>
      </c>
      <c r="AG1453" s="7">
        <v>12342.5</v>
      </c>
      <c r="AH1453" s="7">
        <v>5142.2</v>
      </c>
      <c r="AI1453" s="7">
        <v>5469.0</v>
      </c>
      <c r="AJ1453" s="7">
        <v>1173.3</v>
      </c>
      <c r="AK1453" s="7">
        <v>454.9</v>
      </c>
      <c r="AL1453" s="7">
        <v>103.1</v>
      </c>
      <c r="AM1453" s="7">
        <v>105.0</v>
      </c>
      <c r="AN1453" s="7">
        <v>38.0</v>
      </c>
      <c r="AO1453" s="7">
        <v>29.0</v>
      </c>
      <c r="AP1453" s="9">
        <f t="shared" ref="AP1453:AR1453" si="4541">AG1453/$AF1453</f>
        <v>88.79496403</v>
      </c>
      <c r="AQ1453" s="9">
        <f t="shared" si="4541"/>
        <v>36.9942446</v>
      </c>
      <c r="AR1453" s="9">
        <f t="shared" si="4541"/>
        <v>39.34532374</v>
      </c>
      <c r="AS1453" s="9">
        <f t="shared" si="2233"/>
        <v>76.33956835</v>
      </c>
      <c r="AT1453" s="9">
        <f t="shared" ref="AT1453:AV1453" si="4542">AJ1453/$AF1453</f>
        <v>8.441007194</v>
      </c>
      <c r="AU1453" s="9">
        <f t="shared" si="4542"/>
        <v>3.272661871</v>
      </c>
      <c r="AV1453" s="9">
        <f t="shared" si="4542"/>
        <v>0.7417266187</v>
      </c>
      <c r="AW1453" s="9">
        <f t="shared" si="2235"/>
        <v>4.014388489</v>
      </c>
      <c r="AX1453" s="9">
        <f t="shared" ref="AX1453:AY1453" si="4543">AM1453/$AF1453</f>
        <v>0.7553956835</v>
      </c>
      <c r="AY1453" s="9">
        <f t="shared" si="4543"/>
        <v>0.273381295</v>
      </c>
      <c r="AZ1453" s="9">
        <f>VLOOKUP(A1453,Jogos!A:BN,58,0)</f>
        <v>28.665</v>
      </c>
      <c r="BA1453" s="9">
        <f>VLOOKUP(A1453,Jogos!A:BN,59,0)</f>
        <v>21.61</v>
      </c>
      <c r="BB1453" s="9">
        <f>VLOOKUP(A1453,Jogos!A:BN,60,0)</f>
        <v>65.25</v>
      </c>
      <c r="BC1453" s="9">
        <f>VLOOKUP(A1453,Jogos!A:BN,61,0)</f>
        <v>28.2875</v>
      </c>
      <c r="BD1453" s="9">
        <f>VLOOKUP(A1453,Jogos!A:BN,62,0)</f>
        <v>467.3</v>
      </c>
      <c r="BE1453" s="9">
        <f>VLOOKUP(A1453,Jogos!A:BN,63,0)</f>
        <v>1.925</v>
      </c>
      <c r="BF1453" s="9">
        <f>VLOOKUP(A1453,Jogos!A:BN,64,0)</f>
        <v>24.49</v>
      </c>
      <c r="BG1453" s="9">
        <f>VLOOKUP(A1453,Jogos!A:BN,65,0)</f>
        <v>42.9275</v>
      </c>
      <c r="BH1453" s="9">
        <f>VLOOKUP(A1453,Jogos!A:BN,66,0)</f>
        <v>28.5975</v>
      </c>
      <c r="BI1453" s="9"/>
      <c r="BJ1453" s="9"/>
    </row>
    <row r="1454" hidden="1">
      <c r="A1454" s="2">
        <v>49.0</v>
      </c>
      <c r="B1454" s="2" t="s">
        <v>1350</v>
      </c>
      <c r="C1454" s="2" t="s">
        <v>1351</v>
      </c>
      <c r="D1454" s="22">
        <v>45836.0</v>
      </c>
      <c r="E1454" s="4">
        <v>0.5</v>
      </c>
      <c r="F1454" s="5" t="str">
        <f>VLOOKUP(A1454,Jogos!A:N,10,0)</f>
        <v>Afternoon</v>
      </c>
      <c r="G1454" s="2" t="s">
        <v>500</v>
      </c>
      <c r="H1454" s="6" t="str">
        <f>VLOOKUP(A1454,Jogos!A:L,12,0)</f>
        <v>Open</v>
      </c>
      <c r="I1454" s="6" t="str">
        <f>VLOOKUP(G1454,'Estádios e Cidades'!A:B,2,0)</f>
        <v>Philadelphia</v>
      </c>
      <c r="J1454" s="2" t="s">
        <v>313</v>
      </c>
      <c r="K1454" s="2" t="str">
        <f>VLOOKUP(J1454,Equipes!A:F,6,0)</f>
        <v>Tropical</v>
      </c>
      <c r="L1454" s="2">
        <f>VLOOKUP(J1454,Equipes!A:C,3,0)</f>
        <v>14</v>
      </c>
      <c r="M1454" s="2" t="str">
        <f t="shared" si="4"/>
        <v>Round of 16</v>
      </c>
      <c r="N1454" s="2" t="s">
        <v>250</v>
      </c>
      <c r="O1454" s="2">
        <f>VLOOKUP(N1454,Equipes!A:C,3,0)</f>
        <v>8</v>
      </c>
      <c r="P1454" s="2" t="str">
        <f t="shared" si="5"/>
        <v>Quarter-final</v>
      </c>
      <c r="Q1454" s="2">
        <f t="shared" si="6"/>
        <v>6</v>
      </c>
      <c r="R1454" s="2" t="str">
        <f>VLOOKUP(J1454,Equipes!A:B,2,0)</f>
        <v>Botafogo</v>
      </c>
      <c r="S1454" s="6" t="s">
        <v>1098</v>
      </c>
      <c r="T1454" s="7">
        <v>25.0</v>
      </c>
      <c r="U1454" s="7" t="s">
        <v>279</v>
      </c>
      <c r="V1454" s="7" t="str">
        <f>VLOOKUP(U1454,Jogadores!B:C,2,0)</f>
        <v>MF</v>
      </c>
      <c r="W1454" s="8">
        <f>VLOOKUP(U1454,Jogadores!B:D,3,0)</f>
        <v>21.28767123</v>
      </c>
      <c r="X1454" s="7">
        <v>0.0</v>
      </c>
      <c r="Y1454" s="7">
        <v>66.0</v>
      </c>
      <c r="Z1454" s="7">
        <f>VLOOKUP(A1454,Jogos!A:L,3,0)</f>
        <v>51</v>
      </c>
      <c r="AA1454" s="7">
        <f t="shared" si="2229"/>
        <v>51</v>
      </c>
      <c r="AB1454" s="7">
        <f>VLOOKUP(A1454,Jogos!A:L,4,0)</f>
        <v>50</v>
      </c>
      <c r="AC1454" s="7">
        <f t="shared" si="4544"/>
        <v>21</v>
      </c>
      <c r="AD1454" s="7">
        <f>Jogos!$E$50-Jogos!$D$50-Jogos!$C$50</f>
        <v>38</v>
      </c>
      <c r="AE1454" s="7">
        <f t="shared" si="4545"/>
        <v>0</v>
      </c>
      <c r="AF1454" s="7">
        <f t="shared" si="2231"/>
        <v>72</v>
      </c>
      <c r="AG1454" s="7">
        <v>7351.0</v>
      </c>
      <c r="AH1454" s="7">
        <v>2809.6</v>
      </c>
      <c r="AI1454" s="7">
        <v>2811.6</v>
      </c>
      <c r="AJ1454" s="7">
        <v>1126.4</v>
      </c>
      <c r="AK1454" s="7">
        <v>468.2</v>
      </c>
      <c r="AL1454" s="7">
        <v>135.2</v>
      </c>
      <c r="AM1454" s="7">
        <v>93.0</v>
      </c>
      <c r="AN1454" s="7">
        <v>38.0</v>
      </c>
      <c r="AO1454" s="7">
        <v>30.2</v>
      </c>
      <c r="AP1454" s="9">
        <f t="shared" ref="AP1454:AR1454" si="4546">AG1454/$AF1454</f>
        <v>102.0972222</v>
      </c>
      <c r="AQ1454" s="9">
        <f t="shared" si="4546"/>
        <v>39.02222222</v>
      </c>
      <c r="AR1454" s="9">
        <f t="shared" si="4546"/>
        <v>39.05</v>
      </c>
      <c r="AS1454" s="9">
        <f t="shared" si="2233"/>
        <v>78.07222222</v>
      </c>
      <c r="AT1454" s="9">
        <f t="shared" ref="AT1454:AV1454" si="4547">AJ1454/$AF1454</f>
        <v>15.64444444</v>
      </c>
      <c r="AU1454" s="9">
        <f t="shared" si="4547"/>
        <v>6.502777778</v>
      </c>
      <c r="AV1454" s="9">
        <f t="shared" si="4547"/>
        <v>1.877777778</v>
      </c>
      <c r="AW1454" s="9">
        <f t="shared" si="2235"/>
        <v>8.380555556</v>
      </c>
      <c r="AX1454" s="9">
        <f t="shared" ref="AX1454:AY1454" si="4548">AM1454/$AF1454</f>
        <v>1.291666667</v>
      </c>
      <c r="AY1454" s="9">
        <f t="shared" si="4548"/>
        <v>0.5277777778</v>
      </c>
      <c r="AZ1454" s="9">
        <f>VLOOKUP(A1454,Jogos!A:BN,58,0)</f>
        <v>28.665</v>
      </c>
      <c r="BA1454" s="9">
        <f>VLOOKUP(A1454,Jogos!A:BN,59,0)</f>
        <v>21.61</v>
      </c>
      <c r="BB1454" s="9">
        <f>VLOOKUP(A1454,Jogos!A:BN,60,0)</f>
        <v>65.25</v>
      </c>
      <c r="BC1454" s="9">
        <f>VLOOKUP(A1454,Jogos!A:BN,61,0)</f>
        <v>28.2875</v>
      </c>
      <c r="BD1454" s="9">
        <f>VLOOKUP(A1454,Jogos!A:BN,62,0)</f>
        <v>467.3</v>
      </c>
      <c r="BE1454" s="9">
        <f>VLOOKUP(A1454,Jogos!A:BN,63,0)</f>
        <v>1.925</v>
      </c>
      <c r="BF1454" s="9">
        <f>VLOOKUP(A1454,Jogos!A:BN,64,0)</f>
        <v>24.49</v>
      </c>
      <c r="BG1454" s="9">
        <f>VLOOKUP(A1454,Jogos!A:BN,65,0)</f>
        <v>42.9275</v>
      </c>
      <c r="BH1454" s="9">
        <f>VLOOKUP(A1454,Jogos!A:BN,66,0)</f>
        <v>28.5975</v>
      </c>
      <c r="BI1454" s="9"/>
      <c r="BJ1454" s="9"/>
    </row>
    <row r="1455" hidden="1">
      <c r="A1455" s="2">
        <v>49.0</v>
      </c>
      <c r="B1455" s="2" t="s">
        <v>1350</v>
      </c>
      <c r="C1455" s="2" t="s">
        <v>1351</v>
      </c>
      <c r="D1455" s="22">
        <v>45836.0</v>
      </c>
      <c r="E1455" s="4">
        <v>0.5</v>
      </c>
      <c r="F1455" s="5" t="str">
        <f>VLOOKUP(A1455,Jogos!A:N,10,0)</f>
        <v>Afternoon</v>
      </c>
      <c r="G1455" s="2" t="s">
        <v>500</v>
      </c>
      <c r="H1455" s="6" t="str">
        <f>VLOOKUP(A1455,Jogos!A:L,12,0)</f>
        <v>Open</v>
      </c>
      <c r="I1455" s="6" t="str">
        <f>VLOOKUP(G1455,'Estádios e Cidades'!A:B,2,0)</f>
        <v>Philadelphia</v>
      </c>
      <c r="J1455" s="2" t="s">
        <v>313</v>
      </c>
      <c r="K1455" s="2" t="str">
        <f>VLOOKUP(J1455,Equipes!A:F,6,0)</f>
        <v>Tropical</v>
      </c>
      <c r="L1455" s="2">
        <f>VLOOKUP(J1455,Equipes!A:C,3,0)</f>
        <v>14</v>
      </c>
      <c r="M1455" s="2" t="str">
        <f t="shared" si="4"/>
        <v>Round of 16</v>
      </c>
      <c r="N1455" s="2" t="s">
        <v>250</v>
      </c>
      <c r="O1455" s="2">
        <f>VLOOKUP(N1455,Equipes!A:C,3,0)</f>
        <v>8</v>
      </c>
      <c r="P1455" s="2" t="str">
        <f t="shared" si="5"/>
        <v>Quarter-final</v>
      </c>
      <c r="Q1455" s="2">
        <f t="shared" si="6"/>
        <v>6</v>
      </c>
      <c r="R1455" s="2" t="str">
        <f>VLOOKUP(J1455,Equipes!A:B,2,0)</f>
        <v>Botafogo</v>
      </c>
      <c r="S1455" s="6" t="s">
        <v>329</v>
      </c>
      <c r="T1455" s="7">
        <v>32.0</v>
      </c>
      <c r="U1455" s="7" t="s">
        <v>330</v>
      </c>
      <c r="V1455" s="7" t="str">
        <f>VLOOKUP(U1455,Jogadores!B:C,2,0)</f>
        <v>DF</v>
      </c>
      <c r="W1455" s="8">
        <f>VLOOKUP(U1455,Jogadores!B:D,3,0)</f>
        <v>20.40547945</v>
      </c>
      <c r="X1455" s="7">
        <v>0.0</v>
      </c>
      <c r="Y1455" s="7">
        <v>84.0</v>
      </c>
      <c r="Z1455" s="7">
        <f>VLOOKUP(A1455,Jogos!A:L,3,0)</f>
        <v>51</v>
      </c>
      <c r="AA1455" s="7">
        <f t="shared" si="2229"/>
        <v>51</v>
      </c>
      <c r="AB1455" s="7">
        <f>VLOOKUP(A1455,Jogos!A:L,4,0)</f>
        <v>50</v>
      </c>
      <c r="AC1455" s="7">
        <f t="shared" si="4544"/>
        <v>39</v>
      </c>
      <c r="AD1455" s="7">
        <f>Jogos!$E$50-Jogos!$D$50-Jogos!$C$50</f>
        <v>38</v>
      </c>
      <c r="AE1455" s="7">
        <f t="shared" si="4545"/>
        <v>0</v>
      </c>
      <c r="AF1455" s="7">
        <f t="shared" si="2231"/>
        <v>90</v>
      </c>
      <c r="AG1455" s="7">
        <v>7558.9</v>
      </c>
      <c r="AH1455" s="7">
        <v>3200.2</v>
      </c>
      <c r="AI1455" s="7">
        <v>3359.6</v>
      </c>
      <c r="AJ1455" s="7">
        <v>668.5</v>
      </c>
      <c r="AK1455" s="7">
        <v>264.2</v>
      </c>
      <c r="AL1455" s="7">
        <v>66.5</v>
      </c>
      <c r="AM1455" s="7">
        <v>68.0</v>
      </c>
      <c r="AN1455" s="7">
        <v>26.0</v>
      </c>
      <c r="AO1455" s="7">
        <v>30.5</v>
      </c>
      <c r="AP1455" s="9">
        <f t="shared" ref="AP1455:AR1455" si="4549">AG1455/$AF1455</f>
        <v>83.98777778</v>
      </c>
      <c r="AQ1455" s="9">
        <f t="shared" si="4549"/>
        <v>35.55777778</v>
      </c>
      <c r="AR1455" s="9">
        <f t="shared" si="4549"/>
        <v>37.32888889</v>
      </c>
      <c r="AS1455" s="9">
        <f t="shared" si="2233"/>
        <v>72.88666667</v>
      </c>
      <c r="AT1455" s="9">
        <f t="shared" ref="AT1455:AV1455" si="4550">AJ1455/$AF1455</f>
        <v>7.427777778</v>
      </c>
      <c r="AU1455" s="9">
        <f t="shared" si="4550"/>
        <v>2.935555556</v>
      </c>
      <c r="AV1455" s="9">
        <f t="shared" si="4550"/>
        <v>0.7388888889</v>
      </c>
      <c r="AW1455" s="9">
        <f t="shared" si="2235"/>
        <v>3.674444444</v>
      </c>
      <c r="AX1455" s="9">
        <f t="shared" ref="AX1455:AY1455" si="4551">AM1455/$AF1455</f>
        <v>0.7555555556</v>
      </c>
      <c r="AY1455" s="9">
        <f t="shared" si="4551"/>
        <v>0.2888888889</v>
      </c>
      <c r="AZ1455" s="9">
        <f>VLOOKUP(A1455,Jogos!A:BN,58,0)</f>
        <v>28.665</v>
      </c>
      <c r="BA1455" s="9">
        <f>VLOOKUP(A1455,Jogos!A:BN,59,0)</f>
        <v>21.61</v>
      </c>
      <c r="BB1455" s="9">
        <f>VLOOKUP(A1455,Jogos!A:BN,60,0)</f>
        <v>65.25</v>
      </c>
      <c r="BC1455" s="9">
        <f>VLOOKUP(A1455,Jogos!A:BN,61,0)</f>
        <v>28.2875</v>
      </c>
      <c r="BD1455" s="9">
        <f>VLOOKUP(A1455,Jogos!A:BN,62,0)</f>
        <v>467.3</v>
      </c>
      <c r="BE1455" s="9">
        <f>VLOOKUP(A1455,Jogos!A:BN,63,0)</f>
        <v>1.925</v>
      </c>
      <c r="BF1455" s="9">
        <f>VLOOKUP(A1455,Jogos!A:BN,64,0)</f>
        <v>24.49</v>
      </c>
      <c r="BG1455" s="9">
        <f>VLOOKUP(A1455,Jogos!A:BN,65,0)</f>
        <v>42.9275</v>
      </c>
      <c r="BH1455" s="9">
        <f>VLOOKUP(A1455,Jogos!A:BN,66,0)</f>
        <v>28.5975</v>
      </c>
      <c r="BI1455" s="9"/>
      <c r="BJ1455" s="9"/>
    </row>
    <row r="1456" hidden="1">
      <c r="A1456" s="2">
        <v>49.0</v>
      </c>
      <c r="B1456" s="2" t="s">
        <v>1350</v>
      </c>
      <c r="C1456" s="2" t="s">
        <v>1351</v>
      </c>
      <c r="D1456" s="22">
        <v>45836.0</v>
      </c>
      <c r="E1456" s="4">
        <v>0.5</v>
      </c>
      <c r="F1456" s="5" t="str">
        <f>VLOOKUP(A1456,Jogos!A:N,10,0)</f>
        <v>Afternoon</v>
      </c>
      <c r="G1456" s="2" t="s">
        <v>500</v>
      </c>
      <c r="H1456" s="6" t="str">
        <f>VLOOKUP(A1456,Jogos!A:L,12,0)</f>
        <v>Open</v>
      </c>
      <c r="I1456" s="6" t="str">
        <f>VLOOKUP(G1456,'Estádios e Cidades'!A:B,2,0)</f>
        <v>Philadelphia</v>
      </c>
      <c r="J1456" s="2" t="s">
        <v>313</v>
      </c>
      <c r="K1456" s="2" t="str">
        <f>VLOOKUP(J1456,Equipes!A:F,6,0)</f>
        <v>Tropical</v>
      </c>
      <c r="L1456" s="2">
        <f>VLOOKUP(J1456,Equipes!A:C,3,0)</f>
        <v>14</v>
      </c>
      <c r="M1456" s="2" t="str">
        <f t="shared" si="4"/>
        <v>Round of 16</v>
      </c>
      <c r="N1456" s="2" t="s">
        <v>250</v>
      </c>
      <c r="O1456" s="2">
        <f>VLOOKUP(N1456,Equipes!A:C,3,0)</f>
        <v>8</v>
      </c>
      <c r="P1456" s="2" t="str">
        <f t="shared" si="5"/>
        <v>Quarter-final</v>
      </c>
      <c r="Q1456" s="2">
        <f t="shared" si="6"/>
        <v>6</v>
      </c>
      <c r="R1456" s="2" t="str">
        <f>VLOOKUP(J1456,Equipes!A:B,2,0)</f>
        <v>Botafogo</v>
      </c>
      <c r="S1456" s="6" t="s">
        <v>333</v>
      </c>
      <c r="T1456" s="7">
        <v>99.0</v>
      </c>
      <c r="U1456" s="7" t="s">
        <v>334</v>
      </c>
      <c r="V1456" s="7" t="str">
        <f>VLOOKUP(U1456,Jogadores!B:C,2,0)</f>
        <v>FW</v>
      </c>
      <c r="W1456" s="8">
        <f>VLOOKUP(U1456,Jogadores!B:D,3,0)</f>
        <v>24.43561644</v>
      </c>
      <c r="X1456" s="7">
        <v>0.0</v>
      </c>
      <c r="Y1456" s="7">
        <f t="shared" ref="Y1456:Y1457" si="4555">45+AB1456+AD1456</f>
        <v>133</v>
      </c>
      <c r="Z1456" s="7">
        <f>VLOOKUP(A1456,Jogos!A:L,3,0)</f>
        <v>51</v>
      </c>
      <c r="AA1456" s="7">
        <f t="shared" si="2229"/>
        <v>51</v>
      </c>
      <c r="AB1456" s="7">
        <f>VLOOKUP(A1456,Jogos!A:L,4,0)</f>
        <v>50</v>
      </c>
      <c r="AC1456" s="7">
        <f t="shared" si="4544"/>
        <v>50</v>
      </c>
      <c r="AD1456" s="7">
        <f>Jogos!$E$50-Jogos!$D$50-Jogos!$C$50</f>
        <v>38</v>
      </c>
      <c r="AE1456" s="7">
        <f t="shared" si="4545"/>
        <v>38</v>
      </c>
      <c r="AF1456" s="7">
        <f t="shared" si="2231"/>
        <v>139</v>
      </c>
      <c r="AG1456" s="7">
        <v>12650.1</v>
      </c>
      <c r="AH1456" s="7">
        <v>5757.1</v>
      </c>
      <c r="AI1456" s="7">
        <v>5046.3</v>
      </c>
      <c r="AJ1456" s="7">
        <v>1087.0</v>
      </c>
      <c r="AK1456" s="7">
        <v>479.8</v>
      </c>
      <c r="AL1456" s="7">
        <v>279.9</v>
      </c>
      <c r="AM1456" s="7">
        <v>100.0</v>
      </c>
      <c r="AN1456" s="7">
        <v>46.0</v>
      </c>
      <c r="AO1456" s="7">
        <v>32.7</v>
      </c>
      <c r="AP1456" s="9">
        <f t="shared" ref="AP1456:AR1456" si="4552">AG1456/$AF1456</f>
        <v>91.00791367</v>
      </c>
      <c r="AQ1456" s="9">
        <f t="shared" si="4552"/>
        <v>41.41798561</v>
      </c>
      <c r="AR1456" s="9">
        <f t="shared" si="4552"/>
        <v>36.30431655</v>
      </c>
      <c r="AS1456" s="9">
        <f t="shared" si="2233"/>
        <v>77.72230216</v>
      </c>
      <c r="AT1456" s="9">
        <f t="shared" ref="AT1456:AV1456" si="4553">AJ1456/$AF1456</f>
        <v>7.820143885</v>
      </c>
      <c r="AU1456" s="9">
        <f t="shared" si="4553"/>
        <v>3.451798561</v>
      </c>
      <c r="AV1456" s="9">
        <f t="shared" si="4553"/>
        <v>2.013669065</v>
      </c>
      <c r="AW1456" s="9">
        <f t="shared" si="2235"/>
        <v>5.465467626</v>
      </c>
      <c r="AX1456" s="9">
        <f t="shared" ref="AX1456:AY1456" si="4554">AM1456/$AF1456</f>
        <v>0.7194244604</v>
      </c>
      <c r="AY1456" s="9">
        <f t="shared" si="4554"/>
        <v>0.3309352518</v>
      </c>
      <c r="AZ1456" s="9">
        <f>VLOOKUP(A1456,Jogos!A:BN,58,0)</f>
        <v>28.665</v>
      </c>
      <c r="BA1456" s="9">
        <f>VLOOKUP(A1456,Jogos!A:BN,59,0)</f>
        <v>21.61</v>
      </c>
      <c r="BB1456" s="9">
        <f>VLOOKUP(A1456,Jogos!A:BN,60,0)</f>
        <v>65.25</v>
      </c>
      <c r="BC1456" s="9">
        <f>VLOOKUP(A1456,Jogos!A:BN,61,0)</f>
        <v>28.2875</v>
      </c>
      <c r="BD1456" s="9">
        <f>VLOOKUP(A1456,Jogos!A:BN,62,0)</f>
        <v>467.3</v>
      </c>
      <c r="BE1456" s="9">
        <f>VLOOKUP(A1456,Jogos!A:BN,63,0)</f>
        <v>1.925</v>
      </c>
      <c r="BF1456" s="9">
        <f>VLOOKUP(A1456,Jogos!A:BN,64,0)</f>
        <v>24.49</v>
      </c>
      <c r="BG1456" s="9">
        <f>VLOOKUP(A1456,Jogos!A:BN,65,0)</f>
        <v>42.9275</v>
      </c>
      <c r="BH1456" s="9">
        <f>VLOOKUP(A1456,Jogos!A:BN,66,0)</f>
        <v>28.5975</v>
      </c>
      <c r="BI1456" s="9"/>
      <c r="BJ1456" s="9"/>
    </row>
    <row r="1457" hidden="1">
      <c r="A1457" s="2">
        <v>49.0</v>
      </c>
      <c r="B1457" s="2" t="s">
        <v>1350</v>
      </c>
      <c r="C1457" s="2" t="s">
        <v>1351</v>
      </c>
      <c r="D1457" s="22">
        <v>45836.0</v>
      </c>
      <c r="E1457" s="4">
        <v>0.5</v>
      </c>
      <c r="F1457" s="5" t="str">
        <f>VLOOKUP(A1457,Jogos!A:N,10,0)</f>
        <v>Afternoon</v>
      </c>
      <c r="G1457" s="2" t="s">
        <v>500</v>
      </c>
      <c r="H1457" s="6" t="str">
        <f>VLOOKUP(A1457,Jogos!A:L,12,0)</f>
        <v>Open</v>
      </c>
      <c r="I1457" s="6" t="str">
        <f>VLOOKUP(G1457,'Estádios e Cidades'!A:B,2,0)</f>
        <v>Philadelphia</v>
      </c>
      <c r="J1457" s="2" t="s">
        <v>313</v>
      </c>
      <c r="K1457" s="2" t="str">
        <f>VLOOKUP(J1457,Equipes!A:F,6,0)</f>
        <v>Tropical</v>
      </c>
      <c r="L1457" s="2">
        <f>VLOOKUP(J1457,Equipes!A:C,3,0)</f>
        <v>14</v>
      </c>
      <c r="M1457" s="2" t="str">
        <f t="shared" si="4"/>
        <v>Round of 16</v>
      </c>
      <c r="N1457" s="2" t="s">
        <v>250</v>
      </c>
      <c r="O1457" s="2">
        <f>VLOOKUP(N1457,Equipes!A:C,3,0)</f>
        <v>8</v>
      </c>
      <c r="P1457" s="2" t="str">
        <f t="shared" si="5"/>
        <v>Quarter-final</v>
      </c>
      <c r="Q1457" s="2">
        <f t="shared" si="6"/>
        <v>6</v>
      </c>
      <c r="R1457" s="2" t="str">
        <f>VLOOKUP(J1457,Equipes!A:B,2,0)</f>
        <v>Botafogo</v>
      </c>
      <c r="S1457" s="6" t="s">
        <v>1099</v>
      </c>
      <c r="T1457" s="7">
        <v>8.0</v>
      </c>
      <c r="U1457" s="7" t="s">
        <v>1100</v>
      </c>
      <c r="V1457" s="7" t="str">
        <f>VLOOKUP(U1457,Jogadores!B:C,2,0)</f>
        <v>MF</v>
      </c>
      <c r="W1457" s="8">
        <f>VLOOKUP(U1457,Jogadores!B:D,3,0)</f>
        <v>18.29315068</v>
      </c>
      <c r="X1457" s="7">
        <v>66.0</v>
      </c>
      <c r="Y1457" s="7">
        <f t="shared" si="4555"/>
        <v>133</v>
      </c>
      <c r="Z1457" s="7">
        <f>VLOOKUP(A1457,Jogos!A:L,3,0)</f>
        <v>51</v>
      </c>
      <c r="AA1457" s="7">
        <f t="shared" si="2229"/>
        <v>0</v>
      </c>
      <c r="AB1457" s="7">
        <f>VLOOKUP(A1457,Jogos!A:L,4,0)</f>
        <v>50</v>
      </c>
      <c r="AC1457" s="7">
        <f t="shared" si="4544"/>
        <v>29</v>
      </c>
      <c r="AD1457" s="7">
        <f>Jogos!$E$50-Jogos!$D$50-Jogos!$C$50</f>
        <v>38</v>
      </c>
      <c r="AE1457" s="7">
        <f t="shared" si="4545"/>
        <v>38</v>
      </c>
      <c r="AF1457" s="7">
        <f t="shared" si="2231"/>
        <v>67</v>
      </c>
      <c r="AG1457" s="7">
        <v>5970.0</v>
      </c>
      <c r="AH1457" s="7">
        <v>3156.9</v>
      </c>
      <c r="AI1457" s="7">
        <v>2079.5</v>
      </c>
      <c r="AJ1457" s="7">
        <v>557.6</v>
      </c>
      <c r="AK1457" s="7">
        <v>164.2</v>
      </c>
      <c r="AL1457" s="7">
        <v>11.8</v>
      </c>
      <c r="AM1457" s="7">
        <v>48.0</v>
      </c>
      <c r="AN1457" s="7">
        <v>13.0</v>
      </c>
      <c r="AO1457" s="7">
        <v>28.0</v>
      </c>
      <c r="AP1457" s="9">
        <f t="shared" ref="AP1457:AR1457" si="4556">AG1457/$AF1457</f>
        <v>89.10447761</v>
      </c>
      <c r="AQ1457" s="9">
        <f t="shared" si="4556"/>
        <v>47.11791045</v>
      </c>
      <c r="AR1457" s="9">
        <f t="shared" si="4556"/>
        <v>31.03731343</v>
      </c>
      <c r="AS1457" s="9">
        <f t="shared" si="2233"/>
        <v>78.15522388</v>
      </c>
      <c r="AT1457" s="9">
        <f t="shared" ref="AT1457:AV1457" si="4557">AJ1457/$AF1457</f>
        <v>8.32238806</v>
      </c>
      <c r="AU1457" s="9">
        <f t="shared" si="4557"/>
        <v>2.450746269</v>
      </c>
      <c r="AV1457" s="9">
        <f t="shared" si="4557"/>
        <v>0.176119403</v>
      </c>
      <c r="AW1457" s="9">
        <f t="shared" si="2235"/>
        <v>2.626865672</v>
      </c>
      <c r="AX1457" s="9">
        <f t="shared" ref="AX1457:AY1457" si="4558">AM1457/$AF1457</f>
        <v>0.7164179104</v>
      </c>
      <c r="AY1457" s="9">
        <f t="shared" si="4558"/>
        <v>0.1940298507</v>
      </c>
      <c r="AZ1457" s="9">
        <f>VLOOKUP(A1457,Jogos!A:BN,58,0)</f>
        <v>28.665</v>
      </c>
      <c r="BA1457" s="9">
        <f>VLOOKUP(A1457,Jogos!A:BN,59,0)</f>
        <v>21.61</v>
      </c>
      <c r="BB1457" s="9">
        <f>VLOOKUP(A1457,Jogos!A:BN,60,0)</f>
        <v>65.25</v>
      </c>
      <c r="BC1457" s="9">
        <f>VLOOKUP(A1457,Jogos!A:BN,61,0)</f>
        <v>28.2875</v>
      </c>
      <c r="BD1457" s="9">
        <f>VLOOKUP(A1457,Jogos!A:BN,62,0)</f>
        <v>467.3</v>
      </c>
      <c r="BE1457" s="9">
        <f>VLOOKUP(A1457,Jogos!A:BN,63,0)</f>
        <v>1.925</v>
      </c>
      <c r="BF1457" s="9">
        <f>VLOOKUP(A1457,Jogos!A:BN,64,0)</f>
        <v>24.49</v>
      </c>
      <c r="BG1457" s="9">
        <f>VLOOKUP(A1457,Jogos!A:BN,65,0)</f>
        <v>42.9275</v>
      </c>
      <c r="BH1457" s="9">
        <f>VLOOKUP(A1457,Jogos!A:BN,66,0)</f>
        <v>28.5975</v>
      </c>
      <c r="BI1457" s="9"/>
      <c r="BJ1457" s="9"/>
    </row>
    <row r="1458" hidden="1">
      <c r="A1458" s="2">
        <v>49.0</v>
      </c>
      <c r="B1458" s="2" t="s">
        <v>1350</v>
      </c>
      <c r="C1458" s="2" t="s">
        <v>1351</v>
      </c>
      <c r="D1458" s="22">
        <v>45836.0</v>
      </c>
      <c r="E1458" s="4">
        <v>0.5</v>
      </c>
      <c r="F1458" s="5" t="str">
        <f>VLOOKUP(A1458,Jogos!A:N,10,0)</f>
        <v>Afternoon</v>
      </c>
      <c r="G1458" s="2" t="s">
        <v>500</v>
      </c>
      <c r="H1458" s="6" t="str">
        <f>VLOOKUP(A1458,Jogos!A:L,12,0)</f>
        <v>Open</v>
      </c>
      <c r="I1458" s="6" t="str">
        <f>VLOOKUP(G1458,'Estádios e Cidades'!A:B,2,0)</f>
        <v>Philadelphia</v>
      </c>
      <c r="J1458" s="2" t="s">
        <v>313</v>
      </c>
      <c r="K1458" s="2" t="str">
        <f>VLOOKUP(J1458,Equipes!A:F,6,0)</f>
        <v>Tropical</v>
      </c>
      <c r="L1458" s="2">
        <f>VLOOKUP(J1458,Equipes!A:C,3,0)</f>
        <v>14</v>
      </c>
      <c r="M1458" s="2" t="str">
        <f t="shared" si="4"/>
        <v>Round of 16</v>
      </c>
      <c r="N1458" s="2" t="s">
        <v>250</v>
      </c>
      <c r="O1458" s="2">
        <f>VLOOKUP(N1458,Equipes!A:C,3,0)</f>
        <v>8</v>
      </c>
      <c r="P1458" s="2" t="str">
        <f t="shared" si="5"/>
        <v>Quarter-final</v>
      </c>
      <c r="Q1458" s="2">
        <f t="shared" si="6"/>
        <v>6</v>
      </c>
      <c r="R1458" s="2" t="str">
        <f>VLOOKUP(J1458,Equipes!A:B,2,0)</f>
        <v>Botafogo</v>
      </c>
      <c r="S1458" s="6" t="s">
        <v>1358</v>
      </c>
      <c r="T1458" s="7">
        <v>21.0</v>
      </c>
      <c r="U1458" s="7" t="s">
        <v>1359</v>
      </c>
      <c r="V1458" s="7" t="str">
        <f>VLOOKUP(U1458,Jogadores!B:C,2,0)</f>
        <v>DF</v>
      </c>
      <c r="W1458" s="8">
        <f>VLOOKUP(U1458,Jogadores!B:D,3,0)</f>
        <v>36.46027397</v>
      </c>
      <c r="X1458" s="20" t="s">
        <v>1148</v>
      </c>
      <c r="Y1458" s="7" t="s">
        <v>1149</v>
      </c>
      <c r="Z1458" s="7">
        <f>VLOOKUP(A1458,Jogos!A:L,3,0)</f>
        <v>51</v>
      </c>
      <c r="AA1458" s="7" t="s">
        <v>1149</v>
      </c>
      <c r="AB1458" s="7">
        <f>VLOOKUP(A1458,Jogos!A:L,4,0)</f>
        <v>50</v>
      </c>
      <c r="AC1458" s="7" t="s">
        <v>1149</v>
      </c>
      <c r="AD1458" s="7">
        <f>Jogos!$E$50-Jogos!$D$50-Jogos!$C$50</f>
        <v>38</v>
      </c>
      <c r="AE1458" s="7" t="s">
        <v>1149</v>
      </c>
      <c r="AF1458" s="7" t="s">
        <v>1149</v>
      </c>
      <c r="AG1458" s="7"/>
      <c r="AH1458" s="7"/>
      <c r="AI1458" s="7"/>
      <c r="AJ1458" s="7"/>
      <c r="AK1458" s="7"/>
      <c r="AL1458" s="7"/>
      <c r="AM1458" s="7"/>
      <c r="AN1458" s="7"/>
      <c r="AO1458" s="7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>
        <f>VLOOKUP(A1458,Jogos!A:BN,58,0)</f>
        <v>28.665</v>
      </c>
      <c r="BA1458" s="9">
        <f>VLOOKUP(A1458,Jogos!A:BN,59,0)</f>
        <v>21.61</v>
      </c>
      <c r="BB1458" s="9">
        <f>VLOOKUP(A1458,Jogos!A:BN,60,0)</f>
        <v>65.25</v>
      </c>
      <c r="BC1458" s="9">
        <f>VLOOKUP(A1458,Jogos!A:BN,61,0)</f>
        <v>28.2875</v>
      </c>
      <c r="BD1458" s="9">
        <f>VLOOKUP(A1458,Jogos!A:BN,62,0)</f>
        <v>467.3</v>
      </c>
      <c r="BE1458" s="9">
        <f>VLOOKUP(A1458,Jogos!A:BN,63,0)</f>
        <v>1.925</v>
      </c>
      <c r="BF1458" s="9">
        <f>VLOOKUP(A1458,Jogos!A:BN,64,0)</f>
        <v>24.49</v>
      </c>
      <c r="BG1458" s="9">
        <f>VLOOKUP(A1458,Jogos!A:BN,65,0)</f>
        <v>42.9275</v>
      </c>
      <c r="BH1458" s="9">
        <f>VLOOKUP(A1458,Jogos!A:BN,66,0)</f>
        <v>28.5975</v>
      </c>
      <c r="BI1458" s="9"/>
      <c r="BJ1458" s="9"/>
    </row>
    <row r="1459" hidden="1">
      <c r="A1459" s="2">
        <v>49.0</v>
      </c>
      <c r="B1459" s="2" t="s">
        <v>1350</v>
      </c>
      <c r="C1459" s="2" t="s">
        <v>1351</v>
      </c>
      <c r="D1459" s="22">
        <v>45836.0</v>
      </c>
      <c r="E1459" s="4">
        <v>0.5</v>
      </c>
      <c r="F1459" s="5" t="str">
        <f>VLOOKUP(A1459,Jogos!A:N,10,0)</f>
        <v>Afternoon</v>
      </c>
      <c r="G1459" s="2" t="s">
        <v>500</v>
      </c>
      <c r="H1459" s="6" t="str">
        <f>VLOOKUP(A1459,Jogos!A:L,12,0)</f>
        <v>Open</v>
      </c>
      <c r="I1459" s="6" t="str">
        <f>VLOOKUP(G1459,'Estádios e Cidades'!A:B,2,0)</f>
        <v>Philadelphia</v>
      </c>
      <c r="J1459" s="2" t="s">
        <v>313</v>
      </c>
      <c r="K1459" s="2" t="str">
        <f>VLOOKUP(J1459,Equipes!A:F,6,0)</f>
        <v>Tropical</v>
      </c>
      <c r="L1459" s="2">
        <f>VLOOKUP(J1459,Equipes!A:C,3,0)</f>
        <v>14</v>
      </c>
      <c r="M1459" s="2" t="str">
        <f t="shared" si="4"/>
        <v>Round of 16</v>
      </c>
      <c r="N1459" s="2" t="s">
        <v>250</v>
      </c>
      <c r="O1459" s="2">
        <f>VLOOKUP(N1459,Equipes!A:C,3,0)</f>
        <v>8</v>
      </c>
      <c r="P1459" s="2" t="str">
        <f t="shared" si="5"/>
        <v>Quarter-final</v>
      </c>
      <c r="Q1459" s="2">
        <f t="shared" si="6"/>
        <v>6</v>
      </c>
      <c r="R1459" s="2" t="str">
        <f>VLOOKUP(J1459,Equipes!A:B,2,0)</f>
        <v>Botafogo</v>
      </c>
      <c r="S1459" s="6" t="s">
        <v>1101</v>
      </c>
      <c r="T1459" s="7">
        <v>28.0</v>
      </c>
      <c r="U1459" s="7" t="s">
        <v>1102</v>
      </c>
      <c r="V1459" s="7" t="str">
        <f>VLOOKUP(U1459,Jogadores!B:C,2,0)</f>
        <v>MF</v>
      </c>
      <c r="W1459" s="8">
        <f>VLOOKUP(U1459,Jogadores!B:D,3,0)</f>
        <v>25.39452055</v>
      </c>
      <c r="X1459" s="7">
        <v>83.0</v>
      </c>
      <c r="Y1459" s="7">
        <f t="shared" ref="Y1459:Y1464" si="4562">45+AB1459+AD1459</f>
        <v>133</v>
      </c>
      <c r="Z1459" s="7">
        <f>VLOOKUP(A1459,Jogos!A:L,3,0)</f>
        <v>51</v>
      </c>
      <c r="AA1459" s="7">
        <f t="shared" ref="AA1459:AA1523" si="4563">IF(X1459&lt;45,if(Y1459&gt;=45,Z1459-X1459,if(Y1459&lt;=Z1459,Y1459-X1459,Z1459)),0)</f>
        <v>0</v>
      </c>
      <c r="AB1459" s="7">
        <f>VLOOKUP(A1459,Jogos!A:L,4,0)</f>
        <v>50</v>
      </c>
      <c r="AC1459" s="7">
        <f t="shared" ref="AC1459:AC1480" si="4564">IF(X1459&lt;45,if(Y1459&lt;=45,0,if(Y1459&gt;90,Y1459-45-AD1459,Y1459-45)),if(X1459&gt;=90,0,AB1459+45-X1459))</f>
        <v>12</v>
      </c>
      <c r="AD1459" s="7">
        <f>Jogos!$E$50-Jogos!$D$50-Jogos!$C$50</f>
        <v>38</v>
      </c>
      <c r="AE1459" s="7">
        <f t="shared" ref="AE1459:AE1480" si="4565">if(X1459&lt;=90,if(Y1459&lt;=90,0,(Y1459-45-AB1459)),90+AD1459-X1459)</f>
        <v>38</v>
      </c>
      <c r="AF1459" s="7">
        <f t="shared" ref="AF1459:AF1873" si="4566">AE1459+AC1459+AA1459</f>
        <v>50</v>
      </c>
      <c r="AG1459" s="7">
        <v>5550.2</v>
      </c>
      <c r="AH1459" s="7">
        <v>1904.4</v>
      </c>
      <c r="AI1459" s="7">
        <v>2658.5</v>
      </c>
      <c r="AJ1459" s="7">
        <v>775.2</v>
      </c>
      <c r="AK1459" s="7">
        <v>177.7</v>
      </c>
      <c r="AL1459" s="7">
        <v>34.4</v>
      </c>
      <c r="AM1459" s="7">
        <v>75.0</v>
      </c>
      <c r="AN1459" s="7">
        <v>18.0</v>
      </c>
      <c r="AO1459" s="7">
        <v>32.0</v>
      </c>
      <c r="AP1459" s="9">
        <f t="shared" ref="AP1459:AR1459" si="4559">AG1459/$AF1459</f>
        <v>111.004</v>
      </c>
      <c r="AQ1459" s="9">
        <f t="shared" si="4559"/>
        <v>38.088</v>
      </c>
      <c r="AR1459" s="9">
        <f t="shared" si="4559"/>
        <v>53.17</v>
      </c>
      <c r="AS1459" s="9">
        <f t="shared" ref="AS1459:AS1873" si="4568">AQ1459+AR1459</f>
        <v>91.258</v>
      </c>
      <c r="AT1459" s="9">
        <f t="shared" ref="AT1459:AV1459" si="4560">AJ1459/$AF1459</f>
        <v>15.504</v>
      </c>
      <c r="AU1459" s="9">
        <f t="shared" si="4560"/>
        <v>3.554</v>
      </c>
      <c r="AV1459" s="9">
        <f t="shared" si="4560"/>
        <v>0.688</v>
      </c>
      <c r="AW1459" s="9">
        <f t="shared" ref="AW1459:AW1873" si="4570">(AK1459+AL1459)/AF1459</f>
        <v>4.242</v>
      </c>
      <c r="AX1459" s="9">
        <f t="shared" ref="AX1459:AY1459" si="4561">AM1459/$AF1459</f>
        <v>1.5</v>
      </c>
      <c r="AY1459" s="9">
        <f t="shared" si="4561"/>
        <v>0.36</v>
      </c>
      <c r="AZ1459" s="9">
        <f>VLOOKUP(A1459,Jogos!A:BN,58,0)</f>
        <v>28.665</v>
      </c>
      <c r="BA1459" s="9">
        <f>VLOOKUP(A1459,Jogos!A:BN,59,0)</f>
        <v>21.61</v>
      </c>
      <c r="BB1459" s="9">
        <f>VLOOKUP(A1459,Jogos!A:BN,60,0)</f>
        <v>65.25</v>
      </c>
      <c r="BC1459" s="9">
        <f>VLOOKUP(A1459,Jogos!A:BN,61,0)</f>
        <v>28.2875</v>
      </c>
      <c r="BD1459" s="9">
        <f>VLOOKUP(A1459,Jogos!A:BN,62,0)</f>
        <v>467.3</v>
      </c>
      <c r="BE1459" s="9">
        <f>VLOOKUP(A1459,Jogos!A:BN,63,0)</f>
        <v>1.925</v>
      </c>
      <c r="BF1459" s="9">
        <f>VLOOKUP(A1459,Jogos!A:BN,64,0)</f>
        <v>24.49</v>
      </c>
      <c r="BG1459" s="9">
        <f>VLOOKUP(A1459,Jogos!A:BN,65,0)</f>
        <v>42.9275</v>
      </c>
      <c r="BH1459" s="9">
        <f>VLOOKUP(A1459,Jogos!A:BN,66,0)</f>
        <v>28.5975</v>
      </c>
      <c r="BI1459" s="9"/>
      <c r="BJ1459" s="9"/>
    </row>
    <row r="1460" hidden="1">
      <c r="A1460" s="2">
        <v>49.0</v>
      </c>
      <c r="B1460" s="2" t="s">
        <v>1350</v>
      </c>
      <c r="C1460" s="2" t="s">
        <v>1351</v>
      </c>
      <c r="D1460" s="22">
        <v>45836.0</v>
      </c>
      <c r="E1460" s="4">
        <v>0.5</v>
      </c>
      <c r="F1460" s="5" t="str">
        <f>VLOOKUP(A1460,Jogos!A:N,10,0)</f>
        <v>Afternoon</v>
      </c>
      <c r="G1460" s="2" t="s">
        <v>500</v>
      </c>
      <c r="H1460" s="6" t="str">
        <f>VLOOKUP(A1460,Jogos!A:L,12,0)</f>
        <v>Open</v>
      </c>
      <c r="I1460" s="6" t="str">
        <f>VLOOKUP(G1460,'Estádios e Cidades'!A:B,2,0)</f>
        <v>Philadelphia</v>
      </c>
      <c r="J1460" s="2" t="s">
        <v>313</v>
      </c>
      <c r="K1460" s="2" t="str">
        <f>VLOOKUP(J1460,Equipes!A:F,6,0)</f>
        <v>Tropical</v>
      </c>
      <c r="L1460" s="2">
        <f>VLOOKUP(J1460,Equipes!A:C,3,0)</f>
        <v>14</v>
      </c>
      <c r="M1460" s="2" t="str">
        <f t="shared" si="4"/>
        <v>Round of 16</v>
      </c>
      <c r="N1460" s="2" t="s">
        <v>250</v>
      </c>
      <c r="O1460" s="2">
        <f>VLOOKUP(N1460,Equipes!A:C,3,0)</f>
        <v>8</v>
      </c>
      <c r="P1460" s="2" t="str">
        <f t="shared" si="5"/>
        <v>Quarter-final</v>
      </c>
      <c r="Q1460" s="2">
        <f t="shared" si="6"/>
        <v>6</v>
      </c>
      <c r="R1460" s="2" t="str">
        <f>VLOOKUP(J1460,Equipes!A:B,2,0)</f>
        <v>Botafogo</v>
      </c>
      <c r="S1460" s="6" t="s">
        <v>339</v>
      </c>
      <c r="T1460" s="7">
        <v>30.0</v>
      </c>
      <c r="U1460" s="7" t="s">
        <v>340</v>
      </c>
      <c r="V1460" s="7" t="str">
        <f>VLOOKUP(U1460,Jogadores!B:C,2,0)</f>
        <v>FW</v>
      </c>
      <c r="W1460" s="8">
        <f>VLOOKUP(U1460,Jogadores!B:D,3,0)</f>
        <v>30.97808219</v>
      </c>
      <c r="X1460" s="7">
        <v>71.0</v>
      </c>
      <c r="Y1460" s="7">
        <f t="shared" si="4562"/>
        <v>133</v>
      </c>
      <c r="Z1460" s="7">
        <f>VLOOKUP(A1460,Jogos!A:L,3,0)</f>
        <v>51</v>
      </c>
      <c r="AA1460" s="7">
        <f t="shared" si="4563"/>
        <v>0</v>
      </c>
      <c r="AB1460" s="7">
        <f>VLOOKUP(A1460,Jogos!A:L,4,0)</f>
        <v>50</v>
      </c>
      <c r="AC1460" s="7">
        <f t="shared" si="4564"/>
        <v>24</v>
      </c>
      <c r="AD1460" s="7">
        <f>Jogos!$E$50-Jogos!$D$50-Jogos!$C$50</f>
        <v>38</v>
      </c>
      <c r="AE1460" s="7">
        <f t="shared" si="4565"/>
        <v>38</v>
      </c>
      <c r="AF1460" s="7">
        <f t="shared" si="4566"/>
        <v>62</v>
      </c>
      <c r="AG1460" s="7">
        <v>7060.7</v>
      </c>
      <c r="AH1460" s="7">
        <v>2612.9</v>
      </c>
      <c r="AI1460" s="7">
        <v>2554.7</v>
      </c>
      <c r="AJ1460" s="7">
        <v>1321.1</v>
      </c>
      <c r="AK1460" s="7">
        <v>480.5</v>
      </c>
      <c r="AL1460" s="7">
        <v>91.6</v>
      </c>
      <c r="AM1460" s="7">
        <v>114.0</v>
      </c>
      <c r="AN1460" s="7">
        <v>33.0</v>
      </c>
      <c r="AO1460" s="7">
        <v>30.7</v>
      </c>
      <c r="AP1460" s="9">
        <f t="shared" ref="AP1460:AR1460" si="4567">AG1460/$AF1460</f>
        <v>113.8822581</v>
      </c>
      <c r="AQ1460" s="9">
        <f t="shared" si="4567"/>
        <v>42.14354839</v>
      </c>
      <c r="AR1460" s="9">
        <f t="shared" si="4567"/>
        <v>41.20483871</v>
      </c>
      <c r="AS1460" s="9">
        <f t="shared" si="4568"/>
        <v>83.3483871</v>
      </c>
      <c r="AT1460" s="9">
        <f t="shared" ref="AT1460:AV1460" si="4569">AJ1460/$AF1460</f>
        <v>21.30806452</v>
      </c>
      <c r="AU1460" s="9">
        <f t="shared" si="4569"/>
        <v>7.75</v>
      </c>
      <c r="AV1460" s="9">
        <f t="shared" si="4569"/>
        <v>1.477419355</v>
      </c>
      <c r="AW1460" s="9">
        <f t="shared" si="4570"/>
        <v>9.227419355</v>
      </c>
      <c r="AX1460" s="9">
        <f t="shared" ref="AX1460:AY1460" si="4571">AM1460/$AF1460</f>
        <v>1.838709677</v>
      </c>
      <c r="AY1460" s="9">
        <f t="shared" si="4571"/>
        <v>0.5322580645</v>
      </c>
      <c r="AZ1460" s="9">
        <f>VLOOKUP(A1460,Jogos!A:BN,58,0)</f>
        <v>28.665</v>
      </c>
      <c r="BA1460" s="9">
        <f>VLOOKUP(A1460,Jogos!A:BN,59,0)</f>
        <v>21.61</v>
      </c>
      <c r="BB1460" s="9">
        <f>VLOOKUP(A1460,Jogos!A:BN,60,0)</f>
        <v>65.25</v>
      </c>
      <c r="BC1460" s="9">
        <f>VLOOKUP(A1460,Jogos!A:BN,61,0)</f>
        <v>28.2875</v>
      </c>
      <c r="BD1460" s="9">
        <f>VLOOKUP(A1460,Jogos!A:BN,62,0)</f>
        <v>467.3</v>
      </c>
      <c r="BE1460" s="9">
        <f>VLOOKUP(A1460,Jogos!A:BN,63,0)</f>
        <v>1.925</v>
      </c>
      <c r="BF1460" s="9">
        <f>VLOOKUP(A1460,Jogos!A:BN,64,0)</f>
        <v>24.49</v>
      </c>
      <c r="BG1460" s="9">
        <f>VLOOKUP(A1460,Jogos!A:BN,65,0)</f>
        <v>42.9275</v>
      </c>
      <c r="BH1460" s="9">
        <f>VLOOKUP(A1460,Jogos!A:BN,66,0)</f>
        <v>28.5975</v>
      </c>
      <c r="BI1460" s="9"/>
      <c r="BJ1460" s="9"/>
    </row>
    <row r="1461" hidden="1">
      <c r="A1461" s="2">
        <v>49.0</v>
      </c>
      <c r="B1461" s="2" t="s">
        <v>1350</v>
      </c>
      <c r="C1461" s="2" t="s">
        <v>1351</v>
      </c>
      <c r="D1461" s="22">
        <v>45836.0</v>
      </c>
      <c r="E1461" s="4">
        <v>0.5</v>
      </c>
      <c r="F1461" s="5" t="str">
        <f>VLOOKUP(A1461,Jogos!A:N,10,0)</f>
        <v>Afternoon</v>
      </c>
      <c r="G1461" s="2" t="s">
        <v>500</v>
      </c>
      <c r="H1461" s="6" t="str">
        <f>VLOOKUP(A1461,Jogos!A:L,12,0)</f>
        <v>Open</v>
      </c>
      <c r="I1461" s="6" t="str">
        <f>VLOOKUP(G1461,'Estádios e Cidades'!A:B,2,0)</f>
        <v>Philadelphia</v>
      </c>
      <c r="J1461" s="2" t="s">
        <v>313</v>
      </c>
      <c r="K1461" s="2" t="str">
        <f>VLOOKUP(J1461,Equipes!A:F,6,0)</f>
        <v>Tropical</v>
      </c>
      <c r="L1461" s="2">
        <f>VLOOKUP(J1461,Equipes!A:C,3,0)</f>
        <v>14</v>
      </c>
      <c r="M1461" s="2" t="str">
        <f t="shared" si="4"/>
        <v>Round of 16</v>
      </c>
      <c r="N1461" s="2" t="s">
        <v>250</v>
      </c>
      <c r="O1461" s="2">
        <f>VLOOKUP(N1461,Equipes!A:C,3,0)</f>
        <v>8</v>
      </c>
      <c r="P1461" s="2" t="str">
        <f t="shared" si="5"/>
        <v>Quarter-final</v>
      </c>
      <c r="Q1461" s="2">
        <f t="shared" si="6"/>
        <v>6</v>
      </c>
      <c r="R1461" s="2" t="str">
        <f>VLOOKUP(J1461,Equipes!A:B,2,0)</f>
        <v>Botafogo</v>
      </c>
      <c r="S1461" s="6" t="s">
        <v>1360</v>
      </c>
      <c r="T1461" s="7">
        <v>31.0</v>
      </c>
      <c r="U1461" s="7" t="s">
        <v>1361</v>
      </c>
      <c r="V1461" s="7" t="str">
        <f>VLOOKUP(U1461,Jogadores!B:C,2,0)</f>
        <v>DF</v>
      </c>
      <c r="W1461" s="8">
        <f>VLOOKUP(U1461,Jogadores!B:D,3,0)</f>
        <v>29.90684932</v>
      </c>
      <c r="X1461" s="7">
        <v>84.0</v>
      </c>
      <c r="Y1461" s="7">
        <f t="shared" si="4562"/>
        <v>133</v>
      </c>
      <c r="Z1461" s="7">
        <f>VLOOKUP(A1461,Jogos!A:L,3,0)</f>
        <v>51</v>
      </c>
      <c r="AA1461" s="7">
        <f t="shared" si="4563"/>
        <v>0</v>
      </c>
      <c r="AB1461" s="7">
        <f>VLOOKUP(A1461,Jogos!A:L,4,0)</f>
        <v>50</v>
      </c>
      <c r="AC1461" s="7">
        <f t="shared" si="4564"/>
        <v>11</v>
      </c>
      <c r="AD1461" s="7">
        <f>Jogos!$E$50-Jogos!$D$50-Jogos!$C$50</f>
        <v>38</v>
      </c>
      <c r="AE1461" s="7">
        <f t="shared" si="4565"/>
        <v>38</v>
      </c>
      <c r="AF1461" s="7">
        <f t="shared" si="4566"/>
        <v>49</v>
      </c>
      <c r="AG1461" s="7">
        <v>5027.5</v>
      </c>
      <c r="AH1461" s="7">
        <v>2124.0</v>
      </c>
      <c r="AI1461" s="7">
        <v>2037.5</v>
      </c>
      <c r="AJ1461" s="7">
        <v>571.7</v>
      </c>
      <c r="AK1461" s="7">
        <v>192.6</v>
      </c>
      <c r="AL1461" s="7">
        <v>101.7</v>
      </c>
      <c r="AM1461" s="7">
        <v>54.0</v>
      </c>
      <c r="AN1461" s="7">
        <v>17.0</v>
      </c>
      <c r="AO1461" s="7">
        <v>30.5</v>
      </c>
      <c r="AP1461" s="9">
        <f t="shared" ref="AP1461:AR1461" si="4572">AG1461/$AF1461</f>
        <v>102.6020408</v>
      </c>
      <c r="AQ1461" s="9">
        <f t="shared" si="4572"/>
        <v>43.34693878</v>
      </c>
      <c r="AR1461" s="9">
        <f t="shared" si="4572"/>
        <v>41.58163265</v>
      </c>
      <c r="AS1461" s="9">
        <f t="shared" si="4568"/>
        <v>84.92857143</v>
      </c>
      <c r="AT1461" s="9">
        <f t="shared" ref="AT1461:AV1461" si="4573">AJ1461/$AF1461</f>
        <v>11.66734694</v>
      </c>
      <c r="AU1461" s="9">
        <f t="shared" si="4573"/>
        <v>3.930612245</v>
      </c>
      <c r="AV1461" s="9">
        <f t="shared" si="4573"/>
        <v>2.075510204</v>
      </c>
      <c r="AW1461" s="9">
        <f t="shared" si="4570"/>
        <v>6.006122449</v>
      </c>
      <c r="AX1461" s="9">
        <f t="shared" ref="AX1461:AY1461" si="4574">AM1461/$AF1461</f>
        <v>1.102040816</v>
      </c>
      <c r="AY1461" s="9">
        <f t="shared" si="4574"/>
        <v>0.3469387755</v>
      </c>
      <c r="AZ1461" s="9">
        <f>VLOOKUP(A1461,Jogos!A:BN,58,0)</f>
        <v>28.665</v>
      </c>
      <c r="BA1461" s="9">
        <f>VLOOKUP(A1461,Jogos!A:BN,59,0)</f>
        <v>21.61</v>
      </c>
      <c r="BB1461" s="9">
        <f>VLOOKUP(A1461,Jogos!A:BN,60,0)</f>
        <v>65.25</v>
      </c>
      <c r="BC1461" s="9">
        <f>VLOOKUP(A1461,Jogos!A:BN,61,0)</f>
        <v>28.2875</v>
      </c>
      <c r="BD1461" s="9">
        <f>VLOOKUP(A1461,Jogos!A:BN,62,0)</f>
        <v>467.3</v>
      </c>
      <c r="BE1461" s="9">
        <f>VLOOKUP(A1461,Jogos!A:BN,63,0)</f>
        <v>1.925</v>
      </c>
      <c r="BF1461" s="9">
        <f>VLOOKUP(A1461,Jogos!A:BN,64,0)</f>
        <v>24.49</v>
      </c>
      <c r="BG1461" s="9">
        <f>VLOOKUP(A1461,Jogos!A:BN,65,0)</f>
        <v>42.9275</v>
      </c>
      <c r="BH1461" s="9">
        <f>VLOOKUP(A1461,Jogos!A:BN,66,0)</f>
        <v>28.5975</v>
      </c>
      <c r="BI1461" s="9"/>
      <c r="BJ1461" s="9"/>
    </row>
    <row r="1462" hidden="1">
      <c r="A1462" s="2">
        <v>49.0</v>
      </c>
      <c r="B1462" s="2" t="s">
        <v>1350</v>
      </c>
      <c r="C1462" s="2" t="s">
        <v>1351</v>
      </c>
      <c r="D1462" s="22">
        <v>45836.0</v>
      </c>
      <c r="E1462" s="4">
        <v>0.5</v>
      </c>
      <c r="F1462" s="5" t="str">
        <f>VLOOKUP(A1462,Jogos!A:N,10,0)</f>
        <v>Afternoon</v>
      </c>
      <c r="G1462" s="2" t="s">
        <v>500</v>
      </c>
      <c r="H1462" s="6" t="str">
        <f>VLOOKUP(A1462,Jogos!A:L,12,0)</f>
        <v>Open</v>
      </c>
      <c r="I1462" s="6" t="str">
        <f>VLOOKUP(G1462,'Estádios e Cidades'!A:B,2,0)</f>
        <v>Philadelphia</v>
      </c>
      <c r="J1462" s="2" t="s">
        <v>313</v>
      </c>
      <c r="K1462" s="2" t="str">
        <f>VLOOKUP(J1462,Equipes!A:F,6,0)</f>
        <v>Tropical</v>
      </c>
      <c r="L1462" s="2">
        <f>VLOOKUP(J1462,Equipes!A:C,3,0)</f>
        <v>14</v>
      </c>
      <c r="M1462" s="2" t="str">
        <f t="shared" si="4"/>
        <v>Round of 16</v>
      </c>
      <c r="N1462" s="2" t="s">
        <v>250</v>
      </c>
      <c r="O1462" s="2">
        <f>VLOOKUP(N1462,Equipes!A:C,3,0)</f>
        <v>8</v>
      </c>
      <c r="P1462" s="2" t="str">
        <f t="shared" si="5"/>
        <v>Quarter-final</v>
      </c>
      <c r="Q1462" s="2">
        <f t="shared" si="6"/>
        <v>6</v>
      </c>
      <c r="R1462" s="2" t="str">
        <f>VLOOKUP(J1462,Equipes!A:B,2,0)</f>
        <v>Botafogo</v>
      </c>
      <c r="S1462" s="6" t="s">
        <v>341</v>
      </c>
      <c r="T1462" s="7">
        <v>66.0</v>
      </c>
      <c r="U1462" s="7" t="s">
        <v>342</v>
      </c>
      <c r="V1462" s="7" t="str">
        <f>VLOOKUP(U1462,Jogadores!B:C,2,0)</f>
        <v>DF</v>
      </c>
      <c r="W1462" s="8">
        <f>VLOOKUP(U1462,Jogadores!B:D,3,0)</f>
        <v>22.46027397</v>
      </c>
      <c r="X1462" s="7">
        <v>66.0</v>
      </c>
      <c r="Y1462" s="7">
        <f t="shared" si="4562"/>
        <v>133</v>
      </c>
      <c r="Z1462" s="7">
        <f>VLOOKUP(A1462,Jogos!A:L,3,0)</f>
        <v>51</v>
      </c>
      <c r="AA1462" s="7">
        <f t="shared" si="4563"/>
        <v>0</v>
      </c>
      <c r="AB1462" s="7">
        <f>VLOOKUP(A1462,Jogos!A:L,4,0)</f>
        <v>50</v>
      </c>
      <c r="AC1462" s="7">
        <f t="shared" si="4564"/>
        <v>29</v>
      </c>
      <c r="AD1462" s="7">
        <f>Jogos!$E$50-Jogos!$D$50-Jogos!$C$50</f>
        <v>38</v>
      </c>
      <c r="AE1462" s="7">
        <f t="shared" si="4565"/>
        <v>38</v>
      </c>
      <c r="AF1462" s="7">
        <f t="shared" si="4566"/>
        <v>67</v>
      </c>
      <c r="AG1462" s="7">
        <v>6673.2</v>
      </c>
      <c r="AH1462" s="7">
        <v>2748.0</v>
      </c>
      <c r="AI1462" s="7">
        <v>2357.6</v>
      </c>
      <c r="AJ1462" s="7">
        <v>958.2</v>
      </c>
      <c r="AK1462" s="7">
        <v>486.5</v>
      </c>
      <c r="AL1462" s="7">
        <v>122.9</v>
      </c>
      <c r="AM1462" s="7">
        <v>81.0</v>
      </c>
      <c r="AN1462" s="7">
        <v>36.0</v>
      </c>
      <c r="AO1462" s="7">
        <v>30.7</v>
      </c>
      <c r="AP1462" s="9">
        <f t="shared" ref="AP1462:AR1462" si="4575">AG1462/$AF1462</f>
        <v>99.6</v>
      </c>
      <c r="AQ1462" s="9">
        <f t="shared" si="4575"/>
        <v>41.01492537</v>
      </c>
      <c r="AR1462" s="9">
        <f t="shared" si="4575"/>
        <v>35.1880597</v>
      </c>
      <c r="AS1462" s="9">
        <f t="shared" si="4568"/>
        <v>76.20298507</v>
      </c>
      <c r="AT1462" s="9">
        <f t="shared" ref="AT1462:AV1462" si="4576">AJ1462/$AF1462</f>
        <v>14.30149254</v>
      </c>
      <c r="AU1462" s="9">
        <f t="shared" si="4576"/>
        <v>7.26119403</v>
      </c>
      <c r="AV1462" s="9">
        <f t="shared" si="4576"/>
        <v>1.834328358</v>
      </c>
      <c r="AW1462" s="9">
        <f t="shared" si="4570"/>
        <v>9.095522388</v>
      </c>
      <c r="AX1462" s="9">
        <f t="shared" ref="AX1462:AY1462" si="4577">AM1462/$AF1462</f>
        <v>1.208955224</v>
      </c>
      <c r="AY1462" s="9">
        <f t="shared" si="4577"/>
        <v>0.5373134328</v>
      </c>
      <c r="AZ1462" s="9">
        <f>VLOOKUP(A1462,Jogos!A:BN,58,0)</f>
        <v>28.665</v>
      </c>
      <c r="BA1462" s="9">
        <f>VLOOKUP(A1462,Jogos!A:BN,59,0)</f>
        <v>21.61</v>
      </c>
      <c r="BB1462" s="9">
        <f>VLOOKUP(A1462,Jogos!A:BN,60,0)</f>
        <v>65.25</v>
      </c>
      <c r="BC1462" s="9">
        <f>VLOOKUP(A1462,Jogos!A:BN,61,0)</f>
        <v>28.2875</v>
      </c>
      <c r="BD1462" s="9">
        <f>VLOOKUP(A1462,Jogos!A:BN,62,0)</f>
        <v>467.3</v>
      </c>
      <c r="BE1462" s="9">
        <f>VLOOKUP(A1462,Jogos!A:BN,63,0)</f>
        <v>1.925</v>
      </c>
      <c r="BF1462" s="9">
        <f>VLOOKUP(A1462,Jogos!A:BN,64,0)</f>
        <v>24.49</v>
      </c>
      <c r="BG1462" s="9">
        <f>VLOOKUP(A1462,Jogos!A:BN,65,0)</f>
        <v>42.9275</v>
      </c>
      <c r="BH1462" s="9">
        <f>VLOOKUP(A1462,Jogos!A:BN,66,0)</f>
        <v>28.5975</v>
      </c>
      <c r="BI1462" s="9"/>
      <c r="BJ1462" s="9"/>
    </row>
    <row r="1463" hidden="1">
      <c r="A1463" s="2">
        <v>49.0</v>
      </c>
      <c r="B1463" s="2" t="s">
        <v>1350</v>
      </c>
      <c r="C1463" s="2" t="s">
        <v>1351</v>
      </c>
      <c r="D1463" s="22">
        <v>45836.0</v>
      </c>
      <c r="E1463" s="4">
        <v>0.5</v>
      </c>
      <c r="F1463" s="5" t="str">
        <f>VLOOKUP(A1463,Jogos!A:N,10,0)</f>
        <v>Afternoon</v>
      </c>
      <c r="G1463" s="2" t="s">
        <v>500</v>
      </c>
      <c r="H1463" s="6" t="str">
        <f>VLOOKUP(A1463,Jogos!A:L,12,0)</f>
        <v>Open</v>
      </c>
      <c r="I1463" s="6" t="str">
        <f>VLOOKUP(G1463,'Estádios e Cidades'!A:B,2,0)</f>
        <v>Philadelphia</v>
      </c>
      <c r="J1463" s="2" t="s">
        <v>313</v>
      </c>
      <c r="K1463" s="2" t="str">
        <f>VLOOKUP(J1463,Equipes!A:F,6,0)</f>
        <v>Tropical</v>
      </c>
      <c r="L1463" s="2">
        <f>VLOOKUP(J1463,Equipes!A:C,3,0)</f>
        <v>14</v>
      </c>
      <c r="M1463" s="2" t="str">
        <f t="shared" si="4"/>
        <v>Round of 16</v>
      </c>
      <c r="N1463" s="2" t="s">
        <v>250</v>
      </c>
      <c r="O1463" s="2">
        <f>VLOOKUP(N1463,Equipes!A:C,3,0)</f>
        <v>8</v>
      </c>
      <c r="P1463" s="2" t="str">
        <f t="shared" si="5"/>
        <v>Quarter-final</v>
      </c>
      <c r="Q1463" s="2">
        <f t="shared" si="6"/>
        <v>6</v>
      </c>
      <c r="R1463" s="2" t="str">
        <f>VLOOKUP(J1463,Equipes!A:B,2,0)</f>
        <v>Botafogo</v>
      </c>
      <c r="S1463" s="6" t="s">
        <v>343</v>
      </c>
      <c r="T1463" s="7">
        <v>98.0</v>
      </c>
      <c r="U1463" s="7" t="s">
        <v>344</v>
      </c>
      <c r="V1463" s="7" t="str">
        <f>VLOOKUP(U1463,Jogadores!B:C,2,0)</f>
        <v>FW</v>
      </c>
      <c r="W1463" s="8">
        <f>VLOOKUP(U1463,Jogadores!B:D,3,0)</f>
        <v>27.27671233</v>
      </c>
      <c r="X1463" s="7">
        <v>103.0</v>
      </c>
      <c r="Y1463" s="7">
        <f t="shared" si="4562"/>
        <v>133</v>
      </c>
      <c r="Z1463" s="7">
        <f>VLOOKUP(A1463,Jogos!A:L,3,0)</f>
        <v>51</v>
      </c>
      <c r="AA1463" s="7">
        <f t="shared" si="4563"/>
        <v>0</v>
      </c>
      <c r="AB1463" s="7">
        <f>VLOOKUP(A1463,Jogos!A:L,4,0)</f>
        <v>50</v>
      </c>
      <c r="AC1463" s="7">
        <f t="shared" si="4564"/>
        <v>0</v>
      </c>
      <c r="AD1463" s="7">
        <f>Jogos!$E$50-Jogos!$D$50-Jogos!$C$50</f>
        <v>38</v>
      </c>
      <c r="AE1463" s="7">
        <f t="shared" si="4565"/>
        <v>25</v>
      </c>
      <c r="AF1463" s="7">
        <f t="shared" si="4566"/>
        <v>25</v>
      </c>
      <c r="AG1463" s="7">
        <v>2700.9</v>
      </c>
      <c r="AH1463" s="7">
        <v>1249.4</v>
      </c>
      <c r="AI1463" s="7">
        <v>890.1</v>
      </c>
      <c r="AJ1463" s="7">
        <v>348.4</v>
      </c>
      <c r="AK1463" s="7">
        <v>153.8</v>
      </c>
      <c r="AL1463" s="7">
        <v>59.2</v>
      </c>
      <c r="AM1463" s="7">
        <v>29.0</v>
      </c>
      <c r="AN1463" s="7">
        <v>10.0</v>
      </c>
      <c r="AO1463" s="7">
        <v>29.9</v>
      </c>
      <c r="AP1463" s="9">
        <f t="shared" ref="AP1463:AR1463" si="4578">AG1463/$AF1463</f>
        <v>108.036</v>
      </c>
      <c r="AQ1463" s="9">
        <f t="shared" si="4578"/>
        <v>49.976</v>
      </c>
      <c r="AR1463" s="9">
        <f t="shared" si="4578"/>
        <v>35.604</v>
      </c>
      <c r="AS1463" s="9">
        <f t="shared" si="4568"/>
        <v>85.58</v>
      </c>
      <c r="AT1463" s="9">
        <f t="shared" ref="AT1463:AV1463" si="4579">AJ1463/$AF1463</f>
        <v>13.936</v>
      </c>
      <c r="AU1463" s="9">
        <f t="shared" si="4579"/>
        <v>6.152</v>
      </c>
      <c r="AV1463" s="9">
        <f t="shared" si="4579"/>
        <v>2.368</v>
      </c>
      <c r="AW1463" s="9">
        <f t="shared" si="4570"/>
        <v>8.52</v>
      </c>
      <c r="AX1463" s="9">
        <f t="shared" ref="AX1463:AY1463" si="4580">AM1463/$AF1463</f>
        <v>1.16</v>
      </c>
      <c r="AY1463" s="9">
        <f t="shared" si="4580"/>
        <v>0.4</v>
      </c>
      <c r="AZ1463" s="9">
        <f>VLOOKUP(A1463,Jogos!A:BN,58,0)</f>
        <v>28.665</v>
      </c>
      <c r="BA1463" s="9">
        <f>VLOOKUP(A1463,Jogos!A:BN,59,0)</f>
        <v>21.61</v>
      </c>
      <c r="BB1463" s="9">
        <f>VLOOKUP(A1463,Jogos!A:BN,60,0)</f>
        <v>65.25</v>
      </c>
      <c r="BC1463" s="9">
        <f>VLOOKUP(A1463,Jogos!A:BN,61,0)</f>
        <v>28.2875</v>
      </c>
      <c r="BD1463" s="9">
        <f>VLOOKUP(A1463,Jogos!A:BN,62,0)</f>
        <v>467.3</v>
      </c>
      <c r="BE1463" s="9">
        <f>VLOOKUP(A1463,Jogos!A:BN,63,0)</f>
        <v>1.925</v>
      </c>
      <c r="BF1463" s="9">
        <f>VLOOKUP(A1463,Jogos!A:BN,64,0)</f>
        <v>24.49</v>
      </c>
      <c r="BG1463" s="9">
        <f>VLOOKUP(A1463,Jogos!A:BN,65,0)</f>
        <v>42.9275</v>
      </c>
      <c r="BH1463" s="9">
        <f>VLOOKUP(A1463,Jogos!A:BN,66,0)</f>
        <v>28.5975</v>
      </c>
      <c r="BI1463" s="9"/>
      <c r="BJ1463" s="9"/>
    </row>
    <row r="1464" hidden="1">
      <c r="A1464" s="2">
        <v>50.0</v>
      </c>
      <c r="B1464" s="2" t="s">
        <v>1350</v>
      </c>
      <c r="C1464" s="2" t="s">
        <v>1351</v>
      </c>
      <c r="D1464" s="3">
        <v>45836.0</v>
      </c>
      <c r="E1464" s="4">
        <v>0.6666666666666666</v>
      </c>
      <c r="F1464" s="5" t="str">
        <f>VLOOKUP(A1464,Jogos!A:N,10,0)</f>
        <v>Afternoon</v>
      </c>
      <c r="G1464" s="2" t="s">
        <v>1200</v>
      </c>
      <c r="H1464" s="6" t="str">
        <f>VLOOKUP(A1464,Jogos!A:L,12,0)</f>
        <v>Open</v>
      </c>
      <c r="I1464" s="6" t="str">
        <f>VLOOKUP(G1464,'Estádios e Cidades'!A:B,2,0)</f>
        <v>Charlotte</v>
      </c>
      <c r="J1464" s="2" t="s">
        <v>441</v>
      </c>
      <c r="K1464" s="2" t="str">
        <f>VLOOKUP(J1464,Equipes!A:F,6,0)</f>
        <v>Temperate</v>
      </c>
      <c r="L1464" s="2">
        <f>VLOOKUP(J1464,Equipes!A:C,3,0)</f>
        <v>10</v>
      </c>
      <c r="M1464" s="2" t="str">
        <f t="shared" si="4"/>
        <v>Round of 16</v>
      </c>
      <c r="N1464" s="2" t="s">
        <v>377</v>
      </c>
      <c r="O1464" s="2">
        <f>VLOOKUP(N1464,Equipes!A:C,3,0)</f>
        <v>1</v>
      </c>
      <c r="P1464" s="2" t="str">
        <f t="shared" si="5"/>
        <v>Final</v>
      </c>
      <c r="Q1464" s="2">
        <f t="shared" si="6"/>
        <v>9</v>
      </c>
      <c r="R1464" s="2" t="str">
        <f>VLOOKUP(J1464,Equipes!A:B,2,0)</f>
        <v>Benfica</v>
      </c>
      <c r="S1464" s="6" t="s">
        <v>472</v>
      </c>
      <c r="T1464" s="7">
        <v>4.0</v>
      </c>
      <c r="U1464" s="7" t="s">
        <v>473</v>
      </c>
      <c r="V1464" s="7" t="str">
        <f>VLOOKUP(U1464,Jogadores!B:C,2,0)</f>
        <v>DF</v>
      </c>
      <c r="W1464" s="8">
        <f>VLOOKUP(U1464,Jogadores!B:D,3,0)</f>
        <v>21.75890411</v>
      </c>
      <c r="X1464" s="7">
        <v>0.0</v>
      </c>
      <c r="Y1464" s="7">
        <f t="shared" si="4562"/>
        <v>128</v>
      </c>
      <c r="Z1464" s="7">
        <f>VLOOKUP(A1464,Jogos!A:L,3,0)</f>
        <v>49</v>
      </c>
      <c r="AA1464" s="7">
        <f t="shared" si="4563"/>
        <v>49</v>
      </c>
      <c r="AB1464" s="7">
        <f>VLOOKUP(A1464,Jogos!A:L,4,0)</f>
        <v>51</v>
      </c>
      <c r="AC1464" s="7">
        <f t="shared" si="4564"/>
        <v>51</v>
      </c>
      <c r="AD1464" s="7">
        <f>Jogos!$E$51-Jogos!$D$51-Jogos!$C$51</f>
        <v>32</v>
      </c>
      <c r="AE1464" s="7">
        <f t="shared" si="4565"/>
        <v>32</v>
      </c>
      <c r="AF1464" s="7">
        <f t="shared" si="4566"/>
        <v>132</v>
      </c>
      <c r="AG1464" s="7">
        <v>12171.0</v>
      </c>
      <c r="AH1464" s="7">
        <v>5505.3</v>
      </c>
      <c r="AI1464" s="7">
        <v>4894.2</v>
      </c>
      <c r="AJ1464" s="7">
        <v>1238.5</v>
      </c>
      <c r="AK1464" s="7">
        <v>394.6</v>
      </c>
      <c r="AL1464" s="7">
        <v>138.3</v>
      </c>
      <c r="AM1464" s="7">
        <v>104.0</v>
      </c>
      <c r="AN1464" s="7">
        <v>31.0</v>
      </c>
      <c r="AO1464" s="7">
        <v>43.9</v>
      </c>
      <c r="AP1464" s="9">
        <f t="shared" ref="AP1464:AR1464" si="4581">AG1464/$AF1464</f>
        <v>92.20454545</v>
      </c>
      <c r="AQ1464" s="9">
        <f t="shared" si="4581"/>
        <v>41.70681818</v>
      </c>
      <c r="AR1464" s="9">
        <f t="shared" si="4581"/>
        <v>37.07727273</v>
      </c>
      <c r="AS1464" s="9">
        <f t="shared" si="4568"/>
        <v>78.78409091</v>
      </c>
      <c r="AT1464" s="9">
        <f t="shared" ref="AT1464:AV1464" si="4582">AJ1464/$AF1464</f>
        <v>9.382575758</v>
      </c>
      <c r="AU1464" s="9">
        <f t="shared" si="4582"/>
        <v>2.989393939</v>
      </c>
      <c r="AV1464" s="9">
        <f t="shared" si="4582"/>
        <v>1.047727273</v>
      </c>
      <c r="AW1464" s="9">
        <f t="shared" si="4570"/>
        <v>4.037121212</v>
      </c>
      <c r="AX1464" s="9">
        <f t="shared" ref="AX1464:AY1464" si="4583">AM1464/$AF1464</f>
        <v>0.7878787879</v>
      </c>
      <c r="AY1464" s="9">
        <f t="shared" si="4583"/>
        <v>0.2348484848</v>
      </c>
      <c r="AZ1464" s="9">
        <f>VLOOKUP(A1464,Jogos!A:BN,58,0)</f>
        <v>28.8025</v>
      </c>
      <c r="BA1464" s="9">
        <f>VLOOKUP(A1464,Jogos!A:BN,59,0)</f>
        <v>21.075</v>
      </c>
      <c r="BB1464" s="9">
        <f>VLOOKUP(A1464,Jogos!A:BN,60,0)</f>
        <v>62.75</v>
      </c>
      <c r="BC1464" s="9">
        <f>VLOOKUP(A1464,Jogos!A:BN,61,0)</f>
        <v>28.4425</v>
      </c>
      <c r="BD1464" s="9">
        <f>VLOOKUP(A1464,Jogos!A:BN,62,0)</f>
        <v>321.95</v>
      </c>
      <c r="BE1464" s="9">
        <f>VLOOKUP(A1464,Jogos!A:BN,63,0)</f>
        <v>1.385</v>
      </c>
      <c r="BF1464" s="9">
        <f>VLOOKUP(A1464,Jogos!A:BN,64,0)</f>
        <v>24.495</v>
      </c>
      <c r="BG1464" s="9">
        <f>VLOOKUP(A1464,Jogos!A:BN,65,0)</f>
        <v>43.4425</v>
      </c>
      <c r="BH1464" s="9">
        <f>VLOOKUP(A1464,Jogos!A:BN,66,0)</f>
        <v>28.715</v>
      </c>
      <c r="BI1464" s="9"/>
      <c r="BJ1464" s="9"/>
    </row>
    <row r="1465" hidden="1">
      <c r="A1465" s="2">
        <v>50.0</v>
      </c>
      <c r="B1465" s="2" t="s">
        <v>1350</v>
      </c>
      <c r="C1465" s="2" t="s">
        <v>1351</v>
      </c>
      <c r="D1465" s="3">
        <v>45836.0</v>
      </c>
      <c r="E1465" s="4">
        <v>0.6666666666666666</v>
      </c>
      <c r="F1465" s="5" t="str">
        <f>VLOOKUP(A1465,Jogos!A:N,10,0)</f>
        <v>Afternoon</v>
      </c>
      <c r="G1465" s="2" t="s">
        <v>1200</v>
      </c>
      <c r="H1465" s="6" t="str">
        <f>VLOOKUP(A1465,Jogos!A:L,12,0)</f>
        <v>Open</v>
      </c>
      <c r="I1465" s="6" t="str">
        <f>VLOOKUP(G1465,'Estádios e Cidades'!A:B,2,0)</f>
        <v>Charlotte</v>
      </c>
      <c r="J1465" s="2" t="s">
        <v>441</v>
      </c>
      <c r="K1465" s="2" t="str">
        <f>VLOOKUP(J1465,Equipes!A:F,6,0)</f>
        <v>Temperate</v>
      </c>
      <c r="L1465" s="2">
        <f>VLOOKUP(J1465,Equipes!A:C,3,0)</f>
        <v>10</v>
      </c>
      <c r="M1465" s="2" t="str">
        <f t="shared" si="4"/>
        <v>Round of 16</v>
      </c>
      <c r="N1465" s="2" t="s">
        <v>377</v>
      </c>
      <c r="O1465" s="2">
        <f>VLOOKUP(N1465,Equipes!A:C,3,0)</f>
        <v>1</v>
      </c>
      <c r="P1465" s="2" t="str">
        <f t="shared" si="5"/>
        <v>Final</v>
      </c>
      <c r="Q1465" s="2">
        <f t="shared" si="6"/>
        <v>9</v>
      </c>
      <c r="R1465" s="2" t="str">
        <f>VLOOKUP(J1465,Equipes!A:B,2,0)</f>
        <v>Benfica</v>
      </c>
      <c r="S1465" s="6" t="s">
        <v>474</v>
      </c>
      <c r="T1465" s="7">
        <v>8.0</v>
      </c>
      <c r="U1465" s="7" t="s">
        <v>475</v>
      </c>
      <c r="V1465" s="7" t="str">
        <f>VLOOKUP(U1465,Jogadores!B:C,2,0)</f>
        <v>MF</v>
      </c>
      <c r="W1465" s="8">
        <f>VLOOKUP(U1465,Jogadores!B:D,3,0)</f>
        <v>29.65205479</v>
      </c>
      <c r="X1465" s="7">
        <v>0.0</v>
      </c>
      <c r="Y1465" s="7">
        <v>86.0</v>
      </c>
      <c r="Z1465" s="7">
        <f>VLOOKUP(A1465,Jogos!A:L,3,0)</f>
        <v>49</v>
      </c>
      <c r="AA1465" s="7">
        <f t="shared" si="4563"/>
        <v>49</v>
      </c>
      <c r="AB1465" s="7">
        <f>VLOOKUP(A1465,Jogos!A:L,4,0)</f>
        <v>51</v>
      </c>
      <c r="AC1465" s="7">
        <f t="shared" si="4564"/>
        <v>41</v>
      </c>
      <c r="AD1465" s="7">
        <f>Jogos!$E$51-Jogos!$D$51-Jogos!$C$51</f>
        <v>32</v>
      </c>
      <c r="AE1465" s="7">
        <f t="shared" si="4565"/>
        <v>0</v>
      </c>
      <c r="AF1465" s="7">
        <f t="shared" si="4566"/>
        <v>90</v>
      </c>
      <c r="AG1465" s="7">
        <v>9029.0</v>
      </c>
      <c r="AH1465" s="7">
        <v>3784.0</v>
      </c>
      <c r="AI1465" s="7">
        <v>3557.6</v>
      </c>
      <c r="AJ1465" s="7">
        <v>1053.1</v>
      </c>
      <c r="AK1465" s="7">
        <v>459.0</v>
      </c>
      <c r="AL1465" s="7">
        <v>175.3</v>
      </c>
      <c r="AM1465" s="7">
        <v>99.0</v>
      </c>
      <c r="AN1465" s="7">
        <v>36.0</v>
      </c>
      <c r="AO1465" s="7">
        <v>31.3</v>
      </c>
      <c r="AP1465" s="9">
        <f t="shared" ref="AP1465:AR1465" si="4584">AG1465/$AF1465</f>
        <v>100.3222222</v>
      </c>
      <c r="AQ1465" s="9">
        <f t="shared" si="4584"/>
        <v>42.04444444</v>
      </c>
      <c r="AR1465" s="9">
        <f t="shared" si="4584"/>
        <v>39.52888889</v>
      </c>
      <c r="AS1465" s="9">
        <f t="shared" si="4568"/>
        <v>81.57333333</v>
      </c>
      <c r="AT1465" s="9">
        <f t="shared" ref="AT1465:AV1465" si="4585">AJ1465/$AF1465</f>
        <v>11.70111111</v>
      </c>
      <c r="AU1465" s="9">
        <f t="shared" si="4585"/>
        <v>5.1</v>
      </c>
      <c r="AV1465" s="9">
        <f t="shared" si="4585"/>
        <v>1.947777778</v>
      </c>
      <c r="AW1465" s="9">
        <f t="shared" si="4570"/>
        <v>7.047777778</v>
      </c>
      <c r="AX1465" s="9">
        <f t="shared" ref="AX1465:AY1465" si="4586">AM1465/$AF1465</f>
        <v>1.1</v>
      </c>
      <c r="AY1465" s="9">
        <f t="shared" si="4586"/>
        <v>0.4</v>
      </c>
      <c r="AZ1465" s="9">
        <f>VLOOKUP(A1465,Jogos!A:BN,58,0)</f>
        <v>28.8025</v>
      </c>
      <c r="BA1465" s="9">
        <f>VLOOKUP(A1465,Jogos!A:BN,59,0)</f>
        <v>21.075</v>
      </c>
      <c r="BB1465" s="9">
        <f>VLOOKUP(A1465,Jogos!A:BN,60,0)</f>
        <v>62.75</v>
      </c>
      <c r="BC1465" s="9">
        <f>VLOOKUP(A1465,Jogos!A:BN,61,0)</f>
        <v>28.4425</v>
      </c>
      <c r="BD1465" s="9">
        <f>VLOOKUP(A1465,Jogos!A:BN,62,0)</f>
        <v>321.95</v>
      </c>
      <c r="BE1465" s="9">
        <f>VLOOKUP(A1465,Jogos!A:BN,63,0)</f>
        <v>1.385</v>
      </c>
      <c r="BF1465" s="9">
        <f>VLOOKUP(A1465,Jogos!A:BN,64,0)</f>
        <v>24.495</v>
      </c>
      <c r="BG1465" s="9">
        <f>VLOOKUP(A1465,Jogos!A:BN,65,0)</f>
        <v>43.4425</v>
      </c>
      <c r="BH1465" s="9">
        <f>VLOOKUP(A1465,Jogos!A:BN,66,0)</f>
        <v>28.715</v>
      </c>
      <c r="BI1465" s="9"/>
      <c r="BJ1465" s="9"/>
    </row>
    <row r="1466" hidden="1">
      <c r="A1466" s="2">
        <v>50.0</v>
      </c>
      <c r="B1466" s="2" t="s">
        <v>1350</v>
      </c>
      <c r="C1466" s="2" t="s">
        <v>1351</v>
      </c>
      <c r="D1466" s="3">
        <v>45836.0</v>
      </c>
      <c r="E1466" s="4">
        <v>0.6666666666666666</v>
      </c>
      <c r="F1466" s="5" t="str">
        <f>VLOOKUP(A1466,Jogos!A:N,10,0)</f>
        <v>Afternoon</v>
      </c>
      <c r="G1466" s="2" t="s">
        <v>1200</v>
      </c>
      <c r="H1466" s="6" t="str">
        <f>VLOOKUP(A1466,Jogos!A:L,12,0)</f>
        <v>Open</v>
      </c>
      <c r="I1466" s="6" t="str">
        <f>VLOOKUP(G1466,'Estádios e Cidades'!A:B,2,0)</f>
        <v>Charlotte</v>
      </c>
      <c r="J1466" s="2" t="s">
        <v>441</v>
      </c>
      <c r="K1466" s="2" t="str">
        <f>VLOOKUP(J1466,Equipes!A:F,6,0)</f>
        <v>Temperate</v>
      </c>
      <c r="L1466" s="2">
        <f>VLOOKUP(J1466,Equipes!A:C,3,0)</f>
        <v>10</v>
      </c>
      <c r="M1466" s="2" t="str">
        <f t="shared" si="4"/>
        <v>Round of 16</v>
      </c>
      <c r="N1466" s="2" t="s">
        <v>377</v>
      </c>
      <c r="O1466" s="2">
        <f>VLOOKUP(N1466,Equipes!A:C,3,0)</f>
        <v>1</v>
      </c>
      <c r="P1466" s="2" t="str">
        <f t="shared" si="5"/>
        <v>Final</v>
      </c>
      <c r="Q1466" s="2">
        <f t="shared" si="6"/>
        <v>9</v>
      </c>
      <c r="R1466" s="2" t="str">
        <f>VLOOKUP(J1466,Equipes!A:B,2,0)</f>
        <v>Benfica</v>
      </c>
      <c r="S1466" s="6" t="s">
        <v>490</v>
      </c>
      <c r="T1466" s="7">
        <v>10.0</v>
      </c>
      <c r="U1466" s="7" t="s">
        <v>491</v>
      </c>
      <c r="V1466" s="7" t="str">
        <f>VLOOKUP(U1466,Jogadores!B:C,2,0)</f>
        <v>MF</v>
      </c>
      <c r="W1466" s="8">
        <f>VLOOKUP(U1466,Jogadores!B:D,3,0)</f>
        <v>24.59452055</v>
      </c>
      <c r="X1466" s="7">
        <v>0.0</v>
      </c>
      <c r="Y1466" s="7">
        <v>86.0</v>
      </c>
      <c r="Z1466" s="7">
        <f>VLOOKUP(A1466,Jogos!A:L,3,0)</f>
        <v>49</v>
      </c>
      <c r="AA1466" s="7">
        <f t="shared" si="4563"/>
        <v>49</v>
      </c>
      <c r="AB1466" s="7">
        <f>VLOOKUP(A1466,Jogos!A:L,4,0)</f>
        <v>51</v>
      </c>
      <c r="AC1466" s="7">
        <f t="shared" si="4564"/>
        <v>41</v>
      </c>
      <c r="AD1466" s="7">
        <f>Jogos!$E$51-Jogos!$D$51-Jogos!$C$51</f>
        <v>32</v>
      </c>
      <c r="AE1466" s="7">
        <f t="shared" si="4565"/>
        <v>0</v>
      </c>
      <c r="AF1466" s="7">
        <f t="shared" si="4566"/>
        <v>90</v>
      </c>
      <c r="AG1466" s="7">
        <v>8469.0</v>
      </c>
      <c r="AH1466" s="7">
        <v>3736.8</v>
      </c>
      <c r="AI1466" s="7">
        <v>3288.1</v>
      </c>
      <c r="AJ1466" s="7">
        <v>939.9</v>
      </c>
      <c r="AK1466" s="7">
        <v>380.6</v>
      </c>
      <c r="AL1466" s="7">
        <v>123.6</v>
      </c>
      <c r="AM1466" s="7">
        <v>72.0</v>
      </c>
      <c r="AN1466" s="7">
        <v>33.0</v>
      </c>
      <c r="AO1466" s="7">
        <v>31.5</v>
      </c>
      <c r="AP1466" s="9">
        <f t="shared" ref="AP1466:AR1466" si="4587">AG1466/$AF1466</f>
        <v>94.1</v>
      </c>
      <c r="AQ1466" s="9">
        <f t="shared" si="4587"/>
        <v>41.52</v>
      </c>
      <c r="AR1466" s="9">
        <f t="shared" si="4587"/>
        <v>36.53444444</v>
      </c>
      <c r="AS1466" s="9">
        <f t="shared" si="4568"/>
        <v>78.05444444</v>
      </c>
      <c r="AT1466" s="9">
        <f t="shared" ref="AT1466:AV1466" si="4588">AJ1466/$AF1466</f>
        <v>10.44333333</v>
      </c>
      <c r="AU1466" s="9">
        <f t="shared" si="4588"/>
        <v>4.228888889</v>
      </c>
      <c r="AV1466" s="9">
        <f t="shared" si="4588"/>
        <v>1.373333333</v>
      </c>
      <c r="AW1466" s="9">
        <f t="shared" si="4570"/>
        <v>5.602222222</v>
      </c>
      <c r="AX1466" s="9">
        <f t="shared" ref="AX1466:AY1466" si="4589">AM1466/$AF1466</f>
        <v>0.8</v>
      </c>
      <c r="AY1466" s="9">
        <f t="shared" si="4589"/>
        <v>0.3666666667</v>
      </c>
      <c r="AZ1466" s="9">
        <f>VLOOKUP(A1466,Jogos!A:BN,58,0)</f>
        <v>28.8025</v>
      </c>
      <c r="BA1466" s="9">
        <f>VLOOKUP(A1466,Jogos!A:BN,59,0)</f>
        <v>21.075</v>
      </c>
      <c r="BB1466" s="9">
        <f>VLOOKUP(A1466,Jogos!A:BN,60,0)</f>
        <v>62.75</v>
      </c>
      <c r="BC1466" s="9">
        <f>VLOOKUP(A1466,Jogos!A:BN,61,0)</f>
        <v>28.4425</v>
      </c>
      <c r="BD1466" s="9">
        <f>VLOOKUP(A1466,Jogos!A:BN,62,0)</f>
        <v>321.95</v>
      </c>
      <c r="BE1466" s="9">
        <f>VLOOKUP(A1466,Jogos!A:BN,63,0)</f>
        <v>1.385</v>
      </c>
      <c r="BF1466" s="9">
        <f>VLOOKUP(A1466,Jogos!A:BN,64,0)</f>
        <v>24.495</v>
      </c>
      <c r="BG1466" s="9">
        <f>VLOOKUP(A1466,Jogos!A:BN,65,0)</f>
        <v>43.4425</v>
      </c>
      <c r="BH1466" s="9">
        <f>VLOOKUP(A1466,Jogos!A:BN,66,0)</f>
        <v>28.715</v>
      </c>
      <c r="BI1466" s="9"/>
      <c r="BJ1466" s="9"/>
    </row>
    <row r="1467" hidden="1">
      <c r="A1467" s="2">
        <v>50.0</v>
      </c>
      <c r="B1467" s="2" t="s">
        <v>1350</v>
      </c>
      <c r="C1467" s="2" t="s">
        <v>1351</v>
      </c>
      <c r="D1467" s="3">
        <v>45836.0</v>
      </c>
      <c r="E1467" s="4">
        <v>0.6666666666666666</v>
      </c>
      <c r="F1467" s="5" t="str">
        <f>VLOOKUP(A1467,Jogos!A:N,10,0)</f>
        <v>Afternoon</v>
      </c>
      <c r="G1467" s="2" t="s">
        <v>1200</v>
      </c>
      <c r="H1467" s="6" t="str">
        <f>VLOOKUP(A1467,Jogos!A:L,12,0)</f>
        <v>Open</v>
      </c>
      <c r="I1467" s="6" t="str">
        <f>VLOOKUP(G1467,'Estádios e Cidades'!A:B,2,0)</f>
        <v>Charlotte</v>
      </c>
      <c r="J1467" s="2" t="s">
        <v>441</v>
      </c>
      <c r="K1467" s="2" t="str">
        <f>VLOOKUP(J1467,Equipes!A:F,6,0)</f>
        <v>Temperate</v>
      </c>
      <c r="L1467" s="2">
        <f>VLOOKUP(J1467,Equipes!A:C,3,0)</f>
        <v>10</v>
      </c>
      <c r="M1467" s="2" t="str">
        <f t="shared" si="4"/>
        <v>Round of 16</v>
      </c>
      <c r="N1467" s="2" t="s">
        <v>377</v>
      </c>
      <c r="O1467" s="2">
        <f>VLOOKUP(N1467,Equipes!A:C,3,0)</f>
        <v>1</v>
      </c>
      <c r="P1467" s="2" t="str">
        <f t="shared" si="5"/>
        <v>Final</v>
      </c>
      <c r="Q1467" s="2">
        <f t="shared" si="6"/>
        <v>9</v>
      </c>
      <c r="R1467" s="2" t="str">
        <f>VLOOKUP(J1467,Equipes!A:B,2,0)</f>
        <v>Benfica</v>
      </c>
      <c r="S1467" s="6" t="s">
        <v>476</v>
      </c>
      <c r="T1467" s="7">
        <v>11.0</v>
      </c>
      <c r="U1467" s="7" t="s">
        <v>477</v>
      </c>
      <c r="V1467" s="7" t="str">
        <f>VLOOKUP(U1467,Jogadores!B:C,2,0)</f>
        <v>FW</v>
      </c>
      <c r="W1467" s="8">
        <f>VLOOKUP(U1467,Jogadores!B:D,3,0)</f>
        <v>37.47671233</v>
      </c>
      <c r="X1467" s="7">
        <v>0.0</v>
      </c>
      <c r="Y1467" s="7">
        <f>45+AB1467+AD1467</f>
        <v>128</v>
      </c>
      <c r="Z1467" s="7">
        <f>VLOOKUP(A1467,Jogos!A:L,3,0)</f>
        <v>49</v>
      </c>
      <c r="AA1467" s="7">
        <f t="shared" si="4563"/>
        <v>49</v>
      </c>
      <c r="AB1467" s="7">
        <f>VLOOKUP(A1467,Jogos!A:L,4,0)</f>
        <v>51</v>
      </c>
      <c r="AC1467" s="7">
        <f t="shared" si="4564"/>
        <v>51</v>
      </c>
      <c r="AD1467" s="7">
        <f>Jogos!$E$51-Jogos!$D$51-Jogos!$C$51</f>
        <v>32</v>
      </c>
      <c r="AE1467" s="7">
        <f t="shared" si="4565"/>
        <v>32</v>
      </c>
      <c r="AF1467" s="7">
        <f t="shared" si="4566"/>
        <v>132</v>
      </c>
      <c r="AG1467" s="7">
        <v>12868.4</v>
      </c>
      <c r="AH1467" s="7">
        <v>5677.6</v>
      </c>
      <c r="AI1467" s="7">
        <v>5101.4</v>
      </c>
      <c r="AJ1467" s="7">
        <v>1351.2</v>
      </c>
      <c r="AK1467" s="7">
        <v>505.2</v>
      </c>
      <c r="AL1467" s="7">
        <v>233.1</v>
      </c>
      <c r="AM1467" s="7">
        <v>125.0</v>
      </c>
      <c r="AN1467" s="7">
        <v>39.0</v>
      </c>
      <c r="AO1467" s="7">
        <v>39.8</v>
      </c>
      <c r="AP1467" s="9">
        <f t="shared" ref="AP1467:AR1467" si="4590">AG1467/$AF1467</f>
        <v>97.48787879</v>
      </c>
      <c r="AQ1467" s="9">
        <f t="shared" si="4590"/>
        <v>43.01212121</v>
      </c>
      <c r="AR1467" s="9">
        <f t="shared" si="4590"/>
        <v>38.6469697</v>
      </c>
      <c r="AS1467" s="9">
        <f t="shared" si="4568"/>
        <v>81.65909091</v>
      </c>
      <c r="AT1467" s="9">
        <f t="shared" ref="AT1467:AV1467" si="4591">AJ1467/$AF1467</f>
        <v>10.23636364</v>
      </c>
      <c r="AU1467" s="9">
        <f t="shared" si="4591"/>
        <v>3.827272727</v>
      </c>
      <c r="AV1467" s="9">
        <f t="shared" si="4591"/>
        <v>1.765909091</v>
      </c>
      <c r="AW1467" s="9">
        <f t="shared" si="4570"/>
        <v>5.593181818</v>
      </c>
      <c r="AX1467" s="9">
        <f t="shared" ref="AX1467:AY1467" si="4592">AM1467/$AF1467</f>
        <v>0.946969697</v>
      </c>
      <c r="AY1467" s="9">
        <f t="shared" si="4592"/>
        <v>0.2954545455</v>
      </c>
      <c r="AZ1467" s="9">
        <f>VLOOKUP(A1467,Jogos!A:BN,58,0)</f>
        <v>28.8025</v>
      </c>
      <c r="BA1467" s="9">
        <f>VLOOKUP(A1467,Jogos!A:BN,59,0)</f>
        <v>21.075</v>
      </c>
      <c r="BB1467" s="9">
        <f>VLOOKUP(A1467,Jogos!A:BN,60,0)</f>
        <v>62.75</v>
      </c>
      <c r="BC1467" s="9">
        <f>VLOOKUP(A1467,Jogos!A:BN,61,0)</f>
        <v>28.4425</v>
      </c>
      <c r="BD1467" s="9">
        <f>VLOOKUP(A1467,Jogos!A:BN,62,0)</f>
        <v>321.95</v>
      </c>
      <c r="BE1467" s="9">
        <f>VLOOKUP(A1467,Jogos!A:BN,63,0)</f>
        <v>1.385</v>
      </c>
      <c r="BF1467" s="9">
        <f>VLOOKUP(A1467,Jogos!A:BN,64,0)</f>
        <v>24.495</v>
      </c>
      <c r="BG1467" s="9">
        <f>VLOOKUP(A1467,Jogos!A:BN,65,0)</f>
        <v>43.4425</v>
      </c>
      <c r="BH1467" s="9">
        <f>VLOOKUP(A1467,Jogos!A:BN,66,0)</f>
        <v>28.715</v>
      </c>
      <c r="BI1467" s="9"/>
      <c r="BJ1467" s="9"/>
    </row>
    <row r="1468" hidden="1">
      <c r="A1468" s="2">
        <v>50.0</v>
      </c>
      <c r="B1468" s="2" t="s">
        <v>1350</v>
      </c>
      <c r="C1468" s="2" t="s">
        <v>1351</v>
      </c>
      <c r="D1468" s="3">
        <v>45836.0</v>
      </c>
      <c r="E1468" s="4">
        <v>0.6666666666666666</v>
      </c>
      <c r="F1468" s="5" t="str">
        <f>VLOOKUP(A1468,Jogos!A:N,10,0)</f>
        <v>Afternoon</v>
      </c>
      <c r="G1468" s="2" t="s">
        <v>1200</v>
      </c>
      <c r="H1468" s="6" t="str">
        <f>VLOOKUP(A1468,Jogos!A:L,12,0)</f>
        <v>Open</v>
      </c>
      <c r="I1468" s="6" t="str">
        <f>VLOOKUP(G1468,'Estádios e Cidades'!A:B,2,0)</f>
        <v>Charlotte</v>
      </c>
      <c r="J1468" s="2" t="s">
        <v>441</v>
      </c>
      <c r="K1468" s="2" t="str">
        <f>VLOOKUP(J1468,Equipes!A:F,6,0)</f>
        <v>Temperate</v>
      </c>
      <c r="L1468" s="2">
        <f>VLOOKUP(J1468,Equipes!A:C,3,0)</f>
        <v>10</v>
      </c>
      <c r="M1468" s="2" t="str">
        <f t="shared" si="4"/>
        <v>Round of 16</v>
      </c>
      <c r="N1468" s="2" t="s">
        <v>377</v>
      </c>
      <c r="O1468" s="2">
        <f>VLOOKUP(N1468,Equipes!A:C,3,0)</f>
        <v>1</v>
      </c>
      <c r="P1468" s="2" t="str">
        <f t="shared" si="5"/>
        <v>Final</v>
      </c>
      <c r="Q1468" s="2">
        <f t="shared" si="6"/>
        <v>9</v>
      </c>
      <c r="R1468" s="2" t="str">
        <f>VLOOKUP(J1468,Equipes!A:B,2,0)</f>
        <v>Benfica</v>
      </c>
      <c r="S1468" s="6" t="s">
        <v>478</v>
      </c>
      <c r="T1468" s="7">
        <v>14.0</v>
      </c>
      <c r="U1468" s="7" t="s">
        <v>479</v>
      </c>
      <c r="V1468" s="7" t="str">
        <f>VLOOKUP(U1468,Jogadores!B:C,2,0)</f>
        <v>FW</v>
      </c>
      <c r="W1468" s="8">
        <f>VLOOKUP(U1468,Jogadores!B:D,3,0)</f>
        <v>26.70136986</v>
      </c>
      <c r="X1468" s="7">
        <v>0.0</v>
      </c>
      <c r="Y1468" s="7">
        <v>70.0</v>
      </c>
      <c r="Z1468" s="7">
        <f>VLOOKUP(A1468,Jogos!A:L,3,0)</f>
        <v>49</v>
      </c>
      <c r="AA1468" s="7">
        <f t="shared" si="4563"/>
        <v>49</v>
      </c>
      <c r="AB1468" s="7">
        <f>VLOOKUP(A1468,Jogos!A:L,4,0)</f>
        <v>51</v>
      </c>
      <c r="AC1468" s="7">
        <f t="shared" si="4564"/>
        <v>25</v>
      </c>
      <c r="AD1468" s="7">
        <f>Jogos!$E$51-Jogos!$D$51-Jogos!$C$51</f>
        <v>32</v>
      </c>
      <c r="AE1468" s="7">
        <f t="shared" si="4565"/>
        <v>0</v>
      </c>
      <c r="AF1468" s="7">
        <f t="shared" si="4566"/>
        <v>74</v>
      </c>
      <c r="AG1468" s="7">
        <v>7726.5</v>
      </c>
      <c r="AH1468" s="7">
        <v>3051.5</v>
      </c>
      <c r="AI1468" s="7">
        <v>3487.8</v>
      </c>
      <c r="AJ1468" s="7">
        <v>850.1</v>
      </c>
      <c r="AK1468" s="7">
        <v>253.9</v>
      </c>
      <c r="AL1468" s="7">
        <v>83.3</v>
      </c>
      <c r="AM1468" s="7">
        <v>95.0</v>
      </c>
      <c r="AN1468" s="7">
        <v>22.0</v>
      </c>
      <c r="AO1468" s="7">
        <v>29.9</v>
      </c>
      <c r="AP1468" s="9">
        <f t="shared" ref="AP1468:AR1468" si="4593">AG1468/$AF1468</f>
        <v>104.4121622</v>
      </c>
      <c r="AQ1468" s="9">
        <f t="shared" si="4593"/>
        <v>41.23648649</v>
      </c>
      <c r="AR1468" s="9">
        <f t="shared" si="4593"/>
        <v>47.13243243</v>
      </c>
      <c r="AS1468" s="9">
        <f t="shared" si="4568"/>
        <v>88.36891892</v>
      </c>
      <c r="AT1468" s="9">
        <f t="shared" ref="AT1468:AV1468" si="4594">AJ1468/$AF1468</f>
        <v>11.48783784</v>
      </c>
      <c r="AU1468" s="9">
        <f t="shared" si="4594"/>
        <v>3.431081081</v>
      </c>
      <c r="AV1468" s="9">
        <f t="shared" si="4594"/>
        <v>1.125675676</v>
      </c>
      <c r="AW1468" s="9">
        <f t="shared" si="4570"/>
        <v>4.556756757</v>
      </c>
      <c r="AX1468" s="9">
        <f t="shared" ref="AX1468:AY1468" si="4595">AM1468/$AF1468</f>
        <v>1.283783784</v>
      </c>
      <c r="AY1468" s="9">
        <f t="shared" si="4595"/>
        <v>0.2972972973</v>
      </c>
      <c r="AZ1468" s="9">
        <f>VLOOKUP(A1468,Jogos!A:BN,58,0)</f>
        <v>28.8025</v>
      </c>
      <c r="BA1468" s="9">
        <f>VLOOKUP(A1468,Jogos!A:BN,59,0)</f>
        <v>21.075</v>
      </c>
      <c r="BB1468" s="9">
        <f>VLOOKUP(A1468,Jogos!A:BN,60,0)</f>
        <v>62.75</v>
      </c>
      <c r="BC1468" s="9">
        <f>VLOOKUP(A1468,Jogos!A:BN,61,0)</f>
        <v>28.4425</v>
      </c>
      <c r="BD1468" s="9">
        <f>VLOOKUP(A1468,Jogos!A:BN,62,0)</f>
        <v>321.95</v>
      </c>
      <c r="BE1468" s="9">
        <f>VLOOKUP(A1468,Jogos!A:BN,63,0)</f>
        <v>1.385</v>
      </c>
      <c r="BF1468" s="9">
        <f>VLOOKUP(A1468,Jogos!A:BN,64,0)</f>
        <v>24.495</v>
      </c>
      <c r="BG1468" s="9">
        <f>VLOOKUP(A1468,Jogos!A:BN,65,0)</f>
        <v>43.4425</v>
      </c>
      <c r="BH1468" s="9">
        <f>VLOOKUP(A1468,Jogos!A:BN,66,0)</f>
        <v>28.715</v>
      </c>
      <c r="BI1468" s="9"/>
      <c r="BJ1468" s="9"/>
    </row>
    <row r="1469" hidden="1">
      <c r="A1469" s="2">
        <v>50.0</v>
      </c>
      <c r="B1469" s="2" t="s">
        <v>1350</v>
      </c>
      <c r="C1469" s="2" t="s">
        <v>1351</v>
      </c>
      <c r="D1469" s="3">
        <v>45836.0</v>
      </c>
      <c r="E1469" s="4">
        <v>0.6666666666666666</v>
      </c>
      <c r="F1469" s="5" t="str">
        <f>VLOOKUP(A1469,Jogos!A:N,10,0)</f>
        <v>Afternoon</v>
      </c>
      <c r="G1469" s="2" t="s">
        <v>1200</v>
      </c>
      <c r="H1469" s="6" t="str">
        <f>VLOOKUP(A1469,Jogos!A:L,12,0)</f>
        <v>Open</v>
      </c>
      <c r="I1469" s="6" t="str">
        <f>VLOOKUP(G1469,'Estádios e Cidades'!A:B,2,0)</f>
        <v>Charlotte</v>
      </c>
      <c r="J1469" s="2" t="s">
        <v>441</v>
      </c>
      <c r="K1469" s="2" t="str">
        <f>VLOOKUP(J1469,Equipes!A:F,6,0)</f>
        <v>Temperate</v>
      </c>
      <c r="L1469" s="2">
        <f>VLOOKUP(J1469,Equipes!A:C,3,0)</f>
        <v>10</v>
      </c>
      <c r="M1469" s="2" t="str">
        <f t="shared" si="4"/>
        <v>Round of 16</v>
      </c>
      <c r="N1469" s="2" t="s">
        <v>377</v>
      </c>
      <c r="O1469" s="2">
        <f>VLOOKUP(N1469,Equipes!A:C,3,0)</f>
        <v>1</v>
      </c>
      <c r="P1469" s="2" t="str">
        <f t="shared" si="5"/>
        <v>Final</v>
      </c>
      <c r="Q1469" s="2">
        <f t="shared" si="6"/>
        <v>9</v>
      </c>
      <c r="R1469" s="2" t="str">
        <f>VLOOKUP(J1469,Equipes!A:B,2,0)</f>
        <v>Benfica</v>
      </c>
      <c r="S1469" s="6" t="s">
        <v>494</v>
      </c>
      <c r="T1469" s="7">
        <v>18.0</v>
      </c>
      <c r="U1469" s="7" t="s">
        <v>495</v>
      </c>
      <c r="V1469" s="7" t="str">
        <f>VLOOKUP(U1469,Jogadores!B:C,2,0)</f>
        <v>MF</v>
      </c>
      <c r="W1469" s="8">
        <f>VLOOKUP(U1469,Jogadores!B:D,3,0)</f>
        <v>25.58356164</v>
      </c>
      <c r="X1469" s="7">
        <v>0.0</v>
      </c>
      <c r="Y1469" s="7">
        <f>45+AB1469+AD1469</f>
        <v>128</v>
      </c>
      <c r="Z1469" s="7">
        <f>VLOOKUP(A1469,Jogos!A:L,3,0)</f>
        <v>49</v>
      </c>
      <c r="AA1469" s="7">
        <f t="shared" si="4563"/>
        <v>49</v>
      </c>
      <c r="AB1469" s="7">
        <f>VLOOKUP(A1469,Jogos!A:L,4,0)</f>
        <v>51</v>
      </c>
      <c r="AC1469" s="7">
        <f t="shared" si="4564"/>
        <v>51</v>
      </c>
      <c r="AD1469" s="7">
        <f>Jogos!$E$51-Jogos!$D$51-Jogos!$C$51</f>
        <v>32</v>
      </c>
      <c r="AE1469" s="7">
        <f t="shared" si="4565"/>
        <v>32</v>
      </c>
      <c r="AF1469" s="7">
        <f t="shared" si="4566"/>
        <v>132</v>
      </c>
      <c r="AG1469" s="7">
        <v>14374.3</v>
      </c>
      <c r="AH1469" s="7">
        <v>5526.8</v>
      </c>
      <c r="AI1469" s="7">
        <v>5943.2</v>
      </c>
      <c r="AJ1469" s="7">
        <v>2243.4</v>
      </c>
      <c r="AK1469" s="7">
        <v>554.0</v>
      </c>
      <c r="AL1469" s="7">
        <v>106.9</v>
      </c>
      <c r="AM1469" s="7">
        <v>182.0</v>
      </c>
      <c r="AN1469" s="7">
        <v>44.0</v>
      </c>
      <c r="AO1469" s="7">
        <v>37.9</v>
      </c>
      <c r="AP1469" s="9">
        <f t="shared" ref="AP1469:AR1469" si="4596">AG1469/$AF1469</f>
        <v>108.8962121</v>
      </c>
      <c r="AQ1469" s="9">
        <f t="shared" si="4596"/>
        <v>41.86969697</v>
      </c>
      <c r="AR1469" s="9">
        <f t="shared" si="4596"/>
        <v>45.02424242</v>
      </c>
      <c r="AS1469" s="9">
        <f t="shared" si="4568"/>
        <v>86.89393939</v>
      </c>
      <c r="AT1469" s="9">
        <f t="shared" ref="AT1469:AV1469" si="4597">AJ1469/$AF1469</f>
        <v>16.99545455</v>
      </c>
      <c r="AU1469" s="9">
        <f t="shared" si="4597"/>
        <v>4.196969697</v>
      </c>
      <c r="AV1469" s="9">
        <f t="shared" si="4597"/>
        <v>0.8098484848</v>
      </c>
      <c r="AW1469" s="9">
        <f t="shared" si="4570"/>
        <v>5.006818182</v>
      </c>
      <c r="AX1469" s="9">
        <f t="shared" ref="AX1469:AY1469" si="4598">AM1469/$AF1469</f>
        <v>1.378787879</v>
      </c>
      <c r="AY1469" s="9">
        <f t="shared" si="4598"/>
        <v>0.3333333333</v>
      </c>
      <c r="AZ1469" s="9">
        <f>VLOOKUP(A1469,Jogos!A:BN,58,0)</f>
        <v>28.8025</v>
      </c>
      <c r="BA1469" s="9">
        <f>VLOOKUP(A1469,Jogos!A:BN,59,0)</f>
        <v>21.075</v>
      </c>
      <c r="BB1469" s="9">
        <f>VLOOKUP(A1469,Jogos!A:BN,60,0)</f>
        <v>62.75</v>
      </c>
      <c r="BC1469" s="9">
        <f>VLOOKUP(A1469,Jogos!A:BN,61,0)</f>
        <v>28.4425</v>
      </c>
      <c r="BD1469" s="9">
        <f>VLOOKUP(A1469,Jogos!A:BN,62,0)</f>
        <v>321.95</v>
      </c>
      <c r="BE1469" s="9">
        <f>VLOOKUP(A1469,Jogos!A:BN,63,0)</f>
        <v>1.385</v>
      </c>
      <c r="BF1469" s="9">
        <f>VLOOKUP(A1469,Jogos!A:BN,64,0)</f>
        <v>24.495</v>
      </c>
      <c r="BG1469" s="9">
        <f>VLOOKUP(A1469,Jogos!A:BN,65,0)</f>
        <v>43.4425</v>
      </c>
      <c r="BH1469" s="9">
        <f>VLOOKUP(A1469,Jogos!A:BN,66,0)</f>
        <v>28.715</v>
      </c>
      <c r="BI1469" s="9"/>
      <c r="BJ1469" s="9"/>
    </row>
    <row r="1470" hidden="1">
      <c r="A1470" s="2">
        <v>50.0</v>
      </c>
      <c r="B1470" s="2" t="s">
        <v>1350</v>
      </c>
      <c r="C1470" s="2" t="s">
        <v>1351</v>
      </c>
      <c r="D1470" s="3">
        <v>45836.0</v>
      </c>
      <c r="E1470" s="4">
        <v>0.6666666666666666</v>
      </c>
      <c r="F1470" s="5" t="str">
        <f>VLOOKUP(A1470,Jogos!A:N,10,0)</f>
        <v>Afternoon</v>
      </c>
      <c r="G1470" s="2" t="s">
        <v>1200</v>
      </c>
      <c r="H1470" s="6" t="str">
        <f>VLOOKUP(A1470,Jogos!A:L,12,0)</f>
        <v>Open</v>
      </c>
      <c r="I1470" s="6" t="str">
        <f>VLOOKUP(G1470,'Estádios e Cidades'!A:B,2,0)</f>
        <v>Charlotte</v>
      </c>
      <c r="J1470" s="2" t="s">
        <v>441</v>
      </c>
      <c r="K1470" s="2" t="str">
        <f>VLOOKUP(J1470,Equipes!A:F,6,0)</f>
        <v>Temperate</v>
      </c>
      <c r="L1470" s="2">
        <f>VLOOKUP(J1470,Equipes!A:C,3,0)</f>
        <v>10</v>
      </c>
      <c r="M1470" s="2" t="str">
        <f t="shared" si="4"/>
        <v>Round of 16</v>
      </c>
      <c r="N1470" s="2" t="s">
        <v>377</v>
      </c>
      <c r="O1470" s="2">
        <f>VLOOKUP(N1470,Equipes!A:C,3,0)</f>
        <v>1</v>
      </c>
      <c r="P1470" s="2" t="str">
        <f t="shared" si="5"/>
        <v>Final</v>
      </c>
      <c r="Q1470" s="2">
        <f t="shared" si="6"/>
        <v>9</v>
      </c>
      <c r="R1470" s="2" t="str">
        <f>VLOOKUP(J1470,Equipes!A:B,2,0)</f>
        <v>Benfica</v>
      </c>
      <c r="S1470" s="6" t="s">
        <v>1103</v>
      </c>
      <c r="T1470" s="7">
        <v>21.0</v>
      </c>
      <c r="U1470" s="7" t="s">
        <v>1104</v>
      </c>
      <c r="V1470" s="7" t="str">
        <f>VLOOKUP(U1470,Jogadores!B:C,2,0)</f>
        <v>FW</v>
      </c>
      <c r="W1470" s="8">
        <f>VLOOKUP(U1470,Jogadores!B:D,3,0)</f>
        <v>21.16986301</v>
      </c>
      <c r="X1470" s="7">
        <v>0.0</v>
      </c>
      <c r="Y1470" s="7">
        <v>45.0</v>
      </c>
      <c r="Z1470" s="7">
        <f>VLOOKUP(A1470,Jogos!A:L,3,0)</f>
        <v>49</v>
      </c>
      <c r="AA1470" s="7">
        <f t="shared" si="4563"/>
        <v>49</v>
      </c>
      <c r="AB1470" s="7">
        <f>VLOOKUP(A1470,Jogos!A:L,4,0)</f>
        <v>51</v>
      </c>
      <c r="AC1470" s="7">
        <f t="shared" si="4564"/>
        <v>0</v>
      </c>
      <c r="AD1470" s="7">
        <f>Jogos!$E$51-Jogos!$D$51-Jogos!$C$51</f>
        <v>32</v>
      </c>
      <c r="AE1470" s="7">
        <f t="shared" si="4565"/>
        <v>0</v>
      </c>
      <c r="AF1470" s="7">
        <f t="shared" si="4566"/>
        <v>49</v>
      </c>
      <c r="AG1470" s="7">
        <v>5092.5</v>
      </c>
      <c r="AH1470" s="7">
        <v>2275.3</v>
      </c>
      <c r="AI1470" s="7">
        <v>2002.1</v>
      </c>
      <c r="AJ1470" s="7">
        <v>544.7</v>
      </c>
      <c r="AK1470" s="7">
        <v>199.1</v>
      </c>
      <c r="AL1470" s="7">
        <v>71.3</v>
      </c>
      <c r="AM1470" s="7">
        <v>48.0</v>
      </c>
      <c r="AN1470" s="7">
        <v>15.0</v>
      </c>
      <c r="AO1470" s="7">
        <v>28.0</v>
      </c>
      <c r="AP1470" s="9">
        <f t="shared" ref="AP1470:AR1470" si="4599">AG1470/$AF1470</f>
        <v>103.9285714</v>
      </c>
      <c r="AQ1470" s="9">
        <f t="shared" si="4599"/>
        <v>46.43469388</v>
      </c>
      <c r="AR1470" s="9">
        <f t="shared" si="4599"/>
        <v>40.85918367</v>
      </c>
      <c r="AS1470" s="9">
        <f t="shared" si="4568"/>
        <v>87.29387755</v>
      </c>
      <c r="AT1470" s="9">
        <f t="shared" ref="AT1470:AV1470" si="4600">AJ1470/$AF1470</f>
        <v>11.11632653</v>
      </c>
      <c r="AU1470" s="9">
        <f t="shared" si="4600"/>
        <v>4.063265306</v>
      </c>
      <c r="AV1470" s="9">
        <f t="shared" si="4600"/>
        <v>1.455102041</v>
      </c>
      <c r="AW1470" s="9">
        <f t="shared" si="4570"/>
        <v>5.518367347</v>
      </c>
      <c r="AX1470" s="9">
        <f t="shared" ref="AX1470:AY1470" si="4601">AM1470/$AF1470</f>
        <v>0.9795918367</v>
      </c>
      <c r="AY1470" s="9">
        <f t="shared" si="4601"/>
        <v>0.306122449</v>
      </c>
      <c r="AZ1470" s="9">
        <f>VLOOKUP(A1470,Jogos!A:BN,58,0)</f>
        <v>28.8025</v>
      </c>
      <c r="BA1470" s="9">
        <f>VLOOKUP(A1470,Jogos!A:BN,59,0)</f>
        <v>21.075</v>
      </c>
      <c r="BB1470" s="9">
        <f>VLOOKUP(A1470,Jogos!A:BN,60,0)</f>
        <v>62.75</v>
      </c>
      <c r="BC1470" s="9">
        <f>VLOOKUP(A1470,Jogos!A:BN,61,0)</f>
        <v>28.4425</v>
      </c>
      <c r="BD1470" s="9">
        <f>VLOOKUP(A1470,Jogos!A:BN,62,0)</f>
        <v>321.95</v>
      </c>
      <c r="BE1470" s="9">
        <f>VLOOKUP(A1470,Jogos!A:BN,63,0)</f>
        <v>1.385</v>
      </c>
      <c r="BF1470" s="9">
        <f>VLOOKUP(A1470,Jogos!A:BN,64,0)</f>
        <v>24.495</v>
      </c>
      <c r="BG1470" s="9">
        <f>VLOOKUP(A1470,Jogos!A:BN,65,0)</f>
        <v>43.4425</v>
      </c>
      <c r="BH1470" s="9">
        <f>VLOOKUP(A1470,Jogos!A:BN,66,0)</f>
        <v>28.715</v>
      </c>
      <c r="BI1470" s="9"/>
      <c r="BJ1470" s="9"/>
    </row>
    <row r="1471" hidden="1">
      <c r="A1471" s="2">
        <v>50.0</v>
      </c>
      <c r="B1471" s="2" t="s">
        <v>1350</v>
      </c>
      <c r="C1471" s="2" t="s">
        <v>1351</v>
      </c>
      <c r="D1471" s="3">
        <v>45836.0</v>
      </c>
      <c r="E1471" s="4">
        <v>0.6666666666666666</v>
      </c>
      <c r="F1471" s="5" t="str">
        <f>VLOOKUP(A1471,Jogos!A:N,10,0)</f>
        <v>Afternoon</v>
      </c>
      <c r="G1471" s="2" t="s">
        <v>1200</v>
      </c>
      <c r="H1471" s="6" t="str">
        <f>VLOOKUP(A1471,Jogos!A:L,12,0)</f>
        <v>Open</v>
      </c>
      <c r="I1471" s="6" t="str">
        <f>VLOOKUP(G1471,'Estádios e Cidades'!A:B,2,0)</f>
        <v>Charlotte</v>
      </c>
      <c r="J1471" s="2" t="s">
        <v>441</v>
      </c>
      <c r="K1471" s="2" t="str">
        <f>VLOOKUP(J1471,Equipes!A:F,6,0)</f>
        <v>Temperate</v>
      </c>
      <c r="L1471" s="2">
        <f>VLOOKUP(J1471,Equipes!A:C,3,0)</f>
        <v>10</v>
      </c>
      <c r="M1471" s="2" t="str">
        <f t="shared" si="4"/>
        <v>Round of 16</v>
      </c>
      <c r="N1471" s="2" t="s">
        <v>377</v>
      </c>
      <c r="O1471" s="2">
        <f>VLOOKUP(N1471,Equipes!A:C,3,0)</f>
        <v>1</v>
      </c>
      <c r="P1471" s="2" t="str">
        <f t="shared" si="5"/>
        <v>Final</v>
      </c>
      <c r="Q1471" s="2">
        <f t="shared" si="6"/>
        <v>9</v>
      </c>
      <c r="R1471" s="2" t="str">
        <f>VLOOKUP(J1471,Equipes!A:B,2,0)</f>
        <v>Benfica</v>
      </c>
      <c r="S1471" s="6" t="s">
        <v>480</v>
      </c>
      <c r="T1471" s="7">
        <v>26.0</v>
      </c>
      <c r="U1471" s="7" t="s">
        <v>481</v>
      </c>
      <c r="V1471" s="7" t="str">
        <f>VLOOKUP(U1471,Jogadores!B:C,2,0)</f>
        <v>DF</v>
      </c>
      <c r="W1471" s="8">
        <f>VLOOKUP(U1471,Jogadores!B:D,3,0)</f>
        <v>22.41643836</v>
      </c>
      <c r="X1471" s="7">
        <v>0.0</v>
      </c>
      <c r="Y1471" s="7">
        <f t="shared" ref="Y1471:Y1472" si="4605">45+AB1471+AD1471</f>
        <v>128</v>
      </c>
      <c r="Z1471" s="7">
        <f>VLOOKUP(A1471,Jogos!A:L,3,0)</f>
        <v>49</v>
      </c>
      <c r="AA1471" s="7">
        <f t="shared" si="4563"/>
        <v>49</v>
      </c>
      <c r="AB1471" s="7">
        <f>VLOOKUP(A1471,Jogos!A:L,4,0)</f>
        <v>51</v>
      </c>
      <c r="AC1471" s="7">
        <f t="shared" si="4564"/>
        <v>51</v>
      </c>
      <c r="AD1471" s="7">
        <f>Jogos!$E$51-Jogos!$D$51-Jogos!$C$51</f>
        <v>32</v>
      </c>
      <c r="AE1471" s="7">
        <f t="shared" si="4565"/>
        <v>32</v>
      </c>
      <c r="AF1471" s="7">
        <f t="shared" si="4566"/>
        <v>132</v>
      </c>
      <c r="AG1471" s="7">
        <v>13236.8</v>
      </c>
      <c r="AH1471" s="7">
        <v>5190.3</v>
      </c>
      <c r="AI1471" s="7">
        <v>5243.0</v>
      </c>
      <c r="AJ1471" s="7">
        <v>1764.7</v>
      </c>
      <c r="AK1471" s="7">
        <v>750.0</v>
      </c>
      <c r="AL1471" s="7">
        <v>288.9</v>
      </c>
      <c r="AM1471" s="7">
        <v>146.0</v>
      </c>
      <c r="AN1471" s="7">
        <v>66.0</v>
      </c>
      <c r="AO1471" s="7">
        <v>41.9</v>
      </c>
      <c r="AP1471" s="9">
        <f t="shared" ref="AP1471:AR1471" si="4602">AG1471/$AF1471</f>
        <v>100.2787879</v>
      </c>
      <c r="AQ1471" s="9">
        <f t="shared" si="4602"/>
        <v>39.32045455</v>
      </c>
      <c r="AR1471" s="9">
        <f t="shared" si="4602"/>
        <v>39.71969697</v>
      </c>
      <c r="AS1471" s="9">
        <f t="shared" si="4568"/>
        <v>79.04015152</v>
      </c>
      <c r="AT1471" s="9">
        <f t="shared" ref="AT1471:AV1471" si="4603">AJ1471/$AF1471</f>
        <v>13.36893939</v>
      </c>
      <c r="AU1471" s="9">
        <f t="shared" si="4603"/>
        <v>5.681818182</v>
      </c>
      <c r="AV1471" s="9">
        <f t="shared" si="4603"/>
        <v>2.188636364</v>
      </c>
      <c r="AW1471" s="9">
        <f t="shared" si="4570"/>
        <v>7.870454545</v>
      </c>
      <c r="AX1471" s="9">
        <f t="shared" ref="AX1471:AY1471" si="4604">AM1471/$AF1471</f>
        <v>1.106060606</v>
      </c>
      <c r="AY1471" s="9">
        <f t="shared" si="4604"/>
        <v>0.5</v>
      </c>
      <c r="AZ1471" s="9">
        <f>VLOOKUP(A1471,Jogos!A:BN,58,0)</f>
        <v>28.8025</v>
      </c>
      <c r="BA1471" s="9">
        <f>VLOOKUP(A1471,Jogos!A:BN,59,0)</f>
        <v>21.075</v>
      </c>
      <c r="BB1471" s="9">
        <f>VLOOKUP(A1471,Jogos!A:BN,60,0)</f>
        <v>62.75</v>
      </c>
      <c r="BC1471" s="9">
        <f>VLOOKUP(A1471,Jogos!A:BN,61,0)</f>
        <v>28.4425</v>
      </c>
      <c r="BD1471" s="9">
        <f>VLOOKUP(A1471,Jogos!A:BN,62,0)</f>
        <v>321.95</v>
      </c>
      <c r="BE1471" s="9">
        <f>VLOOKUP(A1471,Jogos!A:BN,63,0)</f>
        <v>1.385</v>
      </c>
      <c r="BF1471" s="9">
        <f>VLOOKUP(A1471,Jogos!A:BN,64,0)</f>
        <v>24.495</v>
      </c>
      <c r="BG1471" s="9">
        <f>VLOOKUP(A1471,Jogos!A:BN,65,0)</f>
        <v>43.4425</v>
      </c>
      <c r="BH1471" s="9">
        <f>VLOOKUP(A1471,Jogos!A:BN,66,0)</f>
        <v>28.715</v>
      </c>
      <c r="BI1471" s="9"/>
      <c r="BJ1471" s="9"/>
    </row>
    <row r="1472" hidden="1">
      <c r="A1472" s="2">
        <v>50.0</v>
      </c>
      <c r="B1472" s="2" t="s">
        <v>1350</v>
      </c>
      <c r="C1472" s="2" t="s">
        <v>1351</v>
      </c>
      <c r="D1472" s="3">
        <v>45836.0</v>
      </c>
      <c r="E1472" s="4">
        <v>0.6666666666666666</v>
      </c>
      <c r="F1472" s="5" t="str">
        <f>VLOOKUP(A1472,Jogos!A:N,10,0)</f>
        <v>Afternoon</v>
      </c>
      <c r="G1472" s="2" t="s">
        <v>1200</v>
      </c>
      <c r="H1472" s="6" t="str">
        <f>VLOOKUP(A1472,Jogos!A:L,12,0)</f>
        <v>Open</v>
      </c>
      <c r="I1472" s="6" t="str">
        <f>VLOOKUP(G1472,'Estádios e Cidades'!A:B,2,0)</f>
        <v>Charlotte</v>
      </c>
      <c r="J1472" s="2" t="s">
        <v>441</v>
      </c>
      <c r="K1472" s="2" t="str">
        <f>VLOOKUP(J1472,Equipes!A:F,6,0)</f>
        <v>Temperate</v>
      </c>
      <c r="L1472" s="2">
        <f>VLOOKUP(J1472,Equipes!A:C,3,0)</f>
        <v>10</v>
      </c>
      <c r="M1472" s="2" t="str">
        <f t="shared" si="4"/>
        <v>Round of 16</v>
      </c>
      <c r="N1472" s="2" t="s">
        <v>377</v>
      </c>
      <c r="O1472" s="2">
        <f>VLOOKUP(N1472,Equipes!A:C,3,0)</f>
        <v>1</v>
      </c>
      <c r="P1472" s="2" t="str">
        <f t="shared" si="5"/>
        <v>Final</v>
      </c>
      <c r="Q1472" s="2">
        <f t="shared" si="6"/>
        <v>9</v>
      </c>
      <c r="R1472" s="2" t="str">
        <f>VLOOKUP(J1472,Equipes!A:B,2,0)</f>
        <v>Benfica</v>
      </c>
      <c r="S1472" s="6" t="s">
        <v>484</v>
      </c>
      <c r="T1472" s="7">
        <v>30.0</v>
      </c>
      <c r="U1472" s="7" t="s">
        <v>485</v>
      </c>
      <c r="V1472" s="7" t="str">
        <f>VLOOKUP(U1472,Jogadores!B:C,2,0)</f>
        <v>DF</v>
      </c>
      <c r="W1472" s="8">
        <f>VLOOKUP(U1472,Jogadores!B:D,3,0)</f>
        <v>37.48219178</v>
      </c>
      <c r="X1472" s="7">
        <v>0.0</v>
      </c>
      <c r="Y1472" s="7">
        <f t="shared" si="4605"/>
        <v>128</v>
      </c>
      <c r="Z1472" s="7">
        <f>VLOOKUP(A1472,Jogos!A:L,3,0)</f>
        <v>49</v>
      </c>
      <c r="AA1472" s="7">
        <f t="shared" si="4563"/>
        <v>49</v>
      </c>
      <c r="AB1472" s="7">
        <f>VLOOKUP(A1472,Jogos!A:L,4,0)</f>
        <v>51</v>
      </c>
      <c r="AC1472" s="7">
        <f t="shared" si="4564"/>
        <v>51</v>
      </c>
      <c r="AD1472" s="7">
        <f>Jogos!$E$51-Jogos!$D$51-Jogos!$C$51</f>
        <v>32</v>
      </c>
      <c r="AE1472" s="7">
        <f t="shared" si="4565"/>
        <v>32</v>
      </c>
      <c r="AF1472" s="7">
        <f t="shared" si="4566"/>
        <v>132</v>
      </c>
      <c r="AG1472" s="7">
        <v>12438.5</v>
      </c>
      <c r="AH1472" s="7">
        <v>5430.3</v>
      </c>
      <c r="AI1472" s="7">
        <v>4937.2</v>
      </c>
      <c r="AJ1472" s="7">
        <v>1429.8</v>
      </c>
      <c r="AK1472" s="7">
        <v>455.8</v>
      </c>
      <c r="AL1472" s="7">
        <v>185.2</v>
      </c>
      <c r="AM1472" s="7">
        <v>119.0</v>
      </c>
      <c r="AN1472" s="7">
        <v>37.0</v>
      </c>
      <c r="AO1472" s="7">
        <v>43.7</v>
      </c>
      <c r="AP1472" s="9">
        <f t="shared" ref="AP1472:AR1472" si="4606">AG1472/$AF1472</f>
        <v>94.23106061</v>
      </c>
      <c r="AQ1472" s="9">
        <f t="shared" si="4606"/>
        <v>41.13863636</v>
      </c>
      <c r="AR1472" s="9">
        <f t="shared" si="4606"/>
        <v>37.4030303</v>
      </c>
      <c r="AS1472" s="9">
        <f t="shared" si="4568"/>
        <v>78.54166667</v>
      </c>
      <c r="AT1472" s="9">
        <f t="shared" ref="AT1472:AV1472" si="4607">AJ1472/$AF1472</f>
        <v>10.83181818</v>
      </c>
      <c r="AU1472" s="9">
        <f t="shared" si="4607"/>
        <v>3.453030303</v>
      </c>
      <c r="AV1472" s="9">
        <f t="shared" si="4607"/>
        <v>1.403030303</v>
      </c>
      <c r="AW1472" s="9">
        <f t="shared" si="4570"/>
        <v>4.856060606</v>
      </c>
      <c r="AX1472" s="9">
        <f t="shared" ref="AX1472:AY1472" si="4608">AM1472/$AF1472</f>
        <v>0.9015151515</v>
      </c>
      <c r="AY1472" s="9">
        <f t="shared" si="4608"/>
        <v>0.2803030303</v>
      </c>
      <c r="AZ1472" s="9">
        <f>VLOOKUP(A1472,Jogos!A:BN,58,0)</f>
        <v>28.8025</v>
      </c>
      <c r="BA1472" s="9">
        <f>VLOOKUP(A1472,Jogos!A:BN,59,0)</f>
        <v>21.075</v>
      </c>
      <c r="BB1472" s="9">
        <f>VLOOKUP(A1472,Jogos!A:BN,60,0)</f>
        <v>62.75</v>
      </c>
      <c r="BC1472" s="9">
        <f>VLOOKUP(A1472,Jogos!A:BN,61,0)</f>
        <v>28.4425</v>
      </c>
      <c r="BD1472" s="9">
        <f>VLOOKUP(A1472,Jogos!A:BN,62,0)</f>
        <v>321.95</v>
      </c>
      <c r="BE1472" s="9">
        <f>VLOOKUP(A1472,Jogos!A:BN,63,0)</f>
        <v>1.385</v>
      </c>
      <c r="BF1472" s="9">
        <f>VLOOKUP(A1472,Jogos!A:BN,64,0)</f>
        <v>24.495</v>
      </c>
      <c r="BG1472" s="9">
        <f>VLOOKUP(A1472,Jogos!A:BN,65,0)</f>
        <v>43.4425</v>
      </c>
      <c r="BH1472" s="9">
        <f>VLOOKUP(A1472,Jogos!A:BN,66,0)</f>
        <v>28.715</v>
      </c>
      <c r="BI1472" s="9"/>
      <c r="BJ1472" s="9"/>
    </row>
    <row r="1473" hidden="1">
      <c r="A1473" s="2">
        <v>50.0</v>
      </c>
      <c r="B1473" s="2" t="s">
        <v>1350</v>
      </c>
      <c r="C1473" s="2" t="s">
        <v>1351</v>
      </c>
      <c r="D1473" s="3">
        <v>45836.0</v>
      </c>
      <c r="E1473" s="4">
        <v>0.6666666666666666</v>
      </c>
      <c r="F1473" s="5" t="str">
        <f>VLOOKUP(A1473,Jogos!A:N,10,0)</f>
        <v>Afternoon</v>
      </c>
      <c r="G1473" s="2" t="s">
        <v>1200</v>
      </c>
      <c r="H1473" s="6" t="str">
        <f>VLOOKUP(A1473,Jogos!A:L,12,0)</f>
        <v>Open</v>
      </c>
      <c r="I1473" s="6" t="str">
        <f>VLOOKUP(G1473,'Estádios e Cidades'!A:B,2,0)</f>
        <v>Charlotte</v>
      </c>
      <c r="J1473" s="2" t="s">
        <v>441</v>
      </c>
      <c r="K1473" s="2" t="str">
        <f>VLOOKUP(J1473,Equipes!A:F,6,0)</f>
        <v>Temperate</v>
      </c>
      <c r="L1473" s="2">
        <f>VLOOKUP(J1473,Equipes!A:C,3,0)</f>
        <v>10</v>
      </c>
      <c r="M1473" s="2" t="str">
        <f t="shared" si="4"/>
        <v>Round of 16</v>
      </c>
      <c r="N1473" s="2" t="s">
        <v>377</v>
      </c>
      <c r="O1473" s="2">
        <f>VLOOKUP(N1473,Equipes!A:C,3,0)</f>
        <v>1</v>
      </c>
      <c r="P1473" s="2" t="str">
        <f t="shared" si="5"/>
        <v>Final</v>
      </c>
      <c r="Q1473" s="2">
        <f t="shared" si="6"/>
        <v>9</v>
      </c>
      <c r="R1473" s="2" t="str">
        <f>VLOOKUP(J1473,Equipes!A:B,2,0)</f>
        <v>Benfica</v>
      </c>
      <c r="S1473" s="6" t="s">
        <v>486</v>
      </c>
      <c r="T1473" s="7">
        <v>61.0</v>
      </c>
      <c r="U1473" s="7" t="s">
        <v>487</v>
      </c>
      <c r="V1473" s="7" t="str">
        <f>VLOOKUP(U1473,Jogadores!B:C,2,0)</f>
        <v>MF</v>
      </c>
      <c r="W1473" s="8">
        <f>VLOOKUP(U1473,Jogadores!B:D,3,0)</f>
        <v>25.95890411</v>
      </c>
      <c r="X1473" s="7">
        <v>0.0</v>
      </c>
      <c r="Y1473" s="7">
        <v>70.0</v>
      </c>
      <c r="Z1473" s="7">
        <f>VLOOKUP(A1473,Jogos!A:L,3,0)</f>
        <v>49</v>
      </c>
      <c r="AA1473" s="7">
        <f t="shared" si="4563"/>
        <v>49</v>
      </c>
      <c r="AB1473" s="7">
        <f>VLOOKUP(A1473,Jogos!A:L,4,0)</f>
        <v>51</v>
      </c>
      <c r="AC1473" s="7">
        <f t="shared" si="4564"/>
        <v>25</v>
      </c>
      <c r="AD1473" s="7">
        <f>Jogos!$E$51-Jogos!$D$51-Jogos!$C$51</f>
        <v>32</v>
      </c>
      <c r="AE1473" s="7">
        <f t="shared" si="4565"/>
        <v>0</v>
      </c>
      <c r="AF1473" s="7">
        <f t="shared" si="4566"/>
        <v>74</v>
      </c>
      <c r="AG1473" s="7">
        <v>8519.8</v>
      </c>
      <c r="AH1473" s="7">
        <v>2577.8</v>
      </c>
      <c r="AI1473" s="7">
        <v>4306.1</v>
      </c>
      <c r="AJ1473" s="7">
        <v>1244.7</v>
      </c>
      <c r="AK1473" s="7">
        <v>334.0</v>
      </c>
      <c r="AL1473" s="7">
        <v>57.2</v>
      </c>
      <c r="AM1473" s="7">
        <v>116.0</v>
      </c>
      <c r="AN1473" s="7">
        <v>22.0</v>
      </c>
      <c r="AO1473" s="7">
        <v>28.6</v>
      </c>
      <c r="AP1473" s="9">
        <f t="shared" ref="AP1473:AR1473" si="4609">AG1473/$AF1473</f>
        <v>115.1324324</v>
      </c>
      <c r="AQ1473" s="9">
        <f t="shared" si="4609"/>
        <v>34.83513514</v>
      </c>
      <c r="AR1473" s="9">
        <f t="shared" si="4609"/>
        <v>58.19054054</v>
      </c>
      <c r="AS1473" s="9">
        <f t="shared" si="4568"/>
        <v>93.02567568</v>
      </c>
      <c r="AT1473" s="9">
        <f t="shared" ref="AT1473:AV1473" si="4610">AJ1473/$AF1473</f>
        <v>16.82027027</v>
      </c>
      <c r="AU1473" s="9">
        <f t="shared" si="4610"/>
        <v>4.513513514</v>
      </c>
      <c r="AV1473" s="9">
        <f t="shared" si="4610"/>
        <v>0.772972973</v>
      </c>
      <c r="AW1473" s="9">
        <f t="shared" si="4570"/>
        <v>5.286486486</v>
      </c>
      <c r="AX1473" s="9">
        <f t="shared" ref="AX1473:AY1473" si="4611">AM1473/$AF1473</f>
        <v>1.567567568</v>
      </c>
      <c r="AY1473" s="9">
        <f t="shared" si="4611"/>
        <v>0.2972972973</v>
      </c>
      <c r="AZ1473" s="9">
        <f>VLOOKUP(A1473,Jogos!A:BN,58,0)</f>
        <v>28.8025</v>
      </c>
      <c r="BA1473" s="9">
        <f>VLOOKUP(A1473,Jogos!A:BN,59,0)</f>
        <v>21.075</v>
      </c>
      <c r="BB1473" s="9">
        <f>VLOOKUP(A1473,Jogos!A:BN,60,0)</f>
        <v>62.75</v>
      </c>
      <c r="BC1473" s="9">
        <f>VLOOKUP(A1473,Jogos!A:BN,61,0)</f>
        <v>28.4425</v>
      </c>
      <c r="BD1473" s="9">
        <f>VLOOKUP(A1473,Jogos!A:BN,62,0)</f>
        <v>321.95</v>
      </c>
      <c r="BE1473" s="9">
        <f>VLOOKUP(A1473,Jogos!A:BN,63,0)</f>
        <v>1.385</v>
      </c>
      <c r="BF1473" s="9">
        <f>VLOOKUP(A1473,Jogos!A:BN,64,0)</f>
        <v>24.495</v>
      </c>
      <c r="BG1473" s="9">
        <f>VLOOKUP(A1473,Jogos!A:BN,65,0)</f>
        <v>43.4425</v>
      </c>
      <c r="BH1473" s="9">
        <f>VLOOKUP(A1473,Jogos!A:BN,66,0)</f>
        <v>28.715</v>
      </c>
      <c r="BI1473" s="9"/>
      <c r="BJ1473" s="9"/>
    </row>
    <row r="1474" hidden="1">
      <c r="A1474" s="2">
        <v>50.0</v>
      </c>
      <c r="B1474" s="2" t="s">
        <v>1350</v>
      </c>
      <c r="C1474" s="2" t="s">
        <v>1351</v>
      </c>
      <c r="D1474" s="3">
        <v>45836.0</v>
      </c>
      <c r="E1474" s="4">
        <v>0.6666666666666666</v>
      </c>
      <c r="F1474" s="5" t="str">
        <f>VLOOKUP(A1474,Jogos!A:N,10,0)</f>
        <v>Afternoon</v>
      </c>
      <c r="G1474" s="2" t="s">
        <v>1200</v>
      </c>
      <c r="H1474" s="6" t="str">
        <f>VLOOKUP(A1474,Jogos!A:L,12,0)</f>
        <v>Open</v>
      </c>
      <c r="I1474" s="6" t="str">
        <f>VLOOKUP(G1474,'Estádios e Cidades'!A:B,2,0)</f>
        <v>Charlotte</v>
      </c>
      <c r="J1474" s="2" t="s">
        <v>441</v>
      </c>
      <c r="K1474" s="2" t="str">
        <f>VLOOKUP(J1474,Equipes!A:F,6,0)</f>
        <v>Temperate</v>
      </c>
      <c r="L1474" s="2">
        <f>VLOOKUP(J1474,Equipes!A:C,3,0)</f>
        <v>10</v>
      </c>
      <c r="M1474" s="2" t="str">
        <f t="shared" si="4"/>
        <v>Round of 16</v>
      </c>
      <c r="N1474" s="2" t="s">
        <v>377</v>
      </c>
      <c r="O1474" s="2">
        <f>VLOOKUP(N1474,Equipes!A:C,3,0)</f>
        <v>1</v>
      </c>
      <c r="P1474" s="2" t="str">
        <f t="shared" si="5"/>
        <v>Final</v>
      </c>
      <c r="Q1474" s="2">
        <f t="shared" si="6"/>
        <v>9</v>
      </c>
      <c r="R1474" s="2" t="str">
        <f>VLOOKUP(J1474,Equipes!A:B,2,0)</f>
        <v>Benfica</v>
      </c>
      <c r="S1474" s="6" t="s">
        <v>492</v>
      </c>
      <c r="T1474" s="7">
        <v>17.0</v>
      </c>
      <c r="U1474" s="7" t="s">
        <v>493</v>
      </c>
      <c r="V1474" s="7" t="str">
        <f>VLOOKUP(U1474,Jogadores!B:C,2,0)</f>
        <v>FW</v>
      </c>
      <c r="W1474" s="8">
        <f>VLOOKUP(U1474,Jogadores!B:D,3,0)</f>
        <v>26.78630137</v>
      </c>
      <c r="X1474" s="7">
        <v>45.0</v>
      </c>
      <c r="Y1474" s="7">
        <f t="shared" ref="Y1474:Y1475" si="4615">45+AB1474+AD1474</f>
        <v>128</v>
      </c>
      <c r="Z1474" s="7">
        <f>VLOOKUP(A1474,Jogos!A:L,3,0)</f>
        <v>49</v>
      </c>
      <c r="AA1474" s="7">
        <f t="shared" si="4563"/>
        <v>0</v>
      </c>
      <c r="AB1474" s="7">
        <f>VLOOKUP(A1474,Jogos!A:L,4,0)</f>
        <v>51</v>
      </c>
      <c r="AC1474" s="7">
        <f t="shared" si="4564"/>
        <v>51</v>
      </c>
      <c r="AD1474" s="7">
        <f>Jogos!$E$51-Jogos!$D$51-Jogos!$C$51</f>
        <v>32</v>
      </c>
      <c r="AE1474" s="7">
        <f t="shared" si="4565"/>
        <v>32</v>
      </c>
      <c r="AF1474" s="7">
        <f t="shared" si="4566"/>
        <v>83</v>
      </c>
      <c r="AG1474" s="7">
        <v>8572.6</v>
      </c>
      <c r="AH1474" s="7">
        <v>3711.8</v>
      </c>
      <c r="AI1474" s="7">
        <v>3070.9</v>
      </c>
      <c r="AJ1474" s="7">
        <v>1086.8</v>
      </c>
      <c r="AK1474" s="7">
        <v>590.4</v>
      </c>
      <c r="AL1474" s="7">
        <v>112.8</v>
      </c>
      <c r="AM1474" s="7">
        <v>100.0</v>
      </c>
      <c r="AN1474" s="7">
        <v>44.0</v>
      </c>
      <c r="AO1474" s="7">
        <v>31.3</v>
      </c>
      <c r="AP1474" s="9">
        <f t="shared" ref="AP1474:AR1474" si="4612">AG1474/$AF1474</f>
        <v>103.2843373</v>
      </c>
      <c r="AQ1474" s="9">
        <f t="shared" si="4612"/>
        <v>44.72048193</v>
      </c>
      <c r="AR1474" s="9">
        <f t="shared" si="4612"/>
        <v>36.99879518</v>
      </c>
      <c r="AS1474" s="9">
        <f t="shared" si="4568"/>
        <v>81.71927711</v>
      </c>
      <c r="AT1474" s="9">
        <f t="shared" ref="AT1474:AV1474" si="4613">AJ1474/$AF1474</f>
        <v>13.0939759</v>
      </c>
      <c r="AU1474" s="9">
        <f t="shared" si="4613"/>
        <v>7.113253012</v>
      </c>
      <c r="AV1474" s="9">
        <f t="shared" si="4613"/>
        <v>1.359036145</v>
      </c>
      <c r="AW1474" s="9">
        <f t="shared" si="4570"/>
        <v>8.472289157</v>
      </c>
      <c r="AX1474" s="9">
        <f t="shared" ref="AX1474:AY1474" si="4614">AM1474/$AF1474</f>
        <v>1.204819277</v>
      </c>
      <c r="AY1474" s="9">
        <f t="shared" si="4614"/>
        <v>0.5301204819</v>
      </c>
      <c r="AZ1474" s="9">
        <f>VLOOKUP(A1474,Jogos!A:BN,58,0)</f>
        <v>28.8025</v>
      </c>
      <c r="BA1474" s="9">
        <f>VLOOKUP(A1474,Jogos!A:BN,59,0)</f>
        <v>21.075</v>
      </c>
      <c r="BB1474" s="9">
        <f>VLOOKUP(A1474,Jogos!A:BN,60,0)</f>
        <v>62.75</v>
      </c>
      <c r="BC1474" s="9">
        <f>VLOOKUP(A1474,Jogos!A:BN,61,0)</f>
        <v>28.4425</v>
      </c>
      <c r="BD1474" s="9">
        <f>VLOOKUP(A1474,Jogos!A:BN,62,0)</f>
        <v>321.95</v>
      </c>
      <c r="BE1474" s="9">
        <f>VLOOKUP(A1474,Jogos!A:BN,63,0)</f>
        <v>1.385</v>
      </c>
      <c r="BF1474" s="9">
        <f>VLOOKUP(A1474,Jogos!A:BN,64,0)</f>
        <v>24.495</v>
      </c>
      <c r="BG1474" s="9">
        <f>VLOOKUP(A1474,Jogos!A:BN,65,0)</f>
        <v>43.4425</v>
      </c>
      <c r="BH1474" s="9">
        <f>VLOOKUP(A1474,Jogos!A:BN,66,0)</f>
        <v>28.715</v>
      </c>
      <c r="BI1474" s="9"/>
      <c r="BJ1474" s="9"/>
    </row>
    <row r="1475" hidden="1">
      <c r="A1475" s="2">
        <v>50.0</v>
      </c>
      <c r="B1475" s="2" t="s">
        <v>1350</v>
      </c>
      <c r="C1475" s="2" t="s">
        <v>1351</v>
      </c>
      <c r="D1475" s="3">
        <v>45836.0</v>
      </c>
      <c r="E1475" s="4">
        <v>0.6666666666666666</v>
      </c>
      <c r="F1475" s="5" t="str">
        <f>VLOOKUP(A1475,Jogos!A:N,10,0)</f>
        <v>Afternoon</v>
      </c>
      <c r="G1475" s="2" t="s">
        <v>1200</v>
      </c>
      <c r="H1475" s="6" t="str">
        <f>VLOOKUP(A1475,Jogos!A:L,12,0)</f>
        <v>Open</v>
      </c>
      <c r="I1475" s="6" t="str">
        <f>VLOOKUP(G1475,'Estádios e Cidades'!A:B,2,0)</f>
        <v>Charlotte</v>
      </c>
      <c r="J1475" s="2" t="s">
        <v>441</v>
      </c>
      <c r="K1475" s="2" t="str">
        <f>VLOOKUP(J1475,Equipes!A:F,6,0)</f>
        <v>Temperate</v>
      </c>
      <c r="L1475" s="2">
        <f>VLOOKUP(J1475,Equipes!A:C,3,0)</f>
        <v>10</v>
      </c>
      <c r="M1475" s="2" t="str">
        <f t="shared" si="4"/>
        <v>Round of 16</v>
      </c>
      <c r="N1475" s="2" t="s">
        <v>377</v>
      </c>
      <c r="O1475" s="2">
        <f>VLOOKUP(N1475,Equipes!A:C,3,0)</f>
        <v>1</v>
      </c>
      <c r="P1475" s="2" t="str">
        <f t="shared" si="5"/>
        <v>Final</v>
      </c>
      <c r="Q1475" s="2">
        <f t="shared" si="6"/>
        <v>9</v>
      </c>
      <c r="R1475" s="2" t="str">
        <f>VLOOKUP(J1475,Equipes!A:B,2,0)</f>
        <v>Benfica</v>
      </c>
      <c r="S1475" s="6" t="s">
        <v>496</v>
      </c>
      <c r="T1475" s="7">
        <v>19.0</v>
      </c>
      <c r="U1475" s="7" t="s">
        <v>497</v>
      </c>
      <c r="V1475" s="7" t="str">
        <f>VLOOKUP(U1475,Jogadores!B:C,2,0)</f>
        <v>FW</v>
      </c>
      <c r="W1475" s="8">
        <f>VLOOKUP(U1475,Jogadores!B:D,3,0)</f>
        <v>31.62465753</v>
      </c>
      <c r="X1475" s="7">
        <v>70.0</v>
      </c>
      <c r="Y1475" s="7">
        <f t="shared" si="4615"/>
        <v>128</v>
      </c>
      <c r="Z1475" s="7">
        <f>VLOOKUP(A1475,Jogos!A:L,3,0)</f>
        <v>49</v>
      </c>
      <c r="AA1475" s="7">
        <f t="shared" si="4563"/>
        <v>0</v>
      </c>
      <c r="AB1475" s="7">
        <f>VLOOKUP(A1475,Jogos!A:L,4,0)</f>
        <v>51</v>
      </c>
      <c r="AC1475" s="7">
        <f t="shared" si="4564"/>
        <v>26</v>
      </c>
      <c r="AD1475" s="7">
        <f>Jogos!$E$51-Jogos!$D$51-Jogos!$C$51</f>
        <v>32</v>
      </c>
      <c r="AE1475" s="7">
        <f t="shared" si="4565"/>
        <v>32</v>
      </c>
      <c r="AF1475" s="7">
        <f t="shared" si="4566"/>
        <v>58</v>
      </c>
      <c r="AG1475" s="7">
        <v>6034.9</v>
      </c>
      <c r="AH1475" s="7">
        <v>2357.9</v>
      </c>
      <c r="AI1475" s="7">
        <v>2362.9</v>
      </c>
      <c r="AJ1475" s="7">
        <v>702.2</v>
      </c>
      <c r="AK1475" s="7">
        <v>393.7</v>
      </c>
      <c r="AL1475" s="7">
        <v>218.2</v>
      </c>
      <c r="AM1475" s="7">
        <v>62.0</v>
      </c>
      <c r="AN1475" s="7">
        <v>32.0</v>
      </c>
      <c r="AO1475" s="7">
        <v>42.3</v>
      </c>
      <c r="AP1475" s="9">
        <f t="shared" ref="AP1475:AR1475" si="4616">AG1475/$AF1475</f>
        <v>104.05</v>
      </c>
      <c r="AQ1475" s="9">
        <f t="shared" si="4616"/>
        <v>40.65344828</v>
      </c>
      <c r="AR1475" s="9">
        <f t="shared" si="4616"/>
        <v>40.73965517</v>
      </c>
      <c r="AS1475" s="9">
        <f t="shared" si="4568"/>
        <v>81.39310345</v>
      </c>
      <c r="AT1475" s="9">
        <f t="shared" ref="AT1475:AV1475" si="4617">AJ1475/$AF1475</f>
        <v>12.10689655</v>
      </c>
      <c r="AU1475" s="9">
        <f t="shared" si="4617"/>
        <v>6.787931034</v>
      </c>
      <c r="AV1475" s="9">
        <f t="shared" si="4617"/>
        <v>3.762068966</v>
      </c>
      <c r="AW1475" s="9">
        <f t="shared" si="4570"/>
        <v>10.55</v>
      </c>
      <c r="AX1475" s="9">
        <f t="shared" ref="AX1475:AY1475" si="4618">AM1475/$AF1475</f>
        <v>1.068965517</v>
      </c>
      <c r="AY1475" s="9">
        <f t="shared" si="4618"/>
        <v>0.5517241379</v>
      </c>
      <c r="AZ1475" s="9">
        <f>VLOOKUP(A1475,Jogos!A:BN,58,0)</f>
        <v>28.8025</v>
      </c>
      <c r="BA1475" s="9">
        <f>VLOOKUP(A1475,Jogos!A:BN,59,0)</f>
        <v>21.075</v>
      </c>
      <c r="BB1475" s="9">
        <f>VLOOKUP(A1475,Jogos!A:BN,60,0)</f>
        <v>62.75</v>
      </c>
      <c r="BC1475" s="9">
        <f>VLOOKUP(A1475,Jogos!A:BN,61,0)</f>
        <v>28.4425</v>
      </c>
      <c r="BD1475" s="9">
        <f>VLOOKUP(A1475,Jogos!A:BN,62,0)</f>
        <v>321.95</v>
      </c>
      <c r="BE1475" s="9">
        <f>VLOOKUP(A1475,Jogos!A:BN,63,0)</f>
        <v>1.385</v>
      </c>
      <c r="BF1475" s="9">
        <f>VLOOKUP(A1475,Jogos!A:BN,64,0)</f>
        <v>24.495</v>
      </c>
      <c r="BG1475" s="9">
        <f>VLOOKUP(A1475,Jogos!A:BN,65,0)</f>
        <v>43.4425</v>
      </c>
      <c r="BH1475" s="9">
        <f>VLOOKUP(A1475,Jogos!A:BN,66,0)</f>
        <v>28.715</v>
      </c>
      <c r="BI1475" s="9"/>
      <c r="BJ1475" s="9"/>
    </row>
    <row r="1476" hidden="1">
      <c r="A1476" s="2">
        <v>50.0</v>
      </c>
      <c r="B1476" s="2" t="s">
        <v>1350</v>
      </c>
      <c r="C1476" s="2" t="s">
        <v>1351</v>
      </c>
      <c r="D1476" s="3">
        <v>45836.0</v>
      </c>
      <c r="E1476" s="4">
        <v>0.6666666666666666</v>
      </c>
      <c r="F1476" s="5" t="str">
        <f>VLOOKUP(A1476,Jogos!A:N,10,0)</f>
        <v>Afternoon</v>
      </c>
      <c r="G1476" s="2" t="s">
        <v>1200</v>
      </c>
      <c r="H1476" s="6" t="str">
        <f>VLOOKUP(A1476,Jogos!A:L,12,0)</f>
        <v>Open</v>
      </c>
      <c r="I1476" s="6" t="str">
        <f>VLOOKUP(G1476,'Estádios e Cidades'!A:B,2,0)</f>
        <v>Charlotte</v>
      </c>
      <c r="J1476" s="2" t="s">
        <v>441</v>
      </c>
      <c r="K1476" s="2" t="str">
        <f>VLOOKUP(J1476,Equipes!A:F,6,0)</f>
        <v>Temperate</v>
      </c>
      <c r="L1476" s="2">
        <f>VLOOKUP(J1476,Equipes!A:C,3,0)</f>
        <v>10</v>
      </c>
      <c r="M1476" s="2" t="str">
        <f t="shared" si="4"/>
        <v>Round of 16</v>
      </c>
      <c r="N1476" s="2" t="s">
        <v>377</v>
      </c>
      <c r="O1476" s="2">
        <f>VLOOKUP(N1476,Equipes!A:C,3,0)</f>
        <v>1</v>
      </c>
      <c r="P1476" s="2" t="str">
        <f t="shared" si="5"/>
        <v>Final</v>
      </c>
      <c r="Q1476" s="2">
        <f t="shared" si="6"/>
        <v>9</v>
      </c>
      <c r="R1476" s="2" t="str">
        <f>VLOOKUP(J1476,Equipes!A:B,2,0)</f>
        <v>Benfica</v>
      </c>
      <c r="S1476" s="6" t="s">
        <v>498</v>
      </c>
      <c r="T1476" s="7">
        <v>25.0</v>
      </c>
      <c r="U1476" s="7" t="s">
        <v>499</v>
      </c>
      <c r="V1476" s="7" t="str">
        <f>VLOOKUP(U1476,Jogadores!B:C,2,0)</f>
        <v>FW</v>
      </c>
      <c r="W1476" s="8">
        <f>VLOOKUP(U1476,Jogadores!B:D,3,0)</f>
        <v>19.50136986</v>
      </c>
      <c r="X1476" s="7">
        <v>70.0</v>
      </c>
      <c r="Y1476" s="7">
        <v>96.0</v>
      </c>
      <c r="Z1476" s="7">
        <f>VLOOKUP(A1476,Jogos!A:L,3,0)</f>
        <v>49</v>
      </c>
      <c r="AA1476" s="7">
        <f t="shared" si="4563"/>
        <v>0</v>
      </c>
      <c r="AB1476" s="7">
        <f>VLOOKUP(A1476,Jogos!A:L,4,0)</f>
        <v>51</v>
      </c>
      <c r="AC1476" s="7">
        <f t="shared" si="4564"/>
        <v>26</v>
      </c>
      <c r="AD1476" s="7">
        <f>Jogos!$E$51-Jogos!$D$51-Jogos!$C$51</f>
        <v>32</v>
      </c>
      <c r="AE1476" s="7">
        <f t="shared" si="4565"/>
        <v>0</v>
      </c>
      <c r="AF1476" s="7">
        <f t="shared" si="4566"/>
        <v>26</v>
      </c>
      <c r="AG1476" s="7">
        <v>3430.2</v>
      </c>
      <c r="AH1476" s="7">
        <v>1200.2</v>
      </c>
      <c r="AI1476" s="7">
        <v>1392.7</v>
      </c>
      <c r="AJ1476" s="7">
        <v>622.8</v>
      </c>
      <c r="AK1476" s="7">
        <v>184.3</v>
      </c>
      <c r="AL1476" s="7">
        <v>30.2</v>
      </c>
      <c r="AM1476" s="7">
        <v>47.0</v>
      </c>
      <c r="AN1476" s="7">
        <v>13.0</v>
      </c>
      <c r="AO1476" s="7">
        <v>44.5</v>
      </c>
      <c r="AP1476" s="9">
        <f t="shared" ref="AP1476:AR1476" si="4619">AG1476/$AF1476</f>
        <v>131.9307692</v>
      </c>
      <c r="AQ1476" s="9">
        <f t="shared" si="4619"/>
        <v>46.16153846</v>
      </c>
      <c r="AR1476" s="9">
        <f t="shared" si="4619"/>
        <v>53.56538462</v>
      </c>
      <c r="AS1476" s="9">
        <f t="shared" si="4568"/>
        <v>99.72692308</v>
      </c>
      <c r="AT1476" s="9">
        <f t="shared" ref="AT1476:AV1476" si="4620">AJ1476/$AF1476</f>
        <v>23.95384615</v>
      </c>
      <c r="AU1476" s="9">
        <f t="shared" si="4620"/>
        <v>7.088461538</v>
      </c>
      <c r="AV1476" s="9">
        <f t="shared" si="4620"/>
        <v>1.161538462</v>
      </c>
      <c r="AW1476" s="9">
        <f t="shared" si="4570"/>
        <v>8.25</v>
      </c>
      <c r="AX1476" s="9">
        <f t="shared" ref="AX1476:AY1476" si="4621">AM1476/$AF1476</f>
        <v>1.807692308</v>
      </c>
      <c r="AY1476" s="9">
        <f t="shared" si="4621"/>
        <v>0.5</v>
      </c>
      <c r="AZ1476" s="9">
        <f>VLOOKUP(A1476,Jogos!A:BN,58,0)</f>
        <v>28.8025</v>
      </c>
      <c r="BA1476" s="9">
        <f>VLOOKUP(A1476,Jogos!A:BN,59,0)</f>
        <v>21.075</v>
      </c>
      <c r="BB1476" s="9">
        <f>VLOOKUP(A1476,Jogos!A:BN,60,0)</f>
        <v>62.75</v>
      </c>
      <c r="BC1476" s="9">
        <f>VLOOKUP(A1476,Jogos!A:BN,61,0)</f>
        <v>28.4425</v>
      </c>
      <c r="BD1476" s="9">
        <f>VLOOKUP(A1476,Jogos!A:BN,62,0)</f>
        <v>321.95</v>
      </c>
      <c r="BE1476" s="9">
        <f>VLOOKUP(A1476,Jogos!A:BN,63,0)</f>
        <v>1.385</v>
      </c>
      <c r="BF1476" s="9">
        <f>VLOOKUP(A1476,Jogos!A:BN,64,0)</f>
        <v>24.495</v>
      </c>
      <c r="BG1476" s="9">
        <f>VLOOKUP(A1476,Jogos!A:BN,65,0)</f>
        <v>43.4425</v>
      </c>
      <c r="BH1476" s="9">
        <f>VLOOKUP(A1476,Jogos!A:BN,66,0)</f>
        <v>28.715</v>
      </c>
      <c r="BI1476" s="9"/>
      <c r="BJ1476" s="9"/>
    </row>
    <row r="1477" hidden="1">
      <c r="A1477" s="2">
        <v>50.0</v>
      </c>
      <c r="B1477" s="2" t="s">
        <v>1350</v>
      </c>
      <c r="C1477" s="2" t="s">
        <v>1351</v>
      </c>
      <c r="D1477" s="3">
        <v>45836.0</v>
      </c>
      <c r="E1477" s="4">
        <v>0.6666666666666666</v>
      </c>
      <c r="F1477" s="5" t="str">
        <f>VLOOKUP(A1477,Jogos!A:N,10,0)</f>
        <v>Afternoon</v>
      </c>
      <c r="G1477" s="2" t="s">
        <v>1200</v>
      </c>
      <c r="H1477" s="6" t="str">
        <f>VLOOKUP(A1477,Jogos!A:L,12,0)</f>
        <v>Open</v>
      </c>
      <c r="I1477" s="6" t="str">
        <f>VLOOKUP(G1477,'Estádios e Cidades'!A:B,2,0)</f>
        <v>Charlotte</v>
      </c>
      <c r="J1477" s="2" t="s">
        <v>441</v>
      </c>
      <c r="K1477" s="2" t="str">
        <f>VLOOKUP(J1477,Equipes!A:F,6,0)</f>
        <v>Temperate</v>
      </c>
      <c r="L1477" s="2">
        <f>VLOOKUP(J1477,Equipes!A:C,3,0)</f>
        <v>10</v>
      </c>
      <c r="M1477" s="2" t="str">
        <f t="shared" si="4"/>
        <v>Round of 16</v>
      </c>
      <c r="N1477" s="2" t="s">
        <v>377</v>
      </c>
      <c r="O1477" s="2">
        <f>VLOOKUP(N1477,Equipes!A:C,3,0)</f>
        <v>1</v>
      </c>
      <c r="P1477" s="2" t="str">
        <f t="shared" si="5"/>
        <v>Final</v>
      </c>
      <c r="Q1477" s="2">
        <f t="shared" si="6"/>
        <v>9</v>
      </c>
      <c r="R1477" s="2" t="str">
        <f>VLOOKUP(J1477,Equipes!A:B,2,0)</f>
        <v>Benfica</v>
      </c>
      <c r="S1477" s="6" t="s">
        <v>1105</v>
      </c>
      <c r="T1477" s="7">
        <v>47.0</v>
      </c>
      <c r="U1477" s="7" t="s">
        <v>1106</v>
      </c>
      <c r="V1477" s="7" t="str">
        <f>VLOOKUP(U1477,Jogadores!B:C,2,0)</f>
        <v>FW</v>
      </c>
      <c r="W1477" s="8">
        <f>VLOOKUP(U1477,Jogadores!B:D,3,0)</f>
        <v>24.1260274</v>
      </c>
      <c r="X1477" s="7">
        <v>86.0</v>
      </c>
      <c r="Y1477" s="7">
        <f t="shared" ref="Y1477:Y1479" si="4625">45+AB1477+AD1477</f>
        <v>128</v>
      </c>
      <c r="Z1477" s="7">
        <f>VLOOKUP(A1477,Jogos!A:L,3,0)</f>
        <v>49</v>
      </c>
      <c r="AA1477" s="7">
        <f t="shared" si="4563"/>
        <v>0</v>
      </c>
      <c r="AB1477" s="7">
        <f>VLOOKUP(A1477,Jogos!A:L,4,0)</f>
        <v>51</v>
      </c>
      <c r="AC1477" s="7">
        <f t="shared" si="4564"/>
        <v>10</v>
      </c>
      <c r="AD1477" s="7">
        <f>Jogos!$E$51-Jogos!$D$51-Jogos!$C$51</f>
        <v>32</v>
      </c>
      <c r="AE1477" s="7">
        <f t="shared" si="4565"/>
        <v>32</v>
      </c>
      <c r="AF1477" s="7">
        <f t="shared" si="4566"/>
        <v>42</v>
      </c>
      <c r="AG1477" s="7">
        <v>4740.5</v>
      </c>
      <c r="AH1477" s="7">
        <v>1719.3</v>
      </c>
      <c r="AI1477" s="7">
        <v>1853.4</v>
      </c>
      <c r="AJ1477" s="7">
        <v>657.8</v>
      </c>
      <c r="AK1477" s="7">
        <v>322.2</v>
      </c>
      <c r="AL1477" s="7">
        <v>187.9</v>
      </c>
      <c r="AM1477" s="7">
        <v>58.0</v>
      </c>
      <c r="AN1477" s="7">
        <v>27.0</v>
      </c>
      <c r="AO1477" s="7">
        <v>32.3</v>
      </c>
      <c r="AP1477" s="9">
        <f t="shared" ref="AP1477:AR1477" si="4622">AG1477/$AF1477</f>
        <v>112.8690476</v>
      </c>
      <c r="AQ1477" s="9">
        <f t="shared" si="4622"/>
        <v>40.93571429</v>
      </c>
      <c r="AR1477" s="9">
        <f t="shared" si="4622"/>
        <v>44.12857143</v>
      </c>
      <c r="AS1477" s="9">
        <f t="shared" si="4568"/>
        <v>85.06428571</v>
      </c>
      <c r="AT1477" s="9">
        <f t="shared" ref="AT1477:AV1477" si="4623">AJ1477/$AF1477</f>
        <v>15.66190476</v>
      </c>
      <c r="AU1477" s="9">
        <f t="shared" si="4623"/>
        <v>7.671428571</v>
      </c>
      <c r="AV1477" s="9">
        <f t="shared" si="4623"/>
        <v>4.473809524</v>
      </c>
      <c r="AW1477" s="9">
        <f t="shared" si="4570"/>
        <v>12.1452381</v>
      </c>
      <c r="AX1477" s="9">
        <f t="shared" ref="AX1477:AY1477" si="4624">AM1477/$AF1477</f>
        <v>1.380952381</v>
      </c>
      <c r="AY1477" s="9">
        <f t="shared" si="4624"/>
        <v>0.6428571429</v>
      </c>
      <c r="AZ1477" s="9">
        <f>VLOOKUP(A1477,Jogos!A:BN,58,0)</f>
        <v>28.8025</v>
      </c>
      <c r="BA1477" s="9">
        <f>VLOOKUP(A1477,Jogos!A:BN,59,0)</f>
        <v>21.075</v>
      </c>
      <c r="BB1477" s="9">
        <f>VLOOKUP(A1477,Jogos!A:BN,60,0)</f>
        <v>62.75</v>
      </c>
      <c r="BC1477" s="9">
        <f>VLOOKUP(A1477,Jogos!A:BN,61,0)</f>
        <v>28.4425</v>
      </c>
      <c r="BD1477" s="9">
        <f>VLOOKUP(A1477,Jogos!A:BN,62,0)</f>
        <v>321.95</v>
      </c>
      <c r="BE1477" s="9">
        <f>VLOOKUP(A1477,Jogos!A:BN,63,0)</f>
        <v>1.385</v>
      </c>
      <c r="BF1477" s="9">
        <f>VLOOKUP(A1477,Jogos!A:BN,64,0)</f>
        <v>24.495</v>
      </c>
      <c r="BG1477" s="9">
        <f>VLOOKUP(A1477,Jogos!A:BN,65,0)</f>
        <v>43.4425</v>
      </c>
      <c r="BH1477" s="9">
        <f>VLOOKUP(A1477,Jogos!A:BN,66,0)</f>
        <v>28.715</v>
      </c>
      <c r="BI1477" s="9"/>
      <c r="BJ1477" s="9"/>
    </row>
    <row r="1478" hidden="1">
      <c r="A1478" s="2">
        <v>50.0</v>
      </c>
      <c r="B1478" s="2" t="s">
        <v>1350</v>
      </c>
      <c r="C1478" s="2" t="s">
        <v>1351</v>
      </c>
      <c r="D1478" s="3">
        <v>45836.0</v>
      </c>
      <c r="E1478" s="4">
        <v>0.6666666666666666</v>
      </c>
      <c r="F1478" s="5" t="str">
        <f>VLOOKUP(A1478,Jogos!A:N,10,0)</f>
        <v>Afternoon</v>
      </c>
      <c r="G1478" s="2" t="s">
        <v>1200</v>
      </c>
      <c r="H1478" s="6" t="str">
        <f>VLOOKUP(A1478,Jogos!A:L,12,0)</f>
        <v>Open</v>
      </c>
      <c r="I1478" s="6" t="str">
        <f>VLOOKUP(G1478,'Estádios e Cidades'!A:B,2,0)</f>
        <v>Charlotte</v>
      </c>
      <c r="J1478" s="2" t="s">
        <v>441</v>
      </c>
      <c r="K1478" s="2" t="str">
        <f>VLOOKUP(J1478,Equipes!A:F,6,0)</f>
        <v>Temperate</v>
      </c>
      <c r="L1478" s="2">
        <f>VLOOKUP(J1478,Equipes!A:C,3,0)</f>
        <v>10</v>
      </c>
      <c r="M1478" s="2" t="str">
        <f t="shared" si="4"/>
        <v>Round of 16</v>
      </c>
      <c r="N1478" s="2" t="s">
        <v>377</v>
      </c>
      <c r="O1478" s="2">
        <f>VLOOKUP(N1478,Equipes!A:C,3,0)</f>
        <v>1</v>
      </c>
      <c r="P1478" s="2" t="str">
        <f t="shared" si="5"/>
        <v>Final</v>
      </c>
      <c r="Q1478" s="2">
        <f t="shared" si="6"/>
        <v>9</v>
      </c>
      <c r="R1478" s="2" t="str">
        <f>VLOOKUP(J1478,Equipes!A:B,2,0)</f>
        <v>Benfica</v>
      </c>
      <c r="S1478" s="6" t="s">
        <v>1362</v>
      </c>
      <c r="T1478" s="7">
        <v>68.0</v>
      </c>
      <c r="U1478" s="7" t="s">
        <v>1363</v>
      </c>
      <c r="V1478" s="7" t="str">
        <f>VLOOKUP(U1478,Jogadores!B:C,2,0)</f>
        <v>MF</v>
      </c>
      <c r="W1478" s="8">
        <f>VLOOKUP(U1478,Jogadores!B:D,3,0)</f>
        <v>20.10136986</v>
      </c>
      <c r="X1478" s="7">
        <v>86.0</v>
      </c>
      <c r="Y1478" s="7">
        <f t="shared" si="4625"/>
        <v>128</v>
      </c>
      <c r="Z1478" s="7">
        <f>VLOOKUP(A1478,Jogos!A:L,3,0)</f>
        <v>49</v>
      </c>
      <c r="AA1478" s="7">
        <f t="shared" si="4563"/>
        <v>0</v>
      </c>
      <c r="AB1478" s="7">
        <f>VLOOKUP(A1478,Jogos!A:L,4,0)</f>
        <v>51</v>
      </c>
      <c r="AC1478" s="7">
        <f t="shared" si="4564"/>
        <v>10</v>
      </c>
      <c r="AD1478" s="7">
        <f>Jogos!$E$51-Jogos!$D$51-Jogos!$C$51</f>
        <v>32</v>
      </c>
      <c r="AE1478" s="7">
        <f t="shared" si="4565"/>
        <v>32</v>
      </c>
      <c r="AF1478" s="7">
        <f t="shared" si="4566"/>
        <v>42</v>
      </c>
      <c r="AG1478" s="7">
        <v>5200.0</v>
      </c>
      <c r="AH1478" s="7">
        <v>1633.3</v>
      </c>
      <c r="AI1478" s="7">
        <v>2171.4</v>
      </c>
      <c r="AJ1478" s="7">
        <v>935.3</v>
      </c>
      <c r="AK1478" s="7">
        <v>334.5</v>
      </c>
      <c r="AL1478" s="7">
        <v>125.5</v>
      </c>
      <c r="AM1478" s="7">
        <v>85.0</v>
      </c>
      <c r="AN1478" s="7">
        <v>30.0</v>
      </c>
      <c r="AO1478" s="7">
        <v>42.7</v>
      </c>
      <c r="AP1478" s="9">
        <f t="shared" ref="AP1478:AR1478" si="4626">AG1478/$AF1478</f>
        <v>123.8095238</v>
      </c>
      <c r="AQ1478" s="9">
        <f t="shared" si="4626"/>
        <v>38.88809524</v>
      </c>
      <c r="AR1478" s="9">
        <f t="shared" si="4626"/>
        <v>51.7</v>
      </c>
      <c r="AS1478" s="9">
        <f t="shared" si="4568"/>
        <v>90.58809524</v>
      </c>
      <c r="AT1478" s="9">
        <f t="shared" ref="AT1478:AV1478" si="4627">AJ1478/$AF1478</f>
        <v>22.26904762</v>
      </c>
      <c r="AU1478" s="9">
        <f t="shared" si="4627"/>
        <v>7.964285714</v>
      </c>
      <c r="AV1478" s="9">
        <f t="shared" si="4627"/>
        <v>2.988095238</v>
      </c>
      <c r="AW1478" s="9">
        <f t="shared" si="4570"/>
        <v>10.95238095</v>
      </c>
      <c r="AX1478" s="9">
        <f t="shared" ref="AX1478:AY1478" si="4628">AM1478/$AF1478</f>
        <v>2.023809524</v>
      </c>
      <c r="AY1478" s="9">
        <f t="shared" si="4628"/>
        <v>0.7142857143</v>
      </c>
      <c r="AZ1478" s="9">
        <f>VLOOKUP(A1478,Jogos!A:BN,58,0)</f>
        <v>28.8025</v>
      </c>
      <c r="BA1478" s="9">
        <f>VLOOKUP(A1478,Jogos!A:BN,59,0)</f>
        <v>21.075</v>
      </c>
      <c r="BB1478" s="9">
        <f>VLOOKUP(A1478,Jogos!A:BN,60,0)</f>
        <v>62.75</v>
      </c>
      <c r="BC1478" s="9">
        <f>VLOOKUP(A1478,Jogos!A:BN,61,0)</f>
        <v>28.4425</v>
      </c>
      <c r="BD1478" s="9">
        <f>VLOOKUP(A1478,Jogos!A:BN,62,0)</f>
        <v>321.95</v>
      </c>
      <c r="BE1478" s="9">
        <f>VLOOKUP(A1478,Jogos!A:BN,63,0)</f>
        <v>1.385</v>
      </c>
      <c r="BF1478" s="9">
        <f>VLOOKUP(A1478,Jogos!A:BN,64,0)</f>
        <v>24.495</v>
      </c>
      <c r="BG1478" s="9">
        <f>VLOOKUP(A1478,Jogos!A:BN,65,0)</f>
        <v>43.4425</v>
      </c>
      <c r="BH1478" s="9">
        <f>VLOOKUP(A1478,Jogos!A:BN,66,0)</f>
        <v>28.715</v>
      </c>
      <c r="BI1478" s="9"/>
      <c r="BJ1478" s="9"/>
    </row>
    <row r="1479" hidden="1">
      <c r="A1479" s="2">
        <v>50.0</v>
      </c>
      <c r="B1479" s="2" t="s">
        <v>1350</v>
      </c>
      <c r="C1479" s="2" t="s">
        <v>1351</v>
      </c>
      <c r="D1479" s="3">
        <v>45836.0</v>
      </c>
      <c r="E1479" s="4">
        <v>0.6666666666666666</v>
      </c>
      <c r="F1479" s="5" t="str">
        <f>VLOOKUP(A1479,Jogos!A:N,10,0)</f>
        <v>Afternoon</v>
      </c>
      <c r="G1479" s="2" t="s">
        <v>1200</v>
      </c>
      <c r="H1479" s="6" t="str">
        <f>VLOOKUP(A1479,Jogos!A:L,12,0)</f>
        <v>Open</v>
      </c>
      <c r="I1479" s="6" t="str">
        <f>VLOOKUP(G1479,'Estádios e Cidades'!A:B,2,0)</f>
        <v>Charlotte</v>
      </c>
      <c r="J1479" s="2" t="s">
        <v>377</v>
      </c>
      <c r="K1479" s="2" t="str">
        <f>VLOOKUP(J1479,Equipes!A:F,6,0)</f>
        <v>Temperate</v>
      </c>
      <c r="L1479" s="2">
        <f>VLOOKUP(J1479,Equipes!A:C,3,0)</f>
        <v>1</v>
      </c>
      <c r="M1479" s="2" t="str">
        <f t="shared" si="4"/>
        <v>Final</v>
      </c>
      <c r="N1479" s="2" t="s">
        <v>441</v>
      </c>
      <c r="O1479" s="2">
        <f>VLOOKUP(N1479,Equipes!A:C,3,0)</f>
        <v>10</v>
      </c>
      <c r="P1479" s="2" t="str">
        <f t="shared" si="5"/>
        <v>Round of 16</v>
      </c>
      <c r="Q1479" s="2">
        <f t="shared" si="6"/>
        <v>-9</v>
      </c>
      <c r="R1479" s="2" t="str">
        <f>VLOOKUP(J1479,Equipes!A:B,2,0)</f>
        <v>Chelsea</v>
      </c>
      <c r="S1479" s="14" t="s">
        <v>379</v>
      </c>
      <c r="T1479" s="7">
        <v>3.0</v>
      </c>
      <c r="U1479" s="7" t="s">
        <v>380</v>
      </c>
      <c r="V1479" s="7" t="str">
        <f>VLOOKUP(U1479,Jogadores!B:C,2,0)</f>
        <v>DF</v>
      </c>
      <c r="W1479" s="8">
        <f>VLOOKUP(U1479,Jogadores!B:D,3,0)</f>
        <v>27.03561644</v>
      </c>
      <c r="X1479" s="7">
        <v>0.0</v>
      </c>
      <c r="Y1479" s="7">
        <f t="shared" si="4625"/>
        <v>128</v>
      </c>
      <c r="Z1479" s="7">
        <f>VLOOKUP(A1479,Jogos!A:L,3,0)</f>
        <v>49</v>
      </c>
      <c r="AA1479" s="7">
        <f t="shared" si="4563"/>
        <v>49</v>
      </c>
      <c r="AB1479" s="7">
        <f>VLOOKUP(A1479,Jogos!A:L,4,0)</f>
        <v>51</v>
      </c>
      <c r="AC1479" s="7">
        <f t="shared" si="4564"/>
        <v>51</v>
      </c>
      <c r="AD1479" s="7">
        <f>Jogos!$E$51-Jogos!$D$51-Jogos!$C$51</f>
        <v>32</v>
      </c>
      <c r="AE1479" s="7">
        <f t="shared" si="4565"/>
        <v>32</v>
      </c>
      <c r="AF1479" s="7">
        <f t="shared" si="4566"/>
        <v>132</v>
      </c>
      <c r="AG1479" s="7">
        <v>13469.0</v>
      </c>
      <c r="AH1479" s="7">
        <v>5718.9</v>
      </c>
      <c r="AI1479" s="7">
        <v>4979.1</v>
      </c>
      <c r="AJ1479" s="7">
        <v>1475.9</v>
      </c>
      <c r="AK1479" s="7">
        <v>977.1</v>
      </c>
      <c r="AL1479" s="7">
        <v>318.0</v>
      </c>
      <c r="AM1479" s="7">
        <v>118.0</v>
      </c>
      <c r="AN1479" s="7">
        <v>80.0</v>
      </c>
      <c r="AO1479" s="7">
        <v>43.7</v>
      </c>
      <c r="AP1479" s="9">
        <f t="shared" ref="AP1479:AR1479" si="4629">AG1479/$AF1479</f>
        <v>102.0378788</v>
      </c>
      <c r="AQ1479" s="9">
        <f t="shared" si="4629"/>
        <v>43.325</v>
      </c>
      <c r="AR1479" s="9">
        <f t="shared" si="4629"/>
        <v>37.72045455</v>
      </c>
      <c r="AS1479" s="9">
        <f t="shared" si="4568"/>
        <v>81.04545455</v>
      </c>
      <c r="AT1479" s="9">
        <f t="shared" ref="AT1479:AV1479" si="4630">AJ1479/$AF1479</f>
        <v>11.18106061</v>
      </c>
      <c r="AU1479" s="9">
        <f t="shared" si="4630"/>
        <v>7.402272727</v>
      </c>
      <c r="AV1479" s="9">
        <f t="shared" si="4630"/>
        <v>2.409090909</v>
      </c>
      <c r="AW1479" s="9">
        <f t="shared" si="4570"/>
        <v>9.811363636</v>
      </c>
      <c r="AX1479" s="9">
        <f t="shared" ref="AX1479:AY1479" si="4631">AM1479/$AF1479</f>
        <v>0.8939393939</v>
      </c>
      <c r="AY1479" s="9">
        <f t="shared" si="4631"/>
        <v>0.6060606061</v>
      </c>
      <c r="AZ1479" s="9">
        <f>VLOOKUP(A1479,Jogos!A:BN,58,0)</f>
        <v>28.8025</v>
      </c>
      <c r="BA1479" s="9">
        <f>VLOOKUP(A1479,Jogos!A:BN,59,0)</f>
        <v>21.075</v>
      </c>
      <c r="BB1479" s="9">
        <f>VLOOKUP(A1479,Jogos!A:BN,60,0)</f>
        <v>62.75</v>
      </c>
      <c r="BC1479" s="9">
        <f>VLOOKUP(A1479,Jogos!A:BN,61,0)</f>
        <v>28.4425</v>
      </c>
      <c r="BD1479" s="9">
        <f>VLOOKUP(A1479,Jogos!A:BN,62,0)</f>
        <v>321.95</v>
      </c>
      <c r="BE1479" s="9">
        <f>VLOOKUP(A1479,Jogos!A:BN,63,0)</f>
        <v>1.385</v>
      </c>
      <c r="BF1479" s="9">
        <f>VLOOKUP(A1479,Jogos!A:BN,64,0)</f>
        <v>24.495</v>
      </c>
      <c r="BG1479" s="9">
        <f>VLOOKUP(A1479,Jogos!A:BN,65,0)</f>
        <v>43.4425</v>
      </c>
      <c r="BH1479" s="9">
        <f>VLOOKUP(A1479,Jogos!A:BN,66,0)</f>
        <v>28.715</v>
      </c>
      <c r="BI1479" s="9"/>
      <c r="BJ1479" s="9"/>
    </row>
    <row r="1480" hidden="1">
      <c r="A1480" s="2">
        <v>50.0</v>
      </c>
      <c r="B1480" s="2" t="s">
        <v>1350</v>
      </c>
      <c r="C1480" s="2" t="s">
        <v>1351</v>
      </c>
      <c r="D1480" s="3">
        <v>45836.0</v>
      </c>
      <c r="E1480" s="4">
        <v>0.6666666666666666</v>
      </c>
      <c r="F1480" s="5" t="str">
        <f>VLOOKUP(A1480,Jogos!A:N,10,0)</f>
        <v>Afternoon</v>
      </c>
      <c r="G1480" s="2" t="s">
        <v>1200</v>
      </c>
      <c r="H1480" s="6" t="str">
        <f>VLOOKUP(A1480,Jogos!A:L,12,0)</f>
        <v>Open</v>
      </c>
      <c r="I1480" s="6" t="str">
        <f>VLOOKUP(G1480,'Estádios e Cidades'!A:B,2,0)</f>
        <v>Charlotte</v>
      </c>
      <c r="J1480" s="2" t="s">
        <v>377</v>
      </c>
      <c r="K1480" s="2" t="str">
        <f>VLOOKUP(J1480,Equipes!A:F,6,0)</f>
        <v>Temperate</v>
      </c>
      <c r="L1480" s="2">
        <f>VLOOKUP(J1480,Equipes!A:C,3,0)</f>
        <v>1</v>
      </c>
      <c r="M1480" s="2" t="str">
        <f t="shared" si="4"/>
        <v>Final</v>
      </c>
      <c r="N1480" s="2" t="s">
        <v>441</v>
      </c>
      <c r="O1480" s="2">
        <f>VLOOKUP(N1480,Equipes!A:C,3,0)</f>
        <v>10</v>
      </c>
      <c r="P1480" s="2" t="str">
        <f t="shared" si="5"/>
        <v>Round of 16</v>
      </c>
      <c r="Q1480" s="2">
        <f t="shared" si="6"/>
        <v>-9</v>
      </c>
      <c r="R1480" s="2" t="str">
        <f>VLOOKUP(J1480,Equipes!A:B,2,0)</f>
        <v>Chelsea</v>
      </c>
      <c r="S1480" s="6" t="s">
        <v>1283</v>
      </c>
      <c r="T1480" s="7">
        <v>5.0</v>
      </c>
      <c r="U1480" s="7" t="s">
        <v>1284</v>
      </c>
      <c r="V1480" s="7" t="str">
        <f>VLOOKUP(U1480,Jogadores!B:C,2,0)</f>
        <v>DF</v>
      </c>
      <c r="W1480" s="8">
        <f>VLOOKUP(U1480,Jogadores!B:D,3,0)</f>
        <v>24.35616438</v>
      </c>
      <c r="X1480" s="7">
        <v>0.0</v>
      </c>
      <c r="Y1480" s="7">
        <v>70.0</v>
      </c>
      <c r="Z1480" s="7">
        <f>VLOOKUP(A1480,Jogos!A:L,3,0)</f>
        <v>49</v>
      </c>
      <c r="AA1480" s="7">
        <f t="shared" si="4563"/>
        <v>49</v>
      </c>
      <c r="AB1480" s="7">
        <f>VLOOKUP(A1480,Jogos!A:L,4,0)</f>
        <v>51</v>
      </c>
      <c r="AC1480" s="7">
        <f t="shared" si="4564"/>
        <v>25</v>
      </c>
      <c r="AD1480" s="7">
        <f>Jogos!$E$51-Jogos!$D$51-Jogos!$C$51</f>
        <v>32</v>
      </c>
      <c r="AE1480" s="7">
        <f t="shared" si="4565"/>
        <v>0</v>
      </c>
      <c r="AF1480" s="7">
        <f t="shared" si="4566"/>
        <v>74</v>
      </c>
      <c r="AG1480" s="7">
        <v>6203.1</v>
      </c>
      <c r="AH1480" s="7">
        <v>3259.5</v>
      </c>
      <c r="AI1480" s="7">
        <v>2105.5</v>
      </c>
      <c r="AJ1480" s="7">
        <v>579.2</v>
      </c>
      <c r="AK1480" s="7">
        <v>197.1</v>
      </c>
      <c r="AL1480" s="7">
        <v>61.8</v>
      </c>
      <c r="AM1480" s="7">
        <v>47.0</v>
      </c>
      <c r="AN1480" s="7">
        <v>16.0</v>
      </c>
      <c r="AO1480" s="7">
        <v>30.2</v>
      </c>
      <c r="AP1480" s="9">
        <f t="shared" ref="AP1480:AR1480" si="4632">AG1480/$AF1480</f>
        <v>83.82567568</v>
      </c>
      <c r="AQ1480" s="9">
        <f t="shared" si="4632"/>
        <v>44.0472973</v>
      </c>
      <c r="AR1480" s="9">
        <f t="shared" si="4632"/>
        <v>28.4527027</v>
      </c>
      <c r="AS1480" s="9">
        <f t="shared" si="4568"/>
        <v>72.5</v>
      </c>
      <c r="AT1480" s="9">
        <f t="shared" ref="AT1480:AV1480" si="4633">AJ1480/$AF1480</f>
        <v>7.827027027</v>
      </c>
      <c r="AU1480" s="9">
        <f t="shared" si="4633"/>
        <v>2.663513514</v>
      </c>
      <c r="AV1480" s="9">
        <f t="shared" si="4633"/>
        <v>0.8351351351</v>
      </c>
      <c r="AW1480" s="9">
        <f t="shared" si="4570"/>
        <v>3.498648649</v>
      </c>
      <c r="AX1480" s="9">
        <f t="shared" ref="AX1480:AY1480" si="4634">AM1480/$AF1480</f>
        <v>0.6351351351</v>
      </c>
      <c r="AY1480" s="9">
        <f t="shared" si="4634"/>
        <v>0.2162162162</v>
      </c>
      <c r="AZ1480" s="9">
        <f>VLOOKUP(A1480,Jogos!A:BN,58,0)</f>
        <v>28.8025</v>
      </c>
      <c r="BA1480" s="9">
        <f>VLOOKUP(A1480,Jogos!A:BN,59,0)</f>
        <v>21.075</v>
      </c>
      <c r="BB1480" s="9">
        <f>VLOOKUP(A1480,Jogos!A:BN,60,0)</f>
        <v>62.75</v>
      </c>
      <c r="BC1480" s="9">
        <f>VLOOKUP(A1480,Jogos!A:BN,61,0)</f>
        <v>28.4425</v>
      </c>
      <c r="BD1480" s="9">
        <f>VLOOKUP(A1480,Jogos!A:BN,62,0)</f>
        <v>321.95</v>
      </c>
      <c r="BE1480" s="9">
        <f>VLOOKUP(A1480,Jogos!A:BN,63,0)</f>
        <v>1.385</v>
      </c>
      <c r="BF1480" s="9">
        <f>VLOOKUP(A1480,Jogos!A:BN,64,0)</f>
        <v>24.495</v>
      </c>
      <c r="BG1480" s="9">
        <f>VLOOKUP(A1480,Jogos!A:BN,65,0)</f>
        <v>43.4425</v>
      </c>
      <c r="BH1480" s="9">
        <f>VLOOKUP(A1480,Jogos!A:BN,66,0)</f>
        <v>28.715</v>
      </c>
      <c r="BI1480" s="9"/>
      <c r="BJ1480" s="9"/>
    </row>
    <row r="1481" hidden="1">
      <c r="A1481" s="2">
        <v>50.0</v>
      </c>
      <c r="B1481" s="2" t="s">
        <v>1350</v>
      </c>
      <c r="C1481" s="2" t="s">
        <v>1351</v>
      </c>
      <c r="D1481" s="3">
        <v>45836.0</v>
      </c>
      <c r="E1481" s="4">
        <v>0.6666666666666666</v>
      </c>
      <c r="F1481" s="5" t="str">
        <f>VLOOKUP(A1481,Jogos!A:N,10,0)</f>
        <v>Afternoon</v>
      </c>
      <c r="G1481" s="2" t="s">
        <v>1200</v>
      </c>
      <c r="H1481" s="6" t="str">
        <f>VLOOKUP(A1481,Jogos!A:L,12,0)</f>
        <v>Open</v>
      </c>
      <c r="I1481" s="6" t="str">
        <f>VLOOKUP(G1481,'Estádios e Cidades'!A:B,2,0)</f>
        <v>Charlotte</v>
      </c>
      <c r="J1481" s="2" t="s">
        <v>377</v>
      </c>
      <c r="K1481" s="2" t="str">
        <f>VLOOKUP(J1481,Equipes!A:F,6,0)</f>
        <v>Temperate</v>
      </c>
      <c r="L1481" s="2">
        <f>VLOOKUP(J1481,Equipes!A:C,3,0)</f>
        <v>1</v>
      </c>
      <c r="M1481" s="2" t="str">
        <f t="shared" si="4"/>
        <v>Final</v>
      </c>
      <c r="N1481" s="2" t="s">
        <v>441</v>
      </c>
      <c r="O1481" s="2">
        <f>VLOOKUP(N1481,Equipes!A:C,3,0)</f>
        <v>10</v>
      </c>
      <c r="P1481" s="2" t="str">
        <f t="shared" si="5"/>
        <v>Round of 16</v>
      </c>
      <c r="Q1481" s="2">
        <f t="shared" si="6"/>
        <v>-9</v>
      </c>
      <c r="R1481" s="2" t="str">
        <f>VLOOKUP(J1481,Equipes!A:B,2,0)</f>
        <v>Chelsea</v>
      </c>
      <c r="S1481" s="6" t="s">
        <v>383</v>
      </c>
      <c r="T1481" s="7">
        <v>6.0</v>
      </c>
      <c r="U1481" s="7" t="s">
        <v>384</v>
      </c>
      <c r="V1481" s="7" t="str">
        <f>VLOOKUP(U1481,Jogadores!B:C,2,0)</f>
        <v>DF</v>
      </c>
      <c r="W1481" s="8">
        <f>VLOOKUP(U1481,Jogadores!B:D,3,0)</f>
        <v>22.43287671</v>
      </c>
      <c r="X1481" s="7">
        <v>0.0</v>
      </c>
      <c r="Y1481" s="7">
        <v>118.0</v>
      </c>
      <c r="Z1481" s="7">
        <f>VLOOKUP(A1481,Jogos!A:L,3,0)</f>
        <v>49</v>
      </c>
      <c r="AA1481" s="7">
        <f t="shared" si="4563"/>
        <v>49</v>
      </c>
      <c r="AB1481" s="7">
        <f>VLOOKUP(A1481,Jogos!A:L,4,0)</f>
        <v>51</v>
      </c>
      <c r="AC1481" s="23">
        <v>51.0</v>
      </c>
      <c r="AD1481" s="7">
        <f>Jogos!$E$51-Jogos!$D$51-Jogos!$C$51</f>
        <v>32</v>
      </c>
      <c r="AE1481" s="7">
        <v>28.0</v>
      </c>
      <c r="AF1481" s="7">
        <f t="shared" si="4566"/>
        <v>128</v>
      </c>
      <c r="AG1481" s="7">
        <v>12512.3</v>
      </c>
      <c r="AH1481" s="7">
        <v>5874.6</v>
      </c>
      <c r="AI1481" s="7">
        <v>4571.3</v>
      </c>
      <c r="AJ1481" s="7">
        <v>1258.9</v>
      </c>
      <c r="AK1481" s="7">
        <v>549.5</v>
      </c>
      <c r="AL1481" s="7">
        <v>258.1</v>
      </c>
      <c r="AM1481" s="7">
        <v>115.0</v>
      </c>
      <c r="AN1481" s="7">
        <v>43.0</v>
      </c>
      <c r="AO1481" s="7">
        <v>42.7</v>
      </c>
      <c r="AP1481" s="9">
        <f t="shared" ref="AP1481:AR1481" si="4635">AG1481/$AF1481</f>
        <v>97.75234375</v>
      </c>
      <c r="AQ1481" s="9">
        <f t="shared" si="4635"/>
        <v>45.8953125</v>
      </c>
      <c r="AR1481" s="9">
        <f t="shared" si="4635"/>
        <v>35.71328125</v>
      </c>
      <c r="AS1481" s="9">
        <f t="shared" si="4568"/>
        <v>81.60859375</v>
      </c>
      <c r="AT1481" s="9">
        <f t="shared" ref="AT1481:AV1481" si="4636">AJ1481/$AF1481</f>
        <v>9.83515625</v>
      </c>
      <c r="AU1481" s="9">
        <f t="shared" si="4636"/>
        <v>4.29296875</v>
      </c>
      <c r="AV1481" s="9">
        <f t="shared" si="4636"/>
        <v>2.01640625</v>
      </c>
      <c r="AW1481" s="9">
        <f t="shared" si="4570"/>
        <v>6.309375</v>
      </c>
      <c r="AX1481" s="9">
        <f t="shared" ref="AX1481:AY1481" si="4637">AM1481/$AF1481</f>
        <v>0.8984375</v>
      </c>
      <c r="AY1481" s="9">
        <f t="shared" si="4637"/>
        <v>0.3359375</v>
      </c>
      <c r="AZ1481" s="9">
        <f>VLOOKUP(A1481,Jogos!A:BN,58,0)</f>
        <v>28.8025</v>
      </c>
      <c r="BA1481" s="9">
        <f>VLOOKUP(A1481,Jogos!A:BN,59,0)</f>
        <v>21.075</v>
      </c>
      <c r="BB1481" s="9">
        <f>VLOOKUP(A1481,Jogos!A:BN,60,0)</f>
        <v>62.75</v>
      </c>
      <c r="BC1481" s="9">
        <f>VLOOKUP(A1481,Jogos!A:BN,61,0)</f>
        <v>28.4425</v>
      </c>
      <c r="BD1481" s="9">
        <f>VLOOKUP(A1481,Jogos!A:BN,62,0)</f>
        <v>321.95</v>
      </c>
      <c r="BE1481" s="9">
        <f>VLOOKUP(A1481,Jogos!A:BN,63,0)</f>
        <v>1.385</v>
      </c>
      <c r="BF1481" s="9">
        <f>VLOOKUP(A1481,Jogos!A:BN,64,0)</f>
        <v>24.495</v>
      </c>
      <c r="BG1481" s="9">
        <f>VLOOKUP(A1481,Jogos!A:BN,65,0)</f>
        <v>43.4425</v>
      </c>
      <c r="BH1481" s="9">
        <f>VLOOKUP(A1481,Jogos!A:BN,66,0)</f>
        <v>28.715</v>
      </c>
      <c r="BI1481" s="9"/>
      <c r="BJ1481" s="9"/>
    </row>
    <row r="1482" hidden="1">
      <c r="A1482" s="2">
        <v>50.0</v>
      </c>
      <c r="B1482" s="2" t="s">
        <v>1350</v>
      </c>
      <c r="C1482" s="2" t="s">
        <v>1351</v>
      </c>
      <c r="D1482" s="3">
        <v>45836.0</v>
      </c>
      <c r="E1482" s="4">
        <v>0.6666666666666666</v>
      </c>
      <c r="F1482" s="5" t="str">
        <f>VLOOKUP(A1482,Jogos!A:N,10,0)</f>
        <v>Afternoon</v>
      </c>
      <c r="G1482" s="2" t="s">
        <v>1200</v>
      </c>
      <c r="H1482" s="6" t="str">
        <f>VLOOKUP(A1482,Jogos!A:L,12,0)</f>
        <v>Open</v>
      </c>
      <c r="I1482" s="6" t="str">
        <f>VLOOKUP(G1482,'Estádios e Cidades'!A:B,2,0)</f>
        <v>Charlotte</v>
      </c>
      <c r="J1482" s="2" t="s">
        <v>377</v>
      </c>
      <c r="K1482" s="2" t="str">
        <f>VLOOKUP(J1482,Equipes!A:F,6,0)</f>
        <v>Temperate</v>
      </c>
      <c r="L1482" s="2">
        <f>VLOOKUP(J1482,Equipes!A:C,3,0)</f>
        <v>1</v>
      </c>
      <c r="M1482" s="2" t="str">
        <f t="shared" si="4"/>
        <v>Final</v>
      </c>
      <c r="N1482" s="2" t="s">
        <v>441</v>
      </c>
      <c r="O1482" s="2">
        <f>VLOOKUP(N1482,Equipes!A:C,3,0)</f>
        <v>10</v>
      </c>
      <c r="P1482" s="2" t="str">
        <f t="shared" si="5"/>
        <v>Round of 16</v>
      </c>
      <c r="Q1482" s="2">
        <f t="shared" si="6"/>
        <v>-9</v>
      </c>
      <c r="R1482" s="2" t="str">
        <f>VLOOKUP(J1482,Equipes!A:B,2,0)</f>
        <v>Chelsea</v>
      </c>
      <c r="S1482" s="6" t="s">
        <v>385</v>
      </c>
      <c r="T1482" s="7">
        <v>7.0</v>
      </c>
      <c r="U1482" s="7" t="s">
        <v>386</v>
      </c>
      <c r="V1482" s="7" t="str">
        <f>VLOOKUP(U1482,Jogadores!B:C,2,0)</f>
        <v>FW</v>
      </c>
      <c r="W1482" s="8">
        <f>VLOOKUP(U1482,Jogadores!B:D,3,0)</f>
        <v>25.40273973</v>
      </c>
      <c r="X1482" s="7">
        <v>0.0</v>
      </c>
      <c r="Y1482" s="7">
        <f>45+AB1482+AD1482</f>
        <v>128</v>
      </c>
      <c r="Z1482" s="7">
        <f>VLOOKUP(A1482,Jogos!A:L,3,0)</f>
        <v>49</v>
      </c>
      <c r="AA1482" s="7">
        <f t="shared" si="4563"/>
        <v>49</v>
      </c>
      <c r="AB1482" s="7">
        <f>VLOOKUP(A1482,Jogos!A:L,4,0)</f>
        <v>51</v>
      </c>
      <c r="AC1482" s="7">
        <f t="shared" ref="AC1482:AC1494" si="4641">IF(X1482&lt;45,if(Y1482&lt;=45,0,if(Y1482&gt;90,Y1482-45-AD1482,Y1482-45)),if(X1482&gt;=90,0,AB1482+45-X1482))</f>
        <v>51</v>
      </c>
      <c r="AD1482" s="7">
        <f>Jogos!$E$51-Jogos!$D$51-Jogos!$C$51</f>
        <v>32</v>
      </c>
      <c r="AE1482" s="7">
        <f t="shared" ref="AE1482:AE1494" si="4642">if(X1482&lt;=90,if(Y1482&lt;=90,0,(Y1482-45-AB1482)),90+AD1482-X1482)</f>
        <v>32</v>
      </c>
      <c r="AF1482" s="7">
        <f t="shared" si="4566"/>
        <v>132</v>
      </c>
      <c r="AG1482" s="7">
        <v>13371.8</v>
      </c>
      <c r="AH1482" s="7">
        <v>5757.7</v>
      </c>
      <c r="AI1482" s="7">
        <v>4519.2</v>
      </c>
      <c r="AJ1482" s="7">
        <v>1856.5</v>
      </c>
      <c r="AK1482" s="7">
        <v>810.3</v>
      </c>
      <c r="AL1482" s="7">
        <v>428.1</v>
      </c>
      <c r="AM1482" s="7">
        <v>152.0</v>
      </c>
      <c r="AN1482" s="7">
        <v>59.0</v>
      </c>
      <c r="AO1482" s="7">
        <v>40.9</v>
      </c>
      <c r="AP1482" s="9">
        <f t="shared" ref="AP1482:AR1482" si="4638">AG1482/$AF1482</f>
        <v>101.3015152</v>
      </c>
      <c r="AQ1482" s="9">
        <f t="shared" si="4638"/>
        <v>43.61893939</v>
      </c>
      <c r="AR1482" s="9">
        <f t="shared" si="4638"/>
        <v>34.23636364</v>
      </c>
      <c r="AS1482" s="9">
        <f t="shared" si="4568"/>
        <v>77.85530303</v>
      </c>
      <c r="AT1482" s="9">
        <f t="shared" ref="AT1482:AV1482" si="4639">AJ1482/$AF1482</f>
        <v>14.06439394</v>
      </c>
      <c r="AU1482" s="9">
        <f t="shared" si="4639"/>
        <v>6.138636364</v>
      </c>
      <c r="AV1482" s="9">
        <f t="shared" si="4639"/>
        <v>3.243181818</v>
      </c>
      <c r="AW1482" s="9">
        <f t="shared" si="4570"/>
        <v>9.381818182</v>
      </c>
      <c r="AX1482" s="9">
        <f t="shared" ref="AX1482:AY1482" si="4640">AM1482/$AF1482</f>
        <v>1.151515152</v>
      </c>
      <c r="AY1482" s="9">
        <f t="shared" si="4640"/>
        <v>0.446969697</v>
      </c>
      <c r="AZ1482" s="9">
        <f>VLOOKUP(A1482,Jogos!A:BN,58,0)</f>
        <v>28.8025</v>
      </c>
      <c r="BA1482" s="9">
        <f>VLOOKUP(A1482,Jogos!A:BN,59,0)</f>
        <v>21.075</v>
      </c>
      <c r="BB1482" s="9">
        <f>VLOOKUP(A1482,Jogos!A:BN,60,0)</f>
        <v>62.75</v>
      </c>
      <c r="BC1482" s="9">
        <f>VLOOKUP(A1482,Jogos!A:BN,61,0)</f>
        <v>28.4425</v>
      </c>
      <c r="BD1482" s="9">
        <f>VLOOKUP(A1482,Jogos!A:BN,62,0)</f>
        <v>321.95</v>
      </c>
      <c r="BE1482" s="9">
        <f>VLOOKUP(A1482,Jogos!A:BN,63,0)</f>
        <v>1.385</v>
      </c>
      <c r="BF1482" s="9">
        <f>VLOOKUP(A1482,Jogos!A:BN,64,0)</f>
        <v>24.495</v>
      </c>
      <c r="BG1482" s="9">
        <f>VLOOKUP(A1482,Jogos!A:BN,65,0)</f>
        <v>43.4425</v>
      </c>
      <c r="BH1482" s="9">
        <f>VLOOKUP(A1482,Jogos!A:BN,66,0)</f>
        <v>28.715</v>
      </c>
      <c r="BI1482" s="9"/>
      <c r="BJ1482" s="9"/>
    </row>
    <row r="1483" hidden="1">
      <c r="A1483" s="2">
        <v>50.0</v>
      </c>
      <c r="B1483" s="2" t="s">
        <v>1350</v>
      </c>
      <c r="C1483" s="2" t="s">
        <v>1351</v>
      </c>
      <c r="D1483" s="3">
        <v>45836.0</v>
      </c>
      <c r="E1483" s="4">
        <v>0.6666666666666666</v>
      </c>
      <c r="F1483" s="5" t="str">
        <f>VLOOKUP(A1483,Jogos!A:N,10,0)</f>
        <v>Afternoon</v>
      </c>
      <c r="G1483" s="2" t="s">
        <v>1200</v>
      </c>
      <c r="H1483" s="6" t="str">
        <f>VLOOKUP(A1483,Jogos!A:L,12,0)</f>
        <v>Open</v>
      </c>
      <c r="I1483" s="6" t="str">
        <f>VLOOKUP(G1483,'Estádios e Cidades'!A:B,2,0)</f>
        <v>Charlotte</v>
      </c>
      <c r="J1483" s="2" t="s">
        <v>377</v>
      </c>
      <c r="K1483" s="2" t="str">
        <f>VLOOKUP(J1483,Equipes!A:F,6,0)</f>
        <v>Temperate</v>
      </c>
      <c r="L1483" s="2">
        <f>VLOOKUP(J1483,Equipes!A:C,3,0)</f>
        <v>1</v>
      </c>
      <c r="M1483" s="2" t="str">
        <f t="shared" si="4"/>
        <v>Final</v>
      </c>
      <c r="N1483" s="2" t="s">
        <v>441</v>
      </c>
      <c r="O1483" s="2">
        <f>VLOOKUP(N1483,Equipes!A:C,3,0)</f>
        <v>10</v>
      </c>
      <c r="P1483" s="2" t="str">
        <f t="shared" si="5"/>
        <v>Round of 16</v>
      </c>
      <c r="Q1483" s="2">
        <f t="shared" si="6"/>
        <v>-9</v>
      </c>
      <c r="R1483" s="2" t="str">
        <f>VLOOKUP(J1483,Equipes!A:B,2,0)</f>
        <v>Chelsea</v>
      </c>
      <c r="S1483" s="6" t="s">
        <v>399</v>
      </c>
      <c r="T1483" s="7">
        <v>8.0</v>
      </c>
      <c r="U1483" s="7" t="s">
        <v>400</v>
      </c>
      <c r="V1483" s="7" t="str">
        <f>VLOOKUP(U1483,Jogadores!B:C,2,0)</f>
        <v>MF</v>
      </c>
      <c r="W1483" s="8">
        <f>VLOOKUP(U1483,Jogadores!B:D,3,0)</f>
        <v>24.54246575</v>
      </c>
      <c r="X1483" s="7">
        <v>0.0</v>
      </c>
      <c r="Y1483" s="7">
        <v>81.0</v>
      </c>
      <c r="Z1483" s="7">
        <f>VLOOKUP(A1483,Jogos!A:L,3,0)</f>
        <v>49</v>
      </c>
      <c r="AA1483" s="7">
        <f t="shared" si="4563"/>
        <v>49</v>
      </c>
      <c r="AB1483" s="7">
        <f>VLOOKUP(A1483,Jogos!A:L,4,0)</f>
        <v>51</v>
      </c>
      <c r="AC1483" s="7">
        <f t="shared" si="4641"/>
        <v>36</v>
      </c>
      <c r="AD1483" s="7">
        <f>Jogos!$E$51-Jogos!$D$51-Jogos!$C$51</f>
        <v>32</v>
      </c>
      <c r="AE1483" s="7">
        <f t="shared" si="4642"/>
        <v>0</v>
      </c>
      <c r="AF1483" s="7">
        <f t="shared" si="4566"/>
        <v>85</v>
      </c>
      <c r="AG1483" s="7">
        <v>9343.4</v>
      </c>
      <c r="AH1483" s="7">
        <v>3443.1</v>
      </c>
      <c r="AI1483" s="7">
        <v>3783.7</v>
      </c>
      <c r="AJ1483" s="7">
        <v>1405.3</v>
      </c>
      <c r="AK1483" s="7">
        <v>530.0</v>
      </c>
      <c r="AL1483" s="7">
        <v>181.3</v>
      </c>
      <c r="AM1483" s="7">
        <v>115.0</v>
      </c>
      <c r="AN1483" s="7">
        <v>41.0</v>
      </c>
      <c r="AO1483" s="7">
        <v>31.1</v>
      </c>
      <c r="AP1483" s="9">
        <f t="shared" ref="AP1483:AR1483" si="4643">AG1483/$AF1483</f>
        <v>109.9223529</v>
      </c>
      <c r="AQ1483" s="9">
        <f t="shared" si="4643"/>
        <v>40.50705882</v>
      </c>
      <c r="AR1483" s="9">
        <f t="shared" si="4643"/>
        <v>44.51411765</v>
      </c>
      <c r="AS1483" s="9">
        <f t="shared" si="4568"/>
        <v>85.02117647</v>
      </c>
      <c r="AT1483" s="9">
        <f t="shared" ref="AT1483:AV1483" si="4644">AJ1483/$AF1483</f>
        <v>16.53294118</v>
      </c>
      <c r="AU1483" s="9">
        <f t="shared" si="4644"/>
        <v>6.235294118</v>
      </c>
      <c r="AV1483" s="9">
        <f t="shared" si="4644"/>
        <v>2.132941176</v>
      </c>
      <c r="AW1483" s="9">
        <f t="shared" si="4570"/>
        <v>8.368235294</v>
      </c>
      <c r="AX1483" s="9">
        <f t="shared" ref="AX1483:AY1483" si="4645">AM1483/$AF1483</f>
        <v>1.352941176</v>
      </c>
      <c r="AY1483" s="9">
        <f t="shared" si="4645"/>
        <v>0.4823529412</v>
      </c>
      <c r="AZ1483" s="9">
        <f>VLOOKUP(A1483,Jogos!A:BN,58,0)</f>
        <v>28.8025</v>
      </c>
      <c r="BA1483" s="9">
        <f>VLOOKUP(A1483,Jogos!A:BN,59,0)</f>
        <v>21.075</v>
      </c>
      <c r="BB1483" s="9">
        <f>VLOOKUP(A1483,Jogos!A:BN,60,0)</f>
        <v>62.75</v>
      </c>
      <c r="BC1483" s="9">
        <f>VLOOKUP(A1483,Jogos!A:BN,61,0)</f>
        <v>28.4425</v>
      </c>
      <c r="BD1483" s="9">
        <f>VLOOKUP(A1483,Jogos!A:BN,62,0)</f>
        <v>321.95</v>
      </c>
      <c r="BE1483" s="9">
        <f>VLOOKUP(A1483,Jogos!A:BN,63,0)</f>
        <v>1.385</v>
      </c>
      <c r="BF1483" s="9">
        <f>VLOOKUP(A1483,Jogos!A:BN,64,0)</f>
        <v>24.495</v>
      </c>
      <c r="BG1483" s="9">
        <f>VLOOKUP(A1483,Jogos!A:BN,65,0)</f>
        <v>43.4425</v>
      </c>
      <c r="BH1483" s="9">
        <f>VLOOKUP(A1483,Jogos!A:BN,66,0)</f>
        <v>28.715</v>
      </c>
      <c r="BI1483" s="9"/>
      <c r="BJ1483" s="9"/>
    </row>
    <row r="1484" hidden="1">
      <c r="A1484" s="2">
        <v>50.0</v>
      </c>
      <c r="B1484" s="2" t="s">
        <v>1350</v>
      </c>
      <c r="C1484" s="2" t="s">
        <v>1351</v>
      </c>
      <c r="D1484" s="3">
        <v>45836.0</v>
      </c>
      <c r="E1484" s="4">
        <v>0.6666666666666666</v>
      </c>
      <c r="F1484" s="5" t="str">
        <f>VLOOKUP(A1484,Jogos!A:N,10,0)</f>
        <v>Afternoon</v>
      </c>
      <c r="G1484" s="2" t="s">
        <v>1200</v>
      </c>
      <c r="H1484" s="6" t="str">
        <f>VLOOKUP(A1484,Jogos!A:L,12,0)</f>
        <v>Open</v>
      </c>
      <c r="I1484" s="6" t="str">
        <f>VLOOKUP(G1484,'Estádios e Cidades'!A:B,2,0)</f>
        <v>Charlotte</v>
      </c>
      <c r="J1484" s="2" t="s">
        <v>377</v>
      </c>
      <c r="K1484" s="2" t="str">
        <f>VLOOKUP(J1484,Equipes!A:F,6,0)</f>
        <v>Temperate</v>
      </c>
      <c r="L1484" s="2">
        <f>VLOOKUP(J1484,Equipes!A:C,3,0)</f>
        <v>1</v>
      </c>
      <c r="M1484" s="2" t="str">
        <f t="shared" si="4"/>
        <v>Final</v>
      </c>
      <c r="N1484" s="2" t="s">
        <v>441</v>
      </c>
      <c r="O1484" s="2">
        <f>VLOOKUP(N1484,Equipes!A:C,3,0)</f>
        <v>10</v>
      </c>
      <c r="P1484" s="2" t="str">
        <f t="shared" si="5"/>
        <v>Round of 16</v>
      </c>
      <c r="Q1484" s="2">
        <f t="shared" si="6"/>
        <v>-9</v>
      </c>
      <c r="R1484" s="2" t="str">
        <f>VLOOKUP(J1484,Equipes!A:B,2,0)</f>
        <v>Chelsea</v>
      </c>
      <c r="S1484" s="6" t="s">
        <v>401</v>
      </c>
      <c r="T1484" s="7">
        <v>9.0</v>
      </c>
      <c r="U1484" s="7" t="s">
        <v>402</v>
      </c>
      <c r="V1484" s="7" t="str">
        <f>VLOOKUP(U1484,Jogadores!B:C,2,0)</f>
        <v>FW</v>
      </c>
      <c r="W1484" s="8">
        <f>VLOOKUP(U1484,Jogadores!B:D,3,0)</f>
        <v>22.48219178</v>
      </c>
      <c r="X1484" s="7">
        <v>0.0</v>
      </c>
      <c r="Y1484" s="7">
        <v>81.0</v>
      </c>
      <c r="Z1484" s="7">
        <f>VLOOKUP(A1484,Jogos!A:L,3,0)</f>
        <v>49</v>
      </c>
      <c r="AA1484" s="7">
        <f t="shared" si="4563"/>
        <v>49</v>
      </c>
      <c r="AB1484" s="7">
        <f>VLOOKUP(A1484,Jogos!A:L,4,0)</f>
        <v>51</v>
      </c>
      <c r="AC1484" s="7">
        <f t="shared" si="4641"/>
        <v>36</v>
      </c>
      <c r="AD1484" s="7">
        <f>Jogos!$E$51-Jogos!$D$51-Jogos!$C$51</f>
        <v>32</v>
      </c>
      <c r="AE1484" s="7">
        <f t="shared" si="4642"/>
        <v>0</v>
      </c>
      <c r="AF1484" s="7">
        <f t="shared" si="4566"/>
        <v>85</v>
      </c>
      <c r="AG1484" s="7">
        <v>8144.5</v>
      </c>
      <c r="AH1484" s="7">
        <v>3773.8</v>
      </c>
      <c r="AI1484" s="7">
        <v>2797.8</v>
      </c>
      <c r="AJ1484" s="7">
        <v>887.4</v>
      </c>
      <c r="AK1484" s="7">
        <v>441.5</v>
      </c>
      <c r="AL1484" s="7">
        <v>244.0</v>
      </c>
      <c r="AM1484" s="7">
        <v>76.0</v>
      </c>
      <c r="AN1484" s="7">
        <v>44.0</v>
      </c>
      <c r="AO1484" s="7">
        <v>33.3</v>
      </c>
      <c r="AP1484" s="9">
        <f t="shared" ref="AP1484:AR1484" si="4646">AG1484/$AF1484</f>
        <v>95.81764706</v>
      </c>
      <c r="AQ1484" s="9">
        <f t="shared" si="4646"/>
        <v>44.39764706</v>
      </c>
      <c r="AR1484" s="9">
        <f t="shared" si="4646"/>
        <v>32.91529412</v>
      </c>
      <c r="AS1484" s="9">
        <f t="shared" si="4568"/>
        <v>77.31294118</v>
      </c>
      <c r="AT1484" s="9">
        <f t="shared" ref="AT1484:AV1484" si="4647">AJ1484/$AF1484</f>
        <v>10.44</v>
      </c>
      <c r="AU1484" s="9">
        <f t="shared" si="4647"/>
        <v>5.194117647</v>
      </c>
      <c r="AV1484" s="9">
        <f t="shared" si="4647"/>
        <v>2.870588235</v>
      </c>
      <c r="AW1484" s="9">
        <f t="shared" si="4570"/>
        <v>8.064705882</v>
      </c>
      <c r="AX1484" s="9">
        <f t="shared" ref="AX1484:AY1484" si="4648">AM1484/$AF1484</f>
        <v>0.8941176471</v>
      </c>
      <c r="AY1484" s="9">
        <f t="shared" si="4648"/>
        <v>0.5176470588</v>
      </c>
      <c r="AZ1484" s="9">
        <f>VLOOKUP(A1484,Jogos!A:BN,58,0)</f>
        <v>28.8025</v>
      </c>
      <c r="BA1484" s="9">
        <f>VLOOKUP(A1484,Jogos!A:BN,59,0)</f>
        <v>21.075</v>
      </c>
      <c r="BB1484" s="9">
        <f>VLOOKUP(A1484,Jogos!A:BN,60,0)</f>
        <v>62.75</v>
      </c>
      <c r="BC1484" s="9">
        <f>VLOOKUP(A1484,Jogos!A:BN,61,0)</f>
        <v>28.4425</v>
      </c>
      <c r="BD1484" s="9">
        <f>VLOOKUP(A1484,Jogos!A:BN,62,0)</f>
        <v>321.95</v>
      </c>
      <c r="BE1484" s="9">
        <f>VLOOKUP(A1484,Jogos!A:BN,63,0)</f>
        <v>1.385</v>
      </c>
      <c r="BF1484" s="9">
        <f>VLOOKUP(A1484,Jogos!A:BN,64,0)</f>
        <v>24.495</v>
      </c>
      <c r="BG1484" s="9">
        <f>VLOOKUP(A1484,Jogos!A:BN,65,0)</f>
        <v>43.4425</v>
      </c>
      <c r="BH1484" s="9">
        <f>VLOOKUP(A1484,Jogos!A:BN,66,0)</f>
        <v>28.715</v>
      </c>
      <c r="BI1484" s="9"/>
      <c r="BJ1484" s="9"/>
    </row>
    <row r="1485" hidden="1">
      <c r="A1485" s="2">
        <v>50.0</v>
      </c>
      <c r="B1485" s="2" t="s">
        <v>1350</v>
      </c>
      <c r="C1485" s="2" t="s">
        <v>1351</v>
      </c>
      <c r="D1485" s="3">
        <v>45836.0</v>
      </c>
      <c r="E1485" s="4">
        <v>0.6666666666666666</v>
      </c>
      <c r="F1485" s="5" t="str">
        <f>VLOOKUP(A1485,Jogos!A:N,10,0)</f>
        <v>Afternoon</v>
      </c>
      <c r="G1485" s="2" t="s">
        <v>1200</v>
      </c>
      <c r="H1485" s="6" t="str">
        <f>VLOOKUP(A1485,Jogos!A:L,12,0)</f>
        <v>Open</v>
      </c>
      <c r="I1485" s="6" t="str">
        <f>VLOOKUP(G1485,'Estádios e Cidades'!A:B,2,0)</f>
        <v>Charlotte</v>
      </c>
      <c r="J1485" s="2" t="s">
        <v>377</v>
      </c>
      <c r="K1485" s="2" t="str">
        <f>VLOOKUP(J1485,Equipes!A:F,6,0)</f>
        <v>Temperate</v>
      </c>
      <c r="L1485" s="2">
        <f>VLOOKUP(J1485,Equipes!A:C,3,0)</f>
        <v>1</v>
      </c>
      <c r="M1485" s="2" t="str">
        <f t="shared" si="4"/>
        <v>Final</v>
      </c>
      <c r="N1485" s="2" t="s">
        <v>441</v>
      </c>
      <c r="O1485" s="2">
        <f>VLOOKUP(N1485,Equipes!A:C,3,0)</f>
        <v>10</v>
      </c>
      <c r="P1485" s="2" t="str">
        <f t="shared" si="5"/>
        <v>Round of 16</v>
      </c>
      <c r="Q1485" s="2">
        <f t="shared" si="6"/>
        <v>-9</v>
      </c>
      <c r="R1485" s="2" t="str">
        <f>VLOOKUP(J1485,Equipes!A:B,2,0)</f>
        <v>Chelsea</v>
      </c>
      <c r="S1485" s="6" t="s">
        <v>387</v>
      </c>
      <c r="T1485" s="7">
        <v>10.0</v>
      </c>
      <c r="U1485" s="7" t="s">
        <v>388</v>
      </c>
      <c r="V1485" s="7" t="str">
        <f>VLOOKUP(U1485,Jogadores!B:C,2,0)</f>
        <v>MF</v>
      </c>
      <c r="W1485" s="8">
        <f>VLOOKUP(U1485,Jogadores!B:D,3,0)</f>
        <v>23.24383562</v>
      </c>
      <c r="X1485" s="7">
        <v>0.0</v>
      </c>
      <c r="Y1485" s="7">
        <f>45+AB1485+AD1485</f>
        <v>128</v>
      </c>
      <c r="Z1485" s="7">
        <f>VLOOKUP(A1485,Jogos!A:L,3,0)</f>
        <v>49</v>
      </c>
      <c r="AA1485" s="7">
        <f t="shared" si="4563"/>
        <v>49</v>
      </c>
      <c r="AB1485" s="7">
        <f>VLOOKUP(A1485,Jogos!A:L,4,0)</f>
        <v>51</v>
      </c>
      <c r="AC1485" s="7">
        <f t="shared" si="4641"/>
        <v>51</v>
      </c>
      <c r="AD1485" s="7">
        <f>Jogos!$E$51-Jogos!$D$51-Jogos!$C$51</f>
        <v>32</v>
      </c>
      <c r="AE1485" s="7">
        <f t="shared" si="4642"/>
        <v>32</v>
      </c>
      <c r="AF1485" s="7">
        <f t="shared" si="4566"/>
        <v>132</v>
      </c>
      <c r="AG1485" s="7">
        <v>13340.7</v>
      </c>
      <c r="AH1485" s="7">
        <v>6200.6</v>
      </c>
      <c r="AI1485" s="7">
        <v>4477.7</v>
      </c>
      <c r="AJ1485" s="7">
        <v>1521.9</v>
      </c>
      <c r="AK1485" s="7">
        <v>836.3</v>
      </c>
      <c r="AL1485" s="7">
        <v>304.0</v>
      </c>
      <c r="AM1485" s="7">
        <v>135.0</v>
      </c>
      <c r="AN1485" s="7">
        <v>60.0</v>
      </c>
      <c r="AO1485" s="7">
        <v>43.5</v>
      </c>
      <c r="AP1485" s="9">
        <f t="shared" ref="AP1485:AR1485" si="4649">AG1485/$AF1485</f>
        <v>101.0659091</v>
      </c>
      <c r="AQ1485" s="9">
        <f t="shared" si="4649"/>
        <v>46.97424242</v>
      </c>
      <c r="AR1485" s="9">
        <f t="shared" si="4649"/>
        <v>33.9219697</v>
      </c>
      <c r="AS1485" s="9">
        <f t="shared" si="4568"/>
        <v>80.89621212</v>
      </c>
      <c r="AT1485" s="9">
        <f t="shared" ref="AT1485:AV1485" si="4650">AJ1485/$AF1485</f>
        <v>11.52954545</v>
      </c>
      <c r="AU1485" s="9">
        <f t="shared" si="4650"/>
        <v>6.335606061</v>
      </c>
      <c r="AV1485" s="9">
        <f t="shared" si="4650"/>
        <v>2.303030303</v>
      </c>
      <c r="AW1485" s="9">
        <f t="shared" si="4570"/>
        <v>8.638636364</v>
      </c>
      <c r="AX1485" s="9">
        <f t="shared" ref="AX1485:AY1485" si="4651">AM1485/$AF1485</f>
        <v>1.022727273</v>
      </c>
      <c r="AY1485" s="9">
        <f t="shared" si="4651"/>
        <v>0.4545454545</v>
      </c>
      <c r="AZ1485" s="9">
        <f>VLOOKUP(A1485,Jogos!A:BN,58,0)</f>
        <v>28.8025</v>
      </c>
      <c r="BA1485" s="9">
        <f>VLOOKUP(A1485,Jogos!A:BN,59,0)</f>
        <v>21.075</v>
      </c>
      <c r="BB1485" s="9">
        <f>VLOOKUP(A1485,Jogos!A:BN,60,0)</f>
        <v>62.75</v>
      </c>
      <c r="BC1485" s="9">
        <f>VLOOKUP(A1485,Jogos!A:BN,61,0)</f>
        <v>28.4425</v>
      </c>
      <c r="BD1485" s="9">
        <f>VLOOKUP(A1485,Jogos!A:BN,62,0)</f>
        <v>321.95</v>
      </c>
      <c r="BE1485" s="9">
        <f>VLOOKUP(A1485,Jogos!A:BN,63,0)</f>
        <v>1.385</v>
      </c>
      <c r="BF1485" s="9">
        <f>VLOOKUP(A1485,Jogos!A:BN,64,0)</f>
        <v>24.495</v>
      </c>
      <c r="BG1485" s="9">
        <f>VLOOKUP(A1485,Jogos!A:BN,65,0)</f>
        <v>43.4425</v>
      </c>
      <c r="BH1485" s="9">
        <f>VLOOKUP(A1485,Jogos!A:BN,66,0)</f>
        <v>28.715</v>
      </c>
      <c r="BI1485" s="9"/>
      <c r="BJ1485" s="9"/>
    </row>
    <row r="1486" hidden="1">
      <c r="A1486" s="2">
        <v>50.0</v>
      </c>
      <c r="B1486" s="2" t="s">
        <v>1350</v>
      </c>
      <c r="C1486" s="2" t="s">
        <v>1351</v>
      </c>
      <c r="D1486" s="3">
        <v>45836.0</v>
      </c>
      <c r="E1486" s="4">
        <v>0.6666666666666666</v>
      </c>
      <c r="F1486" s="5" t="str">
        <f>VLOOKUP(A1486,Jogos!A:N,10,0)</f>
        <v>Afternoon</v>
      </c>
      <c r="G1486" s="2" t="s">
        <v>1200</v>
      </c>
      <c r="H1486" s="6" t="str">
        <f>VLOOKUP(A1486,Jogos!A:L,12,0)</f>
        <v>Open</v>
      </c>
      <c r="I1486" s="6" t="str">
        <f>VLOOKUP(G1486,'Estádios e Cidades'!A:B,2,0)</f>
        <v>Charlotte</v>
      </c>
      <c r="J1486" s="2" t="s">
        <v>377</v>
      </c>
      <c r="K1486" s="2" t="str">
        <f>VLOOKUP(J1486,Equipes!A:F,6,0)</f>
        <v>Temperate</v>
      </c>
      <c r="L1486" s="2">
        <f>VLOOKUP(J1486,Equipes!A:C,3,0)</f>
        <v>1</v>
      </c>
      <c r="M1486" s="2" t="str">
        <f t="shared" si="4"/>
        <v>Final</v>
      </c>
      <c r="N1486" s="2" t="s">
        <v>441</v>
      </c>
      <c r="O1486" s="2">
        <f>VLOOKUP(N1486,Equipes!A:C,3,0)</f>
        <v>10</v>
      </c>
      <c r="P1486" s="2" t="str">
        <f t="shared" si="5"/>
        <v>Round of 16</v>
      </c>
      <c r="Q1486" s="2">
        <f t="shared" si="6"/>
        <v>-9</v>
      </c>
      <c r="R1486" s="2" t="str">
        <f>VLOOKUP(J1486,Equipes!A:B,2,0)</f>
        <v>Chelsea</v>
      </c>
      <c r="S1486" s="6" t="s">
        <v>393</v>
      </c>
      <c r="T1486" s="7">
        <v>24.0</v>
      </c>
      <c r="U1486" s="7" t="s">
        <v>394</v>
      </c>
      <c r="V1486" s="7" t="str">
        <f>VLOOKUP(U1486,Jogadores!B:C,2,0)</f>
        <v>DF</v>
      </c>
      <c r="W1486" s="8">
        <f>VLOOKUP(U1486,Jogadores!B:D,3,0)</f>
        <v>25.65479452</v>
      </c>
      <c r="X1486" s="7">
        <v>0.0</v>
      </c>
      <c r="Y1486" s="7">
        <v>80.0</v>
      </c>
      <c r="Z1486" s="7">
        <f>VLOOKUP(A1486,Jogos!A:L,3,0)</f>
        <v>49</v>
      </c>
      <c r="AA1486" s="7">
        <f t="shared" si="4563"/>
        <v>49</v>
      </c>
      <c r="AB1486" s="7">
        <f>VLOOKUP(A1486,Jogos!A:L,4,0)</f>
        <v>51</v>
      </c>
      <c r="AC1486" s="7">
        <f t="shared" si="4641"/>
        <v>35</v>
      </c>
      <c r="AD1486" s="7">
        <f>Jogos!$E$51-Jogos!$D$51-Jogos!$C$51</f>
        <v>32</v>
      </c>
      <c r="AE1486" s="7">
        <f t="shared" si="4642"/>
        <v>0</v>
      </c>
      <c r="AF1486" s="7">
        <f t="shared" si="4566"/>
        <v>84</v>
      </c>
      <c r="AG1486" s="7">
        <v>8036.7</v>
      </c>
      <c r="AH1486" s="7">
        <v>3974.8</v>
      </c>
      <c r="AI1486" s="7">
        <v>2879.7</v>
      </c>
      <c r="AJ1486" s="7">
        <v>806.6</v>
      </c>
      <c r="AK1486" s="7">
        <v>311.1</v>
      </c>
      <c r="AL1486" s="7">
        <v>64.5</v>
      </c>
      <c r="AM1486" s="7">
        <v>77.0</v>
      </c>
      <c r="AN1486" s="7">
        <v>23.0</v>
      </c>
      <c r="AO1486" s="7">
        <v>28.7</v>
      </c>
      <c r="AP1486" s="9">
        <f t="shared" ref="AP1486:AR1486" si="4652">AG1486/$AF1486</f>
        <v>95.675</v>
      </c>
      <c r="AQ1486" s="9">
        <f t="shared" si="4652"/>
        <v>47.31904762</v>
      </c>
      <c r="AR1486" s="9">
        <f t="shared" si="4652"/>
        <v>34.28214286</v>
      </c>
      <c r="AS1486" s="9">
        <f t="shared" si="4568"/>
        <v>81.60119048</v>
      </c>
      <c r="AT1486" s="9">
        <f t="shared" ref="AT1486:AV1486" si="4653">AJ1486/$AF1486</f>
        <v>9.602380952</v>
      </c>
      <c r="AU1486" s="9">
        <f t="shared" si="4653"/>
        <v>3.703571429</v>
      </c>
      <c r="AV1486" s="9">
        <f t="shared" si="4653"/>
        <v>0.7678571429</v>
      </c>
      <c r="AW1486" s="9">
        <f t="shared" si="4570"/>
        <v>4.471428571</v>
      </c>
      <c r="AX1486" s="9">
        <f t="shared" ref="AX1486:AY1486" si="4654">AM1486/$AF1486</f>
        <v>0.9166666667</v>
      </c>
      <c r="AY1486" s="9">
        <f t="shared" si="4654"/>
        <v>0.2738095238</v>
      </c>
      <c r="AZ1486" s="9">
        <f>VLOOKUP(A1486,Jogos!A:BN,58,0)</f>
        <v>28.8025</v>
      </c>
      <c r="BA1486" s="9">
        <f>VLOOKUP(A1486,Jogos!A:BN,59,0)</f>
        <v>21.075</v>
      </c>
      <c r="BB1486" s="9">
        <f>VLOOKUP(A1486,Jogos!A:BN,60,0)</f>
        <v>62.75</v>
      </c>
      <c r="BC1486" s="9">
        <f>VLOOKUP(A1486,Jogos!A:BN,61,0)</f>
        <v>28.4425</v>
      </c>
      <c r="BD1486" s="9">
        <f>VLOOKUP(A1486,Jogos!A:BN,62,0)</f>
        <v>321.95</v>
      </c>
      <c r="BE1486" s="9">
        <f>VLOOKUP(A1486,Jogos!A:BN,63,0)</f>
        <v>1.385</v>
      </c>
      <c r="BF1486" s="9">
        <f>VLOOKUP(A1486,Jogos!A:BN,64,0)</f>
        <v>24.495</v>
      </c>
      <c r="BG1486" s="9">
        <f>VLOOKUP(A1486,Jogos!A:BN,65,0)</f>
        <v>43.4425</v>
      </c>
      <c r="BH1486" s="9">
        <f>VLOOKUP(A1486,Jogos!A:BN,66,0)</f>
        <v>28.715</v>
      </c>
      <c r="BI1486" s="9"/>
      <c r="BJ1486" s="9"/>
    </row>
    <row r="1487" hidden="1">
      <c r="A1487" s="2">
        <v>50.0</v>
      </c>
      <c r="B1487" s="2" t="s">
        <v>1350</v>
      </c>
      <c r="C1487" s="2" t="s">
        <v>1351</v>
      </c>
      <c r="D1487" s="3">
        <v>45836.0</v>
      </c>
      <c r="E1487" s="4">
        <v>0.6666666666666666</v>
      </c>
      <c r="F1487" s="5" t="str">
        <f>VLOOKUP(A1487,Jogos!A:N,10,0)</f>
        <v>Afternoon</v>
      </c>
      <c r="G1487" s="2" t="s">
        <v>1200</v>
      </c>
      <c r="H1487" s="6" t="str">
        <f>VLOOKUP(A1487,Jogos!A:L,12,0)</f>
        <v>Open</v>
      </c>
      <c r="I1487" s="6" t="str">
        <f>VLOOKUP(G1487,'Estádios e Cidades'!A:B,2,0)</f>
        <v>Charlotte</v>
      </c>
      <c r="J1487" s="2" t="s">
        <v>377</v>
      </c>
      <c r="K1487" s="2" t="str">
        <f>VLOOKUP(J1487,Equipes!A:F,6,0)</f>
        <v>Temperate</v>
      </c>
      <c r="L1487" s="2">
        <f>VLOOKUP(J1487,Equipes!A:C,3,0)</f>
        <v>1</v>
      </c>
      <c r="M1487" s="2" t="str">
        <f t="shared" si="4"/>
        <v>Final</v>
      </c>
      <c r="N1487" s="2" t="s">
        <v>441</v>
      </c>
      <c r="O1487" s="2">
        <f>VLOOKUP(N1487,Equipes!A:C,3,0)</f>
        <v>10</v>
      </c>
      <c r="P1487" s="2" t="str">
        <f t="shared" si="5"/>
        <v>Round of 16</v>
      </c>
      <c r="Q1487" s="2">
        <f t="shared" si="6"/>
        <v>-9</v>
      </c>
      <c r="R1487" s="2" t="str">
        <f>VLOOKUP(J1487,Equipes!A:B,2,0)</f>
        <v>Chelsea</v>
      </c>
      <c r="S1487" s="6" t="s">
        <v>395</v>
      </c>
      <c r="T1487" s="7">
        <v>25.0</v>
      </c>
      <c r="U1487" s="7" t="s">
        <v>396</v>
      </c>
      <c r="V1487" s="7" t="str">
        <f>VLOOKUP(U1487,Jogadores!B:C,2,0)</f>
        <v>MF</v>
      </c>
      <c r="W1487" s="8">
        <f>VLOOKUP(U1487,Jogadores!B:D,3,0)</f>
        <v>23.75068493</v>
      </c>
      <c r="X1487" s="7">
        <v>0.0</v>
      </c>
      <c r="Y1487" s="7">
        <f>45+AB1487+AD1487</f>
        <v>128</v>
      </c>
      <c r="Z1487" s="7">
        <f>VLOOKUP(A1487,Jogos!A:L,3,0)</f>
        <v>49</v>
      </c>
      <c r="AA1487" s="7">
        <f t="shared" si="4563"/>
        <v>49</v>
      </c>
      <c r="AB1487" s="7">
        <f>VLOOKUP(A1487,Jogos!A:L,4,0)</f>
        <v>51</v>
      </c>
      <c r="AC1487" s="7">
        <f t="shared" si="4641"/>
        <v>51</v>
      </c>
      <c r="AD1487" s="7">
        <f>Jogos!$E$51-Jogos!$D$51-Jogos!$C$51</f>
        <v>32</v>
      </c>
      <c r="AE1487" s="7">
        <f t="shared" si="4642"/>
        <v>32</v>
      </c>
      <c r="AF1487" s="7">
        <f t="shared" si="4566"/>
        <v>132</v>
      </c>
      <c r="AG1487" s="7">
        <v>13135.5</v>
      </c>
      <c r="AH1487" s="7">
        <v>5498.1</v>
      </c>
      <c r="AI1487" s="7">
        <v>5505.0</v>
      </c>
      <c r="AJ1487" s="7">
        <v>1512.3</v>
      </c>
      <c r="AK1487" s="7">
        <v>422.6</v>
      </c>
      <c r="AL1487" s="7">
        <v>197.5</v>
      </c>
      <c r="AM1487" s="7">
        <v>131.0</v>
      </c>
      <c r="AN1487" s="7">
        <v>37.0</v>
      </c>
      <c r="AO1487" s="7">
        <v>41.4</v>
      </c>
      <c r="AP1487" s="9">
        <f t="shared" ref="AP1487:AR1487" si="4655">AG1487/$AF1487</f>
        <v>99.51136364</v>
      </c>
      <c r="AQ1487" s="9">
        <f t="shared" si="4655"/>
        <v>41.65227273</v>
      </c>
      <c r="AR1487" s="9">
        <f t="shared" si="4655"/>
        <v>41.70454545</v>
      </c>
      <c r="AS1487" s="9">
        <f t="shared" si="4568"/>
        <v>83.35681818</v>
      </c>
      <c r="AT1487" s="9">
        <f t="shared" ref="AT1487:AV1487" si="4656">AJ1487/$AF1487</f>
        <v>11.45681818</v>
      </c>
      <c r="AU1487" s="9">
        <f t="shared" si="4656"/>
        <v>3.201515152</v>
      </c>
      <c r="AV1487" s="9">
        <f t="shared" si="4656"/>
        <v>1.496212121</v>
      </c>
      <c r="AW1487" s="9">
        <f t="shared" si="4570"/>
        <v>4.697727273</v>
      </c>
      <c r="AX1487" s="9">
        <f t="shared" ref="AX1487:AY1487" si="4657">AM1487/$AF1487</f>
        <v>0.9924242424</v>
      </c>
      <c r="AY1487" s="9">
        <f t="shared" si="4657"/>
        <v>0.2803030303</v>
      </c>
      <c r="AZ1487" s="9">
        <f>VLOOKUP(A1487,Jogos!A:BN,58,0)</f>
        <v>28.8025</v>
      </c>
      <c r="BA1487" s="9">
        <f>VLOOKUP(A1487,Jogos!A:BN,59,0)</f>
        <v>21.075</v>
      </c>
      <c r="BB1487" s="9">
        <f>VLOOKUP(A1487,Jogos!A:BN,60,0)</f>
        <v>62.75</v>
      </c>
      <c r="BC1487" s="9">
        <f>VLOOKUP(A1487,Jogos!A:BN,61,0)</f>
        <v>28.4425</v>
      </c>
      <c r="BD1487" s="9">
        <f>VLOOKUP(A1487,Jogos!A:BN,62,0)</f>
        <v>321.95</v>
      </c>
      <c r="BE1487" s="9">
        <f>VLOOKUP(A1487,Jogos!A:BN,63,0)</f>
        <v>1.385</v>
      </c>
      <c r="BF1487" s="9">
        <f>VLOOKUP(A1487,Jogos!A:BN,64,0)</f>
        <v>24.495</v>
      </c>
      <c r="BG1487" s="9">
        <f>VLOOKUP(A1487,Jogos!A:BN,65,0)</f>
        <v>43.4425</v>
      </c>
      <c r="BH1487" s="9">
        <f>VLOOKUP(A1487,Jogos!A:BN,66,0)</f>
        <v>28.715</v>
      </c>
      <c r="BI1487" s="9"/>
      <c r="BJ1487" s="9"/>
    </row>
    <row r="1488" hidden="1">
      <c r="A1488" s="2">
        <v>50.0</v>
      </c>
      <c r="B1488" s="2" t="s">
        <v>1350</v>
      </c>
      <c r="C1488" s="2" t="s">
        <v>1351</v>
      </c>
      <c r="D1488" s="3">
        <v>45836.0</v>
      </c>
      <c r="E1488" s="4">
        <v>0.6666666666666666</v>
      </c>
      <c r="F1488" s="5" t="str">
        <f>VLOOKUP(A1488,Jogos!A:N,10,0)</f>
        <v>Afternoon</v>
      </c>
      <c r="G1488" s="2" t="s">
        <v>1200</v>
      </c>
      <c r="H1488" s="6" t="str">
        <f>VLOOKUP(A1488,Jogos!A:L,12,0)</f>
        <v>Open</v>
      </c>
      <c r="I1488" s="6" t="str">
        <f>VLOOKUP(G1488,'Estádios e Cidades'!A:B,2,0)</f>
        <v>Charlotte</v>
      </c>
      <c r="J1488" s="2" t="s">
        <v>377</v>
      </c>
      <c r="K1488" s="2" t="str">
        <f>VLOOKUP(J1488,Equipes!A:F,6,0)</f>
        <v>Temperate</v>
      </c>
      <c r="L1488" s="2">
        <f>VLOOKUP(J1488,Equipes!A:C,3,0)</f>
        <v>1</v>
      </c>
      <c r="M1488" s="2" t="str">
        <f t="shared" si="4"/>
        <v>Final</v>
      </c>
      <c r="N1488" s="2" t="s">
        <v>441</v>
      </c>
      <c r="O1488" s="2">
        <f>VLOOKUP(N1488,Equipes!A:C,3,0)</f>
        <v>10</v>
      </c>
      <c r="P1488" s="2" t="str">
        <f t="shared" si="5"/>
        <v>Round of 16</v>
      </c>
      <c r="Q1488" s="2">
        <f t="shared" si="6"/>
        <v>-9</v>
      </c>
      <c r="R1488" s="2" t="str">
        <f>VLOOKUP(J1488,Equipes!A:B,2,0)</f>
        <v>Chelsea</v>
      </c>
      <c r="S1488" s="6" t="s">
        <v>397</v>
      </c>
      <c r="T1488" s="7">
        <v>45.0</v>
      </c>
      <c r="U1488" s="7" t="s">
        <v>398</v>
      </c>
      <c r="V1488" s="7" t="str">
        <f>VLOOKUP(U1488,Jogadores!B:C,2,0)</f>
        <v>MF</v>
      </c>
      <c r="W1488" s="8">
        <f>VLOOKUP(U1488,Jogadores!B:D,3,0)</f>
        <v>21.57260274</v>
      </c>
      <c r="X1488" s="7">
        <v>0.0</v>
      </c>
      <c r="Y1488" s="7">
        <v>86.0</v>
      </c>
      <c r="Z1488" s="7">
        <f>VLOOKUP(A1488,Jogos!A:L,3,0)</f>
        <v>49</v>
      </c>
      <c r="AA1488" s="7">
        <f t="shared" si="4563"/>
        <v>49</v>
      </c>
      <c r="AB1488" s="7">
        <f>VLOOKUP(A1488,Jogos!A:L,4,0)</f>
        <v>51</v>
      </c>
      <c r="AC1488" s="7">
        <f t="shared" si="4641"/>
        <v>41</v>
      </c>
      <c r="AD1488" s="7">
        <f>Jogos!$E$51-Jogos!$D$51-Jogos!$C$51</f>
        <v>32</v>
      </c>
      <c r="AE1488" s="7">
        <f t="shared" si="4642"/>
        <v>0</v>
      </c>
      <c r="AF1488" s="7">
        <f t="shared" si="4566"/>
        <v>90</v>
      </c>
      <c r="AG1488" s="7">
        <v>8706.9</v>
      </c>
      <c r="AH1488" s="7">
        <v>3463.9</v>
      </c>
      <c r="AI1488" s="7">
        <v>3813.6</v>
      </c>
      <c r="AJ1488" s="7">
        <v>1077.5</v>
      </c>
      <c r="AK1488" s="7">
        <v>268.8</v>
      </c>
      <c r="AL1488" s="7">
        <v>83.0</v>
      </c>
      <c r="AM1488" s="7">
        <v>94.0</v>
      </c>
      <c r="AN1488" s="7">
        <v>20.0</v>
      </c>
      <c r="AO1488" s="7">
        <v>29.0</v>
      </c>
      <c r="AP1488" s="9">
        <f t="shared" ref="AP1488:AR1488" si="4658">AG1488/$AF1488</f>
        <v>96.74333333</v>
      </c>
      <c r="AQ1488" s="9">
        <f t="shared" si="4658"/>
        <v>38.48777778</v>
      </c>
      <c r="AR1488" s="9">
        <f t="shared" si="4658"/>
        <v>42.37333333</v>
      </c>
      <c r="AS1488" s="9">
        <f t="shared" si="4568"/>
        <v>80.86111111</v>
      </c>
      <c r="AT1488" s="9">
        <f t="shared" ref="AT1488:AV1488" si="4659">AJ1488/$AF1488</f>
        <v>11.97222222</v>
      </c>
      <c r="AU1488" s="9">
        <f t="shared" si="4659"/>
        <v>2.986666667</v>
      </c>
      <c r="AV1488" s="9">
        <f t="shared" si="4659"/>
        <v>0.9222222222</v>
      </c>
      <c r="AW1488" s="9">
        <f t="shared" si="4570"/>
        <v>3.908888889</v>
      </c>
      <c r="AX1488" s="9">
        <f t="shared" ref="AX1488:AY1488" si="4660">AM1488/$AF1488</f>
        <v>1.044444444</v>
      </c>
      <c r="AY1488" s="9">
        <f t="shared" si="4660"/>
        <v>0.2222222222</v>
      </c>
      <c r="AZ1488" s="9">
        <f>VLOOKUP(A1488,Jogos!A:BN,58,0)</f>
        <v>28.8025</v>
      </c>
      <c r="BA1488" s="9">
        <f>VLOOKUP(A1488,Jogos!A:BN,59,0)</f>
        <v>21.075</v>
      </c>
      <c r="BB1488" s="9">
        <f>VLOOKUP(A1488,Jogos!A:BN,60,0)</f>
        <v>62.75</v>
      </c>
      <c r="BC1488" s="9">
        <f>VLOOKUP(A1488,Jogos!A:BN,61,0)</f>
        <v>28.4425</v>
      </c>
      <c r="BD1488" s="9">
        <f>VLOOKUP(A1488,Jogos!A:BN,62,0)</f>
        <v>321.95</v>
      </c>
      <c r="BE1488" s="9">
        <f>VLOOKUP(A1488,Jogos!A:BN,63,0)</f>
        <v>1.385</v>
      </c>
      <c r="BF1488" s="9">
        <f>VLOOKUP(A1488,Jogos!A:BN,64,0)</f>
        <v>24.495</v>
      </c>
      <c r="BG1488" s="9">
        <f>VLOOKUP(A1488,Jogos!A:BN,65,0)</f>
        <v>43.4425</v>
      </c>
      <c r="BH1488" s="9">
        <f>VLOOKUP(A1488,Jogos!A:BN,66,0)</f>
        <v>28.715</v>
      </c>
      <c r="BI1488" s="9"/>
      <c r="BJ1488" s="9"/>
    </row>
    <row r="1489" hidden="1">
      <c r="A1489" s="2">
        <v>50.0</v>
      </c>
      <c r="B1489" s="2" t="s">
        <v>1350</v>
      </c>
      <c r="C1489" s="2" t="s">
        <v>1351</v>
      </c>
      <c r="D1489" s="3">
        <v>45836.0</v>
      </c>
      <c r="E1489" s="4">
        <v>0.6666666666666666</v>
      </c>
      <c r="F1489" s="5" t="str">
        <f>VLOOKUP(A1489,Jogos!A:N,10,0)</f>
        <v>Afternoon</v>
      </c>
      <c r="G1489" s="2" t="s">
        <v>1200</v>
      </c>
      <c r="H1489" s="6" t="str">
        <f>VLOOKUP(A1489,Jogos!A:L,12,0)</f>
        <v>Open</v>
      </c>
      <c r="I1489" s="6" t="str">
        <f>VLOOKUP(G1489,'Estádios e Cidades'!A:B,2,0)</f>
        <v>Charlotte</v>
      </c>
      <c r="J1489" s="2" t="s">
        <v>377</v>
      </c>
      <c r="K1489" s="2" t="str">
        <f>VLOOKUP(J1489,Equipes!A:F,6,0)</f>
        <v>Temperate</v>
      </c>
      <c r="L1489" s="2">
        <f>VLOOKUP(J1489,Equipes!A:C,3,0)</f>
        <v>1</v>
      </c>
      <c r="M1489" s="2" t="str">
        <f t="shared" si="4"/>
        <v>Final</v>
      </c>
      <c r="N1489" s="2" t="s">
        <v>441</v>
      </c>
      <c r="O1489" s="2">
        <f>VLOOKUP(N1489,Equipes!A:C,3,0)</f>
        <v>10</v>
      </c>
      <c r="P1489" s="2" t="str">
        <f t="shared" si="5"/>
        <v>Round of 16</v>
      </c>
      <c r="Q1489" s="2">
        <f t="shared" si="6"/>
        <v>-9</v>
      </c>
      <c r="R1489" s="2" t="str">
        <f>VLOOKUP(J1489,Equipes!A:B,2,0)</f>
        <v>Chelsea</v>
      </c>
      <c r="S1489" s="6" t="s">
        <v>381</v>
      </c>
      <c r="T1489" s="7">
        <v>4.0</v>
      </c>
      <c r="U1489" s="7" t="s">
        <v>382</v>
      </c>
      <c r="V1489" s="7" t="str">
        <f>VLOOKUP(U1489,Jogadores!B:C,2,0)</f>
        <v>DF</v>
      </c>
      <c r="W1489" s="8">
        <f>VLOOKUP(U1489,Jogadores!B:D,3,0)</f>
        <v>27.86027397</v>
      </c>
      <c r="X1489" s="7">
        <v>70.0</v>
      </c>
      <c r="Y1489" s="7">
        <f t="shared" ref="Y1489:Y1494" si="4664">45+AB1489+AD1489</f>
        <v>128</v>
      </c>
      <c r="Z1489" s="7">
        <f>VLOOKUP(A1489,Jogos!A:L,3,0)</f>
        <v>49</v>
      </c>
      <c r="AA1489" s="7">
        <f t="shared" si="4563"/>
        <v>0</v>
      </c>
      <c r="AB1489" s="7">
        <f>VLOOKUP(A1489,Jogos!A:L,4,0)</f>
        <v>51</v>
      </c>
      <c r="AC1489" s="7">
        <f t="shared" si="4641"/>
        <v>26</v>
      </c>
      <c r="AD1489" s="7">
        <f>Jogos!$E$51-Jogos!$D$51-Jogos!$C$51</f>
        <v>32</v>
      </c>
      <c r="AE1489" s="7">
        <f t="shared" si="4642"/>
        <v>32</v>
      </c>
      <c r="AF1489" s="7">
        <f t="shared" si="4566"/>
        <v>58</v>
      </c>
      <c r="AG1489" s="7">
        <v>5402.4</v>
      </c>
      <c r="AH1489" s="7">
        <v>2789.7</v>
      </c>
      <c r="AI1489" s="7">
        <v>1890.8</v>
      </c>
      <c r="AJ1489" s="7">
        <v>346.1</v>
      </c>
      <c r="AK1489" s="7">
        <v>225.1</v>
      </c>
      <c r="AL1489" s="7">
        <v>150.8</v>
      </c>
      <c r="AM1489" s="7">
        <v>32.0</v>
      </c>
      <c r="AN1489" s="7">
        <v>18.0</v>
      </c>
      <c r="AO1489" s="7">
        <v>41.3</v>
      </c>
      <c r="AP1489" s="9">
        <f t="shared" ref="AP1489:AR1489" si="4661">AG1489/$AF1489</f>
        <v>93.14482759</v>
      </c>
      <c r="AQ1489" s="9">
        <f t="shared" si="4661"/>
        <v>48.09827586</v>
      </c>
      <c r="AR1489" s="9">
        <f t="shared" si="4661"/>
        <v>32.6</v>
      </c>
      <c r="AS1489" s="9">
        <f t="shared" si="4568"/>
        <v>80.69827586</v>
      </c>
      <c r="AT1489" s="9">
        <f t="shared" ref="AT1489:AV1489" si="4662">AJ1489/$AF1489</f>
        <v>5.967241379</v>
      </c>
      <c r="AU1489" s="9">
        <f t="shared" si="4662"/>
        <v>3.881034483</v>
      </c>
      <c r="AV1489" s="9">
        <f t="shared" si="4662"/>
        <v>2.6</v>
      </c>
      <c r="AW1489" s="9">
        <f t="shared" si="4570"/>
        <v>6.481034483</v>
      </c>
      <c r="AX1489" s="9">
        <f t="shared" ref="AX1489:AY1489" si="4663">AM1489/$AF1489</f>
        <v>0.5517241379</v>
      </c>
      <c r="AY1489" s="9">
        <f t="shared" si="4663"/>
        <v>0.3103448276</v>
      </c>
      <c r="AZ1489" s="9">
        <f>VLOOKUP(A1489,Jogos!A:BN,58,0)</f>
        <v>28.8025</v>
      </c>
      <c r="BA1489" s="9">
        <f>VLOOKUP(A1489,Jogos!A:BN,59,0)</f>
        <v>21.075</v>
      </c>
      <c r="BB1489" s="9">
        <f>VLOOKUP(A1489,Jogos!A:BN,60,0)</f>
        <v>62.75</v>
      </c>
      <c r="BC1489" s="9">
        <f>VLOOKUP(A1489,Jogos!A:BN,61,0)</f>
        <v>28.4425</v>
      </c>
      <c r="BD1489" s="9">
        <f>VLOOKUP(A1489,Jogos!A:BN,62,0)</f>
        <v>321.95</v>
      </c>
      <c r="BE1489" s="9">
        <f>VLOOKUP(A1489,Jogos!A:BN,63,0)</f>
        <v>1.385</v>
      </c>
      <c r="BF1489" s="9">
        <f>VLOOKUP(A1489,Jogos!A:BN,64,0)</f>
        <v>24.495</v>
      </c>
      <c r="BG1489" s="9">
        <f>VLOOKUP(A1489,Jogos!A:BN,65,0)</f>
        <v>43.4425</v>
      </c>
      <c r="BH1489" s="9">
        <f>VLOOKUP(A1489,Jogos!A:BN,66,0)</f>
        <v>28.715</v>
      </c>
      <c r="BI1489" s="9"/>
      <c r="BJ1489" s="9"/>
    </row>
    <row r="1490" hidden="1">
      <c r="A1490" s="2">
        <v>50.0</v>
      </c>
      <c r="B1490" s="2" t="s">
        <v>1350</v>
      </c>
      <c r="C1490" s="2" t="s">
        <v>1351</v>
      </c>
      <c r="D1490" s="3">
        <v>45836.0</v>
      </c>
      <c r="E1490" s="4">
        <v>0.6666666666666666</v>
      </c>
      <c r="F1490" s="5" t="str">
        <f>VLOOKUP(A1490,Jogos!A:N,10,0)</f>
        <v>Afternoon</v>
      </c>
      <c r="G1490" s="2" t="s">
        <v>1200</v>
      </c>
      <c r="H1490" s="6" t="str">
        <f>VLOOKUP(A1490,Jogos!A:L,12,0)</f>
        <v>Open</v>
      </c>
      <c r="I1490" s="6" t="str">
        <f>VLOOKUP(G1490,'Estádios e Cidades'!A:B,2,0)</f>
        <v>Charlotte</v>
      </c>
      <c r="J1490" s="2" t="s">
        <v>377</v>
      </c>
      <c r="K1490" s="2" t="str">
        <f>VLOOKUP(J1490,Equipes!A:F,6,0)</f>
        <v>Temperate</v>
      </c>
      <c r="L1490" s="2">
        <f>VLOOKUP(J1490,Equipes!A:C,3,0)</f>
        <v>1</v>
      </c>
      <c r="M1490" s="2" t="str">
        <f t="shared" si="4"/>
        <v>Final</v>
      </c>
      <c r="N1490" s="2" t="s">
        <v>441</v>
      </c>
      <c r="O1490" s="2">
        <f>VLOOKUP(N1490,Equipes!A:C,3,0)</f>
        <v>10</v>
      </c>
      <c r="P1490" s="2" t="str">
        <f t="shared" si="5"/>
        <v>Round of 16</v>
      </c>
      <c r="Q1490" s="2">
        <f t="shared" si="6"/>
        <v>-9</v>
      </c>
      <c r="R1490" s="2" t="str">
        <f>VLOOKUP(J1490,Equipes!A:B,2,0)</f>
        <v>Chelsea</v>
      </c>
      <c r="S1490" s="6" t="s">
        <v>405</v>
      </c>
      <c r="T1490" s="7">
        <v>18.0</v>
      </c>
      <c r="U1490" s="7" t="s">
        <v>406</v>
      </c>
      <c r="V1490" s="7" t="str">
        <f>VLOOKUP(U1490,Jogadores!B:C,2,0)</f>
        <v>FW</v>
      </c>
      <c r="W1490" s="8">
        <f>VLOOKUP(U1490,Jogadores!B:D,3,0)</f>
        <v>27.72054795</v>
      </c>
      <c r="X1490" s="7">
        <v>81.0</v>
      </c>
      <c r="Y1490" s="7">
        <f t="shared" si="4664"/>
        <v>128</v>
      </c>
      <c r="Z1490" s="7">
        <f>VLOOKUP(A1490,Jogos!A:L,3,0)</f>
        <v>49</v>
      </c>
      <c r="AA1490" s="7">
        <f t="shared" si="4563"/>
        <v>0</v>
      </c>
      <c r="AB1490" s="7">
        <f>VLOOKUP(A1490,Jogos!A:L,4,0)</f>
        <v>51</v>
      </c>
      <c r="AC1490" s="7">
        <f t="shared" si="4641"/>
        <v>15</v>
      </c>
      <c r="AD1490" s="7">
        <f>Jogos!$E$51-Jogos!$D$51-Jogos!$C$51</f>
        <v>32</v>
      </c>
      <c r="AE1490" s="7">
        <f t="shared" si="4642"/>
        <v>32</v>
      </c>
      <c r="AF1490" s="7">
        <f t="shared" si="4566"/>
        <v>47</v>
      </c>
      <c r="AG1490" s="7">
        <v>5384.9</v>
      </c>
      <c r="AH1490" s="7">
        <v>1952.7</v>
      </c>
      <c r="AI1490" s="7">
        <v>2167.8</v>
      </c>
      <c r="AJ1490" s="7">
        <v>816.8</v>
      </c>
      <c r="AK1490" s="7">
        <v>340.7</v>
      </c>
      <c r="AL1490" s="7">
        <v>106.9</v>
      </c>
      <c r="AM1490" s="7">
        <v>72.0</v>
      </c>
      <c r="AN1490" s="7">
        <v>22.0</v>
      </c>
      <c r="AO1490" s="7">
        <v>44.9</v>
      </c>
      <c r="AP1490" s="9">
        <f t="shared" ref="AP1490:AR1490" si="4665">AG1490/$AF1490</f>
        <v>114.5723404</v>
      </c>
      <c r="AQ1490" s="9">
        <f t="shared" si="4665"/>
        <v>41.54680851</v>
      </c>
      <c r="AR1490" s="9">
        <f t="shared" si="4665"/>
        <v>46.12340426</v>
      </c>
      <c r="AS1490" s="9">
        <f t="shared" si="4568"/>
        <v>87.67021277</v>
      </c>
      <c r="AT1490" s="9">
        <f t="shared" ref="AT1490:AV1490" si="4666">AJ1490/$AF1490</f>
        <v>17.3787234</v>
      </c>
      <c r="AU1490" s="9">
        <f t="shared" si="4666"/>
        <v>7.24893617</v>
      </c>
      <c r="AV1490" s="9">
        <f t="shared" si="4666"/>
        <v>2.274468085</v>
      </c>
      <c r="AW1490" s="9">
        <f t="shared" si="4570"/>
        <v>9.523404255</v>
      </c>
      <c r="AX1490" s="9">
        <f t="shared" ref="AX1490:AY1490" si="4667">AM1490/$AF1490</f>
        <v>1.531914894</v>
      </c>
      <c r="AY1490" s="9">
        <f t="shared" si="4667"/>
        <v>0.4680851064</v>
      </c>
      <c r="AZ1490" s="9">
        <f>VLOOKUP(A1490,Jogos!A:BN,58,0)</f>
        <v>28.8025</v>
      </c>
      <c r="BA1490" s="9">
        <f>VLOOKUP(A1490,Jogos!A:BN,59,0)</f>
        <v>21.075</v>
      </c>
      <c r="BB1490" s="9">
        <f>VLOOKUP(A1490,Jogos!A:BN,60,0)</f>
        <v>62.75</v>
      </c>
      <c r="BC1490" s="9">
        <f>VLOOKUP(A1490,Jogos!A:BN,61,0)</f>
        <v>28.4425</v>
      </c>
      <c r="BD1490" s="9">
        <f>VLOOKUP(A1490,Jogos!A:BN,62,0)</f>
        <v>321.95</v>
      </c>
      <c r="BE1490" s="9">
        <f>VLOOKUP(A1490,Jogos!A:BN,63,0)</f>
        <v>1.385</v>
      </c>
      <c r="BF1490" s="9">
        <f>VLOOKUP(A1490,Jogos!A:BN,64,0)</f>
        <v>24.495</v>
      </c>
      <c r="BG1490" s="9">
        <f>VLOOKUP(A1490,Jogos!A:BN,65,0)</f>
        <v>43.4425</v>
      </c>
      <c r="BH1490" s="9">
        <f>VLOOKUP(A1490,Jogos!A:BN,66,0)</f>
        <v>28.715</v>
      </c>
      <c r="BI1490" s="9"/>
      <c r="BJ1490" s="9"/>
    </row>
    <row r="1491" hidden="1">
      <c r="A1491" s="2">
        <v>50.0</v>
      </c>
      <c r="B1491" s="2" t="s">
        <v>1350</v>
      </c>
      <c r="C1491" s="2" t="s">
        <v>1351</v>
      </c>
      <c r="D1491" s="3">
        <v>45836.0</v>
      </c>
      <c r="E1491" s="4">
        <v>0.6666666666666666</v>
      </c>
      <c r="F1491" s="5" t="str">
        <f>VLOOKUP(A1491,Jogos!A:N,10,0)</f>
        <v>Afternoon</v>
      </c>
      <c r="G1491" s="2" t="s">
        <v>1200</v>
      </c>
      <c r="H1491" s="6" t="str">
        <f>VLOOKUP(A1491,Jogos!A:L,12,0)</f>
        <v>Open</v>
      </c>
      <c r="I1491" s="6" t="str">
        <f>VLOOKUP(G1491,'Estádios e Cidades'!A:B,2,0)</f>
        <v>Charlotte</v>
      </c>
      <c r="J1491" s="2" t="s">
        <v>377</v>
      </c>
      <c r="K1491" s="2" t="str">
        <f>VLOOKUP(J1491,Equipes!A:F,6,0)</f>
        <v>Temperate</v>
      </c>
      <c r="L1491" s="2">
        <f>VLOOKUP(J1491,Equipes!A:C,3,0)</f>
        <v>1</v>
      </c>
      <c r="M1491" s="2" t="str">
        <f t="shared" si="4"/>
        <v>Final</v>
      </c>
      <c r="N1491" s="2" t="s">
        <v>441</v>
      </c>
      <c r="O1491" s="2">
        <f>VLOOKUP(N1491,Equipes!A:C,3,0)</f>
        <v>10</v>
      </c>
      <c r="P1491" s="2" t="str">
        <f t="shared" si="5"/>
        <v>Round of 16</v>
      </c>
      <c r="Q1491" s="2">
        <f t="shared" si="6"/>
        <v>-9</v>
      </c>
      <c r="R1491" s="2" t="str">
        <f>VLOOKUP(J1491,Equipes!A:B,2,0)</f>
        <v>Chelsea</v>
      </c>
      <c r="S1491" s="6" t="s">
        <v>1285</v>
      </c>
      <c r="T1491" s="7">
        <v>22.0</v>
      </c>
      <c r="U1491" s="7" t="s">
        <v>1286</v>
      </c>
      <c r="V1491" s="7" t="str">
        <f>VLOOKUP(U1491,Jogadores!B:C,2,0)</f>
        <v>MF</v>
      </c>
      <c r="W1491" s="8">
        <f>VLOOKUP(U1491,Jogadores!B:D,3,0)</f>
        <v>26.90958904</v>
      </c>
      <c r="X1491" s="7">
        <v>81.0</v>
      </c>
      <c r="Y1491" s="7">
        <f t="shared" si="4664"/>
        <v>128</v>
      </c>
      <c r="Z1491" s="7">
        <f>VLOOKUP(A1491,Jogos!A:L,3,0)</f>
        <v>49</v>
      </c>
      <c r="AA1491" s="7">
        <f t="shared" si="4563"/>
        <v>0</v>
      </c>
      <c r="AB1491" s="7">
        <f>VLOOKUP(A1491,Jogos!A:L,4,0)</f>
        <v>51</v>
      </c>
      <c r="AC1491" s="7">
        <f t="shared" si="4641"/>
        <v>15</v>
      </c>
      <c r="AD1491" s="7">
        <f>Jogos!$E$51-Jogos!$D$51-Jogos!$C$51</f>
        <v>32</v>
      </c>
      <c r="AE1491" s="7">
        <f t="shared" si="4642"/>
        <v>32</v>
      </c>
      <c r="AF1491" s="7">
        <f t="shared" si="4566"/>
        <v>47</v>
      </c>
      <c r="AG1491" s="7">
        <v>5726.4</v>
      </c>
      <c r="AH1491" s="7">
        <v>2267.9</v>
      </c>
      <c r="AI1491" s="7">
        <v>1989.8</v>
      </c>
      <c r="AJ1491" s="7">
        <v>895.1</v>
      </c>
      <c r="AK1491" s="7">
        <v>443.2</v>
      </c>
      <c r="AL1491" s="7">
        <v>130.4</v>
      </c>
      <c r="AM1491" s="7">
        <v>79.0</v>
      </c>
      <c r="AN1491" s="7">
        <v>32.0</v>
      </c>
      <c r="AO1491" s="7">
        <v>44.0</v>
      </c>
      <c r="AP1491" s="9">
        <f t="shared" ref="AP1491:AR1491" si="4668">AG1491/$AF1491</f>
        <v>121.8382979</v>
      </c>
      <c r="AQ1491" s="9">
        <f t="shared" si="4668"/>
        <v>48.25319149</v>
      </c>
      <c r="AR1491" s="9">
        <f t="shared" si="4668"/>
        <v>42.33617021</v>
      </c>
      <c r="AS1491" s="9">
        <f t="shared" si="4568"/>
        <v>90.5893617</v>
      </c>
      <c r="AT1491" s="9">
        <f t="shared" ref="AT1491:AV1491" si="4669">AJ1491/$AF1491</f>
        <v>19.04468085</v>
      </c>
      <c r="AU1491" s="9">
        <f t="shared" si="4669"/>
        <v>9.429787234</v>
      </c>
      <c r="AV1491" s="9">
        <f t="shared" si="4669"/>
        <v>2.774468085</v>
      </c>
      <c r="AW1491" s="9">
        <f t="shared" si="4570"/>
        <v>12.20425532</v>
      </c>
      <c r="AX1491" s="9">
        <f t="shared" ref="AX1491:AY1491" si="4670">AM1491/$AF1491</f>
        <v>1.680851064</v>
      </c>
      <c r="AY1491" s="9">
        <f t="shared" si="4670"/>
        <v>0.6808510638</v>
      </c>
      <c r="AZ1491" s="9">
        <f>VLOOKUP(A1491,Jogos!A:BN,58,0)</f>
        <v>28.8025</v>
      </c>
      <c r="BA1491" s="9">
        <f>VLOOKUP(A1491,Jogos!A:BN,59,0)</f>
        <v>21.075</v>
      </c>
      <c r="BB1491" s="9">
        <f>VLOOKUP(A1491,Jogos!A:BN,60,0)</f>
        <v>62.75</v>
      </c>
      <c r="BC1491" s="9">
        <f>VLOOKUP(A1491,Jogos!A:BN,61,0)</f>
        <v>28.4425</v>
      </c>
      <c r="BD1491" s="9">
        <f>VLOOKUP(A1491,Jogos!A:BN,62,0)</f>
        <v>321.95</v>
      </c>
      <c r="BE1491" s="9">
        <f>VLOOKUP(A1491,Jogos!A:BN,63,0)</f>
        <v>1.385</v>
      </c>
      <c r="BF1491" s="9">
        <f>VLOOKUP(A1491,Jogos!A:BN,64,0)</f>
        <v>24.495</v>
      </c>
      <c r="BG1491" s="9">
        <f>VLOOKUP(A1491,Jogos!A:BN,65,0)</f>
        <v>43.4425</v>
      </c>
      <c r="BH1491" s="9">
        <f>VLOOKUP(A1491,Jogos!A:BN,66,0)</f>
        <v>28.715</v>
      </c>
      <c r="BI1491" s="9"/>
      <c r="BJ1491" s="9"/>
    </row>
    <row r="1492" hidden="1">
      <c r="A1492" s="2">
        <v>50.0</v>
      </c>
      <c r="B1492" s="2" t="s">
        <v>1350</v>
      </c>
      <c r="C1492" s="2" t="s">
        <v>1351</v>
      </c>
      <c r="D1492" s="3">
        <v>45836.0</v>
      </c>
      <c r="E1492" s="4">
        <v>0.6666666666666666</v>
      </c>
      <c r="F1492" s="5" t="str">
        <f>VLOOKUP(A1492,Jogos!A:N,10,0)</f>
        <v>Afternoon</v>
      </c>
      <c r="G1492" s="2" t="s">
        <v>1200</v>
      </c>
      <c r="H1492" s="6" t="str">
        <f>VLOOKUP(A1492,Jogos!A:L,12,0)</f>
        <v>Open</v>
      </c>
      <c r="I1492" s="6" t="str">
        <f>VLOOKUP(G1492,'Estádios e Cidades'!A:B,2,0)</f>
        <v>Charlotte</v>
      </c>
      <c r="J1492" s="2" t="s">
        <v>377</v>
      </c>
      <c r="K1492" s="2" t="str">
        <f>VLOOKUP(J1492,Equipes!A:F,6,0)</f>
        <v>Temperate</v>
      </c>
      <c r="L1492" s="2">
        <f>VLOOKUP(J1492,Equipes!A:C,3,0)</f>
        <v>1</v>
      </c>
      <c r="M1492" s="2" t="str">
        <f t="shared" si="4"/>
        <v>Final</v>
      </c>
      <c r="N1492" s="2" t="s">
        <v>441</v>
      </c>
      <c r="O1492" s="2">
        <f>VLOOKUP(N1492,Equipes!A:C,3,0)</f>
        <v>10</v>
      </c>
      <c r="P1492" s="2" t="str">
        <f t="shared" si="5"/>
        <v>Round of 16</v>
      </c>
      <c r="Q1492" s="2">
        <f t="shared" si="6"/>
        <v>-9</v>
      </c>
      <c r="R1492" s="2" t="str">
        <f>VLOOKUP(J1492,Equipes!A:B,2,0)</f>
        <v>Chelsea</v>
      </c>
      <c r="S1492" s="6" t="s">
        <v>1126</v>
      </c>
      <c r="T1492" s="7">
        <v>23.0</v>
      </c>
      <c r="U1492" s="7" t="s">
        <v>1127</v>
      </c>
      <c r="V1492" s="7" t="str">
        <f>VLOOKUP(U1492,Jogadores!B:C,2,0)</f>
        <v>DF</v>
      </c>
      <c r="W1492" s="8">
        <f>VLOOKUP(U1492,Jogadores!B:D,3,0)</f>
        <v>26.08219178</v>
      </c>
      <c r="X1492" s="7">
        <v>86.0</v>
      </c>
      <c r="Y1492" s="7">
        <f t="shared" si="4664"/>
        <v>128</v>
      </c>
      <c r="Z1492" s="7">
        <f>VLOOKUP(A1492,Jogos!A:L,3,0)</f>
        <v>49</v>
      </c>
      <c r="AA1492" s="7">
        <f t="shared" si="4563"/>
        <v>0</v>
      </c>
      <c r="AB1492" s="7">
        <f>VLOOKUP(A1492,Jogos!A:L,4,0)</f>
        <v>51</v>
      </c>
      <c r="AC1492" s="7">
        <f t="shared" si="4641"/>
        <v>10</v>
      </c>
      <c r="AD1492" s="7">
        <f>Jogos!$E$51-Jogos!$D$51-Jogos!$C$51</f>
        <v>32</v>
      </c>
      <c r="AE1492" s="7">
        <f t="shared" si="4642"/>
        <v>32</v>
      </c>
      <c r="AF1492" s="7">
        <f t="shared" si="4566"/>
        <v>42</v>
      </c>
      <c r="AG1492" s="7">
        <v>4267.2</v>
      </c>
      <c r="AH1492" s="7">
        <v>2115.6</v>
      </c>
      <c r="AI1492" s="7">
        <v>1595.7</v>
      </c>
      <c r="AJ1492" s="7">
        <v>339.2</v>
      </c>
      <c r="AK1492" s="7">
        <v>117.3</v>
      </c>
      <c r="AL1492" s="7">
        <v>99.4</v>
      </c>
      <c r="AM1492" s="7">
        <v>32.0</v>
      </c>
      <c r="AN1492" s="7">
        <v>8.0</v>
      </c>
      <c r="AO1492" s="7">
        <v>32.1</v>
      </c>
      <c r="AP1492" s="9">
        <f t="shared" ref="AP1492:AR1492" si="4671">AG1492/$AF1492</f>
        <v>101.6</v>
      </c>
      <c r="AQ1492" s="9">
        <f t="shared" si="4671"/>
        <v>50.37142857</v>
      </c>
      <c r="AR1492" s="9">
        <f t="shared" si="4671"/>
        <v>37.99285714</v>
      </c>
      <c r="AS1492" s="9">
        <f t="shared" si="4568"/>
        <v>88.36428571</v>
      </c>
      <c r="AT1492" s="9">
        <f t="shared" ref="AT1492:AV1492" si="4672">AJ1492/$AF1492</f>
        <v>8.076190476</v>
      </c>
      <c r="AU1492" s="9">
        <f t="shared" si="4672"/>
        <v>2.792857143</v>
      </c>
      <c r="AV1492" s="9">
        <f t="shared" si="4672"/>
        <v>2.366666667</v>
      </c>
      <c r="AW1492" s="9">
        <f t="shared" si="4570"/>
        <v>5.15952381</v>
      </c>
      <c r="AX1492" s="9">
        <f t="shared" ref="AX1492:AY1492" si="4673">AM1492/$AF1492</f>
        <v>0.7619047619</v>
      </c>
      <c r="AY1492" s="9">
        <f t="shared" si="4673"/>
        <v>0.1904761905</v>
      </c>
      <c r="AZ1492" s="9">
        <f>VLOOKUP(A1492,Jogos!A:BN,58,0)</f>
        <v>28.8025</v>
      </c>
      <c r="BA1492" s="9">
        <f>VLOOKUP(A1492,Jogos!A:BN,59,0)</f>
        <v>21.075</v>
      </c>
      <c r="BB1492" s="9">
        <f>VLOOKUP(A1492,Jogos!A:BN,60,0)</f>
        <v>62.75</v>
      </c>
      <c r="BC1492" s="9">
        <f>VLOOKUP(A1492,Jogos!A:BN,61,0)</f>
        <v>28.4425</v>
      </c>
      <c r="BD1492" s="9">
        <f>VLOOKUP(A1492,Jogos!A:BN,62,0)</f>
        <v>321.95</v>
      </c>
      <c r="BE1492" s="9">
        <f>VLOOKUP(A1492,Jogos!A:BN,63,0)</f>
        <v>1.385</v>
      </c>
      <c r="BF1492" s="9">
        <f>VLOOKUP(A1492,Jogos!A:BN,64,0)</f>
        <v>24.495</v>
      </c>
      <c r="BG1492" s="9">
        <f>VLOOKUP(A1492,Jogos!A:BN,65,0)</f>
        <v>43.4425</v>
      </c>
      <c r="BH1492" s="9">
        <f>VLOOKUP(A1492,Jogos!A:BN,66,0)</f>
        <v>28.715</v>
      </c>
      <c r="BI1492" s="9"/>
      <c r="BJ1492" s="9"/>
    </row>
    <row r="1493" hidden="1">
      <c r="A1493" s="2">
        <v>50.0</v>
      </c>
      <c r="B1493" s="2" t="s">
        <v>1350</v>
      </c>
      <c r="C1493" s="2" t="s">
        <v>1351</v>
      </c>
      <c r="D1493" s="3">
        <v>45836.0</v>
      </c>
      <c r="E1493" s="4">
        <v>0.6666666666666666</v>
      </c>
      <c r="F1493" s="5" t="str">
        <f>VLOOKUP(A1493,Jogos!A:N,10,0)</f>
        <v>Afternoon</v>
      </c>
      <c r="G1493" s="2" t="s">
        <v>1200</v>
      </c>
      <c r="H1493" s="6" t="str">
        <f>VLOOKUP(A1493,Jogos!A:L,12,0)</f>
        <v>Open</v>
      </c>
      <c r="I1493" s="6" t="str">
        <f>VLOOKUP(G1493,'Estádios e Cidades'!A:B,2,0)</f>
        <v>Charlotte</v>
      </c>
      <c r="J1493" s="2" t="s">
        <v>377</v>
      </c>
      <c r="K1493" s="2" t="str">
        <f>VLOOKUP(J1493,Equipes!A:F,6,0)</f>
        <v>Temperate</v>
      </c>
      <c r="L1493" s="2">
        <f>VLOOKUP(J1493,Equipes!A:C,3,0)</f>
        <v>1</v>
      </c>
      <c r="M1493" s="2" t="str">
        <f t="shared" si="4"/>
        <v>Final</v>
      </c>
      <c r="N1493" s="2" t="s">
        <v>441</v>
      </c>
      <c r="O1493" s="2">
        <f>VLOOKUP(N1493,Equipes!A:C,3,0)</f>
        <v>10</v>
      </c>
      <c r="P1493" s="2" t="str">
        <f t="shared" si="5"/>
        <v>Round of 16</v>
      </c>
      <c r="Q1493" s="2">
        <f t="shared" si="6"/>
        <v>-9</v>
      </c>
      <c r="R1493" s="2" t="str">
        <f>VLOOKUP(J1493,Equipes!A:B,2,0)</f>
        <v>Chelsea</v>
      </c>
      <c r="S1493" s="6" t="s">
        <v>407</v>
      </c>
      <c r="T1493" s="7">
        <v>27.0</v>
      </c>
      <c r="U1493" s="7" t="s">
        <v>408</v>
      </c>
      <c r="V1493" s="7" t="str">
        <f>VLOOKUP(U1493,Jogadores!B:C,2,0)</f>
        <v>DF</v>
      </c>
      <c r="W1493" s="8">
        <f>VLOOKUP(U1493,Jogadores!B:D,3,0)</f>
        <v>22.20821918</v>
      </c>
      <c r="X1493" s="7">
        <v>80.0</v>
      </c>
      <c r="Y1493" s="7">
        <f t="shared" si="4664"/>
        <v>128</v>
      </c>
      <c r="Z1493" s="7">
        <f>VLOOKUP(A1493,Jogos!A:L,3,0)</f>
        <v>49</v>
      </c>
      <c r="AA1493" s="7">
        <f t="shared" si="4563"/>
        <v>0</v>
      </c>
      <c r="AB1493" s="7">
        <f>VLOOKUP(A1493,Jogos!A:L,4,0)</f>
        <v>51</v>
      </c>
      <c r="AC1493" s="7">
        <f t="shared" si="4641"/>
        <v>16</v>
      </c>
      <c r="AD1493" s="7">
        <f>Jogos!$E$51-Jogos!$D$51-Jogos!$C$51</f>
        <v>32</v>
      </c>
      <c r="AE1493" s="7">
        <f t="shared" si="4642"/>
        <v>32</v>
      </c>
      <c r="AF1493" s="7">
        <f t="shared" si="4566"/>
        <v>48</v>
      </c>
      <c r="AG1493" s="7">
        <v>5810.0</v>
      </c>
      <c r="AH1493" s="7">
        <v>1892.9</v>
      </c>
      <c r="AI1493" s="7">
        <v>2499.5</v>
      </c>
      <c r="AJ1493" s="7">
        <v>767.3</v>
      </c>
      <c r="AK1493" s="7">
        <v>385.7</v>
      </c>
      <c r="AL1493" s="7">
        <v>264.6</v>
      </c>
      <c r="AM1493" s="7">
        <v>76.0</v>
      </c>
      <c r="AN1493" s="7">
        <v>33.0</v>
      </c>
      <c r="AO1493" s="7">
        <v>43.6</v>
      </c>
      <c r="AP1493" s="9">
        <f t="shared" ref="AP1493:AR1493" si="4674">AG1493/$AF1493</f>
        <v>121.0416667</v>
      </c>
      <c r="AQ1493" s="9">
        <f t="shared" si="4674"/>
        <v>39.43541667</v>
      </c>
      <c r="AR1493" s="9">
        <f t="shared" si="4674"/>
        <v>52.07291667</v>
      </c>
      <c r="AS1493" s="9">
        <f t="shared" si="4568"/>
        <v>91.50833333</v>
      </c>
      <c r="AT1493" s="9">
        <f t="shared" ref="AT1493:AV1493" si="4675">AJ1493/$AF1493</f>
        <v>15.98541667</v>
      </c>
      <c r="AU1493" s="9">
        <f t="shared" si="4675"/>
        <v>8.035416667</v>
      </c>
      <c r="AV1493" s="9">
        <f t="shared" si="4675"/>
        <v>5.5125</v>
      </c>
      <c r="AW1493" s="9">
        <f t="shared" si="4570"/>
        <v>13.54791667</v>
      </c>
      <c r="AX1493" s="9">
        <f t="shared" ref="AX1493:AY1493" si="4676">AM1493/$AF1493</f>
        <v>1.583333333</v>
      </c>
      <c r="AY1493" s="9">
        <f t="shared" si="4676"/>
        <v>0.6875</v>
      </c>
      <c r="AZ1493" s="9">
        <f>VLOOKUP(A1493,Jogos!A:BN,58,0)</f>
        <v>28.8025</v>
      </c>
      <c r="BA1493" s="9">
        <f>VLOOKUP(A1493,Jogos!A:BN,59,0)</f>
        <v>21.075</v>
      </c>
      <c r="BB1493" s="9">
        <f>VLOOKUP(A1493,Jogos!A:BN,60,0)</f>
        <v>62.75</v>
      </c>
      <c r="BC1493" s="9">
        <f>VLOOKUP(A1493,Jogos!A:BN,61,0)</f>
        <v>28.4425</v>
      </c>
      <c r="BD1493" s="9">
        <f>VLOOKUP(A1493,Jogos!A:BN,62,0)</f>
        <v>321.95</v>
      </c>
      <c r="BE1493" s="9">
        <f>VLOOKUP(A1493,Jogos!A:BN,63,0)</f>
        <v>1.385</v>
      </c>
      <c r="BF1493" s="9">
        <f>VLOOKUP(A1493,Jogos!A:BN,64,0)</f>
        <v>24.495</v>
      </c>
      <c r="BG1493" s="9">
        <f>VLOOKUP(A1493,Jogos!A:BN,65,0)</f>
        <v>43.4425</v>
      </c>
      <c r="BH1493" s="9">
        <f>VLOOKUP(A1493,Jogos!A:BN,66,0)</f>
        <v>28.715</v>
      </c>
      <c r="BI1493" s="9"/>
      <c r="BJ1493" s="9"/>
    </row>
    <row r="1494" hidden="1">
      <c r="A1494" s="2">
        <v>50.0</v>
      </c>
      <c r="B1494" s="2" t="s">
        <v>1350</v>
      </c>
      <c r="C1494" s="2" t="s">
        <v>1351</v>
      </c>
      <c r="D1494" s="3">
        <v>45836.0</v>
      </c>
      <c r="E1494" s="4">
        <v>0.6666666666666666</v>
      </c>
      <c r="F1494" s="5" t="str">
        <f>VLOOKUP(A1494,Jogos!A:N,10,0)</f>
        <v>Afternoon</v>
      </c>
      <c r="G1494" s="2" t="s">
        <v>1200</v>
      </c>
      <c r="H1494" s="6" t="str">
        <f>VLOOKUP(A1494,Jogos!A:L,12,0)</f>
        <v>Open</v>
      </c>
      <c r="I1494" s="6" t="str">
        <f>VLOOKUP(G1494,'Estádios e Cidades'!A:B,2,0)</f>
        <v>Charlotte</v>
      </c>
      <c r="J1494" s="2" t="s">
        <v>377</v>
      </c>
      <c r="K1494" s="2" t="str">
        <f>VLOOKUP(J1494,Equipes!A:F,6,0)</f>
        <v>Temperate</v>
      </c>
      <c r="L1494" s="2">
        <f>VLOOKUP(J1494,Equipes!A:C,3,0)</f>
        <v>1</v>
      </c>
      <c r="M1494" s="2" t="str">
        <f t="shared" si="4"/>
        <v>Final</v>
      </c>
      <c r="N1494" s="2" t="s">
        <v>441</v>
      </c>
      <c r="O1494" s="2">
        <f>VLOOKUP(N1494,Equipes!A:C,3,0)</f>
        <v>10</v>
      </c>
      <c r="P1494" s="2" t="str">
        <f t="shared" si="5"/>
        <v>Round of 16</v>
      </c>
      <c r="Q1494" s="2">
        <f t="shared" si="6"/>
        <v>-9</v>
      </c>
      <c r="R1494" s="2" t="str">
        <f>VLOOKUP(J1494,Equipes!A:B,2,0)</f>
        <v>Chelsea</v>
      </c>
      <c r="S1494" s="6" t="s">
        <v>1364</v>
      </c>
      <c r="T1494" s="7">
        <v>30.0</v>
      </c>
      <c r="U1494" s="7" t="s">
        <v>1365</v>
      </c>
      <c r="V1494" s="7" t="str">
        <f>VLOOKUP(U1494,Jogadores!B:C,2,0)</f>
        <v>DF</v>
      </c>
      <c r="W1494" s="8">
        <f>VLOOKUP(U1494,Jogadores!B:D,3,0)</f>
        <v>20.26027397</v>
      </c>
      <c r="X1494" s="7">
        <v>118.0</v>
      </c>
      <c r="Y1494" s="7">
        <f t="shared" si="4664"/>
        <v>128</v>
      </c>
      <c r="Z1494" s="7">
        <f>VLOOKUP(A1494,Jogos!A:L,3,0)</f>
        <v>49</v>
      </c>
      <c r="AA1494" s="7">
        <f t="shared" si="4563"/>
        <v>0</v>
      </c>
      <c r="AB1494" s="7">
        <f>VLOOKUP(A1494,Jogos!A:L,4,0)</f>
        <v>51</v>
      </c>
      <c r="AC1494" s="7">
        <f t="shared" si="4641"/>
        <v>0</v>
      </c>
      <c r="AD1494" s="7">
        <f>Jogos!$E$51-Jogos!$D$51-Jogos!$C$51</f>
        <v>32</v>
      </c>
      <c r="AE1494" s="7">
        <f t="shared" si="4642"/>
        <v>4</v>
      </c>
      <c r="AF1494" s="7">
        <f t="shared" si="4566"/>
        <v>4</v>
      </c>
      <c r="AG1494" s="7">
        <v>352.0</v>
      </c>
      <c r="AH1494" s="7">
        <v>146.1</v>
      </c>
      <c r="AI1494" s="7">
        <v>158.7</v>
      </c>
      <c r="AJ1494" s="7">
        <v>47.3</v>
      </c>
      <c r="AK1494" s="7">
        <v>19.2</v>
      </c>
      <c r="AL1494" s="7"/>
      <c r="AM1494" s="7"/>
      <c r="AN1494" s="7"/>
      <c r="AO1494" s="7"/>
      <c r="AP1494" s="9">
        <f t="shared" ref="AP1494:AR1494" si="4677">AG1494/$AF1494</f>
        <v>88</v>
      </c>
      <c r="AQ1494" s="9">
        <f t="shared" si="4677"/>
        <v>36.525</v>
      </c>
      <c r="AR1494" s="9">
        <f t="shared" si="4677"/>
        <v>39.675</v>
      </c>
      <c r="AS1494" s="9">
        <f t="shared" si="4568"/>
        <v>76.2</v>
      </c>
      <c r="AT1494" s="9">
        <f t="shared" ref="AT1494:AV1494" si="4678">AJ1494/$AF1494</f>
        <v>11.825</v>
      </c>
      <c r="AU1494" s="9">
        <f t="shared" si="4678"/>
        <v>4.8</v>
      </c>
      <c r="AV1494" s="9">
        <f t="shared" si="4678"/>
        <v>0</v>
      </c>
      <c r="AW1494" s="9">
        <f t="shared" si="4570"/>
        <v>4.8</v>
      </c>
      <c r="AX1494" s="9">
        <f t="shared" ref="AX1494:AY1494" si="4679">AM1494/$AF1494</f>
        <v>0</v>
      </c>
      <c r="AY1494" s="9">
        <f t="shared" si="4679"/>
        <v>0</v>
      </c>
      <c r="AZ1494" s="9">
        <f>VLOOKUP(A1494,Jogos!A:BN,58,0)</f>
        <v>28.8025</v>
      </c>
      <c r="BA1494" s="9">
        <f>VLOOKUP(A1494,Jogos!A:BN,59,0)</f>
        <v>21.075</v>
      </c>
      <c r="BB1494" s="9">
        <f>VLOOKUP(A1494,Jogos!A:BN,60,0)</f>
        <v>62.75</v>
      </c>
      <c r="BC1494" s="9">
        <f>VLOOKUP(A1494,Jogos!A:BN,61,0)</f>
        <v>28.4425</v>
      </c>
      <c r="BD1494" s="9">
        <f>VLOOKUP(A1494,Jogos!A:BN,62,0)</f>
        <v>321.95</v>
      </c>
      <c r="BE1494" s="9">
        <f>VLOOKUP(A1494,Jogos!A:BN,63,0)</f>
        <v>1.385</v>
      </c>
      <c r="BF1494" s="9">
        <f>VLOOKUP(A1494,Jogos!A:BN,64,0)</f>
        <v>24.495</v>
      </c>
      <c r="BG1494" s="9">
        <f>VLOOKUP(A1494,Jogos!A:BN,65,0)</f>
        <v>43.4425</v>
      </c>
      <c r="BH1494" s="9">
        <f>VLOOKUP(A1494,Jogos!A:BN,66,0)</f>
        <v>28.715</v>
      </c>
      <c r="BI1494" s="9"/>
      <c r="BJ1494" s="9"/>
    </row>
    <row r="1495" hidden="1">
      <c r="A1495" s="2">
        <v>51.0</v>
      </c>
      <c r="B1495" s="2" t="s">
        <v>1350</v>
      </c>
      <c r="C1495" s="2" t="s">
        <v>1351</v>
      </c>
      <c r="D1495" s="3">
        <v>45837.0</v>
      </c>
      <c r="E1495" s="4">
        <v>0.5</v>
      </c>
      <c r="F1495" s="5" t="str">
        <f>VLOOKUP(A1495,Jogos!A:N,10,0)</f>
        <v>Afternoon</v>
      </c>
      <c r="G1495" s="2" t="s">
        <v>376</v>
      </c>
      <c r="H1495" s="6" t="str">
        <f>VLOOKUP(A1495,Jogos!A:L,12,0)</f>
        <v>Closed</v>
      </c>
      <c r="I1495" s="6" t="str">
        <f>VLOOKUP(G1495,'Estádios e Cidades'!A:B,2,0)</f>
        <v>Atlanta</v>
      </c>
      <c r="J1495" s="2" t="s">
        <v>187</v>
      </c>
      <c r="K1495" s="2" t="str">
        <f>VLOOKUP(J1495,Equipes!A:F,6,0)</f>
        <v>Temperate</v>
      </c>
      <c r="L1495" s="2">
        <f>VLOOKUP(J1495,Equipes!A:C,3,0)</f>
        <v>2</v>
      </c>
      <c r="M1495" s="2" t="str">
        <f t="shared" si="4"/>
        <v>Final</v>
      </c>
      <c r="N1495" s="2" t="s">
        <v>64</v>
      </c>
      <c r="O1495" s="2">
        <f>VLOOKUP(N1495,Equipes!A:C,3,0)</f>
        <v>16</v>
      </c>
      <c r="P1495" s="2" t="str">
        <f t="shared" si="5"/>
        <v>Round of 16</v>
      </c>
      <c r="Q1495" s="2">
        <f t="shared" si="6"/>
        <v>-14</v>
      </c>
      <c r="R1495" s="2" t="str">
        <f>VLOOKUP(J1495,Equipes!A:B,2,0)</f>
        <v>PSG</v>
      </c>
      <c r="S1495" s="6" t="s">
        <v>189</v>
      </c>
      <c r="T1495" s="7">
        <v>2.0</v>
      </c>
      <c r="U1495" s="7" t="s">
        <v>190</v>
      </c>
      <c r="V1495" s="7" t="str">
        <f>VLOOKUP(U1495,Jogadores!B:C,2,0)</f>
        <v>DF</v>
      </c>
      <c r="W1495" s="8">
        <f>VLOOKUP(U1495,Jogadores!B:D,3,0)</f>
        <v>26.74794521</v>
      </c>
      <c r="X1495" s="7">
        <v>0.0</v>
      </c>
      <c r="Y1495" s="7">
        <v>70.0</v>
      </c>
      <c r="Z1495" s="7">
        <f>VLOOKUP(A1495,Jogos!A:L,3,0)</f>
        <v>48</v>
      </c>
      <c r="AA1495" s="7">
        <f t="shared" si="4563"/>
        <v>48</v>
      </c>
      <c r="AB1495" s="7">
        <f>VLOOKUP(A1495,Jogos!A:L,4,0)</f>
        <v>47</v>
      </c>
      <c r="AC1495" s="7">
        <f t="shared" ref="AC1495:AC1523" si="4683">IF(X1495&lt;45,if(Y1495&lt;=45,0,Y1495-45),Y1495-X1495)</f>
        <v>25</v>
      </c>
      <c r="AD1495" s="7"/>
      <c r="AE1495" s="7"/>
      <c r="AF1495" s="7">
        <f t="shared" si="4566"/>
        <v>73</v>
      </c>
      <c r="AG1495" s="7">
        <v>8392.3</v>
      </c>
      <c r="AH1495" s="7">
        <v>2898.8</v>
      </c>
      <c r="AI1495" s="7">
        <v>3384.4</v>
      </c>
      <c r="AJ1495" s="7">
        <v>1386.2</v>
      </c>
      <c r="AK1495" s="7">
        <v>525.8</v>
      </c>
      <c r="AL1495" s="7">
        <v>197.2</v>
      </c>
      <c r="AM1495" s="7">
        <v>117.0</v>
      </c>
      <c r="AN1495" s="7">
        <v>46.0</v>
      </c>
      <c r="AO1495" s="7">
        <v>33.9</v>
      </c>
      <c r="AP1495" s="9">
        <f t="shared" ref="AP1495:AR1495" si="4680">AG1495/$AF1495</f>
        <v>114.9630137</v>
      </c>
      <c r="AQ1495" s="9">
        <f t="shared" si="4680"/>
        <v>39.70958904</v>
      </c>
      <c r="AR1495" s="9">
        <f t="shared" si="4680"/>
        <v>46.36164384</v>
      </c>
      <c r="AS1495" s="9">
        <f t="shared" si="4568"/>
        <v>86.07123288</v>
      </c>
      <c r="AT1495" s="9">
        <f t="shared" ref="AT1495:AV1495" si="4681">AJ1495/$AF1495</f>
        <v>18.9890411</v>
      </c>
      <c r="AU1495" s="9">
        <f t="shared" si="4681"/>
        <v>7.202739726</v>
      </c>
      <c r="AV1495" s="9">
        <f t="shared" si="4681"/>
        <v>2.701369863</v>
      </c>
      <c r="AW1495" s="9">
        <f t="shared" si="4570"/>
        <v>9.904109589</v>
      </c>
      <c r="AX1495" s="9">
        <f t="shared" ref="AX1495:AY1495" si="4682">AM1495/$AF1495</f>
        <v>1.602739726</v>
      </c>
      <c r="AY1495" s="9">
        <f t="shared" si="4682"/>
        <v>0.6301369863</v>
      </c>
      <c r="AZ1495" s="9">
        <f>VLOOKUP(A1495,Jogos!A:BN,58,0)</f>
        <v>30</v>
      </c>
      <c r="BA1495" s="9">
        <f>VLOOKUP(A1495,Jogos!A:BN,59,0)</f>
        <v>20.57</v>
      </c>
      <c r="BB1495" s="9">
        <f>VLOOKUP(A1495,Jogos!A:BN,60,0)</f>
        <v>56.5</v>
      </c>
      <c r="BC1495" s="9">
        <f>VLOOKUP(A1495,Jogos!A:BN,61,0)</f>
        <v>30.35</v>
      </c>
      <c r="BD1495" s="9">
        <f>VLOOKUP(A1495,Jogos!A:BN,62,0)</f>
        <v>762.85</v>
      </c>
      <c r="BE1495" s="9">
        <f>VLOOKUP(A1495,Jogos!A:BN,63,0)</f>
        <v>1.065</v>
      </c>
      <c r="BF1495" s="9">
        <f>VLOOKUP(A1495,Jogos!A:BN,64,0)</f>
        <v>24.835</v>
      </c>
      <c r="BG1495" s="9">
        <f>VLOOKUP(A1495,Jogos!A:BN,65,0)</f>
        <v>44.91</v>
      </c>
      <c r="BH1495" s="9">
        <f>VLOOKUP(A1495,Jogos!A:BN,66,0)</f>
        <v>29.365</v>
      </c>
      <c r="BI1495" s="9"/>
      <c r="BJ1495" s="9"/>
    </row>
    <row r="1496" hidden="1">
      <c r="A1496" s="2">
        <v>51.0</v>
      </c>
      <c r="B1496" s="2" t="s">
        <v>1350</v>
      </c>
      <c r="C1496" s="2" t="s">
        <v>1351</v>
      </c>
      <c r="D1496" s="3">
        <v>45837.0</v>
      </c>
      <c r="E1496" s="4">
        <v>0.5</v>
      </c>
      <c r="F1496" s="5" t="str">
        <f>VLOOKUP(A1496,Jogos!A:N,10,0)</f>
        <v>Afternoon</v>
      </c>
      <c r="G1496" s="2" t="s">
        <v>376</v>
      </c>
      <c r="H1496" s="6" t="str">
        <f>VLOOKUP(A1496,Jogos!A:L,12,0)</f>
        <v>Closed</v>
      </c>
      <c r="I1496" s="6" t="str">
        <f>VLOOKUP(G1496,'Estádios e Cidades'!A:B,2,0)</f>
        <v>Atlanta</v>
      </c>
      <c r="J1496" s="2" t="s">
        <v>187</v>
      </c>
      <c r="K1496" s="2" t="str">
        <f>VLOOKUP(J1496,Equipes!A:F,6,0)</f>
        <v>Temperate</v>
      </c>
      <c r="L1496" s="2">
        <f>VLOOKUP(J1496,Equipes!A:C,3,0)</f>
        <v>2</v>
      </c>
      <c r="M1496" s="2" t="str">
        <f t="shared" si="4"/>
        <v>Final</v>
      </c>
      <c r="N1496" s="2" t="s">
        <v>64</v>
      </c>
      <c r="O1496" s="2">
        <f>VLOOKUP(N1496,Equipes!A:C,3,0)</f>
        <v>16</v>
      </c>
      <c r="P1496" s="2" t="str">
        <f t="shared" si="5"/>
        <v>Round of 16</v>
      </c>
      <c r="Q1496" s="2">
        <f t="shared" si="6"/>
        <v>-14</v>
      </c>
      <c r="R1496" s="2" t="str">
        <f>VLOOKUP(J1496,Equipes!A:B,2,0)</f>
        <v>PSG</v>
      </c>
      <c r="S1496" s="6" t="s">
        <v>191</v>
      </c>
      <c r="T1496" s="7">
        <v>5.0</v>
      </c>
      <c r="U1496" s="7" t="s">
        <v>192</v>
      </c>
      <c r="V1496" s="7" t="str">
        <f>VLOOKUP(U1496,Jogadores!B:C,2,0)</f>
        <v>DF</v>
      </c>
      <c r="W1496" s="8">
        <f>VLOOKUP(U1496,Jogadores!B:D,3,0)</f>
        <v>31.22739726</v>
      </c>
      <c r="X1496" s="7">
        <v>0.0</v>
      </c>
      <c r="Y1496" s="7">
        <v>45.0</v>
      </c>
      <c r="Z1496" s="7">
        <f>VLOOKUP(A1496,Jogos!A:L,3,0)</f>
        <v>48</v>
      </c>
      <c r="AA1496" s="7">
        <f t="shared" si="4563"/>
        <v>48</v>
      </c>
      <c r="AB1496" s="7">
        <f>VLOOKUP(A1496,Jogos!A:L,4,0)</f>
        <v>47</v>
      </c>
      <c r="AC1496" s="7">
        <f t="shared" si="4683"/>
        <v>0</v>
      </c>
      <c r="AD1496" s="7"/>
      <c r="AE1496" s="7"/>
      <c r="AF1496" s="7">
        <f t="shared" si="4566"/>
        <v>48</v>
      </c>
      <c r="AG1496" s="7">
        <v>4924.3</v>
      </c>
      <c r="AH1496" s="7">
        <v>1980.0</v>
      </c>
      <c r="AI1496" s="7">
        <v>1880.4</v>
      </c>
      <c r="AJ1496" s="7">
        <v>755.5</v>
      </c>
      <c r="AK1496" s="7">
        <v>220.9</v>
      </c>
      <c r="AL1496" s="7">
        <v>87.6</v>
      </c>
      <c r="AM1496" s="7">
        <v>67.0</v>
      </c>
      <c r="AN1496" s="7">
        <v>19.0</v>
      </c>
      <c r="AO1496" s="7">
        <v>30.0</v>
      </c>
      <c r="AP1496" s="9">
        <f t="shared" ref="AP1496:AR1496" si="4684">AG1496/$AF1496</f>
        <v>102.5895833</v>
      </c>
      <c r="AQ1496" s="9">
        <f t="shared" si="4684"/>
        <v>41.25</v>
      </c>
      <c r="AR1496" s="9">
        <f t="shared" si="4684"/>
        <v>39.175</v>
      </c>
      <c r="AS1496" s="9">
        <f t="shared" si="4568"/>
        <v>80.425</v>
      </c>
      <c r="AT1496" s="9">
        <f t="shared" ref="AT1496:AV1496" si="4685">AJ1496/$AF1496</f>
        <v>15.73958333</v>
      </c>
      <c r="AU1496" s="9">
        <f t="shared" si="4685"/>
        <v>4.602083333</v>
      </c>
      <c r="AV1496" s="9">
        <f t="shared" si="4685"/>
        <v>1.825</v>
      </c>
      <c r="AW1496" s="9">
        <f t="shared" si="4570"/>
        <v>6.427083333</v>
      </c>
      <c r="AX1496" s="9">
        <f t="shared" ref="AX1496:AY1496" si="4686">AM1496/$AF1496</f>
        <v>1.395833333</v>
      </c>
      <c r="AY1496" s="9">
        <f t="shared" si="4686"/>
        <v>0.3958333333</v>
      </c>
      <c r="AZ1496" s="9">
        <f>VLOOKUP(A1496,Jogos!A:BN,58,0)</f>
        <v>30</v>
      </c>
      <c r="BA1496" s="9">
        <f>VLOOKUP(A1496,Jogos!A:BN,59,0)</f>
        <v>20.57</v>
      </c>
      <c r="BB1496" s="9">
        <f>VLOOKUP(A1496,Jogos!A:BN,60,0)</f>
        <v>56.5</v>
      </c>
      <c r="BC1496" s="9">
        <f>VLOOKUP(A1496,Jogos!A:BN,61,0)</f>
        <v>30.35</v>
      </c>
      <c r="BD1496" s="9">
        <f>VLOOKUP(A1496,Jogos!A:BN,62,0)</f>
        <v>762.85</v>
      </c>
      <c r="BE1496" s="9">
        <f>VLOOKUP(A1496,Jogos!A:BN,63,0)</f>
        <v>1.065</v>
      </c>
      <c r="BF1496" s="9">
        <f>VLOOKUP(A1496,Jogos!A:BN,64,0)</f>
        <v>24.835</v>
      </c>
      <c r="BG1496" s="9">
        <f>VLOOKUP(A1496,Jogos!A:BN,65,0)</f>
        <v>44.91</v>
      </c>
      <c r="BH1496" s="9">
        <f>VLOOKUP(A1496,Jogos!A:BN,66,0)</f>
        <v>29.365</v>
      </c>
      <c r="BI1496" s="9"/>
      <c r="BJ1496" s="9"/>
    </row>
    <row r="1497" hidden="1">
      <c r="A1497" s="2">
        <v>51.0</v>
      </c>
      <c r="B1497" s="2" t="s">
        <v>1350</v>
      </c>
      <c r="C1497" s="2" t="s">
        <v>1351</v>
      </c>
      <c r="D1497" s="3">
        <v>45837.0</v>
      </c>
      <c r="E1497" s="4">
        <v>0.5</v>
      </c>
      <c r="F1497" s="5" t="str">
        <f>VLOOKUP(A1497,Jogos!A:N,10,0)</f>
        <v>Afternoon</v>
      </c>
      <c r="G1497" s="2" t="s">
        <v>376</v>
      </c>
      <c r="H1497" s="6" t="str">
        <f>VLOOKUP(A1497,Jogos!A:L,12,0)</f>
        <v>Closed</v>
      </c>
      <c r="I1497" s="6" t="str">
        <f>VLOOKUP(G1497,'Estádios e Cidades'!A:B,2,0)</f>
        <v>Atlanta</v>
      </c>
      <c r="J1497" s="2" t="s">
        <v>187</v>
      </c>
      <c r="K1497" s="2" t="str">
        <f>VLOOKUP(J1497,Equipes!A:F,6,0)</f>
        <v>Temperate</v>
      </c>
      <c r="L1497" s="2">
        <f>VLOOKUP(J1497,Equipes!A:C,3,0)</f>
        <v>2</v>
      </c>
      <c r="M1497" s="2" t="str">
        <f t="shared" si="4"/>
        <v>Final</v>
      </c>
      <c r="N1497" s="2" t="s">
        <v>64</v>
      </c>
      <c r="O1497" s="2">
        <f>VLOOKUP(N1497,Equipes!A:C,3,0)</f>
        <v>16</v>
      </c>
      <c r="P1497" s="2" t="str">
        <f t="shared" si="5"/>
        <v>Round of 16</v>
      </c>
      <c r="Q1497" s="2">
        <f t="shared" si="6"/>
        <v>-14</v>
      </c>
      <c r="R1497" s="2" t="str">
        <f>VLOOKUP(J1497,Equipes!A:B,2,0)</f>
        <v>PSG</v>
      </c>
      <c r="S1497" s="6" t="s">
        <v>193</v>
      </c>
      <c r="T1497" s="7">
        <v>7.0</v>
      </c>
      <c r="U1497" s="7" t="s">
        <v>194</v>
      </c>
      <c r="V1497" s="7" t="str">
        <f>VLOOKUP(U1497,Jogadores!B:C,2,0)</f>
        <v>FW</v>
      </c>
      <c r="W1497" s="8">
        <f>VLOOKUP(U1497,Jogadores!B:D,3,0)</f>
        <v>24.47123288</v>
      </c>
      <c r="X1497" s="7">
        <v>0.0</v>
      </c>
      <c r="Y1497" s="7">
        <f>45+AB1497</f>
        <v>92</v>
      </c>
      <c r="Z1497" s="7">
        <f>VLOOKUP(A1497,Jogos!A:L,3,0)</f>
        <v>48</v>
      </c>
      <c r="AA1497" s="7">
        <f t="shared" si="4563"/>
        <v>48</v>
      </c>
      <c r="AB1497" s="7">
        <f>VLOOKUP(A1497,Jogos!A:L,4,0)</f>
        <v>47</v>
      </c>
      <c r="AC1497" s="7">
        <f t="shared" si="4683"/>
        <v>47</v>
      </c>
      <c r="AD1497" s="7"/>
      <c r="AE1497" s="7"/>
      <c r="AF1497" s="7">
        <f t="shared" si="4566"/>
        <v>95</v>
      </c>
      <c r="AG1497" s="7">
        <v>9637.4</v>
      </c>
      <c r="AH1497" s="7">
        <v>4626.7</v>
      </c>
      <c r="AI1497" s="7">
        <v>2782.1</v>
      </c>
      <c r="AJ1497" s="7">
        <v>1087.3</v>
      </c>
      <c r="AK1497" s="7">
        <v>734.6</v>
      </c>
      <c r="AL1497" s="7">
        <v>406.6</v>
      </c>
      <c r="AM1497" s="7">
        <v>94.0</v>
      </c>
      <c r="AN1497" s="7">
        <v>60.0</v>
      </c>
      <c r="AO1497" s="7">
        <v>32.7</v>
      </c>
      <c r="AP1497" s="9">
        <f t="shared" ref="AP1497:AR1497" si="4687">AG1497/$AF1497</f>
        <v>101.4463158</v>
      </c>
      <c r="AQ1497" s="9">
        <f t="shared" si="4687"/>
        <v>48.70210526</v>
      </c>
      <c r="AR1497" s="9">
        <f t="shared" si="4687"/>
        <v>29.28526316</v>
      </c>
      <c r="AS1497" s="9">
        <f t="shared" si="4568"/>
        <v>77.98736842</v>
      </c>
      <c r="AT1497" s="9">
        <f t="shared" ref="AT1497:AV1497" si="4688">AJ1497/$AF1497</f>
        <v>11.44526316</v>
      </c>
      <c r="AU1497" s="9">
        <f t="shared" si="4688"/>
        <v>7.732631579</v>
      </c>
      <c r="AV1497" s="9">
        <f t="shared" si="4688"/>
        <v>4.28</v>
      </c>
      <c r="AW1497" s="9">
        <f t="shared" si="4570"/>
        <v>12.01263158</v>
      </c>
      <c r="AX1497" s="9">
        <f t="shared" ref="AX1497:AY1497" si="4689">AM1497/$AF1497</f>
        <v>0.9894736842</v>
      </c>
      <c r="AY1497" s="9">
        <f t="shared" si="4689"/>
        <v>0.6315789474</v>
      </c>
      <c r="AZ1497" s="9">
        <f>VLOOKUP(A1497,Jogos!A:BN,58,0)</f>
        <v>30</v>
      </c>
      <c r="BA1497" s="9">
        <f>VLOOKUP(A1497,Jogos!A:BN,59,0)</f>
        <v>20.57</v>
      </c>
      <c r="BB1497" s="9">
        <f>VLOOKUP(A1497,Jogos!A:BN,60,0)</f>
        <v>56.5</v>
      </c>
      <c r="BC1497" s="9">
        <f>VLOOKUP(A1497,Jogos!A:BN,61,0)</f>
        <v>30.35</v>
      </c>
      <c r="BD1497" s="9">
        <f>VLOOKUP(A1497,Jogos!A:BN,62,0)</f>
        <v>762.85</v>
      </c>
      <c r="BE1497" s="9">
        <f>VLOOKUP(A1497,Jogos!A:BN,63,0)</f>
        <v>1.065</v>
      </c>
      <c r="BF1497" s="9">
        <f>VLOOKUP(A1497,Jogos!A:BN,64,0)</f>
        <v>24.835</v>
      </c>
      <c r="BG1497" s="9">
        <f>VLOOKUP(A1497,Jogos!A:BN,65,0)</f>
        <v>44.91</v>
      </c>
      <c r="BH1497" s="9">
        <f>VLOOKUP(A1497,Jogos!A:BN,66,0)</f>
        <v>29.365</v>
      </c>
      <c r="BI1497" s="9"/>
      <c r="BJ1497" s="9"/>
    </row>
    <row r="1498" hidden="1">
      <c r="A1498" s="2">
        <v>51.0</v>
      </c>
      <c r="B1498" s="2" t="s">
        <v>1350</v>
      </c>
      <c r="C1498" s="2" t="s">
        <v>1351</v>
      </c>
      <c r="D1498" s="3">
        <v>45837.0</v>
      </c>
      <c r="E1498" s="4">
        <v>0.5</v>
      </c>
      <c r="F1498" s="5" t="str">
        <f>VLOOKUP(A1498,Jogos!A:N,10,0)</f>
        <v>Afternoon</v>
      </c>
      <c r="G1498" s="2" t="s">
        <v>376</v>
      </c>
      <c r="H1498" s="6" t="str">
        <f>VLOOKUP(A1498,Jogos!A:L,12,0)</f>
        <v>Closed</v>
      </c>
      <c r="I1498" s="6" t="str">
        <f>VLOOKUP(G1498,'Estádios e Cidades'!A:B,2,0)</f>
        <v>Atlanta</v>
      </c>
      <c r="J1498" s="2" t="s">
        <v>187</v>
      </c>
      <c r="K1498" s="2" t="str">
        <f>VLOOKUP(J1498,Equipes!A:F,6,0)</f>
        <v>Temperate</v>
      </c>
      <c r="L1498" s="2">
        <f>VLOOKUP(J1498,Equipes!A:C,3,0)</f>
        <v>2</v>
      </c>
      <c r="M1498" s="2" t="str">
        <f t="shared" si="4"/>
        <v>Final</v>
      </c>
      <c r="N1498" s="2" t="s">
        <v>64</v>
      </c>
      <c r="O1498" s="2">
        <f>VLOOKUP(N1498,Equipes!A:C,3,0)</f>
        <v>16</v>
      </c>
      <c r="P1498" s="2" t="str">
        <f t="shared" si="5"/>
        <v>Round of 16</v>
      </c>
      <c r="Q1498" s="2">
        <f t="shared" si="6"/>
        <v>-14</v>
      </c>
      <c r="R1498" s="2" t="str">
        <f>VLOOKUP(J1498,Equipes!A:B,2,0)</f>
        <v>PSG</v>
      </c>
      <c r="S1498" s="6" t="s">
        <v>195</v>
      </c>
      <c r="T1498" s="7">
        <v>8.0</v>
      </c>
      <c r="U1498" s="7" t="s">
        <v>196</v>
      </c>
      <c r="V1498" s="7" t="str">
        <f>VLOOKUP(U1498,Jogadores!B:C,2,0)</f>
        <v>MF</v>
      </c>
      <c r="W1498" s="8">
        <f>VLOOKUP(U1498,Jogadores!B:D,3,0)</f>
        <v>29.3369863</v>
      </c>
      <c r="X1498" s="7">
        <v>0.0</v>
      </c>
      <c r="Y1498" s="7">
        <v>45.0</v>
      </c>
      <c r="Z1498" s="7">
        <f>VLOOKUP(A1498,Jogos!A:L,3,0)</f>
        <v>48</v>
      </c>
      <c r="AA1498" s="7">
        <f t="shared" si="4563"/>
        <v>48</v>
      </c>
      <c r="AB1498" s="7">
        <f>VLOOKUP(A1498,Jogos!A:L,4,0)</f>
        <v>47</v>
      </c>
      <c r="AC1498" s="7">
        <f t="shared" si="4683"/>
        <v>0</v>
      </c>
      <c r="AD1498" s="7"/>
      <c r="AE1498" s="7"/>
      <c r="AF1498" s="7">
        <f t="shared" si="4566"/>
        <v>48</v>
      </c>
      <c r="AG1498" s="7">
        <v>5908.4</v>
      </c>
      <c r="AH1498" s="7">
        <v>1984.3</v>
      </c>
      <c r="AI1498" s="7">
        <v>2493.0</v>
      </c>
      <c r="AJ1498" s="7">
        <v>905.4</v>
      </c>
      <c r="AK1498" s="7">
        <v>454.6</v>
      </c>
      <c r="AL1498" s="7">
        <v>71.1</v>
      </c>
      <c r="AM1498" s="7">
        <v>82.0</v>
      </c>
      <c r="AN1498" s="7">
        <v>34.0</v>
      </c>
      <c r="AO1498" s="7">
        <v>29.0</v>
      </c>
      <c r="AP1498" s="9">
        <f t="shared" ref="AP1498:AR1498" si="4690">AG1498/$AF1498</f>
        <v>123.0916667</v>
      </c>
      <c r="AQ1498" s="9">
        <f t="shared" si="4690"/>
        <v>41.33958333</v>
      </c>
      <c r="AR1498" s="9">
        <f t="shared" si="4690"/>
        <v>51.9375</v>
      </c>
      <c r="AS1498" s="9">
        <f t="shared" si="4568"/>
        <v>93.27708333</v>
      </c>
      <c r="AT1498" s="9">
        <f t="shared" ref="AT1498:AV1498" si="4691">AJ1498/$AF1498</f>
        <v>18.8625</v>
      </c>
      <c r="AU1498" s="9">
        <f t="shared" si="4691"/>
        <v>9.470833333</v>
      </c>
      <c r="AV1498" s="9">
        <f t="shared" si="4691"/>
        <v>1.48125</v>
      </c>
      <c r="AW1498" s="9">
        <f t="shared" si="4570"/>
        <v>10.95208333</v>
      </c>
      <c r="AX1498" s="9">
        <f t="shared" ref="AX1498:AY1498" si="4692">AM1498/$AF1498</f>
        <v>1.708333333</v>
      </c>
      <c r="AY1498" s="9">
        <f t="shared" si="4692"/>
        <v>0.7083333333</v>
      </c>
      <c r="AZ1498" s="9">
        <f>VLOOKUP(A1498,Jogos!A:BN,58,0)</f>
        <v>30</v>
      </c>
      <c r="BA1498" s="9">
        <f>VLOOKUP(A1498,Jogos!A:BN,59,0)</f>
        <v>20.57</v>
      </c>
      <c r="BB1498" s="9">
        <f>VLOOKUP(A1498,Jogos!A:BN,60,0)</f>
        <v>56.5</v>
      </c>
      <c r="BC1498" s="9">
        <f>VLOOKUP(A1498,Jogos!A:BN,61,0)</f>
        <v>30.35</v>
      </c>
      <c r="BD1498" s="9">
        <f>VLOOKUP(A1498,Jogos!A:BN,62,0)</f>
        <v>762.85</v>
      </c>
      <c r="BE1498" s="9">
        <f>VLOOKUP(A1498,Jogos!A:BN,63,0)</f>
        <v>1.065</v>
      </c>
      <c r="BF1498" s="9">
        <f>VLOOKUP(A1498,Jogos!A:BN,64,0)</f>
        <v>24.835</v>
      </c>
      <c r="BG1498" s="9">
        <f>VLOOKUP(A1498,Jogos!A:BN,65,0)</f>
        <v>44.91</v>
      </c>
      <c r="BH1498" s="9">
        <f>VLOOKUP(A1498,Jogos!A:BN,66,0)</f>
        <v>29.365</v>
      </c>
      <c r="BI1498" s="9"/>
      <c r="BJ1498" s="9"/>
    </row>
    <row r="1499" hidden="1">
      <c r="A1499" s="2">
        <v>51.0</v>
      </c>
      <c r="B1499" s="2" t="s">
        <v>1350</v>
      </c>
      <c r="C1499" s="2" t="s">
        <v>1351</v>
      </c>
      <c r="D1499" s="3">
        <v>45837.0</v>
      </c>
      <c r="E1499" s="4">
        <v>0.5</v>
      </c>
      <c r="F1499" s="5" t="str">
        <f>VLOOKUP(A1499,Jogos!A:N,10,0)</f>
        <v>Afternoon</v>
      </c>
      <c r="G1499" s="2" t="s">
        <v>376</v>
      </c>
      <c r="H1499" s="6" t="str">
        <f>VLOOKUP(A1499,Jogos!A:L,12,0)</f>
        <v>Closed</v>
      </c>
      <c r="I1499" s="6" t="str">
        <f>VLOOKUP(G1499,'Estádios e Cidades'!A:B,2,0)</f>
        <v>Atlanta</v>
      </c>
      <c r="J1499" s="2" t="s">
        <v>187</v>
      </c>
      <c r="K1499" s="2" t="str">
        <f>VLOOKUP(J1499,Equipes!A:F,6,0)</f>
        <v>Temperate</v>
      </c>
      <c r="L1499" s="2">
        <f>VLOOKUP(J1499,Equipes!A:C,3,0)</f>
        <v>2</v>
      </c>
      <c r="M1499" s="2" t="str">
        <f t="shared" si="4"/>
        <v>Final</v>
      </c>
      <c r="N1499" s="2" t="s">
        <v>64</v>
      </c>
      <c r="O1499" s="2">
        <f>VLOOKUP(N1499,Equipes!A:C,3,0)</f>
        <v>16</v>
      </c>
      <c r="P1499" s="2" t="str">
        <f t="shared" si="5"/>
        <v>Round of 16</v>
      </c>
      <c r="Q1499" s="2">
        <f t="shared" si="6"/>
        <v>-14</v>
      </c>
      <c r="R1499" s="2" t="str">
        <f>VLOOKUP(J1499,Equipes!A:B,2,0)</f>
        <v>PSG</v>
      </c>
      <c r="S1499" s="6" t="s">
        <v>199</v>
      </c>
      <c r="T1499" s="7">
        <v>14.0</v>
      </c>
      <c r="U1499" s="7" t="s">
        <v>200</v>
      </c>
      <c r="V1499" s="7" t="str">
        <f>VLOOKUP(U1499,Jogadores!B:C,2,0)</f>
        <v>FW</v>
      </c>
      <c r="W1499" s="8">
        <f>VLOOKUP(U1499,Jogadores!B:D,3,0)</f>
        <v>20.16438356</v>
      </c>
      <c r="X1499" s="7">
        <v>0.0</v>
      </c>
      <c r="Y1499" s="7">
        <f t="shared" ref="Y1499:Y1500" si="4696">45+AB1499</f>
        <v>92</v>
      </c>
      <c r="Z1499" s="7">
        <f>VLOOKUP(A1499,Jogos!A:L,3,0)</f>
        <v>48</v>
      </c>
      <c r="AA1499" s="7">
        <f t="shared" si="4563"/>
        <v>48</v>
      </c>
      <c r="AB1499" s="7">
        <f>VLOOKUP(A1499,Jogos!A:L,4,0)</f>
        <v>47</v>
      </c>
      <c r="AC1499" s="7">
        <f t="shared" si="4683"/>
        <v>47</v>
      </c>
      <c r="AD1499" s="7"/>
      <c r="AE1499" s="7"/>
      <c r="AF1499" s="7">
        <f t="shared" si="4566"/>
        <v>95</v>
      </c>
      <c r="AG1499" s="7">
        <v>11800.6</v>
      </c>
      <c r="AH1499" s="7">
        <v>3309.4</v>
      </c>
      <c r="AI1499" s="7">
        <v>5523.5</v>
      </c>
      <c r="AJ1499" s="7">
        <v>1945.9</v>
      </c>
      <c r="AK1499" s="7">
        <v>826.2</v>
      </c>
      <c r="AL1499" s="7">
        <v>195.6</v>
      </c>
      <c r="AM1499" s="7">
        <v>180.0</v>
      </c>
      <c r="AN1499" s="7">
        <v>62.0</v>
      </c>
      <c r="AO1499" s="7">
        <v>31.6</v>
      </c>
      <c r="AP1499" s="9">
        <f t="shared" ref="AP1499:AR1499" si="4693">AG1499/$AF1499</f>
        <v>124.2168421</v>
      </c>
      <c r="AQ1499" s="9">
        <f t="shared" si="4693"/>
        <v>34.83578947</v>
      </c>
      <c r="AR1499" s="9">
        <f t="shared" si="4693"/>
        <v>58.14210526</v>
      </c>
      <c r="AS1499" s="9">
        <f t="shared" si="4568"/>
        <v>92.97789474</v>
      </c>
      <c r="AT1499" s="9">
        <f t="shared" ref="AT1499:AV1499" si="4694">AJ1499/$AF1499</f>
        <v>20.48315789</v>
      </c>
      <c r="AU1499" s="9">
        <f t="shared" si="4694"/>
        <v>8.696842105</v>
      </c>
      <c r="AV1499" s="9">
        <f t="shared" si="4694"/>
        <v>2.058947368</v>
      </c>
      <c r="AW1499" s="9">
        <f t="shared" si="4570"/>
        <v>10.75578947</v>
      </c>
      <c r="AX1499" s="9">
        <f t="shared" ref="AX1499:AY1499" si="4695">AM1499/$AF1499</f>
        <v>1.894736842</v>
      </c>
      <c r="AY1499" s="9">
        <f t="shared" si="4695"/>
        <v>0.6526315789</v>
      </c>
      <c r="AZ1499" s="9">
        <f>VLOOKUP(A1499,Jogos!A:BN,58,0)</f>
        <v>30</v>
      </c>
      <c r="BA1499" s="9">
        <f>VLOOKUP(A1499,Jogos!A:BN,59,0)</f>
        <v>20.57</v>
      </c>
      <c r="BB1499" s="9">
        <f>VLOOKUP(A1499,Jogos!A:BN,60,0)</f>
        <v>56.5</v>
      </c>
      <c r="BC1499" s="9">
        <f>VLOOKUP(A1499,Jogos!A:BN,61,0)</f>
        <v>30.35</v>
      </c>
      <c r="BD1499" s="9">
        <f>VLOOKUP(A1499,Jogos!A:BN,62,0)</f>
        <v>762.85</v>
      </c>
      <c r="BE1499" s="9">
        <f>VLOOKUP(A1499,Jogos!A:BN,63,0)</f>
        <v>1.065</v>
      </c>
      <c r="BF1499" s="9">
        <f>VLOOKUP(A1499,Jogos!A:BN,64,0)</f>
        <v>24.835</v>
      </c>
      <c r="BG1499" s="9">
        <f>VLOOKUP(A1499,Jogos!A:BN,65,0)</f>
        <v>44.91</v>
      </c>
      <c r="BH1499" s="9">
        <f>VLOOKUP(A1499,Jogos!A:BN,66,0)</f>
        <v>29.365</v>
      </c>
      <c r="BI1499" s="9"/>
      <c r="BJ1499" s="9"/>
    </row>
    <row r="1500" hidden="1">
      <c r="A1500" s="2">
        <v>51.0</v>
      </c>
      <c r="B1500" s="2" t="s">
        <v>1350</v>
      </c>
      <c r="C1500" s="2" t="s">
        <v>1351</v>
      </c>
      <c r="D1500" s="3">
        <v>45837.0</v>
      </c>
      <c r="E1500" s="4">
        <v>0.5</v>
      </c>
      <c r="F1500" s="5" t="str">
        <f>VLOOKUP(A1500,Jogos!A:N,10,0)</f>
        <v>Afternoon</v>
      </c>
      <c r="G1500" s="2" t="s">
        <v>376</v>
      </c>
      <c r="H1500" s="6" t="str">
        <f>VLOOKUP(A1500,Jogos!A:L,12,0)</f>
        <v>Closed</v>
      </c>
      <c r="I1500" s="6" t="str">
        <f>VLOOKUP(G1500,'Estádios e Cidades'!A:B,2,0)</f>
        <v>Atlanta</v>
      </c>
      <c r="J1500" s="2" t="s">
        <v>187</v>
      </c>
      <c r="K1500" s="2" t="str">
        <f>VLOOKUP(J1500,Equipes!A:F,6,0)</f>
        <v>Temperate</v>
      </c>
      <c r="L1500" s="2">
        <f>VLOOKUP(J1500,Equipes!A:C,3,0)</f>
        <v>2</v>
      </c>
      <c r="M1500" s="2" t="str">
        <f t="shared" si="4"/>
        <v>Final</v>
      </c>
      <c r="N1500" s="2" t="s">
        <v>64</v>
      </c>
      <c r="O1500" s="2">
        <f>VLOOKUP(N1500,Equipes!A:C,3,0)</f>
        <v>16</v>
      </c>
      <c r="P1500" s="2" t="str">
        <f t="shared" si="5"/>
        <v>Round of 16</v>
      </c>
      <c r="Q1500" s="2">
        <f t="shared" si="6"/>
        <v>-14</v>
      </c>
      <c r="R1500" s="2" t="str">
        <f>VLOOKUP(J1500,Equipes!A:B,2,0)</f>
        <v>PSG</v>
      </c>
      <c r="S1500" s="6" t="s">
        <v>201</v>
      </c>
      <c r="T1500" s="7">
        <v>17.0</v>
      </c>
      <c r="U1500" s="7" t="s">
        <v>202</v>
      </c>
      <c r="V1500" s="7" t="str">
        <f>VLOOKUP(U1500,Jogadores!B:C,2,0)</f>
        <v>MF</v>
      </c>
      <c r="W1500" s="8">
        <f>VLOOKUP(U1500,Jogadores!B:D,3,0)</f>
        <v>25.47123288</v>
      </c>
      <c r="X1500" s="7">
        <v>0.0</v>
      </c>
      <c r="Y1500" s="7">
        <f t="shared" si="4696"/>
        <v>92</v>
      </c>
      <c r="Z1500" s="7">
        <f>VLOOKUP(A1500,Jogos!A:L,3,0)</f>
        <v>48</v>
      </c>
      <c r="AA1500" s="7">
        <f t="shared" si="4563"/>
        <v>48</v>
      </c>
      <c r="AB1500" s="7">
        <f>VLOOKUP(A1500,Jogos!A:L,4,0)</f>
        <v>47</v>
      </c>
      <c r="AC1500" s="7">
        <f t="shared" si="4683"/>
        <v>47</v>
      </c>
      <c r="AD1500" s="7"/>
      <c r="AE1500" s="7"/>
      <c r="AF1500" s="7">
        <f t="shared" si="4566"/>
        <v>95</v>
      </c>
      <c r="AG1500" s="7">
        <v>11070.6</v>
      </c>
      <c r="AH1500" s="7">
        <v>3531.9</v>
      </c>
      <c r="AI1500" s="7">
        <v>5503.0</v>
      </c>
      <c r="AJ1500" s="7">
        <v>1285.4</v>
      </c>
      <c r="AK1500" s="7">
        <v>591.8</v>
      </c>
      <c r="AL1500" s="7">
        <v>158.5</v>
      </c>
      <c r="AM1500" s="7">
        <v>113.0</v>
      </c>
      <c r="AN1500" s="7">
        <v>45.0</v>
      </c>
      <c r="AO1500" s="7">
        <v>31.1</v>
      </c>
      <c r="AP1500" s="9">
        <f t="shared" ref="AP1500:AR1500" si="4697">AG1500/$AF1500</f>
        <v>116.5326316</v>
      </c>
      <c r="AQ1500" s="9">
        <f t="shared" si="4697"/>
        <v>37.17789474</v>
      </c>
      <c r="AR1500" s="9">
        <f t="shared" si="4697"/>
        <v>57.92631579</v>
      </c>
      <c r="AS1500" s="9">
        <f t="shared" si="4568"/>
        <v>95.10421053</v>
      </c>
      <c r="AT1500" s="9">
        <f t="shared" ref="AT1500:AV1500" si="4698">AJ1500/$AF1500</f>
        <v>13.53052632</v>
      </c>
      <c r="AU1500" s="9">
        <f t="shared" si="4698"/>
        <v>6.229473684</v>
      </c>
      <c r="AV1500" s="9">
        <f t="shared" si="4698"/>
        <v>1.668421053</v>
      </c>
      <c r="AW1500" s="9">
        <f t="shared" si="4570"/>
        <v>7.897894737</v>
      </c>
      <c r="AX1500" s="9">
        <f t="shared" ref="AX1500:AY1500" si="4699">AM1500/$AF1500</f>
        <v>1.189473684</v>
      </c>
      <c r="AY1500" s="9">
        <f t="shared" si="4699"/>
        <v>0.4736842105</v>
      </c>
      <c r="AZ1500" s="9">
        <f>VLOOKUP(A1500,Jogos!A:BN,58,0)</f>
        <v>30</v>
      </c>
      <c r="BA1500" s="9">
        <f>VLOOKUP(A1500,Jogos!A:BN,59,0)</f>
        <v>20.57</v>
      </c>
      <c r="BB1500" s="9">
        <f>VLOOKUP(A1500,Jogos!A:BN,60,0)</f>
        <v>56.5</v>
      </c>
      <c r="BC1500" s="9">
        <f>VLOOKUP(A1500,Jogos!A:BN,61,0)</f>
        <v>30.35</v>
      </c>
      <c r="BD1500" s="9">
        <f>VLOOKUP(A1500,Jogos!A:BN,62,0)</f>
        <v>762.85</v>
      </c>
      <c r="BE1500" s="9">
        <f>VLOOKUP(A1500,Jogos!A:BN,63,0)</f>
        <v>1.065</v>
      </c>
      <c r="BF1500" s="9">
        <f>VLOOKUP(A1500,Jogos!A:BN,64,0)</f>
        <v>24.835</v>
      </c>
      <c r="BG1500" s="9">
        <f>VLOOKUP(A1500,Jogos!A:BN,65,0)</f>
        <v>44.91</v>
      </c>
      <c r="BH1500" s="9">
        <f>VLOOKUP(A1500,Jogos!A:BN,66,0)</f>
        <v>29.365</v>
      </c>
      <c r="BI1500" s="9"/>
      <c r="BJ1500" s="9"/>
    </row>
    <row r="1501" hidden="1">
      <c r="A1501" s="2">
        <v>51.0</v>
      </c>
      <c r="B1501" s="2" t="s">
        <v>1350</v>
      </c>
      <c r="C1501" s="2" t="s">
        <v>1351</v>
      </c>
      <c r="D1501" s="3">
        <v>45837.0</v>
      </c>
      <c r="E1501" s="4">
        <v>0.5</v>
      </c>
      <c r="F1501" s="5" t="str">
        <f>VLOOKUP(A1501,Jogos!A:N,10,0)</f>
        <v>Afternoon</v>
      </c>
      <c r="G1501" s="2" t="s">
        <v>376</v>
      </c>
      <c r="H1501" s="6" t="str">
        <f>VLOOKUP(A1501,Jogos!A:L,12,0)</f>
        <v>Closed</v>
      </c>
      <c r="I1501" s="6" t="str">
        <f>VLOOKUP(G1501,'Estádios e Cidades'!A:B,2,0)</f>
        <v>Atlanta</v>
      </c>
      <c r="J1501" s="2" t="s">
        <v>187</v>
      </c>
      <c r="K1501" s="2" t="str">
        <f>VLOOKUP(J1501,Equipes!A:F,6,0)</f>
        <v>Temperate</v>
      </c>
      <c r="L1501" s="2">
        <f>VLOOKUP(J1501,Equipes!A:C,3,0)</f>
        <v>2</v>
      </c>
      <c r="M1501" s="2" t="str">
        <f t="shared" si="4"/>
        <v>Final</v>
      </c>
      <c r="N1501" s="2" t="s">
        <v>64</v>
      </c>
      <c r="O1501" s="2">
        <f>VLOOKUP(N1501,Equipes!A:C,3,0)</f>
        <v>16</v>
      </c>
      <c r="P1501" s="2" t="str">
        <f t="shared" si="5"/>
        <v>Round of 16</v>
      </c>
      <c r="Q1501" s="2">
        <f t="shared" si="6"/>
        <v>-14</v>
      </c>
      <c r="R1501" s="2" t="str">
        <f>VLOOKUP(J1501,Equipes!A:B,2,0)</f>
        <v>PSG</v>
      </c>
      <c r="S1501" s="6" t="s">
        <v>203</v>
      </c>
      <c r="T1501" s="7">
        <v>25.0</v>
      </c>
      <c r="U1501" s="7" t="s">
        <v>204</v>
      </c>
      <c r="V1501" s="7" t="str">
        <f>VLOOKUP(U1501,Jogadores!B:C,2,0)</f>
        <v>DF</v>
      </c>
      <c r="W1501" s="8">
        <f>VLOOKUP(U1501,Jogadores!B:D,3,0)</f>
        <v>23.12328767</v>
      </c>
      <c r="X1501" s="7">
        <v>0.0</v>
      </c>
      <c r="Y1501" s="7">
        <v>69.0</v>
      </c>
      <c r="Z1501" s="7">
        <f>VLOOKUP(A1501,Jogos!A:L,3,0)</f>
        <v>48</v>
      </c>
      <c r="AA1501" s="7">
        <f t="shared" si="4563"/>
        <v>48</v>
      </c>
      <c r="AB1501" s="7">
        <f>VLOOKUP(A1501,Jogos!A:L,4,0)</f>
        <v>47</v>
      </c>
      <c r="AC1501" s="7">
        <f t="shared" si="4683"/>
        <v>24</v>
      </c>
      <c r="AD1501" s="7"/>
      <c r="AE1501" s="7"/>
      <c r="AF1501" s="7">
        <f t="shared" si="4566"/>
        <v>72</v>
      </c>
      <c r="AG1501" s="7">
        <v>6793.1</v>
      </c>
      <c r="AH1501" s="7">
        <v>2807.0</v>
      </c>
      <c r="AI1501" s="7">
        <v>2715.1</v>
      </c>
      <c r="AJ1501" s="7">
        <v>632.5</v>
      </c>
      <c r="AK1501" s="7">
        <v>343.5</v>
      </c>
      <c r="AL1501" s="7">
        <v>295.0</v>
      </c>
      <c r="AM1501" s="7">
        <v>54.0</v>
      </c>
      <c r="AN1501" s="7">
        <v>31.0</v>
      </c>
      <c r="AO1501" s="7">
        <v>34.2</v>
      </c>
      <c r="AP1501" s="9">
        <f t="shared" ref="AP1501:AR1501" si="4700">AG1501/$AF1501</f>
        <v>94.34861111</v>
      </c>
      <c r="AQ1501" s="9">
        <f t="shared" si="4700"/>
        <v>38.98611111</v>
      </c>
      <c r="AR1501" s="9">
        <f t="shared" si="4700"/>
        <v>37.70972222</v>
      </c>
      <c r="AS1501" s="9">
        <f t="shared" si="4568"/>
        <v>76.69583333</v>
      </c>
      <c r="AT1501" s="9">
        <f t="shared" ref="AT1501:AV1501" si="4701">AJ1501/$AF1501</f>
        <v>8.784722222</v>
      </c>
      <c r="AU1501" s="9">
        <f t="shared" si="4701"/>
        <v>4.770833333</v>
      </c>
      <c r="AV1501" s="9">
        <f t="shared" si="4701"/>
        <v>4.097222222</v>
      </c>
      <c r="AW1501" s="9">
        <f t="shared" si="4570"/>
        <v>8.868055556</v>
      </c>
      <c r="AX1501" s="9">
        <f t="shared" ref="AX1501:AY1501" si="4702">AM1501/$AF1501</f>
        <v>0.75</v>
      </c>
      <c r="AY1501" s="9">
        <f t="shared" si="4702"/>
        <v>0.4305555556</v>
      </c>
      <c r="AZ1501" s="9">
        <f>VLOOKUP(A1501,Jogos!A:BN,58,0)</f>
        <v>30</v>
      </c>
      <c r="BA1501" s="9">
        <f>VLOOKUP(A1501,Jogos!A:BN,59,0)</f>
        <v>20.57</v>
      </c>
      <c r="BB1501" s="9">
        <f>VLOOKUP(A1501,Jogos!A:BN,60,0)</f>
        <v>56.5</v>
      </c>
      <c r="BC1501" s="9">
        <f>VLOOKUP(A1501,Jogos!A:BN,61,0)</f>
        <v>30.35</v>
      </c>
      <c r="BD1501" s="9">
        <f>VLOOKUP(A1501,Jogos!A:BN,62,0)</f>
        <v>762.85</v>
      </c>
      <c r="BE1501" s="9">
        <f>VLOOKUP(A1501,Jogos!A:BN,63,0)</f>
        <v>1.065</v>
      </c>
      <c r="BF1501" s="9">
        <f>VLOOKUP(A1501,Jogos!A:BN,64,0)</f>
        <v>24.835</v>
      </c>
      <c r="BG1501" s="9">
        <f>VLOOKUP(A1501,Jogos!A:BN,65,0)</f>
        <v>44.91</v>
      </c>
      <c r="BH1501" s="9">
        <f>VLOOKUP(A1501,Jogos!A:BN,66,0)</f>
        <v>29.365</v>
      </c>
      <c r="BI1501" s="9"/>
      <c r="BJ1501" s="9"/>
    </row>
    <row r="1502" hidden="1">
      <c r="A1502" s="2">
        <v>51.0</v>
      </c>
      <c r="B1502" s="2" t="s">
        <v>1350</v>
      </c>
      <c r="C1502" s="2" t="s">
        <v>1351</v>
      </c>
      <c r="D1502" s="3">
        <v>45837.0</v>
      </c>
      <c r="E1502" s="4">
        <v>0.5</v>
      </c>
      <c r="F1502" s="5" t="str">
        <f>VLOOKUP(A1502,Jogos!A:N,10,0)</f>
        <v>Afternoon</v>
      </c>
      <c r="G1502" s="2" t="s">
        <v>376</v>
      </c>
      <c r="H1502" s="6" t="str">
        <f>VLOOKUP(A1502,Jogos!A:L,12,0)</f>
        <v>Closed</v>
      </c>
      <c r="I1502" s="6" t="str">
        <f>VLOOKUP(G1502,'Estádios e Cidades'!A:B,2,0)</f>
        <v>Atlanta</v>
      </c>
      <c r="J1502" s="2" t="s">
        <v>187</v>
      </c>
      <c r="K1502" s="2" t="str">
        <f>VLOOKUP(J1502,Equipes!A:F,6,0)</f>
        <v>Temperate</v>
      </c>
      <c r="L1502" s="2">
        <f>VLOOKUP(J1502,Equipes!A:C,3,0)</f>
        <v>2</v>
      </c>
      <c r="M1502" s="2" t="str">
        <f t="shared" si="4"/>
        <v>Final</v>
      </c>
      <c r="N1502" s="2" t="s">
        <v>64</v>
      </c>
      <c r="O1502" s="2">
        <f>VLOOKUP(N1502,Equipes!A:C,3,0)</f>
        <v>16</v>
      </c>
      <c r="P1502" s="2" t="str">
        <f t="shared" si="5"/>
        <v>Round of 16</v>
      </c>
      <c r="Q1502" s="2">
        <f t="shared" si="6"/>
        <v>-14</v>
      </c>
      <c r="R1502" s="2" t="str">
        <f>VLOOKUP(J1502,Equipes!A:B,2,0)</f>
        <v>PSG</v>
      </c>
      <c r="S1502" s="6" t="s">
        <v>1096</v>
      </c>
      <c r="T1502" s="7">
        <v>29.0</v>
      </c>
      <c r="U1502" s="7" t="s">
        <v>1097</v>
      </c>
      <c r="V1502" s="7" t="str">
        <f>VLOOKUP(U1502,Jogadores!B:C,2,0)</f>
        <v>FW</v>
      </c>
      <c r="W1502" s="8">
        <f>VLOOKUP(U1502,Jogadores!B:D,3,0)</f>
        <v>22.91780822</v>
      </c>
      <c r="X1502" s="7">
        <v>0.0</v>
      </c>
      <c r="Y1502" s="7">
        <f t="shared" ref="Y1502:Y1503" si="4706">45+AB1502</f>
        <v>92</v>
      </c>
      <c r="Z1502" s="7">
        <f>VLOOKUP(A1502,Jogos!A:L,3,0)</f>
        <v>48</v>
      </c>
      <c r="AA1502" s="7">
        <f t="shared" si="4563"/>
        <v>48</v>
      </c>
      <c r="AB1502" s="7">
        <f>VLOOKUP(A1502,Jogos!A:L,4,0)</f>
        <v>47</v>
      </c>
      <c r="AC1502" s="7">
        <f t="shared" si="4683"/>
        <v>47</v>
      </c>
      <c r="AD1502" s="7"/>
      <c r="AE1502" s="7"/>
      <c r="AF1502" s="7">
        <f t="shared" si="4566"/>
        <v>95</v>
      </c>
      <c r="AG1502" s="7">
        <v>9946.3</v>
      </c>
      <c r="AH1502" s="7">
        <v>4265.3</v>
      </c>
      <c r="AI1502" s="7">
        <v>3580.5</v>
      </c>
      <c r="AJ1502" s="7">
        <v>1190.2</v>
      </c>
      <c r="AK1502" s="7">
        <v>520.2</v>
      </c>
      <c r="AL1502" s="7">
        <v>390.0</v>
      </c>
      <c r="AM1502" s="7">
        <v>101.0</v>
      </c>
      <c r="AN1502" s="7">
        <v>55.0</v>
      </c>
      <c r="AO1502" s="7">
        <v>35.4</v>
      </c>
      <c r="AP1502" s="9">
        <f t="shared" ref="AP1502:AR1502" si="4703">AG1502/$AF1502</f>
        <v>104.6978947</v>
      </c>
      <c r="AQ1502" s="9">
        <f t="shared" si="4703"/>
        <v>44.89789474</v>
      </c>
      <c r="AR1502" s="9">
        <f t="shared" si="4703"/>
        <v>37.68947368</v>
      </c>
      <c r="AS1502" s="9">
        <f t="shared" si="4568"/>
        <v>82.58736842</v>
      </c>
      <c r="AT1502" s="9">
        <f t="shared" ref="AT1502:AV1502" si="4704">AJ1502/$AF1502</f>
        <v>12.52842105</v>
      </c>
      <c r="AU1502" s="9">
        <f t="shared" si="4704"/>
        <v>5.475789474</v>
      </c>
      <c r="AV1502" s="9">
        <f t="shared" si="4704"/>
        <v>4.105263158</v>
      </c>
      <c r="AW1502" s="9">
        <f t="shared" si="4570"/>
        <v>9.581052632</v>
      </c>
      <c r="AX1502" s="9">
        <f t="shared" ref="AX1502:AY1502" si="4705">AM1502/$AF1502</f>
        <v>1.063157895</v>
      </c>
      <c r="AY1502" s="9">
        <f t="shared" si="4705"/>
        <v>0.5789473684</v>
      </c>
      <c r="AZ1502" s="9">
        <f>VLOOKUP(A1502,Jogos!A:BN,58,0)</f>
        <v>30</v>
      </c>
      <c r="BA1502" s="9">
        <f>VLOOKUP(A1502,Jogos!A:BN,59,0)</f>
        <v>20.57</v>
      </c>
      <c r="BB1502" s="9">
        <f>VLOOKUP(A1502,Jogos!A:BN,60,0)</f>
        <v>56.5</v>
      </c>
      <c r="BC1502" s="9">
        <f>VLOOKUP(A1502,Jogos!A:BN,61,0)</f>
        <v>30.35</v>
      </c>
      <c r="BD1502" s="9">
        <f>VLOOKUP(A1502,Jogos!A:BN,62,0)</f>
        <v>762.85</v>
      </c>
      <c r="BE1502" s="9">
        <f>VLOOKUP(A1502,Jogos!A:BN,63,0)</f>
        <v>1.065</v>
      </c>
      <c r="BF1502" s="9">
        <f>VLOOKUP(A1502,Jogos!A:BN,64,0)</f>
        <v>24.835</v>
      </c>
      <c r="BG1502" s="9">
        <f>VLOOKUP(A1502,Jogos!A:BN,65,0)</f>
        <v>44.91</v>
      </c>
      <c r="BH1502" s="9">
        <f>VLOOKUP(A1502,Jogos!A:BN,66,0)</f>
        <v>29.365</v>
      </c>
      <c r="BI1502" s="9"/>
      <c r="BJ1502" s="9"/>
    </row>
    <row r="1503" hidden="1">
      <c r="A1503" s="2">
        <v>51.0</v>
      </c>
      <c r="B1503" s="2" t="s">
        <v>1350</v>
      </c>
      <c r="C1503" s="2" t="s">
        <v>1351</v>
      </c>
      <c r="D1503" s="3">
        <v>45837.0</v>
      </c>
      <c r="E1503" s="4">
        <v>0.5</v>
      </c>
      <c r="F1503" s="5" t="str">
        <f>VLOOKUP(A1503,Jogos!A:N,10,0)</f>
        <v>Afternoon</v>
      </c>
      <c r="G1503" s="2" t="s">
        <v>376</v>
      </c>
      <c r="H1503" s="6" t="str">
        <f>VLOOKUP(A1503,Jogos!A:L,12,0)</f>
        <v>Closed</v>
      </c>
      <c r="I1503" s="6" t="str">
        <f>VLOOKUP(G1503,'Estádios e Cidades'!A:B,2,0)</f>
        <v>Atlanta</v>
      </c>
      <c r="J1503" s="2" t="s">
        <v>187</v>
      </c>
      <c r="K1503" s="2" t="str">
        <f>VLOOKUP(J1503,Equipes!A:F,6,0)</f>
        <v>Temperate</v>
      </c>
      <c r="L1503" s="2">
        <f>VLOOKUP(J1503,Equipes!A:C,3,0)</f>
        <v>2</v>
      </c>
      <c r="M1503" s="2" t="str">
        <f t="shared" si="4"/>
        <v>Final</v>
      </c>
      <c r="N1503" s="2" t="s">
        <v>64</v>
      </c>
      <c r="O1503" s="2">
        <f>VLOOKUP(N1503,Equipes!A:C,3,0)</f>
        <v>16</v>
      </c>
      <c r="P1503" s="2" t="str">
        <f t="shared" si="5"/>
        <v>Round of 16</v>
      </c>
      <c r="Q1503" s="2">
        <f t="shared" si="6"/>
        <v>-14</v>
      </c>
      <c r="R1503" s="2" t="str">
        <f>VLOOKUP(J1503,Equipes!A:B,2,0)</f>
        <v>PSG</v>
      </c>
      <c r="S1503" s="6" t="s">
        <v>205</v>
      </c>
      <c r="T1503" s="7">
        <v>51.0</v>
      </c>
      <c r="U1503" s="7" t="s">
        <v>206</v>
      </c>
      <c r="V1503" s="7" t="str">
        <f>VLOOKUP(U1503,Jogadores!B:C,2,0)</f>
        <v>DF</v>
      </c>
      <c r="W1503" s="8">
        <f>VLOOKUP(U1503,Jogadores!B:D,3,0)</f>
        <v>23.79726027</v>
      </c>
      <c r="X1503" s="7">
        <v>0.0</v>
      </c>
      <c r="Y1503" s="7">
        <f t="shared" si="4706"/>
        <v>92</v>
      </c>
      <c r="Z1503" s="7">
        <f>VLOOKUP(A1503,Jogos!A:L,3,0)</f>
        <v>48</v>
      </c>
      <c r="AA1503" s="7">
        <f t="shared" si="4563"/>
        <v>48</v>
      </c>
      <c r="AB1503" s="7">
        <f>VLOOKUP(A1503,Jogos!A:L,4,0)</f>
        <v>47</v>
      </c>
      <c r="AC1503" s="7">
        <f t="shared" si="4683"/>
        <v>47</v>
      </c>
      <c r="AD1503" s="7"/>
      <c r="AE1503" s="7"/>
      <c r="AF1503" s="7">
        <f t="shared" si="4566"/>
        <v>95</v>
      </c>
      <c r="AG1503" s="7">
        <v>8950.9</v>
      </c>
      <c r="AH1503" s="7">
        <v>4156.4</v>
      </c>
      <c r="AI1503" s="7">
        <v>3139.8</v>
      </c>
      <c r="AJ1503" s="7">
        <v>950.7</v>
      </c>
      <c r="AK1503" s="7">
        <v>568.7</v>
      </c>
      <c r="AL1503" s="7">
        <v>135.4</v>
      </c>
      <c r="AM1503" s="7">
        <v>83.0</v>
      </c>
      <c r="AN1503" s="7">
        <v>41.0</v>
      </c>
      <c r="AO1503" s="7">
        <v>31.5</v>
      </c>
      <c r="AP1503" s="9">
        <f t="shared" ref="AP1503:AR1503" si="4707">AG1503/$AF1503</f>
        <v>94.22</v>
      </c>
      <c r="AQ1503" s="9">
        <f t="shared" si="4707"/>
        <v>43.75157895</v>
      </c>
      <c r="AR1503" s="9">
        <f t="shared" si="4707"/>
        <v>33.05052632</v>
      </c>
      <c r="AS1503" s="9">
        <f t="shared" si="4568"/>
        <v>76.80210526</v>
      </c>
      <c r="AT1503" s="9">
        <f t="shared" ref="AT1503:AV1503" si="4708">AJ1503/$AF1503</f>
        <v>10.00736842</v>
      </c>
      <c r="AU1503" s="9">
        <f t="shared" si="4708"/>
        <v>5.986315789</v>
      </c>
      <c r="AV1503" s="9">
        <f t="shared" si="4708"/>
        <v>1.425263158</v>
      </c>
      <c r="AW1503" s="9">
        <f t="shared" si="4570"/>
        <v>7.411578947</v>
      </c>
      <c r="AX1503" s="9">
        <f t="shared" ref="AX1503:AY1503" si="4709">AM1503/$AF1503</f>
        <v>0.8736842105</v>
      </c>
      <c r="AY1503" s="9">
        <f t="shared" si="4709"/>
        <v>0.4315789474</v>
      </c>
      <c r="AZ1503" s="9">
        <f>VLOOKUP(A1503,Jogos!A:BN,58,0)</f>
        <v>30</v>
      </c>
      <c r="BA1503" s="9">
        <f>VLOOKUP(A1503,Jogos!A:BN,59,0)</f>
        <v>20.57</v>
      </c>
      <c r="BB1503" s="9">
        <f>VLOOKUP(A1503,Jogos!A:BN,60,0)</f>
        <v>56.5</v>
      </c>
      <c r="BC1503" s="9">
        <f>VLOOKUP(A1503,Jogos!A:BN,61,0)</f>
        <v>30.35</v>
      </c>
      <c r="BD1503" s="9">
        <f>VLOOKUP(A1503,Jogos!A:BN,62,0)</f>
        <v>762.85</v>
      </c>
      <c r="BE1503" s="9">
        <f>VLOOKUP(A1503,Jogos!A:BN,63,0)</f>
        <v>1.065</v>
      </c>
      <c r="BF1503" s="9">
        <f>VLOOKUP(A1503,Jogos!A:BN,64,0)</f>
        <v>24.835</v>
      </c>
      <c r="BG1503" s="9">
        <f>VLOOKUP(A1503,Jogos!A:BN,65,0)</f>
        <v>44.91</v>
      </c>
      <c r="BH1503" s="9">
        <f>VLOOKUP(A1503,Jogos!A:BN,66,0)</f>
        <v>29.365</v>
      </c>
      <c r="BI1503" s="9"/>
      <c r="BJ1503" s="9"/>
    </row>
    <row r="1504" hidden="1">
      <c r="A1504" s="2">
        <v>51.0</v>
      </c>
      <c r="B1504" s="2" t="s">
        <v>1350</v>
      </c>
      <c r="C1504" s="2" t="s">
        <v>1351</v>
      </c>
      <c r="D1504" s="3">
        <v>45837.0</v>
      </c>
      <c r="E1504" s="4">
        <v>0.5</v>
      </c>
      <c r="F1504" s="5" t="str">
        <f>VLOOKUP(A1504,Jogos!A:N,10,0)</f>
        <v>Afternoon</v>
      </c>
      <c r="G1504" s="2" t="s">
        <v>376</v>
      </c>
      <c r="H1504" s="6" t="str">
        <f>VLOOKUP(A1504,Jogos!A:L,12,0)</f>
        <v>Closed</v>
      </c>
      <c r="I1504" s="6" t="str">
        <f>VLOOKUP(G1504,'Estádios e Cidades'!A:B,2,0)</f>
        <v>Atlanta</v>
      </c>
      <c r="J1504" s="2" t="s">
        <v>187</v>
      </c>
      <c r="K1504" s="2" t="str">
        <f>VLOOKUP(J1504,Equipes!A:F,6,0)</f>
        <v>Temperate</v>
      </c>
      <c r="L1504" s="2">
        <f>VLOOKUP(J1504,Equipes!A:C,3,0)</f>
        <v>2</v>
      </c>
      <c r="M1504" s="2" t="str">
        <f t="shared" si="4"/>
        <v>Final</v>
      </c>
      <c r="N1504" s="2" t="s">
        <v>64</v>
      </c>
      <c r="O1504" s="2">
        <f>VLOOKUP(N1504,Equipes!A:C,3,0)</f>
        <v>16</v>
      </c>
      <c r="P1504" s="2" t="str">
        <f t="shared" si="5"/>
        <v>Round of 16</v>
      </c>
      <c r="Q1504" s="2">
        <f t="shared" si="6"/>
        <v>-14</v>
      </c>
      <c r="R1504" s="2" t="str">
        <f>VLOOKUP(J1504,Equipes!A:B,2,0)</f>
        <v>PSG</v>
      </c>
      <c r="S1504" s="6" t="s">
        <v>207</v>
      </c>
      <c r="T1504" s="7">
        <v>87.0</v>
      </c>
      <c r="U1504" s="7" t="s">
        <v>208</v>
      </c>
      <c r="V1504" s="7" t="str">
        <f>VLOOKUP(U1504,Jogadores!B:C,2,0)</f>
        <v>MF</v>
      </c>
      <c r="W1504" s="8">
        <f>VLOOKUP(U1504,Jogadores!B:D,3,0)</f>
        <v>20.84657534</v>
      </c>
      <c r="X1504" s="7">
        <v>0.0</v>
      </c>
      <c r="Y1504" s="7">
        <v>62.0</v>
      </c>
      <c r="Z1504" s="7">
        <f>VLOOKUP(A1504,Jogos!A:L,3,0)</f>
        <v>48</v>
      </c>
      <c r="AA1504" s="7">
        <f t="shared" si="4563"/>
        <v>48</v>
      </c>
      <c r="AB1504" s="7">
        <f>VLOOKUP(A1504,Jogos!A:L,4,0)</f>
        <v>47</v>
      </c>
      <c r="AC1504" s="7">
        <f t="shared" si="4683"/>
        <v>17</v>
      </c>
      <c r="AD1504" s="7"/>
      <c r="AE1504" s="7"/>
      <c r="AF1504" s="7">
        <f t="shared" si="4566"/>
        <v>65</v>
      </c>
      <c r="AG1504" s="7">
        <v>7941.0</v>
      </c>
      <c r="AH1504" s="7">
        <v>2303.5</v>
      </c>
      <c r="AI1504" s="7">
        <v>3751.3</v>
      </c>
      <c r="AJ1504" s="7">
        <v>1264.5</v>
      </c>
      <c r="AK1504" s="7">
        <v>484.7</v>
      </c>
      <c r="AL1504" s="7">
        <v>137.1</v>
      </c>
      <c r="AM1504" s="7">
        <v>122.0</v>
      </c>
      <c r="AN1504" s="7">
        <v>38.0</v>
      </c>
      <c r="AO1504" s="7">
        <v>30.5</v>
      </c>
      <c r="AP1504" s="9">
        <f t="shared" ref="AP1504:AR1504" si="4710">AG1504/$AF1504</f>
        <v>122.1692308</v>
      </c>
      <c r="AQ1504" s="9">
        <f t="shared" si="4710"/>
        <v>35.43846154</v>
      </c>
      <c r="AR1504" s="9">
        <f t="shared" si="4710"/>
        <v>57.71230769</v>
      </c>
      <c r="AS1504" s="9">
        <f t="shared" si="4568"/>
        <v>93.15076923</v>
      </c>
      <c r="AT1504" s="9">
        <f t="shared" ref="AT1504:AV1504" si="4711">AJ1504/$AF1504</f>
        <v>19.45384615</v>
      </c>
      <c r="AU1504" s="9">
        <f t="shared" si="4711"/>
        <v>7.456923077</v>
      </c>
      <c r="AV1504" s="9">
        <f t="shared" si="4711"/>
        <v>2.109230769</v>
      </c>
      <c r="AW1504" s="9">
        <f t="shared" si="4570"/>
        <v>9.566153846</v>
      </c>
      <c r="AX1504" s="9">
        <f t="shared" ref="AX1504:AY1504" si="4712">AM1504/$AF1504</f>
        <v>1.876923077</v>
      </c>
      <c r="AY1504" s="9">
        <f t="shared" si="4712"/>
        <v>0.5846153846</v>
      </c>
      <c r="AZ1504" s="9">
        <f>VLOOKUP(A1504,Jogos!A:BN,58,0)</f>
        <v>30</v>
      </c>
      <c r="BA1504" s="9">
        <f>VLOOKUP(A1504,Jogos!A:BN,59,0)</f>
        <v>20.57</v>
      </c>
      <c r="BB1504" s="9">
        <f>VLOOKUP(A1504,Jogos!A:BN,60,0)</f>
        <v>56.5</v>
      </c>
      <c r="BC1504" s="9">
        <f>VLOOKUP(A1504,Jogos!A:BN,61,0)</f>
        <v>30.35</v>
      </c>
      <c r="BD1504" s="9">
        <f>VLOOKUP(A1504,Jogos!A:BN,62,0)</f>
        <v>762.85</v>
      </c>
      <c r="BE1504" s="9">
        <f>VLOOKUP(A1504,Jogos!A:BN,63,0)</f>
        <v>1.065</v>
      </c>
      <c r="BF1504" s="9">
        <f>VLOOKUP(A1504,Jogos!A:BN,64,0)</f>
        <v>24.835</v>
      </c>
      <c r="BG1504" s="9">
        <f>VLOOKUP(A1504,Jogos!A:BN,65,0)</f>
        <v>44.91</v>
      </c>
      <c r="BH1504" s="9">
        <f>VLOOKUP(A1504,Jogos!A:BN,66,0)</f>
        <v>29.365</v>
      </c>
      <c r="BI1504" s="9"/>
      <c r="BJ1504" s="9"/>
    </row>
    <row r="1505" hidden="1">
      <c r="A1505" s="2">
        <v>51.0</v>
      </c>
      <c r="B1505" s="2" t="s">
        <v>1350</v>
      </c>
      <c r="C1505" s="2" t="s">
        <v>1351</v>
      </c>
      <c r="D1505" s="3">
        <v>45837.0</v>
      </c>
      <c r="E1505" s="4">
        <v>0.5</v>
      </c>
      <c r="F1505" s="5" t="str">
        <f>VLOOKUP(A1505,Jogos!A:N,10,0)</f>
        <v>Afternoon</v>
      </c>
      <c r="G1505" s="2" t="s">
        <v>376</v>
      </c>
      <c r="H1505" s="6" t="str">
        <f>VLOOKUP(A1505,Jogos!A:L,12,0)</f>
        <v>Closed</v>
      </c>
      <c r="I1505" s="6" t="str">
        <f>VLOOKUP(G1505,'Estádios e Cidades'!A:B,2,0)</f>
        <v>Atlanta</v>
      </c>
      <c r="J1505" s="2" t="s">
        <v>187</v>
      </c>
      <c r="K1505" s="2" t="str">
        <f>VLOOKUP(J1505,Equipes!A:F,6,0)</f>
        <v>Temperate</v>
      </c>
      <c r="L1505" s="2">
        <f>VLOOKUP(J1505,Equipes!A:C,3,0)</f>
        <v>2</v>
      </c>
      <c r="M1505" s="2" t="str">
        <f t="shared" si="4"/>
        <v>Final</v>
      </c>
      <c r="N1505" s="2" t="s">
        <v>64</v>
      </c>
      <c r="O1505" s="2">
        <f>VLOOKUP(N1505,Equipes!A:C,3,0)</f>
        <v>16</v>
      </c>
      <c r="P1505" s="2" t="str">
        <f t="shared" si="5"/>
        <v>Round of 16</v>
      </c>
      <c r="Q1505" s="2">
        <f t="shared" si="6"/>
        <v>-14</v>
      </c>
      <c r="R1505" s="2" t="str">
        <f>VLOOKUP(J1505,Equipes!A:B,2,0)</f>
        <v>PSG</v>
      </c>
      <c r="S1505" s="6" t="s">
        <v>1094</v>
      </c>
      <c r="T1505" s="7">
        <v>4.0</v>
      </c>
      <c r="U1505" s="7" t="s">
        <v>1095</v>
      </c>
      <c r="V1505" s="7" t="str">
        <f>VLOOKUP(U1505,Jogadores!B:C,2,0)</f>
        <v>DF</v>
      </c>
      <c r="W1505" s="8">
        <f>VLOOKUP(U1505,Jogadores!B:D,3,0)</f>
        <v>21.69041096</v>
      </c>
      <c r="X1505" s="7">
        <v>45.0</v>
      </c>
      <c r="Y1505" s="7">
        <f t="shared" ref="Y1505:Y1510" si="4716">45+AB1505</f>
        <v>92</v>
      </c>
      <c r="Z1505" s="7">
        <f>VLOOKUP(A1505,Jogos!A:L,3,0)</f>
        <v>48</v>
      </c>
      <c r="AA1505" s="7">
        <f t="shared" si="4563"/>
        <v>0</v>
      </c>
      <c r="AB1505" s="7">
        <f>VLOOKUP(A1505,Jogos!A:L,4,0)</f>
        <v>47</v>
      </c>
      <c r="AC1505" s="7">
        <f t="shared" si="4683"/>
        <v>47</v>
      </c>
      <c r="AD1505" s="7"/>
      <c r="AE1505" s="7"/>
      <c r="AF1505" s="7">
        <f t="shared" si="4566"/>
        <v>47</v>
      </c>
      <c r="AG1505" s="7">
        <v>4846.8</v>
      </c>
      <c r="AH1505" s="7">
        <v>2007.8</v>
      </c>
      <c r="AI1505" s="7">
        <v>1917.9</v>
      </c>
      <c r="AJ1505" s="7">
        <v>595.6</v>
      </c>
      <c r="AK1505" s="7">
        <v>257.9</v>
      </c>
      <c r="AL1505" s="7">
        <v>67.6</v>
      </c>
      <c r="AM1505" s="7">
        <v>42.0</v>
      </c>
      <c r="AN1505" s="7">
        <v>16.0</v>
      </c>
      <c r="AO1505" s="7">
        <v>31.0</v>
      </c>
      <c r="AP1505" s="9">
        <f t="shared" ref="AP1505:AR1505" si="4713">AG1505/$AF1505</f>
        <v>103.1234043</v>
      </c>
      <c r="AQ1505" s="9">
        <f t="shared" si="4713"/>
        <v>42.71914894</v>
      </c>
      <c r="AR1505" s="9">
        <f t="shared" si="4713"/>
        <v>40.80638298</v>
      </c>
      <c r="AS1505" s="9">
        <f t="shared" si="4568"/>
        <v>83.52553191</v>
      </c>
      <c r="AT1505" s="9">
        <f t="shared" ref="AT1505:AV1505" si="4714">AJ1505/$AF1505</f>
        <v>12.67234043</v>
      </c>
      <c r="AU1505" s="9">
        <f t="shared" si="4714"/>
        <v>5.487234043</v>
      </c>
      <c r="AV1505" s="9">
        <f t="shared" si="4714"/>
        <v>1.438297872</v>
      </c>
      <c r="AW1505" s="9">
        <f t="shared" si="4570"/>
        <v>6.925531915</v>
      </c>
      <c r="AX1505" s="9">
        <f t="shared" ref="AX1505:AY1505" si="4715">AM1505/$AF1505</f>
        <v>0.8936170213</v>
      </c>
      <c r="AY1505" s="9">
        <f t="shared" si="4715"/>
        <v>0.3404255319</v>
      </c>
      <c r="AZ1505" s="9">
        <f>VLOOKUP(A1505,Jogos!A:BN,58,0)</f>
        <v>30</v>
      </c>
      <c r="BA1505" s="9">
        <f>VLOOKUP(A1505,Jogos!A:BN,59,0)</f>
        <v>20.57</v>
      </c>
      <c r="BB1505" s="9">
        <f>VLOOKUP(A1505,Jogos!A:BN,60,0)</f>
        <v>56.5</v>
      </c>
      <c r="BC1505" s="9">
        <f>VLOOKUP(A1505,Jogos!A:BN,61,0)</f>
        <v>30.35</v>
      </c>
      <c r="BD1505" s="9">
        <f>VLOOKUP(A1505,Jogos!A:BN,62,0)</f>
        <v>762.85</v>
      </c>
      <c r="BE1505" s="9">
        <f>VLOOKUP(A1505,Jogos!A:BN,63,0)</f>
        <v>1.065</v>
      </c>
      <c r="BF1505" s="9">
        <f>VLOOKUP(A1505,Jogos!A:BN,64,0)</f>
        <v>24.835</v>
      </c>
      <c r="BG1505" s="9">
        <f>VLOOKUP(A1505,Jogos!A:BN,65,0)</f>
        <v>44.91</v>
      </c>
      <c r="BH1505" s="9">
        <f>VLOOKUP(A1505,Jogos!A:BN,66,0)</f>
        <v>29.365</v>
      </c>
      <c r="BI1505" s="9"/>
      <c r="BJ1505" s="9"/>
    </row>
    <row r="1506" hidden="1">
      <c r="A1506" s="2">
        <v>51.0</v>
      </c>
      <c r="B1506" s="2" t="s">
        <v>1350</v>
      </c>
      <c r="C1506" s="2" t="s">
        <v>1351</v>
      </c>
      <c r="D1506" s="3">
        <v>45837.0</v>
      </c>
      <c r="E1506" s="4">
        <v>0.5</v>
      </c>
      <c r="F1506" s="5" t="str">
        <f>VLOOKUP(A1506,Jogos!A:N,10,0)</f>
        <v>Afternoon</v>
      </c>
      <c r="G1506" s="2" t="s">
        <v>376</v>
      </c>
      <c r="H1506" s="6" t="str">
        <f>VLOOKUP(A1506,Jogos!A:L,12,0)</f>
        <v>Closed</v>
      </c>
      <c r="I1506" s="6" t="str">
        <f>VLOOKUP(G1506,'Estádios e Cidades'!A:B,2,0)</f>
        <v>Atlanta</v>
      </c>
      <c r="J1506" s="2" t="s">
        <v>187</v>
      </c>
      <c r="K1506" s="2" t="str">
        <f>VLOOKUP(J1506,Equipes!A:F,6,0)</f>
        <v>Temperate</v>
      </c>
      <c r="L1506" s="2">
        <f>VLOOKUP(J1506,Equipes!A:C,3,0)</f>
        <v>2</v>
      </c>
      <c r="M1506" s="2" t="str">
        <f t="shared" si="4"/>
        <v>Final</v>
      </c>
      <c r="N1506" s="2" t="s">
        <v>64</v>
      </c>
      <c r="O1506" s="2">
        <f>VLOOKUP(N1506,Equipes!A:C,3,0)</f>
        <v>16</v>
      </c>
      <c r="P1506" s="2" t="str">
        <f t="shared" si="5"/>
        <v>Round of 16</v>
      </c>
      <c r="Q1506" s="2">
        <f t="shared" si="6"/>
        <v>-14</v>
      </c>
      <c r="R1506" s="2" t="str">
        <f>VLOOKUP(J1506,Equipes!A:B,2,0)</f>
        <v>PSG</v>
      </c>
      <c r="S1506" s="6" t="s">
        <v>1366</v>
      </c>
      <c r="T1506" s="7">
        <v>10.0</v>
      </c>
      <c r="U1506" s="7" t="s">
        <v>1367</v>
      </c>
      <c r="V1506" s="7" t="str">
        <f>VLOOKUP(U1506,Jogadores!B:C,2,0)</f>
        <v>FW</v>
      </c>
      <c r="W1506" s="8">
        <f>VLOOKUP(U1506,Jogadores!B:D,3,0)</f>
        <v>28.22191781</v>
      </c>
      <c r="X1506" s="7">
        <v>62.0</v>
      </c>
      <c r="Y1506" s="7">
        <f t="shared" si="4716"/>
        <v>92</v>
      </c>
      <c r="Z1506" s="7">
        <f>VLOOKUP(A1506,Jogos!A:L,3,0)</f>
        <v>48</v>
      </c>
      <c r="AA1506" s="7">
        <f t="shared" si="4563"/>
        <v>0</v>
      </c>
      <c r="AB1506" s="7">
        <f>VLOOKUP(A1506,Jogos!A:L,4,0)</f>
        <v>47</v>
      </c>
      <c r="AC1506" s="7">
        <f t="shared" si="4683"/>
        <v>30</v>
      </c>
      <c r="AD1506" s="7"/>
      <c r="AE1506" s="7"/>
      <c r="AF1506" s="7">
        <f t="shared" si="4566"/>
        <v>30</v>
      </c>
      <c r="AG1506" s="7">
        <v>3691.7</v>
      </c>
      <c r="AH1506" s="7">
        <v>1201.2</v>
      </c>
      <c r="AI1506" s="7">
        <v>1474.6</v>
      </c>
      <c r="AJ1506" s="7">
        <v>777.7</v>
      </c>
      <c r="AK1506" s="7">
        <v>194.4</v>
      </c>
      <c r="AL1506" s="7">
        <v>43.9</v>
      </c>
      <c r="AM1506" s="7">
        <v>56.0</v>
      </c>
      <c r="AN1506" s="7">
        <v>13.0</v>
      </c>
      <c r="AO1506" s="7">
        <v>28.9</v>
      </c>
      <c r="AP1506" s="9">
        <f t="shared" ref="AP1506:AR1506" si="4717">AG1506/$AF1506</f>
        <v>123.0566667</v>
      </c>
      <c r="AQ1506" s="9">
        <f t="shared" si="4717"/>
        <v>40.04</v>
      </c>
      <c r="AR1506" s="9">
        <f t="shared" si="4717"/>
        <v>49.15333333</v>
      </c>
      <c r="AS1506" s="9">
        <f t="shared" si="4568"/>
        <v>89.19333333</v>
      </c>
      <c r="AT1506" s="9">
        <f t="shared" ref="AT1506:AV1506" si="4718">AJ1506/$AF1506</f>
        <v>25.92333333</v>
      </c>
      <c r="AU1506" s="9">
        <f t="shared" si="4718"/>
        <v>6.48</v>
      </c>
      <c r="AV1506" s="9">
        <f t="shared" si="4718"/>
        <v>1.463333333</v>
      </c>
      <c r="AW1506" s="9">
        <f t="shared" si="4570"/>
        <v>7.943333333</v>
      </c>
      <c r="AX1506" s="9">
        <f t="shared" ref="AX1506:AY1506" si="4719">AM1506/$AF1506</f>
        <v>1.866666667</v>
      </c>
      <c r="AY1506" s="9">
        <f t="shared" si="4719"/>
        <v>0.4333333333</v>
      </c>
      <c r="AZ1506" s="9">
        <f>VLOOKUP(A1506,Jogos!A:BN,58,0)</f>
        <v>30</v>
      </c>
      <c r="BA1506" s="9">
        <f>VLOOKUP(A1506,Jogos!A:BN,59,0)</f>
        <v>20.57</v>
      </c>
      <c r="BB1506" s="9">
        <f>VLOOKUP(A1506,Jogos!A:BN,60,0)</f>
        <v>56.5</v>
      </c>
      <c r="BC1506" s="9">
        <f>VLOOKUP(A1506,Jogos!A:BN,61,0)</f>
        <v>30.35</v>
      </c>
      <c r="BD1506" s="9">
        <f>VLOOKUP(A1506,Jogos!A:BN,62,0)</f>
        <v>762.85</v>
      </c>
      <c r="BE1506" s="9">
        <f>VLOOKUP(A1506,Jogos!A:BN,63,0)</f>
        <v>1.065</v>
      </c>
      <c r="BF1506" s="9">
        <f>VLOOKUP(A1506,Jogos!A:BN,64,0)</f>
        <v>24.835</v>
      </c>
      <c r="BG1506" s="9">
        <f>VLOOKUP(A1506,Jogos!A:BN,65,0)</f>
        <v>44.91</v>
      </c>
      <c r="BH1506" s="9">
        <f>VLOOKUP(A1506,Jogos!A:BN,66,0)</f>
        <v>29.365</v>
      </c>
      <c r="BI1506" s="9"/>
      <c r="BJ1506" s="9"/>
    </row>
    <row r="1507" hidden="1">
      <c r="A1507" s="2">
        <v>51.0</v>
      </c>
      <c r="B1507" s="2" t="s">
        <v>1350</v>
      </c>
      <c r="C1507" s="2" t="s">
        <v>1351</v>
      </c>
      <c r="D1507" s="3">
        <v>45837.0</v>
      </c>
      <c r="E1507" s="4">
        <v>0.5</v>
      </c>
      <c r="F1507" s="5" t="str">
        <f>VLOOKUP(A1507,Jogos!A:N,10,0)</f>
        <v>Afternoon</v>
      </c>
      <c r="G1507" s="2" t="s">
        <v>376</v>
      </c>
      <c r="H1507" s="6" t="str">
        <f>VLOOKUP(A1507,Jogos!A:L,12,0)</f>
        <v>Closed</v>
      </c>
      <c r="I1507" s="6" t="str">
        <f>VLOOKUP(G1507,'Estádios e Cidades'!A:B,2,0)</f>
        <v>Atlanta</v>
      </c>
      <c r="J1507" s="2" t="s">
        <v>187</v>
      </c>
      <c r="K1507" s="2" t="str">
        <f>VLOOKUP(J1507,Equipes!A:F,6,0)</f>
        <v>Temperate</v>
      </c>
      <c r="L1507" s="2">
        <f>VLOOKUP(J1507,Equipes!A:C,3,0)</f>
        <v>2</v>
      </c>
      <c r="M1507" s="2" t="str">
        <f t="shared" si="4"/>
        <v>Final</v>
      </c>
      <c r="N1507" s="2" t="s">
        <v>64</v>
      </c>
      <c r="O1507" s="2">
        <f>VLOOKUP(N1507,Equipes!A:C,3,0)</f>
        <v>16</v>
      </c>
      <c r="P1507" s="2" t="str">
        <f t="shared" si="5"/>
        <v>Round of 16</v>
      </c>
      <c r="Q1507" s="2">
        <f t="shared" si="6"/>
        <v>-14</v>
      </c>
      <c r="R1507" s="2" t="str">
        <f>VLOOKUP(J1507,Equipes!A:B,2,0)</f>
        <v>PSG</v>
      </c>
      <c r="S1507" s="6" t="s">
        <v>209</v>
      </c>
      <c r="T1507" s="7">
        <v>19.0</v>
      </c>
      <c r="U1507" s="7" t="s">
        <v>210</v>
      </c>
      <c r="V1507" s="7" t="str">
        <f>VLOOKUP(U1507,Jogadores!B:C,2,0)</f>
        <v>MF</v>
      </c>
      <c r="W1507" s="8">
        <f>VLOOKUP(U1507,Jogadores!B:D,3,0)</f>
        <v>24.45205479</v>
      </c>
      <c r="X1507" s="7">
        <v>70.0</v>
      </c>
      <c r="Y1507" s="7">
        <f t="shared" si="4716"/>
        <v>92</v>
      </c>
      <c r="Z1507" s="7">
        <f>VLOOKUP(A1507,Jogos!A:L,3,0)</f>
        <v>48</v>
      </c>
      <c r="AA1507" s="7">
        <f t="shared" si="4563"/>
        <v>0</v>
      </c>
      <c r="AB1507" s="7">
        <f>VLOOKUP(A1507,Jogos!A:L,4,0)</f>
        <v>47</v>
      </c>
      <c r="AC1507" s="7">
        <f t="shared" si="4683"/>
        <v>22</v>
      </c>
      <c r="AD1507" s="7"/>
      <c r="AE1507" s="7"/>
      <c r="AF1507" s="7">
        <f t="shared" si="4566"/>
        <v>22</v>
      </c>
      <c r="AG1507" s="7">
        <v>2594.3</v>
      </c>
      <c r="AH1507" s="7">
        <v>843.3</v>
      </c>
      <c r="AI1507" s="7">
        <v>1009.8</v>
      </c>
      <c r="AJ1507" s="7">
        <v>396.7</v>
      </c>
      <c r="AK1507" s="7">
        <v>206.8</v>
      </c>
      <c r="AL1507" s="7">
        <v>137.7</v>
      </c>
      <c r="AM1507" s="7">
        <v>37.0</v>
      </c>
      <c r="AN1507" s="7">
        <v>12.0</v>
      </c>
      <c r="AO1507" s="7">
        <v>29.6</v>
      </c>
      <c r="AP1507" s="9">
        <f t="shared" ref="AP1507:AR1507" si="4720">AG1507/$AF1507</f>
        <v>117.9227273</v>
      </c>
      <c r="AQ1507" s="9">
        <f t="shared" si="4720"/>
        <v>38.33181818</v>
      </c>
      <c r="AR1507" s="9">
        <f t="shared" si="4720"/>
        <v>45.9</v>
      </c>
      <c r="AS1507" s="9">
        <f t="shared" si="4568"/>
        <v>84.23181818</v>
      </c>
      <c r="AT1507" s="9">
        <f t="shared" ref="AT1507:AV1507" si="4721">AJ1507/$AF1507</f>
        <v>18.03181818</v>
      </c>
      <c r="AU1507" s="9">
        <f t="shared" si="4721"/>
        <v>9.4</v>
      </c>
      <c r="AV1507" s="9">
        <f t="shared" si="4721"/>
        <v>6.259090909</v>
      </c>
      <c r="AW1507" s="9">
        <f t="shared" si="4570"/>
        <v>15.65909091</v>
      </c>
      <c r="AX1507" s="9">
        <f t="shared" ref="AX1507:AY1507" si="4722">AM1507/$AF1507</f>
        <v>1.681818182</v>
      </c>
      <c r="AY1507" s="9">
        <f t="shared" si="4722"/>
        <v>0.5454545455</v>
      </c>
      <c r="AZ1507" s="9">
        <f>VLOOKUP(A1507,Jogos!A:BN,58,0)</f>
        <v>30</v>
      </c>
      <c r="BA1507" s="9">
        <f>VLOOKUP(A1507,Jogos!A:BN,59,0)</f>
        <v>20.57</v>
      </c>
      <c r="BB1507" s="9">
        <f>VLOOKUP(A1507,Jogos!A:BN,60,0)</f>
        <v>56.5</v>
      </c>
      <c r="BC1507" s="9">
        <f>VLOOKUP(A1507,Jogos!A:BN,61,0)</f>
        <v>30.35</v>
      </c>
      <c r="BD1507" s="9">
        <f>VLOOKUP(A1507,Jogos!A:BN,62,0)</f>
        <v>762.85</v>
      </c>
      <c r="BE1507" s="9">
        <f>VLOOKUP(A1507,Jogos!A:BN,63,0)</f>
        <v>1.065</v>
      </c>
      <c r="BF1507" s="9">
        <f>VLOOKUP(A1507,Jogos!A:BN,64,0)</f>
        <v>24.835</v>
      </c>
      <c r="BG1507" s="9">
        <f>VLOOKUP(A1507,Jogos!A:BN,65,0)</f>
        <v>44.91</v>
      </c>
      <c r="BH1507" s="9">
        <f>VLOOKUP(A1507,Jogos!A:BN,66,0)</f>
        <v>29.365</v>
      </c>
      <c r="BI1507" s="9"/>
      <c r="BJ1507" s="9"/>
    </row>
    <row r="1508" hidden="1">
      <c r="A1508" s="2">
        <v>51.0</v>
      </c>
      <c r="B1508" s="2" t="s">
        <v>1350</v>
      </c>
      <c r="C1508" s="2" t="s">
        <v>1351</v>
      </c>
      <c r="D1508" s="3">
        <v>45837.0</v>
      </c>
      <c r="E1508" s="4">
        <v>0.5</v>
      </c>
      <c r="F1508" s="5" t="str">
        <f>VLOOKUP(A1508,Jogos!A:N,10,0)</f>
        <v>Afternoon</v>
      </c>
      <c r="G1508" s="2" t="s">
        <v>376</v>
      </c>
      <c r="H1508" s="6" t="str">
        <f>VLOOKUP(A1508,Jogos!A:L,12,0)</f>
        <v>Closed</v>
      </c>
      <c r="I1508" s="6" t="str">
        <f>VLOOKUP(G1508,'Estádios e Cidades'!A:B,2,0)</f>
        <v>Atlanta</v>
      </c>
      <c r="J1508" s="2" t="s">
        <v>187</v>
      </c>
      <c r="K1508" s="2" t="str">
        <f>VLOOKUP(J1508,Equipes!A:F,6,0)</f>
        <v>Temperate</v>
      </c>
      <c r="L1508" s="2">
        <f>VLOOKUP(J1508,Equipes!A:C,3,0)</f>
        <v>2</v>
      </c>
      <c r="M1508" s="2" t="str">
        <f t="shared" si="4"/>
        <v>Final</v>
      </c>
      <c r="N1508" s="2" t="s">
        <v>64</v>
      </c>
      <c r="O1508" s="2">
        <f>VLOOKUP(N1508,Equipes!A:C,3,0)</f>
        <v>16</v>
      </c>
      <c r="P1508" s="2" t="str">
        <f t="shared" si="5"/>
        <v>Round of 16</v>
      </c>
      <c r="Q1508" s="2">
        <f t="shared" si="6"/>
        <v>-14</v>
      </c>
      <c r="R1508" s="2" t="str">
        <f>VLOOKUP(J1508,Equipes!A:B,2,0)</f>
        <v>PSG</v>
      </c>
      <c r="S1508" s="6" t="s">
        <v>211</v>
      </c>
      <c r="T1508" s="7">
        <v>21.0</v>
      </c>
      <c r="U1508" s="7" t="s">
        <v>212</v>
      </c>
      <c r="V1508" s="7" t="str">
        <f>VLOOKUP(U1508,Jogadores!B:C,2,0)</f>
        <v>DF</v>
      </c>
      <c r="W1508" s="8">
        <f>VLOOKUP(U1508,Jogadores!B:D,3,0)</f>
        <v>29.47123288</v>
      </c>
      <c r="X1508" s="7">
        <v>69.0</v>
      </c>
      <c r="Y1508" s="7">
        <f t="shared" si="4716"/>
        <v>92</v>
      </c>
      <c r="Z1508" s="7">
        <f>VLOOKUP(A1508,Jogos!A:L,3,0)</f>
        <v>48</v>
      </c>
      <c r="AA1508" s="7">
        <f t="shared" si="4563"/>
        <v>0</v>
      </c>
      <c r="AB1508" s="7">
        <f>VLOOKUP(A1508,Jogos!A:L,4,0)</f>
        <v>47</v>
      </c>
      <c r="AC1508" s="7">
        <f t="shared" si="4683"/>
        <v>23</v>
      </c>
      <c r="AD1508" s="7"/>
      <c r="AE1508" s="7"/>
      <c r="AF1508" s="7">
        <f t="shared" si="4566"/>
        <v>23</v>
      </c>
      <c r="AG1508" s="7">
        <v>2530.3</v>
      </c>
      <c r="AH1508" s="7">
        <v>904.5</v>
      </c>
      <c r="AI1508" s="7">
        <v>1037.8</v>
      </c>
      <c r="AJ1508" s="7">
        <v>384.5</v>
      </c>
      <c r="AK1508" s="7">
        <v>159.8</v>
      </c>
      <c r="AL1508" s="7">
        <v>43.7</v>
      </c>
      <c r="AM1508" s="7">
        <v>36.0</v>
      </c>
      <c r="AN1508" s="7">
        <v>11.0</v>
      </c>
      <c r="AO1508" s="7">
        <v>27.0</v>
      </c>
      <c r="AP1508" s="9">
        <f t="shared" ref="AP1508:AR1508" si="4723">AG1508/$AF1508</f>
        <v>110.0130435</v>
      </c>
      <c r="AQ1508" s="9">
        <f t="shared" si="4723"/>
        <v>39.32608696</v>
      </c>
      <c r="AR1508" s="9">
        <f t="shared" si="4723"/>
        <v>45.12173913</v>
      </c>
      <c r="AS1508" s="9">
        <f t="shared" si="4568"/>
        <v>84.44782609</v>
      </c>
      <c r="AT1508" s="9">
        <f t="shared" ref="AT1508:AV1508" si="4724">AJ1508/$AF1508</f>
        <v>16.7173913</v>
      </c>
      <c r="AU1508" s="9">
        <f t="shared" si="4724"/>
        <v>6.947826087</v>
      </c>
      <c r="AV1508" s="9">
        <f t="shared" si="4724"/>
        <v>1.9</v>
      </c>
      <c r="AW1508" s="9">
        <f t="shared" si="4570"/>
        <v>8.847826087</v>
      </c>
      <c r="AX1508" s="9">
        <f t="shared" ref="AX1508:AY1508" si="4725">AM1508/$AF1508</f>
        <v>1.565217391</v>
      </c>
      <c r="AY1508" s="9">
        <f t="shared" si="4725"/>
        <v>0.4782608696</v>
      </c>
      <c r="AZ1508" s="9">
        <f>VLOOKUP(A1508,Jogos!A:BN,58,0)</f>
        <v>30</v>
      </c>
      <c r="BA1508" s="9">
        <f>VLOOKUP(A1508,Jogos!A:BN,59,0)</f>
        <v>20.57</v>
      </c>
      <c r="BB1508" s="9">
        <f>VLOOKUP(A1508,Jogos!A:BN,60,0)</f>
        <v>56.5</v>
      </c>
      <c r="BC1508" s="9">
        <f>VLOOKUP(A1508,Jogos!A:BN,61,0)</f>
        <v>30.35</v>
      </c>
      <c r="BD1508" s="9">
        <f>VLOOKUP(A1508,Jogos!A:BN,62,0)</f>
        <v>762.85</v>
      </c>
      <c r="BE1508" s="9">
        <f>VLOOKUP(A1508,Jogos!A:BN,63,0)</f>
        <v>1.065</v>
      </c>
      <c r="BF1508" s="9">
        <f>VLOOKUP(A1508,Jogos!A:BN,64,0)</f>
        <v>24.835</v>
      </c>
      <c r="BG1508" s="9">
        <f>VLOOKUP(A1508,Jogos!A:BN,65,0)</f>
        <v>44.91</v>
      </c>
      <c r="BH1508" s="9">
        <f>VLOOKUP(A1508,Jogos!A:BN,66,0)</f>
        <v>29.365</v>
      </c>
      <c r="BI1508" s="9"/>
      <c r="BJ1508" s="9"/>
    </row>
    <row r="1509" hidden="1">
      <c r="A1509" s="2">
        <v>51.0</v>
      </c>
      <c r="B1509" s="2" t="s">
        <v>1350</v>
      </c>
      <c r="C1509" s="2" t="s">
        <v>1351</v>
      </c>
      <c r="D1509" s="3">
        <v>45837.0</v>
      </c>
      <c r="E1509" s="4">
        <v>0.5</v>
      </c>
      <c r="F1509" s="5" t="str">
        <f>VLOOKUP(A1509,Jogos!A:N,10,0)</f>
        <v>Afternoon</v>
      </c>
      <c r="G1509" s="2" t="s">
        <v>376</v>
      </c>
      <c r="H1509" s="6" t="str">
        <f>VLOOKUP(A1509,Jogos!A:L,12,0)</f>
        <v>Closed</v>
      </c>
      <c r="I1509" s="6" t="str">
        <f>VLOOKUP(G1509,'Estádios e Cidades'!A:B,2,0)</f>
        <v>Atlanta</v>
      </c>
      <c r="J1509" s="2" t="s">
        <v>187</v>
      </c>
      <c r="K1509" s="2" t="str">
        <f>VLOOKUP(J1509,Equipes!A:F,6,0)</f>
        <v>Temperate</v>
      </c>
      <c r="L1509" s="2">
        <f>VLOOKUP(J1509,Equipes!A:C,3,0)</f>
        <v>2</v>
      </c>
      <c r="M1509" s="2" t="str">
        <f t="shared" si="4"/>
        <v>Final</v>
      </c>
      <c r="N1509" s="2" t="s">
        <v>64</v>
      </c>
      <c r="O1509" s="2">
        <f>VLOOKUP(N1509,Equipes!A:C,3,0)</f>
        <v>16</v>
      </c>
      <c r="P1509" s="2" t="str">
        <f t="shared" si="5"/>
        <v>Round of 16</v>
      </c>
      <c r="Q1509" s="2">
        <f t="shared" si="6"/>
        <v>-14</v>
      </c>
      <c r="R1509" s="2" t="str">
        <f>VLOOKUP(J1509,Equipes!A:B,2,0)</f>
        <v>PSG</v>
      </c>
      <c r="S1509" s="6" t="s">
        <v>215</v>
      </c>
      <c r="T1509" s="7">
        <v>33.0</v>
      </c>
      <c r="U1509" s="7" t="s">
        <v>216</v>
      </c>
      <c r="V1509" s="7" t="str">
        <f>VLOOKUP(U1509,Jogadores!B:C,2,0)</f>
        <v>MF</v>
      </c>
      <c r="W1509" s="8">
        <f>VLOOKUP(U1509,Jogadores!B:D,3,0)</f>
        <v>19.40273973</v>
      </c>
      <c r="X1509" s="7">
        <v>45.0</v>
      </c>
      <c r="Y1509" s="7">
        <f t="shared" si="4716"/>
        <v>92</v>
      </c>
      <c r="Z1509" s="7">
        <f>VLOOKUP(A1509,Jogos!A:L,3,0)</f>
        <v>48</v>
      </c>
      <c r="AA1509" s="7">
        <f t="shared" si="4563"/>
        <v>0</v>
      </c>
      <c r="AB1509" s="7">
        <f>VLOOKUP(A1509,Jogos!A:L,4,0)</f>
        <v>47</v>
      </c>
      <c r="AC1509" s="7">
        <f t="shared" si="4683"/>
        <v>47</v>
      </c>
      <c r="AD1509" s="7"/>
      <c r="AE1509" s="7"/>
      <c r="AF1509" s="7">
        <f t="shared" si="4566"/>
        <v>47</v>
      </c>
      <c r="AG1509" s="7">
        <v>6107.0</v>
      </c>
      <c r="AH1509" s="7">
        <v>1563.3</v>
      </c>
      <c r="AI1509" s="7">
        <v>2902.5</v>
      </c>
      <c r="AJ1509" s="7">
        <v>1121.7</v>
      </c>
      <c r="AK1509" s="7">
        <v>449.5</v>
      </c>
      <c r="AL1509" s="7">
        <v>70.0</v>
      </c>
      <c r="AM1509" s="7">
        <v>93.0</v>
      </c>
      <c r="AN1509" s="7">
        <v>28.0</v>
      </c>
      <c r="AO1509" s="7">
        <v>30.8</v>
      </c>
      <c r="AP1509" s="9">
        <f t="shared" ref="AP1509:AR1509" si="4726">AG1509/$AF1509</f>
        <v>129.9361702</v>
      </c>
      <c r="AQ1509" s="9">
        <f t="shared" si="4726"/>
        <v>33.26170213</v>
      </c>
      <c r="AR1509" s="9">
        <f t="shared" si="4726"/>
        <v>61.75531915</v>
      </c>
      <c r="AS1509" s="9">
        <f t="shared" si="4568"/>
        <v>95.01702128</v>
      </c>
      <c r="AT1509" s="9">
        <f t="shared" ref="AT1509:AV1509" si="4727">AJ1509/$AF1509</f>
        <v>23.86595745</v>
      </c>
      <c r="AU1509" s="9">
        <f t="shared" si="4727"/>
        <v>9.563829787</v>
      </c>
      <c r="AV1509" s="9">
        <f t="shared" si="4727"/>
        <v>1.489361702</v>
      </c>
      <c r="AW1509" s="9">
        <f t="shared" si="4570"/>
        <v>11.05319149</v>
      </c>
      <c r="AX1509" s="9">
        <f t="shared" ref="AX1509:AY1509" si="4728">AM1509/$AF1509</f>
        <v>1.978723404</v>
      </c>
      <c r="AY1509" s="9">
        <f t="shared" si="4728"/>
        <v>0.5957446809</v>
      </c>
      <c r="AZ1509" s="9">
        <f>VLOOKUP(A1509,Jogos!A:BN,58,0)</f>
        <v>30</v>
      </c>
      <c r="BA1509" s="9">
        <f>VLOOKUP(A1509,Jogos!A:BN,59,0)</f>
        <v>20.57</v>
      </c>
      <c r="BB1509" s="9">
        <f>VLOOKUP(A1509,Jogos!A:BN,60,0)</f>
        <v>56.5</v>
      </c>
      <c r="BC1509" s="9">
        <f>VLOOKUP(A1509,Jogos!A:BN,61,0)</f>
        <v>30.35</v>
      </c>
      <c r="BD1509" s="9">
        <f>VLOOKUP(A1509,Jogos!A:BN,62,0)</f>
        <v>762.85</v>
      </c>
      <c r="BE1509" s="9">
        <f>VLOOKUP(A1509,Jogos!A:BN,63,0)</f>
        <v>1.065</v>
      </c>
      <c r="BF1509" s="9">
        <f>VLOOKUP(A1509,Jogos!A:BN,64,0)</f>
        <v>24.835</v>
      </c>
      <c r="BG1509" s="9">
        <f>VLOOKUP(A1509,Jogos!A:BN,65,0)</f>
        <v>44.91</v>
      </c>
      <c r="BH1509" s="9">
        <f>VLOOKUP(A1509,Jogos!A:BN,66,0)</f>
        <v>29.365</v>
      </c>
      <c r="BI1509" s="9"/>
      <c r="BJ1509" s="9"/>
    </row>
    <row r="1510" hidden="1">
      <c r="A1510" s="2">
        <v>51.0</v>
      </c>
      <c r="B1510" s="2" t="s">
        <v>1350</v>
      </c>
      <c r="C1510" s="2" t="s">
        <v>1351</v>
      </c>
      <c r="D1510" s="3">
        <v>45837.0</v>
      </c>
      <c r="E1510" s="4">
        <v>0.5</v>
      </c>
      <c r="F1510" s="5" t="str">
        <f>VLOOKUP(A1510,Jogos!A:N,10,0)</f>
        <v>Afternoon</v>
      </c>
      <c r="G1510" s="2" t="s">
        <v>376</v>
      </c>
      <c r="H1510" s="6" t="str">
        <f>VLOOKUP(A1510,Jogos!A:L,12,0)</f>
        <v>Closed</v>
      </c>
      <c r="I1510" s="6" t="str">
        <f>VLOOKUP(G1510,'Estádios e Cidades'!A:B,2,0)</f>
        <v>Atlanta</v>
      </c>
      <c r="J1510" s="2" t="s">
        <v>64</v>
      </c>
      <c r="K1510" s="2" t="str">
        <f>VLOOKUP(J1510,Equipes!A:F,6,0)</f>
        <v>Tropical</v>
      </c>
      <c r="L1510" s="2">
        <f>VLOOKUP(J1510,Equipes!A:C,3,0)</f>
        <v>16</v>
      </c>
      <c r="M1510" s="2" t="str">
        <f t="shared" si="4"/>
        <v>Round of 16</v>
      </c>
      <c r="N1510" s="2" t="s">
        <v>187</v>
      </c>
      <c r="O1510" s="2">
        <f>VLOOKUP(N1510,Equipes!A:C,3,0)</f>
        <v>2</v>
      </c>
      <c r="P1510" s="2" t="str">
        <f t="shared" si="5"/>
        <v>Final</v>
      </c>
      <c r="Q1510" s="2">
        <f t="shared" si="6"/>
        <v>14</v>
      </c>
      <c r="R1510" s="2" t="str">
        <f>VLOOKUP(J1510,Equipes!A:B,2,0)</f>
        <v>InterMiami</v>
      </c>
      <c r="S1510" s="14" t="s">
        <v>95</v>
      </c>
      <c r="T1510" s="7">
        <v>5.0</v>
      </c>
      <c r="U1510" s="7" t="s">
        <v>96</v>
      </c>
      <c r="V1510" s="7" t="str">
        <f>VLOOKUP(U1510,Jogadores!B:C,2,0)</f>
        <v>MF</v>
      </c>
      <c r="W1510" s="8">
        <f>VLOOKUP(U1510,Jogadores!B:D,3,0)</f>
        <v>37.05753425</v>
      </c>
      <c r="X1510" s="7">
        <v>0.0</v>
      </c>
      <c r="Y1510" s="7">
        <f t="shared" si="4716"/>
        <v>92</v>
      </c>
      <c r="Z1510" s="7">
        <f>VLOOKUP(A1510,Jogos!A:L,3,0)</f>
        <v>48</v>
      </c>
      <c r="AA1510" s="7">
        <f t="shared" si="4563"/>
        <v>48</v>
      </c>
      <c r="AB1510" s="7">
        <f>VLOOKUP(A1510,Jogos!A:L,4,0)</f>
        <v>47</v>
      </c>
      <c r="AC1510" s="7">
        <f t="shared" si="4683"/>
        <v>47</v>
      </c>
      <c r="AD1510" s="7"/>
      <c r="AE1510" s="7"/>
      <c r="AF1510" s="7">
        <f t="shared" si="4566"/>
        <v>95</v>
      </c>
      <c r="AG1510" s="7">
        <v>10553.1</v>
      </c>
      <c r="AH1510" s="7">
        <v>3577.9</v>
      </c>
      <c r="AI1510" s="7">
        <v>5302.6</v>
      </c>
      <c r="AJ1510" s="7">
        <v>1243.5</v>
      </c>
      <c r="AK1510" s="7">
        <v>369.3</v>
      </c>
      <c r="AL1510" s="7">
        <v>59.8</v>
      </c>
      <c r="AM1510" s="7">
        <v>118.0</v>
      </c>
      <c r="AN1510" s="7">
        <v>25.0</v>
      </c>
      <c r="AO1510" s="7">
        <v>26.7</v>
      </c>
      <c r="AP1510" s="9">
        <f t="shared" ref="AP1510:AR1510" si="4729">AG1510/$AF1510</f>
        <v>111.0852632</v>
      </c>
      <c r="AQ1510" s="9">
        <f t="shared" si="4729"/>
        <v>37.66210526</v>
      </c>
      <c r="AR1510" s="9">
        <f t="shared" si="4729"/>
        <v>55.81684211</v>
      </c>
      <c r="AS1510" s="9">
        <f t="shared" si="4568"/>
        <v>93.47894737</v>
      </c>
      <c r="AT1510" s="9">
        <f t="shared" ref="AT1510:AV1510" si="4730">AJ1510/$AF1510</f>
        <v>13.08947368</v>
      </c>
      <c r="AU1510" s="9">
        <f t="shared" si="4730"/>
        <v>3.887368421</v>
      </c>
      <c r="AV1510" s="9">
        <f t="shared" si="4730"/>
        <v>0.6294736842</v>
      </c>
      <c r="AW1510" s="9">
        <f t="shared" si="4570"/>
        <v>4.516842105</v>
      </c>
      <c r="AX1510" s="9">
        <f t="shared" ref="AX1510:AY1510" si="4731">AM1510/$AF1510</f>
        <v>1.242105263</v>
      </c>
      <c r="AY1510" s="9">
        <f t="shared" si="4731"/>
        <v>0.2631578947</v>
      </c>
      <c r="AZ1510" s="9">
        <f>VLOOKUP(A1510,Jogos!A:BN,58,0)</f>
        <v>30</v>
      </c>
      <c r="BA1510" s="9">
        <f>VLOOKUP(A1510,Jogos!A:BN,59,0)</f>
        <v>20.57</v>
      </c>
      <c r="BB1510" s="9">
        <f>VLOOKUP(A1510,Jogos!A:BN,60,0)</f>
        <v>56.5</v>
      </c>
      <c r="BC1510" s="9">
        <f>VLOOKUP(A1510,Jogos!A:BN,61,0)</f>
        <v>30.35</v>
      </c>
      <c r="BD1510" s="9">
        <f>VLOOKUP(A1510,Jogos!A:BN,62,0)</f>
        <v>762.85</v>
      </c>
      <c r="BE1510" s="9">
        <f>VLOOKUP(A1510,Jogos!A:BN,63,0)</f>
        <v>1.065</v>
      </c>
      <c r="BF1510" s="9">
        <f>VLOOKUP(A1510,Jogos!A:BN,64,0)</f>
        <v>24.835</v>
      </c>
      <c r="BG1510" s="9">
        <f>VLOOKUP(A1510,Jogos!A:BN,65,0)</f>
        <v>44.91</v>
      </c>
      <c r="BH1510" s="9">
        <f>VLOOKUP(A1510,Jogos!A:BN,66,0)</f>
        <v>29.365</v>
      </c>
      <c r="BI1510" s="9"/>
      <c r="BJ1510" s="9"/>
    </row>
    <row r="1511" hidden="1">
      <c r="A1511" s="2">
        <v>51.0</v>
      </c>
      <c r="B1511" s="2" t="s">
        <v>1350</v>
      </c>
      <c r="C1511" s="2" t="s">
        <v>1351</v>
      </c>
      <c r="D1511" s="3">
        <v>45837.0</v>
      </c>
      <c r="E1511" s="4">
        <v>0.5</v>
      </c>
      <c r="F1511" s="5" t="str">
        <f>VLOOKUP(A1511,Jogos!A:N,10,0)</f>
        <v>Afternoon</v>
      </c>
      <c r="G1511" s="2" t="s">
        <v>376</v>
      </c>
      <c r="H1511" s="6" t="str">
        <f>VLOOKUP(A1511,Jogos!A:L,12,0)</f>
        <v>Closed</v>
      </c>
      <c r="I1511" s="6" t="str">
        <f>VLOOKUP(G1511,'Estádios e Cidades'!A:B,2,0)</f>
        <v>Atlanta</v>
      </c>
      <c r="J1511" s="2" t="s">
        <v>64</v>
      </c>
      <c r="K1511" s="2" t="str">
        <f>VLOOKUP(J1511,Equipes!A:F,6,0)</f>
        <v>Tropical</v>
      </c>
      <c r="L1511" s="2">
        <f>VLOOKUP(J1511,Equipes!A:C,3,0)</f>
        <v>16</v>
      </c>
      <c r="M1511" s="2" t="str">
        <f t="shared" si="4"/>
        <v>Round of 16</v>
      </c>
      <c r="N1511" s="2" t="s">
        <v>187</v>
      </c>
      <c r="O1511" s="2">
        <f>VLOOKUP(N1511,Equipes!A:C,3,0)</f>
        <v>2</v>
      </c>
      <c r="P1511" s="2" t="str">
        <f t="shared" si="5"/>
        <v>Final</v>
      </c>
      <c r="Q1511" s="2">
        <f t="shared" si="6"/>
        <v>14</v>
      </c>
      <c r="R1511" s="2" t="str">
        <f>VLOOKUP(J1511,Equipes!A:B,2,0)</f>
        <v>InterMiami</v>
      </c>
      <c r="S1511" s="6" t="s">
        <v>99</v>
      </c>
      <c r="T1511" s="7">
        <v>8.0</v>
      </c>
      <c r="U1511" s="7" t="s">
        <v>100</v>
      </c>
      <c r="V1511" s="7" t="str">
        <f>VLOOKUP(U1511,Jogadores!B:C,2,0)</f>
        <v>MF</v>
      </c>
      <c r="W1511" s="8">
        <f>VLOOKUP(U1511,Jogadores!B:D,3,0)</f>
        <v>22.3369863</v>
      </c>
      <c r="X1511" s="7">
        <v>0.0</v>
      </c>
      <c r="Y1511" s="7">
        <v>76.0</v>
      </c>
      <c r="Z1511" s="7">
        <f>VLOOKUP(A1511,Jogos!A:L,3,0)</f>
        <v>48</v>
      </c>
      <c r="AA1511" s="7">
        <f t="shared" si="4563"/>
        <v>48</v>
      </c>
      <c r="AB1511" s="7">
        <f>VLOOKUP(A1511,Jogos!A:L,4,0)</f>
        <v>47</v>
      </c>
      <c r="AC1511" s="7">
        <f t="shared" si="4683"/>
        <v>31</v>
      </c>
      <c r="AD1511" s="7"/>
      <c r="AE1511" s="7"/>
      <c r="AF1511" s="7">
        <f t="shared" si="4566"/>
        <v>79</v>
      </c>
      <c r="AG1511" s="7">
        <v>9206.6</v>
      </c>
      <c r="AH1511" s="7">
        <v>3625.8</v>
      </c>
      <c r="AI1511" s="7">
        <v>3367.7</v>
      </c>
      <c r="AJ1511" s="7">
        <v>1506.4</v>
      </c>
      <c r="AK1511" s="7">
        <v>582.1</v>
      </c>
      <c r="AL1511" s="7">
        <v>124.6</v>
      </c>
      <c r="AM1511" s="7">
        <v>131.0</v>
      </c>
      <c r="AN1511" s="7">
        <v>42.0</v>
      </c>
      <c r="AO1511" s="7">
        <v>31.2</v>
      </c>
      <c r="AP1511" s="9">
        <f t="shared" ref="AP1511:AR1511" si="4732">AG1511/$AF1511</f>
        <v>116.5392405</v>
      </c>
      <c r="AQ1511" s="9">
        <f t="shared" si="4732"/>
        <v>45.89620253</v>
      </c>
      <c r="AR1511" s="9">
        <f t="shared" si="4732"/>
        <v>42.62911392</v>
      </c>
      <c r="AS1511" s="9">
        <f t="shared" si="4568"/>
        <v>88.52531646</v>
      </c>
      <c r="AT1511" s="9">
        <f t="shared" ref="AT1511:AV1511" si="4733">AJ1511/$AF1511</f>
        <v>19.06835443</v>
      </c>
      <c r="AU1511" s="9">
        <f t="shared" si="4733"/>
        <v>7.36835443</v>
      </c>
      <c r="AV1511" s="9">
        <f t="shared" si="4733"/>
        <v>1.57721519</v>
      </c>
      <c r="AW1511" s="9">
        <f t="shared" si="4570"/>
        <v>8.94556962</v>
      </c>
      <c r="AX1511" s="9">
        <f t="shared" ref="AX1511:AY1511" si="4734">AM1511/$AF1511</f>
        <v>1.658227848</v>
      </c>
      <c r="AY1511" s="9">
        <f t="shared" si="4734"/>
        <v>0.5316455696</v>
      </c>
      <c r="AZ1511" s="9">
        <f>VLOOKUP(A1511,Jogos!A:BN,58,0)</f>
        <v>30</v>
      </c>
      <c r="BA1511" s="9">
        <f>VLOOKUP(A1511,Jogos!A:BN,59,0)</f>
        <v>20.57</v>
      </c>
      <c r="BB1511" s="9">
        <f>VLOOKUP(A1511,Jogos!A:BN,60,0)</f>
        <v>56.5</v>
      </c>
      <c r="BC1511" s="9">
        <f>VLOOKUP(A1511,Jogos!A:BN,61,0)</f>
        <v>30.35</v>
      </c>
      <c r="BD1511" s="9">
        <f>VLOOKUP(A1511,Jogos!A:BN,62,0)</f>
        <v>762.85</v>
      </c>
      <c r="BE1511" s="9">
        <f>VLOOKUP(A1511,Jogos!A:BN,63,0)</f>
        <v>1.065</v>
      </c>
      <c r="BF1511" s="9">
        <f>VLOOKUP(A1511,Jogos!A:BN,64,0)</f>
        <v>24.835</v>
      </c>
      <c r="BG1511" s="9">
        <f>VLOOKUP(A1511,Jogos!A:BN,65,0)</f>
        <v>44.91</v>
      </c>
      <c r="BH1511" s="9">
        <f>VLOOKUP(A1511,Jogos!A:BN,66,0)</f>
        <v>29.365</v>
      </c>
      <c r="BI1511" s="9"/>
      <c r="BJ1511" s="9"/>
    </row>
    <row r="1512" hidden="1">
      <c r="A1512" s="2">
        <v>51.0</v>
      </c>
      <c r="B1512" s="2" t="s">
        <v>1350</v>
      </c>
      <c r="C1512" s="2" t="s">
        <v>1351</v>
      </c>
      <c r="D1512" s="3">
        <v>45837.0</v>
      </c>
      <c r="E1512" s="4">
        <v>0.5</v>
      </c>
      <c r="F1512" s="5" t="str">
        <f>VLOOKUP(A1512,Jogos!A:N,10,0)</f>
        <v>Afternoon</v>
      </c>
      <c r="G1512" s="2" t="s">
        <v>376</v>
      </c>
      <c r="H1512" s="6" t="str">
        <f>VLOOKUP(A1512,Jogos!A:L,12,0)</f>
        <v>Closed</v>
      </c>
      <c r="I1512" s="6" t="str">
        <f>VLOOKUP(G1512,'Estádios e Cidades'!A:B,2,0)</f>
        <v>Atlanta</v>
      </c>
      <c r="J1512" s="2" t="s">
        <v>64</v>
      </c>
      <c r="K1512" s="2" t="str">
        <f>VLOOKUP(J1512,Equipes!A:F,6,0)</f>
        <v>Tropical</v>
      </c>
      <c r="L1512" s="2">
        <f>VLOOKUP(J1512,Equipes!A:C,3,0)</f>
        <v>16</v>
      </c>
      <c r="M1512" s="2" t="str">
        <f t="shared" si="4"/>
        <v>Round of 16</v>
      </c>
      <c r="N1512" s="2" t="s">
        <v>187</v>
      </c>
      <c r="O1512" s="2">
        <f>VLOOKUP(N1512,Equipes!A:C,3,0)</f>
        <v>2</v>
      </c>
      <c r="P1512" s="2" t="str">
        <f t="shared" si="5"/>
        <v>Final</v>
      </c>
      <c r="Q1512" s="2">
        <f t="shared" si="6"/>
        <v>14</v>
      </c>
      <c r="R1512" s="2" t="str">
        <f>VLOOKUP(J1512,Equipes!A:B,2,0)</f>
        <v>InterMiami</v>
      </c>
      <c r="S1512" s="6" t="s">
        <v>101</v>
      </c>
      <c r="T1512" s="7">
        <v>9.0</v>
      </c>
      <c r="U1512" s="7" t="s">
        <v>102</v>
      </c>
      <c r="V1512" s="7" t="str">
        <f>VLOOKUP(U1512,Jogadores!B:C,2,0)</f>
        <v>FW</v>
      </c>
      <c r="W1512" s="8">
        <f>VLOOKUP(U1512,Jogadores!B:D,3,0)</f>
        <v>38.53424658</v>
      </c>
      <c r="X1512" s="7">
        <v>0.0</v>
      </c>
      <c r="Y1512" s="7">
        <f t="shared" ref="Y1512:Y1515" si="4738">45+AB1512</f>
        <v>92</v>
      </c>
      <c r="Z1512" s="7">
        <f>VLOOKUP(A1512,Jogos!A:L,3,0)</f>
        <v>48</v>
      </c>
      <c r="AA1512" s="7">
        <f t="shared" si="4563"/>
        <v>48</v>
      </c>
      <c r="AB1512" s="7">
        <f>VLOOKUP(A1512,Jogos!A:L,4,0)</f>
        <v>47</v>
      </c>
      <c r="AC1512" s="7">
        <f t="shared" si="4683"/>
        <v>47</v>
      </c>
      <c r="AD1512" s="7"/>
      <c r="AE1512" s="7"/>
      <c r="AF1512" s="7">
        <f t="shared" si="4566"/>
        <v>95</v>
      </c>
      <c r="AG1512" s="7">
        <v>9865.4</v>
      </c>
      <c r="AH1512" s="7">
        <v>3819.7</v>
      </c>
      <c r="AI1512" s="7">
        <v>4038.9</v>
      </c>
      <c r="AJ1512" s="7">
        <v>1200.1</v>
      </c>
      <c r="AK1512" s="7">
        <v>664.6</v>
      </c>
      <c r="AL1512" s="7">
        <v>142.1</v>
      </c>
      <c r="AM1512" s="7">
        <v>103.0</v>
      </c>
      <c r="AN1512" s="7">
        <v>43.0</v>
      </c>
      <c r="AO1512" s="7">
        <v>28.9</v>
      </c>
      <c r="AP1512" s="9">
        <f t="shared" ref="AP1512:AR1512" si="4735">AG1512/$AF1512</f>
        <v>103.8463158</v>
      </c>
      <c r="AQ1512" s="9">
        <f t="shared" si="4735"/>
        <v>40.20736842</v>
      </c>
      <c r="AR1512" s="9">
        <f t="shared" si="4735"/>
        <v>42.51473684</v>
      </c>
      <c r="AS1512" s="9">
        <f t="shared" si="4568"/>
        <v>82.72210526</v>
      </c>
      <c r="AT1512" s="9">
        <f t="shared" ref="AT1512:AV1512" si="4736">AJ1512/$AF1512</f>
        <v>12.63263158</v>
      </c>
      <c r="AU1512" s="9">
        <f t="shared" si="4736"/>
        <v>6.995789474</v>
      </c>
      <c r="AV1512" s="9">
        <f t="shared" si="4736"/>
        <v>1.495789474</v>
      </c>
      <c r="AW1512" s="9">
        <f t="shared" si="4570"/>
        <v>8.491578947</v>
      </c>
      <c r="AX1512" s="9">
        <f t="shared" ref="AX1512:AY1512" si="4737">AM1512/$AF1512</f>
        <v>1.084210526</v>
      </c>
      <c r="AY1512" s="9">
        <f t="shared" si="4737"/>
        <v>0.4526315789</v>
      </c>
      <c r="AZ1512" s="9">
        <f>VLOOKUP(A1512,Jogos!A:BN,58,0)</f>
        <v>30</v>
      </c>
      <c r="BA1512" s="9">
        <f>VLOOKUP(A1512,Jogos!A:BN,59,0)</f>
        <v>20.57</v>
      </c>
      <c r="BB1512" s="9">
        <f>VLOOKUP(A1512,Jogos!A:BN,60,0)</f>
        <v>56.5</v>
      </c>
      <c r="BC1512" s="9">
        <f>VLOOKUP(A1512,Jogos!A:BN,61,0)</f>
        <v>30.35</v>
      </c>
      <c r="BD1512" s="9">
        <f>VLOOKUP(A1512,Jogos!A:BN,62,0)</f>
        <v>762.85</v>
      </c>
      <c r="BE1512" s="9">
        <f>VLOOKUP(A1512,Jogos!A:BN,63,0)</f>
        <v>1.065</v>
      </c>
      <c r="BF1512" s="9">
        <f>VLOOKUP(A1512,Jogos!A:BN,64,0)</f>
        <v>24.835</v>
      </c>
      <c r="BG1512" s="9">
        <f>VLOOKUP(A1512,Jogos!A:BN,65,0)</f>
        <v>44.91</v>
      </c>
      <c r="BH1512" s="9">
        <f>VLOOKUP(A1512,Jogos!A:BN,66,0)</f>
        <v>29.365</v>
      </c>
      <c r="BI1512" s="9"/>
      <c r="BJ1512" s="9"/>
    </row>
    <row r="1513" hidden="1">
      <c r="A1513" s="2">
        <v>51.0</v>
      </c>
      <c r="B1513" s="2" t="s">
        <v>1350</v>
      </c>
      <c r="C1513" s="2" t="s">
        <v>1351</v>
      </c>
      <c r="D1513" s="3">
        <v>45837.0</v>
      </c>
      <c r="E1513" s="4">
        <v>0.5</v>
      </c>
      <c r="F1513" s="5" t="str">
        <f>VLOOKUP(A1513,Jogos!A:N,10,0)</f>
        <v>Afternoon</v>
      </c>
      <c r="G1513" s="2" t="s">
        <v>376</v>
      </c>
      <c r="H1513" s="6" t="str">
        <f>VLOOKUP(A1513,Jogos!A:L,12,0)</f>
        <v>Closed</v>
      </c>
      <c r="I1513" s="6" t="str">
        <f>VLOOKUP(G1513,'Estádios e Cidades'!A:B,2,0)</f>
        <v>Atlanta</v>
      </c>
      <c r="J1513" s="2" t="s">
        <v>64</v>
      </c>
      <c r="K1513" s="2" t="str">
        <f>VLOOKUP(J1513,Equipes!A:F,6,0)</f>
        <v>Tropical</v>
      </c>
      <c r="L1513" s="2">
        <f>VLOOKUP(J1513,Equipes!A:C,3,0)</f>
        <v>16</v>
      </c>
      <c r="M1513" s="2" t="str">
        <f t="shared" si="4"/>
        <v>Round of 16</v>
      </c>
      <c r="N1513" s="2" t="s">
        <v>187</v>
      </c>
      <c r="O1513" s="2">
        <f>VLOOKUP(N1513,Equipes!A:C,3,0)</f>
        <v>2</v>
      </c>
      <c r="P1513" s="2" t="str">
        <f t="shared" si="5"/>
        <v>Final</v>
      </c>
      <c r="Q1513" s="2">
        <f t="shared" si="6"/>
        <v>14</v>
      </c>
      <c r="R1513" s="2" t="str">
        <f>VLOOKUP(J1513,Equipes!A:B,2,0)</f>
        <v>InterMiami</v>
      </c>
      <c r="S1513" s="6" t="s">
        <v>103</v>
      </c>
      <c r="T1513" s="7">
        <v>10.0</v>
      </c>
      <c r="U1513" s="7" t="s">
        <v>104</v>
      </c>
      <c r="V1513" s="7" t="str">
        <f>VLOOKUP(U1513,Jogadores!B:C,2,0)</f>
        <v>FW</v>
      </c>
      <c r="W1513" s="8">
        <f>VLOOKUP(U1513,Jogadores!B:D,3,0)</f>
        <v>38.12054795</v>
      </c>
      <c r="X1513" s="7">
        <v>0.0</v>
      </c>
      <c r="Y1513" s="7">
        <f t="shared" si="4738"/>
        <v>92</v>
      </c>
      <c r="Z1513" s="7">
        <f>VLOOKUP(A1513,Jogos!A:L,3,0)</f>
        <v>48</v>
      </c>
      <c r="AA1513" s="7">
        <f t="shared" si="4563"/>
        <v>48</v>
      </c>
      <c r="AB1513" s="7">
        <f>VLOOKUP(A1513,Jogos!A:L,4,0)</f>
        <v>47</v>
      </c>
      <c r="AC1513" s="7">
        <f t="shared" si="4683"/>
        <v>47</v>
      </c>
      <c r="AD1513" s="7"/>
      <c r="AE1513" s="7"/>
      <c r="AF1513" s="7">
        <f t="shared" si="4566"/>
        <v>95</v>
      </c>
      <c r="AG1513" s="7">
        <v>7343.2</v>
      </c>
      <c r="AH1513" s="7">
        <v>4607.0</v>
      </c>
      <c r="AI1513" s="7">
        <v>1462.2</v>
      </c>
      <c r="AJ1513" s="7">
        <v>689.6</v>
      </c>
      <c r="AK1513" s="7">
        <v>467.7</v>
      </c>
      <c r="AL1513" s="7">
        <v>116.8</v>
      </c>
      <c r="AM1513" s="7">
        <v>56.0</v>
      </c>
      <c r="AN1513" s="7">
        <v>33.0</v>
      </c>
      <c r="AO1513" s="7">
        <v>29.0</v>
      </c>
      <c r="AP1513" s="9">
        <f t="shared" ref="AP1513:AR1513" si="4739">AG1513/$AF1513</f>
        <v>77.29684211</v>
      </c>
      <c r="AQ1513" s="9">
        <f t="shared" si="4739"/>
        <v>48.49473684</v>
      </c>
      <c r="AR1513" s="9">
        <f t="shared" si="4739"/>
        <v>15.39157895</v>
      </c>
      <c r="AS1513" s="9">
        <f t="shared" si="4568"/>
        <v>63.88631579</v>
      </c>
      <c r="AT1513" s="9">
        <f t="shared" ref="AT1513:AV1513" si="4740">AJ1513/$AF1513</f>
        <v>7.258947368</v>
      </c>
      <c r="AU1513" s="9">
        <f t="shared" si="4740"/>
        <v>4.923157895</v>
      </c>
      <c r="AV1513" s="9">
        <f t="shared" si="4740"/>
        <v>1.229473684</v>
      </c>
      <c r="AW1513" s="9">
        <f t="shared" si="4570"/>
        <v>6.152631579</v>
      </c>
      <c r="AX1513" s="9">
        <f t="shared" ref="AX1513:AY1513" si="4741">AM1513/$AF1513</f>
        <v>0.5894736842</v>
      </c>
      <c r="AY1513" s="9">
        <f t="shared" si="4741"/>
        <v>0.3473684211</v>
      </c>
      <c r="AZ1513" s="9">
        <f>VLOOKUP(A1513,Jogos!A:BN,58,0)</f>
        <v>30</v>
      </c>
      <c r="BA1513" s="9">
        <f>VLOOKUP(A1513,Jogos!A:BN,59,0)</f>
        <v>20.57</v>
      </c>
      <c r="BB1513" s="9">
        <f>VLOOKUP(A1513,Jogos!A:BN,60,0)</f>
        <v>56.5</v>
      </c>
      <c r="BC1513" s="9">
        <f>VLOOKUP(A1513,Jogos!A:BN,61,0)</f>
        <v>30.35</v>
      </c>
      <c r="BD1513" s="9">
        <f>VLOOKUP(A1513,Jogos!A:BN,62,0)</f>
        <v>762.85</v>
      </c>
      <c r="BE1513" s="9">
        <f>VLOOKUP(A1513,Jogos!A:BN,63,0)</f>
        <v>1.065</v>
      </c>
      <c r="BF1513" s="9">
        <f>VLOOKUP(A1513,Jogos!A:BN,64,0)</f>
        <v>24.835</v>
      </c>
      <c r="BG1513" s="9">
        <f>VLOOKUP(A1513,Jogos!A:BN,65,0)</f>
        <v>44.91</v>
      </c>
      <c r="BH1513" s="9">
        <f>VLOOKUP(A1513,Jogos!A:BN,66,0)</f>
        <v>29.365</v>
      </c>
      <c r="BI1513" s="9"/>
      <c r="BJ1513" s="9"/>
    </row>
    <row r="1514" hidden="1">
      <c r="A1514" s="2">
        <v>51.0</v>
      </c>
      <c r="B1514" s="2" t="s">
        <v>1350</v>
      </c>
      <c r="C1514" s="2" t="s">
        <v>1351</v>
      </c>
      <c r="D1514" s="3">
        <v>45837.0</v>
      </c>
      <c r="E1514" s="4">
        <v>0.5</v>
      </c>
      <c r="F1514" s="5" t="str">
        <f>VLOOKUP(A1514,Jogos!A:N,10,0)</f>
        <v>Afternoon</v>
      </c>
      <c r="G1514" s="2" t="s">
        <v>376</v>
      </c>
      <c r="H1514" s="6" t="str">
        <f>VLOOKUP(A1514,Jogos!A:L,12,0)</f>
        <v>Closed</v>
      </c>
      <c r="I1514" s="6" t="str">
        <f>VLOOKUP(G1514,'Estádios e Cidades'!A:B,2,0)</f>
        <v>Atlanta</v>
      </c>
      <c r="J1514" s="2" t="s">
        <v>64</v>
      </c>
      <c r="K1514" s="2" t="str">
        <f>VLOOKUP(J1514,Equipes!A:F,6,0)</f>
        <v>Tropical</v>
      </c>
      <c r="L1514" s="2">
        <f>VLOOKUP(J1514,Equipes!A:C,3,0)</f>
        <v>16</v>
      </c>
      <c r="M1514" s="2" t="str">
        <f t="shared" si="4"/>
        <v>Round of 16</v>
      </c>
      <c r="N1514" s="2" t="s">
        <v>187</v>
      </c>
      <c r="O1514" s="2">
        <f>VLOOKUP(N1514,Equipes!A:C,3,0)</f>
        <v>2</v>
      </c>
      <c r="P1514" s="2" t="str">
        <f t="shared" si="5"/>
        <v>Final</v>
      </c>
      <c r="Q1514" s="2">
        <f t="shared" si="6"/>
        <v>14</v>
      </c>
      <c r="R1514" s="2" t="str">
        <f>VLOOKUP(J1514,Equipes!A:B,2,0)</f>
        <v>InterMiami</v>
      </c>
      <c r="S1514" s="6" t="s">
        <v>1072</v>
      </c>
      <c r="T1514" s="7">
        <v>18.0</v>
      </c>
      <c r="U1514" s="7" t="s">
        <v>1073</v>
      </c>
      <c r="V1514" s="7" t="str">
        <f>VLOOKUP(U1514,Jogadores!B:C,2,0)</f>
        <v>DF</v>
      </c>
      <c r="W1514" s="8">
        <f>VLOOKUP(U1514,Jogadores!B:D,3,0)</f>
        <v>36.37808219</v>
      </c>
      <c r="X1514" s="7">
        <v>0.0</v>
      </c>
      <c r="Y1514" s="7">
        <f t="shared" si="4738"/>
        <v>92</v>
      </c>
      <c r="Z1514" s="7">
        <f>VLOOKUP(A1514,Jogos!A:L,3,0)</f>
        <v>48</v>
      </c>
      <c r="AA1514" s="7">
        <f t="shared" si="4563"/>
        <v>48</v>
      </c>
      <c r="AB1514" s="7">
        <f>VLOOKUP(A1514,Jogos!A:L,4,0)</f>
        <v>47</v>
      </c>
      <c r="AC1514" s="7">
        <f t="shared" si="4683"/>
        <v>47</v>
      </c>
      <c r="AD1514" s="7"/>
      <c r="AE1514" s="7"/>
      <c r="AF1514" s="7">
        <f t="shared" si="4566"/>
        <v>95</v>
      </c>
      <c r="AG1514" s="7">
        <v>10558.2</v>
      </c>
      <c r="AH1514" s="7">
        <v>3955.7</v>
      </c>
      <c r="AI1514" s="7">
        <v>4566.2</v>
      </c>
      <c r="AJ1514" s="7">
        <v>1160.6</v>
      </c>
      <c r="AK1514" s="7">
        <v>598.3</v>
      </c>
      <c r="AL1514" s="7">
        <v>277.4</v>
      </c>
      <c r="AM1514" s="7">
        <v>97.0</v>
      </c>
      <c r="AN1514" s="7">
        <v>49.0</v>
      </c>
      <c r="AO1514" s="7">
        <v>31.9</v>
      </c>
      <c r="AP1514" s="9">
        <f t="shared" ref="AP1514:AR1514" si="4742">AG1514/$AF1514</f>
        <v>111.1389474</v>
      </c>
      <c r="AQ1514" s="9">
        <f t="shared" si="4742"/>
        <v>41.63894737</v>
      </c>
      <c r="AR1514" s="9">
        <f t="shared" si="4742"/>
        <v>48.06526316</v>
      </c>
      <c r="AS1514" s="9">
        <f t="shared" si="4568"/>
        <v>89.70421053</v>
      </c>
      <c r="AT1514" s="9">
        <f t="shared" ref="AT1514:AV1514" si="4743">AJ1514/$AF1514</f>
        <v>12.21684211</v>
      </c>
      <c r="AU1514" s="9">
        <f t="shared" si="4743"/>
        <v>6.297894737</v>
      </c>
      <c r="AV1514" s="9">
        <f t="shared" si="4743"/>
        <v>2.92</v>
      </c>
      <c r="AW1514" s="9">
        <f t="shared" si="4570"/>
        <v>9.217894737</v>
      </c>
      <c r="AX1514" s="9">
        <f t="shared" ref="AX1514:AY1514" si="4744">AM1514/$AF1514</f>
        <v>1.021052632</v>
      </c>
      <c r="AY1514" s="9">
        <f t="shared" si="4744"/>
        <v>0.5157894737</v>
      </c>
      <c r="AZ1514" s="9">
        <f>VLOOKUP(A1514,Jogos!A:BN,58,0)</f>
        <v>30</v>
      </c>
      <c r="BA1514" s="9">
        <f>VLOOKUP(A1514,Jogos!A:BN,59,0)</f>
        <v>20.57</v>
      </c>
      <c r="BB1514" s="9">
        <f>VLOOKUP(A1514,Jogos!A:BN,60,0)</f>
        <v>56.5</v>
      </c>
      <c r="BC1514" s="9">
        <f>VLOOKUP(A1514,Jogos!A:BN,61,0)</f>
        <v>30.35</v>
      </c>
      <c r="BD1514" s="9">
        <f>VLOOKUP(A1514,Jogos!A:BN,62,0)</f>
        <v>762.85</v>
      </c>
      <c r="BE1514" s="9">
        <f>VLOOKUP(A1514,Jogos!A:BN,63,0)</f>
        <v>1.065</v>
      </c>
      <c r="BF1514" s="9">
        <f>VLOOKUP(A1514,Jogos!A:BN,64,0)</f>
        <v>24.835</v>
      </c>
      <c r="BG1514" s="9">
        <f>VLOOKUP(A1514,Jogos!A:BN,65,0)</f>
        <v>44.91</v>
      </c>
      <c r="BH1514" s="9">
        <f>VLOOKUP(A1514,Jogos!A:BN,66,0)</f>
        <v>29.365</v>
      </c>
      <c r="BI1514" s="9"/>
      <c r="BJ1514" s="9"/>
    </row>
    <row r="1515" hidden="1">
      <c r="A1515" s="2">
        <v>51.0</v>
      </c>
      <c r="B1515" s="2" t="s">
        <v>1350</v>
      </c>
      <c r="C1515" s="2" t="s">
        <v>1351</v>
      </c>
      <c r="D1515" s="3">
        <v>45837.0</v>
      </c>
      <c r="E1515" s="4">
        <v>0.5</v>
      </c>
      <c r="F1515" s="5" t="str">
        <f>VLOOKUP(A1515,Jogos!A:N,10,0)</f>
        <v>Afternoon</v>
      </c>
      <c r="G1515" s="2" t="s">
        <v>376</v>
      </c>
      <c r="H1515" s="6" t="str">
        <f>VLOOKUP(A1515,Jogos!A:L,12,0)</f>
        <v>Closed</v>
      </c>
      <c r="I1515" s="6" t="str">
        <f>VLOOKUP(G1515,'Estádios e Cidades'!A:B,2,0)</f>
        <v>Atlanta</v>
      </c>
      <c r="J1515" s="2" t="s">
        <v>64</v>
      </c>
      <c r="K1515" s="2" t="str">
        <f>VLOOKUP(J1515,Equipes!A:F,6,0)</f>
        <v>Tropical</v>
      </c>
      <c r="L1515" s="2">
        <f>VLOOKUP(J1515,Equipes!A:C,3,0)</f>
        <v>16</v>
      </c>
      <c r="M1515" s="2" t="str">
        <f t="shared" si="4"/>
        <v>Round of 16</v>
      </c>
      <c r="N1515" s="2" t="s">
        <v>187</v>
      </c>
      <c r="O1515" s="2">
        <f>VLOOKUP(N1515,Equipes!A:C,3,0)</f>
        <v>2</v>
      </c>
      <c r="P1515" s="2" t="str">
        <f t="shared" si="5"/>
        <v>Final</v>
      </c>
      <c r="Q1515" s="2">
        <f t="shared" si="6"/>
        <v>14</v>
      </c>
      <c r="R1515" s="2" t="str">
        <f>VLOOKUP(J1515,Equipes!A:B,2,0)</f>
        <v>InterMiami</v>
      </c>
      <c r="S1515" s="6" t="s">
        <v>107</v>
      </c>
      <c r="T1515" s="7">
        <v>21.0</v>
      </c>
      <c r="U1515" s="7" t="s">
        <v>108</v>
      </c>
      <c r="V1515" s="7" t="str">
        <f>VLOOKUP(U1515,Jogadores!B:C,2,0)</f>
        <v>FW</v>
      </c>
      <c r="W1515" s="8">
        <f>VLOOKUP(U1515,Jogadores!B:D,3,0)</f>
        <v>26.45205479</v>
      </c>
      <c r="X1515" s="7">
        <v>0.0</v>
      </c>
      <c r="Y1515" s="7">
        <f t="shared" si="4738"/>
        <v>92</v>
      </c>
      <c r="Z1515" s="7">
        <f>VLOOKUP(A1515,Jogos!A:L,3,0)</f>
        <v>48</v>
      </c>
      <c r="AA1515" s="7">
        <f t="shared" si="4563"/>
        <v>48</v>
      </c>
      <c r="AB1515" s="7">
        <f>VLOOKUP(A1515,Jogos!A:L,4,0)</f>
        <v>47</v>
      </c>
      <c r="AC1515" s="7">
        <f t="shared" si="4683"/>
        <v>47</v>
      </c>
      <c r="AD1515" s="7"/>
      <c r="AE1515" s="7"/>
      <c r="AF1515" s="7">
        <f t="shared" si="4566"/>
        <v>95</v>
      </c>
      <c r="AG1515" s="7">
        <v>10888.0</v>
      </c>
      <c r="AH1515" s="7">
        <v>3901.8</v>
      </c>
      <c r="AI1515" s="7">
        <v>4466.4</v>
      </c>
      <c r="AJ1515" s="7">
        <v>1480.8</v>
      </c>
      <c r="AK1515" s="7">
        <v>706.8</v>
      </c>
      <c r="AL1515" s="7">
        <v>332.3</v>
      </c>
      <c r="AM1515" s="7">
        <v>121.0</v>
      </c>
      <c r="AN1515" s="7">
        <v>55.0</v>
      </c>
      <c r="AO1515" s="7">
        <v>33.9</v>
      </c>
      <c r="AP1515" s="9">
        <f t="shared" ref="AP1515:AR1515" si="4745">AG1515/$AF1515</f>
        <v>114.6105263</v>
      </c>
      <c r="AQ1515" s="9">
        <f t="shared" si="4745"/>
        <v>41.07157895</v>
      </c>
      <c r="AR1515" s="9">
        <f t="shared" si="4745"/>
        <v>47.01473684</v>
      </c>
      <c r="AS1515" s="9">
        <f t="shared" si="4568"/>
        <v>88.08631579</v>
      </c>
      <c r="AT1515" s="9">
        <f t="shared" ref="AT1515:AV1515" si="4746">AJ1515/$AF1515</f>
        <v>15.58736842</v>
      </c>
      <c r="AU1515" s="9">
        <f t="shared" si="4746"/>
        <v>7.44</v>
      </c>
      <c r="AV1515" s="9">
        <f t="shared" si="4746"/>
        <v>3.497894737</v>
      </c>
      <c r="AW1515" s="9">
        <f t="shared" si="4570"/>
        <v>10.93789474</v>
      </c>
      <c r="AX1515" s="9">
        <f t="shared" ref="AX1515:AY1515" si="4747">AM1515/$AF1515</f>
        <v>1.273684211</v>
      </c>
      <c r="AY1515" s="9">
        <f t="shared" si="4747"/>
        <v>0.5789473684</v>
      </c>
      <c r="AZ1515" s="9">
        <f>VLOOKUP(A1515,Jogos!A:BN,58,0)</f>
        <v>30</v>
      </c>
      <c r="BA1515" s="9">
        <f>VLOOKUP(A1515,Jogos!A:BN,59,0)</f>
        <v>20.57</v>
      </c>
      <c r="BB1515" s="9">
        <f>VLOOKUP(A1515,Jogos!A:BN,60,0)</f>
        <v>56.5</v>
      </c>
      <c r="BC1515" s="9">
        <f>VLOOKUP(A1515,Jogos!A:BN,61,0)</f>
        <v>30.35</v>
      </c>
      <c r="BD1515" s="9">
        <f>VLOOKUP(A1515,Jogos!A:BN,62,0)</f>
        <v>762.85</v>
      </c>
      <c r="BE1515" s="9">
        <f>VLOOKUP(A1515,Jogos!A:BN,63,0)</f>
        <v>1.065</v>
      </c>
      <c r="BF1515" s="9">
        <f>VLOOKUP(A1515,Jogos!A:BN,64,0)</f>
        <v>24.835</v>
      </c>
      <c r="BG1515" s="9">
        <f>VLOOKUP(A1515,Jogos!A:BN,65,0)</f>
        <v>44.91</v>
      </c>
      <c r="BH1515" s="9">
        <f>VLOOKUP(A1515,Jogos!A:BN,66,0)</f>
        <v>29.365</v>
      </c>
      <c r="BI1515" s="9"/>
      <c r="BJ1515" s="9"/>
    </row>
    <row r="1516" hidden="1">
      <c r="A1516" s="2">
        <v>51.0</v>
      </c>
      <c r="B1516" s="2" t="s">
        <v>1350</v>
      </c>
      <c r="C1516" s="2" t="s">
        <v>1351</v>
      </c>
      <c r="D1516" s="3">
        <v>45837.0</v>
      </c>
      <c r="E1516" s="4">
        <v>0.5</v>
      </c>
      <c r="F1516" s="5" t="str">
        <f>VLOOKUP(A1516,Jogos!A:N,10,0)</f>
        <v>Afternoon</v>
      </c>
      <c r="G1516" s="2" t="s">
        <v>376</v>
      </c>
      <c r="H1516" s="6" t="str">
        <f>VLOOKUP(A1516,Jogos!A:L,12,0)</f>
        <v>Closed</v>
      </c>
      <c r="I1516" s="6" t="str">
        <f>VLOOKUP(G1516,'Estádios e Cidades'!A:B,2,0)</f>
        <v>Atlanta</v>
      </c>
      <c r="J1516" s="2" t="s">
        <v>64</v>
      </c>
      <c r="K1516" s="2" t="str">
        <f>VLOOKUP(J1516,Equipes!A:F,6,0)</f>
        <v>Tropical</v>
      </c>
      <c r="L1516" s="2">
        <f>VLOOKUP(J1516,Equipes!A:C,3,0)</f>
        <v>16</v>
      </c>
      <c r="M1516" s="2" t="str">
        <f t="shared" si="4"/>
        <v>Round of 16</v>
      </c>
      <c r="N1516" s="2" t="s">
        <v>187</v>
      </c>
      <c r="O1516" s="2">
        <f>VLOOKUP(N1516,Equipes!A:C,3,0)</f>
        <v>2</v>
      </c>
      <c r="P1516" s="2" t="str">
        <f t="shared" si="5"/>
        <v>Final</v>
      </c>
      <c r="Q1516" s="2">
        <f t="shared" si="6"/>
        <v>14</v>
      </c>
      <c r="R1516" s="2" t="str">
        <f>VLOOKUP(J1516,Equipes!A:B,2,0)</f>
        <v>InterMiami</v>
      </c>
      <c r="S1516" s="6" t="s">
        <v>109</v>
      </c>
      <c r="T1516" s="7">
        <v>32.0</v>
      </c>
      <c r="U1516" s="7" t="s">
        <v>110</v>
      </c>
      <c r="V1516" s="7" t="str">
        <f>VLOOKUP(U1516,Jogadores!B:C,2,0)</f>
        <v>DF</v>
      </c>
      <c r="W1516" s="8">
        <f>VLOOKUP(U1516,Jogadores!B:D,3,0)</f>
        <v>21.2630137</v>
      </c>
      <c r="X1516" s="7">
        <v>0.0</v>
      </c>
      <c r="Y1516" s="7">
        <v>19.0</v>
      </c>
      <c r="Z1516" s="7">
        <f>VLOOKUP(A1516,Jogos!A:L,3,0)</f>
        <v>48</v>
      </c>
      <c r="AA1516" s="7">
        <f t="shared" si="4563"/>
        <v>19</v>
      </c>
      <c r="AB1516" s="7">
        <f>VLOOKUP(A1516,Jogos!A:L,4,0)</f>
        <v>47</v>
      </c>
      <c r="AC1516" s="7">
        <f t="shared" si="4683"/>
        <v>0</v>
      </c>
      <c r="AD1516" s="7"/>
      <c r="AE1516" s="7"/>
      <c r="AF1516" s="7">
        <f t="shared" si="4566"/>
        <v>19</v>
      </c>
      <c r="AG1516" s="7">
        <v>1873.8</v>
      </c>
      <c r="AH1516" s="7">
        <v>613.2</v>
      </c>
      <c r="AI1516" s="7">
        <v>958.3</v>
      </c>
      <c r="AJ1516" s="7">
        <v>170.1</v>
      </c>
      <c r="AK1516" s="7">
        <v>74.2</v>
      </c>
      <c r="AL1516" s="7">
        <v>58.0</v>
      </c>
      <c r="AM1516" s="7">
        <v>12.0</v>
      </c>
      <c r="AN1516" s="7">
        <v>6.0</v>
      </c>
      <c r="AO1516" s="7">
        <v>32.3</v>
      </c>
      <c r="AP1516" s="9">
        <f t="shared" ref="AP1516:AR1516" si="4748">AG1516/$AF1516</f>
        <v>98.62105263</v>
      </c>
      <c r="AQ1516" s="9">
        <f t="shared" si="4748"/>
        <v>32.27368421</v>
      </c>
      <c r="AR1516" s="9">
        <f t="shared" si="4748"/>
        <v>50.43684211</v>
      </c>
      <c r="AS1516" s="9">
        <f t="shared" si="4568"/>
        <v>82.71052632</v>
      </c>
      <c r="AT1516" s="9">
        <f t="shared" ref="AT1516:AV1516" si="4749">AJ1516/$AF1516</f>
        <v>8.952631579</v>
      </c>
      <c r="AU1516" s="9">
        <f t="shared" si="4749"/>
        <v>3.905263158</v>
      </c>
      <c r="AV1516" s="9">
        <f t="shared" si="4749"/>
        <v>3.052631579</v>
      </c>
      <c r="AW1516" s="9">
        <f t="shared" si="4570"/>
        <v>6.957894737</v>
      </c>
      <c r="AX1516" s="9">
        <f t="shared" ref="AX1516:AY1516" si="4750">AM1516/$AF1516</f>
        <v>0.6315789474</v>
      </c>
      <c r="AY1516" s="9">
        <f t="shared" si="4750"/>
        <v>0.3157894737</v>
      </c>
      <c r="AZ1516" s="9">
        <f>VLOOKUP(A1516,Jogos!A:BN,58,0)</f>
        <v>30</v>
      </c>
      <c r="BA1516" s="9">
        <f>VLOOKUP(A1516,Jogos!A:BN,59,0)</f>
        <v>20.57</v>
      </c>
      <c r="BB1516" s="9">
        <f>VLOOKUP(A1516,Jogos!A:BN,60,0)</f>
        <v>56.5</v>
      </c>
      <c r="BC1516" s="9">
        <f>VLOOKUP(A1516,Jogos!A:BN,61,0)</f>
        <v>30.35</v>
      </c>
      <c r="BD1516" s="9">
        <f>VLOOKUP(A1516,Jogos!A:BN,62,0)</f>
        <v>762.85</v>
      </c>
      <c r="BE1516" s="9">
        <f>VLOOKUP(A1516,Jogos!A:BN,63,0)</f>
        <v>1.065</v>
      </c>
      <c r="BF1516" s="9">
        <f>VLOOKUP(A1516,Jogos!A:BN,64,0)</f>
        <v>24.835</v>
      </c>
      <c r="BG1516" s="9">
        <f>VLOOKUP(A1516,Jogos!A:BN,65,0)</f>
        <v>44.91</v>
      </c>
      <c r="BH1516" s="9">
        <f>VLOOKUP(A1516,Jogos!A:BN,66,0)</f>
        <v>29.365</v>
      </c>
      <c r="BI1516" s="9"/>
      <c r="BJ1516" s="9"/>
    </row>
    <row r="1517" hidden="1">
      <c r="A1517" s="2">
        <v>51.0</v>
      </c>
      <c r="B1517" s="2" t="s">
        <v>1350</v>
      </c>
      <c r="C1517" s="2" t="s">
        <v>1351</v>
      </c>
      <c r="D1517" s="3">
        <v>45837.0</v>
      </c>
      <c r="E1517" s="4">
        <v>0.5</v>
      </c>
      <c r="F1517" s="5" t="str">
        <f>VLOOKUP(A1517,Jogos!A:N,10,0)</f>
        <v>Afternoon</v>
      </c>
      <c r="G1517" s="2" t="s">
        <v>376</v>
      </c>
      <c r="H1517" s="6" t="str">
        <f>VLOOKUP(A1517,Jogos!A:L,12,0)</f>
        <v>Closed</v>
      </c>
      <c r="I1517" s="6" t="str">
        <f>VLOOKUP(G1517,'Estádios e Cidades'!A:B,2,0)</f>
        <v>Atlanta</v>
      </c>
      <c r="J1517" s="2" t="s">
        <v>64</v>
      </c>
      <c r="K1517" s="2" t="str">
        <f>VLOOKUP(J1517,Equipes!A:F,6,0)</f>
        <v>Tropical</v>
      </c>
      <c r="L1517" s="2">
        <f>VLOOKUP(J1517,Equipes!A:C,3,0)</f>
        <v>16</v>
      </c>
      <c r="M1517" s="2" t="str">
        <f t="shared" si="4"/>
        <v>Round of 16</v>
      </c>
      <c r="N1517" s="2" t="s">
        <v>187</v>
      </c>
      <c r="O1517" s="2">
        <f>VLOOKUP(N1517,Equipes!A:C,3,0)</f>
        <v>2</v>
      </c>
      <c r="P1517" s="2" t="str">
        <f t="shared" si="5"/>
        <v>Final</v>
      </c>
      <c r="Q1517" s="2">
        <f t="shared" si="6"/>
        <v>14</v>
      </c>
      <c r="R1517" s="2" t="str">
        <f>VLOOKUP(J1517,Equipes!A:B,2,0)</f>
        <v>InterMiami</v>
      </c>
      <c r="S1517" s="6" t="s">
        <v>111</v>
      </c>
      <c r="T1517" s="7">
        <v>37.0</v>
      </c>
      <c r="U1517" s="7" t="s">
        <v>112</v>
      </c>
      <c r="V1517" s="7" t="str">
        <f>VLOOKUP(U1517,Jogadores!B:C,2,0)</f>
        <v>DF</v>
      </c>
      <c r="W1517" s="8">
        <f>VLOOKUP(U1517,Jogadores!B:D,3,0)</f>
        <v>28.26027397</v>
      </c>
      <c r="X1517" s="7">
        <v>0.0</v>
      </c>
      <c r="Y1517" s="7">
        <f t="shared" ref="Y1517:Y1523" si="4754">45+AB1517</f>
        <v>92</v>
      </c>
      <c r="Z1517" s="7">
        <f>VLOOKUP(A1517,Jogos!A:L,3,0)</f>
        <v>48</v>
      </c>
      <c r="AA1517" s="7">
        <f t="shared" si="4563"/>
        <v>48</v>
      </c>
      <c r="AB1517" s="7">
        <f>VLOOKUP(A1517,Jogos!A:L,4,0)</f>
        <v>47</v>
      </c>
      <c r="AC1517" s="7">
        <f t="shared" si="4683"/>
        <v>47</v>
      </c>
      <c r="AD1517" s="7"/>
      <c r="AE1517" s="7"/>
      <c r="AF1517" s="7">
        <f t="shared" si="4566"/>
        <v>95</v>
      </c>
      <c r="AG1517" s="7">
        <v>9848.3</v>
      </c>
      <c r="AH1517" s="7">
        <v>3707.1</v>
      </c>
      <c r="AI1517" s="7">
        <v>4581.4</v>
      </c>
      <c r="AJ1517" s="7">
        <v>951.9</v>
      </c>
      <c r="AK1517" s="7">
        <v>446.0</v>
      </c>
      <c r="AL1517" s="7">
        <v>161.9</v>
      </c>
      <c r="AM1517" s="7">
        <v>86.0</v>
      </c>
      <c r="AN1517" s="7">
        <v>41.0</v>
      </c>
      <c r="AO1517" s="7">
        <v>30.7</v>
      </c>
      <c r="AP1517" s="9">
        <f t="shared" ref="AP1517:AR1517" si="4751">AG1517/$AF1517</f>
        <v>103.6663158</v>
      </c>
      <c r="AQ1517" s="9">
        <f t="shared" si="4751"/>
        <v>39.02210526</v>
      </c>
      <c r="AR1517" s="9">
        <f t="shared" si="4751"/>
        <v>48.22526316</v>
      </c>
      <c r="AS1517" s="9">
        <f t="shared" si="4568"/>
        <v>87.24736842</v>
      </c>
      <c r="AT1517" s="9">
        <f t="shared" ref="AT1517:AV1517" si="4752">AJ1517/$AF1517</f>
        <v>10.02</v>
      </c>
      <c r="AU1517" s="9">
        <f t="shared" si="4752"/>
        <v>4.694736842</v>
      </c>
      <c r="AV1517" s="9">
        <f t="shared" si="4752"/>
        <v>1.704210526</v>
      </c>
      <c r="AW1517" s="9">
        <f t="shared" si="4570"/>
        <v>6.398947368</v>
      </c>
      <c r="AX1517" s="9">
        <f t="shared" ref="AX1517:AY1517" si="4753">AM1517/$AF1517</f>
        <v>0.9052631579</v>
      </c>
      <c r="AY1517" s="9">
        <f t="shared" si="4753"/>
        <v>0.4315789474</v>
      </c>
      <c r="AZ1517" s="9">
        <f>VLOOKUP(A1517,Jogos!A:BN,58,0)</f>
        <v>30</v>
      </c>
      <c r="BA1517" s="9">
        <f>VLOOKUP(A1517,Jogos!A:BN,59,0)</f>
        <v>20.57</v>
      </c>
      <c r="BB1517" s="9">
        <f>VLOOKUP(A1517,Jogos!A:BN,60,0)</f>
        <v>56.5</v>
      </c>
      <c r="BC1517" s="9">
        <f>VLOOKUP(A1517,Jogos!A:BN,61,0)</f>
        <v>30.35</v>
      </c>
      <c r="BD1517" s="9">
        <f>VLOOKUP(A1517,Jogos!A:BN,62,0)</f>
        <v>762.85</v>
      </c>
      <c r="BE1517" s="9">
        <f>VLOOKUP(A1517,Jogos!A:BN,63,0)</f>
        <v>1.065</v>
      </c>
      <c r="BF1517" s="9">
        <f>VLOOKUP(A1517,Jogos!A:BN,64,0)</f>
        <v>24.835</v>
      </c>
      <c r="BG1517" s="9">
        <f>VLOOKUP(A1517,Jogos!A:BN,65,0)</f>
        <v>44.91</v>
      </c>
      <c r="BH1517" s="9">
        <f>VLOOKUP(A1517,Jogos!A:BN,66,0)</f>
        <v>29.365</v>
      </c>
      <c r="BI1517" s="9"/>
      <c r="BJ1517" s="9"/>
    </row>
    <row r="1518" hidden="1">
      <c r="A1518" s="2">
        <v>51.0</v>
      </c>
      <c r="B1518" s="2" t="s">
        <v>1350</v>
      </c>
      <c r="C1518" s="2" t="s">
        <v>1351</v>
      </c>
      <c r="D1518" s="3">
        <v>45837.0</v>
      </c>
      <c r="E1518" s="4">
        <v>0.5</v>
      </c>
      <c r="F1518" s="5" t="str">
        <f>VLOOKUP(A1518,Jogos!A:N,10,0)</f>
        <v>Afternoon</v>
      </c>
      <c r="G1518" s="2" t="s">
        <v>376</v>
      </c>
      <c r="H1518" s="6" t="str">
        <f>VLOOKUP(A1518,Jogos!A:L,12,0)</f>
        <v>Closed</v>
      </c>
      <c r="I1518" s="6" t="str">
        <f>VLOOKUP(G1518,'Estádios e Cidades'!A:B,2,0)</f>
        <v>Atlanta</v>
      </c>
      <c r="J1518" s="2" t="s">
        <v>64</v>
      </c>
      <c r="K1518" s="2" t="str">
        <f>VLOOKUP(J1518,Equipes!A:F,6,0)</f>
        <v>Tropical</v>
      </c>
      <c r="L1518" s="2">
        <f>VLOOKUP(J1518,Equipes!A:C,3,0)</f>
        <v>16</v>
      </c>
      <c r="M1518" s="2" t="str">
        <f t="shared" si="4"/>
        <v>Round of 16</v>
      </c>
      <c r="N1518" s="2" t="s">
        <v>187</v>
      </c>
      <c r="O1518" s="2">
        <f>VLOOKUP(N1518,Equipes!A:C,3,0)</f>
        <v>2</v>
      </c>
      <c r="P1518" s="2" t="str">
        <f t="shared" si="5"/>
        <v>Final</v>
      </c>
      <c r="Q1518" s="2">
        <f t="shared" si="6"/>
        <v>14</v>
      </c>
      <c r="R1518" s="2" t="str">
        <f>VLOOKUP(J1518,Equipes!A:B,2,0)</f>
        <v>InterMiami</v>
      </c>
      <c r="S1518" s="6" t="s">
        <v>113</v>
      </c>
      <c r="T1518" s="7">
        <v>55.0</v>
      </c>
      <c r="U1518" s="7" t="s">
        <v>114</v>
      </c>
      <c r="V1518" s="7" t="str">
        <f>VLOOKUP(U1518,Jogadores!B:C,2,0)</f>
        <v>MF</v>
      </c>
      <c r="W1518" s="8">
        <f>VLOOKUP(U1518,Jogadores!B:D,3,0)</f>
        <v>22.53972603</v>
      </c>
      <c r="X1518" s="7">
        <v>0.0</v>
      </c>
      <c r="Y1518" s="7">
        <f t="shared" si="4754"/>
        <v>92</v>
      </c>
      <c r="Z1518" s="7">
        <f>VLOOKUP(A1518,Jogos!A:L,3,0)</f>
        <v>48</v>
      </c>
      <c r="AA1518" s="7">
        <f t="shared" si="4563"/>
        <v>48</v>
      </c>
      <c r="AB1518" s="7">
        <f>VLOOKUP(A1518,Jogos!A:L,4,0)</f>
        <v>47</v>
      </c>
      <c r="AC1518" s="7">
        <f t="shared" si="4683"/>
        <v>47</v>
      </c>
      <c r="AD1518" s="7"/>
      <c r="AE1518" s="7"/>
      <c r="AF1518" s="7">
        <f t="shared" si="4566"/>
        <v>95</v>
      </c>
      <c r="AG1518" s="7">
        <v>11247.6</v>
      </c>
      <c r="AH1518" s="7">
        <v>3728.9</v>
      </c>
      <c r="AI1518" s="7">
        <v>5092.2</v>
      </c>
      <c r="AJ1518" s="7">
        <v>1631.9</v>
      </c>
      <c r="AK1518" s="7">
        <v>677.3</v>
      </c>
      <c r="AL1518" s="7">
        <v>117.4</v>
      </c>
      <c r="AM1518" s="7">
        <v>133.0</v>
      </c>
      <c r="AN1518" s="7">
        <v>45.0</v>
      </c>
      <c r="AO1518" s="7">
        <v>27.7</v>
      </c>
      <c r="AP1518" s="9">
        <f t="shared" ref="AP1518:AR1518" si="4755">AG1518/$AF1518</f>
        <v>118.3957895</v>
      </c>
      <c r="AQ1518" s="9">
        <f t="shared" si="4755"/>
        <v>39.25157895</v>
      </c>
      <c r="AR1518" s="9">
        <f t="shared" si="4755"/>
        <v>53.60210526</v>
      </c>
      <c r="AS1518" s="9">
        <f t="shared" si="4568"/>
        <v>92.85368421</v>
      </c>
      <c r="AT1518" s="9">
        <f t="shared" ref="AT1518:AV1518" si="4756">AJ1518/$AF1518</f>
        <v>17.17789474</v>
      </c>
      <c r="AU1518" s="9">
        <f t="shared" si="4756"/>
        <v>7.129473684</v>
      </c>
      <c r="AV1518" s="9">
        <f t="shared" si="4756"/>
        <v>1.235789474</v>
      </c>
      <c r="AW1518" s="9">
        <f t="shared" si="4570"/>
        <v>8.365263158</v>
      </c>
      <c r="AX1518" s="9">
        <f t="shared" ref="AX1518:AY1518" si="4757">AM1518/$AF1518</f>
        <v>1.4</v>
      </c>
      <c r="AY1518" s="9">
        <f t="shared" si="4757"/>
        <v>0.4736842105</v>
      </c>
      <c r="AZ1518" s="9">
        <f>VLOOKUP(A1518,Jogos!A:BN,58,0)</f>
        <v>30</v>
      </c>
      <c r="BA1518" s="9">
        <f>VLOOKUP(A1518,Jogos!A:BN,59,0)</f>
        <v>20.57</v>
      </c>
      <c r="BB1518" s="9">
        <f>VLOOKUP(A1518,Jogos!A:BN,60,0)</f>
        <v>56.5</v>
      </c>
      <c r="BC1518" s="9">
        <f>VLOOKUP(A1518,Jogos!A:BN,61,0)</f>
        <v>30.35</v>
      </c>
      <c r="BD1518" s="9">
        <f>VLOOKUP(A1518,Jogos!A:BN,62,0)</f>
        <v>762.85</v>
      </c>
      <c r="BE1518" s="9">
        <f>VLOOKUP(A1518,Jogos!A:BN,63,0)</f>
        <v>1.065</v>
      </c>
      <c r="BF1518" s="9">
        <f>VLOOKUP(A1518,Jogos!A:BN,64,0)</f>
        <v>24.835</v>
      </c>
      <c r="BG1518" s="9">
        <f>VLOOKUP(A1518,Jogos!A:BN,65,0)</f>
        <v>44.91</v>
      </c>
      <c r="BH1518" s="9">
        <f>VLOOKUP(A1518,Jogos!A:BN,66,0)</f>
        <v>29.365</v>
      </c>
      <c r="BI1518" s="9"/>
      <c r="BJ1518" s="9"/>
    </row>
    <row r="1519" hidden="1">
      <c r="A1519" s="2">
        <v>51.0</v>
      </c>
      <c r="B1519" s="2" t="s">
        <v>1350</v>
      </c>
      <c r="C1519" s="2" t="s">
        <v>1351</v>
      </c>
      <c r="D1519" s="3">
        <v>45837.0</v>
      </c>
      <c r="E1519" s="4">
        <v>0.5</v>
      </c>
      <c r="F1519" s="5" t="str">
        <f>VLOOKUP(A1519,Jogos!A:N,10,0)</f>
        <v>Afternoon</v>
      </c>
      <c r="G1519" s="2" t="s">
        <v>376</v>
      </c>
      <c r="H1519" s="6" t="str">
        <f>VLOOKUP(A1519,Jogos!A:L,12,0)</f>
        <v>Closed</v>
      </c>
      <c r="I1519" s="6" t="str">
        <f>VLOOKUP(G1519,'Estádios e Cidades'!A:B,2,0)</f>
        <v>Atlanta</v>
      </c>
      <c r="J1519" s="2" t="s">
        <v>64</v>
      </c>
      <c r="K1519" s="2" t="str">
        <f>VLOOKUP(J1519,Equipes!A:F,6,0)</f>
        <v>Tropical</v>
      </c>
      <c r="L1519" s="2">
        <f>VLOOKUP(J1519,Equipes!A:C,3,0)</f>
        <v>16</v>
      </c>
      <c r="M1519" s="2" t="str">
        <f t="shared" si="4"/>
        <v>Round of 16</v>
      </c>
      <c r="N1519" s="2" t="s">
        <v>187</v>
      </c>
      <c r="O1519" s="2">
        <f>VLOOKUP(N1519,Equipes!A:C,3,0)</f>
        <v>2</v>
      </c>
      <c r="P1519" s="2" t="str">
        <f t="shared" si="5"/>
        <v>Final</v>
      </c>
      <c r="Q1519" s="2">
        <f t="shared" si="6"/>
        <v>14</v>
      </c>
      <c r="R1519" s="2" t="str">
        <f>VLOOKUP(J1519,Equipes!A:B,2,0)</f>
        <v>InterMiami</v>
      </c>
      <c r="S1519" s="6" t="s">
        <v>119</v>
      </c>
      <c r="T1519" s="7">
        <v>57.0</v>
      </c>
      <c r="U1519" s="7" t="s">
        <v>120</v>
      </c>
      <c r="V1519" s="7" t="str">
        <f>VLOOKUP(U1519,Jogadores!B:C,2,0)</f>
        <v>DF</v>
      </c>
      <c r="W1519" s="8">
        <f>VLOOKUP(U1519,Jogadores!B:D,3,0)</f>
        <v>25.56164384</v>
      </c>
      <c r="X1519" s="7">
        <v>0.0</v>
      </c>
      <c r="Y1519" s="7">
        <f t="shared" si="4754"/>
        <v>92</v>
      </c>
      <c r="Z1519" s="7">
        <f>VLOOKUP(A1519,Jogos!A:L,3,0)</f>
        <v>48</v>
      </c>
      <c r="AA1519" s="7">
        <f t="shared" si="4563"/>
        <v>48</v>
      </c>
      <c r="AB1519" s="7">
        <f>VLOOKUP(A1519,Jogos!A:L,4,0)</f>
        <v>47</v>
      </c>
      <c r="AC1519" s="7">
        <f t="shared" si="4683"/>
        <v>47</v>
      </c>
      <c r="AD1519" s="7"/>
      <c r="AE1519" s="7"/>
      <c r="AF1519" s="7">
        <f t="shared" si="4566"/>
        <v>95</v>
      </c>
      <c r="AG1519" s="7">
        <v>10321.6</v>
      </c>
      <c r="AH1519" s="7">
        <v>3371.5</v>
      </c>
      <c r="AI1519" s="7">
        <v>4786.8</v>
      </c>
      <c r="AJ1519" s="7">
        <v>1298.9</v>
      </c>
      <c r="AK1519" s="7">
        <v>649.3</v>
      </c>
      <c r="AL1519" s="7">
        <v>215.1</v>
      </c>
      <c r="AM1519" s="7">
        <v>116.0</v>
      </c>
      <c r="AN1519" s="7">
        <v>54.0</v>
      </c>
      <c r="AO1519" s="7">
        <v>31.1</v>
      </c>
      <c r="AP1519" s="9">
        <f t="shared" ref="AP1519:AR1519" si="4758">AG1519/$AF1519</f>
        <v>108.6484211</v>
      </c>
      <c r="AQ1519" s="9">
        <f t="shared" si="4758"/>
        <v>35.48947368</v>
      </c>
      <c r="AR1519" s="9">
        <f t="shared" si="4758"/>
        <v>50.38736842</v>
      </c>
      <c r="AS1519" s="9">
        <f t="shared" si="4568"/>
        <v>85.87684211</v>
      </c>
      <c r="AT1519" s="9">
        <f t="shared" ref="AT1519:AV1519" si="4759">AJ1519/$AF1519</f>
        <v>13.67263158</v>
      </c>
      <c r="AU1519" s="9">
        <f t="shared" si="4759"/>
        <v>6.834736842</v>
      </c>
      <c r="AV1519" s="9">
        <f t="shared" si="4759"/>
        <v>2.264210526</v>
      </c>
      <c r="AW1519" s="9">
        <f t="shared" si="4570"/>
        <v>9.098947368</v>
      </c>
      <c r="AX1519" s="9">
        <f t="shared" ref="AX1519:AY1519" si="4760">AM1519/$AF1519</f>
        <v>1.221052632</v>
      </c>
      <c r="AY1519" s="9">
        <f t="shared" si="4760"/>
        <v>0.5684210526</v>
      </c>
      <c r="AZ1519" s="9">
        <f>VLOOKUP(A1519,Jogos!A:BN,58,0)</f>
        <v>30</v>
      </c>
      <c r="BA1519" s="9">
        <f>VLOOKUP(A1519,Jogos!A:BN,59,0)</f>
        <v>20.57</v>
      </c>
      <c r="BB1519" s="9">
        <f>VLOOKUP(A1519,Jogos!A:BN,60,0)</f>
        <v>56.5</v>
      </c>
      <c r="BC1519" s="9">
        <f>VLOOKUP(A1519,Jogos!A:BN,61,0)</f>
        <v>30.35</v>
      </c>
      <c r="BD1519" s="9">
        <f>VLOOKUP(A1519,Jogos!A:BN,62,0)</f>
        <v>762.85</v>
      </c>
      <c r="BE1519" s="9">
        <f>VLOOKUP(A1519,Jogos!A:BN,63,0)</f>
        <v>1.065</v>
      </c>
      <c r="BF1519" s="9">
        <f>VLOOKUP(A1519,Jogos!A:BN,64,0)</f>
        <v>24.835</v>
      </c>
      <c r="BG1519" s="9">
        <f>VLOOKUP(A1519,Jogos!A:BN,65,0)</f>
        <v>44.91</v>
      </c>
      <c r="BH1519" s="9">
        <f>VLOOKUP(A1519,Jogos!A:BN,66,0)</f>
        <v>29.365</v>
      </c>
      <c r="BI1519" s="9"/>
      <c r="BJ1519" s="9"/>
    </row>
    <row r="1520" hidden="1">
      <c r="A1520" s="2">
        <v>51.0</v>
      </c>
      <c r="B1520" s="2" t="s">
        <v>1350</v>
      </c>
      <c r="C1520" s="2" t="s">
        <v>1351</v>
      </c>
      <c r="D1520" s="3">
        <v>45837.0</v>
      </c>
      <c r="E1520" s="4">
        <v>0.5</v>
      </c>
      <c r="F1520" s="5" t="str">
        <f>VLOOKUP(A1520,Jogos!A:N,10,0)</f>
        <v>Afternoon</v>
      </c>
      <c r="G1520" s="2" t="s">
        <v>376</v>
      </c>
      <c r="H1520" s="6" t="str">
        <f>VLOOKUP(A1520,Jogos!A:L,12,0)</f>
        <v>Closed</v>
      </c>
      <c r="I1520" s="6" t="str">
        <f>VLOOKUP(G1520,'Estádios e Cidades'!A:B,2,0)</f>
        <v>Atlanta</v>
      </c>
      <c r="J1520" s="2" t="s">
        <v>64</v>
      </c>
      <c r="K1520" s="2" t="str">
        <f>VLOOKUP(J1520,Equipes!A:F,6,0)</f>
        <v>Tropical</v>
      </c>
      <c r="L1520" s="2">
        <f>VLOOKUP(J1520,Equipes!A:C,3,0)</f>
        <v>16</v>
      </c>
      <c r="M1520" s="2" t="str">
        <f t="shared" si="4"/>
        <v>Round of 16</v>
      </c>
      <c r="N1520" s="2" t="s">
        <v>187</v>
      </c>
      <c r="O1520" s="2">
        <f>VLOOKUP(N1520,Equipes!A:C,3,0)</f>
        <v>2</v>
      </c>
      <c r="P1520" s="2" t="str">
        <f t="shared" si="5"/>
        <v>Final</v>
      </c>
      <c r="Q1520" s="2">
        <f t="shared" si="6"/>
        <v>14</v>
      </c>
      <c r="R1520" s="2" t="str">
        <f>VLOOKUP(J1520,Equipes!A:B,2,0)</f>
        <v>InterMiami</v>
      </c>
      <c r="S1520" s="6" t="s">
        <v>97</v>
      </c>
      <c r="T1520" s="7">
        <v>6.0</v>
      </c>
      <c r="U1520" s="7" t="s">
        <v>98</v>
      </c>
      <c r="V1520" s="7" t="str">
        <f>VLOOKUP(U1520,Jogadores!B:C,2,0)</f>
        <v>DF</v>
      </c>
      <c r="W1520" s="8">
        <f>VLOOKUP(U1520,Jogadores!B:D,3,0)</f>
        <v>21.49589041</v>
      </c>
      <c r="X1520" s="7">
        <v>19.0</v>
      </c>
      <c r="Y1520" s="7">
        <f t="shared" si="4754"/>
        <v>92</v>
      </c>
      <c r="Z1520" s="7">
        <f>VLOOKUP(A1520,Jogos!A:L,3,0)</f>
        <v>48</v>
      </c>
      <c r="AA1520" s="7">
        <f t="shared" si="4563"/>
        <v>29</v>
      </c>
      <c r="AB1520" s="7">
        <f>VLOOKUP(A1520,Jogos!A:L,4,0)</f>
        <v>47</v>
      </c>
      <c r="AC1520" s="7">
        <f t="shared" si="4683"/>
        <v>47</v>
      </c>
      <c r="AD1520" s="7"/>
      <c r="AE1520" s="7"/>
      <c r="AF1520" s="7">
        <f t="shared" si="4566"/>
        <v>76</v>
      </c>
      <c r="AG1520" s="7">
        <v>8054.8</v>
      </c>
      <c r="AH1520" s="7">
        <v>2972.7</v>
      </c>
      <c r="AI1520" s="7">
        <v>3525.0</v>
      </c>
      <c r="AJ1520" s="7">
        <v>1033.5</v>
      </c>
      <c r="AK1520" s="7">
        <v>416.8</v>
      </c>
      <c r="AL1520" s="7">
        <v>106.8</v>
      </c>
      <c r="AM1520" s="7">
        <v>83.0</v>
      </c>
      <c r="AN1520" s="7">
        <v>33.0</v>
      </c>
      <c r="AO1520" s="7">
        <v>29.9</v>
      </c>
      <c r="AP1520" s="9">
        <f t="shared" ref="AP1520:AR1520" si="4761">AG1520/$AF1520</f>
        <v>105.9842105</v>
      </c>
      <c r="AQ1520" s="9">
        <f t="shared" si="4761"/>
        <v>39.11447368</v>
      </c>
      <c r="AR1520" s="9">
        <f t="shared" si="4761"/>
        <v>46.38157895</v>
      </c>
      <c r="AS1520" s="9">
        <f t="shared" si="4568"/>
        <v>85.49605263</v>
      </c>
      <c r="AT1520" s="9">
        <f t="shared" ref="AT1520:AV1520" si="4762">AJ1520/$AF1520</f>
        <v>13.59868421</v>
      </c>
      <c r="AU1520" s="9">
        <f t="shared" si="4762"/>
        <v>5.484210526</v>
      </c>
      <c r="AV1520" s="9">
        <f t="shared" si="4762"/>
        <v>1.405263158</v>
      </c>
      <c r="AW1520" s="9">
        <f t="shared" si="4570"/>
        <v>6.889473684</v>
      </c>
      <c r="AX1520" s="9">
        <f t="shared" ref="AX1520:AY1520" si="4763">AM1520/$AF1520</f>
        <v>1.092105263</v>
      </c>
      <c r="AY1520" s="9">
        <f t="shared" si="4763"/>
        <v>0.4342105263</v>
      </c>
      <c r="AZ1520" s="9">
        <f>VLOOKUP(A1520,Jogos!A:BN,58,0)</f>
        <v>30</v>
      </c>
      <c r="BA1520" s="9">
        <f>VLOOKUP(A1520,Jogos!A:BN,59,0)</f>
        <v>20.57</v>
      </c>
      <c r="BB1520" s="9">
        <f>VLOOKUP(A1520,Jogos!A:BN,60,0)</f>
        <v>56.5</v>
      </c>
      <c r="BC1520" s="9">
        <f>VLOOKUP(A1520,Jogos!A:BN,61,0)</f>
        <v>30.35</v>
      </c>
      <c r="BD1520" s="9">
        <f>VLOOKUP(A1520,Jogos!A:BN,62,0)</f>
        <v>762.85</v>
      </c>
      <c r="BE1520" s="9">
        <f>VLOOKUP(A1520,Jogos!A:BN,63,0)</f>
        <v>1.065</v>
      </c>
      <c r="BF1520" s="9">
        <f>VLOOKUP(A1520,Jogos!A:BN,64,0)</f>
        <v>24.835</v>
      </c>
      <c r="BG1520" s="9">
        <f>VLOOKUP(A1520,Jogos!A:BN,65,0)</f>
        <v>44.91</v>
      </c>
      <c r="BH1520" s="9">
        <f>VLOOKUP(A1520,Jogos!A:BN,66,0)</f>
        <v>29.365</v>
      </c>
      <c r="BI1520" s="9"/>
      <c r="BJ1520" s="9"/>
    </row>
    <row r="1521" hidden="1">
      <c r="A1521" s="2">
        <v>51.0</v>
      </c>
      <c r="B1521" s="2" t="s">
        <v>1350</v>
      </c>
      <c r="C1521" s="2" t="s">
        <v>1351</v>
      </c>
      <c r="D1521" s="3">
        <v>45837.0</v>
      </c>
      <c r="E1521" s="4">
        <v>0.5</v>
      </c>
      <c r="F1521" s="5" t="str">
        <f>VLOOKUP(A1521,Jogos!A:N,10,0)</f>
        <v>Afternoon</v>
      </c>
      <c r="G1521" s="2" t="s">
        <v>376</v>
      </c>
      <c r="H1521" s="6" t="str">
        <f>VLOOKUP(A1521,Jogos!A:L,12,0)</f>
        <v>Closed</v>
      </c>
      <c r="I1521" s="6" t="str">
        <f>VLOOKUP(G1521,'Estádios e Cidades'!A:B,2,0)</f>
        <v>Atlanta</v>
      </c>
      <c r="J1521" s="2" t="s">
        <v>64</v>
      </c>
      <c r="K1521" s="2" t="str">
        <f>VLOOKUP(J1521,Equipes!A:F,6,0)</f>
        <v>Tropical</v>
      </c>
      <c r="L1521" s="2">
        <f>VLOOKUP(J1521,Equipes!A:C,3,0)</f>
        <v>16</v>
      </c>
      <c r="M1521" s="2" t="str">
        <f t="shared" si="4"/>
        <v>Round of 16</v>
      </c>
      <c r="N1521" s="2" t="s">
        <v>187</v>
      </c>
      <c r="O1521" s="2">
        <f>VLOOKUP(N1521,Equipes!A:C,3,0)</f>
        <v>2</v>
      </c>
      <c r="P1521" s="2" t="str">
        <f t="shared" si="5"/>
        <v>Final</v>
      </c>
      <c r="Q1521" s="2">
        <f t="shared" si="6"/>
        <v>14</v>
      </c>
      <c r="R1521" s="2" t="str">
        <f>VLOOKUP(J1521,Equipes!A:B,2,0)</f>
        <v>InterMiami</v>
      </c>
      <c r="S1521" s="6" t="s">
        <v>117</v>
      </c>
      <c r="T1521" s="7">
        <v>30.0</v>
      </c>
      <c r="U1521" s="7" t="s">
        <v>118</v>
      </c>
      <c r="V1521" s="7" t="str">
        <f>VLOOKUP(U1521,Jogadores!B:C,2,0)</f>
        <v>MF</v>
      </c>
      <c r="W1521" s="8">
        <f>VLOOKUP(U1521,Jogadores!B:D,3,0)</f>
        <v>20.41917808</v>
      </c>
      <c r="X1521" s="7">
        <v>76.0</v>
      </c>
      <c r="Y1521" s="7">
        <f t="shared" si="4754"/>
        <v>92</v>
      </c>
      <c r="Z1521" s="7">
        <f>VLOOKUP(A1521,Jogos!A:L,3,0)</f>
        <v>48</v>
      </c>
      <c r="AA1521" s="7">
        <f t="shared" si="4563"/>
        <v>0</v>
      </c>
      <c r="AB1521" s="7">
        <f>VLOOKUP(A1521,Jogos!A:L,4,0)</f>
        <v>47</v>
      </c>
      <c r="AC1521" s="7">
        <f t="shared" si="4683"/>
        <v>16</v>
      </c>
      <c r="AD1521" s="7"/>
      <c r="AE1521" s="7"/>
      <c r="AF1521" s="7">
        <f t="shared" si="4566"/>
        <v>16</v>
      </c>
      <c r="AG1521" s="7">
        <v>2250.0</v>
      </c>
      <c r="AH1521" s="7">
        <v>607.8</v>
      </c>
      <c r="AI1521" s="7">
        <v>904.0</v>
      </c>
      <c r="AJ1521" s="7">
        <v>469.5</v>
      </c>
      <c r="AK1521" s="7">
        <v>216.4</v>
      </c>
      <c r="AL1521" s="7">
        <v>52.3</v>
      </c>
      <c r="AM1521" s="7">
        <v>37.0</v>
      </c>
      <c r="AN1521" s="7">
        <v>13.0</v>
      </c>
      <c r="AO1521" s="7">
        <v>29.9</v>
      </c>
      <c r="AP1521" s="9">
        <f t="shared" ref="AP1521:AR1521" si="4764">AG1521/$AF1521</f>
        <v>140.625</v>
      </c>
      <c r="AQ1521" s="9">
        <f t="shared" si="4764"/>
        <v>37.9875</v>
      </c>
      <c r="AR1521" s="9">
        <f t="shared" si="4764"/>
        <v>56.5</v>
      </c>
      <c r="AS1521" s="9">
        <f t="shared" si="4568"/>
        <v>94.4875</v>
      </c>
      <c r="AT1521" s="9">
        <f t="shared" ref="AT1521:AV1521" si="4765">AJ1521/$AF1521</f>
        <v>29.34375</v>
      </c>
      <c r="AU1521" s="9">
        <f t="shared" si="4765"/>
        <v>13.525</v>
      </c>
      <c r="AV1521" s="9">
        <f t="shared" si="4765"/>
        <v>3.26875</v>
      </c>
      <c r="AW1521" s="9">
        <f t="shared" si="4570"/>
        <v>16.79375</v>
      </c>
      <c r="AX1521" s="9">
        <f t="shared" ref="AX1521:AY1521" si="4766">AM1521/$AF1521</f>
        <v>2.3125</v>
      </c>
      <c r="AY1521" s="9">
        <f t="shared" si="4766"/>
        <v>0.8125</v>
      </c>
      <c r="AZ1521" s="9">
        <f>VLOOKUP(A1521,Jogos!A:BN,58,0)</f>
        <v>30</v>
      </c>
      <c r="BA1521" s="9">
        <f>VLOOKUP(A1521,Jogos!A:BN,59,0)</f>
        <v>20.57</v>
      </c>
      <c r="BB1521" s="9">
        <f>VLOOKUP(A1521,Jogos!A:BN,60,0)</f>
        <v>56.5</v>
      </c>
      <c r="BC1521" s="9">
        <f>VLOOKUP(A1521,Jogos!A:BN,61,0)</f>
        <v>30.35</v>
      </c>
      <c r="BD1521" s="9">
        <f>VLOOKUP(A1521,Jogos!A:BN,62,0)</f>
        <v>762.85</v>
      </c>
      <c r="BE1521" s="9">
        <f>VLOOKUP(A1521,Jogos!A:BN,63,0)</f>
        <v>1.065</v>
      </c>
      <c r="BF1521" s="9">
        <f>VLOOKUP(A1521,Jogos!A:BN,64,0)</f>
        <v>24.835</v>
      </c>
      <c r="BG1521" s="9">
        <f>VLOOKUP(A1521,Jogos!A:BN,65,0)</f>
        <v>44.91</v>
      </c>
      <c r="BH1521" s="9">
        <f>VLOOKUP(A1521,Jogos!A:BN,66,0)</f>
        <v>29.365</v>
      </c>
      <c r="BI1521" s="9"/>
      <c r="BJ1521" s="9"/>
    </row>
    <row r="1522" hidden="1">
      <c r="A1522" s="2">
        <v>52.0</v>
      </c>
      <c r="B1522" s="2" t="s">
        <v>1350</v>
      </c>
      <c r="C1522" s="2" t="s">
        <v>1351</v>
      </c>
      <c r="D1522" s="18">
        <v>45837.0</v>
      </c>
      <c r="E1522" s="4">
        <v>0.6666666666666666</v>
      </c>
      <c r="F1522" s="5" t="str">
        <f>VLOOKUP(A1522,Jogos!A:N,10,0)</f>
        <v>Afternoon</v>
      </c>
      <c r="G1522" s="2" t="s">
        <v>62</v>
      </c>
      <c r="H1522" s="6" t="str">
        <f>VLOOKUP(A1522,Jogos!A:L,12,0)</f>
        <v>Open</v>
      </c>
      <c r="I1522" s="6" t="str">
        <f>VLOOKUP(G1522,'Estádios e Cidades'!A:B,2,0)</f>
        <v>Miami Gardens - Flórida</v>
      </c>
      <c r="J1522" s="2" t="s">
        <v>501</v>
      </c>
      <c r="K1522" s="2" t="str">
        <f>VLOOKUP(J1522,Equipes!A:F,6,0)</f>
        <v>Tropical</v>
      </c>
      <c r="L1522" s="2">
        <f>VLOOKUP(J1522,Equipes!A:C,3,0)</f>
        <v>11</v>
      </c>
      <c r="M1522" s="2" t="str">
        <f t="shared" si="4"/>
        <v>Round of 16</v>
      </c>
      <c r="N1522" s="2" t="s">
        <v>123</v>
      </c>
      <c r="O1522" s="2">
        <f>VLOOKUP(N1522,Equipes!A:C,3,0)</f>
        <v>6</v>
      </c>
      <c r="P1522" s="2" t="str">
        <f t="shared" si="5"/>
        <v>Quarter-final</v>
      </c>
      <c r="Q1522" s="2">
        <f t="shared" si="6"/>
        <v>5</v>
      </c>
      <c r="R1522" s="2" t="str">
        <f>VLOOKUP(J1522,Equipes!A:B,2,0)</f>
        <v>Flamengo</v>
      </c>
      <c r="S1522" s="6" t="s">
        <v>505</v>
      </c>
      <c r="T1522" s="7">
        <v>3.0</v>
      </c>
      <c r="U1522" s="7" t="s">
        <v>506</v>
      </c>
      <c r="V1522" s="7" t="str">
        <f>VLOOKUP(U1522,Jogadores!B:C,2,0)</f>
        <v>DF</v>
      </c>
      <c r="W1522" s="8">
        <f>VLOOKUP(U1522,Jogadores!B:D,3,0)</f>
        <v>29.58630137</v>
      </c>
      <c r="X1522" s="7">
        <v>0.0</v>
      </c>
      <c r="Y1522" s="7">
        <f t="shared" si="4754"/>
        <v>98</v>
      </c>
      <c r="Z1522" s="7">
        <f>VLOOKUP(A1522,Jogos!A:L,3,0)</f>
        <v>53</v>
      </c>
      <c r="AA1522" s="7">
        <f t="shared" si="4563"/>
        <v>53</v>
      </c>
      <c r="AB1522" s="7">
        <f>VLOOKUP(A1522,Jogos!A:L,4,0)</f>
        <v>53</v>
      </c>
      <c r="AC1522" s="7">
        <f t="shared" si="4683"/>
        <v>53</v>
      </c>
      <c r="AD1522" s="7"/>
      <c r="AE1522" s="7"/>
      <c r="AF1522" s="7">
        <f t="shared" si="4566"/>
        <v>106</v>
      </c>
      <c r="AG1522" s="7">
        <v>9314.4</v>
      </c>
      <c r="AH1522" s="7">
        <v>4012.7</v>
      </c>
      <c r="AI1522" s="7">
        <v>3900.0</v>
      </c>
      <c r="AJ1522" s="7">
        <v>954.4</v>
      </c>
      <c r="AK1522" s="7">
        <v>327.3</v>
      </c>
      <c r="AL1522" s="7">
        <v>120.0</v>
      </c>
      <c r="AM1522" s="7">
        <v>86.0</v>
      </c>
      <c r="AN1522" s="7">
        <v>28.0</v>
      </c>
      <c r="AO1522" s="7">
        <v>33.9</v>
      </c>
      <c r="AP1522" s="9">
        <f t="shared" ref="AP1522:AR1522" si="4767">AG1522/$AF1522</f>
        <v>87.87169811</v>
      </c>
      <c r="AQ1522" s="9">
        <f t="shared" si="4767"/>
        <v>37.85566038</v>
      </c>
      <c r="AR1522" s="9">
        <f t="shared" si="4767"/>
        <v>36.79245283</v>
      </c>
      <c r="AS1522" s="9">
        <f t="shared" si="4568"/>
        <v>74.64811321</v>
      </c>
      <c r="AT1522" s="9">
        <f t="shared" ref="AT1522:AV1522" si="4768">AJ1522/$AF1522</f>
        <v>9.003773585</v>
      </c>
      <c r="AU1522" s="9">
        <f t="shared" si="4768"/>
        <v>3.087735849</v>
      </c>
      <c r="AV1522" s="9">
        <f t="shared" si="4768"/>
        <v>1.132075472</v>
      </c>
      <c r="AW1522" s="9">
        <f t="shared" si="4570"/>
        <v>4.219811321</v>
      </c>
      <c r="AX1522" s="9">
        <f t="shared" ref="AX1522:AY1522" si="4769">AM1522/$AF1522</f>
        <v>0.8113207547</v>
      </c>
      <c r="AY1522" s="9">
        <f t="shared" si="4769"/>
        <v>0.2641509434</v>
      </c>
      <c r="AZ1522" s="9">
        <f>VLOOKUP(A1522,Jogos!A:BN,58,0)</f>
        <v>24.455</v>
      </c>
      <c r="BA1522" s="9">
        <f>VLOOKUP(A1522,Jogos!A:BN,59,0)</f>
        <v>22.125</v>
      </c>
      <c r="BB1522" s="9">
        <f>VLOOKUP(A1522,Jogos!A:BN,60,0)</f>
        <v>86.5</v>
      </c>
      <c r="BC1522" s="9">
        <f>VLOOKUP(A1522,Jogos!A:BN,61,0)</f>
        <v>22.335</v>
      </c>
      <c r="BD1522" s="9">
        <f>VLOOKUP(A1522,Jogos!A:BN,62,0)</f>
        <v>98.05</v>
      </c>
      <c r="BE1522" s="9">
        <f>VLOOKUP(A1522,Jogos!A:BN,63,0)</f>
        <v>1.2</v>
      </c>
      <c r="BF1522" s="9">
        <f>VLOOKUP(A1522,Jogos!A:BN,64,0)</f>
        <v>23.08</v>
      </c>
      <c r="BG1522" s="9">
        <f>VLOOKUP(A1522,Jogos!A:BN,65,0)</f>
        <v>39.65</v>
      </c>
      <c r="BH1522" s="9">
        <f>VLOOKUP(A1522,Jogos!A:BN,66,0)</f>
        <v>26.53</v>
      </c>
      <c r="BI1522" s="9"/>
      <c r="BJ1522" s="9"/>
    </row>
    <row r="1523" hidden="1">
      <c r="A1523" s="2">
        <v>52.0</v>
      </c>
      <c r="B1523" s="2" t="s">
        <v>1350</v>
      </c>
      <c r="C1523" s="2" t="s">
        <v>1351</v>
      </c>
      <c r="D1523" s="18">
        <v>45837.0</v>
      </c>
      <c r="E1523" s="4">
        <v>0.6666666666666666</v>
      </c>
      <c r="F1523" s="5" t="str">
        <f>VLOOKUP(A1523,Jogos!A:N,10,0)</f>
        <v>Afternoon</v>
      </c>
      <c r="G1523" s="2" t="s">
        <v>62</v>
      </c>
      <c r="H1523" s="6" t="str">
        <f>VLOOKUP(A1523,Jogos!A:L,12,0)</f>
        <v>Open</v>
      </c>
      <c r="I1523" s="6" t="str">
        <f>VLOOKUP(G1523,'Estádios e Cidades'!A:B,2,0)</f>
        <v>Miami Gardens - Flórida</v>
      </c>
      <c r="J1523" s="2" t="s">
        <v>501</v>
      </c>
      <c r="K1523" s="2" t="str">
        <f>VLOOKUP(J1523,Equipes!A:F,6,0)</f>
        <v>Tropical</v>
      </c>
      <c r="L1523" s="2">
        <f>VLOOKUP(J1523,Equipes!A:C,3,0)</f>
        <v>11</v>
      </c>
      <c r="M1523" s="2" t="str">
        <f t="shared" si="4"/>
        <v>Round of 16</v>
      </c>
      <c r="N1523" s="2" t="s">
        <v>123</v>
      </c>
      <c r="O1523" s="2">
        <f>VLOOKUP(N1523,Equipes!A:C,3,0)</f>
        <v>6</v>
      </c>
      <c r="P1523" s="2" t="str">
        <f t="shared" si="5"/>
        <v>Quarter-final</v>
      </c>
      <c r="Q1523" s="2">
        <f t="shared" si="6"/>
        <v>5</v>
      </c>
      <c r="R1523" s="2" t="str">
        <f>VLOOKUP(J1523,Equipes!A:B,2,0)</f>
        <v>Flamengo</v>
      </c>
      <c r="S1523" s="6" t="s">
        <v>507</v>
      </c>
      <c r="T1523" s="7">
        <v>4.0</v>
      </c>
      <c r="U1523" s="7" t="s">
        <v>508</v>
      </c>
      <c r="V1523" s="7" t="str">
        <f>VLOOKUP(U1523,Jogadores!B:C,2,0)</f>
        <v>DF</v>
      </c>
      <c r="W1523" s="8">
        <f>VLOOKUP(U1523,Jogadores!B:D,3,0)</f>
        <v>29.50958904</v>
      </c>
      <c r="X1523" s="7">
        <v>0.0</v>
      </c>
      <c r="Y1523" s="7">
        <f t="shared" si="4754"/>
        <v>98</v>
      </c>
      <c r="Z1523" s="7">
        <f>VLOOKUP(A1523,Jogos!A:L,3,0)</f>
        <v>53</v>
      </c>
      <c r="AA1523" s="7">
        <f t="shared" si="4563"/>
        <v>53</v>
      </c>
      <c r="AB1523" s="7">
        <f>VLOOKUP(A1523,Jogos!A:L,4,0)</f>
        <v>53</v>
      </c>
      <c r="AC1523" s="7">
        <f t="shared" si="4683"/>
        <v>53</v>
      </c>
      <c r="AD1523" s="7"/>
      <c r="AE1523" s="7"/>
      <c r="AF1523" s="7">
        <f t="shared" si="4566"/>
        <v>106</v>
      </c>
      <c r="AG1523" s="7">
        <v>10067.6</v>
      </c>
      <c r="AH1523" s="7">
        <v>4026.4</v>
      </c>
      <c r="AI1523" s="7">
        <v>4329.7</v>
      </c>
      <c r="AJ1523" s="7">
        <v>1266.2</v>
      </c>
      <c r="AK1523" s="7">
        <v>395.3</v>
      </c>
      <c r="AL1523" s="7">
        <v>50.0</v>
      </c>
      <c r="AM1523" s="7">
        <v>112.0</v>
      </c>
      <c r="AN1523" s="7">
        <v>27.0</v>
      </c>
      <c r="AO1523" s="7">
        <v>28.6</v>
      </c>
      <c r="AP1523" s="9">
        <f t="shared" ref="AP1523:AR1523" si="4770">AG1523/$AF1523</f>
        <v>94.97735849</v>
      </c>
      <c r="AQ1523" s="9">
        <f t="shared" si="4770"/>
        <v>37.98490566</v>
      </c>
      <c r="AR1523" s="9">
        <f t="shared" si="4770"/>
        <v>40.84622642</v>
      </c>
      <c r="AS1523" s="9">
        <f t="shared" si="4568"/>
        <v>78.83113208</v>
      </c>
      <c r="AT1523" s="9">
        <f t="shared" ref="AT1523:AV1523" si="4771">AJ1523/$AF1523</f>
        <v>11.94528302</v>
      </c>
      <c r="AU1523" s="9">
        <f t="shared" si="4771"/>
        <v>3.729245283</v>
      </c>
      <c r="AV1523" s="9">
        <f t="shared" si="4771"/>
        <v>0.4716981132</v>
      </c>
      <c r="AW1523" s="9">
        <f t="shared" si="4570"/>
        <v>4.200943396</v>
      </c>
      <c r="AX1523" s="9">
        <f t="shared" ref="AX1523:AY1523" si="4772">AM1523/$AF1523</f>
        <v>1.056603774</v>
      </c>
      <c r="AY1523" s="9">
        <f t="shared" si="4772"/>
        <v>0.2547169811</v>
      </c>
      <c r="AZ1523" s="9">
        <f>VLOOKUP(A1523,Jogos!A:BN,58,0)</f>
        <v>24.455</v>
      </c>
      <c r="BA1523" s="9">
        <f>VLOOKUP(A1523,Jogos!A:BN,59,0)</f>
        <v>22.125</v>
      </c>
      <c r="BB1523" s="9">
        <f>VLOOKUP(A1523,Jogos!A:BN,60,0)</f>
        <v>86.5</v>
      </c>
      <c r="BC1523" s="9">
        <f>VLOOKUP(A1523,Jogos!A:BN,61,0)</f>
        <v>22.335</v>
      </c>
      <c r="BD1523" s="9">
        <f>VLOOKUP(A1523,Jogos!A:BN,62,0)</f>
        <v>98.05</v>
      </c>
      <c r="BE1523" s="9">
        <f>VLOOKUP(A1523,Jogos!A:BN,63,0)</f>
        <v>1.2</v>
      </c>
      <c r="BF1523" s="9">
        <f>VLOOKUP(A1523,Jogos!A:BN,64,0)</f>
        <v>23.08</v>
      </c>
      <c r="BG1523" s="9">
        <f>VLOOKUP(A1523,Jogos!A:BN,65,0)</f>
        <v>39.65</v>
      </c>
      <c r="BH1523" s="9">
        <f>VLOOKUP(A1523,Jogos!A:BN,66,0)</f>
        <v>26.53</v>
      </c>
      <c r="BI1523" s="9"/>
      <c r="BJ1523" s="9"/>
    </row>
    <row r="1524" hidden="1">
      <c r="A1524" s="2">
        <v>52.0</v>
      </c>
      <c r="B1524" s="2" t="s">
        <v>1350</v>
      </c>
      <c r="C1524" s="2" t="s">
        <v>1351</v>
      </c>
      <c r="D1524" s="18">
        <v>45837.0</v>
      </c>
      <c r="E1524" s="4">
        <v>0.6666666666666666</v>
      </c>
      <c r="F1524" s="5" t="str">
        <f>VLOOKUP(A1524,Jogos!A:N,10,0)</f>
        <v>Afternoon</v>
      </c>
      <c r="G1524" s="2" t="s">
        <v>62</v>
      </c>
      <c r="H1524" s="6" t="str">
        <f>VLOOKUP(A1524,Jogos!A:L,12,0)</f>
        <v>Open</v>
      </c>
      <c r="I1524" s="6" t="str">
        <f>VLOOKUP(G1524,'Estádios e Cidades'!A:B,2,0)</f>
        <v>Miami Gardens - Flórida</v>
      </c>
      <c r="J1524" s="2" t="s">
        <v>501</v>
      </c>
      <c r="K1524" s="2" t="str">
        <f>VLOOKUP(J1524,Equipes!A:F,6,0)</f>
        <v>Tropical</v>
      </c>
      <c r="L1524" s="2">
        <f>VLOOKUP(J1524,Equipes!A:C,3,0)</f>
        <v>11</v>
      </c>
      <c r="M1524" s="2" t="str">
        <f t="shared" si="4"/>
        <v>Round of 16</v>
      </c>
      <c r="N1524" s="2" t="s">
        <v>123</v>
      </c>
      <c r="O1524" s="2">
        <f>VLOOKUP(N1524,Equipes!A:C,3,0)</f>
        <v>6</v>
      </c>
      <c r="P1524" s="2" t="str">
        <f t="shared" si="5"/>
        <v>Quarter-final</v>
      </c>
      <c r="Q1524" s="2">
        <f t="shared" si="6"/>
        <v>5</v>
      </c>
      <c r="R1524" s="2" t="str">
        <f>VLOOKUP(J1524,Equipes!A:B,2,0)</f>
        <v>Flamengo</v>
      </c>
      <c r="S1524" s="6" t="s">
        <v>509</v>
      </c>
      <c r="T1524" s="7">
        <v>5.0</v>
      </c>
      <c r="U1524" s="7" t="s">
        <v>510</v>
      </c>
      <c r="V1524" s="7" t="str">
        <f>VLOOKUP(U1524,Jogadores!B:C,2,0)</f>
        <v>MF</v>
      </c>
      <c r="W1524" s="8">
        <f>VLOOKUP(U1524,Jogadores!B:D,3,0)</f>
        <v>31.55342466</v>
      </c>
      <c r="X1524" s="7">
        <v>0.0</v>
      </c>
      <c r="Y1524" s="7">
        <v>46.0</v>
      </c>
      <c r="Z1524" s="7">
        <f>VLOOKUP(A1524,Jogos!A:L,3,0)</f>
        <v>53</v>
      </c>
      <c r="AA1524" s="23">
        <v>46.0</v>
      </c>
      <c r="AB1524" s="7">
        <f>VLOOKUP(A1524,Jogos!A:L,4,0)</f>
        <v>53</v>
      </c>
      <c r="AC1524" s="23">
        <v>0.0</v>
      </c>
      <c r="AD1524" s="7"/>
      <c r="AE1524" s="7"/>
      <c r="AF1524" s="7">
        <f t="shared" si="4566"/>
        <v>46</v>
      </c>
      <c r="AG1524" s="7">
        <v>4641.1</v>
      </c>
      <c r="AH1524" s="7">
        <v>1285.9</v>
      </c>
      <c r="AI1524" s="7">
        <v>2156.8</v>
      </c>
      <c r="AJ1524" s="7">
        <v>846.1</v>
      </c>
      <c r="AK1524" s="7">
        <v>290.5</v>
      </c>
      <c r="AL1524" s="7">
        <v>61.9</v>
      </c>
      <c r="AM1524" s="7">
        <v>75.0</v>
      </c>
      <c r="AN1524" s="7">
        <v>25.0</v>
      </c>
      <c r="AO1524" s="7">
        <v>29.7</v>
      </c>
      <c r="AP1524" s="9">
        <f t="shared" ref="AP1524:AR1524" si="4773">AG1524/$AF1524</f>
        <v>100.8934783</v>
      </c>
      <c r="AQ1524" s="9">
        <f t="shared" si="4773"/>
        <v>27.95434783</v>
      </c>
      <c r="AR1524" s="9">
        <f t="shared" si="4773"/>
        <v>46.88695652</v>
      </c>
      <c r="AS1524" s="9">
        <f t="shared" si="4568"/>
        <v>74.84130435</v>
      </c>
      <c r="AT1524" s="9">
        <f t="shared" ref="AT1524:AV1524" si="4774">AJ1524/$AF1524</f>
        <v>18.39347826</v>
      </c>
      <c r="AU1524" s="9">
        <f t="shared" si="4774"/>
        <v>6.315217391</v>
      </c>
      <c r="AV1524" s="9">
        <f t="shared" si="4774"/>
        <v>1.345652174</v>
      </c>
      <c r="AW1524" s="9">
        <f t="shared" si="4570"/>
        <v>7.660869565</v>
      </c>
      <c r="AX1524" s="9">
        <f t="shared" ref="AX1524:AY1524" si="4775">AM1524/$AF1524</f>
        <v>1.630434783</v>
      </c>
      <c r="AY1524" s="9">
        <f t="shared" si="4775"/>
        <v>0.5434782609</v>
      </c>
      <c r="AZ1524" s="9">
        <f>VLOOKUP(A1524,Jogos!A:BN,58,0)</f>
        <v>24.455</v>
      </c>
      <c r="BA1524" s="9">
        <f>VLOOKUP(A1524,Jogos!A:BN,59,0)</f>
        <v>22.125</v>
      </c>
      <c r="BB1524" s="9">
        <f>VLOOKUP(A1524,Jogos!A:BN,60,0)</f>
        <v>86.5</v>
      </c>
      <c r="BC1524" s="9">
        <f>VLOOKUP(A1524,Jogos!A:BN,61,0)</f>
        <v>22.335</v>
      </c>
      <c r="BD1524" s="9">
        <f>VLOOKUP(A1524,Jogos!A:BN,62,0)</f>
        <v>98.05</v>
      </c>
      <c r="BE1524" s="9">
        <f>VLOOKUP(A1524,Jogos!A:BN,63,0)</f>
        <v>1.2</v>
      </c>
      <c r="BF1524" s="9">
        <f>VLOOKUP(A1524,Jogos!A:BN,64,0)</f>
        <v>23.08</v>
      </c>
      <c r="BG1524" s="9">
        <f>VLOOKUP(A1524,Jogos!A:BN,65,0)</f>
        <v>39.65</v>
      </c>
      <c r="BH1524" s="9">
        <f>VLOOKUP(A1524,Jogos!A:BN,66,0)</f>
        <v>26.53</v>
      </c>
      <c r="BI1524" s="9"/>
      <c r="BJ1524" s="9"/>
    </row>
    <row r="1525" hidden="1">
      <c r="A1525" s="2">
        <v>52.0</v>
      </c>
      <c r="B1525" s="2" t="s">
        <v>1350</v>
      </c>
      <c r="C1525" s="2" t="s">
        <v>1351</v>
      </c>
      <c r="D1525" s="18">
        <v>45837.0</v>
      </c>
      <c r="E1525" s="4">
        <v>0.6666666666666666</v>
      </c>
      <c r="F1525" s="5" t="str">
        <f>VLOOKUP(A1525,Jogos!A:N,10,0)</f>
        <v>Afternoon</v>
      </c>
      <c r="G1525" s="2" t="s">
        <v>62</v>
      </c>
      <c r="H1525" s="6" t="str">
        <f>VLOOKUP(A1525,Jogos!A:L,12,0)</f>
        <v>Open</v>
      </c>
      <c r="I1525" s="6" t="str">
        <f>VLOOKUP(G1525,'Estádios e Cidades'!A:B,2,0)</f>
        <v>Miami Gardens - Flórida</v>
      </c>
      <c r="J1525" s="2" t="s">
        <v>501</v>
      </c>
      <c r="K1525" s="2" t="str">
        <f>VLOOKUP(J1525,Equipes!A:F,6,0)</f>
        <v>Tropical</v>
      </c>
      <c r="L1525" s="2">
        <f>VLOOKUP(J1525,Equipes!A:C,3,0)</f>
        <v>11</v>
      </c>
      <c r="M1525" s="2" t="str">
        <f t="shared" si="4"/>
        <v>Round of 16</v>
      </c>
      <c r="N1525" s="2" t="s">
        <v>123</v>
      </c>
      <c r="O1525" s="2">
        <f>VLOOKUP(N1525,Equipes!A:C,3,0)</f>
        <v>6</v>
      </c>
      <c r="P1525" s="2" t="str">
        <f t="shared" si="5"/>
        <v>Quarter-final</v>
      </c>
      <c r="Q1525" s="2">
        <f t="shared" si="6"/>
        <v>5</v>
      </c>
      <c r="R1525" s="2" t="str">
        <f>VLOOKUP(J1525,Equipes!A:B,2,0)</f>
        <v>Flamengo</v>
      </c>
      <c r="S1525" s="6" t="s">
        <v>513</v>
      </c>
      <c r="T1525" s="7">
        <v>7.0</v>
      </c>
      <c r="U1525" s="7" t="s">
        <v>514</v>
      </c>
      <c r="V1525" s="7" t="str">
        <f>VLOOKUP(U1525,Jogadores!B:C,2,0)</f>
        <v>FW</v>
      </c>
      <c r="W1525" s="8">
        <f>VLOOKUP(U1525,Jogadores!B:D,3,0)</f>
        <v>29.17260274</v>
      </c>
      <c r="X1525" s="7">
        <v>0.0</v>
      </c>
      <c r="Y1525" s="7">
        <f>45+AB1525</f>
        <v>98</v>
      </c>
      <c r="Z1525" s="7">
        <f>VLOOKUP(A1525,Jogos!A:L,3,0)</f>
        <v>53</v>
      </c>
      <c r="AA1525" s="7">
        <f t="shared" ref="AA1525:AA1534" si="4779">IF(X1525&lt;45,if(Y1525&gt;=45,Z1525-X1525,if(Y1525&lt;=Z1525,Y1525-X1525,Z1525)),0)</f>
        <v>53</v>
      </c>
      <c r="AB1525" s="7">
        <f>VLOOKUP(A1525,Jogos!A:L,4,0)</f>
        <v>53</v>
      </c>
      <c r="AC1525" s="7">
        <f t="shared" ref="AC1525:AC1534" si="4780">IF(X1525&lt;45,if(Y1525&lt;=45,0,Y1525-45),Y1525-X1525)</f>
        <v>53</v>
      </c>
      <c r="AD1525" s="7"/>
      <c r="AE1525" s="7"/>
      <c r="AF1525" s="7">
        <f t="shared" si="4566"/>
        <v>106</v>
      </c>
      <c r="AG1525" s="7">
        <v>11191.2</v>
      </c>
      <c r="AH1525" s="7">
        <v>5015.3</v>
      </c>
      <c r="AI1525" s="7">
        <v>3533.4</v>
      </c>
      <c r="AJ1525" s="7">
        <v>1601.4</v>
      </c>
      <c r="AK1525" s="7">
        <v>752.9</v>
      </c>
      <c r="AL1525" s="7">
        <v>288.2</v>
      </c>
      <c r="AM1525" s="7">
        <v>136.0</v>
      </c>
      <c r="AN1525" s="7">
        <v>63.0</v>
      </c>
      <c r="AO1525" s="7">
        <v>30.4</v>
      </c>
      <c r="AP1525" s="9">
        <f t="shared" ref="AP1525:AR1525" si="4776">AG1525/$AF1525</f>
        <v>105.5773585</v>
      </c>
      <c r="AQ1525" s="9">
        <f t="shared" si="4776"/>
        <v>47.31415094</v>
      </c>
      <c r="AR1525" s="9">
        <f t="shared" si="4776"/>
        <v>33.33396226</v>
      </c>
      <c r="AS1525" s="9">
        <f t="shared" si="4568"/>
        <v>80.64811321</v>
      </c>
      <c r="AT1525" s="9">
        <f t="shared" ref="AT1525:AV1525" si="4777">AJ1525/$AF1525</f>
        <v>15.10754717</v>
      </c>
      <c r="AU1525" s="9">
        <f t="shared" si="4777"/>
        <v>7.102830189</v>
      </c>
      <c r="AV1525" s="9">
        <f t="shared" si="4777"/>
        <v>2.718867925</v>
      </c>
      <c r="AW1525" s="9">
        <f t="shared" si="4570"/>
        <v>9.821698113</v>
      </c>
      <c r="AX1525" s="9">
        <f t="shared" ref="AX1525:AY1525" si="4778">AM1525/$AF1525</f>
        <v>1.283018868</v>
      </c>
      <c r="AY1525" s="9">
        <f t="shared" si="4778"/>
        <v>0.5943396226</v>
      </c>
      <c r="AZ1525" s="9">
        <f>VLOOKUP(A1525,Jogos!A:BN,58,0)</f>
        <v>24.455</v>
      </c>
      <c r="BA1525" s="9">
        <f>VLOOKUP(A1525,Jogos!A:BN,59,0)</f>
        <v>22.125</v>
      </c>
      <c r="BB1525" s="9">
        <f>VLOOKUP(A1525,Jogos!A:BN,60,0)</f>
        <v>86.5</v>
      </c>
      <c r="BC1525" s="9">
        <f>VLOOKUP(A1525,Jogos!A:BN,61,0)</f>
        <v>22.335</v>
      </c>
      <c r="BD1525" s="9">
        <f>VLOOKUP(A1525,Jogos!A:BN,62,0)</f>
        <v>98.05</v>
      </c>
      <c r="BE1525" s="9">
        <f>VLOOKUP(A1525,Jogos!A:BN,63,0)</f>
        <v>1.2</v>
      </c>
      <c r="BF1525" s="9">
        <f>VLOOKUP(A1525,Jogos!A:BN,64,0)</f>
        <v>23.08</v>
      </c>
      <c r="BG1525" s="9">
        <f>VLOOKUP(A1525,Jogos!A:BN,65,0)</f>
        <v>39.65</v>
      </c>
      <c r="BH1525" s="9">
        <f>VLOOKUP(A1525,Jogos!A:BN,66,0)</f>
        <v>26.53</v>
      </c>
      <c r="BI1525" s="9"/>
      <c r="BJ1525" s="9"/>
    </row>
    <row r="1526" hidden="1">
      <c r="A1526" s="2">
        <v>52.0</v>
      </c>
      <c r="B1526" s="2" t="s">
        <v>1350</v>
      </c>
      <c r="C1526" s="2" t="s">
        <v>1351</v>
      </c>
      <c r="D1526" s="18">
        <v>45837.0</v>
      </c>
      <c r="E1526" s="4">
        <v>0.6666666666666666</v>
      </c>
      <c r="F1526" s="5" t="str">
        <f>VLOOKUP(A1526,Jogos!A:N,10,0)</f>
        <v>Afternoon</v>
      </c>
      <c r="G1526" s="2" t="s">
        <v>62</v>
      </c>
      <c r="H1526" s="6" t="str">
        <f>VLOOKUP(A1526,Jogos!A:L,12,0)</f>
        <v>Open</v>
      </c>
      <c r="I1526" s="6" t="str">
        <f>VLOOKUP(G1526,'Estádios e Cidades'!A:B,2,0)</f>
        <v>Miami Gardens - Flórida</v>
      </c>
      <c r="J1526" s="2" t="s">
        <v>501</v>
      </c>
      <c r="K1526" s="2" t="str">
        <f>VLOOKUP(J1526,Equipes!A:F,6,0)</f>
        <v>Tropical</v>
      </c>
      <c r="L1526" s="2">
        <f>VLOOKUP(J1526,Equipes!A:C,3,0)</f>
        <v>11</v>
      </c>
      <c r="M1526" s="2" t="str">
        <f t="shared" si="4"/>
        <v>Round of 16</v>
      </c>
      <c r="N1526" s="2" t="s">
        <v>123</v>
      </c>
      <c r="O1526" s="2">
        <f>VLOOKUP(N1526,Equipes!A:C,3,0)</f>
        <v>6</v>
      </c>
      <c r="P1526" s="2" t="str">
        <f t="shared" si="5"/>
        <v>Quarter-final</v>
      </c>
      <c r="Q1526" s="2">
        <f t="shared" si="6"/>
        <v>5</v>
      </c>
      <c r="R1526" s="2" t="str">
        <f>VLOOKUP(J1526,Equipes!A:B,2,0)</f>
        <v>Flamengo</v>
      </c>
      <c r="S1526" s="6" t="s">
        <v>515</v>
      </c>
      <c r="T1526" s="7">
        <v>8.0</v>
      </c>
      <c r="U1526" s="7" t="s">
        <v>516</v>
      </c>
      <c r="V1526" s="7" t="str">
        <f>VLOOKUP(U1526,Jogadores!B:C,2,0)</f>
        <v>MF</v>
      </c>
      <c r="W1526" s="8">
        <f>VLOOKUP(U1526,Jogadores!B:D,3,0)</f>
        <v>28.20821918</v>
      </c>
      <c r="X1526" s="7">
        <v>0.0</v>
      </c>
      <c r="Y1526" s="7">
        <v>82.0</v>
      </c>
      <c r="Z1526" s="7">
        <f>VLOOKUP(A1526,Jogos!A:L,3,0)</f>
        <v>53</v>
      </c>
      <c r="AA1526" s="7">
        <f t="shared" si="4779"/>
        <v>53</v>
      </c>
      <c r="AB1526" s="7">
        <f>VLOOKUP(A1526,Jogos!A:L,4,0)</f>
        <v>53</v>
      </c>
      <c r="AC1526" s="7">
        <f t="shared" si="4780"/>
        <v>37</v>
      </c>
      <c r="AD1526" s="7"/>
      <c r="AE1526" s="7"/>
      <c r="AF1526" s="7">
        <f t="shared" si="4566"/>
        <v>90</v>
      </c>
      <c r="AG1526" s="7">
        <v>8416.3</v>
      </c>
      <c r="AH1526" s="7">
        <v>3709.7</v>
      </c>
      <c r="AI1526" s="7">
        <v>2947.7</v>
      </c>
      <c r="AJ1526" s="7">
        <v>1043.9</v>
      </c>
      <c r="AK1526" s="7">
        <v>467.0</v>
      </c>
      <c r="AL1526" s="7">
        <v>248.0</v>
      </c>
      <c r="AM1526" s="7">
        <v>89.0</v>
      </c>
      <c r="AN1526" s="7">
        <v>36.0</v>
      </c>
      <c r="AO1526" s="7">
        <v>31.7</v>
      </c>
      <c r="AP1526" s="9">
        <f t="shared" ref="AP1526:AR1526" si="4781">AG1526/$AF1526</f>
        <v>93.51444444</v>
      </c>
      <c r="AQ1526" s="9">
        <f t="shared" si="4781"/>
        <v>41.21888889</v>
      </c>
      <c r="AR1526" s="9">
        <f t="shared" si="4781"/>
        <v>32.75222222</v>
      </c>
      <c r="AS1526" s="9">
        <f t="shared" si="4568"/>
        <v>73.97111111</v>
      </c>
      <c r="AT1526" s="9">
        <f t="shared" ref="AT1526:AV1526" si="4782">AJ1526/$AF1526</f>
        <v>11.59888889</v>
      </c>
      <c r="AU1526" s="9">
        <f t="shared" si="4782"/>
        <v>5.188888889</v>
      </c>
      <c r="AV1526" s="9">
        <f t="shared" si="4782"/>
        <v>2.755555556</v>
      </c>
      <c r="AW1526" s="9">
        <f t="shared" si="4570"/>
        <v>7.944444444</v>
      </c>
      <c r="AX1526" s="9">
        <f t="shared" ref="AX1526:AY1526" si="4783">AM1526/$AF1526</f>
        <v>0.9888888889</v>
      </c>
      <c r="AY1526" s="9">
        <f t="shared" si="4783"/>
        <v>0.4</v>
      </c>
      <c r="AZ1526" s="9">
        <f>VLOOKUP(A1526,Jogos!A:BN,58,0)</f>
        <v>24.455</v>
      </c>
      <c r="BA1526" s="9">
        <f>VLOOKUP(A1526,Jogos!A:BN,59,0)</f>
        <v>22.125</v>
      </c>
      <c r="BB1526" s="9">
        <f>VLOOKUP(A1526,Jogos!A:BN,60,0)</f>
        <v>86.5</v>
      </c>
      <c r="BC1526" s="9">
        <f>VLOOKUP(A1526,Jogos!A:BN,61,0)</f>
        <v>22.335</v>
      </c>
      <c r="BD1526" s="9">
        <f>VLOOKUP(A1526,Jogos!A:BN,62,0)</f>
        <v>98.05</v>
      </c>
      <c r="BE1526" s="9">
        <f>VLOOKUP(A1526,Jogos!A:BN,63,0)</f>
        <v>1.2</v>
      </c>
      <c r="BF1526" s="9">
        <f>VLOOKUP(A1526,Jogos!A:BN,64,0)</f>
        <v>23.08</v>
      </c>
      <c r="BG1526" s="9">
        <f>VLOOKUP(A1526,Jogos!A:BN,65,0)</f>
        <v>39.65</v>
      </c>
      <c r="BH1526" s="9">
        <f>VLOOKUP(A1526,Jogos!A:BN,66,0)</f>
        <v>26.53</v>
      </c>
      <c r="BI1526" s="9"/>
      <c r="BJ1526" s="9"/>
    </row>
    <row r="1527" hidden="1">
      <c r="A1527" s="2">
        <v>52.0</v>
      </c>
      <c r="B1527" s="2" t="s">
        <v>1350</v>
      </c>
      <c r="C1527" s="2" t="s">
        <v>1351</v>
      </c>
      <c r="D1527" s="18">
        <v>45837.0</v>
      </c>
      <c r="E1527" s="4">
        <v>0.6666666666666666</v>
      </c>
      <c r="F1527" s="5" t="str">
        <f>VLOOKUP(A1527,Jogos!A:N,10,0)</f>
        <v>Afternoon</v>
      </c>
      <c r="G1527" s="2" t="s">
        <v>62</v>
      </c>
      <c r="H1527" s="6" t="str">
        <f>VLOOKUP(A1527,Jogos!A:L,12,0)</f>
        <v>Open</v>
      </c>
      <c r="I1527" s="6" t="str">
        <f>VLOOKUP(G1527,'Estádios e Cidades'!A:B,2,0)</f>
        <v>Miami Gardens - Flórida</v>
      </c>
      <c r="J1527" s="2" t="s">
        <v>501</v>
      </c>
      <c r="K1527" s="2" t="str">
        <f>VLOOKUP(J1527,Equipes!A:F,6,0)</f>
        <v>Tropical</v>
      </c>
      <c r="L1527" s="2">
        <f>VLOOKUP(J1527,Equipes!A:C,3,0)</f>
        <v>11</v>
      </c>
      <c r="M1527" s="2" t="str">
        <f t="shared" si="4"/>
        <v>Round of 16</v>
      </c>
      <c r="N1527" s="2" t="s">
        <v>123</v>
      </c>
      <c r="O1527" s="2">
        <f>VLOOKUP(N1527,Equipes!A:C,3,0)</f>
        <v>6</v>
      </c>
      <c r="P1527" s="2" t="str">
        <f t="shared" si="5"/>
        <v>Quarter-final</v>
      </c>
      <c r="Q1527" s="2">
        <f t="shared" si="6"/>
        <v>5</v>
      </c>
      <c r="R1527" s="2" t="str">
        <f>VLOOKUP(J1527,Equipes!A:B,2,0)</f>
        <v>Flamengo</v>
      </c>
      <c r="S1527" s="6" t="s">
        <v>519</v>
      </c>
      <c r="T1527" s="7">
        <v>10.0</v>
      </c>
      <c r="U1527" s="7" t="s">
        <v>520</v>
      </c>
      <c r="V1527" s="7" t="str">
        <f>VLOOKUP(U1527,Jogadores!B:C,2,0)</f>
        <v>MF</v>
      </c>
      <c r="W1527" s="8">
        <f>VLOOKUP(U1527,Jogadores!B:D,3,0)</f>
        <v>31.17808219</v>
      </c>
      <c r="X1527" s="7">
        <v>0.0</v>
      </c>
      <c r="Y1527" s="7">
        <v>57.0</v>
      </c>
      <c r="Z1527" s="7">
        <f>VLOOKUP(A1527,Jogos!A:L,3,0)</f>
        <v>53</v>
      </c>
      <c r="AA1527" s="7">
        <f t="shared" si="4779"/>
        <v>53</v>
      </c>
      <c r="AB1527" s="7">
        <f>VLOOKUP(A1527,Jogos!A:L,4,0)</f>
        <v>53</v>
      </c>
      <c r="AC1527" s="7">
        <f t="shared" si="4780"/>
        <v>12</v>
      </c>
      <c r="AD1527" s="7"/>
      <c r="AE1527" s="7"/>
      <c r="AF1527" s="7">
        <f t="shared" si="4566"/>
        <v>65</v>
      </c>
      <c r="AG1527" s="7">
        <v>6950.5</v>
      </c>
      <c r="AH1527" s="7">
        <v>2401.6</v>
      </c>
      <c r="AI1527" s="7">
        <v>3082.7</v>
      </c>
      <c r="AJ1527" s="7">
        <v>942.2</v>
      </c>
      <c r="AK1527" s="7">
        <v>351.5</v>
      </c>
      <c r="AL1527" s="7">
        <v>172.5</v>
      </c>
      <c r="AM1527" s="7">
        <v>84.0</v>
      </c>
      <c r="AN1527" s="7">
        <v>25.0</v>
      </c>
      <c r="AO1527" s="7">
        <v>29.9</v>
      </c>
      <c r="AP1527" s="9">
        <f t="shared" ref="AP1527:AR1527" si="4784">AG1527/$AF1527</f>
        <v>106.9307692</v>
      </c>
      <c r="AQ1527" s="9">
        <f t="shared" si="4784"/>
        <v>36.94769231</v>
      </c>
      <c r="AR1527" s="9">
        <f t="shared" si="4784"/>
        <v>47.42615385</v>
      </c>
      <c r="AS1527" s="9">
        <f t="shared" si="4568"/>
        <v>84.37384615</v>
      </c>
      <c r="AT1527" s="9">
        <f t="shared" ref="AT1527:AV1527" si="4785">AJ1527/$AF1527</f>
        <v>14.49538462</v>
      </c>
      <c r="AU1527" s="9">
        <f t="shared" si="4785"/>
        <v>5.407692308</v>
      </c>
      <c r="AV1527" s="9">
        <f t="shared" si="4785"/>
        <v>2.653846154</v>
      </c>
      <c r="AW1527" s="9">
        <f t="shared" si="4570"/>
        <v>8.061538462</v>
      </c>
      <c r="AX1527" s="9">
        <f t="shared" ref="AX1527:AY1527" si="4786">AM1527/$AF1527</f>
        <v>1.292307692</v>
      </c>
      <c r="AY1527" s="9">
        <f t="shared" si="4786"/>
        <v>0.3846153846</v>
      </c>
      <c r="AZ1527" s="9">
        <f>VLOOKUP(A1527,Jogos!A:BN,58,0)</f>
        <v>24.455</v>
      </c>
      <c r="BA1527" s="9">
        <f>VLOOKUP(A1527,Jogos!A:BN,59,0)</f>
        <v>22.125</v>
      </c>
      <c r="BB1527" s="9">
        <f>VLOOKUP(A1527,Jogos!A:BN,60,0)</f>
        <v>86.5</v>
      </c>
      <c r="BC1527" s="9">
        <f>VLOOKUP(A1527,Jogos!A:BN,61,0)</f>
        <v>22.335</v>
      </c>
      <c r="BD1527" s="9">
        <f>VLOOKUP(A1527,Jogos!A:BN,62,0)</f>
        <v>98.05</v>
      </c>
      <c r="BE1527" s="9">
        <f>VLOOKUP(A1527,Jogos!A:BN,63,0)</f>
        <v>1.2</v>
      </c>
      <c r="BF1527" s="9">
        <f>VLOOKUP(A1527,Jogos!A:BN,64,0)</f>
        <v>23.08</v>
      </c>
      <c r="BG1527" s="9">
        <f>VLOOKUP(A1527,Jogos!A:BN,65,0)</f>
        <v>39.65</v>
      </c>
      <c r="BH1527" s="9">
        <f>VLOOKUP(A1527,Jogos!A:BN,66,0)</f>
        <v>26.53</v>
      </c>
      <c r="BI1527" s="9"/>
      <c r="BJ1527" s="9"/>
    </row>
    <row r="1528" hidden="1">
      <c r="A1528" s="2">
        <v>52.0</v>
      </c>
      <c r="B1528" s="2" t="s">
        <v>1350</v>
      </c>
      <c r="C1528" s="2" t="s">
        <v>1351</v>
      </c>
      <c r="D1528" s="18">
        <v>45837.0</v>
      </c>
      <c r="E1528" s="4">
        <v>0.6666666666666666</v>
      </c>
      <c r="F1528" s="5" t="str">
        <f>VLOOKUP(A1528,Jogos!A:N,10,0)</f>
        <v>Afternoon</v>
      </c>
      <c r="G1528" s="2" t="s">
        <v>62</v>
      </c>
      <c r="H1528" s="6" t="str">
        <f>VLOOKUP(A1528,Jogos!A:L,12,0)</f>
        <v>Open</v>
      </c>
      <c r="I1528" s="6" t="str">
        <f>VLOOKUP(G1528,'Estádios e Cidades'!A:B,2,0)</f>
        <v>Miami Gardens - Flórida</v>
      </c>
      <c r="J1528" s="2" t="s">
        <v>501</v>
      </c>
      <c r="K1528" s="2" t="str">
        <f>VLOOKUP(J1528,Equipes!A:F,6,0)</f>
        <v>Tropical</v>
      </c>
      <c r="L1528" s="2">
        <f>VLOOKUP(J1528,Equipes!A:C,3,0)</f>
        <v>11</v>
      </c>
      <c r="M1528" s="2" t="str">
        <f t="shared" si="4"/>
        <v>Round of 16</v>
      </c>
      <c r="N1528" s="2" t="s">
        <v>123</v>
      </c>
      <c r="O1528" s="2">
        <f>VLOOKUP(N1528,Equipes!A:C,3,0)</f>
        <v>6</v>
      </c>
      <c r="P1528" s="2" t="str">
        <f t="shared" si="5"/>
        <v>Quarter-final</v>
      </c>
      <c r="Q1528" s="2">
        <f t="shared" si="6"/>
        <v>5</v>
      </c>
      <c r="R1528" s="2" t="str">
        <f>VLOOKUP(J1528,Equipes!A:B,2,0)</f>
        <v>Flamengo</v>
      </c>
      <c r="S1528" s="6" t="s">
        <v>521</v>
      </c>
      <c r="T1528" s="7">
        <v>21.0</v>
      </c>
      <c r="U1528" s="7" t="s">
        <v>522</v>
      </c>
      <c r="V1528" s="7" t="str">
        <f>VLOOKUP(U1528,Jogadores!B:C,2,0)</f>
        <v>MF</v>
      </c>
      <c r="W1528" s="8">
        <f>VLOOKUP(U1528,Jogadores!B:D,3,0)</f>
        <v>33.62739726</v>
      </c>
      <c r="X1528" s="7">
        <v>0.0</v>
      </c>
      <c r="Y1528" s="7">
        <v>81.0</v>
      </c>
      <c r="Z1528" s="7">
        <f>VLOOKUP(A1528,Jogos!A:L,3,0)</f>
        <v>53</v>
      </c>
      <c r="AA1528" s="7">
        <f t="shared" si="4779"/>
        <v>53</v>
      </c>
      <c r="AB1528" s="7">
        <f>VLOOKUP(A1528,Jogos!A:L,4,0)</f>
        <v>53</v>
      </c>
      <c r="AC1528" s="7">
        <f t="shared" si="4780"/>
        <v>36</v>
      </c>
      <c r="AD1528" s="7"/>
      <c r="AE1528" s="7"/>
      <c r="AF1528" s="7">
        <f t="shared" si="4566"/>
        <v>89</v>
      </c>
      <c r="AG1528" s="7">
        <v>10033.5</v>
      </c>
      <c r="AH1528" s="7">
        <v>2902.5</v>
      </c>
      <c r="AI1528" s="7">
        <v>5016.2</v>
      </c>
      <c r="AJ1528" s="7">
        <v>1635.8</v>
      </c>
      <c r="AK1528" s="7">
        <v>460.9</v>
      </c>
      <c r="AL1528" s="7">
        <v>18.1</v>
      </c>
      <c r="AM1528" s="7">
        <v>146.0</v>
      </c>
      <c r="AN1528" s="7">
        <v>33.0</v>
      </c>
      <c r="AO1528" s="7">
        <v>26.1</v>
      </c>
      <c r="AP1528" s="9">
        <f t="shared" ref="AP1528:AR1528" si="4787">AG1528/$AF1528</f>
        <v>112.7359551</v>
      </c>
      <c r="AQ1528" s="9">
        <f t="shared" si="4787"/>
        <v>32.61235955</v>
      </c>
      <c r="AR1528" s="9">
        <f t="shared" si="4787"/>
        <v>56.36179775</v>
      </c>
      <c r="AS1528" s="9">
        <f t="shared" si="4568"/>
        <v>88.9741573</v>
      </c>
      <c r="AT1528" s="9">
        <f t="shared" ref="AT1528:AV1528" si="4788">AJ1528/$AF1528</f>
        <v>18.37977528</v>
      </c>
      <c r="AU1528" s="9">
        <f t="shared" si="4788"/>
        <v>5.178651685</v>
      </c>
      <c r="AV1528" s="9">
        <f t="shared" si="4788"/>
        <v>0.2033707865</v>
      </c>
      <c r="AW1528" s="9">
        <f t="shared" si="4570"/>
        <v>5.382022472</v>
      </c>
      <c r="AX1528" s="9">
        <f t="shared" ref="AX1528:AY1528" si="4789">AM1528/$AF1528</f>
        <v>1.640449438</v>
      </c>
      <c r="AY1528" s="9">
        <f t="shared" si="4789"/>
        <v>0.3707865169</v>
      </c>
      <c r="AZ1528" s="9">
        <f>VLOOKUP(A1528,Jogos!A:BN,58,0)</f>
        <v>24.455</v>
      </c>
      <c r="BA1528" s="9">
        <f>VLOOKUP(A1528,Jogos!A:BN,59,0)</f>
        <v>22.125</v>
      </c>
      <c r="BB1528" s="9">
        <f>VLOOKUP(A1528,Jogos!A:BN,60,0)</f>
        <v>86.5</v>
      </c>
      <c r="BC1528" s="9">
        <f>VLOOKUP(A1528,Jogos!A:BN,61,0)</f>
        <v>22.335</v>
      </c>
      <c r="BD1528" s="9">
        <f>VLOOKUP(A1528,Jogos!A:BN,62,0)</f>
        <v>98.05</v>
      </c>
      <c r="BE1528" s="9">
        <f>VLOOKUP(A1528,Jogos!A:BN,63,0)</f>
        <v>1.2</v>
      </c>
      <c r="BF1528" s="9">
        <f>VLOOKUP(A1528,Jogos!A:BN,64,0)</f>
        <v>23.08</v>
      </c>
      <c r="BG1528" s="9">
        <f>VLOOKUP(A1528,Jogos!A:BN,65,0)</f>
        <v>39.65</v>
      </c>
      <c r="BH1528" s="9">
        <f>VLOOKUP(A1528,Jogos!A:BN,66,0)</f>
        <v>26.53</v>
      </c>
      <c r="BI1528" s="9"/>
      <c r="BJ1528" s="9"/>
    </row>
    <row r="1529" hidden="1">
      <c r="A1529" s="2">
        <v>52.0</v>
      </c>
      <c r="B1529" s="2" t="s">
        <v>1350</v>
      </c>
      <c r="C1529" s="2" t="s">
        <v>1351</v>
      </c>
      <c r="D1529" s="18">
        <v>45837.0</v>
      </c>
      <c r="E1529" s="4">
        <v>0.6666666666666666</v>
      </c>
      <c r="F1529" s="5" t="str">
        <f>VLOOKUP(A1529,Jogos!A:N,10,0)</f>
        <v>Afternoon</v>
      </c>
      <c r="G1529" s="2" t="s">
        <v>62</v>
      </c>
      <c r="H1529" s="6" t="str">
        <f>VLOOKUP(A1529,Jogos!A:L,12,0)</f>
        <v>Open</v>
      </c>
      <c r="I1529" s="6" t="str">
        <f>VLOOKUP(G1529,'Estádios e Cidades'!A:B,2,0)</f>
        <v>Miami Gardens - Flórida</v>
      </c>
      <c r="J1529" s="2" t="s">
        <v>501</v>
      </c>
      <c r="K1529" s="2" t="str">
        <f>VLOOKUP(J1529,Equipes!A:F,6,0)</f>
        <v>Tropical</v>
      </c>
      <c r="L1529" s="2">
        <f>VLOOKUP(J1529,Equipes!A:C,3,0)</f>
        <v>11</v>
      </c>
      <c r="M1529" s="2" t="str">
        <f t="shared" si="4"/>
        <v>Round of 16</v>
      </c>
      <c r="N1529" s="2" t="s">
        <v>123</v>
      </c>
      <c r="O1529" s="2">
        <f>VLOOKUP(N1529,Equipes!A:C,3,0)</f>
        <v>6</v>
      </c>
      <c r="P1529" s="2" t="str">
        <f t="shared" si="5"/>
        <v>Quarter-final</v>
      </c>
      <c r="Q1529" s="2">
        <f t="shared" si="6"/>
        <v>5</v>
      </c>
      <c r="R1529" s="2" t="str">
        <f>VLOOKUP(J1529,Equipes!A:B,2,0)</f>
        <v>Flamengo</v>
      </c>
      <c r="S1529" s="6" t="s">
        <v>1273</v>
      </c>
      <c r="T1529" s="7">
        <v>26.0</v>
      </c>
      <c r="U1529" s="7" t="s">
        <v>1274</v>
      </c>
      <c r="V1529" s="7" t="s">
        <v>1272</v>
      </c>
      <c r="W1529" s="8">
        <f>VLOOKUP(U1529,Jogadores!B:D,3,0)</f>
        <v>34.5260274</v>
      </c>
      <c r="X1529" s="7">
        <v>0.0</v>
      </c>
      <c r="Y1529" s="7">
        <v>82.0</v>
      </c>
      <c r="Z1529" s="7">
        <f>VLOOKUP(A1529,Jogos!A:L,3,0)</f>
        <v>53</v>
      </c>
      <c r="AA1529" s="7">
        <f t="shared" si="4779"/>
        <v>53</v>
      </c>
      <c r="AB1529" s="7">
        <f>VLOOKUP(A1529,Jogos!A:L,4,0)</f>
        <v>53</v>
      </c>
      <c r="AC1529" s="7">
        <f t="shared" si="4780"/>
        <v>37</v>
      </c>
      <c r="AD1529" s="7"/>
      <c r="AE1529" s="7"/>
      <c r="AF1529" s="7">
        <f t="shared" si="4566"/>
        <v>90</v>
      </c>
      <c r="AG1529" s="7">
        <v>8912.2</v>
      </c>
      <c r="AH1529" s="7">
        <v>3356.9</v>
      </c>
      <c r="AI1529" s="7">
        <v>3799.2</v>
      </c>
      <c r="AJ1529" s="7">
        <v>1183.7</v>
      </c>
      <c r="AK1529" s="7">
        <v>410.7</v>
      </c>
      <c r="AL1529" s="7">
        <v>161.6</v>
      </c>
      <c r="AM1529" s="7">
        <v>110.0</v>
      </c>
      <c r="AN1529" s="7">
        <v>41.0</v>
      </c>
      <c r="AO1529" s="7">
        <v>29.0</v>
      </c>
      <c r="AP1529" s="9">
        <f t="shared" ref="AP1529:AR1529" si="4790">AG1529/$AF1529</f>
        <v>99.02444444</v>
      </c>
      <c r="AQ1529" s="9">
        <f t="shared" si="4790"/>
        <v>37.29888889</v>
      </c>
      <c r="AR1529" s="9">
        <f t="shared" si="4790"/>
        <v>42.21333333</v>
      </c>
      <c r="AS1529" s="9">
        <f t="shared" si="4568"/>
        <v>79.51222222</v>
      </c>
      <c r="AT1529" s="9">
        <f t="shared" ref="AT1529:AV1529" si="4791">AJ1529/$AF1529</f>
        <v>13.15222222</v>
      </c>
      <c r="AU1529" s="9">
        <f t="shared" si="4791"/>
        <v>4.563333333</v>
      </c>
      <c r="AV1529" s="9">
        <f t="shared" si="4791"/>
        <v>1.795555556</v>
      </c>
      <c r="AW1529" s="9">
        <f t="shared" si="4570"/>
        <v>6.358888889</v>
      </c>
      <c r="AX1529" s="9">
        <f t="shared" ref="AX1529:AY1529" si="4792">AM1529/$AF1529</f>
        <v>1.222222222</v>
      </c>
      <c r="AY1529" s="9">
        <f t="shared" si="4792"/>
        <v>0.4555555556</v>
      </c>
      <c r="AZ1529" s="9">
        <f>VLOOKUP(A1529,Jogos!A:BN,58,0)</f>
        <v>24.455</v>
      </c>
      <c r="BA1529" s="9">
        <f>VLOOKUP(A1529,Jogos!A:BN,59,0)</f>
        <v>22.125</v>
      </c>
      <c r="BB1529" s="9">
        <f>VLOOKUP(A1529,Jogos!A:BN,60,0)</f>
        <v>86.5</v>
      </c>
      <c r="BC1529" s="9">
        <f>VLOOKUP(A1529,Jogos!A:BN,61,0)</f>
        <v>22.335</v>
      </c>
      <c r="BD1529" s="9">
        <f>VLOOKUP(A1529,Jogos!A:BN,62,0)</f>
        <v>98.05</v>
      </c>
      <c r="BE1529" s="9">
        <f>VLOOKUP(A1529,Jogos!A:BN,63,0)</f>
        <v>1.2</v>
      </c>
      <c r="BF1529" s="9">
        <f>VLOOKUP(A1529,Jogos!A:BN,64,0)</f>
        <v>23.08</v>
      </c>
      <c r="BG1529" s="9">
        <f>VLOOKUP(A1529,Jogos!A:BN,65,0)</f>
        <v>39.65</v>
      </c>
      <c r="BH1529" s="9">
        <f>VLOOKUP(A1529,Jogos!A:BN,66,0)</f>
        <v>26.53</v>
      </c>
      <c r="BI1529" s="9"/>
      <c r="BJ1529" s="9"/>
    </row>
    <row r="1530" hidden="1">
      <c r="A1530" s="2">
        <v>52.0</v>
      </c>
      <c r="B1530" s="2" t="s">
        <v>1350</v>
      </c>
      <c r="C1530" s="2" t="s">
        <v>1351</v>
      </c>
      <c r="D1530" s="18">
        <v>45837.0</v>
      </c>
      <c r="E1530" s="4">
        <v>0.6666666666666666</v>
      </c>
      <c r="F1530" s="5" t="str">
        <f>VLOOKUP(A1530,Jogos!A:N,10,0)</f>
        <v>Afternoon</v>
      </c>
      <c r="G1530" s="2" t="s">
        <v>62</v>
      </c>
      <c r="H1530" s="6" t="str">
        <f>VLOOKUP(A1530,Jogos!A:L,12,0)</f>
        <v>Open</v>
      </c>
      <c r="I1530" s="6" t="str">
        <f>VLOOKUP(G1530,'Estádios e Cidades'!A:B,2,0)</f>
        <v>Miami Gardens - Flórida</v>
      </c>
      <c r="J1530" s="2" t="s">
        <v>501</v>
      </c>
      <c r="K1530" s="2" t="str">
        <f>VLOOKUP(J1530,Equipes!A:F,6,0)</f>
        <v>Tropical</v>
      </c>
      <c r="L1530" s="2">
        <f>VLOOKUP(J1530,Equipes!A:C,3,0)</f>
        <v>11</v>
      </c>
      <c r="M1530" s="2" t="str">
        <f t="shared" si="4"/>
        <v>Round of 16</v>
      </c>
      <c r="N1530" s="2" t="s">
        <v>123</v>
      </c>
      <c r="O1530" s="2">
        <f>VLOOKUP(N1530,Equipes!A:C,3,0)</f>
        <v>6</v>
      </c>
      <c r="P1530" s="2" t="str">
        <f t="shared" si="5"/>
        <v>Quarter-final</v>
      </c>
      <c r="Q1530" s="2">
        <f t="shared" si="6"/>
        <v>5</v>
      </c>
      <c r="R1530" s="2" t="str">
        <f>VLOOKUP(J1530,Equipes!A:B,2,0)</f>
        <v>Flamengo</v>
      </c>
      <c r="S1530" s="6" t="s">
        <v>1122</v>
      </c>
      <c r="T1530" s="7">
        <v>43.0</v>
      </c>
      <c r="U1530" s="7" t="s">
        <v>1123</v>
      </c>
      <c r="V1530" s="7" t="str">
        <f>VLOOKUP(U1530,Jogadores!B:C,2,0)</f>
        <v>DF</v>
      </c>
      <c r="W1530" s="8">
        <f>VLOOKUP(U1530,Jogadores!B:D,3,0)</f>
        <v>21.90684932</v>
      </c>
      <c r="X1530" s="7">
        <v>0.0</v>
      </c>
      <c r="Y1530" s="7">
        <f t="shared" ref="Y1530:Y1539" si="4796">45+AB1530</f>
        <v>98</v>
      </c>
      <c r="Z1530" s="7">
        <f>VLOOKUP(A1530,Jogos!A:L,3,0)</f>
        <v>53</v>
      </c>
      <c r="AA1530" s="7">
        <f t="shared" si="4779"/>
        <v>53</v>
      </c>
      <c r="AB1530" s="7">
        <f>VLOOKUP(A1530,Jogos!A:L,4,0)</f>
        <v>53</v>
      </c>
      <c r="AC1530" s="7">
        <f t="shared" si="4780"/>
        <v>53</v>
      </c>
      <c r="AD1530" s="7"/>
      <c r="AE1530" s="7"/>
      <c r="AF1530" s="7">
        <f t="shared" si="4566"/>
        <v>106</v>
      </c>
      <c r="AG1530" s="7">
        <v>9939.8</v>
      </c>
      <c r="AH1530" s="7">
        <v>4394.8</v>
      </c>
      <c r="AI1530" s="7">
        <v>3463.6</v>
      </c>
      <c r="AJ1530" s="7">
        <v>1135.2</v>
      </c>
      <c r="AK1530" s="7">
        <v>530.4</v>
      </c>
      <c r="AL1530" s="7">
        <v>415.7</v>
      </c>
      <c r="AM1530" s="7">
        <v>101.0</v>
      </c>
      <c r="AN1530" s="7">
        <v>49.0</v>
      </c>
      <c r="AO1530" s="7">
        <v>36.1</v>
      </c>
      <c r="AP1530" s="9">
        <f t="shared" ref="AP1530:AR1530" si="4793">AG1530/$AF1530</f>
        <v>93.77169811</v>
      </c>
      <c r="AQ1530" s="9">
        <f t="shared" si="4793"/>
        <v>41.46037736</v>
      </c>
      <c r="AR1530" s="9">
        <f t="shared" si="4793"/>
        <v>32.6754717</v>
      </c>
      <c r="AS1530" s="9">
        <f t="shared" si="4568"/>
        <v>74.13584906</v>
      </c>
      <c r="AT1530" s="9">
        <f t="shared" ref="AT1530:AV1530" si="4794">AJ1530/$AF1530</f>
        <v>10.70943396</v>
      </c>
      <c r="AU1530" s="9">
        <f t="shared" si="4794"/>
        <v>5.003773585</v>
      </c>
      <c r="AV1530" s="9">
        <f t="shared" si="4794"/>
        <v>3.921698113</v>
      </c>
      <c r="AW1530" s="9">
        <f t="shared" si="4570"/>
        <v>8.925471698</v>
      </c>
      <c r="AX1530" s="9">
        <f t="shared" ref="AX1530:AY1530" si="4795">AM1530/$AF1530</f>
        <v>0.9528301887</v>
      </c>
      <c r="AY1530" s="9">
        <f t="shared" si="4795"/>
        <v>0.4622641509</v>
      </c>
      <c r="AZ1530" s="9">
        <f>VLOOKUP(A1530,Jogos!A:BN,58,0)</f>
        <v>24.455</v>
      </c>
      <c r="BA1530" s="9">
        <f>VLOOKUP(A1530,Jogos!A:BN,59,0)</f>
        <v>22.125</v>
      </c>
      <c r="BB1530" s="9">
        <f>VLOOKUP(A1530,Jogos!A:BN,60,0)</f>
        <v>86.5</v>
      </c>
      <c r="BC1530" s="9">
        <f>VLOOKUP(A1530,Jogos!A:BN,61,0)</f>
        <v>22.335</v>
      </c>
      <c r="BD1530" s="9">
        <f>VLOOKUP(A1530,Jogos!A:BN,62,0)</f>
        <v>98.05</v>
      </c>
      <c r="BE1530" s="9">
        <f>VLOOKUP(A1530,Jogos!A:BN,63,0)</f>
        <v>1.2</v>
      </c>
      <c r="BF1530" s="9">
        <f>VLOOKUP(A1530,Jogos!A:BN,64,0)</f>
        <v>23.08</v>
      </c>
      <c r="BG1530" s="9">
        <f>VLOOKUP(A1530,Jogos!A:BN,65,0)</f>
        <v>39.65</v>
      </c>
      <c r="BH1530" s="9">
        <f>VLOOKUP(A1530,Jogos!A:BN,66,0)</f>
        <v>26.53</v>
      </c>
      <c r="BI1530" s="9"/>
      <c r="BJ1530" s="9"/>
    </row>
    <row r="1531" hidden="1">
      <c r="A1531" s="2">
        <v>52.0</v>
      </c>
      <c r="B1531" s="2" t="s">
        <v>1350</v>
      </c>
      <c r="C1531" s="2" t="s">
        <v>1351</v>
      </c>
      <c r="D1531" s="18">
        <v>45837.0</v>
      </c>
      <c r="E1531" s="4">
        <v>0.6666666666666666</v>
      </c>
      <c r="F1531" s="5" t="str">
        <f>VLOOKUP(A1531,Jogos!A:N,10,0)</f>
        <v>Afternoon</v>
      </c>
      <c r="G1531" s="2" t="s">
        <v>62</v>
      </c>
      <c r="H1531" s="6" t="str">
        <f>VLOOKUP(A1531,Jogos!A:L,12,0)</f>
        <v>Open</v>
      </c>
      <c r="I1531" s="6" t="str">
        <f>VLOOKUP(G1531,'Estádios e Cidades'!A:B,2,0)</f>
        <v>Miami Gardens - Flórida</v>
      </c>
      <c r="J1531" s="2" t="s">
        <v>501</v>
      </c>
      <c r="K1531" s="2" t="str">
        <f>VLOOKUP(J1531,Equipes!A:F,6,0)</f>
        <v>Tropical</v>
      </c>
      <c r="L1531" s="2">
        <f>VLOOKUP(J1531,Equipes!A:C,3,0)</f>
        <v>11</v>
      </c>
      <c r="M1531" s="2" t="str">
        <f t="shared" si="4"/>
        <v>Round of 16</v>
      </c>
      <c r="N1531" s="2" t="s">
        <v>123</v>
      </c>
      <c r="O1531" s="2">
        <f>VLOOKUP(N1531,Equipes!A:C,3,0)</f>
        <v>6</v>
      </c>
      <c r="P1531" s="2" t="str">
        <f t="shared" si="5"/>
        <v>Quarter-final</v>
      </c>
      <c r="Q1531" s="2">
        <f t="shared" si="6"/>
        <v>5</v>
      </c>
      <c r="R1531" s="2" t="str">
        <f>VLOOKUP(J1531,Equipes!A:B,2,0)</f>
        <v>Flamengo</v>
      </c>
      <c r="S1531" s="6" t="s">
        <v>530</v>
      </c>
      <c r="T1531" s="7">
        <v>50.0</v>
      </c>
      <c r="U1531" s="7" t="s">
        <v>531</v>
      </c>
      <c r="V1531" s="7" t="str">
        <f>VLOOKUP(U1531,Jogadores!B:C,2,0)</f>
        <v>FW</v>
      </c>
      <c r="W1531" s="8">
        <f>VLOOKUP(U1531,Jogadores!B:D,3,0)</f>
        <v>24.75342466</v>
      </c>
      <c r="X1531" s="7">
        <v>0.0</v>
      </c>
      <c r="Y1531" s="7">
        <f t="shared" si="4796"/>
        <v>98</v>
      </c>
      <c r="Z1531" s="7">
        <f>VLOOKUP(A1531,Jogos!A:L,3,0)</f>
        <v>53</v>
      </c>
      <c r="AA1531" s="7">
        <f t="shared" si="4779"/>
        <v>53</v>
      </c>
      <c r="AB1531" s="7">
        <f>VLOOKUP(A1531,Jogos!A:L,4,0)</f>
        <v>53</v>
      </c>
      <c r="AC1531" s="7">
        <f t="shared" si="4780"/>
        <v>53</v>
      </c>
      <c r="AD1531" s="7"/>
      <c r="AE1531" s="7"/>
      <c r="AF1531" s="7">
        <f t="shared" si="4566"/>
        <v>106</v>
      </c>
      <c r="AG1531" s="7">
        <v>10614.1</v>
      </c>
      <c r="AH1531" s="7">
        <v>3821.7</v>
      </c>
      <c r="AI1531" s="7">
        <v>4106.7</v>
      </c>
      <c r="AJ1531" s="7">
        <v>1610.1</v>
      </c>
      <c r="AK1531" s="7">
        <v>736.9</v>
      </c>
      <c r="AL1531" s="7">
        <v>338.7</v>
      </c>
      <c r="AM1531" s="7">
        <v>133.0</v>
      </c>
      <c r="AN1531" s="7">
        <v>58.0</v>
      </c>
      <c r="AO1531" s="7">
        <v>32.2</v>
      </c>
      <c r="AP1531" s="9">
        <f t="shared" ref="AP1531:AR1531" si="4797">AG1531/$AF1531</f>
        <v>100.1330189</v>
      </c>
      <c r="AQ1531" s="9">
        <f t="shared" si="4797"/>
        <v>36.05377358</v>
      </c>
      <c r="AR1531" s="9">
        <f t="shared" si="4797"/>
        <v>38.74245283</v>
      </c>
      <c r="AS1531" s="9">
        <f t="shared" si="4568"/>
        <v>74.79622642</v>
      </c>
      <c r="AT1531" s="9">
        <f t="shared" ref="AT1531:AV1531" si="4798">AJ1531/$AF1531</f>
        <v>15.18962264</v>
      </c>
      <c r="AU1531" s="9">
        <f t="shared" si="4798"/>
        <v>6.951886792</v>
      </c>
      <c r="AV1531" s="9">
        <f t="shared" si="4798"/>
        <v>3.195283019</v>
      </c>
      <c r="AW1531" s="9">
        <f t="shared" si="4570"/>
        <v>10.14716981</v>
      </c>
      <c r="AX1531" s="9">
        <f t="shared" ref="AX1531:AY1531" si="4799">AM1531/$AF1531</f>
        <v>1.254716981</v>
      </c>
      <c r="AY1531" s="9">
        <f t="shared" si="4799"/>
        <v>0.5471698113</v>
      </c>
      <c r="AZ1531" s="9">
        <f>VLOOKUP(A1531,Jogos!A:BN,58,0)</f>
        <v>24.455</v>
      </c>
      <c r="BA1531" s="9">
        <f>VLOOKUP(A1531,Jogos!A:BN,59,0)</f>
        <v>22.125</v>
      </c>
      <c r="BB1531" s="9">
        <f>VLOOKUP(A1531,Jogos!A:BN,60,0)</f>
        <v>86.5</v>
      </c>
      <c r="BC1531" s="9">
        <f>VLOOKUP(A1531,Jogos!A:BN,61,0)</f>
        <v>22.335</v>
      </c>
      <c r="BD1531" s="9">
        <f>VLOOKUP(A1531,Jogos!A:BN,62,0)</f>
        <v>98.05</v>
      </c>
      <c r="BE1531" s="9">
        <f>VLOOKUP(A1531,Jogos!A:BN,63,0)</f>
        <v>1.2</v>
      </c>
      <c r="BF1531" s="9">
        <f>VLOOKUP(A1531,Jogos!A:BN,64,0)</f>
        <v>23.08</v>
      </c>
      <c r="BG1531" s="9">
        <f>VLOOKUP(A1531,Jogos!A:BN,65,0)</f>
        <v>39.65</v>
      </c>
      <c r="BH1531" s="9">
        <f>VLOOKUP(A1531,Jogos!A:BN,66,0)</f>
        <v>26.53</v>
      </c>
      <c r="BI1531" s="9"/>
      <c r="BJ1531" s="9"/>
    </row>
    <row r="1532" hidden="1">
      <c r="A1532" s="2">
        <v>52.0</v>
      </c>
      <c r="B1532" s="2" t="s">
        <v>1350</v>
      </c>
      <c r="C1532" s="2" t="s">
        <v>1351</v>
      </c>
      <c r="D1532" s="18">
        <v>45837.0</v>
      </c>
      <c r="E1532" s="4">
        <v>0.6666666666666666</v>
      </c>
      <c r="F1532" s="5" t="str">
        <f>VLOOKUP(A1532,Jogos!A:N,10,0)</f>
        <v>Afternoon</v>
      </c>
      <c r="G1532" s="2" t="s">
        <v>62</v>
      </c>
      <c r="H1532" s="6" t="str">
        <f>VLOOKUP(A1532,Jogos!A:L,12,0)</f>
        <v>Open</v>
      </c>
      <c r="I1532" s="6" t="str">
        <f>VLOOKUP(G1532,'Estádios e Cidades'!A:B,2,0)</f>
        <v>Miami Gardens - Flórida</v>
      </c>
      <c r="J1532" s="2" t="s">
        <v>501</v>
      </c>
      <c r="K1532" s="2" t="str">
        <f>VLOOKUP(J1532,Equipes!A:F,6,0)</f>
        <v>Tropical</v>
      </c>
      <c r="L1532" s="2">
        <f>VLOOKUP(J1532,Equipes!A:C,3,0)</f>
        <v>11</v>
      </c>
      <c r="M1532" s="2" t="str">
        <f t="shared" si="4"/>
        <v>Round of 16</v>
      </c>
      <c r="N1532" s="2" t="s">
        <v>123</v>
      </c>
      <c r="O1532" s="2">
        <f>VLOOKUP(N1532,Equipes!A:C,3,0)</f>
        <v>6</v>
      </c>
      <c r="P1532" s="2" t="str">
        <f t="shared" si="5"/>
        <v>Quarter-final</v>
      </c>
      <c r="Q1532" s="2">
        <f t="shared" si="6"/>
        <v>5</v>
      </c>
      <c r="R1532" s="2" t="str">
        <f>VLOOKUP(J1532,Equipes!A:B,2,0)</f>
        <v>Flamengo</v>
      </c>
      <c r="S1532" s="6" t="s">
        <v>511</v>
      </c>
      <c r="T1532" s="7">
        <v>6.0</v>
      </c>
      <c r="U1532" s="7" t="s">
        <v>512</v>
      </c>
      <c r="V1532" s="7" t="str">
        <f>VLOOKUP(U1532,Jogadores!B:C,2,0)</f>
        <v>DF</v>
      </c>
      <c r="W1532" s="8">
        <f>VLOOKUP(U1532,Jogadores!B:D,3,0)</f>
        <v>28.1260274</v>
      </c>
      <c r="X1532" s="7">
        <v>82.0</v>
      </c>
      <c r="Y1532" s="7">
        <f t="shared" si="4796"/>
        <v>98</v>
      </c>
      <c r="Z1532" s="7">
        <f>VLOOKUP(A1532,Jogos!A:L,3,0)</f>
        <v>53</v>
      </c>
      <c r="AA1532" s="7">
        <f t="shared" si="4779"/>
        <v>0</v>
      </c>
      <c r="AB1532" s="7">
        <f>VLOOKUP(A1532,Jogos!A:L,4,0)</f>
        <v>53</v>
      </c>
      <c r="AC1532" s="7">
        <f t="shared" si="4780"/>
        <v>16</v>
      </c>
      <c r="AD1532" s="7"/>
      <c r="AE1532" s="7"/>
      <c r="AF1532" s="7">
        <f t="shared" si="4566"/>
        <v>16</v>
      </c>
      <c r="AG1532" s="7">
        <v>1726.1</v>
      </c>
      <c r="AH1532" s="7">
        <v>654.1</v>
      </c>
      <c r="AI1532" s="7">
        <v>636.5</v>
      </c>
      <c r="AJ1532" s="7">
        <v>257.2</v>
      </c>
      <c r="AK1532" s="7">
        <v>42.3</v>
      </c>
      <c r="AL1532" s="7">
        <v>136.0</v>
      </c>
      <c r="AM1532" s="7">
        <v>21.0</v>
      </c>
      <c r="AN1532" s="7">
        <v>7.0</v>
      </c>
      <c r="AO1532" s="7">
        <v>34.5</v>
      </c>
      <c r="AP1532" s="9">
        <f t="shared" ref="AP1532:AR1532" si="4800">AG1532/$AF1532</f>
        <v>107.88125</v>
      </c>
      <c r="AQ1532" s="9">
        <f t="shared" si="4800"/>
        <v>40.88125</v>
      </c>
      <c r="AR1532" s="9">
        <f t="shared" si="4800"/>
        <v>39.78125</v>
      </c>
      <c r="AS1532" s="9">
        <f t="shared" si="4568"/>
        <v>80.6625</v>
      </c>
      <c r="AT1532" s="9">
        <f t="shared" ref="AT1532:AV1532" si="4801">AJ1532/$AF1532</f>
        <v>16.075</v>
      </c>
      <c r="AU1532" s="9">
        <f t="shared" si="4801"/>
        <v>2.64375</v>
      </c>
      <c r="AV1532" s="9">
        <f t="shared" si="4801"/>
        <v>8.5</v>
      </c>
      <c r="AW1532" s="9">
        <f t="shared" si="4570"/>
        <v>11.14375</v>
      </c>
      <c r="AX1532" s="9">
        <f t="shared" ref="AX1532:AY1532" si="4802">AM1532/$AF1532</f>
        <v>1.3125</v>
      </c>
      <c r="AY1532" s="9">
        <f t="shared" si="4802"/>
        <v>0.4375</v>
      </c>
      <c r="AZ1532" s="9">
        <f>VLOOKUP(A1532,Jogos!A:BN,58,0)</f>
        <v>24.455</v>
      </c>
      <c r="BA1532" s="9">
        <f>VLOOKUP(A1532,Jogos!A:BN,59,0)</f>
        <v>22.125</v>
      </c>
      <c r="BB1532" s="9">
        <f>VLOOKUP(A1532,Jogos!A:BN,60,0)</f>
        <v>86.5</v>
      </c>
      <c r="BC1532" s="9">
        <f>VLOOKUP(A1532,Jogos!A:BN,61,0)</f>
        <v>22.335</v>
      </c>
      <c r="BD1532" s="9">
        <f>VLOOKUP(A1532,Jogos!A:BN,62,0)</f>
        <v>98.05</v>
      </c>
      <c r="BE1532" s="9">
        <f>VLOOKUP(A1532,Jogos!A:BN,63,0)</f>
        <v>1.2</v>
      </c>
      <c r="BF1532" s="9">
        <f>VLOOKUP(A1532,Jogos!A:BN,64,0)</f>
        <v>23.08</v>
      </c>
      <c r="BG1532" s="9">
        <f>VLOOKUP(A1532,Jogos!A:BN,65,0)</f>
        <v>39.65</v>
      </c>
      <c r="BH1532" s="9">
        <f>VLOOKUP(A1532,Jogos!A:BN,66,0)</f>
        <v>26.53</v>
      </c>
      <c r="BI1532" s="9"/>
      <c r="BJ1532" s="9"/>
    </row>
    <row r="1533" hidden="1">
      <c r="A1533" s="2">
        <v>52.0</v>
      </c>
      <c r="B1533" s="2" t="s">
        <v>1350</v>
      </c>
      <c r="C1533" s="2" t="s">
        <v>1351</v>
      </c>
      <c r="D1533" s="18">
        <v>45837.0</v>
      </c>
      <c r="E1533" s="4">
        <v>0.6666666666666666</v>
      </c>
      <c r="F1533" s="5" t="str">
        <f>VLOOKUP(A1533,Jogos!A:N,10,0)</f>
        <v>Afternoon</v>
      </c>
      <c r="G1533" s="2" t="s">
        <v>62</v>
      </c>
      <c r="H1533" s="6" t="str">
        <f>VLOOKUP(A1533,Jogos!A:L,12,0)</f>
        <v>Open</v>
      </c>
      <c r="I1533" s="6" t="str">
        <f>VLOOKUP(G1533,'Estádios e Cidades'!A:B,2,0)</f>
        <v>Miami Gardens - Flórida</v>
      </c>
      <c r="J1533" s="2" t="s">
        <v>501</v>
      </c>
      <c r="K1533" s="2" t="str">
        <f>VLOOKUP(J1533,Equipes!A:F,6,0)</f>
        <v>Tropical</v>
      </c>
      <c r="L1533" s="2">
        <f>VLOOKUP(J1533,Equipes!A:C,3,0)</f>
        <v>11</v>
      </c>
      <c r="M1533" s="2" t="str">
        <f t="shared" si="4"/>
        <v>Round of 16</v>
      </c>
      <c r="N1533" s="2" t="s">
        <v>123</v>
      </c>
      <c r="O1533" s="2">
        <f>VLOOKUP(N1533,Equipes!A:C,3,0)</f>
        <v>6</v>
      </c>
      <c r="P1533" s="2" t="str">
        <f t="shared" si="5"/>
        <v>Quarter-final</v>
      </c>
      <c r="Q1533" s="2">
        <f t="shared" si="6"/>
        <v>5</v>
      </c>
      <c r="R1533" s="2" t="str">
        <f>VLOOKUP(J1533,Equipes!A:B,2,0)</f>
        <v>Flamengo</v>
      </c>
      <c r="S1533" s="6" t="s">
        <v>1368</v>
      </c>
      <c r="T1533" s="7">
        <v>18.0</v>
      </c>
      <c r="U1533" s="7" t="s">
        <v>1369</v>
      </c>
      <c r="V1533" s="7" t="s">
        <v>1311</v>
      </c>
      <c r="W1533" s="8">
        <f>VLOOKUP(U1533,Jogadores!B:D,3,0)</f>
        <v>28.17534247</v>
      </c>
      <c r="X1533" s="7">
        <v>81.0</v>
      </c>
      <c r="Y1533" s="7">
        <f t="shared" si="4796"/>
        <v>98</v>
      </c>
      <c r="Z1533" s="7">
        <f>VLOOKUP(A1533,Jogos!A:L,3,0)</f>
        <v>53</v>
      </c>
      <c r="AA1533" s="7">
        <f t="shared" si="4779"/>
        <v>0</v>
      </c>
      <c r="AB1533" s="7">
        <f>VLOOKUP(A1533,Jogos!A:L,4,0)</f>
        <v>53</v>
      </c>
      <c r="AC1533" s="7">
        <f t="shared" si="4780"/>
        <v>17</v>
      </c>
      <c r="AD1533" s="7"/>
      <c r="AE1533" s="7"/>
      <c r="AF1533" s="7">
        <f t="shared" si="4566"/>
        <v>17</v>
      </c>
      <c r="AG1533" s="7">
        <v>1919.5</v>
      </c>
      <c r="AH1533" s="7">
        <v>449.2</v>
      </c>
      <c r="AI1533" s="7">
        <v>875.4</v>
      </c>
      <c r="AJ1533" s="7">
        <v>425.7</v>
      </c>
      <c r="AK1533" s="7">
        <v>105.1</v>
      </c>
      <c r="AL1533" s="7">
        <v>64.1</v>
      </c>
      <c r="AM1533" s="7">
        <v>31.0</v>
      </c>
      <c r="AN1533" s="7">
        <v>8.0</v>
      </c>
      <c r="AO1533" s="7">
        <v>30.1</v>
      </c>
      <c r="AP1533" s="9">
        <f t="shared" ref="AP1533:AR1533" si="4803">AG1533/$AF1533</f>
        <v>112.9117647</v>
      </c>
      <c r="AQ1533" s="9">
        <f t="shared" si="4803"/>
        <v>26.42352941</v>
      </c>
      <c r="AR1533" s="9">
        <f t="shared" si="4803"/>
        <v>51.49411765</v>
      </c>
      <c r="AS1533" s="9">
        <f t="shared" si="4568"/>
        <v>77.91764706</v>
      </c>
      <c r="AT1533" s="9">
        <f t="shared" ref="AT1533:AV1533" si="4804">AJ1533/$AF1533</f>
        <v>25.04117647</v>
      </c>
      <c r="AU1533" s="9">
        <f t="shared" si="4804"/>
        <v>6.182352941</v>
      </c>
      <c r="AV1533" s="9">
        <f t="shared" si="4804"/>
        <v>3.770588235</v>
      </c>
      <c r="AW1533" s="9">
        <f t="shared" si="4570"/>
        <v>9.952941176</v>
      </c>
      <c r="AX1533" s="9">
        <f t="shared" ref="AX1533:AY1533" si="4805">AM1533/$AF1533</f>
        <v>1.823529412</v>
      </c>
      <c r="AY1533" s="9">
        <f t="shared" si="4805"/>
        <v>0.4705882353</v>
      </c>
      <c r="AZ1533" s="9">
        <f>VLOOKUP(A1533,Jogos!A:BN,58,0)</f>
        <v>24.455</v>
      </c>
      <c r="BA1533" s="9">
        <f>VLOOKUP(A1533,Jogos!A:BN,59,0)</f>
        <v>22.125</v>
      </c>
      <c r="BB1533" s="9">
        <f>VLOOKUP(A1533,Jogos!A:BN,60,0)</f>
        <v>86.5</v>
      </c>
      <c r="BC1533" s="9">
        <f>VLOOKUP(A1533,Jogos!A:BN,61,0)</f>
        <v>22.335</v>
      </c>
      <c r="BD1533" s="9">
        <f>VLOOKUP(A1533,Jogos!A:BN,62,0)</f>
        <v>98.05</v>
      </c>
      <c r="BE1533" s="9">
        <f>VLOOKUP(A1533,Jogos!A:BN,63,0)</f>
        <v>1.2</v>
      </c>
      <c r="BF1533" s="9">
        <f>VLOOKUP(A1533,Jogos!A:BN,64,0)</f>
        <v>23.08</v>
      </c>
      <c r="BG1533" s="9">
        <f>VLOOKUP(A1533,Jogos!A:BN,65,0)</f>
        <v>39.65</v>
      </c>
      <c r="BH1533" s="9">
        <f>VLOOKUP(A1533,Jogos!A:BN,66,0)</f>
        <v>26.53</v>
      </c>
      <c r="BI1533" s="9"/>
      <c r="BJ1533" s="9"/>
    </row>
    <row r="1534" hidden="1">
      <c r="A1534" s="2">
        <v>52.0</v>
      </c>
      <c r="B1534" s="2" t="s">
        <v>1350</v>
      </c>
      <c r="C1534" s="2" t="s">
        <v>1351</v>
      </c>
      <c r="D1534" s="18">
        <v>45837.0</v>
      </c>
      <c r="E1534" s="4">
        <v>0.6666666666666666</v>
      </c>
      <c r="F1534" s="5" t="str">
        <f>VLOOKUP(A1534,Jogos!A:N,10,0)</f>
        <v>Afternoon</v>
      </c>
      <c r="G1534" s="2" t="s">
        <v>62</v>
      </c>
      <c r="H1534" s="6" t="str">
        <f>VLOOKUP(A1534,Jogos!A:L,12,0)</f>
        <v>Open</v>
      </c>
      <c r="I1534" s="6" t="str">
        <f>VLOOKUP(G1534,'Estádios e Cidades'!A:B,2,0)</f>
        <v>Miami Gardens - Flórida</v>
      </c>
      <c r="J1534" s="2" t="s">
        <v>501</v>
      </c>
      <c r="K1534" s="2" t="str">
        <f>VLOOKUP(J1534,Equipes!A:F,6,0)</f>
        <v>Tropical</v>
      </c>
      <c r="L1534" s="2">
        <f>VLOOKUP(J1534,Equipes!A:C,3,0)</f>
        <v>11</v>
      </c>
      <c r="M1534" s="2" t="str">
        <f t="shared" si="4"/>
        <v>Round of 16</v>
      </c>
      <c r="N1534" s="2" t="s">
        <v>123</v>
      </c>
      <c r="O1534" s="2">
        <f>VLOOKUP(N1534,Equipes!A:C,3,0)</f>
        <v>6</v>
      </c>
      <c r="P1534" s="2" t="str">
        <f t="shared" si="5"/>
        <v>Quarter-final</v>
      </c>
      <c r="Q1534" s="2">
        <f t="shared" si="6"/>
        <v>5</v>
      </c>
      <c r="R1534" s="2" t="str">
        <f>VLOOKUP(J1534,Equipes!A:B,2,0)</f>
        <v>Flamengo</v>
      </c>
      <c r="S1534" s="6" t="s">
        <v>525</v>
      </c>
      <c r="T1534" s="7">
        <v>27.0</v>
      </c>
      <c r="U1534" s="7" t="s">
        <v>526</v>
      </c>
      <c r="V1534" s="7" t="str">
        <f>VLOOKUP(U1534,Jogadores!B:C,2,0)</f>
        <v>FW</v>
      </c>
      <c r="W1534" s="8">
        <f>VLOOKUP(U1534,Jogadores!B:D,3,0)</f>
        <v>34.6</v>
      </c>
      <c r="X1534" s="7">
        <v>57.0</v>
      </c>
      <c r="Y1534" s="7">
        <f t="shared" si="4796"/>
        <v>98</v>
      </c>
      <c r="Z1534" s="7">
        <f>VLOOKUP(A1534,Jogos!A:L,3,0)</f>
        <v>53</v>
      </c>
      <c r="AA1534" s="7">
        <f t="shared" si="4779"/>
        <v>0</v>
      </c>
      <c r="AB1534" s="7">
        <f>VLOOKUP(A1534,Jogos!A:L,4,0)</f>
        <v>53</v>
      </c>
      <c r="AC1534" s="7">
        <f t="shared" si="4780"/>
        <v>41</v>
      </c>
      <c r="AD1534" s="7"/>
      <c r="AE1534" s="7"/>
      <c r="AF1534" s="7">
        <f t="shared" si="4566"/>
        <v>41</v>
      </c>
      <c r="AG1534" s="7">
        <v>3965.2</v>
      </c>
      <c r="AH1534" s="7">
        <v>1549.1</v>
      </c>
      <c r="AI1534" s="7">
        <v>1359.2</v>
      </c>
      <c r="AJ1534" s="7">
        <v>479.4</v>
      </c>
      <c r="AK1534" s="7">
        <v>299.1</v>
      </c>
      <c r="AL1534" s="7">
        <v>278.4</v>
      </c>
      <c r="AM1534" s="7">
        <v>32.0</v>
      </c>
      <c r="AN1534" s="7">
        <v>33.0</v>
      </c>
      <c r="AO1534" s="7">
        <v>35.1</v>
      </c>
      <c r="AP1534" s="9">
        <f t="shared" ref="AP1534:AR1534" si="4806">AG1534/$AF1534</f>
        <v>96.71219512</v>
      </c>
      <c r="AQ1534" s="9">
        <f t="shared" si="4806"/>
        <v>37.78292683</v>
      </c>
      <c r="AR1534" s="9">
        <f t="shared" si="4806"/>
        <v>33.15121951</v>
      </c>
      <c r="AS1534" s="9">
        <f t="shared" si="4568"/>
        <v>70.93414634</v>
      </c>
      <c r="AT1534" s="9">
        <f t="shared" ref="AT1534:AV1534" si="4807">AJ1534/$AF1534</f>
        <v>11.69268293</v>
      </c>
      <c r="AU1534" s="9">
        <f t="shared" si="4807"/>
        <v>7.295121951</v>
      </c>
      <c r="AV1534" s="9">
        <f t="shared" si="4807"/>
        <v>6.790243902</v>
      </c>
      <c r="AW1534" s="9">
        <f t="shared" si="4570"/>
        <v>14.08536585</v>
      </c>
      <c r="AX1534" s="9">
        <f t="shared" ref="AX1534:AY1534" si="4808">AM1534/$AF1534</f>
        <v>0.7804878049</v>
      </c>
      <c r="AY1534" s="9">
        <f t="shared" si="4808"/>
        <v>0.8048780488</v>
      </c>
      <c r="AZ1534" s="9">
        <f>VLOOKUP(A1534,Jogos!A:BN,58,0)</f>
        <v>24.455</v>
      </c>
      <c r="BA1534" s="9">
        <f>VLOOKUP(A1534,Jogos!A:BN,59,0)</f>
        <v>22.125</v>
      </c>
      <c r="BB1534" s="9">
        <f>VLOOKUP(A1534,Jogos!A:BN,60,0)</f>
        <v>86.5</v>
      </c>
      <c r="BC1534" s="9">
        <f>VLOOKUP(A1534,Jogos!A:BN,61,0)</f>
        <v>22.335</v>
      </c>
      <c r="BD1534" s="9">
        <f>VLOOKUP(A1534,Jogos!A:BN,62,0)</f>
        <v>98.05</v>
      </c>
      <c r="BE1534" s="9">
        <f>VLOOKUP(A1534,Jogos!A:BN,63,0)</f>
        <v>1.2</v>
      </c>
      <c r="BF1534" s="9">
        <f>VLOOKUP(A1534,Jogos!A:BN,64,0)</f>
        <v>23.08</v>
      </c>
      <c r="BG1534" s="9">
        <f>VLOOKUP(A1534,Jogos!A:BN,65,0)</f>
        <v>39.65</v>
      </c>
      <c r="BH1534" s="9">
        <f>VLOOKUP(A1534,Jogos!A:BN,66,0)</f>
        <v>26.53</v>
      </c>
      <c r="BI1534" s="9"/>
      <c r="BJ1534" s="9"/>
    </row>
    <row r="1535" hidden="1">
      <c r="A1535" s="2">
        <v>52.0</v>
      </c>
      <c r="B1535" s="2" t="s">
        <v>1350</v>
      </c>
      <c r="C1535" s="2" t="s">
        <v>1351</v>
      </c>
      <c r="D1535" s="18">
        <v>45837.0</v>
      </c>
      <c r="E1535" s="4">
        <v>0.6666666666666666</v>
      </c>
      <c r="F1535" s="5" t="str">
        <f>VLOOKUP(A1535,Jogos!A:N,10,0)</f>
        <v>Afternoon</v>
      </c>
      <c r="G1535" s="2" t="s">
        <v>62</v>
      </c>
      <c r="H1535" s="6" t="str">
        <f>VLOOKUP(A1535,Jogos!A:L,12,0)</f>
        <v>Open</v>
      </c>
      <c r="I1535" s="6" t="str">
        <f>VLOOKUP(G1535,'Estádios e Cidades'!A:B,2,0)</f>
        <v>Miami Gardens - Flórida</v>
      </c>
      <c r="J1535" s="2" t="s">
        <v>501</v>
      </c>
      <c r="K1535" s="2" t="str">
        <f>VLOOKUP(J1535,Equipes!A:F,6,0)</f>
        <v>Tropical</v>
      </c>
      <c r="L1535" s="2">
        <f>VLOOKUP(J1535,Equipes!A:C,3,0)</f>
        <v>11</v>
      </c>
      <c r="M1535" s="2" t="str">
        <f t="shared" si="4"/>
        <v>Round of 16</v>
      </c>
      <c r="N1535" s="2" t="s">
        <v>123</v>
      </c>
      <c r="O1535" s="2">
        <f>VLOOKUP(N1535,Equipes!A:C,3,0)</f>
        <v>6</v>
      </c>
      <c r="P1535" s="2" t="str">
        <f t="shared" si="5"/>
        <v>Quarter-final</v>
      </c>
      <c r="Q1535" s="2">
        <f t="shared" si="6"/>
        <v>5</v>
      </c>
      <c r="R1535" s="2" t="str">
        <f>VLOOKUP(J1535,Equipes!A:B,2,0)</f>
        <v>Flamengo</v>
      </c>
      <c r="S1535" s="6" t="s">
        <v>527</v>
      </c>
      <c r="T1535" s="7">
        <v>29.0</v>
      </c>
      <c r="U1535" s="7" t="s">
        <v>279</v>
      </c>
      <c r="V1535" s="7" t="str">
        <f>VLOOKUP(U1535,Jogadores!B:C,2,0)</f>
        <v>MF</v>
      </c>
      <c r="W1535" s="8">
        <f>VLOOKUP(U1535,Jogadores!B:D,3,0)</f>
        <v>21.28767123</v>
      </c>
      <c r="X1535" s="7">
        <v>46.0</v>
      </c>
      <c r="Y1535" s="7">
        <f t="shared" si="4796"/>
        <v>98</v>
      </c>
      <c r="Z1535" s="7">
        <f>VLOOKUP(A1535,Jogos!A:L,3,0)</f>
        <v>53</v>
      </c>
      <c r="AA1535" s="23">
        <f>Z1535-X1535</f>
        <v>7</v>
      </c>
      <c r="AB1535" s="7">
        <f>VLOOKUP(A1535,Jogos!A:L,4,0)</f>
        <v>53</v>
      </c>
      <c r="AC1535" s="23">
        <f>AB1535</f>
        <v>53</v>
      </c>
      <c r="AD1535" s="7"/>
      <c r="AE1535" s="7"/>
      <c r="AF1535" s="7">
        <f t="shared" si="4566"/>
        <v>60</v>
      </c>
      <c r="AG1535" s="7">
        <v>6901.8</v>
      </c>
      <c r="AH1535" s="7">
        <v>1959.4</v>
      </c>
      <c r="AI1535" s="7">
        <v>3027.9</v>
      </c>
      <c r="AJ1535" s="7">
        <v>1297.2</v>
      </c>
      <c r="AK1535" s="7">
        <v>472.0</v>
      </c>
      <c r="AL1535" s="7">
        <v>145.2</v>
      </c>
      <c r="AM1535" s="7">
        <v>108.0</v>
      </c>
      <c r="AN1535" s="7">
        <v>39.0</v>
      </c>
      <c r="AO1535" s="7">
        <v>32.8</v>
      </c>
      <c r="AP1535" s="9">
        <f t="shared" ref="AP1535:AR1535" si="4809">AG1535/$AF1535</f>
        <v>115.03</v>
      </c>
      <c r="AQ1535" s="9">
        <f t="shared" si="4809"/>
        <v>32.65666667</v>
      </c>
      <c r="AR1535" s="9">
        <f t="shared" si="4809"/>
        <v>50.465</v>
      </c>
      <c r="AS1535" s="9">
        <f t="shared" si="4568"/>
        <v>83.12166667</v>
      </c>
      <c r="AT1535" s="9">
        <f t="shared" ref="AT1535:AV1535" si="4810">AJ1535/$AF1535</f>
        <v>21.62</v>
      </c>
      <c r="AU1535" s="9">
        <f t="shared" si="4810"/>
        <v>7.866666667</v>
      </c>
      <c r="AV1535" s="9">
        <f t="shared" si="4810"/>
        <v>2.42</v>
      </c>
      <c r="AW1535" s="9">
        <f t="shared" si="4570"/>
        <v>10.28666667</v>
      </c>
      <c r="AX1535" s="9">
        <f t="shared" ref="AX1535:AY1535" si="4811">AM1535/$AF1535</f>
        <v>1.8</v>
      </c>
      <c r="AY1535" s="9">
        <f t="shared" si="4811"/>
        <v>0.65</v>
      </c>
      <c r="AZ1535" s="9">
        <f>VLOOKUP(A1535,Jogos!A:BN,58,0)</f>
        <v>24.455</v>
      </c>
      <c r="BA1535" s="9">
        <f>VLOOKUP(A1535,Jogos!A:BN,59,0)</f>
        <v>22.125</v>
      </c>
      <c r="BB1535" s="9">
        <f>VLOOKUP(A1535,Jogos!A:BN,60,0)</f>
        <v>86.5</v>
      </c>
      <c r="BC1535" s="9">
        <f>VLOOKUP(A1535,Jogos!A:BN,61,0)</f>
        <v>22.335</v>
      </c>
      <c r="BD1535" s="9">
        <f>VLOOKUP(A1535,Jogos!A:BN,62,0)</f>
        <v>98.05</v>
      </c>
      <c r="BE1535" s="9">
        <f>VLOOKUP(A1535,Jogos!A:BN,63,0)</f>
        <v>1.2</v>
      </c>
      <c r="BF1535" s="9">
        <f>VLOOKUP(A1535,Jogos!A:BN,64,0)</f>
        <v>23.08</v>
      </c>
      <c r="BG1535" s="9">
        <f>VLOOKUP(A1535,Jogos!A:BN,65,0)</f>
        <v>39.65</v>
      </c>
      <c r="BH1535" s="9">
        <f>VLOOKUP(A1535,Jogos!A:BN,66,0)</f>
        <v>26.53</v>
      </c>
      <c r="BI1535" s="9"/>
      <c r="BJ1535" s="9"/>
    </row>
    <row r="1536" hidden="1">
      <c r="A1536" s="2">
        <v>52.0</v>
      </c>
      <c r="B1536" s="2" t="s">
        <v>1350</v>
      </c>
      <c r="C1536" s="2" t="s">
        <v>1351</v>
      </c>
      <c r="D1536" s="18">
        <v>45837.0</v>
      </c>
      <c r="E1536" s="4">
        <v>0.6666666666666666</v>
      </c>
      <c r="F1536" s="5" t="str">
        <f>VLOOKUP(A1536,Jogos!A:N,10,0)</f>
        <v>Afternoon</v>
      </c>
      <c r="G1536" s="2" t="s">
        <v>62</v>
      </c>
      <c r="H1536" s="6" t="str">
        <f>VLOOKUP(A1536,Jogos!A:L,12,0)</f>
        <v>Open</v>
      </c>
      <c r="I1536" s="6" t="str">
        <f>VLOOKUP(G1536,'Estádios e Cidades'!A:B,2,0)</f>
        <v>Miami Gardens - Flórida</v>
      </c>
      <c r="J1536" s="2" t="s">
        <v>501</v>
      </c>
      <c r="K1536" s="2" t="str">
        <f>VLOOKUP(J1536,Equipes!A:F,6,0)</f>
        <v>Tropical</v>
      </c>
      <c r="L1536" s="2">
        <f>VLOOKUP(J1536,Equipes!A:C,3,0)</f>
        <v>11</v>
      </c>
      <c r="M1536" s="2" t="str">
        <f t="shared" si="4"/>
        <v>Round of 16</v>
      </c>
      <c r="N1536" s="2" t="s">
        <v>123</v>
      </c>
      <c r="O1536" s="2">
        <f>VLOOKUP(N1536,Equipes!A:C,3,0)</f>
        <v>6</v>
      </c>
      <c r="P1536" s="2" t="str">
        <f t="shared" si="5"/>
        <v>Quarter-final</v>
      </c>
      <c r="Q1536" s="2">
        <f t="shared" si="6"/>
        <v>5</v>
      </c>
      <c r="R1536" s="2" t="str">
        <f>VLOOKUP(J1536,Equipes!A:B,2,0)</f>
        <v>Flamengo</v>
      </c>
      <c r="S1536" s="6" t="s">
        <v>1124</v>
      </c>
      <c r="T1536" s="7">
        <v>64.0</v>
      </c>
      <c r="U1536" s="7" t="s">
        <v>1125</v>
      </c>
      <c r="V1536" s="7" t="str">
        <f>VLOOKUP(U1536,Jogadores!B:C,2,0)</f>
        <v>FW</v>
      </c>
      <c r="W1536" s="8">
        <f>VLOOKUP(U1536,Jogadores!B:D,3,0)</f>
        <v>20.47945205</v>
      </c>
      <c r="X1536" s="7">
        <v>82.0</v>
      </c>
      <c r="Y1536" s="7">
        <f t="shared" si="4796"/>
        <v>98</v>
      </c>
      <c r="Z1536" s="7">
        <f>VLOOKUP(A1536,Jogos!A:L,3,0)</f>
        <v>53</v>
      </c>
      <c r="AA1536" s="7">
        <f t="shared" ref="AA1536:AA1873" si="4815">IF(X1536&lt;45,if(Y1536&gt;=45,Z1536-X1536,if(Y1536&lt;=Z1536,Y1536-X1536,Z1536)),0)</f>
        <v>0</v>
      </c>
      <c r="AB1536" s="7">
        <f>VLOOKUP(A1536,Jogos!A:L,4,0)</f>
        <v>53</v>
      </c>
      <c r="AC1536" s="7">
        <f t="shared" ref="AC1536:AC1580" si="4816">IF(X1536&lt;45,if(Y1536&lt;=45,0,Y1536-45),Y1536-X1536)</f>
        <v>16</v>
      </c>
      <c r="AD1536" s="7"/>
      <c r="AE1536" s="7"/>
      <c r="AF1536" s="7">
        <f t="shared" si="4566"/>
        <v>16</v>
      </c>
      <c r="AG1536" s="7">
        <v>2087.2</v>
      </c>
      <c r="AH1536" s="7">
        <v>669.3</v>
      </c>
      <c r="AI1536" s="7">
        <v>712.5</v>
      </c>
      <c r="AJ1536" s="7">
        <v>372.0</v>
      </c>
      <c r="AK1536" s="7">
        <v>201.2</v>
      </c>
      <c r="AL1536" s="7">
        <v>132.2</v>
      </c>
      <c r="AM1536" s="7">
        <v>31.0</v>
      </c>
      <c r="AN1536" s="7">
        <v>16.0</v>
      </c>
      <c r="AO1536" s="7">
        <v>33.3</v>
      </c>
      <c r="AP1536" s="9">
        <f t="shared" ref="AP1536:AR1536" si="4812">AG1536/$AF1536</f>
        <v>130.45</v>
      </c>
      <c r="AQ1536" s="9">
        <f t="shared" si="4812"/>
        <v>41.83125</v>
      </c>
      <c r="AR1536" s="9">
        <f t="shared" si="4812"/>
        <v>44.53125</v>
      </c>
      <c r="AS1536" s="9">
        <f t="shared" si="4568"/>
        <v>86.3625</v>
      </c>
      <c r="AT1536" s="9">
        <f t="shared" ref="AT1536:AV1536" si="4813">AJ1536/$AF1536</f>
        <v>23.25</v>
      </c>
      <c r="AU1536" s="9">
        <f t="shared" si="4813"/>
        <v>12.575</v>
      </c>
      <c r="AV1536" s="9">
        <f t="shared" si="4813"/>
        <v>8.2625</v>
      </c>
      <c r="AW1536" s="9">
        <f t="shared" si="4570"/>
        <v>20.8375</v>
      </c>
      <c r="AX1536" s="9">
        <f t="shared" ref="AX1536:AY1536" si="4814">AM1536/$AF1536</f>
        <v>1.9375</v>
      </c>
      <c r="AY1536" s="9">
        <f t="shared" si="4814"/>
        <v>1</v>
      </c>
      <c r="AZ1536" s="9">
        <f>VLOOKUP(A1536,Jogos!A:BN,58,0)</f>
        <v>24.455</v>
      </c>
      <c r="BA1536" s="9">
        <f>VLOOKUP(A1536,Jogos!A:BN,59,0)</f>
        <v>22.125</v>
      </c>
      <c r="BB1536" s="9">
        <f>VLOOKUP(A1536,Jogos!A:BN,60,0)</f>
        <v>86.5</v>
      </c>
      <c r="BC1536" s="9">
        <f>VLOOKUP(A1536,Jogos!A:BN,61,0)</f>
        <v>22.335</v>
      </c>
      <c r="BD1536" s="9">
        <f>VLOOKUP(A1536,Jogos!A:BN,62,0)</f>
        <v>98.05</v>
      </c>
      <c r="BE1536" s="9">
        <f>VLOOKUP(A1536,Jogos!A:BN,63,0)</f>
        <v>1.2</v>
      </c>
      <c r="BF1536" s="9">
        <f>VLOOKUP(A1536,Jogos!A:BN,64,0)</f>
        <v>23.08</v>
      </c>
      <c r="BG1536" s="9">
        <f>VLOOKUP(A1536,Jogos!A:BN,65,0)</f>
        <v>39.65</v>
      </c>
      <c r="BH1536" s="9">
        <f>VLOOKUP(A1536,Jogos!A:BN,66,0)</f>
        <v>26.53</v>
      </c>
      <c r="BI1536" s="9"/>
      <c r="BJ1536" s="9"/>
    </row>
    <row r="1537" hidden="1">
      <c r="A1537" s="10">
        <v>52.0</v>
      </c>
      <c r="B1537" s="11" t="s">
        <v>1350</v>
      </c>
      <c r="C1537" s="2" t="s">
        <v>1351</v>
      </c>
      <c r="D1537" s="12">
        <v>45837.0</v>
      </c>
      <c r="E1537" s="13">
        <v>0.6666666666666666</v>
      </c>
      <c r="F1537" s="5" t="str">
        <f>VLOOKUP(A1537,Jogos!A:N,10,0)</f>
        <v>Afternoon</v>
      </c>
      <c r="G1537" s="11" t="s">
        <v>62</v>
      </c>
      <c r="H1537" s="6" t="str">
        <f>VLOOKUP(A1537,Jogos!A:L,12,0)</f>
        <v>Open</v>
      </c>
      <c r="I1537" s="6" t="str">
        <f>VLOOKUP(G1537,'Estádios e Cidades'!A:B,2,0)</f>
        <v>Miami Gardens - Flórida</v>
      </c>
      <c r="J1537" s="15" t="s">
        <v>123</v>
      </c>
      <c r="K1537" s="2" t="str">
        <f>VLOOKUP(J1537,Equipes!A:F,6,0)</f>
        <v>Temperate</v>
      </c>
      <c r="L1537" s="2">
        <f>VLOOKUP(J1537,Equipes!A:C,3,0)</f>
        <v>6</v>
      </c>
      <c r="M1537" s="2" t="str">
        <f t="shared" si="4"/>
        <v>Quarter-final</v>
      </c>
      <c r="N1537" s="11" t="s">
        <v>501</v>
      </c>
      <c r="O1537" s="2">
        <f>VLOOKUP(N1537,Equipes!A:C,3,0)</f>
        <v>11</v>
      </c>
      <c r="P1537" s="2" t="str">
        <f t="shared" si="5"/>
        <v>Round of 16</v>
      </c>
      <c r="Q1537" s="2">
        <f t="shared" si="6"/>
        <v>-5</v>
      </c>
      <c r="R1537" s="2" t="str">
        <f>VLOOKUP(J1537,Equipes!A:B,2,0)</f>
        <v>Bayern</v>
      </c>
      <c r="S1537" s="14" t="s">
        <v>145</v>
      </c>
      <c r="T1537" s="7">
        <v>2.0</v>
      </c>
      <c r="U1537" s="7" t="s">
        <v>146</v>
      </c>
      <c r="V1537" s="7" t="str">
        <f>VLOOKUP(U1537,Jogadores!B:C,2,0)</f>
        <v>DF</v>
      </c>
      <c r="W1537" s="8">
        <f>VLOOKUP(U1537,Jogadores!B:D,3,0)</f>
        <v>26.76986301</v>
      </c>
      <c r="X1537" s="7">
        <v>0.0</v>
      </c>
      <c r="Y1537" s="7">
        <f t="shared" si="4796"/>
        <v>98</v>
      </c>
      <c r="Z1537" s="7">
        <f>VLOOKUP(A1537,Jogos!A:L,3,0)</f>
        <v>53</v>
      </c>
      <c r="AA1537" s="7">
        <f t="shared" si="4815"/>
        <v>53</v>
      </c>
      <c r="AB1537" s="7">
        <f>VLOOKUP(A1537,Jogos!A:L,4,0)</f>
        <v>53</v>
      </c>
      <c r="AC1537" s="7">
        <f t="shared" si="4816"/>
        <v>53</v>
      </c>
      <c r="AD1537" s="7"/>
      <c r="AE1537" s="7"/>
      <c r="AF1537" s="7">
        <f t="shared" si="4566"/>
        <v>106</v>
      </c>
      <c r="AG1537" s="7">
        <v>10774.7</v>
      </c>
      <c r="AH1537" s="7">
        <v>4474.0</v>
      </c>
      <c r="AI1537" s="7">
        <v>4357.2</v>
      </c>
      <c r="AJ1537" s="7">
        <v>1179.7</v>
      </c>
      <c r="AK1537" s="7">
        <v>535.4</v>
      </c>
      <c r="AL1537" s="7">
        <v>228.5</v>
      </c>
      <c r="AM1537" s="7">
        <v>100.0</v>
      </c>
      <c r="AN1537" s="7">
        <v>40.0</v>
      </c>
      <c r="AO1537" s="7">
        <v>32.2</v>
      </c>
      <c r="AP1537" s="9">
        <f t="shared" ref="AP1537:AR1537" si="4817">AG1537/$AF1537</f>
        <v>101.6481132</v>
      </c>
      <c r="AQ1537" s="9">
        <f t="shared" si="4817"/>
        <v>42.20754717</v>
      </c>
      <c r="AR1537" s="9">
        <f t="shared" si="4817"/>
        <v>41.10566038</v>
      </c>
      <c r="AS1537" s="9">
        <f t="shared" si="4568"/>
        <v>83.31320755</v>
      </c>
      <c r="AT1537" s="9">
        <f t="shared" ref="AT1537:AV1537" si="4818">AJ1537/$AF1537</f>
        <v>11.12924528</v>
      </c>
      <c r="AU1537" s="9">
        <f t="shared" si="4818"/>
        <v>5.050943396</v>
      </c>
      <c r="AV1537" s="9">
        <f t="shared" si="4818"/>
        <v>2.155660377</v>
      </c>
      <c r="AW1537" s="9">
        <f t="shared" si="4570"/>
        <v>7.206603774</v>
      </c>
      <c r="AX1537" s="9">
        <f t="shared" ref="AX1537:AY1537" si="4819">AM1537/$AF1537</f>
        <v>0.9433962264</v>
      </c>
      <c r="AY1537" s="9">
        <f t="shared" si="4819"/>
        <v>0.3773584906</v>
      </c>
      <c r="AZ1537" s="9">
        <f>VLOOKUP(A1537,Jogos!A:BN,58,0)</f>
        <v>24.455</v>
      </c>
      <c r="BA1537" s="9">
        <f>VLOOKUP(A1537,Jogos!A:BN,59,0)</f>
        <v>22.125</v>
      </c>
      <c r="BB1537" s="9">
        <f>VLOOKUP(A1537,Jogos!A:BN,60,0)</f>
        <v>86.5</v>
      </c>
      <c r="BC1537" s="9">
        <f>VLOOKUP(A1537,Jogos!A:BN,61,0)</f>
        <v>22.335</v>
      </c>
      <c r="BD1537" s="9">
        <f>VLOOKUP(A1537,Jogos!A:BN,62,0)</f>
        <v>98.05</v>
      </c>
      <c r="BE1537" s="9">
        <f>VLOOKUP(A1537,Jogos!A:BN,63,0)</f>
        <v>1.2</v>
      </c>
      <c r="BF1537" s="9">
        <f>VLOOKUP(A1537,Jogos!A:BN,64,0)</f>
        <v>23.08</v>
      </c>
      <c r="BG1537" s="9">
        <f>VLOOKUP(A1537,Jogos!A:BN,65,0)</f>
        <v>39.65</v>
      </c>
      <c r="BH1537" s="9">
        <f>VLOOKUP(A1537,Jogos!A:BN,66,0)</f>
        <v>26.53</v>
      </c>
      <c r="BI1537" s="9"/>
      <c r="BJ1537" s="9"/>
    </row>
    <row r="1538" hidden="1">
      <c r="A1538" s="10">
        <v>52.0</v>
      </c>
      <c r="B1538" s="11" t="s">
        <v>1350</v>
      </c>
      <c r="C1538" s="2" t="s">
        <v>1351</v>
      </c>
      <c r="D1538" s="12">
        <v>45837.0</v>
      </c>
      <c r="E1538" s="13">
        <v>0.6666666666666666</v>
      </c>
      <c r="F1538" s="5" t="str">
        <f>VLOOKUP(A1538,Jogos!A:N,10,0)</f>
        <v>Afternoon</v>
      </c>
      <c r="G1538" s="11" t="s">
        <v>62</v>
      </c>
      <c r="H1538" s="6" t="str">
        <f>VLOOKUP(A1538,Jogos!A:L,12,0)</f>
        <v>Open</v>
      </c>
      <c r="I1538" s="6" t="str">
        <f>VLOOKUP(G1538,'Estádios e Cidades'!A:B,2,0)</f>
        <v>Miami Gardens - Flórida</v>
      </c>
      <c r="J1538" s="15" t="s">
        <v>123</v>
      </c>
      <c r="K1538" s="2" t="str">
        <f>VLOOKUP(J1538,Equipes!A:F,6,0)</f>
        <v>Temperate</v>
      </c>
      <c r="L1538" s="2">
        <f>VLOOKUP(J1538,Equipes!A:C,3,0)</f>
        <v>6</v>
      </c>
      <c r="M1538" s="2" t="str">
        <f t="shared" si="4"/>
        <v>Quarter-final</v>
      </c>
      <c r="N1538" s="11" t="s">
        <v>501</v>
      </c>
      <c r="O1538" s="2">
        <f>VLOOKUP(N1538,Equipes!A:C,3,0)</f>
        <v>11</v>
      </c>
      <c r="P1538" s="2" t="str">
        <f t="shared" si="5"/>
        <v>Round of 16</v>
      </c>
      <c r="Q1538" s="2">
        <f t="shared" si="6"/>
        <v>-5</v>
      </c>
      <c r="R1538" s="2" t="str">
        <f>VLOOKUP(J1538,Equipes!A:B,2,0)</f>
        <v>Bayern</v>
      </c>
      <c r="S1538" s="6" t="s">
        <v>125</v>
      </c>
      <c r="T1538" s="7">
        <v>4.0</v>
      </c>
      <c r="U1538" s="7" t="s">
        <v>126</v>
      </c>
      <c r="V1538" s="7" t="str">
        <f>VLOOKUP(U1538,Jogadores!B:C,2,0)</f>
        <v>DF</v>
      </c>
      <c r="W1538" s="8">
        <f>VLOOKUP(U1538,Jogadores!B:D,3,0)</f>
        <v>29.47945205</v>
      </c>
      <c r="X1538" s="7">
        <v>0.0</v>
      </c>
      <c r="Y1538" s="7">
        <f t="shared" si="4796"/>
        <v>98</v>
      </c>
      <c r="Z1538" s="7">
        <f>VLOOKUP(A1538,Jogos!A:L,3,0)</f>
        <v>53</v>
      </c>
      <c r="AA1538" s="7">
        <f t="shared" si="4815"/>
        <v>53</v>
      </c>
      <c r="AB1538" s="7">
        <f>VLOOKUP(A1538,Jogos!A:L,4,0)</f>
        <v>53</v>
      </c>
      <c r="AC1538" s="7">
        <f t="shared" si="4816"/>
        <v>53</v>
      </c>
      <c r="AD1538" s="7"/>
      <c r="AE1538" s="7"/>
      <c r="AF1538" s="7">
        <f t="shared" si="4566"/>
        <v>106</v>
      </c>
      <c r="AG1538" s="7">
        <v>10502.9</v>
      </c>
      <c r="AH1538" s="7">
        <v>3796.8</v>
      </c>
      <c r="AI1538" s="7">
        <v>4671.8</v>
      </c>
      <c r="AJ1538" s="7">
        <v>1335.9</v>
      </c>
      <c r="AK1538" s="7">
        <v>517.2</v>
      </c>
      <c r="AL1538" s="7">
        <v>181.2</v>
      </c>
      <c r="AM1538" s="7">
        <v>118.0</v>
      </c>
      <c r="AN1538" s="7">
        <v>41.0</v>
      </c>
      <c r="AO1538" s="7">
        <v>31.5</v>
      </c>
      <c r="AP1538" s="9">
        <f t="shared" ref="AP1538:AR1538" si="4820">AG1538/$AF1538</f>
        <v>99.08396226</v>
      </c>
      <c r="AQ1538" s="9">
        <f t="shared" si="4820"/>
        <v>35.81886792</v>
      </c>
      <c r="AR1538" s="9">
        <f t="shared" si="4820"/>
        <v>44.07358491</v>
      </c>
      <c r="AS1538" s="9">
        <f t="shared" si="4568"/>
        <v>79.89245283</v>
      </c>
      <c r="AT1538" s="9">
        <f t="shared" ref="AT1538:AV1538" si="4821">AJ1538/$AF1538</f>
        <v>12.60283019</v>
      </c>
      <c r="AU1538" s="9">
        <f t="shared" si="4821"/>
        <v>4.879245283</v>
      </c>
      <c r="AV1538" s="9">
        <f t="shared" si="4821"/>
        <v>1.709433962</v>
      </c>
      <c r="AW1538" s="9">
        <f t="shared" si="4570"/>
        <v>6.588679245</v>
      </c>
      <c r="AX1538" s="9">
        <f t="shared" ref="AX1538:AY1538" si="4822">AM1538/$AF1538</f>
        <v>1.113207547</v>
      </c>
      <c r="AY1538" s="9">
        <f t="shared" si="4822"/>
        <v>0.3867924528</v>
      </c>
      <c r="AZ1538" s="9">
        <f>VLOOKUP(A1538,Jogos!A:BN,58,0)</f>
        <v>24.455</v>
      </c>
      <c r="BA1538" s="9">
        <f>VLOOKUP(A1538,Jogos!A:BN,59,0)</f>
        <v>22.125</v>
      </c>
      <c r="BB1538" s="9">
        <f>VLOOKUP(A1538,Jogos!A:BN,60,0)</f>
        <v>86.5</v>
      </c>
      <c r="BC1538" s="9">
        <f>VLOOKUP(A1538,Jogos!A:BN,61,0)</f>
        <v>22.335</v>
      </c>
      <c r="BD1538" s="9">
        <f>VLOOKUP(A1538,Jogos!A:BN,62,0)</f>
        <v>98.05</v>
      </c>
      <c r="BE1538" s="9">
        <f>VLOOKUP(A1538,Jogos!A:BN,63,0)</f>
        <v>1.2</v>
      </c>
      <c r="BF1538" s="9">
        <f>VLOOKUP(A1538,Jogos!A:BN,64,0)</f>
        <v>23.08</v>
      </c>
      <c r="BG1538" s="9">
        <f>VLOOKUP(A1538,Jogos!A:BN,65,0)</f>
        <v>39.65</v>
      </c>
      <c r="BH1538" s="9">
        <f>VLOOKUP(A1538,Jogos!A:BN,66,0)</f>
        <v>26.53</v>
      </c>
      <c r="BI1538" s="9"/>
      <c r="BJ1538" s="9"/>
    </row>
    <row r="1539" hidden="1">
      <c r="A1539" s="10">
        <v>52.0</v>
      </c>
      <c r="B1539" s="11" t="s">
        <v>1350</v>
      </c>
      <c r="C1539" s="2" t="s">
        <v>1351</v>
      </c>
      <c r="D1539" s="12">
        <v>45837.0</v>
      </c>
      <c r="E1539" s="13">
        <v>0.6666666666666666</v>
      </c>
      <c r="F1539" s="5" t="str">
        <f>VLOOKUP(A1539,Jogos!A:N,10,0)</f>
        <v>Afternoon</v>
      </c>
      <c r="G1539" s="11" t="s">
        <v>62</v>
      </c>
      <c r="H1539" s="6" t="str">
        <f>VLOOKUP(A1539,Jogos!A:L,12,0)</f>
        <v>Open</v>
      </c>
      <c r="I1539" s="6" t="str">
        <f>VLOOKUP(G1539,'Estádios e Cidades'!A:B,2,0)</f>
        <v>Miami Gardens - Flórida</v>
      </c>
      <c r="J1539" s="15" t="s">
        <v>123</v>
      </c>
      <c r="K1539" s="2" t="str">
        <f>VLOOKUP(J1539,Equipes!A:F,6,0)</f>
        <v>Temperate</v>
      </c>
      <c r="L1539" s="2">
        <f>VLOOKUP(J1539,Equipes!A:C,3,0)</f>
        <v>6</v>
      </c>
      <c r="M1539" s="2" t="str">
        <f t="shared" si="4"/>
        <v>Quarter-final</v>
      </c>
      <c r="N1539" s="11" t="s">
        <v>501</v>
      </c>
      <c r="O1539" s="2">
        <f>VLOOKUP(N1539,Equipes!A:C,3,0)</f>
        <v>11</v>
      </c>
      <c r="P1539" s="2" t="str">
        <f t="shared" si="5"/>
        <v>Round of 16</v>
      </c>
      <c r="Q1539" s="2">
        <f t="shared" si="6"/>
        <v>-5</v>
      </c>
      <c r="R1539" s="2" t="str">
        <f>VLOOKUP(J1539,Equipes!A:B,2,0)</f>
        <v>Bayern</v>
      </c>
      <c r="S1539" s="6" t="s">
        <v>127</v>
      </c>
      <c r="T1539" s="7">
        <v>6.0</v>
      </c>
      <c r="U1539" s="7" t="s">
        <v>128</v>
      </c>
      <c r="V1539" s="7" t="str">
        <f>VLOOKUP(U1539,Jogadores!B:C,2,0)</f>
        <v>MF</v>
      </c>
      <c r="W1539" s="8">
        <f>VLOOKUP(U1539,Jogadores!B:D,3,0)</f>
        <v>30.48767123</v>
      </c>
      <c r="X1539" s="7">
        <v>0.0</v>
      </c>
      <c r="Y1539" s="7">
        <f t="shared" si="4796"/>
        <v>98</v>
      </c>
      <c r="Z1539" s="7">
        <f>VLOOKUP(A1539,Jogos!A:L,3,0)</f>
        <v>53</v>
      </c>
      <c r="AA1539" s="7">
        <f t="shared" si="4815"/>
        <v>53</v>
      </c>
      <c r="AB1539" s="7">
        <f>VLOOKUP(A1539,Jogos!A:L,4,0)</f>
        <v>53</v>
      </c>
      <c r="AC1539" s="7">
        <f t="shared" si="4816"/>
        <v>53</v>
      </c>
      <c r="AD1539" s="7"/>
      <c r="AE1539" s="7"/>
      <c r="AF1539" s="7">
        <f t="shared" si="4566"/>
        <v>106</v>
      </c>
      <c r="AG1539" s="7">
        <v>11774.2</v>
      </c>
      <c r="AH1539" s="7">
        <v>3551.1</v>
      </c>
      <c r="AI1539" s="7">
        <v>5613.8</v>
      </c>
      <c r="AJ1539" s="7">
        <v>1989.0</v>
      </c>
      <c r="AK1539" s="7">
        <v>516.1</v>
      </c>
      <c r="AL1539" s="7">
        <v>104.2</v>
      </c>
      <c r="AM1539" s="7">
        <v>171.0</v>
      </c>
      <c r="AN1539" s="7">
        <v>39.0</v>
      </c>
      <c r="AO1539" s="7">
        <v>28.5</v>
      </c>
      <c r="AP1539" s="9">
        <f t="shared" ref="AP1539:AR1539" si="4823">AG1539/$AF1539</f>
        <v>111.0773585</v>
      </c>
      <c r="AQ1539" s="9">
        <f t="shared" si="4823"/>
        <v>33.5009434</v>
      </c>
      <c r="AR1539" s="9">
        <f t="shared" si="4823"/>
        <v>52.96037736</v>
      </c>
      <c r="AS1539" s="9">
        <f t="shared" si="4568"/>
        <v>86.46132075</v>
      </c>
      <c r="AT1539" s="9">
        <f t="shared" ref="AT1539:AV1539" si="4824">AJ1539/$AF1539</f>
        <v>18.76415094</v>
      </c>
      <c r="AU1539" s="9">
        <f t="shared" si="4824"/>
        <v>4.868867925</v>
      </c>
      <c r="AV1539" s="9">
        <f t="shared" si="4824"/>
        <v>0.9830188679</v>
      </c>
      <c r="AW1539" s="9">
        <f t="shared" si="4570"/>
        <v>5.851886792</v>
      </c>
      <c r="AX1539" s="9">
        <f t="shared" ref="AX1539:AY1539" si="4825">AM1539/$AF1539</f>
        <v>1.613207547</v>
      </c>
      <c r="AY1539" s="9">
        <f t="shared" si="4825"/>
        <v>0.3679245283</v>
      </c>
      <c r="AZ1539" s="9">
        <f>VLOOKUP(A1539,Jogos!A:BN,58,0)</f>
        <v>24.455</v>
      </c>
      <c r="BA1539" s="9">
        <f>VLOOKUP(A1539,Jogos!A:BN,59,0)</f>
        <v>22.125</v>
      </c>
      <c r="BB1539" s="9">
        <f>VLOOKUP(A1539,Jogos!A:BN,60,0)</f>
        <v>86.5</v>
      </c>
      <c r="BC1539" s="9">
        <f>VLOOKUP(A1539,Jogos!A:BN,61,0)</f>
        <v>22.335</v>
      </c>
      <c r="BD1539" s="9">
        <f>VLOOKUP(A1539,Jogos!A:BN,62,0)</f>
        <v>98.05</v>
      </c>
      <c r="BE1539" s="9">
        <f>VLOOKUP(A1539,Jogos!A:BN,63,0)</f>
        <v>1.2</v>
      </c>
      <c r="BF1539" s="9">
        <f>VLOOKUP(A1539,Jogos!A:BN,64,0)</f>
        <v>23.08</v>
      </c>
      <c r="BG1539" s="9">
        <f>VLOOKUP(A1539,Jogos!A:BN,65,0)</f>
        <v>39.65</v>
      </c>
      <c r="BH1539" s="9">
        <f>VLOOKUP(A1539,Jogos!A:BN,66,0)</f>
        <v>26.53</v>
      </c>
      <c r="BI1539" s="9"/>
      <c r="BJ1539" s="9"/>
    </row>
    <row r="1540" hidden="1">
      <c r="A1540" s="10">
        <v>52.0</v>
      </c>
      <c r="B1540" s="11" t="s">
        <v>1350</v>
      </c>
      <c r="C1540" s="2" t="s">
        <v>1351</v>
      </c>
      <c r="D1540" s="12">
        <v>45837.0</v>
      </c>
      <c r="E1540" s="13">
        <v>0.6666666666666666</v>
      </c>
      <c r="F1540" s="5" t="str">
        <f>VLOOKUP(A1540,Jogos!A:N,10,0)</f>
        <v>Afternoon</v>
      </c>
      <c r="G1540" s="11" t="s">
        <v>62</v>
      </c>
      <c r="H1540" s="6" t="str">
        <f>VLOOKUP(A1540,Jogos!A:L,12,0)</f>
        <v>Open</v>
      </c>
      <c r="I1540" s="6" t="str">
        <f>VLOOKUP(G1540,'Estádios e Cidades'!A:B,2,0)</f>
        <v>Miami Gardens - Flórida</v>
      </c>
      <c r="J1540" s="15" t="s">
        <v>123</v>
      </c>
      <c r="K1540" s="2" t="str">
        <f>VLOOKUP(J1540,Equipes!A:F,6,0)</f>
        <v>Temperate</v>
      </c>
      <c r="L1540" s="2">
        <f>VLOOKUP(J1540,Equipes!A:C,3,0)</f>
        <v>6</v>
      </c>
      <c r="M1540" s="2" t="str">
        <f t="shared" si="4"/>
        <v>Quarter-final</v>
      </c>
      <c r="N1540" s="11" t="s">
        <v>501</v>
      </c>
      <c r="O1540" s="2">
        <f>VLOOKUP(N1540,Equipes!A:C,3,0)</f>
        <v>11</v>
      </c>
      <c r="P1540" s="2" t="str">
        <f t="shared" si="5"/>
        <v>Round of 16</v>
      </c>
      <c r="Q1540" s="2">
        <f t="shared" si="6"/>
        <v>-5</v>
      </c>
      <c r="R1540" s="2" t="str">
        <f>VLOOKUP(J1540,Equipes!A:B,2,0)</f>
        <v>Bayern</v>
      </c>
      <c r="S1540" s="6" t="s">
        <v>147</v>
      </c>
      <c r="T1540" s="7">
        <v>7.0</v>
      </c>
      <c r="U1540" s="7" t="s">
        <v>148</v>
      </c>
      <c r="V1540" s="7" t="str">
        <f>VLOOKUP(U1540,Jogadores!B:C,2,0)</f>
        <v>FW</v>
      </c>
      <c r="W1540" s="8">
        <f>VLOOKUP(U1540,Jogadores!B:D,3,0)</f>
        <v>30.06027397</v>
      </c>
      <c r="X1540" s="7">
        <v>0.0</v>
      </c>
      <c r="Y1540" s="7">
        <v>72.0</v>
      </c>
      <c r="Z1540" s="7">
        <f>VLOOKUP(A1540,Jogos!A:L,3,0)</f>
        <v>53</v>
      </c>
      <c r="AA1540" s="7">
        <f t="shared" si="4815"/>
        <v>53</v>
      </c>
      <c r="AB1540" s="7">
        <f>VLOOKUP(A1540,Jogos!A:L,4,0)</f>
        <v>53</v>
      </c>
      <c r="AC1540" s="7">
        <f t="shared" si="4816"/>
        <v>27</v>
      </c>
      <c r="AD1540" s="7"/>
      <c r="AE1540" s="7"/>
      <c r="AF1540" s="7">
        <f t="shared" si="4566"/>
        <v>80</v>
      </c>
      <c r="AG1540" s="7">
        <v>8700.0</v>
      </c>
      <c r="AH1540" s="7">
        <v>2898.9</v>
      </c>
      <c r="AI1540" s="7">
        <v>3650.5</v>
      </c>
      <c r="AJ1540" s="7">
        <v>1600.3</v>
      </c>
      <c r="AK1540" s="7">
        <v>498.3</v>
      </c>
      <c r="AL1540" s="7">
        <v>52.1</v>
      </c>
      <c r="AM1540" s="7">
        <v>140.0</v>
      </c>
      <c r="AN1540" s="7">
        <v>36.0</v>
      </c>
      <c r="AO1540" s="7">
        <v>29.5</v>
      </c>
      <c r="AP1540" s="9">
        <f t="shared" ref="AP1540:AR1540" si="4826">AG1540/$AF1540</f>
        <v>108.75</v>
      </c>
      <c r="AQ1540" s="9">
        <f t="shared" si="4826"/>
        <v>36.23625</v>
      </c>
      <c r="AR1540" s="9">
        <f t="shared" si="4826"/>
        <v>45.63125</v>
      </c>
      <c r="AS1540" s="9">
        <f t="shared" si="4568"/>
        <v>81.8675</v>
      </c>
      <c r="AT1540" s="9">
        <f t="shared" ref="AT1540:AV1540" si="4827">AJ1540/$AF1540</f>
        <v>20.00375</v>
      </c>
      <c r="AU1540" s="9">
        <f t="shared" si="4827"/>
        <v>6.22875</v>
      </c>
      <c r="AV1540" s="9">
        <f t="shared" si="4827"/>
        <v>0.65125</v>
      </c>
      <c r="AW1540" s="9">
        <f t="shared" si="4570"/>
        <v>6.88</v>
      </c>
      <c r="AX1540" s="9">
        <f t="shared" ref="AX1540:AY1540" si="4828">AM1540/$AF1540</f>
        <v>1.75</v>
      </c>
      <c r="AY1540" s="9">
        <f t="shared" si="4828"/>
        <v>0.45</v>
      </c>
      <c r="AZ1540" s="9">
        <f>VLOOKUP(A1540,Jogos!A:BN,58,0)</f>
        <v>24.455</v>
      </c>
      <c r="BA1540" s="9">
        <f>VLOOKUP(A1540,Jogos!A:BN,59,0)</f>
        <v>22.125</v>
      </c>
      <c r="BB1540" s="9">
        <f>VLOOKUP(A1540,Jogos!A:BN,60,0)</f>
        <v>86.5</v>
      </c>
      <c r="BC1540" s="9">
        <f>VLOOKUP(A1540,Jogos!A:BN,61,0)</f>
        <v>22.335</v>
      </c>
      <c r="BD1540" s="9">
        <f>VLOOKUP(A1540,Jogos!A:BN,62,0)</f>
        <v>98.05</v>
      </c>
      <c r="BE1540" s="9">
        <f>VLOOKUP(A1540,Jogos!A:BN,63,0)</f>
        <v>1.2</v>
      </c>
      <c r="BF1540" s="9">
        <f>VLOOKUP(A1540,Jogos!A:BN,64,0)</f>
        <v>23.08</v>
      </c>
      <c r="BG1540" s="9">
        <f>VLOOKUP(A1540,Jogos!A:BN,65,0)</f>
        <v>39.65</v>
      </c>
      <c r="BH1540" s="9">
        <f>VLOOKUP(A1540,Jogos!A:BN,66,0)</f>
        <v>26.53</v>
      </c>
      <c r="BI1540" s="9"/>
      <c r="BJ1540" s="9"/>
    </row>
    <row r="1541" hidden="1">
      <c r="A1541" s="10">
        <v>52.0</v>
      </c>
      <c r="B1541" s="11" t="s">
        <v>1350</v>
      </c>
      <c r="C1541" s="2" t="s">
        <v>1351</v>
      </c>
      <c r="D1541" s="12">
        <v>45837.0</v>
      </c>
      <c r="E1541" s="13">
        <v>0.6666666666666666</v>
      </c>
      <c r="F1541" s="5" t="str">
        <f>VLOOKUP(A1541,Jogos!A:N,10,0)</f>
        <v>Afternoon</v>
      </c>
      <c r="G1541" s="11" t="s">
        <v>62</v>
      </c>
      <c r="H1541" s="6" t="str">
        <f>VLOOKUP(A1541,Jogos!A:L,12,0)</f>
        <v>Open</v>
      </c>
      <c r="I1541" s="6" t="str">
        <f>VLOOKUP(G1541,'Estádios e Cidades'!A:B,2,0)</f>
        <v>Miami Gardens - Flórida</v>
      </c>
      <c r="J1541" s="15" t="s">
        <v>123</v>
      </c>
      <c r="K1541" s="2" t="str">
        <f>VLOOKUP(J1541,Equipes!A:F,6,0)</f>
        <v>Temperate</v>
      </c>
      <c r="L1541" s="2">
        <f>VLOOKUP(J1541,Equipes!A:C,3,0)</f>
        <v>6</v>
      </c>
      <c r="M1541" s="2" t="str">
        <f t="shared" si="4"/>
        <v>Quarter-final</v>
      </c>
      <c r="N1541" s="11" t="s">
        <v>501</v>
      </c>
      <c r="O1541" s="2">
        <f>VLOOKUP(N1541,Equipes!A:C,3,0)</f>
        <v>11</v>
      </c>
      <c r="P1541" s="2" t="str">
        <f t="shared" si="5"/>
        <v>Round of 16</v>
      </c>
      <c r="Q1541" s="2">
        <f t="shared" si="6"/>
        <v>-5</v>
      </c>
      <c r="R1541" s="2" t="str">
        <f>VLOOKUP(J1541,Equipes!A:B,2,0)</f>
        <v>Bayern</v>
      </c>
      <c r="S1541" s="6" t="s">
        <v>1136</v>
      </c>
      <c r="T1541" s="7">
        <v>8.0</v>
      </c>
      <c r="U1541" s="7" t="s">
        <v>1137</v>
      </c>
      <c r="V1541" s="7" t="str">
        <f>VLOOKUP(U1541,Jogadores!B:C,2,0)</f>
        <v>MF</v>
      </c>
      <c r="W1541" s="8">
        <f>VLOOKUP(U1541,Jogadores!B:D,3,0)</f>
        <v>30.49315068</v>
      </c>
      <c r="X1541" s="7">
        <v>0.0</v>
      </c>
      <c r="Y1541" s="7">
        <v>59.0</v>
      </c>
      <c r="Z1541" s="7">
        <f>VLOOKUP(A1541,Jogos!A:L,3,0)</f>
        <v>53</v>
      </c>
      <c r="AA1541" s="7">
        <f t="shared" si="4815"/>
        <v>53</v>
      </c>
      <c r="AB1541" s="7">
        <f>VLOOKUP(A1541,Jogos!A:L,4,0)</f>
        <v>53</v>
      </c>
      <c r="AC1541" s="7">
        <f t="shared" si="4816"/>
        <v>14</v>
      </c>
      <c r="AD1541" s="7"/>
      <c r="AE1541" s="7"/>
      <c r="AF1541" s="7">
        <f t="shared" si="4566"/>
        <v>67</v>
      </c>
      <c r="AG1541" s="7">
        <v>6908.8</v>
      </c>
      <c r="AH1541" s="7">
        <v>2859.3</v>
      </c>
      <c r="AI1541" s="7">
        <v>2624.8</v>
      </c>
      <c r="AJ1541" s="7">
        <v>1011.0</v>
      </c>
      <c r="AK1541" s="7">
        <v>282.1</v>
      </c>
      <c r="AL1541" s="7">
        <v>131.5</v>
      </c>
      <c r="AM1541" s="7">
        <v>87.0</v>
      </c>
      <c r="AN1541" s="7">
        <v>26.0</v>
      </c>
      <c r="AO1541" s="7">
        <v>30.2</v>
      </c>
      <c r="AP1541" s="9">
        <f t="shared" ref="AP1541:AR1541" si="4829">AG1541/$AF1541</f>
        <v>103.1164179</v>
      </c>
      <c r="AQ1541" s="9">
        <f t="shared" si="4829"/>
        <v>42.6761194</v>
      </c>
      <c r="AR1541" s="9">
        <f t="shared" si="4829"/>
        <v>39.1761194</v>
      </c>
      <c r="AS1541" s="9">
        <f t="shared" si="4568"/>
        <v>81.85223881</v>
      </c>
      <c r="AT1541" s="9">
        <f t="shared" ref="AT1541:AV1541" si="4830">AJ1541/$AF1541</f>
        <v>15.08955224</v>
      </c>
      <c r="AU1541" s="9">
        <f t="shared" si="4830"/>
        <v>4.210447761</v>
      </c>
      <c r="AV1541" s="9">
        <f t="shared" si="4830"/>
        <v>1.962686567</v>
      </c>
      <c r="AW1541" s="9">
        <f t="shared" si="4570"/>
        <v>6.173134328</v>
      </c>
      <c r="AX1541" s="9">
        <f t="shared" ref="AX1541:AY1541" si="4831">AM1541/$AF1541</f>
        <v>1.298507463</v>
      </c>
      <c r="AY1541" s="9">
        <f t="shared" si="4831"/>
        <v>0.3880597015</v>
      </c>
      <c r="AZ1541" s="9">
        <f>VLOOKUP(A1541,Jogos!A:BN,58,0)</f>
        <v>24.455</v>
      </c>
      <c r="BA1541" s="9">
        <f>VLOOKUP(A1541,Jogos!A:BN,59,0)</f>
        <v>22.125</v>
      </c>
      <c r="BB1541" s="9">
        <f>VLOOKUP(A1541,Jogos!A:BN,60,0)</f>
        <v>86.5</v>
      </c>
      <c r="BC1541" s="9">
        <f>VLOOKUP(A1541,Jogos!A:BN,61,0)</f>
        <v>22.335</v>
      </c>
      <c r="BD1541" s="9">
        <f>VLOOKUP(A1541,Jogos!A:BN,62,0)</f>
        <v>98.05</v>
      </c>
      <c r="BE1541" s="9">
        <f>VLOOKUP(A1541,Jogos!A:BN,63,0)</f>
        <v>1.2</v>
      </c>
      <c r="BF1541" s="9">
        <f>VLOOKUP(A1541,Jogos!A:BN,64,0)</f>
        <v>23.08</v>
      </c>
      <c r="BG1541" s="9">
        <f>VLOOKUP(A1541,Jogos!A:BN,65,0)</f>
        <v>39.65</v>
      </c>
      <c r="BH1541" s="9">
        <f>VLOOKUP(A1541,Jogos!A:BN,66,0)</f>
        <v>26.53</v>
      </c>
      <c r="BI1541" s="9"/>
      <c r="BJ1541" s="9"/>
    </row>
    <row r="1542" hidden="1">
      <c r="A1542" s="10">
        <v>52.0</v>
      </c>
      <c r="B1542" s="11" t="s">
        <v>1350</v>
      </c>
      <c r="C1542" s="2" t="s">
        <v>1351</v>
      </c>
      <c r="D1542" s="12">
        <v>45837.0</v>
      </c>
      <c r="E1542" s="13">
        <v>0.6666666666666666</v>
      </c>
      <c r="F1542" s="5" t="str">
        <f>VLOOKUP(A1542,Jogos!A:N,10,0)</f>
        <v>Afternoon</v>
      </c>
      <c r="G1542" s="11" t="s">
        <v>62</v>
      </c>
      <c r="H1542" s="6" t="str">
        <f>VLOOKUP(A1542,Jogos!A:L,12,0)</f>
        <v>Open</v>
      </c>
      <c r="I1542" s="6" t="str">
        <f>VLOOKUP(G1542,'Estádios e Cidades'!A:B,2,0)</f>
        <v>Miami Gardens - Flórida</v>
      </c>
      <c r="J1542" s="15" t="s">
        <v>123</v>
      </c>
      <c r="K1542" s="2" t="str">
        <f>VLOOKUP(J1542,Equipes!A:F,6,0)</f>
        <v>Temperate</v>
      </c>
      <c r="L1542" s="2">
        <f>VLOOKUP(J1542,Equipes!A:C,3,0)</f>
        <v>6</v>
      </c>
      <c r="M1542" s="2" t="str">
        <f t="shared" si="4"/>
        <v>Quarter-final</v>
      </c>
      <c r="N1542" s="11" t="s">
        <v>501</v>
      </c>
      <c r="O1542" s="2">
        <f>VLOOKUP(N1542,Equipes!A:C,3,0)</f>
        <v>11</v>
      </c>
      <c r="P1542" s="2" t="str">
        <f t="shared" si="5"/>
        <v>Round of 16</v>
      </c>
      <c r="Q1542" s="2">
        <f t="shared" si="6"/>
        <v>-5</v>
      </c>
      <c r="R1542" s="2" t="str">
        <f>VLOOKUP(J1542,Equipes!A:B,2,0)</f>
        <v>Bayern</v>
      </c>
      <c r="S1542" s="6" t="s">
        <v>129</v>
      </c>
      <c r="T1542" s="7">
        <v>9.0</v>
      </c>
      <c r="U1542" s="7" t="s">
        <v>130</v>
      </c>
      <c r="V1542" s="7" t="str">
        <f>VLOOKUP(U1542,Jogadores!B:C,2,0)</f>
        <v>FW</v>
      </c>
      <c r="W1542" s="8">
        <f>VLOOKUP(U1542,Jogadores!B:D,3,0)</f>
        <v>32.02191781</v>
      </c>
      <c r="X1542" s="7">
        <v>0.0</v>
      </c>
      <c r="Y1542" s="7">
        <v>93.0</v>
      </c>
      <c r="Z1542" s="7">
        <f>VLOOKUP(A1542,Jogos!A:L,3,0)</f>
        <v>53</v>
      </c>
      <c r="AA1542" s="7">
        <f t="shared" si="4815"/>
        <v>53</v>
      </c>
      <c r="AB1542" s="7">
        <f>VLOOKUP(A1542,Jogos!A:L,4,0)</f>
        <v>53</v>
      </c>
      <c r="AC1542" s="7">
        <f t="shared" si="4816"/>
        <v>48</v>
      </c>
      <c r="AD1542" s="7"/>
      <c r="AE1542" s="7"/>
      <c r="AF1542" s="7">
        <f t="shared" si="4566"/>
        <v>101</v>
      </c>
      <c r="AG1542" s="7">
        <v>10872.5</v>
      </c>
      <c r="AH1542" s="7">
        <v>4051.7</v>
      </c>
      <c r="AI1542" s="7">
        <v>4747.3</v>
      </c>
      <c r="AJ1542" s="7">
        <v>1562.3</v>
      </c>
      <c r="AK1542" s="7">
        <v>393.7</v>
      </c>
      <c r="AL1542" s="7">
        <v>117.5</v>
      </c>
      <c r="AM1542" s="7">
        <v>133.0</v>
      </c>
      <c r="AN1542" s="7">
        <v>30.0</v>
      </c>
      <c r="AO1542" s="7">
        <v>35.2</v>
      </c>
      <c r="AP1542" s="9">
        <f t="shared" ref="AP1542:AR1542" si="4832">AG1542/$AF1542</f>
        <v>107.6485149</v>
      </c>
      <c r="AQ1542" s="9">
        <f t="shared" si="4832"/>
        <v>40.11584158</v>
      </c>
      <c r="AR1542" s="9">
        <f t="shared" si="4832"/>
        <v>47.0029703</v>
      </c>
      <c r="AS1542" s="9">
        <f t="shared" si="4568"/>
        <v>87.11881188</v>
      </c>
      <c r="AT1542" s="9">
        <f t="shared" ref="AT1542:AV1542" si="4833">AJ1542/$AF1542</f>
        <v>15.46831683</v>
      </c>
      <c r="AU1542" s="9">
        <f t="shared" si="4833"/>
        <v>3.898019802</v>
      </c>
      <c r="AV1542" s="9">
        <f t="shared" si="4833"/>
        <v>1.163366337</v>
      </c>
      <c r="AW1542" s="9">
        <f t="shared" si="4570"/>
        <v>5.061386139</v>
      </c>
      <c r="AX1542" s="9">
        <f t="shared" ref="AX1542:AY1542" si="4834">AM1542/$AF1542</f>
        <v>1.316831683</v>
      </c>
      <c r="AY1542" s="9">
        <f t="shared" si="4834"/>
        <v>0.297029703</v>
      </c>
      <c r="AZ1542" s="9">
        <f>VLOOKUP(A1542,Jogos!A:BN,58,0)</f>
        <v>24.455</v>
      </c>
      <c r="BA1542" s="9">
        <f>VLOOKUP(A1542,Jogos!A:BN,59,0)</f>
        <v>22.125</v>
      </c>
      <c r="BB1542" s="9">
        <f>VLOOKUP(A1542,Jogos!A:BN,60,0)</f>
        <v>86.5</v>
      </c>
      <c r="BC1542" s="9">
        <f>VLOOKUP(A1542,Jogos!A:BN,61,0)</f>
        <v>22.335</v>
      </c>
      <c r="BD1542" s="9">
        <f>VLOOKUP(A1542,Jogos!A:BN,62,0)</f>
        <v>98.05</v>
      </c>
      <c r="BE1542" s="9">
        <f>VLOOKUP(A1542,Jogos!A:BN,63,0)</f>
        <v>1.2</v>
      </c>
      <c r="BF1542" s="9">
        <f>VLOOKUP(A1542,Jogos!A:BN,64,0)</f>
        <v>23.08</v>
      </c>
      <c r="BG1542" s="9">
        <f>VLOOKUP(A1542,Jogos!A:BN,65,0)</f>
        <v>39.65</v>
      </c>
      <c r="BH1542" s="9">
        <f>VLOOKUP(A1542,Jogos!A:BN,66,0)</f>
        <v>26.53</v>
      </c>
      <c r="BI1542" s="9"/>
      <c r="BJ1542" s="9"/>
    </row>
    <row r="1543" hidden="1">
      <c r="A1543" s="10">
        <v>52.0</v>
      </c>
      <c r="B1543" s="11" t="s">
        <v>1350</v>
      </c>
      <c r="C1543" s="2" t="s">
        <v>1351</v>
      </c>
      <c r="D1543" s="12">
        <v>45837.0</v>
      </c>
      <c r="E1543" s="13">
        <v>0.6666666666666666</v>
      </c>
      <c r="F1543" s="5" t="str">
        <f>VLOOKUP(A1543,Jogos!A:N,10,0)</f>
        <v>Afternoon</v>
      </c>
      <c r="G1543" s="11" t="s">
        <v>62</v>
      </c>
      <c r="H1543" s="6" t="str">
        <f>VLOOKUP(A1543,Jogos!A:L,12,0)</f>
        <v>Open</v>
      </c>
      <c r="I1543" s="6" t="str">
        <f>VLOOKUP(G1543,'Estádios e Cidades'!A:B,2,0)</f>
        <v>Miami Gardens - Flórida</v>
      </c>
      <c r="J1543" s="15" t="s">
        <v>123</v>
      </c>
      <c r="K1543" s="2" t="str">
        <f>VLOOKUP(J1543,Equipes!A:F,6,0)</f>
        <v>Temperate</v>
      </c>
      <c r="L1543" s="2">
        <f>VLOOKUP(J1543,Equipes!A:C,3,0)</f>
        <v>6</v>
      </c>
      <c r="M1543" s="2" t="str">
        <f t="shared" si="4"/>
        <v>Quarter-final</v>
      </c>
      <c r="N1543" s="11" t="s">
        <v>501</v>
      </c>
      <c r="O1543" s="2">
        <f>VLOOKUP(N1543,Equipes!A:C,3,0)</f>
        <v>11</v>
      </c>
      <c r="P1543" s="2" t="str">
        <f t="shared" si="5"/>
        <v>Round of 16</v>
      </c>
      <c r="Q1543" s="2">
        <f t="shared" si="6"/>
        <v>-5</v>
      </c>
      <c r="R1543" s="2" t="str">
        <f>VLOOKUP(J1543,Equipes!A:B,2,0)</f>
        <v>Bayern</v>
      </c>
      <c r="S1543" s="6" t="s">
        <v>131</v>
      </c>
      <c r="T1543" s="7">
        <v>11.0</v>
      </c>
      <c r="U1543" s="7" t="s">
        <v>132</v>
      </c>
      <c r="V1543" s="7" t="str">
        <f>VLOOKUP(U1543,Jogadores!B:C,2,0)</f>
        <v>FW</v>
      </c>
      <c r="W1543" s="8">
        <f>VLOOKUP(U1543,Jogadores!B:D,3,0)</f>
        <v>29.14246575</v>
      </c>
      <c r="X1543" s="7">
        <v>0.0</v>
      </c>
      <c r="Y1543" s="7">
        <v>58.0</v>
      </c>
      <c r="Z1543" s="7">
        <f>VLOOKUP(A1543,Jogos!A:L,3,0)</f>
        <v>53</v>
      </c>
      <c r="AA1543" s="7">
        <f t="shared" si="4815"/>
        <v>53</v>
      </c>
      <c r="AB1543" s="7">
        <f>VLOOKUP(A1543,Jogos!A:L,4,0)</f>
        <v>53</v>
      </c>
      <c r="AC1543" s="7">
        <f t="shared" si="4816"/>
        <v>13</v>
      </c>
      <c r="AD1543" s="7"/>
      <c r="AE1543" s="7"/>
      <c r="AF1543" s="7">
        <f t="shared" si="4566"/>
        <v>66</v>
      </c>
      <c r="AG1543" s="7">
        <v>6835.2</v>
      </c>
      <c r="AH1543" s="7">
        <v>2480.3</v>
      </c>
      <c r="AI1543" s="7">
        <v>2908.3</v>
      </c>
      <c r="AJ1543" s="7">
        <v>890.0</v>
      </c>
      <c r="AK1543" s="7">
        <v>407.5</v>
      </c>
      <c r="AL1543" s="7">
        <v>149.0</v>
      </c>
      <c r="AM1543" s="7">
        <v>89.0</v>
      </c>
      <c r="AN1543" s="7">
        <v>39.0</v>
      </c>
      <c r="AO1543" s="7">
        <v>35.5</v>
      </c>
      <c r="AP1543" s="9">
        <f t="shared" ref="AP1543:AR1543" si="4835">AG1543/$AF1543</f>
        <v>103.5636364</v>
      </c>
      <c r="AQ1543" s="9">
        <f t="shared" si="4835"/>
        <v>37.58030303</v>
      </c>
      <c r="AR1543" s="9">
        <f t="shared" si="4835"/>
        <v>44.06515152</v>
      </c>
      <c r="AS1543" s="9">
        <f t="shared" si="4568"/>
        <v>81.64545455</v>
      </c>
      <c r="AT1543" s="9">
        <f t="shared" ref="AT1543:AV1543" si="4836">AJ1543/$AF1543</f>
        <v>13.48484848</v>
      </c>
      <c r="AU1543" s="9">
        <f t="shared" si="4836"/>
        <v>6.174242424</v>
      </c>
      <c r="AV1543" s="9">
        <f t="shared" si="4836"/>
        <v>2.257575758</v>
      </c>
      <c r="AW1543" s="9">
        <f t="shared" si="4570"/>
        <v>8.431818182</v>
      </c>
      <c r="AX1543" s="9">
        <f t="shared" ref="AX1543:AY1543" si="4837">AM1543/$AF1543</f>
        <v>1.348484848</v>
      </c>
      <c r="AY1543" s="9">
        <f t="shared" si="4837"/>
        <v>0.5909090909</v>
      </c>
      <c r="AZ1543" s="9">
        <f>VLOOKUP(A1543,Jogos!A:BN,58,0)</f>
        <v>24.455</v>
      </c>
      <c r="BA1543" s="9">
        <f>VLOOKUP(A1543,Jogos!A:BN,59,0)</f>
        <v>22.125</v>
      </c>
      <c r="BB1543" s="9">
        <f>VLOOKUP(A1543,Jogos!A:BN,60,0)</f>
        <v>86.5</v>
      </c>
      <c r="BC1543" s="9">
        <f>VLOOKUP(A1543,Jogos!A:BN,61,0)</f>
        <v>22.335</v>
      </c>
      <c r="BD1543" s="9">
        <f>VLOOKUP(A1543,Jogos!A:BN,62,0)</f>
        <v>98.05</v>
      </c>
      <c r="BE1543" s="9">
        <f>VLOOKUP(A1543,Jogos!A:BN,63,0)</f>
        <v>1.2</v>
      </c>
      <c r="BF1543" s="9">
        <f>VLOOKUP(A1543,Jogos!A:BN,64,0)</f>
        <v>23.08</v>
      </c>
      <c r="BG1543" s="9">
        <f>VLOOKUP(A1543,Jogos!A:BN,65,0)</f>
        <v>39.65</v>
      </c>
      <c r="BH1543" s="9">
        <f>VLOOKUP(A1543,Jogos!A:BN,66,0)</f>
        <v>26.53</v>
      </c>
      <c r="BI1543" s="9"/>
      <c r="BJ1543" s="9"/>
    </row>
    <row r="1544" hidden="1">
      <c r="A1544" s="10">
        <v>52.0</v>
      </c>
      <c r="B1544" s="11" t="s">
        <v>1350</v>
      </c>
      <c r="C1544" s="2" t="s">
        <v>1351</v>
      </c>
      <c r="D1544" s="12">
        <v>45837.0</v>
      </c>
      <c r="E1544" s="13">
        <v>0.6666666666666666</v>
      </c>
      <c r="F1544" s="5" t="str">
        <f>VLOOKUP(A1544,Jogos!A:N,10,0)</f>
        <v>Afternoon</v>
      </c>
      <c r="G1544" s="11" t="s">
        <v>62</v>
      </c>
      <c r="H1544" s="6" t="str">
        <f>VLOOKUP(A1544,Jogos!A:L,12,0)</f>
        <v>Open</v>
      </c>
      <c r="I1544" s="6" t="str">
        <f>VLOOKUP(G1544,'Estádios e Cidades'!A:B,2,0)</f>
        <v>Miami Gardens - Flórida</v>
      </c>
      <c r="J1544" s="15" t="s">
        <v>123</v>
      </c>
      <c r="K1544" s="2" t="str">
        <f>VLOOKUP(J1544,Equipes!A:F,6,0)</f>
        <v>Temperate</v>
      </c>
      <c r="L1544" s="2">
        <f>VLOOKUP(J1544,Equipes!A:C,3,0)</f>
        <v>6</v>
      </c>
      <c r="M1544" s="2" t="str">
        <f t="shared" si="4"/>
        <v>Quarter-final</v>
      </c>
      <c r="N1544" s="11" t="s">
        <v>501</v>
      </c>
      <c r="O1544" s="2">
        <f>VLOOKUP(N1544,Equipes!A:C,3,0)</f>
        <v>11</v>
      </c>
      <c r="P1544" s="2" t="str">
        <f t="shared" si="5"/>
        <v>Round of 16</v>
      </c>
      <c r="Q1544" s="2">
        <f t="shared" si="6"/>
        <v>-5</v>
      </c>
      <c r="R1544" s="2" t="str">
        <f>VLOOKUP(J1544,Equipes!A:B,2,0)</f>
        <v>Bayern</v>
      </c>
      <c r="S1544" s="6" t="s">
        <v>133</v>
      </c>
      <c r="T1544" s="7">
        <v>17.0</v>
      </c>
      <c r="U1544" s="7" t="s">
        <v>134</v>
      </c>
      <c r="V1544" s="7" t="str">
        <f>VLOOKUP(U1544,Jogadores!B:C,2,0)</f>
        <v>FW</v>
      </c>
      <c r="W1544" s="8">
        <f>VLOOKUP(U1544,Jogadores!B:D,3,0)</f>
        <v>23.64109589</v>
      </c>
      <c r="X1544" s="7">
        <v>0.0</v>
      </c>
      <c r="Y1544" s="7">
        <f>45+AB1544</f>
        <v>98</v>
      </c>
      <c r="Z1544" s="7">
        <f>VLOOKUP(A1544,Jogos!A:L,3,0)</f>
        <v>53</v>
      </c>
      <c r="AA1544" s="7">
        <f t="shared" si="4815"/>
        <v>53</v>
      </c>
      <c r="AB1544" s="7">
        <f>VLOOKUP(A1544,Jogos!A:L,4,0)</f>
        <v>53</v>
      </c>
      <c r="AC1544" s="7">
        <f t="shared" si="4816"/>
        <v>53</v>
      </c>
      <c r="AD1544" s="7"/>
      <c r="AE1544" s="7"/>
      <c r="AF1544" s="7">
        <f t="shared" si="4566"/>
        <v>106</v>
      </c>
      <c r="AG1544" s="7">
        <v>11004.8</v>
      </c>
      <c r="AH1544" s="7">
        <v>3948.3</v>
      </c>
      <c r="AI1544" s="7">
        <v>4258.5</v>
      </c>
      <c r="AJ1544" s="7">
        <v>1806.9</v>
      </c>
      <c r="AK1544" s="7">
        <v>676.8</v>
      </c>
      <c r="AL1544" s="7">
        <v>314.2</v>
      </c>
      <c r="AM1544" s="7">
        <v>148.0</v>
      </c>
      <c r="AN1544" s="7">
        <v>58.0</v>
      </c>
      <c r="AO1544" s="7">
        <v>32.8</v>
      </c>
      <c r="AP1544" s="9">
        <f t="shared" ref="AP1544:AR1544" si="4838">AG1544/$AF1544</f>
        <v>103.8188679</v>
      </c>
      <c r="AQ1544" s="9">
        <f t="shared" si="4838"/>
        <v>37.24811321</v>
      </c>
      <c r="AR1544" s="9">
        <f t="shared" si="4838"/>
        <v>40.1745283</v>
      </c>
      <c r="AS1544" s="9">
        <f t="shared" si="4568"/>
        <v>77.42264151</v>
      </c>
      <c r="AT1544" s="9">
        <f t="shared" ref="AT1544:AV1544" si="4839">AJ1544/$AF1544</f>
        <v>17.04622642</v>
      </c>
      <c r="AU1544" s="9">
        <f t="shared" si="4839"/>
        <v>6.38490566</v>
      </c>
      <c r="AV1544" s="9">
        <f t="shared" si="4839"/>
        <v>2.964150943</v>
      </c>
      <c r="AW1544" s="9">
        <f t="shared" si="4570"/>
        <v>9.349056604</v>
      </c>
      <c r="AX1544" s="9">
        <f t="shared" ref="AX1544:AY1544" si="4840">AM1544/$AF1544</f>
        <v>1.396226415</v>
      </c>
      <c r="AY1544" s="9">
        <f t="shared" si="4840"/>
        <v>0.5471698113</v>
      </c>
      <c r="AZ1544" s="9">
        <f>VLOOKUP(A1544,Jogos!A:BN,58,0)</f>
        <v>24.455</v>
      </c>
      <c r="BA1544" s="9">
        <f>VLOOKUP(A1544,Jogos!A:BN,59,0)</f>
        <v>22.125</v>
      </c>
      <c r="BB1544" s="9">
        <f>VLOOKUP(A1544,Jogos!A:BN,60,0)</f>
        <v>86.5</v>
      </c>
      <c r="BC1544" s="9">
        <f>VLOOKUP(A1544,Jogos!A:BN,61,0)</f>
        <v>22.335</v>
      </c>
      <c r="BD1544" s="9">
        <f>VLOOKUP(A1544,Jogos!A:BN,62,0)</f>
        <v>98.05</v>
      </c>
      <c r="BE1544" s="9">
        <f>VLOOKUP(A1544,Jogos!A:BN,63,0)</f>
        <v>1.2</v>
      </c>
      <c r="BF1544" s="9">
        <f>VLOOKUP(A1544,Jogos!A:BN,64,0)</f>
        <v>23.08</v>
      </c>
      <c r="BG1544" s="9">
        <f>VLOOKUP(A1544,Jogos!A:BN,65,0)</f>
        <v>39.65</v>
      </c>
      <c r="BH1544" s="9">
        <f>VLOOKUP(A1544,Jogos!A:BN,66,0)</f>
        <v>26.53</v>
      </c>
      <c r="BI1544" s="9"/>
      <c r="BJ1544" s="9"/>
    </row>
    <row r="1545" hidden="1">
      <c r="A1545" s="10">
        <v>52.0</v>
      </c>
      <c r="B1545" s="11" t="s">
        <v>1350</v>
      </c>
      <c r="C1545" s="2" t="s">
        <v>1351</v>
      </c>
      <c r="D1545" s="12">
        <v>45837.0</v>
      </c>
      <c r="E1545" s="13">
        <v>0.6666666666666666</v>
      </c>
      <c r="F1545" s="5" t="str">
        <f>VLOOKUP(A1545,Jogos!A:N,10,0)</f>
        <v>Afternoon</v>
      </c>
      <c r="G1545" s="11" t="s">
        <v>62</v>
      </c>
      <c r="H1545" s="6" t="str">
        <f>VLOOKUP(A1545,Jogos!A:L,12,0)</f>
        <v>Open</v>
      </c>
      <c r="I1545" s="6" t="str">
        <f>VLOOKUP(G1545,'Estádios e Cidades'!A:B,2,0)</f>
        <v>Miami Gardens - Flórida</v>
      </c>
      <c r="J1545" s="15" t="s">
        <v>123</v>
      </c>
      <c r="K1545" s="2" t="str">
        <f>VLOOKUP(J1545,Equipes!A:F,6,0)</f>
        <v>Temperate</v>
      </c>
      <c r="L1545" s="2">
        <f>VLOOKUP(J1545,Equipes!A:C,3,0)</f>
        <v>6</v>
      </c>
      <c r="M1545" s="2" t="str">
        <f t="shared" si="4"/>
        <v>Quarter-final</v>
      </c>
      <c r="N1545" s="11" t="s">
        <v>501</v>
      </c>
      <c r="O1545" s="2">
        <f>VLOOKUP(N1545,Equipes!A:C,3,0)</f>
        <v>11</v>
      </c>
      <c r="P1545" s="2" t="str">
        <f t="shared" si="5"/>
        <v>Round of 16</v>
      </c>
      <c r="Q1545" s="2">
        <f t="shared" si="6"/>
        <v>-5</v>
      </c>
      <c r="R1545" s="2" t="str">
        <f>VLOOKUP(J1545,Equipes!A:B,2,0)</f>
        <v>Bayern</v>
      </c>
      <c r="S1545" s="6" t="s">
        <v>1138</v>
      </c>
      <c r="T1545" s="7">
        <v>27.0</v>
      </c>
      <c r="U1545" s="7" t="s">
        <v>1139</v>
      </c>
      <c r="V1545" s="7" t="str">
        <f>VLOOKUP(U1545,Jogadores!B:C,2,0)</f>
        <v>MF</v>
      </c>
      <c r="W1545" s="8">
        <f>VLOOKUP(U1545,Jogadores!B:D,3,0)</f>
        <v>28.1890411</v>
      </c>
      <c r="X1545" s="7">
        <v>0.0</v>
      </c>
      <c r="Y1545" s="7">
        <v>93.0</v>
      </c>
      <c r="Z1545" s="7">
        <f>VLOOKUP(A1545,Jogos!A:L,3,0)</f>
        <v>53</v>
      </c>
      <c r="AA1545" s="7">
        <f t="shared" si="4815"/>
        <v>53</v>
      </c>
      <c r="AB1545" s="7">
        <f>VLOOKUP(A1545,Jogos!A:L,4,0)</f>
        <v>53</v>
      </c>
      <c r="AC1545" s="7">
        <f t="shared" si="4816"/>
        <v>48</v>
      </c>
      <c r="AD1545" s="7"/>
      <c r="AE1545" s="7"/>
      <c r="AF1545" s="7">
        <f t="shared" si="4566"/>
        <v>101</v>
      </c>
      <c r="AG1545" s="7">
        <v>10032.5</v>
      </c>
      <c r="AH1545" s="7">
        <v>4074.8</v>
      </c>
      <c r="AI1545" s="7">
        <v>3875.5</v>
      </c>
      <c r="AJ1545" s="7">
        <v>1201.8</v>
      </c>
      <c r="AK1545" s="7">
        <v>586.8</v>
      </c>
      <c r="AL1545" s="7">
        <v>293.6</v>
      </c>
      <c r="AM1545" s="7">
        <v>103.0</v>
      </c>
      <c r="AN1545" s="7">
        <v>57.0</v>
      </c>
      <c r="AO1545" s="7">
        <v>31.9</v>
      </c>
      <c r="AP1545" s="9">
        <f t="shared" ref="AP1545:AR1545" si="4841">AG1545/$AF1545</f>
        <v>99.33168317</v>
      </c>
      <c r="AQ1545" s="9">
        <f t="shared" si="4841"/>
        <v>40.34455446</v>
      </c>
      <c r="AR1545" s="9">
        <f t="shared" si="4841"/>
        <v>38.37128713</v>
      </c>
      <c r="AS1545" s="9">
        <f t="shared" si="4568"/>
        <v>78.71584158</v>
      </c>
      <c r="AT1545" s="9">
        <f t="shared" ref="AT1545:AV1545" si="4842">AJ1545/$AF1545</f>
        <v>11.8990099</v>
      </c>
      <c r="AU1545" s="9">
        <f t="shared" si="4842"/>
        <v>5.80990099</v>
      </c>
      <c r="AV1545" s="9">
        <f t="shared" si="4842"/>
        <v>2.906930693</v>
      </c>
      <c r="AW1545" s="9">
        <f t="shared" si="4570"/>
        <v>8.716831683</v>
      </c>
      <c r="AX1545" s="9">
        <f t="shared" ref="AX1545:AY1545" si="4843">AM1545/$AF1545</f>
        <v>1.01980198</v>
      </c>
      <c r="AY1545" s="9">
        <f t="shared" si="4843"/>
        <v>0.5643564356</v>
      </c>
      <c r="AZ1545" s="9">
        <f>VLOOKUP(A1545,Jogos!A:BN,58,0)</f>
        <v>24.455</v>
      </c>
      <c r="BA1545" s="9">
        <f>VLOOKUP(A1545,Jogos!A:BN,59,0)</f>
        <v>22.125</v>
      </c>
      <c r="BB1545" s="9">
        <f>VLOOKUP(A1545,Jogos!A:BN,60,0)</f>
        <v>86.5</v>
      </c>
      <c r="BC1545" s="9">
        <f>VLOOKUP(A1545,Jogos!A:BN,61,0)</f>
        <v>22.335</v>
      </c>
      <c r="BD1545" s="9">
        <f>VLOOKUP(A1545,Jogos!A:BN,62,0)</f>
        <v>98.05</v>
      </c>
      <c r="BE1545" s="9">
        <f>VLOOKUP(A1545,Jogos!A:BN,63,0)</f>
        <v>1.2</v>
      </c>
      <c r="BF1545" s="9">
        <f>VLOOKUP(A1545,Jogos!A:BN,64,0)</f>
        <v>23.08</v>
      </c>
      <c r="BG1545" s="9">
        <f>VLOOKUP(A1545,Jogos!A:BN,65,0)</f>
        <v>39.65</v>
      </c>
      <c r="BH1545" s="9">
        <f>VLOOKUP(A1545,Jogos!A:BN,66,0)</f>
        <v>26.53</v>
      </c>
      <c r="BI1545" s="9"/>
      <c r="BJ1545" s="9"/>
    </row>
    <row r="1546" hidden="1">
      <c r="A1546" s="10">
        <v>52.0</v>
      </c>
      <c r="B1546" s="11" t="s">
        <v>1350</v>
      </c>
      <c r="C1546" s="2" t="s">
        <v>1351</v>
      </c>
      <c r="D1546" s="12">
        <v>45837.0</v>
      </c>
      <c r="E1546" s="13">
        <v>0.6666666666666666</v>
      </c>
      <c r="F1546" s="5" t="str">
        <f>VLOOKUP(A1546,Jogos!A:N,10,0)</f>
        <v>Afternoon</v>
      </c>
      <c r="G1546" s="11" t="s">
        <v>62</v>
      </c>
      <c r="H1546" s="6" t="str">
        <f>VLOOKUP(A1546,Jogos!A:L,12,0)</f>
        <v>Open</v>
      </c>
      <c r="I1546" s="6" t="str">
        <f>VLOOKUP(G1546,'Estádios e Cidades'!A:B,2,0)</f>
        <v>Miami Gardens - Flórida</v>
      </c>
      <c r="J1546" s="15" t="s">
        <v>123</v>
      </c>
      <c r="K1546" s="2" t="str">
        <f>VLOOKUP(J1546,Equipes!A:F,6,0)</f>
        <v>Temperate</v>
      </c>
      <c r="L1546" s="2">
        <f>VLOOKUP(J1546,Equipes!A:C,3,0)</f>
        <v>6</v>
      </c>
      <c r="M1546" s="2" t="str">
        <f t="shared" si="4"/>
        <v>Quarter-final</v>
      </c>
      <c r="N1546" s="11" t="s">
        <v>501</v>
      </c>
      <c r="O1546" s="2">
        <f>VLOOKUP(N1546,Equipes!A:C,3,0)</f>
        <v>11</v>
      </c>
      <c r="P1546" s="2" t="str">
        <f t="shared" si="5"/>
        <v>Round of 16</v>
      </c>
      <c r="Q1546" s="2">
        <f t="shared" si="6"/>
        <v>-5</v>
      </c>
      <c r="R1546" s="2" t="str">
        <f>VLOOKUP(J1546,Equipes!A:B,2,0)</f>
        <v>Bayern</v>
      </c>
      <c r="S1546" s="6" t="s">
        <v>141</v>
      </c>
      <c r="T1546" s="7">
        <v>44.0</v>
      </c>
      <c r="U1546" s="7" t="s">
        <v>142</v>
      </c>
      <c r="V1546" s="7" t="str">
        <f>VLOOKUP(U1546,Jogadores!B:C,2,0)</f>
        <v>DF</v>
      </c>
      <c r="W1546" s="8">
        <f>VLOOKUP(U1546,Jogadores!B:D,3,0)</f>
        <v>25.3369863</v>
      </c>
      <c r="X1546" s="7">
        <v>0.0</v>
      </c>
      <c r="Y1546" s="7">
        <f t="shared" ref="Y1546:Y1551" si="4847">45+AB1546</f>
        <v>98</v>
      </c>
      <c r="Z1546" s="7">
        <f>VLOOKUP(A1546,Jogos!A:L,3,0)</f>
        <v>53</v>
      </c>
      <c r="AA1546" s="7">
        <f t="shared" si="4815"/>
        <v>53</v>
      </c>
      <c r="AB1546" s="7">
        <f>VLOOKUP(A1546,Jogos!A:L,4,0)</f>
        <v>53</v>
      </c>
      <c r="AC1546" s="7">
        <f t="shared" si="4816"/>
        <v>53</v>
      </c>
      <c r="AD1546" s="7"/>
      <c r="AE1546" s="7"/>
      <c r="AF1546" s="7">
        <f t="shared" si="4566"/>
        <v>106</v>
      </c>
      <c r="AG1546" s="7">
        <v>10258.8</v>
      </c>
      <c r="AH1546" s="7">
        <v>4156.7</v>
      </c>
      <c r="AI1546" s="7">
        <v>3984.1</v>
      </c>
      <c r="AJ1546" s="7">
        <v>1124.6</v>
      </c>
      <c r="AK1546" s="7">
        <v>612.8</v>
      </c>
      <c r="AL1546" s="7">
        <v>380.5</v>
      </c>
      <c r="AM1546" s="7">
        <v>98.0</v>
      </c>
      <c r="AN1546" s="7">
        <v>49.0</v>
      </c>
      <c r="AO1546" s="7">
        <v>32.0</v>
      </c>
      <c r="AP1546" s="9">
        <f t="shared" ref="AP1546:AR1546" si="4844">AG1546/$AF1546</f>
        <v>96.78113208</v>
      </c>
      <c r="AQ1546" s="9">
        <f t="shared" si="4844"/>
        <v>39.21415094</v>
      </c>
      <c r="AR1546" s="9">
        <f t="shared" si="4844"/>
        <v>37.58584906</v>
      </c>
      <c r="AS1546" s="9">
        <f t="shared" si="4568"/>
        <v>76.8</v>
      </c>
      <c r="AT1546" s="9">
        <f t="shared" ref="AT1546:AV1546" si="4845">AJ1546/$AF1546</f>
        <v>10.60943396</v>
      </c>
      <c r="AU1546" s="9">
        <f t="shared" si="4845"/>
        <v>5.781132075</v>
      </c>
      <c r="AV1546" s="9">
        <f t="shared" si="4845"/>
        <v>3.589622642</v>
      </c>
      <c r="AW1546" s="9">
        <f t="shared" si="4570"/>
        <v>9.370754717</v>
      </c>
      <c r="AX1546" s="9">
        <f t="shared" ref="AX1546:AY1546" si="4846">AM1546/$AF1546</f>
        <v>0.9245283019</v>
      </c>
      <c r="AY1546" s="9">
        <f t="shared" si="4846"/>
        <v>0.4622641509</v>
      </c>
      <c r="AZ1546" s="9">
        <f>VLOOKUP(A1546,Jogos!A:BN,58,0)</f>
        <v>24.455</v>
      </c>
      <c r="BA1546" s="9">
        <f>VLOOKUP(A1546,Jogos!A:BN,59,0)</f>
        <v>22.125</v>
      </c>
      <c r="BB1546" s="9">
        <f>VLOOKUP(A1546,Jogos!A:BN,60,0)</f>
        <v>86.5</v>
      </c>
      <c r="BC1546" s="9">
        <f>VLOOKUP(A1546,Jogos!A:BN,61,0)</f>
        <v>22.335</v>
      </c>
      <c r="BD1546" s="9">
        <f>VLOOKUP(A1546,Jogos!A:BN,62,0)</f>
        <v>98.05</v>
      </c>
      <c r="BE1546" s="9">
        <f>VLOOKUP(A1546,Jogos!A:BN,63,0)</f>
        <v>1.2</v>
      </c>
      <c r="BF1546" s="9">
        <f>VLOOKUP(A1546,Jogos!A:BN,64,0)</f>
        <v>23.08</v>
      </c>
      <c r="BG1546" s="9">
        <f>VLOOKUP(A1546,Jogos!A:BN,65,0)</f>
        <v>39.65</v>
      </c>
      <c r="BH1546" s="9">
        <f>VLOOKUP(A1546,Jogos!A:BN,66,0)</f>
        <v>26.53</v>
      </c>
      <c r="BI1546" s="9"/>
      <c r="BJ1546" s="9"/>
    </row>
    <row r="1547" hidden="1">
      <c r="A1547" s="10">
        <v>52.0</v>
      </c>
      <c r="B1547" s="11" t="s">
        <v>1350</v>
      </c>
      <c r="C1547" s="2" t="s">
        <v>1351</v>
      </c>
      <c r="D1547" s="12">
        <v>45837.0</v>
      </c>
      <c r="E1547" s="13">
        <v>0.6666666666666666</v>
      </c>
      <c r="F1547" s="5" t="str">
        <f>VLOOKUP(A1547,Jogos!A:N,10,0)</f>
        <v>Afternoon</v>
      </c>
      <c r="G1547" s="11" t="s">
        <v>62</v>
      </c>
      <c r="H1547" s="6" t="str">
        <f>VLOOKUP(A1547,Jogos!A:L,12,0)</f>
        <v>Open</v>
      </c>
      <c r="I1547" s="6" t="str">
        <f>VLOOKUP(G1547,'Estádios e Cidades'!A:B,2,0)</f>
        <v>Miami Gardens - Flórida</v>
      </c>
      <c r="J1547" s="15" t="s">
        <v>123</v>
      </c>
      <c r="K1547" s="2" t="str">
        <f>VLOOKUP(J1547,Equipes!A:F,6,0)</f>
        <v>Temperate</v>
      </c>
      <c r="L1547" s="2">
        <f>VLOOKUP(J1547,Equipes!A:C,3,0)</f>
        <v>6</v>
      </c>
      <c r="M1547" s="2" t="str">
        <f t="shared" si="4"/>
        <v>Quarter-final</v>
      </c>
      <c r="N1547" s="11" t="s">
        <v>501</v>
      </c>
      <c r="O1547" s="2">
        <f>VLOOKUP(N1547,Equipes!A:C,3,0)</f>
        <v>11</v>
      </c>
      <c r="P1547" s="2" t="str">
        <f t="shared" si="5"/>
        <v>Round of 16</v>
      </c>
      <c r="Q1547" s="2">
        <f t="shared" si="6"/>
        <v>-5</v>
      </c>
      <c r="R1547" s="2" t="str">
        <f>VLOOKUP(J1547,Equipes!A:B,2,0)</f>
        <v>Bayern</v>
      </c>
      <c r="S1547" s="6" t="s">
        <v>1140</v>
      </c>
      <c r="T1547" s="7">
        <v>10.0</v>
      </c>
      <c r="U1547" s="7" t="s">
        <v>1141</v>
      </c>
      <c r="V1547" s="7" t="str">
        <f>VLOOKUP(U1547,Jogadores!B:C,2,0)</f>
        <v>FW</v>
      </c>
      <c r="W1547" s="8">
        <f>VLOOKUP(U1547,Jogadores!B:D,3,0)</f>
        <v>29.56438356</v>
      </c>
      <c r="X1547" s="7">
        <v>58.0</v>
      </c>
      <c r="Y1547" s="7">
        <f t="shared" si="4847"/>
        <v>98</v>
      </c>
      <c r="Z1547" s="7">
        <f>VLOOKUP(A1547,Jogos!A:L,3,0)</f>
        <v>53</v>
      </c>
      <c r="AA1547" s="7">
        <f t="shared" si="4815"/>
        <v>0</v>
      </c>
      <c r="AB1547" s="7">
        <f>VLOOKUP(A1547,Jogos!A:L,4,0)</f>
        <v>53</v>
      </c>
      <c r="AC1547" s="7">
        <f t="shared" si="4816"/>
        <v>40</v>
      </c>
      <c r="AD1547" s="7"/>
      <c r="AE1547" s="7"/>
      <c r="AF1547" s="7">
        <f t="shared" si="4566"/>
        <v>40</v>
      </c>
      <c r="AG1547" s="7">
        <v>3931.4</v>
      </c>
      <c r="AH1547" s="7">
        <v>1675.9</v>
      </c>
      <c r="AI1547" s="7">
        <v>1159.5</v>
      </c>
      <c r="AJ1547" s="7">
        <v>508.0</v>
      </c>
      <c r="AK1547" s="7">
        <v>280.4</v>
      </c>
      <c r="AL1547" s="7">
        <v>307.5</v>
      </c>
      <c r="AM1547" s="7">
        <v>38.0</v>
      </c>
      <c r="AN1547" s="7">
        <v>28.0</v>
      </c>
      <c r="AO1547" s="7">
        <v>35.5</v>
      </c>
      <c r="AP1547" s="9">
        <f t="shared" ref="AP1547:AR1547" si="4848">AG1547/$AF1547</f>
        <v>98.285</v>
      </c>
      <c r="AQ1547" s="9">
        <f t="shared" si="4848"/>
        <v>41.8975</v>
      </c>
      <c r="AR1547" s="9">
        <f t="shared" si="4848"/>
        <v>28.9875</v>
      </c>
      <c r="AS1547" s="9">
        <f t="shared" si="4568"/>
        <v>70.885</v>
      </c>
      <c r="AT1547" s="9">
        <f t="shared" ref="AT1547:AV1547" si="4849">AJ1547/$AF1547</f>
        <v>12.7</v>
      </c>
      <c r="AU1547" s="9">
        <f t="shared" si="4849"/>
        <v>7.01</v>
      </c>
      <c r="AV1547" s="9">
        <f t="shared" si="4849"/>
        <v>7.6875</v>
      </c>
      <c r="AW1547" s="9">
        <f t="shared" si="4570"/>
        <v>14.6975</v>
      </c>
      <c r="AX1547" s="9">
        <f t="shared" ref="AX1547:AY1547" si="4850">AM1547/$AF1547</f>
        <v>0.95</v>
      </c>
      <c r="AY1547" s="9">
        <f t="shared" si="4850"/>
        <v>0.7</v>
      </c>
      <c r="AZ1547" s="9">
        <f>VLOOKUP(A1547,Jogos!A:BN,58,0)</f>
        <v>24.455</v>
      </c>
      <c r="BA1547" s="9">
        <f>VLOOKUP(A1547,Jogos!A:BN,59,0)</f>
        <v>22.125</v>
      </c>
      <c r="BB1547" s="9">
        <f>VLOOKUP(A1547,Jogos!A:BN,60,0)</f>
        <v>86.5</v>
      </c>
      <c r="BC1547" s="9">
        <f>VLOOKUP(A1547,Jogos!A:BN,61,0)</f>
        <v>22.335</v>
      </c>
      <c r="BD1547" s="9">
        <f>VLOOKUP(A1547,Jogos!A:BN,62,0)</f>
        <v>98.05</v>
      </c>
      <c r="BE1547" s="9">
        <f>VLOOKUP(A1547,Jogos!A:BN,63,0)</f>
        <v>1.2</v>
      </c>
      <c r="BF1547" s="9">
        <f>VLOOKUP(A1547,Jogos!A:BN,64,0)</f>
        <v>23.08</v>
      </c>
      <c r="BG1547" s="9">
        <f>VLOOKUP(A1547,Jogos!A:BN,65,0)</f>
        <v>39.65</v>
      </c>
      <c r="BH1547" s="9">
        <f>VLOOKUP(A1547,Jogos!A:BN,66,0)</f>
        <v>26.53</v>
      </c>
      <c r="BI1547" s="9"/>
      <c r="BJ1547" s="9"/>
    </row>
    <row r="1548" hidden="1">
      <c r="A1548" s="10">
        <v>52.0</v>
      </c>
      <c r="B1548" s="11" t="s">
        <v>1350</v>
      </c>
      <c r="C1548" s="2" t="s">
        <v>1351</v>
      </c>
      <c r="D1548" s="12">
        <v>45837.0</v>
      </c>
      <c r="E1548" s="13">
        <v>0.6666666666666666</v>
      </c>
      <c r="F1548" s="5" t="str">
        <f>VLOOKUP(A1548,Jogos!A:N,10,0)</f>
        <v>Afternoon</v>
      </c>
      <c r="G1548" s="11" t="s">
        <v>62</v>
      </c>
      <c r="H1548" s="6" t="str">
        <f>VLOOKUP(A1548,Jogos!A:L,12,0)</f>
        <v>Open</v>
      </c>
      <c r="I1548" s="6" t="str">
        <f>VLOOKUP(G1548,'Estádios e Cidades'!A:B,2,0)</f>
        <v>Miami Gardens - Flórida</v>
      </c>
      <c r="J1548" s="15" t="s">
        <v>123</v>
      </c>
      <c r="K1548" s="2" t="str">
        <f>VLOOKUP(J1548,Equipes!A:F,6,0)</f>
        <v>Temperate</v>
      </c>
      <c r="L1548" s="2">
        <f>VLOOKUP(J1548,Equipes!A:C,3,0)</f>
        <v>6</v>
      </c>
      <c r="M1548" s="2" t="str">
        <f t="shared" si="4"/>
        <v>Quarter-final</v>
      </c>
      <c r="N1548" s="11" t="s">
        <v>501</v>
      </c>
      <c r="O1548" s="2">
        <f>VLOOKUP(N1548,Equipes!A:C,3,0)</f>
        <v>11</v>
      </c>
      <c r="P1548" s="2" t="str">
        <f t="shared" si="5"/>
        <v>Round of 16</v>
      </c>
      <c r="Q1548" s="2">
        <f t="shared" si="6"/>
        <v>-5</v>
      </c>
      <c r="R1548" s="2" t="str">
        <f>VLOOKUP(J1548,Equipes!A:B,2,0)</f>
        <v>Bayern</v>
      </c>
      <c r="S1548" s="6" t="s">
        <v>137</v>
      </c>
      <c r="T1548" s="7">
        <v>23.0</v>
      </c>
      <c r="U1548" s="7" t="s">
        <v>138</v>
      </c>
      <c r="V1548" s="7" t="str">
        <f>VLOOKUP(U1548,Jogadores!B:C,2,0)</f>
        <v>DF</v>
      </c>
      <c r="W1548" s="8">
        <f>VLOOKUP(U1548,Jogadores!B:D,3,0)</f>
        <v>24.88767123</v>
      </c>
      <c r="X1548" s="7">
        <v>93.0</v>
      </c>
      <c r="Y1548" s="7">
        <f t="shared" si="4847"/>
        <v>98</v>
      </c>
      <c r="Z1548" s="7">
        <f>VLOOKUP(A1548,Jogos!A:L,3,0)</f>
        <v>53</v>
      </c>
      <c r="AA1548" s="7">
        <f t="shared" si="4815"/>
        <v>0</v>
      </c>
      <c r="AB1548" s="7">
        <f>VLOOKUP(A1548,Jogos!A:L,4,0)</f>
        <v>53</v>
      </c>
      <c r="AC1548" s="7">
        <f t="shared" si="4816"/>
        <v>5</v>
      </c>
      <c r="AD1548" s="7"/>
      <c r="AE1548" s="7"/>
      <c r="AF1548" s="7">
        <f t="shared" si="4566"/>
        <v>5</v>
      </c>
      <c r="AG1548" s="7">
        <v>568.5</v>
      </c>
      <c r="AH1548" s="7">
        <v>219.3</v>
      </c>
      <c r="AI1548" s="7">
        <v>241.4</v>
      </c>
      <c r="AJ1548" s="7">
        <v>62.0</v>
      </c>
      <c r="AK1548" s="7">
        <v>30.2</v>
      </c>
      <c r="AL1548" s="7">
        <v>15.6</v>
      </c>
      <c r="AM1548" s="7">
        <v>6.0</v>
      </c>
      <c r="AN1548" s="7">
        <v>2.0</v>
      </c>
      <c r="AO1548" s="7">
        <v>27.1</v>
      </c>
      <c r="AP1548" s="9">
        <f t="shared" ref="AP1548:AR1548" si="4851">AG1548/$AF1548</f>
        <v>113.7</v>
      </c>
      <c r="AQ1548" s="9">
        <f t="shared" si="4851"/>
        <v>43.86</v>
      </c>
      <c r="AR1548" s="9">
        <f t="shared" si="4851"/>
        <v>48.28</v>
      </c>
      <c r="AS1548" s="9">
        <f t="shared" si="4568"/>
        <v>92.14</v>
      </c>
      <c r="AT1548" s="9">
        <f t="shared" ref="AT1548:AV1548" si="4852">AJ1548/$AF1548</f>
        <v>12.4</v>
      </c>
      <c r="AU1548" s="9">
        <f t="shared" si="4852"/>
        <v>6.04</v>
      </c>
      <c r="AV1548" s="9">
        <f t="shared" si="4852"/>
        <v>3.12</v>
      </c>
      <c r="AW1548" s="9">
        <f t="shared" si="4570"/>
        <v>9.16</v>
      </c>
      <c r="AX1548" s="9">
        <f t="shared" ref="AX1548:AY1548" si="4853">AM1548/$AF1548</f>
        <v>1.2</v>
      </c>
      <c r="AY1548" s="9">
        <f t="shared" si="4853"/>
        <v>0.4</v>
      </c>
      <c r="AZ1548" s="9">
        <f>VLOOKUP(A1548,Jogos!A:BN,58,0)</f>
        <v>24.455</v>
      </c>
      <c r="BA1548" s="9">
        <f>VLOOKUP(A1548,Jogos!A:BN,59,0)</f>
        <v>22.125</v>
      </c>
      <c r="BB1548" s="9">
        <f>VLOOKUP(A1548,Jogos!A:BN,60,0)</f>
        <v>86.5</v>
      </c>
      <c r="BC1548" s="9">
        <f>VLOOKUP(A1548,Jogos!A:BN,61,0)</f>
        <v>22.335</v>
      </c>
      <c r="BD1548" s="9">
        <f>VLOOKUP(A1548,Jogos!A:BN,62,0)</f>
        <v>98.05</v>
      </c>
      <c r="BE1548" s="9">
        <f>VLOOKUP(A1548,Jogos!A:BN,63,0)</f>
        <v>1.2</v>
      </c>
      <c r="BF1548" s="9">
        <f>VLOOKUP(A1548,Jogos!A:BN,64,0)</f>
        <v>23.08</v>
      </c>
      <c r="BG1548" s="9">
        <f>VLOOKUP(A1548,Jogos!A:BN,65,0)</f>
        <v>39.65</v>
      </c>
      <c r="BH1548" s="9">
        <f>VLOOKUP(A1548,Jogos!A:BN,66,0)</f>
        <v>26.53</v>
      </c>
      <c r="BI1548" s="9"/>
      <c r="BJ1548" s="9"/>
    </row>
    <row r="1549" hidden="1">
      <c r="A1549" s="10">
        <v>52.0</v>
      </c>
      <c r="B1549" s="11" t="s">
        <v>1350</v>
      </c>
      <c r="C1549" s="2" t="s">
        <v>1351</v>
      </c>
      <c r="D1549" s="12">
        <v>45837.0</v>
      </c>
      <c r="E1549" s="13">
        <v>0.6666666666666666</v>
      </c>
      <c r="F1549" s="5" t="str">
        <f>VLOOKUP(A1549,Jogos!A:N,10,0)</f>
        <v>Afternoon</v>
      </c>
      <c r="G1549" s="11" t="s">
        <v>62</v>
      </c>
      <c r="H1549" s="6" t="str">
        <f>VLOOKUP(A1549,Jogos!A:L,12,0)</f>
        <v>Open</v>
      </c>
      <c r="I1549" s="6" t="str">
        <f>VLOOKUP(G1549,'Estádios e Cidades'!A:B,2,0)</f>
        <v>Miami Gardens - Flórida</v>
      </c>
      <c r="J1549" s="15" t="s">
        <v>123</v>
      </c>
      <c r="K1549" s="2" t="str">
        <f>VLOOKUP(J1549,Equipes!A:F,6,0)</f>
        <v>Temperate</v>
      </c>
      <c r="L1549" s="2">
        <f>VLOOKUP(J1549,Equipes!A:C,3,0)</f>
        <v>6</v>
      </c>
      <c r="M1549" s="2" t="str">
        <f t="shared" si="4"/>
        <v>Quarter-final</v>
      </c>
      <c r="N1549" s="11" t="s">
        <v>501</v>
      </c>
      <c r="O1549" s="2">
        <f>VLOOKUP(N1549,Equipes!A:C,3,0)</f>
        <v>11</v>
      </c>
      <c r="P1549" s="2" t="str">
        <f t="shared" si="5"/>
        <v>Round of 16</v>
      </c>
      <c r="Q1549" s="2">
        <f t="shared" si="6"/>
        <v>-5</v>
      </c>
      <c r="R1549" s="2" t="str">
        <f>VLOOKUP(J1549,Equipes!A:B,2,0)</f>
        <v>Bayern</v>
      </c>
      <c r="S1549" s="6" t="s">
        <v>139</v>
      </c>
      <c r="T1549" s="7">
        <v>25.0</v>
      </c>
      <c r="U1549" s="7" t="s">
        <v>140</v>
      </c>
      <c r="V1549" s="7" t="str">
        <f>VLOOKUP(U1549,Jogadores!B:C,2,0)</f>
        <v>FW</v>
      </c>
      <c r="W1549" s="8">
        <f>VLOOKUP(U1549,Jogadores!B:D,3,0)</f>
        <v>35.89589041</v>
      </c>
      <c r="X1549" s="7">
        <v>93.0</v>
      </c>
      <c r="Y1549" s="7">
        <f t="shared" si="4847"/>
        <v>98</v>
      </c>
      <c r="Z1549" s="7">
        <f>VLOOKUP(A1549,Jogos!A:L,3,0)</f>
        <v>53</v>
      </c>
      <c r="AA1549" s="7">
        <f t="shared" si="4815"/>
        <v>0</v>
      </c>
      <c r="AB1549" s="7">
        <f>VLOOKUP(A1549,Jogos!A:L,4,0)</f>
        <v>53</v>
      </c>
      <c r="AC1549" s="7">
        <f t="shared" si="4816"/>
        <v>5</v>
      </c>
      <c r="AD1549" s="7"/>
      <c r="AE1549" s="7"/>
      <c r="AF1549" s="7">
        <f t="shared" si="4566"/>
        <v>5</v>
      </c>
      <c r="AG1549" s="7">
        <v>613.9</v>
      </c>
      <c r="AH1549" s="7">
        <v>224.7</v>
      </c>
      <c r="AI1549" s="7">
        <v>268.7</v>
      </c>
      <c r="AJ1549" s="7">
        <v>101.7</v>
      </c>
      <c r="AK1549" s="7">
        <v>18.8</v>
      </c>
      <c r="AL1549" s="7">
        <v>7.0</v>
      </c>
      <c r="AM1549" s="7">
        <v>1.0</v>
      </c>
      <c r="AN1549" s="7">
        <v>22.3</v>
      </c>
      <c r="AO1549" s="7"/>
      <c r="AP1549" s="9">
        <f t="shared" ref="AP1549:AR1549" si="4854">AG1549/$AF1549</f>
        <v>122.78</v>
      </c>
      <c r="AQ1549" s="9">
        <f t="shared" si="4854"/>
        <v>44.94</v>
      </c>
      <c r="AR1549" s="9">
        <f t="shared" si="4854"/>
        <v>53.74</v>
      </c>
      <c r="AS1549" s="9">
        <f t="shared" si="4568"/>
        <v>98.68</v>
      </c>
      <c r="AT1549" s="9">
        <f t="shared" ref="AT1549:AV1549" si="4855">AJ1549/$AF1549</f>
        <v>20.34</v>
      </c>
      <c r="AU1549" s="9">
        <f t="shared" si="4855"/>
        <v>3.76</v>
      </c>
      <c r="AV1549" s="9">
        <f t="shared" si="4855"/>
        <v>1.4</v>
      </c>
      <c r="AW1549" s="9">
        <f t="shared" si="4570"/>
        <v>5.16</v>
      </c>
      <c r="AX1549" s="9">
        <f t="shared" ref="AX1549:AY1549" si="4856">AM1549/$AF1549</f>
        <v>0.2</v>
      </c>
      <c r="AY1549" s="9">
        <f t="shared" si="4856"/>
        <v>4.46</v>
      </c>
      <c r="AZ1549" s="9">
        <f>VLOOKUP(A1549,Jogos!A:BN,58,0)</f>
        <v>24.455</v>
      </c>
      <c r="BA1549" s="9">
        <f>VLOOKUP(A1549,Jogos!A:BN,59,0)</f>
        <v>22.125</v>
      </c>
      <c r="BB1549" s="9">
        <f>VLOOKUP(A1549,Jogos!A:BN,60,0)</f>
        <v>86.5</v>
      </c>
      <c r="BC1549" s="9">
        <f>VLOOKUP(A1549,Jogos!A:BN,61,0)</f>
        <v>22.335</v>
      </c>
      <c r="BD1549" s="9">
        <f>VLOOKUP(A1549,Jogos!A:BN,62,0)</f>
        <v>98.05</v>
      </c>
      <c r="BE1549" s="9">
        <f>VLOOKUP(A1549,Jogos!A:BN,63,0)</f>
        <v>1.2</v>
      </c>
      <c r="BF1549" s="9">
        <f>VLOOKUP(A1549,Jogos!A:BN,64,0)</f>
        <v>23.08</v>
      </c>
      <c r="BG1549" s="9">
        <f>VLOOKUP(A1549,Jogos!A:BN,65,0)</f>
        <v>39.65</v>
      </c>
      <c r="BH1549" s="9">
        <f>VLOOKUP(A1549,Jogos!A:BN,66,0)</f>
        <v>26.53</v>
      </c>
      <c r="BI1549" s="9"/>
      <c r="BJ1549" s="9"/>
    </row>
    <row r="1550" hidden="1">
      <c r="A1550" s="10">
        <v>52.0</v>
      </c>
      <c r="B1550" s="11" t="s">
        <v>1350</v>
      </c>
      <c r="C1550" s="2" t="s">
        <v>1351</v>
      </c>
      <c r="D1550" s="12">
        <v>45837.0</v>
      </c>
      <c r="E1550" s="13">
        <v>0.6666666666666666</v>
      </c>
      <c r="F1550" s="5" t="str">
        <f>VLOOKUP(A1550,Jogos!A:N,10,0)</f>
        <v>Afternoon</v>
      </c>
      <c r="G1550" s="11" t="s">
        <v>62</v>
      </c>
      <c r="H1550" s="6" t="str">
        <f>VLOOKUP(A1550,Jogos!A:L,12,0)</f>
        <v>Open</v>
      </c>
      <c r="I1550" s="6" t="str">
        <f>VLOOKUP(G1550,'Estádios e Cidades'!A:B,2,0)</f>
        <v>Miami Gardens - Flórida</v>
      </c>
      <c r="J1550" s="15" t="s">
        <v>123</v>
      </c>
      <c r="K1550" s="2" t="str">
        <f>VLOOKUP(J1550,Equipes!A:F,6,0)</f>
        <v>Temperate</v>
      </c>
      <c r="L1550" s="2">
        <f>VLOOKUP(J1550,Equipes!A:C,3,0)</f>
        <v>6</v>
      </c>
      <c r="M1550" s="2" t="str">
        <f t="shared" si="4"/>
        <v>Quarter-final</v>
      </c>
      <c r="N1550" s="11" t="s">
        <v>501</v>
      </c>
      <c r="O1550" s="2">
        <f>VLOOKUP(N1550,Equipes!A:C,3,0)</f>
        <v>11</v>
      </c>
      <c r="P1550" s="2" t="str">
        <f t="shared" si="5"/>
        <v>Round of 16</v>
      </c>
      <c r="Q1550" s="2">
        <f t="shared" si="6"/>
        <v>-5</v>
      </c>
      <c r="R1550" s="2" t="str">
        <f>VLOOKUP(J1550,Equipes!A:B,2,0)</f>
        <v>Bayern</v>
      </c>
      <c r="S1550" s="6" t="s">
        <v>149</v>
      </c>
      <c r="T1550" s="7">
        <v>42.0</v>
      </c>
      <c r="U1550" s="7" t="s">
        <v>150</v>
      </c>
      <c r="V1550" s="7" t="str">
        <f>VLOOKUP(U1550,Jogadores!B:C,2,0)</f>
        <v>MF</v>
      </c>
      <c r="W1550" s="8">
        <f>VLOOKUP(U1550,Jogadores!B:D,3,0)</f>
        <v>22.43287671</v>
      </c>
      <c r="X1550" s="7">
        <v>72.0</v>
      </c>
      <c r="Y1550" s="7">
        <f t="shared" si="4847"/>
        <v>98</v>
      </c>
      <c r="Z1550" s="7">
        <f>VLOOKUP(A1550,Jogos!A:L,3,0)</f>
        <v>53</v>
      </c>
      <c r="AA1550" s="7">
        <f t="shared" si="4815"/>
        <v>0</v>
      </c>
      <c r="AB1550" s="7">
        <f>VLOOKUP(A1550,Jogos!A:L,4,0)</f>
        <v>53</v>
      </c>
      <c r="AC1550" s="7">
        <f t="shared" si="4816"/>
        <v>26</v>
      </c>
      <c r="AD1550" s="7"/>
      <c r="AE1550" s="7"/>
      <c r="AF1550" s="7">
        <f t="shared" si="4566"/>
        <v>26</v>
      </c>
      <c r="AG1550" s="7">
        <v>2796.5</v>
      </c>
      <c r="AH1550" s="7">
        <v>1006.2</v>
      </c>
      <c r="AI1550" s="7">
        <v>1191.2</v>
      </c>
      <c r="AJ1550" s="7">
        <v>369.3</v>
      </c>
      <c r="AK1550" s="7">
        <v>113.2</v>
      </c>
      <c r="AL1550" s="7">
        <v>116.7</v>
      </c>
      <c r="AM1550" s="7">
        <v>32.0</v>
      </c>
      <c r="AN1550" s="7">
        <v>12.0</v>
      </c>
      <c r="AO1550" s="7">
        <v>33.5</v>
      </c>
      <c r="AP1550" s="9">
        <f t="shared" ref="AP1550:AR1550" si="4857">AG1550/$AF1550</f>
        <v>107.5576923</v>
      </c>
      <c r="AQ1550" s="9">
        <f t="shared" si="4857"/>
        <v>38.7</v>
      </c>
      <c r="AR1550" s="9">
        <f t="shared" si="4857"/>
        <v>45.81538462</v>
      </c>
      <c r="AS1550" s="9">
        <f t="shared" si="4568"/>
        <v>84.51538462</v>
      </c>
      <c r="AT1550" s="9">
        <f t="shared" ref="AT1550:AV1550" si="4858">AJ1550/$AF1550</f>
        <v>14.20384615</v>
      </c>
      <c r="AU1550" s="9">
        <f t="shared" si="4858"/>
        <v>4.353846154</v>
      </c>
      <c r="AV1550" s="9">
        <f t="shared" si="4858"/>
        <v>4.488461538</v>
      </c>
      <c r="AW1550" s="9">
        <f t="shared" si="4570"/>
        <v>8.842307692</v>
      </c>
      <c r="AX1550" s="9">
        <f t="shared" ref="AX1550:AY1550" si="4859">AM1550/$AF1550</f>
        <v>1.230769231</v>
      </c>
      <c r="AY1550" s="9">
        <f t="shared" si="4859"/>
        <v>0.4615384615</v>
      </c>
      <c r="AZ1550" s="9">
        <f>VLOOKUP(A1550,Jogos!A:BN,58,0)</f>
        <v>24.455</v>
      </c>
      <c r="BA1550" s="9">
        <f>VLOOKUP(A1550,Jogos!A:BN,59,0)</f>
        <v>22.125</v>
      </c>
      <c r="BB1550" s="9">
        <f>VLOOKUP(A1550,Jogos!A:BN,60,0)</f>
        <v>86.5</v>
      </c>
      <c r="BC1550" s="9">
        <f>VLOOKUP(A1550,Jogos!A:BN,61,0)</f>
        <v>22.335</v>
      </c>
      <c r="BD1550" s="9">
        <f>VLOOKUP(A1550,Jogos!A:BN,62,0)</f>
        <v>98.05</v>
      </c>
      <c r="BE1550" s="9">
        <f>VLOOKUP(A1550,Jogos!A:BN,63,0)</f>
        <v>1.2</v>
      </c>
      <c r="BF1550" s="9">
        <f>VLOOKUP(A1550,Jogos!A:BN,64,0)</f>
        <v>23.08</v>
      </c>
      <c r="BG1550" s="9">
        <f>VLOOKUP(A1550,Jogos!A:BN,65,0)</f>
        <v>39.65</v>
      </c>
      <c r="BH1550" s="9">
        <f>VLOOKUP(A1550,Jogos!A:BN,66,0)</f>
        <v>26.53</v>
      </c>
      <c r="BI1550" s="9"/>
      <c r="BJ1550" s="9"/>
    </row>
    <row r="1551" hidden="1">
      <c r="A1551" s="10">
        <v>52.0</v>
      </c>
      <c r="B1551" s="11" t="s">
        <v>1350</v>
      </c>
      <c r="C1551" s="2" t="s">
        <v>1351</v>
      </c>
      <c r="D1551" s="12">
        <v>45837.0</v>
      </c>
      <c r="E1551" s="13">
        <v>0.6666666666666666</v>
      </c>
      <c r="F1551" s="5" t="str">
        <f>VLOOKUP(A1551,Jogos!A:N,10,0)</f>
        <v>Afternoon</v>
      </c>
      <c r="G1551" s="11" t="s">
        <v>62</v>
      </c>
      <c r="H1551" s="6" t="str">
        <f>VLOOKUP(A1551,Jogos!A:L,12,0)</f>
        <v>Open</v>
      </c>
      <c r="I1551" s="6" t="str">
        <f>VLOOKUP(G1551,'Estádios e Cidades'!A:B,2,0)</f>
        <v>Miami Gardens - Flórida</v>
      </c>
      <c r="J1551" s="15" t="s">
        <v>123</v>
      </c>
      <c r="K1551" s="2" t="str">
        <f>VLOOKUP(J1551,Equipes!A:F,6,0)</f>
        <v>Temperate</v>
      </c>
      <c r="L1551" s="2">
        <f>VLOOKUP(J1551,Equipes!A:C,3,0)</f>
        <v>6</v>
      </c>
      <c r="M1551" s="2" t="str">
        <f t="shared" si="4"/>
        <v>Quarter-final</v>
      </c>
      <c r="N1551" s="11" t="s">
        <v>501</v>
      </c>
      <c r="O1551" s="2">
        <f>VLOOKUP(N1551,Equipes!A:C,3,0)</f>
        <v>11</v>
      </c>
      <c r="P1551" s="2" t="str">
        <f t="shared" si="5"/>
        <v>Round of 16</v>
      </c>
      <c r="Q1551" s="2">
        <f t="shared" si="6"/>
        <v>-5</v>
      </c>
      <c r="R1551" s="2" t="str">
        <f>VLOOKUP(J1551,Equipes!A:B,2,0)</f>
        <v>Bayern</v>
      </c>
      <c r="S1551" s="6" t="s">
        <v>143</v>
      </c>
      <c r="T1551" s="7">
        <v>45.0</v>
      </c>
      <c r="U1551" s="7" t="s">
        <v>144</v>
      </c>
      <c r="V1551" s="7" t="str">
        <f>VLOOKUP(U1551,Jogadores!B:C,2,0)</f>
        <v>MF</v>
      </c>
      <c r="W1551" s="8">
        <f>VLOOKUP(U1551,Jogadores!B:D,3,0)</f>
        <v>21.24931507</v>
      </c>
      <c r="X1551" s="7">
        <v>59.0</v>
      </c>
      <c r="Y1551" s="7">
        <f t="shared" si="4847"/>
        <v>98</v>
      </c>
      <c r="Z1551" s="7">
        <f>VLOOKUP(A1551,Jogos!A:L,3,0)</f>
        <v>53</v>
      </c>
      <c r="AA1551" s="7">
        <f t="shared" si="4815"/>
        <v>0</v>
      </c>
      <c r="AB1551" s="7">
        <f>VLOOKUP(A1551,Jogos!A:L,4,0)</f>
        <v>53</v>
      </c>
      <c r="AC1551" s="7">
        <f t="shared" si="4816"/>
        <v>39</v>
      </c>
      <c r="AD1551" s="7"/>
      <c r="AE1551" s="7"/>
      <c r="AF1551" s="7">
        <f t="shared" si="4566"/>
        <v>39</v>
      </c>
      <c r="AG1551" s="7">
        <v>5045.1</v>
      </c>
      <c r="AH1551" s="7">
        <v>1322.5</v>
      </c>
      <c r="AI1551" s="7">
        <v>1990.4</v>
      </c>
      <c r="AJ1551" s="7">
        <v>1221.1</v>
      </c>
      <c r="AK1551" s="7">
        <v>475.4</v>
      </c>
      <c r="AL1551" s="7">
        <v>35.6</v>
      </c>
      <c r="AM1551" s="7">
        <v>88.0</v>
      </c>
      <c r="AN1551" s="7">
        <v>25.0</v>
      </c>
      <c r="AO1551" s="7">
        <v>27.8</v>
      </c>
      <c r="AP1551" s="9">
        <f t="shared" ref="AP1551:AR1551" si="4860">AG1551/$AF1551</f>
        <v>129.3615385</v>
      </c>
      <c r="AQ1551" s="9">
        <f t="shared" si="4860"/>
        <v>33.91025641</v>
      </c>
      <c r="AR1551" s="9">
        <f t="shared" si="4860"/>
        <v>51.03589744</v>
      </c>
      <c r="AS1551" s="9">
        <f t="shared" si="4568"/>
        <v>84.94615385</v>
      </c>
      <c r="AT1551" s="9">
        <f t="shared" ref="AT1551:AV1551" si="4861">AJ1551/$AF1551</f>
        <v>31.31025641</v>
      </c>
      <c r="AU1551" s="9">
        <f t="shared" si="4861"/>
        <v>12.18974359</v>
      </c>
      <c r="AV1551" s="9">
        <f t="shared" si="4861"/>
        <v>0.9128205128</v>
      </c>
      <c r="AW1551" s="9">
        <f t="shared" si="4570"/>
        <v>13.1025641</v>
      </c>
      <c r="AX1551" s="9">
        <f t="shared" ref="AX1551:AY1551" si="4862">AM1551/$AF1551</f>
        <v>2.256410256</v>
      </c>
      <c r="AY1551" s="9">
        <f t="shared" si="4862"/>
        <v>0.641025641</v>
      </c>
      <c r="AZ1551" s="9">
        <f>VLOOKUP(A1551,Jogos!A:BN,58,0)</f>
        <v>24.455</v>
      </c>
      <c r="BA1551" s="9">
        <f>VLOOKUP(A1551,Jogos!A:BN,59,0)</f>
        <v>22.125</v>
      </c>
      <c r="BB1551" s="9">
        <f>VLOOKUP(A1551,Jogos!A:BN,60,0)</f>
        <v>86.5</v>
      </c>
      <c r="BC1551" s="9">
        <f>VLOOKUP(A1551,Jogos!A:BN,61,0)</f>
        <v>22.335</v>
      </c>
      <c r="BD1551" s="9">
        <f>VLOOKUP(A1551,Jogos!A:BN,62,0)</f>
        <v>98.05</v>
      </c>
      <c r="BE1551" s="9">
        <f>VLOOKUP(A1551,Jogos!A:BN,63,0)</f>
        <v>1.2</v>
      </c>
      <c r="BF1551" s="9">
        <f>VLOOKUP(A1551,Jogos!A:BN,64,0)</f>
        <v>23.08</v>
      </c>
      <c r="BG1551" s="9">
        <f>VLOOKUP(A1551,Jogos!A:BN,65,0)</f>
        <v>39.65</v>
      </c>
      <c r="BH1551" s="9">
        <f>VLOOKUP(A1551,Jogos!A:BN,66,0)</f>
        <v>26.53</v>
      </c>
      <c r="BI1551" s="9"/>
      <c r="BJ1551" s="9"/>
    </row>
    <row r="1552" hidden="1">
      <c r="A1552" s="2">
        <v>53.0</v>
      </c>
      <c r="B1552" s="2" t="s">
        <v>1350</v>
      </c>
      <c r="C1552" s="2" t="s">
        <v>1351</v>
      </c>
      <c r="D1552" s="3">
        <v>45838.0</v>
      </c>
      <c r="E1552" s="4">
        <v>0.625</v>
      </c>
      <c r="F1552" s="5" t="str">
        <f>VLOOKUP(A1552,Jogos!A:N,10,0)</f>
        <v>Afternoon</v>
      </c>
      <c r="G1552" s="2" t="s">
        <v>1200</v>
      </c>
      <c r="H1552" s="6" t="str">
        <f>VLOOKUP(A1552,Jogos!A:L,12,0)</f>
        <v>Open</v>
      </c>
      <c r="I1552" s="6" t="str">
        <f>VLOOKUP(G1552,'Estádios e Cidades'!A:B,2,0)</f>
        <v>Charlotte</v>
      </c>
      <c r="J1552" s="2" t="s">
        <v>748</v>
      </c>
      <c r="K1552" s="2" t="str">
        <f>VLOOKUP(J1552,Equipes!A:F,6,0)</f>
        <v>Temperate</v>
      </c>
      <c r="L1552" s="2">
        <f>VLOOKUP(J1552,Equipes!A:C,3,0)</f>
        <v>12</v>
      </c>
      <c r="M1552" s="2" t="str">
        <f t="shared" si="4"/>
        <v>Round of 16</v>
      </c>
      <c r="N1552" s="2" t="s">
        <v>563</v>
      </c>
      <c r="O1552" s="2">
        <f>VLOOKUP(N1552,Equipes!A:C,3,0)</f>
        <v>4</v>
      </c>
      <c r="P1552" s="2" t="str">
        <f t="shared" si="5"/>
        <v>Semi-final</v>
      </c>
      <c r="Q1552" s="2">
        <f t="shared" si="6"/>
        <v>8</v>
      </c>
      <c r="R1552" s="2" t="str">
        <f>VLOOKUP(J1552,Equipes!A:B,2,0)</f>
        <v>InterMilano</v>
      </c>
      <c r="S1552" s="6" t="s">
        <v>1309</v>
      </c>
      <c r="T1552" s="7">
        <v>2.0</v>
      </c>
      <c r="U1552" s="7" t="s">
        <v>1310</v>
      </c>
      <c r="V1552" s="7" t="s">
        <v>1311</v>
      </c>
      <c r="W1552" s="8">
        <f>VLOOKUP(U1552,Jogadores!B:D,3,0)</f>
        <v>29.29589041</v>
      </c>
      <c r="X1552" s="7">
        <v>0.0</v>
      </c>
      <c r="Y1552" s="7">
        <v>53.0</v>
      </c>
      <c r="Z1552" s="7">
        <f>VLOOKUP(A1552,Jogos!A:L,3,0)</f>
        <v>53</v>
      </c>
      <c r="AA1552" s="7">
        <f t="shared" si="4815"/>
        <v>53</v>
      </c>
      <c r="AB1552" s="7">
        <f>VLOOKUP(A1552,Jogos!A:L,4,0)</f>
        <v>52</v>
      </c>
      <c r="AC1552" s="7">
        <f t="shared" si="4816"/>
        <v>8</v>
      </c>
      <c r="AD1552" s="7"/>
      <c r="AE1552" s="7"/>
      <c r="AF1552" s="7">
        <f t="shared" si="4566"/>
        <v>61</v>
      </c>
      <c r="AG1552" s="7">
        <v>5114.6</v>
      </c>
      <c r="AH1552" s="7">
        <v>2625.1</v>
      </c>
      <c r="AI1552" s="7">
        <v>1745.7</v>
      </c>
      <c r="AJ1552" s="7">
        <v>471.8</v>
      </c>
      <c r="AK1552" s="7">
        <v>247.6</v>
      </c>
      <c r="AL1552" s="7">
        <v>24.5</v>
      </c>
      <c r="AM1552" s="7">
        <v>44.0</v>
      </c>
      <c r="AN1552" s="7">
        <v>19.0</v>
      </c>
      <c r="AO1552" s="7">
        <v>28.1</v>
      </c>
      <c r="AP1552" s="9">
        <f t="shared" ref="AP1552:AR1552" si="4863">AG1552/$AF1552</f>
        <v>83.84590164</v>
      </c>
      <c r="AQ1552" s="9">
        <f t="shared" si="4863"/>
        <v>43.03442623</v>
      </c>
      <c r="AR1552" s="9">
        <f t="shared" si="4863"/>
        <v>28.61803279</v>
      </c>
      <c r="AS1552" s="9">
        <f t="shared" si="4568"/>
        <v>71.65245902</v>
      </c>
      <c r="AT1552" s="9">
        <f t="shared" ref="AT1552:AV1552" si="4864">AJ1552/$AF1552</f>
        <v>7.73442623</v>
      </c>
      <c r="AU1552" s="9">
        <f t="shared" si="4864"/>
        <v>4.059016393</v>
      </c>
      <c r="AV1552" s="9">
        <f t="shared" si="4864"/>
        <v>0.4016393443</v>
      </c>
      <c r="AW1552" s="9">
        <f t="shared" si="4570"/>
        <v>4.460655738</v>
      </c>
      <c r="AX1552" s="9">
        <f t="shared" ref="AX1552:AY1552" si="4865">AM1552/$AF1552</f>
        <v>0.7213114754</v>
      </c>
      <c r="AY1552" s="9">
        <f t="shared" si="4865"/>
        <v>0.3114754098</v>
      </c>
      <c r="AZ1552" s="9">
        <f>VLOOKUP(A1552,Jogos!A:BN,58,0)</f>
        <v>31.49</v>
      </c>
      <c r="BA1552" s="9">
        <f>VLOOKUP(A1552,Jogos!A:BN,59,0)</f>
        <v>22.745</v>
      </c>
      <c r="BB1552" s="9">
        <f>VLOOKUP(A1552,Jogos!A:BN,60,0)</f>
        <v>59.5</v>
      </c>
      <c r="BC1552" s="9">
        <f>VLOOKUP(A1552,Jogos!A:BN,61,0)</f>
        <v>32.915</v>
      </c>
      <c r="BD1552" s="9">
        <f>VLOOKUP(A1552,Jogos!A:BN,62,0)</f>
        <v>538.15</v>
      </c>
      <c r="BE1552" s="9">
        <f>VLOOKUP(A1552,Jogos!A:BN,63,0)</f>
        <v>2.19</v>
      </c>
      <c r="BF1552" s="9">
        <f>VLOOKUP(A1552,Jogos!A:BN,64,0)</f>
        <v>25.92</v>
      </c>
      <c r="BG1552" s="9">
        <f>VLOOKUP(A1552,Jogos!A:BN,65,0)</f>
        <v>46.05</v>
      </c>
      <c r="BH1552" s="9">
        <f>VLOOKUP(A1552,Jogos!A:BN,66,0)</f>
        <v>30.505</v>
      </c>
      <c r="BI1552" s="9"/>
      <c r="BJ1552" s="9"/>
    </row>
    <row r="1553" hidden="1">
      <c r="A1553" s="2">
        <v>53.0</v>
      </c>
      <c r="B1553" s="2" t="s">
        <v>1350</v>
      </c>
      <c r="C1553" s="2" t="s">
        <v>1351</v>
      </c>
      <c r="D1553" s="3">
        <v>45838.0</v>
      </c>
      <c r="E1553" s="4">
        <v>0.625</v>
      </c>
      <c r="F1553" s="5" t="str">
        <f>VLOOKUP(A1553,Jogos!A:N,10,0)</f>
        <v>Afternoon</v>
      </c>
      <c r="G1553" s="2" t="s">
        <v>1200</v>
      </c>
      <c r="H1553" s="6" t="str">
        <f>VLOOKUP(A1553,Jogos!A:L,12,0)</f>
        <v>Open</v>
      </c>
      <c r="I1553" s="6" t="str">
        <f>VLOOKUP(G1553,'Estádios e Cidades'!A:B,2,0)</f>
        <v>Charlotte</v>
      </c>
      <c r="J1553" s="2" t="s">
        <v>748</v>
      </c>
      <c r="K1553" s="2" t="str">
        <f>VLOOKUP(J1553,Equipes!A:F,6,0)</f>
        <v>Temperate</v>
      </c>
      <c r="L1553" s="2">
        <f>VLOOKUP(J1553,Equipes!A:C,3,0)</f>
        <v>12</v>
      </c>
      <c r="M1553" s="2" t="str">
        <f t="shared" si="4"/>
        <v>Round of 16</v>
      </c>
      <c r="N1553" s="2" t="s">
        <v>563</v>
      </c>
      <c r="O1553" s="2">
        <f>VLOOKUP(N1553,Equipes!A:C,3,0)</f>
        <v>4</v>
      </c>
      <c r="P1553" s="2" t="str">
        <f t="shared" si="5"/>
        <v>Semi-final</v>
      </c>
      <c r="Q1553" s="2">
        <f t="shared" si="6"/>
        <v>8</v>
      </c>
      <c r="R1553" s="2" t="str">
        <f>VLOOKUP(J1553,Equipes!A:B,2,0)</f>
        <v>InterMilano</v>
      </c>
      <c r="S1553" s="6" t="s">
        <v>1158</v>
      </c>
      <c r="T1553" s="7">
        <v>6.0</v>
      </c>
      <c r="U1553" s="7" t="s">
        <v>1159</v>
      </c>
      <c r="V1553" s="7" t="str">
        <f>VLOOKUP(U1553,Jogadores!B:C,2,0)</f>
        <v>DF</v>
      </c>
      <c r="W1553" s="8">
        <f>VLOOKUP(U1553,Jogadores!B:D,3,0)</f>
        <v>33.49863014</v>
      </c>
      <c r="X1553" s="7">
        <v>0.0</v>
      </c>
      <c r="Y1553" s="7">
        <f>45+AB1553</f>
        <v>97</v>
      </c>
      <c r="Z1553" s="7">
        <f>VLOOKUP(A1553,Jogos!A:L,3,0)</f>
        <v>53</v>
      </c>
      <c r="AA1553" s="7">
        <f t="shared" si="4815"/>
        <v>53</v>
      </c>
      <c r="AB1553" s="7">
        <f>VLOOKUP(A1553,Jogos!A:L,4,0)</f>
        <v>52</v>
      </c>
      <c r="AC1553" s="7">
        <f t="shared" si="4816"/>
        <v>52</v>
      </c>
      <c r="AD1553" s="7"/>
      <c r="AE1553" s="7"/>
      <c r="AF1553" s="7">
        <f t="shared" si="4566"/>
        <v>105</v>
      </c>
      <c r="AG1553" s="7">
        <v>9405.2</v>
      </c>
      <c r="AH1553" s="7">
        <v>4276.5</v>
      </c>
      <c r="AI1553" s="7">
        <v>3453.7</v>
      </c>
      <c r="AJ1553" s="7">
        <v>1111.5</v>
      </c>
      <c r="AK1553" s="7">
        <v>439.0</v>
      </c>
      <c r="AL1553" s="7">
        <v>124.5</v>
      </c>
      <c r="AM1553" s="7">
        <v>100.0</v>
      </c>
      <c r="AN1553" s="7">
        <v>32.0</v>
      </c>
      <c r="AO1553" s="7">
        <v>32.1</v>
      </c>
      <c r="AP1553" s="9">
        <f t="shared" ref="AP1553:AR1553" si="4866">AG1553/$AF1553</f>
        <v>89.57333333</v>
      </c>
      <c r="AQ1553" s="9">
        <f t="shared" si="4866"/>
        <v>40.72857143</v>
      </c>
      <c r="AR1553" s="9">
        <f t="shared" si="4866"/>
        <v>32.89238095</v>
      </c>
      <c r="AS1553" s="9">
        <f t="shared" si="4568"/>
        <v>73.62095238</v>
      </c>
      <c r="AT1553" s="9">
        <f t="shared" ref="AT1553:AV1553" si="4867">AJ1553/$AF1553</f>
        <v>10.58571429</v>
      </c>
      <c r="AU1553" s="9">
        <f t="shared" si="4867"/>
        <v>4.180952381</v>
      </c>
      <c r="AV1553" s="9">
        <f t="shared" si="4867"/>
        <v>1.185714286</v>
      </c>
      <c r="AW1553" s="9">
        <f t="shared" si="4570"/>
        <v>5.366666667</v>
      </c>
      <c r="AX1553" s="9">
        <f t="shared" ref="AX1553:AY1553" si="4868">AM1553/$AF1553</f>
        <v>0.9523809524</v>
      </c>
      <c r="AY1553" s="9">
        <f t="shared" si="4868"/>
        <v>0.3047619048</v>
      </c>
      <c r="AZ1553" s="9">
        <f>VLOOKUP(A1553,Jogos!A:BN,58,0)</f>
        <v>31.49</v>
      </c>
      <c r="BA1553" s="9">
        <f>VLOOKUP(A1553,Jogos!A:BN,59,0)</f>
        <v>22.745</v>
      </c>
      <c r="BB1553" s="9">
        <f>VLOOKUP(A1553,Jogos!A:BN,60,0)</f>
        <v>59.5</v>
      </c>
      <c r="BC1553" s="9">
        <f>VLOOKUP(A1553,Jogos!A:BN,61,0)</f>
        <v>32.915</v>
      </c>
      <c r="BD1553" s="9">
        <f>VLOOKUP(A1553,Jogos!A:BN,62,0)</f>
        <v>538.15</v>
      </c>
      <c r="BE1553" s="9">
        <f>VLOOKUP(A1553,Jogos!A:BN,63,0)</f>
        <v>2.19</v>
      </c>
      <c r="BF1553" s="9">
        <f>VLOOKUP(A1553,Jogos!A:BN,64,0)</f>
        <v>25.92</v>
      </c>
      <c r="BG1553" s="9">
        <f>VLOOKUP(A1553,Jogos!A:BN,65,0)</f>
        <v>46.05</v>
      </c>
      <c r="BH1553" s="9">
        <f>VLOOKUP(A1553,Jogos!A:BN,66,0)</f>
        <v>30.505</v>
      </c>
      <c r="BI1553" s="9"/>
      <c r="BJ1553" s="9"/>
    </row>
    <row r="1554" hidden="1">
      <c r="A1554" s="2">
        <v>53.0</v>
      </c>
      <c r="B1554" s="2" t="s">
        <v>1350</v>
      </c>
      <c r="C1554" s="2" t="s">
        <v>1351</v>
      </c>
      <c r="D1554" s="3">
        <v>45838.0</v>
      </c>
      <c r="E1554" s="4">
        <v>0.625</v>
      </c>
      <c r="F1554" s="5" t="str">
        <f>VLOOKUP(A1554,Jogos!A:N,10,0)</f>
        <v>Afternoon</v>
      </c>
      <c r="G1554" s="2" t="s">
        <v>1200</v>
      </c>
      <c r="H1554" s="6" t="str">
        <f>VLOOKUP(A1554,Jogos!A:L,12,0)</f>
        <v>Open</v>
      </c>
      <c r="I1554" s="6" t="str">
        <f>VLOOKUP(G1554,'Estádios e Cidades'!A:B,2,0)</f>
        <v>Charlotte</v>
      </c>
      <c r="J1554" s="2" t="s">
        <v>748</v>
      </c>
      <c r="K1554" s="2" t="str">
        <f>VLOOKUP(J1554,Equipes!A:F,6,0)</f>
        <v>Temperate</v>
      </c>
      <c r="L1554" s="2">
        <f>VLOOKUP(J1554,Equipes!A:C,3,0)</f>
        <v>12</v>
      </c>
      <c r="M1554" s="2" t="str">
        <f t="shared" si="4"/>
        <v>Round of 16</v>
      </c>
      <c r="N1554" s="2" t="s">
        <v>563</v>
      </c>
      <c r="O1554" s="2">
        <f>VLOOKUP(N1554,Equipes!A:C,3,0)</f>
        <v>4</v>
      </c>
      <c r="P1554" s="2" t="str">
        <f t="shared" si="5"/>
        <v>Semi-final</v>
      </c>
      <c r="Q1554" s="2">
        <f t="shared" si="6"/>
        <v>8</v>
      </c>
      <c r="R1554" s="2" t="str">
        <f>VLOOKUP(J1554,Equipes!A:B,2,0)</f>
        <v>InterMilano</v>
      </c>
      <c r="S1554" s="6" t="s">
        <v>801</v>
      </c>
      <c r="T1554" s="7">
        <v>9.0</v>
      </c>
      <c r="U1554" s="7" t="s">
        <v>802</v>
      </c>
      <c r="V1554" s="7" t="str">
        <f>VLOOKUP(U1554,Jogadores!B:C,2,0)</f>
        <v>FW</v>
      </c>
      <c r="W1554" s="8">
        <f>VLOOKUP(U1554,Jogadores!B:D,3,0)</f>
        <v>27.99452055</v>
      </c>
      <c r="X1554" s="7">
        <v>0.0</v>
      </c>
      <c r="Y1554" s="7">
        <v>66.0</v>
      </c>
      <c r="Z1554" s="7">
        <f>VLOOKUP(A1554,Jogos!A:L,3,0)</f>
        <v>53</v>
      </c>
      <c r="AA1554" s="7">
        <f t="shared" si="4815"/>
        <v>53</v>
      </c>
      <c r="AB1554" s="7">
        <f>VLOOKUP(A1554,Jogos!A:L,4,0)</f>
        <v>52</v>
      </c>
      <c r="AC1554" s="7">
        <f t="shared" si="4816"/>
        <v>21</v>
      </c>
      <c r="AD1554" s="7"/>
      <c r="AE1554" s="7"/>
      <c r="AF1554" s="7">
        <f t="shared" si="4566"/>
        <v>74</v>
      </c>
      <c r="AG1554" s="7">
        <v>6755.6</v>
      </c>
      <c r="AH1554" s="7">
        <v>2815.9</v>
      </c>
      <c r="AI1554" s="7">
        <v>2683.5</v>
      </c>
      <c r="AJ1554" s="7">
        <v>811.3</v>
      </c>
      <c r="AK1554" s="7">
        <v>353.8</v>
      </c>
      <c r="AL1554" s="7">
        <v>91.2</v>
      </c>
      <c r="AM1554" s="7">
        <v>75.0</v>
      </c>
      <c r="AN1554" s="7">
        <v>31.0</v>
      </c>
      <c r="AO1554" s="7">
        <v>29.5</v>
      </c>
      <c r="AP1554" s="9">
        <f t="shared" ref="AP1554:AR1554" si="4869">AG1554/$AF1554</f>
        <v>91.29189189</v>
      </c>
      <c r="AQ1554" s="9">
        <f t="shared" si="4869"/>
        <v>38.0527027</v>
      </c>
      <c r="AR1554" s="9">
        <f t="shared" si="4869"/>
        <v>36.26351351</v>
      </c>
      <c r="AS1554" s="9">
        <f t="shared" si="4568"/>
        <v>74.31621622</v>
      </c>
      <c r="AT1554" s="9">
        <f t="shared" ref="AT1554:AV1554" si="4870">AJ1554/$AF1554</f>
        <v>10.96351351</v>
      </c>
      <c r="AU1554" s="9">
        <f t="shared" si="4870"/>
        <v>4.781081081</v>
      </c>
      <c r="AV1554" s="9">
        <f t="shared" si="4870"/>
        <v>1.232432432</v>
      </c>
      <c r="AW1554" s="9">
        <f t="shared" si="4570"/>
        <v>6.013513514</v>
      </c>
      <c r="AX1554" s="9">
        <f t="shared" ref="AX1554:AY1554" si="4871">AM1554/$AF1554</f>
        <v>1.013513514</v>
      </c>
      <c r="AY1554" s="9">
        <f t="shared" si="4871"/>
        <v>0.4189189189</v>
      </c>
      <c r="AZ1554" s="9">
        <f>VLOOKUP(A1554,Jogos!A:BN,58,0)</f>
        <v>31.49</v>
      </c>
      <c r="BA1554" s="9">
        <f>VLOOKUP(A1554,Jogos!A:BN,59,0)</f>
        <v>22.745</v>
      </c>
      <c r="BB1554" s="9">
        <f>VLOOKUP(A1554,Jogos!A:BN,60,0)</f>
        <v>59.5</v>
      </c>
      <c r="BC1554" s="9">
        <f>VLOOKUP(A1554,Jogos!A:BN,61,0)</f>
        <v>32.915</v>
      </c>
      <c r="BD1554" s="9">
        <f>VLOOKUP(A1554,Jogos!A:BN,62,0)</f>
        <v>538.15</v>
      </c>
      <c r="BE1554" s="9">
        <f>VLOOKUP(A1554,Jogos!A:BN,63,0)</f>
        <v>2.19</v>
      </c>
      <c r="BF1554" s="9">
        <f>VLOOKUP(A1554,Jogos!A:BN,64,0)</f>
        <v>25.92</v>
      </c>
      <c r="BG1554" s="9">
        <f>VLOOKUP(A1554,Jogos!A:BN,65,0)</f>
        <v>46.05</v>
      </c>
      <c r="BH1554" s="9">
        <f>VLOOKUP(A1554,Jogos!A:BN,66,0)</f>
        <v>30.505</v>
      </c>
      <c r="BI1554" s="9"/>
      <c r="BJ1554" s="9"/>
    </row>
    <row r="1555" hidden="1">
      <c r="A1555" s="2">
        <v>53.0</v>
      </c>
      <c r="B1555" s="2" t="s">
        <v>1350</v>
      </c>
      <c r="C1555" s="2" t="s">
        <v>1351</v>
      </c>
      <c r="D1555" s="3">
        <v>45838.0</v>
      </c>
      <c r="E1555" s="4">
        <v>0.625</v>
      </c>
      <c r="F1555" s="5" t="str">
        <f>VLOOKUP(A1555,Jogos!A:N,10,0)</f>
        <v>Afternoon</v>
      </c>
      <c r="G1555" s="2" t="s">
        <v>1200</v>
      </c>
      <c r="H1555" s="6" t="str">
        <f>VLOOKUP(A1555,Jogos!A:L,12,0)</f>
        <v>Open</v>
      </c>
      <c r="I1555" s="6" t="str">
        <f>VLOOKUP(G1555,'Estádios e Cidades'!A:B,2,0)</f>
        <v>Charlotte</v>
      </c>
      <c r="J1555" s="2" t="s">
        <v>748</v>
      </c>
      <c r="K1555" s="2" t="str">
        <f>VLOOKUP(J1555,Equipes!A:F,6,0)</f>
        <v>Temperate</v>
      </c>
      <c r="L1555" s="2">
        <f>VLOOKUP(J1555,Equipes!A:C,3,0)</f>
        <v>12</v>
      </c>
      <c r="M1555" s="2" t="str">
        <f t="shared" si="4"/>
        <v>Round of 16</v>
      </c>
      <c r="N1555" s="2" t="s">
        <v>563</v>
      </c>
      <c r="O1555" s="2">
        <f>VLOOKUP(N1555,Equipes!A:C,3,0)</f>
        <v>4</v>
      </c>
      <c r="P1555" s="2" t="str">
        <f t="shared" si="5"/>
        <v>Semi-final</v>
      </c>
      <c r="Q1555" s="2">
        <f t="shared" si="6"/>
        <v>8</v>
      </c>
      <c r="R1555" s="2" t="str">
        <f>VLOOKUP(J1555,Equipes!A:B,2,0)</f>
        <v>InterMilano</v>
      </c>
      <c r="S1555" s="6" t="s">
        <v>779</v>
      </c>
      <c r="T1555" s="7">
        <v>10.0</v>
      </c>
      <c r="U1555" s="7" t="s">
        <v>780</v>
      </c>
      <c r="V1555" s="7" t="str">
        <f>VLOOKUP(U1555,Jogadores!B:C,2,0)</f>
        <v>FW</v>
      </c>
      <c r="W1555" s="8">
        <f>VLOOKUP(U1555,Jogadores!B:D,3,0)</f>
        <v>27.95068493</v>
      </c>
      <c r="X1555" s="7">
        <v>0.0</v>
      </c>
      <c r="Y1555" s="7">
        <f>45+AB1555</f>
        <v>97</v>
      </c>
      <c r="Z1555" s="7">
        <f>VLOOKUP(A1555,Jogos!A:L,3,0)</f>
        <v>53</v>
      </c>
      <c r="AA1555" s="7">
        <f t="shared" si="4815"/>
        <v>53</v>
      </c>
      <c r="AB1555" s="7">
        <f>VLOOKUP(A1555,Jogos!A:L,4,0)</f>
        <v>52</v>
      </c>
      <c r="AC1555" s="7">
        <f t="shared" si="4816"/>
        <v>52</v>
      </c>
      <c r="AD1555" s="7"/>
      <c r="AE1555" s="7"/>
      <c r="AF1555" s="7">
        <f t="shared" si="4566"/>
        <v>105</v>
      </c>
      <c r="AG1555" s="7">
        <v>9358.6</v>
      </c>
      <c r="AH1555" s="7">
        <v>4373.6</v>
      </c>
      <c r="AI1555" s="7">
        <v>3693.2</v>
      </c>
      <c r="AJ1555" s="7">
        <v>905.8</v>
      </c>
      <c r="AK1555" s="7">
        <v>290.8</v>
      </c>
      <c r="AL1555" s="7">
        <v>95.3</v>
      </c>
      <c r="AM1555" s="7">
        <v>86.0</v>
      </c>
      <c r="AN1555" s="7">
        <v>23.0</v>
      </c>
      <c r="AO1555" s="7">
        <v>30.8</v>
      </c>
      <c r="AP1555" s="9">
        <f t="shared" ref="AP1555:AR1555" si="4872">AG1555/$AF1555</f>
        <v>89.12952381</v>
      </c>
      <c r="AQ1555" s="9">
        <f t="shared" si="4872"/>
        <v>41.65333333</v>
      </c>
      <c r="AR1555" s="9">
        <f t="shared" si="4872"/>
        <v>35.17333333</v>
      </c>
      <c r="AS1555" s="9">
        <f t="shared" si="4568"/>
        <v>76.82666667</v>
      </c>
      <c r="AT1555" s="9">
        <f t="shared" ref="AT1555:AV1555" si="4873">AJ1555/$AF1555</f>
        <v>8.626666667</v>
      </c>
      <c r="AU1555" s="9">
        <f t="shared" si="4873"/>
        <v>2.76952381</v>
      </c>
      <c r="AV1555" s="9">
        <f t="shared" si="4873"/>
        <v>0.9076190476</v>
      </c>
      <c r="AW1555" s="9">
        <f t="shared" si="4570"/>
        <v>3.677142857</v>
      </c>
      <c r="AX1555" s="9">
        <f t="shared" ref="AX1555:AY1555" si="4874">AM1555/$AF1555</f>
        <v>0.819047619</v>
      </c>
      <c r="AY1555" s="9">
        <f t="shared" si="4874"/>
        <v>0.219047619</v>
      </c>
      <c r="AZ1555" s="9">
        <f>VLOOKUP(A1555,Jogos!A:BN,58,0)</f>
        <v>31.49</v>
      </c>
      <c r="BA1555" s="9">
        <f>VLOOKUP(A1555,Jogos!A:BN,59,0)</f>
        <v>22.745</v>
      </c>
      <c r="BB1555" s="9">
        <f>VLOOKUP(A1555,Jogos!A:BN,60,0)</f>
        <v>59.5</v>
      </c>
      <c r="BC1555" s="9">
        <f>VLOOKUP(A1555,Jogos!A:BN,61,0)</f>
        <v>32.915</v>
      </c>
      <c r="BD1555" s="9">
        <f>VLOOKUP(A1555,Jogos!A:BN,62,0)</f>
        <v>538.15</v>
      </c>
      <c r="BE1555" s="9">
        <f>VLOOKUP(A1555,Jogos!A:BN,63,0)</f>
        <v>2.19</v>
      </c>
      <c r="BF1555" s="9">
        <f>VLOOKUP(A1555,Jogos!A:BN,64,0)</f>
        <v>25.92</v>
      </c>
      <c r="BG1555" s="9">
        <f>VLOOKUP(A1555,Jogos!A:BN,65,0)</f>
        <v>46.05</v>
      </c>
      <c r="BH1555" s="9">
        <f>VLOOKUP(A1555,Jogos!A:BN,66,0)</f>
        <v>30.505</v>
      </c>
      <c r="BI1555" s="9"/>
      <c r="BJ1555" s="9"/>
    </row>
    <row r="1556" hidden="1">
      <c r="A1556" s="2">
        <v>53.0</v>
      </c>
      <c r="B1556" s="2" t="s">
        <v>1350</v>
      </c>
      <c r="C1556" s="2" t="s">
        <v>1351</v>
      </c>
      <c r="D1556" s="3">
        <v>45838.0</v>
      </c>
      <c r="E1556" s="4">
        <v>0.625</v>
      </c>
      <c r="F1556" s="5" t="str">
        <f>VLOOKUP(A1556,Jogos!A:N,10,0)</f>
        <v>Afternoon</v>
      </c>
      <c r="G1556" s="2" t="s">
        <v>1200</v>
      </c>
      <c r="H1556" s="6" t="str">
        <f>VLOOKUP(A1556,Jogos!A:L,12,0)</f>
        <v>Open</v>
      </c>
      <c r="I1556" s="6" t="str">
        <f>VLOOKUP(G1556,'Estádios e Cidades'!A:B,2,0)</f>
        <v>Charlotte</v>
      </c>
      <c r="J1556" s="2" t="s">
        <v>748</v>
      </c>
      <c r="K1556" s="2" t="str">
        <f>VLOOKUP(J1556,Equipes!A:F,6,0)</f>
        <v>Temperate</v>
      </c>
      <c r="L1556" s="2">
        <f>VLOOKUP(J1556,Equipes!A:C,3,0)</f>
        <v>12</v>
      </c>
      <c r="M1556" s="2" t="str">
        <f t="shared" si="4"/>
        <v>Round of 16</v>
      </c>
      <c r="N1556" s="2" t="s">
        <v>563</v>
      </c>
      <c r="O1556" s="2">
        <f>VLOOKUP(N1556,Equipes!A:C,3,0)</f>
        <v>4</v>
      </c>
      <c r="P1556" s="2" t="str">
        <f t="shared" si="5"/>
        <v>Semi-final</v>
      </c>
      <c r="Q1556" s="2">
        <f t="shared" si="6"/>
        <v>8</v>
      </c>
      <c r="R1556" s="2" t="str">
        <f>VLOOKUP(J1556,Equipes!A:B,2,0)</f>
        <v>InterMilano</v>
      </c>
      <c r="S1556" s="6" t="s">
        <v>783</v>
      </c>
      <c r="T1556" s="7">
        <v>21.0</v>
      </c>
      <c r="U1556" s="7" t="s">
        <v>784</v>
      </c>
      <c r="V1556" s="7" t="str">
        <f>VLOOKUP(U1556,Jogadores!B:C,2,0)</f>
        <v>MF</v>
      </c>
      <c r="W1556" s="8">
        <f>VLOOKUP(U1556,Jogadores!B:D,3,0)</f>
        <v>23.40273973</v>
      </c>
      <c r="X1556" s="7">
        <v>0.0</v>
      </c>
      <c r="Y1556" s="7">
        <v>53.0</v>
      </c>
      <c r="Z1556" s="7">
        <f>VLOOKUP(A1556,Jogos!A:L,3,0)</f>
        <v>53</v>
      </c>
      <c r="AA1556" s="7">
        <f t="shared" si="4815"/>
        <v>53</v>
      </c>
      <c r="AB1556" s="7">
        <f>VLOOKUP(A1556,Jogos!A:L,4,0)</f>
        <v>52</v>
      </c>
      <c r="AC1556" s="7">
        <f t="shared" si="4816"/>
        <v>8</v>
      </c>
      <c r="AD1556" s="7"/>
      <c r="AE1556" s="7"/>
      <c r="AF1556" s="7">
        <f t="shared" si="4566"/>
        <v>61</v>
      </c>
      <c r="AG1556" s="7">
        <v>6284.5</v>
      </c>
      <c r="AH1556" s="7">
        <v>2077.0</v>
      </c>
      <c r="AI1556" s="7">
        <v>2986.0</v>
      </c>
      <c r="AJ1556" s="7">
        <v>998.8</v>
      </c>
      <c r="AK1556" s="7">
        <v>175.9</v>
      </c>
      <c r="AL1556" s="7">
        <v>46.8</v>
      </c>
      <c r="AM1556" s="7">
        <v>86.0</v>
      </c>
      <c r="AN1556" s="7">
        <v>14.0</v>
      </c>
      <c r="AO1556" s="7">
        <v>28.0</v>
      </c>
      <c r="AP1556" s="9">
        <f t="shared" ref="AP1556:AR1556" si="4875">AG1556/$AF1556</f>
        <v>103.0245902</v>
      </c>
      <c r="AQ1556" s="9">
        <f t="shared" si="4875"/>
        <v>34.04918033</v>
      </c>
      <c r="AR1556" s="9">
        <f t="shared" si="4875"/>
        <v>48.95081967</v>
      </c>
      <c r="AS1556" s="9">
        <f t="shared" si="4568"/>
        <v>83</v>
      </c>
      <c r="AT1556" s="9">
        <f t="shared" ref="AT1556:AV1556" si="4876">AJ1556/$AF1556</f>
        <v>16.37377049</v>
      </c>
      <c r="AU1556" s="9">
        <f t="shared" si="4876"/>
        <v>2.883606557</v>
      </c>
      <c r="AV1556" s="9">
        <f t="shared" si="4876"/>
        <v>0.7672131148</v>
      </c>
      <c r="AW1556" s="9">
        <f t="shared" si="4570"/>
        <v>3.650819672</v>
      </c>
      <c r="AX1556" s="9">
        <f t="shared" ref="AX1556:AY1556" si="4877">AM1556/$AF1556</f>
        <v>1.409836066</v>
      </c>
      <c r="AY1556" s="9">
        <f t="shared" si="4877"/>
        <v>0.2295081967</v>
      </c>
      <c r="AZ1556" s="9">
        <f>VLOOKUP(A1556,Jogos!A:BN,58,0)</f>
        <v>31.49</v>
      </c>
      <c r="BA1556" s="9">
        <f>VLOOKUP(A1556,Jogos!A:BN,59,0)</f>
        <v>22.745</v>
      </c>
      <c r="BB1556" s="9">
        <f>VLOOKUP(A1556,Jogos!A:BN,60,0)</f>
        <v>59.5</v>
      </c>
      <c r="BC1556" s="9">
        <f>VLOOKUP(A1556,Jogos!A:BN,61,0)</f>
        <v>32.915</v>
      </c>
      <c r="BD1556" s="9">
        <f>VLOOKUP(A1556,Jogos!A:BN,62,0)</f>
        <v>538.15</v>
      </c>
      <c r="BE1556" s="9">
        <f>VLOOKUP(A1556,Jogos!A:BN,63,0)</f>
        <v>2.19</v>
      </c>
      <c r="BF1556" s="9">
        <f>VLOOKUP(A1556,Jogos!A:BN,64,0)</f>
        <v>25.92</v>
      </c>
      <c r="BG1556" s="9">
        <f>VLOOKUP(A1556,Jogos!A:BN,65,0)</f>
        <v>46.05</v>
      </c>
      <c r="BH1556" s="9">
        <f>VLOOKUP(A1556,Jogos!A:BN,66,0)</f>
        <v>30.505</v>
      </c>
      <c r="BI1556" s="9"/>
      <c r="BJ1556" s="9"/>
    </row>
    <row r="1557" hidden="1">
      <c r="A1557" s="2">
        <v>53.0</v>
      </c>
      <c r="B1557" s="2" t="s">
        <v>1350</v>
      </c>
      <c r="C1557" s="2" t="s">
        <v>1351</v>
      </c>
      <c r="D1557" s="3">
        <v>45838.0</v>
      </c>
      <c r="E1557" s="4">
        <v>0.625</v>
      </c>
      <c r="F1557" s="5" t="str">
        <f>VLOOKUP(A1557,Jogos!A:N,10,0)</f>
        <v>Afternoon</v>
      </c>
      <c r="G1557" s="2" t="s">
        <v>1200</v>
      </c>
      <c r="H1557" s="6" t="str">
        <f>VLOOKUP(A1557,Jogos!A:L,12,0)</f>
        <v>Open</v>
      </c>
      <c r="I1557" s="6" t="str">
        <f>VLOOKUP(G1557,'Estádios e Cidades'!A:B,2,0)</f>
        <v>Charlotte</v>
      </c>
      <c r="J1557" s="2" t="s">
        <v>748</v>
      </c>
      <c r="K1557" s="2" t="str">
        <f>VLOOKUP(J1557,Equipes!A:F,6,0)</f>
        <v>Temperate</v>
      </c>
      <c r="L1557" s="2">
        <f>VLOOKUP(J1557,Equipes!A:C,3,0)</f>
        <v>12</v>
      </c>
      <c r="M1557" s="2" t="str">
        <f t="shared" si="4"/>
        <v>Round of 16</v>
      </c>
      <c r="N1557" s="2" t="s">
        <v>563</v>
      </c>
      <c r="O1557" s="2">
        <f>VLOOKUP(N1557,Equipes!A:C,3,0)</f>
        <v>4</v>
      </c>
      <c r="P1557" s="2" t="str">
        <f t="shared" si="5"/>
        <v>Semi-final</v>
      </c>
      <c r="Q1557" s="2">
        <f t="shared" si="6"/>
        <v>8</v>
      </c>
      <c r="R1557" s="2" t="str">
        <f>VLOOKUP(J1557,Equipes!A:B,2,0)</f>
        <v>InterMilano</v>
      </c>
      <c r="S1557" s="6" t="s">
        <v>785</v>
      </c>
      <c r="T1557" s="7">
        <v>22.0</v>
      </c>
      <c r="U1557" s="7" t="s">
        <v>786</v>
      </c>
      <c r="V1557" s="7" t="str">
        <f>VLOOKUP(U1557,Jogadores!B:C,2,0)</f>
        <v>MF</v>
      </c>
      <c r="W1557" s="8">
        <f>VLOOKUP(U1557,Jogadores!B:D,3,0)</f>
        <v>36.53972603</v>
      </c>
      <c r="X1557" s="7">
        <v>0.0</v>
      </c>
      <c r="Y1557" s="7">
        <v>53.0</v>
      </c>
      <c r="Z1557" s="7">
        <f>VLOOKUP(A1557,Jogos!A:L,3,0)</f>
        <v>53</v>
      </c>
      <c r="AA1557" s="7">
        <f t="shared" si="4815"/>
        <v>53</v>
      </c>
      <c r="AB1557" s="7">
        <f>VLOOKUP(A1557,Jogos!A:L,4,0)</f>
        <v>52</v>
      </c>
      <c r="AC1557" s="7">
        <f t="shared" si="4816"/>
        <v>8</v>
      </c>
      <c r="AD1557" s="7"/>
      <c r="AE1557" s="7"/>
      <c r="AF1557" s="7">
        <f t="shared" si="4566"/>
        <v>61</v>
      </c>
      <c r="AG1557" s="7">
        <v>6269.1</v>
      </c>
      <c r="AH1557" s="7">
        <v>2290.4</v>
      </c>
      <c r="AI1557" s="7">
        <v>2485.7</v>
      </c>
      <c r="AJ1557" s="7">
        <v>1008.1</v>
      </c>
      <c r="AK1557" s="7">
        <v>383.7</v>
      </c>
      <c r="AL1557" s="7">
        <v>101.1</v>
      </c>
      <c r="AM1557" s="7">
        <v>87.0</v>
      </c>
      <c r="AN1557" s="7">
        <v>31.0</v>
      </c>
      <c r="AO1557" s="7">
        <v>28.9</v>
      </c>
      <c r="AP1557" s="9">
        <f t="shared" ref="AP1557:AR1557" si="4878">AG1557/$AF1557</f>
        <v>102.7721311</v>
      </c>
      <c r="AQ1557" s="9">
        <f t="shared" si="4878"/>
        <v>37.54754098</v>
      </c>
      <c r="AR1557" s="9">
        <f t="shared" si="4878"/>
        <v>40.74918033</v>
      </c>
      <c r="AS1557" s="9">
        <f t="shared" si="4568"/>
        <v>78.29672131</v>
      </c>
      <c r="AT1557" s="9">
        <f t="shared" ref="AT1557:AV1557" si="4879">AJ1557/$AF1557</f>
        <v>16.52622951</v>
      </c>
      <c r="AU1557" s="9">
        <f t="shared" si="4879"/>
        <v>6.290163934</v>
      </c>
      <c r="AV1557" s="9">
        <f t="shared" si="4879"/>
        <v>1.657377049</v>
      </c>
      <c r="AW1557" s="9">
        <f t="shared" si="4570"/>
        <v>7.947540984</v>
      </c>
      <c r="AX1557" s="9">
        <f t="shared" ref="AX1557:AY1557" si="4880">AM1557/$AF1557</f>
        <v>1.426229508</v>
      </c>
      <c r="AY1557" s="9">
        <f t="shared" si="4880"/>
        <v>0.5081967213</v>
      </c>
      <c r="AZ1557" s="9">
        <f>VLOOKUP(A1557,Jogos!A:BN,58,0)</f>
        <v>31.49</v>
      </c>
      <c r="BA1557" s="9">
        <f>VLOOKUP(A1557,Jogos!A:BN,59,0)</f>
        <v>22.745</v>
      </c>
      <c r="BB1557" s="9">
        <f>VLOOKUP(A1557,Jogos!A:BN,60,0)</f>
        <v>59.5</v>
      </c>
      <c r="BC1557" s="9">
        <f>VLOOKUP(A1557,Jogos!A:BN,61,0)</f>
        <v>32.915</v>
      </c>
      <c r="BD1557" s="9">
        <f>VLOOKUP(A1557,Jogos!A:BN,62,0)</f>
        <v>538.15</v>
      </c>
      <c r="BE1557" s="9">
        <f>VLOOKUP(A1557,Jogos!A:BN,63,0)</f>
        <v>2.19</v>
      </c>
      <c r="BF1557" s="9">
        <f>VLOOKUP(A1557,Jogos!A:BN,64,0)</f>
        <v>25.92</v>
      </c>
      <c r="BG1557" s="9">
        <f>VLOOKUP(A1557,Jogos!A:BN,65,0)</f>
        <v>46.05</v>
      </c>
      <c r="BH1557" s="9">
        <f>VLOOKUP(A1557,Jogos!A:BN,66,0)</f>
        <v>30.505</v>
      </c>
      <c r="BI1557" s="9"/>
      <c r="BJ1557" s="9"/>
    </row>
    <row r="1558" hidden="1">
      <c r="A1558" s="2">
        <v>53.0</v>
      </c>
      <c r="B1558" s="2" t="s">
        <v>1350</v>
      </c>
      <c r="C1558" s="2" t="s">
        <v>1351</v>
      </c>
      <c r="D1558" s="3">
        <v>45838.0</v>
      </c>
      <c r="E1558" s="4">
        <v>0.625</v>
      </c>
      <c r="F1558" s="5" t="str">
        <f>VLOOKUP(A1558,Jogos!A:N,10,0)</f>
        <v>Afternoon</v>
      </c>
      <c r="G1558" s="2" t="s">
        <v>1200</v>
      </c>
      <c r="H1558" s="6" t="str">
        <f>VLOOKUP(A1558,Jogos!A:L,12,0)</f>
        <v>Open</v>
      </c>
      <c r="I1558" s="6" t="str">
        <f>VLOOKUP(G1558,'Estádios e Cidades'!A:B,2,0)</f>
        <v>Charlotte</v>
      </c>
      <c r="J1558" s="2" t="s">
        <v>748</v>
      </c>
      <c r="K1558" s="2" t="str">
        <f>VLOOKUP(J1558,Equipes!A:F,6,0)</f>
        <v>Temperate</v>
      </c>
      <c r="L1558" s="2">
        <f>VLOOKUP(J1558,Equipes!A:C,3,0)</f>
        <v>12</v>
      </c>
      <c r="M1558" s="2" t="str">
        <f t="shared" si="4"/>
        <v>Round of 16</v>
      </c>
      <c r="N1558" s="2" t="s">
        <v>563</v>
      </c>
      <c r="O1558" s="2">
        <f>VLOOKUP(N1558,Equipes!A:C,3,0)</f>
        <v>4</v>
      </c>
      <c r="P1558" s="2" t="str">
        <f t="shared" si="5"/>
        <v>Semi-final</v>
      </c>
      <c r="Q1558" s="2">
        <f t="shared" si="6"/>
        <v>8</v>
      </c>
      <c r="R1558" s="2" t="str">
        <f>VLOOKUP(J1558,Equipes!A:B,2,0)</f>
        <v>InterMilano</v>
      </c>
      <c r="S1558" s="6" t="s">
        <v>787</v>
      </c>
      <c r="T1558" s="7">
        <v>23.0</v>
      </c>
      <c r="U1558" s="7" t="s">
        <v>788</v>
      </c>
      <c r="V1558" s="7" t="str">
        <f>VLOOKUP(U1558,Jogadores!B:C,2,0)</f>
        <v>MF</v>
      </c>
      <c r="W1558" s="8">
        <f>VLOOKUP(U1558,Jogadores!B:D,3,0)</f>
        <v>28.48767123</v>
      </c>
      <c r="X1558" s="7">
        <v>0.0</v>
      </c>
      <c r="Y1558" s="7">
        <f t="shared" ref="Y1558:Y1560" si="4884">45+AB1558</f>
        <v>97</v>
      </c>
      <c r="Z1558" s="7">
        <f>VLOOKUP(A1558,Jogos!A:L,3,0)</f>
        <v>53</v>
      </c>
      <c r="AA1558" s="7">
        <f t="shared" si="4815"/>
        <v>53</v>
      </c>
      <c r="AB1558" s="7">
        <f>VLOOKUP(A1558,Jogos!A:L,4,0)</f>
        <v>52</v>
      </c>
      <c r="AC1558" s="7">
        <f t="shared" si="4816"/>
        <v>52</v>
      </c>
      <c r="AD1558" s="7"/>
      <c r="AE1558" s="7"/>
      <c r="AF1558" s="7">
        <f t="shared" si="4566"/>
        <v>105</v>
      </c>
      <c r="AG1558" s="7">
        <v>11142.4</v>
      </c>
      <c r="AH1558" s="7">
        <v>4876.0</v>
      </c>
      <c r="AI1558" s="7">
        <v>4543.8</v>
      </c>
      <c r="AJ1558" s="7">
        <v>1356.0</v>
      </c>
      <c r="AK1558" s="7">
        <v>299.8</v>
      </c>
      <c r="AL1558" s="7">
        <v>66.9</v>
      </c>
      <c r="AM1558" s="7">
        <v>117.0</v>
      </c>
      <c r="AN1558" s="7">
        <v>22.0</v>
      </c>
      <c r="AO1558" s="7">
        <v>33.6</v>
      </c>
      <c r="AP1558" s="9">
        <f t="shared" ref="AP1558:AR1558" si="4881">AG1558/$AF1558</f>
        <v>106.1180952</v>
      </c>
      <c r="AQ1558" s="9">
        <f t="shared" si="4881"/>
        <v>46.43809524</v>
      </c>
      <c r="AR1558" s="9">
        <f t="shared" si="4881"/>
        <v>43.27428571</v>
      </c>
      <c r="AS1558" s="9">
        <f t="shared" si="4568"/>
        <v>89.71238095</v>
      </c>
      <c r="AT1558" s="9">
        <f t="shared" ref="AT1558:AV1558" si="4882">AJ1558/$AF1558</f>
        <v>12.91428571</v>
      </c>
      <c r="AU1558" s="9">
        <f t="shared" si="4882"/>
        <v>2.855238095</v>
      </c>
      <c r="AV1558" s="9">
        <f t="shared" si="4882"/>
        <v>0.6371428571</v>
      </c>
      <c r="AW1558" s="9">
        <f t="shared" si="4570"/>
        <v>3.492380952</v>
      </c>
      <c r="AX1558" s="9">
        <f t="shared" ref="AX1558:AY1558" si="4883">AM1558/$AF1558</f>
        <v>1.114285714</v>
      </c>
      <c r="AY1558" s="9">
        <f t="shared" si="4883"/>
        <v>0.2095238095</v>
      </c>
      <c r="AZ1558" s="9">
        <f>VLOOKUP(A1558,Jogos!A:BN,58,0)</f>
        <v>31.49</v>
      </c>
      <c r="BA1558" s="9">
        <f>VLOOKUP(A1558,Jogos!A:BN,59,0)</f>
        <v>22.745</v>
      </c>
      <c r="BB1558" s="9">
        <f>VLOOKUP(A1558,Jogos!A:BN,60,0)</f>
        <v>59.5</v>
      </c>
      <c r="BC1558" s="9">
        <f>VLOOKUP(A1558,Jogos!A:BN,61,0)</f>
        <v>32.915</v>
      </c>
      <c r="BD1558" s="9">
        <f>VLOOKUP(A1558,Jogos!A:BN,62,0)</f>
        <v>538.15</v>
      </c>
      <c r="BE1558" s="9">
        <f>VLOOKUP(A1558,Jogos!A:BN,63,0)</f>
        <v>2.19</v>
      </c>
      <c r="BF1558" s="9">
        <f>VLOOKUP(A1558,Jogos!A:BN,64,0)</f>
        <v>25.92</v>
      </c>
      <c r="BG1558" s="9">
        <f>VLOOKUP(A1558,Jogos!A:BN,65,0)</f>
        <v>46.05</v>
      </c>
      <c r="BH1558" s="9">
        <f>VLOOKUP(A1558,Jogos!A:BN,66,0)</f>
        <v>30.505</v>
      </c>
      <c r="BI1558" s="9"/>
      <c r="BJ1558" s="9"/>
    </row>
    <row r="1559" hidden="1">
      <c r="A1559" s="2">
        <v>53.0</v>
      </c>
      <c r="B1559" s="2" t="s">
        <v>1350</v>
      </c>
      <c r="C1559" s="2" t="s">
        <v>1351</v>
      </c>
      <c r="D1559" s="3">
        <v>45838.0</v>
      </c>
      <c r="E1559" s="4">
        <v>0.625</v>
      </c>
      <c r="F1559" s="5" t="str">
        <f>VLOOKUP(A1559,Jogos!A:N,10,0)</f>
        <v>Afternoon</v>
      </c>
      <c r="G1559" s="2" t="s">
        <v>1200</v>
      </c>
      <c r="H1559" s="6" t="str">
        <f>VLOOKUP(A1559,Jogos!A:L,12,0)</f>
        <v>Open</v>
      </c>
      <c r="I1559" s="6" t="str">
        <f>VLOOKUP(G1559,'Estádios e Cidades'!A:B,2,0)</f>
        <v>Charlotte</v>
      </c>
      <c r="J1559" s="2" t="s">
        <v>748</v>
      </c>
      <c r="K1559" s="2" t="str">
        <f>VLOOKUP(J1559,Equipes!A:F,6,0)</f>
        <v>Temperate</v>
      </c>
      <c r="L1559" s="2">
        <f>VLOOKUP(J1559,Equipes!A:C,3,0)</f>
        <v>12</v>
      </c>
      <c r="M1559" s="2" t="str">
        <f t="shared" si="4"/>
        <v>Round of 16</v>
      </c>
      <c r="N1559" s="2" t="s">
        <v>563</v>
      </c>
      <c r="O1559" s="2">
        <f>VLOOKUP(N1559,Equipes!A:C,3,0)</f>
        <v>4</v>
      </c>
      <c r="P1559" s="2" t="str">
        <f t="shared" si="5"/>
        <v>Semi-final</v>
      </c>
      <c r="Q1559" s="2">
        <f t="shared" si="6"/>
        <v>8</v>
      </c>
      <c r="R1559" s="2" t="str">
        <f>VLOOKUP(J1559,Equipes!A:B,2,0)</f>
        <v>InterMilano</v>
      </c>
      <c r="S1559" s="6" t="s">
        <v>805</v>
      </c>
      <c r="T1559" s="7">
        <v>32.0</v>
      </c>
      <c r="U1559" s="7" t="s">
        <v>806</v>
      </c>
      <c r="V1559" s="7" t="str">
        <f>VLOOKUP(U1559,Jogadores!B:C,2,0)</f>
        <v>DF</v>
      </c>
      <c r="W1559" s="8">
        <f>VLOOKUP(U1559,Jogadores!B:D,3,0)</f>
        <v>27.73150685</v>
      </c>
      <c r="X1559" s="7">
        <v>0.0</v>
      </c>
      <c r="Y1559" s="7">
        <f t="shared" si="4884"/>
        <v>97</v>
      </c>
      <c r="Z1559" s="7">
        <f>VLOOKUP(A1559,Jogos!A:L,3,0)</f>
        <v>53</v>
      </c>
      <c r="AA1559" s="7">
        <f t="shared" si="4815"/>
        <v>53</v>
      </c>
      <c r="AB1559" s="7">
        <f>VLOOKUP(A1559,Jogos!A:L,4,0)</f>
        <v>52</v>
      </c>
      <c r="AC1559" s="7">
        <f t="shared" si="4816"/>
        <v>52</v>
      </c>
      <c r="AD1559" s="7"/>
      <c r="AE1559" s="7"/>
      <c r="AF1559" s="7">
        <f t="shared" si="4566"/>
        <v>105</v>
      </c>
      <c r="AG1559" s="7">
        <v>10001.4</v>
      </c>
      <c r="AH1559" s="7">
        <v>4354.1</v>
      </c>
      <c r="AI1559" s="7">
        <v>3228.7</v>
      </c>
      <c r="AJ1559" s="7">
        <v>1293.3</v>
      </c>
      <c r="AK1559" s="7">
        <v>684.5</v>
      </c>
      <c r="AL1559" s="7">
        <v>440.7</v>
      </c>
      <c r="AM1559" s="7">
        <v>108.0</v>
      </c>
      <c r="AN1559" s="7">
        <v>60.0</v>
      </c>
      <c r="AO1559" s="7">
        <v>32.0</v>
      </c>
      <c r="AP1559" s="9">
        <f t="shared" ref="AP1559:AR1559" si="4885">AG1559/$AF1559</f>
        <v>95.25142857</v>
      </c>
      <c r="AQ1559" s="9">
        <f t="shared" si="4885"/>
        <v>41.46761905</v>
      </c>
      <c r="AR1559" s="9">
        <f t="shared" si="4885"/>
        <v>30.74952381</v>
      </c>
      <c r="AS1559" s="9">
        <f t="shared" si="4568"/>
        <v>72.21714286</v>
      </c>
      <c r="AT1559" s="9">
        <f t="shared" ref="AT1559:AV1559" si="4886">AJ1559/$AF1559</f>
        <v>12.31714286</v>
      </c>
      <c r="AU1559" s="9">
        <f t="shared" si="4886"/>
        <v>6.519047619</v>
      </c>
      <c r="AV1559" s="9">
        <f t="shared" si="4886"/>
        <v>4.197142857</v>
      </c>
      <c r="AW1559" s="9">
        <f t="shared" si="4570"/>
        <v>10.71619048</v>
      </c>
      <c r="AX1559" s="9">
        <f t="shared" ref="AX1559:AY1559" si="4887">AM1559/$AF1559</f>
        <v>1.028571429</v>
      </c>
      <c r="AY1559" s="9">
        <f t="shared" si="4887"/>
        <v>0.5714285714</v>
      </c>
      <c r="AZ1559" s="9">
        <f>VLOOKUP(A1559,Jogos!A:BN,58,0)</f>
        <v>31.49</v>
      </c>
      <c r="BA1559" s="9">
        <f>VLOOKUP(A1559,Jogos!A:BN,59,0)</f>
        <v>22.745</v>
      </c>
      <c r="BB1559" s="9">
        <f>VLOOKUP(A1559,Jogos!A:BN,60,0)</f>
        <v>59.5</v>
      </c>
      <c r="BC1559" s="9">
        <f>VLOOKUP(A1559,Jogos!A:BN,61,0)</f>
        <v>32.915</v>
      </c>
      <c r="BD1559" s="9">
        <f>VLOOKUP(A1559,Jogos!A:BN,62,0)</f>
        <v>538.15</v>
      </c>
      <c r="BE1559" s="9">
        <f>VLOOKUP(A1559,Jogos!A:BN,63,0)</f>
        <v>2.19</v>
      </c>
      <c r="BF1559" s="9">
        <f>VLOOKUP(A1559,Jogos!A:BN,64,0)</f>
        <v>25.92</v>
      </c>
      <c r="BG1559" s="9">
        <f>VLOOKUP(A1559,Jogos!A:BN,65,0)</f>
        <v>46.05</v>
      </c>
      <c r="BH1559" s="9">
        <f>VLOOKUP(A1559,Jogos!A:BN,66,0)</f>
        <v>30.505</v>
      </c>
      <c r="BI1559" s="9"/>
      <c r="BJ1559" s="9"/>
    </row>
    <row r="1560" hidden="1">
      <c r="A1560" s="2">
        <v>53.0</v>
      </c>
      <c r="B1560" s="2" t="s">
        <v>1350</v>
      </c>
      <c r="C1560" s="2" t="s">
        <v>1351</v>
      </c>
      <c r="D1560" s="3">
        <v>45838.0</v>
      </c>
      <c r="E1560" s="4">
        <v>0.625</v>
      </c>
      <c r="F1560" s="5" t="str">
        <f>VLOOKUP(A1560,Jogos!A:N,10,0)</f>
        <v>Afternoon</v>
      </c>
      <c r="G1560" s="2" t="s">
        <v>1200</v>
      </c>
      <c r="H1560" s="6" t="str">
        <f>VLOOKUP(A1560,Jogos!A:L,12,0)</f>
        <v>Open</v>
      </c>
      <c r="I1560" s="6" t="str">
        <f>VLOOKUP(G1560,'Estádios e Cidades'!A:B,2,0)</f>
        <v>Charlotte</v>
      </c>
      <c r="J1560" s="2" t="s">
        <v>748</v>
      </c>
      <c r="K1560" s="2" t="str">
        <f>VLOOKUP(J1560,Equipes!A:F,6,0)</f>
        <v>Temperate</v>
      </c>
      <c r="L1560" s="2">
        <f>VLOOKUP(J1560,Equipes!A:C,3,0)</f>
        <v>12</v>
      </c>
      <c r="M1560" s="2" t="str">
        <f t="shared" si="4"/>
        <v>Round of 16</v>
      </c>
      <c r="N1560" s="2" t="s">
        <v>563</v>
      </c>
      <c r="O1560" s="2">
        <f>VLOOKUP(N1560,Equipes!A:C,3,0)</f>
        <v>4</v>
      </c>
      <c r="P1560" s="2" t="str">
        <f t="shared" si="5"/>
        <v>Semi-final</v>
      </c>
      <c r="Q1560" s="2">
        <f t="shared" si="6"/>
        <v>8</v>
      </c>
      <c r="R1560" s="2" t="str">
        <f>VLOOKUP(J1560,Equipes!A:B,2,0)</f>
        <v>InterMilano</v>
      </c>
      <c r="S1560" s="6" t="s">
        <v>793</v>
      </c>
      <c r="T1560" s="7">
        <v>36.0</v>
      </c>
      <c r="U1560" s="7" t="s">
        <v>794</v>
      </c>
      <c r="V1560" s="7" t="str">
        <f>VLOOKUP(U1560,Jogadores!B:C,2,0)</f>
        <v>DF</v>
      </c>
      <c r="W1560" s="8">
        <f>VLOOKUP(U1560,Jogadores!B:D,3,0)</f>
        <v>35.67671233</v>
      </c>
      <c r="X1560" s="7">
        <v>0.0</v>
      </c>
      <c r="Y1560" s="7">
        <f t="shared" si="4884"/>
        <v>97</v>
      </c>
      <c r="Z1560" s="7">
        <f>VLOOKUP(A1560,Jogos!A:L,3,0)</f>
        <v>53</v>
      </c>
      <c r="AA1560" s="7">
        <f t="shared" si="4815"/>
        <v>53</v>
      </c>
      <c r="AB1560" s="7">
        <f>VLOOKUP(A1560,Jogos!A:L,4,0)</f>
        <v>52</v>
      </c>
      <c r="AC1560" s="7">
        <f t="shared" si="4816"/>
        <v>52</v>
      </c>
      <c r="AD1560" s="7"/>
      <c r="AE1560" s="7"/>
      <c r="AF1560" s="7">
        <f t="shared" si="4566"/>
        <v>105</v>
      </c>
      <c r="AG1560" s="7">
        <v>9613.9</v>
      </c>
      <c r="AH1560" s="7">
        <v>4999.7</v>
      </c>
      <c r="AI1560" s="7">
        <v>3099.1</v>
      </c>
      <c r="AJ1560" s="7">
        <v>1073.8</v>
      </c>
      <c r="AK1560" s="7">
        <v>385.3</v>
      </c>
      <c r="AL1560" s="7">
        <v>55.9</v>
      </c>
      <c r="AM1560" s="7">
        <v>95.0</v>
      </c>
      <c r="AN1560" s="7">
        <v>25.0</v>
      </c>
      <c r="AO1560" s="7">
        <v>29.1</v>
      </c>
      <c r="AP1560" s="9">
        <f t="shared" ref="AP1560:AR1560" si="4888">AG1560/$AF1560</f>
        <v>91.56095238</v>
      </c>
      <c r="AQ1560" s="9">
        <f t="shared" si="4888"/>
        <v>47.61619048</v>
      </c>
      <c r="AR1560" s="9">
        <f t="shared" si="4888"/>
        <v>29.5152381</v>
      </c>
      <c r="AS1560" s="9">
        <f t="shared" si="4568"/>
        <v>77.13142857</v>
      </c>
      <c r="AT1560" s="9">
        <f t="shared" ref="AT1560:AV1560" si="4889">AJ1560/$AF1560</f>
        <v>10.22666667</v>
      </c>
      <c r="AU1560" s="9">
        <f t="shared" si="4889"/>
        <v>3.66952381</v>
      </c>
      <c r="AV1560" s="9">
        <f t="shared" si="4889"/>
        <v>0.5323809524</v>
      </c>
      <c r="AW1560" s="9">
        <f t="shared" si="4570"/>
        <v>4.201904762</v>
      </c>
      <c r="AX1560" s="9">
        <f t="shared" ref="AX1560:AY1560" si="4890">AM1560/$AF1560</f>
        <v>0.9047619048</v>
      </c>
      <c r="AY1560" s="9">
        <f t="shared" si="4890"/>
        <v>0.2380952381</v>
      </c>
      <c r="AZ1560" s="9">
        <f>VLOOKUP(A1560,Jogos!A:BN,58,0)</f>
        <v>31.49</v>
      </c>
      <c r="BA1560" s="9">
        <f>VLOOKUP(A1560,Jogos!A:BN,59,0)</f>
        <v>22.745</v>
      </c>
      <c r="BB1560" s="9">
        <f>VLOOKUP(A1560,Jogos!A:BN,60,0)</f>
        <v>59.5</v>
      </c>
      <c r="BC1560" s="9">
        <f>VLOOKUP(A1560,Jogos!A:BN,61,0)</f>
        <v>32.915</v>
      </c>
      <c r="BD1560" s="9">
        <f>VLOOKUP(A1560,Jogos!A:BN,62,0)</f>
        <v>538.15</v>
      </c>
      <c r="BE1560" s="9">
        <f>VLOOKUP(A1560,Jogos!A:BN,63,0)</f>
        <v>2.19</v>
      </c>
      <c r="BF1560" s="9">
        <f>VLOOKUP(A1560,Jogos!A:BN,64,0)</f>
        <v>25.92</v>
      </c>
      <c r="BG1560" s="9">
        <f>VLOOKUP(A1560,Jogos!A:BN,65,0)</f>
        <v>46.05</v>
      </c>
      <c r="BH1560" s="9">
        <f>VLOOKUP(A1560,Jogos!A:BN,66,0)</f>
        <v>30.505</v>
      </c>
      <c r="BI1560" s="9"/>
      <c r="BJ1560" s="9"/>
    </row>
    <row r="1561" hidden="1">
      <c r="A1561" s="2">
        <v>53.0</v>
      </c>
      <c r="B1561" s="2" t="s">
        <v>1350</v>
      </c>
      <c r="C1561" s="2" t="s">
        <v>1351</v>
      </c>
      <c r="D1561" s="3">
        <v>45838.0</v>
      </c>
      <c r="E1561" s="4">
        <v>0.625</v>
      </c>
      <c r="F1561" s="5" t="str">
        <f>VLOOKUP(A1561,Jogos!A:N,10,0)</f>
        <v>Afternoon</v>
      </c>
      <c r="G1561" s="2" t="s">
        <v>1200</v>
      </c>
      <c r="H1561" s="6" t="str">
        <f>VLOOKUP(A1561,Jogos!A:L,12,0)</f>
        <v>Open</v>
      </c>
      <c r="I1561" s="6" t="str">
        <f>VLOOKUP(G1561,'Estádios e Cidades'!A:B,2,0)</f>
        <v>Charlotte</v>
      </c>
      <c r="J1561" s="2" t="s">
        <v>748</v>
      </c>
      <c r="K1561" s="2" t="str">
        <f>VLOOKUP(J1561,Equipes!A:F,6,0)</f>
        <v>Temperate</v>
      </c>
      <c r="L1561" s="2">
        <f>VLOOKUP(J1561,Equipes!A:C,3,0)</f>
        <v>12</v>
      </c>
      <c r="M1561" s="2" t="str">
        <f t="shared" si="4"/>
        <v>Round of 16</v>
      </c>
      <c r="N1561" s="2" t="s">
        <v>563</v>
      </c>
      <c r="O1561" s="2">
        <f>VLOOKUP(N1561,Equipes!A:C,3,0)</f>
        <v>4</v>
      </c>
      <c r="P1561" s="2" t="str">
        <f t="shared" si="5"/>
        <v>Semi-final</v>
      </c>
      <c r="Q1561" s="2">
        <f t="shared" si="6"/>
        <v>8</v>
      </c>
      <c r="R1561" s="2" t="str">
        <f>VLOOKUP(J1561,Equipes!A:B,2,0)</f>
        <v>InterMilano</v>
      </c>
      <c r="S1561" s="6" t="s">
        <v>797</v>
      </c>
      <c r="T1561" s="7">
        <v>95.0</v>
      </c>
      <c r="U1561" s="7" t="s">
        <v>798</v>
      </c>
      <c r="V1561" s="7" t="str">
        <f>VLOOKUP(U1561,Jogadores!B:C,2,0)</f>
        <v>DF</v>
      </c>
      <c r="W1561" s="8">
        <f>VLOOKUP(U1561,Jogadores!B:D,3,0)</f>
        <v>26.30958904</v>
      </c>
      <c r="X1561" s="7">
        <v>0.0</v>
      </c>
      <c r="Y1561" s="7">
        <v>71.0</v>
      </c>
      <c r="Z1561" s="7">
        <f>VLOOKUP(A1561,Jogos!A:L,3,0)</f>
        <v>53</v>
      </c>
      <c r="AA1561" s="7">
        <f t="shared" si="4815"/>
        <v>53</v>
      </c>
      <c r="AB1561" s="7">
        <f>VLOOKUP(A1561,Jogos!A:L,4,0)</f>
        <v>52</v>
      </c>
      <c r="AC1561" s="7">
        <f t="shared" si="4816"/>
        <v>26</v>
      </c>
      <c r="AD1561" s="7"/>
      <c r="AE1561" s="7"/>
      <c r="AF1561" s="7">
        <f t="shared" si="4566"/>
        <v>79</v>
      </c>
      <c r="AG1561" s="7">
        <v>7326.3</v>
      </c>
      <c r="AH1561" s="7">
        <v>3686.4</v>
      </c>
      <c r="AI1561" s="7">
        <v>2644.7</v>
      </c>
      <c r="AJ1561" s="7">
        <v>687.2</v>
      </c>
      <c r="AK1561" s="7">
        <v>234.3</v>
      </c>
      <c r="AL1561" s="7">
        <v>73.7</v>
      </c>
      <c r="AM1561" s="7">
        <v>58.0</v>
      </c>
      <c r="AN1561" s="7">
        <v>17.0</v>
      </c>
      <c r="AO1561" s="7">
        <v>28.3</v>
      </c>
      <c r="AP1561" s="9">
        <f t="shared" ref="AP1561:AR1561" si="4891">AG1561/$AF1561</f>
        <v>92.73797468</v>
      </c>
      <c r="AQ1561" s="9">
        <f t="shared" si="4891"/>
        <v>46.66329114</v>
      </c>
      <c r="AR1561" s="9">
        <f t="shared" si="4891"/>
        <v>33.47721519</v>
      </c>
      <c r="AS1561" s="9">
        <f t="shared" si="4568"/>
        <v>80.14050633</v>
      </c>
      <c r="AT1561" s="9">
        <f t="shared" ref="AT1561:AV1561" si="4892">AJ1561/$AF1561</f>
        <v>8.698734177</v>
      </c>
      <c r="AU1561" s="9">
        <f t="shared" si="4892"/>
        <v>2.965822785</v>
      </c>
      <c r="AV1561" s="9">
        <f t="shared" si="4892"/>
        <v>0.9329113924</v>
      </c>
      <c r="AW1561" s="9">
        <f t="shared" si="4570"/>
        <v>3.898734177</v>
      </c>
      <c r="AX1561" s="9">
        <f t="shared" ref="AX1561:AY1561" si="4893">AM1561/$AF1561</f>
        <v>0.7341772152</v>
      </c>
      <c r="AY1561" s="9">
        <f t="shared" si="4893"/>
        <v>0.2151898734</v>
      </c>
      <c r="AZ1561" s="9">
        <f>VLOOKUP(A1561,Jogos!A:BN,58,0)</f>
        <v>31.49</v>
      </c>
      <c r="BA1561" s="9">
        <f>VLOOKUP(A1561,Jogos!A:BN,59,0)</f>
        <v>22.745</v>
      </c>
      <c r="BB1561" s="9">
        <f>VLOOKUP(A1561,Jogos!A:BN,60,0)</f>
        <v>59.5</v>
      </c>
      <c r="BC1561" s="9">
        <f>VLOOKUP(A1561,Jogos!A:BN,61,0)</f>
        <v>32.915</v>
      </c>
      <c r="BD1561" s="9">
        <f>VLOOKUP(A1561,Jogos!A:BN,62,0)</f>
        <v>538.15</v>
      </c>
      <c r="BE1561" s="9">
        <f>VLOOKUP(A1561,Jogos!A:BN,63,0)</f>
        <v>2.19</v>
      </c>
      <c r="BF1561" s="9">
        <f>VLOOKUP(A1561,Jogos!A:BN,64,0)</f>
        <v>25.92</v>
      </c>
      <c r="BG1561" s="9">
        <f>VLOOKUP(A1561,Jogos!A:BN,65,0)</f>
        <v>46.05</v>
      </c>
      <c r="BH1561" s="9">
        <f>VLOOKUP(A1561,Jogos!A:BN,66,0)</f>
        <v>30.505</v>
      </c>
      <c r="BI1561" s="9"/>
      <c r="BJ1561" s="9"/>
    </row>
    <row r="1562" hidden="1">
      <c r="A1562" s="2">
        <v>53.0</v>
      </c>
      <c r="B1562" s="2" t="s">
        <v>1350</v>
      </c>
      <c r="C1562" s="2" t="s">
        <v>1351</v>
      </c>
      <c r="D1562" s="3">
        <v>45838.0</v>
      </c>
      <c r="E1562" s="4">
        <v>0.625</v>
      </c>
      <c r="F1562" s="5" t="str">
        <f>VLOOKUP(A1562,Jogos!A:N,10,0)</f>
        <v>Afternoon</v>
      </c>
      <c r="G1562" s="2" t="s">
        <v>1200</v>
      </c>
      <c r="H1562" s="6" t="str">
        <f>VLOOKUP(A1562,Jogos!A:L,12,0)</f>
        <v>Open</v>
      </c>
      <c r="I1562" s="6" t="str">
        <f>VLOOKUP(G1562,'Estádios e Cidades'!A:B,2,0)</f>
        <v>Charlotte</v>
      </c>
      <c r="J1562" s="2" t="s">
        <v>748</v>
      </c>
      <c r="K1562" s="2" t="str">
        <f>VLOOKUP(J1562,Equipes!A:F,6,0)</f>
        <v>Temperate</v>
      </c>
      <c r="L1562" s="2">
        <f>VLOOKUP(J1562,Equipes!A:C,3,0)</f>
        <v>12</v>
      </c>
      <c r="M1562" s="2" t="str">
        <f t="shared" si="4"/>
        <v>Round of 16</v>
      </c>
      <c r="N1562" s="2" t="s">
        <v>563</v>
      </c>
      <c r="O1562" s="2">
        <f>VLOOKUP(N1562,Equipes!A:C,3,0)</f>
        <v>4</v>
      </c>
      <c r="P1562" s="2" t="str">
        <f t="shared" si="5"/>
        <v>Semi-final</v>
      </c>
      <c r="Q1562" s="2">
        <f t="shared" si="6"/>
        <v>8</v>
      </c>
      <c r="R1562" s="2" t="str">
        <f>VLOOKUP(J1562,Equipes!A:B,2,0)</f>
        <v>InterMilano</v>
      </c>
      <c r="S1562" s="6" t="s">
        <v>799</v>
      </c>
      <c r="T1562" s="7">
        <v>8.0</v>
      </c>
      <c r="U1562" s="7" t="s">
        <v>800</v>
      </c>
      <c r="V1562" s="7" t="str">
        <f>VLOOKUP(U1562,Jogadores!B:C,2,0)</f>
        <v>MF</v>
      </c>
      <c r="W1562" s="8">
        <f>VLOOKUP(U1562,Jogadores!B:D,3,0)</f>
        <v>21.77260274</v>
      </c>
      <c r="X1562" s="7">
        <v>53.0</v>
      </c>
      <c r="Y1562" s="7">
        <f t="shared" ref="Y1562:Y1569" si="4897">45+AB1562</f>
        <v>97</v>
      </c>
      <c r="Z1562" s="7">
        <f>VLOOKUP(A1562,Jogos!A:L,3,0)</f>
        <v>53</v>
      </c>
      <c r="AA1562" s="7">
        <f t="shared" si="4815"/>
        <v>0</v>
      </c>
      <c r="AB1562" s="7">
        <f>VLOOKUP(A1562,Jogos!A:L,4,0)</f>
        <v>52</v>
      </c>
      <c r="AC1562" s="7">
        <f t="shared" si="4816"/>
        <v>44</v>
      </c>
      <c r="AD1562" s="7"/>
      <c r="AE1562" s="7"/>
      <c r="AF1562" s="7">
        <f t="shared" si="4566"/>
        <v>44</v>
      </c>
      <c r="AG1562" s="7">
        <v>5260.1</v>
      </c>
      <c r="AH1562" s="7">
        <v>1827.8</v>
      </c>
      <c r="AI1562" s="7">
        <v>2301.8</v>
      </c>
      <c r="AJ1562" s="7">
        <v>794.3</v>
      </c>
      <c r="AK1562" s="7">
        <v>239.8</v>
      </c>
      <c r="AL1562" s="7">
        <v>96.4</v>
      </c>
      <c r="AM1562" s="7">
        <v>75.0</v>
      </c>
      <c r="AN1562" s="7">
        <v>21.0</v>
      </c>
      <c r="AO1562" s="7">
        <v>31.0</v>
      </c>
      <c r="AP1562" s="9">
        <f t="shared" ref="AP1562:AR1562" si="4894">AG1562/$AF1562</f>
        <v>119.5477273</v>
      </c>
      <c r="AQ1562" s="9">
        <f t="shared" si="4894"/>
        <v>41.54090909</v>
      </c>
      <c r="AR1562" s="9">
        <f t="shared" si="4894"/>
        <v>52.31363636</v>
      </c>
      <c r="AS1562" s="9">
        <f t="shared" si="4568"/>
        <v>93.85454545</v>
      </c>
      <c r="AT1562" s="9">
        <f t="shared" ref="AT1562:AV1562" si="4895">AJ1562/$AF1562</f>
        <v>18.05227273</v>
      </c>
      <c r="AU1562" s="9">
        <f t="shared" si="4895"/>
        <v>5.45</v>
      </c>
      <c r="AV1562" s="9">
        <f t="shared" si="4895"/>
        <v>2.190909091</v>
      </c>
      <c r="AW1562" s="9">
        <f t="shared" si="4570"/>
        <v>7.640909091</v>
      </c>
      <c r="AX1562" s="9">
        <f t="shared" ref="AX1562:AY1562" si="4896">AM1562/$AF1562</f>
        <v>1.704545455</v>
      </c>
      <c r="AY1562" s="9">
        <f t="shared" si="4896"/>
        <v>0.4772727273</v>
      </c>
      <c r="AZ1562" s="9">
        <f>VLOOKUP(A1562,Jogos!A:BN,58,0)</f>
        <v>31.49</v>
      </c>
      <c r="BA1562" s="9">
        <f>VLOOKUP(A1562,Jogos!A:BN,59,0)</f>
        <v>22.745</v>
      </c>
      <c r="BB1562" s="9">
        <f>VLOOKUP(A1562,Jogos!A:BN,60,0)</f>
        <v>59.5</v>
      </c>
      <c r="BC1562" s="9">
        <f>VLOOKUP(A1562,Jogos!A:BN,61,0)</f>
        <v>32.915</v>
      </c>
      <c r="BD1562" s="9">
        <f>VLOOKUP(A1562,Jogos!A:BN,62,0)</f>
        <v>538.15</v>
      </c>
      <c r="BE1562" s="9">
        <f>VLOOKUP(A1562,Jogos!A:BN,63,0)</f>
        <v>2.19</v>
      </c>
      <c r="BF1562" s="9">
        <f>VLOOKUP(A1562,Jogos!A:BN,64,0)</f>
        <v>25.92</v>
      </c>
      <c r="BG1562" s="9">
        <f>VLOOKUP(A1562,Jogos!A:BN,65,0)</f>
        <v>46.05</v>
      </c>
      <c r="BH1562" s="9">
        <f>VLOOKUP(A1562,Jogos!A:BN,66,0)</f>
        <v>30.505</v>
      </c>
      <c r="BI1562" s="9"/>
      <c r="BJ1562" s="9"/>
    </row>
    <row r="1563" hidden="1">
      <c r="A1563" s="2">
        <v>53.0</v>
      </c>
      <c r="B1563" s="2" t="s">
        <v>1350</v>
      </c>
      <c r="C1563" s="2" t="s">
        <v>1351</v>
      </c>
      <c r="D1563" s="3">
        <v>45838.0</v>
      </c>
      <c r="E1563" s="4">
        <v>0.625</v>
      </c>
      <c r="F1563" s="5" t="str">
        <f>VLOOKUP(A1563,Jogos!A:N,10,0)</f>
        <v>Afternoon</v>
      </c>
      <c r="G1563" s="2" t="s">
        <v>1200</v>
      </c>
      <c r="H1563" s="6" t="str">
        <f>VLOOKUP(A1563,Jogos!A:L,12,0)</f>
        <v>Open</v>
      </c>
      <c r="I1563" s="6" t="str">
        <f>VLOOKUP(G1563,'Estádios e Cidades'!A:B,2,0)</f>
        <v>Charlotte</v>
      </c>
      <c r="J1563" s="2" t="s">
        <v>748</v>
      </c>
      <c r="K1563" s="2" t="str">
        <f>VLOOKUP(J1563,Equipes!A:F,6,0)</f>
        <v>Temperate</v>
      </c>
      <c r="L1563" s="2">
        <f>VLOOKUP(J1563,Equipes!A:C,3,0)</f>
        <v>12</v>
      </c>
      <c r="M1563" s="2" t="str">
        <f t="shared" si="4"/>
        <v>Round of 16</v>
      </c>
      <c r="N1563" s="2" t="s">
        <v>563</v>
      </c>
      <c r="O1563" s="2">
        <f>VLOOKUP(N1563,Equipes!A:C,3,0)</f>
        <v>4</v>
      </c>
      <c r="P1563" s="2" t="str">
        <f t="shared" si="5"/>
        <v>Semi-final</v>
      </c>
      <c r="Q1563" s="2">
        <f t="shared" si="6"/>
        <v>8</v>
      </c>
      <c r="R1563" s="2" t="str">
        <f>VLOOKUP(J1563,Equipes!A:B,2,0)</f>
        <v>InterMilano</v>
      </c>
      <c r="S1563" s="6" t="s">
        <v>803</v>
      </c>
      <c r="T1563" s="7">
        <v>11.0</v>
      </c>
      <c r="U1563" s="7" t="s">
        <v>804</v>
      </c>
      <c r="V1563" s="7" t="str">
        <f>VLOOKUP(U1563,Jogadores!B:C,2,0)</f>
        <v>MF</v>
      </c>
      <c r="W1563" s="8">
        <f>VLOOKUP(U1563,Jogadores!B:D,3,0)</f>
        <v>23.63561644</v>
      </c>
      <c r="X1563" s="7">
        <v>53.0</v>
      </c>
      <c r="Y1563" s="7">
        <f t="shared" si="4897"/>
        <v>97</v>
      </c>
      <c r="Z1563" s="7">
        <f>VLOOKUP(A1563,Jogos!A:L,3,0)</f>
        <v>53</v>
      </c>
      <c r="AA1563" s="7">
        <f t="shared" si="4815"/>
        <v>0</v>
      </c>
      <c r="AB1563" s="7">
        <f>VLOOKUP(A1563,Jogos!A:L,4,0)</f>
        <v>52</v>
      </c>
      <c r="AC1563" s="7">
        <f t="shared" si="4816"/>
        <v>44</v>
      </c>
      <c r="AD1563" s="7"/>
      <c r="AE1563" s="7"/>
      <c r="AF1563" s="7">
        <f t="shared" si="4566"/>
        <v>44</v>
      </c>
      <c r="AG1563" s="7">
        <v>4835.2</v>
      </c>
      <c r="AH1563" s="7">
        <v>1937.4</v>
      </c>
      <c r="AI1563" s="7">
        <v>1750.7</v>
      </c>
      <c r="AJ1563" s="7">
        <v>756.6</v>
      </c>
      <c r="AK1563" s="7">
        <v>281.5</v>
      </c>
      <c r="AL1563" s="7">
        <v>109.0</v>
      </c>
      <c r="AM1563" s="7">
        <v>61.0</v>
      </c>
      <c r="AN1563" s="7">
        <v>21.0</v>
      </c>
      <c r="AO1563" s="7">
        <v>31.7</v>
      </c>
      <c r="AP1563" s="9">
        <f t="shared" ref="AP1563:AR1563" si="4898">AG1563/$AF1563</f>
        <v>109.8909091</v>
      </c>
      <c r="AQ1563" s="9">
        <f t="shared" si="4898"/>
        <v>44.03181818</v>
      </c>
      <c r="AR1563" s="9">
        <f t="shared" si="4898"/>
        <v>39.78863636</v>
      </c>
      <c r="AS1563" s="9">
        <f t="shared" si="4568"/>
        <v>83.82045455</v>
      </c>
      <c r="AT1563" s="9">
        <f t="shared" ref="AT1563:AV1563" si="4899">AJ1563/$AF1563</f>
        <v>17.19545455</v>
      </c>
      <c r="AU1563" s="9">
        <f t="shared" si="4899"/>
        <v>6.397727273</v>
      </c>
      <c r="AV1563" s="9">
        <f t="shared" si="4899"/>
        <v>2.477272727</v>
      </c>
      <c r="AW1563" s="9">
        <f t="shared" si="4570"/>
        <v>8.875</v>
      </c>
      <c r="AX1563" s="9">
        <f t="shared" ref="AX1563:AY1563" si="4900">AM1563/$AF1563</f>
        <v>1.386363636</v>
      </c>
      <c r="AY1563" s="9">
        <f t="shared" si="4900"/>
        <v>0.4772727273</v>
      </c>
      <c r="AZ1563" s="9">
        <f>VLOOKUP(A1563,Jogos!A:BN,58,0)</f>
        <v>31.49</v>
      </c>
      <c r="BA1563" s="9">
        <f>VLOOKUP(A1563,Jogos!A:BN,59,0)</f>
        <v>22.745</v>
      </c>
      <c r="BB1563" s="9">
        <f>VLOOKUP(A1563,Jogos!A:BN,60,0)</f>
        <v>59.5</v>
      </c>
      <c r="BC1563" s="9">
        <f>VLOOKUP(A1563,Jogos!A:BN,61,0)</f>
        <v>32.915</v>
      </c>
      <c r="BD1563" s="9">
        <f>VLOOKUP(A1563,Jogos!A:BN,62,0)</f>
        <v>538.15</v>
      </c>
      <c r="BE1563" s="9">
        <f>VLOOKUP(A1563,Jogos!A:BN,63,0)</f>
        <v>2.19</v>
      </c>
      <c r="BF1563" s="9">
        <f>VLOOKUP(A1563,Jogos!A:BN,64,0)</f>
        <v>25.92</v>
      </c>
      <c r="BG1563" s="9">
        <f>VLOOKUP(A1563,Jogos!A:BN,65,0)</f>
        <v>46.05</v>
      </c>
      <c r="BH1563" s="9">
        <f>VLOOKUP(A1563,Jogos!A:BN,66,0)</f>
        <v>30.505</v>
      </c>
      <c r="BI1563" s="9"/>
      <c r="BJ1563" s="9"/>
    </row>
    <row r="1564" hidden="1">
      <c r="A1564" s="2">
        <v>53.0</v>
      </c>
      <c r="B1564" s="2" t="s">
        <v>1350</v>
      </c>
      <c r="C1564" s="2" t="s">
        <v>1351</v>
      </c>
      <c r="D1564" s="3">
        <v>45838.0</v>
      </c>
      <c r="E1564" s="4">
        <v>0.625</v>
      </c>
      <c r="F1564" s="5" t="str">
        <f>VLOOKUP(A1564,Jogos!A:N,10,0)</f>
        <v>Afternoon</v>
      </c>
      <c r="G1564" s="2" t="s">
        <v>1200</v>
      </c>
      <c r="H1564" s="6" t="str">
        <f>VLOOKUP(A1564,Jogos!A:L,12,0)</f>
        <v>Open</v>
      </c>
      <c r="I1564" s="6" t="str">
        <f>VLOOKUP(G1564,'Estádios e Cidades'!A:B,2,0)</f>
        <v>Charlotte</v>
      </c>
      <c r="J1564" s="2" t="s">
        <v>748</v>
      </c>
      <c r="K1564" s="2" t="str">
        <f>VLOOKUP(J1564,Equipes!A:F,6,0)</f>
        <v>Temperate</v>
      </c>
      <c r="L1564" s="2">
        <f>VLOOKUP(J1564,Equipes!A:C,3,0)</f>
        <v>12</v>
      </c>
      <c r="M1564" s="2" t="str">
        <f t="shared" si="4"/>
        <v>Round of 16</v>
      </c>
      <c r="N1564" s="2" t="s">
        <v>563</v>
      </c>
      <c r="O1564" s="2">
        <f>VLOOKUP(N1564,Equipes!A:C,3,0)</f>
        <v>4</v>
      </c>
      <c r="P1564" s="2" t="str">
        <f t="shared" si="5"/>
        <v>Semi-final</v>
      </c>
      <c r="Q1564" s="2">
        <f t="shared" si="6"/>
        <v>8</v>
      </c>
      <c r="R1564" s="2" t="str">
        <f>VLOOKUP(J1564,Equipes!A:B,2,0)</f>
        <v>InterMilano</v>
      </c>
      <c r="S1564" s="6" t="s">
        <v>791</v>
      </c>
      <c r="T1564" s="7">
        <v>30.0</v>
      </c>
      <c r="U1564" s="7" t="s">
        <v>792</v>
      </c>
      <c r="V1564" s="7" t="str">
        <f>VLOOKUP(U1564,Jogadores!B:C,2,0)</f>
        <v>DF</v>
      </c>
      <c r="W1564" s="8">
        <f>VLOOKUP(U1564,Jogadores!B:D,3,0)</f>
        <v>26.57260274</v>
      </c>
      <c r="X1564" s="7">
        <v>71.0</v>
      </c>
      <c r="Y1564" s="7">
        <f t="shared" si="4897"/>
        <v>97</v>
      </c>
      <c r="Z1564" s="7">
        <f>VLOOKUP(A1564,Jogos!A:L,3,0)</f>
        <v>53</v>
      </c>
      <c r="AA1564" s="7">
        <f t="shared" si="4815"/>
        <v>0</v>
      </c>
      <c r="AB1564" s="7">
        <f>VLOOKUP(A1564,Jogos!A:L,4,0)</f>
        <v>52</v>
      </c>
      <c r="AC1564" s="7">
        <f t="shared" si="4816"/>
        <v>26</v>
      </c>
      <c r="AD1564" s="7"/>
      <c r="AE1564" s="7"/>
      <c r="AF1564" s="7">
        <f t="shared" si="4566"/>
        <v>26</v>
      </c>
      <c r="AG1564" s="7">
        <v>2616.6</v>
      </c>
      <c r="AH1564" s="7">
        <v>1184.2</v>
      </c>
      <c r="AI1564" s="7">
        <v>948.1</v>
      </c>
      <c r="AJ1564" s="7">
        <v>334.9</v>
      </c>
      <c r="AK1564" s="7">
        <v>118.1</v>
      </c>
      <c r="AL1564" s="7">
        <v>31.3</v>
      </c>
      <c r="AM1564" s="7">
        <v>34.0</v>
      </c>
      <c r="AN1564" s="7">
        <v>8.0</v>
      </c>
      <c r="AO1564" s="7">
        <v>31.2</v>
      </c>
      <c r="AP1564" s="9">
        <f t="shared" ref="AP1564:AR1564" si="4901">AG1564/$AF1564</f>
        <v>100.6384615</v>
      </c>
      <c r="AQ1564" s="9">
        <f t="shared" si="4901"/>
        <v>45.54615385</v>
      </c>
      <c r="AR1564" s="9">
        <f t="shared" si="4901"/>
        <v>36.46538462</v>
      </c>
      <c r="AS1564" s="9">
        <f t="shared" si="4568"/>
        <v>82.01153846</v>
      </c>
      <c r="AT1564" s="9">
        <f t="shared" ref="AT1564:AV1564" si="4902">AJ1564/$AF1564</f>
        <v>12.88076923</v>
      </c>
      <c r="AU1564" s="9">
        <f t="shared" si="4902"/>
        <v>4.542307692</v>
      </c>
      <c r="AV1564" s="9">
        <f t="shared" si="4902"/>
        <v>1.203846154</v>
      </c>
      <c r="AW1564" s="9">
        <f t="shared" si="4570"/>
        <v>5.746153846</v>
      </c>
      <c r="AX1564" s="9">
        <f t="shared" ref="AX1564:AY1564" si="4903">AM1564/$AF1564</f>
        <v>1.307692308</v>
      </c>
      <c r="AY1564" s="9">
        <f t="shared" si="4903"/>
        <v>0.3076923077</v>
      </c>
      <c r="AZ1564" s="9">
        <f>VLOOKUP(A1564,Jogos!A:BN,58,0)</f>
        <v>31.49</v>
      </c>
      <c r="BA1564" s="9">
        <f>VLOOKUP(A1564,Jogos!A:BN,59,0)</f>
        <v>22.745</v>
      </c>
      <c r="BB1564" s="9">
        <f>VLOOKUP(A1564,Jogos!A:BN,60,0)</f>
        <v>59.5</v>
      </c>
      <c r="BC1564" s="9">
        <f>VLOOKUP(A1564,Jogos!A:BN,61,0)</f>
        <v>32.915</v>
      </c>
      <c r="BD1564" s="9">
        <f>VLOOKUP(A1564,Jogos!A:BN,62,0)</f>
        <v>538.15</v>
      </c>
      <c r="BE1564" s="9">
        <f>VLOOKUP(A1564,Jogos!A:BN,63,0)</f>
        <v>2.19</v>
      </c>
      <c r="BF1564" s="9">
        <f>VLOOKUP(A1564,Jogos!A:BN,64,0)</f>
        <v>25.92</v>
      </c>
      <c r="BG1564" s="9">
        <f>VLOOKUP(A1564,Jogos!A:BN,65,0)</f>
        <v>46.05</v>
      </c>
      <c r="BH1564" s="9">
        <f>VLOOKUP(A1564,Jogos!A:BN,66,0)</f>
        <v>30.505</v>
      </c>
      <c r="BI1564" s="9"/>
      <c r="BJ1564" s="9"/>
    </row>
    <row r="1565" hidden="1">
      <c r="A1565" s="2">
        <v>53.0</v>
      </c>
      <c r="B1565" s="2" t="s">
        <v>1350</v>
      </c>
      <c r="C1565" s="2" t="s">
        <v>1351</v>
      </c>
      <c r="D1565" s="3">
        <v>45838.0</v>
      </c>
      <c r="E1565" s="4">
        <v>0.625</v>
      </c>
      <c r="F1565" s="5" t="str">
        <f>VLOOKUP(A1565,Jogos!A:N,10,0)</f>
        <v>Afternoon</v>
      </c>
      <c r="G1565" s="2" t="s">
        <v>1200</v>
      </c>
      <c r="H1565" s="6" t="str">
        <f>VLOOKUP(A1565,Jogos!A:L,12,0)</f>
        <v>Open</v>
      </c>
      <c r="I1565" s="6" t="str">
        <f>VLOOKUP(G1565,'Estádios e Cidades'!A:B,2,0)</f>
        <v>Charlotte</v>
      </c>
      <c r="J1565" s="2" t="s">
        <v>748</v>
      </c>
      <c r="K1565" s="2" t="str">
        <f>VLOOKUP(J1565,Equipes!A:F,6,0)</f>
        <v>Temperate</v>
      </c>
      <c r="L1565" s="2">
        <f>VLOOKUP(J1565,Equipes!A:C,3,0)</f>
        <v>12</v>
      </c>
      <c r="M1565" s="2" t="str">
        <f t="shared" si="4"/>
        <v>Round of 16</v>
      </c>
      <c r="N1565" s="2" t="s">
        <v>563</v>
      </c>
      <c r="O1565" s="2">
        <f>VLOOKUP(N1565,Equipes!A:C,3,0)</f>
        <v>4</v>
      </c>
      <c r="P1565" s="2" t="str">
        <f t="shared" si="5"/>
        <v>Semi-final</v>
      </c>
      <c r="Q1565" s="2">
        <f t="shared" si="6"/>
        <v>8</v>
      </c>
      <c r="R1565" s="2" t="str">
        <f>VLOOKUP(J1565,Equipes!A:B,2,0)</f>
        <v>InterMilano</v>
      </c>
      <c r="S1565" s="6" t="s">
        <v>1160</v>
      </c>
      <c r="T1565" s="7">
        <v>45.0</v>
      </c>
      <c r="U1565" s="7" t="s">
        <v>1161</v>
      </c>
      <c r="V1565" s="7" t="str">
        <f>VLOOKUP(U1565,Jogadores!B:C,2,0)</f>
        <v>FW</v>
      </c>
      <c r="W1565" s="8">
        <f>VLOOKUP(U1565,Jogadores!B:D,3,0)</f>
        <v>20.4109589</v>
      </c>
      <c r="X1565" s="7">
        <v>53.0</v>
      </c>
      <c r="Y1565" s="7">
        <f t="shared" si="4897"/>
        <v>97</v>
      </c>
      <c r="Z1565" s="7">
        <f>VLOOKUP(A1565,Jogos!A:L,3,0)</f>
        <v>53</v>
      </c>
      <c r="AA1565" s="7">
        <f t="shared" si="4815"/>
        <v>0</v>
      </c>
      <c r="AB1565" s="7">
        <f>VLOOKUP(A1565,Jogos!A:L,4,0)</f>
        <v>52</v>
      </c>
      <c r="AC1565" s="7">
        <f t="shared" si="4816"/>
        <v>44</v>
      </c>
      <c r="AD1565" s="7"/>
      <c r="AE1565" s="7"/>
      <c r="AF1565" s="7">
        <f t="shared" si="4566"/>
        <v>44</v>
      </c>
      <c r="AG1565" s="7">
        <v>4705.2</v>
      </c>
      <c r="AH1565" s="7">
        <v>2151.8</v>
      </c>
      <c r="AI1565" s="7">
        <v>1630.5</v>
      </c>
      <c r="AJ1565" s="7">
        <v>614.3</v>
      </c>
      <c r="AK1565" s="7">
        <v>239.7</v>
      </c>
      <c r="AL1565" s="7">
        <v>68.9</v>
      </c>
      <c r="AM1565" s="7">
        <v>52.0</v>
      </c>
      <c r="AN1565" s="7">
        <v>17.0</v>
      </c>
      <c r="AO1565" s="7">
        <v>28.3</v>
      </c>
      <c r="AP1565" s="9">
        <f t="shared" ref="AP1565:AR1565" si="4904">AG1565/$AF1565</f>
        <v>106.9363636</v>
      </c>
      <c r="AQ1565" s="9">
        <f t="shared" si="4904"/>
        <v>48.90454545</v>
      </c>
      <c r="AR1565" s="9">
        <f t="shared" si="4904"/>
        <v>37.05681818</v>
      </c>
      <c r="AS1565" s="9">
        <f t="shared" si="4568"/>
        <v>85.96136364</v>
      </c>
      <c r="AT1565" s="9">
        <f t="shared" ref="AT1565:AV1565" si="4905">AJ1565/$AF1565</f>
        <v>13.96136364</v>
      </c>
      <c r="AU1565" s="9">
        <f t="shared" si="4905"/>
        <v>5.447727273</v>
      </c>
      <c r="AV1565" s="9">
        <f t="shared" si="4905"/>
        <v>1.565909091</v>
      </c>
      <c r="AW1565" s="9">
        <f t="shared" si="4570"/>
        <v>7.013636364</v>
      </c>
      <c r="AX1565" s="9">
        <f t="shared" ref="AX1565:AY1565" si="4906">AM1565/$AF1565</f>
        <v>1.181818182</v>
      </c>
      <c r="AY1565" s="9">
        <f t="shared" si="4906"/>
        <v>0.3863636364</v>
      </c>
      <c r="AZ1565" s="9">
        <f>VLOOKUP(A1565,Jogos!A:BN,58,0)</f>
        <v>31.49</v>
      </c>
      <c r="BA1565" s="9">
        <f>VLOOKUP(A1565,Jogos!A:BN,59,0)</f>
        <v>22.745</v>
      </c>
      <c r="BB1565" s="9">
        <f>VLOOKUP(A1565,Jogos!A:BN,60,0)</f>
        <v>59.5</v>
      </c>
      <c r="BC1565" s="9">
        <f>VLOOKUP(A1565,Jogos!A:BN,61,0)</f>
        <v>32.915</v>
      </c>
      <c r="BD1565" s="9">
        <f>VLOOKUP(A1565,Jogos!A:BN,62,0)</f>
        <v>538.15</v>
      </c>
      <c r="BE1565" s="9">
        <f>VLOOKUP(A1565,Jogos!A:BN,63,0)</f>
        <v>2.19</v>
      </c>
      <c r="BF1565" s="9">
        <f>VLOOKUP(A1565,Jogos!A:BN,64,0)</f>
        <v>25.92</v>
      </c>
      <c r="BG1565" s="9">
        <f>VLOOKUP(A1565,Jogos!A:BN,65,0)</f>
        <v>46.05</v>
      </c>
      <c r="BH1565" s="9">
        <f>VLOOKUP(A1565,Jogos!A:BN,66,0)</f>
        <v>30.505</v>
      </c>
      <c r="BI1565" s="9"/>
      <c r="BJ1565" s="9"/>
    </row>
    <row r="1566" hidden="1">
      <c r="A1566" s="2">
        <v>53.0</v>
      </c>
      <c r="B1566" s="2" t="s">
        <v>1350</v>
      </c>
      <c r="C1566" s="2" t="s">
        <v>1351</v>
      </c>
      <c r="D1566" s="3">
        <v>45838.0</v>
      </c>
      <c r="E1566" s="4">
        <v>0.625</v>
      </c>
      <c r="F1566" s="5" t="str">
        <f>VLOOKUP(A1566,Jogos!A:N,10,0)</f>
        <v>Afternoon</v>
      </c>
      <c r="G1566" s="2" t="s">
        <v>1200</v>
      </c>
      <c r="H1566" s="6" t="str">
        <f>VLOOKUP(A1566,Jogos!A:L,12,0)</f>
        <v>Open</v>
      </c>
      <c r="I1566" s="6" t="str">
        <f>VLOOKUP(G1566,'Estádios e Cidades'!A:B,2,0)</f>
        <v>Charlotte</v>
      </c>
      <c r="J1566" s="2" t="s">
        <v>748</v>
      </c>
      <c r="K1566" s="2" t="str">
        <f>VLOOKUP(J1566,Equipes!A:F,6,0)</f>
        <v>Temperate</v>
      </c>
      <c r="L1566" s="2">
        <f>VLOOKUP(J1566,Equipes!A:C,3,0)</f>
        <v>12</v>
      </c>
      <c r="M1566" s="2" t="str">
        <f t="shared" si="4"/>
        <v>Round of 16</v>
      </c>
      <c r="N1566" s="2" t="s">
        <v>563</v>
      </c>
      <c r="O1566" s="2">
        <f>VLOOKUP(N1566,Equipes!A:C,3,0)</f>
        <v>4</v>
      </c>
      <c r="P1566" s="2" t="str">
        <f t="shared" si="5"/>
        <v>Semi-final</v>
      </c>
      <c r="Q1566" s="2">
        <f t="shared" si="6"/>
        <v>8</v>
      </c>
      <c r="R1566" s="2" t="str">
        <f>VLOOKUP(J1566,Equipes!A:B,2,0)</f>
        <v>InterMilano</v>
      </c>
      <c r="S1566" s="6" t="s">
        <v>795</v>
      </c>
      <c r="T1566" s="7">
        <v>70.0</v>
      </c>
      <c r="U1566" s="7" t="s">
        <v>796</v>
      </c>
      <c r="V1566" s="7" t="str">
        <f>VLOOKUP(U1566,Jogadores!B:C,2,0)</f>
        <v>FW</v>
      </c>
      <c r="W1566" s="8">
        <f>VLOOKUP(U1566,Jogadores!B:D,3,0)</f>
        <v>23.08767123</v>
      </c>
      <c r="X1566" s="7">
        <v>66.0</v>
      </c>
      <c r="Y1566" s="7">
        <f t="shared" si="4897"/>
        <v>97</v>
      </c>
      <c r="Z1566" s="7">
        <f>VLOOKUP(A1566,Jogos!A:L,3,0)</f>
        <v>53</v>
      </c>
      <c r="AA1566" s="7">
        <f t="shared" si="4815"/>
        <v>0</v>
      </c>
      <c r="AB1566" s="7">
        <f>VLOOKUP(A1566,Jogos!A:L,4,0)</f>
        <v>52</v>
      </c>
      <c r="AC1566" s="7">
        <f t="shared" si="4816"/>
        <v>31</v>
      </c>
      <c r="AD1566" s="7"/>
      <c r="AE1566" s="7"/>
      <c r="AF1566" s="7">
        <f t="shared" si="4566"/>
        <v>31</v>
      </c>
      <c r="AG1566" s="7">
        <v>3490.1</v>
      </c>
      <c r="AH1566" s="7">
        <v>1321.2</v>
      </c>
      <c r="AI1566" s="7">
        <v>1378.5</v>
      </c>
      <c r="AJ1566" s="7">
        <v>517.4</v>
      </c>
      <c r="AK1566" s="7">
        <v>229.0</v>
      </c>
      <c r="AL1566" s="7">
        <v>44.0</v>
      </c>
      <c r="AM1566" s="7">
        <v>48.0</v>
      </c>
      <c r="AN1566" s="7">
        <v>19.0</v>
      </c>
      <c r="AO1566" s="7">
        <v>30.2</v>
      </c>
      <c r="AP1566" s="9">
        <f t="shared" ref="AP1566:AR1566" si="4907">AG1566/$AF1566</f>
        <v>112.583871</v>
      </c>
      <c r="AQ1566" s="9">
        <f t="shared" si="4907"/>
        <v>42.61935484</v>
      </c>
      <c r="AR1566" s="9">
        <f t="shared" si="4907"/>
        <v>44.46774194</v>
      </c>
      <c r="AS1566" s="9">
        <f t="shared" si="4568"/>
        <v>87.08709677</v>
      </c>
      <c r="AT1566" s="9">
        <f t="shared" ref="AT1566:AV1566" si="4908">AJ1566/$AF1566</f>
        <v>16.69032258</v>
      </c>
      <c r="AU1566" s="9">
        <f t="shared" si="4908"/>
        <v>7.387096774</v>
      </c>
      <c r="AV1566" s="9">
        <f t="shared" si="4908"/>
        <v>1.419354839</v>
      </c>
      <c r="AW1566" s="9">
        <f t="shared" si="4570"/>
        <v>8.806451613</v>
      </c>
      <c r="AX1566" s="9">
        <f t="shared" ref="AX1566:AY1566" si="4909">AM1566/$AF1566</f>
        <v>1.548387097</v>
      </c>
      <c r="AY1566" s="9">
        <f t="shared" si="4909"/>
        <v>0.6129032258</v>
      </c>
      <c r="AZ1566" s="9">
        <f>VLOOKUP(A1566,Jogos!A:BN,58,0)</f>
        <v>31.49</v>
      </c>
      <c r="BA1566" s="9">
        <f>VLOOKUP(A1566,Jogos!A:BN,59,0)</f>
        <v>22.745</v>
      </c>
      <c r="BB1566" s="9">
        <f>VLOOKUP(A1566,Jogos!A:BN,60,0)</f>
        <v>59.5</v>
      </c>
      <c r="BC1566" s="9">
        <f>VLOOKUP(A1566,Jogos!A:BN,61,0)</f>
        <v>32.915</v>
      </c>
      <c r="BD1566" s="9">
        <f>VLOOKUP(A1566,Jogos!A:BN,62,0)</f>
        <v>538.15</v>
      </c>
      <c r="BE1566" s="9">
        <f>VLOOKUP(A1566,Jogos!A:BN,63,0)</f>
        <v>2.19</v>
      </c>
      <c r="BF1566" s="9">
        <f>VLOOKUP(A1566,Jogos!A:BN,64,0)</f>
        <v>25.92</v>
      </c>
      <c r="BG1566" s="9">
        <f>VLOOKUP(A1566,Jogos!A:BN,65,0)</f>
        <v>46.05</v>
      </c>
      <c r="BH1566" s="9">
        <f>VLOOKUP(A1566,Jogos!A:BN,66,0)</f>
        <v>30.505</v>
      </c>
      <c r="BI1566" s="9"/>
      <c r="BJ1566" s="9"/>
    </row>
    <row r="1567" hidden="1">
      <c r="A1567" s="10">
        <v>53.0</v>
      </c>
      <c r="B1567" s="11" t="s">
        <v>1350</v>
      </c>
      <c r="C1567" s="2" t="s">
        <v>1351</v>
      </c>
      <c r="D1567" s="12">
        <v>45838.0</v>
      </c>
      <c r="E1567" s="13">
        <v>0.625</v>
      </c>
      <c r="F1567" s="5" t="str">
        <f>VLOOKUP(A1567,Jogos!A:N,10,0)</f>
        <v>Afternoon</v>
      </c>
      <c r="G1567" s="11" t="s">
        <v>1200</v>
      </c>
      <c r="H1567" s="6" t="str">
        <f>VLOOKUP(A1567,Jogos!A:L,12,0)</f>
        <v>Open</v>
      </c>
      <c r="I1567" s="6" t="str">
        <f>VLOOKUP(G1567,'Estádios e Cidades'!A:B,2,0)</f>
        <v>Charlotte</v>
      </c>
      <c r="J1567" s="11" t="s">
        <v>563</v>
      </c>
      <c r="K1567" s="2" t="str">
        <f>VLOOKUP(J1567,Equipes!A:F,6,0)</f>
        <v>Tropical</v>
      </c>
      <c r="L1567" s="2">
        <f>VLOOKUP(J1567,Equipes!A:C,3,0)</f>
        <v>4</v>
      </c>
      <c r="M1567" s="2" t="str">
        <f t="shared" si="4"/>
        <v>Semi-final</v>
      </c>
      <c r="N1567" s="11" t="s">
        <v>748</v>
      </c>
      <c r="O1567" s="2">
        <f>VLOOKUP(N1567,Equipes!A:C,3,0)</f>
        <v>12</v>
      </c>
      <c r="P1567" s="2" t="str">
        <f t="shared" si="5"/>
        <v>Round of 16</v>
      </c>
      <c r="Q1567" s="2">
        <f t="shared" si="6"/>
        <v>-8</v>
      </c>
      <c r="R1567" s="2" t="str">
        <f>VLOOKUP(J1567,Equipes!A:B,2,0)</f>
        <v>Fluminense</v>
      </c>
      <c r="S1567" s="14" t="s">
        <v>565</v>
      </c>
      <c r="T1567" s="7">
        <v>2.0</v>
      </c>
      <c r="U1567" s="7" t="s">
        <v>566</v>
      </c>
      <c r="V1567" s="7" t="str">
        <f>VLOOKUP(U1567,Jogadores!B:C,2,0)</f>
        <v>DF</v>
      </c>
      <c r="W1567" s="8">
        <f>VLOOKUP(U1567,Jogadores!B:D,3,0)</f>
        <v>35.16712329</v>
      </c>
      <c r="X1567" s="7">
        <v>0.0</v>
      </c>
      <c r="Y1567" s="7">
        <f t="shared" si="4897"/>
        <v>97</v>
      </c>
      <c r="Z1567" s="7">
        <f>VLOOKUP(A1567,Jogos!A:L,3,0)</f>
        <v>53</v>
      </c>
      <c r="AA1567" s="7">
        <f t="shared" si="4815"/>
        <v>53</v>
      </c>
      <c r="AB1567" s="7">
        <f>VLOOKUP(A1567,Jogos!A:L,4,0)</f>
        <v>52</v>
      </c>
      <c r="AC1567" s="7">
        <f t="shared" si="4816"/>
        <v>52</v>
      </c>
      <c r="AD1567" s="7"/>
      <c r="AE1567" s="7"/>
      <c r="AF1567" s="7">
        <f t="shared" si="4566"/>
        <v>105</v>
      </c>
      <c r="AG1567" s="7">
        <v>9682.0</v>
      </c>
      <c r="AH1567" s="7">
        <v>4092.4</v>
      </c>
      <c r="AI1567" s="7">
        <v>3829.7</v>
      </c>
      <c r="AJ1567" s="7">
        <v>1032.3</v>
      </c>
      <c r="AK1567" s="7">
        <v>468.2</v>
      </c>
      <c r="AL1567" s="7">
        <v>259.3</v>
      </c>
      <c r="AM1567" s="7">
        <v>97.0</v>
      </c>
      <c r="AN1567" s="7">
        <v>39.0</v>
      </c>
      <c r="AO1567" s="7">
        <v>33.2</v>
      </c>
      <c r="AP1567" s="9">
        <f t="shared" ref="AP1567:AR1567" si="4910">AG1567/$AF1567</f>
        <v>92.20952381</v>
      </c>
      <c r="AQ1567" s="9">
        <f t="shared" si="4910"/>
        <v>38.9752381</v>
      </c>
      <c r="AR1567" s="9">
        <f t="shared" si="4910"/>
        <v>36.47333333</v>
      </c>
      <c r="AS1567" s="9">
        <f t="shared" si="4568"/>
        <v>75.44857143</v>
      </c>
      <c r="AT1567" s="9">
        <f t="shared" ref="AT1567:AV1567" si="4911">AJ1567/$AF1567</f>
        <v>9.831428571</v>
      </c>
      <c r="AU1567" s="9">
        <f t="shared" si="4911"/>
        <v>4.459047619</v>
      </c>
      <c r="AV1567" s="9">
        <f t="shared" si="4911"/>
        <v>2.46952381</v>
      </c>
      <c r="AW1567" s="9">
        <f t="shared" si="4570"/>
        <v>6.928571429</v>
      </c>
      <c r="AX1567" s="9">
        <f t="shared" ref="AX1567:AY1567" si="4912">AM1567/$AF1567</f>
        <v>0.9238095238</v>
      </c>
      <c r="AY1567" s="9">
        <f t="shared" si="4912"/>
        <v>0.3714285714</v>
      </c>
      <c r="AZ1567" s="9">
        <f>VLOOKUP(A1567,Jogos!A:BN,58,0)</f>
        <v>31.49</v>
      </c>
      <c r="BA1567" s="9">
        <f>VLOOKUP(A1567,Jogos!A:BN,59,0)</f>
        <v>22.745</v>
      </c>
      <c r="BB1567" s="9">
        <f>VLOOKUP(A1567,Jogos!A:BN,60,0)</f>
        <v>59.5</v>
      </c>
      <c r="BC1567" s="9">
        <f>VLOOKUP(A1567,Jogos!A:BN,61,0)</f>
        <v>32.915</v>
      </c>
      <c r="BD1567" s="9">
        <f>VLOOKUP(A1567,Jogos!A:BN,62,0)</f>
        <v>538.15</v>
      </c>
      <c r="BE1567" s="9">
        <f>VLOOKUP(A1567,Jogos!A:BN,63,0)</f>
        <v>2.19</v>
      </c>
      <c r="BF1567" s="9">
        <f>VLOOKUP(A1567,Jogos!A:BN,64,0)</f>
        <v>25.92</v>
      </c>
      <c r="BG1567" s="9">
        <f>VLOOKUP(A1567,Jogos!A:BN,65,0)</f>
        <v>46.05</v>
      </c>
      <c r="BH1567" s="9">
        <f>VLOOKUP(A1567,Jogos!A:BN,66,0)</f>
        <v>30.505</v>
      </c>
      <c r="BI1567" s="9"/>
      <c r="BJ1567" s="9"/>
    </row>
    <row r="1568" hidden="1">
      <c r="A1568" s="10">
        <v>53.0</v>
      </c>
      <c r="B1568" s="11" t="s">
        <v>1350</v>
      </c>
      <c r="C1568" s="2" t="s">
        <v>1351</v>
      </c>
      <c r="D1568" s="12">
        <v>45838.0</v>
      </c>
      <c r="E1568" s="13">
        <v>0.625</v>
      </c>
      <c r="F1568" s="5" t="str">
        <f>VLOOKUP(A1568,Jogos!A:N,10,0)</f>
        <v>Afternoon</v>
      </c>
      <c r="G1568" s="11" t="s">
        <v>1200</v>
      </c>
      <c r="H1568" s="6" t="str">
        <f>VLOOKUP(A1568,Jogos!A:L,12,0)</f>
        <v>Open</v>
      </c>
      <c r="I1568" s="6" t="str">
        <f>VLOOKUP(G1568,'Estádios e Cidades'!A:B,2,0)</f>
        <v>Charlotte</v>
      </c>
      <c r="J1568" s="11" t="s">
        <v>563</v>
      </c>
      <c r="K1568" s="2" t="str">
        <f>VLOOKUP(J1568,Equipes!A:F,6,0)</f>
        <v>Tropical</v>
      </c>
      <c r="L1568" s="2">
        <f>VLOOKUP(J1568,Equipes!A:C,3,0)</f>
        <v>4</v>
      </c>
      <c r="M1568" s="2" t="str">
        <f t="shared" si="4"/>
        <v>Semi-final</v>
      </c>
      <c r="N1568" s="11" t="s">
        <v>748</v>
      </c>
      <c r="O1568" s="2">
        <f>VLOOKUP(N1568,Equipes!A:C,3,0)</f>
        <v>12</v>
      </c>
      <c r="P1568" s="2" t="str">
        <f t="shared" si="5"/>
        <v>Round of 16</v>
      </c>
      <c r="Q1568" s="2">
        <f t="shared" si="6"/>
        <v>-8</v>
      </c>
      <c r="R1568" s="2" t="str">
        <f>VLOOKUP(J1568,Equipes!A:B,2,0)</f>
        <v>Fluminense</v>
      </c>
      <c r="S1568" s="6" t="s">
        <v>567</v>
      </c>
      <c r="T1568" s="7">
        <v>3.0</v>
      </c>
      <c r="U1568" s="7" t="s">
        <v>568</v>
      </c>
      <c r="V1568" s="7" t="str">
        <f>VLOOKUP(U1568,Jogadores!B:C,2,0)</f>
        <v>DF</v>
      </c>
      <c r="W1568" s="8">
        <f>VLOOKUP(U1568,Jogadores!B:D,3,0)</f>
        <v>40.8739726</v>
      </c>
      <c r="X1568" s="7">
        <v>0.0</v>
      </c>
      <c r="Y1568" s="7">
        <f t="shared" si="4897"/>
        <v>97</v>
      </c>
      <c r="Z1568" s="7">
        <f>VLOOKUP(A1568,Jogos!A:L,3,0)</f>
        <v>53</v>
      </c>
      <c r="AA1568" s="7">
        <f t="shared" si="4815"/>
        <v>53</v>
      </c>
      <c r="AB1568" s="7">
        <f>VLOOKUP(A1568,Jogos!A:L,4,0)</f>
        <v>52</v>
      </c>
      <c r="AC1568" s="7">
        <f t="shared" si="4816"/>
        <v>52</v>
      </c>
      <c r="AD1568" s="7"/>
      <c r="AE1568" s="7"/>
      <c r="AF1568" s="7">
        <f t="shared" si="4566"/>
        <v>105</v>
      </c>
      <c r="AG1568" s="7">
        <v>7294.8</v>
      </c>
      <c r="AH1568" s="7">
        <v>4596.4</v>
      </c>
      <c r="AI1568" s="7">
        <v>2024.0</v>
      </c>
      <c r="AJ1568" s="7">
        <v>460.8</v>
      </c>
      <c r="AK1568" s="7">
        <v>150.3</v>
      </c>
      <c r="AL1568" s="7">
        <v>63.3</v>
      </c>
      <c r="AM1568" s="7">
        <v>36.0</v>
      </c>
      <c r="AN1568" s="7">
        <v>15.0</v>
      </c>
      <c r="AO1568" s="7">
        <v>30.9</v>
      </c>
      <c r="AP1568" s="9">
        <f t="shared" ref="AP1568:AR1568" si="4913">AG1568/$AF1568</f>
        <v>69.47428571</v>
      </c>
      <c r="AQ1568" s="9">
        <f t="shared" si="4913"/>
        <v>43.7752381</v>
      </c>
      <c r="AR1568" s="9">
        <f t="shared" si="4913"/>
        <v>19.27619048</v>
      </c>
      <c r="AS1568" s="9">
        <f t="shared" si="4568"/>
        <v>63.05142857</v>
      </c>
      <c r="AT1568" s="9">
        <f t="shared" ref="AT1568:AV1568" si="4914">AJ1568/$AF1568</f>
        <v>4.388571429</v>
      </c>
      <c r="AU1568" s="9">
        <f t="shared" si="4914"/>
        <v>1.431428571</v>
      </c>
      <c r="AV1568" s="9">
        <f t="shared" si="4914"/>
        <v>0.6028571429</v>
      </c>
      <c r="AW1568" s="9">
        <f t="shared" si="4570"/>
        <v>2.034285714</v>
      </c>
      <c r="AX1568" s="9">
        <f t="shared" ref="AX1568:AY1568" si="4915">AM1568/$AF1568</f>
        <v>0.3428571429</v>
      </c>
      <c r="AY1568" s="9">
        <f t="shared" si="4915"/>
        <v>0.1428571429</v>
      </c>
      <c r="AZ1568" s="9">
        <f>VLOOKUP(A1568,Jogos!A:BN,58,0)</f>
        <v>31.49</v>
      </c>
      <c r="BA1568" s="9">
        <f>VLOOKUP(A1568,Jogos!A:BN,59,0)</f>
        <v>22.745</v>
      </c>
      <c r="BB1568" s="9">
        <f>VLOOKUP(A1568,Jogos!A:BN,60,0)</f>
        <v>59.5</v>
      </c>
      <c r="BC1568" s="9">
        <f>VLOOKUP(A1568,Jogos!A:BN,61,0)</f>
        <v>32.915</v>
      </c>
      <c r="BD1568" s="9">
        <f>VLOOKUP(A1568,Jogos!A:BN,62,0)</f>
        <v>538.15</v>
      </c>
      <c r="BE1568" s="9">
        <f>VLOOKUP(A1568,Jogos!A:BN,63,0)</f>
        <v>2.19</v>
      </c>
      <c r="BF1568" s="9">
        <f>VLOOKUP(A1568,Jogos!A:BN,64,0)</f>
        <v>25.92</v>
      </c>
      <c r="BG1568" s="9">
        <f>VLOOKUP(A1568,Jogos!A:BN,65,0)</f>
        <v>46.05</v>
      </c>
      <c r="BH1568" s="9">
        <f>VLOOKUP(A1568,Jogos!A:BN,66,0)</f>
        <v>30.505</v>
      </c>
      <c r="BI1568" s="9"/>
      <c r="BJ1568" s="9"/>
    </row>
    <row r="1569" hidden="1">
      <c r="A1569" s="10">
        <v>53.0</v>
      </c>
      <c r="B1569" s="11" t="s">
        <v>1350</v>
      </c>
      <c r="C1569" s="2" t="s">
        <v>1351</v>
      </c>
      <c r="D1569" s="12">
        <v>45838.0</v>
      </c>
      <c r="E1569" s="13">
        <v>0.625</v>
      </c>
      <c r="F1569" s="5" t="str">
        <f>VLOOKUP(A1569,Jogos!A:N,10,0)</f>
        <v>Afternoon</v>
      </c>
      <c r="G1569" s="11" t="s">
        <v>1200</v>
      </c>
      <c r="H1569" s="6" t="str">
        <f>VLOOKUP(A1569,Jogos!A:L,12,0)</f>
        <v>Open</v>
      </c>
      <c r="I1569" s="6" t="str">
        <f>VLOOKUP(G1569,'Estádios e Cidades'!A:B,2,0)</f>
        <v>Charlotte</v>
      </c>
      <c r="J1569" s="11" t="s">
        <v>563</v>
      </c>
      <c r="K1569" s="2" t="str">
        <f>VLOOKUP(J1569,Equipes!A:F,6,0)</f>
        <v>Tropical</v>
      </c>
      <c r="L1569" s="2">
        <f>VLOOKUP(J1569,Equipes!A:C,3,0)</f>
        <v>4</v>
      </c>
      <c r="M1569" s="2" t="str">
        <f t="shared" si="4"/>
        <v>Semi-final</v>
      </c>
      <c r="N1569" s="11" t="s">
        <v>748</v>
      </c>
      <c r="O1569" s="2">
        <f>VLOOKUP(N1569,Equipes!A:C,3,0)</f>
        <v>12</v>
      </c>
      <c r="P1569" s="2" t="str">
        <f t="shared" si="5"/>
        <v>Round of 16</v>
      </c>
      <c r="Q1569" s="2">
        <f t="shared" si="6"/>
        <v>-8</v>
      </c>
      <c r="R1569" s="2" t="str">
        <f>VLOOKUP(J1569,Equipes!A:B,2,0)</f>
        <v>Fluminense</v>
      </c>
      <c r="S1569" s="6" t="s">
        <v>1305</v>
      </c>
      <c r="T1569" s="7">
        <v>4.0</v>
      </c>
      <c r="U1569" s="7" t="s">
        <v>1306</v>
      </c>
      <c r="V1569" s="7" t="str">
        <f>VLOOKUP(U1569,Jogadores!B:C,2,0)</f>
        <v>DF</v>
      </c>
      <c r="W1569" s="8">
        <f>VLOOKUP(U1569,Jogadores!B:D,3,0)</f>
        <v>28.6739726</v>
      </c>
      <c r="X1569" s="7">
        <v>0.0</v>
      </c>
      <c r="Y1569" s="7">
        <f t="shared" si="4897"/>
        <v>97</v>
      </c>
      <c r="Z1569" s="7">
        <f>VLOOKUP(A1569,Jogos!A:L,3,0)</f>
        <v>53</v>
      </c>
      <c r="AA1569" s="7">
        <f t="shared" si="4815"/>
        <v>53</v>
      </c>
      <c r="AB1569" s="7">
        <f>VLOOKUP(A1569,Jogos!A:L,4,0)</f>
        <v>52</v>
      </c>
      <c r="AC1569" s="7">
        <f t="shared" si="4816"/>
        <v>52</v>
      </c>
      <c r="AD1569" s="7"/>
      <c r="AE1569" s="7"/>
      <c r="AF1569" s="7">
        <f t="shared" si="4566"/>
        <v>105</v>
      </c>
      <c r="AG1569" s="7">
        <v>8878.3</v>
      </c>
      <c r="AH1569" s="7">
        <v>4938.6</v>
      </c>
      <c r="AI1569" s="7">
        <v>2784.9</v>
      </c>
      <c r="AJ1569" s="7">
        <v>784.5</v>
      </c>
      <c r="AK1569" s="7">
        <v>282.9</v>
      </c>
      <c r="AL1569" s="7">
        <v>87.5</v>
      </c>
      <c r="AM1569" s="7">
        <v>69.0</v>
      </c>
      <c r="AN1569" s="7">
        <v>26.0</v>
      </c>
      <c r="AO1569" s="7">
        <v>32.3</v>
      </c>
      <c r="AP1569" s="9">
        <f t="shared" ref="AP1569:AR1569" si="4916">AG1569/$AF1569</f>
        <v>84.5552381</v>
      </c>
      <c r="AQ1569" s="9">
        <f t="shared" si="4916"/>
        <v>47.03428571</v>
      </c>
      <c r="AR1569" s="9">
        <f t="shared" si="4916"/>
        <v>26.52285714</v>
      </c>
      <c r="AS1569" s="9">
        <f t="shared" si="4568"/>
        <v>73.55714286</v>
      </c>
      <c r="AT1569" s="9">
        <f t="shared" ref="AT1569:AV1569" si="4917">AJ1569/$AF1569</f>
        <v>7.471428571</v>
      </c>
      <c r="AU1569" s="9">
        <f t="shared" si="4917"/>
        <v>2.694285714</v>
      </c>
      <c r="AV1569" s="9">
        <f t="shared" si="4917"/>
        <v>0.8333333333</v>
      </c>
      <c r="AW1569" s="9">
        <f t="shared" si="4570"/>
        <v>3.527619048</v>
      </c>
      <c r="AX1569" s="9">
        <f t="shared" ref="AX1569:AY1569" si="4918">AM1569/$AF1569</f>
        <v>0.6571428571</v>
      </c>
      <c r="AY1569" s="9">
        <f t="shared" si="4918"/>
        <v>0.2476190476</v>
      </c>
      <c r="AZ1569" s="9">
        <f>VLOOKUP(A1569,Jogos!A:BN,58,0)</f>
        <v>31.49</v>
      </c>
      <c r="BA1569" s="9">
        <f>VLOOKUP(A1569,Jogos!A:BN,59,0)</f>
        <v>22.745</v>
      </c>
      <c r="BB1569" s="9">
        <f>VLOOKUP(A1569,Jogos!A:BN,60,0)</f>
        <v>59.5</v>
      </c>
      <c r="BC1569" s="9">
        <f>VLOOKUP(A1569,Jogos!A:BN,61,0)</f>
        <v>32.915</v>
      </c>
      <c r="BD1569" s="9">
        <f>VLOOKUP(A1569,Jogos!A:BN,62,0)</f>
        <v>538.15</v>
      </c>
      <c r="BE1569" s="9">
        <f>VLOOKUP(A1569,Jogos!A:BN,63,0)</f>
        <v>2.19</v>
      </c>
      <c r="BF1569" s="9">
        <f>VLOOKUP(A1569,Jogos!A:BN,64,0)</f>
        <v>25.92</v>
      </c>
      <c r="BG1569" s="9">
        <f>VLOOKUP(A1569,Jogos!A:BN,65,0)</f>
        <v>46.05</v>
      </c>
      <c r="BH1569" s="9">
        <f>VLOOKUP(A1569,Jogos!A:BN,66,0)</f>
        <v>30.505</v>
      </c>
      <c r="BI1569" s="9"/>
      <c r="BJ1569" s="9"/>
    </row>
    <row r="1570" hidden="1">
      <c r="A1570" s="10">
        <v>53.0</v>
      </c>
      <c r="B1570" s="11" t="s">
        <v>1350</v>
      </c>
      <c r="C1570" s="2" t="s">
        <v>1351</v>
      </c>
      <c r="D1570" s="12">
        <v>45838.0</v>
      </c>
      <c r="E1570" s="13">
        <v>0.625</v>
      </c>
      <c r="F1570" s="5" t="str">
        <f>VLOOKUP(A1570,Jogos!A:N,10,0)</f>
        <v>Afternoon</v>
      </c>
      <c r="G1570" s="11" t="s">
        <v>1200</v>
      </c>
      <c r="H1570" s="6" t="str">
        <f>VLOOKUP(A1570,Jogos!A:L,12,0)</f>
        <v>Open</v>
      </c>
      <c r="I1570" s="6" t="str">
        <f>VLOOKUP(G1570,'Estádios e Cidades'!A:B,2,0)</f>
        <v>Charlotte</v>
      </c>
      <c r="J1570" s="11" t="s">
        <v>563</v>
      </c>
      <c r="K1570" s="2" t="str">
        <f>VLOOKUP(J1570,Equipes!A:F,6,0)</f>
        <v>Tropical</v>
      </c>
      <c r="L1570" s="2">
        <f>VLOOKUP(J1570,Equipes!A:C,3,0)</f>
        <v>4</v>
      </c>
      <c r="M1570" s="2" t="str">
        <f t="shared" si="4"/>
        <v>Semi-final</v>
      </c>
      <c r="N1570" s="11" t="s">
        <v>748</v>
      </c>
      <c r="O1570" s="2">
        <f>VLOOKUP(N1570,Equipes!A:C,3,0)</f>
        <v>12</v>
      </c>
      <c r="P1570" s="2" t="str">
        <f t="shared" si="5"/>
        <v>Round of 16</v>
      </c>
      <c r="Q1570" s="2">
        <f t="shared" si="6"/>
        <v>-8</v>
      </c>
      <c r="R1570" s="2" t="str">
        <f>VLOOKUP(J1570,Equipes!A:B,2,0)</f>
        <v>Fluminense</v>
      </c>
      <c r="S1570" s="6" t="s">
        <v>1170</v>
      </c>
      <c r="T1570" s="7">
        <v>5.0</v>
      </c>
      <c r="U1570" s="7" t="s">
        <v>1171</v>
      </c>
      <c r="V1570" s="7" t="str">
        <f>VLOOKUP(U1570,Jogadores!B:C,2,0)</f>
        <v>MF</v>
      </c>
      <c r="W1570" s="8">
        <f>VLOOKUP(U1570,Jogadores!B:D,3,0)</f>
        <v>21.95068493</v>
      </c>
      <c r="X1570" s="7">
        <v>0.0</v>
      </c>
      <c r="Y1570" s="7">
        <v>81.0</v>
      </c>
      <c r="Z1570" s="7">
        <f>VLOOKUP(A1570,Jogos!A:L,3,0)</f>
        <v>53</v>
      </c>
      <c r="AA1570" s="7">
        <f t="shared" si="4815"/>
        <v>53</v>
      </c>
      <c r="AB1570" s="7">
        <f>VLOOKUP(A1570,Jogos!A:L,4,0)</f>
        <v>52</v>
      </c>
      <c r="AC1570" s="7">
        <f t="shared" si="4816"/>
        <v>36</v>
      </c>
      <c r="AD1570" s="7"/>
      <c r="AE1570" s="7"/>
      <c r="AF1570" s="7">
        <f t="shared" si="4566"/>
        <v>89</v>
      </c>
      <c r="AG1570" s="7">
        <v>9416.8</v>
      </c>
      <c r="AH1570" s="7">
        <v>3803.5</v>
      </c>
      <c r="AI1570" s="7">
        <v>4072.8</v>
      </c>
      <c r="AJ1570" s="7">
        <v>1225.0</v>
      </c>
      <c r="AK1570" s="7">
        <v>280.0</v>
      </c>
      <c r="AL1570" s="7">
        <v>35.5</v>
      </c>
      <c r="AM1570" s="7">
        <v>106.0</v>
      </c>
      <c r="AN1570" s="7">
        <v>25.0</v>
      </c>
      <c r="AO1570" s="7">
        <v>29.9</v>
      </c>
      <c r="AP1570" s="9">
        <f t="shared" ref="AP1570:AR1570" si="4919">AG1570/$AF1570</f>
        <v>105.8067416</v>
      </c>
      <c r="AQ1570" s="9">
        <f t="shared" si="4919"/>
        <v>42.73595506</v>
      </c>
      <c r="AR1570" s="9">
        <f t="shared" si="4919"/>
        <v>45.76179775</v>
      </c>
      <c r="AS1570" s="9">
        <f t="shared" si="4568"/>
        <v>88.49775281</v>
      </c>
      <c r="AT1570" s="9">
        <f t="shared" ref="AT1570:AV1570" si="4920">AJ1570/$AF1570</f>
        <v>13.76404494</v>
      </c>
      <c r="AU1570" s="9">
        <f t="shared" si="4920"/>
        <v>3.146067416</v>
      </c>
      <c r="AV1570" s="9">
        <f t="shared" si="4920"/>
        <v>0.3988764045</v>
      </c>
      <c r="AW1570" s="9">
        <f t="shared" si="4570"/>
        <v>3.54494382</v>
      </c>
      <c r="AX1570" s="9">
        <f t="shared" ref="AX1570:AY1570" si="4921">AM1570/$AF1570</f>
        <v>1.191011236</v>
      </c>
      <c r="AY1570" s="9">
        <f t="shared" si="4921"/>
        <v>0.2808988764</v>
      </c>
      <c r="AZ1570" s="9">
        <f>VLOOKUP(A1570,Jogos!A:BN,58,0)</f>
        <v>31.49</v>
      </c>
      <c r="BA1570" s="9">
        <f>VLOOKUP(A1570,Jogos!A:BN,59,0)</f>
        <v>22.745</v>
      </c>
      <c r="BB1570" s="9">
        <f>VLOOKUP(A1570,Jogos!A:BN,60,0)</f>
        <v>59.5</v>
      </c>
      <c r="BC1570" s="9">
        <f>VLOOKUP(A1570,Jogos!A:BN,61,0)</f>
        <v>32.915</v>
      </c>
      <c r="BD1570" s="9">
        <f>VLOOKUP(A1570,Jogos!A:BN,62,0)</f>
        <v>538.15</v>
      </c>
      <c r="BE1570" s="9">
        <f>VLOOKUP(A1570,Jogos!A:BN,63,0)</f>
        <v>2.19</v>
      </c>
      <c r="BF1570" s="9">
        <f>VLOOKUP(A1570,Jogos!A:BN,64,0)</f>
        <v>25.92</v>
      </c>
      <c r="BG1570" s="9">
        <f>VLOOKUP(A1570,Jogos!A:BN,65,0)</f>
        <v>46.05</v>
      </c>
      <c r="BH1570" s="9">
        <f>VLOOKUP(A1570,Jogos!A:BN,66,0)</f>
        <v>30.505</v>
      </c>
      <c r="BI1570" s="9"/>
      <c r="BJ1570" s="9"/>
    </row>
    <row r="1571" hidden="1">
      <c r="A1571" s="10">
        <v>53.0</v>
      </c>
      <c r="B1571" s="11" t="s">
        <v>1350</v>
      </c>
      <c r="C1571" s="2" t="s">
        <v>1351</v>
      </c>
      <c r="D1571" s="12">
        <v>45838.0</v>
      </c>
      <c r="E1571" s="13">
        <v>0.625</v>
      </c>
      <c r="F1571" s="5" t="str">
        <f>VLOOKUP(A1571,Jogos!A:N,10,0)</f>
        <v>Afternoon</v>
      </c>
      <c r="G1571" s="11" t="s">
        <v>1200</v>
      </c>
      <c r="H1571" s="6" t="str">
        <f>VLOOKUP(A1571,Jogos!A:L,12,0)</f>
        <v>Open</v>
      </c>
      <c r="I1571" s="6" t="str">
        <f>VLOOKUP(G1571,'Estádios e Cidades'!A:B,2,0)</f>
        <v>Charlotte</v>
      </c>
      <c r="J1571" s="11" t="s">
        <v>563</v>
      </c>
      <c r="K1571" s="2" t="str">
        <f>VLOOKUP(J1571,Equipes!A:F,6,0)</f>
        <v>Tropical</v>
      </c>
      <c r="L1571" s="2">
        <f>VLOOKUP(J1571,Equipes!A:C,3,0)</f>
        <v>4</v>
      </c>
      <c r="M1571" s="2" t="str">
        <f t="shared" si="4"/>
        <v>Semi-final</v>
      </c>
      <c r="N1571" s="11" t="s">
        <v>748</v>
      </c>
      <c r="O1571" s="2">
        <f>VLOOKUP(N1571,Equipes!A:C,3,0)</f>
        <v>12</v>
      </c>
      <c r="P1571" s="2" t="str">
        <f t="shared" si="5"/>
        <v>Round of 16</v>
      </c>
      <c r="Q1571" s="2">
        <f t="shared" si="6"/>
        <v>-8</v>
      </c>
      <c r="R1571" s="2" t="str">
        <f>VLOOKUP(J1571,Equipes!A:B,2,0)</f>
        <v>Fluminense</v>
      </c>
      <c r="S1571" s="6" t="s">
        <v>569</v>
      </c>
      <c r="T1571" s="7">
        <v>6.0</v>
      </c>
      <c r="U1571" s="7" t="s">
        <v>570</v>
      </c>
      <c r="V1571" s="7" t="str">
        <f>VLOOKUP(U1571,Jogadores!B:C,2,0)</f>
        <v>DF</v>
      </c>
      <c r="W1571" s="8">
        <f>VLOOKUP(U1571,Jogadores!B:D,3,0)</f>
        <v>32.89041096</v>
      </c>
      <c r="X1571" s="7">
        <v>0.0</v>
      </c>
      <c r="Y1571" s="7">
        <f>45+AB1571</f>
        <v>97</v>
      </c>
      <c r="Z1571" s="7">
        <f>VLOOKUP(A1571,Jogos!A:L,3,0)</f>
        <v>53</v>
      </c>
      <c r="AA1571" s="7">
        <f t="shared" si="4815"/>
        <v>53</v>
      </c>
      <c r="AB1571" s="7">
        <f>VLOOKUP(A1571,Jogos!A:L,4,0)</f>
        <v>52</v>
      </c>
      <c r="AC1571" s="7">
        <f t="shared" si="4816"/>
        <v>52</v>
      </c>
      <c r="AD1571" s="7"/>
      <c r="AE1571" s="7"/>
      <c r="AF1571" s="7">
        <f t="shared" si="4566"/>
        <v>105</v>
      </c>
      <c r="AG1571" s="7">
        <v>9563.8</v>
      </c>
      <c r="AH1571" s="7">
        <v>4813.2</v>
      </c>
      <c r="AI1571" s="7">
        <v>3541.9</v>
      </c>
      <c r="AJ1571" s="7">
        <v>808.6</v>
      </c>
      <c r="AK1571" s="7">
        <v>289.3</v>
      </c>
      <c r="AL1571" s="7">
        <v>110.8</v>
      </c>
      <c r="AM1571" s="7">
        <v>72.0</v>
      </c>
      <c r="AN1571" s="7">
        <v>23.0</v>
      </c>
      <c r="AO1571" s="7">
        <v>31.4</v>
      </c>
      <c r="AP1571" s="9">
        <f t="shared" ref="AP1571:AR1571" si="4922">AG1571/$AF1571</f>
        <v>91.08380952</v>
      </c>
      <c r="AQ1571" s="9">
        <f t="shared" si="4922"/>
        <v>45.84</v>
      </c>
      <c r="AR1571" s="9">
        <f t="shared" si="4922"/>
        <v>33.73238095</v>
      </c>
      <c r="AS1571" s="9">
        <f t="shared" si="4568"/>
        <v>79.57238095</v>
      </c>
      <c r="AT1571" s="9">
        <f t="shared" ref="AT1571:AV1571" si="4923">AJ1571/$AF1571</f>
        <v>7.700952381</v>
      </c>
      <c r="AU1571" s="9">
        <f t="shared" si="4923"/>
        <v>2.755238095</v>
      </c>
      <c r="AV1571" s="9">
        <f t="shared" si="4923"/>
        <v>1.055238095</v>
      </c>
      <c r="AW1571" s="9">
        <f t="shared" si="4570"/>
        <v>3.81047619</v>
      </c>
      <c r="AX1571" s="9">
        <f t="shared" ref="AX1571:AY1571" si="4924">AM1571/$AF1571</f>
        <v>0.6857142857</v>
      </c>
      <c r="AY1571" s="9">
        <f t="shared" si="4924"/>
        <v>0.219047619</v>
      </c>
      <c r="AZ1571" s="9">
        <f>VLOOKUP(A1571,Jogos!A:BN,58,0)</f>
        <v>31.49</v>
      </c>
      <c r="BA1571" s="9">
        <f>VLOOKUP(A1571,Jogos!A:BN,59,0)</f>
        <v>22.745</v>
      </c>
      <c r="BB1571" s="9">
        <f>VLOOKUP(A1571,Jogos!A:BN,60,0)</f>
        <v>59.5</v>
      </c>
      <c r="BC1571" s="9">
        <f>VLOOKUP(A1571,Jogos!A:BN,61,0)</f>
        <v>32.915</v>
      </c>
      <c r="BD1571" s="9">
        <f>VLOOKUP(A1571,Jogos!A:BN,62,0)</f>
        <v>538.15</v>
      </c>
      <c r="BE1571" s="9">
        <f>VLOOKUP(A1571,Jogos!A:BN,63,0)</f>
        <v>2.19</v>
      </c>
      <c r="BF1571" s="9">
        <f>VLOOKUP(A1571,Jogos!A:BN,64,0)</f>
        <v>25.92</v>
      </c>
      <c r="BG1571" s="9">
        <f>VLOOKUP(A1571,Jogos!A:BN,65,0)</f>
        <v>46.05</v>
      </c>
      <c r="BH1571" s="9">
        <f>VLOOKUP(A1571,Jogos!A:BN,66,0)</f>
        <v>30.505</v>
      </c>
      <c r="BI1571" s="9"/>
      <c r="BJ1571" s="9"/>
    </row>
    <row r="1572" hidden="1">
      <c r="A1572" s="10">
        <v>53.0</v>
      </c>
      <c r="B1572" s="11" t="s">
        <v>1350</v>
      </c>
      <c r="C1572" s="2" t="s">
        <v>1351</v>
      </c>
      <c r="D1572" s="12">
        <v>45838.0</v>
      </c>
      <c r="E1572" s="13">
        <v>0.625</v>
      </c>
      <c r="F1572" s="5" t="str">
        <f>VLOOKUP(A1572,Jogos!A:N,10,0)</f>
        <v>Afternoon</v>
      </c>
      <c r="G1572" s="11" t="s">
        <v>1200</v>
      </c>
      <c r="H1572" s="6" t="str">
        <f>VLOOKUP(A1572,Jogos!A:L,12,0)</f>
        <v>Open</v>
      </c>
      <c r="I1572" s="6" t="str">
        <f>VLOOKUP(G1572,'Estádios e Cidades'!A:B,2,0)</f>
        <v>Charlotte</v>
      </c>
      <c r="J1572" s="11" t="s">
        <v>563</v>
      </c>
      <c r="K1572" s="2" t="str">
        <f>VLOOKUP(J1572,Equipes!A:F,6,0)</f>
        <v>Tropical</v>
      </c>
      <c r="L1572" s="2">
        <f>VLOOKUP(J1572,Equipes!A:C,3,0)</f>
        <v>4</v>
      </c>
      <c r="M1572" s="2" t="str">
        <f t="shared" si="4"/>
        <v>Semi-final</v>
      </c>
      <c r="N1572" s="11" t="s">
        <v>748</v>
      </c>
      <c r="O1572" s="2">
        <f>VLOOKUP(N1572,Equipes!A:C,3,0)</f>
        <v>12</v>
      </c>
      <c r="P1572" s="2" t="str">
        <f t="shared" si="5"/>
        <v>Round of 16</v>
      </c>
      <c r="Q1572" s="2">
        <f t="shared" si="6"/>
        <v>-8</v>
      </c>
      <c r="R1572" s="2" t="str">
        <f>VLOOKUP(J1572,Equipes!A:B,2,0)</f>
        <v>Fluminense</v>
      </c>
      <c r="S1572" s="6" t="s">
        <v>571</v>
      </c>
      <c r="T1572" s="7">
        <v>8.0</v>
      </c>
      <c r="U1572" s="7" t="s">
        <v>572</v>
      </c>
      <c r="V1572" s="7" t="str">
        <f>VLOOKUP(U1572,Jogadores!B:C,2,0)</f>
        <v>MF</v>
      </c>
      <c r="W1572" s="8">
        <f>VLOOKUP(U1572,Jogadores!B:D,3,0)</f>
        <v>23.82739726</v>
      </c>
      <c r="X1572" s="7">
        <v>0.0</v>
      </c>
      <c r="Y1572" s="7">
        <v>61.0</v>
      </c>
      <c r="Z1572" s="7">
        <f>VLOOKUP(A1572,Jogos!A:L,3,0)</f>
        <v>53</v>
      </c>
      <c r="AA1572" s="7">
        <f t="shared" si="4815"/>
        <v>53</v>
      </c>
      <c r="AB1572" s="7">
        <f>VLOOKUP(A1572,Jogos!A:L,4,0)</f>
        <v>52</v>
      </c>
      <c r="AC1572" s="7">
        <f t="shared" si="4816"/>
        <v>16</v>
      </c>
      <c r="AD1572" s="7"/>
      <c r="AE1572" s="7"/>
      <c r="AF1572" s="7">
        <f t="shared" si="4566"/>
        <v>69</v>
      </c>
      <c r="AG1572" s="7">
        <v>7097.3</v>
      </c>
      <c r="AH1572" s="7">
        <v>2521.8</v>
      </c>
      <c r="AI1572" s="7">
        <v>3054.5</v>
      </c>
      <c r="AJ1572" s="7">
        <v>1085.6</v>
      </c>
      <c r="AK1572" s="7">
        <v>369.2</v>
      </c>
      <c r="AL1572" s="7">
        <v>66.2</v>
      </c>
      <c r="AM1572" s="7">
        <v>102.0</v>
      </c>
      <c r="AN1572" s="7">
        <v>26.0</v>
      </c>
      <c r="AO1572" s="7">
        <v>29.7</v>
      </c>
      <c r="AP1572" s="9">
        <f t="shared" ref="AP1572:AR1572" si="4925">AG1572/$AF1572</f>
        <v>102.8594203</v>
      </c>
      <c r="AQ1572" s="9">
        <f t="shared" si="4925"/>
        <v>36.54782609</v>
      </c>
      <c r="AR1572" s="9">
        <f t="shared" si="4925"/>
        <v>44.26811594</v>
      </c>
      <c r="AS1572" s="9">
        <f t="shared" si="4568"/>
        <v>80.81594203</v>
      </c>
      <c r="AT1572" s="9">
        <f t="shared" ref="AT1572:AV1572" si="4926">AJ1572/$AF1572</f>
        <v>15.73333333</v>
      </c>
      <c r="AU1572" s="9">
        <f t="shared" si="4926"/>
        <v>5.350724638</v>
      </c>
      <c r="AV1572" s="9">
        <f t="shared" si="4926"/>
        <v>0.9594202899</v>
      </c>
      <c r="AW1572" s="9">
        <f t="shared" si="4570"/>
        <v>6.310144928</v>
      </c>
      <c r="AX1572" s="9">
        <f t="shared" ref="AX1572:AY1572" si="4927">AM1572/$AF1572</f>
        <v>1.47826087</v>
      </c>
      <c r="AY1572" s="9">
        <f t="shared" si="4927"/>
        <v>0.3768115942</v>
      </c>
      <c r="AZ1572" s="9">
        <f>VLOOKUP(A1572,Jogos!A:BN,58,0)</f>
        <v>31.49</v>
      </c>
      <c r="BA1572" s="9">
        <f>VLOOKUP(A1572,Jogos!A:BN,59,0)</f>
        <v>22.745</v>
      </c>
      <c r="BB1572" s="9">
        <f>VLOOKUP(A1572,Jogos!A:BN,60,0)</f>
        <v>59.5</v>
      </c>
      <c r="BC1572" s="9">
        <f>VLOOKUP(A1572,Jogos!A:BN,61,0)</f>
        <v>32.915</v>
      </c>
      <c r="BD1572" s="9">
        <f>VLOOKUP(A1572,Jogos!A:BN,62,0)</f>
        <v>538.15</v>
      </c>
      <c r="BE1572" s="9">
        <f>VLOOKUP(A1572,Jogos!A:BN,63,0)</f>
        <v>2.19</v>
      </c>
      <c r="BF1572" s="9">
        <f>VLOOKUP(A1572,Jogos!A:BN,64,0)</f>
        <v>25.92</v>
      </c>
      <c r="BG1572" s="9">
        <f>VLOOKUP(A1572,Jogos!A:BN,65,0)</f>
        <v>46.05</v>
      </c>
      <c r="BH1572" s="9">
        <f>VLOOKUP(A1572,Jogos!A:BN,66,0)</f>
        <v>30.505</v>
      </c>
      <c r="BI1572" s="9"/>
      <c r="BJ1572" s="9"/>
    </row>
    <row r="1573" hidden="1">
      <c r="A1573" s="10">
        <v>53.0</v>
      </c>
      <c r="B1573" s="11" t="s">
        <v>1350</v>
      </c>
      <c r="C1573" s="2" t="s">
        <v>1351</v>
      </c>
      <c r="D1573" s="12">
        <v>45838.0</v>
      </c>
      <c r="E1573" s="13">
        <v>0.625</v>
      </c>
      <c r="F1573" s="5" t="str">
        <f>VLOOKUP(A1573,Jogos!A:N,10,0)</f>
        <v>Afternoon</v>
      </c>
      <c r="G1573" s="11" t="s">
        <v>1200</v>
      </c>
      <c r="H1573" s="6" t="str">
        <f>VLOOKUP(A1573,Jogos!A:L,12,0)</f>
        <v>Open</v>
      </c>
      <c r="I1573" s="6" t="str">
        <f>VLOOKUP(G1573,'Estádios e Cidades'!A:B,2,0)</f>
        <v>Charlotte</v>
      </c>
      <c r="J1573" s="11" t="s">
        <v>563</v>
      </c>
      <c r="K1573" s="2" t="str">
        <f>VLOOKUP(J1573,Equipes!A:F,6,0)</f>
        <v>Tropical</v>
      </c>
      <c r="L1573" s="2">
        <f>VLOOKUP(J1573,Equipes!A:C,3,0)</f>
        <v>4</v>
      </c>
      <c r="M1573" s="2" t="str">
        <f t="shared" si="4"/>
        <v>Semi-final</v>
      </c>
      <c r="N1573" s="11" t="s">
        <v>748</v>
      </c>
      <c r="O1573" s="2">
        <f>VLOOKUP(N1573,Equipes!A:C,3,0)</f>
        <v>12</v>
      </c>
      <c r="P1573" s="2" t="str">
        <f t="shared" si="5"/>
        <v>Round of 16</v>
      </c>
      <c r="Q1573" s="2">
        <f t="shared" si="6"/>
        <v>-8</v>
      </c>
      <c r="R1573" s="2" t="str">
        <f>VLOOKUP(J1573,Equipes!A:B,2,0)</f>
        <v>Fluminense</v>
      </c>
      <c r="S1573" s="6" t="s">
        <v>585</v>
      </c>
      <c r="T1573" s="7">
        <v>14.0</v>
      </c>
      <c r="U1573" s="7" t="s">
        <v>586</v>
      </c>
      <c r="V1573" s="7" t="str">
        <f>VLOOKUP(U1573,Jogadores!B:C,2,0)</f>
        <v>FW</v>
      </c>
      <c r="W1573" s="8">
        <f>VLOOKUP(U1573,Jogadores!B:D,3,0)</f>
        <v>37.50958904</v>
      </c>
      <c r="X1573" s="7">
        <v>0.0</v>
      </c>
      <c r="Y1573" s="7">
        <v>66.0</v>
      </c>
      <c r="Z1573" s="7">
        <f>VLOOKUP(A1573,Jogos!A:L,3,0)</f>
        <v>53</v>
      </c>
      <c r="AA1573" s="7">
        <f t="shared" si="4815"/>
        <v>53</v>
      </c>
      <c r="AB1573" s="7">
        <f>VLOOKUP(A1573,Jogos!A:L,4,0)</f>
        <v>52</v>
      </c>
      <c r="AC1573" s="7">
        <f t="shared" si="4816"/>
        <v>21</v>
      </c>
      <c r="AD1573" s="7"/>
      <c r="AE1573" s="7"/>
      <c r="AF1573" s="7">
        <f t="shared" si="4566"/>
        <v>74</v>
      </c>
      <c r="AG1573" s="7">
        <v>7323.4</v>
      </c>
      <c r="AH1573" s="7">
        <v>3154.7</v>
      </c>
      <c r="AI1573" s="7">
        <v>2541.4</v>
      </c>
      <c r="AJ1573" s="7">
        <v>1141.7</v>
      </c>
      <c r="AK1573" s="7">
        <v>446.5</v>
      </c>
      <c r="AL1573" s="7">
        <v>39.0</v>
      </c>
      <c r="AM1573" s="7">
        <v>99.0</v>
      </c>
      <c r="AN1573" s="7">
        <v>30.0</v>
      </c>
      <c r="AO1573" s="7">
        <v>28.2</v>
      </c>
      <c r="AP1573" s="9">
        <f t="shared" ref="AP1573:AR1573" si="4928">AG1573/$AF1573</f>
        <v>98.96486486</v>
      </c>
      <c r="AQ1573" s="9">
        <f t="shared" si="4928"/>
        <v>42.63108108</v>
      </c>
      <c r="AR1573" s="9">
        <f t="shared" si="4928"/>
        <v>34.34324324</v>
      </c>
      <c r="AS1573" s="9">
        <f t="shared" si="4568"/>
        <v>76.97432432</v>
      </c>
      <c r="AT1573" s="9">
        <f t="shared" ref="AT1573:AV1573" si="4929">AJ1573/$AF1573</f>
        <v>15.42837838</v>
      </c>
      <c r="AU1573" s="9">
        <f t="shared" si="4929"/>
        <v>6.033783784</v>
      </c>
      <c r="AV1573" s="9">
        <f t="shared" si="4929"/>
        <v>0.527027027</v>
      </c>
      <c r="AW1573" s="9">
        <f t="shared" si="4570"/>
        <v>6.560810811</v>
      </c>
      <c r="AX1573" s="9">
        <f t="shared" ref="AX1573:AY1573" si="4930">AM1573/$AF1573</f>
        <v>1.337837838</v>
      </c>
      <c r="AY1573" s="9">
        <f t="shared" si="4930"/>
        <v>0.4054054054</v>
      </c>
      <c r="AZ1573" s="9">
        <f>VLOOKUP(A1573,Jogos!A:BN,58,0)</f>
        <v>31.49</v>
      </c>
      <c r="BA1573" s="9">
        <f>VLOOKUP(A1573,Jogos!A:BN,59,0)</f>
        <v>22.745</v>
      </c>
      <c r="BB1573" s="9">
        <f>VLOOKUP(A1573,Jogos!A:BN,60,0)</f>
        <v>59.5</v>
      </c>
      <c r="BC1573" s="9">
        <f>VLOOKUP(A1573,Jogos!A:BN,61,0)</f>
        <v>32.915</v>
      </c>
      <c r="BD1573" s="9">
        <f>VLOOKUP(A1573,Jogos!A:BN,62,0)</f>
        <v>538.15</v>
      </c>
      <c r="BE1573" s="9">
        <f>VLOOKUP(A1573,Jogos!A:BN,63,0)</f>
        <v>2.19</v>
      </c>
      <c r="BF1573" s="9">
        <f>VLOOKUP(A1573,Jogos!A:BN,64,0)</f>
        <v>25.92</v>
      </c>
      <c r="BG1573" s="9">
        <f>VLOOKUP(A1573,Jogos!A:BN,65,0)</f>
        <v>46.05</v>
      </c>
      <c r="BH1573" s="9">
        <f>VLOOKUP(A1573,Jogos!A:BN,66,0)</f>
        <v>30.505</v>
      </c>
      <c r="BI1573" s="9"/>
      <c r="BJ1573" s="9"/>
    </row>
    <row r="1574" hidden="1">
      <c r="A1574" s="10">
        <v>53.0</v>
      </c>
      <c r="B1574" s="11" t="s">
        <v>1350</v>
      </c>
      <c r="C1574" s="2" t="s">
        <v>1351</v>
      </c>
      <c r="D1574" s="12">
        <v>45838.0</v>
      </c>
      <c r="E1574" s="13">
        <v>0.625</v>
      </c>
      <c r="F1574" s="5" t="str">
        <f>VLOOKUP(A1574,Jogos!A:N,10,0)</f>
        <v>Afternoon</v>
      </c>
      <c r="G1574" s="11" t="s">
        <v>1200</v>
      </c>
      <c r="H1574" s="6" t="str">
        <f>VLOOKUP(A1574,Jogos!A:L,12,0)</f>
        <v>Open</v>
      </c>
      <c r="I1574" s="6" t="str">
        <f>VLOOKUP(G1574,'Estádios e Cidades'!A:B,2,0)</f>
        <v>Charlotte</v>
      </c>
      <c r="J1574" s="11" t="s">
        <v>563</v>
      </c>
      <c r="K1574" s="2" t="str">
        <f>VLOOKUP(J1574,Equipes!A:F,6,0)</f>
        <v>Tropical</v>
      </c>
      <c r="L1574" s="2">
        <f>VLOOKUP(J1574,Equipes!A:C,3,0)</f>
        <v>4</v>
      </c>
      <c r="M1574" s="2" t="str">
        <f t="shared" si="4"/>
        <v>Semi-final</v>
      </c>
      <c r="N1574" s="11" t="s">
        <v>748</v>
      </c>
      <c r="O1574" s="2">
        <f>VLOOKUP(N1574,Equipes!A:C,3,0)</f>
        <v>12</v>
      </c>
      <c r="P1574" s="2" t="str">
        <f t="shared" si="5"/>
        <v>Round of 16</v>
      </c>
      <c r="Q1574" s="2">
        <f t="shared" si="6"/>
        <v>-8</v>
      </c>
      <c r="R1574" s="2" t="str">
        <f>VLOOKUP(J1574,Equipes!A:B,2,0)</f>
        <v>Fluminense</v>
      </c>
      <c r="S1574" s="6" t="s">
        <v>575</v>
      </c>
      <c r="T1574" s="7">
        <v>16.0</v>
      </c>
      <c r="U1574" s="7" t="s">
        <v>576</v>
      </c>
      <c r="V1574" s="7" t="str">
        <f>VLOOKUP(U1574,Jogadores!B:C,2,0)</f>
        <v>MF</v>
      </c>
      <c r="W1574" s="8">
        <f>VLOOKUP(U1574,Jogadores!B:D,3,0)</f>
        <v>27.42191781</v>
      </c>
      <c r="X1574" s="7">
        <v>0.0</v>
      </c>
      <c r="Y1574" s="7">
        <v>60.0</v>
      </c>
      <c r="Z1574" s="7">
        <f>VLOOKUP(A1574,Jogos!A:L,3,0)</f>
        <v>53</v>
      </c>
      <c r="AA1574" s="7">
        <f t="shared" si="4815"/>
        <v>53</v>
      </c>
      <c r="AB1574" s="7">
        <f>VLOOKUP(A1574,Jogos!A:L,4,0)</f>
        <v>52</v>
      </c>
      <c r="AC1574" s="7">
        <f t="shared" si="4816"/>
        <v>15</v>
      </c>
      <c r="AD1574" s="7"/>
      <c r="AE1574" s="7"/>
      <c r="AF1574" s="7">
        <f t="shared" si="4566"/>
        <v>68</v>
      </c>
      <c r="AG1574" s="7">
        <v>7537.9</v>
      </c>
      <c r="AH1574" s="7">
        <v>2633.5</v>
      </c>
      <c r="AI1574" s="7">
        <v>3293.3</v>
      </c>
      <c r="AJ1574" s="7">
        <v>1012.9</v>
      </c>
      <c r="AK1574" s="7">
        <v>421.5</v>
      </c>
      <c r="AL1574" s="7">
        <v>176.8</v>
      </c>
      <c r="AM1574" s="7">
        <v>95.0</v>
      </c>
      <c r="AN1574" s="7">
        <v>32.0</v>
      </c>
      <c r="AO1574" s="7">
        <v>29.5</v>
      </c>
      <c r="AP1574" s="9">
        <f t="shared" ref="AP1574:AR1574" si="4931">AG1574/$AF1574</f>
        <v>110.8514706</v>
      </c>
      <c r="AQ1574" s="9">
        <f t="shared" si="4931"/>
        <v>38.72794118</v>
      </c>
      <c r="AR1574" s="9">
        <f t="shared" si="4931"/>
        <v>48.43088235</v>
      </c>
      <c r="AS1574" s="9">
        <f t="shared" si="4568"/>
        <v>87.15882353</v>
      </c>
      <c r="AT1574" s="9">
        <f t="shared" ref="AT1574:AV1574" si="4932">AJ1574/$AF1574</f>
        <v>14.89558824</v>
      </c>
      <c r="AU1574" s="9">
        <f t="shared" si="4932"/>
        <v>6.198529412</v>
      </c>
      <c r="AV1574" s="9">
        <f t="shared" si="4932"/>
        <v>2.6</v>
      </c>
      <c r="AW1574" s="9">
        <f t="shared" si="4570"/>
        <v>8.798529412</v>
      </c>
      <c r="AX1574" s="9">
        <f t="shared" ref="AX1574:AY1574" si="4933">AM1574/$AF1574</f>
        <v>1.397058824</v>
      </c>
      <c r="AY1574" s="9">
        <f t="shared" si="4933"/>
        <v>0.4705882353</v>
      </c>
      <c r="AZ1574" s="9">
        <f>VLOOKUP(A1574,Jogos!A:BN,58,0)</f>
        <v>31.49</v>
      </c>
      <c r="BA1574" s="9">
        <f>VLOOKUP(A1574,Jogos!A:BN,59,0)</f>
        <v>22.745</v>
      </c>
      <c r="BB1574" s="9">
        <f>VLOOKUP(A1574,Jogos!A:BN,60,0)</f>
        <v>59.5</v>
      </c>
      <c r="BC1574" s="9">
        <f>VLOOKUP(A1574,Jogos!A:BN,61,0)</f>
        <v>32.915</v>
      </c>
      <c r="BD1574" s="9">
        <f>VLOOKUP(A1574,Jogos!A:BN,62,0)</f>
        <v>538.15</v>
      </c>
      <c r="BE1574" s="9">
        <f>VLOOKUP(A1574,Jogos!A:BN,63,0)</f>
        <v>2.19</v>
      </c>
      <c r="BF1574" s="9">
        <f>VLOOKUP(A1574,Jogos!A:BN,64,0)</f>
        <v>25.92</v>
      </c>
      <c r="BG1574" s="9">
        <f>VLOOKUP(A1574,Jogos!A:BN,65,0)</f>
        <v>46.05</v>
      </c>
      <c r="BH1574" s="9">
        <f>VLOOKUP(A1574,Jogos!A:BN,66,0)</f>
        <v>30.505</v>
      </c>
      <c r="BI1574" s="9"/>
      <c r="BJ1574" s="9"/>
    </row>
    <row r="1575" hidden="1">
      <c r="A1575" s="10">
        <v>53.0</v>
      </c>
      <c r="B1575" s="11" t="s">
        <v>1350</v>
      </c>
      <c r="C1575" s="2" t="s">
        <v>1351</v>
      </c>
      <c r="D1575" s="12">
        <v>45838.0</v>
      </c>
      <c r="E1575" s="13">
        <v>0.625</v>
      </c>
      <c r="F1575" s="5" t="str">
        <f>VLOOKUP(A1575,Jogos!A:N,10,0)</f>
        <v>Afternoon</v>
      </c>
      <c r="G1575" s="11" t="s">
        <v>1200</v>
      </c>
      <c r="H1575" s="6" t="str">
        <f>VLOOKUP(A1575,Jogos!A:L,12,0)</f>
        <v>Open</v>
      </c>
      <c r="I1575" s="6" t="str">
        <f>VLOOKUP(G1575,'Estádios e Cidades'!A:B,2,0)</f>
        <v>Charlotte</v>
      </c>
      <c r="J1575" s="11" t="s">
        <v>563</v>
      </c>
      <c r="K1575" s="2" t="str">
        <f>VLOOKUP(J1575,Equipes!A:F,6,0)</f>
        <v>Tropical</v>
      </c>
      <c r="L1575" s="2">
        <f>VLOOKUP(J1575,Equipes!A:C,3,0)</f>
        <v>4</v>
      </c>
      <c r="M1575" s="2" t="str">
        <f t="shared" si="4"/>
        <v>Semi-final</v>
      </c>
      <c r="N1575" s="11" t="s">
        <v>748</v>
      </c>
      <c r="O1575" s="2">
        <f>VLOOKUP(N1575,Equipes!A:C,3,0)</f>
        <v>12</v>
      </c>
      <c r="P1575" s="2" t="str">
        <f t="shared" si="5"/>
        <v>Round of 16</v>
      </c>
      <c r="Q1575" s="2">
        <f t="shared" si="6"/>
        <v>-8</v>
      </c>
      <c r="R1575" s="2" t="str">
        <f>VLOOKUP(J1575,Equipes!A:B,2,0)</f>
        <v>Fluminense</v>
      </c>
      <c r="S1575" s="6" t="s">
        <v>579</v>
      </c>
      <c r="T1575" s="7">
        <v>21.0</v>
      </c>
      <c r="U1575" s="7" t="s">
        <v>580</v>
      </c>
      <c r="V1575" s="7" t="str">
        <f>VLOOKUP(U1575,Jogadores!B:C,2,0)</f>
        <v>FW</v>
      </c>
      <c r="W1575" s="8">
        <f>VLOOKUP(U1575,Jogadores!B:D,3,0)</f>
        <v>27.86849315</v>
      </c>
      <c r="X1575" s="7">
        <v>0.0</v>
      </c>
      <c r="Y1575" s="7">
        <f t="shared" ref="Y1575:Y1580" si="4937">45+AB1575</f>
        <v>97</v>
      </c>
      <c r="Z1575" s="7">
        <f>VLOOKUP(A1575,Jogos!A:L,3,0)</f>
        <v>53</v>
      </c>
      <c r="AA1575" s="7">
        <f t="shared" si="4815"/>
        <v>53</v>
      </c>
      <c r="AB1575" s="7">
        <f>VLOOKUP(A1575,Jogos!A:L,4,0)</f>
        <v>52</v>
      </c>
      <c r="AC1575" s="7">
        <f t="shared" si="4816"/>
        <v>52</v>
      </c>
      <c r="AD1575" s="7"/>
      <c r="AE1575" s="7"/>
      <c r="AF1575" s="7">
        <f t="shared" si="4566"/>
        <v>105</v>
      </c>
      <c r="AG1575" s="7">
        <v>8907.8</v>
      </c>
      <c r="AH1575" s="7">
        <v>5159.3</v>
      </c>
      <c r="AI1575" s="7">
        <v>2526.4</v>
      </c>
      <c r="AJ1575" s="7">
        <v>667.5</v>
      </c>
      <c r="AK1575" s="7">
        <v>430.1</v>
      </c>
      <c r="AL1575" s="7">
        <v>124.5</v>
      </c>
      <c r="AM1575" s="7">
        <v>52.0</v>
      </c>
      <c r="AN1575" s="7">
        <v>32.0</v>
      </c>
      <c r="AO1575" s="7">
        <v>31.0</v>
      </c>
      <c r="AP1575" s="9">
        <f t="shared" ref="AP1575:AR1575" si="4934">AG1575/$AF1575</f>
        <v>84.83619048</v>
      </c>
      <c r="AQ1575" s="9">
        <f t="shared" si="4934"/>
        <v>49.13619048</v>
      </c>
      <c r="AR1575" s="9">
        <f t="shared" si="4934"/>
        <v>24.06095238</v>
      </c>
      <c r="AS1575" s="9">
        <f t="shared" si="4568"/>
        <v>73.19714286</v>
      </c>
      <c r="AT1575" s="9">
        <f t="shared" ref="AT1575:AV1575" si="4935">AJ1575/$AF1575</f>
        <v>6.357142857</v>
      </c>
      <c r="AU1575" s="9">
        <f t="shared" si="4935"/>
        <v>4.096190476</v>
      </c>
      <c r="AV1575" s="9">
        <f t="shared" si="4935"/>
        <v>1.185714286</v>
      </c>
      <c r="AW1575" s="9">
        <f t="shared" si="4570"/>
        <v>5.281904762</v>
      </c>
      <c r="AX1575" s="9">
        <f t="shared" ref="AX1575:AY1575" si="4936">AM1575/$AF1575</f>
        <v>0.4952380952</v>
      </c>
      <c r="AY1575" s="9">
        <f t="shared" si="4936"/>
        <v>0.3047619048</v>
      </c>
      <c r="AZ1575" s="9">
        <f>VLOOKUP(A1575,Jogos!A:BN,58,0)</f>
        <v>31.49</v>
      </c>
      <c r="BA1575" s="9">
        <f>VLOOKUP(A1575,Jogos!A:BN,59,0)</f>
        <v>22.745</v>
      </c>
      <c r="BB1575" s="9">
        <f>VLOOKUP(A1575,Jogos!A:BN,60,0)</f>
        <v>59.5</v>
      </c>
      <c r="BC1575" s="9">
        <f>VLOOKUP(A1575,Jogos!A:BN,61,0)</f>
        <v>32.915</v>
      </c>
      <c r="BD1575" s="9">
        <f>VLOOKUP(A1575,Jogos!A:BN,62,0)</f>
        <v>538.15</v>
      </c>
      <c r="BE1575" s="9">
        <f>VLOOKUP(A1575,Jogos!A:BN,63,0)</f>
        <v>2.19</v>
      </c>
      <c r="BF1575" s="9">
        <f>VLOOKUP(A1575,Jogos!A:BN,64,0)</f>
        <v>25.92</v>
      </c>
      <c r="BG1575" s="9">
        <f>VLOOKUP(A1575,Jogos!A:BN,65,0)</f>
        <v>46.05</v>
      </c>
      <c r="BH1575" s="9">
        <f>VLOOKUP(A1575,Jogos!A:BN,66,0)</f>
        <v>30.505</v>
      </c>
      <c r="BI1575" s="9"/>
      <c r="BJ1575" s="9"/>
    </row>
    <row r="1576" hidden="1">
      <c r="A1576" s="10">
        <v>53.0</v>
      </c>
      <c r="B1576" s="11" t="s">
        <v>1350</v>
      </c>
      <c r="C1576" s="2" t="s">
        <v>1351</v>
      </c>
      <c r="D1576" s="12">
        <v>45838.0</v>
      </c>
      <c r="E1576" s="13">
        <v>0.625</v>
      </c>
      <c r="F1576" s="5" t="str">
        <f>VLOOKUP(A1576,Jogos!A:N,10,0)</f>
        <v>Afternoon</v>
      </c>
      <c r="G1576" s="11" t="s">
        <v>1200</v>
      </c>
      <c r="H1576" s="6" t="str">
        <f>VLOOKUP(A1576,Jogos!A:L,12,0)</f>
        <v>Open</v>
      </c>
      <c r="I1576" s="6" t="str">
        <f>VLOOKUP(G1576,'Estádios e Cidades'!A:B,2,0)</f>
        <v>Charlotte</v>
      </c>
      <c r="J1576" s="11" t="s">
        <v>563</v>
      </c>
      <c r="K1576" s="2" t="str">
        <f>VLOOKUP(J1576,Equipes!A:F,6,0)</f>
        <v>Tropical</v>
      </c>
      <c r="L1576" s="2">
        <f>VLOOKUP(J1576,Equipes!A:C,3,0)</f>
        <v>4</v>
      </c>
      <c r="M1576" s="2" t="str">
        <f t="shared" si="4"/>
        <v>Semi-final</v>
      </c>
      <c r="N1576" s="11" t="s">
        <v>748</v>
      </c>
      <c r="O1576" s="2">
        <f>VLOOKUP(N1576,Equipes!A:C,3,0)</f>
        <v>12</v>
      </c>
      <c r="P1576" s="2" t="str">
        <f t="shared" si="5"/>
        <v>Round of 16</v>
      </c>
      <c r="Q1576" s="2">
        <f t="shared" si="6"/>
        <v>-8</v>
      </c>
      <c r="R1576" s="2" t="str">
        <f>VLOOKUP(J1576,Equipes!A:B,2,0)</f>
        <v>Fluminense</v>
      </c>
      <c r="S1576" s="6" t="s">
        <v>581</v>
      </c>
      <c r="T1576" s="7">
        <v>22.0</v>
      </c>
      <c r="U1576" s="7" t="s">
        <v>582</v>
      </c>
      <c r="V1576" s="7" t="str">
        <f>VLOOKUP(U1576,Jogadores!B:C,2,0)</f>
        <v>DF</v>
      </c>
      <c r="W1576" s="8">
        <f>VLOOKUP(U1576,Jogadores!B:D,3,0)</f>
        <v>25.56164384</v>
      </c>
      <c r="X1576" s="7">
        <v>0.0</v>
      </c>
      <c r="Y1576" s="7">
        <f t="shared" si="4937"/>
        <v>97</v>
      </c>
      <c r="Z1576" s="7">
        <f>VLOOKUP(A1576,Jogos!A:L,3,0)</f>
        <v>53</v>
      </c>
      <c r="AA1576" s="7">
        <f t="shared" si="4815"/>
        <v>53</v>
      </c>
      <c r="AB1576" s="7">
        <f>VLOOKUP(A1576,Jogos!A:L,4,0)</f>
        <v>52</v>
      </c>
      <c r="AC1576" s="7">
        <f t="shared" si="4816"/>
        <v>52</v>
      </c>
      <c r="AD1576" s="7"/>
      <c r="AE1576" s="7"/>
      <c r="AF1576" s="7">
        <f t="shared" si="4566"/>
        <v>105</v>
      </c>
      <c r="AG1576" s="7">
        <v>9277.2</v>
      </c>
      <c r="AH1576" s="7">
        <v>4180.3</v>
      </c>
      <c r="AI1576" s="7">
        <v>3648.0</v>
      </c>
      <c r="AJ1576" s="7">
        <v>960.8</v>
      </c>
      <c r="AK1576" s="7">
        <v>442.4</v>
      </c>
      <c r="AL1576" s="7">
        <v>45.7</v>
      </c>
      <c r="AM1576" s="7">
        <v>80.0</v>
      </c>
      <c r="AN1576" s="7">
        <v>39.0</v>
      </c>
      <c r="AO1576" s="7">
        <v>26.5</v>
      </c>
      <c r="AP1576" s="9">
        <f t="shared" ref="AP1576:AR1576" si="4938">AG1576/$AF1576</f>
        <v>88.35428571</v>
      </c>
      <c r="AQ1576" s="9">
        <f t="shared" si="4938"/>
        <v>39.81238095</v>
      </c>
      <c r="AR1576" s="9">
        <f t="shared" si="4938"/>
        <v>34.74285714</v>
      </c>
      <c r="AS1576" s="9">
        <f t="shared" si="4568"/>
        <v>74.5552381</v>
      </c>
      <c r="AT1576" s="9">
        <f t="shared" ref="AT1576:AV1576" si="4939">AJ1576/$AF1576</f>
        <v>9.15047619</v>
      </c>
      <c r="AU1576" s="9">
        <f t="shared" si="4939"/>
        <v>4.213333333</v>
      </c>
      <c r="AV1576" s="9">
        <f t="shared" si="4939"/>
        <v>0.4352380952</v>
      </c>
      <c r="AW1576" s="9">
        <f t="shared" si="4570"/>
        <v>4.648571429</v>
      </c>
      <c r="AX1576" s="9">
        <f t="shared" ref="AX1576:AY1576" si="4940">AM1576/$AF1576</f>
        <v>0.7619047619</v>
      </c>
      <c r="AY1576" s="9">
        <f t="shared" si="4940"/>
        <v>0.3714285714</v>
      </c>
      <c r="AZ1576" s="9">
        <f>VLOOKUP(A1576,Jogos!A:BN,58,0)</f>
        <v>31.49</v>
      </c>
      <c r="BA1576" s="9">
        <f>VLOOKUP(A1576,Jogos!A:BN,59,0)</f>
        <v>22.745</v>
      </c>
      <c r="BB1576" s="9">
        <f>VLOOKUP(A1576,Jogos!A:BN,60,0)</f>
        <v>59.5</v>
      </c>
      <c r="BC1576" s="9">
        <f>VLOOKUP(A1576,Jogos!A:BN,61,0)</f>
        <v>32.915</v>
      </c>
      <c r="BD1576" s="9">
        <f>VLOOKUP(A1576,Jogos!A:BN,62,0)</f>
        <v>538.15</v>
      </c>
      <c r="BE1576" s="9">
        <f>VLOOKUP(A1576,Jogos!A:BN,63,0)</f>
        <v>2.19</v>
      </c>
      <c r="BF1576" s="9">
        <f>VLOOKUP(A1576,Jogos!A:BN,64,0)</f>
        <v>25.92</v>
      </c>
      <c r="BG1576" s="9">
        <f>VLOOKUP(A1576,Jogos!A:BN,65,0)</f>
        <v>46.05</v>
      </c>
      <c r="BH1576" s="9">
        <f>VLOOKUP(A1576,Jogos!A:BN,66,0)</f>
        <v>30.505</v>
      </c>
      <c r="BI1576" s="9"/>
      <c r="BJ1576" s="9"/>
    </row>
    <row r="1577" hidden="1">
      <c r="A1577" s="10">
        <v>53.0</v>
      </c>
      <c r="B1577" s="11" t="s">
        <v>1350</v>
      </c>
      <c r="C1577" s="2" t="s">
        <v>1351</v>
      </c>
      <c r="D1577" s="12">
        <v>45838.0</v>
      </c>
      <c r="E1577" s="13">
        <v>0.625</v>
      </c>
      <c r="F1577" s="5" t="str">
        <f>VLOOKUP(A1577,Jogos!A:N,10,0)</f>
        <v>Afternoon</v>
      </c>
      <c r="G1577" s="11" t="s">
        <v>1200</v>
      </c>
      <c r="H1577" s="6" t="str">
        <f>VLOOKUP(A1577,Jogos!A:L,12,0)</f>
        <v>Open</v>
      </c>
      <c r="I1577" s="6" t="str">
        <f>VLOOKUP(G1577,'Estádios e Cidades'!A:B,2,0)</f>
        <v>Charlotte</v>
      </c>
      <c r="J1577" s="11" t="s">
        <v>563</v>
      </c>
      <c r="K1577" s="2" t="str">
        <f>VLOOKUP(J1577,Equipes!A:F,6,0)</f>
        <v>Tropical</v>
      </c>
      <c r="L1577" s="2">
        <f>VLOOKUP(J1577,Equipes!A:C,3,0)</f>
        <v>4</v>
      </c>
      <c r="M1577" s="2" t="str">
        <f t="shared" si="4"/>
        <v>Semi-final</v>
      </c>
      <c r="N1577" s="11" t="s">
        <v>748</v>
      </c>
      <c r="O1577" s="2">
        <f>VLOOKUP(N1577,Equipes!A:C,3,0)</f>
        <v>12</v>
      </c>
      <c r="P1577" s="2" t="str">
        <f t="shared" si="5"/>
        <v>Round of 16</v>
      </c>
      <c r="Q1577" s="2">
        <f t="shared" si="6"/>
        <v>-8</v>
      </c>
      <c r="R1577" s="2" t="str">
        <f>VLOOKUP(J1577,Equipes!A:B,2,0)</f>
        <v>Fluminense</v>
      </c>
      <c r="S1577" s="6" t="s">
        <v>573</v>
      </c>
      <c r="T1577" s="7">
        <v>9.0</v>
      </c>
      <c r="U1577" s="7" t="s">
        <v>574</v>
      </c>
      <c r="V1577" s="7" t="str">
        <f>VLOOKUP(U1577,Jogadores!B:C,2,0)</f>
        <v>FW</v>
      </c>
      <c r="W1577" s="8">
        <f>VLOOKUP(U1577,Jogadores!B:D,3,0)</f>
        <v>34.08767123</v>
      </c>
      <c r="X1577" s="7">
        <v>66.0</v>
      </c>
      <c r="Y1577" s="7">
        <f t="shared" si="4937"/>
        <v>97</v>
      </c>
      <c r="Z1577" s="7">
        <f>VLOOKUP(A1577,Jogos!A:L,3,0)</f>
        <v>53</v>
      </c>
      <c r="AA1577" s="7">
        <f t="shared" si="4815"/>
        <v>0</v>
      </c>
      <c r="AB1577" s="7">
        <f>VLOOKUP(A1577,Jogos!A:L,4,0)</f>
        <v>52</v>
      </c>
      <c r="AC1577" s="7">
        <f t="shared" si="4816"/>
        <v>31</v>
      </c>
      <c r="AD1577" s="7"/>
      <c r="AE1577" s="7"/>
      <c r="AF1577" s="7">
        <f t="shared" si="4566"/>
        <v>31</v>
      </c>
      <c r="AG1577" s="7">
        <v>3347.8</v>
      </c>
      <c r="AH1577" s="7">
        <v>1516.8</v>
      </c>
      <c r="AI1577" s="7">
        <v>1135.5</v>
      </c>
      <c r="AJ1577" s="7">
        <v>431.1</v>
      </c>
      <c r="AK1577" s="7">
        <v>193.7</v>
      </c>
      <c r="AL1577" s="7">
        <v>70.7</v>
      </c>
      <c r="AM1577" s="7">
        <v>37.0</v>
      </c>
      <c r="AN1577" s="7">
        <v>17.0</v>
      </c>
      <c r="AO1577" s="7">
        <v>31.2</v>
      </c>
      <c r="AP1577" s="9">
        <f t="shared" ref="AP1577:AR1577" si="4941">AG1577/$AF1577</f>
        <v>107.9935484</v>
      </c>
      <c r="AQ1577" s="9">
        <f t="shared" si="4941"/>
        <v>48.92903226</v>
      </c>
      <c r="AR1577" s="9">
        <f t="shared" si="4941"/>
        <v>36.62903226</v>
      </c>
      <c r="AS1577" s="9">
        <f t="shared" si="4568"/>
        <v>85.55806452</v>
      </c>
      <c r="AT1577" s="9">
        <f t="shared" ref="AT1577:AV1577" si="4942">AJ1577/$AF1577</f>
        <v>13.90645161</v>
      </c>
      <c r="AU1577" s="9">
        <f t="shared" si="4942"/>
        <v>6.248387097</v>
      </c>
      <c r="AV1577" s="9">
        <f t="shared" si="4942"/>
        <v>2.280645161</v>
      </c>
      <c r="AW1577" s="9">
        <f t="shared" si="4570"/>
        <v>8.529032258</v>
      </c>
      <c r="AX1577" s="9">
        <f t="shared" ref="AX1577:AY1577" si="4943">AM1577/$AF1577</f>
        <v>1.193548387</v>
      </c>
      <c r="AY1577" s="9">
        <f t="shared" si="4943"/>
        <v>0.5483870968</v>
      </c>
      <c r="AZ1577" s="9">
        <f>VLOOKUP(A1577,Jogos!A:BN,58,0)</f>
        <v>31.49</v>
      </c>
      <c r="BA1577" s="9">
        <f>VLOOKUP(A1577,Jogos!A:BN,59,0)</f>
        <v>22.745</v>
      </c>
      <c r="BB1577" s="9">
        <f>VLOOKUP(A1577,Jogos!A:BN,60,0)</f>
        <v>59.5</v>
      </c>
      <c r="BC1577" s="9">
        <f>VLOOKUP(A1577,Jogos!A:BN,61,0)</f>
        <v>32.915</v>
      </c>
      <c r="BD1577" s="9">
        <f>VLOOKUP(A1577,Jogos!A:BN,62,0)</f>
        <v>538.15</v>
      </c>
      <c r="BE1577" s="9">
        <f>VLOOKUP(A1577,Jogos!A:BN,63,0)</f>
        <v>2.19</v>
      </c>
      <c r="BF1577" s="9">
        <f>VLOOKUP(A1577,Jogos!A:BN,64,0)</f>
        <v>25.92</v>
      </c>
      <c r="BG1577" s="9">
        <f>VLOOKUP(A1577,Jogos!A:BN,65,0)</f>
        <v>46.05</v>
      </c>
      <c r="BH1577" s="9">
        <f>VLOOKUP(A1577,Jogos!A:BN,66,0)</f>
        <v>30.505</v>
      </c>
      <c r="BI1577" s="9"/>
      <c r="BJ1577" s="9"/>
    </row>
    <row r="1578" hidden="1">
      <c r="A1578" s="10">
        <v>53.0</v>
      </c>
      <c r="B1578" s="11" t="s">
        <v>1350</v>
      </c>
      <c r="C1578" s="2" t="s">
        <v>1351</v>
      </c>
      <c r="D1578" s="12">
        <v>45838.0</v>
      </c>
      <c r="E1578" s="13">
        <v>0.625</v>
      </c>
      <c r="F1578" s="5" t="str">
        <f>VLOOKUP(A1578,Jogos!A:N,10,0)</f>
        <v>Afternoon</v>
      </c>
      <c r="G1578" s="11" t="s">
        <v>1200</v>
      </c>
      <c r="H1578" s="6" t="str">
        <f>VLOOKUP(A1578,Jogos!A:L,12,0)</f>
        <v>Open</v>
      </c>
      <c r="I1578" s="6" t="str">
        <f>VLOOKUP(G1578,'Estádios e Cidades'!A:B,2,0)</f>
        <v>Charlotte</v>
      </c>
      <c r="J1578" s="11" t="s">
        <v>563</v>
      </c>
      <c r="K1578" s="2" t="str">
        <f>VLOOKUP(J1578,Equipes!A:F,6,0)</f>
        <v>Tropical</v>
      </c>
      <c r="L1578" s="2">
        <f>VLOOKUP(J1578,Equipes!A:C,3,0)</f>
        <v>4</v>
      </c>
      <c r="M1578" s="2" t="str">
        <f t="shared" si="4"/>
        <v>Semi-final</v>
      </c>
      <c r="N1578" s="11" t="s">
        <v>748</v>
      </c>
      <c r="O1578" s="2">
        <f>VLOOKUP(N1578,Equipes!A:C,3,0)</f>
        <v>12</v>
      </c>
      <c r="P1578" s="2" t="str">
        <f t="shared" si="5"/>
        <v>Round of 16</v>
      </c>
      <c r="Q1578" s="2">
        <f t="shared" si="6"/>
        <v>-8</v>
      </c>
      <c r="R1578" s="2" t="str">
        <f>VLOOKUP(J1578,Equipes!A:B,2,0)</f>
        <v>Fluminense</v>
      </c>
      <c r="S1578" s="6" t="s">
        <v>1307</v>
      </c>
      <c r="T1578" s="7">
        <v>29.0</v>
      </c>
      <c r="U1578" s="7" t="s">
        <v>1308</v>
      </c>
      <c r="V1578" s="7" t="str">
        <f>VLOOKUP(U1578,Jogadores!B:C,2,0)</f>
        <v>DF</v>
      </c>
      <c r="W1578" s="8">
        <f>VLOOKUP(U1578,Jogadores!B:D,3,0)</f>
        <v>36.26575342</v>
      </c>
      <c r="X1578" s="7">
        <v>81.0</v>
      </c>
      <c r="Y1578" s="7">
        <f t="shared" si="4937"/>
        <v>97</v>
      </c>
      <c r="Z1578" s="7">
        <f>VLOOKUP(A1578,Jogos!A:L,3,0)</f>
        <v>53</v>
      </c>
      <c r="AA1578" s="7">
        <f t="shared" si="4815"/>
        <v>0</v>
      </c>
      <c r="AB1578" s="7">
        <f>VLOOKUP(A1578,Jogos!A:L,4,0)</f>
        <v>52</v>
      </c>
      <c r="AC1578" s="7">
        <f t="shared" si="4816"/>
        <v>16</v>
      </c>
      <c r="AD1578" s="7"/>
      <c r="AE1578" s="7"/>
      <c r="AF1578" s="7">
        <f t="shared" si="4566"/>
        <v>16</v>
      </c>
      <c r="AG1578" s="7">
        <v>1960.4</v>
      </c>
      <c r="AH1578" s="7">
        <v>724.2</v>
      </c>
      <c r="AI1578" s="7">
        <v>806.6</v>
      </c>
      <c r="AJ1578" s="7">
        <v>285.9</v>
      </c>
      <c r="AK1578" s="7">
        <v>85.5</v>
      </c>
      <c r="AL1578" s="7">
        <v>58.1</v>
      </c>
      <c r="AM1578" s="7">
        <v>23.0</v>
      </c>
      <c r="AN1578" s="7">
        <v>8.0</v>
      </c>
      <c r="AO1578" s="7">
        <v>30.5</v>
      </c>
      <c r="AP1578" s="9">
        <f t="shared" ref="AP1578:AR1578" si="4944">AG1578/$AF1578</f>
        <v>122.525</v>
      </c>
      <c r="AQ1578" s="9">
        <f t="shared" si="4944"/>
        <v>45.2625</v>
      </c>
      <c r="AR1578" s="9">
        <f t="shared" si="4944"/>
        <v>50.4125</v>
      </c>
      <c r="AS1578" s="9">
        <f t="shared" si="4568"/>
        <v>95.675</v>
      </c>
      <c r="AT1578" s="9">
        <f t="shared" ref="AT1578:AV1578" si="4945">AJ1578/$AF1578</f>
        <v>17.86875</v>
      </c>
      <c r="AU1578" s="9">
        <f t="shared" si="4945"/>
        <v>5.34375</v>
      </c>
      <c r="AV1578" s="9">
        <f t="shared" si="4945"/>
        <v>3.63125</v>
      </c>
      <c r="AW1578" s="9">
        <f t="shared" si="4570"/>
        <v>8.975</v>
      </c>
      <c r="AX1578" s="9">
        <f t="shared" ref="AX1578:AY1578" si="4946">AM1578/$AF1578</f>
        <v>1.4375</v>
      </c>
      <c r="AY1578" s="9">
        <f t="shared" si="4946"/>
        <v>0.5</v>
      </c>
      <c r="AZ1578" s="9">
        <f>VLOOKUP(A1578,Jogos!A:BN,58,0)</f>
        <v>31.49</v>
      </c>
      <c r="BA1578" s="9">
        <f>VLOOKUP(A1578,Jogos!A:BN,59,0)</f>
        <v>22.745</v>
      </c>
      <c r="BB1578" s="9">
        <f>VLOOKUP(A1578,Jogos!A:BN,60,0)</f>
        <v>59.5</v>
      </c>
      <c r="BC1578" s="9">
        <f>VLOOKUP(A1578,Jogos!A:BN,61,0)</f>
        <v>32.915</v>
      </c>
      <c r="BD1578" s="9">
        <f>VLOOKUP(A1578,Jogos!A:BN,62,0)</f>
        <v>538.15</v>
      </c>
      <c r="BE1578" s="9">
        <f>VLOOKUP(A1578,Jogos!A:BN,63,0)</f>
        <v>2.19</v>
      </c>
      <c r="BF1578" s="9">
        <f>VLOOKUP(A1578,Jogos!A:BN,64,0)</f>
        <v>25.92</v>
      </c>
      <c r="BG1578" s="9">
        <f>VLOOKUP(A1578,Jogos!A:BN,65,0)</f>
        <v>46.05</v>
      </c>
      <c r="BH1578" s="9">
        <f>VLOOKUP(A1578,Jogos!A:BN,66,0)</f>
        <v>30.505</v>
      </c>
      <c r="BI1578" s="9"/>
      <c r="BJ1578" s="9"/>
    </row>
    <row r="1579" hidden="1">
      <c r="A1579" s="10">
        <v>53.0</v>
      </c>
      <c r="B1579" s="11" t="s">
        <v>1350</v>
      </c>
      <c r="C1579" s="2" t="s">
        <v>1351</v>
      </c>
      <c r="D1579" s="12">
        <v>45838.0</v>
      </c>
      <c r="E1579" s="13">
        <v>0.625</v>
      </c>
      <c r="F1579" s="5" t="str">
        <f>VLOOKUP(A1579,Jogos!A:N,10,0)</f>
        <v>Afternoon</v>
      </c>
      <c r="G1579" s="11" t="s">
        <v>1200</v>
      </c>
      <c r="H1579" s="6" t="str">
        <f>VLOOKUP(A1579,Jogos!A:L,12,0)</f>
        <v>Open</v>
      </c>
      <c r="I1579" s="6" t="str">
        <f>VLOOKUP(G1579,'Estádios e Cidades'!A:B,2,0)</f>
        <v>Charlotte</v>
      </c>
      <c r="J1579" s="11" t="s">
        <v>563</v>
      </c>
      <c r="K1579" s="2" t="str">
        <f>VLOOKUP(J1579,Equipes!A:F,6,0)</f>
        <v>Tropical</v>
      </c>
      <c r="L1579" s="2">
        <f>VLOOKUP(J1579,Equipes!A:C,3,0)</f>
        <v>4</v>
      </c>
      <c r="M1579" s="2" t="str">
        <f t="shared" si="4"/>
        <v>Semi-final</v>
      </c>
      <c r="N1579" s="11" t="s">
        <v>748</v>
      </c>
      <c r="O1579" s="2">
        <f>VLOOKUP(N1579,Equipes!A:C,3,0)</f>
        <v>12</v>
      </c>
      <c r="P1579" s="2" t="str">
        <f t="shared" si="5"/>
        <v>Round of 16</v>
      </c>
      <c r="Q1579" s="2">
        <f t="shared" si="6"/>
        <v>-8</v>
      </c>
      <c r="R1579" s="2" t="str">
        <f>VLOOKUP(J1579,Equipes!A:B,2,0)</f>
        <v>Fluminense</v>
      </c>
      <c r="S1579" s="6" t="s">
        <v>583</v>
      </c>
      <c r="T1579" s="7">
        <v>35.0</v>
      </c>
      <c r="U1579" s="7" t="s">
        <v>584</v>
      </c>
      <c r="V1579" s="7" t="str">
        <f>VLOOKUP(U1579,Jogadores!B:C,2,0)</f>
        <v>MF</v>
      </c>
      <c r="W1579" s="8">
        <f>VLOOKUP(U1579,Jogadores!B:D,3,0)</f>
        <v>24.78630137</v>
      </c>
      <c r="X1579" s="7">
        <v>61.0</v>
      </c>
      <c r="Y1579" s="7">
        <f t="shared" si="4937"/>
        <v>97</v>
      </c>
      <c r="Z1579" s="7">
        <f>VLOOKUP(A1579,Jogos!A:L,3,0)</f>
        <v>53</v>
      </c>
      <c r="AA1579" s="7">
        <f t="shared" si="4815"/>
        <v>0</v>
      </c>
      <c r="AB1579" s="7">
        <f>VLOOKUP(A1579,Jogos!A:L,4,0)</f>
        <v>52</v>
      </c>
      <c r="AC1579" s="7">
        <f t="shared" si="4816"/>
        <v>36</v>
      </c>
      <c r="AD1579" s="7"/>
      <c r="AE1579" s="7"/>
      <c r="AF1579" s="7">
        <f t="shared" si="4566"/>
        <v>36</v>
      </c>
      <c r="AG1579" s="7">
        <v>4076.1</v>
      </c>
      <c r="AH1579" s="7">
        <v>1570.0</v>
      </c>
      <c r="AI1579" s="7">
        <v>1719.7</v>
      </c>
      <c r="AJ1579" s="7">
        <v>501.1</v>
      </c>
      <c r="AK1579" s="7">
        <v>219.2</v>
      </c>
      <c r="AL1579" s="7">
        <v>66.1</v>
      </c>
      <c r="AM1579" s="7">
        <v>41.0</v>
      </c>
      <c r="AN1579" s="7">
        <v>17.0</v>
      </c>
      <c r="AO1579" s="7">
        <v>28.7</v>
      </c>
      <c r="AP1579" s="9">
        <f t="shared" ref="AP1579:AR1579" si="4947">AG1579/$AF1579</f>
        <v>113.225</v>
      </c>
      <c r="AQ1579" s="9">
        <f t="shared" si="4947"/>
        <v>43.61111111</v>
      </c>
      <c r="AR1579" s="9">
        <f t="shared" si="4947"/>
        <v>47.76944444</v>
      </c>
      <c r="AS1579" s="9">
        <f t="shared" si="4568"/>
        <v>91.38055556</v>
      </c>
      <c r="AT1579" s="9">
        <f t="shared" ref="AT1579:AV1579" si="4948">AJ1579/$AF1579</f>
        <v>13.91944444</v>
      </c>
      <c r="AU1579" s="9">
        <f t="shared" si="4948"/>
        <v>6.088888889</v>
      </c>
      <c r="AV1579" s="9">
        <f t="shared" si="4948"/>
        <v>1.836111111</v>
      </c>
      <c r="AW1579" s="9">
        <f t="shared" si="4570"/>
        <v>7.925</v>
      </c>
      <c r="AX1579" s="9">
        <f t="shared" ref="AX1579:AY1579" si="4949">AM1579/$AF1579</f>
        <v>1.138888889</v>
      </c>
      <c r="AY1579" s="9">
        <f t="shared" si="4949"/>
        <v>0.4722222222</v>
      </c>
      <c r="AZ1579" s="9">
        <f>VLOOKUP(A1579,Jogos!A:BN,58,0)</f>
        <v>31.49</v>
      </c>
      <c r="BA1579" s="9">
        <f>VLOOKUP(A1579,Jogos!A:BN,59,0)</f>
        <v>22.745</v>
      </c>
      <c r="BB1579" s="9">
        <f>VLOOKUP(A1579,Jogos!A:BN,60,0)</f>
        <v>59.5</v>
      </c>
      <c r="BC1579" s="9">
        <f>VLOOKUP(A1579,Jogos!A:BN,61,0)</f>
        <v>32.915</v>
      </c>
      <c r="BD1579" s="9">
        <f>VLOOKUP(A1579,Jogos!A:BN,62,0)</f>
        <v>538.15</v>
      </c>
      <c r="BE1579" s="9">
        <f>VLOOKUP(A1579,Jogos!A:BN,63,0)</f>
        <v>2.19</v>
      </c>
      <c r="BF1579" s="9">
        <f>VLOOKUP(A1579,Jogos!A:BN,64,0)</f>
        <v>25.92</v>
      </c>
      <c r="BG1579" s="9">
        <f>VLOOKUP(A1579,Jogos!A:BN,65,0)</f>
        <v>46.05</v>
      </c>
      <c r="BH1579" s="9">
        <f>VLOOKUP(A1579,Jogos!A:BN,66,0)</f>
        <v>30.505</v>
      </c>
      <c r="BI1579" s="9"/>
      <c r="BJ1579" s="9"/>
    </row>
    <row r="1580" hidden="1">
      <c r="A1580" s="10">
        <v>53.0</v>
      </c>
      <c r="B1580" s="11" t="s">
        <v>1350</v>
      </c>
      <c r="C1580" s="2" t="s">
        <v>1351</v>
      </c>
      <c r="D1580" s="12">
        <v>45838.0</v>
      </c>
      <c r="E1580" s="13">
        <v>0.625</v>
      </c>
      <c r="F1580" s="5" t="str">
        <f>VLOOKUP(A1580,Jogos!A:N,10,0)</f>
        <v>Afternoon</v>
      </c>
      <c r="G1580" s="11" t="s">
        <v>1200</v>
      </c>
      <c r="H1580" s="6" t="str">
        <f>VLOOKUP(A1580,Jogos!A:L,12,0)</f>
        <v>Open</v>
      </c>
      <c r="I1580" s="6" t="str">
        <f>VLOOKUP(G1580,'Estádios e Cidades'!A:B,2,0)</f>
        <v>Charlotte</v>
      </c>
      <c r="J1580" s="11" t="s">
        <v>563</v>
      </c>
      <c r="K1580" s="2" t="str">
        <f>VLOOKUP(J1580,Equipes!A:F,6,0)</f>
        <v>Tropical</v>
      </c>
      <c r="L1580" s="2">
        <f>VLOOKUP(J1580,Equipes!A:C,3,0)</f>
        <v>4</v>
      </c>
      <c r="M1580" s="2" t="str">
        <f t="shared" si="4"/>
        <v>Semi-final</v>
      </c>
      <c r="N1580" s="11" t="s">
        <v>748</v>
      </c>
      <c r="O1580" s="2">
        <f>VLOOKUP(N1580,Equipes!A:C,3,0)</f>
        <v>12</v>
      </c>
      <c r="P1580" s="2" t="str">
        <f t="shared" si="5"/>
        <v>Round of 16</v>
      </c>
      <c r="Q1580" s="2">
        <f t="shared" si="6"/>
        <v>-8</v>
      </c>
      <c r="R1580" s="2" t="str">
        <f>VLOOKUP(J1580,Equipes!A:B,2,0)</f>
        <v>Fluminense</v>
      </c>
      <c r="S1580" s="6" t="s">
        <v>587</v>
      </c>
      <c r="T1580" s="7">
        <v>45.0</v>
      </c>
      <c r="U1580" s="7" t="s">
        <v>588</v>
      </c>
      <c r="V1580" s="7" t="str">
        <f>VLOOKUP(U1580,Jogadores!B:C,2,0)</f>
        <v>MF</v>
      </c>
      <c r="W1580" s="8">
        <f>VLOOKUP(U1580,Jogadores!B:D,3,0)</f>
        <v>29.14794521</v>
      </c>
      <c r="X1580" s="7">
        <v>60.0</v>
      </c>
      <c r="Y1580" s="7">
        <f t="shared" si="4937"/>
        <v>97</v>
      </c>
      <c r="Z1580" s="7">
        <f>VLOOKUP(A1580,Jogos!A:L,3,0)</f>
        <v>53</v>
      </c>
      <c r="AA1580" s="7">
        <f t="shared" si="4815"/>
        <v>0</v>
      </c>
      <c r="AB1580" s="7">
        <f>VLOOKUP(A1580,Jogos!A:L,4,0)</f>
        <v>52</v>
      </c>
      <c r="AC1580" s="7">
        <f t="shared" si="4816"/>
        <v>37</v>
      </c>
      <c r="AD1580" s="7"/>
      <c r="AE1580" s="7"/>
      <c r="AF1580" s="7">
        <f t="shared" si="4566"/>
        <v>37</v>
      </c>
      <c r="AG1580" s="7">
        <v>4115.1</v>
      </c>
      <c r="AH1580" s="7">
        <v>1590.0</v>
      </c>
      <c r="AI1580" s="7">
        <v>1507.5</v>
      </c>
      <c r="AJ1580" s="7">
        <v>737.9</v>
      </c>
      <c r="AK1580" s="7">
        <v>200.4</v>
      </c>
      <c r="AL1580" s="7">
        <v>79.2</v>
      </c>
      <c r="AM1580" s="7">
        <v>60.0</v>
      </c>
      <c r="AN1580" s="7">
        <v>15.0</v>
      </c>
      <c r="AO1580" s="7">
        <v>31.2</v>
      </c>
      <c r="AP1580" s="9">
        <f t="shared" ref="AP1580:AR1580" si="4950">AG1580/$AF1580</f>
        <v>111.2189189</v>
      </c>
      <c r="AQ1580" s="9">
        <f t="shared" si="4950"/>
        <v>42.97297297</v>
      </c>
      <c r="AR1580" s="9">
        <f t="shared" si="4950"/>
        <v>40.74324324</v>
      </c>
      <c r="AS1580" s="9">
        <f t="shared" si="4568"/>
        <v>83.71621622</v>
      </c>
      <c r="AT1580" s="9">
        <f t="shared" ref="AT1580:AV1580" si="4951">AJ1580/$AF1580</f>
        <v>19.94324324</v>
      </c>
      <c r="AU1580" s="9">
        <f t="shared" si="4951"/>
        <v>5.416216216</v>
      </c>
      <c r="AV1580" s="9">
        <f t="shared" si="4951"/>
        <v>2.140540541</v>
      </c>
      <c r="AW1580" s="9">
        <f t="shared" si="4570"/>
        <v>7.556756757</v>
      </c>
      <c r="AX1580" s="9">
        <f t="shared" ref="AX1580:AY1580" si="4952">AM1580/$AF1580</f>
        <v>1.621621622</v>
      </c>
      <c r="AY1580" s="9">
        <f t="shared" si="4952"/>
        <v>0.4054054054</v>
      </c>
      <c r="AZ1580" s="9">
        <f>VLOOKUP(A1580,Jogos!A:BN,58,0)</f>
        <v>31.49</v>
      </c>
      <c r="BA1580" s="9">
        <f>VLOOKUP(A1580,Jogos!A:BN,59,0)</f>
        <v>22.745</v>
      </c>
      <c r="BB1580" s="9">
        <f>VLOOKUP(A1580,Jogos!A:BN,60,0)</f>
        <v>59.5</v>
      </c>
      <c r="BC1580" s="9">
        <f>VLOOKUP(A1580,Jogos!A:BN,61,0)</f>
        <v>32.915</v>
      </c>
      <c r="BD1580" s="9">
        <f>VLOOKUP(A1580,Jogos!A:BN,62,0)</f>
        <v>538.15</v>
      </c>
      <c r="BE1580" s="9">
        <f>VLOOKUP(A1580,Jogos!A:BN,63,0)</f>
        <v>2.19</v>
      </c>
      <c r="BF1580" s="9">
        <f>VLOOKUP(A1580,Jogos!A:BN,64,0)</f>
        <v>25.92</v>
      </c>
      <c r="BG1580" s="9">
        <f>VLOOKUP(A1580,Jogos!A:BN,65,0)</f>
        <v>46.05</v>
      </c>
      <c r="BH1580" s="9">
        <f>VLOOKUP(A1580,Jogos!A:BN,66,0)</f>
        <v>30.505</v>
      </c>
      <c r="BI1580" s="9"/>
      <c r="BJ1580" s="9"/>
    </row>
    <row r="1581" hidden="1">
      <c r="A1581" s="2">
        <v>54.0</v>
      </c>
      <c r="B1581" s="2" t="s">
        <v>1350</v>
      </c>
      <c r="C1581" s="2" t="s">
        <v>1351</v>
      </c>
      <c r="D1581" s="3">
        <v>45838.0</v>
      </c>
      <c r="E1581" s="4">
        <v>0.875</v>
      </c>
      <c r="F1581" s="5" t="str">
        <f>VLOOKUP(A1581,Jogos!A:N,10,0)</f>
        <v>Evening</v>
      </c>
      <c r="G1581" s="2" t="s">
        <v>1269</v>
      </c>
      <c r="H1581" s="6" t="str">
        <f>VLOOKUP(A1581,Jogos!A:L,12,0)</f>
        <v>Open</v>
      </c>
      <c r="I1581" s="6" t="str">
        <f>VLOOKUP(G1581,'Estádios e Cidades'!A:B,2,0)</f>
        <v>Orlando</v>
      </c>
      <c r="J1581" s="2" t="s">
        <v>810</v>
      </c>
      <c r="K1581" s="2" t="str">
        <f>VLOOKUP(J1581,Equipes!A:F,6,0)</f>
        <v>Temperate</v>
      </c>
      <c r="L1581" s="2">
        <f>VLOOKUP(J1581,Equipes!A:C,3,0)</f>
        <v>9</v>
      </c>
      <c r="M1581" s="2" t="str">
        <f t="shared" si="4"/>
        <v>Round of 16</v>
      </c>
      <c r="N1581" s="2" t="s">
        <v>874</v>
      </c>
      <c r="O1581" s="2">
        <f>VLOOKUP(N1581,Equipes!A:C,3,0)</f>
        <v>7</v>
      </c>
      <c r="P1581" s="2" t="str">
        <f t="shared" si="5"/>
        <v>Quarter-final</v>
      </c>
      <c r="Q1581" s="2">
        <f t="shared" si="6"/>
        <v>2</v>
      </c>
      <c r="R1581" s="2" t="str">
        <f>VLOOKUP(J1581,Equipes!A:B,2,0)</f>
        <v>City</v>
      </c>
      <c r="S1581" s="6" t="s">
        <v>1229</v>
      </c>
      <c r="T1581" s="7">
        <v>3.0</v>
      </c>
      <c r="U1581" s="7" t="s">
        <v>1230</v>
      </c>
      <c r="V1581" s="7" t="str">
        <f>VLOOKUP(U1581,Jogadores!B:C,2,0)</f>
        <v>DF</v>
      </c>
      <c r="W1581" s="8">
        <f>VLOOKUP(U1581,Jogadores!B:D,3,0)</f>
        <v>28.22465753</v>
      </c>
      <c r="X1581" s="7">
        <v>0.0</v>
      </c>
      <c r="Y1581" s="7">
        <f>45+AB1581+AD1581</f>
        <v>130</v>
      </c>
      <c r="Z1581" s="7">
        <f>VLOOKUP(A1581,Jogos!A:L,3,0)</f>
        <v>50</v>
      </c>
      <c r="AA1581" s="7">
        <f t="shared" si="4815"/>
        <v>50</v>
      </c>
      <c r="AB1581" s="7">
        <f>VLOOKUP(A1581,Jogos!A:L,4,0)</f>
        <v>51</v>
      </c>
      <c r="AC1581" s="7">
        <f>IF(X1581&lt;45,if(Y1581&lt;=45,0,if(Y1581&gt;90,Y1581-45-AD1581,Y1581-45)),if(X1581&gt;=90,0,AB1581+45-X1581))</f>
        <v>51</v>
      </c>
      <c r="AD1581" s="7">
        <f>Jogos!$E$55-Jogos!$D$55-Jogos!$C$55</f>
        <v>34</v>
      </c>
      <c r="AE1581" s="7">
        <f t="shared" ref="AE1581:AE1592" si="4956">if(X1581&lt;=90,if(Y1581&lt;=90,0,(Y1581-45-AB1581)),90+AD1581-X1581)</f>
        <v>34</v>
      </c>
      <c r="AF1581" s="7">
        <f t="shared" si="4566"/>
        <v>135</v>
      </c>
      <c r="AG1581" s="7">
        <v>15207.0</v>
      </c>
      <c r="AH1581" s="7">
        <v>5499.8</v>
      </c>
      <c r="AI1581" s="7">
        <v>6354.0</v>
      </c>
      <c r="AJ1581" s="7">
        <v>1855.6</v>
      </c>
      <c r="AK1581" s="7">
        <v>1051.2</v>
      </c>
      <c r="AL1581" s="7">
        <v>446.5</v>
      </c>
      <c r="AM1581" s="7">
        <v>157.0</v>
      </c>
      <c r="AN1581" s="7">
        <v>78.0</v>
      </c>
      <c r="AO1581" s="7">
        <v>32.8</v>
      </c>
      <c r="AP1581" s="9">
        <f t="shared" ref="AP1581:AR1581" si="4953">AG1581/$AF1581</f>
        <v>112.6444444</v>
      </c>
      <c r="AQ1581" s="9">
        <f t="shared" si="4953"/>
        <v>40.73925926</v>
      </c>
      <c r="AR1581" s="9">
        <f t="shared" si="4953"/>
        <v>47.06666667</v>
      </c>
      <c r="AS1581" s="9">
        <f t="shared" si="4568"/>
        <v>87.80592593</v>
      </c>
      <c r="AT1581" s="9">
        <f t="shared" ref="AT1581:AV1581" si="4954">AJ1581/$AF1581</f>
        <v>13.74518519</v>
      </c>
      <c r="AU1581" s="9">
        <f t="shared" si="4954"/>
        <v>7.786666667</v>
      </c>
      <c r="AV1581" s="9">
        <f t="shared" si="4954"/>
        <v>3.307407407</v>
      </c>
      <c r="AW1581" s="9">
        <f t="shared" si="4570"/>
        <v>11.09407407</v>
      </c>
      <c r="AX1581" s="9">
        <f t="shared" ref="AX1581:AY1581" si="4955">AM1581/$AF1581</f>
        <v>1.162962963</v>
      </c>
      <c r="AY1581" s="9">
        <f t="shared" si="4955"/>
        <v>0.5777777778</v>
      </c>
      <c r="AZ1581" s="9">
        <f>VLOOKUP(A1581,Jogos!A:BN,58,0)</f>
        <v>24.785</v>
      </c>
      <c r="BA1581" s="9">
        <f>VLOOKUP(A1581,Jogos!A:BN,59,0)</f>
        <v>22.48</v>
      </c>
      <c r="BB1581" s="9">
        <f>VLOOKUP(A1581,Jogos!A:BN,60,0)</f>
        <v>86.5</v>
      </c>
      <c r="BC1581" s="9">
        <f>VLOOKUP(A1581,Jogos!A:BN,61,0)</f>
        <v>22.745</v>
      </c>
      <c r="BD1581" s="9">
        <f>VLOOKUP(A1581,Jogos!A:BN,62,0)</f>
        <v>0</v>
      </c>
      <c r="BE1581" s="9">
        <f>VLOOKUP(A1581,Jogos!A:BN,63,0)</f>
        <v>2.06</v>
      </c>
      <c r="BF1581" s="9">
        <f>VLOOKUP(A1581,Jogos!A:BN,64,0)</f>
        <v>23.105</v>
      </c>
      <c r="BG1581" s="9">
        <f>VLOOKUP(A1581,Jogos!A:BN,65,0)</f>
        <v>39.23</v>
      </c>
      <c r="BH1581" s="9">
        <f>VLOOKUP(A1581,Jogos!A:BN,66,0)</f>
        <v>26.5</v>
      </c>
      <c r="BI1581" s="9"/>
      <c r="BJ1581" s="9"/>
    </row>
    <row r="1582" hidden="1">
      <c r="A1582" s="2">
        <v>54.0</v>
      </c>
      <c r="B1582" s="2" t="s">
        <v>1350</v>
      </c>
      <c r="C1582" s="2" t="s">
        <v>1351</v>
      </c>
      <c r="D1582" s="3">
        <v>45838.0</v>
      </c>
      <c r="E1582" s="4">
        <v>0.875</v>
      </c>
      <c r="F1582" s="5" t="str">
        <f>VLOOKUP(A1582,Jogos!A:N,10,0)</f>
        <v>Evening</v>
      </c>
      <c r="G1582" s="2" t="s">
        <v>1269</v>
      </c>
      <c r="H1582" s="6" t="str">
        <f>VLOOKUP(A1582,Jogos!A:L,12,0)</f>
        <v>Open</v>
      </c>
      <c r="I1582" s="6" t="str">
        <f>VLOOKUP(G1582,'Estádios e Cidades'!A:B,2,0)</f>
        <v>Orlando</v>
      </c>
      <c r="J1582" s="2" t="s">
        <v>810</v>
      </c>
      <c r="K1582" s="2" t="str">
        <f>VLOOKUP(J1582,Equipes!A:F,6,0)</f>
        <v>Temperate</v>
      </c>
      <c r="L1582" s="2">
        <f>VLOOKUP(J1582,Equipes!A:C,3,0)</f>
        <v>9</v>
      </c>
      <c r="M1582" s="2" t="str">
        <f t="shared" si="4"/>
        <v>Round of 16</v>
      </c>
      <c r="N1582" s="2" t="s">
        <v>874</v>
      </c>
      <c r="O1582" s="2">
        <f>VLOOKUP(N1582,Equipes!A:C,3,0)</f>
        <v>7</v>
      </c>
      <c r="P1582" s="2" t="str">
        <f t="shared" si="5"/>
        <v>Quarter-final</v>
      </c>
      <c r="Q1582" s="2">
        <f t="shared" si="6"/>
        <v>2</v>
      </c>
      <c r="R1582" s="2" t="str">
        <f>VLOOKUP(J1582,Equipes!A:B,2,0)</f>
        <v>City</v>
      </c>
      <c r="S1582" s="6" t="s">
        <v>812</v>
      </c>
      <c r="T1582" s="7">
        <v>4.0</v>
      </c>
      <c r="U1582" s="7" t="s">
        <v>813</v>
      </c>
      <c r="V1582" s="7" t="str">
        <f>VLOOKUP(U1582,Jogadores!B:C,2,0)</f>
        <v>MF</v>
      </c>
      <c r="W1582" s="8">
        <f>VLOOKUP(U1582,Jogadores!B:D,3,0)</f>
        <v>27.01643836</v>
      </c>
      <c r="X1582" s="7">
        <v>0.0</v>
      </c>
      <c r="Y1582" s="7">
        <v>90.0</v>
      </c>
      <c r="Z1582" s="7">
        <f>VLOOKUP(A1582,Jogos!A:L,3,0)</f>
        <v>50</v>
      </c>
      <c r="AA1582" s="7">
        <f t="shared" si="4815"/>
        <v>50</v>
      </c>
      <c r="AB1582" s="7">
        <f>VLOOKUP(A1582,Jogos!A:L,4,0)</f>
        <v>51</v>
      </c>
      <c r="AC1582" s="23">
        <v>51.0</v>
      </c>
      <c r="AD1582" s="7">
        <f>Jogos!$E$55-Jogos!$D$55-Jogos!$C$55</f>
        <v>34</v>
      </c>
      <c r="AE1582" s="7">
        <f t="shared" si="4956"/>
        <v>0</v>
      </c>
      <c r="AF1582" s="7">
        <f t="shared" si="4566"/>
        <v>101</v>
      </c>
      <c r="AG1582" s="7">
        <v>11413.8</v>
      </c>
      <c r="AH1582" s="7">
        <v>3663.6</v>
      </c>
      <c r="AI1582" s="7">
        <v>4908.1</v>
      </c>
      <c r="AJ1582" s="7">
        <v>1965.5</v>
      </c>
      <c r="AK1582" s="7">
        <v>633.1</v>
      </c>
      <c r="AL1582" s="7">
        <v>243.6</v>
      </c>
      <c r="AM1582" s="7">
        <v>155.0</v>
      </c>
      <c r="AN1582" s="7">
        <v>49.0</v>
      </c>
      <c r="AO1582" s="7">
        <v>33.5</v>
      </c>
      <c r="AP1582" s="9">
        <f t="shared" ref="AP1582:AR1582" si="4957">AG1582/$AF1582</f>
        <v>113.0079208</v>
      </c>
      <c r="AQ1582" s="9">
        <f t="shared" si="4957"/>
        <v>36.27326733</v>
      </c>
      <c r="AR1582" s="9">
        <f t="shared" si="4957"/>
        <v>48.5950495</v>
      </c>
      <c r="AS1582" s="9">
        <f t="shared" si="4568"/>
        <v>84.86831683</v>
      </c>
      <c r="AT1582" s="9">
        <f t="shared" ref="AT1582:AV1582" si="4958">AJ1582/$AF1582</f>
        <v>19.46039604</v>
      </c>
      <c r="AU1582" s="9">
        <f t="shared" si="4958"/>
        <v>6.268316832</v>
      </c>
      <c r="AV1582" s="9">
        <f t="shared" si="4958"/>
        <v>2.411881188</v>
      </c>
      <c r="AW1582" s="9">
        <f t="shared" si="4570"/>
        <v>8.68019802</v>
      </c>
      <c r="AX1582" s="9">
        <f t="shared" ref="AX1582:AY1582" si="4959">AM1582/$AF1582</f>
        <v>1.534653465</v>
      </c>
      <c r="AY1582" s="9">
        <f t="shared" si="4959"/>
        <v>0.4851485149</v>
      </c>
      <c r="AZ1582" s="9">
        <f>VLOOKUP(A1582,Jogos!A:BN,58,0)</f>
        <v>24.785</v>
      </c>
      <c r="BA1582" s="9">
        <f>VLOOKUP(A1582,Jogos!A:BN,59,0)</f>
        <v>22.48</v>
      </c>
      <c r="BB1582" s="9">
        <f>VLOOKUP(A1582,Jogos!A:BN,60,0)</f>
        <v>86.5</v>
      </c>
      <c r="BC1582" s="9">
        <f>VLOOKUP(A1582,Jogos!A:BN,61,0)</f>
        <v>22.745</v>
      </c>
      <c r="BD1582" s="9">
        <f>VLOOKUP(A1582,Jogos!A:BN,62,0)</f>
        <v>0</v>
      </c>
      <c r="BE1582" s="9">
        <f>VLOOKUP(A1582,Jogos!A:BN,63,0)</f>
        <v>2.06</v>
      </c>
      <c r="BF1582" s="9">
        <f>VLOOKUP(A1582,Jogos!A:BN,64,0)</f>
        <v>23.105</v>
      </c>
      <c r="BG1582" s="9">
        <f>VLOOKUP(A1582,Jogos!A:BN,65,0)</f>
        <v>39.23</v>
      </c>
      <c r="BH1582" s="9">
        <f>VLOOKUP(A1582,Jogos!A:BN,66,0)</f>
        <v>26.5</v>
      </c>
      <c r="BI1582" s="9"/>
      <c r="BJ1582" s="9"/>
    </row>
    <row r="1583" hidden="1">
      <c r="A1583" s="2">
        <v>54.0</v>
      </c>
      <c r="B1583" s="2" t="s">
        <v>1350</v>
      </c>
      <c r="C1583" s="2" t="s">
        <v>1351</v>
      </c>
      <c r="D1583" s="3">
        <v>45838.0</v>
      </c>
      <c r="E1583" s="4">
        <v>0.875</v>
      </c>
      <c r="F1583" s="5" t="str">
        <f>VLOOKUP(A1583,Jogos!A:N,10,0)</f>
        <v>Evening</v>
      </c>
      <c r="G1583" s="2" t="s">
        <v>1269</v>
      </c>
      <c r="H1583" s="6" t="str">
        <f>VLOOKUP(A1583,Jogos!A:L,12,0)</f>
        <v>Open</v>
      </c>
      <c r="I1583" s="6" t="str">
        <f>VLOOKUP(G1583,'Estádios e Cidades'!A:B,2,0)</f>
        <v>Orlando</v>
      </c>
      <c r="J1583" s="2" t="s">
        <v>810</v>
      </c>
      <c r="K1583" s="2" t="str">
        <f>VLOOKUP(J1583,Equipes!A:F,6,0)</f>
        <v>Temperate</v>
      </c>
      <c r="L1583" s="2">
        <f>VLOOKUP(J1583,Equipes!A:C,3,0)</f>
        <v>9</v>
      </c>
      <c r="M1583" s="2" t="str">
        <f t="shared" si="4"/>
        <v>Round of 16</v>
      </c>
      <c r="N1583" s="2" t="s">
        <v>874</v>
      </c>
      <c r="O1583" s="2">
        <f>VLOOKUP(N1583,Equipes!A:C,3,0)</f>
        <v>7</v>
      </c>
      <c r="P1583" s="2" t="str">
        <f t="shared" si="5"/>
        <v>Quarter-final</v>
      </c>
      <c r="Q1583" s="2">
        <f t="shared" si="6"/>
        <v>2</v>
      </c>
      <c r="R1583" s="2" t="str">
        <f>VLOOKUP(J1583,Equipes!A:B,2,0)</f>
        <v>City</v>
      </c>
      <c r="S1583" s="6" t="s">
        <v>832</v>
      </c>
      <c r="T1583" s="7">
        <v>9.0</v>
      </c>
      <c r="U1583" s="7" t="s">
        <v>833</v>
      </c>
      <c r="V1583" s="7" t="str">
        <f>VLOOKUP(U1583,Jogadores!B:C,2,0)</f>
        <v>FW</v>
      </c>
      <c r="W1583" s="8">
        <f>VLOOKUP(U1583,Jogadores!B:D,3,0)</f>
        <v>25.03561644</v>
      </c>
      <c r="X1583" s="7">
        <v>0.0</v>
      </c>
      <c r="Y1583" s="7">
        <v>90.0</v>
      </c>
      <c r="Z1583" s="7">
        <f>VLOOKUP(A1583,Jogos!A:L,3,0)</f>
        <v>50</v>
      </c>
      <c r="AA1583" s="7">
        <f t="shared" si="4815"/>
        <v>50</v>
      </c>
      <c r="AB1583" s="7">
        <f>VLOOKUP(A1583,Jogos!A:L,4,0)</f>
        <v>51</v>
      </c>
      <c r="AC1583" s="23">
        <v>51.0</v>
      </c>
      <c r="AD1583" s="7">
        <f>Jogos!$E$55-Jogos!$D$55-Jogos!$C$55</f>
        <v>34</v>
      </c>
      <c r="AE1583" s="7">
        <f t="shared" si="4956"/>
        <v>0</v>
      </c>
      <c r="AF1583" s="7">
        <f t="shared" si="4566"/>
        <v>101</v>
      </c>
      <c r="AG1583" s="7">
        <v>9480.1</v>
      </c>
      <c r="AH1583" s="7">
        <v>4241.4</v>
      </c>
      <c r="AI1583" s="7">
        <v>3595.5</v>
      </c>
      <c r="AJ1583" s="7">
        <v>963.0</v>
      </c>
      <c r="AK1583" s="7">
        <v>447.3</v>
      </c>
      <c r="AL1583" s="7">
        <v>232.9</v>
      </c>
      <c r="AM1583" s="7">
        <v>91.0</v>
      </c>
      <c r="AN1583" s="7">
        <v>39.0</v>
      </c>
      <c r="AO1583" s="7">
        <v>35.5</v>
      </c>
      <c r="AP1583" s="9">
        <f t="shared" ref="AP1583:AR1583" si="4960">AG1583/$AF1583</f>
        <v>93.86237624</v>
      </c>
      <c r="AQ1583" s="9">
        <f t="shared" si="4960"/>
        <v>41.99405941</v>
      </c>
      <c r="AR1583" s="9">
        <f t="shared" si="4960"/>
        <v>35.5990099</v>
      </c>
      <c r="AS1583" s="9">
        <f t="shared" si="4568"/>
        <v>77.59306931</v>
      </c>
      <c r="AT1583" s="9">
        <f t="shared" ref="AT1583:AV1583" si="4961">AJ1583/$AF1583</f>
        <v>9.534653465</v>
      </c>
      <c r="AU1583" s="9">
        <f t="shared" si="4961"/>
        <v>4.428712871</v>
      </c>
      <c r="AV1583" s="9">
        <f t="shared" si="4961"/>
        <v>2.305940594</v>
      </c>
      <c r="AW1583" s="9">
        <f t="shared" si="4570"/>
        <v>6.734653465</v>
      </c>
      <c r="AX1583" s="9">
        <f t="shared" ref="AX1583:AY1583" si="4962">AM1583/$AF1583</f>
        <v>0.900990099</v>
      </c>
      <c r="AY1583" s="9">
        <f t="shared" si="4962"/>
        <v>0.3861386139</v>
      </c>
      <c r="AZ1583" s="9">
        <f>VLOOKUP(A1583,Jogos!A:BN,58,0)</f>
        <v>24.785</v>
      </c>
      <c r="BA1583" s="9">
        <f>VLOOKUP(A1583,Jogos!A:BN,59,0)</f>
        <v>22.48</v>
      </c>
      <c r="BB1583" s="9">
        <f>VLOOKUP(A1583,Jogos!A:BN,60,0)</f>
        <v>86.5</v>
      </c>
      <c r="BC1583" s="9">
        <f>VLOOKUP(A1583,Jogos!A:BN,61,0)</f>
        <v>22.745</v>
      </c>
      <c r="BD1583" s="9">
        <f>VLOOKUP(A1583,Jogos!A:BN,62,0)</f>
        <v>0</v>
      </c>
      <c r="BE1583" s="9">
        <f>VLOOKUP(A1583,Jogos!A:BN,63,0)</f>
        <v>2.06</v>
      </c>
      <c r="BF1583" s="9">
        <f>VLOOKUP(A1583,Jogos!A:BN,64,0)</f>
        <v>23.105</v>
      </c>
      <c r="BG1583" s="9">
        <f>VLOOKUP(A1583,Jogos!A:BN,65,0)</f>
        <v>39.23</v>
      </c>
      <c r="BH1583" s="9">
        <f>VLOOKUP(A1583,Jogos!A:BN,66,0)</f>
        <v>26.5</v>
      </c>
      <c r="BI1583" s="9"/>
      <c r="BJ1583" s="9"/>
    </row>
    <row r="1584" hidden="1">
      <c r="A1584" s="2">
        <v>54.0</v>
      </c>
      <c r="B1584" s="2" t="s">
        <v>1350</v>
      </c>
      <c r="C1584" s="2" t="s">
        <v>1351</v>
      </c>
      <c r="D1584" s="3">
        <v>45838.0</v>
      </c>
      <c r="E1584" s="4">
        <v>0.875</v>
      </c>
      <c r="F1584" s="5" t="str">
        <f>VLOOKUP(A1584,Jogos!A:N,10,0)</f>
        <v>Evening</v>
      </c>
      <c r="G1584" s="2" t="s">
        <v>1269</v>
      </c>
      <c r="H1584" s="6" t="str">
        <f>VLOOKUP(A1584,Jogos!A:L,12,0)</f>
        <v>Open</v>
      </c>
      <c r="I1584" s="6" t="str">
        <f>VLOOKUP(G1584,'Estádios e Cidades'!A:B,2,0)</f>
        <v>Orlando</v>
      </c>
      <c r="J1584" s="2" t="s">
        <v>810</v>
      </c>
      <c r="K1584" s="2" t="str">
        <f>VLOOKUP(J1584,Equipes!A:F,6,0)</f>
        <v>Temperate</v>
      </c>
      <c r="L1584" s="2">
        <f>VLOOKUP(J1584,Equipes!A:C,3,0)</f>
        <v>9</v>
      </c>
      <c r="M1584" s="2" t="str">
        <f t="shared" si="4"/>
        <v>Round of 16</v>
      </c>
      <c r="N1584" s="2" t="s">
        <v>874</v>
      </c>
      <c r="O1584" s="2">
        <f>VLOOKUP(N1584,Equipes!A:C,3,0)</f>
        <v>7</v>
      </c>
      <c r="P1584" s="2" t="str">
        <f t="shared" si="5"/>
        <v>Quarter-final</v>
      </c>
      <c r="Q1584" s="2">
        <f t="shared" si="6"/>
        <v>2</v>
      </c>
      <c r="R1584" s="2" t="str">
        <f>VLOOKUP(J1584,Equipes!A:B,2,0)</f>
        <v>City</v>
      </c>
      <c r="S1584" s="6" t="s">
        <v>818</v>
      </c>
      <c r="T1584" s="7">
        <v>11.0</v>
      </c>
      <c r="U1584" s="7" t="s">
        <v>819</v>
      </c>
      <c r="V1584" s="7" t="str">
        <f>VLOOKUP(U1584,Jogadores!B:C,2,0)</f>
        <v>MF</v>
      </c>
      <c r="W1584" s="8">
        <f>VLOOKUP(U1584,Jogadores!B:D,3,0)</f>
        <v>23.18630137</v>
      </c>
      <c r="X1584" s="7">
        <v>0.0</v>
      </c>
      <c r="Y1584" s="7">
        <f>45+AB1584+AD1584</f>
        <v>130</v>
      </c>
      <c r="Z1584" s="7">
        <f>VLOOKUP(A1584,Jogos!A:L,3,0)</f>
        <v>50</v>
      </c>
      <c r="AA1584" s="7">
        <f t="shared" si="4815"/>
        <v>50</v>
      </c>
      <c r="AB1584" s="7">
        <f>VLOOKUP(A1584,Jogos!A:L,4,0)</f>
        <v>51</v>
      </c>
      <c r="AC1584" s="7">
        <f t="shared" ref="AC1584:AC1599" si="4966">IF(X1584&lt;45,if(Y1584&lt;=45,0,if(Y1584&gt;90,Y1584-45-AD1584,Y1584-45)),if(X1584&gt;=90,0,AB1584+45-X1584))</f>
        <v>51</v>
      </c>
      <c r="AD1584" s="7">
        <f>Jogos!$E$55-Jogos!$D$55-Jogos!$C$55</f>
        <v>34</v>
      </c>
      <c r="AE1584" s="7">
        <f t="shared" si="4956"/>
        <v>34</v>
      </c>
      <c r="AF1584" s="7">
        <f t="shared" si="4566"/>
        <v>135</v>
      </c>
      <c r="AG1584" s="7">
        <v>13959.4</v>
      </c>
      <c r="AH1584" s="7">
        <v>5677.1</v>
      </c>
      <c r="AI1584" s="7">
        <v>5460.1</v>
      </c>
      <c r="AJ1584" s="7">
        <v>1918.3</v>
      </c>
      <c r="AK1584" s="7">
        <v>667.2</v>
      </c>
      <c r="AL1584" s="7">
        <v>236.6</v>
      </c>
      <c r="AM1584" s="7">
        <v>161.0</v>
      </c>
      <c r="AN1584" s="7">
        <v>53.0</v>
      </c>
      <c r="AO1584" s="7">
        <v>34.6</v>
      </c>
      <c r="AP1584" s="9">
        <f t="shared" ref="AP1584:AR1584" si="4963">AG1584/$AF1584</f>
        <v>103.402963</v>
      </c>
      <c r="AQ1584" s="9">
        <f t="shared" si="4963"/>
        <v>42.05259259</v>
      </c>
      <c r="AR1584" s="9">
        <f t="shared" si="4963"/>
        <v>40.44518519</v>
      </c>
      <c r="AS1584" s="9">
        <f t="shared" si="4568"/>
        <v>82.49777778</v>
      </c>
      <c r="AT1584" s="9">
        <f t="shared" ref="AT1584:AV1584" si="4964">AJ1584/$AF1584</f>
        <v>14.20962963</v>
      </c>
      <c r="AU1584" s="9">
        <f t="shared" si="4964"/>
        <v>4.942222222</v>
      </c>
      <c r="AV1584" s="9">
        <f t="shared" si="4964"/>
        <v>1.752592593</v>
      </c>
      <c r="AW1584" s="9">
        <f t="shared" si="4570"/>
        <v>6.694814815</v>
      </c>
      <c r="AX1584" s="9">
        <f t="shared" ref="AX1584:AY1584" si="4965">AM1584/$AF1584</f>
        <v>1.192592593</v>
      </c>
      <c r="AY1584" s="9">
        <f t="shared" si="4965"/>
        <v>0.3925925926</v>
      </c>
      <c r="AZ1584" s="9">
        <f>VLOOKUP(A1584,Jogos!A:BN,58,0)</f>
        <v>24.785</v>
      </c>
      <c r="BA1584" s="9">
        <f>VLOOKUP(A1584,Jogos!A:BN,59,0)</f>
        <v>22.48</v>
      </c>
      <c r="BB1584" s="9">
        <f>VLOOKUP(A1584,Jogos!A:BN,60,0)</f>
        <v>86.5</v>
      </c>
      <c r="BC1584" s="9">
        <f>VLOOKUP(A1584,Jogos!A:BN,61,0)</f>
        <v>22.745</v>
      </c>
      <c r="BD1584" s="9">
        <f>VLOOKUP(A1584,Jogos!A:BN,62,0)</f>
        <v>0</v>
      </c>
      <c r="BE1584" s="9">
        <f>VLOOKUP(A1584,Jogos!A:BN,63,0)</f>
        <v>2.06</v>
      </c>
      <c r="BF1584" s="9">
        <f>VLOOKUP(A1584,Jogos!A:BN,64,0)</f>
        <v>23.105</v>
      </c>
      <c r="BG1584" s="9">
        <f>VLOOKUP(A1584,Jogos!A:BN,65,0)</f>
        <v>39.23</v>
      </c>
      <c r="BH1584" s="9">
        <f>VLOOKUP(A1584,Jogos!A:BN,66,0)</f>
        <v>26.5</v>
      </c>
      <c r="BI1584" s="9"/>
      <c r="BJ1584" s="9"/>
    </row>
    <row r="1585" hidden="1">
      <c r="A1585" s="2">
        <v>54.0</v>
      </c>
      <c r="B1585" s="2" t="s">
        <v>1350</v>
      </c>
      <c r="C1585" s="2" t="s">
        <v>1351</v>
      </c>
      <c r="D1585" s="3">
        <v>45838.0</v>
      </c>
      <c r="E1585" s="4">
        <v>0.875</v>
      </c>
      <c r="F1585" s="5" t="str">
        <f>VLOOKUP(A1585,Jogos!A:N,10,0)</f>
        <v>Evening</v>
      </c>
      <c r="G1585" s="2" t="s">
        <v>1269</v>
      </c>
      <c r="H1585" s="6" t="str">
        <f>VLOOKUP(A1585,Jogos!A:L,12,0)</f>
        <v>Open</v>
      </c>
      <c r="I1585" s="6" t="str">
        <f>VLOOKUP(G1585,'Estádios e Cidades'!A:B,2,0)</f>
        <v>Orlando</v>
      </c>
      <c r="J1585" s="2" t="s">
        <v>810</v>
      </c>
      <c r="K1585" s="2" t="str">
        <f>VLOOKUP(J1585,Equipes!A:F,6,0)</f>
        <v>Temperate</v>
      </c>
      <c r="L1585" s="2">
        <f>VLOOKUP(J1585,Equipes!A:C,3,0)</f>
        <v>9</v>
      </c>
      <c r="M1585" s="2" t="str">
        <f t="shared" si="4"/>
        <v>Round of 16</v>
      </c>
      <c r="N1585" s="2" t="s">
        <v>874</v>
      </c>
      <c r="O1585" s="2">
        <f>VLOOKUP(N1585,Equipes!A:C,3,0)</f>
        <v>7</v>
      </c>
      <c r="P1585" s="2" t="str">
        <f t="shared" si="5"/>
        <v>Quarter-final</v>
      </c>
      <c r="Q1585" s="2">
        <f t="shared" si="6"/>
        <v>2</v>
      </c>
      <c r="R1585" s="2" t="str">
        <f>VLOOKUP(J1585,Equipes!A:B,2,0)</f>
        <v>City</v>
      </c>
      <c r="S1585" s="6" t="s">
        <v>836</v>
      </c>
      <c r="T1585" s="7">
        <v>19.0</v>
      </c>
      <c r="U1585" s="7" t="s">
        <v>837</v>
      </c>
      <c r="V1585" s="7" t="str">
        <f>VLOOKUP(U1585,Jogadores!B:C,2,0)</f>
        <v>MF</v>
      </c>
      <c r="W1585" s="8">
        <f>VLOOKUP(U1585,Jogadores!B:D,3,0)</f>
        <v>34.78356164</v>
      </c>
      <c r="X1585" s="7">
        <v>0.0</v>
      </c>
      <c r="Y1585" s="7">
        <v>53.0</v>
      </c>
      <c r="Z1585" s="7">
        <f>VLOOKUP(A1585,Jogos!A:L,3,0)</f>
        <v>50</v>
      </c>
      <c r="AA1585" s="7">
        <f t="shared" si="4815"/>
        <v>50</v>
      </c>
      <c r="AB1585" s="7">
        <f>VLOOKUP(A1585,Jogos!A:L,4,0)</f>
        <v>51</v>
      </c>
      <c r="AC1585" s="7">
        <f t="shared" si="4966"/>
        <v>8</v>
      </c>
      <c r="AD1585" s="7">
        <f>Jogos!$E$55-Jogos!$D$55-Jogos!$C$55</f>
        <v>34</v>
      </c>
      <c r="AE1585" s="7">
        <f t="shared" si="4956"/>
        <v>0</v>
      </c>
      <c r="AF1585" s="7">
        <f t="shared" si="4566"/>
        <v>58</v>
      </c>
      <c r="AG1585" s="7">
        <v>6724.7</v>
      </c>
      <c r="AH1585" s="7">
        <v>1884.4</v>
      </c>
      <c r="AI1585" s="7">
        <v>3289.0</v>
      </c>
      <c r="AJ1585" s="7">
        <v>1060.4</v>
      </c>
      <c r="AK1585" s="7">
        <v>456.5</v>
      </c>
      <c r="AL1585" s="7">
        <v>34.3</v>
      </c>
      <c r="AM1585" s="7">
        <v>93.0</v>
      </c>
      <c r="AN1585" s="7">
        <v>30.0</v>
      </c>
      <c r="AO1585" s="7">
        <v>29.7</v>
      </c>
      <c r="AP1585" s="9">
        <f t="shared" ref="AP1585:AR1585" si="4967">AG1585/$AF1585</f>
        <v>115.9431034</v>
      </c>
      <c r="AQ1585" s="9">
        <f t="shared" si="4967"/>
        <v>32.48965517</v>
      </c>
      <c r="AR1585" s="9">
        <f t="shared" si="4967"/>
        <v>56.70689655</v>
      </c>
      <c r="AS1585" s="9">
        <f t="shared" si="4568"/>
        <v>89.19655172</v>
      </c>
      <c r="AT1585" s="9">
        <f t="shared" ref="AT1585:AV1585" si="4968">AJ1585/$AF1585</f>
        <v>18.28275862</v>
      </c>
      <c r="AU1585" s="9">
        <f t="shared" si="4968"/>
        <v>7.870689655</v>
      </c>
      <c r="AV1585" s="9">
        <f t="shared" si="4968"/>
        <v>0.5913793103</v>
      </c>
      <c r="AW1585" s="9">
        <f t="shared" si="4570"/>
        <v>8.462068966</v>
      </c>
      <c r="AX1585" s="9">
        <f t="shared" ref="AX1585:AY1585" si="4969">AM1585/$AF1585</f>
        <v>1.603448276</v>
      </c>
      <c r="AY1585" s="9">
        <f t="shared" si="4969"/>
        <v>0.5172413793</v>
      </c>
      <c r="AZ1585" s="9">
        <f>VLOOKUP(A1585,Jogos!A:BN,58,0)</f>
        <v>24.785</v>
      </c>
      <c r="BA1585" s="9">
        <f>VLOOKUP(A1585,Jogos!A:BN,59,0)</f>
        <v>22.48</v>
      </c>
      <c r="BB1585" s="9">
        <f>VLOOKUP(A1585,Jogos!A:BN,60,0)</f>
        <v>86.5</v>
      </c>
      <c r="BC1585" s="9">
        <f>VLOOKUP(A1585,Jogos!A:BN,61,0)</f>
        <v>22.745</v>
      </c>
      <c r="BD1585" s="9">
        <f>VLOOKUP(A1585,Jogos!A:BN,62,0)</f>
        <v>0</v>
      </c>
      <c r="BE1585" s="9">
        <f>VLOOKUP(A1585,Jogos!A:BN,63,0)</f>
        <v>2.06</v>
      </c>
      <c r="BF1585" s="9">
        <f>VLOOKUP(A1585,Jogos!A:BN,64,0)</f>
        <v>23.105</v>
      </c>
      <c r="BG1585" s="9">
        <f>VLOOKUP(A1585,Jogos!A:BN,65,0)</f>
        <v>39.23</v>
      </c>
      <c r="BH1585" s="9">
        <f>VLOOKUP(A1585,Jogos!A:BN,66,0)</f>
        <v>26.5</v>
      </c>
      <c r="BI1585" s="9"/>
      <c r="BJ1585" s="9"/>
    </row>
    <row r="1586" hidden="1">
      <c r="A1586" s="2">
        <v>54.0</v>
      </c>
      <c r="B1586" s="2" t="s">
        <v>1350</v>
      </c>
      <c r="C1586" s="2" t="s">
        <v>1351</v>
      </c>
      <c r="D1586" s="3">
        <v>45838.0</v>
      </c>
      <c r="E1586" s="4">
        <v>0.875</v>
      </c>
      <c r="F1586" s="5" t="str">
        <f>VLOOKUP(A1586,Jogos!A:N,10,0)</f>
        <v>Evening</v>
      </c>
      <c r="G1586" s="2" t="s">
        <v>1269</v>
      </c>
      <c r="H1586" s="6" t="str">
        <f>VLOOKUP(A1586,Jogos!A:L,12,0)</f>
        <v>Open</v>
      </c>
      <c r="I1586" s="6" t="str">
        <f>VLOOKUP(G1586,'Estádios e Cidades'!A:B,2,0)</f>
        <v>Orlando</v>
      </c>
      <c r="J1586" s="2" t="s">
        <v>810</v>
      </c>
      <c r="K1586" s="2" t="str">
        <f>VLOOKUP(J1586,Equipes!A:F,6,0)</f>
        <v>Temperate</v>
      </c>
      <c r="L1586" s="2">
        <f>VLOOKUP(J1586,Equipes!A:C,3,0)</f>
        <v>9</v>
      </c>
      <c r="M1586" s="2" t="str">
        <f t="shared" si="4"/>
        <v>Round of 16</v>
      </c>
      <c r="N1586" s="2" t="s">
        <v>874</v>
      </c>
      <c r="O1586" s="2">
        <f>VLOOKUP(N1586,Equipes!A:C,3,0)</f>
        <v>7</v>
      </c>
      <c r="P1586" s="2" t="str">
        <f t="shared" si="5"/>
        <v>Quarter-final</v>
      </c>
      <c r="Q1586" s="2">
        <f t="shared" si="6"/>
        <v>2</v>
      </c>
      <c r="R1586" s="2" t="str">
        <f>VLOOKUP(J1586,Equipes!A:B,2,0)</f>
        <v>City</v>
      </c>
      <c r="S1586" s="6" t="s">
        <v>1217</v>
      </c>
      <c r="T1586" s="7">
        <v>20.0</v>
      </c>
      <c r="U1586" s="7" t="s">
        <v>1218</v>
      </c>
      <c r="V1586" s="7" t="str">
        <f>VLOOKUP(U1586,Jogadores!B:C,2,0)</f>
        <v>MF</v>
      </c>
      <c r="W1586" s="8">
        <f>VLOOKUP(U1586,Jogadores!B:D,3,0)</f>
        <v>30.98630137</v>
      </c>
      <c r="X1586" s="7">
        <v>0.0</v>
      </c>
      <c r="Y1586" s="7">
        <f t="shared" ref="Y1586:Y1587" si="4973">45+AB1586+AD1586</f>
        <v>130</v>
      </c>
      <c r="Z1586" s="7">
        <f>VLOOKUP(A1586,Jogos!A:L,3,0)</f>
        <v>50</v>
      </c>
      <c r="AA1586" s="7">
        <f t="shared" si="4815"/>
        <v>50</v>
      </c>
      <c r="AB1586" s="7">
        <f>VLOOKUP(A1586,Jogos!A:L,4,0)</f>
        <v>51</v>
      </c>
      <c r="AC1586" s="7">
        <f t="shared" si="4966"/>
        <v>51</v>
      </c>
      <c r="AD1586" s="7">
        <f>Jogos!$E$55-Jogos!$D$55-Jogos!$C$55</f>
        <v>34</v>
      </c>
      <c r="AE1586" s="7">
        <f t="shared" si="4956"/>
        <v>34</v>
      </c>
      <c r="AF1586" s="7">
        <f t="shared" si="4566"/>
        <v>135</v>
      </c>
      <c r="AG1586" s="7">
        <v>16066.9</v>
      </c>
      <c r="AH1586" s="7">
        <v>4705.6</v>
      </c>
      <c r="AI1586" s="7">
        <v>7780.5</v>
      </c>
      <c r="AJ1586" s="7">
        <v>2712.5</v>
      </c>
      <c r="AK1586" s="7">
        <v>772.1</v>
      </c>
      <c r="AL1586" s="7">
        <v>96.1</v>
      </c>
      <c r="AM1586" s="7">
        <v>218.0</v>
      </c>
      <c r="AN1586" s="7">
        <v>58.0</v>
      </c>
      <c r="AO1586" s="7">
        <v>28.0</v>
      </c>
      <c r="AP1586" s="9">
        <f t="shared" ref="AP1586:AR1586" si="4970">AG1586/$AF1586</f>
        <v>119.0140741</v>
      </c>
      <c r="AQ1586" s="9">
        <f t="shared" si="4970"/>
        <v>34.8562963</v>
      </c>
      <c r="AR1586" s="9">
        <f t="shared" si="4970"/>
        <v>57.63333333</v>
      </c>
      <c r="AS1586" s="9">
        <f t="shared" si="4568"/>
        <v>92.48962963</v>
      </c>
      <c r="AT1586" s="9">
        <f t="shared" ref="AT1586:AV1586" si="4971">AJ1586/$AF1586</f>
        <v>20.09259259</v>
      </c>
      <c r="AU1586" s="9">
        <f t="shared" si="4971"/>
        <v>5.719259259</v>
      </c>
      <c r="AV1586" s="9">
        <f t="shared" si="4971"/>
        <v>0.7118518519</v>
      </c>
      <c r="AW1586" s="9">
        <f t="shared" si="4570"/>
        <v>6.431111111</v>
      </c>
      <c r="AX1586" s="9">
        <f t="shared" ref="AX1586:AY1586" si="4972">AM1586/$AF1586</f>
        <v>1.614814815</v>
      </c>
      <c r="AY1586" s="9">
        <f t="shared" si="4972"/>
        <v>0.4296296296</v>
      </c>
      <c r="AZ1586" s="9">
        <f>VLOOKUP(A1586,Jogos!A:BN,58,0)</f>
        <v>24.785</v>
      </c>
      <c r="BA1586" s="9">
        <f>VLOOKUP(A1586,Jogos!A:BN,59,0)</f>
        <v>22.48</v>
      </c>
      <c r="BB1586" s="9">
        <f>VLOOKUP(A1586,Jogos!A:BN,60,0)</f>
        <v>86.5</v>
      </c>
      <c r="BC1586" s="9">
        <f>VLOOKUP(A1586,Jogos!A:BN,61,0)</f>
        <v>22.745</v>
      </c>
      <c r="BD1586" s="9">
        <f>VLOOKUP(A1586,Jogos!A:BN,62,0)</f>
        <v>0</v>
      </c>
      <c r="BE1586" s="9">
        <f>VLOOKUP(A1586,Jogos!A:BN,63,0)</f>
        <v>2.06</v>
      </c>
      <c r="BF1586" s="9">
        <f>VLOOKUP(A1586,Jogos!A:BN,64,0)</f>
        <v>23.105</v>
      </c>
      <c r="BG1586" s="9">
        <f>VLOOKUP(A1586,Jogos!A:BN,65,0)</f>
        <v>39.23</v>
      </c>
      <c r="BH1586" s="9">
        <f>VLOOKUP(A1586,Jogos!A:BN,66,0)</f>
        <v>26.5</v>
      </c>
      <c r="BI1586" s="9"/>
      <c r="BJ1586" s="9"/>
    </row>
    <row r="1587" hidden="1">
      <c r="A1587" s="2">
        <v>54.0</v>
      </c>
      <c r="B1587" s="2" t="s">
        <v>1350</v>
      </c>
      <c r="C1587" s="2" t="s">
        <v>1351</v>
      </c>
      <c r="D1587" s="3">
        <v>45838.0</v>
      </c>
      <c r="E1587" s="4">
        <v>0.875</v>
      </c>
      <c r="F1587" s="5" t="str">
        <f>VLOOKUP(A1587,Jogos!A:N,10,0)</f>
        <v>Evening</v>
      </c>
      <c r="G1587" s="2" t="s">
        <v>1269</v>
      </c>
      <c r="H1587" s="6" t="str">
        <f>VLOOKUP(A1587,Jogos!A:L,12,0)</f>
        <v>Open</v>
      </c>
      <c r="I1587" s="6" t="str">
        <f>VLOOKUP(G1587,'Estádios e Cidades'!A:B,2,0)</f>
        <v>Orlando</v>
      </c>
      <c r="J1587" s="2" t="s">
        <v>810</v>
      </c>
      <c r="K1587" s="2" t="str">
        <f>VLOOKUP(J1587,Equipes!A:F,6,0)</f>
        <v>Temperate</v>
      </c>
      <c r="L1587" s="2">
        <f>VLOOKUP(J1587,Equipes!A:C,3,0)</f>
        <v>9</v>
      </c>
      <c r="M1587" s="2" t="str">
        <f t="shared" si="4"/>
        <v>Round of 16</v>
      </c>
      <c r="N1587" s="2" t="s">
        <v>874</v>
      </c>
      <c r="O1587" s="2">
        <f>VLOOKUP(N1587,Equipes!A:C,3,0)</f>
        <v>7</v>
      </c>
      <c r="P1587" s="2" t="str">
        <f t="shared" si="5"/>
        <v>Quarter-final</v>
      </c>
      <c r="Q1587" s="2">
        <f t="shared" si="6"/>
        <v>2</v>
      </c>
      <c r="R1587" s="2" t="str">
        <f>VLOOKUP(J1587,Equipes!A:B,2,0)</f>
        <v>City</v>
      </c>
      <c r="S1587" s="6" t="s">
        <v>1219</v>
      </c>
      <c r="T1587" s="7">
        <v>21.0</v>
      </c>
      <c r="U1587" s="7" t="s">
        <v>1220</v>
      </c>
      <c r="V1587" s="7" t="str">
        <f>VLOOKUP(U1587,Jogadores!B:C,2,0)</f>
        <v>DF</v>
      </c>
      <c r="W1587" s="8">
        <f>VLOOKUP(U1587,Jogadores!B:D,3,0)</f>
        <v>24.15890411</v>
      </c>
      <c r="X1587" s="7">
        <v>0.0</v>
      </c>
      <c r="Y1587" s="7">
        <f t="shared" si="4973"/>
        <v>130</v>
      </c>
      <c r="Z1587" s="7">
        <f>VLOOKUP(A1587,Jogos!A:L,3,0)</f>
        <v>50</v>
      </c>
      <c r="AA1587" s="7">
        <f t="shared" si="4815"/>
        <v>50</v>
      </c>
      <c r="AB1587" s="7">
        <f>VLOOKUP(A1587,Jogos!A:L,4,0)</f>
        <v>51</v>
      </c>
      <c r="AC1587" s="7">
        <f t="shared" si="4966"/>
        <v>51</v>
      </c>
      <c r="AD1587" s="7">
        <f>Jogos!$E$55-Jogos!$D$55-Jogos!$C$55</f>
        <v>34</v>
      </c>
      <c r="AE1587" s="7">
        <f t="shared" si="4956"/>
        <v>34</v>
      </c>
      <c r="AF1587" s="7">
        <f t="shared" si="4566"/>
        <v>135</v>
      </c>
      <c r="AG1587" s="7">
        <v>14271.5</v>
      </c>
      <c r="AH1587" s="7">
        <v>5344.1</v>
      </c>
      <c r="AI1587" s="7">
        <v>5952.8</v>
      </c>
      <c r="AJ1587" s="7">
        <v>1668.3</v>
      </c>
      <c r="AK1587" s="7">
        <v>836.6</v>
      </c>
      <c r="AL1587" s="7">
        <v>469.7</v>
      </c>
      <c r="AM1587" s="7">
        <v>154.0</v>
      </c>
      <c r="AN1587" s="7">
        <v>69.0</v>
      </c>
      <c r="AO1587" s="7">
        <v>34.0</v>
      </c>
      <c r="AP1587" s="9">
        <f t="shared" ref="AP1587:AR1587" si="4974">AG1587/$AF1587</f>
        <v>105.7148148</v>
      </c>
      <c r="AQ1587" s="9">
        <f t="shared" si="4974"/>
        <v>39.58592593</v>
      </c>
      <c r="AR1587" s="9">
        <f t="shared" si="4974"/>
        <v>44.09481481</v>
      </c>
      <c r="AS1587" s="9">
        <f t="shared" si="4568"/>
        <v>83.68074074</v>
      </c>
      <c r="AT1587" s="9">
        <f t="shared" ref="AT1587:AV1587" si="4975">AJ1587/$AF1587</f>
        <v>12.35777778</v>
      </c>
      <c r="AU1587" s="9">
        <f t="shared" si="4975"/>
        <v>6.197037037</v>
      </c>
      <c r="AV1587" s="9">
        <f t="shared" si="4975"/>
        <v>3.479259259</v>
      </c>
      <c r="AW1587" s="9">
        <f t="shared" si="4570"/>
        <v>9.676296296</v>
      </c>
      <c r="AX1587" s="9">
        <f t="shared" ref="AX1587:AY1587" si="4976">AM1587/$AF1587</f>
        <v>1.140740741</v>
      </c>
      <c r="AY1587" s="9">
        <f t="shared" si="4976"/>
        <v>0.5111111111</v>
      </c>
      <c r="AZ1587" s="9">
        <f>VLOOKUP(A1587,Jogos!A:BN,58,0)</f>
        <v>24.785</v>
      </c>
      <c r="BA1587" s="9">
        <f>VLOOKUP(A1587,Jogos!A:BN,59,0)</f>
        <v>22.48</v>
      </c>
      <c r="BB1587" s="9">
        <f>VLOOKUP(A1587,Jogos!A:BN,60,0)</f>
        <v>86.5</v>
      </c>
      <c r="BC1587" s="9">
        <f>VLOOKUP(A1587,Jogos!A:BN,61,0)</f>
        <v>22.745</v>
      </c>
      <c r="BD1587" s="9">
        <f>VLOOKUP(A1587,Jogos!A:BN,62,0)</f>
        <v>0</v>
      </c>
      <c r="BE1587" s="9">
        <f>VLOOKUP(A1587,Jogos!A:BN,63,0)</f>
        <v>2.06</v>
      </c>
      <c r="BF1587" s="9">
        <f>VLOOKUP(A1587,Jogos!A:BN,64,0)</f>
        <v>23.105</v>
      </c>
      <c r="BG1587" s="9">
        <f>VLOOKUP(A1587,Jogos!A:BN,65,0)</f>
        <v>39.23</v>
      </c>
      <c r="BH1587" s="9">
        <f>VLOOKUP(A1587,Jogos!A:BN,66,0)</f>
        <v>26.5</v>
      </c>
      <c r="BI1587" s="9"/>
      <c r="BJ1587" s="9"/>
    </row>
    <row r="1588" hidden="1">
      <c r="A1588" s="2">
        <v>54.0</v>
      </c>
      <c r="B1588" s="2" t="s">
        <v>1350</v>
      </c>
      <c r="C1588" s="2" t="s">
        <v>1351</v>
      </c>
      <c r="D1588" s="3">
        <v>45838.0</v>
      </c>
      <c r="E1588" s="4">
        <v>0.875</v>
      </c>
      <c r="F1588" s="5" t="str">
        <f>VLOOKUP(A1588,Jogos!A:N,10,0)</f>
        <v>Evening</v>
      </c>
      <c r="G1588" s="2" t="s">
        <v>1269</v>
      </c>
      <c r="H1588" s="6" t="str">
        <f>VLOOKUP(A1588,Jogos!A:L,12,0)</f>
        <v>Open</v>
      </c>
      <c r="I1588" s="6" t="str">
        <f>VLOOKUP(G1588,'Estádios e Cidades'!A:B,2,0)</f>
        <v>Orlando</v>
      </c>
      <c r="J1588" s="2" t="s">
        <v>810</v>
      </c>
      <c r="K1588" s="2" t="str">
        <f>VLOOKUP(J1588,Equipes!A:F,6,0)</f>
        <v>Temperate</v>
      </c>
      <c r="L1588" s="2">
        <f>VLOOKUP(J1588,Equipes!A:C,3,0)</f>
        <v>9</v>
      </c>
      <c r="M1588" s="2" t="str">
        <f t="shared" si="4"/>
        <v>Round of 16</v>
      </c>
      <c r="N1588" s="2" t="s">
        <v>874</v>
      </c>
      <c r="O1588" s="2">
        <f>VLOOKUP(N1588,Equipes!A:C,3,0)</f>
        <v>7</v>
      </c>
      <c r="P1588" s="2" t="str">
        <f t="shared" si="5"/>
        <v>Quarter-final</v>
      </c>
      <c r="Q1588" s="2">
        <f t="shared" si="6"/>
        <v>2</v>
      </c>
      <c r="R1588" s="2" t="str">
        <f>VLOOKUP(J1588,Equipes!A:B,2,0)</f>
        <v>City</v>
      </c>
      <c r="S1588" s="6" t="s">
        <v>1221</v>
      </c>
      <c r="T1588" s="7">
        <v>24.0</v>
      </c>
      <c r="U1588" s="7" t="s">
        <v>1222</v>
      </c>
      <c r="V1588" s="7" t="str">
        <f>VLOOKUP(U1588,Jogadores!B:C,2,0)</f>
        <v>DF</v>
      </c>
      <c r="W1588" s="8">
        <f>VLOOKUP(U1588,Jogadores!B:D,3,0)</f>
        <v>23.5260274</v>
      </c>
      <c r="X1588" s="7">
        <v>0.0</v>
      </c>
      <c r="Y1588" s="7">
        <v>53.0</v>
      </c>
      <c r="Z1588" s="7">
        <f>VLOOKUP(A1588,Jogos!A:L,3,0)</f>
        <v>50</v>
      </c>
      <c r="AA1588" s="7">
        <f t="shared" si="4815"/>
        <v>50</v>
      </c>
      <c r="AB1588" s="7">
        <f>VLOOKUP(A1588,Jogos!A:L,4,0)</f>
        <v>51</v>
      </c>
      <c r="AC1588" s="7">
        <f t="shared" si="4966"/>
        <v>8</v>
      </c>
      <c r="AD1588" s="7">
        <f>Jogos!$E$55-Jogos!$D$55-Jogos!$C$55</f>
        <v>34</v>
      </c>
      <c r="AE1588" s="7">
        <f t="shared" si="4956"/>
        <v>0</v>
      </c>
      <c r="AF1588" s="7">
        <f t="shared" si="4566"/>
        <v>58</v>
      </c>
      <c r="AG1588" s="7">
        <v>6302.2</v>
      </c>
      <c r="AH1588" s="7">
        <v>2450.8</v>
      </c>
      <c r="AI1588" s="7">
        <v>2347.6</v>
      </c>
      <c r="AJ1588" s="7">
        <v>824.5</v>
      </c>
      <c r="AK1588" s="7">
        <v>496.9</v>
      </c>
      <c r="AL1588" s="7">
        <v>182.5</v>
      </c>
      <c r="AM1588" s="7">
        <v>80.0</v>
      </c>
      <c r="AN1588" s="7">
        <v>34.0</v>
      </c>
      <c r="AO1588" s="7">
        <v>31.1</v>
      </c>
      <c r="AP1588" s="9">
        <f t="shared" ref="AP1588:AR1588" si="4977">AG1588/$AF1588</f>
        <v>108.6586207</v>
      </c>
      <c r="AQ1588" s="9">
        <f t="shared" si="4977"/>
        <v>42.25517241</v>
      </c>
      <c r="AR1588" s="9">
        <f t="shared" si="4977"/>
        <v>40.47586207</v>
      </c>
      <c r="AS1588" s="9">
        <f t="shared" si="4568"/>
        <v>82.73103448</v>
      </c>
      <c r="AT1588" s="9">
        <f t="shared" ref="AT1588:AV1588" si="4978">AJ1588/$AF1588</f>
        <v>14.21551724</v>
      </c>
      <c r="AU1588" s="9">
        <f t="shared" si="4978"/>
        <v>8.567241379</v>
      </c>
      <c r="AV1588" s="9">
        <f t="shared" si="4978"/>
        <v>3.146551724</v>
      </c>
      <c r="AW1588" s="9">
        <f t="shared" si="4570"/>
        <v>11.7137931</v>
      </c>
      <c r="AX1588" s="9">
        <f t="shared" ref="AX1588:AY1588" si="4979">AM1588/$AF1588</f>
        <v>1.379310345</v>
      </c>
      <c r="AY1588" s="9">
        <f t="shared" si="4979"/>
        <v>0.5862068966</v>
      </c>
      <c r="AZ1588" s="9">
        <f>VLOOKUP(A1588,Jogos!A:BN,58,0)</f>
        <v>24.785</v>
      </c>
      <c r="BA1588" s="9">
        <f>VLOOKUP(A1588,Jogos!A:BN,59,0)</f>
        <v>22.48</v>
      </c>
      <c r="BB1588" s="9">
        <f>VLOOKUP(A1588,Jogos!A:BN,60,0)</f>
        <v>86.5</v>
      </c>
      <c r="BC1588" s="9">
        <f>VLOOKUP(A1588,Jogos!A:BN,61,0)</f>
        <v>22.745</v>
      </c>
      <c r="BD1588" s="9">
        <f>VLOOKUP(A1588,Jogos!A:BN,62,0)</f>
        <v>0</v>
      </c>
      <c r="BE1588" s="9">
        <f>VLOOKUP(A1588,Jogos!A:BN,63,0)</f>
        <v>2.06</v>
      </c>
      <c r="BF1588" s="9">
        <f>VLOOKUP(A1588,Jogos!A:BN,64,0)</f>
        <v>23.105</v>
      </c>
      <c r="BG1588" s="9">
        <f>VLOOKUP(A1588,Jogos!A:BN,65,0)</f>
        <v>39.23</v>
      </c>
      <c r="BH1588" s="9">
        <f>VLOOKUP(A1588,Jogos!A:BN,66,0)</f>
        <v>26.5</v>
      </c>
      <c r="BI1588" s="9"/>
      <c r="BJ1588" s="9"/>
    </row>
    <row r="1589" hidden="1">
      <c r="A1589" s="2">
        <v>54.0</v>
      </c>
      <c r="B1589" s="2" t="s">
        <v>1350</v>
      </c>
      <c r="C1589" s="2" t="s">
        <v>1351</v>
      </c>
      <c r="D1589" s="3">
        <v>45838.0</v>
      </c>
      <c r="E1589" s="4">
        <v>0.875</v>
      </c>
      <c r="F1589" s="5" t="str">
        <f>VLOOKUP(A1589,Jogos!A:N,10,0)</f>
        <v>Evening</v>
      </c>
      <c r="G1589" s="2" t="s">
        <v>1269</v>
      </c>
      <c r="H1589" s="6" t="str">
        <f>VLOOKUP(A1589,Jogos!A:L,12,0)</f>
        <v>Open</v>
      </c>
      <c r="I1589" s="6" t="str">
        <f>VLOOKUP(G1589,'Estádios e Cidades'!A:B,2,0)</f>
        <v>Orlando</v>
      </c>
      <c r="J1589" s="2" t="s">
        <v>810</v>
      </c>
      <c r="K1589" s="2" t="str">
        <f>VLOOKUP(J1589,Equipes!A:F,6,0)</f>
        <v>Temperate</v>
      </c>
      <c r="L1589" s="2">
        <f>VLOOKUP(J1589,Equipes!A:C,3,0)</f>
        <v>9</v>
      </c>
      <c r="M1589" s="2" t="str">
        <f t="shared" si="4"/>
        <v>Round of 16</v>
      </c>
      <c r="N1589" s="2" t="s">
        <v>874</v>
      </c>
      <c r="O1589" s="2">
        <f>VLOOKUP(N1589,Equipes!A:C,3,0)</f>
        <v>7</v>
      </c>
      <c r="P1589" s="2" t="str">
        <f t="shared" si="5"/>
        <v>Quarter-final</v>
      </c>
      <c r="Q1589" s="2">
        <f t="shared" si="6"/>
        <v>2</v>
      </c>
      <c r="R1589" s="2" t="str">
        <f>VLOOKUP(J1589,Equipes!A:B,2,0)</f>
        <v>City</v>
      </c>
      <c r="S1589" s="6" t="s">
        <v>822</v>
      </c>
      <c r="T1589" s="7">
        <v>26.0</v>
      </c>
      <c r="U1589" s="7" t="s">
        <v>823</v>
      </c>
      <c r="V1589" s="7" t="str">
        <f>VLOOKUP(U1589,Jogadores!B:C,2,0)</f>
        <v>MF</v>
      </c>
      <c r="W1589" s="8">
        <f>VLOOKUP(U1589,Jogadores!B:D,3,0)</f>
        <v>21.31232877</v>
      </c>
      <c r="X1589" s="7">
        <v>0.0</v>
      </c>
      <c r="Y1589" s="7">
        <f>45+AB1589+AD1589</f>
        <v>130</v>
      </c>
      <c r="Z1589" s="7">
        <f>VLOOKUP(A1589,Jogos!A:L,3,0)</f>
        <v>50</v>
      </c>
      <c r="AA1589" s="7">
        <f t="shared" si="4815"/>
        <v>50</v>
      </c>
      <c r="AB1589" s="7">
        <f>VLOOKUP(A1589,Jogos!A:L,4,0)</f>
        <v>51</v>
      </c>
      <c r="AC1589" s="7">
        <f t="shared" si="4966"/>
        <v>51</v>
      </c>
      <c r="AD1589" s="7">
        <f>Jogos!$E$55-Jogos!$D$55-Jogos!$C$55</f>
        <v>34</v>
      </c>
      <c r="AE1589" s="7">
        <f t="shared" si="4956"/>
        <v>34</v>
      </c>
      <c r="AF1589" s="7">
        <f t="shared" si="4566"/>
        <v>135</v>
      </c>
      <c r="AG1589" s="7">
        <v>14119.5</v>
      </c>
      <c r="AH1589" s="7">
        <v>5158.7</v>
      </c>
      <c r="AI1589" s="7">
        <v>5095.4</v>
      </c>
      <c r="AJ1589" s="7">
        <v>2521.4</v>
      </c>
      <c r="AK1589" s="7">
        <v>1066.2</v>
      </c>
      <c r="AL1589" s="7">
        <v>277.8</v>
      </c>
      <c r="AM1589" s="7">
        <v>222.0</v>
      </c>
      <c r="AN1589" s="7">
        <v>78.0</v>
      </c>
      <c r="AO1589" s="7">
        <v>31.8</v>
      </c>
      <c r="AP1589" s="9">
        <f t="shared" ref="AP1589:AR1589" si="4980">AG1589/$AF1589</f>
        <v>104.5888889</v>
      </c>
      <c r="AQ1589" s="9">
        <f t="shared" si="4980"/>
        <v>38.21259259</v>
      </c>
      <c r="AR1589" s="9">
        <f t="shared" si="4980"/>
        <v>37.7437037</v>
      </c>
      <c r="AS1589" s="9">
        <f t="shared" si="4568"/>
        <v>75.9562963</v>
      </c>
      <c r="AT1589" s="9">
        <f t="shared" ref="AT1589:AV1589" si="4981">AJ1589/$AF1589</f>
        <v>18.67703704</v>
      </c>
      <c r="AU1589" s="9">
        <f t="shared" si="4981"/>
        <v>7.897777778</v>
      </c>
      <c r="AV1589" s="9">
        <f t="shared" si="4981"/>
        <v>2.057777778</v>
      </c>
      <c r="AW1589" s="9">
        <f t="shared" si="4570"/>
        <v>9.955555556</v>
      </c>
      <c r="AX1589" s="9">
        <f t="shared" ref="AX1589:AY1589" si="4982">AM1589/$AF1589</f>
        <v>1.644444444</v>
      </c>
      <c r="AY1589" s="9">
        <f t="shared" si="4982"/>
        <v>0.5777777778</v>
      </c>
      <c r="AZ1589" s="9">
        <f>VLOOKUP(A1589,Jogos!A:BN,58,0)</f>
        <v>24.785</v>
      </c>
      <c r="BA1589" s="9">
        <f>VLOOKUP(A1589,Jogos!A:BN,59,0)</f>
        <v>22.48</v>
      </c>
      <c r="BB1589" s="9">
        <f>VLOOKUP(A1589,Jogos!A:BN,60,0)</f>
        <v>86.5</v>
      </c>
      <c r="BC1589" s="9">
        <f>VLOOKUP(A1589,Jogos!A:BN,61,0)</f>
        <v>22.745</v>
      </c>
      <c r="BD1589" s="9">
        <f>VLOOKUP(A1589,Jogos!A:BN,62,0)</f>
        <v>0</v>
      </c>
      <c r="BE1589" s="9">
        <f>VLOOKUP(A1589,Jogos!A:BN,63,0)</f>
        <v>2.06</v>
      </c>
      <c r="BF1589" s="9">
        <f>VLOOKUP(A1589,Jogos!A:BN,64,0)</f>
        <v>23.105</v>
      </c>
      <c r="BG1589" s="9">
        <f>VLOOKUP(A1589,Jogos!A:BN,65,0)</f>
        <v>39.23</v>
      </c>
      <c r="BH1589" s="9">
        <f>VLOOKUP(A1589,Jogos!A:BN,66,0)</f>
        <v>26.5</v>
      </c>
      <c r="BI1589" s="9"/>
      <c r="BJ1589" s="9"/>
    </row>
    <row r="1590" hidden="1">
      <c r="A1590" s="2">
        <v>54.0</v>
      </c>
      <c r="B1590" s="2" t="s">
        <v>1350</v>
      </c>
      <c r="C1590" s="2" t="s">
        <v>1351</v>
      </c>
      <c r="D1590" s="3">
        <v>45838.0</v>
      </c>
      <c r="E1590" s="4">
        <v>0.875</v>
      </c>
      <c r="F1590" s="5" t="str">
        <f>VLOOKUP(A1590,Jogos!A:N,10,0)</f>
        <v>Evening</v>
      </c>
      <c r="G1590" s="2" t="s">
        <v>1269</v>
      </c>
      <c r="H1590" s="6" t="str">
        <f>VLOOKUP(A1590,Jogos!A:L,12,0)</f>
        <v>Open</v>
      </c>
      <c r="I1590" s="6" t="str">
        <f>VLOOKUP(G1590,'Estádios e Cidades'!A:B,2,0)</f>
        <v>Orlando</v>
      </c>
      <c r="J1590" s="2" t="s">
        <v>810</v>
      </c>
      <c r="K1590" s="2" t="str">
        <f>VLOOKUP(J1590,Equipes!A:F,6,0)</f>
        <v>Temperate</v>
      </c>
      <c r="L1590" s="2">
        <f>VLOOKUP(J1590,Equipes!A:C,3,0)</f>
        <v>9</v>
      </c>
      <c r="M1590" s="2" t="str">
        <f t="shared" si="4"/>
        <v>Round of 16</v>
      </c>
      <c r="N1590" s="2" t="s">
        <v>874</v>
      </c>
      <c r="O1590" s="2">
        <f>VLOOKUP(N1590,Equipes!A:C,3,0)</f>
        <v>7</v>
      </c>
      <c r="P1590" s="2" t="str">
        <f t="shared" si="5"/>
        <v>Quarter-final</v>
      </c>
      <c r="Q1590" s="2">
        <f t="shared" si="6"/>
        <v>2</v>
      </c>
      <c r="R1590" s="2" t="str">
        <f>VLOOKUP(J1590,Equipes!A:B,2,0)</f>
        <v>City</v>
      </c>
      <c r="S1590" s="6" t="s">
        <v>838</v>
      </c>
      <c r="T1590" s="7">
        <v>27.0</v>
      </c>
      <c r="U1590" s="7" t="s">
        <v>839</v>
      </c>
      <c r="V1590" s="7" t="str">
        <f>VLOOKUP(U1590,Jogadores!B:C,2,0)</f>
        <v>MF</v>
      </c>
      <c r="W1590" s="8">
        <f>VLOOKUP(U1590,Jogadores!B:D,3,0)</f>
        <v>26.9369863</v>
      </c>
      <c r="X1590" s="7">
        <v>0.0</v>
      </c>
      <c r="Y1590" s="7">
        <v>53.0</v>
      </c>
      <c r="Z1590" s="7">
        <f>VLOOKUP(A1590,Jogos!A:L,3,0)</f>
        <v>50</v>
      </c>
      <c r="AA1590" s="7">
        <f t="shared" si="4815"/>
        <v>50</v>
      </c>
      <c r="AB1590" s="7">
        <f>VLOOKUP(A1590,Jogos!A:L,4,0)</f>
        <v>51</v>
      </c>
      <c r="AC1590" s="7">
        <f t="shared" si="4966"/>
        <v>8</v>
      </c>
      <c r="AD1590" s="7">
        <f>Jogos!$E$55-Jogos!$D$55-Jogos!$C$55</f>
        <v>34</v>
      </c>
      <c r="AE1590" s="7">
        <f t="shared" si="4956"/>
        <v>0</v>
      </c>
      <c r="AF1590" s="7">
        <f t="shared" si="4566"/>
        <v>58</v>
      </c>
      <c r="AG1590" s="7">
        <v>6801.7</v>
      </c>
      <c r="AH1590" s="7">
        <v>2139.4</v>
      </c>
      <c r="AI1590" s="7">
        <v>3003.9</v>
      </c>
      <c r="AJ1590" s="7">
        <v>1040.5</v>
      </c>
      <c r="AK1590" s="7">
        <v>492.4</v>
      </c>
      <c r="AL1590" s="7">
        <v>125.5</v>
      </c>
      <c r="AM1590" s="7">
        <v>95.0</v>
      </c>
      <c r="AN1590" s="7">
        <v>40.0</v>
      </c>
      <c r="AO1590" s="7">
        <v>31.7</v>
      </c>
      <c r="AP1590" s="9">
        <f t="shared" ref="AP1590:AR1590" si="4983">AG1590/$AF1590</f>
        <v>117.2706897</v>
      </c>
      <c r="AQ1590" s="9">
        <f t="shared" si="4983"/>
        <v>36.8862069</v>
      </c>
      <c r="AR1590" s="9">
        <f t="shared" si="4983"/>
        <v>51.79137931</v>
      </c>
      <c r="AS1590" s="9">
        <f t="shared" si="4568"/>
        <v>88.67758621</v>
      </c>
      <c r="AT1590" s="9">
        <f t="shared" ref="AT1590:AV1590" si="4984">AJ1590/$AF1590</f>
        <v>17.93965517</v>
      </c>
      <c r="AU1590" s="9">
        <f t="shared" si="4984"/>
        <v>8.489655172</v>
      </c>
      <c r="AV1590" s="9">
        <f t="shared" si="4984"/>
        <v>2.163793103</v>
      </c>
      <c r="AW1590" s="9">
        <f t="shared" si="4570"/>
        <v>10.65344828</v>
      </c>
      <c r="AX1590" s="9">
        <f t="shared" ref="AX1590:AY1590" si="4985">AM1590/$AF1590</f>
        <v>1.637931034</v>
      </c>
      <c r="AY1590" s="9">
        <f t="shared" si="4985"/>
        <v>0.6896551724</v>
      </c>
      <c r="AZ1590" s="9">
        <f>VLOOKUP(A1590,Jogos!A:BN,58,0)</f>
        <v>24.785</v>
      </c>
      <c r="BA1590" s="9">
        <f>VLOOKUP(A1590,Jogos!A:BN,59,0)</f>
        <v>22.48</v>
      </c>
      <c r="BB1590" s="9">
        <f>VLOOKUP(A1590,Jogos!A:BN,60,0)</f>
        <v>86.5</v>
      </c>
      <c r="BC1590" s="9">
        <f>VLOOKUP(A1590,Jogos!A:BN,61,0)</f>
        <v>22.745</v>
      </c>
      <c r="BD1590" s="9">
        <f>VLOOKUP(A1590,Jogos!A:BN,62,0)</f>
        <v>0</v>
      </c>
      <c r="BE1590" s="9">
        <f>VLOOKUP(A1590,Jogos!A:BN,63,0)</f>
        <v>2.06</v>
      </c>
      <c r="BF1590" s="9">
        <f>VLOOKUP(A1590,Jogos!A:BN,64,0)</f>
        <v>23.105</v>
      </c>
      <c r="BG1590" s="9">
        <f>VLOOKUP(A1590,Jogos!A:BN,65,0)</f>
        <v>39.23</v>
      </c>
      <c r="BH1590" s="9">
        <f>VLOOKUP(A1590,Jogos!A:BN,66,0)</f>
        <v>26.5</v>
      </c>
      <c r="BI1590" s="9"/>
      <c r="BJ1590" s="9"/>
    </row>
    <row r="1591" hidden="1">
      <c r="A1591" s="2">
        <v>54.0</v>
      </c>
      <c r="B1591" s="2" t="s">
        <v>1350</v>
      </c>
      <c r="C1591" s="2" t="s">
        <v>1351</v>
      </c>
      <c r="D1591" s="3">
        <v>45838.0</v>
      </c>
      <c r="E1591" s="4">
        <v>0.875</v>
      </c>
      <c r="F1591" s="5" t="str">
        <f>VLOOKUP(A1591,Jogos!A:N,10,0)</f>
        <v>Evening</v>
      </c>
      <c r="G1591" s="2" t="s">
        <v>1269</v>
      </c>
      <c r="H1591" s="6" t="str">
        <f>VLOOKUP(A1591,Jogos!A:L,12,0)</f>
        <v>Open</v>
      </c>
      <c r="I1591" s="6" t="str">
        <f>VLOOKUP(G1591,'Estádios e Cidades'!A:B,2,0)</f>
        <v>Orlando</v>
      </c>
      <c r="J1591" s="2" t="s">
        <v>810</v>
      </c>
      <c r="K1591" s="2" t="str">
        <f>VLOOKUP(J1591,Equipes!A:F,6,0)</f>
        <v>Temperate</v>
      </c>
      <c r="L1591" s="2">
        <f>VLOOKUP(J1591,Equipes!A:C,3,0)</f>
        <v>9</v>
      </c>
      <c r="M1591" s="2" t="str">
        <f t="shared" si="4"/>
        <v>Round of 16</v>
      </c>
      <c r="N1591" s="2" t="s">
        <v>874</v>
      </c>
      <c r="O1591" s="2">
        <f>VLOOKUP(N1591,Equipes!A:C,3,0)</f>
        <v>7</v>
      </c>
      <c r="P1591" s="2" t="str">
        <f t="shared" si="5"/>
        <v>Quarter-final</v>
      </c>
      <c r="Q1591" s="2">
        <f t="shared" si="6"/>
        <v>2</v>
      </c>
      <c r="R1591" s="2" t="str">
        <f>VLOOKUP(J1591,Equipes!A:B,2,0)</f>
        <v>City</v>
      </c>
      <c r="S1591" s="6" t="s">
        <v>814</v>
      </c>
      <c r="T1591" s="7">
        <v>6.0</v>
      </c>
      <c r="U1591" s="7" t="s">
        <v>815</v>
      </c>
      <c r="V1591" s="7" t="str">
        <f>VLOOKUP(U1591,Jogadores!B:C,2,0)</f>
        <v>DF</v>
      </c>
      <c r="W1591" s="8">
        <f>VLOOKUP(U1591,Jogadores!B:D,3,0)</f>
        <v>30.46027397</v>
      </c>
      <c r="X1591" s="7">
        <v>53.0</v>
      </c>
      <c r="Y1591" s="7">
        <f t="shared" ref="Y1591:Y1592" si="4989">45+AB1591+AD1591</f>
        <v>130</v>
      </c>
      <c r="Z1591" s="7">
        <f>VLOOKUP(A1591,Jogos!A:L,3,0)</f>
        <v>50</v>
      </c>
      <c r="AA1591" s="7">
        <f t="shared" si="4815"/>
        <v>0</v>
      </c>
      <c r="AB1591" s="7">
        <f>VLOOKUP(A1591,Jogos!A:L,4,0)</f>
        <v>51</v>
      </c>
      <c r="AC1591" s="7">
        <f t="shared" si="4966"/>
        <v>43</v>
      </c>
      <c r="AD1591" s="7">
        <f>Jogos!$E$55-Jogos!$D$55-Jogos!$C$55</f>
        <v>34</v>
      </c>
      <c r="AE1591" s="7">
        <f t="shared" si="4956"/>
        <v>34</v>
      </c>
      <c r="AF1591" s="7">
        <f t="shared" si="4566"/>
        <v>77</v>
      </c>
      <c r="AG1591" s="7">
        <v>7696.1</v>
      </c>
      <c r="AH1591" s="7">
        <v>2639.3</v>
      </c>
      <c r="AI1591" s="7">
        <v>3593.6</v>
      </c>
      <c r="AJ1591" s="7">
        <v>887.1</v>
      </c>
      <c r="AK1591" s="7">
        <v>443.8</v>
      </c>
      <c r="AL1591" s="7">
        <v>132.2</v>
      </c>
      <c r="AM1591" s="7">
        <v>72.0</v>
      </c>
      <c r="AN1591" s="7">
        <v>30.0</v>
      </c>
      <c r="AO1591" s="7">
        <v>31.4</v>
      </c>
      <c r="AP1591" s="9">
        <f t="shared" ref="AP1591:AR1591" si="4986">AG1591/$AF1591</f>
        <v>99.94935065</v>
      </c>
      <c r="AQ1591" s="9">
        <f t="shared" si="4986"/>
        <v>34.27662338</v>
      </c>
      <c r="AR1591" s="9">
        <f t="shared" si="4986"/>
        <v>46.67012987</v>
      </c>
      <c r="AS1591" s="9">
        <f t="shared" si="4568"/>
        <v>80.94675325</v>
      </c>
      <c r="AT1591" s="9">
        <f t="shared" ref="AT1591:AV1591" si="4987">AJ1591/$AF1591</f>
        <v>11.52077922</v>
      </c>
      <c r="AU1591" s="9">
        <f t="shared" si="4987"/>
        <v>5.763636364</v>
      </c>
      <c r="AV1591" s="9">
        <f t="shared" si="4987"/>
        <v>1.716883117</v>
      </c>
      <c r="AW1591" s="9">
        <f t="shared" si="4570"/>
        <v>7.480519481</v>
      </c>
      <c r="AX1591" s="9">
        <f t="shared" ref="AX1591:AY1591" si="4988">AM1591/$AF1591</f>
        <v>0.9350649351</v>
      </c>
      <c r="AY1591" s="9">
        <f t="shared" si="4988"/>
        <v>0.3896103896</v>
      </c>
      <c r="AZ1591" s="9">
        <f>VLOOKUP(A1591,Jogos!A:BN,58,0)</f>
        <v>24.785</v>
      </c>
      <c r="BA1591" s="9">
        <f>VLOOKUP(A1591,Jogos!A:BN,59,0)</f>
        <v>22.48</v>
      </c>
      <c r="BB1591" s="9">
        <f>VLOOKUP(A1591,Jogos!A:BN,60,0)</f>
        <v>86.5</v>
      </c>
      <c r="BC1591" s="9">
        <f>VLOOKUP(A1591,Jogos!A:BN,61,0)</f>
        <v>22.745</v>
      </c>
      <c r="BD1591" s="9">
        <f>VLOOKUP(A1591,Jogos!A:BN,62,0)</f>
        <v>0</v>
      </c>
      <c r="BE1591" s="9">
        <f>VLOOKUP(A1591,Jogos!A:BN,63,0)</f>
        <v>2.06</v>
      </c>
      <c r="BF1591" s="9">
        <f>VLOOKUP(A1591,Jogos!A:BN,64,0)</f>
        <v>23.105</v>
      </c>
      <c r="BG1591" s="9">
        <f>VLOOKUP(A1591,Jogos!A:BN,65,0)</f>
        <v>39.23</v>
      </c>
      <c r="BH1591" s="9">
        <f>VLOOKUP(A1591,Jogos!A:BN,66,0)</f>
        <v>26.5</v>
      </c>
      <c r="BI1591" s="9"/>
      <c r="BJ1591" s="9"/>
    </row>
    <row r="1592" hidden="1">
      <c r="A1592" s="2">
        <v>54.0</v>
      </c>
      <c r="B1592" s="2" t="s">
        <v>1350</v>
      </c>
      <c r="C1592" s="2" t="s">
        <v>1351</v>
      </c>
      <c r="D1592" s="3">
        <v>45838.0</v>
      </c>
      <c r="E1592" s="4">
        <v>0.875</v>
      </c>
      <c r="F1592" s="5" t="str">
        <f>VLOOKUP(A1592,Jogos!A:N,10,0)</f>
        <v>Evening</v>
      </c>
      <c r="G1592" s="2" t="s">
        <v>1269</v>
      </c>
      <c r="H1592" s="6" t="str">
        <f>VLOOKUP(A1592,Jogos!A:L,12,0)</f>
        <v>Open</v>
      </c>
      <c r="I1592" s="6" t="str">
        <f>VLOOKUP(G1592,'Estádios e Cidades'!A:B,2,0)</f>
        <v>Orlando</v>
      </c>
      <c r="J1592" s="2" t="s">
        <v>810</v>
      </c>
      <c r="K1592" s="2" t="str">
        <f>VLOOKUP(J1592,Equipes!A:F,6,0)</f>
        <v>Temperate</v>
      </c>
      <c r="L1592" s="2">
        <f>VLOOKUP(J1592,Equipes!A:C,3,0)</f>
        <v>9</v>
      </c>
      <c r="M1592" s="2" t="str">
        <f t="shared" si="4"/>
        <v>Round of 16</v>
      </c>
      <c r="N1592" s="2" t="s">
        <v>874</v>
      </c>
      <c r="O1592" s="2">
        <f>VLOOKUP(N1592,Equipes!A:C,3,0)</f>
        <v>7</v>
      </c>
      <c r="P1592" s="2" t="str">
        <f t="shared" si="5"/>
        <v>Quarter-final</v>
      </c>
      <c r="Q1592" s="2">
        <f t="shared" si="6"/>
        <v>2</v>
      </c>
      <c r="R1592" s="2" t="str">
        <f>VLOOKUP(J1592,Equipes!A:B,2,0)</f>
        <v>City</v>
      </c>
      <c r="S1592" s="6" t="s">
        <v>816</v>
      </c>
      <c r="T1592" s="7">
        <v>7.0</v>
      </c>
      <c r="U1592" s="7" t="s">
        <v>817</v>
      </c>
      <c r="V1592" s="7" t="str">
        <f>VLOOKUP(U1592,Jogadores!B:C,2,0)</f>
        <v>FW</v>
      </c>
      <c r="W1592" s="8">
        <f>VLOOKUP(U1592,Jogadores!B:D,3,0)</f>
        <v>26.48767123</v>
      </c>
      <c r="X1592" s="7">
        <v>90.0</v>
      </c>
      <c r="Y1592" s="7">
        <f t="shared" si="4989"/>
        <v>130</v>
      </c>
      <c r="Z1592" s="7">
        <f>VLOOKUP(A1592,Jogos!A:L,3,0)</f>
        <v>50</v>
      </c>
      <c r="AA1592" s="7">
        <f t="shared" si="4815"/>
        <v>0</v>
      </c>
      <c r="AB1592" s="7">
        <f>VLOOKUP(A1592,Jogos!A:L,4,0)</f>
        <v>51</v>
      </c>
      <c r="AC1592" s="7">
        <f t="shared" si="4966"/>
        <v>0</v>
      </c>
      <c r="AD1592" s="7">
        <f>Jogos!$E$55-Jogos!$D$55-Jogos!$C$55</f>
        <v>34</v>
      </c>
      <c r="AE1592" s="7">
        <f t="shared" si="4956"/>
        <v>34</v>
      </c>
      <c r="AF1592" s="7">
        <f t="shared" si="4566"/>
        <v>34</v>
      </c>
      <c r="AG1592" s="7">
        <v>3725.8</v>
      </c>
      <c r="AH1592" s="7">
        <v>1432.0</v>
      </c>
      <c r="AI1592" s="7">
        <v>1307.5</v>
      </c>
      <c r="AJ1592" s="7">
        <v>476.6</v>
      </c>
      <c r="AK1592" s="7">
        <v>236.4</v>
      </c>
      <c r="AL1592" s="7">
        <v>273.3</v>
      </c>
      <c r="AM1592" s="7">
        <v>37.0</v>
      </c>
      <c r="AN1592" s="7">
        <v>23.0</v>
      </c>
      <c r="AO1592" s="7">
        <v>34.1</v>
      </c>
      <c r="AP1592" s="9">
        <f t="shared" ref="AP1592:AR1592" si="4990">AG1592/$AF1592</f>
        <v>109.5823529</v>
      </c>
      <c r="AQ1592" s="9">
        <f t="shared" si="4990"/>
        <v>42.11764706</v>
      </c>
      <c r="AR1592" s="9">
        <f t="shared" si="4990"/>
        <v>38.45588235</v>
      </c>
      <c r="AS1592" s="9">
        <f t="shared" si="4568"/>
        <v>80.57352941</v>
      </c>
      <c r="AT1592" s="9">
        <f t="shared" ref="AT1592:AV1592" si="4991">AJ1592/$AF1592</f>
        <v>14.01764706</v>
      </c>
      <c r="AU1592" s="9">
        <f t="shared" si="4991"/>
        <v>6.952941176</v>
      </c>
      <c r="AV1592" s="9">
        <f t="shared" si="4991"/>
        <v>8.038235294</v>
      </c>
      <c r="AW1592" s="9">
        <f t="shared" si="4570"/>
        <v>14.99117647</v>
      </c>
      <c r="AX1592" s="9">
        <f t="shared" ref="AX1592:AY1592" si="4992">AM1592/$AF1592</f>
        <v>1.088235294</v>
      </c>
      <c r="AY1592" s="9">
        <f t="shared" si="4992"/>
        <v>0.6764705882</v>
      </c>
      <c r="AZ1592" s="9">
        <f>VLOOKUP(A1592,Jogos!A:BN,58,0)</f>
        <v>24.785</v>
      </c>
      <c r="BA1592" s="9">
        <f>VLOOKUP(A1592,Jogos!A:BN,59,0)</f>
        <v>22.48</v>
      </c>
      <c r="BB1592" s="9">
        <f>VLOOKUP(A1592,Jogos!A:BN,60,0)</f>
        <v>86.5</v>
      </c>
      <c r="BC1592" s="9">
        <f>VLOOKUP(A1592,Jogos!A:BN,61,0)</f>
        <v>22.745</v>
      </c>
      <c r="BD1592" s="9">
        <f>VLOOKUP(A1592,Jogos!A:BN,62,0)</f>
        <v>0</v>
      </c>
      <c r="BE1592" s="9">
        <f>VLOOKUP(A1592,Jogos!A:BN,63,0)</f>
        <v>2.06</v>
      </c>
      <c r="BF1592" s="9">
        <f>VLOOKUP(A1592,Jogos!A:BN,64,0)</f>
        <v>23.105</v>
      </c>
      <c r="BG1592" s="9">
        <f>VLOOKUP(A1592,Jogos!A:BN,65,0)</f>
        <v>39.23</v>
      </c>
      <c r="BH1592" s="9">
        <f>VLOOKUP(A1592,Jogos!A:BN,66,0)</f>
        <v>26.5</v>
      </c>
      <c r="BI1592" s="9"/>
      <c r="BJ1592" s="9"/>
    </row>
    <row r="1593" hidden="1">
      <c r="A1593" s="2">
        <v>54.0</v>
      </c>
      <c r="B1593" s="2" t="s">
        <v>1350</v>
      </c>
      <c r="C1593" s="2" t="s">
        <v>1351</v>
      </c>
      <c r="D1593" s="3">
        <v>45838.0</v>
      </c>
      <c r="E1593" s="4">
        <v>0.875</v>
      </c>
      <c r="F1593" s="5" t="str">
        <f>VLOOKUP(A1593,Jogos!A:N,10,0)</f>
        <v>Evening</v>
      </c>
      <c r="G1593" s="2" t="s">
        <v>1269</v>
      </c>
      <c r="H1593" s="6" t="str">
        <f>VLOOKUP(A1593,Jogos!A:L,12,0)</f>
        <v>Open</v>
      </c>
      <c r="I1593" s="6" t="str">
        <f>VLOOKUP(G1593,'Estádios e Cidades'!A:B,2,0)</f>
        <v>Orlando</v>
      </c>
      <c r="J1593" s="2" t="s">
        <v>810</v>
      </c>
      <c r="K1593" s="2" t="str">
        <f>VLOOKUP(J1593,Equipes!A:F,6,0)</f>
        <v>Temperate</v>
      </c>
      <c r="L1593" s="2">
        <f>VLOOKUP(J1593,Equipes!A:C,3,0)</f>
        <v>9</v>
      </c>
      <c r="M1593" s="2" t="str">
        <f t="shared" si="4"/>
        <v>Round of 16</v>
      </c>
      <c r="N1593" s="2" t="s">
        <v>874</v>
      </c>
      <c r="O1593" s="2">
        <f>VLOOKUP(N1593,Equipes!A:C,3,0)</f>
        <v>7</v>
      </c>
      <c r="P1593" s="2" t="str">
        <f t="shared" si="5"/>
        <v>Quarter-final</v>
      </c>
      <c r="Q1593" s="2">
        <f t="shared" si="6"/>
        <v>2</v>
      </c>
      <c r="R1593" s="2" t="str">
        <f>VLOOKUP(J1593,Equipes!A:B,2,0)</f>
        <v>City</v>
      </c>
      <c r="S1593" s="6" t="s">
        <v>834</v>
      </c>
      <c r="T1593" s="7">
        <v>16.0</v>
      </c>
      <c r="U1593" s="7" t="s">
        <v>835</v>
      </c>
      <c r="V1593" s="7" t="str">
        <f>VLOOKUP(U1593,Jogadores!B:C,2,0)</f>
        <v>MF</v>
      </c>
      <c r="W1593" s="8">
        <f>VLOOKUP(U1593,Jogadores!B:D,3,0)</f>
        <v>29.11780822</v>
      </c>
      <c r="X1593" s="7">
        <v>53.0</v>
      </c>
      <c r="Y1593" s="7">
        <v>100.0</v>
      </c>
      <c r="Z1593" s="7">
        <f>VLOOKUP(A1593,Jogos!A:L,3,0)</f>
        <v>50</v>
      </c>
      <c r="AA1593" s="7">
        <f t="shared" si="4815"/>
        <v>0</v>
      </c>
      <c r="AB1593" s="7">
        <f>VLOOKUP(A1593,Jogos!A:L,4,0)</f>
        <v>51</v>
      </c>
      <c r="AC1593" s="7">
        <f t="shared" si="4966"/>
        <v>43</v>
      </c>
      <c r="AD1593" s="7">
        <f>Jogos!$E$55-Jogos!$D$55-Jogos!$C$55</f>
        <v>34</v>
      </c>
      <c r="AE1593" s="23">
        <v>10.0</v>
      </c>
      <c r="AF1593" s="7">
        <f t="shared" si="4566"/>
        <v>53</v>
      </c>
      <c r="AG1593" s="7">
        <v>6130.4</v>
      </c>
      <c r="AH1593" s="7">
        <v>2106.0</v>
      </c>
      <c r="AI1593" s="7">
        <v>2782.6</v>
      </c>
      <c r="AJ1593" s="7">
        <v>1022.6</v>
      </c>
      <c r="AK1593" s="7">
        <v>206.0</v>
      </c>
      <c r="AL1593" s="7">
        <v>13.3</v>
      </c>
      <c r="AM1593" s="7">
        <v>82.0</v>
      </c>
      <c r="AN1593" s="7">
        <v>13.0</v>
      </c>
      <c r="AO1593" s="7">
        <v>26.5</v>
      </c>
      <c r="AP1593" s="9">
        <f t="shared" ref="AP1593:AR1593" si="4993">AG1593/$AF1593</f>
        <v>115.6679245</v>
      </c>
      <c r="AQ1593" s="9">
        <f t="shared" si="4993"/>
        <v>39.73584906</v>
      </c>
      <c r="AR1593" s="9">
        <f t="shared" si="4993"/>
        <v>52.50188679</v>
      </c>
      <c r="AS1593" s="9">
        <f t="shared" si="4568"/>
        <v>92.23773585</v>
      </c>
      <c r="AT1593" s="9">
        <f t="shared" ref="AT1593:AV1593" si="4994">AJ1593/$AF1593</f>
        <v>19.29433962</v>
      </c>
      <c r="AU1593" s="9">
        <f t="shared" si="4994"/>
        <v>3.886792453</v>
      </c>
      <c r="AV1593" s="9">
        <f t="shared" si="4994"/>
        <v>0.2509433962</v>
      </c>
      <c r="AW1593" s="9">
        <f t="shared" si="4570"/>
        <v>4.137735849</v>
      </c>
      <c r="AX1593" s="9">
        <f t="shared" ref="AX1593:AY1593" si="4995">AM1593/$AF1593</f>
        <v>1.547169811</v>
      </c>
      <c r="AY1593" s="9">
        <f t="shared" si="4995"/>
        <v>0.2452830189</v>
      </c>
      <c r="AZ1593" s="9">
        <f>VLOOKUP(A1593,Jogos!A:BN,58,0)</f>
        <v>24.785</v>
      </c>
      <c r="BA1593" s="9">
        <f>VLOOKUP(A1593,Jogos!A:BN,59,0)</f>
        <v>22.48</v>
      </c>
      <c r="BB1593" s="9">
        <f>VLOOKUP(A1593,Jogos!A:BN,60,0)</f>
        <v>86.5</v>
      </c>
      <c r="BC1593" s="9">
        <f>VLOOKUP(A1593,Jogos!A:BN,61,0)</f>
        <v>22.745</v>
      </c>
      <c r="BD1593" s="9">
        <f>VLOOKUP(A1593,Jogos!A:BN,62,0)</f>
        <v>0</v>
      </c>
      <c r="BE1593" s="9">
        <f>VLOOKUP(A1593,Jogos!A:BN,63,0)</f>
        <v>2.06</v>
      </c>
      <c r="BF1593" s="9">
        <f>VLOOKUP(A1593,Jogos!A:BN,64,0)</f>
        <v>23.105</v>
      </c>
      <c r="BG1593" s="9">
        <f>VLOOKUP(A1593,Jogos!A:BN,65,0)</f>
        <v>39.23</v>
      </c>
      <c r="BH1593" s="9">
        <f>VLOOKUP(A1593,Jogos!A:BN,66,0)</f>
        <v>26.5</v>
      </c>
      <c r="BI1593" s="9"/>
      <c r="BJ1593" s="9"/>
    </row>
    <row r="1594" hidden="1">
      <c r="A1594" s="2">
        <v>54.0</v>
      </c>
      <c r="B1594" s="2" t="s">
        <v>1350</v>
      </c>
      <c r="C1594" s="2" t="s">
        <v>1351</v>
      </c>
      <c r="D1594" s="3">
        <v>45838.0</v>
      </c>
      <c r="E1594" s="4">
        <v>0.875</v>
      </c>
      <c r="F1594" s="5" t="str">
        <f>VLOOKUP(A1594,Jogos!A:N,10,0)</f>
        <v>Evening</v>
      </c>
      <c r="G1594" s="2" t="s">
        <v>1269</v>
      </c>
      <c r="H1594" s="6" t="str">
        <f>VLOOKUP(A1594,Jogos!A:L,12,0)</f>
        <v>Open</v>
      </c>
      <c r="I1594" s="6" t="str">
        <f>VLOOKUP(G1594,'Estádios e Cidades'!A:B,2,0)</f>
        <v>Orlando</v>
      </c>
      <c r="J1594" s="2" t="s">
        <v>810</v>
      </c>
      <c r="K1594" s="2" t="str">
        <f>VLOOKUP(J1594,Equipes!A:F,6,0)</f>
        <v>Temperate</v>
      </c>
      <c r="L1594" s="2">
        <f>VLOOKUP(J1594,Equipes!A:C,3,0)</f>
        <v>9</v>
      </c>
      <c r="M1594" s="2" t="str">
        <f t="shared" si="4"/>
        <v>Round of 16</v>
      </c>
      <c r="N1594" s="2" t="s">
        <v>874</v>
      </c>
      <c r="O1594" s="2">
        <f>VLOOKUP(N1594,Equipes!A:C,3,0)</f>
        <v>7</v>
      </c>
      <c r="P1594" s="2" t="str">
        <f t="shared" si="5"/>
        <v>Quarter-final</v>
      </c>
      <c r="Q1594" s="2">
        <f t="shared" si="6"/>
        <v>2</v>
      </c>
      <c r="R1594" s="2" t="str">
        <f>VLOOKUP(J1594,Equipes!A:B,2,0)</f>
        <v>City</v>
      </c>
      <c r="S1594" s="6" t="s">
        <v>1223</v>
      </c>
      <c r="T1594" s="7">
        <v>25.0</v>
      </c>
      <c r="U1594" s="7" t="s">
        <v>1224</v>
      </c>
      <c r="V1594" s="7" t="str">
        <f>VLOOKUP(U1594,Jogadores!B:C,2,0)</f>
        <v>DF</v>
      </c>
      <c r="W1594" s="8">
        <f>VLOOKUP(U1594,Jogadores!B:D,3,0)</f>
        <v>30.04657534</v>
      </c>
      <c r="X1594" s="7">
        <v>53.0</v>
      </c>
      <c r="Y1594" s="7">
        <f t="shared" ref="Y1594:Y1599" si="4999">45+AB1594+AD1594</f>
        <v>130</v>
      </c>
      <c r="Z1594" s="7">
        <f>VLOOKUP(A1594,Jogos!A:L,3,0)</f>
        <v>50</v>
      </c>
      <c r="AA1594" s="7">
        <f t="shared" si="4815"/>
        <v>0</v>
      </c>
      <c r="AB1594" s="7">
        <f>VLOOKUP(A1594,Jogos!A:L,4,0)</f>
        <v>51</v>
      </c>
      <c r="AC1594" s="7">
        <f t="shared" si="4966"/>
        <v>43</v>
      </c>
      <c r="AD1594" s="7">
        <f>Jogos!$E$55-Jogos!$D$55-Jogos!$C$55</f>
        <v>34</v>
      </c>
      <c r="AE1594" s="7">
        <f t="shared" ref="AE1594:AE1599" si="5000">if(X1594&lt;=90,if(Y1594&lt;=90,0,(Y1594-45-AB1594)),90+AD1594-X1594)</f>
        <v>34</v>
      </c>
      <c r="AF1594" s="7">
        <f t="shared" si="4566"/>
        <v>77</v>
      </c>
      <c r="AG1594" s="7">
        <v>8056.7</v>
      </c>
      <c r="AH1594" s="7">
        <v>2781.9</v>
      </c>
      <c r="AI1594" s="7">
        <v>3239.0</v>
      </c>
      <c r="AJ1594" s="7">
        <v>1379.1</v>
      </c>
      <c r="AK1594" s="7">
        <v>444.0</v>
      </c>
      <c r="AL1594" s="7">
        <v>212.8</v>
      </c>
      <c r="AM1594" s="7">
        <v>106.0</v>
      </c>
      <c r="AN1594" s="7">
        <v>40.0</v>
      </c>
      <c r="AO1594" s="7">
        <v>34.0</v>
      </c>
      <c r="AP1594" s="9">
        <f t="shared" ref="AP1594:AR1594" si="4996">AG1594/$AF1594</f>
        <v>104.6324675</v>
      </c>
      <c r="AQ1594" s="9">
        <f t="shared" si="4996"/>
        <v>36.12857143</v>
      </c>
      <c r="AR1594" s="9">
        <f t="shared" si="4996"/>
        <v>42.06493506</v>
      </c>
      <c r="AS1594" s="9">
        <f t="shared" si="4568"/>
        <v>78.19350649</v>
      </c>
      <c r="AT1594" s="9">
        <f t="shared" ref="AT1594:AV1594" si="4997">AJ1594/$AF1594</f>
        <v>17.91038961</v>
      </c>
      <c r="AU1594" s="9">
        <f t="shared" si="4997"/>
        <v>5.766233766</v>
      </c>
      <c r="AV1594" s="9">
        <f t="shared" si="4997"/>
        <v>2.763636364</v>
      </c>
      <c r="AW1594" s="9">
        <f t="shared" si="4570"/>
        <v>8.52987013</v>
      </c>
      <c r="AX1594" s="9">
        <f t="shared" ref="AX1594:AY1594" si="4998">AM1594/$AF1594</f>
        <v>1.376623377</v>
      </c>
      <c r="AY1594" s="9">
        <f t="shared" si="4998"/>
        <v>0.5194805195</v>
      </c>
      <c r="AZ1594" s="9">
        <f>VLOOKUP(A1594,Jogos!A:BN,58,0)</f>
        <v>24.785</v>
      </c>
      <c r="BA1594" s="9">
        <f>VLOOKUP(A1594,Jogos!A:BN,59,0)</f>
        <v>22.48</v>
      </c>
      <c r="BB1594" s="9">
        <f>VLOOKUP(A1594,Jogos!A:BN,60,0)</f>
        <v>86.5</v>
      </c>
      <c r="BC1594" s="9">
        <f>VLOOKUP(A1594,Jogos!A:BN,61,0)</f>
        <v>22.745</v>
      </c>
      <c r="BD1594" s="9">
        <f>VLOOKUP(A1594,Jogos!A:BN,62,0)</f>
        <v>0</v>
      </c>
      <c r="BE1594" s="9">
        <f>VLOOKUP(A1594,Jogos!A:BN,63,0)</f>
        <v>2.06</v>
      </c>
      <c r="BF1594" s="9">
        <f>VLOOKUP(A1594,Jogos!A:BN,64,0)</f>
        <v>23.105</v>
      </c>
      <c r="BG1594" s="9">
        <f>VLOOKUP(A1594,Jogos!A:BN,65,0)</f>
        <v>39.23</v>
      </c>
      <c r="BH1594" s="9">
        <f>VLOOKUP(A1594,Jogos!A:BN,66,0)</f>
        <v>26.5</v>
      </c>
      <c r="BI1594" s="9"/>
      <c r="BJ1594" s="9"/>
    </row>
    <row r="1595" hidden="1">
      <c r="A1595" s="2">
        <v>54.0</v>
      </c>
      <c r="B1595" s="2" t="s">
        <v>1350</v>
      </c>
      <c r="C1595" s="2" t="s">
        <v>1351</v>
      </c>
      <c r="D1595" s="3">
        <v>45838.0</v>
      </c>
      <c r="E1595" s="4">
        <v>0.875</v>
      </c>
      <c r="F1595" s="5" t="str">
        <f>VLOOKUP(A1595,Jogos!A:N,10,0)</f>
        <v>Evening</v>
      </c>
      <c r="G1595" s="2" t="s">
        <v>1269</v>
      </c>
      <c r="H1595" s="6" t="str">
        <f>VLOOKUP(A1595,Jogos!A:L,12,0)</f>
        <v>Open</v>
      </c>
      <c r="I1595" s="6" t="str">
        <f>VLOOKUP(G1595,'Estádios e Cidades'!A:B,2,0)</f>
        <v>Orlando</v>
      </c>
      <c r="J1595" s="2" t="s">
        <v>810</v>
      </c>
      <c r="K1595" s="2" t="str">
        <f>VLOOKUP(J1595,Equipes!A:F,6,0)</f>
        <v>Temperate</v>
      </c>
      <c r="L1595" s="2">
        <f>VLOOKUP(J1595,Equipes!A:C,3,0)</f>
        <v>9</v>
      </c>
      <c r="M1595" s="2" t="str">
        <f t="shared" si="4"/>
        <v>Round of 16</v>
      </c>
      <c r="N1595" s="2" t="s">
        <v>874</v>
      </c>
      <c r="O1595" s="2">
        <f>VLOOKUP(N1595,Equipes!A:C,3,0)</f>
        <v>7</v>
      </c>
      <c r="P1595" s="2" t="str">
        <f t="shared" si="5"/>
        <v>Quarter-final</v>
      </c>
      <c r="Q1595" s="2">
        <f t="shared" si="6"/>
        <v>2</v>
      </c>
      <c r="R1595" s="2" t="str">
        <f>VLOOKUP(J1595,Equipes!A:B,2,0)</f>
        <v>City</v>
      </c>
      <c r="S1595" s="6" t="s">
        <v>824</v>
      </c>
      <c r="T1595" s="7">
        <v>29.0</v>
      </c>
      <c r="U1595" s="7" t="s">
        <v>825</v>
      </c>
      <c r="V1595" s="7" t="str">
        <f>VLOOKUP(U1595,Jogadores!B:C,2,0)</f>
        <v>MF</v>
      </c>
      <c r="W1595" s="8">
        <f>VLOOKUP(U1595,Jogadores!B:D,3,0)</f>
        <v>21.96164384</v>
      </c>
      <c r="X1595" s="7">
        <v>90.0</v>
      </c>
      <c r="Y1595" s="7">
        <f t="shared" si="4999"/>
        <v>130</v>
      </c>
      <c r="Z1595" s="7">
        <f>VLOOKUP(A1595,Jogos!A:L,3,0)</f>
        <v>50</v>
      </c>
      <c r="AA1595" s="7">
        <f t="shared" si="4815"/>
        <v>0</v>
      </c>
      <c r="AB1595" s="7">
        <f>VLOOKUP(A1595,Jogos!A:L,4,0)</f>
        <v>51</v>
      </c>
      <c r="AC1595" s="7">
        <f t="shared" si="4966"/>
        <v>0</v>
      </c>
      <c r="AD1595" s="7">
        <f>Jogos!$E$55-Jogos!$D$55-Jogos!$C$55</f>
        <v>34</v>
      </c>
      <c r="AE1595" s="7">
        <f t="shared" si="5000"/>
        <v>34</v>
      </c>
      <c r="AF1595" s="7">
        <f t="shared" si="4566"/>
        <v>34</v>
      </c>
      <c r="AG1595" s="7">
        <v>4401.0</v>
      </c>
      <c r="AH1595" s="7">
        <v>1214.6</v>
      </c>
      <c r="AI1595" s="7">
        <v>2000.9</v>
      </c>
      <c r="AJ1595" s="7">
        <v>740.4</v>
      </c>
      <c r="AK1595" s="7">
        <v>328.0</v>
      </c>
      <c r="AL1595" s="7">
        <v>117.2</v>
      </c>
      <c r="AM1595" s="7">
        <v>58.0</v>
      </c>
      <c r="AN1595" s="7">
        <v>25.0</v>
      </c>
      <c r="AO1595" s="7">
        <v>28.4</v>
      </c>
      <c r="AP1595" s="9">
        <f t="shared" ref="AP1595:AR1595" si="5001">AG1595/$AF1595</f>
        <v>129.4411765</v>
      </c>
      <c r="AQ1595" s="9">
        <f t="shared" si="5001"/>
        <v>35.72352941</v>
      </c>
      <c r="AR1595" s="9">
        <f t="shared" si="5001"/>
        <v>58.85</v>
      </c>
      <c r="AS1595" s="9">
        <f t="shared" si="4568"/>
        <v>94.57352941</v>
      </c>
      <c r="AT1595" s="9">
        <f t="shared" ref="AT1595:AV1595" si="5002">AJ1595/$AF1595</f>
        <v>21.77647059</v>
      </c>
      <c r="AU1595" s="9">
        <f t="shared" si="5002"/>
        <v>9.647058824</v>
      </c>
      <c r="AV1595" s="9">
        <f t="shared" si="5002"/>
        <v>3.447058824</v>
      </c>
      <c r="AW1595" s="9">
        <f t="shared" si="4570"/>
        <v>13.09411765</v>
      </c>
      <c r="AX1595" s="9">
        <f t="shared" ref="AX1595:AY1595" si="5003">AM1595/$AF1595</f>
        <v>1.705882353</v>
      </c>
      <c r="AY1595" s="9">
        <f t="shared" si="5003"/>
        <v>0.7352941176</v>
      </c>
      <c r="AZ1595" s="9">
        <f>VLOOKUP(A1595,Jogos!A:BN,58,0)</f>
        <v>24.785</v>
      </c>
      <c r="BA1595" s="9">
        <f>VLOOKUP(A1595,Jogos!A:BN,59,0)</f>
        <v>22.48</v>
      </c>
      <c r="BB1595" s="9">
        <f>VLOOKUP(A1595,Jogos!A:BN,60,0)</f>
        <v>86.5</v>
      </c>
      <c r="BC1595" s="9">
        <f>VLOOKUP(A1595,Jogos!A:BN,61,0)</f>
        <v>22.745</v>
      </c>
      <c r="BD1595" s="9">
        <f>VLOOKUP(A1595,Jogos!A:BN,62,0)</f>
        <v>0</v>
      </c>
      <c r="BE1595" s="9">
        <f>VLOOKUP(A1595,Jogos!A:BN,63,0)</f>
        <v>2.06</v>
      </c>
      <c r="BF1595" s="9">
        <f>VLOOKUP(A1595,Jogos!A:BN,64,0)</f>
        <v>23.105</v>
      </c>
      <c r="BG1595" s="9">
        <f>VLOOKUP(A1595,Jogos!A:BN,65,0)</f>
        <v>39.23</v>
      </c>
      <c r="BH1595" s="9">
        <f>VLOOKUP(A1595,Jogos!A:BN,66,0)</f>
        <v>26.5</v>
      </c>
      <c r="BI1595" s="9"/>
      <c r="BJ1595" s="9"/>
    </row>
    <row r="1596" hidden="1">
      <c r="A1596" s="2">
        <v>54.0</v>
      </c>
      <c r="B1596" s="2" t="s">
        <v>1350</v>
      </c>
      <c r="C1596" s="2" t="s">
        <v>1351</v>
      </c>
      <c r="D1596" s="3">
        <v>45838.0</v>
      </c>
      <c r="E1596" s="4">
        <v>0.875</v>
      </c>
      <c r="F1596" s="5" t="str">
        <f>VLOOKUP(A1596,Jogos!A:N,10,0)</f>
        <v>Evening</v>
      </c>
      <c r="G1596" s="2" t="s">
        <v>1269</v>
      </c>
      <c r="H1596" s="6" t="str">
        <f>VLOOKUP(A1596,Jogos!A:L,12,0)</f>
        <v>Open</v>
      </c>
      <c r="I1596" s="6" t="str">
        <f>VLOOKUP(G1596,'Estádios e Cidades'!A:B,2,0)</f>
        <v>Orlando</v>
      </c>
      <c r="J1596" s="2" t="s">
        <v>810</v>
      </c>
      <c r="K1596" s="2" t="str">
        <f>VLOOKUP(J1596,Equipes!A:F,6,0)</f>
        <v>Temperate</v>
      </c>
      <c r="L1596" s="2">
        <f>VLOOKUP(J1596,Equipes!A:C,3,0)</f>
        <v>9</v>
      </c>
      <c r="M1596" s="2" t="str">
        <f t="shared" si="4"/>
        <v>Round of 16</v>
      </c>
      <c r="N1596" s="2" t="s">
        <v>874</v>
      </c>
      <c r="O1596" s="2">
        <f>VLOOKUP(N1596,Equipes!A:C,3,0)</f>
        <v>7</v>
      </c>
      <c r="P1596" s="2" t="str">
        <f t="shared" si="5"/>
        <v>Quarter-final</v>
      </c>
      <c r="Q1596" s="2">
        <f t="shared" si="6"/>
        <v>2</v>
      </c>
      <c r="R1596" s="2" t="str">
        <f>VLOOKUP(J1596,Equipes!A:B,2,0)</f>
        <v>City</v>
      </c>
      <c r="S1596" s="6" t="s">
        <v>826</v>
      </c>
      <c r="T1596" s="7">
        <v>47.0</v>
      </c>
      <c r="U1596" s="7" t="s">
        <v>827</v>
      </c>
      <c r="V1596" s="7" t="str">
        <f>VLOOKUP(U1596,Jogadores!B:C,2,0)</f>
        <v>MF</v>
      </c>
      <c r="W1596" s="8">
        <f>VLOOKUP(U1596,Jogadores!B:D,3,0)</f>
        <v>25.18356164</v>
      </c>
      <c r="X1596" s="7">
        <v>100.0</v>
      </c>
      <c r="Y1596" s="7">
        <f t="shared" si="4999"/>
        <v>130</v>
      </c>
      <c r="Z1596" s="7">
        <f>VLOOKUP(A1596,Jogos!A:L,3,0)</f>
        <v>50</v>
      </c>
      <c r="AA1596" s="7">
        <f t="shared" si="4815"/>
        <v>0</v>
      </c>
      <c r="AB1596" s="7">
        <f>VLOOKUP(A1596,Jogos!A:L,4,0)</f>
        <v>51</v>
      </c>
      <c r="AC1596" s="7">
        <f t="shared" si="4966"/>
        <v>0</v>
      </c>
      <c r="AD1596" s="7">
        <f>Jogos!$E$55-Jogos!$D$55-Jogos!$C$55</f>
        <v>34</v>
      </c>
      <c r="AE1596" s="7">
        <f t="shared" si="5000"/>
        <v>24</v>
      </c>
      <c r="AF1596" s="7">
        <f t="shared" si="4566"/>
        <v>24</v>
      </c>
      <c r="AG1596" s="7">
        <v>3188.6</v>
      </c>
      <c r="AH1596" s="7">
        <v>805.7</v>
      </c>
      <c r="AI1596" s="7">
        <v>1438.0</v>
      </c>
      <c r="AJ1596" s="7">
        <v>555.0</v>
      </c>
      <c r="AK1596" s="7">
        <v>248.1</v>
      </c>
      <c r="AL1596" s="7">
        <v>141.9</v>
      </c>
      <c r="AM1596" s="7">
        <v>49.0</v>
      </c>
      <c r="AN1596" s="7">
        <v>17.0</v>
      </c>
      <c r="AO1596" s="7">
        <v>31.4</v>
      </c>
      <c r="AP1596" s="9">
        <f t="shared" ref="AP1596:AR1596" si="5004">AG1596/$AF1596</f>
        <v>132.8583333</v>
      </c>
      <c r="AQ1596" s="9">
        <f t="shared" si="5004"/>
        <v>33.57083333</v>
      </c>
      <c r="AR1596" s="9">
        <f t="shared" si="5004"/>
        <v>59.91666667</v>
      </c>
      <c r="AS1596" s="9">
        <f t="shared" si="4568"/>
        <v>93.4875</v>
      </c>
      <c r="AT1596" s="9">
        <f t="shared" ref="AT1596:AV1596" si="5005">AJ1596/$AF1596</f>
        <v>23.125</v>
      </c>
      <c r="AU1596" s="9">
        <f t="shared" si="5005"/>
        <v>10.3375</v>
      </c>
      <c r="AV1596" s="9">
        <f t="shared" si="5005"/>
        <v>5.9125</v>
      </c>
      <c r="AW1596" s="9">
        <f t="shared" si="4570"/>
        <v>16.25</v>
      </c>
      <c r="AX1596" s="9">
        <f t="shared" ref="AX1596:AY1596" si="5006">AM1596/$AF1596</f>
        <v>2.041666667</v>
      </c>
      <c r="AY1596" s="9">
        <f t="shared" si="5006"/>
        <v>0.7083333333</v>
      </c>
      <c r="AZ1596" s="9">
        <f>VLOOKUP(A1596,Jogos!A:BN,58,0)</f>
        <v>24.785</v>
      </c>
      <c r="BA1596" s="9">
        <f>VLOOKUP(A1596,Jogos!A:BN,59,0)</f>
        <v>22.48</v>
      </c>
      <c r="BB1596" s="9">
        <f>VLOOKUP(A1596,Jogos!A:BN,60,0)</f>
        <v>86.5</v>
      </c>
      <c r="BC1596" s="9">
        <f>VLOOKUP(A1596,Jogos!A:BN,61,0)</f>
        <v>22.745</v>
      </c>
      <c r="BD1596" s="9">
        <f>VLOOKUP(A1596,Jogos!A:BN,62,0)</f>
        <v>0</v>
      </c>
      <c r="BE1596" s="9">
        <f>VLOOKUP(A1596,Jogos!A:BN,63,0)</f>
        <v>2.06</v>
      </c>
      <c r="BF1596" s="9">
        <f>VLOOKUP(A1596,Jogos!A:BN,64,0)</f>
        <v>23.105</v>
      </c>
      <c r="BG1596" s="9">
        <f>VLOOKUP(A1596,Jogos!A:BN,65,0)</f>
        <v>39.23</v>
      </c>
      <c r="BH1596" s="9">
        <f>VLOOKUP(A1596,Jogos!A:BN,66,0)</f>
        <v>26.5</v>
      </c>
      <c r="BI1596" s="9"/>
      <c r="BJ1596" s="9"/>
    </row>
    <row r="1597" hidden="1">
      <c r="A1597" s="10">
        <v>54.0</v>
      </c>
      <c r="B1597" s="11" t="s">
        <v>1350</v>
      </c>
      <c r="C1597" s="2" t="s">
        <v>1351</v>
      </c>
      <c r="D1597" s="12">
        <v>45838.0</v>
      </c>
      <c r="E1597" s="13">
        <v>0.875</v>
      </c>
      <c r="F1597" s="5" t="str">
        <f>VLOOKUP(A1597,Jogos!A:N,10,0)</f>
        <v>Evening</v>
      </c>
      <c r="G1597" s="11" t="s">
        <v>1269</v>
      </c>
      <c r="H1597" s="6" t="str">
        <f>VLOOKUP(A1597,Jogos!A:L,12,0)</f>
        <v>Open</v>
      </c>
      <c r="I1597" s="6" t="str">
        <f>VLOOKUP(G1597,'Estádios e Cidades'!A:B,2,0)</f>
        <v>Orlando</v>
      </c>
      <c r="J1597" s="11" t="s">
        <v>874</v>
      </c>
      <c r="K1597" s="2" t="str">
        <f>VLOOKUP(J1597,Equipes!A:F,6,0)</f>
        <v>Tropical</v>
      </c>
      <c r="L1597" s="2">
        <f>VLOOKUP(J1597,Equipes!A:C,3,0)</f>
        <v>7</v>
      </c>
      <c r="M1597" s="2" t="str">
        <f t="shared" si="4"/>
        <v>Quarter-final</v>
      </c>
      <c r="N1597" s="11" t="s">
        <v>810</v>
      </c>
      <c r="O1597" s="2">
        <f>VLOOKUP(N1597,Equipes!A:C,3,0)</f>
        <v>9</v>
      </c>
      <c r="P1597" s="2" t="str">
        <f t="shared" si="5"/>
        <v>Round of 16</v>
      </c>
      <c r="Q1597" s="2">
        <f t="shared" si="6"/>
        <v>-2</v>
      </c>
      <c r="R1597" s="2" t="str">
        <f>VLOOKUP(J1597,Equipes!A:B,2,0)</f>
        <v>AlHilal</v>
      </c>
      <c r="S1597" s="14" t="s">
        <v>905</v>
      </c>
      <c r="T1597" s="7">
        <v>3.0</v>
      </c>
      <c r="U1597" s="7" t="s">
        <v>906</v>
      </c>
      <c r="V1597" s="7" t="str">
        <f>VLOOKUP(U1597,Jogadores!B:C,2,0)</f>
        <v>DF</v>
      </c>
      <c r="W1597" s="8">
        <f>VLOOKUP(U1597,Jogadores!B:D,3,0)</f>
        <v>34.12876712</v>
      </c>
      <c r="X1597" s="7">
        <v>0.0</v>
      </c>
      <c r="Y1597" s="7">
        <f t="shared" si="4999"/>
        <v>130</v>
      </c>
      <c r="Z1597" s="7">
        <f>VLOOKUP(A1597,Jogos!A:L,3,0)</f>
        <v>50</v>
      </c>
      <c r="AA1597" s="7">
        <f t="shared" si="4815"/>
        <v>50</v>
      </c>
      <c r="AB1597" s="7">
        <f>VLOOKUP(A1597,Jogos!A:L,4,0)</f>
        <v>51</v>
      </c>
      <c r="AC1597" s="7">
        <f t="shared" si="4966"/>
        <v>51</v>
      </c>
      <c r="AD1597" s="7">
        <f>Jogos!$E$55-Jogos!$D$55-Jogos!$C$55</f>
        <v>34</v>
      </c>
      <c r="AE1597" s="7">
        <f t="shared" si="5000"/>
        <v>34</v>
      </c>
      <c r="AF1597" s="7">
        <f t="shared" si="4566"/>
        <v>135</v>
      </c>
      <c r="AG1597" s="7">
        <v>12040.4</v>
      </c>
      <c r="AH1597" s="7">
        <v>5694.1</v>
      </c>
      <c r="AI1597" s="7">
        <v>4857.3</v>
      </c>
      <c r="AJ1597" s="7">
        <v>999.5</v>
      </c>
      <c r="AK1597" s="7">
        <v>381.4</v>
      </c>
      <c r="AL1597" s="7">
        <v>108.2</v>
      </c>
      <c r="AM1597" s="7">
        <v>82.0</v>
      </c>
      <c r="AN1597" s="7">
        <v>32.0</v>
      </c>
      <c r="AO1597" s="7">
        <v>29.8</v>
      </c>
      <c r="AP1597" s="9">
        <f t="shared" ref="AP1597:AR1597" si="5007">AG1597/$AF1597</f>
        <v>89.18814815</v>
      </c>
      <c r="AQ1597" s="9">
        <f t="shared" si="5007"/>
        <v>42.17851852</v>
      </c>
      <c r="AR1597" s="9">
        <f t="shared" si="5007"/>
        <v>35.98</v>
      </c>
      <c r="AS1597" s="9">
        <f t="shared" si="4568"/>
        <v>78.15851852</v>
      </c>
      <c r="AT1597" s="9">
        <f t="shared" ref="AT1597:AV1597" si="5008">AJ1597/$AF1597</f>
        <v>7.403703704</v>
      </c>
      <c r="AU1597" s="9">
        <f t="shared" si="5008"/>
        <v>2.825185185</v>
      </c>
      <c r="AV1597" s="9">
        <f t="shared" si="5008"/>
        <v>0.8014814815</v>
      </c>
      <c r="AW1597" s="9">
        <f t="shared" si="4570"/>
        <v>3.626666667</v>
      </c>
      <c r="AX1597" s="9">
        <f t="shared" ref="AX1597:AY1597" si="5009">AM1597/$AF1597</f>
        <v>0.6074074074</v>
      </c>
      <c r="AY1597" s="9">
        <f t="shared" si="5009"/>
        <v>0.237037037</v>
      </c>
      <c r="AZ1597" s="9">
        <f>VLOOKUP(A1597,Jogos!A:BN,58,0)</f>
        <v>24.785</v>
      </c>
      <c r="BA1597" s="9">
        <f>VLOOKUP(A1597,Jogos!A:BN,59,0)</f>
        <v>22.48</v>
      </c>
      <c r="BB1597" s="9">
        <f>VLOOKUP(A1597,Jogos!A:BN,60,0)</f>
        <v>86.5</v>
      </c>
      <c r="BC1597" s="9">
        <f>VLOOKUP(A1597,Jogos!A:BN,61,0)</f>
        <v>22.745</v>
      </c>
      <c r="BD1597" s="9">
        <f>VLOOKUP(A1597,Jogos!A:BN,62,0)</f>
        <v>0</v>
      </c>
      <c r="BE1597" s="9">
        <f>VLOOKUP(A1597,Jogos!A:BN,63,0)</f>
        <v>2.06</v>
      </c>
      <c r="BF1597" s="9">
        <f>VLOOKUP(A1597,Jogos!A:BN,64,0)</f>
        <v>23.105</v>
      </c>
      <c r="BG1597" s="9">
        <f>VLOOKUP(A1597,Jogos!A:BN,65,0)</f>
        <v>39.23</v>
      </c>
      <c r="BH1597" s="9">
        <f>VLOOKUP(A1597,Jogos!A:BN,66,0)</f>
        <v>26.5</v>
      </c>
      <c r="BI1597" s="9"/>
      <c r="BJ1597" s="9"/>
    </row>
    <row r="1598" hidden="1">
      <c r="A1598" s="10">
        <v>54.0</v>
      </c>
      <c r="B1598" s="11" t="s">
        <v>1350</v>
      </c>
      <c r="C1598" s="2" t="s">
        <v>1351</v>
      </c>
      <c r="D1598" s="12">
        <v>45838.0</v>
      </c>
      <c r="E1598" s="13">
        <v>0.875</v>
      </c>
      <c r="F1598" s="5" t="str">
        <f>VLOOKUP(A1598,Jogos!A:N,10,0)</f>
        <v>Evening</v>
      </c>
      <c r="G1598" s="11" t="s">
        <v>1269</v>
      </c>
      <c r="H1598" s="6" t="str">
        <f>VLOOKUP(A1598,Jogos!A:L,12,0)</f>
        <v>Open</v>
      </c>
      <c r="I1598" s="6" t="str">
        <f>VLOOKUP(G1598,'Estádios e Cidades'!A:B,2,0)</f>
        <v>Orlando</v>
      </c>
      <c r="J1598" s="11" t="s">
        <v>874</v>
      </c>
      <c r="K1598" s="2" t="str">
        <f>VLOOKUP(J1598,Equipes!A:F,6,0)</f>
        <v>Tropical</v>
      </c>
      <c r="L1598" s="2">
        <f>VLOOKUP(J1598,Equipes!A:C,3,0)</f>
        <v>7</v>
      </c>
      <c r="M1598" s="2" t="str">
        <f t="shared" si="4"/>
        <v>Quarter-final</v>
      </c>
      <c r="N1598" s="11" t="s">
        <v>810</v>
      </c>
      <c r="O1598" s="2">
        <f>VLOOKUP(N1598,Equipes!A:C,3,0)</f>
        <v>9</v>
      </c>
      <c r="P1598" s="2" t="str">
        <f t="shared" si="5"/>
        <v>Round of 16</v>
      </c>
      <c r="Q1598" s="2">
        <f t="shared" si="6"/>
        <v>-2</v>
      </c>
      <c r="R1598" s="2" t="str">
        <f>VLOOKUP(J1598,Equipes!A:B,2,0)</f>
        <v>AlHilal</v>
      </c>
      <c r="S1598" s="6" t="s">
        <v>907</v>
      </c>
      <c r="T1598" s="7">
        <v>6.0</v>
      </c>
      <c r="U1598" s="7" t="s">
        <v>908</v>
      </c>
      <c r="V1598" s="7" t="str">
        <f>VLOOKUP(U1598,Jogadores!B:C,2,0)</f>
        <v>MF</v>
      </c>
      <c r="W1598" s="8">
        <f>VLOOKUP(U1598,Jogadores!B:D,3,0)</f>
        <v>27.32328767</v>
      </c>
      <c r="X1598" s="7">
        <v>0.0</v>
      </c>
      <c r="Y1598" s="7">
        <f t="shared" si="4999"/>
        <v>130</v>
      </c>
      <c r="Z1598" s="7">
        <f>VLOOKUP(A1598,Jogos!A:L,3,0)</f>
        <v>50</v>
      </c>
      <c r="AA1598" s="7">
        <f t="shared" si="4815"/>
        <v>50</v>
      </c>
      <c r="AB1598" s="7">
        <f>VLOOKUP(A1598,Jogos!A:L,4,0)</f>
        <v>51</v>
      </c>
      <c r="AC1598" s="7">
        <f t="shared" si="4966"/>
        <v>51</v>
      </c>
      <c r="AD1598" s="7">
        <f>Jogos!$E$55-Jogos!$D$55-Jogos!$C$55</f>
        <v>34</v>
      </c>
      <c r="AE1598" s="7">
        <f t="shared" si="5000"/>
        <v>34</v>
      </c>
      <c r="AF1598" s="7">
        <f t="shared" si="4566"/>
        <v>135</v>
      </c>
      <c r="AG1598" s="7">
        <v>13938.9</v>
      </c>
      <c r="AH1598" s="7">
        <v>5604.1</v>
      </c>
      <c r="AI1598" s="7">
        <v>5371.2</v>
      </c>
      <c r="AJ1598" s="7">
        <v>1848.9</v>
      </c>
      <c r="AK1598" s="7">
        <v>792.8</v>
      </c>
      <c r="AL1598" s="7">
        <v>321.8</v>
      </c>
      <c r="AM1598" s="7">
        <v>155.0</v>
      </c>
      <c r="AN1598" s="7">
        <v>61.0</v>
      </c>
      <c r="AO1598" s="7">
        <v>31.4</v>
      </c>
      <c r="AP1598" s="9">
        <f t="shared" ref="AP1598:AR1598" si="5010">AG1598/$AF1598</f>
        <v>103.2511111</v>
      </c>
      <c r="AQ1598" s="9">
        <f t="shared" si="5010"/>
        <v>41.51185185</v>
      </c>
      <c r="AR1598" s="9">
        <f t="shared" si="5010"/>
        <v>39.78666667</v>
      </c>
      <c r="AS1598" s="9">
        <f t="shared" si="4568"/>
        <v>81.29851852</v>
      </c>
      <c r="AT1598" s="9">
        <f t="shared" ref="AT1598:AV1598" si="5011">AJ1598/$AF1598</f>
        <v>13.69555556</v>
      </c>
      <c r="AU1598" s="9">
        <f t="shared" si="5011"/>
        <v>5.872592593</v>
      </c>
      <c r="AV1598" s="9">
        <f t="shared" si="5011"/>
        <v>2.383703704</v>
      </c>
      <c r="AW1598" s="9">
        <f t="shared" si="4570"/>
        <v>8.256296296</v>
      </c>
      <c r="AX1598" s="9">
        <f t="shared" ref="AX1598:AY1598" si="5012">AM1598/$AF1598</f>
        <v>1.148148148</v>
      </c>
      <c r="AY1598" s="9">
        <f t="shared" si="5012"/>
        <v>0.4518518519</v>
      </c>
      <c r="AZ1598" s="9">
        <f>VLOOKUP(A1598,Jogos!A:BN,58,0)</f>
        <v>24.785</v>
      </c>
      <c r="BA1598" s="9">
        <f>VLOOKUP(A1598,Jogos!A:BN,59,0)</f>
        <v>22.48</v>
      </c>
      <c r="BB1598" s="9">
        <f>VLOOKUP(A1598,Jogos!A:BN,60,0)</f>
        <v>86.5</v>
      </c>
      <c r="BC1598" s="9">
        <f>VLOOKUP(A1598,Jogos!A:BN,61,0)</f>
        <v>22.745</v>
      </c>
      <c r="BD1598" s="9">
        <f>VLOOKUP(A1598,Jogos!A:BN,62,0)</f>
        <v>0</v>
      </c>
      <c r="BE1598" s="9">
        <f>VLOOKUP(A1598,Jogos!A:BN,63,0)</f>
        <v>2.06</v>
      </c>
      <c r="BF1598" s="9">
        <f>VLOOKUP(A1598,Jogos!A:BN,64,0)</f>
        <v>23.105</v>
      </c>
      <c r="BG1598" s="9">
        <f>VLOOKUP(A1598,Jogos!A:BN,65,0)</f>
        <v>39.23</v>
      </c>
      <c r="BH1598" s="9">
        <f>VLOOKUP(A1598,Jogos!A:BN,66,0)</f>
        <v>26.5</v>
      </c>
      <c r="BI1598" s="9"/>
      <c r="BJ1598" s="9"/>
    </row>
    <row r="1599" hidden="1">
      <c r="A1599" s="10">
        <v>54.0</v>
      </c>
      <c r="B1599" s="11" t="s">
        <v>1350</v>
      </c>
      <c r="C1599" s="2" t="s">
        <v>1351</v>
      </c>
      <c r="D1599" s="12">
        <v>45838.0</v>
      </c>
      <c r="E1599" s="13">
        <v>0.875</v>
      </c>
      <c r="F1599" s="5" t="str">
        <f>VLOOKUP(A1599,Jogos!A:N,10,0)</f>
        <v>Evening</v>
      </c>
      <c r="G1599" s="11" t="s">
        <v>1269</v>
      </c>
      <c r="H1599" s="6" t="str">
        <f>VLOOKUP(A1599,Jogos!A:L,12,0)</f>
        <v>Open</v>
      </c>
      <c r="I1599" s="6" t="str">
        <f>VLOOKUP(G1599,'Estádios e Cidades'!A:B,2,0)</f>
        <v>Orlando</v>
      </c>
      <c r="J1599" s="11" t="s">
        <v>874</v>
      </c>
      <c r="K1599" s="2" t="str">
        <f>VLOOKUP(J1599,Equipes!A:F,6,0)</f>
        <v>Tropical</v>
      </c>
      <c r="L1599" s="2">
        <f>VLOOKUP(J1599,Equipes!A:C,3,0)</f>
        <v>7</v>
      </c>
      <c r="M1599" s="2" t="str">
        <f t="shared" si="4"/>
        <v>Quarter-final</v>
      </c>
      <c r="N1599" s="11" t="s">
        <v>810</v>
      </c>
      <c r="O1599" s="2">
        <f>VLOOKUP(N1599,Equipes!A:C,3,0)</f>
        <v>9</v>
      </c>
      <c r="P1599" s="2" t="str">
        <f t="shared" si="5"/>
        <v>Round of 16</v>
      </c>
      <c r="Q1599" s="2">
        <f t="shared" si="6"/>
        <v>-2</v>
      </c>
      <c r="R1599" s="2" t="str">
        <f>VLOOKUP(J1599,Equipes!A:B,2,0)</f>
        <v>AlHilal</v>
      </c>
      <c r="S1599" s="6" t="s">
        <v>909</v>
      </c>
      <c r="T1599" s="7">
        <v>8.0</v>
      </c>
      <c r="U1599" s="7" t="s">
        <v>910</v>
      </c>
      <c r="V1599" s="7" t="str">
        <f>VLOOKUP(U1599,Jogadores!B:C,2,0)</f>
        <v>MF</v>
      </c>
      <c r="W1599" s="8">
        <f>VLOOKUP(U1599,Jogadores!B:D,3,0)</f>
        <v>28.39452055</v>
      </c>
      <c r="X1599" s="7">
        <v>0.0</v>
      </c>
      <c r="Y1599" s="7">
        <f t="shared" si="4999"/>
        <v>130</v>
      </c>
      <c r="Z1599" s="7">
        <f>VLOOKUP(A1599,Jogos!A:L,3,0)</f>
        <v>50</v>
      </c>
      <c r="AA1599" s="7">
        <f t="shared" si="4815"/>
        <v>50</v>
      </c>
      <c r="AB1599" s="7">
        <f>VLOOKUP(A1599,Jogos!A:L,4,0)</f>
        <v>51</v>
      </c>
      <c r="AC1599" s="7">
        <f t="shared" si="4966"/>
        <v>51</v>
      </c>
      <c r="AD1599" s="7">
        <f>Jogos!$E$55-Jogos!$D$55-Jogos!$C$55</f>
        <v>34</v>
      </c>
      <c r="AE1599" s="7">
        <f t="shared" si="5000"/>
        <v>34</v>
      </c>
      <c r="AF1599" s="7">
        <f t="shared" si="4566"/>
        <v>135</v>
      </c>
      <c r="AG1599" s="7">
        <v>13813.4</v>
      </c>
      <c r="AH1599" s="7">
        <v>5337.2</v>
      </c>
      <c r="AI1599" s="7">
        <v>6237.1</v>
      </c>
      <c r="AJ1599" s="7">
        <v>1395.7</v>
      </c>
      <c r="AK1599" s="7">
        <v>574.2</v>
      </c>
      <c r="AL1599" s="7">
        <v>269.2</v>
      </c>
      <c r="AM1599" s="7">
        <v>125.0</v>
      </c>
      <c r="AN1599" s="7">
        <v>37.0</v>
      </c>
      <c r="AO1599" s="7">
        <v>32.3</v>
      </c>
      <c r="AP1599" s="9">
        <f t="shared" ref="AP1599:AR1599" si="5013">AG1599/$AF1599</f>
        <v>102.3214815</v>
      </c>
      <c r="AQ1599" s="9">
        <f t="shared" si="5013"/>
        <v>39.53481481</v>
      </c>
      <c r="AR1599" s="9">
        <f t="shared" si="5013"/>
        <v>46.20074074</v>
      </c>
      <c r="AS1599" s="9">
        <f t="shared" si="4568"/>
        <v>85.73555556</v>
      </c>
      <c r="AT1599" s="9">
        <f t="shared" ref="AT1599:AV1599" si="5014">AJ1599/$AF1599</f>
        <v>10.33851852</v>
      </c>
      <c r="AU1599" s="9">
        <f t="shared" si="5014"/>
        <v>4.253333333</v>
      </c>
      <c r="AV1599" s="9">
        <f t="shared" si="5014"/>
        <v>1.994074074</v>
      </c>
      <c r="AW1599" s="9">
        <f t="shared" si="4570"/>
        <v>6.247407407</v>
      </c>
      <c r="AX1599" s="9">
        <f t="shared" ref="AX1599:AY1599" si="5015">AM1599/$AF1599</f>
        <v>0.9259259259</v>
      </c>
      <c r="AY1599" s="9">
        <f t="shared" si="5015"/>
        <v>0.2740740741</v>
      </c>
      <c r="AZ1599" s="9">
        <f>VLOOKUP(A1599,Jogos!A:BN,58,0)</f>
        <v>24.785</v>
      </c>
      <c r="BA1599" s="9">
        <f>VLOOKUP(A1599,Jogos!A:BN,59,0)</f>
        <v>22.48</v>
      </c>
      <c r="BB1599" s="9">
        <f>VLOOKUP(A1599,Jogos!A:BN,60,0)</f>
        <v>86.5</v>
      </c>
      <c r="BC1599" s="9">
        <f>VLOOKUP(A1599,Jogos!A:BN,61,0)</f>
        <v>22.745</v>
      </c>
      <c r="BD1599" s="9">
        <f>VLOOKUP(A1599,Jogos!A:BN,62,0)</f>
        <v>0</v>
      </c>
      <c r="BE1599" s="9">
        <f>VLOOKUP(A1599,Jogos!A:BN,63,0)</f>
        <v>2.06</v>
      </c>
      <c r="BF1599" s="9">
        <f>VLOOKUP(A1599,Jogos!A:BN,64,0)</f>
        <v>23.105</v>
      </c>
      <c r="BG1599" s="9">
        <f>VLOOKUP(A1599,Jogos!A:BN,65,0)</f>
        <v>39.23</v>
      </c>
      <c r="BH1599" s="9">
        <f>VLOOKUP(A1599,Jogos!A:BN,66,0)</f>
        <v>26.5</v>
      </c>
      <c r="BI1599" s="9"/>
      <c r="BJ1599" s="9"/>
    </row>
    <row r="1600" hidden="1">
      <c r="A1600" s="10">
        <v>54.0</v>
      </c>
      <c r="B1600" s="11" t="s">
        <v>1350</v>
      </c>
      <c r="C1600" s="2" t="s">
        <v>1351</v>
      </c>
      <c r="D1600" s="12">
        <v>45838.0</v>
      </c>
      <c r="E1600" s="13">
        <v>0.875</v>
      </c>
      <c r="F1600" s="5" t="str">
        <f>VLOOKUP(A1600,Jogos!A:N,10,0)</f>
        <v>Evening</v>
      </c>
      <c r="G1600" s="11" t="s">
        <v>1269</v>
      </c>
      <c r="H1600" s="6" t="str">
        <f>VLOOKUP(A1600,Jogos!A:L,12,0)</f>
        <v>Open</v>
      </c>
      <c r="I1600" s="6" t="str">
        <f>VLOOKUP(G1600,'Estádios e Cidades'!A:B,2,0)</f>
        <v>Orlando</v>
      </c>
      <c r="J1600" s="11" t="s">
        <v>874</v>
      </c>
      <c r="K1600" s="2" t="str">
        <f>VLOOKUP(J1600,Equipes!A:F,6,0)</f>
        <v>Tropical</v>
      </c>
      <c r="L1600" s="2">
        <f>VLOOKUP(J1600,Equipes!A:C,3,0)</f>
        <v>7</v>
      </c>
      <c r="M1600" s="2" t="str">
        <f t="shared" si="4"/>
        <v>Quarter-final</v>
      </c>
      <c r="N1600" s="11" t="s">
        <v>810</v>
      </c>
      <c r="O1600" s="2">
        <f>VLOOKUP(N1600,Equipes!A:C,3,0)</f>
        <v>9</v>
      </c>
      <c r="P1600" s="2" t="str">
        <f t="shared" si="5"/>
        <v>Round of 16</v>
      </c>
      <c r="Q1600" s="2">
        <f t="shared" si="6"/>
        <v>-2</v>
      </c>
      <c r="R1600" s="2" t="str">
        <f>VLOOKUP(J1600,Equipes!A:B,2,0)</f>
        <v>AlHilal</v>
      </c>
      <c r="S1600" s="6" t="s">
        <v>911</v>
      </c>
      <c r="T1600" s="7">
        <v>11.0</v>
      </c>
      <c r="U1600" s="7" t="s">
        <v>912</v>
      </c>
      <c r="V1600" s="7" t="str">
        <f>VLOOKUP(U1600,Jogadores!B:C,2,0)</f>
        <v>FW</v>
      </c>
      <c r="W1600" s="8">
        <f>VLOOKUP(U1600,Jogadores!B:D,3,0)</f>
        <v>22.25479452</v>
      </c>
      <c r="X1600" s="7">
        <v>0.0</v>
      </c>
      <c r="Y1600" s="7">
        <v>116.0</v>
      </c>
      <c r="Z1600" s="7">
        <f>VLOOKUP(A1600,Jogos!A:L,3,0)</f>
        <v>50</v>
      </c>
      <c r="AA1600" s="7">
        <f t="shared" si="4815"/>
        <v>50</v>
      </c>
      <c r="AB1600" s="7">
        <f>VLOOKUP(A1600,Jogos!A:L,4,0)</f>
        <v>51</v>
      </c>
      <c r="AC1600" s="23">
        <v>51.0</v>
      </c>
      <c r="AD1600" s="7">
        <f>Jogos!$E$55-Jogos!$D$55-Jogos!$C$55</f>
        <v>34</v>
      </c>
      <c r="AE1600" s="23">
        <v>26.0</v>
      </c>
      <c r="AF1600" s="7">
        <f t="shared" si="4566"/>
        <v>127</v>
      </c>
      <c r="AG1600" s="7">
        <v>12788.0</v>
      </c>
      <c r="AH1600" s="7">
        <v>4834.4</v>
      </c>
      <c r="AI1600" s="7">
        <v>5495.8</v>
      </c>
      <c r="AJ1600" s="7">
        <v>1349.9</v>
      </c>
      <c r="AK1600" s="7">
        <v>656.8</v>
      </c>
      <c r="AL1600" s="7">
        <v>451.1</v>
      </c>
      <c r="AM1600" s="7">
        <v>112.0</v>
      </c>
      <c r="AN1600" s="7">
        <v>58.0</v>
      </c>
      <c r="AO1600" s="7">
        <v>33.4</v>
      </c>
      <c r="AP1600" s="9">
        <f t="shared" ref="AP1600:AR1600" si="5016">AG1600/$AF1600</f>
        <v>100.6929134</v>
      </c>
      <c r="AQ1600" s="9">
        <f t="shared" si="5016"/>
        <v>38.06614173</v>
      </c>
      <c r="AR1600" s="9">
        <f t="shared" si="5016"/>
        <v>43.27401575</v>
      </c>
      <c r="AS1600" s="9">
        <f t="shared" si="4568"/>
        <v>81.34015748</v>
      </c>
      <c r="AT1600" s="9">
        <f t="shared" ref="AT1600:AV1600" si="5017">AJ1600/$AF1600</f>
        <v>10.62913386</v>
      </c>
      <c r="AU1600" s="9">
        <f t="shared" si="5017"/>
        <v>5.171653543</v>
      </c>
      <c r="AV1600" s="9">
        <f t="shared" si="5017"/>
        <v>3.551968504</v>
      </c>
      <c r="AW1600" s="9">
        <f t="shared" si="4570"/>
        <v>8.723622047</v>
      </c>
      <c r="AX1600" s="9">
        <f t="shared" ref="AX1600:AY1600" si="5018">AM1600/$AF1600</f>
        <v>0.8818897638</v>
      </c>
      <c r="AY1600" s="9">
        <f t="shared" si="5018"/>
        <v>0.4566929134</v>
      </c>
      <c r="AZ1600" s="9">
        <f>VLOOKUP(A1600,Jogos!A:BN,58,0)</f>
        <v>24.785</v>
      </c>
      <c r="BA1600" s="9">
        <f>VLOOKUP(A1600,Jogos!A:BN,59,0)</f>
        <v>22.48</v>
      </c>
      <c r="BB1600" s="9">
        <f>VLOOKUP(A1600,Jogos!A:BN,60,0)</f>
        <v>86.5</v>
      </c>
      <c r="BC1600" s="9">
        <f>VLOOKUP(A1600,Jogos!A:BN,61,0)</f>
        <v>22.745</v>
      </c>
      <c r="BD1600" s="9">
        <f>VLOOKUP(A1600,Jogos!A:BN,62,0)</f>
        <v>0</v>
      </c>
      <c r="BE1600" s="9">
        <f>VLOOKUP(A1600,Jogos!A:BN,63,0)</f>
        <v>2.06</v>
      </c>
      <c r="BF1600" s="9">
        <f>VLOOKUP(A1600,Jogos!A:BN,64,0)</f>
        <v>23.105</v>
      </c>
      <c r="BG1600" s="9">
        <f>VLOOKUP(A1600,Jogos!A:BN,65,0)</f>
        <v>39.23</v>
      </c>
      <c r="BH1600" s="9">
        <f>VLOOKUP(A1600,Jogos!A:BN,66,0)</f>
        <v>26.5</v>
      </c>
      <c r="BI1600" s="9"/>
      <c r="BJ1600" s="9"/>
    </row>
    <row r="1601" hidden="1">
      <c r="A1601" s="10">
        <v>54.0</v>
      </c>
      <c r="B1601" s="11" t="s">
        <v>1350</v>
      </c>
      <c r="C1601" s="2" t="s">
        <v>1351</v>
      </c>
      <c r="D1601" s="12">
        <v>45838.0</v>
      </c>
      <c r="E1601" s="13">
        <v>0.875</v>
      </c>
      <c r="F1601" s="5" t="str">
        <f>VLOOKUP(A1601,Jogos!A:N,10,0)</f>
        <v>Evening</v>
      </c>
      <c r="G1601" s="11" t="s">
        <v>1269</v>
      </c>
      <c r="H1601" s="6" t="str">
        <f>VLOOKUP(A1601,Jogos!A:L,12,0)</f>
        <v>Open</v>
      </c>
      <c r="I1601" s="6" t="str">
        <f>VLOOKUP(G1601,'Estádios e Cidades'!A:B,2,0)</f>
        <v>Orlando</v>
      </c>
      <c r="J1601" s="11" t="s">
        <v>874</v>
      </c>
      <c r="K1601" s="2" t="str">
        <f>VLOOKUP(J1601,Equipes!A:F,6,0)</f>
        <v>Tropical</v>
      </c>
      <c r="L1601" s="2">
        <f>VLOOKUP(J1601,Equipes!A:C,3,0)</f>
        <v>7</v>
      </c>
      <c r="M1601" s="2" t="str">
        <f t="shared" si="4"/>
        <v>Quarter-final</v>
      </c>
      <c r="N1601" s="11" t="s">
        <v>810</v>
      </c>
      <c r="O1601" s="2">
        <f>VLOOKUP(N1601,Equipes!A:C,3,0)</f>
        <v>9</v>
      </c>
      <c r="P1601" s="2" t="str">
        <f t="shared" si="5"/>
        <v>Round of 16</v>
      </c>
      <c r="Q1601" s="2">
        <f t="shared" si="6"/>
        <v>-2</v>
      </c>
      <c r="R1601" s="2" t="str">
        <f>VLOOKUP(J1601,Equipes!A:B,2,0)</f>
        <v>AlHilal</v>
      </c>
      <c r="S1601" s="6" t="s">
        <v>913</v>
      </c>
      <c r="T1601" s="7">
        <v>16.0</v>
      </c>
      <c r="U1601" s="7" t="s">
        <v>914</v>
      </c>
      <c r="V1601" s="7" t="str">
        <f>VLOOKUP(U1601,Jogadores!B:C,2,0)</f>
        <v>MF</v>
      </c>
      <c r="W1601" s="8">
        <f>VLOOKUP(U1601,Jogadores!B:D,3,0)</f>
        <v>26.62465753</v>
      </c>
      <c r="X1601" s="7">
        <v>0.0</v>
      </c>
      <c r="Y1601" s="7">
        <v>105.0</v>
      </c>
      <c r="Z1601" s="7">
        <f>VLOOKUP(A1601,Jogos!A:L,3,0)</f>
        <v>50</v>
      </c>
      <c r="AA1601" s="7">
        <f t="shared" si="4815"/>
        <v>50</v>
      </c>
      <c r="AB1601" s="7">
        <f>VLOOKUP(A1601,Jogos!A:L,4,0)</f>
        <v>51</v>
      </c>
      <c r="AC1601" s="23">
        <v>51.0</v>
      </c>
      <c r="AD1601" s="7">
        <f>Jogos!$E$55-Jogos!$D$55-Jogos!$C$55</f>
        <v>34</v>
      </c>
      <c r="AE1601" s="23">
        <v>15.0</v>
      </c>
      <c r="AF1601" s="7">
        <f t="shared" si="4566"/>
        <v>116</v>
      </c>
      <c r="AG1601" s="7">
        <v>13598.9</v>
      </c>
      <c r="AH1601" s="7">
        <v>4368.5</v>
      </c>
      <c r="AI1601" s="7">
        <v>5969.7</v>
      </c>
      <c r="AJ1601" s="7">
        <v>2248.7</v>
      </c>
      <c r="AK1601" s="7">
        <v>772.2</v>
      </c>
      <c r="AL1601" s="7">
        <v>239.8</v>
      </c>
      <c r="AM1601" s="7">
        <v>201.0</v>
      </c>
      <c r="AN1601" s="7">
        <v>67.0</v>
      </c>
      <c r="AO1601" s="7">
        <v>31.2</v>
      </c>
      <c r="AP1601" s="9">
        <f t="shared" ref="AP1601:AR1601" si="5019">AG1601/$AF1601</f>
        <v>117.2318966</v>
      </c>
      <c r="AQ1601" s="9">
        <f t="shared" si="5019"/>
        <v>37.65948276</v>
      </c>
      <c r="AR1601" s="9">
        <f t="shared" si="5019"/>
        <v>51.46293103</v>
      </c>
      <c r="AS1601" s="9">
        <f t="shared" si="4568"/>
        <v>89.12241379</v>
      </c>
      <c r="AT1601" s="9">
        <f t="shared" ref="AT1601:AV1601" si="5020">AJ1601/$AF1601</f>
        <v>19.38534483</v>
      </c>
      <c r="AU1601" s="9">
        <f t="shared" si="5020"/>
        <v>6.656896552</v>
      </c>
      <c r="AV1601" s="9">
        <f t="shared" si="5020"/>
        <v>2.067241379</v>
      </c>
      <c r="AW1601" s="9">
        <f t="shared" si="4570"/>
        <v>8.724137931</v>
      </c>
      <c r="AX1601" s="9">
        <f t="shared" ref="AX1601:AY1601" si="5021">AM1601/$AF1601</f>
        <v>1.732758621</v>
      </c>
      <c r="AY1601" s="9">
        <f t="shared" si="5021"/>
        <v>0.5775862069</v>
      </c>
      <c r="AZ1601" s="9">
        <f>VLOOKUP(A1601,Jogos!A:BN,58,0)</f>
        <v>24.785</v>
      </c>
      <c r="BA1601" s="9">
        <f>VLOOKUP(A1601,Jogos!A:BN,59,0)</f>
        <v>22.48</v>
      </c>
      <c r="BB1601" s="9">
        <f>VLOOKUP(A1601,Jogos!A:BN,60,0)</f>
        <v>86.5</v>
      </c>
      <c r="BC1601" s="9">
        <f>VLOOKUP(A1601,Jogos!A:BN,61,0)</f>
        <v>22.745</v>
      </c>
      <c r="BD1601" s="9">
        <f>VLOOKUP(A1601,Jogos!A:BN,62,0)</f>
        <v>0</v>
      </c>
      <c r="BE1601" s="9">
        <f>VLOOKUP(A1601,Jogos!A:BN,63,0)</f>
        <v>2.06</v>
      </c>
      <c r="BF1601" s="9">
        <f>VLOOKUP(A1601,Jogos!A:BN,64,0)</f>
        <v>23.105</v>
      </c>
      <c r="BG1601" s="9">
        <f>VLOOKUP(A1601,Jogos!A:BN,65,0)</f>
        <v>39.23</v>
      </c>
      <c r="BH1601" s="9">
        <f>VLOOKUP(A1601,Jogos!A:BN,66,0)</f>
        <v>26.5</v>
      </c>
      <c r="BI1601" s="9"/>
      <c r="BJ1601" s="9"/>
    </row>
    <row r="1602" hidden="1">
      <c r="A1602" s="10">
        <v>54.0</v>
      </c>
      <c r="B1602" s="11" t="s">
        <v>1350</v>
      </c>
      <c r="C1602" s="2" t="s">
        <v>1351</v>
      </c>
      <c r="D1602" s="12">
        <v>45838.0</v>
      </c>
      <c r="E1602" s="13">
        <v>0.875</v>
      </c>
      <c r="F1602" s="5" t="str">
        <f>VLOOKUP(A1602,Jogos!A:N,10,0)</f>
        <v>Evening</v>
      </c>
      <c r="G1602" s="11" t="s">
        <v>1269</v>
      </c>
      <c r="H1602" s="6" t="str">
        <f>VLOOKUP(A1602,Jogos!A:L,12,0)</f>
        <v>Open</v>
      </c>
      <c r="I1602" s="6" t="str">
        <f>VLOOKUP(G1602,'Estádios e Cidades'!A:B,2,0)</f>
        <v>Orlando</v>
      </c>
      <c r="J1602" s="11" t="s">
        <v>874</v>
      </c>
      <c r="K1602" s="2" t="str">
        <f>VLOOKUP(J1602,Equipes!A:F,6,0)</f>
        <v>Tropical</v>
      </c>
      <c r="L1602" s="2">
        <f>VLOOKUP(J1602,Equipes!A:C,3,0)</f>
        <v>7</v>
      </c>
      <c r="M1602" s="2" t="str">
        <f t="shared" si="4"/>
        <v>Quarter-final</v>
      </c>
      <c r="N1602" s="11" t="s">
        <v>810</v>
      </c>
      <c r="O1602" s="2">
        <f>VLOOKUP(N1602,Equipes!A:C,3,0)</f>
        <v>9</v>
      </c>
      <c r="P1602" s="2" t="str">
        <f t="shared" si="5"/>
        <v>Round of 16</v>
      </c>
      <c r="Q1602" s="2">
        <f t="shared" si="6"/>
        <v>-2</v>
      </c>
      <c r="R1602" s="2" t="str">
        <f>VLOOKUP(J1602,Equipes!A:B,2,0)</f>
        <v>AlHilal</v>
      </c>
      <c r="S1602" s="6" t="s">
        <v>915</v>
      </c>
      <c r="T1602" s="7">
        <v>20.0</v>
      </c>
      <c r="U1602" s="7" t="s">
        <v>916</v>
      </c>
      <c r="V1602" s="7" t="str">
        <f>VLOOKUP(U1602,Jogadores!B:C,2,0)</f>
        <v>DF</v>
      </c>
      <c r="W1602" s="8">
        <f>VLOOKUP(U1602,Jogadores!B:D,3,0)</f>
        <v>31.19178082</v>
      </c>
      <c r="X1602" s="7">
        <v>0.0</v>
      </c>
      <c r="Y1602" s="7">
        <v>88.0</v>
      </c>
      <c r="Z1602" s="7">
        <f>VLOOKUP(A1602,Jogos!A:L,3,0)</f>
        <v>50</v>
      </c>
      <c r="AA1602" s="7">
        <f t="shared" si="4815"/>
        <v>50</v>
      </c>
      <c r="AB1602" s="7">
        <f>VLOOKUP(A1602,Jogos!A:L,4,0)</f>
        <v>51</v>
      </c>
      <c r="AC1602" s="7">
        <f t="shared" ref="AC1602:AC1612" si="5025">IF(X1602&lt;45,if(Y1602&lt;=45,0,if(Y1602&gt;90,Y1602-45-AD1602,Y1602-45)),if(X1602&gt;=90,0,AB1602+45-X1602))</f>
        <v>43</v>
      </c>
      <c r="AD1602" s="7">
        <f>Jogos!$E$55-Jogos!$D$55-Jogos!$C$55</f>
        <v>34</v>
      </c>
      <c r="AE1602" s="7">
        <f t="shared" ref="AE1602:AE1612" si="5026">if(X1602&lt;=90,if(Y1602&lt;=90,0,(Y1602-45-AB1602)),90+AD1602-X1602)</f>
        <v>0</v>
      </c>
      <c r="AF1602" s="7">
        <f t="shared" si="4566"/>
        <v>93</v>
      </c>
      <c r="AG1602" s="7">
        <v>9548.8</v>
      </c>
      <c r="AH1602" s="7">
        <v>4138.0</v>
      </c>
      <c r="AI1602" s="7">
        <v>3799.7</v>
      </c>
      <c r="AJ1602" s="7">
        <v>1009.9</v>
      </c>
      <c r="AK1602" s="7">
        <v>387.3</v>
      </c>
      <c r="AL1602" s="7">
        <v>213.9</v>
      </c>
      <c r="AM1602" s="7">
        <v>87.0</v>
      </c>
      <c r="AN1602" s="7">
        <v>29.0</v>
      </c>
      <c r="AO1602" s="7">
        <v>29.5</v>
      </c>
      <c r="AP1602" s="9">
        <f t="shared" ref="AP1602:AR1602" si="5022">AG1602/$AF1602</f>
        <v>102.6752688</v>
      </c>
      <c r="AQ1602" s="9">
        <f t="shared" si="5022"/>
        <v>44.49462366</v>
      </c>
      <c r="AR1602" s="9">
        <f t="shared" si="5022"/>
        <v>40.85698925</v>
      </c>
      <c r="AS1602" s="9">
        <f t="shared" si="4568"/>
        <v>85.3516129</v>
      </c>
      <c r="AT1602" s="9">
        <f t="shared" ref="AT1602:AV1602" si="5023">AJ1602/$AF1602</f>
        <v>10.85913978</v>
      </c>
      <c r="AU1602" s="9">
        <f t="shared" si="5023"/>
        <v>4.164516129</v>
      </c>
      <c r="AV1602" s="9">
        <f t="shared" si="5023"/>
        <v>2.3</v>
      </c>
      <c r="AW1602" s="9">
        <f t="shared" si="4570"/>
        <v>6.464516129</v>
      </c>
      <c r="AX1602" s="9">
        <f t="shared" ref="AX1602:AY1602" si="5024">AM1602/$AF1602</f>
        <v>0.935483871</v>
      </c>
      <c r="AY1602" s="9">
        <f t="shared" si="5024"/>
        <v>0.311827957</v>
      </c>
      <c r="AZ1602" s="9">
        <f>VLOOKUP(A1602,Jogos!A:BN,58,0)</f>
        <v>24.785</v>
      </c>
      <c r="BA1602" s="9">
        <f>VLOOKUP(A1602,Jogos!A:BN,59,0)</f>
        <v>22.48</v>
      </c>
      <c r="BB1602" s="9">
        <f>VLOOKUP(A1602,Jogos!A:BN,60,0)</f>
        <v>86.5</v>
      </c>
      <c r="BC1602" s="9">
        <f>VLOOKUP(A1602,Jogos!A:BN,61,0)</f>
        <v>22.745</v>
      </c>
      <c r="BD1602" s="9">
        <f>VLOOKUP(A1602,Jogos!A:BN,62,0)</f>
        <v>0</v>
      </c>
      <c r="BE1602" s="9">
        <f>VLOOKUP(A1602,Jogos!A:BN,63,0)</f>
        <v>2.06</v>
      </c>
      <c r="BF1602" s="9">
        <f>VLOOKUP(A1602,Jogos!A:BN,64,0)</f>
        <v>23.105</v>
      </c>
      <c r="BG1602" s="9">
        <f>VLOOKUP(A1602,Jogos!A:BN,65,0)</f>
        <v>39.23</v>
      </c>
      <c r="BH1602" s="9">
        <f>VLOOKUP(A1602,Jogos!A:BN,66,0)</f>
        <v>26.5</v>
      </c>
      <c r="BI1602" s="9"/>
      <c r="BJ1602" s="9"/>
    </row>
    <row r="1603" hidden="1">
      <c r="A1603" s="10">
        <v>54.0</v>
      </c>
      <c r="B1603" s="11" t="s">
        <v>1350</v>
      </c>
      <c r="C1603" s="2" t="s">
        <v>1351</v>
      </c>
      <c r="D1603" s="12">
        <v>45838.0</v>
      </c>
      <c r="E1603" s="13">
        <v>0.875</v>
      </c>
      <c r="F1603" s="5" t="str">
        <f>VLOOKUP(A1603,Jogos!A:N,10,0)</f>
        <v>Evening</v>
      </c>
      <c r="G1603" s="11" t="s">
        <v>1269</v>
      </c>
      <c r="H1603" s="6" t="str">
        <f>VLOOKUP(A1603,Jogos!A:L,12,0)</f>
        <v>Open</v>
      </c>
      <c r="I1603" s="6" t="str">
        <f>VLOOKUP(G1603,'Estádios e Cidades'!A:B,2,0)</f>
        <v>Orlando</v>
      </c>
      <c r="J1603" s="11" t="s">
        <v>874</v>
      </c>
      <c r="K1603" s="2" t="str">
        <f>VLOOKUP(J1603,Equipes!A:F,6,0)</f>
        <v>Tropical</v>
      </c>
      <c r="L1603" s="2">
        <f>VLOOKUP(J1603,Equipes!A:C,3,0)</f>
        <v>7</v>
      </c>
      <c r="M1603" s="2" t="str">
        <f t="shared" si="4"/>
        <v>Quarter-final</v>
      </c>
      <c r="N1603" s="11" t="s">
        <v>810</v>
      </c>
      <c r="O1603" s="2">
        <f>VLOOKUP(N1603,Equipes!A:C,3,0)</f>
        <v>9</v>
      </c>
      <c r="P1603" s="2" t="str">
        <f t="shared" si="5"/>
        <v>Round of 16</v>
      </c>
      <c r="Q1603" s="2">
        <f t="shared" si="6"/>
        <v>-2</v>
      </c>
      <c r="R1603" s="2" t="str">
        <f>VLOOKUP(J1603,Equipes!A:B,2,0)</f>
        <v>AlHilal</v>
      </c>
      <c r="S1603" s="6" t="s">
        <v>917</v>
      </c>
      <c r="T1603" s="7">
        <v>22.0</v>
      </c>
      <c r="U1603" s="7" t="s">
        <v>918</v>
      </c>
      <c r="V1603" s="7" t="str">
        <f>VLOOKUP(U1603,Jogadores!B:C,2,0)</f>
        <v>MF</v>
      </c>
      <c r="W1603" s="8">
        <f>VLOOKUP(U1603,Jogadores!B:D,3,0)</f>
        <v>30.43561644</v>
      </c>
      <c r="X1603" s="7">
        <v>0.0</v>
      </c>
      <c r="Y1603" s="7">
        <f>45+AB1603+AD1603</f>
        <v>130</v>
      </c>
      <c r="Z1603" s="7">
        <f>VLOOKUP(A1603,Jogos!A:L,3,0)</f>
        <v>50</v>
      </c>
      <c r="AA1603" s="7">
        <f t="shared" si="4815"/>
        <v>50</v>
      </c>
      <c r="AB1603" s="7">
        <f>VLOOKUP(A1603,Jogos!A:L,4,0)</f>
        <v>51</v>
      </c>
      <c r="AC1603" s="7">
        <f t="shared" si="5025"/>
        <v>51</v>
      </c>
      <c r="AD1603" s="7">
        <f>Jogos!$E$55-Jogos!$D$55-Jogos!$C$55</f>
        <v>34</v>
      </c>
      <c r="AE1603" s="7">
        <f t="shared" si="5026"/>
        <v>34</v>
      </c>
      <c r="AF1603" s="7">
        <f t="shared" si="4566"/>
        <v>135</v>
      </c>
      <c r="AG1603" s="7">
        <v>15891.4</v>
      </c>
      <c r="AH1603" s="7">
        <v>4973.4</v>
      </c>
      <c r="AI1603" s="7">
        <v>8233.0</v>
      </c>
      <c r="AJ1603" s="7">
        <v>2073.0</v>
      </c>
      <c r="AK1603" s="7">
        <v>542.6</v>
      </c>
      <c r="AL1603" s="7">
        <v>69.4</v>
      </c>
      <c r="AM1603" s="7">
        <v>181.0</v>
      </c>
      <c r="AN1603" s="7">
        <v>40.0</v>
      </c>
      <c r="AO1603" s="7">
        <v>28.1</v>
      </c>
      <c r="AP1603" s="9">
        <f t="shared" ref="AP1603:AR1603" si="5027">AG1603/$AF1603</f>
        <v>117.7140741</v>
      </c>
      <c r="AQ1603" s="9">
        <f t="shared" si="5027"/>
        <v>36.84</v>
      </c>
      <c r="AR1603" s="9">
        <f t="shared" si="5027"/>
        <v>60.98518519</v>
      </c>
      <c r="AS1603" s="9">
        <f t="shared" si="4568"/>
        <v>97.82518519</v>
      </c>
      <c r="AT1603" s="9">
        <f t="shared" ref="AT1603:AV1603" si="5028">AJ1603/$AF1603</f>
        <v>15.35555556</v>
      </c>
      <c r="AU1603" s="9">
        <f t="shared" si="5028"/>
        <v>4.019259259</v>
      </c>
      <c r="AV1603" s="9">
        <f t="shared" si="5028"/>
        <v>0.5140740741</v>
      </c>
      <c r="AW1603" s="9">
        <f t="shared" si="4570"/>
        <v>4.533333333</v>
      </c>
      <c r="AX1603" s="9">
        <f t="shared" ref="AX1603:AY1603" si="5029">AM1603/$AF1603</f>
        <v>1.340740741</v>
      </c>
      <c r="AY1603" s="9">
        <f t="shared" si="5029"/>
        <v>0.2962962963</v>
      </c>
      <c r="AZ1603" s="9">
        <f>VLOOKUP(A1603,Jogos!A:BN,58,0)</f>
        <v>24.785</v>
      </c>
      <c r="BA1603" s="9">
        <f>VLOOKUP(A1603,Jogos!A:BN,59,0)</f>
        <v>22.48</v>
      </c>
      <c r="BB1603" s="9">
        <f>VLOOKUP(A1603,Jogos!A:BN,60,0)</f>
        <v>86.5</v>
      </c>
      <c r="BC1603" s="9">
        <f>VLOOKUP(A1603,Jogos!A:BN,61,0)</f>
        <v>22.745</v>
      </c>
      <c r="BD1603" s="9">
        <f>VLOOKUP(A1603,Jogos!A:BN,62,0)</f>
        <v>0</v>
      </c>
      <c r="BE1603" s="9">
        <f>VLOOKUP(A1603,Jogos!A:BN,63,0)</f>
        <v>2.06</v>
      </c>
      <c r="BF1603" s="9">
        <f>VLOOKUP(A1603,Jogos!A:BN,64,0)</f>
        <v>23.105</v>
      </c>
      <c r="BG1603" s="9">
        <f>VLOOKUP(A1603,Jogos!A:BN,65,0)</f>
        <v>39.23</v>
      </c>
      <c r="BH1603" s="9">
        <f>VLOOKUP(A1603,Jogos!A:BN,66,0)</f>
        <v>26.5</v>
      </c>
      <c r="BI1603" s="9"/>
      <c r="BJ1603" s="9"/>
    </row>
    <row r="1604" hidden="1">
      <c r="A1604" s="10">
        <v>54.0</v>
      </c>
      <c r="B1604" s="11" t="s">
        <v>1350</v>
      </c>
      <c r="C1604" s="2" t="s">
        <v>1351</v>
      </c>
      <c r="D1604" s="12">
        <v>45838.0</v>
      </c>
      <c r="E1604" s="13">
        <v>0.875</v>
      </c>
      <c r="F1604" s="5" t="str">
        <f>VLOOKUP(A1604,Jogos!A:N,10,0)</f>
        <v>Evening</v>
      </c>
      <c r="G1604" s="11" t="s">
        <v>1269</v>
      </c>
      <c r="H1604" s="6" t="str">
        <f>VLOOKUP(A1604,Jogos!A:L,12,0)</f>
        <v>Open</v>
      </c>
      <c r="I1604" s="6" t="str">
        <f>VLOOKUP(G1604,'Estádios e Cidades'!A:B,2,0)</f>
        <v>Orlando</v>
      </c>
      <c r="J1604" s="11" t="s">
        <v>874</v>
      </c>
      <c r="K1604" s="2" t="str">
        <f>VLOOKUP(J1604,Equipes!A:F,6,0)</f>
        <v>Tropical</v>
      </c>
      <c r="L1604" s="2">
        <f>VLOOKUP(J1604,Equipes!A:C,3,0)</f>
        <v>7</v>
      </c>
      <c r="M1604" s="2" t="str">
        <f t="shared" si="4"/>
        <v>Quarter-final</v>
      </c>
      <c r="N1604" s="11" t="s">
        <v>810</v>
      </c>
      <c r="O1604" s="2">
        <f>VLOOKUP(N1604,Equipes!A:C,3,0)</f>
        <v>9</v>
      </c>
      <c r="P1604" s="2" t="str">
        <f t="shared" si="5"/>
        <v>Round of 16</v>
      </c>
      <c r="Q1604" s="2">
        <f t="shared" si="6"/>
        <v>-2</v>
      </c>
      <c r="R1604" s="2" t="str">
        <f>VLOOKUP(J1604,Equipes!A:B,2,0)</f>
        <v>AlHilal</v>
      </c>
      <c r="S1604" s="6" t="s">
        <v>929</v>
      </c>
      <c r="T1604" s="7">
        <v>24.0</v>
      </c>
      <c r="U1604" s="7" t="s">
        <v>930</v>
      </c>
      <c r="V1604" s="7" t="str">
        <f>VLOOKUP(U1604,Jogadores!B:C,2,0)</f>
        <v>DF</v>
      </c>
      <c r="W1604" s="8">
        <f>VLOOKUP(U1604,Jogadores!B:D,3,0)</f>
        <v>25.45479452</v>
      </c>
      <c r="X1604" s="7">
        <v>0.0</v>
      </c>
      <c r="Y1604" s="7">
        <v>88.0</v>
      </c>
      <c r="Z1604" s="7">
        <f>VLOOKUP(A1604,Jogos!A:L,3,0)</f>
        <v>50</v>
      </c>
      <c r="AA1604" s="7">
        <f t="shared" si="4815"/>
        <v>50</v>
      </c>
      <c r="AB1604" s="7">
        <f>VLOOKUP(A1604,Jogos!A:L,4,0)</f>
        <v>51</v>
      </c>
      <c r="AC1604" s="7">
        <f t="shared" si="5025"/>
        <v>43</v>
      </c>
      <c r="AD1604" s="7">
        <f>Jogos!$E$55-Jogos!$D$55-Jogos!$C$55</f>
        <v>34</v>
      </c>
      <c r="AE1604" s="7">
        <f t="shared" si="5026"/>
        <v>0</v>
      </c>
      <c r="AF1604" s="7">
        <f t="shared" si="4566"/>
        <v>93</v>
      </c>
      <c r="AG1604" s="7">
        <v>10393.1</v>
      </c>
      <c r="AH1604" s="7">
        <v>3670.3</v>
      </c>
      <c r="AI1604" s="7">
        <v>4567.4</v>
      </c>
      <c r="AJ1604" s="7">
        <v>1364.6</v>
      </c>
      <c r="AK1604" s="7">
        <v>519.3</v>
      </c>
      <c r="AL1604" s="7">
        <v>271.5</v>
      </c>
      <c r="AM1604" s="7">
        <v>109.0</v>
      </c>
      <c r="AN1604" s="7">
        <v>39.0</v>
      </c>
      <c r="AO1604" s="7">
        <v>35.0</v>
      </c>
      <c r="AP1604" s="9">
        <f t="shared" ref="AP1604:AR1604" si="5030">AG1604/$AF1604</f>
        <v>111.7537634</v>
      </c>
      <c r="AQ1604" s="9">
        <f t="shared" si="5030"/>
        <v>39.4655914</v>
      </c>
      <c r="AR1604" s="9">
        <f t="shared" si="5030"/>
        <v>49.11182796</v>
      </c>
      <c r="AS1604" s="9">
        <f t="shared" si="4568"/>
        <v>88.57741935</v>
      </c>
      <c r="AT1604" s="9">
        <f t="shared" ref="AT1604:AV1604" si="5031">AJ1604/$AF1604</f>
        <v>14.67311828</v>
      </c>
      <c r="AU1604" s="9">
        <f t="shared" si="5031"/>
        <v>5.583870968</v>
      </c>
      <c r="AV1604" s="9">
        <f t="shared" si="5031"/>
        <v>2.919354839</v>
      </c>
      <c r="AW1604" s="9">
        <f t="shared" si="4570"/>
        <v>8.503225806</v>
      </c>
      <c r="AX1604" s="9">
        <f t="shared" ref="AX1604:AY1604" si="5032">AM1604/$AF1604</f>
        <v>1.172043011</v>
      </c>
      <c r="AY1604" s="9">
        <f t="shared" si="5032"/>
        <v>0.4193548387</v>
      </c>
      <c r="AZ1604" s="9">
        <f>VLOOKUP(A1604,Jogos!A:BN,58,0)</f>
        <v>24.785</v>
      </c>
      <c r="BA1604" s="9">
        <f>VLOOKUP(A1604,Jogos!A:BN,59,0)</f>
        <v>22.48</v>
      </c>
      <c r="BB1604" s="9">
        <f>VLOOKUP(A1604,Jogos!A:BN,60,0)</f>
        <v>86.5</v>
      </c>
      <c r="BC1604" s="9">
        <f>VLOOKUP(A1604,Jogos!A:BN,61,0)</f>
        <v>22.745</v>
      </c>
      <c r="BD1604" s="9">
        <f>VLOOKUP(A1604,Jogos!A:BN,62,0)</f>
        <v>0</v>
      </c>
      <c r="BE1604" s="9">
        <f>VLOOKUP(A1604,Jogos!A:BN,63,0)</f>
        <v>2.06</v>
      </c>
      <c r="BF1604" s="9">
        <f>VLOOKUP(A1604,Jogos!A:BN,64,0)</f>
        <v>23.105</v>
      </c>
      <c r="BG1604" s="9">
        <f>VLOOKUP(A1604,Jogos!A:BN,65,0)</f>
        <v>39.23</v>
      </c>
      <c r="BH1604" s="9">
        <f>VLOOKUP(A1604,Jogos!A:BN,66,0)</f>
        <v>26.5</v>
      </c>
      <c r="BI1604" s="9"/>
      <c r="BJ1604" s="9"/>
    </row>
    <row r="1605" hidden="1">
      <c r="A1605" s="10">
        <v>54.0</v>
      </c>
      <c r="B1605" s="11" t="s">
        <v>1350</v>
      </c>
      <c r="C1605" s="2" t="s">
        <v>1351</v>
      </c>
      <c r="D1605" s="12">
        <v>45838.0</v>
      </c>
      <c r="E1605" s="13">
        <v>0.875</v>
      </c>
      <c r="F1605" s="5" t="str">
        <f>VLOOKUP(A1605,Jogos!A:N,10,0)</f>
        <v>Evening</v>
      </c>
      <c r="G1605" s="11" t="s">
        <v>1269</v>
      </c>
      <c r="H1605" s="6" t="str">
        <f>VLOOKUP(A1605,Jogos!A:L,12,0)</f>
        <v>Open</v>
      </c>
      <c r="I1605" s="6" t="str">
        <f>VLOOKUP(G1605,'Estádios e Cidades'!A:B,2,0)</f>
        <v>Orlando</v>
      </c>
      <c r="J1605" s="11" t="s">
        <v>874</v>
      </c>
      <c r="K1605" s="2" t="str">
        <f>VLOOKUP(J1605,Equipes!A:F,6,0)</f>
        <v>Tropical</v>
      </c>
      <c r="L1605" s="2">
        <f>VLOOKUP(J1605,Equipes!A:C,3,0)</f>
        <v>7</v>
      </c>
      <c r="M1605" s="2" t="str">
        <f t="shared" si="4"/>
        <v>Quarter-final</v>
      </c>
      <c r="N1605" s="11" t="s">
        <v>810</v>
      </c>
      <c r="O1605" s="2">
        <f>VLOOKUP(N1605,Equipes!A:C,3,0)</f>
        <v>9</v>
      </c>
      <c r="P1605" s="2" t="str">
        <f t="shared" si="5"/>
        <v>Round of 16</v>
      </c>
      <c r="Q1605" s="2">
        <f t="shared" si="6"/>
        <v>-2</v>
      </c>
      <c r="R1605" s="2" t="str">
        <f>VLOOKUP(J1605,Equipes!A:B,2,0)</f>
        <v>AlHilal</v>
      </c>
      <c r="S1605" s="6" t="s">
        <v>931</v>
      </c>
      <c r="T1605" s="7">
        <v>28.0</v>
      </c>
      <c r="U1605" s="7" t="s">
        <v>932</v>
      </c>
      <c r="V1605" s="7" t="str">
        <f>VLOOKUP(U1605,Jogadores!B:C,2,0)</f>
        <v>MF</v>
      </c>
      <c r="W1605" s="8">
        <f>VLOOKUP(U1605,Jogadores!B:D,3,0)</f>
        <v>30.86849315</v>
      </c>
      <c r="X1605" s="7">
        <v>0.0</v>
      </c>
      <c r="Y1605" s="7">
        <v>83.0</v>
      </c>
      <c r="Z1605" s="7">
        <f>VLOOKUP(A1605,Jogos!A:L,3,0)</f>
        <v>50</v>
      </c>
      <c r="AA1605" s="7">
        <f t="shared" si="4815"/>
        <v>50</v>
      </c>
      <c r="AB1605" s="7">
        <f>VLOOKUP(A1605,Jogos!A:L,4,0)</f>
        <v>51</v>
      </c>
      <c r="AC1605" s="7">
        <f t="shared" si="5025"/>
        <v>38</v>
      </c>
      <c r="AD1605" s="7">
        <f>Jogos!$E$55-Jogos!$D$55-Jogos!$C$55</f>
        <v>34</v>
      </c>
      <c r="AE1605" s="7">
        <f t="shared" si="5026"/>
        <v>0</v>
      </c>
      <c r="AF1605" s="7">
        <f t="shared" si="4566"/>
        <v>88</v>
      </c>
      <c r="AG1605" s="7">
        <v>9881.6</v>
      </c>
      <c r="AH1605" s="7">
        <v>3378.6</v>
      </c>
      <c r="AI1605" s="7">
        <v>4110.2</v>
      </c>
      <c r="AJ1605" s="7">
        <v>1727.7</v>
      </c>
      <c r="AK1605" s="7">
        <v>580.5</v>
      </c>
      <c r="AL1605" s="7">
        <v>84.6</v>
      </c>
      <c r="AM1605" s="7">
        <v>145.0</v>
      </c>
      <c r="AN1605" s="7">
        <v>43.0</v>
      </c>
      <c r="AO1605" s="7">
        <v>27.1</v>
      </c>
      <c r="AP1605" s="9">
        <f t="shared" ref="AP1605:AR1605" si="5033">AG1605/$AF1605</f>
        <v>112.2909091</v>
      </c>
      <c r="AQ1605" s="9">
        <f t="shared" si="5033"/>
        <v>38.39318182</v>
      </c>
      <c r="AR1605" s="9">
        <f t="shared" si="5033"/>
        <v>46.70681818</v>
      </c>
      <c r="AS1605" s="9">
        <f t="shared" si="4568"/>
        <v>85.1</v>
      </c>
      <c r="AT1605" s="9">
        <f t="shared" ref="AT1605:AV1605" si="5034">AJ1605/$AF1605</f>
        <v>19.63295455</v>
      </c>
      <c r="AU1605" s="9">
        <f t="shared" si="5034"/>
        <v>6.596590909</v>
      </c>
      <c r="AV1605" s="9">
        <f t="shared" si="5034"/>
        <v>0.9613636364</v>
      </c>
      <c r="AW1605" s="9">
        <f t="shared" si="4570"/>
        <v>7.557954545</v>
      </c>
      <c r="AX1605" s="9">
        <f t="shared" ref="AX1605:AY1605" si="5035">AM1605/$AF1605</f>
        <v>1.647727273</v>
      </c>
      <c r="AY1605" s="9">
        <f t="shared" si="5035"/>
        <v>0.4886363636</v>
      </c>
      <c r="AZ1605" s="9">
        <f>VLOOKUP(A1605,Jogos!A:BN,58,0)</f>
        <v>24.785</v>
      </c>
      <c r="BA1605" s="9">
        <f>VLOOKUP(A1605,Jogos!A:BN,59,0)</f>
        <v>22.48</v>
      </c>
      <c r="BB1605" s="9">
        <f>VLOOKUP(A1605,Jogos!A:BN,60,0)</f>
        <v>86.5</v>
      </c>
      <c r="BC1605" s="9">
        <f>VLOOKUP(A1605,Jogos!A:BN,61,0)</f>
        <v>22.745</v>
      </c>
      <c r="BD1605" s="9">
        <f>VLOOKUP(A1605,Jogos!A:BN,62,0)</f>
        <v>0</v>
      </c>
      <c r="BE1605" s="9">
        <f>VLOOKUP(A1605,Jogos!A:BN,63,0)</f>
        <v>2.06</v>
      </c>
      <c r="BF1605" s="9">
        <f>VLOOKUP(A1605,Jogos!A:BN,64,0)</f>
        <v>23.105</v>
      </c>
      <c r="BG1605" s="9">
        <f>VLOOKUP(A1605,Jogos!A:BN,65,0)</f>
        <v>39.23</v>
      </c>
      <c r="BH1605" s="9">
        <f>VLOOKUP(A1605,Jogos!A:BN,66,0)</f>
        <v>26.5</v>
      </c>
      <c r="BI1605" s="9"/>
      <c r="BJ1605" s="9"/>
    </row>
    <row r="1606" hidden="1">
      <c r="A1606" s="10">
        <v>54.0</v>
      </c>
      <c r="B1606" s="11" t="s">
        <v>1350</v>
      </c>
      <c r="C1606" s="2" t="s">
        <v>1351</v>
      </c>
      <c r="D1606" s="12">
        <v>45838.0</v>
      </c>
      <c r="E1606" s="13">
        <v>0.875</v>
      </c>
      <c r="F1606" s="5" t="str">
        <f>VLOOKUP(A1606,Jogos!A:N,10,0)</f>
        <v>Evening</v>
      </c>
      <c r="G1606" s="11" t="s">
        <v>1269</v>
      </c>
      <c r="H1606" s="6" t="str">
        <f>VLOOKUP(A1606,Jogos!A:L,12,0)</f>
        <v>Open</v>
      </c>
      <c r="I1606" s="6" t="str">
        <f>VLOOKUP(G1606,'Estádios e Cidades'!A:B,2,0)</f>
        <v>Orlando</v>
      </c>
      <c r="J1606" s="11" t="s">
        <v>874</v>
      </c>
      <c r="K1606" s="2" t="str">
        <f>VLOOKUP(J1606,Equipes!A:F,6,0)</f>
        <v>Tropical</v>
      </c>
      <c r="L1606" s="2">
        <f>VLOOKUP(J1606,Equipes!A:C,3,0)</f>
        <v>7</v>
      </c>
      <c r="M1606" s="2" t="str">
        <f t="shared" si="4"/>
        <v>Quarter-final</v>
      </c>
      <c r="N1606" s="11" t="s">
        <v>810</v>
      </c>
      <c r="O1606" s="2">
        <f>VLOOKUP(N1606,Equipes!A:C,3,0)</f>
        <v>9</v>
      </c>
      <c r="P1606" s="2" t="str">
        <f t="shared" si="5"/>
        <v>Round of 16</v>
      </c>
      <c r="Q1606" s="2">
        <f t="shared" si="6"/>
        <v>-2</v>
      </c>
      <c r="R1606" s="2" t="str">
        <f>VLOOKUP(J1606,Equipes!A:B,2,0)</f>
        <v>AlHilal</v>
      </c>
      <c r="S1606" s="6" t="s">
        <v>921</v>
      </c>
      <c r="T1606" s="7">
        <v>77.0</v>
      </c>
      <c r="U1606" s="7" t="s">
        <v>922</v>
      </c>
      <c r="V1606" s="7" t="str">
        <f>VLOOKUP(U1606,Jogadores!B:C,2,0)</f>
        <v>MF</v>
      </c>
      <c r="W1606" s="8">
        <f>VLOOKUP(U1606,Jogadores!B:D,3,0)</f>
        <v>28.43561644</v>
      </c>
      <c r="X1606" s="7">
        <v>0.0</v>
      </c>
      <c r="Y1606" s="7">
        <v>64.0</v>
      </c>
      <c r="Z1606" s="7">
        <f>VLOOKUP(A1606,Jogos!A:L,3,0)</f>
        <v>50</v>
      </c>
      <c r="AA1606" s="7">
        <f t="shared" si="4815"/>
        <v>50</v>
      </c>
      <c r="AB1606" s="7">
        <f>VLOOKUP(A1606,Jogos!A:L,4,0)</f>
        <v>51</v>
      </c>
      <c r="AC1606" s="7">
        <f t="shared" si="5025"/>
        <v>19</v>
      </c>
      <c r="AD1606" s="7">
        <f>Jogos!$E$55-Jogos!$D$55-Jogos!$C$55</f>
        <v>34</v>
      </c>
      <c r="AE1606" s="7">
        <f t="shared" si="5026"/>
        <v>0</v>
      </c>
      <c r="AF1606" s="7">
        <f t="shared" si="4566"/>
        <v>69</v>
      </c>
      <c r="AG1606" s="7">
        <v>7290.9</v>
      </c>
      <c r="AH1606" s="7">
        <v>2723.9</v>
      </c>
      <c r="AI1606" s="7">
        <v>2980.7</v>
      </c>
      <c r="AJ1606" s="7">
        <v>845.6</v>
      </c>
      <c r="AK1606" s="7">
        <v>428.6</v>
      </c>
      <c r="AL1606" s="7">
        <v>312.1</v>
      </c>
      <c r="AM1606" s="7">
        <v>75.0</v>
      </c>
      <c r="AN1606" s="7">
        <v>42.0</v>
      </c>
      <c r="AO1606" s="7">
        <v>33.8</v>
      </c>
      <c r="AP1606" s="9">
        <f t="shared" ref="AP1606:AR1606" si="5036">AG1606/$AF1606</f>
        <v>105.6652174</v>
      </c>
      <c r="AQ1606" s="9">
        <f t="shared" si="5036"/>
        <v>39.47681159</v>
      </c>
      <c r="AR1606" s="9">
        <f t="shared" si="5036"/>
        <v>43.19855072</v>
      </c>
      <c r="AS1606" s="9">
        <f t="shared" si="4568"/>
        <v>82.67536232</v>
      </c>
      <c r="AT1606" s="9">
        <f t="shared" ref="AT1606:AV1606" si="5037">AJ1606/$AF1606</f>
        <v>12.25507246</v>
      </c>
      <c r="AU1606" s="9">
        <f t="shared" si="5037"/>
        <v>6.211594203</v>
      </c>
      <c r="AV1606" s="9">
        <f t="shared" si="5037"/>
        <v>4.523188406</v>
      </c>
      <c r="AW1606" s="9">
        <f t="shared" si="4570"/>
        <v>10.73478261</v>
      </c>
      <c r="AX1606" s="9">
        <f t="shared" ref="AX1606:AY1606" si="5038">AM1606/$AF1606</f>
        <v>1.086956522</v>
      </c>
      <c r="AY1606" s="9">
        <f t="shared" si="5038"/>
        <v>0.6086956522</v>
      </c>
      <c r="AZ1606" s="9">
        <f>VLOOKUP(A1606,Jogos!A:BN,58,0)</f>
        <v>24.785</v>
      </c>
      <c r="BA1606" s="9">
        <f>VLOOKUP(A1606,Jogos!A:BN,59,0)</f>
        <v>22.48</v>
      </c>
      <c r="BB1606" s="9">
        <f>VLOOKUP(A1606,Jogos!A:BN,60,0)</f>
        <v>86.5</v>
      </c>
      <c r="BC1606" s="9">
        <f>VLOOKUP(A1606,Jogos!A:BN,61,0)</f>
        <v>22.745</v>
      </c>
      <c r="BD1606" s="9">
        <f>VLOOKUP(A1606,Jogos!A:BN,62,0)</f>
        <v>0</v>
      </c>
      <c r="BE1606" s="9">
        <f>VLOOKUP(A1606,Jogos!A:BN,63,0)</f>
        <v>2.06</v>
      </c>
      <c r="BF1606" s="9">
        <f>VLOOKUP(A1606,Jogos!A:BN,64,0)</f>
        <v>23.105</v>
      </c>
      <c r="BG1606" s="9">
        <f>VLOOKUP(A1606,Jogos!A:BN,65,0)</f>
        <v>39.23</v>
      </c>
      <c r="BH1606" s="9">
        <f>VLOOKUP(A1606,Jogos!A:BN,66,0)</f>
        <v>26.5</v>
      </c>
      <c r="BI1606" s="9"/>
      <c r="BJ1606" s="9"/>
    </row>
    <row r="1607" hidden="1">
      <c r="A1607" s="10">
        <v>54.0</v>
      </c>
      <c r="B1607" s="11" t="s">
        <v>1350</v>
      </c>
      <c r="C1607" s="2" t="s">
        <v>1351</v>
      </c>
      <c r="D1607" s="12">
        <v>45838.0</v>
      </c>
      <c r="E1607" s="13">
        <v>0.875</v>
      </c>
      <c r="F1607" s="5" t="str">
        <f>VLOOKUP(A1607,Jogos!A:N,10,0)</f>
        <v>Evening</v>
      </c>
      <c r="G1607" s="11" t="s">
        <v>1269</v>
      </c>
      <c r="H1607" s="6" t="str">
        <f>VLOOKUP(A1607,Jogos!A:L,12,0)</f>
        <v>Open</v>
      </c>
      <c r="I1607" s="6" t="str">
        <f>VLOOKUP(G1607,'Estádios e Cidades'!A:B,2,0)</f>
        <v>Orlando</v>
      </c>
      <c r="J1607" s="11" t="s">
        <v>874</v>
      </c>
      <c r="K1607" s="2" t="str">
        <f>VLOOKUP(J1607,Equipes!A:F,6,0)</f>
        <v>Tropical</v>
      </c>
      <c r="L1607" s="2">
        <f>VLOOKUP(J1607,Equipes!A:C,3,0)</f>
        <v>7</v>
      </c>
      <c r="M1607" s="2" t="str">
        <f t="shared" si="4"/>
        <v>Quarter-final</v>
      </c>
      <c r="N1607" s="11" t="s">
        <v>810</v>
      </c>
      <c r="O1607" s="2">
        <f>VLOOKUP(N1607,Equipes!A:C,3,0)</f>
        <v>9</v>
      </c>
      <c r="P1607" s="2" t="str">
        <f t="shared" si="5"/>
        <v>Round of 16</v>
      </c>
      <c r="Q1607" s="2">
        <f t="shared" si="6"/>
        <v>-2</v>
      </c>
      <c r="R1607" s="2" t="str">
        <f>VLOOKUP(J1607,Equipes!A:B,2,0)</f>
        <v>AlHilal</v>
      </c>
      <c r="S1607" s="6" t="s">
        <v>1370</v>
      </c>
      <c r="T1607" s="7">
        <v>5.0</v>
      </c>
      <c r="U1607" s="7" t="s">
        <v>1371</v>
      </c>
      <c r="V1607" s="7" t="str">
        <f>VLOOKUP(U1607,Jogadores!B:C,2,0)</f>
        <v>DF</v>
      </c>
      <c r="W1607" s="8">
        <f>VLOOKUP(U1607,Jogadores!B:D,3,0)</f>
        <v>35.70684932</v>
      </c>
      <c r="X1607" s="7">
        <v>88.0</v>
      </c>
      <c r="Y1607" s="7">
        <f t="shared" ref="Y1607:Y1612" si="5042">45+AB1607+AD1607</f>
        <v>130</v>
      </c>
      <c r="Z1607" s="7">
        <f>VLOOKUP(A1607,Jogos!A:L,3,0)</f>
        <v>50</v>
      </c>
      <c r="AA1607" s="7">
        <f t="shared" si="4815"/>
        <v>0</v>
      </c>
      <c r="AB1607" s="7">
        <f>VLOOKUP(A1607,Jogos!A:L,4,0)</f>
        <v>51</v>
      </c>
      <c r="AC1607" s="7">
        <f t="shared" si="5025"/>
        <v>8</v>
      </c>
      <c r="AD1607" s="7">
        <f>Jogos!$E$55-Jogos!$D$55-Jogos!$C$55</f>
        <v>34</v>
      </c>
      <c r="AE1607" s="7">
        <f t="shared" si="5026"/>
        <v>34</v>
      </c>
      <c r="AF1607" s="7">
        <f t="shared" si="4566"/>
        <v>42</v>
      </c>
      <c r="AG1607" s="7">
        <v>4791.3</v>
      </c>
      <c r="AH1607" s="7">
        <v>1785.1</v>
      </c>
      <c r="AI1607" s="7">
        <v>2270.3</v>
      </c>
      <c r="AJ1607" s="7">
        <v>461.3</v>
      </c>
      <c r="AK1607" s="7">
        <v>184.7</v>
      </c>
      <c r="AL1607" s="7">
        <v>90.0</v>
      </c>
      <c r="AM1607" s="7">
        <v>43.0</v>
      </c>
      <c r="AN1607" s="7">
        <v>17.0</v>
      </c>
      <c r="AO1607" s="7">
        <v>31.8</v>
      </c>
      <c r="AP1607" s="9">
        <f t="shared" ref="AP1607:AR1607" si="5039">AG1607/$AF1607</f>
        <v>114.0785714</v>
      </c>
      <c r="AQ1607" s="9">
        <f t="shared" si="5039"/>
        <v>42.50238095</v>
      </c>
      <c r="AR1607" s="9">
        <f t="shared" si="5039"/>
        <v>54.0547619</v>
      </c>
      <c r="AS1607" s="9">
        <f t="shared" si="4568"/>
        <v>96.55714286</v>
      </c>
      <c r="AT1607" s="9">
        <f t="shared" ref="AT1607:AV1607" si="5040">AJ1607/$AF1607</f>
        <v>10.98333333</v>
      </c>
      <c r="AU1607" s="9">
        <f t="shared" si="5040"/>
        <v>4.397619048</v>
      </c>
      <c r="AV1607" s="9">
        <f t="shared" si="5040"/>
        <v>2.142857143</v>
      </c>
      <c r="AW1607" s="9">
        <f t="shared" si="4570"/>
        <v>6.54047619</v>
      </c>
      <c r="AX1607" s="9">
        <f t="shared" ref="AX1607:AY1607" si="5041">AM1607/$AF1607</f>
        <v>1.023809524</v>
      </c>
      <c r="AY1607" s="9">
        <f t="shared" si="5041"/>
        <v>0.4047619048</v>
      </c>
      <c r="AZ1607" s="9">
        <f>VLOOKUP(A1607,Jogos!A:BN,58,0)</f>
        <v>24.785</v>
      </c>
      <c r="BA1607" s="9">
        <f>VLOOKUP(A1607,Jogos!A:BN,59,0)</f>
        <v>22.48</v>
      </c>
      <c r="BB1607" s="9">
        <f>VLOOKUP(A1607,Jogos!A:BN,60,0)</f>
        <v>86.5</v>
      </c>
      <c r="BC1607" s="9">
        <f>VLOOKUP(A1607,Jogos!A:BN,61,0)</f>
        <v>22.745</v>
      </c>
      <c r="BD1607" s="9">
        <f>VLOOKUP(A1607,Jogos!A:BN,62,0)</f>
        <v>0</v>
      </c>
      <c r="BE1607" s="9">
        <f>VLOOKUP(A1607,Jogos!A:BN,63,0)</f>
        <v>2.06</v>
      </c>
      <c r="BF1607" s="9">
        <f>VLOOKUP(A1607,Jogos!A:BN,64,0)</f>
        <v>23.105</v>
      </c>
      <c r="BG1607" s="9">
        <f>VLOOKUP(A1607,Jogos!A:BN,65,0)</f>
        <v>39.23</v>
      </c>
      <c r="BH1607" s="9">
        <f>VLOOKUP(A1607,Jogos!A:BN,66,0)</f>
        <v>26.5</v>
      </c>
      <c r="BI1607" s="9"/>
      <c r="BJ1607" s="9"/>
    </row>
    <row r="1608" hidden="1">
      <c r="A1608" s="10">
        <v>54.0</v>
      </c>
      <c r="B1608" s="11" t="s">
        <v>1350</v>
      </c>
      <c r="C1608" s="2" t="s">
        <v>1351</v>
      </c>
      <c r="D1608" s="12">
        <v>45838.0</v>
      </c>
      <c r="E1608" s="13">
        <v>0.875</v>
      </c>
      <c r="F1608" s="5" t="str">
        <f>VLOOKUP(A1608,Jogos!A:N,10,0)</f>
        <v>Evening</v>
      </c>
      <c r="G1608" s="11" t="s">
        <v>1269</v>
      </c>
      <c r="H1608" s="6" t="str">
        <f>VLOOKUP(A1608,Jogos!A:L,12,0)</f>
        <v>Open</v>
      </c>
      <c r="I1608" s="6" t="str">
        <f>VLOOKUP(G1608,'Estádios e Cidades'!A:B,2,0)</f>
        <v>Orlando</v>
      </c>
      <c r="J1608" s="11" t="s">
        <v>874</v>
      </c>
      <c r="K1608" s="2" t="str">
        <f>VLOOKUP(J1608,Equipes!A:F,6,0)</f>
        <v>Tropical</v>
      </c>
      <c r="L1608" s="2">
        <f>VLOOKUP(J1608,Equipes!A:C,3,0)</f>
        <v>7</v>
      </c>
      <c r="M1608" s="2" t="str">
        <f t="shared" si="4"/>
        <v>Quarter-final</v>
      </c>
      <c r="N1608" s="11" t="s">
        <v>810</v>
      </c>
      <c r="O1608" s="2">
        <f>VLOOKUP(N1608,Equipes!A:C,3,0)</f>
        <v>9</v>
      </c>
      <c r="P1608" s="2" t="str">
        <f t="shared" si="5"/>
        <v>Round of 16</v>
      </c>
      <c r="Q1608" s="2">
        <f t="shared" si="6"/>
        <v>-2</v>
      </c>
      <c r="R1608" s="2" t="str">
        <f>VLOOKUP(J1608,Equipes!A:B,2,0)</f>
        <v>AlHilal</v>
      </c>
      <c r="S1608" s="6" t="s">
        <v>1372</v>
      </c>
      <c r="T1608" s="7">
        <v>7.0</v>
      </c>
      <c r="U1608" s="7" t="s">
        <v>1373</v>
      </c>
      <c r="V1608" s="7" t="str">
        <f>VLOOKUP(U1608,Jogadores!B:C,2,0)</f>
        <v>MF</v>
      </c>
      <c r="W1608" s="8">
        <f>VLOOKUP(U1608,Jogadores!B:D,3,0)</f>
        <v>24.73424658</v>
      </c>
      <c r="X1608" s="7">
        <v>116.0</v>
      </c>
      <c r="Y1608" s="7">
        <f t="shared" si="5042"/>
        <v>130</v>
      </c>
      <c r="Z1608" s="7">
        <f>VLOOKUP(A1608,Jogos!A:L,3,0)</f>
        <v>50</v>
      </c>
      <c r="AA1608" s="7">
        <f t="shared" si="4815"/>
        <v>0</v>
      </c>
      <c r="AB1608" s="7">
        <f>VLOOKUP(A1608,Jogos!A:L,4,0)</f>
        <v>51</v>
      </c>
      <c r="AC1608" s="7">
        <f t="shared" si="5025"/>
        <v>0</v>
      </c>
      <c r="AD1608" s="7">
        <f>Jogos!$E$55-Jogos!$D$55-Jogos!$C$55</f>
        <v>34</v>
      </c>
      <c r="AE1608" s="7">
        <f t="shared" si="5026"/>
        <v>8</v>
      </c>
      <c r="AF1608" s="7">
        <f t="shared" si="4566"/>
        <v>8</v>
      </c>
      <c r="AG1608" s="7">
        <v>1071.8</v>
      </c>
      <c r="AH1608" s="7">
        <v>297.9</v>
      </c>
      <c r="AI1608" s="7">
        <v>428.0</v>
      </c>
      <c r="AJ1608" s="7">
        <v>166.2</v>
      </c>
      <c r="AK1608" s="7">
        <v>105.0</v>
      </c>
      <c r="AL1608" s="7">
        <v>74.7</v>
      </c>
      <c r="AM1608" s="7">
        <v>10.0</v>
      </c>
      <c r="AN1608" s="7">
        <v>8.0</v>
      </c>
      <c r="AO1608" s="7">
        <v>32.1</v>
      </c>
      <c r="AP1608" s="9">
        <f t="shared" ref="AP1608:AR1608" si="5043">AG1608/$AF1608</f>
        <v>133.975</v>
      </c>
      <c r="AQ1608" s="9">
        <f t="shared" si="5043"/>
        <v>37.2375</v>
      </c>
      <c r="AR1608" s="9">
        <f t="shared" si="5043"/>
        <v>53.5</v>
      </c>
      <c r="AS1608" s="9">
        <f t="shared" si="4568"/>
        <v>90.7375</v>
      </c>
      <c r="AT1608" s="9">
        <f t="shared" ref="AT1608:AV1608" si="5044">AJ1608/$AF1608</f>
        <v>20.775</v>
      </c>
      <c r="AU1608" s="9">
        <f t="shared" si="5044"/>
        <v>13.125</v>
      </c>
      <c r="AV1608" s="9">
        <f t="shared" si="5044"/>
        <v>9.3375</v>
      </c>
      <c r="AW1608" s="9">
        <f t="shared" si="4570"/>
        <v>22.4625</v>
      </c>
      <c r="AX1608" s="9">
        <f t="shared" ref="AX1608:AY1608" si="5045">AM1608/$AF1608</f>
        <v>1.25</v>
      </c>
      <c r="AY1608" s="9">
        <f t="shared" si="5045"/>
        <v>1</v>
      </c>
      <c r="AZ1608" s="9">
        <f>VLOOKUP(A1608,Jogos!A:BN,58,0)</f>
        <v>24.785</v>
      </c>
      <c r="BA1608" s="9">
        <f>VLOOKUP(A1608,Jogos!A:BN,59,0)</f>
        <v>22.48</v>
      </c>
      <c r="BB1608" s="9">
        <f>VLOOKUP(A1608,Jogos!A:BN,60,0)</f>
        <v>86.5</v>
      </c>
      <c r="BC1608" s="9">
        <f>VLOOKUP(A1608,Jogos!A:BN,61,0)</f>
        <v>22.745</v>
      </c>
      <c r="BD1608" s="9">
        <f>VLOOKUP(A1608,Jogos!A:BN,62,0)</f>
        <v>0</v>
      </c>
      <c r="BE1608" s="9">
        <f>VLOOKUP(A1608,Jogos!A:BN,63,0)</f>
        <v>2.06</v>
      </c>
      <c r="BF1608" s="9">
        <f>VLOOKUP(A1608,Jogos!A:BN,64,0)</f>
        <v>23.105</v>
      </c>
      <c r="BG1608" s="9">
        <f>VLOOKUP(A1608,Jogos!A:BN,65,0)</f>
        <v>39.23</v>
      </c>
      <c r="BH1608" s="9">
        <f>VLOOKUP(A1608,Jogos!A:BN,66,0)</f>
        <v>26.5</v>
      </c>
      <c r="BI1608" s="9"/>
      <c r="BJ1608" s="9"/>
    </row>
    <row r="1609" hidden="1">
      <c r="A1609" s="10">
        <v>54.0</v>
      </c>
      <c r="B1609" s="11" t="s">
        <v>1350</v>
      </c>
      <c r="C1609" s="2" t="s">
        <v>1351</v>
      </c>
      <c r="D1609" s="12">
        <v>45838.0</v>
      </c>
      <c r="E1609" s="13">
        <v>0.875</v>
      </c>
      <c r="F1609" s="5" t="str">
        <f>VLOOKUP(A1609,Jogos!A:N,10,0)</f>
        <v>Evening</v>
      </c>
      <c r="G1609" s="11" t="s">
        <v>1269</v>
      </c>
      <c r="H1609" s="6" t="str">
        <f>VLOOKUP(A1609,Jogos!A:L,12,0)</f>
        <v>Open</v>
      </c>
      <c r="I1609" s="6" t="str">
        <f>VLOOKUP(G1609,'Estádios e Cidades'!A:B,2,0)</f>
        <v>Orlando</v>
      </c>
      <c r="J1609" s="11" t="s">
        <v>874</v>
      </c>
      <c r="K1609" s="2" t="str">
        <f>VLOOKUP(J1609,Equipes!A:F,6,0)</f>
        <v>Tropical</v>
      </c>
      <c r="L1609" s="2">
        <f>VLOOKUP(J1609,Equipes!A:C,3,0)</f>
        <v>7</v>
      </c>
      <c r="M1609" s="2" t="str">
        <f t="shared" si="4"/>
        <v>Quarter-final</v>
      </c>
      <c r="N1609" s="11" t="s">
        <v>810</v>
      </c>
      <c r="O1609" s="2">
        <f>VLOOKUP(N1609,Equipes!A:C,3,0)</f>
        <v>9</v>
      </c>
      <c r="P1609" s="2" t="str">
        <f t="shared" si="5"/>
        <v>Round of 16</v>
      </c>
      <c r="Q1609" s="2">
        <f t="shared" si="6"/>
        <v>-2</v>
      </c>
      <c r="R1609" s="2" t="str">
        <f>VLOOKUP(J1609,Equipes!A:B,2,0)</f>
        <v>AlHilal</v>
      </c>
      <c r="S1609" s="6" t="s">
        <v>927</v>
      </c>
      <c r="T1609" s="7">
        <v>18.0</v>
      </c>
      <c r="U1609" s="7" t="s">
        <v>928</v>
      </c>
      <c r="V1609" s="7" t="str">
        <f>VLOOKUP(U1609,Jogadores!B:C,2,0)</f>
        <v>MF</v>
      </c>
      <c r="W1609" s="8">
        <f>VLOOKUP(U1609,Jogadores!B:D,3,0)</f>
        <v>22.12054795</v>
      </c>
      <c r="X1609" s="7">
        <v>105.0</v>
      </c>
      <c r="Y1609" s="7">
        <f t="shared" si="5042"/>
        <v>130</v>
      </c>
      <c r="Z1609" s="7">
        <f>VLOOKUP(A1609,Jogos!A:L,3,0)</f>
        <v>50</v>
      </c>
      <c r="AA1609" s="7">
        <f t="shared" si="4815"/>
        <v>0</v>
      </c>
      <c r="AB1609" s="7">
        <f>VLOOKUP(A1609,Jogos!A:L,4,0)</f>
        <v>51</v>
      </c>
      <c r="AC1609" s="7">
        <f t="shared" si="5025"/>
        <v>0</v>
      </c>
      <c r="AD1609" s="7">
        <f>Jogos!$E$55-Jogos!$D$55-Jogos!$C$55</f>
        <v>34</v>
      </c>
      <c r="AE1609" s="7">
        <f t="shared" si="5026"/>
        <v>19</v>
      </c>
      <c r="AF1609" s="7">
        <f t="shared" si="4566"/>
        <v>19</v>
      </c>
      <c r="AG1609" s="7">
        <v>2422.0</v>
      </c>
      <c r="AH1609" s="7">
        <v>697.8</v>
      </c>
      <c r="AI1609" s="7">
        <v>826.1</v>
      </c>
      <c r="AJ1609" s="7">
        <v>499.1</v>
      </c>
      <c r="AK1609" s="7">
        <v>282.2</v>
      </c>
      <c r="AL1609" s="7">
        <v>116.8</v>
      </c>
      <c r="AM1609" s="7">
        <v>43.0</v>
      </c>
      <c r="AN1609" s="7">
        <v>20.0</v>
      </c>
      <c r="AO1609" s="7">
        <v>30.2</v>
      </c>
      <c r="AP1609" s="9">
        <f t="shared" ref="AP1609:AR1609" si="5046">AG1609/$AF1609</f>
        <v>127.4736842</v>
      </c>
      <c r="AQ1609" s="9">
        <f t="shared" si="5046"/>
        <v>36.72631579</v>
      </c>
      <c r="AR1609" s="9">
        <f t="shared" si="5046"/>
        <v>43.47894737</v>
      </c>
      <c r="AS1609" s="9">
        <f t="shared" si="4568"/>
        <v>80.20526316</v>
      </c>
      <c r="AT1609" s="9">
        <f t="shared" ref="AT1609:AV1609" si="5047">AJ1609/$AF1609</f>
        <v>26.26842105</v>
      </c>
      <c r="AU1609" s="9">
        <f t="shared" si="5047"/>
        <v>14.85263158</v>
      </c>
      <c r="AV1609" s="9">
        <f t="shared" si="5047"/>
        <v>6.147368421</v>
      </c>
      <c r="AW1609" s="9">
        <f t="shared" si="4570"/>
        <v>21</v>
      </c>
      <c r="AX1609" s="9">
        <f t="shared" ref="AX1609:AY1609" si="5048">AM1609/$AF1609</f>
        <v>2.263157895</v>
      </c>
      <c r="AY1609" s="9">
        <f t="shared" si="5048"/>
        <v>1.052631579</v>
      </c>
      <c r="AZ1609" s="9">
        <f>VLOOKUP(A1609,Jogos!A:BN,58,0)</f>
        <v>24.785</v>
      </c>
      <c r="BA1609" s="9">
        <f>VLOOKUP(A1609,Jogos!A:BN,59,0)</f>
        <v>22.48</v>
      </c>
      <c r="BB1609" s="9">
        <f>VLOOKUP(A1609,Jogos!A:BN,60,0)</f>
        <v>86.5</v>
      </c>
      <c r="BC1609" s="9">
        <f>VLOOKUP(A1609,Jogos!A:BN,61,0)</f>
        <v>22.745</v>
      </c>
      <c r="BD1609" s="9">
        <f>VLOOKUP(A1609,Jogos!A:BN,62,0)</f>
        <v>0</v>
      </c>
      <c r="BE1609" s="9">
        <f>VLOOKUP(A1609,Jogos!A:BN,63,0)</f>
        <v>2.06</v>
      </c>
      <c r="BF1609" s="9">
        <f>VLOOKUP(A1609,Jogos!A:BN,64,0)</f>
        <v>23.105</v>
      </c>
      <c r="BG1609" s="9">
        <f>VLOOKUP(A1609,Jogos!A:BN,65,0)</f>
        <v>39.23</v>
      </c>
      <c r="BH1609" s="9">
        <f>VLOOKUP(A1609,Jogos!A:BN,66,0)</f>
        <v>26.5</v>
      </c>
      <c r="BI1609" s="9"/>
      <c r="BJ1609" s="9"/>
    </row>
    <row r="1610" hidden="1">
      <c r="A1610" s="10">
        <v>54.0</v>
      </c>
      <c r="B1610" s="11" t="s">
        <v>1350</v>
      </c>
      <c r="C1610" s="2" t="s">
        <v>1351</v>
      </c>
      <c r="D1610" s="12">
        <v>45838.0</v>
      </c>
      <c r="E1610" s="13">
        <v>0.875</v>
      </c>
      <c r="F1610" s="5" t="str">
        <f>VLOOKUP(A1610,Jogos!A:N,10,0)</f>
        <v>Evening</v>
      </c>
      <c r="G1610" s="11" t="s">
        <v>1269</v>
      </c>
      <c r="H1610" s="6" t="str">
        <f>VLOOKUP(A1610,Jogos!A:L,12,0)</f>
        <v>Open</v>
      </c>
      <c r="I1610" s="6" t="str">
        <f>VLOOKUP(G1610,'Estádios e Cidades'!A:B,2,0)</f>
        <v>Orlando</v>
      </c>
      <c r="J1610" s="11" t="s">
        <v>874</v>
      </c>
      <c r="K1610" s="2" t="str">
        <f>VLOOKUP(J1610,Equipes!A:F,6,0)</f>
        <v>Tropical</v>
      </c>
      <c r="L1610" s="2">
        <f>VLOOKUP(J1610,Equipes!A:C,3,0)</f>
        <v>7</v>
      </c>
      <c r="M1610" s="2" t="str">
        <f t="shared" si="4"/>
        <v>Quarter-final</v>
      </c>
      <c r="N1610" s="11" t="s">
        <v>810</v>
      </c>
      <c r="O1610" s="2">
        <f>VLOOKUP(N1610,Equipes!A:C,3,0)</f>
        <v>9</v>
      </c>
      <c r="P1610" s="2" t="str">
        <f t="shared" si="5"/>
        <v>Round of 16</v>
      </c>
      <c r="Q1610" s="2">
        <f t="shared" si="6"/>
        <v>-2</v>
      </c>
      <c r="R1610" s="2" t="str">
        <f>VLOOKUP(J1610,Equipes!A:B,2,0)</f>
        <v>AlHilal</v>
      </c>
      <c r="S1610" s="6" t="s">
        <v>1374</v>
      </c>
      <c r="T1610" s="7">
        <v>27.0</v>
      </c>
      <c r="U1610" s="7" t="s">
        <v>1375</v>
      </c>
      <c r="V1610" s="7" t="s">
        <v>1311</v>
      </c>
      <c r="W1610" s="8">
        <f>VLOOKUP(U1610,Jogadores!B:D,3,0)</f>
        <v>21.4630137</v>
      </c>
      <c r="X1610" s="7">
        <v>64.0</v>
      </c>
      <c r="Y1610" s="7">
        <f t="shared" si="5042"/>
        <v>130</v>
      </c>
      <c r="Z1610" s="7">
        <f>VLOOKUP(A1610,Jogos!A:L,3,0)</f>
        <v>50</v>
      </c>
      <c r="AA1610" s="7">
        <f t="shared" si="4815"/>
        <v>0</v>
      </c>
      <c r="AB1610" s="7">
        <f>VLOOKUP(A1610,Jogos!A:L,4,0)</f>
        <v>51</v>
      </c>
      <c r="AC1610" s="7">
        <f t="shared" si="5025"/>
        <v>32</v>
      </c>
      <c r="AD1610" s="7">
        <f>Jogos!$E$55-Jogos!$D$55-Jogos!$C$55</f>
        <v>34</v>
      </c>
      <c r="AE1610" s="7">
        <f t="shared" si="5026"/>
        <v>34</v>
      </c>
      <c r="AF1610" s="7">
        <f t="shared" si="4566"/>
        <v>66</v>
      </c>
      <c r="AG1610" s="7">
        <v>7263.8</v>
      </c>
      <c r="AH1610" s="7">
        <v>2515.3</v>
      </c>
      <c r="AI1610" s="7">
        <v>2672.9</v>
      </c>
      <c r="AJ1610" s="7">
        <v>1198.5</v>
      </c>
      <c r="AK1610" s="7">
        <v>643.7</v>
      </c>
      <c r="AL1610" s="7">
        <v>233.4</v>
      </c>
      <c r="AM1610" s="7">
        <v>102.0</v>
      </c>
      <c r="AN1610" s="7">
        <v>53.0</v>
      </c>
      <c r="AO1610" s="7">
        <v>32.2</v>
      </c>
      <c r="AP1610" s="9">
        <f t="shared" ref="AP1610:AR1610" si="5049">AG1610/$AF1610</f>
        <v>110.0575758</v>
      </c>
      <c r="AQ1610" s="9">
        <f t="shared" si="5049"/>
        <v>38.11060606</v>
      </c>
      <c r="AR1610" s="9">
        <f t="shared" si="5049"/>
        <v>40.49848485</v>
      </c>
      <c r="AS1610" s="9">
        <f t="shared" si="4568"/>
        <v>78.60909091</v>
      </c>
      <c r="AT1610" s="9">
        <f t="shared" ref="AT1610:AV1610" si="5050">AJ1610/$AF1610</f>
        <v>18.15909091</v>
      </c>
      <c r="AU1610" s="9">
        <f t="shared" si="5050"/>
        <v>9.753030303</v>
      </c>
      <c r="AV1610" s="9">
        <f t="shared" si="5050"/>
        <v>3.536363636</v>
      </c>
      <c r="AW1610" s="9">
        <f t="shared" si="4570"/>
        <v>13.28939394</v>
      </c>
      <c r="AX1610" s="9">
        <f t="shared" ref="AX1610:AY1610" si="5051">AM1610/$AF1610</f>
        <v>1.545454545</v>
      </c>
      <c r="AY1610" s="9">
        <f t="shared" si="5051"/>
        <v>0.803030303</v>
      </c>
      <c r="AZ1610" s="9">
        <f>VLOOKUP(A1610,Jogos!A:BN,58,0)</f>
        <v>24.785</v>
      </c>
      <c r="BA1610" s="9">
        <f>VLOOKUP(A1610,Jogos!A:BN,59,0)</f>
        <v>22.48</v>
      </c>
      <c r="BB1610" s="9">
        <f>VLOOKUP(A1610,Jogos!A:BN,60,0)</f>
        <v>86.5</v>
      </c>
      <c r="BC1610" s="9">
        <f>VLOOKUP(A1610,Jogos!A:BN,61,0)</f>
        <v>22.745</v>
      </c>
      <c r="BD1610" s="9">
        <f>VLOOKUP(A1610,Jogos!A:BN,62,0)</f>
        <v>0</v>
      </c>
      <c r="BE1610" s="9">
        <f>VLOOKUP(A1610,Jogos!A:BN,63,0)</f>
        <v>2.06</v>
      </c>
      <c r="BF1610" s="9">
        <f>VLOOKUP(A1610,Jogos!A:BN,64,0)</f>
        <v>23.105</v>
      </c>
      <c r="BG1610" s="9">
        <f>VLOOKUP(A1610,Jogos!A:BN,65,0)</f>
        <v>39.23</v>
      </c>
      <c r="BH1610" s="9">
        <f>VLOOKUP(A1610,Jogos!A:BN,66,0)</f>
        <v>26.5</v>
      </c>
      <c r="BI1610" s="9"/>
      <c r="BJ1610" s="9"/>
    </row>
    <row r="1611" hidden="1">
      <c r="A1611" s="10">
        <v>54.0</v>
      </c>
      <c r="B1611" s="11" t="s">
        <v>1350</v>
      </c>
      <c r="C1611" s="2" t="s">
        <v>1351</v>
      </c>
      <c r="D1611" s="12">
        <v>45838.0</v>
      </c>
      <c r="E1611" s="13">
        <v>0.875</v>
      </c>
      <c r="F1611" s="5" t="str">
        <f>VLOOKUP(A1611,Jogos!A:N,10,0)</f>
        <v>Evening</v>
      </c>
      <c r="G1611" s="11" t="s">
        <v>1269</v>
      </c>
      <c r="H1611" s="6" t="str">
        <f>VLOOKUP(A1611,Jogos!A:L,12,0)</f>
        <v>Open</v>
      </c>
      <c r="I1611" s="6" t="str">
        <f>VLOOKUP(G1611,'Estádios e Cidades'!A:B,2,0)</f>
        <v>Orlando</v>
      </c>
      <c r="J1611" s="11" t="s">
        <v>874</v>
      </c>
      <c r="K1611" s="2" t="str">
        <f>VLOOKUP(J1611,Equipes!A:F,6,0)</f>
        <v>Tropical</v>
      </c>
      <c r="L1611" s="2">
        <f>VLOOKUP(J1611,Equipes!A:C,3,0)</f>
        <v>7</v>
      </c>
      <c r="M1611" s="2" t="str">
        <f t="shared" si="4"/>
        <v>Quarter-final</v>
      </c>
      <c r="N1611" s="11" t="s">
        <v>810</v>
      </c>
      <c r="O1611" s="2">
        <f>VLOOKUP(N1611,Equipes!A:C,3,0)</f>
        <v>9</v>
      </c>
      <c r="P1611" s="2" t="str">
        <f t="shared" si="5"/>
        <v>Round of 16</v>
      </c>
      <c r="Q1611" s="2">
        <f t="shared" si="6"/>
        <v>-2</v>
      </c>
      <c r="R1611" s="2" t="str">
        <f>VLOOKUP(J1611,Equipes!A:B,2,0)</f>
        <v>AlHilal</v>
      </c>
      <c r="S1611" s="6" t="s">
        <v>1214</v>
      </c>
      <c r="T1611" s="7">
        <v>78.0</v>
      </c>
      <c r="U1611" s="7" t="s">
        <v>1215</v>
      </c>
      <c r="V1611" s="7" t="str">
        <f>VLOOKUP(U1611,Jogadores!B:C,2,0)</f>
        <v>DF</v>
      </c>
      <c r="W1611" s="8">
        <f>VLOOKUP(U1611,Jogadores!B:D,3,0)</f>
        <v>29.27945205</v>
      </c>
      <c r="X1611" s="7">
        <v>83.0</v>
      </c>
      <c r="Y1611" s="7">
        <f t="shared" si="5042"/>
        <v>130</v>
      </c>
      <c r="Z1611" s="7">
        <f>VLOOKUP(A1611,Jogos!A:L,3,0)</f>
        <v>50</v>
      </c>
      <c r="AA1611" s="7">
        <f t="shared" si="4815"/>
        <v>0</v>
      </c>
      <c r="AB1611" s="7">
        <f>VLOOKUP(A1611,Jogos!A:L,4,0)</f>
        <v>51</v>
      </c>
      <c r="AC1611" s="7">
        <f t="shared" si="5025"/>
        <v>13</v>
      </c>
      <c r="AD1611" s="7">
        <f>Jogos!$E$55-Jogos!$D$55-Jogos!$C$55</f>
        <v>34</v>
      </c>
      <c r="AE1611" s="7">
        <f t="shared" si="5026"/>
        <v>34</v>
      </c>
      <c r="AF1611" s="7">
        <f t="shared" si="4566"/>
        <v>47</v>
      </c>
      <c r="AG1611" s="7">
        <v>4725.9</v>
      </c>
      <c r="AH1611" s="7">
        <v>2105.1</v>
      </c>
      <c r="AI1611" s="7">
        <v>2110.4</v>
      </c>
      <c r="AJ1611" s="7">
        <v>368.6</v>
      </c>
      <c r="AK1611" s="7">
        <v>86.8</v>
      </c>
      <c r="AL1611" s="7">
        <v>55.0</v>
      </c>
      <c r="AM1611" s="7">
        <v>31.0</v>
      </c>
      <c r="AN1611" s="7">
        <v>9.0</v>
      </c>
      <c r="AO1611" s="7">
        <v>32.4</v>
      </c>
      <c r="AP1611" s="9">
        <f t="shared" ref="AP1611:AR1611" si="5052">AG1611/$AF1611</f>
        <v>100.5510638</v>
      </c>
      <c r="AQ1611" s="9">
        <f t="shared" si="5052"/>
        <v>44.7893617</v>
      </c>
      <c r="AR1611" s="9">
        <f t="shared" si="5052"/>
        <v>44.90212766</v>
      </c>
      <c r="AS1611" s="9">
        <f t="shared" si="4568"/>
        <v>89.69148936</v>
      </c>
      <c r="AT1611" s="9">
        <f t="shared" ref="AT1611:AV1611" si="5053">AJ1611/$AF1611</f>
        <v>7.842553191</v>
      </c>
      <c r="AU1611" s="9">
        <f t="shared" si="5053"/>
        <v>1.846808511</v>
      </c>
      <c r="AV1611" s="9">
        <f t="shared" si="5053"/>
        <v>1.170212766</v>
      </c>
      <c r="AW1611" s="9">
        <f t="shared" si="4570"/>
        <v>3.017021277</v>
      </c>
      <c r="AX1611" s="9">
        <f t="shared" ref="AX1611:AY1611" si="5054">AM1611/$AF1611</f>
        <v>0.6595744681</v>
      </c>
      <c r="AY1611" s="9">
        <f t="shared" si="5054"/>
        <v>0.1914893617</v>
      </c>
      <c r="AZ1611" s="9">
        <f>VLOOKUP(A1611,Jogos!A:BN,58,0)</f>
        <v>24.785</v>
      </c>
      <c r="BA1611" s="9">
        <f>VLOOKUP(A1611,Jogos!A:BN,59,0)</f>
        <v>22.48</v>
      </c>
      <c r="BB1611" s="9">
        <f>VLOOKUP(A1611,Jogos!A:BN,60,0)</f>
        <v>86.5</v>
      </c>
      <c r="BC1611" s="9">
        <f>VLOOKUP(A1611,Jogos!A:BN,61,0)</f>
        <v>22.745</v>
      </c>
      <c r="BD1611" s="9">
        <f>VLOOKUP(A1611,Jogos!A:BN,62,0)</f>
        <v>0</v>
      </c>
      <c r="BE1611" s="9">
        <f>VLOOKUP(A1611,Jogos!A:BN,63,0)</f>
        <v>2.06</v>
      </c>
      <c r="BF1611" s="9">
        <f>VLOOKUP(A1611,Jogos!A:BN,64,0)</f>
        <v>23.105</v>
      </c>
      <c r="BG1611" s="9">
        <f>VLOOKUP(A1611,Jogos!A:BN,65,0)</f>
        <v>39.23</v>
      </c>
      <c r="BH1611" s="9">
        <f>VLOOKUP(A1611,Jogos!A:BN,66,0)</f>
        <v>26.5</v>
      </c>
      <c r="BI1611" s="9"/>
      <c r="BJ1611" s="9"/>
    </row>
    <row r="1612" hidden="1">
      <c r="A1612" s="10">
        <v>54.0</v>
      </c>
      <c r="B1612" s="11" t="s">
        <v>1350</v>
      </c>
      <c r="C1612" s="2" t="s">
        <v>1351</v>
      </c>
      <c r="D1612" s="12">
        <v>45838.0</v>
      </c>
      <c r="E1612" s="13">
        <v>0.875</v>
      </c>
      <c r="F1612" s="5" t="str">
        <f>VLOOKUP(A1612,Jogos!A:N,10,0)</f>
        <v>Evening</v>
      </c>
      <c r="G1612" s="11" t="s">
        <v>1269</v>
      </c>
      <c r="H1612" s="6" t="str">
        <f>VLOOKUP(A1612,Jogos!A:L,12,0)</f>
        <v>Open</v>
      </c>
      <c r="I1612" s="6" t="str">
        <f>VLOOKUP(G1612,'Estádios e Cidades'!A:B,2,0)</f>
        <v>Orlando</v>
      </c>
      <c r="J1612" s="11" t="s">
        <v>874</v>
      </c>
      <c r="K1612" s="2" t="str">
        <f>VLOOKUP(J1612,Equipes!A:F,6,0)</f>
        <v>Tropical</v>
      </c>
      <c r="L1612" s="2">
        <f>VLOOKUP(J1612,Equipes!A:C,3,0)</f>
        <v>7</v>
      </c>
      <c r="M1612" s="2" t="str">
        <f t="shared" si="4"/>
        <v>Quarter-final</v>
      </c>
      <c r="N1612" s="11" t="s">
        <v>810</v>
      </c>
      <c r="O1612" s="2">
        <f>VLOOKUP(N1612,Equipes!A:C,3,0)</f>
        <v>9</v>
      </c>
      <c r="P1612" s="2" t="str">
        <f t="shared" si="5"/>
        <v>Round of 16</v>
      </c>
      <c r="Q1612" s="2">
        <f t="shared" si="6"/>
        <v>-2</v>
      </c>
      <c r="R1612" s="2" t="str">
        <f>VLOOKUP(J1612,Equipes!A:B,2,0)</f>
        <v>AlHilal</v>
      </c>
      <c r="S1612" s="6" t="s">
        <v>933</v>
      </c>
      <c r="T1612" s="7">
        <v>88.0</v>
      </c>
      <c r="U1612" s="7" t="s">
        <v>934</v>
      </c>
      <c r="V1612" s="7" t="str">
        <f>VLOOKUP(U1612,Jogadores!B:C,2,0)</f>
        <v>DF</v>
      </c>
      <c r="W1612" s="8">
        <f>VLOOKUP(U1612,Jogadores!B:D,3,0)</f>
        <v>26.21643836</v>
      </c>
      <c r="X1612" s="7">
        <v>88.0</v>
      </c>
      <c r="Y1612" s="7">
        <f t="shared" si="5042"/>
        <v>130</v>
      </c>
      <c r="Z1612" s="7">
        <f>VLOOKUP(A1612,Jogos!A:L,3,0)</f>
        <v>50</v>
      </c>
      <c r="AA1612" s="7">
        <f t="shared" si="4815"/>
        <v>0</v>
      </c>
      <c r="AB1612" s="7">
        <f>VLOOKUP(A1612,Jogos!A:L,4,0)</f>
        <v>51</v>
      </c>
      <c r="AC1612" s="7">
        <f t="shared" si="5025"/>
        <v>8</v>
      </c>
      <c r="AD1612" s="7">
        <f>Jogos!$E$55-Jogos!$D$55-Jogos!$C$55</f>
        <v>34</v>
      </c>
      <c r="AE1612" s="7">
        <f t="shared" si="5026"/>
        <v>34</v>
      </c>
      <c r="AF1612" s="7">
        <f t="shared" si="4566"/>
        <v>42</v>
      </c>
      <c r="AG1612" s="7">
        <v>4590.8</v>
      </c>
      <c r="AH1612" s="7">
        <v>1630.2</v>
      </c>
      <c r="AI1612" s="7">
        <v>1961.1</v>
      </c>
      <c r="AJ1612" s="7">
        <v>547.6</v>
      </c>
      <c r="AK1612" s="7">
        <v>198.2</v>
      </c>
      <c r="AL1612" s="7">
        <v>253.7</v>
      </c>
      <c r="AM1612" s="7">
        <v>43.0</v>
      </c>
      <c r="AN1612" s="7">
        <v>22.0</v>
      </c>
      <c r="AO1612" s="7">
        <v>33.4</v>
      </c>
      <c r="AP1612" s="9">
        <f t="shared" ref="AP1612:AR1612" si="5055">AG1612/$AF1612</f>
        <v>109.3047619</v>
      </c>
      <c r="AQ1612" s="9">
        <f t="shared" si="5055"/>
        <v>38.81428571</v>
      </c>
      <c r="AR1612" s="9">
        <f t="shared" si="5055"/>
        <v>46.69285714</v>
      </c>
      <c r="AS1612" s="9">
        <f t="shared" si="4568"/>
        <v>85.50714286</v>
      </c>
      <c r="AT1612" s="9">
        <f t="shared" ref="AT1612:AV1612" si="5056">AJ1612/$AF1612</f>
        <v>13.03809524</v>
      </c>
      <c r="AU1612" s="9">
        <f t="shared" si="5056"/>
        <v>4.719047619</v>
      </c>
      <c r="AV1612" s="9">
        <f t="shared" si="5056"/>
        <v>6.04047619</v>
      </c>
      <c r="AW1612" s="9">
        <f t="shared" si="4570"/>
        <v>10.75952381</v>
      </c>
      <c r="AX1612" s="9">
        <f t="shared" ref="AX1612:AY1612" si="5057">AM1612/$AF1612</f>
        <v>1.023809524</v>
      </c>
      <c r="AY1612" s="9">
        <f t="shared" si="5057"/>
        <v>0.5238095238</v>
      </c>
      <c r="AZ1612" s="9">
        <f>VLOOKUP(A1612,Jogos!A:BN,58,0)</f>
        <v>24.785</v>
      </c>
      <c r="BA1612" s="9">
        <f>VLOOKUP(A1612,Jogos!A:BN,59,0)</f>
        <v>22.48</v>
      </c>
      <c r="BB1612" s="9">
        <f>VLOOKUP(A1612,Jogos!A:BN,60,0)</f>
        <v>86.5</v>
      </c>
      <c r="BC1612" s="9">
        <f>VLOOKUP(A1612,Jogos!A:BN,61,0)</f>
        <v>22.745</v>
      </c>
      <c r="BD1612" s="9">
        <f>VLOOKUP(A1612,Jogos!A:BN,62,0)</f>
        <v>0</v>
      </c>
      <c r="BE1612" s="9">
        <f>VLOOKUP(A1612,Jogos!A:BN,63,0)</f>
        <v>2.06</v>
      </c>
      <c r="BF1612" s="9">
        <f>VLOOKUP(A1612,Jogos!A:BN,64,0)</f>
        <v>23.105</v>
      </c>
      <c r="BG1612" s="9">
        <f>VLOOKUP(A1612,Jogos!A:BN,65,0)</f>
        <v>39.23</v>
      </c>
      <c r="BH1612" s="9">
        <f>VLOOKUP(A1612,Jogos!A:BN,66,0)</f>
        <v>26.5</v>
      </c>
      <c r="BI1612" s="9"/>
      <c r="BJ1612" s="9"/>
    </row>
    <row r="1613" hidden="1">
      <c r="A1613" s="2">
        <v>55.0</v>
      </c>
      <c r="B1613" s="2" t="s">
        <v>1350</v>
      </c>
      <c r="C1613" s="2" t="s">
        <v>1351</v>
      </c>
      <c r="D1613" s="3">
        <v>45839.0</v>
      </c>
      <c r="E1613" s="4">
        <v>0.625</v>
      </c>
      <c r="F1613" s="5" t="str">
        <f>VLOOKUP(A1613,Jogos!A:N,10,0)</f>
        <v>Afternoon</v>
      </c>
      <c r="G1613" s="2" t="s">
        <v>62</v>
      </c>
      <c r="H1613" s="6" t="str">
        <f>VLOOKUP(A1613,Jogos!A:L,12,0)</f>
        <v>Open</v>
      </c>
      <c r="I1613" s="6" t="str">
        <f>VLOOKUP(G1613,'Estádios e Cidades'!A:B,2,0)</f>
        <v>Miami Gardens - Flórida</v>
      </c>
      <c r="J1613" s="2" t="s">
        <v>873</v>
      </c>
      <c r="K1613" s="2" t="str">
        <f>VLOOKUP(J1613,Equipes!A:F,6,0)</f>
        <v>Temperate</v>
      </c>
      <c r="L1613" s="2">
        <f>VLOOKUP(J1613,Equipes!A:C,3,0)</f>
        <v>3</v>
      </c>
      <c r="M1613" s="2" t="str">
        <f t="shared" si="4"/>
        <v>Semi-final</v>
      </c>
      <c r="N1613" s="2" t="s">
        <v>999</v>
      </c>
      <c r="O1613" s="2">
        <f>VLOOKUP(N1613,Equipes!A:C,3,0)</f>
        <v>13</v>
      </c>
      <c r="P1613" s="2" t="str">
        <f t="shared" si="5"/>
        <v>Round of 16</v>
      </c>
      <c r="Q1613" s="2">
        <f t="shared" si="6"/>
        <v>-10</v>
      </c>
      <c r="R1613" s="2" t="str">
        <f>VLOOKUP(J1613,Equipes!A:B,2,0)</f>
        <v>Real</v>
      </c>
      <c r="S1613" s="6" t="s">
        <v>875</v>
      </c>
      <c r="T1613" s="7">
        <v>5.0</v>
      </c>
      <c r="U1613" s="7" t="s">
        <v>876</v>
      </c>
      <c r="V1613" s="7" t="str">
        <f>VLOOKUP(U1613,Jogadores!B:C,2,0)</f>
        <v>MF</v>
      </c>
      <c r="W1613" s="8">
        <f>VLOOKUP(U1613,Jogadores!B:D,3,0)</f>
        <v>22.09589041</v>
      </c>
      <c r="X1613" s="7">
        <v>0.0</v>
      </c>
      <c r="Y1613" s="7">
        <f t="shared" ref="Y1613:Y1614" si="5061">45+AB1613</f>
        <v>95</v>
      </c>
      <c r="Z1613" s="7">
        <f>VLOOKUP(A1613,Jogos!A:L,3,0)</f>
        <v>49</v>
      </c>
      <c r="AA1613" s="7">
        <f t="shared" si="4815"/>
        <v>49</v>
      </c>
      <c r="AB1613" s="7">
        <f>VLOOKUP(A1613,Jogos!A:L,4,0)</f>
        <v>50</v>
      </c>
      <c r="AC1613" s="7">
        <f t="shared" ref="AC1613:AC1873" si="5062">IF(X1613&lt;45,if(Y1613&lt;=45,0,Y1613-45),Y1613-X1613)</f>
        <v>50</v>
      </c>
      <c r="AD1613" s="7"/>
      <c r="AE1613" s="7"/>
      <c r="AF1613" s="7">
        <f t="shared" si="4566"/>
        <v>99</v>
      </c>
      <c r="AG1613" s="7">
        <v>10549.7</v>
      </c>
      <c r="AH1613" s="7">
        <v>4831.8</v>
      </c>
      <c r="AI1613" s="7">
        <v>3605.8</v>
      </c>
      <c r="AJ1613" s="7">
        <v>1381.8</v>
      </c>
      <c r="AK1613" s="7">
        <v>630.9</v>
      </c>
      <c r="AL1613" s="7">
        <v>99.6</v>
      </c>
      <c r="AM1613" s="7">
        <v>116.0</v>
      </c>
      <c r="AN1613" s="7">
        <v>45.0</v>
      </c>
      <c r="AO1613" s="7">
        <v>30.8</v>
      </c>
      <c r="AP1613" s="9">
        <f t="shared" ref="AP1613:AR1613" si="5058">AG1613/$AF1613</f>
        <v>106.5626263</v>
      </c>
      <c r="AQ1613" s="9">
        <f t="shared" si="5058"/>
        <v>48.80606061</v>
      </c>
      <c r="AR1613" s="9">
        <f t="shared" si="5058"/>
        <v>36.42222222</v>
      </c>
      <c r="AS1613" s="9">
        <f t="shared" si="4568"/>
        <v>85.22828283</v>
      </c>
      <c r="AT1613" s="9">
        <f t="shared" ref="AT1613:AV1613" si="5059">AJ1613/$AF1613</f>
        <v>13.95757576</v>
      </c>
      <c r="AU1613" s="9">
        <f t="shared" si="5059"/>
        <v>6.372727273</v>
      </c>
      <c r="AV1613" s="9">
        <f t="shared" si="5059"/>
        <v>1.006060606</v>
      </c>
      <c r="AW1613" s="9">
        <f t="shared" si="4570"/>
        <v>7.378787879</v>
      </c>
      <c r="AX1613" s="9">
        <f t="shared" ref="AX1613:AY1613" si="5060">AM1613/$AF1613</f>
        <v>1.171717172</v>
      </c>
      <c r="AY1613" s="9">
        <f t="shared" si="5060"/>
        <v>0.4545454545</v>
      </c>
      <c r="AZ1613" s="9">
        <f>VLOOKUP(A1613,Jogos!A:BN,58,0)</f>
        <v>31.125</v>
      </c>
      <c r="BA1613" s="9">
        <f>VLOOKUP(A1613,Jogos!A:BN,59,0)</f>
        <v>21.465</v>
      </c>
      <c r="BB1613" s="9">
        <f>VLOOKUP(A1613,Jogos!A:BN,60,0)</f>
        <v>56</v>
      </c>
      <c r="BC1613" s="9">
        <f>VLOOKUP(A1613,Jogos!A:BN,61,0)</f>
        <v>32.26</v>
      </c>
      <c r="BD1613" s="9">
        <f>VLOOKUP(A1613,Jogos!A:BN,62,0)</f>
        <v>592.4</v>
      </c>
      <c r="BE1613" s="9">
        <f>VLOOKUP(A1613,Jogos!A:BN,63,0)</f>
        <v>1.9</v>
      </c>
      <c r="BF1613" s="9">
        <f>VLOOKUP(A1613,Jogos!A:BN,64,0)</f>
        <v>25.37</v>
      </c>
      <c r="BG1613" s="9">
        <f>VLOOKUP(A1613,Jogos!A:BN,65,0)</f>
        <v>45.56</v>
      </c>
      <c r="BH1613" s="9">
        <f>VLOOKUP(A1613,Jogos!A:BN,66,0)</f>
        <v>29.98</v>
      </c>
      <c r="BI1613" s="9"/>
      <c r="BJ1613" s="9"/>
    </row>
    <row r="1614" hidden="1">
      <c r="A1614" s="2">
        <v>55.0</v>
      </c>
      <c r="B1614" s="2" t="s">
        <v>1350</v>
      </c>
      <c r="C1614" s="2" t="s">
        <v>1351</v>
      </c>
      <c r="D1614" s="3">
        <v>45839.0</v>
      </c>
      <c r="E1614" s="4">
        <v>0.625</v>
      </c>
      <c r="F1614" s="5" t="str">
        <f>VLOOKUP(A1614,Jogos!A:N,10,0)</f>
        <v>Afternoon</v>
      </c>
      <c r="G1614" s="2" t="s">
        <v>62</v>
      </c>
      <c r="H1614" s="6" t="str">
        <f>VLOOKUP(A1614,Jogos!A:L,12,0)</f>
        <v>Open</v>
      </c>
      <c r="I1614" s="6" t="str">
        <f>VLOOKUP(G1614,'Estádios e Cidades'!A:B,2,0)</f>
        <v>Miami Gardens - Flórida</v>
      </c>
      <c r="J1614" s="2" t="s">
        <v>873</v>
      </c>
      <c r="K1614" s="2" t="str">
        <f>VLOOKUP(J1614,Equipes!A:F,6,0)</f>
        <v>Temperate</v>
      </c>
      <c r="L1614" s="2">
        <f>VLOOKUP(J1614,Equipes!A:C,3,0)</f>
        <v>3</v>
      </c>
      <c r="M1614" s="2" t="str">
        <f t="shared" si="4"/>
        <v>Semi-final</v>
      </c>
      <c r="N1614" s="2" t="s">
        <v>999</v>
      </c>
      <c r="O1614" s="2">
        <f>VLOOKUP(N1614,Equipes!A:C,3,0)</f>
        <v>13</v>
      </c>
      <c r="P1614" s="2" t="str">
        <f t="shared" si="5"/>
        <v>Round of 16</v>
      </c>
      <c r="Q1614" s="2">
        <f t="shared" si="6"/>
        <v>-10</v>
      </c>
      <c r="R1614" s="2" t="str">
        <f>VLOOKUP(J1614,Equipes!A:B,2,0)</f>
        <v>Real</v>
      </c>
      <c r="S1614" s="6" t="s">
        <v>877</v>
      </c>
      <c r="T1614" s="7">
        <v>7.0</v>
      </c>
      <c r="U1614" s="7" t="s">
        <v>878</v>
      </c>
      <c r="V1614" s="7" t="str">
        <f>VLOOKUP(U1614,Jogadores!B:C,2,0)</f>
        <v>FW</v>
      </c>
      <c r="W1614" s="8">
        <f>VLOOKUP(U1614,Jogadores!B:D,3,0)</f>
        <v>25.06027397</v>
      </c>
      <c r="X1614" s="7">
        <v>0.0</v>
      </c>
      <c r="Y1614" s="7">
        <f t="shared" si="5061"/>
        <v>95</v>
      </c>
      <c r="Z1614" s="7">
        <f>VLOOKUP(A1614,Jogos!A:L,3,0)</f>
        <v>49</v>
      </c>
      <c r="AA1614" s="7">
        <f t="shared" si="4815"/>
        <v>49</v>
      </c>
      <c r="AB1614" s="7">
        <f>VLOOKUP(A1614,Jogos!A:L,4,0)</f>
        <v>50</v>
      </c>
      <c r="AC1614" s="7">
        <f t="shared" si="5062"/>
        <v>50</v>
      </c>
      <c r="AD1614" s="7"/>
      <c r="AE1614" s="7"/>
      <c r="AF1614" s="7">
        <f t="shared" si="4566"/>
        <v>99</v>
      </c>
      <c r="AG1614" s="7">
        <v>9694.2</v>
      </c>
      <c r="AH1614" s="7">
        <v>4965.2</v>
      </c>
      <c r="AI1614" s="7">
        <v>2577.6</v>
      </c>
      <c r="AJ1614" s="7">
        <v>1137.9</v>
      </c>
      <c r="AK1614" s="7">
        <v>639.9</v>
      </c>
      <c r="AL1614" s="7">
        <v>373.6</v>
      </c>
      <c r="AM1614" s="7">
        <v>107.0</v>
      </c>
      <c r="AN1614" s="7">
        <v>50.0</v>
      </c>
      <c r="AO1614" s="7">
        <v>33.2</v>
      </c>
      <c r="AP1614" s="9">
        <f t="shared" ref="AP1614:AR1614" si="5063">AG1614/$AF1614</f>
        <v>97.92121212</v>
      </c>
      <c r="AQ1614" s="9">
        <f t="shared" si="5063"/>
        <v>50.15353535</v>
      </c>
      <c r="AR1614" s="9">
        <f t="shared" si="5063"/>
        <v>26.03636364</v>
      </c>
      <c r="AS1614" s="9">
        <f t="shared" si="4568"/>
        <v>76.18989899</v>
      </c>
      <c r="AT1614" s="9">
        <f t="shared" ref="AT1614:AV1614" si="5064">AJ1614/$AF1614</f>
        <v>11.49393939</v>
      </c>
      <c r="AU1614" s="9">
        <f t="shared" si="5064"/>
        <v>6.463636364</v>
      </c>
      <c r="AV1614" s="9">
        <f t="shared" si="5064"/>
        <v>3.773737374</v>
      </c>
      <c r="AW1614" s="9">
        <f t="shared" si="4570"/>
        <v>10.23737374</v>
      </c>
      <c r="AX1614" s="9">
        <f t="shared" ref="AX1614:AY1614" si="5065">AM1614/$AF1614</f>
        <v>1.080808081</v>
      </c>
      <c r="AY1614" s="9">
        <f t="shared" si="5065"/>
        <v>0.5050505051</v>
      </c>
      <c r="AZ1614" s="9">
        <f>VLOOKUP(A1614,Jogos!A:BN,58,0)</f>
        <v>31.125</v>
      </c>
      <c r="BA1614" s="9">
        <f>VLOOKUP(A1614,Jogos!A:BN,59,0)</f>
        <v>21.465</v>
      </c>
      <c r="BB1614" s="9">
        <f>VLOOKUP(A1614,Jogos!A:BN,60,0)</f>
        <v>56</v>
      </c>
      <c r="BC1614" s="9">
        <f>VLOOKUP(A1614,Jogos!A:BN,61,0)</f>
        <v>32.26</v>
      </c>
      <c r="BD1614" s="9">
        <f>VLOOKUP(A1614,Jogos!A:BN,62,0)</f>
        <v>592.4</v>
      </c>
      <c r="BE1614" s="9">
        <f>VLOOKUP(A1614,Jogos!A:BN,63,0)</f>
        <v>1.9</v>
      </c>
      <c r="BF1614" s="9">
        <f>VLOOKUP(A1614,Jogos!A:BN,64,0)</f>
        <v>25.37</v>
      </c>
      <c r="BG1614" s="9">
        <f>VLOOKUP(A1614,Jogos!A:BN,65,0)</f>
        <v>45.56</v>
      </c>
      <c r="BH1614" s="9">
        <f>VLOOKUP(A1614,Jogos!A:BN,66,0)</f>
        <v>29.98</v>
      </c>
      <c r="BI1614" s="9"/>
      <c r="BJ1614" s="9"/>
    </row>
    <row r="1615" hidden="1">
      <c r="A1615" s="2">
        <v>55.0</v>
      </c>
      <c r="B1615" s="2" t="s">
        <v>1350</v>
      </c>
      <c r="C1615" s="2" t="s">
        <v>1351</v>
      </c>
      <c r="D1615" s="3">
        <v>45839.0</v>
      </c>
      <c r="E1615" s="4">
        <v>0.625</v>
      </c>
      <c r="F1615" s="5" t="str">
        <f>VLOOKUP(A1615,Jogos!A:N,10,0)</f>
        <v>Afternoon</v>
      </c>
      <c r="G1615" s="2" t="s">
        <v>62</v>
      </c>
      <c r="H1615" s="6" t="str">
        <f>VLOOKUP(A1615,Jogos!A:L,12,0)</f>
        <v>Open</v>
      </c>
      <c r="I1615" s="6" t="str">
        <f>VLOOKUP(G1615,'Estádios e Cidades'!A:B,2,0)</f>
        <v>Miami Gardens - Flórida</v>
      </c>
      <c r="J1615" s="2" t="s">
        <v>873</v>
      </c>
      <c r="K1615" s="2" t="str">
        <f>VLOOKUP(J1615,Equipes!A:F,6,0)</f>
        <v>Temperate</v>
      </c>
      <c r="L1615" s="2">
        <f>VLOOKUP(J1615,Equipes!A:C,3,0)</f>
        <v>3</v>
      </c>
      <c r="M1615" s="2" t="str">
        <f t="shared" si="4"/>
        <v>Semi-final</v>
      </c>
      <c r="N1615" s="2" t="s">
        <v>999</v>
      </c>
      <c r="O1615" s="2">
        <f>VLOOKUP(N1615,Equipes!A:C,3,0)</f>
        <v>13</v>
      </c>
      <c r="P1615" s="2" t="str">
        <f t="shared" si="5"/>
        <v>Round of 16</v>
      </c>
      <c r="Q1615" s="2">
        <f t="shared" si="6"/>
        <v>-10</v>
      </c>
      <c r="R1615" s="2" t="str">
        <f>VLOOKUP(J1615,Equipes!A:B,2,0)</f>
        <v>Real</v>
      </c>
      <c r="S1615" s="6" t="s">
        <v>879</v>
      </c>
      <c r="T1615" s="7">
        <v>8.0</v>
      </c>
      <c r="U1615" s="7" t="s">
        <v>880</v>
      </c>
      <c r="V1615" s="7" t="str">
        <f>VLOOKUP(U1615,Jogadores!B:C,2,0)</f>
        <v>MF</v>
      </c>
      <c r="W1615" s="8">
        <f>VLOOKUP(U1615,Jogadores!B:D,3,0)</f>
        <v>27.03561644</v>
      </c>
      <c r="X1615" s="7">
        <v>0.0</v>
      </c>
      <c r="Y1615" s="7">
        <v>90.0</v>
      </c>
      <c r="Z1615" s="7">
        <f>VLOOKUP(A1615,Jogos!A:L,3,0)</f>
        <v>49</v>
      </c>
      <c r="AA1615" s="7">
        <f t="shared" si="4815"/>
        <v>49</v>
      </c>
      <c r="AB1615" s="7">
        <f>VLOOKUP(A1615,Jogos!A:L,4,0)</f>
        <v>50</v>
      </c>
      <c r="AC1615" s="7">
        <f t="shared" si="5062"/>
        <v>45</v>
      </c>
      <c r="AD1615" s="7"/>
      <c r="AE1615" s="7"/>
      <c r="AF1615" s="7">
        <f t="shared" si="4566"/>
        <v>94</v>
      </c>
      <c r="AG1615" s="7">
        <v>10267.5</v>
      </c>
      <c r="AH1615" s="7">
        <v>3633.7</v>
      </c>
      <c r="AI1615" s="7">
        <v>4361.5</v>
      </c>
      <c r="AJ1615" s="7">
        <v>1070.1</v>
      </c>
      <c r="AK1615" s="7">
        <v>676.2</v>
      </c>
      <c r="AL1615" s="7">
        <v>526.0</v>
      </c>
      <c r="AM1615" s="7">
        <v>93.0</v>
      </c>
      <c r="AN1615" s="7">
        <v>52.0</v>
      </c>
      <c r="AO1615" s="7">
        <v>33.6</v>
      </c>
      <c r="AP1615" s="9">
        <f t="shared" ref="AP1615:AR1615" si="5066">AG1615/$AF1615</f>
        <v>109.2287234</v>
      </c>
      <c r="AQ1615" s="9">
        <f t="shared" si="5066"/>
        <v>38.65638298</v>
      </c>
      <c r="AR1615" s="9">
        <f t="shared" si="5066"/>
        <v>46.39893617</v>
      </c>
      <c r="AS1615" s="9">
        <f t="shared" si="4568"/>
        <v>85.05531915</v>
      </c>
      <c r="AT1615" s="9">
        <f t="shared" ref="AT1615:AV1615" si="5067">AJ1615/$AF1615</f>
        <v>11.38404255</v>
      </c>
      <c r="AU1615" s="9">
        <f t="shared" si="5067"/>
        <v>7.193617021</v>
      </c>
      <c r="AV1615" s="9">
        <f t="shared" si="5067"/>
        <v>5.595744681</v>
      </c>
      <c r="AW1615" s="9">
        <f t="shared" si="4570"/>
        <v>12.7893617</v>
      </c>
      <c r="AX1615" s="9">
        <f t="shared" ref="AX1615:AY1615" si="5068">AM1615/$AF1615</f>
        <v>0.9893617021</v>
      </c>
      <c r="AY1615" s="9">
        <f t="shared" si="5068"/>
        <v>0.5531914894</v>
      </c>
      <c r="AZ1615" s="9">
        <f>VLOOKUP(A1615,Jogos!A:BN,58,0)</f>
        <v>31.125</v>
      </c>
      <c r="BA1615" s="9">
        <f>VLOOKUP(A1615,Jogos!A:BN,59,0)</f>
        <v>21.465</v>
      </c>
      <c r="BB1615" s="9">
        <f>VLOOKUP(A1615,Jogos!A:BN,60,0)</f>
        <v>56</v>
      </c>
      <c r="BC1615" s="9">
        <f>VLOOKUP(A1615,Jogos!A:BN,61,0)</f>
        <v>32.26</v>
      </c>
      <c r="BD1615" s="9">
        <f>VLOOKUP(A1615,Jogos!A:BN,62,0)</f>
        <v>592.4</v>
      </c>
      <c r="BE1615" s="9">
        <f>VLOOKUP(A1615,Jogos!A:BN,63,0)</f>
        <v>1.9</v>
      </c>
      <c r="BF1615" s="9">
        <f>VLOOKUP(A1615,Jogos!A:BN,64,0)</f>
        <v>25.37</v>
      </c>
      <c r="BG1615" s="9">
        <f>VLOOKUP(A1615,Jogos!A:BN,65,0)</f>
        <v>45.56</v>
      </c>
      <c r="BH1615" s="9">
        <f>VLOOKUP(A1615,Jogos!A:BN,66,0)</f>
        <v>29.98</v>
      </c>
      <c r="BI1615" s="9"/>
      <c r="BJ1615" s="9"/>
    </row>
    <row r="1616" hidden="1">
      <c r="A1616" s="2">
        <v>55.0</v>
      </c>
      <c r="B1616" s="2" t="s">
        <v>1350</v>
      </c>
      <c r="C1616" s="2" t="s">
        <v>1351</v>
      </c>
      <c r="D1616" s="3">
        <v>45839.0</v>
      </c>
      <c r="E1616" s="4">
        <v>0.625</v>
      </c>
      <c r="F1616" s="5" t="str">
        <f>VLOOKUP(A1616,Jogos!A:N,10,0)</f>
        <v>Afternoon</v>
      </c>
      <c r="G1616" s="2" t="s">
        <v>62</v>
      </c>
      <c r="H1616" s="6" t="str">
        <f>VLOOKUP(A1616,Jogos!A:L,12,0)</f>
        <v>Open</v>
      </c>
      <c r="I1616" s="6" t="str">
        <f>VLOOKUP(G1616,'Estádios e Cidades'!A:B,2,0)</f>
        <v>Miami Gardens - Flórida</v>
      </c>
      <c r="J1616" s="2" t="s">
        <v>873</v>
      </c>
      <c r="K1616" s="2" t="str">
        <f>VLOOKUP(J1616,Equipes!A:F,6,0)</f>
        <v>Temperate</v>
      </c>
      <c r="L1616" s="2">
        <f>VLOOKUP(J1616,Equipes!A:C,3,0)</f>
        <v>3</v>
      </c>
      <c r="M1616" s="2" t="str">
        <f t="shared" si="4"/>
        <v>Semi-final</v>
      </c>
      <c r="N1616" s="2" t="s">
        <v>999</v>
      </c>
      <c r="O1616" s="2">
        <f>VLOOKUP(N1616,Equipes!A:C,3,0)</f>
        <v>13</v>
      </c>
      <c r="P1616" s="2" t="str">
        <f t="shared" si="5"/>
        <v>Round of 16</v>
      </c>
      <c r="Q1616" s="2">
        <f t="shared" si="6"/>
        <v>-10</v>
      </c>
      <c r="R1616" s="2" t="str">
        <f>VLOOKUP(J1616,Equipes!A:B,2,0)</f>
        <v>Real</v>
      </c>
      <c r="S1616" s="6" t="s">
        <v>883</v>
      </c>
      <c r="T1616" s="7">
        <v>12.0</v>
      </c>
      <c r="U1616" s="7" t="s">
        <v>884</v>
      </c>
      <c r="V1616" s="7" t="str">
        <f>VLOOKUP(U1616,Jogadores!B:C,2,0)</f>
        <v>DF</v>
      </c>
      <c r="W1616" s="8">
        <f>VLOOKUP(U1616,Jogadores!B:D,3,0)</f>
        <v>26.82465753</v>
      </c>
      <c r="X1616" s="7">
        <v>0.0</v>
      </c>
      <c r="Y1616" s="7">
        <f t="shared" ref="Y1616:Y1617" si="5072">45+AB1616</f>
        <v>95</v>
      </c>
      <c r="Z1616" s="7">
        <f>VLOOKUP(A1616,Jogos!A:L,3,0)</f>
        <v>49</v>
      </c>
      <c r="AA1616" s="7">
        <f t="shared" si="4815"/>
        <v>49</v>
      </c>
      <c r="AB1616" s="7">
        <f>VLOOKUP(A1616,Jogos!A:L,4,0)</f>
        <v>50</v>
      </c>
      <c r="AC1616" s="7">
        <f t="shared" si="5062"/>
        <v>50</v>
      </c>
      <c r="AD1616" s="7"/>
      <c r="AE1616" s="7"/>
      <c r="AF1616" s="7">
        <f t="shared" si="4566"/>
        <v>99</v>
      </c>
      <c r="AG1616" s="7">
        <v>9920.8</v>
      </c>
      <c r="AH1616" s="7">
        <v>4279.3</v>
      </c>
      <c r="AI1616" s="7">
        <v>4345.2</v>
      </c>
      <c r="AJ1616" s="7">
        <v>893.3</v>
      </c>
      <c r="AK1616" s="7">
        <v>297.3</v>
      </c>
      <c r="AL1616" s="7">
        <v>105.8</v>
      </c>
      <c r="AM1616" s="7">
        <v>82.0</v>
      </c>
      <c r="AN1616" s="7">
        <v>24.0</v>
      </c>
      <c r="AO1616" s="7">
        <v>33.4</v>
      </c>
      <c r="AP1616" s="9">
        <f t="shared" ref="AP1616:AR1616" si="5069">AG1616/$AF1616</f>
        <v>100.210101</v>
      </c>
      <c r="AQ1616" s="9">
        <f t="shared" si="5069"/>
        <v>43.22525253</v>
      </c>
      <c r="AR1616" s="9">
        <f t="shared" si="5069"/>
        <v>43.89090909</v>
      </c>
      <c r="AS1616" s="9">
        <f t="shared" si="4568"/>
        <v>87.11616162</v>
      </c>
      <c r="AT1616" s="9">
        <f t="shared" ref="AT1616:AV1616" si="5070">AJ1616/$AF1616</f>
        <v>9.023232323</v>
      </c>
      <c r="AU1616" s="9">
        <f t="shared" si="5070"/>
        <v>3.003030303</v>
      </c>
      <c r="AV1616" s="9">
        <f t="shared" si="5070"/>
        <v>1.068686869</v>
      </c>
      <c r="AW1616" s="9">
        <f t="shared" si="4570"/>
        <v>4.071717172</v>
      </c>
      <c r="AX1616" s="9">
        <f t="shared" ref="AX1616:AY1616" si="5071">AM1616/$AF1616</f>
        <v>0.8282828283</v>
      </c>
      <c r="AY1616" s="9">
        <f t="shared" si="5071"/>
        <v>0.2424242424</v>
      </c>
      <c r="AZ1616" s="9">
        <f>VLOOKUP(A1616,Jogos!A:BN,58,0)</f>
        <v>31.125</v>
      </c>
      <c r="BA1616" s="9">
        <f>VLOOKUP(A1616,Jogos!A:BN,59,0)</f>
        <v>21.465</v>
      </c>
      <c r="BB1616" s="9">
        <f>VLOOKUP(A1616,Jogos!A:BN,60,0)</f>
        <v>56</v>
      </c>
      <c r="BC1616" s="9">
        <f>VLOOKUP(A1616,Jogos!A:BN,61,0)</f>
        <v>32.26</v>
      </c>
      <c r="BD1616" s="9">
        <f>VLOOKUP(A1616,Jogos!A:BN,62,0)</f>
        <v>592.4</v>
      </c>
      <c r="BE1616" s="9">
        <f>VLOOKUP(A1616,Jogos!A:BN,63,0)</f>
        <v>1.9</v>
      </c>
      <c r="BF1616" s="9">
        <f>VLOOKUP(A1616,Jogos!A:BN,64,0)</f>
        <v>25.37</v>
      </c>
      <c r="BG1616" s="9">
        <f>VLOOKUP(A1616,Jogos!A:BN,65,0)</f>
        <v>45.56</v>
      </c>
      <c r="BH1616" s="9">
        <f>VLOOKUP(A1616,Jogos!A:BN,66,0)</f>
        <v>29.98</v>
      </c>
      <c r="BI1616" s="9"/>
      <c r="BJ1616" s="9"/>
    </row>
    <row r="1617" hidden="1">
      <c r="A1617" s="2">
        <v>55.0</v>
      </c>
      <c r="B1617" s="2" t="s">
        <v>1350</v>
      </c>
      <c r="C1617" s="2" t="s">
        <v>1351</v>
      </c>
      <c r="D1617" s="3">
        <v>45839.0</v>
      </c>
      <c r="E1617" s="4">
        <v>0.625</v>
      </c>
      <c r="F1617" s="5" t="str">
        <f>VLOOKUP(A1617,Jogos!A:N,10,0)</f>
        <v>Afternoon</v>
      </c>
      <c r="G1617" s="2" t="s">
        <v>62</v>
      </c>
      <c r="H1617" s="6" t="str">
        <f>VLOOKUP(A1617,Jogos!A:L,12,0)</f>
        <v>Open</v>
      </c>
      <c r="I1617" s="6" t="str">
        <f>VLOOKUP(G1617,'Estádios e Cidades'!A:B,2,0)</f>
        <v>Miami Gardens - Flórida</v>
      </c>
      <c r="J1617" s="2" t="s">
        <v>873</v>
      </c>
      <c r="K1617" s="2" t="str">
        <f>VLOOKUP(J1617,Equipes!A:F,6,0)</f>
        <v>Temperate</v>
      </c>
      <c r="L1617" s="2">
        <f>VLOOKUP(J1617,Equipes!A:C,3,0)</f>
        <v>3</v>
      </c>
      <c r="M1617" s="2" t="str">
        <f t="shared" si="4"/>
        <v>Semi-final</v>
      </c>
      <c r="N1617" s="2" t="s">
        <v>999</v>
      </c>
      <c r="O1617" s="2">
        <f>VLOOKUP(N1617,Equipes!A:C,3,0)</f>
        <v>13</v>
      </c>
      <c r="P1617" s="2" t="str">
        <f t="shared" si="5"/>
        <v>Round of 16</v>
      </c>
      <c r="Q1617" s="2">
        <f t="shared" si="6"/>
        <v>-10</v>
      </c>
      <c r="R1617" s="2" t="str">
        <f>VLOOKUP(J1617,Equipes!A:B,2,0)</f>
        <v>Real</v>
      </c>
      <c r="S1617" s="6" t="s">
        <v>885</v>
      </c>
      <c r="T1617" s="7">
        <v>14.0</v>
      </c>
      <c r="U1617" s="7" t="s">
        <v>886</v>
      </c>
      <c r="V1617" s="7" t="str">
        <f>VLOOKUP(U1617,Jogadores!B:C,2,0)</f>
        <v>MF</v>
      </c>
      <c r="W1617" s="8">
        <f>VLOOKUP(U1617,Jogadores!B:D,3,0)</f>
        <v>25.51780822</v>
      </c>
      <c r="X1617" s="7">
        <v>0.0</v>
      </c>
      <c r="Y1617" s="7">
        <f t="shared" si="5072"/>
        <v>95</v>
      </c>
      <c r="Z1617" s="7">
        <f>VLOOKUP(A1617,Jogos!A:L,3,0)</f>
        <v>49</v>
      </c>
      <c r="AA1617" s="7">
        <f t="shared" si="4815"/>
        <v>49</v>
      </c>
      <c r="AB1617" s="7">
        <f>VLOOKUP(A1617,Jogos!A:L,4,0)</f>
        <v>50</v>
      </c>
      <c r="AC1617" s="7">
        <f t="shared" si="5062"/>
        <v>50</v>
      </c>
      <c r="AD1617" s="7"/>
      <c r="AE1617" s="7"/>
      <c r="AF1617" s="7">
        <f t="shared" si="4566"/>
        <v>99</v>
      </c>
      <c r="AG1617" s="7">
        <v>10506.8</v>
      </c>
      <c r="AH1617" s="7">
        <v>4352.6</v>
      </c>
      <c r="AI1617" s="7">
        <v>4128.8</v>
      </c>
      <c r="AJ1617" s="7">
        <v>1524.9</v>
      </c>
      <c r="AK1617" s="7">
        <v>390.4</v>
      </c>
      <c r="AL1617" s="7">
        <v>110.1</v>
      </c>
      <c r="AM1617" s="7">
        <v>142.0</v>
      </c>
      <c r="AN1617" s="7">
        <v>33.0</v>
      </c>
      <c r="AO1617" s="7">
        <v>30.4</v>
      </c>
      <c r="AP1617" s="9">
        <f t="shared" ref="AP1617:AR1617" si="5073">AG1617/$AF1617</f>
        <v>106.1292929</v>
      </c>
      <c r="AQ1617" s="9">
        <f t="shared" si="5073"/>
        <v>43.96565657</v>
      </c>
      <c r="AR1617" s="9">
        <f t="shared" si="5073"/>
        <v>41.70505051</v>
      </c>
      <c r="AS1617" s="9">
        <f t="shared" si="4568"/>
        <v>85.67070707</v>
      </c>
      <c r="AT1617" s="9">
        <f t="shared" ref="AT1617:AV1617" si="5074">AJ1617/$AF1617</f>
        <v>15.4030303</v>
      </c>
      <c r="AU1617" s="9">
        <f t="shared" si="5074"/>
        <v>3.943434343</v>
      </c>
      <c r="AV1617" s="9">
        <f t="shared" si="5074"/>
        <v>1.112121212</v>
      </c>
      <c r="AW1617" s="9">
        <f t="shared" si="4570"/>
        <v>5.055555556</v>
      </c>
      <c r="AX1617" s="9">
        <f t="shared" ref="AX1617:AY1617" si="5075">AM1617/$AF1617</f>
        <v>1.434343434</v>
      </c>
      <c r="AY1617" s="9">
        <f t="shared" si="5075"/>
        <v>0.3333333333</v>
      </c>
      <c r="AZ1617" s="9">
        <f>VLOOKUP(A1617,Jogos!A:BN,58,0)</f>
        <v>31.125</v>
      </c>
      <c r="BA1617" s="9">
        <f>VLOOKUP(A1617,Jogos!A:BN,59,0)</f>
        <v>21.465</v>
      </c>
      <c r="BB1617" s="9">
        <f>VLOOKUP(A1617,Jogos!A:BN,60,0)</f>
        <v>56</v>
      </c>
      <c r="BC1617" s="9">
        <f>VLOOKUP(A1617,Jogos!A:BN,61,0)</f>
        <v>32.26</v>
      </c>
      <c r="BD1617" s="9">
        <f>VLOOKUP(A1617,Jogos!A:BN,62,0)</f>
        <v>592.4</v>
      </c>
      <c r="BE1617" s="9">
        <f>VLOOKUP(A1617,Jogos!A:BN,63,0)</f>
        <v>1.9</v>
      </c>
      <c r="BF1617" s="9">
        <f>VLOOKUP(A1617,Jogos!A:BN,64,0)</f>
        <v>25.37</v>
      </c>
      <c r="BG1617" s="9">
        <f>VLOOKUP(A1617,Jogos!A:BN,65,0)</f>
        <v>45.56</v>
      </c>
      <c r="BH1617" s="9">
        <f>VLOOKUP(A1617,Jogos!A:BN,66,0)</f>
        <v>29.98</v>
      </c>
      <c r="BI1617" s="9"/>
      <c r="BJ1617" s="9"/>
    </row>
    <row r="1618" hidden="1">
      <c r="A1618" s="2">
        <v>55.0</v>
      </c>
      <c r="B1618" s="2" t="s">
        <v>1350</v>
      </c>
      <c r="C1618" s="2" t="s">
        <v>1351</v>
      </c>
      <c r="D1618" s="3">
        <v>45839.0</v>
      </c>
      <c r="E1618" s="4">
        <v>0.625</v>
      </c>
      <c r="F1618" s="5" t="str">
        <f>VLOOKUP(A1618,Jogos!A:N,10,0)</f>
        <v>Afternoon</v>
      </c>
      <c r="G1618" s="2" t="s">
        <v>62</v>
      </c>
      <c r="H1618" s="6" t="str">
        <f>VLOOKUP(A1618,Jogos!A:L,12,0)</f>
        <v>Open</v>
      </c>
      <c r="I1618" s="6" t="str">
        <f>VLOOKUP(G1618,'Estádios e Cidades'!A:B,2,0)</f>
        <v>Miami Gardens - Flórida</v>
      </c>
      <c r="J1618" s="2" t="s">
        <v>873</v>
      </c>
      <c r="K1618" s="2" t="str">
        <f>VLOOKUP(J1618,Equipes!A:F,6,0)</f>
        <v>Temperate</v>
      </c>
      <c r="L1618" s="2">
        <f>VLOOKUP(J1618,Equipes!A:C,3,0)</f>
        <v>3</v>
      </c>
      <c r="M1618" s="2" t="str">
        <f t="shared" si="4"/>
        <v>Semi-final</v>
      </c>
      <c r="N1618" s="2" t="s">
        <v>999</v>
      </c>
      <c r="O1618" s="2">
        <f>VLOOKUP(N1618,Equipes!A:C,3,0)</f>
        <v>13</v>
      </c>
      <c r="P1618" s="2" t="str">
        <f t="shared" si="5"/>
        <v>Round of 16</v>
      </c>
      <c r="Q1618" s="2">
        <f t="shared" si="6"/>
        <v>-10</v>
      </c>
      <c r="R1618" s="2" t="str">
        <f>VLOOKUP(J1618,Equipes!A:B,2,0)</f>
        <v>Real</v>
      </c>
      <c r="S1618" s="6" t="s">
        <v>897</v>
      </c>
      <c r="T1618" s="7">
        <v>15.0</v>
      </c>
      <c r="U1618" s="7" t="s">
        <v>898</v>
      </c>
      <c r="V1618" s="7" t="str">
        <f>VLOOKUP(U1618,Jogadores!B:C,2,0)</f>
        <v>MF</v>
      </c>
      <c r="W1618" s="8">
        <f>VLOOKUP(U1618,Jogadores!B:D,3,0)</f>
        <v>20.43287671</v>
      </c>
      <c r="X1618" s="7">
        <v>0.0</v>
      </c>
      <c r="Y1618" s="7">
        <v>78.0</v>
      </c>
      <c r="Z1618" s="7">
        <f>VLOOKUP(A1618,Jogos!A:L,3,0)</f>
        <v>49</v>
      </c>
      <c r="AA1618" s="7">
        <f t="shared" si="4815"/>
        <v>49</v>
      </c>
      <c r="AB1618" s="7">
        <f>VLOOKUP(A1618,Jogos!A:L,4,0)</f>
        <v>50</v>
      </c>
      <c r="AC1618" s="7">
        <f t="shared" si="5062"/>
        <v>33</v>
      </c>
      <c r="AD1618" s="7"/>
      <c r="AE1618" s="7"/>
      <c r="AF1618" s="7">
        <f t="shared" si="4566"/>
        <v>82</v>
      </c>
      <c r="AG1618" s="7">
        <v>9772.2</v>
      </c>
      <c r="AH1618" s="7">
        <v>2993.4</v>
      </c>
      <c r="AI1618" s="7">
        <v>4730.3</v>
      </c>
      <c r="AJ1618" s="7">
        <v>1448.8</v>
      </c>
      <c r="AK1618" s="7">
        <v>419.0</v>
      </c>
      <c r="AL1618" s="7">
        <v>180.8</v>
      </c>
      <c r="AM1618" s="7">
        <v>117.0</v>
      </c>
      <c r="AN1618" s="7">
        <v>30.0</v>
      </c>
      <c r="AO1618" s="7">
        <v>32.5</v>
      </c>
      <c r="AP1618" s="9">
        <f t="shared" ref="AP1618:AR1618" si="5076">AG1618/$AF1618</f>
        <v>119.1731707</v>
      </c>
      <c r="AQ1618" s="9">
        <f t="shared" si="5076"/>
        <v>36.50487805</v>
      </c>
      <c r="AR1618" s="9">
        <f t="shared" si="5076"/>
        <v>57.68658537</v>
      </c>
      <c r="AS1618" s="9">
        <f t="shared" si="4568"/>
        <v>94.19146341</v>
      </c>
      <c r="AT1618" s="9">
        <f t="shared" ref="AT1618:AV1618" si="5077">AJ1618/$AF1618</f>
        <v>17.66829268</v>
      </c>
      <c r="AU1618" s="9">
        <f t="shared" si="5077"/>
        <v>5.109756098</v>
      </c>
      <c r="AV1618" s="9">
        <f t="shared" si="5077"/>
        <v>2.204878049</v>
      </c>
      <c r="AW1618" s="9">
        <f t="shared" si="4570"/>
        <v>7.314634146</v>
      </c>
      <c r="AX1618" s="9">
        <f t="shared" ref="AX1618:AY1618" si="5078">AM1618/$AF1618</f>
        <v>1.426829268</v>
      </c>
      <c r="AY1618" s="9">
        <f t="shared" si="5078"/>
        <v>0.3658536585</v>
      </c>
      <c r="AZ1618" s="9">
        <f>VLOOKUP(A1618,Jogos!A:BN,58,0)</f>
        <v>31.125</v>
      </c>
      <c r="BA1618" s="9">
        <f>VLOOKUP(A1618,Jogos!A:BN,59,0)</f>
        <v>21.465</v>
      </c>
      <c r="BB1618" s="9">
        <f>VLOOKUP(A1618,Jogos!A:BN,60,0)</f>
        <v>56</v>
      </c>
      <c r="BC1618" s="9">
        <f>VLOOKUP(A1618,Jogos!A:BN,61,0)</f>
        <v>32.26</v>
      </c>
      <c r="BD1618" s="9">
        <f>VLOOKUP(A1618,Jogos!A:BN,62,0)</f>
        <v>592.4</v>
      </c>
      <c r="BE1618" s="9">
        <f>VLOOKUP(A1618,Jogos!A:BN,63,0)</f>
        <v>1.9</v>
      </c>
      <c r="BF1618" s="9">
        <f>VLOOKUP(A1618,Jogos!A:BN,64,0)</f>
        <v>25.37</v>
      </c>
      <c r="BG1618" s="9">
        <f>VLOOKUP(A1618,Jogos!A:BN,65,0)</f>
        <v>45.56</v>
      </c>
      <c r="BH1618" s="9">
        <f>VLOOKUP(A1618,Jogos!A:BN,66,0)</f>
        <v>29.98</v>
      </c>
      <c r="BI1618" s="9"/>
      <c r="BJ1618" s="9"/>
    </row>
    <row r="1619" hidden="1">
      <c r="A1619" s="2">
        <v>55.0</v>
      </c>
      <c r="B1619" s="2" t="s">
        <v>1350</v>
      </c>
      <c r="C1619" s="2" t="s">
        <v>1351</v>
      </c>
      <c r="D1619" s="3">
        <v>45839.0</v>
      </c>
      <c r="E1619" s="4">
        <v>0.625</v>
      </c>
      <c r="F1619" s="5" t="str">
        <f>VLOOKUP(A1619,Jogos!A:N,10,0)</f>
        <v>Afternoon</v>
      </c>
      <c r="G1619" s="2" t="s">
        <v>62</v>
      </c>
      <c r="H1619" s="6" t="str">
        <f>VLOOKUP(A1619,Jogos!A:L,12,0)</f>
        <v>Open</v>
      </c>
      <c r="I1619" s="6" t="str">
        <f>VLOOKUP(G1619,'Estádios e Cidades'!A:B,2,0)</f>
        <v>Miami Gardens - Flórida</v>
      </c>
      <c r="J1619" s="2" t="s">
        <v>873</v>
      </c>
      <c r="K1619" s="2" t="str">
        <f>VLOOKUP(J1619,Equipes!A:F,6,0)</f>
        <v>Temperate</v>
      </c>
      <c r="L1619" s="2">
        <f>VLOOKUP(J1619,Equipes!A:C,3,0)</f>
        <v>3</v>
      </c>
      <c r="M1619" s="2" t="str">
        <f t="shared" si="4"/>
        <v>Semi-final</v>
      </c>
      <c r="N1619" s="2" t="s">
        <v>999</v>
      </c>
      <c r="O1619" s="2">
        <f>VLOOKUP(N1619,Equipes!A:C,3,0)</f>
        <v>13</v>
      </c>
      <c r="P1619" s="2" t="str">
        <f t="shared" si="5"/>
        <v>Round of 16</v>
      </c>
      <c r="Q1619" s="2">
        <f t="shared" si="6"/>
        <v>-10</v>
      </c>
      <c r="R1619" s="2" t="str">
        <f>VLOOKUP(J1619,Equipes!A:B,2,0)</f>
        <v>Real</v>
      </c>
      <c r="S1619" s="6" t="s">
        <v>887</v>
      </c>
      <c r="T1619" s="7">
        <v>20.0</v>
      </c>
      <c r="U1619" s="7" t="s">
        <v>888</v>
      </c>
      <c r="V1619" s="7" t="str">
        <f>VLOOKUP(U1619,Jogadores!B:C,2,0)</f>
        <v>DF</v>
      </c>
      <c r="W1619" s="8">
        <f>VLOOKUP(U1619,Jogadores!B:D,3,0)</f>
        <v>25.97260274</v>
      </c>
      <c r="X1619" s="7">
        <v>0.0</v>
      </c>
      <c r="Y1619" s="7">
        <f t="shared" ref="Y1619:Y1621" si="5082">45+AB1619</f>
        <v>95</v>
      </c>
      <c r="Z1619" s="7">
        <f>VLOOKUP(A1619,Jogos!A:L,3,0)</f>
        <v>49</v>
      </c>
      <c r="AA1619" s="7">
        <f t="shared" si="4815"/>
        <v>49</v>
      </c>
      <c r="AB1619" s="7">
        <f>VLOOKUP(A1619,Jogos!A:L,4,0)</f>
        <v>50</v>
      </c>
      <c r="AC1619" s="7">
        <f t="shared" si="5062"/>
        <v>50</v>
      </c>
      <c r="AD1619" s="7"/>
      <c r="AE1619" s="7"/>
      <c r="AF1619" s="7">
        <f t="shared" si="4566"/>
        <v>99</v>
      </c>
      <c r="AG1619" s="7">
        <v>10881.3</v>
      </c>
      <c r="AH1619" s="7">
        <v>4061.3</v>
      </c>
      <c r="AI1619" s="7">
        <v>4331.7</v>
      </c>
      <c r="AJ1619" s="7">
        <v>1423.1</v>
      </c>
      <c r="AK1619" s="7">
        <v>695.3</v>
      </c>
      <c r="AL1619" s="7">
        <v>370.0</v>
      </c>
      <c r="AM1619" s="7">
        <v>113.0</v>
      </c>
      <c r="AN1619" s="7">
        <v>59.0</v>
      </c>
      <c r="AO1619" s="7">
        <v>33.7</v>
      </c>
      <c r="AP1619" s="9">
        <f t="shared" ref="AP1619:AR1619" si="5079">AG1619/$AF1619</f>
        <v>109.9121212</v>
      </c>
      <c r="AQ1619" s="9">
        <f t="shared" si="5079"/>
        <v>41.02323232</v>
      </c>
      <c r="AR1619" s="9">
        <f t="shared" si="5079"/>
        <v>43.75454545</v>
      </c>
      <c r="AS1619" s="9">
        <f t="shared" si="4568"/>
        <v>84.77777778</v>
      </c>
      <c r="AT1619" s="9">
        <f t="shared" ref="AT1619:AV1619" si="5080">AJ1619/$AF1619</f>
        <v>14.37474747</v>
      </c>
      <c r="AU1619" s="9">
        <f t="shared" si="5080"/>
        <v>7.023232323</v>
      </c>
      <c r="AV1619" s="9">
        <f t="shared" si="5080"/>
        <v>3.737373737</v>
      </c>
      <c r="AW1619" s="9">
        <f t="shared" si="4570"/>
        <v>10.76060606</v>
      </c>
      <c r="AX1619" s="9">
        <f t="shared" ref="AX1619:AY1619" si="5081">AM1619/$AF1619</f>
        <v>1.141414141</v>
      </c>
      <c r="AY1619" s="9">
        <f t="shared" si="5081"/>
        <v>0.595959596</v>
      </c>
      <c r="AZ1619" s="9">
        <f>VLOOKUP(A1619,Jogos!A:BN,58,0)</f>
        <v>31.125</v>
      </c>
      <c r="BA1619" s="9">
        <f>VLOOKUP(A1619,Jogos!A:BN,59,0)</f>
        <v>21.465</v>
      </c>
      <c r="BB1619" s="9">
        <f>VLOOKUP(A1619,Jogos!A:BN,60,0)</f>
        <v>56</v>
      </c>
      <c r="BC1619" s="9">
        <f>VLOOKUP(A1619,Jogos!A:BN,61,0)</f>
        <v>32.26</v>
      </c>
      <c r="BD1619" s="9">
        <f>VLOOKUP(A1619,Jogos!A:BN,62,0)</f>
        <v>592.4</v>
      </c>
      <c r="BE1619" s="9">
        <f>VLOOKUP(A1619,Jogos!A:BN,63,0)</f>
        <v>1.9</v>
      </c>
      <c r="BF1619" s="9">
        <f>VLOOKUP(A1619,Jogos!A:BN,64,0)</f>
        <v>25.37</v>
      </c>
      <c r="BG1619" s="9">
        <f>VLOOKUP(A1619,Jogos!A:BN,65,0)</f>
        <v>45.56</v>
      </c>
      <c r="BH1619" s="9">
        <f>VLOOKUP(A1619,Jogos!A:BN,66,0)</f>
        <v>29.98</v>
      </c>
      <c r="BI1619" s="9"/>
      <c r="BJ1619" s="9"/>
    </row>
    <row r="1620" hidden="1">
      <c r="A1620" s="2">
        <v>55.0</v>
      </c>
      <c r="B1620" s="2" t="s">
        <v>1350</v>
      </c>
      <c r="C1620" s="2" t="s">
        <v>1351</v>
      </c>
      <c r="D1620" s="3">
        <v>45839.0</v>
      </c>
      <c r="E1620" s="4">
        <v>0.625</v>
      </c>
      <c r="F1620" s="5" t="str">
        <f>VLOOKUP(A1620,Jogos!A:N,10,0)</f>
        <v>Afternoon</v>
      </c>
      <c r="G1620" s="2" t="s">
        <v>62</v>
      </c>
      <c r="H1620" s="6" t="str">
        <f>VLOOKUP(A1620,Jogos!A:L,12,0)</f>
        <v>Open</v>
      </c>
      <c r="I1620" s="6" t="str">
        <f>VLOOKUP(G1620,'Estádios e Cidades'!A:B,2,0)</f>
        <v>Miami Gardens - Flórida</v>
      </c>
      <c r="J1620" s="2" t="s">
        <v>873</v>
      </c>
      <c r="K1620" s="2" t="str">
        <f>VLOOKUP(J1620,Equipes!A:F,6,0)</f>
        <v>Temperate</v>
      </c>
      <c r="L1620" s="2">
        <f>VLOOKUP(J1620,Equipes!A:C,3,0)</f>
        <v>3</v>
      </c>
      <c r="M1620" s="2" t="str">
        <f t="shared" si="4"/>
        <v>Semi-final</v>
      </c>
      <c r="N1620" s="2" t="s">
        <v>999</v>
      </c>
      <c r="O1620" s="2">
        <f>VLOOKUP(N1620,Equipes!A:C,3,0)</f>
        <v>13</v>
      </c>
      <c r="P1620" s="2" t="str">
        <f t="shared" si="5"/>
        <v>Round of 16</v>
      </c>
      <c r="Q1620" s="2">
        <f t="shared" si="6"/>
        <v>-10</v>
      </c>
      <c r="R1620" s="2" t="str">
        <f>VLOOKUP(J1620,Equipes!A:B,2,0)</f>
        <v>Real</v>
      </c>
      <c r="S1620" s="6" t="s">
        <v>1203</v>
      </c>
      <c r="T1620" s="7">
        <v>22.0</v>
      </c>
      <c r="U1620" s="7" t="s">
        <v>1204</v>
      </c>
      <c r="V1620" s="7" t="str">
        <f>VLOOKUP(U1620,Jogadores!B:C,2,0)</f>
        <v>DF</v>
      </c>
      <c r="W1620" s="8">
        <f>VLOOKUP(U1620,Jogadores!B:D,3,0)</f>
        <v>32.42465753</v>
      </c>
      <c r="X1620" s="7">
        <v>0.0</v>
      </c>
      <c r="Y1620" s="7">
        <f t="shared" si="5082"/>
        <v>95</v>
      </c>
      <c r="Z1620" s="7">
        <f>VLOOKUP(A1620,Jogos!A:L,3,0)</f>
        <v>49</v>
      </c>
      <c r="AA1620" s="7">
        <f t="shared" si="4815"/>
        <v>49</v>
      </c>
      <c r="AB1620" s="7">
        <f>VLOOKUP(A1620,Jogos!A:L,4,0)</f>
        <v>50</v>
      </c>
      <c r="AC1620" s="7">
        <f t="shared" si="5062"/>
        <v>50</v>
      </c>
      <c r="AD1620" s="7"/>
      <c r="AE1620" s="7"/>
      <c r="AF1620" s="7">
        <f t="shared" si="4566"/>
        <v>99</v>
      </c>
      <c r="AG1620" s="7">
        <v>9816.1</v>
      </c>
      <c r="AH1620" s="7">
        <v>4612.9</v>
      </c>
      <c r="AI1620" s="7">
        <v>3835.5</v>
      </c>
      <c r="AJ1620" s="7">
        <v>1005.8</v>
      </c>
      <c r="AK1620" s="7">
        <v>223.5</v>
      </c>
      <c r="AL1620" s="7">
        <v>138.4</v>
      </c>
      <c r="AM1620" s="7">
        <v>87.0</v>
      </c>
      <c r="AN1620" s="7">
        <v>19.0</v>
      </c>
      <c r="AO1620" s="7">
        <v>33.5</v>
      </c>
      <c r="AP1620" s="9">
        <f t="shared" ref="AP1620:AR1620" si="5083">AG1620/$AF1620</f>
        <v>99.15252525</v>
      </c>
      <c r="AQ1620" s="9">
        <f t="shared" si="5083"/>
        <v>46.59494949</v>
      </c>
      <c r="AR1620" s="9">
        <f t="shared" si="5083"/>
        <v>38.74242424</v>
      </c>
      <c r="AS1620" s="9">
        <f t="shared" si="4568"/>
        <v>85.33737374</v>
      </c>
      <c r="AT1620" s="9">
        <f t="shared" ref="AT1620:AV1620" si="5084">AJ1620/$AF1620</f>
        <v>10.15959596</v>
      </c>
      <c r="AU1620" s="9">
        <f t="shared" si="5084"/>
        <v>2.257575758</v>
      </c>
      <c r="AV1620" s="9">
        <f t="shared" si="5084"/>
        <v>1.397979798</v>
      </c>
      <c r="AW1620" s="9">
        <f t="shared" si="4570"/>
        <v>3.655555556</v>
      </c>
      <c r="AX1620" s="9">
        <f t="shared" ref="AX1620:AY1620" si="5085">AM1620/$AF1620</f>
        <v>0.8787878788</v>
      </c>
      <c r="AY1620" s="9">
        <f t="shared" si="5085"/>
        <v>0.1919191919</v>
      </c>
      <c r="AZ1620" s="9">
        <f>VLOOKUP(A1620,Jogos!A:BN,58,0)</f>
        <v>31.125</v>
      </c>
      <c r="BA1620" s="9">
        <f>VLOOKUP(A1620,Jogos!A:BN,59,0)</f>
        <v>21.465</v>
      </c>
      <c r="BB1620" s="9">
        <f>VLOOKUP(A1620,Jogos!A:BN,60,0)</f>
        <v>56</v>
      </c>
      <c r="BC1620" s="9">
        <f>VLOOKUP(A1620,Jogos!A:BN,61,0)</f>
        <v>32.26</v>
      </c>
      <c r="BD1620" s="9">
        <f>VLOOKUP(A1620,Jogos!A:BN,62,0)</f>
        <v>592.4</v>
      </c>
      <c r="BE1620" s="9">
        <f>VLOOKUP(A1620,Jogos!A:BN,63,0)</f>
        <v>1.9</v>
      </c>
      <c r="BF1620" s="9">
        <f>VLOOKUP(A1620,Jogos!A:BN,64,0)</f>
        <v>25.37</v>
      </c>
      <c r="BG1620" s="9">
        <f>VLOOKUP(A1620,Jogos!A:BN,65,0)</f>
        <v>45.56</v>
      </c>
      <c r="BH1620" s="9">
        <f>VLOOKUP(A1620,Jogos!A:BN,66,0)</f>
        <v>29.98</v>
      </c>
      <c r="BI1620" s="9"/>
      <c r="BJ1620" s="9"/>
    </row>
    <row r="1621" hidden="1">
      <c r="A1621" s="2">
        <v>55.0</v>
      </c>
      <c r="B1621" s="2" t="s">
        <v>1350</v>
      </c>
      <c r="C1621" s="2" t="s">
        <v>1351</v>
      </c>
      <c r="D1621" s="3">
        <v>45839.0</v>
      </c>
      <c r="E1621" s="4">
        <v>0.625</v>
      </c>
      <c r="F1621" s="5" t="str">
        <f>VLOOKUP(A1621,Jogos!A:N,10,0)</f>
        <v>Afternoon</v>
      </c>
      <c r="G1621" s="2" t="s">
        <v>62</v>
      </c>
      <c r="H1621" s="6" t="str">
        <f>VLOOKUP(A1621,Jogos!A:L,12,0)</f>
        <v>Open</v>
      </c>
      <c r="I1621" s="6" t="str">
        <f>VLOOKUP(G1621,'Estádios e Cidades'!A:B,2,0)</f>
        <v>Miami Gardens - Flórida</v>
      </c>
      <c r="J1621" s="2" t="s">
        <v>873</v>
      </c>
      <c r="K1621" s="2" t="str">
        <f>VLOOKUP(J1621,Equipes!A:F,6,0)</f>
        <v>Temperate</v>
      </c>
      <c r="L1621" s="2">
        <f>VLOOKUP(J1621,Equipes!A:C,3,0)</f>
        <v>3</v>
      </c>
      <c r="M1621" s="2" t="str">
        <f t="shared" si="4"/>
        <v>Semi-final</v>
      </c>
      <c r="N1621" s="2" t="s">
        <v>999</v>
      </c>
      <c r="O1621" s="2">
        <f>VLOOKUP(N1621,Equipes!A:C,3,0)</f>
        <v>13</v>
      </c>
      <c r="P1621" s="2" t="str">
        <f t="shared" si="5"/>
        <v>Round of 16</v>
      </c>
      <c r="Q1621" s="2">
        <f t="shared" si="6"/>
        <v>-10</v>
      </c>
      <c r="R1621" s="2" t="str">
        <f>VLOOKUP(J1621,Equipes!A:B,2,0)</f>
        <v>Real</v>
      </c>
      <c r="S1621" s="6" t="s">
        <v>889</v>
      </c>
      <c r="T1621" s="7">
        <v>24.0</v>
      </c>
      <c r="U1621" s="7" t="s">
        <v>890</v>
      </c>
      <c r="V1621" s="7" t="str">
        <f>VLOOKUP(U1621,Jogadores!B:C,2,0)</f>
        <v>DF</v>
      </c>
      <c r="W1621" s="8">
        <f>VLOOKUP(U1621,Jogadores!B:D,3,0)</f>
        <v>20.30136986</v>
      </c>
      <c r="X1621" s="7">
        <v>0.0</v>
      </c>
      <c r="Y1621" s="7">
        <f t="shared" si="5082"/>
        <v>95</v>
      </c>
      <c r="Z1621" s="7">
        <f>VLOOKUP(A1621,Jogos!A:L,3,0)</f>
        <v>49</v>
      </c>
      <c r="AA1621" s="7">
        <f t="shared" si="4815"/>
        <v>49</v>
      </c>
      <c r="AB1621" s="7">
        <f>VLOOKUP(A1621,Jogos!A:L,4,0)</f>
        <v>50</v>
      </c>
      <c r="AC1621" s="7">
        <f t="shared" si="5062"/>
        <v>50</v>
      </c>
      <c r="AD1621" s="7"/>
      <c r="AE1621" s="7"/>
      <c r="AF1621" s="7">
        <f t="shared" si="4566"/>
        <v>99</v>
      </c>
      <c r="AG1621" s="7">
        <v>10350.1</v>
      </c>
      <c r="AH1621" s="7">
        <v>4068.3</v>
      </c>
      <c r="AI1621" s="7">
        <v>4519.5</v>
      </c>
      <c r="AJ1621" s="7">
        <v>1213.8</v>
      </c>
      <c r="AK1621" s="7">
        <v>447.5</v>
      </c>
      <c r="AL1621" s="7">
        <v>101.2</v>
      </c>
      <c r="AM1621" s="7">
        <v>118.0</v>
      </c>
      <c r="AN1621" s="7">
        <v>38.0</v>
      </c>
      <c r="AO1621" s="7">
        <v>31.9</v>
      </c>
      <c r="AP1621" s="9">
        <f t="shared" ref="AP1621:AR1621" si="5086">AG1621/$AF1621</f>
        <v>104.5464646</v>
      </c>
      <c r="AQ1621" s="9">
        <f t="shared" si="5086"/>
        <v>41.09393939</v>
      </c>
      <c r="AR1621" s="9">
        <f t="shared" si="5086"/>
        <v>45.65151515</v>
      </c>
      <c r="AS1621" s="9">
        <f t="shared" si="4568"/>
        <v>86.74545455</v>
      </c>
      <c r="AT1621" s="9">
        <f t="shared" ref="AT1621:AV1621" si="5087">AJ1621/$AF1621</f>
        <v>12.26060606</v>
      </c>
      <c r="AU1621" s="9">
        <f t="shared" si="5087"/>
        <v>4.52020202</v>
      </c>
      <c r="AV1621" s="9">
        <f t="shared" si="5087"/>
        <v>1.022222222</v>
      </c>
      <c r="AW1621" s="9">
        <f t="shared" si="4570"/>
        <v>5.542424242</v>
      </c>
      <c r="AX1621" s="9">
        <f t="shared" ref="AX1621:AY1621" si="5088">AM1621/$AF1621</f>
        <v>1.191919192</v>
      </c>
      <c r="AY1621" s="9">
        <f t="shared" si="5088"/>
        <v>0.3838383838</v>
      </c>
      <c r="AZ1621" s="9">
        <f>VLOOKUP(A1621,Jogos!A:BN,58,0)</f>
        <v>31.125</v>
      </c>
      <c r="BA1621" s="9">
        <f>VLOOKUP(A1621,Jogos!A:BN,59,0)</f>
        <v>21.465</v>
      </c>
      <c r="BB1621" s="9">
        <f>VLOOKUP(A1621,Jogos!A:BN,60,0)</f>
        <v>56</v>
      </c>
      <c r="BC1621" s="9">
        <f>VLOOKUP(A1621,Jogos!A:BN,61,0)</f>
        <v>32.26</v>
      </c>
      <c r="BD1621" s="9">
        <f>VLOOKUP(A1621,Jogos!A:BN,62,0)</f>
        <v>592.4</v>
      </c>
      <c r="BE1621" s="9">
        <f>VLOOKUP(A1621,Jogos!A:BN,63,0)</f>
        <v>1.9</v>
      </c>
      <c r="BF1621" s="9">
        <f>VLOOKUP(A1621,Jogos!A:BN,64,0)</f>
        <v>25.37</v>
      </c>
      <c r="BG1621" s="9">
        <f>VLOOKUP(A1621,Jogos!A:BN,65,0)</f>
        <v>45.56</v>
      </c>
      <c r="BH1621" s="9">
        <f>VLOOKUP(A1621,Jogos!A:BN,66,0)</f>
        <v>29.98</v>
      </c>
      <c r="BI1621" s="9"/>
      <c r="BJ1621" s="9"/>
    </row>
    <row r="1622" hidden="1">
      <c r="A1622" s="2">
        <v>55.0</v>
      </c>
      <c r="B1622" s="2" t="s">
        <v>1350</v>
      </c>
      <c r="C1622" s="2" t="s">
        <v>1351</v>
      </c>
      <c r="D1622" s="3">
        <v>45839.0</v>
      </c>
      <c r="E1622" s="4">
        <v>0.625</v>
      </c>
      <c r="F1622" s="5" t="str">
        <f>VLOOKUP(A1622,Jogos!A:N,10,0)</f>
        <v>Afternoon</v>
      </c>
      <c r="G1622" s="2" t="s">
        <v>62</v>
      </c>
      <c r="H1622" s="6" t="str">
        <f>VLOOKUP(A1622,Jogos!A:L,12,0)</f>
        <v>Open</v>
      </c>
      <c r="I1622" s="6" t="str">
        <f>VLOOKUP(G1622,'Estádios e Cidades'!A:B,2,0)</f>
        <v>Miami Gardens - Flórida</v>
      </c>
      <c r="J1622" s="2" t="s">
        <v>873</v>
      </c>
      <c r="K1622" s="2" t="str">
        <f>VLOOKUP(J1622,Equipes!A:F,6,0)</f>
        <v>Temperate</v>
      </c>
      <c r="L1622" s="2">
        <f>VLOOKUP(J1622,Equipes!A:C,3,0)</f>
        <v>3</v>
      </c>
      <c r="M1622" s="2" t="str">
        <f t="shared" si="4"/>
        <v>Semi-final</v>
      </c>
      <c r="N1622" s="2" t="s">
        <v>999</v>
      </c>
      <c r="O1622" s="2">
        <f>VLOOKUP(N1622,Equipes!A:C,3,0)</f>
        <v>13</v>
      </c>
      <c r="P1622" s="2" t="str">
        <f t="shared" si="5"/>
        <v>Round of 16</v>
      </c>
      <c r="Q1622" s="2">
        <f t="shared" si="6"/>
        <v>-10</v>
      </c>
      <c r="R1622" s="2" t="str">
        <f>VLOOKUP(J1622,Equipes!A:B,2,0)</f>
        <v>Real</v>
      </c>
      <c r="S1622" s="6" t="s">
        <v>891</v>
      </c>
      <c r="T1622" s="7">
        <v>30.0</v>
      </c>
      <c r="U1622" s="7" t="s">
        <v>892</v>
      </c>
      <c r="V1622" s="7" t="str">
        <f>VLOOKUP(U1622,Jogadores!B:C,2,0)</f>
        <v>FW</v>
      </c>
      <c r="W1622" s="8">
        <f>VLOOKUP(U1622,Jogadores!B:D,3,0)</f>
        <v>21.35890411</v>
      </c>
      <c r="X1622" s="7">
        <v>0.0</v>
      </c>
      <c r="Y1622" s="7">
        <v>68.0</v>
      </c>
      <c r="Z1622" s="7">
        <f>VLOOKUP(A1622,Jogos!A:L,3,0)</f>
        <v>49</v>
      </c>
      <c r="AA1622" s="7">
        <f t="shared" si="4815"/>
        <v>49</v>
      </c>
      <c r="AB1622" s="7">
        <f>VLOOKUP(A1622,Jogos!A:L,4,0)</f>
        <v>50</v>
      </c>
      <c r="AC1622" s="7">
        <f t="shared" si="5062"/>
        <v>23</v>
      </c>
      <c r="AD1622" s="7"/>
      <c r="AE1622" s="7"/>
      <c r="AF1622" s="7">
        <f t="shared" si="4566"/>
        <v>72</v>
      </c>
      <c r="AG1622" s="7">
        <v>7974.8</v>
      </c>
      <c r="AH1622" s="7">
        <v>3435.7</v>
      </c>
      <c r="AI1622" s="7">
        <v>3003.5</v>
      </c>
      <c r="AJ1622" s="7">
        <v>878.5</v>
      </c>
      <c r="AK1622" s="7">
        <v>453.3</v>
      </c>
      <c r="AL1622" s="7">
        <v>203.8</v>
      </c>
      <c r="AM1622" s="7">
        <v>78.0</v>
      </c>
      <c r="AN1622" s="7">
        <v>39.0</v>
      </c>
      <c r="AO1622" s="7">
        <v>32.4</v>
      </c>
      <c r="AP1622" s="9">
        <f t="shared" ref="AP1622:AR1622" si="5089">AG1622/$AF1622</f>
        <v>110.7611111</v>
      </c>
      <c r="AQ1622" s="9">
        <f t="shared" si="5089"/>
        <v>47.71805556</v>
      </c>
      <c r="AR1622" s="9">
        <f t="shared" si="5089"/>
        <v>41.71527778</v>
      </c>
      <c r="AS1622" s="9">
        <f t="shared" si="4568"/>
        <v>89.43333333</v>
      </c>
      <c r="AT1622" s="9">
        <f t="shared" ref="AT1622:AV1622" si="5090">AJ1622/$AF1622</f>
        <v>12.20138889</v>
      </c>
      <c r="AU1622" s="9">
        <f t="shared" si="5090"/>
        <v>6.295833333</v>
      </c>
      <c r="AV1622" s="9">
        <f t="shared" si="5090"/>
        <v>2.830555556</v>
      </c>
      <c r="AW1622" s="9">
        <f t="shared" si="4570"/>
        <v>9.126388889</v>
      </c>
      <c r="AX1622" s="9">
        <f t="shared" ref="AX1622:AY1622" si="5091">AM1622/$AF1622</f>
        <v>1.083333333</v>
      </c>
      <c r="AY1622" s="9">
        <f t="shared" si="5091"/>
        <v>0.5416666667</v>
      </c>
      <c r="AZ1622" s="9">
        <f>VLOOKUP(A1622,Jogos!A:BN,58,0)</f>
        <v>31.125</v>
      </c>
      <c r="BA1622" s="9">
        <f>VLOOKUP(A1622,Jogos!A:BN,59,0)</f>
        <v>21.465</v>
      </c>
      <c r="BB1622" s="9">
        <f>VLOOKUP(A1622,Jogos!A:BN,60,0)</f>
        <v>56</v>
      </c>
      <c r="BC1622" s="9">
        <f>VLOOKUP(A1622,Jogos!A:BN,61,0)</f>
        <v>32.26</v>
      </c>
      <c r="BD1622" s="9">
        <f>VLOOKUP(A1622,Jogos!A:BN,62,0)</f>
        <v>592.4</v>
      </c>
      <c r="BE1622" s="9">
        <f>VLOOKUP(A1622,Jogos!A:BN,63,0)</f>
        <v>1.9</v>
      </c>
      <c r="BF1622" s="9">
        <f>VLOOKUP(A1622,Jogos!A:BN,64,0)</f>
        <v>25.37</v>
      </c>
      <c r="BG1622" s="9">
        <f>VLOOKUP(A1622,Jogos!A:BN,65,0)</f>
        <v>45.56</v>
      </c>
      <c r="BH1622" s="9">
        <f>VLOOKUP(A1622,Jogos!A:BN,66,0)</f>
        <v>29.98</v>
      </c>
      <c r="BI1622" s="9"/>
      <c r="BJ1622" s="9"/>
    </row>
    <row r="1623" hidden="1">
      <c r="A1623" s="2">
        <v>55.0</v>
      </c>
      <c r="B1623" s="2" t="s">
        <v>1350</v>
      </c>
      <c r="C1623" s="2" t="s">
        <v>1351</v>
      </c>
      <c r="D1623" s="3">
        <v>45839.0</v>
      </c>
      <c r="E1623" s="4">
        <v>0.625</v>
      </c>
      <c r="F1623" s="5" t="str">
        <f>VLOOKUP(A1623,Jogos!A:N,10,0)</f>
        <v>Afternoon</v>
      </c>
      <c r="G1623" s="2" t="s">
        <v>62</v>
      </c>
      <c r="H1623" s="6" t="str">
        <f>VLOOKUP(A1623,Jogos!A:L,12,0)</f>
        <v>Open</v>
      </c>
      <c r="I1623" s="6" t="str">
        <f>VLOOKUP(G1623,'Estádios e Cidades'!A:B,2,0)</f>
        <v>Miami Gardens - Flórida</v>
      </c>
      <c r="J1623" s="2" t="s">
        <v>873</v>
      </c>
      <c r="K1623" s="2" t="str">
        <f>VLOOKUP(J1623,Equipes!A:F,6,0)</f>
        <v>Temperate</v>
      </c>
      <c r="L1623" s="2">
        <f>VLOOKUP(J1623,Equipes!A:C,3,0)</f>
        <v>3</v>
      </c>
      <c r="M1623" s="2" t="str">
        <f t="shared" si="4"/>
        <v>Semi-final</v>
      </c>
      <c r="N1623" s="2" t="s">
        <v>999</v>
      </c>
      <c r="O1623" s="2">
        <f>VLOOKUP(N1623,Equipes!A:C,3,0)</f>
        <v>13</v>
      </c>
      <c r="P1623" s="2" t="str">
        <f t="shared" si="5"/>
        <v>Round of 16</v>
      </c>
      <c r="Q1623" s="2">
        <f t="shared" si="6"/>
        <v>-10</v>
      </c>
      <c r="R1623" s="2" t="str">
        <f>VLOOKUP(J1623,Equipes!A:B,2,0)</f>
        <v>Real</v>
      </c>
      <c r="S1623" s="6" t="s">
        <v>1376</v>
      </c>
      <c r="T1623" s="7">
        <v>9.0</v>
      </c>
      <c r="U1623" s="7" t="s">
        <v>1377</v>
      </c>
      <c r="V1623" s="7" t="s">
        <v>1133</v>
      </c>
      <c r="W1623" s="8">
        <f>VLOOKUP(U1623,Jogadores!B:D,3,0)</f>
        <v>26.62191781</v>
      </c>
      <c r="X1623" s="7">
        <v>68.0</v>
      </c>
      <c r="Y1623" s="7">
        <f t="shared" ref="Y1623:Y1626" si="5095">45+AB1623</f>
        <v>95</v>
      </c>
      <c r="Z1623" s="7">
        <f>VLOOKUP(A1623,Jogos!A:L,3,0)</f>
        <v>49</v>
      </c>
      <c r="AA1623" s="7">
        <f t="shared" si="4815"/>
        <v>0</v>
      </c>
      <c r="AB1623" s="7">
        <f>VLOOKUP(A1623,Jogos!A:L,4,0)</f>
        <v>50</v>
      </c>
      <c r="AC1623" s="7">
        <f t="shared" si="5062"/>
        <v>27</v>
      </c>
      <c r="AD1623" s="7"/>
      <c r="AE1623" s="7"/>
      <c r="AF1623" s="7">
        <f t="shared" si="4566"/>
        <v>27</v>
      </c>
      <c r="AG1623" s="7">
        <v>2582.8</v>
      </c>
      <c r="AH1623" s="7">
        <v>1176.3</v>
      </c>
      <c r="AI1623" s="7">
        <v>926.5</v>
      </c>
      <c r="AJ1623" s="7">
        <v>232.2</v>
      </c>
      <c r="AK1623" s="7">
        <v>130.7</v>
      </c>
      <c r="AL1623" s="7">
        <v>117.0</v>
      </c>
      <c r="AM1623" s="7">
        <v>19.0</v>
      </c>
      <c r="AN1623" s="7">
        <v>16.0</v>
      </c>
      <c r="AO1623" s="7">
        <v>32.0</v>
      </c>
      <c r="AP1623" s="9">
        <f t="shared" ref="AP1623:AR1623" si="5092">AG1623/$AF1623</f>
        <v>95.65925926</v>
      </c>
      <c r="AQ1623" s="9">
        <f t="shared" si="5092"/>
        <v>43.56666667</v>
      </c>
      <c r="AR1623" s="9">
        <f t="shared" si="5092"/>
        <v>34.31481481</v>
      </c>
      <c r="AS1623" s="9">
        <f t="shared" si="4568"/>
        <v>77.88148148</v>
      </c>
      <c r="AT1623" s="9">
        <f t="shared" ref="AT1623:AV1623" si="5093">AJ1623/$AF1623</f>
        <v>8.6</v>
      </c>
      <c r="AU1623" s="9">
        <f t="shared" si="5093"/>
        <v>4.840740741</v>
      </c>
      <c r="AV1623" s="9">
        <f t="shared" si="5093"/>
        <v>4.333333333</v>
      </c>
      <c r="AW1623" s="9">
        <f t="shared" si="4570"/>
        <v>9.174074074</v>
      </c>
      <c r="AX1623" s="9">
        <f t="shared" ref="AX1623:AY1623" si="5094">AM1623/$AF1623</f>
        <v>0.7037037037</v>
      </c>
      <c r="AY1623" s="9">
        <f t="shared" si="5094"/>
        <v>0.5925925926</v>
      </c>
      <c r="AZ1623" s="9">
        <f>VLOOKUP(A1623,Jogos!A:BN,58,0)</f>
        <v>31.125</v>
      </c>
      <c r="BA1623" s="9">
        <f>VLOOKUP(A1623,Jogos!A:BN,59,0)</f>
        <v>21.465</v>
      </c>
      <c r="BB1623" s="9">
        <f>VLOOKUP(A1623,Jogos!A:BN,60,0)</f>
        <v>56</v>
      </c>
      <c r="BC1623" s="9">
        <f>VLOOKUP(A1623,Jogos!A:BN,61,0)</f>
        <v>32.26</v>
      </c>
      <c r="BD1623" s="9">
        <f>VLOOKUP(A1623,Jogos!A:BN,62,0)</f>
        <v>592.4</v>
      </c>
      <c r="BE1623" s="9">
        <f>VLOOKUP(A1623,Jogos!A:BN,63,0)</f>
        <v>1.9</v>
      </c>
      <c r="BF1623" s="9">
        <f>VLOOKUP(A1623,Jogos!A:BN,64,0)</f>
        <v>25.37</v>
      </c>
      <c r="BG1623" s="9">
        <f>VLOOKUP(A1623,Jogos!A:BN,65,0)</f>
        <v>45.56</v>
      </c>
      <c r="BH1623" s="9">
        <f>VLOOKUP(A1623,Jogos!A:BN,66,0)</f>
        <v>29.98</v>
      </c>
      <c r="BI1623" s="9"/>
      <c r="BJ1623" s="9"/>
    </row>
    <row r="1624" hidden="1">
      <c r="A1624" s="2">
        <v>55.0</v>
      </c>
      <c r="B1624" s="2" t="s">
        <v>1350</v>
      </c>
      <c r="C1624" s="2" t="s">
        <v>1351</v>
      </c>
      <c r="D1624" s="3">
        <v>45839.0</v>
      </c>
      <c r="E1624" s="4">
        <v>0.625</v>
      </c>
      <c r="F1624" s="5" t="str">
        <f>VLOOKUP(A1624,Jogos!A:N,10,0)</f>
        <v>Afternoon</v>
      </c>
      <c r="G1624" s="2" t="s">
        <v>62</v>
      </c>
      <c r="H1624" s="6" t="str">
        <f>VLOOKUP(A1624,Jogos!A:L,12,0)</f>
        <v>Open</v>
      </c>
      <c r="I1624" s="6" t="str">
        <f>VLOOKUP(G1624,'Estádios e Cidades'!A:B,2,0)</f>
        <v>Miami Gardens - Flórida</v>
      </c>
      <c r="J1624" s="2" t="s">
        <v>873</v>
      </c>
      <c r="K1624" s="2" t="str">
        <f>VLOOKUP(J1624,Equipes!A:F,6,0)</f>
        <v>Temperate</v>
      </c>
      <c r="L1624" s="2">
        <f>VLOOKUP(J1624,Equipes!A:C,3,0)</f>
        <v>3</v>
      </c>
      <c r="M1624" s="2" t="str">
        <f t="shared" si="4"/>
        <v>Semi-final</v>
      </c>
      <c r="N1624" s="2" t="s">
        <v>999</v>
      </c>
      <c r="O1624" s="2">
        <f>VLOOKUP(N1624,Equipes!A:C,3,0)</f>
        <v>13</v>
      </c>
      <c r="P1624" s="2" t="str">
        <f t="shared" si="5"/>
        <v>Round of 16</v>
      </c>
      <c r="Q1624" s="2">
        <f t="shared" si="6"/>
        <v>-10</v>
      </c>
      <c r="R1624" s="2" t="str">
        <f>VLOOKUP(J1624,Equipes!A:B,2,0)</f>
        <v>Real</v>
      </c>
      <c r="S1624" s="6" t="s">
        <v>895</v>
      </c>
      <c r="T1624" s="7">
        <v>10.0</v>
      </c>
      <c r="U1624" s="7" t="s">
        <v>896</v>
      </c>
      <c r="V1624" s="7" t="str">
        <f>VLOOKUP(U1624,Jogadores!B:C,2,0)</f>
        <v>MF</v>
      </c>
      <c r="W1624" s="8">
        <f>VLOOKUP(U1624,Jogadores!B:D,3,0)</f>
        <v>39.90958904</v>
      </c>
      <c r="X1624" s="7">
        <v>78.0</v>
      </c>
      <c r="Y1624" s="7">
        <f t="shared" si="5095"/>
        <v>95</v>
      </c>
      <c r="Z1624" s="7">
        <f>VLOOKUP(A1624,Jogos!A:L,3,0)</f>
        <v>49</v>
      </c>
      <c r="AA1624" s="7">
        <f t="shared" si="4815"/>
        <v>0</v>
      </c>
      <c r="AB1624" s="7">
        <f>VLOOKUP(A1624,Jogos!A:L,4,0)</f>
        <v>50</v>
      </c>
      <c r="AC1624" s="7">
        <f t="shared" si="5062"/>
        <v>17</v>
      </c>
      <c r="AD1624" s="7"/>
      <c r="AE1624" s="7"/>
      <c r="AF1624" s="7">
        <f t="shared" si="4566"/>
        <v>17</v>
      </c>
      <c r="AG1624" s="7">
        <v>2077.2</v>
      </c>
      <c r="AH1624" s="7">
        <v>729.0</v>
      </c>
      <c r="AI1624" s="7">
        <v>960.1</v>
      </c>
      <c r="AJ1624" s="7">
        <v>342.7</v>
      </c>
      <c r="AK1624" s="7">
        <v>45.4</v>
      </c>
      <c r="AL1624" s="7">
        <v>29.0</v>
      </c>
      <c r="AM1624" s="7">
        <v>5.0</v>
      </c>
      <c r="AN1624" s="7">
        <v>24.6</v>
      </c>
      <c r="AO1624" s="7"/>
      <c r="AP1624" s="9">
        <f t="shared" ref="AP1624:AR1624" si="5096">AG1624/$AF1624</f>
        <v>122.1882353</v>
      </c>
      <c r="AQ1624" s="9">
        <f t="shared" si="5096"/>
        <v>42.88235294</v>
      </c>
      <c r="AR1624" s="9">
        <f t="shared" si="5096"/>
        <v>56.47647059</v>
      </c>
      <c r="AS1624" s="9">
        <f t="shared" si="4568"/>
        <v>99.35882353</v>
      </c>
      <c r="AT1624" s="9">
        <f t="shared" ref="AT1624:AV1624" si="5097">AJ1624/$AF1624</f>
        <v>20.15882353</v>
      </c>
      <c r="AU1624" s="9">
        <f t="shared" si="5097"/>
        <v>2.670588235</v>
      </c>
      <c r="AV1624" s="9">
        <f t="shared" si="5097"/>
        <v>1.705882353</v>
      </c>
      <c r="AW1624" s="9">
        <f t="shared" si="4570"/>
        <v>4.376470588</v>
      </c>
      <c r="AX1624" s="9">
        <f t="shared" ref="AX1624:AY1624" si="5098">AM1624/$AF1624</f>
        <v>0.2941176471</v>
      </c>
      <c r="AY1624" s="9">
        <f t="shared" si="5098"/>
        <v>1.447058824</v>
      </c>
      <c r="AZ1624" s="9">
        <f>VLOOKUP(A1624,Jogos!A:BN,58,0)</f>
        <v>31.125</v>
      </c>
      <c r="BA1624" s="9">
        <f>VLOOKUP(A1624,Jogos!A:BN,59,0)</f>
        <v>21.465</v>
      </c>
      <c r="BB1624" s="9">
        <f>VLOOKUP(A1624,Jogos!A:BN,60,0)</f>
        <v>56</v>
      </c>
      <c r="BC1624" s="9">
        <f>VLOOKUP(A1624,Jogos!A:BN,61,0)</f>
        <v>32.26</v>
      </c>
      <c r="BD1624" s="9">
        <f>VLOOKUP(A1624,Jogos!A:BN,62,0)</f>
        <v>592.4</v>
      </c>
      <c r="BE1624" s="9">
        <f>VLOOKUP(A1624,Jogos!A:BN,63,0)</f>
        <v>1.9</v>
      </c>
      <c r="BF1624" s="9">
        <f>VLOOKUP(A1624,Jogos!A:BN,64,0)</f>
        <v>25.37</v>
      </c>
      <c r="BG1624" s="9">
        <f>VLOOKUP(A1624,Jogos!A:BN,65,0)</f>
        <v>45.56</v>
      </c>
      <c r="BH1624" s="9">
        <f>VLOOKUP(A1624,Jogos!A:BN,66,0)</f>
        <v>29.98</v>
      </c>
      <c r="BI1624" s="9"/>
      <c r="BJ1624" s="9"/>
    </row>
    <row r="1625" hidden="1">
      <c r="A1625" s="2">
        <v>55.0</v>
      </c>
      <c r="B1625" s="2" t="s">
        <v>1350</v>
      </c>
      <c r="C1625" s="2" t="s">
        <v>1351</v>
      </c>
      <c r="D1625" s="3">
        <v>45839.0</v>
      </c>
      <c r="E1625" s="4">
        <v>0.625</v>
      </c>
      <c r="F1625" s="5" t="str">
        <f>VLOOKUP(A1625,Jogos!A:N,10,0)</f>
        <v>Afternoon</v>
      </c>
      <c r="G1625" s="2" t="s">
        <v>62</v>
      </c>
      <c r="H1625" s="6" t="str">
        <f>VLOOKUP(A1625,Jogos!A:L,12,0)</f>
        <v>Open</v>
      </c>
      <c r="I1625" s="6" t="str">
        <f>VLOOKUP(G1625,'Estádios e Cidades'!A:B,2,0)</f>
        <v>Miami Gardens - Flórida</v>
      </c>
      <c r="J1625" s="2" t="s">
        <v>873</v>
      </c>
      <c r="K1625" s="2" t="str">
        <f>VLOOKUP(J1625,Equipes!A:F,6,0)</f>
        <v>Temperate</v>
      </c>
      <c r="L1625" s="2">
        <f>VLOOKUP(J1625,Equipes!A:C,3,0)</f>
        <v>3</v>
      </c>
      <c r="M1625" s="2" t="str">
        <f t="shared" si="4"/>
        <v>Semi-final</v>
      </c>
      <c r="N1625" s="2" t="s">
        <v>999</v>
      </c>
      <c r="O1625" s="2">
        <f>VLOOKUP(N1625,Equipes!A:C,3,0)</f>
        <v>13</v>
      </c>
      <c r="P1625" s="2" t="str">
        <f t="shared" si="5"/>
        <v>Round of 16</v>
      </c>
      <c r="Q1625" s="2">
        <f t="shared" si="6"/>
        <v>-10</v>
      </c>
      <c r="R1625" s="2" t="str">
        <f>VLOOKUP(J1625,Equipes!A:B,2,0)</f>
        <v>Real</v>
      </c>
      <c r="S1625" s="6" t="s">
        <v>1201</v>
      </c>
      <c r="T1625" s="7">
        <v>19.0</v>
      </c>
      <c r="U1625" s="7" t="s">
        <v>1202</v>
      </c>
      <c r="V1625" s="7" t="str">
        <f>VLOOKUP(U1625,Jogadores!B:C,2,0)</f>
        <v>MF</v>
      </c>
      <c r="W1625" s="8">
        <f>VLOOKUP(U1625,Jogadores!B:D,3,0)</f>
        <v>28.99178082</v>
      </c>
      <c r="X1625" s="7">
        <v>90.0</v>
      </c>
      <c r="Y1625" s="7">
        <f t="shared" si="5095"/>
        <v>95</v>
      </c>
      <c r="Z1625" s="7">
        <f>VLOOKUP(A1625,Jogos!A:L,3,0)</f>
        <v>49</v>
      </c>
      <c r="AA1625" s="7">
        <f t="shared" si="4815"/>
        <v>0</v>
      </c>
      <c r="AB1625" s="7">
        <f>VLOOKUP(A1625,Jogos!A:L,4,0)</f>
        <v>50</v>
      </c>
      <c r="AC1625" s="7">
        <f t="shared" si="5062"/>
        <v>5</v>
      </c>
      <c r="AD1625" s="7"/>
      <c r="AE1625" s="7"/>
      <c r="AF1625" s="7">
        <f t="shared" si="4566"/>
        <v>5</v>
      </c>
      <c r="AG1625" s="7">
        <v>700.7</v>
      </c>
      <c r="AH1625" s="7">
        <v>234.4</v>
      </c>
      <c r="AI1625" s="7">
        <v>281.6</v>
      </c>
      <c r="AJ1625" s="7">
        <v>138.1</v>
      </c>
      <c r="AK1625" s="7">
        <v>46.6</v>
      </c>
      <c r="AL1625" s="7">
        <v>11.0</v>
      </c>
      <c r="AM1625" s="7">
        <v>5.0</v>
      </c>
      <c r="AN1625" s="7">
        <v>24.8</v>
      </c>
      <c r="AO1625" s="7"/>
      <c r="AP1625" s="9">
        <f t="shared" ref="AP1625:AR1625" si="5099">AG1625/$AF1625</f>
        <v>140.14</v>
      </c>
      <c r="AQ1625" s="9">
        <f t="shared" si="5099"/>
        <v>46.88</v>
      </c>
      <c r="AR1625" s="9">
        <f t="shared" si="5099"/>
        <v>56.32</v>
      </c>
      <c r="AS1625" s="9">
        <f t="shared" si="4568"/>
        <v>103.2</v>
      </c>
      <c r="AT1625" s="9">
        <f t="shared" ref="AT1625:AV1625" si="5100">AJ1625/$AF1625</f>
        <v>27.62</v>
      </c>
      <c r="AU1625" s="9">
        <f t="shared" si="5100"/>
        <v>9.32</v>
      </c>
      <c r="AV1625" s="9">
        <f t="shared" si="5100"/>
        <v>2.2</v>
      </c>
      <c r="AW1625" s="9">
        <f t="shared" si="4570"/>
        <v>11.52</v>
      </c>
      <c r="AX1625" s="9">
        <f t="shared" ref="AX1625:AY1625" si="5101">AM1625/$AF1625</f>
        <v>1</v>
      </c>
      <c r="AY1625" s="9">
        <f t="shared" si="5101"/>
        <v>4.96</v>
      </c>
      <c r="AZ1625" s="9">
        <f>VLOOKUP(A1625,Jogos!A:BN,58,0)</f>
        <v>31.125</v>
      </c>
      <c r="BA1625" s="9">
        <f>VLOOKUP(A1625,Jogos!A:BN,59,0)</f>
        <v>21.465</v>
      </c>
      <c r="BB1625" s="9">
        <f>VLOOKUP(A1625,Jogos!A:BN,60,0)</f>
        <v>56</v>
      </c>
      <c r="BC1625" s="9">
        <f>VLOOKUP(A1625,Jogos!A:BN,61,0)</f>
        <v>32.26</v>
      </c>
      <c r="BD1625" s="9">
        <f>VLOOKUP(A1625,Jogos!A:BN,62,0)</f>
        <v>592.4</v>
      </c>
      <c r="BE1625" s="9">
        <f>VLOOKUP(A1625,Jogos!A:BN,63,0)</f>
        <v>1.9</v>
      </c>
      <c r="BF1625" s="9">
        <f>VLOOKUP(A1625,Jogos!A:BN,64,0)</f>
        <v>25.37</v>
      </c>
      <c r="BG1625" s="9">
        <f>VLOOKUP(A1625,Jogos!A:BN,65,0)</f>
        <v>45.56</v>
      </c>
      <c r="BH1625" s="9">
        <f>VLOOKUP(A1625,Jogos!A:BN,66,0)</f>
        <v>29.98</v>
      </c>
      <c r="BI1625" s="9"/>
      <c r="BJ1625" s="9"/>
    </row>
    <row r="1626" hidden="1">
      <c r="A1626" s="2">
        <v>55.0</v>
      </c>
      <c r="B1626" s="2" t="s">
        <v>1350</v>
      </c>
      <c r="C1626" s="2" t="s">
        <v>1351</v>
      </c>
      <c r="D1626" s="3">
        <v>45839.0</v>
      </c>
      <c r="E1626" s="4">
        <v>0.625</v>
      </c>
      <c r="F1626" s="5" t="str">
        <f>VLOOKUP(A1626,Jogos!A:N,10,0)</f>
        <v>Afternoon</v>
      </c>
      <c r="G1626" s="2" t="s">
        <v>62</v>
      </c>
      <c r="H1626" s="6" t="str">
        <f>VLOOKUP(A1626,Jogos!A:L,12,0)</f>
        <v>Open</v>
      </c>
      <c r="I1626" s="6" t="str">
        <f>VLOOKUP(G1626,'Estádios e Cidades'!A:B,2,0)</f>
        <v>Miami Gardens - Flórida</v>
      </c>
      <c r="J1626" s="2" t="s">
        <v>999</v>
      </c>
      <c r="K1626" s="2" t="str">
        <f>VLOOKUP(J1626,Equipes!A:F,6,0)</f>
        <v>Temperate</v>
      </c>
      <c r="L1626" s="2">
        <f>VLOOKUP(J1626,Equipes!A:C,3,0)</f>
        <v>13</v>
      </c>
      <c r="M1626" s="2" t="str">
        <f t="shared" si="4"/>
        <v>Round of 16</v>
      </c>
      <c r="N1626" s="2" t="s">
        <v>873</v>
      </c>
      <c r="O1626" s="2">
        <f>VLOOKUP(N1626,Equipes!A:C,3,0)</f>
        <v>3</v>
      </c>
      <c r="P1626" s="2" t="str">
        <f t="shared" si="5"/>
        <v>Semi-final</v>
      </c>
      <c r="Q1626" s="2">
        <f t="shared" si="6"/>
        <v>10</v>
      </c>
      <c r="R1626" s="2" t="str">
        <f>VLOOKUP(J1626,Equipes!A:B,2,0)</f>
        <v>Juventus</v>
      </c>
      <c r="S1626" s="6" t="s">
        <v>1030</v>
      </c>
      <c r="T1626" s="7">
        <v>2.0</v>
      </c>
      <c r="U1626" s="7" t="s">
        <v>1031</v>
      </c>
      <c r="V1626" s="7" t="str">
        <f>VLOOKUP(U1626,Jogadores!B:C,2,0)</f>
        <v>DF</v>
      </c>
      <c r="W1626" s="8">
        <f>VLOOKUP(U1626,Jogadores!B:D,3,0)</f>
        <v>21.84383562</v>
      </c>
      <c r="X1626" s="7">
        <v>0.0</v>
      </c>
      <c r="Y1626" s="7">
        <f t="shared" si="5095"/>
        <v>95</v>
      </c>
      <c r="Z1626" s="7">
        <f>VLOOKUP(A1626,Jogos!A:L,3,0)</f>
        <v>49</v>
      </c>
      <c r="AA1626" s="7">
        <f t="shared" si="4815"/>
        <v>49</v>
      </c>
      <c r="AB1626" s="7">
        <f>VLOOKUP(A1626,Jogos!A:L,4,0)</f>
        <v>50</v>
      </c>
      <c r="AC1626" s="7">
        <f t="shared" si="5062"/>
        <v>50</v>
      </c>
      <c r="AD1626" s="7"/>
      <c r="AE1626" s="7"/>
      <c r="AF1626" s="7">
        <f t="shared" si="4566"/>
        <v>99</v>
      </c>
      <c r="AG1626" s="7">
        <v>10602.8</v>
      </c>
      <c r="AH1626" s="7">
        <v>4033.4</v>
      </c>
      <c r="AI1626" s="7">
        <v>4343.2</v>
      </c>
      <c r="AJ1626" s="7">
        <v>1054.9</v>
      </c>
      <c r="AK1626" s="7">
        <v>733.0</v>
      </c>
      <c r="AL1626" s="7">
        <v>438.4</v>
      </c>
      <c r="AM1626" s="7">
        <v>94.0</v>
      </c>
      <c r="AN1626" s="7">
        <v>53.0</v>
      </c>
      <c r="AO1626" s="7">
        <v>34.6</v>
      </c>
      <c r="AP1626" s="9">
        <f t="shared" ref="AP1626:AR1626" si="5102">AG1626/$AF1626</f>
        <v>107.0989899</v>
      </c>
      <c r="AQ1626" s="9">
        <f t="shared" si="5102"/>
        <v>40.74141414</v>
      </c>
      <c r="AR1626" s="9">
        <f t="shared" si="5102"/>
        <v>43.87070707</v>
      </c>
      <c r="AS1626" s="9">
        <f t="shared" si="4568"/>
        <v>84.61212121</v>
      </c>
      <c r="AT1626" s="9">
        <f t="shared" ref="AT1626:AV1626" si="5103">AJ1626/$AF1626</f>
        <v>10.65555556</v>
      </c>
      <c r="AU1626" s="9">
        <f t="shared" si="5103"/>
        <v>7.404040404</v>
      </c>
      <c r="AV1626" s="9">
        <f t="shared" si="5103"/>
        <v>4.428282828</v>
      </c>
      <c r="AW1626" s="9">
        <f t="shared" si="4570"/>
        <v>11.83232323</v>
      </c>
      <c r="AX1626" s="9">
        <f t="shared" ref="AX1626:AY1626" si="5104">AM1626/$AF1626</f>
        <v>0.9494949495</v>
      </c>
      <c r="AY1626" s="9">
        <f t="shared" si="5104"/>
        <v>0.5353535354</v>
      </c>
      <c r="AZ1626" s="9">
        <f>VLOOKUP(A1626,Jogos!A:BN,58,0)</f>
        <v>31.125</v>
      </c>
      <c r="BA1626" s="9">
        <f>VLOOKUP(A1626,Jogos!A:BN,59,0)</f>
        <v>21.465</v>
      </c>
      <c r="BB1626" s="9">
        <f>VLOOKUP(A1626,Jogos!A:BN,60,0)</f>
        <v>56</v>
      </c>
      <c r="BC1626" s="9">
        <f>VLOOKUP(A1626,Jogos!A:BN,61,0)</f>
        <v>32.26</v>
      </c>
      <c r="BD1626" s="9">
        <f>VLOOKUP(A1626,Jogos!A:BN,62,0)</f>
        <v>592.4</v>
      </c>
      <c r="BE1626" s="9">
        <f>VLOOKUP(A1626,Jogos!A:BN,63,0)</f>
        <v>1.9</v>
      </c>
      <c r="BF1626" s="9">
        <f>VLOOKUP(A1626,Jogos!A:BN,64,0)</f>
        <v>25.37</v>
      </c>
      <c r="BG1626" s="9">
        <f>VLOOKUP(A1626,Jogos!A:BN,65,0)</f>
        <v>45.56</v>
      </c>
      <c r="BH1626" s="9">
        <f>VLOOKUP(A1626,Jogos!A:BN,66,0)</f>
        <v>29.98</v>
      </c>
      <c r="BI1626" s="9"/>
      <c r="BJ1626" s="9"/>
    </row>
    <row r="1627" hidden="1">
      <c r="A1627" s="2">
        <v>55.0</v>
      </c>
      <c r="B1627" s="2" t="s">
        <v>1350</v>
      </c>
      <c r="C1627" s="2" t="s">
        <v>1351</v>
      </c>
      <c r="D1627" s="3">
        <v>45839.0</v>
      </c>
      <c r="E1627" s="4">
        <v>0.625</v>
      </c>
      <c r="F1627" s="5" t="str">
        <f>VLOOKUP(A1627,Jogos!A:N,10,0)</f>
        <v>Afternoon</v>
      </c>
      <c r="G1627" s="2" t="s">
        <v>62</v>
      </c>
      <c r="H1627" s="6" t="str">
        <f>VLOOKUP(A1627,Jogos!A:L,12,0)</f>
        <v>Open</v>
      </c>
      <c r="I1627" s="6" t="str">
        <f>VLOOKUP(G1627,'Estádios e Cidades'!A:B,2,0)</f>
        <v>Miami Gardens - Flórida</v>
      </c>
      <c r="J1627" s="2" t="s">
        <v>999</v>
      </c>
      <c r="K1627" s="2" t="str">
        <f>VLOOKUP(J1627,Equipes!A:F,6,0)</f>
        <v>Temperate</v>
      </c>
      <c r="L1627" s="2">
        <f>VLOOKUP(J1627,Equipes!A:C,3,0)</f>
        <v>13</v>
      </c>
      <c r="M1627" s="2" t="str">
        <f t="shared" si="4"/>
        <v>Round of 16</v>
      </c>
      <c r="N1627" s="2" t="s">
        <v>873</v>
      </c>
      <c r="O1627" s="2">
        <f>VLOOKUP(N1627,Equipes!A:C,3,0)</f>
        <v>3</v>
      </c>
      <c r="P1627" s="2" t="str">
        <f t="shared" si="5"/>
        <v>Semi-final</v>
      </c>
      <c r="Q1627" s="2">
        <f t="shared" si="6"/>
        <v>10</v>
      </c>
      <c r="R1627" s="2" t="str">
        <f>VLOOKUP(J1627,Equipes!A:B,2,0)</f>
        <v>Juventus</v>
      </c>
      <c r="S1627" s="6" t="s">
        <v>1190</v>
      </c>
      <c r="T1627" s="7">
        <v>5.0</v>
      </c>
      <c r="U1627" s="7" t="s">
        <v>1191</v>
      </c>
      <c r="V1627" s="7" t="str">
        <f>VLOOKUP(U1627,Jogadores!B:C,2,0)</f>
        <v>MF</v>
      </c>
      <c r="W1627" s="8">
        <f>VLOOKUP(U1627,Jogadores!B:D,3,0)</f>
        <v>27.56986301</v>
      </c>
      <c r="X1627" s="7">
        <v>0.0</v>
      </c>
      <c r="Y1627" s="7">
        <v>85.0</v>
      </c>
      <c r="Z1627" s="7">
        <f>VLOOKUP(A1627,Jogos!A:L,3,0)</f>
        <v>49</v>
      </c>
      <c r="AA1627" s="7">
        <f t="shared" si="4815"/>
        <v>49</v>
      </c>
      <c r="AB1627" s="7">
        <f>VLOOKUP(A1627,Jogos!A:L,4,0)</f>
        <v>50</v>
      </c>
      <c r="AC1627" s="7">
        <f t="shared" si="5062"/>
        <v>40</v>
      </c>
      <c r="AD1627" s="7"/>
      <c r="AE1627" s="7"/>
      <c r="AF1627" s="7">
        <f t="shared" si="4566"/>
        <v>89</v>
      </c>
      <c r="AG1627" s="7">
        <v>9719.3</v>
      </c>
      <c r="AH1627" s="7">
        <v>3688.5</v>
      </c>
      <c r="AI1627" s="7">
        <v>4688.4</v>
      </c>
      <c r="AJ1627" s="7">
        <v>906.5</v>
      </c>
      <c r="AK1627" s="7">
        <v>358.8</v>
      </c>
      <c r="AL1627" s="7">
        <v>77.2</v>
      </c>
      <c r="AM1627" s="7">
        <v>84.0</v>
      </c>
      <c r="AN1627" s="7">
        <v>24.0</v>
      </c>
      <c r="AO1627" s="7">
        <v>29.1</v>
      </c>
      <c r="AP1627" s="9">
        <f t="shared" ref="AP1627:AR1627" si="5105">AG1627/$AF1627</f>
        <v>109.205618</v>
      </c>
      <c r="AQ1627" s="9">
        <f t="shared" si="5105"/>
        <v>41.44382022</v>
      </c>
      <c r="AR1627" s="9">
        <f t="shared" si="5105"/>
        <v>52.67865169</v>
      </c>
      <c r="AS1627" s="9">
        <f t="shared" si="4568"/>
        <v>94.12247191</v>
      </c>
      <c r="AT1627" s="9">
        <f t="shared" ref="AT1627:AV1627" si="5106">AJ1627/$AF1627</f>
        <v>10.18539326</v>
      </c>
      <c r="AU1627" s="9">
        <f t="shared" si="5106"/>
        <v>4.031460674</v>
      </c>
      <c r="AV1627" s="9">
        <f t="shared" si="5106"/>
        <v>0.8674157303</v>
      </c>
      <c r="AW1627" s="9">
        <f t="shared" si="4570"/>
        <v>4.898876404</v>
      </c>
      <c r="AX1627" s="9">
        <f t="shared" ref="AX1627:AY1627" si="5107">AM1627/$AF1627</f>
        <v>0.9438202247</v>
      </c>
      <c r="AY1627" s="9">
        <f t="shared" si="5107"/>
        <v>0.2696629213</v>
      </c>
      <c r="AZ1627" s="9">
        <f>VLOOKUP(A1627,Jogos!A:BN,58,0)</f>
        <v>31.125</v>
      </c>
      <c r="BA1627" s="9">
        <f>VLOOKUP(A1627,Jogos!A:BN,59,0)</f>
        <v>21.465</v>
      </c>
      <c r="BB1627" s="9">
        <f>VLOOKUP(A1627,Jogos!A:BN,60,0)</f>
        <v>56</v>
      </c>
      <c r="BC1627" s="9">
        <f>VLOOKUP(A1627,Jogos!A:BN,61,0)</f>
        <v>32.26</v>
      </c>
      <c r="BD1627" s="9">
        <f>VLOOKUP(A1627,Jogos!A:BN,62,0)</f>
        <v>592.4</v>
      </c>
      <c r="BE1627" s="9">
        <f>VLOOKUP(A1627,Jogos!A:BN,63,0)</f>
        <v>1.9</v>
      </c>
      <c r="BF1627" s="9">
        <f>VLOOKUP(A1627,Jogos!A:BN,64,0)</f>
        <v>25.37</v>
      </c>
      <c r="BG1627" s="9">
        <f>VLOOKUP(A1627,Jogos!A:BN,65,0)</f>
        <v>45.56</v>
      </c>
      <c r="BH1627" s="9">
        <f>VLOOKUP(A1627,Jogos!A:BN,66,0)</f>
        <v>29.98</v>
      </c>
      <c r="BI1627" s="9"/>
      <c r="BJ1627" s="9"/>
    </row>
    <row r="1628" hidden="1">
      <c r="A1628" s="2">
        <v>55.0</v>
      </c>
      <c r="B1628" s="2" t="s">
        <v>1350</v>
      </c>
      <c r="C1628" s="2" t="s">
        <v>1351</v>
      </c>
      <c r="D1628" s="3">
        <v>45839.0</v>
      </c>
      <c r="E1628" s="4">
        <v>0.625</v>
      </c>
      <c r="F1628" s="5" t="str">
        <f>VLOOKUP(A1628,Jogos!A:N,10,0)</f>
        <v>Afternoon</v>
      </c>
      <c r="G1628" s="2" t="s">
        <v>62</v>
      </c>
      <c r="H1628" s="6" t="str">
        <f>VLOOKUP(A1628,Jogos!A:L,12,0)</f>
        <v>Open</v>
      </c>
      <c r="I1628" s="6" t="str">
        <f>VLOOKUP(G1628,'Estádios e Cidades'!A:B,2,0)</f>
        <v>Miami Gardens - Flórida</v>
      </c>
      <c r="J1628" s="2" t="s">
        <v>999</v>
      </c>
      <c r="K1628" s="2" t="str">
        <f>VLOOKUP(J1628,Equipes!A:F,6,0)</f>
        <v>Temperate</v>
      </c>
      <c r="L1628" s="2">
        <f>VLOOKUP(J1628,Equipes!A:C,3,0)</f>
        <v>13</v>
      </c>
      <c r="M1628" s="2" t="str">
        <f t="shared" si="4"/>
        <v>Round of 16</v>
      </c>
      <c r="N1628" s="2" t="s">
        <v>873</v>
      </c>
      <c r="O1628" s="2">
        <f>VLOOKUP(N1628,Equipes!A:C,3,0)</f>
        <v>3</v>
      </c>
      <c r="P1628" s="2" t="str">
        <f t="shared" si="5"/>
        <v>Semi-final</v>
      </c>
      <c r="Q1628" s="2">
        <f t="shared" si="6"/>
        <v>10</v>
      </c>
      <c r="R1628" s="2" t="str">
        <f>VLOOKUP(J1628,Equipes!A:B,2,0)</f>
        <v>Juventus</v>
      </c>
      <c r="S1628" s="6" t="s">
        <v>1032</v>
      </c>
      <c r="T1628" s="7">
        <v>6.0</v>
      </c>
      <c r="U1628" s="7" t="s">
        <v>1033</v>
      </c>
      <c r="V1628" s="7" t="str">
        <f>VLOOKUP(U1628,Jogadores!B:C,2,0)</f>
        <v>DF</v>
      </c>
      <c r="W1628" s="8">
        <f>VLOOKUP(U1628,Jogadores!B:D,3,0)</f>
        <v>26.82739726</v>
      </c>
      <c r="X1628" s="7">
        <v>0.0</v>
      </c>
      <c r="Y1628" s="7">
        <v>59.0</v>
      </c>
      <c r="Z1628" s="7">
        <f>VLOOKUP(A1628,Jogos!A:L,3,0)</f>
        <v>49</v>
      </c>
      <c r="AA1628" s="7">
        <f t="shared" si="4815"/>
        <v>49</v>
      </c>
      <c r="AB1628" s="7">
        <f>VLOOKUP(A1628,Jogos!A:L,4,0)</f>
        <v>50</v>
      </c>
      <c r="AC1628" s="7">
        <f t="shared" si="5062"/>
        <v>14</v>
      </c>
      <c r="AD1628" s="7"/>
      <c r="AE1628" s="7"/>
      <c r="AF1628" s="7">
        <f t="shared" si="4566"/>
        <v>63</v>
      </c>
      <c r="AG1628" s="7">
        <v>6362.9</v>
      </c>
      <c r="AH1628" s="7">
        <v>2641.5</v>
      </c>
      <c r="AI1628" s="7">
        <v>2711.4</v>
      </c>
      <c r="AJ1628" s="7">
        <v>556.0</v>
      </c>
      <c r="AK1628" s="7">
        <v>186.9</v>
      </c>
      <c r="AL1628" s="7">
        <v>267.1</v>
      </c>
      <c r="AM1628" s="7">
        <v>52.0</v>
      </c>
      <c r="AN1628" s="7">
        <v>17.0</v>
      </c>
      <c r="AO1628" s="7">
        <v>31.8</v>
      </c>
      <c r="AP1628" s="9">
        <f t="shared" ref="AP1628:AR1628" si="5108">AG1628/$AF1628</f>
        <v>100.9984127</v>
      </c>
      <c r="AQ1628" s="9">
        <f t="shared" si="5108"/>
        <v>41.92857143</v>
      </c>
      <c r="AR1628" s="9">
        <f t="shared" si="5108"/>
        <v>43.03809524</v>
      </c>
      <c r="AS1628" s="9">
        <f t="shared" si="4568"/>
        <v>84.96666667</v>
      </c>
      <c r="AT1628" s="9">
        <f t="shared" ref="AT1628:AV1628" si="5109">AJ1628/$AF1628</f>
        <v>8.825396825</v>
      </c>
      <c r="AU1628" s="9">
        <f t="shared" si="5109"/>
        <v>2.966666667</v>
      </c>
      <c r="AV1628" s="9">
        <f t="shared" si="5109"/>
        <v>4.23968254</v>
      </c>
      <c r="AW1628" s="9">
        <f t="shared" si="4570"/>
        <v>7.206349206</v>
      </c>
      <c r="AX1628" s="9">
        <f t="shared" ref="AX1628:AY1628" si="5110">AM1628/$AF1628</f>
        <v>0.8253968254</v>
      </c>
      <c r="AY1628" s="9">
        <f t="shared" si="5110"/>
        <v>0.2698412698</v>
      </c>
      <c r="AZ1628" s="9">
        <f>VLOOKUP(A1628,Jogos!A:BN,58,0)</f>
        <v>31.125</v>
      </c>
      <c r="BA1628" s="9">
        <f>VLOOKUP(A1628,Jogos!A:BN,59,0)</f>
        <v>21.465</v>
      </c>
      <c r="BB1628" s="9">
        <f>VLOOKUP(A1628,Jogos!A:BN,60,0)</f>
        <v>56</v>
      </c>
      <c r="BC1628" s="9">
        <f>VLOOKUP(A1628,Jogos!A:BN,61,0)</f>
        <v>32.26</v>
      </c>
      <c r="BD1628" s="9">
        <f>VLOOKUP(A1628,Jogos!A:BN,62,0)</f>
        <v>592.4</v>
      </c>
      <c r="BE1628" s="9">
        <f>VLOOKUP(A1628,Jogos!A:BN,63,0)</f>
        <v>1.9</v>
      </c>
      <c r="BF1628" s="9">
        <f>VLOOKUP(A1628,Jogos!A:BN,64,0)</f>
        <v>25.37</v>
      </c>
      <c r="BG1628" s="9">
        <f>VLOOKUP(A1628,Jogos!A:BN,65,0)</f>
        <v>45.56</v>
      </c>
      <c r="BH1628" s="9">
        <f>VLOOKUP(A1628,Jogos!A:BN,66,0)</f>
        <v>29.98</v>
      </c>
      <c r="BI1628" s="9"/>
      <c r="BJ1628" s="9"/>
    </row>
    <row r="1629" hidden="1">
      <c r="A1629" s="2">
        <v>55.0</v>
      </c>
      <c r="B1629" s="2" t="s">
        <v>1350</v>
      </c>
      <c r="C1629" s="2" t="s">
        <v>1351</v>
      </c>
      <c r="D1629" s="3">
        <v>45839.0</v>
      </c>
      <c r="E1629" s="4">
        <v>0.625</v>
      </c>
      <c r="F1629" s="5" t="str">
        <f>VLOOKUP(A1629,Jogos!A:N,10,0)</f>
        <v>Afternoon</v>
      </c>
      <c r="G1629" s="2" t="s">
        <v>62</v>
      </c>
      <c r="H1629" s="6" t="str">
        <f>VLOOKUP(A1629,Jogos!A:L,12,0)</f>
        <v>Open</v>
      </c>
      <c r="I1629" s="6" t="str">
        <f>VLOOKUP(G1629,'Estádios e Cidades'!A:B,2,0)</f>
        <v>Miami Gardens - Flórida</v>
      </c>
      <c r="J1629" s="2" t="s">
        <v>999</v>
      </c>
      <c r="K1629" s="2" t="str">
        <f>VLOOKUP(J1629,Equipes!A:F,6,0)</f>
        <v>Temperate</v>
      </c>
      <c r="L1629" s="2">
        <f>VLOOKUP(J1629,Equipes!A:C,3,0)</f>
        <v>13</v>
      </c>
      <c r="M1629" s="2" t="str">
        <f t="shared" si="4"/>
        <v>Round of 16</v>
      </c>
      <c r="N1629" s="2" t="s">
        <v>873</v>
      </c>
      <c r="O1629" s="2">
        <f>VLOOKUP(N1629,Equipes!A:C,3,0)</f>
        <v>3</v>
      </c>
      <c r="P1629" s="2" t="str">
        <f t="shared" si="5"/>
        <v>Semi-final</v>
      </c>
      <c r="Q1629" s="2">
        <f t="shared" si="6"/>
        <v>10</v>
      </c>
      <c r="R1629" s="2" t="str">
        <f>VLOOKUP(J1629,Equipes!A:B,2,0)</f>
        <v>Juventus</v>
      </c>
      <c r="S1629" s="6" t="s">
        <v>1034</v>
      </c>
      <c r="T1629" s="7">
        <v>7.0</v>
      </c>
      <c r="U1629" s="7" t="s">
        <v>1035</v>
      </c>
      <c r="V1629" s="7" t="str">
        <f>VLOOKUP(U1629,Jogadores!B:C,2,0)</f>
        <v>FW</v>
      </c>
      <c r="W1629" s="8">
        <f>VLOOKUP(U1629,Jogadores!B:D,3,0)</f>
        <v>22.63561644</v>
      </c>
      <c r="X1629" s="7">
        <v>0.0</v>
      </c>
      <c r="Y1629" s="7">
        <v>60.0</v>
      </c>
      <c r="Z1629" s="7">
        <f>VLOOKUP(A1629,Jogos!A:L,3,0)</f>
        <v>49</v>
      </c>
      <c r="AA1629" s="7">
        <f t="shared" si="4815"/>
        <v>49</v>
      </c>
      <c r="AB1629" s="7">
        <f>VLOOKUP(A1629,Jogos!A:L,4,0)</f>
        <v>50</v>
      </c>
      <c r="AC1629" s="7">
        <f t="shared" si="5062"/>
        <v>15</v>
      </c>
      <c r="AD1629" s="7"/>
      <c r="AE1629" s="7"/>
      <c r="AF1629" s="7">
        <f t="shared" si="4566"/>
        <v>64</v>
      </c>
      <c r="AG1629" s="7">
        <v>7759.5</v>
      </c>
      <c r="AH1629" s="7">
        <v>2540.2</v>
      </c>
      <c r="AI1629" s="7">
        <v>3614.7</v>
      </c>
      <c r="AJ1629" s="7">
        <v>965.3</v>
      </c>
      <c r="AK1629" s="7">
        <v>403.5</v>
      </c>
      <c r="AL1629" s="7">
        <v>235.7</v>
      </c>
      <c r="AM1629" s="7">
        <v>74.0</v>
      </c>
      <c r="AN1629" s="7">
        <v>34.0</v>
      </c>
      <c r="AO1629" s="7">
        <v>32.6</v>
      </c>
      <c r="AP1629" s="9">
        <f t="shared" ref="AP1629:AR1629" si="5111">AG1629/$AF1629</f>
        <v>121.2421875</v>
      </c>
      <c r="AQ1629" s="9">
        <f t="shared" si="5111"/>
        <v>39.690625</v>
      </c>
      <c r="AR1629" s="9">
        <f t="shared" si="5111"/>
        <v>56.4796875</v>
      </c>
      <c r="AS1629" s="9">
        <f t="shared" si="4568"/>
        <v>96.1703125</v>
      </c>
      <c r="AT1629" s="9">
        <f t="shared" ref="AT1629:AV1629" si="5112">AJ1629/$AF1629</f>
        <v>15.0828125</v>
      </c>
      <c r="AU1629" s="9">
        <f t="shared" si="5112"/>
        <v>6.3046875</v>
      </c>
      <c r="AV1629" s="9">
        <f t="shared" si="5112"/>
        <v>3.6828125</v>
      </c>
      <c r="AW1629" s="9">
        <f t="shared" si="4570"/>
        <v>9.9875</v>
      </c>
      <c r="AX1629" s="9">
        <f t="shared" ref="AX1629:AY1629" si="5113">AM1629/$AF1629</f>
        <v>1.15625</v>
      </c>
      <c r="AY1629" s="9">
        <f t="shared" si="5113"/>
        <v>0.53125</v>
      </c>
      <c r="AZ1629" s="9">
        <f>VLOOKUP(A1629,Jogos!A:BN,58,0)</f>
        <v>31.125</v>
      </c>
      <c r="BA1629" s="9">
        <f>VLOOKUP(A1629,Jogos!A:BN,59,0)</f>
        <v>21.465</v>
      </c>
      <c r="BB1629" s="9">
        <f>VLOOKUP(A1629,Jogos!A:BN,60,0)</f>
        <v>56</v>
      </c>
      <c r="BC1629" s="9">
        <f>VLOOKUP(A1629,Jogos!A:BN,61,0)</f>
        <v>32.26</v>
      </c>
      <c r="BD1629" s="9">
        <f>VLOOKUP(A1629,Jogos!A:BN,62,0)</f>
        <v>592.4</v>
      </c>
      <c r="BE1629" s="9">
        <f>VLOOKUP(A1629,Jogos!A:BN,63,0)</f>
        <v>1.9</v>
      </c>
      <c r="BF1629" s="9">
        <f>VLOOKUP(A1629,Jogos!A:BN,64,0)</f>
        <v>25.37</v>
      </c>
      <c r="BG1629" s="9">
        <f>VLOOKUP(A1629,Jogos!A:BN,65,0)</f>
        <v>45.56</v>
      </c>
      <c r="BH1629" s="9">
        <f>VLOOKUP(A1629,Jogos!A:BN,66,0)</f>
        <v>29.98</v>
      </c>
      <c r="BI1629" s="9"/>
      <c r="BJ1629" s="9"/>
    </row>
    <row r="1630" hidden="1">
      <c r="A1630" s="2">
        <v>55.0</v>
      </c>
      <c r="B1630" s="2" t="s">
        <v>1350</v>
      </c>
      <c r="C1630" s="2" t="s">
        <v>1351</v>
      </c>
      <c r="D1630" s="3">
        <v>45839.0</v>
      </c>
      <c r="E1630" s="4">
        <v>0.625</v>
      </c>
      <c r="F1630" s="5" t="str">
        <f>VLOOKUP(A1630,Jogos!A:N,10,0)</f>
        <v>Afternoon</v>
      </c>
      <c r="G1630" s="2" t="s">
        <v>62</v>
      </c>
      <c r="H1630" s="6" t="str">
        <f>VLOOKUP(A1630,Jogos!A:L,12,0)</f>
        <v>Open</v>
      </c>
      <c r="I1630" s="6" t="str">
        <f>VLOOKUP(G1630,'Estádios e Cidades'!A:B,2,0)</f>
        <v>Miami Gardens - Flórida</v>
      </c>
      <c r="J1630" s="2" t="s">
        <v>999</v>
      </c>
      <c r="K1630" s="2" t="str">
        <f>VLOOKUP(J1630,Equipes!A:F,6,0)</f>
        <v>Temperate</v>
      </c>
      <c r="L1630" s="2">
        <f>VLOOKUP(J1630,Equipes!A:C,3,0)</f>
        <v>13</v>
      </c>
      <c r="M1630" s="2" t="str">
        <f t="shared" si="4"/>
        <v>Round of 16</v>
      </c>
      <c r="N1630" s="2" t="s">
        <v>873</v>
      </c>
      <c r="O1630" s="2">
        <f>VLOOKUP(N1630,Equipes!A:C,3,0)</f>
        <v>3</v>
      </c>
      <c r="P1630" s="2" t="str">
        <f t="shared" si="5"/>
        <v>Semi-final</v>
      </c>
      <c r="Q1630" s="2">
        <f t="shared" si="6"/>
        <v>10</v>
      </c>
      <c r="R1630" s="2" t="str">
        <f>VLOOKUP(J1630,Equipes!A:B,2,0)</f>
        <v>Juventus</v>
      </c>
      <c r="S1630" s="6" t="s">
        <v>1036</v>
      </c>
      <c r="T1630" s="7">
        <v>10.0</v>
      </c>
      <c r="U1630" s="7" t="s">
        <v>1037</v>
      </c>
      <c r="V1630" s="7" t="str">
        <f>VLOOKUP(U1630,Jogadores!B:C,2,0)</f>
        <v>FW</v>
      </c>
      <c r="W1630" s="8">
        <f>VLOOKUP(U1630,Jogadores!B:D,3,0)</f>
        <v>20.24657534</v>
      </c>
      <c r="X1630" s="7">
        <v>0.0</v>
      </c>
      <c r="Y1630" s="7">
        <v>71.0</v>
      </c>
      <c r="Z1630" s="7">
        <f>VLOOKUP(A1630,Jogos!A:L,3,0)</f>
        <v>49</v>
      </c>
      <c r="AA1630" s="7">
        <f t="shared" si="4815"/>
        <v>49</v>
      </c>
      <c r="AB1630" s="7">
        <f>VLOOKUP(A1630,Jogos!A:L,4,0)</f>
        <v>50</v>
      </c>
      <c r="AC1630" s="7">
        <f t="shared" si="5062"/>
        <v>26</v>
      </c>
      <c r="AD1630" s="7"/>
      <c r="AE1630" s="7"/>
      <c r="AF1630" s="7">
        <f t="shared" si="4566"/>
        <v>75</v>
      </c>
      <c r="AG1630" s="7">
        <v>8251.7</v>
      </c>
      <c r="AH1630" s="7">
        <v>3308.0</v>
      </c>
      <c r="AI1630" s="7">
        <v>3720.6</v>
      </c>
      <c r="AJ1630" s="7">
        <v>875.5</v>
      </c>
      <c r="AK1630" s="7">
        <v>242.0</v>
      </c>
      <c r="AL1630" s="7">
        <v>105.7</v>
      </c>
      <c r="AM1630" s="7">
        <v>79.0</v>
      </c>
      <c r="AN1630" s="7">
        <v>23.0</v>
      </c>
      <c r="AO1630" s="7">
        <v>29.8</v>
      </c>
      <c r="AP1630" s="9">
        <f t="shared" ref="AP1630:AR1630" si="5114">AG1630/$AF1630</f>
        <v>110.0226667</v>
      </c>
      <c r="AQ1630" s="9">
        <f t="shared" si="5114"/>
        <v>44.10666667</v>
      </c>
      <c r="AR1630" s="9">
        <f t="shared" si="5114"/>
        <v>49.608</v>
      </c>
      <c r="AS1630" s="9">
        <f t="shared" si="4568"/>
        <v>93.71466667</v>
      </c>
      <c r="AT1630" s="9">
        <f t="shared" ref="AT1630:AV1630" si="5115">AJ1630/$AF1630</f>
        <v>11.67333333</v>
      </c>
      <c r="AU1630" s="9">
        <f t="shared" si="5115"/>
        <v>3.226666667</v>
      </c>
      <c r="AV1630" s="9">
        <f t="shared" si="5115"/>
        <v>1.409333333</v>
      </c>
      <c r="AW1630" s="9">
        <f t="shared" si="4570"/>
        <v>4.636</v>
      </c>
      <c r="AX1630" s="9">
        <f t="shared" ref="AX1630:AY1630" si="5116">AM1630/$AF1630</f>
        <v>1.053333333</v>
      </c>
      <c r="AY1630" s="9">
        <f t="shared" si="5116"/>
        <v>0.3066666667</v>
      </c>
      <c r="AZ1630" s="9">
        <f>VLOOKUP(A1630,Jogos!A:BN,58,0)</f>
        <v>31.125</v>
      </c>
      <c r="BA1630" s="9">
        <f>VLOOKUP(A1630,Jogos!A:BN,59,0)</f>
        <v>21.465</v>
      </c>
      <c r="BB1630" s="9">
        <f>VLOOKUP(A1630,Jogos!A:BN,60,0)</f>
        <v>56</v>
      </c>
      <c r="BC1630" s="9">
        <f>VLOOKUP(A1630,Jogos!A:BN,61,0)</f>
        <v>32.26</v>
      </c>
      <c r="BD1630" s="9">
        <f>VLOOKUP(A1630,Jogos!A:BN,62,0)</f>
        <v>592.4</v>
      </c>
      <c r="BE1630" s="9">
        <f>VLOOKUP(A1630,Jogos!A:BN,63,0)</f>
        <v>1.9</v>
      </c>
      <c r="BF1630" s="9">
        <f>VLOOKUP(A1630,Jogos!A:BN,64,0)</f>
        <v>25.37</v>
      </c>
      <c r="BG1630" s="9">
        <f>VLOOKUP(A1630,Jogos!A:BN,65,0)</f>
        <v>45.56</v>
      </c>
      <c r="BH1630" s="9">
        <f>VLOOKUP(A1630,Jogos!A:BN,66,0)</f>
        <v>29.98</v>
      </c>
      <c r="BI1630" s="9"/>
      <c r="BJ1630" s="9"/>
    </row>
    <row r="1631" hidden="1">
      <c r="A1631" s="2">
        <v>55.0</v>
      </c>
      <c r="B1631" s="2" t="s">
        <v>1350</v>
      </c>
      <c r="C1631" s="2" t="s">
        <v>1351</v>
      </c>
      <c r="D1631" s="3">
        <v>45839.0</v>
      </c>
      <c r="E1631" s="4">
        <v>0.625</v>
      </c>
      <c r="F1631" s="5" t="str">
        <f>VLOOKUP(A1631,Jogos!A:N,10,0)</f>
        <v>Afternoon</v>
      </c>
      <c r="G1631" s="2" t="s">
        <v>62</v>
      </c>
      <c r="H1631" s="6" t="str">
        <f>VLOOKUP(A1631,Jogos!A:L,12,0)</f>
        <v>Open</v>
      </c>
      <c r="I1631" s="6" t="str">
        <f>VLOOKUP(G1631,'Estádios e Cidades'!A:B,2,0)</f>
        <v>Miami Gardens - Flórida</v>
      </c>
      <c r="J1631" s="2" t="s">
        <v>999</v>
      </c>
      <c r="K1631" s="2" t="str">
        <f>VLOOKUP(J1631,Equipes!A:F,6,0)</f>
        <v>Temperate</v>
      </c>
      <c r="L1631" s="2">
        <f>VLOOKUP(J1631,Equipes!A:C,3,0)</f>
        <v>13</v>
      </c>
      <c r="M1631" s="2" t="str">
        <f t="shared" si="4"/>
        <v>Round of 16</v>
      </c>
      <c r="N1631" s="2" t="s">
        <v>873</v>
      </c>
      <c r="O1631" s="2">
        <f>VLOOKUP(N1631,Equipes!A:C,3,0)</f>
        <v>3</v>
      </c>
      <c r="P1631" s="2" t="str">
        <f t="shared" si="5"/>
        <v>Semi-final</v>
      </c>
      <c r="Q1631" s="2">
        <f t="shared" si="6"/>
        <v>10</v>
      </c>
      <c r="R1631" s="2" t="str">
        <f>VLOOKUP(J1631,Equipes!A:B,2,0)</f>
        <v>Juventus</v>
      </c>
      <c r="S1631" s="6" t="s">
        <v>1038</v>
      </c>
      <c r="T1631" s="7">
        <v>15.0</v>
      </c>
      <c r="U1631" s="7" t="s">
        <v>1039</v>
      </c>
      <c r="V1631" s="7" t="str">
        <f>VLOOKUP(U1631,Jogadores!B:C,2,0)</f>
        <v>DF</v>
      </c>
      <c r="W1631" s="8">
        <f>VLOOKUP(U1631,Jogadores!B:D,3,0)</f>
        <v>25.16164384</v>
      </c>
      <c r="X1631" s="7">
        <v>0.0</v>
      </c>
      <c r="Y1631" s="7">
        <f t="shared" ref="Y1631:Y1633" si="5120">45+AB1631</f>
        <v>95</v>
      </c>
      <c r="Z1631" s="7">
        <f>VLOOKUP(A1631,Jogos!A:L,3,0)</f>
        <v>49</v>
      </c>
      <c r="AA1631" s="7">
        <f t="shared" si="4815"/>
        <v>49</v>
      </c>
      <c r="AB1631" s="7">
        <f>VLOOKUP(A1631,Jogos!A:L,4,0)</f>
        <v>50</v>
      </c>
      <c r="AC1631" s="7">
        <f t="shared" si="5062"/>
        <v>50</v>
      </c>
      <c r="AD1631" s="7"/>
      <c r="AE1631" s="7"/>
      <c r="AF1631" s="7">
        <f t="shared" si="4566"/>
        <v>99</v>
      </c>
      <c r="AG1631" s="7">
        <v>9921.3</v>
      </c>
      <c r="AH1631" s="7">
        <v>4214.7</v>
      </c>
      <c r="AI1631" s="7">
        <v>3908.3</v>
      </c>
      <c r="AJ1631" s="7">
        <v>1024.1</v>
      </c>
      <c r="AK1631" s="7">
        <v>549.9</v>
      </c>
      <c r="AL1631" s="7">
        <v>224.3</v>
      </c>
      <c r="AM1631" s="7">
        <v>94.0</v>
      </c>
      <c r="AN1631" s="7">
        <v>32.0</v>
      </c>
      <c r="AO1631" s="7">
        <v>33.6</v>
      </c>
      <c r="AP1631" s="9">
        <f t="shared" ref="AP1631:AR1631" si="5117">AG1631/$AF1631</f>
        <v>100.2151515</v>
      </c>
      <c r="AQ1631" s="9">
        <f t="shared" si="5117"/>
        <v>42.57272727</v>
      </c>
      <c r="AR1631" s="9">
        <f t="shared" si="5117"/>
        <v>39.47777778</v>
      </c>
      <c r="AS1631" s="9">
        <f t="shared" si="4568"/>
        <v>82.05050505</v>
      </c>
      <c r="AT1631" s="9">
        <f t="shared" ref="AT1631:AV1631" si="5118">AJ1631/$AF1631</f>
        <v>10.34444444</v>
      </c>
      <c r="AU1631" s="9">
        <f t="shared" si="5118"/>
        <v>5.554545455</v>
      </c>
      <c r="AV1631" s="9">
        <f t="shared" si="5118"/>
        <v>2.265656566</v>
      </c>
      <c r="AW1631" s="9">
        <f t="shared" si="4570"/>
        <v>7.82020202</v>
      </c>
      <c r="AX1631" s="9">
        <f t="shared" ref="AX1631:AY1631" si="5119">AM1631/$AF1631</f>
        <v>0.9494949495</v>
      </c>
      <c r="AY1631" s="9">
        <f t="shared" si="5119"/>
        <v>0.3232323232</v>
      </c>
      <c r="AZ1631" s="9">
        <f>VLOOKUP(A1631,Jogos!A:BN,58,0)</f>
        <v>31.125</v>
      </c>
      <c r="BA1631" s="9">
        <f>VLOOKUP(A1631,Jogos!A:BN,59,0)</f>
        <v>21.465</v>
      </c>
      <c r="BB1631" s="9">
        <f>VLOOKUP(A1631,Jogos!A:BN,60,0)</f>
        <v>56</v>
      </c>
      <c r="BC1631" s="9">
        <f>VLOOKUP(A1631,Jogos!A:BN,61,0)</f>
        <v>32.26</v>
      </c>
      <c r="BD1631" s="9">
        <f>VLOOKUP(A1631,Jogos!A:BN,62,0)</f>
        <v>592.4</v>
      </c>
      <c r="BE1631" s="9">
        <f>VLOOKUP(A1631,Jogos!A:BN,63,0)</f>
        <v>1.9</v>
      </c>
      <c r="BF1631" s="9">
        <f>VLOOKUP(A1631,Jogos!A:BN,64,0)</f>
        <v>25.37</v>
      </c>
      <c r="BG1631" s="9">
        <f>VLOOKUP(A1631,Jogos!A:BN,65,0)</f>
        <v>45.56</v>
      </c>
      <c r="BH1631" s="9">
        <f>VLOOKUP(A1631,Jogos!A:BN,66,0)</f>
        <v>29.98</v>
      </c>
      <c r="BI1631" s="9"/>
      <c r="BJ1631" s="9"/>
    </row>
    <row r="1632" hidden="1">
      <c r="A1632" s="2">
        <v>55.0</v>
      </c>
      <c r="B1632" s="2" t="s">
        <v>1350</v>
      </c>
      <c r="C1632" s="2" t="s">
        <v>1351</v>
      </c>
      <c r="D1632" s="3">
        <v>45839.0</v>
      </c>
      <c r="E1632" s="4">
        <v>0.625</v>
      </c>
      <c r="F1632" s="5" t="str">
        <f>VLOOKUP(A1632,Jogos!A:N,10,0)</f>
        <v>Afternoon</v>
      </c>
      <c r="G1632" s="2" t="s">
        <v>62</v>
      </c>
      <c r="H1632" s="6" t="str">
        <f>VLOOKUP(A1632,Jogos!A:L,12,0)</f>
        <v>Open</v>
      </c>
      <c r="I1632" s="6" t="str">
        <f>VLOOKUP(G1632,'Estádios e Cidades'!A:B,2,0)</f>
        <v>Miami Gardens - Flórida</v>
      </c>
      <c r="J1632" s="2" t="s">
        <v>999</v>
      </c>
      <c r="K1632" s="2" t="str">
        <f>VLOOKUP(J1632,Equipes!A:F,6,0)</f>
        <v>Temperate</v>
      </c>
      <c r="L1632" s="2">
        <f>VLOOKUP(J1632,Equipes!A:C,3,0)</f>
        <v>13</v>
      </c>
      <c r="M1632" s="2" t="str">
        <f t="shared" si="4"/>
        <v>Round of 16</v>
      </c>
      <c r="N1632" s="2" t="s">
        <v>873</v>
      </c>
      <c r="O1632" s="2">
        <f>VLOOKUP(N1632,Equipes!A:C,3,0)</f>
        <v>3</v>
      </c>
      <c r="P1632" s="2" t="str">
        <f t="shared" si="5"/>
        <v>Semi-final</v>
      </c>
      <c r="Q1632" s="2">
        <f t="shared" si="6"/>
        <v>10</v>
      </c>
      <c r="R1632" s="2" t="str">
        <f>VLOOKUP(J1632,Equipes!A:B,2,0)</f>
        <v>Juventus</v>
      </c>
      <c r="S1632" s="6" t="s">
        <v>1042</v>
      </c>
      <c r="T1632" s="7">
        <v>19.0</v>
      </c>
      <c r="U1632" s="7" t="s">
        <v>1043</v>
      </c>
      <c r="V1632" s="7" t="str">
        <f>VLOOKUP(U1632,Jogadores!B:C,2,0)</f>
        <v>MF</v>
      </c>
      <c r="W1632" s="8">
        <f>VLOOKUP(U1632,Jogadores!B:D,3,0)</f>
        <v>24.35616438</v>
      </c>
      <c r="X1632" s="7">
        <v>0.0</v>
      </c>
      <c r="Y1632" s="7">
        <f t="shared" si="5120"/>
        <v>95</v>
      </c>
      <c r="Z1632" s="7">
        <f>VLOOKUP(A1632,Jogos!A:L,3,0)</f>
        <v>49</v>
      </c>
      <c r="AA1632" s="7">
        <f t="shared" si="4815"/>
        <v>49</v>
      </c>
      <c r="AB1632" s="7">
        <f>VLOOKUP(A1632,Jogos!A:L,4,0)</f>
        <v>50</v>
      </c>
      <c r="AC1632" s="7">
        <f t="shared" si="5062"/>
        <v>50</v>
      </c>
      <c r="AD1632" s="7"/>
      <c r="AE1632" s="7"/>
      <c r="AF1632" s="7">
        <f t="shared" si="4566"/>
        <v>99</v>
      </c>
      <c r="AG1632" s="7">
        <v>10512.8</v>
      </c>
      <c r="AH1632" s="7">
        <v>4107.2</v>
      </c>
      <c r="AI1632" s="7">
        <v>4634.0</v>
      </c>
      <c r="AJ1632" s="7">
        <v>1211.4</v>
      </c>
      <c r="AK1632" s="7">
        <v>412.1</v>
      </c>
      <c r="AL1632" s="7">
        <v>148.0</v>
      </c>
      <c r="AM1632" s="7">
        <v>99.0</v>
      </c>
      <c r="AN1632" s="7">
        <v>24.0</v>
      </c>
      <c r="AO1632" s="7">
        <v>30.0</v>
      </c>
      <c r="AP1632" s="9">
        <f t="shared" ref="AP1632:AR1632" si="5121">AG1632/$AF1632</f>
        <v>106.189899</v>
      </c>
      <c r="AQ1632" s="9">
        <f t="shared" si="5121"/>
        <v>41.48686869</v>
      </c>
      <c r="AR1632" s="9">
        <f t="shared" si="5121"/>
        <v>46.80808081</v>
      </c>
      <c r="AS1632" s="9">
        <f t="shared" si="4568"/>
        <v>88.29494949</v>
      </c>
      <c r="AT1632" s="9">
        <f t="shared" ref="AT1632:AV1632" si="5122">AJ1632/$AF1632</f>
        <v>12.23636364</v>
      </c>
      <c r="AU1632" s="9">
        <f t="shared" si="5122"/>
        <v>4.162626263</v>
      </c>
      <c r="AV1632" s="9">
        <f t="shared" si="5122"/>
        <v>1.494949495</v>
      </c>
      <c r="AW1632" s="9">
        <f t="shared" si="4570"/>
        <v>5.657575758</v>
      </c>
      <c r="AX1632" s="9">
        <f t="shared" ref="AX1632:AY1632" si="5123">AM1632/$AF1632</f>
        <v>1</v>
      </c>
      <c r="AY1632" s="9">
        <f t="shared" si="5123"/>
        <v>0.2424242424</v>
      </c>
      <c r="AZ1632" s="9">
        <f>VLOOKUP(A1632,Jogos!A:BN,58,0)</f>
        <v>31.125</v>
      </c>
      <c r="BA1632" s="9">
        <f>VLOOKUP(A1632,Jogos!A:BN,59,0)</f>
        <v>21.465</v>
      </c>
      <c r="BB1632" s="9">
        <f>VLOOKUP(A1632,Jogos!A:BN,60,0)</f>
        <v>56</v>
      </c>
      <c r="BC1632" s="9">
        <f>VLOOKUP(A1632,Jogos!A:BN,61,0)</f>
        <v>32.26</v>
      </c>
      <c r="BD1632" s="9">
        <f>VLOOKUP(A1632,Jogos!A:BN,62,0)</f>
        <v>592.4</v>
      </c>
      <c r="BE1632" s="9">
        <f>VLOOKUP(A1632,Jogos!A:BN,63,0)</f>
        <v>1.9</v>
      </c>
      <c r="BF1632" s="9">
        <f>VLOOKUP(A1632,Jogos!A:BN,64,0)</f>
        <v>25.37</v>
      </c>
      <c r="BG1632" s="9">
        <f>VLOOKUP(A1632,Jogos!A:BN,65,0)</f>
        <v>45.56</v>
      </c>
      <c r="BH1632" s="9">
        <f>VLOOKUP(A1632,Jogos!A:BN,66,0)</f>
        <v>29.98</v>
      </c>
      <c r="BI1632" s="9"/>
      <c r="BJ1632" s="9"/>
    </row>
    <row r="1633" hidden="1">
      <c r="A1633" s="2">
        <v>55.0</v>
      </c>
      <c r="B1633" s="2" t="s">
        <v>1350</v>
      </c>
      <c r="C1633" s="2" t="s">
        <v>1351</v>
      </c>
      <c r="D1633" s="3">
        <v>45839.0</v>
      </c>
      <c r="E1633" s="4">
        <v>0.625</v>
      </c>
      <c r="F1633" s="5" t="str">
        <f>VLOOKUP(A1633,Jogos!A:N,10,0)</f>
        <v>Afternoon</v>
      </c>
      <c r="G1633" s="2" t="s">
        <v>62</v>
      </c>
      <c r="H1633" s="6" t="str">
        <f>VLOOKUP(A1633,Jogos!A:L,12,0)</f>
        <v>Open</v>
      </c>
      <c r="I1633" s="6" t="str">
        <f>VLOOKUP(G1633,'Estádios e Cidades'!A:B,2,0)</f>
        <v>Miami Gardens - Flórida</v>
      </c>
      <c r="J1633" s="2" t="s">
        <v>999</v>
      </c>
      <c r="K1633" s="2" t="str">
        <f>VLOOKUP(J1633,Equipes!A:F,6,0)</f>
        <v>Temperate</v>
      </c>
      <c r="L1633" s="2">
        <f>VLOOKUP(J1633,Equipes!A:C,3,0)</f>
        <v>13</v>
      </c>
      <c r="M1633" s="2" t="str">
        <f t="shared" si="4"/>
        <v>Round of 16</v>
      </c>
      <c r="N1633" s="2" t="s">
        <v>873</v>
      </c>
      <c r="O1633" s="2">
        <f>VLOOKUP(N1633,Equipes!A:C,3,0)</f>
        <v>3</v>
      </c>
      <c r="P1633" s="2" t="str">
        <f t="shared" si="5"/>
        <v>Semi-final</v>
      </c>
      <c r="Q1633" s="2">
        <f t="shared" si="6"/>
        <v>10</v>
      </c>
      <c r="R1633" s="2" t="str">
        <f>VLOOKUP(J1633,Equipes!A:B,2,0)</f>
        <v>Juventus</v>
      </c>
      <c r="S1633" s="6" t="s">
        <v>1044</v>
      </c>
      <c r="T1633" s="7">
        <v>20.0</v>
      </c>
      <c r="U1633" s="7" t="s">
        <v>1045</v>
      </c>
      <c r="V1633" s="7" t="str">
        <f>VLOOKUP(U1633,Jogadores!B:C,2,0)</f>
        <v>FW</v>
      </c>
      <c r="W1633" s="8">
        <f>VLOOKUP(U1633,Jogadores!B:D,3,0)</f>
        <v>26.6630137</v>
      </c>
      <c r="X1633" s="7">
        <v>0.0</v>
      </c>
      <c r="Y1633" s="7">
        <f t="shared" si="5120"/>
        <v>95</v>
      </c>
      <c r="Z1633" s="7">
        <f>VLOOKUP(A1633,Jogos!A:L,3,0)</f>
        <v>49</v>
      </c>
      <c r="AA1633" s="7">
        <f t="shared" si="4815"/>
        <v>49</v>
      </c>
      <c r="AB1633" s="7">
        <f>VLOOKUP(A1633,Jogos!A:L,4,0)</f>
        <v>50</v>
      </c>
      <c r="AC1633" s="7">
        <f t="shared" si="5062"/>
        <v>50</v>
      </c>
      <c r="AD1633" s="7"/>
      <c r="AE1633" s="7"/>
      <c r="AF1633" s="7">
        <f t="shared" si="4566"/>
        <v>99</v>
      </c>
      <c r="AG1633" s="7">
        <v>10239.5</v>
      </c>
      <c r="AH1633" s="7">
        <v>3969.9</v>
      </c>
      <c r="AI1633" s="7">
        <v>4548.0</v>
      </c>
      <c r="AJ1633" s="7">
        <v>1075.5</v>
      </c>
      <c r="AK1633" s="7">
        <v>408.8</v>
      </c>
      <c r="AL1633" s="7">
        <v>237.3</v>
      </c>
      <c r="AM1633" s="7">
        <v>95.0</v>
      </c>
      <c r="AN1633" s="7">
        <v>40.0</v>
      </c>
      <c r="AO1633" s="7">
        <v>34.4</v>
      </c>
      <c r="AP1633" s="9">
        <f t="shared" ref="AP1633:AR1633" si="5124">AG1633/$AF1633</f>
        <v>103.4292929</v>
      </c>
      <c r="AQ1633" s="9">
        <f t="shared" si="5124"/>
        <v>40.1</v>
      </c>
      <c r="AR1633" s="9">
        <f t="shared" si="5124"/>
        <v>45.93939394</v>
      </c>
      <c r="AS1633" s="9">
        <f t="shared" si="4568"/>
        <v>86.03939394</v>
      </c>
      <c r="AT1633" s="9">
        <f t="shared" ref="AT1633:AV1633" si="5125">AJ1633/$AF1633</f>
        <v>10.86363636</v>
      </c>
      <c r="AU1633" s="9">
        <f t="shared" si="5125"/>
        <v>4.129292929</v>
      </c>
      <c r="AV1633" s="9">
        <f t="shared" si="5125"/>
        <v>2.396969697</v>
      </c>
      <c r="AW1633" s="9">
        <f t="shared" si="4570"/>
        <v>6.526262626</v>
      </c>
      <c r="AX1633" s="9">
        <f t="shared" ref="AX1633:AY1633" si="5126">AM1633/$AF1633</f>
        <v>0.9595959596</v>
      </c>
      <c r="AY1633" s="9">
        <f t="shared" si="5126"/>
        <v>0.404040404</v>
      </c>
      <c r="AZ1633" s="9">
        <f>VLOOKUP(A1633,Jogos!A:BN,58,0)</f>
        <v>31.125</v>
      </c>
      <c r="BA1633" s="9">
        <f>VLOOKUP(A1633,Jogos!A:BN,59,0)</f>
        <v>21.465</v>
      </c>
      <c r="BB1633" s="9">
        <f>VLOOKUP(A1633,Jogos!A:BN,60,0)</f>
        <v>56</v>
      </c>
      <c r="BC1633" s="9">
        <f>VLOOKUP(A1633,Jogos!A:BN,61,0)</f>
        <v>32.26</v>
      </c>
      <c r="BD1633" s="9">
        <f>VLOOKUP(A1633,Jogos!A:BN,62,0)</f>
        <v>592.4</v>
      </c>
      <c r="BE1633" s="9">
        <f>VLOOKUP(A1633,Jogos!A:BN,63,0)</f>
        <v>1.9</v>
      </c>
      <c r="BF1633" s="9">
        <f>VLOOKUP(A1633,Jogos!A:BN,64,0)</f>
        <v>25.37</v>
      </c>
      <c r="BG1633" s="9">
        <f>VLOOKUP(A1633,Jogos!A:BN,65,0)</f>
        <v>45.56</v>
      </c>
      <c r="BH1633" s="9">
        <f>VLOOKUP(A1633,Jogos!A:BN,66,0)</f>
        <v>29.98</v>
      </c>
      <c r="BI1633" s="9"/>
      <c r="BJ1633" s="9"/>
    </row>
    <row r="1634" hidden="1">
      <c r="A1634" s="2">
        <v>55.0</v>
      </c>
      <c r="B1634" s="2" t="s">
        <v>1350</v>
      </c>
      <c r="C1634" s="2" t="s">
        <v>1351</v>
      </c>
      <c r="D1634" s="3">
        <v>45839.0</v>
      </c>
      <c r="E1634" s="4">
        <v>0.625</v>
      </c>
      <c r="F1634" s="5" t="str">
        <f>VLOOKUP(A1634,Jogos!A:N,10,0)</f>
        <v>Afternoon</v>
      </c>
      <c r="G1634" s="2" t="s">
        <v>62</v>
      </c>
      <c r="H1634" s="6" t="str">
        <f>VLOOKUP(A1634,Jogos!A:L,12,0)</f>
        <v>Open</v>
      </c>
      <c r="I1634" s="6" t="str">
        <f>VLOOKUP(G1634,'Estádios e Cidades'!A:B,2,0)</f>
        <v>Miami Gardens - Flórida</v>
      </c>
      <c r="J1634" s="2" t="s">
        <v>999</v>
      </c>
      <c r="K1634" s="2" t="str">
        <f>VLOOKUP(J1634,Equipes!A:F,6,0)</f>
        <v>Temperate</v>
      </c>
      <c r="L1634" s="2">
        <f>VLOOKUP(J1634,Equipes!A:C,3,0)</f>
        <v>13</v>
      </c>
      <c r="M1634" s="2" t="str">
        <f t="shared" si="4"/>
        <v>Round of 16</v>
      </c>
      <c r="N1634" s="2" t="s">
        <v>873</v>
      </c>
      <c r="O1634" s="2">
        <f>VLOOKUP(N1634,Equipes!A:C,3,0)</f>
        <v>3</v>
      </c>
      <c r="P1634" s="2" t="str">
        <f t="shared" si="5"/>
        <v>Semi-final</v>
      </c>
      <c r="Q1634" s="2">
        <f t="shared" si="6"/>
        <v>10</v>
      </c>
      <c r="R1634" s="2" t="str">
        <f>VLOOKUP(J1634,Equipes!A:B,2,0)</f>
        <v>Juventus</v>
      </c>
      <c r="S1634" s="6" t="s">
        <v>1378</v>
      </c>
      <c r="T1634" s="7">
        <v>24.0</v>
      </c>
      <c r="U1634" s="7" t="s">
        <v>1379</v>
      </c>
      <c r="V1634" s="7" t="str">
        <f>VLOOKUP(U1634,Jogadores!B:C,2,0)</f>
        <v>DF</v>
      </c>
      <c r="W1634" s="8">
        <f>VLOOKUP(U1634,Jogadores!B:D,3,0)</f>
        <v>31.01917808</v>
      </c>
      <c r="X1634" s="7">
        <v>0.0</v>
      </c>
      <c r="Y1634" s="7">
        <v>86.0</v>
      </c>
      <c r="Z1634" s="7">
        <f>VLOOKUP(A1634,Jogos!A:L,3,0)</f>
        <v>49</v>
      </c>
      <c r="AA1634" s="7">
        <f t="shared" si="4815"/>
        <v>49</v>
      </c>
      <c r="AB1634" s="7">
        <f>VLOOKUP(A1634,Jogos!A:L,4,0)</f>
        <v>50</v>
      </c>
      <c r="AC1634" s="7">
        <f t="shared" si="5062"/>
        <v>41</v>
      </c>
      <c r="AD1634" s="7"/>
      <c r="AE1634" s="7"/>
      <c r="AF1634" s="7">
        <f t="shared" si="4566"/>
        <v>90</v>
      </c>
      <c r="AG1634" s="7">
        <v>8493.4</v>
      </c>
      <c r="AH1634" s="7">
        <v>3653.3</v>
      </c>
      <c r="AI1634" s="7">
        <v>3988.1</v>
      </c>
      <c r="AJ1634" s="7">
        <v>546.9</v>
      </c>
      <c r="AK1634" s="7">
        <v>234.1</v>
      </c>
      <c r="AL1634" s="7">
        <v>71.0</v>
      </c>
      <c r="AM1634" s="7">
        <v>56.0</v>
      </c>
      <c r="AN1634" s="7">
        <v>14.0</v>
      </c>
      <c r="AO1634" s="7">
        <v>29.3</v>
      </c>
      <c r="AP1634" s="9">
        <f t="shared" ref="AP1634:AR1634" si="5127">AG1634/$AF1634</f>
        <v>94.37111111</v>
      </c>
      <c r="AQ1634" s="9">
        <f t="shared" si="5127"/>
        <v>40.59222222</v>
      </c>
      <c r="AR1634" s="9">
        <f t="shared" si="5127"/>
        <v>44.31222222</v>
      </c>
      <c r="AS1634" s="9">
        <f t="shared" si="4568"/>
        <v>84.90444444</v>
      </c>
      <c r="AT1634" s="9">
        <f t="shared" ref="AT1634:AV1634" si="5128">AJ1634/$AF1634</f>
        <v>6.076666667</v>
      </c>
      <c r="AU1634" s="9">
        <f t="shared" si="5128"/>
        <v>2.601111111</v>
      </c>
      <c r="AV1634" s="9">
        <f t="shared" si="5128"/>
        <v>0.7888888889</v>
      </c>
      <c r="AW1634" s="9">
        <f t="shared" si="4570"/>
        <v>3.39</v>
      </c>
      <c r="AX1634" s="9">
        <f t="shared" ref="AX1634:AY1634" si="5129">AM1634/$AF1634</f>
        <v>0.6222222222</v>
      </c>
      <c r="AY1634" s="9">
        <f t="shared" si="5129"/>
        <v>0.1555555556</v>
      </c>
      <c r="AZ1634" s="9">
        <f>VLOOKUP(A1634,Jogos!A:BN,58,0)</f>
        <v>31.125</v>
      </c>
      <c r="BA1634" s="9">
        <f>VLOOKUP(A1634,Jogos!A:BN,59,0)</f>
        <v>21.465</v>
      </c>
      <c r="BB1634" s="9">
        <f>VLOOKUP(A1634,Jogos!A:BN,60,0)</f>
        <v>56</v>
      </c>
      <c r="BC1634" s="9">
        <f>VLOOKUP(A1634,Jogos!A:BN,61,0)</f>
        <v>32.26</v>
      </c>
      <c r="BD1634" s="9">
        <f>VLOOKUP(A1634,Jogos!A:BN,62,0)</f>
        <v>592.4</v>
      </c>
      <c r="BE1634" s="9">
        <f>VLOOKUP(A1634,Jogos!A:BN,63,0)</f>
        <v>1.9</v>
      </c>
      <c r="BF1634" s="9">
        <f>VLOOKUP(A1634,Jogos!A:BN,64,0)</f>
        <v>25.37</v>
      </c>
      <c r="BG1634" s="9">
        <f>VLOOKUP(A1634,Jogos!A:BN,65,0)</f>
        <v>45.56</v>
      </c>
      <c r="BH1634" s="9">
        <f>VLOOKUP(A1634,Jogos!A:BN,66,0)</f>
        <v>29.98</v>
      </c>
      <c r="BI1634" s="9"/>
      <c r="BJ1634" s="9"/>
    </row>
    <row r="1635" hidden="1">
      <c r="A1635" s="2">
        <v>55.0</v>
      </c>
      <c r="B1635" s="2" t="s">
        <v>1350</v>
      </c>
      <c r="C1635" s="2" t="s">
        <v>1351</v>
      </c>
      <c r="D1635" s="3">
        <v>45839.0</v>
      </c>
      <c r="E1635" s="4">
        <v>0.625</v>
      </c>
      <c r="F1635" s="5" t="str">
        <f>VLOOKUP(A1635,Jogos!A:N,10,0)</f>
        <v>Afternoon</v>
      </c>
      <c r="G1635" s="2" t="s">
        <v>62</v>
      </c>
      <c r="H1635" s="6" t="str">
        <f>VLOOKUP(A1635,Jogos!A:L,12,0)</f>
        <v>Open</v>
      </c>
      <c r="I1635" s="6" t="str">
        <f>VLOOKUP(G1635,'Estádios e Cidades'!A:B,2,0)</f>
        <v>Miami Gardens - Flórida</v>
      </c>
      <c r="J1635" s="2" t="s">
        <v>999</v>
      </c>
      <c r="K1635" s="2" t="str">
        <f>VLOOKUP(J1635,Equipes!A:F,6,0)</f>
        <v>Temperate</v>
      </c>
      <c r="L1635" s="2">
        <f>VLOOKUP(J1635,Equipes!A:C,3,0)</f>
        <v>13</v>
      </c>
      <c r="M1635" s="2" t="str">
        <f t="shared" si="4"/>
        <v>Round of 16</v>
      </c>
      <c r="N1635" s="2" t="s">
        <v>873</v>
      </c>
      <c r="O1635" s="2">
        <f>VLOOKUP(N1635,Equipes!A:C,3,0)</f>
        <v>3</v>
      </c>
      <c r="P1635" s="2" t="str">
        <f t="shared" si="5"/>
        <v>Semi-final</v>
      </c>
      <c r="Q1635" s="2">
        <f t="shared" si="6"/>
        <v>10</v>
      </c>
      <c r="R1635" s="2" t="str">
        <f>VLOOKUP(J1635,Equipes!A:B,2,0)</f>
        <v>Juventus</v>
      </c>
      <c r="S1635" s="6" t="s">
        <v>1046</v>
      </c>
      <c r="T1635" s="7">
        <v>27.0</v>
      </c>
      <c r="U1635" s="7" t="s">
        <v>1047</v>
      </c>
      <c r="V1635" s="7" t="str">
        <f>VLOOKUP(U1635,Jogadores!B:C,2,0)</f>
        <v>DF</v>
      </c>
      <c r="W1635" s="8">
        <f>VLOOKUP(U1635,Jogadores!B:D,3,0)</f>
        <v>25.45205479</v>
      </c>
      <c r="X1635" s="7">
        <v>0.0</v>
      </c>
      <c r="Y1635" s="7">
        <f t="shared" ref="Y1635:Y1642" si="5133">45+AB1635</f>
        <v>95</v>
      </c>
      <c r="Z1635" s="7">
        <f>VLOOKUP(A1635,Jogos!A:L,3,0)</f>
        <v>49</v>
      </c>
      <c r="AA1635" s="7">
        <f t="shared" si="4815"/>
        <v>49</v>
      </c>
      <c r="AB1635" s="7">
        <f>VLOOKUP(A1635,Jogos!A:L,4,0)</f>
        <v>50</v>
      </c>
      <c r="AC1635" s="7">
        <f t="shared" si="5062"/>
        <v>50</v>
      </c>
      <c r="AD1635" s="7"/>
      <c r="AE1635" s="7"/>
      <c r="AF1635" s="7">
        <f t="shared" si="4566"/>
        <v>99</v>
      </c>
      <c r="AG1635" s="7">
        <v>11101.7</v>
      </c>
      <c r="AH1635" s="7">
        <v>3949.0</v>
      </c>
      <c r="AI1635" s="7">
        <v>4825.2</v>
      </c>
      <c r="AJ1635" s="7">
        <v>1331.7</v>
      </c>
      <c r="AK1635" s="7">
        <v>723.9</v>
      </c>
      <c r="AL1635" s="7">
        <v>271.9</v>
      </c>
      <c r="AM1635" s="7">
        <v>114.0</v>
      </c>
      <c r="AN1635" s="7">
        <v>55.0</v>
      </c>
      <c r="AO1635" s="7">
        <v>31.0</v>
      </c>
      <c r="AP1635" s="9">
        <f t="shared" ref="AP1635:AR1635" si="5130">AG1635/$AF1635</f>
        <v>112.1383838</v>
      </c>
      <c r="AQ1635" s="9">
        <f t="shared" si="5130"/>
        <v>39.88888889</v>
      </c>
      <c r="AR1635" s="9">
        <f t="shared" si="5130"/>
        <v>48.73939394</v>
      </c>
      <c r="AS1635" s="9">
        <f t="shared" si="4568"/>
        <v>88.62828283</v>
      </c>
      <c r="AT1635" s="9">
        <f t="shared" ref="AT1635:AV1635" si="5131">AJ1635/$AF1635</f>
        <v>13.45151515</v>
      </c>
      <c r="AU1635" s="9">
        <f t="shared" si="5131"/>
        <v>7.312121212</v>
      </c>
      <c r="AV1635" s="9">
        <f t="shared" si="5131"/>
        <v>2.746464646</v>
      </c>
      <c r="AW1635" s="9">
        <f t="shared" si="4570"/>
        <v>10.05858586</v>
      </c>
      <c r="AX1635" s="9">
        <f t="shared" ref="AX1635:AY1635" si="5132">AM1635/$AF1635</f>
        <v>1.151515152</v>
      </c>
      <c r="AY1635" s="9">
        <f t="shared" si="5132"/>
        <v>0.5555555556</v>
      </c>
      <c r="AZ1635" s="9">
        <f>VLOOKUP(A1635,Jogos!A:BN,58,0)</f>
        <v>31.125</v>
      </c>
      <c r="BA1635" s="9">
        <f>VLOOKUP(A1635,Jogos!A:BN,59,0)</f>
        <v>21.465</v>
      </c>
      <c r="BB1635" s="9">
        <f>VLOOKUP(A1635,Jogos!A:BN,60,0)</f>
        <v>56</v>
      </c>
      <c r="BC1635" s="9">
        <f>VLOOKUP(A1635,Jogos!A:BN,61,0)</f>
        <v>32.26</v>
      </c>
      <c r="BD1635" s="9">
        <f>VLOOKUP(A1635,Jogos!A:BN,62,0)</f>
        <v>592.4</v>
      </c>
      <c r="BE1635" s="9">
        <f>VLOOKUP(A1635,Jogos!A:BN,63,0)</f>
        <v>1.9</v>
      </c>
      <c r="BF1635" s="9">
        <f>VLOOKUP(A1635,Jogos!A:BN,64,0)</f>
        <v>25.37</v>
      </c>
      <c r="BG1635" s="9">
        <f>VLOOKUP(A1635,Jogos!A:BN,65,0)</f>
        <v>45.56</v>
      </c>
      <c r="BH1635" s="9">
        <f>VLOOKUP(A1635,Jogos!A:BN,66,0)</f>
        <v>29.98</v>
      </c>
      <c r="BI1635" s="9"/>
      <c r="BJ1635" s="9"/>
    </row>
    <row r="1636" hidden="1">
      <c r="A1636" s="2">
        <v>55.0</v>
      </c>
      <c r="B1636" s="2" t="s">
        <v>1350</v>
      </c>
      <c r="C1636" s="2" t="s">
        <v>1351</v>
      </c>
      <c r="D1636" s="3">
        <v>45839.0</v>
      </c>
      <c r="E1636" s="4">
        <v>0.625</v>
      </c>
      <c r="F1636" s="5" t="str">
        <f>VLOOKUP(A1636,Jogos!A:N,10,0)</f>
        <v>Afternoon</v>
      </c>
      <c r="G1636" s="2" t="s">
        <v>62</v>
      </c>
      <c r="H1636" s="6" t="str">
        <f>VLOOKUP(A1636,Jogos!A:L,12,0)</f>
        <v>Open</v>
      </c>
      <c r="I1636" s="6" t="str">
        <f>VLOOKUP(G1636,'Estádios e Cidades'!A:B,2,0)</f>
        <v>Miami Gardens - Flórida</v>
      </c>
      <c r="J1636" s="2" t="s">
        <v>999</v>
      </c>
      <c r="K1636" s="2" t="str">
        <f>VLOOKUP(J1636,Equipes!A:F,6,0)</f>
        <v>Temperate</v>
      </c>
      <c r="L1636" s="2">
        <f>VLOOKUP(J1636,Equipes!A:C,3,0)</f>
        <v>13</v>
      </c>
      <c r="M1636" s="2" t="str">
        <f t="shared" si="4"/>
        <v>Round of 16</v>
      </c>
      <c r="N1636" s="2" t="s">
        <v>873</v>
      </c>
      <c r="O1636" s="2">
        <f>VLOOKUP(N1636,Equipes!A:C,3,0)</f>
        <v>3</v>
      </c>
      <c r="P1636" s="2" t="str">
        <f t="shared" si="5"/>
        <v>Semi-final</v>
      </c>
      <c r="Q1636" s="2">
        <f t="shared" si="6"/>
        <v>10</v>
      </c>
      <c r="R1636" s="2" t="str">
        <f>VLOOKUP(J1636,Equipes!A:B,2,0)</f>
        <v>Juventus</v>
      </c>
      <c r="S1636" s="6" t="s">
        <v>1050</v>
      </c>
      <c r="T1636" s="7">
        <v>4.0</v>
      </c>
      <c r="U1636" s="7" t="s">
        <v>1051</v>
      </c>
      <c r="V1636" s="7" t="str">
        <f>VLOOKUP(U1636,Jogadores!B:C,2,0)</f>
        <v>DF</v>
      </c>
      <c r="W1636" s="8">
        <f>VLOOKUP(U1636,Jogadores!B:D,3,0)</f>
        <v>27.11232877</v>
      </c>
      <c r="X1636" s="7">
        <v>86.0</v>
      </c>
      <c r="Y1636" s="7">
        <f t="shared" si="5133"/>
        <v>95</v>
      </c>
      <c r="Z1636" s="7">
        <f>VLOOKUP(A1636,Jogos!A:L,3,0)</f>
        <v>49</v>
      </c>
      <c r="AA1636" s="7">
        <f t="shared" si="4815"/>
        <v>0</v>
      </c>
      <c r="AB1636" s="7">
        <f>VLOOKUP(A1636,Jogos!A:L,4,0)</f>
        <v>50</v>
      </c>
      <c r="AC1636" s="7">
        <f t="shared" si="5062"/>
        <v>9</v>
      </c>
      <c r="AD1636" s="7"/>
      <c r="AE1636" s="7"/>
      <c r="AF1636" s="7">
        <f t="shared" si="4566"/>
        <v>9</v>
      </c>
      <c r="AG1636" s="7">
        <v>1148.9</v>
      </c>
      <c r="AH1636" s="7">
        <v>381.3</v>
      </c>
      <c r="AI1636" s="7">
        <v>389.9</v>
      </c>
      <c r="AJ1636" s="7">
        <v>144.8</v>
      </c>
      <c r="AK1636" s="7">
        <v>160.3</v>
      </c>
      <c r="AL1636" s="7">
        <v>72.6</v>
      </c>
      <c r="AM1636" s="7">
        <v>13.0</v>
      </c>
      <c r="AN1636" s="7">
        <v>11.0</v>
      </c>
      <c r="AO1636" s="7">
        <v>29.9</v>
      </c>
      <c r="AP1636" s="9">
        <f t="shared" ref="AP1636:AR1636" si="5134">AG1636/$AF1636</f>
        <v>127.6555556</v>
      </c>
      <c r="AQ1636" s="9">
        <f t="shared" si="5134"/>
        <v>42.36666667</v>
      </c>
      <c r="AR1636" s="9">
        <f t="shared" si="5134"/>
        <v>43.32222222</v>
      </c>
      <c r="AS1636" s="9">
        <f t="shared" si="4568"/>
        <v>85.68888889</v>
      </c>
      <c r="AT1636" s="9">
        <f t="shared" ref="AT1636:AV1636" si="5135">AJ1636/$AF1636</f>
        <v>16.08888889</v>
      </c>
      <c r="AU1636" s="9">
        <f t="shared" si="5135"/>
        <v>17.81111111</v>
      </c>
      <c r="AV1636" s="9">
        <f t="shared" si="5135"/>
        <v>8.066666667</v>
      </c>
      <c r="AW1636" s="9">
        <f t="shared" si="4570"/>
        <v>25.87777778</v>
      </c>
      <c r="AX1636" s="9">
        <f t="shared" ref="AX1636:AY1636" si="5136">AM1636/$AF1636</f>
        <v>1.444444444</v>
      </c>
      <c r="AY1636" s="9">
        <f t="shared" si="5136"/>
        <v>1.222222222</v>
      </c>
      <c r="AZ1636" s="9">
        <f>VLOOKUP(A1636,Jogos!A:BN,58,0)</f>
        <v>31.125</v>
      </c>
      <c r="BA1636" s="9">
        <f>VLOOKUP(A1636,Jogos!A:BN,59,0)</f>
        <v>21.465</v>
      </c>
      <c r="BB1636" s="9">
        <f>VLOOKUP(A1636,Jogos!A:BN,60,0)</f>
        <v>56</v>
      </c>
      <c r="BC1636" s="9">
        <f>VLOOKUP(A1636,Jogos!A:BN,61,0)</f>
        <v>32.26</v>
      </c>
      <c r="BD1636" s="9">
        <f>VLOOKUP(A1636,Jogos!A:BN,62,0)</f>
        <v>592.4</v>
      </c>
      <c r="BE1636" s="9">
        <f>VLOOKUP(A1636,Jogos!A:BN,63,0)</f>
        <v>1.9</v>
      </c>
      <c r="BF1636" s="9">
        <f>VLOOKUP(A1636,Jogos!A:BN,64,0)</f>
        <v>25.37</v>
      </c>
      <c r="BG1636" s="9">
        <f>VLOOKUP(A1636,Jogos!A:BN,65,0)</f>
        <v>45.56</v>
      </c>
      <c r="BH1636" s="9">
        <f>VLOOKUP(A1636,Jogos!A:BN,66,0)</f>
        <v>29.98</v>
      </c>
      <c r="BI1636" s="9"/>
      <c r="BJ1636" s="9"/>
    </row>
    <row r="1637" hidden="1">
      <c r="A1637" s="2">
        <v>55.0</v>
      </c>
      <c r="B1637" s="2" t="s">
        <v>1350</v>
      </c>
      <c r="C1637" s="2" t="s">
        <v>1351</v>
      </c>
      <c r="D1637" s="3">
        <v>45839.0</v>
      </c>
      <c r="E1637" s="4">
        <v>0.625</v>
      </c>
      <c r="F1637" s="5" t="str">
        <f>VLOOKUP(A1637,Jogos!A:N,10,0)</f>
        <v>Afternoon</v>
      </c>
      <c r="G1637" s="2" t="s">
        <v>62</v>
      </c>
      <c r="H1637" s="6" t="str">
        <f>VLOOKUP(A1637,Jogos!A:L,12,0)</f>
        <v>Open</v>
      </c>
      <c r="I1637" s="6" t="str">
        <f>VLOOKUP(G1637,'Estádios e Cidades'!A:B,2,0)</f>
        <v>Miami Gardens - Flórida</v>
      </c>
      <c r="J1637" s="2" t="s">
        <v>999</v>
      </c>
      <c r="K1637" s="2" t="str">
        <f>VLOOKUP(J1637,Equipes!A:F,6,0)</f>
        <v>Temperate</v>
      </c>
      <c r="L1637" s="2">
        <f>VLOOKUP(J1637,Equipes!A:C,3,0)</f>
        <v>13</v>
      </c>
      <c r="M1637" s="2" t="str">
        <f t="shared" si="4"/>
        <v>Round of 16</v>
      </c>
      <c r="N1637" s="2" t="s">
        <v>873</v>
      </c>
      <c r="O1637" s="2">
        <f>VLOOKUP(N1637,Equipes!A:C,3,0)</f>
        <v>3</v>
      </c>
      <c r="P1637" s="2" t="str">
        <f t="shared" si="5"/>
        <v>Semi-final</v>
      </c>
      <c r="Q1637" s="2">
        <f t="shared" si="6"/>
        <v>10</v>
      </c>
      <c r="R1637" s="2" t="str">
        <f>VLOOKUP(J1637,Equipes!A:B,2,0)</f>
        <v>Juventus</v>
      </c>
      <c r="S1637" s="6" t="s">
        <v>1052</v>
      </c>
      <c r="T1637" s="7">
        <v>8.0</v>
      </c>
      <c r="U1637" s="7" t="s">
        <v>1053</v>
      </c>
      <c r="V1637" s="7" t="str">
        <f>VLOOKUP(U1637,Jogadores!B:C,2,0)</f>
        <v>MF</v>
      </c>
      <c r="W1637" s="8">
        <f>VLOOKUP(U1637,Jogadores!B:D,3,0)</f>
        <v>27.43013699</v>
      </c>
      <c r="X1637" s="7">
        <v>71.0</v>
      </c>
      <c r="Y1637" s="7">
        <f t="shared" si="5133"/>
        <v>95</v>
      </c>
      <c r="Z1637" s="7">
        <f>VLOOKUP(A1637,Jogos!A:L,3,0)</f>
        <v>49</v>
      </c>
      <c r="AA1637" s="7">
        <f t="shared" si="4815"/>
        <v>0</v>
      </c>
      <c r="AB1637" s="7">
        <f>VLOOKUP(A1637,Jogos!A:L,4,0)</f>
        <v>50</v>
      </c>
      <c r="AC1637" s="7">
        <f t="shared" si="5062"/>
        <v>24</v>
      </c>
      <c r="AD1637" s="7"/>
      <c r="AE1637" s="7"/>
      <c r="AF1637" s="7">
        <f t="shared" si="4566"/>
        <v>24</v>
      </c>
      <c r="AG1637" s="7">
        <v>2907.4</v>
      </c>
      <c r="AH1637" s="7">
        <v>894.2</v>
      </c>
      <c r="AI1637" s="7">
        <v>1165.9</v>
      </c>
      <c r="AJ1637" s="7">
        <v>596.9</v>
      </c>
      <c r="AK1637" s="7">
        <v>229.8</v>
      </c>
      <c r="AL1637" s="7">
        <v>20.6</v>
      </c>
      <c r="AM1637" s="7">
        <v>49.0</v>
      </c>
      <c r="AN1637" s="7">
        <v>13.0</v>
      </c>
      <c r="AO1637" s="7">
        <v>29.2</v>
      </c>
      <c r="AP1637" s="9">
        <f t="shared" ref="AP1637:AR1637" si="5137">AG1637/$AF1637</f>
        <v>121.1416667</v>
      </c>
      <c r="AQ1637" s="9">
        <f t="shared" si="5137"/>
        <v>37.25833333</v>
      </c>
      <c r="AR1637" s="9">
        <f t="shared" si="5137"/>
        <v>48.57916667</v>
      </c>
      <c r="AS1637" s="9">
        <f t="shared" si="4568"/>
        <v>85.8375</v>
      </c>
      <c r="AT1637" s="9">
        <f t="shared" ref="AT1637:AV1637" si="5138">AJ1637/$AF1637</f>
        <v>24.87083333</v>
      </c>
      <c r="AU1637" s="9">
        <f t="shared" si="5138"/>
        <v>9.575</v>
      </c>
      <c r="AV1637" s="9">
        <f t="shared" si="5138"/>
        <v>0.8583333333</v>
      </c>
      <c r="AW1637" s="9">
        <f t="shared" si="4570"/>
        <v>10.43333333</v>
      </c>
      <c r="AX1637" s="9">
        <f t="shared" ref="AX1637:AY1637" si="5139">AM1637/$AF1637</f>
        <v>2.041666667</v>
      </c>
      <c r="AY1637" s="9">
        <f t="shared" si="5139"/>
        <v>0.5416666667</v>
      </c>
      <c r="AZ1637" s="9">
        <f>VLOOKUP(A1637,Jogos!A:BN,58,0)</f>
        <v>31.125</v>
      </c>
      <c r="BA1637" s="9">
        <f>VLOOKUP(A1637,Jogos!A:BN,59,0)</f>
        <v>21.465</v>
      </c>
      <c r="BB1637" s="9">
        <f>VLOOKUP(A1637,Jogos!A:BN,60,0)</f>
        <v>56</v>
      </c>
      <c r="BC1637" s="9">
        <f>VLOOKUP(A1637,Jogos!A:BN,61,0)</f>
        <v>32.26</v>
      </c>
      <c r="BD1637" s="9">
        <f>VLOOKUP(A1637,Jogos!A:BN,62,0)</f>
        <v>592.4</v>
      </c>
      <c r="BE1637" s="9">
        <f>VLOOKUP(A1637,Jogos!A:BN,63,0)</f>
        <v>1.9</v>
      </c>
      <c r="BF1637" s="9">
        <f>VLOOKUP(A1637,Jogos!A:BN,64,0)</f>
        <v>25.37</v>
      </c>
      <c r="BG1637" s="9">
        <f>VLOOKUP(A1637,Jogos!A:BN,65,0)</f>
        <v>45.56</v>
      </c>
      <c r="BH1637" s="9">
        <f>VLOOKUP(A1637,Jogos!A:BN,66,0)</f>
        <v>29.98</v>
      </c>
      <c r="BI1637" s="9"/>
      <c r="BJ1637" s="9"/>
    </row>
    <row r="1638" hidden="1">
      <c r="A1638" s="2">
        <v>55.0</v>
      </c>
      <c r="B1638" s="2" t="s">
        <v>1350</v>
      </c>
      <c r="C1638" s="2" t="s">
        <v>1351</v>
      </c>
      <c r="D1638" s="3">
        <v>45839.0</v>
      </c>
      <c r="E1638" s="4">
        <v>0.625</v>
      </c>
      <c r="F1638" s="5" t="str">
        <f>VLOOKUP(A1638,Jogos!A:N,10,0)</f>
        <v>Afternoon</v>
      </c>
      <c r="G1638" s="2" t="s">
        <v>62</v>
      </c>
      <c r="H1638" s="6" t="str">
        <f>VLOOKUP(A1638,Jogos!A:L,12,0)</f>
        <v>Open</v>
      </c>
      <c r="I1638" s="6" t="str">
        <f>VLOOKUP(G1638,'Estádios e Cidades'!A:B,2,0)</f>
        <v>Miami Gardens - Flórida</v>
      </c>
      <c r="J1638" s="2" t="s">
        <v>999</v>
      </c>
      <c r="K1638" s="2" t="str">
        <f>VLOOKUP(J1638,Equipes!A:F,6,0)</f>
        <v>Temperate</v>
      </c>
      <c r="L1638" s="2">
        <f>VLOOKUP(J1638,Equipes!A:C,3,0)</f>
        <v>13</v>
      </c>
      <c r="M1638" s="2" t="str">
        <f t="shared" si="4"/>
        <v>Round of 16</v>
      </c>
      <c r="N1638" s="2" t="s">
        <v>873</v>
      </c>
      <c r="O1638" s="2">
        <f>VLOOKUP(N1638,Equipes!A:C,3,0)</f>
        <v>3</v>
      </c>
      <c r="P1638" s="2" t="str">
        <f t="shared" si="5"/>
        <v>Semi-final</v>
      </c>
      <c r="Q1638" s="2">
        <f t="shared" si="6"/>
        <v>10</v>
      </c>
      <c r="R1638" s="2" t="str">
        <f>VLOOKUP(J1638,Equipes!A:B,2,0)</f>
        <v>Juventus</v>
      </c>
      <c r="S1638" s="6" t="s">
        <v>1192</v>
      </c>
      <c r="T1638" s="7">
        <v>11.0</v>
      </c>
      <c r="U1638" s="7" t="s">
        <v>1193</v>
      </c>
      <c r="V1638" s="7" t="str">
        <f>VLOOKUP(U1638,Jogadores!B:C,2,0)</f>
        <v>FW</v>
      </c>
      <c r="W1638" s="8">
        <f>VLOOKUP(U1638,Jogadores!B:D,3,0)</f>
        <v>27.32876712</v>
      </c>
      <c r="X1638" s="7">
        <v>59.0</v>
      </c>
      <c r="Y1638" s="7">
        <f t="shared" si="5133"/>
        <v>95</v>
      </c>
      <c r="Z1638" s="7">
        <f>VLOOKUP(A1638,Jogos!A:L,3,0)</f>
        <v>49</v>
      </c>
      <c r="AA1638" s="7">
        <f t="shared" si="4815"/>
        <v>0</v>
      </c>
      <c r="AB1638" s="7">
        <f>VLOOKUP(A1638,Jogos!A:L,4,0)</f>
        <v>50</v>
      </c>
      <c r="AC1638" s="7">
        <f t="shared" si="5062"/>
        <v>36</v>
      </c>
      <c r="AD1638" s="7"/>
      <c r="AE1638" s="7"/>
      <c r="AF1638" s="7">
        <f t="shared" si="4566"/>
        <v>36</v>
      </c>
      <c r="AG1638" s="7">
        <v>3899.4</v>
      </c>
      <c r="AH1638" s="7">
        <v>1501.9</v>
      </c>
      <c r="AI1638" s="7">
        <v>1643.6</v>
      </c>
      <c r="AJ1638" s="7">
        <v>498.5</v>
      </c>
      <c r="AK1638" s="7">
        <v>190.8</v>
      </c>
      <c r="AL1638" s="7">
        <v>64.6</v>
      </c>
      <c r="AM1638" s="7">
        <v>39.0</v>
      </c>
      <c r="AN1638" s="7">
        <v>15.0</v>
      </c>
      <c r="AO1638" s="7">
        <v>28.5</v>
      </c>
      <c r="AP1638" s="9">
        <f t="shared" ref="AP1638:AR1638" si="5140">AG1638/$AF1638</f>
        <v>108.3166667</v>
      </c>
      <c r="AQ1638" s="9">
        <f t="shared" si="5140"/>
        <v>41.71944444</v>
      </c>
      <c r="AR1638" s="9">
        <f t="shared" si="5140"/>
        <v>45.65555556</v>
      </c>
      <c r="AS1638" s="9">
        <f t="shared" si="4568"/>
        <v>87.375</v>
      </c>
      <c r="AT1638" s="9">
        <f t="shared" ref="AT1638:AV1638" si="5141">AJ1638/$AF1638</f>
        <v>13.84722222</v>
      </c>
      <c r="AU1638" s="9">
        <f t="shared" si="5141"/>
        <v>5.3</v>
      </c>
      <c r="AV1638" s="9">
        <f t="shared" si="5141"/>
        <v>1.794444444</v>
      </c>
      <c r="AW1638" s="9">
        <f t="shared" si="4570"/>
        <v>7.094444444</v>
      </c>
      <c r="AX1638" s="9">
        <f t="shared" ref="AX1638:AY1638" si="5142">AM1638/$AF1638</f>
        <v>1.083333333</v>
      </c>
      <c r="AY1638" s="9">
        <f t="shared" si="5142"/>
        <v>0.4166666667</v>
      </c>
      <c r="AZ1638" s="9">
        <f>VLOOKUP(A1638,Jogos!A:BN,58,0)</f>
        <v>31.125</v>
      </c>
      <c r="BA1638" s="9">
        <f>VLOOKUP(A1638,Jogos!A:BN,59,0)</f>
        <v>21.465</v>
      </c>
      <c r="BB1638" s="9">
        <f>VLOOKUP(A1638,Jogos!A:BN,60,0)</f>
        <v>56</v>
      </c>
      <c r="BC1638" s="9">
        <f>VLOOKUP(A1638,Jogos!A:BN,61,0)</f>
        <v>32.26</v>
      </c>
      <c r="BD1638" s="9">
        <f>VLOOKUP(A1638,Jogos!A:BN,62,0)</f>
        <v>592.4</v>
      </c>
      <c r="BE1638" s="9">
        <f>VLOOKUP(A1638,Jogos!A:BN,63,0)</f>
        <v>1.9</v>
      </c>
      <c r="BF1638" s="9">
        <f>VLOOKUP(A1638,Jogos!A:BN,64,0)</f>
        <v>25.37</v>
      </c>
      <c r="BG1638" s="9">
        <f>VLOOKUP(A1638,Jogos!A:BN,65,0)</f>
        <v>45.56</v>
      </c>
      <c r="BH1638" s="9">
        <f>VLOOKUP(A1638,Jogos!A:BN,66,0)</f>
        <v>29.98</v>
      </c>
      <c r="BI1638" s="9"/>
      <c r="BJ1638" s="9"/>
    </row>
    <row r="1639" hidden="1">
      <c r="A1639" s="2">
        <v>55.0</v>
      </c>
      <c r="B1639" s="2" t="s">
        <v>1350</v>
      </c>
      <c r="C1639" s="2" t="s">
        <v>1351</v>
      </c>
      <c r="D1639" s="3">
        <v>45839.0</v>
      </c>
      <c r="E1639" s="4">
        <v>0.625</v>
      </c>
      <c r="F1639" s="5" t="str">
        <f>VLOOKUP(A1639,Jogos!A:N,10,0)</f>
        <v>Afternoon</v>
      </c>
      <c r="G1639" s="2" t="s">
        <v>62</v>
      </c>
      <c r="H1639" s="6" t="str">
        <f>VLOOKUP(A1639,Jogos!A:L,12,0)</f>
        <v>Open</v>
      </c>
      <c r="I1639" s="6" t="str">
        <f>VLOOKUP(G1639,'Estádios e Cidades'!A:B,2,0)</f>
        <v>Miami Gardens - Flórida</v>
      </c>
      <c r="J1639" s="2" t="s">
        <v>999</v>
      </c>
      <c r="K1639" s="2" t="str">
        <f>VLOOKUP(J1639,Equipes!A:F,6,0)</f>
        <v>Temperate</v>
      </c>
      <c r="L1639" s="2">
        <f>VLOOKUP(J1639,Equipes!A:C,3,0)</f>
        <v>13</v>
      </c>
      <c r="M1639" s="2" t="str">
        <f t="shared" si="4"/>
        <v>Round of 16</v>
      </c>
      <c r="N1639" s="2" t="s">
        <v>873</v>
      </c>
      <c r="O1639" s="2">
        <f>VLOOKUP(N1639,Equipes!A:C,3,0)</f>
        <v>3</v>
      </c>
      <c r="P1639" s="2" t="str">
        <f t="shared" si="5"/>
        <v>Semi-final</v>
      </c>
      <c r="Q1639" s="2">
        <f t="shared" si="6"/>
        <v>10</v>
      </c>
      <c r="R1639" s="2" t="str">
        <f>VLOOKUP(J1639,Equipes!A:B,2,0)</f>
        <v>Juventus</v>
      </c>
      <c r="S1639" s="6" t="s">
        <v>1040</v>
      </c>
      <c r="T1639" s="7">
        <v>16.0</v>
      </c>
      <c r="U1639" s="7" t="s">
        <v>1041</v>
      </c>
      <c r="V1639" s="7" t="str">
        <f>VLOOKUP(U1639,Jogadores!B:C,2,0)</f>
        <v>MF</v>
      </c>
      <c r="W1639" s="8">
        <f>VLOOKUP(U1639,Jogadores!B:D,3,0)</f>
        <v>26.93424658</v>
      </c>
      <c r="X1639" s="7">
        <v>85.0</v>
      </c>
      <c r="Y1639" s="7">
        <f t="shared" si="5133"/>
        <v>95</v>
      </c>
      <c r="Z1639" s="7">
        <f>VLOOKUP(A1639,Jogos!A:L,3,0)</f>
        <v>49</v>
      </c>
      <c r="AA1639" s="7">
        <f t="shared" si="4815"/>
        <v>0</v>
      </c>
      <c r="AB1639" s="7">
        <f>VLOOKUP(A1639,Jogos!A:L,4,0)</f>
        <v>50</v>
      </c>
      <c r="AC1639" s="7">
        <f t="shared" si="5062"/>
        <v>10</v>
      </c>
      <c r="AD1639" s="7"/>
      <c r="AE1639" s="7"/>
      <c r="AF1639" s="7">
        <f t="shared" si="4566"/>
        <v>10</v>
      </c>
      <c r="AG1639" s="7">
        <v>1343.4</v>
      </c>
      <c r="AH1639" s="7">
        <v>341.8</v>
      </c>
      <c r="AI1639" s="7">
        <v>614.6</v>
      </c>
      <c r="AJ1639" s="7">
        <v>238.3</v>
      </c>
      <c r="AK1639" s="7">
        <v>101.5</v>
      </c>
      <c r="AL1639" s="7">
        <v>47.2</v>
      </c>
      <c r="AM1639" s="7">
        <v>21.0</v>
      </c>
      <c r="AN1639" s="7">
        <v>6.0</v>
      </c>
      <c r="AO1639" s="7">
        <v>27.5</v>
      </c>
      <c r="AP1639" s="9">
        <f t="shared" ref="AP1639:AR1639" si="5143">AG1639/$AF1639</f>
        <v>134.34</v>
      </c>
      <c r="AQ1639" s="9">
        <f t="shared" si="5143"/>
        <v>34.18</v>
      </c>
      <c r="AR1639" s="9">
        <f t="shared" si="5143"/>
        <v>61.46</v>
      </c>
      <c r="AS1639" s="9">
        <f t="shared" si="4568"/>
        <v>95.64</v>
      </c>
      <c r="AT1639" s="9">
        <f t="shared" ref="AT1639:AV1639" si="5144">AJ1639/$AF1639</f>
        <v>23.83</v>
      </c>
      <c r="AU1639" s="9">
        <f t="shared" si="5144"/>
        <v>10.15</v>
      </c>
      <c r="AV1639" s="9">
        <f t="shared" si="5144"/>
        <v>4.72</v>
      </c>
      <c r="AW1639" s="9">
        <f t="shared" si="4570"/>
        <v>14.87</v>
      </c>
      <c r="AX1639" s="9">
        <f t="shared" ref="AX1639:AY1639" si="5145">AM1639/$AF1639</f>
        <v>2.1</v>
      </c>
      <c r="AY1639" s="9">
        <f t="shared" si="5145"/>
        <v>0.6</v>
      </c>
      <c r="AZ1639" s="9">
        <f>VLOOKUP(A1639,Jogos!A:BN,58,0)</f>
        <v>31.125</v>
      </c>
      <c r="BA1639" s="9">
        <f>VLOOKUP(A1639,Jogos!A:BN,59,0)</f>
        <v>21.465</v>
      </c>
      <c r="BB1639" s="9">
        <f>VLOOKUP(A1639,Jogos!A:BN,60,0)</f>
        <v>56</v>
      </c>
      <c r="BC1639" s="9">
        <f>VLOOKUP(A1639,Jogos!A:BN,61,0)</f>
        <v>32.26</v>
      </c>
      <c r="BD1639" s="9">
        <f>VLOOKUP(A1639,Jogos!A:BN,62,0)</f>
        <v>592.4</v>
      </c>
      <c r="BE1639" s="9">
        <f>VLOOKUP(A1639,Jogos!A:BN,63,0)</f>
        <v>1.9</v>
      </c>
      <c r="BF1639" s="9">
        <f>VLOOKUP(A1639,Jogos!A:BN,64,0)</f>
        <v>25.37</v>
      </c>
      <c r="BG1639" s="9">
        <f>VLOOKUP(A1639,Jogos!A:BN,65,0)</f>
        <v>45.56</v>
      </c>
      <c r="BH1639" s="9">
        <f>VLOOKUP(A1639,Jogos!A:BN,66,0)</f>
        <v>29.98</v>
      </c>
      <c r="BI1639" s="9"/>
      <c r="BJ1639" s="9"/>
    </row>
    <row r="1640" hidden="1">
      <c r="A1640" s="2">
        <v>55.0</v>
      </c>
      <c r="B1640" s="2" t="s">
        <v>1350</v>
      </c>
      <c r="C1640" s="2" t="s">
        <v>1351</v>
      </c>
      <c r="D1640" s="3">
        <v>45839.0</v>
      </c>
      <c r="E1640" s="4">
        <v>0.625</v>
      </c>
      <c r="F1640" s="5" t="str">
        <f>VLOOKUP(A1640,Jogos!A:N,10,0)</f>
        <v>Afternoon</v>
      </c>
      <c r="G1640" s="2" t="s">
        <v>62</v>
      </c>
      <c r="H1640" s="6" t="str">
        <f>VLOOKUP(A1640,Jogos!A:L,12,0)</f>
        <v>Open</v>
      </c>
      <c r="I1640" s="6" t="str">
        <f>VLOOKUP(G1640,'Estádios e Cidades'!A:B,2,0)</f>
        <v>Miami Gardens - Flórida</v>
      </c>
      <c r="J1640" s="2" t="s">
        <v>999</v>
      </c>
      <c r="K1640" s="2" t="str">
        <f>VLOOKUP(J1640,Equipes!A:F,6,0)</f>
        <v>Temperate</v>
      </c>
      <c r="L1640" s="2">
        <f>VLOOKUP(J1640,Equipes!A:C,3,0)</f>
        <v>13</v>
      </c>
      <c r="M1640" s="2" t="str">
        <f t="shared" si="4"/>
        <v>Round of 16</v>
      </c>
      <c r="N1640" s="2" t="s">
        <v>873</v>
      </c>
      <c r="O1640" s="2">
        <f>VLOOKUP(N1640,Equipes!A:C,3,0)</f>
        <v>3</v>
      </c>
      <c r="P1640" s="2" t="str">
        <f t="shared" si="5"/>
        <v>Semi-final</v>
      </c>
      <c r="Q1640" s="2">
        <f t="shared" si="6"/>
        <v>10</v>
      </c>
      <c r="R1640" s="2" t="str">
        <f>VLOOKUP(J1640,Equipes!A:B,2,0)</f>
        <v>Juventus</v>
      </c>
      <c r="S1640" s="6" t="s">
        <v>1326</v>
      </c>
      <c r="T1640" s="7">
        <v>18.0</v>
      </c>
      <c r="U1640" s="7" t="s">
        <v>1327</v>
      </c>
      <c r="V1640" s="7" t="str">
        <f>VLOOKUP(U1640,Jogadores!B:C,2,0)</f>
        <v>MF</v>
      </c>
      <c r="W1640" s="8">
        <f>VLOOKUP(U1640,Jogadores!B:D,3,0)</f>
        <v>32.75890411</v>
      </c>
      <c r="X1640" s="20">
        <v>60.0</v>
      </c>
      <c r="Y1640" s="7">
        <f t="shared" si="5133"/>
        <v>95</v>
      </c>
      <c r="Z1640" s="7">
        <f>VLOOKUP(A1640,Jogos!A:L,3,0)</f>
        <v>49</v>
      </c>
      <c r="AA1640" s="7">
        <f t="shared" si="4815"/>
        <v>0</v>
      </c>
      <c r="AB1640" s="7">
        <f>VLOOKUP(A1640,Jogos!A:L,4,0)</f>
        <v>50</v>
      </c>
      <c r="AC1640" s="7">
        <f t="shared" si="5062"/>
        <v>35</v>
      </c>
      <c r="AD1640" s="7"/>
      <c r="AE1640" s="7"/>
      <c r="AF1640" s="7">
        <f t="shared" si="4566"/>
        <v>35</v>
      </c>
      <c r="AG1640" s="7">
        <v>4108.9</v>
      </c>
      <c r="AH1640" s="7">
        <v>1568.8</v>
      </c>
      <c r="AI1640" s="7">
        <v>1367.0</v>
      </c>
      <c r="AJ1640" s="7">
        <v>586.1</v>
      </c>
      <c r="AK1640" s="7">
        <v>333.5</v>
      </c>
      <c r="AL1640" s="7">
        <v>253.4</v>
      </c>
      <c r="AM1640" s="7">
        <v>56.0</v>
      </c>
      <c r="AN1640" s="7">
        <v>26.0</v>
      </c>
      <c r="AO1640" s="7">
        <v>32.3</v>
      </c>
      <c r="AP1640" s="9">
        <f t="shared" ref="AP1640:AR1640" si="5146">AG1640/$AF1640</f>
        <v>117.3971429</v>
      </c>
      <c r="AQ1640" s="9">
        <f t="shared" si="5146"/>
        <v>44.82285714</v>
      </c>
      <c r="AR1640" s="9">
        <f t="shared" si="5146"/>
        <v>39.05714286</v>
      </c>
      <c r="AS1640" s="9">
        <f t="shared" si="4568"/>
        <v>83.88</v>
      </c>
      <c r="AT1640" s="9">
        <f t="shared" ref="AT1640:AV1640" si="5147">AJ1640/$AF1640</f>
        <v>16.74571429</v>
      </c>
      <c r="AU1640" s="9">
        <f t="shared" si="5147"/>
        <v>9.528571429</v>
      </c>
      <c r="AV1640" s="9">
        <f t="shared" si="5147"/>
        <v>7.24</v>
      </c>
      <c r="AW1640" s="9">
        <f t="shared" si="4570"/>
        <v>16.76857143</v>
      </c>
      <c r="AX1640" s="9">
        <f t="shared" ref="AX1640:AY1640" si="5148">AM1640/$AF1640</f>
        <v>1.6</v>
      </c>
      <c r="AY1640" s="9">
        <f t="shared" si="5148"/>
        <v>0.7428571429</v>
      </c>
      <c r="AZ1640" s="9">
        <f>VLOOKUP(A1640,Jogos!A:BN,58,0)</f>
        <v>31.125</v>
      </c>
      <c r="BA1640" s="9">
        <f>VLOOKUP(A1640,Jogos!A:BN,59,0)</f>
        <v>21.465</v>
      </c>
      <c r="BB1640" s="9">
        <f>VLOOKUP(A1640,Jogos!A:BN,60,0)</f>
        <v>56</v>
      </c>
      <c r="BC1640" s="9">
        <f>VLOOKUP(A1640,Jogos!A:BN,61,0)</f>
        <v>32.26</v>
      </c>
      <c r="BD1640" s="9">
        <f>VLOOKUP(A1640,Jogos!A:BN,62,0)</f>
        <v>592.4</v>
      </c>
      <c r="BE1640" s="9">
        <f>VLOOKUP(A1640,Jogos!A:BN,63,0)</f>
        <v>1.9</v>
      </c>
      <c r="BF1640" s="9">
        <f>VLOOKUP(A1640,Jogos!A:BN,64,0)</f>
        <v>25.37</v>
      </c>
      <c r="BG1640" s="9">
        <f>VLOOKUP(A1640,Jogos!A:BN,65,0)</f>
        <v>45.56</v>
      </c>
      <c r="BH1640" s="9">
        <f>VLOOKUP(A1640,Jogos!A:BN,66,0)</f>
        <v>29.98</v>
      </c>
      <c r="BI1640" s="9"/>
      <c r="BJ1640" s="9"/>
    </row>
    <row r="1641" hidden="1">
      <c r="A1641" s="2">
        <v>56.0</v>
      </c>
      <c r="B1641" s="2" t="s">
        <v>1350</v>
      </c>
      <c r="C1641" s="2" t="s">
        <v>1351</v>
      </c>
      <c r="D1641" s="3">
        <v>45839.0</v>
      </c>
      <c r="E1641" s="4">
        <v>0.875</v>
      </c>
      <c r="F1641" s="5" t="str">
        <f>VLOOKUP(A1641,Jogos!A:N,10,0)</f>
        <v>Evening</v>
      </c>
      <c r="G1641" s="2" t="s">
        <v>376</v>
      </c>
      <c r="H1641" s="6" t="str">
        <f>VLOOKUP(A1641,Jogos!A:L,12,0)</f>
        <v>Closed</v>
      </c>
      <c r="I1641" s="6" t="str">
        <f>VLOOKUP(G1641,'Estádios e Cidades'!A:B,2,0)</f>
        <v>Atlanta</v>
      </c>
      <c r="J1641" s="2" t="s">
        <v>564</v>
      </c>
      <c r="K1641" s="2" t="str">
        <f>VLOOKUP(J1641,Equipes!A:F,6,0)</f>
        <v>Temperate</v>
      </c>
      <c r="L1641" s="2">
        <f>VLOOKUP(J1641,Equipes!A:C,3,0)</f>
        <v>5</v>
      </c>
      <c r="M1641" s="2" t="str">
        <f t="shared" si="4"/>
        <v>Quarter-final</v>
      </c>
      <c r="N1641" s="2" t="s">
        <v>747</v>
      </c>
      <c r="O1641" s="2">
        <f>VLOOKUP(N1641,Equipes!A:C,3,0)</f>
        <v>15</v>
      </c>
      <c r="P1641" s="2" t="str">
        <f t="shared" si="5"/>
        <v>Round of 16</v>
      </c>
      <c r="Q1641" s="2">
        <f t="shared" si="6"/>
        <v>-10</v>
      </c>
      <c r="R1641" s="2" t="str">
        <f>VLOOKUP(J1641,Equipes!A:B,2,0)</f>
        <v>Borussia</v>
      </c>
      <c r="S1641" s="6" t="s">
        <v>593</v>
      </c>
      <c r="T1641" s="7">
        <v>3.0</v>
      </c>
      <c r="U1641" s="7" t="s">
        <v>594</v>
      </c>
      <c r="V1641" s="7" t="str">
        <f>VLOOKUP(U1641,Jogadores!B:C,2,0)</f>
        <v>DF</v>
      </c>
      <c r="W1641" s="8">
        <f>VLOOKUP(U1641,Jogadores!B:D,3,0)</f>
        <v>29.04109589</v>
      </c>
      <c r="X1641" s="7">
        <v>0.0</v>
      </c>
      <c r="Y1641" s="7">
        <f t="shared" si="5133"/>
        <v>95</v>
      </c>
      <c r="Z1641" s="7">
        <f>VLOOKUP(A1641,Jogos!A:L,3,0)</f>
        <v>47</v>
      </c>
      <c r="AA1641" s="7">
        <f t="shared" si="4815"/>
        <v>47</v>
      </c>
      <c r="AB1641" s="7">
        <f>VLOOKUP(A1641,Jogos!A:L,4,0)</f>
        <v>50</v>
      </c>
      <c r="AC1641" s="7">
        <f t="shared" si="5062"/>
        <v>50</v>
      </c>
      <c r="AD1641" s="7"/>
      <c r="AE1641" s="7"/>
      <c r="AF1641" s="7">
        <f t="shared" si="4566"/>
        <v>97</v>
      </c>
      <c r="AG1641" s="7">
        <v>11016.2</v>
      </c>
      <c r="AH1641" s="7">
        <v>3651.6</v>
      </c>
      <c r="AI1641" s="7">
        <v>5122.2</v>
      </c>
      <c r="AJ1641" s="7">
        <v>1406.5</v>
      </c>
      <c r="AK1641" s="7">
        <v>588.7</v>
      </c>
      <c r="AL1641" s="7">
        <v>247.2</v>
      </c>
      <c r="AM1641" s="7">
        <v>133.0</v>
      </c>
      <c r="AN1641" s="7">
        <v>48.0</v>
      </c>
      <c r="AO1641" s="7">
        <v>31.1</v>
      </c>
      <c r="AP1641" s="9">
        <f t="shared" ref="AP1641:AR1641" si="5149">AG1641/$AF1641</f>
        <v>113.5690722</v>
      </c>
      <c r="AQ1641" s="9">
        <f t="shared" si="5149"/>
        <v>37.64536082</v>
      </c>
      <c r="AR1641" s="9">
        <f t="shared" si="5149"/>
        <v>52.80618557</v>
      </c>
      <c r="AS1641" s="9">
        <f t="shared" si="4568"/>
        <v>90.45154639</v>
      </c>
      <c r="AT1641" s="9">
        <f t="shared" ref="AT1641:AV1641" si="5150">AJ1641/$AF1641</f>
        <v>14.5</v>
      </c>
      <c r="AU1641" s="9">
        <f t="shared" si="5150"/>
        <v>6.069072165</v>
      </c>
      <c r="AV1641" s="9">
        <f t="shared" si="5150"/>
        <v>2.548453608</v>
      </c>
      <c r="AW1641" s="9">
        <f t="shared" si="4570"/>
        <v>8.617525773</v>
      </c>
      <c r="AX1641" s="9">
        <f t="shared" ref="AX1641:AY1641" si="5151">AM1641/$AF1641</f>
        <v>1.371134021</v>
      </c>
      <c r="AY1641" s="9">
        <f t="shared" si="5151"/>
        <v>0.4948453608</v>
      </c>
      <c r="AZ1641" s="9">
        <f>VLOOKUP(A1641,Jogos!A:BN,58,0)</f>
        <v>23.565</v>
      </c>
      <c r="BA1641" s="9">
        <f>VLOOKUP(A1641,Jogos!A:BN,59,0)</f>
        <v>21.58</v>
      </c>
      <c r="BB1641" s="9">
        <f>VLOOKUP(A1641,Jogos!A:BN,60,0)</f>
        <v>88</v>
      </c>
      <c r="BC1641" s="9">
        <f>VLOOKUP(A1641,Jogos!A:BN,61,0)</f>
        <v>21.225</v>
      </c>
      <c r="BD1641" s="9">
        <f>VLOOKUP(A1641,Jogos!A:BN,62,0)</f>
        <v>0</v>
      </c>
      <c r="BE1641" s="9">
        <f>VLOOKUP(A1641,Jogos!A:BN,63,0)</f>
        <v>2.535</v>
      </c>
      <c r="BF1641" s="9">
        <f>VLOOKUP(A1641,Jogos!A:BN,64,0)</f>
        <v>22.145</v>
      </c>
      <c r="BG1641" s="9">
        <f>VLOOKUP(A1641,Jogos!A:BN,65,0)</f>
        <v>37.205</v>
      </c>
      <c r="BH1641" s="9">
        <f>VLOOKUP(A1641,Jogos!A:BN,66,0)</f>
        <v>25.295</v>
      </c>
      <c r="BI1641" s="9"/>
      <c r="BJ1641" s="9"/>
    </row>
    <row r="1642" hidden="1">
      <c r="A1642" s="2">
        <v>56.0</v>
      </c>
      <c r="B1642" s="2" t="s">
        <v>1350</v>
      </c>
      <c r="C1642" s="2" t="s">
        <v>1351</v>
      </c>
      <c r="D1642" s="3">
        <v>45839.0</v>
      </c>
      <c r="E1642" s="4">
        <v>0.875</v>
      </c>
      <c r="F1642" s="5" t="str">
        <f>VLOOKUP(A1642,Jogos!A:N,10,0)</f>
        <v>Evening</v>
      </c>
      <c r="G1642" s="2" t="s">
        <v>376</v>
      </c>
      <c r="H1642" s="6" t="str">
        <f>VLOOKUP(A1642,Jogos!A:L,12,0)</f>
        <v>Closed</v>
      </c>
      <c r="I1642" s="6" t="str">
        <f>VLOOKUP(G1642,'Estádios e Cidades'!A:B,2,0)</f>
        <v>Atlanta</v>
      </c>
      <c r="J1642" s="2" t="s">
        <v>564</v>
      </c>
      <c r="K1642" s="2" t="str">
        <f>VLOOKUP(J1642,Equipes!A:F,6,0)</f>
        <v>Temperate</v>
      </c>
      <c r="L1642" s="2">
        <f>VLOOKUP(J1642,Equipes!A:C,3,0)</f>
        <v>5</v>
      </c>
      <c r="M1642" s="2" t="str">
        <f t="shared" si="4"/>
        <v>Quarter-final</v>
      </c>
      <c r="N1642" s="2" t="s">
        <v>747</v>
      </c>
      <c r="O1642" s="2">
        <f>VLOOKUP(N1642,Equipes!A:C,3,0)</f>
        <v>15</v>
      </c>
      <c r="P1642" s="2" t="str">
        <f t="shared" si="5"/>
        <v>Round of 16</v>
      </c>
      <c r="Q1642" s="2">
        <f t="shared" si="6"/>
        <v>-10</v>
      </c>
      <c r="R1642" s="2" t="str">
        <f>VLOOKUP(J1642,Equipes!A:B,2,0)</f>
        <v>Borussia</v>
      </c>
      <c r="S1642" s="6" t="s">
        <v>595</v>
      </c>
      <c r="T1642" s="7">
        <v>5.0</v>
      </c>
      <c r="U1642" s="7" t="s">
        <v>596</v>
      </c>
      <c r="V1642" s="7" t="str">
        <f>VLOOKUP(U1642,Jogadores!B:C,2,0)</f>
        <v>DF</v>
      </c>
      <c r="W1642" s="8">
        <f>VLOOKUP(U1642,Jogadores!B:D,3,0)</f>
        <v>30.30410959</v>
      </c>
      <c r="X1642" s="7">
        <v>0.0</v>
      </c>
      <c r="Y1642" s="7">
        <f t="shared" si="5133"/>
        <v>95</v>
      </c>
      <c r="Z1642" s="7">
        <f>VLOOKUP(A1642,Jogos!A:L,3,0)</f>
        <v>47</v>
      </c>
      <c r="AA1642" s="7">
        <f t="shared" si="4815"/>
        <v>47</v>
      </c>
      <c r="AB1642" s="7">
        <f>VLOOKUP(A1642,Jogos!A:L,4,0)</f>
        <v>50</v>
      </c>
      <c r="AC1642" s="7">
        <f t="shared" si="5062"/>
        <v>50</v>
      </c>
      <c r="AD1642" s="7"/>
      <c r="AE1642" s="7"/>
      <c r="AF1642" s="7">
        <f t="shared" si="4566"/>
        <v>97</v>
      </c>
      <c r="AG1642" s="7">
        <v>10214.1</v>
      </c>
      <c r="AH1642" s="7">
        <v>3826.8</v>
      </c>
      <c r="AI1642" s="7">
        <v>4593.3</v>
      </c>
      <c r="AJ1642" s="7">
        <v>1114.1</v>
      </c>
      <c r="AK1642" s="7">
        <v>485.6</v>
      </c>
      <c r="AL1642" s="7">
        <v>194.2</v>
      </c>
      <c r="AM1642" s="7">
        <v>99.0</v>
      </c>
      <c r="AN1642" s="7">
        <v>37.0</v>
      </c>
      <c r="AO1642" s="7">
        <v>32.1</v>
      </c>
      <c r="AP1642" s="9">
        <f t="shared" ref="AP1642:AR1642" si="5152">AG1642/$AF1642</f>
        <v>105.3</v>
      </c>
      <c r="AQ1642" s="9">
        <f t="shared" si="5152"/>
        <v>39.45154639</v>
      </c>
      <c r="AR1642" s="9">
        <f t="shared" si="5152"/>
        <v>47.35360825</v>
      </c>
      <c r="AS1642" s="9">
        <f t="shared" si="4568"/>
        <v>86.80515464</v>
      </c>
      <c r="AT1642" s="9">
        <f t="shared" ref="AT1642:AV1642" si="5153">AJ1642/$AF1642</f>
        <v>11.48556701</v>
      </c>
      <c r="AU1642" s="9">
        <f t="shared" si="5153"/>
        <v>5.006185567</v>
      </c>
      <c r="AV1642" s="9">
        <f t="shared" si="5153"/>
        <v>2.002061856</v>
      </c>
      <c r="AW1642" s="9">
        <f t="shared" si="4570"/>
        <v>7.008247423</v>
      </c>
      <c r="AX1642" s="9">
        <f t="shared" ref="AX1642:AY1642" si="5154">AM1642/$AF1642</f>
        <v>1.020618557</v>
      </c>
      <c r="AY1642" s="9">
        <f t="shared" si="5154"/>
        <v>0.381443299</v>
      </c>
      <c r="AZ1642" s="9">
        <f>VLOOKUP(A1642,Jogos!A:BN,58,0)</f>
        <v>23.565</v>
      </c>
      <c r="BA1642" s="9">
        <f>VLOOKUP(A1642,Jogos!A:BN,59,0)</f>
        <v>21.58</v>
      </c>
      <c r="BB1642" s="9">
        <f>VLOOKUP(A1642,Jogos!A:BN,60,0)</f>
        <v>88</v>
      </c>
      <c r="BC1642" s="9">
        <f>VLOOKUP(A1642,Jogos!A:BN,61,0)</f>
        <v>21.225</v>
      </c>
      <c r="BD1642" s="9">
        <f>VLOOKUP(A1642,Jogos!A:BN,62,0)</f>
        <v>0</v>
      </c>
      <c r="BE1642" s="9">
        <f>VLOOKUP(A1642,Jogos!A:BN,63,0)</f>
        <v>2.535</v>
      </c>
      <c r="BF1642" s="9">
        <f>VLOOKUP(A1642,Jogos!A:BN,64,0)</f>
        <v>22.145</v>
      </c>
      <c r="BG1642" s="9">
        <f>VLOOKUP(A1642,Jogos!A:BN,65,0)</f>
        <v>37.205</v>
      </c>
      <c r="BH1642" s="9">
        <f>VLOOKUP(A1642,Jogos!A:BN,66,0)</f>
        <v>25.295</v>
      </c>
      <c r="BI1642" s="9"/>
      <c r="BJ1642" s="9"/>
    </row>
    <row r="1643" hidden="1">
      <c r="A1643" s="2">
        <v>56.0</v>
      </c>
      <c r="B1643" s="2" t="s">
        <v>1350</v>
      </c>
      <c r="C1643" s="2" t="s">
        <v>1351</v>
      </c>
      <c r="D1643" s="3">
        <v>45839.0</v>
      </c>
      <c r="E1643" s="4">
        <v>0.875</v>
      </c>
      <c r="F1643" s="5" t="str">
        <f>VLOOKUP(A1643,Jogos!A:N,10,0)</f>
        <v>Evening</v>
      </c>
      <c r="G1643" s="2" t="s">
        <v>376</v>
      </c>
      <c r="H1643" s="6" t="str">
        <f>VLOOKUP(A1643,Jogos!A:L,12,0)</f>
        <v>Closed</v>
      </c>
      <c r="I1643" s="6" t="str">
        <f>VLOOKUP(G1643,'Estádios e Cidades'!A:B,2,0)</f>
        <v>Atlanta</v>
      </c>
      <c r="J1643" s="2" t="s">
        <v>564</v>
      </c>
      <c r="K1643" s="2" t="str">
        <f>VLOOKUP(J1643,Equipes!A:F,6,0)</f>
        <v>Temperate</v>
      </c>
      <c r="L1643" s="2">
        <f>VLOOKUP(J1643,Equipes!A:C,3,0)</f>
        <v>5</v>
      </c>
      <c r="M1643" s="2" t="str">
        <f t="shared" si="4"/>
        <v>Quarter-final</v>
      </c>
      <c r="N1643" s="2" t="s">
        <v>747</v>
      </c>
      <c r="O1643" s="2">
        <f>VLOOKUP(N1643,Equipes!A:C,3,0)</f>
        <v>15</v>
      </c>
      <c r="P1643" s="2" t="str">
        <f t="shared" si="5"/>
        <v>Round of 16</v>
      </c>
      <c r="Q1643" s="2">
        <f t="shared" si="6"/>
        <v>-10</v>
      </c>
      <c r="R1643" s="2" t="str">
        <f>VLOOKUP(J1643,Equipes!A:B,2,0)</f>
        <v>Borussia</v>
      </c>
      <c r="S1643" s="6" t="s">
        <v>615</v>
      </c>
      <c r="T1643" s="7">
        <v>8.0</v>
      </c>
      <c r="U1643" s="7" t="s">
        <v>616</v>
      </c>
      <c r="V1643" s="7" t="str">
        <f>VLOOKUP(U1643,Jogadores!B:C,2,0)</f>
        <v>MF</v>
      </c>
      <c r="W1643" s="8">
        <f>VLOOKUP(U1643,Jogadores!B:D,3,0)</f>
        <v>24.81369863</v>
      </c>
      <c r="X1643" s="7">
        <v>0.0</v>
      </c>
      <c r="Y1643" s="7">
        <v>71.0</v>
      </c>
      <c r="Z1643" s="7">
        <f>VLOOKUP(A1643,Jogos!A:L,3,0)</f>
        <v>47</v>
      </c>
      <c r="AA1643" s="7">
        <f t="shared" si="4815"/>
        <v>47</v>
      </c>
      <c r="AB1643" s="7">
        <f>VLOOKUP(A1643,Jogos!A:L,4,0)</f>
        <v>50</v>
      </c>
      <c r="AC1643" s="7">
        <f t="shared" si="5062"/>
        <v>26</v>
      </c>
      <c r="AD1643" s="7"/>
      <c r="AE1643" s="7"/>
      <c r="AF1643" s="7">
        <f t="shared" si="4566"/>
        <v>73</v>
      </c>
      <c r="AG1643" s="7">
        <v>8938.4</v>
      </c>
      <c r="AH1643" s="7">
        <v>2686.2</v>
      </c>
      <c r="AI1643" s="7">
        <v>4172.8</v>
      </c>
      <c r="AJ1643" s="7">
        <v>1676.2</v>
      </c>
      <c r="AK1643" s="7">
        <v>356.2</v>
      </c>
      <c r="AL1643" s="7">
        <v>47.0</v>
      </c>
      <c r="AM1643" s="7">
        <v>147.0</v>
      </c>
      <c r="AN1643" s="7">
        <v>25.0</v>
      </c>
      <c r="AO1643" s="7">
        <v>30.2</v>
      </c>
      <c r="AP1643" s="9">
        <f t="shared" ref="AP1643:AR1643" si="5155">AG1643/$AF1643</f>
        <v>122.4438356</v>
      </c>
      <c r="AQ1643" s="9">
        <f t="shared" si="5155"/>
        <v>36.79726027</v>
      </c>
      <c r="AR1643" s="9">
        <f t="shared" si="5155"/>
        <v>57.16164384</v>
      </c>
      <c r="AS1643" s="9">
        <f t="shared" si="4568"/>
        <v>93.95890411</v>
      </c>
      <c r="AT1643" s="9">
        <f t="shared" ref="AT1643:AV1643" si="5156">AJ1643/$AF1643</f>
        <v>22.96164384</v>
      </c>
      <c r="AU1643" s="9">
        <f t="shared" si="5156"/>
        <v>4.879452055</v>
      </c>
      <c r="AV1643" s="9">
        <f t="shared" si="5156"/>
        <v>0.6438356164</v>
      </c>
      <c r="AW1643" s="9">
        <f t="shared" si="4570"/>
        <v>5.523287671</v>
      </c>
      <c r="AX1643" s="9">
        <f t="shared" ref="AX1643:AY1643" si="5157">AM1643/$AF1643</f>
        <v>2.01369863</v>
      </c>
      <c r="AY1643" s="9">
        <f t="shared" si="5157"/>
        <v>0.3424657534</v>
      </c>
      <c r="AZ1643" s="9">
        <f>VLOOKUP(A1643,Jogos!A:BN,58,0)</f>
        <v>23.565</v>
      </c>
      <c r="BA1643" s="9">
        <f>VLOOKUP(A1643,Jogos!A:BN,59,0)</f>
        <v>21.58</v>
      </c>
      <c r="BB1643" s="9">
        <f>VLOOKUP(A1643,Jogos!A:BN,60,0)</f>
        <v>88</v>
      </c>
      <c r="BC1643" s="9">
        <f>VLOOKUP(A1643,Jogos!A:BN,61,0)</f>
        <v>21.225</v>
      </c>
      <c r="BD1643" s="9">
        <f>VLOOKUP(A1643,Jogos!A:BN,62,0)</f>
        <v>0</v>
      </c>
      <c r="BE1643" s="9">
        <f>VLOOKUP(A1643,Jogos!A:BN,63,0)</f>
        <v>2.535</v>
      </c>
      <c r="BF1643" s="9">
        <f>VLOOKUP(A1643,Jogos!A:BN,64,0)</f>
        <v>22.145</v>
      </c>
      <c r="BG1643" s="9">
        <f>VLOOKUP(A1643,Jogos!A:BN,65,0)</f>
        <v>37.205</v>
      </c>
      <c r="BH1643" s="9">
        <f>VLOOKUP(A1643,Jogos!A:BN,66,0)</f>
        <v>25.295</v>
      </c>
      <c r="BI1643" s="9"/>
      <c r="BJ1643" s="9"/>
    </row>
    <row r="1644" hidden="1">
      <c r="A1644" s="2">
        <v>56.0</v>
      </c>
      <c r="B1644" s="2" t="s">
        <v>1350</v>
      </c>
      <c r="C1644" s="2" t="s">
        <v>1351</v>
      </c>
      <c r="D1644" s="3">
        <v>45839.0</v>
      </c>
      <c r="E1644" s="4">
        <v>0.875</v>
      </c>
      <c r="F1644" s="5" t="str">
        <f>VLOOKUP(A1644,Jogos!A:N,10,0)</f>
        <v>Evening</v>
      </c>
      <c r="G1644" s="2" t="s">
        <v>376</v>
      </c>
      <c r="H1644" s="6" t="str">
        <f>VLOOKUP(A1644,Jogos!A:L,12,0)</f>
        <v>Closed</v>
      </c>
      <c r="I1644" s="6" t="str">
        <f>VLOOKUP(G1644,'Estádios e Cidades'!A:B,2,0)</f>
        <v>Atlanta</v>
      </c>
      <c r="J1644" s="2" t="s">
        <v>564</v>
      </c>
      <c r="K1644" s="2" t="str">
        <f>VLOOKUP(J1644,Equipes!A:F,6,0)</f>
        <v>Temperate</v>
      </c>
      <c r="L1644" s="2">
        <f>VLOOKUP(J1644,Equipes!A:C,3,0)</f>
        <v>5</v>
      </c>
      <c r="M1644" s="2" t="str">
        <f t="shared" si="4"/>
        <v>Quarter-final</v>
      </c>
      <c r="N1644" s="2" t="s">
        <v>747</v>
      </c>
      <c r="O1644" s="2">
        <f>VLOOKUP(N1644,Equipes!A:C,3,0)</f>
        <v>15</v>
      </c>
      <c r="P1644" s="2" t="str">
        <f t="shared" si="5"/>
        <v>Round of 16</v>
      </c>
      <c r="Q1644" s="2">
        <f t="shared" si="6"/>
        <v>-10</v>
      </c>
      <c r="R1644" s="2" t="str">
        <f>VLOOKUP(J1644,Equipes!A:B,2,0)</f>
        <v>Borussia</v>
      </c>
      <c r="S1644" s="6" t="s">
        <v>597</v>
      </c>
      <c r="T1644" s="7">
        <v>9.0</v>
      </c>
      <c r="U1644" s="7" t="s">
        <v>598</v>
      </c>
      <c r="V1644" s="7" t="str">
        <f>VLOOKUP(U1644,Jogadores!B:C,2,0)</f>
        <v>FW</v>
      </c>
      <c r="W1644" s="8">
        <f>VLOOKUP(U1644,Jogadores!B:D,3,0)</f>
        <v>29.39726027</v>
      </c>
      <c r="X1644" s="7">
        <v>0.0</v>
      </c>
      <c r="Y1644" s="7">
        <f t="shared" ref="Y1644:Y1648" si="5161">45+AB1644</f>
        <v>95</v>
      </c>
      <c r="Z1644" s="7">
        <f>VLOOKUP(A1644,Jogos!A:L,3,0)</f>
        <v>47</v>
      </c>
      <c r="AA1644" s="7">
        <f t="shared" si="4815"/>
        <v>47</v>
      </c>
      <c r="AB1644" s="7">
        <f>VLOOKUP(A1644,Jogos!A:L,4,0)</f>
        <v>50</v>
      </c>
      <c r="AC1644" s="7">
        <f t="shared" si="5062"/>
        <v>50</v>
      </c>
      <c r="AD1644" s="7"/>
      <c r="AE1644" s="7"/>
      <c r="AF1644" s="7">
        <f t="shared" si="4566"/>
        <v>97</v>
      </c>
      <c r="AG1644" s="7">
        <v>10621.8</v>
      </c>
      <c r="AH1644" s="7">
        <v>4232.2</v>
      </c>
      <c r="AI1644" s="7">
        <v>4333.3</v>
      </c>
      <c r="AJ1644" s="7">
        <v>1261.7</v>
      </c>
      <c r="AK1644" s="7">
        <v>551.2</v>
      </c>
      <c r="AL1644" s="7">
        <v>243.4</v>
      </c>
      <c r="AM1644" s="7">
        <v>118.0</v>
      </c>
      <c r="AN1644" s="7">
        <v>44.0</v>
      </c>
      <c r="AO1644" s="7">
        <v>29.9</v>
      </c>
      <c r="AP1644" s="9">
        <f t="shared" ref="AP1644:AR1644" si="5158">AG1644/$AF1644</f>
        <v>109.5030928</v>
      </c>
      <c r="AQ1644" s="9">
        <f t="shared" si="5158"/>
        <v>43.63092784</v>
      </c>
      <c r="AR1644" s="9">
        <f t="shared" si="5158"/>
        <v>44.67319588</v>
      </c>
      <c r="AS1644" s="9">
        <f t="shared" si="4568"/>
        <v>88.30412371</v>
      </c>
      <c r="AT1644" s="9">
        <f t="shared" ref="AT1644:AV1644" si="5159">AJ1644/$AF1644</f>
        <v>13.00721649</v>
      </c>
      <c r="AU1644" s="9">
        <f t="shared" si="5159"/>
        <v>5.682474227</v>
      </c>
      <c r="AV1644" s="9">
        <f t="shared" si="5159"/>
        <v>2.509278351</v>
      </c>
      <c r="AW1644" s="9">
        <f t="shared" si="4570"/>
        <v>8.191752577</v>
      </c>
      <c r="AX1644" s="9">
        <f t="shared" ref="AX1644:AY1644" si="5160">AM1644/$AF1644</f>
        <v>1.216494845</v>
      </c>
      <c r="AY1644" s="9">
        <f t="shared" si="5160"/>
        <v>0.4536082474</v>
      </c>
      <c r="AZ1644" s="9">
        <f>VLOOKUP(A1644,Jogos!A:BN,58,0)</f>
        <v>23.565</v>
      </c>
      <c r="BA1644" s="9">
        <f>VLOOKUP(A1644,Jogos!A:BN,59,0)</f>
        <v>21.58</v>
      </c>
      <c r="BB1644" s="9">
        <f>VLOOKUP(A1644,Jogos!A:BN,60,0)</f>
        <v>88</v>
      </c>
      <c r="BC1644" s="9">
        <f>VLOOKUP(A1644,Jogos!A:BN,61,0)</f>
        <v>21.225</v>
      </c>
      <c r="BD1644" s="9">
        <f>VLOOKUP(A1644,Jogos!A:BN,62,0)</f>
        <v>0</v>
      </c>
      <c r="BE1644" s="9">
        <f>VLOOKUP(A1644,Jogos!A:BN,63,0)</f>
        <v>2.535</v>
      </c>
      <c r="BF1644" s="9">
        <f>VLOOKUP(A1644,Jogos!A:BN,64,0)</f>
        <v>22.145</v>
      </c>
      <c r="BG1644" s="9">
        <f>VLOOKUP(A1644,Jogos!A:BN,65,0)</f>
        <v>37.205</v>
      </c>
      <c r="BH1644" s="9">
        <f>VLOOKUP(A1644,Jogos!A:BN,66,0)</f>
        <v>25.295</v>
      </c>
      <c r="BI1644" s="9"/>
      <c r="BJ1644" s="9"/>
    </row>
    <row r="1645" hidden="1">
      <c r="A1645" s="2">
        <v>56.0</v>
      </c>
      <c r="B1645" s="2" t="s">
        <v>1350</v>
      </c>
      <c r="C1645" s="2" t="s">
        <v>1351</v>
      </c>
      <c r="D1645" s="3">
        <v>45839.0</v>
      </c>
      <c r="E1645" s="4">
        <v>0.875</v>
      </c>
      <c r="F1645" s="5" t="str">
        <f>VLOOKUP(A1645,Jogos!A:N,10,0)</f>
        <v>Evening</v>
      </c>
      <c r="G1645" s="2" t="s">
        <v>376</v>
      </c>
      <c r="H1645" s="6" t="str">
        <f>VLOOKUP(A1645,Jogos!A:L,12,0)</f>
        <v>Closed</v>
      </c>
      <c r="I1645" s="6" t="str">
        <f>VLOOKUP(G1645,'Estádios e Cidades'!A:B,2,0)</f>
        <v>Atlanta</v>
      </c>
      <c r="J1645" s="2" t="s">
        <v>564</v>
      </c>
      <c r="K1645" s="2" t="str">
        <f>VLOOKUP(J1645,Equipes!A:F,6,0)</f>
        <v>Temperate</v>
      </c>
      <c r="L1645" s="2">
        <f>VLOOKUP(J1645,Equipes!A:C,3,0)</f>
        <v>5</v>
      </c>
      <c r="M1645" s="2" t="str">
        <f t="shared" si="4"/>
        <v>Quarter-final</v>
      </c>
      <c r="N1645" s="2" t="s">
        <v>747</v>
      </c>
      <c r="O1645" s="2">
        <f>VLOOKUP(N1645,Equipes!A:C,3,0)</f>
        <v>15</v>
      </c>
      <c r="P1645" s="2" t="str">
        <f t="shared" si="5"/>
        <v>Round of 16</v>
      </c>
      <c r="Q1645" s="2">
        <f t="shared" si="6"/>
        <v>-10</v>
      </c>
      <c r="R1645" s="2" t="str">
        <f>VLOOKUP(J1645,Equipes!A:B,2,0)</f>
        <v>Borussia</v>
      </c>
      <c r="S1645" s="6" t="s">
        <v>601</v>
      </c>
      <c r="T1645" s="7">
        <v>13.0</v>
      </c>
      <c r="U1645" s="7" t="s">
        <v>602</v>
      </c>
      <c r="V1645" s="7" t="str">
        <f>VLOOKUP(U1645,Jogadores!B:C,2,0)</f>
        <v>MF</v>
      </c>
      <c r="W1645" s="8">
        <f>VLOOKUP(U1645,Jogadores!B:D,3,0)</f>
        <v>34.14246575</v>
      </c>
      <c r="X1645" s="7">
        <v>0.0</v>
      </c>
      <c r="Y1645" s="7">
        <f t="shared" si="5161"/>
        <v>95</v>
      </c>
      <c r="Z1645" s="7">
        <f>VLOOKUP(A1645,Jogos!A:L,3,0)</f>
        <v>47</v>
      </c>
      <c r="AA1645" s="7">
        <f t="shared" si="4815"/>
        <v>47</v>
      </c>
      <c r="AB1645" s="7">
        <f>VLOOKUP(A1645,Jogos!A:L,4,0)</f>
        <v>50</v>
      </c>
      <c r="AC1645" s="7">
        <f t="shared" si="5062"/>
        <v>50</v>
      </c>
      <c r="AD1645" s="7"/>
      <c r="AE1645" s="7"/>
      <c r="AF1645" s="7">
        <f t="shared" si="4566"/>
        <v>97</v>
      </c>
      <c r="AG1645" s="7">
        <v>12471.6</v>
      </c>
      <c r="AH1645" s="7">
        <v>3495.2</v>
      </c>
      <c r="AI1645" s="7">
        <v>5991.2</v>
      </c>
      <c r="AJ1645" s="7">
        <v>2236.1</v>
      </c>
      <c r="AK1645" s="7">
        <v>607.4</v>
      </c>
      <c r="AL1645" s="7">
        <v>141.7</v>
      </c>
      <c r="AM1645" s="7">
        <v>210.0</v>
      </c>
      <c r="AN1645" s="7">
        <v>50.0</v>
      </c>
      <c r="AO1645" s="7">
        <v>29.6</v>
      </c>
      <c r="AP1645" s="9">
        <f t="shared" ref="AP1645:AR1645" si="5162">AG1645/$AF1645</f>
        <v>128.5731959</v>
      </c>
      <c r="AQ1645" s="9">
        <f t="shared" si="5162"/>
        <v>36.03298969</v>
      </c>
      <c r="AR1645" s="9">
        <f t="shared" si="5162"/>
        <v>61.76494845</v>
      </c>
      <c r="AS1645" s="9">
        <f t="shared" si="4568"/>
        <v>97.79793814</v>
      </c>
      <c r="AT1645" s="9">
        <f t="shared" ref="AT1645:AV1645" si="5163">AJ1645/$AF1645</f>
        <v>23.05257732</v>
      </c>
      <c r="AU1645" s="9">
        <f t="shared" si="5163"/>
        <v>6.26185567</v>
      </c>
      <c r="AV1645" s="9">
        <f t="shared" si="5163"/>
        <v>1.460824742</v>
      </c>
      <c r="AW1645" s="9">
        <f t="shared" si="4570"/>
        <v>7.722680412</v>
      </c>
      <c r="AX1645" s="9">
        <f t="shared" ref="AX1645:AY1645" si="5164">AM1645/$AF1645</f>
        <v>2.164948454</v>
      </c>
      <c r="AY1645" s="9">
        <f t="shared" si="5164"/>
        <v>0.5154639175</v>
      </c>
      <c r="AZ1645" s="9">
        <f>VLOOKUP(A1645,Jogos!A:BN,58,0)</f>
        <v>23.565</v>
      </c>
      <c r="BA1645" s="9">
        <f>VLOOKUP(A1645,Jogos!A:BN,59,0)</f>
        <v>21.58</v>
      </c>
      <c r="BB1645" s="9">
        <f>VLOOKUP(A1645,Jogos!A:BN,60,0)</f>
        <v>88</v>
      </c>
      <c r="BC1645" s="9">
        <f>VLOOKUP(A1645,Jogos!A:BN,61,0)</f>
        <v>21.225</v>
      </c>
      <c r="BD1645" s="9">
        <f>VLOOKUP(A1645,Jogos!A:BN,62,0)</f>
        <v>0</v>
      </c>
      <c r="BE1645" s="9">
        <f>VLOOKUP(A1645,Jogos!A:BN,63,0)</f>
        <v>2.535</v>
      </c>
      <c r="BF1645" s="9">
        <f>VLOOKUP(A1645,Jogos!A:BN,64,0)</f>
        <v>22.145</v>
      </c>
      <c r="BG1645" s="9">
        <f>VLOOKUP(A1645,Jogos!A:BN,65,0)</f>
        <v>37.205</v>
      </c>
      <c r="BH1645" s="9">
        <f>VLOOKUP(A1645,Jogos!A:BN,66,0)</f>
        <v>25.295</v>
      </c>
      <c r="BI1645" s="9"/>
      <c r="BJ1645" s="9"/>
    </row>
    <row r="1646" hidden="1">
      <c r="A1646" s="2">
        <v>56.0</v>
      </c>
      <c r="B1646" s="2" t="s">
        <v>1350</v>
      </c>
      <c r="C1646" s="2" t="s">
        <v>1351</v>
      </c>
      <c r="D1646" s="3">
        <v>45839.0</v>
      </c>
      <c r="E1646" s="4">
        <v>0.875</v>
      </c>
      <c r="F1646" s="5" t="str">
        <f>VLOOKUP(A1646,Jogos!A:N,10,0)</f>
        <v>Evening</v>
      </c>
      <c r="G1646" s="2" t="s">
        <v>376</v>
      </c>
      <c r="H1646" s="6" t="str">
        <f>VLOOKUP(A1646,Jogos!A:L,12,0)</f>
        <v>Closed</v>
      </c>
      <c r="I1646" s="6" t="str">
        <f>VLOOKUP(G1646,'Estádios e Cidades'!A:B,2,0)</f>
        <v>Atlanta</v>
      </c>
      <c r="J1646" s="2" t="s">
        <v>564</v>
      </c>
      <c r="K1646" s="2" t="str">
        <f>VLOOKUP(J1646,Equipes!A:F,6,0)</f>
        <v>Temperate</v>
      </c>
      <c r="L1646" s="2">
        <f>VLOOKUP(J1646,Equipes!A:C,3,0)</f>
        <v>5</v>
      </c>
      <c r="M1646" s="2" t="str">
        <f t="shared" si="4"/>
        <v>Quarter-final</v>
      </c>
      <c r="N1646" s="2" t="s">
        <v>747</v>
      </c>
      <c r="O1646" s="2">
        <f>VLOOKUP(N1646,Equipes!A:C,3,0)</f>
        <v>15</v>
      </c>
      <c r="P1646" s="2" t="str">
        <f t="shared" si="5"/>
        <v>Round of 16</v>
      </c>
      <c r="Q1646" s="2">
        <f t="shared" si="6"/>
        <v>-10</v>
      </c>
      <c r="R1646" s="2" t="str">
        <f>VLOOKUP(J1646,Equipes!A:B,2,0)</f>
        <v>Borussia</v>
      </c>
      <c r="S1646" s="6" t="s">
        <v>605</v>
      </c>
      <c r="T1646" s="7">
        <v>24.0</v>
      </c>
      <c r="U1646" s="7" t="s">
        <v>606</v>
      </c>
      <c r="V1646" s="7" t="str">
        <f>VLOOKUP(U1646,Jogadores!B:C,2,0)</f>
        <v>DF</v>
      </c>
      <c r="W1646" s="8">
        <f>VLOOKUP(U1646,Jogadores!B:D,3,0)</f>
        <v>23.47123288</v>
      </c>
      <c r="X1646" s="7">
        <v>0.0</v>
      </c>
      <c r="Y1646" s="7">
        <f t="shared" si="5161"/>
        <v>95</v>
      </c>
      <c r="Z1646" s="7">
        <f>VLOOKUP(A1646,Jogos!A:L,3,0)</f>
        <v>47</v>
      </c>
      <c r="AA1646" s="7">
        <f t="shared" si="4815"/>
        <v>47</v>
      </c>
      <c r="AB1646" s="7">
        <f>VLOOKUP(A1646,Jogos!A:L,4,0)</f>
        <v>50</v>
      </c>
      <c r="AC1646" s="7">
        <f t="shared" si="5062"/>
        <v>50</v>
      </c>
      <c r="AD1646" s="7"/>
      <c r="AE1646" s="7"/>
      <c r="AF1646" s="7">
        <f t="shared" si="4566"/>
        <v>97</v>
      </c>
      <c r="AG1646" s="7">
        <v>12398.9</v>
      </c>
      <c r="AH1646" s="7">
        <v>3352.6</v>
      </c>
      <c r="AI1646" s="7">
        <v>5663.5</v>
      </c>
      <c r="AJ1646" s="7">
        <v>2009.5</v>
      </c>
      <c r="AK1646" s="7">
        <v>1090.5</v>
      </c>
      <c r="AL1646" s="7">
        <v>282.7</v>
      </c>
      <c r="AM1646" s="7">
        <v>187.0</v>
      </c>
      <c r="AN1646" s="7">
        <v>75.0</v>
      </c>
      <c r="AO1646" s="7">
        <v>31.7</v>
      </c>
      <c r="AP1646" s="9">
        <f t="shared" ref="AP1646:AR1646" si="5165">AG1646/$AF1646</f>
        <v>127.8237113</v>
      </c>
      <c r="AQ1646" s="9">
        <f t="shared" si="5165"/>
        <v>34.5628866</v>
      </c>
      <c r="AR1646" s="9">
        <f t="shared" si="5165"/>
        <v>58.38659794</v>
      </c>
      <c r="AS1646" s="9">
        <f t="shared" si="4568"/>
        <v>92.94948454</v>
      </c>
      <c r="AT1646" s="9">
        <f t="shared" ref="AT1646:AV1646" si="5166">AJ1646/$AF1646</f>
        <v>20.71649485</v>
      </c>
      <c r="AU1646" s="9">
        <f t="shared" si="5166"/>
        <v>11.24226804</v>
      </c>
      <c r="AV1646" s="9">
        <f t="shared" si="5166"/>
        <v>2.91443299</v>
      </c>
      <c r="AW1646" s="9">
        <f t="shared" si="4570"/>
        <v>14.15670103</v>
      </c>
      <c r="AX1646" s="9">
        <f t="shared" ref="AX1646:AY1646" si="5167">AM1646/$AF1646</f>
        <v>1.927835052</v>
      </c>
      <c r="AY1646" s="9">
        <f t="shared" si="5167"/>
        <v>0.7731958763</v>
      </c>
      <c r="AZ1646" s="9">
        <f>VLOOKUP(A1646,Jogos!A:BN,58,0)</f>
        <v>23.565</v>
      </c>
      <c r="BA1646" s="9">
        <f>VLOOKUP(A1646,Jogos!A:BN,59,0)</f>
        <v>21.58</v>
      </c>
      <c r="BB1646" s="9">
        <f>VLOOKUP(A1646,Jogos!A:BN,60,0)</f>
        <v>88</v>
      </c>
      <c r="BC1646" s="9">
        <f>VLOOKUP(A1646,Jogos!A:BN,61,0)</f>
        <v>21.225</v>
      </c>
      <c r="BD1646" s="9">
        <f>VLOOKUP(A1646,Jogos!A:BN,62,0)</f>
        <v>0</v>
      </c>
      <c r="BE1646" s="9">
        <f>VLOOKUP(A1646,Jogos!A:BN,63,0)</f>
        <v>2.535</v>
      </c>
      <c r="BF1646" s="9">
        <f>VLOOKUP(A1646,Jogos!A:BN,64,0)</f>
        <v>22.145</v>
      </c>
      <c r="BG1646" s="9">
        <f>VLOOKUP(A1646,Jogos!A:BN,65,0)</f>
        <v>37.205</v>
      </c>
      <c r="BH1646" s="9">
        <f>VLOOKUP(A1646,Jogos!A:BN,66,0)</f>
        <v>25.295</v>
      </c>
      <c r="BI1646" s="9"/>
      <c r="BJ1646" s="9"/>
    </row>
    <row r="1647" hidden="1">
      <c r="A1647" s="2">
        <v>56.0</v>
      </c>
      <c r="B1647" s="2" t="s">
        <v>1350</v>
      </c>
      <c r="C1647" s="2" t="s">
        <v>1351</v>
      </c>
      <c r="D1647" s="3">
        <v>45839.0</v>
      </c>
      <c r="E1647" s="4">
        <v>0.875</v>
      </c>
      <c r="F1647" s="5" t="str">
        <f>VLOOKUP(A1647,Jogos!A:N,10,0)</f>
        <v>Evening</v>
      </c>
      <c r="G1647" s="2" t="s">
        <v>376</v>
      </c>
      <c r="H1647" s="6" t="str">
        <f>VLOOKUP(A1647,Jogos!A:L,12,0)</f>
        <v>Closed</v>
      </c>
      <c r="I1647" s="6" t="str">
        <f>VLOOKUP(G1647,'Estádios e Cidades'!A:B,2,0)</f>
        <v>Atlanta</v>
      </c>
      <c r="J1647" s="2" t="s">
        <v>564</v>
      </c>
      <c r="K1647" s="2" t="str">
        <f>VLOOKUP(J1647,Equipes!A:F,6,0)</f>
        <v>Temperate</v>
      </c>
      <c r="L1647" s="2">
        <f>VLOOKUP(J1647,Equipes!A:C,3,0)</f>
        <v>5</v>
      </c>
      <c r="M1647" s="2" t="str">
        <f t="shared" si="4"/>
        <v>Quarter-final</v>
      </c>
      <c r="N1647" s="2" t="s">
        <v>747</v>
      </c>
      <c r="O1647" s="2">
        <f>VLOOKUP(N1647,Equipes!A:C,3,0)</f>
        <v>15</v>
      </c>
      <c r="P1647" s="2" t="str">
        <f t="shared" si="5"/>
        <v>Round of 16</v>
      </c>
      <c r="Q1647" s="2">
        <f t="shared" si="6"/>
        <v>-10</v>
      </c>
      <c r="R1647" s="2" t="str">
        <f>VLOOKUP(J1647,Equipes!A:B,2,0)</f>
        <v>Borussia</v>
      </c>
      <c r="S1647" s="6" t="s">
        <v>607</v>
      </c>
      <c r="T1647" s="7">
        <v>25.0</v>
      </c>
      <c r="U1647" s="7" t="s">
        <v>608</v>
      </c>
      <c r="V1647" s="7" t="str">
        <f>VLOOKUP(U1647,Jogadores!B:C,2,0)</f>
        <v>DF</v>
      </c>
      <c r="W1647" s="8">
        <f>VLOOKUP(U1647,Jogadores!B:D,3,0)</f>
        <v>29.92054795</v>
      </c>
      <c r="X1647" s="7">
        <v>0.0</v>
      </c>
      <c r="Y1647" s="7">
        <f t="shared" si="5161"/>
        <v>95</v>
      </c>
      <c r="Z1647" s="7">
        <f>VLOOKUP(A1647,Jogos!A:L,3,0)</f>
        <v>47</v>
      </c>
      <c r="AA1647" s="7">
        <f t="shared" si="4815"/>
        <v>47</v>
      </c>
      <c r="AB1647" s="7">
        <f>VLOOKUP(A1647,Jogos!A:L,4,0)</f>
        <v>50</v>
      </c>
      <c r="AC1647" s="7">
        <f t="shared" si="5062"/>
        <v>50</v>
      </c>
      <c r="AD1647" s="7"/>
      <c r="AE1647" s="7"/>
      <c r="AF1647" s="7">
        <f t="shared" si="4566"/>
        <v>97</v>
      </c>
      <c r="AG1647" s="7">
        <v>10098.8</v>
      </c>
      <c r="AH1647" s="7">
        <v>4135.2</v>
      </c>
      <c r="AI1647" s="7">
        <v>4549.9</v>
      </c>
      <c r="AJ1647" s="7">
        <v>947.0</v>
      </c>
      <c r="AK1647" s="7">
        <v>369.6</v>
      </c>
      <c r="AL1647" s="7">
        <v>97.1</v>
      </c>
      <c r="AM1647" s="7">
        <v>94.0</v>
      </c>
      <c r="AN1647" s="7">
        <v>26.0</v>
      </c>
      <c r="AO1647" s="7">
        <v>32.0</v>
      </c>
      <c r="AP1647" s="9">
        <f t="shared" ref="AP1647:AR1647" si="5168">AG1647/$AF1647</f>
        <v>104.1113402</v>
      </c>
      <c r="AQ1647" s="9">
        <f t="shared" si="5168"/>
        <v>42.63092784</v>
      </c>
      <c r="AR1647" s="9">
        <f t="shared" si="5168"/>
        <v>46.90618557</v>
      </c>
      <c r="AS1647" s="9">
        <f t="shared" si="4568"/>
        <v>89.5371134</v>
      </c>
      <c r="AT1647" s="9">
        <f t="shared" ref="AT1647:AV1647" si="5169">AJ1647/$AF1647</f>
        <v>9.762886598</v>
      </c>
      <c r="AU1647" s="9">
        <f t="shared" si="5169"/>
        <v>3.810309278</v>
      </c>
      <c r="AV1647" s="9">
        <f t="shared" si="5169"/>
        <v>1.001030928</v>
      </c>
      <c r="AW1647" s="9">
        <f t="shared" si="4570"/>
        <v>4.811340206</v>
      </c>
      <c r="AX1647" s="9">
        <f t="shared" ref="AX1647:AY1647" si="5170">AM1647/$AF1647</f>
        <v>0.9690721649</v>
      </c>
      <c r="AY1647" s="9">
        <f t="shared" si="5170"/>
        <v>0.2680412371</v>
      </c>
      <c r="AZ1647" s="9">
        <f>VLOOKUP(A1647,Jogos!A:BN,58,0)</f>
        <v>23.565</v>
      </c>
      <c r="BA1647" s="9">
        <f>VLOOKUP(A1647,Jogos!A:BN,59,0)</f>
        <v>21.58</v>
      </c>
      <c r="BB1647" s="9">
        <f>VLOOKUP(A1647,Jogos!A:BN,60,0)</f>
        <v>88</v>
      </c>
      <c r="BC1647" s="9">
        <f>VLOOKUP(A1647,Jogos!A:BN,61,0)</f>
        <v>21.225</v>
      </c>
      <c r="BD1647" s="9">
        <f>VLOOKUP(A1647,Jogos!A:BN,62,0)</f>
        <v>0</v>
      </c>
      <c r="BE1647" s="9">
        <f>VLOOKUP(A1647,Jogos!A:BN,63,0)</f>
        <v>2.535</v>
      </c>
      <c r="BF1647" s="9">
        <f>VLOOKUP(A1647,Jogos!A:BN,64,0)</f>
        <v>22.145</v>
      </c>
      <c r="BG1647" s="9">
        <f>VLOOKUP(A1647,Jogos!A:BN,65,0)</f>
        <v>37.205</v>
      </c>
      <c r="BH1647" s="9">
        <f>VLOOKUP(A1647,Jogos!A:BN,66,0)</f>
        <v>25.295</v>
      </c>
      <c r="BI1647" s="9"/>
      <c r="BJ1647" s="9"/>
    </row>
    <row r="1648" hidden="1">
      <c r="A1648" s="2">
        <v>56.0</v>
      </c>
      <c r="B1648" s="2" t="s">
        <v>1350</v>
      </c>
      <c r="C1648" s="2" t="s">
        <v>1351</v>
      </c>
      <c r="D1648" s="3">
        <v>45839.0</v>
      </c>
      <c r="E1648" s="4">
        <v>0.875</v>
      </c>
      <c r="F1648" s="5" t="str">
        <f>VLOOKUP(A1648,Jogos!A:N,10,0)</f>
        <v>Evening</v>
      </c>
      <c r="G1648" s="2" t="s">
        <v>376</v>
      </c>
      <c r="H1648" s="6" t="str">
        <f>VLOOKUP(A1648,Jogos!A:L,12,0)</f>
        <v>Closed</v>
      </c>
      <c r="I1648" s="6" t="str">
        <f>VLOOKUP(G1648,'Estádios e Cidades'!A:B,2,0)</f>
        <v>Atlanta</v>
      </c>
      <c r="J1648" s="2" t="s">
        <v>564</v>
      </c>
      <c r="K1648" s="2" t="str">
        <f>VLOOKUP(J1648,Equipes!A:F,6,0)</f>
        <v>Temperate</v>
      </c>
      <c r="L1648" s="2">
        <f>VLOOKUP(J1648,Equipes!A:C,3,0)</f>
        <v>5</v>
      </c>
      <c r="M1648" s="2" t="str">
        <f t="shared" si="4"/>
        <v>Quarter-final</v>
      </c>
      <c r="N1648" s="2" t="s">
        <v>747</v>
      </c>
      <c r="O1648" s="2">
        <f>VLOOKUP(N1648,Equipes!A:C,3,0)</f>
        <v>15</v>
      </c>
      <c r="P1648" s="2" t="str">
        <f t="shared" si="5"/>
        <v>Round of 16</v>
      </c>
      <c r="Q1648" s="2">
        <f t="shared" si="6"/>
        <v>-10</v>
      </c>
      <c r="R1648" s="2" t="str">
        <f>VLOOKUP(J1648,Equipes!A:B,2,0)</f>
        <v>Borussia</v>
      </c>
      <c r="S1648" s="6" t="s">
        <v>609</v>
      </c>
      <c r="T1648" s="7">
        <v>26.0</v>
      </c>
      <c r="U1648" s="7" t="s">
        <v>610</v>
      </c>
      <c r="V1648" s="7" t="str">
        <f>VLOOKUP(U1648,Jogadores!B:C,2,0)</f>
        <v>DF</v>
      </c>
      <c r="W1648" s="8">
        <f>VLOOKUP(U1648,Jogadores!B:D,3,0)</f>
        <v>27.71232877</v>
      </c>
      <c r="X1648" s="7">
        <v>0.0</v>
      </c>
      <c r="Y1648" s="7">
        <f t="shared" si="5161"/>
        <v>95</v>
      </c>
      <c r="Z1648" s="7">
        <f>VLOOKUP(A1648,Jogos!A:L,3,0)</f>
        <v>47</v>
      </c>
      <c r="AA1648" s="7">
        <f t="shared" si="4815"/>
        <v>47</v>
      </c>
      <c r="AB1648" s="7">
        <f>VLOOKUP(A1648,Jogos!A:L,4,0)</f>
        <v>50</v>
      </c>
      <c r="AC1648" s="7">
        <f t="shared" si="5062"/>
        <v>50</v>
      </c>
      <c r="AD1648" s="7"/>
      <c r="AE1648" s="7"/>
      <c r="AF1648" s="7">
        <f t="shared" si="4566"/>
        <v>97</v>
      </c>
      <c r="AG1648" s="7">
        <v>11418.8</v>
      </c>
      <c r="AH1648" s="7">
        <v>3982.1</v>
      </c>
      <c r="AI1648" s="7">
        <v>5000.7</v>
      </c>
      <c r="AJ1648" s="7">
        <v>1588.0</v>
      </c>
      <c r="AK1648" s="7">
        <v>615.3</v>
      </c>
      <c r="AL1648" s="7">
        <v>232.7</v>
      </c>
      <c r="AM1648" s="7">
        <v>150.0</v>
      </c>
      <c r="AN1648" s="7">
        <v>56.0</v>
      </c>
      <c r="AO1648" s="7">
        <v>32.5</v>
      </c>
      <c r="AP1648" s="9">
        <f t="shared" ref="AP1648:AR1648" si="5171">AG1648/$AF1648</f>
        <v>117.7195876</v>
      </c>
      <c r="AQ1648" s="9">
        <f t="shared" si="5171"/>
        <v>41.05257732</v>
      </c>
      <c r="AR1648" s="9">
        <f t="shared" si="5171"/>
        <v>51.55360825</v>
      </c>
      <c r="AS1648" s="9">
        <f t="shared" si="4568"/>
        <v>92.60618557</v>
      </c>
      <c r="AT1648" s="9">
        <f t="shared" ref="AT1648:AV1648" si="5172">AJ1648/$AF1648</f>
        <v>16.37113402</v>
      </c>
      <c r="AU1648" s="9">
        <f t="shared" si="5172"/>
        <v>6.343298969</v>
      </c>
      <c r="AV1648" s="9">
        <f t="shared" si="5172"/>
        <v>2.398969072</v>
      </c>
      <c r="AW1648" s="9">
        <f t="shared" si="4570"/>
        <v>8.742268041</v>
      </c>
      <c r="AX1648" s="9">
        <f t="shared" ref="AX1648:AY1648" si="5173">AM1648/$AF1648</f>
        <v>1.546391753</v>
      </c>
      <c r="AY1648" s="9">
        <f t="shared" si="5173"/>
        <v>0.5773195876</v>
      </c>
      <c r="AZ1648" s="9">
        <f>VLOOKUP(A1648,Jogos!A:BN,58,0)</f>
        <v>23.565</v>
      </c>
      <c r="BA1648" s="9">
        <f>VLOOKUP(A1648,Jogos!A:BN,59,0)</f>
        <v>21.58</v>
      </c>
      <c r="BB1648" s="9">
        <f>VLOOKUP(A1648,Jogos!A:BN,60,0)</f>
        <v>88</v>
      </c>
      <c r="BC1648" s="9">
        <f>VLOOKUP(A1648,Jogos!A:BN,61,0)</f>
        <v>21.225</v>
      </c>
      <c r="BD1648" s="9">
        <f>VLOOKUP(A1648,Jogos!A:BN,62,0)</f>
        <v>0</v>
      </c>
      <c r="BE1648" s="9">
        <f>VLOOKUP(A1648,Jogos!A:BN,63,0)</f>
        <v>2.535</v>
      </c>
      <c r="BF1648" s="9">
        <f>VLOOKUP(A1648,Jogos!A:BN,64,0)</f>
        <v>22.145</v>
      </c>
      <c r="BG1648" s="9">
        <f>VLOOKUP(A1648,Jogos!A:BN,65,0)</f>
        <v>37.205</v>
      </c>
      <c r="BH1648" s="9">
        <f>VLOOKUP(A1648,Jogos!A:BN,66,0)</f>
        <v>25.295</v>
      </c>
      <c r="BI1648" s="9"/>
      <c r="BJ1648" s="9"/>
    </row>
    <row r="1649" hidden="1">
      <c r="A1649" s="2">
        <v>56.0</v>
      </c>
      <c r="B1649" s="2" t="s">
        <v>1350</v>
      </c>
      <c r="C1649" s="2" t="s">
        <v>1351</v>
      </c>
      <c r="D1649" s="3">
        <v>45839.0</v>
      </c>
      <c r="E1649" s="4">
        <v>0.875</v>
      </c>
      <c r="F1649" s="5" t="str">
        <f>VLOOKUP(A1649,Jogos!A:N,10,0)</f>
        <v>Evening</v>
      </c>
      <c r="G1649" s="2" t="s">
        <v>376</v>
      </c>
      <c r="H1649" s="6" t="str">
        <f>VLOOKUP(A1649,Jogos!A:L,12,0)</f>
        <v>Closed</v>
      </c>
      <c r="I1649" s="6" t="str">
        <f>VLOOKUP(G1649,'Estádios e Cidades'!A:B,2,0)</f>
        <v>Atlanta</v>
      </c>
      <c r="J1649" s="2" t="s">
        <v>564</v>
      </c>
      <c r="K1649" s="2" t="str">
        <f>VLOOKUP(J1649,Equipes!A:F,6,0)</f>
        <v>Temperate</v>
      </c>
      <c r="L1649" s="2">
        <f>VLOOKUP(J1649,Equipes!A:C,3,0)</f>
        <v>5</v>
      </c>
      <c r="M1649" s="2" t="str">
        <f t="shared" si="4"/>
        <v>Quarter-final</v>
      </c>
      <c r="N1649" s="2" t="s">
        <v>747</v>
      </c>
      <c r="O1649" s="2">
        <f>VLOOKUP(N1649,Equipes!A:C,3,0)</f>
        <v>15</v>
      </c>
      <c r="P1649" s="2" t="str">
        <f t="shared" si="5"/>
        <v>Round of 16</v>
      </c>
      <c r="Q1649" s="2">
        <f t="shared" si="6"/>
        <v>-10</v>
      </c>
      <c r="R1649" s="2" t="str">
        <f>VLOOKUP(J1649,Equipes!A:B,2,0)</f>
        <v>Borussia</v>
      </c>
      <c r="S1649" s="6" t="s">
        <v>611</v>
      </c>
      <c r="T1649" s="7">
        <v>27.0</v>
      </c>
      <c r="U1649" s="7" t="s">
        <v>612</v>
      </c>
      <c r="V1649" s="7" t="str">
        <f>VLOOKUP(U1649,Jogadores!B:C,2,0)</f>
        <v>FW</v>
      </c>
      <c r="W1649" s="8">
        <f>VLOOKUP(U1649,Jogadores!B:D,3,0)</f>
        <v>23.53972603</v>
      </c>
      <c r="X1649" s="7">
        <v>0.0</v>
      </c>
      <c r="Y1649" s="7">
        <v>71.0</v>
      </c>
      <c r="Z1649" s="7">
        <f>VLOOKUP(A1649,Jogos!A:L,3,0)</f>
        <v>47</v>
      </c>
      <c r="AA1649" s="7">
        <f t="shared" si="4815"/>
        <v>47</v>
      </c>
      <c r="AB1649" s="7">
        <f>VLOOKUP(A1649,Jogos!A:L,4,0)</f>
        <v>50</v>
      </c>
      <c r="AC1649" s="7">
        <f t="shared" si="5062"/>
        <v>26</v>
      </c>
      <c r="AD1649" s="7"/>
      <c r="AE1649" s="7"/>
      <c r="AF1649" s="7">
        <f t="shared" si="4566"/>
        <v>73</v>
      </c>
      <c r="AG1649" s="7">
        <v>8201.6</v>
      </c>
      <c r="AH1649" s="7">
        <v>3144.4</v>
      </c>
      <c r="AI1649" s="7">
        <v>3193.3</v>
      </c>
      <c r="AJ1649" s="7">
        <v>1037.5</v>
      </c>
      <c r="AK1649" s="7">
        <v>528.0</v>
      </c>
      <c r="AL1649" s="7">
        <v>298.3</v>
      </c>
      <c r="AM1649" s="7">
        <v>98.0</v>
      </c>
      <c r="AN1649" s="7">
        <v>48.0</v>
      </c>
      <c r="AO1649" s="7">
        <v>34.7</v>
      </c>
      <c r="AP1649" s="9">
        <f t="shared" ref="AP1649:AR1649" si="5174">AG1649/$AF1649</f>
        <v>112.3506849</v>
      </c>
      <c r="AQ1649" s="9">
        <f t="shared" si="5174"/>
        <v>43.0739726</v>
      </c>
      <c r="AR1649" s="9">
        <f t="shared" si="5174"/>
        <v>43.74383562</v>
      </c>
      <c r="AS1649" s="9">
        <f t="shared" si="4568"/>
        <v>86.81780822</v>
      </c>
      <c r="AT1649" s="9">
        <f t="shared" ref="AT1649:AV1649" si="5175">AJ1649/$AF1649</f>
        <v>14.21232877</v>
      </c>
      <c r="AU1649" s="9">
        <f t="shared" si="5175"/>
        <v>7.232876712</v>
      </c>
      <c r="AV1649" s="9">
        <f t="shared" si="5175"/>
        <v>4.08630137</v>
      </c>
      <c r="AW1649" s="9">
        <f t="shared" si="4570"/>
        <v>11.31917808</v>
      </c>
      <c r="AX1649" s="9">
        <f t="shared" ref="AX1649:AY1649" si="5176">AM1649/$AF1649</f>
        <v>1.342465753</v>
      </c>
      <c r="AY1649" s="9">
        <f t="shared" si="5176"/>
        <v>0.6575342466</v>
      </c>
      <c r="AZ1649" s="9">
        <f>VLOOKUP(A1649,Jogos!A:BN,58,0)</f>
        <v>23.565</v>
      </c>
      <c r="BA1649" s="9">
        <f>VLOOKUP(A1649,Jogos!A:BN,59,0)</f>
        <v>21.58</v>
      </c>
      <c r="BB1649" s="9">
        <f>VLOOKUP(A1649,Jogos!A:BN,60,0)</f>
        <v>88</v>
      </c>
      <c r="BC1649" s="9">
        <f>VLOOKUP(A1649,Jogos!A:BN,61,0)</f>
        <v>21.225</v>
      </c>
      <c r="BD1649" s="9">
        <f>VLOOKUP(A1649,Jogos!A:BN,62,0)</f>
        <v>0</v>
      </c>
      <c r="BE1649" s="9">
        <f>VLOOKUP(A1649,Jogos!A:BN,63,0)</f>
        <v>2.535</v>
      </c>
      <c r="BF1649" s="9">
        <f>VLOOKUP(A1649,Jogos!A:BN,64,0)</f>
        <v>22.145</v>
      </c>
      <c r="BG1649" s="9">
        <f>VLOOKUP(A1649,Jogos!A:BN,65,0)</f>
        <v>37.205</v>
      </c>
      <c r="BH1649" s="9">
        <f>VLOOKUP(A1649,Jogos!A:BN,66,0)</f>
        <v>25.295</v>
      </c>
      <c r="BI1649" s="9"/>
      <c r="BJ1649" s="9"/>
    </row>
    <row r="1650" hidden="1">
      <c r="A1650" s="2">
        <v>56.0</v>
      </c>
      <c r="B1650" s="2" t="s">
        <v>1350</v>
      </c>
      <c r="C1650" s="2" t="s">
        <v>1351</v>
      </c>
      <c r="D1650" s="3">
        <v>45839.0</v>
      </c>
      <c r="E1650" s="4">
        <v>0.875</v>
      </c>
      <c r="F1650" s="5" t="str">
        <f>VLOOKUP(A1650,Jogos!A:N,10,0)</f>
        <v>Evening</v>
      </c>
      <c r="G1650" s="2" t="s">
        <v>376</v>
      </c>
      <c r="H1650" s="6" t="str">
        <f>VLOOKUP(A1650,Jogos!A:L,12,0)</f>
        <v>Closed</v>
      </c>
      <c r="I1650" s="6" t="str">
        <f>VLOOKUP(G1650,'Estádios e Cidades'!A:B,2,0)</f>
        <v>Atlanta</v>
      </c>
      <c r="J1650" s="2" t="s">
        <v>564</v>
      </c>
      <c r="K1650" s="2" t="str">
        <f>VLOOKUP(J1650,Equipes!A:F,6,0)</f>
        <v>Temperate</v>
      </c>
      <c r="L1650" s="2">
        <f>VLOOKUP(J1650,Equipes!A:C,3,0)</f>
        <v>5</v>
      </c>
      <c r="M1650" s="2" t="str">
        <f t="shared" si="4"/>
        <v>Quarter-final</v>
      </c>
      <c r="N1650" s="2" t="s">
        <v>747</v>
      </c>
      <c r="O1650" s="2">
        <f>VLOOKUP(N1650,Equipes!A:C,3,0)</f>
        <v>15</v>
      </c>
      <c r="P1650" s="2" t="str">
        <f t="shared" si="5"/>
        <v>Round of 16</v>
      </c>
      <c r="Q1650" s="2">
        <f t="shared" si="6"/>
        <v>-10</v>
      </c>
      <c r="R1650" s="2" t="str">
        <f>VLOOKUP(J1650,Equipes!A:B,2,0)</f>
        <v>Borussia</v>
      </c>
      <c r="S1650" s="6" t="s">
        <v>621</v>
      </c>
      <c r="T1650" s="7">
        <v>77.0</v>
      </c>
      <c r="U1650" s="7" t="s">
        <v>622</v>
      </c>
      <c r="V1650" s="7" t="str">
        <f>VLOOKUP(U1650,Jogadores!B:C,2,0)</f>
        <v>MF</v>
      </c>
      <c r="W1650" s="8">
        <f>VLOOKUP(U1650,Jogadores!B:D,3,0)</f>
        <v>19.85753425</v>
      </c>
      <c r="X1650" s="7">
        <v>0.0</v>
      </c>
      <c r="Y1650" s="7">
        <v>55.0</v>
      </c>
      <c r="Z1650" s="7">
        <f>VLOOKUP(A1650,Jogos!A:L,3,0)</f>
        <v>47</v>
      </c>
      <c r="AA1650" s="7">
        <f t="shared" si="4815"/>
        <v>47</v>
      </c>
      <c r="AB1650" s="7">
        <f>VLOOKUP(A1650,Jogos!A:L,4,0)</f>
        <v>50</v>
      </c>
      <c r="AC1650" s="7">
        <f t="shared" si="5062"/>
        <v>10</v>
      </c>
      <c r="AD1650" s="7"/>
      <c r="AE1650" s="7"/>
      <c r="AF1650" s="7">
        <f t="shared" si="4566"/>
        <v>57</v>
      </c>
      <c r="AG1650" s="7">
        <v>6865.3</v>
      </c>
      <c r="AH1650" s="7">
        <v>2334.5</v>
      </c>
      <c r="AI1650" s="7">
        <v>2705.6</v>
      </c>
      <c r="AJ1650" s="7">
        <v>1241.5</v>
      </c>
      <c r="AK1650" s="7">
        <v>494.5</v>
      </c>
      <c r="AL1650" s="7">
        <v>89.2</v>
      </c>
      <c r="AM1650" s="7">
        <v>115.0</v>
      </c>
      <c r="AN1650" s="7">
        <v>39.0</v>
      </c>
      <c r="AO1650" s="7">
        <v>32.1</v>
      </c>
      <c r="AP1650" s="9">
        <f t="shared" ref="AP1650:AR1650" si="5177">AG1650/$AF1650</f>
        <v>120.4438596</v>
      </c>
      <c r="AQ1650" s="9">
        <f t="shared" si="5177"/>
        <v>40.95614035</v>
      </c>
      <c r="AR1650" s="9">
        <f t="shared" si="5177"/>
        <v>47.46666667</v>
      </c>
      <c r="AS1650" s="9">
        <f t="shared" si="4568"/>
        <v>88.42280702</v>
      </c>
      <c r="AT1650" s="9">
        <f t="shared" ref="AT1650:AV1650" si="5178">AJ1650/$AF1650</f>
        <v>21.78070175</v>
      </c>
      <c r="AU1650" s="9">
        <f t="shared" si="5178"/>
        <v>8.675438596</v>
      </c>
      <c r="AV1650" s="9">
        <f t="shared" si="5178"/>
        <v>1.564912281</v>
      </c>
      <c r="AW1650" s="9">
        <f t="shared" si="4570"/>
        <v>10.24035088</v>
      </c>
      <c r="AX1650" s="9">
        <f t="shared" ref="AX1650:AY1650" si="5179">AM1650/$AF1650</f>
        <v>2.01754386</v>
      </c>
      <c r="AY1650" s="9">
        <f t="shared" si="5179"/>
        <v>0.6842105263</v>
      </c>
      <c r="AZ1650" s="9">
        <f>VLOOKUP(A1650,Jogos!A:BN,58,0)</f>
        <v>23.565</v>
      </c>
      <c r="BA1650" s="9">
        <f>VLOOKUP(A1650,Jogos!A:BN,59,0)</f>
        <v>21.58</v>
      </c>
      <c r="BB1650" s="9">
        <f>VLOOKUP(A1650,Jogos!A:BN,60,0)</f>
        <v>88</v>
      </c>
      <c r="BC1650" s="9">
        <f>VLOOKUP(A1650,Jogos!A:BN,61,0)</f>
        <v>21.225</v>
      </c>
      <c r="BD1650" s="9">
        <f>VLOOKUP(A1650,Jogos!A:BN,62,0)</f>
        <v>0</v>
      </c>
      <c r="BE1650" s="9">
        <f>VLOOKUP(A1650,Jogos!A:BN,63,0)</f>
        <v>2.535</v>
      </c>
      <c r="BF1650" s="9">
        <f>VLOOKUP(A1650,Jogos!A:BN,64,0)</f>
        <v>22.145</v>
      </c>
      <c r="BG1650" s="9">
        <f>VLOOKUP(A1650,Jogos!A:BN,65,0)</f>
        <v>37.205</v>
      </c>
      <c r="BH1650" s="9">
        <f>VLOOKUP(A1650,Jogos!A:BN,66,0)</f>
        <v>25.295</v>
      </c>
      <c r="BI1650" s="9"/>
      <c r="BJ1650" s="9"/>
    </row>
    <row r="1651" hidden="1">
      <c r="A1651" s="2">
        <v>56.0</v>
      </c>
      <c r="B1651" s="2" t="s">
        <v>1350</v>
      </c>
      <c r="C1651" s="2" t="s">
        <v>1351</v>
      </c>
      <c r="D1651" s="3">
        <v>45839.0</v>
      </c>
      <c r="E1651" s="4">
        <v>0.875</v>
      </c>
      <c r="F1651" s="5" t="str">
        <f>VLOOKUP(A1651,Jogos!A:N,10,0)</f>
        <v>Evening</v>
      </c>
      <c r="G1651" s="2" t="s">
        <v>376</v>
      </c>
      <c r="H1651" s="6" t="str">
        <f>VLOOKUP(A1651,Jogos!A:L,12,0)</f>
        <v>Closed</v>
      </c>
      <c r="I1651" s="6" t="str">
        <f>VLOOKUP(G1651,'Estádios e Cidades'!A:B,2,0)</f>
        <v>Atlanta</v>
      </c>
      <c r="J1651" s="2" t="s">
        <v>564</v>
      </c>
      <c r="K1651" s="2" t="str">
        <f>VLOOKUP(J1651,Equipes!A:F,6,0)</f>
        <v>Temperate</v>
      </c>
      <c r="L1651" s="2">
        <f>VLOOKUP(J1651,Equipes!A:C,3,0)</f>
        <v>5</v>
      </c>
      <c r="M1651" s="2" t="str">
        <f t="shared" si="4"/>
        <v>Quarter-final</v>
      </c>
      <c r="N1651" s="2" t="s">
        <v>747</v>
      </c>
      <c r="O1651" s="2">
        <f>VLOOKUP(N1651,Equipes!A:C,3,0)</f>
        <v>15</v>
      </c>
      <c r="P1651" s="2" t="str">
        <f t="shared" si="5"/>
        <v>Round of 16</v>
      </c>
      <c r="Q1651" s="2">
        <f t="shared" si="6"/>
        <v>-10</v>
      </c>
      <c r="R1651" s="2" t="str">
        <f>VLOOKUP(J1651,Equipes!A:B,2,0)</f>
        <v>Borussia</v>
      </c>
      <c r="S1651" s="6" t="s">
        <v>613</v>
      </c>
      <c r="T1651" s="7">
        <v>2.0</v>
      </c>
      <c r="U1651" s="7" t="s">
        <v>614</v>
      </c>
      <c r="V1651" s="7" t="str">
        <f>VLOOKUP(U1651,Jogadores!B:C,2,0)</f>
        <v>DF</v>
      </c>
      <c r="W1651" s="8">
        <f>VLOOKUP(U1651,Jogadores!B:D,3,0)</f>
        <v>23.16712329</v>
      </c>
      <c r="X1651" s="7">
        <v>71.0</v>
      </c>
      <c r="Y1651" s="7">
        <f t="shared" ref="Y1651:Y1655" si="5183">45+AB1651</f>
        <v>95</v>
      </c>
      <c r="Z1651" s="7">
        <f>VLOOKUP(A1651,Jogos!A:L,3,0)</f>
        <v>47</v>
      </c>
      <c r="AA1651" s="7">
        <f t="shared" si="4815"/>
        <v>0</v>
      </c>
      <c r="AB1651" s="7">
        <f>VLOOKUP(A1651,Jogos!A:L,4,0)</f>
        <v>50</v>
      </c>
      <c r="AC1651" s="7">
        <f t="shared" si="5062"/>
        <v>24</v>
      </c>
      <c r="AD1651" s="7"/>
      <c r="AE1651" s="7"/>
      <c r="AF1651" s="7">
        <f t="shared" si="4566"/>
        <v>24</v>
      </c>
      <c r="AG1651" s="7">
        <v>2848.4</v>
      </c>
      <c r="AH1651" s="7">
        <v>944.9</v>
      </c>
      <c r="AI1651" s="7">
        <v>1243.2</v>
      </c>
      <c r="AJ1651" s="7">
        <v>444.9</v>
      </c>
      <c r="AK1651" s="7">
        <v>168.1</v>
      </c>
      <c r="AL1651" s="7">
        <v>47.4</v>
      </c>
      <c r="AM1651" s="7">
        <v>41.0</v>
      </c>
      <c r="AN1651" s="7">
        <v>18.0</v>
      </c>
      <c r="AO1651" s="7">
        <v>32.0</v>
      </c>
      <c r="AP1651" s="9">
        <f t="shared" ref="AP1651:AR1651" si="5180">AG1651/$AF1651</f>
        <v>118.6833333</v>
      </c>
      <c r="AQ1651" s="9">
        <f t="shared" si="5180"/>
        <v>39.37083333</v>
      </c>
      <c r="AR1651" s="9">
        <f t="shared" si="5180"/>
        <v>51.8</v>
      </c>
      <c r="AS1651" s="9">
        <f t="shared" si="4568"/>
        <v>91.17083333</v>
      </c>
      <c r="AT1651" s="9">
        <f t="shared" ref="AT1651:AV1651" si="5181">AJ1651/$AF1651</f>
        <v>18.5375</v>
      </c>
      <c r="AU1651" s="9">
        <f t="shared" si="5181"/>
        <v>7.004166667</v>
      </c>
      <c r="AV1651" s="9">
        <f t="shared" si="5181"/>
        <v>1.975</v>
      </c>
      <c r="AW1651" s="9">
        <f t="shared" si="4570"/>
        <v>8.979166667</v>
      </c>
      <c r="AX1651" s="9">
        <f t="shared" ref="AX1651:AY1651" si="5182">AM1651/$AF1651</f>
        <v>1.708333333</v>
      </c>
      <c r="AY1651" s="9">
        <f t="shared" si="5182"/>
        <v>0.75</v>
      </c>
      <c r="AZ1651" s="9">
        <f>VLOOKUP(A1651,Jogos!A:BN,58,0)</f>
        <v>23.565</v>
      </c>
      <c r="BA1651" s="9">
        <f>VLOOKUP(A1651,Jogos!A:BN,59,0)</f>
        <v>21.58</v>
      </c>
      <c r="BB1651" s="9">
        <f>VLOOKUP(A1651,Jogos!A:BN,60,0)</f>
        <v>88</v>
      </c>
      <c r="BC1651" s="9">
        <f>VLOOKUP(A1651,Jogos!A:BN,61,0)</f>
        <v>21.225</v>
      </c>
      <c r="BD1651" s="9">
        <f>VLOOKUP(A1651,Jogos!A:BN,62,0)</f>
        <v>0</v>
      </c>
      <c r="BE1651" s="9">
        <f>VLOOKUP(A1651,Jogos!A:BN,63,0)</f>
        <v>2.535</v>
      </c>
      <c r="BF1651" s="9">
        <f>VLOOKUP(A1651,Jogos!A:BN,64,0)</f>
        <v>22.145</v>
      </c>
      <c r="BG1651" s="9">
        <f>VLOOKUP(A1651,Jogos!A:BN,65,0)</f>
        <v>37.205</v>
      </c>
      <c r="BH1651" s="9">
        <f>VLOOKUP(A1651,Jogos!A:BN,66,0)</f>
        <v>25.295</v>
      </c>
      <c r="BI1651" s="9"/>
      <c r="BJ1651" s="9"/>
    </row>
    <row r="1652" hidden="1">
      <c r="A1652" s="2">
        <v>56.0</v>
      </c>
      <c r="B1652" s="2" t="s">
        <v>1350</v>
      </c>
      <c r="C1652" s="2" t="s">
        <v>1351</v>
      </c>
      <c r="D1652" s="3">
        <v>45839.0</v>
      </c>
      <c r="E1652" s="4">
        <v>0.875</v>
      </c>
      <c r="F1652" s="5" t="str">
        <f>VLOOKUP(A1652,Jogos!A:N,10,0)</f>
        <v>Evening</v>
      </c>
      <c r="G1652" s="2" t="s">
        <v>376</v>
      </c>
      <c r="H1652" s="6" t="str">
        <f>VLOOKUP(A1652,Jogos!A:L,12,0)</f>
        <v>Closed</v>
      </c>
      <c r="I1652" s="6" t="str">
        <f>VLOOKUP(G1652,'Estádios e Cidades'!A:B,2,0)</f>
        <v>Atlanta</v>
      </c>
      <c r="J1652" s="2" t="s">
        <v>564</v>
      </c>
      <c r="K1652" s="2" t="str">
        <f>VLOOKUP(J1652,Equipes!A:F,6,0)</f>
        <v>Temperate</v>
      </c>
      <c r="L1652" s="2">
        <f>VLOOKUP(J1652,Equipes!A:C,3,0)</f>
        <v>5</v>
      </c>
      <c r="M1652" s="2" t="str">
        <f t="shared" si="4"/>
        <v>Quarter-final</v>
      </c>
      <c r="N1652" s="2" t="s">
        <v>747</v>
      </c>
      <c r="O1652" s="2">
        <f>VLOOKUP(N1652,Equipes!A:C,3,0)</f>
        <v>15</v>
      </c>
      <c r="P1652" s="2" t="str">
        <f t="shared" si="5"/>
        <v>Round of 16</v>
      </c>
      <c r="Q1652" s="2">
        <f t="shared" si="6"/>
        <v>-10</v>
      </c>
      <c r="R1652" s="2" t="str">
        <f>VLOOKUP(J1652,Equipes!A:B,2,0)</f>
        <v>Borussia</v>
      </c>
      <c r="S1652" s="6" t="s">
        <v>599</v>
      </c>
      <c r="T1652" s="7">
        <v>10.0</v>
      </c>
      <c r="U1652" s="7" t="s">
        <v>600</v>
      </c>
      <c r="V1652" s="7" t="str">
        <f>VLOOKUP(U1652,Jogadores!B:C,2,0)</f>
        <v>FW</v>
      </c>
      <c r="W1652" s="8">
        <f>VLOOKUP(U1652,Jogadores!B:D,3,0)</f>
        <v>28.92054795</v>
      </c>
      <c r="X1652" s="7">
        <v>71.0</v>
      </c>
      <c r="Y1652" s="7">
        <f t="shared" si="5183"/>
        <v>95</v>
      </c>
      <c r="Z1652" s="7">
        <f>VLOOKUP(A1652,Jogos!A:L,3,0)</f>
        <v>47</v>
      </c>
      <c r="AA1652" s="7">
        <f t="shared" si="4815"/>
        <v>0</v>
      </c>
      <c r="AB1652" s="7">
        <f>VLOOKUP(A1652,Jogos!A:L,4,0)</f>
        <v>50</v>
      </c>
      <c r="AC1652" s="7">
        <f t="shared" si="5062"/>
        <v>24</v>
      </c>
      <c r="AD1652" s="7"/>
      <c r="AE1652" s="7"/>
      <c r="AF1652" s="7">
        <f t="shared" si="4566"/>
        <v>24</v>
      </c>
      <c r="AG1652" s="7">
        <v>3428.9</v>
      </c>
      <c r="AH1652" s="7">
        <v>807.7</v>
      </c>
      <c r="AI1652" s="7">
        <v>1689.5</v>
      </c>
      <c r="AJ1652" s="7">
        <v>734.1</v>
      </c>
      <c r="AK1652" s="7">
        <v>167.7</v>
      </c>
      <c r="AL1652" s="7">
        <v>30.0</v>
      </c>
      <c r="AM1652" s="7">
        <v>64.0</v>
      </c>
      <c r="AN1652" s="7">
        <v>15.0</v>
      </c>
      <c r="AO1652" s="7">
        <v>29.7</v>
      </c>
      <c r="AP1652" s="9">
        <f t="shared" ref="AP1652:AR1652" si="5184">AG1652/$AF1652</f>
        <v>142.8708333</v>
      </c>
      <c r="AQ1652" s="9">
        <f t="shared" si="5184"/>
        <v>33.65416667</v>
      </c>
      <c r="AR1652" s="9">
        <f t="shared" si="5184"/>
        <v>70.39583333</v>
      </c>
      <c r="AS1652" s="9">
        <f t="shared" si="4568"/>
        <v>104.05</v>
      </c>
      <c r="AT1652" s="9">
        <f t="shared" ref="AT1652:AV1652" si="5185">AJ1652/$AF1652</f>
        <v>30.5875</v>
      </c>
      <c r="AU1652" s="9">
        <f t="shared" si="5185"/>
        <v>6.9875</v>
      </c>
      <c r="AV1652" s="9">
        <f t="shared" si="5185"/>
        <v>1.25</v>
      </c>
      <c r="AW1652" s="9">
        <f t="shared" si="4570"/>
        <v>8.2375</v>
      </c>
      <c r="AX1652" s="9">
        <f t="shared" ref="AX1652:AY1652" si="5186">AM1652/$AF1652</f>
        <v>2.666666667</v>
      </c>
      <c r="AY1652" s="9">
        <f t="shared" si="5186"/>
        <v>0.625</v>
      </c>
      <c r="AZ1652" s="9">
        <f>VLOOKUP(A1652,Jogos!A:BN,58,0)</f>
        <v>23.565</v>
      </c>
      <c r="BA1652" s="9">
        <f>VLOOKUP(A1652,Jogos!A:BN,59,0)</f>
        <v>21.58</v>
      </c>
      <c r="BB1652" s="9">
        <f>VLOOKUP(A1652,Jogos!A:BN,60,0)</f>
        <v>88</v>
      </c>
      <c r="BC1652" s="9">
        <f>VLOOKUP(A1652,Jogos!A:BN,61,0)</f>
        <v>21.225</v>
      </c>
      <c r="BD1652" s="9">
        <f>VLOOKUP(A1652,Jogos!A:BN,62,0)</f>
        <v>0</v>
      </c>
      <c r="BE1652" s="9">
        <f>VLOOKUP(A1652,Jogos!A:BN,63,0)</f>
        <v>2.535</v>
      </c>
      <c r="BF1652" s="9">
        <f>VLOOKUP(A1652,Jogos!A:BN,64,0)</f>
        <v>22.145</v>
      </c>
      <c r="BG1652" s="9">
        <f>VLOOKUP(A1652,Jogos!A:BN,65,0)</f>
        <v>37.205</v>
      </c>
      <c r="BH1652" s="9">
        <f>VLOOKUP(A1652,Jogos!A:BN,66,0)</f>
        <v>25.295</v>
      </c>
      <c r="BI1652" s="9"/>
      <c r="BJ1652" s="9"/>
    </row>
    <row r="1653" hidden="1">
      <c r="A1653" s="2">
        <v>56.0</v>
      </c>
      <c r="B1653" s="2" t="s">
        <v>1350</v>
      </c>
      <c r="C1653" s="2" t="s">
        <v>1351</v>
      </c>
      <c r="D1653" s="3">
        <v>45839.0</v>
      </c>
      <c r="E1653" s="4">
        <v>0.875</v>
      </c>
      <c r="F1653" s="5" t="str">
        <f>VLOOKUP(A1653,Jogos!A:N,10,0)</f>
        <v>Evening</v>
      </c>
      <c r="G1653" s="2" t="s">
        <v>376</v>
      </c>
      <c r="H1653" s="6" t="str">
        <f>VLOOKUP(A1653,Jogos!A:L,12,0)</f>
        <v>Closed</v>
      </c>
      <c r="I1653" s="6" t="str">
        <f>VLOOKUP(G1653,'Estádios e Cidades'!A:B,2,0)</f>
        <v>Atlanta</v>
      </c>
      <c r="J1653" s="2" t="s">
        <v>564</v>
      </c>
      <c r="K1653" s="2" t="str">
        <f>VLOOKUP(J1653,Equipes!A:F,6,0)</f>
        <v>Temperate</v>
      </c>
      <c r="L1653" s="2">
        <f>VLOOKUP(J1653,Equipes!A:C,3,0)</f>
        <v>5</v>
      </c>
      <c r="M1653" s="2" t="str">
        <f t="shared" si="4"/>
        <v>Quarter-final</v>
      </c>
      <c r="N1653" s="2" t="s">
        <v>747</v>
      </c>
      <c r="O1653" s="2">
        <f>VLOOKUP(N1653,Equipes!A:C,3,0)</f>
        <v>15</v>
      </c>
      <c r="P1653" s="2" t="str">
        <f t="shared" si="5"/>
        <v>Round of 16</v>
      </c>
      <c r="Q1653" s="2">
        <f t="shared" si="6"/>
        <v>-10</v>
      </c>
      <c r="R1653" s="2" t="str">
        <f>VLOOKUP(J1653,Equipes!A:B,2,0)</f>
        <v>Borussia</v>
      </c>
      <c r="S1653" s="6" t="s">
        <v>603</v>
      </c>
      <c r="T1653" s="7">
        <v>20.0</v>
      </c>
      <c r="U1653" s="7" t="s">
        <v>604</v>
      </c>
      <c r="V1653" s="7" t="str">
        <f>VLOOKUP(U1653,Jogadores!B:C,2,0)</f>
        <v>MF</v>
      </c>
      <c r="W1653" s="8">
        <f>VLOOKUP(U1653,Jogadores!B:D,3,0)</f>
        <v>31.38630137</v>
      </c>
      <c r="X1653" s="7">
        <v>55.0</v>
      </c>
      <c r="Y1653" s="7">
        <f t="shared" si="5183"/>
        <v>95</v>
      </c>
      <c r="Z1653" s="7">
        <f>VLOOKUP(A1653,Jogos!A:L,3,0)</f>
        <v>47</v>
      </c>
      <c r="AA1653" s="7">
        <f t="shared" si="4815"/>
        <v>0</v>
      </c>
      <c r="AB1653" s="7">
        <f>VLOOKUP(A1653,Jogos!A:L,4,0)</f>
        <v>50</v>
      </c>
      <c r="AC1653" s="7">
        <f t="shared" si="5062"/>
        <v>40</v>
      </c>
      <c r="AD1653" s="7"/>
      <c r="AE1653" s="7"/>
      <c r="AF1653" s="7">
        <f t="shared" si="4566"/>
        <v>40</v>
      </c>
      <c r="AG1653" s="7">
        <v>4982.5</v>
      </c>
      <c r="AH1653" s="7">
        <v>1462.8</v>
      </c>
      <c r="AI1653" s="7">
        <v>2313.4</v>
      </c>
      <c r="AJ1653" s="7">
        <v>935.0</v>
      </c>
      <c r="AK1653" s="7">
        <v>236.8</v>
      </c>
      <c r="AL1653" s="7">
        <v>34.5</v>
      </c>
      <c r="AM1653" s="7">
        <v>80.0</v>
      </c>
      <c r="AN1653" s="7">
        <v>22.0</v>
      </c>
      <c r="AO1653" s="7">
        <v>26.0</v>
      </c>
      <c r="AP1653" s="9">
        <f t="shared" ref="AP1653:AR1653" si="5187">AG1653/$AF1653</f>
        <v>124.5625</v>
      </c>
      <c r="AQ1653" s="9">
        <f t="shared" si="5187"/>
        <v>36.57</v>
      </c>
      <c r="AR1653" s="9">
        <f t="shared" si="5187"/>
        <v>57.835</v>
      </c>
      <c r="AS1653" s="9">
        <f t="shared" si="4568"/>
        <v>94.405</v>
      </c>
      <c r="AT1653" s="9">
        <f t="shared" ref="AT1653:AV1653" si="5188">AJ1653/$AF1653</f>
        <v>23.375</v>
      </c>
      <c r="AU1653" s="9">
        <f t="shared" si="5188"/>
        <v>5.92</v>
      </c>
      <c r="AV1653" s="9">
        <f t="shared" si="5188"/>
        <v>0.8625</v>
      </c>
      <c r="AW1653" s="9">
        <f t="shared" si="4570"/>
        <v>6.7825</v>
      </c>
      <c r="AX1653" s="9">
        <f t="shared" ref="AX1653:AY1653" si="5189">AM1653/$AF1653</f>
        <v>2</v>
      </c>
      <c r="AY1653" s="9">
        <f t="shared" si="5189"/>
        <v>0.55</v>
      </c>
      <c r="AZ1653" s="9">
        <f>VLOOKUP(A1653,Jogos!A:BN,58,0)</f>
        <v>23.565</v>
      </c>
      <c r="BA1653" s="9">
        <f>VLOOKUP(A1653,Jogos!A:BN,59,0)</f>
        <v>21.58</v>
      </c>
      <c r="BB1653" s="9">
        <f>VLOOKUP(A1653,Jogos!A:BN,60,0)</f>
        <v>88</v>
      </c>
      <c r="BC1653" s="9">
        <f>VLOOKUP(A1653,Jogos!A:BN,61,0)</f>
        <v>21.225</v>
      </c>
      <c r="BD1653" s="9">
        <f>VLOOKUP(A1653,Jogos!A:BN,62,0)</f>
        <v>0</v>
      </c>
      <c r="BE1653" s="9">
        <f>VLOOKUP(A1653,Jogos!A:BN,63,0)</f>
        <v>2.535</v>
      </c>
      <c r="BF1653" s="9">
        <f>VLOOKUP(A1653,Jogos!A:BN,64,0)</f>
        <v>22.145</v>
      </c>
      <c r="BG1653" s="9">
        <f>VLOOKUP(A1653,Jogos!A:BN,65,0)</f>
        <v>37.205</v>
      </c>
      <c r="BH1653" s="9">
        <f>VLOOKUP(A1653,Jogos!A:BN,66,0)</f>
        <v>25.295</v>
      </c>
      <c r="BI1653" s="9"/>
      <c r="BJ1653" s="9"/>
    </row>
    <row r="1654" hidden="1">
      <c r="A1654" s="2">
        <v>56.0</v>
      </c>
      <c r="B1654" s="2" t="s">
        <v>1350</v>
      </c>
      <c r="C1654" s="2" t="s">
        <v>1351</v>
      </c>
      <c r="D1654" s="3">
        <v>45839.0</v>
      </c>
      <c r="E1654" s="4">
        <v>0.875</v>
      </c>
      <c r="F1654" s="5" t="str">
        <f>VLOOKUP(A1654,Jogos!A:N,10,0)</f>
        <v>Evening</v>
      </c>
      <c r="G1654" s="2" t="s">
        <v>376</v>
      </c>
      <c r="H1654" s="6" t="str">
        <f>VLOOKUP(A1654,Jogos!A:L,12,0)</f>
        <v>Closed</v>
      </c>
      <c r="I1654" s="6" t="str">
        <f>VLOOKUP(G1654,'Estádios e Cidades'!A:B,2,0)</f>
        <v>Atlanta</v>
      </c>
      <c r="J1654" s="2" t="s">
        <v>747</v>
      </c>
      <c r="K1654" s="2" t="str">
        <f>VLOOKUP(J1654,Equipes!A:F,6,0)</f>
        <v>Tropical</v>
      </c>
      <c r="L1654" s="2">
        <f>VLOOKUP(J1654,Equipes!A:C,3,0)</f>
        <v>15</v>
      </c>
      <c r="M1654" s="2" t="str">
        <f t="shared" si="4"/>
        <v>Round of 16</v>
      </c>
      <c r="N1654" s="2" t="s">
        <v>564</v>
      </c>
      <c r="O1654" s="2">
        <f>VLOOKUP(N1654,Equipes!A:C,3,0)</f>
        <v>5</v>
      </c>
      <c r="P1654" s="2" t="str">
        <f t="shared" si="5"/>
        <v>Quarter-final</v>
      </c>
      <c r="Q1654" s="2">
        <f t="shared" si="6"/>
        <v>10</v>
      </c>
      <c r="R1654" s="2" t="str">
        <f>VLOOKUP(J1654,Equipes!A:B,2,0)</f>
        <v>Monterrey</v>
      </c>
      <c r="S1654" s="14" t="s">
        <v>751</v>
      </c>
      <c r="T1654" s="7">
        <v>3.0</v>
      </c>
      <c r="U1654" s="7" t="s">
        <v>752</v>
      </c>
      <c r="V1654" s="7" t="str">
        <f>VLOOKUP(U1654,Jogadores!B:C,2,0)</f>
        <v>DF</v>
      </c>
      <c r="W1654" s="8">
        <f>VLOOKUP(U1654,Jogadores!B:D,3,0)</f>
        <v>26.90684932</v>
      </c>
      <c r="X1654" s="7">
        <v>0.0</v>
      </c>
      <c r="Y1654" s="7">
        <f t="shared" si="5183"/>
        <v>95</v>
      </c>
      <c r="Z1654" s="7">
        <f>VLOOKUP(A1654,Jogos!A:L,3,0)</f>
        <v>47</v>
      </c>
      <c r="AA1654" s="7">
        <f t="shared" si="4815"/>
        <v>47</v>
      </c>
      <c r="AB1654" s="7">
        <f>VLOOKUP(A1654,Jogos!A:L,4,0)</f>
        <v>50</v>
      </c>
      <c r="AC1654" s="7">
        <f t="shared" si="5062"/>
        <v>50</v>
      </c>
      <c r="AD1654" s="7"/>
      <c r="AE1654" s="7"/>
      <c r="AF1654" s="7">
        <f t="shared" si="4566"/>
        <v>97</v>
      </c>
      <c r="AG1654" s="7">
        <v>10480.1</v>
      </c>
      <c r="AH1654" s="7">
        <v>4366.6</v>
      </c>
      <c r="AI1654" s="7">
        <v>3734.2</v>
      </c>
      <c r="AJ1654" s="7">
        <v>1344.1</v>
      </c>
      <c r="AK1654" s="7">
        <v>747.6</v>
      </c>
      <c r="AL1654" s="7">
        <v>287.6</v>
      </c>
      <c r="AM1654" s="7">
        <v>117.0</v>
      </c>
      <c r="AN1654" s="7">
        <v>71.0</v>
      </c>
      <c r="AO1654" s="7">
        <v>32.4</v>
      </c>
      <c r="AP1654" s="9">
        <f t="shared" ref="AP1654:AR1654" si="5190">AG1654/$AF1654</f>
        <v>108.042268</v>
      </c>
      <c r="AQ1654" s="9">
        <f t="shared" si="5190"/>
        <v>45.01649485</v>
      </c>
      <c r="AR1654" s="9">
        <f t="shared" si="5190"/>
        <v>38.49690722</v>
      </c>
      <c r="AS1654" s="9">
        <f t="shared" si="4568"/>
        <v>83.51340206</v>
      </c>
      <c r="AT1654" s="9">
        <f t="shared" ref="AT1654:AV1654" si="5191">AJ1654/$AF1654</f>
        <v>13.85670103</v>
      </c>
      <c r="AU1654" s="9">
        <f t="shared" si="5191"/>
        <v>7.707216495</v>
      </c>
      <c r="AV1654" s="9">
        <f t="shared" si="5191"/>
        <v>2.964948454</v>
      </c>
      <c r="AW1654" s="9">
        <f t="shared" si="4570"/>
        <v>10.67216495</v>
      </c>
      <c r="AX1654" s="9">
        <f t="shared" ref="AX1654:AY1654" si="5192">AM1654/$AF1654</f>
        <v>1.206185567</v>
      </c>
      <c r="AY1654" s="9">
        <f t="shared" si="5192"/>
        <v>0.7319587629</v>
      </c>
      <c r="AZ1654" s="9">
        <f>VLOOKUP(A1654,Jogos!A:BN,58,0)</f>
        <v>23.565</v>
      </c>
      <c r="BA1654" s="9">
        <f>VLOOKUP(A1654,Jogos!A:BN,59,0)</f>
        <v>21.58</v>
      </c>
      <c r="BB1654" s="9">
        <f>VLOOKUP(A1654,Jogos!A:BN,60,0)</f>
        <v>88</v>
      </c>
      <c r="BC1654" s="9">
        <f>VLOOKUP(A1654,Jogos!A:BN,61,0)</f>
        <v>21.225</v>
      </c>
      <c r="BD1654" s="9">
        <f>VLOOKUP(A1654,Jogos!A:BN,62,0)</f>
        <v>0</v>
      </c>
      <c r="BE1654" s="9">
        <f>VLOOKUP(A1654,Jogos!A:BN,63,0)</f>
        <v>2.535</v>
      </c>
      <c r="BF1654" s="9">
        <f>VLOOKUP(A1654,Jogos!A:BN,64,0)</f>
        <v>22.145</v>
      </c>
      <c r="BG1654" s="9">
        <f>VLOOKUP(A1654,Jogos!A:BN,65,0)</f>
        <v>37.205</v>
      </c>
      <c r="BH1654" s="9">
        <f>VLOOKUP(A1654,Jogos!A:BN,66,0)</f>
        <v>25.295</v>
      </c>
      <c r="BI1654" s="9"/>
      <c r="BJ1654" s="9"/>
    </row>
    <row r="1655" hidden="1">
      <c r="A1655" s="2">
        <v>56.0</v>
      </c>
      <c r="B1655" s="2" t="s">
        <v>1350</v>
      </c>
      <c r="C1655" s="2" t="s">
        <v>1351</v>
      </c>
      <c r="D1655" s="3">
        <v>45839.0</v>
      </c>
      <c r="E1655" s="4">
        <v>0.875</v>
      </c>
      <c r="F1655" s="5" t="str">
        <f>VLOOKUP(A1655,Jogos!A:N,10,0)</f>
        <v>Evening</v>
      </c>
      <c r="G1655" s="2" t="s">
        <v>376</v>
      </c>
      <c r="H1655" s="6" t="str">
        <f>VLOOKUP(A1655,Jogos!A:L,12,0)</f>
        <v>Closed</v>
      </c>
      <c r="I1655" s="6" t="str">
        <f>VLOOKUP(G1655,'Estádios e Cidades'!A:B,2,0)</f>
        <v>Atlanta</v>
      </c>
      <c r="J1655" s="2" t="s">
        <v>747</v>
      </c>
      <c r="K1655" s="2" t="str">
        <f>VLOOKUP(J1655,Equipes!A:F,6,0)</f>
        <v>Tropical</v>
      </c>
      <c r="L1655" s="2">
        <f>VLOOKUP(J1655,Equipes!A:C,3,0)</f>
        <v>15</v>
      </c>
      <c r="M1655" s="2" t="str">
        <f t="shared" si="4"/>
        <v>Round of 16</v>
      </c>
      <c r="N1655" s="2" t="s">
        <v>564</v>
      </c>
      <c r="O1655" s="2">
        <f>VLOOKUP(N1655,Equipes!A:C,3,0)</f>
        <v>5</v>
      </c>
      <c r="P1655" s="2" t="str">
        <f t="shared" si="5"/>
        <v>Quarter-final</v>
      </c>
      <c r="Q1655" s="2">
        <f t="shared" si="6"/>
        <v>10</v>
      </c>
      <c r="R1655" s="2" t="str">
        <f>VLOOKUP(J1655,Equipes!A:B,2,0)</f>
        <v>Monterrey</v>
      </c>
      <c r="S1655" s="6" t="s">
        <v>771</v>
      </c>
      <c r="T1655" s="7">
        <v>6.0</v>
      </c>
      <c r="U1655" s="7" t="s">
        <v>772</v>
      </c>
      <c r="V1655" s="7" t="str">
        <f>VLOOKUP(U1655,Jogadores!B:C,2,0)</f>
        <v>MF</v>
      </c>
      <c r="W1655" s="8">
        <f>VLOOKUP(U1655,Jogadores!B:D,3,0)</f>
        <v>25.49041096</v>
      </c>
      <c r="X1655" s="7">
        <v>0.0</v>
      </c>
      <c r="Y1655" s="7">
        <f t="shared" si="5183"/>
        <v>95</v>
      </c>
      <c r="Z1655" s="7">
        <f>VLOOKUP(A1655,Jogos!A:L,3,0)</f>
        <v>47</v>
      </c>
      <c r="AA1655" s="7">
        <f t="shared" si="4815"/>
        <v>47</v>
      </c>
      <c r="AB1655" s="7">
        <f>VLOOKUP(A1655,Jogos!A:L,4,0)</f>
        <v>50</v>
      </c>
      <c r="AC1655" s="7">
        <f t="shared" si="5062"/>
        <v>50</v>
      </c>
      <c r="AD1655" s="7"/>
      <c r="AE1655" s="7"/>
      <c r="AF1655" s="7">
        <f t="shared" si="4566"/>
        <v>97</v>
      </c>
      <c r="AG1655" s="7">
        <v>11226.4</v>
      </c>
      <c r="AH1655" s="7">
        <v>3988.2</v>
      </c>
      <c r="AI1655" s="7">
        <v>4758.9</v>
      </c>
      <c r="AJ1655" s="7">
        <v>1687.2</v>
      </c>
      <c r="AK1655" s="7">
        <v>551.8</v>
      </c>
      <c r="AL1655" s="7">
        <v>240.3</v>
      </c>
      <c r="AM1655" s="7">
        <v>155.0</v>
      </c>
      <c r="AN1655" s="7">
        <v>50.0</v>
      </c>
      <c r="AO1655" s="7">
        <v>33.9</v>
      </c>
      <c r="AP1655" s="9">
        <f t="shared" ref="AP1655:AR1655" si="5193">AG1655/$AF1655</f>
        <v>115.7360825</v>
      </c>
      <c r="AQ1655" s="9">
        <f t="shared" si="5193"/>
        <v>41.11546392</v>
      </c>
      <c r="AR1655" s="9">
        <f t="shared" si="5193"/>
        <v>49.06082474</v>
      </c>
      <c r="AS1655" s="9">
        <f t="shared" si="4568"/>
        <v>90.17628866</v>
      </c>
      <c r="AT1655" s="9">
        <f t="shared" ref="AT1655:AV1655" si="5194">AJ1655/$AF1655</f>
        <v>17.39381443</v>
      </c>
      <c r="AU1655" s="9">
        <f t="shared" si="5194"/>
        <v>5.688659794</v>
      </c>
      <c r="AV1655" s="9">
        <f t="shared" si="5194"/>
        <v>2.477319588</v>
      </c>
      <c r="AW1655" s="9">
        <f t="shared" si="4570"/>
        <v>8.165979381</v>
      </c>
      <c r="AX1655" s="9">
        <f t="shared" ref="AX1655:AY1655" si="5195">AM1655/$AF1655</f>
        <v>1.597938144</v>
      </c>
      <c r="AY1655" s="9">
        <f t="shared" si="5195"/>
        <v>0.5154639175</v>
      </c>
      <c r="AZ1655" s="9">
        <f>VLOOKUP(A1655,Jogos!A:BN,58,0)</f>
        <v>23.565</v>
      </c>
      <c r="BA1655" s="9">
        <f>VLOOKUP(A1655,Jogos!A:BN,59,0)</f>
        <v>21.58</v>
      </c>
      <c r="BB1655" s="9">
        <f>VLOOKUP(A1655,Jogos!A:BN,60,0)</f>
        <v>88</v>
      </c>
      <c r="BC1655" s="9">
        <f>VLOOKUP(A1655,Jogos!A:BN,61,0)</f>
        <v>21.225</v>
      </c>
      <c r="BD1655" s="9">
        <f>VLOOKUP(A1655,Jogos!A:BN,62,0)</f>
        <v>0</v>
      </c>
      <c r="BE1655" s="9">
        <f>VLOOKUP(A1655,Jogos!A:BN,63,0)</f>
        <v>2.535</v>
      </c>
      <c r="BF1655" s="9">
        <f>VLOOKUP(A1655,Jogos!A:BN,64,0)</f>
        <v>22.145</v>
      </c>
      <c r="BG1655" s="9">
        <f>VLOOKUP(A1655,Jogos!A:BN,65,0)</f>
        <v>37.205</v>
      </c>
      <c r="BH1655" s="9">
        <f>VLOOKUP(A1655,Jogos!A:BN,66,0)</f>
        <v>25.295</v>
      </c>
      <c r="BI1655" s="9"/>
      <c r="BJ1655" s="9"/>
    </row>
    <row r="1656" hidden="1">
      <c r="A1656" s="2">
        <v>56.0</v>
      </c>
      <c r="B1656" s="2" t="s">
        <v>1350</v>
      </c>
      <c r="C1656" s="2" t="s">
        <v>1351</v>
      </c>
      <c r="D1656" s="3">
        <v>45839.0</v>
      </c>
      <c r="E1656" s="4">
        <v>0.875</v>
      </c>
      <c r="F1656" s="5" t="str">
        <f>VLOOKUP(A1656,Jogos!A:N,10,0)</f>
        <v>Evening</v>
      </c>
      <c r="G1656" s="2" t="s">
        <v>376</v>
      </c>
      <c r="H1656" s="6" t="str">
        <f>VLOOKUP(A1656,Jogos!A:L,12,0)</f>
        <v>Closed</v>
      </c>
      <c r="I1656" s="6" t="str">
        <f>VLOOKUP(G1656,'Estádios e Cidades'!A:B,2,0)</f>
        <v>Atlanta</v>
      </c>
      <c r="J1656" s="2" t="s">
        <v>747</v>
      </c>
      <c r="K1656" s="2" t="str">
        <f>VLOOKUP(J1656,Equipes!A:F,6,0)</f>
        <v>Tropical</v>
      </c>
      <c r="L1656" s="2">
        <f>VLOOKUP(J1656,Equipes!A:C,3,0)</f>
        <v>15</v>
      </c>
      <c r="M1656" s="2" t="str">
        <f t="shared" si="4"/>
        <v>Round of 16</v>
      </c>
      <c r="N1656" s="2" t="s">
        <v>564</v>
      </c>
      <c r="O1656" s="2">
        <f>VLOOKUP(N1656,Equipes!A:C,3,0)</f>
        <v>5</v>
      </c>
      <c r="P1656" s="2" t="str">
        <f t="shared" si="5"/>
        <v>Quarter-final</v>
      </c>
      <c r="Q1656" s="2">
        <f t="shared" si="6"/>
        <v>10</v>
      </c>
      <c r="R1656" s="2" t="str">
        <f>VLOOKUP(J1656,Equipes!A:B,2,0)</f>
        <v>Monterrey</v>
      </c>
      <c r="S1656" s="6" t="s">
        <v>755</v>
      </c>
      <c r="T1656" s="7">
        <v>7.0</v>
      </c>
      <c r="U1656" s="7" t="s">
        <v>756</v>
      </c>
      <c r="V1656" s="7" t="str">
        <f>VLOOKUP(U1656,Jogadores!B:C,2,0)</f>
        <v>FW</v>
      </c>
      <c r="W1656" s="8">
        <f>VLOOKUP(U1656,Jogadores!B:D,3,0)</f>
        <v>26.72328767</v>
      </c>
      <c r="X1656" s="7">
        <v>0.0</v>
      </c>
      <c r="Y1656" s="7">
        <v>84.0</v>
      </c>
      <c r="Z1656" s="7">
        <f>VLOOKUP(A1656,Jogos!A:L,3,0)</f>
        <v>47</v>
      </c>
      <c r="AA1656" s="7">
        <f t="shared" si="4815"/>
        <v>47</v>
      </c>
      <c r="AB1656" s="7">
        <f>VLOOKUP(A1656,Jogos!A:L,4,0)</f>
        <v>50</v>
      </c>
      <c r="AC1656" s="7">
        <f t="shared" si="5062"/>
        <v>39</v>
      </c>
      <c r="AD1656" s="7"/>
      <c r="AE1656" s="7"/>
      <c r="AF1656" s="7">
        <f t="shared" si="4566"/>
        <v>86</v>
      </c>
      <c r="AG1656" s="7">
        <v>9662.7</v>
      </c>
      <c r="AH1656" s="7">
        <v>3417.6</v>
      </c>
      <c r="AI1656" s="7">
        <v>4039.9</v>
      </c>
      <c r="AJ1656" s="7">
        <v>1204.4</v>
      </c>
      <c r="AK1656" s="7">
        <v>658.0</v>
      </c>
      <c r="AL1656" s="7">
        <v>342.8</v>
      </c>
      <c r="AM1656" s="7">
        <v>96.0</v>
      </c>
      <c r="AN1656" s="7">
        <v>54.0</v>
      </c>
      <c r="AO1656" s="7">
        <v>31.8</v>
      </c>
      <c r="AP1656" s="9">
        <f t="shared" ref="AP1656:AR1656" si="5196">AG1656/$AF1656</f>
        <v>112.3569767</v>
      </c>
      <c r="AQ1656" s="9">
        <f t="shared" si="5196"/>
        <v>39.73953488</v>
      </c>
      <c r="AR1656" s="9">
        <f t="shared" si="5196"/>
        <v>46.9755814</v>
      </c>
      <c r="AS1656" s="9">
        <f t="shared" si="4568"/>
        <v>86.71511628</v>
      </c>
      <c r="AT1656" s="9">
        <f t="shared" ref="AT1656:AV1656" si="5197">AJ1656/$AF1656</f>
        <v>14.00465116</v>
      </c>
      <c r="AU1656" s="9">
        <f t="shared" si="5197"/>
        <v>7.651162791</v>
      </c>
      <c r="AV1656" s="9">
        <f t="shared" si="5197"/>
        <v>3.986046512</v>
      </c>
      <c r="AW1656" s="9">
        <f t="shared" si="4570"/>
        <v>11.6372093</v>
      </c>
      <c r="AX1656" s="9">
        <f t="shared" ref="AX1656:AY1656" si="5198">AM1656/$AF1656</f>
        <v>1.11627907</v>
      </c>
      <c r="AY1656" s="9">
        <f t="shared" si="5198"/>
        <v>0.6279069767</v>
      </c>
      <c r="AZ1656" s="9">
        <f>VLOOKUP(A1656,Jogos!A:BN,58,0)</f>
        <v>23.565</v>
      </c>
      <c r="BA1656" s="9">
        <f>VLOOKUP(A1656,Jogos!A:BN,59,0)</f>
        <v>21.58</v>
      </c>
      <c r="BB1656" s="9">
        <f>VLOOKUP(A1656,Jogos!A:BN,60,0)</f>
        <v>88</v>
      </c>
      <c r="BC1656" s="9">
        <f>VLOOKUP(A1656,Jogos!A:BN,61,0)</f>
        <v>21.225</v>
      </c>
      <c r="BD1656" s="9">
        <f>VLOOKUP(A1656,Jogos!A:BN,62,0)</f>
        <v>0</v>
      </c>
      <c r="BE1656" s="9">
        <f>VLOOKUP(A1656,Jogos!A:BN,63,0)</f>
        <v>2.535</v>
      </c>
      <c r="BF1656" s="9">
        <f>VLOOKUP(A1656,Jogos!A:BN,64,0)</f>
        <v>22.145</v>
      </c>
      <c r="BG1656" s="9">
        <f>VLOOKUP(A1656,Jogos!A:BN,65,0)</f>
        <v>37.205</v>
      </c>
      <c r="BH1656" s="9">
        <f>VLOOKUP(A1656,Jogos!A:BN,66,0)</f>
        <v>25.295</v>
      </c>
      <c r="BI1656" s="9"/>
      <c r="BJ1656" s="9"/>
    </row>
    <row r="1657" hidden="1">
      <c r="A1657" s="2">
        <v>56.0</v>
      </c>
      <c r="B1657" s="2" t="s">
        <v>1350</v>
      </c>
      <c r="C1657" s="2" t="s">
        <v>1351</v>
      </c>
      <c r="D1657" s="3">
        <v>45839.0</v>
      </c>
      <c r="E1657" s="4">
        <v>0.875</v>
      </c>
      <c r="F1657" s="5" t="str">
        <f>VLOOKUP(A1657,Jogos!A:N,10,0)</f>
        <v>Evening</v>
      </c>
      <c r="G1657" s="2" t="s">
        <v>376</v>
      </c>
      <c r="H1657" s="6" t="str">
        <f>VLOOKUP(A1657,Jogos!A:L,12,0)</f>
        <v>Closed</v>
      </c>
      <c r="I1657" s="6" t="str">
        <f>VLOOKUP(G1657,'Estádios e Cidades'!A:B,2,0)</f>
        <v>Atlanta</v>
      </c>
      <c r="J1657" s="2" t="s">
        <v>747</v>
      </c>
      <c r="K1657" s="2" t="str">
        <f>VLOOKUP(J1657,Equipes!A:F,6,0)</f>
        <v>Tropical</v>
      </c>
      <c r="L1657" s="2">
        <f>VLOOKUP(J1657,Equipes!A:C,3,0)</f>
        <v>15</v>
      </c>
      <c r="M1657" s="2" t="str">
        <f t="shared" si="4"/>
        <v>Round of 16</v>
      </c>
      <c r="N1657" s="2" t="s">
        <v>564</v>
      </c>
      <c r="O1657" s="2">
        <f>VLOOKUP(N1657,Equipes!A:C,3,0)</f>
        <v>5</v>
      </c>
      <c r="P1657" s="2" t="str">
        <f t="shared" si="5"/>
        <v>Quarter-final</v>
      </c>
      <c r="Q1657" s="2">
        <f t="shared" si="6"/>
        <v>10</v>
      </c>
      <c r="R1657" s="2" t="str">
        <f>VLOOKUP(J1657,Equipes!A:B,2,0)</f>
        <v>Monterrey</v>
      </c>
      <c r="S1657" s="6" t="s">
        <v>757</v>
      </c>
      <c r="T1657" s="7">
        <v>8.0</v>
      </c>
      <c r="U1657" s="7" t="s">
        <v>758</v>
      </c>
      <c r="V1657" s="7" t="str">
        <f>VLOOKUP(U1657,Jogadores!B:C,2,0)</f>
        <v>MF</v>
      </c>
      <c r="W1657" s="8">
        <f>VLOOKUP(U1657,Jogadores!B:D,3,0)</f>
        <v>30.73424658</v>
      </c>
      <c r="X1657" s="7">
        <v>0.0</v>
      </c>
      <c r="Y1657" s="7">
        <v>84.0</v>
      </c>
      <c r="Z1657" s="7">
        <f>VLOOKUP(A1657,Jogos!A:L,3,0)</f>
        <v>47</v>
      </c>
      <c r="AA1657" s="7">
        <f t="shared" si="4815"/>
        <v>47</v>
      </c>
      <c r="AB1657" s="7">
        <f>VLOOKUP(A1657,Jogos!A:L,4,0)</f>
        <v>50</v>
      </c>
      <c r="AC1657" s="7">
        <f t="shared" si="5062"/>
        <v>39</v>
      </c>
      <c r="AD1657" s="7"/>
      <c r="AE1657" s="7"/>
      <c r="AF1657" s="7">
        <f t="shared" si="4566"/>
        <v>86</v>
      </c>
      <c r="AG1657" s="7">
        <v>10625.6</v>
      </c>
      <c r="AH1657" s="7">
        <v>3307.1</v>
      </c>
      <c r="AI1657" s="7">
        <v>4605.5</v>
      </c>
      <c r="AJ1657" s="7">
        <v>2110.0</v>
      </c>
      <c r="AK1657" s="7">
        <v>554.1</v>
      </c>
      <c r="AL1657" s="7">
        <v>48.9</v>
      </c>
      <c r="AM1657" s="7">
        <v>173.0</v>
      </c>
      <c r="AN1657" s="7">
        <v>36.0</v>
      </c>
      <c r="AO1657" s="7">
        <v>29.2</v>
      </c>
      <c r="AP1657" s="9">
        <f t="shared" ref="AP1657:AR1657" si="5199">AG1657/$AF1657</f>
        <v>123.5534884</v>
      </c>
      <c r="AQ1657" s="9">
        <f t="shared" si="5199"/>
        <v>38.45465116</v>
      </c>
      <c r="AR1657" s="9">
        <f t="shared" si="5199"/>
        <v>53.55232558</v>
      </c>
      <c r="AS1657" s="9">
        <f t="shared" si="4568"/>
        <v>92.00697674</v>
      </c>
      <c r="AT1657" s="9">
        <f t="shared" ref="AT1657:AV1657" si="5200">AJ1657/$AF1657</f>
        <v>24.53488372</v>
      </c>
      <c r="AU1657" s="9">
        <f t="shared" si="5200"/>
        <v>6.443023256</v>
      </c>
      <c r="AV1657" s="9">
        <f t="shared" si="5200"/>
        <v>0.5686046512</v>
      </c>
      <c r="AW1657" s="9">
        <f t="shared" si="4570"/>
        <v>7.011627907</v>
      </c>
      <c r="AX1657" s="9">
        <f t="shared" ref="AX1657:AY1657" si="5201">AM1657/$AF1657</f>
        <v>2.011627907</v>
      </c>
      <c r="AY1657" s="9">
        <f t="shared" si="5201"/>
        <v>0.4186046512</v>
      </c>
      <c r="AZ1657" s="9">
        <f>VLOOKUP(A1657,Jogos!A:BN,58,0)</f>
        <v>23.565</v>
      </c>
      <c r="BA1657" s="9">
        <f>VLOOKUP(A1657,Jogos!A:BN,59,0)</f>
        <v>21.58</v>
      </c>
      <c r="BB1657" s="9">
        <f>VLOOKUP(A1657,Jogos!A:BN,60,0)</f>
        <v>88</v>
      </c>
      <c r="BC1657" s="9">
        <f>VLOOKUP(A1657,Jogos!A:BN,61,0)</f>
        <v>21.225</v>
      </c>
      <c r="BD1657" s="9">
        <f>VLOOKUP(A1657,Jogos!A:BN,62,0)</f>
        <v>0</v>
      </c>
      <c r="BE1657" s="9">
        <f>VLOOKUP(A1657,Jogos!A:BN,63,0)</f>
        <v>2.535</v>
      </c>
      <c r="BF1657" s="9">
        <f>VLOOKUP(A1657,Jogos!A:BN,64,0)</f>
        <v>22.145</v>
      </c>
      <c r="BG1657" s="9">
        <f>VLOOKUP(A1657,Jogos!A:BN,65,0)</f>
        <v>37.205</v>
      </c>
      <c r="BH1657" s="9">
        <f>VLOOKUP(A1657,Jogos!A:BN,66,0)</f>
        <v>25.295</v>
      </c>
      <c r="BI1657" s="9"/>
      <c r="BJ1657" s="9"/>
    </row>
    <row r="1658" hidden="1">
      <c r="A1658" s="2">
        <v>56.0</v>
      </c>
      <c r="B1658" s="2" t="s">
        <v>1350</v>
      </c>
      <c r="C1658" s="2" t="s">
        <v>1351</v>
      </c>
      <c r="D1658" s="3">
        <v>45839.0</v>
      </c>
      <c r="E1658" s="4">
        <v>0.875</v>
      </c>
      <c r="F1658" s="5" t="str">
        <f>VLOOKUP(A1658,Jogos!A:N,10,0)</f>
        <v>Evening</v>
      </c>
      <c r="G1658" s="2" t="s">
        <v>376</v>
      </c>
      <c r="H1658" s="6" t="str">
        <f>VLOOKUP(A1658,Jogos!A:L,12,0)</f>
        <v>Closed</v>
      </c>
      <c r="I1658" s="6" t="str">
        <f>VLOOKUP(G1658,'Estádios e Cidades'!A:B,2,0)</f>
        <v>Atlanta</v>
      </c>
      <c r="J1658" s="2" t="s">
        <v>747</v>
      </c>
      <c r="K1658" s="2" t="str">
        <f>VLOOKUP(J1658,Equipes!A:F,6,0)</f>
        <v>Tropical</v>
      </c>
      <c r="L1658" s="2">
        <f>VLOOKUP(J1658,Equipes!A:C,3,0)</f>
        <v>15</v>
      </c>
      <c r="M1658" s="2" t="str">
        <f t="shared" si="4"/>
        <v>Round of 16</v>
      </c>
      <c r="N1658" s="2" t="s">
        <v>564</v>
      </c>
      <c r="O1658" s="2">
        <f>VLOOKUP(N1658,Equipes!A:C,3,0)</f>
        <v>5</v>
      </c>
      <c r="P1658" s="2" t="str">
        <f t="shared" si="5"/>
        <v>Quarter-final</v>
      </c>
      <c r="Q1658" s="2">
        <f t="shared" si="6"/>
        <v>10</v>
      </c>
      <c r="R1658" s="2" t="str">
        <f>VLOOKUP(J1658,Equipes!A:B,2,0)</f>
        <v>Monterrey</v>
      </c>
      <c r="S1658" s="6" t="s">
        <v>759</v>
      </c>
      <c r="T1658" s="7">
        <v>10.0</v>
      </c>
      <c r="U1658" s="7" t="s">
        <v>760</v>
      </c>
      <c r="V1658" s="7" t="str">
        <f>VLOOKUP(U1658,Jogadores!B:C,2,0)</f>
        <v>MF</v>
      </c>
      <c r="W1658" s="8">
        <f>VLOOKUP(U1658,Jogadores!B:D,3,0)</f>
        <v>34.46849315</v>
      </c>
      <c r="X1658" s="7">
        <v>0.0</v>
      </c>
      <c r="Y1658" s="7">
        <v>90.0</v>
      </c>
      <c r="Z1658" s="7">
        <f>VLOOKUP(A1658,Jogos!A:L,3,0)</f>
        <v>47</v>
      </c>
      <c r="AA1658" s="7">
        <f t="shared" si="4815"/>
        <v>47</v>
      </c>
      <c r="AB1658" s="7">
        <f>VLOOKUP(A1658,Jogos!A:L,4,0)</f>
        <v>50</v>
      </c>
      <c r="AC1658" s="7">
        <f t="shared" si="5062"/>
        <v>45</v>
      </c>
      <c r="AD1658" s="7"/>
      <c r="AE1658" s="7"/>
      <c r="AF1658" s="7">
        <f t="shared" si="4566"/>
        <v>92</v>
      </c>
      <c r="AG1658" s="7">
        <v>11388.2</v>
      </c>
      <c r="AH1658" s="7">
        <v>3313.9</v>
      </c>
      <c r="AI1658" s="7">
        <v>6491.7</v>
      </c>
      <c r="AJ1658" s="7">
        <v>1492.2</v>
      </c>
      <c r="AK1658" s="7">
        <v>85.2</v>
      </c>
      <c r="AL1658" s="7">
        <v>5.2</v>
      </c>
      <c r="AM1658" s="7">
        <v>140.0</v>
      </c>
      <c r="AN1658" s="7">
        <v>8.0</v>
      </c>
      <c r="AO1658" s="7">
        <v>26.3</v>
      </c>
      <c r="AP1658" s="9">
        <f t="shared" ref="AP1658:AR1658" si="5202">AG1658/$AF1658</f>
        <v>123.7847826</v>
      </c>
      <c r="AQ1658" s="9">
        <f t="shared" si="5202"/>
        <v>36.02065217</v>
      </c>
      <c r="AR1658" s="9">
        <f t="shared" si="5202"/>
        <v>70.56195652</v>
      </c>
      <c r="AS1658" s="9">
        <f t="shared" si="4568"/>
        <v>106.5826087</v>
      </c>
      <c r="AT1658" s="9">
        <f t="shared" ref="AT1658:AV1658" si="5203">AJ1658/$AF1658</f>
        <v>16.21956522</v>
      </c>
      <c r="AU1658" s="9">
        <f t="shared" si="5203"/>
        <v>0.9260869565</v>
      </c>
      <c r="AV1658" s="9">
        <f t="shared" si="5203"/>
        <v>0.05652173913</v>
      </c>
      <c r="AW1658" s="9">
        <f t="shared" si="4570"/>
        <v>0.9826086957</v>
      </c>
      <c r="AX1658" s="9">
        <f t="shared" ref="AX1658:AY1658" si="5204">AM1658/$AF1658</f>
        <v>1.52173913</v>
      </c>
      <c r="AY1658" s="9">
        <f t="shared" si="5204"/>
        <v>0.08695652174</v>
      </c>
      <c r="AZ1658" s="9">
        <f>VLOOKUP(A1658,Jogos!A:BN,58,0)</f>
        <v>23.565</v>
      </c>
      <c r="BA1658" s="9">
        <f>VLOOKUP(A1658,Jogos!A:BN,59,0)</f>
        <v>21.58</v>
      </c>
      <c r="BB1658" s="9">
        <f>VLOOKUP(A1658,Jogos!A:BN,60,0)</f>
        <v>88</v>
      </c>
      <c r="BC1658" s="9">
        <f>VLOOKUP(A1658,Jogos!A:BN,61,0)</f>
        <v>21.225</v>
      </c>
      <c r="BD1658" s="9">
        <f>VLOOKUP(A1658,Jogos!A:BN,62,0)</f>
        <v>0</v>
      </c>
      <c r="BE1658" s="9">
        <f>VLOOKUP(A1658,Jogos!A:BN,63,0)</f>
        <v>2.535</v>
      </c>
      <c r="BF1658" s="9">
        <f>VLOOKUP(A1658,Jogos!A:BN,64,0)</f>
        <v>22.145</v>
      </c>
      <c r="BG1658" s="9">
        <f>VLOOKUP(A1658,Jogos!A:BN,65,0)</f>
        <v>37.205</v>
      </c>
      <c r="BH1658" s="9">
        <f>VLOOKUP(A1658,Jogos!A:BN,66,0)</f>
        <v>25.295</v>
      </c>
      <c r="BI1658" s="9"/>
      <c r="BJ1658" s="9"/>
    </row>
    <row r="1659" hidden="1">
      <c r="A1659" s="2">
        <v>56.0</v>
      </c>
      <c r="B1659" s="2" t="s">
        <v>1350</v>
      </c>
      <c r="C1659" s="2" t="s">
        <v>1351</v>
      </c>
      <c r="D1659" s="3">
        <v>45839.0</v>
      </c>
      <c r="E1659" s="4">
        <v>0.875</v>
      </c>
      <c r="F1659" s="5" t="str">
        <f>VLOOKUP(A1659,Jogos!A:N,10,0)</f>
        <v>Evening</v>
      </c>
      <c r="G1659" s="2" t="s">
        <v>376</v>
      </c>
      <c r="H1659" s="6" t="str">
        <f>VLOOKUP(A1659,Jogos!A:L,12,0)</f>
        <v>Closed</v>
      </c>
      <c r="I1659" s="6" t="str">
        <f>VLOOKUP(G1659,'Estádios e Cidades'!A:B,2,0)</f>
        <v>Atlanta</v>
      </c>
      <c r="J1659" s="2" t="s">
        <v>747</v>
      </c>
      <c r="K1659" s="2" t="str">
        <f>VLOOKUP(J1659,Equipes!A:F,6,0)</f>
        <v>Tropical</v>
      </c>
      <c r="L1659" s="2">
        <f>VLOOKUP(J1659,Equipes!A:C,3,0)</f>
        <v>15</v>
      </c>
      <c r="M1659" s="2" t="str">
        <f t="shared" si="4"/>
        <v>Round of 16</v>
      </c>
      <c r="N1659" s="2" t="s">
        <v>564</v>
      </c>
      <c r="O1659" s="2">
        <f>VLOOKUP(N1659,Equipes!A:C,3,0)</f>
        <v>5</v>
      </c>
      <c r="P1659" s="2" t="str">
        <f t="shared" si="5"/>
        <v>Quarter-final</v>
      </c>
      <c r="Q1659" s="2">
        <f t="shared" si="6"/>
        <v>10</v>
      </c>
      <c r="R1659" s="2" t="str">
        <f>VLOOKUP(J1659,Equipes!A:B,2,0)</f>
        <v>Monterrey</v>
      </c>
      <c r="S1659" s="6" t="s">
        <v>773</v>
      </c>
      <c r="T1659" s="7">
        <v>14.0</v>
      </c>
      <c r="U1659" s="7" t="s">
        <v>774</v>
      </c>
      <c r="V1659" s="7" t="str">
        <f>VLOOKUP(U1659,Jogadores!B:C,2,0)</f>
        <v>DF</v>
      </c>
      <c r="W1659" s="8">
        <f>VLOOKUP(U1659,Jogadores!B:D,3,0)</f>
        <v>28.44383562</v>
      </c>
      <c r="X1659" s="7">
        <v>0.0</v>
      </c>
      <c r="Y1659" s="7">
        <f>45+AB1659</f>
        <v>95</v>
      </c>
      <c r="Z1659" s="7">
        <f>VLOOKUP(A1659,Jogos!A:L,3,0)</f>
        <v>47</v>
      </c>
      <c r="AA1659" s="7">
        <f t="shared" si="4815"/>
        <v>47</v>
      </c>
      <c r="AB1659" s="7">
        <f>VLOOKUP(A1659,Jogos!A:L,4,0)</f>
        <v>50</v>
      </c>
      <c r="AC1659" s="7">
        <f t="shared" si="5062"/>
        <v>50</v>
      </c>
      <c r="AD1659" s="7"/>
      <c r="AE1659" s="7"/>
      <c r="AF1659" s="7">
        <f t="shared" si="4566"/>
        <v>97</v>
      </c>
      <c r="AG1659" s="7">
        <v>11390.3</v>
      </c>
      <c r="AH1659" s="7">
        <v>3889.7</v>
      </c>
      <c r="AI1659" s="7">
        <v>4849.4</v>
      </c>
      <c r="AJ1659" s="7">
        <v>1872.7</v>
      </c>
      <c r="AK1659" s="7">
        <v>596.3</v>
      </c>
      <c r="AL1659" s="7">
        <v>182.2</v>
      </c>
      <c r="AM1659" s="7">
        <v>175.0</v>
      </c>
      <c r="AN1659" s="7">
        <v>47.0</v>
      </c>
      <c r="AO1659" s="7">
        <v>32.0</v>
      </c>
      <c r="AP1659" s="9">
        <f t="shared" ref="AP1659:AR1659" si="5205">AG1659/$AF1659</f>
        <v>117.4257732</v>
      </c>
      <c r="AQ1659" s="9">
        <f t="shared" si="5205"/>
        <v>40.1</v>
      </c>
      <c r="AR1659" s="9">
        <f t="shared" si="5205"/>
        <v>49.99381443</v>
      </c>
      <c r="AS1659" s="9">
        <f t="shared" si="4568"/>
        <v>90.09381443</v>
      </c>
      <c r="AT1659" s="9">
        <f t="shared" ref="AT1659:AV1659" si="5206">AJ1659/$AF1659</f>
        <v>19.30618557</v>
      </c>
      <c r="AU1659" s="9">
        <f t="shared" si="5206"/>
        <v>6.14742268</v>
      </c>
      <c r="AV1659" s="9">
        <f t="shared" si="5206"/>
        <v>1.878350515</v>
      </c>
      <c r="AW1659" s="9">
        <f t="shared" si="4570"/>
        <v>8.025773196</v>
      </c>
      <c r="AX1659" s="9">
        <f t="shared" ref="AX1659:AY1659" si="5207">AM1659/$AF1659</f>
        <v>1.804123711</v>
      </c>
      <c r="AY1659" s="9">
        <f t="shared" si="5207"/>
        <v>0.4845360825</v>
      </c>
      <c r="AZ1659" s="9">
        <f>VLOOKUP(A1659,Jogos!A:BN,58,0)</f>
        <v>23.565</v>
      </c>
      <c r="BA1659" s="9">
        <f>VLOOKUP(A1659,Jogos!A:BN,59,0)</f>
        <v>21.58</v>
      </c>
      <c r="BB1659" s="9">
        <f>VLOOKUP(A1659,Jogos!A:BN,60,0)</f>
        <v>88</v>
      </c>
      <c r="BC1659" s="9">
        <f>VLOOKUP(A1659,Jogos!A:BN,61,0)</f>
        <v>21.225</v>
      </c>
      <c r="BD1659" s="9">
        <f>VLOOKUP(A1659,Jogos!A:BN,62,0)</f>
        <v>0</v>
      </c>
      <c r="BE1659" s="9">
        <f>VLOOKUP(A1659,Jogos!A:BN,63,0)</f>
        <v>2.535</v>
      </c>
      <c r="BF1659" s="9">
        <f>VLOOKUP(A1659,Jogos!A:BN,64,0)</f>
        <v>22.145</v>
      </c>
      <c r="BG1659" s="9">
        <f>VLOOKUP(A1659,Jogos!A:BN,65,0)</f>
        <v>37.205</v>
      </c>
      <c r="BH1659" s="9">
        <f>VLOOKUP(A1659,Jogos!A:BN,66,0)</f>
        <v>25.295</v>
      </c>
      <c r="BI1659" s="9"/>
      <c r="BJ1659" s="9"/>
    </row>
    <row r="1660" hidden="1">
      <c r="A1660" s="2">
        <v>56.0</v>
      </c>
      <c r="B1660" s="2" t="s">
        <v>1350</v>
      </c>
      <c r="C1660" s="2" t="s">
        <v>1351</v>
      </c>
      <c r="D1660" s="3">
        <v>45839.0</v>
      </c>
      <c r="E1660" s="4">
        <v>0.875</v>
      </c>
      <c r="F1660" s="5" t="str">
        <f>VLOOKUP(A1660,Jogos!A:N,10,0)</f>
        <v>Evening</v>
      </c>
      <c r="G1660" s="2" t="s">
        <v>376</v>
      </c>
      <c r="H1660" s="6" t="str">
        <f>VLOOKUP(A1660,Jogos!A:L,12,0)</f>
        <v>Closed</v>
      </c>
      <c r="I1660" s="6" t="str">
        <f>VLOOKUP(G1660,'Estádios e Cidades'!A:B,2,0)</f>
        <v>Atlanta</v>
      </c>
      <c r="J1660" s="2" t="s">
        <v>747</v>
      </c>
      <c r="K1660" s="2" t="str">
        <f>VLOOKUP(J1660,Equipes!A:F,6,0)</f>
        <v>Tropical</v>
      </c>
      <c r="L1660" s="2">
        <f>VLOOKUP(J1660,Equipes!A:C,3,0)</f>
        <v>15</v>
      </c>
      <c r="M1660" s="2" t="str">
        <f t="shared" si="4"/>
        <v>Round of 16</v>
      </c>
      <c r="N1660" s="2" t="s">
        <v>564</v>
      </c>
      <c r="O1660" s="2">
        <f>VLOOKUP(N1660,Equipes!A:C,3,0)</f>
        <v>5</v>
      </c>
      <c r="P1660" s="2" t="str">
        <f t="shared" si="5"/>
        <v>Quarter-final</v>
      </c>
      <c r="Q1660" s="2">
        <f t="shared" si="6"/>
        <v>10</v>
      </c>
      <c r="R1660" s="2" t="str">
        <f>VLOOKUP(J1660,Equipes!A:B,2,0)</f>
        <v>Monterrey</v>
      </c>
      <c r="S1660" s="6" t="s">
        <v>1184</v>
      </c>
      <c r="T1660" s="7">
        <v>17.0</v>
      </c>
      <c r="U1660" s="7" t="s">
        <v>1185</v>
      </c>
      <c r="V1660" s="7" t="str">
        <f>VLOOKUP(U1660,Jogadores!B:C,2,0)</f>
        <v>MF</v>
      </c>
      <c r="W1660" s="8">
        <f>VLOOKUP(U1660,Jogadores!B:D,3,0)</f>
        <v>32.57808219</v>
      </c>
      <c r="X1660" s="7">
        <v>0.0</v>
      </c>
      <c r="Y1660" s="7">
        <v>84.0</v>
      </c>
      <c r="Z1660" s="7">
        <f>VLOOKUP(A1660,Jogos!A:L,3,0)</f>
        <v>47</v>
      </c>
      <c r="AA1660" s="7">
        <f t="shared" si="4815"/>
        <v>47</v>
      </c>
      <c r="AB1660" s="7">
        <f>VLOOKUP(A1660,Jogos!A:L,4,0)</f>
        <v>50</v>
      </c>
      <c r="AC1660" s="7">
        <f t="shared" si="5062"/>
        <v>39</v>
      </c>
      <c r="AD1660" s="7"/>
      <c r="AE1660" s="7"/>
      <c r="AF1660" s="7">
        <f t="shared" si="4566"/>
        <v>86</v>
      </c>
      <c r="AG1660" s="7">
        <v>9123.8</v>
      </c>
      <c r="AH1660" s="7">
        <v>3425.2</v>
      </c>
      <c r="AI1660" s="7">
        <v>3746.0</v>
      </c>
      <c r="AJ1660" s="7">
        <v>1139.0</v>
      </c>
      <c r="AK1660" s="7">
        <v>565.0</v>
      </c>
      <c r="AL1660" s="7">
        <v>248.6</v>
      </c>
      <c r="AM1660" s="7">
        <v>103.0</v>
      </c>
      <c r="AN1660" s="7">
        <v>48.0</v>
      </c>
      <c r="AO1660" s="7">
        <v>32.8</v>
      </c>
      <c r="AP1660" s="9">
        <f t="shared" ref="AP1660:AR1660" si="5208">AG1660/$AF1660</f>
        <v>106.0906977</v>
      </c>
      <c r="AQ1660" s="9">
        <f t="shared" si="5208"/>
        <v>39.82790698</v>
      </c>
      <c r="AR1660" s="9">
        <f t="shared" si="5208"/>
        <v>43.55813953</v>
      </c>
      <c r="AS1660" s="9">
        <f t="shared" si="4568"/>
        <v>83.38604651</v>
      </c>
      <c r="AT1660" s="9">
        <f t="shared" ref="AT1660:AV1660" si="5209">AJ1660/$AF1660</f>
        <v>13.24418605</v>
      </c>
      <c r="AU1660" s="9">
        <f t="shared" si="5209"/>
        <v>6.569767442</v>
      </c>
      <c r="AV1660" s="9">
        <f t="shared" si="5209"/>
        <v>2.890697674</v>
      </c>
      <c r="AW1660" s="9">
        <f t="shared" si="4570"/>
        <v>9.460465116</v>
      </c>
      <c r="AX1660" s="9">
        <f t="shared" ref="AX1660:AY1660" si="5210">AM1660/$AF1660</f>
        <v>1.197674419</v>
      </c>
      <c r="AY1660" s="9">
        <f t="shared" si="5210"/>
        <v>0.5581395349</v>
      </c>
      <c r="AZ1660" s="9">
        <f>VLOOKUP(A1660,Jogos!A:BN,58,0)</f>
        <v>23.565</v>
      </c>
      <c r="BA1660" s="9">
        <f>VLOOKUP(A1660,Jogos!A:BN,59,0)</f>
        <v>21.58</v>
      </c>
      <c r="BB1660" s="9">
        <f>VLOOKUP(A1660,Jogos!A:BN,60,0)</f>
        <v>88</v>
      </c>
      <c r="BC1660" s="9">
        <f>VLOOKUP(A1660,Jogos!A:BN,61,0)</f>
        <v>21.225</v>
      </c>
      <c r="BD1660" s="9">
        <f>VLOOKUP(A1660,Jogos!A:BN,62,0)</f>
        <v>0</v>
      </c>
      <c r="BE1660" s="9">
        <f>VLOOKUP(A1660,Jogos!A:BN,63,0)</f>
        <v>2.535</v>
      </c>
      <c r="BF1660" s="9">
        <f>VLOOKUP(A1660,Jogos!A:BN,64,0)</f>
        <v>22.145</v>
      </c>
      <c r="BG1660" s="9">
        <f>VLOOKUP(A1660,Jogos!A:BN,65,0)</f>
        <v>37.205</v>
      </c>
      <c r="BH1660" s="9">
        <f>VLOOKUP(A1660,Jogos!A:BN,66,0)</f>
        <v>25.295</v>
      </c>
      <c r="BI1660" s="9"/>
      <c r="BJ1660" s="9"/>
    </row>
    <row r="1661" hidden="1">
      <c r="A1661" s="2">
        <v>56.0</v>
      </c>
      <c r="B1661" s="2" t="s">
        <v>1350</v>
      </c>
      <c r="C1661" s="2" t="s">
        <v>1351</v>
      </c>
      <c r="D1661" s="3">
        <v>45839.0</v>
      </c>
      <c r="E1661" s="4">
        <v>0.875</v>
      </c>
      <c r="F1661" s="5" t="str">
        <f>VLOOKUP(A1661,Jogos!A:N,10,0)</f>
        <v>Evening</v>
      </c>
      <c r="G1661" s="2" t="s">
        <v>376</v>
      </c>
      <c r="H1661" s="6" t="str">
        <f>VLOOKUP(A1661,Jogos!A:L,12,0)</f>
        <v>Closed</v>
      </c>
      <c r="I1661" s="6" t="str">
        <f>VLOOKUP(G1661,'Estádios e Cidades'!A:B,2,0)</f>
        <v>Atlanta</v>
      </c>
      <c r="J1661" s="2" t="s">
        <v>747</v>
      </c>
      <c r="K1661" s="2" t="str">
        <f>VLOOKUP(J1661,Equipes!A:F,6,0)</f>
        <v>Tropical</v>
      </c>
      <c r="L1661" s="2">
        <f>VLOOKUP(J1661,Equipes!A:C,3,0)</f>
        <v>15</v>
      </c>
      <c r="M1661" s="2" t="str">
        <f t="shared" si="4"/>
        <v>Round of 16</v>
      </c>
      <c r="N1661" s="2" t="s">
        <v>564</v>
      </c>
      <c r="O1661" s="2">
        <f>VLOOKUP(N1661,Equipes!A:C,3,0)</f>
        <v>5</v>
      </c>
      <c r="P1661" s="2" t="str">
        <f t="shared" si="5"/>
        <v>Quarter-final</v>
      </c>
      <c r="Q1661" s="2">
        <f t="shared" si="6"/>
        <v>10</v>
      </c>
      <c r="R1661" s="2" t="str">
        <f>VLOOKUP(J1661,Equipes!A:B,2,0)</f>
        <v>Monterrey</v>
      </c>
      <c r="S1661" s="6" t="s">
        <v>763</v>
      </c>
      <c r="T1661" s="7">
        <v>30.0</v>
      </c>
      <c r="U1661" s="7" t="s">
        <v>764</v>
      </c>
      <c r="V1661" s="7" t="str">
        <f>VLOOKUP(U1661,Jogadores!B:C,2,0)</f>
        <v>MF</v>
      </c>
      <c r="W1661" s="8">
        <f>VLOOKUP(U1661,Jogadores!B:D,3,0)</f>
        <v>29.88767123</v>
      </c>
      <c r="X1661" s="7">
        <v>0.0</v>
      </c>
      <c r="Y1661" s="7">
        <f t="shared" ref="Y1661:Y1667" si="5214">45+AB1661</f>
        <v>95</v>
      </c>
      <c r="Z1661" s="7">
        <f>VLOOKUP(A1661,Jogos!A:L,3,0)</f>
        <v>47</v>
      </c>
      <c r="AA1661" s="7">
        <f t="shared" si="4815"/>
        <v>47</v>
      </c>
      <c r="AB1661" s="7">
        <f>VLOOKUP(A1661,Jogos!A:L,4,0)</f>
        <v>50</v>
      </c>
      <c r="AC1661" s="7">
        <f t="shared" si="5062"/>
        <v>50</v>
      </c>
      <c r="AD1661" s="7"/>
      <c r="AE1661" s="7"/>
      <c r="AF1661" s="7">
        <f t="shared" si="4566"/>
        <v>97</v>
      </c>
      <c r="AG1661" s="7">
        <v>10459.6</v>
      </c>
      <c r="AH1661" s="7">
        <v>3603.3</v>
      </c>
      <c r="AI1661" s="7">
        <v>5117.1</v>
      </c>
      <c r="AJ1661" s="7">
        <v>1247.2</v>
      </c>
      <c r="AK1661" s="7">
        <v>349.2</v>
      </c>
      <c r="AL1661" s="7">
        <v>142.9</v>
      </c>
      <c r="AM1661" s="7">
        <v>109.0</v>
      </c>
      <c r="AN1661" s="7">
        <v>27.0</v>
      </c>
      <c r="AO1661" s="7">
        <v>32.2</v>
      </c>
      <c r="AP1661" s="9">
        <f t="shared" ref="AP1661:AR1661" si="5211">AG1661/$AF1661</f>
        <v>107.8309278</v>
      </c>
      <c r="AQ1661" s="9">
        <f t="shared" si="5211"/>
        <v>37.14742268</v>
      </c>
      <c r="AR1661" s="9">
        <f t="shared" si="5211"/>
        <v>52.75360825</v>
      </c>
      <c r="AS1661" s="9">
        <f t="shared" si="4568"/>
        <v>89.90103093</v>
      </c>
      <c r="AT1661" s="9">
        <f t="shared" ref="AT1661:AV1661" si="5212">AJ1661/$AF1661</f>
        <v>12.85773196</v>
      </c>
      <c r="AU1661" s="9">
        <f t="shared" si="5212"/>
        <v>3.6</v>
      </c>
      <c r="AV1661" s="9">
        <f t="shared" si="5212"/>
        <v>1.473195876</v>
      </c>
      <c r="AW1661" s="9">
        <f t="shared" si="4570"/>
        <v>5.073195876</v>
      </c>
      <c r="AX1661" s="9">
        <f t="shared" ref="AX1661:AY1661" si="5213">AM1661/$AF1661</f>
        <v>1.12371134</v>
      </c>
      <c r="AY1661" s="9">
        <f t="shared" si="5213"/>
        <v>0.2783505155</v>
      </c>
      <c r="AZ1661" s="9">
        <f>VLOOKUP(A1661,Jogos!A:BN,58,0)</f>
        <v>23.565</v>
      </c>
      <c r="BA1661" s="9">
        <f>VLOOKUP(A1661,Jogos!A:BN,59,0)</f>
        <v>21.58</v>
      </c>
      <c r="BB1661" s="9">
        <f>VLOOKUP(A1661,Jogos!A:BN,60,0)</f>
        <v>88</v>
      </c>
      <c r="BC1661" s="9">
        <f>VLOOKUP(A1661,Jogos!A:BN,61,0)</f>
        <v>21.225</v>
      </c>
      <c r="BD1661" s="9">
        <f>VLOOKUP(A1661,Jogos!A:BN,62,0)</f>
        <v>0</v>
      </c>
      <c r="BE1661" s="9">
        <f>VLOOKUP(A1661,Jogos!A:BN,63,0)</f>
        <v>2.535</v>
      </c>
      <c r="BF1661" s="9">
        <f>VLOOKUP(A1661,Jogos!A:BN,64,0)</f>
        <v>22.145</v>
      </c>
      <c r="BG1661" s="9">
        <f>VLOOKUP(A1661,Jogos!A:BN,65,0)</f>
        <v>37.205</v>
      </c>
      <c r="BH1661" s="9">
        <f>VLOOKUP(A1661,Jogos!A:BN,66,0)</f>
        <v>25.295</v>
      </c>
      <c r="BI1661" s="9"/>
      <c r="BJ1661" s="9"/>
    </row>
    <row r="1662" hidden="1">
      <c r="A1662" s="2">
        <v>56.0</v>
      </c>
      <c r="B1662" s="2" t="s">
        <v>1350</v>
      </c>
      <c r="C1662" s="2" t="s">
        <v>1351</v>
      </c>
      <c r="D1662" s="3">
        <v>45839.0</v>
      </c>
      <c r="E1662" s="4">
        <v>0.875</v>
      </c>
      <c r="F1662" s="5" t="str">
        <f>VLOOKUP(A1662,Jogos!A:N,10,0)</f>
        <v>Evening</v>
      </c>
      <c r="G1662" s="2" t="s">
        <v>376</v>
      </c>
      <c r="H1662" s="6" t="str">
        <f>VLOOKUP(A1662,Jogos!A:L,12,0)</f>
        <v>Closed</v>
      </c>
      <c r="I1662" s="6" t="str">
        <f>VLOOKUP(G1662,'Estádios e Cidades'!A:B,2,0)</f>
        <v>Atlanta</v>
      </c>
      <c r="J1662" s="2" t="s">
        <v>747</v>
      </c>
      <c r="K1662" s="2" t="str">
        <f>VLOOKUP(J1662,Equipes!A:F,6,0)</f>
        <v>Tropical</v>
      </c>
      <c r="L1662" s="2">
        <f>VLOOKUP(J1662,Equipes!A:C,3,0)</f>
        <v>15</v>
      </c>
      <c r="M1662" s="2" t="str">
        <f t="shared" si="4"/>
        <v>Round of 16</v>
      </c>
      <c r="N1662" s="2" t="s">
        <v>564</v>
      </c>
      <c r="O1662" s="2">
        <f>VLOOKUP(N1662,Equipes!A:C,3,0)</f>
        <v>5</v>
      </c>
      <c r="P1662" s="2" t="str">
        <f t="shared" si="5"/>
        <v>Quarter-final</v>
      </c>
      <c r="Q1662" s="2">
        <f t="shared" si="6"/>
        <v>10</v>
      </c>
      <c r="R1662" s="2" t="str">
        <f>VLOOKUP(J1662,Equipes!A:B,2,0)</f>
        <v>Monterrey</v>
      </c>
      <c r="S1662" s="6" t="s">
        <v>765</v>
      </c>
      <c r="T1662" s="7">
        <v>33.0</v>
      </c>
      <c r="U1662" s="7" t="s">
        <v>766</v>
      </c>
      <c r="V1662" s="7" t="str">
        <f>VLOOKUP(U1662,Jogadores!B:C,2,0)</f>
        <v>DF</v>
      </c>
      <c r="W1662" s="8">
        <f>VLOOKUP(U1662,Jogadores!B:D,3,0)</f>
        <v>33.14246575</v>
      </c>
      <c r="X1662" s="7">
        <v>0.0</v>
      </c>
      <c r="Y1662" s="7">
        <f t="shared" si="5214"/>
        <v>95</v>
      </c>
      <c r="Z1662" s="7">
        <f>VLOOKUP(A1662,Jogos!A:L,3,0)</f>
        <v>47</v>
      </c>
      <c r="AA1662" s="7">
        <f t="shared" si="4815"/>
        <v>47</v>
      </c>
      <c r="AB1662" s="7">
        <f>VLOOKUP(A1662,Jogos!A:L,4,0)</f>
        <v>50</v>
      </c>
      <c r="AC1662" s="7">
        <f t="shared" si="5062"/>
        <v>50</v>
      </c>
      <c r="AD1662" s="7"/>
      <c r="AE1662" s="7"/>
      <c r="AF1662" s="7">
        <f t="shared" si="4566"/>
        <v>97</v>
      </c>
      <c r="AG1662" s="7">
        <v>9930.0</v>
      </c>
      <c r="AH1662" s="7">
        <v>4136.5</v>
      </c>
      <c r="AI1662" s="7">
        <v>4287.4</v>
      </c>
      <c r="AJ1662" s="7">
        <v>1100.4</v>
      </c>
      <c r="AK1662" s="7">
        <v>314.3</v>
      </c>
      <c r="AL1662" s="7">
        <v>91.4</v>
      </c>
      <c r="AM1662" s="7">
        <v>100.0</v>
      </c>
      <c r="AN1662" s="7">
        <v>30.0</v>
      </c>
      <c r="AO1662" s="7">
        <v>28.6</v>
      </c>
      <c r="AP1662" s="9">
        <f t="shared" ref="AP1662:AR1662" si="5215">AG1662/$AF1662</f>
        <v>102.371134</v>
      </c>
      <c r="AQ1662" s="9">
        <f t="shared" si="5215"/>
        <v>42.6443299</v>
      </c>
      <c r="AR1662" s="9">
        <f t="shared" si="5215"/>
        <v>44.2</v>
      </c>
      <c r="AS1662" s="9">
        <f t="shared" si="4568"/>
        <v>86.8443299</v>
      </c>
      <c r="AT1662" s="9">
        <f t="shared" ref="AT1662:AV1662" si="5216">AJ1662/$AF1662</f>
        <v>11.3443299</v>
      </c>
      <c r="AU1662" s="9">
        <f t="shared" si="5216"/>
        <v>3.240206186</v>
      </c>
      <c r="AV1662" s="9">
        <f t="shared" si="5216"/>
        <v>0.9422680412</v>
      </c>
      <c r="AW1662" s="9">
        <f t="shared" si="4570"/>
        <v>4.182474227</v>
      </c>
      <c r="AX1662" s="9">
        <f t="shared" ref="AX1662:AY1662" si="5217">AM1662/$AF1662</f>
        <v>1.030927835</v>
      </c>
      <c r="AY1662" s="9">
        <f t="shared" si="5217"/>
        <v>0.3092783505</v>
      </c>
      <c r="AZ1662" s="9">
        <f>VLOOKUP(A1662,Jogos!A:BN,58,0)</f>
        <v>23.565</v>
      </c>
      <c r="BA1662" s="9">
        <f>VLOOKUP(A1662,Jogos!A:BN,59,0)</f>
        <v>21.58</v>
      </c>
      <c r="BB1662" s="9">
        <f>VLOOKUP(A1662,Jogos!A:BN,60,0)</f>
        <v>88</v>
      </c>
      <c r="BC1662" s="9">
        <f>VLOOKUP(A1662,Jogos!A:BN,61,0)</f>
        <v>21.225</v>
      </c>
      <c r="BD1662" s="9">
        <f>VLOOKUP(A1662,Jogos!A:BN,62,0)</f>
        <v>0</v>
      </c>
      <c r="BE1662" s="9">
        <f>VLOOKUP(A1662,Jogos!A:BN,63,0)</f>
        <v>2.535</v>
      </c>
      <c r="BF1662" s="9">
        <f>VLOOKUP(A1662,Jogos!A:BN,64,0)</f>
        <v>22.145</v>
      </c>
      <c r="BG1662" s="9">
        <f>VLOOKUP(A1662,Jogos!A:BN,65,0)</f>
        <v>37.205</v>
      </c>
      <c r="BH1662" s="9">
        <f>VLOOKUP(A1662,Jogos!A:BN,66,0)</f>
        <v>25.295</v>
      </c>
      <c r="BI1662" s="9"/>
      <c r="BJ1662" s="9"/>
    </row>
    <row r="1663" hidden="1">
      <c r="A1663" s="2">
        <v>56.0</v>
      </c>
      <c r="B1663" s="2" t="s">
        <v>1350</v>
      </c>
      <c r="C1663" s="2" t="s">
        <v>1351</v>
      </c>
      <c r="D1663" s="3">
        <v>45839.0</v>
      </c>
      <c r="E1663" s="4">
        <v>0.875</v>
      </c>
      <c r="F1663" s="5" t="str">
        <f>VLOOKUP(A1663,Jogos!A:N,10,0)</f>
        <v>Evening</v>
      </c>
      <c r="G1663" s="2" t="s">
        <v>376</v>
      </c>
      <c r="H1663" s="6" t="str">
        <f>VLOOKUP(A1663,Jogos!A:L,12,0)</f>
        <v>Closed</v>
      </c>
      <c r="I1663" s="6" t="str">
        <f>VLOOKUP(G1663,'Estádios e Cidades'!A:B,2,0)</f>
        <v>Atlanta</v>
      </c>
      <c r="J1663" s="2" t="s">
        <v>747</v>
      </c>
      <c r="K1663" s="2" t="str">
        <f>VLOOKUP(J1663,Equipes!A:F,6,0)</f>
        <v>Tropical</v>
      </c>
      <c r="L1663" s="2">
        <f>VLOOKUP(J1663,Equipes!A:C,3,0)</f>
        <v>15</v>
      </c>
      <c r="M1663" s="2" t="str">
        <f t="shared" si="4"/>
        <v>Round of 16</v>
      </c>
      <c r="N1663" s="2" t="s">
        <v>564</v>
      </c>
      <c r="O1663" s="2">
        <f>VLOOKUP(N1663,Equipes!A:C,3,0)</f>
        <v>5</v>
      </c>
      <c r="P1663" s="2" t="str">
        <f t="shared" si="5"/>
        <v>Quarter-final</v>
      </c>
      <c r="Q1663" s="2">
        <f t="shared" si="6"/>
        <v>10</v>
      </c>
      <c r="R1663" s="2" t="str">
        <f>VLOOKUP(J1663,Equipes!A:B,2,0)</f>
        <v>Monterrey</v>
      </c>
      <c r="S1663" s="6" t="s">
        <v>767</v>
      </c>
      <c r="T1663" s="7">
        <v>93.0</v>
      </c>
      <c r="U1663" s="7" t="s">
        <v>768</v>
      </c>
      <c r="V1663" s="7" t="str">
        <f>VLOOKUP(U1663,Jogadores!B:C,2,0)</f>
        <v>DF</v>
      </c>
      <c r="W1663" s="8">
        <f>VLOOKUP(U1663,Jogadores!B:D,3,0)</f>
        <v>39.35616438</v>
      </c>
      <c r="X1663" s="7">
        <v>0.0</v>
      </c>
      <c r="Y1663" s="7">
        <f t="shared" si="5214"/>
        <v>95</v>
      </c>
      <c r="Z1663" s="7">
        <f>VLOOKUP(A1663,Jogos!A:L,3,0)</f>
        <v>47</v>
      </c>
      <c r="AA1663" s="7">
        <f t="shared" si="4815"/>
        <v>47</v>
      </c>
      <c r="AB1663" s="7">
        <f>VLOOKUP(A1663,Jogos!A:L,4,0)</f>
        <v>50</v>
      </c>
      <c r="AC1663" s="7">
        <f t="shared" si="5062"/>
        <v>50</v>
      </c>
      <c r="AD1663" s="7"/>
      <c r="AE1663" s="7"/>
      <c r="AF1663" s="7">
        <f t="shared" si="4566"/>
        <v>97</v>
      </c>
      <c r="AG1663" s="7">
        <v>10174.3</v>
      </c>
      <c r="AH1663" s="7">
        <v>4191.4</v>
      </c>
      <c r="AI1663" s="7">
        <v>4412.5</v>
      </c>
      <c r="AJ1663" s="7">
        <v>1085.5</v>
      </c>
      <c r="AK1663" s="7">
        <v>375.9</v>
      </c>
      <c r="AL1663" s="7">
        <v>109.0</v>
      </c>
      <c r="AM1663" s="7">
        <v>101.0</v>
      </c>
      <c r="AN1663" s="7">
        <v>29.0</v>
      </c>
      <c r="AO1663" s="7">
        <v>30.7</v>
      </c>
      <c r="AP1663" s="9">
        <f t="shared" ref="AP1663:AR1663" si="5218">AG1663/$AF1663</f>
        <v>104.8896907</v>
      </c>
      <c r="AQ1663" s="9">
        <f t="shared" si="5218"/>
        <v>43.21030928</v>
      </c>
      <c r="AR1663" s="9">
        <f t="shared" si="5218"/>
        <v>45.48969072</v>
      </c>
      <c r="AS1663" s="9">
        <f t="shared" si="4568"/>
        <v>88.7</v>
      </c>
      <c r="AT1663" s="9">
        <f t="shared" ref="AT1663:AV1663" si="5219">AJ1663/$AF1663</f>
        <v>11.19072165</v>
      </c>
      <c r="AU1663" s="9">
        <f t="shared" si="5219"/>
        <v>3.875257732</v>
      </c>
      <c r="AV1663" s="9">
        <f t="shared" si="5219"/>
        <v>1.12371134</v>
      </c>
      <c r="AW1663" s="9">
        <f t="shared" si="4570"/>
        <v>4.998969072</v>
      </c>
      <c r="AX1663" s="9">
        <f t="shared" ref="AX1663:AY1663" si="5220">AM1663/$AF1663</f>
        <v>1.041237113</v>
      </c>
      <c r="AY1663" s="9">
        <f t="shared" si="5220"/>
        <v>0.2989690722</v>
      </c>
      <c r="AZ1663" s="9">
        <f>VLOOKUP(A1663,Jogos!A:BN,58,0)</f>
        <v>23.565</v>
      </c>
      <c r="BA1663" s="9">
        <f>VLOOKUP(A1663,Jogos!A:BN,59,0)</f>
        <v>21.58</v>
      </c>
      <c r="BB1663" s="9">
        <f>VLOOKUP(A1663,Jogos!A:BN,60,0)</f>
        <v>88</v>
      </c>
      <c r="BC1663" s="9">
        <f>VLOOKUP(A1663,Jogos!A:BN,61,0)</f>
        <v>21.225</v>
      </c>
      <c r="BD1663" s="9">
        <f>VLOOKUP(A1663,Jogos!A:BN,62,0)</f>
        <v>0</v>
      </c>
      <c r="BE1663" s="9">
        <f>VLOOKUP(A1663,Jogos!A:BN,63,0)</f>
        <v>2.535</v>
      </c>
      <c r="BF1663" s="9">
        <f>VLOOKUP(A1663,Jogos!A:BN,64,0)</f>
        <v>22.145</v>
      </c>
      <c r="BG1663" s="9">
        <f>VLOOKUP(A1663,Jogos!A:BN,65,0)</f>
        <v>37.205</v>
      </c>
      <c r="BH1663" s="9">
        <f>VLOOKUP(A1663,Jogos!A:BN,66,0)</f>
        <v>25.295</v>
      </c>
      <c r="BI1663" s="9"/>
      <c r="BJ1663" s="9"/>
    </row>
    <row r="1664" hidden="1">
      <c r="A1664" s="2">
        <v>56.0</v>
      </c>
      <c r="B1664" s="2" t="s">
        <v>1350</v>
      </c>
      <c r="C1664" s="2" t="s">
        <v>1351</v>
      </c>
      <c r="D1664" s="3">
        <v>45839.0</v>
      </c>
      <c r="E1664" s="4">
        <v>0.875</v>
      </c>
      <c r="F1664" s="5" t="str">
        <f>VLOOKUP(A1664,Jogos!A:N,10,0)</f>
        <v>Evening</v>
      </c>
      <c r="G1664" s="2" t="s">
        <v>376</v>
      </c>
      <c r="H1664" s="6" t="str">
        <f>VLOOKUP(A1664,Jogos!A:L,12,0)</f>
        <v>Closed</v>
      </c>
      <c r="I1664" s="6" t="str">
        <f>VLOOKUP(G1664,'Estádios e Cidades'!A:B,2,0)</f>
        <v>Atlanta</v>
      </c>
      <c r="J1664" s="2" t="s">
        <v>747</v>
      </c>
      <c r="K1664" s="2" t="str">
        <f>VLOOKUP(J1664,Equipes!A:F,6,0)</f>
        <v>Tropical</v>
      </c>
      <c r="L1664" s="2">
        <f>VLOOKUP(J1664,Equipes!A:C,3,0)</f>
        <v>15</v>
      </c>
      <c r="M1664" s="2" t="str">
        <f t="shared" si="4"/>
        <v>Round of 16</v>
      </c>
      <c r="N1664" s="2" t="s">
        <v>564</v>
      </c>
      <c r="O1664" s="2">
        <f>VLOOKUP(N1664,Equipes!A:C,3,0)</f>
        <v>5</v>
      </c>
      <c r="P1664" s="2" t="str">
        <f t="shared" si="5"/>
        <v>Quarter-final</v>
      </c>
      <c r="Q1664" s="2">
        <f t="shared" si="6"/>
        <v>10</v>
      </c>
      <c r="R1664" s="2" t="str">
        <f>VLOOKUP(J1664,Equipes!A:B,2,0)</f>
        <v>Monterrey</v>
      </c>
      <c r="S1664" s="6" t="s">
        <v>769</v>
      </c>
      <c r="T1664" s="7">
        <v>5.0</v>
      </c>
      <c r="U1664" s="7" t="s">
        <v>770</v>
      </c>
      <c r="V1664" s="7" t="str">
        <f>VLOOKUP(U1664,Jogadores!B:C,2,0)</f>
        <v>MF</v>
      </c>
      <c r="W1664" s="8">
        <f>VLOOKUP(U1664,Jogadores!B:D,3,0)</f>
        <v>22.36986301</v>
      </c>
      <c r="X1664" s="7">
        <v>84.0</v>
      </c>
      <c r="Y1664" s="7">
        <f t="shared" si="5214"/>
        <v>95</v>
      </c>
      <c r="Z1664" s="7">
        <f>VLOOKUP(A1664,Jogos!A:L,3,0)</f>
        <v>47</v>
      </c>
      <c r="AA1664" s="7">
        <f t="shared" si="4815"/>
        <v>0</v>
      </c>
      <c r="AB1664" s="7">
        <f>VLOOKUP(A1664,Jogos!A:L,4,0)</f>
        <v>50</v>
      </c>
      <c r="AC1664" s="7">
        <f t="shared" si="5062"/>
        <v>11</v>
      </c>
      <c r="AD1664" s="7"/>
      <c r="AE1664" s="7"/>
      <c r="AF1664" s="7">
        <f t="shared" si="4566"/>
        <v>11</v>
      </c>
      <c r="AG1664" s="7">
        <v>1563.5</v>
      </c>
      <c r="AH1664" s="7">
        <v>433.7</v>
      </c>
      <c r="AI1664" s="7">
        <v>640.9</v>
      </c>
      <c r="AJ1664" s="7">
        <v>311.7</v>
      </c>
      <c r="AK1664" s="7">
        <v>147.0</v>
      </c>
      <c r="AL1664" s="7">
        <v>30.1</v>
      </c>
      <c r="AM1664" s="7">
        <v>25.0</v>
      </c>
      <c r="AN1664" s="7">
        <v>12.0</v>
      </c>
      <c r="AO1664" s="7">
        <v>28.5</v>
      </c>
      <c r="AP1664" s="9">
        <f t="shared" ref="AP1664:AR1664" si="5221">AG1664/$AF1664</f>
        <v>142.1363636</v>
      </c>
      <c r="AQ1664" s="9">
        <f t="shared" si="5221"/>
        <v>39.42727273</v>
      </c>
      <c r="AR1664" s="9">
        <f t="shared" si="5221"/>
        <v>58.26363636</v>
      </c>
      <c r="AS1664" s="9">
        <f t="shared" si="4568"/>
        <v>97.69090909</v>
      </c>
      <c r="AT1664" s="9">
        <f t="shared" ref="AT1664:AV1664" si="5222">AJ1664/$AF1664</f>
        <v>28.33636364</v>
      </c>
      <c r="AU1664" s="9">
        <f t="shared" si="5222"/>
        <v>13.36363636</v>
      </c>
      <c r="AV1664" s="9">
        <f t="shared" si="5222"/>
        <v>2.736363636</v>
      </c>
      <c r="AW1664" s="9">
        <f t="shared" si="4570"/>
        <v>16.1</v>
      </c>
      <c r="AX1664" s="9">
        <f t="shared" ref="AX1664:AY1664" si="5223">AM1664/$AF1664</f>
        <v>2.272727273</v>
      </c>
      <c r="AY1664" s="9">
        <f t="shared" si="5223"/>
        <v>1.090909091</v>
      </c>
      <c r="AZ1664" s="9">
        <f>VLOOKUP(A1664,Jogos!A:BN,58,0)</f>
        <v>23.565</v>
      </c>
      <c r="BA1664" s="9">
        <f>VLOOKUP(A1664,Jogos!A:BN,59,0)</f>
        <v>21.58</v>
      </c>
      <c r="BB1664" s="9">
        <f>VLOOKUP(A1664,Jogos!A:BN,60,0)</f>
        <v>88</v>
      </c>
      <c r="BC1664" s="9">
        <f>VLOOKUP(A1664,Jogos!A:BN,61,0)</f>
        <v>21.225</v>
      </c>
      <c r="BD1664" s="9">
        <f>VLOOKUP(A1664,Jogos!A:BN,62,0)</f>
        <v>0</v>
      </c>
      <c r="BE1664" s="9">
        <f>VLOOKUP(A1664,Jogos!A:BN,63,0)</f>
        <v>2.535</v>
      </c>
      <c r="BF1664" s="9">
        <f>VLOOKUP(A1664,Jogos!A:BN,64,0)</f>
        <v>22.145</v>
      </c>
      <c r="BG1664" s="9">
        <f>VLOOKUP(A1664,Jogos!A:BN,65,0)</f>
        <v>37.205</v>
      </c>
      <c r="BH1664" s="9">
        <f>VLOOKUP(A1664,Jogos!A:BN,66,0)</f>
        <v>25.295</v>
      </c>
      <c r="BI1664" s="9"/>
      <c r="BJ1664" s="9"/>
    </row>
    <row r="1665" hidden="1">
      <c r="A1665" s="2">
        <v>56.0</v>
      </c>
      <c r="B1665" s="2" t="s">
        <v>1350</v>
      </c>
      <c r="C1665" s="2" t="s">
        <v>1351</v>
      </c>
      <c r="D1665" s="3">
        <v>45839.0</v>
      </c>
      <c r="E1665" s="4">
        <v>0.875</v>
      </c>
      <c r="F1665" s="5" t="str">
        <f>VLOOKUP(A1665,Jogos!A:N,10,0)</f>
        <v>Evening</v>
      </c>
      <c r="G1665" s="2" t="s">
        <v>376</v>
      </c>
      <c r="H1665" s="6" t="str">
        <f>VLOOKUP(A1665,Jogos!A:L,12,0)</f>
        <v>Closed</v>
      </c>
      <c r="I1665" s="6" t="str">
        <f>VLOOKUP(G1665,'Estádios e Cidades'!A:B,2,0)</f>
        <v>Atlanta</v>
      </c>
      <c r="J1665" s="2" t="s">
        <v>747</v>
      </c>
      <c r="K1665" s="2" t="str">
        <f>VLOOKUP(J1665,Equipes!A:F,6,0)</f>
        <v>Tropical</v>
      </c>
      <c r="L1665" s="2">
        <f>VLOOKUP(J1665,Equipes!A:C,3,0)</f>
        <v>15</v>
      </c>
      <c r="M1665" s="2" t="str">
        <f t="shared" si="4"/>
        <v>Round of 16</v>
      </c>
      <c r="N1665" s="2" t="s">
        <v>564</v>
      </c>
      <c r="O1665" s="2">
        <f>VLOOKUP(N1665,Equipes!A:C,3,0)</f>
        <v>5</v>
      </c>
      <c r="P1665" s="2" t="str">
        <f t="shared" si="5"/>
        <v>Quarter-final</v>
      </c>
      <c r="Q1665" s="2">
        <f t="shared" si="6"/>
        <v>10</v>
      </c>
      <c r="R1665" s="2" t="str">
        <f>VLOOKUP(J1665,Equipes!A:B,2,0)</f>
        <v>Monterrey</v>
      </c>
      <c r="S1665" s="6" t="s">
        <v>1186</v>
      </c>
      <c r="T1665" s="7">
        <v>11.0</v>
      </c>
      <c r="U1665" s="7" t="s">
        <v>1187</v>
      </c>
      <c r="V1665" s="7" t="str">
        <f>VLOOKUP(U1665,Jogadores!B:C,2,0)</f>
        <v>FW</v>
      </c>
      <c r="W1665" s="8">
        <f>VLOOKUP(U1665,Jogadores!B:D,3,0)</f>
        <v>25.38630137</v>
      </c>
      <c r="X1665" s="7">
        <v>90.0</v>
      </c>
      <c r="Y1665" s="7">
        <f t="shared" si="5214"/>
        <v>95</v>
      </c>
      <c r="Z1665" s="7">
        <f>VLOOKUP(A1665,Jogos!A:L,3,0)</f>
        <v>47</v>
      </c>
      <c r="AA1665" s="7">
        <f t="shared" si="4815"/>
        <v>0</v>
      </c>
      <c r="AB1665" s="7">
        <f>VLOOKUP(A1665,Jogos!A:L,4,0)</f>
        <v>50</v>
      </c>
      <c r="AC1665" s="7">
        <f t="shared" si="5062"/>
        <v>5</v>
      </c>
      <c r="AD1665" s="7"/>
      <c r="AE1665" s="7"/>
      <c r="AF1665" s="7">
        <f t="shared" si="4566"/>
        <v>5</v>
      </c>
      <c r="AG1665" s="7">
        <v>707.6</v>
      </c>
      <c r="AH1665" s="7">
        <v>257.8</v>
      </c>
      <c r="AI1665" s="7">
        <v>318.3</v>
      </c>
      <c r="AJ1665" s="7">
        <v>88.4</v>
      </c>
      <c r="AK1665" s="7">
        <v>43.1</v>
      </c>
      <c r="AL1665" s="7">
        <v>8.0</v>
      </c>
      <c r="AM1665" s="7">
        <v>5.0</v>
      </c>
      <c r="AN1665" s="7">
        <v>24.5</v>
      </c>
      <c r="AO1665" s="7"/>
      <c r="AP1665" s="9">
        <f t="shared" ref="AP1665:AR1665" si="5224">AG1665/$AF1665</f>
        <v>141.52</v>
      </c>
      <c r="AQ1665" s="9">
        <f t="shared" si="5224"/>
        <v>51.56</v>
      </c>
      <c r="AR1665" s="9">
        <f t="shared" si="5224"/>
        <v>63.66</v>
      </c>
      <c r="AS1665" s="9">
        <f t="shared" si="4568"/>
        <v>115.22</v>
      </c>
      <c r="AT1665" s="9">
        <f t="shared" ref="AT1665:AV1665" si="5225">AJ1665/$AF1665</f>
        <v>17.68</v>
      </c>
      <c r="AU1665" s="9">
        <f t="shared" si="5225"/>
        <v>8.62</v>
      </c>
      <c r="AV1665" s="9">
        <f t="shared" si="5225"/>
        <v>1.6</v>
      </c>
      <c r="AW1665" s="9">
        <f t="shared" si="4570"/>
        <v>10.22</v>
      </c>
      <c r="AX1665" s="9">
        <f t="shared" ref="AX1665:AY1665" si="5226">AM1665/$AF1665</f>
        <v>1</v>
      </c>
      <c r="AY1665" s="9">
        <f t="shared" si="5226"/>
        <v>4.9</v>
      </c>
      <c r="AZ1665" s="9">
        <f>VLOOKUP(A1665,Jogos!A:BN,58,0)</f>
        <v>23.565</v>
      </c>
      <c r="BA1665" s="9">
        <f>VLOOKUP(A1665,Jogos!A:BN,59,0)</f>
        <v>21.58</v>
      </c>
      <c r="BB1665" s="9">
        <f>VLOOKUP(A1665,Jogos!A:BN,60,0)</f>
        <v>88</v>
      </c>
      <c r="BC1665" s="9">
        <f>VLOOKUP(A1665,Jogos!A:BN,61,0)</f>
        <v>21.225</v>
      </c>
      <c r="BD1665" s="9">
        <f>VLOOKUP(A1665,Jogos!A:BN,62,0)</f>
        <v>0</v>
      </c>
      <c r="BE1665" s="9">
        <f>VLOOKUP(A1665,Jogos!A:BN,63,0)</f>
        <v>2.535</v>
      </c>
      <c r="BF1665" s="9">
        <f>VLOOKUP(A1665,Jogos!A:BN,64,0)</f>
        <v>22.145</v>
      </c>
      <c r="BG1665" s="9">
        <f>VLOOKUP(A1665,Jogos!A:BN,65,0)</f>
        <v>37.205</v>
      </c>
      <c r="BH1665" s="9">
        <f>VLOOKUP(A1665,Jogos!A:BN,66,0)</f>
        <v>25.295</v>
      </c>
      <c r="BI1665" s="9"/>
      <c r="BJ1665" s="9"/>
    </row>
    <row r="1666" hidden="1">
      <c r="A1666" s="2">
        <v>56.0</v>
      </c>
      <c r="B1666" s="2" t="s">
        <v>1350</v>
      </c>
      <c r="C1666" s="2" t="s">
        <v>1351</v>
      </c>
      <c r="D1666" s="3">
        <v>45839.0</v>
      </c>
      <c r="E1666" s="4">
        <v>0.875</v>
      </c>
      <c r="F1666" s="5" t="str">
        <f>VLOOKUP(A1666,Jogos!A:N,10,0)</f>
        <v>Evening</v>
      </c>
      <c r="G1666" s="2" t="s">
        <v>376</v>
      </c>
      <c r="H1666" s="6" t="str">
        <f>VLOOKUP(A1666,Jogos!A:L,12,0)</f>
        <v>Closed</v>
      </c>
      <c r="I1666" s="6" t="str">
        <f>VLOOKUP(G1666,'Estádios e Cidades'!A:B,2,0)</f>
        <v>Atlanta</v>
      </c>
      <c r="J1666" s="2" t="s">
        <v>747</v>
      </c>
      <c r="K1666" s="2" t="str">
        <f>VLOOKUP(J1666,Equipes!A:F,6,0)</f>
        <v>Tropical</v>
      </c>
      <c r="L1666" s="2">
        <f>VLOOKUP(J1666,Equipes!A:C,3,0)</f>
        <v>15</v>
      </c>
      <c r="M1666" s="2" t="str">
        <f t="shared" si="4"/>
        <v>Round of 16</v>
      </c>
      <c r="N1666" s="2" t="s">
        <v>564</v>
      </c>
      <c r="O1666" s="2">
        <f>VLOOKUP(N1666,Equipes!A:C,3,0)</f>
        <v>5</v>
      </c>
      <c r="P1666" s="2" t="str">
        <f t="shared" si="5"/>
        <v>Quarter-final</v>
      </c>
      <c r="Q1666" s="2">
        <f t="shared" si="6"/>
        <v>10</v>
      </c>
      <c r="R1666" s="2" t="str">
        <f>VLOOKUP(J1666,Equipes!A:B,2,0)</f>
        <v>Monterrey</v>
      </c>
      <c r="S1666" s="6" t="s">
        <v>761</v>
      </c>
      <c r="T1666" s="7">
        <v>29.0</v>
      </c>
      <c r="U1666" s="7" t="s">
        <v>762</v>
      </c>
      <c r="V1666" s="7" t="str">
        <f>VLOOKUP(U1666,Jogadores!B:C,2,0)</f>
        <v>MF</v>
      </c>
      <c r="W1666" s="8">
        <f>VLOOKUP(U1666,Jogadores!B:D,3,0)</f>
        <v>31.06849315</v>
      </c>
      <c r="X1666" s="7">
        <v>84.0</v>
      </c>
      <c r="Y1666" s="7">
        <f t="shared" si="5214"/>
        <v>95</v>
      </c>
      <c r="Z1666" s="7">
        <f>VLOOKUP(A1666,Jogos!A:L,3,0)</f>
        <v>47</v>
      </c>
      <c r="AA1666" s="7">
        <f t="shared" si="4815"/>
        <v>0</v>
      </c>
      <c r="AB1666" s="7">
        <f>VLOOKUP(A1666,Jogos!A:L,4,0)</f>
        <v>50</v>
      </c>
      <c r="AC1666" s="7">
        <f t="shared" si="5062"/>
        <v>11</v>
      </c>
      <c r="AD1666" s="7"/>
      <c r="AE1666" s="7"/>
      <c r="AF1666" s="7">
        <f t="shared" si="4566"/>
        <v>11</v>
      </c>
      <c r="AG1666" s="7">
        <v>1280.1</v>
      </c>
      <c r="AH1666" s="7">
        <v>537.3</v>
      </c>
      <c r="AI1666" s="7">
        <v>396.6</v>
      </c>
      <c r="AJ1666" s="7">
        <v>178.4</v>
      </c>
      <c r="AK1666" s="7">
        <v>120.0</v>
      </c>
      <c r="AL1666" s="7">
        <v>47.8</v>
      </c>
      <c r="AM1666" s="7">
        <v>17.0</v>
      </c>
      <c r="AN1666" s="7">
        <v>10.0</v>
      </c>
      <c r="AO1666" s="7">
        <v>29.1</v>
      </c>
      <c r="AP1666" s="9">
        <f t="shared" ref="AP1666:AR1666" si="5227">AG1666/$AF1666</f>
        <v>116.3727273</v>
      </c>
      <c r="AQ1666" s="9">
        <f t="shared" si="5227"/>
        <v>48.84545455</v>
      </c>
      <c r="AR1666" s="9">
        <f t="shared" si="5227"/>
        <v>36.05454545</v>
      </c>
      <c r="AS1666" s="9">
        <f t="shared" si="4568"/>
        <v>84.9</v>
      </c>
      <c r="AT1666" s="9">
        <f t="shared" ref="AT1666:AV1666" si="5228">AJ1666/$AF1666</f>
        <v>16.21818182</v>
      </c>
      <c r="AU1666" s="9">
        <f t="shared" si="5228"/>
        <v>10.90909091</v>
      </c>
      <c r="AV1666" s="9">
        <f t="shared" si="5228"/>
        <v>4.345454545</v>
      </c>
      <c r="AW1666" s="9">
        <f t="shared" si="4570"/>
        <v>15.25454545</v>
      </c>
      <c r="AX1666" s="9">
        <f t="shared" ref="AX1666:AY1666" si="5229">AM1666/$AF1666</f>
        <v>1.545454545</v>
      </c>
      <c r="AY1666" s="9">
        <f t="shared" si="5229"/>
        <v>0.9090909091</v>
      </c>
      <c r="AZ1666" s="9">
        <f>VLOOKUP(A1666,Jogos!A:BN,58,0)</f>
        <v>23.565</v>
      </c>
      <c r="BA1666" s="9">
        <f>VLOOKUP(A1666,Jogos!A:BN,59,0)</f>
        <v>21.58</v>
      </c>
      <c r="BB1666" s="9">
        <f>VLOOKUP(A1666,Jogos!A:BN,60,0)</f>
        <v>88</v>
      </c>
      <c r="BC1666" s="9">
        <f>VLOOKUP(A1666,Jogos!A:BN,61,0)</f>
        <v>21.225</v>
      </c>
      <c r="BD1666" s="9">
        <f>VLOOKUP(A1666,Jogos!A:BN,62,0)</f>
        <v>0</v>
      </c>
      <c r="BE1666" s="9">
        <f>VLOOKUP(A1666,Jogos!A:BN,63,0)</f>
        <v>2.535</v>
      </c>
      <c r="BF1666" s="9">
        <f>VLOOKUP(A1666,Jogos!A:BN,64,0)</f>
        <v>22.145</v>
      </c>
      <c r="BG1666" s="9">
        <f>VLOOKUP(A1666,Jogos!A:BN,65,0)</f>
        <v>37.205</v>
      </c>
      <c r="BH1666" s="9">
        <f>VLOOKUP(A1666,Jogos!A:BN,66,0)</f>
        <v>25.295</v>
      </c>
      <c r="BI1666" s="9"/>
      <c r="BJ1666" s="9"/>
    </row>
    <row r="1667" hidden="1">
      <c r="A1667" s="2">
        <v>56.0</v>
      </c>
      <c r="B1667" s="2" t="s">
        <v>1350</v>
      </c>
      <c r="C1667" s="2" t="s">
        <v>1351</v>
      </c>
      <c r="D1667" s="3">
        <v>45839.0</v>
      </c>
      <c r="E1667" s="4">
        <v>0.875</v>
      </c>
      <c r="F1667" s="5" t="str">
        <f>VLOOKUP(A1667,Jogos!A:N,10,0)</f>
        <v>Evening</v>
      </c>
      <c r="G1667" s="2" t="s">
        <v>376</v>
      </c>
      <c r="H1667" s="6" t="str">
        <f>VLOOKUP(A1667,Jogos!A:L,12,0)</f>
        <v>Closed</v>
      </c>
      <c r="I1667" s="6" t="str">
        <f>VLOOKUP(G1667,'Estádios e Cidades'!A:B,2,0)</f>
        <v>Atlanta</v>
      </c>
      <c r="J1667" s="2" t="s">
        <v>747</v>
      </c>
      <c r="K1667" s="2" t="str">
        <f>VLOOKUP(J1667,Equipes!A:F,6,0)</f>
        <v>Tropical</v>
      </c>
      <c r="L1667" s="2">
        <f>VLOOKUP(J1667,Equipes!A:C,3,0)</f>
        <v>15</v>
      </c>
      <c r="M1667" s="2" t="str">
        <f t="shared" si="4"/>
        <v>Round of 16</v>
      </c>
      <c r="N1667" s="2" t="s">
        <v>564</v>
      </c>
      <c r="O1667" s="2">
        <f>VLOOKUP(N1667,Equipes!A:C,3,0)</f>
        <v>5</v>
      </c>
      <c r="P1667" s="2" t="str">
        <f t="shared" si="5"/>
        <v>Quarter-final</v>
      </c>
      <c r="Q1667" s="2">
        <f t="shared" si="6"/>
        <v>10</v>
      </c>
      <c r="R1667" s="2" t="str">
        <f>VLOOKUP(J1667,Equipes!A:B,2,0)</f>
        <v>Monterrey</v>
      </c>
      <c r="S1667" s="6" t="s">
        <v>1188</v>
      </c>
      <c r="T1667" s="7">
        <v>31.0</v>
      </c>
      <c r="U1667" s="7" t="s">
        <v>1189</v>
      </c>
      <c r="V1667" s="7" t="str">
        <f>VLOOKUP(U1667,Jogadores!B:C,2,0)</f>
        <v>FW</v>
      </c>
      <c r="W1667" s="8">
        <f>VLOOKUP(U1667,Jogadores!B:D,3,0)</f>
        <v>25.58082192</v>
      </c>
      <c r="X1667" s="7">
        <v>84.0</v>
      </c>
      <c r="Y1667" s="7">
        <f t="shared" si="5214"/>
        <v>95</v>
      </c>
      <c r="Z1667" s="7">
        <f>VLOOKUP(A1667,Jogos!A:L,3,0)</f>
        <v>47</v>
      </c>
      <c r="AA1667" s="7">
        <f t="shared" si="4815"/>
        <v>0</v>
      </c>
      <c r="AB1667" s="7">
        <f>VLOOKUP(A1667,Jogos!A:L,4,0)</f>
        <v>50</v>
      </c>
      <c r="AC1667" s="7">
        <f t="shared" si="5062"/>
        <v>11</v>
      </c>
      <c r="AD1667" s="7"/>
      <c r="AE1667" s="7"/>
      <c r="AF1667" s="7">
        <f t="shared" si="4566"/>
        <v>11</v>
      </c>
      <c r="AG1667" s="7">
        <v>1246.6</v>
      </c>
      <c r="AH1667" s="7">
        <v>529.3</v>
      </c>
      <c r="AI1667" s="7">
        <v>457.8</v>
      </c>
      <c r="AJ1667" s="7">
        <v>115.3</v>
      </c>
      <c r="AK1667" s="7">
        <v>61.0</v>
      </c>
      <c r="AL1667" s="7">
        <v>83.1</v>
      </c>
      <c r="AM1667" s="7">
        <v>9.0</v>
      </c>
      <c r="AN1667" s="7">
        <v>8.0</v>
      </c>
      <c r="AO1667" s="7">
        <v>32.5</v>
      </c>
      <c r="AP1667" s="9">
        <f t="shared" ref="AP1667:AR1667" si="5230">AG1667/$AF1667</f>
        <v>113.3272727</v>
      </c>
      <c r="AQ1667" s="9">
        <f t="shared" si="5230"/>
        <v>48.11818182</v>
      </c>
      <c r="AR1667" s="9">
        <f t="shared" si="5230"/>
        <v>41.61818182</v>
      </c>
      <c r="AS1667" s="9">
        <f t="shared" si="4568"/>
        <v>89.73636364</v>
      </c>
      <c r="AT1667" s="9">
        <f t="shared" ref="AT1667:AV1667" si="5231">AJ1667/$AF1667</f>
        <v>10.48181818</v>
      </c>
      <c r="AU1667" s="9">
        <f t="shared" si="5231"/>
        <v>5.545454545</v>
      </c>
      <c r="AV1667" s="9">
        <f t="shared" si="5231"/>
        <v>7.554545455</v>
      </c>
      <c r="AW1667" s="9">
        <f t="shared" si="4570"/>
        <v>13.1</v>
      </c>
      <c r="AX1667" s="9">
        <f t="shared" ref="AX1667:AY1667" si="5232">AM1667/$AF1667</f>
        <v>0.8181818182</v>
      </c>
      <c r="AY1667" s="9">
        <f t="shared" si="5232"/>
        <v>0.7272727273</v>
      </c>
      <c r="AZ1667" s="9">
        <f>VLOOKUP(A1667,Jogos!A:BN,58,0)</f>
        <v>23.565</v>
      </c>
      <c r="BA1667" s="9">
        <f>VLOOKUP(A1667,Jogos!A:BN,59,0)</f>
        <v>21.58</v>
      </c>
      <c r="BB1667" s="9">
        <f>VLOOKUP(A1667,Jogos!A:BN,60,0)</f>
        <v>88</v>
      </c>
      <c r="BC1667" s="9">
        <f>VLOOKUP(A1667,Jogos!A:BN,61,0)</f>
        <v>21.225</v>
      </c>
      <c r="BD1667" s="9">
        <f>VLOOKUP(A1667,Jogos!A:BN,62,0)</f>
        <v>0</v>
      </c>
      <c r="BE1667" s="9">
        <f>VLOOKUP(A1667,Jogos!A:BN,63,0)</f>
        <v>2.535</v>
      </c>
      <c r="BF1667" s="9">
        <f>VLOOKUP(A1667,Jogos!A:BN,64,0)</f>
        <v>22.145</v>
      </c>
      <c r="BG1667" s="9">
        <f>VLOOKUP(A1667,Jogos!A:BN,65,0)</f>
        <v>37.205</v>
      </c>
      <c r="BH1667" s="9">
        <f>VLOOKUP(A1667,Jogos!A:BN,66,0)</f>
        <v>25.295</v>
      </c>
      <c r="BI1667" s="9"/>
      <c r="BJ1667" s="9"/>
    </row>
    <row r="1668" hidden="1">
      <c r="A1668" s="2">
        <v>57.0</v>
      </c>
      <c r="B1668" s="2" t="s">
        <v>1380</v>
      </c>
      <c r="C1668" s="2" t="s">
        <v>1351</v>
      </c>
      <c r="D1668" s="3">
        <v>45842.0</v>
      </c>
      <c r="E1668" s="4">
        <v>0.625</v>
      </c>
      <c r="F1668" s="5" t="str">
        <f>VLOOKUP(A1668,Jogos!A:N,10,0)</f>
        <v>Afternoon</v>
      </c>
      <c r="G1668" s="2" t="s">
        <v>1269</v>
      </c>
      <c r="H1668" s="6" t="str">
        <f>VLOOKUP(A1668,Jogos!A:L,12,0)</f>
        <v>Open</v>
      </c>
      <c r="I1668" s="6" t="str">
        <f>VLOOKUP(G1668,'Estádios e Cidades'!A:B,2,0)</f>
        <v>Orlando</v>
      </c>
      <c r="J1668" s="2" t="s">
        <v>563</v>
      </c>
      <c r="K1668" s="2" t="str">
        <f>VLOOKUP(J1668,Equipes!A:F,6,0)</f>
        <v>Tropical</v>
      </c>
      <c r="L1668" s="2">
        <f>VLOOKUP(J1668,Equipes!A:C,3,0)</f>
        <v>4</v>
      </c>
      <c r="M1668" s="2" t="str">
        <f t="shared" si="4"/>
        <v>Semi-final</v>
      </c>
      <c r="N1668" s="2" t="s">
        <v>874</v>
      </c>
      <c r="O1668" s="2">
        <f>VLOOKUP(N1668,Equipes!A:C,3,0)</f>
        <v>7</v>
      </c>
      <c r="P1668" s="2" t="str">
        <f t="shared" si="5"/>
        <v>Quarter-final</v>
      </c>
      <c r="Q1668" s="2">
        <f t="shared" si="6"/>
        <v>-3</v>
      </c>
      <c r="R1668" s="2" t="str">
        <f>VLOOKUP(J1668,Equipes!A:B,2,0)</f>
        <v>Fluminense</v>
      </c>
      <c r="S1668" s="6" t="s">
        <v>565</v>
      </c>
      <c r="T1668" s="7">
        <v>2.0</v>
      </c>
      <c r="U1668" s="7" t="s">
        <v>566</v>
      </c>
      <c r="V1668" s="7" t="str">
        <f>VLOOKUP(U1668,Jogadores!B:C,2,0)</f>
        <v>DF</v>
      </c>
      <c r="W1668" s="8">
        <f>VLOOKUP(U1668,Jogadores!B:D,3,0)</f>
        <v>35.16712329</v>
      </c>
      <c r="X1668" s="7">
        <v>0.0</v>
      </c>
      <c r="Y1668" s="7">
        <v>83.0</v>
      </c>
      <c r="Z1668" s="7">
        <f>VLOOKUP(A1668,Jogos!A:L,3,0)</f>
        <v>52</v>
      </c>
      <c r="AA1668" s="7">
        <f t="shared" si="4815"/>
        <v>52</v>
      </c>
      <c r="AB1668" s="7">
        <f>VLOOKUP(A1668,Jogos!A:L,4,0)</f>
        <v>54</v>
      </c>
      <c r="AC1668" s="7">
        <f t="shared" si="5062"/>
        <v>38</v>
      </c>
      <c r="AD1668" s="7"/>
      <c r="AE1668" s="7"/>
      <c r="AF1668" s="7">
        <f t="shared" si="4566"/>
        <v>90</v>
      </c>
      <c r="AG1668" s="7">
        <v>7809.0</v>
      </c>
      <c r="AH1668" s="7">
        <v>3535.2</v>
      </c>
      <c r="AI1668" s="7">
        <v>2945.8</v>
      </c>
      <c r="AJ1668" s="7">
        <v>822.8</v>
      </c>
      <c r="AK1668" s="7">
        <v>328.5</v>
      </c>
      <c r="AL1668" s="7">
        <v>176.7</v>
      </c>
      <c r="AM1668" s="7">
        <v>79.0</v>
      </c>
      <c r="AN1668" s="7">
        <v>27.0</v>
      </c>
      <c r="AO1668" s="7">
        <v>32.1</v>
      </c>
      <c r="AP1668" s="9">
        <f t="shared" ref="AP1668:AR1668" si="5233">AG1668/$AF1668</f>
        <v>86.76666667</v>
      </c>
      <c r="AQ1668" s="9">
        <f t="shared" si="5233"/>
        <v>39.28</v>
      </c>
      <c r="AR1668" s="9">
        <f t="shared" si="5233"/>
        <v>32.73111111</v>
      </c>
      <c r="AS1668" s="9">
        <f t="shared" si="4568"/>
        <v>72.01111111</v>
      </c>
      <c r="AT1668" s="9">
        <f t="shared" ref="AT1668:AV1668" si="5234">AJ1668/$AF1668</f>
        <v>9.142222222</v>
      </c>
      <c r="AU1668" s="9">
        <f t="shared" si="5234"/>
        <v>3.65</v>
      </c>
      <c r="AV1668" s="9">
        <f t="shared" si="5234"/>
        <v>1.963333333</v>
      </c>
      <c r="AW1668" s="9">
        <f t="shared" si="4570"/>
        <v>5.613333333</v>
      </c>
      <c r="AX1668" s="9">
        <f t="shared" ref="AX1668:AY1668" si="5235">AM1668/$AF1668</f>
        <v>0.8777777778</v>
      </c>
      <c r="AY1668" s="9">
        <f t="shared" si="5235"/>
        <v>0.3</v>
      </c>
      <c r="AZ1668" s="9">
        <f>VLOOKUP(A1668,Jogos!A:BN,58,0)</f>
        <v>28.43</v>
      </c>
      <c r="BA1668" s="9">
        <f>VLOOKUP(A1668,Jogos!A:BN,59,0)</f>
        <v>23.98</v>
      </c>
      <c r="BB1668" s="9">
        <f>VLOOKUP(A1668,Jogos!A:BN,60,0)</f>
        <v>76.5</v>
      </c>
      <c r="BC1668" s="9">
        <f>VLOOKUP(A1668,Jogos!A:BN,61,0)</f>
        <v>27.865</v>
      </c>
      <c r="BD1668" s="9">
        <f>VLOOKUP(A1668,Jogos!A:BN,62,0)</f>
        <v>339.6</v>
      </c>
      <c r="BE1668" s="9">
        <f>VLOOKUP(A1668,Jogos!A:BN,63,0)</f>
        <v>0.415</v>
      </c>
      <c r="BF1668" s="9">
        <f>VLOOKUP(A1668,Jogos!A:BN,64,0)</f>
        <v>25.63</v>
      </c>
      <c r="BG1668" s="9">
        <f>VLOOKUP(A1668,Jogos!A:BN,65,0)</f>
        <v>45.08</v>
      </c>
      <c r="BH1668" s="9">
        <f>VLOOKUP(A1668,Jogos!A:BN,66,0)</f>
        <v>29.8</v>
      </c>
      <c r="BI1668" s="9"/>
      <c r="BJ1668" s="9"/>
    </row>
    <row r="1669" hidden="1">
      <c r="A1669" s="2">
        <v>57.0</v>
      </c>
      <c r="B1669" s="2" t="s">
        <v>1380</v>
      </c>
      <c r="C1669" s="2" t="s">
        <v>1351</v>
      </c>
      <c r="D1669" s="3">
        <v>45842.0</v>
      </c>
      <c r="E1669" s="4">
        <v>0.625</v>
      </c>
      <c r="F1669" s="5" t="str">
        <f>VLOOKUP(A1669,Jogos!A:N,10,0)</f>
        <v>Afternoon</v>
      </c>
      <c r="G1669" s="2" t="s">
        <v>1269</v>
      </c>
      <c r="H1669" s="6" t="str">
        <f>VLOOKUP(A1669,Jogos!A:L,12,0)</f>
        <v>Open</v>
      </c>
      <c r="I1669" s="6" t="str">
        <f>VLOOKUP(G1669,'Estádios e Cidades'!A:B,2,0)</f>
        <v>Orlando</v>
      </c>
      <c r="J1669" s="2" t="s">
        <v>563</v>
      </c>
      <c r="K1669" s="2" t="str">
        <f>VLOOKUP(J1669,Equipes!A:F,6,0)</f>
        <v>Tropical</v>
      </c>
      <c r="L1669" s="2">
        <f>VLOOKUP(J1669,Equipes!A:C,3,0)</f>
        <v>4</v>
      </c>
      <c r="M1669" s="2" t="str">
        <f t="shared" si="4"/>
        <v>Semi-final</v>
      </c>
      <c r="N1669" s="2" t="s">
        <v>874</v>
      </c>
      <c r="O1669" s="2">
        <f>VLOOKUP(N1669,Equipes!A:C,3,0)</f>
        <v>7</v>
      </c>
      <c r="P1669" s="2" t="str">
        <f t="shared" si="5"/>
        <v>Quarter-final</v>
      </c>
      <c r="Q1669" s="2">
        <f t="shared" si="6"/>
        <v>-3</v>
      </c>
      <c r="R1669" s="2" t="str">
        <f>VLOOKUP(J1669,Equipes!A:B,2,0)</f>
        <v>Fluminense</v>
      </c>
      <c r="S1669" s="6" t="s">
        <v>567</v>
      </c>
      <c r="T1669" s="7">
        <v>3.0</v>
      </c>
      <c r="U1669" s="7" t="s">
        <v>568</v>
      </c>
      <c r="V1669" s="7" t="str">
        <f>VLOOKUP(U1669,Jogadores!B:C,2,0)</f>
        <v>DF</v>
      </c>
      <c r="W1669" s="8">
        <f>VLOOKUP(U1669,Jogadores!B:D,3,0)</f>
        <v>40.8739726</v>
      </c>
      <c r="X1669" s="7">
        <v>0.0</v>
      </c>
      <c r="Y1669" s="7">
        <f t="shared" ref="Y1669:Y1670" si="5239">45+AB1669</f>
        <v>99</v>
      </c>
      <c r="Z1669" s="7">
        <f>VLOOKUP(A1669,Jogos!A:L,3,0)</f>
        <v>52</v>
      </c>
      <c r="AA1669" s="7">
        <f t="shared" si="4815"/>
        <v>52</v>
      </c>
      <c r="AB1669" s="7">
        <f>VLOOKUP(A1669,Jogos!A:L,4,0)</f>
        <v>54</v>
      </c>
      <c r="AC1669" s="7">
        <f t="shared" si="5062"/>
        <v>54</v>
      </c>
      <c r="AD1669" s="7"/>
      <c r="AE1669" s="7"/>
      <c r="AF1669" s="7">
        <f t="shared" si="4566"/>
        <v>106</v>
      </c>
      <c r="AG1669" s="7">
        <v>6737.8</v>
      </c>
      <c r="AH1669" s="7">
        <v>4368.3</v>
      </c>
      <c r="AI1669" s="7">
        <v>1888.8</v>
      </c>
      <c r="AJ1669" s="7">
        <v>328.3</v>
      </c>
      <c r="AK1669" s="7">
        <v>112.8</v>
      </c>
      <c r="AL1669" s="7">
        <v>39.5</v>
      </c>
      <c r="AM1669" s="7">
        <v>30.0</v>
      </c>
      <c r="AN1669" s="7">
        <v>11.0</v>
      </c>
      <c r="AO1669" s="7">
        <v>32.2</v>
      </c>
      <c r="AP1669" s="9">
        <f t="shared" ref="AP1669:AR1669" si="5236">AG1669/$AF1669</f>
        <v>63.56415094</v>
      </c>
      <c r="AQ1669" s="9">
        <f t="shared" si="5236"/>
        <v>41.21037736</v>
      </c>
      <c r="AR1669" s="9">
        <f t="shared" si="5236"/>
        <v>17.81886792</v>
      </c>
      <c r="AS1669" s="9">
        <f t="shared" si="4568"/>
        <v>59.02924528</v>
      </c>
      <c r="AT1669" s="9">
        <f t="shared" ref="AT1669:AV1669" si="5237">AJ1669/$AF1669</f>
        <v>3.097169811</v>
      </c>
      <c r="AU1669" s="9">
        <f t="shared" si="5237"/>
        <v>1.064150943</v>
      </c>
      <c r="AV1669" s="9">
        <f t="shared" si="5237"/>
        <v>0.3726415094</v>
      </c>
      <c r="AW1669" s="9">
        <f t="shared" si="4570"/>
        <v>1.436792453</v>
      </c>
      <c r="AX1669" s="9">
        <f t="shared" ref="AX1669:AY1669" si="5238">AM1669/$AF1669</f>
        <v>0.2830188679</v>
      </c>
      <c r="AY1669" s="9">
        <f t="shared" si="5238"/>
        <v>0.1037735849</v>
      </c>
      <c r="AZ1669" s="9">
        <f>VLOOKUP(A1669,Jogos!A:BN,58,0)</f>
        <v>28.43</v>
      </c>
      <c r="BA1669" s="9">
        <f>VLOOKUP(A1669,Jogos!A:BN,59,0)</f>
        <v>23.98</v>
      </c>
      <c r="BB1669" s="9">
        <f>VLOOKUP(A1669,Jogos!A:BN,60,0)</f>
        <v>76.5</v>
      </c>
      <c r="BC1669" s="9">
        <f>VLOOKUP(A1669,Jogos!A:BN,61,0)</f>
        <v>27.865</v>
      </c>
      <c r="BD1669" s="9">
        <f>VLOOKUP(A1669,Jogos!A:BN,62,0)</f>
        <v>339.6</v>
      </c>
      <c r="BE1669" s="9">
        <f>VLOOKUP(A1669,Jogos!A:BN,63,0)</f>
        <v>0.415</v>
      </c>
      <c r="BF1669" s="9">
        <f>VLOOKUP(A1669,Jogos!A:BN,64,0)</f>
        <v>25.63</v>
      </c>
      <c r="BG1669" s="9">
        <f>VLOOKUP(A1669,Jogos!A:BN,65,0)</f>
        <v>45.08</v>
      </c>
      <c r="BH1669" s="9">
        <f>VLOOKUP(A1669,Jogos!A:BN,66,0)</f>
        <v>29.8</v>
      </c>
      <c r="BI1669" s="9"/>
      <c r="BJ1669" s="9"/>
    </row>
    <row r="1670" hidden="1">
      <c r="A1670" s="2">
        <v>57.0</v>
      </c>
      <c r="B1670" s="2" t="s">
        <v>1380</v>
      </c>
      <c r="C1670" s="2" t="s">
        <v>1351</v>
      </c>
      <c r="D1670" s="3">
        <v>45842.0</v>
      </c>
      <c r="E1670" s="4">
        <v>0.625</v>
      </c>
      <c r="F1670" s="5" t="str">
        <f>VLOOKUP(A1670,Jogos!A:N,10,0)</f>
        <v>Afternoon</v>
      </c>
      <c r="G1670" s="2" t="s">
        <v>1269</v>
      </c>
      <c r="H1670" s="6" t="str">
        <f>VLOOKUP(A1670,Jogos!A:L,12,0)</f>
        <v>Open</v>
      </c>
      <c r="I1670" s="6" t="str">
        <f>VLOOKUP(G1670,'Estádios e Cidades'!A:B,2,0)</f>
        <v>Orlando</v>
      </c>
      <c r="J1670" s="2" t="s">
        <v>563</v>
      </c>
      <c r="K1670" s="2" t="str">
        <f>VLOOKUP(J1670,Equipes!A:F,6,0)</f>
        <v>Tropical</v>
      </c>
      <c r="L1670" s="2">
        <f>VLOOKUP(J1670,Equipes!A:C,3,0)</f>
        <v>4</v>
      </c>
      <c r="M1670" s="2" t="str">
        <f t="shared" si="4"/>
        <v>Semi-final</v>
      </c>
      <c r="N1670" s="2" t="s">
        <v>874</v>
      </c>
      <c r="O1670" s="2">
        <f>VLOOKUP(N1670,Equipes!A:C,3,0)</f>
        <v>7</v>
      </c>
      <c r="P1670" s="2" t="str">
        <f t="shared" si="5"/>
        <v>Quarter-final</v>
      </c>
      <c r="Q1670" s="2">
        <f t="shared" si="6"/>
        <v>-3</v>
      </c>
      <c r="R1670" s="2" t="str">
        <f>VLOOKUP(J1670,Equipes!A:B,2,0)</f>
        <v>Fluminense</v>
      </c>
      <c r="S1670" s="6" t="s">
        <v>1305</v>
      </c>
      <c r="T1670" s="7">
        <v>4.0</v>
      </c>
      <c r="U1670" s="7" t="s">
        <v>1306</v>
      </c>
      <c r="V1670" s="7" t="str">
        <f>VLOOKUP(U1670,Jogadores!B:C,2,0)</f>
        <v>DF</v>
      </c>
      <c r="W1670" s="8">
        <f>VLOOKUP(U1670,Jogadores!B:D,3,0)</f>
        <v>28.6739726</v>
      </c>
      <c r="X1670" s="7">
        <v>0.0</v>
      </c>
      <c r="Y1670" s="7">
        <f t="shared" si="5239"/>
        <v>99</v>
      </c>
      <c r="Z1670" s="7">
        <f>VLOOKUP(A1670,Jogos!A:L,3,0)</f>
        <v>52</v>
      </c>
      <c r="AA1670" s="7">
        <f t="shared" si="4815"/>
        <v>52</v>
      </c>
      <c r="AB1670" s="7">
        <f>VLOOKUP(A1670,Jogos!A:L,4,0)</f>
        <v>54</v>
      </c>
      <c r="AC1670" s="7">
        <f t="shared" si="5062"/>
        <v>54</v>
      </c>
      <c r="AD1670" s="7"/>
      <c r="AE1670" s="7"/>
      <c r="AF1670" s="7">
        <f t="shared" si="4566"/>
        <v>106</v>
      </c>
      <c r="AG1670" s="7">
        <v>8803.8</v>
      </c>
      <c r="AH1670" s="7">
        <v>4913.0</v>
      </c>
      <c r="AI1670" s="7">
        <v>2744.6</v>
      </c>
      <c r="AJ1670" s="7">
        <v>756.3</v>
      </c>
      <c r="AK1670" s="7">
        <v>278.2</v>
      </c>
      <c r="AL1670" s="7">
        <v>111.7</v>
      </c>
      <c r="AM1670" s="7">
        <v>68.0</v>
      </c>
      <c r="AN1670" s="7">
        <v>23.0</v>
      </c>
      <c r="AO1670" s="7">
        <v>31.4</v>
      </c>
      <c r="AP1670" s="9">
        <f t="shared" ref="AP1670:AR1670" si="5240">AG1670/$AF1670</f>
        <v>83.05471698</v>
      </c>
      <c r="AQ1670" s="9">
        <f t="shared" si="5240"/>
        <v>46.3490566</v>
      </c>
      <c r="AR1670" s="9">
        <f t="shared" si="5240"/>
        <v>25.89245283</v>
      </c>
      <c r="AS1670" s="9">
        <f t="shared" si="4568"/>
        <v>72.24150943</v>
      </c>
      <c r="AT1670" s="9">
        <f t="shared" ref="AT1670:AV1670" si="5241">AJ1670/$AF1670</f>
        <v>7.13490566</v>
      </c>
      <c r="AU1670" s="9">
        <f t="shared" si="5241"/>
        <v>2.624528302</v>
      </c>
      <c r="AV1670" s="9">
        <f t="shared" si="5241"/>
        <v>1.053773585</v>
      </c>
      <c r="AW1670" s="9">
        <f t="shared" si="4570"/>
        <v>3.678301887</v>
      </c>
      <c r="AX1670" s="9">
        <f t="shared" ref="AX1670:AY1670" si="5242">AM1670/$AF1670</f>
        <v>0.641509434</v>
      </c>
      <c r="AY1670" s="9">
        <f t="shared" si="5242"/>
        <v>0.2169811321</v>
      </c>
      <c r="AZ1670" s="9">
        <f>VLOOKUP(A1670,Jogos!A:BN,58,0)</f>
        <v>28.43</v>
      </c>
      <c r="BA1670" s="9">
        <f>VLOOKUP(A1670,Jogos!A:BN,59,0)</f>
        <v>23.98</v>
      </c>
      <c r="BB1670" s="9">
        <f>VLOOKUP(A1670,Jogos!A:BN,60,0)</f>
        <v>76.5</v>
      </c>
      <c r="BC1670" s="9">
        <f>VLOOKUP(A1670,Jogos!A:BN,61,0)</f>
        <v>27.865</v>
      </c>
      <c r="BD1670" s="9">
        <f>VLOOKUP(A1670,Jogos!A:BN,62,0)</f>
        <v>339.6</v>
      </c>
      <c r="BE1670" s="9">
        <f>VLOOKUP(A1670,Jogos!A:BN,63,0)</f>
        <v>0.415</v>
      </c>
      <c r="BF1670" s="9">
        <f>VLOOKUP(A1670,Jogos!A:BN,64,0)</f>
        <v>25.63</v>
      </c>
      <c r="BG1670" s="9">
        <f>VLOOKUP(A1670,Jogos!A:BN,65,0)</f>
        <v>45.08</v>
      </c>
      <c r="BH1670" s="9">
        <f>VLOOKUP(A1670,Jogos!A:BN,66,0)</f>
        <v>29.8</v>
      </c>
      <c r="BI1670" s="9"/>
      <c r="BJ1670" s="9"/>
    </row>
    <row r="1671" hidden="1">
      <c r="A1671" s="2">
        <v>57.0</v>
      </c>
      <c r="B1671" s="2" t="s">
        <v>1380</v>
      </c>
      <c r="C1671" s="2" t="s">
        <v>1351</v>
      </c>
      <c r="D1671" s="3">
        <v>45842.0</v>
      </c>
      <c r="E1671" s="4">
        <v>0.625</v>
      </c>
      <c r="F1671" s="5" t="str">
        <f>VLOOKUP(A1671,Jogos!A:N,10,0)</f>
        <v>Afternoon</v>
      </c>
      <c r="G1671" s="2" t="s">
        <v>1269</v>
      </c>
      <c r="H1671" s="6" t="str">
        <f>VLOOKUP(A1671,Jogos!A:L,12,0)</f>
        <v>Open</v>
      </c>
      <c r="I1671" s="6" t="str">
        <f>VLOOKUP(G1671,'Estádios e Cidades'!A:B,2,0)</f>
        <v>Orlando</v>
      </c>
      <c r="J1671" s="2" t="s">
        <v>563</v>
      </c>
      <c r="K1671" s="2" t="str">
        <f>VLOOKUP(J1671,Equipes!A:F,6,0)</f>
        <v>Tropical</v>
      </c>
      <c r="L1671" s="2">
        <f>VLOOKUP(J1671,Equipes!A:C,3,0)</f>
        <v>4</v>
      </c>
      <c r="M1671" s="2" t="str">
        <f t="shared" si="4"/>
        <v>Semi-final</v>
      </c>
      <c r="N1671" s="2" t="s">
        <v>874</v>
      </c>
      <c r="O1671" s="2">
        <f>VLOOKUP(N1671,Equipes!A:C,3,0)</f>
        <v>7</v>
      </c>
      <c r="P1671" s="2" t="str">
        <f t="shared" si="5"/>
        <v>Quarter-final</v>
      </c>
      <c r="Q1671" s="2">
        <f t="shared" si="6"/>
        <v>-3</v>
      </c>
      <c r="R1671" s="2" t="str">
        <f>VLOOKUP(J1671,Equipes!A:B,2,0)</f>
        <v>Fluminense</v>
      </c>
      <c r="S1671" s="6" t="s">
        <v>1170</v>
      </c>
      <c r="T1671" s="7">
        <v>5.0</v>
      </c>
      <c r="U1671" s="7" t="s">
        <v>1171</v>
      </c>
      <c r="V1671" s="7" t="str">
        <f>VLOOKUP(U1671,Jogadores!B:C,2,0)</f>
        <v>MF</v>
      </c>
      <c r="W1671" s="8">
        <f>VLOOKUP(U1671,Jogadores!B:D,3,0)</f>
        <v>21.95068493</v>
      </c>
      <c r="X1671" s="7">
        <v>0.0</v>
      </c>
      <c r="Y1671" s="7">
        <v>88.0</v>
      </c>
      <c r="Z1671" s="7">
        <f>VLOOKUP(A1671,Jogos!A:L,3,0)</f>
        <v>52</v>
      </c>
      <c r="AA1671" s="7">
        <f t="shared" si="4815"/>
        <v>52</v>
      </c>
      <c r="AB1671" s="7">
        <f>VLOOKUP(A1671,Jogos!A:L,4,0)</f>
        <v>54</v>
      </c>
      <c r="AC1671" s="7">
        <f t="shared" si="5062"/>
        <v>43</v>
      </c>
      <c r="AD1671" s="7"/>
      <c r="AE1671" s="7"/>
      <c r="AF1671" s="7">
        <f t="shared" si="4566"/>
        <v>95</v>
      </c>
      <c r="AG1671" s="7">
        <v>9904.0</v>
      </c>
      <c r="AH1671" s="7">
        <v>4187.9</v>
      </c>
      <c r="AI1671" s="7">
        <v>4462.5</v>
      </c>
      <c r="AJ1671" s="7">
        <v>1012.8</v>
      </c>
      <c r="AK1671" s="7">
        <v>228.3</v>
      </c>
      <c r="AL1671" s="7">
        <v>12.5</v>
      </c>
      <c r="AM1671" s="7">
        <v>85.0</v>
      </c>
      <c r="AN1671" s="7">
        <v>16.0</v>
      </c>
      <c r="AO1671" s="7">
        <v>26.5</v>
      </c>
      <c r="AP1671" s="9">
        <f t="shared" ref="AP1671:AR1671" si="5243">AG1671/$AF1671</f>
        <v>104.2526316</v>
      </c>
      <c r="AQ1671" s="9">
        <f t="shared" si="5243"/>
        <v>44.08315789</v>
      </c>
      <c r="AR1671" s="9">
        <f t="shared" si="5243"/>
        <v>46.97368421</v>
      </c>
      <c r="AS1671" s="9">
        <f t="shared" si="4568"/>
        <v>91.05684211</v>
      </c>
      <c r="AT1671" s="9">
        <f t="shared" ref="AT1671:AV1671" si="5244">AJ1671/$AF1671</f>
        <v>10.66105263</v>
      </c>
      <c r="AU1671" s="9">
        <f t="shared" si="5244"/>
        <v>2.403157895</v>
      </c>
      <c r="AV1671" s="9">
        <f t="shared" si="5244"/>
        <v>0.1315789474</v>
      </c>
      <c r="AW1671" s="9">
        <f t="shared" si="4570"/>
        <v>2.534736842</v>
      </c>
      <c r="AX1671" s="9">
        <f t="shared" ref="AX1671:AY1671" si="5245">AM1671/$AF1671</f>
        <v>0.8947368421</v>
      </c>
      <c r="AY1671" s="9">
        <f t="shared" si="5245"/>
        <v>0.1684210526</v>
      </c>
      <c r="AZ1671" s="9">
        <f>VLOOKUP(A1671,Jogos!A:BN,58,0)</f>
        <v>28.43</v>
      </c>
      <c r="BA1671" s="9">
        <f>VLOOKUP(A1671,Jogos!A:BN,59,0)</f>
        <v>23.98</v>
      </c>
      <c r="BB1671" s="9">
        <f>VLOOKUP(A1671,Jogos!A:BN,60,0)</f>
        <v>76.5</v>
      </c>
      <c r="BC1671" s="9">
        <f>VLOOKUP(A1671,Jogos!A:BN,61,0)</f>
        <v>27.865</v>
      </c>
      <c r="BD1671" s="9">
        <f>VLOOKUP(A1671,Jogos!A:BN,62,0)</f>
        <v>339.6</v>
      </c>
      <c r="BE1671" s="9">
        <f>VLOOKUP(A1671,Jogos!A:BN,63,0)</f>
        <v>0.415</v>
      </c>
      <c r="BF1671" s="9">
        <f>VLOOKUP(A1671,Jogos!A:BN,64,0)</f>
        <v>25.63</v>
      </c>
      <c r="BG1671" s="9">
        <f>VLOOKUP(A1671,Jogos!A:BN,65,0)</f>
        <v>45.08</v>
      </c>
      <c r="BH1671" s="9">
        <f>VLOOKUP(A1671,Jogos!A:BN,66,0)</f>
        <v>29.8</v>
      </c>
      <c r="BI1671" s="9"/>
      <c r="BJ1671" s="9"/>
    </row>
    <row r="1672" hidden="1">
      <c r="A1672" s="2">
        <v>57.0</v>
      </c>
      <c r="B1672" s="2" t="s">
        <v>1380</v>
      </c>
      <c r="C1672" s="2" t="s">
        <v>1351</v>
      </c>
      <c r="D1672" s="3">
        <v>45842.0</v>
      </c>
      <c r="E1672" s="4">
        <v>0.625</v>
      </c>
      <c r="F1672" s="5" t="str">
        <f>VLOOKUP(A1672,Jogos!A:N,10,0)</f>
        <v>Afternoon</v>
      </c>
      <c r="G1672" s="2" t="s">
        <v>1269</v>
      </c>
      <c r="H1672" s="6" t="str">
        <f>VLOOKUP(A1672,Jogos!A:L,12,0)</f>
        <v>Open</v>
      </c>
      <c r="I1672" s="6" t="str">
        <f>VLOOKUP(G1672,'Estádios e Cidades'!A:B,2,0)</f>
        <v>Orlando</v>
      </c>
      <c r="J1672" s="2" t="s">
        <v>563</v>
      </c>
      <c r="K1672" s="2" t="str">
        <f>VLOOKUP(J1672,Equipes!A:F,6,0)</f>
        <v>Tropical</v>
      </c>
      <c r="L1672" s="2">
        <f>VLOOKUP(J1672,Equipes!A:C,3,0)</f>
        <v>4</v>
      </c>
      <c r="M1672" s="2" t="str">
        <f t="shared" si="4"/>
        <v>Semi-final</v>
      </c>
      <c r="N1672" s="2" t="s">
        <v>874</v>
      </c>
      <c r="O1672" s="2">
        <f>VLOOKUP(N1672,Equipes!A:C,3,0)</f>
        <v>7</v>
      </c>
      <c r="P1672" s="2" t="str">
        <f t="shared" si="5"/>
        <v>Quarter-final</v>
      </c>
      <c r="Q1672" s="2">
        <f t="shared" si="6"/>
        <v>-3</v>
      </c>
      <c r="R1672" s="2" t="str">
        <f>VLOOKUP(J1672,Equipes!A:B,2,0)</f>
        <v>Fluminense</v>
      </c>
      <c r="S1672" s="6" t="s">
        <v>571</v>
      </c>
      <c r="T1672" s="7">
        <v>8.0</v>
      </c>
      <c r="U1672" s="7" t="s">
        <v>572</v>
      </c>
      <c r="V1672" s="7" t="str">
        <f>VLOOKUP(U1672,Jogadores!B:C,2,0)</f>
        <v>MF</v>
      </c>
      <c r="W1672" s="8">
        <f>VLOOKUP(U1672,Jogadores!B:D,3,0)</f>
        <v>23.82739726</v>
      </c>
      <c r="X1672" s="7">
        <v>0.0</v>
      </c>
      <c r="Y1672" s="7">
        <v>45.0</v>
      </c>
      <c r="Z1672" s="7">
        <f>VLOOKUP(A1672,Jogos!A:L,3,0)</f>
        <v>52</v>
      </c>
      <c r="AA1672" s="7">
        <f t="shared" si="4815"/>
        <v>52</v>
      </c>
      <c r="AB1672" s="7">
        <f>VLOOKUP(A1672,Jogos!A:L,4,0)</f>
        <v>54</v>
      </c>
      <c r="AC1672" s="7">
        <f t="shared" si="5062"/>
        <v>0</v>
      </c>
      <c r="AD1672" s="7"/>
      <c r="AE1672" s="7"/>
      <c r="AF1672" s="7">
        <f t="shared" si="4566"/>
        <v>52</v>
      </c>
      <c r="AG1672" s="7">
        <v>5534.5</v>
      </c>
      <c r="AH1672" s="7">
        <v>1921.3</v>
      </c>
      <c r="AI1672" s="7">
        <v>2656.1</v>
      </c>
      <c r="AJ1672" s="7">
        <v>751.7</v>
      </c>
      <c r="AK1672" s="7">
        <v>166.1</v>
      </c>
      <c r="AL1672" s="7">
        <v>39.3</v>
      </c>
      <c r="AM1672" s="7">
        <v>67.0</v>
      </c>
      <c r="AN1672" s="7">
        <v>12.0</v>
      </c>
      <c r="AO1672" s="7">
        <v>28.4</v>
      </c>
      <c r="AP1672" s="9">
        <f t="shared" ref="AP1672:AR1672" si="5246">AG1672/$AF1672</f>
        <v>106.4326923</v>
      </c>
      <c r="AQ1672" s="9">
        <f t="shared" si="5246"/>
        <v>36.94807692</v>
      </c>
      <c r="AR1672" s="9">
        <f t="shared" si="5246"/>
        <v>51.07884615</v>
      </c>
      <c r="AS1672" s="9">
        <f t="shared" si="4568"/>
        <v>88.02692308</v>
      </c>
      <c r="AT1672" s="9">
        <f t="shared" ref="AT1672:AV1672" si="5247">AJ1672/$AF1672</f>
        <v>14.45576923</v>
      </c>
      <c r="AU1672" s="9">
        <f t="shared" si="5247"/>
        <v>3.194230769</v>
      </c>
      <c r="AV1672" s="9">
        <f t="shared" si="5247"/>
        <v>0.7557692308</v>
      </c>
      <c r="AW1672" s="9">
        <f t="shared" si="4570"/>
        <v>3.95</v>
      </c>
      <c r="AX1672" s="9">
        <f t="shared" ref="AX1672:AY1672" si="5248">AM1672/$AF1672</f>
        <v>1.288461538</v>
      </c>
      <c r="AY1672" s="9">
        <f t="shared" si="5248"/>
        <v>0.2307692308</v>
      </c>
      <c r="AZ1672" s="9">
        <f>VLOOKUP(A1672,Jogos!A:BN,58,0)</f>
        <v>28.43</v>
      </c>
      <c r="BA1672" s="9">
        <f>VLOOKUP(A1672,Jogos!A:BN,59,0)</f>
        <v>23.98</v>
      </c>
      <c r="BB1672" s="9">
        <f>VLOOKUP(A1672,Jogos!A:BN,60,0)</f>
        <v>76.5</v>
      </c>
      <c r="BC1672" s="9">
        <f>VLOOKUP(A1672,Jogos!A:BN,61,0)</f>
        <v>27.865</v>
      </c>
      <c r="BD1672" s="9">
        <f>VLOOKUP(A1672,Jogos!A:BN,62,0)</f>
        <v>339.6</v>
      </c>
      <c r="BE1672" s="9">
        <f>VLOOKUP(A1672,Jogos!A:BN,63,0)</f>
        <v>0.415</v>
      </c>
      <c r="BF1672" s="9">
        <f>VLOOKUP(A1672,Jogos!A:BN,64,0)</f>
        <v>25.63</v>
      </c>
      <c r="BG1672" s="9">
        <f>VLOOKUP(A1672,Jogos!A:BN,65,0)</f>
        <v>45.08</v>
      </c>
      <c r="BH1672" s="9">
        <f>VLOOKUP(A1672,Jogos!A:BN,66,0)</f>
        <v>29.8</v>
      </c>
      <c r="BI1672" s="9"/>
      <c r="BJ1672" s="9"/>
    </row>
    <row r="1673" hidden="1">
      <c r="A1673" s="2">
        <v>57.0</v>
      </c>
      <c r="B1673" s="2" t="s">
        <v>1380</v>
      </c>
      <c r="C1673" s="2" t="s">
        <v>1351</v>
      </c>
      <c r="D1673" s="3">
        <v>45842.0</v>
      </c>
      <c r="E1673" s="4">
        <v>0.625</v>
      </c>
      <c r="F1673" s="5" t="str">
        <f>VLOOKUP(A1673,Jogos!A:N,10,0)</f>
        <v>Afternoon</v>
      </c>
      <c r="G1673" s="2" t="s">
        <v>1269</v>
      </c>
      <c r="H1673" s="6" t="str">
        <f>VLOOKUP(A1673,Jogos!A:L,12,0)</f>
        <v>Open</v>
      </c>
      <c r="I1673" s="6" t="str">
        <f>VLOOKUP(G1673,'Estádios e Cidades'!A:B,2,0)</f>
        <v>Orlando</v>
      </c>
      <c r="J1673" s="2" t="s">
        <v>563</v>
      </c>
      <c r="K1673" s="2" t="str">
        <f>VLOOKUP(J1673,Equipes!A:F,6,0)</f>
        <v>Tropical</v>
      </c>
      <c r="L1673" s="2">
        <f>VLOOKUP(J1673,Equipes!A:C,3,0)</f>
        <v>4</v>
      </c>
      <c r="M1673" s="2" t="str">
        <f t="shared" si="4"/>
        <v>Semi-final</v>
      </c>
      <c r="N1673" s="2" t="s">
        <v>874</v>
      </c>
      <c r="O1673" s="2">
        <f>VLOOKUP(N1673,Equipes!A:C,3,0)</f>
        <v>7</v>
      </c>
      <c r="P1673" s="2" t="str">
        <f t="shared" si="5"/>
        <v>Quarter-final</v>
      </c>
      <c r="Q1673" s="2">
        <f t="shared" si="6"/>
        <v>-3</v>
      </c>
      <c r="R1673" s="2" t="str">
        <f>VLOOKUP(J1673,Equipes!A:B,2,0)</f>
        <v>Fluminense</v>
      </c>
      <c r="S1673" s="6" t="s">
        <v>1166</v>
      </c>
      <c r="T1673" s="7">
        <v>12.0</v>
      </c>
      <c r="U1673" s="7" t="s">
        <v>1167</v>
      </c>
      <c r="V1673" s="7" t="str">
        <f>VLOOKUP(U1673,Jogadores!B:C,2,0)</f>
        <v>DF</v>
      </c>
      <c r="W1673" s="8">
        <f>VLOOKUP(U1673,Jogadores!B:D,3,0)</f>
        <v>28.48219178</v>
      </c>
      <c r="X1673" s="7">
        <v>0.0</v>
      </c>
      <c r="Y1673" s="7">
        <f>45+AB1673</f>
        <v>99</v>
      </c>
      <c r="Z1673" s="7">
        <f>VLOOKUP(A1673,Jogos!A:L,3,0)</f>
        <v>52</v>
      </c>
      <c r="AA1673" s="7">
        <f t="shared" si="4815"/>
        <v>52</v>
      </c>
      <c r="AB1673" s="7">
        <f>VLOOKUP(A1673,Jogos!A:L,4,0)</f>
        <v>54</v>
      </c>
      <c r="AC1673" s="7">
        <f t="shared" si="5062"/>
        <v>54</v>
      </c>
      <c r="AD1673" s="7"/>
      <c r="AE1673" s="7"/>
      <c r="AF1673" s="7">
        <f t="shared" si="4566"/>
        <v>106</v>
      </c>
      <c r="AG1673" s="7">
        <v>9996.0</v>
      </c>
      <c r="AH1673" s="7">
        <v>4622.2</v>
      </c>
      <c r="AI1673" s="7">
        <v>3618.4</v>
      </c>
      <c r="AJ1673" s="7">
        <v>1096.5</v>
      </c>
      <c r="AK1673" s="7">
        <v>411.8</v>
      </c>
      <c r="AL1673" s="7">
        <v>247.2</v>
      </c>
      <c r="AM1673" s="7">
        <v>94.0</v>
      </c>
      <c r="AN1673" s="7">
        <v>36.0</v>
      </c>
      <c r="AO1673" s="7">
        <v>32.4</v>
      </c>
      <c r="AP1673" s="9">
        <f t="shared" ref="AP1673:AR1673" si="5249">AG1673/$AF1673</f>
        <v>94.30188679</v>
      </c>
      <c r="AQ1673" s="9">
        <f t="shared" si="5249"/>
        <v>43.60566038</v>
      </c>
      <c r="AR1673" s="9">
        <f t="shared" si="5249"/>
        <v>34.13584906</v>
      </c>
      <c r="AS1673" s="9">
        <f t="shared" si="4568"/>
        <v>77.74150943</v>
      </c>
      <c r="AT1673" s="9">
        <f t="shared" ref="AT1673:AV1673" si="5250">AJ1673/$AF1673</f>
        <v>10.34433962</v>
      </c>
      <c r="AU1673" s="9">
        <f t="shared" si="5250"/>
        <v>3.88490566</v>
      </c>
      <c r="AV1673" s="9">
        <f t="shared" si="5250"/>
        <v>2.332075472</v>
      </c>
      <c r="AW1673" s="9">
        <f t="shared" si="4570"/>
        <v>6.216981132</v>
      </c>
      <c r="AX1673" s="9">
        <f t="shared" ref="AX1673:AY1673" si="5251">AM1673/$AF1673</f>
        <v>0.8867924528</v>
      </c>
      <c r="AY1673" s="9">
        <f t="shared" si="5251"/>
        <v>0.3396226415</v>
      </c>
      <c r="AZ1673" s="9">
        <f>VLOOKUP(A1673,Jogos!A:BN,58,0)</f>
        <v>28.43</v>
      </c>
      <c r="BA1673" s="9">
        <f>VLOOKUP(A1673,Jogos!A:BN,59,0)</f>
        <v>23.98</v>
      </c>
      <c r="BB1673" s="9">
        <f>VLOOKUP(A1673,Jogos!A:BN,60,0)</f>
        <v>76.5</v>
      </c>
      <c r="BC1673" s="9">
        <f>VLOOKUP(A1673,Jogos!A:BN,61,0)</f>
        <v>27.865</v>
      </c>
      <c r="BD1673" s="9">
        <f>VLOOKUP(A1673,Jogos!A:BN,62,0)</f>
        <v>339.6</v>
      </c>
      <c r="BE1673" s="9">
        <f>VLOOKUP(A1673,Jogos!A:BN,63,0)</f>
        <v>0.415</v>
      </c>
      <c r="BF1673" s="9">
        <f>VLOOKUP(A1673,Jogos!A:BN,64,0)</f>
        <v>25.63</v>
      </c>
      <c r="BG1673" s="9">
        <f>VLOOKUP(A1673,Jogos!A:BN,65,0)</f>
        <v>45.08</v>
      </c>
      <c r="BH1673" s="9">
        <f>VLOOKUP(A1673,Jogos!A:BN,66,0)</f>
        <v>29.8</v>
      </c>
      <c r="BI1673" s="9"/>
      <c r="BJ1673" s="9"/>
    </row>
    <row r="1674" hidden="1">
      <c r="A1674" s="2">
        <v>57.0</v>
      </c>
      <c r="B1674" s="2" t="s">
        <v>1380</v>
      </c>
      <c r="C1674" s="2" t="s">
        <v>1351</v>
      </c>
      <c r="D1674" s="3">
        <v>45842.0</v>
      </c>
      <c r="E1674" s="4">
        <v>0.625</v>
      </c>
      <c r="F1674" s="5" t="str">
        <f>VLOOKUP(A1674,Jogos!A:N,10,0)</f>
        <v>Afternoon</v>
      </c>
      <c r="G1674" s="2" t="s">
        <v>1269</v>
      </c>
      <c r="H1674" s="6" t="str">
        <f>VLOOKUP(A1674,Jogos!A:L,12,0)</f>
        <v>Open</v>
      </c>
      <c r="I1674" s="6" t="str">
        <f>VLOOKUP(G1674,'Estádios e Cidades'!A:B,2,0)</f>
        <v>Orlando</v>
      </c>
      <c r="J1674" s="2" t="s">
        <v>563</v>
      </c>
      <c r="K1674" s="2" t="str">
        <f>VLOOKUP(J1674,Equipes!A:F,6,0)</f>
        <v>Tropical</v>
      </c>
      <c r="L1674" s="2">
        <f>VLOOKUP(J1674,Equipes!A:C,3,0)</f>
        <v>4</v>
      </c>
      <c r="M1674" s="2" t="str">
        <f t="shared" si="4"/>
        <v>Semi-final</v>
      </c>
      <c r="N1674" s="2" t="s">
        <v>874</v>
      </c>
      <c r="O1674" s="2">
        <f>VLOOKUP(N1674,Equipes!A:C,3,0)</f>
        <v>7</v>
      </c>
      <c r="P1674" s="2" t="str">
        <f t="shared" si="5"/>
        <v>Quarter-final</v>
      </c>
      <c r="Q1674" s="2">
        <f t="shared" si="6"/>
        <v>-3</v>
      </c>
      <c r="R1674" s="2" t="str">
        <f>VLOOKUP(J1674,Equipes!A:B,2,0)</f>
        <v>Fluminense</v>
      </c>
      <c r="S1674" s="6" t="s">
        <v>585</v>
      </c>
      <c r="T1674" s="7">
        <v>14.0</v>
      </c>
      <c r="U1674" s="7" t="s">
        <v>586</v>
      </c>
      <c r="V1674" s="7" t="str">
        <f>VLOOKUP(U1674,Jogadores!B:C,2,0)</f>
        <v>FW</v>
      </c>
      <c r="W1674" s="8">
        <f>VLOOKUP(U1674,Jogadores!B:D,3,0)</f>
        <v>37.50958904</v>
      </c>
      <c r="X1674" s="7">
        <v>0.0</v>
      </c>
      <c r="Y1674" s="7">
        <v>68.0</v>
      </c>
      <c r="Z1674" s="7">
        <f>VLOOKUP(A1674,Jogos!A:L,3,0)</f>
        <v>52</v>
      </c>
      <c r="AA1674" s="7">
        <f t="shared" si="4815"/>
        <v>52</v>
      </c>
      <c r="AB1674" s="7">
        <f>VLOOKUP(A1674,Jogos!A:L,4,0)</f>
        <v>54</v>
      </c>
      <c r="AC1674" s="7">
        <f t="shared" si="5062"/>
        <v>23</v>
      </c>
      <c r="AD1674" s="7"/>
      <c r="AE1674" s="7"/>
      <c r="AF1674" s="7">
        <f t="shared" si="4566"/>
        <v>75</v>
      </c>
      <c r="AG1674" s="7">
        <v>6990.1</v>
      </c>
      <c r="AH1674" s="7">
        <v>3485.8</v>
      </c>
      <c r="AI1674" s="7">
        <v>2013.2</v>
      </c>
      <c r="AJ1674" s="7">
        <v>1123.0</v>
      </c>
      <c r="AK1674" s="7">
        <v>319.8</v>
      </c>
      <c r="AL1674" s="7">
        <v>48.3</v>
      </c>
      <c r="AM1674" s="7">
        <v>88.0</v>
      </c>
      <c r="AN1674" s="7">
        <v>26.0</v>
      </c>
      <c r="AO1674" s="7">
        <v>29.1</v>
      </c>
      <c r="AP1674" s="9">
        <f t="shared" ref="AP1674:AR1674" si="5252">AG1674/$AF1674</f>
        <v>93.20133333</v>
      </c>
      <c r="AQ1674" s="9">
        <f t="shared" si="5252"/>
        <v>46.47733333</v>
      </c>
      <c r="AR1674" s="9">
        <f t="shared" si="5252"/>
        <v>26.84266667</v>
      </c>
      <c r="AS1674" s="9">
        <f t="shared" si="4568"/>
        <v>73.32</v>
      </c>
      <c r="AT1674" s="9">
        <f t="shared" ref="AT1674:AV1674" si="5253">AJ1674/$AF1674</f>
        <v>14.97333333</v>
      </c>
      <c r="AU1674" s="9">
        <f t="shared" si="5253"/>
        <v>4.264</v>
      </c>
      <c r="AV1674" s="9">
        <f t="shared" si="5253"/>
        <v>0.644</v>
      </c>
      <c r="AW1674" s="9">
        <f t="shared" si="4570"/>
        <v>4.908</v>
      </c>
      <c r="AX1674" s="9">
        <f t="shared" ref="AX1674:AY1674" si="5254">AM1674/$AF1674</f>
        <v>1.173333333</v>
      </c>
      <c r="AY1674" s="9">
        <f t="shared" si="5254"/>
        <v>0.3466666667</v>
      </c>
      <c r="AZ1674" s="9">
        <f>VLOOKUP(A1674,Jogos!A:BN,58,0)</f>
        <v>28.43</v>
      </c>
      <c r="BA1674" s="9">
        <f>VLOOKUP(A1674,Jogos!A:BN,59,0)</f>
        <v>23.98</v>
      </c>
      <c r="BB1674" s="9">
        <f>VLOOKUP(A1674,Jogos!A:BN,60,0)</f>
        <v>76.5</v>
      </c>
      <c r="BC1674" s="9">
        <f>VLOOKUP(A1674,Jogos!A:BN,61,0)</f>
        <v>27.865</v>
      </c>
      <c r="BD1674" s="9">
        <f>VLOOKUP(A1674,Jogos!A:BN,62,0)</f>
        <v>339.6</v>
      </c>
      <c r="BE1674" s="9">
        <f>VLOOKUP(A1674,Jogos!A:BN,63,0)</f>
        <v>0.415</v>
      </c>
      <c r="BF1674" s="9">
        <f>VLOOKUP(A1674,Jogos!A:BN,64,0)</f>
        <v>25.63</v>
      </c>
      <c r="BG1674" s="9">
        <f>VLOOKUP(A1674,Jogos!A:BN,65,0)</f>
        <v>45.08</v>
      </c>
      <c r="BH1674" s="9">
        <f>VLOOKUP(A1674,Jogos!A:BN,66,0)</f>
        <v>29.8</v>
      </c>
      <c r="BI1674" s="9"/>
      <c r="BJ1674" s="9"/>
    </row>
    <row r="1675" hidden="1">
      <c r="A1675" s="2">
        <v>57.0</v>
      </c>
      <c r="B1675" s="2" t="s">
        <v>1380</v>
      </c>
      <c r="C1675" s="2" t="s">
        <v>1351</v>
      </c>
      <c r="D1675" s="3">
        <v>45842.0</v>
      </c>
      <c r="E1675" s="4">
        <v>0.625</v>
      </c>
      <c r="F1675" s="5" t="str">
        <f>VLOOKUP(A1675,Jogos!A:N,10,0)</f>
        <v>Afternoon</v>
      </c>
      <c r="G1675" s="2" t="s">
        <v>1269</v>
      </c>
      <c r="H1675" s="6" t="str">
        <f>VLOOKUP(A1675,Jogos!A:L,12,0)</f>
        <v>Open</v>
      </c>
      <c r="I1675" s="6" t="str">
        <f>VLOOKUP(G1675,'Estádios e Cidades'!A:B,2,0)</f>
        <v>Orlando</v>
      </c>
      <c r="J1675" s="2" t="s">
        <v>563</v>
      </c>
      <c r="K1675" s="2" t="str">
        <f>VLOOKUP(J1675,Equipes!A:F,6,0)</f>
        <v>Tropical</v>
      </c>
      <c r="L1675" s="2">
        <f>VLOOKUP(J1675,Equipes!A:C,3,0)</f>
        <v>4</v>
      </c>
      <c r="M1675" s="2" t="str">
        <f t="shared" si="4"/>
        <v>Semi-final</v>
      </c>
      <c r="N1675" s="2" t="s">
        <v>874</v>
      </c>
      <c r="O1675" s="2">
        <f>VLOOKUP(N1675,Equipes!A:C,3,0)</f>
        <v>7</v>
      </c>
      <c r="P1675" s="2" t="str">
        <f t="shared" si="5"/>
        <v>Quarter-final</v>
      </c>
      <c r="Q1675" s="2">
        <f t="shared" si="6"/>
        <v>-3</v>
      </c>
      <c r="R1675" s="2" t="str">
        <f>VLOOKUP(J1675,Equipes!A:B,2,0)</f>
        <v>Fluminense</v>
      </c>
      <c r="S1675" s="6" t="s">
        <v>575</v>
      </c>
      <c r="T1675" s="7">
        <v>16.0</v>
      </c>
      <c r="U1675" s="7" t="s">
        <v>576</v>
      </c>
      <c r="V1675" s="7" t="str">
        <f>VLOOKUP(U1675,Jogadores!B:C,2,0)</f>
        <v>MF</v>
      </c>
      <c r="W1675" s="8">
        <f>VLOOKUP(U1675,Jogadores!B:D,3,0)</f>
        <v>27.42191781</v>
      </c>
      <c r="X1675" s="7">
        <v>0.0</v>
      </c>
      <c r="Y1675" s="7">
        <v>68.0</v>
      </c>
      <c r="Z1675" s="7">
        <f>VLOOKUP(A1675,Jogos!A:L,3,0)</f>
        <v>52</v>
      </c>
      <c r="AA1675" s="7">
        <f t="shared" si="4815"/>
        <v>52</v>
      </c>
      <c r="AB1675" s="7">
        <f>VLOOKUP(A1675,Jogos!A:L,4,0)</f>
        <v>54</v>
      </c>
      <c r="AC1675" s="7">
        <f t="shared" si="5062"/>
        <v>23</v>
      </c>
      <c r="AD1675" s="7"/>
      <c r="AE1675" s="7"/>
      <c r="AF1675" s="7">
        <f t="shared" si="4566"/>
        <v>75</v>
      </c>
      <c r="AG1675" s="7">
        <v>7911.1</v>
      </c>
      <c r="AH1675" s="7">
        <v>3074.2</v>
      </c>
      <c r="AI1675" s="7">
        <v>3532.5</v>
      </c>
      <c r="AJ1675" s="7">
        <v>892.4</v>
      </c>
      <c r="AK1675" s="7">
        <v>323.7</v>
      </c>
      <c r="AL1675" s="7">
        <v>88.3</v>
      </c>
      <c r="AM1675" s="7">
        <v>85.0</v>
      </c>
      <c r="AN1675" s="7">
        <v>24.0</v>
      </c>
      <c r="AO1675" s="7">
        <v>28.3</v>
      </c>
      <c r="AP1675" s="9">
        <f t="shared" ref="AP1675:AR1675" si="5255">AG1675/$AF1675</f>
        <v>105.4813333</v>
      </c>
      <c r="AQ1675" s="9">
        <f t="shared" si="5255"/>
        <v>40.98933333</v>
      </c>
      <c r="AR1675" s="9">
        <f t="shared" si="5255"/>
        <v>47.1</v>
      </c>
      <c r="AS1675" s="9">
        <f t="shared" si="4568"/>
        <v>88.08933333</v>
      </c>
      <c r="AT1675" s="9">
        <f t="shared" ref="AT1675:AV1675" si="5256">AJ1675/$AF1675</f>
        <v>11.89866667</v>
      </c>
      <c r="AU1675" s="9">
        <f t="shared" si="5256"/>
        <v>4.316</v>
      </c>
      <c r="AV1675" s="9">
        <f t="shared" si="5256"/>
        <v>1.177333333</v>
      </c>
      <c r="AW1675" s="9">
        <f t="shared" si="4570"/>
        <v>5.493333333</v>
      </c>
      <c r="AX1675" s="9">
        <f t="shared" ref="AX1675:AY1675" si="5257">AM1675/$AF1675</f>
        <v>1.133333333</v>
      </c>
      <c r="AY1675" s="9">
        <f t="shared" si="5257"/>
        <v>0.32</v>
      </c>
      <c r="AZ1675" s="9">
        <f>VLOOKUP(A1675,Jogos!A:BN,58,0)</f>
        <v>28.43</v>
      </c>
      <c r="BA1675" s="9">
        <f>VLOOKUP(A1675,Jogos!A:BN,59,0)</f>
        <v>23.98</v>
      </c>
      <c r="BB1675" s="9">
        <f>VLOOKUP(A1675,Jogos!A:BN,60,0)</f>
        <v>76.5</v>
      </c>
      <c r="BC1675" s="9">
        <f>VLOOKUP(A1675,Jogos!A:BN,61,0)</f>
        <v>27.865</v>
      </c>
      <c r="BD1675" s="9">
        <f>VLOOKUP(A1675,Jogos!A:BN,62,0)</f>
        <v>339.6</v>
      </c>
      <c r="BE1675" s="9">
        <f>VLOOKUP(A1675,Jogos!A:BN,63,0)</f>
        <v>0.415</v>
      </c>
      <c r="BF1675" s="9">
        <f>VLOOKUP(A1675,Jogos!A:BN,64,0)</f>
        <v>25.63</v>
      </c>
      <c r="BG1675" s="9">
        <f>VLOOKUP(A1675,Jogos!A:BN,65,0)</f>
        <v>45.08</v>
      </c>
      <c r="BH1675" s="9">
        <f>VLOOKUP(A1675,Jogos!A:BN,66,0)</f>
        <v>29.8</v>
      </c>
      <c r="BI1675" s="9"/>
      <c r="BJ1675" s="9"/>
    </row>
    <row r="1676" hidden="1">
      <c r="A1676" s="2">
        <v>57.0</v>
      </c>
      <c r="B1676" s="2" t="s">
        <v>1380</v>
      </c>
      <c r="C1676" s="2" t="s">
        <v>1351</v>
      </c>
      <c r="D1676" s="3">
        <v>45842.0</v>
      </c>
      <c r="E1676" s="4">
        <v>0.625</v>
      </c>
      <c r="F1676" s="5" t="str">
        <f>VLOOKUP(A1676,Jogos!A:N,10,0)</f>
        <v>Afternoon</v>
      </c>
      <c r="G1676" s="2" t="s">
        <v>1269</v>
      </c>
      <c r="H1676" s="6" t="str">
        <f>VLOOKUP(A1676,Jogos!A:L,12,0)</f>
        <v>Open</v>
      </c>
      <c r="I1676" s="6" t="str">
        <f>VLOOKUP(G1676,'Estádios e Cidades'!A:B,2,0)</f>
        <v>Orlando</v>
      </c>
      <c r="J1676" s="2" t="s">
        <v>563</v>
      </c>
      <c r="K1676" s="2" t="str">
        <f>VLOOKUP(J1676,Equipes!A:F,6,0)</f>
        <v>Tropical</v>
      </c>
      <c r="L1676" s="2">
        <f>VLOOKUP(J1676,Equipes!A:C,3,0)</f>
        <v>4</v>
      </c>
      <c r="M1676" s="2" t="str">
        <f t="shared" si="4"/>
        <v>Semi-final</v>
      </c>
      <c r="N1676" s="2" t="s">
        <v>874</v>
      </c>
      <c r="O1676" s="2">
        <f>VLOOKUP(N1676,Equipes!A:C,3,0)</f>
        <v>7</v>
      </c>
      <c r="P1676" s="2" t="str">
        <f t="shared" si="5"/>
        <v>Quarter-final</v>
      </c>
      <c r="Q1676" s="2">
        <f t="shared" si="6"/>
        <v>-3</v>
      </c>
      <c r="R1676" s="2" t="str">
        <f>VLOOKUP(J1676,Equipes!A:B,2,0)</f>
        <v>Fluminense</v>
      </c>
      <c r="S1676" s="6" t="s">
        <v>579</v>
      </c>
      <c r="T1676" s="7">
        <v>21.0</v>
      </c>
      <c r="U1676" s="7" t="s">
        <v>580</v>
      </c>
      <c r="V1676" s="7" t="str">
        <f>VLOOKUP(U1676,Jogadores!B:C,2,0)</f>
        <v>FW</v>
      </c>
      <c r="W1676" s="8">
        <f>VLOOKUP(U1676,Jogadores!B:D,3,0)</f>
        <v>27.86849315</v>
      </c>
      <c r="X1676" s="7">
        <v>0.0</v>
      </c>
      <c r="Y1676" s="7">
        <f t="shared" ref="Y1676:Y1686" si="5261">45+AB1676</f>
        <v>99</v>
      </c>
      <c r="Z1676" s="7">
        <f>VLOOKUP(A1676,Jogos!A:L,3,0)</f>
        <v>52</v>
      </c>
      <c r="AA1676" s="7">
        <f t="shared" si="4815"/>
        <v>52</v>
      </c>
      <c r="AB1676" s="7">
        <f>VLOOKUP(A1676,Jogos!A:L,4,0)</f>
        <v>54</v>
      </c>
      <c r="AC1676" s="7">
        <f t="shared" si="5062"/>
        <v>54</v>
      </c>
      <c r="AD1676" s="7"/>
      <c r="AE1676" s="7"/>
      <c r="AF1676" s="7">
        <f t="shared" si="4566"/>
        <v>106</v>
      </c>
      <c r="AG1676" s="7">
        <v>9163.6</v>
      </c>
      <c r="AH1676" s="7">
        <v>5000.0</v>
      </c>
      <c r="AI1676" s="7">
        <v>3096.1</v>
      </c>
      <c r="AJ1676" s="7">
        <v>740.4</v>
      </c>
      <c r="AK1676" s="7">
        <v>261.6</v>
      </c>
      <c r="AL1676" s="7">
        <v>65.5</v>
      </c>
      <c r="AM1676" s="7">
        <v>67.0</v>
      </c>
      <c r="AN1676" s="7">
        <v>25.0</v>
      </c>
      <c r="AO1676" s="7">
        <v>28.9</v>
      </c>
      <c r="AP1676" s="9">
        <f t="shared" ref="AP1676:AR1676" si="5258">AG1676/$AF1676</f>
        <v>86.4490566</v>
      </c>
      <c r="AQ1676" s="9">
        <f t="shared" si="5258"/>
        <v>47.16981132</v>
      </c>
      <c r="AR1676" s="9">
        <f t="shared" si="5258"/>
        <v>29.20849057</v>
      </c>
      <c r="AS1676" s="9">
        <f t="shared" si="4568"/>
        <v>76.37830189</v>
      </c>
      <c r="AT1676" s="9">
        <f t="shared" ref="AT1676:AV1676" si="5259">AJ1676/$AF1676</f>
        <v>6.98490566</v>
      </c>
      <c r="AU1676" s="9">
        <f t="shared" si="5259"/>
        <v>2.467924528</v>
      </c>
      <c r="AV1676" s="9">
        <f t="shared" si="5259"/>
        <v>0.6179245283</v>
      </c>
      <c r="AW1676" s="9">
        <f t="shared" si="4570"/>
        <v>3.085849057</v>
      </c>
      <c r="AX1676" s="9">
        <f t="shared" ref="AX1676:AY1676" si="5260">AM1676/$AF1676</f>
        <v>0.6320754717</v>
      </c>
      <c r="AY1676" s="9">
        <f t="shared" si="5260"/>
        <v>0.2358490566</v>
      </c>
      <c r="AZ1676" s="9">
        <f>VLOOKUP(A1676,Jogos!A:BN,58,0)</f>
        <v>28.43</v>
      </c>
      <c r="BA1676" s="9">
        <f>VLOOKUP(A1676,Jogos!A:BN,59,0)</f>
        <v>23.98</v>
      </c>
      <c r="BB1676" s="9">
        <f>VLOOKUP(A1676,Jogos!A:BN,60,0)</f>
        <v>76.5</v>
      </c>
      <c r="BC1676" s="9">
        <f>VLOOKUP(A1676,Jogos!A:BN,61,0)</f>
        <v>27.865</v>
      </c>
      <c r="BD1676" s="9">
        <f>VLOOKUP(A1676,Jogos!A:BN,62,0)</f>
        <v>339.6</v>
      </c>
      <c r="BE1676" s="9">
        <f>VLOOKUP(A1676,Jogos!A:BN,63,0)</f>
        <v>0.415</v>
      </c>
      <c r="BF1676" s="9">
        <f>VLOOKUP(A1676,Jogos!A:BN,64,0)</f>
        <v>25.63</v>
      </c>
      <c r="BG1676" s="9">
        <f>VLOOKUP(A1676,Jogos!A:BN,65,0)</f>
        <v>45.08</v>
      </c>
      <c r="BH1676" s="9">
        <f>VLOOKUP(A1676,Jogos!A:BN,66,0)</f>
        <v>29.8</v>
      </c>
      <c r="BI1676" s="9"/>
      <c r="BJ1676" s="9"/>
    </row>
    <row r="1677" hidden="1">
      <c r="A1677" s="2">
        <v>57.0</v>
      </c>
      <c r="B1677" s="2" t="s">
        <v>1380</v>
      </c>
      <c r="C1677" s="2" t="s">
        <v>1351</v>
      </c>
      <c r="D1677" s="3">
        <v>45842.0</v>
      </c>
      <c r="E1677" s="4">
        <v>0.625</v>
      </c>
      <c r="F1677" s="5" t="str">
        <f>VLOOKUP(A1677,Jogos!A:N,10,0)</f>
        <v>Afternoon</v>
      </c>
      <c r="G1677" s="2" t="s">
        <v>1269</v>
      </c>
      <c r="H1677" s="6" t="str">
        <f>VLOOKUP(A1677,Jogos!A:L,12,0)</f>
        <v>Open</v>
      </c>
      <c r="I1677" s="6" t="str">
        <f>VLOOKUP(G1677,'Estádios e Cidades'!A:B,2,0)</f>
        <v>Orlando</v>
      </c>
      <c r="J1677" s="2" t="s">
        <v>563</v>
      </c>
      <c r="K1677" s="2" t="str">
        <f>VLOOKUP(J1677,Equipes!A:F,6,0)</f>
        <v>Tropical</v>
      </c>
      <c r="L1677" s="2">
        <f>VLOOKUP(J1677,Equipes!A:C,3,0)</f>
        <v>4</v>
      </c>
      <c r="M1677" s="2" t="str">
        <f t="shared" si="4"/>
        <v>Semi-final</v>
      </c>
      <c r="N1677" s="2" t="s">
        <v>874</v>
      </c>
      <c r="O1677" s="2">
        <f>VLOOKUP(N1677,Equipes!A:C,3,0)</f>
        <v>7</v>
      </c>
      <c r="P1677" s="2" t="str">
        <f t="shared" si="5"/>
        <v>Quarter-final</v>
      </c>
      <c r="Q1677" s="2">
        <f t="shared" si="6"/>
        <v>-3</v>
      </c>
      <c r="R1677" s="2" t="str">
        <f>VLOOKUP(J1677,Equipes!A:B,2,0)</f>
        <v>Fluminense</v>
      </c>
      <c r="S1677" s="6" t="s">
        <v>581</v>
      </c>
      <c r="T1677" s="7">
        <v>22.0</v>
      </c>
      <c r="U1677" s="7" t="s">
        <v>582</v>
      </c>
      <c r="V1677" s="7" t="str">
        <f>VLOOKUP(U1677,Jogadores!B:C,2,0)</f>
        <v>DF</v>
      </c>
      <c r="W1677" s="8">
        <f>VLOOKUP(U1677,Jogadores!B:D,3,0)</f>
        <v>25.56164384</v>
      </c>
      <c r="X1677" s="7">
        <v>0.0</v>
      </c>
      <c r="Y1677" s="7">
        <f t="shared" si="5261"/>
        <v>99</v>
      </c>
      <c r="Z1677" s="7">
        <f>VLOOKUP(A1677,Jogos!A:L,3,0)</f>
        <v>52</v>
      </c>
      <c r="AA1677" s="7">
        <f t="shared" si="4815"/>
        <v>52</v>
      </c>
      <c r="AB1677" s="7">
        <f>VLOOKUP(A1677,Jogos!A:L,4,0)</f>
        <v>54</v>
      </c>
      <c r="AC1677" s="7">
        <f t="shared" si="5062"/>
        <v>54</v>
      </c>
      <c r="AD1677" s="7"/>
      <c r="AE1677" s="7"/>
      <c r="AF1677" s="7">
        <f t="shared" si="4566"/>
        <v>106</v>
      </c>
      <c r="AG1677" s="7">
        <v>8918.0</v>
      </c>
      <c r="AH1677" s="7">
        <v>4257.4</v>
      </c>
      <c r="AI1677" s="7">
        <v>3371.7</v>
      </c>
      <c r="AJ1677" s="7">
        <v>829.5</v>
      </c>
      <c r="AK1677" s="7">
        <v>368.0</v>
      </c>
      <c r="AL1677" s="7">
        <v>91.5</v>
      </c>
      <c r="AM1677" s="7">
        <v>77.0</v>
      </c>
      <c r="AN1677" s="7">
        <v>28.0</v>
      </c>
      <c r="AO1677" s="7">
        <v>30.8</v>
      </c>
      <c r="AP1677" s="9">
        <f t="shared" ref="AP1677:AR1677" si="5262">AG1677/$AF1677</f>
        <v>84.13207547</v>
      </c>
      <c r="AQ1677" s="9">
        <f t="shared" si="5262"/>
        <v>40.16415094</v>
      </c>
      <c r="AR1677" s="9">
        <f t="shared" si="5262"/>
        <v>31.80849057</v>
      </c>
      <c r="AS1677" s="9">
        <f t="shared" si="4568"/>
        <v>71.97264151</v>
      </c>
      <c r="AT1677" s="9">
        <f t="shared" ref="AT1677:AV1677" si="5263">AJ1677/$AF1677</f>
        <v>7.825471698</v>
      </c>
      <c r="AU1677" s="9">
        <f t="shared" si="5263"/>
        <v>3.471698113</v>
      </c>
      <c r="AV1677" s="9">
        <f t="shared" si="5263"/>
        <v>0.8632075472</v>
      </c>
      <c r="AW1677" s="9">
        <f t="shared" si="4570"/>
        <v>4.33490566</v>
      </c>
      <c r="AX1677" s="9">
        <f t="shared" ref="AX1677:AY1677" si="5264">AM1677/$AF1677</f>
        <v>0.7264150943</v>
      </c>
      <c r="AY1677" s="9">
        <f t="shared" si="5264"/>
        <v>0.2641509434</v>
      </c>
      <c r="AZ1677" s="9">
        <f>VLOOKUP(A1677,Jogos!A:BN,58,0)</f>
        <v>28.43</v>
      </c>
      <c r="BA1677" s="9">
        <f>VLOOKUP(A1677,Jogos!A:BN,59,0)</f>
        <v>23.98</v>
      </c>
      <c r="BB1677" s="9">
        <f>VLOOKUP(A1677,Jogos!A:BN,60,0)</f>
        <v>76.5</v>
      </c>
      <c r="BC1677" s="9">
        <f>VLOOKUP(A1677,Jogos!A:BN,61,0)</f>
        <v>27.865</v>
      </c>
      <c r="BD1677" s="9">
        <f>VLOOKUP(A1677,Jogos!A:BN,62,0)</f>
        <v>339.6</v>
      </c>
      <c r="BE1677" s="9">
        <f>VLOOKUP(A1677,Jogos!A:BN,63,0)</f>
        <v>0.415</v>
      </c>
      <c r="BF1677" s="9">
        <f>VLOOKUP(A1677,Jogos!A:BN,64,0)</f>
        <v>25.63</v>
      </c>
      <c r="BG1677" s="9">
        <f>VLOOKUP(A1677,Jogos!A:BN,65,0)</f>
        <v>45.08</v>
      </c>
      <c r="BH1677" s="9">
        <f>VLOOKUP(A1677,Jogos!A:BN,66,0)</f>
        <v>29.8</v>
      </c>
      <c r="BI1677" s="9"/>
      <c r="BJ1677" s="9"/>
    </row>
    <row r="1678" hidden="1">
      <c r="A1678" s="2">
        <v>57.0</v>
      </c>
      <c r="B1678" s="2" t="s">
        <v>1380</v>
      </c>
      <c r="C1678" s="2" t="s">
        <v>1351</v>
      </c>
      <c r="D1678" s="3">
        <v>45842.0</v>
      </c>
      <c r="E1678" s="4">
        <v>0.625</v>
      </c>
      <c r="F1678" s="5" t="str">
        <f>VLOOKUP(A1678,Jogos!A:N,10,0)</f>
        <v>Afternoon</v>
      </c>
      <c r="G1678" s="2" t="s">
        <v>1269</v>
      </c>
      <c r="H1678" s="6" t="str">
        <f>VLOOKUP(A1678,Jogos!A:L,12,0)</f>
        <v>Open</v>
      </c>
      <c r="I1678" s="6" t="str">
        <f>VLOOKUP(G1678,'Estádios e Cidades'!A:B,2,0)</f>
        <v>Orlando</v>
      </c>
      <c r="J1678" s="2" t="s">
        <v>563</v>
      </c>
      <c r="K1678" s="2" t="str">
        <f>VLOOKUP(J1678,Equipes!A:F,6,0)</f>
        <v>Tropical</v>
      </c>
      <c r="L1678" s="2">
        <f>VLOOKUP(J1678,Equipes!A:C,3,0)</f>
        <v>4</v>
      </c>
      <c r="M1678" s="2" t="str">
        <f t="shared" si="4"/>
        <v>Semi-final</v>
      </c>
      <c r="N1678" s="2" t="s">
        <v>874</v>
      </c>
      <c r="O1678" s="2">
        <f>VLOOKUP(N1678,Equipes!A:C,3,0)</f>
        <v>7</v>
      </c>
      <c r="P1678" s="2" t="str">
        <f t="shared" si="5"/>
        <v>Quarter-final</v>
      </c>
      <c r="Q1678" s="2">
        <f t="shared" si="6"/>
        <v>-3</v>
      </c>
      <c r="R1678" s="2" t="str">
        <f>VLOOKUP(J1678,Equipes!A:B,2,0)</f>
        <v>Fluminense</v>
      </c>
      <c r="S1678" s="6" t="s">
        <v>573</v>
      </c>
      <c r="T1678" s="7">
        <v>9.0</v>
      </c>
      <c r="U1678" s="7" t="s">
        <v>574</v>
      </c>
      <c r="V1678" s="7" t="str">
        <f>VLOOKUP(U1678,Jogadores!B:C,2,0)</f>
        <v>FW</v>
      </c>
      <c r="W1678" s="8">
        <f>VLOOKUP(U1678,Jogadores!B:D,3,0)</f>
        <v>34.08767123</v>
      </c>
      <c r="X1678" s="7">
        <v>68.0</v>
      </c>
      <c r="Y1678" s="7">
        <f t="shared" si="5261"/>
        <v>99</v>
      </c>
      <c r="Z1678" s="7">
        <f>VLOOKUP(A1678,Jogos!A:L,3,0)</f>
        <v>52</v>
      </c>
      <c r="AA1678" s="7">
        <f t="shared" si="4815"/>
        <v>0</v>
      </c>
      <c r="AB1678" s="7">
        <f>VLOOKUP(A1678,Jogos!A:L,4,0)</f>
        <v>54</v>
      </c>
      <c r="AC1678" s="7">
        <f t="shared" si="5062"/>
        <v>31</v>
      </c>
      <c r="AD1678" s="7"/>
      <c r="AE1678" s="7"/>
      <c r="AF1678" s="7">
        <f t="shared" si="4566"/>
        <v>31</v>
      </c>
      <c r="AG1678" s="7">
        <v>2955.6</v>
      </c>
      <c r="AH1678" s="7">
        <v>1396.2</v>
      </c>
      <c r="AI1678" s="7">
        <v>922.5</v>
      </c>
      <c r="AJ1678" s="7">
        <v>404.2</v>
      </c>
      <c r="AK1678" s="7">
        <v>158.6</v>
      </c>
      <c r="AL1678" s="7">
        <v>74.1</v>
      </c>
      <c r="AM1678" s="7">
        <v>34.0</v>
      </c>
      <c r="AN1678" s="7">
        <v>13.0</v>
      </c>
      <c r="AO1678" s="7">
        <v>30.7</v>
      </c>
      <c r="AP1678" s="9">
        <f t="shared" ref="AP1678:AR1678" si="5265">AG1678/$AF1678</f>
        <v>95.34193548</v>
      </c>
      <c r="AQ1678" s="9">
        <f t="shared" si="5265"/>
        <v>45.03870968</v>
      </c>
      <c r="AR1678" s="9">
        <f t="shared" si="5265"/>
        <v>29.75806452</v>
      </c>
      <c r="AS1678" s="9">
        <f t="shared" si="4568"/>
        <v>74.79677419</v>
      </c>
      <c r="AT1678" s="9">
        <f t="shared" ref="AT1678:AV1678" si="5266">AJ1678/$AF1678</f>
        <v>13.03870968</v>
      </c>
      <c r="AU1678" s="9">
        <f t="shared" si="5266"/>
        <v>5.116129032</v>
      </c>
      <c r="AV1678" s="9">
        <f t="shared" si="5266"/>
        <v>2.390322581</v>
      </c>
      <c r="AW1678" s="9">
        <f t="shared" si="4570"/>
        <v>7.506451613</v>
      </c>
      <c r="AX1678" s="9">
        <f t="shared" ref="AX1678:AY1678" si="5267">AM1678/$AF1678</f>
        <v>1.096774194</v>
      </c>
      <c r="AY1678" s="9">
        <f t="shared" si="5267"/>
        <v>0.4193548387</v>
      </c>
      <c r="AZ1678" s="9">
        <f>VLOOKUP(A1678,Jogos!A:BN,58,0)</f>
        <v>28.43</v>
      </c>
      <c r="BA1678" s="9">
        <f>VLOOKUP(A1678,Jogos!A:BN,59,0)</f>
        <v>23.98</v>
      </c>
      <c r="BB1678" s="9">
        <f>VLOOKUP(A1678,Jogos!A:BN,60,0)</f>
        <v>76.5</v>
      </c>
      <c r="BC1678" s="9">
        <f>VLOOKUP(A1678,Jogos!A:BN,61,0)</f>
        <v>27.865</v>
      </c>
      <c r="BD1678" s="9">
        <f>VLOOKUP(A1678,Jogos!A:BN,62,0)</f>
        <v>339.6</v>
      </c>
      <c r="BE1678" s="9">
        <f>VLOOKUP(A1678,Jogos!A:BN,63,0)</f>
        <v>0.415</v>
      </c>
      <c r="BF1678" s="9">
        <f>VLOOKUP(A1678,Jogos!A:BN,64,0)</f>
        <v>25.63</v>
      </c>
      <c r="BG1678" s="9">
        <f>VLOOKUP(A1678,Jogos!A:BN,65,0)</f>
        <v>45.08</v>
      </c>
      <c r="BH1678" s="9">
        <f>VLOOKUP(A1678,Jogos!A:BN,66,0)</f>
        <v>29.8</v>
      </c>
      <c r="BI1678" s="9"/>
      <c r="BJ1678" s="9"/>
    </row>
    <row r="1679" hidden="1">
      <c r="A1679" s="2">
        <v>57.0</v>
      </c>
      <c r="B1679" s="2" t="s">
        <v>1380</v>
      </c>
      <c r="C1679" s="2" t="s">
        <v>1351</v>
      </c>
      <c r="D1679" s="3">
        <v>45842.0</v>
      </c>
      <c r="E1679" s="4">
        <v>0.625</v>
      </c>
      <c r="F1679" s="5" t="str">
        <f>VLOOKUP(A1679,Jogos!A:N,10,0)</f>
        <v>Afternoon</v>
      </c>
      <c r="G1679" s="2" t="s">
        <v>1269</v>
      </c>
      <c r="H1679" s="6" t="str">
        <f>VLOOKUP(A1679,Jogos!A:L,12,0)</f>
        <v>Open</v>
      </c>
      <c r="I1679" s="6" t="str">
        <f>VLOOKUP(G1679,'Estádios e Cidades'!A:B,2,0)</f>
        <v>Orlando</v>
      </c>
      <c r="J1679" s="2" t="s">
        <v>563</v>
      </c>
      <c r="K1679" s="2" t="str">
        <f>VLOOKUP(J1679,Equipes!A:F,6,0)</f>
        <v>Tropical</v>
      </c>
      <c r="L1679" s="2">
        <f>VLOOKUP(J1679,Equipes!A:C,3,0)</f>
        <v>4</v>
      </c>
      <c r="M1679" s="2" t="str">
        <f t="shared" si="4"/>
        <v>Semi-final</v>
      </c>
      <c r="N1679" s="2" t="s">
        <v>874</v>
      </c>
      <c r="O1679" s="2">
        <f>VLOOKUP(N1679,Equipes!A:C,3,0)</f>
        <v>7</v>
      </c>
      <c r="P1679" s="2" t="str">
        <f t="shared" si="5"/>
        <v>Quarter-final</v>
      </c>
      <c r="Q1679" s="2">
        <f t="shared" si="6"/>
        <v>-3</v>
      </c>
      <c r="R1679" s="2" t="str">
        <f>VLOOKUP(J1679,Equipes!A:B,2,0)</f>
        <v>Fluminense</v>
      </c>
      <c r="S1679" s="6" t="s">
        <v>1168</v>
      </c>
      <c r="T1679" s="7">
        <v>23.0</v>
      </c>
      <c r="U1679" s="7" t="s">
        <v>1169</v>
      </c>
      <c r="V1679" s="7" t="str">
        <f>VLOOKUP(U1679,Jogadores!B:C,2,0)</f>
        <v>DF</v>
      </c>
      <c r="W1679" s="8">
        <f>VLOOKUP(U1679,Jogadores!B:D,3,0)</f>
        <v>26.93150685</v>
      </c>
      <c r="X1679" s="7">
        <v>83.0</v>
      </c>
      <c r="Y1679" s="7">
        <f t="shared" si="5261"/>
        <v>99</v>
      </c>
      <c r="Z1679" s="7">
        <f>VLOOKUP(A1679,Jogos!A:L,3,0)</f>
        <v>52</v>
      </c>
      <c r="AA1679" s="7">
        <f t="shared" si="4815"/>
        <v>0</v>
      </c>
      <c r="AB1679" s="7">
        <f>VLOOKUP(A1679,Jogos!A:L,4,0)</f>
        <v>54</v>
      </c>
      <c r="AC1679" s="7">
        <f t="shared" si="5062"/>
        <v>16</v>
      </c>
      <c r="AD1679" s="7"/>
      <c r="AE1679" s="7"/>
      <c r="AF1679" s="7">
        <f t="shared" si="4566"/>
        <v>16</v>
      </c>
      <c r="AG1679" s="7">
        <v>1506.9</v>
      </c>
      <c r="AH1679" s="7">
        <v>706.6</v>
      </c>
      <c r="AI1679" s="7">
        <v>524.4</v>
      </c>
      <c r="AJ1679" s="7">
        <v>164.5</v>
      </c>
      <c r="AK1679" s="7">
        <v>64.9</v>
      </c>
      <c r="AL1679" s="7">
        <v>46.5</v>
      </c>
      <c r="AM1679" s="7">
        <v>15.0</v>
      </c>
      <c r="AN1679" s="7">
        <v>6.0</v>
      </c>
      <c r="AO1679" s="7">
        <v>31.2</v>
      </c>
      <c r="AP1679" s="9">
        <f t="shared" ref="AP1679:AR1679" si="5268">AG1679/$AF1679</f>
        <v>94.18125</v>
      </c>
      <c r="AQ1679" s="9">
        <f t="shared" si="5268"/>
        <v>44.1625</v>
      </c>
      <c r="AR1679" s="9">
        <f t="shared" si="5268"/>
        <v>32.775</v>
      </c>
      <c r="AS1679" s="9">
        <f t="shared" si="4568"/>
        <v>76.9375</v>
      </c>
      <c r="AT1679" s="9">
        <f t="shared" ref="AT1679:AV1679" si="5269">AJ1679/$AF1679</f>
        <v>10.28125</v>
      </c>
      <c r="AU1679" s="9">
        <f t="shared" si="5269"/>
        <v>4.05625</v>
      </c>
      <c r="AV1679" s="9">
        <f t="shared" si="5269"/>
        <v>2.90625</v>
      </c>
      <c r="AW1679" s="9">
        <f t="shared" si="4570"/>
        <v>6.9625</v>
      </c>
      <c r="AX1679" s="9">
        <f t="shared" ref="AX1679:AY1679" si="5270">AM1679/$AF1679</f>
        <v>0.9375</v>
      </c>
      <c r="AY1679" s="9">
        <f t="shared" si="5270"/>
        <v>0.375</v>
      </c>
      <c r="AZ1679" s="9">
        <f>VLOOKUP(A1679,Jogos!A:BN,58,0)</f>
        <v>28.43</v>
      </c>
      <c r="BA1679" s="9">
        <f>VLOOKUP(A1679,Jogos!A:BN,59,0)</f>
        <v>23.98</v>
      </c>
      <c r="BB1679" s="9">
        <f>VLOOKUP(A1679,Jogos!A:BN,60,0)</f>
        <v>76.5</v>
      </c>
      <c r="BC1679" s="9">
        <f>VLOOKUP(A1679,Jogos!A:BN,61,0)</f>
        <v>27.865</v>
      </c>
      <c r="BD1679" s="9">
        <f>VLOOKUP(A1679,Jogos!A:BN,62,0)</f>
        <v>339.6</v>
      </c>
      <c r="BE1679" s="9">
        <f>VLOOKUP(A1679,Jogos!A:BN,63,0)</f>
        <v>0.415</v>
      </c>
      <c r="BF1679" s="9">
        <f>VLOOKUP(A1679,Jogos!A:BN,64,0)</f>
        <v>25.63</v>
      </c>
      <c r="BG1679" s="9">
        <f>VLOOKUP(A1679,Jogos!A:BN,65,0)</f>
        <v>45.08</v>
      </c>
      <c r="BH1679" s="9">
        <f>VLOOKUP(A1679,Jogos!A:BN,66,0)</f>
        <v>29.8</v>
      </c>
      <c r="BI1679" s="9"/>
      <c r="BJ1679" s="9"/>
    </row>
    <row r="1680" hidden="1">
      <c r="A1680" s="2">
        <v>57.0</v>
      </c>
      <c r="B1680" s="2" t="s">
        <v>1380</v>
      </c>
      <c r="C1680" s="2" t="s">
        <v>1351</v>
      </c>
      <c r="D1680" s="3">
        <v>45842.0</v>
      </c>
      <c r="E1680" s="4">
        <v>0.625</v>
      </c>
      <c r="F1680" s="5" t="str">
        <f>VLOOKUP(A1680,Jogos!A:N,10,0)</f>
        <v>Afternoon</v>
      </c>
      <c r="G1680" s="2" t="s">
        <v>1269</v>
      </c>
      <c r="H1680" s="6" t="str">
        <f>VLOOKUP(A1680,Jogos!A:L,12,0)</f>
        <v>Open</v>
      </c>
      <c r="I1680" s="6" t="str">
        <f>VLOOKUP(G1680,'Estádios e Cidades'!A:B,2,0)</f>
        <v>Orlando</v>
      </c>
      <c r="J1680" s="2" t="s">
        <v>563</v>
      </c>
      <c r="K1680" s="2" t="str">
        <f>VLOOKUP(J1680,Equipes!A:F,6,0)</f>
        <v>Tropical</v>
      </c>
      <c r="L1680" s="2">
        <f>VLOOKUP(J1680,Equipes!A:C,3,0)</f>
        <v>4</v>
      </c>
      <c r="M1680" s="2" t="str">
        <f t="shared" si="4"/>
        <v>Semi-final</v>
      </c>
      <c r="N1680" s="2" t="s">
        <v>874</v>
      </c>
      <c r="O1680" s="2">
        <f>VLOOKUP(N1680,Equipes!A:C,3,0)</f>
        <v>7</v>
      </c>
      <c r="P1680" s="2" t="str">
        <f t="shared" si="5"/>
        <v>Quarter-final</v>
      </c>
      <c r="Q1680" s="2">
        <f t="shared" si="6"/>
        <v>-3</v>
      </c>
      <c r="R1680" s="2" t="str">
        <f>VLOOKUP(J1680,Equipes!A:B,2,0)</f>
        <v>Fluminense</v>
      </c>
      <c r="S1680" s="6" t="s">
        <v>1307</v>
      </c>
      <c r="T1680" s="7">
        <v>29.0</v>
      </c>
      <c r="U1680" s="7" t="s">
        <v>1308</v>
      </c>
      <c r="V1680" s="7" t="str">
        <f>VLOOKUP(U1680,Jogadores!B:C,2,0)</f>
        <v>DF</v>
      </c>
      <c r="W1680" s="8">
        <f>VLOOKUP(U1680,Jogadores!B:D,3,0)</f>
        <v>36.26575342</v>
      </c>
      <c r="X1680" s="7">
        <v>88.0</v>
      </c>
      <c r="Y1680" s="7">
        <f t="shared" si="5261"/>
        <v>99</v>
      </c>
      <c r="Z1680" s="7">
        <f>VLOOKUP(A1680,Jogos!A:L,3,0)</f>
        <v>52</v>
      </c>
      <c r="AA1680" s="7">
        <f t="shared" si="4815"/>
        <v>0</v>
      </c>
      <c r="AB1680" s="7">
        <f>VLOOKUP(A1680,Jogos!A:L,4,0)</f>
        <v>54</v>
      </c>
      <c r="AC1680" s="7">
        <f t="shared" si="5062"/>
        <v>11</v>
      </c>
      <c r="AD1680" s="7"/>
      <c r="AE1680" s="7"/>
      <c r="AF1680" s="7">
        <f t="shared" si="4566"/>
        <v>11</v>
      </c>
      <c r="AG1680" s="7">
        <v>946.3</v>
      </c>
      <c r="AH1680" s="7">
        <v>430.8</v>
      </c>
      <c r="AI1680" s="7">
        <v>400.4</v>
      </c>
      <c r="AJ1680" s="7">
        <v>103.0</v>
      </c>
      <c r="AK1680" s="7">
        <v>12.2</v>
      </c>
      <c r="AL1680" s="7">
        <v>22.2</v>
      </c>
      <c r="AM1680" s="7"/>
      <c r="AN1680" s="7"/>
      <c r="AO1680" s="7"/>
      <c r="AP1680" s="9">
        <f t="shared" ref="AP1680:AR1680" si="5271">AG1680/$AF1680</f>
        <v>86.02727273</v>
      </c>
      <c r="AQ1680" s="9">
        <f t="shared" si="5271"/>
        <v>39.16363636</v>
      </c>
      <c r="AR1680" s="9">
        <f t="shared" si="5271"/>
        <v>36.4</v>
      </c>
      <c r="AS1680" s="9">
        <f t="shared" si="4568"/>
        <v>75.56363636</v>
      </c>
      <c r="AT1680" s="9">
        <f t="shared" ref="AT1680:AV1680" si="5272">AJ1680/$AF1680</f>
        <v>9.363636364</v>
      </c>
      <c r="AU1680" s="9">
        <f t="shared" si="5272"/>
        <v>1.109090909</v>
      </c>
      <c r="AV1680" s="9">
        <f t="shared" si="5272"/>
        <v>2.018181818</v>
      </c>
      <c r="AW1680" s="9">
        <f t="shared" si="4570"/>
        <v>3.127272727</v>
      </c>
      <c r="AX1680" s="9">
        <f t="shared" ref="AX1680:AY1680" si="5273">AM1680/$AF1680</f>
        <v>0</v>
      </c>
      <c r="AY1680" s="9">
        <f t="shared" si="5273"/>
        <v>0</v>
      </c>
      <c r="AZ1680" s="9">
        <f>VLOOKUP(A1680,Jogos!A:BN,58,0)</f>
        <v>28.43</v>
      </c>
      <c r="BA1680" s="9">
        <f>VLOOKUP(A1680,Jogos!A:BN,59,0)</f>
        <v>23.98</v>
      </c>
      <c r="BB1680" s="9">
        <f>VLOOKUP(A1680,Jogos!A:BN,60,0)</f>
        <v>76.5</v>
      </c>
      <c r="BC1680" s="9">
        <f>VLOOKUP(A1680,Jogos!A:BN,61,0)</f>
        <v>27.865</v>
      </c>
      <c r="BD1680" s="9">
        <f>VLOOKUP(A1680,Jogos!A:BN,62,0)</f>
        <v>339.6</v>
      </c>
      <c r="BE1680" s="9">
        <f>VLOOKUP(A1680,Jogos!A:BN,63,0)</f>
        <v>0.415</v>
      </c>
      <c r="BF1680" s="9">
        <f>VLOOKUP(A1680,Jogos!A:BN,64,0)</f>
        <v>25.63</v>
      </c>
      <c r="BG1680" s="9">
        <f>VLOOKUP(A1680,Jogos!A:BN,65,0)</f>
        <v>45.08</v>
      </c>
      <c r="BH1680" s="9">
        <f>VLOOKUP(A1680,Jogos!A:BN,66,0)</f>
        <v>29.8</v>
      </c>
      <c r="BI1680" s="9"/>
      <c r="BJ1680" s="9"/>
    </row>
    <row r="1681" hidden="1">
      <c r="A1681" s="2">
        <v>57.0</v>
      </c>
      <c r="B1681" s="2" t="s">
        <v>1380</v>
      </c>
      <c r="C1681" s="2" t="s">
        <v>1351</v>
      </c>
      <c r="D1681" s="3">
        <v>45842.0</v>
      </c>
      <c r="E1681" s="4">
        <v>0.625</v>
      </c>
      <c r="F1681" s="5" t="str">
        <f>VLOOKUP(A1681,Jogos!A:N,10,0)</f>
        <v>Afternoon</v>
      </c>
      <c r="G1681" s="2" t="s">
        <v>1269</v>
      </c>
      <c r="H1681" s="6" t="str">
        <f>VLOOKUP(A1681,Jogos!A:L,12,0)</f>
        <v>Open</v>
      </c>
      <c r="I1681" s="6" t="str">
        <f>VLOOKUP(G1681,'Estádios e Cidades'!A:B,2,0)</f>
        <v>Orlando</v>
      </c>
      <c r="J1681" s="2" t="s">
        <v>563</v>
      </c>
      <c r="K1681" s="2" t="str">
        <f>VLOOKUP(J1681,Equipes!A:F,6,0)</f>
        <v>Tropical</v>
      </c>
      <c r="L1681" s="2">
        <f>VLOOKUP(J1681,Equipes!A:C,3,0)</f>
        <v>4</v>
      </c>
      <c r="M1681" s="2" t="str">
        <f t="shared" si="4"/>
        <v>Semi-final</v>
      </c>
      <c r="N1681" s="2" t="s">
        <v>874</v>
      </c>
      <c r="O1681" s="2">
        <f>VLOOKUP(N1681,Equipes!A:C,3,0)</f>
        <v>7</v>
      </c>
      <c r="P1681" s="2" t="str">
        <f t="shared" si="5"/>
        <v>Quarter-final</v>
      </c>
      <c r="Q1681" s="2">
        <f t="shared" si="6"/>
        <v>-3</v>
      </c>
      <c r="R1681" s="2" t="str">
        <f>VLOOKUP(J1681,Equipes!A:B,2,0)</f>
        <v>Fluminense</v>
      </c>
      <c r="S1681" s="6" t="s">
        <v>583</v>
      </c>
      <c r="T1681" s="7">
        <v>35.0</v>
      </c>
      <c r="U1681" s="7" t="s">
        <v>584</v>
      </c>
      <c r="V1681" s="7" t="str">
        <f>VLOOKUP(U1681,Jogadores!B:C,2,0)</f>
        <v>MF</v>
      </c>
      <c r="W1681" s="8">
        <f>VLOOKUP(U1681,Jogadores!B:D,3,0)</f>
        <v>24.78630137</v>
      </c>
      <c r="X1681" s="7">
        <v>45.0</v>
      </c>
      <c r="Y1681" s="7">
        <f t="shared" si="5261"/>
        <v>99</v>
      </c>
      <c r="Z1681" s="7">
        <f>VLOOKUP(A1681,Jogos!A:L,3,0)</f>
        <v>52</v>
      </c>
      <c r="AA1681" s="7">
        <f t="shared" si="4815"/>
        <v>0</v>
      </c>
      <c r="AB1681" s="7">
        <f>VLOOKUP(A1681,Jogos!A:L,4,0)</f>
        <v>54</v>
      </c>
      <c r="AC1681" s="7">
        <f t="shared" si="5062"/>
        <v>54</v>
      </c>
      <c r="AD1681" s="7"/>
      <c r="AE1681" s="7"/>
      <c r="AF1681" s="7">
        <f t="shared" si="4566"/>
        <v>54</v>
      </c>
      <c r="AG1681" s="7">
        <v>5151.6</v>
      </c>
      <c r="AH1681" s="7">
        <v>2273.6</v>
      </c>
      <c r="AI1681" s="7">
        <v>2045.4</v>
      </c>
      <c r="AJ1681" s="7">
        <v>493.4</v>
      </c>
      <c r="AK1681" s="7">
        <v>255.6</v>
      </c>
      <c r="AL1681" s="7">
        <v>83.6</v>
      </c>
      <c r="AM1681" s="7">
        <v>52.0</v>
      </c>
      <c r="AN1681" s="7">
        <v>17.0</v>
      </c>
      <c r="AO1681" s="7">
        <v>30.1</v>
      </c>
      <c r="AP1681" s="9">
        <f t="shared" ref="AP1681:AR1681" si="5274">AG1681/$AF1681</f>
        <v>95.4</v>
      </c>
      <c r="AQ1681" s="9">
        <f t="shared" si="5274"/>
        <v>42.1037037</v>
      </c>
      <c r="AR1681" s="9">
        <f t="shared" si="5274"/>
        <v>37.87777778</v>
      </c>
      <c r="AS1681" s="9">
        <f t="shared" si="4568"/>
        <v>79.98148148</v>
      </c>
      <c r="AT1681" s="9">
        <f t="shared" ref="AT1681:AV1681" si="5275">AJ1681/$AF1681</f>
        <v>9.137037037</v>
      </c>
      <c r="AU1681" s="9">
        <f t="shared" si="5275"/>
        <v>4.733333333</v>
      </c>
      <c r="AV1681" s="9">
        <f t="shared" si="5275"/>
        <v>1.548148148</v>
      </c>
      <c r="AW1681" s="9">
        <f t="shared" si="4570"/>
        <v>6.281481481</v>
      </c>
      <c r="AX1681" s="9">
        <f t="shared" ref="AX1681:AY1681" si="5276">AM1681/$AF1681</f>
        <v>0.962962963</v>
      </c>
      <c r="AY1681" s="9">
        <f t="shared" si="5276"/>
        <v>0.3148148148</v>
      </c>
      <c r="AZ1681" s="9">
        <f>VLOOKUP(A1681,Jogos!A:BN,58,0)</f>
        <v>28.43</v>
      </c>
      <c r="BA1681" s="9">
        <f>VLOOKUP(A1681,Jogos!A:BN,59,0)</f>
        <v>23.98</v>
      </c>
      <c r="BB1681" s="9">
        <f>VLOOKUP(A1681,Jogos!A:BN,60,0)</f>
        <v>76.5</v>
      </c>
      <c r="BC1681" s="9">
        <f>VLOOKUP(A1681,Jogos!A:BN,61,0)</f>
        <v>27.865</v>
      </c>
      <c r="BD1681" s="9">
        <f>VLOOKUP(A1681,Jogos!A:BN,62,0)</f>
        <v>339.6</v>
      </c>
      <c r="BE1681" s="9">
        <f>VLOOKUP(A1681,Jogos!A:BN,63,0)</f>
        <v>0.415</v>
      </c>
      <c r="BF1681" s="9">
        <f>VLOOKUP(A1681,Jogos!A:BN,64,0)</f>
        <v>25.63</v>
      </c>
      <c r="BG1681" s="9">
        <f>VLOOKUP(A1681,Jogos!A:BN,65,0)</f>
        <v>45.08</v>
      </c>
      <c r="BH1681" s="9">
        <f>VLOOKUP(A1681,Jogos!A:BN,66,0)</f>
        <v>29.8</v>
      </c>
      <c r="BI1681" s="9"/>
      <c r="BJ1681" s="9"/>
    </row>
    <row r="1682" hidden="1">
      <c r="A1682" s="2">
        <v>57.0</v>
      </c>
      <c r="B1682" s="2" t="s">
        <v>1380</v>
      </c>
      <c r="C1682" s="2" t="s">
        <v>1351</v>
      </c>
      <c r="D1682" s="3">
        <v>45842.0</v>
      </c>
      <c r="E1682" s="4">
        <v>0.625</v>
      </c>
      <c r="F1682" s="5" t="str">
        <f>VLOOKUP(A1682,Jogos!A:N,10,0)</f>
        <v>Afternoon</v>
      </c>
      <c r="G1682" s="2" t="s">
        <v>1269</v>
      </c>
      <c r="H1682" s="6" t="str">
        <f>VLOOKUP(A1682,Jogos!A:L,12,0)</f>
        <v>Open</v>
      </c>
      <c r="I1682" s="6" t="str">
        <f>VLOOKUP(G1682,'Estádios e Cidades'!A:B,2,0)</f>
        <v>Orlando</v>
      </c>
      <c r="J1682" s="2" t="s">
        <v>563</v>
      </c>
      <c r="K1682" s="2" t="str">
        <f>VLOOKUP(J1682,Equipes!A:F,6,0)</f>
        <v>Tropical</v>
      </c>
      <c r="L1682" s="2">
        <f>VLOOKUP(J1682,Equipes!A:C,3,0)</f>
        <v>4</v>
      </c>
      <c r="M1682" s="2" t="str">
        <f t="shared" si="4"/>
        <v>Semi-final</v>
      </c>
      <c r="N1682" s="2" t="s">
        <v>874</v>
      </c>
      <c r="O1682" s="2">
        <f>VLOOKUP(N1682,Equipes!A:C,3,0)</f>
        <v>7</v>
      </c>
      <c r="P1682" s="2" t="str">
        <f t="shared" si="5"/>
        <v>Quarter-final</v>
      </c>
      <c r="Q1682" s="2">
        <f t="shared" si="6"/>
        <v>-3</v>
      </c>
      <c r="R1682" s="2" t="str">
        <f>VLOOKUP(J1682,Equipes!A:B,2,0)</f>
        <v>Fluminense</v>
      </c>
      <c r="S1682" s="6" t="s">
        <v>587</v>
      </c>
      <c r="T1682" s="7">
        <v>45.0</v>
      </c>
      <c r="U1682" s="7" t="s">
        <v>588</v>
      </c>
      <c r="V1682" s="7" t="str">
        <f>VLOOKUP(U1682,Jogadores!B:C,2,0)</f>
        <v>MF</v>
      </c>
      <c r="W1682" s="8">
        <f>VLOOKUP(U1682,Jogadores!B:D,3,0)</f>
        <v>29.14794521</v>
      </c>
      <c r="X1682" s="7">
        <v>68.0</v>
      </c>
      <c r="Y1682" s="7">
        <f t="shared" si="5261"/>
        <v>99</v>
      </c>
      <c r="Z1682" s="7">
        <f>VLOOKUP(A1682,Jogos!A:L,3,0)</f>
        <v>52</v>
      </c>
      <c r="AA1682" s="7">
        <f t="shared" si="4815"/>
        <v>0</v>
      </c>
      <c r="AB1682" s="7">
        <f>VLOOKUP(A1682,Jogos!A:L,4,0)</f>
        <v>54</v>
      </c>
      <c r="AC1682" s="7">
        <f t="shared" si="5062"/>
        <v>31</v>
      </c>
      <c r="AD1682" s="7"/>
      <c r="AE1682" s="7"/>
      <c r="AF1682" s="7">
        <f t="shared" si="4566"/>
        <v>31</v>
      </c>
      <c r="AG1682" s="7">
        <v>3025.7</v>
      </c>
      <c r="AH1682" s="7">
        <v>1216.2</v>
      </c>
      <c r="AI1682" s="7">
        <v>1258.2</v>
      </c>
      <c r="AJ1682" s="7">
        <v>434.8</v>
      </c>
      <c r="AK1682" s="7">
        <v>100.9</v>
      </c>
      <c r="AL1682" s="7">
        <v>15.7</v>
      </c>
      <c r="AM1682" s="7">
        <v>37.0</v>
      </c>
      <c r="AN1682" s="7">
        <v>8.0</v>
      </c>
      <c r="AO1682" s="7">
        <v>27.2</v>
      </c>
      <c r="AP1682" s="9">
        <f t="shared" ref="AP1682:AR1682" si="5277">AG1682/$AF1682</f>
        <v>97.60322581</v>
      </c>
      <c r="AQ1682" s="9">
        <f t="shared" si="5277"/>
        <v>39.23225806</v>
      </c>
      <c r="AR1682" s="9">
        <f t="shared" si="5277"/>
        <v>40.58709677</v>
      </c>
      <c r="AS1682" s="9">
        <f t="shared" si="4568"/>
        <v>79.81935484</v>
      </c>
      <c r="AT1682" s="9">
        <f t="shared" ref="AT1682:AV1682" si="5278">AJ1682/$AF1682</f>
        <v>14.02580645</v>
      </c>
      <c r="AU1682" s="9">
        <f t="shared" si="5278"/>
        <v>3.25483871</v>
      </c>
      <c r="AV1682" s="9">
        <f t="shared" si="5278"/>
        <v>0.5064516129</v>
      </c>
      <c r="AW1682" s="9">
        <f t="shared" si="4570"/>
        <v>3.761290323</v>
      </c>
      <c r="AX1682" s="9">
        <f t="shared" ref="AX1682:AY1682" si="5279">AM1682/$AF1682</f>
        <v>1.193548387</v>
      </c>
      <c r="AY1682" s="9">
        <f t="shared" si="5279"/>
        <v>0.2580645161</v>
      </c>
      <c r="AZ1682" s="9">
        <f>VLOOKUP(A1682,Jogos!A:BN,58,0)</f>
        <v>28.43</v>
      </c>
      <c r="BA1682" s="9">
        <f>VLOOKUP(A1682,Jogos!A:BN,59,0)</f>
        <v>23.98</v>
      </c>
      <c r="BB1682" s="9">
        <f>VLOOKUP(A1682,Jogos!A:BN,60,0)</f>
        <v>76.5</v>
      </c>
      <c r="BC1682" s="9">
        <f>VLOOKUP(A1682,Jogos!A:BN,61,0)</f>
        <v>27.865</v>
      </c>
      <c r="BD1682" s="9">
        <f>VLOOKUP(A1682,Jogos!A:BN,62,0)</f>
        <v>339.6</v>
      </c>
      <c r="BE1682" s="9">
        <f>VLOOKUP(A1682,Jogos!A:BN,63,0)</f>
        <v>0.415</v>
      </c>
      <c r="BF1682" s="9">
        <f>VLOOKUP(A1682,Jogos!A:BN,64,0)</f>
        <v>25.63</v>
      </c>
      <c r="BG1682" s="9">
        <f>VLOOKUP(A1682,Jogos!A:BN,65,0)</f>
        <v>45.08</v>
      </c>
      <c r="BH1682" s="9">
        <f>VLOOKUP(A1682,Jogos!A:BN,66,0)</f>
        <v>29.8</v>
      </c>
      <c r="BI1682" s="9"/>
      <c r="BJ1682" s="9"/>
    </row>
    <row r="1683" hidden="1">
      <c r="A1683" s="10">
        <v>57.0</v>
      </c>
      <c r="B1683" s="11" t="s">
        <v>1380</v>
      </c>
      <c r="C1683" s="2" t="s">
        <v>1351</v>
      </c>
      <c r="D1683" s="12">
        <v>45842.0</v>
      </c>
      <c r="E1683" s="13">
        <v>0.625</v>
      </c>
      <c r="F1683" s="5" t="str">
        <f>VLOOKUP(A1683,Jogos!A:N,10,0)</f>
        <v>Afternoon</v>
      </c>
      <c r="G1683" s="11" t="s">
        <v>1269</v>
      </c>
      <c r="H1683" s="6" t="str">
        <f>VLOOKUP(A1683,Jogos!A:L,12,0)</f>
        <v>Open</v>
      </c>
      <c r="I1683" s="6" t="str">
        <f>VLOOKUP(G1683,'Estádios e Cidades'!A:B,2,0)</f>
        <v>Orlando</v>
      </c>
      <c r="J1683" s="11" t="s">
        <v>874</v>
      </c>
      <c r="K1683" s="2" t="str">
        <f>VLOOKUP(J1683,Equipes!A:F,6,0)</f>
        <v>Tropical</v>
      </c>
      <c r="L1683" s="2">
        <f>VLOOKUP(J1683,Equipes!A:C,3,0)</f>
        <v>7</v>
      </c>
      <c r="M1683" s="2" t="str">
        <f t="shared" si="4"/>
        <v>Quarter-final</v>
      </c>
      <c r="N1683" s="11" t="s">
        <v>563</v>
      </c>
      <c r="O1683" s="2">
        <f>VLOOKUP(N1683,Equipes!A:C,3,0)</f>
        <v>4</v>
      </c>
      <c r="P1683" s="2" t="str">
        <f t="shared" si="5"/>
        <v>Semi-final</v>
      </c>
      <c r="Q1683" s="2">
        <f t="shared" si="6"/>
        <v>3</v>
      </c>
      <c r="R1683" s="2" t="str">
        <f>VLOOKUP(J1683,Equipes!A:B,2,0)</f>
        <v>AlHilal</v>
      </c>
      <c r="S1683" s="14" t="s">
        <v>905</v>
      </c>
      <c r="T1683" s="7">
        <v>3.0</v>
      </c>
      <c r="U1683" s="7" t="s">
        <v>906</v>
      </c>
      <c r="V1683" s="7" t="str">
        <f>VLOOKUP(U1683,Jogadores!B:C,2,0)</f>
        <v>DF</v>
      </c>
      <c r="W1683" s="8">
        <f>VLOOKUP(U1683,Jogadores!B:D,3,0)</f>
        <v>34.12876712</v>
      </c>
      <c r="X1683" s="7">
        <v>0.0</v>
      </c>
      <c r="Y1683" s="7">
        <f t="shared" si="5261"/>
        <v>99</v>
      </c>
      <c r="Z1683" s="7">
        <f>VLOOKUP(A1683,Jogos!A:L,3,0)</f>
        <v>52</v>
      </c>
      <c r="AA1683" s="7">
        <f t="shared" si="4815"/>
        <v>52</v>
      </c>
      <c r="AB1683" s="7">
        <f>VLOOKUP(A1683,Jogos!A:L,4,0)</f>
        <v>54</v>
      </c>
      <c r="AC1683" s="7">
        <f t="shared" si="5062"/>
        <v>54</v>
      </c>
      <c r="AD1683" s="7"/>
      <c r="AE1683" s="7"/>
      <c r="AF1683" s="7">
        <f t="shared" si="4566"/>
        <v>106</v>
      </c>
      <c r="AG1683" s="7">
        <v>8335.9</v>
      </c>
      <c r="AH1683" s="7">
        <v>4487.8</v>
      </c>
      <c r="AI1683" s="7">
        <v>2689.8</v>
      </c>
      <c r="AJ1683" s="7">
        <v>855.7</v>
      </c>
      <c r="AK1683" s="7">
        <v>243.6</v>
      </c>
      <c r="AL1683" s="7">
        <v>59.0</v>
      </c>
      <c r="AM1683" s="7">
        <v>78.0</v>
      </c>
      <c r="AN1683" s="7">
        <v>21.0</v>
      </c>
      <c r="AO1683" s="7">
        <v>31.5</v>
      </c>
      <c r="AP1683" s="9">
        <f t="shared" ref="AP1683:AR1683" si="5280">AG1683/$AF1683</f>
        <v>78.64056604</v>
      </c>
      <c r="AQ1683" s="9">
        <f t="shared" si="5280"/>
        <v>42.33773585</v>
      </c>
      <c r="AR1683" s="9">
        <f t="shared" si="5280"/>
        <v>25.3754717</v>
      </c>
      <c r="AS1683" s="9">
        <f t="shared" si="4568"/>
        <v>67.71320755</v>
      </c>
      <c r="AT1683" s="9">
        <f t="shared" ref="AT1683:AV1683" si="5281">AJ1683/$AF1683</f>
        <v>8.072641509</v>
      </c>
      <c r="AU1683" s="9">
        <f t="shared" si="5281"/>
        <v>2.298113208</v>
      </c>
      <c r="AV1683" s="9">
        <f t="shared" si="5281"/>
        <v>0.5566037736</v>
      </c>
      <c r="AW1683" s="9">
        <f t="shared" si="4570"/>
        <v>2.854716981</v>
      </c>
      <c r="AX1683" s="9">
        <f t="shared" ref="AX1683:AY1683" si="5282">AM1683/$AF1683</f>
        <v>0.7358490566</v>
      </c>
      <c r="AY1683" s="9">
        <f t="shared" si="5282"/>
        <v>0.1981132075</v>
      </c>
      <c r="AZ1683" s="9">
        <f>VLOOKUP(A1683,Jogos!A:BN,58,0)</f>
        <v>28.43</v>
      </c>
      <c r="BA1683" s="9">
        <f>VLOOKUP(A1683,Jogos!A:BN,59,0)</f>
        <v>23.98</v>
      </c>
      <c r="BB1683" s="9">
        <f>VLOOKUP(A1683,Jogos!A:BN,60,0)</f>
        <v>76.5</v>
      </c>
      <c r="BC1683" s="9">
        <f>VLOOKUP(A1683,Jogos!A:BN,61,0)</f>
        <v>27.865</v>
      </c>
      <c r="BD1683" s="9">
        <f>VLOOKUP(A1683,Jogos!A:BN,62,0)</f>
        <v>339.6</v>
      </c>
      <c r="BE1683" s="9">
        <f>VLOOKUP(A1683,Jogos!A:BN,63,0)</f>
        <v>0.415</v>
      </c>
      <c r="BF1683" s="9">
        <f>VLOOKUP(A1683,Jogos!A:BN,64,0)</f>
        <v>25.63</v>
      </c>
      <c r="BG1683" s="9">
        <f>VLOOKUP(A1683,Jogos!A:BN,65,0)</f>
        <v>45.08</v>
      </c>
      <c r="BH1683" s="9">
        <f>VLOOKUP(A1683,Jogos!A:BN,66,0)</f>
        <v>29.8</v>
      </c>
      <c r="BI1683" s="9"/>
      <c r="BJ1683" s="9"/>
    </row>
    <row r="1684" hidden="1">
      <c r="A1684" s="10">
        <v>57.0</v>
      </c>
      <c r="B1684" s="11" t="s">
        <v>1380</v>
      </c>
      <c r="C1684" s="2" t="s">
        <v>1351</v>
      </c>
      <c r="D1684" s="12">
        <v>45842.0</v>
      </c>
      <c r="E1684" s="13">
        <v>0.625</v>
      </c>
      <c r="F1684" s="5" t="str">
        <f>VLOOKUP(A1684,Jogos!A:N,10,0)</f>
        <v>Afternoon</v>
      </c>
      <c r="G1684" s="11" t="s">
        <v>1269</v>
      </c>
      <c r="H1684" s="6" t="str">
        <f>VLOOKUP(A1684,Jogos!A:L,12,0)</f>
        <v>Open</v>
      </c>
      <c r="I1684" s="6" t="str">
        <f>VLOOKUP(G1684,'Estádios e Cidades'!A:B,2,0)</f>
        <v>Orlando</v>
      </c>
      <c r="J1684" s="11" t="s">
        <v>874</v>
      </c>
      <c r="K1684" s="2" t="str">
        <f>VLOOKUP(J1684,Equipes!A:F,6,0)</f>
        <v>Tropical</v>
      </c>
      <c r="L1684" s="2">
        <f>VLOOKUP(J1684,Equipes!A:C,3,0)</f>
        <v>7</v>
      </c>
      <c r="M1684" s="2" t="str">
        <f t="shared" si="4"/>
        <v>Quarter-final</v>
      </c>
      <c r="N1684" s="11" t="s">
        <v>563</v>
      </c>
      <c r="O1684" s="2">
        <f>VLOOKUP(N1684,Equipes!A:C,3,0)</f>
        <v>4</v>
      </c>
      <c r="P1684" s="2" t="str">
        <f t="shared" si="5"/>
        <v>Semi-final</v>
      </c>
      <c r="Q1684" s="2">
        <f t="shared" si="6"/>
        <v>3</v>
      </c>
      <c r="R1684" s="2" t="str">
        <f>VLOOKUP(J1684,Equipes!A:B,2,0)</f>
        <v>AlHilal</v>
      </c>
      <c r="S1684" s="6" t="s">
        <v>907</v>
      </c>
      <c r="T1684" s="7">
        <v>6.0</v>
      </c>
      <c r="U1684" s="7" t="s">
        <v>908</v>
      </c>
      <c r="V1684" s="7" t="str">
        <f>VLOOKUP(U1684,Jogadores!B:C,2,0)</f>
        <v>MF</v>
      </c>
      <c r="W1684" s="8">
        <f>VLOOKUP(U1684,Jogadores!B:D,3,0)</f>
        <v>27.32328767</v>
      </c>
      <c r="X1684" s="7">
        <v>0.0</v>
      </c>
      <c r="Y1684" s="7">
        <f t="shared" si="5261"/>
        <v>99</v>
      </c>
      <c r="Z1684" s="7">
        <f>VLOOKUP(A1684,Jogos!A:L,3,0)</f>
        <v>52</v>
      </c>
      <c r="AA1684" s="7">
        <f t="shared" si="4815"/>
        <v>52</v>
      </c>
      <c r="AB1684" s="7">
        <f>VLOOKUP(A1684,Jogos!A:L,4,0)</f>
        <v>54</v>
      </c>
      <c r="AC1684" s="7">
        <f t="shared" si="5062"/>
        <v>54</v>
      </c>
      <c r="AD1684" s="7"/>
      <c r="AE1684" s="7"/>
      <c r="AF1684" s="7">
        <f t="shared" si="4566"/>
        <v>106</v>
      </c>
      <c r="AG1684" s="7">
        <v>9735.3</v>
      </c>
      <c r="AH1684" s="7">
        <v>4690.7</v>
      </c>
      <c r="AI1684" s="7">
        <v>3328.7</v>
      </c>
      <c r="AJ1684" s="7">
        <v>1117.5</v>
      </c>
      <c r="AK1684" s="7">
        <v>484.7</v>
      </c>
      <c r="AL1684" s="7">
        <v>113.7</v>
      </c>
      <c r="AM1684" s="7">
        <v>89.0</v>
      </c>
      <c r="AN1684" s="7">
        <v>35.0</v>
      </c>
      <c r="AO1684" s="7">
        <v>30.9</v>
      </c>
      <c r="AP1684" s="9">
        <f t="shared" ref="AP1684:AR1684" si="5283">AG1684/$AF1684</f>
        <v>91.84245283</v>
      </c>
      <c r="AQ1684" s="9">
        <f t="shared" si="5283"/>
        <v>44.25188679</v>
      </c>
      <c r="AR1684" s="9">
        <f t="shared" si="5283"/>
        <v>31.40283019</v>
      </c>
      <c r="AS1684" s="9">
        <f t="shared" si="4568"/>
        <v>75.65471698</v>
      </c>
      <c r="AT1684" s="9">
        <f t="shared" ref="AT1684:AV1684" si="5284">AJ1684/$AF1684</f>
        <v>10.54245283</v>
      </c>
      <c r="AU1684" s="9">
        <f t="shared" si="5284"/>
        <v>4.572641509</v>
      </c>
      <c r="AV1684" s="9">
        <f t="shared" si="5284"/>
        <v>1.072641509</v>
      </c>
      <c r="AW1684" s="9">
        <f t="shared" si="4570"/>
        <v>5.645283019</v>
      </c>
      <c r="AX1684" s="9">
        <f t="shared" ref="AX1684:AY1684" si="5285">AM1684/$AF1684</f>
        <v>0.8396226415</v>
      </c>
      <c r="AY1684" s="9">
        <f t="shared" si="5285"/>
        <v>0.3301886792</v>
      </c>
      <c r="AZ1684" s="9">
        <f>VLOOKUP(A1684,Jogos!A:BN,58,0)</f>
        <v>28.43</v>
      </c>
      <c r="BA1684" s="9">
        <f>VLOOKUP(A1684,Jogos!A:BN,59,0)</f>
        <v>23.98</v>
      </c>
      <c r="BB1684" s="9">
        <f>VLOOKUP(A1684,Jogos!A:BN,60,0)</f>
        <v>76.5</v>
      </c>
      <c r="BC1684" s="9">
        <f>VLOOKUP(A1684,Jogos!A:BN,61,0)</f>
        <v>27.865</v>
      </c>
      <c r="BD1684" s="9">
        <f>VLOOKUP(A1684,Jogos!A:BN,62,0)</f>
        <v>339.6</v>
      </c>
      <c r="BE1684" s="9">
        <f>VLOOKUP(A1684,Jogos!A:BN,63,0)</f>
        <v>0.415</v>
      </c>
      <c r="BF1684" s="9">
        <f>VLOOKUP(A1684,Jogos!A:BN,64,0)</f>
        <v>25.63</v>
      </c>
      <c r="BG1684" s="9">
        <f>VLOOKUP(A1684,Jogos!A:BN,65,0)</f>
        <v>45.08</v>
      </c>
      <c r="BH1684" s="9">
        <f>VLOOKUP(A1684,Jogos!A:BN,66,0)</f>
        <v>29.8</v>
      </c>
      <c r="BI1684" s="9"/>
      <c r="BJ1684" s="9"/>
    </row>
    <row r="1685" hidden="1">
      <c r="A1685" s="10">
        <v>57.0</v>
      </c>
      <c r="B1685" s="11" t="s">
        <v>1380</v>
      </c>
      <c r="C1685" s="2" t="s">
        <v>1351</v>
      </c>
      <c r="D1685" s="12">
        <v>45842.0</v>
      </c>
      <c r="E1685" s="13">
        <v>0.625</v>
      </c>
      <c r="F1685" s="5" t="str">
        <f>VLOOKUP(A1685,Jogos!A:N,10,0)</f>
        <v>Afternoon</v>
      </c>
      <c r="G1685" s="11" t="s">
        <v>1269</v>
      </c>
      <c r="H1685" s="6" t="str">
        <f>VLOOKUP(A1685,Jogos!A:L,12,0)</f>
        <v>Open</v>
      </c>
      <c r="I1685" s="6" t="str">
        <f>VLOOKUP(G1685,'Estádios e Cidades'!A:B,2,0)</f>
        <v>Orlando</v>
      </c>
      <c r="J1685" s="11" t="s">
        <v>874</v>
      </c>
      <c r="K1685" s="2" t="str">
        <f>VLOOKUP(J1685,Equipes!A:F,6,0)</f>
        <v>Tropical</v>
      </c>
      <c r="L1685" s="2">
        <f>VLOOKUP(J1685,Equipes!A:C,3,0)</f>
        <v>7</v>
      </c>
      <c r="M1685" s="2" t="str">
        <f t="shared" si="4"/>
        <v>Quarter-final</v>
      </c>
      <c r="N1685" s="11" t="s">
        <v>563</v>
      </c>
      <c r="O1685" s="2">
        <f>VLOOKUP(N1685,Equipes!A:C,3,0)</f>
        <v>4</v>
      </c>
      <c r="P1685" s="2" t="str">
        <f t="shared" si="5"/>
        <v>Semi-final</v>
      </c>
      <c r="Q1685" s="2">
        <f t="shared" si="6"/>
        <v>3</v>
      </c>
      <c r="R1685" s="2" t="str">
        <f>VLOOKUP(J1685,Equipes!A:B,2,0)</f>
        <v>AlHilal</v>
      </c>
      <c r="S1685" s="6" t="s">
        <v>909</v>
      </c>
      <c r="T1685" s="7">
        <v>8.0</v>
      </c>
      <c r="U1685" s="7" t="s">
        <v>910</v>
      </c>
      <c r="V1685" s="7" t="str">
        <f>VLOOKUP(U1685,Jogadores!B:C,2,0)</f>
        <v>MF</v>
      </c>
      <c r="W1685" s="8">
        <f>VLOOKUP(U1685,Jogadores!B:D,3,0)</f>
        <v>28.39452055</v>
      </c>
      <c r="X1685" s="7">
        <v>0.0</v>
      </c>
      <c r="Y1685" s="7">
        <f t="shared" si="5261"/>
        <v>99</v>
      </c>
      <c r="Z1685" s="7">
        <f>VLOOKUP(A1685,Jogos!A:L,3,0)</f>
        <v>52</v>
      </c>
      <c r="AA1685" s="7">
        <f t="shared" si="4815"/>
        <v>52</v>
      </c>
      <c r="AB1685" s="7">
        <f>VLOOKUP(A1685,Jogos!A:L,4,0)</f>
        <v>54</v>
      </c>
      <c r="AC1685" s="7">
        <f t="shared" si="5062"/>
        <v>54</v>
      </c>
      <c r="AD1685" s="7"/>
      <c r="AE1685" s="7"/>
      <c r="AF1685" s="7">
        <f t="shared" si="4566"/>
        <v>106</v>
      </c>
      <c r="AG1685" s="7">
        <v>9921.3</v>
      </c>
      <c r="AH1685" s="7">
        <v>4507.3</v>
      </c>
      <c r="AI1685" s="7">
        <v>4223.0</v>
      </c>
      <c r="AJ1685" s="7">
        <v>902.9</v>
      </c>
      <c r="AK1685" s="7">
        <v>192.5</v>
      </c>
      <c r="AL1685" s="7">
        <v>95.5</v>
      </c>
      <c r="AM1685" s="7">
        <v>76.0</v>
      </c>
      <c r="AN1685" s="7">
        <v>16.0</v>
      </c>
      <c r="AO1685" s="7">
        <v>31.8</v>
      </c>
      <c r="AP1685" s="9">
        <f t="shared" ref="AP1685:AR1685" si="5286">AG1685/$AF1685</f>
        <v>93.59716981</v>
      </c>
      <c r="AQ1685" s="9">
        <f t="shared" si="5286"/>
        <v>42.52169811</v>
      </c>
      <c r="AR1685" s="9">
        <f t="shared" si="5286"/>
        <v>39.83962264</v>
      </c>
      <c r="AS1685" s="9">
        <f t="shared" si="4568"/>
        <v>82.36132075</v>
      </c>
      <c r="AT1685" s="9">
        <f t="shared" ref="AT1685:AV1685" si="5287">AJ1685/$AF1685</f>
        <v>8.517924528</v>
      </c>
      <c r="AU1685" s="9">
        <f t="shared" si="5287"/>
        <v>1.816037736</v>
      </c>
      <c r="AV1685" s="9">
        <f t="shared" si="5287"/>
        <v>0.9009433962</v>
      </c>
      <c r="AW1685" s="9">
        <f t="shared" si="4570"/>
        <v>2.716981132</v>
      </c>
      <c r="AX1685" s="9">
        <f t="shared" ref="AX1685:AY1685" si="5288">AM1685/$AF1685</f>
        <v>0.7169811321</v>
      </c>
      <c r="AY1685" s="9">
        <f t="shared" si="5288"/>
        <v>0.1509433962</v>
      </c>
      <c r="AZ1685" s="9">
        <f>VLOOKUP(A1685,Jogos!A:BN,58,0)</f>
        <v>28.43</v>
      </c>
      <c r="BA1685" s="9">
        <f>VLOOKUP(A1685,Jogos!A:BN,59,0)</f>
        <v>23.98</v>
      </c>
      <c r="BB1685" s="9">
        <f>VLOOKUP(A1685,Jogos!A:BN,60,0)</f>
        <v>76.5</v>
      </c>
      <c r="BC1685" s="9">
        <f>VLOOKUP(A1685,Jogos!A:BN,61,0)</f>
        <v>27.865</v>
      </c>
      <c r="BD1685" s="9">
        <f>VLOOKUP(A1685,Jogos!A:BN,62,0)</f>
        <v>339.6</v>
      </c>
      <c r="BE1685" s="9">
        <f>VLOOKUP(A1685,Jogos!A:BN,63,0)</f>
        <v>0.415</v>
      </c>
      <c r="BF1685" s="9">
        <f>VLOOKUP(A1685,Jogos!A:BN,64,0)</f>
        <v>25.63</v>
      </c>
      <c r="BG1685" s="9">
        <f>VLOOKUP(A1685,Jogos!A:BN,65,0)</f>
        <v>45.08</v>
      </c>
      <c r="BH1685" s="9">
        <f>VLOOKUP(A1685,Jogos!A:BN,66,0)</f>
        <v>29.8</v>
      </c>
      <c r="BI1685" s="9"/>
      <c r="BJ1685" s="9"/>
    </row>
    <row r="1686" hidden="1">
      <c r="A1686" s="10">
        <v>57.0</v>
      </c>
      <c r="B1686" s="11" t="s">
        <v>1380</v>
      </c>
      <c r="C1686" s="2" t="s">
        <v>1351</v>
      </c>
      <c r="D1686" s="12">
        <v>45842.0</v>
      </c>
      <c r="E1686" s="13">
        <v>0.625</v>
      </c>
      <c r="F1686" s="5" t="str">
        <f>VLOOKUP(A1686,Jogos!A:N,10,0)</f>
        <v>Afternoon</v>
      </c>
      <c r="G1686" s="11" t="s">
        <v>1269</v>
      </c>
      <c r="H1686" s="6" t="str">
        <f>VLOOKUP(A1686,Jogos!A:L,12,0)</f>
        <v>Open</v>
      </c>
      <c r="I1686" s="6" t="str">
        <f>VLOOKUP(G1686,'Estádios e Cidades'!A:B,2,0)</f>
        <v>Orlando</v>
      </c>
      <c r="J1686" s="11" t="s">
        <v>874</v>
      </c>
      <c r="K1686" s="2" t="str">
        <f>VLOOKUP(J1686,Equipes!A:F,6,0)</f>
        <v>Tropical</v>
      </c>
      <c r="L1686" s="2">
        <f>VLOOKUP(J1686,Equipes!A:C,3,0)</f>
        <v>7</v>
      </c>
      <c r="M1686" s="2" t="str">
        <f t="shared" si="4"/>
        <v>Quarter-final</v>
      </c>
      <c r="N1686" s="11" t="s">
        <v>563</v>
      </c>
      <c r="O1686" s="2">
        <f>VLOOKUP(N1686,Equipes!A:C,3,0)</f>
        <v>4</v>
      </c>
      <c r="P1686" s="2" t="str">
        <f t="shared" si="5"/>
        <v>Semi-final</v>
      </c>
      <c r="Q1686" s="2">
        <f t="shared" si="6"/>
        <v>3</v>
      </c>
      <c r="R1686" s="2" t="str">
        <f>VLOOKUP(J1686,Equipes!A:B,2,0)</f>
        <v>AlHilal</v>
      </c>
      <c r="S1686" s="6" t="s">
        <v>911</v>
      </c>
      <c r="T1686" s="7">
        <v>11.0</v>
      </c>
      <c r="U1686" s="7" t="s">
        <v>912</v>
      </c>
      <c r="V1686" s="7" t="str">
        <f>VLOOKUP(U1686,Jogadores!B:C,2,0)</f>
        <v>FW</v>
      </c>
      <c r="W1686" s="8">
        <f>VLOOKUP(U1686,Jogadores!B:D,3,0)</f>
        <v>22.25479452</v>
      </c>
      <c r="X1686" s="7">
        <v>0.0</v>
      </c>
      <c r="Y1686" s="7">
        <f t="shared" si="5261"/>
        <v>99</v>
      </c>
      <c r="Z1686" s="7">
        <f>VLOOKUP(A1686,Jogos!A:L,3,0)</f>
        <v>52</v>
      </c>
      <c r="AA1686" s="7">
        <f t="shared" si="4815"/>
        <v>52</v>
      </c>
      <c r="AB1686" s="7">
        <f>VLOOKUP(A1686,Jogos!A:L,4,0)</f>
        <v>54</v>
      </c>
      <c r="AC1686" s="7">
        <f t="shared" si="5062"/>
        <v>54</v>
      </c>
      <c r="AD1686" s="7"/>
      <c r="AE1686" s="7"/>
      <c r="AF1686" s="7">
        <f t="shared" si="4566"/>
        <v>106</v>
      </c>
      <c r="AG1686" s="7">
        <v>8818.9</v>
      </c>
      <c r="AH1686" s="7">
        <v>4436.6</v>
      </c>
      <c r="AI1686" s="7">
        <v>3230.2</v>
      </c>
      <c r="AJ1686" s="7">
        <v>680.0</v>
      </c>
      <c r="AK1686" s="7">
        <v>322.1</v>
      </c>
      <c r="AL1686" s="7">
        <v>150.1</v>
      </c>
      <c r="AM1686" s="7">
        <v>62.0</v>
      </c>
      <c r="AN1686" s="7">
        <v>31.0</v>
      </c>
      <c r="AO1686" s="7">
        <v>31.1</v>
      </c>
      <c r="AP1686" s="9">
        <f t="shared" ref="AP1686:AR1686" si="5289">AG1686/$AF1686</f>
        <v>83.19716981</v>
      </c>
      <c r="AQ1686" s="9">
        <f t="shared" si="5289"/>
        <v>41.85471698</v>
      </c>
      <c r="AR1686" s="9">
        <f t="shared" si="5289"/>
        <v>30.47358491</v>
      </c>
      <c r="AS1686" s="9">
        <f t="shared" si="4568"/>
        <v>72.32830189</v>
      </c>
      <c r="AT1686" s="9">
        <f t="shared" ref="AT1686:AV1686" si="5290">AJ1686/$AF1686</f>
        <v>6.41509434</v>
      </c>
      <c r="AU1686" s="9">
        <f t="shared" si="5290"/>
        <v>3.038679245</v>
      </c>
      <c r="AV1686" s="9">
        <f t="shared" si="5290"/>
        <v>1.416037736</v>
      </c>
      <c r="AW1686" s="9">
        <f t="shared" si="4570"/>
        <v>4.454716981</v>
      </c>
      <c r="AX1686" s="9">
        <f t="shared" ref="AX1686:AY1686" si="5291">AM1686/$AF1686</f>
        <v>0.5849056604</v>
      </c>
      <c r="AY1686" s="9">
        <f t="shared" si="5291"/>
        <v>0.2924528302</v>
      </c>
      <c r="AZ1686" s="9">
        <f>VLOOKUP(A1686,Jogos!A:BN,58,0)</f>
        <v>28.43</v>
      </c>
      <c r="BA1686" s="9">
        <f>VLOOKUP(A1686,Jogos!A:BN,59,0)</f>
        <v>23.98</v>
      </c>
      <c r="BB1686" s="9">
        <f>VLOOKUP(A1686,Jogos!A:BN,60,0)</f>
        <v>76.5</v>
      </c>
      <c r="BC1686" s="9">
        <f>VLOOKUP(A1686,Jogos!A:BN,61,0)</f>
        <v>27.865</v>
      </c>
      <c r="BD1686" s="9">
        <f>VLOOKUP(A1686,Jogos!A:BN,62,0)</f>
        <v>339.6</v>
      </c>
      <c r="BE1686" s="9">
        <f>VLOOKUP(A1686,Jogos!A:BN,63,0)</f>
        <v>0.415</v>
      </c>
      <c r="BF1686" s="9">
        <f>VLOOKUP(A1686,Jogos!A:BN,64,0)</f>
        <v>25.63</v>
      </c>
      <c r="BG1686" s="9">
        <f>VLOOKUP(A1686,Jogos!A:BN,65,0)</f>
        <v>45.08</v>
      </c>
      <c r="BH1686" s="9">
        <f>VLOOKUP(A1686,Jogos!A:BN,66,0)</f>
        <v>29.8</v>
      </c>
      <c r="BI1686" s="9"/>
      <c r="BJ1686" s="9"/>
    </row>
    <row r="1687" hidden="1">
      <c r="A1687" s="10">
        <v>57.0</v>
      </c>
      <c r="B1687" s="11" t="s">
        <v>1380</v>
      </c>
      <c r="C1687" s="2" t="s">
        <v>1351</v>
      </c>
      <c r="D1687" s="12">
        <v>45842.0</v>
      </c>
      <c r="E1687" s="13">
        <v>0.625</v>
      </c>
      <c r="F1687" s="5" t="str">
        <f>VLOOKUP(A1687,Jogos!A:N,10,0)</f>
        <v>Afternoon</v>
      </c>
      <c r="G1687" s="11" t="s">
        <v>1269</v>
      </c>
      <c r="H1687" s="6" t="str">
        <f>VLOOKUP(A1687,Jogos!A:L,12,0)</f>
        <v>Open</v>
      </c>
      <c r="I1687" s="6" t="str">
        <f>VLOOKUP(G1687,'Estádios e Cidades'!A:B,2,0)</f>
        <v>Orlando</v>
      </c>
      <c r="J1687" s="11" t="s">
        <v>874</v>
      </c>
      <c r="K1687" s="2" t="str">
        <f>VLOOKUP(J1687,Equipes!A:F,6,0)</f>
        <v>Tropical</v>
      </c>
      <c r="L1687" s="2">
        <f>VLOOKUP(J1687,Equipes!A:C,3,0)</f>
        <v>7</v>
      </c>
      <c r="M1687" s="2" t="str">
        <f t="shared" si="4"/>
        <v>Quarter-final</v>
      </c>
      <c r="N1687" s="11" t="s">
        <v>563</v>
      </c>
      <c r="O1687" s="2">
        <f>VLOOKUP(N1687,Equipes!A:C,3,0)</f>
        <v>4</v>
      </c>
      <c r="P1687" s="2" t="str">
        <f t="shared" si="5"/>
        <v>Semi-final</v>
      </c>
      <c r="Q1687" s="2">
        <f t="shared" si="6"/>
        <v>3</v>
      </c>
      <c r="R1687" s="2" t="str">
        <f>VLOOKUP(J1687,Equipes!A:B,2,0)</f>
        <v>AlHilal</v>
      </c>
      <c r="S1687" s="6" t="s">
        <v>913</v>
      </c>
      <c r="T1687" s="7">
        <v>16.0</v>
      </c>
      <c r="U1687" s="7" t="s">
        <v>914</v>
      </c>
      <c r="V1687" s="7" t="str">
        <f>VLOOKUP(U1687,Jogadores!B:C,2,0)</f>
        <v>MF</v>
      </c>
      <c r="W1687" s="8">
        <f>VLOOKUP(U1687,Jogadores!B:D,3,0)</f>
        <v>26.62465753</v>
      </c>
      <c r="X1687" s="7">
        <v>0.0</v>
      </c>
      <c r="Y1687" s="7">
        <v>83.0</v>
      </c>
      <c r="Z1687" s="7">
        <f>VLOOKUP(A1687,Jogos!A:L,3,0)</f>
        <v>52</v>
      </c>
      <c r="AA1687" s="7">
        <f t="shared" si="4815"/>
        <v>52</v>
      </c>
      <c r="AB1687" s="7">
        <f>VLOOKUP(A1687,Jogos!A:L,4,0)</f>
        <v>54</v>
      </c>
      <c r="AC1687" s="7">
        <f t="shared" si="5062"/>
        <v>38</v>
      </c>
      <c r="AD1687" s="7"/>
      <c r="AE1687" s="7"/>
      <c r="AF1687" s="7">
        <f t="shared" si="4566"/>
        <v>90</v>
      </c>
      <c r="AG1687" s="7">
        <v>8933.8</v>
      </c>
      <c r="AH1687" s="7">
        <v>3521.0</v>
      </c>
      <c r="AI1687" s="7">
        <v>3478.9</v>
      </c>
      <c r="AJ1687" s="7">
        <v>1294.1</v>
      </c>
      <c r="AK1687" s="7">
        <v>465.8</v>
      </c>
      <c r="AL1687" s="7">
        <v>174.0</v>
      </c>
      <c r="AM1687" s="7">
        <v>118.0</v>
      </c>
      <c r="AN1687" s="7">
        <v>44.0</v>
      </c>
      <c r="AO1687" s="7">
        <v>30.7</v>
      </c>
      <c r="AP1687" s="9">
        <f t="shared" ref="AP1687:AR1687" si="5292">AG1687/$AF1687</f>
        <v>99.26444444</v>
      </c>
      <c r="AQ1687" s="9">
        <f t="shared" si="5292"/>
        <v>39.12222222</v>
      </c>
      <c r="AR1687" s="9">
        <f t="shared" si="5292"/>
        <v>38.65444444</v>
      </c>
      <c r="AS1687" s="9">
        <f t="shared" si="4568"/>
        <v>77.77666667</v>
      </c>
      <c r="AT1687" s="9">
        <f t="shared" ref="AT1687:AV1687" si="5293">AJ1687/$AF1687</f>
        <v>14.37888889</v>
      </c>
      <c r="AU1687" s="9">
        <f t="shared" si="5293"/>
        <v>5.175555556</v>
      </c>
      <c r="AV1687" s="9">
        <f t="shared" si="5293"/>
        <v>1.933333333</v>
      </c>
      <c r="AW1687" s="9">
        <f t="shared" si="4570"/>
        <v>7.108888889</v>
      </c>
      <c r="AX1687" s="9">
        <f t="shared" ref="AX1687:AY1687" si="5294">AM1687/$AF1687</f>
        <v>1.311111111</v>
      </c>
      <c r="AY1687" s="9">
        <f t="shared" si="5294"/>
        <v>0.4888888889</v>
      </c>
      <c r="AZ1687" s="9">
        <f>VLOOKUP(A1687,Jogos!A:BN,58,0)</f>
        <v>28.43</v>
      </c>
      <c r="BA1687" s="9">
        <f>VLOOKUP(A1687,Jogos!A:BN,59,0)</f>
        <v>23.98</v>
      </c>
      <c r="BB1687" s="9">
        <f>VLOOKUP(A1687,Jogos!A:BN,60,0)</f>
        <v>76.5</v>
      </c>
      <c r="BC1687" s="9">
        <f>VLOOKUP(A1687,Jogos!A:BN,61,0)</f>
        <v>27.865</v>
      </c>
      <c r="BD1687" s="9">
        <f>VLOOKUP(A1687,Jogos!A:BN,62,0)</f>
        <v>339.6</v>
      </c>
      <c r="BE1687" s="9">
        <f>VLOOKUP(A1687,Jogos!A:BN,63,0)</f>
        <v>0.415</v>
      </c>
      <c r="BF1687" s="9">
        <f>VLOOKUP(A1687,Jogos!A:BN,64,0)</f>
        <v>25.63</v>
      </c>
      <c r="BG1687" s="9">
        <f>VLOOKUP(A1687,Jogos!A:BN,65,0)</f>
        <v>45.08</v>
      </c>
      <c r="BH1687" s="9">
        <f>VLOOKUP(A1687,Jogos!A:BN,66,0)</f>
        <v>29.8</v>
      </c>
      <c r="BI1687" s="9"/>
      <c r="BJ1687" s="9"/>
    </row>
    <row r="1688" hidden="1">
      <c r="A1688" s="10">
        <v>57.0</v>
      </c>
      <c r="B1688" s="11" t="s">
        <v>1380</v>
      </c>
      <c r="C1688" s="2" t="s">
        <v>1351</v>
      </c>
      <c r="D1688" s="12">
        <v>45842.0</v>
      </c>
      <c r="E1688" s="13">
        <v>0.625</v>
      </c>
      <c r="F1688" s="5" t="str">
        <f>VLOOKUP(A1688,Jogos!A:N,10,0)</f>
        <v>Afternoon</v>
      </c>
      <c r="G1688" s="11" t="s">
        <v>1269</v>
      </c>
      <c r="H1688" s="6" t="str">
        <f>VLOOKUP(A1688,Jogos!A:L,12,0)</f>
        <v>Open</v>
      </c>
      <c r="I1688" s="6" t="str">
        <f>VLOOKUP(G1688,'Estádios e Cidades'!A:B,2,0)</f>
        <v>Orlando</v>
      </c>
      <c r="J1688" s="11" t="s">
        <v>874</v>
      </c>
      <c r="K1688" s="2" t="str">
        <f>VLOOKUP(J1688,Equipes!A:F,6,0)</f>
        <v>Tropical</v>
      </c>
      <c r="L1688" s="2">
        <f>VLOOKUP(J1688,Equipes!A:C,3,0)</f>
        <v>7</v>
      </c>
      <c r="M1688" s="2" t="str">
        <f t="shared" si="4"/>
        <v>Quarter-final</v>
      </c>
      <c r="N1688" s="11" t="s">
        <v>563</v>
      </c>
      <c r="O1688" s="2">
        <f>VLOOKUP(N1688,Equipes!A:C,3,0)</f>
        <v>4</v>
      </c>
      <c r="P1688" s="2" t="str">
        <f t="shared" si="5"/>
        <v>Semi-final</v>
      </c>
      <c r="Q1688" s="2">
        <f t="shared" si="6"/>
        <v>3</v>
      </c>
      <c r="R1688" s="2" t="str">
        <f>VLOOKUP(J1688,Equipes!A:B,2,0)</f>
        <v>AlHilal</v>
      </c>
      <c r="S1688" s="6" t="s">
        <v>915</v>
      </c>
      <c r="T1688" s="7">
        <v>20.0</v>
      </c>
      <c r="U1688" s="7" t="s">
        <v>916</v>
      </c>
      <c r="V1688" s="7" t="str">
        <f>VLOOKUP(U1688,Jogadores!B:C,2,0)</f>
        <v>DF</v>
      </c>
      <c r="W1688" s="8">
        <f>VLOOKUP(U1688,Jogadores!B:D,3,0)</f>
        <v>31.19178082</v>
      </c>
      <c r="X1688" s="7">
        <v>0.0</v>
      </c>
      <c r="Y1688" s="7">
        <v>93.0</v>
      </c>
      <c r="Z1688" s="7">
        <f>VLOOKUP(A1688,Jogos!A:L,3,0)</f>
        <v>52</v>
      </c>
      <c r="AA1688" s="7">
        <f t="shared" si="4815"/>
        <v>52</v>
      </c>
      <c r="AB1688" s="7">
        <f>VLOOKUP(A1688,Jogos!A:L,4,0)</f>
        <v>54</v>
      </c>
      <c r="AC1688" s="7">
        <f t="shared" si="5062"/>
        <v>48</v>
      </c>
      <c r="AD1688" s="7"/>
      <c r="AE1688" s="7"/>
      <c r="AF1688" s="7">
        <f t="shared" si="4566"/>
        <v>100</v>
      </c>
      <c r="AG1688" s="7">
        <v>9236.7</v>
      </c>
      <c r="AH1688" s="7">
        <v>4757.1</v>
      </c>
      <c r="AI1688" s="7">
        <v>3138.1</v>
      </c>
      <c r="AJ1688" s="7">
        <v>771.6</v>
      </c>
      <c r="AK1688" s="7">
        <v>396.6</v>
      </c>
      <c r="AL1688" s="7">
        <v>173.4</v>
      </c>
      <c r="AM1688" s="7">
        <v>65.0</v>
      </c>
      <c r="AN1688" s="7">
        <v>34.0</v>
      </c>
      <c r="AO1688" s="7">
        <v>31.3</v>
      </c>
      <c r="AP1688" s="9">
        <f t="shared" ref="AP1688:AR1688" si="5295">AG1688/$AF1688</f>
        <v>92.367</v>
      </c>
      <c r="AQ1688" s="9">
        <f t="shared" si="5295"/>
        <v>47.571</v>
      </c>
      <c r="AR1688" s="9">
        <f t="shared" si="5295"/>
        <v>31.381</v>
      </c>
      <c r="AS1688" s="9">
        <f t="shared" si="4568"/>
        <v>78.952</v>
      </c>
      <c r="AT1688" s="9">
        <f t="shared" ref="AT1688:AV1688" si="5296">AJ1688/$AF1688</f>
        <v>7.716</v>
      </c>
      <c r="AU1688" s="9">
        <f t="shared" si="5296"/>
        <v>3.966</v>
      </c>
      <c r="AV1688" s="9">
        <f t="shared" si="5296"/>
        <v>1.734</v>
      </c>
      <c r="AW1688" s="9">
        <f t="shared" si="4570"/>
        <v>5.7</v>
      </c>
      <c r="AX1688" s="9">
        <f t="shared" ref="AX1688:AY1688" si="5297">AM1688/$AF1688</f>
        <v>0.65</v>
      </c>
      <c r="AY1688" s="9">
        <f t="shared" si="5297"/>
        <v>0.34</v>
      </c>
      <c r="AZ1688" s="9">
        <f>VLOOKUP(A1688,Jogos!A:BN,58,0)</f>
        <v>28.43</v>
      </c>
      <c r="BA1688" s="9">
        <f>VLOOKUP(A1688,Jogos!A:BN,59,0)</f>
        <v>23.98</v>
      </c>
      <c r="BB1688" s="9">
        <f>VLOOKUP(A1688,Jogos!A:BN,60,0)</f>
        <v>76.5</v>
      </c>
      <c r="BC1688" s="9">
        <f>VLOOKUP(A1688,Jogos!A:BN,61,0)</f>
        <v>27.865</v>
      </c>
      <c r="BD1688" s="9">
        <f>VLOOKUP(A1688,Jogos!A:BN,62,0)</f>
        <v>339.6</v>
      </c>
      <c r="BE1688" s="9">
        <f>VLOOKUP(A1688,Jogos!A:BN,63,0)</f>
        <v>0.415</v>
      </c>
      <c r="BF1688" s="9">
        <f>VLOOKUP(A1688,Jogos!A:BN,64,0)</f>
        <v>25.63</v>
      </c>
      <c r="BG1688" s="9">
        <f>VLOOKUP(A1688,Jogos!A:BN,65,0)</f>
        <v>45.08</v>
      </c>
      <c r="BH1688" s="9">
        <f>VLOOKUP(A1688,Jogos!A:BN,66,0)</f>
        <v>29.8</v>
      </c>
      <c r="BI1688" s="9"/>
      <c r="BJ1688" s="9"/>
    </row>
    <row r="1689" hidden="1">
      <c r="A1689" s="10">
        <v>57.0</v>
      </c>
      <c r="B1689" s="11" t="s">
        <v>1380</v>
      </c>
      <c r="C1689" s="2" t="s">
        <v>1351</v>
      </c>
      <c r="D1689" s="12">
        <v>45842.0</v>
      </c>
      <c r="E1689" s="13">
        <v>0.625</v>
      </c>
      <c r="F1689" s="5" t="str">
        <f>VLOOKUP(A1689,Jogos!A:N,10,0)</f>
        <v>Afternoon</v>
      </c>
      <c r="G1689" s="11" t="s">
        <v>1269</v>
      </c>
      <c r="H1689" s="6" t="str">
        <f>VLOOKUP(A1689,Jogos!A:L,12,0)</f>
        <v>Open</v>
      </c>
      <c r="I1689" s="6" t="str">
        <f>VLOOKUP(G1689,'Estádios e Cidades'!A:B,2,0)</f>
        <v>Orlando</v>
      </c>
      <c r="J1689" s="11" t="s">
        <v>874</v>
      </c>
      <c r="K1689" s="2" t="str">
        <f>VLOOKUP(J1689,Equipes!A:F,6,0)</f>
        <v>Tropical</v>
      </c>
      <c r="L1689" s="2">
        <f>VLOOKUP(J1689,Equipes!A:C,3,0)</f>
        <v>7</v>
      </c>
      <c r="M1689" s="2" t="str">
        <f t="shared" si="4"/>
        <v>Quarter-final</v>
      </c>
      <c r="N1689" s="11" t="s">
        <v>563</v>
      </c>
      <c r="O1689" s="2">
        <f>VLOOKUP(N1689,Equipes!A:C,3,0)</f>
        <v>4</v>
      </c>
      <c r="P1689" s="2" t="str">
        <f t="shared" si="5"/>
        <v>Semi-final</v>
      </c>
      <c r="Q1689" s="2">
        <f t="shared" si="6"/>
        <v>3</v>
      </c>
      <c r="R1689" s="2" t="str">
        <f>VLOOKUP(J1689,Equipes!A:B,2,0)</f>
        <v>AlHilal</v>
      </c>
      <c r="S1689" s="6" t="s">
        <v>917</v>
      </c>
      <c r="T1689" s="7">
        <v>22.0</v>
      </c>
      <c r="U1689" s="7" t="s">
        <v>918</v>
      </c>
      <c r="V1689" s="7" t="str">
        <f>VLOOKUP(U1689,Jogadores!B:C,2,0)</f>
        <v>MF</v>
      </c>
      <c r="W1689" s="8">
        <f>VLOOKUP(U1689,Jogadores!B:D,3,0)</f>
        <v>30.43561644</v>
      </c>
      <c r="X1689" s="7">
        <v>0.0</v>
      </c>
      <c r="Y1689" s="7">
        <f>45+AB1689</f>
        <v>99</v>
      </c>
      <c r="Z1689" s="7">
        <f>VLOOKUP(A1689,Jogos!A:L,3,0)</f>
        <v>52</v>
      </c>
      <c r="AA1689" s="7">
        <f t="shared" si="4815"/>
        <v>52</v>
      </c>
      <c r="AB1689" s="7">
        <f>VLOOKUP(A1689,Jogos!A:L,4,0)</f>
        <v>54</v>
      </c>
      <c r="AC1689" s="7">
        <f t="shared" si="5062"/>
        <v>54</v>
      </c>
      <c r="AD1689" s="7"/>
      <c r="AE1689" s="7"/>
      <c r="AF1689" s="7">
        <f t="shared" si="4566"/>
        <v>106</v>
      </c>
      <c r="AG1689" s="7">
        <v>11159.8</v>
      </c>
      <c r="AH1689" s="7">
        <v>4339.8</v>
      </c>
      <c r="AI1689" s="7">
        <v>4931.5</v>
      </c>
      <c r="AJ1689" s="7">
        <v>1453.8</v>
      </c>
      <c r="AK1689" s="7">
        <v>367.4</v>
      </c>
      <c r="AL1689" s="7">
        <v>67.3</v>
      </c>
      <c r="AM1689" s="7">
        <v>121.0</v>
      </c>
      <c r="AN1689" s="7">
        <v>31.0</v>
      </c>
      <c r="AO1689" s="7">
        <v>29.5</v>
      </c>
      <c r="AP1689" s="9">
        <f t="shared" ref="AP1689:AR1689" si="5298">AG1689/$AF1689</f>
        <v>105.2811321</v>
      </c>
      <c r="AQ1689" s="9">
        <f t="shared" si="5298"/>
        <v>40.94150943</v>
      </c>
      <c r="AR1689" s="9">
        <f t="shared" si="5298"/>
        <v>46.52358491</v>
      </c>
      <c r="AS1689" s="9">
        <f t="shared" si="4568"/>
        <v>87.46509434</v>
      </c>
      <c r="AT1689" s="9">
        <f t="shared" ref="AT1689:AV1689" si="5299">AJ1689/$AF1689</f>
        <v>13.71509434</v>
      </c>
      <c r="AU1689" s="9">
        <f t="shared" si="5299"/>
        <v>3.466037736</v>
      </c>
      <c r="AV1689" s="9">
        <f t="shared" si="5299"/>
        <v>0.6349056604</v>
      </c>
      <c r="AW1689" s="9">
        <f t="shared" si="4570"/>
        <v>4.100943396</v>
      </c>
      <c r="AX1689" s="9">
        <f t="shared" ref="AX1689:AY1689" si="5300">AM1689/$AF1689</f>
        <v>1.141509434</v>
      </c>
      <c r="AY1689" s="9">
        <f t="shared" si="5300"/>
        <v>0.2924528302</v>
      </c>
      <c r="AZ1689" s="9">
        <f>VLOOKUP(A1689,Jogos!A:BN,58,0)</f>
        <v>28.43</v>
      </c>
      <c r="BA1689" s="9">
        <f>VLOOKUP(A1689,Jogos!A:BN,59,0)</f>
        <v>23.98</v>
      </c>
      <c r="BB1689" s="9">
        <f>VLOOKUP(A1689,Jogos!A:BN,60,0)</f>
        <v>76.5</v>
      </c>
      <c r="BC1689" s="9">
        <f>VLOOKUP(A1689,Jogos!A:BN,61,0)</f>
        <v>27.865</v>
      </c>
      <c r="BD1689" s="9">
        <f>VLOOKUP(A1689,Jogos!A:BN,62,0)</f>
        <v>339.6</v>
      </c>
      <c r="BE1689" s="9">
        <f>VLOOKUP(A1689,Jogos!A:BN,63,0)</f>
        <v>0.415</v>
      </c>
      <c r="BF1689" s="9">
        <f>VLOOKUP(A1689,Jogos!A:BN,64,0)</f>
        <v>25.63</v>
      </c>
      <c r="BG1689" s="9">
        <f>VLOOKUP(A1689,Jogos!A:BN,65,0)</f>
        <v>45.08</v>
      </c>
      <c r="BH1689" s="9">
        <f>VLOOKUP(A1689,Jogos!A:BN,66,0)</f>
        <v>29.8</v>
      </c>
      <c r="BI1689" s="9"/>
      <c r="BJ1689" s="9"/>
    </row>
    <row r="1690" hidden="1">
      <c r="A1690" s="10">
        <v>57.0</v>
      </c>
      <c r="B1690" s="11" t="s">
        <v>1380</v>
      </c>
      <c r="C1690" s="2" t="s">
        <v>1351</v>
      </c>
      <c r="D1690" s="12">
        <v>45842.0</v>
      </c>
      <c r="E1690" s="13">
        <v>0.625</v>
      </c>
      <c r="F1690" s="5" t="str">
        <f>VLOOKUP(A1690,Jogos!A:N,10,0)</f>
        <v>Afternoon</v>
      </c>
      <c r="G1690" s="11" t="s">
        <v>1269</v>
      </c>
      <c r="H1690" s="6" t="str">
        <f>VLOOKUP(A1690,Jogos!A:L,12,0)</f>
        <v>Open</v>
      </c>
      <c r="I1690" s="6" t="str">
        <f>VLOOKUP(G1690,'Estádios e Cidades'!A:B,2,0)</f>
        <v>Orlando</v>
      </c>
      <c r="J1690" s="11" t="s">
        <v>874</v>
      </c>
      <c r="K1690" s="2" t="str">
        <f>VLOOKUP(J1690,Equipes!A:F,6,0)</f>
        <v>Tropical</v>
      </c>
      <c r="L1690" s="2">
        <f>VLOOKUP(J1690,Equipes!A:C,3,0)</f>
        <v>7</v>
      </c>
      <c r="M1690" s="2" t="str">
        <f t="shared" si="4"/>
        <v>Quarter-final</v>
      </c>
      <c r="N1690" s="11" t="s">
        <v>563</v>
      </c>
      <c r="O1690" s="2">
        <f>VLOOKUP(N1690,Equipes!A:C,3,0)</f>
        <v>4</v>
      </c>
      <c r="P1690" s="2" t="str">
        <f t="shared" si="5"/>
        <v>Semi-final</v>
      </c>
      <c r="Q1690" s="2">
        <f t="shared" si="6"/>
        <v>3</v>
      </c>
      <c r="R1690" s="2" t="str">
        <f>VLOOKUP(J1690,Equipes!A:B,2,0)</f>
        <v>AlHilal</v>
      </c>
      <c r="S1690" s="6" t="s">
        <v>929</v>
      </c>
      <c r="T1690" s="7">
        <v>24.0</v>
      </c>
      <c r="U1690" s="7" t="s">
        <v>930</v>
      </c>
      <c r="V1690" s="7" t="str">
        <f>VLOOKUP(U1690,Jogadores!B:C,2,0)</f>
        <v>DF</v>
      </c>
      <c r="W1690" s="8">
        <f>VLOOKUP(U1690,Jogadores!B:D,3,0)</f>
        <v>25.45479452</v>
      </c>
      <c r="X1690" s="7">
        <v>0.0</v>
      </c>
      <c r="Y1690" s="7">
        <v>83.0</v>
      </c>
      <c r="Z1690" s="7">
        <f>VLOOKUP(A1690,Jogos!A:L,3,0)</f>
        <v>52</v>
      </c>
      <c r="AA1690" s="7">
        <f t="shared" si="4815"/>
        <v>52</v>
      </c>
      <c r="AB1690" s="7">
        <f>VLOOKUP(A1690,Jogos!A:L,4,0)</f>
        <v>54</v>
      </c>
      <c r="AC1690" s="7">
        <f t="shared" si="5062"/>
        <v>38</v>
      </c>
      <c r="AD1690" s="7"/>
      <c r="AE1690" s="7"/>
      <c r="AF1690" s="7">
        <f t="shared" si="4566"/>
        <v>90</v>
      </c>
      <c r="AG1690" s="7">
        <v>8629.1</v>
      </c>
      <c r="AH1690" s="7">
        <v>3850.6</v>
      </c>
      <c r="AI1690" s="7">
        <v>3071.9</v>
      </c>
      <c r="AJ1690" s="7">
        <v>1071.7</v>
      </c>
      <c r="AK1690" s="7">
        <v>423.9</v>
      </c>
      <c r="AL1690" s="7">
        <v>211.0</v>
      </c>
      <c r="AM1690" s="7">
        <v>99.0</v>
      </c>
      <c r="AN1690" s="7">
        <v>39.0</v>
      </c>
      <c r="AO1690" s="7">
        <v>32.8</v>
      </c>
      <c r="AP1690" s="9">
        <f t="shared" ref="AP1690:AR1690" si="5301">AG1690/$AF1690</f>
        <v>95.87888889</v>
      </c>
      <c r="AQ1690" s="9">
        <f t="shared" si="5301"/>
        <v>42.78444444</v>
      </c>
      <c r="AR1690" s="9">
        <f t="shared" si="5301"/>
        <v>34.13222222</v>
      </c>
      <c r="AS1690" s="9">
        <f t="shared" si="4568"/>
        <v>76.91666667</v>
      </c>
      <c r="AT1690" s="9">
        <f t="shared" ref="AT1690:AV1690" si="5302">AJ1690/$AF1690</f>
        <v>11.90777778</v>
      </c>
      <c r="AU1690" s="9">
        <f t="shared" si="5302"/>
        <v>4.71</v>
      </c>
      <c r="AV1690" s="9">
        <f t="shared" si="5302"/>
        <v>2.344444444</v>
      </c>
      <c r="AW1690" s="9">
        <f t="shared" si="4570"/>
        <v>7.054444444</v>
      </c>
      <c r="AX1690" s="9">
        <f t="shared" ref="AX1690:AY1690" si="5303">AM1690/$AF1690</f>
        <v>1.1</v>
      </c>
      <c r="AY1690" s="9">
        <f t="shared" si="5303"/>
        <v>0.4333333333</v>
      </c>
      <c r="AZ1690" s="9">
        <f>VLOOKUP(A1690,Jogos!A:BN,58,0)</f>
        <v>28.43</v>
      </c>
      <c r="BA1690" s="9">
        <f>VLOOKUP(A1690,Jogos!A:BN,59,0)</f>
        <v>23.98</v>
      </c>
      <c r="BB1690" s="9">
        <f>VLOOKUP(A1690,Jogos!A:BN,60,0)</f>
        <v>76.5</v>
      </c>
      <c r="BC1690" s="9">
        <f>VLOOKUP(A1690,Jogos!A:BN,61,0)</f>
        <v>27.865</v>
      </c>
      <c r="BD1690" s="9">
        <f>VLOOKUP(A1690,Jogos!A:BN,62,0)</f>
        <v>339.6</v>
      </c>
      <c r="BE1690" s="9">
        <f>VLOOKUP(A1690,Jogos!A:BN,63,0)</f>
        <v>0.415</v>
      </c>
      <c r="BF1690" s="9">
        <f>VLOOKUP(A1690,Jogos!A:BN,64,0)</f>
        <v>25.63</v>
      </c>
      <c r="BG1690" s="9">
        <f>VLOOKUP(A1690,Jogos!A:BN,65,0)</f>
        <v>45.08</v>
      </c>
      <c r="BH1690" s="9">
        <f>VLOOKUP(A1690,Jogos!A:BN,66,0)</f>
        <v>29.8</v>
      </c>
      <c r="BI1690" s="9"/>
      <c r="BJ1690" s="9"/>
    </row>
    <row r="1691" hidden="1">
      <c r="A1691" s="10">
        <v>57.0</v>
      </c>
      <c r="B1691" s="11" t="s">
        <v>1380</v>
      </c>
      <c r="C1691" s="2" t="s">
        <v>1351</v>
      </c>
      <c r="D1691" s="12">
        <v>45842.0</v>
      </c>
      <c r="E1691" s="13">
        <v>0.625</v>
      </c>
      <c r="F1691" s="5" t="str">
        <f>VLOOKUP(A1691,Jogos!A:N,10,0)</f>
        <v>Afternoon</v>
      </c>
      <c r="G1691" s="11" t="s">
        <v>1269</v>
      </c>
      <c r="H1691" s="6" t="str">
        <f>VLOOKUP(A1691,Jogos!A:L,12,0)</f>
        <v>Open</v>
      </c>
      <c r="I1691" s="6" t="str">
        <f>VLOOKUP(G1691,'Estádios e Cidades'!A:B,2,0)</f>
        <v>Orlando</v>
      </c>
      <c r="J1691" s="11" t="s">
        <v>874</v>
      </c>
      <c r="K1691" s="2" t="str">
        <f>VLOOKUP(J1691,Equipes!A:F,6,0)</f>
        <v>Tropical</v>
      </c>
      <c r="L1691" s="2">
        <f>VLOOKUP(J1691,Equipes!A:C,3,0)</f>
        <v>7</v>
      </c>
      <c r="M1691" s="2" t="str">
        <f t="shared" si="4"/>
        <v>Quarter-final</v>
      </c>
      <c r="N1691" s="11" t="s">
        <v>563</v>
      </c>
      <c r="O1691" s="2">
        <f>VLOOKUP(N1691,Equipes!A:C,3,0)</f>
        <v>4</v>
      </c>
      <c r="P1691" s="2" t="str">
        <f t="shared" si="5"/>
        <v>Semi-final</v>
      </c>
      <c r="Q1691" s="2">
        <f t="shared" si="6"/>
        <v>3</v>
      </c>
      <c r="R1691" s="2" t="str">
        <f>VLOOKUP(J1691,Equipes!A:B,2,0)</f>
        <v>AlHilal</v>
      </c>
      <c r="S1691" s="6" t="s">
        <v>931</v>
      </c>
      <c r="T1691" s="7">
        <v>28.0</v>
      </c>
      <c r="U1691" s="7" t="s">
        <v>932</v>
      </c>
      <c r="V1691" s="7" t="str">
        <f>VLOOKUP(U1691,Jogadores!B:C,2,0)</f>
        <v>MF</v>
      </c>
      <c r="W1691" s="8">
        <f>VLOOKUP(U1691,Jogadores!B:D,3,0)</f>
        <v>30.86849315</v>
      </c>
      <c r="X1691" s="7">
        <v>0.0</v>
      </c>
      <c r="Y1691" s="7">
        <v>75.0</v>
      </c>
      <c r="Z1691" s="7">
        <f>VLOOKUP(A1691,Jogos!A:L,3,0)</f>
        <v>52</v>
      </c>
      <c r="AA1691" s="7">
        <f t="shared" si="4815"/>
        <v>52</v>
      </c>
      <c r="AB1691" s="7">
        <f>VLOOKUP(A1691,Jogos!A:L,4,0)</f>
        <v>54</v>
      </c>
      <c r="AC1691" s="7">
        <f t="shared" si="5062"/>
        <v>30</v>
      </c>
      <c r="AD1691" s="7"/>
      <c r="AE1691" s="7"/>
      <c r="AF1691" s="7">
        <f t="shared" si="4566"/>
        <v>82</v>
      </c>
      <c r="AG1691" s="7">
        <v>8037.9</v>
      </c>
      <c r="AH1691" s="7">
        <v>3513.2</v>
      </c>
      <c r="AI1691" s="7">
        <v>3051.4</v>
      </c>
      <c r="AJ1691" s="7">
        <v>1067.7</v>
      </c>
      <c r="AK1691" s="7">
        <v>299.1</v>
      </c>
      <c r="AL1691" s="7">
        <v>106.5</v>
      </c>
      <c r="AM1691" s="7">
        <v>103.0</v>
      </c>
      <c r="AN1691" s="7">
        <v>29.0</v>
      </c>
      <c r="AO1691" s="7">
        <v>31.7</v>
      </c>
      <c r="AP1691" s="9">
        <f t="shared" ref="AP1691:AR1691" si="5304">AG1691/$AF1691</f>
        <v>98.02317073</v>
      </c>
      <c r="AQ1691" s="9">
        <f t="shared" si="5304"/>
        <v>42.84390244</v>
      </c>
      <c r="AR1691" s="9">
        <f t="shared" si="5304"/>
        <v>37.21219512</v>
      </c>
      <c r="AS1691" s="9">
        <f t="shared" si="4568"/>
        <v>80.05609756</v>
      </c>
      <c r="AT1691" s="9">
        <f t="shared" ref="AT1691:AV1691" si="5305">AJ1691/$AF1691</f>
        <v>13.02073171</v>
      </c>
      <c r="AU1691" s="9">
        <f t="shared" si="5305"/>
        <v>3.647560976</v>
      </c>
      <c r="AV1691" s="9">
        <f t="shared" si="5305"/>
        <v>1.298780488</v>
      </c>
      <c r="AW1691" s="9">
        <f t="shared" si="4570"/>
        <v>4.946341463</v>
      </c>
      <c r="AX1691" s="9">
        <f t="shared" ref="AX1691:AY1691" si="5306">AM1691/$AF1691</f>
        <v>1.256097561</v>
      </c>
      <c r="AY1691" s="9">
        <f t="shared" si="5306"/>
        <v>0.3536585366</v>
      </c>
      <c r="AZ1691" s="9">
        <f>VLOOKUP(A1691,Jogos!A:BN,58,0)</f>
        <v>28.43</v>
      </c>
      <c r="BA1691" s="9">
        <f>VLOOKUP(A1691,Jogos!A:BN,59,0)</f>
        <v>23.98</v>
      </c>
      <c r="BB1691" s="9">
        <f>VLOOKUP(A1691,Jogos!A:BN,60,0)</f>
        <v>76.5</v>
      </c>
      <c r="BC1691" s="9">
        <f>VLOOKUP(A1691,Jogos!A:BN,61,0)</f>
        <v>27.865</v>
      </c>
      <c r="BD1691" s="9">
        <f>VLOOKUP(A1691,Jogos!A:BN,62,0)</f>
        <v>339.6</v>
      </c>
      <c r="BE1691" s="9">
        <f>VLOOKUP(A1691,Jogos!A:BN,63,0)</f>
        <v>0.415</v>
      </c>
      <c r="BF1691" s="9">
        <f>VLOOKUP(A1691,Jogos!A:BN,64,0)</f>
        <v>25.63</v>
      </c>
      <c r="BG1691" s="9">
        <f>VLOOKUP(A1691,Jogos!A:BN,65,0)</f>
        <v>45.08</v>
      </c>
      <c r="BH1691" s="9">
        <f>VLOOKUP(A1691,Jogos!A:BN,66,0)</f>
        <v>29.8</v>
      </c>
      <c r="BI1691" s="9"/>
      <c r="BJ1691" s="9"/>
    </row>
    <row r="1692" hidden="1">
      <c r="A1692" s="10">
        <v>57.0</v>
      </c>
      <c r="B1692" s="11" t="s">
        <v>1380</v>
      </c>
      <c r="C1692" s="2" t="s">
        <v>1351</v>
      </c>
      <c r="D1692" s="12">
        <v>45842.0</v>
      </c>
      <c r="E1692" s="13">
        <v>0.625</v>
      </c>
      <c r="F1692" s="5" t="str">
        <f>VLOOKUP(A1692,Jogos!A:N,10,0)</f>
        <v>Afternoon</v>
      </c>
      <c r="G1692" s="11" t="s">
        <v>1269</v>
      </c>
      <c r="H1692" s="6" t="str">
        <f>VLOOKUP(A1692,Jogos!A:L,12,0)</f>
        <v>Open</v>
      </c>
      <c r="I1692" s="6" t="str">
        <f>VLOOKUP(G1692,'Estádios e Cidades'!A:B,2,0)</f>
        <v>Orlando</v>
      </c>
      <c r="J1692" s="11" t="s">
        <v>874</v>
      </c>
      <c r="K1692" s="2" t="str">
        <f>VLOOKUP(J1692,Equipes!A:F,6,0)</f>
        <v>Tropical</v>
      </c>
      <c r="L1692" s="2">
        <f>VLOOKUP(J1692,Equipes!A:C,3,0)</f>
        <v>7</v>
      </c>
      <c r="M1692" s="2" t="str">
        <f t="shared" si="4"/>
        <v>Quarter-final</v>
      </c>
      <c r="N1692" s="11" t="s">
        <v>563</v>
      </c>
      <c r="O1692" s="2">
        <f>VLOOKUP(N1692,Equipes!A:C,3,0)</f>
        <v>4</v>
      </c>
      <c r="P1692" s="2" t="str">
        <f t="shared" si="5"/>
        <v>Semi-final</v>
      </c>
      <c r="Q1692" s="2">
        <f t="shared" si="6"/>
        <v>3</v>
      </c>
      <c r="R1692" s="2" t="str">
        <f>VLOOKUP(J1692,Equipes!A:B,2,0)</f>
        <v>AlHilal</v>
      </c>
      <c r="S1692" s="6" t="s">
        <v>921</v>
      </c>
      <c r="T1692" s="7">
        <v>77.0</v>
      </c>
      <c r="U1692" s="7" t="s">
        <v>922</v>
      </c>
      <c r="V1692" s="7" t="str">
        <f>VLOOKUP(U1692,Jogadores!B:C,2,0)</f>
        <v>MF</v>
      </c>
      <c r="W1692" s="8">
        <f>VLOOKUP(U1692,Jogadores!B:D,3,0)</f>
        <v>28.43561644</v>
      </c>
      <c r="X1692" s="7">
        <v>0.0</v>
      </c>
      <c r="Y1692" s="7">
        <v>93.0</v>
      </c>
      <c r="Z1692" s="7">
        <f>VLOOKUP(A1692,Jogos!A:L,3,0)</f>
        <v>52</v>
      </c>
      <c r="AA1692" s="7">
        <f t="shared" si="4815"/>
        <v>52</v>
      </c>
      <c r="AB1692" s="7">
        <f>VLOOKUP(A1692,Jogos!A:L,4,0)</f>
        <v>54</v>
      </c>
      <c r="AC1692" s="7">
        <f t="shared" si="5062"/>
        <v>48</v>
      </c>
      <c r="AD1692" s="7"/>
      <c r="AE1692" s="7"/>
      <c r="AF1692" s="7">
        <f t="shared" si="4566"/>
        <v>100</v>
      </c>
      <c r="AG1692" s="7">
        <v>8530.0</v>
      </c>
      <c r="AH1692" s="7">
        <v>4108.9</v>
      </c>
      <c r="AI1692" s="7">
        <v>3295.7</v>
      </c>
      <c r="AJ1692" s="7">
        <v>644.2</v>
      </c>
      <c r="AK1692" s="7">
        <v>354.9</v>
      </c>
      <c r="AL1692" s="7">
        <v>126.4</v>
      </c>
      <c r="AM1692" s="7">
        <v>60.0</v>
      </c>
      <c r="AN1692" s="7">
        <v>32.0</v>
      </c>
      <c r="AO1692" s="7">
        <v>33.7</v>
      </c>
      <c r="AP1692" s="9">
        <f t="shared" ref="AP1692:AR1692" si="5307">AG1692/$AF1692</f>
        <v>85.3</v>
      </c>
      <c r="AQ1692" s="9">
        <f t="shared" si="5307"/>
        <v>41.089</v>
      </c>
      <c r="AR1692" s="9">
        <f t="shared" si="5307"/>
        <v>32.957</v>
      </c>
      <c r="AS1692" s="9">
        <f t="shared" si="4568"/>
        <v>74.046</v>
      </c>
      <c r="AT1692" s="9">
        <f t="shared" ref="AT1692:AV1692" si="5308">AJ1692/$AF1692</f>
        <v>6.442</v>
      </c>
      <c r="AU1692" s="9">
        <f t="shared" si="5308"/>
        <v>3.549</v>
      </c>
      <c r="AV1692" s="9">
        <f t="shared" si="5308"/>
        <v>1.264</v>
      </c>
      <c r="AW1692" s="9">
        <f t="shared" si="4570"/>
        <v>4.813</v>
      </c>
      <c r="AX1692" s="9">
        <f t="shared" ref="AX1692:AY1692" si="5309">AM1692/$AF1692</f>
        <v>0.6</v>
      </c>
      <c r="AY1692" s="9">
        <f t="shared" si="5309"/>
        <v>0.32</v>
      </c>
      <c r="AZ1692" s="9">
        <f>VLOOKUP(A1692,Jogos!A:BN,58,0)</f>
        <v>28.43</v>
      </c>
      <c r="BA1692" s="9">
        <f>VLOOKUP(A1692,Jogos!A:BN,59,0)</f>
        <v>23.98</v>
      </c>
      <c r="BB1692" s="9">
        <f>VLOOKUP(A1692,Jogos!A:BN,60,0)</f>
        <v>76.5</v>
      </c>
      <c r="BC1692" s="9">
        <f>VLOOKUP(A1692,Jogos!A:BN,61,0)</f>
        <v>27.865</v>
      </c>
      <c r="BD1692" s="9">
        <f>VLOOKUP(A1692,Jogos!A:BN,62,0)</f>
        <v>339.6</v>
      </c>
      <c r="BE1692" s="9">
        <f>VLOOKUP(A1692,Jogos!A:BN,63,0)</f>
        <v>0.415</v>
      </c>
      <c r="BF1692" s="9">
        <f>VLOOKUP(A1692,Jogos!A:BN,64,0)</f>
        <v>25.63</v>
      </c>
      <c r="BG1692" s="9">
        <f>VLOOKUP(A1692,Jogos!A:BN,65,0)</f>
        <v>45.08</v>
      </c>
      <c r="BH1692" s="9">
        <f>VLOOKUP(A1692,Jogos!A:BN,66,0)</f>
        <v>29.8</v>
      </c>
      <c r="BI1692" s="9"/>
      <c r="BJ1692" s="9"/>
    </row>
    <row r="1693" hidden="1">
      <c r="A1693" s="10">
        <v>57.0</v>
      </c>
      <c r="B1693" s="11" t="s">
        <v>1380</v>
      </c>
      <c r="C1693" s="2" t="s">
        <v>1351</v>
      </c>
      <c r="D1693" s="12">
        <v>45842.0</v>
      </c>
      <c r="E1693" s="13">
        <v>0.625</v>
      </c>
      <c r="F1693" s="5" t="str">
        <f>VLOOKUP(A1693,Jogos!A:N,10,0)</f>
        <v>Afternoon</v>
      </c>
      <c r="G1693" s="11" t="s">
        <v>1269</v>
      </c>
      <c r="H1693" s="6" t="str">
        <f>VLOOKUP(A1693,Jogos!A:L,12,0)</f>
        <v>Open</v>
      </c>
      <c r="I1693" s="6" t="str">
        <f>VLOOKUP(G1693,'Estádios e Cidades'!A:B,2,0)</f>
        <v>Orlando</v>
      </c>
      <c r="J1693" s="11" t="s">
        <v>874</v>
      </c>
      <c r="K1693" s="2" t="str">
        <f>VLOOKUP(J1693,Equipes!A:F,6,0)</f>
        <v>Tropical</v>
      </c>
      <c r="L1693" s="2">
        <f>VLOOKUP(J1693,Equipes!A:C,3,0)</f>
        <v>7</v>
      </c>
      <c r="M1693" s="2" t="str">
        <f t="shared" si="4"/>
        <v>Quarter-final</v>
      </c>
      <c r="N1693" s="11" t="s">
        <v>563</v>
      </c>
      <c r="O1693" s="2">
        <f>VLOOKUP(N1693,Equipes!A:C,3,0)</f>
        <v>4</v>
      </c>
      <c r="P1693" s="2" t="str">
        <f t="shared" si="5"/>
        <v>Semi-final</v>
      </c>
      <c r="Q1693" s="2">
        <f t="shared" si="6"/>
        <v>3</v>
      </c>
      <c r="R1693" s="2" t="str">
        <f>VLOOKUP(J1693,Equipes!A:B,2,0)</f>
        <v>AlHilal</v>
      </c>
      <c r="S1693" s="6" t="s">
        <v>1370</v>
      </c>
      <c r="T1693" s="7">
        <v>5.0</v>
      </c>
      <c r="U1693" s="7" t="s">
        <v>1371</v>
      </c>
      <c r="V1693" s="7" t="str">
        <f>VLOOKUP(U1693,Jogadores!B:C,2,0)</f>
        <v>DF</v>
      </c>
      <c r="W1693" s="8">
        <f>VLOOKUP(U1693,Jogadores!B:D,3,0)</f>
        <v>35.70684932</v>
      </c>
      <c r="X1693" s="7">
        <v>83.0</v>
      </c>
      <c r="Y1693" s="7">
        <f t="shared" ref="Y1693:Y1700" si="5313">45+AB1693</f>
        <v>99</v>
      </c>
      <c r="Z1693" s="7">
        <f>VLOOKUP(A1693,Jogos!A:L,3,0)</f>
        <v>52</v>
      </c>
      <c r="AA1693" s="7">
        <f t="shared" si="4815"/>
        <v>0</v>
      </c>
      <c r="AB1693" s="7">
        <f>VLOOKUP(A1693,Jogos!A:L,4,0)</f>
        <v>54</v>
      </c>
      <c r="AC1693" s="7">
        <f t="shared" si="5062"/>
        <v>16</v>
      </c>
      <c r="AD1693" s="7"/>
      <c r="AE1693" s="7"/>
      <c r="AF1693" s="7">
        <f t="shared" si="4566"/>
        <v>16</v>
      </c>
      <c r="AG1693" s="7">
        <v>1666.8</v>
      </c>
      <c r="AH1693" s="7">
        <v>725.0</v>
      </c>
      <c r="AI1693" s="7">
        <v>652.6</v>
      </c>
      <c r="AJ1693" s="7">
        <v>225.4</v>
      </c>
      <c r="AK1693" s="7">
        <v>54.0</v>
      </c>
      <c r="AL1693" s="7">
        <v>9.8</v>
      </c>
      <c r="AM1693" s="7">
        <v>22.0</v>
      </c>
      <c r="AN1693" s="7">
        <v>6.0</v>
      </c>
      <c r="AO1693" s="7">
        <v>25.9</v>
      </c>
      <c r="AP1693" s="9">
        <f t="shared" ref="AP1693:AR1693" si="5310">AG1693/$AF1693</f>
        <v>104.175</v>
      </c>
      <c r="AQ1693" s="9">
        <f t="shared" si="5310"/>
        <v>45.3125</v>
      </c>
      <c r="AR1693" s="9">
        <f t="shared" si="5310"/>
        <v>40.7875</v>
      </c>
      <c r="AS1693" s="9">
        <f t="shared" si="4568"/>
        <v>86.1</v>
      </c>
      <c r="AT1693" s="9">
        <f t="shared" ref="AT1693:AV1693" si="5311">AJ1693/$AF1693</f>
        <v>14.0875</v>
      </c>
      <c r="AU1693" s="9">
        <f t="shared" si="5311"/>
        <v>3.375</v>
      </c>
      <c r="AV1693" s="9">
        <f t="shared" si="5311"/>
        <v>0.6125</v>
      </c>
      <c r="AW1693" s="9">
        <f t="shared" si="4570"/>
        <v>3.9875</v>
      </c>
      <c r="AX1693" s="9">
        <f t="shared" ref="AX1693:AY1693" si="5312">AM1693/$AF1693</f>
        <v>1.375</v>
      </c>
      <c r="AY1693" s="9">
        <f t="shared" si="5312"/>
        <v>0.375</v>
      </c>
      <c r="AZ1693" s="9">
        <f>VLOOKUP(A1693,Jogos!A:BN,58,0)</f>
        <v>28.43</v>
      </c>
      <c r="BA1693" s="9">
        <f>VLOOKUP(A1693,Jogos!A:BN,59,0)</f>
        <v>23.98</v>
      </c>
      <c r="BB1693" s="9">
        <f>VLOOKUP(A1693,Jogos!A:BN,60,0)</f>
        <v>76.5</v>
      </c>
      <c r="BC1693" s="9">
        <f>VLOOKUP(A1693,Jogos!A:BN,61,0)</f>
        <v>27.865</v>
      </c>
      <c r="BD1693" s="9">
        <f>VLOOKUP(A1693,Jogos!A:BN,62,0)</f>
        <v>339.6</v>
      </c>
      <c r="BE1693" s="9">
        <f>VLOOKUP(A1693,Jogos!A:BN,63,0)</f>
        <v>0.415</v>
      </c>
      <c r="BF1693" s="9">
        <f>VLOOKUP(A1693,Jogos!A:BN,64,0)</f>
        <v>25.63</v>
      </c>
      <c r="BG1693" s="9">
        <f>VLOOKUP(A1693,Jogos!A:BN,65,0)</f>
        <v>45.08</v>
      </c>
      <c r="BH1693" s="9">
        <f>VLOOKUP(A1693,Jogos!A:BN,66,0)</f>
        <v>29.8</v>
      </c>
      <c r="BI1693" s="9"/>
      <c r="BJ1693" s="9"/>
    </row>
    <row r="1694" hidden="1">
      <c r="A1694" s="10">
        <v>57.0</v>
      </c>
      <c r="B1694" s="11" t="s">
        <v>1380</v>
      </c>
      <c r="C1694" s="2" t="s">
        <v>1351</v>
      </c>
      <c r="D1694" s="12">
        <v>45842.0</v>
      </c>
      <c r="E1694" s="13">
        <v>0.625</v>
      </c>
      <c r="F1694" s="5" t="str">
        <f>VLOOKUP(A1694,Jogos!A:N,10,0)</f>
        <v>Afternoon</v>
      </c>
      <c r="G1694" s="11" t="s">
        <v>1269</v>
      </c>
      <c r="H1694" s="6" t="str">
        <f>VLOOKUP(A1694,Jogos!A:L,12,0)</f>
        <v>Open</v>
      </c>
      <c r="I1694" s="6" t="str">
        <f>VLOOKUP(G1694,'Estádios e Cidades'!A:B,2,0)</f>
        <v>Orlando</v>
      </c>
      <c r="J1694" s="11" t="s">
        <v>874</v>
      </c>
      <c r="K1694" s="2" t="str">
        <f>VLOOKUP(J1694,Equipes!A:F,6,0)</f>
        <v>Tropical</v>
      </c>
      <c r="L1694" s="2">
        <f>VLOOKUP(J1694,Equipes!A:C,3,0)</f>
        <v>7</v>
      </c>
      <c r="M1694" s="2" t="str">
        <f t="shared" si="4"/>
        <v>Quarter-final</v>
      </c>
      <c r="N1694" s="11" t="s">
        <v>563</v>
      </c>
      <c r="O1694" s="2">
        <f>VLOOKUP(N1694,Equipes!A:C,3,0)</f>
        <v>4</v>
      </c>
      <c r="P1694" s="2" t="str">
        <f t="shared" si="5"/>
        <v>Semi-final</v>
      </c>
      <c r="Q1694" s="2">
        <f t="shared" si="6"/>
        <v>3</v>
      </c>
      <c r="R1694" s="2" t="str">
        <f>VLOOKUP(J1694,Equipes!A:B,2,0)</f>
        <v>AlHilal</v>
      </c>
      <c r="S1694" s="6" t="s">
        <v>1381</v>
      </c>
      <c r="T1694" s="7">
        <v>10.0</v>
      </c>
      <c r="U1694" s="7" t="s">
        <v>1382</v>
      </c>
      <c r="V1694" s="7" t="s">
        <v>1133</v>
      </c>
      <c r="W1694" s="8">
        <f>VLOOKUP(U1694,Jogadores!B:D,3,0)</f>
        <v>34.63561644</v>
      </c>
      <c r="X1694" s="7">
        <v>75.0</v>
      </c>
      <c r="Y1694" s="7">
        <f t="shared" si="5313"/>
        <v>99</v>
      </c>
      <c r="Z1694" s="7">
        <f>VLOOKUP(A1694,Jogos!A:L,3,0)</f>
        <v>52</v>
      </c>
      <c r="AA1694" s="7">
        <f t="shared" si="4815"/>
        <v>0</v>
      </c>
      <c r="AB1694" s="7">
        <f>VLOOKUP(A1694,Jogos!A:L,4,0)</f>
        <v>54</v>
      </c>
      <c r="AC1694" s="7">
        <f t="shared" si="5062"/>
        <v>24</v>
      </c>
      <c r="AD1694" s="7"/>
      <c r="AE1694" s="7"/>
      <c r="AF1694" s="7">
        <f t="shared" si="4566"/>
        <v>24</v>
      </c>
      <c r="AG1694" s="7">
        <v>2137.4</v>
      </c>
      <c r="AH1694" s="7">
        <v>931.9</v>
      </c>
      <c r="AI1694" s="7">
        <v>810.7</v>
      </c>
      <c r="AJ1694" s="7">
        <v>324.0</v>
      </c>
      <c r="AK1694" s="7">
        <v>68.9</v>
      </c>
      <c r="AL1694" s="7">
        <v>1.8</v>
      </c>
      <c r="AM1694" s="7">
        <v>27.0</v>
      </c>
      <c r="AN1694" s="7">
        <v>5.0</v>
      </c>
      <c r="AO1694" s="7">
        <v>25.1</v>
      </c>
      <c r="AP1694" s="9">
        <f t="shared" ref="AP1694:AR1694" si="5314">AG1694/$AF1694</f>
        <v>89.05833333</v>
      </c>
      <c r="AQ1694" s="9">
        <f t="shared" si="5314"/>
        <v>38.82916667</v>
      </c>
      <c r="AR1694" s="9">
        <f t="shared" si="5314"/>
        <v>33.77916667</v>
      </c>
      <c r="AS1694" s="9">
        <f t="shared" si="4568"/>
        <v>72.60833333</v>
      </c>
      <c r="AT1694" s="9">
        <f t="shared" ref="AT1694:AV1694" si="5315">AJ1694/$AF1694</f>
        <v>13.5</v>
      </c>
      <c r="AU1694" s="9">
        <f t="shared" si="5315"/>
        <v>2.870833333</v>
      </c>
      <c r="AV1694" s="9">
        <f t="shared" si="5315"/>
        <v>0.075</v>
      </c>
      <c r="AW1694" s="9">
        <f t="shared" si="4570"/>
        <v>2.945833333</v>
      </c>
      <c r="AX1694" s="9">
        <f t="shared" ref="AX1694:AY1694" si="5316">AM1694/$AF1694</f>
        <v>1.125</v>
      </c>
      <c r="AY1694" s="9">
        <f t="shared" si="5316"/>
        <v>0.2083333333</v>
      </c>
      <c r="AZ1694" s="9">
        <f>VLOOKUP(A1694,Jogos!A:BN,58,0)</f>
        <v>28.43</v>
      </c>
      <c r="BA1694" s="9">
        <f>VLOOKUP(A1694,Jogos!A:BN,59,0)</f>
        <v>23.98</v>
      </c>
      <c r="BB1694" s="9">
        <f>VLOOKUP(A1694,Jogos!A:BN,60,0)</f>
        <v>76.5</v>
      </c>
      <c r="BC1694" s="9">
        <f>VLOOKUP(A1694,Jogos!A:BN,61,0)</f>
        <v>27.865</v>
      </c>
      <c r="BD1694" s="9">
        <f>VLOOKUP(A1694,Jogos!A:BN,62,0)</f>
        <v>339.6</v>
      </c>
      <c r="BE1694" s="9">
        <f>VLOOKUP(A1694,Jogos!A:BN,63,0)</f>
        <v>0.415</v>
      </c>
      <c r="BF1694" s="9">
        <f>VLOOKUP(A1694,Jogos!A:BN,64,0)</f>
        <v>25.63</v>
      </c>
      <c r="BG1694" s="9">
        <f>VLOOKUP(A1694,Jogos!A:BN,65,0)</f>
        <v>45.08</v>
      </c>
      <c r="BH1694" s="9">
        <f>VLOOKUP(A1694,Jogos!A:BN,66,0)</f>
        <v>29.8</v>
      </c>
      <c r="BI1694" s="9"/>
      <c r="BJ1694" s="9"/>
    </row>
    <row r="1695" hidden="1">
      <c r="A1695" s="10">
        <v>57.0</v>
      </c>
      <c r="B1695" s="11" t="s">
        <v>1380</v>
      </c>
      <c r="C1695" s="2" t="s">
        <v>1351</v>
      </c>
      <c r="D1695" s="12">
        <v>45842.0</v>
      </c>
      <c r="E1695" s="13">
        <v>0.625</v>
      </c>
      <c r="F1695" s="5" t="str">
        <f>VLOOKUP(A1695,Jogos!A:N,10,0)</f>
        <v>Afternoon</v>
      </c>
      <c r="G1695" s="11" t="s">
        <v>1269</v>
      </c>
      <c r="H1695" s="6" t="str">
        <f>VLOOKUP(A1695,Jogos!A:L,12,0)</f>
        <v>Open</v>
      </c>
      <c r="I1695" s="6" t="str">
        <f>VLOOKUP(G1695,'Estádios e Cidades'!A:B,2,0)</f>
        <v>Orlando</v>
      </c>
      <c r="J1695" s="11" t="s">
        <v>874</v>
      </c>
      <c r="K1695" s="2" t="str">
        <f>VLOOKUP(J1695,Equipes!A:F,6,0)</f>
        <v>Tropical</v>
      </c>
      <c r="L1695" s="2">
        <f>VLOOKUP(J1695,Equipes!A:C,3,0)</f>
        <v>7</v>
      </c>
      <c r="M1695" s="2" t="str">
        <f t="shared" si="4"/>
        <v>Quarter-final</v>
      </c>
      <c r="N1695" s="11" t="s">
        <v>563</v>
      </c>
      <c r="O1695" s="2">
        <f>VLOOKUP(N1695,Equipes!A:C,3,0)</f>
        <v>4</v>
      </c>
      <c r="P1695" s="2" t="str">
        <f t="shared" si="5"/>
        <v>Semi-final</v>
      </c>
      <c r="Q1695" s="2">
        <f t="shared" si="6"/>
        <v>3</v>
      </c>
      <c r="R1695" s="2" t="str">
        <f>VLOOKUP(J1695,Equipes!A:B,2,0)</f>
        <v>AlHilal</v>
      </c>
      <c r="S1695" s="6" t="s">
        <v>927</v>
      </c>
      <c r="T1695" s="7">
        <v>18.0</v>
      </c>
      <c r="U1695" s="7" t="s">
        <v>928</v>
      </c>
      <c r="V1695" s="7" t="str">
        <f>VLOOKUP(U1695,Jogadores!B:C,2,0)</f>
        <v>MF</v>
      </c>
      <c r="W1695" s="8">
        <f>VLOOKUP(U1695,Jogadores!B:D,3,0)</f>
        <v>22.12054795</v>
      </c>
      <c r="X1695" s="7">
        <v>93.0</v>
      </c>
      <c r="Y1695" s="7">
        <f t="shared" si="5313"/>
        <v>99</v>
      </c>
      <c r="Z1695" s="7">
        <f>VLOOKUP(A1695,Jogos!A:L,3,0)</f>
        <v>52</v>
      </c>
      <c r="AA1695" s="7">
        <f t="shared" si="4815"/>
        <v>0</v>
      </c>
      <c r="AB1695" s="7">
        <f>VLOOKUP(A1695,Jogos!A:L,4,0)</f>
        <v>54</v>
      </c>
      <c r="AC1695" s="7">
        <f t="shared" si="5062"/>
        <v>6</v>
      </c>
      <c r="AD1695" s="7"/>
      <c r="AE1695" s="7"/>
      <c r="AF1695" s="7">
        <f t="shared" si="4566"/>
        <v>6</v>
      </c>
      <c r="AG1695" s="7">
        <v>697.7</v>
      </c>
      <c r="AH1695" s="7">
        <v>231.4</v>
      </c>
      <c r="AI1695" s="7">
        <v>258.4</v>
      </c>
      <c r="AJ1695" s="7">
        <v>129.0</v>
      </c>
      <c r="AK1695" s="7">
        <v>68.4</v>
      </c>
      <c r="AL1695" s="7">
        <v>10.4</v>
      </c>
      <c r="AM1695" s="7">
        <v>10.0</v>
      </c>
      <c r="AN1695" s="7">
        <v>6.0</v>
      </c>
      <c r="AO1695" s="7">
        <v>26.3</v>
      </c>
      <c r="AP1695" s="9">
        <f t="shared" ref="AP1695:AR1695" si="5317">AG1695/$AF1695</f>
        <v>116.2833333</v>
      </c>
      <c r="AQ1695" s="9">
        <f t="shared" si="5317"/>
        <v>38.56666667</v>
      </c>
      <c r="AR1695" s="9">
        <f t="shared" si="5317"/>
        <v>43.06666667</v>
      </c>
      <c r="AS1695" s="9">
        <f t="shared" si="4568"/>
        <v>81.63333333</v>
      </c>
      <c r="AT1695" s="9">
        <f t="shared" ref="AT1695:AV1695" si="5318">AJ1695/$AF1695</f>
        <v>21.5</v>
      </c>
      <c r="AU1695" s="9">
        <f t="shared" si="5318"/>
        <v>11.4</v>
      </c>
      <c r="AV1695" s="9">
        <f t="shared" si="5318"/>
        <v>1.733333333</v>
      </c>
      <c r="AW1695" s="9">
        <f t="shared" si="4570"/>
        <v>13.13333333</v>
      </c>
      <c r="AX1695" s="9">
        <f t="shared" ref="AX1695:AY1695" si="5319">AM1695/$AF1695</f>
        <v>1.666666667</v>
      </c>
      <c r="AY1695" s="9">
        <f t="shared" si="5319"/>
        <v>1</v>
      </c>
      <c r="AZ1695" s="9">
        <f>VLOOKUP(A1695,Jogos!A:BN,58,0)</f>
        <v>28.43</v>
      </c>
      <c r="BA1695" s="9">
        <f>VLOOKUP(A1695,Jogos!A:BN,59,0)</f>
        <v>23.98</v>
      </c>
      <c r="BB1695" s="9">
        <f>VLOOKUP(A1695,Jogos!A:BN,60,0)</f>
        <v>76.5</v>
      </c>
      <c r="BC1695" s="9">
        <f>VLOOKUP(A1695,Jogos!A:BN,61,0)</f>
        <v>27.865</v>
      </c>
      <c r="BD1695" s="9">
        <f>VLOOKUP(A1695,Jogos!A:BN,62,0)</f>
        <v>339.6</v>
      </c>
      <c r="BE1695" s="9">
        <f>VLOOKUP(A1695,Jogos!A:BN,63,0)</f>
        <v>0.415</v>
      </c>
      <c r="BF1695" s="9">
        <f>VLOOKUP(A1695,Jogos!A:BN,64,0)</f>
        <v>25.63</v>
      </c>
      <c r="BG1695" s="9">
        <f>VLOOKUP(A1695,Jogos!A:BN,65,0)</f>
        <v>45.08</v>
      </c>
      <c r="BH1695" s="9">
        <f>VLOOKUP(A1695,Jogos!A:BN,66,0)</f>
        <v>29.8</v>
      </c>
      <c r="BI1695" s="9"/>
      <c r="BJ1695" s="9"/>
    </row>
    <row r="1696" hidden="1">
      <c r="A1696" s="10">
        <v>57.0</v>
      </c>
      <c r="B1696" s="11" t="s">
        <v>1380</v>
      </c>
      <c r="C1696" s="2" t="s">
        <v>1351</v>
      </c>
      <c r="D1696" s="12">
        <v>45842.0</v>
      </c>
      <c r="E1696" s="13">
        <v>0.625</v>
      </c>
      <c r="F1696" s="5" t="str">
        <f>VLOOKUP(A1696,Jogos!A:N,10,0)</f>
        <v>Afternoon</v>
      </c>
      <c r="G1696" s="11" t="s">
        <v>1269</v>
      </c>
      <c r="H1696" s="6" t="str">
        <f>VLOOKUP(A1696,Jogos!A:L,12,0)</f>
        <v>Open</v>
      </c>
      <c r="I1696" s="6" t="str">
        <f>VLOOKUP(G1696,'Estádios e Cidades'!A:B,2,0)</f>
        <v>Orlando</v>
      </c>
      <c r="J1696" s="11" t="s">
        <v>874</v>
      </c>
      <c r="K1696" s="2" t="str">
        <f>VLOOKUP(J1696,Equipes!A:F,6,0)</f>
        <v>Tropical</v>
      </c>
      <c r="L1696" s="2">
        <f>VLOOKUP(J1696,Equipes!A:C,3,0)</f>
        <v>7</v>
      </c>
      <c r="M1696" s="2" t="str">
        <f t="shared" si="4"/>
        <v>Quarter-final</v>
      </c>
      <c r="N1696" s="11" t="s">
        <v>563</v>
      </c>
      <c r="O1696" s="2">
        <f>VLOOKUP(N1696,Equipes!A:C,3,0)</f>
        <v>4</v>
      </c>
      <c r="P1696" s="2" t="str">
        <f t="shared" si="5"/>
        <v>Semi-final</v>
      </c>
      <c r="Q1696" s="2">
        <f t="shared" si="6"/>
        <v>3</v>
      </c>
      <c r="R1696" s="2" t="str">
        <f>VLOOKUP(J1696,Equipes!A:B,2,0)</f>
        <v>AlHilal</v>
      </c>
      <c r="S1696" s="6" t="s">
        <v>1374</v>
      </c>
      <c r="T1696" s="7">
        <v>27.0</v>
      </c>
      <c r="U1696" s="7" t="s">
        <v>1375</v>
      </c>
      <c r="V1696" s="7" t="s">
        <v>1311</v>
      </c>
      <c r="W1696" s="8">
        <f>VLOOKUP(U1696,Jogadores!B:D,3,0)</f>
        <v>21.4630137</v>
      </c>
      <c r="X1696" s="7">
        <v>83.0</v>
      </c>
      <c r="Y1696" s="7">
        <f t="shared" si="5313"/>
        <v>99</v>
      </c>
      <c r="Z1696" s="7">
        <f>VLOOKUP(A1696,Jogos!A:L,3,0)</f>
        <v>52</v>
      </c>
      <c r="AA1696" s="7">
        <f t="shared" si="4815"/>
        <v>0</v>
      </c>
      <c r="AB1696" s="7">
        <f>VLOOKUP(A1696,Jogos!A:L,4,0)</f>
        <v>54</v>
      </c>
      <c r="AC1696" s="7">
        <f t="shared" si="5062"/>
        <v>16</v>
      </c>
      <c r="AD1696" s="7"/>
      <c r="AE1696" s="7"/>
      <c r="AF1696" s="7">
        <f t="shared" si="4566"/>
        <v>16</v>
      </c>
      <c r="AG1696" s="7">
        <v>1806.2</v>
      </c>
      <c r="AH1696" s="7">
        <v>690.8</v>
      </c>
      <c r="AI1696" s="7">
        <v>696.4</v>
      </c>
      <c r="AJ1696" s="7">
        <v>303.5</v>
      </c>
      <c r="AK1696" s="7">
        <v>99.0</v>
      </c>
      <c r="AL1696" s="7">
        <v>16.5</v>
      </c>
      <c r="AM1696" s="7">
        <v>25.0</v>
      </c>
      <c r="AN1696" s="7">
        <v>8.0</v>
      </c>
      <c r="AO1696" s="7">
        <v>26.1</v>
      </c>
      <c r="AP1696" s="9">
        <f t="shared" ref="AP1696:AR1696" si="5320">AG1696/$AF1696</f>
        <v>112.8875</v>
      </c>
      <c r="AQ1696" s="9">
        <f t="shared" si="5320"/>
        <v>43.175</v>
      </c>
      <c r="AR1696" s="9">
        <f t="shared" si="5320"/>
        <v>43.525</v>
      </c>
      <c r="AS1696" s="9">
        <f t="shared" si="4568"/>
        <v>86.7</v>
      </c>
      <c r="AT1696" s="9">
        <f t="shared" ref="AT1696:AV1696" si="5321">AJ1696/$AF1696</f>
        <v>18.96875</v>
      </c>
      <c r="AU1696" s="9">
        <f t="shared" si="5321"/>
        <v>6.1875</v>
      </c>
      <c r="AV1696" s="9">
        <f t="shared" si="5321"/>
        <v>1.03125</v>
      </c>
      <c r="AW1696" s="9">
        <f t="shared" si="4570"/>
        <v>7.21875</v>
      </c>
      <c r="AX1696" s="9">
        <f t="shared" ref="AX1696:AY1696" si="5322">AM1696/$AF1696</f>
        <v>1.5625</v>
      </c>
      <c r="AY1696" s="9">
        <f t="shared" si="5322"/>
        <v>0.5</v>
      </c>
      <c r="AZ1696" s="9">
        <f>VLOOKUP(A1696,Jogos!A:BN,58,0)</f>
        <v>28.43</v>
      </c>
      <c r="BA1696" s="9">
        <f>VLOOKUP(A1696,Jogos!A:BN,59,0)</f>
        <v>23.98</v>
      </c>
      <c r="BB1696" s="9">
        <f>VLOOKUP(A1696,Jogos!A:BN,60,0)</f>
        <v>76.5</v>
      </c>
      <c r="BC1696" s="9">
        <f>VLOOKUP(A1696,Jogos!A:BN,61,0)</f>
        <v>27.865</v>
      </c>
      <c r="BD1696" s="9">
        <f>VLOOKUP(A1696,Jogos!A:BN,62,0)</f>
        <v>339.6</v>
      </c>
      <c r="BE1696" s="9">
        <f>VLOOKUP(A1696,Jogos!A:BN,63,0)</f>
        <v>0.415</v>
      </c>
      <c r="BF1696" s="9">
        <f>VLOOKUP(A1696,Jogos!A:BN,64,0)</f>
        <v>25.63</v>
      </c>
      <c r="BG1696" s="9">
        <f>VLOOKUP(A1696,Jogos!A:BN,65,0)</f>
        <v>45.08</v>
      </c>
      <c r="BH1696" s="9">
        <f>VLOOKUP(A1696,Jogos!A:BN,66,0)</f>
        <v>29.8</v>
      </c>
      <c r="BI1696" s="9"/>
      <c r="BJ1696" s="9"/>
    </row>
    <row r="1697" hidden="1">
      <c r="A1697" s="10">
        <v>57.0</v>
      </c>
      <c r="B1697" s="11" t="s">
        <v>1380</v>
      </c>
      <c r="C1697" s="2" t="s">
        <v>1351</v>
      </c>
      <c r="D1697" s="12">
        <v>45842.0</v>
      </c>
      <c r="E1697" s="13">
        <v>0.625</v>
      </c>
      <c r="F1697" s="5" t="str">
        <f>VLOOKUP(A1697,Jogos!A:N,10,0)</f>
        <v>Afternoon</v>
      </c>
      <c r="G1697" s="11" t="s">
        <v>1269</v>
      </c>
      <c r="H1697" s="6" t="str">
        <f>VLOOKUP(A1697,Jogos!A:L,12,0)</f>
        <v>Open</v>
      </c>
      <c r="I1697" s="6" t="str">
        <f>VLOOKUP(G1697,'Estádios e Cidades'!A:B,2,0)</f>
        <v>Orlando</v>
      </c>
      <c r="J1697" s="11" t="s">
        <v>874</v>
      </c>
      <c r="K1697" s="2" t="str">
        <f>VLOOKUP(J1697,Equipes!A:F,6,0)</f>
        <v>Tropical</v>
      </c>
      <c r="L1697" s="2">
        <f>VLOOKUP(J1697,Equipes!A:C,3,0)</f>
        <v>7</v>
      </c>
      <c r="M1697" s="2" t="str">
        <f t="shared" si="4"/>
        <v>Quarter-final</v>
      </c>
      <c r="N1697" s="11" t="s">
        <v>563</v>
      </c>
      <c r="O1697" s="2">
        <f>VLOOKUP(N1697,Equipes!A:C,3,0)</f>
        <v>4</v>
      </c>
      <c r="P1697" s="2" t="str">
        <f t="shared" si="5"/>
        <v>Semi-final</v>
      </c>
      <c r="Q1697" s="2">
        <f t="shared" si="6"/>
        <v>3</v>
      </c>
      <c r="R1697" s="2" t="str">
        <f>VLOOKUP(J1697,Equipes!A:B,2,0)</f>
        <v>AlHilal</v>
      </c>
      <c r="S1697" s="6" t="s">
        <v>933</v>
      </c>
      <c r="T1697" s="7">
        <v>88.0</v>
      </c>
      <c r="U1697" s="7" t="s">
        <v>934</v>
      </c>
      <c r="V1697" s="7" t="str">
        <f>VLOOKUP(U1697,Jogadores!B:C,2,0)</f>
        <v>DF</v>
      </c>
      <c r="W1697" s="8">
        <f>VLOOKUP(U1697,Jogadores!B:D,3,0)</f>
        <v>26.21643836</v>
      </c>
      <c r="X1697" s="7">
        <v>93.0</v>
      </c>
      <c r="Y1697" s="7">
        <f t="shared" si="5313"/>
        <v>99</v>
      </c>
      <c r="Z1697" s="7">
        <f>VLOOKUP(A1697,Jogos!A:L,3,0)</f>
        <v>52</v>
      </c>
      <c r="AA1697" s="7">
        <f t="shared" si="4815"/>
        <v>0</v>
      </c>
      <c r="AB1697" s="7">
        <f>VLOOKUP(A1697,Jogos!A:L,4,0)</f>
        <v>54</v>
      </c>
      <c r="AC1697" s="7">
        <f t="shared" si="5062"/>
        <v>6</v>
      </c>
      <c r="AD1697" s="7"/>
      <c r="AE1697" s="7"/>
      <c r="AF1697" s="7">
        <f t="shared" si="4566"/>
        <v>6</v>
      </c>
      <c r="AG1697" s="7">
        <v>568.1</v>
      </c>
      <c r="AH1697" s="7">
        <v>250.0</v>
      </c>
      <c r="AI1697" s="7">
        <v>190.3</v>
      </c>
      <c r="AJ1697" s="7">
        <v>74.4</v>
      </c>
      <c r="AK1697" s="7">
        <v>42.7</v>
      </c>
      <c r="AL1697" s="7">
        <v>10.7</v>
      </c>
      <c r="AM1697" s="7">
        <v>6.0</v>
      </c>
      <c r="AN1697" s="7">
        <v>5.0</v>
      </c>
      <c r="AO1697" s="7">
        <v>27.6</v>
      </c>
      <c r="AP1697" s="9">
        <f t="shared" ref="AP1697:AR1697" si="5323">AG1697/$AF1697</f>
        <v>94.68333333</v>
      </c>
      <c r="AQ1697" s="9">
        <f t="shared" si="5323"/>
        <v>41.66666667</v>
      </c>
      <c r="AR1697" s="9">
        <f t="shared" si="5323"/>
        <v>31.71666667</v>
      </c>
      <c r="AS1697" s="9">
        <f t="shared" si="4568"/>
        <v>73.38333333</v>
      </c>
      <c r="AT1697" s="9">
        <f t="shared" ref="AT1697:AV1697" si="5324">AJ1697/$AF1697</f>
        <v>12.4</v>
      </c>
      <c r="AU1697" s="9">
        <f t="shared" si="5324"/>
        <v>7.116666667</v>
      </c>
      <c r="AV1697" s="9">
        <f t="shared" si="5324"/>
        <v>1.783333333</v>
      </c>
      <c r="AW1697" s="9">
        <f t="shared" si="4570"/>
        <v>8.9</v>
      </c>
      <c r="AX1697" s="9">
        <f t="shared" ref="AX1697:AY1697" si="5325">AM1697/$AF1697</f>
        <v>1</v>
      </c>
      <c r="AY1697" s="9">
        <f t="shared" si="5325"/>
        <v>0.8333333333</v>
      </c>
      <c r="AZ1697" s="9">
        <f>VLOOKUP(A1697,Jogos!A:BN,58,0)</f>
        <v>28.43</v>
      </c>
      <c r="BA1697" s="9">
        <f>VLOOKUP(A1697,Jogos!A:BN,59,0)</f>
        <v>23.98</v>
      </c>
      <c r="BB1697" s="9">
        <f>VLOOKUP(A1697,Jogos!A:BN,60,0)</f>
        <v>76.5</v>
      </c>
      <c r="BC1697" s="9">
        <f>VLOOKUP(A1697,Jogos!A:BN,61,0)</f>
        <v>27.865</v>
      </c>
      <c r="BD1697" s="9">
        <f>VLOOKUP(A1697,Jogos!A:BN,62,0)</f>
        <v>339.6</v>
      </c>
      <c r="BE1697" s="9">
        <f>VLOOKUP(A1697,Jogos!A:BN,63,0)</f>
        <v>0.415</v>
      </c>
      <c r="BF1697" s="9">
        <f>VLOOKUP(A1697,Jogos!A:BN,64,0)</f>
        <v>25.63</v>
      </c>
      <c r="BG1697" s="9">
        <f>VLOOKUP(A1697,Jogos!A:BN,65,0)</f>
        <v>45.08</v>
      </c>
      <c r="BH1697" s="9">
        <f>VLOOKUP(A1697,Jogos!A:BN,66,0)</f>
        <v>29.8</v>
      </c>
      <c r="BI1697" s="9"/>
      <c r="BJ1697" s="9"/>
    </row>
    <row r="1698" hidden="1">
      <c r="A1698" s="2">
        <v>58.0</v>
      </c>
      <c r="B1698" s="2" t="s">
        <v>1380</v>
      </c>
      <c r="C1698" s="2" t="s">
        <v>1351</v>
      </c>
      <c r="D1698" s="3">
        <v>45842.0</v>
      </c>
      <c r="E1698" s="4">
        <v>0.875</v>
      </c>
      <c r="F1698" s="5" t="str">
        <f>VLOOKUP(A1698,Jogos!A:N,10,0)</f>
        <v>Evening</v>
      </c>
      <c r="G1698" s="2" t="s">
        <v>500</v>
      </c>
      <c r="H1698" s="6" t="str">
        <f>VLOOKUP(A1698,Jogos!A:L,12,0)</f>
        <v>Open</v>
      </c>
      <c r="I1698" s="6" t="str">
        <f>VLOOKUP(G1698,'Estádios e Cidades'!A:B,2,0)</f>
        <v>Philadelphia</v>
      </c>
      <c r="J1698" s="2" t="s">
        <v>250</v>
      </c>
      <c r="K1698" s="2" t="str">
        <f>VLOOKUP(J1698,Equipes!A:F,6,0)</f>
        <v>Temperate</v>
      </c>
      <c r="L1698" s="2">
        <f>VLOOKUP(J1698,Equipes!A:C,3,0)</f>
        <v>8</v>
      </c>
      <c r="M1698" s="2" t="str">
        <f t="shared" si="4"/>
        <v>Quarter-final</v>
      </c>
      <c r="N1698" s="2" t="s">
        <v>377</v>
      </c>
      <c r="O1698" s="2">
        <f>VLOOKUP(N1698,Equipes!A:C,3,0)</f>
        <v>1</v>
      </c>
      <c r="P1698" s="2" t="str">
        <f t="shared" si="5"/>
        <v>Final</v>
      </c>
      <c r="Q1698" s="2">
        <f t="shared" si="6"/>
        <v>7</v>
      </c>
      <c r="R1698" s="2" t="str">
        <f>VLOOKUP(J1698,Equipes!A:B,2,0)</f>
        <v>Palmeiras</v>
      </c>
      <c r="S1698" s="6" t="s">
        <v>1247</v>
      </c>
      <c r="T1698" s="7">
        <v>3.0</v>
      </c>
      <c r="U1698" s="7" t="s">
        <v>1248</v>
      </c>
      <c r="V1698" s="7" t="str">
        <f>VLOOKUP(U1698,Jogadores!B:C,2,0)</f>
        <v>DF</v>
      </c>
      <c r="W1698" s="8">
        <f>VLOOKUP(U1698,Jogadores!B:D,3,0)</f>
        <v>26.34246575</v>
      </c>
      <c r="X1698" s="7">
        <v>0.0</v>
      </c>
      <c r="Y1698" s="7">
        <f t="shared" si="5313"/>
        <v>94</v>
      </c>
      <c r="Z1698" s="7">
        <f>VLOOKUP(A1698,Jogos!A:L,3,0)</f>
        <v>47</v>
      </c>
      <c r="AA1698" s="7">
        <f t="shared" si="4815"/>
        <v>47</v>
      </c>
      <c r="AB1698" s="7">
        <f>VLOOKUP(A1698,Jogos!A:L,4,0)</f>
        <v>49</v>
      </c>
      <c r="AC1698" s="7">
        <f t="shared" si="5062"/>
        <v>49</v>
      </c>
      <c r="AD1698" s="7"/>
      <c r="AE1698" s="7"/>
      <c r="AF1698" s="7">
        <f t="shared" si="4566"/>
        <v>96</v>
      </c>
      <c r="AG1698" s="7">
        <v>8718.8</v>
      </c>
      <c r="AH1698" s="7">
        <v>4402.0</v>
      </c>
      <c r="AI1698" s="7">
        <v>2891.6</v>
      </c>
      <c r="AJ1698" s="7">
        <v>923.9</v>
      </c>
      <c r="AK1698" s="7">
        <v>352.4</v>
      </c>
      <c r="AL1698" s="7">
        <v>148.8</v>
      </c>
      <c r="AM1698" s="7">
        <v>75.0</v>
      </c>
      <c r="AN1698" s="7">
        <v>27.0</v>
      </c>
      <c r="AO1698" s="7">
        <v>33.0</v>
      </c>
      <c r="AP1698" s="9">
        <f t="shared" ref="AP1698:AR1698" si="5326">AG1698/$AF1698</f>
        <v>90.82083333</v>
      </c>
      <c r="AQ1698" s="9">
        <f t="shared" si="5326"/>
        <v>45.85416667</v>
      </c>
      <c r="AR1698" s="9">
        <f t="shared" si="5326"/>
        <v>30.12083333</v>
      </c>
      <c r="AS1698" s="9">
        <f t="shared" si="4568"/>
        <v>75.975</v>
      </c>
      <c r="AT1698" s="9">
        <f t="shared" ref="AT1698:AV1698" si="5327">AJ1698/$AF1698</f>
        <v>9.623958333</v>
      </c>
      <c r="AU1698" s="9">
        <f t="shared" si="5327"/>
        <v>3.670833333</v>
      </c>
      <c r="AV1698" s="9">
        <f t="shared" si="5327"/>
        <v>1.55</v>
      </c>
      <c r="AW1698" s="9">
        <f t="shared" si="4570"/>
        <v>5.220833333</v>
      </c>
      <c r="AX1698" s="9">
        <f t="shared" ref="AX1698:AY1698" si="5328">AM1698/$AF1698</f>
        <v>0.78125</v>
      </c>
      <c r="AY1698" s="9">
        <f t="shared" si="5328"/>
        <v>0.28125</v>
      </c>
      <c r="AZ1698" s="9">
        <f>VLOOKUP(A1698,Jogos!A:BN,58,0)</f>
        <v>22.28</v>
      </c>
      <c r="BA1698" s="9">
        <f>VLOOKUP(A1698,Jogos!A:BN,59,0)</f>
        <v>15.48</v>
      </c>
      <c r="BB1698" s="9">
        <f>VLOOKUP(A1698,Jogos!A:BN,60,0)</f>
        <v>64.5</v>
      </c>
      <c r="BC1698" s="9">
        <f>VLOOKUP(A1698,Jogos!A:BN,61,0)</f>
        <v>19.725</v>
      </c>
      <c r="BD1698" s="9">
        <f>VLOOKUP(A1698,Jogos!A:BN,62,0)</f>
        <v>0</v>
      </c>
      <c r="BE1698" s="9">
        <f>VLOOKUP(A1698,Jogos!A:BN,63,0)</f>
        <v>0.83</v>
      </c>
      <c r="BF1698" s="9">
        <f>VLOOKUP(A1698,Jogos!A:BN,64,0)</f>
        <v>20.05</v>
      </c>
      <c r="BG1698" s="9">
        <f>VLOOKUP(A1698,Jogos!A:BN,65,0)</f>
        <v>35.24</v>
      </c>
      <c r="BH1698" s="9">
        <f>VLOOKUP(A1698,Jogos!A:BN,66,0)</f>
        <v>23.315</v>
      </c>
      <c r="BI1698" s="9"/>
      <c r="BJ1698" s="9"/>
    </row>
    <row r="1699" hidden="1">
      <c r="A1699" s="2">
        <v>58.0</v>
      </c>
      <c r="B1699" s="2" t="s">
        <v>1380</v>
      </c>
      <c r="C1699" s="2" t="s">
        <v>1351</v>
      </c>
      <c r="D1699" s="3">
        <v>45842.0</v>
      </c>
      <c r="E1699" s="4">
        <v>0.875</v>
      </c>
      <c r="F1699" s="5" t="str">
        <f>VLOOKUP(A1699,Jogos!A:N,10,0)</f>
        <v>Evening</v>
      </c>
      <c r="G1699" s="2" t="s">
        <v>500</v>
      </c>
      <c r="H1699" s="6" t="str">
        <f>VLOOKUP(A1699,Jogos!A:L,12,0)</f>
        <v>Open</v>
      </c>
      <c r="I1699" s="6" t="str">
        <f>VLOOKUP(G1699,'Estádios e Cidades'!A:B,2,0)</f>
        <v>Philadelphia</v>
      </c>
      <c r="J1699" s="2" t="s">
        <v>250</v>
      </c>
      <c r="K1699" s="2" t="str">
        <f>VLOOKUP(J1699,Equipes!A:F,6,0)</f>
        <v>Temperate</v>
      </c>
      <c r="L1699" s="2">
        <f>VLOOKUP(J1699,Equipes!A:C,3,0)</f>
        <v>8</v>
      </c>
      <c r="M1699" s="2" t="str">
        <f t="shared" si="4"/>
        <v>Quarter-final</v>
      </c>
      <c r="N1699" s="2" t="s">
        <v>377</v>
      </c>
      <c r="O1699" s="2">
        <f>VLOOKUP(N1699,Equipes!A:C,3,0)</f>
        <v>1</v>
      </c>
      <c r="P1699" s="2" t="str">
        <f t="shared" si="5"/>
        <v>Final</v>
      </c>
      <c r="Q1699" s="2">
        <f t="shared" si="6"/>
        <v>7</v>
      </c>
      <c r="R1699" s="2" t="str">
        <f>VLOOKUP(J1699,Equipes!A:B,2,0)</f>
        <v>Palmeiras</v>
      </c>
      <c r="S1699" s="6" t="s">
        <v>252</v>
      </c>
      <c r="T1699" s="7">
        <v>4.0</v>
      </c>
      <c r="U1699" s="7" t="s">
        <v>253</v>
      </c>
      <c r="V1699" s="7" t="str">
        <f>VLOOKUP(U1699,Jogadores!B:C,2,0)</f>
        <v>DF</v>
      </c>
      <c r="W1699" s="8">
        <f>VLOOKUP(U1699,Jogadores!B:D,3,0)</f>
        <v>21.54520548</v>
      </c>
      <c r="X1699" s="7">
        <v>0.0</v>
      </c>
      <c r="Y1699" s="7">
        <f t="shared" si="5313"/>
        <v>94</v>
      </c>
      <c r="Z1699" s="7">
        <f>VLOOKUP(A1699,Jogos!A:L,3,0)</f>
        <v>47</v>
      </c>
      <c r="AA1699" s="7">
        <f t="shared" si="4815"/>
        <v>47</v>
      </c>
      <c r="AB1699" s="7">
        <f>VLOOKUP(A1699,Jogos!A:L,4,0)</f>
        <v>49</v>
      </c>
      <c r="AC1699" s="7">
        <f t="shared" si="5062"/>
        <v>49</v>
      </c>
      <c r="AD1699" s="7"/>
      <c r="AE1699" s="7"/>
      <c r="AF1699" s="7">
        <f t="shared" si="4566"/>
        <v>96</v>
      </c>
      <c r="AG1699" s="7">
        <v>9999.9</v>
      </c>
      <c r="AH1699" s="7">
        <v>3798.9</v>
      </c>
      <c r="AI1699" s="7">
        <v>4267.5</v>
      </c>
      <c r="AJ1699" s="7">
        <v>1239.5</v>
      </c>
      <c r="AK1699" s="7">
        <v>546.0</v>
      </c>
      <c r="AL1699" s="7">
        <v>148.1</v>
      </c>
      <c r="AM1699" s="7">
        <v>122.0</v>
      </c>
      <c r="AN1699" s="7">
        <v>43.0</v>
      </c>
      <c r="AO1699" s="7">
        <v>32.7</v>
      </c>
      <c r="AP1699" s="9">
        <f t="shared" ref="AP1699:AR1699" si="5329">AG1699/$AF1699</f>
        <v>104.165625</v>
      </c>
      <c r="AQ1699" s="9">
        <f t="shared" si="5329"/>
        <v>39.571875</v>
      </c>
      <c r="AR1699" s="9">
        <f t="shared" si="5329"/>
        <v>44.453125</v>
      </c>
      <c r="AS1699" s="9">
        <f t="shared" si="4568"/>
        <v>84.025</v>
      </c>
      <c r="AT1699" s="9">
        <f t="shared" ref="AT1699:AV1699" si="5330">AJ1699/$AF1699</f>
        <v>12.91145833</v>
      </c>
      <c r="AU1699" s="9">
        <f t="shared" si="5330"/>
        <v>5.6875</v>
      </c>
      <c r="AV1699" s="9">
        <f t="shared" si="5330"/>
        <v>1.542708333</v>
      </c>
      <c r="AW1699" s="9">
        <f t="shared" si="4570"/>
        <v>7.230208333</v>
      </c>
      <c r="AX1699" s="9">
        <f t="shared" ref="AX1699:AY1699" si="5331">AM1699/$AF1699</f>
        <v>1.270833333</v>
      </c>
      <c r="AY1699" s="9">
        <f t="shared" si="5331"/>
        <v>0.4479166667</v>
      </c>
      <c r="AZ1699" s="9">
        <f>VLOOKUP(A1699,Jogos!A:BN,58,0)</f>
        <v>22.28</v>
      </c>
      <c r="BA1699" s="9">
        <f>VLOOKUP(A1699,Jogos!A:BN,59,0)</f>
        <v>15.48</v>
      </c>
      <c r="BB1699" s="9">
        <f>VLOOKUP(A1699,Jogos!A:BN,60,0)</f>
        <v>64.5</v>
      </c>
      <c r="BC1699" s="9">
        <f>VLOOKUP(A1699,Jogos!A:BN,61,0)</f>
        <v>19.725</v>
      </c>
      <c r="BD1699" s="9">
        <f>VLOOKUP(A1699,Jogos!A:BN,62,0)</f>
        <v>0</v>
      </c>
      <c r="BE1699" s="9">
        <f>VLOOKUP(A1699,Jogos!A:BN,63,0)</f>
        <v>0.83</v>
      </c>
      <c r="BF1699" s="9">
        <f>VLOOKUP(A1699,Jogos!A:BN,64,0)</f>
        <v>20.05</v>
      </c>
      <c r="BG1699" s="9">
        <f>VLOOKUP(A1699,Jogos!A:BN,65,0)</f>
        <v>35.24</v>
      </c>
      <c r="BH1699" s="9">
        <f>VLOOKUP(A1699,Jogos!A:BN,66,0)</f>
        <v>23.315</v>
      </c>
      <c r="BI1699" s="9"/>
      <c r="BJ1699" s="9"/>
    </row>
    <row r="1700" hidden="1">
      <c r="A1700" s="2">
        <v>58.0</v>
      </c>
      <c r="B1700" s="2" t="s">
        <v>1380</v>
      </c>
      <c r="C1700" s="2" t="s">
        <v>1351</v>
      </c>
      <c r="D1700" s="3">
        <v>45842.0</v>
      </c>
      <c r="E1700" s="4">
        <v>0.875</v>
      </c>
      <c r="F1700" s="5" t="str">
        <f>VLOOKUP(A1700,Jogos!A:N,10,0)</f>
        <v>Evening</v>
      </c>
      <c r="G1700" s="2" t="s">
        <v>500</v>
      </c>
      <c r="H1700" s="6" t="str">
        <f>VLOOKUP(A1700,Jogos!A:L,12,0)</f>
        <v>Open</v>
      </c>
      <c r="I1700" s="6" t="str">
        <f>VLOOKUP(G1700,'Estádios e Cidades'!A:B,2,0)</f>
        <v>Philadelphia</v>
      </c>
      <c r="J1700" s="2" t="s">
        <v>250</v>
      </c>
      <c r="K1700" s="2" t="str">
        <f>VLOOKUP(J1700,Equipes!A:F,6,0)</f>
        <v>Temperate</v>
      </c>
      <c r="L1700" s="2">
        <f>VLOOKUP(J1700,Equipes!A:C,3,0)</f>
        <v>8</v>
      </c>
      <c r="M1700" s="2" t="str">
        <f t="shared" si="4"/>
        <v>Quarter-final</v>
      </c>
      <c r="N1700" s="2" t="s">
        <v>377</v>
      </c>
      <c r="O1700" s="2">
        <f>VLOOKUP(N1700,Equipes!A:C,3,0)</f>
        <v>1</v>
      </c>
      <c r="P1700" s="2" t="str">
        <f t="shared" si="5"/>
        <v>Final</v>
      </c>
      <c r="Q1700" s="2">
        <f t="shared" si="6"/>
        <v>7</v>
      </c>
      <c r="R1700" s="2" t="str">
        <f>VLOOKUP(J1700,Equipes!A:B,2,0)</f>
        <v>Palmeiras</v>
      </c>
      <c r="S1700" s="6" t="s">
        <v>1062</v>
      </c>
      <c r="T1700" s="7">
        <v>6.0</v>
      </c>
      <c r="U1700" s="7" t="s">
        <v>1063</v>
      </c>
      <c r="V1700" s="7" t="str">
        <f>VLOOKUP(U1700,Jogadores!B:C,2,0)</f>
        <v>DF</v>
      </c>
      <c r="W1700" s="8">
        <f>VLOOKUP(U1700,Jogadores!B:D,3,0)</f>
        <v>22.90410959</v>
      </c>
      <c r="X1700" s="7">
        <v>0.0</v>
      </c>
      <c r="Y1700" s="7">
        <f t="shared" si="5313"/>
        <v>94</v>
      </c>
      <c r="Z1700" s="7">
        <f>VLOOKUP(A1700,Jogos!A:L,3,0)</f>
        <v>47</v>
      </c>
      <c r="AA1700" s="7">
        <f t="shared" si="4815"/>
        <v>47</v>
      </c>
      <c r="AB1700" s="7">
        <f>VLOOKUP(A1700,Jogos!A:L,4,0)</f>
        <v>49</v>
      </c>
      <c r="AC1700" s="7">
        <f t="shared" si="5062"/>
        <v>49</v>
      </c>
      <c r="AD1700" s="7"/>
      <c r="AE1700" s="7"/>
      <c r="AF1700" s="7">
        <f t="shared" si="4566"/>
        <v>96</v>
      </c>
      <c r="AG1700" s="7">
        <v>8932.8</v>
      </c>
      <c r="AH1700" s="7">
        <v>3781.5</v>
      </c>
      <c r="AI1700" s="7">
        <v>3380.5</v>
      </c>
      <c r="AJ1700" s="7">
        <v>1006.7</v>
      </c>
      <c r="AK1700" s="7">
        <v>470.5</v>
      </c>
      <c r="AL1700" s="7">
        <v>293.6</v>
      </c>
      <c r="AM1700" s="7">
        <v>93.0</v>
      </c>
      <c r="AN1700" s="7">
        <v>38.0</v>
      </c>
      <c r="AO1700" s="7">
        <v>35.2</v>
      </c>
      <c r="AP1700" s="9">
        <f t="shared" ref="AP1700:AR1700" si="5332">AG1700/$AF1700</f>
        <v>93.05</v>
      </c>
      <c r="AQ1700" s="9">
        <f t="shared" si="5332"/>
        <v>39.390625</v>
      </c>
      <c r="AR1700" s="9">
        <f t="shared" si="5332"/>
        <v>35.21354167</v>
      </c>
      <c r="AS1700" s="9">
        <f t="shared" si="4568"/>
        <v>74.60416667</v>
      </c>
      <c r="AT1700" s="9">
        <f t="shared" ref="AT1700:AV1700" si="5333">AJ1700/$AF1700</f>
        <v>10.48645833</v>
      </c>
      <c r="AU1700" s="9">
        <f t="shared" si="5333"/>
        <v>4.901041667</v>
      </c>
      <c r="AV1700" s="9">
        <f t="shared" si="5333"/>
        <v>3.058333333</v>
      </c>
      <c r="AW1700" s="9">
        <f t="shared" si="4570"/>
        <v>7.959375</v>
      </c>
      <c r="AX1700" s="9">
        <f t="shared" ref="AX1700:AY1700" si="5334">AM1700/$AF1700</f>
        <v>0.96875</v>
      </c>
      <c r="AY1700" s="9">
        <f t="shared" si="5334"/>
        <v>0.3958333333</v>
      </c>
      <c r="AZ1700" s="9">
        <f>VLOOKUP(A1700,Jogos!A:BN,58,0)</f>
        <v>22.28</v>
      </c>
      <c r="BA1700" s="9">
        <f>VLOOKUP(A1700,Jogos!A:BN,59,0)</f>
        <v>15.48</v>
      </c>
      <c r="BB1700" s="9">
        <f>VLOOKUP(A1700,Jogos!A:BN,60,0)</f>
        <v>64.5</v>
      </c>
      <c r="BC1700" s="9">
        <f>VLOOKUP(A1700,Jogos!A:BN,61,0)</f>
        <v>19.725</v>
      </c>
      <c r="BD1700" s="9">
        <f>VLOOKUP(A1700,Jogos!A:BN,62,0)</f>
        <v>0</v>
      </c>
      <c r="BE1700" s="9">
        <f>VLOOKUP(A1700,Jogos!A:BN,63,0)</f>
        <v>0.83</v>
      </c>
      <c r="BF1700" s="9">
        <f>VLOOKUP(A1700,Jogos!A:BN,64,0)</f>
        <v>20.05</v>
      </c>
      <c r="BG1700" s="9">
        <f>VLOOKUP(A1700,Jogos!A:BN,65,0)</f>
        <v>35.24</v>
      </c>
      <c r="BH1700" s="9">
        <f>VLOOKUP(A1700,Jogos!A:BN,66,0)</f>
        <v>23.315</v>
      </c>
      <c r="BI1700" s="9"/>
      <c r="BJ1700" s="9"/>
    </row>
    <row r="1701" hidden="1">
      <c r="A1701" s="2">
        <v>58.0</v>
      </c>
      <c r="B1701" s="2" t="s">
        <v>1380</v>
      </c>
      <c r="C1701" s="2" t="s">
        <v>1351</v>
      </c>
      <c r="D1701" s="3">
        <v>45842.0</v>
      </c>
      <c r="E1701" s="4">
        <v>0.875</v>
      </c>
      <c r="F1701" s="5" t="str">
        <f>VLOOKUP(A1701,Jogos!A:N,10,0)</f>
        <v>Evening</v>
      </c>
      <c r="G1701" s="2" t="s">
        <v>500</v>
      </c>
      <c r="H1701" s="6" t="str">
        <f>VLOOKUP(A1701,Jogos!A:L,12,0)</f>
        <v>Open</v>
      </c>
      <c r="I1701" s="6" t="str">
        <f>VLOOKUP(G1701,'Estádios e Cidades'!A:B,2,0)</f>
        <v>Philadelphia</v>
      </c>
      <c r="J1701" s="2" t="s">
        <v>250</v>
      </c>
      <c r="K1701" s="2" t="str">
        <f>VLOOKUP(J1701,Equipes!A:F,6,0)</f>
        <v>Temperate</v>
      </c>
      <c r="L1701" s="2">
        <f>VLOOKUP(J1701,Equipes!A:C,3,0)</f>
        <v>8</v>
      </c>
      <c r="M1701" s="2" t="str">
        <f t="shared" si="4"/>
        <v>Quarter-final</v>
      </c>
      <c r="N1701" s="2" t="s">
        <v>377</v>
      </c>
      <c r="O1701" s="2">
        <f>VLOOKUP(N1701,Equipes!A:C,3,0)</f>
        <v>1</v>
      </c>
      <c r="P1701" s="2" t="str">
        <f t="shared" si="5"/>
        <v>Final</v>
      </c>
      <c r="Q1701" s="2">
        <f t="shared" si="6"/>
        <v>7</v>
      </c>
      <c r="R1701" s="2" t="str">
        <f>VLOOKUP(J1701,Equipes!A:B,2,0)</f>
        <v>Palmeiras</v>
      </c>
      <c r="S1701" s="6" t="s">
        <v>258</v>
      </c>
      <c r="T1701" s="7">
        <v>8.0</v>
      </c>
      <c r="U1701" s="7" t="s">
        <v>259</v>
      </c>
      <c r="V1701" s="7" t="str">
        <f>VLOOKUP(U1701,Jogadores!B:C,2,0)</f>
        <v>MF</v>
      </c>
      <c r="W1701" s="8">
        <f>VLOOKUP(U1701,Jogadores!B:D,3,0)</f>
        <v>25.16986301</v>
      </c>
      <c r="X1701" s="7">
        <v>0.0</v>
      </c>
      <c r="Y1701" s="7">
        <v>85.0</v>
      </c>
      <c r="Z1701" s="7">
        <f>VLOOKUP(A1701,Jogos!A:L,3,0)</f>
        <v>47</v>
      </c>
      <c r="AA1701" s="7">
        <f t="shared" si="4815"/>
        <v>47</v>
      </c>
      <c r="AB1701" s="7">
        <f>VLOOKUP(A1701,Jogos!A:L,4,0)</f>
        <v>49</v>
      </c>
      <c r="AC1701" s="7">
        <f t="shared" si="5062"/>
        <v>40</v>
      </c>
      <c r="AD1701" s="7"/>
      <c r="AE1701" s="7"/>
      <c r="AF1701" s="7">
        <f t="shared" si="4566"/>
        <v>87</v>
      </c>
      <c r="AG1701" s="7">
        <v>9548.8</v>
      </c>
      <c r="AH1701" s="7">
        <v>3483.2</v>
      </c>
      <c r="AI1701" s="7">
        <v>3459.3</v>
      </c>
      <c r="AJ1701" s="7">
        <v>1750.8</v>
      </c>
      <c r="AK1701" s="7">
        <v>593.5</v>
      </c>
      <c r="AL1701" s="7">
        <v>262.1</v>
      </c>
      <c r="AM1701" s="7">
        <v>143.0</v>
      </c>
      <c r="AN1701" s="7">
        <v>45.0</v>
      </c>
      <c r="AO1701" s="7">
        <v>32.2</v>
      </c>
      <c r="AP1701" s="9">
        <f t="shared" ref="AP1701:AR1701" si="5335">AG1701/$AF1701</f>
        <v>109.7563218</v>
      </c>
      <c r="AQ1701" s="9">
        <f t="shared" si="5335"/>
        <v>40.03678161</v>
      </c>
      <c r="AR1701" s="9">
        <f t="shared" si="5335"/>
        <v>39.76206897</v>
      </c>
      <c r="AS1701" s="9">
        <f t="shared" si="4568"/>
        <v>79.79885057</v>
      </c>
      <c r="AT1701" s="9">
        <f t="shared" ref="AT1701:AV1701" si="5336">AJ1701/$AF1701</f>
        <v>20.12413793</v>
      </c>
      <c r="AU1701" s="9">
        <f t="shared" si="5336"/>
        <v>6.82183908</v>
      </c>
      <c r="AV1701" s="9">
        <f t="shared" si="5336"/>
        <v>3.012643678</v>
      </c>
      <c r="AW1701" s="9">
        <f t="shared" si="4570"/>
        <v>9.834482759</v>
      </c>
      <c r="AX1701" s="9">
        <f t="shared" ref="AX1701:AY1701" si="5337">AM1701/$AF1701</f>
        <v>1.643678161</v>
      </c>
      <c r="AY1701" s="9">
        <f t="shared" si="5337"/>
        <v>0.5172413793</v>
      </c>
      <c r="AZ1701" s="9">
        <f>VLOOKUP(A1701,Jogos!A:BN,58,0)</f>
        <v>22.28</v>
      </c>
      <c r="BA1701" s="9">
        <f>VLOOKUP(A1701,Jogos!A:BN,59,0)</f>
        <v>15.48</v>
      </c>
      <c r="BB1701" s="9">
        <f>VLOOKUP(A1701,Jogos!A:BN,60,0)</f>
        <v>64.5</v>
      </c>
      <c r="BC1701" s="9">
        <f>VLOOKUP(A1701,Jogos!A:BN,61,0)</f>
        <v>19.725</v>
      </c>
      <c r="BD1701" s="9">
        <f>VLOOKUP(A1701,Jogos!A:BN,62,0)</f>
        <v>0</v>
      </c>
      <c r="BE1701" s="9">
        <f>VLOOKUP(A1701,Jogos!A:BN,63,0)</f>
        <v>0.83</v>
      </c>
      <c r="BF1701" s="9">
        <f>VLOOKUP(A1701,Jogos!A:BN,64,0)</f>
        <v>20.05</v>
      </c>
      <c r="BG1701" s="9">
        <f>VLOOKUP(A1701,Jogos!A:BN,65,0)</f>
        <v>35.24</v>
      </c>
      <c r="BH1701" s="9">
        <f>VLOOKUP(A1701,Jogos!A:BN,66,0)</f>
        <v>23.315</v>
      </c>
      <c r="BI1701" s="9"/>
      <c r="BJ1701" s="9"/>
    </row>
    <row r="1702" hidden="1">
      <c r="A1702" s="2">
        <v>58.0</v>
      </c>
      <c r="B1702" s="2" t="s">
        <v>1380</v>
      </c>
      <c r="C1702" s="2" t="s">
        <v>1351</v>
      </c>
      <c r="D1702" s="3">
        <v>45842.0</v>
      </c>
      <c r="E1702" s="4">
        <v>0.875</v>
      </c>
      <c r="F1702" s="5" t="str">
        <f>VLOOKUP(A1702,Jogos!A:N,10,0)</f>
        <v>Evening</v>
      </c>
      <c r="G1702" s="2" t="s">
        <v>500</v>
      </c>
      <c r="H1702" s="6" t="str">
        <f>VLOOKUP(A1702,Jogos!A:L,12,0)</f>
        <v>Open</v>
      </c>
      <c r="I1702" s="6" t="str">
        <f>VLOOKUP(G1702,'Estádios e Cidades'!A:B,2,0)</f>
        <v>Philadelphia</v>
      </c>
      <c r="J1702" s="2" t="s">
        <v>250</v>
      </c>
      <c r="K1702" s="2" t="str">
        <f>VLOOKUP(J1702,Equipes!A:F,6,0)</f>
        <v>Temperate</v>
      </c>
      <c r="L1702" s="2">
        <f>VLOOKUP(J1702,Equipes!A:C,3,0)</f>
        <v>8</v>
      </c>
      <c r="M1702" s="2" t="str">
        <f t="shared" si="4"/>
        <v>Quarter-final</v>
      </c>
      <c r="N1702" s="2" t="s">
        <v>377</v>
      </c>
      <c r="O1702" s="2">
        <f>VLOOKUP(N1702,Equipes!A:C,3,0)</f>
        <v>1</v>
      </c>
      <c r="P1702" s="2" t="str">
        <f t="shared" si="5"/>
        <v>Final</v>
      </c>
      <c r="Q1702" s="2">
        <f t="shared" si="6"/>
        <v>7</v>
      </c>
      <c r="R1702" s="2" t="str">
        <f>VLOOKUP(J1702,Equipes!A:B,2,0)</f>
        <v>Palmeiras</v>
      </c>
      <c r="S1702" s="6" t="s">
        <v>260</v>
      </c>
      <c r="T1702" s="7">
        <v>9.0</v>
      </c>
      <c r="U1702" s="7" t="s">
        <v>261</v>
      </c>
      <c r="V1702" s="7" t="str">
        <f>VLOOKUP(U1702,Jogadores!B:C,2,0)</f>
        <v>FW</v>
      </c>
      <c r="W1702" s="8">
        <f>VLOOKUP(U1702,Jogadores!B:D,3,0)</f>
        <v>20.42465753</v>
      </c>
      <c r="X1702" s="7">
        <v>0.0</v>
      </c>
      <c r="Y1702" s="7">
        <v>76.0</v>
      </c>
      <c r="Z1702" s="7">
        <f>VLOOKUP(A1702,Jogos!A:L,3,0)</f>
        <v>47</v>
      </c>
      <c r="AA1702" s="7">
        <f t="shared" si="4815"/>
        <v>47</v>
      </c>
      <c r="AB1702" s="7">
        <f>VLOOKUP(A1702,Jogos!A:L,4,0)</f>
        <v>49</v>
      </c>
      <c r="AC1702" s="7">
        <f t="shared" si="5062"/>
        <v>31</v>
      </c>
      <c r="AD1702" s="7"/>
      <c r="AE1702" s="7"/>
      <c r="AF1702" s="7">
        <f t="shared" si="4566"/>
        <v>78</v>
      </c>
      <c r="AG1702" s="7">
        <v>7694.6</v>
      </c>
      <c r="AH1702" s="7">
        <v>3480.8</v>
      </c>
      <c r="AI1702" s="7">
        <v>2903.0</v>
      </c>
      <c r="AJ1702" s="7">
        <v>717.2</v>
      </c>
      <c r="AK1702" s="7">
        <v>336.3</v>
      </c>
      <c r="AL1702" s="7">
        <v>257.3</v>
      </c>
      <c r="AM1702" s="7">
        <v>63.0</v>
      </c>
      <c r="AN1702" s="7">
        <v>36.0</v>
      </c>
      <c r="AO1702" s="7">
        <v>33.6</v>
      </c>
      <c r="AP1702" s="9">
        <f t="shared" ref="AP1702:AR1702" si="5338">AG1702/$AF1702</f>
        <v>98.64871795</v>
      </c>
      <c r="AQ1702" s="9">
        <f t="shared" si="5338"/>
        <v>44.62564103</v>
      </c>
      <c r="AR1702" s="9">
        <f t="shared" si="5338"/>
        <v>37.21794872</v>
      </c>
      <c r="AS1702" s="9">
        <f t="shared" si="4568"/>
        <v>81.84358974</v>
      </c>
      <c r="AT1702" s="9">
        <f t="shared" ref="AT1702:AV1702" si="5339">AJ1702/$AF1702</f>
        <v>9.194871795</v>
      </c>
      <c r="AU1702" s="9">
        <f t="shared" si="5339"/>
        <v>4.311538462</v>
      </c>
      <c r="AV1702" s="9">
        <f t="shared" si="5339"/>
        <v>3.298717949</v>
      </c>
      <c r="AW1702" s="9">
        <f t="shared" si="4570"/>
        <v>7.61025641</v>
      </c>
      <c r="AX1702" s="9">
        <f t="shared" ref="AX1702:AY1702" si="5340">AM1702/$AF1702</f>
        <v>0.8076923077</v>
      </c>
      <c r="AY1702" s="9">
        <f t="shared" si="5340"/>
        <v>0.4615384615</v>
      </c>
      <c r="AZ1702" s="9">
        <f>VLOOKUP(A1702,Jogos!A:BN,58,0)</f>
        <v>22.28</v>
      </c>
      <c r="BA1702" s="9">
        <f>VLOOKUP(A1702,Jogos!A:BN,59,0)</f>
        <v>15.48</v>
      </c>
      <c r="BB1702" s="9">
        <f>VLOOKUP(A1702,Jogos!A:BN,60,0)</f>
        <v>64.5</v>
      </c>
      <c r="BC1702" s="9">
        <f>VLOOKUP(A1702,Jogos!A:BN,61,0)</f>
        <v>19.725</v>
      </c>
      <c r="BD1702" s="9">
        <f>VLOOKUP(A1702,Jogos!A:BN,62,0)</f>
        <v>0</v>
      </c>
      <c r="BE1702" s="9">
        <f>VLOOKUP(A1702,Jogos!A:BN,63,0)</f>
        <v>0.83</v>
      </c>
      <c r="BF1702" s="9">
        <f>VLOOKUP(A1702,Jogos!A:BN,64,0)</f>
        <v>20.05</v>
      </c>
      <c r="BG1702" s="9">
        <f>VLOOKUP(A1702,Jogos!A:BN,65,0)</f>
        <v>35.24</v>
      </c>
      <c r="BH1702" s="9">
        <f>VLOOKUP(A1702,Jogos!A:BN,66,0)</f>
        <v>23.315</v>
      </c>
      <c r="BI1702" s="9"/>
      <c r="BJ1702" s="9"/>
    </row>
    <row r="1703" hidden="1">
      <c r="A1703" s="2">
        <v>58.0</v>
      </c>
      <c r="B1703" s="2" t="s">
        <v>1380</v>
      </c>
      <c r="C1703" s="2" t="s">
        <v>1351</v>
      </c>
      <c r="D1703" s="3">
        <v>45842.0</v>
      </c>
      <c r="E1703" s="4">
        <v>0.875</v>
      </c>
      <c r="F1703" s="5" t="str">
        <f>VLOOKUP(A1703,Jogos!A:N,10,0)</f>
        <v>Evening</v>
      </c>
      <c r="G1703" s="2" t="s">
        <v>500</v>
      </c>
      <c r="H1703" s="6" t="str">
        <f>VLOOKUP(A1703,Jogos!A:L,12,0)</f>
        <v>Open</v>
      </c>
      <c r="I1703" s="6" t="str">
        <f>VLOOKUP(G1703,'Estádios e Cidades'!A:B,2,0)</f>
        <v>Philadelphia</v>
      </c>
      <c r="J1703" s="2" t="s">
        <v>250</v>
      </c>
      <c r="K1703" s="2" t="str">
        <f>VLOOKUP(J1703,Equipes!A:F,6,0)</f>
        <v>Temperate</v>
      </c>
      <c r="L1703" s="2">
        <f>VLOOKUP(J1703,Equipes!A:C,3,0)</f>
        <v>8</v>
      </c>
      <c r="M1703" s="2" t="str">
        <f t="shared" si="4"/>
        <v>Quarter-final</v>
      </c>
      <c r="N1703" s="2" t="s">
        <v>377</v>
      </c>
      <c r="O1703" s="2">
        <f>VLOOKUP(N1703,Equipes!A:C,3,0)</f>
        <v>1</v>
      </c>
      <c r="P1703" s="2" t="str">
        <f t="shared" si="5"/>
        <v>Final</v>
      </c>
      <c r="Q1703" s="2">
        <f t="shared" si="6"/>
        <v>7</v>
      </c>
      <c r="R1703" s="2" t="str">
        <f>VLOOKUP(J1703,Equipes!A:B,2,0)</f>
        <v>Palmeiras</v>
      </c>
      <c r="S1703" s="6" t="s">
        <v>1354</v>
      </c>
      <c r="T1703" s="7">
        <v>13.0</v>
      </c>
      <c r="U1703" s="7" t="s">
        <v>1355</v>
      </c>
      <c r="V1703" s="7" t="str">
        <f>VLOOKUP(U1703,Jogadores!B:C,2,0)</f>
        <v>DF</v>
      </c>
      <c r="W1703" s="8">
        <f>VLOOKUP(U1703,Jogadores!B:D,3,0)</f>
        <v>42.4739726</v>
      </c>
      <c r="X1703" s="7">
        <v>0.0</v>
      </c>
      <c r="Y1703" s="7">
        <f>45+AB1703</f>
        <v>94</v>
      </c>
      <c r="Z1703" s="7">
        <f>VLOOKUP(A1703,Jogos!A:L,3,0)</f>
        <v>47</v>
      </c>
      <c r="AA1703" s="7">
        <f t="shared" si="4815"/>
        <v>47</v>
      </c>
      <c r="AB1703" s="7">
        <f>VLOOKUP(A1703,Jogos!A:L,4,0)</f>
        <v>49</v>
      </c>
      <c r="AC1703" s="7">
        <f t="shared" si="5062"/>
        <v>49</v>
      </c>
      <c r="AD1703" s="7"/>
      <c r="AE1703" s="7"/>
      <c r="AF1703" s="7">
        <f t="shared" si="4566"/>
        <v>96</v>
      </c>
      <c r="AG1703" s="7">
        <v>9069.9</v>
      </c>
      <c r="AH1703" s="7">
        <v>4024.2</v>
      </c>
      <c r="AI1703" s="7">
        <v>3495.9</v>
      </c>
      <c r="AJ1703" s="7">
        <v>1133.7</v>
      </c>
      <c r="AK1703" s="7">
        <v>381.9</v>
      </c>
      <c r="AL1703" s="7">
        <v>34.2</v>
      </c>
      <c r="AM1703" s="7">
        <v>108.0</v>
      </c>
      <c r="AN1703" s="7">
        <v>29.0</v>
      </c>
      <c r="AO1703" s="7">
        <v>30.3</v>
      </c>
      <c r="AP1703" s="9">
        <f t="shared" ref="AP1703:AR1703" si="5341">AG1703/$AF1703</f>
        <v>94.478125</v>
      </c>
      <c r="AQ1703" s="9">
        <f t="shared" si="5341"/>
        <v>41.91875</v>
      </c>
      <c r="AR1703" s="9">
        <f t="shared" si="5341"/>
        <v>36.415625</v>
      </c>
      <c r="AS1703" s="9">
        <f t="shared" si="4568"/>
        <v>78.334375</v>
      </c>
      <c r="AT1703" s="9">
        <f t="shared" ref="AT1703:AV1703" si="5342">AJ1703/$AF1703</f>
        <v>11.809375</v>
      </c>
      <c r="AU1703" s="9">
        <f t="shared" si="5342"/>
        <v>3.978125</v>
      </c>
      <c r="AV1703" s="9">
        <f t="shared" si="5342"/>
        <v>0.35625</v>
      </c>
      <c r="AW1703" s="9">
        <f t="shared" si="4570"/>
        <v>4.334375</v>
      </c>
      <c r="AX1703" s="9">
        <f t="shared" ref="AX1703:AY1703" si="5343">AM1703/$AF1703</f>
        <v>1.125</v>
      </c>
      <c r="AY1703" s="9">
        <f t="shared" si="5343"/>
        <v>0.3020833333</v>
      </c>
      <c r="AZ1703" s="9">
        <f>VLOOKUP(A1703,Jogos!A:BN,58,0)</f>
        <v>22.28</v>
      </c>
      <c r="BA1703" s="9">
        <f>VLOOKUP(A1703,Jogos!A:BN,59,0)</f>
        <v>15.48</v>
      </c>
      <c r="BB1703" s="9">
        <f>VLOOKUP(A1703,Jogos!A:BN,60,0)</f>
        <v>64.5</v>
      </c>
      <c r="BC1703" s="9">
        <f>VLOOKUP(A1703,Jogos!A:BN,61,0)</f>
        <v>19.725</v>
      </c>
      <c r="BD1703" s="9">
        <f>VLOOKUP(A1703,Jogos!A:BN,62,0)</f>
        <v>0</v>
      </c>
      <c r="BE1703" s="9">
        <f>VLOOKUP(A1703,Jogos!A:BN,63,0)</f>
        <v>0.83</v>
      </c>
      <c r="BF1703" s="9">
        <f>VLOOKUP(A1703,Jogos!A:BN,64,0)</f>
        <v>20.05</v>
      </c>
      <c r="BG1703" s="9">
        <f>VLOOKUP(A1703,Jogos!A:BN,65,0)</f>
        <v>35.24</v>
      </c>
      <c r="BH1703" s="9">
        <f>VLOOKUP(A1703,Jogos!A:BN,66,0)</f>
        <v>23.315</v>
      </c>
      <c r="BI1703" s="9"/>
      <c r="BJ1703" s="9"/>
    </row>
    <row r="1704" hidden="1">
      <c r="A1704" s="2">
        <v>58.0</v>
      </c>
      <c r="B1704" s="2" t="s">
        <v>1380</v>
      </c>
      <c r="C1704" s="2" t="s">
        <v>1351</v>
      </c>
      <c r="D1704" s="3">
        <v>45842.0</v>
      </c>
      <c r="E1704" s="4">
        <v>0.875</v>
      </c>
      <c r="F1704" s="5" t="str">
        <f>VLOOKUP(A1704,Jogos!A:N,10,0)</f>
        <v>Evening</v>
      </c>
      <c r="G1704" s="2" t="s">
        <v>500</v>
      </c>
      <c r="H1704" s="6" t="str">
        <f>VLOOKUP(A1704,Jogos!A:L,12,0)</f>
        <v>Open</v>
      </c>
      <c r="I1704" s="6" t="str">
        <f>VLOOKUP(G1704,'Estádios e Cidades'!A:B,2,0)</f>
        <v>Philadelphia</v>
      </c>
      <c r="J1704" s="2" t="s">
        <v>250</v>
      </c>
      <c r="K1704" s="2" t="str">
        <f>VLOOKUP(J1704,Equipes!A:F,6,0)</f>
        <v>Temperate</v>
      </c>
      <c r="L1704" s="2">
        <f>VLOOKUP(J1704,Equipes!A:C,3,0)</f>
        <v>8</v>
      </c>
      <c r="M1704" s="2" t="str">
        <f t="shared" si="4"/>
        <v>Quarter-final</v>
      </c>
      <c r="N1704" s="2" t="s">
        <v>377</v>
      </c>
      <c r="O1704" s="2">
        <f>VLOOKUP(N1704,Equipes!A:C,3,0)</f>
        <v>1</v>
      </c>
      <c r="P1704" s="2" t="str">
        <f t="shared" si="5"/>
        <v>Final</v>
      </c>
      <c r="Q1704" s="2">
        <f t="shared" si="6"/>
        <v>7</v>
      </c>
      <c r="R1704" s="2" t="str">
        <f>VLOOKUP(J1704,Equipes!A:B,2,0)</f>
        <v>Palmeiras</v>
      </c>
      <c r="S1704" s="6" t="s">
        <v>1060</v>
      </c>
      <c r="T1704" s="7">
        <v>17.0</v>
      </c>
      <c r="U1704" s="7" t="s">
        <v>1061</v>
      </c>
      <c r="V1704" s="7" t="str">
        <f>VLOOKUP(U1704,Jogadores!B:C,2,0)</f>
        <v>FW</v>
      </c>
      <c r="W1704" s="8">
        <f>VLOOKUP(U1704,Jogadores!B:D,3,0)</f>
        <v>25.30684932</v>
      </c>
      <c r="X1704" s="7">
        <v>0.0</v>
      </c>
      <c r="Y1704" s="7">
        <v>67.0</v>
      </c>
      <c r="Z1704" s="7">
        <f>VLOOKUP(A1704,Jogos!A:L,3,0)</f>
        <v>47</v>
      </c>
      <c r="AA1704" s="7">
        <f t="shared" si="4815"/>
        <v>47</v>
      </c>
      <c r="AB1704" s="7">
        <f>VLOOKUP(A1704,Jogos!A:L,4,0)</f>
        <v>49</v>
      </c>
      <c r="AC1704" s="7">
        <f t="shared" si="5062"/>
        <v>22</v>
      </c>
      <c r="AD1704" s="7"/>
      <c r="AE1704" s="7"/>
      <c r="AF1704" s="7">
        <f t="shared" si="4566"/>
        <v>69</v>
      </c>
      <c r="AG1704" s="7">
        <v>8550.3</v>
      </c>
      <c r="AH1704" s="7">
        <v>2460.7</v>
      </c>
      <c r="AI1704" s="7">
        <v>3754.1</v>
      </c>
      <c r="AJ1704" s="7">
        <v>1506.6</v>
      </c>
      <c r="AK1704" s="7">
        <v>697.2</v>
      </c>
      <c r="AL1704" s="7">
        <v>131.7</v>
      </c>
      <c r="AM1704" s="7">
        <v>141.0</v>
      </c>
      <c r="AN1704" s="7">
        <v>49.0</v>
      </c>
      <c r="AO1704" s="7">
        <v>29.0</v>
      </c>
      <c r="AP1704" s="9">
        <f t="shared" ref="AP1704:AR1704" si="5344">AG1704/$AF1704</f>
        <v>123.9173913</v>
      </c>
      <c r="AQ1704" s="9">
        <f t="shared" si="5344"/>
        <v>35.66231884</v>
      </c>
      <c r="AR1704" s="9">
        <f t="shared" si="5344"/>
        <v>54.40724638</v>
      </c>
      <c r="AS1704" s="9">
        <f t="shared" si="4568"/>
        <v>90.06956522</v>
      </c>
      <c r="AT1704" s="9">
        <f t="shared" ref="AT1704:AV1704" si="5345">AJ1704/$AF1704</f>
        <v>21.83478261</v>
      </c>
      <c r="AU1704" s="9">
        <f t="shared" si="5345"/>
        <v>10.10434783</v>
      </c>
      <c r="AV1704" s="9">
        <f t="shared" si="5345"/>
        <v>1.908695652</v>
      </c>
      <c r="AW1704" s="9">
        <f t="shared" si="4570"/>
        <v>12.01304348</v>
      </c>
      <c r="AX1704" s="9">
        <f t="shared" ref="AX1704:AY1704" si="5346">AM1704/$AF1704</f>
        <v>2.043478261</v>
      </c>
      <c r="AY1704" s="9">
        <f t="shared" si="5346"/>
        <v>0.7101449275</v>
      </c>
      <c r="AZ1704" s="9">
        <f>VLOOKUP(A1704,Jogos!A:BN,58,0)</f>
        <v>22.28</v>
      </c>
      <c r="BA1704" s="9">
        <f>VLOOKUP(A1704,Jogos!A:BN,59,0)</f>
        <v>15.48</v>
      </c>
      <c r="BB1704" s="9">
        <f>VLOOKUP(A1704,Jogos!A:BN,60,0)</f>
        <v>64.5</v>
      </c>
      <c r="BC1704" s="9">
        <f>VLOOKUP(A1704,Jogos!A:BN,61,0)</f>
        <v>19.725</v>
      </c>
      <c r="BD1704" s="9">
        <f>VLOOKUP(A1704,Jogos!A:BN,62,0)</f>
        <v>0</v>
      </c>
      <c r="BE1704" s="9">
        <f>VLOOKUP(A1704,Jogos!A:BN,63,0)</f>
        <v>0.83</v>
      </c>
      <c r="BF1704" s="9">
        <f>VLOOKUP(A1704,Jogos!A:BN,64,0)</f>
        <v>20.05</v>
      </c>
      <c r="BG1704" s="9">
        <f>VLOOKUP(A1704,Jogos!A:BN,65,0)</f>
        <v>35.24</v>
      </c>
      <c r="BH1704" s="9">
        <f>VLOOKUP(A1704,Jogos!A:BN,66,0)</f>
        <v>23.315</v>
      </c>
      <c r="BI1704" s="9"/>
      <c r="BJ1704" s="9"/>
    </row>
    <row r="1705" hidden="1">
      <c r="A1705" s="2">
        <v>58.0</v>
      </c>
      <c r="B1705" s="2" t="s">
        <v>1380</v>
      </c>
      <c r="C1705" s="2" t="s">
        <v>1351</v>
      </c>
      <c r="D1705" s="3">
        <v>45842.0</v>
      </c>
      <c r="E1705" s="4">
        <v>0.875</v>
      </c>
      <c r="F1705" s="5" t="str">
        <f>VLOOKUP(A1705,Jogos!A:N,10,0)</f>
        <v>Evening</v>
      </c>
      <c r="G1705" s="2" t="s">
        <v>500</v>
      </c>
      <c r="H1705" s="6" t="str">
        <f>VLOOKUP(A1705,Jogos!A:L,12,0)</f>
        <v>Open</v>
      </c>
      <c r="I1705" s="6" t="str">
        <f>VLOOKUP(G1705,'Estádios e Cidades'!A:B,2,0)</f>
        <v>Philadelphia</v>
      </c>
      <c r="J1705" s="2" t="s">
        <v>250</v>
      </c>
      <c r="K1705" s="2" t="str">
        <f>VLOOKUP(J1705,Equipes!A:F,6,0)</f>
        <v>Temperate</v>
      </c>
      <c r="L1705" s="2">
        <f>VLOOKUP(J1705,Equipes!A:C,3,0)</f>
        <v>8</v>
      </c>
      <c r="M1705" s="2" t="str">
        <f t="shared" si="4"/>
        <v>Quarter-final</v>
      </c>
      <c r="N1705" s="2" t="s">
        <v>377</v>
      </c>
      <c r="O1705" s="2">
        <f>VLOOKUP(N1705,Equipes!A:C,3,0)</f>
        <v>1</v>
      </c>
      <c r="P1705" s="2" t="str">
        <f t="shared" si="5"/>
        <v>Final</v>
      </c>
      <c r="Q1705" s="2">
        <f t="shared" si="6"/>
        <v>7</v>
      </c>
      <c r="R1705" s="2" t="str">
        <f>VLOOKUP(J1705,Equipes!A:B,2,0)</f>
        <v>Palmeiras</v>
      </c>
      <c r="S1705" s="6" t="s">
        <v>1064</v>
      </c>
      <c r="T1705" s="7">
        <v>32.0</v>
      </c>
      <c r="U1705" s="7" t="s">
        <v>1065</v>
      </c>
      <c r="V1705" s="7" t="str">
        <f>VLOOKUP(U1705,Jogadores!B:C,2,0)</f>
        <v>MF</v>
      </c>
      <c r="W1705" s="8">
        <f>VLOOKUP(U1705,Jogadores!B:D,3,0)</f>
        <v>25.96438356</v>
      </c>
      <c r="X1705" s="7">
        <v>0.0</v>
      </c>
      <c r="Y1705" s="7">
        <v>76.0</v>
      </c>
      <c r="Z1705" s="7">
        <f>VLOOKUP(A1705,Jogos!A:L,3,0)</f>
        <v>47</v>
      </c>
      <c r="AA1705" s="7">
        <f t="shared" si="4815"/>
        <v>47</v>
      </c>
      <c r="AB1705" s="7">
        <f>VLOOKUP(A1705,Jogos!A:L,4,0)</f>
        <v>49</v>
      </c>
      <c r="AC1705" s="7">
        <f t="shared" si="5062"/>
        <v>31</v>
      </c>
      <c r="AD1705" s="7"/>
      <c r="AE1705" s="7"/>
      <c r="AF1705" s="7">
        <f t="shared" si="4566"/>
        <v>78</v>
      </c>
      <c r="AG1705" s="7">
        <v>8782.9</v>
      </c>
      <c r="AH1705" s="7">
        <v>3364.6</v>
      </c>
      <c r="AI1705" s="7">
        <v>3780.4</v>
      </c>
      <c r="AJ1705" s="7">
        <v>1204.6</v>
      </c>
      <c r="AK1705" s="7">
        <v>344.7</v>
      </c>
      <c r="AL1705" s="7">
        <v>88.6</v>
      </c>
      <c r="AM1705" s="7">
        <v>92.0</v>
      </c>
      <c r="AN1705" s="7">
        <v>28.0</v>
      </c>
      <c r="AO1705" s="7">
        <v>30.1</v>
      </c>
      <c r="AP1705" s="9">
        <f t="shared" ref="AP1705:AR1705" si="5347">AG1705/$AF1705</f>
        <v>112.6012821</v>
      </c>
      <c r="AQ1705" s="9">
        <f t="shared" si="5347"/>
        <v>43.13589744</v>
      </c>
      <c r="AR1705" s="9">
        <f t="shared" si="5347"/>
        <v>48.46666667</v>
      </c>
      <c r="AS1705" s="9">
        <f t="shared" si="4568"/>
        <v>91.6025641</v>
      </c>
      <c r="AT1705" s="9">
        <f t="shared" ref="AT1705:AV1705" si="5348">AJ1705/$AF1705</f>
        <v>15.44358974</v>
      </c>
      <c r="AU1705" s="9">
        <f t="shared" si="5348"/>
        <v>4.419230769</v>
      </c>
      <c r="AV1705" s="9">
        <f t="shared" si="5348"/>
        <v>1.135897436</v>
      </c>
      <c r="AW1705" s="9">
        <f t="shared" si="4570"/>
        <v>5.555128205</v>
      </c>
      <c r="AX1705" s="9">
        <f t="shared" ref="AX1705:AY1705" si="5349">AM1705/$AF1705</f>
        <v>1.179487179</v>
      </c>
      <c r="AY1705" s="9">
        <f t="shared" si="5349"/>
        <v>0.358974359</v>
      </c>
      <c r="AZ1705" s="9">
        <f>VLOOKUP(A1705,Jogos!A:BN,58,0)</f>
        <v>22.28</v>
      </c>
      <c r="BA1705" s="9">
        <f>VLOOKUP(A1705,Jogos!A:BN,59,0)</f>
        <v>15.48</v>
      </c>
      <c r="BB1705" s="9">
        <f>VLOOKUP(A1705,Jogos!A:BN,60,0)</f>
        <v>64.5</v>
      </c>
      <c r="BC1705" s="9">
        <f>VLOOKUP(A1705,Jogos!A:BN,61,0)</f>
        <v>19.725</v>
      </c>
      <c r="BD1705" s="9">
        <f>VLOOKUP(A1705,Jogos!A:BN,62,0)</f>
        <v>0</v>
      </c>
      <c r="BE1705" s="9">
        <f>VLOOKUP(A1705,Jogos!A:BN,63,0)</f>
        <v>0.83</v>
      </c>
      <c r="BF1705" s="9">
        <f>VLOOKUP(A1705,Jogos!A:BN,64,0)</f>
        <v>20.05</v>
      </c>
      <c r="BG1705" s="9">
        <f>VLOOKUP(A1705,Jogos!A:BN,65,0)</f>
        <v>35.24</v>
      </c>
      <c r="BH1705" s="9">
        <f>VLOOKUP(A1705,Jogos!A:BN,66,0)</f>
        <v>23.315</v>
      </c>
      <c r="BI1705" s="9"/>
      <c r="BJ1705" s="9"/>
    </row>
    <row r="1706" hidden="1">
      <c r="A1706" s="2">
        <v>58.0</v>
      </c>
      <c r="B1706" s="2" t="s">
        <v>1380</v>
      </c>
      <c r="C1706" s="2" t="s">
        <v>1351</v>
      </c>
      <c r="D1706" s="3">
        <v>45842.0</v>
      </c>
      <c r="E1706" s="4">
        <v>0.875</v>
      </c>
      <c r="F1706" s="5" t="str">
        <f>VLOOKUP(A1706,Jogos!A:N,10,0)</f>
        <v>Evening</v>
      </c>
      <c r="G1706" s="2" t="s">
        <v>500</v>
      </c>
      <c r="H1706" s="6" t="str">
        <f>VLOOKUP(A1706,Jogos!A:L,12,0)</f>
        <v>Open</v>
      </c>
      <c r="I1706" s="6" t="str">
        <f>VLOOKUP(G1706,'Estádios e Cidades'!A:B,2,0)</f>
        <v>Philadelphia</v>
      </c>
      <c r="J1706" s="2" t="s">
        <v>250</v>
      </c>
      <c r="K1706" s="2" t="str">
        <f>VLOOKUP(J1706,Equipes!A:F,6,0)</f>
        <v>Temperate</v>
      </c>
      <c r="L1706" s="2">
        <f>VLOOKUP(J1706,Equipes!A:C,3,0)</f>
        <v>8</v>
      </c>
      <c r="M1706" s="2" t="str">
        <f t="shared" si="4"/>
        <v>Quarter-final</v>
      </c>
      <c r="N1706" s="2" t="s">
        <v>377</v>
      </c>
      <c r="O1706" s="2">
        <f>VLOOKUP(N1706,Equipes!A:C,3,0)</f>
        <v>1</v>
      </c>
      <c r="P1706" s="2" t="str">
        <f t="shared" si="5"/>
        <v>Final</v>
      </c>
      <c r="Q1706" s="2">
        <f t="shared" si="6"/>
        <v>7</v>
      </c>
      <c r="R1706" s="2" t="str">
        <f>VLOOKUP(J1706,Equipes!A:B,2,0)</f>
        <v>Palmeiras</v>
      </c>
      <c r="S1706" s="6" t="s">
        <v>278</v>
      </c>
      <c r="T1706" s="7">
        <v>40.0</v>
      </c>
      <c r="U1706" s="7" t="s">
        <v>279</v>
      </c>
      <c r="V1706" s="7" t="str">
        <f>VLOOKUP(U1706,Jogadores!B:C,2,0)</f>
        <v>MF</v>
      </c>
      <c r="W1706" s="8">
        <f>VLOOKUP(U1706,Jogadores!B:D,3,0)</f>
        <v>21.28767123</v>
      </c>
      <c r="X1706" s="7">
        <v>0.0</v>
      </c>
      <c r="Y1706" s="7">
        <v>67.0</v>
      </c>
      <c r="Z1706" s="7">
        <f>VLOOKUP(A1706,Jogos!A:L,3,0)</f>
        <v>47</v>
      </c>
      <c r="AA1706" s="7">
        <f t="shared" si="4815"/>
        <v>47</v>
      </c>
      <c r="AB1706" s="7">
        <f>VLOOKUP(A1706,Jogos!A:L,4,0)</f>
        <v>49</v>
      </c>
      <c r="AC1706" s="7">
        <f t="shared" si="5062"/>
        <v>22</v>
      </c>
      <c r="AD1706" s="7"/>
      <c r="AE1706" s="7"/>
      <c r="AF1706" s="7">
        <f t="shared" si="4566"/>
        <v>69</v>
      </c>
      <c r="AG1706" s="7">
        <v>7482.1</v>
      </c>
      <c r="AH1706" s="7">
        <v>2906.0</v>
      </c>
      <c r="AI1706" s="7">
        <v>2645.2</v>
      </c>
      <c r="AJ1706" s="7">
        <v>1286.7</v>
      </c>
      <c r="AK1706" s="7">
        <v>518.9</v>
      </c>
      <c r="AL1706" s="7">
        <v>125.2</v>
      </c>
      <c r="AM1706" s="7">
        <v>98.0</v>
      </c>
      <c r="AN1706" s="7">
        <v>39.0</v>
      </c>
      <c r="AO1706" s="7">
        <v>30.3</v>
      </c>
      <c r="AP1706" s="9">
        <f t="shared" ref="AP1706:AR1706" si="5350">AG1706/$AF1706</f>
        <v>108.4362319</v>
      </c>
      <c r="AQ1706" s="9">
        <f t="shared" si="5350"/>
        <v>42.11594203</v>
      </c>
      <c r="AR1706" s="9">
        <f t="shared" si="5350"/>
        <v>38.33623188</v>
      </c>
      <c r="AS1706" s="9">
        <f t="shared" si="4568"/>
        <v>80.45217391</v>
      </c>
      <c r="AT1706" s="9">
        <f t="shared" ref="AT1706:AV1706" si="5351">AJ1706/$AF1706</f>
        <v>18.64782609</v>
      </c>
      <c r="AU1706" s="9">
        <f t="shared" si="5351"/>
        <v>7.520289855</v>
      </c>
      <c r="AV1706" s="9">
        <f t="shared" si="5351"/>
        <v>1.814492754</v>
      </c>
      <c r="AW1706" s="9">
        <f t="shared" si="4570"/>
        <v>9.334782609</v>
      </c>
      <c r="AX1706" s="9">
        <f t="shared" ref="AX1706:AY1706" si="5352">AM1706/$AF1706</f>
        <v>1.420289855</v>
      </c>
      <c r="AY1706" s="9">
        <f t="shared" si="5352"/>
        <v>0.5652173913</v>
      </c>
      <c r="AZ1706" s="9">
        <f>VLOOKUP(A1706,Jogos!A:BN,58,0)</f>
        <v>22.28</v>
      </c>
      <c r="BA1706" s="9">
        <f>VLOOKUP(A1706,Jogos!A:BN,59,0)</f>
        <v>15.48</v>
      </c>
      <c r="BB1706" s="9">
        <f>VLOOKUP(A1706,Jogos!A:BN,60,0)</f>
        <v>64.5</v>
      </c>
      <c r="BC1706" s="9">
        <f>VLOOKUP(A1706,Jogos!A:BN,61,0)</f>
        <v>19.725</v>
      </c>
      <c r="BD1706" s="9">
        <f>VLOOKUP(A1706,Jogos!A:BN,62,0)</f>
        <v>0</v>
      </c>
      <c r="BE1706" s="9">
        <f>VLOOKUP(A1706,Jogos!A:BN,63,0)</f>
        <v>0.83</v>
      </c>
      <c r="BF1706" s="9">
        <f>VLOOKUP(A1706,Jogos!A:BN,64,0)</f>
        <v>20.05</v>
      </c>
      <c r="BG1706" s="9">
        <f>VLOOKUP(A1706,Jogos!A:BN,65,0)</f>
        <v>35.24</v>
      </c>
      <c r="BH1706" s="9">
        <f>VLOOKUP(A1706,Jogos!A:BN,66,0)</f>
        <v>23.315</v>
      </c>
      <c r="BI1706" s="9"/>
      <c r="BJ1706" s="9"/>
    </row>
    <row r="1707" hidden="1">
      <c r="A1707" s="2">
        <v>58.0</v>
      </c>
      <c r="B1707" s="2" t="s">
        <v>1380</v>
      </c>
      <c r="C1707" s="2" t="s">
        <v>1351</v>
      </c>
      <c r="D1707" s="3">
        <v>45842.0</v>
      </c>
      <c r="E1707" s="4">
        <v>0.875</v>
      </c>
      <c r="F1707" s="5" t="str">
        <f>VLOOKUP(A1707,Jogos!A:N,10,0)</f>
        <v>Evening</v>
      </c>
      <c r="G1707" s="2" t="s">
        <v>500</v>
      </c>
      <c r="H1707" s="6" t="str">
        <f>VLOOKUP(A1707,Jogos!A:L,12,0)</f>
        <v>Open</v>
      </c>
      <c r="I1707" s="6" t="str">
        <f>VLOOKUP(G1707,'Estádios e Cidades'!A:B,2,0)</f>
        <v>Philadelphia</v>
      </c>
      <c r="J1707" s="2" t="s">
        <v>250</v>
      </c>
      <c r="K1707" s="2" t="str">
        <f>VLOOKUP(J1707,Equipes!A:F,6,0)</f>
        <v>Temperate</v>
      </c>
      <c r="L1707" s="2">
        <f>VLOOKUP(J1707,Equipes!A:C,3,0)</f>
        <v>8</v>
      </c>
      <c r="M1707" s="2" t="str">
        <f t="shared" si="4"/>
        <v>Quarter-final</v>
      </c>
      <c r="N1707" s="2" t="s">
        <v>377</v>
      </c>
      <c r="O1707" s="2">
        <f>VLOOKUP(N1707,Equipes!A:C,3,0)</f>
        <v>1</v>
      </c>
      <c r="P1707" s="2" t="str">
        <f t="shared" si="5"/>
        <v>Final</v>
      </c>
      <c r="Q1707" s="2">
        <f t="shared" si="6"/>
        <v>7</v>
      </c>
      <c r="R1707" s="2" t="str">
        <f>VLOOKUP(J1707,Equipes!A:B,2,0)</f>
        <v>Palmeiras</v>
      </c>
      <c r="S1707" s="6" t="s">
        <v>270</v>
      </c>
      <c r="T1707" s="7">
        <v>41.0</v>
      </c>
      <c r="U1707" s="7" t="s">
        <v>271</v>
      </c>
      <c r="V1707" s="7" t="str">
        <f>VLOOKUP(U1707,Jogadores!B:C,2,0)</f>
        <v>FW</v>
      </c>
      <c r="W1707" s="8">
        <f>VLOOKUP(U1707,Jogadores!B:D,3,0)</f>
        <v>18.2739726</v>
      </c>
      <c r="X1707" s="7">
        <v>0.0</v>
      </c>
      <c r="Y1707" s="7">
        <f t="shared" ref="Y1707:Y1714" si="5356">45+AB1707</f>
        <v>94</v>
      </c>
      <c r="Z1707" s="7">
        <f>VLOOKUP(A1707,Jogos!A:L,3,0)</f>
        <v>47</v>
      </c>
      <c r="AA1707" s="7">
        <f t="shared" si="4815"/>
        <v>47</v>
      </c>
      <c r="AB1707" s="7">
        <f>VLOOKUP(A1707,Jogos!A:L,4,0)</f>
        <v>49</v>
      </c>
      <c r="AC1707" s="7">
        <f t="shared" si="5062"/>
        <v>49</v>
      </c>
      <c r="AD1707" s="7"/>
      <c r="AE1707" s="7"/>
      <c r="AF1707" s="7">
        <f t="shared" si="4566"/>
        <v>96</v>
      </c>
      <c r="AG1707" s="7">
        <v>10658.1</v>
      </c>
      <c r="AH1707" s="7">
        <v>3618.7</v>
      </c>
      <c r="AI1707" s="7">
        <v>4336.1</v>
      </c>
      <c r="AJ1707" s="7">
        <v>1620.7</v>
      </c>
      <c r="AK1707" s="7">
        <v>698.5</v>
      </c>
      <c r="AL1707" s="7">
        <v>384.1</v>
      </c>
      <c r="AM1707" s="7">
        <v>153.0</v>
      </c>
      <c r="AN1707" s="7">
        <v>54.0</v>
      </c>
      <c r="AO1707" s="7">
        <v>32.7</v>
      </c>
      <c r="AP1707" s="9">
        <f t="shared" ref="AP1707:AR1707" si="5353">AG1707/$AF1707</f>
        <v>111.021875</v>
      </c>
      <c r="AQ1707" s="9">
        <f t="shared" si="5353"/>
        <v>37.69479167</v>
      </c>
      <c r="AR1707" s="9">
        <f t="shared" si="5353"/>
        <v>45.16770833</v>
      </c>
      <c r="AS1707" s="9">
        <f t="shared" si="4568"/>
        <v>82.8625</v>
      </c>
      <c r="AT1707" s="9">
        <f t="shared" ref="AT1707:AV1707" si="5354">AJ1707/$AF1707</f>
        <v>16.88229167</v>
      </c>
      <c r="AU1707" s="9">
        <f t="shared" si="5354"/>
        <v>7.276041667</v>
      </c>
      <c r="AV1707" s="9">
        <f t="shared" si="5354"/>
        <v>4.001041667</v>
      </c>
      <c r="AW1707" s="9">
        <f t="shared" si="4570"/>
        <v>11.27708333</v>
      </c>
      <c r="AX1707" s="9">
        <f t="shared" ref="AX1707:AY1707" si="5355">AM1707/$AF1707</f>
        <v>1.59375</v>
      </c>
      <c r="AY1707" s="9">
        <f t="shared" si="5355"/>
        <v>0.5625</v>
      </c>
      <c r="AZ1707" s="9">
        <f>VLOOKUP(A1707,Jogos!A:BN,58,0)</f>
        <v>22.28</v>
      </c>
      <c r="BA1707" s="9">
        <f>VLOOKUP(A1707,Jogos!A:BN,59,0)</f>
        <v>15.48</v>
      </c>
      <c r="BB1707" s="9">
        <f>VLOOKUP(A1707,Jogos!A:BN,60,0)</f>
        <v>64.5</v>
      </c>
      <c r="BC1707" s="9">
        <f>VLOOKUP(A1707,Jogos!A:BN,61,0)</f>
        <v>19.725</v>
      </c>
      <c r="BD1707" s="9">
        <f>VLOOKUP(A1707,Jogos!A:BN,62,0)</f>
        <v>0</v>
      </c>
      <c r="BE1707" s="9">
        <f>VLOOKUP(A1707,Jogos!A:BN,63,0)</f>
        <v>0.83</v>
      </c>
      <c r="BF1707" s="9">
        <f>VLOOKUP(A1707,Jogos!A:BN,64,0)</f>
        <v>20.05</v>
      </c>
      <c r="BG1707" s="9">
        <f>VLOOKUP(A1707,Jogos!A:BN,65,0)</f>
        <v>35.24</v>
      </c>
      <c r="BH1707" s="9">
        <f>VLOOKUP(A1707,Jogos!A:BN,66,0)</f>
        <v>23.315</v>
      </c>
      <c r="BI1707" s="9"/>
      <c r="BJ1707" s="9"/>
    </row>
    <row r="1708" hidden="1">
      <c r="A1708" s="2">
        <v>58.0</v>
      </c>
      <c r="B1708" s="2" t="s">
        <v>1380</v>
      </c>
      <c r="C1708" s="2" t="s">
        <v>1351</v>
      </c>
      <c r="D1708" s="3">
        <v>45842.0</v>
      </c>
      <c r="E1708" s="4">
        <v>0.875</v>
      </c>
      <c r="F1708" s="5" t="str">
        <f>VLOOKUP(A1708,Jogos!A:N,10,0)</f>
        <v>Evening</v>
      </c>
      <c r="G1708" s="2" t="s">
        <v>500</v>
      </c>
      <c r="H1708" s="6" t="str">
        <f>VLOOKUP(A1708,Jogos!A:L,12,0)</f>
        <v>Open</v>
      </c>
      <c r="I1708" s="6" t="str">
        <f>VLOOKUP(G1708,'Estádios e Cidades'!A:B,2,0)</f>
        <v>Philadelphia</v>
      </c>
      <c r="J1708" s="2" t="s">
        <v>250</v>
      </c>
      <c r="K1708" s="2" t="str">
        <f>VLOOKUP(J1708,Equipes!A:F,6,0)</f>
        <v>Temperate</v>
      </c>
      <c r="L1708" s="2">
        <f>VLOOKUP(J1708,Equipes!A:C,3,0)</f>
        <v>8</v>
      </c>
      <c r="M1708" s="2" t="str">
        <f t="shared" si="4"/>
        <v>Quarter-final</v>
      </c>
      <c r="N1708" s="2" t="s">
        <v>377</v>
      </c>
      <c r="O1708" s="2">
        <f>VLOOKUP(N1708,Equipes!A:C,3,0)</f>
        <v>1</v>
      </c>
      <c r="P1708" s="2" t="str">
        <f t="shared" si="5"/>
        <v>Final</v>
      </c>
      <c r="Q1708" s="2">
        <f t="shared" si="6"/>
        <v>7</v>
      </c>
      <c r="R1708" s="2" t="str">
        <f>VLOOKUP(J1708,Equipes!A:B,2,0)</f>
        <v>Palmeiras</v>
      </c>
      <c r="S1708" s="6" t="s">
        <v>254</v>
      </c>
      <c r="T1708" s="7">
        <v>5.0</v>
      </c>
      <c r="U1708" s="7" t="s">
        <v>255</v>
      </c>
      <c r="V1708" s="7" t="str">
        <f>VLOOKUP(U1708,Jogadores!B:C,2,0)</f>
        <v>MF</v>
      </c>
      <c r="W1708" s="8">
        <f>VLOOKUP(U1708,Jogadores!B:D,3,0)</f>
        <v>26.22739726</v>
      </c>
      <c r="X1708" s="7">
        <v>76.0</v>
      </c>
      <c r="Y1708" s="7">
        <f t="shared" si="5356"/>
        <v>94</v>
      </c>
      <c r="Z1708" s="7">
        <f>VLOOKUP(A1708,Jogos!A:L,3,0)</f>
        <v>47</v>
      </c>
      <c r="AA1708" s="7">
        <f t="shared" si="4815"/>
        <v>0</v>
      </c>
      <c r="AB1708" s="7">
        <f>VLOOKUP(A1708,Jogos!A:L,4,0)</f>
        <v>49</v>
      </c>
      <c r="AC1708" s="7">
        <f t="shared" si="5062"/>
        <v>18</v>
      </c>
      <c r="AD1708" s="7"/>
      <c r="AE1708" s="7"/>
      <c r="AF1708" s="7">
        <f t="shared" si="4566"/>
        <v>18</v>
      </c>
      <c r="AG1708" s="7">
        <v>1977.5</v>
      </c>
      <c r="AH1708" s="7">
        <v>662.5</v>
      </c>
      <c r="AI1708" s="7">
        <v>812.4</v>
      </c>
      <c r="AJ1708" s="7">
        <v>313.4</v>
      </c>
      <c r="AK1708" s="7">
        <v>163.5</v>
      </c>
      <c r="AL1708" s="7">
        <v>25.7</v>
      </c>
      <c r="AM1708" s="7">
        <v>29.0</v>
      </c>
      <c r="AN1708" s="7">
        <v>10.0</v>
      </c>
      <c r="AO1708" s="7">
        <v>27.6</v>
      </c>
      <c r="AP1708" s="9">
        <f t="shared" ref="AP1708:AR1708" si="5357">AG1708/$AF1708</f>
        <v>109.8611111</v>
      </c>
      <c r="AQ1708" s="9">
        <f t="shared" si="5357"/>
        <v>36.80555556</v>
      </c>
      <c r="AR1708" s="9">
        <f t="shared" si="5357"/>
        <v>45.13333333</v>
      </c>
      <c r="AS1708" s="9">
        <f t="shared" si="4568"/>
        <v>81.93888889</v>
      </c>
      <c r="AT1708" s="9">
        <f t="shared" ref="AT1708:AV1708" si="5358">AJ1708/$AF1708</f>
        <v>17.41111111</v>
      </c>
      <c r="AU1708" s="9">
        <f t="shared" si="5358"/>
        <v>9.083333333</v>
      </c>
      <c r="AV1708" s="9">
        <f t="shared" si="5358"/>
        <v>1.427777778</v>
      </c>
      <c r="AW1708" s="9">
        <f t="shared" si="4570"/>
        <v>10.51111111</v>
      </c>
      <c r="AX1708" s="9">
        <f t="shared" ref="AX1708:AY1708" si="5359">AM1708/$AF1708</f>
        <v>1.611111111</v>
      </c>
      <c r="AY1708" s="9">
        <f t="shared" si="5359"/>
        <v>0.5555555556</v>
      </c>
      <c r="AZ1708" s="9">
        <f>VLOOKUP(A1708,Jogos!A:BN,58,0)</f>
        <v>22.28</v>
      </c>
      <c r="BA1708" s="9">
        <f>VLOOKUP(A1708,Jogos!A:BN,59,0)</f>
        <v>15.48</v>
      </c>
      <c r="BB1708" s="9">
        <f>VLOOKUP(A1708,Jogos!A:BN,60,0)</f>
        <v>64.5</v>
      </c>
      <c r="BC1708" s="9">
        <f>VLOOKUP(A1708,Jogos!A:BN,61,0)</f>
        <v>19.725</v>
      </c>
      <c r="BD1708" s="9">
        <f>VLOOKUP(A1708,Jogos!A:BN,62,0)</f>
        <v>0</v>
      </c>
      <c r="BE1708" s="9">
        <f>VLOOKUP(A1708,Jogos!A:BN,63,0)</f>
        <v>0.83</v>
      </c>
      <c r="BF1708" s="9">
        <f>VLOOKUP(A1708,Jogos!A:BN,64,0)</f>
        <v>20.05</v>
      </c>
      <c r="BG1708" s="9">
        <f>VLOOKUP(A1708,Jogos!A:BN,65,0)</f>
        <v>35.24</v>
      </c>
      <c r="BH1708" s="9">
        <f>VLOOKUP(A1708,Jogos!A:BN,66,0)</f>
        <v>23.315</v>
      </c>
      <c r="BI1708" s="9"/>
      <c r="BJ1708" s="9"/>
    </row>
    <row r="1709" hidden="1">
      <c r="A1709" s="2">
        <v>58.0</v>
      </c>
      <c r="B1709" s="2" t="s">
        <v>1380</v>
      </c>
      <c r="C1709" s="2" t="s">
        <v>1351</v>
      </c>
      <c r="D1709" s="3">
        <v>45842.0</v>
      </c>
      <c r="E1709" s="4">
        <v>0.875</v>
      </c>
      <c r="F1709" s="5" t="str">
        <f>VLOOKUP(A1709,Jogos!A:N,10,0)</f>
        <v>Evening</v>
      </c>
      <c r="G1709" s="2" t="s">
        <v>500</v>
      </c>
      <c r="H1709" s="6" t="str">
        <f>VLOOKUP(A1709,Jogos!A:L,12,0)</f>
        <v>Open</v>
      </c>
      <c r="I1709" s="6" t="str">
        <f>VLOOKUP(G1709,'Estádios e Cidades'!A:B,2,0)</f>
        <v>Philadelphia</v>
      </c>
      <c r="J1709" s="2" t="s">
        <v>250</v>
      </c>
      <c r="K1709" s="2" t="str">
        <f>VLOOKUP(J1709,Equipes!A:F,6,0)</f>
        <v>Temperate</v>
      </c>
      <c r="L1709" s="2">
        <f>VLOOKUP(J1709,Equipes!A:C,3,0)</f>
        <v>8</v>
      </c>
      <c r="M1709" s="2" t="str">
        <f t="shared" si="4"/>
        <v>Quarter-final</v>
      </c>
      <c r="N1709" s="2" t="s">
        <v>377</v>
      </c>
      <c r="O1709" s="2">
        <f>VLOOKUP(N1709,Equipes!A:C,3,0)</f>
        <v>1</v>
      </c>
      <c r="P1709" s="2" t="str">
        <f t="shared" si="5"/>
        <v>Final</v>
      </c>
      <c r="Q1709" s="2">
        <f t="shared" si="6"/>
        <v>7</v>
      </c>
      <c r="R1709" s="2" t="str">
        <f>VLOOKUP(J1709,Equipes!A:B,2,0)</f>
        <v>Palmeiras</v>
      </c>
      <c r="S1709" s="6" t="s">
        <v>272</v>
      </c>
      <c r="T1709" s="7">
        <v>10.0</v>
      </c>
      <c r="U1709" s="7" t="s">
        <v>273</v>
      </c>
      <c r="V1709" s="7" t="str">
        <f>VLOOKUP(U1709,Jogadores!B:C,2,0)</f>
        <v>FW</v>
      </c>
      <c r="W1709" s="8">
        <f>VLOOKUP(U1709,Jogadores!B:D,3,0)</f>
        <v>25.05205479</v>
      </c>
      <c r="X1709" s="7">
        <v>67.0</v>
      </c>
      <c r="Y1709" s="7">
        <f t="shared" si="5356"/>
        <v>94</v>
      </c>
      <c r="Z1709" s="7">
        <f>VLOOKUP(A1709,Jogos!A:L,3,0)</f>
        <v>47</v>
      </c>
      <c r="AA1709" s="7">
        <f t="shared" si="4815"/>
        <v>0</v>
      </c>
      <c r="AB1709" s="7">
        <f>VLOOKUP(A1709,Jogos!A:L,4,0)</f>
        <v>49</v>
      </c>
      <c r="AC1709" s="7">
        <f t="shared" si="5062"/>
        <v>27</v>
      </c>
      <c r="AD1709" s="7"/>
      <c r="AE1709" s="7"/>
      <c r="AF1709" s="7">
        <f t="shared" si="4566"/>
        <v>27</v>
      </c>
      <c r="AG1709" s="7">
        <v>2897.2</v>
      </c>
      <c r="AH1709" s="7">
        <v>1176.9</v>
      </c>
      <c r="AI1709" s="7">
        <v>962.7</v>
      </c>
      <c r="AJ1709" s="7">
        <v>424.0</v>
      </c>
      <c r="AK1709" s="7">
        <v>243.1</v>
      </c>
      <c r="AL1709" s="7">
        <v>90.6</v>
      </c>
      <c r="AM1709" s="7">
        <v>34.0</v>
      </c>
      <c r="AN1709" s="7">
        <v>16.0</v>
      </c>
      <c r="AO1709" s="7">
        <v>33.3</v>
      </c>
      <c r="AP1709" s="9">
        <f t="shared" ref="AP1709:AR1709" si="5360">AG1709/$AF1709</f>
        <v>107.3037037</v>
      </c>
      <c r="AQ1709" s="9">
        <f t="shared" si="5360"/>
        <v>43.58888889</v>
      </c>
      <c r="AR1709" s="9">
        <f t="shared" si="5360"/>
        <v>35.65555556</v>
      </c>
      <c r="AS1709" s="9">
        <f t="shared" si="4568"/>
        <v>79.24444444</v>
      </c>
      <c r="AT1709" s="9">
        <f t="shared" ref="AT1709:AV1709" si="5361">AJ1709/$AF1709</f>
        <v>15.7037037</v>
      </c>
      <c r="AU1709" s="9">
        <f t="shared" si="5361"/>
        <v>9.003703704</v>
      </c>
      <c r="AV1709" s="9">
        <f t="shared" si="5361"/>
        <v>3.355555556</v>
      </c>
      <c r="AW1709" s="9">
        <f t="shared" si="4570"/>
        <v>12.35925926</v>
      </c>
      <c r="AX1709" s="9">
        <f t="shared" ref="AX1709:AY1709" si="5362">AM1709/$AF1709</f>
        <v>1.259259259</v>
      </c>
      <c r="AY1709" s="9">
        <f t="shared" si="5362"/>
        <v>0.5925925926</v>
      </c>
      <c r="AZ1709" s="9">
        <f>VLOOKUP(A1709,Jogos!A:BN,58,0)</f>
        <v>22.28</v>
      </c>
      <c r="BA1709" s="9">
        <f>VLOOKUP(A1709,Jogos!A:BN,59,0)</f>
        <v>15.48</v>
      </c>
      <c r="BB1709" s="9">
        <f>VLOOKUP(A1709,Jogos!A:BN,60,0)</f>
        <v>64.5</v>
      </c>
      <c r="BC1709" s="9">
        <f>VLOOKUP(A1709,Jogos!A:BN,61,0)</f>
        <v>19.725</v>
      </c>
      <c r="BD1709" s="9">
        <f>VLOOKUP(A1709,Jogos!A:BN,62,0)</f>
        <v>0</v>
      </c>
      <c r="BE1709" s="9">
        <f>VLOOKUP(A1709,Jogos!A:BN,63,0)</f>
        <v>0.83</v>
      </c>
      <c r="BF1709" s="9">
        <f>VLOOKUP(A1709,Jogos!A:BN,64,0)</f>
        <v>20.05</v>
      </c>
      <c r="BG1709" s="9">
        <f>VLOOKUP(A1709,Jogos!A:BN,65,0)</f>
        <v>35.24</v>
      </c>
      <c r="BH1709" s="9">
        <f>VLOOKUP(A1709,Jogos!A:BN,66,0)</f>
        <v>23.315</v>
      </c>
      <c r="BI1709" s="9"/>
      <c r="BJ1709" s="9"/>
    </row>
    <row r="1710" hidden="1">
      <c r="A1710" s="2">
        <v>58.0</v>
      </c>
      <c r="B1710" s="2" t="s">
        <v>1380</v>
      </c>
      <c r="C1710" s="2" t="s">
        <v>1351</v>
      </c>
      <c r="D1710" s="3">
        <v>45842.0</v>
      </c>
      <c r="E1710" s="4">
        <v>0.875</v>
      </c>
      <c r="F1710" s="5" t="str">
        <f>VLOOKUP(A1710,Jogos!A:N,10,0)</f>
        <v>Evening</v>
      </c>
      <c r="G1710" s="2" t="s">
        <v>500</v>
      </c>
      <c r="H1710" s="6" t="str">
        <f>VLOOKUP(A1710,Jogos!A:L,12,0)</f>
        <v>Open</v>
      </c>
      <c r="I1710" s="6" t="str">
        <f>VLOOKUP(G1710,'Estádios e Cidades'!A:B,2,0)</f>
        <v>Philadelphia</v>
      </c>
      <c r="J1710" s="2" t="s">
        <v>250</v>
      </c>
      <c r="K1710" s="2" t="str">
        <f>VLOOKUP(J1710,Equipes!A:F,6,0)</f>
        <v>Temperate</v>
      </c>
      <c r="L1710" s="2">
        <f>VLOOKUP(J1710,Equipes!A:C,3,0)</f>
        <v>8</v>
      </c>
      <c r="M1710" s="2" t="str">
        <f t="shared" si="4"/>
        <v>Quarter-final</v>
      </c>
      <c r="N1710" s="2" t="s">
        <v>377</v>
      </c>
      <c r="O1710" s="2">
        <f>VLOOKUP(N1710,Equipes!A:C,3,0)</f>
        <v>1</v>
      </c>
      <c r="P1710" s="2" t="str">
        <f t="shared" si="5"/>
        <v>Final</v>
      </c>
      <c r="Q1710" s="2">
        <f t="shared" si="6"/>
        <v>7</v>
      </c>
      <c r="R1710" s="2" t="str">
        <f>VLOOKUP(J1710,Equipes!A:B,2,0)</f>
        <v>Palmeiras</v>
      </c>
      <c r="S1710" s="6" t="s">
        <v>264</v>
      </c>
      <c r="T1710" s="7">
        <v>18.0</v>
      </c>
      <c r="U1710" s="7" t="s">
        <v>265</v>
      </c>
      <c r="V1710" s="7" t="str">
        <f>VLOOKUP(U1710,Jogadores!B:C,2,0)</f>
        <v>FW</v>
      </c>
      <c r="W1710" s="8">
        <f>VLOOKUP(U1710,Jogadores!B:D,3,0)</f>
        <v>24.11506849</v>
      </c>
      <c r="X1710" s="7">
        <v>67.0</v>
      </c>
      <c r="Y1710" s="7">
        <f t="shared" si="5356"/>
        <v>94</v>
      </c>
      <c r="Z1710" s="7">
        <f>VLOOKUP(A1710,Jogos!A:L,3,0)</f>
        <v>47</v>
      </c>
      <c r="AA1710" s="7">
        <f t="shared" si="4815"/>
        <v>0</v>
      </c>
      <c r="AB1710" s="7">
        <f>VLOOKUP(A1710,Jogos!A:L,4,0)</f>
        <v>49</v>
      </c>
      <c r="AC1710" s="7">
        <f t="shared" si="5062"/>
        <v>27</v>
      </c>
      <c r="AD1710" s="7"/>
      <c r="AE1710" s="7"/>
      <c r="AF1710" s="7">
        <f t="shared" si="4566"/>
        <v>27</v>
      </c>
      <c r="AG1710" s="7">
        <v>3174.8</v>
      </c>
      <c r="AH1710" s="7">
        <v>1116.4</v>
      </c>
      <c r="AI1710" s="7">
        <v>1118.4</v>
      </c>
      <c r="AJ1710" s="7">
        <v>580.5</v>
      </c>
      <c r="AK1710" s="7">
        <v>297.6</v>
      </c>
      <c r="AL1710" s="7">
        <v>62.0</v>
      </c>
      <c r="AM1710" s="7">
        <v>58.0</v>
      </c>
      <c r="AN1710" s="7">
        <v>21.0</v>
      </c>
      <c r="AO1710" s="7">
        <v>27.6</v>
      </c>
      <c r="AP1710" s="9">
        <f t="shared" ref="AP1710:AR1710" si="5363">AG1710/$AF1710</f>
        <v>117.5851852</v>
      </c>
      <c r="AQ1710" s="9">
        <f t="shared" si="5363"/>
        <v>41.34814815</v>
      </c>
      <c r="AR1710" s="9">
        <f t="shared" si="5363"/>
        <v>41.42222222</v>
      </c>
      <c r="AS1710" s="9">
        <f t="shared" si="4568"/>
        <v>82.77037037</v>
      </c>
      <c r="AT1710" s="9">
        <f t="shared" ref="AT1710:AV1710" si="5364">AJ1710/$AF1710</f>
        <v>21.5</v>
      </c>
      <c r="AU1710" s="9">
        <f t="shared" si="5364"/>
        <v>11.02222222</v>
      </c>
      <c r="AV1710" s="9">
        <f t="shared" si="5364"/>
        <v>2.296296296</v>
      </c>
      <c r="AW1710" s="9">
        <f t="shared" si="4570"/>
        <v>13.31851852</v>
      </c>
      <c r="AX1710" s="9">
        <f t="shared" ref="AX1710:AY1710" si="5365">AM1710/$AF1710</f>
        <v>2.148148148</v>
      </c>
      <c r="AY1710" s="9">
        <f t="shared" si="5365"/>
        <v>0.7777777778</v>
      </c>
      <c r="AZ1710" s="9">
        <f>VLOOKUP(A1710,Jogos!A:BN,58,0)</f>
        <v>22.28</v>
      </c>
      <c r="BA1710" s="9">
        <f>VLOOKUP(A1710,Jogos!A:BN,59,0)</f>
        <v>15.48</v>
      </c>
      <c r="BB1710" s="9">
        <f>VLOOKUP(A1710,Jogos!A:BN,60,0)</f>
        <v>64.5</v>
      </c>
      <c r="BC1710" s="9">
        <f>VLOOKUP(A1710,Jogos!A:BN,61,0)</f>
        <v>19.725</v>
      </c>
      <c r="BD1710" s="9">
        <f>VLOOKUP(A1710,Jogos!A:BN,62,0)</f>
        <v>0</v>
      </c>
      <c r="BE1710" s="9">
        <f>VLOOKUP(A1710,Jogos!A:BN,63,0)</f>
        <v>0.83</v>
      </c>
      <c r="BF1710" s="9">
        <f>VLOOKUP(A1710,Jogos!A:BN,64,0)</f>
        <v>20.05</v>
      </c>
      <c r="BG1710" s="9">
        <f>VLOOKUP(A1710,Jogos!A:BN,65,0)</f>
        <v>35.24</v>
      </c>
      <c r="BH1710" s="9">
        <f>VLOOKUP(A1710,Jogos!A:BN,66,0)</f>
        <v>23.315</v>
      </c>
      <c r="BI1710" s="9"/>
      <c r="BJ1710" s="9"/>
    </row>
    <row r="1711" hidden="1">
      <c r="A1711" s="2">
        <v>58.0</v>
      </c>
      <c r="B1711" s="2" t="s">
        <v>1380</v>
      </c>
      <c r="C1711" s="2" t="s">
        <v>1351</v>
      </c>
      <c r="D1711" s="3">
        <v>45842.0</v>
      </c>
      <c r="E1711" s="4">
        <v>0.875</v>
      </c>
      <c r="F1711" s="5" t="str">
        <f>VLOOKUP(A1711,Jogos!A:N,10,0)</f>
        <v>Evening</v>
      </c>
      <c r="G1711" s="2" t="s">
        <v>500</v>
      </c>
      <c r="H1711" s="6" t="str">
        <f>VLOOKUP(A1711,Jogos!A:L,12,0)</f>
        <v>Open</v>
      </c>
      <c r="I1711" s="6" t="str">
        <f>VLOOKUP(G1711,'Estádios e Cidades'!A:B,2,0)</f>
        <v>Philadelphia</v>
      </c>
      <c r="J1711" s="2" t="s">
        <v>250</v>
      </c>
      <c r="K1711" s="2" t="str">
        <f>VLOOKUP(J1711,Equipes!A:F,6,0)</f>
        <v>Temperate</v>
      </c>
      <c r="L1711" s="2">
        <f>VLOOKUP(J1711,Equipes!A:C,3,0)</f>
        <v>8</v>
      </c>
      <c r="M1711" s="2" t="str">
        <f t="shared" si="4"/>
        <v>Quarter-final</v>
      </c>
      <c r="N1711" s="2" t="s">
        <v>377</v>
      </c>
      <c r="O1711" s="2">
        <f>VLOOKUP(N1711,Equipes!A:C,3,0)</f>
        <v>1</v>
      </c>
      <c r="P1711" s="2" t="str">
        <f t="shared" si="5"/>
        <v>Final</v>
      </c>
      <c r="Q1711" s="2">
        <f t="shared" si="6"/>
        <v>7</v>
      </c>
      <c r="R1711" s="2" t="str">
        <f>VLOOKUP(J1711,Equipes!A:B,2,0)</f>
        <v>Palmeiras</v>
      </c>
      <c r="S1711" s="6" t="s">
        <v>274</v>
      </c>
      <c r="T1711" s="7">
        <v>23.0</v>
      </c>
      <c r="U1711" s="7" t="s">
        <v>275</v>
      </c>
      <c r="V1711" s="7" t="str">
        <f>VLOOKUP(U1711,Jogadores!B:C,2,0)</f>
        <v>MF</v>
      </c>
      <c r="W1711" s="8">
        <f>VLOOKUP(U1711,Jogadores!B:D,3,0)</f>
        <v>30.12876712</v>
      </c>
      <c r="X1711" s="7">
        <v>85.0</v>
      </c>
      <c r="Y1711" s="7">
        <f t="shared" si="5356"/>
        <v>94</v>
      </c>
      <c r="Z1711" s="7">
        <f>VLOOKUP(A1711,Jogos!A:L,3,0)</f>
        <v>47</v>
      </c>
      <c r="AA1711" s="7">
        <f t="shared" si="4815"/>
        <v>0</v>
      </c>
      <c r="AB1711" s="7">
        <f>VLOOKUP(A1711,Jogos!A:L,4,0)</f>
        <v>49</v>
      </c>
      <c r="AC1711" s="7">
        <f t="shared" si="5062"/>
        <v>9</v>
      </c>
      <c r="AD1711" s="7"/>
      <c r="AE1711" s="7"/>
      <c r="AF1711" s="7">
        <f t="shared" si="4566"/>
        <v>9</v>
      </c>
      <c r="AG1711" s="7">
        <v>1191.8</v>
      </c>
      <c r="AH1711" s="7">
        <v>379.1</v>
      </c>
      <c r="AI1711" s="7">
        <v>471.1</v>
      </c>
      <c r="AJ1711" s="7">
        <v>279.3</v>
      </c>
      <c r="AK1711" s="7">
        <v>62.3</v>
      </c>
      <c r="AL1711" s="7">
        <v>25.0</v>
      </c>
      <c r="AM1711" s="7">
        <v>5.0</v>
      </c>
      <c r="AN1711" s="7">
        <v>24.7</v>
      </c>
      <c r="AO1711" s="7"/>
      <c r="AP1711" s="9">
        <f t="shared" ref="AP1711:AR1711" si="5366">AG1711/$AF1711</f>
        <v>132.4222222</v>
      </c>
      <c r="AQ1711" s="9">
        <f t="shared" si="5366"/>
        <v>42.12222222</v>
      </c>
      <c r="AR1711" s="9">
        <f t="shared" si="5366"/>
        <v>52.34444444</v>
      </c>
      <c r="AS1711" s="9">
        <f t="shared" si="4568"/>
        <v>94.46666667</v>
      </c>
      <c r="AT1711" s="9">
        <f t="shared" ref="AT1711:AV1711" si="5367">AJ1711/$AF1711</f>
        <v>31.03333333</v>
      </c>
      <c r="AU1711" s="9">
        <f t="shared" si="5367"/>
        <v>6.922222222</v>
      </c>
      <c r="AV1711" s="9">
        <f t="shared" si="5367"/>
        <v>2.777777778</v>
      </c>
      <c r="AW1711" s="9">
        <f t="shared" si="4570"/>
        <v>9.7</v>
      </c>
      <c r="AX1711" s="9">
        <f t="shared" ref="AX1711:AY1711" si="5368">AM1711/$AF1711</f>
        <v>0.5555555556</v>
      </c>
      <c r="AY1711" s="9">
        <f t="shared" si="5368"/>
        <v>2.744444444</v>
      </c>
      <c r="AZ1711" s="9">
        <f>VLOOKUP(A1711,Jogos!A:BN,58,0)</f>
        <v>22.28</v>
      </c>
      <c r="BA1711" s="9">
        <f>VLOOKUP(A1711,Jogos!A:BN,59,0)</f>
        <v>15.48</v>
      </c>
      <c r="BB1711" s="9">
        <f>VLOOKUP(A1711,Jogos!A:BN,60,0)</f>
        <v>64.5</v>
      </c>
      <c r="BC1711" s="9">
        <f>VLOOKUP(A1711,Jogos!A:BN,61,0)</f>
        <v>19.725</v>
      </c>
      <c r="BD1711" s="9">
        <f>VLOOKUP(A1711,Jogos!A:BN,62,0)</f>
        <v>0</v>
      </c>
      <c r="BE1711" s="9">
        <f>VLOOKUP(A1711,Jogos!A:BN,63,0)</f>
        <v>0.83</v>
      </c>
      <c r="BF1711" s="9">
        <f>VLOOKUP(A1711,Jogos!A:BN,64,0)</f>
        <v>20.05</v>
      </c>
      <c r="BG1711" s="9">
        <f>VLOOKUP(A1711,Jogos!A:BN,65,0)</f>
        <v>35.24</v>
      </c>
      <c r="BH1711" s="9">
        <f>VLOOKUP(A1711,Jogos!A:BN,66,0)</f>
        <v>23.315</v>
      </c>
      <c r="BI1711" s="9"/>
      <c r="BJ1711" s="9"/>
    </row>
    <row r="1712" hidden="1">
      <c r="A1712" s="2">
        <v>58.0</v>
      </c>
      <c r="B1712" s="2" t="s">
        <v>1380</v>
      </c>
      <c r="C1712" s="2" t="s">
        <v>1351</v>
      </c>
      <c r="D1712" s="3">
        <v>45842.0</v>
      </c>
      <c r="E1712" s="4">
        <v>0.875</v>
      </c>
      <c r="F1712" s="5" t="str">
        <f>VLOOKUP(A1712,Jogos!A:N,10,0)</f>
        <v>Evening</v>
      </c>
      <c r="G1712" s="2" t="s">
        <v>500</v>
      </c>
      <c r="H1712" s="6" t="str">
        <f>VLOOKUP(A1712,Jogos!A:L,12,0)</f>
        <v>Open</v>
      </c>
      <c r="I1712" s="6" t="str">
        <f>VLOOKUP(G1712,'Estádios e Cidades'!A:B,2,0)</f>
        <v>Philadelphia</v>
      </c>
      <c r="J1712" s="2" t="s">
        <v>250</v>
      </c>
      <c r="K1712" s="2" t="str">
        <f>VLOOKUP(J1712,Equipes!A:F,6,0)</f>
        <v>Temperate</v>
      </c>
      <c r="L1712" s="2">
        <f>VLOOKUP(J1712,Equipes!A:C,3,0)</f>
        <v>8</v>
      </c>
      <c r="M1712" s="2" t="str">
        <f t="shared" si="4"/>
        <v>Quarter-final</v>
      </c>
      <c r="N1712" s="2" t="s">
        <v>377</v>
      </c>
      <c r="O1712" s="2">
        <f>VLOOKUP(N1712,Equipes!A:C,3,0)</f>
        <v>1</v>
      </c>
      <c r="P1712" s="2" t="str">
        <f t="shared" si="5"/>
        <v>Final</v>
      </c>
      <c r="Q1712" s="2">
        <f t="shared" si="6"/>
        <v>7</v>
      </c>
      <c r="R1712" s="2" t="str">
        <f>VLOOKUP(J1712,Equipes!A:B,2,0)</f>
        <v>Palmeiras</v>
      </c>
      <c r="S1712" s="6" t="s">
        <v>280</v>
      </c>
      <c r="T1712" s="7">
        <v>42.0</v>
      </c>
      <c r="U1712" s="7" t="s">
        <v>281</v>
      </c>
      <c r="V1712" s="7" t="str">
        <f>VLOOKUP(U1712,Jogadores!B:C,2,0)</f>
        <v>FW</v>
      </c>
      <c r="W1712" s="8">
        <f>VLOOKUP(U1712,Jogadores!B:D,3,0)</f>
        <v>24.65753425</v>
      </c>
      <c r="X1712" s="7">
        <v>76.0</v>
      </c>
      <c r="Y1712" s="7">
        <f t="shared" si="5356"/>
        <v>94</v>
      </c>
      <c r="Z1712" s="7">
        <f>VLOOKUP(A1712,Jogos!A:L,3,0)</f>
        <v>47</v>
      </c>
      <c r="AA1712" s="7">
        <f t="shared" si="4815"/>
        <v>0</v>
      </c>
      <c r="AB1712" s="7">
        <f>VLOOKUP(A1712,Jogos!A:L,4,0)</f>
        <v>49</v>
      </c>
      <c r="AC1712" s="7">
        <f t="shared" si="5062"/>
        <v>18</v>
      </c>
      <c r="AD1712" s="7"/>
      <c r="AE1712" s="7"/>
      <c r="AF1712" s="7">
        <f t="shared" si="4566"/>
        <v>18</v>
      </c>
      <c r="AG1712" s="7">
        <v>1954.8</v>
      </c>
      <c r="AH1712" s="7">
        <v>678.4</v>
      </c>
      <c r="AI1712" s="7">
        <v>792.2</v>
      </c>
      <c r="AJ1712" s="7">
        <v>249.2</v>
      </c>
      <c r="AK1712" s="7">
        <v>167.4</v>
      </c>
      <c r="AL1712" s="7">
        <v>67.6</v>
      </c>
      <c r="AM1712" s="7">
        <v>19.0</v>
      </c>
      <c r="AN1712" s="7">
        <v>13.0</v>
      </c>
      <c r="AO1712" s="7">
        <v>29.7</v>
      </c>
      <c r="AP1712" s="9">
        <f t="shared" ref="AP1712:AR1712" si="5369">AG1712/$AF1712</f>
        <v>108.6</v>
      </c>
      <c r="AQ1712" s="9">
        <f t="shared" si="5369"/>
        <v>37.68888889</v>
      </c>
      <c r="AR1712" s="9">
        <f t="shared" si="5369"/>
        <v>44.01111111</v>
      </c>
      <c r="AS1712" s="9">
        <f t="shared" si="4568"/>
        <v>81.7</v>
      </c>
      <c r="AT1712" s="9">
        <f t="shared" ref="AT1712:AV1712" si="5370">AJ1712/$AF1712</f>
        <v>13.84444444</v>
      </c>
      <c r="AU1712" s="9">
        <f t="shared" si="5370"/>
        <v>9.3</v>
      </c>
      <c r="AV1712" s="9">
        <f t="shared" si="5370"/>
        <v>3.755555556</v>
      </c>
      <c r="AW1712" s="9">
        <f t="shared" si="4570"/>
        <v>13.05555556</v>
      </c>
      <c r="AX1712" s="9">
        <f t="shared" ref="AX1712:AY1712" si="5371">AM1712/$AF1712</f>
        <v>1.055555556</v>
      </c>
      <c r="AY1712" s="9">
        <f t="shared" si="5371"/>
        <v>0.7222222222</v>
      </c>
      <c r="AZ1712" s="9">
        <f>VLOOKUP(A1712,Jogos!A:BN,58,0)</f>
        <v>22.28</v>
      </c>
      <c r="BA1712" s="9">
        <f>VLOOKUP(A1712,Jogos!A:BN,59,0)</f>
        <v>15.48</v>
      </c>
      <c r="BB1712" s="9">
        <f>VLOOKUP(A1712,Jogos!A:BN,60,0)</f>
        <v>64.5</v>
      </c>
      <c r="BC1712" s="9">
        <f>VLOOKUP(A1712,Jogos!A:BN,61,0)</f>
        <v>19.725</v>
      </c>
      <c r="BD1712" s="9">
        <f>VLOOKUP(A1712,Jogos!A:BN,62,0)</f>
        <v>0</v>
      </c>
      <c r="BE1712" s="9">
        <f>VLOOKUP(A1712,Jogos!A:BN,63,0)</f>
        <v>0.83</v>
      </c>
      <c r="BF1712" s="9">
        <f>VLOOKUP(A1712,Jogos!A:BN,64,0)</f>
        <v>20.05</v>
      </c>
      <c r="BG1712" s="9">
        <f>VLOOKUP(A1712,Jogos!A:BN,65,0)</f>
        <v>35.24</v>
      </c>
      <c r="BH1712" s="9">
        <f>VLOOKUP(A1712,Jogos!A:BN,66,0)</f>
        <v>23.315</v>
      </c>
      <c r="BI1712" s="9"/>
      <c r="BJ1712" s="9"/>
    </row>
    <row r="1713" hidden="1">
      <c r="A1713" s="2">
        <v>58.0</v>
      </c>
      <c r="B1713" s="2" t="s">
        <v>1380</v>
      </c>
      <c r="C1713" s="2" t="s">
        <v>1351</v>
      </c>
      <c r="D1713" s="3">
        <v>45842.0</v>
      </c>
      <c r="E1713" s="4">
        <v>0.875</v>
      </c>
      <c r="F1713" s="5" t="str">
        <f>VLOOKUP(A1713,Jogos!A:N,10,0)</f>
        <v>Evening</v>
      </c>
      <c r="G1713" s="2" t="s">
        <v>500</v>
      </c>
      <c r="H1713" s="6" t="str">
        <f>VLOOKUP(A1713,Jogos!A:L,12,0)</f>
        <v>Open</v>
      </c>
      <c r="I1713" s="6" t="str">
        <f>VLOOKUP(G1713,'Estádios e Cidades'!A:B,2,0)</f>
        <v>Philadelphia</v>
      </c>
      <c r="J1713" s="2" t="s">
        <v>377</v>
      </c>
      <c r="K1713" s="2" t="str">
        <f>VLOOKUP(J1713,Equipes!A:F,6,0)</f>
        <v>Temperate</v>
      </c>
      <c r="L1713" s="2">
        <f>VLOOKUP(J1713,Equipes!A:C,3,0)</f>
        <v>1</v>
      </c>
      <c r="M1713" s="2" t="str">
        <f t="shared" si="4"/>
        <v>Final</v>
      </c>
      <c r="N1713" s="2" t="s">
        <v>250</v>
      </c>
      <c r="O1713" s="2">
        <f>VLOOKUP(N1713,Equipes!A:C,3,0)</f>
        <v>8</v>
      </c>
      <c r="P1713" s="2" t="str">
        <f t="shared" si="5"/>
        <v>Quarter-final</v>
      </c>
      <c r="Q1713" s="2">
        <f t="shared" si="6"/>
        <v>-7</v>
      </c>
      <c r="R1713" s="2" t="str">
        <f>VLOOKUP(J1713,Equipes!A:B,2,0)</f>
        <v>Chelsea</v>
      </c>
      <c r="S1713" s="6" t="s">
        <v>379</v>
      </c>
      <c r="T1713" s="7">
        <v>3.0</v>
      </c>
      <c r="U1713" s="7" t="s">
        <v>380</v>
      </c>
      <c r="V1713" s="7" t="str">
        <f>VLOOKUP(U1713,Jogadores!B:C,2,0)</f>
        <v>DF</v>
      </c>
      <c r="W1713" s="8">
        <f>VLOOKUP(U1713,Jogadores!B:D,3,0)</f>
        <v>27.03561644</v>
      </c>
      <c r="X1713" s="7">
        <v>0.0</v>
      </c>
      <c r="Y1713" s="7">
        <f t="shared" si="5356"/>
        <v>94</v>
      </c>
      <c r="Z1713" s="7">
        <f>VLOOKUP(A1713,Jogos!A:L,3,0)</f>
        <v>47</v>
      </c>
      <c r="AA1713" s="7">
        <f t="shared" si="4815"/>
        <v>47</v>
      </c>
      <c r="AB1713" s="7">
        <f>VLOOKUP(A1713,Jogos!A:L,4,0)</f>
        <v>49</v>
      </c>
      <c r="AC1713" s="7">
        <f t="shared" si="5062"/>
        <v>49</v>
      </c>
      <c r="AD1713" s="7"/>
      <c r="AE1713" s="7"/>
      <c r="AF1713" s="7">
        <f t="shared" si="4566"/>
        <v>96</v>
      </c>
      <c r="AG1713" s="7">
        <v>9727.0</v>
      </c>
      <c r="AH1713" s="7">
        <v>4021.6</v>
      </c>
      <c r="AI1713" s="7">
        <v>3866.6</v>
      </c>
      <c r="AJ1713" s="7">
        <v>1046.7</v>
      </c>
      <c r="AK1713" s="7">
        <v>513.0</v>
      </c>
      <c r="AL1713" s="7">
        <v>279.1</v>
      </c>
      <c r="AM1713" s="7">
        <v>87.0</v>
      </c>
      <c r="AN1713" s="7">
        <v>43.0</v>
      </c>
      <c r="AO1713" s="7">
        <v>31.7</v>
      </c>
      <c r="AP1713" s="9">
        <f t="shared" ref="AP1713:AR1713" si="5372">AG1713/$AF1713</f>
        <v>101.3229167</v>
      </c>
      <c r="AQ1713" s="9">
        <f t="shared" si="5372"/>
        <v>41.89166667</v>
      </c>
      <c r="AR1713" s="9">
        <f t="shared" si="5372"/>
        <v>40.27708333</v>
      </c>
      <c r="AS1713" s="9">
        <f t="shared" si="4568"/>
        <v>82.16875</v>
      </c>
      <c r="AT1713" s="9">
        <f t="shared" ref="AT1713:AV1713" si="5373">AJ1713/$AF1713</f>
        <v>10.903125</v>
      </c>
      <c r="AU1713" s="9">
        <f t="shared" si="5373"/>
        <v>5.34375</v>
      </c>
      <c r="AV1713" s="9">
        <f t="shared" si="5373"/>
        <v>2.907291667</v>
      </c>
      <c r="AW1713" s="9">
        <f t="shared" si="4570"/>
        <v>8.251041667</v>
      </c>
      <c r="AX1713" s="9">
        <f t="shared" ref="AX1713:AY1713" si="5374">AM1713/$AF1713</f>
        <v>0.90625</v>
      </c>
      <c r="AY1713" s="9">
        <f t="shared" si="5374"/>
        <v>0.4479166667</v>
      </c>
      <c r="AZ1713" s="9">
        <f>VLOOKUP(A1713,Jogos!A:BN,58,0)</f>
        <v>22.28</v>
      </c>
      <c r="BA1713" s="9">
        <f>VLOOKUP(A1713,Jogos!A:BN,59,0)</f>
        <v>15.48</v>
      </c>
      <c r="BB1713" s="9">
        <f>VLOOKUP(A1713,Jogos!A:BN,60,0)</f>
        <v>64.5</v>
      </c>
      <c r="BC1713" s="9">
        <f>VLOOKUP(A1713,Jogos!A:BN,61,0)</f>
        <v>19.725</v>
      </c>
      <c r="BD1713" s="9">
        <f>VLOOKUP(A1713,Jogos!A:BN,62,0)</f>
        <v>0</v>
      </c>
      <c r="BE1713" s="9">
        <f>VLOOKUP(A1713,Jogos!A:BN,63,0)</f>
        <v>0.83</v>
      </c>
      <c r="BF1713" s="9">
        <f>VLOOKUP(A1713,Jogos!A:BN,64,0)</f>
        <v>20.05</v>
      </c>
      <c r="BG1713" s="9">
        <f>VLOOKUP(A1713,Jogos!A:BN,65,0)</f>
        <v>35.24</v>
      </c>
      <c r="BH1713" s="9">
        <f>VLOOKUP(A1713,Jogos!A:BN,66,0)</f>
        <v>23.315</v>
      </c>
      <c r="BI1713" s="9"/>
      <c r="BJ1713" s="9"/>
    </row>
    <row r="1714" hidden="1">
      <c r="A1714" s="2">
        <v>58.0</v>
      </c>
      <c r="B1714" s="2" t="s">
        <v>1380</v>
      </c>
      <c r="C1714" s="2" t="s">
        <v>1351</v>
      </c>
      <c r="D1714" s="3">
        <v>45842.0</v>
      </c>
      <c r="E1714" s="4">
        <v>0.875</v>
      </c>
      <c r="F1714" s="5" t="str">
        <f>VLOOKUP(A1714,Jogos!A:N,10,0)</f>
        <v>Evening</v>
      </c>
      <c r="G1714" s="2" t="s">
        <v>500</v>
      </c>
      <c r="H1714" s="6" t="str">
        <f>VLOOKUP(A1714,Jogos!A:L,12,0)</f>
        <v>Open</v>
      </c>
      <c r="I1714" s="6" t="str">
        <f>VLOOKUP(G1714,'Estádios e Cidades'!A:B,2,0)</f>
        <v>Philadelphia</v>
      </c>
      <c r="J1714" s="2" t="s">
        <v>377</v>
      </c>
      <c r="K1714" s="2" t="str">
        <f>VLOOKUP(J1714,Equipes!A:F,6,0)</f>
        <v>Temperate</v>
      </c>
      <c r="L1714" s="2">
        <f>VLOOKUP(J1714,Equipes!A:C,3,0)</f>
        <v>1</v>
      </c>
      <c r="M1714" s="2" t="str">
        <f t="shared" si="4"/>
        <v>Final</v>
      </c>
      <c r="N1714" s="2" t="s">
        <v>250</v>
      </c>
      <c r="O1714" s="2">
        <f>VLOOKUP(N1714,Equipes!A:C,3,0)</f>
        <v>8</v>
      </c>
      <c r="P1714" s="2" t="str">
        <f t="shared" si="5"/>
        <v>Quarter-final</v>
      </c>
      <c r="Q1714" s="2">
        <f t="shared" si="6"/>
        <v>-7</v>
      </c>
      <c r="R1714" s="2" t="str">
        <f>VLOOKUP(J1714,Equipes!A:B,2,0)</f>
        <v>Chelsea</v>
      </c>
      <c r="S1714" s="6" t="s">
        <v>383</v>
      </c>
      <c r="T1714" s="7">
        <v>6.0</v>
      </c>
      <c r="U1714" s="7" t="s">
        <v>384</v>
      </c>
      <c r="V1714" s="7" t="str">
        <f>VLOOKUP(U1714,Jogadores!B:C,2,0)</f>
        <v>DF</v>
      </c>
      <c r="W1714" s="8">
        <f>VLOOKUP(U1714,Jogadores!B:D,3,0)</f>
        <v>22.43287671</v>
      </c>
      <c r="X1714" s="7">
        <v>0.0</v>
      </c>
      <c r="Y1714" s="7">
        <f t="shared" si="5356"/>
        <v>94</v>
      </c>
      <c r="Z1714" s="7">
        <f>VLOOKUP(A1714,Jogos!A:L,3,0)</f>
        <v>47</v>
      </c>
      <c r="AA1714" s="7">
        <f t="shared" si="4815"/>
        <v>47</v>
      </c>
      <c r="AB1714" s="7">
        <f>VLOOKUP(A1714,Jogos!A:L,4,0)</f>
        <v>49</v>
      </c>
      <c r="AC1714" s="7">
        <f t="shared" si="5062"/>
        <v>49</v>
      </c>
      <c r="AD1714" s="7"/>
      <c r="AE1714" s="7"/>
      <c r="AF1714" s="7">
        <f t="shared" si="4566"/>
        <v>96</v>
      </c>
      <c r="AG1714" s="7">
        <v>9330.2</v>
      </c>
      <c r="AH1714" s="7">
        <v>3894.6</v>
      </c>
      <c r="AI1714" s="7">
        <v>3997.6</v>
      </c>
      <c r="AJ1714" s="7">
        <v>986.9</v>
      </c>
      <c r="AK1714" s="7">
        <v>364.9</v>
      </c>
      <c r="AL1714" s="7">
        <v>86.2</v>
      </c>
      <c r="AM1714" s="7">
        <v>85.0</v>
      </c>
      <c r="AN1714" s="7">
        <v>31.0</v>
      </c>
      <c r="AO1714" s="7">
        <v>30.0</v>
      </c>
      <c r="AP1714" s="9">
        <f t="shared" ref="AP1714:AR1714" si="5375">AG1714/$AF1714</f>
        <v>97.18958333</v>
      </c>
      <c r="AQ1714" s="9">
        <f t="shared" si="5375"/>
        <v>40.56875</v>
      </c>
      <c r="AR1714" s="9">
        <f t="shared" si="5375"/>
        <v>41.64166667</v>
      </c>
      <c r="AS1714" s="9">
        <f t="shared" si="4568"/>
        <v>82.21041667</v>
      </c>
      <c r="AT1714" s="9">
        <f t="shared" ref="AT1714:AV1714" si="5376">AJ1714/$AF1714</f>
        <v>10.28020833</v>
      </c>
      <c r="AU1714" s="9">
        <f t="shared" si="5376"/>
        <v>3.801041667</v>
      </c>
      <c r="AV1714" s="9">
        <f t="shared" si="5376"/>
        <v>0.8979166667</v>
      </c>
      <c r="AW1714" s="9">
        <f t="shared" si="4570"/>
        <v>4.698958333</v>
      </c>
      <c r="AX1714" s="9">
        <f t="shared" ref="AX1714:AY1714" si="5377">AM1714/$AF1714</f>
        <v>0.8854166667</v>
      </c>
      <c r="AY1714" s="9">
        <f t="shared" si="5377"/>
        <v>0.3229166667</v>
      </c>
      <c r="AZ1714" s="9">
        <f>VLOOKUP(A1714,Jogos!A:BN,58,0)</f>
        <v>22.28</v>
      </c>
      <c r="BA1714" s="9">
        <f>VLOOKUP(A1714,Jogos!A:BN,59,0)</f>
        <v>15.48</v>
      </c>
      <c r="BB1714" s="9">
        <f>VLOOKUP(A1714,Jogos!A:BN,60,0)</f>
        <v>64.5</v>
      </c>
      <c r="BC1714" s="9">
        <f>VLOOKUP(A1714,Jogos!A:BN,61,0)</f>
        <v>19.725</v>
      </c>
      <c r="BD1714" s="9">
        <f>VLOOKUP(A1714,Jogos!A:BN,62,0)</f>
        <v>0</v>
      </c>
      <c r="BE1714" s="9">
        <f>VLOOKUP(A1714,Jogos!A:BN,63,0)</f>
        <v>0.83</v>
      </c>
      <c r="BF1714" s="9">
        <f>VLOOKUP(A1714,Jogos!A:BN,64,0)</f>
        <v>20.05</v>
      </c>
      <c r="BG1714" s="9">
        <f>VLOOKUP(A1714,Jogos!A:BN,65,0)</f>
        <v>35.24</v>
      </c>
      <c r="BH1714" s="9">
        <f>VLOOKUP(A1714,Jogos!A:BN,66,0)</f>
        <v>23.315</v>
      </c>
      <c r="BI1714" s="9"/>
      <c r="BJ1714" s="9"/>
    </row>
    <row r="1715" hidden="1">
      <c r="A1715" s="2">
        <v>58.0</v>
      </c>
      <c r="B1715" s="2" t="s">
        <v>1380</v>
      </c>
      <c r="C1715" s="2" t="s">
        <v>1351</v>
      </c>
      <c r="D1715" s="3">
        <v>45842.0</v>
      </c>
      <c r="E1715" s="4">
        <v>0.875</v>
      </c>
      <c r="F1715" s="5" t="str">
        <f>VLOOKUP(A1715,Jogos!A:N,10,0)</f>
        <v>Evening</v>
      </c>
      <c r="G1715" s="2" t="s">
        <v>500</v>
      </c>
      <c r="H1715" s="6" t="str">
        <f>VLOOKUP(A1715,Jogos!A:L,12,0)</f>
        <v>Open</v>
      </c>
      <c r="I1715" s="6" t="str">
        <f>VLOOKUP(G1715,'Estádios e Cidades'!A:B,2,0)</f>
        <v>Philadelphia</v>
      </c>
      <c r="J1715" s="2" t="s">
        <v>377</v>
      </c>
      <c r="K1715" s="2" t="str">
        <f>VLOOKUP(J1715,Equipes!A:F,6,0)</f>
        <v>Temperate</v>
      </c>
      <c r="L1715" s="2">
        <f>VLOOKUP(J1715,Equipes!A:C,3,0)</f>
        <v>1</v>
      </c>
      <c r="M1715" s="2" t="str">
        <f t="shared" si="4"/>
        <v>Final</v>
      </c>
      <c r="N1715" s="2" t="s">
        <v>250</v>
      </c>
      <c r="O1715" s="2">
        <f>VLOOKUP(N1715,Equipes!A:C,3,0)</f>
        <v>8</v>
      </c>
      <c r="P1715" s="2" t="str">
        <f t="shared" si="5"/>
        <v>Quarter-final</v>
      </c>
      <c r="Q1715" s="2">
        <f t="shared" si="6"/>
        <v>-7</v>
      </c>
      <c r="R1715" s="2" t="str">
        <f>VLOOKUP(J1715,Equipes!A:B,2,0)</f>
        <v>Chelsea</v>
      </c>
      <c r="S1715" s="6" t="s">
        <v>385</v>
      </c>
      <c r="T1715" s="7">
        <v>7.0</v>
      </c>
      <c r="U1715" s="7" t="s">
        <v>386</v>
      </c>
      <c r="V1715" s="7" t="str">
        <f>VLOOKUP(U1715,Jogadores!B:C,2,0)</f>
        <v>FW</v>
      </c>
      <c r="W1715" s="8">
        <f>VLOOKUP(U1715,Jogadores!B:D,3,0)</f>
        <v>25.40273973</v>
      </c>
      <c r="X1715" s="7">
        <v>0.0</v>
      </c>
      <c r="Y1715" s="7">
        <v>87.0</v>
      </c>
      <c r="Z1715" s="7">
        <f>VLOOKUP(A1715,Jogos!A:L,3,0)</f>
        <v>47</v>
      </c>
      <c r="AA1715" s="7">
        <f t="shared" si="4815"/>
        <v>47</v>
      </c>
      <c r="AB1715" s="7">
        <f>VLOOKUP(A1715,Jogos!A:L,4,0)</f>
        <v>49</v>
      </c>
      <c r="AC1715" s="7">
        <f t="shared" si="5062"/>
        <v>42</v>
      </c>
      <c r="AD1715" s="7"/>
      <c r="AE1715" s="7"/>
      <c r="AF1715" s="7">
        <f t="shared" si="4566"/>
        <v>89</v>
      </c>
      <c r="AG1715" s="7">
        <v>8965.8</v>
      </c>
      <c r="AH1715" s="7">
        <v>3575.1</v>
      </c>
      <c r="AI1715" s="7">
        <v>3602.6</v>
      </c>
      <c r="AJ1715" s="7">
        <v>1158.2</v>
      </c>
      <c r="AK1715" s="7">
        <v>498.4</v>
      </c>
      <c r="AL1715" s="7">
        <v>131.6</v>
      </c>
      <c r="AM1715" s="7">
        <v>97.0</v>
      </c>
      <c r="AN1715" s="7">
        <v>37.0</v>
      </c>
      <c r="AO1715" s="7">
        <v>32.8</v>
      </c>
      <c r="AP1715" s="9">
        <f t="shared" ref="AP1715:AR1715" si="5378">AG1715/$AF1715</f>
        <v>100.7393258</v>
      </c>
      <c r="AQ1715" s="9">
        <f t="shared" si="5378"/>
        <v>40.16966292</v>
      </c>
      <c r="AR1715" s="9">
        <f t="shared" si="5378"/>
        <v>40.47865169</v>
      </c>
      <c r="AS1715" s="9">
        <f t="shared" si="4568"/>
        <v>80.64831461</v>
      </c>
      <c r="AT1715" s="9">
        <f t="shared" ref="AT1715:AV1715" si="5379">AJ1715/$AF1715</f>
        <v>13.01348315</v>
      </c>
      <c r="AU1715" s="9">
        <f t="shared" si="5379"/>
        <v>5.6</v>
      </c>
      <c r="AV1715" s="9">
        <f t="shared" si="5379"/>
        <v>1.478651685</v>
      </c>
      <c r="AW1715" s="9">
        <f t="shared" si="4570"/>
        <v>7.078651685</v>
      </c>
      <c r="AX1715" s="9">
        <f t="shared" ref="AX1715:AY1715" si="5380">AM1715/$AF1715</f>
        <v>1.08988764</v>
      </c>
      <c r="AY1715" s="9">
        <f t="shared" si="5380"/>
        <v>0.4157303371</v>
      </c>
      <c r="AZ1715" s="9">
        <f>VLOOKUP(A1715,Jogos!A:BN,58,0)</f>
        <v>22.28</v>
      </c>
      <c r="BA1715" s="9">
        <f>VLOOKUP(A1715,Jogos!A:BN,59,0)</f>
        <v>15.48</v>
      </c>
      <c r="BB1715" s="9">
        <f>VLOOKUP(A1715,Jogos!A:BN,60,0)</f>
        <v>64.5</v>
      </c>
      <c r="BC1715" s="9">
        <f>VLOOKUP(A1715,Jogos!A:BN,61,0)</f>
        <v>19.725</v>
      </c>
      <c r="BD1715" s="9">
        <f>VLOOKUP(A1715,Jogos!A:BN,62,0)</f>
        <v>0</v>
      </c>
      <c r="BE1715" s="9">
        <f>VLOOKUP(A1715,Jogos!A:BN,63,0)</f>
        <v>0.83</v>
      </c>
      <c r="BF1715" s="9">
        <f>VLOOKUP(A1715,Jogos!A:BN,64,0)</f>
        <v>20.05</v>
      </c>
      <c r="BG1715" s="9">
        <f>VLOOKUP(A1715,Jogos!A:BN,65,0)</f>
        <v>35.24</v>
      </c>
      <c r="BH1715" s="9">
        <f>VLOOKUP(A1715,Jogos!A:BN,66,0)</f>
        <v>23.315</v>
      </c>
      <c r="BI1715" s="9"/>
      <c r="BJ1715" s="9"/>
    </row>
    <row r="1716" hidden="1">
      <c r="A1716" s="2">
        <v>58.0</v>
      </c>
      <c r="B1716" s="2" t="s">
        <v>1380</v>
      </c>
      <c r="C1716" s="2" t="s">
        <v>1351</v>
      </c>
      <c r="D1716" s="3">
        <v>45842.0</v>
      </c>
      <c r="E1716" s="4">
        <v>0.875</v>
      </c>
      <c r="F1716" s="5" t="str">
        <f>VLOOKUP(A1716,Jogos!A:N,10,0)</f>
        <v>Evening</v>
      </c>
      <c r="G1716" s="2" t="s">
        <v>500</v>
      </c>
      <c r="H1716" s="6" t="str">
        <f>VLOOKUP(A1716,Jogos!A:L,12,0)</f>
        <v>Open</v>
      </c>
      <c r="I1716" s="6" t="str">
        <f>VLOOKUP(G1716,'Estádios e Cidades'!A:B,2,0)</f>
        <v>Philadelphia</v>
      </c>
      <c r="J1716" s="2" t="s">
        <v>377</v>
      </c>
      <c r="K1716" s="2" t="str">
        <f>VLOOKUP(J1716,Equipes!A:F,6,0)</f>
        <v>Temperate</v>
      </c>
      <c r="L1716" s="2">
        <f>VLOOKUP(J1716,Equipes!A:C,3,0)</f>
        <v>1</v>
      </c>
      <c r="M1716" s="2" t="str">
        <f t="shared" si="4"/>
        <v>Final</v>
      </c>
      <c r="N1716" s="2" t="s">
        <v>250</v>
      </c>
      <c r="O1716" s="2">
        <f>VLOOKUP(N1716,Equipes!A:C,3,0)</f>
        <v>8</v>
      </c>
      <c r="P1716" s="2" t="str">
        <f t="shared" si="5"/>
        <v>Quarter-final</v>
      </c>
      <c r="Q1716" s="2">
        <f t="shared" si="6"/>
        <v>-7</v>
      </c>
      <c r="R1716" s="2" t="str">
        <f>VLOOKUP(J1716,Equipes!A:B,2,0)</f>
        <v>Chelsea</v>
      </c>
      <c r="S1716" s="6" t="s">
        <v>399</v>
      </c>
      <c r="T1716" s="7">
        <v>8.0</v>
      </c>
      <c r="U1716" s="7" t="s">
        <v>400</v>
      </c>
      <c r="V1716" s="7" t="str">
        <f>VLOOKUP(U1716,Jogadores!B:C,2,0)</f>
        <v>MF</v>
      </c>
      <c r="W1716" s="8">
        <f>VLOOKUP(U1716,Jogadores!B:D,3,0)</f>
        <v>24.54246575</v>
      </c>
      <c r="X1716" s="7">
        <v>0.0</v>
      </c>
      <c r="Y1716" s="7">
        <f>45+AB1716</f>
        <v>94</v>
      </c>
      <c r="Z1716" s="7">
        <f>VLOOKUP(A1716,Jogos!A:L,3,0)</f>
        <v>47</v>
      </c>
      <c r="AA1716" s="7">
        <f t="shared" si="4815"/>
        <v>47</v>
      </c>
      <c r="AB1716" s="7">
        <f>VLOOKUP(A1716,Jogos!A:L,4,0)</f>
        <v>49</v>
      </c>
      <c r="AC1716" s="7">
        <f t="shared" si="5062"/>
        <v>49</v>
      </c>
      <c r="AD1716" s="7"/>
      <c r="AE1716" s="7"/>
      <c r="AF1716" s="7">
        <f t="shared" si="4566"/>
        <v>96</v>
      </c>
      <c r="AG1716" s="7">
        <v>11237.5</v>
      </c>
      <c r="AH1716" s="7">
        <v>3762.5</v>
      </c>
      <c r="AI1716" s="7">
        <v>4608.4</v>
      </c>
      <c r="AJ1716" s="7">
        <v>1715.8</v>
      </c>
      <c r="AK1716" s="7">
        <v>796.7</v>
      </c>
      <c r="AL1716" s="7">
        <v>354.0</v>
      </c>
      <c r="AM1716" s="7">
        <v>155.0</v>
      </c>
      <c r="AN1716" s="7">
        <v>58.0</v>
      </c>
      <c r="AO1716" s="7">
        <v>31.6</v>
      </c>
      <c r="AP1716" s="9">
        <f t="shared" ref="AP1716:AR1716" si="5381">AG1716/$AF1716</f>
        <v>117.0572917</v>
      </c>
      <c r="AQ1716" s="9">
        <f t="shared" si="5381"/>
        <v>39.19270833</v>
      </c>
      <c r="AR1716" s="9">
        <f t="shared" si="5381"/>
        <v>48.00416667</v>
      </c>
      <c r="AS1716" s="9">
        <f t="shared" si="4568"/>
        <v>87.196875</v>
      </c>
      <c r="AT1716" s="9">
        <f t="shared" ref="AT1716:AV1716" si="5382">AJ1716/$AF1716</f>
        <v>17.87291667</v>
      </c>
      <c r="AU1716" s="9">
        <f t="shared" si="5382"/>
        <v>8.298958333</v>
      </c>
      <c r="AV1716" s="9">
        <f t="shared" si="5382"/>
        <v>3.6875</v>
      </c>
      <c r="AW1716" s="9">
        <f t="shared" si="4570"/>
        <v>11.98645833</v>
      </c>
      <c r="AX1716" s="9">
        <f t="shared" ref="AX1716:AY1716" si="5383">AM1716/$AF1716</f>
        <v>1.614583333</v>
      </c>
      <c r="AY1716" s="9">
        <f t="shared" si="5383"/>
        <v>0.6041666667</v>
      </c>
      <c r="AZ1716" s="9">
        <f>VLOOKUP(A1716,Jogos!A:BN,58,0)</f>
        <v>22.28</v>
      </c>
      <c r="BA1716" s="9">
        <f>VLOOKUP(A1716,Jogos!A:BN,59,0)</f>
        <v>15.48</v>
      </c>
      <c r="BB1716" s="9">
        <f>VLOOKUP(A1716,Jogos!A:BN,60,0)</f>
        <v>64.5</v>
      </c>
      <c r="BC1716" s="9">
        <f>VLOOKUP(A1716,Jogos!A:BN,61,0)</f>
        <v>19.725</v>
      </c>
      <c r="BD1716" s="9">
        <f>VLOOKUP(A1716,Jogos!A:BN,62,0)</f>
        <v>0</v>
      </c>
      <c r="BE1716" s="9">
        <f>VLOOKUP(A1716,Jogos!A:BN,63,0)</f>
        <v>0.83</v>
      </c>
      <c r="BF1716" s="9">
        <f>VLOOKUP(A1716,Jogos!A:BN,64,0)</f>
        <v>20.05</v>
      </c>
      <c r="BG1716" s="9">
        <f>VLOOKUP(A1716,Jogos!A:BN,65,0)</f>
        <v>35.24</v>
      </c>
      <c r="BH1716" s="9">
        <f>VLOOKUP(A1716,Jogos!A:BN,66,0)</f>
        <v>23.315</v>
      </c>
      <c r="BI1716" s="9"/>
      <c r="BJ1716" s="9"/>
    </row>
    <row r="1717" hidden="1">
      <c r="A1717" s="2">
        <v>58.0</v>
      </c>
      <c r="B1717" s="2" t="s">
        <v>1380</v>
      </c>
      <c r="C1717" s="2" t="s">
        <v>1351</v>
      </c>
      <c r="D1717" s="3">
        <v>45842.0</v>
      </c>
      <c r="E1717" s="4">
        <v>0.875</v>
      </c>
      <c r="F1717" s="5" t="str">
        <f>VLOOKUP(A1717,Jogos!A:N,10,0)</f>
        <v>Evening</v>
      </c>
      <c r="G1717" s="2" t="s">
        <v>500</v>
      </c>
      <c r="H1717" s="6" t="str">
        <f>VLOOKUP(A1717,Jogos!A:L,12,0)</f>
        <v>Open</v>
      </c>
      <c r="I1717" s="6" t="str">
        <f>VLOOKUP(G1717,'Estádios e Cidades'!A:B,2,0)</f>
        <v>Philadelphia</v>
      </c>
      <c r="J1717" s="2" t="s">
        <v>377</v>
      </c>
      <c r="K1717" s="2" t="str">
        <f>VLOOKUP(J1717,Equipes!A:F,6,0)</f>
        <v>Temperate</v>
      </c>
      <c r="L1717" s="2">
        <f>VLOOKUP(J1717,Equipes!A:C,3,0)</f>
        <v>1</v>
      </c>
      <c r="M1717" s="2" t="str">
        <f t="shared" si="4"/>
        <v>Final</v>
      </c>
      <c r="N1717" s="2" t="s">
        <v>250</v>
      </c>
      <c r="O1717" s="2">
        <f>VLOOKUP(N1717,Equipes!A:C,3,0)</f>
        <v>8</v>
      </c>
      <c r="P1717" s="2" t="str">
        <f t="shared" si="5"/>
        <v>Quarter-final</v>
      </c>
      <c r="Q1717" s="2">
        <f t="shared" si="6"/>
        <v>-7</v>
      </c>
      <c r="R1717" s="2" t="str">
        <f>VLOOKUP(J1717,Equipes!A:B,2,0)</f>
        <v>Chelsea</v>
      </c>
      <c r="S1717" s="6" t="s">
        <v>401</v>
      </c>
      <c r="T1717" s="7">
        <v>9.0</v>
      </c>
      <c r="U1717" s="7" t="s">
        <v>402</v>
      </c>
      <c r="V1717" s="7" t="str">
        <f>VLOOKUP(U1717,Jogadores!B:C,2,0)</f>
        <v>FW</v>
      </c>
      <c r="W1717" s="8">
        <f>VLOOKUP(U1717,Jogadores!B:D,3,0)</f>
        <v>22.48219178</v>
      </c>
      <c r="X1717" s="7">
        <v>0.0</v>
      </c>
      <c r="Y1717" s="7">
        <v>54.0</v>
      </c>
      <c r="Z1717" s="7">
        <f>VLOOKUP(A1717,Jogos!A:L,3,0)</f>
        <v>47</v>
      </c>
      <c r="AA1717" s="7">
        <f t="shared" si="4815"/>
        <v>47</v>
      </c>
      <c r="AB1717" s="7">
        <f>VLOOKUP(A1717,Jogos!A:L,4,0)</f>
        <v>49</v>
      </c>
      <c r="AC1717" s="7">
        <f t="shared" si="5062"/>
        <v>9</v>
      </c>
      <c r="AD1717" s="7"/>
      <c r="AE1717" s="7"/>
      <c r="AF1717" s="7">
        <f t="shared" si="4566"/>
        <v>56</v>
      </c>
      <c r="AG1717" s="7">
        <v>5815.2</v>
      </c>
      <c r="AH1717" s="7">
        <v>2351.8</v>
      </c>
      <c r="AI1717" s="7">
        <v>2247.8</v>
      </c>
      <c r="AJ1717" s="7">
        <v>665.7</v>
      </c>
      <c r="AK1717" s="7">
        <v>366.1</v>
      </c>
      <c r="AL1717" s="7">
        <v>183.8</v>
      </c>
      <c r="AM1717" s="7">
        <v>54.0</v>
      </c>
      <c r="AN1717" s="7">
        <v>31.0</v>
      </c>
      <c r="AO1717" s="7">
        <v>31.4</v>
      </c>
      <c r="AP1717" s="9">
        <f t="shared" ref="AP1717:AR1717" si="5384">AG1717/$AF1717</f>
        <v>103.8428571</v>
      </c>
      <c r="AQ1717" s="9">
        <f t="shared" si="5384"/>
        <v>41.99642857</v>
      </c>
      <c r="AR1717" s="9">
        <f t="shared" si="5384"/>
        <v>40.13928571</v>
      </c>
      <c r="AS1717" s="9">
        <f t="shared" si="4568"/>
        <v>82.13571429</v>
      </c>
      <c r="AT1717" s="9">
        <f t="shared" ref="AT1717:AV1717" si="5385">AJ1717/$AF1717</f>
        <v>11.8875</v>
      </c>
      <c r="AU1717" s="9">
        <f t="shared" si="5385"/>
        <v>6.5375</v>
      </c>
      <c r="AV1717" s="9">
        <f t="shared" si="5385"/>
        <v>3.282142857</v>
      </c>
      <c r="AW1717" s="9">
        <f t="shared" si="4570"/>
        <v>9.819642857</v>
      </c>
      <c r="AX1717" s="9">
        <f t="shared" ref="AX1717:AY1717" si="5386">AM1717/$AF1717</f>
        <v>0.9642857143</v>
      </c>
      <c r="AY1717" s="9">
        <f t="shared" si="5386"/>
        <v>0.5535714286</v>
      </c>
      <c r="AZ1717" s="9">
        <f>VLOOKUP(A1717,Jogos!A:BN,58,0)</f>
        <v>22.28</v>
      </c>
      <c r="BA1717" s="9">
        <f>VLOOKUP(A1717,Jogos!A:BN,59,0)</f>
        <v>15.48</v>
      </c>
      <c r="BB1717" s="9">
        <f>VLOOKUP(A1717,Jogos!A:BN,60,0)</f>
        <v>64.5</v>
      </c>
      <c r="BC1717" s="9">
        <f>VLOOKUP(A1717,Jogos!A:BN,61,0)</f>
        <v>19.725</v>
      </c>
      <c r="BD1717" s="9">
        <f>VLOOKUP(A1717,Jogos!A:BN,62,0)</f>
        <v>0</v>
      </c>
      <c r="BE1717" s="9">
        <f>VLOOKUP(A1717,Jogos!A:BN,63,0)</f>
        <v>0.83</v>
      </c>
      <c r="BF1717" s="9">
        <f>VLOOKUP(A1717,Jogos!A:BN,64,0)</f>
        <v>20.05</v>
      </c>
      <c r="BG1717" s="9">
        <f>VLOOKUP(A1717,Jogos!A:BN,65,0)</f>
        <v>35.24</v>
      </c>
      <c r="BH1717" s="9">
        <f>VLOOKUP(A1717,Jogos!A:BN,66,0)</f>
        <v>23.315</v>
      </c>
      <c r="BI1717" s="9"/>
      <c r="BJ1717" s="9"/>
    </row>
    <row r="1718" hidden="1">
      <c r="A1718" s="2">
        <v>58.0</v>
      </c>
      <c r="B1718" s="2" t="s">
        <v>1380</v>
      </c>
      <c r="C1718" s="2" t="s">
        <v>1351</v>
      </c>
      <c r="D1718" s="3">
        <v>45842.0</v>
      </c>
      <c r="E1718" s="4">
        <v>0.875</v>
      </c>
      <c r="F1718" s="5" t="str">
        <f>VLOOKUP(A1718,Jogos!A:N,10,0)</f>
        <v>Evening</v>
      </c>
      <c r="G1718" s="2" t="s">
        <v>500</v>
      </c>
      <c r="H1718" s="6" t="str">
        <f>VLOOKUP(A1718,Jogos!A:L,12,0)</f>
        <v>Open</v>
      </c>
      <c r="I1718" s="6" t="str">
        <f>VLOOKUP(G1718,'Estádios e Cidades'!A:B,2,0)</f>
        <v>Philadelphia</v>
      </c>
      <c r="J1718" s="2" t="s">
        <v>377</v>
      </c>
      <c r="K1718" s="2" t="str">
        <f>VLOOKUP(J1718,Equipes!A:F,6,0)</f>
        <v>Temperate</v>
      </c>
      <c r="L1718" s="2">
        <f>VLOOKUP(J1718,Equipes!A:C,3,0)</f>
        <v>1</v>
      </c>
      <c r="M1718" s="2" t="str">
        <f t="shared" si="4"/>
        <v>Final</v>
      </c>
      <c r="N1718" s="2" t="s">
        <v>250</v>
      </c>
      <c r="O1718" s="2">
        <f>VLOOKUP(N1718,Equipes!A:C,3,0)</f>
        <v>8</v>
      </c>
      <c r="P1718" s="2" t="str">
        <f t="shared" si="5"/>
        <v>Quarter-final</v>
      </c>
      <c r="Q1718" s="2">
        <f t="shared" si="6"/>
        <v>-7</v>
      </c>
      <c r="R1718" s="2" t="str">
        <f>VLOOKUP(J1718,Equipes!A:B,2,0)</f>
        <v>Chelsea</v>
      </c>
      <c r="S1718" s="6" t="s">
        <v>387</v>
      </c>
      <c r="T1718" s="7">
        <v>10.0</v>
      </c>
      <c r="U1718" s="7" t="s">
        <v>388</v>
      </c>
      <c r="V1718" s="7" t="str">
        <f>VLOOKUP(U1718,Jogadores!B:C,2,0)</f>
        <v>MF</v>
      </c>
      <c r="W1718" s="8">
        <f>VLOOKUP(U1718,Jogadores!B:D,3,0)</f>
        <v>23.24383562</v>
      </c>
      <c r="X1718" s="7">
        <v>0.0</v>
      </c>
      <c r="Y1718" s="7">
        <f>45+AB1718</f>
        <v>94</v>
      </c>
      <c r="Z1718" s="7">
        <f>VLOOKUP(A1718,Jogos!A:L,3,0)</f>
        <v>47</v>
      </c>
      <c r="AA1718" s="7">
        <f t="shared" si="4815"/>
        <v>47</v>
      </c>
      <c r="AB1718" s="7">
        <f>VLOOKUP(A1718,Jogos!A:L,4,0)</f>
        <v>49</v>
      </c>
      <c r="AC1718" s="7">
        <f t="shared" si="5062"/>
        <v>49</v>
      </c>
      <c r="AD1718" s="7"/>
      <c r="AE1718" s="7"/>
      <c r="AF1718" s="7">
        <f t="shared" si="4566"/>
        <v>96</v>
      </c>
      <c r="AG1718" s="7">
        <v>10491.2</v>
      </c>
      <c r="AH1718" s="7">
        <v>4291.0</v>
      </c>
      <c r="AI1718" s="7">
        <v>3796.5</v>
      </c>
      <c r="AJ1718" s="7">
        <v>1572.5</v>
      </c>
      <c r="AK1718" s="7">
        <v>649.1</v>
      </c>
      <c r="AL1718" s="7">
        <v>182.0</v>
      </c>
      <c r="AM1718" s="7">
        <v>128.0</v>
      </c>
      <c r="AN1718" s="7">
        <v>52.0</v>
      </c>
      <c r="AO1718" s="7">
        <v>28.7</v>
      </c>
      <c r="AP1718" s="9">
        <f t="shared" ref="AP1718:AR1718" si="5387">AG1718/$AF1718</f>
        <v>109.2833333</v>
      </c>
      <c r="AQ1718" s="9">
        <f t="shared" si="5387"/>
        <v>44.69791667</v>
      </c>
      <c r="AR1718" s="9">
        <f t="shared" si="5387"/>
        <v>39.546875</v>
      </c>
      <c r="AS1718" s="9">
        <f t="shared" si="4568"/>
        <v>84.24479167</v>
      </c>
      <c r="AT1718" s="9">
        <f t="shared" ref="AT1718:AV1718" si="5388">AJ1718/$AF1718</f>
        <v>16.38020833</v>
      </c>
      <c r="AU1718" s="9">
        <f t="shared" si="5388"/>
        <v>6.761458333</v>
      </c>
      <c r="AV1718" s="9">
        <f t="shared" si="5388"/>
        <v>1.895833333</v>
      </c>
      <c r="AW1718" s="9">
        <f t="shared" si="4570"/>
        <v>8.657291667</v>
      </c>
      <c r="AX1718" s="9">
        <f t="shared" ref="AX1718:AY1718" si="5389">AM1718/$AF1718</f>
        <v>1.333333333</v>
      </c>
      <c r="AY1718" s="9">
        <f t="shared" si="5389"/>
        <v>0.5416666667</v>
      </c>
      <c r="AZ1718" s="9">
        <f>VLOOKUP(A1718,Jogos!A:BN,58,0)</f>
        <v>22.28</v>
      </c>
      <c r="BA1718" s="9">
        <f>VLOOKUP(A1718,Jogos!A:BN,59,0)</f>
        <v>15.48</v>
      </c>
      <c r="BB1718" s="9">
        <f>VLOOKUP(A1718,Jogos!A:BN,60,0)</f>
        <v>64.5</v>
      </c>
      <c r="BC1718" s="9">
        <f>VLOOKUP(A1718,Jogos!A:BN,61,0)</f>
        <v>19.725</v>
      </c>
      <c r="BD1718" s="9">
        <f>VLOOKUP(A1718,Jogos!A:BN,62,0)</f>
        <v>0</v>
      </c>
      <c r="BE1718" s="9">
        <f>VLOOKUP(A1718,Jogos!A:BN,63,0)</f>
        <v>0.83</v>
      </c>
      <c r="BF1718" s="9">
        <f>VLOOKUP(A1718,Jogos!A:BN,64,0)</f>
        <v>20.05</v>
      </c>
      <c r="BG1718" s="9">
        <f>VLOOKUP(A1718,Jogos!A:BN,65,0)</f>
        <v>35.24</v>
      </c>
      <c r="BH1718" s="9">
        <f>VLOOKUP(A1718,Jogos!A:BN,66,0)</f>
        <v>23.315</v>
      </c>
      <c r="BI1718" s="9"/>
      <c r="BJ1718" s="9"/>
    </row>
    <row r="1719" hidden="1">
      <c r="A1719" s="2">
        <v>58.0</v>
      </c>
      <c r="B1719" s="2" t="s">
        <v>1380</v>
      </c>
      <c r="C1719" s="2" t="s">
        <v>1351</v>
      </c>
      <c r="D1719" s="3">
        <v>45842.0</v>
      </c>
      <c r="E1719" s="4">
        <v>0.875</v>
      </c>
      <c r="F1719" s="5" t="str">
        <f>VLOOKUP(A1719,Jogos!A:N,10,0)</f>
        <v>Evening</v>
      </c>
      <c r="G1719" s="2" t="s">
        <v>500</v>
      </c>
      <c r="H1719" s="6" t="str">
        <f>VLOOKUP(A1719,Jogos!A:L,12,0)</f>
        <v>Open</v>
      </c>
      <c r="I1719" s="6" t="str">
        <f>VLOOKUP(G1719,'Estádios e Cidades'!A:B,2,0)</f>
        <v>Philadelphia</v>
      </c>
      <c r="J1719" s="2" t="s">
        <v>377</v>
      </c>
      <c r="K1719" s="2" t="str">
        <f>VLOOKUP(J1719,Equipes!A:F,6,0)</f>
        <v>Temperate</v>
      </c>
      <c r="L1719" s="2">
        <f>VLOOKUP(J1719,Equipes!A:C,3,0)</f>
        <v>1</v>
      </c>
      <c r="M1719" s="2" t="str">
        <f t="shared" si="4"/>
        <v>Final</v>
      </c>
      <c r="N1719" s="2" t="s">
        <v>250</v>
      </c>
      <c r="O1719" s="2">
        <f>VLOOKUP(N1719,Equipes!A:C,3,0)</f>
        <v>8</v>
      </c>
      <c r="P1719" s="2" t="str">
        <f t="shared" si="5"/>
        <v>Quarter-final</v>
      </c>
      <c r="Q1719" s="2">
        <f t="shared" si="6"/>
        <v>-7</v>
      </c>
      <c r="R1719" s="2" t="str">
        <f>VLOOKUP(J1719,Equipes!A:B,2,0)</f>
        <v>Chelsea</v>
      </c>
      <c r="S1719" s="6" t="s">
        <v>1289</v>
      </c>
      <c r="T1719" s="7">
        <v>17.0</v>
      </c>
      <c r="U1719" s="7" t="s">
        <v>1290</v>
      </c>
      <c r="V1719" s="7" t="str">
        <f>VLOOKUP(U1719,Jogadores!B:C,2,0)</f>
        <v>MF</v>
      </c>
      <c r="W1719" s="8">
        <f>VLOOKUP(U1719,Jogadores!B:D,3,0)</f>
        <v>21.24931507</v>
      </c>
      <c r="X1719" s="7">
        <v>0.0</v>
      </c>
      <c r="Y1719" s="7">
        <v>91.0</v>
      </c>
      <c r="Z1719" s="7">
        <f>VLOOKUP(A1719,Jogos!A:L,3,0)</f>
        <v>47</v>
      </c>
      <c r="AA1719" s="7">
        <f t="shared" si="4815"/>
        <v>47</v>
      </c>
      <c r="AB1719" s="7">
        <f>VLOOKUP(A1719,Jogos!A:L,4,0)</f>
        <v>49</v>
      </c>
      <c r="AC1719" s="7">
        <f t="shared" si="5062"/>
        <v>46</v>
      </c>
      <c r="AD1719" s="7"/>
      <c r="AE1719" s="7"/>
      <c r="AF1719" s="7">
        <f t="shared" si="4566"/>
        <v>93</v>
      </c>
      <c r="AG1719" s="7">
        <v>10555.9</v>
      </c>
      <c r="AH1719" s="7">
        <v>3765.6</v>
      </c>
      <c r="AI1719" s="7">
        <v>4655.6</v>
      </c>
      <c r="AJ1719" s="7">
        <v>1521.7</v>
      </c>
      <c r="AK1719" s="7">
        <v>458.5</v>
      </c>
      <c r="AL1719" s="7">
        <v>154.4</v>
      </c>
      <c r="AM1719" s="7">
        <v>138.0</v>
      </c>
      <c r="AN1719" s="7">
        <v>34.0</v>
      </c>
      <c r="AO1719" s="7">
        <v>29.6</v>
      </c>
      <c r="AP1719" s="9">
        <f t="shared" ref="AP1719:AR1719" si="5390">AG1719/$AF1719</f>
        <v>113.5043011</v>
      </c>
      <c r="AQ1719" s="9">
        <f t="shared" si="5390"/>
        <v>40.49032258</v>
      </c>
      <c r="AR1719" s="9">
        <f t="shared" si="5390"/>
        <v>50.06021505</v>
      </c>
      <c r="AS1719" s="9">
        <f t="shared" si="4568"/>
        <v>90.55053763</v>
      </c>
      <c r="AT1719" s="9">
        <f t="shared" ref="AT1719:AV1719" si="5391">AJ1719/$AF1719</f>
        <v>16.36236559</v>
      </c>
      <c r="AU1719" s="9">
        <f t="shared" si="5391"/>
        <v>4.930107527</v>
      </c>
      <c r="AV1719" s="9">
        <f t="shared" si="5391"/>
        <v>1.660215054</v>
      </c>
      <c r="AW1719" s="9">
        <f t="shared" si="4570"/>
        <v>6.590322581</v>
      </c>
      <c r="AX1719" s="9">
        <f t="shared" ref="AX1719:AY1719" si="5392">AM1719/$AF1719</f>
        <v>1.483870968</v>
      </c>
      <c r="AY1719" s="9">
        <f t="shared" si="5392"/>
        <v>0.3655913978</v>
      </c>
      <c r="AZ1719" s="9">
        <f>VLOOKUP(A1719,Jogos!A:BN,58,0)</f>
        <v>22.28</v>
      </c>
      <c r="BA1719" s="9">
        <f>VLOOKUP(A1719,Jogos!A:BN,59,0)</f>
        <v>15.48</v>
      </c>
      <c r="BB1719" s="9">
        <f>VLOOKUP(A1719,Jogos!A:BN,60,0)</f>
        <v>64.5</v>
      </c>
      <c r="BC1719" s="9">
        <f>VLOOKUP(A1719,Jogos!A:BN,61,0)</f>
        <v>19.725</v>
      </c>
      <c r="BD1719" s="9">
        <f>VLOOKUP(A1719,Jogos!A:BN,62,0)</f>
        <v>0</v>
      </c>
      <c r="BE1719" s="9">
        <f>VLOOKUP(A1719,Jogos!A:BN,63,0)</f>
        <v>0.83</v>
      </c>
      <c r="BF1719" s="9">
        <f>VLOOKUP(A1719,Jogos!A:BN,64,0)</f>
        <v>20.05</v>
      </c>
      <c r="BG1719" s="9">
        <f>VLOOKUP(A1719,Jogos!A:BN,65,0)</f>
        <v>35.24</v>
      </c>
      <c r="BH1719" s="9">
        <f>VLOOKUP(A1719,Jogos!A:BN,66,0)</f>
        <v>23.315</v>
      </c>
      <c r="BI1719" s="9"/>
      <c r="BJ1719" s="9"/>
    </row>
    <row r="1720" hidden="1">
      <c r="A1720" s="2">
        <v>58.0</v>
      </c>
      <c r="B1720" s="2" t="s">
        <v>1380</v>
      </c>
      <c r="C1720" s="2" t="s">
        <v>1351</v>
      </c>
      <c r="D1720" s="3">
        <v>45842.0</v>
      </c>
      <c r="E1720" s="4">
        <v>0.875</v>
      </c>
      <c r="F1720" s="5" t="str">
        <f>VLOOKUP(A1720,Jogos!A:N,10,0)</f>
        <v>Evening</v>
      </c>
      <c r="G1720" s="2" t="s">
        <v>500</v>
      </c>
      <c r="H1720" s="6" t="str">
        <f>VLOOKUP(A1720,Jogos!A:L,12,0)</f>
        <v>Open</v>
      </c>
      <c r="I1720" s="6" t="str">
        <f>VLOOKUP(G1720,'Estádios e Cidades'!A:B,2,0)</f>
        <v>Philadelphia</v>
      </c>
      <c r="J1720" s="2" t="s">
        <v>377</v>
      </c>
      <c r="K1720" s="2" t="str">
        <f>VLOOKUP(J1720,Equipes!A:F,6,0)</f>
        <v>Temperate</v>
      </c>
      <c r="L1720" s="2">
        <f>VLOOKUP(J1720,Equipes!A:C,3,0)</f>
        <v>1</v>
      </c>
      <c r="M1720" s="2" t="str">
        <f t="shared" si="4"/>
        <v>Final</v>
      </c>
      <c r="N1720" s="2" t="s">
        <v>250</v>
      </c>
      <c r="O1720" s="2">
        <f>VLOOKUP(N1720,Equipes!A:C,3,0)</f>
        <v>8</v>
      </c>
      <c r="P1720" s="2" t="str">
        <f t="shared" si="5"/>
        <v>Quarter-final</v>
      </c>
      <c r="Q1720" s="2">
        <f t="shared" si="6"/>
        <v>-7</v>
      </c>
      <c r="R1720" s="2" t="str">
        <f>VLOOKUP(J1720,Equipes!A:B,2,0)</f>
        <v>Chelsea</v>
      </c>
      <c r="S1720" s="6" t="s">
        <v>405</v>
      </c>
      <c r="T1720" s="7">
        <v>18.0</v>
      </c>
      <c r="U1720" s="7" t="s">
        <v>406</v>
      </c>
      <c r="V1720" s="7" t="str">
        <f>VLOOKUP(U1720,Jogadores!B:C,2,0)</f>
        <v>FW</v>
      </c>
      <c r="W1720" s="8">
        <f>VLOOKUP(U1720,Jogadores!B:D,3,0)</f>
        <v>27.72054795</v>
      </c>
      <c r="X1720" s="7">
        <v>0.0</v>
      </c>
      <c r="Y1720" s="7">
        <v>54.0</v>
      </c>
      <c r="Z1720" s="7">
        <f>VLOOKUP(A1720,Jogos!A:L,3,0)</f>
        <v>47</v>
      </c>
      <c r="AA1720" s="7">
        <f t="shared" si="4815"/>
        <v>47</v>
      </c>
      <c r="AB1720" s="7">
        <f>VLOOKUP(A1720,Jogos!A:L,4,0)</f>
        <v>49</v>
      </c>
      <c r="AC1720" s="7">
        <f t="shared" si="5062"/>
        <v>9</v>
      </c>
      <c r="AD1720" s="7"/>
      <c r="AE1720" s="7"/>
      <c r="AF1720" s="7">
        <f t="shared" si="4566"/>
        <v>56</v>
      </c>
      <c r="AG1720" s="7">
        <v>5569.6</v>
      </c>
      <c r="AH1720" s="7">
        <v>1963.2</v>
      </c>
      <c r="AI1720" s="7">
        <v>2108.5</v>
      </c>
      <c r="AJ1720" s="7">
        <v>968.0</v>
      </c>
      <c r="AK1720" s="7">
        <v>392.5</v>
      </c>
      <c r="AL1720" s="7">
        <v>137.4</v>
      </c>
      <c r="AM1720" s="7">
        <v>79.0</v>
      </c>
      <c r="AN1720" s="7">
        <v>33.0</v>
      </c>
      <c r="AO1720" s="7">
        <v>32.1</v>
      </c>
      <c r="AP1720" s="9">
        <f t="shared" ref="AP1720:AR1720" si="5393">AG1720/$AF1720</f>
        <v>99.45714286</v>
      </c>
      <c r="AQ1720" s="9">
        <f t="shared" si="5393"/>
        <v>35.05714286</v>
      </c>
      <c r="AR1720" s="9">
        <f t="shared" si="5393"/>
        <v>37.65178571</v>
      </c>
      <c r="AS1720" s="9">
        <f t="shared" si="4568"/>
        <v>72.70892857</v>
      </c>
      <c r="AT1720" s="9">
        <f t="shared" ref="AT1720:AV1720" si="5394">AJ1720/$AF1720</f>
        <v>17.28571429</v>
      </c>
      <c r="AU1720" s="9">
        <f t="shared" si="5394"/>
        <v>7.008928571</v>
      </c>
      <c r="AV1720" s="9">
        <f t="shared" si="5394"/>
        <v>2.453571429</v>
      </c>
      <c r="AW1720" s="9">
        <f t="shared" si="4570"/>
        <v>9.4625</v>
      </c>
      <c r="AX1720" s="9">
        <f t="shared" ref="AX1720:AY1720" si="5395">AM1720/$AF1720</f>
        <v>1.410714286</v>
      </c>
      <c r="AY1720" s="9">
        <f t="shared" si="5395"/>
        <v>0.5892857143</v>
      </c>
      <c r="AZ1720" s="9">
        <f>VLOOKUP(A1720,Jogos!A:BN,58,0)</f>
        <v>22.28</v>
      </c>
      <c r="BA1720" s="9">
        <f>VLOOKUP(A1720,Jogos!A:BN,59,0)</f>
        <v>15.48</v>
      </c>
      <c r="BB1720" s="9">
        <f>VLOOKUP(A1720,Jogos!A:BN,60,0)</f>
        <v>64.5</v>
      </c>
      <c r="BC1720" s="9">
        <f>VLOOKUP(A1720,Jogos!A:BN,61,0)</f>
        <v>19.725</v>
      </c>
      <c r="BD1720" s="9">
        <f>VLOOKUP(A1720,Jogos!A:BN,62,0)</f>
        <v>0</v>
      </c>
      <c r="BE1720" s="9">
        <f>VLOOKUP(A1720,Jogos!A:BN,63,0)</f>
        <v>0.83</v>
      </c>
      <c r="BF1720" s="9">
        <f>VLOOKUP(A1720,Jogos!A:BN,64,0)</f>
        <v>20.05</v>
      </c>
      <c r="BG1720" s="9">
        <f>VLOOKUP(A1720,Jogos!A:BN,65,0)</f>
        <v>35.24</v>
      </c>
      <c r="BH1720" s="9">
        <f>VLOOKUP(A1720,Jogos!A:BN,66,0)</f>
        <v>23.315</v>
      </c>
      <c r="BI1720" s="9"/>
      <c r="BJ1720" s="9"/>
    </row>
    <row r="1721" hidden="1">
      <c r="A1721" s="2">
        <v>58.0</v>
      </c>
      <c r="B1721" s="2" t="s">
        <v>1380</v>
      </c>
      <c r="C1721" s="2" t="s">
        <v>1351</v>
      </c>
      <c r="D1721" s="3">
        <v>45842.0</v>
      </c>
      <c r="E1721" s="4">
        <v>0.875</v>
      </c>
      <c r="F1721" s="5" t="str">
        <f>VLOOKUP(A1721,Jogos!A:N,10,0)</f>
        <v>Evening</v>
      </c>
      <c r="G1721" s="2" t="s">
        <v>500</v>
      </c>
      <c r="H1721" s="6" t="str">
        <f>VLOOKUP(A1721,Jogos!A:L,12,0)</f>
        <v>Open</v>
      </c>
      <c r="I1721" s="6" t="str">
        <f>VLOOKUP(G1721,'Estádios e Cidades'!A:B,2,0)</f>
        <v>Philadelphia</v>
      </c>
      <c r="J1721" s="2" t="s">
        <v>377</v>
      </c>
      <c r="K1721" s="2" t="str">
        <f>VLOOKUP(J1721,Equipes!A:F,6,0)</f>
        <v>Temperate</v>
      </c>
      <c r="L1721" s="2">
        <f>VLOOKUP(J1721,Equipes!A:C,3,0)</f>
        <v>1</v>
      </c>
      <c r="M1721" s="2" t="str">
        <f t="shared" si="4"/>
        <v>Final</v>
      </c>
      <c r="N1721" s="2" t="s">
        <v>250</v>
      </c>
      <c r="O1721" s="2">
        <f>VLOOKUP(N1721,Equipes!A:C,3,0)</f>
        <v>8</v>
      </c>
      <c r="P1721" s="2" t="str">
        <f t="shared" si="5"/>
        <v>Quarter-final</v>
      </c>
      <c r="Q1721" s="2">
        <f t="shared" si="6"/>
        <v>-7</v>
      </c>
      <c r="R1721" s="2" t="str">
        <f>VLOOKUP(J1721,Equipes!A:B,2,0)</f>
        <v>Chelsea</v>
      </c>
      <c r="S1721" s="6" t="s">
        <v>1126</v>
      </c>
      <c r="T1721" s="7">
        <v>23.0</v>
      </c>
      <c r="U1721" s="7" t="s">
        <v>1127</v>
      </c>
      <c r="V1721" s="7" t="str">
        <f>VLOOKUP(U1721,Jogadores!B:C,2,0)</f>
        <v>DF</v>
      </c>
      <c r="W1721" s="8">
        <f>VLOOKUP(U1721,Jogadores!B:D,3,0)</f>
        <v>26.08219178</v>
      </c>
      <c r="X1721" s="7">
        <v>0.0</v>
      </c>
      <c r="Y1721" s="7">
        <f t="shared" ref="Y1721:Y1728" si="5399">45+AB1721</f>
        <v>94</v>
      </c>
      <c r="Z1721" s="7">
        <f>VLOOKUP(A1721,Jogos!A:L,3,0)</f>
        <v>47</v>
      </c>
      <c r="AA1721" s="7">
        <f t="shared" si="4815"/>
        <v>47</v>
      </c>
      <c r="AB1721" s="7">
        <f>VLOOKUP(A1721,Jogos!A:L,4,0)</f>
        <v>49</v>
      </c>
      <c r="AC1721" s="7">
        <f t="shared" si="5062"/>
        <v>49</v>
      </c>
      <c r="AD1721" s="7"/>
      <c r="AE1721" s="7"/>
      <c r="AF1721" s="7">
        <f t="shared" si="4566"/>
        <v>96</v>
      </c>
      <c r="AG1721" s="7">
        <v>9249.3</v>
      </c>
      <c r="AH1721" s="7">
        <v>4173.9</v>
      </c>
      <c r="AI1721" s="7">
        <v>3574.6</v>
      </c>
      <c r="AJ1721" s="7">
        <v>984.3</v>
      </c>
      <c r="AK1721" s="7">
        <v>329.2</v>
      </c>
      <c r="AL1721" s="7">
        <v>187.3</v>
      </c>
      <c r="AM1721" s="7">
        <v>86.0</v>
      </c>
      <c r="AN1721" s="7">
        <v>31.0</v>
      </c>
      <c r="AO1721" s="7">
        <v>32.9</v>
      </c>
      <c r="AP1721" s="9">
        <f t="shared" ref="AP1721:AR1721" si="5396">AG1721/$AF1721</f>
        <v>96.346875</v>
      </c>
      <c r="AQ1721" s="9">
        <f t="shared" si="5396"/>
        <v>43.478125</v>
      </c>
      <c r="AR1721" s="9">
        <f t="shared" si="5396"/>
        <v>37.23541667</v>
      </c>
      <c r="AS1721" s="9">
        <f t="shared" si="4568"/>
        <v>80.71354167</v>
      </c>
      <c r="AT1721" s="9">
        <f t="shared" ref="AT1721:AV1721" si="5397">AJ1721/$AF1721</f>
        <v>10.253125</v>
      </c>
      <c r="AU1721" s="9">
        <f t="shared" si="5397"/>
        <v>3.429166667</v>
      </c>
      <c r="AV1721" s="9">
        <f t="shared" si="5397"/>
        <v>1.951041667</v>
      </c>
      <c r="AW1721" s="9">
        <f t="shared" si="4570"/>
        <v>5.380208333</v>
      </c>
      <c r="AX1721" s="9">
        <f t="shared" ref="AX1721:AY1721" si="5398">AM1721/$AF1721</f>
        <v>0.8958333333</v>
      </c>
      <c r="AY1721" s="9">
        <f t="shared" si="5398"/>
        <v>0.3229166667</v>
      </c>
      <c r="AZ1721" s="9">
        <f>VLOOKUP(A1721,Jogos!A:BN,58,0)</f>
        <v>22.28</v>
      </c>
      <c r="BA1721" s="9">
        <f>VLOOKUP(A1721,Jogos!A:BN,59,0)</f>
        <v>15.48</v>
      </c>
      <c r="BB1721" s="9">
        <f>VLOOKUP(A1721,Jogos!A:BN,60,0)</f>
        <v>64.5</v>
      </c>
      <c r="BC1721" s="9">
        <f>VLOOKUP(A1721,Jogos!A:BN,61,0)</f>
        <v>19.725</v>
      </c>
      <c r="BD1721" s="9">
        <f>VLOOKUP(A1721,Jogos!A:BN,62,0)</f>
        <v>0</v>
      </c>
      <c r="BE1721" s="9">
        <f>VLOOKUP(A1721,Jogos!A:BN,63,0)</f>
        <v>0.83</v>
      </c>
      <c r="BF1721" s="9">
        <f>VLOOKUP(A1721,Jogos!A:BN,64,0)</f>
        <v>20.05</v>
      </c>
      <c r="BG1721" s="9">
        <f>VLOOKUP(A1721,Jogos!A:BN,65,0)</f>
        <v>35.24</v>
      </c>
      <c r="BH1721" s="9">
        <f>VLOOKUP(A1721,Jogos!A:BN,66,0)</f>
        <v>23.315</v>
      </c>
      <c r="BI1721" s="9"/>
      <c r="BJ1721" s="9"/>
    </row>
    <row r="1722" hidden="1">
      <c r="A1722" s="2">
        <v>58.0</v>
      </c>
      <c r="B1722" s="2" t="s">
        <v>1380</v>
      </c>
      <c r="C1722" s="2" t="s">
        <v>1351</v>
      </c>
      <c r="D1722" s="3">
        <v>45842.0</v>
      </c>
      <c r="E1722" s="4">
        <v>0.875</v>
      </c>
      <c r="F1722" s="5" t="str">
        <f>VLOOKUP(A1722,Jogos!A:N,10,0)</f>
        <v>Evening</v>
      </c>
      <c r="G1722" s="2" t="s">
        <v>500</v>
      </c>
      <c r="H1722" s="6" t="str">
        <f>VLOOKUP(A1722,Jogos!A:L,12,0)</f>
        <v>Open</v>
      </c>
      <c r="I1722" s="6" t="str">
        <f>VLOOKUP(G1722,'Estádios e Cidades'!A:B,2,0)</f>
        <v>Philadelphia</v>
      </c>
      <c r="J1722" s="2" t="s">
        <v>377</v>
      </c>
      <c r="K1722" s="2" t="str">
        <f>VLOOKUP(J1722,Equipes!A:F,6,0)</f>
        <v>Temperate</v>
      </c>
      <c r="L1722" s="2">
        <f>VLOOKUP(J1722,Equipes!A:C,3,0)</f>
        <v>1</v>
      </c>
      <c r="M1722" s="2" t="str">
        <f t="shared" si="4"/>
        <v>Final</v>
      </c>
      <c r="N1722" s="2" t="s">
        <v>250</v>
      </c>
      <c r="O1722" s="2">
        <f>VLOOKUP(N1722,Equipes!A:C,3,0)</f>
        <v>8</v>
      </c>
      <c r="P1722" s="2" t="str">
        <f t="shared" si="5"/>
        <v>Quarter-final</v>
      </c>
      <c r="Q1722" s="2">
        <f t="shared" si="6"/>
        <v>-7</v>
      </c>
      <c r="R1722" s="2" t="str">
        <f>VLOOKUP(J1722,Equipes!A:B,2,0)</f>
        <v>Chelsea</v>
      </c>
      <c r="S1722" s="6" t="s">
        <v>407</v>
      </c>
      <c r="T1722" s="7">
        <v>27.0</v>
      </c>
      <c r="U1722" s="7" t="s">
        <v>408</v>
      </c>
      <c r="V1722" s="7" t="str">
        <f>VLOOKUP(U1722,Jogadores!B:C,2,0)</f>
        <v>DF</v>
      </c>
      <c r="W1722" s="8">
        <f>VLOOKUP(U1722,Jogadores!B:D,3,0)</f>
        <v>22.20821918</v>
      </c>
      <c r="X1722" s="7">
        <v>0.0</v>
      </c>
      <c r="Y1722" s="7">
        <f t="shared" si="5399"/>
        <v>94</v>
      </c>
      <c r="Z1722" s="7">
        <f>VLOOKUP(A1722,Jogos!A:L,3,0)</f>
        <v>47</v>
      </c>
      <c r="AA1722" s="7">
        <f t="shared" si="4815"/>
        <v>47</v>
      </c>
      <c r="AB1722" s="7">
        <f>VLOOKUP(A1722,Jogos!A:L,4,0)</f>
        <v>49</v>
      </c>
      <c r="AC1722" s="7">
        <f t="shared" si="5062"/>
        <v>49</v>
      </c>
      <c r="AD1722" s="7"/>
      <c r="AE1722" s="7"/>
      <c r="AF1722" s="7">
        <f t="shared" si="4566"/>
        <v>96</v>
      </c>
      <c r="AG1722" s="7">
        <v>11222.8</v>
      </c>
      <c r="AH1722" s="7">
        <v>3660.3</v>
      </c>
      <c r="AI1722" s="7">
        <v>4536.5</v>
      </c>
      <c r="AJ1722" s="7">
        <v>1714.8</v>
      </c>
      <c r="AK1722" s="7">
        <v>923.9</v>
      </c>
      <c r="AL1722" s="7">
        <v>387.3</v>
      </c>
      <c r="AM1722" s="7">
        <v>141.0</v>
      </c>
      <c r="AN1722" s="7">
        <v>76.0</v>
      </c>
      <c r="AO1722" s="7">
        <v>31.8</v>
      </c>
      <c r="AP1722" s="9">
        <f t="shared" ref="AP1722:AR1722" si="5400">AG1722/$AF1722</f>
        <v>116.9041667</v>
      </c>
      <c r="AQ1722" s="9">
        <f t="shared" si="5400"/>
        <v>38.128125</v>
      </c>
      <c r="AR1722" s="9">
        <f t="shared" si="5400"/>
        <v>47.25520833</v>
      </c>
      <c r="AS1722" s="9">
        <f t="shared" si="4568"/>
        <v>85.38333333</v>
      </c>
      <c r="AT1722" s="9">
        <f t="shared" ref="AT1722:AV1722" si="5401">AJ1722/$AF1722</f>
        <v>17.8625</v>
      </c>
      <c r="AU1722" s="9">
        <f t="shared" si="5401"/>
        <v>9.623958333</v>
      </c>
      <c r="AV1722" s="9">
        <f t="shared" si="5401"/>
        <v>4.034375</v>
      </c>
      <c r="AW1722" s="9">
        <f t="shared" si="4570"/>
        <v>13.65833333</v>
      </c>
      <c r="AX1722" s="9">
        <f t="shared" ref="AX1722:AY1722" si="5402">AM1722/$AF1722</f>
        <v>1.46875</v>
      </c>
      <c r="AY1722" s="9">
        <f t="shared" si="5402"/>
        <v>0.7916666667</v>
      </c>
      <c r="AZ1722" s="9">
        <f>VLOOKUP(A1722,Jogos!A:BN,58,0)</f>
        <v>22.28</v>
      </c>
      <c r="BA1722" s="9">
        <f>VLOOKUP(A1722,Jogos!A:BN,59,0)</f>
        <v>15.48</v>
      </c>
      <c r="BB1722" s="9">
        <f>VLOOKUP(A1722,Jogos!A:BN,60,0)</f>
        <v>64.5</v>
      </c>
      <c r="BC1722" s="9">
        <f>VLOOKUP(A1722,Jogos!A:BN,61,0)</f>
        <v>19.725</v>
      </c>
      <c r="BD1722" s="9">
        <f>VLOOKUP(A1722,Jogos!A:BN,62,0)</f>
        <v>0</v>
      </c>
      <c r="BE1722" s="9">
        <f>VLOOKUP(A1722,Jogos!A:BN,63,0)</f>
        <v>0.83</v>
      </c>
      <c r="BF1722" s="9">
        <f>VLOOKUP(A1722,Jogos!A:BN,64,0)</f>
        <v>20.05</v>
      </c>
      <c r="BG1722" s="9">
        <f>VLOOKUP(A1722,Jogos!A:BN,65,0)</f>
        <v>35.24</v>
      </c>
      <c r="BH1722" s="9">
        <f>VLOOKUP(A1722,Jogos!A:BN,66,0)</f>
        <v>23.315</v>
      </c>
      <c r="BI1722" s="9"/>
      <c r="BJ1722" s="9"/>
    </row>
    <row r="1723" hidden="1">
      <c r="A1723" s="2">
        <v>58.0</v>
      </c>
      <c r="B1723" s="2" t="s">
        <v>1380</v>
      </c>
      <c r="C1723" s="2" t="s">
        <v>1351</v>
      </c>
      <c r="D1723" s="3">
        <v>45842.0</v>
      </c>
      <c r="E1723" s="4">
        <v>0.875</v>
      </c>
      <c r="F1723" s="5" t="str">
        <f>VLOOKUP(A1723,Jogos!A:N,10,0)</f>
        <v>Evening</v>
      </c>
      <c r="G1723" s="2" t="s">
        <v>500</v>
      </c>
      <c r="H1723" s="6" t="str">
        <f>VLOOKUP(A1723,Jogos!A:L,12,0)</f>
        <v>Open</v>
      </c>
      <c r="I1723" s="6" t="str">
        <f>VLOOKUP(G1723,'Estádios e Cidades'!A:B,2,0)</f>
        <v>Philadelphia</v>
      </c>
      <c r="J1723" s="2" t="s">
        <v>377</v>
      </c>
      <c r="K1723" s="2" t="str">
        <f>VLOOKUP(J1723,Equipes!A:F,6,0)</f>
        <v>Temperate</v>
      </c>
      <c r="L1723" s="2">
        <f>VLOOKUP(J1723,Equipes!A:C,3,0)</f>
        <v>1</v>
      </c>
      <c r="M1723" s="2" t="str">
        <f t="shared" si="4"/>
        <v>Final</v>
      </c>
      <c r="N1723" s="2" t="s">
        <v>250</v>
      </c>
      <c r="O1723" s="2">
        <f>VLOOKUP(N1723,Equipes!A:C,3,0)</f>
        <v>8</v>
      </c>
      <c r="P1723" s="2" t="str">
        <f t="shared" si="5"/>
        <v>Quarter-final</v>
      </c>
      <c r="Q1723" s="2">
        <f t="shared" si="6"/>
        <v>-7</v>
      </c>
      <c r="R1723" s="2" t="str">
        <f>VLOOKUP(J1723,Equipes!A:B,2,0)</f>
        <v>Chelsea</v>
      </c>
      <c r="S1723" s="6" t="s">
        <v>389</v>
      </c>
      <c r="T1723" s="7">
        <v>11.0</v>
      </c>
      <c r="U1723" s="7" t="s">
        <v>390</v>
      </c>
      <c r="V1723" s="7" t="str">
        <f>VLOOKUP(U1723,Jogadores!B:C,2,0)</f>
        <v>FW</v>
      </c>
      <c r="W1723" s="8">
        <f>VLOOKUP(U1723,Jogadores!B:D,3,0)</f>
        <v>23.4</v>
      </c>
      <c r="X1723" s="7">
        <v>54.0</v>
      </c>
      <c r="Y1723" s="7">
        <f t="shared" si="5399"/>
        <v>94</v>
      </c>
      <c r="Z1723" s="7">
        <f>VLOOKUP(A1723,Jogos!A:L,3,0)</f>
        <v>47</v>
      </c>
      <c r="AA1723" s="7">
        <f t="shared" si="4815"/>
        <v>0</v>
      </c>
      <c r="AB1723" s="7">
        <f>VLOOKUP(A1723,Jogos!A:L,4,0)</f>
        <v>49</v>
      </c>
      <c r="AC1723" s="7">
        <f t="shared" si="5062"/>
        <v>40</v>
      </c>
      <c r="AD1723" s="7"/>
      <c r="AE1723" s="7"/>
      <c r="AF1723" s="7">
        <f t="shared" si="4566"/>
        <v>40</v>
      </c>
      <c r="AG1723" s="7">
        <v>4163.9</v>
      </c>
      <c r="AH1723" s="7">
        <v>1682.8</v>
      </c>
      <c r="AI1723" s="7">
        <v>1486.0</v>
      </c>
      <c r="AJ1723" s="7">
        <v>506.7</v>
      </c>
      <c r="AK1723" s="7">
        <v>314.6</v>
      </c>
      <c r="AL1723" s="7">
        <v>173.7</v>
      </c>
      <c r="AM1723" s="7">
        <v>42.0</v>
      </c>
      <c r="AN1723" s="7">
        <v>24.0</v>
      </c>
      <c r="AO1723" s="7">
        <v>34.6</v>
      </c>
      <c r="AP1723" s="9">
        <f t="shared" ref="AP1723:AR1723" si="5403">AG1723/$AF1723</f>
        <v>104.0975</v>
      </c>
      <c r="AQ1723" s="9">
        <f t="shared" si="5403"/>
        <v>42.07</v>
      </c>
      <c r="AR1723" s="9">
        <f t="shared" si="5403"/>
        <v>37.15</v>
      </c>
      <c r="AS1723" s="9">
        <f t="shared" si="4568"/>
        <v>79.22</v>
      </c>
      <c r="AT1723" s="9">
        <f t="shared" ref="AT1723:AV1723" si="5404">AJ1723/$AF1723</f>
        <v>12.6675</v>
      </c>
      <c r="AU1723" s="9">
        <f t="shared" si="5404"/>
        <v>7.865</v>
      </c>
      <c r="AV1723" s="9">
        <f t="shared" si="5404"/>
        <v>4.3425</v>
      </c>
      <c r="AW1723" s="9">
        <f t="shared" si="4570"/>
        <v>12.2075</v>
      </c>
      <c r="AX1723" s="9">
        <f t="shared" ref="AX1723:AY1723" si="5405">AM1723/$AF1723</f>
        <v>1.05</v>
      </c>
      <c r="AY1723" s="9">
        <f t="shared" si="5405"/>
        <v>0.6</v>
      </c>
      <c r="AZ1723" s="9">
        <f>VLOOKUP(A1723,Jogos!A:BN,58,0)</f>
        <v>22.28</v>
      </c>
      <c r="BA1723" s="9">
        <f>VLOOKUP(A1723,Jogos!A:BN,59,0)</f>
        <v>15.48</v>
      </c>
      <c r="BB1723" s="9">
        <f>VLOOKUP(A1723,Jogos!A:BN,60,0)</f>
        <v>64.5</v>
      </c>
      <c r="BC1723" s="9">
        <f>VLOOKUP(A1723,Jogos!A:BN,61,0)</f>
        <v>19.725</v>
      </c>
      <c r="BD1723" s="9">
        <f>VLOOKUP(A1723,Jogos!A:BN,62,0)</f>
        <v>0</v>
      </c>
      <c r="BE1723" s="9">
        <f>VLOOKUP(A1723,Jogos!A:BN,63,0)</f>
        <v>0.83</v>
      </c>
      <c r="BF1723" s="9">
        <f>VLOOKUP(A1723,Jogos!A:BN,64,0)</f>
        <v>20.05</v>
      </c>
      <c r="BG1723" s="9">
        <f>VLOOKUP(A1723,Jogos!A:BN,65,0)</f>
        <v>35.24</v>
      </c>
      <c r="BH1723" s="9">
        <f>VLOOKUP(A1723,Jogos!A:BN,66,0)</f>
        <v>23.315</v>
      </c>
      <c r="BI1723" s="9"/>
      <c r="BJ1723" s="9"/>
    </row>
    <row r="1724" hidden="1">
      <c r="A1724" s="2">
        <v>58.0</v>
      </c>
      <c r="B1724" s="2" t="s">
        <v>1380</v>
      </c>
      <c r="C1724" s="2" t="s">
        <v>1351</v>
      </c>
      <c r="D1724" s="3">
        <v>45842.0</v>
      </c>
      <c r="E1724" s="4">
        <v>0.875</v>
      </c>
      <c r="F1724" s="5" t="str">
        <f>VLOOKUP(A1724,Jogos!A:N,10,0)</f>
        <v>Evening</v>
      </c>
      <c r="G1724" s="2" t="s">
        <v>500</v>
      </c>
      <c r="H1724" s="6" t="str">
        <f>VLOOKUP(A1724,Jogos!A:L,12,0)</f>
        <v>Open</v>
      </c>
      <c r="I1724" s="6" t="str">
        <f>VLOOKUP(G1724,'Estádios e Cidades'!A:B,2,0)</f>
        <v>Philadelphia</v>
      </c>
      <c r="J1724" s="2" t="s">
        <v>377</v>
      </c>
      <c r="K1724" s="2" t="str">
        <f>VLOOKUP(J1724,Equipes!A:F,6,0)</f>
        <v>Temperate</v>
      </c>
      <c r="L1724" s="2">
        <f>VLOOKUP(J1724,Equipes!A:C,3,0)</f>
        <v>1</v>
      </c>
      <c r="M1724" s="2" t="str">
        <f t="shared" si="4"/>
        <v>Final</v>
      </c>
      <c r="N1724" s="2" t="s">
        <v>250</v>
      </c>
      <c r="O1724" s="2">
        <f>VLOOKUP(N1724,Equipes!A:C,3,0)</f>
        <v>8</v>
      </c>
      <c r="P1724" s="2" t="str">
        <f t="shared" si="5"/>
        <v>Quarter-final</v>
      </c>
      <c r="Q1724" s="2">
        <f t="shared" si="6"/>
        <v>-7</v>
      </c>
      <c r="R1724" s="2" t="str">
        <f>VLOOKUP(J1724,Equipes!A:B,2,0)</f>
        <v>Chelsea</v>
      </c>
      <c r="S1724" s="6" t="s">
        <v>403</v>
      </c>
      <c r="T1724" s="7">
        <v>14.0</v>
      </c>
      <c r="U1724" s="7" t="s">
        <v>404</v>
      </c>
      <c r="V1724" s="7" t="str">
        <f>VLOOKUP(U1724,Jogadores!B:C,2,0)</f>
        <v>MF</v>
      </c>
      <c r="W1724" s="8">
        <f>VLOOKUP(U1724,Jogadores!B:D,3,0)</f>
        <v>20.38630137</v>
      </c>
      <c r="X1724" s="7">
        <v>91.0</v>
      </c>
      <c r="Y1724" s="7">
        <f t="shared" si="5399"/>
        <v>94</v>
      </c>
      <c r="Z1724" s="7">
        <f>VLOOKUP(A1724,Jogos!A:L,3,0)</f>
        <v>47</v>
      </c>
      <c r="AA1724" s="7">
        <f t="shared" si="4815"/>
        <v>0</v>
      </c>
      <c r="AB1724" s="7">
        <f>VLOOKUP(A1724,Jogos!A:L,4,0)</f>
        <v>49</v>
      </c>
      <c r="AC1724" s="7">
        <f t="shared" si="5062"/>
        <v>3</v>
      </c>
      <c r="AD1724" s="7"/>
      <c r="AE1724" s="7"/>
      <c r="AF1724" s="7">
        <f t="shared" si="4566"/>
        <v>3</v>
      </c>
      <c r="AG1724" s="7">
        <v>434.9</v>
      </c>
      <c r="AH1724" s="7">
        <v>142.7</v>
      </c>
      <c r="AI1724" s="7">
        <v>176.0</v>
      </c>
      <c r="AJ1724" s="7">
        <v>92.4</v>
      </c>
      <c r="AK1724" s="7">
        <v>23.8</v>
      </c>
      <c r="AL1724" s="7">
        <v>7.0</v>
      </c>
      <c r="AM1724" s="7">
        <v>1.0</v>
      </c>
      <c r="AN1724" s="7">
        <v>24.8</v>
      </c>
      <c r="AO1724" s="7"/>
      <c r="AP1724" s="9">
        <f t="shared" ref="AP1724:AR1724" si="5406">AG1724/$AF1724</f>
        <v>144.9666667</v>
      </c>
      <c r="AQ1724" s="9">
        <f t="shared" si="5406"/>
        <v>47.56666667</v>
      </c>
      <c r="AR1724" s="9">
        <f t="shared" si="5406"/>
        <v>58.66666667</v>
      </c>
      <c r="AS1724" s="9">
        <f t="shared" si="4568"/>
        <v>106.2333333</v>
      </c>
      <c r="AT1724" s="9">
        <f t="shared" ref="AT1724:AV1724" si="5407">AJ1724/$AF1724</f>
        <v>30.8</v>
      </c>
      <c r="AU1724" s="9">
        <f t="shared" si="5407"/>
        <v>7.933333333</v>
      </c>
      <c r="AV1724" s="9">
        <f t="shared" si="5407"/>
        <v>2.333333333</v>
      </c>
      <c r="AW1724" s="9">
        <f t="shared" si="4570"/>
        <v>10.26666667</v>
      </c>
      <c r="AX1724" s="9">
        <f t="shared" ref="AX1724:AY1724" si="5408">AM1724/$AF1724</f>
        <v>0.3333333333</v>
      </c>
      <c r="AY1724" s="9">
        <f t="shared" si="5408"/>
        <v>8.266666667</v>
      </c>
      <c r="AZ1724" s="9">
        <f>VLOOKUP(A1724,Jogos!A:BN,58,0)</f>
        <v>22.28</v>
      </c>
      <c r="BA1724" s="9">
        <f>VLOOKUP(A1724,Jogos!A:BN,59,0)</f>
        <v>15.48</v>
      </c>
      <c r="BB1724" s="9">
        <f>VLOOKUP(A1724,Jogos!A:BN,60,0)</f>
        <v>64.5</v>
      </c>
      <c r="BC1724" s="9">
        <f>VLOOKUP(A1724,Jogos!A:BN,61,0)</f>
        <v>19.725</v>
      </c>
      <c r="BD1724" s="9">
        <f>VLOOKUP(A1724,Jogos!A:BN,62,0)</f>
        <v>0</v>
      </c>
      <c r="BE1724" s="9">
        <f>VLOOKUP(A1724,Jogos!A:BN,63,0)</f>
        <v>0.83</v>
      </c>
      <c r="BF1724" s="9">
        <f>VLOOKUP(A1724,Jogos!A:BN,64,0)</f>
        <v>20.05</v>
      </c>
      <c r="BG1724" s="9">
        <f>VLOOKUP(A1724,Jogos!A:BN,65,0)</f>
        <v>35.24</v>
      </c>
      <c r="BH1724" s="9">
        <f>VLOOKUP(A1724,Jogos!A:BN,66,0)</f>
        <v>23.315</v>
      </c>
      <c r="BI1724" s="9"/>
      <c r="BJ1724" s="9"/>
    </row>
    <row r="1725" hidden="1">
      <c r="A1725" s="2">
        <v>58.0</v>
      </c>
      <c r="B1725" s="2" t="s">
        <v>1380</v>
      </c>
      <c r="C1725" s="2" t="s">
        <v>1351</v>
      </c>
      <c r="D1725" s="3">
        <v>45842.0</v>
      </c>
      <c r="E1725" s="4">
        <v>0.875</v>
      </c>
      <c r="F1725" s="5" t="str">
        <f>VLOOKUP(A1725,Jogos!A:N,10,0)</f>
        <v>Evening</v>
      </c>
      <c r="G1725" s="2" t="s">
        <v>500</v>
      </c>
      <c r="H1725" s="6" t="str">
        <f>VLOOKUP(A1725,Jogos!A:L,12,0)</f>
        <v>Open</v>
      </c>
      <c r="I1725" s="6" t="str">
        <f>VLOOKUP(G1725,'Estádios e Cidades'!A:B,2,0)</f>
        <v>Philadelphia</v>
      </c>
      <c r="J1725" s="2" t="s">
        <v>377</v>
      </c>
      <c r="K1725" s="2" t="str">
        <f>VLOOKUP(J1725,Equipes!A:F,6,0)</f>
        <v>Temperate</v>
      </c>
      <c r="L1725" s="2">
        <f>VLOOKUP(J1725,Equipes!A:C,3,0)</f>
        <v>1</v>
      </c>
      <c r="M1725" s="2" t="str">
        <f t="shared" si="4"/>
        <v>Final</v>
      </c>
      <c r="N1725" s="2" t="s">
        <v>250</v>
      </c>
      <c r="O1725" s="2">
        <f>VLOOKUP(N1725,Equipes!A:C,3,0)</f>
        <v>8</v>
      </c>
      <c r="P1725" s="2" t="str">
        <f t="shared" si="5"/>
        <v>Quarter-final</v>
      </c>
      <c r="Q1725" s="2">
        <f t="shared" si="6"/>
        <v>-7</v>
      </c>
      <c r="R1725" s="2" t="str">
        <f>VLOOKUP(J1725,Equipes!A:B,2,0)</f>
        <v>Chelsea</v>
      </c>
      <c r="S1725" s="6" t="s">
        <v>1383</v>
      </c>
      <c r="T1725" s="7">
        <v>20.0</v>
      </c>
      <c r="U1725" s="7" t="s">
        <v>1384</v>
      </c>
      <c r="V1725" s="7" t="s">
        <v>1133</v>
      </c>
      <c r="W1725" s="8">
        <f>VLOOKUP(U1725,Jogadores!B:D,3,0)</f>
        <v>23.85205479</v>
      </c>
      <c r="X1725" s="7">
        <v>54.0</v>
      </c>
      <c r="Y1725" s="7">
        <f t="shared" si="5399"/>
        <v>94</v>
      </c>
      <c r="Z1725" s="7">
        <f>VLOOKUP(A1725,Jogos!A:L,3,0)</f>
        <v>47</v>
      </c>
      <c r="AA1725" s="7">
        <f t="shared" si="4815"/>
        <v>0</v>
      </c>
      <c r="AB1725" s="7">
        <f>VLOOKUP(A1725,Jogos!A:L,4,0)</f>
        <v>49</v>
      </c>
      <c r="AC1725" s="7">
        <f t="shared" si="5062"/>
        <v>40</v>
      </c>
      <c r="AD1725" s="7"/>
      <c r="AE1725" s="7"/>
      <c r="AF1725" s="7">
        <f t="shared" si="4566"/>
        <v>40</v>
      </c>
      <c r="AG1725" s="7">
        <v>4488.1</v>
      </c>
      <c r="AH1725" s="7">
        <v>1630.1</v>
      </c>
      <c r="AI1725" s="7">
        <v>1731.1</v>
      </c>
      <c r="AJ1725" s="7">
        <v>611.3</v>
      </c>
      <c r="AK1725" s="7">
        <v>334.1</v>
      </c>
      <c r="AL1725" s="7">
        <v>181.5</v>
      </c>
      <c r="AM1725" s="7">
        <v>55.0</v>
      </c>
      <c r="AN1725" s="7">
        <v>30.0</v>
      </c>
      <c r="AO1725" s="7">
        <v>32.3</v>
      </c>
      <c r="AP1725" s="9">
        <f t="shared" ref="AP1725:AR1725" si="5409">AG1725/$AF1725</f>
        <v>112.2025</v>
      </c>
      <c r="AQ1725" s="9">
        <f t="shared" si="5409"/>
        <v>40.7525</v>
      </c>
      <c r="AR1725" s="9">
        <f t="shared" si="5409"/>
        <v>43.2775</v>
      </c>
      <c r="AS1725" s="9">
        <f t="shared" si="4568"/>
        <v>84.03</v>
      </c>
      <c r="AT1725" s="9">
        <f t="shared" ref="AT1725:AV1725" si="5410">AJ1725/$AF1725</f>
        <v>15.2825</v>
      </c>
      <c r="AU1725" s="9">
        <f t="shared" si="5410"/>
        <v>8.3525</v>
      </c>
      <c r="AV1725" s="9">
        <f t="shared" si="5410"/>
        <v>4.5375</v>
      </c>
      <c r="AW1725" s="9">
        <f t="shared" si="4570"/>
        <v>12.89</v>
      </c>
      <c r="AX1725" s="9">
        <f t="shared" ref="AX1725:AY1725" si="5411">AM1725/$AF1725</f>
        <v>1.375</v>
      </c>
      <c r="AY1725" s="9">
        <f t="shared" si="5411"/>
        <v>0.75</v>
      </c>
      <c r="AZ1725" s="9">
        <f>VLOOKUP(A1725,Jogos!A:BN,58,0)</f>
        <v>22.28</v>
      </c>
      <c r="BA1725" s="9">
        <f>VLOOKUP(A1725,Jogos!A:BN,59,0)</f>
        <v>15.48</v>
      </c>
      <c r="BB1725" s="9">
        <f>VLOOKUP(A1725,Jogos!A:BN,60,0)</f>
        <v>64.5</v>
      </c>
      <c r="BC1725" s="9">
        <f>VLOOKUP(A1725,Jogos!A:BN,61,0)</f>
        <v>19.725</v>
      </c>
      <c r="BD1725" s="9">
        <f>VLOOKUP(A1725,Jogos!A:BN,62,0)</f>
        <v>0</v>
      </c>
      <c r="BE1725" s="9">
        <f>VLOOKUP(A1725,Jogos!A:BN,63,0)</f>
        <v>0.83</v>
      </c>
      <c r="BF1725" s="9">
        <f>VLOOKUP(A1725,Jogos!A:BN,64,0)</f>
        <v>20.05</v>
      </c>
      <c r="BG1725" s="9">
        <f>VLOOKUP(A1725,Jogos!A:BN,65,0)</f>
        <v>35.24</v>
      </c>
      <c r="BH1725" s="9">
        <f>VLOOKUP(A1725,Jogos!A:BN,66,0)</f>
        <v>23.315</v>
      </c>
      <c r="BI1725" s="9"/>
      <c r="BJ1725" s="9"/>
    </row>
    <row r="1726" hidden="1">
      <c r="A1726" s="2">
        <v>58.0</v>
      </c>
      <c r="B1726" s="2" t="s">
        <v>1380</v>
      </c>
      <c r="C1726" s="2" t="s">
        <v>1351</v>
      </c>
      <c r="D1726" s="3">
        <v>45842.0</v>
      </c>
      <c r="E1726" s="4">
        <v>0.875</v>
      </c>
      <c r="F1726" s="5" t="str">
        <f>VLOOKUP(A1726,Jogos!A:N,10,0)</f>
        <v>Evening</v>
      </c>
      <c r="G1726" s="2" t="s">
        <v>500</v>
      </c>
      <c r="H1726" s="6" t="str">
        <f>VLOOKUP(A1726,Jogos!A:L,12,0)</f>
        <v>Open</v>
      </c>
      <c r="I1726" s="6" t="str">
        <f>VLOOKUP(G1726,'Estádios e Cidades'!A:B,2,0)</f>
        <v>Philadelphia</v>
      </c>
      <c r="J1726" s="2" t="s">
        <v>377</v>
      </c>
      <c r="K1726" s="2" t="str">
        <f>VLOOKUP(J1726,Equipes!A:F,6,0)</f>
        <v>Temperate</v>
      </c>
      <c r="L1726" s="2">
        <f>VLOOKUP(J1726,Equipes!A:C,3,0)</f>
        <v>1</v>
      </c>
      <c r="M1726" s="2" t="str">
        <f t="shared" si="4"/>
        <v>Final</v>
      </c>
      <c r="N1726" s="2" t="s">
        <v>250</v>
      </c>
      <c r="O1726" s="2">
        <f>VLOOKUP(N1726,Equipes!A:C,3,0)</f>
        <v>8</v>
      </c>
      <c r="P1726" s="2" t="str">
        <f t="shared" si="5"/>
        <v>Quarter-final</v>
      </c>
      <c r="Q1726" s="2">
        <f t="shared" si="6"/>
        <v>-7</v>
      </c>
      <c r="R1726" s="2" t="str">
        <f>VLOOKUP(J1726,Equipes!A:B,2,0)</f>
        <v>Chelsea</v>
      </c>
      <c r="S1726" s="6" t="s">
        <v>1285</v>
      </c>
      <c r="T1726" s="7">
        <v>22.0</v>
      </c>
      <c r="U1726" s="7" t="s">
        <v>1286</v>
      </c>
      <c r="V1726" s="7" t="str">
        <f>VLOOKUP(U1726,Jogadores!B:C,2,0)</f>
        <v>MF</v>
      </c>
      <c r="W1726" s="8">
        <f>VLOOKUP(U1726,Jogadores!B:D,3,0)</f>
        <v>26.90958904</v>
      </c>
      <c r="X1726" s="7">
        <v>87.0</v>
      </c>
      <c r="Y1726" s="7">
        <f t="shared" si="5399"/>
        <v>94</v>
      </c>
      <c r="Z1726" s="7">
        <f>VLOOKUP(A1726,Jogos!A:L,3,0)</f>
        <v>47</v>
      </c>
      <c r="AA1726" s="7">
        <f t="shared" si="4815"/>
        <v>0</v>
      </c>
      <c r="AB1726" s="7">
        <f>VLOOKUP(A1726,Jogos!A:L,4,0)</f>
        <v>49</v>
      </c>
      <c r="AC1726" s="7">
        <f t="shared" si="5062"/>
        <v>7</v>
      </c>
      <c r="AD1726" s="7"/>
      <c r="AE1726" s="7"/>
      <c r="AF1726" s="7">
        <f t="shared" si="4566"/>
        <v>7</v>
      </c>
      <c r="AG1726" s="7">
        <v>1028.9</v>
      </c>
      <c r="AH1726" s="7">
        <v>370.1</v>
      </c>
      <c r="AI1726" s="7">
        <v>432.7</v>
      </c>
      <c r="AJ1726" s="7">
        <v>136.9</v>
      </c>
      <c r="AK1726" s="7">
        <v>64.7</v>
      </c>
      <c r="AL1726" s="7">
        <v>24.5</v>
      </c>
      <c r="AM1726" s="7">
        <v>11.0</v>
      </c>
      <c r="AN1726" s="7">
        <v>3.0</v>
      </c>
      <c r="AO1726" s="7">
        <v>27.0</v>
      </c>
      <c r="AP1726" s="9">
        <f t="shared" ref="AP1726:AR1726" si="5412">AG1726/$AF1726</f>
        <v>146.9857143</v>
      </c>
      <c r="AQ1726" s="9">
        <f t="shared" si="5412"/>
        <v>52.87142857</v>
      </c>
      <c r="AR1726" s="9">
        <f t="shared" si="5412"/>
        <v>61.81428571</v>
      </c>
      <c r="AS1726" s="9">
        <f t="shared" si="4568"/>
        <v>114.6857143</v>
      </c>
      <c r="AT1726" s="9">
        <f t="shared" ref="AT1726:AV1726" si="5413">AJ1726/$AF1726</f>
        <v>19.55714286</v>
      </c>
      <c r="AU1726" s="9">
        <f t="shared" si="5413"/>
        <v>9.242857143</v>
      </c>
      <c r="AV1726" s="9">
        <f t="shared" si="5413"/>
        <v>3.5</v>
      </c>
      <c r="AW1726" s="9">
        <f t="shared" si="4570"/>
        <v>12.74285714</v>
      </c>
      <c r="AX1726" s="9">
        <f t="shared" ref="AX1726:AY1726" si="5414">AM1726/$AF1726</f>
        <v>1.571428571</v>
      </c>
      <c r="AY1726" s="9">
        <f t="shared" si="5414"/>
        <v>0.4285714286</v>
      </c>
      <c r="AZ1726" s="9">
        <f>VLOOKUP(A1726,Jogos!A:BN,58,0)</f>
        <v>22.28</v>
      </c>
      <c r="BA1726" s="9">
        <f>VLOOKUP(A1726,Jogos!A:BN,59,0)</f>
        <v>15.48</v>
      </c>
      <c r="BB1726" s="9">
        <f>VLOOKUP(A1726,Jogos!A:BN,60,0)</f>
        <v>64.5</v>
      </c>
      <c r="BC1726" s="9">
        <f>VLOOKUP(A1726,Jogos!A:BN,61,0)</f>
        <v>19.725</v>
      </c>
      <c r="BD1726" s="9">
        <f>VLOOKUP(A1726,Jogos!A:BN,62,0)</f>
        <v>0</v>
      </c>
      <c r="BE1726" s="9">
        <f>VLOOKUP(A1726,Jogos!A:BN,63,0)</f>
        <v>0.83</v>
      </c>
      <c r="BF1726" s="9">
        <f>VLOOKUP(A1726,Jogos!A:BN,64,0)</f>
        <v>20.05</v>
      </c>
      <c r="BG1726" s="9">
        <f>VLOOKUP(A1726,Jogos!A:BN,65,0)</f>
        <v>35.24</v>
      </c>
      <c r="BH1726" s="9">
        <f>VLOOKUP(A1726,Jogos!A:BN,66,0)</f>
        <v>23.315</v>
      </c>
      <c r="BI1726" s="9"/>
      <c r="BJ1726" s="9"/>
    </row>
    <row r="1727" hidden="1">
      <c r="A1727" s="2">
        <v>59.0</v>
      </c>
      <c r="B1727" s="2" t="s">
        <v>1380</v>
      </c>
      <c r="C1727" s="2" t="s">
        <v>1351</v>
      </c>
      <c r="D1727" s="3">
        <v>45843.0</v>
      </c>
      <c r="E1727" s="4">
        <v>0.5</v>
      </c>
      <c r="F1727" s="5" t="str">
        <f>VLOOKUP(A1727,Jogos!A:N,10,0)</f>
        <v>Afternoon</v>
      </c>
      <c r="G1727" s="2" t="s">
        <v>376</v>
      </c>
      <c r="H1727" s="6" t="str">
        <f>VLOOKUP(A1727,Jogos!A:L,12,0)</f>
        <v>Closed</v>
      </c>
      <c r="I1727" s="6" t="str">
        <f>VLOOKUP(G1727,'Estádios e Cidades'!A:B,2,0)</f>
        <v>Atlanta</v>
      </c>
      <c r="J1727" s="2" t="s">
        <v>187</v>
      </c>
      <c r="K1727" s="2" t="str">
        <f>VLOOKUP(J1727,Equipes!A:F,6,0)</f>
        <v>Temperate</v>
      </c>
      <c r="L1727" s="2">
        <f>VLOOKUP(J1727,Equipes!A:C,3,0)</f>
        <v>2</v>
      </c>
      <c r="M1727" s="2" t="str">
        <f t="shared" si="4"/>
        <v>Final</v>
      </c>
      <c r="N1727" s="2" t="s">
        <v>123</v>
      </c>
      <c r="O1727" s="2">
        <f>VLOOKUP(N1727,Equipes!A:C,3,0)</f>
        <v>6</v>
      </c>
      <c r="P1727" s="2" t="str">
        <f t="shared" si="5"/>
        <v>Quarter-final</v>
      </c>
      <c r="Q1727" s="2">
        <f t="shared" si="6"/>
        <v>-4</v>
      </c>
      <c r="R1727" s="2" t="str">
        <f>VLOOKUP(J1727,Equipes!A:B,2,0)</f>
        <v>PSG</v>
      </c>
      <c r="S1727" s="6" t="s">
        <v>189</v>
      </c>
      <c r="T1727" s="7">
        <v>2.0</v>
      </c>
      <c r="U1727" s="7" t="s">
        <v>190</v>
      </c>
      <c r="V1727" s="7" t="str">
        <f>VLOOKUP(U1727,Jogadores!B:C,2,0)</f>
        <v>DF</v>
      </c>
      <c r="W1727" s="8">
        <f>VLOOKUP(U1727,Jogadores!B:D,3,0)</f>
        <v>26.74794521</v>
      </c>
      <c r="X1727" s="7">
        <v>0.0</v>
      </c>
      <c r="Y1727" s="7">
        <f t="shared" si="5399"/>
        <v>96</v>
      </c>
      <c r="Z1727" s="7">
        <f>VLOOKUP(A1727,Jogos!A:L,3,0)</f>
        <v>48</v>
      </c>
      <c r="AA1727" s="7">
        <f t="shared" si="4815"/>
        <v>48</v>
      </c>
      <c r="AB1727" s="7">
        <f>VLOOKUP(A1727,Jogos!A:L,4,0)</f>
        <v>51</v>
      </c>
      <c r="AC1727" s="7">
        <f t="shared" si="5062"/>
        <v>51</v>
      </c>
      <c r="AD1727" s="7"/>
      <c r="AE1727" s="7"/>
      <c r="AF1727" s="7">
        <f t="shared" si="4566"/>
        <v>99</v>
      </c>
      <c r="AG1727" s="7">
        <v>10760.1</v>
      </c>
      <c r="AH1727" s="7">
        <v>3934.6</v>
      </c>
      <c r="AI1727" s="7">
        <v>3861.8</v>
      </c>
      <c r="AJ1727" s="7">
        <v>1489.4</v>
      </c>
      <c r="AK1727" s="7">
        <v>872.5</v>
      </c>
      <c r="AL1727" s="7">
        <v>601.8</v>
      </c>
      <c r="AM1727" s="7">
        <v>128.0</v>
      </c>
      <c r="AN1727" s="7">
        <v>74.0</v>
      </c>
      <c r="AO1727" s="7">
        <v>35.4</v>
      </c>
      <c r="AP1727" s="9">
        <f t="shared" ref="AP1727:AR1727" si="5415">AG1727/$AF1727</f>
        <v>108.6878788</v>
      </c>
      <c r="AQ1727" s="9">
        <f t="shared" si="5415"/>
        <v>39.74343434</v>
      </c>
      <c r="AR1727" s="9">
        <f t="shared" si="5415"/>
        <v>39.00808081</v>
      </c>
      <c r="AS1727" s="9">
        <f t="shared" si="4568"/>
        <v>78.75151515</v>
      </c>
      <c r="AT1727" s="9">
        <f t="shared" ref="AT1727:AV1727" si="5416">AJ1727/$AF1727</f>
        <v>15.04444444</v>
      </c>
      <c r="AU1727" s="9">
        <f t="shared" si="5416"/>
        <v>8.813131313</v>
      </c>
      <c r="AV1727" s="9">
        <f t="shared" si="5416"/>
        <v>6.078787879</v>
      </c>
      <c r="AW1727" s="9">
        <f t="shared" si="4570"/>
        <v>14.89191919</v>
      </c>
      <c r="AX1727" s="9">
        <f t="shared" ref="AX1727:AY1727" si="5417">AM1727/$AF1727</f>
        <v>1.292929293</v>
      </c>
      <c r="AY1727" s="9">
        <f t="shared" si="5417"/>
        <v>0.7474747475</v>
      </c>
      <c r="AZ1727" s="9">
        <f>VLOOKUP(A1727,Jogos!A:BN,58,0)</f>
        <v>31.785</v>
      </c>
      <c r="BA1727" s="9">
        <f>VLOOKUP(A1727,Jogos!A:BN,59,0)</f>
        <v>16.98</v>
      </c>
      <c r="BB1727" s="9">
        <f>VLOOKUP(A1727,Jogos!A:BN,60,0)</f>
        <v>41</v>
      </c>
      <c r="BC1727" s="9">
        <f>VLOOKUP(A1727,Jogos!A:BN,61,0)</f>
        <v>33.415</v>
      </c>
      <c r="BD1727" s="9">
        <f>VLOOKUP(A1727,Jogos!A:BN,62,0)</f>
        <v>946.7</v>
      </c>
      <c r="BE1727" s="9">
        <f>VLOOKUP(A1727,Jogos!A:BN,63,0)</f>
        <v>2.54</v>
      </c>
      <c r="BF1727" s="9">
        <f>VLOOKUP(A1727,Jogos!A:BN,64,0)</f>
        <v>23.55</v>
      </c>
      <c r="BG1727" s="9">
        <f>VLOOKUP(A1727,Jogos!A:BN,65,0)</f>
        <v>44.525</v>
      </c>
      <c r="BH1727" s="9">
        <f>VLOOKUP(A1727,Jogos!A:BN,66,0)</f>
        <v>28.565</v>
      </c>
      <c r="BI1727" s="9"/>
      <c r="BJ1727" s="9"/>
    </row>
    <row r="1728" hidden="1">
      <c r="A1728" s="2">
        <v>59.0</v>
      </c>
      <c r="B1728" s="2" t="s">
        <v>1380</v>
      </c>
      <c r="C1728" s="2" t="s">
        <v>1351</v>
      </c>
      <c r="D1728" s="3">
        <v>45843.0</v>
      </c>
      <c r="E1728" s="4">
        <v>0.5</v>
      </c>
      <c r="F1728" s="5" t="str">
        <f>VLOOKUP(A1728,Jogos!A:N,10,0)</f>
        <v>Afternoon</v>
      </c>
      <c r="G1728" s="2" t="s">
        <v>376</v>
      </c>
      <c r="H1728" s="6" t="str">
        <f>VLOOKUP(A1728,Jogos!A:L,12,0)</f>
        <v>Closed</v>
      </c>
      <c r="I1728" s="6" t="str">
        <f>VLOOKUP(G1728,'Estádios e Cidades'!A:B,2,0)</f>
        <v>Atlanta</v>
      </c>
      <c r="J1728" s="2" t="s">
        <v>187</v>
      </c>
      <c r="K1728" s="2" t="str">
        <f>VLOOKUP(J1728,Equipes!A:F,6,0)</f>
        <v>Temperate</v>
      </c>
      <c r="L1728" s="2">
        <f>VLOOKUP(J1728,Equipes!A:C,3,0)</f>
        <v>2</v>
      </c>
      <c r="M1728" s="2" t="str">
        <f t="shared" si="4"/>
        <v>Final</v>
      </c>
      <c r="N1728" s="2" t="s">
        <v>123</v>
      </c>
      <c r="O1728" s="2">
        <f>VLOOKUP(N1728,Equipes!A:C,3,0)</f>
        <v>6</v>
      </c>
      <c r="P1728" s="2" t="str">
        <f t="shared" si="5"/>
        <v>Quarter-final</v>
      </c>
      <c r="Q1728" s="2">
        <f t="shared" si="6"/>
        <v>-4</v>
      </c>
      <c r="R1728" s="2" t="str">
        <f>VLOOKUP(J1728,Equipes!A:B,2,0)</f>
        <v>PSG</v>
      </c>
      <c r="S1728" s="6" t="s">
        <v>191</v>
      </c>
      <c r="T1728" s="7">
        <v>5.0</v>
      </c>
      <c r="U1728" s="7" t="s">
        <v>192</v>
      </c>
      <c r="V1728" s="7" t="str">
        <f>VLOOKUP(U1728,Jogadores!B:C,2,0)</f>
        <v>DF</v>
      </c>
      <c r="W1728" s="8">
        <f>VLOOKUP(U1728,Jogadores!B:D,3,0)</f>
        <v>31.22739726</v>
      </c>
      <c r="X1728" s="7">
        <v>0.0</v>
      </c>
      <c r="Y1728" s="7">
        <f t="shared" si="5399"/>
        <v>96</v>
      </c>
      <c r="Z1728" s="7">
        <f>VLOOKUP(A1728,Jogos!A:L,3,0)</f>
        <v>48</v>
      </c>
      <c r="AA1728" s="7">
        <f t="shared" si="4815"/>
        <v>48</v>
      </c>
      <c r="AB1728" s="7">
        <f>VLOOKUP(A1728,Jogos!A:L,4,0)</f>
        <v>51</v>
      </c>
      <c r="AC1728" s="7">
        <f t="shared" si="5062"/>
        <v>51</v>
      </c>
      <c r="AD1728" s="7"/>
      <c r="AE1728" s="7"/>
      <c r="AF1728" s="7">
        <f t="shared" si="4566"/>
        <v>99</v>
      </c>
      <c r="AG1728" s="7">
        <v>10871.6</v>
      </c>
      <c r="AH1728" s="7">
        <v>3940.8</v>
      </c>
      <c r="AI1728" s="7">
        <v>4590.3</v>
      </c>
      <c r="AJ1728" s="7">
        <v>1780.9</v>
      </c>
      <c r="AK1728" s="7">
        <v>440.5</v>
      </c>
      <c r="AL1728" s="7">
        <v>119.2</v>
      </c>
      <c r="AM1728" s="7">
        <v>143.0</v>
      </c>
      <c r="AN1728" s="7">
        <v>38.0</v>
      </c>
      <c r="AO1728" s="7">
        <v>32.9</v>
      </c>
      <c r="AP1728" s="9">
        <f t="shared" ref="AP1728:AR1728" si="5418">AG1728/$AF1728</f>
        <v>109.8141414</v>
      </c>
      <c r="AQ1728" s="9">
        <f t="shared" si="5418"/>
        <v>39.80606061</v>
      </c>
      <c r="AR1728" s="9">
        <f t="shared" si="5418"/>
        <v>46.36666667</v>
      </c>
      <c r="AS1728" s="9">
        <f t="shared" si="4568"/>
        <v>86.17272727</v>
      </c>
      <c r="AT1728" s="9">
        <f t="shared" ref="AT1728:AV1728" si="5419">AJ1728/$AF1728</f>
        <v>17.98888889</v>
      </c>
      <c r="AU1728" s="9">
        <f t="shared" si="5419"/>
        <v>4.449494949</v>
      </c>
      <c r="AV1728" s="9">
        <f t="shared" si="5419"/>
        <v>1.204040404</v>
      </c>
      <c r="AW1728" s="9">
        <f t="shared" si="4570"/>
        <v>5.653535354</v>
      </c>
      <c r="AX1728" s="9">
        <f t="shared" ref="AX1728:AY1728" si="5420">AM1728/$AF1728</f>
        <v>1.444444444</v>
      </c>
      <c r="AY1728" s="9">
        <f t="shared" si="5420"/>
        <v>0.3838383838</v>
      </c>
      <c r="AZ1728" s="9">
        <f>VLOOKUP(A1728,Jogos!A:BN,58,0)</f>
        <v>31.785</v>
      </c>
      <c r="BA1728" s="9">
        <f>VLOOKUP(A1728,Jogos!A:BN,59,0)</f>
        <v>16.98</v>
      </c>
      <c r="BB1728" s="9">
        <f>VLOOKUP(A1728,Jogos!A:BN,60,0)</f>
        <v>41</v>
      </c>
      <c r="BC1728" s="9">
        <f>VLOOKUP(A1728,Jogos!A:BN,61,0)</f>
        <v>33.415</v>
      </c>
      <c r="BD1728" s="9">
        <f>VLOOKUP(A1728,Jogos!A:BN,62,0)</f>
        <v>946.7</v>
      </c>
      <c r="BE1728" s="9">
        <f>VLOOKUP(A1728,Jogos!A:BN,63,0)</f>
        <v>2.54</v>
      </c>
      <c r="BF1728" s="9">
        <f>VLOOKUP(A1728,Jogos!A:BN,64,0)</f>
        <v>23.55</v>
      </c>
      <c r="BG1728" s="9">
        <f>VLOOKUP(A1728,Jogos!A:BN,65,0)</f>
        <v>44.525</v>
      </c>
      <c r="BH1728" s="9">
        <f>VLOOKUP(A1728,Jogos!A:BN,66,0)</f>
        <v>28.565</v>
      </c>
      <c r="BI1728" s="9"/>
      <c r="BJ1728" s="9"/>
    </row>
    <row r="1729" hidden="1">
      <c r="A1729" s="2">
        <v>59.0</v>
      </c>
      <c r="B1729" s="2" t="s">
        <v>1380</v>
      </c>
      <c r="C1729" s="2" t="s">
        <v>1351</v>
      </c>
      <c r="D1729" s="3">
        <v>45843.0</v>
      </c>
      <c r="E1729" s="4">
        <v>0.5</v>
      </c>
      <c r="F1729" s="5" t="str">
        <f>VLOOKUP(A1729,Jogos!A:N,10,0)</f>
        <v>Afternoon</v>
      </c>
      <c r="G1729" s="2" t="s">
        <v>376</v>
      </c>
      <c r="H1729" s="6" t="str">
        <f>VLOOKUP(A1729,Jogos!A:L,12,0)</f>
        <v>Closed</v>
      </c>
      <c r="I1729" s="6" t="str">
        <f>VLOOKUP(G1729,'Estádios e Cidades'!A:B,2,0)</f>
        <v>Atlanta</v>
      </c>
      <c r="J1729" s="2" t="s">
        <v>187</v>
      </c>
      <c r="K1729" s="2" t="str">
        <f>VLOOKUP(J1729,Equipes!A:F,6,0)</f>
        <v>Temperate</v>
      </c>
      <c r="L1729" s="2">
        <f>VLOOKUP(J1729,Equipes!A:C,3,0)</f>
        <v>2</v>
      </c>
      <c r="M1729" s="2" t="str">
        <f t="shared" si="4"/>
        <v>Final</v>
      </c>
      <c r="N1729" s="2" t="s">
        <v>123</v>
      </c>
      <c r="O1729" s="2">
        <f>VLOOKUP(N1729,Equipes!A:C,3,0)</f>
        <v>6</v>
      </c>
      <c r="P1729" s="2" t="str">
        <f t="shared" si="5"/>
        <v>Quarter-final</v>
      </c>
      <c r="Q1729" s="2">
        <f t="shared" si="6"/>
        <v>-4</v>
      </c>
      <c r="R1729" s="2" t="str">
        <f>VLOOKUP(J1729,Equipes!A:B,2,0)</f>
        <v>PSG</v>
      </c>
      <c r="S1729" s="6" t="s">
        <v>193</v>
      </c>
      <c r="T1729" s="7">
        <v>7.0</v>
      </c>
      <c r="U1729" s="7" t="s">
        <v>194</v>
      </c>
      <c r="V1729" s="7" t="str">
        <f>VLOOKUP(U1729,Jogadores!B:C,2,0)</f>
        <v>FW</v>
      </c>
      <c r="W1729" s="8">
        <f>VLOOKUP(U1729,Jogadores!B:D,3,0)</f>
        <v>24.47123288</v>
      </c>
      <c r="X1729" s="7">
        <v>0.0</v>
      </c>
      <c r="Y1729" s="7">
        <v>84.0</v>
      </c>
      <c r="Z1729" s="7">
        <f>VLOOKUP(A1729,Jogos!A:L,3,0)</f>
        <v>48</v>
      </c>
      <c r="AA1729" s="7">
        <f t="shared" si="4815"/>
        <v>48</v>
      </c>
      <c r="AB1729" s="7">
        <f>VLOOKUP(A1729,Jogos!A:L,4,0)</f>
        <v>51</v>
      </c>
      <c r="AC1729" s="7">
        <f t="shared" si="5062"/>
        <v>39</v>
      </c>
      <c r="AD1729" s="7"/>
      <c r="AE1729" s="7"/>
      <c r="AF1729" s="7">
        <f t="shared" si="4566"/>
        <v>87</v>
      </c>
      <c r="AG1729" s="7">
        <v>8846.1</v>
      </c>
      <c r="AH1729" s="7">
        <v>4105.0</v>
      </c>
      <c r="AI1729" s="7">
        <v>2936.6</v>
      </c>
      <c r="AJ1729" s="7">
        <v>956.7</v>
      </c>
      <c r="AK1729" s="7">
        <v>499.2</v>
      </c>
      <c r="AL1729" s="7">
        <v>348.6</v>
      </c>
      <c r="AM1729" s="7">
        <v>84.0</v>
      </c>
      <c r="AN1729" s="7">
        <v>42.0</v>
      </c>
      <c r="AO1729" s="7">
        <v>31.0</v>
      </c>
      <c r="AP1729" s="9">
        <f t="shared" ref="AP1729:AR1729" si="5421">AG1729/$AF1729</f>
        <v>101.6793103</v>
      </c>
      <c r="AQ1729" s="9">
        <f t="shared" si="5421"/>
        <v>47.18390805</v>
      </c>
      <c r="AR1729" s="9">
        <f t="shared" si="5421"/>
        <v>33.75402299</v>
      </c>
      <c r="AS1729" s="9">
        <f t="shared" si="4568"/>
        <v>80.93793103</v>
      </c>
      <c r="AT1729" s="9">
        <f t="shared" ref="AT1729:AV1729" si="5422">AJ1729/$AF1729</f>
        <v>10.99655172</v>
      </c>
      <c r="AU1729" s="9">
        <f t="shared" si="5422"/>
        <v>5.737931034</v>
      </c>
      <c r="AV1729" s="9">
        <f t="shared" si="5422"/>
        <v>4.006896552</v>
      </c>
      <c r="AW1729" s="9">
        <f t="shared" si="4570"/>
        <v>9.744827586</v>
      </c>
      <c r="AX1729" s="9">
        <f t="shared" ref="AX1729:AY1729" si="5423">AM1729/$AF1729</f>
        <v>0.9655172414</v>
      </c>
      <c r="AY1729" s="9">
        <f t="shared" si="5423"/>
        <v>0.4827586207</v>
      </c>
      <c r="AZ1729" s="9">
        <f>VLOOKUP(A1729,Jogos!A:BN,58,0)</f>
        <v>31.785</v>
      </c>
      <c r="BA1729" s="9">
        <f>VLOOKUP(A1729,Jogos!A:BN,59,0)</f>
        <v>16.98</v>
      </c>
      <c r="BB1729" s="9">
        <f>VLOOKUP(A1729,Jogos!A:BN,60,0)</f>
        <v>41</v>
      </c>
      <c r="BC1729" s="9">
        <f>VLOOKUP(A1729,Jogos!A:BN,61,0)</f>
        <v>33.415</v>
      </c>
      <c r="BD1729" s="9">
        <f>VLOOKUP(A1729,Jogos!A:BN,62,0)</f>
        <v>946.7</v>
      </c>
      <c r="BE1729" s="9">
        <f>VLOOKUP(A1729,Jogos!A:BN,63,0)</f>
        <v>2.54</v>
      </c>
      <c r="BF1729" s="9">
        <f>VLOOKUP(A1729,Jogos!A:BN,64,0)</f>
        <v>23.55</v>
      </c>
      <c r="BG1729" s="9">
        <f>VLOOKUP(A1729,Jogos!A:BN,65,0)</f>
        <v>44.525</v>
      </c>
      <c r="BH1729" s="9">
        <f>VLOOKUP(A1729,Jogos!A:BN,66,0)</f>
        <v>28.565</v>
      </c>
      <c r="BI1729" s="9"/>
      <c r="BJ1729" s="9"/>
    </row>
    <row r="1730" hidden="1">
      <c r="A1730" s="2">
        <v>59.0</v>
      </c>
      <c r="B1730" s="2" t="s">
        <v>1380</v>
      </c>
      <c r="C1730" s="2" t="s">
        <v>1351</v>
      </c>
      <c r="D1730" s="3">
        <v>45843.0</v>
      </c>
      <c r="E1730" s="4">
        <v>0.5</v>
      </c>
      <c r="F1730" s="5" t="str">
        <f>VLOOKUP(A1730,Jogos!A:N,10,0)</f>
        <v>Afternoon</v>
      </c>
      <c r="G1730" s="2" t="s">
        <v>376</v>
      </c>
      <c r="H1730" s="6" t="str">
        <f>VLOOKUP(A1730,Jogos!A:L,12,0)</f>
        <v>Closed</v>
      </c>
      <c r="I1730" s="6" t="str">
        <f>VLOOKUP(G1730,'Estádios e Cidades'!A:B,2,0)</f>
        <v>Atlanta</v>
      </c>
      <c r="J1730" s="2" t="s">
        <v>187</v>
      </c>
      <c r="K1730" s="2" t="str">
        <f>VLOOKUP(J1730,Equipes!A:F,6,0)</f>
        <v>Temperate</v>
      </c>
      <c r="L1730" s="2">
        <f>VLOOKUP(J1730,Equipes!A:C,3,0)</f>
        <v>2</v>
      </c>
      <c r="M1730" s="2" t="str">
        <f t="shared" si="4"/>
        <v>Final</v>
      </c>
      <c r="N1730" s="2" t="s">
        <v>123</v>
      </c>
      <c r="O1730" s="2">
        <f>VLOOKUP(N1730,Equipes!A:C,3,0)</f>
        <v>6</v>
      </c>
      <c r="P1730" s="2" t="str">
        <f t="shared" si="5"/>
        <v>Quarter-final</v>
      </c>
      <c r="Q1730" s="2">
        <f t="shared" si="6"/>
        <v>-4</v>
      </c>
      <c r="R1730" s="2" t="str">
        <f>VLOOKUP(J1730,Equipes!A:B,2,0)</f>
        <v>PSG</v>
      </c>
      <c r="S1730" s="6" t="s">
        <v>195</v>
      </c>
      <c r="T1730" s="7">
        <v>8.0</v>
      </c>
      <c r="U1730" s="7" t="s">
        <v>196</v>
      </c>
      <c r="V1730" s="7" t="str">
        <f>VLOOKUP(U1730,Jogadores!B:C,2,0)</f>
        <v>MF</v>
      </c>
      <c r="W1730" s="8">
        <f>VLOOKUP(U1730,Jogadores!B:D,3,0)</f>
        <v>29.3369863</v>
      </c>
      <c r="X1730" s="7">
        <v>0.0</v>
      </c>
      <c r="Y1730" s="7">
        <v>80.0</v>
      </c>
      <c r="Z1730" s="7">
        <f>VLOOKUP(A1730,Jogos!A:L,3,0)</f>
        <v>48</v>
      </c>
      <c r="AA1730" s="7">
        <f t="shared" si="4815"/>
        <v>48</v>
      </c>
      <c r="AB1730" s="7">
        <f>VLOOKUP(A1730,Jogos!A:L,4,0)</f>
        <v>51</v>
      </c>
      <c r="AC1730" s="7">
        <f t="shared" si="5062"/>
        <v>35</v>
      </c>
      <c r="AD1730" s="7"/>
      <c r="AE1730" s="7"/>
      <c r="AF1730" s="7">
        <f t="shared" si="4566"/>
        <v>83</v>
      </c>
      <c r="AG1730" s="7">
        <v>9913.0</v>
      </c>
      <c r="AH1730" s="7">
        <v>3478.3</v>
      </c>
      <c r="AI1730" s="7">
        <v>3801.9</v>
      </c>
      <c r="AJ1730" s="7">
        <v>1877.2</v>
      </c>
      <c r="AK1730" s="7">
        <v>598.9</v>
      </c>
      <c r="AL1730" s="7">
        <v>156.8</v>
      </c>
      <c r="AM1730" s="7">
        <v>143.0</v>
      </c>
      <c r="AN1730" s="7">
        <v>43.0</v>
      </c>
      <c r="AO1730" s="7">
        <v>30.4</v>
      </c>
      <c r="AP1730" s="9">
        <f t="shared" ref="AP1730:AR1730" si="5424">AG1730/$AF1730</f>
        <v>119.4337349</v>
      </c>
      <c r="AQ1730" s="9">
        <f t="shared" si="5424"/>
        <v>41.90722892</v>
      </c>
      <c r="AR1730" s="9">
        <f t="shared" si="5424"/>
        <v>45.8060241</v>
      </c>
      <c r="AS1730" s="9">
        <f t="shared" si="4568"/>
        <v>87.71325301</v>
      </c>
      <c r="AT1730" s="9">
        <f t="shared" ref="AT1730:AV1730" si="5425">AJ1730/$AF1730</f>
        <v>22.61686747</v>
      </c>
      <c r="AU1730" s="9">
        <f t="shared" si="5425"/>
        <v>7.215662651</v>
      </c>
      <c r="AV1730" s="9">
        <f t="shared" si="5425"/>
        <v>1.889156627</v>
      </c>
      <c r="AW1730" s="9">
        <f t="shared" si="4570"/>
        <v>9.104819277</v>
      </c>
      <c r="AX1730" s="9">
        <f t="shared" ref="AX1730:AY1730" si="5426">AM1730/$AF1730</f>
        <v>1.722891566</v>
      </c>
      <c r="AY1730" s="9">
        <f t="shared" si="5426"/>
        <v>0.5180722892</v>
      </c>
      <c r="AZ1730" s="9">
        <f>VLOOKUP(A1730,Jogos!A:BN,58,0)</f>
        <v>31.785</v>
      </c>
      <c r="BA1730" s="9">
        <f>VLOOKUP(A1730,Jogos!A:BN,59,0)</f>
        <v>16.98</v>
      </c>
      <c r="BB1730" s="9">
        <f>VLOOKUP(A1730,Jogos!A:BN,60,0)</f>
        <v>41</v>
      </c>
      <c r="BC1730" s="9">
        <f>VLOOKUP(A1730,Jogos!A:BN,61,0)</f>
        <v>33.415</v>
      </c>
      <c r="BD1730" s="9">
        <f>VLOOKUP(A1730,Jogos!A:BN,62,0)</f>
        <v>946.7</v>
      </c>
      <c r="BE1730" s="9">
        <f>VLOOKUP(A1730,Jogos!A:BN,63,0)</f>
        <v>2.54</v>
      </c>
      <c r="BF1730" s="9">
        <f>VLOOKUP(A1730,Jogos!A:BN,64,0)</f>
        <v>23.55</v>
      </c>
      <c r="BG1730" s="9">
        <f>VLOOKUP(A1730,Jogos!A:BN,65,0)</f>
        <v>44.525</v>
      </c>
      <c r="BH1730" s="9">
        <f>VLOOKUP(A1730,Jogos!A:BN,66,0)</f>
        <v>28.565</v>
      </c>
      <c r="BI1730" s="9"/>
      <c r="BJ1730" s="9"/>
    </row>
    <row r="1731" hidden="1">
      <c r="A1731" s="2">
        <v>59.0</v>
      </c>
      <c r="B1731" s="2" t="s">
        <v>1380</v>
      </c>
      <c r="C1731" s="2" t="s">
        <v>1351</v>
      </c>
      <c r="D1731" s="3">
        <v>45843.0</v>
      </c>
      <c r="E1731" s="4">
        <v>0.5</v>
      </c>
      <c r="F1731" s="5" t="str">
        <f>VLOOKUP(A1731,Jogos!A:N,10,0)</f>
        <v>Afternoon</v>
      </c>
      <c r="G1731" s="2" t="s">
        <v>376</v>
      </c>
      <c r="H1731" s="6" t="str">
        <f>VLOOKUP(A1731,Jogos!A:L,12,0)</f>
        <v>Closed</v>
      </c>
      <c r="I1731" s="6" t="str">
        <f>VLOOKUP(G1731,'Estádios e Cidades'!A:B,2,0)</f>
        <v>Atlanta</v>
      </c>
      <c r="J1731" s="2" t="s">
        <v>187</v>
      </c>
      <c r="K1731" s="2" t="str">
        <f>VLOOKUP(J1731,Equipes!A:F,6,0)</f>
        <v>Temperate</v>
      </c>
      <c r="L1731" s="2">
        <f>VLOOKUP(J1731,Equipes!A:C,3,0)</f>
        <v>2</v>
      </c>
      <c r="M1731" s="2" t="str">
        <f t="shared" si="4"/>
        <v>Final</v>
      </c>
      <c r="N1731" s="2" t="s">
        <v>123</v>
      </c>
      <c r="O1731" s="2">
        <f>VLOOKUP(N1731,Equipes!A:C,3,0)</f>
        <v>6</v>
      </c>
      <c r="P1731" s="2" t="str">
        <f t="shared" si="5"/>
        <v>Quarter-final</v>
      </c>
      <c r="Q1731" s="2">
        <f t="shared" si="6"/>
        <v>-4</v>
      </c>
      <c r="R1731" s="2" t="str">
        <f>VLOOKUP(J1731,Equipes!A:B,2,0)</f>
        <v>PSG</v>
      </c>
      <c r="S1731" s="6" t="s">
        <v>199</v>
      </c>
      <c r="T1731" s="7">
        <v>14.0</v>
      </c>
      <c r="U1731" s="7" t="s">
        <v>200</v>
      </c>
      <c r="V1731" s="7" t="str">
        <f>VLOOKUP(U1731,Jogadores!B:C,2,0)</f>
        <v>FW</v>
      </c>
      <c r="W1731" s="8">
        <f>VLOOKUP(U1731,Jogadores!B:D,3,0)</f>
        <v>20.16438356</v>
      </c>
      <c r="X1731" s="7">
        <v>0.0</v>
      </c>
      <c r="Y1731" s="7">
        <v>80.0</v>
      </c>
      <c r="Z1731" s="7">
        <f>VLOOKUP(A1731,Jogos!A:L,3,0)</f>
        <v>48</v>
      </c>
      <c r="AA1731" s="7">
        <f t="shared" si="4815"/>
        <v>48</v>
      </c>
      <c r="AB1731" s="7">
        <f>VLOOKUP(A1731,Jogos!A:L,4,0)</f>
        <v>51</v>
      </c>
      <c r="AC1731" s="7">
        <f t="shared" si="5062"/>
        <v>35</v>
      </c>
      <c r="AD1731" s="7"/>
      <c r="AE1731" s="7"/>
      <c r="AF1731" s="7">
        <f t="shared" si="4566"/>
        <v>83</v>
      </c>
      <c r="AG1731" s="7">
        <v>9900.0</v>
      </c>
      <c r="AH1731" s="7">
        <v>3054.3</v>
      </c>
      <c r="AI1731" s="7">
        <v>3831.5</v>
      </c>
      <c r="AJ1731" s="7">
        <v>1770.6</v>
      </c>
      <c r="AK1731" s="7">
        <v>945.0</v>
      </c>
      <c r="AL1731" s="7">
        <v>298.7</v>
      </c>
      <c r="AM1731" s="7">
        <v>155.0</v>
      </c>
      <c r="AN1731" s="7">
        <v>76.0</v>
      </c>
      <c r="AO1731" s="7">
        <v>33.7</v>
      </c>
      <c r="AP1731" s="9">
        <f t="shared" ref="AP1731:AR1731" si="5427">AG1731/$AF1731</f>
        <v>119.2771084</v>
      </c>
      <c r="AQ1731" s="9">
        <f t="shared" si="5427"/>
        <v>36.79879518</v>
      </c>
      <c r="AR1731" s="9">
        <f t="shared" si="5427"/>
        <v>46.1626506</v>
      </c>
      <c r="AS1731" s="9">
        <f t="shared" si="4568"/>
        <v>82.96144578</v>
      </c>
      <c r="AT1731" s="9">
        <f t="shared" ref="AT1731:AV1731" si="5428">AJ1731/$AF1731</f>
        <v>21.33253012</v>
      </c>
      <c r="AU1731" s="9">
        <f t="shared" si="5428"/>
        <v>11.38554217</v>
      </c>
      <c r="AV1731" s="9">
        <f t="shared" si="5428"/>
        <v>3.598795181</v>
      </c>
      <c r="AW1731" s="9">
        <f t="shared" si="4570"/>
        <v>14.98433735</v>
      </c>
      <c r="AX1731" s="9">
        <f t="shared" ref="AX1731:AY1731" si="5429">AM1731/$AF1731</f>
        <v>1.86746988</v>
      </c>
      <c r="AY1731" s="9">
        <f t="shared" si="5429"/>
        <v>0.9156626506</v>
      </c>
      <c r="AZ1731" s="9">
        <f>VLOOKUP(A1731,Jogos!A:BN,58,0)</f>
        <v>31.785</v>
      </c>
      <c r="BA1731" s="9">
        <f>VLOOKUP(A1731,Jogos!A:BN,59,0)</f>
        <v>16.98</v>
      </c>
      <c r="BB1731" s="9">
        <f>VLOOKUP(A1731,Jogos!A:BN,60,0)</f>
        <v>41</v>
      </c>
      <c r="BC1731" s="9">
        <f>VLOOKUP(A1731,Jogos!A:BN,61,0)</f>
        <v>33.415</v>
      </c>
      <c r="BD1731" s="9">
        <f>VLOOKUP(A1731,Jogos!A:BN,62,0)</f>
        <v>946.7</v>
      </c>
      <c r="BE1731" s="9">
        <f>VLOOKUP(A1731,Jogos!A:BN,63,0)</f>
        <v>2.54</v>
      </c>
      <c r="BF1731" s="9">
        <f>VLOOKUP(A1731,Jogos!A:BN,64,0)</f>
        <v>23.55</v>
      </c>
      <c r="BG1731" s="9">
        <f>VLOOKUP(A1731,Jogos!A:BN,65,0)</f>
        <v>44.525</v>
      </c>
      <c r="BH1731" s="9">
        <f>VLOOKUP(A1731,Jogos!A:BN,66,0)</f>
        <v>28.565</v>
      </c>
      <c r="BI1731" s="9"/>
      <c r="BJ1731" s="9"/>
    </row>
    <row r="1732" hidden="1">
      <c r="A1732" s="2">
        <v>59.0</v>
      </c>
      <c r="B1732" s="2" t="s">
        <v>1380</v>
      </c>
      <c r="C1732" s="2" t="s">
        <v>1351</v>
      </c>
      <c r="D1732" s="3">
        <v>45843.0</v>
      </c>
      <c r="E1732" s="4">
        <v>0.5</v>
      </c>
      <c r="F1732" s="5" t="str">
        <f>VLOOKUP(A1732,Jogos!A:N,10,0)</f>
        <v>Afternoon</v>
      </c>
      <c r="G1732" s="2" t="s">
        <v>376</v>
      </c>
      <c r="H1732" s="6" t="str">
        <f>VLOOKUP(A1732,Jogos!A:L,12,0)</f>
        <v>Closed</v>
      </c>
      <c r="I1732" s="6" t="str">
        <f>VLOOKUP(G1732,'Estádios e Cidades'!A:B,2,0)</f>
        <v>Atlanta</v>
      </c>
      <c r="J1732" s="2" t="s">
        <v>187</v>
      </c>
      <c r="K1732" s="2" t="str">
        <f>VLOOKUP(J1732,Equipes!A:F,6,0)</f>
        <v>Temperate</v>
      </c>
      <c r="L1732" s="2">
        <f>VLOOKUP(J1732,Equipes!A:C,3,0)</f>
        <v>2</v>
      </c>
      <c r="M1732" s="2" t="str">
        <f t="shared" si="4"/>
        <v>Final</v>
      </c>
      <c r="N1732" s="2" t="s">
        <v>123</v>
      </c>
      <c r="O1732" s="2">
        <f>VLOOKUP(N1732,Equipes!A:C,3,0)</f>
        <v>6</v>
      </c>
      <c r="P1732" s="2" t="str">
        <f t="shared" si="5"/>
        <v>Quarter-final</v>
      </c>
      <c r="Q1732" s="2">
        <f t="shared" si="6"/>
        <v>-4</v>
      </c>
      <c r="R1732" s="2" t="str">
        <f>VLOOKUP(J1732,Equipes!A:B,2,0)</f>
        <v>PSG</v>
      </c>
      <c r="S1732" s="6" t="s">
        <v>201</v>
      </c>
      <c r="T1732" s="7">
        <v>17.0</v>
      </c>
      <c r="U1732" s="7" t="s">
        <v>202</v>
      </c>
      <c r="V1732" s="7" t="str">
        <f>VLOOKUP(U1732,Jogadores!B:C,2,0)</f>
        <v>MF</v>
      </c>
      <c r="W1732" s="8">
        <f>VLOOKUP(U1732,Jogadores!B:D,3,0)</f>
        <v>25.47123288</v>
      </c>
      <c r="X1732" s="7">
        <v>0.0</v>
      </c>
      <c r="Y1732" s="7">
        <f t="shared" ref="Y1732:Y1733" si="5433">45+AB1732</f>
        <v>96</v>
      </c>
      <c r="Z1732" s="7">
        <f>VLOOKUP(A1732,Jogos!A:L,3,0)</f>
        <v>48</v>
      </c>
      <c r="AA1732" s="7">
        <f t="shared" si="4815"/>
        <v>48</v>
      </c>
      <c r="AB1732" s="7">
        <f>VLOOKUP(A1732,Jogos!A:L,4,0)</f>
        <v>51</v>
      </c>
      <c r="AC1732" s="7">
        <f t="shared" si="5062"/>
        <v>51</v>
      </c>
      <c r="AD1732" s="7"/>
      <c r="AE1732" s="7"/>
      <c r="AF1732" s="7">
        <f t="shared" si="4566"/>
        <v>99</v>
      </c>
      <c r="AG1732" s="7">
        <v>11953.7</v>
      </c>
      <c r="AH1732" s="7">
        <v>3686.9</v>
      </c>
      <c r="AI1732" s="7">
        <v>5203.7</v>
      </c>
      <c r="AJ1732" s="7">
        <v>1733.1</v>
      </c>
      <c r="AK1732" s="7">
        <v>1003.1</v>
      </c>
      <c r="AL1732" s="7">
        <v>326.9</v>
      </c>
      <c r="AM1732" s="7">
        <v>155.0</v>
      </c>
      <c r="AN1732" s="7">
        <v>67.0</v>
      </c>
      <c r="AO1732" s="7">
        <v>30.1</v>
      </c>
      <c r="AP1732" s="9">
        <f t="shared" ref="AP1732:AR1732" si="5430">AG1732/$AF1732</f>
        <v>120.7444444</v>
      </c>
      <c r="AQ1732" s="9">
        <f t="shared" si="5430"/>
        <v>37.24141414</v>
      </c>
      <c r="AR1732" s="9">
        <f t="shared" si="5430"/>
        <v>52.56262626</v>
      </c>
      <c r="AS1732" s="9">
        <f t="shared" si="4568"/>
        <v>89.8040404</v>
      </c>
      <c r="AT1732" s="9">
        <f t="shared" ref="AT1732:AV1732" si="5431">AJ1732/$AF1732</f>
        <v>17.50606061</v>
      </c>
      <c r="AU1732" s="9">
        <f t="shared" si="5431"/>
        <v>10.13232323</v>
      </c>
      <c r="AV1732" s="9">
        <f t="shared" si="5431"/>
        <v>3.302020202</v>
      </c>
      <c r="AW1732" s="9">
        <f t="shared" si="4570"/>
        <v>13.43434343</v>
      </c>
      <c r="AX1732" s="9">
        <f t="shared" ref="AX1732:AY1732" si="5432">AM1732/$AF1732</f>
        <v>1.565656566</v>
      </c>
      <c r="AY1732" s="9">
        <f t="shared" si="5432"/>
        <v>0.6767676768</v>
      </c>
      <c r="AZ1732" s="9">
        <f>VLOOKUP(A1732,Jogos!A:BN,58,0)</f>
        <v>31.785</v>
      </c>
      <c r="BA1732" s="9">
        <f>VLOOKUP(A1732,Jogos!A:BN,59,0)</f>
        <v>16.98</v>
      </c>
      <c r="BB1732" s="9">
        <f>VLOOKUP(A1732,Jogos!A:BN,60,0)</f>
        <v>41</v>
      </c>
      <c r="BC1732" s="9">
        <f>VLOOKUP(A1732,Jogos!A:BN,61,0)</f>
        <v>33.415</v>
      </c>
      <c r="BD1732" s="9">
        <f>VLOOKUP(A1732,Jogos!A:BN,62,0)</f>
        <v>946.7</v>
      </c>
      <c r="BE1732" s="9">
        <f>VLOOKUP(A1732,Jogos!A:BN,63,0)</f>
        <v>2.54</v>
      </c>
      <c r="BF1732" s="9">
        <f>VLOOKUP(A1732,Jogos!A:BN,64,0)</f>
        <v>23.55</v>
      </c>
      <c r="BG1732" s="9">
        <f>VLOOKUP(A1732,Jogos!A:BN,65,0)</f>
        <v>44.525</v>
      </c>
      <c r="BH1732" s="9">
        <f>VLOOKUP(A1732,Jogos!A:BN,66,0)</f>
        <v>28.565</v>
      </c>
      <c r="BI1732" s="9"/>
      <c r="BJ1732" s="9"/>
    </row>
    <row r="1733" hidden="1">
      <c r="A1733" s="2">
        <v>59.0</v>
      </c>
      <c r="B1733" s="2" t="s">
        <v>1380</v>
      </c>
      <c r="C1733" s="2" t="s">
        <v>1351</v>
      </c>
      <c r="D1733" s="3">
        <v>45843.0</v>
      </c>
      <c r="E1733" s="4">
        <v>0.5</v>
      </c>
      <c r="F1733" s="5" t="str">
        <f>VLOOKUP(A1733,Jogos!A:N,10,0)</f>
        <v>Afternoon</v>
      </c>
      <c r="G1733" s="2" t="s">
        <v>376</v>
      </c>
      <c r="H1733" s="6" t="str">
        <f>VLOOKUP(A1733,Jogos!A:L,12,0)</f>
        <v>Closed</v>
      </c>
      <c r="I1733" s="6" t="str">
        <f>VLOOKUP(G1733,'Estádios e Cidades'!A:B,2,0)</f>
        <v>Atlanta</v>
      </c>
      <c r="J1733" s="2" t="s">
        <v>187</v>
      </c>
      <c r="K1733" s="2" t="str">
        <f>VLOOKUP(J1733,Equipes!A:F,6,0)</f>
        <v>Temperate</v>
      </c>
      <c r="L1733" s="2">
        <f>VLOOKUP(J1733,Equipes!A:C,3,0)</f>
        <v>2</v>
      </c>
      <c r="M1733" s="2" t="str">
        <f t="shared" si="4"/>
        <v>Final</v>
      </c>
      <c r="N1733" s="2" t="s">
        <v>123</v>
      </c>
      <c r="O1733" s="2">
        <f>VLOOKUP(N1733,Equipes!A:C,3,0)</f>
        <v>6</v>
      </c>
      <c r="P1733" s="2" t="str">
        <f t="shared" si="5"/>
        <v>Quarter-final</v>
      </c>
      <c r="Q1733" s="2">
        <f t="shared" si="6"/>
        <v>-4</v>
      </c>
      <c r="R1733" s="2" t="str">
        <f>VLOOKUP(J1733,Equipes!A:B,2,0)</f>
        <v>PSG</v>
      </c>
      <c r="S1733" s="6" t="s">
        <v>203</v>
      </c>
      <c r="T1733" s="7">
        <v>25.0</v>
      </c>
      <c r="U1733" s="7" t="s">
        <v>204</v>
      </c>
      <c r="V1733" s="7" t="str">
        <f>VLOOKUP(U1733,Jogadores!B:C,2,0)</f>
        <v>DF</v>
      </c>
      <c r="W1733" s="8">
        <f>VLOOKUP(U1733,Jogadores!B:D,3,0)</f>
        <v>23.12328767</v>
      </c>
      <c r="X1733" s="7">
        <v>0.0</v>
      </c>
      <c r="Y1733" s="7">
        <f t="shared" si="5433"/>
        <v>96</v>
      </c>
      <c r="Z1733" s="7">
        <f>VLOOKUP(A1733,Jogos!A:L,3,0)</f>
        <v>48</v>
      </c>
      <c r="AA1733" s="7">
        <f t="shared" si="4815"/>
        <v>48</v>
      </c>
      <c r="AB1733" s="7">
        <f>VLOOKUP(A1733,Jogos!A:L,4,0)</f>
        <v>51</v>
      </c>
      <c r="AC1733" s="7">
        <f t="shared" si="5062"/>
        <v>51</v>
      </c>
      <c r="AD1733" s="7"/>
      <c r="AE1733" s="7"/>
      <c r="AF1733" s="7">
        <f t="shared" si="4566"/>
        <v>99</v>
      </c>
      <c r="AG1733" s="7">
        <v>9154.9</v>
      </c>
      <c r="AH1733" s="7">
        <v>3799.7</v>
      </c>
      <c r="AI1733" s="7">
        <v>3722.6</v>
      </c>
      <c r="AJ1733" s="7">
        <v>919.2</v>
      </c>
      <c r="AK1733" s="7">
        <v>425.0</v>
      </c>
      <c r="AL1733" s="7">
        <v>288.4</v>
      </c>
      <c r="AM1733" s="7">
        <v>80.0</v>
      </c>
      <c r="AN1733" s="7">
        <v>37.0</v>
      </c>
      <c r="AO1733" s="7">
        <v>36.2</v>
      </c>
      <c r="AP1733" s="9">
        <f t="shared" ref="AP1733:AR1733" si="5434">AG1733/$AF1733</f>
        <v>92.47373737</v>
      </c>
      <c r="AQ1733" s="9">
        <f t="shared" si="5434"/>
        <v>38.38080808</v>
      </c>
      <c r="AR1733" s="9">
        <f t="shared" si="5434"/>
        <v>37.6020202</v>
      </c>
      <c r="AS1733" s="9">
        <f t="shared" si="4568"/>
        <v>75.98282828</v>
      </c>
      <c r="AT1733" s="9">
        <f t="shared" ref="AT1733:AV1733" si="5435">AJ1733/$AF1733</f>
        <v>9.284848485</v>
      </c>
      <c r="AU1733" s="9">
        <f t="shared" si="5435"/>
        <v>4.292929293</v>
      </c>
      <c r="AV1733" s="9">
        <f t="shared" si="5435"/>
        <v>2.913131313</v>
      </c>
      <c r="AW1733" s="9">
        <f t="shared" si="4570"/>
        <v>7.206060606</v>
      </c>
      <c r="AX1733" s="9">
        <f t="shared" ref="AX1733:AY1733" si="5436">AM1733/$AF1733</f>
        <v>0.8080808081</v>
      </c>
      <c r="AY1733" s="9">
        <f t="shared" si="5436"/>
        <v>0.3737373737</v>
      </c>
      <c r="AZ1733" s="9">
        <f>VLOOKUP(A1733,Jogos!A:BN,58,0)</f>
        <v>31.785</v>
      </c>
      <c r="BA1733" s="9">
        <f>VLOOKUP(A1733,Jogos!A:BN,59,0)</f>
        <v>16.98</v>
      </c>
      <c r="BB1733" s="9">
        <f>VLOOKUP(A1733,Jogos!A:BN,60,0)</f>
        <v>41</v>
      </c>
      <c r="BC1733" s="9">
        <f>VLOOKUP(A1733,Jogos!A:BN,61,0)</f>
        <v>33.415</v>
      </c>
      <c r="BD1733" s="9">
        <f>VLOOKUP(A1733,Jogos!A:BN,62,0)</f>
        <v>946.7</v>
      </c>
      <c r="BE1733" s="9">
        <f>VLOOKUP(A1733,Jogos!A:BN,63,0)</f>
        <v>2.54</v>
      </c>
      <c r="BF1733" s="9">
        <f>VLOOKUP(A1733,Jogos!A:BN,64,0)</f>
        <v>23.55</v>
      </c>
      <c r="BG1733" s="9">
        <f>VLOOKUP(A1733,Jogos!A:BN,65,0)</f>
        <v>44.525</v>
      </c>
      <c r="BH1733" s="9">
        <f>VLOOKUP(A1733,Jogos!A:BN,66,0)</f>
        <v>28.565</v>
      </c>
      <c r="BI1733" s="9"/>
      <c r="BJ1733" s="9"/>
    </row>
    <row r="1734" hidden="1">
      <c r="A1734" s="2">
        <v>59.0</v>
      </c>
      <c r="B1734" s="2" t="s">
        <v>1380</v>
      </c>
      <c r="C1734" s="2" t="s">
        <v>1351</v>
      </c>
      <c r="D1734" s="3">
        <v>45843.0</v>
      </c>
      <c r="E1734" s="4">
        <v>0.5</v>
      </c>
      <c r="F1734" s="5" t="str">
        <f>VLOOKUP(A1734,Jogos!A:N,10,0)</f>
        <v>Afternoon</v>
      </c>
      <c r="G1734" s="2" t="s">
        <v>376</v>
      </c>
      <c r="H1734" s="6" t="str">
        <f>VLOOKUP(A1734,Jogos!A:L,12,0)</f>
        <v>Closed</v>
      </c>
      <c r="I1734" s="6" t="str">
        <f>VLOOKUP(G1734,'Estádios e Cidades'!A:B,2,0)</f>
        <v>Atlanta</v>
      </c>
      <c r="J1734" s="2" t="s">
        <v>187</v>
      </c>
      <c r="K1734" s="2" t="str">
        <f>VLOOKUP(J1734,Equipes!A:F,6,0)</f>
        <v>Temperate</v>
      </c>
      <c r="L1734" s="2">
        <f>VLOOKUP(J1734,Equipes!A:C,3,0)</f>
        <v>2</v>
      </c>
      <c r="M1734" s="2" t="str">
        <f t="shared" si="4"/>
        <v>Final</v>
      </c>
      <c r="N1734" s="2" t="s">
        <v>123</v>
      </c>
      <c r="O1734" s="2">
        <f>VLOOKUP(N1734,Equipes!A:C,3,0)</f>
        <v>6</v>
      </c>
      <c r="P1734" s="2" t="str">
        <f t="shared" si="5"/>
        <v>Quarter-final</v>
      </c>
      <c r="Q1734" s="2">
        <f t="shared" si="6"/>
        <v>-4</v>
      </c>
      <c r="R1734" s="2" t="str">
        <f>VLOOKUP(J1734,Equipes!A:B,2,0)</f>
        <v>PSG</v>
      </c>
      <c r="S1734" s="6" t="s">
        <v>1096</v>
      </c>
      <c r="T1734" s="7">
        <v>29.0</v>
      </c>
      <c r="U1734" s="7" t="s">
        <v>1097</v>
      </c>
      <c r="V1734" s="7" t="str">
        <f>VLOOKUP(U1734,Jogadores!B:C,2,0)</f>
        <v>FW</v>
      </c>
      <c r="W1734" s="8">
        <f>VLOOKUP(U1734,Jogadores!B:D,3,0)</f>
        <v>22.91780822</v>
      </c>
      <c r="X1734" s="7">
        <v>0.0</v>
      </c>
      <c r="Y1734" s="7">
        <v>70.0</v>
      </c>
      <c r="Z1734" s="7">
        <f>VLOOKUP(A1734,Jogos!A:L,3,0)</f>
        <v>48</v>
      </c>
      <c r="AA1734" s="7">
        <f t="shared" si="4815"/>
        <v>48</v>
      </c>
      <c r="AB1734" s="7">
        <f>VLOOKUP(A1734,Jogos!A:L,4,0)</f>
        <v>51</v>
      </c>
      <c r="AC1734" s="7">
        <f t="shared" si="5062"/>
        <v>25</v>
      </c>
      <c r="AD1734" s="7"/>
      <c r="AE1734" s="7"/>
      <c r="AF1734" s="7">
        <f t="shared" si="4566"/>
        <v>73</v>
      </c>
      <c r="AG1734" s="7">
        <v>7679.3</v>
      </c>
      <c r="AH1734" s="7">
        <v>2927.3</v>
      </c>
      <c r="AI1734" s="7">
        <v>2940.9</v>
      </c>
      <c r="AJ1734" s="7">
        <v>798.8</v>
      </c>
      <c r="AK1734" s="7">
        <v>639.8</v>
      </c>
      <c r="AL1734" s="7">
        <v>372.5</v>
      </c>
      <c r="AM1734" s="7">
        <v>71.0</v>
      </c>
      <c r="AN1734" s="7">
        <v>53.0</v>
      </c>
      <c r="AO1734" s="7">
        <v>36.0</v>
      </c>
      <c r="AP1734" s="9">
        <f t="shared" ref="AP1734:AR1734" si="5437">AG1734/$AF1734</f>
        <v>105.1958904</v>
      </c>
      <c r="AQ1734" s="9">
        <f t="shared" si="5437"/>
        <v>40.1</v>
      </c>
      <c r="AR1734" s="9">
        <f t="shared" si="5437"/>
        <v>40.28630137</v>
      </c>
      <c r="AS1734" s="9">
        <f t="shared" si="4568"/>
        <v>80.38630137</v>
      </c>
      <c r="AT1734" s="9">
        <f t="shared" ref="AT1734:AV1734" si="5438">AJ1734/$AF1734</f>
        <v>10.94246575</v>
      </c>
      <c r="AU1734" s="9">
        <f t="shared" si="5438"/>
        <v>8.764383562</v>
      </c>
      <c r="AV1734" s="9">
        <f t="shared" si="5438"/>
        <v>5.102739726</v>
      </c>
      <c r="AW1734" s="9">
        <f t="shared" si="4570"/>
        <v>13.86712329</v>
      </c>
      <c r="AX1734" s="9">
        <f t="shared" ref="AX1734:AY1734" si="5439">AM1734/$AF1734</f>
        <v>0.9726027397</v>
      </c>
      <c r="AY1734" s="9">
        <f t="shared" si="5439"/>
        <v>0.7260273973</v>
      </c>
      <c r="AZ1734" s="9">
        <f>VLOOKUP(A1734,Jogos!A:BN,58,0)</f>
        <v>31.785</v>
      </c>
      <c r="BA1734" s="9">
        <f>VLOOKUP(A1734,Jogos!A:BN,59,0)</f>
        <v>16.98</v>
      </c>
      <c r="BB1734" s="9">
        <f>VLOOKUP(A1734,Jogos!A:BN,60,0)</f>
        <v>41</v>
      </c>
      <c r="BC1734" s="9">
        <f>VLOOKUP(A1734,Jogos!A:BN,61,0)</f>
        <v>33.415</v>
      </c>
      <c r="BD1734" s="9">
        <f>VLOOKUP(A1734,Jogos!A:BN,62,0)</f>
        <v>946.7</v>
      </c>
      <c r="BE1734" s="9">
        <f>VLOOKUP(A1734,Jogos!A:BN,63,0)</f>
        <v>2.54</v>
      </c>
      <c r="BF1734" s="9">
        <f>VLOOKUP(A1734,Jogos!A:BN,64,0)</f>
        <v>23.55</v>
      </c>
      <c r="BG1734" s="9">
        <f>VLOOKUP(A1734,Jogos!A:BN,65,0)</f>
        <v>44.525</v>
      </c>
      <c r="BH1734" s="9">
        <f>VLOOKUP(A1734,Jogos!A:BN,66,0)</f>
        <v>28.565</v>
      </c>
      <c r="BI1734" s="9"/>
      <c r="BJ1734" s="9"/>
    </row>
    <row r="1735" hidden="1">
      <c r="A1735" s="2">
        <v>59.0</v>
      </c>
      <c r="B1735" s="2" t="s">
        <v>1380</v>
      </c>
      <c r="C1735" s="2" t="s">
        <v>1351</v>
      </c>
      <c r="D1735" s="3">
        <v>45843.0</v>
      </c>
      <c r="E1735" s="4">
        <v>0.5</v>
      </c>
      <c r="F1735" s="5" t="str">
        <f>VLOOKUP(A1735,Jogos!A:N,10,0)</f>
        <v>Afternoon</v>
      </c>
      <c r="G1735" s="2" t="s">
        <v>376</v>
      </c>
      <c r="H1735" s="6" t="str">
        <f>VLOOKUP(A1735,Jogos!A:L,12,0)</f>
        <v>Closed</v>
      </c>
      <c r="I1735" s="6" t="str">
        <f>VLOOKUP(G1735,'Estádios e Cidades'!A:B,2,0)</f>
        <v>Atlanta</v>
      </c>
      <c r="J1735" s="2" t="s">
        <v>187</v>
      </c>
      <c r="K1735" s="2" t="str">
        <f>VLOOKUP(J1735,Equipes!A:F,6,0)</f>
        <v>Temperate</v>
      </c>
      <c r="L1735" s="2">
        <f>VLOOKUP(J1735,Equipes!A:C,3,0)</f>
        <v>2</v>
      </c>
      <c r="M1735" s="2" t="str">
        <f t="shared" si="4"/>
        <v>Final</v>
      </c>
      <c r="N1735" s="2" t="s">
        <v>123</v>
      </c>
      <c r="O1735" s="2">
        <f>VLOOKUP(N1735,Equipes!A:C,3,0)</f>
        <v>6</v>
      </c>
      <c r="P1735" s="2" t="str">
        <f t="shared" si="5"/>
        <v>Quarter-final</v>
      </c>
      <c r="Q1735" s="2">
        <f t="shared" si="6"/>
        <v>-4</v>
      </c>
      <c r="R1735" s="2" t="str">
        <f>VLOOKUP(J1735,Equipes!A:B,2,0)</f>
        <v>PSG</v>
      </c>
      <c r="S1735" s="6" t="s">
        <v>205</v>
      </c>
      <c r="T1735" s="7">
        <v>51.0</v>
      </c>
      <c r="U1735" s="7" t="s">
        <v>206</v>
      </c>
      <c r="V1735" s="7" t="str">
        <f>VLOOKUP(U1735,Jogadores!B:C,2,0)</f>
        <v>DF</v>
      </c>
      <c r="W1735" s="8">
        <f>VLOOKUP(U1735,Jogadores!B:D,3,0)</f>
        <v>23.79726027</v>
      </c>
      <c r="X1735" s="7">
        <v>0.0</v>
      </c>
      <c r="Y1735" s="7">
        <v>84.0</v>
      </c>
      <c r="Z1735" s="7">
        <f>VLOOKUP(A1735,Jogos!A:L,3,0)</f>
        <v>48</v>
      </c>
      <c r="AA1735" s="7">
        <f t="shared" si="4815"/>
        <v>48</v>
      </c>
      <c r="AB1735" s="7">
        <f>VLOOKUP(A1735,Jogos!A:L,4,0)</f>
        <v>51</v>
      </c>
      <c r="AC1735" s="7">
        <f t="shared" si="5062"/>
        <v>39</v>
      </c>
      <c r="AD1735" s="7"/>
      <c r="AE1735" s="7"/>
      <c r="AF1735" s="7">
        <f t="shared" si="4566"/>
        <v>87</v>
      </c>
      <c r="AG1735" s="7">
        <v>8376.1</v>
      </c>
      <c r="AH1735" s="7">
        <v>3221.5</v>
      </c>
      <c r="AI1735" s="7">
        <v>3464.2</v>
      </c>
      <c r="AJ1735" s="7">
        <v>1131.3</v>
      </c>
      <c r="AK1735" s="7">
        <v>335.9</v>
      </c>
      <c r="AL1735" s="7">
        <v>223.2</v>
      </c>
      <c r="AM1735" s="7">
        <v>100.0</v>
      </c>
      <c r="AN1735" s="7">
        <v>30.0</v>
      </c>
      <c r="AO1735" s="7">
        <v>32.3</v>
      </c>
      <c r="AP1735" s="9">
        <f t="shared" ref="AP1735:AR1735" si="5440">AG1735/$AF1735</f>
        <v>96.27701149</v>
      </c>
      <c r="AQ1735" s="9">
        <f t="shared" si="5440"/>
        <v>37.02873563</v>
      </c>
      <c r="AR1735" s="9">
        <f t="shared" si="5440"/>
        <v>39.8183908</v>
      </c>
      <c r="AS1735" s="9">
        <f t="shared" si="4568"/>
        <v>76.84712644</v>
      </c>
      <c r="AT1735" s="9">
        <f t="shared" ref="AT1735:AV1735" si="5441">AJ1735/$AF1735</f>
        <v>13.00344828</v>
      </c>
      <c r="AU1735" s="9">
        <f t="shared" si="5441"/>
        <v>3.86091954</v>
      </c>
      <c r="AV1735" s="9">
        <f t="shared" si="5441"/>
        <v>2.565517241</v>
      </c>
      <c r="AW1735" s="9">
        <f t="shared" si="4570"/>
        <v>6.426436782</v>
      </c>
      <c r="AX1735" s="9">
        <f t="shared" ref="AX1735:AY1735" si="5442">AM1735/$AF1735</f>
        <v>1.149425287</v>
      </c>
      <c r="AY1735" s="9">
        <f t="shared" si="5442"/>
        <v>0.3448275862</v>
      </c>
      <c r="AZ1735" s="9">
        <f>VLOOKUP(A1735,Jogos!A:BN,58,0)</f>
        <v>31.785</v>
      </c>
      <c r="BA1735" s="9">
        <f>VLOOKUP(A1735,Jogos!A:BN,59,0)</f>
        <v>16.98</v>
      </c>
      <c r="BB1735" s="9">
        <f>VLOOKUP(A1735,Jogos!A:BN,60,0)</f>
        <v>41</v>
      </c>
      <c r="BC1735" s="9">
        <f>VLOOKUP(A1735,Jogos!A:BN,61,0)</f>
        <v>33.415</v>
      </c>
      <c r="BD1735" s="9">
        <f>VLOOKUP(A1735,Jogos!A:BN,62,0)</f>
        <v>946.7</v>
      </c>
      <c r="BE1735" s="9">
        <f>VLOOKUP(A1735,Jogos!A:BN,63,0)</f>
        <v>2.54</v>
      </c>
      <c r="BF1735" s="9">
        <f>VLOOKUP(A1735,Jogos!A:BN,64,0)</f>
        <v>23.55</v>
      </c>
      <c r="BG1735" s="9">
        <f>VLOOKUP(A1735,Jogos!A:BN,65,0)</f>
        <v>44.525</v>
      </c>
      <c r="BH1735" s="9">
        <f>VLOOKUP(A1735,Jogos!A:BN,66,0)</f>
        <v>28.565</v>
      </c>
      <c r="BI1735" s="9"/>
      <c r="BJ1735" s="9"/>
    </row>
    <row r="1736" hidden="1">
      <c r="A1736" s="2">
        <v>59.0</v>
      </c>
      <c r="B1736" s="2" t="s">
        <v>1380</v>
      </c>
      <c r="C1736" s="2" t="s">
        <v>1351</v>
      </c>
      <c r="D1736" s="3">
        <v>45843.0</v>
      </c>
      <c r="E1736" s="4">
        <v>0.5</v>
      </c>
      <c r="F1736" s="5" t="str">
        <f>VLOOKUP(A1736,Jogos!A:N,10,0)</f>
        <v>Afternoon</v>
      </c>
      <c r="G1736" s="2" t="s">
        <v>376</v>
      </c>
      <c r="H1736" s="6" t="str">
        <f>VLOOKUP(A1736,Jogos!A:L,12,0)</f>
        <v>Closed</v>
      </c>
      <c r="I1736" s="6" t="str">
        <f>VLOOKUP(G1736,'Estádios e Cidades'!A:B,2,0)</f>
        <v>Atlanta</v>
      </c>
      <c r="J1736" s="2" t="s">
        <v>187</v>
      </c>
      <c r="K1736" s="2" t="str">
        <f>VLOOKUP(J1736,Equipes!A:F,6,0)</f>
        <v>Temperate</v>
      </c>
      <c r="L1736" s="2">
        <f>VLOOKUP(J1736,Equipes!A:C,3,0)</f>
        <v>2</v>
      </c>
      <c r="M1736" s="2" t="str">
        <f t="shared" si="4"/>
        <v>Final</v>
      </c>
      <c r="N1736" s="2" t="s">
        <v>123</v>
      </c>
      <c r="O1736" s="2">
        <f>VLOOKUP(N1736,Equipes!A:C,3,0)</f>
        <v>6</v>
      </c>
      <c r="P1736" s="2" t="str">
        <f t="shared" si="5"/>
        <v>Quarter-final</v>
      </c>
      <c r="Q1736" s="2">
        <f t="shared" si="6"/>
        <v>-4</v>
      </c>
      <c r="R1736" s="2" t="str">
        <f>VLOOKUP(J1736,Equipes!A:B,2,0)</f>
        <v>PSG</v>
      </c>
      <c r="S1736" s="6" t="s">
        <v>207</v>
      </c>
      <c r="T1736" s="7">
        <v>87.0</v>
      </c>
      <c r="U1736" s="7" t="s">
        <v>208</v>
      </c>
      <c r="V1736" s="7" t="str">
        <f>VLOOKUP(U1736,Jogadores!B:C,2,0)</f>
        <v>MF</v>
      </c>
      <c r="W1736" s="8">
        <f>VLOOKUP(U1736,Jogadores!B:D,3,0)</f>
        <v>20.84657534</v>
      </c>
      <c r="X1736" s="7">
        <v>0.0</v>
      </c>
      <c r="Y1736" s="7">
        <f t="shared" ref="Y1736:Y1738" si="5446">45+AB1736</f>
        <v>96</v>
      </c>
      <c r="Z1736" s="7">
        <f>VLOOKUP(A1736,Jogos!A:L,3,0)</f>
        <v>48</v>
      </c>
      <c r="AA1736" s="7">
        <f t="shared" si="4815"/>
        <v>48</v>
      </c>
      <c r="AB1736" s="7">
        <f>VLOOKUP(A1736,Jogos!A:L,4,0)</f>
        <v>51</v>
      </c>
      <c r="AC1736" s="7">
        <f t="shared" si="5062"/>
        <v>51</v>
      </c>
      <c r="AD1736" s="7"/>
      <c r="AE1736" s="7"/>
      <c r="AF1736" s="7">
        <f t="shared" si="4566"/>
        <v>99</v>
      </c>
      <c r="AG1736" s="7">
        <v>12152.7</v>
      </c>
      <c r="AH1736" s="7">
        <v>3698.6</v>
      </c>
      <c r="AI1736" s="7">
        <v>4966.3</v>
      </c>
      <c r="AJ1736" s="7">
        <v>2305.6</v>
      </c>
      <c r="AK1736" s="7">
        <v>949.8</v>
      </c>
      <c r="AL1736" s="7">
        <v>232.3</v>
      </c>
      <c r="AM1736" s="7">
        <v>192.0</v>
      </c>
      <c r="AN1736" s="7">
        <v>69.0</v>
      </c>
      <c r="AO1736" s="7">
        <v>29.9</v>
      </c>
      <c r="AP1736" s="9">
        <f t="shared" ref="AP1736:AR1736" si="5443">AG1736/$AF1736</f>
        <v>122.7545455</v>
      </c>
      <c r="AQ1736" s="9">
        <f t="shared" si="5443"/>
        <v>37.35959596</v>
      </c>
      <c r="AR1736" s="9">
        <f t="shared" si="5443"/>
        <v>50.16464646</v>
      </c>
      <c r="AS1736" s="9">
        <f t="shared" si="4568"/>
        <v>87.52424242</v>
      </c>
      <c r="AT1736" s="9">
        <f t="shared" ref="AT1736:AV1736" si="5444">AJ1736/$AF1736</f>
        <v>23.28888889</v>
      </c>
      <c r="AU1736" s="9">
        <f t="shared" si="5444"/>
        <v>9.593939394</v>
      </c>
      <c r="AV1736" s="9">
        <f t="shared" si="5444"/>
        <v>2.346464646</v>
      </c>
      <c r="AW1736" s="9">
        <f t="shared" si="4570"/>
        <v>11.94040404</v>
      </c>
      <c r="AX1736" s="9">
        <f t="shared" ref="AX1736:AY1736" si="5445">AM1736/$AF1736</f>
        <v>1.939393939</v>
      </c>
      <c r="AY1736" s="9">
        <f t="shared" si="5445"/>
        <v>0.696969697</v>
      </c>
      <c r="AZ1736" s="9">
        <f>VLOOKUP(A1736,Jogos!A:BN,58,0)</f>
        <v>31.785</v>
      </c>
      <c r="BA1736" s="9">
        <f>VLOOKUP(A1736,Jogos!A:BN,59,0)</f>
        <v>16.98</v>
      </c>
      <c r="BB1736" s="9">
        <f>VLOOKUP(A1736,Jogos!A:BN,60,0)</f>
        <v>41</v>
      </c>
      <c r="BC1736" s="9">
        <f>VLOOKUP(A1736,Jogos!A:BN,61,0)</f>
        <v>33.415</v>
      </c>
      <c r="BD1736" s="9">
        <f>VLOOKUP(A1736,Jogos!A:BN,62,0)</f>
        <v>946.7</v>
      </c>
      <c r="BE1736" s="9">
        <f>VLOOKUP(A1736,Jogos!A:BN,63,0)</f>
        <v>2.54</v>
      </c>
      <c r="BF1736" s="9">
        <f>VLOOKUP(A1736,Jogos!A:BN,64,0)</f>
        <v>23.55</v>
      </c>
      <c r="BG1736" s="9">
        <f>VLOOKUP(A1736,Jogos!A:BN,65,0)</f>
        <v>44.525</v>
      </c>
      <c r="BH1736" s="9">
        <f>VLOOKUP(A1736,Jogos!A:BN,66,0)</f>
        <v>28.565</v>
      </c>
      <c r="BI1736" s="9"/>
      <c r="BJ1736" s="9"/>
    </row>
    <row r="1737" hidden="1">
      <c r="A1737" s="2">
        <v>59.0</v>
      </c>
      <c r="B1737" s="2" t="s">
        <v>1380</v>
      </c>
      <c r="C1737" s="2" t="s">
        <v>1351</v>
      </c>
      <c r="D1737" s="3">
        <v>45843.0</v>
      </c>
      <c r="E1737" s="4">
        <v>0.5</v>
      </c>
      <c r="F1737" s="5" t="str">
        <f>VLOOKUP(A1737,Jogos!A:N,10,0)</f>
        <v>Afternoon</v>
      </c>
      <c r="G1737" s="2" t="s">
        <v>376</v>
      </c>
      <c r="H1737" s="6" t="str">
        <f>VLOOKUP(A1737,Jogos!A:L,12,0)</f>
        <v>Closed</v>
      </c>
      <c r="I1737" s="6" t="str">
        <f>VLOOKUP(G1737,'Estádios e Cidades'!A:B,2,0)</f>
        <v>Atlanta</v>
      </c>
      <c r="J1737" s="2" t="s">
        <v>187</v>
      </c>
      <c r="K1737" s="2" t="str">
        <f>VLOOKUP(J1737,Equipes!A:F,6,0)</f>
        <v>Temperate</v>
      </c>
      <c r="L1737" s="2">
        <f>VLOOKUP(J1737,Equipes!A:C,3,0)</f>
        <v>2</v>
      </c>
      <c r="M1737" s="2" t="str">
        <f t="shared" si="4"/>
        <v>Final</v>
      </c>
      <c r="N1737" s="2" t="s">
        <v>123</v>
      </c>
      <c r="O1737" s="2">
        <f>VLOOKUP(N1737,Equipes!A:C,3,0)</f>
        <v>6</v>
      </c>
      <c r="P1737" s="2" t="str">
        <f t="shared" si="5"/>
        <v>Quarter-final</v>
      </c>
      <c r="Q1737" s="2">
        <f t="shared" si="6"/>
        <v>-4</v>
      </c>
      <c r="R1737" s="2" t="str">
        <f>VLOOKUP(J1737,Equipes!A:B,2,0)</f>
        <v>PSG</v>
      </c>
      <c r="S1737" s="6" t="s">
        <v>1094</v>
      </c>
      <c r="T1737" s="7">
        <v>4.0</v>
      </c>
      <c r="U1737" s="7" t="s">
        <v>1095</v>
      </c>
      <c r="V1737" s="7" t="str">
        <f>VLOOKUP(U1737,Jogadores!B:C,2,0)</f>
        <v>DF</v>
      </c>
      <c r="W1737" s="8">
        <f>VLOOKUP(U1737,Jogadores!B:D,3,0)</f>
        <v>21.69041096</v>
      </c>
      <c r="X1737" s="7">
        <v>84.0</v>
      </c>
      <c r="Y1737" s="7">
        <f t="shared" si="5446"/>
        <v>96</v>
      </c>
      <c r="Z1737" s="7">
        <f>VLOOKUP(A1737,Jogos!A:L,3,0)</f>
        <v>48</v>
      </c>
      <c r="AA1737" s="7">
        <f t="shared" si="4815"/>
        <v>0</v>
      </c>
      <c r="AB1737" s="7">
        <f>VLOOKUP(A1737,Jogos!A:L,4,0)</f>
        <v>51</v>
      </c>
      <c r="AC1737" s="7">
        <f t="shared" si="5062"/>
        <v>12</v>
      </c>
      <c r="AD1737" s="7"/>
      <c r="AE1737" s="7"/>
      <c r="AF1737" s="7">
        <f t="shared" si="4566"/>
        <v>12</v>
      </c>
      <c r="AG1737" s="7">
        <v>1549.0</v>
      </c>
      <c r="AH1737" s="7">
        <v>617.9</v>
      </c>
      <c r="AI1737" s="7">
        <v>613.7</v>
      </c>
      <c r="AJ1737" s="7">
        <v>211.0</v>
      </c>
      <c r="AK1737" s="7">
        <v>72.5</v>
      </c>
      <c r="AL1737" s="7">
        <v>33.9</v>
      </c>
      <c r="AM1737" s="7">
        <v>23.0</v>
      </c>
      <c r="AN1737" s="7">
        <v>5.0</v>
      </c>
      <c r="AO1737" s="7">
        <v>29.0</v>
      </c>
      <c r="AP1737" s="9">
        <f t="shared" ref="AP1737:AR1737" si="5447">AG1737/$AF1737</f>
        <v>129.0833333</v>
      </c>
      <c r="AQ1737" s="9">
        <f t="shared" si="5447"/>
        <v>51.49166667</v>
      </c>
      <c r="AR1737" s="9">
        <f t="shared" si="5447"/>
        <v>51.14166667</v>
      </c>
      <c r="AS1737" s="9">
        <f t="shared" si="4568"/>
        <v>102.6333333</v>
      </c>
      <c r="AT1737" s="9">
        <f t="shared" ref="AT1737:AV1737" si="5448">AJ1737/$AF1737</f>
        <v>17.58333333</v>
      </c>
      <c r="AU1737" s="9">
        <f t="shared" si="5448"/>
        <v>6.041666667</v>
      </c>
      <c r="AV1737" s="9">
        <f t="shared" si="5448"/>
        <v>2.825</v>
      </c>
      <c r="AW1737" s="9">
        <f t="shared" si="4570"/>
        <v>8.866666667</v>
      </c>
      <c r="AX1737" s="9">
        <f t="shared" ref="AX1737:AY1737" si="5449">AM1737/$AF1737</f>
        <v>1.916666667</v>
      </c>
      <c r="AY1737" s="9">
        <f t="shared" si="5449"/>
        <v>0.4166666667</v>
      </c>
      <c r="AZ1737" s="9">
        <f>VLOOKUP(A1737,Jogos!A:BN,58,0)</f>
        <v>31.785</v>
      </c>
      <c r="BA1737" s="9">
        <f>VLOOKUP(A1737,Jogos!A:BN,59,0)</f>
        <v>16.98</v>
      </c>
      <c r="BB1737" s="9">
        <f>VLOOKUP(A1737,Jogos!A:BN,60,0)</f>
        <v>41</v>
      </c>
      <c r="BC1737" s="9">
        <f>VLOOKUP(A1737,Jogos!A:BN,61,0)</f>
        <v>33.415</v>
      </c>
      <c r="BD1737" s="9">
        <f>VLOOKUP(A1737,Jogos!A:BN,62,0)</f>
        <v>946.7</v>
      </c>
      <c r="BE1737" s="9">
        <f>VLOOKUP(A1737,Jogos!A:BN,63,0)</f>
        <v>2.54</v>
      </c>
      <c r="BF1737" s="9">
        <f>VLOOKUP(A1737,Jogos!A:BN,64,0)</f>
        <v>23.55</v>
      </c>
      <c r="BG1737" s="9">
        <f>VLOOKUP(A1737,Jogos!A:BN,65,0)</f>
        <v>44.525</v>
      </c>
      <c r="BH1737" s="9">
        <f>VLOOKUP(A1737,Jogos!A:BN,66,0)</f>
        <v>28.565</v>
      </c>
      <c r="BI1737" s="9"/>
      <c r="BJ1737" s="9"/>
    </row>
    <row r="1738" hidden="1">
      <c r="A1738" s="2">
        <v>59.0</v>
      </c>
      <c r="B1738" s="2" t="s">
        <v>1380</v>
      </c>
      <c r="C1738" s="2" t="s">
        <v>1351</v>
      </c>
      <c r="D1738" s="3">
        <v>45843.0</v>
      </c>
      <c r="E1738" s="4">
        <v>0.5</v>
      </c>
      <c r="F1738" s="5" t="str">
        <f>VLOOKUP(A1738,Jogos!A:N,10,0)</f>
        <v>Afternoon</v>
      </c>
      <c r="G1738" s="2" t="s">
        <v>376</v>
      </c>
      <c r="H1738" s="6" t="str">
        <f>VLOOKUP(A1738,Jogos!A:L,12,0)</f>
        <v>Closed</v>
      </c>
      <c r="I1738" s="6" t="str">
        <f>VLOOKUP(G1738,'Estádios e Cidades'!A:B,2,0)</f>
        <v>Atlanta</v>
      </c>
      <c r="J1738" s="2" t="s">
        <v>187</v>
      </c>
      <c r="K1738" s="2" t="str">
        <f>VLOOKUP(J1738,Equipes!A:F,6,0)</f>
        <v>Temperate</v>
      </c>
      <c r="L1738" s="2">
        <f>VLOOKUP(J1738,Equipes!A:C,3,0)</f>
        <v>2</v>
      </c>
      <c r="M1738" s="2" t="str">
        <f t="shared" si="4"/>
        <v>Final</v>
      </c>
      <c r="N1738" s="2" t="s">
        <v>123</v>
      </c>
      <c r="O1738" s="2">
        <f>VLOOKUP(N1738,Equipes!A:C,3,0)</f>
        <v>6</v>
      </c>
      <c r="P1738" s="2" t="str">
        <f t="shared" si="5"/>
        <v>Quarter-final</v>
      </c>
      <c r="Q1738" s="2">
        <f t="shared" si="6"/>
        <v>-4</v>
      </c>
      <c r="R1738" s="2" t="str">
        <f>VLOOKUP(J1738,Equipes!A:B,2,0)</f>
        <v>PSG</v>
      </c>
      <c r="S1738" s="6" t="s">
        <v>1366</v>
      </c>
      <c r="T1738" s="7">
        <v>10.0</v>
      </c>
      <c r="U1738" s="7" t="s">
        <v>1367</v>
      </c>
      <c r="V1738" s="7" t="str">
        <f>VLOOKUP(U1738,Jogadores!B:C,2,0)</f>
        <v>FW</v>
      </c>
      <c r="W1738" s="8">
        <f>VLOOKUP(U1738,Jogadores!B:D,3,0)</f>
        <v>28.22191781</v>
      </c>
      <c r="X1738" s="7">
        <v>70.0</v>
      </c>
      <c r="Y1738" s="7">
        <f t="shared" si="5446"/>
        <v>96</v>
      </c>
      <c r="Z1738" s="7">
        <f>VLOOKUP(A1738,Jogos!A:L,3,0)</f>
        <v>48</v>
      </c>
      <c r="AA1738" s="7">
        <f t="shared" si="4815"/>
        <v>0</v>
      </c>
      <c r="AB1738" s="7">
        <f>VLOOKUP(A1738,Jogos!A:L,4,0)</f>
        <v>51</v>
      </c>
      <c r="AC1738" s="7">
        <f t="shared" si="5062"/>
        <v>26</v>
      </c>
      <c r="AD1738" s="7"/>
      <c r="AE1738" s="7"/>
      <c r="AF1738" s="7">
        <f t="shared" si="4566"/>
        <v>26</v>
      </c>
      <c r="AG1738" s="7">
        <v>3175.6</v>
      </c>
      <c r="AH1738" s="7">
        <v>1214.4</v>
      </c>
      <c r="AI1738" s="7">
        <v>834.7</v>
      </c>
      <c r="AJ1738" s="7">
        <v>621.5</v>
      </c>
      <c r="AK1738" s="7">
        <v>335.7</v>
      </c>
      <c r="AL1738" s="7">
        <v>169.4</v>
      </c>
      <c r="AM1738" s="7">
        <v>46.0</v>
      </c>
      <c r="AN1738" s="7">
        <v>27.0</v>
      </c>
      <c r="AO1738" s="7">
        <v>31.4</v>
      </c>
      <c r="AP1738" s="9">
        <f t="shared" ref="AP1738:AR1738" si="5450">AG1738/$AF1738</f>
        <v>122.1384615</v>
      </c>
      <c r="AQ1738" s="9">
        <f t="shared" si="5450"/>
        <v>46.70769231</v>
      </c>
      <c r="AR1738" s="9">
        <f t="shared" si="5450"/>
        <v>32.10384615</v>
      </c>
      <c r="AS1738" s="9">
        <f t="shared" si="4568"/>
        <v>78.81153846</v>
      </c>
      <c r="AT1738" s="9">
        <f t="shared" ref="AT1738:AV1738" si="5451">AJ1738/$AF1738</f>
        <v>23.90384615</v>
      </c>
      <c r="AU1738" s="9">
        <f t="shared" si="5451"/>
        <v>12.91153846</v>
      </c>
      <c r="AV1738" s="9">
        <f t="shared" si="5451"/>
        <v>6.515384615</v>
      </c>
      <c r="AW1738" s="9">
        <f t="shared" si="4570"/>
        <v>19.42692308</v>
      </c>
      <c r="AX1738" s="9">
        <f t="shared" ref="AX1738:AY1738" si="5452">AM1738/$AF1738</f>
        <v>1.769230769</v>
      </c>
      <c r="AY1738" s="9">
        <f t="shared" si="5452"/>
        <v>1.038461538</v>
      </c>
      <c r="AZ1738" s="9">
        <f>VLOOKUP(A1738,Jogos!A:BN,58,0)</f>
        <v>31.785</v>
      </c>
      <c r="BA1738" s="9">
        <f>VLOOKUP(A1738,Jogos!A:BN,59,0)</f>
        <v>16.98</v>
      </c>
      <c r="BB1738" s="9">
        <f>VLOOKUP(A1738,Jogos!A:BN,60,0)</f>
        <v>41</v>
      </c>
      <c r="BC1738" s="9">
        <f>VLOOKUP(A1738,Jogos!A:BN,61,0)</f>
        <v>33.415</v>
      </c>
      <c r="BD1738" s="9">
        <f>VLOOKUP(A1738,Jogos!A:BN,62,0)</f>
        <v>946.7</v>
      </c>
      <c r="BE1738" s="9">
        <f>VLOOKUP(A1738,Jogos!A:BN,63,0)</f>
        <v>2.54</v>
      </c>
      <c r="BF1738" s="9">
        <f>VLOOKUP(A1738,Jogos!A:BN,64,0)</f>
        <v>23.55</v>
      </c>
      <c r="BG1738" s="9">
        <f>VLOOKUP(A1738,Jogos!A:BN,65,0)</f>
        <v>44.525</v>
      </c>
      <c r="BH1738" s="9">
        <f>VLOOKUP(A1738,Jogos!A:BN,66,0)</f>
        <v>28.565</v>
      </c>
      <c r="BI1738" s="9"/>
      <c r="BJ1738" s="9"/>
    </row>
    <row r="1739" hidden="1">
      <c r="A1739" s="2">
        <v>59.0</v>
      </c>
      <c r="B1739" s="2" t="s">
        <v>1380</v>
      </c>
      <c r="C1739" s="2" t="s">
        <v>1351</v>
      </c>
      <c r="D1739" s="3">
        <v>45843.0</v>
      </c>
      <c r="E1739" s="4">
        <v>0.5</v>
      </c>
      <c r="F1739" s="5" t="str">
        <f>VLOOKUP(A1739,Jogos!A:N,10,0)</f>
        <v>Afternoon</v>
      </c>
      <c r="G1739" s="2" t="s">
        <v>376</v>
      </c>
      <c r="H1739" s="6" t="str">
        <f>VLOOKUP(A1739,Jogos!A:L,12,0)</f>
        <v>Closed</v>
      </c>
      <c r="I1739" s="6" t="str">
        <f>VLOOKUP(G1739,'Estádios e Cidades'!A:B,2,0)</f>
        <v>Atlanta</v>
      </c>
      <c r="J1739" s="2" t="s">
        <v>187</v>
      </c>
      <c r="K1739" s="2" t="str">
        <f>VLOOKUP(J1739,Equipes!A:F,6,0)</f>
        <v>Temperate</v>
      </c>
      <c r="L1739" s="2">
        <f>VLOOKUP(J1739,Equipes!A:C,3,0)</f>
        <v>2</v>
      </c>
      <c r="M1739" s="2" t="str">
        <f t="shared" si="4"/>
        <v>Final</v>
      </c>
      <c r="N1739" s="2" t="s">
        <v>123</v>
      </c>
      <c r="O1739" s="2">
        <f>VLOOKUP(N1739,Equipes!A:C,3,0)</f>
        <v>6</v>
      </c>
      <c r="P1739" s="2" t="str">
        <f t="shared" si="5"/>
        <v>Quarter-final</v>
      </c>
      <c r="Q1739" s="2">
        <f t="shared" si="6"/>
        <v>-4</v>
      </c>
      <c r="R1739" s="2" t="str">
        <f>VLOOKUP(J1739,Equipes!A:B,2,0)</f>
        <v>PSG</v>
      </c>
      <c r="S1739" s="6" t="s">
        <v>211</v>
      </c>
      <c r="T1739" s="7">
        <v>21.0</v>
      </c>
      <c r="U1739" s="7" t="s">
        <v>212</v>
      </c>
      <c r="V1739" s="7" t="str">
        <f>VLOOKUP(U1739,Jogadores!B:C,2,0)</f>
        <v>DF</v>
      </c>
      <c r="W1739" s="8">
        <f>VLOOKUP(U1739,Jogadores!B:D,3,0)</f>
        <v>29.47123288</v>
      </c>
      <c r="X1739" s="7">
        <v>80.0</v>
      </c>
      <c r="Y1739" s="7">
        <v>92.0</v>
      </c>
      <c r="Z1739" s="7">
        <f>VLOOKUP(A1739,Jogos!A:L,3,0)</f>
        <v>48</v>
      </c>
      <c r="AA1739" s="7">
        <f t="shared" si="4815"/>
        <v>0</v>
      </c>
      <c r="AB1739" s="7">
        <f>VLOOKUP(A1739,Jogos!A:L,4,0)</f>
        <v>51</v>
      </c>
      <c r="AC1739" s="7">
        <f t="shared" si="5062"/>
        <v>12</v>
      </c>
      <c r="AD1739" s="7"/>
      <c r="AE1739" s="7"/>
      <c r="AF1739" s="7">
        <f t="shared" si="4566"/>
        <v>12</v>
      </c>
      <c r="AG1739" s="7">
        <v>1346.7</v>
      </c>
      <c r="AH1739" s="7">
        <v>495.3</v>
      </c>
      <c r="AI1739" s="7">
        <v>530.6</v>
      </c>
      <c r="AJ1739" s="7">
        <v>221.2</v>
      </c>
      <c r="AK1739" s="7">
        <v>70.4</v>
      </c>
      <c r="AL1739" s="7">
        <v>29.2</v>
      </c>
      <c r="AM1739" s="7">
        <v>15.0</v>
      </c>
      <c r="AN1739" s="7">
        <v>7.0</v>
      </c>
      <c r="AO1739" s="7">
        <v>27.9</v>
      </c>
      <c r="AP1739" s="9">
        <f t="shared" ref="AP1739:AR1739" si="5453">AG1739/$AF1739</f>
        <v>112.225</v>
      </c>
      <c r="AQ1739" s="9">
        <f t="shared" si="5453"/>
        <v>41.275</v>
      </c>
      <c r="AR1739" s="9">
        <f t="shared" si="5453"/>
        <v>44.21666667</v>
      </c>
      <c r="AS1739" s="9">
        <f t="shared" si="4568"/>
        <v>85.49166667</v>
      </c>
      <c r="AT1739" s="9">
        <f t="shared" ref="AT1739:AV1739" si="5454">AJ1739/$AF1739</f>
        <v>18.43333333</v>
      </c>
      <c r="AU1739" s="9">
        <f t="shared" si="5454"/>
        <v>5.866666667</v>
      </c>
      <c r="AV1739" s="9">
        <f t="shared" si="5454"/>
        <v>2.433333333</v>
      </c>
      <c r="AW1739" s="9">
        <f t="shared" si="4570"/>
        <v>8.3</v>
      </c>
      <c r="AX1739" s="9">
        <f t="shared" ref="AX1739:AY1739" si="5455">AM1739/$AF1739</f>
        <v>1.25</v>
      </c>
      <c r="AY1739" s="9">
        <f t="shared" si="5455"/>
        <v>0.5833333333</v>
      </c>
      <c r="AZ1739" s="9">
        <f>VLOOKUP(A1739,Jogos!A:BN,58,0)</f>
        <v>31.785</v>
      </c>
      <c r="BA1739" s="9">
        <f>VLOOKUP(A1739,Jogos!A:BN,59,0)</f>
        <v>16.98</v>
      </c>
      <c r="BB1739" s="9">
        <f>VLOOKUP(A1739,Jogos!A:BN,60,0)</f>
        <v>41</v>
      </c>
      <c r="BC1739" s="9">
        <f>VLOOKUP(A1739,Jogos!A:BN,61,0)</f>
        <v>33.415</v>
      </c>
      <c r="BD1739" s="9">
        <f>VLOOKUP(A1739,Jogos!A:BN,62,0)</f>
        <v>946.7</v>
      </c>
      <c r="BE1739" s="9">
        <f>VLOOKUP(A1739,Jogos!A:BN,63,0)</f>
        <v>2.54</v>
      </c>
      <c r="BF1739" s="9">
        <f>VLOOKUP(A1739,Jogos!A:BN,64,0)</f>
        <v>23.55</v>
      </c>
      <c r="BG1739" s="9">
        <f>VLOOKUP(A1739,Jogos!A:BN,65,0)</f>
        <v>44.525</v>
      </c>
      <c r="BH1739" s="9">
        <f>VLOOKUP(A1739,Jogos!A:BN,66,0)</f>
        <v>28.565</v>
      </c>
      <c r="BI1739" s="9"/>
      <c r="BJ1739" s="9"/>
    </row>
    <row r="1740" hidden="1">
      <c r="A1740" s="2">
        <v>59.0</v>
      </c>
      <c r="B1740" s="2" t="s">
        <v>1380</v>
      </c>
      <c r="C1740" s="2" t="s">
        <v>1351</v>
      </c>
      <c r="D1740" s="3">
        <v>45843.0</v>
      </c>
      <c r="E1740" s="4">
        <v>0.5</v>
      </c>
      <c r="F1740" s="5" t="str">
        <f>VLOOKUP(A1740,Jogos!A:N,10,0)</f>
        <v>Afternoon</v>
      </c>
      <c r="G1740" s="2" t="s">
        <v>376</v>
      </c>
      <c r="H1740" s="6" t="str">
        <f>VLOOKUP(A1740,Jogos!A:L,12,0)</f>
        <v>Closed</v>
      </c>
      <c r="I1740" s="6" t="str">
        <f>VLOOKUP(G1740,'Estádios e Cidades'!A:B,2,0)</f>
        <v>Atlanta</v>
      </c>
      <c r="J1740" s="2" t="s">
        <v>187</v>
      </c>
      <c r="K1740" s="2" t="str">
        <f>VLOOKUP(J1740,Equipes!A:F,6,0)</f>
        <v>Temperate</v>
      </c>
      <c r="L1740" s="2">
        <f>VLOOKUP(J1740,Equipes!A:C,3,0)</f>
        <v>2</v>
      </c>
      <c r="M1740" s="2" t="str">
        <f t="shared" si="4"/>
        <v>Final</v>
      </c>
      <c r="N1740" s="2" t="s">
        <v>123</v>
      </c>
      <c r="O1740" s="2">
        <f>VLOOKUP(N1740,Equipes!A:C,3,0)</f>
        <v>6</v>
      </c>
      <c r="P1740" s="2" t="str">
        <f t="shared" si="5"/>
        <v>Quarter-final</v>
      </c>
      <c r="Q1740" s="2">
        <f t="shared" si="6"/>
        <v>-4</v>
      </c>
      <c r="R1740" s="2" t="str">
        <f>VLOOKUP(J1740,Equipes!A:B,2,0)</f>
        <v>PSG</v>
      </c>
      <c r="S1740" s="6" t="s">
        <v>215</v>
      </c>
      <c r="T1740" s="7">
        <v>33.0</v>
      </c>
      <c r="U1740" s="7" t="s">
        <v>216</v>
      </c>
      <c r="V1740" s="7" t="str">
        <f>VLOOKUP(U1740,Jogadores!B:C,2,0)</f>
        <v>MF</v>
      </c>
      <c r="W1740" s="8">
        <f>VLOOKUP(U1740,Jogadores!B:D,3,0)</f>
        <v>19.40273973</v>
      </c>
      <c r="X1740" s="7">
        <v>80.0</v>
      </c>
      <c r="Y1740" s="7">
        <f t="shared" ref="Y1740:Y1744" si="5459">45+AB1740</f>
        <v>96</v>
      </c>
      <c r="Z1740" s="7">
        <f>VLOOKUP(A1740,Jogos!A:L,3,0)</f>
        <v>48</v>
      </c>
      <c r="AA1740" s="7">
        <f t="shared" si="4815"/>
        <v>0</v>
      </c>
      <c r="AB1740" s="7">
        <f>VLOOKUP(A1740,Jogos!A:L,4,0)</f>
        <v>51</v>
      </c>
      <c r="AC1740" s="7">
        <f t="shared" si="5062"/>
        <v>16</v>
      </c>
      <c r="AD1740" s="7"/>
      <c r="AE1740" s="7"/>
      <c r="AF1740" s="7">
        <f t="shared" si="4566"/>
        <v>16</v>
      </c>
      <c r="AG1740" s="7">
        <v>2028.9</v>
      </c>
      <c r="AH1740" s="7">
        <v>694.9</v>
      </c>
      <c r="AI1740" s="7">
        <v>683.2</v>
      </c>
      <c r="AJ1740" s="7">
        <v>400.8</v>
      </c>
      <c r="AK1740" s="7">
        <v>168.2</v>
      </c>
      <c r="AL1740" s="7">
        <v>81.9</v>
      </c>
      <c r="AM1740" s="7">
        <v>37.0</v>
      </c>
      <c r="AN1740" s="7">
        <v>12.0</v>
      </c>
      <c r="AO1740" s="7">
        <v>32.5</v>
      </c>
      <c r="AP1740" s="9">
        <f t="shared" ref="AP1740:AR1740" si="5456">AG1740/$AF1740</f>
        <v>126.80625</v>
      </c>
      <c r="AQ1740" s="9">
        <f t="shared" si="5456"/>
        <v>43.43125</v>
      </c>
      <c r="AR1740" s="9">
        <f t="shared" si="5456"/>
        <v>42.7</v>
      </c>
      <c r="AS1740" s="9">
        <f t="shared" si="4568"/>
        <v>86.13125</v>
      </c>
      <c r="AT1740" s="9">
        <f t="shared" ref="AT1740:AV1740" si="5457">AJ1740/$AF1740</f>
        <v>25.05</v>
      </c>
      <c r="AU1740" s="9">
        <f t="shared" si="5457"/>
        <v>10.5125</v>
      </c>
      <c r="AV1740" s="9">
        <f t="shared" si="5457"/>
        <v>5.11875</v>
      </c>
      <c r="AW1740" s="9">
        <f t="shared" si="4570"/>
        <v>15.63125</v>
      </c>
      <c r="AX1740" s="9">
        <f t="shared" ref="AX1740:AY1740" si="5458">AM1740/$AF1740</f>
        <v>2.3125</v>
      </c>
      <c r="AY1740" s="9">
        <f t="shared" si="5458"/>
        <v>0.75</v>
      </c>
      <c r="AZ1740" s="9">
        <f>VLOOKUP(A1740,Jogos!A:BN,58,0)</f>
        <v>31.785</v>
      </c>
      <c r="BA1740" s="9">
        <f>VLOOKUP(A1740,Jogos!A:BN,59,0)</f>
        <v>16.98</v>
      </c>
      <c r="BB1740" s="9">
        <f>VLOOKUP(A1740,Jogos!A:BN,60,0)</f>
        <v>41</v>
      </c>
      <c r="BC1740" s="9">
        <f>VLOOKUP(A1740,Jogos!A:BN,61,0)</f>
        <v>33.415</v>
      </c>
      <c r="BD1740" s="9">
        <f>VLOOKUP(A1740,Jogos!A:BN,62,0)</f>
        <v>946.7</v>
      </c>
      <c r="BE1740" s="9">
        <f>VLOOKUP(A1740,Jogos!A:BN,63,0)</f>
        <v>2.54</v>
      </c>
      <c r="BF1740" s="9">
        <f>VLOOKUP(A1740,Jogos!A:BN,64,0)</f>
        <v>23.55</v>
      </c>
      <c r="BG1740" s="9">
        <f>VLOOKUP(A1740,Jogos!A:BN,65,0)</f>
        <v>44.525</v>
      </c>
      <c r="BH1740" s="9">
        <f>VLOOKUP(A1740,Jogos!A:BN,66,0)</f>
        <v>28.565</v>
      </c>
      <c r="BI1740" s="9"/>
      <c r="BJ1740" s="9"/>
    </row>
    <row r="1741" hidden="1">
      <c r="A1741" s="2">
        <v>59.0</v>
      </c>
      <c r="B1741" s="2" t="s">
        <v>1380</v>
      </c>
      <c r="C1741" s="2" t="s">
        <v>1351</v>
      </c>
      <c r="D1741" s="3">
        <v>45843.0</v>
      </c>
      <c r="E1741" s="4">
        <v>0.5</v>
      </c>
      <c r="F1741" s="5" t="str">
        <f>VLOOKUP(A1741,Jogos!A:N,10,0)</f>
        <v>Afternoon</v>
      </c>
      <c r="G1741" s="2" t="s">
        <v>376</v>
      </c>
      <c r="H1741" s="6" t="str">
        <f>VLOOKUP(A1741,Jogos!A:L,12,0)</f>
        <v>Closed</v>
      </c>
      <c r="I1741" s="6" t="str">
        <f>VLOOKUP(G1741,'Estádios e Cidades'!A:B,2,0)</f>
        <v>Atlanta</v>
      </c>
      <c r="J1741" s="2" t="s">
        <v>123</v>
      </c>
      <c r="K1741" s="2" t="str">
        <f>VLOOKUP(J1741,Equipes!A:F,6,0)</f>
        <v>Temperate</v>
      </c>
      <c r="L1741" s="2">
        <f>VLOOKUP(J1741,Equipes!A:C,3,0)</f>
        <v>6</v>
      </c>
      <c r="M1741" s="2" t="str">
        <f t="shared" si="4"/>
        <v>Quarter-final</v>
      </c>
      <c r="N1741" s="2" t="s">
        <v>187</v>
      </c>
      <c r="O1741" s="2">
        <f>VLOOKUP(N1741,Equipes!A:C,3,0)</f>
        <v>2</v>
      </c>
      <c r="P1741" s="2" t="str">
        <f t="shared" si="5"/>
        <v>Final</v>
      </c>
      <c r="Q1741" s="2">
        <f t="shared" si="6"/>
        <v>4</v>
      </c>
      <c r="R1741" s="2" t="str">
        <f>VLOOKUP(J1741,Equipes!A:B,2,0)</f>
        <v>Bayern</v>
      </c>
      <c r="S1741" s="6" t="s">
        <v>145</v>
      </c>
      <c r="T1741" s="7">
        <v>2.0</v>
      </c>
      <c r="U1741" s="7" t="s">
        <v>146</v>
      </c>
      <c r="V1741" s="7" t="str">
        <f>VLOOKUP(U1741,Jogadores!B:C,2,0)</f>
        <v>DF</v>
      </c>
      <c r="W1741" s="8">
        <f>VLOOKUP(U1741,Jogadores!B:D,3,0)</f>
        <v>26.76986301</v>
      </c>
      <c r="X1741" s="7">
        <v>0.0</v>
      </c>
      <c r="Y1741" s="7">
        <f t="shared" si="5459"/>
        <v>96</v>
      </c>
      <c r="Z1741" s="7">
        <f>VLOOKUP(A1741,Jogos!A:L,3,0)</f>
        <v>48</v>
      </c>
      <c r="AA1741" s="7">
        <f t="shared" si="4815"/>
        <v>48</v>
      </c>
      <c r="AB1741" s="7">
        <f>VLOOKUP(A1741,Jogos!A:L,4,0)</f>
        <v>51</v>
      </c>
      <c r="AC1741" s="7">
        <f t="shared" si="5062"/>
        <v>51</v>
      </c>
      <c r="AD1741" s="7"/>
      <c r="AE1741" s="7"/>
      <c r="AF1741" s="7">
        <f t="shared" si="4566"/>
        <v>99</v>
      </c>
      <c r="AG1741" s="7">
        <v>11440.4</v>
      </c>
      <c r="AH1741" s="7">
        <v>4120.1</v>
      </c>
      <c r="AI1741" s="7">
        <v>4788.2</v>
      </c>
      <c r="AJ1741" s="7">
        <v>1493.5</v>
      </c>
      <c r="AK1741" s="7">
        <v>723.2</v>
      </c>
      <c r="AL1741" s="7">
        <v>315.5</v>
      </c>
      <c r="AM1741" s="7">
        <v>137.0</v>
      </c>
      <c r="AN1741" s="7">
        <v>54.0</v>
      </c>
      <c r="AO1741" s="7">
        <v>32.3</v>
      </c>
      <c r="AP1741" s="9">
        <f t="shared" ref="AP1741:AR1741" si="5460">AG1741/$AF1741</f>
        <v>115.559596</v>
      </c>
      <c r="AQ1741" s="9">
        <f t="shared" si="5460"/>
        <v>41.61717172</v>
      </c>
      <c r="AR1741" s="9">
        <f t="shared" si="5460"/>
        <v>48.36565657</v>
      </c>
      <c r="AS1741" s="9">
        <f t="shared" si="4568"/>
        <v>89.98282828</v>
      </c>
      <c r="AT1741" s="9">
        <f t="shared" ref="AT1741:AV1741" si="5461">AJ1741/$AF1741</f>
        <v>15.08585859</v>
      </c>
      <c r="AU1741" s="9">
        <f t="shared" si="5461"/>
        <v>7.305050505</v>
      </c>
      <c r="AV1741" s="9">
        <f t="shared" si="5461"/>
        <v>3.186868687</v>
      </c>
      <c r="AW1741" s="9">
        <f t="shared" si="4570"/>
        <v>10.49191919</v>
      </c>
      <c r="AX1741" s="9">
        <f t="shared" ref="AX1741:AY1741" si="5462">AM1741/$AF1741</f>
        <v>1.383838384</v>
      </c>
      <c r="AY1741" s="9">
        <f t="shared" si="5462"/>
        <v>0.5454545455</v>
      </c>
      <c r="AZ1741" s="9">
        <f>VLOOKUP(A1741,Jogos!A:BN,58,0)</f>
        <v>31.785</v>
      </c>
      <c r="BA1741" s="9">
        <f>VLOOKUP(A1741,Jogos!A:BN,59,0)</f>
        <v>16.98</v>
      </c>
      <c r="BB1741" s="9">
        <f>VLOOKUP(A1741,Jogos!A:BN,60,0)</f>
        <v>41</v>
      </c>
      <c r="BC1741" s="9">
        <f>VLOOKUP(A1741,Jogos!A:BN,61,0)</f>
        <v>33.415</v>
      </c>
      <c r="BD1741" s="9">
        <f>VLOOKUP(A1741,Jogos!A:BN,62,0)</f>
        <v>946.7</v>
      </c>
      <c r="BE1741" s="9">
        <f>VLOOKUP(A1741,Jogos!A:BN,63,0)</f>
        <v>2.54</v>
      </c>
      <c r="BF1741" s="9">
        <f>VLOOKUP(A1741,Jogos!A:BN,64,0)</f>
        <v>23.55</v>
      </c>
      <c r="BG1741" s="9">
        <f>VLOOKUP(A1741,Jogos!A:BN,65,0)</f>
        <v>44.525</v>
      </c>
      <c r="BH1741" s="9">
        <f>VLOOKUP(A1741,Jogos!A:BN,66,0)</f>
        <v>28.565</v>
      </c>
      <c r="BI1741" s="9"/>
      <c r="BJ1741" s="9"/>
    </row>
    <row r="1742" hidden="1">
      <c r="A1742" s="2">
        <v>59.0</v>
      </c>
      <c r="B1742" s="2" t="s">
        <v>1380</v>
      </c>
      <c r="C1742" s="2" t="s">
        <v>1351</v>
      </c>
      <c r="D1742" s="3">
        <v>45843.0</v>
      </c>
      <c r="E1742" s="4">
        <v>0.5</v>
      </c>
      <c r="F1742" s="5" t="str">
        <f>VLOOKUP(A1742,Jogos!A:N,10,0)</f>
        <v>Afternoon</v>
      </c>
      <c r="G1742" s="2" t="s">
        <v>376</v>
      </c>
      <c r="H1742" s="6" t="str">
        <f>VLOOKUP(A1742,Jogos!A:L,12,0)</f>
        <v>Closed</v>
      </c>
      <c r="I1742" s="6" t="str">
        <f>VLOOKUP(G1742,'Estádios e Cidades'!A:B,2,0)</f>
        <v>Atlanta</v>
      </c>
      <c r="J1742" s="2" t="s">
        <v>123</v>
      </c>
      <c r="K1742" s="2" t="str">
        <f>VLOOKUP(J1742,Equipes!A:F,6,0)</f>
        <v>Temperate</v>
      </c>
      <c r="L1742" s="2">
        <f>VLOOKUP(J1742,Equipes!A:C,3,0)</f>
        <v>6</v>
      </c>
      <c r="M1742" s="2" t="str">
        <f t="shared" si="4"/>
        <v>Quarter-final</v>
      </c>
      <c r="N1742" s="2" t="s">
        <v>187</v>
      </c>
      <c r="O1742" s="2">
        <f>VLOOKUP(N1742,Equipes!A:C,3,0)</f>
        <v>2</v>
      </c>
      <c r="P1742" s="2" t="str">
        <f t="shared" si="5"/>
        <v>Final</v>
      </c>
      <c r="Q1742" s="2">
        <f t="shared" si="6"/>
        <v>4</v>
      </c>
      <c r="R1742" s="2" t="str">
        <f>VLOOKUP(J1742,Equipes!A:B,2,0)</f>
        <v>Bayern</v>
      </c>
      <c r="S1742" s="6" t="s">
        <v>125</v>
      </c>
      <c r="T1742" s="7">
        <v>4.0</v>
      </c>
      <c r="U1742" s="7" t="s">
        <v>126</v>
      </c>
      <c r="V1742" s="7" t="str">
        <f>VLOOKUP(U1742,Jogadores!B:C,2,0)</f>
        <v>DF</v>
      </c>
      <c r="W1742" s="8">
        <f>VLOOKUP(U1742,Jogadores!B:D,3,0)</f>
        <v>29.47945205</v>
      </c>
      <c r="X1742" s="7">
        <v>0.0</v>
      </c>
      <c r="Y1742" s="7">
        <f t="shared" si="5459"/>
        <v>96</v>
      </c>
      <c r="Z1742" s="7">
        <f>VLOOKUP(A1742,Jogos!A:L,3,0)</f>
        <v>48</v>
      </c>
      <c r="AA1742" s="7">
        <f t="shared" si="4815"/>
        <v>48</v>
      </c>
      <c r="AB1742" s="7">
        <f>VLOOKUP(A1742,Jogos!A:L,4,0)</f>
        <v>51</v>
      </c>
      <c r="AC1742" s="7">
        <f t="shared" si="5062"/>
        <v>51</v>
      </c>
      <c r="AD1742" s="7"/>
      <c r="AE1742" s="7"/>
      <c r="AF1742" s="7">
        <f t="shared" si="4566"/>
        <v>99</v>
      </c>
      <c r="AG1742" s="7">
        <v>11112.7</v>
      </c>
      <c r="AH1742" s="7">
        <v>3547.4</v>
      </c>
      <c r="AI1742" s="7">
        <v>4859.2</v>
      </c>
      <c r="AJ1742" s="7">
        <v>1783.2</v>
      </c>
      <c r="AK1742" s="7">
        <v>697.4</v>
      </c>
      <c r="AL1742" s="7">
        <v>225.5</v>
      </c>
      <c r="AM1742" s="7">
        <v>159.0</v>
      </c>
      <c r="AN1742" s="7">
        <v>49.0</v>
      </c>
      <c r="AO1742" s="7">
        <v>32.6</v>
      </c>
      <c r="AP1742" s="9">
        <f t="shared" ref="AP1742:AR1742" si="5463">AG1742/$AF1742</f>
        <v>112.2494949</v>
      </c>
      <c r="AQ1742" s="9">
        <f t="shared" si="5463"/>
        <v>35.83232323</v>
      </c>
      <c r="AR1742" s="9">
        <f t="shared" si="5463"/>
        <v>49.08282828</v>
      </c>
      <c r="AS1742" s="9">
        <f t="shared" si="4568"/>
        <v>84.91515152</v>
      </c>
      <c r="AT1742" s="9">
        <f t="shared" ref="AT1742:AV1742" si="5464">AJ1742/$AF1742</f>
        <v>18.01212121</v>
      </c>
      <c r="AU1742" s="9">
        <f t="shared" si="5464"/>
        <v>7.044444444</v>
      </c>
      <c r="AV1742" s="9">
        <f t="shared" si="5464"/>
        <v>2.277777778</v>
      </c>
      <c r="AW1742" s="9">
        <f t="shared" si="4570"/>
        <v>9.322222222</v>
      </c>
      <c r="AX1742" s="9">
        <f t="shared" ref="AX1742:AY1742" si="5465">AM1742/$AF1742</f>
        <v>1.606060606</v>
      </c>
      <c r="AY1742" s="9">
        <f t="shared" si="5465"/>
        <v>0.4949494949</v>
      </c>
      <c r="AZ1742" s="9">
        <f>VLOOKUP(A1742,Jogos!A:BN,58,0)</f>
        <v>31.785</v>
      </c>
      <c r="BA1742" s="9">
        <f>VLOOKUP(A1742,Jogos!A:BN,59,0)</f>
        <v>16.98</v>
      </c>
      <c r="BB1742" s="9">
        <f>VLOOKUP(A1742,Jogos!A:BN,60,0)</f>
        <v>41</v>
      </c>
      <c r="BC1742" s="9">
        <f>VLOOKUP(A1742,Jogos!A:BN,61,0)</f>
        <v>33.415</v>
      </c>
      <c r="BD1742" s="9">
        <f>VLOOKUP(A1742,Jogos!A:BN,62,0)</f>
        <v>946.7</v>
      </c>
      <c r="BE1742" s="9">
        <f>VLOOKUP(A1742,Jogos!A:BN,63,0)</f>
        <v>2.54</v>
      </c>
      <c r="BF1742" s="9">
        <f>VLOOKUP(A1742,Jogos!A:BN,64,0)</f>
        <v>23.55</v>
      </c>
      <c r="BG1742" s="9">
        <f>VLOOKUP(A1742,Jogos!A:BN,65,0)</f>
        <v>44.525</v>
      </c>
      <c r="BH1742" s="9">
        <f>VLOOKUP(A1742,Jogos!A:BN,66,0)</f>
        <v>28.565</v>
      </c>
      <c r="BI1742" s="9"/>
      <c r="BJ1742" s="9"/>
    </row>
    <row r="1743" hidden="1">
      <c r="A1743" s="2">
        <v>59.0</v>
      </c>
      <c r="B1743" s="2" t="s">
        <v>1380</v>
      </c>
      <c r="C1743" s="2" t="s">
        <v>1351</v>
      </c>
      <c r="D1743" s="3">
        <v>45843.0</v>
      </c>
      <c r="E1743" s="4">
        <v>0.5</v>
      </c>
      <c r="F1743" s="5" t="str">
        <f>VLOOKUP(A1743,Jogos!A:N,10,0)</f>
        <v>Afternoon</v>
      </c>
      <c r="G1743" s="2" t="s">
        <v>376</v>
      </c>
      <c r="H1743" s="6" t="str">
        <f>VLOOKUP(A1743,Jogos!A:L,12,0)</f>
        <v>Closed</v>
      </c>
      <c r="I1743" s="6" t="str">
        <f>VLOOKUP(G1743,'Estádios e Cidades'!A:B,2,0)</f>
        <v>Atlanta</v>
      </c>
      <c r="J1743" s="2" t="s">
        <v>123</v>
      </c>
      <c r="K1743" s="2" t="str">
        <f>VLOOKUP(J1743,Equipes!A:F,6,0)</f>
        <v>Temperate</v>
      </c>
      <c r="L1743" s="2">
        <f>VLOOKUP(J1743,Equipes!A:C,3,0)</f>
        <v>6</v>
      </c>
      <c r="M1743" s="2" t="str">
        <f t="shared" si="4"/>
        <v>Quarter-final</v>
      </c>
      <c r="N1743" s="2" t="s">
        <v>187</v>
      </c>
      <c r="O1743" s="2">
        <f>VLOOKUP(N1743,Equipes!A:C,3,0)</f>
        <v>2</v>
      </c>
      <c r="P1743" s="2" t="str">
        <f t="shared" si="5"/>
        <v>Final</v>
      </c>
      <c r="Q1743" s="2">
        <f t="shared" si="6"/>
        <v>4</v>
      </c>
      <c r="R1743" s="2" t="str">
        <f>VLOOKUP(J1743,Equipes!A:B,2,0)</f>
        <v>Bayern</v>
      </c>
      <c r="S1743" s="6" t="s">
        <v>127</v>
      </c>
      <c r="T1743" s="7">
        <v>6.0</v>
      </c>
      <c r="U1743" s="7" t="s">
        <v>128</v>
      </c>
      <c r="V1743" s="7" t="str">
        <f>VLOOKUP(U1743,Jogadores!B:C,2,0)</f>
        <v>MF</v>
      </c>
      <c r="W1743" s="8">
        <f>VLOOKUP(U1743,Jogadores!B:D,3,0)</f>
        <v>30.48767123</v>
      </c>
      <c r="X1743" s="7">
        <v>0.0</v>
      </c>
      <c r="Y1743" s="7">
        <f t="shared" si="5459"/>
        <v>96</v>
      </c>
      <c r="Z1743" s="7">
        <f>VLOOKUP(A1743,Jogos!A:L,3,0)</f>
        <v>48</v>
      </c>
      <c r="AA1743" s="7">
        <f t="shared" si="4815"/>
        <v>48</v>
      </c>
      <c r="AB1743" s="7">
        <f>VLOOKUP(A1743,Jogos!A:L,4,0)</f>
        <v>51</v>
      </c>
      <c r="AC1743" s="7">
        <f t="shared" si="5062"/>
        <v>51</v>
      </c>
      <c r="AD1743" s="7"/>
      <c r="AE1743" s="7"/>
      <c r="AF1743" s="7">
        <f t="shared" si="4566"/>
        <v>99</v>
      </c>
      <c r="AG1743" s="7">
        <v>11973.2</v>
      </c>
      <c r="AH1743" s="7">
        <v>3363.0</v>
      </c>
      <c r="AI1743" s="7">
        <v>5222.5</v>
      </c>
      <c r="AJ1743" s="7">
        <v>2305.0</v>
      </c>
      <c r="AK1743" s="7">
        <v>790.6</v>
      </c>
      <c r="AL1743" s="7">
        <v>292.1</v>
      </c>
      <c r="AM1743" s="7">
        <v>195.0</v>
      </c>
      <c r="AN1743" s="7">
        <v>61.0</v>
      </c>
      <c r="AO1743" s="7">
        <v>30.0</v>
      </c>
      <c r="AP1743" s="9">
        <f t="shared" ref="AP1743:AR1743" si="5466">AG1743/$AF1743</f>
        <v>120.9414141</v>
      </c>
      <c r="AQ1743" s="9">
        <f t="shared" si="5466"/>
        <v>33.96969697</v>
      </c>
      <c r="AR1743" s="9">
        <f t="shared" si="5466"/>
        <v>52.75252525</v>
      </c>
      <c r="AS1743" s="9">
        <f t="shared" si="4568"/>
        <v>86.72222222</v>
      </c>
      <c r="AT1743" s="9">
        <f t="shared" ref="AT1743:AV1743" si="5467">AJ1743/$AF1743</f>
        <v>23.28282828</v>
      </c>
      <c r="AU1743" s="9">
        <f t="shared" si="5467"/>
        <v>7.985858586</v>
      </c>
      <c r="AV1743" s="9">
        <f t="shared" si="5467"/>
        <v>2.950505051</v>
      </c>
      <c r="AW1743" s="9">
        <f t="shared" si="4570"/>
        <v>10.93636364</v>
      </c>
      <c r="AX1743" s="9">
        <f t="shared" ref="AX1743:AY1743" si="5468">AM1743/$AF1743</f>
        <v>1.96969697</v>
      </c>
      <c r="AY1743" s="9">
        <f t="shared" si="5468"/>
        <v>0.6161616162</v>
      </c>
      <c r="AZ1743" s="9">
        <f>VLOOKUP(A1743,Jogos!A:BN,58,0)</f>
        <v>31.785</v>
      </c>
      <c r="BA1743" s="9">
        <f>VLOOKUP(A1743,Jogos!A:BN,59,0)</f>
        <v>16.98</v>
      </c>
      <c r="BB1743" s="9">
        <f>VLOOKUP(A1743,Jogos!A:BN,60,0)</f>
        <v>41</v>
      </c>
      <c r="BC1743" s="9">
        <f>VLOOKUP(A1743,Jogos!A:BN,61,0)</f>
        <v>33.415</v>
      </c>
      <c r="BD1743" s="9">
        <f>VLOOKUP(A1743,Jogos!A:BN,62,0)</f>
        <v>946.7</v>
      </c>
      <c r="BE1743" s="9">
        <f>VLOOKUP(A1743,Jogos!A:BN,63,0)</f>
        <v>2.54</v>
      </c>
      <c r="BF1743" s="9">
        <f>VLOOKUP(A1743,Jogos!A:BN,64,0)</f>
        <v>23.55</v>
      </c>
      <c r="BG1743" s="9">
        <f>VLOOKUP(A1743,Jogos!A:BN,65,0)</f>
        <v>44.525</v>
      </c>
      <c r="BH1743" s="9">
        <f>VLOOKUP(A1743,Jogos!A:BN,66,0)</f>
        <v>28.565</v>
      </c>
      <c r="BI1743" s="9"/>
      <c r="BJ1743" s="9"/>
    </row>
    <row r="1744" hidden="1">
      <c r="A1744" s="2">
        <v>59.0</v>
      </c>
      <c r="B1744" s="2" t="s">
        <v>1380</v>
      </c>
      <c r="C1744" s="2" t="s">
        <v>1351</v>
      </c>
      <c r="D1744" s="3">
        <v>45843.0</v>
      </c>
      <c r="E1744" s="4">
        <v>0.5</v>
      </c>
      <c r="F1744" s="5" t="str">
        <f>VLOOKUP(A1744,Jogos!A:N,10,0)</f>
        <v>Afternoon</v>
      </c>
      <c r="G1744" s="2" t="s">
        <v>376</v>
      </c>
      <c r="H1744" s="6" t="str">
        <f>VLOOKUP(A1744,Jogos!A:L,12,0)</f>
        <v>Closed</v>
      </c>
      <c r="I1744" s="6" t="str">
        <f>VLOOKUP(G1744,'Estádios e Cidades'!A:B,2,0)</f>
        <v>Atlanta</v>
      </c>
      <c r="J1744" s="2" t="s">
        <v>123</v>
      </c>
      <c r="K1744" s="2" t="str">
        <f>VLOOKUP(J1744,Equipes!A:F,6,0)</f>
        <v>Temperate</v>
      </c>
      <c r="L1744" s="2">
        <f>VLOOKUP(J1744,Equipes!A:C,3,0)</f>
        <v>6</v>
      </c>
      <c r="M1744" s="2" t="str">
        <f t="shared" si="4"/>
        <v>Quarter-final</v>
      </c>
      <c r="N1744" s="2" t="s">
        <v>187</v>
      </c>
      <c r="O1744" s="2">
        <f>VLOOKUP(N1744,Equipes!A:C,3,0)</f>
        <v>2</v>
      </c>
      <c r="P1744" s="2" t="str">
        <f t="shared" si="5"/>
        <v>Final</v>
      </c>
      <c r="Q1744" s="2">
        <f t="shared" si="6"/>
        <v>4</v>
      </c>
      <c r="R1744" s="2" t="str">
        <f>VLOOKUP(J1744,Equipes!A:B,2,0)</f>
        <v>Bayern</v>
      </c>
      <c r="S1744" s="6" t="s">
        <v>129</v>
      </c>
      <c r="T1744" s="7">
        <v>9.0</v>
      </c>
      <c r="U1744" s="7" t="s">
        <v>130</v>
      </c>
      <c r="V1744" s="7" t="str">
        <f>VLOOKUP(U1744,Jogadores!B:C,2,0)</f>
        <v>FW</v>
      </c>
      <c r="W1744" s="8">
        <f>VLOOKUP(U1744,Jogadores!B:D,3,0)</f>
        <v>32.02191781</v>
      </c>
      <c r="X1744" s="7">
        <v>0.0</v>
      </c>
      <c r="Y1744" s="7">
        <f t="shared" si="5459"/>
        <v>96</v>
      </c>
      <c r="Z1744" s="7">
        <f>VLOOKUP(A1744,Jogos!A:L,3,0)</f>
        <v>48</v>
      </c>
      <c r="AA1744" s="7">
        <f t="shared" si="4815"/>
        <v>48</v>
      </c>
      <c r="AB1744" s="7">
        <f>VLOOKUP(A1744,Jogos!A:L,4,0)</f>
        <v>51</v>
      </c>
      <c r="AC1744" s="7">
        <f t="shared" si="5062"/>
        <v>51</v>
      </c>
      <c r="AD1744" s="7"/>
      <c r="AE1744" s="7"/>
      <c r="AF1744" s="7">
        <f t="shared" si="4566"/>
        <v>99</v>
      </c>
      <c r="AG1744" s="7">
        <v>11183.9</v>
      </c>
      <c r="AH1744" s="7">
        <v>4214.1</v>
      </c>
      <c r="AI1744" s="7">
        <v>4536.5</v>
      </c>
      <c r="AJ1744" s="7">
        <v>1664.7</v>
      </c>
      <c r="AK1744" s="7">
        <v>616.8</v>
      </c>
      <c r="AL1744" s="7">
        <v>151.7</v>
      </c>
      <c r="AM1744" s="7">
        <v>143.0</v>
      </c>
      <c r="AN1744" s="7">
        <v>38.0</v>
      </c>
      <c r="AO1744" s="7">
        <v>31.4</v>
      </c>
      <c r="AP1744" s="9">
        <f t="shared" ref="AP1744:AR1744" si="5469">AG1744/$AF1744</f>
        <v>112.9686869</v>
      </c>
      <c r="AQ1744" s="9">
        <f t="shared" si="5469"/>
        <v>42.56666667</v>
      </c>
      <c r="AR1744" s="9">
        <f t="shared" si="5469"/>
        <v>45.82323232</v>
      </c>
      <c r="AS1744" s="9">
        <f t="shared" si="4568"/>
        <v>88.38989899</v>
      </c>
      <c r="AT1744" s="9">
        <f t="shared" ref="AT1744:AV1744" si="5470">AJ1744/$AF1744</f>
        <v>16.81515152</v>
      </c>
      <c r="AU1744" s="9">
        <f t="shared" si="5470"/>
        <v>6.23030303</v>
      </c>
      <c r="AV1744" s="9">
        <f t="shared" si="5470"/>
        <v>1.532323232</v>
      </c>
      <c r="AW1744" s="9">
        <f t="shared" si="4570"/>
        <v>7.762626263</v>
      </c>
      <c r="AX1744" s="9">
        <f t="shared" ref="AX1744:AY1744" si="5471">AM1744/$AF1744</f>
        <v>1.444444444</v>
      </c>
      <c r="AY1744" s="9">
        <f t="shared" si="5471"/>
        <v>0.3838383838</v>
      </c>
      <c r="AZ1744" s="9">
        <f>VLOOKUP(A1744,Jogos!A:BN,58,0)</f>
        <v>31.785</v>
      </c>
      <c r="BA1744" s="9">
        <f>VLOOKUP(A1744,Jogos!A:BN,59,0)</f>
        <v>16.98</v>
      </c>
      <c r="BB1744" s="9">
        <f>VLOOKUP(A1744,Jogos!A:BN,60,0)</f>
        <v>41</v>
      </c>
      <c r="BC1744" s="9">
        <f>VLOOKUP(A1744,Jogos!A:BN,61,0)</f>
        <v>33.415</v>
      </c>
      <c r="BD1744" s="9">
        <f>VLOOKUP(A1744,Jogos!A:BN,62,0)</f>
        <v>946.7</v>
      </c>
      <c r="BE1744" s="9">
        <f>VLOOKUP(A1744,Jogos!A:BN,63,0)</f>
        <v>2.54</v>
      </c>
      <c r="BF1744" s="9">
        <f>VLOOKUP(A1744,Jogos!A:BN,64,0)</f>
        <v>23.55</v>
      </c>
      <c r="BG1744" s="9">
        <f>VLOOKUP(A1744,Jogos!A:BN,65,0)</f>
        <v>44.525</v>
      </c>
      <c r="BH1744" s="9">
        <f>VLOOKUP(A1744,Jogos!A:BN,66,0)</f>
        <v>28.565</v>
      </c>
      <c r="BI1744" s="9"/>
      <c r="BJ1744" s="9"/>
    </row>
    <row r="1745" hidden="1">
      <c r="A1745" s="2">
        <v>59.0</v>
      </c>
      <c r="B1745" s="2" t="s">
        <v>1380</v>
      </c>
      <c r="C1745" s="2" t="s">
        <v>1351</v>
      </c>
      <c r="D1745" s="3">
        <v>45843.0</v>
      </c>
      <c r="E1745" s="4">
        <v>0.5</v>
      </c>
      <c r="F1745" s="5" t="str">
        <f>VLOOKUP(A1745,Jogos!A:N,10,0)</f>
        <v>Afternoon</v>
      </c>
      <c r="G1745" s="2" t="s">
        <v>376</v>
      </c>
      <c r="H1745" s="6" t="str">
        <f>VLOOKUP(A1745,Jogos!A:L,12,0)</f>
        <v>Closed</v>
      </c>
      <c r="I1745" s="6" t="str">
        <f>VLOOKUP(G1745,'Estádios e Cidades'!A:B,2,0)</f>
        <v>Atlanta</v>
      </c>
      <c r="J1745" s="2" t="s">
        <v>123</v>
      </c>
      <c r="K1745" s="2" t="str">
        <f>VLOOKUP(J1745,Equipes!A:F,6,0)</f>
        <v>Temperate</v>
      </c>
      <c r="L1745" s="2">
        <f>VLOOKUP(J1745,Equipes!A:C,3,0)</f>
        <v>6</v>
      </c>
      <c r="M1745" s="2" t="str">
        <f t="shared" si="4"/>
        <v>Quarter-final</v>
      </c>
      <c r="N1745" s="2" t="s">
        <v>187</v>
      </c>
      <c r="O1745" s="2">
        <f>VLOOKUP(N1745,Equipes!A:C,3,0)</f>
        <v>2</v>
      </c>
      <c r="P1745" s="2" t="str">
        <f t="shared" si="5"/>
        <v>Final</v>
      </c>
      <c r="Q1745" s="2">
        <f t="shared" si="6"/>
        <v>4</v>
      </c>
      <c r="R1745" s="2" t="str">
        <f>VLOOKUP(J1745,Equipes!A:B,2,0)</f>
        <v>Bayern</v>
      </c>
      <c r="S1745" s="6" t="s">
        <v>131</v>
      </c>
      <c r="T1745" s="7">
        <v>11.0</v>
      </c>
      <c r="U1745" s="7" t="s">
        <v>132</v>
      </c>
      <c r="V1745" s="7" t="str">
        <f>VLOOKUP(U1745,Jogadores!B:C,2,0)</f>
        <v>FW</v>
      </c>
      <c r="W1745" s="8">
        <f>VLOOKUP(U1745,Jogadores!B:D,3,0)</f>
        <v>29.14246575</v>
      </c>
      <c r="X1745" s="7">
        <v>0.0</v>
      </c>
      <c r="Y1745" s="7">
        <v>80.0</v>
      </c>
      <c r="Z1745" s="7">
        <f>VLOOKUP(A1745,Jogos!A:L,3,0)</f>
        <v>48</v>
      </c>
      <c r="AA1745" s="7">
        <f t="shared" si="4815"/>
        <v>48</v>
      </c>
      <c r="AB1745" s="7">
        <f>VLOOKUP(A1745,Jogos!A:L,4,0)</f>
        <v>51</v>
      </c>
      <c r="AC1745" s="7">
        <f t="shared" si="5062"/>
        <v>35</v>
      </c>
      <c r="AD1745" s="7"/>
      <c r="AE1745" s="7"/>
      <c r="AF1745" s="7">
        <f t="shared" si="4566"/>
        <v>83</v>
      </c>
      <c r="AG1745" s="7">
        <v>9171.7</v>
      </c>
      <c r="AH1745" s="7">
        <v>3305.6</v>
      </c>
      <c r="AI1745" s="7">
        <v>3326.3</v>
      </c>
      <c r="AJ1745" s="7">
        <v>1408.1</v>
      </c>
      <c r="AK1745" s="7">
        <v>675.8</v>
      </c>
      <c r="AL1745" s="7">
        <v>455.8</v>
      </c>
      <c r="AM1745" s="7">
        <v>115.0</v>
      </c>
      <c r="AN1745" s="7">
        <v>60.0</v>
      </c>
      <c r="AO1745" s="7">
        <v>35.2</v>
      </c>
      <c r="AP1745" s="9">
        <f t="shared" ref="AP1745:AR1745" si="5472">AG1745/$AF1745</f>
        <v>110.5024096</v>
      </c>
      <c r="AQ1745" s="9">
        <f t="shared" si="5472"/>
        <v>39.82650602</v>
      </c>
      <c r="AR1745" s="9">
        <f t="shared" si="5472"/>
        <v>40.07590361</v>
      </c>
      <c r="AS1745" s="9">
        <f t="shared" si="4568"/>
        <v>79.90240964</v>
      </c>
      <c r="AT1745" s="9">
        <f t="shared" ref="AT1745:AV1745" si="5473">AJ1745/$AF1745</f>
        <v>16.96506024</v>
      </c>
      <c r="AU1745" s="9">
        <f t="shared" si="5473"/>
        <v>8.142168675</v>
      </c>
      <c r="AV1745" s="9">
        <f t="shared" si="5473"/>
        <v>5.491566265</v>
      </c>
      <c r="AW1745" s="9">
        <f t="shared" si="4570"/>
        <v>13.63373494</v>
      </c>
      <c r="AX1745" s="9">
        <f t="shared" ref="AX1745:AY1745" si="5474">AM1745/$AF1745</f>
        <v>1.385542169</v>
      </c>
      <c r="AY1745" s="9">
        <f t="shared" si="5474"/>
        <v>0.7228915663</v>
      </c>
      <c r="AZ1745" s="9">
        <f>VLOOKUP(A1745,Jogos!A:BN,58,0)</f>
        <v>31.785</v>
      </c>
      <c r="BA1745" s="9">
        <f>VLOOKUP(A1745,Jogos!A:BN,59,0)</f>
        <v>16.98</v>
      </c>
      <c r="BB1745" s="9">
        <f>VLOOKUP(A1745,Jogos!A:BN,60,0)</f>
        <v>41</v>
      </c>
      <c r="BC1745" s="9">
        <f>VLOOKUP(A1745,Jogos!A:BN,61,0)</f>
        <v>33.415</v>
      </c>
      <c r="BD1745" s="9">
        <f>VLOOKUP(A1745,Jogos!A:BN,62,0)</f>
        <v>946.7</v>
      </c>
      <c r="BE1745" s="9">
        <f>VLOOKUP(A1745,Jogos!A:BN,63,0)</f>
        <v>2.54</v>
      </c>
      <c r="BF1745" s="9">
        <f>VLOOKUP(A1745,Jogos!A:BN,64,0)</f>
        <v>23.55</v>
      </c>
      <c r="BG1745" s="9">
        <f>VLOOKUP(A1745,Jogos!A:BN,65,0)</f>
        <v>44.525</v>
      </c>
      <c r="BH1745" s="9">
        <f>VLOOKUP(A1745,Jogos!A:BN,66,0)</f>
        <v>28.565</v>
      </c>
      <c r="BI1745" s="9"/>
      <c r="BJ1745" s="9"/>
    </row>
    <row r="1746" hidden="1">
      <c r="A1746" s="2">
        <v>59.0</v>
      </c>
      <c r="B1746" s="2" t="s">
        <v>1380</v>
      </c>
      <c r="C1746" s="2" t="s">
        <v>1351</v>
      </c>
      <c r="D1746" s="3">
        <v>45843.0</v>
      </c>
      <c r="E1746" s="4">
        <v>0.5</v>
      </c>
      <c r="F1746" s="5" t="str">
        <f>VLOOKUP(A1746,Jogos!A:N,10,0)</f>
        <v>Afternoon</v>
      </c>
      <c r="G1746" s="2" t="s">
        <v>376</v>
      </c>
      <c r="H1746" s="6" t="str">
        <f>VLOOKUP(A1746,Jogos!A:L,12,0)</f>
        <v>Closed</v>
      </c>
      <c r="I1746" s="6" t="str">
        <f>VLOOKUP(G1746,'Estádios e Cidades'!A:B,2,0)</f>
        <v>Atlanta</v>
      </c>
      <c r="J1746" s="2" t="s">
        <v>123</v>
      </c>
      <c r="K1746" s="2" t="str">
        <f>VLOOKUP(J1746,Equipes!A:F,6,0)</f>
        <v>Temperate</v>
      </c>
      <c r="L1746" s="2">
        <f>VLOOKUP(J1746,Equipes!A:C,3,0)</f>
        <v>6</v>
      </c>
      <c r="M1746" s="2" t="str">
        <f t="shared" si="4"/>
        <v>Quarter-final</v>
      </c>
      <c r="N1746" s="2" t="s">
        <v>187</v>
      </c>
      <c r="O1746" s="2">
        <f>VLOOKUP(N1746,Equipes!A:C,3,0)</f>
        <v>2</v>
      </c>
      <c r="P1746" s="2" t="str">
        <f t="shared" si="5"/>
        <v>Final</v>
      </c>
      <c r="Q1746" s="2">
        <f t="shared" si="6"/>
        <v>4</v>
      </c>
      <c r="R1746" s="2" t="str">
        <f>VLOOKUP(J1746,Equipes!A:B,2,0)</f>
        <v>Bayern</v>
      </c>
      <c r="S1746" s="6" t="s">
        <v>133</v>
      </c>
      <c r="T1746" s="7">
        <v>17.0</v>
      </c>
      <c r="U1746" s="7" t="s">
        <v>134</v>
      </c>
      <c r="V1746" s="7" t="str">
        <f>VLOOKUP(U1746,Jogadores!B:C,2,0)</f>
        <v>FW</v>
      </c>
      <c r="W1746" s="8">
        <f>VLOOKUP(U1746,Jogadores!B:D,3,0)</f>
        <v>23.64109589</v>
      </c>
      <c r="X1746" s="7">
        <v>0.0</v>
      </c>
      <c r="Y1746" s="7">
        <f t="shared" ref="Y1746:Y1747" si="5478">45+AB1746</f>
        <v>96</v>
      </c>
      <c r="Z1746" s="7">
        <f>VLOOKUP(A1746,Jogos!A:L,3,0)</f>
        <v>48</v>
      </c>
      <c r="AA1746" s="7">
        <f t="shared" si="4815"/>
        <v>48</v>
      </c>
      <c r="AB1746" s="7">
        <f>VLOOKUP(A1746,Jogos!A:L,4,0)</f>
        <v>51</v>
      </c>
      <c r="AC1746" s="7">
        <f t="shared" si="5062"/>
        <v>51</v>
      </c>
      <c r="AD1746" s="7"/>
      <c r="AE1746" s="7"/>
      <c r="AF1746" s="7">
        <f t="shared" si="4566"/>
        <v>99</v>
      </c>
      <c r="AG1746" s="7">
        <v>11137.6</v>
      </c>
      <c r="AH1746" s="7">
        <v>3783.8</v>
      </c>
      <c r="AI1746" s="7">
        <v>4408.5</v>
      </c>
      <c r="AJ1746" s="7">
        <v>1715.7</v>
      </c>
      <c r="AK1746" s="7">
        <v>806.9</v>
      </c>
      <c r="AL1746" s="7">
        <v>422.7</v>
      </c>
      <c r="AM1746" s="7">
        <v>149.0</v>
      </c>
      <c r="AN1746" s="7">
        <v>72.0</v>
      </c>
      <c r="AO1746" s="7">
        <v>32.4</v>
      </c>
      <c r="AP1746" s="9">
        <f t="shared" ref="AP1746:AR1746" si="5475">AG1746/$AF1746</f>
        <v>112.5010101</v>
      </c>
      <c r="AQ1746" s="9">
        <f t="shared" si="5475"/>
        <v>38.22020202</v>
      </c>
      <c r="AR1746" s="9">
        <f t="shared" si="5475"/>
        <v>44.53030303</v>
      </c>
      <c r="AS1746" s="9">
        <f t="shared" si="4568"/>
        <v>82.75050505</v>
      </c>
      <c r="AT1746" s="9">
        <f t="shared" ref="AT1746:AV1746" si="5476">AJ1746/$AF1746</f>
        <v>17.33030303</v>
      </c>
      <c r="AU1746" s="9">
        <f t="shared" si="5476"/>
        <v>8.150505051</v>
      </c>
      <c r="AV1746" s="9">
        <f t="shared" si="5476"/>
        <v>4.26969697</v>
      </c>
      <c r="AW1746" s="9">
        <f t="shared" si="4570"/>
        <v>12.42020202</v>
      </c>
      <c r="AX1746" s="9">
        <f t="shared" ref="AX1746:AY1746" si="5477">AM1746/$AF1746</f>
        <v>1.505050505</v>
      </c>
      <c r="AY1746" s="9">
        <f t="shared" si="5477"/>
        <v>0.7272727273</v>
      </c>
      <c r="AZ1746" s="9">
        <f>VLOOKUP(A1746,Jogos!A:BN,58,0)</f>
        <v>31.785</v>
      </c>
      <c r="BA1746" s="9">
        <f>VLOOKUP(A1746,Jogos!A:BN,59,0)</f>
        <v>16.98</v>
      </c>
      <c r="BB1746" s="9">
        <f>VLOOKUP(A1746,Jogos!A:BN,60,0)</f>
        <v>41</v>
      </c>
      <c r="BC1746" s="9">
        <f>VLOOKUP(A1746,Jogos!A:BN,61,0)</f>
        <v>33.415</v>
      </c>
      <c r="BD1746" s="9">
        <f>VLOOKUP(A1746,Jogos!A:BN,62,0)</f>
        <v>946.7</v>
      </c>
      <c r="BE1746" s="9">
        <f>VLOOKUP(A1746,Jogos!A:BN,63,0)</f>
        <v>2.54</v>
      </c>
      <c r="BF1746" s="9">
        <f>VLOOKUP(A1746,Jogos!A:BN,64,0)</f>
        <v>23.55</v>
      </c>
      <c r="BG1746" s="9">
        <f>VLOOKUP(A1746,Jogos!A:BN,65,0)</f>
        <v>44.525</v>
      </c>
      <c r="BH1746" s="9">
        <f>VLOOKUP(A1746,Jogos!A:BN,66,0)</f>
        <v>28.565</v>
      </c>
      <c r="BI1746" s="9"/>
      <c r="BJ1746" s="9"/>
    </row>
    <row r="1747" hidden="1">
      <c r="A1747" s="2">
        <v>59.0</v>
      </c>
      <c r="B1747" s="2" t="s">
        <v>1380</v>
      </c>
      <c r="C1747" s="2" t="s">
        <v>1351</v>
      </c>
      <c r="D1747" s="3">
        <v>45843.0</v>
      </c>
      <c r="E1747" s="4">
        <v>0.5</v>
      </c>
      <c r="F1747" s="5" t="str">
        <f>VLOOKUP(A1747,Jogos!A:N,10,0)</f>
        <v>Afternoon</v>
      </c>
      <c r="G1747" s="2" t="s">
        <v>376</v>
      </c>
      <c r="H1747" s="6" t="str">
        <f>VLOOKUP(A1747,Jogos!A:L,12,0)</f>
        <v>Closed</v>
      </c>
      <c r="I1747" s="6" t="str">
        <f>VLOOKUP(G1747,'Estádios e Cidades'!A:B,2,0)</f>
        <v>Atlanta</v>
      </c>
      <c r="J1747" s="2" t="s">
        <v>123</v>
      </c>
      <c r="K1747" s="2" t="str">
        <f>VLOOKUP(J1747,Equipes!A:F,6,0)</f>
        <v>Temperate</v>
      </c>
      <c r="L1747" s="2">
        <f>VLOOKUP(J1747,Equipes!A:C,3,0)</f>
        <v>6</v>
      </c>
      <c r="M1747" s="2" t="str">
        <f t="shared" si="4"/>
        <v>Quarter-final</v>
      </c>
      <c r="N1747" s="2" t="s">
        <v>187</v>
      </c>
      <c r="O1747" s="2">
        <f>VLOOKUP(N1747,Equipes!A:C,3,0)</f>
        <v>2</v>
      </c>
      <c r="P1747" s="2" t="str">
        <f t="shared" si="5"/>
        <v>Final</v>
      </c>
      <c r="Q1747" s="2">
        <f t="shared" si="6"/>
        <v>4</v>
      </c>
      <c r="R1747" s="2" t="str">
        <f>VLOOKUP(J1747,Equipes!A:B,2,0)</f>
        <v>Bayern</v>
      </c>
      <c r="S1747" s="6" t="s">
        <v>1138</v>
      </c>
      <c r="T1747" s="7">
        <v>27.0</v>
      </c>
      <c r="U1747" s="7" t="s">
        <v>1139</v>
      </c>
      <c r="V1747" s="7" t="str">
        <f>VLOOKUP(U1747,Jogadores!B:C,2,0)</f>
        <v>MF</v>
      </c>
      <c r="W1747" s="8">
        <f>VLOOKUP(U1747,Jogadores!B:D,3,0)</f>
        <v>28.1890411</v>
      </c>
      <c r="X1747" s="7">
        <v>0.0</v>
      </c>
      <c r="Y1747" s="7">
        <f t="shared" si="5478"/>
        <v>96</v>
      </c>
      <c r="Z1747" s="7">
        <f>VLOOKUP(A1747,Jogos!A:L,3,0)</f>
        <v>48</v>
      </c>
      <c r="AA1747" s="7">
        <f t="shared" si="4815"/>
        <v>48</v>
      </c>
      <c r="AB1747" s="7">
        <f>VLOOKUP(A1747,Jogos!A:L,4,0)</f>
        <v>51</v>
      </c>
      <c r="AC1747" s="7">
        <f t="shared" si="5062"/>
        <v>51</v>
      </c>
      <c r="AD1747" s="7"/>
      <c r="AE1747" s="7"/>
      <c r="AF1747" s="7">
        <f t="shared" si="4566"/>
        <v>99</v>
      </c>
      <c r="AG1747" s="7">
        <v>11172.9</v>
      </c>
      <c r="AH1747" s="7">
        <v>4059.8</v>
      </c>
      <c r="AI1747" s="7">
        <v>4321.3</v>
      </c>
      <c r="AJ1747" s="7">
        <v>1434.1</v>
      </c>
      <c r="AK1747" s="7">
        <v>904.2</v>
      </c>
      <c r="AL1747" s="7">
        <v>453.5</v>
      </c>
      <c r="AM1747" s="7">
        <v>136.0</v>
      </c>
      <c r="AN1747" s="7">
        <v>72.0</v>
      </c>
      <c r="AO1747" s="7">
        <v>32.2</v>
      </c>
      <c r="AP1747" s="9">
        <f t="shared" ref="AP1747:AR1747" si="5479">AG1747/$AF1747</f>
        <v>112.8575758</v>
      </c>
      <c r="AQ1747" s="9">
        <f t="shared" si="5479"/>
        <v>41.00808081</v>
      </c>
      <c r="AR1747" s="9">
        <f t="shared" si="5479"/>
        <v>43.64949495</v>
      </c>
      <c r="AS1747" s="9">
        <f t="shared" si="4568"/>
        <v>84.65757576</v>
      </c>
      <c r="AT1747" s="9">
        <f t="shared" ref="AT1747:AV1747" si="5480">AJ1747/$AF1747</f>
        <v>14.48585859</v>
      </c>
      <c r="AU1747" s="9">
        <f t="shared" si="5480"/>
        <v>9.133333333</v>
      </c>
      <c r="AV1747" s="9">
        <f t="shared" si="5480"/>
        <v>4.580808081</v>
      </c>
      <c r="AW1747" s="9">
        <f t="shared" si="4570"/>
        <v>13.71414141</v>
      </c>
      <c r="AX1747" s="9">
        <f t="shared" ref="AX1747:AY1747" si="5481">AM1747/$AF1747</f>
        <v>1.373737374</v>
      </c>
      <c r="AY1747" s="9">
        <f t="shared" si="5481"/>
        <v>0.7272727273</v>
      </c>
      <c r="AZ1747" s="9">
        <f>VLOOKUP(A1747,Jogos!A:BN,58,0)</f>
        <v>31.785</v>
      </c>
      <c r="BA1747" s="9">
        <f>VLOOKUP(A1747,Jogos!A:BN,59,0)</f>
        <v>16.98</v>
      </c>
      <c r="BB1747" s="9">
        <f>VLOOKUP(A1747,Jogos!A:BN,60,0)</f>
        <v>41</v>
      </c>
      <c r="BC1747" s="9">
        <f>VLOOKUP(A1747,Jogos!A:BN,61,0)</f>
        <v>33.415</v>
      </c>
      <c r="BD1747" s="9">
        <f>VLOOKUP(A1747,Jogos!A:BN,62,0)</f>
        <v>946.7</v>
      </c>
      <c r="BE1747" s="9">
        <f>VLOOKUP(A1747,Jogos!A:BN,63,0)</f>
        <v>2.54</v>
      </c>
      <c r="BF1747" s="9">
        <f>VLOOKUP(A1747,Jogos!A:BN,64,0)</f>
        <v>23.55</v>
      </c>
      <c r="BG1747" s="9">
        <f>VLOOKUP(A1747,Jogos!A:BN,65,0)</f>
        <v>44.525</v>
      </c>
      <c r="BH1747" s="9">
        <f>VLOOKUP(A1747,Jogos!A:BN,66,0)</f>
        <v>28.565</v>
      </c>
      <c r="BI1747" s="9"/>
      <c r="BJ1747" s="9"/>
    </row>
    <row r="1748" hidden="1">
      <c r="A1748" s="2">
        <v>59.0</v>
      </c>
      <c r="B1748" s="2" t="s">
        <v>1380</v>
      </c>
      <c r="C1748" s="2" t="s">
        <v>1351</v>
      </c>
      <c r="D1748" s="3">
        <v>45843.0</v>
      </c>
      <c r="E1748" s="4">
        <v>0.5</v>
      </c>
      <c r="F1748" s="5" t="str">
        <f>VLOOKUP(A1748,Jogos!A:N,10,0)</f>
        <v>Afternoon</v>
      </c>
      <c r="G1748" s="2" t="s">
        <v>376</v>
      </c>
      <c r="H1748" s="6" t="str">
        <f>VLOOKUP(A1748,Jogos!A:L,12,0)</f>
        <v>Closed</v>
      </c>
      <c r="I1748" s="6" t="str">
        <f>VLOOKUP(G1748,'Estádios e Cidades'!A:B,2,0)</f>
        <v>Atlanta</v>
      </c>
      <c r="J1748" s="2" t="s">
        <v>123</v>
      </c>
      <c r="K1748" s="2" t="str">
        <f>VLOOKUP(J1748,Equipes!A:F,6,0)</f>
        <v>Temperate</v>
      </c>
      <c r="L1748" s="2">
        <f>VLOOKUP(J1748,Equipes!A:C,3,0)</f>
        <v>6</v>
      </c>
      <c r="M1748" s="2" t="str">
        <f t="shared" si="4"/>
        <v>Quarter-final</v>
      </c>
      <c r="N1748" s="2" t="s">
        <v>187</v>
      </c>
      <c r="O1748" s="2">
        <f>VLOOKUP(N1748,Equipes!A:C,3,0)</f>
        <v>2</v>
      </c>
      <c r="P1748" s="2" t="str">
        <f t="shared" si="5"/>
        <v>Final</v>
      </c>
      <c r="Q1748" s="2">
        <f t="shared" si="6"/>
        <v>4</v>
      </c>
      <c r="R1748" s="2" t="str">
        <f>VLOOKUP(J1748,Equipes!A:B,2,0)</f>
        <v>Bayern</v>
      </c>
      <c r="S1748" s="6" t="s">
        <v>149</v>
      </c>
      <c r="T1748" s="7">
        <v>42.0</v>
      </c>
      <c r="U1748" s="7" t="s">
        <v>150</v>
      </c>
      <c r="V1748" s="7" t="str">
        <f>VLOOKUP(U1748,Jogadores!B:C,2,0)</f>
        <v>MF</v>
      </c>
      <c r="W1748" s="8">
        <f>VLOOKUP(U1748,Jogadores!B:D,3,0)</f>
        <v>22.43287671</v>
      </c>
      <c r="X1748" s="7">
        <v>0.0</v>
      </c>
      <c r="Y1748" s="7">
        <v>45.0</v>
      </c>
      <c r="Z1748" s="7">
        <f>VLOOKUP(A1748,Jogos!A:L,3,0)</f>
        <v>48</v>
      </c>
      <c r="AA1748" s="7">
        <f t="shared" si="4815"/>
        <v>48</v>
      </c>
      <c r="AB1748" s="7">
        <f>VLOOKUP(A1748,Jogos!A:L,4,0)</f>
        <v>51</v>
      </c>
      <c r="AC1748" s="7">
        <f t="shared" si="5062"/>
        <v>0</v>
      </c>
      <c r="AD1748" s="7"/>
      <c r="AE1748" s="7"/>
      <c r="AF1748" s="7">
        <f t="shared" si="4566"/>
        <v>48</v>
      </c>
      <c r="AG1748" s="7">
        <v>5433.1</v>
      </c>
      <c r="AH1748" s="7">
        <v>1915.7</v>
      </c>
      <c r="AI1748" s="7">
        <v>2092.4</v>
      </c>
      <c r="AJ1748" s="7">
        <v>801.2</v>
      </c>
      <c r="AK1748" s="7">
        <v>412.9</v>
      </c>
      <c r="AL1748" s="7">
        <v>210.9</v>
      </c>
      <c r="AM1748" s="7">
        <v>74.0</v>
      </c>
      <c r="AN1748" s="7">
        <v>34.0</v>
      </c>
      <c r="AO1748" s="7">
        <v>31.3</v>
      </c>
      <c r="AP1748" s="9">
        <f t="shared" ref="AP1748:AR1748" si="5482">AG1748/$AF1748</f>
        <v>113.1895833</v>
      </c>
      <c r="AQ1748" s="9">
        <f t="shared" si="5482"/>
        <v>39.91041667</v>
      </c>
      <c r="AR1748" s="9">
        <f t="shared" si="5482"/>
        <v>43.59166667</v>
      </c>
      <c r="AS1748" s="9">
        <f t="shared" si="4568"/>
        <v>83.50208333</v>
      </c>
      <c r="AT1748" s="9">
        <f t="shared" ref="AT1748:AV1748" si="5483">AJ1748/$AF1748</f>
        <v>16.69166667</v>
      </c>
      <c r="AU1748" s="9">
        <f t="shared" si="5483"/>
        <v>8.602083333</v>
      </c>
      <c r="AV1748" s="9">
        <f t="shared" si="5483"/>
        <v>4.39375</v>
      </c>
      <c r="AW1748" s="9">
        <f t="shared" si="4570"/>
        <v>12.99583333</v>
      </c>
      <c r="AX1748" s="9">
        <f t="shared" ref="AX1748:AY1748" si="5484">AM1748/$AF1748</f>
        <v>1.541666667</v>
      </c>
      <c r="AY1748" s="9">
        <f t="shared" si="5484"/>
        <v>0.7083333333</v>
      </c>
      <c r="AZ1748" s="9">
        <f>VLOOKUP(A1748,Jogos!A:BN,58,0)</f>
        <v>31.785</v>
      </c>
      <c r="BA1748" s="9">
        <f>VLOOKUP(A1748,Jogos!A:BN,59,0)</f>
        <v>16.98</v>
      </c>
      <c r="BB1748" s="9">
        <f>VLOOKUP(A1748,Jogos!A:BN,60,0)</f>
        <v>41</v>
      </c>
      <c r="BC1748" s="9">
        <f>VLOOKUP(A1748,Jogos!A:BN,61,0)</f>
        <v>33.415</v>
      </c>
      <c r="BD1748" s="9">
        <f>VLOOKUP(A1748,Jogos!A:BN,62,0)</f>
        <v>946.7</v>
      </c>
      <c r="BE1748" s="9">
        <f>VLOOKUP(A1748,Jogos!A:BN,63,0)</f>
        <v>2.54</v>
      </c>
      <c r="BF1748" s="9">
        <f>VLOOKUP(A1748,Jogos!A:BN,64,0)</f>
        <v>23.55</v>
      </c>
      <c r="BG1748" s="9">
        <f>VLOOKUP(A1748,Jogos!A:BN,65,0)</f>
        <v>44.525</v>
      </c>
      <c r="BH1748" s="9">
        <f>VLOOKUP(A1748,Jogos!A:BN,66,0)</f>
        <v>28.565</v>
      </c>
      <c r="BI1748" s="9"/>
      <c r="BJ1748" s="9"/>
    </row>
    <row r="1749" hidden="1">
      <c r="A1749" s="2">
        <v>59.0</v>
      </c>
      <c r="B1749" s="2" t="s">
        <v>1380</v>
      </c>
      <c r="C1749" s="2" t="s">
        <v>1351</v>
      </c>
      <c r="D1749" s="3">
        <v>45843.0</v>
      </c>
      <c r="E1749" s="4">
        <v>0.5</v>
      </c>
      <c r="F1749" s="5" t="str">
        <f>VLOOKUP(A1749,Jogos!A:N,10,0)</f>
        <v>Afternoon</v>
      </c>
      <c r="G1749" s="2" t="s">
        <v>376</v>
      </c>
      <c r="H1749" s="6" t="str">
        <f>VLOOKUP(A1749,Jogos!A:L,12,0)</f>
        <v>Closed</v>
      </c>
      <c r="I1749" s="6" t="str">
        <f>VLOOKUP(G1749,'Estádios e Cidades'!A:B,2,0)</f>
        <v>Atlanta</v>
      </c>
      <c r="J1749" s="2" t="s">
        <v>123</v>
      </c>
      <c r="K1749" s="2" t="str">
        <f>VLOOKUP(J1749,Equipes!A:F,6,0)</f>
        <v>Temperate</v>
      </c>
      <c r="L1749" s="2">
        <f>VLOOKUP(J1749,Equipes!A:C,3,0)</f>
        <v>6</v>
      </c>
      <c r="M1749" s="2" t="str">
        <f t="shared" si="4"/>
        <v>Quarter-final</v>
      </c>
      <c r="N1749" s="2" t="s">
        <v>187</v>
      </c>
      <c r="O1749" s="2">
        <f>VLOOKUP(N1749,Equipes!A:C,3,0)</f>
        <v>2</v>
      </c>
      <c r="P1749" s="2" t="str">
        <f t="shared" si="5"/>
        <v>Final</v>
      </c>
      <c r="Q1749" s="2">
        <f t="shared" si="6"/>
        <v>4</v>
      </c>
      <c r="R1749" s="2" t="str">
        <f>VLOOKUP(J1749,Equipes!A:B,2,0)</f>
        <v>Bayern</v>
      </c>
      <c r="S1749" s="6" t="s">
        <v>141</v>
      </c>
      <c r="T1749" s="7">
        <v>44.0</v>
      </c>
      <c r="U1749" s="7" t="s">
        <v>142</v>
      </c>
      <c r="V1749" s="7" t="str">
        <f>VLOOKUP(U1749,Jogadores!B:C,2,0)</f>
        <v>DF</v>
      </c>
      <c r="W1749" s="8">
        <f>VLOOKUP(U1749,Jogadores!B:D,3,0)</f>
        <v>25.3369863</v>
      </c>
      <c r="X1749" s="7">
        <v>0.0</v>
      </c>
      <c r="Y1749" s="7">
        <v>34.0</v>
      </c>
      <c r="Z1749" s="7">
        <f>VLOOKUP(A1749,Jogos!A:L,3,0)</f>
        <v>48</v>
      </c>
      <c r="AA1749" s="7">
        <f t="shared" si="4815"/>
        <v>34</v>
      </c>
      <c r="AB1749" s="7">
        <f>VLOOKUP(A1749,Jogos!A:L,4,0)</f>
        <v>51</v>
      </c>
      <c r="AC1749" s="7">
        <f t="shared" si="5062"/>
        <v>0</v>
      </c>
      <c r="AD1749" s="7"/>
      <c r="AE1749" s="7"/>
      <c r="AF1749" s="7">
        <f t="shared" si="4566"/>
        <v>34</v>
      </c>
      <c r="AG1749" s="7">
        <v>3687.9</v>
      </c>
      <c r="AH1749" s="7">
        <v>1239.4</v>
      </c>
      <c r="AI1749" s="7">
        <v>1574.4</v>
      </c>
      <c r="AJ1749" s="7">
        <v>538.7</v>
      </c>
      <c r="AK1749" s="7">
        <v>196.7</v>
      </c>
      <c r="AL1749" s="7">
        <v>138.6</v>
      </c>
      <c r="AM1749" s="7">
        <v>44.0</v>
      </c>
      <c r="AN1749" s="7">
        <v>16.0</v>
      </c>
      <c r="AO1749" s="7">
        <v>33.7</v>
      </c>
      <c r="AP1749" s="9">
        <f t="shared" ref="AP1749:AR1749" si="5485">AG1749/$AF1749</f>
        <v>108.4676471</v>
      </c>
      <c r="AQ1749" s="9">
        <f t="shared" si="5485"/>
        <v>36.45294118</v>
      </c>
      <c r="AR1749" s="9">
        <f t="shared" si="5485"/>
        <v>46.30588235</v>
      </c>
      <c r="AS1749" s="9">
        <f t="shared" si="4568"/>
        <v>82.75882353</v>
      </c>
      <c r="AT1749" s="9">
        <f t="shared" ref="AT1749:AV1749" si="5486">AJ1749/$AF1749</f>
        <v>15.84411765</v>
      </c>
      <c r="AU1749" s="9">
        <f t="shared" si="5486"/>
        <v>5.785294118</v>
      </c>
      <c r="AV1749" s="9">
        <f t="shared" si="5486"/>
        <v>4.076470588</v>
      </c>
      <c r="AW1749" s="9">
        <f t="shared" si="4570"/>
        <v>9.861764706</v>
      </c>
      <c r="AX1749" s="9">
        <f t="shared" ref="AX1749:AY1749" si="5487">AM1749/$AF1749</f>
        <v>1.294117647</v>
      </c>
      <c r="AY1749" s="9">
        <f t="shared" si="5487"/>
        <v>0.4705882353</v>
      </c>
      <c r="AZ1749" s="9">
        <f>VLOOKUP(A1749,Jogos!A:BN,58,0)</f>
        <v>31.785</v>
      </c>
      <c r="BA1749" s="9">
        <f>VLOOKUP(A1749,Jogos!A:BN,59,0)</f>
        <v>16.98</v>
      </c>
      <c r="BB1749" s="9">
        <f>VLOOKUP(A1749,Jogos!A:BN,60,0)</f>
        <v>41</v>
      </c>
      <c r="BC1749" s="9">
        <f>VLOOKUP(A1749,Jogos!A:BN,61,0)</f>
        <v>33.415</v>
      </c>
      <c r="BD1749" s="9">
        <f>VLOOKUP(A1749,Jogos!A:BN,62,0)</f>
        <v>946.7</v>
      </c>
      <c r="BE1749" s="9">
        <f>VLOOKUP(A1749,Jogos!A:BN,63,0)</f>
        <v>2.54</v>
      </c>
      <c r="BF1749" s="9">
        <f>VLOOKUP(A1749,Jogos!A:BN,64,0)</f>
        <v>23.55</v>
      </c>
      <c r="BG1749" s="9">
        <f>VLOOKUP(A1749,Jogos!A:BN,65,0)</f>
        <v>44.525</v>
      </c>
      <c r="BH1749" s="9">
        <f>VLOOKUP(A1749,Jogos!A:BN,66,0)</f>
        <v>28.565</v>
      </c>
      <c r="BI1749" s="9"/>
      <c r="BJ1749" s="9"/>
    </row>
    <row r="1750" hidden="1">
      <c r="A1750" s="2">
        <v>59.0</v>
      </c>
      <c r="B1750" s="2" t="s">
        <v>1380</v>
      </c>
      <c r="C1750" s="2" t="s">
        <v>1351</v>
      </c>
      <c r="D1750" s="3">
        <v>45843.0</v>
      </c>
      <c r="E1750" s="4">
        <v>0.5</v>
      </c>
      <c r="F1750" s="5" t="str">
        <f>VLOOKUP(A1750,Jogos!A:N,10,0)</f>
        <v>Afternoon</v>
      </c>
      <c r="G1750" s="2" t="s">
        <v>376</v>
      </c>
      <c r="H1750" s="6" t="str">
        <f>VLOOKUP(A1750,Jogos!A:L,12,0)</f>
        <v>Closed</v>
      </c>
      <c r="I1750" s="6" t="str">
        <f>VLOOKUP(G1750,'Estádios e Cidades'!A:B,2,0)</f>
        <v>Atlanta</v>
      </c>
      <c r="J1750" s="2" t="s">
        <v>123</v>
      </c>
      <c r="K1750" s="2" t="str">
        <f>VLOOKUP(J1750,Equipes!A:F,6,0)</f>
        <v>Temperate</v>
      </c>
      <c r="L1750" s="2">
        <f>VLOOKUP(J1750,Equipes!A:C,3,0)</f>
        <v>6</v>
      </c>
      <c r="M1750" s="2" t="str">
        <f t="shared" si="4"/>
        <v>Quarter-final</v>
      </c>
      <c r="N1750" s="2" t="s">
        <v>187</v>
      </c>
      <c r="O1750" s="2">
        <f>VLOOKUP(N1750,Equipes!A:C,3,0)</f>
        <v>2</v>
      </c>
      <c r="P1750" s="2" t="str">
        <f t="shared" si="5"/>
        <v>Final</v>
      </c>
      <c r="Q1750" s="2">
        <f t="shared" si="6"/>
        <v>4</v>
      </c>
      <c r="R1750" s="2" t="str">
        <f>VLOOKUP(J1750,Equipes!A:B,2,0)</f>
        <v>Bayern</v>
      </c>
      <c r="S1750" s="6" t="s">
        <v>143</v>
      </c>
      <c r="T1750" s="7">
        <v>45.0</v>
      </c>
      <c r="U1750" s="7" t="s">
        <v>144</v>
      </c>
      <c r="V1750" s="7" t="str">
        <f>VLOOKUP(U1750,Jogadores!B:C,2,0)</f>
        <v>MF</v>
      </c>
      <c r="W1750" s="8">
        <f>VLOOKUP(U1750,Jogadores!B:D,3,0)</f>
        <v>21.24931507</v>
      </c>
      <c r="X1750" s="7">
        <v>0.0</v>
      </c>
      <c r="Y1750" s="7">
        <v>80.0</v>
      </c>
      <c r="Z1750" s="7">
        <f>VLOOKUP(A1750,Jogos!A:L,3,0)</f>
        <v>48</v>
      </c>
      <c r="AA1750" s="7">
        <f t="shared" si="4815"/>
        <v>48</v>
      </c>
      <c r="AB1750" s="7">
        <f>VLOOKUP(A1750,Jogos!A:L,4,0)</f>
        <v>51</v>
      </c>
      <c r="AC1750" s="7">
        <f t="shared" si="5062"/>
        <v>35</v>
      </c>
      <c r="AD1750" s="7"/>
      <c r="AE1750" s="7"/>
      <c r="AF1750" s="7">
        <f t="shared" si="4566"/>
        <v>83</v>
      </c>
      <c r="AG1750" s="7">
        <v>10842.8</v>
      </c>
      <c r="AH1750" s="7">
        <v>2961.1</v>
      </c>
      <c r="AI1750" s="7">
        <v>4179.5</v>
      </c>
      <c r="AJ1750" s="7">
        <v>2365.2</v>
      </c>
      <c r="AK1750" s="7">
        <v>1057.1</v>
      </c>
      <c r="AL1750" s="7">
        <v>279.9</v>
      </c>
      <c r="AM1750" s="7">
        <v>185.0</v>
      </c>
      <c r="AN1750" s="7">
        <v>72.0</v>
      </c>
      <c r="AO1750" s="7">
        <v>29.2</v>
      </c>
      <c r="AP1750" s="9">
        <f t="shared" ref="AP1750:AR1750" si="5488">AG1750/$AF1750</f>
        <v>130.6361446</v>
      </c>
      <c r="AQ1750" s="9">
        <f t="shared" si="5488"/>
        <v>35.67590361</v>
      </c>
      <c r="AR1750" s="9">
        <f t="shared" si="5488"/>
        <v>50.35542169</v>
      </c>
      <c r="AS1750" s="9">
        <f t="shared" si="4568"/>
        <v>86.0313253</v>
      </c>
      <c r="AT1750" s="9">
        <f t="shared" ref="AT1750:AV1750" si="5489">AJ1750/$AF1750</f>
        <v>28.49638554</v>
      </c>
      <c r="AU1750" s="9">
        <f t="shared" si="5489"/>
        <v>12.73614458</v>
      </c>
      <c r="AV1750" s="9">
        <f t="shared" si="5489"/>
        <v>3.372289157</v>
      </c>
      <c r="AW1750" s="9">
        <f t="shared" si="4570"/>
        <v>16.10843373</v>
      </c>
      <c r="AX1750" s="9">
        <f t="shared" ref="AX1750:AY1750" si="5490">AM1750/$AF1750</f>
        <v>2.228915663</v>
      </c>
      <c r="AY1750" s="9">
        <f t="shared" si="5490"/>
        <v>0.8674698795</v>
      </c>
      <c r="AZ1750" s="9">
        <f>VLOOKUP(A1750,Jogos!A:BN,58,0)</f>
        <v>31.785</v>
      </c>
      <c r="BA1750" s="9">
        <f>VLOOKUP(A1750,Jogos!A:BN,59,0)</f>
        <v>16.98</v>
      </c>
      <c r="BB1750" s="9">
        <f>VLOOKUP(A1750,Jogos!A:BN,60,0)</f>
        <v>41</v>
      </c>
      <c r="BC1750" s="9">
        <f>VLOOKUP(A1750,Jogos!A:BN,61,0)</f>
        <v>33.415</v>
      </c>
      <c r="BD1750" s="9">
        <f>VLOOKUP(A1750,Jogos!A:BN,62,0)</f>
        <v>946.7</v>
      </c>
      <c r="BE1750" s="9">
        <f>VLOOKUP(A1750,Jogos!A:BN,63,0)</f>
        <v>2.54</v>
      </c>
      <c r="BF1750" s="9">
        <f>VLOOKUP(A1750,Jogos!A:BN,64,0)</f>
        <v>23.55</v>
      </c>
      <c r="BG1750" s="9">
        <f>VLOOKUP(A1750,Jogos!A:BN,65,0)</f>
        <v>44.525</v>
      </c>
      <c r="BH1750" s="9">
        <f>VLOOKUP(A1750,Jogos!A:BN,66,0)</f>
        <v>28.565</v>
      </c>
      <c r="BI1750" s="9"/>
      <c r="BJ1750" s="9"/>
    </row>
    <row r="1751" hidden="1">
      <c r="A1751" s="2">
        <v>59.0</v>
      </c>
      <c r="B1751" s="2" t="s">
        <v>1380</v>
      </c>
      <c r="C1751" s="2" t="s">
        <v>1351</v>
      </c>
      <c r="D1751" s="3">
        <v>45843.0</v>
      </c>
      <c r="E1751" s="4">
        <v>0.5</v>
      </c>
      <c r="F1751" s="5" t="str">
        <f>VLOOKUP(A1751,Jogos!A:N,10,0)</f>
        <v>Afternoon</v>
      </c>
      <c r="G1751" s="2" t="s">
        <v>376</v>
      </c>
      <c r="H1751" s="6" t="str">
        <f>VLOOKUP(A1751,Jogos!A:L,12,0)</f>
        <v>Closed</v>
      </c>
      <c r="I1751" s="6" t="str">
        <f>VLOOKUP(G1751,'Estádios e Cidades'!A:B,2,0)</f>
        <v>Atlanta</v>
      </c>
      <c r="J1751" s="2" t="s">
        <v>123</v>
      </c>
      <c r="K1751" s="2" t="str">
        <f>VLOOKUP(J1751,Equipes!A:F,6,0)</f>
        <v>Temperate</v>
      </c>
      <c r="L1751" s="2">
        <f>VLOOKUP(J1751,Equipes!A:C,3,0)</f>
        <v>6</v>
      </c>
      <c r="M1751" s="2" t="str">
        <f t="shared" si="4"/>
        <v>Quarter-final</v>
      </c>
      <c r="N1751" s="2" t="s">
        <v>187</v>
      </c>
      <c r="O1751" s="2">
        <f>VLOOKUP(N1751,Equipes!A:C,3,0)</f>
        <v>2</v>
      </c>
      <c r="P1751" s="2" t="str">
        <f t="shared" si="5"/>
        <v>Final</v>
      </c>
      <c r="Q1751" s="2">
        <f t="shared" si="6"/>
        <v>4</v>
      </c>
      <c r="R1751" s="2" t="str">
        <f>VLOOKUP(J1751,Equipes!A:B,2,0)</f>
        <v>Bayern</v>
      </c>
      <c r="S1751" s="6" t="s">
        <v>147</v>
      </c>
      <c r="T1751" s="7">
        <v>7.0</v>
      </c>
      <c r="U1751" s="7" t="s">
        <v>148</v>
      </c>
      <c r="V1751" s="7" t="str">
        <f>VLOOKUP(U1751,Jogadores!B:C,2,0)</f>
        <v>FW</v>
      </c>
      <c r="W1751" s="8">
        <f>VLOOKUP(U1751,Jogadores!B:D,3,0)</f>
        <v>30.06027397</v>
      </c>
      <c r="X1751" s="7">
        <v>45.0</v>
      </c>
      <c r="Y1751" s="7">
        <f t="shared" ref="Y1751:Y1753" si="5494">45+AB1751</f>
        <v>96</v>
      </c>
      <c r="Z1751" s="7">
        <f>VLOOKUP(A1751,Jogos!A:L,3,0)</f>
        <v>48</v>
      </c>
      <c r="AA1751" s="7">
        <f t="shared" si="4815"/>
        <v>0</v>
      </c>
      <c r="AB1751" s="7">
        <f>VLOOKUP(A1751,Jogos!A:L,4,0)</f>
        <v>51</v>
      </c>
      <c r="AC1751" s="7">
        <f t="shared" si="5062"/>
        <v>51</v>
      </c>
      <c r="AD1751" s="7"/>
      <c r="AE1751" s="7"/>
      <c r="AF1751" s="7">
        <f t="shared" si="4566"/>
        <v>51</v>
      </c>
      <c r="AG1751" s="7">
        <v>5693.1</v>
      </c>
      <c r="AH1751" s="7">
        <v>1885.5</v>
      </c>
      <c r="AI1751" s="7">
        <v>2131.4</v>
      </c>
      <c r="AJ1751" s="7">
        <v>1075.4</v>
      </c>
      <c r="AK1751" s="7">
        <v>475.0</v>
      </c>
      <c r="AL1751" s="7">
        <v>125.8</v>
      </c>
      <c r="AM1751" s="7">
        <v>91.0</v>
      </c>
      <c r="AN1751" s="7">
        <v>32.0</v>
      </c>
      <c r="AO1751" s="7">
        <v>29.3</v>
      </c>
      <c r="AP1751" s="9">
        <f t="shared" ref="AP1751:AR1751" si="5491">AG1751/$AF1751</f>
        <v>111.6294118</v>
      </c>
      <c r="AQ1751" s="9">
        <f t="shared" si="5491"/>
        <v>36.97058824</v>
      </c>
      <c r="AR1751" s="9">
        <f t="shared" si="5491"/>
        <v>41.79215686</v>
      </c>
      <c r="AS1751" s="9">
        <f t="shared" si="4568"/>
        <v>78.7627451</v>
      </c>
      <c r="AT1751" s="9">
        <f t="shared" ref="AT1751:AV1751" si="5492">AJ1751/$AF1751</f>
        <v>21.08627451</v>
      </c>
      <c r="AU1751" s="9">
        <f t="shared" si="5492"/>
        <v>9.31372549</v>
      </c>
      <c r="AV1751" s="9">
        <f t="shared" si="5492"/>
        <v>2.466666667</v>
      </c>
      <c r="AW1751" s="9">
        <f t="shared" si="4570"/>
        <v>11.78039216</v>
      </c>
      <c r="AX1751" s="9">
        <f t="shared" ref="AX1751:AY1751" si="5493">AM1751/$AF1751</f>
        <v>1.784313725</v>
      </c>
      <c r="AY1751" s="9">
        <f t="shared" si="5493"/>
        <v>0.6274509804</v>
      </c>
      <c r="AZ1751" s="9">
        <f>VLOOKUP(A1751,Jogos!A:BN,58,0)</f>
        <v>31.785</v>
      </c>
      <c r="BA1751" s="9">
        <f>VLOOKUP(A1751,Jogos!A:BN,59,0)</f>
        <v>16.98</v>
      </c>
      <c r="BB1751" s="9">
        <f>VLOOKUP(A1751,Jogos!A:BN,60,0)</f>
        <v>41</v>
      </c>
      <c r="BC1751" s="9">
        <f>VLOOKUP(A1751,Jogos!A:BN,61,0)</f>
        <v>33.415</v>
      </c>
      <c r="BD1751" s="9">
        <f>VLOOKUP(A1751,Jogos!A:BN,62,0)</f>
        <v>946.7</v>
      </c>
      <c r="BE1751" s="9">
        <f>VLOOKUP(A1751,Jogos!A:BN,63,0)</f>
        <v>2.54</v>
      </c>
      <c r="BF1751" s="9">
        <f>VLOOKUP(A1751,Jogos!A:BN,64,0)</f>
        <v>23.55</v>
      </c>
      <c r="BG1751" s="9">
        <f>VLOOKUP(A1751,Jogos!A:BN,65,0)</f>
        <v>44.525</v>
      </c>
      <c r="BH1751" s="9">
        <f>VLOOKUP(A1751,Jogos!A:BN,66,0)</f>
        <v>28.565</v>
      </c>
      <c r="BI1751" s="9"/>
      <c r="BJ1751" s="9"/>
    </row>
    <row r="1752" hidden="1">
      <c r="A1752" s="2">
        <v>59.0</v>
      </c>
      <c r="B1752" s="2" t="s">
        <v>1380</v>
      </c>
      <c r="C1752" s="2" t="s">
        <v>1351</v>
      </c>
      <c r="D1752" s="3">
        <v>45843.0</v>
      </c>
      <c r="E1752" s="4">
        <v>0.5</v>
      </c>
      <c r="F1752" s="5" t="str">
        <f>VLOOKUP(A1752,Jogos!A:N,10,0)</f>
        <v>Afternoon</v>
      </c>
      <c r="G1752" s="2" t="s">
        <v>376</v>
      </c>
      <c r="H1752" s="6" t="str">
        <f>VLOOKUP(A1752,Jogos!A:L,12,0)</f>
        <v>Closed</v>
      </c>
      <c r="I1752" s="6" t="str">
        <f>VLOOKUP(G1752,'Estádios e Cidades'!A:B,2,0)</f>
        <v>Atlanta</v>
      </c>
      <c r="J1752" s="2" t="s">
        <v>123</v>
      </c>
      <c r="K1752" s="2" t="str">
        <f>VLOOKUP(J1752,Equipes!A:F,6,0)</f>
        <v>Temperate</v>
      </c>
      <c r="L1752" s="2">
        <f>VLOOKUP(J1752,Equipes!A:C,3,0)</f>
        <v>6</v>
      </c>
      <c r="M1752" s="2" t="str">
        <f t="shared" si="4"/>
        <v>Quarter-final</v>
      </c>
      <c r="N1752" s="2" t="s">
        <v>187</v>
      </c>
      <c r="O1752" s="2">
        <f>VLOOKUP(N1752,Equipes!A:C,3,0)</f>
        <v>2</v>
      </c>
      <c r="P1752" s="2" t="str">
        <f t="shared" si="5"/>
        <v>Final</v>
      </c>
      <c r="Q1752" s="2">
        <f t="shared" si="6"/>
        <v>4</v>
      </c>
      <c r="R1752" s="2" t="str">
        <f>VLOOKUP(J1752,Equipes!A:B,2,0)</f>
        <v>Bayern</v>
      </c>
      <c r="S1752" s="6" t="s">
        <v>1136</v>
      </c>
      <c r="T1752" s="7">
        <v>8.0</v>
      </c>
      <c r="U1752" s="7" t="s">
        <v>1137</v>
      </c>
      <c r="V1752" s="7" t="str">
        <f>VLOOKUP(U1752,Jogadores!B:C,2,0)</f>
        <v>MF</v>
      </c>
      <c r="W1752" s="8">
        <f>VLOOKUP(U1752,Jogadores!B:D,3,0)</f>
        <v>30.49315068</v>
      </c>
      <c r="X1752" s="7">
        <v>80.0</v>
      </c>
      <c r="Y1752" s="7">
        <f t="shared" si="5494"/>
        <v>96</v>
      </c>
      <c r="Z1752" s="7">
        <f>VLOOKUP(A1752,Jogos!A:L,3,0)</f>
        <v>48</v>
      </c>
      <c r="AA1752" s="7">
        <f t="shared" si="4815"/>
        <v>0</v>
      </c>
      <c r="AB1752" s="7">
        <f>VLOOKUP(A1752,Jogos!A:L,4,0)</f>
        <v>51</v>
      </c>
      <c r="AC1752" s="7">
        <f t="shared" si="5062"/>
        <v>16</v>
      </c>
      <c r="AD1752" s="7"/>
      <c r="AE1752" s="7"/>
      <c r="AF1752" s="7">
        <f t="shared" si="4566"/>
        <v>16</v>
      </c>
      <c r="AG1752" s="7">
        <v>1903.9</v>
      </c>
      <c r="AH1752" s="7">
        <v>845.8</v>
      </c>
      <c r="AI1752" s="7">
        <v>707.3</v>
      </c>
      <c r="AJ1752" s="7">
        <v>174.3</v>
      </c>
      <c r="AK1752" s="7">
        <v>100.4</v>
      </c>
      <c r="AL1752" s="7">
        <v>76.1</v>
      </c>
      <c r="AM1752" s="7">
        <v>15.0</v>
      </c>
      <c r="AN1752" s="7">
        <v>9.0</v>
      </c>
      <c r="AO1752" s="7">
        <v>29.7</v>
      </c>
      <c r="AP1752" s="9">
        <f t="shared" ref="AP1752:AR1752" si="5495">AG1752/$AF1752</f>
        <v>118.99375</v>
      </c>
      <c r="AQ1752" s="9">
        <f t="shared" si="5495"/>
        <v>52.8625</v>
      </c>
      <c r="AR1752" s="9">
        <f t="shared" si="5495"/>
        <v>44.20625</v>
      </c>
      <c r="AS1752" s="9">
        <f t="shared" si="4568"/>
        <v>97.06875</v>
      </c>
      <c r="AT1752" s="9">
        <f t="shared" ref="AT1752:AV1752" si="5496">AJ1752/$AF1752</f>
        <v>10.89375</v>
      </c>
      <c r="AU1752" s="9">
        <f t="shared" si="5496"/>
        <v>6.275</v>
      </c>
      <c r="AV1752" s="9">
        <f t="shared" si="5496"/>
        <v>4.75625</v>
      </c>
      <c r="AW1752" s="9">
        <f t="shared" si="4570"/>
        <v>11.03125</v>
      </c>
      <c r="AX1752" s="9">
        <f t="shared" ref="AX1752:AY1752" si="5497">AM1752/$AF1752</f>
        <v>0.9375</v>
      </c>
      <c r="AY1752" s="9">
        <f t="shared" si="5497"/>
        <v>0.5625</v>
      </c>
      <c r="AZ1752" s="9">
        <f>VLOOKUP(A1752,Jogos!A:BN,58,0)</f>
        <v>31.785</v>
      </c>
      <c r="BA1752" s="9">
        <f>VLOOKUP(A1752,Jogos!A:BN,59,0)</f>
        <v>16.98</v>
      </c>
      <c r="BB1752" s="9">
        <f>VLOOKUP(A1752,Jogos!A:BN,60,0)</f>
        <v>41</v>
      </c>
      <c r="BC1752" s="9">
        <f>VLOOKUP(A1752,Jogos!A:BN,61,0)</f>
        <v>33.415</v>
      </c>
      <c r="BD1752" s="9">
        <f>VLOOKUP(A1752,Jogos!A:BN,62,0)</f>
        <v>946.7</v>
      </c>
      <c r="BE1752" s="9">
        <f>VLOOKUP(A1752,Jogos!A:BN,63,0)</f>
        <v>2.54</v>
      </c>
      <c r="BF1752" s="9">
        <f>VLOOKUP(A1752,Jogos!A:BN,64,0)</f>
        <v>23.55</v>
      </c>
      <c r="BG1752" s="9">
        <f>VLOOKUP(A1752,Jogos!A:BN,65,0)</f>
        <v>44.525</v>
      </c>
      <c r="BH1752" s="9">
        <f>VLOOKUP(A1752,Jogos!A:BN,66,0)</f>
        <v>28.565</v>
      </c>
      <c r="BI1752" s="9"/>
      <c r="BJ1752" s="9"/>
    </row>
    <row r="1753" hidden="1">
      <c r="A1753" s="2">
        <v>59.0</v>
      </c>
      <c r="B1753" s="2" t="s">
        <v>1380</v>
      </c>
      <c r="C1753" s="2" t="s">
        <v>1351</v>
      </c>
      <c r="D1753" s="3">
        <v>45843.0</v>
      </c>
      <c r="E1753" s="4">
        <v>0.5</v>
      </c>
      <c r="F1753" s="5" t="str">
        <f>VLOOKUP(A1753,Jogos!A:N,10,0)</f>
        <v>Afternoon</v>
      </c>
      <c r="G1753" s="2" t="s">
        <v>376</v>
      </c>
      <c r="H1753" s="6" t="str">
        <f>VLOOKUP(A1753,Jogos!A:L,12,0)</f>
        <v>Closed</v>
      </c>
      <c r="I1753" s="6" t="str">
        <f>VLOOKUP(G1753,'Estádios e Cidades'!A:B,2,0)</f>
        <v>Atlanta</v>
      </c>
      <c r="J1753" s="2" t="s">
        <v>123</v>
      </c>
      <c r="K1753" s="2" t="str">
        <f>VLOOKUP(J1753,Equipes!A:F,6,0)</f>
        <v>Temperate</v>
      </c>
      <c r="L1753" s="2">
        <f>VLOOKUP(J1753,Equipes!A:C,3,0)</f>
        <v>6</v>
      </c>
      <c r="M1753" s="2" t="str">
        <f t="shared" si="4"/>
        <v>Quarter-final</v>
      </c>
      <c r="N1753" s="2" t="s">
        <v>187</v>
      </c>
      <c r="O1753" s="2">
        <f>VLOOKUP(N1753,Equipes!A:C,3,0)</f>
        <v>2</v>
      </c>
      <c r="P1753" s="2" t="str">
        <f t="shared" si="5"/>
        <v>Final</v>
      </c>
      <c r="Q1753" s="2">
        <f t="shared" si="6"/>
        <v>4</v>
      </c>
      <c r="R1753" s="2" t="str">
        <f>VLOOKUP(J1753,Equipes!A:B,2,0)</f>
        <v>Bayern</v>
      </c>
      <c r="S1753" s="6" t="s">
        <v>135</v>
      </c>
      <c r="T1753" s="7">
        <v>22.0</v>
      </c>
      <c r="U1753" s="7" t="s">
        <v>136</v>
      </c>
      <c r="V1753" s="7" t="str">
        <f>VLOOKUP(U1753,Jogadores!B:C,2,0)</f>
        <v>DF</v>
      </c>
      <c r="W1753" s="8">
        <f>VLOOKUP(U1753,Jogadores!B:D,3,0)</f>
        <v>31.61917808</v>
      </c>
      <c r="X1753" s="7">
        <v>88.0</v>
      </c>
      <c r="Y1753" s="7">
        <f t="shared" si="5494"/>
        <v>96</v>
      </c>
      <c r="Z1753" s="7">
        <f>VLOOKUP(A1753,Jogos!A:L,3,0)</f>
        <v>48</v>
      </c>
      <c r="AA1753" s="7">
        <f t="shared" si="4815"/>
        <v>0</v>
      </c>
      <c r="AB1753" s="7">
        <f>VLOOKUP(A1753,Jogos!A:L,4,0)</f>
        <v>51</v>
      </c>
      <c r="AC1753" s="7">
        <f t="shared" si="5062"/>
        <v>8</v>
      </c>
      <c r="AD1753" s="7"/>
      <c r="AE1753" s="7"/>
      <c r="AF1753" s="7">
        <f t="shared" si="4566"/>
        <v>8</v>
      </c>
      <c r="AG1753" s="7">
        <v>1345.0</v>
      </c>
      <c r="AH1753" s="7">
        <v>448.9</v>
      </c>
      <c r="AI1753" s="7">
        <v>460.0</v>
      </c>
      <c r="AJ1753" s="7">
        <v>262.2</v>
      </c>
      <c r="AK1753" s="7">
        <v>128.3</v>
      </c>
      <c r="AL1753" s="7">
        <v>45.6</v>
      </c>
      <c r="AM1753" s="7">
        <v>22.0</v>
      </c>
      <c r="AN1753" s="7">
        <v>8.0</v>
      </c>
      <c r="AO1753" s="7">
        <v>29.1</v>
      </c>
      <c r="AP1753" s="9">
        <f t="shared" ref="AP1753:AR1753" si="5498">AG1753/$AF1753</f>
        <v>168.125</v>
      </c>
      <c r="AQ1753" s="9">
        <f t="shared" si="5498"/>
        <v>56.1125</v>
      </c>
      <c r="AR1753" s="9">
        <f t="shared" si="5498"/>
        <v>57.5</v>
      </c>
      <c r="AS1753" s="9">
        <f t="shared" si="4568"/>
        <v>113.6125</v>
      </c>
      <c r="AT1753" s="9">
        <f t="shared" ref="AT1753:AV1753" si="5499">AJ1753/$AF1753</f>
        <v>32.775</v>
      </c>
      <c r="AU1753" s="9">
        <f t="shared" si="5499"/>
        <v>16.0375</v>
      </c>
      <c r="AV1753" s="9">
        <f t="shared" si="5499"/>
        <v>5.7</v>
      </c>
      <c r="AW1753" s="9">
        <f t="shared" si="4570"/>
        <v>21.7375</v>
      </c>
      <c r="AX1753" s="9">
        <f t="shared" ref="AX1753:AY1753" si="5500">AM1753/$AF1753</f>
        <v>2.75</v>
      </c>
      <c r="AY1753" s="9">
        <f t="shared" si="5500"/>
        <v>1</v>
      </c>
      <c r="AZ1753" s="9">
        <f>VLOOKUP(A1753,Jogos!A:BN,58,0)</f>
        <v>31.785</v>
      </c>
      <c r="BA1753" s="9">
        <f>VLOOKUP(A1753,Jogos!A:BN,59,0)</f>
        <v>16.98</v>
      </c>
      <c r="BB1753" s="9">
        <f>VLOOKUP(A1753,Jogos!A:BN,60,0)</f>
        <v>41</v>
      </c>
      <c r="BC1753" s="9">
        <f>VLOOKUP(A1753,Jogos!A:BN,61,0)</f>
        <v>33.415</v>
      </c>
      <c r="BD1753" s="9">
        <f>VLOOKUP(A1753,Jogos!A:BN,62,0)</f>
        <v>946.7</v>
      </c>
      <c r="BE1753" s="9">
        <f>VLOOKUP(A1753,Jogos!A:BN,63,0)</f>
        <v>2.54</v>
      </c>
      <c r="BF1753" s="9">
        <f>VLOOKUP(A1753,Jogos!A:BN,64,0)</f>
        <v>23.55</v>
      </c>
      <c r="BG1753" s="9">
        <f>VLOOKUP(A1753,Jogos!A:BN,65,0)</f>
        <v>44.525</v>
      </c>
      <c r="BH1753" s="9">
        <f>VLOOKUP(A1753,Jogos!A:BN,66,0)</f>
        <v>28.565</v>
      </c>
      <c r="BI1753" s="9"/>
      <c r="BJ1753" s="9"/>
    </row>
    <row r="1754" hidden="1">
      <c r="A1754" s="2">
        <v>59.0</v>
      </c>
      <c r="B1754" s="2" t="s">
        <v>1380</v>
      </c>
      <c r="C1754" s="2" t="s">
        <v>1351</v>
      </c>
      <c r="D1754" s="3">
        <v>45843.0</v>
      </c>
      <c r="E1754" s="4">
        <v>0.5</v>
      </c>
      <c r="F1754" s="5" t="str">
        <f>VLOOKUP(A1754,Jogos!A:N,10,0)</f>
        <v>Afternoon</v>
      </c>
      <c r="G1754" s="2" t="s">
        <v>376</v>
      </c>
      <c r="H1754" s="6" t="str">
        <f>VLOOKUP(A1754,Jogos!A:L,12,0)</f>
        <v>Closed</v>
      </c>
      <c r="I1754" s="6" t="str">
        <f>VLOOKUP(G1754,'Estádios e Cidades'!A:B,2,0)</f>
        <v>Atlanta</v>
      </c>
      <c r="J1754" s="2" t="s">
        <v>123</v>
      </c>
      <c r="K1754" s="2" t="str">
        <f>VLOOKUP(J1754,Equipes!A:F,6,0)</f>
        <v>Temperate</v>
      </c>
      <c r="L1754" s="2">
        <f>VLOOKUP(J1754,Equipes!A:C,3,0)</f>
        <v>6</v>
      </c>
      <c r="M1754" s="2" t="str">
        <f t="shared" si="4"/>
        <v>Quarter-final</v>
      </c>
      <c r="N1754" s="2" t="s">
        <v>187</v>
      </c>
      <c r="O1754" s="2">
        <f>VLOOKUP(N1754,Equipes!A:C,3,0)</f>
        <v>2</v>
      </c>
      <c r="P1754" s="2" t="str">
        <f t="shared" si="5"/>
        <v>Final</v>
      </c>
      <c r="Q1754" s="2">
        <f t="shared" si="6"/>
        <v>4</v>
      </c>
      <c r="R1754" s="2" t="str">
        <f>VLOOKUP(J1754,Equipes!A:B,2,0)</f>
        <v>Bayern</v>
      </c>
      <c r="S1754" s="6" t="s">
        <v>137</v>
      </c>
      <c r="T1754" s="7">
        <v>23.0</v>
      </c>
      <c r="U1754" s="7" t="s">
        <v>138</v>
      </c>
      <c r="V1754" s="7" t="str">
        <f>VLOOKUP(U1754,Jogadores!B:C,2,0)</f>
        <v>DF</v>
      </c>
      <c r="W1754" s="8">
        <f>VLOOKUP(U1754,Jogadores!B:D,3,0)</f>
        <v>24.88767123</v>
      </c>
      <c r="X1754" s="7">
        <v>34.0</v>
      </c>
      <c r="Y1754" s="7">
        <v>88.0</v>
      </c>
      <c r="Z1754" s="7">
        <f>VLOOKUP(A1754,Jogos!A:L,3,0)</f>
        <v>48</v>
      </c>
      <c r="AA1754" s="7">
        <f t="shared" si="4815"/>
        <v>14</v>
      </c>
      <c r="AB1754" s="7">
        <f>VLOOKUP(A1754,Jogos!A:L,4,0)</f>
        <v>51</v>
      </c>
      <c r="AC1754" s="7">
        <f t="shared" si="5062"/>
        <v>43</v>
      </c>
      <c r="AD1754" s="7"/>
      <c r="AE1754" s="7"/>
      <c r="AF1754" s="7">
        <f t="shared" si="4566"/>
        <v>57</v>
      </c>
      <c r="AG1754" s="7">
        <v>6239.5</v>
      </c>
      <c r="AH1754" s="7">
        <v>2283.7</v>
      </c>
      <c r="AI1754" s="7">
        <v>2434.2</v>
      </c>
      <c r="AJ1754" s="7">
        <v>814.1</v>
      </c>
      <c r="AK1754" s="7">
        <v>438.8</v>
      </c>
      <c r="AL1754" s="7">
        <v>268.7</v>
      </c>
      <c r="AM1754" s="7">
        <v>66.0</v>
      </c>
      <c r="AN1754" s="7">
        <v>41.0</v>
      </c>
      <c r="AO1754" s="7">
        <v>30.1</v>
      </c>
      <c r="AP1754" s="9">
        <f t="shared" ref="AP1754:AR1754" si="5501">AG1754/$AF1754</f>
        <v>109.4649123</v>
      </c>
      <c r="AQ1754" s="9">
        <f t="shared" si="5501"/>
        <v>40.06491228</v>
      </c>
      <c r="AR1754" s="9">
        <f t="shared" si="5501"/>
        <v>42.70526316</v>
      </c>
      <c r="AS1754" s="9">
        <f t="shared" si="4568"/>
        <v>82.77017544</v>
      </c>
      <c r="AT1754" s="9">
        <f t="shared" ref="AT1754:AV1754" si="5502">AJ1754/$AF1754</f>
        <v>14.28245614</v>
      </c>
      <c r="AU1754" s="9">
        <f t="shared" si="5502"/>
        <v>7.698245614</v>
      </c>
      <c r="AV1754" s="9">
        <f t="shared" si="5502"/>
        <v>4.714035088</v>
      </c>
      <c r="AW1754" s="9">
        <f t="shared" si="4570"/>
        <v>12.4122807</v>
      </c>
      <c r="AX1754" s="9">
        <f t="shared" ref="AX1754:AY1754" si="5503">AM1754/$AF1754</f>
        <v>1.157894737</v>
      </c>
      <c r="AY1754" s="9">
        <f t="shared" si="5503"/>
        <v>0.7192982456</v>
      </c>
      <c r="AZ1754" s="9">
        <f>VLOOKUP(A1754,Jogos!A:BN,58,0)</f>
        <v>31.785</v>
      </c>
      <c r="BA1754" s="9">
        <f>VLOOKUP(A1754,Jogos!A:BN,59,0)</f>
        <v>16.98</v>
      </c>
      <c r="BB1754" s="9">
        <f>VLOOKUP(A1754,Jogos!A:BN,60,0)</f>
        <v>41</v>
      </c>
      <c r="BC1754" s="9">
        <f>VLOOKUP(A1754,Jogos!A:BN,61,0)</f>
        <v>33.415</v>
      </c>
      <c r="BD1754" s="9">
        <f>VLOOKUP(A1754,Jogos!A:BN,62,0)</f>
        <v>946.7</v>
      </c>
      <c r="BE1754" s="9">
        <f>VLOOKUP(A1754,Jogos!A:BN,63,0)</f>
        <v>2.54</v>
      </c>
      <c r="BF1754" s="9">
        <f>VLOOKUP(A1754,Jogos!A:BN,64,0)</f>
        <v>23.55</v>
      </c>
      <c r="BG1754" s="9">
        <f>VLOOKUP(A1754,Jogos!A:BN,65,0)</f>
        <v>44.525</v>
      </c>
      <c r="BH1754" s="9">
        <f>VLOOKUP(A1754,Jogos!A:BN,66,0)</f>
        <v>28.565</v>
      </c>
      <c r="BI1754" s="9"/>
      <c r="BJ1754" s="9"/>
    </row>
    <row r="1755" hidden="1">
      <c r="A1755" s="2">
        <v>59.0</v>
      </c>
      <c r="B1755" s="2" t="s">
        <v>1380</v>
      </c>
      <c r="C1755" s="2" t="s">
        <v>1351</v>
      </c>
      <c r="D1755" s="3">
        <v>45843.0</v>
      </c>
      <c r="E1755" s="4">
        <v>0.5</v>
      </c>
      <c r="F1755" s="5" t="str">
        <f>VLOOKUP(A1755,Jogos!A:N,10,0)</f>
        <v>Afternoon</v>
      </c>
      <c r="G1755" s="2" t="s">
        <v>376</v>
      </c>
      <c r="H1755" s="6" t="str">
        <f>VLOOKUP(A1755,Jogos!A:L,12,0)</f>
        <v>Closed</v>
      </c>
      <c r="I1755" s="6" t="str">
        <f>VLOOKUP(G1755,'Estádios e Cidades'!A:B,2,0)</f>
        <v>Atlanta</v>
      </c>
      <c r="J1755" s="2" t="s">
        <v>123</v>
      </c>
      <c r="K1755" s="2" t="str">
        <f>VLOOKUP(J1755,Equipes!A:F,6,0)</f>
        <v>Temperate</v>
      </c>
      <c r="L1755" s="2">
        <f>VLOOKUP(J1755,Equipes!A:C,3,0)</f>
        <v>6</v>
      </c>
      <c r="M1755" s="2" t="str">
        <f t="shared" si="4"/>
        <v>Quarter-final</v>
      </c>
      <c r="N1755" s="2" t="s">
        <v>187</v>
      </c>
      <c r="O1755" s="2">
        <f>VLOOKUP(N1755,Equipes!A:C,3,0)</f>
        <v>2</v>
      </c>
      <c r="P1755" s="2" t="str">
        <f t="shared" si="5"/>
        <v>Final</v>
      </c>
      <c r="Q1755" s="2">
        <f t="shared" si="6"/>
        <v>4</v>
      </c>
      <c r="R1755" s="2" t="str">
        <f>VLOOKUP(J1755,Equipes!A:B,2,0)</f>
        <v>Bayern</v>
      </c>
      <c r="S1755" s="6" t="s">
        <v>139</v>
      </c>
      <c r="T1755" s="7">
        <v>25.0</v>
      </c>
      <c r="U1755" s="7" t="s">
        <v>140</v>
      </c>
      <c r="V1755" s="7" t="str">
        <f>VLOOKUP(U1755,Jogadores!B:C,2,0)</f>
        <v>FW</v>
      </c>
      <c r="W1755" s="8">
        <f>VLOOKUP(U1755,Jogadores!B:D,3,0)</f>
        <v>35.89589041</v>
      </c>
      <c r="X1755" s="7">
        <v>80.0</v>
      </c>
      <c r="Y1755" s="7">
        <f>45+AB1755</f>
        <v>96</v>
      </c>
      <c r="Z1755" s="7">
        <f>VLOOKUP(A1755,Jogos!A:L,3,0)</f>
        <v>48</v>
      </c>
      <c r="AA1755" s="7">
        <f t="shared" si="4815"/>
        <v>0</v>
      </c>
      <c r="AB1755" s="7">
        <f>VLOOKUP(A1755,Jogos!A:L,4,0)</f>
        <v>51</v>
      </c>
      <c r="AC1755" s="7">
        <f t="shared" si="5062"/>
        <v>16</v>
      </c>
      <c r="AD1755" s="7"/>
      <c r="AE1755" s="7"/>
      <c r="AF1755" s="7">
        <f t="shared" si="4566"/>
        <v>16</v>
      </c>
      <c r="AG1755" s="7">
        <v>2013.7</v>
      </c>
      <c r="AH1755" s="7">
        <v>825.0</v>
      </c>
      <c r="AI1755" s="7">
        <v>781.4</v>
      </c>
      <c r="AJ1755" s="7">
        <v>239.4</v>
      </c>
      <c r="AK1755" s="7">
        <v>140.2</v>
      </c>
      <c r="AL1755" s="7">
        <v>27.7</v>
      </c>
      <c r="AM1755" s="7">
        <v>22.0</v>
      </c>
      <c r="AN1755" s="7">
        <v>10.0</v>
      </c>
      <c r="AO1755" s="7">
        <v>27.0</v>
      </c>
      <c r="AP1755" s="9">
        <f t="shared" ref="AP1755:AR1755" si="5504">AG1755/$AF1755</f>
        <v>125.85625</v>
      </c>
      <c r="AQ1755" s="9">
        <f t="shared" si="5504"/>
        <v>51.5625</v>
      </c>
      <c r="AR1755" s="9">
        <f t="shared" si="5504"/>
        <v>48.8375</v>
      </c>
      <c r="AS1755" s="9">
        <f t="shared" si="4568"/>
        <v>100.4</v>
      </c>
      <c r="AT1755" s="9">
        <f t="shared" ref="AT1755:AV1755" si="5505">AJ1755/$AF1755</f>
        <v>14.9625</v>
      </c>
      <c r="AU1755" s="9">
        <f t="shared" si="5505"/>
        <v>8.7625</v>
      </c>
      <c r="AV1755" s="9">
        <f t="shared" si="5505"/>
        <v>1.73125</v>
      </c>
      <c r="AW1755" s="9">
        <f t="shared" si="4570"/>
        <v>10.49375</v>
      </c>
      <c r="AX1755" s="9">
        <f t="shared" ref="AX1755:AY1755" si="5506">AM1755/$AF1755</f>
        <v>1.375</v>
      </c>
      <c r="AY1755" s="9">
        <f t="shared" si="5506"/>
        <v>0.625</v>
      </c>
      <c r="AZ1755" s="9">
        <f>VLOOKUP(A1755,Jogos!A:BN,58,0)</f>
        <v>31.785</v>
      </c>
      <c r="BA1755" s="9">
        <f>VLOOKUP(A1755,Jogos!A:BN,59,0)</f>
        <v>16.98</v>
      </c>
      <c r="BB1755" s="9">
        <f>VLOOKUP(A1755,Jogos!A:BN,60,0)</f>
        <v>41</v>
      </c>
      <c r="BC1755" s="9">
        <f>VLOOKUP(A1755,Jogos!A:BN,61,0)</f>
        <v>33.415</v>
      </c>
      <c r="BD1755" s="9">
        <f>VLOOKUP(A1755,Jogos!A:BN,62,0)</f>
        <v>946.7</v>
      </c>
      <c r="BE1755" s="9">
        <f>VLOOKUP(A1755,Jogos!A:BN,63,0)</f>
        <v>2.54</v>
      </c>
      <c r="BF1755" s="9">
        <f>VLOOKUP(A1755,Jogos!A:BN,64,0)</f>
        <v>23.55</v>
      </c>
      <c r="BG1755" s="9">
        <f>VLOOKUP(A1755,Jogos!A:BN,65,0)</f>
        <v>44.525</v>
      </c>
      <c r="BH1755" s="9">
        <f>VLOOKUP(A1755,Jogos!A:BN,66,0)</f>
        <v>28.565</v>
      </c>
      <c r="BI1755" s="9"/>
      <c r="BJ1755" s="9"/>
    </row>
    <row r="1756" hidden="1">
      <c r="A1756" s="2">
        <v>60.0</v>
      </c>
      <c r="B1756" s="2" t="s">
        <v>1380</v>
      </c>
      <c r="C1756" s="2" t="s">
        <v>1351</v>
      </c>
      <c r="D1756" s="3">
        <v>45843.0</v>
      </c>
      <c r="E1756" s="4">
        <v>0.6666666666666666</v>
      </c>
      <c r="F1756" s="5" t="str">
        <f>VLOOKUP(A1756,Jogos!A:N,10,0)</f>
        <v>Afternoon</v>
      </c>
      <c r="G1756" s="2" t="s">
        <v>249</v>
      </c>
      <c r="H1756" s="6" t="str">
        <f>VLOOKUP(A1756,Jogos!A:L,12,0)</f>
        <v>Open</v>
      </c>
      <c r="I1756" s="6" t="str">
        <f>VLOOKUP(G1756,'Estádios e Cidades'!A:B,2,0)</f>
        <v>East Rutherford</v>
      </c>
      <c r="J1756" s="2" t="s">
        <v>873</v>
      </c>
      <c r="K1756" s="2" t="str">
        <f>VLOOKUP(J1756,Equipes!A:F,6,0)</f>
        <v>Temperate</v>
      </c>
      <c r="L1756" s="2">
        <f>VLOOKUP(J1756,Equipes!A:C,3,0)</f>
        <v>3</v>
      </c>
      <c r="M1756" s="2" t="str">
        <f t="shared" si="4"/>
        <v>Semi-final</v>
      </c>
      <c r="N1756" s="2" t="s">
        <v>564</v>
      </c>
      <c r="O1756" s="2">
        <f>VLOOKUP(N1756,Equipes!A:C,3,0)</f>
        <v>5</v>
      </c>
      <c r="P1756" s="2" t="str">
        <f t="shared" si="5"/>
        <v>Quarter-final</v>
      </c>
      <c r="Q1756" s="2">
        <f t="shared" si="6"/>
        <v>-2</v>
      </c>
      <c r="R1756" s="2" t="str">
        <f>VLOOKUP(J1756,Equipes!A:B,2,0)</f>
        <v>Real</v>
      </c>
      <c r="S1756" s="6" t="s">
        <v>875</v>
      </c>
      <c r="T1756" s="7">
        <v>5.0</v>
      </c>
      <c r="U1756" s="7" t="s">
        <v>876</v>
      </c>
      <c r="V1756" s="7" t="str">
        <f>VLOOKUP(U1756,Jogadores!B:C,2,0)</f>
        <v>MF</v>
      </c>
      <c r="W1756" s="8">
        <f>VLOOKUP(U1756,Jogadores!B:D,3,0)</f>
        <v>22.09589041</v>
      </c>
      <c r="X1756" s="7">
        <v>0.0</v>
      </c>
      <c r="Y1756" s="7">
        <v>67.0</v>
      </c>
      <c r="Z1756" s="7">
        <f>VLOOKUP(A1756,Jogos!A:L,3,0)</f>
        <v>48</v>
      </c>
      <c r="AA1756" s="7">
        <f t="shared" si="4815"/>
        <v>48</v>
      </c>
      <c r="AB1756" s="7">
        <f>VLOOKUP(A1756,Jogos!A:L,4,0)</f>
        <v>54</v>
      </c>
      <c r="AC1756" s="7">
        <f t="shared" si="5062"/>
        <v>22</v>
      </c>
      <c r="AD1756" s="7"/>
      <c r="AE1756" s="7"/>
      <c r="AF1756" s="7">
        <f t="shared" si="4566"/>
        <v>70</v>
      </c>
      <c r="AG1756" s="7">
        <v>8003.6</v>
      </c>
      <c r="AH1756" s="7">
        <v>3063.3</v>
      </c>
      <c r="AI1756" s="7">
        <v>3152.5</v>
      </c>
      <c r="AJ1756" s="7">
        <v>1242.6</v>
      </c>
      <c r="AK1756" s="7">
        <v>439.5</v>
      </c>
      <c r="AL1756" s="7">
        <v>105.7</v>
      </c>
      <c r="AM1756" s="7">
        <v>99.0</v>
      </c>
      <c r="AN1756" s="7">
        <v>30.0</v>
      </c>
      <c r="AO1756" s="7">
        <v>30.4</v>
      </c>
      <c r="AP1756" s="9">
        <f t="shared" ref="AP1756:AR1756" si="5507">AG1756/$AF1756</f>
        <v>114.3371429</v>
      </c>
      <c r="AQ1756" s="9">
        <f t="shared" si="5507"/>
        <v>43.76142857</v>
      </c>
      <c r="AR1756" s="9">
        <f t="shared" si="5507"/>
        <v>45.03571429</v>
      </c>
      <c r="AS1756" s="9">
        <f t="shared" si="4568"/>
        <v>88.79714286</v>
      </c>
      <c r="AT1756" s="9">
        <f t="shared" ref="AT1756:AV1756" si="5508">AJ1756/$AF1756</f>
        <v>17.75142857</v>
      </c>
      <c r="AU1756" s="9">
        <f t="shared" si="5508"/>
        <v>6.278571429</v>
      </c>
      <c r="AV1756" s="9">
        <f t="shared" si="5508"/>
        <v>1.51</v>
      </c>
      <c r="AW1756" s="9">
        <f t="shared" si="4570"/>
        <v>7.788571429</v>
      </c>
      <c r="AX1756" s="9">
        <f t="shared" ref="AX1756:AY1756" si="5509">AM1756/$AF1756</f>
        <v>1.414285714</v>
      </c>
      <c r="AY1756" s="9">
        <f t="shared" si="5509"/>
        <v>0.4285714286</v>
      </c>
      <c r="AZ1756" s="9">
        <f>VLOOKUP(A1756,Jogos!A:BN,58,0)</f>
        <v>29.525</v>
      </c>
      <c r="BA1756" s="9">
        <f>VLOOKUP(A1756,Jogos!A:BN,59,0)</f>
        <v>16</v>
      </c>
      <c r="BB1756" s="9">
        <f>VLOOKUP(A1756,Jogos!A:BN,60,0)</f>
        <v>43.5</v>
      </c>
      <c r="BC1756" s="9">
        <f>VLOOKUP(A1756,Jogos!A:BN,61,0)</f>
        <v>29.585</v>
      </c>
      <c r="BD1756" s="9">
        <f>VLOOKUP(A1756,Jogos!A:BN,62,0)</f>
        <v>521.65</v>
      </c>
      <c r="BE1756" s="9">
        <f>VLOOKUP(A1756,Jogos!A:BN,63,0)</f>
        <v>1.76</v>
      </c>
      <c r="BF1756" s="9">
        <f>VLOOKUP(A1756,Jogos!A:BN,64,0)</f>
        <v>22.615</v>
      </c>
      <c r="BG1756" s="9">
        <f>VLOOKUP(A1756,Jogos!A:BN,65,0)</f>
        <v>42.465</v>
      </c>
      <c r="BH1756" s="9">
        <f>VLOOKUP(A1756,Jogos!A:BN,66,0)</f>
        <v>27.27</v>
      </c>
      <c r="BI1756" s="9"/>
      <c r="BJ1756" s="9"/>
    </row>
    <row r="1757" hidden="1">
      <c r="A1757" s="2">
        <v>60.0</v>
      </c>
      <c r="B1757" s="2" t="s">
        <v>1380</v>
      </c>
      <c r="C1757" s="2" t="s">
        <v>1351</v>
      </c>
      <c r="D1757" s="3">
        <v>45843.0</v>
      </c>
      <c r="E1757" s="4">
        <v>0.6666666666666666</v>
      </c>
      <c r="F1757" s="5" t="str">
        <f>VLOOKUP(A1757,Jogos!A:N,10,0)</f>
        <v>Afternoon</v>
      </c>
      <c r="G1757" s="2" t="s">
        <v>249</v>
      </c>
      <c r="H1757" s="6" t="str">
        <f>VLOOKUP(A1757,Jogos!A:L,12,0)</f>
        <v>Open</v>
      </c>
      <c r="I1757" s="6" t="str">
        <f>VLOOKUP(G1757,'Estádios e Cidades'!A:B,2,0)</f>
        <v>East Rutherford</v>
      </c>
      <c r="J1757" s="2" t="s">
        <v>873</v>
      </c>
      <c r="K1757" s="2" t="str">
        <f>VLOOKUP(J1757,Equipes!A:F,6,0)</f>
        <v>Temperate</v>
      </c>
      <c r="L1757" s="2">
        <f>VLOOKUP(J1757,Equipes!A:C,3,0)</f>
        <v>3</v>
      </c>
      <c r="M1757" s="2" t="str">
        <f t="shared" si="4"/>
        <v>Semi-final</v>
      </c>
      <c r="N1757" s="2" t="s">
        <v>564</v>
      </c>
      <c r="O1757" s="2">
        <f>VLOOKUP(N1757,Equipes!A:C,3,0)</f>
        <v>5</v>
      </c>
      <c r="P1757" s="2" t="str">
        <f t="shared" si="5"/>
        <v>Quarter-final</v>
      </c>
      <c r="Q1757" s="2">
        <f t="shared" si="6"/>
        <v>-2</v>
      </c>
      <c r="R1757" s="2" t="str">
        <f>VLOOKUP(J1757,Equipes!A:B,2,0)</f>
        <v>Real</v>
      </c>
      <c r="S1757" s="6" t="s">
        <v>877</v>
      </c>
      <c r="T1757" s="7">
        <v>7.0</v>
      </c>
      <c r="U1757" s="7" t="s">
        <v>878</v>
      </c>
      <c r="V1757" s="7" t="str">
        <f>VLOOKUP(U1757,Jogadores!B:C,2,0)</f>
        <v>FW</v>
      </c>
      <c r="W1757" s="8">
        <f>VLOOKUP(U1757,Jogadores!B:D,3,0)</f>
        <v>25.06027397</v>
      </c>
      <c r="X1757" s="7">
        <v>0.0</v>
      </c>
      <c r="Y1757" s="7">
        <v>67.0</v>
      </c>
      <c r="Z1757" s="7">
        <f>VLOOKUP(A1757,Jogos!A:L,3,0)</f>
        <v>48</v>
      </c>
      <c r="AA1757" s="7">
        <f t="shared" si="4815"/>
        <v>48</v>
      </c>
      <c r="AB1757" s="7">
        <f>VLOOKUP(A1757,Jogos!A:L,4,0)</f>
        <v>54</v>
      </c>
      <c r="AC1757" s="7">
        <f t="shared" si="5062"/>
        <v>22</v>
      </c>
      <c r="AD1757" s="7"/>
      <c r="AE1757" s="7"/>
      <c r="AF1757" s="7">
        <f t="shared" si="4566"/>
        <v>70</v>
      </c>
      <c r="AG1757" s="7">
        <v>7323.4</v>
      </c>
      <c r="AH1757" s="7">
        <v>3487.6</v>
      </c>
      <c r="AI1757" s="7">
        <v>2142.6</v>
      </c>
      <c r="AJ1757" s="7">
        <v>850.6</v>
      </c>
      <c r="AK1757" s="7">
        <v>458.8</v>
      </c>
      <c r="AL1757" s="7">
        <v>383.9</v>
      </c>
      <c r="AM1757" s="7">
        <v>76.0</v>
      </c>
      <c r="AN1757" s="7">
        <v>35.0</v>
      </c>
      <c r="AO1757" s="7">
        <v>32.9</v>
      </c>
      <c r="AP1757" s="9">
        <f t="shared" ref="AP1757:AR1757" si="5510">AG1757/$AF1757</f>
        <v>104.62</v>
      </c>
      <c r="AQ1757" s="9">
        <f t="shared" si="5510"/>
        <v>49.82285714</v>
      </c>
      <c r="AR1757" s="9">
        <f t="shared" si="5510"/>
        <v>30.60857143</v>
      </c>
      <c r="AS1757" s="9">
        <f t="shared" si="4568"/>
        <v>80.43142857</v>
      </c>
      <c r="AT1757" s="9">
        <f t="shared" ref="AT1757:AV1757" si="5511">AJ1757/$AF1757</f>
        <v>12.15142857</v>
      </c>
      <c r="AU1757" s="9">
        <f t="shared" si="5511"/>
        <v>6.554285714</v>
      </c>
      <c r="AV1757" s="9">
        <f t="shared" si="5511"/>
        <v>5.484285714</v>
      </c>
      <c r="AW1757" s="9">
        <f t="shared" si="4570"/>
        <v>12.03857143</v>
      </c>
      <c r="AX1757" s="9">
        <f t="shared" ref="AX1757:AY1757" si="5512">AM1757/$AF1757</f>
        <v>1.085714286</v>
      </c>
      <c r="AY1757" s="9">
        <f t="shared" si="5512"/>
        <v>0.5</v>
      </c>
      <c r="AZ1757" s="9">
        <f>VLOOKUP(A1757,Jogos!A:BN,58,0)</f>
        <v>29.525</v>
      </c>
      <c r="BA1757" s="9">
        <f>VLOOKUP(A1757,Jogos!A:BN,59,0)</f>
        <v>16</v>
      </c>
      <c r="BB1757" s="9">
        <f>VLOOKUP(A1757,Jogos!A:BN,60,0)</f>
        <v>43.5</v>
      </c>
      <c r="BC1757" s="9">
        <f>VLOOKUP(A1757,Jogos!A:BN,61,0)</f>
        <v>29.585</v>
      </c>
      <c r="BD1757" s="9">
        <f>VLOOKUP(A1757,Jogos!A:BN,62,0)</f>
        <v>521.65</v>
      </c>
      <c r="BE1757" s="9">
        <f>VLOOKUP(A1757,Jogos!A:BN,63,0)</f>
        <v>1.76</v>
      </c>
      <c r="BF1757" s="9">
        <f>VLOOKUP(A1757,Jogos!A:BN,64,0)</f>
        <v>22.615</v>
      </c>
      <c r="BG1757" s="9">
        <f>VLOOKUP(A1757,Jogos!A:BN,65,0)</f>
        <v>42.465</v>
      </c>
      <c r="BH1757" s="9">
        <f>VLOOKUP(A1757,Jogos!A:BN,66,0)</f>
        <v>27.27</v>
      </c>
      <c r="BI1757" s="9"/>
      <c r="BJ1757" s="9"/>
    </row>
    <row r="1758" hidden="1">
      <c r="A1758" s="2">
        <v>60.0</v>
      </c>
      <c r="B1758" s="2" t="s">
        <v>1380</v>
      </c>
      <c r="C1758" s="2" t="s">
        <v>1351</v>
      </c>
      <c r="D1758" s="3">
        <v>45843.0</v>
      </c>
      <c r="E1758" s="4">
        <v>0.6666666666666666</v>
      </c>
      <c r="F1758" s="5" t="str">
        <f>VLOOKUP(A1758,Jogos!A:N,10,0)</f>
        <v>Afternoon</v>
      </c>
      <c r="G1758" s="2" t="s">
        <v>249</v>
      </c>
      <c r="H1758" s="6" t="str">
        <f>VLOOKUP(A1758,Jogos!A:L,12,0)</f>
        <v>Open</v>
      </c>
      <c r="I1758" s="6" t="str">
        <f>VLOOKUP(G1758,'Estádios e Cidades'!A:B,2,0)</f>
        <v>East Rutherford</v>
      </c>
      <c r="J1758" s="2" t="s">
        <v>873</v>
      </c>
      <c r="K1758" s="2" t="str">
        <f>VLOOKUP(J1758,Equipes!A:F,6,0)</f>
        <v>Temperate</v>
      </c>
      <c r="L1758" s="2">
        <f>VLOOKUP(J1758,Equipes!A:C,3,0)</f>
        <v>3</v>
      </c>
      <c r="M1758" s="2" t="str">
        <f t="shared" si="4"/>
        <v>Semi-final</v>
      </c>
      <c r="N1758" s="2" t="s">
        <v>564</v>
      </c>
      <c r="O1758" s="2">
        <f>VLOOKUP(N1758,Equipes!A:C,3,0)</f>
        <v>5</v>
      </c>
      <c r="P1758" s="2" t="str">
        <f t="shared" si="5"/>
        <v>Quarter-final</v>
      </c>
      <c r="Q1758" s="2">
        <f t="shared" si="6"/>
        <v>-2</v>
      </c>
      <c r="R1758" s="2" t="str">
        <f>VLOOKUP(J1758,Equipes!A:B,2,0)</f>
        <v>Real</v>
      </c>
      <c r="S1758" s="6" t="s">
        <v>879</v>
      </c>
      <c r="T1758" s="7">
        <v>8.0</v>
      </c>
      <c r="U1758" s="7" t="s">
        <v>880</v>
      </c>
      <c r="V1758" s="7" t="str">
        <f>VLOOKUP(U1758,Jogadores!B:C,2,0)</f>
        <v>MF</v>
      </c>
      <c r="W1758" s="8">
        <f>VLOOKUP(U1758,Jogadores!B:D,3,0)</f>
        <v>27.03561644</v>
      </c>
      <c r="X1758" s="7">
        <v>0.0</v>
      </c>
      <c r="Y1758" s="7">
        <f>45+AB1758</f>
        <v>99</v>
      </c>
      <c r="Z1758" s="7">
        <f>VLOOKUP(A1758,Jogos!A:L,3,0)</f>
        <v>48</v>
      </c>
      <c r="AA1758" s="7">
        <f t="shared" si="4815"/>
        <v>48</v>
      </c>
      <c r="AB1758" s="7">
        <f>VLOOKUP(A1758,Jogos!A:L,4,0)</f>
        <v>54</v>
      </c>
      <c r="AC1758" s="7">
        <f t="shared" si="5062"/>
        <v>54</v>
      </c>
      <c r="AD1758" s="7"/>
      <c r="AE1758" s="7"/>
      <c r="AF1758" s="7">
        <f t="shared" si="4566"/>
        <v>102</v>
      </c>
      <c r="AG1758" s="7">
        <v>10333.4</v>
      </c>
      <c r="AH1758" s="7">
        <v>3896.9</v>
      </c>
      <c r="AI1758" s="7">
        <v>4132.9</v>
      </c>
      <c r="AJ1758" s="7">
        <v>1395.3</v>
      </c>
      <c r="AK1758" s="7">
        <v>567.8</v>
      </c>
      <c r="AL1758" s="7">
        <v>340.5</v>
      </c>
      <c r="AM1758" s="7">
        <v>113.0</v>
      </c>
      <c r="AN1758" s="7">
        <v>47.0</v>
      </c>
      <c r="AO1758" s="7">
        <v>32.8</v>
      </c>
      <c r="AP1758" s="9">
        <f t="shared" ref="AP1758:AR1758" si="5513">AG1758/$AF1758</f>
        <v>101.3078431</v>
      </c>
      <c r="AQ1758" s="9">
        <f t="shared" si="5513"/>
        <v>38.20490196</v>
      </c>
      <c r="AR1758" s="9">
        <f t="shared" si="5513"/>
        <v>40.51862745</v>
      </c>
      <c r="AS1758" s="9">
        <f t="shared" si="4568"/>
        <v>78.72352941</v>
      </c>
      <c r="AT1758" s="9">
        <f t="shared" ref="AT1758:AV1758" si="5514">AJ1758/$AF1758</f>
        <v>13.67941176</v>
      </c>
      <c r="AU1758" s="9">
        <f t="shared" si="5514"/>
        <v>5.566666667</v>
      </c>
      <c r="AV1758" s="9">
        <f t="shared" si="5514"/>
        <v>3.338235294</v>
      </c>
      <c r="AW1758" s="9">
        <f t="shared" si="4570"/>
        <v>8.904901961</v>
      </c>
      <c r="AX1758" s="9">
        <f t="shared" ref="AX1758:AY1758" si="5515">AM1758/$AF1758</f>
        <v>1.107843137</v>
      </c>
      <c r="AY1758" s="9">
        <f t="shared" si="5515"/>
        <v>0.4607843137</v>
      </c>
      <c r="AZ1758" s="9">
        <f>VLOOKUP(A1758,Jogos!A:BN,58,0)</f>
        <v>29.525</v>
      </c>
      <c r="BA1758" s="9">
        <f>VLOOKUP(A1758,Jogos!A:BN,59,0)</f>
        <v>16</v>
      </c>
      <c r="BB1758" s="9">
        <f>VLOOKUP(A1758,Jogos!A:BN,60,0)</f>
        <v>43.5</v>
      </c>
      <c r="BC1758" s="9">
        <f>VLOOKUP(A1758,Jogos!A:BN,61,0)</f>
        <v>29.585</v>
      </c>
      <c r="BD1758" s="9">
        <f>VLOOKUP(A1758,Jogos!A:BN,62,0)</f>
        <v>521.65</v>
      </c>
      <c r="BE1758" s="9">
        <f>VLOOKUP(A1758,Jogos!A:BN,63,0)</f>
        <v>1.76</v>
      </c>
      <c r="BF1758" s="9">
        <f>VLOOKUP(A1758,Jogos!A:BN,64,0)</f>
        <v>22.615</v>
      </c>
      <c r="BG1758" s="9">
        <f>VLOOKUP(A1758,Jogos!A:BN,65,0)</f>
        <v>42.465</v>
      </c>
      <c r="BH1758" s="9">
        <f>VLOOKUP(A1758,Jogos!A:BN,66,0)</f>
        <v>27.27</v>
      </c>
      <c r="BI1758" s="9"/>
      <c r="BJ1758" s="9"/>
    </row>
    <row r="1759" hidden="1">
      <c r="A1759" s="2">
        <v>60.0</v>
      </c>
      <c r="B1759" s="2" t="s">
        <v>1380</v>
      </c>
      <c r="C1759" s="2" t="s">
        <v>1351</v>
      </c>
      <c r="D1759" s="3">
        <v>45843.0</v>
      </c>
      <c r="E1759" s="4">
        <v>0.6666666666666666</v>
      </c>
      <c r="F1759" s="5" t="str">
        <f>VLOOKUP(A1759,Jogos!A:N,10,0)</f>
        <v>Afternoon</v>
      </c>
      <c r="G1759" s="2" t="s">
        <v>249</v>
      </c>
      <c r="H1759" s="6" t="str">
        <f>VLOOKUP(A1759,Jogos!A:L,12,0)</f>
        <v>Open</v>
      </c>
      <c r="I1759" s="6" t="str">
        <f>VLOOKUP(G1759,'Estádios e Cidades'!A:B,2,0)</f>
        <v>East Rutherford</v>
      </c>
      <c r="J1759" s="2" t="s">
        <v>873</v>
      </c>
      <c r="K1759" s="2" t="str">
        <f>VLOOKUP(J1759,Equipes!A:F,6,0)</f>
        <v>Temperate</v>
      </c>
      <c r="L1759" s="2">
        <f>VLOOKUP(J1759,Equipes!A:C,3,0)</f>
        <v>3</v>
      </c>
      <c r="M1759" s="2" t="str">
        <f t="shared" si="4"/>
        <v>Semi-final</v>
      </c>
      <c r="N1759" s="2" t="s">
        <v>564</v>
      </c>
      <c r="O1759" s="2">
        <f>VLOOKUP(N1759,Equipes!A:C,3,0)</f>
        <v>5</v>
      </c>
      <c r="P1759" s="2" t="str">
        <f t="shared" si="5"/>
        <v>Quarter-final</v>
      </c>
      <c r="Q1759" s="2">
        <f t="shared" si="6"/>
        <v>-2</v>
      </c>
      <c r="R1759" s="2" t="str">
        <f>VLOOKUP(J1759,Equipes!A:B,2,0)</f>
        <v>Real</v>
      </c>
      <c r="S1759" s="6" t="s">
        <v>883</v>
      </c>
      <c r="T1759" s="7">
        <v>12.0</v>
      </c>
      <c r="U1759" s="7" t="s">
        <v>884</v>
      </c>
      <c r="V1759" s="7" t="str">
        <f>VLOOKUP(U1759,Jogadores!B:C,2,0)</f>
        <v>DF</v>
      </c>
      <c r="W1759" s="8">
        <f>VLOOKUP(U1759,Jogadores!B:D,3,0)</f>
        <v>26.82465753</v>
      </c>
      <c r="X1759" s="7">
        <v>0.0</v>
      </c>
      <c r="Y1759" s="7">
        <v>67.0</v>
      </c>
      <c r="Z1759" s="7">
        <f>VLOOKUP(A1759,Jogos!A:L,3,0)</f>
        <v>48</v>
      </c>
      <c r="AA1759" s="7">
        <f t="shared" si="4815"/>
        <v>48</v>
      </c>
      <c r="AB1759" s="7">
        <f>VLOOKUP(A1759,Jogos!A:L,4,0)</f>
        <v>54</v>
      </c>
      <c r="AC1759" s="7">
        <f t="shared" si="5062"/>
        <v>22</v>
      </c>
      <c r="AD1759" s="7"/>
      <c r="AE1759" s="7"/>
      <c r="AF1759" s="7">
        <f t="shared" si="4566"/>
        <v>70</v>
      </c>
      <c r="AG1759" s="7">
        <v>6722.7</v>
      </c>
      <c r="AH1759" s="7">
        <v>2999.4</v>
      </c>
      <c r="AI1759" s="7">
        <v>2778.5</v>
      </c>
      <c r="AJ1759" s="7">
        <v>557.9</v>
      </c>
      <c r="AK1759" s="7">
        <v>291.6</v>
      </c>
      <c r="AL1759" s="7">
        <v>95.3</v>
      </c>
      <c r="AM1759" s="7">
        <v>55.0</v>
      </c>
      <c r="AN1759" s="7">
        <v>22.0</v>
      </c>
      <c r="AO1759" s="7">
        <v>31.2</v>
      </c>
      <c r="AP1759" s="9">
        <f t="shared" ref="AP1759:AR1759" si="5516">AG1759/$AF1759</f>
        <v>96.03857143</v>
      </c>
      <c r="AQ1759" s="9">
        <f t="shared" si="5516"/>
        <v>42.84857143</v>
      </c>
      <c r="AR1759" s="9">
        <f t="shared" si="5516"/>
        <v>39.69285714</v>
      </c>
      <c r="AS1759" s="9">
        <f t="shared" si="4568"/>
        <v>82.54142857</v>
      </c>
      <c r="AT1759" s="9">
        <f t="shared" ref="AT1759:AV1759" si="5517">AJ1759/$AF1759</f>
        <v>7.97</v>
      </c>
      <c r="AU1759" s="9">
        <f t="shared" si="5517"/>
        <v>4.165714286</v>
      </c>
      <c r="AV1759" s="9">
        <f t="shared" si="5517"/>
        <v>1.361428571</v>
      </c>
      <c r="AW1759" s="9">
        <f t="shared" si="4570"/>
        <v>5.527142857</v>
      </c>
      <c r="AX1759" s="9">
        <f t="shared" ref="AX1759:AY1759" si="5518">AM1759/$AF1759</f>
        <v>0.7857142857</v>
      </c>
      <c r="AY1759" s="9">
        <f t="shared" si="5518"/>
        <v>0.3142857143</v>
      </c>
      <c r="AZ1759" s="9">
        <f>VLOOKUP(A1759,Jogos!A:BN,58,0)</f>
        <v>29.525</v>
      </c>
      <c r="BA1759" s="9">
        <f>VLOOKUP(A1759,Jogos!A:BN,59,0)</f>
        <v>16</v>
      </c>
      <c r="BB1759" s="9">
        <f>VLOOKUP(A1759,Jogos!A:BN,60,0)</f>
        <v>43.5</v>
      </c>
      <c r="BC1759" s="9">
        <f>VLOOKUP(A1759,Jogos!A:BN,61,0)</f>
        <v>29.585</v>
      </c>
      <c r="BD1759" s="9">
        <f>VLOOKUP(A1759,Jogos!A:BN,62,0)</f>
        <v>521.65</v>
      </c>
      <c r="BE1759" s="9">
        <f>VLOOKUP(A1759,Jogos!A:BN,63,0)</f>
        <v>1.76</v>
      </c>
      <c r="BF1759" s="9">
        <f>VLOOKUP(A1759,Jogos!A:BN,64,0)</f>
        <v>22.615</v>
      </c>
      <c r="BG1759" s="9">
        <f>VLOOKUP(A1759,Jogos!A:BN,65,0)</f>
        <v>42.465</v>
      </c>
      <c r="BH1759" s="9">
        <f>VLOOKUP(A1759,Jogos!A:BN,66,0)</f>
        <v>27.27</v>
      </c>
      <c r="BI1759" s="9"/>
      <c r="BJ1759" s="9"/>
    </row>
    <row r="1760" hidden="1">
      <c r="A1760" s="2">
        <v>60.0</v>
      </c>
      <c r="B1760" s="2" t="s">
        <v>1380</v>
      </c>
      <c r="C1760" s="2" t="s">
        <v>1351</v>
      </c>
      <c r="D1760" s="3">
        <v>45843.0</v>
      </c>
      <c r="E1760" s="4">
        <v>0.6666666666666666</v>
      </c>
      <c r="F1760" s="5" t="str">
        <f>VLOOKUP(A1760,Jogos!A:N,10,0)</f>
        <v>Afternoon</v>
      </c>
      <c r="G1760" s="2" t="s">
        <v>249</v>
      </c>
      <c r="H1760" s="6" t="str">
        <f>VLOOKUP(A1760,Jogos!A:L,12,0)</f>
        <v>Open</v>
      </c>
      <c r="I1760" s="6" t="str">
        <f>VLOOKUP(G1760,'Estádios e Cidades'!A:B,2,0)</f>
        <v>East Rutherford</v>
      </c>
      <c r="J1760" s="2" t="s">
        <v>873</v>
      </c>
      <c r="K1760" s="2" t="str">
        <f>VLOOKUP(J1760,Equipes!A:F,6,0)</f>
        <v>Temperate</v>
      </c>
      <c r="L1760" s="2">
        <f>VLOOKUP(J1760,Equipes!A:C,3,0)</f>
        <v>3</v>
      </c>
      <c r="M1760" s="2" t="str">
        <f t="shared" si="4"/>
        <v>Semi-final</v>
      </c>
      <c r="N1760" s="2" t="s">
        <v>564</v>
      </c>
      <c r="O1760" s="2">
        <f>VLOOKUP(N1760,Equipes!A:C,3,0)</f>
        <v>5</v>
      </c>
      <c r="P1760" s="2" t="str">
        <f t="shared" si="5"/>
        <v>Quarter-final</v>
      </c>
      <c r="Q1760" s="2">
        <f t="shared" si="6"/>
        <v>-2</v>
      </c>
      <c r="R1760" s="2" t="str">
        <f>VLOOKUP(J1760,Equipes!A:B,2,0)</f>
        <v>Real</v>
      </c>
      <c r="S1760" s="6" t="s">
        <v>885</v>
      </c>
      <c r="T1760" s="7">
        <v>14.0</v>
      </c>
      <c r="U1760" s="7" t="s">
        <v>886</v>
      </c>
      <c r="V1760" s="7" t="str">
        <f>VLOOKUP(U1760,Jogadores!B:C,2,0)</f>
        <v>MF</v>
      </c>
      <c r="W1760" s="8">
        <f>VLOOKUP(U1760,Jogadores!B:D,3,0)</f>
        <v>25.51780822</v>
      </c>
      <c r="X1760" s="7">
        <v>0.0</v>
      </c>
      <c r="Y1760" s="7">
        <v>85.0</v>
      </c>
      <c r="Z1760" s="7">
        <f>VLOOKUP(A1760,Jogos!A:L,3,0)</f>
        <v>48</v>
      </c>
      <c r="AA1760" s="7">
        <f t="shared" si="4815"/>
        <v>48</v>
      </c>
      <c r="AB1760" s="7">
        <f>VLOOKUP(A1760,Jogos!A:L,4,0)</f>
        <v>54</v>
      </c>
      <c r="AC1760" s="7">
        <f t="shared" si="5062"/>
        <v>40</v>
      </c>
      <c r="AD1760" s="7"/>
      <c r="AE1760" s="7"/>
      <c r="AF1760" s="7">
        <f t="shared" si="4566"/>
        <v>88</v>
      </c>
      <c r="AG1760" s="7">
        <v>9834.7</v>
      </c>
      <c r="AH1760" s="7">
        <v>3545.3</v>
      </c>
      <c r="AI1760" s="7">
        <v>4029.2</v>
      </c>
      <c r="AJ1760" s="7">
        <v>1579.5</v>
      </c>
      <c r="AK1760" s="7">
        <v>537.0</v>
      </c>
      <c r="AL1760" s="7">
        <v>143.6</v>
      </c>
      <c r="AM1760" s="7">
        <v>135.0</v>
      </c>
      <c r="AN1760" s="7">
        <v>44.0</v>
      </c>
      <c r="AO1760" s="7">
        <v>31.0</v>
      </c>
      <c r="AP1760" s="9">
        <f t="shared" ref="AP1760:AR1760" si="5519">AG1760/$AF1760</f>
        <v>111.7579545</v>
      </c>
      <c r="AQ1760" s="9">
        <f t="shared" si="5519"/>
        <v>40.2875</v>
      </c>
      <c r="AR1760" s="9">
        <f t="shared" si="5519"/>
        <v>45.78636364</v>
      </c>
      <c r="AS1760" s="9">
        <f t="shared" si="4568"/>
        <v>86.07386364</v>
      </c>
      <c r="AT1760" s="9">
        <f t="shared" ref="AT1760:AV1760" si="5520">AJ1760/$AF1760</f>
        <v>17.94886364</v>
      </c>
      <c r="AU1760" s="9">
        <f t="shared" si="5520"/>
        <v>6.102272727</v>
      </c>
      <c r="AV1760" s="9">
        <f t="shared" si="5520"/>
        <v>1.631818182</v>
      </c>
      <c r="AW1760" s="9">
        <f t="shared" si="4570"/>
        <v>7.734090909</v>
      </c>
      <c r="AX1760" s="9">
        <f t="shared" ref="AX1760:AY1760" si="5521">AM1760/$AF1760</f>
        <v>1.534090909</v>
      </c>
      <c r="AY1760" s="9">
        <f t="shared" si="5521"/>
        <v>0.5</v>
      </c>
      <c r="AZ1760" s="9">
        <f>VLOOKUP(A1760,Jogos!A:BN,58,0)</f>
        <v>29.525</v>
      </c>
      <c r="BA1760" s="9">
        <f>VLOOKUP(A1760,Jogos!A:BN,59,0)</f>
        <v>16</v>
      </c>
      <c r="BB1760" s="9">
        <f>VLOOKUP(A1760,Jogos!A:BN,60,0)</f>
        <v>43.5</v>
      </c>
      <c r="BC1760" s="9">
        <f>VLOOKUP(A1760,Jogos!A:BN,61,0)</f>
        <v>29.585</v>
      </c>
      <c r="BD1760" s="9">
        <f>VLOOKUP(A1760,Jogos!A:BN,62,0)</f>
        <v>521.65</v>
      </c>
      <c r="BE1760" s="9">
        <f>VLOOKUP(A1760,Jogos!A:BN,63,0)</f>
        <v>1.76</v>
      </c>
      <c r="BF1760" s="9">
        <f>VLOOKUP(A1760,Jogos!A:BN,64,0)</f>
        <v>22.615</v>
      </c>
      <c r="BG1760" s="9">
        <f>VLOOKUP(A1760,Jogos!A:BN,65,0)</f>
        <v>42.465</v>
      </c>
      <c r="BH1760" s="9">
        <f>VLOOKUP(A1760,Jogos!A:BN,66,0)</f>
        <v>27.27</v>
      </c>
      <c r="BI1760" s="9"/>
      <c r="BJ1760" s="9"/>
    </row>
    <row r="1761" hidden="1">
      <c r="A1761" s="2">
        <v>60.0</v>
      </c>
      <c r="B1761" s="2" t="s">
        <v>1380</v>
      </c>
      <c r="C1761" s="2" t="s">
        <v>1351</v>
      </c>
      <c r="D1761" s="3">
        <v>45843.0</v>
      </c>
      <c r="E1761" s="4">
        <v>0.6666666666666666</v>
      </c>
      <c r="F1761" s="5" t="str">
        <f>VLOOKUP(A1761,Jogos!A:N,10,0)</f>
        <v>Afternoon</v>
      </c>
      <c r="G1761" s="2" t="s">
        <v>249</v>
      </c>
      <c r="H1761" s="6" t="str">
        <f>VLOOKUP(A1761,Jogos!A:L,12,0)</f>
        <v>Open</v>
      </c>
      <c r="I1761" s="6" t="str">
        <f>VLOOKUP(G1761,'Estádios e Cidades'!A:B,2,0)</f>
        <v>East Rutherford</v>
      </c>
      <c r="J1761" s="2" t="s">
        <v>873</v>
      </c>
      <c r="K1761" s="2" t="str">
        <f>VLOOKUP(J1761,Equipes!A:F,6,0)</f>
        <v>Temperate</v>
      </c>
      <c r="L1761" s="2">
        <f>VLOOKUP(J1761,Equipes!A:C,3,0)</f>
        <v>3</v>
      </c>
      <c r="M1761" s="2" t="str">
        <f t="shared" si="4"/>
        <v>Semi-final</v>
      </c>
      <c r="N1761" s="2" t="s">
        <v>564</v>
      </c>
      <c r="O1761" s="2">
        <f>VLOOKUP(N1761,Equipes!A:C,3,0)</f>
        <v>5</v>
      </c>
      <c r="P1761" s="2" t="str">
        <f t="shared" si="5"/>
        <v>Quarter-final</v>
      </c>
      <c r="Q1761" s="2">
        <f t="shared" si="6"/>
        <v>-2</v>
      </c>
      <c r="R1761" s="2" t="str">
        <f>VLOOKUP(J1761,Equipes!A:B,2,0)</f>
        <v>Real</v>
      </c>
      <c r="S1761" s="6" t="s">
        <v>897</v>
      </c>
      <c r="T1761" s="7">
        <v>15.0</v>
      </c>
      <c r="U1761" s="7" t="s">
        <v>898</v>
      </c>
      <c r="V1761" s="7" t="str">
        <f>VLOOKUP(U1761,Jogadores!B:C,2,0)</f>
        <v>MF</v>
      </c>
      <c r="W1761" s="8">
        <f>VLOOKUP(U1761,Jogadores!B:D,3,0)</f>
        <v>20.43287671</v>
      </c>
      <c r="X1761" s="7">
        <v>0.0</v>
      </c>
      <c r="Y1761" s="7">
        <f t="shared" ref="Y1761:Y1763" si="5525">45+AB1761</f>
        <v>99</v>
      </c>
      <c r="Z1761" s="7">
        <f>VLOOKUP(A1761,Jogos!A:L,3,0)</f>
        <v>48</v>
      </c>
      <c r="AA1761" s="7">
        <f t="shared" si="4815"/>
        <v>48</v>
      </c>
      <c r="AB1761" s="7">
        <f>VLOOKUP(A1761,Jogos!A:L,4,0)</f>
        <v>54</v>
      </c>
      <c r="AC1761" s="7">
        <f t="shared" si="5062"/>
        <v>54</v>
      </c>
      <c r="AD1761" s="7"/>
      <c r="AE1761" s="7"/>
      <c r="AF1761" s="7">
        <f t="shared" si="4566"/>
        <v>102</v>
      </c>
      <c r="AG1761" s="7">
        <v>11249.2</v>
      </c>
      <c r="AH1761" s="7">
        <v>3706.9</v>
      </c>
      <c r="AI1761" s="7">
        <v>5087.8</v>
      </c>
      <c r="AJ1761" s="7">
        <v>1835.6</v>
      </c>
      <c r="AK1761" s="7">
        <v>543.6</v>
      </c>
      <c r="AL1761" s="7">
        <v>75.3</v>
      </c>
      <c r="AM1761" s="7">
        <v>147.0</v>
      </c>
      <c r="AN1761" s="7">
        <v>38.0</v>
      </c>
      <c r="AO1761" s="7">
        <v>29.1</v>
      </c>
      <c r="AP1761" s="9">
        <f t="shared" ref="AP1761:AR1761" si="5522">AG1761/$AF1761</f>
        <v>110.2862745</v>
      </c>
      <c r="AQ1761" s="9">
        <f t="shared" si="5522"/>
        <v>36.34215686</v>
      </c>
      <c r="AR1761" s="9">
        <f t="shared" si="5522"/>
        <v>49.88039216</v>
      </c>
      <c r="AS1761" s="9">
        <f t="shared" si="4568"/>
        <v>86.22254902</v>
      </c>
      <c r="AT1761" s="9">
        <f t="shared" ref="AT1761:AV1761" si="5523">AJ1761/$AF1761</f>
        <v>17.99607843</v>
      </c>
      <c r="AU1761" s="9">
        <f t="shared" si="5523"/>
        <v>5.329411765</v>
      </c>
      <c r="AV1761" s="9">
        <f t="shared" si="5523"/>
        <v>0.7382352941</v>
      </c>
      <c r="AW1761" s="9">
        <f t="shared" si="4570"/>
        <v>6.067647059</v>
      </c>
      <c r="AX1761" s="9">
        <f t="shared" ref="AX1761:AY1761" si="5524">AM1761/$AF1761</f>
        <v>1.441176471</v>
      </c>
      <c r="AY1761" s="9">
        <f t="shared" si="5524"/>
        <v>0.3725490196</v>
      </c>
      <c r="AZ1761" s="9">
        <f>VLOOKUP(A1761,Jogos!A:BN,58,0)</f>
        <v>29.525</v>
      </c>
      <c r="BA1761" s="9">
        <f>VLOOKUP(A1761,Jogos!A:BN,59,0)</f>
        <v>16</v>
      </c>
      <c r="BB1761" s="9">
        <f>VLOOKUP(A1761,Jogos!A:BN,60,0)</f>
        <v>43.5</v>
      </c>
      <c r="BC1761" s="9">
        <f>VLOOKUP(A1761,Jogos!A:BN,61,0)</f>
        <v>29.585</v>
      </c>
      <c r="BD1761" s="9">
        <f>VLOOKUP(A1761,Jogos!A:BN,62,0)</f>
        <v>521.65</v>
      </c>
      <c r="BE1761" s="9">
        <f>VLOOKUP(A1761,Jogos!A:BN,63,0)</f>
        <v>1.76</v>
      </c>
      <c r="BF1761" s="9">
        <f>VLOOKUP(A1761,Jogos!A:BN,64,0)</f>
        <v>22.615</v>
      </c>
      <c r="BG1761" s="9">
        <f>VLOOKUP(A1761,Jogos!A:BN,65,0)</f>
        <v>42.465</v>
      </c>
      <c r="BH1761" s="9">
        <f>VLOOKUP(A1761,Jogos!A:BN,66,0)</f>
        <v>27.27</v>
      </c>
      <c r="BI1761" s="9"/>
      <c r="BJ1761" s="9"/>
    </row>
    <row r="1762" hidden="1">
      <c r="A1762" s="2">
        <v>60.0</v>
      </c>
      <c r="B1762" s="2" t="s">
        <v>1380</v>
      </c>
      <c r="C1762" s="2" t="s">
        <v>1351</v>
      </c>
      <c r="D1762" s="3">
        <v>45843.0</v>
      </c>
      <c r="E1762" s="4">
        <v>0.6666666666666666</v>
      </c>
      <c r="F1762" s="5" t="str">
        <f>VLOOKUP(A1762,Jogos!A:N,10,0)</f>
        <v>Afternoon</v>
      </c>
      <c r="G1762" s="2" t="s">
        <v>249</v>
      </c>
      <c r="H1762" s="6" t="str">
        <f>VLOOKUP(A1762,Jogos!A:L,12,0)</f>
        <v>Open</v>
      </c>
      <c r="I1762" s="6" t="str">
        <f>VLOOKUP(G1762,'Estádios e Cidades'!A:B,2,0)</f>
        <v>East Rutherford</v>
      </c>
      <c r="J1762" s="2" t="s">
        <v>873</v>
      </c>
      <c r="K1762" s="2" t="str">
        <f>VLOOKUP(J1762,Equipes!A:F,6,0)</f>
        <v>Temperate</v>
      </c>
      <c r="L1762" s="2">
        <f>VLOOKUP(J1762,Equipes!A:C,3,0)</f>
        <v>3</v>
      </c>
      <c r="M1762" s="2" t="str">
        <f t="shared" si="4"/>
        <v>Semi-final</v>
      </c>
      <c r="N1762" s="2" t="s">
        <v>564</v>
      </c>
      <c r="O1762" s="2">
        <f>VLOOKUP(N1762,Equipes!A:C,3,0)</f>
        <v>5</v>
      </c>
      <c r="P1762" s="2" t="str">
        <f t="shared" si="5"/>
        <v>Quarter-final</v>
      </c>
      <c r="Q1762" s="2">
        <f t="shared" si="6"/>
        <v>-2</v>
      </c>
      <c r="R1762" s="2" t="str">
        <f>VLOOKUP(J1762,Equipes!A:B,2,0)</f>
        <v>Real</v>
      </c>
      <c r="S1762" s="6" t="s">
        <v>887</v>
      </c>
      <c r="T1762" s="7">
        <v>20.0</v>
      </c>
      <c r="U1762" s="7" t="s">
        <v>888</v>
      </c>
      <c r="V1762" s="7" t="str">
        <f>VLOOKUP(U1762,Jogadores!B:C,2,0)</f>
        <v>DF</v>
      </c>
      <c r="W1762" s="8">
        <f>VLOOKUP(U1762,Jogadores!B:D,3,0)</f>
        <v>25.97260274</v>
      </c>
      <c r="X1762" s="7">
        <v>0.0</v>
      </c>
      <c r="Y1762" s="7">
        <f t="shared" si="5525"/>
        <v>99</v>
      </c>
      <c r="Z1762" s="7">
        <f>VLOOKUP(A1762,Jogos!A:L,3,0)</f>
        <v>48</v>
      </c>
      <c r="AA1762" s="7">
        <f t="shared" si="4815"/>
        <v>48</v>
      </c>
      <c r="AB1762" s="7">
        <f>VLOOKUP(A1762,Jogos!A:L,4,0)</f>
        <v>54</v>
      </c>
      <c r="AC1762" s="7">
        <f t="shared" si="5062"/>
        <v>54</v>
      </c>
      <c r="AD1762" s="7"/>
      <c r="AE1762" s="7"/>
      <c r="AF1762" s="7">
        <f t="shared" si="4566"/>
        <v>102</v>
      </c>
      <c r="AG1762" s="7">
        <v>10714.6</v>
      </c>
      <c r="AH1762" s="7">
        <v>3990.8</v>
      </c>
      <c r="AI1762" s="7">
        <v>4373.1</v>
      </c>
      <c r="AJ1762" s="7">
        <v>1249.8</v>
      </c>
      <c r="AK1762" s="7">
        <v>674.4</v>
      </c>
      <c r="AL1762" s="7">
        <v>426.6</v>
      </c>
      <c r="AM1762" s="7">
        <v>104.0</v>
      </c>
      <c r="AN1762" s="7">
        <v>60.0</v>
      </c>
      <c r="AO1762" s="7">
        <v>32.4</v>
      </c>
      <c r="AP1762" s="9">
        <f t="shared" ref="AP1762:AR1762" si="5526">AG1762/$AF1762</f>
        <v>105.045098</v>
      </c>
      <c r="AQ1762" s="9">
        <f t="shared" si="5526"/>
        <v>39.1254902</v>
      </c>
      <c r="AR1762" s="9">
        <f t="shared" si="5526"/>
        <v>42.87352941</v>
      </c>
      <c r="AS1762" s="9">
        <f t="shared" si="4568"/>
        <v>81.99901961</v>
      </c>
      <c r="AT1762" s="9">
        <f t="shared" ref="AT1762:AV1762" si="5527">AJ1762/$AF1762</f>
        <v>12.25294118</v>
      </c>
      <c r="AU1762" s="9">
        <f t="shared" si="5527"/>
        <v>6.611764706</v>
      </c>
      <c r="AV1762" s="9">
        <f t="shared" si="5527"/>
        <v>4.182352941</v>
      </c>
      <c r="AW1762" s="9">
        <f t="shared" si="4570"/>
        <v>10.79411765</v>
      </c>
      <c r="AX1762" s="9">
        <f t="shared" ref="AX1762:AY1762" si="5528">AM1762/$AF1762</f>
        <v>1.019607843</v>
      </c>
      <c r="AY1762" s="9">
        <f t="shared" si="5528"/>
        <v>0.5882352941</v>
      </c>
      <c r="AZ1762" s="9">
        <f>VLOOKUP(A1762,Jogos!A:BN,58,0)</f>
        <v>29.525</v>
      </c>
      <c r="BA1762" s="9">
        <f>VLOOKUP(A1762,Jogos!A:BN,59,0)</f>
        <v>16</v>
      </c>
      <c r="BB1762" s="9">
        <f>VLOOKUP(A1762,Jogos!A:BN,60,0)</f>
        <v>43.5</v>
      </c>
      <c r="BC1762" s="9">
        <f>VLOOKUP(A1762,Jogos!A:BN,61,0)</f>
        <v>29.585</v>
      </c>
      <c r="BD1762" s="9">
        <f>VLOOKUP(A1762,Jogos!A:BN,62,0)</f>
        <v>521.65</v>
      </c>
      <c r="BE1762" s="9">
        <f>VLOOKUP(A1762,Jogos!A:BN,63,0)</f>
        <v>1.76</v>
      </c>
      <c r="BF1762" s="9">
        <f>VLOOKUP(A1762,Jogos!A:BN,64,0)</f>
        <v>22.615</v>
      </c>
      <c r="BG1762" s="9">
        <f>VLOOKUP(A1762,Jogos!A:BN,65,0)</f>
        <v>42.465</v>
      </c>
      <c r="BH1762" s="9">
        <f>VLOOKUP(A1762,Jogos!A:BN,66,0)</f>
        <v>27.27</v>
      </c>
      <c r="BI1762" s="9"/>
      <c r="BJ1762" s="9"/>
    </row>
    <row r="1763" hidden="1">
      <c r="A1763" s="2">
        <v>60.0</v>
      </c>
      <c r="B1763" s="2" t="s">
        <v>1380</v>
      </c>
      <c r="C1763" s="2" t="s">
        <v>1351</v>
      </c>
      <c r="D1763" s="3">
        <v>45843.0</v>
      </c>
      <c r="E1763" s="4">
        <v>0.6666666666666666</v>
      </c>
      <c r="F1763" s="5" t="str">
        <f>VLOOKUP(A1763,Jogos!A:N,10,0)</f>
        <v>Afternoon</v>
      </c>
      <c r="G1763" s="2" t="s">
        <v>249</v>
      </c>
      <c r="H1763" s="6" t="str">
        <f>VLOOKUP(A1763,Jogos!A:L,12,0)</f>
        <v>Open</v>
      </c>
      <c r="I1763" s="6" t="str">
        <f>VLOOKUP(G1763,'Estádios e Cidades'!A:B,2,0)</f>
        <v>East Rutherford</v>
      </c>
      <c r="J1763" s="2" t="s">
        <v>873</v>
      </c>
      <c r="K1763" s="2" t="str">
        <f>VLOOKUP(J1763,Equipes!A:F,6,0)</f>
        <v>Temperate</v>
      </c>
      <c r="L1763" s="2">
        <f>VLOOKUP(J1763,Equipes!A:C,3,0)</f>
        <v>3</v>
      </c>
      <c r="M1763" s="2" t="str">
        <f t="shared" si="4"/>
        <v>Semi-final</v>
      </c>
      <c r="N1763" s="2" t="s">
        <v>564</v>
      </c>
      <c r="O1763" s="2">
        <f>VLOOKUP(N1763,Equipes!A:C,3,0)</f>
        <v>5</v>
      </c>
      <c r="P1763" s="2" t="str">
        <f t="shared" si="5"/>
        <v>Quarter-final</v>
      </c>
      <c r="Q1763" s="2">
        <f t="shared" si="6"/>
        <v>-2</v>
      </c>
      <c r="R1763" s="2" t="str">
        <f>VLOOKUP(J1763,Equipes!A:B,2,0)</f>
        <v>Real</v>
      </c>
      <c r="S1763" s="6" t="s">
        <v>1203</v>
      </c>
      <c r="T1763" s="7">
        <v>22.0</v>
      </c>
      <c r="U1763" s="7" t="s">
        <v>1204</v>
      </c>
      <c r="V1763" s="7" t="str">
        <f>VLOOKUP(U1763,Jogadores!B:C,2,0)</f>
        <v>DF</v>
      </c>
      <c r="W1763" s="8">
        <f>VLOOKUP(U1763,Jogadores!B:D,3,0)</f>
        <v>32.42465753</v>
      </c>
      <c r="X1763" s="7">
        <v>0.0</v>
      </c>
      <c r="Y1763" s="7">
        <f t="shared" si="5525"/>
        <v>99</v>
      </c>
      <c r="Z1763" s="7">
        <f>VLOOKUP(A1763,Jogos!A:L,3,0)</f>
        <v>48</v>
      </c>
      <c r="AA1763" s="7">
        <f t="shared" si="4815"/>
        <v>48</v>
      </c>
      <c r="AB1763" s="7">
        <f>VLOOKUP(A1763,Jogos!A:L,4,0)</f>
        <v>54</v>
      </c>
      <c r="AC1763" s="7">
        <f t="shared" si="5062"/>
        <v>54</v>
      </c>
      <c r="AD1763" s="7"/>
      <c r="AE1763" s="7"/>
      <c r="AF1763" s="7">
        <f t="shared" si="4566"/>
        <v>102</v>
      </c>
      <c r="AG1763" s="7">
        <v>9398.7</v>
      </c>
      <c r="AH1763" s="7">
        <v>4285.0</v>
      </c>
      <c r="AI1763" s="7">
        <v>4038.4</v>
      </c>
      <c r="AJ1763" s="7">
        <v>677.5</v>
      </c>
      <c r="AK1763" s="7">
        <v>319.5</v>
      </c>
      <c r="AL1763" s="7">
        <v>78.3</v>
      </c>
      <c r="AM1763" s="7">
        <v>61.0</v>
      </c>
      <c r="AN1763" s="7">
        <v>22.0</v>
      </c>
      <c r="AO1763" s="7">
        <v>28.1</v>
      </c>
      <c r="AP1763" s="9">
        <f t="shared" ref="AP1763:AR1763" si="5529">AG1763/$AF1763</f>
        <v>92.14411765</v>
      </c>
      <c r="AQ1763" s="9">
        <f t="shared" si="5529"/>
        <v>42.00980392</v>
      </c>
      <c r="AR1763" s="9">
        <f t="shared" si="5529"/>
        <v>39.59215686</v>
      </c>
      <c r="AS1763" s="9">
        <f t="shared" si="4568"/>
        <v>81.60196078</v>
      </c>
      <c r="AT1763" s="9">
        <f t="shared" ref="AT1763:AV1763" si="5530">AJ1763/$AF1763</f>
        <v>6.642156863</v>
      </c>
      <c r="AU1763" s="9">
        <f t="shared" si="5530"/>
        <v>3.132352941</v>
      </c>
      <c r="AV1763" s="9">
        <f t="shared" si="5530"/>
        <v>0.7676470588</v>
      </c>
      <c r="AW1763" s="9">
        <f t="shared" si="4570"/>
        <v>3.9</v>
      </c>
      <c r="AX1763" s="9">
        <f t="shared" ref="AX1763:AY1763" si="5531">AM1763/$AF1763</f>
        <v>0.5980392157</v>
      </c>
      <c r="AY1763" s="9">
        <f t="shared" si="5531"/>
        <v>0.2156862745</v>
      </c>
      <c r="AZ1763" s="9">
        <f>VLOOKUP(A1763,Jogos!A:BN,58,0)</f>
        <v>29.525</v>
      </c>
      <c r="BA1763" s="9">
        <f>VLOOKUP(A1763,Jogos!A:BN,59,0)</f>
        <v>16</v>
      </c>
      <c r="BB1763" s="9">
        <f>VLOOKUP(A1763,Jogos!A:BN,60,0)</f>
        <v>43.5</v>
      </c>
      <c r="BC1763" s="9">
        <f>VLOOKUP(A1763,Jogos!A:BN,61,0)</f>
        <v>29.585</v>
      </c>
      <c r="BD1763" s="9">
        <f>VLOOKUP(A1763,Jogos!A:BN,62,0)</f>
        <v>521.65</v>
      </c>
      <c r="BE1763" s="9">
        <f>VLOOKUP(A1763,Jogos!A:BN,63,0)</f>
        <v>1.76</v>
      </c>
      <c r="BF1763" s="9">
        <f>VLOOKUP(A1763,Jogos!A:BN,64,0)</f>
        <v>22.615</v>
      </c>
      <c r="BG1763" s="9">
        <f>VLOOKUP(A1763,Jogos!A:BN,65,0)</f>
        <v>42.465</v>
      </c>
      <c r="BH1763" s="9">
        <f>VLOOKUP(A1763,Jogos!A:BN,66,0)</f>
        <v>27.27</v>
      </c>
      <c r="BI1763" s="9"/>
      <c r="BJ1763" s="9"/>
    </row>
    <row r="1764" hidden="1">
      <c r="A1764" s="2">
        <v>60.0</v>
      </c>
      <c r="B1764" s="2" t="s">
        <v>1380</v>
      </c>
      <c r="C1764" s="2" t="s">
        <v>1351</v>
      </c>
      <c r="D1764" s="3">
        <v>45843.0</v>
      </c>
      <c r="E1764" s="4">
        <v>0.6666666666666666</v>
      </c>
      <c r="F1764" s="5" t="str">
        <f>VLOOKUP(A1764,Jogos!A:N,10,0)</f>
        <v>Afternoon</v>
      </c>
      <c r="G1764" s="2" t="s">
        <v>249</v>
      </c>
      <c r="H1764" s="6" t="str">
        <f>VLOOKUP(A1764,Jogos!A:L,12,0)</f>
        <v>Open</v>
      </c>
      <c r="I1764" s="6" t="str">
        <f>VLOOKUP(G1764,'Estádios e Cidades'!A:B,2,0)</f>
        <v>East Rutherford</v>
      </c>
      <c r="J1764" s="2" t="s">
        <v>873</v>
      </c>
      <c r="K1764" s="2" t="str">
        <f>VLOOKUP(J1764,Equipes!A:F,6,0)</f>
        <v>Temperate</v>
      </c>
      <c r="L1764" s="2">
        <f>VLOOKUP(J1764,Equipes!A:C,3,0)</f>
        <v>3</v>
      </c>
      <c r="M1764" s="2" t="str">
        <f t="shared" si="4"/>
        <v>Semi-final</v>
      </c>
      <c r="N1764" s="2" t="s">
        <v>564</v>
      </c>
      <c r="O1764" s="2">
        <f>VLOOKUP(N1764,Equipes!A:C,3,0)</f>
        <v>5</v>
      </c>
      <c r="P1764" s="2" t="str">
        <f t="shared" si="5"/>
        <v>Quarter-final</v>
      </c>
      <c r="Q1764" s="2">
        <f t="shared" si="6"/>
        <v>-2</v>
      </c>
      <c r="R1764" s="2" t="str">
        <f>VLOOKUP(J1764,Equipes!A:B,2,0)</f>
        <v>Real</v>
      </c>
      <c r="S1764" s="6" t="s">
        <v>889</v>
      </c>
      <c r="T1764" s="7">
        <v>24.0</v>
      </c>
      <c r="U1764" s="7" t="s">
        <v>890</v>
      </c>
      <c r="V1764" s="7" t="str">
        <f>VLOOKUP(U1764,Jogadores!B:C,2,0)</f>
        <v>DF</v>
      </c>
      <c r="W1764" s="8">
        <f>VLOOKUP(U1764,Jogadores!B:D,3,0)</f>
        <v>20.30136986</v>
      </c>
      <c r="X1764" s="7">
        <v>0.0</v>
      </c>
      <c r="Y1764" s="7">
        <v>95.0</v>
      </c>
      <c r="Z1764" s="7">
        <f>VLOOKUP(A1764,Jogos!A:L,3,0)</f>
        <v>48</v>
      </c>
      <c r="AA1764" s="7">
        <f t="shared" si="4815"/>
        <v>48</v>
      </c>
      <c r="AB1764" s="7">
        <f>VLOOKUP(A1764,Jogos!A:L,4,0)</f>
        <v>54</v>
      </c>
      <c r="AC1764" s="7">
        <f t="shared" si="5062"/>
        <v>50</v>
      </c>
      <c r="AD1764" s="7"/>
      <c r="AE1764" s="7"/>
      <c r="AF1764" s="7">
        <f t="shared" si="4566"/>
        <v>98</v>
      </c>
      <c r="AG1764" s="7">
        <v>9789.8</v>
      </c>
      <c r="AH1764" s="7">
        <v>4056.8</v>
      </c>
      <c r="AI1764" s="7">
        <v>4288.1</v>
      </c>
      <c r="AJ1764" s="7">
        <v>950.5</v>
      </c>
      <c r="AK1764" s="7">
        <v>323.4</v>
      </c>
      <c r="AL1764" s="7">
        <v>170.9</v>
      </c>
      <c r="AM1764" s="7">
        <v>90.0</v>
      </c>
      <c r="AN1764" s="7">
        <v>27.0</v>
      </c>
      <c r="AO1764" s="7">
        <v>31.9</v>
      </c>
      <c r="AP1764" s="9">
        <f t="shared" ref="AP1764:AR1764" si="5532">AG1764/$AF1764</f>
        <v>99.89591837</v>
      </c>
      <c r="AQ1764" s="9">
        <f t="shared" si="5532"/>
        <v>41.39591837</v>
      </c>
      <c r="AR1764" s="9">
        <f t="shared" si="5532"/>
        <v>43.75612245</v>
      </c>
      <c r="AS1764" s="9">
        <f t="shared" si="4568"/>
        <v>85.15204082</v>
      </c>
      <c r="AT1764" s="9">
        <f t="shared" ref="AT1764:AV1764" si="5533">AJ1764/$AF1764</f>
        <v>9.698979592</v>
      </c>
      <c r="AU1764" s="9">
        <f t="shared" si="5533"/>
        <v>3.3</v>
      </c>
      <c r="AV1764" s="9">
        <f t="shared" si="5533"/>
        <v>1.743877551</v>
      </c>
      <c r="AW1764" s="9">
        <f t="shared" si="4570"/>
        <v>5.043877551</v>
      </c>
      <c r="AX1764" s="9">
        <f t="shared" ref="AX1764:AY1764" si="5534">AM1764/$AF1764</f>
        <v>0.9183673469</v>
      </c>
      <c r="AY1764" s="9">
        <f t="shared" si="5534"/>
        <v>0.2755102041</v>
      </c>
      <c r="AZ1764" s="9">
        <f>VLOOKUP(A1764,Jogos!A:BN,58,0)</f>
        <v>29.525</v>
      </c>
      <c r="BA1764" s="9">
        <f>VLOOKUP(A1764,Jogos!A:BN,59,0)</f>
        <v>16</v>
      </c>
      <c r="BB1764" s="9">
        <f>VLOOKUP(A1764,Jogos!A:BN,60,0)</f>
        <v>43.5</v>
      </c>
      <c r="BC1764" s="9">
        <f>VLOOKUP(A1764,Jogos!A:BN,61,0)</f>
        <v>29.585</v>
      </c>
      <c r="BD1764" s="9">
        <f>VLOOKUP(A1764,Jogos!A:BN,62,0)</f>
        <v>521.65</v>
      </c>
      <c r="BE1764" s="9">
        <f>VLOOKUP(A1764,Jogos!A:BN,63,0)</f>
        <v>1.76</v>
      </c>
      <c r="BF1764" s="9">
        <f>VLOOKUP(A1764,Jogos!A:BN,64,0)</f>
        <v>22.615</v>
      </c>
      <c r="BG1764" s="9">
        <f>VLOOKUP(A1764,Jogos!A:BN,65,0)</f>
        <v>42.465</v>
      </c>
      <c r="BH1764" s="9">
        <f>VLOOKUP(A1764,Jogos!A:BN,66,0)</f>
        <v>27.27</v>
      </c>
      <c r="BI1764" s="9"/>
      <c r="BJ1764" s="9"/>
    </row>
    <row r="1765" hidden="1">
      <c r="A1765" s="2">
        <v>60.0</v>
      </c>
      <c r="B1765" s="2" t="s">
        <v>1380</v>
      </c>
      <c r="C1765" s="2" t="s">
        <v>1351</v>
      </c>
      <c r="D1765" s="3">
        <v>45843.0</v>
      </c>
      <c r="E1765" s="4">
        <v>0.6666666666666666</v>
      </c>
      <c r="F1765" s="5" t="str">
        <f>VLOOKUP(A1765,Jogos!A:N,10,0)</f>
        <v>Afternoon</v>
      </c>
      <c r="G1765" s="2" t="s">
        <v>249</v>
      </c>
      <c r="H1765" s="6" t="str">
        <f>VLOOKUP(A1765,Jogos!A:L,12,0)</f>
        <v>Open</v>
      </c>
      <c r="I1765" s="6" t="str">
        <f>VLOOKUP(G1765,'Estádios e Cidades'!A:B,2,0)</f>
        <v>East Rutherford</v>
      </c>
      <c r="J1765" s="2" t="s">
        <v>873</v>
      </c>
      <c r="K1765" s="2" t="str">
        <f>VLOOKUP(J1765,Equipes!A:F,6,0)</f>
        <v>Temperate</v>
      </c>
      <c r="L1765" s="2">
        <f>VLOOKUP(J1765,Equipes!A:C,3,0)</f>
        <v>3</v>
      </c>
      <c r="M1765" s="2" t="str">
        <f t="shared" si="4"/>
        <v>Semi-final</v>
      </c>
      <c r="N1765" s="2" t="s">
        <v>564</v>
      </c>
      <c r="O1765" s="2">
        <f>VLOOKUP(N1765,Equipes!A:C,3,0)</f>
        <v>5</v>
      </c>
      <c r="P1765" s="2" t="str">
        <f t="shared" si="5"/>
        <v>Quarter-final</v>
      </c>
      <c r="Q1765" s="2">
        <f t="shared" si="6"/>
        <v>-2</v>
      </c>
      <c r="R1765" s="2" t="str">
        <f>VLOOKUP(J1765,Equipes!A:B,2,0)</f>
        <v>Real</v>
      </c>
      <c r="S1765" s="6" t="s">
        <v>891</v>
      </c>
      <c r="T1765" s="7">
        <v>30.0</v>
      </c>
      <c r="U1765" s="7" t="s">
        <v>892</v>
      </c>
      <c r="V1765" s="7" t="str">
        <f>VLOOKUP(U1765,Jogadores!B:C,2,0)</f>
        <v>FW</v>
      </c>
      <c r="W1765" s="8">
        <f>VLOOKUP(U1765,Jogadores!B:D,3,0)</f>
        <v>21.35890411</v>
      </c>
      <c r="X1765" s="7">
        <v>0.0</v>
      </c>
      <c r="Y1765" s="7">
        <v>86.0</v>
      </c>
      <c r="Z1765" s="7">
        <f>VLOOKUP(A1765,Jogos!A:L,3,0)</f>
        <v>48</v>
      </c>
      <c r="AA1765" s="7">
        <f t="shared" si="4815"/>
        <v>48</v>
      </c>
      <c r="AB1765" s="7">
        <f>VLOOKUP(A1765,Jogos!A:L,4,0)</f>
        <v>54</v>
      </c>
      <c r="AC1765" s="7">
        <f t="shared" si="5062"/>
        <v>41</v>
      </c>
      <c r="AD1765" s="7"/>
      <c r="AE1765" s="7"/>
      <c r="AF1765" s="7">
        <f t="shared" si="4566"/>
        <v>89</v>
      </c>
      <c r="AG1765" s="7">
        <v>9640.0</v>
      </c>
      <c r="AH1765" s="7">
        <v>4105.2</v>
      </c>
      <c r="AI1765" s="7">
        <v>3542.5</v>
      </c>
      <c r="AJ1765" s="7">
        <v>1082.2</v>
      </c>
      <c r="AK1765" s="7">
        <v>579.2</v>
      </c>
      <c r="AL1765" s="7">
        <v>331.0</v>
      </c>
      <c r="AM1765" s="7">
        <v>96.0</v>
      </c>
      <c r="AN1765" s="7">
        <v>53.0</v>
      </c>
      <c r="AO1765" s="7">
        <v>33.6</v>
      </c>
      <c r="AP1765" s="9">
        <f t="shared" ref="AP1765:AR1765" si="5535">AG1765/$AF1765</f>
        <v>108.3146067</v>
      </c>
      <c r="AQ1765" s="9">
        <f t="shared" si="5535"/>
        <v>46.1258427</v>
      </c>
      <c r="AR1765" s="9">
        <f t="shared" si="5535"/>
        <v>39.80337079</v>
      </c>
      <c r="AS1765" s="9">
        <f t="shared" si="4568"/>
        <v>85.92921348</v>
      </c>
      <c r="AT1765" s="9">
        <f t="shared" ref="AT1765:AV1765" si="5536">AJ1765/$AF1765</f>
        <v>12.15955056</v>
      </c>
      <c r="AU1765" s="9">
        <f t="shared" si="5536"/>
        <v>6.507865169</v>
      </c>
      <c r="AV1765" s="9">
        <f t="shared" si="5536"/>
        <v>3.719101124</v>
      </c>
      <c r="AW1765" s="9">
        <f t="shared" si="4570"/>
        <v>10.22696629</v>
      </c>
      <c r="AX1765" s="9">
        <f t="shared" ref="AX1765:AY1765" si="5537">AM1765/$AF1765</f>
        <v>1.078651685</v>
      </c>
      <c r="AY1765" s="9">
        <f t="shared" si="5537"/>
        <v>0.595505618</v>
      </c>
      <c r="AZ1765" s="9">
        <f>VLOOKUP(A1765,Jogos!A:BN,58,0)</f>
        <v>29.525</v>
      </c>
      <c r="BA1765" s="9">
        <f>VLOOKUP(A1765,Jogos!A:BN,59,0)</f>
        <v>16</v>
      </c>
      <c r="BB1765" s="9">
        <f>VLOOKUP(A1765,Jogos!A:BN,60,0)</f>
        <v>43.5</v>
      </c>
      <c r="BC1765" s="9">
        <f>VLOOKUP(A1765,Jogos!A:BN,61,0)</f>
        <v>29.585</v>
      </c>
      <c r="BD1765" s="9">
        <f>VLOOKUP(A1765,Jogos!A:BN,62,0)</f>
        <v>521.65</v>
      </c>
      <c r="BE1765" s="9">
        <f>VLOOKUP(A1765,Jogos!A:BN,63,0)</f>
        <v>1.76</v>
      </c>
      <c r="BF1765" s="9">
        <f>VLOOKUP(A1765,Jogos!A:BN,64,0)</f>
        <v>22.615</v>
      </c>
      <c r="BG1765" s="9">
        <f>VLOOKUP(A1765,Jogos!A:BN,65,0)</f>
        <v>42.465</v>
      </c>
      <c r="BH1765" s="9">
        <f>VLOOKUP(A1765,Jogos!A:BN,66,0)</f>
        <v>27.27</v>
      </c>
      <c r="BI1765" s="9"/>
      <c r="BJ1765" s="9"/>
    </row>
    <row r="1766" hidden="1">
      <c r="A1766" s="2">
        <v>60.0</v>
      </c>
      <c r="B1766" s="2" t="s">
        <v>1380</v>
      </c>
      <c r="C1766" s="2" t="s">
        <v>1351</v>
      </c>
      <c r="D1766" s="3">
        <v>45843.0</v>
      </c>
      <c r="E1766" s="4">
        <v>0.6666666666666666</v>
      </c>
      <c r="F1766" s="5" t="str">
        <f>VLOOKUP(A1766,Jogos!A:N,10,0)</f>
        <v>Afternoon</v>
      </c>
      <c r="G1766" s="2" t="s">
        <v>249</v>
      </c>
      <c r="H1766" s="6" t="str">
        <f>VLOOKUP(A1766,Jogos!A:L,12,0)</f>
        <v>Open</v>
      </c>
      <c r="I1766" s="6" t="str">
        <f>VLOOKUP(G1766,'Estádios e Cidades'!A:B,2,0)</f>
        <v>East Rutherford</v>
      </c>
      <c r="J1766" s="2" t="s">
        <v>873</v>
      </c>
      <c r="K1766" s="2" t="str">
        <f>VLOOKUP(J1766,Equipes!A:F,6,0)</f>
        <v>Temperate</v>
      </c>
      <c r="L1766" s="2">
        <f>VLOOKUP(J1766,Equipes!A:C,3,0)</f>
        <v>3</v>
      </c>
      <c r="M1766" s="2" t="str">
        <f t="shared" si="4"/>
        <v>Semi-final</v>
      </c>
      <c r="N1766" s="2" t="s">
        <v>564</v>
      </c>
      <c r="O1766" s="2">
        <f>VLOOKUP(N1766,Equipes!A:C,3,0)</f>
        <v>5</v>
      </c>
      <c r="P1766" s="2" t="str">
        <f t="shared" si="5"/>
        <v>Quarter-final</v>
      </c>
      <c r="Q1766" s="2">
        <f t="shared" si="6"/>
        <v>-2</v>
      </c>
      <c r="R1766" s="2" t="str">
        <f>VLOOKUP(J1766,Equipes!A:B,2,0)</f>
        <v>Real</v>
      </c>
      <c r="S1766" s="6" t="s">
        <v>1376</v>
      </c>
      <c r="T1766" s="7">
        <v>9.0</v>
      </c>
      <c r="U1766" s="7" t="s">
        <v>1377</v>
      </c>
      <c r="V1766" s="7" t="s">
        <v>1133</v>
      </c>
      <c r="W1766" s="8">
        <f>VLOOKUP(U1766,Jogadores!B:D,3,0)</f>
        <v>26.62191781</v>
      </c>
      <c r="X1766" s="7">
        <v>67.0</v>
      </c>
      <c r="Y1766" s="7">
        <f t="shared" ref="Y1766:Y1773" si="5541">45+AB1766</f>
        <v>99</v>
      </c>
      <c r="Z1766" s="7">
        <f>VLOOKUP(A1766,Jogos!A:L,3,0)</f>
        <v>48</v>
      </c>
      <c r="AA1766" s="7">
        <f t="shared" si="4815"/>
        <v>0</v>
      </c>
      <c r="AB1766" s="7">
        <f>VLOOKUP(A1766,Jogos!A:L,4,0)</f>
        <v>54</v>
      </c>
      <c r="AC1766" s="7">
        <f t="shared" si="5062"/>
        <v>32</v>
      </c>
      <c r="AD1766" s="7"/>
      <c r="AE1766" s="7"/>
      <c r="AF1766" s="7">
        <f t="shared" si="4566"/>
        <v>32</v>
      </c>
      <c r="AG1766" s="7">
        <v>2580.8</v>
      </c>
      <c r="AH1766" s="7">
        <v>1303.4</v>
      </c>
      <c r="AI1766" s="7">
        <v>884.7</v>
      </c>
      <c r="AJ1766" s="7">
        <v>225.7</v>
      </c>
      <c r="AK1766" s="7">
        <v>97.5</v>
      </c>
      <c r="AL1766" s="7">
        <v>69.5</v>
      </c>
      <c r="AM1766" s="7">
        <v>23.0</v>
      </c>
      <c r="AN1766" s="7">
        <v>10.0</v>
      </c>
      <c r="AO1766" s="7">
        <v>29.0</v>
      </c>
      <c r="AP1766" s="9">
        <f t="shared" ref="AP1766:AR1766" si="5538">AG1766/$AF1766</f>
        <v>80.65</v>
      </c>
      <c r="AQ1766" s="9">
        <f t="shared" si="5538"/>
        <v>40.73125</v>
      </c>
      <c r="AR1766" s="9">
        <f t="shared" si="5538"/>
        <v>27.646875</v>
      </c>
      <c r="AS1766" s="9">
        <f t="shared" si="4568"/>
        <v>68.378125</v>
      </c>
      <c r="AT1766" s="9">
        <f t="shared" ref="AT1766:AV1766" si="5539">AJ1766/$AF1766</f>
        <v>7.053125</v>
      </c>
      <c r="AU1766" s="9">
        <f t="shared" si="5539"/>
        <v>3.046875</v>
      </c>
      <c r="AV1766" s="9">
        <f t="shared" si="5539"/>
        <v>2.171875</v>
      </c>
      <c r="AW1766" s="9">
        <f t="shared" si="4570"/>
        <v>5.21875</v>
      </c>
      <c r="AX1766" s="9">
        <f t="shared" ref="AX1766:AY1766" si="5540">AM1766/$AF1766</f>
        <v>0.71875</v>
      </c>
      <c r="AY1766" s="9">
        <f t="shared" si="5540"/>
        <v>0.3125</v>
      </c>
      <c r="AZ1766" s="9">
        <f>VLOOKUP(A1766,Jogos!A:BN,58,0)</f>
        <v>29.525</v>
      </c>
      <c r="BA1766" s="9">
        <f>VLOOKUP(A1766,Jogos!A:BN,59,0)</f>
        <v>16</v>
      </c>
      <c r="BB1766" s="9">
        <f>VLOOKUP(A1766,Jogos!A:BN,60,0)</f>
        <v>43.5</v>
      </c>
      <c r="BC1766" s="9">
        <f>VLOOKUP(A1766,Jogos!A:BN,61,0)</f>
        <v>29.585</v>
      </c>
      <c r="BD1766" s="9">
        <f>VLOOKUP(A1766,Jogos!A:BN,62,0)</f>
        <v>521.65</v>
      </c>
      <c r="BE1766" s="9">
        <f>VLOOKUP(A1766,Jogos!A:BN,63,0)</f>
        <v>1.76</v>
      </c>
      <c r="BF1766" s="9">
        <f>VLOOKUP(A1766,Jogos!A:BN,64,0)</f>
        <v>22.615</v>
      </c>
      <c r="BG1766" s="9">
        <f>VLOOKUP(A1766,Jogos!A:BN,65,0)</f>
        <v>42.465</v>
      </c>
      <c r="BH1766" s="9">
        <f>VLOOKUP(A1766,Jogos!A:BN,66,0)</f>
        <v>27.27</v>
      </c>
      <c r="BI1766" s="9"/>
      <c r="BJ1766" s="9"/>
    </row>
    <row r="1767" hidden="1">
      <c r="A1767" s="2">
        <v>60.0</v>
      </c>
      <c r="B1767" s="2" t="s">
        <v>1380</v>
      </c>
      <c r="C1767" s="2" t="s">
        <v>1351</v>
      </c>
      <c r="D1767" s="3">
        <v>45843.0</v>
      </c>
      <c r="E1767" s="4">
        <v>0.6666666666666666</v>
      </c>
      <c r="F1767" s="5" t="str">
        <f>VLOOKUP(A1767,Jogos!A:N,10,0)</f>
        <v>Afternoon</v>
      </c>
      <c r="G1767" s="2" t="s">
        <v>249</v>
      </c>
      <c r="H1767" s="6" t="str">
        <f>VLOOKUP(A1767,Jogos!A:L,12,0)</f>
        <v>Open</v>
      </c>
      <c r="I1767" s="6" t="str">
        <f>VLOOKUP(G1767,'Estádios e Cidades'!A:B,2,0)</f>
        <v>East Rutherford</v>
      </c>
      <c r="J1767" s="2" t="s">
        <v>873</v>
      </c>
      <c r="K1767" s="2" t="str">
        <f>VLOOKUP(J1767,Equipes!A:F,6,0)</f>
        <v>Temperate</v>
      </c>
      <c r="L1767" s="2">
        <f>VLOOKUP(J1767,Equipes!A:C,3,0)</f>
        <v>3</v>
      </c>
      <c r="M1767" s="2" t="str">
        <f t="shared" si="4"/>
        <v>Semi-final</v>
      </c>
      <c r="N1767" s="2" t="s">
        <v>564</v>
      </c>
      <c r="O1767" s="2">
        <f>VLOOKUP(N1767,Equipes!A:C,3,0)</f>
        <v>5</v>
      </c>
      <c r="P1767" s="2" t="str">
        <f t="shared" si="5"/>
        <v>Quarter-final</v>
      </c>
      <c r="Q1767" s="2">
        <f t="shared" si="6"/>
        <v>-2</v>
      </c>
      <c r="R1767" s="2" t="str">
        <f>VLOOKUP(J1767,Equipes!A:B,2,0)</f>
        <v>Real</v>
      </c>
      <c r="S1767" s="6" t="s">
        <v>895</v>
      </c>
      <c r="T1767" s="7">
        <v>10.0</v>
      </c>
      <c r="U1767" s="7" t="s">
        <v>896</v>
      </c>
      <c r="V1767" s="7" t="str">
        <f>VLOOKUP(U1767,Jogadores!B:C,2,0)</f>
        <v>MF</v>
      </c>
      <c r="W1767" s="8">
        <f>VLOOKUP(U1767,Jogadores!B:D,3,0)</f>
        <v>39.90958904</v>
      </c>
      <c r="X1767" s="7">
        <v>67.0</v>
      </c>
      <c r="Y1767" s="7">
        <f t="shared" si="5541"/>
        <v>99</v>
      </c>
      <c r="Z1767" s="7">
        <f>VLOOKUP(A1767,Jogos!A:L,3,0)</f>
        <v>48</v>
      </c>
      <c r="AA1767" s="7">
        <f t="shared" si="4815"/>
        <v>0</v>
      </c>
      <c r="AB1767" s="7">
        <f>VLOOKUP(A1767,Jogos!A:L,4,0)</f>
        <v>54</v>
      </c>
      <c r="AC1767" s="7">
        <f t="shared" si="5062"/>
        <v>32</v>
      </c>
      <c r="AD1767" s="7"/>
      <c r="AE1767" s="7"/>
      <c r="AF1767" s="7">
        <f t="shared" si="4566"/>
        <v>32</v>
      </c>
      <c r="AG1767" s="7">
        <v>3160.9</v>
      </c>
      <c r="AH1767" s="7">
        <v>1152.6</v>
      </c>
      <c r="AI1767" s="7">
        <v>1349.1</v>
      </c>
      <c r="AJ1767" s="7">
        <v>491.7</v>
      </c>
      <c r="AK1767" s="7">
        <v>158.0</v>
      </c>
      <c r="AL1767" s="7">
        <v>9.5</v>
      </c>
      <c r="AM1767" s="7">
        <v>50.0</v>
      </c>
      <c r="AN1767" s="7">
        <v>16.0</v>
      </c>
      <c r="AO1767" s="7">
        <v>27.1</v>
      </c>
      <c r="AP1767" s="9">
        <f t="shared" ref="AP1767:AR1767" si="5542">AG1767/$AF1767</f>
        <v>98.778125</v>
      </c>
      <c r="AQ1767" s="9">
        <f t="shared" si="5542"/>
        <v>36.01875</v>
      </c>
      <c r="AR1767" s="9">
        <f t="shared" si="5542"/>
        <v>42.159375</v>
      </c>
      <c r="AS1767" s="9">
        <f t="shared" si="4568"/>
        <v>78.178125</v>
      </c>
      <c r="AT1767" s="9">
        <f t="shared" ref="AT1767:AV1767" si="5543">AJ1767/$AF1767</f>
        <v>15.365625</v>
      </c>
      <c r="AU1767" s="9">
        <f t="shared" si="5543"/>
        <v>4.9375</v>
      </c>
      <c r="AV1767" s="9">
        <f t="shared" si="5543"/>
        <v>0.296875</v>
      </c>
      <c r="AW1767" s="9">
        <f t="shared" si="4570"/>
        <v>5.234375</v>
      </c>
      <c r="AX1767" s="9">
        <f t="shared" ref="AX1767:AY1767" si="5544">AM1767/$AF1767</f>
        <v>1.5625</v>
      </c>
      <c r="AY1767" s="9">
        <f t="shared" si="5544"/>
        <v>0.5</v>
      </c>
      <c r="AZ1767" s="9">
        <f>VLOOKUP(A1767,Jogos!A:BN,58,0)</f>
        <v>29.525</v>
      </c>
      <c r="BA1767" s="9">
        <f>VLOOKUP(A1767,Jogos!A:BN,59,0)</f>
        <v>16</v>
      </c>
      <c r="BB1767" s="9">
        <f>VLOOKUP(A1767,Jogos!A:BN,60,0)</f>
        <v>43.5</v>
      </c>
      <c r="BC1767" s="9">
        <f>VLOOKUP(A1767,Jogos!A:BN,61,0)</f>
        <v>29.585</v>
      </c>
      <c r="BD1767" s="9">
        <f>VLOOKUP(A1767,Jogos!A:BN,62,0)</f>
        <v>521.65</v>
      </c>
      <c r="BE1767" s="9">
        <f>VLOOKUP(A1767,Jogos!A:BN,63,0)</f>
        <v>1.76</v>
      </c>
      <c r="BF1767" s="9">
        <f>VLOOKUP(A1767,Jogos!A:BN,64,0)</f>
        <v>22.615</v>
      </c>
      <c r="BG1767" s="9">
        <f>VLOOKUP(A1767,Jogos!A:BN,65,0)</f>
        <v>42.465</v>
      </c>
      <c r="BH1767" s="9">
        <f>VLOOKUP(A1767,Jogos!A:BN,66,0)</f>
        <v>27.27</v>
      </c>
      <c r="BI1767" s="9"/>
      <c r="BJ1767" s="9"/>
    </row>
    <row r="1768" hidden="1">
      <c r="A1768" s="2">
        <v>60.0</v>
      </c>
      <c r="B1768" s="2" t="s">
        <v>1380</v>
      </c>
      <c r="C1768" s="2" t="s">
        <v>1351</v>
      </c>
      <c r="D1768" s="3">
        <v>45843.0</v>
      </c>
      <c r="E1768" s="4">
        <v>0.6666666666666666</v>
      </c>
      <c r="F1768" s="5" t="str">
        <f>VLOOKUP(A1768,Jogos!A:N,10,0)</f>
        <v>Afternoon</v>
      </c>
      <c r="G1768" s="2" t="s">
        <v>249</v>
      </c>
      <c r="H1768" s="6" t="str">
        <f>VLOOKUP(A1768,Jogos!A:L,12,0)</f>
        <v>Open</v>
      </c>
      <c r="I1768" s="6" t="str">
        <f>VLOOKUP(G1768,'Estádios e Cidades'!A:B,2,0)</f>
        <v>East Rutherford</v>
      </c>
      <c r="J1768" s="2" t="s">
        <v>873</v>
      </c>
      <c r="K1768" s="2" t="str">
        <f>VLOOKUP(J1768,Equipes!A:F,6,0)</f>
        <v>Temperate</v>
      </c>
      <c r="L1768" s="2">
        <f>VLOOKUP(J1768,Equipes!A:C,3,0)</f>
        <v>3</v>
      </c>
      <c r="M1768" s="2" t="str">
        <f t="shared" si="4"/>
        <v>Semi-final</v>
      </c>
      <c r="N1768" s="2" t="s">
        <v>564</v>
      </c>
      <c r="O1768" s="2">
        <f>VLOOKUP(N1768,Equipes!A:C,3,0)</f>
        <v>5</v>
      </c>
      <c r="P1768" s="2" t="str">
        <f t="shared" si="5"/>
        <v>Quarter-final</v>
      </c>
      <c r="Q1768" s="2">
        <f t="shared" si="6"/>
        <v>-2</v>
      </c>
      <c r="R1768" s="2" t="str">
        <f>VLOOKUP(J1768,Equipes!A:B,2,0)</f>
        <v>Real</v>
      </c>
      <c r="S1768" s="6" t="s">
        <v>881</v>
      </c>
      <c r="T1768" s="7">
        <v>11.0</v>
      </c>
      <c r="U1768" s="7" t="s">
        <v>882</v>
      </c>
      <c r="V1768" s="7" t="str">
        <f>VLOOKUP(U1768,Jogadores!B:C,2,0)</f>
        <v>FW</v>
      </c>
      <c r="W1768" s="8">
        <f>VLOOKUP(U1768,Jogadores!B:D,3,0)</f>
        <v>24.56438356</v>
      </c>
      <c r="X1768" s="7">
        <v>86.0</v>
      </c>
      <c r="Y1768" s="7">
        <f t="shared" si="5541"/>
        <v>99</v>
      </c>
      <c r="Z1768" s="7">
        <f>VLOOKUP(A1768,Jogos!A:L,3,0)</f>
        <v>48</v>
      </c>
      <c r="AA1768" s="7">
        <f t="shared" si="4815"/>
        <v>0</v>
      </c>
      <c r="AB1768" s="7">
        <f>VLOOKUP(A1768,Jogos!A:L,4,0)</f>
        <v>54</v>
      </c>
      <c r="AC1768" s="7">
        <f t="shared" si="5062"/>
        <v>13</v>
      </c>
      <c r="AD1768" s="7"/>
      <c r="AE1768" s="7"/>
      <c r="AF1768" s="7">
        <f t="shared" si="4566"/>
        <v>13</v>
      </c>
      <c r="AG1768" s="7">
        <v>1281.6</v>
      </c>
      <c r="AH1768" s="7">
        <v>377.8</v>
      </c>
      <c r="AI1768" s="7">
        <v>606.9</v>
      </c>
      <c r="AJ1768" s="7">
        <v>182.5</v>
      </c>
      <c r="AK1768" s="7">
        <v>87.8</v>
      </c>
      <c r="AL1768" s="7">
        <v>26.6</v>
      </c>
      <c r="AM1768" s="7">
        <v>16.0</v>
      </c>
      <c r="AN1768" s="7">
        <v>8.0</v>
      </c>
      <c r="AO1768" s="7">
        <v>28.2</v>
      </c>
      <c r="AP1768" s="9">
        <f t="shared" ref="AP1768:AR1768" si="5545">AG1768/$AF1768</f>
        <v>98.58461538</v>
      </c>
      <c r="AQ1768" s="9">
        <f t="shared" si="5545"/>
        <v>29.06153846</v>
      </c>
      <c r="AR1768" s="9">
        <f t="shared" si="5545"/>
        <v>46.68461538</v>
      </c>
      <c r="AS1768" s="9">
        <f t="shared" si="4568"/>
        <v>75.74615385</v>
      </c>
      <c r="AT1768" s="9">
        <f t="shared" ref="AT1768:AV1768" si="5546">AJ1768/$AF1768</f>
        <v>14.03846154</v>
      </c>
      <c r="AU1768" s="9">
        <f t="shared" si="5546"/>
        <v>6.753846154</v>
      </c>
      <c r="AV1768" s="9">
        <f t="shared" si="5546"/>
        <v>2.046153846</v>
      </c>
      <c r="AW1768" s="9">
        <f t="shared" si="4570"/>
        <v>8.8</v>
      </c>
      <c r="AX1768" s="9">
        <f t="shared" ref="AX1768:AY1768" si="5547">AM1768/$AF1768</f>
        <v>1.230769231</v>
      </c>
      <c r="AY1768" s="9">
        <f t="shared" si="5547"/>
        <v>0.6153846154</v>
      </c>
      <c r="AZ1768" s="9">
        <f>VLOOKUP(A1768,Jogos!A:BN,58,0)</f>
        <v>29.525</v>
      </c>
      <c r="BA1768" s="9">
        <f>VLOOKUP(A1768,Jogos!A:BN,59,0)</f>
        <v>16</v>
      </c>
      <c r="BB1768" s="9">
        <f>VLOOKUP(A1768,Jogos!A:BN,60,0)</f>
        <v>43.5</v>
      </c>
      <c r="BC1768" s="9">
        <f>VLOOKUP(A1768,Jogos!A:BN,61,0)</f>
        <v>29.585</v>
      </c>
      <c r="BD1768" s="9">
        <f>VLOOKUP(A1768,Jogos!A:BN,62,0)</f>
        <v>521.65</v>
      </c>
      <c r="BE1768" s="9">
        <f>VLOOKUP(A1768,Jogos!A:BN,63,0)</f>
        <v>1.76</v>
      </c>
      <c r="BF1768" s="9">
        <f>VLOOKUP(A1768,Jogos!A:BN,64,0)</f>
        <v>22.615</v>
      </c>
      <c r="BG1768" s="9">
        <f>VLOOKUP(A1768,Jogos!A:BN,65,0)</f>
        <v>42.465</v>
      </c>
      <c r="BH1768" s="9">
        <f>VLOOKUP(A1768,Jogos!A:BN,66,0)</f>
        <v>27.27</v>
      </c>
      <c r="BI1768" s="9"/>
      <c r="BJ1768" s="9"/>
    </row>
    <row r="1769" hidden="1">
      <c r="A1769" s="2">
        <v>60.0</v>
      </c>
      <c r="B1769" s="2" t="s">
        <v>1380</v>
      </c>
      <c r="C1769" s="2" t="s">
        <v>1351</v>
      </c>
      <c r="D1769" s="3">
        <v>45843.0</v>
      </c>
      <c r="E1769" s="4">
        <v>0.6666666666666666</v>
      </c>
      <c r="F1769" s="5" t="str">
        <f>VLOOKUP(A1769,Jogos!A:N,10,0)</f>
        <v>Afternoon</v>
      </c>
      <c r="G1769" s="2" t="s">
        <v>249</v>
      </c>
      <c r="H1769" s="6" t="str">
        <f>VLOOKUP(A1769,Jogos!A:L,12,0)</f>
        <v>Open</v>
      </c>
      <c r="I1769" s="6" t="str">
        <f>VLOOKUP(G1769,'Estádios e Cidades'!A:B,2,0)</f>
        <v>East Rutherford</v>
      </c>
      <c r="J1769" s="2" t="s">
        <v>873</v>
      </c>
      <c r="K1769" s="2" t="str">
        <f>VLOOKUP(J1769,Equipes!A:F,6,0)</f>
        <v>Temperate</v>
      </c>
      <c r="L1769" s="2">
        <f>VLOOKUP(J1769,Equipes!A:C,3,0)</f>
        <v>3</v>
      </c>
      <c r="M1769" s="2" t="str">
        <f t="shared" si="4"/>
        <v>Semi-final</v>
      </c>
      <c r="N1769" s="2" t="s">
        <v>564</v>
      </c>
      <c r="O1769" s="2">
        <f>VLOOKUP(N1769,Equipes!A:C,3,0)</f>
        <v>5</v>
      </c>
      <c r="P1769" s="2" t="str">
        <f t="shared" si="5"/>
        <v>Quarter-final</v>
      </c>
      <c r="Q1769" s="2">
        <f t="shared" si="6"/>
        <v>-2</v>
      </c>
      <c r="R1769" s="2" t="str">
        <f>VLOOKUP(J1769,Equipes!A:B,2,0)</f>
        <v>Real</v>
      </c>
      <c r="S1769" s="6" t="s">
        <v>1201</v>
      </c>
      <c r="T1769" s="7">
        <v>19.0</v>
      </c>
      <c r="U1769" s="7" t="s">
        <v>1202</v>
      </c>
      <c r="V1769" s="7" t="str">
        <f>VLOOKUP(U1769,Jogadores!B:C,2,0)</f>
        <v>MF</v>
      </c>
      <c r="W1769" s="8">
        <f>VLOOKUP(U1769,Jogadores!B:D,3,0)</f>
        <v>28.99178082</v>
      </c>
      <c r="X1769" s="7">
        <v>67.0</v>
      </c>
      <c r="Y1769" s="7">
        <f t="shared" si="5541"/>
        <v>99</v>
      </c>
      <c r="Z1769" s="7">
        <f>VLOOKUP(A1769,Jogos!A:L,3,0)</f>
        <v>48</v>
      </c>
      <c r="AA1769" s="7">
        <f t="shared" si="4815"/>
        <v>0</v>
      </c>
      <c r="AB1769" s="7">
        <f>VLOOKUP(A1769,Jogos!A:L,4,0)</f>
        <v>54</v>
      </c>
      <c r="AC1769" s="7">
        <f t="shared" si="5062"/>
        <v>32</v>
      </c>
      <c r="AD1769" s="7"/>
      <c r="AE1769" s="7"/>
      <c r="AF1769" s="7">
        <f t="shared" si="4566"/>
        <v>32</v>
      </c>
      <c r="AG1769" s="7">
        <v>3199.4</v>
      </c>
      <c r="AH1769" s="7">
        <v>1211.6</v>
      </c>
      <c r="AI1769" s="7">
        <v>1220.6</v>
      </c>
      <c r="AJ1769" s="7">
        <v>522.4</v>
      </c>
      <c r="AK1769" s="7">
        <v>186.4</v>
      </c>
      <c r="AL1769" s="7">
        <v>58.4</v>
      </c>
      <c r="AM1769" s="7">
        <v>48.0</v>
      </c>
      <c r="AN1769" s="7">
        <v>15.0</v>
      </c>
      <c r="AO1769" s="7">
        <v>28.1</v>
      </c>
      <c r="AP1769" s="9">
        <f t="shared" ref="AP1769:AR1769" si="5548">AG1769/$AF1769</f>
        <v>99.98125</v>
      </c>
      <c r="AQ1769" s="9">
        <f t="shared" si="5548"/>
        <v>37.8625</v>
      </c>
      <c r="AR1769" s="9">
        <f t="shared" si="5548"/>
        <v>38.14375</v>
      </c>
      <c r="AS1769" s="9">
        <f t="shared" si="4568"/>
        <v>76.00625</v>
      </c>
      <c r="AT1769" s="9">
        <f t="shared" ref="AT1769:AV1769" si="5549">AJ1769/$AF1769</f>
        <v>16.325</v>
      </c>
      <c r="AU1769" s="9">
        <f t="shared" si="5549"/>
        <v>5.825</v>
      </c>
      <c r="AV1769" s="9">
        <f t="shared" si="5549"/>
        <v>1.825</v>
      </c>
      <c r="AW1769" s="9">
        <f t="shared" si="4570"/>
        <v>7.65</v>
      </c>
      <c r="AX1769" s="9">
        <f t="shared" ref="AX1769:AY1769" si="5550">AM1769/$AF1769</f>
        <v>1.5</v>
      </c>
      <c r="AY1769" s="9">
        <f t="shared" si="5550"/>
        <v>0.46875</v>
      </c>
      <c r="AZ1769" s="9">
        <f>VLOOKUP(A1769,Jogos!A:BN,58,0)</f>
        <v>29.525</v>
      </c>
      <c r="BA1769" s="9">
        <f>VLOOKUP(A1769,Jogos!A:BN,59,0)</f>
        <v>16</v>
      </c>
      <c r="BB1769" s="9">
        <f>VLOOKUP(A1769,Jogos!A:BN,60,0)</f>
        <v>43.5</v>
      </c>
      <c r="BC1769" s="9">
        <f>VLOOKUP(A1769,Jogos!A:BN,61,0)</f>
        <v>29.585</v>
      </c>
      <c r="BD1769" s="9">
        <f>VLOOKUP(A1769,Jogos!A:BN,62,0)</f>
        <v>521.65</v>
      </c>
      <c r="BE1769" s="9">
        <f>VLOOKUP(A1769,Jogos!A:BN,63,0)</f>
        <v>1.76</v>
      </c>
      <c r="BF1769" s="9">
        <f>VLOOKUP(A1769,Jogos!A:BN,64,0)</f>
        <v>22.615</v>
      </c>
      <c r="BG1769" s="9">
        <f>VLOOKUP(A1769,Jogos!A:BN,65,0)</f>
        <v>42.465</v>
      </c>
      <c r="BH1769" s="9">
        <f>VLOOKUP(A1769,Jogos!A:BN,66,0)</f>
        <v>27.27</v>
      </c>
      <c r="BI1769" s="9"/>
      <c r="BJ1769" s="9"/>
    </row>
    <row r="1770" hidden="1">
      <c r="A1770" s="2">
        <v>60.0</v>
      </c>
      <c r="B1770" s="2" t="s">
        <v>1380</v>
      </c>
      <c r="C1770" s="2" t="s">
        <v>1351</v>
      </c>
      <c r="D1770" s="3">
        <v>45843.0</v>
      </c>
      <c r="E1770" s="4">
        <v>0.6666666666666666</v>
      </c>
      <c r="F1770" s="5" t="str">
        <f>VLOOKUP(A1770,Jogos!A:N,10,0)</f>
        <v>Afternoon</v>
      </c>
      <c r="G1770" s="2" t="s">
        <v>249</v>
      </c>
      <c r="H1770" s="6" t="str">
        <f>VLOOKUP(A1770,Jogos!A:L,12,0)</f>
        <v>Open</v>
      </c>
      <c r="I1770" s="6" t="str">
        <f>VLOOKUP(G1770,'Estádios e Cidades'!A:B,2,0)</f>
        <v>East Rutherford</v>
      </c>
      <c r="J1770" s="2" t="s">
        <v>873</v>
      </c>
      <c r="K1770" s="2" t="str">
        <f>VLOOKUP(J1770,Equipes!A:F,6,0)</f>
        <v>Temperate</v>
      </c>
      <c r="L1770" s="2">
        <f>VLOOKUP(J1770,Equipes!A:C,3,0)</f>
        <v>3</v>
      </c>
      <c r="M1770" s="2" t="str">
        <f t="shared" si="4"/>
        <v>Semi-final</v>
      </c>
      <c r="N1770" s="2" t="s">
        <v>564</v>
      </c>
      <c r="O1770" s="2">
        <f>VLOOKUP(N1770,Equipes!A:C,3,0)</f>
        <v>5</v>
      </c>
      <c r="P1770" s="2" t="str">
        <f t="shared" si="5"/>
        <v>Quarter-final</v>
      </c>
      <c r="Q1770" s="2">
        <f t="shared" si="6"/>
        <v>-2</v>
      </c>
      <c r="R1770" s="2" t="str">
        <f>VLOOKUP(J1770,Equipes!A:B,2,0)</f>
        <v>Real</v>
      </c>
      <c r="S1770" s="6" t="s">
        <v>893</v>
      </c>
      <c r="T1770" s="7">
        <v>35.0</v>
      </c>
      <c r="U1770" s="7" t="s">
        <v>894</v>
      </c>
      <c r="V1770" s="7" t="str">
        <f>VLOOKUP(U1770,Jogadores!B:C,2,0)</f>
        <v>DF</v>
      </c>
      <c r="W1770" s="8">
        <f>VLOOKUP(U1770,Jogadores!B:D,3,0)</f>
        <v>22.46849315</v>
      </c>
      <c r="X1770" s="7">
        <v>85.0</v>
      </c>
      <c r="Y1770" s="7">
        <f t="shared" si="5541"/>
        <v>99</v>
      </c>
      <c r="Z1770" s="7">
        <f>VLOOKUP(A1770,Jogos!A:L,3,0)</f>
        <v>48</v>
      </c>
      <c r="AA1770" s="7">
        <f t="shared" si="4815"/>
        <v>0</v>
      </c>
      <c r="AB1770" s="7">
        <f>VLOOKUP(A1770,Jogos!A:L,4,0)</f>
        <v>54</v>
      </c>
      <c r="AC1770" s="7">
        <f t="shared" si="5062"/>
        <v>14</v>
      </c>
      <c r="AD1770" s="7"/>
      <c r="AE1770" s="7"/>
      <c r="AF1770" s="7">
        <f t="shared" si="4566"/>
        <v>14</v>
      </c>
      <c r="AG1770" s="7">
        <v>1287.8</v>
      </c>
      <c r="AH1770" s="7">
        <v>616.0</v>
      </c>
      <c r="AI1770" s="7">
        <v>429.4</v>
      </c>
      <c r="AJ1770" s="7">
        <v>170.8</v>
      </c>
      <c r="AK1770" s="7">
        <v>45.0</v>
      </c>
      <c r="AL1770" s="7">
        <v>26.6</v>
      </c>
      <c r="AM1770" s="7">
        <v>13.0</v>
      </c>
      <c r="AN1770" s="7">
        <v>5.0</v>
      </c>
      <c r="AO1770" s="7">
        <v>27.5</v>
      </c>
      <c r="AP1770" s="9">
        <f t="shared" ref="AP1770:AR1770" si="5551">AG1770/$AF1770</f>
        <v>91.98571429</v>
      </c>
      <c r="AQ1770" s="9">
        <f t="shared" si="5551"/>
        <v>44</v>
      </c>
      <c r="AR1770" s="9">
        <f t="shared" si="5551"/>
        <v>30.67142857</v>
      </c>
      <c r="AS1770" s="9">
        <f t="shared" si="4568"/>
        <v>74.67142857</v>
      </c>
      <c r="AT1770" s="9">
        <f t="shared" ref="AT1770:AV1770" si="5552">AJ1770/$AF1770</f>
        <v>12.2</v>
      </c>
      <c r="AU1770" s="9">
        <f t="shared" si="5552"/>
        <v>3.214285714</v>
      </c>
      <c r="AV1770" s="9">
        <f t="shared" si="5552"/>
        <v>1.9</v>
      </c>
      <c r="AW1770" s="9">
        <f t="shared" si="4570"/>
        <v>5.114285714</v>
      </c>
      <c r="AX1770" s="9">
        <f t="shared" ref="AX1770:AY1770" si="5553">AM1770/$AF1770</f>
        <v>0.9285714286</v>
      </c>
      <c r="AY1770" s="9">
        <f t="shared" si="5553"/>
        <v>0.3571428571</v>
      </c>
      <c r="AZ1770" s="9">
        <f>VLOOKUP(A1770,Jogos!A:BN,58,0)</f>
        <v>29.525</v>
      </c>
      <c r="BA1770" s="9">
        <f>VLOOKUP(A1770,Jogos!A:BN,59,0)</f>
        <v>16</v>
      </c>
      <c r="BB1770" s="9">
        <f>VLOOKUP(A1770,Jogos!A:BN,60,0)</f>
        <v>43.5</v>
      </c>
      <c r="BC1770" s="9">
        <f>VLOOKUP(A1770,Jogos!A:BN,61,0)</f>
        <v>29.585</v>
      </c>
      <c r="BD1770" s="9">
        <f>VLOOKUP(A1770,Jogos!A:BN,62,0)</f>
        <v>521.65</v>
      </c>
      <c r="BE1770" s="9">
        <f>VLOOKUP(A1770,Jogos!A:BN,63,0)</f>
        <v>1.76</v>
      </c>
      <c r="BF1770" s="9">
        <f>VLOOKUP(A1770,Jogos!A:BN,64,0)</f>
        <v>22.615</v>
      </c>
      <c r="BG1770" s="9">
        <f>VLOOKUP(A1770,Jogos!A:BN,65,0)</f>
        <v>42.465</v>
      </c>
      <c r="BH1770" s="9">
        <f>VLOOKUP(A1770,Jogos!A:BN,66,0)</f>
        <v>27.27</v>
      </c>
      <c r="BI1770" s="9"/>
      <c r="BJ1770" s="9"/>
    </row>
    <row r="1771" hidden="1">
      <c r="A1771" s="2">
        <v>60.0</v>
      </c>
      <c r="B1771" s="2" t="s">
        <v>1380</v>
      </c>
      <c r="C1771" s="2" t="s">
        <v>1351</v>
      </c>
      <c r="D1771" s="3">
        <v>45843.0</v>
      </c>
      <c r="E1771" s="4">
        <v>0.6666666666666666</v>
      </c>
      <c r="F1771" s="5" t="str">
        <f>VLOOKUP(A1771,Jogos!A:N,10,0)</f>
        <v>Afternoon</v>
      </c>
      <c r="G1771" s="2" t="s">
        <v>249</v>
      </c>
      <c r="H1771" s="6" t="str">
        <f>VLOOKUP(A1771,Jogos!A:L,12,0)</f>
        <v>Open</v>
      </c>
      <c r="I1771" s="6" t="str">
        <f>VLOOKUP(G1771,'Estádios e Cidades'!A:B,2,0)</f>
        <v>East Rutherford</v>
      </c>
      <c r="J1771" s="2" t="s">
        <v>564</v>
      </c>
      <c r="K1771" s="2" t="str">
        <f>VLOOKUP(J1771,Equipes!A:F,6,0)</f>
        <v>Temperate</v>
      </c>
      <c r="L1771" s="2">
        <f>VLOOKUP(J1771,Equipes!A:C,3,0)</f>
        <v>5</v>
      </c>
      <c r="M1771" s="2" t="str">
        <f t="shared" si="4"/>
        <v>Quarter-final</v>
      </c>
      <c r="N1771" s="2" t="s">
        <v>873</v>
      </c>
      <c r="O1771" s="2">
        <f>VLOOKUP(N1771,Equipes!A:C,3,0)</f>
        <v>3</v>
      </c>
      <c r="P1771" s="2" t="str">
        <f t="shared" si="5"/>
        <v>Semi-final</v>
      </c>
      <c r="Q1771" s="2">
        <f t="shared" si="6"/>
        <v>2</v>
      </c>
      <c r="R1771" s="2" t="str">
        <f>VLOOKUP(J1771,Equipes!A:B,2,0)</f>
        <v>Borussia</v>
      </c>
      <c r="S1771" s="6" t="s">
        <v>593</v>
      </c>
      <c r="T1771" s="7">
        <v>3.0</v>
      </c>
      <c r="U1771" s="7" t="s">
        <v>594</v>
      </c>
      <c r="V1771" s="7" t="str">
        <f>VLOOKUP(U1771,Jogadores!B:C,2,0)</f>
        <v>DF</v>
      </c>
      <c r="W1771" s="8">
        <f>VLOOKUP(U1771,Jogadores!B:D,3,0)</f>
        <v>29.04109589</v>
      </c>
      <c r="X1771" s="7">
        <v>0.0</v>
      </c>
      <c r="Y1771" s="7">
        <f t="shared" si="5541"/>
        <v>99</v>
      </c>
      <c r="Z1771" s="7">
        <f>VLOOKUP(A1771,Jogos!A:L,3,0)</f>
        <v>48</v>
      </c>
      <c r="AA1771" s="7">
        <f t="shared" si="4815"/>
        <v>48</v>
      </c>
      <c r="AB1771" s="7">
        <f>VLOOKUP(A1771,Jogos!A:L,4,0)</f>
        <v>54</v>
      </c>
      <c r="AC1771" s="7">
        <f t="shared" si="5062"/>
        <v>54</v>
      </c>
      <c r="AD1771" s="7"/>
      <c r="AE1771" s="7"/>
      <c r="AF1771" s="7">
        <f t="shared" si="4566"/>
        <v>102</v>
      </c>
      <c r="AG1771" s="7">
        <v>10589.4</v>
      </c>
      <c r="AH1771" s="7">
        <v>3793.0</v>
      </c>
      <c r="AI1771" s="7">
        <v>4813.9</v>
      </c>
      <c r="AJ1771" s="7">
        <v>1354.7</v>
      </c>
      <c r="AK1771" s="7">
        <v>472.8</v>
      </c>
      <c r="AL1771" s="7">
        <v>155.0</v>
      </c>
      <c r="AM1771" s="7">
        <v>129.0</v>
      </c>
      <c r="AN1771" s="7">
        <v>40.0</v>
      </c>
      <c r="AO1771" s="7">
        <v>30.2</v>
      </c>
      <c r="AP1771" s="9">
        <f t="shared" ref="AP1771:AR1771" si="5554">AG1771/$AF1771</f>
        <v>103.8176471</v>
      </c>
      <c r="AQ1771" s="9">
        <f t="shared" si="5554"/>
        <v>37.18627451</v>
      </c>
      <c r="AR1771" s="9">
        <f t="shared" si="5554"/>
        <v>47.19509804</v>
      </c>
      <c r="AS1771" s="9">
        <f t="shared" si="4568"/>
        <v>84.38137255</v>
      </c>
      <c r="AT1771" s="9">
        <f t="shared" ref="AT1771:AV1771" si="5555">AJ1771/$AF1771</f>
        <v>13.28137255</v>
      </c>
      <c r="AU1771" s="9">
        <f t="shared" si="5555"/>
        <v>4.635294118</v>
      </c>
      <c r="AV1771" s="9">
        <f t="shared" si="5555"/>
        <v>1.519607843</v>
      </c>
      <c r="AW1771" s="9">
        <f t="shared" si="4570"/>
        <v>6.154901961</v>
      </c>
      <c r="AX1771" s="9">
        <f t="shared" ref="AX1771:AY1771" si="5556">AM1771/$AF1771</f>
        <v>1.264705882</v>
      </c>
      <c r="AY1771" s="9">
        <f t="shared" si="5556"/>
        <v>0.3921568627</v>
      </c>
      <c r="AZ1771" s="9">
        <f>VLOOKUP(A1771,Jogos!A:BN,58,0)</f>
        <v>29.525</v>
      </c>
      <c r="BA1771" s="9">
        <f>VLOOKUP(A1771,Jogos!A:BN,59,0)</f>
        <v>16</v>
      </c>
      <c r="BB1771" s="9">
        <f>VLOOKUP(A1771,Jogos!A:BN,60,0)</f>
        <v>43.5</v>
      </c>
      <c r="BC1771" s="9">
        <f>VLOOKUP(A1771,Jogos!A:BN,61,0)</f>
        <v>29.585</v>
      </c>
      <c r="BD1771" s="9">
        <f>VLOOKUP(A1771,Jogos!A:BN,62,0)</f>
        <v>521.65</v>
      </c>
      <c r="BE1771" s="9">
        <f>VLOOKUP(A1771,Jogos!A:BN,63,0)</f>
        <v>1.76</v>
      </c>
      <c r="BF1771" s="9">
        <f>VLOOKUP(A1771,Jogos!A:BN,64,0)</f>
        <v>22.615</v>
      </c>
      <c r="BG1771" s="9">
        <f>VLOOKUP(A1771,Jogos!A:BN,65,0)</f>
        <v>42.465</v>
      </c>
      <c r="BH1771" s="9">
        <f>VLOOKUP(A1771,Jogos!A:BN,66,0)</f>
        <v>27.27</v>
      </c>
      <c r="BI1771" s="9"/>
      <c r="BJ1771" s="9"/>
    </row>
    <row r="1772" hidden="1">
      <c r="A1772" s="2">
        <v>60.0</v>
      </c>
      <c r="B1772" s="2" t="s">
        <v>1380</v>
      </c>
      <c r="C1772" s="2" t="s">
        <v>1351</v>
      </c>
      <c r="D1772" s="3">
        <v>45843.0</v>
      </c>
      <c r="E1772" s="4">
        <v>0.6666666666666666</v>
      </c>
      <c r="F1772" s="5" t="str">
        <f>VLOOKUP(A1772,Jogos!A:N,10,0)</f>
        <v>Afternoon</v>
      </c>
      <c r="G1772" s="2" t="s">
        <v>249</v>
      </c>
      <c r="H1772" s="6" t="str">
        <f>VLOOKUP(A1772,Jogos!A:L,12,0)</f>
        <v>Open</v>
      </c>
      <c r="I1772" s="6" t="str">
        <f>VLOOKUP(G1772,'Estádios e Cidades'!A:B,2,0)</f>
        <v>East Rutherford</v>
      </c>
      <c r="J1772" s="2" t="s">
        <v>564</v>
      </c>
      <c r="K1772" s="2" t="str">
        <f>VLOOKUP(J1772,Equipes!A:F,6,0)</f>
        <v>Temperate</v>
      </c>
      <c r="L1772" s="2">
        <f>VLOOKUP(J1772,Equipes!A:C,3,0)</f>
        <v>5</v>
      </c>
      <c r="M1772" s="2" t="str">
        <f t="shared" si="4"/>
        <v>Quarter-final</v>
      </c>
      <c r="N1772" s="2" t="s">
        <v>873</v>
      </c>
      <c r="O1772" s="2">
        <f>VLOOKUP(N1772,Equipes!A:C,3,0)</f>
        <v>3</v>
      </c>
      <c r="P1772" s="2" t="str">
        <f t="shared" si="5"/>
        <v>Semi-final</v>
      </c>
      <c r="Q1772" s="2">
        <f t="shared" si="6"/>
        <v>2</v>
      </c>
      <c r="R1772" s="2" t="str">
        <f>VLOOKUP(J1772,Equipes!A:B,2,0)</f>
        <v>Borussia</v>
      </c>
      <c r="S1772" s="6" t="s">
        <v>595</v>
      </c>
      <c r="T1772" s="7">
        <v>5.0</v>
      </c>
      <c r="U1772" s="7" t="s">
        <v>596</v>
      </c>
      <c r="V1772" s="7" t="str">
        <f>VLOOKUP(U1772,Jogadores!B:C,2,0)</f>
        <v>DF</v>
      </c>
      <c r="W1772" s="8">
        <f>VLOOKUP(U1772,Jogadores!B:D,3,0)</f>
        <v>30.30410959</v>
      </c>
      <c r="X1772" s="7">
        <v>0.0</v>
      </c>
      <c r="Y1772" s="7">
        <f t="shared" si="5541"/>
        <v>99</v>
      </c>
      <c r="Z1772" s="7">
        <f>VLOOKUP(A1772,Jogos!A:L,3,0)</f>
        <v>48</v>
      </c>
      <c r="AA1772" s="7">
        <f t="shared" si="4815"/>
        <v>48</v>
      </c>
      <c r="AB1772" s="7">
        <f>VLOOKUP(A1772,Jogos!A:L,4,0)</f>
        <v>54</v>
      </c>
      <c r="AC1772" s="7">
        <f t="shared" si="5062"/>
        <v>54</v>
      </c>
      <c r="AD1772" s="7"/>
      <c r="AE1772" s="7"/>
      <c r="AF1772" s="7">
        <f t="shared" si="4566"/>
        <v>102</v>
      </c>
      <c r="AG1772" s="7">
        <v>9509.7</v>
      </c>
      <c r="AH1772" s="7">
        <v>4090.1</v>
      </c>
      <c r="AI1772" s="7">
        <v>3866.3</v>
      </c>
      <c r="AJ1772" s="7">
        <v>884.1</v>
      </c>
      <c r="AK1772" s="7">
        <v>463.8</v>
      </c>
      <c r="AL1772" s="7">
        <v>205.3</v>
      </c>
      <c r="AM1772" s="7">
        <v>96.0</v>
      </c>
      <c r="AN1772" s="7">
        <v>40.0</v>
      </c>
      <c r="AO1772" s="7">
        <v>32.3</v>
      </c>
      <c r="AP1772" s="9">
        <f t="shared" ref="AP1772:AR1772" si="5557">AG1772/$AF1772</f>
        <v>93.23235294</v>
      </c>
      <c r="AQ1772" s="9">
        <f t="shared" si="5557"/>
        <v>40.09901961</v>
      </c>
      <c r="AR1772" s="9">
        <f t="shared" si="5557"/>
        <v>37.90490196</v>
      </c>
      <c r="AS1772" s="9">
        <f t="shared" si="4568"/>
        <v>78.00392157</v>
      </c>
      <c r="AT1772" s="9">
        <f t="shared" ref="AT1772:AV1772" si="5558">AJ1772/$AF1772</f>
        <v>8.667647059</v>
      </c>
      <c r="AU1772" s="9">
        <f t="shared" si="5558"/>
        <v>4.547058824</v>
      </c>
      <c r="AV1772" s="9">
        <f t="shared" si="5558"/>
        <v>2.012745098</v>
      </c>
      <c r="AW1772" s="9">
        <f t="shared" si="4570"/>
        <v>6.559803922</v>
      </c>
      <c r="AX1772" s="9">
        <f t="shared" ref="AX1772:AY1772" si="5559">AM1772/$AF1772</f>
        <v>0.9411764706</v>
      </c>
      <c r="AY1772" s="9">
        <f t="shared" si="5559"/>
        <v>0.3921568627</v>
      </c>
      <c r="AZ1772" s="9">
        <f>VLOOKUP(A1772,Jogos!A:BN,58,0)</f>
        <v>29.525</v>
      </c>
      <c r="BA1772" s="9">
        <f>VLOOKUP(A1772,Jogos!A:BN,59,0)</f>
        <v>16</v>
      </c>
      <c r="BB1772" s="9">
        <f>VLOOKUP(A1772,Jogos!A:BN,60,0)</f>
        <v>43.5</v>
      </c>
      <c r="BC1772" s="9">
        <f>VLOOKUP(A1772,Jogos!A:BN,61,0)</f>
        <v>29.585</v>
      </c>
      <c r="BD1772" s="9">
        <f>VLOOKUP(A1772,Jogos!A:BN,62,0)</f>
        <v>521.65</v>
      </c>
      <c r="BE1772" s="9">
        <f>VLOOKUP(A1772,Jogos!A:BN,63,0)</f>
        <v>1.76</v>
      </c>
      <c r="BF1772" s="9">
        <f>VLOOKUP(A1772,Jogos!A:BN,64,0)</f>
        <v>22.615</v>
      </c>
      <c r="BG1772" s="9">
        <f>VLOOKUP(A1772,Jogos!A:BN,65,0)</f>
        <v>42.465</v>
      </c>
      <c r="BH1772" s="9">
        <f>VLOOKUP(A1772,Jogos!A:BN,66,0)</f>
        <v>27.27</v>
      </c>
      <c r="BI1772" s="9"/>
      <c r="BJ1772" s="9"/>
    </row>
    <row r="1773" hidden="1">
      <c r="A1773" s="2">
        <v>60.0</v>
      </c>
      <c r="B1773" s="2" t="s">
        <v>1380</v>
      </c>
      <c r="C1773" s="2" t="s">
        <v>1351</v>
      </c>
      <c r="D1773" s="3">
        <v>45843.0</v>
      </c>
      <c r="E1773" s="4">
        <v>0.6666666666666666</v>
      </c>
      <c r="F1773" s="5" t="str">
        <f>VLOOKUP(A1773,Jogos!A:N,10,0)</f>
        <v>Afternoon</v>
      </c>
      <c r="G1773" s="2" t="s">
        <v>249</v>
      </c>
      <c r="H1773" s="6" t="str">
        <f>VLOOKUP(A1773,Jogos!A:L,12,0)</f>
        <v>Open</v>
      </c>
      <c r="I1773" s="6" t="str">
        <f>VLOOKUP(G1773,'Estádios e Cidades'!A:B,2,0)</f>
        <v>East Rutherford</v>
      </c>
      <c r="J1773" s="2" t="s">
        <v>564</v>
      </c>
      <c r="K1773" s="2" t="str">
        <f>VLOOKUP(J1773,Equipes!A:F,6,0)</f>
        <v>Temperate</v>
      </c>
      <c r="L1773" s="2">
        <f>VLOOKUP(J1773,Equipes!A:C,3,0)</f>
        <v>5</v>
      </c>
      <c r="M1773" s="2" t="str">
        <f t="shared" si="4"/>
        <v>Quarter-final</v>
      </c>
      <c r="N1773" s="2" t="s">
        <v>873</v>
      </c>
      <c r="O1773" s="2">
        <f>VLOOKUP(N1773,Equipes!A:C,3,0)</f>
        <v>3</v>
      </c>
      <c r="P1773" s="2" t="str">
        <f t="shared" si="5"/>
        <v>Semi-final</v>
      </c>
      <c r="Q1773" s="2">
        <f t="shared" si="6"/>
        <v>2</v>
      </c>
      <c r="R1773" s="2" t="str">
        <f>VLOOKUP(J1773,Equipes!A:B,2,0)</f>
        <v>Borussia</v>
      </c>
      <c r="S1773" s="6" t="s">
        <v>597</v>
      </c>
      <c r="T1773" s="7">
        <v>9.0</v>
      </c>
      <c r="U1773" s="7" t="s">
        <v>598</v>
      </c>
      <c r="V1773" s="7" t="str">
        <f>VLOOKUP(U1773,Jogadores!B:C,2,0)</f>
        <v>FW</v>
      </c>
      <c r="W1773" s="8">
        <f>VLOOKUP(U1773,Jogadores!B:D,3,0)</f>
        <v>29.39726027</v>
      </c>
      <c r="X1773" s="7">
        <v>0.0</v>
      </c>
      <c r="Y1773" s="7">
        <f t="shared" si="5541"/>
        <v>99</v>
      </c>
      <c r="Z1773" s="7">
        <f>VLOOKUP(A1773,Jogos!A:L,3,0)</f>
        <v>48</v>
      </c>
      <c r="AA1773" s="7">
        <f t="shared" si="4815"/>
        <v>48</v>
      </c>
      <c r="AB1773" s="7">
        <f>VLOOKUP(A1773,Jogos!A:L,4,0)</f>
        <v>54</v>
      </c>
      <c r="AC1773" s="7">
        <f t="shared" si="5062"/>
        <v>54</v>
      </c>
      <c r="AD1773" s="7"/>
      <c r="AE1773" s="7"/>
      <c r="AF1773" s="7">
        <f t="shared" si="4566"/>
        <v>102</v>
      </c>
      <c r="AG1773" s="7">
        <v>9710.5</v>
      </c>
      <c r="AH1773" s="7">
        <v>4054.5</v>
      </c>
      <c r="AI1773" s="7">
        <v>4014.6</v>
      </c>
      <c r="AJ1773" s="7">
        <v>963.7</v>
      </c>
      <c r="AK1773" s="7">
        <v>491.0</v>
      </c>
      <c r="AL1773" s="7">
        <v>186.7</v>
      </c>
      <c r="AM1773" s="7">
        <v>90.0</v>
      </c>
      <c r="AN1773" s="7">
        <v>46.0</v>
      </c>
      <c r="AO1773" s="7">
        <v>31.8</v>
      </c>
      <c r="AP1773" s="9">
        <f t="shared" ref="AP1773:AR1773" si="5560">AG1773/$AF1773</f>
        <v>95.20098039</v>
      </c>
      <c r="AQ1773" s="9">
        <f t="shared" si="5560"/>
        <v>39.75</v>
      </c>
      <c r="AR1773" s="9">
        <f t="shared" si="5560"/>
        <v>39.35882353</v>
      </c>
      <c r="AS1773" s="9">
        <f t="shared" si="4568"/>
        <v>79.10882353</v>
      </c>
      <c r="AT1773" s="9">
        <f t="shared" ref="AT1773:AV1773" si="5561">AJ1773/$AF1773</f>
        <v>9.448039216</v>
      </c>
      <c r="AU1773" s="9">
        <f t="shared" si="5561"/>
        <v>4.81372549</v>
      </c>
      <c r="AV1773" s="9">
        <f t="shared" si="5561"/>
        <v>1.830392157</v>
      </c>
      <c r="AW1773" s="9">
        <f t="shared" si="4570"/>
        <v>6.644117647</v>
      </c>
      <c r="AX1773" s="9">
        <f t="shared" ref="AX1773:AY1773" si="5562">AM1773/$AF1773</f>
        <v>0.8823529412</v>
      </c>
      <c r="AY1773" s="9">
        <f t="shared" si="5562"/>
        <v>0.4509803922</v>
      </c>
      <c r="AZ1773" s="9">
        <f>VLOOKUP(A1773,Jogos!A:BN,58,0)</f>
        <v>29.525</v>
      </c>
      <c r="BA1773" s="9">
        <f>VLOOKUP(A1773,Jogos!A:BN,59,0)</f>
        <v>16</v>
      </c>
      <c r="BB1773" s="9">
        <f>VLOOKUP(A1773,Jogos!A:BN,60,0)</f>
        <v>43.5</v>
      </c>
      <c r="BC1773" s="9">
        <f>VLOOKUP(A1773,Jogos!A:BN,61,0)</f>
        <v>29.585</v>
      </c>
      <c r="BD1773" s="9">
        <f>VLOOKUP(A1773,Jogos!A:BN,62,0)</f>
        <v>521.65</v>
      </c>
      <c r="BE1773" s="9">
        <f>VLOOKUP(A1773,Jogos!A:BN,63,0)</f>
        <v>1.76</v>
      </c>
      <c r="BF1773" s="9">
        <f>VLOOKUP(A1773,Jogos!A:BN,64,0)</f>
        <v>22.615</v>
      </c>
      <c r="BG1773" s="9">
        <f>VLOOKUP(A1773,Jogos!A:BN,65,0)</f>
        <v>42.465</v>
      </c>
      <c r="BH1773" s="9">
        <f>VLOOKUP(A1773,Jogos!A:BN,66,0)</f>
        <v>27.27</v>
      </c>
      <c r="BI1773" s="9"/>
      <c r="BJ1773" s="9"/>
    </row>
    <row r="1774" hidden="1">
      <c r="A1774" s="2">
        <v>60.0</v>
      </c>
      <c r="B1774" s="2" t="s">
        <v>1380</v>
      </c>
      <c r="C1774" s="2" t="s">
        <v>1351</v>
      </c>
      <c r="D1774" s="3">
        <v>45843.0</v>
      </c>
      <c r="E1774" s="4">
        <v>0.6666666666666666</v>
      </c>
      <c r="F1774" s="5" t="str">
        <f>VLOOKUP(A1774,Jogos!A:N,10,0)</f>
        <v>Afternoon</v>
      </c>
      <c r="G1774" s="2" t="s">
        <v>249</v>
      </c>
      <c r="H1774" s="6" t="str">
        <f>VLOOKUP(A1774,Jogos!A:L,12,0)</f>
        <v>Open</v>
      </c>
      <c r="I1774" s="6" t="str">
        <f>VLOOKUP(G1774,'Estádios e Cidades'!A:B,2,0)</f>
        <v>East Rutherford</v>
      </c>
      <c r="J1774" s="2" t="s">
        <v>564</v>
      </c>
      <c r="K1774" s="2" t="str">
        <f>VLOOKUP(J1774,Equipes!A:F,6,0)</f>
        <v>Temperate</v>
      </c>
      <c r="L1774" s="2">
        <f>VLOOKUP(J1774,Equipes!A:C,3,0)</f>
        <v>5</v>
      </c>
      <c r="M1774" s="2" t="str">
        <f t="shared" si="4"/>
        <v>Quarter-final</v>
      </c>
      <c r="N1774" s="2" t="s">
        <v>873</v>
      </c>
      <c r="O1774" s="2">
        <f>VLOOKUP(N1774,Equipes!A:C,3,0)</f>
        <v>3</v>
      </c>
      <c r="P1774" s="2" t="str">
        <f t="shared" si="5"/>
        <v>Semi-final</v>
      </c>
      <c r="Q1774" s="2">
        <f t="shared" si="6"/>
        <v>2</v>
      </c>
      <c r="R1774" s="2" t="str">
        <f>VLOOKUP(J1774,Equipes!A:B,2,0)</f>
        <v>Borussia</v>
      </c>
      <c r="S1774" s="6" t="s">
        <v>599</v>
      </c>
      <c r="T1774" s="7">
        <v>10.0</v>
      </c>
      <c r="U1774" s="7" t="s">
        <v>600</v>
      </c>
      <c r="V1774" s="7" t="str">
        <f>VLOOKUP(U1774,Jogadores!B:C,2,0)</f>
        <v>FW</v>
      </c>
      <c r="W1774" s="8">
        <f>VLOOKUP(U1774,Jogadores!B:D,3,0)</f>
        <v>28.92054795</v>
      </c>
      <c r="X1774" s="7">
        <v>0.0</v>
      </c>
      <c r="Y1774" s="7">
        <v>63.0</v>
      </c>
      <c r="Z1774" s="7">
        <f>VLOOKUP(A1774,Jogos!A:L,3,0)</f>
        <v>48</v>
      </c>
      <c r="AA1774" s="7">
        <f t="shared" si="4815"/>
        <v>48</v>
      </c>
      <c r="AB1774" s="7">
        <f>VLOOKUP(A1774,Jogos!A:L,4,0)</f>
        <v>54</v>
      </c>
      <c r="AC1774" s="7">
        <f t="shared" si="5062"/>
        <v>18</v>
      </c>
      <c r="AD1774" s="7"/>
      <c r="AE1774" s="7"/>
      <c r="AF1774" s="7">
        <f t="shared" si="4566"/>
        <v>66</v>
      </c>
      <c r="AG1774" s="7">
        <v>7969.4</v>
      </c>
      <c r="AH1774" s="7">
        <v>2453.6</v>
      </c>
      <c r="AI1774" s="7">
        <v>3643.7</v>
      </c>
      <c r="AJ1774" s="7">
        <v>1129.6</v>
      </c>
      <c r="AK1774" s="7">
        <v>592.7</v>
      </c>
      <c r="AL1774" s="7">
        <v>149.7</v>
      </c>
      <c r="AM1774" s="7">
        <v>94.0</v>
      </c>
      <c r="AN1774" s="7">
        <v>44.0</v>
      </c>
      <c r="AO1774" s="7">
        <v>31.0</v>
      </c>
      <c r="AP1774" s="9">
        <f t="shared" ref="AP1774:AR1774" si="5563">AG1774/$AF1774</f>
        <v>120.7484848</v>
      </c>
      <c r="AQ1774" s="9">
        <f t="shared" si="5563"/>
        <v>37.17575758</v>
      </c>
      <c r="AR1774" s="9">
        <f t="shared" si="5563"/>
        <v>55.20757576</v>
      </c>
      <c r="AS1774" s="9">
        <f t="shared" si="4568"/>
        <v>92.38333333</v>
      </c>
      <c r="AT1774" s="9">
        <f t="shared" ref="AT1774:AV1774" si="5564">AJ1774/$AF1774</f>
        <v>17.11515152</v>
      </c>
      <c r="AU1774" s="9">
        <f t="shared" si="5564"/>
        <v>8.98030303</v>
      </c>
      <c r="AV1774" s="9">
        <f t="shared" si="5564"/>
        <v>2.268181818</v>
      </c>
      <c r="AW1774" s="9">
        <f t="shared" si="4570"/>
        <v>11.24848485</v>
      </c>
      <c r="AX1774" s="9">
        <f t="shared" ref="AX1774:AY1774" si="5565">AM1774/$AF1774</f>
        <v>1.424242424</v>
      </c>
      <c r="AY1774" s="9">
        <f t="shared" si="5565"/>
        <v>0.6666666667</v>
      </c>
      <c r="AZ1774" s="9">
        <f>VLOOKUP(A1774,Jogos!A:BN,58,0)</f>
        <v>29.525</v>
      </c>
      <c r="BA1774" s="9">
        <f>VLOOKUP(A1774,Jogos!A:BN,59,0)</f>
        <v>16</v>
      </c>
      <c r="BB1774" s="9">
        <f>VLOOKUP(A1774,Jogos!A:BN,60,0)</f>
        <v>43.5</v>
      </c>
      <c r="BC1774" s="9">
        <f>VLOOKUP(A1774,Jogos!A:BN,61,0)</f>
        <v>29.585</v>
      </c>
      <c r="BD1774" s="9">
        <f>VLOOKUP(A1774,Jogos!A:BN,62,0)</f>
        <v>521.65</v>
      </c>
      <c r="BE1774" s="9">
        <f>VLOOKUP(A1774,Jogos!A:BN,63,0)</f>
        <v>1.76</v>
      </c>
      <c r="BF1774" s="9">
        <f>VLOOKUP(A1774,Jogos!A:BN,64,0)</f>
        <v>22.615</v>
      </c>
      <c r="BG1774" s="9">
        <f>VLOOKUP(A1774,Jogos!A:BN,65,0)</f>
        <v>42.465</v>
      </c>
      <c r="BH1774" s="9">
        <f>VLOOKUP(A1774,Jogos!A:BN,66,0)</f>
        <v>27.27</v>
      </c>
      <c r="BI1774" s="9"/>
      <c r="BJ1774" s="9"/>
    </row>
    <row r="1775" hidden="1">
      <c r="A1775" s="2">
        <v>60.0</v>
      </c>
      <c r="B1775" s="2" t="s">
        <v>1380</v>
      </c>
      <c r="C1775" s="2" t="s">
        <v>1351</v>
      </c>
      <c r="D1775" s="3">
        <v>45843.0</v>
      </c>
      <c r="E1775" s="4">
        <v>0.6666666666666666</v>
      </c>
      <c r="F1775" s="5" t="str">
        <f>VLOOKUP(A1775,Jogos!A:N,10,0)</f>
        <v>Afternoon</v>
      </c>
      <c r="G1775" s="2" t="s">
        <v>249</v>
      </c>
      <c r="H1775" s="6" t="str">
        <f>VLOOKUP(A1775,Jogos!A:L,12,0)</f>
        <v>Open</v>
      </c>
      <c r="I1775" s="6" t="str">
        <f>VLOOKUP(G1775,'Estádios e Cidades'!A:B,2,0)</f>
        <v>East Rutherford</v>
      </c>
      <c r="J1775" s="2" t="s">
        <v>564</v>
      </c>
      <c r="K1775" s="2" t="str">
        <f>VLOOKUP(J1775,Equipes!A:F,6,0)</f>
        <v>Temperate</v>
      </c>
      <c r="L1775" s="2">
        <f>VLOOKUP(J1775,Equipes!A:C,3,0)</f>
        <v>5</v>
      </c>
      <c r="M1775" s="2" t="str">
        <f t="shared" si="4"/>
        <v>Quarter-final</v>
      </c>
      <c r="N1775" s="2" t="s">
        <v>873</v>
      </c>
      <c r="O1775" s="2">
        <f>VLOOKUP(N1775,Equipes!A:C,3,0)</f>
        <v>3</v>
      </c>
      <c r="P1775" s="2" t="str">
        <f t="shared" si="5"/>
        <v>Semi-final</v>
      </c>
      <c r="Q1775" s="2">
        <f t="shared" si="6"/>
        <v>2</v>
      </c>
      <c r="R1775" s="2" t="str">
        <f>VLOOKUP(J1775,Equipes!A:B,2,0)</f>
        <v>Borussia</v>
      </c>
      <c r="S1775" s="6" t="s">
        <v>601</v>
      </c>
      <c r="T1775" s="7">
        <v>13.0</v>
      </c>
      <c r="U1775" s="7" t="s">
        <v>602</v>
      </c>
      <c r="V1775" s="7" t="str">
        <f>VLOOKUP(U1775,Jogadores!B:C,2,0)</f>
        <v>MF</v>
      </c>
      <c r="W1775" s="8">
        <f>VLOOKUP(U1775,Jogadores!B:D,3,0)</f>
        <v>34.14246575</v>
      </c>
      <c r="X1775" s="7">
        <v>0.0</v>
      </c>
      <c r="Y1775" s="7">
        <v>45.0</v>
      </c>
      <c r="Z1775" s="7">
        <f>VLOOKUP(A1775,Jogos!A:L,3,0)</f>
        <v>48</v>
      </c>
      <c r="AA1775" s="7">
        <f t="shared" si="4815"/>
        <v>48</v>
      </c>
      <c r="AB1775" s="7">
        <f>VLOOKUP(A1775,Jogos!A:L,4,0)</f>
        <v>54</v>
      </c>
      <c r="AC1775" s="7">
        <f t="shared" si="5062"/>
        <v>0</v>
      </c>
      <c r="AD1775" s="7"/>
      <c r="AE1775" s="7"/>
      <c r="AF1775" s="7">
        <f t="shared" si="4566"/>
        <v>48</v>
      </c>
      <c r="AG1775" s="7">
        <v>6049.9</v>
      </c>
      <c r="AH1775" s="7">
        <v>1621.8</v>
      </c>
      <c r="AI1775" s="7">
        <v>3105.0</v>
      </c>
      <c r="AJ1775" s="7">
        <v>1053.8</v>
      </c>
      <c r="AK1775" s="7">
        <v>250.0</v>
      </c>
      <c r="AL1775" s="7">
        <v>19.3</v>
      </c>
      <c r="AM1775" s="7">
        <v>81.0</v>
      </c>
      <c r="AN1775" s="7">
        <v>16.0</v>
      </c>
      <c r="AO1775" s="7">
        <v>27.6</v>
      </c>
      <c r="AP1775" s="9">
        <f t="shared" ref="AP1775:AR1775" si="5566">AG1775/$AF1775</f>
        <v>126.0395833</v>
      </c>
      <c r="AQ1775" s="9">
        <f t="shared" si="5566"/>
        <v>33.7875</v>
      </c>
      <c r="AR1775" s="9">
        <f t="shared" si="5566"/>
        <v>64.6875</v>
      </c>
      <c r="AS1775" s="9">
        <f t="shared" si="4568"/>
        <v>98.475</v>
      </c>
      <c r="AT1775" s="9">
        <f t="shared" ref="AT1775:AV1775" si="5567">AJ1775/$AF1775</f>
        <v>21.95416667</v>
      </c>
      <c r="AU1775" s="9">
        <f t="shared" si="5567"/>
        <v>5.208333333</v>
      </c>
      <c r="AV1775" s="9">
        <f t="shared" si="5567"/>
        <v>0.4020833333</v>
      </c>
      <c r="AW1775" s="9">
        <f t="shared" si="4570"/>
        <v>5.610416667</v>
      </c>
      <c r="AX1775" s="9">
        <f t="shared" ref="AX1775:AY1775" si="5568">AM1775/$AF1775</f>
        <v>1.6875</v>
      </c>
      <c r="AY1775" s="9">
        <f t="shared" si="5568"/>
        <v>0.3333333333</v>
      </c>
      <c r="AZ1775" s="9">
        <f>VLOOKUP(A1775,Jogos!A:BN,58,0)</f>
        <v>29.525</v>
      </c>
      <c r="BA1775" s="9">
        <f>VLOOKUP(A1775,Jogos!A:BN,59,0)</f>
        <v>16</v>
      </c>
      <c r="BB1775" s="9">
        <f>VLOOKUP(A1775,Jogos!A:BN,60,0)</f>
        <v>43.5</v>
      </c>
      <c r="BC1775" s="9">
        <f>VLOOKUP(A1775,Jogos!A:BN,61,0)</f>
        <v>29.585</v>
      </c>
      <c r="BD1775" s="9">
        <f>VLOOKUP(A1775,Jogos!A:BN,62,0)</f>
        <v>521.65</v>
      </c>
      <c r="BE1775" s="9">
        <f>VLOOKUP(A1775,Jogos!A:BN,63,0)</f>
        <v>1.76</v>
      </c>
      <c r="BF1775" s="9">
        <f>VLOOKUP(A1775,Jogos!A:BN,64,0)</f>
        <v>22.615</v>
      </c>
      <c r="BG1775" s="9">
        <f>VLOOKUP(A1775,Jogos!A:BN,65,0)</f>
        <v>42.465</v>
      </c>
      <c r="BH1775" s="9">
        <f>VLOOKUP(A1775,Jogos!A:BN,66,0)</f>
        <v>27.27</v>
      </c>
      <c r="BI1775" s="9"/>
      <c r="BJ1775" s="9"/>
    </row>
    <row r="1776" hidden="1">
      <c r="A1776" s="2">
        <v>60.0</v>
      </c>
      <c r="B1776" s="2" t="s">
        <v>1380</v>
      </c>
      <c r="C1776" s="2" t="s">
        <v>1351</v>
      </c>
      <c r="D1776" s="3">
        <v>45843.0</v>
      </c>
      <c r="E1776" s="4">
        <v>0.6666666666666666</v>
      </c>
      <c r="F1776" s="5" t="str">
        <f>VLOOKUP(A1776,Jogos!A:N,10,0)</f>
        <v>Afternoon</v>
      </c>
      <c r="G1776" s="2" t="s">
        <v>249</v>
      </c>
      <c r="H1776" s="6" t="str">
        <f>VLOOKUP(A1776,Jogos!A:L,12,0)</f>
        <v>Open</v>
      </c>
      <c r="I1776" s="6" t="str">
        <f>VLOOKUP(G1776,'Estádios e Cidades'!A:B,2,0)</f>
        <v>East Rutherford</v>
      </c>
      <c r="J1776" s="2" t="s">
        <v>564</v>
      </c>
      <c r="K1776" s="2" t="str">
        <f>VLOOKUP(J1776,Equipes!A:F,6,0)</f>
        <v>Temperate</v>
      </c>
      <c r="L1776" s="2">
        <f>VLOOKUP(J1776,Equipes!A:C,3,0)</f>
        <v>5</v>
      </c>
      <c r="M1776" s="2" t="str">
        <f t="shared" si="4"/>
        <v>Quarter-final</v>
      </c>
      <c r="N1776" s="2" t="s">
        <v>873</v>
      </c>
      <c r="O1776" s="2">
        <f>VLOOKUP(N1776,Equipes!A:C,3,0)</f>
        <v>3</v>
      </c>
      <c r="P1776" s="2" t="str">
        <f t="shared" si="5"/>
        <v>Semi-final</v>
      </c>
      <c r="Q1776" s="2">
        <f t="shared" si="6"/>
        <v>2</v>
      </c>
      <c r="R1776" s="2" t="str">
        <f>VLOOKUP(J1776,Equipes!A:B,2,0)</f>
        <v>Borussia</v>
      </c>
      <c r="S1776" s="6" t="s">
        <v>603</v>
      </c>
      <c r="T1776" s="7">
        <v>20.0</v>
      </c>
      <c r="U1776" s="7" t="s">
        <v>604</v>
      </c>
      <c r="V1776" s="7" t="str">
        <f>VLOOKUP(U1776,Jogadores!B:C,2,0)</f>
        <v>MF</v>
      </c>
      <c r="W1776" s="8">
        <f>VLOOKUP(U1776,Jogadores!B:D,3,0)</f>
        <v>31.38630137</v>
      </c>
      <c r="X1776" s="7">
        <v>0.0</v>
      </c>
      <c r="Y1776" s="7">
        <f t="shared" ref="Y1776:Y1777" si="5572">45+AB1776</f>
        <v>99</v>
      </c>
      <c r="Z1776" s="7">
        <f>VLOOKUP(A1776,Jogos!A:L,3,0)</f>
        <v>48</v>
      </c>
      <c r="AA1776" s="7">
        <f t="shared" si="4815"/>
        <v>48</v>
      </c>
      <c r="AB1776" s="7">
        <f>VLOOKUP(A1776,Jogos!A:L,4,0)</f>
        <v>54</v>
      </c>
      <c r="AC1776" s="7">
        <f t="shared" si="5062"/>
        <v>54</v>
      </c>
      <c r="AD1776" s="7"/>
      <c r="AE1776" s="7"/>
      <c r="AF1776" s="7">
        <f t="shared" si="4566"/>
        <v>102</v>
      </c>
      <c r="AG1776" s="7">
        <v>11497.8</v>
      </c>
      <c r="AH1776" s="7">
        <v>3581.6</v>
      </c>
      <c r="AI1776" s="7">
        <v>5343.0</v>
      </c>
      <c r="AJ1776" s="7">
        <v>1867.0</v>
      </c>
      <c r="AK1776" s="7">
        <v>562.3</v>
      </c>
      <c r="AL1776" s="7">
        <v>143.9</v>
      </c>
      <c r="AM1776" s="7">
        <v>166.0</v>
      </c>
      <c r="AN1776" s="7">
        <v>39.0</v>
      </c>
      <c r="AO1776" s="7">
        <v>30.7</v>
      </c>
      <c r="AP1776" s="9">
        <f t="shared" ref="AP1776:AR1776" si="5569">AG1776/$AF1776</f>
        <v>112.7235294</v>
      </c>
      <c r="AQ1776" s="9">
        <f t="shared" si="5569"/>
        <v>35.11372549</v>
      </c>
      <c r="AR1776" s="9">
        <f t="shared" si="5569"/>
        <v>52.38235294</v>
      </c>
      <c r="AS1776" s="9">
        <f t="shared" si="4568"/>
        <v>87.49607843</v>
      </c>
      <c r="AT1776" s="9">
        <f t="shared" ref="AT1776:AV1776" si="5570">AJ1776/$AF1776</f>
        <v>18.30392157</v>
      </c>
      <c r="AU1776" s="9">
        <f t="shared" si="5570"/>
        <v>5.512745098</v>
      </c>
      <c r="AV1776" s="9">
        <f t="shared" si="5570"/>
        <v>1.410784314</v>
      </c>
      <c r="AW1776" s="9">
        <f t="shared" si="4570"/>
        <v>6.923529412</v>
      </c>
      <c r="AX1776" s="9">
        <f t="shared" ref="AX1776:AY1776" si="5571">AM1776/$AF1776</f>
        <v>1.62745098</v>
      </c>
      <c r="AY1776" s="9">
        <f t="shared" si="5571"/>
        <v>0.3823529412</v>
      </c>
      <c r="AZ1776" s="9">
        <f>VLOOKUP(A1776,Jogos!A:BN,58,0)</f>
        <v>29.525</v>
      </c>
      <c r="BA1776" s="9">
        <f>VLOOKUP(A1776,Jogos!A:BN,59,0)</f>
        <v>16</v>
      </c>
      <c r="BB1776" s="9">
        <f>VLOOKUP(A1776,Jogos!A:BN,60,0)</f>
        <v>43.5</v>
      </c>
      <c r="BC1776" s="9">
        <f>VLOOKUP(A1776,Jogos!A:BN,61,0)</f>
        <v>29.585</v>
      </c>
      <c r="BD1776" s="9">
        <f>VLOOKUP(A1776,Jogos!A:BN,62,0)</f>
        <v>521.65</v>
      </c>
      <c r="BE1776" s="9">
        <f>VLOOKUP(A1776,Jogos!A:BN,63,0)</f>
        <v>1.76</v>
      </c>
      <c r="BF1776" s="9">
        <f>VLOOKUP(A1776,Jogos!A:BN,64,0)</f>
        <v>22.615</v>
      </c>
      <c r="BG1776" s="9">
        <f>VLOOKUP(A1776,Jogos!A:BN,65,0)</f>
        <v>42.465</v>
      </c>
      <c r="BH1776" s="9">
        <f>VLOOKUP(A1776,Jogos!A:BN,66,0)</f>
        <v>27.27</v>
      </c>
      <c r="BI1776" s="9"/>
      <c r="BJ1776" s="9"/>
    </row>
    <row r="1777" hidden="1">
      <c r="A1777" s="2">
        <v>60.0</v>
      </c>
      <c r="B1777" s="2" t="s">
        <v>1380</v>
      </c>
      <c r="C1777" s="2" t="s">
        <v>1351</v>
      </c>
      <c r="D1777" s="3">
        <v>45843.0</v>
      </c>
      <c r="E1777" s="4">
        <v>0.6666666666666666</v>
      </c>
      <c r="F1777" s="5" t="str">
        <f>VLOOKUP(A1777,Jogos!A:N,10,0)</f>
        <v>Afternoon</v>
      </c>
      <c r="G1777" s="2" t="s">
        <v>249</v>
      </c>
      <c r="H1777" s="6" t="str">
        <f>VLOOKUP(A1777,Jogos!A:L,12,0)</f>
        <v>Open</v>
      </c>
      <c r="I1777" s="6" t="str">
        <f>VLOOKUP(G1777,'Estádios e Cidades'!A:B,2,0)</f>
        <v>East Rutherford</v>
      </c>
      <c r="J1777" s="2" t="s">
        <v>564</v>
      </c>
      <c r="K1777" s="2" t="str">
        <f>VLOOKUP(J1777,Equipes!A:F,6,0)</f>
        <v>Temperate</v>
      </c>
      <c r="L1777" s="2">
        <f>VLOOKUP(J1777,Equipes!A:C,3,0)</f>
        <v>5</v>
      </c>
      <c r="M1777" s="2" t="str">
        <f t="shared" si="4"/>
        <v>Quarter-final</v>
      </c>
      <c r="N1777" s="2" t="s">
        <v>873</v>
      </c>
      <c r="O1777" s="2">
        <f>VLOOKUP(N1777,Equipes!A:C,3,0)</f>
        <v>3</v>
      </c>
      <c r="P1777" s="2" t="str">
        <f t="shared" si="5"/>
        <v>Semi-final</v>
      </c>
      <c r="Q1777" s="2">
        <f t="shared" si="6"/>
        <v>2</v>
      </c>
      <c r="R1777" s="2" t="str">
        <f>VLOOKUP(J1777,Equipes!A:B,2,0)</f>
        <v>Borussia</v>
      </c>
      <c r="S1777" s="6" t="s">
        <v>605</v>
      </c>
      <c r="T1777" s="7">
        <v>24.0</v>
      </c>
      <c r="U1777" s="7" t="s">
        <v>606</v>
      </c>
      <c r="V1777" s="7" t="str">
        <f>VLOOKUP(U1777,Jogadores!B:C,2,0)</f>
        <v>DF</v>
      </c>
      <c r="W1777" s="8">
        <f>VLOOKUP(U1777,Jogadores!B:D,3,0)</f>
        <v>23.47123288</v>
      </c>
      <c r="X1777" s="7">
        <v>0.0</v>
      </c>
      <c r="Y1777" s="7">
        <f t="shared" si="5572"/>
        <v>99</v>
      </c>
      <c r="Z1777" s="7">
        <f>VLOOKUP(A1777,Jogos!A:L,3,0)</f>
        <v>48</v>
      </c>
      <c r="AA1777" s="7">
        <f t="shared" si="4815"/>
        <v>48</v>
      </c>
      <c r="AB1777" s="7">
        <f>VLOOKUP(A1777,Jogos!A:L,4,0)</f>
        <v>54</v>
      </c>
      <c r="AC1777" s="7">
        <f t="shared" si="5062"/>
        <v>54</v>
      </c>
      <c r="AD1777" s="7"/>
      <c r="AE1777" s="7"/>
      <c r="AF1777" s="7">
        <f t="shared" si="4566"/>
        <v>102</v>
      </c>
      <c r="AG1777" s="7">
        <v>12327.1</v>
      </c>
      <c r="AH1777" s="7">
        <v>3701.0</v>
      </c>
      <c r="AI1777" s="7">
        <v>5216.9</v>
      </c>
      <c r="AJ1777" s="7">
        <v>2158.0</v>
      </c>
      <c r="AK1777" s="7">
        <v>923.2</v>
      </c>
      <c r="AL1777" s="7">
        <v>328.0</v>
      </c>
      <c r="AM1777" s="7">
        <v>188.0</v>
      </c>
      <c r="AN1777" s="7">
        <v>69.0</v>
      </c>
      <c r="AO1777" s="7">
        <v>32.2</v>
      </c>
      <c r="AP1777" s="9">
        <f t="shared" ref="AP1777:AR1777" si="5573">AG1777/$AF1777</f>
        <v>120.8539216</v>
      </c>
      <c r="AQ1777" s="9">
        <f t="shared" si="5573"/>
        <v>36.28431373</v>
      </c>
      <c r="AR1777" s="9">
        <f t="shared" si="5573"/>
        <v>51.14607843</v>
      </c>
      <c r="AS1777" s="9">
        <f t="shared" si="4568"/>
        <v>87.43039216</v>
      </c>
      <c r="AT1777" s="9">
        <f t="shared" ref="AT1777:AV1777" si="5574">AJ1777/$AF1777</f>
        <v>21.15686275</v>
      </c>
      <c r="AU1777" s="9">
        <f t="shared" si="5574"/>
        <v>9.050980392</v>
      </c>
      <c r="AV1777" s="9">
        <f t="shared" si="5574"/>
        <v>3.215686275</v>
      </c>
      <c r="AW1777" s="9">
        <f t="shared" si="4570"/>
        <v>12.26666667</v>
      </c>
      <c r="AX1777" s="9">
        <f t="shared" ref="AX1777:AY1777" si="5575">AM1777/$AF1777</f>
        <v>1.843137255</v>
      </c>
      <c r="AY1777" s="9">
        <f t="shared" si="5575"/>
        <v>0.6764705882</v>
      </c>
      <c r="AZ1777" s="9">
        <f>VLOOKUP(A1777,Jogos!A:BN,58,0)</f>
        <v>29.525</v>
      </c>
      <c r="BA1777" s="9">
        <f>VLOOKUP(A1777,Jogos!A:BN,59,0)</f>
        <v>16</v>
      </c>
      <c r="BB1777" s="9">
        <f>VLOOKUP(A1777,Jogos!A:BN,60,0)</f>
        <v>43.5</v>
      </c>
      <c r="BC1777" s="9">
        <f>VLOOKUP(A1777,Jogos!A:BN,61,0)</f>
        <v>29.585</v>
      </c>
      <c r="BD1777" s="9">
        <f>VLOOKUP(A1777,Jogos!A:BN,62,0)</f>
        <v>521.65</v>
      </c>
      <c r="BE1777" s="9">
        <f>VLOOKUP(A1777,Jogos!A:BN,63,0)</f>
        <v>1.76</v>
      </c>
      <c r="BF1777" s="9">
        <f>VLOOKUP(A1777,Jogos!A:BN,64,0)</f>
        <v>22.615</v>
      </c>
      <c r="BG1777" s="9">
        <f>VLOOKUP(A1777,Jogos!A:BN,65,0)</f>
        <v>42.465</v>
      </c>
      <c r="BH1777" s="9">
        <f>VLOOKUP(A1777,Jogos!A:BN,66,0)</f>
        <v>27.27</v>
      </c>
      <c r="BI1777" s="9"/>
      <c r="BJ1777" s="9"/>
    </row>
    <row r="1778" hidden="1">
      <c r="A1778" s="2">
        <v>60.0</v>
      </c>
      <c r="B1778" s="2" t="s">
        <v>1380</v>
      </c>
      <c r="C1778" s="2" t="s">
        <v>1351</v>
      </c>
      <c r="D1778" s="3">
        <v>45843.0</v>
      </c>
      <c r="E1778" s="4">
        <v>0.6666666666666666</v>
      </c>
      <c r="F1778" s="5" t="str">
        <f>VLOOKUP(A1778,Jogos!A:N,10,0)</f>
        <v>Afternoon</v>
      </c>
      <c r="G1778" s="2" t="s">
        <v>249</v>
      </c>
      <c r="H1778" s="6" t="str">
        <f>VLOOKUP(A1778,Jogos!A:L,12,0)</f>
        <v>Open</v>
      </c>
      <c r="I1778" s="6" t="str">
        <f>VLOOKUP(G1778,'Estádios e Cidades'!A:B,2,0)</f>
        <v>East Rutherford</v>
      </c>
      <c r="J1778" s="2" t="s">
        <v>564</v>
      </c>
      <c r="K1778" s="2" t="str">
        <f>VLOOKUP(J1778,Equipes!A:F,6,0)</f>
        <v>Temperate</v>
      </c>
      <c r="L1778" s="2">
        <f>VLOOKUP(J1778,Equipes!A:C,3,0)</f>
        <v>5</v>
      </c>
      <c r="M1778" s="2" t="str">
        <f t="shared" si="4"/>
        <v>Quarter-final</v>
      </c>
      <c r="N1778" s="2" t="s">
        <v>873</v>
      </c>
      <c r="O1778" s="2">
        <f>VLOOKUP(N1778,Equipes!A:C,3,0)</f>
        <v>3</v>
      </c>
      <c r="P1778" s="2" t="str">
        <f t="shared" si="5"/>
        <v>Semi-final</v>
      </c>
      <c r="Q1778" s="2">
        <f t="shared" si="6"/>
        <v>2</v>
      </c>
      <c r="R1778" s="2" t="str">
        <f>VLOOKUP(J1778,Equipes!A:B,2,0)</f>
        <v>Borussia</v>
      </c>
      <c r="S1778" s="6" t="s">
        <v>607</v>
      </c>
      <c r="T1778" s="7">
        <v>25.0</v>
      </c>
      <c r="U1778" s="7" t="s">
        <v>608</v>
      </c>
      <c r="V1778" s="7" t="str">
        <f>VLOOKUP(U1778,Jogadores!B:C,2,0)</f>
        <v>DF</v>
      </c>
      <c r="W1778" s="8">
        <f>VLOOKUP(U1778,Jogadores!B:D,3,0)</f>
        <v>29.92054795</v>
      </c>
      <c r="X1778" s="7">
        <v>0.0</v>
      </c>
      <c r="Y1778" s="7">
        <v>46.0</v>
      </c>
      <c r="Z1778" s="7">
        <f>VLOOKUP(A1778,Jogos!A:L,3,0)</f>
        <v>48</v>
      </c>
      <c r="AA1778" s="7">
        <f t="shared" si="4815"/>
        <v>48</v>
      </c>
      <c r="AB1778" s="7">
        <f>VLOOKUP(A1778,Jogos!A:L,4,0)</f>
        <v>54</v>
      </c>
      <c r="AC1778" s="7">
        <f t="shared" si="5062"/>
        <v>1</v>
      </c>
      <c r="AD1778" s="7"/>
      <c r="AE1778" s="7"/>
      <c r="AF1778" s="7">
        <f t="shared" si="4566"/>
        <v>49</v>
      </c>
      <c r="AG1778" s="7">
        <v>5035.3</v>
      </c>
      <c r="AH1778" s="7">
        <v>1994.3</v>
      </c>
      <c r="AI1778" s="7">
        <v>2271.0</v>
      </c>
      <c r="AJ1778" s="7">
        <v>494.6</v>
      </c>
      <c r="AK1778" s="7">
        <v>212.3</v>
      </c>
      <c r="AL1778" s="7">
        <v>63.1</v>
      </c>
      <c r="AM1778" s="7">
        <v>43.0</v>
      </c>
      <c r="AN1778" s="7">
        <v>17.0</v>
      </c>
      <c r="AO1778" s="7">
        <v>29.9</v>
      </c>
      <c r="AP1778" s="9">
        <f t="shared" ref="AP1778:AR1778" si="5576">AG1778/$AF1778</f>
        <v>102.7612245</v>
      </c>
      <c r="AQ1778" s="9">
        <f t="shared" si="5576"/>
        <v>40.7</v>
      </c>
      <c r="AR1778" s="9">
        <f t="shared" si="5576"/>
        <v>46.34693878</v>
      </c>
      <c r="AS1778" s="9">
        <f t="shared" si="4568"/>
        <v>87.04693878</v>
      </c>
      <c r="AT1778" s="9">
        <f t="shared" ref="AT1778:AV1778" si="5577">AJ1778/$AF1778</f>
        <v>10.09387755</v>
      </c>
      <c r="AU1778" s="9">
        <f t="shared" si="5577"/>
        <v>4.332653061</v>
      </c>
      <c r="AV1778" s="9">
        <f t="shared" si="5577"/>
        <v>1.287755102</v>
      </c>
      <c r="AW1778" s="9">
        <f t="shared" si="4570"/>
        <v>5.620408163</v>
      </c>
      <c r="AX1778" s="9">
        <f t="shared" ref="AX1778:AY1778" si="5578">AM1778/$AF1778</f>
        <v>0.8775510204</v>
      </c>
      <c r="AY1778" s="9">
        <f t="shared" si="5578"/>
        <v>0.3469387755</v>
      </c>
      <c r="AZ1778" s="9">
        <f>VLOOKUP(A1778,Jogos!A:BN,58,0)</f>
        <v>29.525</v>
      </c>
      <c r="BA1778" s="9">
        <f>VLOOKUP(A1778,Jogos!A:BN,59,0)</f>
        <v>16</v>
      </c>
      <c r="BB1778" s="9">
        <f>VLOOKUP(A1778,Jogos!A:BN,60,0)</f>
        <v>43.5</v>
      </c>
      <c r="BC1778" s="9">
        <f>VLOOKUP(A1778,Jogos!A:BN,61,0)</f>
        <v>29.585</v>
      </c>
      <c r="BD1778" s="9">
        <f>VLOOKUP(A1778,Jogos!A:BN,62,0)</f>
        <v>521.65</v>
      </c>
      <c r="BE1778" s="9">
        <f>VLOOKUP(A1778,Jogos!A:BN,63,0)</f>
        <v>1.76</v>
      </c>
      <c r="BF1778" s="9">
        <f>VLOOKUP(A1778,Jogos!A:BN,64,0)</f>
        <v>22.615</v>
      </c>
      <c r="BG1778" s="9">
        <f>VLOOKUP(A1778,Jogos!A:BN,65,0)</f>
        <v>42.465</v>
      </c>
      <c r="BH1778" s="9">
        <f>VLOOKUP(A1778,Jogos!A:BN,66,0)</f>
        <v>27.27</v>
      </c>
      <c r="BI1778" s="9"/>
      <c r="BJ1778" s="9"/>
    </row>
    <row r="1779" hidden="1">
      <c r="A1779" s="2">
        <v>60.0</v>
      </c>
      <c r="B1779" s="2" t="s">
        <v>1380</v>
      </c>
      <c r="C1779" s="2" t="s">
        <v>1351</v>
      </c>
      <c r="D1779" s="3">
        <v>45843.0</v>
      </c>
      <c r="E1779" s="4">
        <v>0.6666666666666666</v>
      </c>
      <c r="F1779" s="5" t="str">
        <f>VLOOKUP(A1779,Jogos!A:N,10,0)</f>
        <v>Afternoon</v>
      </c>
      <c r="G1779" s="2" t="s">
        <v>249</v>
      </c>
      <c r="H1779" s="6" t="str">
        <f>VLOOKUP(A1779,Jogos!A:L,12,0)</f>
        <v>Open</v>
      </c>
      <c r="I1779" s="6" t="str">
        <f>VLOOKUP(G1779,'Estádios e Cidades'!A:B,2,0)</f>
        <v>East Rutherford</v>
      </c>
      <c r="J1779" s="2" t="s">
        <v>564</v>
      </c>
      <c r="K1779" s="2" t="str">
        <f>VLOOKUP(J1779,Equipes!A:F,6,0)</f>
        <v>Temperate</v>
      </c>
      <c r="L1779" s="2">
        <f>VLOOKUP(J1779,Equipes!A:C,3,0)</f>
        <v>5</v>
      </c>
      <c r="M1779" s="2" t="str">
        <f t="shared" si="4"/>
        <v>Quarter-final</v>
      </c>
      <c r="N1779" s="2" t="s">
        <v>873</v>
      </c>
      <c r="O1779" s="2">
        <f>VLOOKUP(N1779,Equipes!A:C,3,0)</f>
        <v>3</v>
      </c>
      <c r="P1779" s="2" t="str">
        <f t="shared" si="5"/>
        <v>Semi-final</v>
      </c>
      <c r="Q1779" s="2">
        <f t="shared" si="6"/>
        <v>2</v>
      </c>
      <c r="R1779" s="2" t="str">
        <f>VLOOKUP(J1779,Equipes!A:B,2,0)</f>
        <v>Borussia</v>
      </c>
      <c r="S1779" s="6" t="s">
        <v>609</v>
      </c>
      <c r="T1779" s="7">
        <v>26.0</v>
      </c>
      <c r="U1779" s="7" t="s">
        <v>610</v>
      </c>
      <c r="V1779" s="7" t="str">
        <f>VLOOKUP(U1779,Jogadores!B:C,2,0)</f>
        <v>DF</v>
      </c>
      <c r="W1779" s="8">
        <f>VLOOKUP(U1779,Jogadores!B:D,3,0)</f>
        <v>27.71232877</v>
      </c>
      <c r="X1779" s="7">
        <v>0.0</v>
      </c>
      <c r="Y1779" s="7">
        <f>45+AB1779</f>
        <v>99</v>
      </c>
      <c r="Z1779" s="7">
        <f>VLOOKUP(A1779,Jogos!A:L,3,0)</f>
        <v>48</v>
      </c>
      <c r="AA1779" s="7">
        <f t="shared" si="4815"/>
        <v>48</v>
      </c>
      <c r="AB1779" s="7">
        <f>VLOOKUP(A1779,Jogos!A:L,4,0)</f>
        <v>54</v>
      </c>
      <c r="AC1779" s="7">
        <f t="shared" si="5062"/>
        <v>54</v>
      </c>
      <c r="AD1779" s="7"/>
      <c r="AE1779" s="7"/>
      <c r="AF1779" s="7">
        <f t="shared" si="4566"/>
        <v>102</v>
      </c>
      <c r="AG1779" s="7">
        <v>10666.6</v>
      </c>
      <c r="AH1779" s="7">
        <v>4224.0</v>
      </c>
      <c r="AI1779" s="7">
        <v>4504.0</v>
      </c>
      <c r="AJ1779" s="7">
        <v>1180.1</v>
      </c>
      <c r="AK1779" s="7">
        <v>529.9</v>
      </c>
      <c r="AL1779" s="7">
        <v>228.6</v>
      </c>
      <c r="AM1779" s="7">
        <v>109.0</v>
      </c>
      <c r="AN1779" s="7">
        <v>47.0</v>
      </c>
      <c r="AO1779" s="7">
        <v>31.3</v>
      </c>
      <c r="AP1779" s="9">
        <f t="shared" ref="AP1779:AR1779" si="5579">AG1779/$AF1779</f>
        <v>104.5745098</v>
      </c>
      <c r="AQ1779" s="9">
        <f t="shared" si="5579"/>
        <v>41.41176471</v>
      </c>
      <c r="AR1779" s="9">
        <f t="shared" si="5579"/>
        <v>44.15686275</v>
      </c>
      <c r="AS1779" s="9">
        <f t="shared" si="4568"/>
        <v>85.56862745</v>
      </c>
      <c r="AT1779" s="9">
        <f t="shared" ref="AT1779:AV1779" si="5580">AJ1779/$AF1779</f>
        <v>11.56960784</v>
      </c>
      <c r="AU1779" s="9">
        <f t="shared" si="5580"/>
        <v>5.195098039</v>
      </c>
      <c r="AV1779" s="9">
        <f t="shared" si="5580"/>
        <v>2.241176471</v>
      </c>
      <c r="AW1779" s="9">
        <f t="shared" si="4570"/>
        <v>7.43627451</v>
      </c>
      <c r="AX1779" s="9">
        <f t="shared" ref="AX1779:AY1779" si="5581">AM1779/$AF1779</f>
        <v>1.068627451</v>
      </c>
      <c r="AY1779" s="9">
        <f t="shared" si="5581"/>
        <v>0.4607843137</v>
      </c>
      <c r="AZ1779" s="9">
        <f>VLOOKUP(A1779,Jogos!A:BN,58,0)</f>
        <v>29.525</v>
      </c>
      <c r="BA1779" s="9">
        <f>VLOOKUP(A1779,Jogos!A:BN,59,0)</f>
        <v>16</v>
      </c>
      <c r="BB1779" s="9">
        <f>VLOOKUP(A1779,Jogos!A:BN,60,0)</f>
        <v>43.5</v>
      </c>
      <c r="BC1779" s="9">
        <f>VLOOKUP(A1779,Jogos!A:BN,61,0)</f>
        <v>29.585</v>
      </c>
      <c r="BD1779" s="9">
        <f>VLOOKUP(A1779,Jogos!A:BN,62,0)</f>
        <v>521.65</v>
      </c>
      <c r="BE1779" s="9">
        <f>VLOOKUP(A1779,Jogos!A:BN,63,0)</f>
        <v>1.76</v>
      </c>
      <c r="BF1779" s="9">
        <f>VLOOKUP(A1779,Jogos!A:BN,64,0)</f>
        <v>22.615</v>
      </c>
      <c r="BG1779" s="9">
        <f>VLOOKUP(A1779,Jogos!A:BN,65,0)</f>
        <v>42.465</v>
      </c>
      <c r="BH1779" s="9">
        <f>VLOOKUP(A1779,Jogos!A:BN,66,0)</f>
        <v>27.27</v>
      </c>
      <c r="BI1779" s="9"/>
      <c r="BJ1779" s="9"/>
    </row>
    <row r="1780" hidden="1">
      <c r="A1780" s="2">
        <v>60.0</v>
      </c>
      <c r="B1780" s="2" t="s">
        <v>1380</v>
      </c>
      <c r="C1780" s="2" t="s">
        <v>1351</v>
      </c>
      <c r="D1780" s="3">
        <v>45843.0</v>
      </c>
      <c r="E1780" s="4">
        <v>0.6666666666666666</v>
      </c>
      <c r="F1780" s="5" t="str">
        <f>VLOOKUP(A1780,Jogos!A:N,10,0)</f>
        <v>Afternoon</v>
      </c>
      <c r="G1780" s="2" t="s">
        <v>249</v>
      </c>
      <c r="H1780" s="6" t="str">
        <f>VLOOKUP(A1780,Jogos!A:L,12,0)</f>
        <v>Open</v>
      </c>
      <c r="I1780" s="6" t="str">
        <f>VLOOKUP(G1780,'Estádios e Cidades'!A:B,2,0)</f>
        <v>East Rutherford</v>
      </c>
      <c r="J1780" s="2" t="s">
        <v>564</v>
      </c>
      <c r="K1780" s="2" t="str">
        <f>VLOOKUP(J1780,Equipes!A:F,6,0)</f>
        <v>Temperate</v>
      </c>
      <c r="L1780" s="2">
        <f>VLOOKUP(J1780,Equipes!A:C,3,0)</f>
        <v>5</v>
      </c>
      <c r="M1780" s="2" t="str">
        <f t="shared" si="4"/>
        <v>Quarter-final</v>
      </c>
      <c r="N1780" s="2" t="s">
        <v>873</v>
      </c>
      <c r="O1780" s="2">
        <f>VLOOKUP(N1780,Equipes!A:C,3,0)</f>
        <v>3</v>
      </c>
      <c r="P1780" s="2" t="str">
        <f t="shared" si="5"/>
        <v>Semi-final</v>
      </c>
      <c r="Q1780" s="2">
        <f t="shared" si="6"/>
        <v>2</v>
      </c>
      <c r="R1780" s="2" t="str">
        <f>VLOOKUP(J1780,Equipes!A:B,2,0)</f>
        <v>Borussia</v>
      </c>
      <c r="S1780" s="6" t="s">
        <v>611</v>
      </c>
      <c r="T1780" s="7">
        <v>27.0</v>
      </c>
      <c r="U1780" s="7" t="s">
        <v>612</v>
      </c>
      <c r="V1780" s="7" t="str">
        <f>VLOOKUP(U1780,Jogadores!B:C,2,0)</f>
        <v>FW</v>
      </c>
      <c r="W1780" s="8">
        <f>VLOOKUP(U1780,Jogadores!B:D,3,0)</f>
        <v>23.53972603</v>
      </c>
      <c r="X1780" s="7">
        <v>0.0</v>
      </c>
      <c r="Y1780" s="7">
        <v>45.0</v>
      </c>
      <c r="Z1780" s="7">
        <f>VLOOKUP(A1780,Jogos!A:L,3,0)</f>
        <v>48</v>
      </c>
      <c r="AA1780" s="7">
        <f t="shared" si="4815"/>
        <v>48</v>
      </c>
      <c r="AB1780" s="7">
        <f>VLOOKUP(A1780,Jogos!A:L,4,0)</f>
        <v>54</v>
      </c>
      <c r="AC1780" s="7">
        <f t="shared" si="5062"/>
        <v>0</v>
      </c>
      <c r="AD1780" s="7"/>
      <c r="AE1780" s="7"/>
      <c r="AF1780" s="7">
        <f t="shared" si="4566"/>
        <v>48</v>
      </c>
      <c r="AG1780" s="7">
        <v>5017.6</v>
      </c>
      <c r="AH1780" s="7">
        <v>2098.7</v>
      </c>
      <c r="AI1780" s="7">
        <v>1907.1</v>
      </c>
      <c r="AJ1780" s="7">
        <v>594.7</v>
      </c>
      <c r="AK1780" s="7">
        <v>242.5</v>
      </c>
      <c r="AL1780" s="7">
        <v>174.5</v>
      </c>
      <c r="AM1780" s="7">
        <v>44.0</v>
      </c>
      <c r="AN1780" s="7">
        <v>20.0</v>
      </c>
      <c r="AO1780" s="7">
        <v>34.2</v>
      </c>
      <c r="AP1780" s="9">
        <f t="shared" ref="AP1780:AR1780" si="5582">AG1780/$AF1780</f>
        <v>104.5333333</v>
      </c>
      <c r="AQ1780" s="9">
        <f t="shared" si="5582"/>
        <v>43.72291667</v>
      </c>
      <c r="AR1780" s="9">
        <f t="shared" si="5582"/>
        <v>39.73125</v>
      </c>
      <c r="AS1780" s="9">
        <f t="shared" si="4568"/>
        <v>83.45416667</v>
      </c>
      <c r="AT1780" s="9">
        <f t="shared" ref="AT1780:AV1780" si="5583">AJ1780/$AF1780</f>
        <v>12.38958333</v>
      </c>
      <c r="AU1780" s="9">
        <f t="shared" si="5583"/>
        <v>5.052083333</v>
      </c>
      <c r="AV1780" s="9">
        <f t="shared" si="5583"/>
        <v>3.635416667</v>
      </c>
      <c r="AW1780" s="9">
        <f t="shared" si="4570"/>
        <v>8.6875</v>
      </c>
      <c r="AX1780" s="9">
        <f t="shared" ref="AX1780:AY1780" si="5584">AM1780/$AF1780</f>
        <v>0.9166666667</v>
      </c>
      <c r="AY1780" s="9">
        <f t="shared" si="5584"/>
        <v>0.4166666667</v>
      </c>
      <c r="AZ1780" s="9">
        <f>VLOOKUP(A1780,Jogos!A:BN,58,0)</f>
        <v>29.525</v>
      </c>
      <c r="BA1780" s="9">
        <f>VLOOKUP(A1780,Jogos!A:BN,59,0)</f>
        <v>16</v>
      </c>
      <c r="BB1780" s="9">
        <f>VLOOKUP(A1780,Jogos!A:BN,60,0)</f>
        <v>43.5</v>
      </c>
      <c r="BC1780" s="9">
        <f>VLOOKUP(A1780,Jogos!A:BN,61,0)</f>
        <v>29.585</v>
      </c>
      <c r="BD1780" s="9">
        <f>VLOOKUP(A1780,Jogos!A:BN,62,0)</f>
        <v>521.65</v>
      </c>
      <c r="BE1780" s="9">
        <f>VLOOKUP(A1780,Jogos!A:BN,63,0)</f>
        <v>1.76</v>
      </c>
      <c r="BF1780" s="9">
        <f>VLOOKUP(A1780,Jogos!A:BN,64,0)</f>
        <v>22.615</v>
      </c>
      <c r="BG1780" s="9">
        <f>VLOOKUP(A1780,Jogos!A:BN,65,0)</f>
        <v>42.465</v>
      </c>
      <c r="BH1780" s="9">
        <f>VLOOKUP(A1780,Jogos!A:BN,66,0)</f>
        <v>27.27</v>
      </c>
      <c r="BI1780" s="9"/>
      <c r="BJ1780" s="9"/>
    </row>
    <row r="1781" hidden="1">
      <c r="A1781" s="2">
        <v>60.0</v>
      </c>
      <c r="B1781" s="2" t="s">
        <v>1380</v>
      </c>
      <c r="C1781" s="2" t="s">
        <v>1351</v>
      </c>
      <c r="D1781" s="3">
        <v>45843.0</v>
      </c>
      <c r="E1781" s="4">
        <v>0.6666666666666666</v>
      </c>
      <c r="F1781" s="5" t="str">
        <f>VLOOKUP(A1781,Jogos!A:N,10,0)</f>
        <v>Afternoon</v>
      </c>
      <c r="G1781" s="2" t="s">
        <v>249</v>
      </c>
      <c r="H1781" s="6" t="str">
        <f>VLOOKUP(A1781,Jogos!A:L,12,0)</f>
        <v>Open</v>
      </c>
      <c r="I1781" s="6" t="str">
        <f>VLOOKUP(G1781,'Estádios e Cidades'!A:B,2,0)</f>
        <v>East Rutherford</v>
      </c>
      <c r="J1781" s="2" t="s">
        <v>564</v>
      </c>
      <c r="K1781" s="2" t="str">
        <f>VLOOKUP(J1781,Equipes!A:F,6,0)</f>
        <v>Temperate</v>
      </c>
      <c r="L1781" s="2">
        <f>VLOOKUP(J1781,Equipes!A:C,3,0)</f>
        <v>5</v>
      </c>
      <c r="M1781" s="2" t="str">
        <f t="shared" si="4"/>
        <v>Quarter-final</v>
      </c>
      <c r="N1781" s="2" t="s">
        <v>873</v>
      </c>
      <c r="O1781" s="2">
        <f>VLOOKUP(N1781,Equipes!A:C,3,0)</f>
        <v>3</v>
      </c>
      <c r="P1781" s="2" t="str">
        <f t="shared" si="5"/>
        <v>Semi-final</v>
      </c>
      <c r="Q1781" s="2">
        <f t="shared" si="6"/>
        <v>2</v>
      </c>
      <c r="R1781" s="2" t="str">
        <f>VLOOKUP(J1781,Equipes!A:B,2,0)</f>
        <v>Borussia</v>
      </c>
      <c r="S1781" s="6" t="s">
        <v>613</v>
      </c>
      <c r="T1781" s="7">
        <v>2.0</v>
      </c>
      <c r="U1781" s="7" t="s">
        <v>614</v>
      </c>
      <c r="V1781" s="7" t="str">
        <f>VLOOKUP(U1781,Jogadores!B:C,2,0)</f>
        <v>DF</v>
      </c>
      <c r="W1781" s="8">
        <f>VLOOKUP(U1781,Jogadores!B:D,3,0)</f>
        <v>23.16712329</v>
      </c>
      <c r="X1781" s="7">
        <v>46.0</v>
      </c>
      <c r="Y1781" s="7">
        <f t="shared" ref="Y1781:Y1783" si="5588">45+AB1781</f>
        <v>99</v>
      </c>
      <c r="Z1781" s="7">
        <f>VLOOKUP(A1781,Jogos!A:L,3,0)</f>
        <v>48</v>
      </c>
      <c r="AA1781" s="7">
        <f t="shared" si="4815"/>
        <v>0</v>
      </c>
      <c r="AB1781" s="7">
        <f>VLOOKUP(A1781,Jogos!A:L,4,0)</f>
        <v>54</v>
      </c>
      <c r="AC1781" s="7">
        <f t="shared" si="5062"/>
        <v>53</v>
      </c>
      <c r="AD1781" s="7"/>
      <c r="AE1781" s="7"/>
      <c r="AF1781" s="7">
        <f t="shared" si="4566"/>
        <v>53</v>
      </c>
      <c r="AG1781" s="7">
        <v>5158.2</v>
      </c>
      <c r="AH1781" s="7">
        <v>1688.2</v>
      </c>
      <c r="AI1781" s="7">
        <v>2216.0</v>
      </c>
      <c r="AJ1781" s="7">
        <v>749.9</v>
      </c>
      <c r="AK1781" s="7">
        <v>323.1</v>
      </c>
      <c r="AL1781" s="7">
        <v>181.1</v>
      </c>
      <c r="AM1781" s="7">
        <v>64.0</v>
      </c>
      <c r="AN1781" s="7">
        <v>29.0</v>
      </c>
      <c r="AO1781" s="7">
        <v>31.3</v>
      </c>
      <c r="AP1781" s="9">
        <f t="shared" ref="AP1781:AR1781" si="5585">AG1781/$AF1781</f>
        <v>97.3245283</v>
      </c>
      <c r="AQ1781" s="9">
        <f t="shared" si="5585"/>
        <v>31.85283019</v>
      </c>
      <c r="AR1781" s="9">
        <f t="shared" si="5585"/>
        <v>41.81132075</v>
      </c>
      <c r="AS1781" s="9">
        <f t="shared" si="4568"/>
        <v>73.66415094</v>
      </c>
      <c r="AT1781" s="9">
        <f t="shared" ref="AT1781:AV1781" si="5586">AJ1781/$AF1781</f>
        <v>14.1490566</v>
      </c>
      <c r="AU1781" s="9">
        <f t="shared" si="5586"/>
        <v>6.096226415</v>
      </c>
      <c r="AV1781" s="9">
        <f t="shared" si="5586"/>
        <v>3.416981132</v>
      </c>
      <c r="AW1781" s="9">
        <f t="shared" si="4570"/>
        <v>9.513207547</v>
      </c>
      <c r="AX1781" s="9">
        <f t="shared" ref="AX1781:AY1781" si="5587">AM1781/$AF1781</f>
        <v>1.20754717</v>
      </c>
      <c r="AY1781" s="9">
        <f t="shared" si="5587"/>
        <v>0.5471698113</v>
      </c>
      <c r="AZ1781" s="9">
        <f>VLOOKUP(A1781,Jogos!A:BN,58,0)</f>
        <v>29.525</v>
      </c>
      <c r="BA1781" s="9">
        <f>VLOOKUP(A1781,Jogos!A:BN,59,0)</f>
        <v>16</v>
      </c>
      <c r="BB1781" s="9">
        <f>VLOOKUP(A1781,Jogos!A:BN,60,0)</f>
        <v>43.5</v>
      </c>
      <c r="BC1781" s="9">
        <f>VLOOKUP(A1781,Jogos!A:BN,61,0)</f>
        <v>29.585</v>
      </c>
      <c r="BD1781" s="9">
        <f>VLOOKUP(A1781,Jogos!A:BN,62,0)</f>
        <v>521.65</v>
      </c>
      <c r="BE1781" s="9">
        <f>VLOOKUP(A1781,Jogos!A:BN,63,0)</f>
        <v>1.76</v>
      </c>
      <c r="BF1781" s="9">
        <f>VLOOKUP(A1781,Jogos!A:BN,64,0)</f>
        <v>22.615</v>
      </c>
      <c r="BG1781" s="9">
        <f>VLOOKUP(A1781,Jogos!A:BN,65,0)</f>
        <v>42.465</v>
      </c>
      <c r="BH1781" s="9">
        <f>VLOOKUP(A1781,Jogos!A:BN,66,0)</f>
        <v>27.27</v>
      </c>
      <c r="BI1781" s="9"/>
      <c r="BJ1781" s="9"/>
    </row>
    <row r="1782" hidden="1">
      <c r="A1782" s="2">
        <v>60.0</v>
      </c>
      <c r="B1782" s="2" t="s">
        <v>1380</v>
      </c>
      <c r="C1782" s="2" t="s">
        <v>1351</v>
      </c>
      <c r="D1782" s="3">
        <v>45843.0</v>
      </c>
      <c r="E1782" s="4">
        <v>0.6666666666666666</v>
      </c>
      <c r="F1782" s="5" t="str">
        <f>VLOOKUP(A1782,Jogos!A:N,10,0)</f>
        <v>Afternoon</v>
      </c>
      <c r="G1782" s="2" t="s">
        <v>249</v>
      </c>
      <c r="H1782" s="6" t="str">
        <f>VLOOKUP(A1782,Jogos!A:L,12,0)</f>
        <v>Open</v>
      </c>
      <c r="I1782" s="6" t="str">
        <f>VLOOKUP(G1782,'Estádios e Cidades'!A:B,2,0)</f>
        <v>East Rutherford</v>
      </c>
      <c r="J1782" s="2" t="s">
        <v>564</v>
      </c>
      <c r="K1782" s="2" t="str">
        <f>VLOOKUP(J1782,Equipes!A:F,6,0)</f>
        <v>Temperate</v>
      </c>
      <c r="L1782" s="2">
        <f>VLOOKUP(J1782,Equipes!A:C,3,0)</f>
        <v>5</v>
      </c>
      <c r="M1782" s="2" t="str">
        <f t="shared" si="4"/>
        <v>Quarter-final</v>
      </c>
      <c r="N1782" s="2" t="s">
        <v>873</v>
      </c>
      <c r="O1782" s="2">
        <f>VLOOKUP(N1782,Equipes!A:C,3,0)</f>
        <v>3</v>
      </c>
      <c r="P1782" s="2" t="str">
        <f t="shared" si="5"/>
        <v>Semi-final</v>
      </c>
      <c r="Q1782" s="2">
        <f t="shared" si="6"/>
        <v>2</v>
      </c>
      <c r="R1782" s="2" t="str">
        <f>VLOOKUP(J1782,Equipes!A:B,2,0)</f>
        <v>Borussia</v>
      </c>
      <c r="S1782" s="6" t="s">
        <v>615</v>
      </c>
      <c r="T1782" s="7">
        <v>8.0</v>
      </c>
      <c r="U1782" s="7" t="s">
        <v>616</v>
      </c>
      <c r="V1782" s="7" t="str">
        <f>VLOOKUP(U1782,Jogadores!B:C,2,0)</f>
        <v>MF</v>
      </c>
      <c r="W1782" s="8">
        <f>VLOOKUP(U1782,Jogadores!B:D,3,0)</f>
        <v>24.81369863</v>
      </c>
      <c r="X1782" s="7">
        <v>45.0</v>
      </c>
      <c r="Y1782" s="7">
        <f t="shared" si="5588"/>
        <v>99</v>
      </c>
      <c r="Z1782" s="7">
        <f>VLOOKUP(A1782,Jogos!A:L,3,0)</f>
        <v>48</v>
      </c>
      <c r="AA1782" s="7">
        <f t="shared" si="4815"/>
        <v>0</v>
      </c>
      <c r="AB1782" s="7">
        <f>VLOOKUP(A1782,Jogos!A:L,4,0)</f>
        <v>54</v>
      </c>
      <c r="AC1782" s="7">
        <f t="shared" si="5062"/>
        <v>54</v>
      </c>
      <c r="AD1782" s="7"/>
      <c r="AE1782" s="7"/>
      <c r="AF1782" s="7">
        <f t="shared" si="4566"/>
        <v>54</v>
      </c>
      <c r="AG1782" s="7">
        <v>5474.4</v>
      </c>
      <c r="AH1782" s="7">
        <v>2033.8</v>
      </c>
      <c r="AI1782" s="7">
        <v>2233.1</v>
      </c>
      <c r="AJ1782" s="7">
        <v>844.1</v>
      </c>
      <c r="AK1782" s="7">
        <v>265.2</v>
      </c>
      <c r="AL1782" s="7">
        <v>98.3</v>
      </c>
      <c r="AM1782" s="7">
        <v>77.0</v>
      </c>
      <c r="AN1782" s="7">
        <v>19.0</v>
      </c>
      <c r="AO1782" s="7">
        <v>32.5</v>
      </c>
      <c r="AP1782" s="9">
        <f t="shared" ref="AP1782:AR1782" si="5589">AG1782/$AF1782</f>
        <v>101.3777778</v>
      </c>
      <c r="AQ1782" s="9">
        <f t="shared" si="5589"/>
        <v>37.66296296</v>
      </c>
      <c r="AR1782" s="9">
        <f t="shared" si="5589"/>
        <v>41.3537037</v>
      </c>
      <c r="AS1782" s="9">
        <f t="shared" si="4568"/>
        <v>79.01666667</v>
      </c>
      <c r="AT1782" s="9">
        <f t="shared" ref="AT1782:AV1782" si="5590">AJ1782/$AF1782</f>
        <v>15.63148148</v>
      </c>
      <c r="AU1782" s="9">
        <f t="shared" si="5590"/>
        <v>4.911111111</v>
      </c>
      <c r="AV1782" s="9">
        <f t="shared" si="5590"/>
        <v>1.82037037</v>
      </c>
      <c r="AW1782" s="9">
        <f t="shared" si="4570"/>
        <v>6.731481481</v>
      </c>
      <c r="AX1782" s="9">
        <f t="shared" ref="AX1782:AY1782" si="5591">AM1782/$AF1782</f>
        <v>1.425925926</v>
      </c>
      <c r="AY1782" s="9">
        <f t="shared" si="5591"/>
        <v>0.3518518519</v>
      </c>
      <c r="AZ1782" s="9">
        <f>VLOOKUP(A1782,Jogos!A:BN,58,0)</f>
        <v>29.525</v>
      </c>
      <c r="BA1782" s="9">
        <f>VLOOKUP(A1782,Jogos!A:BN,59,0)</f>
        <v>16</v>
      </c>
      <c r="BB1782" s="9">
        <f>VLOOKUP(A1782,Jogos!A:BN,60,0)</f>
        <v>43.5</v>
      </c>
      <c r="BC1782" s="9">
        <f>VLOOKUP(A1782,Jogos!A:BN,61,0)</f>
        <v>29.585</v>
      </c>
      <c r="BD1782" s="9">
        <f>VLOOKUP(A1782,Jogos!A:BN,62,0)</f>
        <v>521.65</v>
      </c>
      <c r="BE1782" s="9">
        <f>VLOOKUP(A1782,Jogos!A:BN,63,0)</f>
        <v>1.76</v>
      </c>
      <c r="BF1782" s="9">
        <f>VLOOKUP(A1782,Jogos!A:BN,64,0)</f>
        <v>22.615</v>
      </c>
      <c r="BG1782" s="9">
        <f>VLOOKUP(A1782,Jogos!A:BN,65,0)</f>
        <v>42.465</v>
      </c>
      <c r="BH1782" s="9">
        <f>VLOOKUP(A1782,Jogos!A:BN,66,0)</f>
        <v>27.27</v>
      </c>
      <c r="BI1782" s="9"/>
      <c r="BJ1782" s="9"/>
    </row>
    <row r="1783" hidden="1">
      <c r="A1783" s="2">
        <v>60.0</v>
      </c>
      <c r="B1783" s="2" t="s">
        <v>1380</v>
      </c>
      <c r="C1783" s="2" t="s">
        <v>1351</v>
      </c>
      <c r="D1783" s="3">
        <v>45843.0</v>
      </c>
      <c r="E1783" s="4">
        <v>0.6666666666666666</v>
      </c>
      <c r="F1783" s="5" t="str">
        <f>VLOOKUP(A1783,Jogos!A:N,10,0)</f>
        <v>Afternoon</v>
      </c>
      <c r="G1783" s="2" t="s">
        <v>249</v>
      </c>
      <c r="H1783" s="6" t="str">
        <f>VLOOKUP(A1783,Jogos!A:L,12,0)</f>
        <v>Open</v>
      </c>
      <c r="I1783" s="6" t="str">
        <f>VLOOKUP(G1783,'Estádios e Cidades'!A:B,2,0)</f>
        <v>East Rutherford</v>
      </c>
      <c r="J1783" s="2" t="s">
        <v>564</v>
      </c>
      <c r="K1783" s="2" t="str">
        <f>VLOOKUP(J1783,Equipes!A:F,6,0)</f>
        <v>Temperate</v>
      </c>
      <c r="L1783" s="2">
        <f>VLOOKUP(J1783,Equipes!A:C,3,0)</f>
        <v>5</v>
      </c>
      <c r="M1783" s="2" t="str">
        <f t="shared" si="4"/>
        <v>Quarter-final</v>
      </c>
      <c r="N1783" s="2" t="s">
        <v>873</v>
      </c>
      <c r="O1783" s="2">
        <f>VLOOKUP(N1783,Equipes!A:C,3,0)</f>
        <v>3</v>
      </c>
      <c r="P1783" s="2" t="str">
        <f t="shared" si="5"/>
        <v>Semi-final</v>
      </c>
      <c r="Q1783" s="2">
        <f t="shared" si="6"/>
        <v>2</v>
      </c>
      <c r="R1783" s="2" t="str">
        <f>VLOOKUP(J1783,Equipes!A:B,2,0)</f>
        <v>Borussia</v>
      </c>
      <c r="S1783" s="6" t="s">
        <v>1156</v>
      </c>
      <c r="T1783" s="7">
        <v>14.0</v>
      </c>
      <c r="U1783" s="7" t="s">
        <v>1157</v>
      </c>
      <c r="V1783" s="7" t="str">
        <f>VLOOKUP(U1783,Jogadores!B:C,2,0)</f>
        <v>FW</v>
      </c>
      <c r="W1783" s="8">
        <f>VLOOKUP(U1783,Jogadores!B:D,3,0)</f>
        <v>22.79452055</v>
      </c>
      <c r="X1783" s="7">
        <v>45.0</v>
      </c>
      <c r="Y1783" s="7">
        <f t="shared" si="5588"/>
        <v>99</v>
      </c>
      <c r="Z1783" s="7">
        <f>VLOOKUP(A1783,Jogos!A:L,3,0)</f>
        <v>48</v>
      </c>
      <c r="AA1783" s="7">
        <f t="shared" si="4815"/>
        <v>0</v>
      </c>
      <c r="AB1783" s="7">
        <f>VLOOKUP(A1783,Jogos!A:L,4,0)</f>
        <v>54</v>
      </c>
      <c r="AC1783" s="7">
        <f t="shared" si="5062"/>
        <v>54</v>
      </c>
      <c r="AD1783" s="7"/>
      <c r="AE1783" s="7"/>
      <c r="AF1783" s="7">
        <f t="shared" si="4566"/>
        <v>54</v>
      </c>
      <c r="AG1783" s="7">
        <v>5838.3</v>
      </c>
      <c r="AH1783" s="7">
        <v>1827.2</v>
      </c>
      <c r="AI1783" s="7">
        <v>2770.5</v>
      </c>
      <c r="AJ1783" s="7">
        <v>753.5</v>
      </c>
      <c r="AK1783" s="7">
        <v>322.5</v>
      </c>
      <c r="AL1783" s="7">
        <v>164.6</v>
      </c>
      <c r="AM1783" s="7">
        <v>65.0</v>
      </c>
      <c r="AN1783" s="7">
        <v>27.0</v>
      </c>
      <c r="AO1783" s="7">
        <v>31.9</v>
      </c>
      <c r="AP1783" s="9">
        <f t="shared" ref="AP1783:AR1783" si="5592">AG1783/$AF1783</f>
        <v>108.1166667</v>
      </c>
      <c r="AQ1783" s="9">
        <f t="shared" si="5592"/>
        <v>33.83703704</v>
      </c>
      <c r="AR1783" s="9">
        <f t="shared" si="5592"/>
        <v>51.30555556</v>
      </c>
      <c r="AS1783" s="9">
        <f t="shared" si="4568"/>
        <v>85.14259259</v>
      </c>
      <c r="AT1783" s="9">
        <f t="shared" ref="AT1783:AV1783" si="5593">AJ1783/$AF1783</f>
        <v>13.9537037</v>
      </c>
      <c r="AU1783" s="9">
        <f t="shared" si="5593"/>
        <v>5.972222222</v>
      </c>
      <c r="AV1783" s="9">
        <f t="shared" si="5593"/>
        <v>3.048148148</v>
      </c>
      <c r="AW1783" s="9">
        <f t="shared" si="4570"/>
        <v>9.02037037</v>
      </c>
      <c r="AX1783" s="9">
        <f t="shared" ref="AX1783:AY1783" si="5594">AM1783/$AF1783</f>
        <v>1.203703704</v>
      </c>
      <c r="AY1783" s="9">
        <f t="shared" si="5594"/>
        <v>0.5</v>
      </c>
      <c r="AZ1783" s="9">
        <f>VLOOKUP(A1783,Jogos!A:BN,58,0)</f>
        <v>29.525</v>
      </c>
      <c r="BA1783" s="9">
        <f>VLOOKUP(A1783,Jogos!A:BN,59,0)</f>
        <v>16</v>
      </c>
      <c r="BB1783" s="9">
        <f>VLOOKUP(A1783,Jogos!A:BN,60,0)</f>
        <v>43.5</v>
      </c>
      <c r="BC1783" s="9">
        <f>VLOOKUP(A1783,Jogos!A:BN,61,0)</f>
        <v>29.585</v>
      </c>
      <c r="BD1783" s="9">
        <f>VLOOKUP(A1783,Jogos!A:BN,62,0)</f>
        <v>521.65</v>
      </c>
      <c r="BE1783" s="9">
        <f>VLOOKUP(A1783,Jogos!A:BN,63,0)</f>
        <v>1.76</v>
      </c>
      <c r="BF1783" s="9">
        <f>VLOOKUP(A1783,Jogos!A:BN,64,0)</f>
        <v>22.615</v>
      </c>
      <c r="BG1783" s="9">
        <f>VLOOKUP(A1783,Jogos!A:BN,65,0)</f>
        <v>42.465</v>
      </c>
      <c r="BH1783" s="9">
        <f>VLOOKUP(A1783,Jogos!A:BN,66,0)</f>
        <v>27.27</v>
      </c>
      <c r="BI1783" s="9"/>
      <c r="BJ1783" s="9"/>
    </row>
    <row r="1784" hidden="1">
      <c r="A1784" s="2">
        <v>60.0</v>
      </c>
      <c r="B1784" s="2" t="s">
        <v>1380</v>
      </c>
      <c r="C1784" s="2" t="s">
        <v>1351</v>
      </c>
      <c r="D1784" s="3">
        <v>45843.0</v>
      </c>
      <c r="E1784" s="4">
        <v>0.6666666666666666</v>
      </c>
      <c r="F1784" s="5" t="str">
        <f>VLOOKUP(A1784,Jogos!A:N,10,0)</f>
        <v>Afternoon</v>
      </c>
      <c r="G1784" s="2" t="s">
        <v>249</v>
      </c>
      <c r="H1784" s="6" t="str">
        <f>VLOOKUP(A1784,Jogos!A:L,12,0)</f>
        <v>Open</v>
      </c>
      <c r="I1784" s="6" t="str">
        <f>VLOOKUP(G1784,'Estádios e Cidades'!A:B,2,0)</f>
        <v>East Rutherford</v>
      </c>
      <c r="J1784" s="2" t="s">
        <v>564</v>
      </c>
      <c r="K1784" s="2" t="str">
        <f>VLOOKUP(J1784,Equipes!A:F,6,0)</f>
        <v>Temperate</v>
      </c>
      <c r="L1784" s="2">
        <f>VLOOKUP(J1784,Equipes!A:C,3,0)</f>
        <v>5</v>
      </c>
      <c r="M1784" s="2" t="str">
        <f t="shared" si="4"/>
        <v>Quarter-final</v>
      </c>
      <c r="N1784" s="2" t="s">
        <v>873</v>
      </c>
      <c r="O1784" s="2">
        <f>VLOOKUP(N1784,Equipes!A:C,3,0)</f>
        <v>3</v>
      </c>
      <c r="P1784" s="2" t="str">
        <f t="shared" si="5"/>
        <v>Semi-final</v>
      </c>
      <c r="Q1784" s="2">
        <f t="shared" si="6"/>
        <v>2</v>
      </c>
      <c r="R1784" s="2" t="str">
        <f>VLOOKUP(J1784,Equipes!A:B,2,0)</f>
        <v>Borussia</v>
      </c>
      <c r="S1784" s="6" t="s">
        <v>1295</v>
      </c>
      <c r="T1784" s="7">
        <v>16.0</v>
      </c>
      <c r="U1784" s="7" t="s">
        <v>1296</v>
      </c>
      <c r="V1784" s="7" t="str">
        <f>VLOOKUP(U1784,Jogadores!B:C,2,0)</f>
        <v>FW</v>
      </c>
      <c r="W1784" s="8">
        <f>VLOOKUP(U1784,Jogadores!B:D,3,0)</f>
        <v>19.24383562</v>
      </c>
      <c r="X1784" s="7">
        <v>63.0</v>
      </c>
      <c r="Y1784" s="7">
        <v>82.0</v>
      </c>
      <c r="Z1784" s="7">
        <f>VLOOKUP(A1784,Jogos!A:L,3,0)</f>
        <v>48</v>
      </c>
      <c r="AA1784" s="7">
        <f t="shared" si="4815"/>
        <v>0</v>
      </c>
      <c r="AB1784" s="7">
        <f>VLOOKUP(A1784,Jogos!A:L,4,0)</f>
        <v>54</v>
      </c>
      <c r="AC1784" s="7">
        <f t="shared" si="5062"/>
        <v>19</v>
      </c>
      <c r="AD1784" s="7"/>
      <c r="AE1784" s="7"/>
      <c r="AF1784" s="7">
        <f t="shared" si="4566"/>
        <v>19</v>
      </c>
      <c r="AG1784" s="7">
        <v>1589.6</v>
      </c>
      <c r="AH1784" s="7">
        <v>542.6</v>
      </c>
      <c r="AI1784" s="7">
        <v>759.6</v>
      </c>
      <c r="AJ1784" s="7">
        <v>162.1</v>
      </c>
      <c r="AK1784" s="7">
        <v>78.2</v>
      </c>
      <c r="AL1784" s="7">
        <v>47.2</v>
      </c>
      <c r="AM1784" s="7">
        <v>15.0</v>
      </c>
      <c r="AN1784" s="7">
        <v>7.0</v>
      </c>
      <c r="AO1784" s="7">
        <v>28.3</v>
      </c>
      <c r="AP1784" s="9">
        <f t="shared" ref="AP1784:AR1784" si="5595">AG1784/$AF1784</f>
        <v>83.66315789</v>
      </c>
      <c r="AQ1784" s="9">
        <f t="shared" si="5595"/>
        <v>28.55789474</v>
      </c>
      <c r="AR1784" s="9">
        <f t="shared" si="5595"/>
        <v>39.97894737</v>
      </c>
      <c r="AS1784" s="9">
        <f t="shared" si="4568"/>
        <v>68.53684211</v>
      </c>
      <c r="AT1784" s="9">
        <f t="shared" ref="AT1784:AV1784" si="5596">AJ1784/$AF1784</f>
        <v>8.531578947</v>
      </c>
      <c r="AU1784" s="9">
        <f t="shared" si="5596"/>
        <v>4.115789474</v>
      </c>
      <c r="AV1784" s="9">
        <f t="shared" si="5596"/>
        <v>2.484210526</v>
      </c>
      <c r="AW1784" s="9">
        <f t="shared" si="4570"/>
        <v>6.6</v>
      </c>
      <c r="AX1784" s="9">
        <f t="shared" ref="AX1784:AY1784" si="5597">AM1784/$AF1784</f>
        <v>0.7894736842</v>
      </c>
      <c r="AY1784" s="9">
        <f t="shared" si="5597"/>
        <v>0.3684210526</v>
      </c>
      <c r="AZ1784" s="9">
        <f>VLOOKUP(A1784,Jogos!A:BN,58,0)</f>
        <v>29.525</v>
      </c>
      <c r="BA1784" s="9">
        <f>VLOOKUP(A1784,Jogos!A:BN,59,0)</f>
        <v>16</v>
      </c>
      <c r="BB1784" s="9">
        <f>VLOOKUP(A1784,Jogos!A:BN,60,0)</f>
        <v>43.5</v>
      </c>
      <c r="BC1784" s="9">
        <f>VLOOKUP(A1784,Jogos!A:BN,61,0)</f>
        <v>29.585</v>
      </c>
      <c r="BD1784" s="9">
        <f>VLOOKUP(A1784,Jogos!A:BN,62,0)</f>
        <v>521.65</v>
      </c>
      <c r="BE1784" s="9">
        <f>VLOOKUP(A1784,Jogos!A:BN,63,0)</f>
        <v>1.76</v>
      </c>
      <c r="BF1784" s="9">
        <f>VLOOKUP(A1784,Jogos!A:BN,64,0)</f>
        <v>22.615</v>
      </c>
      <c r="BG1784" s="9">
        <f>VLOOKUP(A1784,Jogos!A:BN,65,0)</f>
        <v>42.465</v>
      </c>
      <c r="BH1784" s="9">
        <f>VLOOKUP(A1784,Jogos!A:BN,66,0)</f>
        <v>27.27</v>
      </c>
      <c r="BI1784" s="9"/>
      <c r="BJ1784" s="9"/>
    </row>
    <row r="1785" hidden="1">
      <c r="A1785" s="2">
        <v>60.0</v>
      </c>
      <c r="B1785" s="2" t="s">
        <v>1380</v>
      </c>
      <c r="C1785" s="2" t="s">
        <v>1351</v>
      </c>
      <c r="D1785" s="3">
        <v>45843.0</v>
      </c>
      <c r="E1785" s="4">
        <v>0.6666666666666666</v>
      </c>
      <c r="F1785" s="5" t="str">
        <f>VLOOKUP(A1785,Jogos!A:N,10,0)</f>
        <v>Afternoon</v>
      </c>
      <c r="G1785" s="2" t="s">
        <v>249</v>
      </c>
      <c r="H1785" s="6" t="str">
        <f>VLOOKUP(A1785,Jogos!A:L,12,0)</f>
        <v>Open</v>
      </c>
      <c r="I1785" s="6" t="str">
        <f>VLOOKUP(G1785,'Estádios e Cidades'!A:B,2,0)</f>
        <v>East Rutherford</v>
      </c>
      <c r="J1785" s="2" t="s">
        <v>564</v>
      </c>
      <c r="K1785" s="2" t="str">
        <f>VLOOKUP(J1785,Equipes!A:F,6,0)</f>
        <v>Temperate</v>
      </c>
      <c r="L1785" s="2">
        <f>VLOOKUP(J1785,Equipes!A:C,3,0)</f>
        <v>5</v>
      </c>
      <c r="M1785" s="2" t="str">
        <f t="shared" si="4"/>
        <v>Quarter-final</v>
      </c>
      <c r="N1785" s="2" t="s">
        <v>873</v>
      </c>
      <c r="O1785" s="2">
        <f>VLOOKUP(N1785,Equipes!A:C,3,0)</f>
        <v>3</v>
      </c>
      <c r="P1785" s="2" t="str">
        <f t="shared" si="5"/>
        <v>Semi-final</v>
      </c>
      <c r="Q1785" s="2">
        <f t="shared" si="6"/>
        <v>2</v>
      </c>
      <c r="R1785" s="2" t="str">
        <f>VLOOKUP(J1785,Equipes!A:B,2,0)</f>
        <v>Borussia</v>
      </c>
      <c r="S1785" s="6" t="s">
        <v>617</v>
      </c>
      <c r="T1785" s="7">
        <v>17.0</v>
      </c>
      <c r="U1785" s="7" t="s">
        <v>618</v>
      </c>
      <c r="V1785" s="7" t="str">
        <f>VLOOKUP(U1785,Jogadores!B:C,2,0)</f>
        <v>MF</v>
      </c>
      <c r="W1785" s="8">
        <f>VLOOKUP(U1785,Jogadores!B:D,3,0)</f>
        <v>21.78630137</v>
      </c>
      <c r="X1785" s="7">
        <v>82.0</v>
      </c>
      <c r="Y1785" s="7">
        <f t="shared" ref="Y1785:Y1787" si="5601">45+AB1785</f>
        <v>99</v>
      </c>
      <c r="Z1785" s="7">
        <f>VLOOKUP(A1785,Jogos!A:L,3,0)</f>
        <v>48</v>
      </c>
      <c r="AA1785" s="7">
        <f t="shared" si="4815"/>
        <v>0</v>
      </c>
      <c r="AB1785" s="7">
        <f>VLOOKUP(A1785,Jogos!A:L,4,0)</f>
        <v>54</v>
      </c>
      <c r="AC1785" s="7">
        <f t="shared" si="5062"/>
        <v>17</v>
      </c>
      <c r="AD1785" s="7"/>
      <c r="AE1785" s="7"/>
      <c r="AF1785" s="7">
        <f t="shared" si="4566"/>
        <v>17</v>
      </c>
      <c r="AG1785" s="7">
        <v>1869.0</v>
      </c>
      <c r="AH1785" s="7">
        <v>722.5</v>
      </c>
      <c r="AI1785" s="7">
        <v>715.3</v>
      </c>
      <c r="AJ1785" s="7">
        <v>281.0</v>
      </c>
      <c r="AK1785" s="7">
        <v>108.8</v>
      </c>
      <c r="AL1785" s="7">
        <v>41.4</v>
      </c>
      <c r="AM1785" s="7">
        <v>27.0</v>
      </c>
      <c r="AN1785" s="7">
        <v>8.0</v>
      </c>
      <c r="AO1785" s="7">
        <v>30.5</v>
      </c>
      <c r="AP1785" s="9">
        <f t="shared" ref="AP1785:AR1785" si="5598">AG1785/$AF1785</f>
        <v>109.9411765</v>
      </c>
      <c r="AQ1785" s="9">
        <f t="shared" si="5598"/>
        <v>42.5</v>
      </c>
      <c r="AR1785" s="9">
        <f t="shared" si="5598"/>
        <v>42.07647059</v>
      </c>
      <c r="AS1785" s="9">
        <f t="shared" si="4568"/>
        <v>84.57647059</v>
      </c>
      <c r="AT1785" s="9">
        <f t="shared" ref="AT1785:AV1785" si="5599">AJ1785/$AF1785</f>
        <v>16.52941176</v>
      </c>
      <c r="AU1785" s="9">
        <f t="shared" si="5599"/>
        <v>6.4</v>
      </c>
      <c r="AV1785" s="9">
        <f t="shared" si="5599"/>
        <v>2.435294118</v>
      </c>
      <c r="AW1785" s="9">
        <f t="shared" si="4570"/>
        <v>8.835294118</v>
      </c>
      <c r="AX1785" s="9">
        <f t="shared" ref="AX1785:AY1785" si="5600">AM1785/$AF1785</f>
        <v>1.588235294</v>
      </c>
      <c r="AY1785" s="9">
        <f t="shared" si="5600"/>
        <v>0.4705882353</v>
      </c>
      <c r="AZ1785" s="9">
        <f>VLOOKUP(A1785,Jogos!A:BN,58,0)</f>
        <v>29.525</v>
      </c>
      <c r="BA1785" s="9">
        <f>VLOOKUP(A1785,Jogos!A:BN,59,0)</f>
        <v>16</v>
      </c>
      <c r="BB1785" s="9">
        <f>VLOOKUP(A1785,Jogos!A:BN,60,0)</f>
        <v>43.5</v>
      </c>
      <c r="BC1785" s="9">
        <f>VLOOKUP(A1785,Jogos!A:BN,61,0)</f>
        <v>29.585</v>
      </c>
      <c r="BD1785" s="9">
        <f>VLOOKUP(A1785,Jogos!A:BN,62,0)</f>
        <v>521.65</v>
      </c>
      <c r="BE1785" s="9">
        <f>VLOOKUP(A1785,Jogos!A:BN,63,0)</f>
        <v>1.76</v>
      </c>
      <c r="BF1785" s="9">
        <f>VLOOKUP(A1785,Jogos!A:BN,64,0)</f>
        <v>22.615</v>
      </c>
      <c r="BG1785" s="9">
        <f>VLOOKUP(A1785,Jogos!A:BN,65,0)</f>
        <v>42.465</v>
      </c>
      <c r="BH1785" s="9">
        <f>VLOOKUP(A1785,Jogos!A:BN,66,0)</f>
        <v>27.27</v>
      </c>
      <c r="BI1785" s="9"/>
      <c r="BJ1785" s="9"/>
    </row>
    <row r="1786" hidden="1">
      <c r="A1786" s="2">
        <v>61.0</v>
      </c>
      <c r="B1786" s="2" t="s">
        <v>1385</v>
      </c>
      <c r="C1786" s="2" t="s">
        <v>1351</v>
      </c>
      <c r="D1786" s="3">
        <v>45846.0</v>
      </c>
      <c r="E1786" s="4">
        <v>0.625</v>
      </c>
      <c r="F1786" s="5" t="str">
        <f>VLOOKUP(A1786,Jogos!A:N,10,0)</f>
        <v>Afternoon</v>
      </c>
      <c r="G1786" s="2" t="s">
        <v>249</v>
      </c>
      <c r="H1786" s="6" t="str">
        <f>VLOOKUP(A1786,Jogos!A:L,12,0)</f>
        <v>Open</v>
      </c>
      <c r="I1786" s="6" t="str">
        <f>VLOOKUP(G1786,'Estádios e Cidades'!A:B,2,0)</f>
        <v>East Rutherford</v>
      </c>
      <c r="J1786" s="2" t="s">
        <v>563</v>
      </c>
      <c r="K1786" s="2" t="str">
        <f>VLOOKUP(J1786,Equipes!A:F,6,0)</f>
        <v>Tropical</v>
      </c>
      <c r="L1786" s="2">
        <f>VLOOKUP(J1786,Equipes!A:C,3,0)</f>
        <v>4</v>
      </c>
      <c r="M1786" s="2" t="str">
        <f t="shared" si="4"/>
        <v>Semi-final</v>
      </c>
      <c r="N1786" s="2" t="s">
        <v>377</v>
      </c>
      <c r="O1786" s="2">
        <f>VLOOKUP(N1786,Equipes!A:C,3,0)</f>
        <v>1</v>
      </c>
      <c r="P1786" s="2" t="str">
        <f t="shared" si="5"/>
        <v>Final</v>
      </c>
      <c r="Q1786" s="2">
        <f t="shared" si="6"/>
        <v>3</v>
      </c>
      <c r="R1786" s="2" t="str">
        <f>VLOOKUP(J1786,Equipes!A:B,2,0)</f>
        <v>Fluminense</v>
      </c>
      <c r="S1786" s="14" t="s">
        <v>567</v>
      </c>
      <c r="T1786" s="7">
        <v>3.0</v>
      </c>
      <c r="U1786" s="7" t="s">
        <v>568</v>
      </c>
      <c r="V1786" s="7" t="str">
        <f>VLOOKUP(U1786,Jogadores!B:C,2,0)</f>
        <v>DF</v>
      </c>
      <c r="W1786" s="8">
        <f>VLOOKUP(U1786,Jogadores!B:D,3,0)</f>
        <v>40.8739726</v>
      </c>
      <c r="X1786" s="7">
        <v>0.0</v>
      </c>
      <c r="Y1786" s="7">
        <f t="shared" si="5601"/>
        <v>100</v>
      </c>
      <c r="Z1786" s="7">
        <f>VLOOKUP(A1786,Jogos!A:L,3,0)</f>
        <v>50</v>
      </c>
      <c r="AA1786" s="7">
        <f t="shared" si="4815"/>
        <v>50</v>
      </c>
      <c r="AB1786" s="7">
        <f>VLOOKUP(A1786,Jogos!A:L,4,0)</f>
        <v>55</v>
      </c>
      <c r="AC1786" s="7">
        <f t="shared" si="5062"/>
        <v>55</v>
      </c>
      <c r="AD1786" s="7"/>
      <c r="AE1786" s="7"/>
      <c r="AF1786" s="7">
        <f t="shared" si="4566"/>
        <v>105</v>
      </c>
      <c r="AG1786" s="7">
        <v>7306.1</v>
      </c>
      <c r="AH1786" s="7">
        <v>4448.6</v>
      </c>
      <c r="AI1786" s="7">
        <v>2052.2</v>
      </c>
      <c r="AJ1786" s="7">
        <v>517.1</v>
      </c>
      <c r="AK1786" s="7">
        <v>200.2</v>
      </c>
      <c r="AL1786" s="7">
        <v>88.0</v>
      </c>
      <c r="AM1786" s="7">
        <v>50.0</v>
      </c>
      <c r="AN1786" s="7">
        <v>16.0</v>
      </c>
      <c r="AO1786" s="7">
        <v>29.3</v>
      </c>
      <c r="AP1786" s="9">
        <f t="shared" ref="AP1786:AR1786" si="5602">AG1786/$AF1786</f>
        <v>69.58190476</v>
      </c>
      <c r="AQ1786" s="9">
        <f t="shared" si="5602"/>
        <v>42.36761905</v>
      </c>
      <c r="AR1786" s="9">
        <f t="shared" si="5602"/>
        <v>19.5447619</v>
      </c>
      <c r="AS1786" s="9">
        <f t="shared" si="4568"/>
        <v>61.91238095</v>
      </c>
      <c r="AT1786" s="9">
        <f t="shared" ref="AT1786:AV1786" si="5603">AJ1786/$AF1786</f>
        <v>4.924761905</v>
      </c>
      <c r="AU1786" s="9">
        <f t="shared" si="5603"/>
        <v>1.906666667</v>
      </c>
      <c r="AV1786" s="9">
        <f t="shared" si="5603"/>
        <v>0.8380952381</v>
      </c>
      <c r="AW1786" s="9">
        <f t="shared" si="4570"/>
        <v>2.744761905</v>
      </c>
      <c r="AX1786" s="9">
        <f t="shared" ref="AX1786:AY1786" si="5604">AM1786/$AF1786</f>
        <v>0.4761904762</v>
      </c>
      <c r="AY1786" s="9">
        <f t="shared" si="5604"/>
        <v>0.1523809524</v>
      </c>
      <c r="AZ1786" s="9">
        <f>VLOOKUP(A1786,Jogos!A:BN,58,0)</f>
        <v>33.19</v>
      </c>
      <c r="BA1786" s="9">
        <f>VLOOKUP(A1786,Jogos!A:BN,59,0)</f>
        <v>23.67</v>
      </c>
      <c r="BB1786" s="9">
        <f>VLOOKUP(A1786,Jogos!A:BN,60,0)</f>
        <v>57</v>
      </c>
      <c r="BC1786" s="9">
        <f>VLOOKUP(A1786,Jogos!A:BN,61,0)</f>
        <v>36.035</v>
      </c>
      <c r="BD1786" s="9">
        <f>VLOOKUP(A1786,Jogos!A:BN,62,0)</f>
        <v>471.5</v>
      </c>
      <c r="BE1786" s="9">
        <f>VLOOKUP(A1786,Jogos!A:BN,63,0)</f>
        <v>1.99</v>
      </c>
      <c r="BF1786" s="9">
        <f>VLOOKUP(A1786,Jogos!A:BN,64,0)</f>
        <v>26.945</v>
      </c>
      <c r="BG1786" s="9">
        <f>VLOOKUP(A1786,Jogos!A:BN,65,0)</f>
        <v>48.405</v>
      </c>
      <c r="BH1786" s="9">
        <f>VLOOKUP(A1786,Jogos!A:BN,66,0)</f>
        <v>31.86</v>
      </c>
      <c r="BI1786" s="9"/>
      <c r="BJ1786" s="9"/>
    </row>
    <row r="1787" hidden="1">
      <c r="A1787" s="2">
        <v>61.0</v>
      </c>
      <c r="B1787" s="2" t="s">
        <v>1385</v>
      </c>
      <c r="C1787" s="2" t="s">
        <v>1351</v>
      </c>
      <c r="D1787" s="3">
        <v>45846.0</v>
      </c>
      <c r="E1787" s="4">
        <v>0.625</v>
      </c>
      <c r="F1787" s="5" t="str">
        <f>VLOOKUP(A1787,Jogos!A:N,10,0)</f>
        <v>Afternoon</v>
      </c>
      <c r="G1787" s="2" t="s">
        <v>249</v>
      </c>
      <c r="H1787" s="6" t="str">
        <f>VLOOKUP(A1787,Jogos!A:L,12,0)</f>
        <v>Open</v>
      </c>
      <c r="I1787" s="6" t="str">
        <f>VLOOKUP(G1787,'Estádios e Cidades'!A:B,2,0)</f>
        <v>East Rutherford</v>
      </c>
      <c r="J1787" s="2" t="s">
        <v>563</v>
      </c>
      <c r="K1787" s="2" t="str">
        <f>VLOOKUP(J1787,Equipes!A:F,6,0)</f>
        <v>Tropical</v>
      </c>
      <c r="L1787" s="2">
        <f>VLOOKUP(J1787,Equipes!A:C,3,0)</f>
        <v>4</v>
      </c>
      <c r="M1787" s="2" t="str">
        <f t="shared" si="4"/>
        <v>Semi-final</v>
      </c>
      <c r="N1787" s="2" t="s">
        <v>377</v>
      </c>
      <c r="O1787" s="2">
        <f>VLOOKUP(N1787,Equipes!A:C,3,0)</f>
        <v>1</v>
      </c>
      <c r="P1787" s="2" t="str">
        <f t="shared" si="5"/>
        <v>Final</v>
      </c>
      <c r="Q1787" s="2">
        <f t="shared" si="6"/>
        <v>3</v>
      </c>
      <c r="R1787" s="2" t="str">
        <f>VLOOKUP(J1787,Equipes!A:B,2,0)</f>
        <v>Fluminense</v>
      </c>
      <c r="S1787" s="14" t="s">
        <v>1305</v>
      </c>
      <c r="T1787" s="7">
        <v>4.0</v>
      </c>
      <c r="U1787" s="7" t="s">
        <v>1306</v>
      </c>
      <c r="V1787" s="7" t="str">
        <f>VLOOKUP(U1787,Jogadores!B:C,2,0)</f>
        <v>DF</v>
      </c>
      <c r="W1787" s="8">
        <f>VLOOKUP(U1787,Jogadores!B:D,3,0)</f>
        <v>28.6739726</v>
      </c>
      <c r="X1787" s="7">
        <v>0.0</v>
      </c>
      <c r="Y1787" s="7">
        <f t="shared" si="5601"/>
        <v>100</v>
      </c>
      <c r="Z1787" s="7">
        <f>VLOOKUP(A1787,Jogos!A:L,3,0)</f>
        <v>50</v>
      </c>
      <c r="AA1787" s="7">
        <f t="shared" si="4815"/>
        <v>50</v>
      </c>
      <c r="AB1787" s="7">
        <f>VLOOKUP(A1787,Jogos!A:L,4,0)</f>
        <v>55</v>
      </c>
      <c r="AC1787" s="7">
        <f t="shared" si="5062"/>
        <v>55</v>
      </c>
      <c r="AD1787" s="7"/>
      <c r="AE1787" s="7"/>
      <c r="AF1787" s="7">
        <f t="shared" si="4566"/>
        <v>105</v>
      </c>
      <c r="AG1787" s="7">
        <v>8891.0</v>
      </c>
      <c r="AH1787" s="7">
        <v>4813.8</v>
      </c>
      <c r="AI1787" s="7">
        <v>2876.3</v>
      </c>
      <c r="AJ1787" s="7">
        <v>742.2</v>
      </c>
      <c r="AK1787" s="7">
        <v>344.5</v>
      </c>
      <c r="AL1787" s="7">
        <v>114.1</v>
      </c>
      <c r="AM1787" s="7">
        <v>62.0</v>
      </c>
      <c r="AN1787" s="7">
        <v>26.0</v>
      </c>
      <c r="AO1787" s="7">
        <v>33.4</v>
      </c>
      <c r="AP1787" s="9">
        <f t="shared" ref="AP1787:AR1787" si="5605">AG1787/$AF1787</f>
        <v>84.67619048</v>
      </c>
      <c r="AQ1787" s="9">
        <f t="shared" si="5605"/>
        <v>45.84571429</v>
      </c>
      <c r="AR1787" s="9">
        <f t="shared" si="5605"/>
        <v>27.39333333</v>
      </c>
      <c r="AS1787" s="9">
        <f t="shared" si="4568"/>
        <v>73.23904762</v>
      </c>
      <c r="AT1787" s="9">
        <f t="shared" ref="AT1787:AV1787" si="5606">AJ1787/$AF1787</f>
        <v>7.068571429</v>
      </c>
      <c r="AU1787" s="9">
        <f t="shared" si="5606"/>
        <v>3.280952381</v>
      </c>
      <c r="AV1787" s="9">
        <f t="shared" si="5606"/>
        <v>1.086666667</v>
      </c>
      <c r="AW1787" s="9">
        <f t="shared" si="4570"/>
        <v>4.367619048</v>
      </c>
      <c r="AX1787" s="9">
        <f t="shared" ref="AX1787:AY1787" si="5607">AM1787/$AF1787</f>
        <v>0.5904761905</v>
      </c>
      <c r="AY1787" s="9">
        <f t="shared" si="5607"/>
        <v>0.2476190476</v>
      </c>
      <c r="AZ1787" s="9">
        <f>VLOOKUP(A1787,Jogos!A:BN,58,0)</f>
        <v>33.19</v>
      </c>
      <c r="BA1787" s="9">
        <f>VLOOKUP(A1787,Jogos!A:BN,59,0)</f>
        <v>23.67</v>
      </c>
      <c r="BB1787" s="9">
        <f>VLOOKUP(A1787,Jogos!A:BN,60,0)</f>
        <v>57</v>
      </c>
      <c r="BC1787" s="9">
        <f>VLOOKUP(A1787,Jogos!A:BN,61,0)</f>
        <v>36.035</v>
      </c>
      <c r="BD1787" s="9">
        <f>VLOOKUP(A1787,Jogos!A:BN,62,0)</f>
        <v>471.5</v>
      </c>
      <c r="BE1787" s="9">
        <f>VLOOKUP(A1787,Jogos!A:BN,63,0)</f>
        <v>1.99</v>
      </c>
      <c r="BF1787" s="9">
        <f>VLOOKUP(A1787,Jogos!A:BN,64,0)</f>
        <v>26.945</v>
      </c>
      <c r="BG1787" s="9">
        <f>VLOOKUP(A1787,Jogos!A:BN,65,0)</f>
        <v>48.405</v>
      </c>
      <c r="BH1787" s="9">
        <f>VLOOKUP(A1787,Jogos!A:BN,66,0)</f>
        <v>31.86</v>
      </c>
      <c r="BI1787" s="9"/>
      <c r="BJ1787" s="9"/>
    </row>
    <row r="1788" hidden="1">
      <c r="A1788" s="2">
        <v>61.0</v>
      </c>
      <c r="B1788" s="2" t="s">
        <v>1385</v>
      </c>
      <c r="C1788" s="2" t="s">
        <v>1351</v>
      </c>
      <c r="D1788" s="3">
        <v>45846.0</v>
      </c>
      <c r="E1788" s="4">
        <v>0.625</v>
      </c>
      <c r="F1788" s="5" t="str">
        <f>VLOOKUP(A1788,Jogos!A:N,10,0)</f>
        <v>Afternoon</v>
      </c>
      <c r="G1788" s="2" t="s">
        <v>249</v>
      </c>
      <c r="H1788" s="6" t="str">
        <f>VLOOKUP(A1788,Jogos!A:L,12,0)</f>
        <v>Open</v>
      </c>
      <c r="I1788" s="6" t="str">
        <f>VLOOKUP(G1788,'Estádios e Cidades'!A:B,2,0)</f>
        <v>East Rutherford</v>
      </c>
      <c r="J1788" s="2" t="s">
        <v>563</v>
      </c>
      <c r="K1788" s="2" t="str">
        <f>VLOOKUP(J1788,Equipes!A:F,6,0)</f>
        <v>Tropical</v>
      </c>
      <c r="L1788" s="2">
        <f>VLOOKUP(J1788,Equipes!A:C,3,0)</f>
        <v>4</v>
      </c>
      <c r="M1788" s="2" t="str">
        <f t="shared" si="4"/>
        <v>Semi-final</v>
      </c>
      <c r="N1788" s="2" t="s">
        <v>377</v>
      </c>
      <c r="O1788" s="2">
        <f>VLOOKUP(N1788,Equipes!A:C,3,0)</f>
        <v>1</v>
      </c>
      <c r="P1788" s="2" t="str">
        <f t="shared" si="5"/>
        <v>Final</v>
      </c>
      <c r="Q1788" s="2">
        <f t="shared" si="6"/>
        <v>3</v>
      </c>
      <c r="R1788" s="2" t="str">
        <f>VLOOKUP(J1788,Equipes!A:B,2,0)</f>
        <v>Fluminense</v>
      </c>
      <c r="S1788" s="14" t="s">
        <v>1170</v>
      </c>
      <c r="T1788" s="7">
        <v>5.0</v>
      </c>
      <c r="U1788" s="7" t="s">
        <v>1171</v>
      </c>
      <c r="V1788" s="7" t="str">
        <f>VLOOKUP(U1788,Jogadores!B:C,2,0)</f>
        <v>MF</v>
      </c>
      <c r="W1788" s="8">
        <f>VLOOKUP(U1788,Jogadores!B:D,3,0)</f>
        <v>21.95068493</v>
      </c>
      <c r="X1788" s="7">
        <v>0.0</v>
      </c>
      <c r="Y1788" s="7">
        <v>69.0</v>
      </c>
      <c r="Z1788" s="7">
        <f>VLOOKUP(A1788,Jogos!A:L,3,0)</f>
        <v>50</v>
      </c>
      <c r="AA1788" s="7">
        <f t="shared" si="4815"/>
        <v>50</v>
      </c>
      <c r="AB1788" s="7">
        <f>VLOOKUP(A1788,Jogos!A:L,4,0)</f>
        <v>55</v>
      </c>
      <c r="AC1788" s="7">
        <f t="shared" si="5062"/>
        <v>24</v>
      </c>
      <c r="AD1788" s="7"/>
      <c r="AE1788" s="7"/>
      <c r="AF1788" s="7">
        <f t="shared" si="4566"/>
        <v>74</v>
      </c>
      <c r="AG1788" s="7">
        <v>8029.6</v>
      </c>
      <c r="AH1788" s="7">
        <v>3313.4</v>
      </c>
      <c r="AI1788" s="7">
        <v>3580.2</v>
      </c>
      <c r="AJ1788" s="7">
        <v>801.8</v>
      </c>
      <c r="AK1788" s="7">
        <v>303.5</v>
      </c>
      <c r="AL1788" s="7">
        <v>30.7</v>
      </c>
      <c r="AM1788" s="7">
        <v>77.0</v>
      </c>
      <c r="AN1788" s="7">
        <v>19.0</v>
      </c>
      <c r="AO1788" s="7">
        <v>28.6</v>
      </c>
      <c r="AP1788" s="9">
        <f t="shared" ref="AP1788:AR1788" si="5608">AG1788/$AF1788</f>
        <v>108.5081081</v>
      </c>
      <c r="AQ1788" s="9">
        <f t="shared" si="5608"/>
        <v>44.77567568</v>
      </c>
      <c r="AR1788" s="9">
        <f t="shared" si="5608"/>
        <v>48.38108108</v>
      </c>
      <c r="AS1788" s="9">
        <f t="shared" si="4568"/>
        <v>93.15675676</v>
      </c>
      <c r="AT1788" s="9">
        <f t="shared" ref="AT1788:AV1788" si="5609">AJ1788/$AF1788</f>
        <v>10.83513514</v>
      </c>
      <c r="AU1788" s="9">
        <f t="shared" si="5609"/>
        <v>4.101351351</v>
      </c>
      <c r="AV1788" s="9">
        <f t="shared" si="5609"/>
        <v>0.4148648649</v>
      </c>
      <c r="AW1788" s="9">
        <f t="shared" si="4570"/>
        <v>4.516216216</v>
      </c>
      <c r="AX1788" s="9">
        <f t="shared" ref="AX1788:AY1788" si="5610">AM1788/$AF1788</f>
        <v>1.040540541</v>
      </c>
      <c r="AY1788" s="9">
        <f t="shared" si="5610"/>
        <v>0.2567567568</v>
      </c>
      <c r="AZ1788" s="9">
        <f>VLOOKUP(A1788,Jogos!A:BN,58,0)</f>
        <v>33.19</v>
      </c>
      <c r="BA1788" s="9">
        <f>VLOOKUP(A1788,Jogos!A:BN,59,0)</f>
        <v>23.67</v>
      </c>
      <c r="BB1788" s="9">
        <f>VLOOKUP(A1788,Jogos!A:BN,60,0)</f>
        <v>57</v>
      </c>
      <c r="BC1788" s="9">
        <f>VLOOKUP(A1788,Jogos!A:BN,61,0)</f>
        <v>36.035</v>
      </c>
      <c r="BD1788" s="9">
        <f>VLOOKUP(A1788,Jogos!A:BN,62,0)</f>
        <v>471.5</v>
      </c>
      <c r="BE1788" s="9">
        <f>VLOOKUP(A1788,Jogos!A:BN,63,0)</f>
        <v>1.99</v>
      </c>
      <c r="BF1788" s="9">
        <f>VLOOKUP(A1788,Jogos!A:BN,64,0)</f>
        <v>26.945</v>
      </c>
      <c r="BG1788" s="9">
        <f>VLOOKUP(A1788,Jogos!A:BN,65,0)</f>
        <v>48.405</v>
      </c>
      <c r="BH1788" s="9">
        <f>VLOOKUP(A1788,Jogos!A:BN,66,0)</f>
        <v>31.86</v>
      </c>
      <c r="BI1788" s="9"/>
      <c r="BJ1788" s="9"/>
    </row>
    <row r="1789" hidden="1">
      <c r="A1789" s="2">
        <v>61.0</v>
      </c>
      <c r="B1789" s="2" t="s">
        <v>1385</v>
      </c>
      <c r="C1789" s="2" t="s">
        <v>1351</v>
      </c>
      <c r="D1789" s="3">
        <v>45846.0</v>
      </c>
      <c r="E1789" s="4">
        <v>0.625</v>
      </c>
      <c r="F1789" s="5" t="str">
        <f>VLOOKUP(A1789,Jogos!A:N,10,0)</f>
        <v>Afternoon</v>
      </c>
      <c r="G1789" s="2" t="s">
        <v>249</v>
      </c>
      <c r="H1789" s="6" t="str">
        <f>VLOOKUP(A1789,Jogos!A:L,12,0)</f>
        <v>Open</v>
      </c>
      <c r="I1789" s="6" t="str">
        <f>VLOOKUP(G1789,'Estádios e Cidades'!A:B,2,0)</f>
        <v>East Rutherford</v>
      </c>
      <c r="J1789" s="2" t="s">
        <v>563</v>
      </c>
      <c r="K1789" s="2" t="str">
        <f>VLOOKUP(J1789,Equipes!A:F,6,0)</f>
        <v>Tropical</v>
      </c>
      <c r="L1789" s="2">
        <f>VLOOKUP(J1789,Equipes!A:C,3,0)</f>
        <v>4</v>
      </c>
      <c r="M1789" s="2" t="str">
        <f t="shared" si="4"/>
        <v>Semi-final</v>
      </c>
      <c r="N1789" s="2" t="s">
        <v>377</v>
      </c>
      <c r="O1789" s="2">
        <f>VLOOKUP(N1789,Equipes!A:C,3,0)</f>
        <v>1</v>
      </c>
      <c r="P1789" s="2" t="str">
        <f t="shared" si="5"/>
        <v>Final</v>
      </c>
      <c r="Q1789" s="2">
        <f t="shared" si="6"/>
        <v>3</v>
      </c>
      <c r="R1789" s="2" t="str">
        <f>VLOOKUP(J1789,Equipes!A:B,2,0)</f>
        <v>Fluminense</v>
      </c>
      <c r="S1789" s="14" t="s">
        <v>569</v>
      </c>
      <c r="T1789" s="7">
        <v>6.0</v>
      </c>
      <c r="U1789" s="7" t="s">
        <v>570</v>
      </c>
      <c r="V1789" s="7" t="str">
        <f>VLOOKUP(U1789,Jogadores!B:C,2,0)</f>
        <v>DF</v>
      </c>
      <c r="W1789" s="8">
        <f>VLOOKUP(U1789,Jogadores!B:D,3,0)</f>
        <v>32.89041096</v>
      </c>
      <c r="X1789" s="7">
        <v>0.0</v>
      </c>
      <c r="Y1789" s="7">
        <f>45+AB1789</f>
        <v>100</v>
      </c>
      <c r="Z1789" s="7">
        <f>VLOOKUP(A1789,Jogos!A:L,3,0)</f>
        <v>50</v>
      </c>
      <c r="AA1789" s="7">
        <f t="shared" si="4815"/>
        <v>50</v>
      </c>
      <c r="AB1789" s="7">
        <f>VLOOKUP(A1789,Jogos!A:L,4,0)</f>
        <v>55</v>
      </c>
      <c r="AC1789" s="7">
        <f t="shared" si="5062"/>
        <v>55</v>
      </c>
      <c r="AD1789" s="7"/>
      <c r="AE1789" s="7"/>
      <c r="AF1789" s="7">
        <f t="shared" si="4566"/>
        <v>105</v>
      </c>
      <c r="AG1789" s="7">
        <v>9202.7</v>
      </c>
      <c r="AH1789" s="7">
        <v>4852.2</v>
      </c>
      <c r="AI1789" s="7">
        <v>2801.7</v>
      </c>
      <c r="AJ1789" s="7">
        <v>964.1</v>
      </c>
      <c r="AK1789" s="7">
        <v>416.3</v>
      </c>
      <c r="AL1789" s="7">
        <v>168.4</v>
      </c>
      <c r="AM1789" s="7">
        <v>78.0</v>
      </c>
      <c r="AN1789" s="7">
        <v>36.0</v>
      </c>
      <c r="AO1789" s="7">
        <v>30.0</v>
      </c>
      <c r="AP1789" s="9">
        <f t="shared" ref="AP1789:AR1789" si="5611">AG1789/$AF1789</f>
        <v>87.6447619</v>
      </c>
      <c r="AQ1789" s="9">
        <f t="shared" si="5611"/>
        <v>46.21142857</v>
      </c>
      <c r="AR1789" s="9">
        <f t="shared" si="5611"/>
        <v>26.68285714</v>
      </c>
      <c r="AS1789" s="9">
        <f t="shared" si="4568"/>
        <v>72.89428571</v>
      </c>
      <c r="AT1789" s="9">
        <f t="shared" ref="AT1789:AV1789" si="5612">AJ1789/$AF1789</f>
        <v>9.181904762</v>
      </c>
      <c r="AU1789" s="9">
        <f t="shared" si="5612"/>
        <v>3.964761905</v>
      </c>
      <c r="AV1789" s="9">
        <f t="shared" si="5612"/>
        <v>1.603809524</v>
      </c>
      <c r="AW1789" s="9">
        <f t="shared" si="4570"/>
        <v>5.568571429</v>
      </c>
      <c r="AX1789" s="9">
        <f t="shared" ref="AX1789:AY1789" si="5613">AM1789/$AF1789</f>
        <v>0.7428571429</v>
      </c>
      <c r="AY1789" s="9">
        <f t="shared" si="5613"/>
        <v>0.3428571429</v>
      </c>
      <c r="AZ1789" s="9">
        <f>VLOOKUP(A1789,Jogos!A:BN,58,0)</f>
        <v>33.19</v>
      </c>
      <c r="BA1789" s="9">
        <f>VLOOKUP(A1789,Jogos!A:BN,59,0)</f>
        <v>23.67</v>
      </c>
      <c r="BB1789" s="9">
        <f>VLOOKUP(A1789,Jogos!A:BN,60,0)</f>
        <v>57</v>
      </c>
      <c r="BC1789" s="9">
        <f>VLOOKUP(A1789,Jogos!A:BN,61,0)</f>
        <v>36.035</v>
      </c>
      <c r="BD1789" s="9">
        <f>VLOOKUP(A1789,Jogos!A:BN,62,0)</f>
        <v>471.5</v>
      </c>
      <c r="BE1789" s="9">
        <f>VLOOKUP(A1789,Jogos!A:BN,63,0)</f>
        <v>1.99</v>
      </c>
      <c r="BF1789" s="9">
        <f>VLOOKUP(A1789,Jogos!A:BN,64,0)</f>
        <v>26.945</v>
      </c>
      <c r="BG1789" s="9">
        <f>VLOOKUP(A1789,Jogos!A:BN,65,0)</f>
        <v>48.405</v>
      </c>
      <c r="BH1789" s="9">
        <f>VLOOKUP(A1789,Jogos!A:BN,66,0)</f>
        <v>31.86</v>
      </c>
      <c r="BI1789" s="9"/>
      <c r="BJ1789" s="9"/>
    </row>
    <row r="1790" hidden="1">
      <c r="A1790" s="2">
        <v>61.0</v>
      </c>
      <c r="B1790" s="2" t="s">
        <v>1385</v>
      </c>
      <c r="C1790" s="2" t="s">
        <v>1351</v>
      </c>
      <c r="D1790" s="3">
        <v>45846.0</v>
      </c>
      <c r="E1790" s="4">
        <v>0.625</v>
      </c>
      <c r="F1790" s="5" t="str">
        <f>VLOOKUP(A1790,Jogos!A:N,10,0)</f>
        <v>Afternoon</v>
      </c>
      <c r="G1790" s="2" t="s">
        <v>249</v>
      </c>
      <c r="H1790" s="6" t="str">
        <f>VLOOKUP(A1790,Jogos!A:L,12,0)</f>
        <v>Open</v>
      </c>
      <c r="I1790" s="6" t="str">
        <f>VLOOKUP(G1790,'Estádios e Cidades'!A:B,2,0)</f>
        <v>East Rutherford</v>
      </c>
      <c r="J1790" s="2" t="s">
        <v>563</v>
      </c>
      <c r="K1790" s="2" t="str">
        <f>VLOOKUP(J1790,Equipes!A:F,6,0)</f>
        <v>Tropical</v>
      </c>
      <c r="L1790" s="2">
        <f>VLOOKUP(J1790,Equipes!A:C,3,0)</f>
        <v>4</v>
      </c>
      <c r="M1790" s="2" t="str">
        <f t="shared" si="4"/>
        <v>Semi-final</v>
      </c>
      <c r="N1790" s="2" t="s">
        <v>377</v>
      </c>
      <c r="O1790" s="2">
        <f>VLOOKUP(N1790,Equipes!A:C,3,0)</f>
        <v>1</v>
      </c>
      <c r="P1790" s="2" t="str">
        <f t="shared" si="5"/>
        <v>Final</v>
      </c>
      <c r="Q1790" s="2">
        <f t="shared" si="6"/>
        <v>3</v>
      </c>
      <c r="R1790" s="2" t="str">
        <f>VLOOKUP(J1790,Equipes!A:B,2,0)</f>
        <v>Fluminense</v>
      </c>
      <c r="S1790" s="14" t="s">
        <v>585</v>
      </c>
      <c r="T1790" s="7">
        <v>14.0</v>
      </c>
      <c r="U1790" s="7" t="s">
        <v>586</v>
      </c>
      <c r="V1790" s="7" t="str">
        <f>VLOOKUP(U1790,Jogadores!B:C,2,0)</f>
        <v>FW</v>
      </c>
      <c r="W1790" s="8">
        <f>VLOOKUP(U1790,Jogadores!B:D,3,0)</f>
        <v>37.50958904</v>
      </c>
      <c r="X1790" s="7">
        <v>0.0</v>
      </c>
      <c r="Y1790" s="7">
        <v>54.0</v>
      </c>
      <c r="Z1790" s="7">
        <f>VLOOKUP(A1790,Jogos!A:L,3,0)</f>
        <v>50</v>
      </c>
      <c r="AA1790" s="7">
        <f t="shared" si="4815"/>
        <v>50</v>
      </c>
      <c r="AB1790" s="7">
        <f>VLOOKUP(A1790,Jogos!A:L,4,0)</f>
        <v>55</v>
      </c>
      <c r="AC1790" s="7">
        <f t="shared" si="5062"/>
        <v>9</v>
      </c>
      <c r="AD1790" s="7"/>
      <c r="AE1790" s="7"/>
      <c r="AF1790" s="7">
        <f t="shared" si="4566"/>
        <v>59</v>
      </c>
      <c r="AG1790" s="7">
        <v>5667.2</v>
      </c>
      <c r="AH1790" s="7">
        <v>2727.4</v>
      </c>
      <c r="AI1790" s="7">
        <v>1823.7</v>
      </c>
      <c r="AJ1790" s="7">
        <v>814.7</v>
      </c>
      <c r="AK1790" s="7">
        <v>279.5</v>
      </c>
      <c r="AL1790" s="7">
        <v>21.9</v>
      </c>
      <c r="AM1790" s="7">
        <v>63.0</v>
      </c>
      <c r="AN1790" s="7">
        <v>21.0</v>
      </c>
      <c r="AO1790" s="7">
        <v>28.1</v>
      </c>
      <c r="AP1790" s="9">
        <f t="shared" ref="AP1790:AR1790" si="5614">AG1790/$AF1790</f>
        <v>96.05423729</v>
      </c>
      <c r="AQ1790" s="9">
        <f t="shared" si="5614"/>
        <v>46.22711864</v>
      </c>
      <c r="AR1790" s="9">
        <f t="shared" si="5614"/>
        <v>30.91016949</v>
      </c>
      <c r="AS1790" s="9">
        <f t="shared" si="4568"/>
        <v>77.13728814</v>
      </c>
      <c r="AT1790" s="9">
        <f t="shared" ref="AT1790:AV1790" si="5615">AJ1790/$AF1790</f>
        <v>13.80847458</v>
      </c>
      <c r="AU1790" s="9">
        <f t="shared" si="5615"/>
        <v>4.737288136</v>
      </c>
      <c r="AV1790" s="9">
        <f t="shared" si="5615"/>
        <v>0.3711864407</v>
      </c>
      <c r="AW1790" s="9">
        <f t="shared" si="4570"/>
        <v>5.108474576</v>
      </c>
      <c r="AX1790" s="9">
        <f t="shared" ref="AX1790:AY1790" si="5616">AM1790/$AF1790</f>
        <v>1.06779661</v>
      </c>
      <c r="AY1790" s="9">
        <f t="shared" si="5616"/>
        <v>0.3559322034</v>
      </c>
      <c r="AZ1790" s="9">
        <f>VLOOKUP(A1790,Jogos!A:BN,58,0)</f>
        <v>33.19</v>
      </c>
      <c r="BA1790" s="9">
        <f>VLOOKUP(A1790,Jogos!A:BN,59,0)</f>
        <v>23.67</v>
      </c>
      <c r="BB1790" s="9">
        <f>VLOOKUP(A1790,Jogos!A:BN,60,0)</f>
        <v>57</v>
      </c>
      <c r="BC1790" s="9">
        <f>VLOOKUP(A1790,Jogos!A:BN,61,0)</f>
        <v>36.035</v>
      </c>
      <c r="BD1790" s="9">
        <f>VLOOKUP(A1790,Jogos!A:BN,62,0)</f>
        <v>471.5</v>
      </c>
      <c r="BE1790" s="9">
        <f>VLOOKUP(A1790,Jogos!A:BN,63,0)</f>
        <v>1.99</v>
      </c>
      <c r="BF1790" s="9">
        <f>VLOOKUP(A1790,Jogos!A:BN,64,0)</f>
        <v>26.945</v>
      </c>
      <c r="BG1790" s="9">
        <f>VLOOKUP(A1790,Jogos!A:BN,65,0)</f>
        <v>48.405</v>
      </c>
      <c r="BH1790" s="9">
        <f>VLOOKUP(A1790,Jogos!A:BN,66,0)</f>
        <v>31.86</v>
      </c>
      <c r="BI1790" s="9"/>
      <c r="BJ1790" s="9"/>
    </row>
    <row r="1791" hidden="1">
      <c r="A1791" s="2">
        <v>61.0</v>
      </c>
      <c r="B1791" s="2" t="s">
        <v>1385</v>
      </c>
      <c r="C1791" s="2" t="s">
        <v>1351</v>
      </c>
      <c r="D1791" s="3">
        <v>45846.0</v>
      </c>
      <c r="E1791" s="4">
        <v>0.625</v>
      </c>
      <c r="F1791" s="5" t="str">
        <f>VLOOKUP(A1791,Jogos!A:N,10,0)</f>
        <v>Afternoon</v>
      </c>
      <c r="G1791" s="2" t="s">
        <v>249</v>
      </c>
      <c r="H1791" s="6" t="str">
        <f>VLOOKUP(A1791,Jogos!A:L,12,0)</f>
        <v>Open</v>
      </c>
      <c r="I1791" s="6" t="str">
        <f>VLOOKUP(G1791,'Estádios e Cidades'!A:B,2,0)</f>
        <v>East Rutherford</v>
      </c>
      <c r="J1791" s="2" t="s">
        <v>563</v>
      </c>
      <c r="K1791" s="2" t="str">
        <f>VLOOKUP(J1791,Equipes!A:F,6,0)</f>
        <v>Tropical</v>
      </c>
      <c r="L1791" s="2">
        <f>VLOOKUP(J1791,Equipes!A:C,3,0)</f>
        <v>4</v>
      </c>
      <c r="M1791" s="2" t="str">
        <f t="shared" si="4"/>
        <v>Semi-final</v>
      </c>
      <c r="N1791" s="2" t="s">
        <v>377</v>
      </c>
      <c r="O1791" s="2">
        <f>VLOOKUP(N1791,Equipes!A:C,3,0)</f>
        <v>1</v>
      </c>
      <c r="P1791" s="2" t="str">
        <f t="shared" si="5"/>
        <v>Final</v>
      </c>
      <c r="Q1791" s="2">
        <f t="shared" si="6"/>
        <v>3</v>
      </c>
      <c r="R1791" s="2" t="str">
        <f>VLOOKUP(J1791,Equipes!A:B,2,0)</f>
        <v>Fluminense</v>
      </c>
      <c r="S1791" s="14" t="s">
        <v>575</v>
      </c>
      <c r="T1791" s="7">
        <v>16.0</v>
      </c>
      <c r="U1791" s="7" t="s">
        <v>576</v>
      </c>
      <c r="V1791" s="7" t="str">
        <f>VLOOKUP(U1791,Jogadores!B:C,2,0)</f>
        <v>MF</v>
      </c>
      <c r="W1791" s="8">
        <f>VLOOKUP(U1791,Jogadores!B:D,3,0)</f>
        <v>27.42191781</v>
      </c>
      <c r="X1791" s="7">
        <v>0.0</v>
      </c>
      <c r="Y1791" s="7">
        <v>66.0</v>
      </c>
      <c r="Z1791" s="7">
        <f>VLOOKUP(A1791,Jogos!A:L,3,0)</f>
        <v>50</v>
      </c>
      <c r="AA1791" s="7">
        <f t="shared" si="4815"/>
        <v>50</v>
      </c>
      <c r="AB1791" s="7">
        <f>VLOOKUP(A1791,Jogos!A:L,4,0)</f>
        <v>55</v>
      </c>
      <c r="AC1791" s="7">
        <f t="shared" si="5062"/>
        <v>21</v>
      </c>
      <c r="AD1791" s="7"/>
      <c r="AE1791" s="7"/>
      <c r="AF1791" s="7">
        <f t="shared" si="4566"/>
        <v>71</v>
      </c>
      <c r="AG1791" s="7">
        <v>8174.5</v>
      </c>
      <c r="AH1791" s="7">
        <v>2836.6</v>
      </c>
      <c r="AI1791" s="7">
        <v>3675.4</v>
      </c>
      <c r="AJ1791" s="7">
        <v>1208.9</v>
      </c>
      <c r="AK1791" s="7">
        <v>340.8</v>
      </c>
      <c r="AL1791" s="7">
        <v>112.8</v>
      </c>
      <c r="AM1791" s="7">
        <v>97.0</v>
      </c>
      <c r="AN1791" s="7">
        <v>31.0</v>
      </c>
      <c r="AO1791" s="7">
        <v>29.9</v>
      </c>
      <c r="AP1791" s="9">
        <f t="shared" ref="AP1791:AR1791" si="5617">AG1791/$AF1791</f>
        <v>115.1338028</v>
      </c>
      <c r="AQ1791" s="9">
        <f t="shared" si="5617"/>
        <v>39.95211268</v>
      </c>
      <c r="AR1791" s="9">
        <f t="shared" si="5617"/>
        <v>51.76619718</v>
      </c>
      <c r="AS1791" s="9">
        <f t="shared" si="4568"/>
        <v>91.71830986</v>
      </c>
      <c r="AT1791" s="9">
        <f t="shared" ref="AT1791:AV1791" si="5618">AJ1791/$AF1791</f>
        <v>17.02676056</v>
      </c>
      <c r="AU1791" s="9">
        <f t="shared" si="5618"/>
        <v>4.8</v>
      </c>
      <c r="AV1791" s="9">
        <f t="shared" si="5618"/>
        <v>1.588732394</v>
      </c>
      <c r="AW1791" s="9">
        <f t="shared" si="4570"/>
        <v>6.388732394</v>
      </c>
      <c r="AX1791" s="9">
        <f t="shared" ref="AX1791:AY1791" si="5619">AM1791/$AF1791</f>
        <v>1.366197183</v>
      </c>
      <c r="AY1791" s="9">
        <f t="shared" si="5619"/>
        <v>0.4366197183</v>
      </c>
      <c r="AZ1791" s="9">
        <f>VLOOKUP(A1791,Jogos!A:BN,58,0)</f>
        <v>33.19</v>
      </c>
      <c r="BA1791" s="9">
        <f>VLOOKUP(A1791,Jogos!A:BN,59,0)</f>
        <v>23.67</v>
      </c>
      <c r="BB1791" s="9">
        <f>VLOOKUP(A1791,Jogos!A:BN,60,0)</f>
        <v>57</v>
      </c>
      <c r="BC1791" s="9">
        <f>VLOOKUP(A1791,Jogos!A:BN,61,0)</f>
        <v>36.035</v>
      </c>
      <c r="BD1791" s="9">
        <f>VLOOKUP(A1791,Jogos!A:BN,62,0)</f>
        <v>471.5</v>
      </c>
      <c r="BE1791" s="9">
        <f>VLOOKUP(A1791,Jogos!A:BN,63,0)</f>
        <v>1.99</v>
      </c>
      <c r="BF1791" s="9">
        <f>VLOOKUP(A1791,Jogos!A:BN,64,0)</f>
        <v>26.945</v>
      </c>
      <c r="BG1791" s="9">
        <f>VLOOKUP(A1791,Jogos!A:BN,65,0)</f>
        <v>48.405</v>
      </c>
      <c r="BH1791" s="9">
        <f>VLOOKUP(A1791,Jogos!A:BN,66,0)</f>
        <v>31.86</v>
      </c>
      <c r="BI1791" s="9"/>
      <c r="BJ1791" s="9"/>
    </row>
    <row r="1792" hidden="1">
      <c r="A1792" s="2">
        <v>61.0</v>
      </c>
      <c r="B1792" s="2" t="s">
        <v>1385</v>
      </c>
      <c r="C1792" s="2" t="s">
        <v>1351</v>
      </c>
      <c r="D1792" s="3">
        <v>45846.0</v>
      </c>
      <c r="E1792" s="4">
        <v>0.625</v>
      </c>
      <c r="F1792" s="5" t="str">
        <f>VLOOKUP(A1792,Jogos!A:N,10,0)</f>
        <v>Afternoon</v>
      </c>
      <c r="G1792" s="2" t="s">
        <v>249</v>
      </c>
      <c r="H1792" s="6" t="str">
        <f>VLOOKUP(A1792,Jogos!A:L,12,0)</f>
        <v>Open</v>
      </c>
      <c r="I1792" s="6" t="str">
        <f>VLOOKUP(G1792,'Estádios e Cidades'!A:B,2,0)</f>
        <v>East Rutherford</v>
      </c>
      <c r="J1792" s="2" t="s">
        <v>563</v>
      </c>
      <c r="K1792" s="2" t="str">
        <f>VLOOKUP(J1792,Equipes!A:F,6,0)</f>
        <v>Tropical</v>
      </c>
      <c r="L1792" s="2">
        <f>VLOOKUP(J1792,Equipes!A:C,3,0)</f>
        <v>4</v>
      </c>
      <c r="M1792" s="2" t="str">
        <f t="shared" si="4"/>
        <v>Semi-final</v>
      </c>
      <c r="N1792" s="2" t="s">
        <v>377</v>
      </c>
      <c r="O1792" s="2">
        <f>VLOOKUP(N1792,Equipes!A:C,3,0)</f>
        <v>1</v>
      </c>
      <c r="P1792" s="2" t="str">
        <f t="shared" si="5"/>
        <v>Final</v>
      </c>
      <c r="Q1792" s="2">
        <f t="shared" si="6"/>
        <v>3</v>
      </c>
      <c r="R1792" s="2" t="str">
        <f>VLOOKUP(J1792,Equipes!A:B,2,0)</f>
        <v>Fluminense</v>
      </c>
      <c r="S1792" s="14" t="s">
        <v>579</v>
      </c>
      <c r="T1792" s="7">
        <v>21.0</v>
      </c>
      <c r="U1792" s="7" t="s">
        <v>580</v>
      </c>
      <c r="V1792" s="7" t="str">
        <f>VLOOKUP(U1792,Jogadores!B:C,2,0)</f>
        <v>FW</v>
      </c>
      <c r="W1792" s="8">
        <f>VLOOKUP(U1792,Jogadores!B:D,3,0)</f>
        <v>27.86849315</v>
      </c>
      <c r="X1792" s="7">
        <v>0.0</v>
      </c>
      <c r="Y1792" s="7">
        <f t="shared" ref="Y1792:Y1793" si="5623">45+AB1792</f>
        <v>100</v>
      </c>
      <c r="Z1792" s="7">
        <f>VLOOKUP(A1792,Jogos!A:L,3,0)</f>
        <v>50</v>
      </c>
      <c r="AA1792" s="7">
        <f t="shared" si="4815"/>
        <v>50</v>
      </c>
      <c r="AB1792" s="7">
        <f>VLOOKUP(A1792,Jogos!A:L,4,0)</f>
        <v>55</v>
      </c>
      <c r="AC1792" s="7">
        <f t="shared" si="5062"/>
        <v>55</v>
      </c>
      <c r="AD1792" s="7"/>
      <c r="AE1792" s="7"/>
      <c r="AF1792" s="7">
        <f t="shared" si="4566"/>
        <v>105</v>
      </c>
      <c r="AG1792" s="7">
        <v>9075.4</v>
      </c>
      <c r="AH1792" s="7">
        <v>5159.8</v>
      </c>
      <c r="AI1792" s="7">
        <v>2547.9</v>
      </c>
      <c r="AJ1792" s="7">
        <v>775.3</v>
      </c>
      <c r="AK1792" s="7">
        <v>461.6</v>
      </c>
      <c r="AL1792" s="7">
        <v>130.9</v>
      </c>
      <c r="AM1792" s="7">
        <v>72.0</v>
      </c>
      <c r="AN1792" s="7">
        <v>35.0</v>
      </c>
      <c r="AO1792" s="7">
        <v>31.2</v>
      </c>
      <c r="AP1792" s="9">
        <f t="shared" ref="AP1792:AR1792" si="5620">AG1792/$AF1792</f>
        <v>86.43238095</v>
      </c>
      <c r="AQ1792" s="9">
        <f t="shared" si="5620"/>
        <v>49.14095238</v>
      </c>
      <c r="AR1792" s="9">
        <f t="shared" si="5620"/>
        <v>24.26571429</v>
      </c>
      <c r="AS1792" s="9">
        <f t="shared" si="4568"/>
        <v>73.40666667</v>
      </c>
      <c r="AT1792" s="9">
        <f t="shared" ref="AT1792:AV1792" si="5621">AJ1792/$AF1792</f>
        <v>7.383809524</v>
      </c>
      <c r="AU1792" s="9">
        <f t="shared" si="5621"/>
        <v>4.396190476</v>
      </c>
      <c r="AV1792" s="9">
        <f t="shared" si="5621"/>
        <v>1.246666667</v>
      </c>
      <c r="AW1792" s="9">
        <f t="shared" si="4570"/>
        <v>5.642857143</v>
      </c>
      <c r="AX1792" s="9">
        <f t="shared" ref="AX1792:AY1792" si="5622">AM1792/$AF1792</f>
        <v>0.6857142857</v>
      </c>
      <c r="AY1792" s="9">
        <f t="shared" si="5622"/>
        <v>0.3333333333</v>
      </c>
      <c r="AZ1792" s="9">
        <f>VLOOKUP(A1792,Jogos!A:BN,58,0)</f>
        <v>33.19</v>
      </c>
      <c r="BA1792" s="9">
        <f>VLOOKUP(A1792,Jogos!A:BN,59,0)</f>
        <v>23.67</v>
      </c>
      <c r="BB1792" s="9">
        <f>VLOOKUP(A1792,Jogos!A:BN,60,0)</f>
        <v>57</v>
      </c>
      <c r="BC1792" s="9">
        <f>VLOOKUP(A1792,Jogos!A:BN,61,0)</f>
        <v>36.035</v>
      </c>
      <c r="BD1792" s="9">
        <f>VLOOKUP(A1792,Jogos!A:BN,62,0)</f>
        <v>471.5</v>
      </c>
      <c r="BE1792" s="9">
        <f>VLOOKUP(A1792,Jogos!A:BN,63,0)</f>
        <v>1.99</v>
      </c>
      <c r="BF1792" s="9">
        <f>VLOOKUP(A1792,Jogos!A:BN,64,0)</f>
        <v>26.945</v>
      </c>
      <c r="BG1792" s="9">
        <f>VLOOKUP(A1792,Jogos!A:BN,65,0)</f>
        <v>48.405</v>
      </c>
      <c r="BH1792" s="9">
        <f>VLOOKUP(A1792,Jogos!A:BN,66,0)</f>
        <v>31.86</v>
      </c>
      <c r="BI1792" s="9"/>
      <c r="BJ1792" s="9"/>
    </row>
    <row r="1793" hidden="1">
      <c r="A1793" s="2">
        <v>61.0</v>
      </c>
      <c r="B1793" s="2" t="s">
        <v>1385</v>
      </c>
      <c r="C1793" s="2" t="s">
        <v>1351</v>
      </c>
      <c r="D1793" s="3">
        <v>45846.0</v>
      </c>
      <c r="E1793" s="4">
        <v>0.625</v>
      </c>
      <c r="F1793" s="5" t="str">
        <f>VLOOKUP(A1793,Jogos!A:N,10,0)</f>
        <v>Afternoon</v>
      </c>
      <c r="G1793" s="2" t="s">
        <v>249</v>
      </c>
      <c r="H1793" s="6" t="str">
        <f>VLOOKUP(A1793,Jogos!A:L,12,0)</f>
        <v>Open</v>
      </c>
      <c r="I1793" s="6" t="str">
        <f>VLOOKUP(G1793,'Estádios e Cidades'!A:B,2,0)</f>
        <v>East Rutherford</v>
      </c>
      <c r="J1793" s="2" t="s">
        <v>563</v>
      </c>
      <c r="K1793" s="2" t="str">
        <f>VLOOKUP(J1793,Equipes!A:F,6,0)</f>
        <v>Tropical</v>
      </c>
      <c r="L1793" s="2">
        <f>VLOOKUP(J1793,Equipes!A:C,3,0)</f>
        <v>4</v>
      </c>
      <c r="M1793" s="2" t="str">
        <f t="shared" si="4"/>
        <v>Semi-final</v>
      </c>
      <c r="N1793" s="2" t="s">
        <v>377</v>
      </c>
      <c r="O1793" s="2">
        <f>VLOOKUP(N1793,Equipes!A:C,3,0)</f>
        <v>1</v>
      </c>
      <c r="P1793" s="2" t="str">
        <f t="shared" si="5"/>
        <v>Final</v>
      </c>
      <c r="Q1793" s="2">
        <f t="shared" si="6"/>
        <v>3</v>
      </c>
      <c r="R1793" s="2" t="str">
        <f>VLOOKUP(J1793,Equipes!A:B,2,0)</f>
        <v>Fluminense</v>
      </c>
      <c r="S1793" s="14" t="s">
        <v>1168</v>
      </c>
      <c r="T1793" s="7">
        <v>23.0</v>
      </c>
      <c r="U1793" s="7" t="s">
        <v>1169</v>
      </c>
      <c r="V1793" s="7" t="str">
        <f>VLOOKUP(U1793,Jogadores!B:C,2,0)</f>
        <v>DF</v>
      </c>
      <c r="W1793" s="8">
        <f>VLOOKUP(U1793,Jogadores!B:D,3,0)</f>
        <v>26.93150685</v>
      </c>
      <c r="X1793" s="7">
        <v>0.0</v>
      </c>
      <c r="Y1793" s="7">
        <f t="shared" si="5623"/>
        <v>100</v>
      </c>
      <c r="Z1793" s="7">
        <f>VLOOKUP(A1793,Jogos!A:L,3,0)</f>
        <v>50</v>
      </c>
      <c r="AA1793" s="7">
        <f t="shared" si="4815"/>
        <v>50</v>
      </c>
      <c r="AB1793" s="7">
        <f>VLOOKUP(A1793,Jogos!A:L,4,0)</f>
        <v>55</v>
      </c>
      <c r="AC1793" s="7">
        <f t="shared" si="5062"/>
        <v>55</v>
      </c>
      <c r="AD1793" s="7"/>
      <c r="AE1793" s="7"/>
      <c r="AF1793" s="7">
        <f t="shared" si="4566"/>
        <v>105</v>
      </c>
      <c r="AG1793" s="7">
        <v>9795.2</v>
      </c>
      <c r="AH1793" s="7">
        <v>4241.6</v>
      </c>
      <c r="AI1793" s="7">
        <v>3719.8</v>
      </c>
      <c r="AJ1793" s="7">
        <v>1142.3</v>
      </c>
      <c r="AK1793" s="7">
        <v>527.4</v>
      </c>
      <c r="AL1793" s="7">
        <v>164.1</v>
      </c>
      <c r="AM1793" s="7">
        <v>92.0</v>
      </c>
      <c r="AN1793" s="7">
        <v>45.0</v>
      </c>
      <c r="AO1793" s="7">
        <v>31.2</v>
      </c>
      <c r="AP1793" s="9">
        <f t="shared" ref="AP1793:AR1793" si="5624">AG1793/$AF1793</f>
        <v>93.28761905</v>
      </c>
      <c r="AQ1793" s="9">
        <f t="shared" si="5624"/>
        <v>40.39619048</v>
      </c>
      <c r="AR1793" s="9">
        <f t="shared" si="5624"/>
        <v>35.42666667</v>
      </c>
      <c r="AS1793" s="9">
        <f t="shared" si="4568"/>
        <v>75.82285714</v>
      </c>
      <c r="AT1793" s="9">
        <f t="shared" ref="AT1793:AV1793" si="5625">AJ1793/$AF1793</f>
        <v>10.87904762</v>
      </c>
      <c r="AU1793" s="9">
        <f t="shared" si="5625"/>
        <v>5.022857143</v>
      </c>
      <c r="AV1793" s="9">
        <f t="shared" si="5625"/>
        <v>1.562857143</v>
      </c>
      <c r="AW1793" s="9">
        <f t="shared" si="4570"/>
        <v>6.585714286</v>
      </c>
      <c r="AX1793" s="9">
        <f t="shared" ref="AX1793:AY1793" si="5626">AM1793/$AF1793</f>
        <v>0.8761904762</v>
      </c>
      <c r="AY1793" s="9">
        <f t="shared" si="5626"/>
        <v>0.4285714286</v>
      </c>
      <c r="AZ1793" s="9">
        <f>VLOOKUP(A1793,Jogos!A:BN,58,0)</f>
        <v>33.19</v>
      </c>
      <c r="BA1793" s="9">
        <f>VLOOKUP(A1793,Jogos!A:BN,59,0)</f>
        <v>23.67</v>
      </c>
      <c r="BB1793" s="9">
        <f>VLOOKUP(A1793,Jogos!A:BN,60,0)</f>
        <v>57</v>
      </c>
      <c r="BC1793" s="9">
        <f>VLOOKUP(A1793,Jogos!A:BN,61,0)</f>
        <v>36.035</v>
      </c>
      <c r="BD1793" s="9">
        <f>VLOOKUP(A1793,Jogos!A:BN,62,0)</f>
        <v>471.5</v>
      </c>
      <c r="BE1793" s="9">
        <f>VLOOKUP(A1793,Jogos!A:BN,63,0)</f>
        <v>1.99</v>
      </c>
      <c r="BF1793" s="9">
        <f>VLOOKUP(A1793,Jogos!A:BN,64,0)</f>
        <v>26.945</v>
      </c>
      <c r="BG1793" s="9">
        <f>VLOOKUP(A1793,Jogos!A:BN,65,0)</f>
        <v>48.405</v>
      </c>
      <c r="BH1793" s="9">
        <f>VLOOKUP(A1793,Jogos!A:BN,66,0)</f>
        <v>31.86</v>
      </c>
      <c r="BI1793" s="9"/>
      <c r="BJ1793" s="9"/>
    </row>
    <row r="1794" hidden="1">
      <c r="A1794" s="2">
        <v>61.0</v>
      </c>
      <c r="B1794" s="2" t="s">
        <v>1385</v>
      </c>
      <c r="C1794" s="2" t="s">
        <v>1351</v>
      </c>
      <c r="D1794" s="3">
        <v>45846.0</v>
      </c>
      <c r="E1794" s="4">
        <v>0.625</v>
      </c>
      <c r="F1794" s="5" t="str">
        <f>VLOOKUP(A1794,Jogos!A:N,10,0)</f>
        <v>Afternoon</v>
      </c>
      <c r="G1794" s="2" t="s">
        <v>249</v>
      </c>
      <c r="H1794" s="6" t="str">
        <f>VLOOKUP(A1794,Jogos!A:L,12,0)</f>
        <v>Open</v>
      </c>
      <c r="I1794" s="6" t="str">
        <f>VLOOKUP(G1794,'Estádios e Cidades'!A:B,2,0)</f>
        <v>East Rutherford</v>
      </c>
      <c r="J1794" s="2" t="s">
        <v>563</v>
      </c>
      <c r="K1794" s="2" t="str">
        <f>VLOOKUP(J1794,Equipes!A:F,6,0)</f>
        <v>Tropical</v>
      </c>
      <c r="L1794" s="2">
        <f>VLOOKUP(J1794,Equipes!A:C,3,0)</f>
        <v>4</v>
      </c>
      <c r="M1794" s="2" t="str">
        <f t="shared" si="4"/>
        <v>Semi-final</v>
      </c>
      <c r="N1794" s="2" t="s">
        <v>377</v>
      </c>
      <c r="O1794" s="2">
        <f>VLOOKUP(N1794,Equipes!A:C,3,0)</f>
        <v>1</v>
      </c>
      <c r="P1794" s="2" t="str">
        <f t="shared" si="5"/>
        <v>Final</v>
      </c>
      <c r="Q1794" s="2">
        <f t="shared" si="6"/>
        <v>3</v>
      </c>
      <c r="R1794" s="2" t="str">
        <f>VLOOKUP(J1794,Equipes!A:B,2,0)</f>
        <v>Fluminense</v>
      </c>
      <c r="S1794" s="14" t="s">
        <v>1307</v>
      </c>
      <c r="T1794" s="7">
        <v>29.0</v>
      </c>
      <c r="U1794" s="7" t="s">
        <v>1308</v>
      </c>
      <c r="V1794" s="7" t="str">
        <f>VLOOKUP(U1794,Jogadores!B:C,2,0)</f>
        <v>DF</v>
      </c>
      <c r="W1794" s="8">
        <f>VLOOKUP(U1794,Jogadores!B:D,3,0)</f>
        <v>36.26575342</v>
      </c>
      <c r="X1794" s="7">
        <v>0.0</v>
      </c>
      <c r="Y1794" s="7">
        <v>54.0</v>
      </c>
      <c r="Z1794" s="7">
        <f>VLOOKUP(A1794,Jogos!A:L,3,0)</f>
        <v>50</v>
      </c>
      <c r="AA1794" s="7">
        <f t="shared" si="4815"/>
        <v>50</v>
      </c>
      <c r="AB1794" s="7">
        <f>VLOOKUP(A1794,Jogos!A:L,4,0)</f>
        <v>55</v>
      </c>
      <c r="AC1794" s="7">
        <f t="shared" si="5062"/>
        <v>9</v>
      </c>
      <c r="AD1794" s="7"/>
      <c r="AE1794" s="7"/>
      <c r="AF1794" s="7">
        <f t="shared" si="4566"/>
        <v>59</v>
      </c>
      <c r="AG1794" s="7">
        <v>5468.0</v>
      </c>
      <c r="AH1794" s="7">
        <v>2521.4</v>
      </c>
      <c r="AI1794" s="7">
        <v>1993.6</v>
      </c>
      <c r="AJ1794" s="7">
        <v>659.0</v>
      </c>
      <c r="AK1794" s="7">
        <v>227.6</v>
      </c>
      <c r="AL1794" s="7">
        <v>66.4</v>
      </c>
      <c r="AM1794" s="7">
        <v>55.0</v>
      </c>
      <c r="AN1794" s="7">
        <v>17.0</v>
      </c>
      <c r="AO1794" s="7">
        <v>31.2</v>
      </c>
      <c r="AP1794" s="9">
        <f t="shared" ref="AP1794:AR1794" si="5627">AG1794/$AF1794</f>
        <v>92.6779661</v>
      </c>
      <c r="AQ1794" s="9">
        <f t="shared" si="5627"/>
        <v>42.73559322</v>
      </c>
      <c r="AR1794" s="9">
        <f t="shared" si="5627"/>
        <v>33.78983051</v>
      </c>
      <c r="AS1794" s="9">
        <f t="shared" si="4568"/>
        <v>76.52542373</v>
      </c>
      <c r="AT1794" s="9">
        <f t="shared" ref="AT1794:AV1794" si="5628">AJ1794/$AF1794</f>
        <v>11.16949153</v>
      </c>
      <c r="AU1794" s="9">
        <f t="shared" si="5628"/>
        <v>3.857627119</v>
      </c>
      <c r="AV1794" s="9">
        <f t="shared" si="5628"/>
        <v>1.125423729</v>
      </c>
      <c r="AW1794" s="9">
        <f t="shared" si="4570"/>
        <v>4.983050847</v>
      </c>
      <c r="AX1794" s="9">
        <f t="shared" ref="AX1794:AY1794" si="5629">AM1794/$AF1794</f>
        <v>0.9322033898</v>
      </c>
      <c r="AY1794" s="9">
        <f t="shared" si="5629"/>
        <v>0.2881355932</v>
      </c>
      <c r="AZ1794" s="9">
        <f>VLOOKUP(A1794,Jogos!A:BN,58,0)</f>
        <v>33.19</v>
      </c>
      <c r="BA1794" s="9">
        <f>VLOOKUP(A1794,Jogos!A:BN,59,0)</f>
        <v>23.67</v>
      </c>
      <c r="BB1794" s="9">
        <f>VLOOKUP(A1794,Jogos!A:BN,60,0)</f>
        <v>57</v>
      </c>
      <c r="BC1794" s="9">
        <f>VLOOKUP(A1794,Jogos!A:BN,61,0)</f>
        <v>36.035</v>
      </c>
      <c r="BD1794" s="9">
        <f>VLOOKUP(A1794,Jogos!A:BN,62,0)</f>
        <v>471.5</v>
      </c>
      <c r="BE1794" s="9">
        <f>VLOOKUP(A1794,Jogos!A:BN,63,0)</f>
        <v>1.99</v>
      </c>
      <c r="BF1794" s="9">
        <f>VLOOKUP(A1794,Jogos!A:BN,64,0)</f>
        <v>26.945</v>
      </c>
      <c r="BG1794" s="9">
        <f>VLOOKUP(A1794,Jogos!A:BN,65,0)</f>
        <v>48.405</v>
      </c>
      <c r="BH1794" s="9">
        <f>VLOOKUP(A1794,Jogos!A:BN,66,0)</f>
        <v>31.86</v>
      </c>
      <c r="BI1794" s="9"/>
      <c r="BJ1794" s="9"/>
    </row>
    <row r="1795" hidden="1">
      <c r="A1795" s="2">
        <v>61.0</v>
      </c>
      <c r="B1795" s="2" t="s">
        <v>1385</v>
      </c>
      <c r="C1795" s="2" t="s">
        <v>1351</v>
      </c>
      <c r="D1795" s="3">
        <v>45846.0</v>
      </c>
      <c r="E1795" s="4">
        <v>0.625</v>
      </c>
      <c r="F1795" s="5" t="str">
        <f>VLOOKUP(A1795,Jogos!A:N,10,0)</f>
        <v>Afternoon</v>
      </c>
      <c r="G1795" s="2" t="s">
        <v>249</v>
      </c>
      <c r="H1795" s="6" t="str">
        <f>VLOOKUP(A1795,Jogos!A:L,12,0)</f>
        <v>Open</v>
      </c>
      <c r="I1795" s="6" t="str">
        <f>VLOOKUP(G1795,'Estádios e Cidades'!A:B,2,0)</f>
        <v>East Rutherford</v>
      </c>
      <c r="J1795" s="2" t="s">
        <v>563</v>
      </c>
      <c r="K1795" s="2" t="str">
        <f>VLOOKUP(J1795,Equipes!A:F,6,0)</f>
        <v>Tropical</v>
      </c>
      <c r="L1795" s="2">
        <f>VLOOKUP(J1795,Equipes!A:C,3,0)</f>
        <v>4</v>
      </c>
      <c r="M1795" s="2" t="str">
        <f t="shared" si="4"/>
        <v>Semi-final</v>
      </c>
      <c r="N1795" s="2" t="s">
        <v>377</v>
      </c>
      <c r="O1795" s="2">
        <f>VLOOKUP(N1795,Equipes!A:C,3,0)</f>
        <v>1</v>
      </c>
      <c r="P1795" s="2" t="str">
        <f t="shared" si="5"/>
        <v>Final</v>
      </c>
      <c r="Q1795" s="2">
        <f t="shared" si="6"/>
        <v>3</v>
      </c>
      <c r="R1795" s="2" t="str">
        <f>VLOOKUP(J1795,Equipes!A:B,2,0)</f>
        <v>Fluminense</v>
      </c>
      <c r="S1795" s="14" t="s">
        <v>583</v>
      </c>
      <c r="T1795" s="7">
        <v>35.0</v>
      </c>
      <c r="U1795" s="7" t="s">
        <v>584</v>
      </c>
      <c r="V1795" s="7" t="str">
        <f>VLOOKUP(U1795,Jogadores!B:C,2,0)</f>
        <v>MF</v>
      </c>
      <c r="W1795" s="8">
        <f>VLOOKUP(U1795,Jogadores!B:D,3,0)</f>
        <v>24.78630137</v>
      </c>
      <c r="X1795" s="7">
        <v>0.0</v>
      </c>
      <c r="Y1795" s="7">
        <v>70.0</v>
      </c>
      <c r="Z1795" s="7">
        <f>VLOOKUP(A1795,Jogos!A:L,3,0)</f>
        <v>50</v>
      </c>
      <c r="AA1795" s="7">
        <f t="shared" si="4815"/>
        <v>50</v>
      </c>
      <c r="AB1795" s="7">
        <f>VLOOKUP(A1795,Jogos!A:L,4,0)</f>
        <v>55</v>
      </c>
      <c r="AC1795" s="7">
        <f t="shared" si="5062"/>
        <v>25</v>
      </c>
      <c r="AD1795" s="7"/>
      <c r="AE1795" s="7"/>
      <c r="AF1795" s="7">
        <f t="shared" si="4566"/>
        <v>75</v>
      </c>
      <c r="AG1795" s="7">
        <v>7542.8</v>
      </c>
      <c r="AH1795" s="7">
        <v>3073.2</v>
      </c>
      <c r="AI1795" s="7">
        <v>3121.4</v>
      </c>
      <c r="AJ1795" s="7">
        <v>977.9</v>
      </c>
      <c r="AK1795" s="7">
        <v>301.1</v>
      </c>
      <c r="AL1795" s="7">
        <v>69.1</v>
      </c>
      <c r="AM1795" s="7">
        <v>86.0</v>
      </c>
      <c r="AN1795" s="7">
        <v>19.0</v>
      </c>
      <c r="AO1795" s="7">
        <v>31.3</v>
      </c>
      <c r="AP1795" s="9">
        <f t="shared" ref="AP1795:AR1795" si="5630">AG1795/$AF1795</f>
        <v>100.5706667</v>
      </c>
      <c r="AQ1795" s="9">
        <f t="shared" si="5630"/>
        <v>40.976</v>
      </c>
      <c r="AR1795" s="9">
        <f t="shared" si="5630"/>
        <v>41.61866667</v>
      </c>
      <c r="AS1795" s="9">
        <f t="shared" si="4568"/>
        <v>82.59466667</v>
      </c>
      <c r="AT1795" s="9">
        <f t="shared" ref="AT1795:AV1795" si="5631">AJ1795/$AF1795</f>
        <v>13.03866667</v>
      </c>
      <c r="AU1795" s="9">
        <f t="shared" si="5631"/>
        <v>4.014666667</v>
      </c>
      <c r="AV1795" s="9">
        <f t="shared" si="5631"/>
        <v>0.9213333333</v>
      </c>
      <c r="AW1795" s="9">
        <f t="shared" si="4570"/>
        <v>4.936</v>
      </c>
      <c r="AX1795" s="9">
        <f t="shared" ref="AX1795:AY1795" si="5632">AM1795/$AF1795</f>
        <v>1.146666667</v>
      </c>
      <c r="AY1795" s="9">
        <f t="shared" si="5632"/>
        <v>0.2533333333</v>
      </c>
      <c r="AZ1795" s="9">
        <f>VLOOKUP(A1795,Jogos!A:BN,58,0)</f>
        <v>33.19</v>
      </c>
      <c r="BA1795" s="9">
        <f>VLOOKUP(A1795,Jogos!A:BN,59,0)</f>
        <v>23.67</v>
      </c>
      <c r="BB1795" s="9">
        <f>VLOOKUP(A1795,Jogos!A:BN,60,0)</f>
        <v>57</v>
      </c>
      <c r="BC1795" s="9">
        <f>VLOOKUP(A1795,Jogos!A:BN,61,0)</f>
        <v>36.035</v>
      </c>
      <c r="BD1795" s="9">
        <f>VLOOKUP(A1795,Jogos!A:BN,62,0)</f>
        <v>471.5</v>
      </c>
      <c r="BE1795" s="9">
        <f>VLOOKUP(A1795,Jogos!A:BN,63,0)</f>
        <v>1.99</v>
      </c>
      <c r="BF1795" s="9">
        <f>VLOOKUP(A1795,Jogos!A:BN,64,0)</f>
        <v>26.945</v>
      </c>
      <c r="BG1795" s="9">
        <f>VLOOKUP(A1795,Jogos!A:BN,65,0)</f>
        <v>48.405</v>
      </c>
      <c r="BH1795" s="9">
        <f>VLOOKUP(A1795,Jogos!A:BN,66,0)</f>
        <v>31.86</v>
      </c>
      <c r="BI1795" s="9"/>
      <c r="BJ1795" s="9"/>
    </row>
    <row r="1796" hidden="1">
      <c r="A1796" s="2">
        <v>61.0</v>
      </c>
      <c r="B1796" s="2" t="s">
        <v>1385</v>
      </c>
      <c r="C1796" s="2" t="s">
        <v>1351</v>
      </c>
      <c r="D1796" s="3">
        <v>45846.0</v>
      </c>
      <c r="E1796" s="4">
        <v>0.625</v>
      </c>
      <c r="F1796" s="5" t="str">
        <f>VLOOKUP(A1796,Jogos!A:N,10,0)</f>
        <v>Afternoon</v>
      </c>
      <c r="G1796" s="2" t="s">
        <v>249</v>
      </c>
      <c r="H1796" s="6" t="str">
        <f>VLOOKUP(A1796,Jogos!A:L,12,0)</f>
        <v>Open</v>
      </c>
      <c r="I1796" s="6" t="str">
        <f>VLOOKUP(G1796,'Estádios e Cidades'!A:B,2,0)</f>
        <v>East Rutherford</v>
      </c>
      <c r="J1796" s="2" t="s">
        <v>563</v>
      </c>
      <c r="K1796" s="2" t="str">
        <f>VLOOKUP(J1796,Equipes!A:F,6,0)</f>
        <v>Tropical</v>
      </c>
      <c r="L1796" s="2">
        <f>VLOOKUP(J1796,Equipes!A:C,3,0)</f>
        <v>4</v>
      </c>
      <c r="M1796" s="2" t="str">
        <f t="shared" si="4"/>
        <v>Semi-final</v>
      </c>
      <c r="N1796" s="2" t="s">
        <v>377</v>
      </c>
      <c r="O1796" s="2">
        <f>VLOOKUP(N1796,Equipes!A:C,3,0)</f>
        <v>1</v>
      </c>
      <c r="P1796" s="2" t="str">
        <f t="shared" si="5"/>
        <v>Final</v>
      </c>
      <c r="Q1796" s="2">
        <f t="shared" si="6"/>
        <v>3</v>
      </c>
      <c r="R1796" s="2" t="str">
        <f>VLOOKUP(J1796,Equipes!A:B,2,0)</f>
        <v>Fluminense</v>
      </c>
      <c r="S1796" s="14" t="s">
        <v>1386</v>
      </c>
      <c r="T1796" s="7">
        <v>7.0</v>
      </c>
      <c r="U1796" s="7" t="s">
        <v>1387</v>
      </c>
      <c r="V1796" s="7" t="s">
        <v>1133</v>
      </c>
      <c r="W1796" s="8">
        <f>VLOOKUP(U1796,Jogadores!B:D,3,0)</f>
        <v>28.09589041</v>
      </c>
      <c r="X1796" s="7">
        <v>66.0</v>
      </c>
      <c r="Y1796" s="7">
        <f t="shared" ref="Y1796:Y1802" si="5636">45+AB1796</f>
        <v>100</v>
      </c>
      <c r="Z1796" s="7">
        <f>VLOOKUP(A1796,Jogos!A:L,3,0)</f>
        <v>50</v>
      </c>
      <c r="AA1796" s="7">
        <f t="shared" si="4815"/>
        <v>0</v>
      </c>
      <c r="AB1796" s="7">
        <f>VLOOKUP(A1796,Jogos!A:L,4,0)</f>
        <v>55</v>
      </c>
      <c r="AC1796" s="7">
        <f t="shared" si="5062"/>
        <v>34</v>
      </c>
      <c r="AD1796" s="7"/>
      <c r="AE1796" s="7"/>
      <c r="AF1796" s="7">
        <f t="shared" si="4566"/>
        <v>34</v>
      </c>
      <c r="AG1796" s="7">
        <v>3260.4</v>
      </c>
      <c r="AH1796" s="7">
        <v>1411.2</v>
      </c>
      <c r="AI1796" s="7">
        <v>1233.3</v>
      </c>
      <c r="AJ1796" s="7">
        <v>413.8</v>
      </c>
      <c r="AK1796" s="7">
        <v>162.0</v>
      </c>
      <c r="AL1796" s="7">
        <v>40.2</v>
      </c>
      <c r="AM1796" s="7">
        <v>29.0</v>
      </c>
      <c r="AN1796" s="7">
        <v>13.0</v>
      </c>
      <c r="AO1796" s="7">
        <v>28.6</v>
      </c>
      <c r="AP1796" s="9">
        <f t="shared" ref="AP1796:AR1796" si="5633">AG1796/$AF1796</f>
        <v>95.89411765</v>
      </c>
      <c r="AQ1796" s="9">
        <f t="shared" si="5633"/>
        <v>41.50588235</v>
      </c>
      <c r="AR1796" s="9">
        <f t="shared" si="5633"/>
        <v>36.27352941</v>
      </c>
      <c r="AS1796" s="9">
        <f t="shared" si="4568"/>
        <v>77.77941176</v>
      </c>
      <c r="AT1796" s="9">
        <f t="shared" ref="AT1796:AV1796" si="5634">AJ1796/$AF1796</f>
        <v>12.17058824</v>
      </c>
      <c r="AU1796" s="9">
        <f t="shared" si="5634"/>
        <v>4.764705882</v>
      </c>
      <c r="AV1796" s="9">
        <f t="shared" si="5634"/>
        <v>1.182352941</v>
      </c>
      <c r="AW1796" s="9">
        <f t="shared" si="4570"/>
        <v>5.947058824</v>
      </c>
      <c r="AX1796" s="9">
        <f t="shared" ref="AX1796:AY1796" si="5635">AM1796/$AF1796</f>
        <v>0.8529411765</v>
      </c>
      <c r="AY1796" s="9">
        <f t="shared" si="5635"/>
        <v>0.3823529412</v>
      </c>
      <c r="AZ1796" s="9">
        <f>VLOOKUP(A1796,Jogos!A:BN,58,0)</f>
        <v>33.19</v>
      </c>
      <c r="BA1796" s="9">
        <f>VLOOKUP(A1796,Jogos!A:BN,59,0)</f>
        <v>23.67</v>
      </c>
      <c r="BB1796" s="9">
        <f>VLOOKUP(A1796,Jogos!A:BN,60,0)</f>
        <v>57</v>
      </c>
      <c r="BC1796" s="9">
        <f>VLOOKUP(A1796,Jogos!A:BN,61,0)</f>
        <v>36.035</v>
      </c>
      <c r="BD1796" s="9">
        <f>VLOOKUP(A1796,Jogos!A:BN,62,0)</f>
        <v>471.5</v>
      </c>
      <c r="BE1796" s="9">
        <f>VLOOKUP(A1796,Jogos!A:BN,63,0)</f>
        <v>1.99</v>
      </c>
      <c r="BF1796" s="9">
        <f>VLOOKUP(A1796,Jogos!A:BN,64,0)</f>
        <v>26.945</v>
      </c>
      <c r="BG1796" s="9">
        <f>VLOOKUP(A1796,Jogos!A:BN,65,0)</f>
        <v>48.405</v>
      </c>
      <c r="BH1796" s="9">
        <f>VLOOKUP(A1796,Jogos!A:BN,66,0)</f>
        <v>31.86</v>
      </c>
      <c r="BI1796" s="9"/>
      <c r="BJ1796" s="9"/>
    </row>
    <row r="1797" hidden="1">
      <c r="A1797" s="2">
        <v>61.0</v>
      </c>
      <c r="B1797" s="2" t="s">
        <v>1385</v>
      </c>
      <c r="C1797" s="2" t="s">
        <v>1351</v>
      </c>
      <c r="D1797" s="3">
        <v>45846.0</v>
      </c>
      <c r="E1797" s="4">
        <v>0.625</v>
      </c>
      <c r="F1797" s="5" t="str">
        <f>VLOOKUP(A1797,Jogos!A:N,10,0)</f>
        <v>Afternoon</v>
      </c>
      <c r="G1797" s="2" t="s">
        <v>249</v>
      </c>
      <c r="H1797" s="6" t="str">
        <f>VLOOKUP(A1797,Jogos!A:L,12,0)</f>
        <v>Open</v>
      </c>
      <c r="I1797" s="6" t="str">
        <f>VLOOKUP(G1797,'Estádios e Cidades'!A:B,2,0)</f>
        <v>East Rutherford</v>
      </c>
      <c r="J1797" s="2" t="s">
        <v>563</v>
      </c>
      <c r="K1797" s="2" t="str">
        <f>VLOOKUP(J1797,Equipes!A:F,6,0)</f>
        <v>Tropical</v>
      </c>
      <c r="L1797" s="2">
        <f>VLOOKUP(J1797,Equipes!A:C,3,0)</f>
        <v>4</v>
      </c>
      <c r="M1797" s="2" t="str">
        <f t="shared" si="4"/>
        <v>Semi-final</v>
      </c>
      <c r="N1797" s="2" t="s">
        <v>377</v>
      </c>
      <c r="O1797" s="2">
        <f>VLOOKUP(N1797,Equipes!A:C,3,0)</f>
        <v>1</v>
      </c>
      <c r="P1797" s="2" t="str">
        <f t="shared" si="5"/>
        <v>Final</v>
      </c>
      <c r="Q1797" s="2">
        <f t="shared" si="6"/>
        <v>3</v>
      </c>
      <c r="R1797" s="2" t="str">
        <f>VLOOKUP(J1797,Equipes!A:B,2,0)</f>
        <v>Fluminense</v>
      </c>
      <c r="S1797" s="14" t="s">
        <v>573</v>
      </c>
      <c r="T1797" s="7">
        <v>9.0</v>
      </c>
      <c r="U1797" s="7" t="s">
        <v>574</v>
      </c>
      <c r="V1797" s="7" t="str">
        <f>VLOOKUP(U1797,Jogadores!B:C,2,0)</f>
        <v>FW</v>
      </c>
      <c r="W1797" s="8">
        <f>VLOOKUP(U1797,Jogadores!B:D,3,0)</f>
        <v>34.08767123</v>
      </c>
      <c r="X1797" s="7">
        <v>54.0</v>
      </c>
      <c r="Y1797" s="7">
        <f t="shared" si="5636"/>
        <v>100</v>
      </c>
      <c r="Z1797" s="7">
        <f>VLOOKUP(A1797,Jogos!A:L,3,0)</f>
        <v>50</v>
      </c>
      <c r="AA1797" s="7">
        <f t="shared" si="4815"/>
        <v>0</v>
      </c>
      <c r="AB1797" s="7">
        <f>VLOOKUP(A1797,Jogos!A:L,4,0)</f>
        <v>55</v>
      </c>
      <c r="AC1797" s="7">
        <f t="shared" si="5062"/>
        <v>46</v>
      </c>
      <c r="AD1797" s="7"/>
      <c r="AE1797" s="7"/>
      <c r="AF1797" s="7">
        <f t="shared" si="4566"/>
        <v>46</v>
      </c>
      <c r="AG1797" s="7">
        <v>3930.3</v>
      </c>
      <c r="AH1797" s="7">
        <v>2064.9</v>
      </c>
      <c r="AI1797" s="7">
        <v>1061.4</v>
      </c>
      <c r="AJ1797" s="7">
        <v>435.4</v>
      </c>
      <c r="AK1797" s="7">
        <v>272.3</v>
      </c>
      <c r="AL1797" s="7">
        <v>96.3</v>
      </c>
      <c r="AM1797" s="7">
        <v>42.0</v>
      </c>
      <c r="AN1797" s="7">
        <v>19.0</v>
      </c>
      <c r="AO1797" s="7">
        <v>32.2</v>
      </c>
      <c r="AP1797" s="9">
        <f t="shared" ref="AP1797:AR1797" si="5637">AG1797/$AF1797</f>
        <v>85.44130435</v>
      </c>
      <c r="AQ1797" s="9">
        <f t="shared" si="5637"/>
        <v>44.88913043</v>
      </c>
      <c r="AR1797" s="9">
        <f t="shared" si="5637"/>
        <v>23.07391304</v>
      </c>
      <c r="AS1797" s="9">
        <f t="shared" si="4568"/>
        <v>67.96304348</v>
      </c>
      <c r="AT1797" s="9">
        <f t="shared" ref="AT1797:AV1797" si="5638">AJ1797/$AF1797</f>
        <v>9.465217391</v>
      </c>
      <c r="AU1797" s="9">
        <f t="shared" si="5638"/>
        <v>5.919565217</v>
      </c>
      <c r="AV1797" s="9">
        <f t="shared" si="5638"/>
        <v>2.093478261</v>
      </c>
      <c r="AW1797" s="9">
        <f t="shared" si="4570"/>
        <v>8.013043478</v>
      </c>
      <c r="AX1797" s="9">
        <f t="shared" ref="AX1797:AY1797" si="5639">AM1797/$AF1797</f>
        <v>0.9130434783</v>
      </c>
      <c r="AY1797" s="9">
        <f t="shared" si="5639"/>
        <v>0.4130434783</v>
      </c>
      <c r="AZ1797" s="9">
        <f>VLOOKUP(A1797,Jogos!A:BN,58,0)</f>
        <v>33.19</v>
      </c>
      <c r="BA1797" s="9">
        <f>VLOOKUP(A1797,Jogos!A:BN,59,0)</f>
        <v>23.67</v>
      </c>
      <c r="BB1797" s="9">
        <f>VLOOKUP(A1797,Jogos!A:BN,60,0)</f>
        <v>57</v>
      </c>
      <c r="BC1797" s="9">
        <f>VLOOKUP(A1797,Jogos!A:BN,61,0)</f>
        <v>36.035</v>
      </c>
      <c r="BD1797" s="9">
        <f>VLOOKUP(A1797,Jogos!A:BN,62,0)</f>
        <v>471.5</v>
      </c>
      <c r="BE1797" s="9">
        <f>VLOOKUP(A1797,Jogos!A:BN,63,0)</f>
        <v>1.99</v>
      </c>
      <c r="BF1797" s="9">
        <f>VLOOKUP(A1797,Jogos!A:BN,64,0)</f>
        <v>26.945</v>
      </c>
      <c r="BG1797" s="9">
        <f>VLOOKUP(A1797,Jogos!A:BN,65,0)</f>
        <v>48.405</v>
      </c>
      <c r="BH1797" s="9">
        <f>VLOOKUP(A1797,Jogos!A:BN,66,0)</f>
        <v>31.86</v>
      </c>
      <c r="BI1797" s="9"/>
      <c r="BJ1797" s="9"/>
    </row>
    <row r="1798" hidden="1">
      <c r="A1798" s="2">
        <v>61.0</v>
      </c>
      <c r="B1798" s="2" t="s">
        <v>1385</v>
      </c>
      <c r="C1798" s="2" t="s">
        <v>1351</v>
      </c>
      <c r="D1798" s="3">
        <v>45846.0</v>
      </c>
      <c r="E1798" s="4">
        <v>0.625</v>
      </c>
      <c r="F1798" s="5" t="str">
        <f>VLOOKUP(A1798,Jogos!A:N,10,0)</f>
        <v>Afternoon</v>
      </c>
      <c r="G1798" s="2" t="s">
        <v>249</v>
      </c>
      <c r="H1798" s="6" t="str">
        <f>VLOOKUP(A1798,Jogos!A:L,12,0)</f>
        <v>Open</v>
      </c>
      <c r="I1798" s="6" t="str">
        <f>VLOOKUP(G1798,'Estádios e Cidades'!A:B,2,0)</f>
        <v>East Rutherford</v>
      </c>
      <c r="J1798" s="2" t="s">
        <v>563</v>
      </c>
      <c r="K1798" s="2" t="str">
        <f>VLOOKUP(J1798,Equipes!A:F,6,0)</f>
        <v>Tropical</v>
      </c>
      <c r="L1798" s="2">
        <f>VLOOKUP(J1798,Equipes!A:C,3,0)</f>
        <v>4</v>
      </c>
      <c r="M1798" s="2" t="str">
        <f t="shared" si="4"/>
        <v>Semi-final</v>
      </c>
      <c r="N1798" s="2" t="s">
        <v>377</v>
      </c>
      <c r="O1798" s="2">
        <f>VLOOKUP(N1798,Equipes!A:C,3,0)</f>
        <v>1</v>
      </c>
      <c r="P1798" s="2" t="str">
        <f t="shared" si="5"/>
        <v>Final</v>
      </c>
      <c r="Q1798" s="2">
        <f t="shared" si="6"/>
        <v>3</v>
      </c>
      <c r="R1798" s="2" t="str">
        <f>VLOOKUP(J1798,Equipes!A:B,2,0)</f>
        <v>Fluminense</v>
      </c>
      <c r="S1798" s="14" t="s">
        <v>1172</v>
      </c>
      <c r="T1798" s="7">
        <v>11.0</v>
      </c>
      <c r="U1798" s="7" t="s">
        <v>1173</v>
      </c>
      <c r="V1798" s="7" t="str">
        <f>VLOOKUP(U1798,Jogadores!B:C,2,0)</f>
        <v>FW</v>
      </c>
      <c r="W1798" s="8">
        <f>VLOOKUP(U1798,Jogadores!B:D,3,0)</f>
        <v>35.90410959</v>
      </c>
      <c r="X1798" s="7">
        <v>54.0</v>
      </c>
      <c r="Y1798" s="7">
        <f t="shared" si="5636"/>
        <v>100</v>
      </c>
      <c r="Z1798" s="7">
        <f>VLOOKUP(A1798,Jogos!A:L,3,0)</f>
        <v>50</v>
      </c>
      <c r="AA1798" s="7">
        <f t="shared" si="4815"/>
        <v>0</v>
      </c>
      <c r="AB1798" s="7">
        <f>VLOOKUP(A1798,Jogos!A:L,4,0)</f>
        <v>55</v>
      </c>
      <c r="AC1798" s="7">
        <f t="shared" si="5062"/>
        <v>46</v>
      </c>
      <c r="AD1798" s="7"/>
      <c r="AE1798" s="7"/>
      <c r="AF1798" s="7">
        <f t="shared" si="4566"/>
        <v>46</v>
      </c>
      <c r="AG1798" s="7">
        <v>4032.3</v>
      </c>
      <c r="AH1798" s="7">
        <v>1847.6</v>
      </c>
      <c r="AI1798" s="7">
        <v>1338.0</v>
      </c>
      <c r="AJ1798" s="7">
        <v>609.2</v>
      </c>
      <c r="AK1798" s="7">
        <v>210.7</v>
      </c>
      <c r="AL1798" s="7">
        <v>26.9</v>
      </c>
      <c r="AM1798" s="7">
        <v>49.0</v>
      </c>
      <c r="AN1798" s="7">
        <v>14.0</v>
      </c>
      <c r="AO1798" s="7">
        <v>27.7</v>
      </c>
      <c r="AP1798" s="9">
        <f t="shared" ref="AP1798:AR1798" si="5640">AG1798/$AF1798</f>
        <v>87.65869565</v>
      </c>
      <c r="AQ1798" s="9">
        <f t="shared" si="5640"/>
        <v>40.16521739</v>
      </c>
      <c r="AR1798" s="9">
        <f t="shared" si="5640"/>
        <v>29.08695652</v>
      </c>
      <c r="AS1798" s="9">
        <f t="shared" si="4568"/>
        <v>69.25217391</v>
      </c>
      <c r="AT1798" s="9">
        <f t="shared" ref="AT1798:AV1798" si="5641">AJ1798/$AF1798</f>
        <v>13.24347826</v>
      </c>
      <c r="AU1798" s="9">
        <f t="shared" si="5641"/>
        <v>4.580434783</v>
      </c>
      <c r="AV1798" s="9">
        <f t="shared" si="5641"/>
        <v>0.5847826087</v>
      </c>
      <c r="AW1798" s="9">
        <f t="shared" si="4570"/>
        <v>5.165217391</v>
      </c>
      <c r="AX1798" s="9">
        <f t="shared" ref="AX1798:AY1798" si="5642">AM1798/$AF1798</f>
        <v>1.065217391</v>
      </c>
      <c r="AY1798" s="9">
        <f t="shared" si="5642"/>
        <v>0.3043478261</v>
      </c>
      <c r="AZ1798" s="9">
        <f>VLOOKUP(A1798,Jogos!A:BN,58,0)</f>
        <v>33.19</v>
      </c>
      <c r="BA1798" s="9">
        <f>VLOOKUP(A1798,Jogos!A:BN,59,0)</f>
        <v>23.67</v>
      </c>
      <c r="BB1798" s="9">
        <f>VLOOKUP(A1798,Jogos!A:BN,60,0)</f>
        <v>57</v>
      </c>
      <c r="BC1798" s="9">
        <f>VLOOKUP(A1798,Jogos!A:BN,61,0)</f>
        <v>36.035</v>
      </c>
      <c r="BD1798" s="9">
        <f>VLOOKUP(A1798,Jogos!A:BN,62,0)</f>
        <v>471.5</v>
      </c>
      <c r="BE1798" s="9">
        <f>VLOOKUP(A1798,Jogos!A:BN,63,0)</f>
        <v>1.99</v>
      </c>
      <c r="BF1798" s="9">
        <f>VLOOKUP(A1798,Jogos!A:BN,64,0)</f>
        <v>26.945</v>
      </c>
      <c r="BG1798" s="9">
        <f>VLOOKUP(A1798,Jogos!A:BN,65,0)</f>
        <v>48.405</v>
      </c>
      <c r="BH1798" s="9">
        <f>VLOOKUP(A1798,Jogos!A:BN,66,0)</f>
        <v>31.86</v>
      </c>
      <c r="BI1798" s="9"/>
      <c r="BJ1798" s="9"/>
    </row>
    <row r="1799" hidden="1">
      <c r="A1799" s="2">
        <v>61.0</v>
      </c>
      <c r="B1799" s="2" t="s">
        <v>1385</v>
      </c>
      <c r="C1799" s="2" t="s">
        <v>1351</v>
      </c>
      <c r="D1799" s="3">
        <v>45846.0</v>
      </c>
      <c r="E1799" s="4">
        <v>0.625</v>
      </c>
      <c r="F1799" s="5" t="str">
        <f>VLOOKUP(A1799,Jogos!A:N,10,0)</f>
        <v>Afternoon</v>
      </c>
      <c r="G1799" s="2" t="s">
        <v>249</v>
      </c>
      <c r="H1799" s="6" t="str">
        <f>VLOOKUP(A1799,Jogos!A:L,12,0)</f>
        <v>Open</v>
      </c>
      <c r="I1799" s="6" t="str">
        <f>VLOOKUP(G1799,'Estádios e Cidades'!A:B,2,0)</f>
        <v>East Rutherford</v>
      </c>
      <c r="J1799" s="2" t="s">
        <v>563</v>
      </c>
      <c r="K1799" s="2" t="str">
        <f>VLOOKUP(J1799,Equipes!A:F,6,0)</f>
        <v>Tropical</v>
      </c>
      <c r="L1799" s="2">
        <f>VLOOKUP(J1799,Equipes!A:C,3,0)</f>
        <v>4</v>
      </c>
      <c r="M1799" s="2" t="str">
        <f t="shared" si="4"/>
        <v>Semi-final</v>
      </c>
      <c r="N1799" s="2" t="s">
        <v>377</v>
      </c>
      <c r="O1799" s="2">
        <f>VLOOKUP(N1799,Equipes!A:C,3,0)</f>
        <v>1</v>
      </c>
      <c r="P1799" s="2" t="str">
        <f t="shared" si="5"/>
        <v>Final</v>
      </c>
      <c r="Q1799" s="2">
        <f t="shared" si="6"/>
        <v>3</v>
      </c>
      <c r="R1799" s="2" t="str">
        <f>VLOOKUP(J1799,Equipes!A:B,2,0)</f>
        <v>Fluminense</v>
      </c>
      <c r="S1799" s="14" t="s">
        <v>577</v>
      </c>
      <c r="T1799" s="7">
        <v>17.0</v>
      </c>
      <c r="U1799" s="7" t="s">
        <v>578</v>
      </c>
      <c r="V1799" s="7" t="str">
        <f>VLOOKUP(U1799,Jogadores!B:C,2,0)</f>
        <v>FW</v>
      </c>
      <c r="W1799" s="8">
        <f>VLOOKUP(U1799,Jogadores!B:D,3,0)</f>
        <v>26.84109589</v>
      </c>
      <c r="X1799" s="7">
        <v>70.0</v>
      </c>
      <c r="Y1799" s="7">
        <f t="shared" si="5636"/>
        <v>100</v>
      </c>
      <c r="Z1799" s="7">
        <f>VLOOKUP(A1799,Jogos!A:L,3,0)</f>
        <v>50</v>
      </c>
      <c r="AA1799" s="7">
        <f t="shared" si="4815"/>
        <v>0</v>
      </c>
      <c r="AB1799" s="7">
        <f>VLOOKUP(A1799,Jogos!A:L,4,0)</f>
        <v>55</v>
      </c>
      <c r="AC1799" s="7">
        <f t="shared" si="5062"/>
        <v>30</v>
      </c>
      <c r="AD1799" s="7"/>
      <c r="AE1799" s="7"/>
      <c r="AF1799" s="7">
        <f t="shared" si="4566"/>
        <v>30</v>
      </c>
      <c r="AG1799" s="7">
        <v>3749.0</v>
      </c>
      <c r="AH1799" s="7">
        <v>1003.7</v>
      </c>
      <c r="AI1799" s="7">
        <v>1551.8</v>
      </c>
      <c r="AJ1799" s="7">
        <v>708.9</v>
      </c>
      <c r="AK1799" s="7">
        <v>435.6</v>
      </c>
      <c r="AL1799" s="7">
        <v>49.1</v>
      </c>
      <c r="AM1799" s="7">
        <v>64.0</v>
      </c>
      <c r="AN1799" s="7">
        <v>26.0</v>
      </c>
      <c r="AO1799" s="7">
        <v>27.9</v>
      </c>
      <c r="AP1799" s="9">
        <f t="shared" ref="AP1799:AR1799" si="5643">AG1799/$AF1799</f>
        <v>124.9666667</v>
      </c>
      <c r="AQ1799" s="9">
        <f t="shared" si="5643"/>
        <v>33.45666667</v>
      </c>
      <c r="AR1799" s="9">
        <f t="shared" si="5643"/>
        <v>51.72666667</v>
      </c>
      <c r="AS1799" s="9">
        <f t="shared" si="4568"/>
        <v>85.18333333</v>
      </c>
      <c r="AT1799" s="9">
        <f t="shared" ref="AT1799:AV1799" si="5644">AJ1799/$AF1799</f>
        <v>23.63</v>
      </c>
      <c r="AU1799" s="9">
        <f t="shared" si="5644"/>
        <v>14.52</v>
      </c>
      <c r="AV1799" s="9">
        <f t="shared" si="5644"/>
        <v>1.636666667</v>
      </c>
      <c r="AW1799" s="9">
        <f t="shared" si="4570"/>
        <v>16.15666667</v>
      </c>
      <c r="AX1799" s="9">
        <f t="shared" ref="AX1799:AY1799" si="5645">AM1799/$AF1799</f>
        <v>2.133333333</v>
      </c>
      <c r="AY1799" s="9">
        <f t="shared" si="5645"/>
        <v>0.8666666667</v>
      </c>
      <c r="AZ1799" s="9">
        <f>VLOOKUP(A1799,Jogos!A:BN,58,0)</f>
        <v>33.19</v>
      </c>
      <c r="BA1799" s="9">
        <f>VLOOKUP(A1799,Jogos!A:BN,59,0)</f>
        <v>23.67</v>
      </c>
      <c r="BB1799" s="9">
        <f>VLOOKUP(A1799,Jogos!A:BN,60,0)</f>
        <v>57</v>
      </c>
      <c r="BC1799" s="9">
        <f>VLOOKUP(A1799,Jogos!A:BN,61,0)</f>
        <v>36.035</v>
      </c>
      <c r="BD1799" s="9">
        <f>VLOOKUP(A1799,Jogos!A:BN,62,0)</f>
        <v>471.5</v>
      </c>
      <c r="BE1799" s="9">
        <f>VLOOKUP(A1799,Jogos!A:BN,63,0)</f>
        <v>1.99</v>
      </c>
      <c r="BF1799" s="9">
        <f>VLOOKUP(A1799,Jogos!A:BN,64,0)</f>
        <v>26.945</v>
      </c>
      <c r="BG1799" s="9">
        <f>VLOOKUP(A1799,Jogos!A:BN,65,0)</f>
        <v>48.405</v>
      </c>
      <c r="BH1799" s="9">
        <f>VLOOKUP(A1799,Jogos!A:BN,66,0)</f>
        <v>31.86</v>
      </c>
      <c r="BI1799" s="9"/>
      <c r="BJ1799" s="9"/>
    </row>
    <row r="1800" hidden="1">
      <c r="A1800" s="2">
        <v>61.0</v>
      </c>
      <c r="B1800" s="2" t="s">
        <v>1385</v>
      </c>
      <c r="C1800" s="2" t="s">
        <v>1351</v>
      </c>
      <c r="D1800" s="3">
        <v>45846.0</v>
      </c>
      <c r="E1800" s="4">
        <v>0.625</v>
      </c>
      <c r="F1800" s="5" t="str">
        <f>VLOOKUP(A1800,Jogos!A:N,10,0)</f>
        <v>Afternoon</v>
      </c>
      <c r="G1800" s="2" t="s">
        <v>249</v>
      </c>
      <c r="H1800" s="6" t="str">
        <f>VLOOKUP(A1800,Jogos!A:L,12,0)</f>
        <v>Open</v>
      </c>
      <c r="I1800" s="6" t="str">
        <f>VLOOKUP(G1800,'Estádios e Cidades'!A:B,2,0)</f>
        <v>East Rutherford</v>
      </c>
      <c r="J1800" s="2" t="s">
        <v>563</v>
      </c>
      <c r="K1800" s="2" t="str">
        <f>VLOOKUP(J1800,Equipes!A:F,6,0)</f>
        <v>Tropical</v>
      </c>
      <c r="L1800" s="2">
        <f>VLOOKUP(J1800,Equipes!A:C,3,0)</f>
        <v>4</v>
      </c>
      <c r="M1800" s="2" t="str">
        <f t="shared" si="4"/>
        <v>Semi-final</v>
      </c>
      <c r="N1800" s="2" t="s">
        <v>377</v>
      </c>
      <c r="O1800" s="2">
        <f>VLOOKUP(N1800,Equipes!A:C,3,0)</f>
        <v>1</v>
      </c>
      <c r="P1800" s="2" t="str">
        <f t="shared" si="5"/>
        <v>Final</v>
      </c>
      <c r="Q1800" s="2">
        <f t="shared" si="6"/>
        <v>3</v>
      </c>
      <c r="R1800" s="2" t="str">
        <f>VLOOKUP(J1800,Equipes!A:B,2,0)</f>
        <v>Fluminense</v>
      </c>
      <c r="S1800" s="14" t="s">
        <v>587</v>
      </c>
      <c r="T1800" s="7">
        <v>45.0</v>
      </c>
      <c r="U1800" s="7" t="s">
        <v>588</v>
      </c>
      <c r="V1800" s="7" t="str">
        <f>VLOOKUP(U1800,Jogadores!B:C,2,0)</f>
        <v>MF</v>
      </c>
      <c r="W1800" s="8">
        <f>VLOOKUP(U1800,Jogadores!B:D,3,0)</f>
        <v>29.14794521</v>
      </c>
      <c r="X1800" s="7">
        <v>69.0</v>
      </c>
      <c r="Y1800" s="7">
        <f t="shared" si="5636"/>
        <v>100</v>
      </c>
      <c r="Z1800" s="7">
        <f>VLOOKUP(A1800,Jogos!A:L,3,0)</f>
        <v>50</v>
      </c>
      <c r="AA1800" s="7">
        <f t="shared" si="4815"/>
        <v>0</v>
      </c>
      <c r="AB1800" s="7">
        <f>VLOOKUP(A1800,Jogos!A:L,4,0)</f>
        <v>55</v>
      </c>
      <c r="AC1800" s="7">
        <f t="shared" si="5062"/>
        <v>31</v>
      </c>
      <c r="AD1800" s="7"/>
      <c r="AE1800" s="7"/>
      <c r="AF1800" s="7">
        <f t="shared" si="4566"/>
        <v>31</v>
      </c>
      <c r="AG1800" s="7">
        <v>3167.7</v>
      </c>
      <c r="AH1800" s="7">
        <v>1191.4</v>
      </c>
      <c r="AI1800" s="7">
        <v>1453.6</v>
      </c>
      <c r="AJ1800" s="7">
        <v>363.6</v>
      </c>
      <c r="AK1800" s="7">
        <v>142.1</v>
      </c>
      <c r="AL1800" s="7">
        <v>17.0</v>
      </c>
      <c r="AM1800" s="7">
        <v>33.0</v>
      </c>
      <c r="AN1800" s="7">
        <v>11.0</v>
      </c>
      <c r="AO1800" s="7">
        <v>27.7</v>
      </c>
      <c r="AP1800" s="9">
        <f t="shared" ref="AP1800:AR1800" si="5646">AG1800/$AF1800</f>
        <v>102.183871</v>
      </c>
      <c r="AQ1800" s="9">
        <f t="shared" si="5646"/>
        <v>38.43225806</v>
      </c>
      <c r="AR1800" s="9">
        <f t="shared" si="5646"/>
        <v>46.89032258</v>
      </c>
      <c r="AS1800" s="9">
        <f t="shared" si="4568"/>
        <v>85.32258065</v>
      </c>
      <c r="AT1800" s="9">
        <f t="shared" ref="AT1800:AV1800" si="5647">AJ1800/$AF1800</f>
        <v>11.72903226</v>
      </c>
      <c r="AU1800" s="9">
        <f t="shared" si="5647"/>
        <v>4.583870968</v>
      </c>
      <c r="AV1800" s="9">
        <f t="shared" si="5647"/>
        <v>0.5483870968</v>
      </c>
      <c r="AW1800" s="9">
        <f t="shared" si="4570"/>
        <v>5.132258065</v>
      </c>
      <c r="AX1800" s="9">
        <f t="shared" ref="AX1800:AY1800" si="5648">AM1800/$AF1800</f>
        <v>1.064516129</v>
      </c>
      <c r="AY1800" s="9">
        <f t="shared" si="5648"/>
        <v>0.3548387097</v>
      </c>
      <c r="AZ1800" s="9">
        <f>VLOOKUP(A1800,Jogos!A:BN,58,0)</f>
        <v>33.19</v>
      </c>
      <c r="BA1800" s="9">
        <f>VLOOKUP(A1800,Jogos!A:BN,59,0)</f>
        <v>23.67</v>
      </c>
      <c r="BB1800" s="9">
        <f>VLOOKUP(A1800,Jogos!A:BN,60,0)</f>
        <v>57</v>
      </c>
      <c r="BC1800" s="9">
        <f>VLOOKUP(A1800,Jogos!A:BN,61,0)</f>
        <v>36.035</v>
      </c>
      <c r="BD1800" s="9">
        <f>VLOOKUP(A1800,Jogos!A:BN,62,0)</f>
        <v>471.5</v>
      </c>
      <c r="BE1800" s="9">
        <f>VLOOKUP(A1800,Jogos!A:BN,63,0)</f>
        <v>1.99</v>
      </c>
      <c r="BF1800" s="9">
        <f>VLOOKUP(A1800,Jogos!A:BN,64,0)</f>
        <v>26.945</v>
      </c>
      <c r="BG1800" s="9">
        <f>VLOOKUP(A1800,Jogos!A:BN,65,0)</f>
        <v>48.405</v>
      </c>
      <c r="BH1800" s="9">
        <f>VLOOKUP(A1800,Jogos!A:BN,66,0)</f>
        <v>31.86</v>
      </c>
      <c r="BI1800" s="9"/>
      <c r="BJ1800" s="9"/>
    </row>
    <row r="1801" hidden="1">
      <c r="A1801" s="2">
        <v>61.0</v>
      </c>
      <c r="B1801" s="2" t="s">
        <v>1385</v>
      </c>
      <c r="C1801" s="2" t="s">
        <v>1351</v>
      </c>
      <c r="D1801" s="3">
        <v>45846.0</v>
      </c>
      <c r="E1801" s="4">
        <v>0.625</v>
      </c>
      <c r="F1801" s="5" t="str">
        <f>VLOOKUP(A1801,Jogos!A:N,10,0)</f>
        <v>Afternoon</v>
      </c>
      <c r="G1801" s="2" t="s">
        <v>249</v>
      </c>
      <c r="H1801" s="6" t="str">
        <f>VLOOKUP(A1801,Jogos!A:L,12,0)</f>
        <v>Open</v>
      </c>
      <c r="I1801" s="6" t="str">
        <f>VLOOKUP(G1801,'Estádios e Cidades'!A:B,2,0)</f>
        <v>East Rutherford</v>
      </c>
      <c r="J1801" s="2" t="s">
        <v>377</v>
      </c>
      <c r="K1801" s="2" t="str">
        <f>VLOOKUP(J1801,Equipes!A:F,6,0)</f>
        <v>Temperate</v>
      </c>
      <c r="L1801" s="2">
        <f>VLOOKUP(J1801,Equipes!A:C,3,0)</f>
        <v>1</v>
      </c>
      <c r="M1801" s="2" t="str">
        <f t="shared" si="4"/>
        <v>Final</v>
      </c>
      <c r="N1801" s="2" t="s">
        <v>563</v>
      </c>
      <c r="O1801" s="2">
        <f>VLOOKUP(N1801,Equipes!A:C,3,0)</f>
        <v>4</v>
      </c>
      <c r="P1801" s="2" t="str">
        <f t="shared" si="5"/>
        <v>Semi-final</v>
      </c>
      <c r="Q1801" s="2">
        <f t="shared" si="6"/>
        <v>-3</v>
      </c>
      <c r="R1801" s="2" t="str">
        <f>VLOOKUP(J1801,Equipes!A:B,2,0)</f>
        <v>Chelsea</v>
      </c>
      <c r="S1801" s="14" t="s">
        <v>379</v>
      </c>
      <c r="T1801" s="7">
        <v>3.0</v>
      </c>
      <c r="U1801" s="7" t="s">
        <v>380</v>
      </c>
      <c r="V1801" s="7" t="str">
        <f>VLOOKUP(U1801,Jogadores!B:C,2,0)</f>
        <v>DF</v>
      </c>
      <c r="W1801" s="8">
        <f>VLOOKUP(U1801,Jogadores!B:D,3,0)</f>
        <v>27.03561644</v>
      </c>
      <c r="X1801" s="7">
        <v>0.0</v>
      </c>
      <c r="Y1801" s="7">
        <f t="shared" si="5636"/>
        <v>100</v>
      </c>
      <c r="Z1801" s="7">
        <f>VLOOKUP(A1801,Jogos!A:L,3,0)</f>
        <v>50</v>
      </c>
      <c r="AA1801" s="7">
        <f t="shared" si="4815"/>
        <v>50</v>
      </c>
      <c r="AB1801" s="7">
        <f>VLOOKUP(A1801,Jogos!A:L,4,0)</f>
        <v>55</v>
      </c>
      <c r="AC1801" s="7">
        <f t="shared" si="5062"/>
        <v>55</v>
      </c>
      <c r="AD1801" s="7"/>
      <c r="AE1801" s="7"/>
      <c r="AF1801" s="7">
        <f t="shared" si="4566"/>
        <v>105</v>
      </c>
      <c r="AG1801" s="7">
        <v>9906.3</v>
      </c>
      <c r="AH1801" s="7">
        <v>4731.2</v>
      </c>
      <c r="AI1801" s="7">
        <v>3536.1</v>
      </c>
      <c r="AJ1801" s="7">
        <v>994.7</v>
      </c>
      <c r="AK1801" s="7">
        <v>449.8</v>
      </c>
      <c r="AL1801" s="7">
        <v>194.6</v>
      </c>
      <c r="AM1801" s="7">
        <v>76.0</v>
      </c>
      <c r="AN1801" s="7">
        <v>35.0</v>
      </c>
      <c r="AO1801" s="7">
        <v>29.9</v>
      </c>
      <c r="AP1801" s="9">
        <f t="shared" ref="AP1801:AR1801" si="5649">AG1801/$AF1801</f>
        <v>94.34571429</v>
      </c>
      <c r="AQ1801" s="9">
        <f t="shared" si="5649"/>
        <v>45.05904762</v>
      </c>
      <c r="AR1801" s="9">
        <f t="shared" si="5649"/>
        <v>33.67714286</v>
      </c>
      <c r="AS1801" s="9">
        <f t="shared" si="4568"/>
        <v>78.73619048</v>
      </c>
      <c r="AT1801" s="9">
        <f t="shared" ref="AT1801:AV1801" si="5650">AJ1801/$AF1801</f>
        <v>9.473333333</v>
      </c>
      <c r="AU1801" s="9">
        <f t="shared" si="5650"/>
        <v>4.283809524</v>
      </c>
      <c r="AV1801" s="9">
        <f t="shared" si="5650"/>
        <v>1.853333333</v>
      </c>
      <c r="AW1801" s="9">
        <f t="shared" si="4570"/>
        <v>6.137142857</v>
      </c>
      <c r="AX1801" s="9">
        <f t="shared" ref="AX1801:AY1801" si="5651">AM1801/$AF1801</f>
        <v>0.7238095238</v>
      </c>
      <c r="AY1801" s="9">
        <f t="shared" si="5651"/>
        <v>0.3333333333</v>
      </c>
      <c r="AZ1801" s="9">
        <f>VLOOKUP(A1801,Jogos!A:BN,58,0)</f>
        <v>33.19</v>
      </c>
      <c r="BA1801" s="9">
        <f>VLOOKUP(A1801,Jogos!A:BN,59,0)</f>
        <v>23.67</v>
      </c>
      <c r="BB1801" s="9">
        <f>VLOOKUP(A1801,Jogos!A:BN,60,0)</f>
        <v>57</v>
      </c>
      <c r="BC1801" s="9">
        <f>VLOOKUP(A1801,Jogos!A:BN,61,0)</f>
        <v>36.035</v>
      </c>
      <c r="BD1801" s="9">
        <f>VLOOKUP(A1801,Jogos!A:BN,62,0)</f>
        <v>471.5</v>
      </c>
      <c r="BE1801" s="9">
        <f>VLOOKUP(A1801,Jogos!A:BN,63,0)</f>
        <v>1.99</v>
      </c>
      <c r="BF1801" s="9">
        <f>VLOOKUP(A1801,Jogos!A:BN,64,0)</f>
        <v>26.945</v>
      </c>
      <c r="BG1801" s="9">
        <f>VLOOKUP(A1801,Jogos!A:BN,65,0)</f>
        <v>48.405</v>
      </c>
      <c r="BH1801" s="9">
        <f>VLOOKUP(A1801,Jogos!A:BN,66,0)</f>
        <v>31.86</v>
      </c>
      <c r="BI1801" s="9"/>
      <c r="BJ1801" s="9"/>
    </row>
    <row r="1802" hidden="1">
      <c r="A1802" s="2">
        <v>61.0</v>
      </c>
      <c r="B1802" s="2" t="s">
        <v>1385</v>
      </c>
      <c r="C1802" s="2" t="s">
        <v>1351</v>
      </c>
      <c r="D1802" s="3">
        <v>45846.0</v>
      </c>
      <c r="E1802" s="4">
        <v>0.625</v>
      </c>
      <c r="F1802" s="5" t="str">
        <f>VLOOKUP(A1802,Jogos!A:N,10,0)</f>
        <v>Afternoon</v>
      </c>
      <c r="G1802" s="2" t="s">
        <v>249</v>
      </c>
      <c r="H1802" s="6" t="str">
        <f>VLOOKUP(A1802,Jogos!A:L,12,0)</f>
        <v>Open</v>
      </c>
      <c r="I1802" s="6" t="str">
        <f>VLOOKUP(G1802,'Estádios e Cidades'!A:B,2,0)</f>
        <v>East Rutherford</v>
      </c>
      <c r="J1802" s="2" t="s">
        <v>377</v>
      </c>
      <c r="K1802" s="2" t="str">
        <f>VLOOKUP(J1802,Equipes!A:F,6,0)</f>
        <v>Temperate</v>
      </c>
      <c r="L1802" s="2">
        <f>VLOOKUP(J1802,Equipes!A:C,3,0)</f>
        <v>1</v>
      </c>
      <c r="M1802" s="2" t="str">
        <f t="shared" si="4"/>
        <v>Final</v>
      </c>
      <c r="N1802" s="2" t="s">
        <v>563</v>
      </c>
      <c r="O1802" s="2">
        <f>VLOOKUP(N1802,Equipes!A:C,3,0)</f>
        <v>4</v>
      </c>
      <c r="P1802" s="2" t="str">
        <f t="shared" si="5"/>
        <v>Semi-final</v>
      </c>
      <c r="Q1802" s="2">
        <f t="shared" si="6"/>
        <v>-3</v>
      </c>
      <c r="R1802" s="2" t="str">
        <f>VLOOKUP(J1802,Equipes!A:B,2,0)</f>
        <v>Chelsea</v>
      </c>
      <c r="S1802" s="14" t="s">
        <v>381</v>
      </c>
      <c r="T1802" s="7">
        <v>4.0</v>
      </c>
      <c r="U1802" s="7" t="s">
        <v>382</v>
      </c>
      <c r="V1802" s="7" t="str">
        <f>VLOOKUP(U1802,Jogadores!B:C,2,0)</f>
        <v>DF</v>
      </c>
      <c r="W1802" s="8">
        <f>VLOOKUP(U1802,Jogadores!B:D,3,0)</f>
        <v>27.86027397</v>
      </c>
      <c r="X1802" s="7">
        <v>0.0</v>
      </c>
      <c r="Y1802" s="7">
        <f t="shared" si="5636"/>
        <v>100</v>
      </c>
      <c r="Z1802" s="7">
        <f>VLOOKUP(A1802,Jogos!A:L,3,0)</f>
        <v>50</v>
      </c>
      <c r="AA1802" s="7">
        <f t="shared" si="4815"/>
        <v>50</v>
      </c>
      <c r="AB1802" s="7">
        <f>VLOOKUP(A1802,Jogos!A:L,4,0)</f>
        <v>55</v>
      </c>
      <c r="AC1802" s="7">
        <f t="shared" si="5062"/>
        <v>55</v>
      </c>
      <c r="AD1802" s="7"/>
      <c r="AE1802" s="7"/>
      <c r="AF1802" s="7">
        <f t="shared" si="4566"/>
        <v>105</v>
      </c>
      <c r="AG1802" s="7">
        <v>8396.4</v>
      </c>
      <c r="AH1802" s="7">
        <v>4625.9</v>
      </c>
      <c r="AI1802" s="7">
        <v>3008.3</v>
      </c>
      <c r="AJ1802" s="7">
        <v>494.7</v>
      </c>
      <c r="AK1802" s="7">
        <v>189.8</v>
      </c>
      <c r="AL1802" s="7">
        <v>77.7</v>
      </c>
      <c r="AM1802" s="7">
        <v>46.0</v>
      </c>
      <c r="AN1802" s="7">
        <v>17.0</v>
      </c>
      <c r="AO1802" s="7">
        <v>30.3</v>
      </c>
      <c r="AP1802" s="9">
        <f t="shared" ref="AP1802:AR1802" si="5652">AG1802/$AF1802</f>
        <v>79.96571429</v>
      </c>
      <c r="AQ1802" s="9">
        <f t="shared" si="5652"/>
        <v>44.05619048</v>
      </c>
      <c r="AR1802" s="9">
        <f t="shared" si="5652"/>
        <v>28.65047619</v>
      </c>
      <c r="AS1802" s="9">
        <f t="shared" si="4568"/>
        <v>72.70666667</v>
      </c>
      <c r="AT1802" s="9">
        <f t="shared" ref="AT1802:AV1802" si="5653">AJ1802/$AF1802</f>
        <v>4.711428571</v>
      </c>
      <c r="AU1802" s="9">
        <f t="shared" si="5653"/>
        <v>1.807619048</v>
      </c>
      <c r="AV1802" s="9">
        <f t="shared" si="5653"/>
        <v>0.74</v>
      </c>
      <c r="AW1802" s="9">
        <f t="shared" si="4570"/>
        <v>2.547619048</v>
      </c>
      <c r="AX1802" s="9">
        <f t="shared" ref="AX1802:AY1802" si="5654">AM1802/$AF1802</f>
        <v>0.4380952381</v>
      </c>
      <c r="AY1802" s="9">
        <f t="shared" si="5654"/>
        <v>0.1619047619</v>
      </c>
      <c r="AZ1802" s="9">
        <f>VLOOKUP(A1802,Jogos!A:BN,58,0)</f>
        <v>33.19</v>
      </c>
      <c r="BA1802" s="9">
        <f>VLOOKUP(A1802,Jogos!A:BN,59,0)</f>
        <v>23.67</v>
      </c>
      <c r="BB1802" s="9">
        <f>VLOOKUP(A1802,Jogos!A:BN,60,0)</f>
        <v>57</v>
      </c>
      <c r="BC1802" s="9">
        <f>VLOOKUP(A1802,Jogos!A:BN,61,0)</f>
        <v>36.035</v>
      </c>
      <c r="BD1802" s="9">
        <f>VLOOKUP(A1802,Jogos!A:BN,62,0)</f>
        <v>471.5</v>
      </c>
      <c r="BE1802" s="9">
        <f>VLOOKUP(A1802,Jogos!A:BN,63,0)</f>
        <v>1.99</v>
      </c>
      <c r="BF1802" s="9">
        <f>VLOOKUP(A1802,Jogos!A:BN,64,0)</f>
        <v>26.945</v>
      </c>
      <c r="BG1802" s="9">
        <f>VLOOKUP(A1802,Jogos!A:BN,65,0)</f>
        <v>48.405</v>
      </c>
      <c r="BH1802" s="9">
        <f>VLOOKUP(A1802,Jogos!A:BN,66,0)</f>
        <v>31.86</v>
      </c>
      <c r="BI1802" s="9"/>
      <c r="BJ1802" s="9"/>
    </row>
    <row r="1803" hidden="1">
      <c r="A1803" s="2">
        <v>61.0</v>
      </c>
      <c r="B1803" s="2" t="s">
        <v>1385</v>
      </c>
      <c r="C1803" s="2" t="s">
        <v>1351</v>
      </c>
      <c r="D1803" s="3">
        <v>45846.0</v>
      </c>
      <c r="E1803" s="4">
        <v>0.625</v>
      </c>
      <c r="F1803" s="5" t="str">
        <f>VLOOKUP(A1803,Jogos!A:N,10,0)</f>
        <v>Afternoon</v>
      </c>
      <c r="G1803" s="2" t="s">
        <v>249</v>
      </c>
      <c r="H1803" s="6" t="str">
        <f>VLOOKUP(A1803,Jogos!A:L,12,0)</f>
        <v>Open</v>
      </c>
      <c r="I1803" s="6" t="str">
        <f>VLOOKUP(G1803,'Estádios e Cidades'!A:B,2,0)</f>
        <v>East Rutherford</v>
      </c>
      <c r="J1803" s="2" t="s">
        <v>377</v>
      </c>
      <c r="K1803" s="2" t="str">
        <f>VLOOKUP(J1803,Equipes!A:F,6,0)</f>
        <v>Temperate</v>
      </c>
      <c r="L1803" s="2">
        <f>VLOOKUP(J1803,Equipes!A:C,3,0)</f>
        <v>1</v>
      </c>
      <c r="M1803" s="2" t="str">
        <f t="shared" si="4"/>
        <v>Final</v>
      </c>
      <c r="N1803" s="2" t="s">
        <v>563</v>
      </c>
      <c r="O1803" s="2">
        <f>VLOOKUP(N1803,Equipes!A:C,3,0)</f>
        <v>4</v>
      </c>
      <c r="P1803" s="2" t="str">
        <f t="shared" si="5"/>
        <v>Semi-final</v>
      </c>
      <c r="Q1803" s="2">
        <f t="shared" si="6"/>
        <v>-3</v>
      </c>
      <c r="R1803" s="2" t="str">
        <f>VLOOKUP(J1803,Equipes!A:B,2,0)</f>
        <v>Chelsea</v>
      </c>
      <c r="S1803" s="14" t="s">
        <v>385</v>
      </c>
      <c r="T1803" s="7">
        <v>7.0</v>
      </c>
      <c r="U1803" s="7" t="s">
        <v>386</v>
      </c>
      <c r="V1803" s="7" t="str">
        <f>VLOOKUP(U1803,Jogadores!B:C,2,0)</f>
        <v>FW</v>
      </c>
      <c r="W1803" s="8">
        <f>VLOOKUP(U1803,Jogadores!B:D,3,0)</f>
        <v>25.40273973</v>
      </c>
      <c r="X1803" s="7">
        <v>0.0</v>
      </c>
      <c r="Y1803" s="7">
        <v>68.0</v>
      </c>
      <c r="Z1803" s="7">
        <f>VLOOKUP(A1803,Jogos!A:L,3,0)</f>
        <v>50</v>
      </c>
      <c r="AA1803" s="7">
        <f t="shared" si="4815"/>
        <v>50</v>
      </c>
      <c r="AB1803" s="7">
        <f>VLOOKUP(A1803,Jogos!A:L,4,0)</f>
        <v>55</v>
      </c>
      <c r="AC1803" s="7">
        <f t="shared" si="5062"/>
        <v>23</v>
      </c>
      <c r="AD1803" s="7"/>
      <c r="AE1803" s="7"/>
      <c r="AF1803" s="7">
        <f t="shared" si="4566"/>
        <v>73</v>
      </c>
      <c r="AG1803" s="7">
        <v>6298.6</v>
      </c>
      <c r="AH1803" s="7">
        <v>3023.6</v>
      </c>
      <c r="AI1803" s="7">
        <v>2124.8</v>
      </c>
      <c r="AJ1803" s="7">
        <v>647.5</v>
      </c>
      <c r="AK1803" s="7">
        <v>331.6</v>
      </c>
      <c r="AL1803" s="7">
        <v>171.2</v>
      </c>
      <c r="AM1803" s="7">
        <v>52.0</v>
      </c>
      <c r="AN1803" s="7">
        <v>26.0</v>
      </c>
      <c r="AO1803" s="7">
        <v>32.8</v>
      </c>
      <c r="AP1803" s="9">
        <f t="shared" ref="AP1803:AR1803" si="5655">AG1803/$AF1803</f>
        <v>86.28219178</v>
      </c>
      <c r="AQ1803" s="9">
        <f t="shared" si="5655"/>
        <v>41.41917808</v>
      </c>
      <c r="AR1803" s="9">
        <f t="shared" si="5655"/>
        <v>29.10684932</v>
      </c>
      <c r="AS1803" s="9">
        <f t="shared" si="4568"/>
        <v>70.5260274</v>
      </c>
      <c r="AT1803" s="9">
        <f t="shared" ref="AT1803:AV1803" si="5656">AJ1803/$AF1803</f>
        <v>8.869863014</v>
      </c>
      <c r="AU1803" s="9">
        <f t="shared" si="5656"/>
        <v>4.542465753</v>
      </c>
      <c r="AV1803" s="9">
        <f t="shared" si="5656"/>
        <v>2.345205479</v>
      </c>
      <c r="AW1803" s="9">
        <f t="shared" si="4570"/>
        <v>6.887671233</v>
      </c>
      <c r="AX1803" s="9">
        <f t="shared" ref="AX1803:AY1803" si="5657">AM1803/$AF1803</f>
        <v>0.7123287671</v>
      </c>
      <c r="AY1803" s="9">
        <f t="shared" si="5657"/>
        <v>0.3561643836</v>
      </c>
      <c r="AZ1803" s="9">
        <f>VLOOKUP(A1803,Jogos!A:BN,58,0)</f>
        <v>33.19</v>
      </c>
      <c r="BA1803" s="9">
        <f>VLOOKUP(A1803,Jogos!A:BN,59,0)</f>
        <v>23.67</v>
      </c>
      <c r="BB1803" s="9">
        <f>VLOOKUP(A1803,Jogos!A:BN,60,0)</f>
        <v>57</v>
      </c>
      <c r="BC1803" s="9">
        <f>VLOOKUP(A1803,Jogos!A:BN,61,0)</f>
        <v>36.035</v>
      </c>
      <c r="BD1803" s="9">
        <f>VLOOKUP(A1803,Jogos!A:BN,62,0)</f>
        <v>471.5</v>
      </c>
      <c r="BE1803" s="9">
        <f>VLOOKUP(A1803,Jogos!A:BN,63,0)</f>
        <v>1.99</v>
      </c>
      <c r="BF1803" s="9">
        <f>VLOOKUP(A1803,Jogos!A:BN,64,0)</f>
        <v>26.945</v>
      </c>
      <c r="BG1803" s="9">
        <f>VLOOKUP(A1803,Jogos!A:BN,65,0)</f>
        <v>48.405</v>
      </c>
      <c r="BH1803" s="9">
        <f>VLOOKUP(A1803,Jogos!A:BN,66,0)</f>
        <v>31.86</v>
      </c>
      <c r="BI1803" s="9"/>
      <c r="BJ1803" s="9"/>
    </row>
    <row r="1804" hidden="1">
      <c r="A1804" s="2">
        <v>61.0</v>
      </c>
      <c r="B1804" s="2" t="s">
        <v>1385</v>
      </c>
      <c r="C1804" s="2" t="s">
        <v>1351</v>
      </c>
      <c r="D1804" s="3">
        <v>45846.0</v>
      </c>
      <c r="E1804" s="4">
        <v>0.625</v>
      </c>
      <c r="F1804" s="5" t="str">
        <f>VLOOKUP(A1804,Jogos!A:N,10,0)</f>
        <v>Afternoon</v>
      </c>
      <c r="G1804" s="2" t="s">
        <v>249</v>
      </c>
      <c r="H1804" s="6" t="str">
        <f>VLOOKUP(A1804,Jogos!A:L,12,0)</f>
        <v>Open</v>
      </c>
      <c r="I1804" s="6" t="str">
        <f>VLOOKUP(G1804,'Estádios e Cidades'!A:B,2,0)</f>
        <v>East Rutherford</v>
      </c>
      <c r="J1804" s="2" t="s">
        <v>377</v>
      </c>
      <c r="K1804" s="2" t="str">
        <f>VLOOKUP(J1804,Equipes!A:F,6,0)</f>
        <v>Temperate</v>
      </c>
      <c r="L1804" s="2">
        <f>VLOOKUP(J1804,Equipes!A:C,3,0)</f>
        <v>1</v>
      </c>
      <c r="M1804" s="2" t="str">
        <f t="shared" si="4"/>
        <v>Final</v>
      </c>
      <c r="N1804" s="2" t="s">
        <v>563</v>
      </c>
      <c r="O1804" s="2">
        <f>VLOOKUP(N1804,Equipes!A:C,3,0)</f>
        <v>4</v>
      </c>
      <c r="P1804" s="2" t="str">
        <f t="shared" si="5"/>
        <v>Semi-final</v>
      </c>
      <c r="Q1804" s="2">
        <f t="shared" si="6"/>
        <v>-3</v>
      </c>
      <c r="R1804" s="2" t="str">
        <f>VLOOKUP(J1804,Equipes!A:B,2,0)</f>
        <v>Chelsea</v>
      </c>
      <c r="S1804" s="14" t="s">
        <v>399</v>
      </c>
      <c r="T1804" s="7">
        <v>8.0</v>
      </c>
      <c r="U1804" s="7" t="s">
        <v>400</v>
      </c>
      <c r="V1804" s="7" t="str">
        <f>VLOOKUP(U1804,Jogadores!B:C,2,0)</f>
        <v>MF</v>
      </c>
      <c r="W1804" s="8">
        <f>VLOOKUP(U1804,Jogadores!B:D,3,0)</f>
        <v>24.54246575</v>
      </c>
      <c r="X1804" s="7">
        <v>0.0</v>
      </c>
      <c r="Y1804" s="7">
        <v>86.0</v>
      </c>
      <c r="Z1804" s="7">
        <f>VLOOKUP(A1804,Jogos!A:L,3,0)</f>
        <v>50</v>
      </c>
      <c r="AA1804" s="7">
        <f t="shared" si="4815"/>
        <v>50</v>
      </c>
      <c r="AB1804" s="7">
        <f>VLOOKUP(A1804,Jogos!A:L,4,0)</f>
        <v>55</v>
      </c>
      <c r="AC1804" s="7">
        <f t="shared" si="5062"/>
        <v>41</v>
      </c>
      <c r="AD1804" s="7"/>
      <c r="AE1804" s="7"/>
      <c r="AF1804" s="7">
        <f t="shared" si="4566"/>
        <v>91</v>
      </c>
      <c r="AG1804" s="7">
        <v>9375.0</v>
      </c>
      <c r="AH1804" s="7">
        <v>3850.8</v>
      </c>
      <c r="AI1804" s="7">
        <v>3333.6</v>
      </c>
      <c r="AJ1804" s="7">
        <v>1410.1</v>
      </c>
      <c r="AK1804" s="7">
        <v>614.6</v>
      </c>
      <c r="AL1804" s="7">
        <v>165.9</v>
      </c>
      <c r="AM1804" s="7">
        <v>115.0</v>
      </c>
      <c r="AN1804" s="7">
        <v>44.0</v>
      </c>
      <c r="AO1804" s="7">
        <v>30.4</v>
      </c>
      <c r="AP1804" s="9">
        <f t="shared" ref="AP1804:AR1804" si="5658">AG1804/$AF1804</f>
        <v>103.021978</v>
      </c>
      <c r="AQ1804" s="9">
        <f t="shared" si="5658"/>
        <v>42.31648352</v>
      </c>
      <c r="AR1804" s="9">
        <f t="shared" si="5658"/>
        <v>36.63296703</v>
      </c>
      <c r="AS1804" s="9">
        <f t="shared" si="4568"/>
        <v>78.94945055</v>
      </c>
      <c r="AT1804" s="9">
        <f t="shared" ref="AT1804:AV1804" si="5659">AJ1804/$AF1804</f>
        <v>15.4956044</v>
      </c>
      <c r="AU1804" s="9">
        <f t="shared" si="5659"/>
        <v>6.753846154</v>
      </c>
      <c r="AV1804" s="9">
        <f t="shared" si="5659"/>
        <v>1.823076923</v>
      </c>
      <c r="AW1804" s="9">
        <f t="shared" si="4570"/>
        <v>8.576923077</v>
      </c>
      <c r="AX1804" s="9">
        <f t="shared" ref="AX1804:AY1804" si="5660">AM1804/$AF1804</f>
        <v>1.263736264</v>
      </c>
      <c r="AY1804" s="9">
        <f t="shared" si="5660"/>
        <v>0.4835164835</v>
      </c>
      <c r="AZ1804" s="9">
        <f>VLOOKUP(A1804,Jogos!A:BN,58,0)</f>
        <v>33.19</v>
      </c>
      <c r="BA1804" s="9">
        <f>VLOOKUP(A1804,Jogos!A:BN,59,0)</f>
        <v>23.67</v>
      </c>
      <c r="BB1804" s="9">
        <f>VLOOKUP(A1804,Jogos!A:BN,60,0)</f>
        <v>57</v>
      </c>
      <c r="BC1804" s="9">
        <f>VLOOKUP(A1804,Jogos!A:BN,61,0)</f>
        <v>36.035</v>
      </c>
      <c r="BD1804" s="9">
        <f>VLOOKUP(A1804,Jogos!A:BN,62,0)</f>
        <v>471.5</v>
      </c>
      <c r="BE1804" s="9">
        <f>VLOOKUP(A1804,Jogos!A:BN,63,0)</f>
        <v>1.99</v>
      </c>
      <c r="BF1804" s="9">
        <f>VLOOKUP(A1804,Jogos!A:BN,64,0)</f>
        <v>26.945</v>
      </c>
      <c r="BG1804" s="9">
        <f>VLOOKUP(A1804,Jogos!A:BN,65,0)</f>
        <v>48.405</v>
      </c>
      <c r="BH1804" s="9">
        <f>VLOOKUP(A1804,Jogos!A:BN,66,0)</f>
        <v>31.86</v>
      </c>
      <c r="BI1804" s="9"/>
      <c r="BJ1804" s="9"/>
    </row>
    <row r="1805" hidden="1">
      <c r="A1805" s="2">
        <v>61.0</v>
      </c>
      <c r="B1805" s="2" t="s">
        <v>1385</v>
      </c>
      <c r="C1805" s="2" t="s">
        <v>1351</v>
      </c>
      <c r="D1805" s="3">
        <v>45846.0</v>
      </c>
      <c r="E1805" s="4">
        <v>0.625</v>
      </c>
      <c r="F1805" s="5" t="str">
        <f>VLOOKUP(A1805,Jogos!A:N,10,0)</f>
        <v>Afternoon</v>
      </c>
      <c r="G1805" s="2" t="s">
        <v>249</v>
      </c>
      <c r="H1805" s="6" t="str">
        <f>VLOOKUP(A1805,Jogos!A:L,12,0)</f>
        <v>Open</v>
      </c>
      <c r="I1805" s="6" t="str">
        <f>VLOOKUP(G1805,'Estádios e Cidades'!A:B,2,0)</f>
        <v>East Rutherford</v>
      </c>
      <c r="J1805" s="2" t="s">
        <v>377</v>
      </c>
      <c r="K1805" s="2" t="str">
        <f>VLOOKUP(J1805,Equipes!A:F,6,0)</f>
        <v>Temperate</v>
      </c>
      <c r="L1805" s="2">
        <f>VLOOKUP(J1805,Equipes!A:C,3,0)</f>
        <v>1</v>
      </c>
      <c r="M1805" s="2" t="str">
        <f t="shared" si="4"/>
        <v>Final</v>
      </c>
      <c r="N1805" s="2" t="s">
        <v>563</v>
      </c>
      <c r="O1805" s="2">
        <f>VLOOKUP(N1805,Equipes!A:C,3,0)</f>
        <v>4</v>
      </c>
      <c r="P1805" s="2" t="str">
        <f t="shared" si="5"/>
        <v>Semi-final</v>
      </c>
      <c r="Q1805" s="2">
        <f t="shared" si="6"/>
        <v>-3</v>
      </c>
      <c r="R1805" s="2" t="str">
        <f>VLOOKUP(J1805,Equipes!A:B,2,0)</f>
        <v>Chelsea</v>
      </c>
      <c r="S1805" s="14" t="s">
        <v>387</v>
      </c>
      <c r="T1805" s="7">
        <v>10.0</v>
      </c>
      <c r="U1805" s="7" t="s">
        <v>388</v>
      </c>
      <c r="V1805" s="7" t="str">
        <f>VLOOKUP(U1805,Jogadores!B:C,2,0)</f>
        <v>MF</v>
      </c>
      <c r="W1805" s="8">
        <f>VLOOKUP(U1805,Jogadores!B:D,3,0)</f>
        <v>23.24383562</v>
      </c>
      <c r="X1805" s="7">
        <v>0.0</v>
      </c>
      <c r="Y1805" s="7">
        <f>45+AB1805</f>
        <v>100</v>
      </c>
      <c r="Z1805" s="7">
        <f>VLOOKUP(A1805,Jogos!A:L,3,0)</f>
        <v>50</v>
      </c>
      <c r="AA1805" s="7">
        <f t="shared" si="4815"/>
        <v>50</v>
      </c>
      <c r="AB1805" s="7">
        <f>VLOOKUP(A1805,Jogos!A:L,4,0)</f>
        <v>55</v>
      </c>
      <c r="AC1805" s="7">
        <f t="shared" si="5062"/>
        <v>55</v>
      </c>
      <c r="AD1805" s="7"/>
      <c r="AE1805" s="7"/>
      <c r="AF1805" s="7">
        <f t="shared" si="4566"/>
        <v>105</v>
      </c>
      <c r="AG1805" s="7">
        <v>9713.3</v>
      </c>
      <c r="AH1805" s="7">
        <v>4922.5</v>
      </c>
      <c r="AI1805" s="7">
        <v>3396.8</v>
      </c>
      <c r="AJ1805" s="7">
        <v>862.4</v>
      </c>
      <c r="AK1805" s="7">
        <v>368.9</v>
      </c>
      <c r="AL1805" s="7">
        <v>162.6</v>
      </c>
      <c r="AM1805" s="7">
        <v>71.0</v>
      </c>
      <c r="AN1805" s="7">
        <v>29.0</v>
      </c>
      <c r="AO1805" s="7">
        <v>31.0</v>
      </c>
      <c r="AP1805" s="9">
        <f t="shared" ref="AP1805:AR1805" si="5661">AG1805/$AF1805</f>
        <v>92.50761905</v>
      </c>
      <c r="AQ1805" s="9">
        <f t="shared" si="5661"/>
        <v>46.88095238</v>
      </c>
      <c r="AR1805" s="9">
        <f t="shared" si="5661"/>
        <v>32.35047619</v>
      </c>
      <c r="AS1805" s="9">
        <f t="shared" si="4568"/>
        <v>79.23142857</v>
      </c>
      <c r="AT1805" s="9">
        <f t="shared" ref="AT1805:AV1805" si="5662">AJ1805/$AF1805</f>
        <v>8.213333333</v>
      </c>
      <c r="AU1805" s="9">
        <f t="shared" si="5662"/>
        <v>3.513333333</v>
      </c>
      <c r="AV1805" s="9">
        <f t="shared" si="5662"/>
        <v>1.548571429</v>
      </c>
      <c r="AW1805" s="9">
        <f t="shared" si="4570"/>
        <v>5.061904762</v>
      </c>
      <c r="AX1805" s="9">
        <f t="shared" ref="AX1805:AY1805" si="5663">AM1805/$AF1805</f>
        <v>0.6761904762</v>
      </c>
      <c r="AY1805" s="9">
        <f t="shared" si="5663"/>
        <v>0.2761904762</v>
      </c>
      <c r="AZ1805" s="9">
        <f>VLOOKUP(A1805,Jogos!A:BN,58,0)</f>
        <v>33.19</v>
      </c>
      <c r="BA1805" s="9">
        <f>VLOOKUP(A1805,Jogos!A:BN,59,0)</f>
        <v>23.67</v>
      </c>
      <c r="BB1805" s="9">
        <f>VLOOKUP(A1805,Jogos!A:BN,60,0)</f>
        <v>57</v>
      </c>
      <c r="BC1805" s="9">
        <f>VLOOKUP(A1805,Jogos!A:BN,61,0)</f>
        <v>36.035</v>
      </c>
      <c r="BD1805" s="9">
        <f>VLOOKUP(A1805,Jogos!A:BN,62,0)</f>
        <v>471.5</v>
      </c>
      <c r="BE1805" s="9">
        <f>VLOOKUP(A1805,Jogos!A:BN,63,0)</f>
        <v>1.99</v>
      </c>
      <c r="BF1805" s="9">
        <f>VLOOKUP(A1805,Jogos!A:BN,64,0)</f>
        <v>26.945</v>
      </c>
      <c r="BG1805" s="9">
        <f>VLOOKUP(A1805,Jogos!A:BN,65,0)</f>
        <v>48.405</v>
      </c>
      <c r="BH1805" s="9">
        <f>VLOOKUP(A1805,Jogos!A:BN,66,0)</f>
        <v>31.86</v>
      </c>
      <c r="BI1805" s="9"/>
      <c r="BJ1805" s="9"/>
    </row>
    <row r="1806" hidden="1">
      <c r="A1806" s="2">
        <v>61.0</v>
      </c>
      <c r="B1806" s="2" t="s">
        <v>1385</v>
      </c>
      <c r="C1806" s="2" t="s">
        <v>1351</v>
      </c>
      <c r="D1806" s="3">
        <v>45846.0</v>
      </c>
      <c r="E1806" s="4">
        <v>0.625</v>
      </c>
      <c r="F1806" s="5" t="str">
        <f>VLOOKUP(A1806,Jogos!A:N,10,0)</f>
        <v>Afternoon</v>
      </c>
      <c r="G1806" s="2" t="s">
        <v>249</v>
      </c>
      <c r="H1806" s="6" t="str">
        <f>VLOOKUP(A1806,Jogos!A:L,12,0)</f>
        <v>Open</v>
      </c>
      <c r="I1806" s="6" t="str">
        <f>VLOOKUP(G1806,'Estádios e Cidades'!A:B,2,0)</f>
        <v>East Rutherford</v>
      </c>
      <c r="J1806" s="2" t="s">
        <v>377</v>
      </c>
      <c r="K1806" s="2" t="str">
        <f>VLOOKUP(J1806,Equipes!A:F,6,0)</f>
        <v>Temperate</v>
      </c>
      <c r="L1806" s="2">
        <f>VLOOKUP(J1806,Equipes!A:C,3,0)</f>
        <v>1</v>
      </c>
      <c r="M1806" s="2" t="str">
        <f t="shared" si="4"/>
        <v>Final</v>
      </c>
      <c r="N1806" s="2" t="s">
        <v>563</v>
      </c>
      <c r="O1806" s="2">
        <f>VLOOKUP(N1806,Equipes!A:C,3,0)</f>
        <v>4</v>
      </c>
      <c r="P1806" s="2" t="str">
        <f t="shared" si="5"/>
        <v>Semi-final</v>
      </c>
      <c r="Q1806" s="2">
        <f t="shared" si="6"/>
        <v>-3</v>
      </c>
      <c r="R1806" s="2" t="str">
        <f>VLOOKUP(J1806,Equipes!A:B,2,0)</f>
        <v>Chelsea</v>
      </c>
      <c r="S1806" s="14" t="s">
        <v>405</v>
      </c>
      <c r="T1806" s="7">
        <v>18.0</v>
      </c>
      <c r="U1806" s="7" t="s">
        <v>406</v>
      </c>
      <c r="V1806" s="7" t="str">
        <f>VLOOKUP(U1806,Jogadores!B:C,2,0)</f>
        <v>FW</v>
      </c>
      <c r="W1806" s="8">
        <f>VLOOKUP(U1806,Jogadores!B:D,3,0)</f>
        <v>27.72054795</v>
      </c>
      <c r="X1806" s="7">
        <v>0.0</v>
      </c>
      <c r="Y1806" s="7">
        <v>86.0</v>
      </c>
      <c r="Z1806" s="7">
        <f>VLOOKUP(A1806,Jogos!A:L,3,0)</f>
        <v>50</v>
      </c>
      <c r="AA1806" s="7">
        <f t="shared" si="4815"/>
        <v>50</v>
      </c>
      <c r="AB1806" s="7">
        <f>VLOOKUP(A1806,Jogos!A:L,4,0)</f>
        <v>55</v>
      </c>
      <c r="AC1806" s="7">
        <f t="shared" si="5062"/>
        <v>41</v>
      </c>
      <c r="AD1806" s="7"/>
      <c r="AE1806" s="7"/>
      <c r="AF1806" s="7">
        <f t="shared" si="4566"/>
        <v>91</v>
      </c>
      <c r="AG1806" s="7">
        <v>8585.9</v>
      </c>
      <c r="AH1806" s="7">
        <v>3493.7</v>
      </c>
      <c r="AI1806" s="7">
        <v>3343.9</v>
      </c>
      <c r="AJ1806" s="7">
        <v>1138.7</v>
      </c>
      <c r="AK1806" s="7">
        <v>396.8</v>
      </c>
      <c r="AL1806" s="7">
        <v>212.8</v>
      </c>
      <c r="AM1806" s="7">
        <v>95.0</v>
      </c>
      <c r="AN1806" s="7">
        <v>32.0</v>
      </c>
      <c r="AO1806" s="7">
        <v>32.2</v>
      </c>
      <c r="AP1806" s="9">
        <f t="shared" ref="AP1806:AR1806" si="5664">AG1806/$AF1806</f>
        <v>94.35054945</v>
      </c>
      <c r="AQ1806" s="9">
        <f t="shared" si="5664"/>
        <v>38.39230769</v>
      </c>
      <c r="AR1806" s="9">
        <f t="shared" si="5664"/>
        <v>36.74615385</v>
      </c>
      <c r="AS1806" s="9">
        <f t="shared" si="4568"/>
        <v>75.13846154</v>
      </c>
      <c r="AT1806" s="9">
        <f t="shared" ref="AT1806:AV1806" si="5665">AJ1806/$AF1806</f>
        <v>12.51318681</v>
      </c>
      <c r="AU1806" s="9">
        <f t="shared" si="5665"/>
        <v>4.36043956</v>
      </c>
      <c r="AV1806" s="9">
        <f t="shared" si="5665"/>
        <v>2.338461538</v>
      </c>
      <c r="AW1806" s="9">
        <f t="shared" si="4570"/>
        <v>6.698901099</v>
      </c>
      <c r="AX1806" s="9">
        <f t="shared" ref="AX1806:AY1806" si="5666">AM1806/$AF1806</f>
        <v>1.043956044</v>
      </c>
      <c r="AY1806" s="9">
        <f t="shared" si="5666"/>
        <v>0.3516483516</v>
      </c>
      <c r="AZ1806" s="9">
        <f>VLOOKUP(A1806,Jogos!A:BN,58,0)</f>
        <v>33.19</v>
      </c>
      <c r="BA1806" s="9">
        <f>VLOOKUP(A1806,Jogos!A:BN,59,0)</f>
        <v>23.67</v>
      </c>
      <c r="BB1806" s="9">
        <f>VLOOKUP(A1806,Jogos!A:BN,60,0)</f>
        <v>57</v>
      </c>
      <c r="BC1806" s="9">
        <f>VLOOKUP(A1806,Jogos!A:BN,61,0)</f>
        <v>36.035</v>
      </c>
      <c r="BD1806" s="9">
        <f>VLOOKUP(A1806,Jogos!A:BN,62,0)</f>
        <v>471.5</v>
      </c>
      <c r="BE1806" s="9">
        <f>VLOOKUP(A1806,Jogos!A:BN,63,0)</f>
        <v>1.99</v>
      </c>
      <c r="BF1806" s="9">
        <f>VLOOKUP(A1806,Jogos!A:BN,64,0)</f>
        <v>26.945</v>
      </c>
      <c r="BG1806" s="9">
        <f>VLOOKUP(A1806,Jogos!A:BN,65,0)</f>
        <v>48.405</v>
      </c>
      <c r="BH1806" s="9">
        <f>VLOOKUP(A1806,Jogos!A:BN,66,0)</f>
        <v>31.86</v>
      </c>
      <c r="BI1806" s="9"/>
      <c r="BJ1806" s="9"/>
    </row>
    <row r="1807" hidden="1">
      <c r="A1807" s="2">
        <v>61.0</v>
      </c>
      <c r="B1807" s="2" t="s">
        <v>1385</v>
      </c>
      <c r="C1807" s="2" t="s">
        <v>1351</v>
      </c>
      <c r="D1807" s="3">
        <v>45846.0</v>
      </c>
      <c r="E1807" s="4">
        <v>0.625</v>
      </c>
      <c r="F1807" s="5" t="str">
        <f>VLOOKUP(A1807,Jogos!A:N,10,0)</f>
        <v>Afternoon</v>
      </c>
      <c r="G1807" s="2" t="s">
        <v>249</v>
      </c>
      <c r="H1807" s="6" t="str">
        <f>VLOOKUP(A1807,Jogos!A:L,12,0)</f>
        <v>Open</v>
      </c>
      <c r="I1807" s="6" t="str">
        <f>VLOOKUP(G1807,'Estádios e Cidades'!A:B,2,0)</f>
        <v>East Rutherford</v>
      </c>
      <c r="J1807" s="2" t="s">
        <v>377</v>
      </c>
      <c r="K1807" s="2" t="str">
        <f>VLOOKUP(J1807,Equipes!A:F,6,0)</f>
        <v>Temperate</v>
      </c>
      <c r="L1807" s="2">
        <f>VLOOKUP(J1807,Equipes!A:C,3,0)</f>
        <v>1</v>
      </c>
      <c r="M1807" s="2" t="str">
        <f t="shared" si="4"/>
        <v>Final</v>
      </c>
      <c r="N1807" s="2" t="s">
        <v>563</v>
      </c>
      <c r="O1807" s="2">
        <f>VLOOKUP(N1807,Equipes!A:C,3,0)</f>
        <v>4</v>
      </c>
      <c r="P1807" s="2" t="str">
        <f t="shared" si="5"/>
        <v>Semi-final</v>
      </c>
      <c r="Q1807" s="2">
        <f t="shared" si="6"/>
        <v>-3</v>
      </c>
      <c r="R1807" s="2" t="str">
        <f>VLOOKUP(J1807,Equipes!A:B,2,0)</f>
        <v>Chelsea</v>
      </c>
      <c r="S1807" s="14" t="s">
        <v>1383</v>
      </c>
      <c r="T1807" s="7">
        <v>20.0</v>
      </c>
      <c r="U1807" s="7" t="s">
        <v>1384</v>
      </c>
      <c r="V1807" s="7" t="s">
        <v>1133</v>
      </c>
      <c r="W1807" s="8">
        <f>VLOOKUP(U1807,Jogadores!B:D,3,0)</f>
        <v>23.85205479</v>
      </c>
      <c r="X1807" s="7">
        <v>0.0</v>
      </c>
      <c r="Y1807" s="7">
        <v>60.0</v>
      </c>
      <c r="Z1807" s="7">
        <f>VLOOKUP(A1807,Jogos!A:L,3,0)</f>
        <v>50</v>
      </c>
      <c r="AA1807" s="7">
        <f t="shared" si="4815"/>
        <v>50</v>
      </c>
      <c r="AB1807" s="7">
        <f>VLOOKUP(A1807,Jogos!A:L,4,0)</f>
        <v>55</v>
      </c>
      <c r="AC1807" s="7">
        <f t="shared" si="5062"/>
        <v>15</v>
      </c>
      <c r="AD1807" s="7"/>
      <c r="AE1807" s="7"/>
      <c r="AF1807" s="7">
        <f t="shared" si="4566"/>
        <v>65</v>
      </c>
      <c r="AG1807" s="7">
        <v>6182.0</v>
      </c>
      <c r="AH1807" s="7">
        <v>2802.3</v>
      </c>
      <c r="AI1807" s="7">
        <v>2330.4</v>
      </c>
      <c r="AJ1807" s="7">
        <v>698.6</v>
      </c>
      <c r="AK1807" s="7">
        <v>273.5</v>
      </c>
      <c r="AL1807" s="7">
        <v>77.1</v>
      </c>
      <c r="AM1807" s="7">
        <v>58.0</v>
      </c>
      <c r="AN1807" s="7">
        <v>21.0</v>
      </c>
      <c r="AO1807" s="7">
        <v>31.8</v>
      </c>
      <c r="AP1807" s="9">
        <f t="shared" ref="AP1807:AR1807" si="5667">AG1807/$AF1807</f>
        <v>95.10769231</v>
      </c>
      <c r="AQ1807" s="9">
        <f t="shared" si="5667"/>
        <v>43.11230769</v>
      </c>
      <c r="AR1807" s="9">
        <f t="shared" si="5667"/>
        <v>35.85230769</v>
      </c>
      <c r="AS1807" s="9">
        <f t="shared" si="4568"/>
        <v>78.96461538</v>
      </c>
      <c r="AT1807" s="9">
        <f t="shared" ref="AT1807:AV1807" si="5668">AJ1807/$AF1807</f>
        <v>10.74769231</v>
      </c>
      <c r="AU1807" s="9">
        <f t="shared" si="5668"/>
        <v>4.207692308</v>
      </c>
      <c r="AV1807" s="9">
        <f t="shared" si="5668"/>
        <v>1.186153846</v>
      </c>
      <c r="AW1807" s="9">
        <f t="shared" si="4570"/>
        <v>5.393846154</v>
      </c>
      <c r="AX1807" s="9">
        <f t="shared" ref="AX1807:AY1807" si="5669">AM1807/$AF1807</f>
        <v>0.8923076923</v>
      </c>
      <c r="AY1807" s="9">
        <f t="shared" si="5669"/>
        <v>0.3230769231</v>
      </c>
      <c r="AZ1807" s="9">
        <f>VLOOKUP(A1807,Jogos!A:BN,58,0)</f>
        <v>33.19</v>
      </c>
      <c r="BA1807" s="9">
        <f>VLOOKUP(A1807,Jogos!A:BN,59,0)</f>
        <v>23.67</v>
      </c>
      <c r="BB1807" s="9">
        <f>VLOOKUP(A1807,Jogos!A:BN,60,0)</f>
        <v>57</v>
      </c>
      <c r="BC1807" s="9">
        <f>VLOOKUP(A1807,Jogos!A:BN,61,0)</f>
        <v>36.035</v>
      </c>
      <c r="BD1807" s="9">
        <f>VLOOKUP(A1807,Jogos!A:BN,62,0)</f>
        <v>471.5</v>
      </c>
      <c r="BE1807" s="9">
        <f>VLOOKUP(A1807,Jogos!A:BN,63,0)</f>
        <v>1.99</v>
      </c>
      <c r="BF1807" s="9">
        <f>VLOOKUP(A1807,Jogos!A:BN,64,0)</f>
        <v>26.945</v>
      </c>
      <c r="BG1807" s="9">
        <f>VLOOKUP(A1807,Jogos!A:BN,65,0)</f>
        <v>48.405</v>
      </c>
      <c r="BH1807" s="9">
        <f>VLOOKUP(A1807,Jogos!A:BN,66,0)</f>
        <v>31.86</v>
      </c>
      <c r="BI1807" s="9"/>
      <c r="BJ1807" s="9"/>
    </row>
    <row r="1808" hidden="1">
      <c r="A1808" s="2">
        <v>61.0</v>
      </c>
      <c r="B1808" s="2" t="s">
        <v>1385</v>
      </c>
      <c r="C1808" s="2" t="s">
        <v>1351</v>
      </c>
      <c r="D1808" s="3">
        <v>45846.0</v>
      </c>
      <c r="E1808" s="4">
        <v>0.625</v>
      </c>
      <c r="F1808" s="5" t="str">
        <f>VLOOKUP(A1808,Jogos!A:N,10,0)</f>
        <v>Afternoon</v>
      </c>
      <c r="G1808" s="2" t="s">
        <v>249</v>
      </c>
      <c r="H1808" s="6" t="str">
        <f>VLOOKUP(A1808,Jogos!A:L,12,0)</f>
        <v>Open</v>
      </c>
      <c r="I1808" s="6" t="str">
        <f>VLOOKUP(G1808,'Estádios e Cidades'!A:B,2,0)</f>
        <v>East Rutherford</v>
      </c>
      <c r="J1808" s="2" t="s">
        <v>377</v>
      </c>
      <c r="K1808" s="2" t="str">
        <f>VLOOKUP(J1808,Equipes!A:F,6,0)</f>
        <v>Temperate</v>
      </c>
      <c r="L1808" s="2">
        <f>VLOOKUP(J1808,Equipes!A:C,3,0)</f>
        <v>1</v>
      </c>
      <c r="M1808" s="2" t="str">
        <f t="shared" si="4"/>
        <v>Final</v>
      </c>
      <c r="N1808" s="2" t="s">
        <v>563</v>
      </c>
      <c r="O1808" s="2">
        <f>VLOOKUP(N1808,Equipes!A:C,3,0)</f>
        <v>4</v>
      </c>
      <c r="P1808" s="2" t="str">
        <f t="shared" si="5"/>
        <v>Semi-final</v>
      </c>
      <c r="Q1808" s="2">
        <f t="shared" si="6"/>
        <v>-3</v>
      </c>
      <c r="R1808" s="2" t="str">
        <f>VLOOKUP(J1808,Equipes!A:B,2,0)</f>
        <v>Chelsea</v>
      </c>
      <c r="S1808" s="14" t="s">
        <v>1126</v>
      </c>
      <c r="T1808" s="7">
        <v>23.0</v>
      </c>
      <c r="U1808" s="7" t="s">
        <v>1127</v>
      </c>
      <c r="V1808" s="7" t="str">
        <f>VLOOKUP(U1808,Jogadores!B:C,2,0)</f>
        <v>DF</v>
      </c>
      <c r="W1808" s="8">
        <f>VLOOKUP(U1808,Jogadores!B:D,3,0)</f>
        <v>26.08219178</v>
      </c>
      <c r="X1808" s="7">
        <v>0.0</v>
      </c>
      <c r="Y1808" s="7">
        <f t="shared" ref="Y1808:Y1809" si="5673">45+AB1808</f>
        <v>100</v>
      </c>
      <c r="Z1808" s="7">
        <f>VLOOKUP(A1808,Jogos!A:L,3,0)</f>
        <v>50</v>
      </c>
      <c r="AA1808" s="7">
        <f t="shared" si="4815"/>
        <v>50</v>
      </c>
      <c r="AB1808" s="7">
        <f>VLOOKUP(A1808,Jogos!A:L,4,0)</f>
        <v>55</v>
      </c>
      <c r="AC1808" s="7">
        <f t="shared" si="5062"/>
        <v>55</v>
      </c>
      <c r="AD1808" s="7"/>
      <c r="AE1808" s="7"/>
      <c r="AF1808" s="7">
        <f t="shared" si="4566"/>
        <v>105</v>
      </c>
      <c r="AG1808" s="7">
        <v>9450.9</v>
      </c>
      <c r="AH1808" s="7">
        <v>4818.7</v>
      </c>
      <c r="AI1808" s="7">
        <v>3290.6</v>
      </c>
      <c r="AJ1808" s="7">
        <v>939.2</v>
      </c>
      <c r="AK1808" s="7">
        <v>345.9</v>
      </c>
      <c r="AL1808" s="7">
        <v>56.5</v>
      </c>
      <c r="AM1808" s="7">
        <v>82.0</v>
      </c>
      <c r="AN1808" s="7">
        <v>26.0</v>
      </c>
      <c r="AO1808" s="7">
        <v>29.9</v>
      </c>
      <c r="AP1808" s="9">
        <f t="shared" ref="AP1808:AR1808" si="5670">AG1808/$AF1808</f>
        <v>90.00857143</v>
      </c>
      <c r="AQ1808" s="9">
        <f t="shared" si="5670"/>
        <v>45.89238095</v>
      </c>
      <c r="AR1808" s="9">
        <f t="shared" si="5670"/>
        <v>31.33904762</v>
      </c>
      <c r="AS1808" s="9">
        <f t="shared" si="4568"/>
        <v>77.23142857</v>
      </c>
      <c r="AT1808" s="9">
        <f t="shared" ref="AT1808:AV1808" si="5671">AJ1808/$AF1808</f>
        <v>8.944761905</v>
      </c>
      <c r="AU1808" s="9">
        <f t="shared" si="5671"/>
        <v>3.294285714</v>
      </c>
      <c r="AV1808" s="9">
        <f t="shared" si="5671"/>
        <v>0.5380952381</v>
      </c>
      <c r="AW1808" s="9">
        <f t="shared" si="4570"/>
        <v>3.832380952</v>
      </c>
      <c r="AX1808" s="9">
        <f t="shared" ref="AX1808:AY1808" si="5672">AM1808/$AF1808</f>
        <v>0.780952381</v>
      </c>
      <c r="AY1808" s="9">
        <f t="shared" si="5672"/>
        <v>0.2476190476</v>
      </c>
      <c r="AZ1808" s="9">
        <f>VLOOKUP(A1808,Jogos!A:BN,58,0)</f>
        <v>33.19</v>
      </c>
      <c r="BA1808" s="9">
        <f>VLOOKUP(A1808,Jogos!A:BN,59,0)</f>
        <v>23.67</v>
      </c>
      <c r="BB1808" s="9">
        <f>VLOOKUP(A1808,Jogos!A:BN,60,0)</f>
        <v>57</v>
      </c>
      <c r="BC1808" s="9">
        <f>VLOOKUP(A1808,Jogos!A:BN,61,0)</f>
        <v>36.035</v>
      </c>
      <c r="BD1808" s="9">
        <f>VLOOKUP(A1808,Jogos!A:BN,62,0)</f>
        <v>471.5</v>
      </c>
      <c r="BE1808" s="9">
        <f>VLOOKUP(A1808,Jogos!A:BN,63,0)</f>
        <v>1.99</v>
      </c>
      <c r="BF1808" s="9">
        <f>VLOOKUP(A1808,Jogos!A:BN,64,0)</f>
        <v>26.945</v>
      </c>
      <c r="BG1808" s="9">
        <f>VLOOKUP(A1808,Jogos!A:BN,65,0)</f>
        <v>48.405</v>
      </c>
      <c r="BH1808" s="9">
        <f>VLOOKUP(A1808,Jogos!A:BN,66,0)</f>
        <v>31.86</v>
      </c>
      <c r="BI1808" s="9"/>
      <c r="BJ1808" s="9"/>
    </row>
    <row r="1809" hidden="1">
      <c r="A1809" s="2">
        <v>61.0</v>
      </c>
      <c r="B1809" s="2" t="s">
        <v>1385</v>
      </c>
      <c r="C1809" s="2" t="s">
        <v>1351</v>
      </c>
      <c r="D1809" s="3">
        <v>45846.0</v>
      </c>
      <c r="E1809" s="4">
        <v>0.625</v>
      </c>
      <c r="F1809" s="5" t="str">
        <f>VLOOKUP(A1809,Jogos!A:N,10,0)</f>
        <v>Afternoon</v>
      </c>
      <c r="G1809" s="2" t="s">
        <v>249</v>
      </c>
      <c r="H1809" s="6" t="str">
        <f>VLOOKUP(A1809,Jogos!A:L,12,0)</f>
        <v>Open</v>
      </c>
      <c r="I1809" s="6" t="str">
        <f>VLOOKUP(G1809,'Estádios e Cidades'!A:B,2,0)</f>
        <v>East Rutherford</v>
      </c>
      <c r="J1809" s="2" t="s">
        <v>377</v>
      </c>
      <c r="K1809" s="2" t="str">
        <f>VLOOKUP(J1809,Equipes!A:F,6,0)</f>
        <v>Temperate</v>
      </c>
      <c r="L1809" s="2">
        <f>VLOOKUP(J1809,Equipes!A:C,3,0)</f>
        <v>1</v>
      </c>
      <c r="M1809" s="2" t="str">
        <f t="shared" si="4"/>
        <v>Final</v>
      </c>
      <c r="N1809" s="2" t="s">
        <v>563</v>
      </c>
      <c r="O1809" s="2">
        <f>VLOOKUP(N1809,Equipes!A:C,3,0)</f>
        <v>4</v>
      </c>
      <c r="P1809" s="2" t="str">
        <f t="shared" si="5"/>
        <v>Semi-final</v>
      </c>
      <c r="Q1809" s="2">
        <f t="shared" si="6"/>
        <v>-3</v>
      </c>
      <c r="R1809" s="2" t="str">
        <f>VLOOKUP(J1809,Equipes!A:B,2,0)</f>
        <v>Chelsea</v>
      </c>
      <c r="S1809" s="14" t="s">
        <v>395</v>
      </c>
      <c r="T1809" s="7">
        <v>25.0</v>
      </c>
      <c r="U1809" s="7" t="s">
        <v>396</v>
      </c>
      <c r="V1809" s="7" t="str">
        <f>VLOOKUP(U1809,Jogadores!B:C,2,0)</f>
        <v>MF</v>
      </c>
      <c r="W1809" s="8">
        <f>VLOOKUP(U1809,Jogadores!B:D,3,0)</f>
        <v>23.75068493</v>
      </c>
      <c r="X1809" s="7">
        <v>0.0</v>
      </c>
      <c r="Y1809" s="7">
        <f t="shared" si="5673"/>
        <v>100</v>
      </c>
      <c r="Z1809" s="7">
        <f>VLOOKUP(A1809,Jogos!A:L,3,0)</f>
        <v>50</v>
      </c>
      <c r="AA1809" s="7">
        <f t="shared" si="4815"/>
        <v>50</v>
      </c>
      <c r="AB1809" s="7">
        <f>VLOOKUP(A1809,Jogos!A:L,4,0)</f>
        <v>55</v>
      </c>
      <c r="AC1809" s="7">
        <f t="shared" si="5062"/>
        <v>55</v>
      </c>
      <c r="AD1809" s="7"/>
      <c r="AE1809" s="7"/>
      <c r="AF1809" s="7">
        <f t="shared" si="4566"/>
        <v>105</v>
      </c>
      <c r="AG1809" s="7">
        <v>9294.5</v>
      </c>
      <c r="AH1809" s="7">
        <v>4112.1</v>
      </c>
      <c r="AI1809" s="7">
        <v>3658.3</v>
      </c>
      <c r="AJ1809" s="7">
        <v>1048.2</v>
      </c>
      <c r="AK1809" s="7">
        <v>369.9</v>
      </c>
      <c r="AL1809" s="7">
        <v>106.0</v>
      </c>
      <c r="AM1809" s="7">
        <v>85.0</v>
      </c>
      <c r="AN1809" s="7">
        <v>34.0</v>
      </c>
      <c r="AO1809" s="7">
        <v>29.5</v>
      </c>
      <c r="AP1809" s="9">
        <f t="shared" ref="AP1809:AR1809" si="5674">AG1809/$AF1809</f>
        <v>88.51904762</v>
      </c>
      <c r="AQ1809" s="9">
        <f t="shared" si="5674"/>
        <v>39.16285714</v>
      </c>
      <c r="AR1809" s="9">
        <f t="shared" si="5674"/>
        <v>34.84095238</v>
      </c>
      <c r="AS1809" s="9">
        <f t="shared" si="4568"/>
        <v>74.00380952</v>
      </c>
      <c r="AT1809" s="9">
        <f t="shared" ref="AT1809:AV1809" si="5675">AJ1809/$AF1809</f>
        <v>9.982857143</v>
      </c>
      <c r="AU1809" s="9">
        <f t="shared" si="5675"/>
        <v>3.522857143</v>
      </c>
      <c r="AV1809" s="9">
        <f t="shared" si="5675"/>
        <v>1.00952381</v>
      </c>
      <c r="AW1809" s="9">
        <f t="shared" si="4570"/>
        <v>4.532380952</v>
      </c>
      <c r="AX1809" s="9">
        <f t="shared" ref="AX1809:AY1809" si="5676">AM1809/$AF1809</f>
        <v>0.8095238095</v>
      </c>
      <c r="AY1809" s="9">
        <f t="shared" si="5676"/>
        <v>0.3238095238</v>
      </c>
      <c r="AZ1809" s="9">
        <f>VLOOKUP(A1809,Jogos!A:BN,58,0)</f>
        <v>33.19</v>
      </c>
      <c r="BA1809" s="9">
        <f>VLOOKUP(A1809,Jogos!A:BN,59,0)</f>
        <v>23.67</v>
      </c>
      <c r="BB1809" s="9">
        <f>VLOOKUP(A1809,Jogos!A:BN,60,0)</f>
        <v>57</v>
      </c>
      <c r="BC1809" s="9">
        <f>VLOOKUP(A1809,Jogos!A:BN,61,0)</f>
        <v>36.035</v>
      </c>
      <c r="BD1809" s="9">
        <f>VLOOKUP(A1809,Jogos!A:BN,62,0)</f>
        <v>471.5</v>
      </c>
      <c r="BE1809" s="9">
        <f>VLOOKUP(A1809,Jogos!A:BN,63,0)</f>
        <v>1.99</v>
      </c>
      <c r="BF1809" s="9">
        <f>VLOOKUP(A1809,Jogos!A:BN,64,0)</f>
        <v>26.945</v>
      </c>
      <c r="BG1809" s="9">
        <f>VLOOKUP(A1809,Jogos!A:BN,65,0)</f>
        <v>48.405</v>
      </c>
      <c r="BH1809" s="9">
        <f>VLOOKUP(A1809,Jogos!A:BN,66,0)</f>
        <v>31.86</v>
      </c>
      <c r="BI1809" s="9"/>
      <c r="BJ1809" s="9"/>
    </row>
    <row r="1810" hidden="1">
      <c r="A1810" s="2">
        <v>61.0</v>
      </c>
      <c r="B1810" s="2" t="s">
        <v>1385</v>
      </c>
      <c r="C1810" s="2" t="s">
        <v>1351</v>
      </c>
      <c r="D1810" s="3">
        <v>45846.0</v>
      </c>
      <c r="E1810" s="4">
        <v>0.625</v>
      </c>
      <c r="F1810" s="5" t="str">
        <f>VLOOKUP(A1810,Jogos!A:N,10,0)</f>
        <v>Afternoon</v>
      </c>
      <c r="G1810" s="2" t="s">
        <v>249</v>
      </c>
      <c r="H1810" s="6" t="str">
        <f>VLOOKUP(A1810,Jogos!A:L,12,0)</f>
        <v>Open</v>
      </c>
      <c r="I1810" s="6" t="str">
        <f>VLOOKUP(G1810,'Estádios e Cidades'!A:B,2,0)</f>
        <v>East Rutherford</v>
      </c>
      <c r="J1810" s="2" t="s">
        <v>377</v>
      </c>
      <c r="K1810" s="2" t="str">
        <f>VLOOKUP(J1810,Equipes!A:F,6,0)</f>
        <v>Temperate</v>
      </c>
      <c r="L1810" s="2">
        <f>VLOOKUP(J1810,Equipes!A:C,3,0)</f>
        <v>1</v>
      </c>
      <c r="M1810" s="2" t="str">
        <f t="shared" si="4"/>
        <v>Final</v>
      </c>
      <c r="N1810" s="2" t="s">
        <v>563</v>
      </c>
      <c r="O1810" s="2">
        <f>VLOOKUP(N1810,Equipes!A:C,3,0)</f>
        <v>4</v>
      </c>
      <c r="P1810" s="2" t="str">
        <f t="shared" si="5"/>
        <v>Semi-final</v>
      </c>
      <c r="Q1810" s="2">
        <f t="shared" si="6"/>
        <v>-3</v>
      </c>
      <c r="R1810" s="2" t="str">
        <f>VLOOKUP(J1810,Equipes!A:B,2,0)</f>
        <v>Chelsea</v>
      </c>
      <c r="S1810" s="14" t="s">
        <v>407</v>
      </c>
      <c r="T1810" s="7">
        <v>27.0</v>
      </c>
      <c r="U1810" s="7" t="s">
        <v>408</v>
      </c>
      <c r="V1810" s="7" t="str">
        <f>VLOOKUP(U1810,Jogadores!B:C,2,0)</f>
        <v>DF</v>
      </c>
      <c r="W1810" s="8">
        <f>VLOOKUP(U1810,Jogadores!B:D,3,0)</f>
        <v>22.20821918</v>
      </c>
      <c r="X1810" s="7">
        <v>0.0</v>
      </c>
      <c r="Y1810" s="7">
        <v>68.0</v>
      </c>
      <c r="Z1810" s="7">
        <f>VLOOKUP(A1810,Jogos!A:L,3,0)</f>
        <v>50</v>
      </c>
      <c r="AA1810" s="7">
        <f t="shared" si="4815"/>
        <v>50</v>
      </c>
      <c r="AB1810" s="7">
        <f>VLOOKUP(A1810,Jogos!A:L,4,0)</f>
        <v>55</v>
      </c>
      <c r="AC1810" s="7">
        <f t="shared" si="5062"/>
        <v>23</v>
      </c>
      <c r="AD1810" s="7"/>
      <c r="AE1810" s="7"/>
      <c r="AF1810" s="7">
        <f t="shared" si="4566"/>
        <v>73</v>
      </c>
      <c r="AG1810" s="7">
        <v>7256.4</v>
      </c>
      <c r="AH1810" s="7">
        <v>3113.5</v>
      </c>
      <c r="AI1810" s="7">
        <v>2604.3</v>
      </c>
      <c r="AJ1810" s="7">
        <v>1021.3</v>
      </c>
      <c r="AK1810" s="7">
        <v>425.6</v>
      </c>
      <c r="AL1810" s="7">
        <v>91.7</v>
      </c>
      <c r="AM1810" s="7">
        <v>97.0</v>
      </c>
      <c r="AN1810" s="7">
        <v>40.0</v>
      </c>
      <c r="AO1810" s="7">
        <v>31.4</v>
      </c>
      <c r="AP1810" s="9">
        <f t="shared" ref="AP1810:AR1810" si="5677">AG1810/$AF1810</f>
        <v>99.40273973</v>
      </c>
      <c r="AQ1810" s="9">
        <f t="shared" si="5677"/>
        <v>42.65068493</v>
      </c>
      <c r="AR1810" s="9">
        <f t="shared" si="5677"/>
        <v>35.67534247</v>
      </c>
      <c r="AS1810" s="9">
        <f t="shared" si="4568"/>
        <v>78.3260274</v>
      </c>
      <c r="AT1810" s="9">
        <f t="shared" ref="AT1810:AV1810" si="5678">AJ1810/$AF1810</f>
        <v>13.99041096</v>
      </c>
      <c r="AU1810" s="9">
        <f t="shared" si="5678"/>
        <v>5.830136986</v>
      </c>
      <c r="AV1810" s="9">
        <f t="shared" si="5678"/>
        <v>1.256164384</v>
      </c>
      <c r="AW1810" s="9">
        <f t="shared" si="4570"/>
        <v>7.08630137</v>
      </c>
      <c r="AX1810" s="9">
        <f t="shared" ref="AX1810:AY1810" si="5679">AM1810/$AF1810</f>
        <v>1.328767123</v>
      </c>
      <c r="AY1810" s="9">
        <f t="shared" si="5679"/>
        <v>0.5479452055</v>
      </c>
      <c r="AZ1810" s="9">
        <f>VLOOKUP(A1810,Jogos!A:BN,58,0)</f>
        <v>33.19</v>
      </c>
      <c r="BA1810" s="9">
        <f>VLOOKUP(A1810,Jogos!A:BN,59,0)</f>
        <v>23.67</v>
      </c>
      <c r="BB1810" s="9">
        <f>VLOOKUP(A1810,Jogos!A:BN,60,0)</f>
        <v>57</v>
      </c>
      <c r="BC1810" s="9">
        <f>VLOOKUP(A1810,Jogos!A:BN,61,0)</f>
        <v>36.035</v>
      </c>
      <c r="BD1810" s="9">
        <f>VLOOKUP(A1810,Jogos!A:BN,62,0)</f>
        <v>471.5</v>
      </c>
      <c r="BE1810" s="9">
        <f>VLOOKUP(A1810,Jogos!A:BN,63,0)</f>
        <v>1.99</v>
      </c>
      <c r="BF1810" s="9">
        <f>VLOOKUP(A1810,Jogos!A:BN,64,0)</f>
        <v>26.945</v>
      </c>
      <c r="BG1810" s="9">
        <f>VLOOKUP(A1810,Jogos!A:BN,65,0)</f>
        <v>48.405</v>
      </c>
      <c r="BH1810" s="9">
        <f>VLOOKUP(A1810,Jogos!A:BN,66,0)</f>
        <v>31.86</v>
      </c>
      <c r="BI1810" s="9"/>
      <c r="BJ1810" s="9"/>
    </row>
    <row r="1811" hidden="1">
      <c r="A1811" s="2">
        <v>61.0</v>
      </c>
      <c r="B1811" s="2" t="s">
        <v>1385</v>
      </c>
      <c r="C1811" s="2" t="s">
        <v>1351</v>
      </c>
      <c r="D1811" s="3">
        <v>45846.0</v>
      </c>
      <c r="E1811" s="4">
        <v>0.625</v>
      </c>
      <c r="F1811" s="5" t="str">
        <f>VLOOKUP(A1811,Jogos!A:N,10,0)</f>
        <v>Afternoon</v>
      </c>
      <c r="G1811" s="2" t="s">
        <v>249</v>
      </c>
      <c r="H1811" s="6" t="str">
        <f>VLOOKUP(A1811,Jogos!A:L,12,0)</f>
        <v>Open</v>
      </c>
      <c r="I1811" s="6" t="str">
        <f>VLOOKUP(G1811,'Estádios e Cidades'!A:B,2,0)</f>
        <v>East Rutherford</v>
      </c>
      <c r="J1811" s="2" t="s">
        <v>377</v>
      </c>
      <c r="K1811" s="2" t="str">
        <f>VLOOKUP(J1811,Equipes!A:F,6,0)</f>
        <v>Temperate</v>
      </c>
      <c r="L1811" s="2">
        <f>VLOOKUP(J1811,Equipes!A:C,3,0)</f>
        <v>1</v>
      </c>
      <c r="M1811" s="2" t="str">
        <f t="shared" si="4"/>
        <v>Final</v>
      </c>
      <c r="N1811" s="2" t="s">
        <v>563</v>
      </c>
      <c r="O1811" s="2">
        <f>VLOOKUP(N1811,Equipes!A:C,3,0)</f>
        <v>4</v>
      </c>
      <c r="P1811" s="2" t="str">
        <f t="shared" si="5"/>
        <v>Semi-final</v>
      </c>
      <c r="Q1811" s="2">
        <f t="shared" si="6"/>
        <v>-3</v>
      </c>
      <c r="R1811" s="2" t="str">
        <f>VLOOKUP(J1811,Equipes!A:B,2,0)</f>
        <v>Chelsea</v>
      </c>
      <c r="S1811" s="14" t="s">
        <v>389</v>
      </c>
      <c r="T1811" s="7">
        <v>11.0</v>
      </c>
      <c r="U1811" s="7" t="s">
        <v>390</v>
      </c>
      <c r="V1811" s="7" t="str">
        <f>VLOOKUP(U1811,Jogadores!B:C,2,0)</f>
        <v>FW</v>
      </c>
      <c r="W1811" s="8">
        <f>VLOOKUP(U1811,Jogadores!B:D,3,0)</f>
        <v>23.4</v>
      </c>
      <c r="X1811" s="7">
        <v>68.0</v>
      </c>
      <c r="Y1811" s="7">
        <f t="shared" ref="Y1811:Y1818" si="5683">45+AB1811</f>
        <v>100</v>
      </c>
      <c r="Z1811" s="7">
        <f>VLOOKUP(A1811,Jogos!A:L,3,0)</f>
        <v>50</v>
      </c>
      <c r="AA1811" s="7">
        <f t="shared" si="4815"/>
        <v>0</v>
      </c>
      <c r="AB1811" s="7">
        <f>VLOOKUP(A1811,Jogos!A:L,4,0)</f>
        <v>55</v>
      </c>
      <c r="AC1811" s="7">
        <f t="shared" si="5062"/>
        <v>32</v>
      </c>
      <c r="AD1811" s="7"/>
      <c r="AE1811" s="7"/>
      <c r="AF1811" s="7">
        <f t="shared" si="4566"/>
        <v>32</v>
      </c>
      <c r="AG1811" s="7">
        <v>2956.0</v>
      </c>
      <c r="AH1811" s="7">
        <v>1341.4</v>
      </c>
      <c r="AI1811" s="7">
        <v>968.9</v>
      </c>
      <c r="AJ1811" s="7">
        <v>425.3</v>
      </c>
      <c r="AK1811" s="7">
        <v>170.5</v>
      </c>
      <c r="AL1811" s="7">
        <v>50.0</v>
      </c>
      <c r="AM1811" s="7">
        <v>33.0</v>
      </c>
      <c r="AN1811" s="7">
        <v>13.0</v>
      </c>
      <c r="AO1811" s="7">
        <v>33.8</v>
      </c>
      <c r="AP1811" s="9">
        <f t="shared" ref="AP1811:AR1811" si="5680">AG1811/$AF1811</f>
        <v>92.375</v>
      </c>
      <c r="AQ1811" s="9">
        <f t="shared" si="5680"/>
        <v>41.91875</v>
      </c>
      <c r="AR1811" s="9">
        <f t="shared" si="5680"/>
        <v>30.278125</v>
      </c>
      <c r="AS1811" s="9">
        <f t="shared" si="4568"/>
        <v>72.196875</v>
      </c>
      <c r="AT1811" s="9">
        <f t="shared" ref="AT1811:AV1811" si="5681">AJ1811/$AF1811</f>
        <v>13.290625</v>
      </c>
      <c r="AU1811" s="9">
        <f t="shared" si="5681"/>
        <v>5.328125</v>
      </c>
      <c r="AV1811" s="9">
        <f t="shared" si="5681"/>
        <v>1.5625</v>
      </c>
      <c r="AW1811" s="9">
        <f t="shared" si="4570"/>
        <v>6.890625</v>
      </c>
      <c r="AX1811" s="9">
        <f t="shared" ref="AX1811:AY1811" si="5682">AM1811/$AF1811</f>
        <v>1.03125</v>
      </c>
      <c r="AY1811" s="9">
        <f t="shared" si="5682"/>
        <v>0.40625</v>
      </c>
      <c r="AZ1811" s="9">
        <f>VLOOKUP(A1811,Jogos!A:BN,58,0)</f>
        <v>33.19</v>
      </c>
      <c r="BA1811" s="9">
        <f>VLOOKUP(A1811,Jogos!A:BN,59,0)</f>
        <v>23.67</v>
      </c>
      <c r="BB1811" s="9">
        <f>VLOOKUP(A1811,Jogos!A:BN,60,0)</f>
        <v>57</v>
      </c>
      <c r="BC1811" s="9">
        <f>VLOOKUP(A1811,Jogos!A:BN,61,0)</f>
        <v>36.035</v>
      </c>
      <c r="BD1811" s="9">
        <f>VLOOKUP(A1811,Jogos!A:BN,62,0)</f>
        <v>471.5</v>
      </c>
      <c r="BE1811" s="9">
        <f>VLOOKUP(A1811,Jogos!A:BN,63,0)</f>
        <v>1.99</v>
      </c>
      <c r="BF1811" s="9">
        <f>VLOOKUP(A1811,Jogos!A:BN,64,0)</f>
        <v>26.945</v>
      </c>
      <c r="BG1811" s="9">
        <f>VLOOKUP(A1811,Jogos!A:BN,65,0)</f>
        <v>48.405</v>
      </c>
      <c r="BH1811" s="9">
        <f>VLOOKUP(A1811,Jogos!A:BN,66,0)</f>
        <v>31.86</v>
      </c>
      <c r="BI1811" s="9"/>
      <c r="BJ1811" s="9"/>
    </row>
    <row r="1812" hidden="1">
      <c r="A1812" s="2">
        <v>61.0</v>
      </c>
      <c r="B1812" s="2" t="s">
        <v>1385</v>
      </c>
      <c r="C1812" s="2" t="s">
        <v>1351</v>
      </c>
      <c r="D1812" s="3">
        <v>45846.0</v>
      </c>
      <c r="E1812" s="4">
        <v>0.625</v>
      </c>
      <c r="F1812" s="5" t="str">
        <f>VLOOKUP(A1812,Jogos!A:N,10,0)</f>
        <v>Afternoon</v>
      </c>
      <c r="G1812" s="2" t="s">
        <v>249</v>
      </c>
      <c r="H1812" s="6" t="str">
        <f>VLOOKUP(A1812,Jogos!A:L,12,0)</f>
        <v>Open</v>
      </c>
      <c r="I1812" s="6" t="str">
        <f>VLOOKUP(G1812,'Estádios e Cidades'!A:B,2,0)</f>
        <v>East Rutherford</v>
      </c>
      <c r="J1812" s="2" t="s">
        <v>377</v>
      </c>
      <c r="K1812" s="2" t="str">
        <f>VLOOKUP(J1812,Equipes!A:F,6,0)</f>
        <v>Temperate</v>
      </c>
      <c r="L1812" s="2">
        <f>VLOOKUP(J1812,Equipes!A:C,3,0)</f>
        <v>1</v>
      </c>
      <c r="M1812" s="2" t="str">
        <f t="shared" si="4"/>
        <v>Final</v>
      </c>
      <c r="N1812" s="2" t="s">
        <v>563</v>
      </c>
      <c r="O1812" s="2">
        <f>VLOOKUP(N1812,Equipes!A:C,3,0)</f>
        <v>4</v>
      </c>
      <c r="P1812" s="2" t="str">
        <f t="shared" si="5"/>
        <v>Semi-final</v>
      </c>
      <c r="Q1812" s="2">
        <f t="shared" si="6"/>
        <v>-3</v>
      </c>
      <c r="R1812" s="2" t="str">
        <f>VLOOKUP(J1812,Equipes!A:B,2,0)</f>
        <v>Chelsea</v>
      </c>
      <c r="S1812" s="14" t="s">
        <v>391</v>
      </c>
      <c r="T1812" s="7">
        <v>15.0</v>
      </c>
      <c r="U1812" s="7" t="s">
        <v>392</v>
      </c>
      <c r="V1812" s="7" t="str">
        <f>VLOOKUP(U1812,Jogadores!B:C,2,0)</f>
        <v>FW</v>
      </c>
      <c r="W1812" s="8">
        <f>VLOOKUP(U1812,Jogadores!B:D,3,0)</f>
        <v>24.12054795</v>
      </c>
      <c r="X1812" s="7">
        <v>60.0</v>
      </c>
      <c r="Y1812" s="7">
        <f t="shared" si="5683"/>
        <v>100</v>
      </c>
      <c r="Z1812" s="7">
        <f>VLOOKUP(A1812,Jogos!A:L,3,0)</f>
        <v>50</v>
      </c>
      <c r="AA1812" s="7">
        <f t="shared" si="4815"/>
        <v>0</v>
      </c>
      <c r="AB1812" s="7">
        <f>VLOOKUP(A1812,Jogos!A:L,4,0)</f>
        <v>55</v>
      </c>
      <c r="AC1812" s="7">
        <f t="shared" si="5062"/>
        <v>40</v>
      </c>
      <c r="AD1812" s="7"/>
      <c r="AE1812" s="7"/>
      <c r="AF1812" s="7">
        <f t="shared" si="4566"/>
        <v>40</v>
      </c>
      <c r="AG1812" s="7">
        <v>3824.9</v>
      </c>
      <c r="AH1812" s="7">
        <v>1815.4</v>
      </c>
      <c r="AI1812" s="7">
        <v>1156.7</v>
      </c>
      <c r="AJ1812" s="7">
        <v>424.3</v>
      </c>
      <c r="AK1812" s="7">
        <v>229.1</v>
      </c>
      <c r="AL1812" s="7">
        <v>199.4</v>
      </c>
      <c r="AM1812" s="7">
        <v>34.0</v>
      </c>
      <c r="AN1812" s="7">
        <v>22.0</v>
      </c>
      <c r="AO1812" s="7">
        <v>33.3</v>
      </c>
      <c r="AP1812" s="9">
        <f t="shared" ref="AP1812:AR1812" si="5684">AG1812/$AF1812</f>
        <v>95.6225</v>
      </c>
      <c r="AQ1812" s="9">
        <f t="shared" si="5684"/>
        <v>45.385</v>
      </c>
      <c r="AR1812" s="9">
        <f t="shared" si="5684"/>
        <v>28.9175</v>
      </c>
      <c r="AS1812" s="9">
        <f t="shared" si="4568"/>
        <v>74.3025</v>
      </c>
      <c r="AT1812" s="9">
        <f t="shared" ref="AT1812:AV1812" si="5685">AJ1812/$AF1812</f>
        <v>10.6075</v>
      </c>
      <c r="AU1812" s="9">
        <f t="shared" si="5685"/>
        <v>5.7275</v>
      </c>
      <c r="AV1812" s="9">
        <f t="shared" si="5685"/>
        <v>4.985</v>
      </c>
      <c r="AW1812" s="9">
        <f t="shared" si="4570"/>
        <v>10.7125</v>
      </c>
      <c r="AX1812" s="9">
        <f t="shared" ref="AX1812:AY1812" si="5686">AM1812/$AF1812</f>
        <v>0.85</v>
      </c>
      <c r="AY1812" s="9">
        <f t="shared" si="5686"/>
        <v>0.55</v>
      </c>
      <c r="AZ1812" s="9">
        <f>VLOOKUP(A1812,Jogos!A:BN,58,0)</f>
        <v>33.19</v>
      </c>
      <c r="BA1812" s="9">
        <f>VLOOKUP(A1812,Jogos!A:BN,59,0)</f>
        <v>23.67</v>
      </c>
      <c r="BB1812" s="9">
        <f>VLOOKUP(A1812,Jogos!A:BN,60,0)</f>
        <v>57</v>
      </c>
      <c r="BC1812" s="9">
        <f>VLOOKUP(A1812,Jogos!A:BN,61,0)</f>
        <v>36.035</v>
      </c>
      <c r="BD1812" s="9">
        <f>VLOOKUP(A1812,Jogos!A:BN,62,0)</f>
        <v>471.5</v>
      </c>
      <c r="BE1812" s="9">
        <f>VLOOKUP(A1812,Jogos!A:BN,63,0)</f>
        <v>1.99</v>
      </c>
      <c r="BF1812" s="9">
        <f>VLOOKUP(A1812,Jogos!A:BN,64,0)</f>
        <v>26.945</v>
      </c>
      <c r="BG1812" s="9">
        <f>VLOOKUP(A1812,Jogos!A:BN,65,0)</f>
        <v>48.405</v>
      </c>
      <c r="BH1812" s="9">
        <f>VLOOKUP(A1812,Jogos!A:BN,66,0)</f>
        <v>31.86</v>
      </c>
      <c r="BI1812" s="9"/>
      <c r="BJ1812" s="9"/>
    </row>
    <row r="1813" hidden="1">
      <c r="A1813" s="2">
        <v>61.0</v>
      </c>
      <c r="B1813" s="2" t="s">
        <v>1385</v>
      </c>
      <c r="C1813" s="2" t="s">
        <v>1351</v>
      </c>
      <c r="D1813" s="3">
        <v>45846.0</v>
      </c>
      <c r="E1813" s="4">
        <v>0.625</v>
      </c>
      <c r="F1813" s="5" t="str">
        <f>VLOOKUP(A1813,Jogos!A:N,10,0)</f>
        <v>Afternoon</v>
      </c>
      <c r="G1813" s="2" t="s">
        <v>249</v>
      </c>
      <c r="H1813" s="6" t="str">
        <f>VLOOKUP(A1813,Jogos!A:L,12,0)</f>
        <v>Open</v>
      </c>
      <c r="I1813" s="6" t="str">
        <f>VLOOKUP(G1813,'Estádios e Cidades'!A:B,2,0)</f>
        <v>East Rutherford</v>
      </c>
      <c r="J1813" s="2" t="s">
        <v>377</v>
      </c>
      <c r="K1813" s="2" t="str">
        <f>VLOOKUP(J1813,Equipes!A:F,6,0)</f>
        <v>Temperate</v>
      </c>
      <c r="L1813" s="2">
        <f>VLOOKUP(J1813,Equipes!A:C,3,0)</f>
        <v>1</v>
      </c>
      <c r="M1813" s="2" t="str">
        <f t="shared" si="4"/>
        <v>Final</v>
      </c>
      <c r="N1813" s="2" t="s">
        <v>563</v>
      </c>
      <c r="O1813" s="2">
        <f>VLOOKUP(N1813,Equipes!A:C,3,0)</f>
        <v>4</v>
      </c>
      <c r="P1813" s="2" t="str">
        <f t="shared" si="5"/>
        <v>Semi-final</v>
      </c>
      <c r="Q1813" s="2">
        <f t="shared" si="6"/>
        <v>-3</v>
      </c>
      <c r="R1813" s="2" t="str">
        <f>VLOOKUP(J1813,Equipes!A:B,2,0)</f>
        <v>Chelsea</v>
      </c>
      <c r="S1813" s="14" t="s">
        <v>1289</v>
      </c>
      <c r="T1813" s="7">
        <v>17.0</v>
      </c>
      <c r="U1813" s="7" t="s">
        <v>1290</v>
      </c>
      <c r="V1813" s="7" t="str">
        <f>VLOOKUP(U1813,Jogadores!B:C,2,0)</f>
        <v>MF</v>
      </c>
      <c r="W1813" s="8">
        <f>VLOOKUP(U1813,Jogadores!B:D,3,0)</f>
        <v>21.24931507</v>
      </c>
      <c r="X1813" s="7">
        <v>86.0</v>
      </c>
      <c r="Y1813" s="7">
        <f t="shared" si="5683"/>
        <v>100</v>
      </c>
      <c r="Z1813" s="7">
        <f>VLOOKUP(A1813,Jogos!A:L,3,0)</f>
        <v>50</v>
      </c>
      <c r="AA1813" s="7">
        <f t="shared" si="4815"/>
        <v>0</v>
      </c>
      <c r="AB1813" s="7">
        <f>VLOOKUP(A1813,Jogos!A:L,4,0)</f>
        <v>55</v>
      </c>
      <c r="AC1813" s="7">
        <f t="shared" si="5062"/>
        <v>14</v>
      </c>
      <c r="AD1813" s="7"/>
      <c r="AE1813" s="7"/>
      <c r="AF1813" s="7">
        <f t="shared" si="4566"/>
        <v>14</v>
      </c>
      <c r="AG1813" s="7">
        <v>1563.9</v>
      </c>
      <c r="AH1813" s="7">
        <v>552.3</v>
      </c>
      <c r="AI1813" s="7">
        <v>532.3</v>
      </c>
      <c r="AJ1813" s="7">
        <v>296.3</v>
      </c>
      <c r="AK1813" s="7">
        <v>146.1</v>
      </c>
      <c r="AL1813" s="7">
        <v>37.0</v>
      </c>
      <c r="AM1813" s="7">
        <v>32.0</v>
      </c>
      <c r="AN1813" s="7">
        <v>8.0</v>
      </c>
      <c r="AO1813" s="7">
        <v>27.8</v>
      </c>
      <c r="AP1813" s="9">
        <f t="shared" ref="AP1813:AR1813" si="5687">AG1813/$AF1813</f>
        <v>111.7071429</v>
      </c>
      <c r="AQ1813" s="9">
        <f t="shared" si="5687"/>
        <v>39.45</v>
      </c>
      <c r="AR1813" s="9">
        <f t="shared" si="5687"/>
        <v>38.02142857</v>
      </c>
      <c r="AS1813" s="9">
        <f t="shared" si="4568"/>
        <v>77.47142857</v>
      </c>
      <c r="AT1813" s="9">
        <f t="shared" ref="AT1813:AV1813" si="5688">AJ1813/$AF1813</f>
        <v>21.16428571</v>
      </c>
      <c r="AU1813" s="9">
        <f t="shared" si="5688"/>
        <v>10.43571429</v>
      </c>
      <c r="AV1813" s="9">
        <f t="shared" si="5688"/>
        <v>2.642857143</v>
      </c>
      <c r="AW1813" s="9">
        <f t="shared" si="4570"/>
        <v>13.07857143</v>
      </c>
      <c r="AX1813" s="9">
        <f t="shared" ref="AX1813:AY1813" si="5689">AM1813/$AF1813</f>
        <v>2.285714286</v>
      </c>
      <c r="AY1813" s="9">
        <f t="shared" si="5689"/>
        <v>0.5714285714</v>
      </c>
      <c r="AZ1813" s="9">
        <f>VLOOKUP(A1813,Jogos!A:BN,58,0)</f>
        <v>33.19</v>
      </c>
      <c r="BA1813" s="9">
        <f>VLOOKUP(A1813,Jogos!A:BN,59,0)</f>
        <v>23.67</v>
      </c>
      <c r="BB1813" s="9">
        <f>VLOOKUP(A1813,Jogos!A:BN,60,0)</f>
        <v>57</v>
      </c>
      <c r="BC1813" s="9">
        <f>VLOOKUP(A1813,Jogos!A:BN,61,0)</f>
        <v>36.035</v>
      </c>
      <c r="BD1813" s="9">
        <f>VLOOKUP(A1813,Jogos!A:BN,62,0)</f>
        <v>471.5</v>
      </c>
      <c r="BE1813" s="9">
        <f>VLOOKUP(A1813,Jogos!A:BN,63,0)</f>
        <v>1.99</v>
      </c>
      <c r="BF1813" s="9">
        <f>VLOOKUP(A1813,Jogos!A:BN,64,0)</f>
        <v>26.945</v>
      </c>
      <c r="BG1813" s="9">
        <f>VLOOKUP(A1813,Jogos!A:BN,65,0)</f>
        <v>48.405</v>
      </c>
      <c r="BH1813" s="9">
        <f>VLOOKUP(A1813,Jogos!A:BN,66,0)</f>
        <v>31.86</v>
      </c>
      <c r="BI1813" s="9"/>
      <c r="BJ1813" s="9"/>
    </row>
    <row r="1814" hidden="1">
      <c r="A1814" s="2">
        <v>61.0</v>
      </c>
      <c r="B1814" s="2" t="s">
        <v>1385</v>
      </c>
      <c r="C1814" s="2" t="s">
        <v>1351</v>
      </c>
      <c r="D1814" s="3">
        <v>45846.0</v>
      </c>
      <c r="E1814" s="4">
        <v>0.625</v>
      </c>
      <c r="F1814" s="5" t="str">
        <f>VLOOKUP(A1814,Jogos!A:N,10,0)</f>
        <v>Afternoon</v>
      </c>
      <c r="G1814" s="2" t="s">
        <v>249</v>
      </c>
      <c r="H1814" s="6" t="str">
        <f>VLOOKUP(A1814,Jogos!A:L,12,0)</f>
        <v>Open</v>
      </c>
      <c r="I1814" s="6" t="str">
        <f>VLOOKUP(G1814,'Estádios e Cidades'!A:B,2,0)</f>
        <v>East Rutherford</v>
      </c>
      <c r="J1814" s="2" t="s">
        <v>377</v>
      </c>
      <c r="K1814" s="2" t="str">
        <f>VLOOKUP(J1814,Equipes!A:F,6,0)</f>
        <v>Temperate</v>
      </c>
      <c r="L1814" s="2">
        <f>VLOOKUP(J1814,Equipes!A:C,3,0)</f>
        <v>1</v>
      </c>
      <c r="M1814" s="2" t="str">
        <f t="shared" si="4"/>
        <v>Final</v>
      </c>
      <c r="N1814" s="2" t="s">
        <v>563</v>
      </c>
      <c r="O1814" s="2">
        <f>VLOOKUP(N1814,Equipes!A:C,3,0)</f>
        <v>4</v>
      </c>
      <c r="P1814" s="2" t="str">
        <f t="shared" si="5"/>
        <v>Semi-final</v>
      </c>
      <c r="Q1814" s="2">
        <f t="shared" si="6"/>
        <v>-3</v>
      </c>
      <c r="R1814" s="2" t="str">
        <f>VLOOKUP(J1814,Equipes!A:B,2,0)</f>
        <v>Chelsea</v>
      </c>
      <c r="S1814" s="14" t="s">
        <v>1285</v>
      </c>
      <c r="T1814" s="7">
        <v>22.0</v>
      </c>
      <c r="U1814" s="7" t="s">
        <v>1286</v>
      </c>
      <c r="V1814" s="7" t="str">
        <f>VLOOKUP(U1814,Jogadores!B:C,2,0)</f>
        <v>MF</v>
      </c>
      <c r="W1814" s="8">
        <f>VLOOKUP(U1814,Jogadores!B:D,3,0)</f>
        <v>26.90958904</v>
      </c>
      <c r="X1814" s="7">
        <v>86.0</v>
      </c>
      <c r="Y1814" s="7">
        <f t="shared" si="5683"/>
        <v>100</v>
      </c>
      <c r="Z1814" s="7">
        <f>VLOOKUP(A1814,Jogos!A:L,3,0)</f>
        <v>50</v>
      </c>
      <c r="AA1814" s="7">
        <f t="shared" si="4815"/>
        <v>0</v>
      </c>
      <c r="AB1814" s="7">
        <f>VLOOKUP(A1814,Jogos!A:L,4,0)</f>
        <v>55</v>
      </c>
      <c r="AC1814" s="7">
        <f t="shared" si="5062"/>
        <v>14</v>
      </c>
      <c r="AD1814" s="7"/>
      <c r="AE1814" s="7"/>
      <c r="AF1814" s="7">
        <f t="shared" si="4566"/>
        <v>14</v>
      </c>
      <c r="AG1814" s="7">
        <v>1599.9</v>
      </c>
      <c r="AH1814" s="7">
        <v>657.1</v>
      </c>
      <c r="AI1814" s="7">
        <v>515.9</v>
      </c>
      <c r="AJ1814" s="7">
        <v>298.2</v>
      </c>
      <c r="AK1814" s="7">
        <v>111.1</v>
      </c>
      <c r="AL1814" s="7">
        <v>17.6</v>
      </c>
      <c r="AM1814" s="7">
        <v>21.0</v>
      </c>
      <c r="AN1814" s="7">
        <v>9.0</v>
      </c>
      <c r="AO1814" s="7">
        <v>27.3</v>
      </c>
      <c r="AP1814" s="9">
        <f t="shared" ref="AP1814:AR1814" si="5690">AG1814/$AF1814</f>
        <v>114.2785714</v>
      </c>
      <c r="AQ1814" s="9">
        <f t="shared" si="5690"/>
        <v>46.93571429</v>
      </c>
      <c r="AR1814" s="9">
        <f t="shared" si="5690"/>
        <v>36.85</v>
      </c>
      <c r="AS1814" s="9">
        <f t="shared" si="4568"/>
        <v>83.78571429</v>
      </c>
      <c r="AT1814" s="9">
        <f t="shared" ref="AT1814:AV1814" si="5691">AJ1814/$AF1814</f>
        <v>21.3</v>
      </c>
      <c r="AU1814" s="9">
        <f t="shared" si="5691"/>
        <v>7.935714286</v>
      </c>
      <c r="AV1814" s="9">
        <f t="shared" si="5691"/>
        <v>1.257142857</v>
      </c>
      <c r="AW1814" s="9">
        <f t="shared" si="4570"/>
        <v>9.192857143</v>
      </c>
      <c r="AX1814" s="9">
        <f t="shared" ref="AX1814:AY1814" si="5692">AM1814/$AF1814</f>
        <v>1.5</v>
      </c>
      <c r="AY1814" s="9">
        <f t="shared" si="5692"/>
        <v>0.6428571429</v>
      </c>
      <c r="AZ1814" s="9">
        <f>VLOOKUP(A1814,Jogos!A:BN,58,0)</f>
        <v>33.19</v>
      </c>
      <c r="BA1814" s="9">
        <f>VLOOKUP(A1814,Jogos!A:BN,59,0)</f>
        <v>23.67</v>
      </c>
      <c r="BB1814" s="9">
        <f>VLOOKUP(A1814,Jogos!A:BN,60,0)</f>
        <v>57</v>
      </c>
      <c r="BC1814" s="9">
        <f>VLOOKUP(A1814,Jogos!A:BN,61,0)</f>
        <v>36.035</v>
      </c>
      <c r="BD1814" s="9">
        <f>VLOOKUP(A1814,Jogos!A:BN,62,0)</f>
        <v>471.5</v>
      </c>
      <c r="BE1814" s="9">
        <f>VLOOKUP(A1814,Jogos!A:BN,63,0)</f>
        <v>1.99</v>
      </c>
      <c r="BF1814" s="9">
        <f>VLOOKUP(A1814,Jogos!A:BN,64,0)</f>
        <v>26.945</v>
      </c>
      <c r="BG1814" s="9">
        <f>VLOOKUP(A1814,Jogos!A:BN,65,0)</f>
        <v>48.405</v>
      </c>
      <c r="BH1814" s="9">
        <f>VLOOKUP(A1814,Jogos!A:BN,66,0)</f>
        <v>31.86</v>
      </c>
      <c r="BI1814" s="9"/>
      <c r="BJ1814" s="9"/>
    </row>
    <row r="1815" hidden="1">
      <c r="A1815" s="2">
        <v>61.0</v>
      </c>
      <c r="B1815" s="2" t="s">
        <v>1385</v>
      </c>
      <c r="C1815" s="2" t="s">
        <v>1351</v>
      </c>
      <c r="D1815" s="3">
        <v>45846.0</v>
      </c>
      <c r="E1815" s="4">
        <v>0.625</v>
      </c>
      <c r="F1815" s="5" t="str">
        <f>VLOOKUP(A1815,Jogos!A:N,10,0)</f>
        <v>Afternoon</v>
      </c>
      <c r="G1815" s="2" t="s">
        <v>249</v>
      </c>
      <c r="H1815" s="6" t="str">
        <f>VLOOKUP(A1815,Jogos!A:L,12,0)</f>
        <v>Open</v>
      </c>
      <c r="I1815" s="6" t="str">
        <f>VLOOKUP(G1815,'Estádios e Cidades'!A:B,2,0)</f>
        <v>East Rutherford</v>
      </c>
      <c r="J1815" s="2" t="s">
        <v>377</v>
      </c>
      <c r="K1815" s="2" t="str">
        <f>VLOOKUP(J1815,Equipes!A:F,6,0)</f>
        <v>Temperate</v>
      </c>
      <c r="L1815" s="2">
        <f>VLOOKUP(J1815,Equipes!A:C,3,0)</f>
        <v>1</v>
      </c>
      <c r="M1815" s="2" t="str">
        <f t="shared" si="4"/>
        <v>Final</v>
      </c>
      <c r="N1815" s="2" t="s">
        <v>563</v>
      </c>
      <c r="O1815" s="2">
        <f>VLOOKUP(N1815,Equipes!A:C,3,0)</f>
        <v>4</v>
      </c>
      <c r="P1815" s="2" t="str">
        <f t="shared" si="5"/>
        <v>Semi-final</v>
      </c>
      <c r="Q1815" s="2">
        <f t="shared" si="6"/>
        <v>-3</v>
      </c>
      <c r="R1815" s="2" t="str">
        <f>VLOOKUP(J1815,Equipes!A:B,2,0)</f>
        <v>Chelsea</v>
      </c>
      <c r="S1815" s="14" t="s">
        <v>393</v>
      </c>
      <c r="T1815" s="7">
        <v>24.0</v>
      </c>
      <c r="U1815" s="7" t="s">
        <v>394</v>
      </c>
      <c r="V1815" s="7" t="str">
        <f>VLOOKUP(U1815,Jogadores!B:C,2,0)</f>
        <v>DF</v>
      </c>
      <c r="W1815" s="8">
        <f>VLOOKUP(U1815,Jogadores!B:D,3,0)</f>
        <v>25.65479452</v>
      </c>
      <c r="X1815" s="7">
        <v>68.0</v>
      </c>
      <c r="Y1815" s="7">
        <f t="shared" si="5683"/>
        <v>100</v>
      </c>
      <c r="Z1815" s="7">
        <f>VLOOKUP(A1815,Jogos!A:L,3,0)</f>
        <v>50</v>
      </c>
      <c r="AA1815" s="7">
        <f t="shared" si="4815"/>
        <v>0</v>
      </c>
      <c r="AB1815" s="7">
        <f>VLOOKUP(A1815,Jogos!A:L,4,0)</f>
        <v>55</v>
      </c>
      <c r="AC1815" s="7">
        <f t="shared" si="5062"/>
        <v>32</v>
      </c>
      <c r="AD1815" s="7"/>
      <c r="AE1815" s="7"/>
      <c r="AF1815" s="7">
        <f t="shared" si="4566"/>
        <v>32</v>
      </c>
      <c r="AG1815" s="7">
        <v>2822.7</v>
      </c>
      <c r="AH1815" s="7">
        <v>1419.8</v>
      </c>
      <c r="AI1815" s="7">
        <v>1018.8</v>
      </c>
      <c r="AJ1815" s="7">
        <v>237.6</v>
      </c>
      <c r="AK1815" s="7">
        <v>133.1</v>
      </c>
      <c r="AL1815" s="7">
        <v>13.5</v>
      </c>
      <c r="AM1815" s="7">
        <v>22.0</v>
      </c>
      <c r="AN1815" s="7">
        <v>9.0</v>
      </c>
      <c r="AO1815" s="7">
        <v>27.8</v>
      </c>
      <c r="AP1815" s="9">
        <f t="shared" ref="AP1815:AR1815" si="5693">AG1815/$AF1815</f>
        <v>88.209375</v>
      </c>
      <c r="AQ1815" s="9">
        <f t="shared" si="5693"/>
        <v>44.36875</v>
      </c>
      <c r="AR1815" s="9">
        <f t="shared" si="5693"/>
        <v>31.8375</v>
      </c>
      <c r="AS1815" s="9">
        <f t="shared" si="4568"/>
        <v>76.20625</v>
      </c>
      <c r="AT1815" s="9">
        <f t="shared" ref="AT1815:AV1815" si="5694">AJ1815/$AF1815</f>
        <v>7.425</v>
      </c>
      <c r="AU1815" s="9">
        <f t="shared" si="5694"/>
        <v>4.159375</v>
      </c>
      <c r="AV1815" s="9">
        <f t="shared" si="5694"/>
        <v>0.421875</v>
      </c>
      <c r="AW1815" s="9">
        <f t="shared" si="4570"/>
        <v>4.58125</v>
      </c>
      <c r="AX1815" s="9">
        <f t="shared" ref="AX1815:AY1815" si="5695">AM1815/$AF1815</f>
        <v>0.6875</v>
      </c>
      <c r="AY1815" s="9">
        <f t="shared" si="5695"/>
        <v>0.28125</v>
      </c>
      <c r="AZ1815" s="9">
        <f>VLOOKUP(A1815,Jogos!A:BN,58,0)</f>
        <v>33.19</v>
      </c>
      <c r="BA1815" s="9">
        <f>VLOOKUP(A1815,Jogos!A:BN,59,0)</f>
        <v>23.67</v>
      </c>
      <c r="BB1815" s="9">
        <f>VLOOKUP(A1815,Jogos!A:BN,60,0)</f>
        <v>57</v>
      </c>
      <c r="BC1815" s="9">
        <f>VLOOKUP(A1815,Jogos!A:BN,61,0)</f>
        <v>36.035</v>
      </c>
      <c r="BD1815" s="9">
        <f>VLOOKUP(A1815,Jogos!A:BN,62,0)</f>
        <v>471.5</v>
      </c>
      <c r="BE1815" s="9">
        <f>VLOOKUP(A1815,Jogos!A:BN,63,0)</f>
        <v>1.99</v>
      </c>
      <c r="BF1815" s="9">
        <f>VLOOKUP(A1815,Jogos!A:BN,64,0)</f>
        <v>26.945</v>
      </c>
      <c r="BG1815" s="9">
        <f>VLOOKUP(A1815,Jogos!A:BN,65,0)</f>
        <v>48.405</v>
      </c>
      <c r="BH1815" s="9">
        <f>VLOOKUP(A1815,Jogos!A:BN,66,0)</f>
        <v>31.86</v>
      </c>
      <c r="BI1815" s="9"/>
      <c r="BJ1815" s="9"/>
    </row>
    <row r="1816" hidden="1">
      <c r="A1816" s="2">
        <v>62.0</v>
      </c>
      <c r="B1816" s="2" t="s">
        <v>1385</v>
      </c>
      <c r="C1816" s="2" t="s">
        <v>1351</v>
      </c>
      <c r="D1816" s="3">
        <v>45847.0</v>
      </c>
      <c r="E1816" s="4">
        <v>0.6319444444444444</v>
      </c>
      <c r="F1816" s="5" t="str">
        <f>VLOOKUP(A1816,Jogos!A:N,10,0)</f>
        <v>Afternoon</v>
      </c>
      <c r="G1816" s="2" t="s">
        <v>249</v>
      </c>
      <c r="H1816" s="6" t="str">
        <f>VLOOKUP(A1816,Jogos!A:L,12,0)</f>
        <v>Open</v>
      </c>
      <c r="I1816" s="6" t="str">
        <f>VLOOKUP(G1816,'Estádios e Cidades'!A:B,2,0)</f>
        <v>East Rutherford</v>
      </c>
      <c r="J1816" s="2" t="s">
        <v>187</v>
      </c>
      <c r="K1816" s="2" t="str">
        <f>VLOOKUP(J1816,Equipes!A:F,6,0)</f>
        <v>Temperate</v>
      </c>
      <c r="L1816" s="2">
        <f>VLOOKUP(J1816,Equipes!A:C,3,0)</f>
        <v>2</v>
      </c>
      <c r="M1816" s="2" t="str">
        <f t="shared" si="4"/>
        <v>Final</v>
      </c>
      <c r="N1816" s="2" t="s">
        <v>873</v>
      </c>
      <c r="O1816" s="2">
        <f>VLOOKUP(N1816,Equipes!A:C,3,0)</f>
        <v>3</v>
      </c>
      <c r="P1816" s="2" t="str">
        <f t="shared" si="5"/>
        <v>Semi-final</v>
      </c>
      <c r="Q1816" s="2">
        <f t="shared" si="6"/>
        <v>-1</v>
      </c>
      <c r="R1816" s="2" t="str">
        <f>VLOOKUP(J1816,Equipes!A:B,2,0)</f>
        <v>PSG</v>
      </c>
      <c r="S1816" s="14" t="s">
        <v>189</v>
      </c>
      <c r="T1816" s="7">
        <v>2.0</v>
      </c>
      <c r="U1816" s="7" t="s">
        <v>190</v>
      </c>
      <c r="V1816" s="7" t="str">
        <f>VLOOKUP(U1816,Jogadores!B:C,2,0)</f>
        <v>DF</v>
      </c>
      <c r="W1816" s="8">
        <f>VLOOKUP(U1816,Jogadores!B:D,3,0)</f>
        <v>26.74794521</v>
      </c>
      <c r="X1816" s="7">
        <v>0.0</v>
      </c>
      <c r="Y1816" s="7">
        <f t="shared" si="5683"/>
        <v>90</v>
      </c>
      <c r="Z1816" s="7">
        <f>VLOOKUP(A1816,Jogos!A:L,3,0)</f>
        <v>48</v>
      </c>
      <c r="AA1816" s="7">
        <f t="shared" si="4815"/>
        <v>48</v>
      </c>
      <c r="AB1816" s="7">
        <f>VLOOKUP(A1816,Jogos!A:L,4,0)</f>
        <v>45</v>
      </c>
      <c r="AC1816" s="7">
        <f t="shared" si="5062"/>
        <v>45</v>
      </c>
      <c r="AD1816" s="7"/>
      <c r="AE1816" s="7"/>
      <c r="AF1816" s="7">
        <f t="shared" si="4566"/>
        <v>93</v>
      </c>
      <c r="AG1816" s="7">
        <v>9765.4</v>
      </c>
      <c r="AH1816" s="7">
        <v>4173.9</v>
      </c>
      <c r="AI1816" s="7">
        <v>3104.2</v>
      </c>
      <c r="AJ1816" s="7">
        <v>1239.3</v>
      </c>
      <c r="AK1816" s="7">
        <v>779.6</v>
      </c>
      <c r="AL1816" s="7">
        <v>468.4</v>
      </c>
      <c r="AM1816" s="7">
        <v>104.0</v>
      </c>
      <c r="AN1816" s="7">
        <v>62.0</v>
      </c>
      <c r="AO1816" s="7">
        <v>35.4</v>
      </c>
      <c r="AP1816" s="9">
        <f t="shared" ref="AP1816:AR1816" si="5696">AG1816/$AF1816</f>
        <v>105.0043011</v>
      </c>
      <c r="AQ1816" s="9">
        <f t="shared" si="5696"/>
        <v>44.88064516</v>
      </c>
      <c r="AR1816" s="9">
        <f t="shared" si="5696"/>
        <v>33.37849462</v>
      </c>
      <c r="AS1816" s="9">
        <f t="shared" si="4568"/>
        <v>78.25913978</v>
      </c>
      <c r="AT1816" s="9">
        <f t="shared" ref="AT1816:AV1816" si="5697">AJ1816/$AF1816</f>
        <v>13.32580645</v>
      </c>
      <c r="AU1816" s="9">
        <f t="shared" si="5697"/>
        <v>8.382795699</v>
      </c>
      <c r="AV1816" s="9">
        <f t="shared" si="5697"/>
        <v>5.03655914</v>
      </c>
      <c r="AW1816" s="9">
        <f t="shared" si="4570"/>
        <v>13.41935484</v>
      </c>
      <c r="AX1816" s="9">
        <f t="shared" ref="AX1816:AY1816" si="5698">AM1816/$AF1816</f>
        <v>1.11827957</v>
      </c>
      <c r="AY1816" s="9">
        <f t="shared" si="5698"/>
        <v>0.6666666667</v>
      </c>
      <c r="AZ1816" s="9">
        <f>VLOOKUP(A1816,Jogos!A:BN,58,0)</f>
        <v>32.155</v>
      </c>
      <c r="BA1816" s="9">
        <f>VLOOKUP(A1816,Jogos!A:BN,59,0)</f>
        <v>19.36</v>
      </c>
      <c r="BB1816" s="9">
        <f>VLOOKUP(A1816,Jogos!A:BN,60,0)</f>
        <v>46</v>
      </c>
      <c r="BC1816" s="9">
        <f>VLOOKUP(A1816,Jogos!A:BN,61,0)</f>
        <v>34.075</v>
      </c>
      <c r="BD1816" s="9">
        <f>VLOOKUP(A1816,Jogos!A:BN,62,0)</f>
        <v>555.45</v>
      </c>
      <c r="BE1816" s="9">
        <f>VLOOKUP(A1816,Jogos!A:BN,63,0)</f>
        <v>1.155</v>
      </c>
      <c r="BF1816" s="9">
        <f>VLOOKUP(A1816,Jogos!A:BN,64,0)</f>
        <v>25.055</v>
      </c>
      <c r="BG1816" s="9">
        <f>VLOOKUP(A1816,Jogos!A:BN,65,0)</f>
        <v>46.925</v>
      </c>
      <c r="BH1816" s="9">
        <f>VLOOKUP(A1816,Jogos!A:BN,66,0)</f>
        <v>30.14</v>
      </c>
      <c r="BI1816" s="9"/>
      <c r="BJ1816" s="9"/>
    </row>
    <row r="1817" hidden="1">
      <c r="A1817" s="2">
        <v>62.0</v>
      </c>
      <c r="B1817" s="2" t="s">
        <v>1385</v>
      </c>
      <c r="C1817" s="2" t="s">
        <v>1351</v>
      </c>
      <c r="D1817" s="3">
        <v>45847.0</v>
      </c>
      <c r="E1817" s="4">
        <v>0.6319444444444444</v>
      </c>
      <c r="F1817" s="5" t="str">
        <f>VLOOKUP(A1817,Jogos!A:N,10,0)</f>
        <v>Afternoon</v>
      </c>
      <c r="G1817" s="2" t="s">
        <v>249</v>
      </c>
      <c r="H1817" s="6" t="str">
        <f>VLOOKUP(A1817,Jogos!A:L,12,0)</f>
        <v>Open</v>
      </c>
      <c r="I1817" s="6" t="str">
        <f>VLOOKUP(G1817,'Estádios e Cidades'!A:B,2,0)</f>
        <v>East Rutherford</v>
      </c>
      <c r="J1817" s="2" t="s">
        <v>187</v>
      </c>
      <c r="K1817" s="2" t="str">
        <f>VLOOKUP(J1817,Equipes!A:F,6,0)</f>
        <v>Temperate</v>
      </c>
      <c r="L1817" s="2">
        <f>VLOOKUP(J1817,Equipes!A:C,3,0)</f>
        <v>2</v>
      </c>
      <c r="M1817" s="2" t="str">
        <f t="shared" si="4"/>
        <v>Final</v>
      </c>
      <c r="N1817" s="2" t="s">
        <v>873</v>
      </c>
      <c r="O1817" s="2">
        <f>VLOOKUP(N1817,Equipes!A:C,3,0)</f>
        <v>3</v>
      </c>
      <c r="P1817" s="2" t="str">
        <f t="shared" si="5"/>
        <v>Semi-final</v>
      </c>
      <c r="Q1817" s="2">
        <f t="shared" si="6"/>
        <v>-1</v>
      </c>
      <c r="R1817" s="2" t="str">
        <f>VLOOKUP(J1817,Equipes!A:B,2,0)</f>
        <v>PSG</v>
      </c>
      <c r="S1817" s="14" t="s">
        <v>1094</v>
      </c>
      <c r="T1817" s="7">
        <v>4.0</v>
      </c>
      <c r="U1817" s="7" t="s">
        <v>1095</v>
      </c>
      <c r="V1817" s="7" t="str">
        <f>VLOOKUP(U1817,Jogadores!B:C,2,0)</f>
        <v>DF</v>
      </c>
      <c r="W1817" s="8">
        <f>VLOOKUP(U1817,Jogadores!B:D,3,0)</f>
        <v>21.69041096</v>
      </c>
      <c r="X1817" s="7">
        <v>0.0</v>
      </c>
      <c r="Y1817" s="7">
        <f t="shared" si="5683"/>
        <v>90</v>
      </c>
      <c r="Z1817" s="7">
        <f>VLOOKUP(A1817,Jogos!A:L,3,0)</f>
        <v>48</v>
      </c>
      <c r="AA1817" s="7">
        <f t="shared" si="4815"/>
        <v>48</v>
      </c>
      <c r="AB1817" s="7">
        <f>VLOOKUP(A1817,Jogos!A:L,4,0)</f>
        <v>45</v>
      </c>
      <c r="AC1817" s="7">
        <f t="shared" si="5062"/>
        <v>45</v>
      </c>
      <c r="AD1817" s="7"/>
      <c r="AE1817" s="7"/>
      <c r="AF1817" s="7">
        <f t="shared" si="4566"/>
        <v>93</v>
      </c>
      <c r="AG1817" s="7">
        <v>8516.1</v>
      </c>
      <c r="AH1817" s="7">
        <v>4080.5</v>
      </c>
      <c r="AI1817" s="7">
        <v>3199.4</v>
      </c>
      <c r="AJ1817" s="7">
        <v>798.8</v>
      </c>
      <c r="AK1817" s="7">
        <v>308.7</v>
      </c>
      <c r="AL1817" s="7">
        <v>128.8</v>
      </c>
      <c r="AM1817" s="7">
        <v>74.0</v>
      </c>
      <c r="AN1817" s="7">
        <v>27.0</v>
      </c>
      <c r="AO1817" s="7">
        <v>31.0</v>
      </c>
      <c r="AP1817" s="9">
        <f t="shared" ref="AP1817:AR1817" si="5699">AG1817/$AF1817</f>
        <v>91.57096774</v>
      </c>
      <c r="AQ1817" s="9">
        <f t="shared" si="5699"/>
        <v>43.87634409</v>
      </c>
      <c r="AR1817" s="9">
        <f t="shared" si="5699"/>
        <v>34.40215054</v>
      </c>
      <c r="AS1817" s="9">
        <f t="shared" si="4568"/>
        <v>78.27849462</v>
      </c>
      <c r="AT1817" s="9">
        <f t="shared" ref="AT1817:AV1817" si="5700">AJ1817/$AF1817</f>
        <v>8.589247312</v>
      </c>
      <c r="AU1817" s="9">
        <f t="shared" si="5700"/>
        <v>3.319354839</v>
      </c>
      <c r="AV1817" s="9">
        <f t="shared" si="5700"/>
        <v>1.384946237</v>
      </c>
      <c r="AW1817" s="9">
        <f t="shared" si="4570"/>
        <v>4.704301075</v>
      </c>
      <c r="AX1817" s="9">
        <f t="shared" ref="AX1817:AY1817" si="5701">AM1817/$AF1817</f>
        <v>0.7956989247</v>
      </c>
      <c r="AY1817" s="9">
        <f t="shared" si="5701"/>
        <v>0.2903225806</v>
      </c>
      <c r="AZ1817" s="9">
        <f>VLOOKUP(A1817,Jogos!A:BN,58,0)</f>
        <v>32.155</v>
      </c>
      <c r="BA1817" s="9">
        <f>VLOOKUP(A1817,Jogos!A:BN,59,0)</f>
        <v>19.36</v>
      </c>
      <c r="BB1817" s="9">
        <f>VLOOKUP(A1817,Jogos!A:BN,60,0)</f>
        <v>46</v>
      </c>
      <c r="BC1817" s="9">
        <f>VLOOKUP(A1817,Jogos!A:BN,61,0)</f>
        <v>34.075</v>
      </c>
      <c r="BD1817" s="9">
        <f>VLOOKUP(A1817,Jogos!A:BN,62,0)</f>
        <v>555.45</v>
      </c>
      <c r="BE1817" s="9">
        <f>VLOOKUP(A1817,Jogos!A:BN,63,0)</f>
        <v>1.155</v>
      </c>
      <c r="BF1817" s="9">
        <f>VLOOKUP(A1817,Jogos!A:BN,64,0)</f>
        <v>25.055</v>
      </c>
      <c r="BG1817" s="9">
        <f>VLOOKUP(A1817,Jogos!A:BN,65,0)</f>
        <v>46.925</v>
      </c>
      <c r="BH1817" s="9">
        <f>VLOOKUP(A1817,Jogos!A:BN,66,0)</f>
        <v>30.14</v>
      </c>
      <c r="BI1817" s="9"/>
      <c r="BJ1817" s="9"/>
    </row>
    <row r="1818" hidden="1">
      <c r="A1818" s="2">
        <v>62.0</v>
      </c>
      <c r="B1818" s="2" t="s">
        <v>1385</v>
      </c>
      <c r="C1818" s="2" t="s">
        <v>1351</v>
      </c>
      <c r="D1818" s="3">
        <v>45847.0</v>
      </c>
      <c r="E1818" s="4">
        <v>0.6319444444444444</v>
      </c>
      <c r="F1818" s="5" t="str">
        <f>VLOOKUP(A1818,Jogos!A:N,10,0)</f>
        <v>Afternoon</v>
      </c>
      <c r="G1818" s="2" t="s">
        <v>249</v>
      </c>
      <c r="H1818" s="6" t="str">
        <f>VLOOKUP(A1818,Jogos!A:L,12,0)</f>
        <v>Open</v>
      </c>
      <c r="I1818" s="6" t="str">
        <f>VLOOKUP(G1818,'Estádios e Cidades'!A:B,2,0)</f>
        <v>East Rutherford</v>
      </c>
      <c r="J1818" s="2" t="s">
        <v>187</v>
      </c>
      <c r="K1818" s="2" t="str">
        <f>VLOOKUP(J1818,Equipes!A:F,6,0)</f>
        <v>Temperate</v>
      </c>
      <c r="L1818" s="2">
        <f>VLOOKUP(J1818,Equipes!A:C,3,0)</f>
        <v>2</v>
      </c>
      <c r="M1818" s="2" t="str">
        <f t="shared" si="4"/>
        <v>Final</v>
      </c>
      <c r="N1818" s="2" t="s">
        <v>873</v>
      </c>
      <c r="O1818" s="2">
        <f>VLOOKUP(N1818,Equipes!A:C,3,0)</f>
        <v>3</v>
      </c>
      <c r="P1818" s="2" t="str">
        <f t="shared" si="5"/>
        <v>Semi-final</v>
      </c>
      <c r="Q1818" s="2">
        <f t="shared" si="6"/>
        <v>-1</v>
      </c>
      <c r="R1818" s="2" t="str">
        <f>VLOOKUP(J1818,Equipes!A:B,2,0)</f>
        <v>PSG</v>
      </c>
      <c r="S1818" s="14" t="s">
        <v>191</v>
      </c>
      <c r="T1818" s="7">
        <v>5.0</v>
      </c>
      <c r="U1818" s="7" t="s">
        <v>192</v>
      </c>
      <c r="V1818" s="7" t="str">
        <f>VLOOKUP(U1818,Jogadores!B:C,2,0)</f>
        <v>DF</v>
      </c>
      <c r="W1818" s="8">
        <f>VLOOKUP(U1818,Jogadores!B:D,3,0)</f>
        <v>31.22739726</v>
      </c>
      <c r="X1818" s="7">
        <v>0.0</v>
      </c>
      <c r="Y1818" s="7">
        <f t="shared" si="5683"/>
        <v>90</v>
      </c>
      <c r="Z1818" s="7">
        <f>VLOOKUP(A1818,Jogos!A:L,3,0)</f>
        <v>48</v>
      </c>
      <c r="AA1818" s="7">
        <f t="shared" si="4815"/>
        <v>48</v>
      </c>
      <c r="AB1818" s="7">
        <f>VLOOKUP(A1818,Jogos!A:L,4,0)</f>
        <v>45</v>
      </c>
      <c r="AC1818" s="7">
        <f t="shared" si="5062"/>
        <v>45</v>
      </c>
      <c r="AD1818" s="7"/>
      <c r="AE1818" s="7"/>
      <c r="AF1818" s="7">
        <f t="shared" si="4566"/>
        <v>93</v>
      </c>
      <c r="AG1818" s="7">
        <v>8835.9</v>
      </c>
      <c r="AH1818" s="7">
        <v>4107.9</v>
      </c>
      <c r="AI1818" s="7">
        <v>3123.2</v>
      </c>
      <c r="AJ1818" s="7">
        <v>1001.4</v>
      </c>
      <c r="AK1818" s="7">
        <v>347.6</v>
      </c>
      <c r="AL1818" s="7">
        <v>255.8</v>
      </c>
      <c r="AM1818" s="7">
        <v>82.0</v>
      </c>
      <c r="AN1818" s="7">
        <v>33.0</v>
      </c>
      <c r="AO1818" s="7">
        <v>32.9</v>
      </c>
      <c r="AP1818" s="9">
        <f t="shared" ref="AP1818:AR1818" si="5702">AG1818/$AF1818</f>
        <v>95.00967742</v>
      </c>
      <c r="AQ1818" s="9">
        <f t="shared" si="5702"/>
        <v>44.17096774</v>
      </c>
      <c r="AR1818" s="9">
        <f t="shared" si="5702"/>
        <v>33.5827957</v>
      </c>
      <c r="AS1818" s="9">
        <f t="shared" si="4568"/>
        <v>77.75376344</v>
      </c>
      <c r="AT1818" s="9">
        <f t="shared" ref="AT1818:AV1818" si="5703">AJ1818/$AF1818</f>
        <v>10.76774194</v>
      </c>
      <c r="AU1818" s="9">
        <f t="shared" si="5703"/>
        <v>3.737634409</v>
      </c>
      <c r="AV1818" s="9">
        <f t="shared" si="5703"/>
        <v>2.750537634</v>
      </c>
      <c r="AW1818" s="9">
        <f t="shared" si="4570"/>
        <v>6.488172043</v>
      </c>
      <c r="AX1818" s="9">
        <f t="shared" ref="AX1818:AY1818" si="5704">AM1818/$AF1818</f>
        <v>0.8817204301</v>
      </c>
      <c r="AY1818" s="9">
        <f t="shared" si="5704"/>
        <v>0.3548387097</v>
      </c>
      <c r="AZ1818" s="9">
        <f>VLOOKUP(A1818,Jogos!A:BN,58,0)</f>
        <v>32.155</v>
      </c>
      <c r="BA1818" s="9">
        <f>VLOOKUP(A1818,Jogos!A:BN,59,0)</f>
        <v>19.36</v>
      </c>
      <c r="BB1818" s="9">
        <f>VLOOKUP(A1818,Jogos!A:BN,60,0)</f>
        <v>46</v>
      </c>
      <c r="BC1818" s="9">
        <f>VLOOKUP(A1818,Jogos!A:BN,61,0)</f>
        <v>34.075</v>
      </c>
      <c r="BD1818" s="9">
        <f>VLOOKUP(A1818,Jogos!A:BN,62,0)</f>
        <v>555.45</v>
      </c>
      <c r="BE1818" s="9">
        <f>VLOOKUP(A1818,Jogos!A:BN,63,0)</f>
        <v>1.155</v>
      </c>
      <c r="BF1818" s="9">
        <f>VLOOKUP(A1818,Jogos!A:BN,64,0)</f>
        <v>25.055</v>
      </c>
      <c r="BG1818" s="9">
        <f>VLOOKUP(A1818,Jogos!A:BN,65,0)</f>
        <v>46.925</v>
      </c>
      <c r="BH1818" s="9">
        <f>VLOOKUP(A1818,Jogos!A:BN,66,0)</f>
        <v>30.14</v>
      </c>
      <c r="BI1818" s="9"/>
      <c r="BJ1818" s="9"/>
    </row>
    <row r="1819" hidden="1">
      <c r="A1819" s="2">
        <v>62.0</v>
      </c>
      <c r="B1819" s="2" t="s">
        <v>1385</v>
      </c>
      <c r="C1819" s="2" t="s">
        <v>1351</v>
      </c>
      <c r="D1819" s="3">
        <v>45847.0</v>
      </c>
      <c r="E1819" s="4">
        <v>0.6319444444444444</v>
      </c>
      <c r="F1819" s="5" t="str">
        <f>VLOOKUP(A1819,Jogos!A:N,10,0)</f>
        <v>Afternoon</v>
      </c>
      <c r="G1819" s="2" t="s">
        <v>249</v>
      </c>
      <c r="H1819" s="6" t="str">
        <f>VLOOKUP(A1819,Jogos!A:L,12,0)</f>
        <v>Open</v>
      </c>
      <c r="I1819" s="6" t="str">
        <f>VLOOKUP(G1819,'Estádios e Cidades'!A:B,2,0)</f>
        <v>East Rutherford</v>
      </c>
      <c r="J1819" s="2" t="s">
        <v>187</v>
      </c>
      <c r="K1819" s="2" t="str">
        <f>VLOOKUP(J1819,Equipes!A:F,6,0)</f>
        <v>Temperate</v>
      </c>
      <c r="L1819" s="2">
        <f>VLOOKUP(J1819,Equipes!A:C,3,0)</f>
        <v>2</v>
      </c>
      <c r="M1819" s="2" t="str">
        <f t="shared" si="4"/>
        <v>Final</v>
      </c>
      <c r="N1819" s="2" t="s">
        <v>873</v>
      </c>
      <c r="O1819" s="2">
        <f>VLOOKUP(N1819,Equipes!A:C,3,0)</f>
        <v>3</v>
      </c>
      <c r="P1819" s="2" t="str">
        <f t="shared" si="5"/>
        <v>Semi-final</v>
      </c>
      <c r="Q1819" s="2">
        <f t="shared" si="6"/>
        <v>-1</v>
      </c>
      <c r="R1819" s="2" t="str">
        <f>VLOOKUP(J1819,Equipes!A:B,2,0)</f>
        <v>PSG</v>
      </c>
      <c r="S1819" s="14" t="s">
        <v>193</v>
      </c>
      <c r="T1819" s="7">
        <v>7.0</v>
      </c>
      <c r="U1819" s="7" t="s">
        <v>194</v>
      </c>
      <c r="V1819" s="7" t="str">
        <f>VLOOKUP(U1819,Jogadores!B:C,2,0)</f>
        <v>FW</v>
      </c>
      <c r="W1819" s="8">
        <f>VLOOKUP(U1819,Jogadores!B:D,3,0)</f>
        <v>24.47123288</v>
      </c>
      <c r="X1819" s="7">
        <v>0.0</v>
      </c>
      <c r="Y1819" s="7">
        <v>59.0</v>
      </c>
      <c r="Z1819" s="7">
        <f>VLOOKUP(A1819,Jogos!A:L,3,0)</f>
        <v>48</v>
      </c>
      <c r="AA1819" s="7">
        <f t="shared" si="4815"/>
        <v>48</v>
      </c>
      <c r="AB1819" s="7">
        <f>VLOOKUP(A1819,Jogos!A:L,4,0)</f>
        <v>45</v>
      </c>
      <c r="AC1819" s="7">
        <f t="shared" si="5062"/>
        <v>14</v>
      </c>
      <c r="AD1819" s="7"/>
      <c r="AE1819" s="7"/>
      <c r="AF1819" s="7">
        <f t="shared" si="4566"/>
        <v>62</v>
      </c>
      <c r="AG1819" s="7">
        <v>6191.4</v>
      </c>
      <c r="AH1819" s="7">
        <v>3210.0</v>
      </c>
      <c r="AI1819" s="7">
        <v>1761.9</v>
      </c>
      <c r="AJ1819" s="7">
        <v>592.1</v>
      </c>
      <c r="AK1819" s="7">
        <v>347.8</v>
      </c>
      <c r="AL1819" s="7">
        <v>279.7</v>
      </c>
      <c r="AM1819" s="7">
        <v>52.0</v>
      </c>
      <c r="AN1819" s="7">
        <v>25.0</v>
      </c>
      <c r="AO1819" s="7">
        <v>32.7</v>
      </c>
      <c r="AP1819" s="9">
        <f t="shared" ref="AP1819:AR1819" si="5705">AG1819/$AF1819</f>
        <v>99.86129032</v>
      </c>
      <c r="AQ1819" s="9">
        <f t="shared" si="5705"/>
        <v>51.77419355</v>
      </c>
      <c r="AR1819" s="9">
        <f t="shared" si="5705"/>
        <v>28.41774194</v>
      </c>
      <c r="AS1819" s="9">
        <f t="shared" si="4568"/>
        <v>80.19193548</v>
      </c>
      <c r="AT1819" s="9">
        <f t="shared" ref="AT1819:AV1819" si="5706">AJ1819/$AF1819</f>
        <v>9.55</v>
      </c>
      <c r="AU1819" s="9">
        <f t="shared" si="5706"/>
        <v>5.609677419</v>
      </c>
      <c r="AV1819" s="9">
        <f t="shared" si="5706"/>
        <v>4.511290323</v>
      </c>
      <c r="AW1819" s="9">
        <f t="shared" si="4570"/>
        <v>10.12096774</v>
      </c>
      <c r="AX1819" s="9">
        <f t="shared" ref="AX1819:AY1819" si="5707">AM1819/$AF1819</f>
        <v>0.8387096774</v>
      </c>
      <c r="AY1819" s="9">
        <f t="shared" si="5707"/>
        <v>0.4032258065</v>
      </c>
      <c r="AZ1819" s="9">
        <f>VLOOKUP(A1819,Jogos!A:BN,58,0)</f>
        <v>32.155</v>
      </c>
      <c r="BA1819" s="9">
        <f>VLOOKUP(A1819,Jogos!A:BN,59,0)</f>
        <v>19.36</v>
      </c>
      <c r="BB1819" s="9">
        <f>VLOOKUP(A1819,Jogos!A:BN,60,0)</f>
        <v>46</v>
      </c>
      <c r="BC1819" s="9">
        <f>VLOOKUP(A1819,Jogos!A:BN,61,0)</f>
        <v>34.075</v>
      </c>
      <c r="BD1819" s="9">
        <f>VLOOKUP(A1819,Jogos!A:BN,62,0)</f>
        <v>555.45</v>
      </c>
      <c r="BE1819" s="9">
        <f>VLOOKUP(A1819,Jogos!A:BN,63,0)</f>
        <v>1.155</v>
      </c>
      <c r="BF1819" s="9">
        <f>VLOOKUP(A1819,Jogos!A:BN,64,0)</f>
        <v>25.055</v>
      </c>
      <c r="BG1819" s="9">
        <f>VLOOKUP(A1819,Jogos!A:BN,65,0)</f>
        <v>46.925</v>
      </c>
      <c r="BH1819" s="9">
        <f>VLOOKUP(A1819,Jogos!A:BN,66,0)</f>
        <v>30.14</v>
      </c>
      <c r="BI1819" s="9"/>
      <c r="BJ1819" s="9"/>
    </row>
    <row r="1820" hidden="1">
      <c r="A1820" s="2">
        <v>62.0</v>
      </c>
      <c r="B1820" s="2" t="s">
        <v>1385</v>
      </c>
      <c r="C1820" s="2" t="s">
        <v>1351</v>
      </c>
      <c r="D1820" s="3">
        <v>45847.0</v>
      </c>
      <c r="E1820" s="4">
        <v>0.6319444444444444</v>
      </c>
      <c r="F1820" s="5" t="str">
        <f>VLOOKUP(A1820,Jogos!A:N,10,0)</f>
        <v>Afternoon</v>
      </c>
      <c r="G1820" s="2" t="s">
        <v>249</v>
      </c>
      <c r="H1820" s="6" t="str">
        <f>VLOOKUP(A1820,Jogos!A:L,12,0)</f>
        <v>Open</v>
      </c>
      <c r="I1820" s="6" t="str">
        <f>VLOOKUP(G1820,'Estádios e Cidades'!A:B,2,0)</f>
        <v>East Rutherford</v>
      </c>
      <c r="J1820" s="2" t="s">
        <v>187</v>
      </c>
      <c r="K1820" s="2" t="str">
        <f>VLOOKUP(J1820,Equipes!A:F,6,0)</f>
        <v>Temperate</v>
      </c>
      <c r="L1820" s="2">
        <f>VLOOKUP(J1820,Equipes!A:C,3,0)</f>
        <v>2</v>
      </c>
      <c r="M1820" s="2" t="str">
        <f t="shared" si="4"/>
        <v>Final</v>
      </c>
      <c r="N1820" s="2" t="s">
        <v>873</v>
      </c>
      <c r="O1820" s="2">
        <f>VLOOKUP(N1820,Equipes!A:C,3,0)</f>
        <v>3</v>
      </c>
      <c r="P1820" s="2" t="str">
        <f t="shared" si="5"/>
        <v>Semi-final</v>
      </c>
      <c r="Q1820" s="2">
        <f t="shared" si="6"/>
        <v>-1</v>
      </c>
      <c r="R1820" s="2" t="str">
        <f>VLOOKUP(J1820,Equipes!A:B,2,0)</f>
        <v>PSG</v>
      </c>
      <c r="S1820" s="14" t="s">
        <v>195</v>
      </c>
      <c r="T1820" s="7">
        <v>8.0</v>
      </c>
      <c r="U1820" s="7" t="s">
        <v>196</v>
      </c>
      <c r="V1820" s="7" t="str">
        <f>VLOOKUP(U1820,Jogadores!B:C,2,0)</f>
        <v>MF</v>
      </c>
      <c r="W1820" s="8">
        <f>VLOOKUP(U1820,Jogadores!B:D,3,0)</f>
        <v>29.3369863</v>
      </c>
      <c r="X1820" s="7">
        <v>0.0</v>
      </c>
      <c r="Y1820" s="7">
        <v>66.0</v>
      </c>
      <c r="Z1820" s="7">
        <f>VLOOKUP(A1820,Jogos!A:L,3,0)</f>
        <v>48</v>
      </c>
      <c r="AA1820" s="7">
        <f t="shared" si="4815"/>
        <v>48</v>
      </c>
      <c r="AB1820" s="7">
        <f>VLOOKUP(A1820,Jogos!A:L,4,0)</f>
        <v>45</v>
      </c>
      <c r="AC1820" s="7">
        <f t="shared" si="5062"/>
        <v>21</v>
      </c>
      <c r="AD1820" s="7"/>
      <c r="AE1820" s="7"/>
      <c r="AF1820" s="7">
        <f t="shared" si="4566"/>
        <v>69</v>
      </c>
      <c r="AG1820" s="7">
        <v>8064.3</v>
      </c>
      <c r="AH1820" s="7">
        <v>2992.7</v>
      </c>
      <c r="AI1820" s="7">
        <v>3482.0</v>
      </c>
      <c r="AJ1820" s="7">
        <v>1107.1</v>
      </c>
      <c r="AK1820" s="7">
        <v>332.9</v>
      </c>
      <c r="AL1820" s="7">
        <v>149.6</v>
      </c>
      <c r="AM1820" s="7">
        <v>82.0</v>
      </c>
      <c r="AN1820" s="7">
        <v>27.0</v>
      </c>
      <c r="AO1820" s="7">
        <v>33.7</v>
      </c>
      <c r="AP1820" s="9">
        <f t="shared" ref="AP1820:AR1820" si="5708">AG1820/$AF1820</f>
        <v>116.873913</v>
      </c>
      <c r="AQ1820" s="9">
        <f t="shared" si="5708"/>
        <v>43.37246377</v>
      </c>
      <c r="AR1820" s="9">
        <f t="shared" si="5708"/>
        <v>50.46376812</v>
      </c>
      <c r="AS1820" s="9">
        <f t="shared" si="4568"/>
        <v>93.83623188</v>
      </c>
      <c r="AT1820" s="9">
        <f t="shared" ref="AT1820:AV1820" si="5709">AJ1820/$AF1820</f>
        <v>16.04492754</v>
      </c>
      <c r="AU1820" s="9">
        <f t="shared" si="5709"/>
        <v>4.824637681</v>
      </c>
      <c r="AV1820" s="9">
        <f t="shared" si="5709"/>
        <v>2.168115942</v>
      </c>
      <c r="AW1820" s="9">
        <f t="shared" si="4570"/>
        <v>6.992753623</v>
      </c>
      <c r="AX1820" s="9">
        <f t="shared" ref="AX1820:AY1820" si="5710">AM1820/$AF1820</f>
        <v>1.188405797</v>
      </c>
      <c r="AY1820" s="9">
        <f t="shared" si="5710"/>
        <v>0.3913043478</v>
      </c>
      <c r="AZ1820" s="9">
        <f>VLOOKUP(A1820,Jogos!A:BN,58,0)</f>
        <v>32.155</v>
      </c>
      <c r="BA1820" s="9">
        <f>VLOOKUP(A1820,Jogos!A:BN,59,0)</f>
        <v>19.36</v>
      </c>
      <c r="BB1820" s="9">
        <f>VLOOKUP(A1820,Jogos!A:BN,60,0)</f>
        <v>46</v>
      </c>
      <c r="BC1820" s="9">
        <f>VLOOKUP(A1820,Jogos!A:BN,61,0)</f>
        <v>34.075</v>
      </c>
      <c r="BD1820" s="9">
        <f>VLOOKUP(A1820,Jogos!A:BN,62,0)</f>
        <v>555.45</v>
      </c>
      <c r="BE1820" s="9">
        <f>VLOOKUP(A1820,Jogos!A:BN,63,0)</f>
        <v>1.155</v>
      </c>
      <c r="BF1820" s="9">
        <f>VLOOKUP(A1820,Jogos!A:BN,64,0)</f>
        <v>25.055</v>
      </c>
      <c r="BG1820" s="9">
        <f>VLOOKUP(A1820,Jogos!A:BN,65,0)</f>
        <v>46.925</v>
      </c>
      <c r="BH1820" s="9">
        <f>VLOOKUP(A1820,Jogos!A:BN,66,0)</f>
        <v>30.14</v>
      </c>
      <c r="BI1820" s="9"/>
      <c r="BJ1820" s="9"/>
    </row>
    <row r="1821" hidden="1">
      <c r="A1821" s="2">
        <v>62.0</v>
      </c>
      <c r="B1821" s="2" t="s">
        <v>1385</v>
      </c>
      <c r="C1821" s="2" t="s">
        <v>1351</v>
      </c>
      <c r="D1821" s="3">
        <v>45847.0</v>
      </c>
      <c r="E1821" s="4">
        <v>0.6319444444444444</v>
      </c>
      <c r="F1821" s="5" t="str">
        <f>VLOOKUP(A1821,Jogos!A:N,10,0)</f>
        <v>Afternoon</v>
      </c>
      <c r="G1821" s="2" t="s">
        <v>249</v>
      </c>
      <c r="H1821" s="6" t="str">
        <f>VLOOKUP(A1821,Jogos!A:L,12,0)</f>
        <v>Open</v>
      </c>
      <c r="I1821" s="6" t="str">
        <f>VLOOKUP(G1821,'Estádios e Cidades'!A:B,2,0)</f>
        <v>East Rutherford</v>
      </c>
      <c r="J1821" s="2" t="s">
        <v>187</v>
      </c>
      <c r="K1821" s="2" t="str">
        <f>VLOOKUP(J1821,Equipes!A:F,6,0)</f>
        <v>Temperate</v>
      </c>
      <c r="L1821" s="2">
        <f>VLOOKUP(J1821,Equipes!A:C,3,0)</f>
        <v>2</v>
      </c>
      <c r="M1821" s="2" t="str">
        <f t="shared" si="4"/>
        <v>Final</v>
      </c>
      <c r="N1821" s="2" t="s">
        <v>873</v>
      </c>
      <c r="O1821" s="2">
        <f>VLOOKUP(N1821,Equipes!A:C,3,0)</f>
        <v>3</v>
      </c>
      <c r="P1821" s="2" t="str">
        <f t="shared" si="5"/>
        <v>Semi-final</v>
      </c>
      <c r="Q1821" s="2">
        <f t="shared" si="6"/>
        <v>-1</v>
      </c>
      <c r="R1821" s="2" t="str">
        <f>VLOOKUP(J1821,Equipes!A:B,2,0)</f>
        <v>PSG</v>
      </c>
      <c r="S1821" s="14" t="s">
        <v>1366</v>
      </c>
      <c r="T1821" s="7">
        <v>10.0</v>
      </c>
      <c r="U1821" s="7" t="s">
        <v>1367</v>
      </c>
      <c r="V1821" s="7" t="str">
        <f>VLOOKUP(U1821,Jogadores!B:C,2,0)</f>
        <v>FW</v>
      </c>
      <c r="W1821" s="8">
        <f>VLOOKUP(U1821,Jogadores!B:D,3,0)</f>
        <v>28.22191781</v>
      </c>
      <c r="X1821" s="7">
        <v>0.0</v>
      </c>
      <c r="Y1821" s="7">
        <v>59.0</v>
      </c>
      <c r="Z1821" s="7">
        <f>VLOOKUP(A1821,Jogos!A:L,3,0)</f>
        <v>48</v>
      </c>
      <c r="AA1821" s="7">
        <f t="shared" si="4815"/>
        <v>48</v>
      </c>
      <c r="AB1821" s="7">
        <f>VLOOKUP(A1821,Jogos!A:L,4,0)</f>
        <v>45</v>
      </c>
      <c r="AC1821" s="7">
        <f t="shared" si="5062"/>
        <v>14</v>
      </c>
      <c r="AD1821" s="7"/>
      <c r="AE1821" s="7"/>
      <c r="AF1821" s="7">
        <f t="shared" si="4566"/>
        <v>62</v>
      </c>
      <c r="AG1821" s="7">
        <v>6829.4</v>
      </c>
      <c r="AH1821" s="7">
        <v>2959.7</v>
      </c>
      <c r="AI1821" s="7">
        <v>2165.6</v>
      </c>
      <c r="AJ1821" s="7">
        <v>912.5</v>
      </c>
      <c r="AK1821" s="7">
        <v>492.3</v>
      </c>
      <c r="AL1821" s="7">
        <v>299.2</v>
      </c>
      <c r="AM1821" s="7">
        <v>84.0</v>
      </c>
      <c r="AN1821" s="7">
        <v>41.0</v>
      </c>
      <c r="AO1821" s="7">
        <v>31.4</v>
      </c>
      <c r="AP1821" s="9">
        <f t="shared" ref="AP1821:AR1821" si="5711">AG1821/$AF1821</f>
        <v>110.1516129</v>
      </c>
      <c r="AQ1821" s="9">
        <f t="shared" si="5711"/>
        <v>47.73709677</v>
      </c>
      <c r="AR1821" s="9">
        <f t="shared" si="5711"/>
        <v>34.92903226</v>
      </c>
      <c r="AS1821" s="9">
        <f t="shared" si="4568"/>
        <v>82.66612903</v>
      </c>
      <c r="AT1821" s="9">
        <f t="shared" ref="AT1821:AV1821" si="5712">AJ1821/$AF1821</f>
        <v>14.71774194</v>
      </c>
      <c r="AU1821" s="9">
        <f t="shared" si="5712"/>
        <v>7.940322581</v>
      </c>
      <c r="AV1821" s="9">
        <f t="shared" si="5712"/>
        <v>4.825806452</v>
      </c>
      <c r="AW1821" s="9">
        <f t="shared" si="4570"/>
        <v>12.76612903</v>
      </c>
      <c r="AX1821" s="9">
        <f t="shared" ref="AX1821:AY1821" si="5713">AM1821/$AF1821</f>
        <v>1.35483871</v>
      </c>
      <c r="AY1821" s="9">
        <f t="shared" si="5713"/>
        <v>0.6612903226</v>
      </c>
      <c r="AZ1821" s="9">
        <f>VLOOKUP(A1821,Jogos!A:BN,58,0)</f>
        <v>32.155</v>
      </c>
      <c r="BA1821" s="9">
        <f>VLOOKUP(A1821,Jogos!A:BN,59,0)</f>
        <v>19.36</v>
      </c>
      <c r="BB1821" s="9">
        <f>VLOOKUP(A1821,Jogos!A:BN,60,0)</f>
        <v>46</v>
      </c>
      <c r="BC1821" s="9">
        <f>VLOOKUP(A1821,Jogos!A:BN,61,0)</f>
        <v>34.075</v>
      </c>
      <c r="BD1821" s="9">
        <f>VLOOKUP(A1821,Jogos!A:BN,62,0)</f>
        <v>555.45</v>
      </c>
      <c r="BE1821" s="9">
        <f>VLOOKUP(A1821,Jogos!A:BN,63,0)</f>
        <v>1.155</v>
      </c>
      <c r="BF1821" s="9">
        <f>VLOOKUP(A1821,Jogos!A:BN,64,0)</f>
        <v>25.055</v>
      </c>
      <c r="BG1821" s="9">
        <f>VLOOKUP(A1821,Jogos!A:BN,65,0)</f>
        <v>46.925</v>
      </c>
      <c r="BH1821" s="9">
        <f>VLOOKUP(A1821,Jogos!A:BN,66,0)</f>
        <v>30.14</v>
      </c>
      <c r="BI1821" s="9"/>
      <c r="BJ1821" s="9"/>
    </row>
    <row r="1822" hidden="1">
      <c r="A1822" s="2">
        <v>62.0</v>
      </c>
      <c r="B1822" s="2" t="s">
        <v>1385</v>
      </c>
      <c r="C1822" s="2" t="s">
        <v>1351</v>
      </c>
      <c r="D1822" s="3">
        <v>45847.0</v>
      </c>
      <c r="E1822" s="4">
        <v>0.6319444444444444</v>
      </c>
      <c r="F1822" s="5" t="str">
        <f>VLOOKUP(A1822,Jogos!A:N,10,0)</f>
        <v>Afternoon</v>
      </c>
      <c r="G1822" s="2" t="s">
        <v>249</v>
      </c>
      <c r="H1822" s="6" t="str">
        <f>VLOOKUP(A1822,Jogos!A:L,12,0)</f>
        <v>Open</v>
      </c>
      <c r="I1822" s="6" t="str">
        <f>VLOOKUP(G1822,'Estádios e Cidades'!A:B,2,0)</f>
        <v>East Rutherford</v>
      </c>
      <c r="J1822" s="2" t="s">
        <v>187</v>
      </c>
      <c r="K1822" s="2" t="str">
        <f>VLOOKUP(J1822,Equipes!A:F,6,0)</f>
        <v>Temperate</v>
      </c>
      <c r="L1822" s="2">
        <f>VLOOKUP(J1822,Equipes!A:C,3,0)</f>
        <v>2</v>
      </c>
      <c r="M1822" s="2" t="str">
        <f t="shared" si="4"/>
        <v>Final</v>
      </c>
      <c r="N1822" s="2" t="s">
        <v>873</v>
      </c>
      <c r="O1822" s="2">
        <f>VLOOKUP(N1822,Equipes!A:C,3,0)</f>
        <v>3</v>
      </c>
      <c r="P1822" s="2" t="str">
        <f t="shared" si="5"/>
        <v>Semi-final</v>
      </c>
      <c r="Q1822" s="2">
        <f t="shared" si="6"/>
        <v>-1</v>
      </c>
      <c r="R1822" s="2" t="str">
        <f>VLOOKUP(J1822,Equipes!A:B,2,0)</f>
        <v>PSG</v>
      </c>
      <c r="S1822" s="14" t="s">
        <v>199</v>
      </c>
      <c r="T1822" s="7">
        <v>14.0</v>
      </c>
      <c r="U1822" s="7" t="s">
        <v>200</v>
      </c>
      <c r="V1822" s="7" t="str">
        <f>VLOOKUP(U1822,Jogadores!B:C,2,0)</f>
        <v>FW</v>
      </c>
      <c r="W1822" s="8">
        <f>VLOOKUP(U1822,Jogadores!B:D,3,0)</f>
        <v>20.16438356</v>
      </c>
      <c r="X1822" s="7">
        <v>0.0</v>
      </c>
      <c r="Y1822" s="7">
        <v>67.0</v>
      </c>
      <c r="Z1822" s="7">
        <f>VLOOKUP(A1822,Jogos!A:L,3,0)</f>
        <v>48</v>
      </c>
      <c r="AA1822" s="7">
        <f t="shared" si="4815"/>
        <v>48</v>
      </c>
      <c r="AB1822" s="7">
        <f>VLOOKUP(A1822,Jogos!A:L,4,0)</f>
        <v>45</v>
      </c>
      <c r="AC1822" s="7">
        <f t="shared" si="5062"/>
        <v>22</v>
      </c>
      <c r="AD1822" s="7"/>
      <c r="AE1822" s="7"/>
      <c r="AF1822" s="7">
        <f t="shared" si="4566"/>
        <v>70</v>
      </c>
      <c r="AG1822" s="7">
        <v>7761.3</v>
      </c>
      <c r="AH1822" s="7">
        <v>2868.2</v>
      </c>
      <c r="AI1822" s="7">
        <v>3020.6</v>
      </c>
      <c r="AJ1822" s="7">
        <v>1146.8</v>
      </c>
      <c r="AK1822" s="7">
        <v>508.1</v>
      </c>
      <c r="AL1822" s="7">
        <v>217.6</v>
      </c>
      <c r="AM1822" s="7">
        <v>98.0</v>
      </c>
      <c r="AN1822" s="7">
        <v>48.0</v>
      </c>
      <c r="AO1822" s="7">
        <v>34.5</v>
      </c>
      <c r="AP1822" s="9">
        <f t="shared" ref="AP1822:AR1822" si="5714">AG1822/$AF1822</f>
        <v>110.8757143</v>
      </c>
      <c r="AQ1822" s="9">
        <f t="shared" si="5714"/>
        <v>40.97428571</v>
      </c>
      <c r="AR1822" s="9">
        <f t="shared" si="5714"/>
        <v>43.15142857</v>
      </c>
      <c r="AS1822" s="9">
        <f t="shared" si="4568"/>
        <v>84.12571429</v>
      </c>
      <c r="AT1822" s="9">
        <f t="shared" ref="AT1822:AV1822" si="5715">AJ1822/$AF1822</f>
        <v>16.38285714</v>
      </c>
      <c r="AU1822" s="9">
        <f t="shared" si="5715"/>
        <v>7.258571429</v>
      </c>
      <c r="AV1822" s="9">
        <f t="shared" si="5715"/>
        <v>3.108571429</v>
      </c>
      <c r="AW1822" s="9">
        <f t="shared" si="4570"/>
        <v>10.36714286</v>
      </c>
      <c r="AX1822" s="9">
        <f t="shared" ref="AX1822:AY1822" si="5716">AM1822/$AF1822</f>
        <v>1.4</v>
      </c>
      <c r="AY1822" s="9">
        <f t="shared" si="5716"/>
        <v>0.6857142857</v>
      </c>
      <c r="AZ1822" s="9">
        <f>VLOOKUP(A1822,Jogos!A:BN,58,0)</f>
        <v>32.155</v>
      </c>
      <c r="BA1822" s="9">
        <f>VLOOKUP(A1822,Jogos!A:BN,59,0)</f>
        <v>19.36</v>
      </c>
      <c r="BB1822" s="9">
        <f>VLOOKUP(A1822,Jogos!A:BN,60,0)</f>
        <v>46</v>
      </c>
      <c r="BC1822" s="9">
        <f>VLOOKUP(A1822,Jogos!A:BN,61,0)</f>
        <v>34.075</v>
      </c>
      <c r="BD1822" s="9">
        <f>VLOOKUP(A1822,Jogos!A:BN,62,0)</f>
        <v>555.45</v>
      </c>
      <c r="BE1822" s="9">
        <f>VLOOKUP(A1822,Jogos!A:BN,63,0)</f>
        <v>1.155</v>
      </c>
      <c r="BF1822" s="9">
        <f>VLOOKUP(A1822,Jogos!A:BN,64,0)</f>
        <v>25.055</v>
      </c>
      <c r="BG1822" s="9">
        <f>VLOOKUP(A1822,Jogos!A:BN,65,0)</f>
        <v>46.925</v>
      </c>
      <c r="BH1822" s="9">
        <f>VLOOKUP(A1822,Jogos!A:BN,66,0)</f>
        <v>30.14</v>
      </c>
      <c r="BI1822" s="9"/>
      <c r="BJ1822" s="9"/>
    </row>
    <row r="1823" hidden="1">
      <c r="A1823" s="2">
        <v>62.0</v>
      </c>
      <c r="B1823" s="2" t="s">
        <v>1385</v>
      </c>
      <c r="C1823" s="2" t="s">
        <v>1351</v>
      </c>
      <c r="D1823" s="3">
        <v>45847.0</v>
      </c>
      <c r="E1823" s="4">
        <v>0.6319444444444444</v>
      </c>
      <c r="F1823" s="5" t="str">
        <f>VLOOKUP(A1823,Jogos!A:N,10,0)</f>
        <v>Afternoon</v>
      </c>
      <c r="G1823" s="2" t="s">
        <v>249</v>
      </c>
      <c r="H1823" s="6" t="str">
        <f>VLOOKUP(A1823,Jogos!A:L,12,0)</f>
        <v>Open</v>
      </c>
      <c r="I1823" s="6" t="str">
        <f>VLOOKUP(G1823,'Estádios e Cidades'!A:B,2,0)</f>
        <v>East Rutherford</v>
      </c>
      <c r="J1823" s="2" t="s">
        <v>187</v>
      </c>
      <c r="K1823" s="2" t="str">
        <f>VLOOKUP(J1823,Equipes!A:F,6,0)</f>
        <v>Temperate</v>
      </c>
      <c r="L1823" s="2">
        <f>VLOOKUP(J1823,Equipes!A:C,3,0)</f>
        <v>2</v>
      </c>
      <c r="M1823" s="2" t="str">
        <f t="shared" si="4"/>
        <v>Final</v>
      </c>
      <c r="N1823" s="2" t="s">
        <v>873</v>
      </c>
      <c r="O1823" s="2">
        <f>VLOOKUP(N1823,Equipes!A:C,3,0)</f>
        <v>3</v>
      </c>
      <c r="P1823" s="2" t="str">
        <f t="shared" si="5"/>
        <v>Semi-final</v>
      </c>
      <c r="Q1823" s="2">
        <f t="shared" si="6"/>
        <v>-1</v>
      </c>
      <c r="R1823" s="2" t="str">
        <f>VLOOKUP(J1823,Equipes!A:B,2,0)</f>
        <v>PSG</v>
      </c>
      <c r="S1823" s="14" t="s">
        <v>201</v>
      </c>
      <c r="T1823" s="7">
        <v>17.0</v>
      </c>
      <c r="U1823" s="7" t="s">
        <v>202</v>
      </c>
      <c r="V1823" s="7" t="str">
        <f>VLOOKUP(U1823,Jogadores!B:C,2,0)</f>
        <v>MF</v>
      </c>
      <c r="W1823" s="8">
        <f>VLOOKUP(U1823,Jogadores!B:D,3,0)</f>
        <v>25.47123288</v>
      </c>
      <c r="X1823" s="7">
        <v>0.0</v>
      </c>
      <c r="Y1823" s="7">
        <f>45+AB1823</f>
        <v>90</v>
      </c>
      <c r="Z1823" s="7">
        <f>VLOOKUP(A1823,Jogos!A:L,3,0)</f>
        <v>48</v>
      </c>
      <c r="AA1823" s="7">
        <f t="shared" si="4815"/>
        <v>48</v>
      </c>
      <c r="AB1823" s="7">
        <f>VLOOKUP(A1823,Jogos!A:L,4,0)</f>
        <v>45</v>
      </c>
      <c r="AC1823" s="7">
        <f t="shared" si="5062"/>
        <v>45</v>
      </c>
      <c r="AD1823" s="7"/>
      <c r="AE1823" s="7"/>
      <c r="AF1823" s="7">
        <f t="shared" si="4566"/>
        <v>93</v>
      </c>
      <c r="AG1823" s="7">
        <v>11076.9</v>
      </c>
      <c r="AH1823" s="7">
        <v>3449.2</v>
      </c>
      <c r="AI1823" s="7">
        <v>5507.5</v>
      </c>
      <c r="AJ1823" s="7">
        <v>1391.3</v>
      </c>
      <c r="AK1823" s="7">
        <v>562.1</v>
      </c>
      <c r="AL1823" s="7">
        <v>166.8</v>
      </c>
      <c r="AM1823" s="7">
        <v>122.0</v>
      </c>
      <c r="AN1823" s="7">
        <v>38.0</v>
      </c>
      <c r="AO1823" s="7">
        <v>28.9</v>
      </c>
      <c r="AP1823" s="9">
        <f t="shared" ref="AP1823:AR1823" si="5717">AG1823/$AF1823</f>
        <v>119.1064516</v>
      </c>
      <c r="AQ1823" s="9">
        <f t="shared" si="5717"/>
        <v>37.08817204</v>
      </c>
      <c r="AR1823" s="9">
        <f t="shared" si="5717"/>
        <v>59.22043011</v>
      </c>
      <c r="AS1823" s="9">
        <f t="shared" si="4568"/>
        <v>96.30860215</v>
      </c>
      <c r="AT1823" s="9">
        <f t="shared" ref="AT1823:AV1823" si="5718">AJ1823/$AF1823</f>
        <v>14.96021505</v>
      </c>
      <c r="AU1823" s="9">
        <f t="shared" si="5718"/>
        <v>6.044086022</v>
      </c>
      <c r="AV1823" s="9">
        <f t="shared" si="5718"/>
        <v>1.793548387</v>
      </c>
      <c r="AW1823" s="9">
        <f t="shared" si="4570"/>
        <v>7.837634409</v>
      </c>
      <c r="AX1823" s="9">
        <f t="shared" ref="AX1823:AY1823" si="5719">AM1823/$AF1823</f>
        <v>1.311827957</v>
      </c>
      <c r="AY1823" s="9">
        <f t="shared" si="5719"/>
        <v>0.4086021505</v>
      </c>
      <c r="AZ1823" s="9">
        <f>VLOOKUP(A1823,Jogos!A:BN,58,0)</f>
        <v>32.155</v>
      </c>
      <c r="BA1823" s="9">
        <f>VLOOKUP(A1823,Jogos!A:BN,59,0)</f>
        <v>19.36</v>
      </c>
      <c r="BB1823" s="9">
        <f>VLOOKUP(A1823,Jogos!A:BN,60,0)</f>
        <v>46</v>
      </c>
      <c r="BC1823" s="9">
        <f>VLOOKUP(A1823,Jogos!A:BN,61,0)</f>
        <v>34.075</v>
      </c>
      <c r="BD1823" s="9">
        <f>VLOOKUP(A1823,Jogos!A:BN,62,0)</f>
        <v>555.45</v>
      </c>
      <c r="BE1823" s="9">
        <f>VLOOKUP(A1823,Jogos!A:BN,63,0)</f>
        <v>1.155</v>
      </c>
      <c r="BF1823" s="9">
        <f>VLOOKUP(A1823,Jogos!A:BN,64,0)</f>
        <v>25.055</v>
      </c>
      <c r="BG1823" s="9">
        <f>VLOOKUP(A1823,Jogos!A:BN,65,0)</f>
        <v>46.925</v>
      </c>
      <c r="BH1823" s="9">
        <f>VLOOKUP(A1823,Jogos!A:BN,66,0)</f>
        <v>30.14</v>
      </c>
      <c r="BI1823" s="9"/>
      <c r="BJ1823" s="9"/>
    </row>
    <row r="1824" hidden="1">
      <c r="A1824" s="2">
        <v>62.0</v>
      </c>
      <c r="B1824" s="2" t="s">
        <v>1385</v>
      </c>
      <c r="C1824" s="2" t="s">
        <v>1351</v>
      </c>
      <c r="D1824" s="3">
        <v>45847.0</v>
      </c>
      <c r="E1824" s="4">
        <v>0.6319444444444444</v>
      </c>
      <c r="F1824" s="5" t="str">
        <f>VLOOKUP(A1824,Jogos!A:N,10,0)</f>
        <v>Afternoon</v>
      </c>
      <c r="G1824" s="2" t="s">
        <v>249</v>
      </c>
      <c r="H1824" s="6" t="str">
        <f>VLOOKUP(A1824,Jogos!A:L,12,0)</f>
        <v>Open</v>
      </c>
      <c r="I1824" s="6" t="str">
        <f>VLOOKUP(G1824,'Estádios e Cidades'!A:B,2,0)</f>
        <v>East Rutherford</v>
      </c>
      <c r="J1824" s="2" t="s">
        <v>187</v>
      </c>
      <c r="K1824" s="2" t="str">
        <f>VLOOKUP(J1824,Equipes!A:F,6,0)</f>
        <v>Temperate</v>
      </c>
      <c r="L1824" s="2">
        <f>VLOOKUP(J1824,Equipes!A:C,3,0)</f>
        <v>2</v>
      </c>
      <c r="M1824" s="2" t="str">
        <f t="shared" si="4"/>
        <v>Final</v>
      </c>
      <c r="N1824" s="2" t="s">
        <v>873</v>
      </c>
      <c r="O1824" s="2">
        <f>VLOOKUP(N1824,Equipes!A:C,3,0)</f>
        <v>3</v>
      </c>
      <c r="P1824" s="2" t="str">
        <f t="shared" si="5"/>
        <v>Semi-final</v>
      </c>
      <c r="Q1824" s="2">
        <f t="shared" si="6"/>
        <v>-1</v>
      </c>
      <c r="R1824" s="2" t="str">
        <f>VLOOKUP(J1824,Equipes!A:B,2,0)</f>
        <v>PSG</v>
      </c>
      <c r="S1824" s="14" t="s">
        <v>203</v>
      </c>
      <c r="T1824" s="7">
        <v>25.0</v>
      </c>
      <c r="U1824" s="7" t="s">
        <v>204</v>
      </c>
      <c r="V1824" s="7" t="str">
        <f>VLOOKUP(U1824,Jogadores!B:C,2,0)</f>
        <v>DF</v>
      </c>
      <c r="W1824" s="8">
        <f>VLOOKUP(U1824,Jogadores!B:D,3,0)</f>
        <v>23.12328767</v>
      </c>
      <c r="X1824" s="7">
        <v>0.0</v>
      </c>
      <c r="Y1824" s="7">
        <v>79.0</v>
      </c>
      <c r="Z1824" s="7">
        <f>VLOOKUP(A1824,Jogos!A:L,3,0)</f>
        <v>48</v>
      </c>
      <c r="AA1824" s="7">
        <f t="shared" si="4815"/>
        <v>48</v>
      </c>
      <c r="AB1824" s="7">
        <f>VLOOKUP(A1824,Jogos!A:L,4,0)</f>
        <v>45</v>
      </c>
      <c r="AC1824" s="7">
        <f t="shared" si="5062"/>
        <v>34</v>
      </c>
      <c r="AD1824" s="7"/>
      <c r="AE1824" s="7"/>
      <c r="AF1824" s="7">
        <f t="shared" si="4566"/>
        <v>82</v>
      </c>
      <c r="AG1824" s="7">
        <v>7140.0</v>
      </c>
      <c r="AH1824" s="7">
        <v>3366.4</v>
      </c>
      <c r="AI1824" s="7">
        <v>2531.3</v>
      </c>
      <c r="AJ1824" s="7">
        <v>612.1</v>
      </c>
      <c r="AK1824" s="7">
        <v>409.9</v>
      </c>
      <c r="AL1824" s="7">
        <v>220.2</v>
      </c>
      <c r="AM1824" s="7">
        <v>57.0</v>
      </c>
      <c r="AN1824" s="7">
        <v>33.0</v>
      </c>
      <c r="AO1824" s="7">
        <v>37.0</v>
      </c>
      <c r="AP1824" s="9">
        <f t="shared" ref="AP1824:AR1824" si="5720">AG1824/$AF1824</f>
        <v>87.07317073</v>
      </c>
      <c r="AQ1824" s="9">
        <f t="shared" si="5720"/>
        <v>41.05365854</v>
      </c>
      <c r="AR1824" s="9">
        <f t="shared" si="5720"/>
        <v>30.8695122</v>
      </c>
      <c r="AS1824" s="9">
        <f t="shared" si="4568"/>
        <v>71.92317073</v>
      </c>
      <c r="AT1824" s="9">
        <f t="shared" ref="AT1824:AV1824" si="5721">AJ1824/$AF1824</f>
        <v>7.464634146</v>
      </c>
      <c r="AU1824" s="9">
        <f t="shared" si="5721"/>
        <v>4.998780488</v>
      </c>
      <c r="AV1824" s="9">
        <f t="shared" si="5721"/>
        <v>2.685365854</v>
      </c>
      <c r="AW1824" s="9">
        <f t="shared" si="4570"/>
        <v>7.684146341</v>
      </c>
      <c r="AX1824" s="9">
        <f t="shared" ref="AX1824:AY1824" si="5722">AM1824/$AF1824</f>
        <v>0.6951219512</v>
      </c>
      <c r="AY1824" s="9">
        <f t="shared" si="5722"/>
        <v>0.4024390244</v>
      </c>
      <c r="AZ1824" s="9">
        <f>VLOOKUP(A1824,Jogos!A:BN,58,0)</f>
        <v>32.155</v>
      </c>
      <c r="BA1824" s="9">
        <f>VLOOKUP(A1824,Jogos!A:BN,59,0)</f>
        <v>19.36</v>
      </c>
      <c r="BB1824" s="9">
        <f>VLOOKUP(A1824,Jogos!A:BN,60,0)</f>
        <v>46</v>
      </c>
      <c r="BC1824" s="9">
        <f>VLOOKUP(A1824,Jogos!A:BN,61,0)</f>
        <v>34.075</v>
      </c>
      <c r="BD1824" s="9">
        <f>VLOOKUP(A1824,Jogos!A:BN,62,0)</f>
        <v>555.45</v>
      </c>
      <c r="BE1824" s="9">
        <f>VLOOKUP(A1824,Jogos!A:BN,63,0)</f>
        <v>1.155</v>
      </c>
      <c r="BF1824" s="9">
        <f>VLOOKUP(A1824,Jogos!A:BN,64,0)</f>
        <v>25.055</v>
      </c>
      <c r="BG1824" s="9">
        <f>VLOOKUP(A1824,Jogos!A:BN,65,0)</f>
        <v>46.925</v>
      </c>
      <c r="BH1824" s="9">
        <f>VLOOKUP(A1824,Jogos!A:BN,66,0)</f>
        <v>30.14</v>
      </c>
      <c r="BI1824" s="9"/>
      <c r="BJ1824" s="9"/>
    </row>
    <row r="1825" hidden="1">
      <c r="A1825" s="2">
        <v>62.0</v>
      </c>
      <c r="B1825" s="2" t="s">
        <v>1385</v>
      </c>
      <c r="C1825" s="2" t="s">
        <v>1351</v>
      </c>
      <c r="D1825" s="3">
        <v>45847.0</v>
      </c>
      <c r="E1825" s="4">
        <v>0.6319444444444444</v>
      </c>
      <c r="F1825" s="5" t="str">
        <f>VLOOKUP(A1825,Jogos!A:N,10,0)</f>
        <v>Afternoon</v>
      </c>
      <c r="G1825" s="2" t="s">
        <v>249</v>
      </c>
      <c r="H1825" s="6" t="str">
        <f>VLOOKUP(A1825,Jogos!A:L,12,0)</f>
        <v>Open</v>
      </c>
      <c r="I1825" s="6" t="str">
        <f>VLOOKUP(G1825,'Estádios e Cidades'!A:B,2,0)</f>
        <v>East Rutherford</v>
      </c>
      <c r="J1825" s="2" t="s">
        <v>187</v>
      </c>
      <c r="K1825" s="2" t="str">
        <f>VLOOKUP(J1825,Equipes!A:F,6,0)</f>
        <v>Temperate</v>
      </c>
      <c r="L1825" s="2">
        <f>VLOOKUP(J1825,Equipes!A:C,3,0)</f>
        <v>2</v>
      </c>
      <c r="M1825" s="2" t="str">
        <f t="shared" si="4"/>
        <v>Final</v>
      </c>
      <c r="N1825" s="2" t="s">
        <v>873</v>
      </c>
      <c r="O1825" s="2">
        <f>VLOOKUP(N1825,Equipes!A:C,3,0)</f>
        <v>3</v>
      </c>
      <c r="P1825" s="2" t="str">
        <f t="shared" si="5"/>
        <v>Semi-final</v>
      </c>
      <c r="Q1825" s="2">
        <f t="shared" si="6"/>
        <v>-1</v>
      </c>
      <c r="R1825" s="2" t="str">
        <f>VLOOKUP(J1825,Equipes!A:B,2,0)</f>
        <v>PSG</v>
      </c>
      <c r="S1825" s="14" t="s">
        <v>207</v>
      </c>
      <c r="T1825" s="7">
        <v>87.0</v>
      </c>
      <c r="U1825" s="7" t="s">
        <v>208</v>
      </c>
      <c r="V1825" s="7" t="str">
        <f>VLOOKUP(U1825,Jogadores!B:C,2,0)</f>
        <v>MF</v>
      </c>
      <c r="W1825" s="8">
        <f>VLOOKUP(U1825,Jogadores!B:D,3,0)</f>
        <v>20.84657534</v>
      </c>
      <c r="X1825" s="7">
        <v>0.0</v>
      </c>
      <c r="Y1825" s="7">
        <f t="shared" ref="Y1825:Y1830" si="5726">45+AB1825</f>
        <v>90</v>
      </c>
      <c r="Z1825" s="7">
        <f>VLOOKUP(A1825,Jogos!A:L,3,0)</f>
        <v>48</v>
      </c>
      <c r="AA1825" s="7">
        <f t="shared" si="4815"/>
        <v>48</v>
      </c>
      <c r="AB1825" s="7">
        <f>VLOOKUP(A1825,Jogos!A:L,4,0)</f>
        <v>45</v>
      </c>
      <c r="AC1825" s="7">
        <f t="shared" si="5062"/>
        <v>45</v>
      </c>
      <c r="AD1825" s="7"/>
      <c r="AE1825" s="7"/>
      <c r="AF1825" s="7">
        <f t="shared" si="4566"/>
        <v>93</v>
      </c>
      <c r="AG1825" s="7">
        <v>11173.5</v>
      </c>
      <c r="AH1825" s="7">
        <v>3639.4</v>
      </c>
      <c r="AI1825" s="7">
        <v>5284.5</v>
      </c>
      <c r="AJ1825" s="7">
        <v>1484.1</v>
      </c>
      <c r="AK1825" s="7">
        <v>557.7</v>
      </c>
      <c r="AL1825" s="7">
        <v>207.8</v>
      </c>
      <c r="AM1825" s="7">
        <v>123.0</v>
      </c>
      <c r="AN1825" s="7">
        <v>39.0</v>
      </c>
      <c r="AO1825" s="7">
        <v>30.8</v>
      </c>
      <c r="AP1825" s="9">
        <f t="shared" ref="AP1825:AR1825" si="5723">AG1825/$AF1825</f>
        <v>120.1451613</v>
      </c>
      <c r="AQ1825" s="9">
        <f t="shared" si="5723"/>
        <v>39.13333333</v>
      </c>
      <c r="AR1825" s="9">
        <f t="shared" si="5723"/>
        <v>56.82258065</v>
      </c>
      <c r="AS1825" s="9">
        <f t="shared" si="4568"/>
        <v>95.95591398</v>
      </c>
      <c r="AT1825" s="9">
        <f t="shared" ref="AT1825:AV1825" si="5724">AJ1825/$AF1825</f>
        <v>15.95806452</v>
      </c>
      <c r="AU1825" s="9">
        <f t="shared" si="5724"/>
        <v>5.996774194</v>
      </c>
      <c r="AV1825" s="9">
        <f t="shared" si="5724"/>
        <v>2.234408602</v>
      </c>
      <c r="AW1825" s="9">
        <f t="shared" si="4570"/>
        <v>8.231182796</v>
      </c>
      <c r="AX1825" s="9">
        <f t="shared" ref="AX1825:AY1825" si="5725">AM1825/$AF1825</f>
        <v>1.322580645</v>
      </c>
      <c r="AY1825" s="9">
        <f t="shared" si="5725"/>
        <v>0.4193548387</v>
      </c>
      <c r="AZ1825" s="9">
        <f>VLOOKUP(A1825,Jogos!A:BN,58,0)</f>
        <v>32.155</v>
      </c>
      <c r="BA1825" s="9">
        <f>VLOOKUP(A1825,Jogos!A:BN,59,0)</f>
        <v>19.36</v>
      </c>
      <c r="BB1825" s="9">
        <f>VLOOKUP(A1825,Jogos!A:BN,60,0)</f>
        <v>46</v>
      </c>
      <c r="BC1825" s="9">
        <f>VLOOKUP(A1825,Jogos!A:BN,61,0)</f>
        <v>34.075</v>
      </c>
      <c r="BD1825" s="9">
        <f>VLOOKUP(A1825,Jogos!A:BN,62,0)</f>
        <v>555.45</v>
      </c>
      <c r="BE1825" s="9">
        <f>VLOOKUP(A1825,Jogos!A:BN,63,0)</f>
        <v>1.155</v>
      </c>
      <c r="BF1825" s="9">
        <f>VLOOKUP(A1825,Jogos!A:BN,64,0)</f>
        <v>25.055</v>
      </c>
      <c r="BG1825" s="9">
        <f>VLOOKUP(A1825,Jogos!A:BN,65,0)</f>
        <v>46.925</v>
      </c>
      <c r="BH1825" s="9">
        <f>VLOOKUP(A1825,Jogos!A:BN,66,0)</f>
        <v>30.14</v>
      </c>
      <c r="BI1825" s="9"/>
      <c r="BJ1825" s="9"/>
    </row>
    <row r="1826" hidden="1">
      <c r="A1826" s="2">
        <v>62.0</v>
      </c>
      <c r="B1826" s="2" t="s">
        <v>1385</v>
      </c>
      <c r="C1826" s="2" t="s">
        <v>1351</v>
      </c>
      <c r="D1826" s="3">
        <v>45847.0</v>
      </c>
      <c r="E1826" s="4">
        <v>0.6319444444444444</v>
      </c>
      <c r="F1826" s="5" t="str">
        <f>VLOOKUP(A1826,Jogos!A:N,10,0)</f>
        <v>Afternoon</v>
      </c>
      <c r="G1826" s="2" t="s">
        <v>249</v>
      </c>
      <c r="H1826" s="6" t="str">
        <f>VLOOKUP(A1826,Jogos!A:L,12,0)</f>
        <v>Open</v>
      </c>
      <c r="I1826" s="6" t="str">
        <f>VLOOKUP(G1826,'Estádios e Cidades'!A:B,2,0)</f>
        <v>East Rutherford</v>
      </c>
      <c r="J1826" s="2" t="s">
        <v>187</v>
      </c>
      <c r="K1826" s="2" t="str">
        <f>VLOOKUP(J1826,Equipes!A:F,6,0)</f>
        <v>Temperate</v>
      </c>
      <c r="L1826" s="2">
        <f>VLOOKUP(J1826,Equipes!A:C,3,0)</f>
        <v>2</v>
      </c>
      <c r="M1826" s="2" t="str">
        <f t="shared" si="4"/>
        <v>Final</v>
      </c>
      <c r="N1826" s="2" t="s">
        <v>873</v>
      </c>
      <c r="O1826" s="2">
        <f>VLOOKUP(N1826,Equipes!A:C,3,0)</f>
        <v>3</v>
      </c>
      <c r="P1826" s="2" t="str">
        <f t="shared" si="5"/>
        <v>Semi-final</v>
      </c>
      <c r="Q1826" s="2">
        <f t="shared" si="6"/>
        <v>-1</v>
      </c>
      <c r="R1826" s="2" t="str">
        <f>VLOOKUP(J1826,Equipes!A:B,2,0)</f>
        <v>PSG</v>
      </c>
      <c r="S1826" s="14" t="s">
        <v>197</v>
      </c>
      <c r="T1826" s="7">
        <v>9.0</v>
      </c>
      <c r="U1826" s="7" t="s">
        <v>198</v>
      </c>
      <c r="V1826" s="7" t="str">
        <f>VLOOKUP(U1826,Jogadores!B:C,2,0)</f>
        <v>FW</v>
      </c>
      <c r="W1826" s="8">
        <f>VLOOKUP(U1826,Jogadores!B:D,3,0)</f>
        <v>24.12328767</v>
      </c>
      <c r="X1826" s="7">
        <v>59.0</v>
      </c>
      <c r="Y1826" s="7">
        <f t="shared" si="5726"/>
        <v>90</v>
      </c>
      <c r="Z1826" s="7">
        <f>VLOOKUP(A1826,Jogos!A:L,3,0)</f>
        <v>48</v>
      </c>
      <c r="AA1826" s="7">
        <f t="shared" si="4815"/>
        <v>0</v>
      </c>
      <c r="AB1826" s="7">
        <f>VLOOKUP(A1826,Jogos!A:L,4,0)</f>
        <v>45</v>
      </c>
      <c r="AC1826" s="7">
        <f t="shared" si="5062"/>
        <v>31</v>
      </c>
      <c r="AD1826" s="7"/>
      <c r="AE1826" s="7"/>
      <c r="AF1826" s="7">
        <f t="shared" si="4566"/>
        <v>31</v>
      </c>
      <c r="AG1826" s="7">
        <v>4069.5</v>
      </c>
      <c r="AH1826" s="7">
        <v>1236.7</v>
      </c>
      <c r="AI1826" s="7">
        <v>1494.9</v>
      </c>
      <c r="AJ1826" s="7">
        <v>726.6</v>
      </c>
      <c r="AK1826" s="7">
        <v>422.7</v>
      </c>
      <c r="AL1826" s="7">
        <v>188.7</v>
      </c>
      <c r="AM1826" s="7">
        <v>65.0</v>
      </c>
      <c r="AN1826" s="7">
        <v>30.0</v>
      </c>
      <c r="AO1826" s="7">
        <v>31.1</v>
      </c>
      <c r="AP1826" s="9">
        <f t="shared" ref="AP1826:AR1826" si="5727">AG1826/$AF1826</f>
        <v>131.2741935</v>
      </c>
      <c r="AQ1826" s="9">
        <f t="shared" si="5727"/>
        <v>39.89354839</v>
      </c>
      <c r="AR1826" s="9">
        <f t="shared" si="5727"/>
        <v>48.22258065</v>
      </c>
      <c r="AS1826" s="9">
        <f t="shared" si="4568"/>
        <v>88.11612903</v>
      </c>
      <c r="AT1826" s="9">
        <f t="shared" ref="AT1826:AV1826" si="5728">AJ1826/$AF1826</f>
        <v>23.43870968</v>
      </c>
      <c r="AU1826" s="9">
        <f t="shared" si="5728"/>
        <v>13.63548387</v>
      </c>
      <c r="AV1826" s="9">
        <f t="shared" si="5728"/>
        <v>6.087096774</v>
      </c>
      <c r="AW1826" s="9">
        <f t="shared" si="4570"/>
        <v>19.72258065</v>
      </c>
      <c r="AX1826" s="9">
        <f t="shared" ref="AX1826:AY1826" si="5729">AM1826/$AF1826</f>
        <v>2.096774194</v>
      </c>
      <c r="AY1826" s="9">
        <f t="shared" si="5729"/>
        <v>0.9677419355</v>
      </c>
      <c r="AZ1826" s="9">
        <f>VLOOKUP(A1826,Jogos!A:BN,58,0)</f>
        <v>32.155</v>
      </c>
      <c r="BA1826" s="9">
        <f>VLOOKUP(A1826,Jogos!A:BN,59,0)</f>
        <v>19.36</v>
      </c>
      <c r="BB1826" s="9">
        <f>VLOOKUP(A1826,Jogos!A:BN,60,0)</f>
        <v>46</v>
      </c>
      <c r="BC1826" s="9">
        <f>VLOOKUP(A1826,Jogos!A:BN,61,0)</f>
        <v>34.075</v>
      </c>
      <c r="BD1826" s="9">
        <f>VLOOKUP(A1826,Jogos!A:BN,62,0)</f>
        <v>555.45</v>
      </c>
      <c r="BE1826" s="9">
        <f>VLOOKUP(A1826,Jogos!A:BN,63,0)</f>
        <v>1.155</v>
      </c>
      <c r="BF1826" s="9">
        <f>VLOOKUP(A1826,Jogos!A:BN,64,0)</f>
        <v>25.055</v>
      </c>
      <c r="BG1826" s="9">
        <f>VLOOKUP(A1826,Jogos!A:BN,65,0)</f>
        <v>46.925</v>
      </c>
      <c r="BH1826" s="9">
        <f>VLOOKUP(A1826,Jogos!A:BN,66,0)</f>
        <v>30.14</v>
      </c>
      <c r="BI1826" s="9"/>
      <c r="BJ1826" s="9"/>
    </row>
    <row r="1827" hidden="1">
      <c r="A1827" s="2">
        <v>62.0</v>
      </c>
      <c r="B1827" s="2" t="s">
        <v>1385</v>
      </c>
      <c r="C1827" s="2" t="s">
        <v>1351</v>
      </c>
      <c r="D1827" s="3">
        <v>45847.0</v>
      </c>
      <c r="E1827" s="4">
        <v>0.6319444444444444</v>
      </c>
      <c r="F1827" s="5" t="str">
        <f>VLOOKUP(A1827,Jogos!A:N,10,0)</f>
        <v>Afternoon</v>
      </c>
      <c r="G1827" s="2" t="s">
        <v>249</v>
      </c>
      <c r="H1827" s="6" t="str">
        <f>VLOOKUP(A1827,Jogos!A:L,12,0)</f>
        <v>Open</v>
      </c>
      <c r="I1827" s="6" t="str">
        <f>VLOOKUP(G1827,'Estádios e Cidades'!A:B,2,0)</f>
        <v>East Rutherford</v>
      </c>
      <c r="J1827" s="2" t="s">
        <v>187</v>
      </c>
      <c r="K1827" s="2" t="str">
        <f>VLOOKUP(J1827,Equipes!A:F,6,0)</f>
        <v>Temperate</v>
      </c>
      <c r="L1827" s="2">
        <f>VLOOKUP(J1827,Equipes!A:C,3,0)</f>
        <v>2</v>
      </c>
      <c r="M1827" s="2" t="str">
        <f t="shared" si="4"/>
        <v>Final</v>
      </c>
      <c r="N1827" s="2" t="s">
        <v>873</v>
      </c>
      <c r="O1827" s="2">
        <f>VLOOKUP(N1827,Equipes!A:C,3,0)</f>
        <v>3</v>
      </c>
      <c r="P1827" s="2" t="str">
        <f t="shared" si="5"/>
        <v>Semi-final</v>
      </c>
      <c r="Q1827" s="2">
        <f t="shared" si="6"/>
        <v>-1</v>
      </c>
      <c r="R1827" s="2" t="str">
        <f>VLOOKUP(J1827,Equipes!A:B,2,0)</f>
        <v>PSG</v>
      </c>
      <c r="S1827" s="14" t="s">
        <v>209</v>
      </c>
      <c r="T1827" s="7">
        <v>19.0</v>
      </c>
      <c r="U1827" s="7" t="s">
        <v>210</v>
      </c>
      <c r="V1827" s="7" t="str">
        <f>VLOOKUP(U1827,Jogadores!B:C,2,0)</f>
        <v>MF</v>
      </c>
      <c r="W1827" s="8">
        <f>VLOOKUP(U1827,Jogadores!B:D,3,0)</f>
        <v>24.45205479</v>
      </c>
      <c r="X1827" s="7">
        <v>79.0</v>
      </c>
      <c r="Y1827" s="7">
        <f t="shared" si="5726"/>
        <v>90</v>
      </c>
      <c r="Z1827" s="7">
        <f>VLOOKUP(A1827,Jogos!A:L,3,0)</f>
        <v>48</v>
      </c>
      <c r="AA1827" s="7">
        <f t="shared" si="4815"/>
        <v>0</v>
      </c>
      <c r="AB1827" s="7">
        <f>VLOOKUP(A1827,Jogos!A:L,4,0)</f>
        <v>45</v>
      </c>
      <c r="AC1827" s="7">
        <f t="shared" si="5062"/>
        <v>11</v>
      </c>
      <c r="AD1827" s="7"/>
      <c r="AE1827" s="7"/>
      <c r="AF1827" s="7">
        <f t="shared" si="4566"/>
        <v>11</v>
      </c>
      <c r="AG1827" s="7">
        <v>1290.9</v>
      </c>
      <c r="AH1827" s="7">
        <v>414.3</v>
      </c>
      <c r="AI1827" s="7">
        <v>486.7</v>
      </c>
      <c r="AJ1827" s="7">
        <v>245.6</v>
      </c>
      <c r="AK1827" s="7">
        <v>137.5</v>
      </c>
      <c r="AL1827" s="7">
        <v>6.8</v>
      </c>
      <c r="AM1827" s="7">
        <v>26.0</v>
      </c>
      <c r="AN1827" s="7">
        <v>10.0</v>
      </c>
      <c r="AO1827" s="7">
        <v>25.5</v>
      </c>
      <c r="AP1827" s="9">
        <f t="shared" ref="AP1827:AR1827" si="5730">AG1827/$AF1827</f>
        <v>117.3545455</v>
      </c>
      <c r="AQ1827" s="9">
        <f t="shared" si="5730"/>
        <v>37.66363636</v>
      </c>
      <c r="AR1827" s="9">
        <f t="shared" si="5730"/>
        <v>44.24545455</v>
      </c>
      <c r="AS1827" s="9">
        <f t="shared" si="4568"/>
        <v>81.90909091</v>
      </c>
      <c r="AT1827" s="9">
        <f t="shared" ref="AT1827:AV1827" si="5731">AJ1827/$AF1827</f>
        <v>22.32727273</v>
      </c>
      <c r="AU1827" s="9">
        <f t="shared" si="5731"/>
        <v>12.5</v>
      </c>
      <c r="AV1827" s="9">
        <f t="shared" si="5731"/>
        <v>0.6181818182</v>
      </c>
      <c r="AW1827" s="9">
        <f t="shared" si="4570"/>
        <v>13.11818182</v>
      </c>
      <c r="AX1827" s="9">
        <f t="shared" ref="AX1827:AY1827" si="5732">AM1827/$AF1827</f>
        <v>2.363636364</v>
      </c>
      <c r="AY1827" s="9">
        <f t="shared" si="5732"/>
        <v>0.9090909091</v>
      </c>
      <c r="AZ1827" s="9">
        <f>VLOOKUP(A1827,Jogos!A:BN,58,0)</f>
        <v>32.155</v>
      </c>
      <c r="BA1827" s="9">
        <f>VLOOKUP(A1827,Jogos!A:BN,59,0)</f>
        <v>19.36</v>
      </c>
      <c r="BB1827" s="9">
        <f>VLOOKUP(A1827,Jogos!A:BN,60,0)</f>
        <v>46</v>
      </c>
      <c r="BC1827" s="9">
        <f>VLOOKUP(A1827,Jogos!A:BN,61,0)</f>
        <v>34.075</v>
      </c>
      <c r="BD1827" s="9">
        <f>VLOOKUP(A1827,Jogos!A:BN,62,0)</f>
        <v>555.45</v>
      </c>
      <c r="BE1827" s="9">
        <f>VLOOKUP(A1827,Jogos!A:BN,63,0)</f>
        <v>1.155</v>
      </c>
      <c r="BF1827" s="9">
        <f>VLOOKUP(A1827,Jogos!A:BN,64,0)</f>
        <v>25.055</v>
      </c>
      <c r="BG1827" s="9">
        <f>VLOOKUP(A1827,Jogos!A:BN,65,0)</f>
        <v>46.925</v>
      </c>
      <c r="BH1827" s="9">
        <f>VLOOKUP(A1827,Jogos!A:BN,66,0)</f>
        <v>30.14</v>
      </c>
      <c r="BI1827" s="9"/>
      <c r="BJ1827" s="9"/>
    </row>
    <row r="1828" hidden="1">
      <c r="A1828" s="2">
        <v>62.0</v>
      </c>
      <c r="B1828" s="2" t="s">
        <v>1385</v>
      </c>
      <c r="C1828" s="2" t="s">
        <v>1351</v>
      </c>
      <c r="D1828" s="3">
        <v>45847.0</v>
      </c>
      <c r="E1828" s="4">
        <v>0.6319444444444444</v>
      </c>
      <c r="F1828" s="5" t="str">
        <f>VLOOKUP(A1828,Jogos!A:N,10,0)</f>
        <v>Afternoon</v>
      </c>
      <c r="G1828" s="2" t="s">
        <v>249</v>
      </c>
      <c r="H1828" s="6" t="str">
        <f>VLOOKUP(A1828,Jogos!A:L,12,0)</f>
        <v>Open</v>
      </c>
      <c r="I1828" s="6" t="str">
        <f>VLOOKUP(G1828,'Estádios e Cidades'!A:B,2,0)</f>
        <v>East Rutherford</v>
      </c>
      <c r="J1828" s="2" t="s">
        <v>187</v>
      </c>
      <c r="K1828" s="2" t="str">
        <f>VLOOKUP(J1828,Equipes!A:F,6,0)</f>
        <v>Temperate</v>
      </c>
      <c r="L1828" s="2">
        <f>VLOOKUP(J1828,Equipes!A:C,3,0)</f>
        <v>2</v>
      </c>
      <c r="M1828" s="2" t="str">
        <f t="shared" si="4"/>
        <v>Final</v>
      </c>
      <c r="N1828" s="2" t="s">
        <v>873</v>
      </c>
      <c r="O1828" s="2">
        <f>VLOOKUP(N1828,Equipes!A:C,3,0)</f>
        <v>3</v>
      </c>
      <c r="P1828" s="2" t="str">
        <f t="shared" si="5"/>
        <v>Semi-final</v>
      </c>
      <c r="Q1828" s="2">
        <f t="shared" si="6"/>
        <v>-1</v>
      </c>
      <c r="R1828" s="2" t="str">
        <f>VLOOKUP(J1828,Equipes!A:B,2,0)</f>
        <v>PSG</v>
      </c>
      <c r="S1828" s="14" t="s">
        <v>213</v>
      </c>
      <c r="T1828" s="7">
        <v>24.0</v>
      </c>
      <c r="U1828" s="7" t="s">
        <v>214</v>
      </c>
      <c r="V1828" s="7" t="str">
        <f>VLOOKUP(U1828,Jogadores!B:C,2,0)</f>
        <v>MF</v>
      </c>
      <c r="W1828" s="8">
        <f>VLOOKUP(U1828,Jogadores!B:D,3,0)</f>
        <v>19.2109589</v>
      </c>
      <c r="X1828" s="20">
        <v>67.0</v>
      </c>
      <c r="Y1828" s="7">
        <f t="shared" si="5726"/>
        <v>90</v>
      </c>
      <c r="Z1828" s="7">
        <f>VLOOKUP(A1828,Jogos!A:L,3,0)</f>
        <v>48</v>
      </c>
      <c r="AA1828" s="7">
        <f t="shared" si="4815"/>
        <v>0</v>
      </c>
      <c r="AB1828" s="7">
        <f>VLOOKUP(A1828,Jogos!A:L,4,0)</f>
        <v>45</v>
      </c>
      <c r="AC1828" s="7">
        <f t="shared" si="5062"/>
        <v>23</v>
      </c>
      <c r="AD1828" s="7"/>
      <c r="AE1828" s="7"/>
      <c r="AF1828" s="7">
        <f t="shared" si="4566"/>
        <v>23</v>
      </c>
      <c r="AG1828" s="7">
        <v>2962.1</v>
      </c>
      <c r="AH1828" s="7">
        <v>974.7</v>
      </c>
      <c r="AI1828" s="7">
        <v>1192.4</v>
      </c>
      <c r="AJ1828" s="7">
        <v>542.6</v>
      </c>
      <c r="AK1828" s="7">
        <v>202.4</v>
      </c>
      <c r="AL1828" s="7">
        <v>50.1</v>
      </c>
      <c r="AM1828" s="7">
        <v>46.0</v>
      </c>
      <c r="AN1828" s="7">
        <v>17.0</v>
      </c>
      <c r="AO1828" s="7">
        <v>32.8</v>
      </c>
      <c r="AP1828" s="9">
        <f t="shared" ref="AP1828:AR1828" si="5733">AG1828/$AF1828</f>
        <v>128.7869565</v>
      </c>
      <c r="AQ1828" s="9">
        <f t="shared" si="5733"/>
        <v>42.37826087</v>
      </c>
      <c r="AR1828" s="9">
        <f t="shared" si="5733"/>
        <v>51.84347826</v>
      </c>
      <c r="AS1828" s="9">
        <f t="shared" si="4568"/>
        <v>94.22173913</v>
      </c>
      <c r="AT1828" s="9">
        <f t="shared" ref="AT1828:AV1828" si="5734">AJ1828/$AF1828</f>
        <v>23.59130435</v>
      </c>
      <c r="AU1828" s="9">
        <f t="shared" si="5734"/>
        <v>8.8</v>
      </c>
      <c r="AV1828" s="9">
        <f t="shared" si="5734"/>
        <v>2.17826087</v>
      </c>
      <c r="AW1828" s="9">
        <f t="shared" si="4570"/>
        <v>10.97826087</v>
      </c>
      <c r="AX1828" s="9">
        <f t="shared" ref="AX1828:AY1828" si="5735">AM1828/$AF1828</f>
        <v>2</v>
      </c>
      <c r="AY1828" s="9">
        <f t="shared" si="5735"/>
        <v>0.7391304348</v>
      </c>
      <c r="AZ1828" s="9">
        <f>VLOOKUP(A1828,Jogos!A:BN,58,0)</f>
        <v>32.155</v>
      </c>
      <c r="BA1828" s="9">
        <f>VLOOKUP(A1828,Jogos!A:BN,59,0)</f>
        <v>19.36</v>
      </c>
      <c r="BB1828" s="9">
        <f>VLOOKUP(A1828,Jogos!A:BN,60,0)</f>
        <v>46</v>
      </c>
      <c r="BC1828" s="9">
        <f>VLOOKUP(A1828,Jogos!A:BN,61,0)</f>
        <v>34.075</v>
      </c>
      <c r="BD1828" s="9">
        <f>VLOOKUP(A1828,Jogos!A:BN,62,0)</f>
        <v>555.45</v>
      </c>
      <c r="BE1828" s="9">
        <f>VLOOKUP(A1828,Jogos!A:BN,63,0)</f>
        <v>1.155</v>
      </c>
      <c r="BF1828" s="9">
        <f>VLOOKUP(A1828,Jogos!A:BN,64,0)</f>
        <v>25.055</v>
      </c>
      <c r="BG1828" s="9">
        <f>VLOOKUP(A1828,Jogos!A:BN,65,0)</f>
        <v>46.925</v>
      </c>
      <c r="BH1828" s="9">
        <f>VLOOKUP(A1828,Jogos!A:BN,66,0)</f>
        <v>30.14</v>
      </c>
      <c r="BI1828" s="9"/>
      <c r="BJ1828" s="9"/>
    </row>
    <row r="1829" hidden="1">
      <c r="A1829" s="2">
        <v>62.0</v>
      </c>
      <c r="B1829" s="2" t="s">
        <v>1385</v>
      </c>
      <c r="C1829" s="2" t="s">
        <v>1351</v>
      </c>
      <c r="D1829" s="3">
        <v>45847.0</v>
      </c>
      <c r="E1829" s="4">
        <v>0.6319444444444444</v>
      </c>
      <c r="F1829" s="5" t="str">
        <f>VLOOKUP(A1829,Jogos!A:N,10,0)</f>
        <v>Afternoon</v>
      </c>
      <c r="G1829" s="2" t="s">
        <v>249</v>
      </c>
      <c r="H1829" s="6" t="str">
        <f>VLOOKUP(A1829,Jogos!A:L,12,0)</f>
        <v>Open</v>
      </c>
      <c r="I1829" s="6" t="str">
        <f>VLOOKUP(G1829,'Estádios e Cidades'!A:B,2,0)</f>
        <v>East Rutherford</v>
      </c>
      <c r="J1829" s="2" t="s">
        <v>187</v>
      </c>
      <c r="K1829" s="2" t="str">
        <f>VLOOKUP(J1829,Equipes!A:F,6,0)</f>
        <v>Temperate</v>
      </c>
      <c r="L1829" s="2">
        <f>VLOOKUP(J1829,Equipes!A:C,3,0)</f>
        <v>2</v>
      </c>
      <c r="M1829" s="2" t="str">
        <f t="shared" si="4"/>
        <v>Final</v>
      </c>
      <c r="N1829" s="2" t="s">
        <v>873</v>
      </c>
      <c r="O1829" s="2">
        <f>VLOOKUP(N1829,Equipes!A:C,3,0)</f>
        <v>3</v>
      </c>
      <c r="P1829" s="2" t="str">
        <f t="shared" si="5"/>
        <v>Semi-final</v>
      </c>
      <c r="Q1829" s="2">
        <f t="shared" si="6"/>
        <v>-1</v>
      </c>
      <c r="R1829" s="2" t="str">
        <f>VLOOKUP(J1829,Equipes!A:B,2,0)</f>
        <v>PSG</v>
      </c>
      <c r="S1829" s="14" t="s">
        <v>1096</v>
      </c>
      <c r="T1829" s="7">
        <v>29.0</v>
      </c>
      <c r="U1829" s="7" t="s">
        <v>1097</v>
      </c>
      <c r="V1829" s="7" t="str">
        <f>VLOOKUP(U1829,Jogadores!B:C,2,0)</f>
        <v>FW</v>
      </c>
      <c r="W1829" s="8">
        <f>VLOOKUP(U1829,Jogadores!B:D,3,0)</f>
        <v>22.91780822</v>
      </c>
      <c r="X1829" s="7">
        <v>59.0</v>
      </c>
      <c r="Y1829" s="7">
        <f t="shared" si="5726"/>
        <v>90</v>
      </c>
      <c r="Z1829" s="7">
        <f>VLOOKUP(A1829,Jogos!A:L,3,0)</f>
        <v>48</v>
      </c>
      <c r="AA1829" s="7">
        <f t="shared" si="4815"/>
        <v>0</v>
      </c>
      <c r="AB1829" s="7">
        <f>VLOOKUP(A1829,Jogos!A:L,4,0)</f>
        <v>45</v>
      </c>
      <c r="AC1829" s="7">
        <f t="shared" si="5062"/>
        <v>31</v>
      </c>
      <c r="AD1829" s="7"/>
      <c r="AE1829" s="7"/>
      <c r="AF1829" s="7">
        <f t="shared" si="4566"/>
        <v>31</v>
      </c>
      <c r="AG1829" s="7">
        <v>3467.0</v>
      </c>
      <c r="AH1829" s="7">
        <v>1293.9</v>
      </c>
      <c r="AI1829" s="7">
        <v>1284.7</v>
      </c>
      <c r="AJ1829" s="7">
        <v>369.6</v>
      </c>
      <c r="AK1829" s="7">
        <v>274.8</v>
      </c>
      <c r="AL1829" s="7">
        <v>244.0</v>
      </c>
      <c r="AM1829" s="7">
        <v>29.0</v>
      </c>
      <c r="AN1829" s="7">
        <v>20.0</v>
      </c>
      <c r="AO1829" s="7">
        <v>32.9</v>
      </c>
      <c r="AP1829" s="9">
        <f t="shared" ref="AP1829:AR1829" si="5736">AG1829/$AF1829</f>
        <v>111.8387097</v>
      </c>
      <c r="AQ1829" s="9">
        <f t="shared" si="5736"/>
        <v>41.73870968</v>
      </c>
      <c r="AR1829" s="9">
        <f t="shared" si="5736"/>
        <v>41.44193548</v>
      </c>
      <c r="AS1829" s="9">
        <f t="shared" si="4568"/>
        <v>83.18064516</v>
      </c>
      <c r="AT1829" s="9">
        <f t="shared" ref="AT1829:AV1829" si="5737">AJ1829/$AF1829</f>
        <v>11.92258065</v>
      </c>
      <c r="AU1829" s="9">
        <f t="shared" si="5737"/>
        <v>8.864516129</v>
      </c>
      <c r="AV1829" s="9">
        <f t="shared" si="5737"/>
        <v>7.870967742</v>
      </c>
      <c r="AW1829" s="9">
        <f t="shared" si="4570"/>
        <v>16.73548387</v>
      </c>
      <c r="AX1829" s="9">
        <f t="shared" ref="AX1829:AY1829" si="5738">AM1829/$AF1829</f>
        <v>0.935483871</v>
      </c>
      <c r="AY1829" s="9">
        <f t="shared" si="5738"/>
        <v>0.6451612903</v>
      </c>
      <c r="AZ1829" s="9">
        <f>VLOOKUP(A1829,Jogos!A:BN,58,0)</f>
        <v>32.155</v>
      </c>
      <c r="BA1829" s="9">
        <f>VLOOKUP(A1829,Jogos!A:BN,59,0)</f>
        <v>19.36</v>
      </c>
      <c r="BB1829" s="9">
        <f>VLOOKUP(A1829,Jogos!A:BN,60,0)</f>
        <v>46</v>
      </c>
      <c r="BC1829" s="9">
        <f>VLOOKUP(A1829,Jogos!A:BN,61,0)</f>
        <v>34.075</v>
      </c>
      <c r="BD1829" s="9">
        <f>VLOOKUP(A1829,Jogos!A:BN,62,0)</f>
        <v>555.45</v>
      </c>
      <c r="BE1829" s="9">
        <f>VLOOKUP(A1829,Jogos!A:BN,63,0)</f>
        <v>1.155</v>
      </c>
      <c r="BF1829" s="9">
        <f>VLOOKUP(A1829,Jogos!A:BN,64,0)</f>
        <v>25.055</v>
      </c>
      <c r="BG1829" s="9">
        <f>VLOOKUP(A1829,Jogos!A:BN,65,0)</f>
        <v>46.925</v>
      </c>
      <c r="BH1829" s="9">
        <f>VLOOKUP(A1829,Jogos!A:BN,66,0)</f>
        <v>30.14</v>
      </c>
      <c r="BI1829" s="9"/>
      <c r="BJ1829" s="9"/>
    </row>
    <row r="1830" hidden="1">
      <c r="A1830" s="2">
        <v>62.0</v>
      </c>
      <c r="B1830" s="2" t="s">
        <v>1385</v>
      </c>
      <c r="C1830" s="2" t="s">
        <v>1351</v>
      </c>
      <c r="D1830" s="3">
        <v>45847.0</v>
      </c>
      <c r="E1830" s="4">
        <v>0.6319444444444444</v>
      </c>
      <c r="F1830" s="5" t="str">
        <f>VLOOKUP(A1830,Jogos!A:N,10,0)</f>
        <v>Afternoon</v>
      </c>
      <c r="G1830" s="2" t="s">
        <v>249</v>
      </c>
      <c r="H1830" s="6" t="str">
        <f>VLOOKUP(A1830,Jogos!A:L,12,0)</f>
        <v>Open</v>
      </c>
      <c r="I1830" s="6" t="str">
        <f>VLOOKUP(G1830,'Estádios e Cidades'!A:B,2,0)</f>
        <v>East Rutherford</v>
      </c>
      <c r="J1830" s="2" t="s">
        <v>187</v>
      </c>
      <c r="K1830" s="2" t="str">
        <f>VLOOKUP(J1830,Equipes!A:F,6,0)</f>
        <v>Temperate</v>
      </c>
      <c r="L1830" s="2">
        <f>VLOOKUP(J1830,Equipes!A:C,3,0)</f>
        <v>2</v>
      </c>
      <c r="M1830" s="2" t="str">
        <f t="shared" si="4"/>
        <v>Final</v>
      </c>
      <c r="N1830" s="2" t="s">
        <v>873</v>
      </c>
      <c r="O1830" s="2">
        <f>VLOOKUP(N1830,Equipes!A:C,3,0)</f>
        <v>3</v>
      </c>
      <c r="P1830" s="2" t="str">
        <f t="shared" si="5"/>
        <v>Semi-final</v>
      </c>
      <c r="Q1830" s="2">
        <f t="shared" si="6"/>
        <v>-1</v>
      </c>
      <c r="R1830" s="2" t="str">
        <f>VLOOKUP(J1830,Equipes!A:B,2,0)</f>
        <v>PSG</v>
      </c>
      <c r="S1830" s="14" t="s">
        <v>215</v>
      </c>
      <c r="T1830" s="7">
        <v>33.0</v>
      </c>
      <c r="U1830" s="7" t="s">
        <v>216</v>
      </c>
      <c r="V1830" s="7" t="str">
        <f>VLOOKUP(U1830,Jogadores!B:C,2,0)</f>
        <v>MF</v>
      </c>
      <c r="W1830" s="8">
        <f>VLOOKUP(U1830,Jogadores!B:D,3,0)</f>
        <v>19.40273973</v>
      </c>
      <c r="X1830" s="7">
        <v>66.0</v>
      </c>
      <c r="Y1830" s="7">
        <f t="shared" si="5726"/>
        <v>90</v>
      </c>
      <c r="Z1830" s="7">
        <f>VLOOKUP(A1830,Jogos!A:L,3,0)</f>
        <v>48</v>
      </c>
      <c r="AA1830" s="7">
        <f t="shared" si="4815"/>
        <v>0</v>
      </c>
      <c r="AB1830" s="7">
        <f>VLOOKUP(A1830,Jogos!A:L,4,0)</f>
        <v>45</v>
      </c>
      <c r="AC1830" s="7">
        <f t="shared" si="5062"/>
        <v>24</v>
      </c>
      <c r="AD1830" s="7"/>
      <c r="AE1830" s="7"/>
      <c r="AF1830" s="7">
        <f t="shared" si="4566"/>
        <v>24</v>
      </c>
      <c r="AG1830" s="7">
        <v>2877.6</v>
      </c>
      <c r="AH1830" s="7">
        <v>916.4</v>
      </c>
      <c r="AI1830" s="7">
        <v>1242.2</v>
      </c>
      <c r="AJ1830" s="7">
        <v>394.2</v>
      </c>
      <c r="AK1830" s="7">
        <v>186.4</v>
      </c>
      <c r="AL1830" s="7">
        <v>138.5</v>
      </c>
      <c r="AM1830" s="7">
        <v>35.0</v>
      </c>
      <c r="AN1830" s="7">
        <v>14.0</v>
      </c>
      <c r="AO1830" s="7">
        <v>32.9</v>
      </c>
      <c r="AP1830" s="9">
        <f t="shared" ref="AP1830:AR1830" si="5739">AG1830/$AF1830</f>
        <v>119.9</v>
      </c>
      <c r="AQ1830" s="9">
        <f t="shared" si="5739"/>
        <v>38.18333333</v>
      </c>
      <c r="AR1830" s="9">
        <f t="shared" si="5739"/>
        <v>51.75833333</v>
      </c>
      <c r="AS1830" s="9">
        <f t="shared" si="4568"/>
        <v>89.94166667</v>
      </c>
      <c r="AT1830" s="9">
        <f t="shared" ref="AT1830:AV1830" si="5740">AJ1830/$AF1830</f>
        <v>16.425</v>
      </c>
      <c r="AU1830" s="9">
        <f t="shared" si="5740"/>
        <v>7.766666667</v>
      </c>
      <c r="AV1830" s="9">
        <f t="shared" si="5740"/>
        <v>5.770833333</v>
      </c>
      <c r="AW1830" s="9">
        <f t="shared" si="4570"/>
        <v>13.5375</v>
      </c>
      <c r="AX1830" s="9">
        <f t="shared" ref="AX1830:AY1830" si="5741">AM1830/$AF1830</f>
        <v>1.458333333</v>
      </c>
      <c r="AY1830" s="9">
        <f t="shared" si="5741"/>
        <v>0.5833333333</v>
      </c>
      <c r="AZ1830" s="9">
        <f>VLOOKUP(A1830,Jogos!A:BN,58,0)</f>
        <v>32.155</v>
      </c>
      <c r="BA1830" s="9">
        <f>VLOOKUP(A1830,Jogos!A:BN,59,0)</f>
        <v>19.36</v>
      </c>
      <c r="BB1830" s="9">
        <f>VLOOKUP(A1830,Jogos!A:BN,60,0)</f>
        <v>46</v>
      </c>
      <c r="BC1830" s="9">
        <f>VLOOKUP(A1830,Jogos!A:BN,61,0)</f>
        <v>34.075</v>
      </c>
      <c r="BD1830" s="9">
        <f>VLOOKUP(A1830,Jogos!A:BN,62,0)</f>
        <v>555.45</v>
      </c>
      <c r="BE1830" s="9">
        <f>VLOOKUP(A1830,Jogos!A:BN,63,0)</f>
        <v>1.155</v>
      </c>
      <c r="BF1830" s="9">
        <f>VLOOKUP(A1830,Jogos!A:BN,64,0)</f>
        <v>25.055</v>
      </c>
      <c r="BG1830" s="9">
        <f>VLOOKUP(A1830,Jogos!A:BN,65,0)</f>
        <v>46.925</v>
      </c>
      <c r="BH1830" s="9">
        <f>VLOOKUP(A1830,Jogos!A:BN,66,0)</f>
        <v>30.14</v>
      </c>
      <c r="BI1830" s="9"/>
      <c r="BJ1830" s="9"/>
    </row>
    <row r="1831" hidden="1">
      <c r="A1831" s="2">
        <v>62.0</v>
      </c>
      <c r="B1831" s="2" t="s">
        <v>1385</v>
      </c>
      <c r="C1831" s="2" t="s">
        <v>1351</v>
      </c>
      <c r="D1831" s="3">
        <v>45847.0</v>
      </c>
      <c r="E1831" s="4">
        <v>0.6319444444444444</v>
      </c>
      <c r="F1831" s="5" t="str">
        <f>VLOOKUP(A1831,Jogos!A:N,10,0)</f>
        <v>Afternoon</v>
      </c>
      <c r="G1831" s="2" t="s">
        <v>249</v>
      </c>
      <c r="H1831" s="6" t="str">
        <f>VLOOKUP(A1831,Jogos!A:L,12,0)</f>
        <v>Open</v>
      </c>
      <c r="I1831" s="6" t="str">
        <f>VLOOKUP(G1831,'Estádios e Cidades'!A:B,2,0)</f>
        <v>East Rutherford</v>
      </c>
      <c r="J1831" s="2" t="s">
        <v>873</v>
      </c>
      <c r="K1831" s="2" t="str">
        <f>VLOOKUP(J1831,Equipes!A:F,6,0)</f>
        <v>Temperate</v>
      </c>
      <c r="L1831" s="2">
        <f>VLOOKUP(J1831,Equipes!A:C,3,0)</f>
        <v>3</v>
      </c>
      <c r="M1831" s="2" t="str">
        <f t="shared" si="4"/>
        <v>Semi-final</v>
      </c>
      <c r="N1831" s="2" t="s">
        <v>187</v>
      </c>
      <c r="O1831" s="2">
        <f>VLOOKUP(N1831,Equipes!A:C,3,0)</f>
        <v>2</v>
      </c>
      <c r="P1831" s="2" t="str">
        <f t="shared" si="5"/>
        <v>Final</v>
      </c>
      <c r="Q1831" s="2">
        <f t="shared" si="6"/>
        <v>1</v>
      </c>
      <c r="R1831" s="2" t="str">
        <f>VLOOKUP(J1831,Equipes!A:B,2,0)</f>
        <v>Real</v>
      </c>
      <c r="S1831" s="14" t="s">
        <v>875</v>
      </c>
      <c r="T1831" s="7">
        <v>5.0</v>
      </c>
      <c r="U1831" s="7" t="s">
        <v>876</v>
      </c>
      <c r="V1831" s="7" t="str">
        <f>VLOOKUP(U1831,Jogadores!B:C,2,0)</f>
        <v>MF</v>
      </c>
      <c r="W1831" s="8">
        <f>VLOOKUP(U1831,Jogadores!B:D,3,0)</f>
        <v>22.09589041</v>
      </c>
      <c r="X1831" s="7">
        <v>0.0</v>
      </c>
      <c r="Y1831" s="7">
        <v>64.0</v>
      </c>
      <c r="Z1831" s="7">
        <f>VLOOKUP(A1831,Jogos!A:L,3,0)</f>
        <v>48</v>
      </c>
      <c r="AA1831" s="7">
        <f t="shared" si="4815"/>
        <v>48</v>
      </c>
      <c r="AB1831" s="7">
        <f>VLOOKUP(A1831,Jogos!A:L,4,0)</f>
        <v>45</v>
      </c>
      <c r="AC1831" s="7">
        <f t="shared" si="5062"/>
        <v>19</v>
      </c>
      <c r="AD1831" s="7"/>
      <c r="AE1831" s="7"/>
      <c r="AF1831" s="7">
        <f t="shared" si="4566"/>
        <v>67</v>
      </c>
      <c r="AG1831" s="7">
        <v>7009.3</v>
      </c>
      <c r="AH1831" s="7">
        <v>3079.9</v>
      </c>
      <c r="AI1831" s="7">
        <v>2221.7</v>
      </c>
      <c r="AJ1831" s="7">
        <v>1019.1</v>
      </c>
      <c r="AK1831" s="7">
        <v>490.3</v>
      </c>
      <c r="AL1831" s="7">
        <v>198.3</v>
      </c>
      <c r="AM1831" s="7">
        <v>91.0</v>
      </c>
      <c r="AN1831" s="7">
        <v>37.0</v>
      </c>
      <c r="AO1831" s="7">
        <v>32.8</v>
      </c>
      <c r="AP1831" s="9">
        <f t="shared" ref="AP1831:AR1831" si="5742">AG1831/$AF1831</f>
        <v>104.6164179</v>
      </c>
      <c r="AQ1831" s="9">
        <f t="shared" si="5742"/>
        <v>45.96865672</v>
      </c>
      <c r="AR1831" s="9">
        <f t="shared" si="5742"/>
        <v>33.15970149</v>
      </c>
      <c r="AS1831" s="9">
        <f t="shared" si="4568"/>
        <v>79.12835821</v>
      </c>
      <c r="AT1831" s="9">
        <f t="shared" ref="AT1831:AV1831" si="5743">AJ1831/$AF1831</f>
        <v>15.21044776</v>
      </c>
      <c r="AU1831" s="9">
        <f t="shared" si="5743"/>
        <v>7.317910448</v>
      </c>
      <c r="AV1831" s="9">
        <f t="shared" si="5743"/>
        <v>2.959701493</v>
      </c>
      <c r="AW1831" s="9">
        <f t="shared" si="4570"/>
        <v>10.27761194</v>
      </c>
      <c r="AX1831" s="9">
        <f t="shared" ref="AX1831:AY1831" si="5744">AM1831/$AF1831</f>
        <v>1.358208955</v>
      </c>
      <c r="AY1831" s="9">
        <f t="shared" si="5744"/>
        <v>0.552238806</v>
      </c>
      <c r="AZ1831" s="9">
        <f>VLOOKUP(A1831,Jogos!A:BN,58,0)</f>
        <v>32.155</v>
      </c>
      <c r="BA1831" s="9">
        <f>VLOOKUP(A1831,Jogos!A:BN,59,0)</f>
        <v>19.36</v>
      </c>
      <c r="BB1831" s="9">
        <f>VLOOKUP(A1831,Jogos!A:BN,60,0)</f>
        <v>46</v>
      </c>
      <c r="BC1831" s="9">
        <f>VLOOKUP(A1831,Jogos!A:BN,61,0)</f>
        <v>34.075</v>
      </c>
      <c r="BD1831" s="9">
        <f>VLOOKUP(A1831,Jogos!A:BN,62,0)</f>
        <v>555.45</v>
      </c>
      <c r="BE1831" s="9">
        <f>VLOOKUP(A1831,Jogos!A:BN,63,0)</f>
        <v>1.155</v>
      </c>
      <c r="BF1831" s="9">
        <f>VLOOKUP(A1831,Jogos!A:BN,64,0)</f>
        <v>25.055</v>
      </c>
      <c r="BG1831" s="9">
        <f>VLOOKUP(A1831,Jogos!A:BN,65,0)</f>
        <v>46.925</v>
      </c>
      <c r="BH1831" s="9">
        <f>VLOOKUP(A1831,Jogos!A:BN,66,0)</f>
        <v>30.14</v>
      </c>
      <c r="BI1831" s="9"/>
      <c r="BJ1831" s="9"/>
    </row>
    <row r="1832" hidden="1">
      <c r="A1832" s="2">
        <v>62.0</v>
      </c>
      <c r="B1832" s="2" t="s">
        <v>1385</v>
      </c>
      <c r="C1832" s="2" t="s">
        <v>1351</v>
      </c>
      <c r="D1832" s="3">
        <v>45847.0</v>
      </c>
      <c r="E1832" s="4">
        <v>0.6319444444444444</v>
      </c>
      <c r="F1832" s="5" t="str">
        <f>VLOOKUP(A1832,Jogos!A:N,10,0)</f>
        <v>Afternoon</v>
      </c>
      <c r="G1832" s="2" t="s">
        <v>249</v>
      </c>
      <c r="H1832" s="6" t="str">
        <f>VLOOKUP(A1832,Jogos!A:L,12,0)</f>
        <v>Open</v>
      </c>
      <c r="I1832" s="6" t="str">
        <f>VLOOKUP(G1832,'Estádios e Cidades'!A:B,2,0)</f>
        <v>East Rutherford</v>
      </c>
      <c r="J1832" s="2" t="s">
        <v>873</v>
      </c>
      <c r="K1832" s="2" t="str">
        <f>VLOOKUP(J1832,Equipes!A:F,6,0)</f>
        <v>Temperate</v>
      </c>
      <c r="L1832" s="2">
        <f>VLOOKUP(J1832,Equipes!A:C,3,0)</f>
        <v>3</v>
      </c>
      <c r="M1832" s="2" t="str">
        <f t="shared" si="4"/>
        <v>Semi-final</v>
      </c>
      <c r="N1832" s="2" t="s">
        <v>187</v>
      </c>
      <c r="O1832" s="2">
        <f>VLOOKUP(N1832,Equipes!A:C,3,0)</f>
        <v>2</v>
      </c>
      <c r="P1832" s="2" t="str">
        <f t="shared" si="5"/>
        <v>Final</v>
      </c>
      <c r="Q1832" s="2">
        <f t="shared" si="6"/>
        <v>1</v>
      </c>
      <c r="R1832" s="2" t="str">
        <f>VLOOKUP(J1832,Equipes!A:B,2,0)</f>
        <v>Real</v>
      </c>
      <c r="S1832" s="14" t="s">
        <v>877</v>
      </c>
      <c r="T1832" s="7">
        <v>7.0</v>
      </c>
      <c r="U1832" s="7" t="s">
        <v>878</v>
      </c>
      <c r="V1832" s="7" t="str">
        <f>VLOOKUP(U1832,Jogadores!B:C,2,0)</f>
        <v>FW</v>
      </c>
      <c r="W1832" s="8">
        <f>VLOOKUP(U1832,Jogadores!B:D,3,0)</f>
        <v>25.06027397</v>
      </c>
      <c r="X1832" s="7">
        <v>0.0</v>
      </c>
      <c r="Y1832" s="7">
        <v>65.0</v>
      </c>
      <c r="Z1832" s="7">
        <f>VLOOKUP(A1832,Jogos!A:L,3,0)</f>
        <v>48</v>
      </c>
      <c r="AA1832" s="7">
        <f t="shared" si="4815"/>
        <v>48</v>
      </c>
      <c r="AB1832" s="7">
        <f>VLOOKUP(A1832,Jogos!A:L,4,0)</f>
        <v>45</v>
      </c>
      <c r="AC1832" s="7">
        <f t="shared" si="5062"/>
        <v>20</v>
      </c>
      <c r="AD1832" s="7"/>
      <c r="AE1832" s="7"/>
      <c r="AF1832" s="7">
        <f t="shared" si="4566"/>
        <v>68</v>
      </c>
      <c r="AG1832" s="7">
        <v>7055.0</v>
      </c>
      <c r="AH1832" s="7">
        <v>3354.0</v>
      </c>
      <c r="AI1832" s="7">
        <v>1992.6</v>
      </c>
      <c r="AJ1832" s="7">
        <v>878.8</v>
      </c>
      <c r="AK1832" s="7">
        <v>443.1</v>
      </c>
      <c r="AL1832" s="7">
        <v>386.5</v>
      </c>
      <c r="AM1832" s="7">
        <v>72.0</v>
      </c>
      <c r="AN1832" s="7">
        <v>43.0</v>
      </c>
      <c r="AO1832" s="7">
        <v>34.2</v>
      </c>
      <c r="AP1832" s="9">
        <f t="shared" ref="AP1832:AR1832" si="5745">AG1832/$AF1832</f>
        <v>103.75</v>
      </c>
      <c r="AQ1832" s="9">
        <f t="shared" si="5745"/>
        <v>49.32352941</v>
      </c>
      <c r="AR1832" s="9">
        <f t="shared" si="5745"/>
        <v>29.30294118</v>
      </c>
      <c r="AS1832" s="9">
        <f t="shared" si="4568"/>
        <v>78.62647059</v>
      </c>
      <c r="AT1832" s="9">
        <f t="shared" ref="AT1832:AV1832" si="5746">AJ1832/$AF1832</f>
        <v>12.92352941</v>
      </c>
      <c r="AU1832" s="9">
        <f t="shared" si="5746"/>
        <v>6.516176471</v>
      </c>
      <c r="AV1832" s="9">
        <f t="shared" si="5746"/>
        <v>5.683823529</v>
      </c>
      <c r="AW1832" s="9">
        <f t="shared" si="4570"/>
        <v>12.2</v>
      </c>
      <c r="AX1832" s="9">
        <f t="shared" ref="AX1832:AY1832" si="5747">AM1832/$AF1832</f>
        <v>1.058823529</v>
      </c>
      <c r="AY1832" s="9">
        <f t="shared" si="5747"/>
        <v>0.6323529412</v>
      </c>
      <c r="AZ1832" s="9">
        <f>VLOOKUP(A1832,Jogos!A:BN,58,0)</f>
        <v>32.155</v>
      </c>
      <c r="BA1832" s="9">
        <f>VLOOKUP(A1832,Jogos!A:BN,59,0)</f>
        <v>19.36</v>
      </c>
      <c r="BB1832" s="9">
        <f>VLOOKUP(A1832,Jogos!A:BN,60,0)</f>
        <v>46</v>
      </c>
      <c r="BC1832" s="9">
        <f>VLOOKUP(A1832,Jogos!A:BN,61,0)</f>
        <v>34.075</v>
      </c>
      <c r="BD1832" s="9">
        <f>VLOOKUP(A1832,Jogos!A:BN,62,0)</f>
        <v>555.45</v>
      </c>
      <c r="BE1832" s="9">
        <f>VLOOKUP(A1832,Jogos!A:BN,63,0)</f>
        <v>1.155</v>
      </c>
      <c r="BF1832" s="9">
        <f>VLOOKUP(A1832,Jogos!A:BN,64,0)</f>
        <v>25.055</v>
      </c>
      <c r="BG1832" s="9">
        <f>VLOOKUP(A1832,Jogos!A:BN,65,0)</f>
        <v>46.925</v>
      </c>
      <c r="BH1832" s="9">
        <f>VLOOKUP(A1832,Jogos!A:BN,66,0)</f>
        <v>30.14</v>
      </c>
      <c r="BI1832" s="9"/>
      <c r="BJ1832" s="9"/>
    </row>
    <row r="1833" hidden="1">
      <c r="A1833" s="2">
        <v>62.0</v>
      </c>
      <c r="B1833" s="2" t="s">
        <v>1385</v>
      </c>
      <c r="C1833" s="2" t="s">
        <v>1351</v>
      </c>
      <c r="D1833" s="3">
        <v>45847.0</v>
      </c>
      <c r="E1833" s="4">
        <v>0.6319444444444444</v>
      </c>
      <c r="F1833" s="5" t="str">
        <f>VLOOKUP(A1833,Jogos!A:N,10,0)</f>
        <v>Afternoon</v>
      </c>
      <c r="G1833" s="2" t="s">
        <v>249</v>
      </c>
      <c r="H1833" s="6" t="str">
        <f>VLOOKUP(A1833,Jogos!A:L,12,0)</f>
        <v>Open</v>
      </c>
      <c r="I1833" s="6" t="str">
        <f>VLOOKUP(G1833,'Estádios e Cidades'!A:B,2,0)</f>
        <v>East Rutherford</v>
      </c>
      <c r="J1833" s="2" t="s">
        <v>873</v>
      </c>
      <c r="K1833" s="2" t="str">
        <f>VLOOKUP(J1833,Equipes!A:F,6,0)</f>
        <v>Temperate</v>
      </c>
      <c r="L1833" s="2">
        <f>VLOOKUP(J1833,Equipes!A:C,3,0)</f>
        <v>3</v>
      </c>
      <c r="M1833" s="2" t="str">
        <f t="shared" si="4"/>
        <v>Semi-final</v>
      </c>
      <c r="N1833" s="2" t="s">
        <v>187</v>
      </c>
      <c r="O1833" s="2">
        <f>VLOOKUP(N1833,Equipes!A:C,3,0)</f>
        <v>2</v>
      </c>
      <c r="P1833" s="2" t="str">
        <f t="shared" si="5"/>
        <v>Final</v>
      </c>
      <c r="Q1833" s="2">
        <f t="shared" si="6"/>
        <v>1</v>
      </c>
      <c r="R1833" s="2" t="str">
        <f>VLOOKUP(J1833,Equipes!A:B,2,0)</f>
        <v>Real</v>
      </c>
      <c r="S1833" s="14" t="s">
        <v>879</v>
      </c>
      <c r="T1833" s="7">
        <v>8.0</v>
      </c>
      <c r="U1833" s="7" t="s">
        <v>880</v>
      </c>
      <c r="V1833" s="7" t="str">
        <f>VLOOKUP(U1833,Jogadores!B:C,2,0)</f>
        <v>MF</v>
      </c>
      <c r="W1833" s="8">
        <f>VLOOKUP(U1833,Jogadores!B:D,3,0)</f>
        <v>27.03561644</v>
      </c>
      <c r="X1833" s="7">
        <v>0.0</v>
      </c>
      <c r="Y1833" s="7">
        <f t="shared" ref="Y1833:Y1835" si="5751">45+AB1833</f>
        <v>90</v>
      </c>
      <c r="Z1833" s="7">
        <f>VLOOKUP(A1833,Jogos!A:L,3,0)</f>
        <v>48</v>
      </c>
      <c r="AA1833" s="7">
        <f t="shared" si="4815"/>
        <v>48</v>
      </c>
      <c r="AB1833" s="7">
        <f>VLOOKUP(A1833,Jogos!A:L,4,0)</f>
        <v>45</v>
      </c>
      <c r="AC1833" s="7">
        <f t="shared" si="5062"/>
        <v>45</v>
      </c>
      <c r="AD1833" s="7"/>
      <c r="AE1833" s="7"/>
      <c r="AF1833" s="7">
        <f t="shared" si="4566"/>
        <v>93</v>
      </c>
      <c r="AG1833" s="7">
        <v>9222.7</v>
      </c>
      <c r="AH1833" s="7">
        <v>3581.8</v>
      </c>
      <c r="AI1833" s="7">
        <v>3619.0</v>
      </c>
      <c r="AJ1833" s="7">
        <v>1044.4</v>
      </c>
      <c r="AK1833" s="7">
        <v>540.5</v>
      </c>
      <c r="AL1833" s="7">
        <v>437.0</v>
      </c>
      <c r="AM1833" s="7">
        <v>86.0</v>
      </c>
      <c r="AN1833" s="7">
        <v>46.0</v>
      </c>
      <c r="AO1833" s="7">
        <v>35.5</v>
      </c>
      <c r="AP1833" s="9">
        <f t="shared" ref="AP1833:AR1833" si="5748">AG1833/$AF1833</f>
        <v>99.1688172</v>
      </c>
      <c r="AQ1833" s="9">
        <f t="shared" si="5748"/>
        <v>38.51397849</v>
      </c>
      <c r="AR1833" s="9">
        <f t="shared" si="5748"/>
        <v>38.91397849</v>
      </c>
      <c r="AS1833" s="9">
        <f t="shared" si="4568"/>
        <v>77.42795699</v>
      </c>
      <c r="AT1833" s="9">
        <f t="shared" ref="AT1833:AV1833" si="5749">AJ1833/$AF1833</f>
        <v>11.23010753</v>
      </c>
      <c r="AU1833" s="9">
        <f t="shared" si="5749"/>
        <v>5.811827957</v>
      </c>
      <c r="AV1833" s="9">
        <f t="shared" si="5749"/>
        <v>4.698924731</v>
      </c>
      <c r="AW1833" s="9">
        <f t="shared" si="4570"/>
        <v>10.51075269</v>
      </c>
      <c r="AX1833" s="9">
        <f t="shared" ref="AX1833:AY1833" si="5750">AM1833/$AF1833</f>
        <v>0.9247311828</v>
      </c>
      <c r="AY1833" s="9">
        <f t="shared" si="5750"/>
        <v>0.4946236559</v>
      </c>
      <c r="AZ1833" s="9">
        <f>VLOOKUP(A1833,Jogos!A:BN,58,0)</f>
        <v>32.155</v>
      </c>
      <c r="BA1833" s="9">
        <f>VLOOKUP(A1833,Jogos!A:BN,59,0)</f>
        <v>19.36</v>
      </c>
      <c r="BB1833" s="9">
        <f>VLOOKUP(A1833,Jogos!A:BN,60,0)</f>
        <v>46</v>
      </c>
      <c r="BC1833" s="9">
        <f>VLOOKUP(A1833,Jogos!A:BN,61,0)</f>
        <v>34.075</v>
      </c>
      <c r="BD1833" s="9">
        <f>VLOOKUP(A1833,Jogos!A:BN,62,0)</f>
        <v>555.45</v>
      </c>
      <c r="BE1833" s="9">
        <f>VLOOKUP(A1833,Jogos!A:BN,63,0)</f>
        <v>1.155</v>
      </c>
      <c r="BF1833" s="9">
        <f>VLOOKUP(A1833,Jogos!A:BN,64,0)</f>
        <v>25.055</v>
      </c>
      <c r="BG1833" s="9">
        <f>VLOOKUP(A1833,Jogos!A:BN,65,0)</f>
        <v>46.925</v>
      </c>
      <c r="BH1833" s="9">
        <f>VLOOKUP(A1833,Jogos!A:BN,66,0)</f>
        <v>30.14</v>
      </c>
      <c r="BI1833" s="9"/>
      <c r="BJ1833" s="9"/>
    </row>
    <row r="1834" hidden="1">
      <c r="A1834" s="2">
        <v>62.0</v>
      </c>
      <c r="B1834" s="2" t="s">
        <v>1385</v>
      </c>
      <c r="C1834" s="2" t="s">
        <v>1351</v>
      </c>
      <c r="D1834" s="3">
        <v>45847.0</v>
      </c>
      <c r="E1834" s="4">
        <v>0.6319444444444444</v>
      </c>
      <c r="F1834" s="5" t="str">
        <f>VLOOKUP(A1834,Jogos!A:N,10,0)</f>
        <v>Afternoon</v>
      </c>
      <c r="G1834" s="2" t="s">
        <v>249</v>
      </c>
      <c r="H1834" s="6" t="str">
        <f>VLOOKUP(A1834,Jogos!A:L,12,0)</f>
        <v>Open</v>
      </c>
      <c r="I1834" s="6" t="str">
        <f>VLOOKUP(G1834,'Estádios e Cidades'!A:B,2,0)</f>
        <v>East Rutherford</v>
      </c>
      <c r="J1834" s="2" t="s">
        <v>873</v>
      </c>
      <c r="K1834" s="2" t="str">
        <f>VLOOKUP(J1834,Equipes!A:F,6,0)</f>
        <v>Temperate</v>
      </c>
      <c r="L1834" s="2">
        <f>VLOOKUP(J1834,Equipes!A:C,3,0)</f>
        <v>3</v>
      </c>
      <c r="M1834" s="2" t="str">
        <f t="shared" si="4"/>
        <v>Semi-final</v>
      </c>
      <c r="N1834" s="2" t="s">
        <v>187</v>
      </c>
      <c r="O1834" s="2">
        <f>VLOOKUP(N1834,Equipes!A:C,3,0)</f>
        <v>2</v>
      </c>
      <c r="P1834" s="2" t="str">
        <f t="shared" si="5"/>
        <v>Final</v>
      </c>
      <c r="Q1834" s="2">
        <f t="shared" si="6"/>
        <v>1</v>
      </c>
      <c r="R1834" s="2" t="str">
        <f>VLOOKUP(J1834,Equipes!A:B,2,0)</f>
        <v>Real</v>
      </c>
      <c r="S1834" s="14" t="s">
        <v>1376</v>
      </c>
      <c r="T1834" s="7">
        <v>9.0</v>
      </c>
      <c r="U1834" s="7" t="s">
        <v>1377</v>
      </c>
      <c r="V1834" s="7" t="s">
        <v>1133</v>
      </c>
      <c r="W1834" s="8">
        <f>VLOOKUP(U1834,Jogadores!B:D,3,0)</f>
        <v>26.62191781</v>
      </c>
      <c r="X1834" s="7">
        <v>0.0</v>
      </c>
      <c r="Y1834" s="7">
        <f t="shared" si="5751"/>
        <v>90</v>
      </c>
      <c r="Z1834" s="7">
        <f>VLOOKUP(A1834,Jogos!A:L,3,0)</f>
        <v>48</v>
      </c>
      <c r="AA1834" s="7">
        <f t="shared" si="4815"/>
        <v>48</v>
      </c>
      <c r="AB1834" s="7">
        <f>VLOOKUP(A1834,Jogos!A:L,4,0)</f>
        <v>45</v>
      </c>
      <c r="AC1834" s="7">
        <f t="shared" si="5062"/>
        <v>45</v>
      </c>
      <c r="AD1834" s="7"/>
      <c r="AE1834" s="7"/>
      <c r="AF1834" s="7">
        <f t="shared" si="4566"/>
        <v>93</v>
      </c>
      <c r="AG1834" s="7">
        <v>8317.7</v>
      </c>
      <c r="AH1834" s="7">
        <v>3939.0</v>
      </c>
      <c r="AI1834" s="7">
        <v>3149.7</v>
      </c>
      <c r="AJ1834" s="7">
        <v>763.1</v>
      </c>
      <c r="AK1834" s="7">
        <v>245.1</v>
      </c>
      <c r="AL1834" s="7">
        <v>220.8</v>
      </c>
      <c r="AM1834" s="7">
        <v>74.0</v>
      </c>
      <c r="AN1834" s="7">
        <v>28.0</v>
      </c>
      <c r="AO1834" s="7">
        <v>32.1</v>
      </c>
      <c r="AP1834" s="9">
        <f t="shared" ref="AP1834:AR1834" si="5752">AG1834/$AF1834</f>
        <v>89.43763441</v>
      </c>
      <c r="AQ1834" s="9">
        <f t="shared" si="5752"/>
        <v>42.35483871</v>
      </c>
      <c r="AR1834" s="9">
        <f t="shared" si="5752"/>
        <v>33.86774194</v>
      </c>
      <c r="AS1834" s="9">
        <f t="shared" si="4568"/>
        <v>76.22258065</v>
      </c>
      <c r="AT1834" s="9">
        <f t="shared" ref="AT1834:AV1834" si="5753">AJ1834/$AF1834</f>
        <v>8.205376344</v>
      </c>
      <c r="AU1834" s="9">
        <f t="shared" si="5753"/>
        <v>2.635483871</v>
      </c>
      <c r="AV1834" s="9">
        <f t="shared" si="5753"/>
        <v>2.374193548</v>
      </c>
      <c r="AW1834" s="9">
        <f t="shared" si="4570"/>
        <v>5.009677419</v>
      </c>
      <c r="AX1834" s="9">
        <f t="shared" ref="AX1834:AY1834" si="5754">AM1834/$AF1834</f>
        <v>0.7956989247</v>
      </c>
      <c r="AY1834" s="9">
        <f t="shared" si="5754"/>
        <v>0.3010752688</v>
      </c>
      <c r="AZ1834" s="9">
        <f>VLOOKUP(A1834,Jogos!A:BN,58,0)</f>
        <v>32.155</v>
      </c>
      <c r="BA1834" s="9">
        <f>VLOOKUP(A1834,Jogos!A:BN,59,0)</f>
        <v>19.36</v>
      </c>
      <c r="BB1834" s="9">
        <f>VLOOKUP(A1834,Jogos!A:BN,60,0)</f>
        <v>46</v>
      </c>
      <c r="BC1834" s="9">
        <f>VLOOKUP(A1834,Jogos!A:BN,61,0)</f>
        <v>34.075</v>
      </c>
      <c r="BD1834" s="9">
        <f>VLOOKUP(A1834,Jogos!A:BN,62,0)</f>
        <v>555.45</v>
      </c>
      <c r="BE1834" s="9">
        <f>VLOOKUP(A1834,Jogos!A:BN,63,0)</f>
        <v>1.155</v>
      </c>
      <c r="BF1834" s="9">
        <f>VLOOKUP(A1834,Jogos!A:BN,64,0)</f>
        <v>25.055</v>
      </c>
      <c r="BG1834" s="9">
        <f>VLOOKUP(A1834,Jogos!A:BN,65,0)</f>
        <v>46.925</v>
      </c>
      <c r="BH1834" s="9">
        <f>VLOOKUP(A1834,Jogos!A:BN,66,0)</f>
        <v>30.14</v>
      </c>
      <c r="BI1834" s="9"/>
      <c r="BJ1834" s="9"/>
    </row>
    <row r="1835" hidden="1">
      <c r="A1835" s="2">
        <v>62.0</v>
      </c>
      <c r="B1835" s="2" t="s">
        <v>1385</v>
      </c>
      <c r="C1835" s="2" t="s">
        <v>1351</v>
      </c>
      <c r="D1835" s="3">
        <v>45847.0</v>
      </c>
      <c r="E1835" s="4">
        <v>0.6319444444444444</v>
      </c>
      <c r="F1835" s="5" t="str">
        <f>VLOOKUP(A1835,Jogos!A:N,10,0)</f>
        <v>Afternoon</v>
      </c>
      <c r="G1835" s="2" t="s">
        <v>249</v>
      </c>
      <c r="H1835" s="6" t="str">
        <f>VLOOKUP(A1835,Jogos!A:L,12,0)</f>
        <v>Open</v>
      </c>
      <c r="I1835" s="6" t="str">
        <f>VLOOKUP(G1835,'Estádios e Cidades'!A:B,2,0)</f>
        <v>East Rutherford</v>
      </c>
      <c r="J1835" s="2" t="s">
        <v>873</v>
      </c>
      <c r="K1835" s="2" t="str">
        <f>VLOOKUP(J1835,Equipes!A:F,6,0)</f>
        <v>Temperate</v>
      </c>
      <c r="L1835" s="2">
        <f>VLOOKUP(J1835,Equipes!A:C,3,0)</f>
        <v>3</v>
      </c>
      <c r="M1835" s="2" t="str">
        <f t="shared" si="4"/>
        <v>Semi-final</v>
      </c>
      <c r="N1835" s="2" t="s">
        <v>187</v>
      </c>
      <c r="O1835" s="2">
        <f>VLOOKUP(N1835,Equipes!A:C,3,0)</f>
        <v>2</v>
      </c>
      <c r="P1835" s="2" t="str">
        <f t="shared" si="5"/>
        <v>Final</v>
      </c>
      <c r="Q1835" s="2">
        <f t="shared" si="6"/>
        <v>1</v>
      </c>
      <c r="R1835" s="2" t="str">
        <f>VLOOKUP(J1835,Equipes!A:B,2,0)</f>
        <v>Real</v>
      </c>
      <c r="S1835" s="14" t="s">
        <v>885</v>
      </c>
      <c r="T1835" s="7">
        <v>14.0</v>
      </c>
      <c r="U1835" s="7" t="s">
        <v>886</v>
      </c>
      <c r="V1835" s="7" t="str">
        <f>VLOOKUP(U1835,Jogadores!B:C,2,0)</f>
        <v>MF</v>
      </c>
      <c r="W1835" s="8">
        <f>VLOOKUP(U1835,Jogadores!B:D,3,0)</f>
        <v>25.51780822</v>
      </c>
      <c r="X1835" s="7">
        <v>0.0</v>
      </c>
      <c r="Y1835" s="7">
        <f t="shared" si="5751"/>
        <v>90</v>
      </c>
      <c r="Z1835" s="7">
        <f>VLOOKUP(A1835,Jogos!A:L,3,0)</f>
        <v>48</v>
      </c>
      <c r="AA1835" s="7">
        <f t="shared" si="4815"/>
        <v>48</v>
      </c>
      <c r="AB1835" s="7">
        <f>VLOOKUP(A1835,Jogos!A:L,4,0)</f>
        <v>45</v>
      </c>
      <c r="AC1835" s="7">
        <f t="shared" si="5062"/>
        <v>45</v>
      </c>
      <c r="AD1835" s="7"/>
      <c r="AE1835" s="7"/>
      <c r="AF1835" s="7">
        <f t="shared" si="4566"/>
        <v>93</v>
      </c>
      <c r="AG1835" s="7">
        <v>11047.1</v>
      </c>
      <c r="AH1835" s="7">
        <v>3691.0</v>
      </c>
      <c r="AI1835" s="7">
        <v>4381.6</v>
      </c>
      <c r="AJ1835" s="7">
        <v>2295.3</v>
      </c>
      <c r="AK1835" s="7">
        <v>520.2</v>
      </c>
      <c r="AL1835" s="7">
        <v>159.0</v>
      </c>
      <c r="AM1835" s="7">
        <v>188.0</v>
      </c>
      <c r="AN1835" s="7">
        <v>39.0</v>
      </c>
      <c r="AO1835" s="7">
        <v>30.1</v>
      </c>
      <c r="AP1835" s="9">
        <f t="shared" ref="AP1835:AR1835" si="5755">AG1835/$AF1835</f>
        <v>118.7860215</v>
      </c>
      <c r="AQ1835" s="9">
        <f t="shared" si="5755"/>
        <v>39.68817204</v>
      </c>
      <c r="AR1835" s="9">
        <f t="shared" si="5755"/>
        <v>47.11397849</v>
      </c>
      <c r="AS1835" s="9">
        <f t="shared" si="4568"/>
        <v>86.80215054</v>
      </c>
      <c r="AT1835" s="9">
        <f t="shared" ref="AT1835:AV1835" si="5756">AJ1835/$AF1835</f>
        <v>24.68064516</v>
      </c>
      <c r="AU1835" s="9">
        <f t="shared" si="5756"/>
        <v>5.593548387</v>
      </c>
      <c r="AV1835" s="9">
        <f t="shared" si="5756"/>
        <v>1.709677419</v>
      </c>
      <c r="AW1835" s="9">
        <f t="shared" si="4570"/>
        <v>7.303225806</v>
      </c>
      <c r="AX1835" s="9">
        <f t="shared" ref="AX1835:AY1835" si="5757">AM1835/$AF1835</f>
        <v>2.021505376</v>
      </c>
      <c r="AY1835" s="9">
        <f t="shared" si="5757"/>
        <v>0.4193548387</v>
      </c>
      <c r="AZ1835" s="9">
        <f>VLOOKUP(A1835,Jogos!A:BN,58,0)</f>
        <v>32.155</v>
      </c>
      <c r="BA1835" s="9">
        <f>VLOOKUP(A1835,Jogos!A:BN,59,0)</f>
        <v>19.36</v>
      </c>
      <c r="BB1835" s="9">
        <f>VLOOKUP(A1835,Jogos!A:BN,60,0)</f>
        <v>46</v>
      </c>
      <c r="BC1835" s="9">
        <f>VLOOKUP(A1835,Jogos!A:BN,61,0)</f>
        <v>34.075</v>
      </c>
      <c r="BD1835" s="9">
        <f>VLOOKUP(A1835,Jogos!A:BN,62,0)</f>
        <v>555.45</v>
      </c>
      <c r="BE1835" s="9">
        <f>VLOOKUP(A1835,Jogos!A:BN,63,0)</f>
        <v>1.155</v>
      </c>
      <c r="BF1835" s="9">
        <f>VLOOKUP(A1835,Jogos!A:BN,64,0)</f>
        <v>25.055</v>
      </c>
      <c r="BG1835" s="9">
        <f>VLOOKUP(A1835,Jogos!A:BN,65,0)</f>
        <v>46.925</v>
      </c>
      <c r="BH1835" s="9">
        <f>VLOOKUP(A1835,Jogos!A:BN,66,0)</f>
        <v>30.14</v>
      </c>
      <c r="BI1835" s="9"/>
      <c r="BJ1835" s="9"/>
    </row>
    <row r="1836" hidden="1">
      <c r="A1836" s="2">
        <v>62.0</v>
      </c>
      <c r="B1836" s="2" t="s">
        <v>1385</v>
      </c>
      <c r="C1836" s="2" t="s">
        <v>1351</v>
      </c>
      <c r="D1836" s="3">
        <v>45847.0</v>
      </c>
      <c r="E1836" s="4">
        <v>0.6319444444444444</v>
      </c>
      <c r="F1836" s="5" t="str">
        <f>VLOOKUP(A1836,Jogos!A:N,10,0)</f>
        <v>Afternoon</v>
      </c>
      <c r="G1836" s="2" t="s">
        <v>249</v>
      </c>
      <c r="H1836" s="6" t="str">
        <f>VLOOKUP(A1836,Jogos!A:L,12,0)</f>
        <v>Open</v>
      </c>
      <c r="I1836" s="6" t="str">
        <f>VLOOKUP(G1836,'Estádios e Cidades'!A:B,2,0)</f>
        <v>East Rutherford</v>
      </c>
      <c r="J1836" s="2" t="s">
        <v>873</v>
      </c>
      <c r="K1836" s="2" t="str">
        <f>VLOOKUP(J1836,Equipes!A:F,6,0)</f>
        <v>Temperate</v>
      </c>
      <c r="L1836" s="2">
        <f>VLOOKUP(J1836,Equipes!A:C,3,0)</f>
        <v>3</v>
      </c>
      <c r="M1836" s="2" t="str">
        <f t="shared" si="4"/>
        <v>Semi-final</v>
      </c>
      <c r="N1836" s="2" t="s">
        <v>187</v>
      </c>
      <c r="O1836" s="2">
        <f>VLOOKUP(N1836,Equipes!A:C,3,0)</f>
        <v>2</v>
      </c>
      <c r="P1836" s="2" t="str">
        <f t="shared" si="5"/>
        <v>Final</v>
      </c>
      <c r="Q1836" s="2">
        <f t="shared" si="6"/>
        <v>1</v>
      </c>
      <c r="R1836" s="2" t="str">
        <f>VLOOKUP(J1836,Equipes!A:B,2,0)</f>
        <v>Real</v>
      </c>
      <c r="S1836" s="14" t="s">
        <v>897</v>
      </c>
      <c r="T1836" s="7">
        <v>15.0</v>
      </c>
      <c r="U1836" s="7" t="s">
        <v>898</v>
      </c>
      <c r="V1836" s="7" t="str">
        <f>VLOOKUP(U1836,Jogadores!B:C,2,0)</f>
        <v>MF</v>
      </c>
      <c r="W1836" s="8">
        <f>VLOOKUP(U1836,Jogadores!B:D,3,0)</f>
        <v>20.43287671</v>
      </c>
      <c r="X1836" s="7">
        <v>0.0</v>
      </c>
      <c r="Y1836" s="7">
        <v>83.0</v>
      </c>
      <c r="Z1836" s="7">
        <f>VLOOKUP(A1836,Jogos!A:L,3,0)</f>
        <v>48</v>
      </c>
      <c r="AA1836" s="7">
        <f t="shared" si="4815"/>
        <v>48</v>
      </c>
      <c r="AB1836" s="7">
        <f>VLOOKUP(A1836,Jogos!A:L,4,0)</f>
        <v>45</v>
      </c>
      <c r="AC1836" s="7">
        <f t="shared" si="5062"/>
        <v>38</v>
      </c>
      <c r="AD1836" s="7"/>
      <c r="AE1836" s="7"/>
      <c r="AF1836" s="7">
        <f t="shared" si="4566"/>
        <v>86</v>
      </c>
      <c r="AG1836" s="7">
        <v>10484.8</v>
      </c>
      <c r="AH1836" s="7">
        <v>2910.9</v>
      </c>
      <c r="AI1836" s="7">
        <v>4994.4</v>
      </c>
      <c r="AJ1836" s="7">
        <v>1869.1</v>
      </c>
      <c r="AK1836" s="7">
        <v>631.7</v>
      </c>
      <c r="AL1836" s="7">
        <v>78.7</v>
      </c>
      <c r="AM1836" s="7">
        <v>175.0</v>
      </c>
      <c r="AN1836" s="7">
        <v>40.0</v>
      </c>
      <c r="AO1836" s="7">
        <v>27.6</v>
      </c>
      <c r="AP1836" s="9">
        <f t="shared" ref="AP1836:AR1836" si="5758">AG1836/$AF1836</f>
        <v>121.9162791</v>
      </c>
      <c r="AQ1836" s="9">
        <f t="shared" si="5758"/>
        <v>33.84767442</v>
      </c>
      <c r="AR1836" s="9">
        <f t="shared" si="5758"/>
        <v>58.0744186</v>
      </c>
      <c r="AS1836" s="9">
        <f t="shared" si="4568"/>
        <v>91.92209302</v>
      </c>
      <c r="AT1836" s="9">
        <f t="shared" ref="AT1836:AV1836" si="5759">AJ1836/$AF1836</f>
        <v>21.73372093</v>
      </c>
      <c r="AU1836" s="9">
        <f t="shared" si="5759"/>
        <v>7.345348837</v>
      </c>
      <c r="AV1836" s="9">
        <f t="shared" si="5759"/>
        <v>0.9151162791</v>
      </c>
      <c r="AW1836" s="9">
        <f t="shared" si="4570"/>
        <v>8.260465116</v>
      </c>
      <c r="AX1836" s="9">
        <f t="shared" ref="AX1836:AY1836" si="5760">AM1836/$AF1836</f>
        <v>2.034883721</v>
      </c>
      <c r="AY1836" s="9">
        <f t="shared" si="5760"/>
        <v>0.4651162791</v>
      </c>
      <c r="AZ1836" s="9">
        <f>VLOOKUP(A1836,Jogos!A:BN,58,0)</f>
        <v>32.155</v>
      </c>
      <c r="BA1836" s="9">
        <f>VLOOKUP(A1836,Jogos!A:BN,59,0)</f>
        <v>19.36</v>
      </c>
      <c r="BB1836" s="9">
        <f>VLOOKUP(A1836,Jogos!A:BN,60,0)</f>
        <v>46</v>
      </c>
      <c r="BC1836" s="9">
        <f>VLOOKUP(A1836,Jogos!A:BN,61,0)</f>
        <v>34.075</v>
      </c>
      <c r="BD1836" s="9">
        <f>VLOOKUP(A1836,Jogos!A:BN,62,0)</f>
        <v>555.45</v>
      </c>
      <c r="BE1836" s="9">
        <f>VLOOKUP(A1836,Jogos!A:BN,63,0)</f>
        <v>1.155</v>
      </c>
      <c r="BF1836" s="9">
        <f>VLOOKUP(A1836,Jogos!A:BN,64,0)</f>
        <v>25.055</v>
      </c>
      <c r="BG1836" s="9">
        <f>VLOOKUP(A1836,Jogos!A:BN,65,0)</f>
        <v>46.925</v>
      </c>
      <c r="BH1836" s="9">
        <f>VLOOKUP(A1836,Jogos!A:BN,66,0)</f>
        <v>30.14</v>
      </c>
      <c r="BI1836" s="9"/>
      <c r="BJ1836" s="9"/>
    </row>
    <row r="1837" hidden="1">
      <c r="A1837" s="2">
        <v>62.0</v>
      </c>
      <c r="B1837" s="2" t="s">
        <v>1385</v>
      </c>
      <c r="C1837" s="2" t="s">
        <v>1351</v>
      </c>
      <c r="D1837" s="3">
        <v>45847.0</v>
      </c>
      <c r="E1837" s="4">
        <v>0.6319444444444444</v>
      </c>
      <c r="F1837" s="5" t="str">
        <f>VLOOKUP(A1837,Jogos!A:N,10,0)</f>
        <v>Afternoon</v>
      </c>
      <c r="G1837" s="2" t="s">
        <v>249</v>
      </c>
      <c r="H1837" s="6" t="str">
        <f>VLOOKUP(A1837,Jogos!A:L,12,0)</f>
        <v>Open</v>
      </c>
      <c r="I1837" s="6" t="str">
        <f>VLOOKUP(G1837,'Estádios e Cidades'!A:B,2,0)</f>
        <v>East Rutherford</v>
      </c>
      <c r="J1837" s="2" t="s">
        <v>873</v>
      </c>
      <c r="K1837" s="2" t="str">
        <f>VLOOKUP(J1837,Equipes!A:F,6,0)</f>
        <v>Temperate</v>
      </c>
      <c r="L1837" s="2">
        <f>VLOOKUP(J1837,Equipes!A:C,3,0)</f>
        <v>3</v>
      </c>
      <c r="M1837" s="2" t="str">
        <f t="shared" si="4"/>
        <v>Semi-final</v>
      </c>
      <c r="N1837" s="2" t="s">
        <v>187</v>
      </c>
      <c r="O1837" s="2">
        <f>VLOOKUP(N1837,Equipes!A:C,3,0)</f>
        <v>2</v>
      </c>
      <c r="P1837" s="2" t="str">
        <f t="shared" si="5"/>
        <v>Final</v>
      </c>
      <c r="Q1837" s="2">
        <f t="shared" si="6"/>
        <v>1</v>
      </c>
      <c r="R1837" s="2" t="str">
        <f>VLOOKUP(J1837,Equipes!A:B,2,0)</f>
        <v>Real</v>
      </c>
      <c r="S1837" s="14" t="s">
        <v>887</v>
      </c>
      <c r="T1837" s="7">
        <v>20.0</v>
      </c>
      <c r="U1837" s="7" t="s">
        <v>888</v>
      </c>
      <c r="V1837" s="7" t="str">
        <f>VLOOKUP(U1837,Jogadores!B:C,2,0)</f>
        <v>DF</v>
      </c>
      <c r="W1837" s="8">
        <f>VLOOKUP(U1837,Jogadores!B:D,3,0)</f>
        <v>25.97260274</v>
      </c>
      <c r="X1837" s="7">
        <v>0.0</v>
      </c>
      <c r="Y1837" s="7">
        <f t="shared" ref="Y1837:Y1838" si="5764">45+AB1837</f>
        <v>90</v>
      </c>
      <c r="Z1837" s="7">
        <f>VLOOKUP(A1837,Jogos!A:L,3,0)</f>
        <v>48</v>
      </c>
      <c r="AA1837" s="7">
        <f t="shared" si="4815"/>
        <v>48</v>
      </c>
      <c r="AB1837" s="7">
        <f>VLOOKUP(A1837,Jogos!A:L,4,0)</f>
        <v>45</v>
      </c>
      <c r="AC1837" s="7">
        <f t="shared" si="5062"/>
        <v>45</v>
      </c>
      <c r="AD1837" s="7"/>
      <c r="AE1837" s="7"/>
      <c r="AF1837" s="7">
        <f t="shared" si="4566"/>
        <v>93</v>
      </c>
      <c r="AG1837" s="7">
        <v>10337.6</v>
      </c>
      <c r="AH1837" s="7">
        <v>3525.4</v>
      </c>
      <c r="AI1837" s="7">
        <v>4297.3</v>
      </c>
      <c r="AJ1837" s="7">
        <v>1518.6</v>
      </c>
      <c r="AK1837" s="7">
        <v>634.2</v>
      </c>
      <c r="AL1837" s="7">
        <v>362.0</v>
      </c>
      <c r="AM1837" s="7">
        <v>131.0</v>
      </c>
      <c r="AN1837" s="7">
        <v>61.0</v>
      </c>
      <c r="AO1837" s="7">
        <v>33.6</v>
      </c>
      <c r="AP1837" s="9">
        <f t="shared" ref="AP1837:AR1837" si="5761">AG1837/$AF1837</f>
        <v>111.1569892</v>
      </c>
      <c r="AQ1837" s="9">
        <f t="shared" si="5761"/>
        <v>37.90752688</v>
      </c>
      <c r="AR1837" s="9">
        <f t="shared" si="5761"/>
        <v>46.20752688</v>
      </c>
      <c r="AS1837" s="9">
        <f t="shared" si="4568"/>
        <v>84.11505376</v>
      </c>
      <c r="AT1837" s="9">
        <f t="shared" ref="AT1837:AV1837" si="5762">AJ1837/$AF1837</f>
        <v>16.32903226</v>
      </c>
      <c r="AU1837" s="9">
        <f t="shared" si="5762"/>
        <v>6.819354839</v>
      </c>
      <c r="AV1837" s="9">
        <f t="shared" si="5762"/>
        <v>3.892473118</v>
      </c>
      <c r="AW1837" s="9">
        <f t="shared" si="4570"/>
        <v>10.71182796</v>
      </c>
      <c r="AX1837" s="9">
        <f t="shared" ref="AX1837:AY1837" si="5763">AM1837/$AF1837</f>
        <v>1.408602151</v>
      </c>
      <c r="AY1837" s="9">
        <f t="shared" si="5763"/>
        <v>0.6559139785</v>
      </c>
      <c r="AZ1837" s="9">
        <f>VLOOKUP(A1837,Jogos!A:BN,58,0)</f>
        <v>32.155</v>
      </c>
      <c r="BA1837" s="9">
        <f>VLOOKUP(A1837,Jogos!A:BN,59,0)</f>
        <v>19.36</v>
      </c>
      <c r="BB1837" s="9">
        <f>VLOOKUP(A1837,Jogos!A:BN,60,0)</f>
        <v>46</v>
      </c>
      <c r="BC1837" s="9">
        <f>VLOOKUP(A1837,Jogos!A:BN,61,0)</f>
        <v>34.075</v>
      </c>
      <c r="BD1837" s="9">
        <f>VLOOKUP(A1837,Jogos!A:BN,62,0)</f>
        <v>555.45</v>
      </c>
      <c r="BE1837" s="9">
        <f>VLOOKUP(A1837,Jogos!A:BN,63,0)</f>
        <v>1.155</v>
      </c>
      <c r="BF1837" s="9">
        <f>VLOOKUP(A1837,Jogos!A:BN,64,0)</f>
        <v>25.055</v>
      </c>
      <c r="BG1837" s="9">
        <f>VLOOKUP(A1837,Jogos!A:BN,65,0)</f>
        <v>46.925</v>
      </c>
      <c r="BH1837" s="9">
        <f>VLOOKUP(A1837,Jogos!A:BN,66,0)</f>
        <v>30.14</v>
      </c>
      <c r="BI1837" s="9"/>
      <c r="BJ1837" s="9"/>
    </row>
    <row r="1838" hidden="1">
      <c r="A1838" s="2">
        <v>62.0</v>
      </c>
      <c r="B1838" s="2" t="s">
        <v>1385</v>
      </c>
      <c r="C1838" s="2" t="s">
        <v>1351</v>
      </c>
      <c r="D1838" s="3">
        <v>45847.0</v>
      </c>
      <c r="E1838" s="4">
        <v>0.6319444444444444</v>
      </c>
      <c r="F1838" s="5" t="str">
        <f>VLOOKUP(A1838,Jogos!A:N,10,0)</f>
        <v>Afternoon</v>
      </c>
      <c r="G1838" s="2" t="s">
        <v>249</v>
      </c>
      <c r="H1838" s="6" t="str">
        <f>VLOOKUP(A1838,Jogos!A:L,12,0)</f>
        <v>Open</v>
      </c>
      <c r="I1838" s="6" t="str">
        <f>VLOOKUP(G1838,'Estádios e Cidades'!A:B,2,0)</f>
        <v>East Rutherford</v>
      </c>
      <c r="J1838" s="2" t="s">
        <v>873</v>
      </c>
      <c r="K1838" s="2" t="str">
        <f>VLOOKUP(J1838,Equipes!A:F,6,0)</f>
        <v>Temperate</v>
      </c>
      <c r="L1838" s="2">
        <f>VLOOKUP(J1838,Equipes!A:C,3,0)</f>
        <v>3</v>
      </c>
      <c r="M1838" s="2" t="str">
        <f t="shared" si="4"/>
        <v>Semi-final</v>
      </c>
      <c r="N1838" s="2" t="s">
        <v>187</v>
      </c>
      <c r="O1838" s="2">
        <f>VLOOKUP(N1838,Equipes!A:C,3,0)</f>
        <v>2</v>
      </c>
      <c r="P1838" s="2" t="str">
        <f t="shared" si="5"/>
        <v>Final</v>
      </c>
      <c r="Q1838" s="2">
        <f t="shared" si="6"/>
        <v>1</v>
      </c>
      <c r="R1838" s="2" t="str">
        <f>VLOOKUP(J1838,Equipes!A:B,2,0)</f>
        <v>Real</v>
      </c>
      <c r="S1838" s="14" t="s">
        <v>1203</v>
      </c>
      <c r="T1838" s="7">
        <v>22.0</v>
      </c>
      <c r="U1838" s="7" t="s">
        <v>1204</v>
      </c>
      <c r="V1838" s="7" t="str">
        <f>VLOOKUP(U1838,Jogadores!B:C,2,0)</f>
        <v>DF</v>
      </c>
      <c r="W1838" s="8">
        <f>VLOOKUP(U1838,Jogadores!B:D,3,0)</f>
        <v>32.42465753</v>
      </c>
      <c r="X1838" s="7">
        <v>0.0</v>
      </c>
      <c r="Y1838" s="7">
        <f t="shared" si="5764"/>
        <v>90</v>
      </c>
      <c r="Z1838" s="7">
        <f>VLOOKUP(A1838,Jogos!A:L,3,0)</f>
        <v>48</v>
      </c>
      <c r="AA1838" s="7">
        <f t="shared" si="4815"/>
        <v>48</v>
      </c>
      <c r="AB1838" s="7">
        <f>VLOOKUP(A1838,Jogos!A:L,4,0)</f>
        <v>45</v>
      </c>
      <c r="AC1838" s="7">
        <f t="shared" si="5062"/>
        <v>45</v>
      </c>
      <c r="AD1838" s="7"/>
      <c r="AE1838" s="7"/>
      <c r="AF1838" s="7">
        <f t="shared" si="4566"/>
        <v>93</v>
      </c>
      <c r="AG1838" s="7">
        <v>9366.3</v>
      </c>
      <c r="AH1838" s="7">
        <v>3984.6</v>
      </c>
      <c r="AI1838" s="7">
        <v>3515.7</v>
      </c>
      <c r="AJ1838" s="7">
        <v>1145.6</v>
      </c>
      <c r="AK1838" s="7">
        <v>552.8</v>
      </c>
      <c r="AL1838" s="7">
        <v>167.7</v>
      </c>
      <c r="AM1838" s="7">
        <v>104.0</v>
      </c>
      <c r="AN1838" s="7">
        <v>45.0</v>
      </c>
      <c r="AO1838" s="7">
        <v>32.4</v>
      </c>
      <c r="AP1838" s="9">
        <f t="shared" ref="AP1838:AR1838" si="5765">AG1838/$AF1838</f>
        <v>100.7129032</v>
      </c>
      <c r="AQ1838" s="9">
        <f t="shared" si="5765"/>
        <v>42.84516129</v>
      </c>
      <c r="AR1838" s="9">
        <f t="shared" si="5765"/>
        <v>37.80322581</v>
      </c>
      <c r="AS1838" s="9">
        <f t="shared" si="4568"/>
        <v>80.6483871</v>
      </c>
      <c r="AT1838" s="9">
        <f t="shared" ref="AT1838:AV1838" si="5766">AJ1838/$AF1838</f>
        <v>12.31827957</v>
      </c>
      <c r="AU1838" s="9">
        <f t="shared" si="5766"/>
        <v>5.944086022</v>
      </c>
      <c r="AV1838" s="9">
        <f t="shared" si="5766"/>
        <v>1.803225806</v>
      </c>
      <c r="AW1838" s="9">
        <f t="shared" si="4570"/>
        <v>7.747311828</v>
      </c>
      <c r="AX1838" s="9">
        <f t="shared" ref="AX1838:AY1838" si="5767">AM1838/$AF1838</f>
        <v>1.11827957</v>
      </c>
      <c r="AY1838" s="9">
        <f t="shared" si="5767"/>
        <v>0.4838709677</v>
      </c>
      <c r="AZ1838" s="9">
        <f>VLOOKUP(A1838,Jogos!A:BN,58,0)</f>
        <v>32.155</v>
      </c>
      <c r="BA1838" s="9">
        <f>VLOOKUP(A1838,Jogos!A:BN,59,0)</f>
        <v>19.36</v>
      </c>
      <c r="BB1838" s="9">
        <f>VLOOKUP(A1838,Jogos!A:BN,60,0)</f>
        <v>46</v>
      </c>
      <c r="BC1838" s="9">
        <f>VLOOKUP(A1838,Jogos!A:BN,61,0)</f>
        <v>34.075</v>
      </c>
      <c r="BD1838" s="9">
        <f>VLOOKUP(A1838,Jogos!A:BN,62,0)</f>
        <v>555.45</v>
      </c>
      <c r="BE1838" s="9">
        <f>VLOOKUP(A1838,Jogos!A:BN,63,0)</f>
        <v>1.155</v>
      </c>
      <c r="BF1838" s="9">
        <f>VLOOKUP(A1838,Jogos!A:BN,64,0)</f>
        <v>25.055</v>
      </c>
      <c r="BG1838" s="9">
        <f>VLOOKUP(A1838,Jogos!A:BN,65,0)</f>
        <v>46.925</v>
      </c>
      <c r="BH1838" s="9">
        <f>VLOOKUP(A1838,Jogos!A:BN,66,0)</f>
        <v>30.14</v>
      </c>
      <c r="BI1838" s="9"/>
      <c r="BJ1838" s="9"/>
    </row>
    <row r="1839" hidden="1">
      <c r="A1839" s="2">
        <v>62.0</v>
      </c>
      <c r="B1839" s="2" t="s">
        <v>1385</v>
      </c>
      <c r="C1839" s="2" t="s">
        <v>1351</v>
      </c>
      <c r="D1839" s="3">
        <v>45847.0</v>
      </c>
      <c r="E1839" s="4">
        <v>0.6319444444444444</v>
      </c>
      <c r="F1839" s="5" t="str">
        <f>VLOOKUP(A1839,Jogos!A:N,10,0)</f>
        <v>Afternoon</v>
      </c>
      <c r="G1839" s="2" t="s">
        <v>249</v>
      </c>
      <c r="H1839" s="6" t="str">
        <f>VLOOKUP(A1839,Jogos!A:L,12,0)</f>
        <v>Open</v>
      </c>
      <c r="I1839" s="6" t="str">
        <f>VLOOKUP(G1839,'Estádios e Cidades'!A:B,2,0)</f>
        <v>East Rutherford</v>
      </c>
      <c r="J1839" s="2" t="s">
        <v>873</v>
      </c>
      <c r="K1839" s="2" t="str">
        <f>VLOOKUP(J1839,Equipes!A:F,6,0)</f>
        <v>Temperate</v>
      </c>
      <c r="L1839" s="2">
        <f>VLOOKUP(J1839,Equipes!A:C,3,0)</f>
        <v>3</v>
      </c>
      <c r="M1839" s="2" t="str">
        <f t="shared" si="4"/>
        <v>Semi-final</v>
      </c>
      <c r="N1839" s="2" t="s">
        <v>187</v>
      </c>
      <c r="O1839" s="2">
        <f>VLOOKUP(N1839,Equipes!A:C,3,0)</f>
        <v>2</v>
      </c>
      <c r="P1839" s="2" t="str">
        <f t="shared" si="5"/>
        <v>Final</v>
      </c>
      <c r="Q1839" s="2">
        <f t="shared" si="6"/>
        <v>1</v>
      </c>
      <c r="R1839" s="2" t="str">
        <f>VLOOKUP(J1839,Equipes!A:B,2,0)</f>
        <v>Real</v>
      </c>
      <c r="S1839" s="14" t="s">
        <v>891</v>
      </c>
      <c r="T1839" s="7">
        <v>30.0</v>
      </c>
      <c r="U1839" s="7" t="s">
        <v>892</v>
      </c>
      <c r="V1839" s="7" t="str">
        <f>VLOOKUP(U1839,Jogadores!B:C,2,0)</f>
        <v>FW</v>
      </c>
      <c r="W1839" s="8">
        <f>VLOOKUP(U1839,Jogadores!B:D,3,0)</f>
        <v>21.35890411</v>
      </c>
      <c r="X1839" s="7">
        <v>0.0</v>
      </c>
      <c r="Y1839" s="7">
        <v>71.0</v>
      </c>
      <c r="Z1839" s="7">
        <f>VLOOKUP(A1839,Jogos!A:L,3,0)</f>
        <v>48</v>
      </c>
      <c r="AA1839" s="7">
        <f t="shared" si="4815"/>
        <v>48</v>
      </c>
      <c r="AB1839" s="7">
        <f>VLOOKUP(A1839,Jogos!A:L,4,0)</f>
        <v>45</v>
      </c>
      <c r="AC1839" s="7">
        <f t="shared" si="5062"/>
        <v>26</v>
      </c>
      <c r="AD1839" s="7"/>
      <c r="AE1839" s="7"/>
      <c r="AF1839" s="7">
        <f t="shared" si="4566"/>
        <v>74</v>
      </c>
      <c r="AG1839" s="7">
        <v>8207.8</v>
      </c>
      <c r="AH1839" s="7">
        <v>3430.9</v>
      </c>
      <c r="AI1839" s="7">
        <v>2893.6</v>
      </c>
      <c r="AJ1839" s="7">
        <v>1113.9</v>
      </c>
      <c r="AK1839" s="7">
        <v>490.3</v>
      </c>
      <c r="AL1839" s="7">
        <v>279.1</v>
      </c>
      <c r="AM1839" s="7">
        <v>104.0</v>
      </c>
      <c r="AN1839" s="7">
        <v>38.0</v>
      </c>
      <c r="AO1839" s="7">
        <v>33.4</v>
      </c>
      <c r="AP1839" s="9">
        <f t="shared" ref="AP1839:AR1839" si="5768">AG1839/$AF1839</f>
        <v>110.9162162</v>
      </c>
      <c r="AQ1839" s="9">
        <f t="shared" si="5768"/>
        <v>46.36351351</v>
      </c>
      <c r="AR1839" s="9">
        <f t="shared" si="5768"/>
        <v>39.1027027</v>
      </c>
      <c r="AS1839" s="9">
        <f t="shared" si="4568"/>
        <v>85.46621622</v>
      </c>
      <c r="AT1839" s="9">
        <f t="shared" ref="AT1839:AV1839" si="5769">AJ1839/$AF1839</f>
        <v>15.0527027</v>
      </c>
      <c r="AU1839" s="9">
        <f t="shared" si="5769"/>
        <v>6.625675676</v>
      </c>
      <c r="AV1839" s="9">
        <f t="shared" si="5769"/>
        <v>3.771621622</v>
      </c>
      <c r="AW1839" s="9">
        <f t="shared" si="4570"/>
        <v>10.3972973</v>
      </c>
      <c r="AX1839" s="9">
        <f t="shared" ref="AX1839:AY1839" si="5770">AM1839/$AF1839</f>
        <v>1.405405405</v>
      </c>
      <c r="AY1839" s="9">
        <f t="shared" si="5770"/>
        <v>0.5135135135</v>
      </c>
      <c r="AZ1839" s="9">
        <f>VLOOKUP(A1839,Jogos!A:BN,58,0)</f>
        <v>32.155</v>
      </c>
      <c r="BA1839" s="9">
        <f>VLOOKUP(A1839,Jogos!A:BN,59,0)</f>
        <v>19.36</v>
      </c>
      <c r="BB1839" s="9">
        <f>VLOOKUP(A1839,Jogos!A:BN,60,0)</f>
        <v>46</v>
      </c>
      <c r="BC1839" s="9">
        <f>VLOOKUP(A1839,Jogos!A:BN,61,0)</f>
        <v>34.075</v>
      </c>
      <c r="BD1839" s="9">
        <f>VLOOKUP(A1839,Jogos!A:BN,62,0)</f>
        <v>555.45</v>
      </c>
      <c r="BE1839" s="9">
        <f>VLOOKUP(A1839,Jogos!A:BN,63,0)</f>
        <v>1.155</v>
      </c>
      <c r="BF1839" s="9">
        <f>VLOOKUP(A1839,Jogos!A:BN,64,0)</f>
        <v>25.055</v>
      </c>
      <c r="BG1839" s="9">
        <f>VLOOKUP(A1839,Jogos!A:BN,65,0)</f>
        <v>46.925</v>
      </c>
      <c r="BH1839" s="9">
        <f>VLOOKUP(A1839,Jogos!A:BN,66,0)</f>
        <v>30.14</v>
      </c>
      <c r="BI1839" s="9"/>
      <c r="BJ1839" s="9"/>
    </row>
    <row r="1840" hidden="1">
      <c r="A1840" s="2">
        <v>62.0</v>
      </c>
      <c r="B1840" s="2" t="s">
        <v>1385</v>
      </c>
      <c r="C1840" s="2" t="s">
        <v>1351</v>
      </c>
      <c r="D1840" s="3">
        <v>45847.0</v>
      </c>
      <c r="E1840" s="4">
        <v>0.6319444444444444</v>
      </c>
      <c r="F1840" s="5" t="str">
        <f>VLOOKUP(A1840,Jogos!A:N,10,0)</f>
        <v>Afternoon</v>
      </c>
      <c r="G1840" s="2" t="s">
        <v>249</v>
      </c>
      <c r="H1840" s="6" t="str">
        <f>VLOOKUP(A1840,Jogos!A:L,12,0)</f>
        <v>Open</v>
      </c>
      <c r="I1840" s="6" t="str">
        <f>VLOOKUP(G1840,'Estádios e Cidades'!A:B,2,0)</f>
        <v>East Rutherford</v>
      </c>
      <c r="J1840" s="2" t="s">
        <v>873</v>
      </c>
      <c r="K1840" s="2" t="str">
        <f>VLOOKUP(J1840,Equipes!A:F,6,0)</f>
        <v>Temperate</v>
      </c>
      <c r="L1840" s="2">
        <f>VLOOKUP(J1840,Equipes!A:C,3,0)</f>
        <v>3</v>
      </c>
      <c r="M1840" s="2" t="str">
        <f t="shared" si="4"/>
        <v>Semi-final</v>
      </c>
      <c r="N1840" s="2" t="s">
        <v>187</v>
      </c>
      <c r="O1840" s="2">
        <f>VLOOKUP(N1840,Equipes!A:C,3,0)</f>
        <v>2</v>
      </c>
      <c r="P1840" s="2" t="str">
        <f t="shared" si="5"/>
        <v>Final</v>
      </c>
      <c r="Q1840" s="2">
        <f t="shared" si="6"/>
        <v>1</v>
      </c>
      <c r="R1840" s="2" t="str">
        <f>VLOOKUP(J1840,Equipes!A:B,2,0)</f>
        <v>Real</v>
      </c>
      <c r="S1840" s="14" t="s">
        <v>893</v>
      </c>
      <c r="T1840" s="7">
        <v>35.0</v>
      </c>
      <c r="U1840" s="7" t="s">
        <v>894</v>
      </c>
      <c r="V1840" s="7" t="str">
        <f>VLOOKUP(U1840,Jogadores!B:C,2,0)</f>
        <v>DF</v>
      </c>
      <c r="W1840" s="8">
        <f>VLOOKUP(U1840,Jogadores!B:D,3,0)</f>
        <v>22.46849315</v>
      </c>
      <c r="X1840" s="7">
        <v>0.0</v>
      </c>
      <c r="Y1840" s="7">
        <v>65.0</v>
      </c>
      <c r="Z1840" s="7">
        <f>VLOOKUP(A1840,Jogos!A:L,3,0)</f>
        <v>48</v>
      </c>
      <c r="AA1840" s="7">
        <f t="shared" si="4815"/>
        <v>48</v>
      </c>
      <c r="AB1840" s="7">
        <f>VLOOKUP(A1840,Jogos!A:L,4,0)</f>
        <v>45</v>
      </c>
      <c r="AC1840" s="7">
        <f t="shared" si="5062"/>
        <v>20</v>
      </c>
      <c r="AD1840" s="7"/>
      <c r="AE1840" s="7"/>
      <c r="AF1840" s="7">
        <f t="shared" si="4566"/>
        <v>68</v>
      </c>
      <c r="AG1840" s="7">
        <v>6538.8</v>
      </c>
      <c r="AH1840" s="7">
        <v>2877.6</v>
      </c>
      <c r="AI1840" s="7">
        <v>2474.8</v>
      </c>
      <c r="AJ1840" s="7">
        <v>811.6</v>
      </c>
      <c r="AK1840" s="7">
        <v>228.1</v>
      </c>
      <c r="AL1840" s="7">
        <v>146.7</v>
      </c>
      <c r="AM1840" s="7">
        <v>76.0</v>
      </c>
      <c r="AN1840" s="7">
        <v>20.0</v>
      </c>
      <c r="AO1840" s="7">
        <v>34.9</v>
      </c>
      <c r="AP1840" s="9">
        <f t="shared" ref="AP1840:AR1840" si="5771">AG1840/$AF1840</f>
        <v>96.15882353</v>
      </c>
      <c r="AQ1840" s="9">
        <f t="shared" si="5771"/>
        <v>42.31764706</v>
      </c>
      <c r="AR1840" s="9">
        <f t="shared" si="5771"/>
        <v>36.39411765</v>
      </c>
      <c r="AS1840" s="9">
        <f t="shared" si="4568"/>
        <v>78.71176471</v>
      </c>
      <c r="AT1840" s="9">
        <f t="shared" ref="AT1840:AV1840" si="5772">AJ1840/$AF1840</f>
        <v>11.93529412</v>
      </c>
      <c r="AU1840" s="9">
        <f t="shared" si="5772"/>
        <v>3.354411765</v>
      </c>
      <c r="AV1840" s="9">
        <f t="shared" si="5772"/>
        <v>2.157352941</v>
      </c>
      <c r="AW1840" s="9">
        <f t="shared" si="4570"/>
        <v>5.511764706</v>
      </c>
      <c r="AX1840" s="9">
        <f t="shared" ref="AX1840:AY1840" si="5773">AM1840/$AF1840</f>
        <v>1.117647059</v>
      </c>
      <c r="AY1840" s="9">
        <f t="shared" si="5773"/>
        <v>0.2941176471</v>
      </c>
      <c r="AZ1840" s="9">
        <f>VLOOKUP(A1840,Jogos!A:BN,58,0)</f>
        <v>32.155</v>
      </c>
      <c r="BA1840" s="9">
        <f>VLOOKUP(A1840,Jogos!A:BN,59,0)</f>
        <v>19.36</v>
      </c>
      <c r="BB1840" s="9">
        <f>VLOOKUP(A1840,Jogos!A:BN,60,0)</f>
        <v>46</v>
      </c>
      <c r="BC1840" s="9">
        <f>VLOOKUP(A1840,Jogos!A:BN,61,0)</f>
        <v>34.075</v>
      </c>
      <c r="BD1840" s="9">
        <f>VLOOKUP(A1840,Jogos!A:BN,62,0)</f>
        <v>555.45</v>
      </c>
      <c r="BE1840" s="9">
        <f>VLOOKUP(A1840,Jogos!A:BN,63,0)</f>
        <v>1.155</v>
      </c>
      <c r="BF1840" s="9">
        <f>VLOOKUP(A1840,Jogos!A:BN,64,0)</f>
        <v>25.055</v>
      </c>
      <c r="BG1840" s="9">
        <f>VLOOKUP(A1840,Jogos!A:BN,65,0)</f>
        <v>46.925</v>
      </c>
      <c r="BH1840" s="9">
        <f>VLOOKUP(A1840,Jogos!A:BN,66,0)</f>
        <v>30.14</v>
      </c>
      <c r="BI1840" s="9"/>
      <c r="BJ1840" s="9"/>
    </row>
    <row r="1841" hidden="1">
      <c r="A1841" s="2">
        <v>62.0</v>
      </c>
      <c r="B1841" s="2" t="s">
        <v>1385</v>
      </c>
      <c r="C1841" s="2" t="s">
        <v>1351</v>
      </c>
      <c r="D1841" s="3">
        <v>45847.0</v>
      </c>
      <c r="E1841" s="4">
        <v>0.6319444444444444</v>
      </c>
      <c r="F1841" s="5" t="str">
        <f>VLOOKUP(A1841,Jogos!A:N,10,0)</f>
        <v>Afternoon</v>
      </c>
      <c r="G1841" s="2" t="s">
        <v>249</v>
      </c>
      <c r="H1841" s="6" t="str">
        <f>VLOOKUP(A1841,Jogos!A:L,12,0)</f>
        <v>Open</v>
      </c>
      <c r="I1841" s="6" t="str">
        <f>VLOOKUP(G1841,'Estádios e Cidades'!A:B,2,0)</f>
        <v>East Rutherford</v>
      </c>
      <c r="J1841" s="2" t="s">
        <v>873</v>
      </c>
      <c r="K1841" s="2" t="str">
        <f>VLOOKUP(J1841,Equipes!A:F,6,0)</f>
        <v>Temperate</v>
      </c>
      <c r="L1841" s="2">
        <f>VLOOKUP(J1841,Equipes!A:C,3,0)</f>
        <v>3</v>
      </c>
      <c r="M1841" s="2" t="str">
        <f t="shared" si="4"/>
        <v>Semi-final</v>
      </c>
      <c r="N1841" s="2" t="s">
        <v>187</v>
      </c>
      <c r="O1841" s="2">
        <f>VLOOKUP(N1841,Equipes!A:C,3,0)</f>
        <v>2</v>
      </c>
      <c r="P1841" s="2" t="str">
        <f t="shared" si="5"/>
        <v>Final</v>
      </c>
      <c r="Q1841" s="2">
        <f t="shared" si="6"/>
        <v>1</v>
      </c>
      <c r="R1841" s="2" t="str">
        <f>VLOOKUP(J1841,Equipes!A:B,2,0)</f>
        <v>Real</v>
      </c>
      <c r="S1841" s="14" t="s">
        <v>1388</v>
      </c>
      <c r="T1841" s="7">
        <v>2.0</v>
      </c>
      <c r="U1841" s="7" t="s">
        <v>1389</v>
      </c>
      <c r="V1841" s="7" t="s">
        <v>1272</v>
      </c>
      <c r="W1841" s="8">
        <f>VLOOKUP(U1841,Jogadores!B:D,3,0)</f>
        <v>33.56712329</v>
      </c>
      <c r="X1841" s="7">
        <v>71.0</v>
      </c>
      <c r="Y1841" s="7">
        <f t="shared" ref="Y1841:Y1847" si="5777">45+AB1841</f>
        <v>90</v>
      </c>
      <c r="Z1841" s="7">
        <f>VLOOKUP(A1841,Jogos!A:L,3,0)</f>
        <v>48</v>
      </c>
      <c r="AA1841" s="7">
        <f t="shared" si="4815"/>
        <v>0</v>
      </c>
      <c r="AB1841" s="7">
        <f>VLOOKUP(A1841,Jogos!A:L,4,0)</f>
        <v>45</v>
      </c>
      <c r="AC1841" s="7">
        <f t="shared" si="5062"/>
        <v>19</v>
      </c>
      <c r="AD1841" s="7"/>
      <c r="AE1841" s="7"/>
      <c r="AF1841" s="7">
        <f t="shared" si="4566"/>
        <v>19</v>
      </c>
      <c r="AG1841" s="7">
        <v>2145.0</v>
      </c>
      <c r="AH1841" s="7">
        <v>755.7</v>
      </c>
      <c r="AI1841" s="7">
        <v>899.1</v>
      </c>
      <c r="AJ1841" s="7">
        <v>226.0</v>
      </c>
      <c r="AK1841" s="7">
        <v>113.8</v>
      </c>
      <c r="AL1841" s="7">
        <v>150.4</v>
      </c>
      <c r="AM1841" s="7">
        <v>20.0</v>
      </c>
      <c r="AN1841" s="7">
        <v>10.0</v>
      </c>
      <c r="AO1841" s="7">
        <v>31.7</v>
      </c>
      <c r="AP1841" s="9">
        <f t="shared" ref="AP1841:AR1841" si="5774">AG1841/$AF1841</f>
        <v>112.8947368</v>
      </c>
      <c r="AQ1841" s="9">
        <f t="shared" si="5774"/>
        <v>39.77368421</v>
      </c>
      <c r="AR1841" s="9">
        <f t="shared" si="5774"/>
        <v>47.32105263</v>
      </c>
      <c r="AS1841" s="9">
        <f t="shared" si="4568"/>
        <v>87.09473684</v>
      </c>
      <c r="AT1841" s="9">
        <f t="shared" ref="AT1841:AV1841" si="5775">AJ1841/$AF1841</f>
        <v>11.89473684</v>
      </c>
      <c r="AU1841" s="9">
        <f t="shared" si="5775"/>
        <v>5.989473684</v>
      </c>
      <c r="AV1841" s="9">
        <f t="shared" si="5775"/>
        <v>7.915789474</v>
      </c>
      <c r="AW1841" s="9">
        <f t="shared" si="4570"/>
        <v>13.90526316</v>
      </c>
      <c r="AX1841" s="9">
        <f t="shared" ref="AX1841:AY1841" si="5776">AM1841/$AF1841</f>
        <v>1.052631579</v>
      </c>
      <c r="AY1841" s="9">
        <f t="shared" si="5776"/>
        <v>0.5263157895</v>
      </c>
      <c r="AZ1841" s="9">
        <f>VLOOKUP(A1841,Jogos!A:BN,58,0)</f>
        <v>32.155</v>
      </c>
      <c r="BA1841" s="9">
        <f>VLOOKUP(A1841,Jogos!A:BN,59,0)</f>
        <v>19.36</v>
      </c>
      <c r="BB1841" s="9">
        <f>VLOOKUP(A1841,Jogos!A:BN,60,0)</f>
        <v>46</v>
      </c>
      <c r="BC1841" s="9">
        <f>VLOOKUP(A1841,Jogos!A:BN,61,0)</f>
        <v>34.075</v>
      </c>
      <c r="BD1841" s="9">
        <f>VLOOKUP(A1841,Jogos!A:BN,62,0)</f>
        <v>555.45</v>
      </c>
      <c r="BE1841" s="9">
        <f>VLOOKUP(A1841,Jogos!A:BN,63,0)</f>
        <v>1.155</v>
      </c>
      <c r="BF1841" s="9">
        <f>VLOOKUP(A1841,Jogos!A:BN,64,0)</f>
        <v>25.055</v>
      </c>
      <c r="BG1841" s="9">
        <f>VLOOKUP(A1841,Jogos!A:BN,65,0)</f>
        <v>46.925</v>
      </c>
      <c r="BH1841" s="9">
        <f>VLOOKUP(A1841,Jogos!A:BN,66,0)</f>
        <v>30.14</v>
      </c>
      <c r="BI1841" s="9"/>
      <c r="BJ1841" s="9"/>
    </row>
    <row r="1842" hidden="1">
      <c r="A1842" s="2">
        <v>62.0</v>
      </c>
      <c r="B1842" s="2" t="s">
        <v>1385</v>
      </c>
      <c r="C1842" s="2" t="s">
        <v>1351</v>
      </c>
      <c r="D1842" s="3">
        <v>45847.0</v>
      </c>
      <c r="E1842" s="4">
        <v>0.6319444444444444</v>
      </c>
      <c r="F1842" s="5" t="str">
        <f>VLOOKUP(A1842,Jogos!A:N,10,0)</f>
        <v>Afternoon</v>
      </c>
      <c r="G1842" s="2" t="s">
        <v>249</v>
      </c>
      <c r="H1842" s="6" t="str">
        <f>VLOOKUP(A1842,Jogos!A:L,12,0)</f>
        <v>Open</v>
      </c>
      <c r="I1842" s="6" t="str">
        <f>VLOOKUP(G1842,'Estádios e Cidades'!A:B,2,0)</f>
        <v>East Rutherford</v>
      </c>
      <c r="J1842" s="2" t="s">
        <v>873</v>
      </c>
      <c r="K1842" s="2" t="str">
        <f>VLOOKUP(J1842,Equipes!A:F,6,0)</f>
        <v>Temperate</v>
      </c>
      <c r="L1842" s="2">
        <f>VLOOKUP(J1842,Equipes!A:C,3,0)</f>
        <v>3</v>
      </c>
      <c r="M1842" s="2" t="str">
        <f t="shared" si="4"/>
        <v>Semi-final</v>
      </c>
      <c r="N1842" s="2" t="s">
        <v>187</v>
      </c>
      <c r="O1842" s="2">
        <f>VLOOKUP(N1842,Equipes!A:C,3,0)</f>
        <v>2</v>
      </c>
      <c r="P1842" s="2" t="str">
        <f t="shared" si="5"/>
        <v>Final</v>
      </c>
      <c r="Q1842" s="2">
        <f t="shared" si="6"/>
        <v>1</v>
      </c>
      <c r="R1842" s="2" t="str">
        <f>VLOOKUP(J1842,Equipes!A:B,2,0)</f>
        <v>Real</v>
      </c>
      <c r="S1842" s="14" t="s">
        <v>1390</v>
      </c>
      <c r="T1842" s="7">
        <v>3.0</v>
      </c>
      <c r="U1842" s="7" t="s">
        <v>1391</v>
      </c>
      <c r="V1842" s="7" t="s">
        <v>1272</v>
      </c>
      <c r="W1842" s="8">
        <f>VLOOKUP(U1842,Jogadores!B:D,3,0)</f>
        <v>27.54246575</v>
      </c>
      <c r="X1842" s="7">
        <v>65.0</v>
      </c>
      <c r="Y1842" s="7">
        <f t="shared" si="5777"/>
        <v>90</v>
      </c>
      <c r="Z1842" s="7">
        <f>VLOOKUP(A1842,Jogos!A:L,3,0)</f>
        <v>48</v>
      </c>
      <c r="AA1842" s="7">
        <f t="shared" si="4815"/>
        <v>0</v>
      </c>
      <c r="AB1842" s="7">
        <f>VLOOKUP(A1842,Jogos!A:L,4,0)</f>
        <v>45</v>
      </c>
      <c r="AC1842" s="7">
        <f t="shared" si="5062"/>
        <v>25</v>
      </c>
      <c r="AD1842" s="7"/>
      <c r="AE1842" s="7"/>
      <c r="AF1842" s="7">
        <f t="shared" si="4566"/>
        <v>25</v>
      </c>
      <c r="AG1842" s="7">
        <v>2815.1</v>
      </c>
      <c r="AH1842" s="7">
        <v>1031.7</v>
      </c>
      <c r="AI1842" s="7">
        <v>1153.9</v>
      </c>
      <c r="AJ1842" s="7">
        <v>300.7</v>
      </c>
      <c r="AK1842" s="7">
        <v>217.4</v>
      </c>
      <c r="AL1842" s="7">
        <v>111.4</v>
      </c>
      <c r="AM1842" s="7">
        <v>29.0</v>
      </c>
      <c r="AN1842" s="7">
        <v>18.0</v>
      </c>
      <c r="AO1842" s="7">
        <v>30.4</v>
      </c>
      <c r="AP1842" s="9">
        <f t="shared" ref="AP1842:AR1842" si="5778">AG1842/$AF1842</f>
        <v>112.604</v>
      </c>
      <c r="AQ1842" s="9">
        <f t="shared" si="5778"/>
        <v>41.268</v>
      </c>
      <c r="AR1842" s="9">
        <f t="shared" si="5778"/>
        <v>46.156</v>
      </c>
      <c r="AS1842" s="9">
        <f t="shared" si="4568"/>
        <v>87.424</v>
      </c>
      <c r="AT1842" s="9">
        <f t="shared" ref="AT1842:AV1842" si="5779">AJ1842/$AF1842</f>
        <v>12.028</v>
      </c>
      <c r="AU1842" s="9">
        <f t="shared" si="5779"/>
        <v>8.696</v>
      </c>
      <c r="AV1842" s="9">
        <f t="shared" si="5779"/>
        <v>4.456</v>
      </c>
      <c r="AW1842" s="9">
        <f t="shared" si="4570"/>
        <v>13.152</v>
      </c>
      <c r="AX1842" s="9">
        <f t="shared" ref="AX1842:AY1842" si="5780">AM1842/$AF1842</f>
        <v>1.16</v>
      </c>
      <c r="AY1842" s="9">
        <f t="shared" si="5780"/>
        <v>0.72</v>
      </c>
      <c r="AZ1842" s="9">
        <f>VLOOKUP(A1842,Jogos!A:BN,58,0)</f>
        <v>32.155</v>
      </c>
      <c r="BA1842" s="9">
        <f>VLOOKUP(A1842,Jogos!A:BN,59,0)</f>
        <v>19.36</v>
      </c>
      <c r="BB1842" s="9">
        <f>VLOOKUP(A1842,Jogos!A:BN,60,0)</f>
        <v>46</v>
      </c>
      <c r="BC1842" s="9">
        <f>VLOOKUP(A1842,Jogos!A:BN,61,0)</f>
        <v>34.075</v>
      </c>
      <c r="BD1842" s="9">
        <f>VLOOKUP(A1842,Jogos!A:BN,62,0)</f>
        <v>555.45</v>
      </c>
      <c r="BE1842" s="9">
        <f>VLOOKUP(A1842,Jogos!A:BN,63,0)</f>
        <v>1.155</v>
      </c>
      <c r="BF1842" s="9">
        <f>VLOOKUP(A1842,Jogos!A:BN,64,0)</f>
        <v>25.055</v>
      </c>
      <c r="BG1842" s="9">
        <f>VLOOKUP(A1842,Jogos!A:BN,65,0)</f>
        <v>46.925</v>
      </c>
      <c r="BH1842" s="9">
        <f>VLOOKUP(A1842,Jogos!A:BN,66,0)</f>
        <v>30.14</v>
      </c>
      <c r="BI1842" s="9"/>
      <c r="BJ1842" s="9"/>
    </row>
    <row r="1843" hidden="1">
      <c r="A1843" s="2">
        <v>62.0</v>
      </c>
      <c r="B1843" s="2" t="s">
        <v>1385</v>
      </c>
      <c r="C1843" s="2" t="s">
        <v>1351</v>
      </c>
      <c r="D1843" s="3">
        <v>45847.0</v>
      </c>
      <c r="E1843" s="4">
        <v>0.6319444444444444</v>
      </c>
      <c r="F1843" s="5" t="str">
        <f>VLOOKUP(A1843,Jogos!A:N,10,0)</f>
        <v>Afternoon</v>
      </c>
      <c r="G1843" s="2" t="s">
        <v>249</v>
      </c>
      <c r="H1843" s="6" t="str">
        <f>VLOOKUP(A1843,Jogos!A:L,12,0)</f>
        <v>Open</v>
      </c>
      <c r="I1843" s="6" t="str">
        <f>VLOOKUP(G1843,'Estádios e Cidades'!A:B,2,0)</f>
        <v>East Rutherford</v>
      </c>
      <c r="J1843" s="2" t="s">
        <v>873</v>
      </c>
      <c r="K1843" s="2" t="str">
        <f>VLOOKUP(J1843,Equipes!A:F,6,0)</f>
        <v>Temperate</v>
      </c>
      <c r="L1843" s="2">
        <f>VLOOKUP(J1843,Equipes!A:C,3,0)</f>
        <v>3</v>
      </c>
      <c r="M1843" s="2" t="str">
        <f t="shared" si="4"/>
        <v>Semi-final</v>
      </c>
      <c r="N1843" s="2" t="s">
        <v>187</v>
      </c>
      <c r="O1843" s="2">
        <f>VLOOKUP(N1843,Equipes!A:C,3,0)</f>
        <v>2</v>
      </c>
      <c r="P1843" s="2" t="str">
        <f t="shared" si="5"/>
        <v>Final</v>
      </c>
      <c r="Q1843" s="2">
        <f t="shared" si="6"/>
        <v>1</v>
      </c>
      <c r="R1843" s="2" t="str">
        <f>VLOOKUP(J1843,Equipes!A:B,2,0)</f>
        <v>Real</v>
      </c>
      <c r="S1843" s="14" t="s">
        <v>895</v>
      </c>
      <c r="T1843" s="7">
        <v>10.0</v>
      </c>
      <c r="U1843" s="7" t="s">
        <v>896</v>
      </c>
      <c r="V1843" s="7" t="str">
        <f>VLOOKUP(U1843,Jogadores!B:C,2,0)</f>
        <v>MF</v>
      </c>
      <c r="W1843" s="8">
        <f>VLOOKUP(U1843,Jogadores!B:D,3,0)</f>
        <v>39.90958904</v>
      </c>
      <c r="X1843" s="7">
        <v>64.0</v>
      </c>
      <c r="Y1843" s="7">
        <f t="shared" si="5777"/>
        <v>90</v>
      </c>
      <c r="Z1843" s="7">
        <f>VLOOKUP(A1843,Jogos!A:L,3,0)</f>
        <v>48</v>
      </c>
      <c r="AA1843" s="7">
        <f t="shared" si="4815"/>
        <v>0</v>
      </c>
      <c r="AB1843" s="7">
        <f>VLOOKUP(A1843,Jogos!A:L,4,0)</f>
        <v>45</v>
      </c>
      <c r="AC1843" s="7">
        <f t="shared" si="5062"/>
        <v>26</v>
      </c>
      <c r="AD1843" s="7"/>
      <c r="AE1843" s="7"/>
      <c r="AF1843" s="7">
        <f t="shared" si="4566"/>
        <v>26</v>
      </c>
      <c r="AG1843" s="7">
        <v>3042.0</v>
      </c>
      <c r="AH1843" s="7">
        <v>950.3</v>
      </c>
      <c r="AI1843" s="7">
        <v>1337.4</v>
      </c>
      <c r="AJ1843" s="7">
        <v>552.8</v>
      </c>
      <c r="AK1843" s="7">
        <v>168.4</v>
      </c>
      <c r="AL1843" s="7">
        <v>33.1</v>
      </c>
      <c r="AM1843" s="7">
        <v>50.0</v>
      </c>
      <c r="AN1843" s="7">
        <v>12.0</v>
      </c>
      <c r="AO1843" s="7">
        <v>28.3</v>
      </c>
      <c r="AP1843" s="9">
        <f t="shared" ref="AP1843:AR1843" si="5781">AG1843/$AF1843</f>
        <v>117</v>
      </c>
      <c r="AQ1843" s="9">
        <f t="shared" si="5781"/>
        <v>36.55</v>
      </c>
      <c r="AR1843" s="9">
        <f t="shared" si="5781"/>
        <v>51.43846154</v>
      </c>
      <c r="AS1843" s="9">
        <f t="shared" si="4568"/>
        <v>87.98846154</v>
      </c>
      <c r="AT1843" s="9">
        <f t="shared" ref="AT1843:AV1843" si="5782">AJ1843/$AF1843</f>
        <v>21.26153846</v>
      </c>
      <c r="AU1843" s="9">
        <f t="shared" si="5782"/>
        <v>6.476923077</v>
      </c>
      <c r="AV1843" s="9">
        <f t="shared" si="5782"/>
        <v>1.273076923</v>
      </c>
      <c r="AW1843" s="9">
        <f t="shared" si="4570"/>
        <v>7.75</v>
      </c>
      <c r="AX1843" s="9">
        <f t="shared" ref="AX1843:AY1843" si="5783">AM1843/$AF1843</f>
        <v>1.923076923</v>
      </c>
      <c r="AY1843" s="9">
        <f t="shared" si="5783"/>
        <v>0.4615384615</v>
      </c>
      <c r="AZ1843" s="9">
        <f>VLOOKUP(A1843,Jogos!A:BN,58,0)</f>
        <v>32.155</v>
      </c>
      <c r="BA1843" s="9">
        <f>VLOOKUP(A1843,Jogos!A:BN,59,0)</f>
        <v>19.36</v>
      </c>
      <c r="BB1843" s="9">
        <f>VLOOKUP(A1843,Jogos!A:BN,60,0)</f>
        <v>46</v>
      </c>
      <c r="BC1843" s="9">
        <f>VLOOKUP(A1843,Jogos!A:BN,61,0)</f>
        <v>34.075</v>
      </c>
      <c r="BD1843" s="9">
        <f>VLOOKUP(A1843,Jogos!A:BN,62,0)</f>
        <v>555.45</v>
      </c>
      <c r="BE1843" s="9">
        <f>VLOOKUP(A1843,Jogos!A:BN,63,0)</f>
        <v>1.155</v>
      </c>
      <c r="BF1843" s="9">
        <f>VLOOKUP(A1843,Jogos!A:BN,64,0)</f>
        <v>25.055</v>
      </c>
      <c r="BG1843" s="9">
        <f>VLOOKUP(A1843,Jogos!A:BN,65,0)</f>
        <v>46.925</v>
      </c>
      <c r="BH1843" s="9">
        <f>VLOOKUP(A1843,Jogos!A:BN,66,0)</f>
        <v>30.14</v>
      </c>
      <c r="BI1843" s="9"/>
      <c r="BJ1843" s="9"/>
    </row>
    <row r="1844" hidden="1">
      <c r="A1844" s="2">
        <v>62.0</v>
      </c>
      <c r="B1844" s="2" t="s">
        <v>1385</v>
      </c>
      <c r="C1844" s="2" t="s">
        <v>1351</v>
      </c>
      <c r="D1844" s="3">
        <v>45847.0</v>
      </c>
      <c r="E1844" s="4">
        <v>0.6319444444444444</v>
      </c>
      <c r="F1844" s="5" t="str">
        <f>VLOOKUP(A1844,Jogos!A:N,10,0)</f>
        <v>Afternoon</v>
      </c>
      <c r="G1844" s="2" t="s">
        <v>249</v>
      </c>
      <c r="H1844" s="6" t="str">
        <f>VLOOKUP(A1844,Jogos!A:L,12,0)</f>
        <v>Open</v>
      </c>
      <c r="I1844" s="6" t="str">
        <f>VLOOKUP(G1844,'Estádios e Cidades'!A:B,2,0)</f>
        <v>East Rutherford</v>
      </c>
      <c r="J1844" s="2" t="s">
        <v>873</v>
      </c>
      <c r="K1844" s="2" t="str">
        <f>VLOOKUP(J1844,Equipes!A:F,6,0)</f>
        <v>Temperate</v>
      </c>
      <c r="L1844" s="2">
        <f>VLOOKUP(J1844,Equipes!A:C,3,0)</f>
        <v>3</v>
      </c>
      <c r="M1844" s="2" t="str">
        <f t="shared" si="4"/>
        <v>Semi-final</v>
      </c>
      <c r="N1844" s="2" t="s">
        <v>187</v>
      </c>
      <c r="O1844" s="2">
        <f>VLOOKUP(N1844,Equipes!A:C,3,0)</f>
        <v>2</v>
      </c>
      <c r="P1844" s="2" t="str">
        <f t="shared" si="5"/>
        <v>Final</v>
      </c>
      <c r="Q1844" s="2">
        <f t="shared" si="6"/>
        <v>1</v>
      </c>
      <c r="R1844" s="2" t="str">
        <f>VLOOKUP(J1844,Equipes!A:B,2,0)</f>
        <v>Real</v>
      </c>
      <c r="S1844" s="14" t="s">
        <v>899</v>
      </c>
      <c r="T1844" s="7">
        <v>17.0</v>
      </c>
      <c r="U1844" s="7" t="s">
        <v>900</v>
      </c>
      <c r="V1844" s="7" t="str">
        <f>VLOOKUP(U1844,Jogadores!B:C,2,0)</f>
        <v>DF</v>
      </c>
      <c r="W1844" s="8">
        <f>VLOOKUP(U1844,Jogadores!B:D,3,0)</f>
        <v>34.09863014</v>
      </c>
      <c r="X1844" s="7">
        <v>83.0</v>
      </c>
      <c r="Y1844" s="7">
        <f t="shared" si="5777"/>
        <v>90</v>
      </c>
      <c r="Z1844" s="7">
        <f>VLOOKUP(A1844,Jogos!A:L,3,0)</f>
        <v>48</v>
      </c>
      <c r="AA1844" s="7">
        <f t="shared" si="4815"/>
        <v>0</v>
      </c>
      <c r="AB1844" s="7">
        <f>VLOOKUP(A1844,Jogos!A:L,4,0)</f>
        <v>45</v>
      </c>
      <c r="AC1844" s="7">
        <f t="shared" si="5062"/>
        <v>7</v>
      </c>
      <c r="AD1844" s="7"/>
      <c r="AE1844" s="7"/>
      <c r="AF1844" s="7">
        <f t="shared" si="4566"/>
        <v>7</v>
      </c>
      <c r="AG1844" s="7">
        <v>995.1</v>
      </c>
      <c r="AH1844" s="7">
        <v>237.0</v>
      </c>
      <c r="AI1844" s="7">
        <v>436.1</v>
      </c>
      <c r="AJ1844" s="7">
        <v>183.2</v>
      </c>
      <c r="AK1844" s="7">
        <v>124.0</v>
      </c>
      <c r="AL1844" s="7">
        <v>14.8</v>
      </c>
      <c r="AM1844" s="7">
        <v>19.0</v>
      </c>
      <c r="AN1844" s="7">
        <v>10.0</v>
      </c>
      <c r="AO1844" s="7">
        <v>29.3</v>
      </c>
      <c r="AP1844" s="9">
        <f t="shared" ref="AP1844:AR1844" si="5784">AG1844/$AF1844</f>
        <v>142.1571429</v>
      </c>
      <c r="AQ1844" s="9">
        <f t="shared" si="5784"/>
        <v>33.85714286</v>
      </c>
      <c r="AR1844" s="9">
        <f t="shared" si="5784"/>
        <v>62.3</v>
      </c>
      <c r="AS1844" s="9">
        <f t="shared" si="4568"/>
        <v>96.15714286</v>
      </c>
      <c r="AT1844" s="9">
        <f t="shared" ref="AT1844:AV1844" si="5785">AJ1844/$AF1844</f>
        <v>26.17142857</v>
      </c>
      <c r="AU1844" s="9">
        <f t="shared" si="5785"/>
        <v>17.71428571</v>
      </c>
      <c r="AV1844" s="9">
        <f t="shared" si="5785"/>
        <v>2.114285714</v>
      </c>
      <c r="AW1844" s="9">
        <f t="shared" si="4570"/>
        <v>19.82857143</v>
      </c>
      <c r="AX1844" s="9">
        <f t="shared" ref="AX1844:AY1844" si="5786">AM1844/$AF1844</f>
        <v>2.714285714</v>
      </c>
      <c r="AY1844" s="9">
        <f t="shared" si="5786"/>
        <v>1.428571429</v>
      </c>
      <c r="AZ1844" s="9">
        <f>VLOOKUP(A1844,Jogos!A:BN,58,0)</f>
        <v>32.155</v>
      </c>
      <c r="BA1844" s="9">
        <f>VLOOKUP(A1844,Jogos!A:BN,59,0)</f>
        <v>19.36</v>
      </c>
      <c r="BB1844" s="9">
        <f>VLOOKUP(A1844,Jogos!A:BN,60,0)</f>
        <v>46</v>
      </c>
      <c r="BC1844" s="9">
        <f>VLOOKUP(A1844,Jogos!A:BN,61,0)</f>
        <v>34.075</v>
      </c>
      <c r="BD1844" s="9">
        <f>VLOOKUP(A1844,Jogos!A:BN,62,0)</f>
        <v>555.45</v>
      </c>
      <c r="BE1844" s="9">
        <f>VLOOKUP(A1844,Jogos!A:BN,63,0)</f>
        <v>1.155</v>
      </c>
      <c r="BF1844" s="9">
        <f>VLOOKUP(A1844,Jogos!A:BN,64,0)</f>
        <v>25.055</v>
      </c>
      <c r="BG1844" s="9">
        <f>VLOOKUP(A1844,Jogos!A:BN,65,0)</f>
        <v>46.925</v>
      </c>
      <c r="BH1844" s="9">
        <f>VLOOKUP(A1844,Jogos!A:BN,66,0)</f>
        <v>30.14</v>
      </c>
      <c r="BI1844" s="9"/>
      <c r="BJ1844" s="9"/>
    </row>
    <row r="1845" hidden="1">
      <c r="A1845" s="2">
        <v>62.0</v>
      </c>
      <c r="B1845" s="2" t="s">
        <v>1385</v>
      </c>
      <c r="C1845" s="2" t="s">
        <v>1351</v>
      </c>
      <c r="D1845" s="3">
        <v>45847.0</v>
      </c>
      <c r="E1845" s="4">
        <v>0.6319444444444444</v>
      </c>
      <c r="F1845" s="5" t="str">
        <f>VLOOKUP(A1845,Jogos!A:N,10,0)</f>
        <v>Afternoon</v>
      </c>
      <c r="G1845" s="2" t="s">
        <v>249</v>
      </c>
      <c r="H1845" s="6" t="str">
        <f>VLOOKUP(A1845,Jogos!A:L,12,0)</f>
        <v>Open</v>
      </c>
      <c r="I1845" s="6" t="str">
        <f>VLOOKUP(G1845,'Estádios e Cidades'!A:B,2,0)</f>
        <v>East Rutherford</v>
      </c>
      <c r="J1845" s="2" t="s">
        <v>873</v>
      </c>
      <c r="K1845" s="2" t="str">
        <f>VLOOKUP(J1845,Equipes!A:F,6,0)</f>
        <v>Temperate</v>
      </c>
      <c r="L1845" s="2">
        <f>VLOOKUP(J1845,Equipes!A:C,3,0)</f>
        <v>3</v>
      </c>
      <c r="M1845" s="2" t="str">
        <f t="shared" si="4"/>
        <v>Semi-final</v>
      </c>
      <c r="N1845" s="2" t="s">
        <v>187</v>
      </c>
      <c r="O1845" s="2">
        <f>VLOOKUP(N1845,Equipes!A:C,3,0)</f>
        <v>2</v>
      </c>
      <c r="P1845" s="2" t="str">
        <f t="shared" si="5"/>
        <v>Final</v>
      </c>
      <c r="Q1845" s="2">
        <f t="shared" si="6"/>
        <v>1</v>
      </c>
      <c r="R1845" s="2" t="str">
        <f>VLOOKUP(J1845,Equipes!A:B,2,0)</f>
        <v>Real</v>
      </c>
      <c r="S1845" s="14" t="s">
        <v>901</v>
      </c>
      <c r="T1845" s="7">
        <v>21.0</v>
      </c>
      <c r="U1845" s="7" t="s">
        <v>902</v>
      </c>
      <c r="V1845" s="7" t="str">
        <f>VLOOKUP(U1845,Jogadores!B:C,2,0)</f>
        <v>FW</v>
      </c>
      <c r="W1845" s="8">
        <f>VLOOKUP(U1845,Jogadores!B:D,3,0)</f>
        <v>26.00273973</v>
      </c>
      <c r="X1845" s="7">
        <v>65.0</v>
      </c>
      <c r="Y1845" s="7">
        <f t="shared" si="5777"/>
        <v>90</v>
      </c>
      <c r="Z1845" s="7">
        <f>VLOOKUP(A1845,Jogos!A:L,3,0)</f>
        <v>48</v>
      </c>
      <c r="AA1845" s="7">
        <f t="shared" si="4815"/>
        <v>0</v>
      </c>
      <c r="AB1845" s="7">
        <f>VLOOKUP(A1845,Jogos!A:L,4,0)</f>
        <v>45</v>
      </c>
      <c r="AC1845" s="7">
        <f t="shared" si="5062"/>
        <v>25</v>
      </c>
      <c r="AD1845" s="7"/>
      <c r="AE1845" s="7"/>
      <c r="AF1845" s="7">
        <f t="shared" si="4566"/>
        <v>25</v>
      </c>
      <c r="AG1845" s="7">
        <v>3036.4</v>
      </c>
      <c r="AH1845" s="7">
        <v>938.2</v>
      </c>
      <c r="AI1845" s="7">
        <v>1220.8</v>
      </c>
      <c r="AJ1845" s="7">
        <v>533.0</v>
      </c>
      <c r="AK1845" s="7">
        <v>246.9</v>
      </c>
      <c r="AL1845" s="7">
        <v>97.4</v>
      </c>
      <c r="AM1845" s="7">
        <v>41.0</v>
      </c>
      <c r="AN1845" s="7">
        <v>20.0</v>
      </c>
      <c r="AO1845" s="7">
        <v>30.4</v>
      </c>
      <c r="AP1845" s="9">
        <f t="shared" ref="AP1845:AR1845" si="5787">AG1845/$AF1845</f>
        <v>121.456</v>
      </c>
      <c r="AQ1845" s="9">
        <f t="shared" si="5787"/>
        <v>37.528</v>
      </c>
      <c r="AR1845" s="9">
        <f t="shared" si="5787"/>
        <v>48.832</v>
      </c>
      <c r="AS1845" s="9">
        <f t="shared" si="4568"/>
        <v>86.36</v>
      </c>
      <c r="AT1845" s="9">
        <f t="shared" ref="AT1845:AV1845" si="5788">AJ1845/$AF1845</f>
        <v>21.32</v>
      </c>
      <c r="AU1845" s="9">
        <f t="shared" si="5788"/>
        <v>9.876</v>
      </c>
      <c r="AV1845" s="9">
        <f t="shared" si="5788"/>
        <v>3.896</v>
      </c>
      <c r="AW1845" s="9">
        <f t="shared" si="4570"/>
        <v>13.772</v>
      </c>
      <c r="AX1845" s="9">
        <f t="shared" ref="AX1845:AY1845" si="5789">AM1845/$AF1845</f>
        <v>1.64</v>
      </c>
      <c r="AY1845" s="9">
        <f t="shared" si="5789"/>
        <v>0.8</v>
      </c>
      <c r="AZ1845" s="9">
        <f>VLOOKUP(A1845,Jogos!A:BN,58,0)</f>
        <v>32.155</v>
      </c>
      <c r="BA1845" s="9">
        <f>VLOOKUP(A1845,Jogos!A:BN,59,0)</f>
        <v>19.36</v>
      </c>
      <c r="BB1845" s="9">
        <f>VLOOKUP(A1845,Jogos!A:BN,60,0)</f>
        <v>46</v>
      </c>
      <c r="BC1845" s="9">
        <f>VLOOKUP(A1845,Jogos!A:BN,61,0)</f>
        <v>34.075</v>
      </c>
      <c r="BD1845" s="9">
        <f>VLOOKUP(A1845,Jogos!A:BN,62,0)</f>
        <v>555.45</v>
      </c>
      <c r="BE1845" s="9">
        <f>VLOOKUP(A1845,Jogos!A:BN,63,0)</f>
        <v>1.155</v>
      </c>
      <c r="BF1845" s="9">
        <f>VLOOKUP(A1845,Jogos!A:BN,64,0)</f>
        <v>25.055</v>
      </c>
      <c r="BG1845" s="9">
        <f>VLOOKUP(A1845,Jogos!A:BN,65,0)</f>
        <v>46.925</v>
      </c>
      <c r="BH1845" s="9">
        <f>VLOOKUP(A1845,Jogos!A:BN,66,0)</f>
        <v>30.14</v>
      </c>
      <c r="BI1845" s="9"/>
      <c r="BJ1845" s="9"/>
    </row>
    <row r="1846" hidden="1">
      <c r="A1846" s="2">
        <v>63.0</v>
      </c>
      <c r="B1846" s="2" t="s">
        <v>1392</v>
      </c>
      <c r="C1846" s="2" t="s">
        <v>1351</v>
      </c>
      <c r="D1846" s="3">
        <v>45851.0</v>
      </c>
      <c r="E1846" s="4">
        <v>0.625</v>
      </c>
      <c r="F1846" s="5" t="str">
        <f>VLOOKUP(A1846,Jogos!A:N,10,0)</f>
        <v>Afternoon</v>
      </c>
      <c r="G1846" s="2" t="s">
        <v>249</v>
      </c>
      <c r="H1846" s="6" t="str">
        <f>VLOOKUP(A1846,Jogos!A:L,12,0)</f>
        <v>Open</v>
      </c>
      <c r="I1846" s="6" t="str">
        <f>VLOOKUP(G1846,'Estádios e Cidades'!A:B,2,0)</f>
        <v>East Rutherford</v>
      </c>
      <c r="J1846" s="2" t="s">
        <v>377</v>
      </c>
      <c r="K1846" s="2" t="str">
        <f>VLOOKUP(J1846,Equipes!A:F,6,0)</f>
        <v>Temperate</v>
      </c>
      <c r="L1846" s="2">
        <f>VLOOKUP(J1846,Equipes!A:C,3,0)</f>
        <v>1</v>
      </c>
      <c r="M1846" s="2" t="str">
        <f t="shared" si="4"/>
        <v>Final</v>
      </c>
      <c r="N1846" s="2" t="s">
        <v>187</v>
      </c>
      <c r="O1846" s="2">
        <f>VLOOKUP(N1846,Equipes!A:C,3,0)</f>
        <v>2</v>
      </c>
      <c r="P1846" s="2" t="str">
        <f t="shared" si="5"/>
        <v>Final</v>
      </c>
      <c r="Q1846" s="2">
        <f t="shared" si="6"/>
        <v>-1</v>
      </c>
      <c r="R1846" s="2" t="str">
        <f>VLOOKUP(J1846,Equipes!A:B,2,0)</f>
        <v>Chelsea</v>
      </c>
      <c r="S1846" s="14" t="s">
        <v>379</v>
      </c>
      <c r="T1846" s="7">
        <v>3.0</v>
      </c>
      <c r="U1846" s="7" t="s">
        <v>380</v>
      </c>
      <c r="V1846" s="7" t="str">
        <f>VLOOKUP(U1846,Jogadores!B:C,2,0)</f>
        <v>DF</v>
      </c>
      <c r="W1846" s="8">
        <f>VLOOKUP(U1846,Jogadores!B:D,3,0)</f>
        <v>27.03561644</v>
      </c>
      <c r="X1846" s="7">
        <v>0.0</v>
      </c>
      <c r="Y1846" s="7">
        <f t="shared" si="5777"/>
        <v>95</v>
      </c>
      <c r="Z1846" s="7">
        <f>VLOOKUP(A1846,Jogos!A:L,3,0)</f>
        <v>51</v>
      </c>
      <c r="AA1846" s="7">
        <f t="shared" si="4815"/>
        <v>51</v>
      </c>
      <c r="AB1846" s="7">
        <f>VLOOKUP(A1846,Jogos!A:L,4,0)</f>
        <v>50</v>
      </c>
      <c r="AC1846" s="7">
        <f t="shared" si="5062"/>
        <v>50</v>
      </c>
      <c r="AD1846" s="7"/>
      <c r="AE1846" s="7"/>
      <c r="AF1846" s="7">
        <f t="shared" si="4566"/>
        <v>101</v>
      </c>
      <c r="AG1846" s="7">
        <v>9964.5</v>
      </c>
      <c r="AH1846" s="7">
        <v>4358.2</v>
      </c>
      <c r="AI1846" s="7">
        <v>4231.6</v>
      </c>
      <c r="AJ1846" s="7">
        <v>1023.9</v>
      </c>
      <c r="AK1846" s="7">
        <v>288.7</v>
      </c>
      <c r="AL1846" s="7">
        <v>62.2</v>
      </c>
      <c r="AM1846" s="7">
        <v>100.0</v>
      </c>
      <c r="AN1846" s="7">
        <v>22.0</v>
      </c>
      <c r="AO1846" s="7">
        <v>31.5</v>
      </c>
      <c r="AP1846" s="9">
        <f t="shared" ref="AP1846:AR1846" si="5790">AG1846/$AF1846</f>
        <v>98.65841584</v>
      </c>
      <c r="AQ1846" s="9">
        <f t="shared" si="5790"/>
        <v>43.15049505</v>
      </c>
      <c r="AR1846" s="9">
        <f t="shared" si="5790"/>
        <v>41.8970297</v>
      </c>
      <c r="AS1846" s="9">
        <f t="shared" si="4568"/>
        <v>85.04752475</v>
      </c>
      <c r="AT1846" s="9">
        <f t="shared" ref="AT1846:AV1846" si="5791">AJ1846/$AF1846</f>
        <v>10.13762376</v>
      </c>
      <c r="AU1846" s="9">
        <f t="shared" si="5791"/>
        <v>2.858415842</v>
      </c>
      <c r="AV1846" s="9">
        <f t="shared" si="5791"/>
        <v>0.6158415842</v>
      </c>
      <c r="AW1846" s="9">
        <f t="shared" si="4570"/>
        <v>3.474257426</v>
      </c>
      <c r="AX1846" s="9">
        <f t="shared" ref="AX1846:AY1846" si="5792">AM1846/$AF1846</f>
        <v>0.9900990099</v>
      </c>
      <c r="AY1846" s="9">
        <f t="shared" si="5792"/>
        <v>0.2178217822</v>
      </c>
      <c r="AZ1846" s="9">
        <f>VLOOKUP(A1846,Jogos!A:BN,58,0)</f>
        <v>27.945</v>
      </c>
      <c r="BA1846" s="9">
        <f>VLOOKUP(A1846,Jogos!A:BN,59,0)</f>
        <v>22.19</v>
      </c>
      <c r="BB1846" s="9">
        <f>VLOOKUP(A1846,Jogos!A:BN,60,0)</f>
        <v>70.5</v>
      </c>
      <c r="BC1846" s="9">
        <f>VLOOKUP(A1846,Jogos!A:BN,61,0)</f>
        <v>27.13</v>
      </c>
      <c r="BD1846" s="9">
        <f>VLOOKUP(A1846,Jogos!A:BN,62,0)</f>
        <v>436.1</v>
      </c>
      <c r="BE1846" s="9">
        <f>VLOOKUP(A1846,Jogos!A:BN,63,0)</f>
        <v>2.185</v>
      </c>
      <c r="BF1846" s="9">
        <f>VLOOKUP(A1846,Jogos!A:BN,64,0)</f>
        <v>24.345</v>
      </c>
      <c r="BG1846" s="9">
        <f>VLOOKUP(A1846,Jogos!A:BN,65,0)</f>
        <v>42.105</v>
      </c>
      <c r="BH1846" s="9">
        <f>VLOOKUP(A1846,Jogos!A:BN,66,0)</f>
        <v>28.255</v>
      </c>
      <c r="BI1846" s="9"/>
      <c r="BJ1846" s="9"/>
    </row>
    <row r="1847" hidden="1">
      <c r="A1847" s="2">
        <v>63.0</v>
      </c>
      <c r="B1847" s="2" t="s">
        <v>1392</v>
      </c>
      <c r="C1847" s="2" t="s">
        <v>1351</v>
      </c>
      <c r="D1847" s="3">
        <v>45851.0</v>
      </c>
      <c r="E1847" s="4">
        <v>0.625</v>
      </c>
      <c r="F1847" s="5" t="str">
        <f>VLOOKUP(A1847,Jogos!A:N,10,0)</f>
        <v>Afternoon</v>
      </c>
      <c r="G1847" s="2" t="s">
        <v>249</v>
      </c>
      <c r="H1847" s="6" t="str">
        <f>VLOOKUP(A1847,Jogos!A:L,12,0)</f>
        <v>Open</v>
      </c>
      <c r="I1847" s="6" t="str">
        <f>VLOOKUP(G1847,'Estádios e Cidades'!A:B,2,0)</f>
        <v>East Rutherford</v>
      </c>
      <c r="J1847" s="2" t="s">
        <v>377</v>
      </c>
      <c r="K1847" s="2" t="str">
        <f>VLOOKUP(J1847,Equipes!A:F,6,0)</f>
        <v>Temperate</v>
      </c>
      <c r="L1847" s="2">
        <f>VLOOKUP(J1847,Equipes!A:C,3,0)</f>
        <v>1</v>
      </c>
      <c r="M1847" s="2" t="str">
        <f t="shared" si="4"/>
        <v>Final</v>
      </c>
      <c r="N1847" s="2" t="s">
        <v>187</v>
      </c>
      <c r="O1847" s="2">
        <f>VLOOKUP(N1847,Equipes!A:C,3,0)</f>
        <v>2</v>
      </c>
      <c r="P1847" s="2" t="str">
        <f t="shared" si="5"/>
        <v>Final</v>
      </c>
      <c r="Q1847" s="2">
        <f t="shared" si="6"/>
        <v>-1</v>
      </c>
      <c r="R1847" s="2" t="str">
        <f>VLOOKUP(J1847,Equipes!A:B,2,0)</f>
        <v>Chelsea</v>
      </c>
      <c r="S1847" s="14" t="s">
        <v>383</v>
      </c>
      <c r="T1847" s="7">
        <v>6.0</v>
      </c>
      <c r="U1847" s="7" t="s">
        <v>384</v>
      </c>
      <c r="V1847" s="7" t="str">
        <f>VLOOKUP(U1847,Jogadores!B:C,2,0)</f>
        <v>DF</v>
      </c>
      <c r="W1847" s="8">
        <f>VLOOKUP(U1847,Jogadores!B:D,3,0)</f>
        <v>22.43287671</v>
      </c>
      <c r="X1847" s="7">
        <v>0.0</v>
      </c>
      <c r="Y1847" s="7">
        <f t="shared" si="5777"/>
        <v>95</v>
      </c>
      <c r="Z1847" s="7">
        <f>VLOOKUP(A1847,Jogos!A:L,3,0)</f>
        <v>51</v>
      </c>
      <c r="AA1847" s="7">
        <f t="shared" si="4815"/>
        <v>51</v>
      </c>
      <c r="AB1847" s="7">
        <f>VLOOKUP(A1847,Jogos!A:L,4,0)</f>
        <v>50</v>
      </c>
      <c r="AC1847" s="7">
        <f t="shared" si="5062"/>
        <v>50</v>
      </c>
      <c r="AD1847" s="7"/>
      <c r="AE1847" s="7"/>
      <c r="AF1847" s="7">
        <f t="shared" si="4566"/>
        <v>101</v>
      </c>
      <c r="AG1847" s="7">
        <v>9844.1</v>
      </c>
      <c r="AH1847" s="7">
        <v>3965.0</v>
      </c>
      <c r="AI1847" s="7">
        <v>4479.7</v>
      </c>
      <c r="AJ1847" s="7">
        <v>950.5</v>
      </c>
      <c r="AK1847" s="7">
        <v>347.7</v>
      </c>
      <c r="AL1847" s="7">
        <v>101.2</v>
      </c>
      <c r="AM1847" s="7">
        <v>77.0</v>
      </c>
      <c r="AN1847" s="7">
        <v>27.0</v>
      </c>
      <c r="AO1847" s="7">
        <v>30.0</v>
      </c>
      <c r="AP1847" s="9">
        <f t="shared" ref="AP1847:AR1847" si="5793">AG1847/$AF1847</f>
        <v>97.46633663</v>
      </c>
      <c r="AQ1847" s="9">
        <f t="shared" si="5793"/>
        <v>39.25742574</v>
      </c>
      <c r="AR1847" s="9">
        <f t="shared" si="5793"/>
        <v>44.35346535</v>
      </c>
      <c r="AS1847" s="9">
        <f t="shared" si="4568"/>
        <v>83.61089109</v>
      </c>
      <c r="AT1847" s="9">
        <f t="shared" ref="AT1847:AV1847" si="5794">AJ1847/$AF1847</f>
        <v>9.410891089</v>
      </c>
      <c r="AU1847" s="9">
        <f t="shared" si="5794"/>
        <v>3.442574257</v>
      </c>
      <c r="AV1847" s="9">
        <f t="shared" si="5794"/>
        <v>1.001980198</v>
      </c>
      <c r="AW1847" s="9">
        <f t="shared" si="4570"/>
        <v>4.444554455</v>
      </c>
      <c r="AX1847" s="9">
        <f t="shared" ref="AX1847:AY1847" si="5795">AM1847/$AF1847</f>
        <v>0.7623762376</v>
      </c>
      <c r="AY1847" s="9">
        <f t="shared" si="5795"/>
        <v>0.2673267327</v>
      </c>
      <c r="AZ1847" s="9">
        <f>VLOOKUP(A1847,Jogos!A:BN,58,0)</f>
        <v>27.945</v>
      </c>
      <c r="BA1847" s="9">
        <f>VLOOKUP(A1847,Jogos!A:BN,59,0)</f>
        <v>22.19</v>
      </c>
      <c r="BB1847" s="9">
        <f>VLOOKUP(A1847,Jogos!A:BN,60,0)</f>
        <v>70.5</v>
      </c>
      <c r="BC1847" s="9">
        <f>VLOOKUP(A1847,Jogos!A:BN,61,0)</f>
        <v>27.13</v>
      </c>
      <c r="BD1847" s="9">
        <f>VLOOKUP(A1847,Jogos!A:BN,62,0)</f>
        <v>436.1</v>
      </c>
      <c r="BE1847" s="9">
        <f>VLOOKUP(A1847,Jogos!A:BN,63,0)</f>
        <v>2.185</v>
      </c>
      <c r="BF1847" s="9">
        <f>VLOOKUP(A1847,Jogos!A:BN,64,0)</f>
        <v>24.345</v>
      </c>
      <c r="BG1847" s="9">
        <f>VLOOKUP(A1847,Jogos!A:BN,65,0)</f>
        <v>42.105</v>
      </c>
      <c r="BH1847" s="9">
        <f>VLOOKUP(A1847,Jogos!A:BN,66,0)</f>
        <v>28.255</v>
      </c>
      <c r="BI1847" s="9"/>
      <c r="BJ1847" s="9"/>
    </row>
    <row r="1848" hidden="1">
      <c r="A1848" s="2">
        <v>63.0</v>
      </c>
      <c r="B1848" s="2" t="s">
        <v>1392</v>
      </c>
      <c r="C1848" s="2" t="s">
        <v>1351</v>
      </c>
      <c r="D1848" s="3">
        <v>45851.0</v>
      </c>
      <c r="E1848" s="4">
        <v>0.625</v>
      </c>
      <c r="F1848" s="5" t="str">
        <f>VLOOKUP(A1848,Jogos!A:N,10,0)</f>
        <v>Afternoon</v>
      </c>
      <c r="G1848" s="2" t="s">
        <v>249</v>
      </c>
      <c r="H1848" s="6" t="str">
        <f>VLOOKUP(A1848,Jogos!A:L,12,0)</f>
        <v>Open</v>
      </c>
      <c r="I1848" s="6" t="str">
        <f>VLOOKUP(G1848,'Estádios e Cidades'!A:B,2,0)</f>
        <v>East Rutherford</v>
      </c>
      <c r="J1848" s="2" t="s">
        <v>377</v>
      </c>
      <c r="K1848" s="2" t="str">
        <f>VLOOKUP(J1848,Equipes!A:F,6,0)</f>
        <v>Temperate</v>
      </c>
      <c r="L1848" s="2">
        <f>VLOOKUP(J1848,Equipes!A:C,3,0)</f>
        <v>1</v>
      </c>
      <c r="M1848" s="2" t="str">
        <f t="shared" si="4"/>
        <v>Final</v>
      </c>
      <c r="N1848" s="2" t="s">
        <v>187</v>
      </c>
      <c r="O1848" s="2">
        <f>VLOOKUP(N1848,Equipes!A:C,3,0)</f>
        <v>2</v>
      </c>
      <c r="P1848" s="2" t="str">
        <f t="shared" si="5"/>
        <v>Final</v>
      </c>
      <c r="Q1848" s="2">
        <f t="shared" si="6"/>
        <v>-1</v>
      </c>
      <c r="R1848" s="2" t="str">
        <f>VLOOKUP(J1848,Equipes!A:B,2,0)</f>
        <v>Chelsea</v>
      </c>
      <c r="S1848" s="14" t="s">
        <v>385</v>
      </c>
      <c r="T1848" s="7">
        <v>7.0</v>
      </c>
      <c r="U1848" s="7" t="s">
        <v>386</v>
      </c>
      <c r="V1848" s="7" t="str">
        <f>VLOOKUP(U1848,Jogadores!B:C,2,0)</f>
        <v>FW</v>
      </c>
      <c r="W1848" s="8">
        <f>VLOOKUP(U1848,Jogadores!B:D,3,0)</f>
        <v>25.40273973</v>
      </c>
      <c r="X1848" s="7">
        <v>0.0</v>
      </c>
      <c r="Y1848" s="7">
        <v>78.0</v>
      </c>
      <c r="Z1848" s="7">
        <f>VLOOKUP(A1848,Jogos!A:L,3,0)</f>
        <v>51</v>
      </c>
      <c r="AA1848" s="7">
        <f t="shared" si="4815"/>
        <v>51</v>
      </c>
      <c r="AB1848" s="7">
        <f>VLOOKUP(A1848,Jogos!A:L,4,0)</f>
        <v>50</v>
      </c>
      <c r="AC1848" s="7">
        <f t="shared" si="5062"/>
        <v>33</v>
      </c>
      <c r="AD1848" s="7"/>
      <c r="AE1848" s="7"/>
      <c r="AF1848" s="7">
        <f t="shared" si="4566"/>
        <v>84</v>
      </c>
      <c r="AG1848" s="7">
        <v>8903.8</v>
      </c>
      <c r="AH1848" s="7">
        <v>3507.6</v>
      </c>
      <c r="AI1848" s="7">
        <v>3171.9</v>
      </c>
      <c r="AJ1848" s="7">
        <v>1166.9</v>
      </c>
      <c r="AK1848" s="7">
        <v>664.3</v>
      </c>
      <c r="AL1848" s="7">
        <v>393.1</v>
      </c>
      <c r="AM1848" s="7">
        <v>101.0</v>
      </c>
      <c r="AN1848" s="7">
        <v>55.0</v>
      </c>
      <c r="AO1848" s="7">
        <v>34.0</v>
      </c>
      <c r="AP1848" s="9">
        <f t="shared" ref="AP1848:AR1848" si="5796">AG1848/$AF1848</f>
        <v>105.997619</v>
      </c>
      <c r="AQ1848" s="9">
        <f t="shared" si="5796"/>
        <v>41.75714286</v>
      </c>
      <c r="AR1848" s="9">
        <f t="shared" si="5796"/>
        <v>37.76071429</v>
      </c>
      <c r="AS1848" s="9">
        <f t="shared" si="4568"/>
        <v>79.51785714</v>
      </c>
      <c r="AT1848" s="9">
        <f t="shared" ref="AT1848:AV1848" si="5797">AJ1848/$AF1848</f>
        <v>13.89166667</v>
      </c>
      <c r="AU1848" s="9">
        <f t="shared" si="5797"/>
        <v>7.908333333</v>
      </c>
      <c r="AV1848" s="9">
        <f t="shared" si="5797"/>
        <v>4.679761905</v>
      </c>
      <c r="AW1848" s="9">
        <f t="shared" si="4570"/>
        <v>12.58809524</v>
      </c>
      <c r="AX1848" s="9">
        <f t="shared" ref="AX1848:AY1848" si="5798">AM1848/$AF1848</f>
        <v>1.202380952</v>
      </c>
      <c r="AY1848" s="9">
        <f t="shared" si="5798"/>
        <v>0.6547619048</v>
      </c>
      <c r="AZ1848" s="9">
        <f>VLOOKUP(A1848,Jogos!A:BN,58,0)</f>
        <v>27.945</v>
      </c>
      <c r="BA1848" s="9">
        <f>VLOOKUP(A1848,Jogos!A:BN,59,0)</f>
        <v>22.19</v>
      </c>
      <c r="BB1848" s="9">
        <f>VLOOKUP(A1848,Jogos!A:BN,60,0)</f>
        <v>70.5</v>
      </c>
      <c r="BC1848" s="9">
        <f>VLOOKUP(A1848,Jogos!A:BN,61,0)</f>
        <v>27.13</v>
      </c>
      <c r="BD1848" s="9">
        <f>VLOOKUP(A1848,Jogos!A:BN,62,0)</f>
        <v>436.1</v>
      </c>
      <c r="BE1848" s="9">
        <f>VLOOKUP(A1848,Jogos!A:BN,63,0)</f>
        <v>2.185</v>
      </c>
      <c r="BF1848" s="9">
        <f>VLOOKUP(A1848,Jogos!A:BN,64,0)</f>
        <v>24.345</v>
      </c>
      <c r="BG1848" s="9">
        <f>VLOOKUP(A1848,Jogos!A:BN,65,0)</f>
        <v>42.105</v>
      </c>
      <c r="BH1848" s="9">
        <f>VLOOKUP(A1848,Jogos!A:BN,66,0)</f>
        <v>28.255</v>
      </c>
      <c r="BI1848" s="9"/>
      <c r="BJ1848" s="9"/>
    </row>
    <row r="1849" hidden="1">
      <c r="A1849" s="2">
        <v>63.0</v>
      </c>
      <c r="B1849" s="2" t="s">
        <v>1392</v>
      </c>
      <c r="C1849" s="2" t="s">
        <v>1351</v>
      </c>
      <c r="D1849" s="3">
        <v>45851.0</v>
      </c>
      <c r="E1849" s="4">
        <v>0.625</v>
      </c>
      <c r="F1849" s="5" t="str">
        <f>VLOOKUP(A1849,Jogos!A:N,10,0)</f>
        <v>Afternoon</v>
      </c>
      <c r="G1849" s="2" t="s">
        <v>249</v>
      </c>
      <c r="H1849" s="6" t="str">
        <f>VLOOKUP(A1849,Jogos!A:L,12,0)</f>
        <v>Open</v>
      </c>
      <c r="I1849" s="6" t="str">
        <f>VLOOKUP(G1849,'Estádios e Cidades'!A:B,2,0)</f>
        <v>East Rutherford</v>
      </c>
      <c r="J1849" s="2" t="s">
        <v>377</v>
      </c>
      <c r="K1849" s="2" t="str">
        <f>VLOOKUP(J1849,Equipes!A:F,6,0)</f>
        <v>Temperate</v>
      </c>
      <c r="L1849" s="2">
        <f>VLOOKUP(J1849,Equipes!A:C,3,0)</f>
        <v>1</v>
      </c>
      <c r="M1849" s="2" t="str">
        <f t="shared" si="4"/>
        <v>Final</v>
      </c>
      <c r="N1849" s="2" t="s">
        <v>187</v>
      </c>
      <c r="O1849" s="2">
        <f>VLOOKUP(N1849,Equipes!A:C,3,0)</f>
        <v>2</v>
      </c>
      <c r="P1849" s="2" t="str">
        <f t="shared" si="5"/>
        <v>Final</v>
      </c>
      <c r="Q1849" s="2">
        <f t="shared" si="6"/>
        <v>-1</v>
      </c>
      <c r="R1849" s="2" t="str">
        <f>VLOOKUP(J1849,Equipes!A:B,2,0)</f>
        <v>Chelsea</v>
      </c>
      <c r="S1849" s="14" t="s">
        <v>399</v>
      </c>
      <c r="T1849" s="7">
        <v>8.0</v>
      </c>
      <c r="U1849" s="7" t="s">
        <v>400</v>
      </c>
      <c r="V1849" s="7" t="str">
        <f>VLOOKUP(U1849,Jogadores!B:C,2,0)</f>
        <v>MF</v>
      </c>
      <c r="W1849" s="8">
        <f>VLOOKUP(U1849,Jogadores!B:D,3,0)</f>
        <v>24.54246575</v>
      </c>
      <c r="X1849" s="7">
        <v>0.0</v>
      </c>
      <c r="Y1849" s="7">
        <v>61.0</v>
      </c>
      <c r="Z1849" s="7">
        <f>VLOOKUP(A1849,Jogos!A:L,3,0)</f>
        <v>51</v>
      </c>
      <c r="AA1849" s="7">
        <f t="shared" si="4815"/>
        <v>51</v>
      </c>
      <c r="AB1849" s="7">
        <f>VLOOKUP(A1849,Jogos!A:L,4,0)</f>
        <v>50</v>
      </c>
      <c r="AC1849" s="7">
        <f t="shared" si="5062"/>
        <v>16</v>
      </c>
      <c r="AD1849" s="7"/>
      <c r="AE1849" s="7"/>
      <c r="AF1849" s="7">
        <f t="shared" si="4566"/>
        <v>67</v>
      </c>
      <c r="AG1849" s="7">
        <v>8135.8</v>
      </c>
      <c r="AH1849" s="7">
        <v>2820.9</v>
      </c>
      <c r="AI1849" s="7">
        <v>3124.5</v>
      </c>
      <c r="AJ1849" s="7">
        <v>1186.5</v>
      </c>
      <c r="AK1849" s="7">
        <v>678.6</v>
      </c>
      <c r="AL1849" s="7">
        <v>325.2</v>
      </c>
      <c r="AM1849" s="7">
        <v>115.0</v>
      </c>
      <c r="AN1849" s="7">
        <v>56.0</v>
      </c>
      <c r="AO1849" s="7">
        <v>30.9</v>
      </c>
      <c r="AP1849" s="9">
        <f t="shared" ref="AP1849:AR1849" si="5799">AG1849/$AF1849</f>
        <v>121.4298507</v>
      </c>
      <c r="AQ1849" s="9">
        <f t="shared" si="5799"/>
        <v>42.10298507</v>
      </c>
      <c r="AR1849" s="9">
        <f t="shared" si="5799"/>
        <v>46.63432836</v>
      </c>
      <c r="AS1849" s="9">
        <f t="shared" si="4568"/>
        <v>88.73731343</v>
      </c>
      <c r="AT1849" s="9">
        <f t="shared" ref="AT1849:AV1849" si="5800">AJ1849/$AF1849</f>
        <v>17.70895522</v>
      </c>
      <c r="AU1849" s="9">
        <f t="shared" si="5800"/>
        <v>10.12835821</v>
      </c>
      <c r="AV1849" s="9">
        <f t="shared" si="5800"/>
        <v>4.853731343</v>
      </c>
      <c r="AW1849" s="9">
        <f t="shared" si="4570"/>
        <v>14.98208955</v>
      </c>
      <c r="AX1849" s="9">
        <f t="shared" ref="AX1849:AY1849" si="5801">AM1849/$AF1849</f>
        <v>1.71641791</v>
      </c>
      <c r="AY1849" s="9">
        <f t="shared" si="5801"/>
        <v>0.8358208955</v>
      </c>
      <c r="AZ1849" s="9">
        <f>VLOOKUP(A1849,Jogos!A:BN,58,0)</f>
        <v>27.945</v>
      </c>
      <c r="BA1849" s="9">
        <f>VLOOKUP(A1849,Jogos!A:BN,59,0)</f>
        <v>22.19</v>
      </c>
      <c r="BB1849" s="9">
        <f>VLOOKUP(A1849,Jogos!A:BN,60,0)</f>
        <v>70.5</v>
      </c>
      <c r="BC1849" s="9">
        <f>VLOOKUP(A1849,Jogos!A:BN,61,0)</f>
        <v>27.13</v>
      </c>
      <c r="BD1849" s="9">
        <f>VLOOKUP(A1849,Jogos!A:BN,62,0)</f>
        <v>436.1</v>
      </c>
      <c r="BE1849" s="9">
        <f>VLOOKUP(A1849,Jogos!A:BN,63,0)</f>
        <v>2.185</v>
      </c>
      <c r="BF1849" s="9">
        <f>VLOOKUP(A1849,Jogos!A:BN,64,0)</f>
        <v>24.345</v>
      </c>
      <c r="BG1849" s="9">
        <f>VLOOKUP(A1849,Jogos!A:BN,65,0)</f>
        <v>42.105</v>
      </c>
      <c r="BH1849" s="9">
        <f>VLOOKUP(A1849,Jogos!A:BN,66,0)</f>
        <v>28.255</v>
      </c>
      <c r="BI1849" s="9"/>
      <c r="BJ1849" s="9"/>
    </row>
    <row r="1850" hidden="1">
      <c r="A1850" s="2">
        <v>63.0</v>
      </c>
      <c r="B1850" s="2" t="s">
        <v>1392</v>
      </c>
      <c r="C1850" s="2" t="s">
        <v>1351</v>
      </c>
      <c r="D1850" s="3">
        <v>45851.0</v>
      </c>
      <c r="E1850" s="4">
        <v>0.625</v>
      </c>
      <c r="F1850" s="5" t="str">
        <f>VLOOKUP(A1850,Jogos!A:N,10,0)</f>
        <v>Afternoon</v>
      </c>
      <c r="G1850" s="2" t="s">
        <v>249</v>
      </c>
      <c r="H1850" s="6" t="str">
        <f>VLOOKUP(A1850,Jogos!A:L,12,0)</f>
        <v>Open</v>
      </c>
      <c r="I1850" s="6" t="str">
        <f>VLOOKUP(G1850,'Estádios e Cidades'!A:B,2,0)</f>
        <v>East Rutherford</v>
      </c>
      <c r="J1850" s="2" t="s">
        <v>377</v>
      </c>
      <c r="K1850" s="2" t="str">
        <f>VLOOKUP(J1850,Equipes!A:F,6,0)</f>
        <v>Temperate</v>
      </c>
      <c r="L1850" s="2">
        <f>VLOOKUP(J1850,Equipes!A:C,3,0)</f>
        <v>1</v>
      </c>
      <c r="M1850" s="2" t="str">
        <f t="shared" si="4"/>
        <v>Final</v>
      </c>
      <c r="N1850" s="2" t="s">
        <v>187</v>
      </c>
      <c r="O1850" s="2">
        <f>VLOOKUP(N1850,Equipes!A:C,3,0)</f>
        <v>2</v>
      </c>
      <c r="P1850" s="2" t="str">
        <f t="shared" si="5"/>
        <v>Final</v>
      </c>
      <c r="Q1850" s="2">
        <f t="shared" si="6"/>
        <v>-1</v>
      </c>
      <c r="R1850" s="2" t="str">
        <f>VLOOKUP(J1850,Equipes!A:B,2,0)</f>
        <v>Chelsea</v>
      </c>
      <c r="S1850" s="14" t="s">
        <v>387</v>
      </c>
      <c r="T1850" s="7">
        <v>10.0</v>
      </c>
      <c r="U1850" s="7" t="s">
        <v>388</v>
      </c>
      <c r="V1850" s="7" t="str">
        <f>VLOOKUP(U1850,Jogadores!B:C,2,0)</f>
        <v>MF</v>
      </c>
      <c r="W1850" s="8">
        <f>VLOOKUP(U1850,Jogadores!B:D,3,0)</f>
        <v>23.24383562</v>
      </c>
      <c r="X1850" s="7">
        <v>0.0</v>
      </c>
      <c r="Y1850" s="7">
        <f>45+AB1850</f>
        <v>95</v>
      </c>
      <c r="Z1850" s="7">
        <f>VLOOKUP(A1850,Jogos!A:L,3,0)</f>
        <v>51</v>
      </c>
      <c r="AA1850" s="7">
        <f t="shared" si="4815"/>
        <v>51</v>
      </c>
      <c r="AB1850" s="7">
        <f>VLOOKUP(A1850,Jogos!A:L,4,0)</f>
        <v>50</v>
      </c>
      <c r="AC1850" s="7">
        <f t="shared" si="5062"/>
        <v>50</v>
      </c>
      <c r="AD1850" s="7"/>
      <c r="AE1850" s="7"/>
      <c r="AF1850" s="7">
        <f t="shared" si="4566"/>
        <v>101</v>
      </c>
      <c r="AG1850" s="7">
        <v>10339.8</v>
      </c>
      <c r="AH1850" s="7">
        <v>4723.3</v>
      </c>
      <c r="AI1850" s="7">
        <v>3230.1</v>
      </c>
      <c r="AJ1850" s="7">
        <v>1266.7</v>
      </c>
      <c r="AK1850" s="7">
        <v>713.1</v>
      </c>
      <c r="AL1850" s="7">
        <v>406.5</v>
      </c>
      <c r="AM1850" s="7">
        <v>119.0</v>
      </c>
      <c r="AN1850" s="7">
        <v>51.0</v>
      </c>
      <c r="AO1850" s="7">
        <v>33.0</v>
      </c>
      <c r="AP1850" s="9">
        <f t="shared" ref="AP1850:AR1850" si="5802">AG1850/$AF1850</f>
        <v>102.3742574</v>
      </c>
      <c r="AQ1850" s="9">
        <f t="shared" si="5802"/>
        <v>46.76534653</v>
      </c>
      <c r="AR1850" s="9">
        <f t="shared" si="5802"/>
        <v>31.98118812</v>
      </c>
      <c r="AS1850" s="9">
        <f t="shared" si="4568"/>
        <v>78.74653465</v>
      </c>
      <c r="AT1850" s="9">
        <f t="shared" ref="AT1850:AV1850" si="5803">AJ1850/$AF1850</f>
        <v>12.54158416</v>
      </c>
      <c r="AU1850" s="9">
        <f t="shared" si="5803"/>
        <v>7.06039604</v>
      </c>
      <c r="AV1850" s="9">
        <f t="shared" si="5803"/>
        <v>4.024752475</v>
      </c>
      <c r="AW1850" s="9">
        <f t="shared" si="4570"/>
        <v>11.08514851</v>
      </c>
      <c r="AX1850" s="9">
        <f t="shared" ref="AX1850:AY1850" si="5804">AM1850/$AF1850</f>
        <v>1.178217822</v>
      </c>
      <c r="AY1850" s="9">
        <f t="shared" si="5804"/>
        <v>0.504950495</v>
      </c>
      <c r="AZ1850" s="9">
        <f>VLOOKUP(A1850,Jogos!A:BN,58,0)</f>
        <v>27.945</v>
      </c>
      <c r="BA1850" s="9">
        <f>VLOOKUP(A1850,Jogos!A:BN,59,0)</f>
        <v>22.19</v>
      </c>
      <c r="BB1850" s="9">
        <f>VLOOKUP(A1850,Jogos!A:BN,60,0)</f>
        <v>70.5</v>
      </c>
      <c r="BC1850" s="9">
        <f>VLOOKUP(A1850,Jogos!A:BN,61,0)</f>
        <v>27.13</v>
      </c>
      <c r="BD1850" s="9">
        <f>VLOOKUP(A1850,Jogos!A:BN,62,0)</f>
        <v>436.1</v>
      </c>
      <c r="BE1850" s="9">
        <f>VLOOKUP(A1850,Jogos!A:BN,63,0)</f>
        <v>2.185</v>
      </c>
      <c r="BF1850" s="9">
        <f>VLOOKUP(A1850,Jogos!A:BN,64,0)</f>
        <v>24.345</v>
      </c>
      <c r="BG1850" s="9">
        <f>VLOOKUP(A1850,Jogos!A:BN,65,0)</f>
        <v>42.105</v>
      </c>
      <c r="BH1850" s="9">
        <f>VLOOKUP(A1850,Jogos!A:BN,66,0)</f>
        <v>28.255</v>
      </c>
      <c r="BI1850" s="9"/>
      <c r="BJ1850" s="9"/>
    </row>
    <row r="1851" hidden="1">
      <c r="A1851" s="2">
        <v>63.0</v>
      </c>
      <c r="B1851" s="2" t="s">
        <v>1392</v>
      </c>
      <c r="C1851" s="2" t="s">
        <v>1351</v>
      </c>
      <c r="D1851" s="3">
        <v>45851.0</v>
      </c>
      <c r="E1851" s="4">
        <v>0.625</v>
      </c>
      <c r="F1851" s="5" t="str">
        <f>VLOOKUP(A1851,Jogos!A:N,10,0)</f>
        <v>Afternoon</v>
      </c>
      <c r="G1851" s="2" t="s">
        <v>249</v>
      </c>
      <c r="H1851" s="6" t="str">
        <f>VLOOKUP(A1851,Jogos!A:L,12,0)</f>
        <v>Open</v>
      </c>
      <c r="I1851" s="6" t="str">
        <f>VLOOKUP(G1851,'Estádios e Cidades'!A:B,2,0)</f>
        <v>East Rutherford</v>
      </c>
      <c r="J1851" s="2" t="s">
        <v>377</v>
      </c>
      <c r="K1851" s="2" t="str">
        <f>VLOOKUP(J1851,Equipes!A:F,6,0)</f>
        <v>Temperate</v>
      </c>
      <c r="L1851" s="2">
        <f>VLOOKUP(J1851,Equipes!A:C,3,0)</f>
        <v>1</v>
      </c>
      <c r="M1851" s="2" t="str">
        <f t="shared" si="4"/>
        <v>Final</v>
      </c>
      <c r="N1851" s="2" t="s">
        <v>187</v>
      </c>
      <c r="O1851" s="2">
        <f>VLOOKUP(N1851,Equipes!A:C,3,0)</f>
        <v>2</v>
      </c>
      <c r="P1851" s="2" t="str">
        <f t="shared" si="5"/>
        <v>Final</v>
      </c>
      <c r="Q1851" s="2">
        <f t="shared" si="6"/>
        <v>-1</v>
      </c>
      <c r="R1851" s="2" t="str">
        <f>VLOOKUP(J1851,Equipes!A:B,2,0)</f>
        <v>Chelsea</v>
      </c>
      <c r="S1851" s="14" t="s">
        <v>1383</v>
      </c>
      <c r="T1851" s="7">
        <v>20.0</v>
      </c>
      <c r="U1851" s="7" t="s">
        <v>1384</v>
      </c>
      <c r="V1851" s="7" t="s">
        <v>1133</v>
      </c>
      <c r="W1851" s="8">
        <f>VLOOKUP(U1851,Jogadores!B:D,3,0)</f>
        <v>23.85205479</v>
      </c>
      <c r="X1851" s="7">
        <v>0.0</v>
      </c>
      <c r="Y1851" s="7">
        <v>67.0</v>
      </c>
      <c r="Z1851" s="7">
        <f>VLOOKUP(A1851,Jogos!A:L,3,0)</f>
        <v>51</v>
      </c>
      <c r="AA1851" s="7">
        <f t="shared" si="4815"/>
        <v>51</v>
      </c>
      <c r="AB1851" s="7">
        <f>VLOOKUP(A1851,Jogos!A:L,4,0)</f>
        <v>50</v>
      </c>
      <c r="AC1851" s="7">
        <f t="shared" si="5062"/>
        <v>22</v>
      </c>
      <c r="AD1851" s="7"/>
      <c r="AE1851" s="7"/>
      <c r="AF1851" s="7">
        <f t="shared" si="4566"/>
        <v>73</v>
      </c>
      <c r="AG1851" s="7">
        <v>8703.2</v>
      </c>
      <c r="AH1851" s="7">
        <v>3190.6</v>
      </c>
      <c r="AI1851" s="7">
        <v>3730.4</v>
      </c>
      <c r="AJ1851" s="7">
        <v>1058.4</v>
      </c>
      <c r="AK1851" s="7">
        <v>405.5</v>
      </c>
      <c r="AL1851" s="7">
        <v>318.3</v>
      </c>
      <c r="AM1851" s="7">
        <v>85.0</v>
      </c>
      <c r="AN1851" s="7">
        <v>36.0</v>
      </c>
      <c r="AO1851" s="7">
        <v>33.8</v>
      </c>
      <c r="AP1851" s="9">
        <f t="shared" ref="AP1851:AR1851" si="5805">AG1851/$AF1851</f>
        <v>119.2219178</v>
      </c>
      <c r="AQ1851" s="9">
        <f t="shared" si="5805"/>
        <v>43.70684932</v>
      </c>
      <c r="AR1851" s="9">
        <f t="shared" si="5805"/>
        <v>51.10136986</v>
      </c>
      <c r="AS1851" s="9">
        <f t="shared" si="4568"/>
        <v>94.80821918</v>
      </c>
      <c r="AT1851" s="9">
        <f t="shared" ref="AT1851:AV1851" si="5806">AJ1851/$AF1851</f>
        <v>14.49863014</v>
      </c>
      <c r="AU1851" s="9">
        <f t="shared" si="5806"/>
        <v>5.554794521</v>
      </c>
      <c r="AV1851" s="9">
        <f t="shared" si="5806"/>
        <v>4.360273973</v>
      </c>
      <c r="AW1851" s="9">
        <f t="shared" si="4570"/>
        <v>9.915068493</v>
      </c>
      <c r="AX1851" s="9">
        <f t="shared" ref="AX1851:AY1851" si="5807">AM1851/$AF1851</f>
        <v>1.164383562</v>
      </c>
      <c r="AY1851" s="9">
        <f t="shared" si="5807"/>
        <v>0.4931506849</v>
      </c>
      <c r="AZ1851" s="9">
        <f>VLOOKUP(A1851,Jogos!A:BN,58,0)</f>
        <v>27.945</v>
      </c>
      <c r="BA1851" s="9">
        <f>VLOOKUP(A1851,Jogos!A:BN,59,0)</f>
        <v>22.19</v>
      </c>
      <c r="BB1851" s="9">
        <f>VLOOKUP(A1851,Jogos!A:BN,60,0)</f>
        <v>70.5</v>
      </c>
      <c r="BC1851" s="9">
        <f>VLOOKUP(A1851,Jogos!A:BN,61,0)</f>
        <v>27.13</v>
      </c>
      <c r="BD1851" s="9">
        <f>VLOOKUP(A1851,Jogos!A:BN,62,0)</f>
        <v>436.1</v>
      </c>
      <c r="BE1851" s="9">
        <f>VLOOKUP(A1851,Jogos!A:BN,63,0)</f>
        <v>2.185</v>
      </c>
      <c r="BF1851" s="9">
        <f>VLOOKUP(A1851,Jogos!A:BN,64,0)</f>
        <v>24.345</v>
      </c>
      <c r="BG1851" s="9">
        <f>VLOOKUP(A1851,Jogos!A:BN,65,0)</f>
        <v>42.105</v>
      </c>
      <c r="BH1851" s="9">
        <f>VLOOKUP(A1851,Jogos!A:BN,66,0)</f>
        <v>28.255</v>
      </c>
      <c r="BI1851" s="9"/>
      <c r="BJ1851" s="9"/>
    </row>
    <row r="1852" hidden="1">
      <c r="A1852" s="2">
        <v>63.0</v>
      </c>
      <c r="B1852" s="2" t="s">
        <v>1392</v>
      </c>
      <c r="C1852" s="2" t="s">
        <v>1351</v>
      </c>
      <c r="D1852" s="3">
        <v>45851.0</v>
      </c>
      <c r="E1852" s="4">
        <v>0.625</v>
      </c>
      <c r="F1852" s="5" t="str">
        <f>VLOOKUP(A1852,Jogos!A:N,10,0)</f>
        <v>Afternoon</v>
      </c>
      <c r="G1852" s="2" t="s">
        <v>249</v>
      </c>
      <c r="H1852" s="6" t="str">
        <f>VLOOKUP(A1852,Jogos!A:L,12,0)</f>
        <v>Open</v>
      </c>
      <c r="I1852" s="6" t="str">
        <f>VLOOKUP(G1852,'Estádios e Cidades'!A:B,2,0)</f>
        <v>East Rutherford</v>
      </c>
      <c r="J1852" s="2" t="s">
        <v>377</v>
      </c>
      <c r="K1852" s="2" t="str">
        <f>VLOOKUP(J1852,Equipes!A:F,6,0)</f>
        <v>Temperate</v>
      </c>
      <c r="L1852" s="2">
        <f>VLOOKUP(J1852,Equipes!A:C,3,0)</f>
        <v>1</v>
      </c>
      <c r="M1852" s="2" t="str">
        <f t="shared" si="4"/>
        <v>Final</v>
      </c>
      <c r="N1852" s="2" t="s">
        <v>187</v>
      </c>
      <c r="O1852" s="2">
        <f>VLOOKUP(N1852,Equipes!A:C,3,0)</f>
        <v>2</v>
      </c>
      <c r="P1852" s="2" t="str">
        <f t="shared" si="5"/>
        <v>Final</v>
      </c>
      <c r="Q1852" s="2">
        <f t="shared" si="6"/>
        <v>-1</v>
      </c>
      <c r="R1852" s="2" t="str">
        <f>VLOOKUP(J1852,Equipes!A:B,2,0)</f>
        <v>Chelsea</v>
      </c>
      <c r="S1852" s="14" t="s">
        <v>1126</v>
      </c>
      <c r="T1852" s="7">
        <v>23.0</v>
      </c>
      <c r="U1852" s="7" t="s">
        <v>1127</v>
      </c>
      <c r="V1852" s="7" t="str">
        <f>VLOOKUP(U1852,Jogadores!B:C,2,0)</f>
        <v>DF</v>
      </c>
      <c r="W1852" s="8">
        <f>VLOOKUP(U1852,Jogadores!B:D,3,0)</f>
        <v>26.08219178</v>
      </c>
      <c r="X1852" s="7">
        <v>0.0</v>
      </c>
      <c r="Y1852" s="7">
        <f>45+AB1852</f>
        <v>95</v>
      </c>
      <c r="Z1852" s="7">
        <f>VLOOKUP(A1852,Jogos!A:L,3,0)</f>
        <v>51</v>
      </c>
      <c r="AA1852" s="7">
        <f t="shared" si="4815"/>
        <v>51</v>
      </c>
      <c r="AB1852" s="7">
        <f>VLOOKUP(A1852,Jogos!A:L,4,0)</f>
        <v>50</v>
      </c>
      <c r="AC1852" s="7">
        <f t="shared" si="5062"/>
        <v>50</v>
      </c>
      <c r="AD1852" s="7"/>
      <c r="AE1852" s="7"/>
      <c r="AF1852" s="7">
        <f t="shared" si="4566"/>
        <v>101</v>
      </c>
      <c r="AG1852" s="7">
        <v>10132.7</v>
      </c>
      <c r="AH1852" s="7">
        <v>4184.4</v>
      </c>
      <c r="AI1852" s="7">
        <v>4031.0</v>
      </c>
      <c r="AJ1852" s="7">
        <v>1354.3</v>
      </c>
      <c r="AK1852" s="7">
        <v>473.7</v>
      </c>
      <c r="AL1852" s="7">
        <v>89.2</v>
      </c>
      <c r="AM1852" s="7">
        <v>108.0</v>
      </c>
      <c r="AN1852" s="7">
        <v>34.0</v>
      </c>
      <c r="AO1852" s="7">
        <v>31.9</v>
      </c>
      <c r="AP1852" s="9">
        <f t="shared" ref="AP1852:AR1852" si="5808">AG1852/$AF1852</f>
        <v>100.3237624</v>
      </c>
      <c r="AQ1852" s="9">
        <f t="shared" si="5808"/>
        <v>41.42970297</v>
      </c>
      <c r="AR1852" s="9">
        <f t="shared" si="5808"/>
        <v>39.91089109</v>
      </c>
      <c r="AS1852" s="9">
        <f t="shared" si="4568"/>
        <v>81.34059406</v>
      </c>
      <c r="AT1852" s="9">
        <f t="shared" ref="AT1852:AV1852" si="5809">AJ1852/$AF1852</f>
        <v>13.40891089</v>
      </c>
      <c r="AU1852" s="9">
        <f t="shared" si="5809"/>
        <v>4.69009901</v>
      </c>
      <c r="AV1852" s="9">
        <f t="shared" si="5809"/>
        <v>0.8831683168</v>
      </c>
      <c r="AW1852" s="9">
        <f t="shared" si="4570"/>
        <v>5.573267327</v>
      </c>
      <c r="AX1852" s="9">
        <f t="shared" ref="AX1852:AY1852" si="5810">AM1852/$AF1852</f>
        <v>1.069306931</v>
      </c>
      <c r="AY1852" s="9">
        <f t="shared" si="5810"/>
        <v>0.3366336634</v>
      </c>
      <c r="AZ1852" s="9">
        <f>VLOOKUP(A1852,Jogos!A:BN,58,0)</f>
        <v>27.945</v>
      </c>
      <c r="BA1852" s="9">
        <f>VLOOKUP(A1852,Jogos!A:BN,59,0)</f>
        <v>22.19</v>
      </c>
      <c r="BB1852" s="9">
        <f>VLOOKUP(A1852,Jogos!A:BN,60,0)</f>
        <v>70.5</v>
      </c>
      <c r="BC1852" s="9">
        <f>VLOOKUP(A1852,Jogos!A:BN,61,0)</f>
        <v>27.13</v>
      </c>
      <c r="BD1852" s="9">
        <f>VLOOKUP(A1852,Jogos!A:BN,62,0)</f>
        <v>436.1</v>
      </c>
      <c r="BE1852" s="9">
        <f>VLOOKUP(A1852,Jogos!A:BN,63,0)</f>
        <v>2.185</v>
      </c>
      <c r="BF1852" s="9">
        <f>VLOOKUP(A1852,Jogos!A:BN,64,0)</f>
        <v>24.345</v>
      </c>
      <c r="BG1852" s="9">
        <f>VLOOKUP(A1852,Jogos!A:BN,65,0)</f>
        <v>42.105</v>
      </c>
      <c r="BH1852" s="9">
        <f>VLOOKUP(A1852,Jogos!A:BN,66,0)</f>
        <v>28.255</v>
      </c>
      <c r="BI1852" s="9"/>
      <c r="BJ1852" s="9"/>
    </row>
    <row r="1853" hidden="1">
      <c r="A1853" s="2">
        <v>63.0</v>
      </c>
      <c r="B1853" s="2" t="s">
        <v>1392</v>
      </c>
      <c r="C1853" s="2" t="s">
        <v>1351</v>
      </c>
      <c r="D1853" s="3">
        <v>45851.0</v>
      </c>
      <c r="E1853" s="4">
        <v>0.625</v>
      </c>
      <c r="F1853" s="5" t="str">
        <f>VLOOKUP(A1853,Jogos!A:N,10,0)</f>
        <v>Afternoon</v>
      </c>
      <c r="G1853" s="2" t="s">
        <v>249</v>
      </c>
      <c r="H1853" s="6" t="str">
        <f>VLOOKUP(A1853,Jogos!A:L,12,0)</f>
        <v>Open</v>
      </c>
      <c r="I1853" s="6" t="str">
        <f>VLOOKUP(G1853,'Estádios e Cidades'!A:B,2,0)</f>
        <v>East Rutherford</v>
      </c>
      <c r="J1853" s="2" t="s">
        <v>377</v>
      </c>
      <c r="K1853" s="2" t="str">
        <f>VLOOKUP(J1853,Equipes!A:F,6,0)</f>
        <v>Temperate</v>
      </c>
      <c r="L1853" s="2">
        <f>VLOOKUP(J1853,Equipes!A:C,3,0)</f>
        <v>1</v>
      </c>
      <c r="M1853" s="2" t="str">
        <f t="shared" si="4"/>
        <v>Final</v>
      </c>
      <c r="N1853" s="2" t="s">
        <v>187</v>
      </c>
      <c r="O1853" s="2">
        <f>VLOOKUP(N1853,Equipes!A:C,3,0)</f>
        <v>2</v>
      </c>
      <c r="P1853" s="2" t="str">
        <f t="shared" si="5"/>
        <v>Final</v>
      </c>
      <c r="Q1853" s="2">
        <f t="shared" si="6"/>
        <v>-1</v>
      </c>
      <c r="R1853" s="2" t="str">
        <f>VLOOKUP(J1853,Equipes!A:B,2,0)</f>
        <v>Chelsea</v>
      </c>
      <c r="S1853" s="14" t="s">
        <v>393</v>
      </c>
      <c r="T1853" s="7">
        <v>24.0</v>
      </c>
      <c r="U1853" s="7" t="s">
        <v>394</v>
      </c>
      <c r="V1853" s="7" t="str">
        <f>VLOOKUP(U1853,Jogadores!B:C,2,0)</f>
        <v>DF</v>
      </c>
      <c r="W1853" s="8">
        <f>VLOOKUP(U1853,Jogadores!B:D,3,0)</f>
        <v>25.65479452</v>
      </c>
      <c r="X1853" s="7">
        <v>0.0</v>
      </c>
      <c r="Y1853" s="7">
        <v>77.0</v>
      </c>
      <c r="Z1853" s="7">
        <f>VLOOKUP(A1853,Jogos!A:L,3,0)</f>
        <v>51</v>
      </c>
      <c r="AA1853" s="7">
        <f t="shared" si="4815"/>
        <v>51</v>
      </c>
      <c r="AB1853" s="7">
        <f>VLOOKUP(A1853,Jogos!A:L,4,0)</f>
        <v>50</v>
      </c>
      <c r="AC1853" s="7">
        <f t="shared" si="5062"/>
        <v>32</v>
      </c>
      <c r="AD1853" s="7"/>
      <c r="AE1853" s="7"/>
      <c r="AF1853" s="7">
        <f t="shared" si="4566"/>
        <v>83</v>
      </c>
      <c r="AG1853" s="7">
        <v>8861.9</v>
      </c>
      <c r="AH1853" s="7">
        <v>3676.7</v>
      </c>
      <c r="AI1853" s="7">
        <v>3694.4</v>
      </c>
      <c r="AJ1853" s="7">
        <v>1053.2</v>
      </c>
      <c r="AK1853" s="7">
        <v>368.6</v>
      </c>
      <c r="AL1853" s="7">
        <v>69.1</v>
      </c>
      <c r="AM1853" s="7">
        <v>85.0</v>
      </c>
      <c r="AN1853" s="7">
        <v>31.0</v>
      </c>
      <c r="AO1853" s="7">
        <v>29.4</v>
      </c>
      <c r="AP1853" s="9">
        <f t="shared" ref="AP1853:AR1853" si="5811">AG1853/$AF1853</f>
        <v>106.7698795</v>
      </c>
      <c r="AQ1853" s="9">
        <f t="shared" si="5811"/>
        <v>44.29759036</v>
      </c>
      <c r="AR1853" s="9">
        <f t="shared" si="5811"/>
        <v>44.51084337</v>
      </c>
      <c r="AS1853" s="9">
        <f t="shared" si="4568"/>
        <v>88.80843373</v>
      </c>
      <c r="AT1853" s="9">
        <f t="shared" ref="AT1853:AV1853" si="5812">AJ1853/$AF1853</f>
        <v>12.68915663</v>
      </c>
      <c r="AU1853" s="9">
        <f t="shared" si="5812"/>
        <v>4.440963855</v>
      </c>
      <c r="AV1853" s="9">
        <f t="shared" si="5812"/>
        <v>0.8325301205</v>
      </c>
      <c r="AW1853" s="9">
        <f t="shared" si="4570"/>
        <v>5.273493976</v>
      </c>
      <c r="AX1853" s="9">
        <f t="shared" ref="AX1853:AY1853" si="5813">AM1853/$AF1853</f>
        <v>1.024096386</v>
      </c>
      <c r="AY1853" s="9">
        <f t="shared" si="5813"/>
        <v>0.3734939759</v>
      </c>
      <c r="AZ1853" s="9">
        <f>VLOOKUP(A1853,Jogos!A:BN,58,0)</f>
        <v>27.945</v>
      </c>
      <c r="BA1853" s="9">
        <f>VLOOKUP(A1853,Jogos!A:BN,59,0)</f>
        <v>22.19</v>
      </c>
      <c r="BB1853" s="9">
        <f>VLOOKUP(A1853,Jogos!A:BN,60,0)</f>
        <v>70.5</v>
      </c>
      <c r="BC1853" s="9">
        <f>VLOOKUP(A1853,Jogos!A:BN,61,0)</f>
        <v>27.13</v>
      </c>
      <c r="BD1853" s="9">
        <f>VLOOKUP(A1853,Jogos!A:BN,62,0)</f>
        <v>436.1</v>
      </c>
      <c r="BE1853" s="9">
        <f>VLOOKUP(A1853,Jogos!A:BN,63,0)</f>
        <v>2.185</v>
      </c>
      <c r="BF1853" s="9">
        <f>VLOOKUP(A1853,Jogos!A:BN,64,0)</f>
        <v>24.345</v>
      </c>
      <c r="BG1853" s="9">
        <f>VLOOKUP(A1853,Jogos!A:BN,65,0)</f>
        <v>42.105</v>
      </c>
      <c r="BH1853" s="9">
        <f>VLOOKUP(A1853,Jogos!A:BN,66,0)</f>
        <v>28.255</v>
      </c>
      <c r="BI1853" s="9"/>
      <c r="BJ1853" s="9"/>
    </row>
    <row r="1854" hidden="1">
      <c r="A1854" s="2">
        <v>63.0</v>
      </c>
      <c r="B1854" s="2" t="s">
        <v>1392</v>
      </c>
      <c r="C1854" s="2" t="s">
        <v>1351</v>
      </c>
      <c r="D1854" s="3">
        <v>45851.0</v>
      </c>
      <c r="E1854" s="4">
        <v>0.625</v>
      </c>
      <c r="F1854" s="5" t="str">
        <f>VLOOKUP(A1854,Jogos!A:N,10,0)</f>
        <v>Afternoon</v>
      </c>
      <c r="G1854" s="2" t="s">
        <v>249</v>
      </c>
      <c r="H1854" s="6" t="str">
        <f>VLOOKUP(A1854,Jogos!A:L,12,0)</f>
        <v>Open</v>
      </c>
      <c r="I1854" s="6" t="str">
        <f>VLOOKUP(G1854,'Estádios e Cidades'!A:B,2,0)</f>
        <v>East Rutherford</v>
      </c>
      <c r="J1854" s="2" t="s">
        <v>377</v>
      </c>
      <c r="K1854" s="2" t="str">
        <f>VLOOKUP(J1854,Equipes!A:F,6,0)</f>
        <v>Temperate</v>
      </c>
      <c r="L1854" s="2">
        <f>VLOOKUP(J1854,Equipes!A:C,3,0)</f>
        <v>1</v>
      </c>
      <c r="M1854" s="2" t="str">
        <f t="shared" si="4"/>
        <v>Final</v>
      </c>
      <c r="N1854" s="2" t="s">
        <v>187</v>
      </c>
      <c r="O1854" s="2">
        <f>VLOOKUP(N1854,Equipes!A:C,3,0)</f>
        <v>2</v>
      </c>
      <c r="P1854" s="2" t="str">
        <f t="shared" si="5"/>
        <v>Final</v>
      </c>
      <c r="Q1854" s="2">
        <f t="shared" si="6"/>
        <v>-1</v>
      </c>
      <c r="R1854" s="2" t="str">
        <f>VLOOKUP(J1854,Equipes!A:B,2,0)</f>
        <v>Chelsea</v>
      </c>
      <c r="S1854" s="14" t="s">
        <v>395</v>
      </c>
      <c r="T1854" s="7">
        <v>25.0</v>
      </c>
      <c r="U1854" s="7" t="s">
        <v>396</v>
      </c>
      <c r="V1854" s="7" t="str">
        <f>VLOOKUP(U1854,Jogadores!B:C,2,0)</f>
        <v>MF</v>
      </c>
      <c r="W1854" s="8">
        <f>VLOOKUP(U1854,Jogadores!B:D,3,0)</f>
        <v>23.75068493</v>
      </c>
      <c r="X1854" s="7">
        <v>0.0</v>
      </c>
      <c r="Y1854" s="7">
        <f t="shared" ref="Y1854:Y1859" si="5817">45+AB1854</f>
        <v>95</v>
      </c>
      <c r="Z1854" s="7">
        <f>VLOOKUP(A1854,Jogos!A:L,3,0)</f>
        <v>51</v>
      </c>
      <c r="AA1854" s="7">
        <f t="shared" si="4815"/>
        <v>51</v>
      </c>
      <c r="AB1854" s="7">
        <f>VLOOKUP(A1854,Jogos!A:L,4,0)</f>
        <v>50</v>
      </c>
      <c r="AC1854" s="7">
        <f t="shared" si="5062"/>
        <v>50</v>
      </c>
      <c r="AD1854" s="7"/>
      <c r="AE1854" s="7"/>
      <c r="AF1854" s="7">
        <f t="shared" si="4566"/>
        <v>101</v>
      </c>
      <c r="AG1854" s="7">
        <v>10132.2</v>
      </c>
      <c r="AH1854" s="7">
        <v>4226.6</v>
      </c>
      <c r="AI1854" s="7">
        <v>4131.1</v>
      </c>
      <c r="AJ1854" s="7">
        <v>1230.9</v>
      </c>
      <c r="AK1854" s="7">
        <v>412.4</v>
      </c>
      <c r="AL1854" s="7">
        <v>131.3</v>
      </c>
      <c r="AM1854" s="7">
        <v>104.0</v>
      </c>
      <c r="AN1854" s="7">
        <v>39.0</v>
      </c>
      <c r="AO1854" s="7">
        <v>30.1</v>
      </c>
      <c r="AP1854" s="9">
        <f t="shared" ref="AP1854:AR1854" si="5814">AG1854/$AF1854</f>
        <v>100.3188119</v>
      </c>
      <c r="AQ1854" s="9">
        <f t="shared" si="5814"/>
        <v>41.84752475</v>
      </c>
      <c r="AR1854" s="9">
        <f t="shared" si="5814"/>
        <v>40.9019802</v>
      </c>
      <c r="AS1854" s="9">
        <f t="shared" si="4568"/>
        <v>82.74950495</v>
      </c>
      <c r="AT1854" s="9">
        <f t="shared" ref="AT1854:AV1854" si="5815">AJ1854/$AF1854</f>
        <v>12.18712871</v>
      </c>
      <c r="AU1854" s="9">
        <f t="shared" si="5815"/>
        <v>4.083168317</v>
      </c>
      <c r="AV1854" s="9">
        <f t="shared" si="5815"/>
        <v>1.3</v>
      </c>
      <c r="AW1854" s="9">
        <f t="shared" si="4570"/>
        <v>5.383168317</v>
      </c>
      <c r="AX1854" s="9">
        <f t="shared" ref="AX1854:AY1854" si="5816">AM1854/$AF1854</f>
        <v>1.02970297</v>
      </c>
      <c r="AY1854" s="9">
        <f t="shared" si="5816"/>
        <v>0.3861386139</v>
      </c>
      <c r="AZ1854" s="9">
        <f>VLOOKUP(A1854,Jogos!A:BN,58,0)</f>
        <v>27.945</v>
      </c>
      <c r="BA1854" s="9">
        <f>VLOOKUP(A1854,Jogos!A:BN,59,0)</f>
        <v>22.19</v>
      </c>
      <c r="BB1854" s="9">
        <f>VLOOKUP(A1854,Jogos!A:BN,60,0)</f>
        <v>70.5</v>
      </c>
      <c r="BC1854" s="9">
        <f>VLOOKUP(A1854,Jogos!A:BN,61,0)</f>
        <v>27.13</v>
      </c>
      <c r="BD1854" s="9">
        <f>VLOOKUP(A1854,Jogos!A:BN,62,0)</f>
        <v>436.1</v>
      </c>
      <c r="BE1854" s="9">
        <f>VLOOKUP(A1854,Jogos!A:BN,63,0)</f>
        <v>2.185</v>
      </c>
      <c r="BF1854" s="9">
        <f>VLOOKUP(A1854,Jogos!A:BN,64,0)</f>
        <v>24.345</v>
      </c>
      <c r="BG1854" s="9">
        <f>VLOOKUP(A1854,Jogos!A:BN,65,0)</f>
        <v>42.105</v>
      </c>
      <c r="BH1854" s="9">
        <f>VLOOKUP(A1854,Jogos!A:BN,66,0)</f>
        <v>28.255</v>
      </c>
      <c r="BI1854" s="9"/>
      <c r="BJ1854" s="9"/>
    </row>
    <row r="1855" hidden="1">
      <c r="A1855" s="2">
        <v>63.0</v>
      </c>
      <c r="B1855" s="2" t="s">
        <v>1392</v>
      </c>
      <c r="C1855" s="2" t="s">
        <v>1351</v>
      </c>
      <c r="D1855" s="3">
        <v>45851.0</v>
      </c>
      <c r="E1855" s="4">
        <v>0.625</v>
      </c>
      <c r="F1855" s="5" t="str">
        <f>VLOOKUP(A1855,Jogos!A:N,10,0)</f>
        <v>Afternoon</v>
      </c>
      <c r="G1855" s="2" t="s">
        <v>249</v>
      </c>
      <c r="H1855" s="6" t="str">
        <f>VLOOKUP(A1855,Jogos!A:L,12,0)</f>
        <v>Open</v>
      </c>
      <c r="I1855" s="6" t="str">
        <f>VLOOKUP(G1855,'Estádios e Cidades'!A:B,2,0)</f>
        <v>East Rutherford</v>
      </c>
      <c r="J1855" s="2" t="s">
        <v>377</v>
      </c>
      <c r="K1855" s="2" t="str">
        <f>VLOOKUP(J1855,Equipes!A:F,6,0)</f>
        <v>Temperate</v>
      </c>
      <c r="L1855" s="2">
        <f>VLOOKUP(J1855,Equipes!A:C,3,0)</f>
        <v>1</v>
      </c>
      <c r="M1855" s="2" t="str">
        <f t="shared" si="4"/>
        <v>Final</v>
      </c>
      <c r="N1855" s="2" t="s">
        <v>187</v>
      </c>
      <c r="O1855" s="2">
        <f>VLOOKUP(N1855,Equipes!A:C,3,0)</f>
        <v>2</v>
      </c>
      <c r="P1855" s="2" t="str">
        <f t="shared" si="5"/>
        <v>Final</v>
      </c>
      <c r="Q1855" s="2">
        <f t="shared" si="6"/>
        <v>-1</v>
      </c>
      <c r="R1855" s="2" t="str">
        <f>VLOOKUP(J1855,Equipes!A:B,2,0)</f>
        <v>Chelsea</v>
      </c>
      <c r="S1855" s="14" t="s">
        <v>407</v>
      </c>
      <c r="T1855" s="7">
        <v>27.0</v>
      </c>
      <c r="U1855" s="7" t="s">
        <v>408</v>
      </c>
      <c r="V1855" s="7" t="str">
        <f>VLOOKUP(U1855,Jogadores!B:C,2,0)</f>
        <v>DF</v>
      </c>
      <c r="W1855" s="8">
        <f>VLOOKUP(U1855,Jogadores!B:D,3,0)</f>
        <v>22.20821918</v>
      </c>
      <c r="X1855" s="7">
        <v>0.0</v>
      </c>
      <c r="Y1855" s="7">
        <f t="shared" si="5817"/>
        <v>95</v>
      </c>
      <c r="Z1855" s="7">
        <f>VLOOKUP(A1855,Jogos!A:L,3,0)</f>
        <v>51</v>
      </c>
      <c r="AA1855" s="7">
        <f t="shared" si="4815"/>
        <v>51</v>
      </c>
      <c r="AB1855" s="7">
        <f>VLOOKUP(A1855,Jogos!A:L,4,0)</f>
        <v>50</v>
      </c>
      <c r="AC1855" s="7">
        <f t="shared" si="5062"/>
        <v>50</v>
      </c>
      <c r="AD1855" s="7"/>
      <c r="AE1855" s="7"/>
      <c r="AF1855" s="7">
        <f t="shared" si="4566"/>
        <v>101</v>
      </c>
      <c r="AG1855" s="7">
        <v>10961.1</v>
      </c>
      <c r="AH1855" s="7">
        <v>3999.1</v>
      </c>
      <c r="AI1855" s="7">
        <v>4556.9</v>
      </c>
      <c r="AJ1855" s="7">
        <v>1255.7</v>
      </c>
      <c r="AK1855" s="7">
        <v>694.6</v>
      </c>
      <c r="AL1855" s="7">
        <v>454.8</v>
      </c>
      <c r="AM1855" s="7">
        <v>110.0</v>
      </c>
      <c r="AN1855" s="7">
        <v>57.0</v>
      </c>
      <c r="AO1855" s="7">
        <v>34.8</v>
      </c>
      <c r="AP1855" s="9">
        <f t="shared" ref="AP1855:AR1855" si="5818">AG1855/$AF1855</f>
        <v>108.5257426</v>
      </c>
      <c r="AQ1855" s="9">
        <f t="shared" si="5818"/>
        <v>39.5950495</v>
      </c>
      <c r="AR1855" s="9">
        <f t="shared" si="5818"/>
        <v>45.11782178</v>
      </c>
      <c r="AS1855" s="9">
        <f t="shared" si="4568"/>
        <v>84.71287129</v>
      </c>
      <c r="AT1855" s="9">
        <f t="shared" ref="AT1855:AV1855" si="5819">AJ1855/$AF1855</f>
        <v>12.43267327</v>
      </c>
      <c r="AU1855" s="9">
        <f t="shared" si="5819"/>
        <v>6.877227723</v>
      </c>
      <c r="AV1855" s="9">
        <f t="shared" si="5819"/>
        <v>4.502970297</v>
      </c>
      <c r="AW1855" s="9">
        <f t="shared" si="4570"/>
        <v>11.38019802</v>
      </c>
      <c r="AX1855" s="9">
        <f t="shared" ref="AX1855:AY1855" si="5820">AM1855/$AF1855</f>
        <v>1.089108911</v>
      </c>
      <c r="AY1855" s="9">
        <f t="shared" si="5820"/>
        <v>0.5643564356</v>
      </c>
      <c r="AZ1855" s="9">
        <f>VLOOKUP(A1855,Jogos!A:BN,58,0)</f>
        <v>27.945</v>
      </c>
      <c r="BA1855" s="9">
        <f>VLOOKUP(A1855,Jogos!A:BN,59,0)</f>
        <v>22.19</v>
      </c>
      <c r="BB1855" s="9">
        <f>VLOOKUP(A1855,Jogos!A:BN,60,0)</f>
        <v>70.5</v>
      </c>
      <c r="BC1855" s="9">
        <f>VLOOKUP(A1855,Jogos!A:BN,61,0)</f>
        <v>27.13</v>
      </c>
      <c r="BD1855" s="9">
        <f>VLOOKUP(A1855,Jogos!A:BN,62,0)</f>
        <v>436.1</v>
      </c>
      <c r="BE1855" s="9">
        <f>VLOOKUP(A1855,Jogos!A:BN,63,0)</f>
        <v>2.185</v>
      </c>
      <c r="BF1855" s="9">
        <f>VLOOKUP(A1855,Jogos!A:BN,64,0)</f>
        <v>24.345</v>
      </c>
      <c r="BG1855" s="9">
        <f>VLOOKUP(A1855,Jogos!A:BN,65,0)</f>
        <v>42.105</v>
      </c>
      <c r="BH1855" s="9">
        <f>VLOOKUP(A1855,Jogos!A:BN,66,0)</f>
        <v>28.255</v>
      </c>
      <c r="BI1855" s="9"/>
      <c r="BJ1855" s="9"/>
    </row>
    <row r="1856" hidden="1">
      <c r="A1856" s="2">
        <v>63.0</v>
      </c>
      <c r="B1856" s="2" t="s">
        <v>1392</v>
      </c>
      <c r="C1856" s="2" t="s">
        <v>1351</v>
      </c>
      <c r="D1856" s="3">
        <v>45851.0</v>
      </c>
      <c r="E1856" s="4">
        <v>0.625</v>
      </c>
      <c r="F1856" s="5" t="str">
        <f>VLOOKUP(A1856,Jogos!A:N,10,0)</f>
        <v>Afternoon</v>
      </c>
      <c r="G1856" s="2" t="s">
        <v>249</v>
      </c>
      <c r="H1856" s="6" t="str">
        <f>VLOOKUP(A1856,Jogos!A:L,12,0)</f>
        <v>Open</v>
      </c>
      <c r="I1856" s="6" t="str">
        <f>VLOOKUP(G1856,'Estádios e Cidades'!A:B,2,0)</f>
        <v>East Rutherford</v>
      </c>
      <c r="J1856" s="2" t="s">
        <v>377</v>
      </c>
      <c r="K1856" s="2" t="str">
        <f>VLOOKUP(J1856,Equipes!A:F,6,0)</f>
        <v>Temperate</v>
      </c>
      <c r="L1856" s="2">
        <f>VLOOKUP(J1856,Equipes!A:C,3,0)</f>
        <v>1</v>
      </c>
      <c r="M1856" s="2" t="str">
        <f t="shared" si="4"/>
        <v>Final</v>
      </c>
      <c r="N1856" s="2" t="s">
        <v>187</v>
      </c>
      <c r="O1856" s="2">
        <f>VLOOKUP(N1856,Equipes!A:C,3,0)</f>
        <v>2</v>
      </c>
      <c r="P1856" s="2" t="str">
        <f t="shared" si="5"/>
        <v>Final</v>
      </c>
      <c r="Q1856" s="2">
        <f t="shared" si="6"/>
        <v>-1</v>
      </c>
      <c r="R1856" s="2" t="str">
        <f>VLOOKUP(J1856,Equipes!A:B,2,0)</f>
        <v>Chelsea</v>
      </c>
      <c r="S1856" s="14" t="s">
        <v>401</v>
      </c>
      <c r="T1856" s="7">
        <v>9.0</v>
      </c>
      <c r="U1856" s="7" t="s">
        <v>402</v>
      </c>
      <c r="V1856" s="7" t="str">
        <f>VLOOKUP(U1856,Jogadores!B:C,2,0)</f>
        <v>FW</v>
      </c>
      <c r="W1856" s="8">
        <f>VLOOKUP(U1856,Jogadores!B:D,3,0)</f>
        <v>22.48219178</v>
      </c>
      <c r="X1856" s="7">
        <v>67.0</v>
      </c>
      <c r="Y1856" s="7">
        <f t="shared" si="5817"/>
        <v>95</v>
      </c>
      <c r="Z1856" s="7">
        <f>VLOOKUP(A1856,Jogos!A:L,3,0)</f>
        <v>51</v>
      </c>
      <c r="AA1856" s="7">
        <f t="shared" si="4815"/>
        <v>0</v>
      </c>
      <c r="AB1856" s="7">
        <f>VLOOKUP(A1856,Jogos!A:L,4,0)</f>
        <v>50</v>
      </c>
      <c r="AC1856" s="7">
        <f t="shared" si="5062"/>
        <v>28</v>
      </c>
      <c r="AD1856" s="7"/>
      <c r="AE1856" s="7"/>
      <c r="AF1856" s="7">
        <f t="shared" si="4566"/>
        <v>28</v>
      </c>
      <c r="AG1856" s="7">
        <v>2699.1</v>
      </c>
      <c r="AH1856" s="7">
        <v>1159.8</v>
      </c>
      <c r="AI1856" s="7">
        <v>869.8</v>
      </c>
      <c r="AJ1856" s="7">
        <v>354.6</v>
      </c>
      <c r="AK1856" s="7">
        <v>214.2</v>
      </c>
      <c r="AL1856" s="7">
        <v>100.8</v>
      </c>
      <c r="AM1856" s="7">
        <v>28.0</v>
      </c>
      <c r="AN1856" s="7">
        <v>15.0</v>
      </c>
      <c r="AO1856" s="7">
        <v>31.5</v>
      </c>
      <c r="AP1856" s="9">
        <f t="shared" ref="AP1856:AR1856" si="5821">AG1856/$AF1856</f>
        <v>96.39642857</v>
      </c>
      <c r="AQ1856" s="9">
        <f t="shared" si="5821"/>
        <v>41.42142857</v>
      </c>
      <c r="AR1856" s="9">
        <f t="shared" si="5821"/>
        <v>31.06428571</v>
      </c>
      <c r="AS1856" s="9">
        <f t="shared" si="4568"/>
        <v>72.48571429</v>
      </c>
      <c r="AT1856" s="9">
        <f t="shared" ref="AT1856:AV1856" si="5822">AJ1856/$AF1856</f>
        <v>12.66428571</v>
      </c>
      <c r="AU1856" s="9">
        <f t="shared" si="5822"/>
        <v>7.65</v>
      </c>
      <c r="AV1856" s="9">
        <f t="shared" si="5822"/>
        <v>3.6</v>
      </c>
      <c r="AW1856" s="9">
        <f t="shared" si="4570"/>
        <v>11.25</v>
      </c>
      <c r="AX1856" s="9">
        <f t="shared" ref="AX1856:AY1856" si="5823">AM1856/$AF1856</f>
        <v>1</v>
      </c>
      <c r="AY1856" s="9">
        <f t="shared" si="5823"/>
        <v>0.5357142857</v>
      </c>
      <c r="AZ1856" s="9">
        <f>VLOOKUP(A1856,Jogos!A:BN,58,0)</f>
        <v>27.945</v>
      </c>
      <c r="BA1856" s="9">
        <f>VLOOKUP(A1856,Jogos!A:BN,59,0)</f>
        <v>22.19</v>
      </c>
      <c r="BB1856" s="9">
        <f>VLOOKUP(A1856,Jogos!A:BN,60,0)</f>
        <v>70.5</v>
      </c>
      <c r="BC1856" s="9">
        <f>VLOOKUP(A1856,Jogos!A:BN,61,0)</f>
        <v>27.13</v>
      </c>
      <c r="BD1856" s="9">
        <f>VLOOKUP(A1856,Jogos!A:BN,62,0)</f>
        <v>436.1</v>
      </c>
      <c r="BE1856" s="9">
        <f>VLOOKUP(A1856,Jogos!A:BN,63,0)</f>
        <v>2.185</v>
      </c>
      <c r="BF1856" s="9">
        <f>VLOOKUP(A1856,Jogos!A:BN,64,0)</f>
        <v>24.345</v>
      </c>
      <c r="BG1856" s="9">
        <f>VLOOKUP(A1856,Jogos!A:BN,65,0)</f>
        <v>42.105</v>
      </c>
      <c r="BH1856" s="9">
        <f>VLOOKUP(A1856,Jogos!A:BN,66,0)</f>
        <v>28.255</v>
      </c>
      <c r="BI1856" s="9"/>
      <c r="BJ1856" s="9"/>
    </row>
    <row r="1857" hidden="1">
      <c r="A1857" s="2">
        <v>63.0</v>
      </c>
      <c r="B1857" s="2" t="s">
        <v>1392</v>
      </c>
      <c r="C1857" s="2" t="s">
        <v>1351</v>
      </c>
      <c r="D1857" s="3">
        <v>45851.0</v>
      </c>
      <c r="E1857" s="4">
        <v>0.625</v>
      </c>
      <c r="F1857" s="5" t="str">
        <f>VLOOKUP(A1857,Jogos!A:N,10,0)</f>
        <v>Afternoon</v>
      </c>
      <c r="G1857" s="2" t="s">
        <v>249</v>
      </c>
      <c r="H1857" s="6" t="str">
        <f>VLOOKUP(A1857,Jogos!A:L,12,0)</f>
        <v>Open</v>
      </c>
      <c r="I1857" s="6" t="str">
        <f>VLOOKUP(G1857,'Estádios e Cidades'!A:B,2,0)</f>
        <v>East Rutherford</v>
      </c>
      <c r="J1857" s="2" t="s">
        <v>377</v>
      </c>
      <c r="K1857" s="2" t="str">
        <f>VLOOKUP(J1857,Equipes!A:F,6,0)</f>
        <v>Temperate</v>
      </c>
      <c r="L1857" s="2">
        <f>VLOOKUP(J1857,Equipes!A:C,3,0)</f>
        <v>1</v>
      </c>
      <c r="M1857" s="2" t="str">
        <f t="shared" si="4"/>
        <v>Final</v>
      </c>
      <c r="N1857" s="2" t="s">
        <v>187</v>
      </c>
      <c r="O1857" s="2">
        <f>VLOOKUP(N1857,Equipes!A:C,3,0)</f>
        <v>2</v>
      </c>
      <c r="P1857" s="2" t="str">
        <f t="shared" si="5"/>
        <v>Final</v>
      </c>
      <c r="Q1857" s="2">
        <f t="shared" si="6"/>
        <v>-1</v>
      </c>
      <c r="R1857" s="2" t="str">
        <f>VLOOKUP(J1857,Equipes!A:B,2,0)</f>
        <v>Chelsea</v>
      </c>
      <c r="S1857" s="14" t="s">
        <v>1289</v>
      </c>
      <c r="T1857" s="7">
        <v>17.0</v>
      </c>
      <c r="U1857" s="7" t="s">
        <v>1290</v>
      </c>
      <c r="V1857" s="7" t="str">
        <f>VLOOKUP(U1857,Jogadores!B:C,2,0)</f>
        <v>MF</v>
      </c>
      <c r="W1857" s="8">
        <f>VLOOKUP(U1857,Jogadores!B:D,3,0)</f>
        <v>21.24931507</v>
      </c>
      <c r="X1857" s="7">
        <v>61.0</v>
      </c>
      <c r="Y1857" s="7">
        <f t="shared" si="5817"/>
        <v>95</v>
      </c>
      <c r="Z1857" s="7">
        <f>VLOOKUP(A1857,Jogos!A:L,3,0)</f>
        <v>51</v>
      </c>
      <c r="AA1857" s="7">
        <f t="shared" si="4815"/>
        <v>0</v>
      </c>
      <c r="AB1857" s="7">
        <f>VLOOKUP(A1857,Jogos!A:L,4,0)</f>
        <v>50</v>
      </c>
      <c r="AC1857" s="7">
        <f t="shared" si="5062"/>
        <v>34</v>
      </c>
      <c r="AD1857" s="7"/>
      <c r="AE1857" s="7"/>
      <c r="AF1857" s="7">
        <f t="shared" si="4566"/>
        <v>34</v>
      </c>
      <c r="AG1857" s="7">
        <v>3673.4</v>
      </c>
      <c r="AH1857" s="7">
        <v>1356.3</v>
      </c>
      <c r="AI1857" s="7">
        <v>1168.2</v>
      </c>
      <c r="AJ1857" s="7">
        <v>637.8</v>
      </c>
      <c r="AK1857" s="7">
        <v>378.8</v>
      </c>
      <c r="AL1857" s="7">
        <v>132.3</v>
      </c>
      <c r="AM1857" s="7">
        <v>56.0</v>
      </c>
      <c r="AN1857" s="7">
        <v>22.0</v>
      </c>
      <c r="AO1857" s="7">
        <v>28.3</v>
      </c>
      <c r="AP1857" s="9">
        <f t="shared" ref="AP1857:AR1857" si="5824">AG1857/$AF1857</f>
        <v>108.0411765</v>
      </c>
      <c r="AQ1857" s="9">
        <f t="shared" si="5824"/>
        <v>39.89117647</v>
      </c>
      <c r="AR1857" s="9">
        <f t="shared" si="5824"/>
        <v>34.35882353</v>
      </c>
      <c r="AS1857" s="9">
        <f t="shared" si="4568"/>
        <v>74.25</v>
      </c>
      <c r="AT1857" s="9">
        <f t="shared" ref="AT1857:AV1857" si="5825">AJ1857/$AF1857</f>
        <v>18.75882353</v>
      </c>
      <c r="AU1857" s="9">
        <f t="shared" si="5825"/>
        <v>11.14117647</v>
      </c>
      <c r="AV1857" s="9">
        <f t="shared" si="5825"/>
        <v>3.891176471</v>
      </c>
      <c r="AW1857" s="9">
        <f t="shared" si="4570"/>
        <v>15.03235294</v>
      </c>
      <c r="AX1857" s="9">
        <f t="shared" ref="AX1857:AY1857" si="5826">AM1857/$AF1857</f>
        <v>1.647058824</v>
      </c>
      <c r="AY1857" s="9">
        <f t="shared" si="5826"/>
        <v>0.6470588235</v>
      </c>
      <c r="AZ1857" s="9">
        <f>VLOOKUP(A1857,Jogos!A:BN,58,0)</f>
        <v>27.945</v>
      </c>
      <c r="BA1857" s="9">
        <f>VLOOKUP(A1857,Jogos!A:BN,59,0)</f>
        <v>22.19</v>
      </c>
      <c r="BB1857" s="9">
        <f>VLOOKUP(A1857,Jogos!A:BN,60,0)</f>
        <v>70.5</v>
      </c>
      <c r="BC1857" s="9">
        <f>VLOOKUP(A1857,Jogos!A:BN,61,0)</f>
        <v>27.13</v>
      </c>
      <c r="BD1857" s="9">
        <f>VLOOKUP(A1857,Jogos!A:BN,62,0)</f>
        <v>436.1</v>
      </c>
      <c r="BE1857" s="9">
        <f>VLOOKUP(A1857,Jogos!A:BN,63,0)</f>
        <v>2.185</v>
      </c>
      <c r="BF1857" s="9">
        <f>VLOOKUP(A1857,Jogos!A:BN,64,0)</f>
        <v>24.345</v>
      </c>
      <c r="BG1857" s="9">
        <f>VLOOKUP(A1857,Jogos!A:BN,65,0)</f>
        <v>42.105</v>
      </c>
      <c r="BH1857" s="9">
        <f>VLOOKUP(A1857,Jogos!A:BN,66,0)</f>
        <v>28.255</v>
      </c>
      <c r="BI1857" s="9"/>
      <c r="BJ1857" s="9"/>
    </row>
    <row r="1858" hidden="1">
      <c r="A1858" s="2">
        <v>63.0</v>
      </c>
      <c r="B1858" s="2" t="s">
        <v>1392</v>
      </c>
      <c r="C1858" s="2" t="s">
        <v>1351</v>
      </c>
      <c r="D1858" s="3">
        <v>45851.0</v>
      </c>
      <c r="E1858" s="4">
        <v>0.625</v>
      </c>
      <c r="F1858" s="5" t="str">
        <f>VLOOKUP(A1858,Jogos!A:N,10,0)</f>
        <v>Afternoon</v>
      </c>
      <c r="G1858" s="2" t="s">
        <v>249</v>
      </c>
      <c r="H1858" s="6" t="str">
        <f>VLOOKUP(A1858,Jogos!A:L,12,0)</f>
        <v>Open</v>
      </c>
      <c r="I1858" s="6" t="str">
        <f>VLOOKUP(G1858,'Estádios e Cidades'!A:B,2,0)</f>
        <v>East Rutherford</v>
      </c>
      <c r="J1858" s="2" t="s">
        <v>377</v>
      </c>
      <c r="K1858" s="2" t="str">
        <f>VLOOKUP(J1858,Equipes!A:F,6,0)</f>
        <v>Temperate</v>
      </c>
      <c r="L1858" s="2">
        <f>VLOOKUP(J1858,Equipes!A:C,3,0)</f>
        <v>1</v>
      </c>
      <c r="M1858" s="2" t="str">
        <f t="shared" si="4"/>
        <v>Final</v>
      </c>
      <c r="N1858" s="2" t="s">
        <v>187</v>
      </c>
      <c r="O1858" s="2">
        <f>VLOOKUP(N1858,Equipes!A:C,3,0)</f>
        <v>2</v>
      </c>
      <c r="P1858" s="2" t="str">
        <f t="shared" si="5"/>
        <v>Final</v>
      </c>
      <c r="Q1858" s="2">
        <f t="shared" si="6"/>
        <v>-1</v>
      </c>
      <c r="R1858" s="2" t="str">
        <f>VLOOKUP(J1858,Equipes!A:B,2,0)</f>
        <v>Chelsea</v>
      </c>
      <c r="S1858" s="14" t="s">
        <v>405</v>
      </c>
      <c r="T1858" s="7">
        <v>18.0</v>
      </c>
      <c r="U1858" s="7" t="s">
        <v>406</v>
      </c>
      <c r="V1858" s="7" t="str">
        <f>VLOOKUP(U1858,Jogadores!B:C,2,0)</f>
        <v>FW</v>
      </c>
      <c r="W1858" s="8">
        <f>VLOOKUP(U1858,Jogadores!B:D,3,0)</f>
        <v>27.72054795</v>
      </c>
      <c r="X1858" s="7">
        <v>78.0</v>
      </c>
      <c r="Y1858" s="7">
        <f t="shared" si="5817"/>
        <v>95</v>
      </c>
      <c r="Z1858" s="7">
        <f>VLOOKUP(A1858,Jogos!A:L,3,0)</f>
        <v>51</v>
      </c>
      <c r="AA1858" s="7">
        <f t="shared" si="4815"/>
        <v>0</v>
      </c>
      <c r="AB1858" s="7">
        <f>VLOOKUP(A1858,Jogos!A:L,4,0)</f>
        <v>50</v>
      </c>
      <c r="AC1858" s="7">
        <f t="shared" si="5062"/>
        <v>17</v>
      </c>
      <c r="AD1858" s="7"/>
      <c r="AE1858" s="7"/>
      <c r="AF1858" s="7">
        <f t="shared" si="4566"/>
        <v>17</v>
      </c>
      <c r="AG1858" s="7">
        <v>2069.6</v>
      </c>
      <c r="AH1858" s="7">
        <v>671.0</v>
      </c>
      <c r="AI1858" s="7">
        <v>796.4</v>
      </c>
      <c r="AJ1858" s="7">
        <v>393.6</v>
      </c>
      <c r="AK1858" s="7">
        <v>136.4</v>
      </c>
      <c r="AL1858" s="7">
        <v>72.1</v>
      </c>
      <c r="AM1858" s="7">
        <v>35.0</v>
      </c>
      <c r="AN1858" s="7">
        <v>10.0</v>
      </c>
      <c r="AO1858" s="7">
        <v>29.0</v>
      </c>
      <c r="AP1858" s="9">
        <f t="shared" ref="AP1858:AR1858" si="5827">AG1858/$AF1858</f>
        <v>121.7411765</v>
      </c>
      <c r="AQ1858" s="9">
        <f t="shared" si="5827"/>
        <v>39.47058824</v>
      </c>
      <c r="AR1858" s="9">
        <f t="shared" si="5827"/>
        <v>46.84705882</v>
      </c>
      <c r="AS1858" s="9">
        <f t="shared" si="4568"/>
        <v>86.31764706</v>
      </c>
      <c r="AT1858" s="9">
        <f t="shared" ref="AT1858:AV1858" si="5828">AJ1858/$AF1858</f>
        <v>23.15294118</v>
      </c>
      <c r="AU1858" s="9">
        <f t="shared" si="5828"/>
        <v>8.023529412</v>
      </c>
      <c r="AV1858" s="9">
        <f t="shared" si="5828"/>
        <v>4.241176471</v>
      </c>
      <c r="AW1858" s="9">
        <f t="shared" si="4570"/>
        <v>12.26470588</v>
      </c>
      <c r="AX1858" s="9">
        <f t="shared" ref="AX1858:AY1858" si="5829">AM1858/$AF1858</f>
        <v>2.058823529</v>
      </c>
      <c r="AY1858" s="9">
        <f t="shared" si="5829"/>
        <v>0.5882352941</v>
      </c>
      <c r="AZ1858" s="9">
        <f>VLOOKUP(A1858,Jogos!A:BN,58,0)</f>
        <v>27.945</v>
      </c>
      <c r="BA1858" s="9">
        <f>VLOOKUP(A1858,Jogos!A:BN,59,0)</f>
        <v>22.19</v>
      </c>
      <c r="BB1858" s="9">
        <f>VLOOKUP(A1858,Jogos!A:BN,60,0)</f>
        <v>70.5</v>
      </c>
      <c r="BC1858" s="9">
        <f>VLOOKUP(A1858,Jogos!A:BN,61,0)</f>
        <v>27.13</v>
      </c>
      <c r="BD1858" s="9">
        <f>VLOOKUP(A1858,Jogos!A:BN,62,0)</f>
        <v>436.1</v>
      </c>
      <c r="BE1858" s="9">
        <f>VLOOKUP(A1858,Jogos!A:BN,63,0)</f>
        <v>2.185</v>
      </c>
      <c r="BF1858" s="9">
        <f>VLOOKUP(A1858,Jogos!A:BN,64,0)</f>
        <v>24.345</v>
      </c>
      <c r="BG1858" s="9">
        <f>VLOOKUP(A1858,Jogos!A:BN,65,0)</f>
        <v>42.105</v>
      </c>
      <c r="BH1858" s="9">
        <f>VLOOKUP(A1858,Jogos!A:BN,66,0)</f>
        <v>28.255</v>
      </c>
      <c r="BI1858" s="9"/>
      <c r="BJ1858" s="9"/>
    </row>
    <row r="1859" hidden="1">
      <c r="A1859" s="2">
        <v>63.0</v>
      </c>
      <c r="B1859" s="2" t="s">
        <v>1392</v>
      </c>
      <c r="C1859" s="2" t="s">
        <v>1351</v>
      </c>
      <c r="D1859" s="3">
        <v>45851.0</v>
      </c>
      <c r="E1859" s="4">
        <v>0.625</v>
      </c>
      <c r="F1859" s="5" t="str">
        <f>VLOOKUP(A1859,Jogos!A:N,10,0)</f>
        <v>Afternoon</v>
      </c>
      <c r="G1859" s="2" t="s">
        <v>249</v>
      </c>
      <c r="H1859" s="6" t="str">
        <f>VLOOKUP(A1859,Jogos!A:L,12,0)</f>
        <v>Open</v>
      </c>
      <c r="I1859" s="6" t="str">
        <f>VLOOKUP(G1859,'Estádios e Cidades'!A:B,2,0)</f>
        <v>East Rutherford</v>
      </c>
      <c r="J1859" s="2" t="s">
        <v>377</v>
      </c>
      <c r="K1859" s="2" t="str">
        <f>VLOOKUP(J1859,Equipes!A:F,6,0)</f>
        <v>Temperate</v>
      </c>
      <c r="L1859" s="2">
        <f>VLOOKUP(J1859,Equipes!A:C,3,0)</f>
        <v>1</v>
      </c>
      <c r="M1859" s="2" t="str">
        <f t="shared" si="4"/>
        <v>Final</v>
      </c>
      <c r="N1859" s="2" t="s">
        <v>187</v>
      </c>
      <c r="O1859" s="2">
        <f>VLOOKUP(N1859,Equipes!A:C,3,0)</f>
        <v>2</v>
      </c>
      <c r="P1859" s="2" t="str">
        <f t="shared" si="5"/>
        <v>Final</v>
      </c>
      <c r="Q1859" s="2">
        <f t="shared" si="6"/>
        <v>-1</v>
      </c>
      <c r="R1859" s="2" t="str">
        <f>VLOOKUP(J1859,Equipes!A:B,2,0)</f>
        <v>Chelsea</v>
      </c>
      <c r="S1859" s="14" t="s">
        <v>1285</v>
      </c>
      <c r="T1859" s="7">
        <v>22.0</v>
      </c>
      <c r="U1859" s="7" t="s">
        <v>1286</v>
      </c>
      <c r="V1859" s="7" t="str">
        <f>VLOOKUP(U1859,Jogadores!B:C,2,0)</f>
        <v>MF</v>
      </c>
      <c r="W1859" s="8">
        <f>VLOOKUP(U1859,Jogadores!B:D,3,0)</f>
        <v>26.90958904</v>
      </c>
      <c r="X1859" s="7">
        <v>77.0</v>
      </c>
      <c r="Y1859" s="7">
        <f t="shared" si="5817"/>
        <v>95</v>
      </c>
      <c r="Z1859" s="7">
        <f>VLOOKUP(A1859,Jogos!A:L,3,0)</f>
        <v>51</v>
      </c>
      <c r="AA1859" s="7">
        <f t="shared" si="4815"/>
        <v>0</v>
      </c>
      <c r="AB1859" s="7">
        <f>VLOOKUP(A1859,Jogos!A:L,4,0)</f>
        <v>50</v>
      </c>
      <c r="AC1859" s="7">
        <f t="shared" si="5062"/>
        <v>18</v>
      </c>
      <c r="AD1859" s="7"/>
      <c r="AE1859" s="7"/>
      <c r="AF1859" s="7">
        <f t="shared" si="4566"/>
        <v>18</v>
      </c>
      <c r="AG1859" s="7">
        <v>2088.2</v>
      </c>
      <c r="AH1859" s="7">
        <v>866.7</v>
      </c>
      <c r="AI1859" s="7">
        <v>669.2</v>
      </c>
      <c r="AJ1859" s="7">
        <v>326.5</v>
      </c>
      <c r="AK1859" s="7">
        <v>137.6</v>
      </c>
      <c r="AL1859" s="7">
        <v>88.2</v>
      </c>
      <c r="AM1859" s="7">
        <v>28.0</v>
      </c>
      <c r="AN1859" s="7">
        <v>8.0</v>
      </c>
      <c r="AO1859" s="7">
        <v>30.9</v>
      </c>
      <c r="AP1859" s="9">
        <f t="shared" ref="AP1859:AR1859" si="5830">AG1859/$AF1859</f>
        <v>116.0111111</v>
      </c>
      <c r="AQ1859" s="9">
        <f t="shared" si="5830"/>
        <v>48.15</v>
      </c>
      <c r="AR1859" s="9">
        <f t="shared" si="5830"/>
        <v>37.17777778</v>
      </c>
      <c r="AS1859" s="9">
        <f t="shared" si="4568"/>
        <v>85.32777778</v>
      </c>
      <c r="AT1859" s="9">
        <f t="shared" ref="AT1859:AV1859" si="5831">AJ1859/$AF1859</f>
        <v>18.13888889</v>
      </c>
      <c r="AU1859" s="9">
        <f t="shared" si="5831"/>
        <v>7.644444444</v>
      </c>
      <c r="AV1859" s="9">
        <f t="shared" si="5831"/>
        <v>4.9</v>
      </c>
      <c r="AW1859" s="9">
        <f t="shared" si="4570"/>
        <v>12.54444444</v>
      </c>
      <c r="AX1859" s="9">
        <f t="shared" ref="AX1859:AY1859" si="5832">AM1859/$AF1859</f>
        <v>1.555555556</v>
      </c>
      <c r="AY1859" s="9">
        <f t="shared" si="5832"/>
        <v>0.4444444444</v>
      </c>
      <c r="AZ1859" s="9">
        <f>VLOOKUP(A1859,Jogos!A:BN,58,0)</f>
        <v>27.945</v>
      </c>
      <c r="BA1859" s="9">
        <f>VLOOKUP(A1859,Jogos!A:BN,59,0)</f>
        <v>22.19</v>
      </c>
      <c r="BB1859" s="9">
        <f>VLOOKUP(A1859,Jogos!A:BN,60,0)</f>
        <v>70.5</v>
      </c>
      <c r="BC1859" s="9">
        <f>VLOOKUP(A1859,Jogos!A:BN,61,0)</f>
        <v>27.13</v>
      </c>
      <c r="BD1859" s="9">
        <f>VLOOKUP(A1859,Jogos!A:BN,62,0)</f>
        <v>436.1</v>
      </c>
      <c r="BE1859" s="9">
        <f>VLOOKUP(A1859,Jogos!A:BN,63,0)</f>
        <v>2.185</v>
      </c>
      <c r="BF1859" s="9">
        <f>VLOOKUP(A1859,Jogos!A:BN,64,0)</f>
        <v>24.345</v>
      </c>
      <c r="BG1859" s="9">
        <f>VLOOKUP(A1859,Jogos!A:BN,65,0)</f>
        <v>42.105</v>
      </c>
      <c r="BH1859" s="9">
        <f>VLOOKUP(A1859,Jogos!A:BN,66,0)</f>
        <v>28.255</v>
      </c>
      <c r="BI1859" s="9"/>
      <c r="BJ1859" s="9"/>
    </row>
    <row r="1860" hidden="1">
      <c r="A1860" s="2">
        <v>63.0</v>
      </c>
      <c r="B1860" s="2" t="s">
        <v>1392</v>
      </c>
      <c r="C1860" s="2" t="s">
        <v>1351</v>
      </c>
      <c r="D1860" s="3">
        <v>45851.0</v>
      </c>
      <c r="E1860" s="4">
        <v>0.625</v>
      </c>
      <c r="F1860" s="5" t="str">
        <f>VLOOKUP(A1860,Jogos!A:N,10,0)</f>
        <v>Afternoon</v>
      </c>
      <c r="G1860" s="2" t="s">
        <v>249</v>
      </c>
      <c r="H1860" s="6" t="str">
        <f>VLOOKUP(A1860,Jogos!A:L,12,0)</f>
        <v>Open</v>
      </c>
      <c r="I1860" s="6" t="str">
        <f>VLOOKUP(G1860,'Estádios e Cidades'!A:B,2,0)</f>
        <v>East Rutherford</v>
      </c>
      <c r="J1860" s="2" t="s">
        <v>187</v>
      </c>
      <c r="K1860" s="2" t="str">
        <f>VLOOKUP(J1860,Equipes!A:F,6,0)</f>
        <v>Temperate</v>
      </c>
      <c r="L1860" s="2">
        <f>VLOOKUP(J1860,Equipes!A:C,3,0)</f>
        <v>2</v>
      </c>
      <c r="M1860" s="2" t="str">
        <f t="shared" si="4"/>
        <v>Final</v>
      </c>
      <c r="N1860" s="2" t="s">
        <v>377</v>
      </c>
      <c r="O1860" s="2">
        <f>VLOOKUP(N1860,Equipes!A:C,3,0)</f>
        <v>1</v>
      </c>
      <c r="P1860" s="2" t="str">
        <f t="shared" si="5"/>
        <v>Final</v>
      </c>
      <c r="Q1860" s="2">
        <f t="shared" si="6"/>
        <v>1</v>
      </c>
      <c r="R1860" s="2" t="str">
        <f>VLOOKUP(J1860,Equipes!A:B,2,0)</f>
        <v>PSG</v>
      </c>
      <c r="S1860" s="14" t="s">
        <v>189</v>
      </c>
      <c r="T1860" s="7">
        <v>2.0</v>
      </c>
      <c r="U1860" s="7" t="s">
        <v>190</v>
      </c>
      <c r="V1860" s="7" t="str">
        <f>VLOOKUP(U1860,Jogadores!B:C,2,0)</f>
        <v>DF</v>
      </c>
      <c r="W1860" s="8">
        <f>VLOOKUP(U1860,Jogadores!B:D,3,0)</f>
        <v>26.74794521</v>
      </c>
      <c r="X1860" s="7">
        <v>0.0</v>
      </c>
      <c r="Y1860" s="7">
        <v>72.0</v>
      </c>
      <c r="Z1860" s="7">
        <f>VLOOKUP(A1860,Jogos!A:L,3,0)</f>
        <v>51</v>
      </c>
      <c r="AA1860" s="7">
        <f t="shared" si="4815"/>
        <v>51</v>
      </c>
      <c r="AB1860" s="7">
        <f>VLOOKUP(A1860,Jogos!A:L,4,0)</f>
        <v>50</v>
      </c>
      <c r="AC1860" s="7">
        <f t="shared" si="5062"/>
        <v>27</v>
      </c>
      <c r="AD1860" s="7"/>
      <c r="AE1860" s="7"/>
      <c r="AF1860" s="7">
        <f t="shared" si="4566"/>
        <v>78</v>
      </c>
      <c r="AG1860" s="7">
        <v>7982.3</v>
      </c>
      <c r="AH1860" s="7">
        <v>3214.5</v>
      </c>
      <c r="AI1860" s="7">
        <v>3040.8</v>
      </c>
      <c r="AJ1860" s="7">
        <v>996.6</v>
      </c>
      <c r="AK1860" s="7">
        <v>493.9</v>
      </c>
      <c r="AL1860" s="7">
        <v>236.4</v>
      </c>
      <c r="AM1860" s="7">
        <v>89.0</v>
      </c>
      <c r="AN1860" s="7">
        <v>38.0</v>
      </c>
      <c r="AO1860" s="7">
        <v>35.2</v>
      </c>
      <c r="AP1860" s="9">
        <f t="shared" ref="AP1860:AR1860" si="5833">AG1860/$AF1860</f>
        <v>102.3371795</v>
      </c>
      <c r="AQ1860" s="9">
        <f t="shared" si="5833"/>
        <v>41.21153846</v>
      </c>
      <c r="AR1860" s="9">
        <f t="shared" si="5833"/>
        <v>38.98461538</v>
      </c>
      <c r="AS1860" s="9">
        <f t="shared" si="4568"/>
        <v>80.19615385</v>
      </c>
      <c r="AT1860" s="9">
        <f t="shared" ref="AT1860:AV1860" si="5834">AJ1860/$AF1860</f>
        <v>12.77692308</v>
      </c>
      <c r="AU1860" s="9">
        <f t="shared" si="5834"/>
        <v>6.332051282</v>
      </c>
      <c r="AV1860" s="9">
        <f t="shared" si="5834"/>
        <v>3.030769231</v>
      </c>
      <c r="AW1860" s="9">
        <f t="shared" si="4570"/>
        <v>9.362820513</v>
      </c>
      <c r="AX1860" s="9">
        <f t="shared" ref="AX1860:AY1860" si="5835">AM1860/$AF1860</f>
        <v>1.141025641</v>
      </c>
      <c r="AY1860" s="9">
        <f t="shared" si="5835"/>
        <v>0.4871794872</v>
      </c>
      <c r="AZ1860" s="9">
        <f>VLOOKUP(A1860,Jogos!A:BN,58,0)</f>
        <v>27.945</v>
      </c>
      <c r="BA1860" s="9">
        <f>VLOOKUP(A1860,Jogos!A:BN,59,0)</f>
        <v>22.19</v>
      </c>
      <c r="BB1860" s="9">
        <f>VLOOKUP(A1860,Jogos!A:BN,60,0)</f>
        <v>70.5</v>
      </c>
      <c r="BC1860" s="9">
        <f>VLOOKUP(A1860,Jogos!A:BN,61,0)</f>
        <v>27.13</v>
      </c>
      <c r="BD1860" s="9">
        <f>VLOOKUP(A1860,Jogos!A:BN,62,0)</f>
        <v>436.1</v>
      </c>
      <c r="BE1860" s="9">
        <f>VLOOKUP(A1860,Jogos!A:BN,63,0)</f>
        <v>2.185</v>
      </c>
      <c r="BF1860" s="9">
        <f>VLOOKUP(A1860,Jogos!A:BN,64,0)</f>
        <v>24.345</v>
      </c>
      <c r="BG1860" s="9">
        <f>VLOOKUP(A1860,Jogos!A:BN,65,0)</f>
        <v>42.105</v>
      </c>
      <c r="BH1860" s="9">
        <f>VLOOKUP(A1860,Jogos!A:BN,66,0)</f>
        <v>28.255</v>
      </c>
      <c r="BI1860" s="9"/>
      <c r="BJ1860" s="9"/>
    </row>
    <row r="1861" hidden="1">
      <c r="A1861" s="2">
        <v>63.0</v>
      </c>
      <c r="B1861" s="2" t="s">
        <v>1392</v>
      </c>
      <c r="C1861" s="2" t="s">
        <v>1351</v>
      </c>
      <c r="D1861" s="3">
        <v>45851.0</v>
      </c>
      <c r="E1861" s="4">
        <v>0.625</v>
      </c>
      <c r="F1861" s="5" t="str">
        <f>VLOOKUP(A1861,Jogos!A:N,10,0)</f>
        <v>Afternoon</v>
      </c>
      <c r="G1861" s="2" t="s">
        <v>249</v>
      </c>
      <c r="H1861" s="6" t="str">
        <f>VLOOKUP(A1861,Jogos!A:L,12,0)</f>
        <v>Open</v>
      </c>
      <c r="I1861" s="6" t="str">
        <f>VLOOKUP(G1861,'Estádios e Cidades'!A:B,2,0)</f>
        <v>East Rutherford</v>
      </c>
      <c r="J1861" s="2" t="s">
        <v>187</v>
      </c>
      <c r="K1861" s="2" t="str">
        <f>VLOOKUP(J1861,Equipes!A:F,6,0)</f>
        <v>Temperate</v>
      </c>
      <c r="L1861" s="2">
        <f>VLOOKUP(J1861,Equipes!A:C,3,0)</f>
        <v>2</v>
      </c>
      <c r="M1861" s="2" t="str">
        <f t="shared" si="4"/>
        <v>Final</v>
      </c>
      <c r="N1861" s="2" t="s">
        <v>377</v>
      </c>
      <c r="O1861" s="2">
        <f>VLOOKUP(N1861,Equipes!A:C,3,0)</f>
        <v>1</v>
      </c>
      <c r="P1861" s="2" t="str">
        <f t="shared" si="5"/>
        <v>Final</v>
      </c>
      <c r="Q1861" s="2">
        <f t="shared" si="6"/>
        <v>1</v>
      </c>
      <c r="R1861" s="2" t="str">
        <f>VLOOKUP(J1861,Equipes!A:B,2,0)</f>
        <v>PSG</v>
      </c>
      <c r="S1861" s="14" t="s">
        <v>1094</v>
      </c>
      <c r="T1861" s="7">
        <v>4.0</v>
      </c>
      <c r="U1861" s="7" t="s">
        <v>1095</v>
      </c>
      <c r="V1861" s="7" t="str">
        <f>VLOOKUP(U1861,Jogadores!B:C,2,0)</f>
        <v>DF</v>
      </c>
      <c r="W1861" s="8">
        <f>VLOOKUP(U1861,Jogadores!B:D,3,0)</f>
        <v>21.69041096</v>
      </c>
      <c r="X1861" s="7">
        <v>0.0</v>
      </c>
      <c r="Y1861" s="7">
        <f t="shared" ref="Y1861:Y1862" si="5839">45+AB1861</f>
        <v>95</v>
      </c>
      <c r="Z1861" s="7">
        <f>VLOOKUP(A1861,Jogos!A:L,3,0)</f>
        <v>51</v>
      </c>
      <c r="AA1861" s="7">
        <f t="shared" si="4815"/>
        <v>51</v>
      </c>
      <c r="AB1861" s="7">
        <f>VLOOKUP(A1861,Jogos!A:L,4,0)</f>
        <v>50</v>
      </c>
      <c r="AC1861" s="7">
        <f t="shared" si="5062"/>
        <v>50</v>
      </c>
      <c r="AD1861" s="7"/>
      <c r="AE1861" s="7"/>
      <c r="AF1861" s="7">
        <f t="shared" si="4566"/>
        <v>101</v>
      </c>
      <c r="AG1861" s="7">
        <v>9192.6</v>
      </c>
      <c r="AH1861" s="7">
        <v>4442.3</v>
      </c>
      <c r="AI1861" s="7">
        <v>3132.6</v>
      </c>
      <c r="AJ1861" s="7">
        <v>956.4</v>
      </c>
      <c r="AK1861" s="7">
        <v>459.7</v>
      </c>
      <c r="AL1861" s="7">
        <v>201.7</v>
      </c>
      <c r="AM1861" s="7">
        <v>82.0</v>
      </c>
      <c r="AN1861" s="7">
        <v>35.0</v>
      </c>
      <c r="AO1861" s="7">
        <v>30.6</v>
      </c>
      <c r="AP1861" s="9">
        <f t="shared" ref="AP1861:AR1861" si="5836">AG1861/$AF1861</f>
        <v>91.01584158</v>
      </c>
      <c r="AQ1861" s="9">
        <f t="shared" si="5836"/>
        <v>43.98316832</v>
      </c>
      <c r="AR1861" s="9">
        <f t="shared" si="5836"/>
        <v>31.01584158</v>
      </c>
      <c r="AS1861" s="9">
        <f t="shared" si="4568"/>
        <v>74.9990099</v>
      </c>
      <c r="AT1861" s="9">
        <f t="shared" ref="AT1861:AV1861" si="5837">AJ1861/$AF1861</f>
        <v>9.469306931</v>
      </c>
      <c r="AU1861" s="9">
        <f t="shared" si="5837"/>
        <v>4.551485149</v>
      </c>
      <c r="AV1861" s="9">
        <f t="shared" si="5837"/>
        <v>1.997029703</v>
      </c>
      <c r="AW1861" s="9">
        <f t="shared" si="4570"/>
        <v>6.548514851</v>
      </c>
      <c r="AX1861" s="9">
        <f t="shared" ref="AX1861:AY1861" si="5838">AM1861/$AF1861</f>
        <v>0.8118811881</v>
      </c>
      <c r="AY1861" s="9">
        <f t="shared" si="5838"/>
        <v>0.3465346535</v>
      </c>
      <c r="AZ1861" s="9">
        <f>VLOOKUP(A1861,Jogos!A:BN,58,0)</f>
        <v>27.945</v>
      </c>
      <c r="BA1861" s="9">
        <f>VLOOKUP(A1861,Jogos!A:BN,59,0)</f>
        <v>22.19</v>
      </c>
      <c r="BB1861" s="9">
        <f>VLOOKUP(A1861,Jogos!A:BN,60,0)</f>
        <v>70.5</v>
      </c>
      <c r="BC1861" s="9">
        <f>VLOOKUP(A1861,Jogos!A:BN,61,0)</f>
        <v>27.13</v>
      </c>
      <c r="BD1861" s="9">
        <f>VLOOKUP(A1861,Jogos!A:BN,62,0)</f>
        <v>436.1</v>
      </c>
      <c r="BE1861" s="9">
        <f>VLOOKUP(A1861,Jogos!A:BN,63,0)</f>
        <v>2.185</v>
      </c>
      <c r="BF1861" s="9">
        <f>VLOOKUP(A1861,Jogos!A:BN,64,0)</f>
        <v>24.345</v>
      </c>
      <c r="BG1861" s="9">
        <f>VLOOKUP(A1861,Jogos!A:BN,65,0)</f>
        <v>42.105</v>
      </c>
      <c r="BH1861" s="9">
        <f>VLOOKUP(A1861,Jogos!A:BN,66,0)</f>
        <v>28.255</v>
      </c>
      <c r="BI1861" s="9"/>
      <c r="BJ1861" s="9"/>
    </row>
    <row r="1862" hidden="1">
      <c r="A1862" s="2">
        <v>63.0</v>
      </c>
      <c r="B1862" s="2" t="s">
        <v>1392</v>
      </c>
      <c r="C1862" s="2" t="s">
        <v>1351</v>
      </c>
      <c r="D1862" s="3">
        <v>45851.0</v>
      </c>
      <c r="E1862" s="4">
        <v>0.625</v>
      </c>
      <c r="F1862" s="5" t="str">
        <f>VLOOKUP(A1862,Jogos!A:N,10,0)</f>
        <v>Afternoon</v>
      </c>
      <c r="G1862" s="2" t="s">
        <v>249</v>
      </c>
      <c r="H1862" s="6" t="str">
        <f>VLOOKUP(A1862,Jogos!A:L,12,0)</f>
        <v>Open</v>
      </c>
      <c r="I1862" s="6" t="str">
        <f>VLOOKUP(G1862,'Estádios e Cidades'!A:B,2,0)</f>
        <v>East Rutherford</v>
      </c>
      <c r="J1862" s="2" t="s">
        <v>187</v>
      </c>
      <c r="K1862" s="2" t="str">
        <f>VLOOKUP(J1862,Equipes!A:F,6,0)</f>
        <v>Temperate</v>
      </c>
      <c r="L1862" s="2">
        <f>VLOOKUP(J1862,Equipes!A:C,3,0)</f>
        <v>2</v>
      </c>
      <c r="M1862" s="2" t="str">
        <f t="shared" si="4"/>
        <v>Final</v>
      </c>
      <c r="N1862" s="2" t="s">
        <v>377</v>
      </c>
      <c r="O1862" s="2">
        <f>VLOOKUP(N1862,Equipes!A:C,3,0)</f>
        <v>1</v>
      </c>
      <c r="P1862" s="2" t="str">
        <f t="shared" si="5"/>
        <v>Final</v>
      </c>
      <c r="Q1862" s="2">
        <f t="shared" si="6"/>
        <v>1</v>
      </c>
      <c r="R1862" s="2" t="str">
        <f>VLOOKUP(J1862,Equipes!A:B,2,0)</f>
        <v>PSG</v>
      </c>
      <c r="S1862" s="14" t="s">
        <v>191</v>
      </c>
      <c r="T1862" s="7">
        <v>5.0</v>
      </c>
      <c r="U1862" s="7" t="s">
        <v>192</v>
      </c>
      <c r="V1862" s="7" t="str">
        <f>VLOOKUP(U1862,Jogadores!B:C,2,0)</f>
        <v>DF</v>
      </c>
      <c r="W1862" s="8">
        <f>VLOOKUP(U1862,Jogadores!B:D,3,0)</f>
        <v>31.22739726</v>
      </c>
      <c r="X1862" s="7">
        <v>0.0</v>
      </c>
      <c r="Y1862" s="7">
        <f t="shared" si="5839"/>
        <v>95</v>
      </c>
      <c r="Z1862" s="7">
        <f>VLOOKUP(A1862,Jogos!A:L,3,0)</f>
        <v>51</v>
      </c>
      <c r="AA1862" s="7">
        <f t="shared" si="4815"/>
        <v>51</v>
      </c>
      <c r="AB1862" s="7">
        <f>VLOOKUP(A1862,Jogos!A:L,4,0)</f>
        <v>50</v>
      </c>
      <c r="AC1862" s="7">
        <f t="shared" si="5062"/>
        <v>50</v>
      </c>
      <c r="AD1862" s="7"/>
      <c r="AE1862" s="7"/>
      <c r="AF1862" s="7">
        <f t="shared" si="4566"/>
        <v>101</v>
      </c>
      <c r="AG1862" s="7">
        <v>10248.5</v>
      </c>
      <c r="AH1862" s="7">
        <v>4406.6</v>
      </c>
      <c r="AI1862" s="7">
        <v>3522.4</v>
      </c>
      <c r="AJ1862" s="7">
        <v>1382.6</v>
      </c>
      <c r="AK1862" s="7">
        <v>611.2</v>
      </c>
      <c r="AL1862" s="7">
        <v>325.6</v>
      </c>
      <c r="AM1862" s="7">
        <v>113.0</v>
      </c>
      <c r="AN1862" s="7">
        <v>50.0</v>
      </c>
      <c r="AO1862" s="7">
        <v>34.0</v>
      </c>
      <c r="AP1862" s="9">
        <f t="shared" ref="AP1862:AR1862" si="5840">AG1862/$AF1862</f>
        <v>101.470297</v>
      </c>
      <c r="AQ1862" s="9">
        <f t="shared" si="5840"/>
        <v>43.62970297</v>
      </c>
      <c r="AR1862" s="9">
        <f t="shared" si="5840"/>
        <v>34.87524752</v>
      </c>
      <c r="AS1862" s="9">
        <f t="shared" si="4568"/>
        <v>78.5049505</v>
      </c>
      <c r="AT1862" s="9">
        <f t="shared" ref="AT1862:AV1862" si="5841">AJ1862/$AF1862</f>
        <v>13.68910891</v>
      </c>
      <c r="AU1862" s="9">
        <f t="shared" si="5841"/>
        <v>6.051485149</v>
      </c>
      <c r="AV1862" s="9">
        <f t="shared" si="5841"/>
        <v>3.223762376</v>
      </c>
      <c r="AW1862" s="9">
        <f t="shared" si="4570"/>
        <v>9.275247525</v>
      </c>
      <c r="AX1862" s="9">
        <f t="shared" ref="AX1862:AY1862" si="5842">AM1862/$AF1862</f>
        <v>1.118811881</v>
      </c>
      <c r="AY1862" s="9">
        <f t="shared" si="5842"/>
        <v>0.495049505</v>
      </c>
      <c r="AZ1862" s="9">
        <f>VLOOKUP(A1862,Jogos!A:BN,58,0)</f>
        <v>27.945</v>
      </c>
      <c r="BA1862" s="9">
        <f>VLOOKUP(A1862,Jogos!A:BN,59,0)</f>
        <v>22.19</v>
      </c>
      <c r="BB1862" s="9">
        <f>VLOOKUP(A1862,Jogos!A:BN,60,0)</f>
        <v>70.5</v>
      </c>
      <c r="BC1862" s="9">
        <f>VLOOKUP(A1862,Jogos!A:BN,61,0)</f>
        <v>27.13</v>
      </c>
      <c r="BD1862" s="9">
        <f>VLOOKUP(A1862,Jogos!A:BN,62,0)</f>
        <v>436.1</v>
      </c>
      <c r="BE1862" s="9">
        <f>VLOOKUP(A1862,Jogos!A:BN,63,0)</f>
        <v>2.185</v>
      </c>
      <c r="BF1862" s="9">
        <f>VLOOKUP(A1862,Jogos!A:BN,64,0)</f>
        <v>24.345</v>
      </c>
      <c r="BG1862" s="9">
        <f>VLOOKUP(A1862,Jogos!A:BN,65,0)</f>
        <v>42.105</v>
      </c>
      <c r="BH1862" s="9">
        <f>VLOOKUP(A1862,Jogos!A:BN,66,0)</f>
        <v>28.255</v>
      </c>
      <c r="BI1862" s="9"/>
      <c r="BJ1862" s="9"/>
    </row>
    <row r="1863" hidden="1">
      <c r="A1863" s="2">
        <v>63.0</v>
      </c>
      <c r="B1863" s="2" t="s">
        <v>1392</v>
      </c>
      <c r="C1863" s="2" t="s">
        <v>1351</v>
      </c>
      <c r="D1863" s="3">
        <v>45851.0</v>
      </c>
      <c r="E1863" s="4">
        <v>0.625</v>
      </c>
      <c r="F1863" s="5" t="str">
        <f>VLOOKUP(A1863,Jogos!A:N,10,0)</f>
        <v>Afternoon</v>
      </c>
      <c r="G1863" s="2" t="s">
        <v>249</v>
      </c>
      <c r="H1863" s="6" t="str">
        <f>VLOOKUP(A1863,Jogos!A:L,12,0)</f>
        <v>Open</v>
      </c>
      <c r="I1863" s="6" t="str">
        <f>VLOOKUP(G1863,'Estádios e Cidades'!A:B,2,0)</f>
        <v>East Rutherford</v>
      </c>
      <c r="J1863" s="2" t="s">
        <v>187</v>
      </c>
      <c r="K1863" s="2" t="str">
        <f>VLOOKUP(J1863,Equipes!A:F,6,0)</f>
        <v>Temperate</v>
      </c>
      <c r="L1863" s="2">
        <f>VLOOKUP(J1863,Equipes!A:C,3,0)</f>
        <v>2</v>
      </c>
      <c r="M1863" s="2" t="str">
        <f t="shared" si="4"/>
        <v>Final</v>
      </c>
      <c r="N1863" s="2" t="s">
        <v>377</v>
      </c>
      <c r="O1863" s="2">
        <f>VLOOKUP(N1863,Equipes!A:C,3,0)</f>
        <v>1</v>
      </c>
      <c r="P1863" s="2" t="str">
        <f t="shared" si="5"/>
        <v>Final</v>
      </c>
      <c r="Q1863" s="2">
        <f t="shared" si="6"/>
        <v>1</v>
      </c>
      <c r="R1863" s="2" t="str">
        <f>VLOOKUP(J1863,Equipes!A:B,2,0)</f>
        <v>PSG</v>
      </c>
      <c r="S1863" s="14" t="s">
        <v>193</v>
      </c>
      <c r="T1863" s="7">
        <v>7.0</v>
      </c>
      <c r="U1863" s="7" t="s">
        <v>194</v>
      </c>
      <c r="V1863" s="7" t="str">
        <f>VLOOKUP(U1863,Jogadores!B:C,2,0)</f>
        <v>FW</v>
      </c>
      <c r="W1863" s="8">
        <f>VLOOKUP(U1863,Jogadores!B:D,3,0)</f>
        <v>24.47123288</v>
      </c>
      <c r="X1863" s="7">
        <v>0.0</v>
      </c>
      <c r="Y1863" s="7">
        <v>58.0</v>
      </c>
      <c r="Z1863" s="7">
        <f>VLOOKUP(A1863,Jogos!A:L,3,0)</f>
        <v>51</v>
      </c>
      <c r="AA1863" s="7">
        <f t="shared" si="4815"/>
        <v>51</v>
      </c>
      <c r="AB1863" s="7">
        <f>VLOOKUP(A1863,Jogos!A:L,4,0)</f>
        <v>50</v>
      </c>
      <c r="AC1863" s="7">
        <f t="shared" si="5062"/>
        <v>13</v>
      </c>
      <c r="AD1863" s="7"/>
      <c r="AE1863" s="7"/>
      <c r="AF1863" s="7">
        <f t="shared" si="4566"/>
        <v>64</v>
      </c>
      <c r="AG1863" s="7">
        <v>6750.1</v>
      </c>
      <c r="AH1863" s="7">
        <v>3031.7</v>
      </c>
      <c r="AI1863" s="7">
        <v>2283.6</v>
      </c>
      <c r="AJ1863" s="7">
        <v>937.3</v>
      </c>
      <c r="AK1863" s="7">
        <v>357.0</v>
      </c>
      <c r="AL1863" s="7">
        <v>140.6</v>
      </c>
      <c r="AM1863" s="7">
        <v>70.0</v>
      </c>
      <c r="AN1863" s="7">
        <v>32.0</v>
      </c>
      <c r="AO1863" s="7">
        <v>31.6</v>
      </c>
      <c r="AP1863" s="9">
        <f t="shared" ref="AP1863:AR1863" si="5843">AG1863/$AF1863</f>
        <v>105.4703125</v>
      </c>
      <c r="AQ1863" s="9">
        <f t="shared" si="5843"/>
        <v>47.3703125</v>
      </c>
      <c r="AR1863" s="9">
        <f t="shared" si="5843"/>
        <v>35.68125</v>
      </c>
      <c r="AS1863" s="9">
        <f t="shared" si="4568"/>
        <v>83.0515625</v>
      </c>
      <c r="AT1863" s="9">
        <f t="shared" ref="AT1863:AV1863" si="5844">AJ1863/$AF1863</f>
        <v>14.6453125</v>
      </c>
      <c r="AU1863" s="9">
        <f t="shared" si="5844"/>
        <v>5.578125</v>
      </c>
      <c r="AV1863" s="9">
        <f t="shared" si="5844"/>
        <v>2.196875</v>
      </c>
      <c r="AW1863" s="9">
        <f t="shared" si="4570"/>
        <v>7.775</v>
      </c>
      <c r="AX1863" s="9">
        <f t="shared" ref="AX1863:AY1863" si="5845">AM1863/$AF1863</f>
        <v>1.09375</v>
      </c>
      <c r="AY1863" s="9">
        <f t="shared" si="5845"/>
        <v>0.5</v>
      </c>
      <c r="AZ1863" s="9">
        <f>VLOOKUP(A1863,Jogos!A:BN,58,0)</f>
        <v>27.945</v>
      </c>
      <c r="BA1863" s="9">
        <f>VLOOKUP(A1863,Jogos!A:BN,59,0)</f>
        <v>22.19</v>
      </c>
      <c r="BB1863" s="9">
        <f>VLOOKUP(A1863,Jogos!A:BN,60,0)</f>
        <v>70.5</v>
      </c>
      <c r="BC1863" s="9">
        <f>VLOOKUP(A1863,Jogos!A:BN,61,0)</f>
        <v>27.13</v>
      </c>
      <c r="BD1863" s="9">
        <f>VLOOKUP(A1863,Jogos!A:BN,62,0)</f>
        <v>436.1</v>
      </c>
      <c r="BE1863" s="9">
        <f>VLOOKUP(A1863,Jogos!A:BN,63,0)</f>
        <v>2.185</v>
      </c>
      <c r="BF1863" s="9">
        <f>VLOOKUP(A1863,Jogos!A:BN,64,0)</f>
        <v>24.345</v>
      </c>
      <c r="BG1863" s="9">
        <f>VLOOKUP(A1863,Jogos!A:BN,65,0)</f>
        <v>42.105</v>
      </c>
      <c r="BH1863" s="9">
        <f>VLOOKUP(A1863,Jogos!A:BN,66,0)</f>
        <v>28.255</v>
      </c>
      <c r="BI1863" s="9"/>
      <c r="BJ1863" s="9"/>
    </row>
    <row r="1864" hidden="1">
      <c r="A1864" s="2">
        <v>63.0</v>
      </c>
      <c r="B1864" s="2" t="s">
        <v>1392</v>
      </c>
      <c r="C1864" s="2" t="s">
        <v>1351</v>
      </c>
      <c r="D1864" s="3">
        <v>45851.0</v>
      </c>
      <c r="E1864" s="4">
        <v>0.625</v>
      </c>
      <c r="F1864" s="5" t="str">
        <f>VLOOKUP(A1864,Jogos!A:N,10,0)</f>
        <v>Afternoon</v>
      </c>
      <c r="G1864" s="2" t="s">
        <v>249</v>
      </c>
      <c r="H1864" s="6" t="str">
        <f>VLOOKUP(A1864,Jogos!A:L,12,0)</f>
        <v>Open</v>
      </c>
      <c r="I1864" s="6" t="str">
        <f>VLOOKUP(G1864,'Estádios e Cidades'!A:B,2,0)</f>
        <v>East Rutherford</v>
      </c>
      <c r="J1864" s="2" t="s">
        <v>187</v>
      </c>
      <c r="K1864" s="2" t="str">
        <f>VLOOKUP(J1864,Equipes!A:F,6,0)</f>
        <v>Temperate</v>
      </c>
      <c r="L1864" s="2">
        <f>VLOOKUP(J1864,Equipes!A:C,3,0)</f>
        <v>2</v>
      </c>
      <c r="M1864" s="2" t="str">
        <f t="shared" si="4"/>
        <v>Final</v>
      </c>
      <c r="N1864" s="2" t="s">
        <v>377</v>
      </c>
      <c r="O1864" s="2">
        <f>VLOOKUP(N1864,Equipes!A:C,3,0)</f>
        <v>1</v>
      </c>
      <c r="P1864" s="2" t="str">
        <f t="shared" si="5"/>
        <v>Final</v>
      </c>
      <c r="Q1864" s="2">
        <f t="shared" si="6"/>
        <v>1</v>
      </c>
      <c r="R1864" s="2" t="str">
        <f>VLOOKUP(J1864,Equipes!A:B,2,0)</f>
        <v>PSG</v>
      </c>
      <c r="S1864" s="14" t="s">
        <v>195</v>
      </c>
      <c r="T1864" s="7">
        <v>8.0</v>
      </c>
      <c r="U1864" s="7" t="s">
        <v>196</v>
      </c>
      <c r="V1864" s="7" t="str">
        <f>VLOOKUP(U1864,Jogadores!B:C,2,0)</f>
        <v>MF</v>
      </c>
      <c r="W1864" s="8">
        <f>VLOOKUP(U1864,Jogadores!B:D,3,0)</f>
        <v>29.3369863</v>
      </c>
      <c r="X1864" s="7">
        <v>0.0</v>
      </c>
      <c r="Y1864" s="7">
        <v>73.0</v>
      </c>
      <c r="Z1864" s="7">
        <f>VLOOKUP(A1864,Jogos!A:L,3,0)</f>
        <v>51</v>
      </c>
      <c r="AA1864" s="7">
        <f t="shared" si="4815"/>
        <v>51</v>
      </c>
      <c r="AB1864" s="7">
        <f>VLOOKUP(A1864,Jogos!A:L,4,0)</f>
        <v>50</v>
      </c>
      <c r="AC1864" s="7">
        <f t="shared" si="5062"/>
        <v>28</v>
      </c>
      <c r="AD1864" s="7"/>
      <c r="AE1864" s="7"/>
      <c r="AF1864" s="7">
        <f t="shared" si="4566"/>
        <v>79</v>
      </c>
      <c r="AG1864" s="7">
        <v>8829.6</v>
      </c>
      <c r="AH1864" s="7">
        <v>3295.8</v>
      </c>
      <c r="AI1864" s="7">
        <v>3733.4</v>
      </c>
      <c r="AJ1864" s="7">
        <v>1220.1</v>
      </c>
      <c r="AK1864" s="7">
        <v>357.7</v>
      </c>
      <c r="AL1864" s="7">
        <v>222.6</v>
      </c>
      <c r="AM1864" s="7">
        <v>94.0</v>
      </c>
      <c r="AN1864" s="7">
        <v>31.0</v>
      </c>
      <c r="AO1864" s="7">
        <v>31.4</v>
      </c>
      <c r="AP1864" s="9">
        <f t="shared" ref="AP1864:AR1864" si="5846">AG1864/$AF1864</f>
        <v>111.7670886</v>
      </c>
      <c r="AQ1864" s="9">
        <f t="shared" si="5846"/>
        <v>41.71898734</v>
      </c>
      <c r="AR1864" s="9">
        <f t="shared" si="5846"/>
        <v>47.25822785</v>
      </c>
      <c r="AS1864" s="9">
        <f t="shared" si="4568"/>
        <v>88.97721519</v>
      </c>
      <c r="AT1864" s="9">
        <f t="shared" ref="AT1864:AV1864" si="5847">AJ1864/$AF1864</f>
        <v>15.4443038</v>
      </c>
      <c r="AU1864" s="9">
        <f t="shared" si="5847"/>
        <v>4.527848101</v>
      </c>
      <c r="AV1864" s="9">
        <f t="shared" si="5847"/>
        <v>2.817721519</v>
      </c>
      <c r="AW1864" s="9">
        <f t="shared" si="4570"/>
        <v>7.34556962</v>
      </c>
      <c r="AX1864" s="9">
        <f t="shared" ref="AX1864:AY1864" si="5848">AM1864/$AF1864</f>
        <v>1.189873418</v>
      </c>
      <c r="AY1864" s="9">
        <f t="shared" si="5848"/>
        <v>0.3924050633</v>
      </c>
      <c r="AZ1864" s="9">
        <f>VLOOKUP(A1864,Jogos!A:BN,58,0)</f>
        <v>27.945</v>
      </c>
      <c r="BA1864" s="9">
        <f>VLOOKUP(A1864,Jogos!A:BN,59,0)</f>
        <v>22.19</v>
      </c>
      <c r="BB1864" s="9">
        <f>VLOOKUP(A1864,Jogos!A:BN,60,0)</f>
        <v>70.5</v>
      </c>
      <c r="BC1864" s="9">
        <f>VLOOKUP(A1864,Jogos!A:BN,61,0)</f>
        <v>27.13</v>
      </c>
      <c r="BD1864" s="9">
        <f>VLOOKUP(A1864,Jogos!A:BN,62,0)</f>
        <v>436.1</v>
      </c>
      <c r="BE1864" s="9">
        <f>VLOOKUP(A1864,Jogos!A:BN,63,0)</f>
        <v>2.185</v>
      </c>
      <c r="BF1864" s="9">
        <f>VLOOKUP(A1864,Jogos!A:BN,64,0)</f>
        <v>24.345</v>
      </c>
      <c r="BG1864" s="9">
        <f>VLOOKUP(A1864,Jogos!A:BN,65,0)</f>
        <v>42.105</v>
      </c>
      <c r="BH1864" s="9">
        <f>VLOOKUP(A1864,Jogos!A:BN,66,0)</f>
        <v>28.255</v>
      </c>
      <c r="BI1864" s="9"/>
      <c r="BJ1864" s="9"/>
    </row>
    <row r="1865" hidden="1">
      <c r="A1865" s="2">
        <v>63.0</v>
      </c>
      <c r="B1865" s="2" t="s">
        <v>1392</v>
      </c>
      <c r="C1865" s="2" t="s">
        <v>1351</v>
      </c>
      <c r="D1865" s="3">
        <v>45851.0</v>
      </c>
      <c r="E1865" s="4">
        <v>0.625</v>
      </c>
      <c r="F1865" s="5" t="str">
        <f>VLOOKUP(A1865,Jogos!A:N,10,0)</f>
        <v>Afternoon</v>
      </c>
      <c r="G1865" s="2" t="s">
        <v>249</v>
      </c>
      <c r="H1865" s="6" t="str">
        <f>VLOOKUP(A1865,Jogos!A:L,12,0)</f>
        <v>Open</v>
      </c>
      <c r="I1865" s="6" t="str">
        <f>VLOOKUP(G1865,'Estádios e Cidades'!A:B,2,0)</f>
        <v>East Rutherford</v>
      </c>
      <c r="J1865" s="2" t="s">
        <v>187</v>
      </c>
      <c r="K1865" s="2" t="str">
        <f>VLOOKUP(J1865,Equipes!A:F,6,0)</f>
        <v>Temperate</v>
      </c>
      <c r="L1865" s="2">
        <f>VLOOKUP(J1865,Equipes!A:C,3,0)</f>
        <v>2</v>
      </c>
      <c r="M1865" s="2" t="str">
        <f t="shared" si="4"/>
        <v>Final</v>
      </c>
      <c r="N1865" s="2" t="s">
        <v>377</v>
      </c>
      <c r="O1865" s="2">
        <f>VLOOKUP(N1865,Equipes!A:C,3,0)</f>
        <v>1</v>
      </c>
      <c r="P1865" s="2" t="str">
        <f t="shared" si="5"/>
        <v>Final</v>
      </c>
      <c r="Q1865" s="2">
        <f t="shared" si="6"/>
        <v>1</v>
      </c>
      <c r="R1865" s="2" t="str">
        <f>VLOOKUP(J1865,Equipes!A:B,2,0)</f>
        <v>PSG</v>
      </c>
      <c r="S1865" s="14" t="s">
        <v>1366</v>
      </c>
      <c r="T1865" s="7">
        <v>10.0</v>
      </c>
      <c r="U1865" s="7" t="s">
        <v>1367</v>
      </c>
      <c r="V1865" s="7" t="str">
        <f>VLOOKUP(U1865,Jogadores!B:C,2,0)</f>
        <v>FW</v>
      </c>
      <c r="W1865" s="8">
        <f>VLOOKUP(U1865,Jogadores!B:D,3,0)</f>
        <v>28.22191781</v>
      </c>
      <c r="X1865" s="7">
        <v>0.0</v>
      </c>
      <c r="Y1865" s="7">
        <f>45+AB1865</f>
        <v>95</v>
      </c>
      <c r="Z1865" s="7">
        <f>VLOOKUP(A1865,Jogos!A:L,3,0)</f>
        <v>51</v>
      </c>
      <c r="AA1865" s="7">
        <f t="shared" si="4815"/>
        <v>51</v>
      </c>
      <c r="AB1865" s="7">
        <f>VLOOKUP(A1865,Jogos!A:L,4,0)</f>
        <v>50</v>
      </c>
      <c r="AC1865" s="7">
        <f t="shared" si="5062"/>
        <v>50</v>
      </c>
      <c r="AD1865" s="7"/>
      <c r="AE1865" s="7"/>
      <c r="AF1865" s="7">
        <f t="shared" si="4566"/>
        <v>101</v>
      </c>
      <c r="AG1865" s="7">
        <v>10993.0</v>
      </c>
      <c r="AH1865" s="7">
        <v>4413.8</v>
      </c>
      <c r="AI1865" s="7">
        <v>3919.9</v>
      </c>
      <c r="AJ1865" s="7">
        <v>1610.9</v>
      </c>
      <c r="AK1865" s="7">
        <v>775.7</v>
      </c>
      <c r="AL1865" s="7">
        <v>272.7</v>
      </c>
      <c r="AM1865" s="7">
        <v>134.0</v>
      </c>
      <c r="AN1865" s="7">
        <v>55.0</v>
      </c>
      <c r="AO1865" s="7">
        <v>30.1</v>
      </c>
      <c r="AP1865" s="9">
        <f t="shared" ref="AP1865:AR1865" si="5849">AG1865/$AF1865</f>
        <v>108.8415842</v>
      </c>
      <c r="AQ1865" s="9">
        <f t="shared" si="5849"/>
        <v>43.7009901</v>
      </c>
      <c r="AR1865" s="9">
        <f t="shared" si="5849"/>
        <v>38.81089109</v>
      </c>
      <c r="AS1865" s="9">
        <f t="shared" si="4568"/>
        <v>82.51188119</v>
      </c>
      <c r="AT1865" s="9">
        <f t="shared" ref="AT1865:AV1865" si="5850">AJ1865/$AF1865</f>
        <v>15.94950495</v>
      </c>
      <c r="AU1865" s="9">
        <f t="shared" si="5850"/>
        <v>7.68019802</v>
      </c>
      <c r="AV1865" s="9">
        <f t="shared" si="5850"/>
        <v>2.7</v>
      </c>
      <c r="AW1865" s="9">
        <f t="shared" si="4570"/>
        <v>10.38019802</v>
      </c>
      <c r="AX1865" s="9">
        <f t="shared" ref="AX1865:AY1865" si="5851">AM1865/$AF1865</f>
        <v>1.326732673</v>
      </c>
      <c r="AY1865" s="9">
        <f t="shared" si="5851"/>
        <v>0.5445544554</v>
      </c>
      <c r="AZ1865" s="9">
        <f>VLOOKUP(A1865,Jogos!A:BN,58,0)</f>
        <v>27.945</v>
      </c>
      <c r="BA1865" s="9">
        <f>VLOOKUP(A1865,Jogos!A:BN,59,0)</f>
        <v>22.19</v>
      </c>
      <c r="BB1865" s="9">
        <f>VLOOKUP(A1865,Jogos!A:BN,60,0)</f>
        <v>70.5</v>
      </c>
      <c r="BC1865" s="9">
        <f>VLOOKUP(A1865,Jogos!A:BN,61,0)</f>
        <v>27.13</v>
      </c>
      <c r="BD1865" s="9">
        <f>VLOOKUP(A1865,Jogos!A:BN,62,0)</f>
        <v>436.1</v>
      </c>
      <c r="BE1865" s="9">
        <f>VLOOKUP(A1865,Jogos!A:BN,63,0)</f>
        <v>2.185</v>
      </c>
      <c r="BF1865" s="9">
        <f>VLOOKUP(A1865,Jogos!A:BN,64,0)</f>
        <v>24.345</v>
      </c>
      <c r="BG1865" s="9">
        <f>VLOOKUP(A1865,Jogos!A:BN,65,0)</f>
        <v>42.105</v>
      </c>
      <c r="BH1865" s="9">
        <f>VLOOKUP(A1865,Jogos!A:BN,66,0)</f>
        <v>28.255</v>
      </c>
      <c r="BI1865" s="9"/>
      <c r="BJ1865" s="9"/>
    </row>
    <row r="1866" hidden="1">
      <c r="A1866" s="2">
        <v>63.0</v>
      </c>
      <c r="B1866" s="2" t="s">
        <v>1392</v>
      </c>
      <c r="C1866" s="2" t="s">
        <v>1351</v>
      </c>
      <c r="D1866" s="3">
        <v>45851.0</v>
      </c>
      <c r="E1866" s="4">
        <v>0.625</v>
      </c>
      <c r="F1866" s="5" t="str">
        <f>VLOOKUP(A1866,Jogos!A:N,10,0)</f>
        <v>Afternoon</v>
      </c>
      <c r="G1866" s="2" t="s">
        <v>249</v>
      </c>
      <c r="H1866" s="6" t="str">
        <f>VLOOKUP(A1866,Jogos!A:L,12,0)</f>
        <v>Open</v>
      </c>
      <c r="I1866" s="6" t="str">
        <f>VLOOKUP(G1866,'Estádios e Cidades'!A:B,2,0)</f>
        <v>East Rutherford</v>
      </c>
      <c r="J1866" s="2" t="s">
        <v>187</v>
      </c>
      <c r="K1866" s="2" t="str">
        <f>VLOOKUP(J1866,Equipes!A:F,6,0)</f>
        <v>Temperate</v>
      </c>
      <c r="L1866" s="2">
        <f>VLOOKUP(J1866,Equipes!A:C,3,0)</f>
        <v>2</v>
      </c>
      <c r="M1866" s="2" t="str">
        <f t="shared" si="4"/>
        <v>Final</v>
      </c>
      <c r="N1866" s="2" t="s">
        <v>377</v>
      </c>
      <c r="O1866" s="2">
        <f>VLOOKUP(N1866,Equipes!A:C,3,0)</f>
        <v>1</v>
      </c>
      <c r="P1866" s="2" t="str">
        <f t="shared" si="5"/>
        <v>Final</v>
      </c>
      <c r="Q1866" s="2">
        <f t="shared" si="6"/>
        <v>1</v>
      </c>
      <c r="R1866" s="2" t="str">
        <f>VLOOKUP(J1866,Equipes!A:B,2,0)</f>
        <v>PSG</v>
      </c>
      <c r="S1866" s="14" t="s">
        <v>199</v>
      </c>
      <c r="T1866" s="7">
        <v>14.0</v>
      </c>
      <c r="U1866" s="7" t="s">
        <v>200</v>
      </c>
      <c r="V1866" s="7" t="str">
        <f>VLOOKUP(U1866,Jogadores!B:C,2,0)</f>
        <v>FW</v>
      </c>
      <c r="W1866" s="8">
        <f>VLOOKUP(U1866,Jogadores!B:D,3,0)</f>
        <v>20.16438356</v>
      </c>
      <c r="X1866" s="7">
        <v>0.0</v>
      </c>
      <c r="Y1866" s="7">
        <v>72.0</v>
      </c>
      <c r="Z1866" s="7">
        <f>VLOOKUP(A1866,Jogos!A:L,3,0)</f>
        <v>51</v>
      </c>
      <c r="AA1866" s="7">
        <f t="shared" si="4815"/>
        <v>51</v>
      </c>
      <c r="AB1866" s="7">
        <f>VLOOKUP(A1866,Jogos!A:L,4,0)</f>
        <v>50</v>
      </c>
      <c r="AC1866" s="7">
        <f t="shared" si="5062"/>
        <v>27</v>
      </c>
      <c r="AD1866" s="7"/>
      <c r="AE1866" s="7"/>
      <c r="AF1866" s="7">
        <f t="shared" si="4566"/>
        <v>78</v>
      </c>
      <c r="AG1866" s="7">
        <v>9049.3</v>
      </c>
      <c r="AH1866" s="7">
        <v>2920.1</v>
      </c>
      <c r="AI1866" s="7">
        <v>3849.4</v>
      </c>
      <c r="AJ1866" s="7">
        <v>1652.1</v>
      </c>
      <c r="AK1866" s="7">
        <v>449.9</v>
      </c>
      <c r="AL1866" s="7">
        <v>177.8</v>
      </c>
      <c r="AM1866" s="7">
        <v>141.0</v>
      </c>
      <c r="AN1866" s="7">
        <v>45.0</v>
      </c>
      <c r="AO1866" s="7">
        <v>31.0</v>
      </c>
      <c r="AP1866" s="9">
        <f t="shared" ref="AP1866:AR1866" si="5852">AG1866/$AF1866</f>
        <v>116.0166667</v>
      </c>
      <c r="AQ1866" s="9">
        <f t="shared" si="5852"/>
        <v>37.43717949</v>
      </c>
      <c r="AR1866" s="9">
        <f t="shared" si="5852"/>
        <v>49.35128205</v>
      </c>
      <c r="AS1866" s="9">
        <f t="shared" si="4568"/>
        <v>86.78846154</v>
      </c>
      <c r="AT1866" s="9">
        <f t="shared" ref="AT1866:AV1866" si="5853">AJ1866/$AF1866</f>
        <v>21.18076923</v>
      </c>
      <c r="AU1866" s="9">
        <f t="shared" si="5853"/>
        <v>5.767948718</v>
      </c>
      <c r="AV1866" s="9">
        <f t="shared" si="5853"/>
        <v>2.279487179</v>
      </c>
      <c r="AW1866" s="9">
        <f t="shared" si="4570"/>
        <v>8.047435897</v>
      </c>
      <c r="AX1866" s="9">
        <f t="shared" ref="AX1866:AY1866" si="5854">AM1866/$AF1866</f>
        <v>1.807692308</v>
      </c>
      <c r="AY1866" s="9">
        <f t="shared" si="5854"/>
        <v>0.5769230769</v>
      </c>
      <c r="AZ1866" s="9">
        <f>VLOOKUP(A1866,Jogos!A:BN,58,0)</f>
        <v>27.945</v>
      </c>
      <c r="BA1866" s="9">
        <f>VLOOKUP(A1866,Jogos!A:BN,59,0)</f>
        <v>22.19</v>
      </c>
      <c r="BB1866" s="9">
        <f>VLOOKUP(A1866,Jogos!A:BN,60,0)</f>
        <v>70.5</v>
      </c>
      <c r="BC1866" s="9">
        <f>VLOOKUP(A1866,Jogos!A:BN,61,0)</f>
        <v>27.13</v>
      </c>
      <c r="BD1866" s="9">
        <f>VLOOKUP(A1866,Jogos!A:BN,62,0)</f>
        <v>436.1</v>
      </c>
      <c r="BE1866" s="9">
        <f>VLOOKUP(A1866,Jogos!A:BN,63,0)</f>
        <v>2.185</v>
      </c>
      <c r="BF1866" s="9">
        <f>VLOOKUP(A1866,Jogos!A:BN,64,0)</f>
        <v>24.345</v>
      </c>
      <c r="BG1866" s="9">
        <f>VLOOKUP(A1866,Jogos!A:BN,65,0)</f>
        <v>42.105</v>
      </c>
      <c r="BH1866" s="9">
        <f>VLOOKUP(A1866,Jogos!A:BN,66,0)</f>
        <v>28.255</v>
      </c>
      <c r="BI1866" s="9"/>
      <c r="BJ1866" s="9"/>
    </row>
    <row r="1867" hidden="1">
      <c r="A1867" s="2">
        <v>63.0</v>
      </c>
      <c r="B1867" s="2" t="s">
        <v>1392</v>
      </c>
      <c r="C1867" s="2" t="s">
        <v>1351</v>
      </c>
      <c r="D1867" s="3">
        <v>45851.0</v>
      </c>
      <c r="E1867" s="4">
        <v>0.625</v>
      </c>
      <c r="F1867" s="5" t="str">
        <f>VLOOKUP(A1867,Jogos!A:N,10,0)</f>
        <v>Afternoon</v>
      </c>
      <c r="G1867" s="2" t="s">
        <v>249</v>
      </c>
      <c r="H1867" s="6" t="str">
        <f>VLOOKUP(A1867,Jogos!A:L,12,0)</f>
        <v>Open</v>
      </c>
      <c r="I1867" s="6" t="str">
        <f>VLOOKUP(G1867,'Estádios e Cidades'!A:B,2,0)</f>
        <v>East Rutherford</v>
      </c>
      <c r="J1867" s="2" t="s">
        <v>187</v>
      </c>
      <c r="K1867" s="2" t="str">
        <f>VLOOKUP(J1867,Equipes!A:F,6,0)</f>
        <v>Temperate</v>
      </c>
      <c r="L1867" s="2">
        <f>VLOOKUP(J1867,Equipes!A:C,3,0)</f>
        <v>2</v>
      </c>
      <c r="M1867" s="2" t="str">
        <f t="shared" si="4"/>
        <v>Final</v>
      </c>
      <c r="N1867" s="2" t="s">
        <v>377</v>
      </c>
      <c r="O1867" s="2">
        <f>VLOOKUP(N1867,Equipes!A:C,3,0)</f>
        <v>1</v>
      </c>
      <c r="P1867" s="2" t="str">
        <f t="shared" si="5"/>
        <v>Final</v>
      </c>
      <c r="Q1867" s="2">
        <f t="shared" si="6"/>
        <v>1</v>
      </c>
      <c r="R1867" s="2" t="str">
        <f>VLOOKUP(J1867,Equipes!A:B,2,0)</f>
        <v>PSG</v>
      </c>
      <c r="S1867" s="14" t="s">
        <v>201</v>
      </c>
      <c r="T1867" s="7">
        <v>17.0</v>
      </c>
      <c r="U1867" s="7" t="s">
        <v>202</v>
      </c>
      <c r="V1867" s="7" t="str">
        <f>VLOOKUP(U1867,Jogadores!B:C,2,0)</f>
        <v>MF</v>
      </c>
      <c r="W1867" s="8">
        <f>VLOOKUP(U1867,Jogadores!B:D,3,0)</f>
        <v>25.47123288</v>
      </c>
      <c r="X1867" s="7">
        <v>0.0</v>
      </c>
      <c r="Y1867" s="7">
        <f t="shared" ref="Y1867:Y1868" si="5858">45+AB1867</f>
        <v>95</v>
      </c>
      <c r="Z1867" s="7">
        <f>VLOOKUP(A1867,Jogos!A:L,3,0)</f>
        <v>51</v>
      </c>
      <c r="AA1867" s="7">
        <f t="shared" si="4815"/>
        <v>51</v>
      </c>
      <c r="AB1867" s="7">
        <f>VLOOKUP(A1867,Jogos!A:L,4,0)</f>
        <v>50</v>
      </c>
      <c r="AC1867" s="7">
        <f t="shared" si="5062"/>
        <v>50</v>
      </c>
      <c r="AD1867" s="7"/>
      <c r="AE1867" s="7"/>
      <c r="AF1867" s="7">
        <f t="shared" si="4566"/>
        <v>101</v>
      </c>
      <c r="AG1867" s="7">
        <v>11879.3</v>
      </c>
      <c r="AH1867" s="7">
        <v>3382.4</v>
      </c>
      <c r="AI1867" s="7">
        <v>6113.1</v>
      </c>
      <c r="AJ1867" s="7">
        <v>1551.0</v>
      </c>
      <c r="AK1867" s="7">
        <v>620.3</v>
      </c>
      <c r="AL1867" s="7">
        <v>212.6</v>
      </c>
      <c r="AM1867" s="7">
        <v>141.0</v>
      </c>
      <c r="AN1867" s="7">
        <v>49.0</v>
      </c>
      <c r="AO1867" s="7">
        <v>30.2</v>
      </c>
      <c r="AP1867" s="9">
        <f t="shared" ref="AP1867:AR1867" si="5855">AG1867/$AF1867</f>
        <v>117.6168317</v>
      </c>
      <c r="AQ1867" s="9">
        <f t="shared" si="5855"/>
        <v>33.48910891</v>
      </c>
      <c r="AR1867" s="9">
        <f t="shared" si="5855"/>
        <v>60.52574257</v>
      </c>
      <c r="AS1867" s="9">
        <f t="shared" si="4568"/>
        <v>94.01485149</v>
      </c>
      <c r="AT1867" s="9">
        <f t="shared" ref="AT1867:AV1867" si="5856">AJ1867/$AF1867</f>
        <v>15.35643564</v>
      </c>
      <c r="AU1867" s="9">
        <f t="shared" si="5856"/>
        <v>6.141584158</v>
      </c>
      <c r="AV1867" s="9">
        <f t="shared" si="5856"/>
        <v>2.104950495</v>
      </c>
      <c r="AW1867" s="9">
        <f t="shared" si="4570"/>
        <v>8.246534653</v>
      </c>
      <c r="AX1867" s="9">
        <f t="shared" ref="AX1867:AY1867" si="5857">AM1867/$AF1867</f>
        <v>1.396039604</v>
      </c>
      <c r="AY1867" s="9">
        <f t="shared" si="5857"/>
        <v>0.4851485149</v>
      </c>
      <c r="AZ1867" s="9">
        <f>VLOOKUP(A1867,Jogos!A:BN,58,0)</f>
        <v>27.945</v>
      </c>
      <c r="BA1867" s="9">
        <f>VLOOKUP(A1867,Jogos!A:BN,59,0)</f>
        <v>22.19</v>
      </c>
      <c r="BB1867" s="9">
        <f>VLOOKUP(A1867,Jogos!A:BN,60,0)</f>
        <v>70.5</v>
      </c>
      <c r="BC1867" s="9">
        <f>VLOOKUP(A1867,Jogos!A:BN,61,0)</f>
        <v>27.13</v>
      </c>
      <c r="BD1867" s="9">
        <f>VLOOKUP(A1867,Jogos!A:BN,62,0)</f>
        <v>436.1</v>
      </c>
      <c r="BE1867" s="9">
        <f>VLOOKUP(A1867,Jogos!A:BN,63,0)</f>
        <v>2.185</v>
      </c>
      <c r="BF1867" s="9">
        <f>VLOOKUP(A1867,Jogos!A:BN,64,0)</f>
        <v>24.345</v>
      </c>
      <c r="BG1867" s="9">
        <f>VLOOKUP(A1867,Jogos!A:BN,65,0)</f>
        <v>42.105</v>
      </c>
      <c r="BH1867" s="9">
        <f>VLOOKUP(A1867,Jogos!A:BN,66,0)</f>
        <v>28.255</v>
      </c>
      <c r="BI1867" s="9"/>
      <c r="BJ1867" s="9"/>
    </row>
    <row r="1868" hidden="1">
      <c r="A1868" s="2">
        <v>63.0</v>
      </c>
      <c r="B1868" s="2" t="s">
        <v>1392</v>
      </c>
      <c r="C1868" s="2" t="s">
        <v>1351</v>
      </c>
      <c r="D1868" s="3">
        <v>45851.0</v>
      </c>
      <c r="E1868" s="4">
        <v>0.625</v>
      </c>
      <c r="F1868" s="5" t="str">
        <f>VLOOKUP(A1868,Jogos!A:N,10,0)</f>
        <v>Afternoon</v>
      </c>
      <c r="G1868" s="2" t="s">
        <v>249</v>
      </c>
      <c r="H1868" s="6" t="str">
        <f>VLOOKUP(A1868,Jogos!A:L,12,0)</f>
        <v>Open</v>
      </c>
      <c r="I1868" s="6" t="str">
        <f>VLOOKUP(G1868,'Estádios e Cidades'!A:B,2,0)</f>
        <v>East Rutherford</v>
      </c>
      <c r="J1868" s="2" t="s">
        <v>187</v>
      </c>
      <c r="K1868" s="2" t="str">
        <f>VLOOKUP(J1868,Equipes!A:F,6,0)</f>
        <v>Temperate</v>
      </c>
      <c r="L1868" s="2">
        <f>VLOOKUP(J1868,Equipes!A:C,3,0)</f>
        <v>2</v>
      </c>
      <c r="M1868" s="2" t="str">
        <f t="shared" si="4"/>
        <v>Final</v>
      </c>
      <c r="N1868" s="2" t="s">
        <v>377</v>
      </c>
      <c r="O1868" s="2">
        <f>VLOOKUP(N1868,Equipes!A:C,3,0)</f>
        <v>1</v>
      </c>
      <c r="P1868" s="2" t="str">
        <f t="shared" si="5"/>
        <v>Final</v>
      </c>
      <c r="Q1868" s="2">
        <f t="shared" si="6"/>
        <v>1</v>
      </c>
      <c r="R1868" s="2" t="str">
        <f>VLOOKUP(J1868,Equipes!A:B,2,0)</f>
        <v>PSG</v>
      </c>
      <c r="S1868" s="14" t="s">
        <v>203</v>
      </c>
      <c r="T1868" s="7">
        <v>25.0</v>
      </c>
      <c r="U1868" s="7" t="s">
        <v>204</v>
      </c>
      <c r="V1868" s="7" t="str">
        <f>VLOOKUP(U1868,Jogadores!B:C,2,0)</f>
        <v>DF</v>
      </c>
      <c r="W1868" s="8">
        <f>VLOOKUP(U1868,Jogadores!B:D,3,0)</f>
        <v>23.12328767</v>
      </c>
      <c r="X1868" s="7">
        <v>0.0</v>
      </c>
      <c r="Y1868" s="7">
        <f t="shared" si="5858"/>
        <v>95</v>
      </c>
      <c r="Z1868" s="7">
        <f>VLOOKUP(A1868,Jogos!A:L,3,0)</f>
        <v>51</v>
      </c>
      <c r="AA1868" s="7">
        <f t="shared" si="4815"/>
        <v>51</v>
      </c>
      <c r="AB1868" s="7">
        <f>VLOOKUP(A1868,Jogos!A:L,4,0)</f>
        <v>50</v>
      </c>
      <c r="AC1868" s="7">
        <f t="shared" si="5062"/>
        <v>50</v>
      </c>
      <c r="AD1868" s="7"/>
      <c r="AE1868" s="7"/>
      <c r="AF1868" s="7">
        <f t="shared" si="4566"/>
        <v>101</v>
      </c>
      <c r="AG1868" s="7">
        <v>8828.6</v>
      </c>
      <c r="AH1868" s="7">
        <v>3912.9</v>
      </c>
      <c r="AI1868" s="7">
        <v>3138.3</v>
      </c>
      <c r="AJ1868" s="7">
        <v>884.2</v>
      </c>
      <c r="AK1868" s="7">
        <v>477.8</v>
      </c>
      <c r="AL1868" s="7">
        <v>415.5</v>
      </c>
      <c r="AM1868" s="7">
        <v>77.0</v>
      </c>
      <c r="AN1868" s="7">
        <v>39.0</v>
      </c>
      <c r="AO1868" s="7">
        <v>35.0</v>
      </c>
      <c r="AP1868" s="9">
        <f t="shared" ref="AP1868:AR1868" si="5859">AG1868/$AF1868</f>
        <v>87.41188119</v>
      </c>
      <c r="AQ1868" s="9">
        <f t="shared" si="5859"/>
        <v>38.74158416</v>
      </c>
      <c r="AR1868" s="9">
        <f t="shared" si="5859"/>
        <v>31.07227723</v>
      </c>
      <c r="AS1868" s="9">
        <f t="shared" si="4568"/>
        <v>69.81386139</v>
      </c>
      <c r="AT1868" s="9">
        <f t="shared" ref="AT1868:AV1868" si="5860">AJ1868/$AF1868</f>
        <v>8.754455446</v>
      </c>
      <c r="AU1868" s="9">
        <f t="shared" si="5860"/>
        <v>4.730693069</v>
      </c>
      <c r="AV1868" s="9">
        <f t="shared" si="5860"/>
        <v>4.113861386</v>
      </c>
      <c r="AW1868" s="9">
        <f t="shared" si="4570"/>
        <v>8.844554455</v>
      </c>
      <c r="AX1868" s="9">
        <f t="shared" ref="AX1868:AY1868" si="5861">AM1868/$AF1868</f>
        <v>0.7623762376</v>
      </c>
      <c r="AY1868" s="9">
        <f t="shared" si="5861"/>
        <v>0.3861386139</v>
      </c>
      <c r="AZ1868" s="9">
        <f>VLOOKUP(A1868,Jogos!A:BN,58,0)</f>
        <v>27.945</v>
      </c>
      <c r="BA1868" s="9">
        <f>VLOOKUP(A1868,Jogos!A:BN,59,0)</f>
        <v>22.19</v>
      </c>
      <c r="BB1868" s="9">
        <f>VLOOKUP(A1868,Jogos!A:BN,60,0)</f>
        <v>70.5</v>
      </c>
      <c r="BC1868" s="9">
        <f>VLOOKUP(A1868,Jogos!A:BN,61,0)</f>
        <v>27.13</v>
      </c>
      <c r="BD1868" s="9">
        <f>VLOOKUP(A1868,Jogos!A:BN,62,0)</f>
        <v>436.1</v>
      </c>
      <c r="BE1868" s="9">
        <f>VLOOKUP(A1868,Jogos!A:BN,63,0)</f>
        <v>2.185</v>
      </c>
      <c r="BF1868" s="9">
        <f>VLOOKUP(A1868,Jogos!A:BN,64,0)</f>
        <v>24.345</v>
      </c>
      <c r="BG1868" s="9">
        <f>VLOOKUP(A1868,Jogos!A:BN,65,0)</f>
        <v>42.105</v>
      </c>
      <c r="BH1868" s="9">
        <f>VLOOKUP(A1868,Jogos!A:BN,66,0)</f>
        <v>28.255</v>
      </c>
      <c r="BI1868" s="9"/>
      <c r="BJ1868" s="9"/>
    </row>
    <row r="1869" hidden="1">
      <c r="A1869" s="2">
        <v>63.0</v>
      </c>
      <c r="B1869" s="2" t="s">
        <v>1392</v>
      </c>
      <c r="C1869" s="2" t="s">
        <v>1351</v>
      </c>
      <c r="D1869" s="3">
        <v>45851.0</v>
      </c>
      <c r="E1869" s="4">
        <v>0.625</v>
      </c>
      <c r="F1869" s="5" t="str">
        <f>VLOOKUP(A1869,Jogos!A:N,10,0)</f>
        <v>Afternoon</v>
      </c>
      <c r="G1869" s="2" t="s">
        <v>249</v>
      </c>
      <c r="H1869" s="6" t="str">
        <f>VLOOKUP(A1869,Jogos!A:L,12,0)</f>
        <v>Open</v>
      </c>
      <c r="I1869" s="6" t="str">
        <f>VLOOKUP(G1869,'Estádios e Cidades'!A:B,2,0)</f>
        <v>East Rutherford</v>
      </c>
      <c r="J1869" s="2" t="s">
        <v>187</v>
      </c>
      <c r="K1869" s="2" t="str">
        <f>VLOOKUP(J1869,Equipes!A:F,6,0)</f>
        <v>Temperate</v>
      </c>
      <c r="L1869" s="2">
        <f>VLOOKUP(J1869,Equipes!A:C,3,0)</f>
        <v>2</v>
      </c>
      <c r="M1869" s="2" t="str">
        <f t="shared" si="4"/>
        <v>Final</v>
      </c>
      <c r="N1869" s="2" t="s">
        <v>377</v>
      </c>
      <c r="O1869" s="2">
        <f>VLOOKUP(N1869,Equipes!A:C,3,0)</f>
        <v>1</v>
      </c>
      <c r="P1869" s="2" t="str">
        <f t="shared" si="5"/>
        <v>Final</v>
      </c>
      <c r="Q1869" s="2">
        <f t="shared" si="6"/>
        <v>1</v>
      </c>
      <c r="R1869" s="2" t="str">
        <f>VLOOKUP(J1869,Equipes!A:B,2,0)</f>
        <v>PSG</v>
      </c>
      <c r="S1869" s="14" t="s">
        <v>207</v>
      </c>
      <c r="T1869" s="7">
        <v>87.0</v>
      </c>
      <c r="U1869" s="7" t="s">
        <v>208</v>
      </c>
      <c r="V1869" s="7" t="str">
        <f>VLOOKUP(U1869,Jogadores!B:C,2,0)</f>
        <v>MF</v>
      </c>
      <c r="W1869" s="8">
        <f>VLOOKUP(U1869,Jogadores!B:D,3,0)</f>
        <v>20.84657534</v>
      </c>
      <c r="X1869" s="7">
        <v>0.0</v>
      </c>
      <c r="Y1869" s="7">
        <v>84.0</v>
      </c>
      <c r="Z1869" s="7">
        <f>VLOOKUP(A1869,Jogos!A:L,3,0)</f>
        <v>51</v>
      </c>
      <c r="AA1869" s="7">
        <f t="shared" si="4815"/>
        <v>51</v>
      </c>
      <c r="AB1869" s="7">
        <f>VLOOKUP(A1869,Jogos!A:L,4,0)</f>
        <v>50</v>
      </c>
      <c r="AC1869" s="7">
        <f t="shared" si="5062"/>
        <v>39</v>
      </c>
      <c r="AD1869" s="7"/>
      <c r="AE1869" s="7"/>
      <c r="AF1869" s="7">
        <f t="shared" si="4566"/>
        <v>90</v>
      </c>
      <c r="AG1869" s="7">
        <v>10258.2</v>
      </c>
      <c r="AH1869" s="7">
        <v>3464.8</v>
      </c>
      <c r="AI1869" s="7">
        <v>4410.3</v>
      </c>
      <c r="AJ1869" s="7">
        <v>1640.2</v>
      </c>
      <c r="AK1869" s="7">
        <v>545.8</v>
      </c>
      <c r="AL1869" s="7">
        <v>197.1</v>
      </c>
      <c r="AM1869" s="7">
        <v>137.0</v>
      </c>
      <c r="AN1869" s="7">
        <v>44.0</v>
      </c>
      <c r="AO1869" s="7">
        <v>32.2</v>
      </c>
      <c r="AP1869" s="9">
        <f t="shared" ref="AP1869:AR1869" si="5862">AG1869/$AF1869</f>
        <v>113.98</v>
      </c>
      <c r="AQ1869" s="9">
        <f t="shared" si="5862"/>
        <v>38.49777778</v>
      </c>
      <c r="AR1869" s="9">
        <f t="shared" si="5862"/>
        <v>49.00333333</v>
      </c>
      <c r="AS1869" s="9">
        <f t="shared" si="4568"/>
        <v>87.50111111</v>
      </c>
      <c r="AT1869" s="9">
        <f t="shared" ref="AT1869:AV1869" si="5863">AJ1869/$AF1869</f>
        <v>18.22444444</v>
      </c>
      <c r="AU1869" s="9">
        <f t="shared" si="5863"/>
        <v>6.064444444</v>
      </c>
      <c r="AV1869" s="9">
        <f t="shared" si="5863"/>
        <v>2.19</v>
      </c>
      <c r="AW1869" s="9">
        <f t="shared" si="4570"/>
        <v>8.254444444</v>
      </c>
      <c r="AX1869" s="9">
        <f t="shared" ref="AX1869:AY1869" si="5864">AM1869/$AF1869</f>
        <v>1.522222222</v>
      </c>
      <c r="AY1869" s="9">
        <f t="shared" si="5864"/>
        <v>0.4888888889</v>
      </c>
      <c r="AZ1869" s="9">
        <f>VLOOKUP(A1869,Jogos!A:BN,58,0)</f>
        <v>27.945</v>
      </c>
      <c r="BA1869" s="9">
        <f>VLOOKUP(A1869,Jogos!A:BN,59,0)</f>
        <v>22.19</v>
      </c>
      <c r="BB1869" s="9">
        <f>VLOOKUP(A1869,Jogos!A:BN,60,0)</f>
        <v>70.5</v>
      </c>
      <c r="BC1869" s="9">
        <f>VLOOKUP(A1869,Jogos!A:BN,61,0)</f>
        <v>27.13</v>
      </c>
      <c r="BD1869" s="9">
        <f>VLOOKUP(A1869,Jogos!A:BN,62,0)</f>
        <v>436.1</v>
      </c>
      <c r="BE1869" s="9">
        <f>VLOOKUP(A1869,Jogos!A:BN,63,0)</f>
        <v>2.185</v>
      </c>
      <c r="BF1869" s="9">
        <f>VLOOKUP(A1869,Jogos!A:BN,64,0)</f>
        <v>24.345</v>
      </c>
      <c r="BG1869" s="9">
        <f>VLOOKUP(A1869,Jogos!A:BN,65,0)</f>
        <v>42.105</v>
      </c>
      <c r="BH1869" s="9">
        <f>VLOOKUP(A1869,Jogos!A:BN,66,0)</f>
        <v>28.255</v>
      </c>
      <c r="BI1869" s="9"/>
      <c r="BJ1869" s="9"/>
    </row>
    <row r="1870" hidden="1">
      <c r="A1870" s="2">
        <v>63.0</v>
      </c>
      <c r="B1870" s="2" t="s">
        <v>1392</v>
      </c>
      <c r="C1870" s="2" t="s">
        <v>1351</v>
      </c>
      <c r="D1870" s="3">
        <v>45851.0</v>
      </c>
      <c r="E1870" s="4">
        <v>0.625</v>
      </c>
      <c r="F1870" s="5" t="str">
        <f>VLOOKUP(A1870,Jogos!A:N,10,0)</f>
        <v>Afternoon</v>
      </c>
      <c r="G1870" s="2" t="s">
        <v>249</v>
      </c>
      <c r="H1870" s="6" t="str">
        <f>VLOOKUP(A1870,Jogos!A:L,12,0)</f>
        <v>Open</v>
      </c>
      <c r="I1870" s="6" t="str">
        <f>VLOOKUP(G1870,'Estádios e Cidades'!A:B,2,0)</f>
        <v>East Rutherford</v>
      </c>
      <c r="J1870" s="2" t="s">
        <v>187</v>
      </c>
      <c r="K1870" s="2" t="str">
        <f>VLOOKUP(J1870,Equipes!A:F,6,0)</f>
        <v>Temperate</v>
      </c>
      <c r="L1870" s="2">
        <f>VLOOKUP(J1870,Equipes!A:C,3,0)</f>
        <v>2</v>
      </c>
      <c r="M1870" s="2" t="str">
        <f t="shared" si="4"/>
        <v>Final</v>
      </c>
      <c r="N1870" s="2" t="s">
        <v>377</v>
      </c>
      <c r="O1870" s="2">
        <f>VLOOKUP(N1870,Equipes!A:C,3,0)</f>
        <v>1</v>
      </c>
      <c r="P1870" s="2" t="str">
        <f t="shared" si="5"/>
        <v>Final</v>
      </c>
      <c r="Q1870" s="2">
        <f t="shared" si="6"/>
        <v>1</v>
      </c>
      <c r="R1870" s="2" t="str">
        <f>VLOOKUP(J1870,Equipes!A:B,2,0)</f>
        <v>PSG</v>
      </c>
      <c r="S1870" s="14" t="s">
        <v>197</v>
      </c>
      <c r="T1870" s="7">
        <v>9.0</v>
      </c>
      <c r="U1870" s="7" t="s">
        <v>198</v>
      </c>
      <c r="V1870" s="7" t="str">
        <f>VLOOKUP(U1870,Jogadores!B:C,2,0)</f>
        <v>FW</v>
      </c>
      <c r="W1870" s="8">
        <f>VLOOKUP(U1870,Jogadores!B:D,3,0)</f>
        <v>24.12328767</v>
      </c>
      <c r="X1870" s="7">
        <v>72.0</v>
      </c>
      <c r="Y1870" s="7">
        <f t="shared" ref="Y1870:Y1873" si="5868">45+AB1870</f>
        <v>95</v>
      </c>
      <c r="Z1870" s="7">
        <f>VLOOKUP(A1870,Jogos!A:L,3,0)</f>
        <v>51</v>
      </c>
      <c r="AA1870" s="7">
        <f t="shared" si="4815"/>
        <v>0</v>
      </c>
      <c r="AB1870" s="7">
        <f>VLOOKUP(A1870,Jogos!A:L,4,0)</f>
        <v>50</v>
      </c>
      <c r="AC1870" s="7">
        <f t="shared" si="5062"/>
        <v>23</v>
      </c>
      <c r="AD1870" s="7"/>
      <c r="AE1870" s="7"/>
      <c r="AF1870" s="7">
        <f t="shared" si="4566"/>
        <v>23</v>
      </c>
      <c r="AG1870" s="7">
        <v>2439.5</v>
      </c>
      <c r="AH1870" s="7">
        <v>895.5</v>
      </c>
      <c r="AI1870" s="7">
        <v>874.7</v>
      </c>
      <c r="AJ1870" s="7">
        <v>369.4</v>
      </c>
      <c r="AK1870" s="7">
        <v>191.6</v>
      </c>
      <c r="AL1870" s="7">
        <v>108.4</v>
      </c>
      <c r="AM1870" s="7">
        <v>32.0</v>
      </c>
      <c r="AN1870" s="7">
        <v>14.0</v>
      </c>
      <c r="AO1870" s="7">
        <v>31.4</v>
      </c>
      <c r="AP1870" s="9">
        <f t="shared" ref="AP1870:AR1870" si="5865">AG1870/$AF1870</f>
        <v>106.0652174</v>
      </c>
      <c r="AQ1870" s="9">
        <f t="shared" si="5865"/>
        <v>38.93478261</v>
      </c>
      <c r="AR1870" s="9">
        <f t="shared" si="5865"/>
        <v>38.03043478</v>
      </c>
      <c r="AS1870" s="9">
        <f t="shared" si="4568"/>
        <v>76.96521739</v>
      </c>
      <c r="AT1870" s="9">
        <f t="shared" ref="AT1870:AV1870" si="5866">AJ1870/$AF1870</f>
        <v>16.06086957</v>
      </c>
      <c r="AU1870" s="9">
        <f t="shared" si="5866"/>
        <v>8.330434783</v>
      </c>
      <c r="AV1870" s="9">
        <f t="shared" si="5866"/>
        <v>4.713043478</v>
      </c>
      <c r="AW1870" s="9">
        <f t="shared" si="4570"/>
        <v>13.04347826</v>
      </c>
      <c r="AX1870" s="9">
        <f t="shared" ref="AX1870:AY1870" si="5867">AM1870/$AF1870</f>
        <v>1.391304348</v>
      </c>
      <c r="AY1870" s="9">
        <f t="shared" si="5867"/>
        <v>0.6086956522</v>
      </c>
      <c r="AZ1870" s="9">
        <f>VLOOKUP(A1870,Jogos!A:BN,58,0)</f>
        <v>27.945</v>
      </c>
      <c r="BA1870" s="9">
        <f>VLOOKUP(A1870,Jogos!A:BN,59,0)</f>
        <v>22.19</v>
      </c>
      <c r="BB1870" s="9">
        <f>VLOOKUP(A1870,Jogos!A:BN,60,0)</f>
        <v>70.5</v>
      </c>
      <c r="BC1870" s="9">
        <f>VLOOKUP(A1870,Jogos!A:BN,61,0)</f>
        <v>27.13</v>
      </c>
      <c r="BD1870" s="9">
        <f>VLOOKUP(A1870,Jogos!A:BN,62,0)</f>
        <v>436.1</v>
      </c>
      <c r="BE1870" s="9">
        <f>VLOOKUP(A1870,Jogos!A:BN,63,0)</f>
        <v>2.185</v>
      </c>
      <c r="BF1870" s="9">
        <f>VLOOKUP(A1870,Jogos!A:BN,64,0)</f>
        <v>24.345</v>
      </c>
      <c r="BG1870" s="9">
        <f>VLOOKUP(A1870,Jogos!A:BN,65,0)</f>
        <v>42.105</v>
      </c>
      <c r="BH1870" s="9">
        <f>VLOOKUP(A1870,Jogos!A:BN,66,0)</f>
        <v>28.255</v>
      </c>
      <c r="BI1870" s="9"/>
      <c r="BJ1870" s="9"/>
    </row>
    <row r="1871" hidden="1">
      <c r="A1871" s="2">
        <v>63.0</v>
      </c>
      <c r="B1871" s="2" t="s">
        <v>1392</v>
      </c>
      <c r="C1871" s="2" t="s">
        <v>1351</v>
      </c>
      <c r="D1871" s="3">
        <v>45851.0</v>
      </c>
      <c r="E1871" s="4">
        <v>0.625</v>
      </c>
      <c r="F1871" s="5" t="str">
        <f>VLOOKUP(A1871,Jogos!A:N,10,0)</f>
        <v>Afternoon</v>
      </c>
      <c r="G1871" s="2" t="s">
        <v>249</v>
      </c>
      <c r="H1871" s="6" t="str">
        <f>VLOOKUP(A1871,Jogos!A:L,12,0)</f>
        <v>Open</v>
      </c>
      <c r="I1871" s="6" t="str">
        <f>VLOOKUP(G1871,'Estádios e Cidades'!A:B,2,0)</f>
        <v>East Rutherford</v>
      </c>
      <c r="J1871" s="2" t="s">
        <v>187</v>
      </c>
      <c r="K1871" s="2" t="str">
        <f>VLOOKUP(J1871,Equipes!A:F,6,0)</f>
        <v>Temperate</v>
      </c>
      <c r="L1871" s="2">
        <f>VLOOKUP(J1871,Equipes!A:C,3,0)</f>
        <v>2</v>
      </c>
      <c r="M1871" s="2" t="str">
        <f t="shared" si="4"/>
        <v>Final</v>
      </c>
      <c r="N1871" s="2" t="s">
        <v>377</v>
      </c>
      <c r="O1871" s="2">
        <f>VLOOKUP(N1871,Equipes!A:C,3,0)</f>
        <v>1</v>
      </c>
      <c r="P1871" s="2" t="str">
        <f t="shared" si="5"/>
        <v>Final</v>
      </c>
      <c r="Q1871" s="2">
        <f t="shared" si="6"/>
        <v>1</v>
      </c>
      <c r="R1871" s="2" t="str">
        <f>VLOOKUP(J1871,Equipes!A:B,2,0)</f>
        <v>PSG</v>
      </c>
      <c r="S1871" s="14" t="s">
        <v>213</v>
      </c>
      <c r="T1871" s="7">
        <v>24.0</v>
      </c>
      <c r="U1871" s="7" t="s">
        <v>214</v>
      </c>
      <c r="V1871" s="7" t="str">
        <f>VLOOKUP(U1871,Jogadores!B:C,2,0)</f>
        <v>MF</v>
      </c>
      <c r="W1871" s="8">
        <f>VLOOKUP(U1871,Jogadores!B:D,3,0)</f>
        <v>19.2109589</v>
      </c>
      <c r="X1871" s="7">
        <v>72.0</v>
      </c>
      <c r="Y1871" s="7">
        <f t="shared" si="5868"/>
        <v>95</v>
      </c>
      <c r="Z1871" s="7">
        <f>VLOOKUP(A1871,Jogos!A:L,3,0)</f>
        <v>51</v>
      </c>
      <c r="AA1871" s="7">
        <f t="shared" si="4815"/>
        <v>0</v>
      </c>
      <c r="AB1871" s="7">
        <f>VLOOKUP(A1871,Jogos!A:L,4,0)</f>
        <v>50</v>
      </c>
      <c r="AC1871" s="7">
        <f t="shared" si="5062"/>
        <v>23</v>
      </c>
      <c r="AD1871" s="7"/>
      <c r="AE1871" s="7"/>
      <c r="AF1871" s="7">
        <f t="shared" si="4566"/>
        <v>23</v>
      </c>
      <c r="AG1871" s="7">
        <v>2559.4</v>
      </c>
      <c r="AH1871" s="7">
        <v>798.2</v>
      </c>
      <c r="AI1871" s="7">
        <v>935.8</v>
      </c>
      <c r="AJ1871" s="7">
        <v>485.5</v>
      </c>
      <c r="AK1871" s="7">
        <v>247.0</v>
      </c>
      <c r="AL1871" s="7">
        <v>92.9</v>
      </c>
      <c r="AM1871" s="7">
        <v>40.0</v>
      </c>
      <c r="AN1871" s="7">
        <v>19.0</v>
      </c>
      <c r="AO1871" s="7">
        <v>30.0</v>
      </c>
      <c r="AP1871" s="9">
        <f t="shared" ref="AP1871:AR1871" si="5869">AG1871/$AF1871</f>
        <v>111.2782609</v>
      </c>
      <c r="AQ1871" s="9">
        <f t="shared" si="5869"/>
        <v>34.70434783</v>
      </c>
      <c r="AR1871" s="9">
        <f t="shared" si="5869"/>
        <v>40.68695652</v>
      </c>
      <c r="AS1871" s="9">
        <f t="shared" si="4568"/>
        <v>75.39130435</v>
      </c>
      <c r="AT1871" s="9">
        <f t="shared" ref="AT1871:AV1871" si="5870">AJ1871/$AF1871</f>
        <v>21.10869565</v>
      </c>
      <c r="AU1871" s="9">
        <f t="shared" si="5870"/>
        <v>10.73913043</v>
      </c>
      <c r="AV1871" s="9">
        <f t="shared" si="5870"/>
        <v>4.039130435</v>
      </c>
      <c r="AW1871" s="9">
        <f t="shared" si="4570"/>
        <v>14.77826087</v>
      </c>
      <c r="AX1871" s="9">
        <f t="shared" ref="AX1871:AY1871" si="5871">AM1871/$AF1871</f>
        <v>1.739130435</v>
      </c>
      <c r="AY1871" s="9">
        <f t="shared" si="5871"/>
        <v>0.8260869565</v>
      </c>
      <c r="AZ1871" s="9">
        <f>VLOOKUP(A1871,Jogos!A:BN,58,0)</f>
        <v>27.945</v>
      </c>
      <c r="BA1871" s="9">
        <f>VLOOKUP(A1871,Jogos!A:BN,59,0)</f>
        <v>22.19</v>
      </c>
      <c r="BB1871" s="9">
        <f>VLOOKUP(A1871,Jogos!A:BN,60,0)</f>
        <v>70.5</v>
      </c>
      <c r="BC1871" s="9">
        <f>VLOOKUP(A1871,Jogos!A:BN,61,0)</f>
        <v>27.13</v>
      </c>
      <c r="BD1871" s="9">
        <f>VLOOKUP(A1871,Jogos!A:BN,62,0)</f>
        <v>436.1</v>
      </c>
      <c r="BE1871" s="9">
        <f>VLOOKUP(A1871,Jogos!A:BN,63,0)</f>
        <v>2.185</v>
      </c>
      <c r="BF1871" s="9">
        <f>VLOOKUP(A1871,Jogos!A:BN,64,0)</f>
        <v>24.345</v>
      </c>
      <c r="BG1871" s="9">
        <f>VLOOKUP(A1871,Jogos!A:BN,65,0)</f>
        <v>42.105</v>
      </c>
      <c r="BH1871" s="9">
        <f>VLOOKUP(A1871,Jogos!A:BN,66,0)</f>
        <v>28.255</v>
      </c>
      <c r="BI1871" s="9"/>
      <c r="BJ1871" s="9"/>
    </row>
    <row r="1872" hidden="1">
      <c r="A1872" s="2">
        <v>63.0</v>
      </c>
      <c r="B1872" s="2" t="s">
        <v>1392</v>
      </c>
      <c r="C1872" s="2" t="s">
        <v>1351</v>
      </c>
      <c r="D1872" s="3">
        <v>45851.0</v>
      </c>
      <c r="E1872" s="4">
        <v>0.625</v>
      </c>
      <c r="F1872" s="5" t="str">
        <f>VLOOKUP(A1872,Jogos!A:N,10,0)</f>
        <v>Afternoon</v>
      </c>
      <c r="G1872" s="2" t="s">
        <v>249</v>
      </c>
      <c r="H1872" s="6" t="str">
        <f>VLOOKUP(A1872,Jogos!A:L,12,0)</f>
        <v>Open</v>
      </c>
      <c r="I1872" s="6" t="str">
        <f>VLOOKUP(G1872,'Estádios e Cidades'!A:B,2,0)</f>
        <v>East Rutherford</v>
      </c>
      <c r="J1872" s="2" t="s">
        <v>187</v>
      </c>
      <c r="K1872" s="2" t="str">
        <f>VLOOKUP(J1872,Equipes!A:F,6,0)</f>
        <v>Temperate</v>
      </c>
      <c r="L1872" s="2">
        <f>VLOOKUP(J1872,Equipes!A:C,3,0)</f>
        <v>2</v>
      </c>
      <c r="M1872" s="2" t="str">
        <f t="shared" si="4"/>
        <v>Final</v>
      </c>
      <c r="N1872" s="2" t="s">
        <v>377</v>
      </c>
      <c r="O1872" s="2">
        <f>VLOOKUP(N1872,Equipes!A:C,3,0)</f>
        <v>1</v>
      </c>
      <c r="P1872" s="2" t="str">
        <f t="shared" si="5"/>
        <v>Final</v>
      </c>
      <c r="Q1872" s="2">
        <f t="shared" si="6"/>
        <v>1</v>
      </c>
      <c r="R1872" s="2" t="str">
        <f>VLOOKUP(J1872,Equipes!A:B,2,0)</f>
        <v>PSG</v>
      </c>
      <c r="S1872" s="14" t="s">
        <v>1096</v>
      </c>
      <c r="T1872" s="7">
        <v>29.0</v>
      </c>
      <c r="U1872" s="7" t="s">
        <v>1097</v>
      </c>
      <c r="V1872" s="7" t="str">
        <f>VLOOKUP(U1872,Jogadores!B:C,2,0)</f>
        <v>FW</v>
      </c>
      <c r="W1872" s="8">
        <f>VLOOKUP(U1872,Jogadores!B:D,3,0)</f>
        <v>22.91780822</v>
      </c>
      <c r="X1872" s="7">
        <v>58.0</v>
      </c>
      <c r="Y1872" s="7">
        <f t="shared" si="5868"/>
        <v>95</v>
      </c>
      <c r="Z1872" s="7">
        <f>VLOOKUP(A1872,Jogos!A:L,3,0)</f>
        <v>51</v>
      </c>
      <c r="AA1872" s="7">
        <f t="shared" si="4815"/>
        <v>0</v>
      </c>
      <c r="AB1872" s="7">
        <f>VLOOKUP(A1872,Jogos!A:L,4,0)</f>
        <v>50</v>
      </c>
      <c r="AC1872" s="7">
        <f t="shared" si="5062"/>
        <v>37</v>
      </c>
      <c r="AD1872" s="7"/>
      <c r="AE1872" s="7"/>
      <c r="AF1872" s="7">
        <f t="shared" si="4566"/>
        <v>37</v>
      </c>
      <c r="AG1872" s="7">
        <v>3468.0</v>
      </c>
      <c r="AH1872" s="7">
        <v>1598.9</v>
      </c>
      <c r="AI1872" s="7">
        <v>1118.1</v>
      </c>
      <c r="AJ1872" s="7">
        <v>337.1</v>
      </c>
      <c r="AK1872" s="7">
        <v>282.9</v>
      </c>
      <c r="AL1872" s="7">
        <v>131.0</v>
      </c>
      <c r="AM1872" s="7">
        <v>27.0</v>
      </c>
      <c r="AN1872" s="7">
        <v>22.0</v>
      </c>
      <c r="AO1872" s="7">
        <v>33.3</v>
      </c>
      <c r="AP1872" s="9">
        <f t="shared" ref="AP1872:AR1872" si="5872">AG1872/$AF1872</f>
        <v>93.72972973</v>
      </c>
      <c r="AQ1872" s="9">
        <f t="shared" si="5872"/>
        <v>43.21351351</v>
      </c>
      <c r="AR1872" s="9">
        <f t="shared" si="5872"/>
        <v>30.21891892</v>
      </c>
      <c r="AS1872" s="9">
        <f t="shared" si="4568"/>
        <v>73.43243243</v>
      </c>
      <c r="AT1872" s="9">
        <f t="shared" ref="AT1872:AV1872" si="5873">AJ1872/$AF1872</f>
        <v>9.110810811</v>
      </c>
      <c r="AU1872" s="9">
        <f t="shared" si="5873"/>
        <v>7.645945946</v>
      </c>
      <c r="AV1872" s="9">
        <f t="shared" si="5873"/>
        <v>3.540540541</v>
      </c>
      <c r="AW1872" s="9">
        <f t="shared" si="4570"/>
        <v>11.18648649</v>
      </c>
      <c r="AX1872" s="9">
        <f t="shared" ref="AX1872:AY1872" si="5874">AM1872/$AF1872</f>
        <v>0.7297297297</v>
      </c>
      <c r="AY1872" s="9">
        <f t="shared" si="5874"/>
        <v>0.5945945946</v>
      </c>
      <c r="AZ1872" s="9">
        <f>VLOOKUP(A1872,Jogos!A:BN,58,0)</f>
        <v>27.945</v>
      </c>
      <c r="BA1872" s="9">
        <f>VLOOKUP(A1872,Jogos!A:BN,59,0)</f>
        <v>22.19</v>
      </c>
      <c r="BB1872" s="9">
        <f>VLOOKUP(A1872,Jogos!A:BN,60,0)</f>
        <v>70.5</v>
      </c>
      <c r="BC1872" s="9">
        <f>VLOOKUP(A1872,Jogos!A:BN,61,0)</f>
        <v>27.13</v>
      </c>
      <c r="BD1872" s="9">
        <f>VLOOKUP(A1872,Jogos!A:BN,62,0)</f>
        <v>436.1</v>
      </c>
      <c r="BE1872" s="9">
        <f>VLOOKUP(A1872,Jogos!A:BN,63,0)</f>
        <v>2.185</v>
      </c>
      <c r="BF1872" s="9">
        <f>VLOOKUP(A1872,Jogos!A:BN,64,0)</f>
        <v>24.345</v>
      </c>
      <c r="BG1872" s="9">
        <f>VLOOKUP(A1872,Jogos!A:BN,65,0)</f>
        <v>42.105</v>
      </c>
      <c r="BH1872" s="9">
        <f>VLOOKUP(A1872,Jogos!A:BN,66,0)</f>
        <v>28.255</v>
      </c>
      <c r="BI1872" s="9"/>
      <c r="BJ1872" s="9"/>
    </row>
    <row r="1873" hidden="1">
      <c r="A1873" s="2">
        <v>63.0</v>
      </c>
      <c r="B1873" s="2" t="s">
        <v>1392</v>
      </c>
      <c r="C1873" s="2" t="s">
        <v>1351</v>
      </c>
      <c r="D1873" s="3">
        <v>45851.0</v>
      </c>
      <c r="E1873" s="4">
        <v>0.625</v>
      </c>
      <c r="F1873" s="5" t="str">
        <f>VLOOKUP(A1873,Jogos!A:N,10,0)</f>
        <v>Afternoon</v>
      </c>
      <c r="G1873" s="2" t="s">
        <v>249</v>
      </c>
      <c r="H1873" s="6" t="str">
        <f>VLOOKUP(A1873,Jogos!A:L,12,0)</f>
        <v>Open</v>
      </c>
      <c r="I1873" s="6" t="str">
        <f>VLOOKUP(G1873,'Estádios e Cidades'!A:B,2,0)</f>
        <v>East Rutherford</v>
      </c>
      <c r="J1873" s="2" t="s">
        <v>187</v>
      </c>
      <c r="K1873" s="2" t="str">
        <f>VLOOKUP(J1873,Equipes!A:F,6,0)</f>
        <v>Temperate</v>
      </c>
      <c r="L1873" s="2">
        <f>VLOOKUP(J1873,Equipes!A:C,3,0)</f>
        <v>2</v>
      </c>
      <c r="M1873" s="2" t="str">
        <f t="shared" si="4"/>
        <v>Final</v>
      </c>
      <c r="N1873" s="2" t="s">
        <v>377</v>
      </c>
      <c r="O1873" s="2">
        <f>VLOOKUP(N1873,Equipes!A:C,3,0)</f>
        <v>1</v>
      </c>
      <c r="P1873" s="2" t="str">
        <f t="shared" si="5"/>
        <v>Final</v>
      </c>
      <c r="Q1873" s="2">
        <f t="shared" si="6"/>
        <v>1</v>
      </c>
      <c r="R1873" s="2" t="str">
        <f>VLOOKUP(J1873,Equipes!A:B,2,0)</f>
        <v>PSG</v>
      </c>
      <c r="S1873" s="14" t="s">
        <v>215</v>
      </c>
      <c r="T1873" s="7">
        <v>33.0</v>
      </c>
      <c r="U1873" s="7" t="s">
        <v>216</v>
      </c>
      <c r="V1873" s="24" t="str">
        <f>VLOOKUP(U1873,Jogadores!B:C,2,0)</f>
        <v>MF</v>
      </c>
      <c r="W1873" s="8">
        <f>VLOOKUP(U1873,Jogadores!B:D,3,0)</f>
        <v>19.40273973</v>
      </c>
      <c r="X1873" s="7">
        <v>73.0</v>
      </c>
      <c r="Y1873" s="7">
        <f t="shared" si="5868"/>
        <v>95</v>
      </c>
      <c r="Z1873" s="7">
        <f>VLOOKUP(A1873,Jogos!A:L,3,0)</f>
        <v>51</v>
      </c>
      <c r="AA1873" s="7">
        <f t="shared" si="4815"/>
        <v>0</v>
      </c>
      <c r="AB1873" s="7">
        <f>VLOOKUP(A1873,Jogos!A:L,4,0)</f>
        <v>50</v>
      </c>
      <c r="AC1873" s="7">
        <f t="shared" si="5062"/>
        <v>22</v>
      </c>
      <c r="AD1873" s="7"/>
      <c r="AE1873" s="7"/>
      <c r="AF1873" s="7">
        <f t="shared" si="4566"/>
        <v>22</v>
      </c>
      <c r="AG1873" s="7">
        <v>2521.4</v>
      </c>
      <c r="AH1873" s="7">
        <v>786.7</v>
      </c>
      <c r="AI1873" s="7">
        <v>814.9</v>
      </c>
      <c r="AJ1873" s="7">
        <v>528.1</v>
      </c>
      <c r="AK1873" s="7">
        <v>287.4</v>
      </c>
      <c r="AL1873" s="7">
        <v>104.3</v>
      </c>
      <c r="AM1873" s="7">
        <v>50.0</v>
      </c>
      <c r="AN1873" s="7">
        <v>19.0</v>
      </c>
      <c r="AO1873" s="7">
        <v>29.9</v>
      </c>
      <c r="AP1873" s="9">
        <f t="shared" ref="AP1873:AR1873" si="5875">AG1873/$AF1873</f>
        <v>114.6090909</v>
      </c>
      <c r="AQ1873" s="9">
        <f t="shared" si="5875"/>
        <v>35.75909091</v>
      </c>
      <c r="AR1873" s="9">
        <f t="shared" si="5875"/>
        <v>37.04090909</v>
      </c>
      <c r="AS1873" s="9">
        <f t="shared" si="4568"/>
        <v>72.8</v>
      </c>
      <c r="AT1873" s="9">
        <f t="shared" ref="AT1873:AV1873" si="5876">AJ1873/$AF1873</f>
        <v>24.00454545</v>
      </c>
      <c r="AU1873" s="9">
        <f t="shared" si="5876"/>
        <v>13.06363636</v>
      </c>
      <c r="AV1873" s="9">
        <f t="shared" si="5876"/>
        <v>4.740909091</v>
      </c>
      <c r="AW1873" s="9">
        <f t="shared" si="4570"/>
        <v>17.80454545</v>
      </c>
      <c r="AX1873" s="9">
        <f t="shared" ref="AX1873:AY1873" si="5877">AM1873/$AF1873</f>
        <v>2.272727273</v>
      </c>
      <c r="AY1873" s="9">
        <f t="shared" si="5877"/>
        <v>0.8636363636</v>
      </c>
      <c r="AZ1873" s="9">
        <f>VLOOKUP(A1873,Jogos!A:BN,58,0)</f>
        <v>27.945</v>
      </c>
      <c r="BA1873" s="9">
        <f>VLOOKUP(A1873,Jogos!A:BN,59,0)</f>
        <v>22.19</v>
      </c>
      <c r="BB1873" s="9">
        <f>VLOOKUP(A1873,Jogos!A:BN,60,0)</f>
        <v>70.5</v>
      </c>
      <c r="BC1873" s="9">
        <f>VLOOKUP(A1873,Jogos!A:BN,61,0)</f>
        <v>27.13</v>
      </c>
      <c r="BD1873" s="9">
        <f>VLOOKUP(A1873,Jogos!A:BN,62,0)</f>
        <v>436.1</v>
      </c>
      <c r="BE1873" s="9">
        <f>VLOOKUP(A1873,Jogos!A:BN,63,0)</f>
        <v>2.185</v>
      </c>
      <c r="BF1873" s="9">
        <f>VLOOKUP(A1873,Jogos!A:BN,64,0)</f>
        <v>24.345</v>
      </c>
      <c r="BG1873" s="9">
        <f>VLOOKUP(A1873,Jogos!A:BN,65,0)</f>
        <v>42.105</v>
      </c>
      <c r="BH1873" s="9">
        <f>VLOOKUP(A1873,Jogos!A:BN,66,0)</f>
        <v>28.255</v>
      </c>
      <c r="BI1873" s="9"/>
      <c r="BJ1873" s="9"/>
    </row>
    <row r="1874" hidden="1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V1874" s="25"/>
      <c r="AG1874" s="6"/>
      <c r="AH1874" s="6"/>
      <c r="AI1874" s="6"/>
      <c r="AJ1874" s="6"/>
      <c r="AK1874" s="6"/>
      <c r="AL1874" s="6"/>
      <c r="AM1874" s="6"/>
      <c r="AN1874" s="6"/>
      <c r="AO1874" s="6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</row>
    <row r="1875" hidden="1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21"/>
      <c r="U1875" s="6"/>
      <c r="V1875" s="25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</row>
    <row r="1876" hidden="1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21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26"/>
      <c r="AQ1876" s="26"/>
      <c r="AR1876" s="26"/>
      <c r="AS1876" s="26"/>
      <c r="AT1876" s="26"/>
      <c r="AU1876" s="26"/>
      <c r="AV1876" s="26"/>
      <c r="AW1876" s="26"/>
      <c r="AX1876" s="26"/>
      <c r="AY1876" s="26"/>
      <c r="AZ1876" s="26"/>
      <c r="BA1876" s="26"/>
      <c r="BB1876" s="26"/>
      <c r="BC1876" s="26"/>
      <c r="BD1876" s="26"/>
      <c r="BE1876" s="26"/>
      <c r="BF1876" s="26"/>
      <c r="BG1876" s="26"/>
      <c r="BH1876" s="26"/>
      <c r="BI1876" s="26"/>
      <c r="BJ1876" s="26"/>
    </row>
    <row r="1877" hidden="1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21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</row>
    <row r="1878" hidden="1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21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</row>
    <row r="1879" hidden="1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21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</row>
    <row r="1880" hidden="1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21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</row>
    <row r="1881" hidden="1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21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</row>
    <row r="1882" hidden="1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21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</row>
    <row r="1883" hidden="1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21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</row>
    <row r="1884" hidden="1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21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</row>
    <row r="1885" hidden="1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21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</row>
    <row r="1886" hidden="1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21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</row>
    <row r="1887" hidden="1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21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</row>
    <row r="1888" hidden="1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21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</row>
    <row r="1889" hidden="1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21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</row>
    <row r="1890" hidden="1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21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</row>
    <row r="1891" hidden="1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21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</row>
    <row r="1892" hidden="1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21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</row>
    <row r="1893" hidden="1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21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</row>
    <row r="1894" hidden="1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21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</row>
    <row r="1895" hidden="1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21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</row>
    <row r="1896" hidden="1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21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</row>
    <row r="1897" hidden="1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21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</row>
    <row r="1898" hidden="1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21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</row>
    <row r="1899" hidden="1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21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</row>
    <row r="1900" hidden="1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21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</row>
    <row r="1901" hidden="1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21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</row>
    <row r="1902" hidden="1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21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</row>
    <row r="1903" hidden="1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21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</row>
    <row r="1904" hidden="1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21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</row>
    <row r="1905" hidden="1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21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</row>
    <row r="1906" hidden="1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21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</row>
    <row r="1907" hidden="1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21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</row>
    <row r="1908" hidden="1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21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</row>
    <row r="1909" hidden="1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21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</row>
    <row r="1910" hidden="1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21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</row>
    <row r="1911" hidden="1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21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</row>
    <row r="1912" hidden="1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21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</row>
    <row r="1913" hidden="1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21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</row>
    <row r="1914" hidden="1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21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</row>
    <row r="1915" hidden="1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21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</row>
    <row r="1916" hidden="1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21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</row>
    <row r="1917" hidden="1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21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</row>
    <row r="1918" hidden="1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21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</row>
    <row r="1919" hidden="1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21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</row>
    <row r="1920" hidden="1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21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</row>
    <row r="1921" hidden="1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21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</row>
    <row r="1922" hidden="1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21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</row>
    <row r="1923" hidden="1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21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</row>
    <row r="1924" hidden="1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21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</row>
    <row r="1925" hidden="1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21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</row>
    <row r="1926" hidden="1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21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</row>
    <row r="1927" hidden="1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21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</row>
    <row r="1928" hidden="1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21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</row>
    <row r="1929" hidden="1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21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</row>
    <row r="1930" hidden="1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21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</row>
    <row r="1931" hidden="1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21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</row>
    <row r="1932" hidden="1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21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</row>
    <row r="1933" hidden="1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21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</row>
    <row r="1934" hidden="1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21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</row>
    <row r="1935" hidden="1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21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</row>
    <row r="1936" hidden="1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21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</row>
    <row r="1937" hidden="1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21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</row>
    <row r="1938" hidden="1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21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</row>
    <row r="1939" hidden="1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21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</row>
    <row r="1940" hidden="1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21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</row>
    <row r="1941" hidden="1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21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</row>
    <row r="1942" hidden="1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21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</row>
    <row r="1943" hidden="1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21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</row>
    <row r="1944" hidden="1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21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</row>
    <row r="1945" hidden="1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21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</row>
    <row r="1946" hidden="1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21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</row>
    <row r="1947" hidden="1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21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</row>
    <row r="1948" hidden="1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21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</row>
    <row r="1949" hidden="1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21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</row>
    <row r="1950" hidden="1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21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</row>
    <row r="1951" hidden="1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21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</row>
    <row r="1952" hidden="1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21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</row>
    <row r="1953" hidden="1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21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</row>
    <row r="1954" hidden="1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21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</row>
    <row r="1955" hidden="1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21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</row>
    <row r="1956" hidden="1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21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</row>
    <row r="1957" hidden="1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21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</row>
    <row r="1958" hidden="1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21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</row>
    <row r="1959" hidden="1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21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</row>
    <row r="1960" hidden="1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21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</row>
    <row r="1961" hidden="1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21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</row>
    <row r="1962" hidden="1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21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</row>
    <row r="1963" hidden="1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21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</row>
    <row r="1964" hidden="1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21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</row>
    <row r="1965" hidden="1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21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</row>
    <row r="1966" hidden="1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21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</row>
    <row r="1967" hidden="1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21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</row>
    <row r="1968" hidden="1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21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</row>
    <row r="1969" hidden="1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21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</row>
    <row r="1970" hidden="1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21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</row>
    <row r="1971" hidden="1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21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</row>
    <row r="1972" hidden="1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21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</row>
    <row r="1973" hidden="1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21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</row>
    <row r="1974" hidden="1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21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</row>
    <row r="1975" hidden="1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21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</row>
    <row r="1976" hidden="1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21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</row>
    <row r="1977" hidden="1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21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</row>
    <row r="1978" hidden="1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21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</row>
    <row r="1979" hidden="1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21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</row>
    <row r="1980" hidden="1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21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</row>
    <row r="1981" hidden="1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21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</row>
    <row r="1982" hidden="1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21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</row>
    <row r="1983" hidden="1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21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</row>
    <row r="1984" hidden="1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21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</row>
    <row r="1985" hidden="1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21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</row>
    <row r="1986" hidden="1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21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</row>
    <row r="1987" hidden="1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21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</row>
    <row r="1988" hidden="1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21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</row>
    <row r="1989" hidden="1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21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</row>
    <row r="1990" hidden="1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21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</row>
    <row r="1991" hidden="1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21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</row>
    <row r="1992" hidden="1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21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</row>
    <row r="1993" hidden="1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21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</row>
    <row r="1994" hidden="1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21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</row>
    <row r="1995" hidden="1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21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</row>
    <row r="1996" hidden="1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21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</row>
    <row r="1997" hidden="1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21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</row>
    <row r="1998" hidden="1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21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</row>
    <row r="1999" hidden="1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21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</row>
    <row r="2000" hidden="1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21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</row>
    <row r="2001" hidden="1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21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</row>
    <row r="2002" hidden="1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21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</row>
    <row r="2003" hidden="1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21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</row>
    <row r="2004" hidden="1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21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</row>
    <row r="2005" hidden="1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21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</row>
    <row r="2006" hidden="1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21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</row>
    <row r="2007" hidden="1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21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</row>
    <row r="2008" hidden="1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21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</row>
    <row r="2009" hidden="1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21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</row>
    <row r="2010" hidden="1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21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</row>
    <row r="2011" hidden="1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21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</row>
  </sheetData>
  <autoFilter ref="$A$1:$BH$2011">
    <filterColumn colId="0">
      <filters>
        <filter val="42"/>
      </filters>
    </filterColumn>
    <filterColumn colId="9">
      <filters blank="1">
        <filter val="Seattle Sounders FC"/>
        <filter val="FC Porto"/>
        <filter val="Espérance de Tunisie"/>
        <filter val="CA River Plate"/>
        <filter val="CF Monterrey"/>
        <filter val="Manchester City"/>
        <filter val="FC Bayern Munchen"/>
        <filter val="Juventus FC"/>
        <filter val="Botafogo"/>
        <filter val="LAFC"/>
        <filter val="Al Hilal"/>
        <filter val="CF Pachuca"/>
        <filter val="Auckland City FC"/>
        <filter val="Real Madrid C.F."/>
        <filter val="Mamelodi Sundowns FC"/>
        <filter val="Ulsan HD"/>
        <filter val="Wydad AC"/>
        <filter val="Paris Saint-Germain"/>
        <filter val="Inter Miami CF"/>
        <filter val="Atlético de Madrid"/>
        <filter val="CR Flamengo"/>
        <filter val="Al Ain FC"/>
        <filter val="Chelsea FC"/>
        <filter val="Al Ahly FC"/>
        <filter val="Borussia Dortmund"/>
        <filter val="CA Boca Juniors"/>
        <filter val="Palmeiras"/>
        <filter val="FC Internazionale Milano"/>
        <filter val="FC Salzburg"/>
        <filter val="Urawa Red Diamonds"/>
        <filter val="SL Benfic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4.75"/>
    <col customWidth="1" min="3" max="3" width="15.5"/>
    <col customWidth="1" min="7" max="9" width="24.75"/>
  </cols>
  <sheetData>
    <row r="1">
      <c r="A1" s="27" t="s">
        <v>1393</v>
      </c>
      <c r="B1" s="27" t="s">
        <v>1394</v>
      </c>
      <c r="C1" s="27" t="s">
        <v>1395</v>
      </c>
      <c r="D1" s="28" t="s">
        <v>1396</v>
      </c>
      <c r="E1" s="28" t="s">
        <v>1397</v>
      </c>
      <c r="F1" s="29">
        <v>45866.0</v>
      </c>
      <c r="G1" s="30"/>
      <c r="H1" s="30" t="s">
        <v>9</v>
      </c>
      <c r="I1" s="30" t="s">
        <v>20</v>
      </c>
      <c r="J1" s="30" t="s">
        <v>1398</v>
      </c>
    </row>
    <row r="2">
      <c r="A2" s="31" t="s">
        <v>63</v>
      </c>
      <c r="B2" s="31" t="s">
        <v>1399</v>
      </c>
      <c r="C2" s="31" t="s">
        <v>1400</v>
      </c>
      <c r="D2" s="32" t="str">
        <f t="shared" ref="D2:D842" si="1">($F$1-E2)/365</f>
        <v>#N/A</v>
      </c>
      <c r="E2" s="14" t="str">
        <f t="shared" ref="E2:E828" si="2">VLOOKUP(B2,I:J,2,0)</f>
        <v>#N/A</v>
      </c>
      <c r="G2" s="11"/>
      <c r="H2" s="11" t="s">
        <v>63</v>
      </c>
      <c r="I2" s="33" t="s">
        <v>66</v>
      </c>
      <c r="J2" s="34">
        <v>36409.0</v>
      </c>
    </row>
    <row r="3">
      <c r="A3" s="31" t="s">
        <v>63</v>
      </c>
      <c r="B3" s="31" t="s">
        <v>66</v>
      </c>
      <c r="C3" s="31" t="s">
        <v>1311</v>
      </c>
      <c r="D3" s="32">
        <f t="shared" si="1"/>
        <v>25.90958904</v>
      </c>
      <c r="E3" s="35">
        <f t="shared" si="2"/>
        <v>36409</v>
      </c>
      <c r="G3" s="11"/>
      <c r="H3" s="11" t="s">
        <v>63</v>
      </c>
      <c r="I3" s="33" t="s">
        <v>68</v>
      </c>
      <c r="J3" s="34">
        <v>34010.0</v>
      </c>
    </row>
    <row r="4">
      <c r="A4" s="31" t="s">
        <v>63</v>
      </c>
      <c r="B4" s="31" t="s">
        <v>68</v>
      </c>
      <c r="C4" s="31" t="s">
        <v>1272</v>
      </c>
      <c r="D4" s="32">
        <f t="shared" si="1"/>
        <v>32.48219178</v>
      </c>
      <c r="E4" s="35">
        <f t="shared" si="2"/>
        <v>34010</v>
      </c>
      <c r="G4" s="11"/>
      <c r="H4" s="11" t="s">
        <v>63</v>
      </c>
      <c r="I4" s="33" t="s">
        <v>70</v>
      </c>
      <c r="J4" s="34">
        <v>34608.0</v>
      </c>
    </row>
    <row r="5">
      <c r="A5" s="31" t="s">
        <v>63</v>
      </c>
      <c r="B5" s="31" t="s">
        <v>70</v>
      </c>
      <c r="C5" s="31" t="s">
        <v>1311</v>
      </c>
      <c r="D5" s="32">
        <f t="shared" si="1"/>
        <v>30.84383562</v>
      </c>
      <c r="E5" s="35">
        <f t="shared" si="2"/>
        <v>34608</v>
      </c>
      <c r="G5" s="11"/>
      <c r="H5" s="11" t="s">
        <v>63</v>
      </c>
      <c r="I5" s="33" t="s">
        <v>72</v>
      </c>
      <c r="J5" s="34">
        <v>34606.0</v>
      </c>
    </row>
    <row r="6">
      <c r="A6" s="31" t="s">
        <v>63</v>
      </c>
      <c r="B6" s="31" t="s">
        <v>72</v>
      </c>
      <c r="C6" s="31" t="s">
        <v>1311</v>
      </c>
      <c r="D6" s="32">
        <f t="shared" si="1"/>
        <v>30.84931507</v>
      </c>
      <c r="E6" s="35">
        <f t="shared" si="2"/>
        <v>34606</v>
      </c>
      <c r="G6" s="11"/>
      <c r="H6" s="11" t="s">
        <v>63</v>
      </c>
      <c r="I6" s="33" t="s">
        <v>74</v>
      </c>
      <c r="J6" s="34">
        <v>36164.0</v>
      </c>
    </row>
    <row r="7">
      <c r="A7" s="31" t="s">
        <v>63</v>
      </c>
      <c r="B7" s="31" t="s">
        <v>74</v>
      </c>
      <c r="C7" s="31" t="s">
        <v>1133</v>
      </c>
      <c r="D7" s="32">
        <f t="shared" si="1"/>
        <v>26.58082192</v>
      </c>
      <c r="E7" s="35">
        <f t="shared" si="2"/>
        <v>36164</v>
      </c>
      <c r="G7" s="11"/>
      <c r="H7" s="11" t="s">
        <v>63</v>
      </c>
      <c r="I7" s="33" t="s">
        <v>76</v>
      </c>
      <c r="J7" s="34">
        <v>36019.0</v>
      </c>
    </row>
    <row r="8">
      <c r="A8" s="31" t="s">
        <v>63</v>
      </c>
      <c r="B8" s="31" t="s">
        <v>76</v>
      </c>
      <c r="C8" s="31" t="s">
        <v>1311</v>
      </c>
      <c r="D8" s="32">
        <f t="shared" si="1"/>
        <v>26.97808219</v>
      </c>
      <c r="E8" s="35">
        <f t="shared" si="2"/>
        <v>36019</v>
      </c>
      <c r="G8" s="11"/>
      <c r="H8" s="11" t="s">
        <v>63</v>
      </c>
      <c r="I8" s="33" t="s">
        <v>78</v>
      </c>
      <c r="J8" s="34">
        <v>36286.0</v>
      </c>
    </row>
    <row r="9">
      <c r="A9" s="31" t="s">
        <v>63</v>
      </c>
      <c r="B9" s="31" t="s">
        <v>78</v>
      </c>
      <c r="C9" s="31" t="s">
        <v>1272</v>
      </c>
      <c r="D9" s="32">
        <f t="shared" si="1"/>
        <v>26.24657534</v>
      </c>
      <c r="E9" s="35">
        <f t="shared" si="2"/>
        <v>36286</v>
      </c>
      <c r="G9" s="11"/>
      <c r="H9" s="11" t="s">
        <v>63</v>
      </c>
      <c r="I9" s="33" t="s">
        <v>80</v>
      </c>
      <c r="J9" s="34">
        <v>35846.0</v>
      </c>
    </row>
    <row r="10">
      <c r="A10" s="31" t="s">
        <v>63</v>
      </c>
      <c r="B10" s="31" t="s">
        <v>80</v>
      </c>
      <c r="C10" s="31" t="s">
        <v>1311</v>
      </c>
      <c r="D10" s="32">
        <f t="shared" si="1"/>
        <v>27.45205479</v>
      </c>
      <c r="E10" s="35">
        <f t="shared" si="2"/>
        <v>35846</v>
      </c>
      <c r="G10" s="11"/>
      <c r="H10" s="11" t="s">
        <v>63</v>
      </c>
      <c r="I10" s="33" t="s">
        <v>82</v>
      </c>
      <c r="J10" s="34">
        <v>35089.0</v>
      </c>
    </row>
    <row r="11">
      <c r="A11" s="31" t="s">
        <v>63</v>
      </c>
      <c r="B11" s="31" t="s">
        <v>82</v>
      </c>
      <c r="C11" s="31" t="s">
        <v>1272</v>
      </c>
      <c r="D11" s="32">
        <f t="shared" si="1"/>
        <v>29.5260274</v>
      </c>
      <c r="E11" s="35">
        <f t="shared" si="2"/>
        <v>35089</v>
      </c>
      <c r="G11" s="11"/>
      <c r="H11" s="11" t="s">
        <v>63</v>
      </c>
      <c r="I11" s="33" t="s">
        <v>84</v>
      </c>
      <c r="J11" s="34">
        <v>37076.0</v>
      </c>
    </row>
    <row r="12">
      <c r="A12" s="31" t="s">
        <v>63</v>
      </c>
      <c r="B12" s="31" t="s">
        <v>84</v>
      </c>
      <c r="C12" s="31" t="s">
        <v>1311</v>
      </c>
      <c r="D12" s="32">
        <f t="shared" si="1"/>
        <v>24.08219178</v>
      </c>
      <c r="E12" s="35">
        <f t="shared" si="2"/>
        <v>37076</v>
      </c>
      <c r="G12" s="11"/>
      <c r="H12" s="11" t="s">
        <v>63</v>
      </c>
      <c r="I12" s="33" t="s">
        <v>86</v>
      </c>
      <c r="J12" s="34">
        <v>37474.0</v>
      </c>
    </row>
    <row r="13">
      <c r="A13" s="31" t="s">
        <v>63</v>
      </c>
      <c r="B13" s="31" t="s">
        <v>1401</v>
      </c>
      <c r="C13" s="31" t="s">
        <v>1400</v>
      </c>
      <c r="D13" s="32" t="str">
        <f t="shared" si="1"/>
        <v>#N/A</v>
      </c>
      <c r="E13" s="14" t="str">
        <f t="shared" si="2"/>
        <v>#N/A</v>
      </c>
      <c r="G13" s="11"/>
      <c r="H13" s="11" t="s">
        <v>63</v>
      </c>
      <c r="I13" s="33" t="s">
        <v>88</v>
      </c>
      <c r="J13" s="34">
        <v>33776.0</v>
      </c>
    </row>
    <row r="14">
      <c r="A14" s="31" t="s">
        <v>63</v>
      </c>
      <c r="B14" s="31" t="s">
        <v>1402</v>
      </c>
      <c r="C14" s="31" t="s">
        <v>1272</v>
      </c>
      <c r="D14" s="32" t="str">
        <f t="shared" si="1"/>
        <v>#N/A</v>
      </c>
      <c r="E14" s="14" t="str">
        <f t="shared" si="2"/>
        <v>#N/A</v>
      </c>
      <c r="G14" s="11"/>
      <c r="H14" s="11" t="s">
        <v>63</v>
      </c>
      <c r="I14" s="33" t="s">
        <v>90</v>
      </c>
      <c r="J14" s="34">
        <v>35219.0</v>
      </c>
    </row>
    <row r="15">
      <c r="A15" s="31" t="s">
        <v>63</v>
      </c>
      <c r="B15" s="31" t="s">
        <v>1252</v>
      </c>
      <c r="C15" s="31" t="s">
        <v>1272</v>
      </c>
      <c r="D15" s="32">
        <f t="shared" si="1"/>
        <v>31.84931507</v>
      </c>
      <c r="E15" s="35">
        <f t="shared" si="2"/>
        <v>34241</v>
      </c>
      <c r="G15" s="11"/>
      <c r="H15" s="11" t="s">
        <v>63</v>
      </c>
      <c r="I15" s="33" t="s">
        <v>92</v>
      </c>
      <c r="J15" s="34">
        <v>35074.0</v>
      </c>
    </row>
    <row r="16">
      <c r="A16" s="31" t="s">
        <v>63</v>
      </c>
      <c r="B16" s="31" t="s">
        <v>1069</v>
      </c>
      <c r="C16" s="31" t="s">
        <v>1272</v>
      </c>
      <c r="D16" s="32">
        <f t="shared" si="1"/>
        <v>28.36712329</v>
      </c>
      <c r="E16" s="35">
        <f t="shared" si="2"/>
        <v>35512</v>
      </c>
      <c r="G16" s="11"/>
      <c r="H16" s="11" t="s">
        <v>63</v>
      </c>
      <c r="I16" s="33" t="s">
        <v>94</v>
      </c>
      <c r="J16" s="34">
        <v>35614.0</v>
      </c>
    </row>
    <row r="17">
      <c r="A17" s="11" t="s">
        <v>63</v>
      </c>
      <c r="B17" s="31" t="s">
        <v>86</v>
      </c>
      <c r="C17" s="31" t="s">
        <v>1133</v>
      </c>
      <c r="D17" s="32">
        <f t="shared" si="1"/>
        <v>22.99178082</v>
      </c>
      <c r="E17" s="35">
        <f t="shared" si="2"/>
        <v>37474</v>
      </c>
      <c r="G17" s="11"/>
      <c r="H17" s="11" t="s">
        <v>64</v>
      </c>
      <c r="I17" s="33" t="s">
        <v>96</v>
      </c>
      <c r="J17" s="34">
        <v>32340.0</v>
      </c>
    </row>
    <row r="18">
      <c r="A18" s="11" t="s">
        <v>63</v>
      </c>
      <c r="B18" s="31" t="s">
        <v>1403</v>
      </c>
      <c r="C18" s="31" t="s">
        <v>1272</v>
      </c>
      <c r="D18" s="32" t="str">
        <f t="shared" si="1"/>
        <v>#N/A</v>
      </c>
      <c r="E18" s="14" t="str">
        <f t="shared" si="2"/>
        <v>#N/A</v>
      </c>
      <c r="G18" s="11"/>
      <c r="H18" s="11" t="s">
        <v>64</v>
      </c>
      <c r="I18" s="33" t="s">
        <v>98</v>
      </c>
      <c r="J18" s="34">
        <v>38020.0</v>
      </c>
    </row>
    <row r="19">
      <c r="A19" s="11" t="s">
        <v>63</v>
      </c>
      <c r="B19" s="31" t="s">
        <v>88</v>
      </c>
      <c r="C19" s="31" t="s">
        <v>1311</v>
      </c>
      <c r="D19" s="32">
        <f t="shared" si="1"/>
        <v>33.12328767</v>
      </c>
      <c r="E19" s="35">
        <f t="shared" si="2"/>
        <v>33776</v>
      </c>
      <c r="G19" s="11"/>
      <c r="H19" s="11" t="s">
        <v>64</v>
      </c>
      <c r="I19" s="33" t="s">
        <v>100</v>
      </c>
      <c r="J19" s="34">
        <v>37713.0</v>
      </c>
    </row>
    <row r="20">
      <c r="A20" s="11" t="s">
        <v>63</v>
      </c>
      <c r="B20" s="31" t="s">
        <v>1071</v>
      </c>
      <c r="C20" s="31" t="s">
        <v>1311</v>
      </c>
      <c r="D20" s="32">
        <f t="shared" si="1"/>
        <v>30.8630137</v>
      </c>
      <c r="E20" s="35">
        <f t="shared" si="2"/>
        <v>34601</v>
      </c>
      <c r="G20" s="11"/>
      <c r="H20" s="11" t="s">
        <v>64</v>
      </c>
      <c r="I20" s="33" t="s">
        <v>102</v>
      </c>
      <c r="J20" s="34">
        <v>31801.0</v>
      </c>
    </row>
    <row r="21">
      <c r="A21" s="11" t="s">
        <v>63</v>
      </c>
      <c r="B21" s="31" t="s">
        <v>90</v>
      </c>
      <c r="C21" s="31" t="s">
        <v>1311</v>
      </c>
      <c r="D21" s="32">
        <f t="shared" si="1"/>
        <v>29.16986301</v>
      </c>
      <c r="E21" s="35">
        <f t="shared" si="2"/>
        <v>35219</v>
      </c>
      <c r="G21" s="11"/>
      <c r="H21" s="11" t="s">
        <v>64</v>
      </c>
      <c r="I21" s="33" t="s">
        <v>104</v>
      </c>
      <c r="J21" s="34">
        <v>31952.0</v>
      </c>
    </row>
    <row r="22">
      <c r="A22" s="11" t="s">
        <v>63</v>
      </c>
      <c r="B22" s="31" t="s">
        <v>1254</v>
      </c>
      <c r="C22" s="31" t="s">
        <v>1311</v>
      </c>
      <c r="D22" s="32">
        <f t="shared" si="1"/>
        <v>27.8</v>
      </c>
      <c r="E22" s="35">
        <f t="shared" si="2"/>
        <v>35719</v>
      </c>
      <c r="G22" s="11"/>
      <c r="H22" s="11" t="s">
        <v>64</v>
      </c>
      <c r="I22" s="33" t="s">
        <v>106</v>
      </c>
      <c r="J22" s="34">
        <v>37499.0</v>
      </c>
    </row>
    <row r="23">
      <c r="A23" s="11" t="s">
        <v>63</v>
      </c>
      <c r="B23" s="31" t="s">
        <v>1404</v>
      </c>
      <c r="C23" s="31" t="s">
        <v>1311</v>
      </c>
      <c r="D23" s="32" t="str">
        <f t="shared" si="1"/>
        <v>#N/A</v>
      </c>
      <c r="E23" s="14" t="str">
        <f t="shared" si="2"/>
        <v>#N/A</v>
      </c>
      <c r="G23" s="11"/>
      <c r="H23" s="11" t="s">
        <v>64</v>
      </c>
      <c r="I23" s="33" t="s">
        <v>108</v>
      </c>
      <c r="J23" s="34">
        <v>36211.0</v>
      </c>
    </row>
    <row r="24">
      <c r="A24" s="11" t="s">
        <v>63</v>
      </c>
      <c r="B24" s="31" t="s">
        <v>92</v>
      </c>
      <c r="C24" s="31" t="s">
        <v>1311</v>
      </c>
      <c r="D24" s="32">
        <f t="shared" si="1"/>
        <v>29.56712329</v>
      </c>
      <c r="E24" s="35">
        <f t="shared" si="2"/>
        <v>35074</v>
      </c>
      <c r="G24" s="11"/>
      <c r="H24" s="11" t="s">
        <v>64</v>
      </c>
      <c r="I24" s="33" t="s">
        <v>110</v>
      </c>
      <c r="J24" s="34">
        <v>38105.0</v>
      </c>
    </row>
    <row r="25">
      <c r="A25" s="11" t="s">
        <v>63</v>
      </c>
      <c r="B25" s="31" t="s">
        <v>1405</v>
      </c>
      <c r="C25" s="31" t="s">
        <v>1272</v>
      </c>
      <c r="D25" s="32" t="str">
        <f t="shared" si="1"/>
        <v>#N/A</v>
      </c>
      <c r="E25" s="14" t="str">
        <f t="shared" si="2"/>
        <v>#N/A</v>
      </c>
      <c r="G25" s="11"/>
      <c r="H25" s="11" t="s">
        <v>64</v>
      </c>
      <c r="I25" s="33" t="s">
        <v>112</v>
      </c>
      <c r="J25" s="34">
        <v>35551.0</v>
      </c>
    </row>
    <row r="26">
      <c r="A26" s="11" t="s">
        <v>63</v>
      </c>
      <c r="B26" s="31" t="s">
        <v>94</v>
      </c>
      <c r="C26" s="31" t="s">
        <v>1311</v>
      </c>
      <c r="D26" s="32">
        <f t="shared" si="1"/>
        <v>28.08767123</v>
      </c>
      <c r="E26" s="35">
        <f t="shared" si="2"/>
        <v>35614</v>
      </c>
      <c r="G26" s="11"/>
      <c r="H26" s="11" t="s">
        <v>64</v>
      </c>
      <c r="I26" s="33" t="s">
        <v>114</v>
      </c>
      <c r="J26" s="34">
        <v>37639.0</v>
      </c>
    </row>
    <row r="27">
      <c r="A27" s="11" t="s">
        <v>63</v>
      </c>
      <c r="B27" s="31" t="s">
        <v>1067</v>
      </c>
      <c r="C27" s="31" t="s">
        <v>1272</v>
      </c>
      <c r="D27" s="32">
        <f t="shared" si="1"/>
        <v>30.42739726</v>
      </c>
      <c r="E27" s="35">
        <f t="shared" si="2"/>
        <v>34760</v>
      </c>
      <c r="G27" s="11"/>
      <c r="H27" s="11" t="s">
        <v>64</v>
      </c>
      <c r="I27" s="33" t="s">
        <v>116</v>
      </c>
      <c r="J27" s="34">
        <v>33292.0</v>
      </c>
    </row>
    <row r="28">
      <c r="A28" s="11" t="s">
        <v>64</v>
      </c>
      <c r="B28" s="31" t="s">
        <v>1406</v>
      </c>
      <c r="C28" s="31" t="s">
        <v>1400</v>
      </c>
      <c r="D28" s="32" t="str">
        <f t="shared" si="1"/>
        <v>#N/A</v>
      </c>
      <c r="E28" s="14" t="str">
        <f t="shared" si="2"/>
        <v>#N/A</v>
      </c>
      <c r="G28" s="11"/>
      <c r="H28" s="11" t="s">
        <v>64</v>
      </c>
      <c r="I28" s="33" t="s">
        <v>118</v>
      </c>
      <c r="J28" s="34">
        <v>38413.0</v>
      </c>
    </row>
    <row r="29">
      <c r="A29" s="11" t="s">
        <v>64</v>
      </c>
      <c r="B29" s="31" t="s">
        <v>96</v>
      </c>
      <c r="C29" s="31" t="s">
        <v>1311</v>
      </c>
      <c r="D29" s="32">
        <f t="shared" si="1"/>
        <v>37.05753425</v>
      </c>
      <c r="E29" s="35">
        <f t="shared" si="2"/>
        <v>32340</v>
      </c>
      <c r="G29" s="11"/>
      <c r="H29" s="11" t="s">
        <v>64</v>
      </c>
      <c r="I29" s="33" t="s">
        <v>120</v>
      </c>
      <c r="J29" s="34">
        <v>36536.0</v>
      </c>
    </row>
    <row r="30">
      <c r="A30" s="31" t="s">
        <v>64</v>
      </c>
      <c r="B30" s="31" t="s">
        <v>98</v>
      </c>
      <c r="C30" s="31" t="s">
        <v>1272</v>
      </c>
      <c r="D30" s="32">
        <f t="shared" si="1"/>
        <v>21.49589041</v>
      </c>
      <c r="E30" s="35">
        <f t="shared" si="2"/>
        <v>38020</v>
      </c>
      <c r="G30" s="11"/>
      <c r="H30" s="11" t="s">
        <v>123</v>
      </c>
      <c r="I30" s="33" t="s">
        <v>126</v>
      </c>
      <c r="J30" s="34">
        <v>35106.0</v>
      </c>
    </row>
    <row r="31">
      <c r="A31" s="31" t="s">
        <v>64</v>
      </c>
      <c r="B31" s="31" t="s">
        <v>100</v>
      </c>
      <c r="C31" s="31" t="s">
        <v>1311</v>
      </c>
      <c r="D31" s="32">
        <f t="shared" si="1"/>
        <v>22.3369863</v>
      </c>
      <c r="E31" s="35">
        <f t="shared" si="2"/>
        <v>37713</v>
      </c>
      <c r="G31" s="11"/>
      <c r="H31" s="11" t="s">
        <v>123</v>
      </c>
      <c r="I31" s="33" t="s">
        <v>128</v>
      </c>
      <c r="J31" s="34">
        <v>34738.0</v>
      </c>
    </row>
    <row r="32">
      <c r="A32" s="31" t="s">
        <v>64</v>
      </c>
      <c r="B32" s="31" t="s">
        <v>102</v>
      </c>
      <c r="C32" s="31" t="s">
        <v>1133</v>
      </c>
      <c r="D32" s="32">
        <f t="shared" si="1"/>
        <v>38.53424658</v>
      </c>
      <c r="E32" s="35">
        <f t="shared" si="2"/>
        <v>31801</v>
      </c>
      <c r="G32" s="11"/>
      <c r="H32" s="11" t="s">
        <v>123</v>
      </c>
      <c r="I32" s="33" t="s">
        <v>130</v>
      </c>
      <c r="J32" s="34">
        <v>34178.0</v>
      </c>
    </row>
    <row r="33">
      <c r="A33" s="31" t="s">
        <v>64</v>
      </c>
      <c r="B33" s="31" t="s">
        <v>104</v>
      </c>
      <c r="C33" s="31" t="s">
        <v>1133</v>
      </c>
      <c r="D33" s="32">
        <f t="shared" si="1"/>
        <v>38.12054795</v>
      </c>
      <c r="E33" s="35">
        <f t="shared" si="2"/>
        <v>31952</v>
      </c>
      <c r="G33" s="11"/>
      <c r="H33" s="11" t="s">
        <v>123</v>
      </c>
      <c r="I33" s="33" t="s">
        <v>132</v>
      </c>
      <c r="J33" s="34">
        <v>35229.0</v>
      </c>
    </row>
    <row r="34">
      <c r="A34" s="31" t="s">
        <v>64</v>
      </c>
      <c r="B34" s="31" t="s">
        <v>106</v>
      </c>
      <c r="C34" s="31" t="s">
        <v>1272</v>
      </c>
      <c r="D34" s="32">
        <f t="shared" si="1"/>
        <v>22.92328767</v>
      </c>
      <c r="E34" s="35">
        <f t="shared" si="2"/>
        <v>37499</v>
      </c>
      <c r="G34" s="11"/>
      <c r="H34" s="11" t="s">
        <v>123</v>
      </c>
      <c r="I34" s="33" t="s">
        <v>134</v>
      </c>
      <c r="J34" s="34">
        <v>37237.0</v>
      </c>
    </row>
    <row r="35">
      <c r="A35" s="31" t="s">
        <v>64</v>
      </c>
      <c r="B35" s="31" t="s">
        <v>108</v>
      </c>
      <c r="C35" s="31" t="s">
        <v>1133</v>
      </c>
      <c r="D35" s="32">
        <f t="shared" si="1"/>
        <v>26.45205479</v>
      </c>
      <c r="E35" s="35">
        <f t="shared" si="2"/>
        <v>36211</v>
      </c>
      <c r="G35" s="11"/>
      <c r="H35" s="11" t="s">
        <v>123</v>
      </c>
      <c r="I35" s="33" t="s">
        <v>136</v>
      </c>
      <c r="J35" s="34">
        <v>34325.0</v>
      </c>
    </row>
    <row r="36">
      <c r="A36" s="31" t="s">
        <v>64</v>
      </c>
      <c r="B36" s="31" t="s">
        <v>110</v>
      </c>
      <c r="C36" s="31" t="s">
        <v>1272</v>
      </c>
      <c r="D36" s="32">
        <f t="shared" si="1"/>
        <v>21.2630137</v>
      </c>
      <c r="E36" s="35">
        <f t="shared" si="2"/>
        <v>38105</v>
      </c>
      <c r="G36" s="11"/>
      <c r="H36" s="11" t="s">
        <v>123</v>
      </c>
      <c r="I36" s="33" t="s">
        <v>138</v>
      </c>
      <c r="J36" s="34">
        <v>36782.0</v>
      </c>
    </row>
    <row r="37">
      <c r="A37" s="31" t="s">
        <v>64</v>
      </c>
      <c r="B37" s="31" t="s">
        <v>112</v>
      </c>
      <c r="C37" s="31" t="s">
        <v>1272</v>
      </c>
      <c r="D37" s="32">
        <f t="shared" si="1"/>
        <v>28.26027397</v>
      </c>
      <c r="E37" s="35">
        <f t="shared" si="2"/>
        <v>35551</v>
      </c>
      <c r="G37" s="11"/>
      <c r="H37" s="11" t="s">
        <v>123</v>
      </c>
      <c r="I37" s="33" t="s">
        <v>140</v>
      </c>
      <c r="J37" s="34">
        <v>32764.0</v>
      </c>
    </row>
    <row r="38">
      <c r="A38" s="31" t="s">
        <v>64</v>
      </c>
      <c r="B38" s="31" t="s">
        <v>114</v>
      </c>
      <c r="C38" s="31" t="s">
        <v>1311</v>
      </c>
      <c r="D38" s="32">
        <f t="shared" si="1"/>
        <v>22.53972603</v>
      </c>
      <c r="E38" s="35">
        <f t="shared" si="2"/>
        <v>37639</v>
      </c>
      <c r="G38" s="11"/>
      <c r="H38" s="11" t="s">
        <v>123</v>
      </c>
      <c r="I38" s="33" t="s">
        <v>142</v>
      </c>
      <c r="J38" s="34">
        <v>36618.0</v>
      </c>
    </row>
    <row r="39">
      <c r="A39" s="31" t="s">
        <v>64</v>
      </c>
      <c r="B39" s="31" t="s">
        <v>1407</v>
      </c>
      <c r="C39" s="31" t="s">
        <v>1400</v>
      </c>
      <c r="D39" s="32" t="str">
        <f t="shared" si="1"/>
        <v>#N/A</v>
      </c>
      <c r="E39" s="14" t="str">
        <f t="shared" si="2"/>
        <v>#N/A</v>
      </c>
      <c r="G39" s="11"/>
      <c r="H39" s="11" t="s">
        <v>123</v>
      </c>
      <c r="I39" s="33" t="s">
        <v>144</v>
      </c>
      <c r="J39" s="34">
        <v>38110.0</v>
      </c>
    </row>
    <row r="40">
      <c r="A40" s="31" t="s">
        <v>64</v>
      </c>
      <c r="B40" s="31" t="s">
        <v>1408</v>
      </c>
      <c r="C40" s="31" t="s">
        <v>1400</v>
      </c>
      <c r="D40" s="32" t="str">
        <f t="shared" si="1"/>
        <v>#N/A</v>
      </c>
      <c r="E40" s="14" t="str">
        <f t="shared" si="2"/>
        <v>#N/A</v>
      </c>
      <c r="G40" s="11"/>
      <c r="H40" s="11" t="s">
        <v>123</v>
      </c>
      <c r="I40" s="33" t="s">
        <v>146</v>
      </c>
      <c r="J40" s="34">
        <v>36095.0</v>
      </c>
    </row>
    <row r="41">
      <c r="A41" s="31" t="s">
        <v>64</v>
      </c>
      <c r="B41" s="31" t="s">
        <v>116</v>
      </c>
      <c r="C41" s="31" t="s">
        <v>1133</v>
      </c>
      <c r="D41" s="32">
        <f t="shared" si="1"/>
        <v>34.44931507</v>
      </c>
      <c r="E41" s="35">
        <f t="shared" si="2"/>
        <v>33292</v>
      </c>
      <c r="G41" s="11"/>
      <c r="H41" s="11" t="s">
        <v>123</v>
      </c>
      <c r="I41" s="33" t="s">
        <v>148</v>
      </c>
      <c r="J41" s="34">
        <v>34894.0</v>
      </c>
    </row>
    <row r="42">
      <c r="A42" s="31" t="s">
        <v>64</v>
      </c>
      <c r="B42" s="31" t="s">
        <v>1244</v>
      </c>
      <c r="C42" s="31" t="s">
        <v>1311</v>
      </c>
      <c r="D42" s="32">
        <f t="shared" si="1"/>
        <v>22.06849315</v>
      </c>
      <c r="E42" s="35">
        <f t="shared" si="2"/>
        <v>37811</v>
      </c>
      <c r="G42" s="11"/>
      <c r="H42" s="11" t="s">
        <v>123</v>
      </c>
      <c r="I42" s="33" t="s">
        <v>150</v>
      </c>
      <c r="J42" s="34">
        <v>37678.0</v>
      </c>
    </row>
    <row r="43">
      <c r="A43" s="31" t="s">
        <v>64</v>
      </c>
      <c r="B43" s="31" t="s">
        <v>1409</v>
      </c>
      <c r="C43" s="31" t="s">
        <v>1272</v>
      </c>
      <c r="D43" s="32" t="str">
        <f t="shared" si="1"/>
        <v>#N/A</v>
      </c>
      <c r="E43" s="14" t="str">
        <f t="shared" si="2"/>
        <v>#N/A</v>
      </c>
      <c r="G43" s="11"/>
      <c r="H43" s="11" t="s">
        <v>123</v>
      </c>
      <c r="I43" s="33" t="s">
        <v>152</v>
      </c>
      <c r="J43" s="34">
        <v>39500.0</v>
      </c>
    </row>
    <row r="44">
      <c r="A44" s="31" t="s">
        <v>64</v>
      </c>
      <c r="B44" s="31" t="s">
        <v>1410</v>
      </c>
      <c r="C44" s="31" t="s">
        <v>1133</v>
      </c>
      <c r="D44" s="32" t="str">
        <f t="shared" si="1"/>
        <v>#N/A</v>
      </c>
      <c r="E44" s="14" t="str">
        <f t="shared" si="2"/>
        <v>#N/A</v>
      </c>
      <c r="G44" s="11"/>
      <c r="H44" s="11" t="s">
        <v>123</v>
      </c>
      <c r="I44" s="33" t="s">
        <v>154</v>
      </c>
      <c r="J44" s="34">
        <v>38870.0</v>
      </c>
    </row>
    <row r="45">
      <c r="A45" s="11" t="s">
        <v>64</v>
      </c>
      <c r="B45" s="31" t="s">
        <v>1411</v>
      </c>
      <c r="C45" s="31" t="s">
        <v>1133</v>
      </c>
      <c r="D45" s="32" t="str">
        <f t="shared" si="1"/>
        <v>#N/A</v>
      </c>
      <c r="E45" s="14" t="str">
        <f t="shared" si="2"/>
        <v>#N/A</v>
      </c>
      <c r="G45" s="11"/>
      <c r="H45" s="11" t="s">
        <v>124</v>
      </c>
      <c r="I45" s="33" t="s">
        <v>156</v>
      </c>
      <c r="J45" s="34">
        <v>34873.0</v>
      </c>
    </row>
    <row r="46">
      <c r="A46" s="11" t="s">
        <v>64</v>
      </c>
      <c r="B46" s="31" t="s">
        <v>118</v>
      </c>
      <c r="C46" s="31" t="s">
        <v>1311</v>
      </c>
      <c r="D46" s="32">
        <f t="shared" si="1"/>
        <v>20.41917808</v>
      </c>
      <c r="E46" s="35">
        <f t="shared" si="2"/>
        <v>38413</v>
      </c>
      <c r="G46" s="11"/>
      <c r="H46" s="11" t="s">
        <v>124</v>
      </c>
      <c r="I46" s="33" t="s">
        <v>158</v>
      </c>
      <c r="J46" s="34">
        <v>35217.0</v>
      </c>
    </row>
    <row r="47">
      <c r="A47" s="11" t="s">
        <v>64</v>
      </c>
      <c r="B47" s="31" t="s">
        <v>120</v>
      </c>
      <c r="C47" s="31" t="s">
        <v>1272</v>
      </c>
      <c r="D47" s="32">
        <f t="shared" si="1"/>
        <v>25.56164384</v>
      </c>
      <c r="E47" s="35">
        <f t="shared" si="2"/>
        <v>36536</v>
      </c>
      <c r="G47" s="11"/>
      <c r="H47" s="11" t="s">
        <v>124</v>
      </c>
      <c r="I47" s="33" t="s">
        <v>160</v>
      </c>
      <c r="J47" s="34">
        <v>33658.0</v>
      </c>
    </row>
    <row r="48">
      <c r="A48" s="11" t="s">
        <v>64</v>
      </c>
      <c r="B48" s="31" t="s">
        <v>1412</v>
      </c>
      <c r="C48" s="31" t="s">
        <v>1311</v>
      </c>
      <c r="D48" s="32" t="str">
        <f t="shared" si="1"/>
        <v>#N/A</v>
      </c>
      <c r="E48" s="14" t="str">
        <f t="shared" si="2"/>
        <v>#N/A</v>
      </c>
      <c r="G48" s="11"/>
      <c r="H48" s="11" t="s">
        <v>124</v>
      </c>
      <c r="I48" s="33" t="s">
        <v>162</v>
      </c>
      <c r="J48" s="34">
        <v>35543.0</v>
      </c>
    </row>
    <row r="49">
      <c r="A49" s="11" t="s">
        <v>250</v>
      </c>
      <c r="B49" s="31" t="s">
        <v>1413</v>
      </c>
      <c r="C49" s="31" t="s">
        <v>1400</v>
      </c>
      <c r="D49" s="32" t="str">
        <f t="shared" si="1"/>
        <v>#N/A</v>
      </c>
      <c r="E49" s="14" t="str">
        <f t="shared" si="2"/>
        <v>#N/A</v>
      </c>
      <c r="G49" s="11"/>
      <c r="H49" s="11" t="s">
        <v>124</v>
      </c>
      <c r="I49" s="33" t="s">
        <v>164</v>
      </c>
      <c r="J49" s="34">
        <v>34117.0</v>
      </c>
    </row>
    <row r="50">
      <c r="A50" s="11" t="s">
        <v>250</v>
      </c>
      <c r="B50" s="31" t="s">
        <v>253</v>
      </c>
      <c r="C50" s="31" t="s">
        <v>1272</v>
      </c>
      <c r="D50" s="32">
        <f t="shared" si="1"/>
        <v>21.54520548</v>
      </c>
      <c r="E50" s="35">
        <f t="shared" si="2"/>
        <v>38002</v>
      </c>
      <c r="G50" s="11"/>
      <c r="H50" s="11" t="s">
        <v>124</v>
      </c>
      <c r="I50" s="33" t="s">
        <v>166</v>
      </c>
      <c r="J50" s="34">
        <v>33771.0</v>
      </c>
    </row>
    <row r="51">
      <c r="A51" s="11" t="s">
        <v>250</v>
      </c>
      <c r="B51" s="31" t="s">
        <v>255</v>
      </c>
      <c r="C51" s="31" t="s">
        <v>1311</v>
      </c>
      <c r="D51" s="32">
        <f t="shared" si="1"/>
        <v>26.22739726</v>
      </c>
      <c r="E51" s="35">
        <f t="shared" si="2"/>
        <v>36293</v>
      </c>
      <c r="G51" s="11"/>
      <c r="H51" s="11" t="s">
        <v>124</v>
      </c>
      <c r="I51" s="33" t="s">
        <v>168</v>
      </c>
      <c r="J51" s="34">
        <v>35199.0</v>
      </c>
    </row>
    <row r="52">
      <c r="A52" s="11" t="s">
        <v>250</v>
      </c>
      <c r="B52" s="31" t="s">
        <v>257</v>
      </c>
      <c r="C52" s="31" t="s">
        <v>1311</v>
      </c>
      <c r="D52" s="32">
        <f t="shared" si="1"/>
        <v>32.30684932</v>
      </c>
      <c r="E52" s="35">
        <f t="shared" si="2"/>
        <v>34074</v>
      </c>
      <c r="G52" s="11"/>
      <c r="H52" s="11" t="s">
        <v>124</v>
      </c>
      <c r="I52" s="33" t="s">
        <v>170</v>
      </c>
      <c r="J52" s="34">
        <v>37606.0</v>
      </c>
    </row>
    <row r="53">
      <c r="A53" s="11" t="s">
        <v>250</v>
      </c>
      <c r="B53" s="31" t="s">
        <v>259</v>
      </c>
      <c r="C53" s="31" t="s">
        <v>1311</v>
      </c>
      <c r="D53" s="32">
        <f t="shared" si="1"/>
        <v>25.16986301</v>
      </c>
      <c r="E53" s="35">
        <f t="shared" si="2"/>
        <v>36679</v>
      </c>
      <c r="G53" s="11"/>
      <c r="H53" s="11" t="s">
        <v>124</v>
      </c>
      <c r="I53" s="33" t="s">
        <v>172</v>
      </c>
      <c r="J53" s="34">
        <v>35169.0</v>
      </c>
    </row>
    <row r="54">
      <c r="A54" s="11" t="s">
        <v>250</v>
      </c>
      <c r="B54" s="31" t="s">
        <v>261</v>
      </c>
      <c r="C54" s="31" t="s">
        <v>1133</v>
      </c>
      <c r="D54" s="32">
        <f t="shared" si="1"/>
        <v>20.42465753</v>
      </c>
      <c r="E54" s="35">
        <f t="shared" si="2"/>
        <v>38411</v>
      </c>
      <c r="G54" s="11"/>
      <c r="H54" s="11" t="s">
        <v>124</v>
      </c>
      <c r="I54" s="33" t="s">
        <v>174</v>
      </c>
      <c r="J54" s="34">
        <v>36501.0</v>
      </c>
    </row>
    <row r="55">
      <c r="A55" s="11" t="s">
        <v>250</v>
      </c>
      <c r="B55" s="31" t="s">
        <v>263</v>
      </c>
      <c r="C55" s="31" t="s">
        <v>1272</v>
      </c>
      <c r="D55" s="32">
        <f t="shared" si="1"/>
        <v>32.24931507</v>
      </c>
      <c r="E55" s="35">
        <f t="shared" si="2"/>
        <v>34095</v>
      </c>
      <c r="G55" s="11"/>
      <c r="H55" s="11" t="s">
        <v>124</v>
      </c>
      <c r="I55" s="33" t="s">
        <v>176</v>
      </c>
      <c r="J55" s="34">
        <v>35173.0</v>
      </c>
    </row>
    <row r="56">
      <c r="A56" s="11" t="s">
        <v>250</v>
      </c>
      <c r="B56" s="31" t="s">
        <v>265</v>
      </c>
      <c r="C56" s="31" t="s">
        <v>1133</v>
      </c>
      <c r="D56" s="32">
        <f t="shared" si="1"/>
        <v>24.11506849</v>
      </c>
      <c r="E56" s="35">
        <f t="shared" si="2"/>
        <v>37064</v>
      </c>
      <c r="G56" s="11"/>
      <c r="H56" s="11" t="s">
        <v>124</v>
      </c>
      <c r="I56" s="33" t="s">
        <v>178</v>
      </c>
      <c r="J56" s="34">
        <v>33495.0</v>
      </c>
    </row>
    <row r="57">
      <c r="A57" s="11" t="s">
        <v>250</v>
      </c>
      <c r="B57" s="31" t="s">
        <v>267</v>
      </c>
      <c r="C57" s="31" t="s">
        <v>1272</v>
      </c>
      <c r="D57" s="32">
        <f t="shared" si="1"/>
        <v>26.94520548</v>
      </c>
      <c r="E57" s="35">
        <f t="shared" si="2"/>
        <v>36031</v>
      </c>
      <c r="G57" s="11"/>
      <c r="H57" s="11" t="s">
        <v>124</v>
      </c>
      <c r="I57" s="33" t="s">
        <v>180</v>
      </c>
      <c r="J57" s="34">
        <v>37266.0</v>
      </c>
    </row>
    <row r="58">
      <c r="A58" s="11" t="s">
        <v>250</v>
      </c>
      <c r="B58" s="31" t="s">
        <v>269</v>
      </c>
      <c r="C58" s="31" t="s">
        <v>1272</v>
      </c>
      <c r="D58" s="32">
        <f t="shared" si="1"/>
        <v>28.35616438</v>
      </c>
      <c r="E58" s="35">
        <f t="shared" si="2"/>
        <v>35516</v>
      </c>
      <c r="G58" s="11"/>
      <c r="H58" s="11" t="s">
        <v>124</v>
      </c>
      <c r="I58" s="33" t="s">
        <v>182</v>
      </c>
      <c r="J58" s="34">
        <v>32885.0</v>
      </c>
    </row>
    <row r="59">
      <c r="A59" s="11" t="s">
        <v>250</v>
      </c>
      <c r="B59" s="31" t="s">
        <v>271</v>
      </c>
      <c r="C59" s="31" t="s">
        <v>1133</v>
      </c>
      <c r="D59" s="32">
        <f t="shared" si="1"/>
        <v>18.2739726</v>
      </c>
      <c r="E59" s="35">
        <f t="shared" si="2"/>
        <v>39196</v>
      </c>
      <c r="G59" s="11"/>
      <c r="H59" s="11" t="s">
        <v>124</v>
      </c>
      <c r="I59" s="33" t="s">
        <v>184</v>
      </c>
      <c r="J59" s="34">
        <v>34736.0</v>
      </c>
    </row>
    <row r="60">
      <c r="A60" s="31" t="s">
        <v>250</v>
      </c>
      <c r="B60" s="31" t="s">
        <v>1414</v>
      </c>
      <c r="C60" s="31" t="s">
        <v>1400</v>
      </c>
      <c r="D60" s="32" t="str">
        <f t="shared" si="1"/>
        <v>#N/A</v>
      </c>
      <c r="E60" s="14" t="str">
        <f t="shared" si="2"/>
        <v>#N/A</v>
      </c>
      <c r="G60" s="11"/>
      <c r="H60" s="11" t="s">
        <v>187</v>
      </c>
      <c r="I60" s="33" t="s">
        <v>190</v>
      </c>
      <c r="J60" s="34">
        <v>36103.0</v>
      </c>
    </row>
    <row r="61">
      <c r="A61" s="31" t="s">
        <v>250</v>
      </c>
      <c r="B61" s="31" t="s">
        <v>1246</v>
      </c>
      <c r="C61" s="31" t="s">
        <v>1272</v>
      </c>
      <c r="D61" s="32">
        <f t="shared" si="1"/>
        <v>36.65205479</v>
      </c>
      <c r="E61" s="35">
        <f t="shared" si="2"/>
        <v>32488</v>
      </c>
      <c r="G61" s="11"/>
      <c r="H61" s="11" t="s">
        <v>187</v>
      </c>
      <c r="I61" s="33" t="s">
        <v>192</v>
      </c>
      <c r="J61" s="34">
        <v>34468.0</v>
      </c>
    </row>
    <row r="62">
      <c r="A62" s="31" t="s">
        <v>250</v>
      </c>
      <c r="B62" s="31" t="s">
        <v>1248</v>
      </c>
      <c r="C62" s="31" t="s">
        <v>1272</v>
      </c>
      <c r="D62" s="32">
        <f t="shared" si="1"/>
        <v>26.34246575</v>
      </c>
      <c r="E62" s="35">
        <f t="shared" si="2"/>
        <v>36251</v>
      </c>
      <c r="G62" s="11"/>
      <c r="H62" s="11" t="s">
        <v>187</v>
      </c>
      <c r="I62" s="33" t="s">
        <v>194</v>
      </c>
      <c r="J62" s="34">
        <v>36934.0</v>
      </c>
    </row>
    <row r="63">
      <c r="A63" s="31" t="s">
        <v>250</v>
      </c>
      <c r="B63" s="31" t="s">
        <v>1063</v>
      </c>
      <c r="C63" s="31" t="s">
        <v>1272</v>
      </c>
      <c r="D63" s="32">
        <f t="shared" si="1"/>
        <v>22.90410959</v>
      </c>
      <c r="E63" s="35">
        <f t="shared" si="2"/>
        <v>37506</v>
      </c>
      <c r="G63" s="11"/>
      <c r="H63" s="11" t="s">
        <v>187</v>
      </c>
      <c r="I63" s="33" t="s">
        <v>196</v>
      </c>
      <c r="J63" s="34">
        <v>35158.0</v>
      </c>
    </row>
    <row r="64">
      <c r="A64" s="31" t="s">
        <v>250</v>
      </c>
      <c r="B64" s="31" t="s">
        <v>273</v>
      </c>
      <c r="C64" s="31" t="s">
        <v>1133</v>
      </c>
      <c r="D64" s="32">
        <f t="shared" si="1"/>
        <v>25.05205479</v>
      </c>
      <c r="E64" s="35">
        <f t="shared" si="2"/>
        <v>36722</v>
      </c>
      <c r="G64" s="11"/>
      <c r="H64" s="11" t="s">
        <v>187</v>
      </c>
      <c r="I64" s="33" t="s">
        <v>198</v>
      </c>
      <c r="J64" s="34">
        <v>37061.0</v>
      </c>
    </row>
    <row r="65">
      <c r="A65" s="31" t="s">
        <v>250</v>
      </c>
      <c r="B65" s="31" t="s">
        <v>1353</v>
      </c>
      <c r="C65" s="31" t="s">
        <v>1272</v>
      </c>
      <c r="D65" s="32">
        <f t="shared" si="1"/>
        <v>32.73424658</v>
      </c>
      <c r="E65" s="35">
        <f t="shared" si="2"/>
        <v>33918</v>
      </c>
      <c r="G65" s="11"/>
      <c r="H65" s="11" t="s">
        <v>187</v>
      </c>
      <c r="I65" s="33" t="s">
        <v>200</v>
      </c>
      <c r="J65" s="34">
        <v>38506.0</v>
      </c>
    </row>
    <row r="66">
      <c r="A66" s="31" t="s">
        <v>250</v>
      </c>
      <c r="B66" s="31" t="s">
        <v>1355</v>
      </c>
      <c r="C66" s="31" t="s">
        <v>1272</v>
      </c>
      <c r="D66" s="32">
        <f t="shared" si="1"/>
        <v>42.4739726</v>
      </c>
      <c r="E66" s="35">
        <f t="shared" si="2"/>
        <v>30363</v>
      </c>
      <c r="G66" s="11"/>
      <c r="H66" s="11" t="s">
        <v>187</v>
      </c>
      <c r="I66" s="33" t="s">
        <v>202</v>
      </c>
      <c r="J66" s="34">
        <v>36569.0</v>
      </c>
    </row>
    <row r="67">
      <c r="A67" s="31" t="s">
        <v>250</v>
      </c>
      <c r="B67" s="31" t="s">
        <v>1061</v>
      </c>
      <c r="C67" s="31" t="s">
        <v>1133</v>
      </c>
      <c r="D67" s="32">
        <f t="shared" si="1"/>
        <v>25.30684932</v>
      </c>
      <c r="E67" s="35">
        <f t="shared" si="2"/>
        <v>36629</v>
      </c>
      <c r="G67" s="11"/>
      <c r="H67" s="11" t="s">
        <v>187</v>
      </c>
      <c r="I67" s="33" t="s">
        <v>204</v>
      </c>
      <c r="J67" s="34">
        <v>37426.0</v>
      </c>
    </row>
    <row r="68">
      <c r="A68" s="31" t="s">
        <v>250</v>
      </c>
      <c r="B68" s="31" t="s">
        <v>275</v>
      </c>
      <c r="C68" s="31" t="s">
        <v>1311</v>
      </c>
      <c r="D68" s="32">
        <f t="shared" si="1"/>
        <v>30.12876712</v>
      </c>
      <c r="E68" s="35">
        <f t="shared" si="2"/>
        <v>34869</v>
      </c>
      <c r="G68" s="11"/>
      <c r="H68" s="11" t="s">
        <v>187</v>
      </c>
      <c r="I68" s="33" t="s">
        <v>206</v>
      </c>
      <c r="J68" s="34">
        <v>37180.0</v>
      </c>
    </row>
    <row r="69">
      <c r="A69" s="31" t="s">
        <v>250</v>
      </c>
      <c r="B69" s="31" t="s">
        <v>277</v>
      </c>
      <c r="C69" s="31" t="s">
        <v>1311</v>
      </c>
      <c r="D69" s="32">
        <f t="shared" si="1"/>
        <v>30.24931507</v>
      </c>
      <c r="E69" s="35">
        <f t="shared" si="2"/>
        <v>34825</v>
      </c>
      <c r="G69" s="11"/>
      <c r="H69" s="11" t="s">
        <v>187</v>
      </c>
      <c r="I69" s="33" t="s">
        <v>208</v>
      </c>
      <c r="J69" s="34">
        <v>38257.0</v>
      </c>
    </row>
    <row r="70">
      <c r="A70" s="31" t="s">
        <v>250</v>
      </c>
      <c r="B70" s="31" t="s">
        <v>1357</v>
      </c>
      <c r="C70" s="31" t="s">
        <v>1133</v>
      </c>
      <c r="D70" s="32">
        <f t="shared" si="1"/>
        <v>19.25753425</v>
      </c>
      <c r="E70" s="35">
        <f t="shared" si="2"/>
        <v>38837</v>
      </c>
      <c r="G70" s="11"/>
      <c r="H70" s="11" t="s">
        <v>187</v>
      </c>
      <c r="I70" s="33" t="s">
        <v>210</v>
      </c>
      <c r="J70" s="34">
        <v>36941.0</v>
      </c>
    </row>
    <row r="71">
      <c r="A71" s="31" t="s">
        <v>250</v>
      </c>
      <c r="B71" s="31" t="s">
        <v>1065</v>
      </c>
      <c r="C71" s="31" t="s">
        <v>1311</v>
      </c>
      <c r="D71" s="32">
        <f t="shared" si="1"/>
        <v>25.96438356</v>
      </c>
      <c r="E71" s="35">
        <f t="shared" si="2"/>
        <v>36389</v>
      </c>
      <c r="G71" s="11"/>
      <c r="H71" s="11" t="s">
        <v>187</v>
      </c>
      <c r="I71" s="33" t="s">
        <v>212</v>
      </c>
      <c r="J71" s="34">
        <v>35109.0</v>
      </c>
    </row>
    <row r="72">
      <c r="A72" s="31" t="s">
        <v>250</v>
      </c>
      <c r="B72" s="31" t="s">
        <v>1415</v>
      </c>
      <c r="C72" s="31" t="s">
        <v>1133</v>
      </c>
      <c r="D72" s="32" t="str">
        <f t="shared" si="1"/>
        <v>#N/A</v>
      </c>
      <c r="E72" s="14" t="str">
        <f t="shared" si="2"/>
        <v>#N/A</v>
      </c>
      <c r="G72" s="11"/>
      <c r="H72" s="11" t="s">
        <v>187</v>
      </c>
      <c r="I72" s="33" t="s">
        <v>214</v>
      </c>
      <c r="J72" s="34">
        <v>38854.0</v>
      </c>
    </row>
    <row r="73">
      <c r="A73" s="31" t="s">
        <v>250</v>
      </c>
      <c r="B73" s="31" t="s">
        <v>279</v>
      </c>
      <c r="C73" s="31" t="s">
        <v>1311</v>
      </c>
      <c r="D73" s="32">
        <f t="shared" si="1"/>
        <v>21.28767123</v>
      </c>
      <c r="E73" s="35">
        <f t="shared" si="2"/>
        <v>38096</v>
      </c>
      <c r="G73" s="11"/>
      <c r="H73" s="11" t="s">
        <v>187</v>
      </c>
      <c r="I73" s="33" t="s">
        <v>216</v>
      </c>
      <c r="J73" s="34">
        <v>38784.0</v>
      </c>
    </row>
    <row r="74">
      <c r="A74" s="31" t="s">
        <v>250</v>
      </c>
      <c r="B74" s="31" t="s">
        <v>281</v>
      </c>
      <c r="C74" s="31" t="s">
        <v>1133</v>
      </c>
      <c r="D74" s="32">
        <f t="shared" si="1"/>
        <v>24.65753425</v>
      </c>
      <c r="E74" s="35">
        <f t="shared" si="2"/>
        <v>36866</v>
      </c>
      <c r="G74" s="11"/>
      <c r="H74" s="11" t="s">
        <v>187</v>
      </c>
      <c r="I74" s="33" t="s">
        <v>218</v>
      </c>
      <c r="J74" s="34">
        <v>39471.0</v>
      </c>
    </row>
    <row r="75">
      <c r="A75" s="11" t="s">
        <v>251</v>
      </c>
      <c r="B75" s="31" t="s">
        <v>1416</v>
      </c>
      <c r="C75" s="31" t="s">
        <v>1400</v>
      </c>
      <c r="D75" s="32" t="str">
        <f t="shared" si="1"/>
        <v>#N/A</v>
      </c>
      <c r="E75" s="14" t="str">
        <f t="shared" si="2"/>
        <v>#N/A</v>
      </c>
      <c r="G75" s="11"/>
      <c r="H75" s="11" t="s">
        <v>188</v>
      </c>
      <c r="I75" s="33" t="s">
        <v>220</v>
      </c>
      <c r="J75" s="34">
        <v>34478.0</v>
      </c>
    </row>
    <row r="76">
      <c r="A76" s="11" t="s">
        <v>251</v>
      </c>
      <c r="B76" s="31" t="s">
        <v>283</v>
      </c>
      <c r="C76" s="31" t="s">
        <v>1272</v>
      </c>
      <c r="D76" s="32">
        <f t="shared" si="1"/>
        <v>38.12328767</v>
      </c>
      <c r="E76" s="35">
        <f t="shared" si="2"/>
        <v>31951</v>
      </c>
      <c r="G76" s="11"/>
      <c r="H76" s="11" t="s">
        <v>188</v>
      </c>
      <c r="I76" s="33" t="s">
        <v>222</v>
      </c>
      <c r="J76" s="34">
        <v>33318.0</v>
      </c>
    </row>
    <row r="77">
      <c r="A77" s="11" t="s">
        <v>251</v>
      </c>
      <c r="B77" s="31" t="s">
        <v>285</v>
      </c>
      <c r="C77" s="31" t="s">
        <v>1133</v>
      </c>
      <c r="D77" s="32">
        <f t="shared" si="1"/>
        <v>21.24383562</v>
      </c>
      <c r="E77" s="35">
        <f t="shared" si="2"/>
        <v>38112</v>
      </c>
      <c r="G77" s="11"/>
      <c r="H77" s="11" t="s">
        <v>188</v>
      </c>
      <c r="I77" s="33" t="s">
        <v>224</v>
      </c>
      <c r="J77" s="34">
        <v>37787.0</v>
      </c>
    </row>
    <row r="78">
      <c r="A78" s="11" t="s">
        <v>251</v>
      </c>
      <c r="B78" s="31" t="s">
        <v>287</v>
      </c>
      <c r="C78" s="31" t="s">
        <v>1311</v>
      </c>
      <c r="D78" s="32">
        <f t="shared" si="1"/>
        <v>25.17808219</v>
      </c>
      <c r="E78" s="35">
        <f t="shared" si="2"/>
        <v>36676</v>
      </c>
      <c r="G78" s="11"/>
      <c r="H78" s="11" t="s">
        <v>188</v>
      </c>
      <c r="I78" s="33" t="s">
        <v>226</v>
      </c>
      <c r="J78" s="34">
        <v>36517.0</v>
      </c>
    </row>
    <row r="79">
      <c r="A79" s="11" t="s">
        <v>251</v>
      </c>
      <c r="B79" s="31" t="s">
        <v>289</v>
      </c>
      <c r="C79" s="31" t="s">
        <v>1311</v>
      </c>
      <c r="D79" s="32">
        <f t="shared" si="1"/>
        <v>23.18630137</v>
      </c>
      <c r="E79" s="35">
        <f t="shared" si="2"/>
        <v>37403</v>
      </c>
      <c r="G79" s="11"/>
      <c r="H79" s="11" t="s">
        <v>188</v>
      </c>
      <c r="I79" s="33" t="s">
        <v>228</v>
      </c>
      <c r="J79" s="34">
        <v>34729.0</v>
      </c>
    </row>
    <row r="80">
      <c r="A80" s="11" t="s">
        <v>251</v>
      </c>
      <c r="B80" s="31" t="s">
        <v>291</v>
      </c>
      <c r="C80" s="31" t="s">
        <v>1311</v>
      </c>
      <c r="D80" s="32">
        <f t="shared" si="1"/>
        <v>24.08219178</v>
      </c>
      <c r="E80" s="35">
        <f t="shared" si="2"/>
        <v>37076</v>
      </c>
      <c r="G80" s="11"/>
      <c r="H80" s="11" t="s">
        <v>188</v>
      </c>
      <c r="I80" s="33" t="s">
        <v>230</v>
      </c>
      <c r="J80" s="34">
        <v>34867.0</v>
      </c>
    </row>
    <row r="81">
      <c r="A81" s="11" t="s">
        <v>251</v>
      </c>
      <c r="B81" s="31" t="s">
        <v>293</v>
      </c>
      <c r="C81" s="31" t="s">
        <v>1272</v>
      </c>
      <c r="D81" s="32">
        <f t="shared" si="1"/>
        <v>25.58356164</v>
      </c>
      <c r="E81" s="35">
        <f t="shared" si="2"/>
        <v>36528</v>
      </c>
      <c r="G81" s="11"/>
      <c r="H81" s="11" t="s">
        <v>188</v>
      </c>
      <c r="I81" s="33" t="s">
        <v>232</v>
      </c>
      <c r="J81" s="34">
        <v>36556.0</v>
      </c>
    </row>
    <row r="82">
      <c r="A82" s="11" t="s">
        <v>251</v>
      </c>
      <c r="B82" s="31" t="s">
        <v>295</v>
      </c>
      <c r="C82" s="31" t="s">
        <v>1272</v>
      </c>
      <c r="D82" s="32">
        <f t="shared" si="1"/>
        <v>19.5369863</v>
      </c>
      <c r="E82" s="35">
        <f t="shared" si="2"/>
        <v>38735</v>
      </c>
      <c r="G82" s="11"/>
      <c r="H82" s="11" t="s">
        <v>188</v>
      </c>
      <c r="I82" s="33" t="s">
        <v>234</v>
      </c>
      <c r="J82" s="34">
        <v>34657.0</v>
      </c>
    </row>
    <row r="83">
      <c r="A83" s="11" t="s">
        <v>251</v>
      </c>
      <c r="B83" s="31" t="s">
        <v>297</v>
      </c>
      <c r="C83" s="31" t="s">
        <v>1272</v>
      </c>
      <c r="D83" s="32">
        <f t="shared" si="1"/>
        <v>25.96712329</v>
      </c>
      <c r="E83" s="35">
        <f t="shared" si="2"/>
        <v>36388</v>
      </c>
      <c r="G83" s="11"/>
      <c r="H83" s="11" t="s">
        <v>188</v>
      </c>
      <c r="I83" s="33" t="s">
        <v>236</v>
      </c>
      <c r="J83" s="34">
        <v>37608.0</v>
      </c>
    </row>
    <row r="84">
      <c r="A84" s="11" t="s">
        <v>251</v>
      </c>
      <c r="B84" s="31" t="s">
        <v>299</v>
      </c>
      <c r="C84" s="31" t="s">
        <v>1133</v>
      </c>
      <c r="D84" s="32">
        <f t="shared" si="1"/>
        <v>18.24383562</v>
      </c>
      <c r="E84" s="35">
        <f t="shared" si="2"/>
        <v>39207</v>
      </c>
      <c r="G84" s="11"/>
      <c r="H84" s="11" t="s">
        <v>188</v>
      </c>
      <c r="I84" s="33" t="s">
        <v>238</v>
      </c>
      <c r="J84" s="34">
        <v>35380.0</v>
      </c>
    </row>
    <row r="85">
      <c r="A85" s="11" t="s">
        <v>251</v>
      </c>
      <c r="B85" s="31" t="s">
        <v>301</v>
      </c>
      <c r="C85" s="31" t="s">
        <v>1272</v>
      </c>
      <c r="D85" s="32">
        <f t="shared" si="1"/>
        <v>28.16438356</v>
      </c>
      <c r="E85" s="35">
        <f t="shared" si="2"/>
        <v>35586</v>
      </c>
      <c r="G85" s="11"/>
      <c r="H85" s="11" t="s">
        <v>188</v>
      </c>
      <c r="I85" s="33" t="s">
        <v>240</v>
      </c>
      <c r="J85" s="34">
        <v>36562.0</v>
      </c>
    </row>
    <row r="86">
      <c r="A86" s="11" t="s">
        <v>251</v>
      </c>
      <c r="B86" s="31" t="s">
        <v>1417</v>
      </c>
      <c r="C86" s="31" t="s">
        <v>1400</v>
      </c>
      <c r="D86" s="32" t="str">
        <f t="shared" si="1"/>
        <v>#N/A</v>
      </c>
      <c r="E86" s="14" t="str">
        <f t="shared" si="2"/>
        <v>#N/A</v>
      </c>
      <c r="G86" s="11"/>
      <c r="H86" s="11" t="s">
        <v>188</v>
      </c>
      <c r="I86" s="33" t="s">
        <v>242</v>
      </c>
      <c r="J86" s="34">
        <v>33611.0</v>
      </c>
    </row>
    <row r="87">
      <c r="A87" s="11" t="s">
        <v>251</v>
      </c>
      <c r="B87" s="31" t="s">
        <v>1075</v>
      </c>
      <c r="C87" s="31" t="s">
        <v>1272</v>
      </c>
      <c r="D87" s="32">
        <f t="shared" si="1"/>
        <v>30.48493151</v>
      </c>
      <c r="E87" s="35">
        <f t="shared" si="2"/>
        <v>34739</v>
      </c>
      <c r="G87" s="11"/>
      <c r="H87" s="11" t="s">
        <v>188</v>
      </c>
      <c r="I87" s="33" t="s">
        <v>244</v>
      </c>
      <c r="J87" s="34">
        <v>35038.0</v>
      </c>
    </row>
    <row r="88">
      <c r="A88" s="11" t="s">
        <v>251</v>
      </c>
      <c r="B88" s="31" t="s">
        <v>303</v>
      </c>
      <c r="C88" s="31" t="s">
        <v>1311</v>
      </c>
      <c r="D88" s="32">
        <f t="shared" si="1"/>
        <v>28.61917808</v>
      </c>
      <c r="E88" s="35">
        <f t="shared" si="2"/>
        <v>35420</v>
      </c>
      <c r="G88" s="11"/>
      <c r="H88" s="11" t="s">
        <v>188</v>
      </c>
      <c r="I88" s="33" t="s">
        <v>246</v>
      </c>
      <c r="J88" s="34">
        <v>34767.0</v>
      </c>
    </row>
    <row r="89">
      <c r="A89" s="11" t="s">
        <v>251</v>
      </c>
      <c r="B89" s="31" t="s">
        <v>1077</v>
      </c>
      <c r="C89" s="31" t="s">
        <v>1133</v>
      </c>
      <c r="D89" s="32">
        <f t="shared" si="1"/>
        <v>19.38356164</v>
      </c>
      <c r="E89" s="35">
        <f t="shared" si="2"/>
        <v>38791</v>
      </c>
      <c r="G89" s="11"/>
      <c r="H89" s="11" t="s">
        <v>188</v>
      </c>
      <c r="I89" s="33" t="s">
        <v>248</v>
      </c>
      <c r="J89" s="34">
        <v>34355.0</v>
      </c>
    </row>
    <row r="90">
      <c r="A90" s="31" t="s">
        <v>251</v>
      </c>
      <c r="B90" s="31" t="s">
        <v>305</v>
      </c>
      <c r="C90" s="31" t="s">
        <v>1133</v>
      </c>
      <c r="D90" s="32">
        <f t="shared" si="1"/>
        <v>42.44657534</v>
      </c>
      <c r="E90" s="35">
        <f t="shared" si="2"/>
        <v>30373</v>
      </c>
      <c r="G90" s="11"/>
      <c r="H90" s="11" t="s">
        <v>250</v>
      </c>
      <c r="I90" s="33" t="s">
        <v>253</v>
      </c>
      <c r="J90" s="34">
        <v>38002.0</v>
      </c>
    </row>
    <row r="91">
      <c r="A91" s="31" t="s">
        <v>251</v>
      </c>
      <c r="B91" s="31" t="s">
        <v>1418</v>
      </c>
      <c r="C91" s="31" t="s">
        <v>1272</v>
      </c>
      <c r="D91" s="32" t="str">
        <f t="shared" si="1"/>
        <v>#N/A</v>
      </c>
      <c r="E91" s="14" t="str">
        <f t="shared" si="2"/>
        <v>#N/A</v>
      </c>
      <c r="G91" s="11"/>
      <c r="H91" s="11" t="s">
        <v>250</v>
      </c>
      <c r="I91" s="33" t="s">
        <v>255</v>
      </c>
      <c r="J91" s="34">
        <v>36293.0</v>
      </c>
    </row>
    <row r="92">
      <c r="A92" s="31" t="s">
        <v>251</v>
      </c>
      <c r="B92" s="31" t="s">
        <v>1419</v>
      </c>
      <c r="C92" s="31" t="s">
        <v>1311</v>
      </c>
      <c r="D92" s="32" t="str">
        <f t="shared" si="1"/>
        <v>#N/A</v>
      </c>
      <c r="E92" s="14" t="str">
        <f t="shared" si="2"/>
        <v>#N/A</v>
      </c>
      <c r="G92" s="11"/>
      <c r="H92" s="11" t="s">
        <v>250</v>
      </c>
      <c r="I92" s="33" t="s">
        <v>257</v>
      </c>
      <c r="J92" s="34">
        <v>34074.0</v>
      </c>
    </row>
    <row r="93">
      <c r="A93" s="31" t="s">
        <v>251</v>
      </c>
      <c r="B93" s="31" t="s">
        <v>1250</v>
      </c>
      <c r="C93" s="31" t="s">
        <v>1133</v>
      </c>
      <c r="D93" s="32">
        <f t="shared" si="1"/>
        <v>24.76438356</v>
      </c>
      <c r="E93" s="35">
        <f t="shared" si="2"/>
        <v>36827</v>
      </c>
      <c r="G93" s="11"/>
      <c r="H93" s="11" t="s">
        <v>250</v>
      </c>
      <c r="I93" s="33" t="s">
        <v>259</v>
      </c>
      <c r="J93" s="34">
        <v>36679.0</v>
      </c>
    </row>
    <row r="94">
      <c r="A94" s="31" t="s">
        <v>251</v>
      </c>
      <c r="B94" s="31" t="s">
        <v>307</v>
      </c>
      <c r="C94" s="31" t="s">
        <v>1311</v>
      </c>
      <c r="D94" s="32">
        <f t="shared" si="1"/>
        <v>27.31232877</v>
      </c>
      <c r="E94" s="35">
        <f t="shared" si="2"/>
        <v>35897</v>
      </c>
      <c r="G94" s="11"/>
      <c r="H94" s="11" t="s">
        <v>250</v>
      </c>
      <c r="I94" s="33" t="s">
        <v>261</v>
      </c>
      <c r="J94" s="34">
        <v>38411.0</v>
      </c>
    </row>
    <row r="95">
      <c r="A95" s="31" t="s">
        <v>251</v>
      </c>
      <c r="B95" s="31" t="s">
        <v>309</v>
      </c>
      <c r="C95" s="31" t="s">
        <v>1272</v>
      </c>
      <c r="D95" s="32">
        <f t="shared" si="1"/>
        <v>25.10958904</v>
      </c>
      <c r="E95" s="35">
        <f t="shared" si="2"/>
        <v>36701</v>
      </c>
      <c r="G95" s="11"/>
      <c r="H95" s="11" t="s">
        <v>250</v>
      </c>
      <c r="I95" s="33" t="s">
        <v>263</v>
      </c>
      <c r="J95" s="34">
        <v>34095.0</v>
      </c>
    </row>
    <row r="96">
      <c r="A96" s="31" t="s">
        <v>251</v>
      </c>
      <c r="B96" s="31" t="s">
        <v>311</v>
      </c>
      <c r="C96" s="31" t="s">
        <v>1311</v>
      </c>
      <c r="D96" s="32">
        <f t="shared" si="1"/>
        <v>19.93424658</v>
      </c>
      <c r="E96" s="35">
        <f t="shared" si="2"/>
        <v>38590</v>
      </c>
      <c r="G96" s="11"/>
      <c r="H96" s="11" t="s">
        <v>250</v>
      </c>
      <c r="I96" s="33" t="s">
        <v>265</v>
      </c>
      <c r="J96" s="34">
        <v>37064.0</v>
      </c>
    </row>
    <row r="97">
      <c r="A97" s="31" t="s">
        <v>251</v>
      </c>
      <c r="B97" s="31" t="s">
        <v>1079</v>
      </c>
      <c r="C97" s="31" t="s">
        <v>1133</v>
      </c>
      <c r="D97" s="32">
        <f t="shared" si="1"/>
        <v>21.08493151</v>
      </c>
      <c r="E97" s="35">
        <f t="shared" si="2"/>
        <v>38170</v>
      </c>
      <c r="G97" s="11"/>
      <c r="H97" s="11" t="s">
        <v>250</v>
      </c>
      <c r="I97" s="33" t="s">
        <v>267</v>
      </c>
      <c r="J97" s="34">
        <v>36031.0</v>
      </c>
    </row>
    <row r="98">
      <c r="A98" s="31" t="s">
        <v>251</v>
      </c>
      <c r="B98" s="31" t="s">
        <v>1420</v>
      </c>
      <c r="C98" s="31" t="s">
        <v>1133</v>
      </c>
      <c r="D98" s="32" t="str">
        <f t="shared" si="1"/>
        <v>#N/A</v>
      </c>
      <c r="E98" s="14" t="str">
        <f t="shared" si="2"/>
        <v>#N/A</v>
      </c>
      <c r="G98" s="11"/>
      <c r="H98" s="11" t="s">
        <v>250</v>
      </c>
      <c r="I98" s="33" t="s">
        <v>269</v>
      </c>
      <c r="J98" s="34">
        <v>35516.0</v>
      </c>
    </row>
    <row r="99">
      <c r="A99" s="31" t="s">
        <v>251</v>
      </c>
      <c r="B99" s="31" t="s">
        <v>1421</v>
      </c>
      <c r="C99" s="31" t="s">
        <v>1311</v>
      </c>
      <c r="D99" s="32" t="str">
        <f t="shared" si="1"/>
        <v>#N/A</v>
      </c>
      <c r="E99" s="14" t="str">
        <f t="shared" si="2"/>
        <v>#N/A</v>
      </c>
      <c r="G99" s="11"/>
      <c r="H99" s="11" t="s">
        <v>250</v>
      </c>
      <c r="I99" s="33" t="s">
        <v>271</v>
      </c>
      <c r="J99" s="34">
        <v>39196.0</v>
      </c>
    </row>
    <row r="100">
      <c r="A100" s="31" t="s">
        <v>251</v>
      </c>
      <c r="B100" s="31" t="s">
        <v>1081</v>
      </c>
      <c r="C100" s="31" t="s">
        <v>1133</v>
      </c>
      <c r="D100" s="32">
        <f t="shared" si="1"/>
        <v>24.34794521</v>
      </c>
      <c r="E100" s="35">
        <f t="shared" si="2"/>
        <v>36979</v>
      </c>
      <c r="G100" s="11"/>
      <c r="H100" s="11" t="s">
        <v>250</v>
      </c>
      <c r="I100" s="33" t="s">
        <v>273</v>
      </c>
      <c r="J100" s="34">
        <v>36722.0</v>
      </c>
    </row>
    <row r="101">
      <c r="A101" s="31" t="s">
        <v>187</v>
      </c>
      <c r="B101" s="31" t="s">
        <v>1422</v>
      </c>
      <c r="C101" s="31" t="s">
        <v>1400</v>
      </c>
      <c r="D101" s="32" t="str">
        <f t="shared" si="1"/>
        <v>#N/A</v>
      </c>
      <c r="E101" s="14" t="str">
        <f t="shared" si="2"/>
        <v>#N/A</v>
      </c>
      <c r="G101" s="11"/>
      <c r="H101" s="11" t="s">
        <v>250</v>
      </c>
      <c r="I101" s="33" t="s">
        <v>275</v>
      </c>
      <c r="J101" s="34">
        <v>34869.0</v>
      </c>
    </row>
    <row r="102">
      <c r="A102" s="31" t="s">
        <v>187</v>
      </c>
      <c r="B102" s="31" t="s">
        <v>190</v>
      </c>
      <c r="C102" s="31" t="s">
        <v>1272</v>
      </c>
      <c r="D102" s="32">
        <f t="shared" si="1"/>
        <v>26.74794521</v>
      </c>
      <c r="E102" s="35">
        <f t="shared" si="2"/>
        <v>36103</v>
      </c>
      <c r="G102" s="11"/>
      <c r="H102" s="11" t="s">
        <v>250</v>
      </c>
      <c r="I102" s="33" t="s">
        <v>277</v>
      </c>
      <c r="J102" s="34">
        <v>34825.0</v>
      </c>
    </row>
    <row r="103">
      <c r="A103" s="31" t="s">
        <v>187</v>
      </c>
      <c r="B103" s="31" t="s">
        <v>192</v>
      </c>
      <c r="C103" s="31" t="s">
        <v>1272</v>
      </c>
      <c r="D103" s="32">
        <f t="shared" si="1"/>
        <v>31.22739726</v>
      </c>
      <c r="E103" s="35">
        <f t="shared" si="2"/>
        <v>34468</v>
      </c>
      <c r="G103" s="11"/>
      <c r="H103" s="11" t="s">
        <v>250</v>
      </c>
      <c r="I103" s="33" t="s">
        <v>279</v>
      </c>
      <c r="J103" s="34">
        <v>38096.0</v>
      </c>
    </row>
    <row r="104">
      <c r="A104" s="31" t="s">
        <v>187</v>
      </c>
      <c r="B104" s="31" t="s">
        <v>194</v>
      </c>
      <c r="C104" s="31" t="s">
        <v>1133</v>
      </c>
      <c r="D104" s="32">
        <f t="shared" si="1"/>
        <v>24.47123288</v>
      </c>
      <c r="E104" s="35">
        <f t="shared" si="2"/>
        <v>36934</v>
      </c>
      <c r="G104" s="11"/>
      <c r="H104" s="11" t="s">
        <v>250</v>
      </c>
      <c r="I104" s="33" t="s">
        <v>281</v>
      </c>
      <c r="J104" s="34">
        <v>36866.0</v>
      </c>
    </row>
    <row r="105">
      <c r="A105" s="11" t="s">
        <v>187</v>
      </c>
      <c r="B105" s="31" t="s">
        <v>196</v>
      </c>
      <c r="C105" s="31" t="s">
        <v>1311</v>
      </c>
      <c r="D105" s="32">
        <f t="shared" si="1"/>
        <v>29.3369863</v>
      </c>
      <c r="E105" s="35">
        <f t="shared" si="2"/>
        <v>35158</v>
      </c>
      <c r="G105" s="11"/>
      <c r="H105" s="11" t="s">
        <v>251</v>
      </c>
      <c r="I105" s="33" t="s">
        <v>283</v>
      </c>
      <c r="J105" s="34">
        <v>31951.0</v>
      </c>
    </row>
    <row r="106">
      <c r="A106" s="11" t="s">
        <v>187</v>
      </c>
      <c r="B106" s="31" t="s">
        <v>198</v>
      </c>
      <c r="C106" s="31" t="s">
        <v>1133</v>
      </c>
      <c r="D106" s="32">
        <f t="shared" si="1"/>
        <v>24.12328767</v>
      </c>
      <c r="E106" s="35">
        <f t="shared" si="2"/>
        <v>37061</v>
      </c>
      <c r="G106" s="11"/>
      <c r="H106" s="11" t="s">
        <v>251</v>
      </c>
      <c r="I106" s="33" t="s">
        <v>285</v>
      </c>
      <c r="J106" s="34">
        <v>38112.0</v>
      </c>
    </row>
    <row r="107">
      <c r="A107" s="11" t="s">
        <v>187</v>
      </c>
      <c r="B107" s="31" t="s">
        <v>200</v>
      </c>
      <c r="C107" s="31" t="s">
        <v>1133</v>
      </c>
      <c r="D107" s="32">
        <f t="shared" si="1"/>
        <v>20.16438356</v>
      </c>
      <c r="E107" s="35">
        <f t="shared" si="2"/>
        <v>38506</v>
      </c>
      <c r="G107" s="11"/>
      <c r="H107" s="11" t="s">
        <v>251</v>
      </c>
      <c r="I107" s="33" t="s">
        <v>287</v>
      </c>
      <c r="J107" s="34">
        <v>36676.0</v>
      </c>
    </row>
    <row r="108">
      <c r="A108" s="11" t="s">
        <v>187</v>
      </c>
      <c r="B108" s="31" t="s">
        <v>202</v>
      </c>
      <c r="C108" s="31" t="s">
        <v>1311</v>
      </c>
      <c r="D108" s="32">
        <f t="shared" si="1"/>
        <v>25.47123288</v>
      </c>
      <c r="E108" s="35">
        <f t="shared" si="2"/>
        <v>36569</v>
      </c>
      <c r="G108" s="11"/>
      <c r="H108" s="11" t="s">
        <v>251</v>
      </c>
      <c r="I108" s="33" t="s">
        <v>289</v>
      </c>
      <c r="J108" s="34">
        <v>37403.0</v>
      </c>
    </row>
    <row r="109">
      <c r="A109" s="11" t="s">
        <v>187</v>
      </c>
      <c r="B109" s="31" t="s">
        <v>204</v>
      </c>
      <c r="C109" s="31" t="s">
        <v>1272</v>
      </c>
      <c r="D109" s="32">
        <f t="shared" si="1"/>
        <v>23.12328767</v>
      </c>
      <c r="E109" s="35">
        <f t="shared" si="2"/>
        <v>37426</v>
      </c>
      <c r="G109" s="11"/>
      <c r="H109" s="11" t="s">
        <v>251</v>
      </c>
      <c r="I109" s="33" t="s">
        <v>291</v>
      </c>
      <c r="J109" s="34">
        <v>37076.0</v>
      </c>
    </row>
    <row r="110">
      <c r="A110" s="11" t="s">
        <v>187</v>
      </c>
      <c r="B110" s="31" t="s">
        <v>206</v>
      </c>
      <c r="C110" s="31" t="s">
        <v>1272</v>
      </c>
      <c r="D110" s="32">
        <f t="shared" si="1"/>
        <v>23.79726027</v>
      </c>
      <c r="E110" s="35">
        <f t="shared" si="2"/>
        <v>37180</v>
      </c>
      <c r="G110" s="11"/>
      <c r="H110" s="11" t="s">
        <v>251</v>
      </c>
      <c r="I110" s="33" t="s">
        <v>293</v>
      </c>
      <c r="J110" s="34">
        <v>36528.0</v>
      </c>
    </row>
    <row r="111">
      <c r="A111" s="11" t="s">
        <v>187</v>
      </c>
      <c r="B111" s="31" t="s">
        <v>208</v>
      </c>
      <c r="C111" s="31" t="s">
        <v>1311</v>
      </c>
      <c r="D111" s="32">
        <f t="shared" si="1"/>
        <v>20.84657534</v>
      </c>
      <c r="E111" s="35">
        <f t="shared" si="2"/>
        <v>38257</v>
      </c>
      <c r="G111" s="11"/>
      <c r="H111" s="11" t="s">
        <v>251</v>
      </c>
      <c r="I111" s="33" t="s">
        <v>295</v>
      </c>
      <c r="J111" s="34">
        <v>38735.0</v>
      </c>
    </row>
    <row r="112">
      <c r="A112" s="11" t="s">
        <v>187</v>
      </c>
      <c r="B112" s="31" t="s">
        <v>1423</v>
      </c>
      <c r="C112" s="31" t="s">
        <v>1400</v>
      </c>
      <c r="D112" s="32" t="str">
        <f t="shared" si="1"/>
        <v>#N/A</v>
      </c>
      <c r="E112" s="14" t="str">
        <f t="shared" si="2"/>
        <v>#N/A</v>
      </c>
      <c r="G112" s="11"/>
      <c r="H112" s="11" t="s">
        <v>251</v>
      </c>
      <c r="I112" s="33" t="s">
        <v>297</v>
      </c>
      <c r="J112" s="34">
        <v>36388.0</v>
      </c>
    </row>
    <row r="113">
      <c r="A113" s="11" t="s">
        <v>187</v>
      </c>
      <c r="B113" s="31" t="s">
        <v>1424</v>
      </c>
      <c r="C113" s="31" t="s">
        <v>1400</v>
      </c>
      <c r="D113" s="32" t="str">
        <f t="shared" si="1"/>
        <v>#N/A</v>
      </c>
      <c r="E113" s="14" t="str">
        <f t="shared" si="2"/>
        <v>#N/A</v>
      </c>
      <c r="G113" s="11"/>
      <c r="H113" s="11" t="s">
        <v>251</v>
      </c>
      <c r="I113" s="33" t="s">
        <v>299</v>
      </c>
      <c r="J113" s="34">
        <v>39207.0</v>
      </c>
    </row>
    <row r="114">
      <c r="A114" s="11" t="s">
        <v>187</v>
      </c>
      <c r="B114" s="31" t="s">
        <v>1425</v>
      </c>
      <c r="C114" s="31" t="s">
        <v>1272</v>
      </c>
      <c r="D114" s="32" t="str">
        <f t="shared" si="1"/>
        <v>#N/A</v>
      </c>
      <c r="E114" s="14" t="str">
        <f t="shared" si="2"/>
        <v>#N/A</v>
      </c>
      <c r="G114" s="11"/>
      <c r="H114" s="11" t="s">
        <v>251</v>
      </c>
      <c r="I114" s="33" t="s">
        <v>301</v>
      </c>
      <c r="J114" s="34">
        <v>35586.0</v>
      </c>
    </row>
    <row r="115">
      <c r="A115" s="11" t="s">
        <v>187</v>
      </c>
      <c r="B115" s="31" t="s">
        <v>1095</v>
      </c>
      <c r="C115" s="31" t="s">
        <v>1272</v>
      </c>
      <c r="D115" s="32">
        <f t="shared" si="1"/>
        <v>21.69041096</v>
      </c>
      <c r="E115" s="35">
        <f t="shared" si="2"/>
        <v>37949</v>
      </c>
      <c r="G115" s="11"/>
      <c r="H115" s="11" t="s">
        <v>251</v>
      </c>
      <c r="I115" s="33" t="s">
        <v>303</v>
      </c>
      <c r="J115" s="34">
        <v>35420.0</v>
      </c>
    </row>
    <row r="116">
      <c r="A116" s="11" t="s">
        <v>187</v>
      </c>
      <c r="B116" s="31" t="s">
        <v>1367</v>
      </c>
      <c r="C116" s="31" t="s">
        <v>1133</v>
      </c>
      <c r="D116" s="32">
        <f t="shared" si="1"/>
        <v>28.22191781</v>
      </c>
      <c r="E116" s="35">
        <f t="shared" si="2"/>
        <v>35565</v>
      </c>
      <c r="G116" s="11"/>
      <c r="H116" s="11" t="s">
        <v>251</v>
      </c>
      <c r="I116" s="33" t="s">
        <v>305</v>
      </c>
      <c r="J116" s="34">
        <v>30373.0</v>
      </c>
    </row>
    <row r="117">
      <c r="A117" s="11" t="s">
        <v>187</v>
      </c>
      <c r="B117" s="31" t="s">
        <v>210</v>
      </c>
      <c r="C117" s="31" t="s">
        <v>1311</v>
      </c>
      <c r="D117" s="32">
        <f t="shared" si="1"/>
        <v>24.45205479</v>
      </c>
      <c r="E117" s="35">
        <f t="shared" si="2"/>
        <v>36941</v>
      </c>
      <c r="G117" s="11"/>
      <c r="H117" s="11" t="s">
        <v>251</v>
      </c>
      <c r="I117" s="33" t="s">
        <v>307</v>
      </c>
      <c r="J117" s="34">
        <v>35897.0</v>
      </c>
    </row>
    <row r="118">
      <c r="A118" s="11" t="s">
        <v>187</v>
      </c>
      <c r="B118" s="31" t="s">
        <v>1426</v>
      </c>
      <c r="C118" s="31" t="s">
        <v>1311</v>
      </c>
      <c r="D118" s="32" t="str">
        <f t="shared" si="1"/>
        <v>#N/A</v>
      </c>
      <c r="E118" s="14" t="str">
        <f t="shared" si="2"/>
        <v>#N/A</v>
      </c>
      <c r="G118" s="11"/>
      <c r="H118" s="11" t="s">
        <v>251</v>
      </c>
      <c r="I118" s="33" t="s">
        <v>309</v>
      </c>
      <c r="J118" s="34">
        <v>36701.0</v>
      </c>
    </row>
    <row r="119">
      <c r="A119" s="11" t="s">
        <v>187</v>
      </c>
      <c r="B119" s="31" t="s">
        <v>212</v>
      </c>
      <c r="C119" s="31" t="s">
        <v>1272</v>
      </c>
      <c r="D119" s="32">
        <f t="shared" si="1"/>
        <v>29.47123288</v>
      </c>
      <c r="E119" s="35">
        <f t="shared" si="2"/>
        <v>35109</v>
      </c>
      <c r="G119" s="11"/>
      <c r="H119" s="11" t="s">
        <v>251</v>
      </c>
      <c r="I119" s="33" t="s">
        <v>311</v>
      </c>
      <c r="J119" s="34">
        <v>38590.0</v>
      </c>
    </row>
    <row r="120">
      <c r="A120" s="31" t="s">
        <v>187</v>
      </c>
      <c r="B120" s="31" t="s">
        <v>214</v>
      </c>
      <c r="C120" s="31" t="s">
        <v>1311</v>
      </c>
      <c r="D120" s="32">
        <f t="shared" si="1"/>
        <v>19.2109589</v>
      </c>
      <c r="E120" s="35">
        <f t="shared" si="2"/>
        <v>38854</v>
      </c>
      <c r="G120" s="11"/>
      <c r="H120" s="11" t="s">
        <v>313</v>
      </c>
      <c r="I120" s="33" t="s">
        <v>316</v>
      </c>
      <c r="J120" s="34">
        <v>36364.0</v>
      </c>
    </row>
    <row r="121">
      <c r="A121" s="31" t="s">
        <v>187</v>
      </c>
      <c r="B121" s="31" t="s">
        <v>1097</v>
      </c>
      <c r="C121" s="31" t="s">
        <v>1133</v>
      </c>
      <c r="D121" s="32">
        <f t="shared" si="1"/>
        <v>22.91780822</v>
      </c>
      <c r="E121" s="35">
        <f t="shared" si="2"/>
        <v>37501</v>
      </c>
      <c r="G121" s="11"/>
      <c r="H121" s="11" t="s">
        <v>313</v>
      </c>
      <c r="I121" s="33" t="s">
        <v>318</v>
      </c>
      <c r="J121" s="34">
        <v>35841.0</v>
      </c>
    </row>
    <row r="122">
      <c r="A122" s="31" t="s">
        <v>187</v>
      </c>
      <c r="B122" s="31" t="s">
        <v>216</v>
      </c>
      <c r="C122" s="31" t="s">
        <v>1311</v>
      </c>
      <c r="D122" s="32">
        <f t="shared" si="1"/>
        <v>19.40273973</v>
      </c>
      <c r="E122" s="35">
        <f t="shared" si="2"/>
        <v>38784</v>
      </c>
      <c r="G122" s="11"/>
      <c r="H122" s="11" t="s">
        <v>313</v>
      </c>
      <c r="I122" s="33" t="s">
        <v>320</v>
      </c>
      <c r="J122" s="34">
        <v>35380.0</v>
      </c>
    </row>
    <row r="123">
      <c r="A123" s="31" t="s">
        <v>187</v>
      </c>
      <c r="B123" s="31" t="s">
        <v>1427</v>
      </c>
      <c r="C123" s="31" t="s">
        <v>1272</v>
      </c>
      <c r="D123" s="32" t="str">
        <f t="shared" si="1"/>
        <v>#N/A</v>
      </c>
      <c r="E123" s="14" t="str">
        <f t="shared" si="2"/>
        <v>#N/A</v>
      </c>
      <c r="G123" s="11"/>
      <c r="H123" s="11" t="s">
        <v>313</v>
      </c>
      <c r="I123" s="33" t="s">
        <v>322</v>
      </c>
      <c r="J123" s="34">
        <v>33953.0</v>
      </c>
    </row>
    <row r="124">
      <c r="A124" s="31" t="s">
        <v>187</v>
      </c>
      <c r="B124" s="31" t="s">
        <v>218</v>
      </c>
      <c r="C124" s="31" t="s">
        <v>1133</v>
      </c>
      <c r="D124" s="32">
        <f t="shared" si="1"/>
        <v>17.52054795</v>
      </c>
      <c r="E124" s="35">
        <f t="shared" si="2"/>
        <v>39471</v>
      </c>
      <c r="G124" s="11"/>
      <c r="H124" s="11" t="s">
        <v>313</v>
      </c>
      <c r="I124" s="33" t="s">
        <v>324</v>
      </c>
      <c r="J124" s="34">
        <v>34785.0</v>
      </c>
    </row>
    <row r="125">
      <c r="A125" s="31" t="s">
        <v>188</v>
      </c>
      <c r="B125" s="31" t="s">
        <v>1428</v>
      </c>
      <c r="C125" s="31" t="s">
        <v>1400</v>
      </c>
      <c r="D125" s="32" t="str">
        <f t="shared" si="1"/>
        <v>#N/A</v>
      </c>
      <c r="E125" s="14" t="str">
        <f t="shared" si="2"/>
        <v>#N/A</v>
      </c>
      <c r="G125" s="11"/>
      <c r="H125" s="11" t="s">
        <v>313</v>
      </c>
      <c r="I125" s="33" t="s">
        <v>326</v>
      </c>
      <c r="J125" s="34">
        <v>34774.0</v>
      </c>
    </row>
    <row r="126">
      <c r="A126" s="31" t="s">
        <v>188</v>
      </c>
      <c r="B126" s="31" t="s">
        <v>220</v>
      </c>
      <c r="C126" s="31" t="s">
        <v>1311</v>
      </c>
      <c r="D126" s="32">
        <f t="shared" si="1"/>
        <v>31.2</v>
      </c>
      <c r="E126" s="35">
        <f t="shared" si="2"/>
        <v>34478</v>
      </c>
      <c r="G126" s="11"/>
      <c r="H126" s="11" t="s">
        <v>313</v>
      </c>
      <c r="I126" s="33" t="s">
        <v>328</v>
      </c>
      <c r="J126" s="34">
        <v>34395.0</v>
      </c>
    </row>
    <row r="127">
      <c r="A127" s="31" t="s">
        <v>188</v>
      </c>
      <c r="B127" s="31" t="s">
        <v>222</v>
      </c>
      <c r="C127" s="31" t="s">
        <v>1133</v>
      </c>
      <c r="D127" s="32">
        <f t="shared" si="1"/>
        <v>34.37808219</v>
      </c>
      <c r="E127" s="35">
        <f t="shared" si="2"/>
        <v>33318</v>
      </c>
      <c r="G127" s="11"/>
      <c r="H127" s="11" t="s">
        <v>313</v>
      </c>
      <c r="I127" s="33" t="s">
        <v>330</v>
      </c>
      <c r="J127" s="34">
        <v>38418.0</v>
      </c>
    </row>
    <row r="128">
      <c r="A128" s="31" t="s">
        <v>188</v>
      </c>
      <c r="B128" s="31" t="s">
        <v>224</v>
      </c>
      <c r="C128" s="31" t="s">
        <v>1311</v>
      </c>
      <c r="D128" s="32">
        <f t="shared" si="1"/>
        <v>22.13424658</v>
      </c>
      <c r="E128" s="35">
        <f t="shared" si="2"/>
        <v>37787</v>
      </c>
      <c r="G128" s="11"/>
      <c r="H128" s="11" t="s">
        <v>313</v>
      </c>
      <c r="I128" s="33" t="s">
        <v>332</v>
      </c>
      <c r="J128" s="34">
        <v>34087.0</v>
      </c>
    </row>
    <row r="129">
      <c r="A129" s="31" t="s">
        <v>188</v>
      </c>
      <c r="B129" s="31" t="s">
        <v>226</v>
      </c>
      <c r="C129" s="31" t="s">
        <v>1311</v>
      </c>
      <c r="D129" s="32">
        <f t="shared" si="1"/>
        <v>25.61369863</v>
      </c>
      <c r="E129" s="35">
        <f t="shared" si="2"/>
        <v>36517</v>
      </c>
      <c r="G129" s="11"/>
      <c r="H129" s="11" t="s">
        <v>313</v>
      </c>
      <c r="I129" s="33" t="s">
        <v>334</v>
      </c>
      <c r="J129" s="34">
        <v>36947.0</v>
      </c>
    </row>
    <row r="130">
      <c r="A130" s="31" t="s">
        <v>188</v>
      </c>
      <c r="B130" s="31" t="s">
        <v>228</v>
      </c>
      <c r="C130" s="31" t="s">
        <v>1311</v>
      </c>
      <c r="D130" s="32">
        <f t="shared" si="1"/>
        <v>30.51232877</v>
      </c>
      <c r="E130" s="35">
        <f t="shared" si="2"/>
        <v>34729</v>
      </c>
      <c r="G130" s="11"/>
      <c r="H130" s="11" t="s">
        <v>313</v>
      </c>
      <c r="I130" s="33" t="s">
        <v>336</v>
      </c>
      <c r="J130" s="34">
        <v>37010.0</v>
      </c>
    </row>
    <row r="131">
      <c r="A131" s="31" t="s">
        <v>188</v>
      </c>
      <c r="B131" s="31" t="s">
        <v>230</v>
      </c>
      <c r="C131" s="31" t="s">
        <v>1272</v>
      </c>
      <c r="D131" s="32">
        <f t="shared" si="1"/>
        <v>30.13424658</v>
      </c>
      <c r="E131" s="35">
        <f t="shared" si="2"/>
        <v>34867</v>
      </c>
      <c r="G131" s="11"/>
      <c r="H131" s="11" t="s">
        <v>313</v>
      </c>
      <c r="I131" s="33" t="s">
        <v>338</v>
      </c>
      <c r="J131" s="34">
        <v>36533.0</v>
      </c>
    </row>
    <row r="132">
      <c r="A132" s="31" t="s">
        <v>188</v>
      </c>
      <c r="B132" s="31" t="s">
        <v>232</v>
      </c>
      <c r="C132" s="31" t="s">
        <v>1133</v>
      </c>
      <c r="D132" s="32">
        <f t="shared" si="1"/>
        <v>25.50684932</v>
      </c>
      <c r="E132" s="35">
        <f t="shared" si="2"/>
        <v>36556</v>
      </c>
      <c r="G132" s="11"/>
      <c r="H132" s="11" t="s">
        <v>313</v>
      </c>
      <c r="I132" s="33" t="s">
        <v>340</v>
      </c>
      <c r="J132" s="34">
        <v>34559.0</v>
      </c>
    </row>
    <row r="133">
      <c r="A133" s="31" t="s">
        <v>188</v>
      </c>
      <c r="B133" s="31" t="s">
        <v>234</v>
      </c>
      <c r="C133" s="31" t="s">
        <v>1272</v>
      </c>
      <c r="D133" s="32">
        <f t="shared" si="1"/>
        <v>30.70958904</v>
      </c>
      <c r="E133" s="35">
        <f t="shared" si="2"/>
        <v>34657</v>
      </c>
      <c r="G133" s="11"/>
      <c r="H133" s="11" t="s">
        <v>313</v>
      </c>
      <c r="I133" s="33" t="s">
        <v>342</v>
      </c>
      <c r="J133" s="34">
        <v>37668.0</v>
      </c>
    </row>
    <row r="134">
      <c r="A134" s="31" t="s">
        <v>188</v>
      </c>
      <c r="B134" s="31" t="s">
        <v>236</v>
      </c>
      <c r="C134" s="31" t="s">
        <v>1133</v>
      </c>
      <c r="D134" s="32">
        <f t="shared" si="1"/>
        <v>22.62465753</v>
      </c>
      <c r="E134" s="35">
        <f t="shared" si="2"/>
        <v>37608</v>
      </c>
      <c r="G134" s="11"/>
      <c r="H134" s="11" t="s">
        <v>313</v>
      </c>
      <c r="I134" s="33" t="s">
        <v>344</v>
      </c>
      <c r="J134" s="34">
        <v>35910.0</v>
      </c>
    </row>
    <row r="135">
      <c r="A135" s="11" t="s">
        <v>188</v>
      </c>
      <c r="B135" s="31" t="s">
        <v>238</v>
      </c>
      <c r="C135" s="31" t="s">
        <v>1272</v>
      </c>
      <c r="D135" s="32">
        <f t="shared" si="1"/>
        <v>28.72876712</v>
      </c>
      <c r="E135" s="35">
        <f t="shared" si="2"/>
        <v>35380</v>
      </c>
      <c r="G135" s="11"/>
      <c r="H135" s="11" t="s">
        <v>314</v>
      </c>
      <c r="I135" s="33" t="s">
        <v>346</v>
      </c>
      <c r="J135" s="34">
        <v>35604.0</v>
      </c>
    </row>
    <row r="136">
      <c r="A136" s="11" t="s">
        <v>188</v>
      </c>
      <c r="B136" s="31" t="s">
        <v>1429</v>
      </c>
      <c r="C136" s="31" t="s">
        <v>1400</v>
      </c>
      <c r="D136" s="32" t="str">
        <f t="shared" si="1"/>
        <v>#N/A</v>
      </c>
      <c r="E136" s="14" t="str">
        <f t="shared" si="2"/>
        <v>#N/A</v>
      </c>
      <c r="G136" s="11"/>
      <c r="H136" s="11" t="s">
        <v>314</v>
      </c>
      <c r="I136" s="33" t="s">
        <v>348</v>
      </c>
      <c r="J136" s="34">
        <v>34853.0</v>
      </c>
    </row>
    <row r="137">
      <c r="A137" s="11" t="s">
        <v>188</v>
      </c>
      <c r="B137" s="31" t="s">
        <v>1430</v>
      </c>
      <c r="C137" s="31" t="s">
        <v>1400</v>
      </c>
      <c r="D137" s="32" t="str">
        <f t="shared" si="1"/>
        <v>#N/A</v>
      </c>
      <c r="E137" s="14" t="str">
        <f t="shared" si="2"/>
        <v>#N/A</v>
      </c>
      <c r="G137" s="11"/>
      <c r="H137" s="11" t="s">
        <v>314</v>
      </c>
      <c r="I137" s="33" t="s">
        <v>350</v>
      </c>
      <c r="J137" s="34">
        <v>36884.0</v>
      </c>
    </row>
    <row r="138">
      <c r="A138" s="11" t="s">
        <v>188</v>
      </c>
      <c r="B138" s="31" t="s">
        <v>1089</v>
      </c>
      <c r="C138" s="31" t="s">
        <v>1272</v>
      </c>
      <c r="D138" s="32">
        <f t="shared" si="1"/>
        <v>30.53972603</v>
      </c>
      <c r="E138" s="35">
        <f t="shared" si="2"/>
        <v>34719</v>
      </c>
      <c r="G138" s="11"/>
      <c r="H138" s="11" t="s">
        <v>314</v>
      </c>
      <c r="I138" s="33" t="s">
        <v>352</v>
      </c>
      <c r="J138" s="34">
        <v>34522.0</v>
      </c>
    </row>
    <row r="139">
      <c r="A139" s="11" t="s">
        <v>188</v>
      </c>
      <c r="B139" s="31" t="s">
        <v>1431</v>
      </c>
      <c r="C139" s="31" t="s">
        <v>1272</v>
      </c>
      <c r="D139" s="32" t="str">
        <f t="shared" si="1"/>
        <v>#N/A</v>
      </c>
      <c r="E139" s="14" t="str">
        <f t="shared" si="2"/>
        <v>#N/A</v>
      </c>
      <c r="G139" s="11"/>
      <c r="H139" s="11" t="s">
        <v>314</v>
      </c>
      <c r="I139" s="33" t="s">
        <v>354</v>
      </c>
      <c r="J139" s="34">
        <v>35274.0</v>
      </c>
    </row>
    <row r="140">
      <c r="A140" s="11" t="s">
        <v>188</v>
      </c>
      <c r="B140" s="31" t="s">
        <v>240</v>
      </c>
      <c r="C140" s="31" t="s">
        <v>1311</v>
      </c>
      <c r="D140" s="32">
        <f t="shared" si="1"/>
        <v>25.49041096</v>
      </c>
      <c r="E140" s="35">
        <f t="shared" si="2"/>
        <v>36562</v>
      </c>
      <c r="G140" s="11"/>
      <c r="H140" s="11" t="s">
        <v>314</v>
      </c>
      <c r="I140" s="33" t="s">
        <v>356</v>
      </c>
      <c r="J140" s="34">
        <v>38569.0</v>
      </c>
    </row>
    <row r="141">
      <c r="A141" s="11" t="s">
        <v>188</v>
      </c>
      <c r="B141" s="31" t="s">
        <v>242</v>
      </c>
      <c r="C141" s="31" t="s">
        <v>1311</v>
      </c>
      <c r="D141" s="32">
        <f t="shared" si="1"/>
        <v>33.57534247</v>
      </c>
      <c r="E141" s="35">
        <f t="shared" si="2"/>
        <v>33611</v>
      </c>
      <c r="G141" s="11"/>
      <c r="H141" s="11" t="s">
        <v>314</v>
      </c>
      <c r="I141" s="33" t="s">
        <v>358</v>
      </c>
      <c r="J141" s="34">
        <v>35033.0</v>
      </c>
    </row>
    <row r="142">
      <c r="A142" s="11" t="s">
        <v>188</v>
      </c>
      <c r="B142" s="31" t="s">
        <v>244</v>
      </c>
      <c r="C142" s="31" t="s">
        <v>1133</v>
      </c>
      <c r="D142" s="32">
        <f t="shared" si="1"/>
        <v>29.66575342</v>
      </c>
      <c r="E142" s="35">
        <f t="shared" si="2"/>
        <v>35038</v>
      </c>
      <c r="G142" s="11"/>
      <c r="H142" s="11" t="s">
        <v>314</v>
      </c>
      <c r="I142" s="33" t="s">
        <v>360</v>
      </c>
      <c r="J142" s="34">
        <v>32702.0</v>
      </c>
    </row>
    <row r="143">
      <c r="A143" s="11" t="s">
        <v>188</v>
      </c>
      <c r="B143" s="31" t="s">
        <v>246</v>
      </c>
      <c r="C143" s="31" t="s">
        <v>1133</v>
      </c>
      <c r="D143" s="32">
        <f t="shared" si="1"/>
        <v>30.40821918</v>
      </c>
      <c r="E143" s="35">
        <f t="shared" si="2"/>
        <v>34767</v>
      </c>
      <c r="G143" s="11"/>
      <c r="H143" s="11" t="s">
        <v>314</v>
      </c>
      <c r="I143" s="33" t="s">
        <v>362</v>
      </c>
      <c r="J143" s="34">
        <v>36062.0</v>
      </c>
    </row>
    <row r="144">
      <c r="A144" s="11" t="s">
        <v>188</v>
      </c>
      <c r="B144" s="31" t="s">
        <v>1432</v>
      </c>
      <c r="C144" s="31" t="s">
        <v>1311</v>
      </c>
      <c r="D144" s="32" t="str">
        <f t="shared" si="1"/>
        <v>#N/A</v>
      </c>
      <c r="E144" s="14" t="str">
        <f t="shared" si="2"/>
        <v>#N/A</v>
      </c>
      <c r="G144" s="11"/>
      <c r="H144" s="11" t="s">
        <v>314</v>
      </c>
      <c r="I144" s="33" t="s">
        <v>364</v>
      </c>
      <c r="J144" s="34">
        <v>35380.0</v>
      </c>
    </row>
    <row r="145">
      <c r="A145" s="11" t="s">
        <v>188</v>
      </c>
      <c r="B145" s="31" t="s">
        <v>1091</v>
      </c>
      <c r="C145" s="31" t="s">
        <v>1272</v>
      </c>
      <c r="D145" s="32">
        <f t="shared" si="1"/>
        <v>27.32876712</v>
      </c>
      <c r="E145" s="35">
        <f t="shared" si="2"/>
        <v>35891</v>
      </c>
      <c r="G145" s="11"/>
      <c r="H145" s="11" t="s">
        <v>314</v>
      </c>
      <c r="I145" s="33" t="s">
        <v>366</v>
      </c>
      <c r="J145" s="34">
        <v>36929.0</v>
      </c>
    </row>
    <row r="146">
      <c r="A146" s="11" t="s">
        <v>188</v>
      </c>
      <c r="B146" s="31" t="s">
        <v>1433</v>
      </c>
      <c r="C146" s="31" t="s">
        <v>1311</v>
      </c>
      <c r="D146" s="32" t="str">
        <f t="shared" si="1"/>
        <v>#N/A</v>
      </c>
      <c r="E146" s="14" t="str">
        <f t="shared" si="2"/>
        <v>#N/A</v>
      </c>
      <c r="G146" s="11"/>
      <c r="H146" s="11" t="s">
        <v>314</v>
      </c>
      <c r="I146" s="33" t="s">
        <v>368</v>
      </c>
      <c r="J146" s="34">
        <v>36169.0</v>
      </c>
    </row>
    <row r="147">
      <c r="A147" s="11" t="s">
        <v>188</v>
      </c>
      <c r="B147" s="31" t="s">
        <v>1434</v>
      </c>
      <c r="C147" s="31" t="s">
        <v>1133</v>
      </c>
      <c r="D147" s="32" t="str">
        <f t="shared" si="1"/>
        <v>#N/A</v>
      </c>
      <c r="E147" s="14" t="str">
        <f t="shared" si="2"/>
        <v>#N/A</v>
      </c>
      <c r="G147" s="11"/>
      <c r="H147" s="11" t="s">
        <v>314</v>
      </c>
      <c r="I147" s="33" t="s">
        <v>370</v>
      </c>
      <c r="J147" s="34">
        <v>35668.0</v>
      </c>
    </row>
    <row r="148">
      <c r="A148" s="11" t="s">
        <v>188</v>
      </c>
      <c r="B148" s="31" t="s">
        <v>1093</v>
      </c>
      <c r="C148" s="31" t="s">
        <v>1311</v>
      </c>
      <c r="D148" s="32">
        <f t="shared" si="1"/>
        <v>36.56438356</v>
      </c>
      <c r="E148" s="35">
        <f t="shared" si="2"/>
        <v>32520</v>
      </c>
      <c r="G148" s="11"/>
      <c r="H148" s="11" t="s">
        <v>314</v>
      </c>
      <c r="I148" s="33" t="s">
        <v>372</v>
      </c>
      <c r="J148" s="34">
        <v>38442.0</v>
      </c>
    </row>
    <row r="149">
      <c r="A149" s="11" t="s">
        <v>188</v>
      </c>
      <c r="B149" s="31" t="s">
        <v>248</v>
      </c>
      <c r="C149" s="31" t="s">
        <v>1272</v>
      </c>
      <c r="D149" s="32">
        <f t="shared" si="1"/>
        <v>31.5369863</v>
      </c>
      <c r="E149" s="35">
        <f t="shared" si="2"/>
        <v>34355</v>
      </c>
      <c r="G149" s="11"/>
      <c r="H149" s="11" t="s">
        <v>314</v>
      </c>
      <c r="I149" s="33" t="s">
        <v>374</v>
      </c>
      <c r="J149" s="34">
        <v>37091.0</v>
      </c>
    </row>
    <row r="150">
      <c r="A150" s="31" t="s">
        <v>188</v>
      </c>
      <c r="B150" s="31" t="s">
        <v>1435</v>
      </c>
      <c r="C150" s="31" t="s">
        <v>1272</v>
      </c>
      <c r="D150" s="32" t="str">
        <f t="shared" si="1"/>
        <v>#N/A</v>
      </c>
      <c r="E150" s="14" t="str">
        <f t="shared" si="2"/>
        <v>#N/A</v>
      </c>
      <c r="G150" s="11"/>
      <c r="H150" s="11" t="s">
        <v>377</v>
      </c>
      <c r="I150" s="33" t="s">
        <v>380</v>
      </c>
      <c r="J150" s="34">
        <v>35998.0</v>
      </c>
    </row>
    <row r="151">
      <c r="A151" s="31" t="s">
        <v>313</v>
      </c>
      <c r="B151" s="31" t="s">
        <v>1436</v>
      </c>
      <c r="C151" s="31" t="s">
        <v>1400</v>
      </c>
      <c r="D151" s="32" t="str">
        <f t="shared" si="1"/>
        <v>#N/A</v>
      </c>
      <c r="E151" s="14" t="str">
        <f t="shared" si="2"/>
        <v>#N/A</v>
      </c>
      <c r="G151" s="11"/>
      <c r="H151" s="11" t="s">
        <v>377</v>
      </c>
      <c r="I151" s="33" t="s">
        <v>382</v>
      </c>
      <c r="J151" s="34">
        <v>35697.0</v>
      </c>
    </row>
    <row r="152">
      <c r="A152" s="31" t="s">
        <v>313</v>
      </c>
      <c r="B152" s="31" t="s">
        <v>316</v>
      </c>
      <c r="C152" s="31" t="s">
        <v>1272</v>
      </c>
      <c r="D152" s="32">
        <f t="shared" si="1"/>
        <v>26.03287671</v>
      </c>
      <c r="E152" s="35">
        <f t="shared" si="2"/>
        <v>36364</v>
      </c>
      <c r="G152" s="11"/>
      <c r="H152" s="11" t="s">
        <v>377</v>
      </c>
      <c r="I152" s="33" t="s">
        <v>384</v>
      </c>
      <c r="J152" s="34">
        <v>37678.0</v>
      </c>
    </row>
    <row r="153">
      <c r="A153" s="31" t="s">
        <v>313</v>
      </c>
      <c r="B153" s="31" t="s">
        <v>318</v>
      </c>
      <c r="C153" s="31" t="s">
        <v>1133</v>
      </c>
      <c r="D153" s="32">
        <f t="shared" si="1"/>
        <v>27.46575342</v>
      </c>
      <c r="E153" s="35">
        <f t="shared" si="2"/>
        <v>35841</v>
      </c>
      <c r="G153" s="11"/>
      <c r="H153" s="11" t="s">
        <v>377</v>
      </c>
      <c r="I153" s="33" t="s">
        <v>386</v>
      </c>
      <c r="J153" s="34">
        <v>36594.0</v>
      </c>
    </row>
    <row r="154">
      <c r="A154" s="31" t="s">
        <v>313</v>
      </c>
      <c r="B154" s="31" t="s">
        <v>320</v>
      </c>
      <c r="C154" s="31" t="s">
        <v>1311</v>
      </c>
      <c r="D154" s="32">
        <f t="shared" si="1"/>
        <v>28.72876712</v>
      </c>
      <c r="E154" s="35">
        <f t="shared" si="2"/>
        <v>35380</v>
      </c>
      <c r="G154" s="11"/>
      <c r="H154" s="11" t="s">
        <v>377</v>
      </c>
      <c r="I154" s="33" t="s">
        <v>388</v>
      </c>
      <c r="J154" s="34">
        <v>37382.0</v>
      </c>
    </row>
    <row r="155">
      <c r="A155" s="31" t="s">
        <v>313</v>
      </c>
      <c r="B155" s="31" t="s">
        <v>322</v>
      </c>
      <c r="C155" s="31" t="s">
        <v>1272</v>
      </c>
      <c r="D155" s="32">
        <f t="shared" si="1"/>
        <v>32.63835616</v>
      </c>
      <c r="E155" s="35">
        <f t="shared" si="2"/>
        <v>33953</v>
      </c>
      <c r="G155" s="11"/>
      <c r="H155" s="11" t="s">
        <v>377</v>
      </c>
      <c r="I155" s="33" t="s">
        <v>390</v>
      </c>
      <c r="J155" s="34">
        <v>37325.0</v>
      </c>
    </row>
    <row r="156">
      <c r="A156" s="31" t="s">
        <v>313</v>
      </c>
      <c r="B156" s="31" t="s">
        <v>324</v>
      </c>
      <c r="C156" s="31" t="s">
        <v>1311</v>
      </c>
      <c r="D156" s="32">
        <f t="shared" si="1"/>
        <v>30.35890411</v>
      </c>
      <c r="E156" s="35">
        <f t="shared" si="2"/>
        <v>34785</v>
      </c>
      <c r="G156" s="11"/>
      <c r="H156" s="11" t="s">
        <v>377</v>
      </c>
      <c r="I156" s="33" t="s">
        <v>392</v>
      </c>
      <c r="J156" s="34">
        <v>37062.0</v>
      </c>
    </row>
    <row r="157">
      <c r="A157" s="31" t="s">
        <v>313</v>
      </c>
      <c r="B157" s="31" t="s">
        <v>326</v>
      </c>
      <c r="C157" s="31" t="s">
        <v>1272</v>
      </c>
      <c r="D157" s="32">
        <f t="shared" si="1"/>
        <v>30.3890411</v>
      </c>
      <c r="E157" s="35">
        <f t="shared" si="2"/>
        <v>34774</v>
      </c>
      <c r="G157" s="11"/>
      <c r="H157" s="11" t="s">
        <v>377</v>
      </c>
      <c r="I157" s="33" t="s">
        <v>394</v>
      </c>
      <c r="J157" s="34">
        <v>36502.0</v>
      </c>
    </row>
    <row r="158">
      <c r="A158" s="31" t="s">
        <v>313</v>
      </c>
      <c r="B158" s="31" t="s">
        <v>328</v>
      </c>
      <c r="C158" s="31" t="s">
        <v>1311</v>
      </c>
      <c r="D158" s="32">
        <f t="shared" si="1"/>
        <v>31.42739726</v>
      </c>
      <c r="E158" s="35">
        <f t="shared" si="2"/>
        <v>34395</v>
      </c>
      <c r="G158" s="11"/>
      <c r="H158" s="11" t="s">
        <v>377</v>
      </c>
      <c r="I158" s="33" t="s">
        <v>396</v>
      </c>
      <c r="J158" s="34">
        <v>37197.0</v>
      </c>
    </row>
    <row r="159">
      <c r="A159" s="31" t="s">
        <v>313</v>
      </c>
      <c r="B159" s="31" t="s">
        <v>330</v>
      </c>
      <c r="C159" s="31" t="s">
        <v>1272</v>
      </c>
      <c r="D159" s="32">
        <f t="shared" si="1"/>
        <v>20.40547945</v>
      </c>
      <c r="E159" s="35">
        <f t="shared" si="2"/>
        <v>38418</v>
      </c>
      <c r="G159" s="11"/>
      <c r="H159" s="11" t="s">
        <v>377</v>
      </c>
      <c r="I159" s="33" t="s">
        <v>398</v>
      </c>
      <c r="J159" s="34">
        <v>37992.0</v>
      </c>
    </row>
    <row r="160">
      <c r="A160" s="31" t="s">
        <v>313</v>
      </c>
      <c r="B160" s="31" t="s">
        <v>332</v>
      </c>
      <c r="C160" s="31" t="s">
        <v>1133</v>
      </c>
      <c r="D160" s="32">
        <f t="shared" si="1"/>
        <v>32.27123288</v>
      </c>
      <c r="E160" s="35">
        <f t="shared" si="2"/>
        <v>34087</v>
      </c>
      <c r="G160" s="11"/>
      <c r="H160" s="11" t="s">
        <v>377</v>
      </c>
      <c r="I160" s="33" t="s">
        <v>400</v>
      </c>
      <c r="J160" s="34">
        <v>36908.0</v>
      </c>
    </row>
    <row r="161">
      <c r="A161" s="31" t="s">
        <v>313</v>
      </c>
      <c r="B161" s="31" t="s">
        <v>334</v>
      </c>
      <c r="C161" s="31" t="s">
        <v>1133</v>
      </c>
      <c r="D161" s="32">
        <f t="shared" si="1"/>
        <v>24.43561644</v>
      </c>
      <c r="E161" s="35">
        <f t="shared" si="2"/>
        <v>36947</v>
      </c>
      <c r="G161" s="11"/>
      <c r="H161" s="11" t="s">
        <v>377</v>
      </c>
      <c r="I161" s="33" t="s">
        <v>402</v>
      </c>
      <c r="J161" s="34">
        <v>37660.0</v>
      </c>
    </row>
    <row r="162">
      <c r="A162" s="31" t="s">
        <v>313</v>
      </c>
      <c r="B162" s="31" t="s">
        <v>1437</v>
      </c>
      <c r="C162" s="31" t="s">
        <v>1400</v>
      </c>
      <c r="D162" s="32" t="str">
        <f t="shared" si="1"/>
        <v>#N/A</v>
      </c>
      <c r="E162" s="14" t="str">
        <f t="shared" si="2"/>
        <v>#N/A</v>
      </c>
      <c r="G162" s="11"/>
      <c r="H162" s="11" t="s">
        <v>377</v>
      </c>
      <c r="I162" s="33" t="s">
        <v>404</v>
      </c>
      <c r="J162" s="34">
        <v>38425.0</v>
      </c>
    </row>
    <row r="163">
      <c r="A163" s="31" t="s">
        <v>313</v>
      </c>
      <c r="B163" s="31" t="s">
        <v>1438</v>
      </c>
      <c r="C163" s="31" t="s">
        <v>1400</v>
      </c>
      <c r="D163" s="32" t="str">
        <f t="shared" si="1"/>
        <v>#N/A</v>
      </c>
      <c r="E163" s="14" t="str">
        <f t="shared" si="2"/>
        <v>#N/A</v>
      </c>
      <c r="G163" s="11"/>
      <c r="H163" s="11" t="s">
        <v>377</v>
      </c>
      <c r="I163" s="33" t="s">
        <v>406</v>
      </c>
      <c r="J163" s="34">
        <v>35748.0</v>
      </c>
    </row>
    <row r="164">
      <c r="A164" s="31" t="s">
        <v>313</v>
      </c>
      <c r="B164" s="31" t="s">
        <v>1242</v>
      </c>
      <c r="C164" s="31" t="s">
        <v>1272</v>
      </c>
      <c r="D164" s="32">
        <f t="shared" si="1"/>
        <v>22.19452055</v>
      </c>
      <c r="E164" s="35">
        <f t="shared" si="2"/>
        <v>37765</v>
      </c>
      <c r="G164" s="11"/>
      <c r="H164" s="11" t="s">
        <v>377</v>
      </c>
      <c r="I164" s="33" t="s">
        <v>408</v>
      </c>
      <c r="J164" s="34">
        <v>37760.0</v>
      </c>
    </row>
    <row r="165">
      <c r="A165" s="31" t="s">
        <v>313</v>
      </c>
      <c r="B165" s="31" t="s">
        <v>336</v>
      </c>
      <c r="C165" s="31" t="s">
        <v>1311</v>
      </c>
      <c r="D165" s="32">
        <f t="shared" si="1"/>
        <v>24.2630137</v>
      </c>
      <c r="E165" s="35">
        <f t="shared" si="2"/>
        <v>37010</v>
      </c>
      <c r="G165" s="11"/>
      <c r="H165" s="11" t="s">
        <v>377</v>
      </c>
      <c r="I165" s="33" t="s">
        <v>410</v>
      </c>
      <c r="J165" s="34">
        <v>38752.0</v>
      </c>
    </row>
    <row r="166">
      <c r="A166" s="11" t="s">
        <v>313</v>
      </c>
      <c r="B166" s="31" t="s">
        <v>1100</v>
      </c>
      <c r="C166" s="31" t="s">
        <v>1311</v>
      </c>
      <c r="D166" s="32">
        <f t="shared" si="1"/>
        <v>18.29315068</v>
      </c>
      <c r="E166" s="35">
        <f t="shared" si="2"/>
        <v>39189</v>
      </c>
      <c r="G166" s="11"/>
      <c r="H166" s="11" t="s">
        <v>378</v>
      </c>
      <c r="I166" s="33" t="s">
        <v>412</v>
      </c>
      <c r="J166" s="34">
        <v>35463.0</v>
      </c>
    </row>
    <row r="167">
      <c r="A167" s="11" t="s">
        <v>313</v>
      </c>
      <c r="B167" s="31" t="s">
        <v>1439</v>
      </c>
      <c r="C167" s="31" t="s">
        <v>1133</v>
      </c>
      <c r="D167" s="32" t="str">
        <f t="shared" si="1"/>
        <v>#N/A</v>
      </c>
      <c r="E167" s="14" t="str">
        <f t="shared" si="2"/>
        <v>#N/A</v>
      </c>
      <c r="G167" s="11"/>
      <c r="H167" s="11" t="s">
        <v>378</v>
      </c>
      <c r="I167" s="33" t="s">
        <v>415</v>
      </c>
      <c r="J167" s="34">
        <v>34835.0</v>
      </c>
    </row>
    <row r="168">
      <c r="A168" s="11" t="s">
        <v>313</v>
      </c>
      <c r="B168" s="31" t="s">
        <v>1359</v>
      </c>
      <c r="C168" s="31" t="s">
        <v>1272</v>
      </c>
      <c r="D168" s="32">
        <f t="shared" si="1"/>
        <v>36.46027397</v>
      </c>
      <c r="E168" s="35">
        <f t="shared" si="2"/>
        <v>32558</v>
      </c>
      <c r="G168" s="11"/>
      <c r="H168" s="11" t="s">
        <v>378</v>
      </c>
      <c r="I168" s="33" t="s">
        <v>417</v>
      </c>
      <c r="J168" s="34">
        <v>36164.0</v>
      </c>
    </row>
    <row r="169">
      <c r="A169" s="11" t="s">
        <v>313</v>
      </c>
      <c r="B169" s="31" t="s">
        <v>338</v>
      </c>
      <c r="C169" s="31" t="s">
        <v>1311</v>
      </c>
      <c r="D169" s="32">
        <f t="shared" si="1"/>
        <v>25.56986301</v>
      </c>
      <c r="E169" s="35">
        <f t="shared" si="2"/>
        <v>36533</v>
      </c>
      <c r="G169" s="11"/>
      <c r="H169" s="11" t="s">
        <v>378</v>
      </c>
      <c r="I169" s="33" t="s">
        <v>419</v>
      </c>
      <c r="J169" s="34">
        <v>35147.0</v>
      </c>
    </row>
    <row r="170">
      <c r="A170" s="11" t="s">
        <v>313</v>
      </c>
      <c r="B170" s="31" t="s">
        <v>1102</v>
      </c>
      <c r="C170" s="31" t="s">
        <v>1311</v>
      </c>
      <c r="D170" s="32">
        <f t="shared" si="1"/>
        <v>25.39452055</v>
      </c>
      <c r="E170" s="35">
        <f t="shared" si="2"/>
        <v>36597</v>
      </c>
      <c r="G170" s="11"/>
      <c r="H170" s="11" t="s">
        <v>378</v>
      </c>
      <c r="I170" s="33" t="s">
        <v>421</v>
      </c>
      <c r="J170" s="34">
        <v>35475.0</v>
      </c>
    </row>
    <row r="171">
      <c r="A171" s="11" t="s">
        <v>313</v>
      </c>
      <c r="B171" s="31" t="s">
        <v>340</v>
      </c>
      <c r="C171" s="31" t="s">
        <v>1133</v>
      </c>
      <c r="D171" s="32">
        <f t="shared" si="1"/>
        <v>30.97808219</v>
      </c>
      <c r="E171" s="35">
        <f t="shared" si="2"/>
        <v>34559</v>
      </c>
      <c r="G171" s="11"/>
      <c r="H171" s="11" t="s">
        <v>378</v>
      </c>
      <c r="I171" s="33" t="s">
        <v>423</v>
      </c>
      <c r="J171" s="34">
        <v>33344.0</v>
      </c>
    </row>
    <row r="172">
      <c r="A172" s="11" t="s">
        <v>313</v>
      </c>
      <c r="B172" s="31" t="s">
        <v>1361</v>
      </c>
      <c r="C172" s="31" t="s">
        <v>1272</v>
      </c>
      <c r="D172" s="32">
        <f t="shared" si="1"/>
        <v>29.90684932</v>
      </c>
      <c r="E172" s="35">
        <f t="shared" si="2"/>
        <v>34950</v>
      </c>
      <c r="G172" s="11"/>
      <c r="H172" s="11" t="s">
        <v>378</v>
      </c>
      <c r="I172" s="33" t="s">
        <v>425</v>
      </c>
      <c r="J172" s="34">
        <v>37998.0</v>
      </c>
    </row>
    <row r="173">
      <c r="A173" s="11" t="s">
        <v>313</v>
      </c>
      <c r="B173" s="31" t="s">
        <v>1440</v>
      </c>
      <c r="C173" s="31" t="s">
        <v>1272</v>
      </c>
      <c r="D173" s="32" t="str">
        <f t="shared" si="1"/>
        <v>#N/A</v>
      </c>
      <c r="E173" s="14" t="str">
        <f t="shared" si="2"/>
        <v>#N/A</v>
      </c>
      <c r="G173" s="11"/>
      <c r="H173" s="11" t="s">
        <v>378</v>
      </c>
      <c r="I173" s="33" t="s">
        <v>427</v>
      </c>
      <c r="J173" s="34">
        <v>33889.0</v>
      </c>
    </row>
    <row r="174">
      <c r="A174" s="11" t="s">
        <v>313</v>
      </c>
      <c r="B174" s="31" t="s">
        <v>342</v>
      </c>
      <c r="C174" s="31" t="s">
        <v>1272</v>
      </c>
      <c r="D174" s="32">
        <f t="shared" si="1"/>
        <v>22.46027397</v>
      </c>
      <c r="E174" s="35">
        <f t="shared" si="2"/>
        <v>37668</v>
      </c>
      <c r="G174" s="11"/>
      <c r="H174" s="11" t="s">
        <v>378</v>
      </c>
      <c r="I174" s="33" t="s">
        <v>429</v>
      </c>
      <c r="J174" s="34">
        <v>34649.0</v>
      </c>
    </row>
    <row r="175">
      <c r="A175" s="11" t="s">
        <v>313</v>
      </c>
      <c r="B175" s="31" t="s">
        <v>344</v>
      </c>
      <c r="C175" s="31" t="s">
        <v>1133</v>
      </c>
      <c r="D175" s="32">
        <f t="shared" si="1"/>
        <v>27.27671233</v>
      </c>
      <c r="E175" s="35">
        <f t="shared" si="2"/>
        <v>35910</v>
      </c>
      <c r="G175" s="11"/>
      <c r="H175" s="11" t="s">
        <v>378</v>
      </c>
      <c r="I175" s="33" t="s">
        <v>431</v>
      </c>
      <c r="J175" s="34">
        <v>34949.0</v>
      </c>
    </row>
    <row r="176">
      <c r="A176" s="11" t="s">
        <v>314</v>
      </c>
      <c r="B176" s="31" t="s">
        <v>1441</v>
      </c>
      <c r="C176" s="31" t="s">
        <v>1400</v>
      </c>
      <c r="D176" s="32" t="str">
        <f t="shared" si="1"/>
        <v>#N/A</v>
      </c>
      <c r="E176" s="14" t="str">
        <f t="shared" si="2"/>
        <v>#N/A</v>
      </c>
      <c r="G176" s="11"/>
      <c r="H176" s="11" t="s">
        <v>378</v>
      </c>
      <c r="I176" s="33" t="s">
        <v>433</v>
      </c>
      <c r="J176" s="34">
        <v>31685.0</v>
      </c>
    </row>
    <row r="177">
      <c r="A177" s="11" t="s">
        <v>314</v>
      </c>
      <c r="B177" s="31" t="s">
        <v>346</v>
      </c>
      <c r="C177" s="31" t="s">
        <v>1272</v>
      </c>
      <c r="D177" s="32">
        <f t="shared" si="1"/>
        <v>28.11506849</v>
      </c>
      <c r="E177" s="35">
        <f t="shared" si="2"/>
        <v>35604</v>
      </c>
      <c r="G177" s="11"/>
      <c r="H177" s="11" t="s">
        <v>378</v>
      </c>
      <c r="I177" s="33" t="s">
        <v>435</v>
      </c>
      <c r="J177" s="34">
        <v>35517.0</v>
      </c>
    </row>
    <row r="178">
      <c r="A178" s="11" t="s">
        <v>314</v>
      </c>
      <c r="B178" s="31" t="s">
        <v>348</v>
      </c>
      <c r="C178" s="31" t="s">
        <v>1311</v>
      </c>
      <c r="D178" s="32">
        <f t="shared" si="1"/>
        <v>30.17260274</v>
      </c>
      <c r="E178" s="35">
        <f t="shared" si="2"/>
        <v>34853</v>
      </c>
      <c r="G178" s="11"/>
      <c r="H178" s="11" t="s">
        <v>378</v>
      </c>
      <c r="I178" s="33" t="s">
        <v>437</v>
      </c>
      <c r="J178" s="34">
        <v>36795.0</v>
      </c>
    </row>
    <row r="179">
      <c r="A179" s="11" t="s">
        <v>314</v>
      </c>
      <c r="B179" s="31" t="s">
        <v>350</v>
      </c>
      <c r="C179" s="31" t="s">
        <v>1133</v>
      </c>
      <c r="D179" s="32">
        <f t="shared" si="1"/>
        <v>24.60821918</v>
      </c>
      <c r="E179" s="35">
        <f t="shared" si="2"/>
        <v>36884</v>
      </c>
      <c r="G179" s="11"/>
      <c r="H179" s="11" t="s">
        <v>378</v>
      </c>
      <c r="I179" s="33" t="s">
        <v>439</v>
      </c>
      <c r="J179" s="34">
        <v>38900.0</v>
      </c>
    </row>
    <row r="180">
      <c r="A180" s="31" t="s">
        <v>314</v>
      </c>
      <c r="B180" s="31" t="s">
        <v>352</v>
      </c>
      <c r="C180" s="31" t="s">
        <v>1311</v>
      </c>
      <c r="D180" s="32">
        <f t="shared" si="1"/>
        <v>31.07945205</v>
      </c>
      <c r="E180" s="35">
        <f t="shared" si="2"/>
        <v>34522</v>
      </c>
      <c r="G180" s="11"/>
      <c r="H180" s="11" t="s">
        <v>440</v>
      </c>
      <c r="I180" s="33" t="s">
        <v>443</v>
      </c>
      <c r="J180" s="34">
        <v>34427.0</v>
      </c>
    </row>
    <row r="181">
      <c r="A181" s="31" t="s">
        <v>314</v>
      </c>
      <c r="B181" s="31" t="s">
        <v>354</v>
      </c>
      <c r="C181" s="31" t="s">
        <v>1272</v>
      </c>
      <c r="D181" s="32">
        <f t="shared" si="1"/>
        <v>29.01917808</v>
      </c>
      <c r="E181" s="35">
        <f t="shared" si="2"/>
        <v>35274</v>
      </c>
      <c r="G181" s="11"/>
      <c r="H181" s="11" t="s">
        <v>440</v>
      </c>
      <c r="I181" s="33" t="s">
        <v>445</v>
      </c>
      <c r="J181" s="34">
        <v>33431.0</v>
      </c>
    </row>
    <row r="182">
      <c r="A182" s="31" t="s">
        <v>314</v>
      </c>
      <c r="B182" s="31" t="s">
        <v>356</v>
      </c>
      <c r="C182" s="31" t="s">
        <v>1311</v>
      </c>
      <c r="D182" s="32">
        <f t="shared" si="1"/>
        <v>19.99178082</v>
      </c>
      <c r="E182" s="35">
        <f t="shared" si="2"/>
        <v>38569</v>
      </c>
      <c r="G182" s="11"/>
      <c r="H182" s="11" t="s">
        <v>440</v>
      </c>
      <c r="I182" s="33" t="s">
        <v>447</v>
      </c>
      <c r="J182" s="34">
        <v>36727.0</v>
      </c>
    </row>
    <row r="183">
      <c r="A183" s="31" t="s">
        <v>314</v>
      </c>
      <c r="B183" s="31" t="s">
        <v>358</v>
      </c>
      <c r="C183" s="31" t="s">
        <v>1133</v>
      </c>
      <c r="D183" s="32">
        <f t="shared" si="1"/>
        <v>29.67945205</v>
      </c>
      <c r="E183" s="35">
        <f t="shared" si="2"/>
        <v>35033</v>
      </c>
      <c r="G183" s="11"/>
      <c r="H183" s="11" t="s">
        <v>440</v>
      </c>
      <c r="I183" s="33" t="s">
        <v>449</v>
      </c>
      <c r="J183" s="34">
        <v>35119.0</v>
      </c>
    </row>
    <row r="184">
      <c r="A184" s="31" t="s">
        <v>314</v>
      </c>
      <c r="B184" s="31" t="s">
        <v>360</v>
      </c>
      <c r="C184" s="31" t="s">
        <v>1272</v>
      </c>
      <c r="D184" s="32">
        <f t="shared" si="1"/>
        <v>36.06575342</v>
      </c>
      <c r="E184" s="35">
        <f t="shared" si="2"/>
        <v>32702</v>
      </c>
      <c r="G184" s="11"/>
      <c r="H184" s="11" t="s">
        <v>440</v>
      </c>
      <c r="I184" s="33" t="s">
        <v>451</v>
      </c>
      <c r="J184" s="34">
        <v>32934.0</v>
      </c>
    </row>
    <row r="185">
      <c r="A185" s="31" t="s">
        <v>314</v>
      </c>
      <c r="B185" s="31" t="s">
        <v>362</v>
      </c>
      <c r="C185" s="31" t="s">
        <v>1272</v>
      </c>
      <c r="D185" s="32">
        <f t="shared" si="1"/>
        <v>26.86027397</v>
      </c>
      <c r="E185" s="35">
        <f t="shared" si="2"/>
        <v>36062</v>
      </c>
      <c r="G185" s="11"/>
      <c r="H185" s="11" t="s">
        <v>440</v>
      </c>
      <c r="I185" s="33" t="s">
        <v>453</v>
      </c>
      <c r="J185" s="34">
        <v>37464.0</v>
      </c>
    </row>
    <row r="186">
      <c r="A186" s="31" t="s">
        <v>314</v>
      </c>
      <c r="B186" s="31" t="s">
        <v>364</v>
      </c>
      <c r="C186" s="31" t="s">
        <v>1133</v>
      </c>
      <c r="D186" s="32">
        <f t="shared" si="1"/>
        <v>28.72876712</v>
      </c>
      <c r="E186" s="35">
        <f t="shared" si="2"/>
        <v>35380</v>
      </c>
      <c r="G186" s="11"/>
      <c r="H186" s="11" t="s">
        <v>440</v>
      </c>
      <c r="I186" s="33" t="s">
        <v>455</v>
      </c>
      <c r="J186" s="34">
        <v>32734.0</v>
      </c>
    </row>
    <row r="187">
      <c r="A187" s="31" t="s">
        <v>314</v>
      </c>
      <c r="B187" s="31" t="s">
        <v>1442</v>
      </c>
      <c r="C187" s="31" t="s">
        <v>1400</v>
      </c>
      <c r="D187" s="32" t="str">
        <f t="shared" si="1"/>
        <v>#N/A</v>
      </c>
      <c r="E187" s="14" t="str">
        <f t="shared" si="2"/>
        <v>#N/A</v>
      </c>
      <c r="G187" s="11"/>
      <c r="H187" s="11" t="s">
        <v>440</v>
      </c>
      <c r="I187" s="33" t="s">
        <v>457</v>
      </c>
      <c r="J187" s="34">
        <v>37102.0</v>
      </c>
    </row>
    <row r="188">
      <c r="A188" s="31" t="s">
        <v>314</v>
      </c>
      <c r="B188" s="31" t="s">
        <v>1443</v>
      </c>
      <c r="C188" s="31" t="s">
        <v>1400</v>
      </c>
      <c r="D188" s="32" t="str">
        <f t="shared" si="1"/>
        <v>#N/A</v>
      </c>
      <c r="E188" s="14" t="str">
        <f t="shared" si="2"/>
        <v>#N/A</v>
      </c>
      <c r="G188" s="11"/>
      <c r="H188" s="11" t="s">
        <v>440</v>
      </c>
      <c r="I188" s="33" t="s">
        <v>459</v>
      </c>
      <c r="J188" s="34">
        <v>36210.0</v>
      </c>
    </row>
    <row r="189">
      <c r="A189" s="31" t="s">
        <v>314</v>
      </c>
      <c r="B189" s="31" t="s">
        <v>1444</v>
      </c>
      <c r="C189" s="31" t="s">
        <v>1272</v>
      </c>
      <c r="D189" s="32" t="str">
        <f t="shared" si="1"/>
        <v>#N/A</v>
      </c>
      <c r="E189" s="14" t="str">
        <f t="shared" si="2"/>
        <v>#N/A</v>
      </c>
      <c r="G189" s="11"/>
      <c r="H189" s="11" t="s">
        <v>440</v>
      </c>
      <c r="I189" s="33" t="s">
        <v>461</v>
      </c>
      <c r="J189" s="34">
        <v>36353.0</v>
      </c>
    </row>
    <row r="190">
      <c r="A190" s="31" t="s">
        <v>314</v>
      </c>
      <c r="B190" s="31" t="s">
        <v>1085</v>
      </c>
      <c r="C190" s="31" t="s">
        <v>1311</v>
      </c>
      <c r="D190" s="32">
        <f t="shared" si="1"/>
        <v>34.41369863</v>
      </c>
      <c r="E190" s="35">
        <f t="shared" si="2"/>
        <v>33305</v>
      </c>
      <c r="G190" s="11"/>
      <c r="H190" s="11" t="s">
        <v>440</v>
      </c>
      <c r="I190" s="33" t="s">
        <v>463</v>
      </c>
      <c r="J190" s="34">
        <v>37370.0</v>
      </c>
    </row>
    <row r="191">
      <c r="A191" s="31" t="s">
        <v>314</v>
      </c>
      <c r="B191" s="31" t="s">
        <v>366</v>
      </c>
      <c r="C191" s="31" t="s">
        <v>1133</v>
      </c>
      <c r="D191" s="32">
        <f t="shared" si="1"/>
        <v>24.48493151</v>
      </c>
      <c r="E191" s="35">
        <f t="shared" si="2"/>
        <v>36929</v>
      </c>
      <c r="G191" s="11"/>
      <c r="H191" s="11" t="s">
        <v>440</v>
      </c>
      <c r="I191" s="33" t="s">
        <v>465</v>
      </c>
      <c r="J191" s="34">
        <v>35289.0</v>
      </c>
    </row>
    <row r="192">
      <c r="A192" s="31" t="s">
        <v>314</v>
      </c>
      <c r="B192" s="31" t="s">
        <v>1238</v>
      </c>
      <c r="C192" s="31" t="s">
        <v>1133</v>
      </c>
      <c r="D192" s="32">
        <f t="shared" si="1"/>
        <v>30.77534247</v>
      </c>
      <c r="E192" s="35">
        <f t="shared" si="2"/>
        <v>34633</v>
      </c>
      <c r="G192" s="11"/>
      <c r="H192" s="11" t="s">
        <v>440</v>
      </c>
      <c r="I192" s="33" t="s">
        <v>467</v>
      </c>
      <c r="J192" s="34">
        <v>36859.0</v>
      </c>
    </row>
    <row r="193">
      <c r="A193" s="31" t="s">
        <v>314</v>
      </c>
      <c r="B193" s="31" t="s">
        <v>368</v>
      </c>
      <c r="C193" s="31" t="s">
        <v>1133</v>
      </c>
      <c r="D193" s="32">
        <f t="shared" si="1"/>
        <v>26.56712329</v>
      </c>
      <c r="E193" s="35">
        <f t="shared" si="2"/>
        <v>36169</v>
      </c>
      <c r="G193" s="11"/>
      <c r="H193" s="11" t="s">
        <v>440</v>
      </c>
      <c r="I193" s="33" t="s">
        <v>469</v>
      </c>
      <c r="J193" s="34">
        <v>35942.0</v>
      </c>
    </row>
    <row r="194">
      <c r="A194" s="31" t="s">
        <v>314</v>
      </c>
      <c r="B194" s="31" t="s">
        <v>370</v>
      </c>
      <c r="C194" s="31" t="s">
        <v>1272</v>
      </c>
      <c r="D194" s="32">
        <f t="shared" si="1"/>
        <v>27.93972603</v>
      </c>
      <c r="E194" s="35">
        <f t="shared" si="2"/>
        <v>35668</v>
      </c>
      <c r="G194" s="11"/>
      <c r="H194" s="11" t="s">
        <v>441</v>
      </c>
      <c r="I194" s="33" t="s">
        <v>471</v>
      </c>
      <c r="J194" s="34">
        <v>37703.0</v>
      </c>
    </row>
    <row r="195">
      <c r="A195" s="31" t="s">
        <v>314</v>
      </c>
      <c r="B195" s="31" t="s">
        <v>372</v>
      </c>
      <c r="C195" s="31" t="s">
        <v>1311</v>
      </c>
      <c r="D195" s="32">
        <f t="shared" si="1"/>
        <v>20.33972603</v>
      </c>
      <c r="E195" s="35">
        <f t="shared" si="2"/>
        <v>38442</v>
      </c>
      <c r="G195" s="11"/>
      <c r="H195" s="11" t="s">
        <v>441</v>
      </c>
      <c r="I195" s="33" t="s">
        <v>473</v>
      </c>
      <c r="J195" s="34">
        <v>37924.0</v>
      </c>
    </row>
    <row r="196">
      <c r="A196" s="31" t="s">
        <v>314</v>
      </c>
      <c r="B196" s="31" t="s">
        <v>1445</v>
      </c>
      <c r="C196" s="31" t="s">
        <v>1272</v>
      </c>
      <c r="D196" s="32" t="str">
        <f t="shared" si="1"/>
        <v>#N/A</v>
      </c>
      <c r="E196" s="14" t="str">
        <f t="shared" si="2"/>
        <v>#N/A</v>
      </c>
      <c r="G196" s="11"/>
      <c r="H196" s="11" t="s">
        <v>441</v>
      </c>
      <c r="I196" s="33" t="s">
        <v>475</v>
      </c>
      <c r="J196" s="34">
        <v>35043.0</v>
      </c>
    </row>
    <row r="197">
      <c r="A197" s="31" t="s">
        <v>314</v>
      </c>
      <c r="B197" s="31" t="s">
        <v>1446</v>
      </c>
      <c r="C197" s="31" t="s">
        <v>1272</v>
      </c>
      <c r="D197" s="32" t="str">
        <f t="shared" si="1"/>
        <v>#N/A</v>
      </c>
      <c r="E197" s="14" t="str">
        <f t="shared" si="2"/>
        <v>#N/A</v>
      </c>
      <c r="G197" s="11"/>
      <c r="H197" s="11" t="s">
        <v>441</v>
      </c>
      <c r="I197" s="33" t="s">
        <v>477</v>
      </c>
      <c r="J197" s="34">
        <v>32187.0</v>
      </c>
    </row>
    <row r="198">
      <c r="A198" s="31" t="s">
        <v>314</v>
      </c>
      <c r="B198" s="31" t="s">
        <v>1240</v>
      </c>
      <c r="C198" s="31" t="s">
        <v>1311</v>
      </c>
      <c r="D198" s="32">
        <f t="shared" si="1"/>
        <v>22.24657534</v>
      </c>
      <c r="E198" s="35">
        <f t="shared" si="2"/>
        <v>37746</v>
      </c>
      <c r="G198" s="11"/>
      <c r="H198" s="11" t="s">
        <v>441</v>
      </c>
      <c r="I198" s="33" t="s">
        <v>479</v>
      </c>
      <c r="J198" s="34">
        <v>36120.0</v>
      </c>
    </row>
    <row r="199">
      <c r="A199" s="31" t="s">
        <v>314</v>
      </c>
      <c r="B199" s="31" t="s">
        <v>1083</v>
      </c>
      <c r="C199" s="31" t="s">
        <v>1272</v>
      </c>
      <c r="D199" s="32">
        <f t="shared" si="1"/>
        <v>23.10136986</v>
      </c>
      <c r="E199" s="35">
        <f t="shared" si="2"/>
        <v>37434</v>
      </c>
      <c r="G199" s="11"/>
      <c r="H199" s="11" t="s">
        <v>441</v>
      </c>
      <c r="I199" s="33" t="s">
        <v>481</v>
      </c>
      <c r="J199" s="34">
        <v>37684.0</v>
      </c>
    </row>
    <row r="200">
      <c r="A200" s="31" t="s">
        <v>314</v>
      </c>
      <c r="B200" s="31" t="s">
        <v>1087</v>
      </c>
      <c r="C200" s="31" t="s">
        <v>1133</v>
      </c>
      <c r="D200" s="32">
        <f t="shared" si="1"/>
        <v>23.02465753</v>
      </c>
      <c r="E200" s="35">
        <f t="shared" si="2"/>
        <v>37462</v>
      </c>
      <c r="G200" s="11"/>
      <c r="H200" s="11" t="s">
        <v>441</v>
      </c>
      <c r="I200" s="36" t="s">
        <v>483</v>
      </c>
      <c r="J200" s="37">
        <v>34631.0</v>
      </c>
    </row>
    <row r="201">
      <c r="A201" s="31" t="s">
        <v>314</v>
      </c>
      <c r="B201" s="31" t="s">
        <v>374</v>
      </c>
      <c r="C201" s="31" t="s">
        <v>1133</v>
      </c>
      <c r="D201" s="32">
        <f t="shared" si="1"/>
        <v>24.04109589</v>
      </c>
      <c r="E201" s="35">
        <f t="shared" si="2"/>
        <v>37091</v>
      </c>
      <c r="G201" s="11"/>
      <c r="H201" s="11" t="s">
        <v>441</v>
      </c>
      <c r="I201" s="33" t="s">
        <v>485</v>
      </c>
      <c r="J201" s="34">
        <v>32185.0</v>
      </c>
    </row>
    <row r="202">
      <c r="A202" s="31" t="s">
        <v>1447</v>
      </c>
      <c r="B202" s="31" t="s">
        <v>1448</v>
      </c>
      <c r="C202" s="31" t="s">
        <v>1400</v>
      </c>
      <c r="D202" s="32" t="str">
        <f t="shared" si="1"/>
        <v>#N/A</v>
      </c>
      <c r="E202" s="14" t="str">
        <f t="shared" si="2"/>
        <v>#N/A</v>
      </c>
      <c r="G202" s="11"/>
      <c r="H202" s="11" t="s">
        <v>441</v>
      </c>
      <c r="I202" s="33" t="s">
        <v>487</v>
      </c>
      <c r="J202" s="34">
        <v>36391.0</v>
      </c>
    </row>
    <row r="203">
      <c r="A203" s="31" t="s">
        <v>1447</v>
      </c>
      <c r="B203" s="31" t="s">
        <v>126</v>
      </c>
      <c r="C203" s="31" t="s">
        <v>1272</v>
      </c>
      <c r="D203" s="32">
        <f t="shared" si="1"/>
        <v>29.47945205</v>
      </c>
      <c r="E203" s="35">
        <f t="shared" si="2"/>
        <v>35106</v>
      </c>
      <c r="G203" s="11"/>
      <c r="H203" s="11" t="s">
        <v>441</v>
      </c>
      <c r="I203" s="33" t="s">
        <v>489</v>
      </c>
      <c r="J203" s="34">
        <v>35660.0</v>
      </c>
    </row>
    <row r="204">
      <c r="A204" s="31" t="s">
        <v>1447</v>
      </c>
      <c r="B204" s="31" t="s">
        <v>128</v>
      </c>
      <c r="C204" s="31" t="s">
        <v>1311</v>
      </c>
      <c r="D204" s="32">
        <f t="shared" si="1"/>
        <v>30.48767123</v>
      </c>
      <c r="E204" s="35">
        <f t="shared" si="2"/>
        <v>34738</v>
      </c>
      <c r="G204" s="11"/>
      <c r="H204" s="11" t="s">
        <v>441</v>
      </c>
      <c r="I204" s="33" t="s">
        <v>491</v>
      </c>
      <c r="J204" s="34">
        <v>36889.0</v>
      </c>
    </row>
    <row r="205">
      <c r="A205" s="31" t="s">
        <v>1447</v>
      </c>
      <c r="B205" s="31" t="s">
        <v>130</v>
      </c>
      <c r="C205" s="31" t="s">
        <v>1133</v>
      </c>
      <c r="D205" s="32">
        <f t="shared" si="1"/>
        <v>32.02191781</v>
      </c>
      <c r="E205" s="35">
        <f t="shared" si="2"/>
        <v>34178</v>
      </c>
      <c r="G205" s="11"/>
      <c r="H205" s="11" t="s">
        <v>441</v>
      </c>
      <c r="I205" s="33" t="s">
        <v>493</v>
      </c>
      <c r="J205" s="34">
        <v>36089.0</v>
      </c>
    </row>
    <row r="206">
      <c r="A206" s="31" t="s">
        <v>1447</v>
      </c>
      <c r="B206" s="31" t="s">
        <v>132</v>
      </c>
      <c r="C206" s="31" t="s">
        <v>1133</v>
      </c>
      <c r="D206" s="32">
        <f t="shared" si="1"/>
        <v>29.14246575</v>
      </c>
      <c r="E206" s="35">
        <f t="shared" si="2"/>
        <v>35229</v>
      </c>
      <c r="G206" s="11"/>
      <c r="H206" s="11" t="s">
        <v>441</v>
      </c>
      <c r="I206" s="33" t="s">
        <v>495</v>
      </c>
      <c r="J206" s="34">
        <v>36528.0</v>
      </c>
    </row>
    <row r="207">
      <c r="A207" s="31" t="s">
        <v>1447</v>
      </c>
      <c r="B207" s="31" t="s">
        <v>134</v>
      </c>
      <c r="C207" s="31" t="s">
        <v>1133</v>
      </c>
      <c r="D207" s="32">
        <f t="shared" si="1"/>
        <v>23.64109589</v>
      </c>
      <c r="E207" s="35">
        <f t="shared" si="2"/>
        <v>37237</v>
      </c>
      <c r="G207" s="11"/>
      <c r="H207" s="11" t="s">
        <v>441</v>
      </c>
      <c r="I207" s="33" t="s">
        <v>497</v>
      </c>
      <c r="J207" s="34">
        <v>34323.0</v>
      </c>
    </row>
    <row r="208">
      <c r="A208" s="31" t="s">
        <v>1447</v>
      </c>
      <c r="B208" s="31" t="s">
        <v>136</v>
      </c>
      <c r="C208" s="31" t="s">
        <v>1272</v>
      </c>
      <c r="D208" s="32">
        <f t="shared" si="1"/>
        <v>31.61917808</v>
      </c>
      <c r="E208" s="35">
        <f t="shared" si="2"/>
        <v>34325</v>
      </c>
      <c r="G208" s="11"/>
      <c r="H208" s="11" t="s">
        <v>441</v>
      </c>
      <c r="I208" s="33" t="s">
        <v>499</v>
      </c>
      <c r="J208" s="34">
        <v>38748.0</v>
      </c>
    </row>
    <row r="209">
      <c r="A209" s="31" t="s">
        <v>1447</v>
      </c>
      <c r="B209" s="31" t="s">
        <v>138</v>
      </c>
      <c r="C209" s="31" t="s">
        <v>1272</v>
      </c>
      <c r="D209" s="32">
        <f t="shared" si="1"/>
        <v>24.88767123</v>
      </c>
      <c r="E209" s="35">
        <f t="shared" si="2"/>
        <v>36782</v>
      </c>
      <c r="G209" s="11"/>
      <c r="H209" s="11" t="s">
        <v>501</v>
      </c>
      <c r="I209" s="33" t="s">
        <v>504</v>
      </c>
      <c r="J209" s="34">
        <v>34052.0</v>
      </c>
    </row>
    <row r="210">
      <c r="A210" s="31" t="s">
        <v>1447</v>
      </c>
      <c r="B210" s="31" t="s">
        <v>140</v>
      </c>
      <c r="C210" s="31" t="s">
        <v>1133</v>
      </c>
      <c r="D210" s="32">
        <f t="shared" si="1"/>
        <v>35.89589041</v>
      </c>
      <c r="E210" s="35">
        <f t="shared" si="2"/>
        <v>32764</v>
      </c>
      <c r="G210" s="11"/>
      <c r="H210" s="11" t="s">
        <v>501</v>
      </c>
      <c r="I210" s="33" t="s">
        <v>506</v>
      </c>
      <c r="J210" s="34">
        <v>35067.0</v>
      </c>
    </row>
    <row r="211">
      <c r="A211" s="31" t="s">
        <v>1447</v>
      </c>
      <c r="B211" s="31" t="s">
        <v>142</v>
      </c>
      <c r="C211" s="31" t="s">
        <v>1272</v>
      </c>
      <c r="D211" s="32">
        <f t="shared" si="1"/>
        <v>25.3369863</v>
      </c>
      <c r="E211" s="35">
        <f t="shared" si="2"/>
        <v>36618</v>
      </c>
      <c r="G211" s="11"/>
      <c r="H211" s="11" t="s">
        <v>501</v>
      </c>
      <c r="I211" s="33" t="s">
        <v>508</v>
      </c>
      <c r="J211" s="34">
        <v>35095.0</v>
      </c>
    </row>
    <row r="212">
      <c r="A212" s="31" t="s">
        <v>1447</v>
      </c>
      <c r="B212" s="31" t="s">
        <v>144</v>
      </c>
      <c r="C212" s="31" t="s">
        <v>1311</v>
      </c>
      <c r="D212" s="32">
        <f t="shared" si="1"/>
        <v>21.24931507</v>
      </c>
      <c r="E212" s="35">
        <f t="shared" si="2"/>
        <v>38110</v>
      </c>
      <c r="G212" s="11"/>
      <c r="H212" s="11" t="s">
        <v>501</v>
      </c>
      <c r="I212" s="33" t="s">
        <v>510</v>
      </c>
      <c r="J212" s="34">
        <v>34349.0</v>
      </c>
    </row>
    <row r="213">
      <c r="A213" s="31" t="s">
        <v>1447</v>
      </c>
      <c r="B213" s="31" t="s">
        <v>1449</v>
      </c>
      <c r="C213" s="31" t="s">
        <v>1400</v>
      </c>
      <c r="D213" s="32" t="str">
        <f t="shared" si="1"/>
        <v>#N/A</v>
      </c>
      <c r="E213" s="14" t="str">
        <f t="shared" si="2"/>
        <v>#N/A</v>
      </c>
      <c r="G213" s="11"/>
      <c r="H213" s="11" t="s">
        <v>501</v>
      </c>
      <c r="I213" s="33" t="s">
        <v>512</v>
      </c>
      <c r="J213" s="34">
        <v>35600.0</v>
      </c>
    </row>
    <row r="214">
      <c r="A214" s="31" t="s">
        <v>1447</v>
      </c>
      <c r="B214" s="31" t="s">
        <v>1450</v>
      </c>
      <c r="C214" s="31" t="s">
        <v>1400</v>
      </c>
      <c r="D214" s="32" t="str">
        <f t="shared" si="1"/>
        <v>#N/A</v>
      </c>
      <c r="E214" s="14" t="str">
        <f t="shared" si="2"/>
        <v>#N/A</v>
      </c>
      <c r="G214" s="11"/>
      <c r="H214" s="11" t="s">
        <v>501</v>
      </c>
      <c r="I214" s="33" t="s">
        <v>514</v>
      </c>
      <c r="J214" s="34">
        <v>35218.0</v>
      </c>
    </row>
    <row r="215">
      <c r="A215" s="31" t="s">
        <v>1447</v>
      </c>
      <c r="B215" s="31" t="s">
        <v>146</v>
      </c>
      <c r="C215" s="31" t="s">
        <v>1272</v>
      </c>
      <c r="D215" s="32">
        <f t="shared" si="1"/>
        <v>26.76986301</v>
      </c>
      <c r="E215" s="35">
        <f t="shared" si="2"/>
        <v>36095</v>
      </c>
      <c r="G215" s="11"/>
      <c r="H215" s="11" t="s">
        <v>501</v>
      </c>
      <c r="I215" s="33" t="s">
        <v>516</v>
      </c>
      <c r="J215" s="34">
        <v>35570.0</v>
      </c>
    </row>
    <row r="216">
      <c r="A216" s="31" t="s">
        <v>1447</v>
      </c>
      <c r="B216" s="31" t="s">
        <v>148</v>
      </c>
      <c r="C216" s="31" t="s">
        <v>1133</v>
      </c>
      <c r="D216" s="32">
        <f t="shared" si="1"/>
        <v>30.06027397</v>
      </c>
      <c r="E216" s="35">
        <f t="shared" si="2"/>
        <v>34894</v>
      </c>
      <c r="G216" s="11"/>
      <c r="H216" s="11" t="s">
        <v>501</v>
      </c>
      <c r="I216" s="33" t="s">
        <v>518</v>
      </c>
      <c r="J216" s="34">
        <v>35601.0</v>
      </c>
    </row>
    <row r="217">
      <c r="A217" s="31" t="s">
        <v>1447</v>
      </c>
      <c r="B217" s="31" t="s">
        <v>1137</v>
      </c>
      <c r="C217" s="31" t="s">
        <v>1311</v>
      </c>
      <c r="D217" s="32">
        <f t="shared" si="1"/>
        <v>30.49315068</v>
      </c>
      <c r="E217" s="35">
        <f t="shared" si="2"/>
        <v>34736</v>
      </c>
      <c r="G217" s="11"/>
      <c r="H217" s="11" t="s">
        <v>501</v>
      </c>
      <c r="I217" s="33" t="s">
        <v>520</v>
      </c>
      <c r="J217" s="34">
        <v>34486.0</v>
      </c>
    </row>
    <row r="218">
      <c r="A218" s="31" t="s">
        <v>1447</v>
      </c>
      <c r="B218" s="31" t="s">
        <v>1141</v>
      </c>
      <c r="C218" s="31" t="s">
        <v>1133</v>
      </c>
      <c r="D218" s="32">
        <f t="shared" si="1"/>
        <v>29.56438356</v>
      </c>
      <c r="E218" s="35">
        <f t="shared" si="2"/>
        <v>35075</v>
      </c>
      <c r="G218" s="11"/>
      <c r="H218" s="11" t="s">
        <v>501</v>
      </c>
      <c r="I218" s="33" t="s">
        <v>522</v>
      </c>
      <c r="J218" s="34">
        <v>33592.0</v>
      </c>
    </row>
    <row r="219">
      <c r="A219" s="31" t="s">
        <v>1447</v>
      </c>
      <c r="B219" s="31" t="s">
        <v>1266</v>
      </c>
      <c r="C219" s="31" t="s">
        <v>1311</v>
      </c>
      <c r="D219" s="32">
        <f t="shared" si="1"/>
        <v>30.0739726</v>
      </c>
      <c r="E219" s="35">
        <f t="shared" si="2"/>
        <v>34889</v>
      </c>
      <c r="G219" s="11"/>
      <c r="H219" s="11" t="s">
        <v>501</v>
      </c>
      <c r="I219" s="33" t="s">
        <v>524</v>
      </c>
      <c r="J219" s="34">
        <v>35146.0</v>
      </c>
    </row>
    <row r="220">
      <c r="A220" s="31" t="s">
        <v>1447</v>
      </c>
      <c r="B220" s="31" t="s">
        <v>1268</v>
      </c>
      <c r="C220" s="31" t="s">
        <v>1311</v>
      </c>
      <c r="D220" s="32">
        <f t="shared" si="1"/>
        <v>20.09589041</v>
      </c>
      <c r="E220" s="35">
        <f t="shared" si="2"/>
        <v>38531</v>
      </c>
      <c r="G220" s="11"/>
      <c r="H220" s="11" t="s">
        <v>501</v>
      </c>
      <c r="I220" s="33" t="s">
        <v>526</v>
      </c>
      <c r="J220" s="34">
        <v>33237.0</v>
      </c>
    </row>
    <row r="221">
      <c r="A221" s="31" t="s">
        <v>1447</v>
      </c>
      <c r="B221" s="31" t="s">
        <v>1139</v>
      </c>
      <c r="C221" s="31" t="s">
        <v>1311</v>
      </c>
      <c r="D221" s="32">
        <f t="shared" si="1"/>
        <v>28.1890411</v>
      </c>
      <c r="E221" s="35">
        <f t="shared" si="2"/>
        <v>35577</v>
      </c>
      <c r="G221" s="11"/>
      <c r="H221" s="11" t="s">
        <v>501</v>
      </c>
      <c r="I221" s="33" t="s">
        <v>529</v>
      </c>
      <c r="J221" s="34">
        <v>35136.0</v>
      </c>
    </row>
    <row r="222">
      <c r="A222" s="31" t="s">
        <v>1447</v>
      </c>
      <c r="B222" s="31" t="s">
        <v>1451</v>
      </c>
      <c r="C222" s="31" t="s">
        <v>1311</v>
      </c>
      <c r="D222" s="32" t="str">
        <f t="shared" si="1"/>
        <v>#N/A</v>
      </c>
      <c r="E222" s="14" t="str">
        <f t="shared" si="2"/>
        <v>#N/A</v>
      </c>
      <c r="G222" s="11"/>
      <c r="H222" s="11" t="s">
        <v>501</v>
      </c>
      <c r="I222" s="33" t="s">
        <v>531</v>
      </c>
      <c r="J222" s="34">
        <v>36831.0</v>
      </c>
    </row>
    <row r="223">
      <c r="A223" s="11" t="s">
        <v>1447</v>
      </c>
      <c r="B223" s="31" t="s">
        <v>1452</v>
      </c>
      <c r="C223" s="31" t="s">
        <v>1133</v>
      </c>
      <c r="D223" s="32" t="str">
        <f t="shared" si="1"/>
        <v>#N/A</v>
      </c>
      <c r="E223" s="14" t="str">
        <f t="shared" si="2"/>
        <v>#N/A</v>
      </c>
      <c r="G223" s="11"/>
      <c r="H223" s="11" t="s">
        <v>502</v>
      </c>
      <c r="I223" s="33" t="s">
        <v>533</v>
      </c>
      <c r="J223" s="34">
        <v>34746.0</v>
      </c>
    </row>
    <row r="224">
      <c r="A224" s="11" t="s">
        <v>1447</v>
      </c>
      <c r="B224" s="31" t="s">
        <v>150</v>
      </c>
      <c r="C224" s="31" t="s">
        <v>1311</v>
      </c>
      <c r="D224" s="32">
        <f t="shared" si="1"/>
        <v>22.43287671</v>
      </c>
      <c r="E224" s="35">
        <f t="shared" si="2"/>
        <v>37678</v>
      </c>
      <c r="G224" s="11"/>
      <c r="H224" s="11" t="s">
        <v>502</v>
      </c>
      <c r="I224" s="33" t="s">
        <v>535</v>
      </c>
      <c r="J224" s="34">
        <v>34152.0</v>
      </c>
    </row>
    <row r="225">
      <c r="A225" s="11" t="s">
        <v>1447</v>
      </c>
      <c r="B225" s="31" t="s">
        <v>152</v>
      </c>
      <c r="C225" s="31" t="s">
        <v>1311</v>
      </c>
      <c r="D225" s="32">
        <f t="shared" si="1"/>
        <v>17.44109589</v>
      </c>
      <c r="E225" s="35">
        <f t="shared" si="2"/>
        <v>39500</v>
      </c>
      <c r="G225" s="11"/>
      <c r="H225" s="11" t="s">
        <v>502</v>
      </c>
      <c r="I225" s="33" t="s">
        <v>537</v>
      </c>
      <c r="J225" s="34">
        <v>35234.0</v>
      </c>
    </row>
    <row r="226">
      <c r="A226" s="11" t="s">
        <v>1447</v>
      </c>
      <c r="B226" s="31" t="s">
        <v>1453</v>
      </c>
      <c r="C226" s="31" t="s">
        <v>1311</v>
      </c>
      <c r="D226" s="32" t="str">
        <f t="shared" si="1"/>
        <v>#N/A</v>
      </c>
      <c r="E226" s="14" t="str">
        <f t="shared" si="2"/>
        <v>#N/A</v>
      </c>
      <c r="G226" s="11"/>
      <c r="H226" s="11" t="s">
        <v>502</v>
      </c>
      <c r="I226" s="33" t="s">
        <v>539</v>
      </c>
      <c r="J226" s="34">
        <v>35605.0</v>
      </c>
    </row>
    <row r="227">
      <c r="A227" s="11" t="s">
        <v>1447</v>
      </c>
      <c r="B227" s="31" t="s">
        <v>154</v>
      </c>
      <c r="C227" s="31" t="s">
        <v>1272</v>
      </c>
      <c r="D227" s="32">
        <f t="shared" si="1"/>
        <v>19.16712329</v>
      </c>
      <c r="E227" s="35">
        <f t="shared" si="2"/>
        <v>38870</v>
      </c>
      <c r="G227" s="11"/>
      <c r="H227" s="11" t="s">
        <v>502</v>
      </c>
      <c r="I227" s="33" t="s">
        <v>541</v>
      </c>
      <c r="J227" s="34">
        <v>33677.0</v>
      </c>
    </row>
    <row r="228">
      <c r="A228" s="11" t="s">
        <v>124</v>
      </c>
      <c r="B228" s="31" t="s">
        <v>1454</v>
      </c>
      <c r="C228" s="31" t="s">
        <v>1400</v>
      </c>
      <c r="D228" s="32" t="str">
        <f t="shared" si="1"/>
        <v>#N/A</v>
      </c>
      <c r="E228" s="14" t="str">
        <f t="shared" si="2"/>
        <v>#N/A</v>
      </c>
      <c r="G228" s="11"/>
      <c r="H228" s="11" t="s">
        <v>502</v>
      </c>
      <c r="I228" s="33" t="s">
        <v>543</v>
      </c>
      <c r="J228" s="34">
        <v>37751.0</v>
      </c>
    </row>
    <row r="229">
      <c r="A229" s="11" t="s">
        <v>124</v>
      </c>
      <c r="B229" s="31" t="s">
        <v>156</v>
      </c>
      <c r="C229" s="31" t="s">
        <v>1272</v>
      </c>
      <c r="D229" s="32">
        <f t="shared" si="1"/>
        <v>30.11780822</v>
      </c>
      <c r="E229" s="35">
        <f t="shared" si="2"/>
        <v>34873</v>
      </c>
      <c r="G229" s="11"/>
      <c r="H229" s="11" t="s">
        <v>502</v>
      </c>
      <c r="I229" s="33" t="s">
        <v>545</v>
      </c>
      <c r="J229" s="34">
        <v>36547.0</v>
      </c>
    </row>
    <row r="230">
      <c r="A230" s="11" t="s">
        <v>124</v>
      </c>
      <c r="B230" s="31" t="s">
        <v>158</v>
      </c>
      <c r="C230" s="31" t="s">
        <v>1272</v>
      </c>
      <c r="D230" s="32">
        <f t="shared" si="1"/>
        <v>29.17534247</v>
      </c>
      <c r="E230" s="35">
        <f t="shared" si="2"/>
        <v>35217</v>
      </c>
      <c r="G230" s="11"/>
      <c r="H230" s="11" t="s">
        <v>502</v>
      </c>
      <c r="I230" s="33" t="s">
        <v>547</v>
      </c>
      <c r="J230" s="34">
        <v>35048.0</v>
      </c>
    </row>
    <row r="231">
      <c r="A231" s="11" t="s">
        <v>124</v>
      </c>
      <c r="B231" s="31" t="s">
        <v>160</v>
      </c>
      <c r="C231" s="31" t="s">
        <v>1272</v>
      </c>
      <c r="D231" s="32">
        <f t="shared" si="1"/>
        <v>33.44657534</v>
      </c>
      <c r="E231" s="35">
        <f t="shared" si="2"/>
        <v>33658</v>
      </c>
      <c r="G231" s="11"/>
      <c r="H231" s="11" t="s">
        <v>502</v>
      </c>
      <c r="I231" s="33" t="s">
        <v>549</v>
      </c>
      <c r="J231" s="34">
        <v>35210.0</v>
      </c>
    </row>
    <row r="232">
      <c r="A232" s="11" t="s">
        <v>124</v>
      </c>
      <c r="B232" s="31" t="s">
        <v>162</v>
      </c>
      <c r="C232" s="31" t="s">
        <v>1133</v>
      </c>
      <c r="D232" s="32">
        <f t="shared" si="1"/>
        <v>28.28219178</v>
      </c>
      <c r="E232" s="35">
        <f t="shared" si="2"/>
        <v>35543</v>
      </c>
      <c r="G232" s="11"/>
      <c r="H232" s="11" t="s">
        <v>502</v>
      </c>
      <c r="I232" s="33" t="s">
        <v>551</v>
      </c>
      <c r="J232" s="34">
        <v>37601.0</v>
      </c>
    </row>
    <row r="233">
      <c r="A233" s="11" t="s">
        <v>124</v>
      </c>
      <c r="B233" s="31" t="s">
        <v>164</v>
      </c>
      <c r="C233" s="31" t="s">
        <v>1311</v>
      </c>
      <c r="D233" s="32">
        <f t="shared" si="1"/>
        <v>32.1890411</v>
      </c>
      <c r="E233" s="35">
        <f t="shared" si="2"/>
        <v>34117</v>
      </c>
      <c r="G233" s="11"/>
      <c r="H233" s="11" t="s">
        <v>502</v>
      </c>
      <c r="I233" s="33" t="s">
        <v>553</v>
      </c>
      <c r="J233" s="34">
        <v>37790.0</v>
      </c>
    </row>
    <row r="234">
      <c r="A234" s="11" t="s">
        <v>124</v>
      </c>
      <c r="B234" s="31" t="s">
        <v>166</v>
      </c>
      <c r="C234" s="31" t="s">
        <v>1133</v>
      </c>
      <c r="D234" s="32">
        <f t="shared" si="1"/>
        <v>33.1369863</v>
      </c>
      <c r="E234" s="35">
        <f t="shared" si="2"/>
        <v>33771</v>
      </c>
      <c r="G234" s="11"/>
      <c r="H234" s="11" t="s">
        <v>502</v>
      </c>
      <c r="I234" s="33" t="s">
        <v>555</v>
      </c>
      <c r="J234" s="34">
        <v>37889.0</v>
      </c>
    </row>
    <row r="235">
      <c r="A235" s="11" t="s">
        <v>124</v>
      </c>
      <c r="B235" s="31" t="s">
        <v>168</v>
      </c>
      <c r="C235" s="31" t="s">
        <v>1272</v>
      </c>
      <c r="D235" s="32">
        <f t="shared" si="1"/>
        <v>29.22465753</v>
      </c>
      <c r="E235" s="35">
        <f t="shared" si="2"/>
        <v>35199</v>
      </c>
      <c r="G235" s="11"/>
      <c r="H235" s="11" t="s">
        <v>502</v>
      </c>
      <c r="I235" s="33" t="s">
        <v>557</v>
      </c>
      <c r="J235" s="34">
        <v>37241.0</v>
      </c>
    </row>
    <row r="236">
      <c r="A236" s="11" t="s">
        <v>124</v>
      </c>
      <c r="B236" s="31" t="s">
        <v>170</v>
      </c>
      <c r="C236" s="31" t="s">
        <v>1272</v>
      </c>
      <c r="D236" s="32">
        <f t="shared" si="1"/>
        <v>22.63013699</v>
      </c>
      <c r="E236" s="35">
        <f t="shared" si="2"/>
        <v>37606</v>
      </c>
      <c r="G236" s="11"/>
      <c r="H236" s="11" t="s">
        <v>502</v>
      </c>
      <c r="I236" s="33" t="s">
        <v>559</v>
      </c>
      <c r="J236" s="34">
        <v>38893.0</v>
      </c>
    </row>
    <row r="237">
      <c r="A237" s="11" t="s">
        <v>124</v>
      </c>
      <c r="B237" s="31" t="s">
        <v>172</v>
      </c>
      <c r="C237" s="31" t="s">
        <v>1311</v>
      </c>
      <c r="D237" s="32">
        <f t="shared" si="1"/>
        <v>29.30684932</v>
      </c>
      <c r="E237" s="35">
        <f t="shared" si="2"/>
        <v>35169</v>
      </c>
      <c r="G237" s="11"/>
      <c r="H237" s="11" t="s">
        <v>502</v>
      </c>
      <c r="I237" s="33" t="s">
        <v>561</v>
      </c>
      <c r="J237" s="34">
        <v>36411.0</v>
      </c>
    </row>
    <row r="238">
      <c r="A238" s="31" t="s">
        <v>124</v>
      </c>
      <c r="B238" s="31" t="s">
        <v>174</v>
      </c>
      <c r="C238" s="31" t="s">
        <v>1133</v>
      </c>
      <c r="D238" s="32">
        <f t="shared" si="1"/>
        <v>25.65753425</v>
      </c>
      <c r="E238" s="35">
        <f t="shared" si="2"/>
        <v>36501</v>
      </c>
      <c r="G238" s="11"/>
      <c r="H238" s="11" t="s">
        <v>563</v>
      </c>
      <c r="I238" s="33" t="s">
        <v>566</v>
      </c>
      <c r="J238" s="34">
        <v>33030.0</v>
      </c>
    </row>
    <row r="239">
      <c r="A239" s="31" t="s">
        <v>124</v>
      </c>
      <c r="B239" s="31" t="s">
        <v>1455</v>
      </c>
      <c r="C239" s="31" t="s">
        <v>1400</v>
      </c>
      <c r="D239" s="32" t="str">
        <f t="shared" si="1"/>
        <v>#N/A</v>
      </c>
      <c r="E239" s="14" t="str">
        <f t="shared" si="2"/>
        <v>#N/A</v>
      </c>
      <c r="G239" s="11"/>
      <c r="H239" s="11" t="s">
        <v>563</v>
      </c>
      <c r="I239" s="33" t="s">
        <v>568</v>
      </c>
      <c r="J239" s="34">
        <v>30947.0</v>
      </c>
    </row>
    <row r="240">
      <c r="A240" s="31" t="s">
        <v>124</v>
      </c>
      <c r="B240" s="31" t="s">
        <v>1456</v>
      </c>
      <c r="C240" s="31" t="s">
        <v>1400</v>
      </c>
      <c r="D240" s="32" t="str">
        <f t="shared" si="1"/>
        <v>#N/A</v>
      </c>
      <c r="E240" s="14" t="str">
        <f t="shared" si="2"/>
        <v>#N/A</v>
      </c>
      <c r="G240" s="11"/>
      <c r="H240" s="11" t="s">
        <v>563</v>
      </c>
      <c r="I240" s="33" t="s">
        <v>570</v>
      </c>
      <c r="J240" s="34">
        <v>33861.0</v>
      </c>
    </row>
    <row r="241">
      <c r="A241" s="31" t="s">
        <v>124</v>
      </c>
      <c r="B241" s="31" t="s">
        <v>1116</v>
      </c>
      <c r="C241" s="31" t="s">
        <v>1272</v>
      </c>
      <c r="D241" s="32">
        <f t="shared" si="1"/>
        <v>28.67945205</v>
      </c>
      <c r="E241" s="35">
        <f t="shared" si="2"/>
        <v>35398</v>
      </c>
      <c r="G241" s="11"/>
      <c r="H241" s="11" t="s">
        <v>563</v>
      </c>
      <c r="I241" s="33" t="s">
        <v>572</v>
      </c>
      <c r="J241" s="34">
        <v>37169.0</v>
      </c>
    </row>
    <row r="242">
      <c r="A242" s="31" t="s">
        <v>124</v>
      </c>
      <c r="B242" s="31" t="s">
        <v>1118</v>
      </c>
      <c r="C242" s="31" t="s">
        <v>1311</v>
      </c>
      <c r="D242" s="32">
        <f t="shared" si="1"/>
        <v>22.43835616</v>
      </c>
      <c r="E242" s="35">
        <f t="shared" si="2"/>
        <v>37676</v>
      </c>
      <c r="G242" s="11"/>
      <c r="H242" s="11" t="s">
        <v>563</v>
      </c>
      <c r="I242" s="33" t="s">
        <v>574</v>
      </c>
      <c r="J242" s="34">
        <v>33424.0</v>
      </c>
    </row>
    <row r="243">
      <c r="A243" s="31" t="s">
        <v>124</v>
      </c>
      <c r="B243" s="31" t="s">
        <v>176</v>
      </c>
      <c r="C243" s="31" t="s">
        <v>1133</v>
      </c>
      <c r="D243" s="32">
        <f t="shared" si="1"/>
        <v>29.29589041</v>
      </c>
      <c r="E243" s="35">
        <f t="shared" si="2"/>
        <v>35173</v>
      </c>
      <c r="G243" s="11"/>
      <c r="H243" s="11" t="s">
        <v>563</v>
      </c>
      <c r="I243" s="33" t="s">
        <v>576</v>
      </c>
      <c r="J243" s="34">
        <v>35857.0</v>
      </c>
    </row>
    <row r="244">
      <c r="A244" s="31" t="s">
        <v>124</v>
      </c>
      <c r="B244" s="31" t="s">
        <v>178</v>
      </c>
      <c r="C244" s="31" t="s">
        <v>1133</v>
      </c>
      <c r="D244" s="32">
        <f t="shared" si="1"/>
        <v>33.89315068</v>
      </c>
      <c r="E244" s="35">
        <f t="shared" si="2"/>
        <v>33495</v>
      </c>
      <c r="G244" s="11"/>
      <c r="H244" s="11" t="s">
        <v>563</v>
      </c>
      <c r="I244" s="33" t="s">
        <v>578</v>
      </c>
      <c r="J244" s="34">
        <v>36069.0</v>
      </c>
    </row>
    <row r="245">
      <c r="A245" s="31" t="s">
        <v>124</v>
      </c>
      <c r="B245" s="31" t="s">
        <v>1256</v>
      </c>
      <c r="C245" s="31" t="s">
        <v>1311</v>
      </c>
      <c r="D245" s="32">
        <f t="shared" si="1"/>
        <v>31.55342466</v>
      </c>
      <c r="E245" s="35">
        <f t="shared" si="2"/>
        <v>34349</v>
      </c>
      <c r="G245" s="11"/>
      <c r="H245" s="11" t="s">
        <v>563</v>
      </c>
      <c r="I245" s="33" t="s">
        <v>580</v>
      </c>
      <c r="J245" s="34">
        <v>35694.0</v>
      </c>
    </row>
    <row r="246">
      <c r="A246" s="31" t="s">
        <v>124</v>
      </c>
      <c r="B246" s="31" t="s">
        <v>1258</v>
      </c>
      <c r="C246" s="31" t="s">
        <v>1133</v>
      </c>
      <c r="D246" s="32">
        <f t="shared" si="1"/>
        <v>23.06027397</v>
      </c>
      <c r="E246" s="35">
        <f t="shared" si="2"/>
        <v>37449</v>
      </c>
      <c r="G246" s="11"/>
      <c r="H246" s="11" t="s">
        <v>563</v>
      </c>
      <c r="I246" s="33" t="s">
        <v>582</v>
      </c>
      <c r="J246" s="34">
        <v>36536.0</v>
      </c>
    </row>
    <row r="247">
      <c r="A247" s="31" t="s">
        <v>124</v>
      </c>
      <c r="B247" s="31" t="s">
        <v>180</v>
      </c>
      <c r="C247" s="31" t="s">
        <v>1133</v>
      </c>
      <c r="D247" s="32">
        <f t="shared" si="1"/>
        <v>23.56164384</v>
      </c>
      <c r="E247" s="35">
        <f t="shared" si="2"/>
        <v>37266</v>
      </c>
      <c r="G247" s="11"/>
      <c r="H247" s="11" t="s">
        <v>563</v>
      </c>
      <c r="I247" s="33" t="s">
        <v>584</v>
      </c>
      <c r="J247" s="34">
        <v>36819.0</v>
      </c>
    </row>
    <row r="248">
      <c r="A248" s="31" t="s">
        <v>124</v>
      </c>
      <c r="B248" s="31" t="s">
        <v>1260</v>
      </c>
      <c r="C248" s="31" t="s">
        <v>1272</v>
      </c>
      <c r="D248" s="32">
        <f t="shared" si="1"/>
        <v>25.21643836</v>
      </c>
      <c r="E248" s="35">
        <f t="shared" si="2"/>
        <v>36662</v>
      </c>
      <c r="G248" s="11"/>
      <c r="H248" s="11" t="s">
        <v>563</v>
      </c>
      <c r="I248" s="33" t="s">
        <v>586</v>
      </c>
      <c r="J248" s="34">
        <v>32175.0</v>
      </c>
    </row>
    <row r="249">
      <c r="A249" s="31" t="s">
        <v>124</v>
      </c>
      <c r="B249" s="31" t="s">
        <v>1120</v>
      </c>
      <c r="C249" s="31" t="s">
        <v>1311</v>
      </c>
      <c r="D249" s="32">
        <f t="shared" si="1"/>
        <v>24.43013699</v>
      </c>
      <c r="E249" s="35">
        <f t="shared" si="2"/>
        <v>36949</v>
      </c>
      <c r="G249" s="11"/>
      <c r="H249" s="11" t="s">
        <v>563</v>
      </c>
      <c r="I249" s="33" t="s">
        <v>588</v>
      </c>
      <c r="J249" s="34">
        <v>35227.0</v>
      </c>
    </row>
    <row r="250">
      <c r="A250" s="31" t="s">
        <v>124</v>
      </c>
      <c r="B250" s="31" t="s">
        <v>1112</v>
      </c>
      <c r="C250" s="31" t="s">
        <v>1272</v>
      </c>
      <c r="D250" s="32">
        <f t="shared" si="1"/>
        <v>21.47123288</v>
      </c>
      <c r="E250" s="35">
        <f t="shared" si="2"/>
        <v>38029</v>
      </c>
      <c r="G250" s="11"/>
      <c r="H250" s="11" t="s">
        <v>563</v>
      </c>
      <c r="I250" s="33" t="s">
        <v>590</v>
      </c>
      <c r="J250" s="34">
        <v>36367.0</v>
      </c>
    </row>
    <row r="251">
      <c r="A251" s="31" t="s">
        <v>124</v>
      </c>
      <c r="B251" s="31" t="s">
        <v>182</v>
      </c>
      <c r="C251" s="31" t="s">
        <v>1311</v>
      </c>
      <c r="D251" s="32">
        <f t="shared" si="1"/>
        <v>35.56438356</v>
      </c>
      <c r="E251" s="35">
        <f t="shared" si="2"/>
        <v>32885</v>
      </c>
      <c r="G251" s="11"/>
      <c r="H251" s="11" t="s">
        <v>563</v>
      </c>
      <c r="I251" s="33" t="s">
        <v>592</v>
      </c>
      <c r="J251" s="34">
        <v>35781.0</v>
      </c>
    </row>
    <row r="252">
      <c r="A252" s="11" t="s">
        <v>124</v>
      </c>
      <c r="B252" s="31" t="s">
        <v>184</v>
      </c>
      <c r="C252" s="31" t="s">
        <v>1272</v>
      </c>
      <c r="D252" s="32">
        <f t="shared" si="1"/>
        <v>30.49315068</v>
      </c>
      <c r="E252" s="35">
        <f t="shared" si="2"/>
        <v>34736</v>
      </c>
      <c r="G252" s="11"/>
      <c r="H252" s="11" t="s">
        <v>564</v>
      </c>
      <c r="I252" s="33" t="s">
        <v>594</v>
      </c>
      <c r="J252" s="34">
        <v>35266.0</v>
      </c>
    </row>
    <row r="253">
      <c r="A253" s="11" t="s">
        <v>124</v>
      </c>
      <c r="B253" s="31" t="s">
        <v>1114</v>
      </c>
      <c r="C253" s="31" t="s">
        <v>1133</v>
      </c>
      <c r="D253" s="32">
        <f t="shared" si="1"/>
        <v>24.21917808</v>
      </c>
      <c r="E253" s="35">
        <f t="shared" si="2"/>
        <v>37026</v>
      </c>
      <c r="G253" s="11"/>
      <c r="H253" s="11" t="s">
        <v>564</v>
      </c>
      <c r="I253" s="33" t="s">
        <v>596</v>
      </c>
      <c r="J253" s="34">
        <v>34805.0</v>
      </c>
    </row>
    <row r="254">
      <c r="A254" s="11" t="s">
        <v>440</v>
      </c>
      <c r="B254" s="31" t="s">
        <v>1457</v>
      </c>
      <c r="C254" s="31" t="s">
        <v>1400</v>
      </c>
      <c r="D254" s="32" t="str">
        <f t="shared" si="1"/>
        <v>#N/A</v>
      </c>
      <c r="E254" s="14" t="str">
        <f t="shared" si="2"/>
        <v>#N/A</v>
      </c>
      <c r="G254" s="11"/>
      <c r="H254" s="11" t="s">
        <v>564</v>
      </c>
      <c r="I254" s="33" t="s">
        <v>598</v>
      </c>
      <c r="J254" s="34">
        <v>35136.0</v>
      </c>
    </row>
    <row r="255">
      <c r="A255" s="11" t="s">
        <v>440</v>
      </c>
      <c r="B255" s="31" t="s">
        <v>443</v>
      </c>
      <c r="C255" s="31" t="s">
        <v>1272</v>
      </c>
      <c r="D255" s="32">
        <f t="shared" si="1"/>
        <v>31.33972603</v>
      </c>
      <c r="E255" s="35">
        <f t="shared" si="2"/>
        <v>34427</v>
      </c>
      <c r="G255" s="11"/>
      <c r="H255" s="11" t="s">
        <v>564</v>
      </c>
      <c r="I255" s="33" t="s">
        <v>600</v>
      </c>
      <c r="J255" s="34">
        <v>35310.0</v>
      </c>
    </row>
    <row r="256">
      <c r="A256" s="11" t="s">
        <v>440</v>
      </c>
      <c r="B256" s="31" t="s">
        <v>445</v>
      </c>
      <c r="C256" s="31" t="s">
        <v>1311</v>
      </c>
      <c r="D256" s="32">
        <f t="shared" si="1"/>
        <v>34.06849315</v>
      </c>
      <c r="E256" s="35">
        <f t="shared" si="2"/>
        <v>33431</v>
      </c>
      <c r="G256" s="11"/>
      <c r="H256" s="11" t="s">
        <v>564</v>
      </c>
      <c r="I256" s="33" t="s">
        <v>602</v>
      </c>
      <c r="J256" s="34">
        <v>33404.0</v>
      </c>
    </row>
    <row r="257">
      <c r="A257" s="11" t="s">
        <v>440</v>
      </c>
      <c r="B257" s="31" t="s">
        <v>447</v>
      </c>
      <c r="C257" s="31" t="s">
        <v>1311</v>
      </c>
      <c r="D257" s="32">
        <f t="shared" si="1"/>
        <v>25.03835616</v>
      </c>
      <c r="E257" s="35">
        <f t="shared" si="2"/>
        <v>36727</v>
      </c>
      <c r="G257" s="11"/>
      <c r="H257" s="11" t="s">
        <v>564</v>
      </c>
      <c r="I257" s="33" t="s">
        <v>604</v>
      </c>
      <c r="J257" s="34">
        <v>34410.0</v>
      </c>
    </row>
    <row r="258">
      <c r="A258" s="11" t="s">
        <v>440</v>
      </c>
      <c r="B258" s="31" t="s">
        <v>449</v>
      </c>
      <c r="C258" s="31" t="s">
        <v>1133</v>
      </c>
      <c r="D258" s="32">
        <f t="shared" si="1"/>
        <v>29.44383562</v>
      </c>
      <c r="E258" s="35">
        <f t="shared" si="2"/>
        <v>35119</v>
      </c>
      <c r="G258" s="11"/>
      <c r="H258" s="11" t="s">
        <v>564</v>
      </c>
      <c r="I258" s="33" t="s">
        <v>606</v>
      </c>
      <c r="J258" s="34">
        <v>37299.0</v>
      </c>
    </row>
    <row r="259">
      <c r="A259" s="11" t="s">
        <v>440</v>
      </c>
      <c r="B259" s="31" t="s">
        <v>451</v>
      </c>
      <c r="C259" s="31" t="s">
        <v>1272</v>
      </c>
      <c r="D259" s="32">
        <f t="shared" si="1"/>
        <v>35.43013699</v>
      </c>
      <c r="E259" s="35">
        <f t="shared" si="2"/>
        <v>32934</v>
      </c>
      <c r="G259" s="11"/>
      <c r="H259" s="11" t="s">
        <v>564</v>
      </c>
      <c r="I259" s="33" t="s">
        <v>608</v>
      </c>
      <c r="J259" s="34">
        <v>34945.0</v>
      </c>
    </row>
    <row r="260">
      <c r="A260" s="11" t="s">
        <v>440</v>
      </c>
      <c r="B260" s="31" t="s">
        <v>453</v>
      </c>
      <c r="C260" s="31" t="s">
        <v>1311</v>
      </c>
      <c r="D260" s="32">
        <f t="shared" si="1"/>
        <v>23.01917808</v>
      </c>
      <c r="E260" s="35">
        <f t="shared" si="2"/>
        <v>37464</v>
      </c>
      <c r="G260" s="11"/>
      <c r="H260" s="11" t="s">
        <v>564</v>
      </c>
      <c r="I260" s="33" t="s">
        <v>610</v>
      </c>
      <c r="J260" s="34">
        <v>35751.0</v>
      </c>
    </row>
    <row r="261">
      <c r="A261" s="11" t="s">
        <v>440</v>
      </c>
      <c r="B261" s="31" t="s">
        <v>455</v>
      </c>
      <c r="C261" s="31" t="s">
        <v>1311</v>
      </c>
      <c r="D261" s="32">
        <f t="shared" si="1"/>
        <v>35.97808219</v>
      </c>
      <c r="E261" s="35">
        <f t="shared" si="2"/>
        <v>32734</v>
      </c>
      <c r="G261" s="11"/>
      <c r="H261" s="11" t="s">
        <v>564</v>
      </c>
      <c r="I261" s="33" t="s">
        <v>612</v>
      </c>
      <c r="J261" s="34">
        <v>37274.0</v>
      </c>
    </row>
    <row r="262">
      <c r="A262" s="11" t="s">
        <v>440</v>
      </c>
      <c r="B262" s="31" t="s">
        <v>457</v>
      </c>
      <c r="C262" s="31" t="s">
        <v>1311</v>
      </c>
      <c r="D262" s="32">
        <f t="shared" si="1"/>
        <v>24.0109589</v>
      </c>
      <c r="E262" s="35">
        <f t="shared" si="2"/>
        <v>37102</v>
      </c>
      <c r="G262" s="11"/>
      <c r="H262" s="11" t="s">
        <v>564</v>
      </c>
      <c r="I262" s="33" t="s">
        <v>614</v>
      </c>
      <c r="J262" s="34">
        <v>37410.0</v>
      </c>
    </row>
    <row r="263">
      <c r="A263" s="11" t="s">
        <v>440</v>
      </c>
      <c r="B263" s="31" t="s">
        <v>459</v>
      </c>
      <c r="C263" s="31" t="s">
        <v>1272</v>
      </c>
      <c r="D263" s="32">
        <f t="shared" si="1"/>
        <v>26.45479452</v>
      </c>
      <c r="E263" s="35">
        <f t="shared" si="2"/>
        <v>36210</v>
      </c>
      <c r="G263" s="11"/>
      <c r="H263" s="11" t="s">
        <v>564</v>
      </c>
      <c r="I263" s="33" t="s">
        <v>616</v>
      </c>
      <c r="J263" s="34">
        <v>36809.0</v>
      </c>
    </row>
    <row r="264">
      <c r="A264" s="11" t="s">
        <v>440</v>
      </c>
      <c r="B264" s="31" t="s">
        <v>461</v>
      </c>
      <c r="C264" s="31" t="s">
        <v>1272</v>
      </c>
      <c r="D264" s="32">
        <f t="shared" si="1"/>
        <v>26.0630137</v>
      </c>
      <c r="E264" s="35">
        <f t="shared" si="2"/>
        <v>36353</v>
      </c>
      <c r="G264" s="11"/>
      <c r="H264" s="11" t="s">
        <v>564</v>
      </c>
      <c r="I264" s="33" t="s">
        <v>618</v>
      </c>
      <c r="J264" s="34">
        <v>37914.0</v>
      </c>
    </row>
    <row r="265">
      <c r="A265" s="11" t="s">
        <v>440</v>
      </c>
      <c r="B265" s="31" t="s">
        <v>1458</v>
      </c>
      <c r="C265" s="31" t="s">
        <v>1400</v>
      </c>
      <c r="D265" s="32" t="str">
        <f t="shared" si="1"/>
        <v>#N/A</v>
      </c>
      <c r="E265" s="14" t="str">
        <f t="shared" si="2"/>
        <v>#N/A</v>
      </c>
      <c r="G265" s="11"/>
      <c r="H265" s="11" t="s">
        <v>564</v>
      </c>
      <c r="I265" s="33" t="s">
        <v>620</v>
      </c>
      <c r="J265" s="34">
        <v>38207.0</v>
      </c>
    </row>
    <row r="266">
      <c r="A266" s="11" t="s">
        <v>440</v>
      </c>
      <c r="B266" s="31" t="s">
        <v>1459</v>
      </c>
      <c r="C266" s="31" t="s">
        <v>1400</v>
      </c>
      <c r="D266" s="32" t="str">
        <f t="shared" si="1"/>
        <v>#N/A</v>
      </c>
      <c r="E266" s="14" t="str">
        <f t="shared" si="2"/>
        <v>#N/A</v>
      </c>
      <c r="G266" s="11"/>
      <c r="H266" s="11" t="s">
        <v>564</v>
      </c>
      <c r="I266" s="33" t="s">
        <v>622</v>
      </c>
      <c r="J266" s="34">
        <v>38618.0</v>
      </c>
    </row>
    <row r="267">
      <c r="A267" s="31" t="s">
        <v>440</v>
      </c>
      <c r="B267" s="31" t="s">
        <v>1145</v>
      </c>
      <c r="C267" s="31" t="s">
        <v>1272</v>
      </c>
      <c r="D267" s="32">
        <f t="shared" si="1"/>
        <v>27.28219178</v>
      </c>
      <c r="E267" s="35">
        <f t="shared" si="2"/>
        <v>35908</v>
      </c>
      <c r="G267" s="11"/>
      <c r="H267" s="11" t="s">
        <v>624</v>
      </c>
      <c r="I267" s="33" t="s">
        <v>627</v>
      </c>
      <c r="J267" s="34">
        <v>35431.0</v>
      </c>
    </row>
    <row r="268">
      <c r="A268" s="31" t="s">
        <v>440</v>
      </c>
      <c r="B268" s="31" t="s">
        <v>1147</v>
      </c>
      <c r="C268" s="31" t="s">
        <v>1272</v>
      </c>
      <c r="D268" s="32">
        <f t="shared" si="1"/>
        <v>35.38082192</v>
      </c>
      <c r="E268" s="35">
        <f t="shared" si="2"/>
        <v>32952</v>
      </c>
      <c r="G268" s="11"/>
      <c r="H268" s="11" t="s">
        <v>624</v>
      </c>
      <c r="I268" s="33" t="s">
        <v>629</v>
      </c>
      <c r="J268" s="34">
        <v>33416.0</v>
      </c>
    </row>
    <row r="269">
      <c r="A269" s="31" t="s">
        <v>440</v>
      </c>
      <c r="B269" s="31" t="s">
        <v>463</v>
      </c>
      <c r="C269" s="31" t="s">
        <v>1133</v>
      </c>
      <c r="D269" s="32">
        <f t="shared" si="1"/>
        <v>23.27671233</v>
      </c>
      <c r="E269" s="35">
        <f t="shared" si="2"/>
        <v>37370</v>
      </c>
      <c r="G269" s="11"/>
      <c r="H269" s="11" t="s">
        <v>624</v>
      </c>
      <c r="I269" s="33" t="s">
        <v>631</v>
      </c>
      <c r="J269" s="34">
        <v>36529.0</v>
      </c>
    </row>
    <row r="270">
      <c r="A270" s="31" t="s">
        <v>440</v>
      </c>
      <c r="B270" s="31" t="s">
        <v>465</v>
      </c>
      <c r="C270" s="31" t="s">
        <v>1133</v>
      </c>
      <c r="D270" s="32">
        <f t="shared" si="1"/>
        <v>28.97808219</v>
      </c>
      <c r="E270" s="35">
        <f t="shared" si="2"/>
        <v>35289</v>
      </c>
      <c r="G270" s="11"/>
      <c r="H270" s="11" t="s">
        <v>624</v>
      </c>
      <c r="I270" s="33" t="s">
        <v>633</v>
      </c>
      <c r="J270" s="34">
        <v>35104.0</v>
      </c>
    </row>
    <row r="271">
      <c r="A271" s="31" t="s">
        <v>440</v>
      </c>
      <c r="B271" s="31" t="s">
        <v>1460</v>
      </c>
      <c r="C271" s="31" t="s">
        <v>1133</v>
      </c>
      <c r="D271" s="32" t="str">
        <f t="shared" si="1"/>
        <v>#N/A</v>
      </c>
      <c r="E271" s="14" t="str">
        <f t="shared" si="2"/>
        <v>#N/A</v>
      </c>
      <c r="G271" s="11"/>
      <c r="H271" s="11" t="s">
        <v>624</v>
      </c>
      <c r="I271" s="33" t="s">
        <v>635</v>
      </c>
      <c r="J271" s="34">
        <v>33539.0</v>
      </c>
    </row>
    <row r="272">
      <c r="A272" s="31" t="s">
        <v>440</v>
      </c>
      <c r="B272" s="31" t="s">
        <v>1461</v>
      </c>
      <c r="C272" s="31" t="s">
        <v>1311</v>
      </c>
      <c r="D272" s="32" t="str">
        <f t="shared" si="1"/>
        <v>#N/A</v>
      </c>
      <c r="E272" s="14" t="str">
        <f t="shared" si="2"/>
        <v>#N/A</v>
      </c>
      <c r="G272" s="11"/>
      <c r="H272" s="11" t="s">
        <v>624</v>
      </c>
      <c r="I272" s="33" t="s">
        <v>637</v>
      </c>
      <c r="J272" s="34">
        <v>36798.0</v>
      </c>
    </row>
    <row r="273">
      <c r="A273" s="31" t="s">
        <v>440</v>
      </c>
      <c r="B273" s="31" t="s">
        <v>467</v>
      </c>
      <c r="C273" s="31" t="s">
        <v>1311</v>
      </c>
      <c r="D273" s="32">
        <f t="shared" si="1"/>
        <v>24.67671233</v>
      </c>
      <c r="E273" s="35">
        <f t="shared" si="2"/>
        <v>36859</v>
      </c>
      <c r="G273" s="11"/>
      <c r="H273" s="11" t="s">
        <v>624</v>
      </c>
      <c r="I273" s="33" t="s">
        <v>639</v>
      </c>
      <c r="J273" s="34">
        <v>31465.0</v>
      </c>
    </row>
    <row r="274">
      <c r="A274" s="31" t="s">
        <v>440</v>
      </c>
      <c r="B274" s="31" t="s">
        <v>1462</v>
      </c>
      <c r="C274" s="31" t="s">
        <v>1272</v>
      </c>
      <c r="D274" s="32" t="str">
        <f t="shared" si="1"/>
        <v>#N/A</v>
      </c>
      <c r="E274" s="14" t="str">
        <f t="shared" si="2"/>
        <v>#N/A</v>
      </c>
      <c r="G274" s="11"/>
      <c r="H274" s="11" t="s">
        <v>624</v>
      </c>
      <c r="I274" s="33" t="s">
        <v>641</v>
      </c>
      <c r="J274" s="34">
        <v>32885.0</v>
      </c>
    </row>
    <row r="275">
      <c r="A275" s="31" t="s">
        <v>440</v>
      </c>
      <c r="B275" s="31" t="s">
        <v>1151</v>
      </c>
      <c r="C275" s="31" t="s">
        <v>1311</v>
      </c>
      <c r="D275" s="32">
        <f t="shared" si="1"/>
        <v>28.21643836</v>
      </c>
      <c r="E275" s="35">
        <f t="shared" si="2"/>
        <v>35567</v>
      </c>
      <c r="G275" s="11"/>
      <c r="H275" s="11" t="s">
        <v>624</v>
      </c>
      <c r="I275" s="33" t="s">
        <v>643</v>
      </c>
      <c r="J275" s="34">
        <v>35195.0</v>
      </c>
    </row>
    <row r="276">
      <c r="A276" s="31" t="s">
        <v>440</v>
      </c>
      <c r="B276" s="31" t="s">
        <v>469</v>
      </c>
      <c r="C276" s="31" t="s">
        <v>1311</v>
      </c>
      <c r="D276" s="32">
        <f t="shared" si="1"/>
        <v>27.1890411</v>
      </c>
      <c r="E276" s="35">
        <f t="shared" si="2"/>
        <v>35942</v>
      </c>
      <c r="G276" s="11"/>
      <c r="H276" s="11" t="s">
        <v>624</v>
      </c>
      <c r="I276" s="33" t="s">
        <v>645</v>
      </c>
      <c r="J276" s="34">
        <v>39308.0</v>
      </c>
    </row>
    <row r="277">
      <c r="A277" s="31" t="s">
        <v>440</v>
      </c>
      <c r="B277" s="31" t="s">
        <v>1463</v>
      </c>
      <c r="C277" s="31" t="s">
        <v>1133</v>
      </c>
      <c r="D277" s="32" t="str">
        <f t="shared" si="1"/>
        <v>#N/A</v>
      </c>
      <c r="E277" s="14" t="str">
        <f t="shared" si="2"/>
        <v>#N/A</v>
      </c>
      <c r="G277" s="11"/>
      <c r="H277" s="11" t="s">
        <v>624</v>
      </c>
      <c r="I277" s="33" t="s">
        <v>647</v>
      </c>
      <c r="J277" s="34">
        <v>33953.0</v>
      </c>
    </row>
    <row r="278">
      <c r="A278" s="31" t="s">
        <v>440</v>
      </c>
      <c r="B278" s="31" t="s">
        <v>1464</v>
      </c>
      <c r="C278" s="31" t="s">
        <v>1272</v>
      </c>
      <c r="D278" s="32" t="str">
        <f t="shared" si="1"/>
        <v>#N/A</v>
      </c>
      <c r="E278" s="14" t="str">
        <f t="shared" si="2"/>
        <v>#N/A</v>
      </c>
      <c r="G278" s="11"/>
      <c r="H278" s="11" t="s">
        <v>624</v>
      </c>
      <c r="I278" s="33" t="s">
        <v>649</v>
      </c>
      <c r="J278" s="34">
        <v>33995.0</v>
      </c>
    </row>
    <row r="279">
      <c r="A279" s="31" t="s">
        <v>440</v>
      </c>
      <c r="B279" s="31" t="s">
        <v>1465</v>
      </c>
      <c r="C279" s="31" t="s">
        <v>1311</v>
      </c>
      <c r="D279" s="32" t="str">
        <f t="shared" si="1"/>
        <v>#N/A</v>
      </c>
      <c r="E279" s="14" t="str">
        <f t="shared" si="2"/>
        <v>#N/A</v>
      </c>
      <c r="G279" s="11"/>
      <c r="H279" s="11" t="s">
        <v>624</v>
      </c>
      <c r="I279" s="33" t="s">
        <v>651</v>
      </c>
      <c r="J279" s="34">
        <v>34133.0</v>
      </c>
    </row>
    <row r="280">
      <c r="A280" s="31" t="s">
        <v>441</v>
      </c>
      <c r="B280" s="31" t="s">
        <v>1466</v>
      </c>
      <c r="C280" s="31" t="s">
        <v>1400</v>
      </c>
      <c r="D280" s="32" t="str">
        <f t="shared" si="1"/>
        <v>#N/A</v>
      </c>
      <c r="E280" s="14" t="str">
        <f t="shared" si="2"/>
        <v>#N/A</v>
      </c>
      <c r="G280" s="11"/>
      <c r="H280" s="11" t="s">
        <v>624</v>
      </c>
      <c r="I280" s="33" t="s">
        <v>653</v>
      </c>
      <c r="J280" s="34">
        <v>32244.0</v>
      </c>
    </row>
    <row r="281">
      <c r="A281" s="31" t="s">
        <v>441</v>
      </c>
      <c r="B281" s="31" t="s">
        <v>471</v>
      </c>
      <c r="C281" s="31" t="s">
        <v>1272</v>
      </c>
      <c r="D281" s="32">
        <f t="shared" si="1"/>
        <v>22.36438356</v>
      </c>
      <c r="E281" s="35">
        <f t="shared" si="2"/>
        <v>37703</v>
      </c>
      <c r="G281" s="11"/>
      <c r="H281" s="11" t="s">
        <v>624</v>
      </c>
      <c r="I281" s="33" t="s">
        <v>655</v>
      </c>
      <c r="J281" s="34">
        <v>36329.0</v>
      </c>
    </row>
    <row r="282">
      <c r="A282" s="11" t="s">
        <v>441</v>
      </c>
      <c r="B282" s="31" t="s">
        <v>473</v>
      </c>
      <c r="C282" s="31" t="s">
        <v>1272</v>
      </c>
      <c r="D282" s="32">
        <f t="shared" si="1"/>
        <v>21.75890411</v>
      </c>
      <c r="E282" s="35">
        <f t="shared" si="2"/>
        <v>37924</v>
      </c>
      <c r="G282" s="11"/>
      <c r="H282" s="11" t="s">
        <v>625</v>
      </c>
      <c r="I282" s="33" t="s">
        <v>657</v>
      </c>
      <c r="J282" s="34">
        <v>35921.0</v>
      </c>
    </row>
    <row r="283">
      <c r="A283" s="11" t="s">
        <v>441</v>
      </c>
      <c r="B283" s="31" t="s">
        <v>475</v>
      </c>
      <c r="C283" s="31" t="s">
        <v>1311</v>
      </c>
      <c r="D283" s="32">
        <f t="shared" si="1"/>
        <v>29.65205479</v>
      </c>
      <c r="E283" s="35">
        <f t="shared" si="2"/>
        <v>35043</v>
      </c>
      <c r="G283" s="11"/>
      <c r="H283" s="11" t="s">
        <v>625</v>
      </c>
      <c r="I283" s="33" t="s">
        <v>659</v>
      </c>
      <c r="J283" s="34">
        <v>36217.0</v>
      </c>
    </row>
    <row r="284">
      <c r="A284" s="11" t="s">
        <v>441</v>
      </c>
      <c r="B284" s="31" t="s">
        <v>477</v>
      </c>
      <c r="C284" s="31" t="s">
        <v>1133</v>
      </c>
      <c r="D284" s="32">
        <f t="shared" si="1"/>
        <v>37.47671233</v>
      </c>
      <c r="E284" s="35">
        <f t="shared" si="2"/>
        <v>32187</v>
      </c>
      <c r="G284" s="11"/>
      <c r="H284" s="11" t="s">
        <v>625</v>
      </c>
      <c r="I284" s="33" t="s">
        <v>661</v>
      </c>
      <c r="J284" s="34">
        <v>34722.0</v>
      </c>
    </row>
    <row r="285">
      <c r="A285" s="11" t="s">
        <v>441</v>
      </c>
      <c r="B285" s="31" t="s">
        <v>479</v>
      </c>
      <c r="C285" s="31" t="s">
        <v>1133</v>
      </c>
      <c r="D285" s="32">
        <f t="shared" si="1"/>
        <v>26.70136986</v>
      </c>
      <c r="E285" s="35">
        <f t="shared" si="2"/>
        <v>36120</v>
      </c>
      <c r="G285" s="11"/>
      <c r="H285" s="11" t="s">
        <v>625</v>
      </c>
      <c r="I285" s="33" t="s">
        <v>663</v>
      </c>
      <c r="J285" s="34">
        <v>35535.0</v>
      </c>
    </row>
    <row r="286">
      <c r="A286" s="11" t="s">
        <v>441</v>
      </c>
      <c r="B286" s="31" t="s">
        <v>481</v>
      </c>
      <c r="C286" s="31" t="s">
        <v>1272</v>
      </c>
      <c r="D286" s="32">
        <f t="shared" si="1"/>
        <v>22.41643836</v>
      </c>
      <c r="E286" s="35">
        <f t="shared" si="2"/>
        <v>37684</v>
      </c>
      <c r="G286" s="11"/>
      <c r="H286" s="11" t="s">
        <v>625</v>
      </c>
      <c r="I286" s="33" t="s">
        <v>665</v>
      </c>
      <c r="J286" s="34">
        <v>34710.0</v>
      </c>
    </row>
    <row r="287">
      <c r="A287" s="11" t="s">
        <v>441</v>
      </c>
      <c r="B287" s="31" t="s">
        <v>483</v>
      </c>
      <c r="C287" s="31" t="s">
        <v>1133</v>
      </c>
      <c r="D287" s="32">
        <f t="shared" si="1"/>
        <v>30.78082192</v>
      </c>
      <c r="E287" s="38">
        <f t="shared" si="2"/>
        <v>34631</v>
      </c>
      <c r="G287" s="11"/>
      <c r="H287" s="11" t="s">
        <v>625</v>
      </c>
      <c r="I287" s="33" t="s">
        <v>667</v>
      </c>
      <c r="J287" s="34">
        <v>35340.0</v>
      </c>
    </row>
    <row r="288">
      <c r="A288" s="11" t="s">
        <v>441</v>
      </c>
      <c r="B288" s="31" t="s">
        <v>485</v>
      </c>
      <c r="C288" s="31" t="s">
        <v>1272</v>
      </c>
      <c r="D288" s="32">
        <f t="shared" si="1"/>
        <v>37.48219178</v>
      </c>
      <c r="E288" s="35">
        <f t="shared" si="2"/>
        <v>32185</v>
      </c>
      <c r="G288" s="11"/>
      <c r="H288" s="11" t="s">
        <v>625</v>
      </c>
      <c r="I288" s="33" t="s">
        <v>669</v>
      </c>
      <c r="J288" s="34">
        <v>35634.0</v>
      </c>
    </row>
    <row r="289">
      <c r="A289" s="11" t="s">
        <v>441</v>
      </c>
      <c r="B289" s="31" t="s">
        <v>487</v>
      </c>
      <c r="C289" s="31" t="s">
        <v>1311</v>
      </c>
      <c r="D289" s="32">
        <f t="shared" si="1"/>
        <v>25.95890411</v>
      </c>
      <c r="E289" s="35">
        <f t="shared" si="2"/>
        <v>36391</v>
      </c>
      <c r="G289" s="11"/>
      <c r="H289" s="11" t="s">
        <v>625</v>
      </c>
      <c r="I289" s="33" t="s">
        <v>671</v>
      </c>
      <c r="J289" s="34">
        <v>36565.0</v>
      </c>
    </row>
    <row r="290">
      <c r="A290" s="11" t="s">
        <v>441</v>
      </c>
      <c r="B290" s="31" t="s">
        <v>489</v>
      </c>
      <c r="C290" s="31" t="s">
        <v>1311</v>
      </c>
      <c r="D290" s="32">
        <f t="shared" si="1"/>
        <v>27.96164384</v>
      </c>
      <c r="E290" s="35">
        <f t="shared" si="2"/>
        <v>35660</v>
      </c>
      <c r="G290" s="11"/>
      <c r="H290" s="11" t="s">
        <v>625</v>
      </c>
      <c r="I290" s="33" t="s">
        <v>673</v>
      </c>
      <c r="J290" s="34">
        <v>35641.0</v>
      </c>
    </row>
    <row r="291">
      <c r="A291" s="11" t="s">
        <v>441</v>
      </c>
      <c r="B291" s="31" t="s">
        <v>1467</v>
      </c>
      <c r="C291" s="31" t="s">
        <v>1400</v>
      </c>
      <c r="D291" s="32" t="str">
        <f t="shared" si="1"/>
        <v>#N/A</v>
      </c>
      <c r="E291" s="14" t="str">
        <f t="shared" si="2"/>
        <v>#N/A</v>
      </c>
      <c r="G291" s="11"/>
      <c r="H291" s="11" t="s">
        <v>625</v>
      </c>
      <c r="I291" s="33" t="s">
        <v>675</v>
      </c>
      <c r="J291" s="34">
        <v>35534.0</v>
      </c>
    </row>
    <row r="292">
      <c r="A292" s="11" t="s">
        <v>441</v>
      </c>
      <c r="B292" s="31" t="s">
        <v>491</v>
      </c>
      <c r="C292" s="31" t="s">
        <v>1311</v>
      </c>
      <c r="D292" s="32">
        <f t="shared" si="1"/>
        <v>24.59452055</v>
      </c>
      <c r="E292" s="35">
        <f t="shared" si="2"/>
        <v>36889</v>
      </c>
      <c r="G292" s="11"/>
      <c r="H292" s="11" t="s">
        <v>625</v>
      </c>
      <c r="I292" s="33" t="s">
        <v>677</v>
      </c>
      <c r="J292" s="34">
        <v>36029.0</v>
      </c>
    </row>
    <row r="293">
      <c r="A293" s="11" t="s">
        <v>441</v>
      </c>
      <c r="B293" s="31" t="s">
        <v>493</v>
      </c>
      <c r="C293" s="31" t="s">
        <v>1133</v>
      </c>
      <c r="D293" s="32">
        <f t="shared" si="1"/>
        <v>26.78630137</v>
      </c>
      <c r="E293" s="35">
        <f t="shared" si="2"/>
        <v>36089</v>
      </c>
      <c r="G293" s="11"/>
      <c r="H293" s="11" t="s">
        <v>625</v>
      </c>
      <c r="I293" s="33" t="s">
        <v>679</v>
      </c>
      <c r="J293" s="34">
        <v>33367.0</v>
      </c>
    </row>
    <row r="294">
      <c r="A294" s="11" t="s">
        <v>441</v>
      </c>
      <c r="B294" s="31" t="s">
        <v>495</v>
      </c>
      <c r="C294" s="31" t="s">
        <v>1311</v>
      </c>
      <c r="D294" s="32">
        <f t="shared" si="1"/>
        <v>25.58356164</v>
      </c>
      <c r="E294" s="35">
        <f t="shared" si="2"/>
        <v>36528</v>
      </c>
      <c r="G294" s="11"/>
      <c r="H294" s="11" t="s">
        <v>625</v>
      </c>
      <c r="I294" s="33" t="s">
        <v>681</v>
      </c>
      <c r="J294" s="34">
        <v>34004.0</v>
      </c>
    </row>
    <row r="295">
      <c r="A295" s="11" t="s">
        <v>441</v>
      </c>
      <c r="B295" s="31" t="s">
        <v>497</v>
      </c>
      <c r="C295" s="31" t="s">
        <v>1133</v>
      </c>
      <c r="D295" s="32">
        <f t="shared" si="1"/>
        <v>31.62465753</v>
      </c>
      <c r="E295" s="35">
        <f t="shared" si="2"/>
        <v>34323</v>
      </c>
      <c r="G295" s="11"/>
      <c r="H295" s="11" t="s">
        <v>625</v>
      </c>
      <c r="I295" s="33" t="s">
        <v>683</v>
      </c>
      <c r="J295" s="34">
        <v>34808.0</v>
      </c>
    </row>
    <row r="296">
      <c r="A296" s="11" t="s">
        <v>441</v>
      </c>
      <c r="B296" s="31" t="s">
        <v>1104</v>
      </c>
      <c r="C296" s="31" t="s">
        <v>1133</v>
      </c>
      <c r="D296" s="32">
        <f t="shared" si="1"/>
        <v>21.16986301</v>
      </c>
      <c r="E296" s="35">
        <f t="shared" si="2"/>
        <v>38139</v>
      </c>
      <c r="G296" s="11"/>
      <c r="H296" s="11" t="s">
        <v>625</v>
      </c>
      <c r="I296" s="33" t="s">
        <v>685</v>
      </c>
      <c r="J296" s="34">
        <v>36487.0</v>
      </c>
    </row>
    <row r="297">
      <c r="A297" s="31" t="s">
        <v>441</v>
      </c>
      <c r="B297" s="31" t="s">
        <v>499</v>
      </c>
      <c r="C297" s="31" t="s">
        <v>1133</v>
      </c>
      <c r="D297" s="32">
        <f t="shared" si="1"/>
        <v>19.50136986</v>
      </c>
      <c r="E297" s="35">
        <f t="shared" si="2"/>
        <v>38748</v>
      </c>
      <c r="G297" s="11"/>
      <c r="H297" s="11" t="s">
        <v>687</v>
      </c>
      <c r="I297" s="33" t="s">
        <v>690</v>
      </c>
      <c r="J297" s="34">
        <v>37583.0</v>
      </c>
    </row>
    <row r="298">
      <c r="A298" s="31" t="s">
        <v>441</v>
      </c>
      <c r="B298" s="31" t="s">
        <v>1106</v>
      </c>
      <c r="C298" s="31" t="s">
        <v>1133</v>
      </c>
      <c r="D298" s="32">
        <f t="shared" si="1"/>
        <v>24.1260274</v>
      </c>
      <c r="E298" s="35">
        <f t="shared" si="2"/>
        <v>37060</v>
      </c>
      <c r="G298" s="11"/>
      <c r="H298" s="11" t="s">
        <v>687</v>
      </c>
      <c r="I298" s="33" t="s">
        <v>692</v>
      </c>
      <c r="J298" s="34">
        <v>32856.0</v>
      </c>
    </row>
    <row r="299">
      <c r="A299" s="31" t="s">
        <v>441</v>
      </c>
      <c r="B299" s="31" t="s">
        <v>1468</v>
      </c>
      <c r="C299" s="31" t="s">
        <v>1272</v>
      </c>
      <c r="D299" s="32" t="str">
        <f t="shared" si="1"/>
        <v>#N/A</v>
      </c>
      <c r="E299" s="14" t="str">
        <f t="shared" si="2"/>
        <v>#N/A</v>
      </c>
      <c r="G299" s="11"/>
      <c r="H299" s="11" t="s">
        <v>687</v>
      </c>
      <c r="I299" s="33" t="s">
        <v>694</v>
      </c>
      <c r="J299" s="34">
        <v>34696.0</v>
      </c>
    </row>
    <row r="300">
      <c r="A300" s="31" t="s">
        <v>441</v>
      </c>
      <c r="B300" s="31" t="s">
        <v>1363</v>
      </c>
      <c r="C300" s="31" t="s">
        <v>1311</v>
      </c>
      <c r="D300" s="32">
        <f t="shared" si="1"/>
        <v>20.10136986</v>
      </c>
      <c r="E300" s="35">
        <f t="shared" si="2"/>
        <v>38529</v>
      </c>
      <c r="G300" s="11"/>
      <c r="H300" s="11" t="s">
        <v>687</v>
      </c>
      <c r="I300" s="33" t="s">
        <v>696</v>
      </c>
      <c r="J300" s="34">
        <v>34448.0</v>
      </c>
    </row>
    <row r="301">
      <c r="A301" s="31" t="s">
        <v>441</v>
      </c>
      <c r="B301" s="31" t="s">
        <v>1469</v>
      </c>
      <c r="C301" s="31" t="s">
        <v>1272</v>
      </c>
      <c r="D301" s="32" t="str">
        <f t="shared" si="1"/>
        <v>#N/A</v>
      </c>
      <c r="E301" s="14" t="str">
        <f t="shared" si="2"/>
        <v>#N/A</v>
      </c>
      <c r="G301" s="11"/>
      <c r="H301" s="11" t="s">
        <v>687</v>
      </c>
      <c r="I301" s="33" t="s">
        <v>698</v>
      </c>
      <c r="J301" s="34">
        <v>36166.0</v>
      </c>
    </row>
    <row r="302">
      <c r="A302" s="31" t="s">
        <v>441</v>
      </c>
      <c r="B302" s="31" t="s">
        <v>1108</v>
      </c>
      <c r="C302" s="31" t="s">
        <v>1272</v>
      </c>
      <c r="D302" s="32">
        <f t="shared" si="1"/>
        <v>23.32876712</v>
      </c>
      <c r="E302" s="35">
        <f t="shared" si="2"/>
        <v>37351</v>
      </c>
      <c r="G302" s="11"/>
      <c r="H302" s="11" t="s">
        <v>687</v>
      </c>
      <c r="I302" s="33" t="s">
        <v>700</v>
      </c>
      <c r="J302" s="34">
        <v>34262.0</v>
      </c>
    </row>
    <row r="303">
      <c r="A303" s="31" t="s">
        <v>441</v>
      </c>
      <c r="B303" s="31" t="s">
        <v>1470</v>
      </c>
      <c r="C303" s="31" t="s">
        <v>1311</v>
      </c>
      <c r="D303" s="32" t="str">
        <f t="shared" si="1"/>
        <v>#N/A</v>
      </c>
      <c r="E303" s="14" t="str">
        <f t="shared" si="2"/>
        <v>#N/A</v>
      </c>
      <c r="G303" s="11"/>
      <c r="H303" s="11" t="s">
        <v>687</v>
      </c>
      <c r="I303" s="33" t="s">
        <v>702</v>
      </c>
      <c r="J303" s="34">
        <v>32931.0</v>
      </c>
    </row>
    <row r="304">
      <c r="A304" s="31" t="s">
        <v>441</v>
      </c>
      <c r="B304" s="31" t="s">
        <v>1110</v>
      </c>
      <c r="C304" s="31" t="s">
        <v>1133</v>
      </c>
      <c r="D304" s="32">
        <f t="shared" si="1"/>
        <v>20.11780822</v>
      </c>
      <c r="E304" s="35">
        <f t="shared" si="2"/>
        <v>38523</v>
      </c>
      <c r="G304" s="11"/>
      <c r="H304" s="11" t="s">
        <v>687</v>
      </c>
      <c r="I304" s="33" t="s">
        <v>704</v>
      </c>
      <c r="J304" s="34">
        <v>32326.0</v>
      </c>
    </row>
    <row r="305">
      <c r="A305" s="31" t="s">
        <v>441</v>
      </c>
      <c r="B305" s="31" t="s">
        <v>1471</v>
      </c>
      <c r="C305" s="31" t="s">
        <v>1311</v>
      </c>
      <c r="D305" s="32" t="str">
        <f t="shared" si="1"/>
        <v>#N/A</v>
      </c>
      <c r="E305" s="14" t="str">
        <f t="shared" si="2"/>
        <v>#N/A</v>
      </c>
      <c r="G305" s="11"/>
      <c r="H305" s="11" t="s">
        <v>687</v>
      </c>
      <c r="I305" s="33" t="s">
        <v>706</v>
      </c>
      <c r="J305" s="34">
        <v>34459.0</v>
      </c>
    </row>
    <row r="306">
      <c r="A306" s="31" t="s">
        <v>377</v>
      </c>
      <c r="B306" s="31" t="s">
        <v>1472</v>
      </c>
      <c r="C306" s="31" t="s">
        <v>1400</v>
      </c>
      <c r="D306" s="32" t="str">
        <f t="shared" si="1"/>
        <v>#N/A</v>
      </c>
      <c r="E306" s="14" t="str">
        <f t="shared" si="2"/>
        <v>#N/A</v>
      </c>
      <c r="G306" s="11"/>
      <c r="H306" s="11" t="s">
        <v>687</v>
      </c>
      <c r="I306" s="33" t="s">
        <v>708</v>
      </c>
      <c r="J306" s="34">
        <v>35433.0</v>
      </c>
    </row>
    <row r="307">
      <c r="A307" s="31" t="s">
        <v>377</v>
      </c>
      <c r="B307" s="31" t="s">
        <v>380</v>
      </c>
      <c r="C307" s="31" t="s">
        <v>1272</v>
      </c>
      <c r="D307" s="32">
        <f t="shared" si="1"/>
        <v>27.03561644</v>
      </c>
      <c r="E307" s="35">
        <f t="shared" si="2"/>
        <v>35998</v>
      </c>
      <c r="G307" s="11"/>
      <c r="H307" s="11" t="s">
        <v>687</v>
      </c>
      <c r="I307" s="33" t="s">
        <v>710</v>
      </c>
      <c r="J307" s="34">
        <v>34249.0</v>
      </c>
    </row>
    <row r="308">
      <c r="A308" s="31" t="s">
        <v>377</v>
      </c>
      <c r="B308" s="31" t="s">
        <v>382</v>
      </c>
      <c r="C308" s="31" t="s">
        <v>1272</v>
      </c>
      <c r="D308" s="32">
        <f t="shared" si="1"/>
        <v>27.86027397</v>
      </c>
      <c r="E308" s="35">
        <f t="shared" si="2"/>
        <v>35697</v>
      </c>
      <c r="G308" s="11"/>
      <c r="H308" s="11" t="s">
        <v>687</v>
      </c>
      <c r="I308" s="33" t="s">
        <v>712</v>
      </c>
      <c r="J308" s="34">
        <v>35668.0</v>
      </c>
    </row>
    <row r="309">
      <c r="A309" s="31" t="s">
        <v>377</v>
      </c>
      <c r="B309" s="31" t="s">
        <v>384</v>
      </c>
      <c r="C309" s="31" t="s">
        <v>1272</v>
      </c>
      <c r="D309" s="32">
        <f t="shared" si="1"/>
        <v>22.43287671</v>
      </c>
      <c r="E309" s="35">
        <f t="shared" si="2"/>
        <v>37678</v>
      </c>
      <c r="G309" s="11"/>
      <c r="H309" s="11" t="s">
        <v>687</v>
      </c>
      <c r="I309" s="33" t="s">
        <v>714</v>
      </c>
      <c r="J309" s="34">
        <v>35914.0</v>
      </c>
    </row>
    <row r="310">
      <c r="A310" s="31" t="s">
        <v>377</v>
      </c>
      <c r="B310" s="31" t="s">
        <v>386</v>
      </c>
      <c r="C310" s="31" t="s">
        <v>1133</v>
      </c>
      <c r="D310" s="32">
        <f t="shared" si="1"/>
        <v>25.40273973</v>
      </c>
      <c r="E310" s="35">
        <f t="shared" si="2"/>
        <v>36594</v>
      </c>
      <c r="G310" s="11"/>
      <c r="H310" s="11" t="s">
        <v>687</v>
      </c>
      <c r="I310" s="33" t="s">
        <v>716</v>
      </c>
      <c r="J310" s="34">
        <v>37553.0</v>
      </c>
    </row>
    <row r="311">
      <c r="A311" s="11" t="s">
        <v>377</v>
      </c>
      <c r="B311" s="31" t="s">
        <v>388</v>
      </c>
      <c r="C311" s="31" t="s">
        <v>1311</v>
      </c>
      <c r="D311" s="32">
        <f t="shared" si="1"/>
        <v>23.24383562</v>
      </c>
      <c r="E311" s="35">
        <f t="shared" si="2"/>
        <v>37382</v>
      </c>
      <c r="G311" s="11"/>
      <c r="H311" s="11" t="s">
        <v>688</v>
      </c>
      <c r="I311" s="33" t="s">
        <v>718</v>
      </c>
      <c r="J311" s="34">
        <v>35454.0</v>
      </c>
    </row>
    <row r="312">
      <c r="A312" s="11" t="s">
        <v>377</v>
      </c>
      <c r="B312" s="31" t="s">
        <v>390</v>
      </c>
      <c r="C312" s="31" t="s">
        <v>1133</v>
      </c>
      <c r="D312" s="32">
        <f t="shared" si="1"/>
        <v>23.4</v>
      </c>
      <c r="E312" s="35">
        <f t="shared" si="2"/>
        <v>37325</v>
      </c>
      <c r="G312" s="11"/>
      <c r="H312" s="11" t="s">
        <v>688</v>
      </c>
      <c r="I312" s="33" t="s">
        <v>720</v>
      </c>
      <c r="J312" s="34">
        <v>37440.0</v>
      </c>
    </row>
    <row r="313">
      <c r="A313" s="11" t="s">
        <v>377</v>
      </c>
      <c r="B313" s="31" t="s">
        <v>392</v>
      </c>
      <c r="C313" s="31" t="s">
        <v>1133</v>
      </c>
      <c r="D313" s="32">
        <f t="shared" si="1"/>
        <v>24.12054795</v>
      </c>
      <c r="E313" s="35">
        <f t="shared" si="2"/>
        <v>37062</v>
      </c>
      <c r="G313" s="11"/>
      <c r="H313" s="11" t="s">
        <v>688</v>
      </c>
      <c r="I313" s="33" t="s">
        <v>722</v>
      </c>
      <c r="J313" s="34">
        <v>36077.0</v>
      </c>
    </row>
    <row r="314">
      <c r="A314" s="11" t="s">
        <v>377</v>
      </c>
      <c r="B314" s="31" t="s">
        <v>394</v>
      </c>
      <c r="C314" s="31" t="s">
        <v>1272</v>
      </c>
      <c r="D314" s="32">
        <f t="shared" si="1"/>
        <v>25.65479452</v>
      </c>
      <c r="E314" s="35">
        <f t="shared" si="2"/>
        <v>36502</v>
      </c>
      <c r="G314" s="11"/>
      <c r="H314" s="11" t="s">
        <v>688</v>
      </c>
      <c r="I314" s="33" t="s">
        <v>724</v>
      </c>
      <c r="J314" s="34">
        <v>36257.0</v>
      </c>
    </row>
    <row r="315">
      <c r="A315" s="11" t="s">
        <v>377</v>
      </c>
      <c r="B315" s="31" t="s">
        <v>396</v>
      </c>
      <c r="C315" s="31" t="s">
        <v>1311</v>
      </c>
      <c r="D315" s="32">
        <f t="shared" si="1"/>
        <v>23.75068493</v>
      </c>
      <c r="E315" s="35">
        <f t="shared" si="2"/>
        <v>37197</v>
      </c>
      <c r="G315" s="11"/>
      <c r="H315" s="11" t="s">
        <v>688</v>
      </c>
      <c r="I315" s="33" t="s">
        <v>726</v>
      </c>
      <c r="J315" s="34">
        <v>35052.0</v>
      </c>
    </row>
    <row r="316">
      <c r="A316" s="11" t="s">
        <v>377</v>
      </c>
      <c r="B316" s="31" t="s">
        <v>398</v>
      </c>
      <c r="C316" s="31" t="s">
        <v>1311</v>
      </c>
      <c r="D316" s="32">
        <f t="shared" si="1"/>
        <v>21.57260274</v>
      </c>
      <c r="E316" s="35">
        <f t="shared" si="2"/>
        <v>37992</v>
      </c>
      <c r="G316" s="11"/>
      <c r="H316" s="11" t="s">
        <v>688</v>
      </c>
      <c r="I316" s="33" t="s">
        <v>728</v>
      </c>
      <c r="J316" s="34">
        <v>32723.0</v>
      </c>
    </row>
    <row r="317">
      <c r="A317" s="11" t="s">
        <v>377</v>
      </c>
      <c r="B317" s="31" t="s">
        <v>1473</v>
      </c>
      <c r="C317" s="31" t="s">
        <v>1400</v>
      </c>
      <c r="D317" s="32" t="str">
        <f t="shared" si="1"/>
        <v>#N/A</v>
      </c>
      <c r="E317" s="14" t="str">
        <f t="shared" si="2"/>
        <v>#N/A</v>
      </c>
      <c r="G317" s="11"/>
      <c r="H317" s="11" t="s">
        <v>688</v>
      </c>
      <c r="I317" s="33" t="s">
        <v>730</v>
      </c>
      <c r="J317" s="34">
        <v>33908.0</v>
      </c>
    </row>
    <row r="318">
      <c r="A318" s="11" t="s">
        <v>377</v>
      </c>
      <c r="B318" s="31" t="s">
        <v>1284</v>
      </c>
      <c r="C318" s="31" t="s">
        <v>1272</v>
      </c>
      <c r="D318" s="32">
        <f t="shared" si="1"/>
        <v>24.35616438</v>
      </c>
      <c r="E318" s="35">
        <f t="shared" si="2"/>
        <v>36976</v>
      </c>
      <c r="G318" s="11"/>
      <c r="H318" s="11" t="s">
        <v>688</v>
      </c>
      <c r="I318" s="33" t="s">
        <v>732</v>
      </c>
      <c r="J318" s="34">
        <v>35810.0</v>
      </c>
    </row>
    <row r="319">
      <c r="A319" s="11" t="s">
        <v>377</v>
      </c>
      <c r="B319" s="31" t="s">
        <v>400</v>
      </c>
      <c r="C319" s="31" t="s">
        <v>1311</v>
      </c>
      <c r="D319" s="32">
        <f t="shared" si="1"/>
        <v>24.54246575</v>
      </c>
      <c r="E319" s="35">
        <f t="shared" si="2"/>
        <v>36908</v>
      </c>
      <c r="G319" s="11"/>
      <c r="H319" s="11" t="s">
        <v>688</v>
      </c>
      <c r="I319" s="33" t="s">
        <v>734</v>
      </c>
      <c r="J319" s="34">
        <v>34815.0</v>
      </c>
    </row>
    <row r="320">
      <c r="A320" s="11" t="s">
        <v>377</v>
      </c>
      <c r="B320" s="31" t="s">
        <v>402</v>
      </c>
      <c r="C320" s="31" t="s">
        <v>1133</v>
      </c>
      <c r="D320" s="32">
        <f t="shared" si="1"/>
        <v>22.48219178</v>
      </c>
      <c r="E320" s="35">
        <f t="shared" si="2"/>
        <v>37660</v>
      </c>
      <c r="G320" s="11"/>
      <c r="H320" s="11" t="s">
        <v>688</v>
      </c>
      <c r="I320" s="33" t="s">
        <v>736</v>
      </c>
      <c r="J320" s="34">
        <v>34847.0</v>
      </c>
    </row>
    <row r="321">
      <c r="A321" s="11" t="s">
        <v>377</v>
      </c>
      <c r="B321" s="31" t="s">
        <v>404</v>
      </c>
      <c r="C321" s="31" t="s">
        <v>1311</v>
      </c>
      <c r="D321" s="32">
        <f t="shared" si="1"/>
        <v>20.38630137</v>
      </c>
      <c r="E321" s="35">
        <f t="shared" si="2"/>
        <v>38425</v>
      </c>
      <c r="G321" s="11"/>
      <c r="H321" s="11" t="s">
        <v>688</v>
      </c>
      <c r="I321" s="33" t="s">
        <v>738</v>
      </c>
      <c r="J321" s="34">
        <v>37016.0</v>
      </c>
    </row>
    <row r="322">
      <c r="A322" s="11" t="s">
        <v>377</v>
      </c>
      <c r="B322" s="31" t="s">
        <v>1290</v>
      </c>
      <c r="C322" s="31" t="s">
        <v>1311</v>
      </c>
      <c r="D322" s="32">
        <f t="shared" si="1"/>
        <v>21.24931507</v>
      </c>
      <c r="E322" s="35">
        <f t="shared" si="2"/>
        <v>38110</v>
      </c>
      <c r="G322" s="11"/>
      <c r="H322" s="11" t="s">
        <v>688</v>
      </c>
      <c r="I322" s="33" t="s">
        <v>740</v>
      </c>
      <c r="J322" s="34">
        <v>34833.0</v>
      </c>
    </row>
    <row r="323">
      <c r="A323" s="11" t="s">
        <v>377</v>
      </c>
      <c r="B323" s="31" t="s">
        <v>406</v>
      </c>
      <c r="C323" s="31" t="s">
        <v>1133</v>
      </c>
      <c r="D323" s="32">
        <f t="shared" si="1"/>
        <v>27.72054795</v>
      </c>
      <c r="E323" s="35">
        <f t="shared" si="2"/>
        <v>35748</v>
      </c>
      <c r="G323" s="11"/>
      <c r="H323" s="11" t="s">
        <v>688</v>
      </c>
      <c r="I323" s="33" t="s">
        <v>742</v>
      </c>
      <c r="J323" s="34">
        <v>36781.0</v>
      </c>
    </row>
    <row r="324">
      <c r="A324" s="11" t="s">
        <v>377</v>
      </c>
      <c r="B324" s="31" t="s">
        <v>1292</v>
      </c>
      <c r="C324" s="31" t="s">
        <v>1272</v>
      </c>
      <c r="D324" s="32">
        <f t="shared" si="1"/>
        <v>19.9260274</v>
      </c>
      <c r="E324" s="35">
        <f t="shared" si="2"/>
        <v>38593</v>
      </c>
      <c r="G324" s="11"/>
      <c r="H324" s="11" t="s">
        <v>688</v>
      </c>
      <c r="I324" s="33" t="s">
        <v>744</v>
      </c>
      <c r="J324" s="34">
        <v>34499.0</v>
      </c>
    </row>
    <row r="325">
      <c r="A325" s="11" t="s">
        <v>377</v>
      </c>
      <c r="B325" s="31" t="s">
        <v>1286</v>
      </c>
      <c r="C325" s="31" t="s">
        <v>1311</v>
      </c>
      <c r="D325" s="32">
        <f t="shared" si="1"/>
        <v>26.90958904</v>
      </c>
      <c r="E325" s="35">
        <f t="shared" si="2"/>
        <v>36044</v>
      </c>
      <c r="G325" s="11"/>
      <c r="H325" s="11" t="s">
        <v>688</v>
      </c>
      <c r="I325" s="33" t="s">
        <v>746</v>
      </c>
      <c r="J325" s="34">
        <v>35092.0</v>
      </c>
    </row>
    <row r="326">
      <c r="A326" s="31" t="s">
        <v>377</v>
      </c>
      <c r="B326" s="31" t="s">
        <v>1127</v>
      </c>
      <c r="C326" s="31" t="s">
        <v>1272</v>
      </c>
      <c r="D326" s="32">
        <f t="shared" si="1"/>
        <v>26.08219178</v>
      </c>
      <c r="E326" s="35">
        <f t="shared" si="2"/>
        <v>36346</v>
      </c>
      <c r="G326" s="11"/>
      <c r="H326" s="11" t="s">
        <v>747</v>
      </c>
      <c r="I326" s="33" t="s">
        <v>750</v>
      </c>
      <c r="J326" s="34">
        <v>34657.0</v>
      </c>
    </row>
    <row r="327">
      <c r="A327" s="31" t="s">
        <v>377</v>
      </c>
      <c r="B327" s="31" t="s">
        <v>408</v>
      </c>
      <c r="C327" s="31" t="s">
        <v>1272</v>
      </c>
      <c r="D327" s="32">
        <f t="shared" si="1"/>
        <v>22.20821918</v>
      </c>
      <c r="E327" s="35">
        <f t="shared" si="2"/>
        <v>37760</v>
      </c>
      <c r="G327" s="11"/>
      <c r="H327" s="11" t="s">
        <v>747</v>
      </c>
      <c r="I327" s="33" t="s">
        <v>752</v>
      </c>
      <c r="J327" s="34">
        <v>36045.0</v>
      </c>
    </row>
    <row r="328">
      <c r="A328" s="31" t="s">
        <v>377</v>
      </c>
      <c r="B328" s="31" t="s">
        <v>1365</v>
      </c>
      <c r="C328" s="31" t="s">
        <v>1272</v>
      </c>
      <c r="D328" s="32">
        <f t="shared" si="1"/>
        <v>20.26027397</v>
      </c>
      <c r="E328" s="35">
        <f t="shared" si="2"/>
        <v>38471</v>
      </c>
      <c r="G328" s="11"/>
      <c r="H328" s="11" t="s">
        <v>747</v>
      </c>
      <c r="I328" s="33" t="s">
        <v>754</v>
      </c>
      <c r="J328" s="34">
        <v>37322.0</v>
      </c>
    </row>
    <row r="329">
      <c r="A329" s="31" t="s">
        <v>377</v>
      </c>
      <c r="B329" s="31" t="s">
        <v>410</v>
      </c>
      <c r="C329" s="31" t="s">
        <v>1133</v>
      </c>
      <c r="D329" s="32">
        <f t="shared" si="1"/>
        <v>19.49041096</v>
      </c>
      <c r="E329" s="35">
        <f t="shared" si="2"/>
        <v>38752</v>
      </c>
      <c r="G329" s="11"/>
      <c r="H329" s="11" t="s">
        <v>747</v>
      </c>
      <c r="I329" s="33" t="s">
        <v>756</v>
      </c>
      <c r="J329" s="34">
        <v>36112.0</v>
      </c>
    </row>
    <row r="330">
      <c r="A330" s="31" t="s">
        <v>377</v>
      </c>
      <c r="B330" s="31" t="s">
        <v>1288</v>
      </c>
      <c r="C330" s="31" t="s">
        <v>1272</v>
      </c>
      <c r="D330" s="32">
        <f t="shared" si="1"/>
        <v>19.24383562</v>
      </c>
      <c r="E330" s="35">
        <f t="shared" si="2"/>
        <v>38842</v>
      </c>
      <c r="G330" s="11"/>
      <c r="H330" s="11" t="s">
        <v>747</v>
      </c>
      <c r="I330" s="33" t="s">
        <v>758</v>
      </c>
      <c r="J330" s="34">
        <v>34648.0</v>
      </c>
    </row>
    <row r="331">
      <c r="A331" s="31" t="s">
        <v>377</v>
      </c>
      <c r="B331" s="31" t="s">
        <v>1129</v>
      </c>
      <c r="C331" s="31" t="s">
        <v>1133</v>
      </c>
      <c r="D331" s="32">
        <f t="shared" si="1"/>
        <v>19.57534247</v>
      </c>
      <c r="E331" s="35">
        <f t="shared" si="2"/>
        <v>38721</v>
      </c>
      <c r="G331" s="11"/>
      <c r="H331" s="11" t="s">
        <v>747</v>
      </c>
      <c r="I331" s="33" t="s">
        <v>760</v>
      </c>
      <c r="J331" s="34">
        <v>33285.0</v>
      </c>
    </row>
    <row r="332">
      <c r="A332" s="31" t="s">
        <v>378</v>
      </c>
      <c r="B332" s="31" t="s">
        <v>1474</v>
      </c>
      <c r="C332" s="31" t="s">
        <v>1400</v>
      </c>
      <c r="D332" s="32" t="str">
        <f t="shared" si="1"/>
        <v>#N/A</v>
      </c>
      <c r="E332" s="14" t="str">
        <f t="shared" si="2"/>
        <v>#N/A</v>
      </c>
      <c r="G332" s="11"/>
      <c r="H332" s="11" t="s">
        <v>747</v>
      </c>
      <c r="I332" s="33" t="s">
        <v>762</v>
      </c>
      <c r="J332" s="34">
        <v>34526.0</v>
      </c>
    </row>
    <row r="333">
      <c r="A333" s="31" t="s">
        <v>378</v>
      </c>
      <c r="B333" s="31" t="s">
        <v>412</v>
      </c>
      <c r="C333" s="31" t="s">
        <v>1272</v>
      </c>
      <c r="D333" s="32">
        <f t="shared" si="1"/>
        <v>28.50136986</v>
      </c>
      <c r="E333" s="35">
        <f t="shared" si="2"/>
        <v>35463</v>
      </c>
      <c r="G333" s="11"/>
      <c r="H333" s="11" t="s">
        <v>747</v>
      </c>
      <c r="I333" s="33" t="s">
        <v>764</v>
      </c>
      <c r="J333" s="34">
        <v>34957.0</v>
      </c>
    </row>
    <row r="334">
      <c r="A334" s="31" t="s">
        <v>378</v>
      </c>
      <c r="B334" s="31" t="s">
        <v>415</v>
      </c>
      <c r="C334" s="31" t="s">
        <v>1311</v>
      </c>
      <c r="D334" s="32">
        <f t="shared" si="1"/>
        <v>30.22191781</v>
      </c>
      <c r="E334" s="35">
        <f t="shared" si="2"/>
        <v>34835</v>
      </c>
      <c r="G334" s="11"/>
      <c r="H334" s="11" t="s">
        <v>747</v>
      </c>
      <c r="I334" s="33" t="s">
        <v>766</v>
      </c>
      <c r="J334" s="34">
        <v>33769.0</v>
      </c>
    </row>
    <row r="335">
      <c r="A335" s="31" t="s">
        <v>378</v>
      </c>
      <c r="B335" s="31" t="s">
        <v>417</v>
      </c>
      <c r="C335" s="31" t="s">
        <v>1311</v>
      </c>
      <c r="D335" s="32">
        <f t="shared" si="1"/>
        <v>26.58082192</v>
      </c>
      <c r="E335" s="35">
        <f t="shared" si="2"/>
        <v>36164</v>
      </c>
      <c r="G335" s="11"/>
      <c r="H335" s="11" t="s">
        <v>747</v>
      </c>
      <c r="I335" s="33" t="s">
        <v>768</v>
      </c>
      <c r="J335" s="34">
        <v>31501.0</v>
      </c>
    </row>
    <row r="336">
      <c r="A336" s="31" t="s">
        <v>378</v>
      </c>
      <c r="B336" s="31" t="s">
        <v>419</v>
      </c>
      <c r="C336" s="31" t="s">
        <v>1272</v>
      </c>
      <c r="D336" s="32">
        <f t="shared" si="1"/>
        <v>29.36712329</v>
      </c>
      <c r="E336" s="35">
        <f t="shared" si="2"/>
        <v>35147</v>
      </c>
      <c r="G336" s="11"/>
      <c r="H336" s="11" t="s">
        <v>747</v>
      </c>
      <c r="I336" s="33" t="s">
        <v>770</v>
      </c>
      <c r="J336" s="34">
        <v>37701.0</v>
      </c>
    </row>
    <row r="337">
      <c r="A337" s="31" t="s">
        <v>378</v>
      </c>
      <c r="B337" s="31" t="s">
        <v>421</v>
      </c>
      <c r="C337" s="31" t="s">
        <v>1133</v>
      </c>
      <c r="D337" s="32">
        <f t="shared" si="1"/>
        <v>28.46849315</v>
      </c>
      <c r="E337" s="35">
        <f t="shared" si="2"/>
        <v>35475</v>
      </c>
      <c r="G337" s="11"/>
      <c r="H337" s="11" t="s">
        <v>747</v>
      </c>
      <c r="I337" s="33" t="s">
        <v>772</v>
      </c>
      <c r="J337" s="34">
        <v>36562.0</v>
      </c>
    </row>
    <row r="338">
      <c r="A338" s="31" t="s">
        <v>378</v>
      </c>
      <c r="B338" s="31" t="s">
        <v>423</v>
      </c>
      <c r="C338" s="31" t="s">
        <v>1272</v>
      </c>
      <c r="D338" s="32">
        <f t="shared" si="1"/>
        <v>34.30684932</v>
      </c>
      <c r="E338" s="35">
        <f t="shared" si="2"/>
        <v>33344</v>
      </c>
      <c r="G338" s="11"/>
      <c r="H338" s="11" t="s">
        <v>747</v>
      </c>
      <c r="I338" s="33" t="s">
        <v>774</v>
      </c>
      <c r="J338" s="34">
        <v>35484.0</v>
      </c>
    </row>
    <row r="339">
      <c r="A339" s="31" t="s">
        <v>378</v>
      </c>
      <c r="B339" s="31" t="s">
        <v>425</v>
      </c>
      <c r="C339" s="31" t="s">
        <v>1133</v>
      </c>
      <c r="D339" s="32">
        <f t="shared" si="1"/>
        <v>21.55616438</v>
      </c>
      <c r="E339" s="35">
        <f t="shared" si="2"/>
        <v>37998</v>
      </c>
      <c r="G339" s="11"/>
      <c r="H339" s="11" t="s">
        <v>747</v>
      </c>
      <c r="I339" s="33" t="s">
        <v>776</v>
      </c>
      <c r="J339" s="34">
        <v>37519.0</v>
      </c>
    </row>
    <row r="340">
      <c r="A340" s="31" t="s">
        <v>378</v>
      </c>
      <c r="B340" s="31" t="s">
        <v>427</v>
      </c>
      <c r="C340" s="31" t="s">
        <v>1272</v>
      </c>
      <c r="D340" s="32">
        <f t="shared" si="1"/>
        <v>32.81369863</v>
      </c>
      <c r="E340" s="35">
        <f t="shared" si="2"/>
        <v>33889</v>
      </c>
      <c r="G340" s="11"/>
      <c r="H340" s="11" t="s">
        <v>747</v>
      </c>
      <c r="I340" s="33" t="s">
        <v>778</v>
      </c>
      <c r="J340" s="34">
        <v>35246.0</v>
      </c>
    </row>
    <row r="341">
      <c r="A341" s="11" t="s">
        <v>378</v>
      </c>
      <c r="B341" s="31" t="s">
        <v>429</v>
      </c>
      <c r="C341" s="31" t="s">
        <v>1133</v>
      </c>
      <c r="D341" s="32">
        <f t="shared" si="1"/>
        <v>30.73150685</v>
      </c>
      <c r="E341" s="35">
        <f t="shared" si="2"/>
        <v>34649</v>
      </c>
      <c r="G341" s="11"/>
      <c r="H341" s="11" t="s">
        <v>748</v>
      </c>
      <c r="I341" s="33" t="s">
        <v>780</v>
      </c>
      <c r="J341" s="34">
        <v>35664.0</v>
      </c>
    </row>
    <row r="342">
      <c r="A342" s="11" t="s">
        <v>378</v>
      </c>
      <c r="B342" s="31" t="s">
        <v>1475</v>
      </c>
      <c r="C342" s="31" t="s">
        <v>1400</v>
      </c>
      <c r="D342" s="32" t="str">
        <f t="shared" si="1"/>
        <v>#N/A</v>
      </c>
      <c r="E342" s="14" t="str">
        <f t="shared" si="2"/>
        <v>#N/A</v>
      </c>
      <c r="G342" s="11"/>
      <c r="H342" s="11" t="s">
        <v>748</v>
      </c>
      <c r="I342" s="33" t="s">
        <v>782</v>
      </c>
      <c r="J342" s="34">
        <v>32183.0</v>
      </c>
    </row>
    <row r="343">
      <c r="A343" s="11" t="s">
        <v>378</v>
      </c>
      <c r="B343" s="31" t="s">
        <v>1476</v>
      </c>
      <c r="C343" s="31" t="s">
        <v>1400</v>
      </c>
      <c r="D343" s="32" t="str">
        <f t="shared" si="1"/>
        <v>#N/A</v>
      </c>
      <c r="E343" s="14" t="str">
        <f t="shared" si="2"/>
        <v>#N/A</v>
      </c>
      <c r="G343" s="11"/>
      <c r="H343" s="11" t="s">
        <v>748</v>
      </c>
      <c r="I343" s="33" t="s">
        <v>784</v>
      </c>
      <c r="J343" s="34">
        <v>37324.0</v>
      </c>
    </row>
    <row r="344">
      <c r="A344" s="11" t="s">
        <v>378</v>
      </c>
      <c r="B344" s="31" t="s">
        <v>431</v>
      </c>
      <c r="C344" s="31" t="s">
        <v>1272</v>
      </c>
      <c r="D344" s="32">
        <f t="shared" si="1"/>
        <v>29.90958904</v>
      </c>
      <c r="E344" s="35">
        <f t="shared" si="2"/>
        <v>34949</v>
      </c>
      <c r="G344" s="11"/>
      <c r="H344" s="11" t="s">
        <v>748</v>
      </c>
      <c r="I344" s="33" t="s">
        <v>786</v>
      </c>
      <c r="J344" s="34">
        <v>32529.0</v>
      </c>
    </row>
    <row r="345">
      <c r="A345" s="11" t="s">
        <v>378</v>
      </c>
      <c r="B345" s="31" t="s">
        <v>433</v>
      </c>
      <c r="C345" s="31" t="s">
        <v>1133</v>
      </c>
      <c r="D345" s="32">
        <f t="shared" si="1"/>
        <v>38.85205479</v>
      </c>
      <c r="E345" s="35">
        <f t="shared" si="2"/>
        <v>31685</v>
      </c>
      <c r="G345" s="11"/>
      <c r="H345" s="11" t="s">
        <v>748</v>
      </c>
      <c r="I345" s="33" t="s">
        <v>788</v>
      </c>
      <c r="J345" s="34">
        <v>35468.0</v>
      </c>
    </row>
    <row r="346">
      <c r="A346" s="11" t="s">
        <v>378</v>
      </c>
      <c r="B346" s="31" t="s">
        <v>435</v>
      </c>
      <c r="C346" s="31" t="s">
        <v>1311</v>
      </c>
      <c r="D346" s="32">
        <f t="shared" si="1"/>
        <v>28.35342466</v>
      </c>
      <c r="E346" s="35">
        <f t="shared" si="2"/>
        <v>35517</v>
      </c>
      <c r="G346" s="11"/>
      <c r="H346" s="11" t="s">
        <v>748</v>
      </c>
      <c r="I346" s="33" t="s">
        <v>790</v>
      </c>
      <c r="J346" s="34">
        <v>35152.0</v>
      </c>
    </row>
    <row r="347">
      <c r="A347" s="11" t="s">
        <v>378</v>
      </c>
      <c r="B347" s="31" t="s">
        <v>1477</v>
      </c>
      <c r="C347" s="31" t="s">
        <v>1272</v>
      </c>
      <c r="D347" s="32" t="str">
        <f t="shared" si="1"/>
        <v>#N/A</v>
      </c>
      <c r="E347" s="14" t="str">
        <f t="shared" si="2"/>
        <v>#N/A</v>
      </c>
      <c r="G347" s="11"/>
      <c r="H347" s="11" t="s">
        <v>748</v>
      </c>
      <c r="I347" s="33" t="s">
        <v>792</v>
      </c>
      <c r="J347" s="34">
        <v>36167.0</v>
      </c>
    </row>
    <row r="348">
      <c r="A348" s="11" t="s">
        <v>378</v>
      </c>
      <c r="B348" s="31" t="s">
        <v>437</v>
      </c>
      <c r="C348" s="31" t="s">
        <v>1311</v>
      </c>
      <c r="D348" s="32">
        <f t="shared" si="1"/>
        <v>24.85205479</v>
      </c>
      <c r="E348" s="35">
        <f t="shared" si="2"/>
        <v>36795</v>
      </c>
      <c r="G348" s="11"/>
      <c r="H348" s="11" t="s">
        <v>748</v>
      </c>
      <c r="I348" s="33" t="s">
        <v>794</v>
      </c>
      <c r="J348" s="34">
        <v>32844.0</v>
      </c>
    </row>
    <row r="349">
      <c r="A349" s="11" t="s">
        <v>378</v>
      </c>
      <c r="B349" s="31" t="s">
        <v>1478</v>
      </c>
      <c r="C349" s="31" t="s">
        <v>1272</v>
      </c>
      <c r="D349" s="32" t="str">
        <f t="shared" si="1"/>
        <v>#N/A</v>
      </c>
      <c r="E349" s="14" t="str">
        <f t="shared" si="2"/>
        <v>#N/A</v>
      </c>
      <c r="G349" s="11"/>
      <c r="H349" s="11" t="s">
        <v>748</v>
      </c>
      <c r="I349" s="33" t="s">
        <v>796</v>
      </c>
      <c r="J349" s="34">
        <v>37439.0</v>
      </c>
    </row>
    <row r="350">
      <c r="A350" s="11" t="s">
        <v>378</v>
      </c>
      <c r="B350" s="31" t="s">
        <v>439</v>
      </c>
      <c r="C350" s="31" t="s">
        <v>1133</v>
      </c>
      <c r="D350" s="32">
        <f t="shared" si="1"/>
        <v>19.08493151</v>
      </c>
      <c r="E350" s="35">
        <f t="shared" si="2"/>
        <v>38900</v>
      </c>
      <c r="G350" s="11"/>
      <c r="H350" s="11" t="s">
        <v>748</v>
      </c>
      <c r="I350" s="33" t="s">
        <v>798</v>
      </c>
      <c r="J350" s="34">
        <v>36263.0</v>
      </c>
    </row>
    <row r="351">
      <c r="A351" s="11" t="s">
        <v>378</v>
      </c>
      <c r="B351" s="31" t="s">
        <v>1479</v>
      </c>
      <c r="C351" s="31" t="s">
        <v>1311</v>
      </c>
      <c r="D351" s="32" t="str">
        <f t="shared" si="1"/>
        <v>#N/A</v>
      </c>
      <c r="E351" s="14" t="str">
        <f t="shared" si="2"/>
        <v>#N/A</v>
      </c>
      <c r="G351" s="11"/>
      <c r="H351" s="11" t="s">
        <v>748</v>
      </c>
      <c r="I351" s="33" t="s">
        <v>800</v>
      </c>
      <c r="J351" s="34">
        <v>37919.0</v>
      </c>
    </row>
    <row r="352">
      <c r="A352" s="11" t="s">
        <v>378</v>
      </c>
      <c r="B352" s="31" t="s">
        <v>1480</v>
      </c>
      <c r="C352" s="31" t="s">
        <v>1133</v>
      </c>
      <c r="D352" s="32" t="str">
        <f t="shared" si="1"/>
        <v>#N/A</v>
      </c>
      <c r="E352" s="14" t="str">
        <f t="shared" si="2"/>
        <v>#N/A</v>
      </c>
      <c r="G352" s="11"/>
      <c r="H352" s="11" t="s">
        <v>748</v>
      </c>
      <c r="I352" s="33" t="s">
        <v>802</v>
      </c>
      <c r="J352" s="34">
        <v>35648.0</v>
      </c>
    </row>
    <row r="353">
      <c r="A353" s="11" t="s">
        <v>378</v>
      </c>
      <c r="B353" s="31" t="s">
        <v>1481</v>
      </c>
      <c r="C353" s="31" t="s">
        <v>1311</v>
      </c>
      <c r="D353" s="32" t="str">
        <f t="shared" si="1"/>
        <v>#N/A</v>
      </c>
      <c r="E353" s="14" t="str">
        <f t="shared" si="2"/>
        <v>#N/A</v>
      </c>
      <c r="G353" s="11"/>
      <c r="H353" s="11" t="s">
        <v>748</v>
      </c>
      <c r="I353" s="33" t="s">
        <v>804</v>
      </c>
      <c r="J353" s="34">
        <v>37239.0</v>
      </c>
    </row>
    <row r="354">
      <c r="A354" s="11" t="s">
        <v>378</v>
      </c>
      <c r="B354" s="31" t="s">
        <v>1482</v>
      </c>
      <c r="C354" s="31" t="s">
        <v>1272</v>
      </c>
      <c r="D354" s="32" t="str">
        <f t="shared" si="1"/>
        <v>#N/A</v>
      </c>
      <c r="E354" s="14" t="str">
        <f t="shared" si="2"/>
        <v>#N/A</v>
      </c>
      <c r="G354" s="11"/>
      <c r="H354" s="11" t="s">
        <v>748</v>
      </c>
      <c r="I354" s="33" t="s">
        <v>806</v>
      </c>
      <c r="J354" s="34">
        <v>35744.0</v>
      </c>
    </row>
    <row r="355">
      <c r="A355" s="11" t="s">
        <v>501</v>
      </c>
      <c r="B355" s="31" t="s">
        <v>1483</v>
      </c>
      <c r="C355" s="31" t="s">
        <v>1400</v>
      </c>
      <c r="D355" s="32" t="str">
        <f t="shared" si="1"/>
        <v>#N/A</v>
      </c>
      <c r="E355" s="14" t="str">
        <f t="shared" si="2"/>
        <v>#N/A</v>
      </c>
      <c r="G355" s="11"/>
      <c r="H355" s="11" t="s">
        <v>748</v>
      </c>
      <c r="I355" s="33" t="s">
        <v>808</v>
      </c>
      <c r="J355" s="34">
        <v>37279.0</v>
      </c>
    </row>
    <row r="356">
      <c r="A356" s="31" t="s">
        <v>501</v>
      </c>
      <c r="B356" s="31" t="s">
        <v>504</v>
      </c>
      <c r="C356" s="31" t="s">
        <v>1272</v>
      </c>
      <c r="D356" s="32">
        <f t="shared" si="1"/>
        <v>32.36712329</v>
      </c>
      <c r="E356" s="35">
        <f t="shared" si="2"/>
        <v>34052</v>
      </c>
      <c r="G356" s="11"/>
      <c r="H356" s="11" t="s">
        <v>810</v>
      </c>
      <c r="I356" s="33" t="s">
        <v>813</v>
      </c>
      <c r="J356" s="34">
        <v>36005.0</v>
      </c>
    </row>
    <row r="357">
      <c r="A357" s="31" t="s">
        <v>501</v>
      </c>
      <c r="B357" s="31" t="s">
        <v>506</v>
      </c>
      <c r="C357" s="31" t="s">
        <v>1272</v>
      </c>
      <c r="D357" s="32">
        <f t="shared" si="1"/>
        <v>29.58630137</v>
      </c>
      <c r="E357" s="35">
        <f t="shared" si="2"/>
        <v>35067</v>
      </c>
      <c r="G357" s="11"/>
      <c r="H357" s="11" t="s">
        <v>810</v>
      </c>
      <c r="I357" s="33" t="s">
        <v>815</v>
      </c>
      <c r="J357" s="34">
        <v>34748.0</v>
      </c>
    </row>
    <row r="358">
      <c r="A358" s="31" t="s">
        <v>501</v>
      </c>
      <c r="B358" s="31" t="s">
        <v>508</v>
      </c>
      <c r="C358" s="31" t="s">
        <v>1272</v>
      </c>
      <c r="D358" s="32">
        <f t="shared" si="1"/>
        <v>29.50958904</v>
      </c>
      <c r="E358" s="35">
        <f t="shared" si="2"/>
        <v>35095</v>
      </c>
      <c r="G358" s="11"/>
      <c r="H358" s="11" t="s">
        <v>810</v>
      </c>
      <c r="I358" s="33" t="s">
        <v>817</v>
      </c>
      <c r="J358" s="34">
        <v>36198.0</v>
      </c>
    </row>
    <row r="359">
      <c r="A359" s="31" t="s">
        <v>501</v>
      </c>
      <c r="B359" s="31" t="s">
        <v>510</v>
      </c>
      <c r="C359" s="31" t="s">
        <v>1311</v>
      </c>
      <c r="D359" s="32">
        <f t="shared" si="1"/>
        <v>31.55342466</v>
      </c>
      <c r="E359" s="35">
        <f t="shared" si="2"/>
        <v>34349</v>
      </c>
      <c r="G359" s="11"/>
      <c r="H359" s="11" t="s">
        <v>810</v>
      </c>
      <c r="I359" s="33" t="s">
        <v>819</v>
      </c>
      <c r="J359" s="34">
        <v>37403.0</v>
      </c>
    </row>
    <row r="360">
      <c r="A360" s="31" t="s">
        <v>501</v>
      </c>
      <c r="B360" s="31" t="s">
        <v>512</v>
      </c>
      <c r="C360" s="31" t="s">
        <v>1272</v>
      </c>
      <c r="D360" s="32">
        <f t="shared" si="1"/>
        <v>28.1260274</v>
      </c>
      <c r="E360" s="35">
        <f t="shared" si="2"/>
        <v>35600</v>
      </c>
      <c r="G360" s="11"/>
      <c r="H360" s="11" t="s">
        <v>810</v>
      </c>
      <c r="I360" s="33" t="s">
        <v>821</v>
      </c>
      <c r="J360" s="34">
        <v>38729.0</v>
      </c>
    </row>
    <row r="361">
      <c r="A361" s="31" t="s">
        <v>501</v>
      </c>
      <c r="B361" s="31" t="s">
        <v>514</v>
      </c>
      <c r="C361" s="31" t="s">
        <v>1133</v>
      </c>
      <c r="D361" s="32">
        <f t="shared" si="1"/>
        <v>29.17260274</v>
      </c>
      <c r="E361" s="35">
        <f t="shared" si="2"/>
        <v>35218</v>
      </c>
      <c r="G361" s="11"/>
      <c r="H361" s="11" t="s">
        <v>810</v>
      </c>
      <c r="I361" s="33" t="s">
        <v>823</v>
      </c>
      <c r="J361" s="34">
        <v>38087.0</v>
      </c>
    </row>
    <row r="362">
      <c r="A362" s="31" t="s">
        <v>501</v>
      </c>
      <c r="B362" s="31" t="s">
        <v>516</v>
      </c>
      <c r="C362" s="31" t="s">
        <v>1311</v>
      </c>
      <c r="D362" s="32">
        <f t="shared" si="1"/>
        <v>28.20821918</v>
      </c>
      <c r="E362" s="35">
        <f t="shared" si="2"/>
        <v>35570</v>
      </c>
      <c r="G362" s="11"/>
      <c r="H362" s="11" t="s">
        <v>810</v>
      </c>
      <c r="I362" s="33" t="s">
        <v>825</v>
      </c>
      <c r="J362" s="34">
        <v>37850.0</v>
      </c>
    </row>
    <row r="363">
      <c r="A363" s="31" t="s">
        <v>501</v>
      </c>
      <c r="B363" s="31" t="s">
        <v>518</v>
      </c>
      <c r="C363" s="31" t="s">
        <v>1133</v>
      </c>
      <c r="D363" s="32">
        <f t="shared" si="1"/>
        <v>28.12328767</v>
      </c>
      <c r="E363" s="35">
        <f t="shared" si="2"/>
        <v>35601</v>
      </c>
      <c r="G363" s="11"/>
      <c r="H363" s="11" t="s">
        <v>810</v>
      </c>
      <c r="I363" s="33" t="s">
        <v>827</v>
      </c>
      <c r="J363" s="34">
        <v>36674.0</v>
      </c>
    </row>
    <row r="364">
      <c r="A364" s="31" t="s">
        <v>501</v>
      </c>
      <c r="B364" s="31" t="s">
        <v>520</v>
      </c>
      <c r="C364" s="31" t="s">
        <v>1311</v>
      </c>
      <c r="D364" s="32">
        <f t="shared" si="1"/>
        <v>31.17808219</v>
      </c>
      <c r="E364" s="35">
        <f t="shared" si="2"/>
        <v>34486</v>
      </c>
      <c r="G364" s="11"/>
      <c r="H364" s="11" t="s">
        <v>810</v>
      </c>
      <c r="I364" s="33" t="s">
        <v>829</v>
      </c>
      <c r="J364" s="34">
        <v>38432.0</v>
      </c>
    </row>
    <row r="365">
      <c r="A365" s="31" t="s">
        <v>501</v>
      </c>
      <c r="B365" s="31" t="s">
        <v>522</v>
      </c>
      <c r="C365" s="31" t="s">
        <v>1311</v>
      </c>
      <c r="D365" s="32">
        <f t="shared" si="1"/>
        <v>33.62739726</v>
      </c>
      <c r="E365" s="35">
        <f t="shared" si="2"/>
        <v>33592</v>
      </c>
      <c r="G365" s="11"/>
      <c r="H365" s="11" t="s">
        <v>810</v>
      </c>
      <c r="I365" s="33" t="s">
        <v>831</v>
      </c>
      <c r="J365" s="34">
        <v>38312.0</v>
      </c>
    </row>
    <row r="366">
      <c r="A366" s="31" t="s">
        <v>501</v>
      </c>
      <c r="B366" s="31" t="s">
        <v>1484</v>
      </c>
      <c r="C366" s="31" t="s">
        <v>1400</v>
      </c>
      <c r="D366" s="32" t="str">
        <f t="shared" si="1"/>
        <v>#N/A</v>
      </c>
      <c r="E366" s="14" t="str">
        <f t="shared" si="2"/>
        <v>#N/A</v>
      </c>
      <c r="G366" s="11"/>
      <c r="H366" s="11" t="s">
        <v>810</v>
      </c>
      <c r="I366" s="33" t="s">
        <v>833</v>
      </c>
      <c r="J366" s="34">
        <v>36728.0</v>
      </c>
    </row>
    <row r="367">
      <c r="A367" s="31" t="s">
        <v>501</v>
      </c>
      <c r="B367" s="31" t="s">
        <v>524</v>
      </c>
      <c r="C367" s="31" t="s">
        <v>1133</v>
      </c>
      <c r="D367" s="32">
        <f t="shared" si="1"/>
        <v>29.36986301</v>
      </c>
      <c r="E367" s="35">
        <f t="shared" si="2"/>
        <v>35146</v>
      </c>
      <c r="G367" s="11"/>
      <c r="H367" s="11" t="s">
        <v>810</v>
      </c>
      <c r="I367" s="33" t="s">
        <v>835</v>
      </c>
      <c r="J367" s="34">
        <v>35238.0</v>
      </c>
    </row>
    <row r="368">
      <c r="A368" s="31" t="s">
        <v>501</v>
      </c>
      <c r="B368" s="31" t="s">
        <v>1278</v>
      </c>
      <c r="C368" s="31" t="s">
        <v>1272</v>
      </c>
      <c r="D368" s="32">
        <f t="shared" si="1"/>
        <v>27.73424658</v>
      </c>
      <c r="E368" s="35">
        <f t="shared" si="2"/>
        <v>35743</v>
      </c>
      <c r="G368" s="11"/>
      <c r="H368" s="11" t="s">
        <v>810</v>
      </c>
      <c r="I368" s="33" t="s">
        <v>837</v>
      </c>
      <c r="J368" s="34">
        <v>33170.0</v>
      </c>
    </row>
    <row r="369">
      <c r="A369" s="31" t="s">
        <v>501</v>
      </c>
      <c r="B369" s="31" t="s">
        <v>1485</v>
      </c>
      <c r="C369" s="31" t="s">
        <v>1311</v>
      </c>
      <c r="D369" s="32" t="str">
        <f t="shared" si="1"/>
        <v>#N/A</v>
      </c>
      <c r="E369" s="14" t="str">
        <f t="shared" si="2"/>
        <v>#N/A</v>
      </c>
      <c r="G369" s="11"/>
      <c r="H369" s="11" t="s">
        <v>810</v>
      </c>
      <c r="I369" s="33" t="s">
        <v>839</v>
      </c>
      <c r="J369" s="34">
        <v>36034.0</v>
      </c>
    </row>
    <row r="370">
      <c r="A370" s="31" t="s">
        <v>501</v>
      </c>
      <c r="B370" s="31" t="s">
        <v>1280</v>
      </c>
      <c r="C370" s="31" t="s">
        <v>1133</v>
      </c>
      <c r="D370" s="32">
        <f t="shared" si="1"/>
        <v>28.70136986</v>
      </c>
      <c r="E370" s="35">
        <f t="shared" si="2"/>
        <v>35390</v>
      </c>
      <c r="G370" s="11"/>
      <c r="H370" s="11" t="s">
        <v>810</v>
      </c>
      <c r="I370" s="33" t="s">
        <v>841</v>
      </c>
      <c r="J370" s="34">
        <v>37814.0</v>
      </c>
    </row>
    <row r="371">
      <c r="A371" s="11" t="s">
        <v>501</v>
      </c>
      <c r="B371" s="31" t="s">
        <v>526</v>
      </c>
      <c r="C371" s="31" t="s">
        <v>1133</v>
      </c>
      <c r="D371" s="32">
        <f t="shared" si="1"/>
        <v>34.6</v>
      </c>
      <c r="E371" s="35">
        <f t="shared" si="2"/>
        <v>33237</v>
      </c>
      <c r="G371" s="11"/>
      <c r="H371" s="11" t="s">
        <v>811</v>
      </c>
      <c r="I371" s="33" t="s">
        <v>843</v>
      </c>
      <c r="J371" s="34">
        <v>36537.0</v>
      </c>
    </row>
    <row r="372">
      <c r="A372" s="11" t="s">
        <v>501</v>
      </c>
      <c r="B372" s="31" t="s">
        <v>529</v>
      </c>
      <c r="C372" s="31" t="s">
        <v>1133</v>
      </c>
      <c r="D372" s="32">
        <f t="shared" si="1"/>
        <v>29.39726027</v>
      </c>
      <c r="E372" s="35">
        <f t="shared" si="2"/>
        <v>35136</v>
      </c>
      <c r="G372" s="11"/>
      <c r="H372" s="11" t="s">
        <v>811</v>
      </c>
      <c r="I372" s="33" t="s">
        <v>845</v>
      </c>
      <c r="J372" s="34">
        <v>34172.0</v>
      </c>
    </row>
    <row r="373">
      <c r="A373" s="11" t="s">
        <v>501</v>
      </c>
      <c r="B373" s="31" t="s">
        <v>1486</v>
      </c>
      <c r="C373" s="31" t="s">
        <v>1272</v>
      </c>
      <c r="D373" s="32" t="str">
        <f t="shared" si="1"/>
        <v>#N/A</v>
      </c>
      <c r="E373" s="14" t="str">
        <f t="shared" si="2"/>
        <v>#N/A</v>
      </c>
      <c r="G373" s="11"/>
      <c r="H373" s="11" t="s">
        <v>811</v>
      </c>
      <c r="I373" s="33" t="s">
        <v>847</v>
      </c>
      <c r="J373" s="34">
        <v>31867.0</v>
      </c>
    </row>
    <row r="374">
      <c r="A374" s="11" t="s">
        <v>501</v>
      </c>
      <c r="B374" s="31" t="s">
        <v>1123</v>
      </c>
      <c r="C374" s="31" t="s">
        <v>1272</v>
      </c>
      <c r="D374" s="32">
        <f t="shared" si="1"/>
        <v>21.90684932</v>
      </c>
      <c r="E374" s="35">
        <f t="shared" si="2"/>
        <v>37870</v>
      </c>
      <c r="G374" s="11"/>
      <c r="H374" s="11" t="s">
        <v>811</v>
      </c>
      <c r="I374" s="33" t="s">
        <v>849</v>
      </c>
      <c r="J374" s="34">
        <v>35804.0</v>
      </c>
    </row>
    <row r="375">
      <c r="A375" s="11" t="s">
        <v>501</v>
      </c>
      <c r="B375" s="31" t="s">
        <v>531</v>
      </c>
      <c r="C375" s="31" t="s">
        <v>1133</v>
      </c>
      <c r="D375" s="32">
        <f t="shared" si="1"/>
        <v>24.75342466</v>
      </c>
      <c r="E375" s="35">
        <f t="shared" si="2"/>
        <v>36831</v>
      </c>
      <c r="G375" s="11"/>
      <c r="H375" s="11" t="s">
        <v>811</v>
      </c>
      <c r="I375" s="33" t="s">
        <v>851</v>
      </c>
      <c r="J375" s="34">
        <v>35190.0</v>
      </c>
    </row>
    <row r="376">
      <c r="A376" s="11" t="s">
        <v>501</v>
      </c>
      <c r="B376" s="31" t="s">
        <v>1276</v>
      </c>
      <c r="C376" s="31" t="s">
        <v>1311</v>
      </c>
      <c r="D376" s="32">
        <f t="shared" si="1"/>
        <v>22.42739726</v>
      </c>
      <c r="E376" s="35">
        <f t="shared" si="2"/>
        <v>37680</v>
      </c>
      <c r="G376" s="11"/>
      <c r="H376" s="11" t="s">
        <v>811</v>
      </c>
      <c r="I376" s="33" t="s">
        <v>853</v>
      </c>
      <c r="J376" s="34">
        <v>36913.0</v>
      </c>
    </row>
    <row r="377">
      <c r="A377" s="11" t="s">
        <v>501</v>
      </c>
      <c r="B377" s="31" t="s">
        <v>1487</v>
      </c>
      <c r="C377" s="31" t="s">
        <v>1272</v>
      </c>
      <c r="D377" s="32" t="str">
        <f t="shared" si="1"/>
        <v>#N/A</v>
      </c>
      <c r="E377" s="14" t="str">
        <f t="shared" si="2"/>
        <v>#N/A</v>
      </c>
      <c r="G377" s="11"/>
      <c r="H377" s="11" t="s">
        <v>811</v>
      </c>
      <c r="I377" s="33" t="s">
        <v>855</v>
      </c>
      <c r="J377" s="34">
        <v>37054.0</v>
      </c>
    </row>
    <row r="378">
      <c r="A378" s="11" t="s">
        <v>501</v>
      </c>
      <c r="B378" s="31" t="s">
        <v>1125</v>
      </c>
      <c r="C378" s="31" t="s">
        <v>1133</v>
      </c>
      <c r="D378" s="32">
        <f t="shared" si="1"/>
        <v>20.47945205</v>
      </c>
      <c r="E378" s="35">
        <f t="shared" si="2"/>
        <v>38391</v>
      </c>
      <c r="G378" s="11"/>
      <c r="H378" s="11" t="s">
        <v>811</v>
      </c>
      <c r="I378" s="33" t="s">
        <v>857</v>
      </c>
      <c r="J378" s="34">
        <v>35440.0</v>
      </c>
    </row>
    <row r="379">
      <c r="A379" s="11" t="s">
        <v>502</v>
      </c>
      <c r="B379" s="31" t="s">
        <v>1488</v>
      </c>
      <c r="C379" s="31" t="s">
        <v>1400</v>
      </c>
      <c r="D379" s="32" t="str">
        <f t="shared" si="1"/>
        <v>#N/A</v>
      </c>
      <c r="E379" s="14" t="str">
        <f t="shared" si="2"/>
        <v>#N/A</v>
      </c>
      <c r="G379" s="11"/>
      <c r="H379" s="11" t="s">
        <v>811</v>
      </c>
      <c r="I379" s="33" t="s">
        <v>859</v>
      </c>
      <c r="J379" s="34">
        <v>37316.0</v>
      </c>
    </row>
    <row r="380">
      <c r="A380" s="11" t="s">
        <v>502</v>
      </c>
      <c r="B380" s="31" t="s">
        <v>533</v>
      </c>
      <c r="C380" s="31" t="s">
        <v>1311</v>
      </c>
      <c r="D380" s="32">
        <f t="shared" si="1"/>
        <v>30.46575342</v>
      </c>
      <c r="E380" s="35">
        <f t="shared" si="2"/>
        <v>34746</v>
      </c>
      <c r="G380" s="11"/>
      <c r="H380" s="11" t="s">
        <v>811</v>
      </c>
      <c r="I380" s="33" t="s">
        <v>861</v>
      </c>
      <c r="J380" s="34">
        <v>36496.0</v>
      </c>
    </row>
    <row r="381">
      <c r="A381" s="11" t="s">
        <v>502</v>
      </c>
      <c r="B381" s="31" t="s">
        <v>535</v>
      </c>
      <c r="C381" s="31" t="s">
        <v>1272</v>
      </c>
      <c r="D381" s="32">
        <f t="shared" si="1"/>
        <v>32.09315068</v>
      </c>
      <c r="E381" s="35">
        <f t="shared" si="2"/>
        <v>34152</v>
      </c>
      <c r="G381" s="11"/>
      <c r="H381" s="11" t="s">
        <v>811</v>
      </c>
      <c r="I381" s="33" t="s">
        <v>863</v>
      </c>
      <c r="J381" s="34">
        <v>36557.0</v>
      </c>
    </row>
    <row r="382">
      <c r="A382" s="11" t="s">
        <v>502</v>
      </c>
      <c r="B382" s="31" t="s">
        <v>537</v>
      </c>
      <c r="C382" s="31" t="s">
        <v>1133</v>
      </c>
      <c r="D382" s="32">
        <f t="shared" si="1"/>
        <v>29.12876712</v>
      </c>
      <c r="E382" s="35">
        <f t="shared" si="2"/>
        <v>35234</v>
      </c>
      <c r="G382" s="11"/>
      <c r="H382" s="11" t="s">
        <v>811</v>
      </c>
      <c r="I382" s="33" t="s">
        <v>865</v>
      </c>
      <c r="J382" s="34">
        <v>34984.0</v>
      </c>
    </row>
    <row r="383">
      <c r="A383" s="11" t="s">
        <v>502</v>
      </c>
      <c r="B383" s="31" t="s">
        <v>539</v>
      </c>
      <c r="C383" s="31" t="s">
        <v>1311</v>
      </c>
      <c r="D383" s="32">
        <f t="shared" si="1"/>
        <v>28.11232877</v>
      </c>
      <c r="E383" s="35">
        <f t="shared" si="2"/>
        <v>35605</v>
      </c>
      <c r="G383" s="11"/>
      <c r="H383" s="11" t="s">
        <v>811</v>
      </c>
      <c r="I383" s="33" t="s">
        <v>867</v>
      </c>
      <c r="J383" s="34">
        <v>34516.0</v>
      </c>
    </row>
    <row r="384">
      <c r="A384" s="11" t="s">
        <v>502</v>
      </c>
      <c r="B384" s="31" t="s">
        <v>541</v>
      </c>
      <c r="C384" s="31" t="s">
        <v>1311</v>
      </c>
      <c r="D384" s="32">
        <f t="shared" si="1"/>
        <v>33.39452055</v>
      </c>
      <c r="E384" s="35">
        <f t="shared" si="2"/>
        <v>33677</v>
      </c>
      <c r="G384" s="11"/>
      <c r="H384" s="11" t="s">
        <v>811</v>
      </c>
      <c r="I384" s="33" t="s">
        <v>869</v>
      </c>
      <c r="J384" s="34">
        <v>35565.0</v>
      </c>
    </row>
    <row r="385">
      <c r="A385" s="11" t="s">
        <v>502</v>
      </c>
      <c r="B385" s="31" t="s">
        <v>543</v>
      </c>
      <c r="C385" s="31" t="s">
        <v>1311</v>
      </c>
      <c r="D385" s="32">
        <f t="shared" si="1"/>
        <v>22.23287671</v>
      </c>
      <c r="E385" s="35">
        <f t="shared" si="2"/>
        <v>37751</v>
      </c>
      <c r="G385" s="11"/>
      <c r="H385" s="11" t="s">
        <v>811</v>
      </c>
      <c r="I385" s="33" t="s">
        <v>871</v>
      </c>
      <c r="J385" s="34">
        <v>35140.0</v>
      </c>
    </row>
    <row r="386">
      <c r="A386" s="31" t="s">
        <v>502</v>
      </c>
      <c r="B386" s="31" t="s">
        <v>545</v>
      </c>
      <c r="C386" s="31" t="s">
        <v>1272</v>
      </c>
      <c r="D386" s="32">
        <f t="shared" si="1"/>
        <v>25.53150685</v>
      </c>
      <c r="E386" s="35">
        <f t="shared" si="2"/>
        <v>36547</v>
      </c>
      <c r="G386" s="11"/>
      <c r="H386" s="11" t="s">
        <v>873</v>
      </c>
      <c r="I386" s="33" t="s">
        <v>876</v>
      </c>
      <c r="J386" s="34">
        <v>37801.0</v>
      </c>
    </row>
    <row r="387">
      <c r="A387" s="31" t="s">
        <v>502</v>
      </c>
      <c r="B387" s="31" t="s">
        <v>547</v>
      </c>
      <c r="C387" s="31" t="s">
        <v>1272</v>
      </c>
      <c r="D387" s="32">
        <f t="shared" si="1"/>
        <v>29.63835616</v>
      </c>
      <c r="E387" s="35">
        <f t="shared" si="2"/>
        <v>35048</v>
      </c>
      <c r="G387" s="11"/>
      <c r="H387" s="11" t="s">
        <v>873</v>
      </c>
      <c r="I387" s="33" t="s">
        <v>878</v>
      </c>
      <c r="J387" s="34">
        <v>36719.0</v>
      </c>
    </row>
    <row r="388">
      <c r="A388" s="31" t="s">
        <v>502</v>
      </c>
      <c r="B388" s="31" t="s">
        <v>549</v>
      </c>
      <c r="C388" s="31" t="s">
        <v>1133</v>
      </c>
      <c r="D388" s="32">
        <f t="shared" si="1"/>
        <v>29.19452055</v>
      </c>
      <c r="E388" s="35">
        <f t="shared" si="2"/>
        <v>35210</v>
      </c>
      <c r="G388" s="11"/>
      <c r="H388" s="11" t="s">
        <v>873</v>
      </c>
      <c r="I388" s="33" t="s">
        <v>880</v>
      </c>
      <c r="J388" s="34">
        <v>35998.0</v>
      </c>
    </row>
    <row r="389">
      <c r="A389" s="31" t="s">
        <v>502</v>
      </c>
      <c r="B389" s="31" t="s">
        <v>551</v>
      </c>
      <c r="C389" s="31" t="s">
        <v>1311</v>
      </c>
      <c r="D389" s="32">
        <f t="shared" si="1"/>
        <v>22.64383562</v>
      </c>
      <c r="E389" s="35">
        <f t="shared" si="2"/>
        <v>37601</v>
      </c>
      <c r="G389" s="11"/>
      <c r="H389" s="11" t="s">
        <v>873</v>
      </c>
      <c r="I389" s="33" t="s">
        <v>882</v>
      </c>
      <c r="J389" s="34">
        <v>36900.0</v>
      </c>
    </row>
    <row r="390">
      <c r="A390" s="31" t="s">
        <v>502</v>
      </c>
      <c r="B390" s="31" t="s">
        <v>1489</v>
      </c>
      <c r="C390" s="31" t="s">
        <v>1400</v>
      </c>
      <c r="D390" s="32" t="str">
        <f t="shared" si="1"/>
        <v>#N/A</v>
      </c>
      <c r="E390" s="14" t="str">
        <f t="shared" si="2"/>
        <v>#N/A</v>
      </c>
      <c r="G390" s="11"/>
      <c r="H390" s="11" t="s">
        <v>873</v>
      </c>
      <c r="I390" s="33" t="s">
        <v>884</v>
      </c>
      <c r="J390" s="34">
        <v>36075.0</v>
      </c>
    </row>
    <row r="391">
      <c r="A391" s="31" t="s">
        <v>502</v>
      </c>
      <c r="B391" s="31" t="s">
        <v>1490</v>
      </c>
      <c r="C391" s="31" t="s">
        <v>1400</v>
      </c>
      <c r="D391" s="32" t="str">
        <f t="shared" si="1"/>
        <v>#N/A</v>
      </c>
      <c r="E391" s="14" t="str">
        <f t="shared" si="2"/>
        <v>#N/A</v>
      </c>
      <c r="G391" s="11"/>
      <c r="H391" s="11" t="s">
        <v>873</v>
      </c>
      <c r="I391" s="33" t="s">
        <v>886</v>
      </c>
      <c r="J391" s="34">
        <v>36552.0</v>
      </c>
    </row>
    <row r="392">
      <c r="A392" s="31" t="s">
        <v>502</v>
      </c>
      <c r="B392" s="31" t="s">
        <v>553</v>
      </c>
      <c r="C392" s="31" t="s">
        <v>1311</v>
      </c>
      <c r="D392" s="32">
        <f t="shared" si="1"/>
        <v>22.1260274</v>
      </c>
      <c r="E392" s="35">
        <f t="shared" si="2"/>
        <v>37790</v>
      </c>
      <c r="G392" s="11"/>
      <c r="H392" s="11" t="s">
        <v>873</v>
      </c>
      <c r="I392" s="33" t="s">
        <v>888</v>
      </c>
      <c r="J392" s="34">
        <v>36386.0</v>
      </c>
    </row>
    <row r="393">
      <c r="A393" s="31" t="s">
        <v>502</v>
      </c>
      <c r="B393" s="31" t="s">
        <v>1135</v>
      </c>
      <c r="C393" s="31" t="s">
        <v>1272</v>
      </c>
      <c r="D393" s="32">
        <f t="shared" si="1"/>
        <v>33.85205479</v>
      </c>
      <c r="E393" s="35">
        <f t="shared" si="2"/>
        <v>33510</v>
      </c>
      <c r="G393" s="11"/>
      <c r="H393" s="11" t="s">
        <v>873</v>
      </c>
      <c r="I393" s="33" t="s">
        <v>890</v>
      </c>
      <c r="J393" s="34">
        <v>38456.0</v>
      </c>
    </row>
    <row r="394">
      <c r="A394" s="31" t="s">
        <v>502</v>
      </c>
      <c r="B394" s="31" t="s">
        <v>1282</v>
      </c>
      <c r="C394" s="31" t="s">
        <v>1311</v>
      </c>
      <c r="D394" s="32">
        <f t="shared" si="1"/>
        <v>24.96438356</v>
      </c>
      <c r="E394" s="35">
        <f t="shared" si="2"/>
        <v>36754</v>
      </c>
      <c r="G394" s="11"/>
      <c r="H394" s="11" t="s">
        <v>873</v>
      </c>
      <c r="I394" s="33" t="s">
        <v>892</v>
      </c>
      <c r="J394" s="34">
        <v>38070.0</v>
      </c>
    </row>
    <row r="395">
      <c r="A395" s="31" t="s">
        <v>502</v>
      </c>
      <c r="B395" s="31" t="s">
        <v>1491</v>
      </c>
      <c r="C395" s="31" t="s">
        <v>1133</v>
      </c>
      <c r="D395" s="32" t="str">
        <f t="shared" si="1"/>
        <v>#N/A</v>
      </c>
      <c r="E395" s="14" t="str">
        <f t="shared" si="2"/>
        <v>#N/A</v>
      </c>
      <c r="G395" s="11"/>
      <c r="H395" s="11" t="s">
        <v>873</v>
      </c>
      <c r="I395" s="33" t="s">
        <v>894</v>
      </c>
      <c r="J395" s="34">
        <v>37665.0</v>
      </c>
    </row>
    <row r="396">
      <c r="A396" s="31" t="s">
        <v>502</v>
      </c>
      <c r="B396" s="31" t="s">
        <v>555</v>
      </c>
      <c r="C396" s="31" t="s">
        <v>1272</v>
      </c>
      <c r="D396" s="32">
        <f t="shared" si="1"/>
        <v>21.85479452</v>
      </c>
      <c r="E396" s="35">
        <f t="shared" si="2"/>
        <v>37889</v>
      </c>
      <c r="G396" s="11"/>
      <c r="H396" s="11" t="s">
        <v>873</v>
      </c>
      <c r="I396" s="33" t="s">
        <v>896</v>
      </c>
      <c r="J396" s="34">
        <v>31299.0</v>
      </c>
    </row>
    <row r="397">
      <c r="A397" s="31" t="s">
        <v>502</v>
      </c>
      <c r="B397" s="31" t="s">
        <v>557</v>
      </c>
      <c r="C397" s="31" t="s">
        <v>1133</v>
      </c>
      <c r="D397" s="32">
        <f t="shared" si="1"/>
        <v>23.63013699</v>
      </c>
      <c r="E397" s="35">
        <f t="shared" si="2"/>
        <v>37241</v>
      </c>
      <c r="G397" s="11"/>
      <c r="H397" s="11" t="s">
        <v>873</v>
      </c>
      <c r="I397" s="33" t="s">
        <v>898</v>
      </c>
      <c r="J397" s="34">
        <v>38408.0</v>
      </c>
    </row>
    <row r="398">
      <c r="A398" s="31" t="s">
        <v>502</v>
      </c>
      <c r="B398" s="31" t="s">
        <v>559</v>
      </c>
      <c r="C398" s="31" t="s">
        <v>1311</v>
      </c>
      <c r="D398" s="32">
        <f t="shared" si="1"/>
        <v>19.10410959</v>
      </c>
      <c r="E398" s="35">
        <f t="shared" si="2"/>
        <v>38893</v>
      </c>
      <c r="G398" s="11"/>
      <c r="H398" s="11" t="s">
        <v>873</v>
      </c>
      <c r="I398" s="33" t="s">
        <v>900</v>
      </c>
      <c r="J398" s="34">
        <v>33420.0</v>
      </c>
    </row>
    <row r="399">
      <c r="A399" s="31" t="s">
        <v>502</v>
      </c>
      <c r="B399" s="31" t="s">
        <v>1492</v>
      </c>
      <c r="C399" s="31" t="s">
        <v>1272</v>
      </c>
      <c r="D399" s="32" t="str">
        <f t="shared" si="1"/>
        <v>#N/A</v>
      </c>
      <c r="E399" s="14" t="str">
        <f t="shared" si="2"/>
        <v>#N/A</v>
      </c>
      <c r="G399" s="11"/>
      <c r="H399" s="11" t="s">
        <v>873</v>
      </c>
      <c r="I399" s="33" t="s">
        <v>902</v>
      </c>
      <c r="J399" s="34">
        <v>36375.0</v>
      </c>
    </row>
    <row r="400">
      <c r="A400" s="31" t="s">
        <v>502</v>
      </c>
      <c r="B400" s="31" t="s">
        <v>561</v>
      </c>
      <c r="C400" s="31" t="s">
        <v>1133</v>
      </c>
      <c r="D400" s="32">
        <f t="shared" si="1"/>
        <v>25.90410959</v>
      </c>
      <c r="E400" s="35">
        <f t="shared" si="2"/>
        <v>36411</v>
      </c>
      <c r="G400" s="11"/>
      <c r="H400" s="11" t="s">
        <v>873</v>
      </c>
      <c r="I400" s="33" t="s">
        <v>904</v>
      </c>
      <c r="J400" s="34">
        <v>37815.0</v>
      </c>
    </row>
    <row r="401">
      <c r="A401" s="11" t="s">
        <v>502</v>
      </c>
      <c r="B401" s="31" t="s">
        <v>1493</v>
      </c>
      <c r="C401" s="31" t="s">
        <v>1272</v>
      </c>
      <c r="D401" s="32" t="str">
        <f t="shared" si="1"/>
        <v>#N/A</v>
      </c>
      <c r="E401" s="14" t="str">
        <f t="shared" si="2"/>
        <v>#N/A</v>
      </c>
      <c r="G401" s="11"/>
      <c r="H401" s="11" t="s">
        <v>874</v>
      </c>
      <c r="I401" s="33" t="s">
        <v>906</v>
      </c>
      <c r="J401" s="34">
        <v>33409.0</v>
      </c>
    </row>
    <row r="402">
      <c r="A402" s="11" t="s">
        <v>502</v>
      </c>
      <c r="B402" s="31" t="s">
        <v>1494</v>
      </c>
      <c r="C402" s="31" t="s">
        <v>1133</v>
      </c>
      <c r="D402" s="32" t="str">
        <f t="shared" si="1"/>
        <v>#N/A</v>
      </c>
      <c r="E402" s="14" t="str">
        <f t="shared" si="2"/>
        <v>#N/A</v>
      </c>
      <c r="G402" s="11"/>
      <c r="H402" s="11" t="s">
        <v>874</v>
      </c>
      <c r="I402" s="33" t="s">
        <v>908</v>
      </c>
      <c r="J402" s="34">
        <v>35893.0</v>
      </c>
    </row>
    <row r="403">
      <c r="A403" s="11" t="s">
        <v>624</v>
      </c>
      <c r="B403" s="31" t="s">
        <v>1495</v>
      </c>
      <c r="C403" s="31" t="s">
        <v>1400</v>
      </c>
      <c r="D403" s="32" t="str">
        <f t="shared" si="1"/>
        <v>#N/A</v>
      </c>
      <c r="E403" s="14" t="str">
        <f t="shared" si="2"/>
        <v>#N/A</v>
      </c>
      <c r="G403" s="11"/>
      <c r="H403" s="11" t="s">
        <v>874</v>
      </c>
      <c r="I403" s="33" t="s">
        <v>910</v>
      </c>
      <c r="J403" s="34">
        <v>35502.0</v>
      </c>
    </row>
    <row r="404">
      <c r="A404" s="11" t="s">
        <v>624</v>
      </c>
      <c r="B404" s="31" t="s">
        <v>627</v>
      </c>
      <c r="C404" s="31" t="s">
        <v>1272</v>
      </c>
      <c r="D404" s="32">
        <f t="shared" si="1"/>
        <v>28.5890411</v>
      </c>
      <c r="E404" s="35">
        <f t="shared" si="2"/>
        <v>35431</v>
      </c>
      <c r="G404" s="11"/>
      <c r="H404" s="11" t="s">
        <v>874</v>
      </c>
      <c r="I404" s="33" t="s">
        <v>912</v>
      </c>
      <c r="J404" s="34">
        <v>37743.0</v>
      </c>
    </row>
    <row r="405">
      <c r="A405" s="11" t="s">
        <v>624</v>
      </c>
      <c r="B405" s="31" t="s">
        <v>629</v>
      </c>
      <c r="C405" s="31" t="s">
        <v>1272</v>
      </c>
      <c r="D405" s="32">
        <f t="shared" si="1"/>
        <v>34.10958904</v>
      </c>
      <c r="E405" s="35">
        <f t="shared" si="2"/>
        <v>33416</v>
      </c>
      <c r="G405" s="11"/>
      <c r="H405" s="11" t="s">
        <v>874</v>
      </c>
      <c r="I405" s="33" t="s">
        <v>914</v>
      </c>
      <c r="J405" s="34">
        <v>36148.0</v>
      </c>
    </row>
    <row r="406">
      <c r="A406" s="11" t="s">
        <v>624</v>
      </c>
      <c r="B406" s="31" t="s">
        <v>631</v>
      </c>
      <c r="C406" s="31" t="s">
        <v>1133</v>
      </c>
      <c r="D406" s="32">
        <f t="shared" si="1"/>
        <v>25.58082192</v>
      </c>
      <c r="E406" s="35">
        <f t="shared" si="2"/>
        <v>36529</v>
      </c>
      <c r="G406" s="11"/>
      <c r="H406" s="11" t="s">
        <v>874</v>
      </c>
      <c r="I406" s="33" t="s">
        <v>916</v>
      </c>
      <c r="J406" s="34">
        <v>34481.0</v>
      </c>
    </row>
    <row r="407">
      <c r="A407" s="11" t="s">
        <v>624</v>
      </c>
      <c r="B407" s="31" t="s">
        <v>633</v>
      </c>
      <c r="C407" s="31" t="s">
        <v>1133</v>
      </c>
      <c r="D407" s="32">
        <f t="shared" si="1"/>
        <v>29.48493151</v>
      </c>
      <c r="E407" s="35">
        <f t="shared" si="2"/>
        <v>35104</v>
      </c>
      <c r="G407" s="11"/>
      <c r="H407" s="11" t="s">
        <v>874</v>
      </c>
      <c r="I407" s="33" t="s">
        <v>918</v>
      </c>
      <c r="J407" s="34">
        <v>34757.0</v>
      </c>
    </row>
    <row r="408">
      <c r="A408" s="11" t="s">
        <v>624</v>
      </c>
      <c r="B408" s="31" t="s">
        <v>635</v>
      </c>
      <c r="C408" s="31" t="s">
        <v>1272</v>
      </c>
      <c r="D408" s="32">
        <f t="shared" si="1"/>
        <v>33.77260274</v>
      </c>
      <c r="E408" s="35">
        <f t="shared" si="2"/>
        <v>33539</v>
      </c>
      <c r="G408" s="11"/>
      <c r="H408" s="11" t="s">
        <v>874</v>
      </c>
      <c r="I408" s="33" t="s">
        <v>920</v>
      </c>
      <c r="J408" s="34">
        <v>33469.0</v>
      </c>
    </row>
    <row r="409">
      <c r="A409" s="11" t="s">
        <v>624</v>
      </c>
      <c r="B409" s="31" t="s">
        <v>637</v>
      </c>
      <c r="C409" s="31" t="s">
        <v>1311</v>
      </c>
      <c r="D409" s="32">
        <f t="shared" si="1"/>
        <v>24.84383562</v>
      </c>
      <c r="E409" s="35">
        <f t="shared" si="2"/>
        <v>36798</v>
      </c>
      <c r="G409" s="11"/>
      <c r="H409" s="11" t="s">
        <v>874</v>
      </c>
      <c r="I409" s="33" t="s">
        <v>922</v>
      </c>
      <c r="J409" s="34">
        <v>35487.0</v>
      </c>
    </row>
    <row r="410">
      <c r="A410" s="11" t="s">
        <v>624</v>
      </c>
      <c r="B410" s="31" t="s">
        <v>639</v>
      </c>
      <c r="C410" s="31" t="s">
        <v>1311</v>
      </c>
      <c r="D410" s="32">
        <f t="shared" si="1"/>
        <v>39.45479452</v>
      </c>
      <c r="E410" s="35">
        <f t="shared" si="2"/>
        <v>31465</v>
      </c>
      <c r="G410" s="11"/>
      <c r="H410" s="11" t="s">
        <v>874</v>
      </c>
      <c r="I410" s="33" t="s">
        <v>924</v>
      </c>
      <c r="J410" s="34">
        <v>36200.0</v>
      </c>
    </row>
    <row r="411">
      <c r="A411" s="11" t="s">
        <v>624</v>
      </c>
      <c r="B411" s="31" t="s">
        <v>641</v>
      </c>
      <c r="C411" s="31" t="s">
        <v>1311</v>
      </c>
      <c r="D411" s="32">
        <f t="shared" si="1"/>
        <v>35.56438356</v>
      </c>
      <c r="E411" s="35">
        <f t="shared" si="2"/>
        <v>32885</v>
      </c>
      <c r="G411" s="11"/>
      <c r="H411" s="11" t="s">
        <v>874</v>
      </c>
      <c r="I411" s="33" t="s">
        <v>926</v>
      </c>
      <c r="J411" s="34">
        <v>37460.0</v>
      </c>
    </row>
    <row r="412">
      <c r="A412" s="11" t="s">
        <v>624</v>
      </c>
      <c r="B412" s="31" t="s">
        <v>643</v>
      </c>
      <c r="C412" s="31" t="s">
        <v>1272</v>
      </c>
      <c r="D412" s="32">
        <f t="shared" si="1"/>
        <v>29.23561644</v>
      </c>
      <c r="E412" s="35">
        <f t="shared" si="2"/>
        <v>35195</v>
      </c>
      <c r="G412" s="11"/>
      <c r="H412" s="11" t="s">
        <v>874</v>
      </c>
      <c r="I412" s="33" t="s">
        <v>928</v>
      </c>
      <c r="J412" s="34">
        <v>37792.0</v>
      </c>
    </row>
    <row r="413">
      <c r="A413" s="11" t="s">
        <v>624</v>
      </c>
      <c r="B413" s="31" t="s">
        <v>645</v>
      </c>
      <c r="C413" s="31" t="s">
        <v>1133</v>
      </c>
      <c r="D413" s="32">
        <f t="shared" si="1"/>
        <v>17.96712329</v>
      </c>
      <c r="E413" s="35">
        <f t="shared" si="2"/>
        <v>39308</v>
      </c>
      <c r="G413" s="11"/>
      <c r="H413" s="11" t="s">
        <v>874</v>
      </c>
      <c r="I413" s="33" t="s">
        <v>930</v>
      </c>
      <c r="J413" s="34">
        <v>36575.0</v>
      </c>
    </row>
    <row r="414">
      <c r="A414" s="11" t="s">
        <v>624</v>
      </c>
      <c r="B414" s="31" t="s">
        <v>1496</v>
      </c>
      <c r="C414" s="31" t="s">
        <v>1400</v>
      </c>
      <c r="D414" s="32" t="str">
        <f t="shared" si="1"/>
        <v>#N/A</v>
      </c>
      <c r="E414" s="14" t="str">
        <f t="shared" si="2"/>
        <v>#N/A</v>
      </c>
      <c r="G414" s="11"/>
      <c r="H414" s="11" t="s">
        <v>874</v>
      </c>
      <c r="I414" s="33" t="s">
        <v>932</v>
      </c>
      <c r="J414" s="34">
        <v>34599.0</v>
      </c>
    </row>
    <row r="415">
      <c r="A415" s="11" t="s">
        <v>624</v>
      </c>
      <c r="B415" s="31" t="s">
        <v>1497</v>
      </c>
      <c r="C415" s="31" t="s">
        <v>1272</v>
      </c>
      <c r="D415" s="32" t="str">
        <f t="shared" si="1"/>
        <v>#N/A</v>
      </c>
      <c r="E415" s="14" t="str">
        <f t="shared" si="2"/>
        <v>#N/A</v>
      </c>
      <c r="G415" s="11"/>
      <c r="H415" s="11" t="s">
        <v>874</v>
      </c>
      <c r="I415" s="33" t="s">
        <v>934</v>
      </c>
      <c r="J415" s="34">
        <v>36297.0</v>
      </c>
    </row>
    <row r="416">
      <c r="A416" s="31" t="s">
        <v>624</v>
      </c>
      <c r="B416" s="31" t="s">
        <v>1183</v>
      </c>
      <c r="C416" s="31" t="s">
        <v>1311</v>
      </c>
      <c r="D416" s="32">
        <f t="shared" si="1"/>
        <v>32.20821918</v>
      </c>
      <c r="E416" s="35">
        <f t="shared" si="2"/>
        <v>34110</v>
      </c>
      <c r="G416" s="11"/>
      <c r="H416" s="11" t="s">
        <v>935</v>
      </c>
      <c r="I416" s="33" t="s">
        <v>938</v>
      </c>
      <c r="J416" s="34">
        <v>35108.0</v>
      </c>
    </row>
    <row r="417">
      <c r="A417" s="31" t="s">
        <v>624</v>
      </c>
      <c r="B417" s="31" t="s">
        <v>1498</v>
      </c>
      <c r="C417" s="31" t="s">
        <v>1311</v>
      </c>
      <c r="D417" s="32" t="str">
        <f t="shared" si="1"/>
        <v>#N/A</v>
      </c>
      <c r="E417" s="14" t="str">
        <f t="shared" si="2"/>
        <v>#N/A</v>
      </c>
      <c r="G417" s="11"/>
      <c r="H417" s="11" t="s">
        <v>935</v>
      </c>
      <c r="I417" s="33" t="s">
        <v>940</v>
      </c>
      <c r="J417" s="34">
        <v>36646.0</v>
      </c>
    </row>
    <row r="418">
      <c r="A418" s="31" t="s">
        <v>624</v>
      </c>
      <c r="B418" s="31" t="s">
        <v>647</v>
      </c>
      <c r="C418" s="31" t="s">
        <v>1311</v>
      </c>
      <c r="D418" s="32">
        <f t="shared" si="1"/>
        <v>32.63835616</v>
      </c>
      <c r="E418" s="35">
        <f t="shared" si="2"/>
        <v>33953</v>
      </c>
      <c r="G418" s="11"/>
      <c r="H418" s="11" t="s">
        <v>935</v>
      </c>
      <c r="I418" s="33" t="s">
        <v>942</v>
      </c>
      <c r="J418" s="34">
        <v>37721.0</v>
      </c>
    </row>
    <row r="419">
      <c r="A419" s="31" t="s">
        <v>624</v>
      </c>
      <c r="B419" s="31" t="s">
        <v>649</v>
      </c>
      <c r="C419" s="31" t="s">
        <v>1133</v>
      </c>
      <c r="D419" s="32">
        <f t="shared" si="1"/>
        <v>32.52328767</v>
      </c>
      <c r="E419" s="35">
        <f t="shared" si="2"/>
        <v>33995</v>
      </c>
      <c r="G419" s="11"/>
      <c r="H419" s="11" t="s">
        <v>935</v>
      </c>
      <c r="I419" s="33" t="s">
        <v>944</v>
      </c>
      <c r="J419" s="34">
        <v>38355.0</v>
      </c>
    </row>
    <row r="420">
      <c r="A420" s="31" t="s">
        <v>624</v>
      </c>
      <c r="B420" s="31" t="s">
        <v>1315</v>
      </c>
      <c r="C420" s="31" t="s">
        <v>1311</v>
      </c>
      <c r="D420" s="32">
        <f t="shared" si="1"/>
        <v>32.46849315</v>
      </c>
      <c r="E420" s="35">
        <f t="shared" si="2"/>
        <v>34015</v>
      </c>
      <c r="G420" s="11"/>
      <c r="H420" s="11" t="s">
        <v>935</v>
      </c>
      <c r="I420" s="33" t="s">
        <v>946</v>
      </c>
      <c r="J420" s="34">
        <v>36580.0</v>
      </c>
    </row>
    <row r="421">
      <c r="A421" s="31" t="s">
        <v>624</v>
      </c>
      <c r="B421" s="31" t="s">
        <v>1499</v>
      </c>
      <c r="C421" s="31" t="s">
        <v>1272</v>
      </c>
      <c r="D421" s="32" t="str">
        <f t="shared" si="1"/>
        <v>#N/A</v>
      </c>
      <c r="E421" s="14" t="str">
        <f t="shared" si="2"/>
        <v>#N/A</v>
      </c>
      <c r="G421" s="11"/>
      <c r="H421" s="11" t="s">
        <v>935</v>
      </c>
      <c r="I421" s="33" t="s">
        <v>948</v>
      </c>
      <c r="J421" s="34">
        <v>35378.0</v>
      </c>
    </row>
    <row r="422">
      <c r="A422" s="31" t="s">
        <v>624</v>
      </c>
      <c r="B422" s="31" t="s">
        <v>1500</v>
      </c>
      <c r="C422" s="31" t="s">
        <v>1272</v>
      </c>
      <c r="D422" s="32" t="str">
        <f t="shared" si="1"/>
        <v>#N/A</v>
      </c>
      <c r="E422" s="14" t="str">
        <f t="shared" si="2"/>
        <v>#N/A</v>
      </c>
      <c r="G422" s="11"/>
      <c r="H422" s="11" t="s">
        <v>935</v>
      </c>
      <c r="I422" s="33" t="s">
        <v>950</v>
      </c>
      <c r="J422" s="34">
        <v>32767.0</v>
      </c>
    </row>
    <row r="423">
      <c r="A423" s="31" t="s">
        <v>624</v>
      </c>
      <c r="B423" s="31" t="s">
        <v>1181</v>
      </c>
      <c r="C423" s="31" t="s">
        <v>1272</v>
      </c>
      <c r="D423" s="32">
        <f t="shared" si="1"/>
        <v>30.94520548</v>
      </c>
      <c r="E423" s="35">
        <f t="shared" si="2"/>
        <v>34571</v>
      </c>
      <c r="G423" s="11"/>
      <c r="H423" s="11" t="s">
        <v>935</v>
      </c>
      <c r="I423" s="33" t="s">
        <v>952</v>
      </c>
      <c r="J423" s="34">
        <v>33259.0</v>
      </c>
    </row>
    <row r="424">
      <c r="A424" s="31" t="s">
        <v>624</v>
      </c>
      <c r="B424" s="31" t="s">
        <v>651</v>
      </c>
      <c r="C424" s="31" t="s">
        <v>1311</v>
      </c>
      <c r="D424" s="32">
        <f t="shared" si="1"/>
        <v>32.14520548</v>
      </c>
      <c r="E424" s="35">
        <f t="shared" si="2"/>
        <v>34133</v>
      </c>
      <c r="G424" s="11"/>
      <c r="H424" s="11" t="s">
        <v>935</v>
      </c>
      <c r="I424" s="33" t="s">
        <v>954</v>
      </c>
      <c r="J424" s="34">
        <v>38632.0</v>
      </c>
    </row>
    <row r="425">
      <c r="A425" s="31" t="s">
        <v>624</v>
      </c>
      <c r="B425" s="31" t="s">
        <v>653</v>
      </c>
      <c r="C425" s="31" t="s">
        <v>1272</v>
      </c>
      <c r="D425" s="32">
        <f t="shared" si="1"/>
        <v>37.32054795</v>
      </c>
      <c r="E425" s="35">
        <f t="shared" si="2"/>
        <v>32244</v>
      </c>
      <c r="G425" s="11"/>
      <c r="H425" s="11" t="s">
        <v>935</v>
      </c>
      <c r="I425" s="33" t="s">
        <v>956</v>
      </c>
      <c r="J425" s="34">
        <v>35103.0</v>
      </c>
    </row>
    <row r="426">
      <c r="A426" s="31" t="s">
        <v>624</v>
      </c>
      <c r="B426" s="31" t="s">
        <v>1313</v>
      </c>
      <c r="C426" s="31" t="s">
        <v>1311</v>
      </c>
      <c r="D426" s="32">
        <f t="shared" si="1"/>
        <v>34.46849315</v>
      </c>
      <c r="E426" s="35">
        <f t="shared" si="2"/>
        <v>33285</v>
      </c>
      <c r="G426" s="11"/>
      <c r="H426" s="11" t="s">
        <v>935</v>
      </c>
      <c r="I426" s="33" t="s">
        <v>958</v>
      </c>
      <c r="J426" s="34">
        <v>37863.0</v>
      </c>
    </row>
    <row r="427">
      <c r="A427" s="31" t="s">
        <v>624</v>
      </c>
      <c r="B427" s="31" t="s">
        <v>655</v>
      </c>
      <c r="C427" s="31" t="s">
        <v>1311</v>
      </c>
      <c r="D427" s="32">
        <f t="shared" si="1"/>
        <v>26.12876712</v>
      </c>
      <c r="E427" s="35">
        <f t="shared" si="2"/>
        <v>36329</v>
      </c>
      <c r="G427" s="11"/>
      <c r="H427" s="11" t="s">
        <v>935</v>
      </c>
      <c r="I427" s="33" t="s">
        <v>960</v>
      </c>
      <c r="J427" s="34">
        <v>37394.0</v>
      </c>
    </row>
    <row r="428">
      <c r="A428" s="31" t="s">
        <v>624</v>
      </c>
      <c r="B428" s="31" t="s">
        <v>1501</v>
      </c>
      <c r="C428" s="31" t="s">
        <v>1133</v>
      </c>
      <c r="D428" s="32" t="str">
        <f t="shared" si="1"/>
        <v>#N/A</v>
      </c>
      <c r="E428" s="14" t="str">
        <f t="shared" si="2"/>
        <v>#N/A</v>
      </c>
      <c r="G428" s="11"/>
      <c r="H428" s="11" t="s">
        <v>935</v>
      </c>
      <c r="I428" s="33" t="s">
        <v>962</v>
      </c>
      <c r="J428" s="34">
        <v>37359.0</v>
      </c>
    </row>
    <row r="429">
      <c r="A429" s="31" t="s">
        <v>625</v>
      </c>
      <c r="B429" s="31" t="s">
        <v>1502</v>
      </c>
      <c r="C429" s="31" t="s">
        <v>1400</v>
      </c>
      <c r="D429" s="32" t="str">
        <f t="shared" si="1"/>
        <v>#N/A</v>
      </c>
      <c r="E429" s="14" t="str">
        <f t="shared" si="2"/>
        <v>#N/A</v>
      </c>
      <c r="G429" s="11"/>
      <c r="H429" s="11" t="s">
        <v>935</v>
      </c>
      <c r="I429" s="33" t="s">
        <v>964</v>
      </c>
      <c r="J429" s="34">
        <v>37418.0</v>
      </c>
    </row>
    <row r="430">
      <c r="A430" s="31" t="s">
        <v>625</v>
      </c>
      <c r="B430" s="31" t="s">
        <v>657</v>
      </c>
      <c r="C430" s="31" t="s">
        <v>1272</v>
      </c>
      <c r="D430" s="32">
        <f t="shared" si="1"/>
        <v>27.24657534</v>
      </c>
      <c r="E430" s="35">
        <f t="shared" si="2"/>
        <v>35921</v>
      </c>
      <c r="G430" s="11"/>
      <c r="H430" s="11" t="s">
        <v>935</v>
      </c>
      <c r="I430" s="33" t="s">
        <v>966</v>
      </c>
      <c r="J430" s="34">
        <v>31887.0</v>
      </c>
    </row>
    <row r="431">
      <c r="A431" s="11" t="s">
        <v>625</v>
      </c>
      <c r="B431" s="31" t="s">
        <v>659</v>
      </c>
      <c r="C431" s="31" t="s">
        <v>1272</v>
      </c>
      <c r="D431" s="32">
        <f t="shared" si="1"/>
        <v>26.43561644</v>
      </c>
      <c r="E431" s="35">
        <f t="shared" si="2"/>
        <v>36217</v>
      </c>
      <c r="G431" s="11"/>
      <c r="H431" s="11" t="s">
        <v>936</v>
      </c>
      <c r="I431" s="33" t="s">
        <v>968</v>
      </c>
      <c r="J431" s="34">
        <v>35578.0</v>
      </c>
    </row>
    <row r="432">
      <c r="A432" s="11" t="s">
        <v>625</v>
      </c>
      <c r="B432" s="31" t="s">
        <v>661</v>
      </c>
      <c r="C432" s="31" t="s">
        <v>1272</v>
      </c>
      <c r="D432" s="32">
        <f t="shared" si="1"/>
        <v>30.53150685</v>
      </c>
      <c r="E432" s="35">
        <f t="shared" si="2"/>
        <v>34722</v>
      </c>
      <c r="G432" s="11"/>
      <c r="H432" s="11" t="s">
        <v>936</v>
      </c>
      <c r="I432" s="33" t="s">
        <v>970</v>
      </c>
      <c r="J432" s="34">
        <v>37635.0</v>
      </c>
    </row>
    <row r="433">
      <c r="A433" s="11" t="s">
        <v>625</v>
      </c>
      <c r="B433" s="31" t="s">
        <v>663</v>
      </c>
      <c r="C433" s="31" t="s">
        <v>1311</v>
      </c>
      <c r="D433" s="32">
        <f t="shared" si="1"/>
        <v>28.30410959</v>
      </c>
      <c r="E433" s="35">
        <f t="shared" si="2"/>
        <v>35535</v>
      </c>
      <c r="G433" s="11"/>
      <c r="H433" s="11" t="s">
        <v>936</v>
      </c>
      <c r="I433" s="33" t="s">
        <v>972</v>
      </c>
      <c r="J433" s="34">
        <v>36947.0</v>
      </c>
    </row>
    <row r="434">
      <c r="A434" s="11" t="s">
        <v>625</v>
      </c>
      <c r="B434" s="31" t="s">
        <v>665</v>
      </c>
      <c r="C434" s="31" t="s">
        <v>1311</v>
      </c>
      <c r="D434" s="32">
        <f t="shared" si="1"/>
        <v>30.56438356</v>
      </c>
      <c r="E434" s="35">
        <f t="shared" si="2"/>
        <v>34710</v>
      </c>
      <c r="G434" s="11"/>
      <c r="H434" s="11" t="s">
        <v>936</v>
      </c>
      <c r="I434" s="33" t="s">
        <v>974</v>
      </c>
      <c r="J434" s="34">
        <v>38747.0</v>
      </c>
    </row>
    <row r="435">
      <c r="A435" s="11" t="s">
        <v>625</v>
      </c>
      <c r="B435" s="31" t="s">
        <v>667</v>
      </c>
      <c r="C435" s="31" t="s">
        <v>1311</v>
      </c>
      <c r="D435" s="32">
        <f t="shared" si="1"/>
        <v>28.83835616</v>
      </c>
      <c r="E435" s="35">
        <f t="shared" si="2"/>
        <v>35340</v>
      </c>
      <c r="G435" s="11"/>
      <c r="H435" s="11" t="s">
        <v>936</v>
      </c>
      <c r="I435" s="33" t="s">
        <v>976</v>
      </c>
      <c r="J435" s="34">
        <v>37851.0</v>
      </c>
    </row>
    <row r="436">
      <c r="A436" s="11" t="s">
        <v>625</v>
      </c>
      <c r="B436" s="31" t="s">
        <v>669</v>
      </c>
      <c r="C436" s="31" t="s">
        <v>1311</v>
      </c>
      <c r="D436" s="32">
        <f t="shared" si="1"/>
        <v>28.03287671</v>
      </c>
      <c r="E436" s="35">
        <f t="shared" si="2"/>
        <v>35634</v>
      </c>
      <c r="G436" s="11"/>
      <c r="H436" s="11" t="s">
        <v>936</v>
      </c>
      <c r="I436" s="33" t="s">
        <v>978</v>
      </c>
      <c r="J436" s="34">
        <v>33843.0</v>
      </c>
    </row>
    <row r="437">
      <c r="A437" s="11" t="s">
        <v>625</v>
      </c>
      <c r="B437" s="31" t="s">
        <v>671</v>
      </c>
      <c r="C437" s="31" t="s">
        <v>1311</v>
      </c>
      <c r="D437" s="32">
        <f t="shared" si="1"/>
        <v>25.48219178</v>
      </c>
      <c r="E437" s="35">
        <f t="shared" si="2"/>
        <v>36565</v>
      </c>
      <c r="G437" s="11"/>
      <c r="H437" s="11" t="s">
        <v>936</v>
      </c>
      <c r="I437" s="33" t="s">
        <v>980</v>
      </c>
      <c r="J437" s="34">
        <v>39099.0</v>
      </c>
    </row>
    <row r="438">
      <c r="A438" s="11" t="s">
        <v>625</v>
      </c>
      <c r="B438" s="31" t="s">
        <v>673</v>
      </c>
      <c r="C438" s="31" t="s">
        <v>1311</v>
      </c>
      <c r="D438" s="32">
        <f t="shared" si="1"/>
        <v>28.01369863</v>
      </c>
      <c r="E438" s="35">
        <f t="shared" si="2"/>
        <v>35641</v>
      </c>
      <c r="G438" s="11"/>
      <c r="H438" s="11" t="s">
        <v>936</v>
      </c>
      <c r="I438" s="33" t="s">
        <v>982</v>
      </c>
      <c r="J438" s="34">
        <v>38078.0</v>
      </c>
    </row>
    <row r="439">
      <c r="A439" s="11" t="s">
        <v>625</v>
      </c>
      <c r="B439" s="31" t="s">
        <v>675</v>
      </c>
      <c r="C439" s="31" t="s">
        <v>1311</v>
      </c>
      <c r="D439" s="32">
        <f t="shared" si="1"/>
        <v>28.30684932</v>
      </c>
      <c r="E439" s="35">
        <f t="shared" si="2"/>
        <v>35534</v>
      </c>
      <c r="G439" s="11"/>
      <c r="H439" s="11" t="s">
        <v>936</v>
      </c>
      <c r="I439" s="33" t="s">
        <v>984</v>
      </c>
      <c r="J439" s="34">
        <v>38422.0</v>
      </c>
    </row>
    <row r="440">
      <c r="A440" s="11" t="s">
        <v>625</v>
      </c>
      <c r="B440" s="31" t="s">
        <v>1503</v>
      </c>
      <c r="C440" s="31" t="s">
        <v>1400</v>
      </c>
      <c r="D440" s="32" t="str">
        <f t="shared" si="1"/>
        <v>#N/A</v>
      </c>
      <c r="E440" s="14" t="str">
        <f t="shared" si="2"/>
        <v>#N/A</v>
      </c>
      <c r="G440" s="11"/>
      <c r="H440" s="11" t="s">
        <v>936</v>
      </c>
      <c r="I440" s="33" t="s">
        <v>986</v>
      </c>
      <c r="J440" s="34">
        <v>37613.0</v>
      </c>
    </row>
    <row r="441">
      <c r="A441" s="11" t="s">
        <v>625</v>
      </c>
      <c r="B441" s="31" t="s">
        <v>1504</v>
      </c>
      <c r="C441" s="31" t="s">
        <v>1400</v>
      </c>
      <c r="D441" s="32" t="str">
        <f t="shared" si="1"/>
        <v>#N/A</v>
      </c>
      <c r="E441" s="14" t="str">
        <f t="shared" si="2"/>
        <v>#N/A</v>
      </c>
      <c r="G441" s="11"/>
      <c r="H441" s="11" t="s">
        <v>936</v>
      </c>
      <c r="I441" s="33" t="s">
        <v>988</v>
      </c>
      <c r="J441" s="34">
        <v>38313.0</v>
      </c>
    </row>
    <row r="442">
      <c r="A442" s="11" t="s">
        <v>625</v>
      </c>
      <c r="B442" s="31" t="s">
        <v>677</v>
      </c>
      <c r="C442" s="31" t="s">
        <v>1311</v>
      </c>
      <c r="D442" s="32">
        <f t="shared" si="1"/>
        <v>26.95068493</v>
      </c>
      <c r="E442" s="35">
        <f t="shared" si="2"/>
        <v>36029</v>
      </c>
      <c r="G442" s="11"/>
      <c r="H442" s="11" t="s">
        <v>936</v>
      </c>
      <c r="I442" s="33" t="s">
        <v>990</v>
      </c>
      <c r="J442" s="34">
        <v>33680.0</v>
      </c>
    </row>
    <row r="443">
      <c r="A443" s="11" t="s">
        <v>625</v>
      </c>
      <c r="B443" s="31" t="s">
        <v>679</v>
      </c>
      <c r="C443" s="31" t="s">
        <v>1311</v>
      </c>
      <c r="D443" s="32">
        <f t="shared" si="1"/>
        <v>34.24383562</v>
      </c>
      <c r="E443" s="35">
        <f t="shared" si="2"/>
        <v>33367</v>
      </c>
      <c r="G443" s="11"/>
      <c r="H443" s="11" t="s">
        <v>936</v>
      </c>
      <c r="I443" s="33" t="s">
        <v>992</v>
      </c>
      <c r="J443" s="34">
        <v>36899.0</v>
      </c>
    </row>
    <row r="444">
      <c r="A444" s="11" t="s">
        <v>625</v>
      </c>
      <c r="B444" s="31" t="s">
        <v>1505</v>
      </c>
      <c r="C444" s="31" t="s">
        <v>1311</v>
      </c>
      <c r="D444" s="32" t="str">
        <f t="shared" si="1"/>
        <v>#N/A</v>
      </c>
      <c r="E444" s="14" t="str">
        <f t="shared" si="2"/>
        <v>#N/A</v>
      </c>
      <c r="G444" s="11"/>
      <c r="H444" s="11" t="s">
        <v>936</v>
      </c>
      <c r="I444" s="33" t="s">
        <v>994</v>
      </c>
      <c r="J444" s="34">
        <v>38623.0</v>
      </c>
    </row>
    <row r="445">
      <c r="A445" s="11" t="s">
        <v>625</v>
      </c>
      <c r="B445" s="31" t="s">
        <v>681</v>
      </c>
      <c r="C445" s="31" t="s">
        <v>1133</v>
      </c>
      <c r="D445" s="32">
        <f t="shared" si="1"/>
        <v>32.49863014</v>
      </c>
      <c r="E445" s="35">
        <f t="shared" si="2"/>
        <v>34004</v>
      </c>
      <c r="G445" s="11"/>
      <c r="H445" s="11" t="s">
        <v>936</v>
      </c>
      <c r="I445" s="33" t="s">
        <v>996</v>
      </c>
      <c r="J445" s="34">
        <v>38928.0</v>
      </c>
    </row>
    <row r="446">
      <c r="A446" s="31" t="s">
        <v>625</v>
      </c>
      <c r="B446" s="31" t="s">
        <v>683</v>
      </c>
      <c r="C446" s="31" t="s">
        <v>1311</v>
      </c>
      <c r="D446" s="32">
        <f t="shared" si="1"/>
        <v>30.29589041</v>
      </c>
      <c r="E446" s="35">
        <f t="shared" si="2"/>
        <v>34808</v>
      </c>
      <c r="G446" s="11"/>
      <c r="H446" s="11" t="s">
        <v>998</v>
      </c>
      <c r="I446" s="33" t="s">
        <v>1001</v>
      </c>
      <c r="J446" s="34">
        <v>36791.0</v>
      </c>
    </row>
    <row r="447">
      <c r="A447" s="31" t="s">
        <v>625</v>
      </c>
      <c r="B447" s="31" t="s">
        <v>1506</v>
      </c>
      <c r="C447" s="31" t="s">
        <v>1133</v>
      </c>
      <c r="D447" s="32" t="str">
        <f t="shared" si="1"/>
        <v>#N/A</v>
      </c>
      <c r="E447" s="14" t="str">
        <f t="shared" si="2"/>
        <v>#N/A</v>
      </c>
      <c r="G447" s="11"/>
      <c r="H447" s="11" t="s">
        <v>998</v>
      </c>
      <c r="I447" s="33" t="s">
        <v>1003</v>
      </c>
      <c r="J447" s="34">
        <v>34222.0</v>
      </c>
    </row>
    <row r="448">
      <c r="A448" s="31" t="s">
        <v>625</v>
      </c>
      <c r="B448" s="31" t="s">
        <v>1507</v>
      </c>
      <c r="C448" s="31" t="s">
        <v>1133</v>
      </c>
      <c r="D448" s="32" t="str">
        <f t="shared" si="1"/>
        <v>#N/A</v>
      </c>
      <c r="E448" s="14" t="str">
        <f t="shared" si="2"/>
        <v>#N/A</v>
      </c>
      <c r="G448" s="11"/>
      <c r="H448" s="11" t="s">
        <v>998</v>
      </c>
      <c r="I448" s="33" t="s">
        <v>1005</v>
      </c>
      <c r="J448" s="34">
        <v>33630.0</v>
      </c>
    </row>
    <row r="449">
      <c r="A449" s="31" t="s">
        <v>625</v>
      </c>
      <c r="B449" s="31" t="s">
        <v>1319</v>
      </c>
      <c r="C449" s="31" t="s">
        <v>1311</v>
      </c>
      <c r="D449" s="32">
        <f t="shared" si="1"/>
        <v>27.03287671</v>
      </c>
      <c r="E449" s="35">
        <f t="shared" si="2"/>
        <v>35999</v>
      </c>
      <c r="G449" s="11"/>
      <c r="H449" s="11" t="s">
        <v>998</v>
      </c>
      <c r="I449" s="33" t="s">
        <v>1007</v>
      </c>
      <c r="J449" s="34">
        <v>34710.0</v>
      </c>
    </row>
    <row r="450">
      <c r="A450" s="31" t="s">
        <v>625</v>
      </c>
      <c r="B450" s="31" t="s">
        <v>685</v>
      </c>
      <c r="C450" s="31" t="s">
        <v>1272</v>
      </c>
      <c r="D450" s="32">
        <f t="shared" si="1"/>
        <v>25.69589041</v>
      </c>
      <c r="E450" s="35">
        <f t="shared" si="2"/>
        <v>36487</v>
      </c>
      <c r="G450" s="11"/>
      <c r="H450" s="11" t="s">
        <v>998</v>
      </c>
      <c r="I450" s="33" t="s">
        <v>1009</v>
      </c>
      <c r="J450" s="34">
        <v>37978.0</v>
      </c>
    </row>
    <row r="451">
      <c r="A451" s="31" t="s">
        <v>625</v>
      </c>
      <c r="B451" s="31" t="s">
        <v>1508</v>
      </c>
      <c r="C451" s="31" t="s">
        <v>1272</v>
      </c>
      <c r="D451" s="32" t="str">
        <f t="shared" si="1"/>
        <v>#N/A</v>
      </c>
      <c r="E451" s="14" t="str">
        <f t="shared" si="2"/>
        <v>#N/A</v>
      </c>
      <c r="G451" s="11"/>
      <c r="H451" s="11" t="s">
        <v>998</v>
      </c>
      <c r="I451" s="33" t="s">
        <v>1011</v>
      </c>
      <c r="J451" s="34">
        <v>37386.0</v>
      </c>
    </row>
    <row r="452">
      <c r="A452" s="31" t="s">
        <v>625</v>
      </c>
      <c r="B452" s="31" t="s">
        <v>1509</v>
      </c>
      <c r="C452" s="31" t="s">
        <v>1272</v>
      </c>
      <c r="D452" s="32" t="str">
        <f t="shared" si="1"/>
        <v>#N/A</v>
      </c>
      <c r="E452" s="14" t="str">
        <f t="shared" si="2"/>
        <v>#N/A</v>
      </c>
      <c r="G452" s="11"/>
      <c r="H452" s="11" t="s">
        <v>998</v>
      </c>
      <c r="I452" s="33" t="s">
        <v>1013</v>
      </c>
      <c r="J452" s="34">
        <v>35218.0</v>
      </c>
    </row>
    <row r="453">
      <c r="A453" s="31" t="s">
        <v>625</v>
      </c>
      <c r="B453" s="31" t="s">
        <v>1510</v>
      </c>
      <c r="C453" s="31" t="s">
        <v>1311</v>
      </c>
      <c r="D453" s="32" t="str">
        <f t="shared" si="1"/>
        <v>#N/A</v>
      </c>
      <c r="E453" s="14" t="str">
        <f t="shared" si="2"/>
        <v>#N/A</v>
      </c>
      <c r="G453" s="11"/>
      <c r="H453" s="11" t="s">
        <v>998</v>
      </c>
      <c r="I453" s="33" t="s">
        <v>1015</v>
      </c>
      <c r="J453" s="34">
        <v>34109.0</v>
      </c>
    </row>
    <row r="454">
      <c r="A454" s="31" t="s">
        <v>625</v>
      </c>
      <c r="B454" s="31" t="s">
        <v>1511</v>
      </c>
      <c r="C454" s="31" t="s">
        <v>1133</v>
      </c>
      <c r="D454" s="32" t="str">
        <f t="shared" si="1"/>
        <v>#N/A</v>
      </c>
      <c r="E454" s="14" t="str">
        <f t="shared" si="2"/>
        <v>#N/A</v>
      </c>
      <c r="G454" s="11"/>
      <c r="H454" s="11" t="s">
        <v>998</v>
      </c>
      <c r="I454" s="33" t="s">
        <v>1017</v>
      </c>
      <c r="J454" s="34">
        <v>36162.0</v>
      </c>
    </row>
    <row r="455">
      <c r="A455" s="31" t="s">
        <v>747</v>
      </c>
      <c r="B455" s="31" t="s">
        <v>1512</v>
      </c>
      <c r="C455" s="31" t="s">
        <v>1400</v>
      </c>
      <c r="D455" s="32" t="str">
        <f t="shared" si="1"/>
        <v>#N/A</v>
      </c>
      <c r="E455" s="14" t="str">
        <f t="shared" si="2"/>
        <v>#N/A</v>
      </c>
      <c r="G455" s="11"/>
      <c r="H455" s="11" t="s">
        <v>998</v>
      </c>
      <c r="I455" s="33" t="s">
        <v>1019</v>
      </c>
      <c r="J455" s="34">
        <v>38363.0</v>
      </c>
    </row>
    <row r="456">
      <c r="A456" s="31" t="s">
        <v>747</v>
      </c>
      <c r="B456" s="31" t="s">
        <v>750</v>
      </c>
      <c r="C456" s="31" t="s">
        <v>1272</v>
      </c>
      <c r="D456" s="32">
        <f t="shared" si="1"/>
        <v>30.70958904</v>
      </c>
      <c r="E456" s="35">
        <f t="shared" si="2"/>
        <v>34657</v>
      </c>
      <c r="G456" s="11"/>
      <c r="H456" s="11" t="s">
        <v>998</v>
      </c>
      <c r="I456" s="33" t="s">
        <v>1021</v>
      </c>
      <c r="J456" s="34">
        <v>36049.0</v>
      </c>
    </row>
    <row r="457">
      <c r="A457" s="31" t="s">
        <v>747</v>
      </c>
      <c r="B457" s="31" t="s">
        <v>752</v>
      </c>
      <c r="C457" s="31" t="s">
        <v>1272</v>
      </c>
      <c r="D457" s="32">
        <f t="shared" si="1"/>
        <v>26.90684932</v>
      </c>
      <c r="E457" s="35">
        <f t="shared" si="2"/>
        <v>36045</v>
      </c>
      <c r="G457" s="11"/>
      <c r="H457" s="11" t="s">
        <v>998</v>
      </c>
      <c r="I457" s="33" t="s">
        <v>1023</v>
      </c>
      <c r="J457" s="34">
        <v>37100.0</v>
      </c>
    </row>
    <row r="458">
      <c r="A458" s="31" t="s">
        <v>747</v>
      </c>
      <c r="B458" s="31" t="s">
        <v>754</v>
      </c>
      <c r="C458" s="31" t="s">
        <v>1272</v>
      </c>
      <c r="D458" s="32">
        <f t="shared" si="1"/>
        <v>23.40821918</v>
      </c>
      <c r="E458" s="35">
        <f t="shared" si="2"/>
        <v>37322</v>
      </c>
      <c r="G458" s="11"/>
      <c r="H458" s="11" t="s">
        <v>998</v>
      </c>
      <c r="I458" s="33" t="s">
        <v>1025</v>
      </c>
      <c r="J458" s="34">
        <v>38594.0</v>
      </c>
    </row>
    <row r="459">
      <c r="A459" s="31" t="s">
        <v>747</v>
      </c>
      <c r="B459" s="31" t="s">
        <v>756</v>
      </c>
      <c r="C459" s="31" t="s">
        <v>1133</v>
      </c>
      <c r="D459" s="32">
        <f t="shared" si="1"/>
        <v>26.72328767</v>
      </c>
      <c r="E459" s="35">
        <f t="shared" si="2"/>
        <v>36112</v>
      </c>
      <c r="G459" s="11"/>
      <c r="H459" s="11" t="s">
        <v>998</v>
      </c>
      <c r="I459" s="33" t="s">
        <v>1027</v>
      </c>
      <c r="J459" s="34">
        <v>39268.0</v>
      </c>
    </row>
    <row r="460">
      <c r="A460" s="31" t="s">
        <v>747</v>
      </c>
      <c r="B460" s="31" t="s">
        <v>758</v>
      </c>
      <c r="C460" s="31" t="s">
        <v>1311</v>
      </c>
      <c r="D460" s="32">
        <f t="shared" si="1"/>
        <v>30.73424658</v>
      </c>
      <c r="E460" s="35">
        <f t="shared" si="2"/>
        <v>34648</v>
      </c>
      <c r="G460" s="11"/>
      <c r="H460" s="11" t="s">
        <v>998</v>
      </c>
      <c r="I460" s="33" t="s">
        <v>1029</v>
      </c>
      <c r="J460" s="34">
        <v>37664.0</v>
      </c>
    </row>
    <row r="461">
      <c r="A461" s="11" t="s">
        <v>747</v>
      </c>
      <c r="B461" s="31" t="s">
        <v>760</v>
      </c>
      <c r="C461" s="31" t="s">
        <v>1311</v>
      </c>
      <c r="D461" s="32">
        <f t="shared" si="1"/>
        <v>34.46849315</v>
      </c>
      <c r="E461" s="35">
        <f t="shared" si="2"/>
        <v>33285</v>
      </c>
      <c r="G461" s="11"/>
      <c r="H461" s="11" t="s">
        <v>999</v>
      </c>
      <c r="I461" s="33" t="s">
        <v>1031</v>
      </c>
      <c r="J461" s="34">
        <v>37893.0</v>
      </c>
    </row>
    <row r="462">
      <c r="A462" s="11" t="s">
        <v>747</v>
      </c>
      <c r="B462" s="31" t="s">
        <v>762</v>
      </c>
      <c r="C462" s="31" t="s">
        <v>1311</v>
      </c>
      <c r="D462" s="32">
        <f t="shared" si="1"/>
        <v>31.06849315</v>
      </c>
      <c r="E462" s="35">
        <f t="shared" si="2"/>
        <v>34526</v>
      </c>
      <c r="G462" s="11"/>
      <c r="H462" s="11" t="s">
        <v>999</v>
      </c>
      <c r="I462" s="33" t="s">
        <v>1033</v>
      </c>
      <c r="J462" s="34">
        <v>36074.0</v>
      </c>
    </row>
    <row r="463">
      <c r="A463" s="11" t="s">
        <v>747</v>
      </c>
      <c r="B463" s="31" t="s">
        <v>764</v>
      </c>
      <c r="C463" s="31" t="s">
        <v>1311</v>
      </c>
      <c r="D463" s="32">
        <f t="shared" si="1"/>
        <v>29.88767123</v>
      </c>
      <c r="E463" s="35">
        <f t="shared" si="2"/>
        <v>34957</v>
      </c>
      <c r="G463" s="11"/>
      <c r="H463" s="11" t="s">
        <v>999</v>
      </c>
      <c r="I463" s="33" t="s">
        <v>1035</v>
      </c>
      <c r="J463" s="34">
        <v>37604.0</v>
      </c>
    </row>
    <row r="464">
      <c r="A464" s="11" t="s">
        <v>747</v>
      </c>
      <c r="B464" s="31" t="s">
        <v>766</v>
      </c>
      <c r="C464" s="31" t="s">
        <v>1272</v>
      </c>
      <c r="D464" s="32">
        <f t="shared" si="1"/>
        <v>33.14246575</v>
      </c>
      <c r="E464" s="35">
        <f t="shared" si="2"/>
        <v>33769</v>
      </c>
      <c r="G464" s="11"/>
      <c r="H464" s="11" t="s">
        <v>999</v>
      </c>
      <c r="I464" s="33" t="s">
        <v>1037</v>
      </c>
      <c r="J464" s="34">
        <v>38476.0</v>
      </c>
    </row>
    <row r="465">
      <c r="A465" s="11" t="s">
        <v>747</v>
      </c>
      <c r="B465" s="31" t="s">
        <v>768</v>
      </c>
      <c r="C465" s="31" t="s">
        <v>1272</v>
      </c>
      <c r="D465" s="32">
        <f t="shared" si="1"/>
        <v>39.35616438</v>
      </c>
      <c r="E465" s="35">
        <f t="shared" si="2"/>
        <v>31501</v>
      </c>
      <c r="G465" s="11"/>
      <c r="H465" s="11" t="s">
        <v>999</v>
      </c>
      <c r="I465" s="33" t="s">
        <v>1039</v>
      </c>
      <c r="J465" s="34">
        <v>36682.0</v>
      </c>
    </row>
    <row r="466">
      <c r="A466" s="11" t="s">
        <v>747</v>
      </c>
      <c r="B466" s="31" t="s">
        <v>1513</v>
      </c>
      <c r="C466" s="31" t="s">
        <v>1400</v>
      </c>
      <c r="D466" s="32" t="str">
        <f t="shared" si="1"/>
        <v>#N/A</v>
      </c>
      <c r="E466" s="14" t="str">
        <f t="shared" si="2"/>
        <v>#N/A</v>
      </c>
      <c r="G466" s="11"/>
      <c r="H466" s="11" t="s">
        <v>999</v>
      </c>
      <c r="I466" s="33" t="s">
        <v>1041</v>
      </c>
      <c r="J466" s="34">
        <v>36035.0</v>
      </c>
    </row>
    <row r="467">
      <c r="A467" s="11" t="s">
        <v>747</v>
      </c>
      <c r="B467" s="31" t="s">
        <v>770</v>
      </c>
      <c r="C467" s="31" t="s">
        <v>1311</v>
      </c>
      <c r="D467" s="32">
        <f t="shared" si="1"/>
        <v>22.36986301</v>
      </c>
      <c r="E467" s="35">
        <f t="shared" si="2"/>
        <v>37701</v>
      </c>
      <c r="G467" s="11"/>
      <c r="H467" s="11" t="s">
        <v>999</v>
      </c>
      <c r="I467" s="33" t="s">
        <v>1043</v>
      </c>
      <c r="J467" s="34">
        <v>36976.0</v>
      </c>
    </row>
    <row r="468">
      <c r="A468" s="11" t="s">
        <v>747</v>
      </c>
      <c r="B468" s="31" t="s">
        <v>772</v>
      </c>
      <c r="C468" s="31" t="s">
        <v>1311</v>
      </c>
      <c r="D468" s="32">
        <f t="shared" si="1"/>
        <v>25.49041096</v>
      </c>
      <c r="E468" s="35">
        <f t="shared" si="2"/>
        <v>36562</v>
      </c>
      <c r="G468" s="11"/>
      <c r="H468" s="11" t="s">
        <v>999</v>
      </c>
      <c r="I468" s="33" t="s">
        <v>1045</v>
      </c>
      <c r="J468" s="34">
        <v>36134.0</v>
      </c>
    </row>
    <row r="469">
      <c r="A469" s="11" t="s">
        <v>747</v>
      </c>
      <c r="B469" s="31" t="s">
        <v>1187</v>
      </c>
      <c r="C469" s="31" t="s">
        <v>1133</v>
      </c>
      <c r="D469" s="32">
        <f t="shared" si="1"/>
        <v>25.38630137</v>
      </c>
      <c r="E469" s="35">
        <f t="shared" si="2"/>
        <v>36600</v>
      </c>
      <c r="G469" s="11"/>
      <c r="H469" s="11" t="s">
        <v>999</v>
      </c>
      <c r="I469" s="33" t="s">
        <v>1047</v>
      </c>
      <c r="J469" s="34">
        <v>36576.0</v>
      </c>
    </row>
    <row r="470">
      <c r="A470" s="11" t="s">
        <v>747</v>
      </c>
      <c r="B470" s="31" t="s">
        <v>774</v>
      </c>
      <c r="C470" s="31" t="s">
        <v>1272</v>
      </c>
      <c r="D470" s="32">
        <f t="shared" si="1"/>
        <v>28.44383562</v>
      </c>
      <c r="E470" s="35">
        <f t="shared" si="2"/>
        <v>35484</v>
      </c>
      <c r="G470" s="11"/>
      <c r="H470" s="11" t="s">
        <v>999</v>
      </c>
      <c r="I470" s="33" t="s">
        <v>1049</v>
      </c>
      <c r="J470" s="34">
        <v>37699.0</v>
      </c>
    </row>
    <row r="471">
      <c r="A471" s="11" t="s">
        <v>747</v>
      </c>
      <c r="B471" s="31" t="s">
        <v>776</v>
      </c>
      <c r="C471" s="31" t="s">
        <v>1133</v>
      </c>
      <c r="D471" s="32">
        <f t="shared" si="1"/>
        <v>22.86849315</v>
      </c>
      <c r="E471" s="35">
        <f t="shared" si="2"/>
        <v>37519</v>
      </c>
      <c r="G471" s="11"/>
      <c r="H471" s="11" t="s">
        <v>999</v>
      </c>
      <c r="I471" s="33" t="s">
        <v>1051</v>
      </c>
      <c r="J471" s="34">
        <v>35970.0</v>
      </c>
    </row>
    <row r="472">
      <c r="A472" s="11" t="s">
        <v>747</v>
      </c>
      <c r="B472" s="31" t="s">
        <v>1185</v>
      </c>
      <c r="C472" s="31" t="s">
        <v>1311</v>
      </c>
      <c r="D472" s="32">
        <f t="shared" si="1"/>
        <v>32.57808219</v>
      </c>
      <c r="E472" s="35">
        <f t="shared" si="2"/>
        <v>33975</v>
      </c>
      <c r="G472" s="11"/>
      <c r="H472" s="11" t="s">
        <v>999</v>
      </c>
      <c r="I472" s="33" t="s">
        <v>1053</v>
      </c>
      <c r="J472" s="34">
        <v>35854.0</v>
      </c>
    </row>
    <row r="473">
      <c r="A473" s="11" t="s">
        <v>747</v>
      </c>
      <c r="B473" s="31" t="s">
        <v>778</v>
      </c>
      <c r="C473" s="31" t="s">
        <v>1311</v>
      </c>
      <c r="D473" s="32">
        <f t="shared" si="1"/>
        <v>29.09589041</v>
      </c>
      <c r="E473" s="35">
        <f t="shared" si="2"/>
        <v>35246</v>
      </c>
      <c r="G473" s="11"/>
      <c r="H473" s="11" t="s">
        <v>999</v>
      </c>
      <c r="I473" s="33" t="s">
        <v>1055</v>
      </c>
      <c r="J473" s="34">
        <v>36553.0</v>
      </c>
    </row>
    <row r="474">
      <c r="A474" s="11" t="s">
        <v>747</v>
      </c>
      <c r="B474" s="31" t="s">
        <v>1514</v>
      </c>
      <c r="C474" s="31" t="s">
        <v>1133</v>
      </c>
      <c r="D474" s="32" t="str">
        <f t="shared" si="1"/>
        <v>#N/A</v>
      </c>
      <c r="E474" s="14" t="str">
        <f t="shared" si="2"/>
        <v>#N/A</v>
      </c>
      <c r="G474" s="11"/>
      <c r="H474" s="11" t="s">
        <v>999</v>
      </c>
      <c r="I474" s="33" t="s">
        <v>1057</v>
      </c>
      <c r="J474" s="34">
        <v>36578.0</v>
      </c>
    </row>
    <row r="475">
      <c r="A475" s="11" t="s">
        <v>747</v>
      </c>
      <c r="B475" s="31" t="s">
        <v>1323</v>
      </c>
      <c r="C475" s="31" t="s">
        <v>1272</v>
      </c>
      <c r="D475" s="32">
        <f t="shared" si="1"/>
        <v>34.34246575</v>
      </c>
      <c r="E475" s="35">
        <f t="shared" si="2"/>
        <v>33331</v>
      </c>
      <c r="G475" s="11"/>
      <c r="H475" s="11" t="s">
        <v>999</v>
      </c>
      <c r="I475" s="33" t="s">
        <v>1059</v>
      </c>
      <c r="J475" s="34">
        <v>35924.0</v>
      </c>
    </row>
    <row r="476">
      <c r="A476" s="31" t="s">
        <v>747</v>
      </c>
      <c r="B476" s="31" t="s">
        <v>1515</v>
      </c>
      <c r="C476" s="31" t="s">
        <v>1272</v>
      </c>
      <c r="D476" s="32" t="str">
        <f t="shared" si="1"/>
        <v>#N/A</v>
      </c>
      <c r="E476" s="14" t="str">
        <f t="shared" si="2"/>
        <v>#N/A</v>
      </c>
      <c r="G476" s="11"/>
      <c r="H476" s="11" t="s">
        <v>250</v>
      </c>
      <c r="I476" s="33" t="s">
        <v>1061</v>
      </c>
      <c r="J476" s="34">
        <v>36629.0</v>
      </c>
    </row>
    <row r="477">
      <c r="A477" s="31" t="s">
        <v>747</v>
      </c>
      <c r="B477" s="31" t="s">
        <v>1189</v>
      </c>
      <c r="C477" s="31" t="s">
        <v>1133</v>
      </c>
      <c r="D477" s="32">
        <f t="shared" si="1"/>
        <v>25.58082192</v>
      </c>
      <c r="E477" s="35">
        <f t="shared" si="2"/>
        <v>36529</v>
      </c>
      <c r="G477" s="11"/>
      <c r="H477" s="11" t="s">
        <v>250</v>
      </c>
      <c r="I477" s="33" t="s">
        <v>1063</v>
      </c>
      <c r="J477" s="34">
        <v>37506.0</v>
      </c>
    </row>
    <row r="478">
      <c r="A478" s="31" t="s">
        <v>747</v>
      </c>
      <c r="B478" s="31" t="s">
        <v>1516</v>
      </c>
      <c r="C478" s="31" t="s">
        <v>1272</v>
      </c>
      <c r="D478" s="32" t="str">
        <f t="shared" si="1"/>
        <v>#N/A</v>
      </c>
      <c r="E478" s="14" t="str">
        <f t="shared" si="2"/>
        <v>#N/A</v>
      </c>
      <c r="G478" s="11"/>
      <c r="H478" s="11" t="s">
        <v>250</v>
      </c>
      <c r="I478" s="33" t="s">
        <v>1065</v>
      </c>
      <c r="J478" s="34">
        <v>36389.0</v>
      </c>
    </row>
    <row r="479">
      <c r="A479" s="11" t="s">
        <v>747</v>
      </c>
      <c r="B479" s="31" t="s">
        <v>1517</v>
      </c>
      <c r="C479" s="31" t="s">
        <v>1133</v>
      </c>
      <c r="D479" s="32" t="str">
        <f t="shared" si="1"/>
        <v>#N/A</v>
      </c>
      <c r="E479" s="14" t="str">
        <f t="shared" si="2"/>
        <v>#N/A</v>
      </c>
      <c r="G479" s="11"/>
      <c r="H479" s="11" t="s">
        <v>63</v>
      </c>
      <c r="I479" s="33" t="s">
        <v>1067</v>
      </c>
      <c r="J479" s="34">
        <v>34760.0</v>
      </c>
    </row>
    <row r="480">
      <c r="A480" s="11" t="s">
        <v>747</v>
      </c>
      <c r="B480" s="31" t="s">
        <v>1325</v>
      </c>
      <c r="C480" s="31" t="s">
        <v>1311</v>
      </c>
      <c r="D480" s="32">
        <f t="shared" si="1"/>
        <v>20.16712329</v>
      </c>
      <c r="E480" s="35">
        <f t="shared" si="2"/>
        <v>38505</v>
      </c>
      <c r="G480" s="11"/>
      <c r="H480" s="11" t="s">
        <v>63</v>
      </c>
      <c r="I480" s="33" t="s">
        <v>1069</v>
      </c>
      <c r="J480" s="34">
        <v>35512.0</v>
      </c>
    </row>
    <row r="481">
      <c r="A481" s="11" t="s">
        <v>748</v>
      </c>
      <c r="B481" s="31" t="s">
        <v>1518</v>
      </c>
      <c r="C481" s="31" t="s">
        <v>1400</v>
      </c>
      <c r="D481" s="32" t="str">
        <f t="shared" si="1"/>
        <v>#N/A</v>
      </c>
      <c r="E481" s="14" t="str">
        <f t="shared" si="2"/>
        <v>#N/A</v>
      </c>
      <c r="G481" s="11"/>
      <c r="H481" s="11" t="s">
        <v>63</v>
      </c>
      <c r="I481" s="33" t="s">
        <v>1071</v>
      </c>
      <c r="J481" s="34">
        <v>34601.0</v>
      </c>
    </row>
    <row r="482">
      <c r="A482" s="31" t="s">
        <v>748</v>
      </c>
      <c r="B482" s="31" t="s">
        <v>780</v>
      </c>
      <c r="C482" s="31" t="s">
        <v>1133</v>
      </c>
      <c r="D482" s="32">
        <f t="shared" si="1"/>
        <v>27.95068493</v>
      </c>
      <c r="E482" s="35">
        <f t="shared" si="2"/>
        <v>35664</v>
      </c>
      <c r="G482" s="11"/>
      <c r="H482" s="11" t="s">
        <v>64</v>
      </c>
      <c r="I482" s="33" t="s">
        <v>1073</v>
      </c>
      <c r="J482" s="34">
        <v>32588.0</v>
      </c>
    </row>
    <row r="483">
      <c r="A483" s="11" t="s">
        <v>748</v>
      </c>
      <c r="B483" s="31" t="s">
        <v>782</v>
      </c>
      <c r="C483" s="31" t="s">
        <v>1272</v>
      </c>
      <c r="D483" s="32">
        <f t="shared" si="1"/>
        <v>37.48767123</v>
      </c>
      <c r="E483" s="35">
        <f t="shared" si="2"/>
        <v>32183</v>
      </c>
      <c r="G483" s="11"/>
      <c r="H483" s="11" t="s">
        <v>251</v>
      </c>
      <c r="I483" s="33" t="s">
        <v>1075</v>
      </c>
      <c r="J483" s="34">
        <v>34739.0</v>
      </c>
    </row>
    <row r="484">
      <c r="A484" s="11" t="s">
        <v>748</v>
      </c>
      <c r="B484" s="31" t="s">
        <v>784</v>
      </c>
      <c r="C484" s="31" t="s">
        <v>1311</v>
      </c>
      <c r="D484" s="32">
        <f t="shared" si="1"/>
        <v>23.40273973</v>
      </c>
      <c r="E484" s="35">
        <f t="shared" si="2"/>
        <v>37324</v>
      </c>
      <c r="G484" s="11"/>
      <c r="H484" s="11" t="s">
        <v>251</v>
      </c>
      <c r="I484" s="33" t="s">
        <v>1077</v>
      </c>
      <c r="J484" s="34">
        <v>38791.0</v>
      </c>
    </row>
    <row r="485">
      <c r="A485" s="11" t="s">
        <v>748</v>
      </c>
      <c r="B485" s="31" t="s">
        <v>786</v>
      </c>
      <c r="C485" s="31" t="s">
        <v>1311</v>
      </c>
      <c r="D485" s="32">
        <f t="shared" si="1"/>
        <v>36.53972603</v>
      </c>
      <c r="E485" s="35">
        <f t="shared" si="2"/>
        <v>32529</v>
      </c>
      <c r="G485" s="11"/>
      <c r="H485" s="11" t="s">
        <v>251</v>
      </c>
      <c r="I485" s="33" t="s">
        <v>1079</v>
      </c>
      <c r="J485" s="34">
        <v>38170.0</v>
      </c>
    </row>
    <row r="486">
      <c r="A486" s="11" t="s">
        <v>748</v>
      </c>
      <c r="B486" s="31" t="s">
        <v>788</v>
      </c>
      <c r="C486" s="31" t="s">
        <v>1311</v>
      </c>
      <c r="D486" s="32">
        <f t="shared" si="1"/>
        <v>28.48767123</v>
      </c>
      <c r="E486" s="35">
        <f t="shared" si="2"/>
        <v>35468</v>
      </c>
      <c r="G486" s="11"/>
      <c r="H486" s="11" t="s">
        <v>251</v>
      </c>
      <c r="I486" s="33" t="s">
        <v>1081</v>
      </c>
      <c r="J486" s="34">
        <v>36979.0</v>
      </c>
    </row>
    <row r="487">
      <c r="A487" s="31" t="s">
        <v>748</v>
      </c>
      <c r="B487" s="31" t="s">
        <v>790</v>
      </c>
      <c r="C487" s="31" t="s">
        <v>1272</v>
      </c>
      <c r="D487" s="32">
        <f t="shared" si="1"/>
        <v>29.35342466</v>
      </c>
      <c r="E487" s="35">
        <f t="shared" si="2"/>
        <v>35152</v>
      </c>
      <c r="G487" s="11"/>
      <c r="H487" s="11" t="s">
        <v>314</v>
      </c>
      <c r="I487" s="33" t="s">
        <v>1083</v>
      </c>
      <c r="J487" s="34">
        <v>37434.0</v>
      </c>
    </row>
    <row r="488">
      <c r="A488" s="31" t="s">
        <v>748</v>
      </c>
      <c r="B488" s="31" t="s">
        <v>792</v>
      </c>
      <c r="C488" s="31" t="s">
        <v>1272</v>
      </c>
      <c r="D488" s="32">
        <f t="shared" si="1"/>
        <v>26.57260274</v>
      </c>
      <c r="E488" s="35">
        <f t="shared" si="2"/>
        <v>36167</v>
      </c>
      <c r="G488" s="11"/>
      <c r="H488" s="11" t="s">
        <v>314</v>
      </c>
      <c r="I488" s="33" t="s">
        <v>1085</v>
      </c>
      <c r="J488" s="34">
        <v>33305.0</v>
      </c>
    </row>
    <row r="489">
      <c r="A489" s="31" t="s">
        <v>748</v>
      </c>
      <c r="B489" s="31" t="s">
        <v>794</v>
      </c>
      <c r="C489" s="31" t="s">
        <v>1272</v>
      </c>
      <c r="D489" s="32">
        <f t="shared" si="1"/>
        <v>35.67671233</v>
      </c>
      <c r="E489" s="35">
        <f t="shared" si="2"/>
        <v>32844</v>
      </c>
      <c r="G489" s="11"/>
      <c r="H489" s="11" t="s">
        <v>314</v>
      </c>
      <c r="I489" s="33" t="s">
        <v>1087</v>
      </c>
      <c r="J489" s="34">
        <v>37462.0</v>
      </c>
    </row>
    <row r="490">
      <c r="A490" s="11" t="s">
        <v>748</v>
      </c>
      <c r="B490" s="31" t="s">
        <v>796</v>
      </c>
      <c r="C490" s="31" t="s">
        <v>1133</v>
      </c>
      <c r="D490" s="32">
        <f t="shared" si="1"/>
        <v>23.08767123</v>
      </c>
      <c r="E490" s="35">
        <f t="shared" si="2"/>
        <v>37439</v>
      </c>
      <c r="G490" s="11"/>
      <c r="H490" s="11" t="s">
        <v>188</v>
      </c>
      <c r="I490" s="33" t="s">
        <v>1089</v>
      </c>
      <c r="J490" s="34">
        <v>34719.0</v>
      </c>
    </row>
    <row r="491">
      <c r="A491" s="11" t="s">
        <v>748</v>
      </c>
      <c r="B491" s="31" t="s">
        <v>798</v>
      </c>
      <c r="C491" s="31" t="s">
        <v>1272</v>
      </c>
      <c r="D491" s="32">
        <f t="shared" si="1"/>
        <v>26.30958904</v>
      </c>
      <c r="E491" s="35">
        <f t="shared" si="2"/>
        <v>36263</v>
      </c>
      <c r="G491" s="11"/>
      <c r="H491" s="11" t="s">
        <v>188</v>
      </c>
      <c r="I491" s="33" t="s">
        <v>1091</v>
      </c>
      <c r="J491" s="34">
        <v>35891.0</v>
      </c>
    </row>
    <row r="492">
      <c r="A492" s="11" t="s">
        <v>748</v>
      </c>
      <c r="B492" s="31" t="s">
        <v>1519</v>
      </c>
      <c r="C492" s="31" t="s">
        <v>1400</v>
      </c>
      <c r="D492" s="32" t="str">
        <f t="shared" si="1"/>
        <v>#N/A</v>
      </c>
      <c r="E492" s="14" t="str">
        <f t="shared" si="2"/>
        <v>#N/A</v>
      </c>
      <c r="G492" s="11"/>
      <c r="H492" s="11" t="s">
        <v>188</v>
      </c>
      <c r="I492" s="33" t="s">
        <v>1093</v>
      </c>
      <c r="J492" s="34">
        <v>32520.0</v>
      </c>
    </row>
    <row r="493">
      <c r="A493" s="31" t="s">
        <v>748</v>
      </c>
      <c r="B493" s="31" t="s">
        <v>1520</v>
      </c>
      <c r="C493" s="31" t="s">
        <v>1400</v>
      </c>
      <c r="D493" s="32" t="str">
        <f t="shared" si="1"/>
        <v>#N/A</v>
      </c>
      <c r="E493" s="14" t="str">
        <f t="shared" si="2"/>
        <v>#N/A</v>
      </c>
      <c r="G493" s="11"/>
      <c r="H493" s="11" t="s">
        <v>187</v>
      </c>
      <c r="I493" s="33" t="s">
        <v>1095</v>
      </c>
      <c r="J493" s="34">
        <v>37949.0</v>
      </c>
    </row>
    <row r="494">
      <c r="A494" s="31" t="s">
        <v>748</v>
      </c>
      <c r="B494" s="31" t="s">
        <v>1521</v>
      </c>
      <c r="C494" s="31" t="s">
        <v>1400</v>
      </c>
      <c r="D494" s="32" t="str">
        <f t="shared" si="1"/>
        <v>#N/A</v>
      </c>
      <c r="E494" s="14" t="str">
        <f t="shared" si="2"/>
        <v>#N/A</v>
      </c>
      <c r="G494" s="11"/>
      <c r="H494" s="11" t="s">
        <v>187</v>
      </c>
      <c r="I494" s="33" t="s">
        <v>1097</v>
      </c>
      <c r="J494" s="34">
        <v>37501.0</v>
      </c>
    </row>
    <row r="495">
      <c r="A495" s="11" t="s">
        <v>748</v>
      </c>
      <c r="B495" s="31" t="s">
        <v>1159</v>
      </c>
      <c r="C495" s="31" t="s">
        <v>1272</v>
      </c>
      <c r="D495" s="32">
        <f t="shared" si="1"/>
        <v>33.49863014</v>
      </c>
      <c r="E495" s="35">
        <f t="shared" si="2"/>
        <v>33639</v>
      </c>
      <c r="G495" s="11"/>
      <c r="H495" s="11" t="s">
        <v>313</v>
      </c>
      <c r="I495" s="33" t="s">
        <v>1100</v>
      </c>
      <c r="J495" s="34">
        <v>39189.0</v>
      </c>
    </row>
    <row r="496">
      <c r="A496" s="11" t="s">
        <v>748</v>
      </c>
      <c r="B496" s="31" t="s">
        <v>800</v>
      </c>
      <c r="C496" s="31" t="s">
        <v>1311</v>
      </c>
      <c r="D496" s="32">
        <f t="shared" si="1"/>
        <v>21.77260274</v>
      </c>
      <c r="E496" s="35">
        <f t="shared" si="2"/>
        <v>37919</v>
      </c>
      <c r="G496" s="11"/>
      <c r="H496" s="11" t="s">
        <v>313</v>
      </c>
      <c r="I496" s="33" t="s">
        <v>1102</v>
      </c>
      <c r="J496" s="34">
        <v>36597.0</v>
      </c>
    </row>
    <row r="497">
      <c r="A497" s="31" t="s">
        <v>748</v>
      </c>
      <c r="B497" s="31" t="s">
        <v>802</v>
      </c>
      <c r="C497" s="31" t="s">
        <v>1133</v>
      </c>
      <c r="D497" s="32">
        <f t="shared" si="1"/>
        <v>27.99452055</v>
      </c>
      <c r="E497" s="35">
        <f t="shared" si="2"/>
        <v>35648</v>
      </c>
      <c r="G497" s="11"/>
      <c r="H497" s="11" t="s">
        <v>441</v>
      </c>
      <c r="I497" s="33" t="s">
        <v>1104</v>
      </c>
      <c r="J497" s="34">
        <v>38139.0</v>
      </c>
    </row>
    <row r="498">
      <c r="A498" s="31" t="s">
        <v>748</v>
      </c>
      <c r="B498" s="31" t="s">
        <v>804</v>
      </c>
      <c r="C498" s="31" t="s">
        <v>1311</v>
      </c>
      <c r="D498" s="32">
        <f t="shared" si="1"/>
        <v>23.63561644</v>
      </c>
      <c r="E498" s="35">
        <f t="shared" si="2"/>
        <v>37239</v>
      </c>
      <c r="G498" s="11"/>
      <c r="H498" s="11" t="s">
        <v>441</v>
      </c>
      <c r="I498" s="33" t="s">
        <v>1106</v>
      </c>
      <c r="J498" s="34">
        <v>37060.0</v>
      </c>
    </row>
    <row r="499">
      <c r="A499" s="31" t="s">
        <v>748</v>
      </c>
      <c r="B499" s="31" t="s">
        <v>806</v>
      </c>
      <c r="C499" s="31" t="s">
        <v>1272</v>
      </c>
      <c r="D499" s="32">
        <f t="shared" si="1"/>
        <v>27.73150685</v>
      </c>
      <c r="E499" s="35">
        <f t="shared" si="2"/>
        <v>35744</v>
      </c>
      <c r="G499" s="11"/>
      <c r="H499" s="11" t="s">
        <v>441</v>
      </c>
      <c r="I499" s="33" t="s">
        <v>1108</v>
      </c>
      <c r="J499" s="34">
        <v>37351.0</v>
      </c>
    </row>
    <row r="500">
      <c r="A500" s="31" t="s">
        <v>748</v>
      </c>
      <c r="B500" s="31" t="s">
        <v>1522</v>
      </c>
      <c r="C500" s="31" t="s">
        <v>1272</v>
      </c>
      <c r="D500" s="32" t="str">
        <f t="shared" si="1"/>
        <v>#N/A</v>
      </c>
      <c r="E500" s="14" t="str">
        <f t="shared" si="2"/>
        <v>#N/A</v>
      </c>
      <c r="G500" s="11"/>
      <c r="H500" s="11" t="s">
        <v>441</v>
      </c>
      <c r="I500" s="33" t="s">
        <v>1110</v>
      </c>
      <c r="J500" s="34">
        <v>38523.0</v>
      </c>
    </row>
    <row r="501">
      <c r="A501" s="11" t="s">
        <v>748</v>
      </c>
      <c r="B501" s="31" t="s">
        <v>1161</v>
      </c>
      <c r="C501" s="31" t="s">
        <v>1133</v>
      </c>
      <c r="D501" s="32">
        <f t="shared" si="1"/>
        <v>20.4109589</v>
      </c>
      <c r="E501" s="35">
        <f t="shared" si="2"/>
        <v>38416</v>
      </c>
      <c r="G501" s="11"/>
      <c r="H501" s="11" t="s">
        <v>124</v>
      </c>
      <c r="I501" s="33" t="s">
        <v>1112</v>
      </c>
      <c r="J501" s="34">
        <v>38029.0</v>
      </c>
    </row>
    <row r="502">
      <c r="A502" s="11" t="s">
        <v>748</v>
      </c>
      <c r="B502" s="31" t="s">
        <v>1523</v>
      </c>
      <c r="C502" s="31" t="s">
        <v>1272</v>
      </c>
      <c r="D502" s="32" t="str">
        <f t="shared" si="1"/>
        <v>#N/A</v>
      </c>
      <c r="E502" s="14" t="str">
        <f t="shared" si="2"/>
        <v>#N/A</v>
      </c>
      <c r="G502" s="11"/>
      <c r="H502" s="11" t="s">
        <v>124</v>
      </c>
      <c r="I502" s="33" t="s">
        <v>1114</v>
      </c>
      <c r="J502" s="34">
        <v>37026.0</v>
      </c>
    </row>
    <row r="503">
      <c r="A503" s="11" t="s">
        <v>748</v>
      </c>
      <c r="B503" s="31" t="s">
        <v>1524</v>
      </c>
      <c r="C503" s="31" t="s">
        <v>1133</v>
      </c>
      <c r="D503" s="32" t="str">
        <f t="shared" si="1"/>
        <v>#N/A</v>
      </c>
      <c r="E503" s="14" t="str">
        <f t="shared" si="2"/>
        <v>#N/A</v>
      </c>
      <c r="G503" s="11"/>
      <c r="H503" s="11" t="s">
        <v>124</v>
      </c>
      <c r="I503" s="33" t="s">
        <v>1116</v>
      </c>
      <c r="J503" s="34">
        <v>35398.0</v>
      </c>
    </row>
    <row r="504">
      <c r="A504" s="11" t="s">
        <v>748</v>
      </c>
      <c r="B504" s="31" t="s">
        <v>1525</v>
      </c>
      <c r="C504" s="31" t="s">
        <v>1311</v>
      </c>
      <c r="D504" s="32" t="str">
        <f t="shared" si="1"/>
        <v>#N/A</v>
      </c>
      <c r="E504" s="14" t="str">
        <f t="shared" si="2"/>
        <v>#N/A</v>
      </c>
      <c r="G504" s="11"/>
      <c r="H504" s="11" t="s">
        <v>124</v>
      </c>
      <c r="I504" s="33" t="s">
        <v>1118</v>
      </c>
      <c r="J504" s="34">
        <v>37676.0</v>
      </c>
    </row>
    <row r="505">
      <c r="A505" s="11" t="s">
        <v>748</v>
      </c>
      <c r="B505" s="31" t="s">
        <v>1526</v>
      </c>
      <c r="C505" s="31" t="s">
        <v>1272</v>
      </c>
      <c r="D505" s="32" t="str">
        <f t="shared" si="1"/>
        <v>#N/A</v>
      </c>
      <c r="E505" s="14" t="str">
        <f t="shared" si="2"/>
        <v>#N/A</v>
      </c>
      <c r="G505" s="11"/>
      <c r="H505" s="11" t="s">
        <v>124</v>
      </c>
      <c r="I505" s="33" t="s">
        <v>1120</v>
      </c>
      <c r="J505" s="34">
        <v>36949.0</v>
      </c>
    </row>
    <row r="506">
      <c r="A506" s="31" t="s">
        <v>748</v>
      </c>
      <c r="B506" s="31" t="s">
        <v>808</v>
      </c>
      <c r="C506" s="31" t="s">
        <v>1311</v>
      </c>
      <c r="D506" s="32">
        <f t="shared" si="1"/>
        <v>23.5260274</v>
      </c>
      <c r="E506" s="35">
        <f t="shared" si="2"/>
        <v>37279</v>
      </c>
      <c r="G506" s="11"/>
      <c r="H506" s="11" t="s">
        <v>501</v>
      </c>
      <c r="I506" s="33" t="s">
        <v>1123</v>
      </c>
      <c r="J506" s="34">
        <v>37870.0</v>
      </c>
    </row>
    <row r="507">
      <c r="A507" s="39" t="s">
        <v>563</v>
      </c>
      <c r="B507" s="39" t="s">
        <v>1527</v>
      </c>
      <c r="C507" s="39" t="s">
        <v>1400</v>
      </c>
      <c r="D507" s="32" t="str">
        <f t="shared" si="1"/>
        <v>#N/A</v>
      </c>
      <c r="E507" s="14" t="str">
        <f t="shared" si="2"/>
        <v>#N/A</v>
      </c>
      <c r="G507" s="11"/>
      <c r="H507" s="11" t="s">
        <v>501</v>
      </c>
      <c r="I507" s="33" t="s">
        <v>1125</v>
      </c>
      <c r="J507" s="34">
        <v>38391.0</v>
      </c>
    </row>
    <row r="508">
      <c r="A508" s="39" t="s">
        <v>563</v>
      </c>
      <c r="B508" s="39" t="s">
        <v>566</v>
      </c>
      <c r="C508" s="39" t="s">
        <v>1272</v>
      </c>
      <c r="D508" s="32">
        <f t="shared" si="1"/>
        <v>35.16712329</v>
      </c>
      <c r="E508" s="35">
        <f t="shared" si="2"/>
        <v>33030</v>
      </c>
      <c r="G508" s="11"/>
      <c r="H508" s="11" t="s">
        <v>377</v>
      </c>
      <c r="I508" s="33" t="s">
        <v>1127</v>
      </c>
      <c r="J508" s="34">
        <v>36346.0</v>
      </c>
    </row>
    <row r="509">
      <c r="A509" s="39" t="s">
        <v>563</v>
      </c>
      <c r="B509" s="39" t="s">
        <v>568</v>
      </c>
      <c r="C509" s="39" t="s">
        <v>1272</v>
      </c>
      <c r="D509" s="32">
        <f t="shared" si="1"/>
        <v>40.8739726</v>
      </c>
      <c r="E509" s="35">
        <f t="shared" si="2"/>
        <v>30947</v>
      </c>
      <c r="G509" s="11"/>
      <c r="H509" s="11" t="s">
        <v>377</v>
      </c>
      <c r="I509" s="33" t="s">
        <v>1129</v>
      </c>
      <c r="J509" s="34">
        <v>38721.0</v>
      </c>
    </row>
    <row r="510">
      <c r="A510" s="39" t="s">
        <v>563</v>
      </c>
      <c r="B510" s="39" t="s">
        <v>570</v>
      </c>
      <c r="C510" s="39" t="s">
        <v>1272</v>
      </c>
      <c r="D510" s="32">
        <f t="shared" si="1"/>
        <v>32.89041096</v>
      </c>
      <c r="E510" s="35">
        <f t="shared" si="2"/>
        <v>33861</v>
      </c>
      <c r="G510" s="11"/>
      <c r="H510" s="11" t="s">
        <v>378</v>
      </c>
      <c r="I510" s="33" t="s">
        <v>1132</v>
      </c>
      <c r="J510" s="34">
        <v>35968.0</v>
      </c>
    </row>
    <row r="511">
      <c r="A511" s="40" t="s">
        <v>563</v>
      </c>
      <c r="B511" s="39" t="s">
        <v>572</v>
      </c>
      <c r="C511" s="39" t="s">
        <v>1311</v>
      </c>
      <c r="D511" s="32">
        <f t="shared" si="1"/>
        <v>23.82739726</v>
      </c>
      <c r="E511" s="35">
        <f t="shared" si="2"/>
        <v>37169</v>
      </c>
      <c r="G511" s="11"/>
      <c r="H511" s="11" t="s">
        <v>502</v>
      </c>
      <c r="I511" s="33" t="s">
        <v>1135</v>
      </c>
      <c r="J511" s="34">
        <v>33510.0</v>
      </c>
    </row>
    <row r="512">
      <c r="A512" s="39" t="s">
        <v>563</v>
      </c>
      <c r="B512" s="39" t="s">
        <v>574</v>
      </c>
      <c r="C512" s="39" t="s">
        <v>1133</v>
      </c>
      <c r="D512" s="32">
        <f t="shared" si="1"/>
        <v>34.08767123</v>
      </c>
      <c r="E512" s="35">
        <f t="shared" si="2"/>
        <v>33424</v>
      </c>
      <c r="G512" s="11"/>
      <c r="H512" s="11" t="s">
        <v>123</v>
      </c>
      <c r="I512" s="33" t="s">
        <v>1137</v>
      </c>
      <c r="J512" s="34">
        <v>34736.0</v>
      </c>
    </row>
    <row r="513">
      <c r="A513" s="39" t="s">
        <v>563</v>
      </c>
      <c r="B513" s="39" t="s">
        <v>576</v>
      </c>
      <c r="C513" s="39" t="s">
        <v>1311</v>
      </c>
      <c r="D513" s="32">
        <f t="shared" si="1"/>
        <v>27.42191781</v>
      </c>
      <c r="E513" s="35">
        <f t="shared" si="2"/>
        <v>35857</v>
      </c>
      <c r="G513" s="11"/>
      <c r="H513" s="11" t="s">
        <v>123</v>
      </c>
      <c r="I513" s="33" t="s">
        <v>1139</v>
      </c>
      <c r="J513" s="34">
        <v>35577.0</v>
      </c>
    </row>
    <row r="514">
      <c r="A514" s="39" t="s">
        <v>563</v>
      </c>
      <c r="B514" s="39" t="s">
        <v>578</v>
      </c>
      <c r="C514" s="39" t="s">
        <v>1133</v>
      </c>
      <c r="D514" s="32">
        <f t="shared" si="1"/>
        <v>26.84109589</v>
      </c>
      <c r="E514" s="35">
        <f t="shared" si="2"/>
        <v>36069</v>
      </c>
      <c r="G514" s="11"/>
      <c r="H514" s="11" t="s">
        <v>123</v>
      </c>
      <c r="I514" s="33" t="s">
        <v>1141</v>
      </c>
      <c r="J514" s="34">
        <v>35075.0</v>
      </c>
    </row>
    <row r="515">
      <c r="A515" s="40" t="s">
        <v>563</v>
      </c>
      <c r="B515" s="39" t="s">
        <v>580</v>
      </c>
      <c r="C515" s="39" t="s">
        <v>1133</v>
      </c>
      <c r="D515" s="32">
        <f t="shared" si="1"/>
        <v>27.86849315</v>
      </c>
      <c r="E515" s="35">
        <f t="shared" si="2"/>
        <v>35694</v>
      </c>
      <c r="G515" s="11"/>
      <c r="H515" s="11" t="s">
        <v>440</v>
      </c>
      <c r="I515" s="33" t="s">
        <v>1143</v>
      </c>
      <c r="J515" s="34">
        <v>38056.0</v>
      </c>
    </row>
    <row r="516">
      <c r="A516" s="40" t="s">
        <v>563</v>
      </c>
      <c r="B516" s="39" t="s">
        <v>582</v>
      </c>
      <c r="C516" s="39" t="s">
        <v>1272</v>
      </c>
      <c r="D516" s="32">
        <f t="shared" si="1"/>
        <v>25.56164384</v>
      </c>
      <c r="E516" s="35">
        <f t="shared" si="2"/>
        <v>36536</v>
      </c>
      <c r="G516" s="11"/>
      <c r="H516" s="11" t="s">
        <v>440</v>
      </c>
      <c r="I516" s="33" t="s">
        <v>1145</v>
      </c>
      <c r="J516" s="34">
        <v>35908.0</v>
      </c>
    </row>
    <row r="517">
      <c r="A517" s="40" t="s">
        <v>563</v>
      </c>
      <c r="B517" s="39" t="s">
        <v>584</v>
      </c>
      <c r="C517" s="39" t="s">
        <v>1311</v>
      </c>
      <c r="D517" s="32">
        <f t="shared" si="1"/>
        <v>24.78630137</v>
      </c>
      <c r="E517" s="35">
        <f t="shared" si="2"/>
        <v>36819</v>
      </c>
      <c r="G517" s="11"/>
      <c r="H517" s="11" t="s">
        <v>440</v>
      </c>
      <c r="I517" s="33" t="s">
        <v>1147</v>
      </c>
      <c r="J517" s="34">
        <v>32952.0</v>
      </c>
    </row>
    <row r="518">
      <c r="A518" s="40" t="s">
        <v>563</v>
      </c>
      <c r="B518" s="39" t="s">
        <v>1528</v>
      </c>
      <c r="C518" s="39" t="s">
        <v>1400</v>
      </c>
      <c r="D518" s="32" t="str">
        <f t="shared" si="1"/>
        <v>#N/A</v>
      </c>
      <c r="E518" s="14" t="str">
        <f t="shared" si="2"/>
        <v>#N/A</v>
      </c>
      <c r="G518" s="11"/>
      <c r="H518" s="11" t="s">
        <v>440</v>
      </c>
      <c r="I518" s="33" t="s">
        <v>1151</v>
      </c>
      <c r="J518" s="34">
        <v>35567.0</v>
      </c>
    </row>
    <row r="519">
      <c r="A519" s="39" t="s">
        <v>563</v>
      </c>
      <c r="B519" s="39" t="s">
        <v>1529</v>
      </c>
      <c r="C519" s="39" t="s">
        <v>1400</v>
      </c>
      <c r="D519" s="32" t="str">
        <f t="shared" si="1"/>
        <v>#N/A</v>
      </c>
      <c r="E519" s="14" t="str">
        <f t="shared" si="2"/>
        <v>#N/A</v>
      </c>
      <c r="G519" s="11"/>
      <c r="H519" s="11" t="s">
        <v>688</v>
      </c>
      <c r="I519" s="33" t="s">
        <v>1153</v>
      </c>
      <c r="J519" s="34">
        <v>38801.0</v>
      </c>
    </row>
    <row r="520">
      <c r="A520" s="39" t="s">
        <v>563</v>
      </c>
      <c r="B520" s="39" t="s">
        <v>1306</v>
      </c>
      <c r="C520" s="39" t="s">
        <v>1272</v>
      </c>
      <c r="D520" s="32">
        <f t="shared" si="1"/>
        <v>28.6739726</v>
      </c>
      <c r="E520" s="35">
        <f t="shared" si="2"/>
        <v>35400</v>
      </c>
      <c r="G520" s="11"/>
      <c r="H520" s="11" t="s">
        <v>688</v>
      </c>
      <c r="I520" s="33" t="s">
        <v>1155</v>
      </c>
      <c r="J520" s="34">
        <v>34187.0</v>
      </c>
    </row>
    <row r="521">
      <c r="A521" s="40" t="s">
        <v>563</v>
      </c>
      <c r="B521" s="39" t="s">
        <v>1171</v>
      </c>
      <c r="C521" s="39" t="s">
        <v>1311</v>
      </c>
      <c r="D521" s="32">
        <f t="shared" si="1"/>
        <v>21.95068493</v>
      </c>
      <c r="E521" s="35">
        <f t="shared" si="2"/>
        <v>37854</v>
      </c>
      <c r="G521" s="11"/>
      <c r="H521" s="11" t="s">
        <v>564</v>
      </c>
      <c r="I521" s="36" t="s">
        <v>1157</v>
      </c>
      <c r="J521" s="37">
        <v>37546.0</v>
      </c>
    </row>
    <row r="522">
      <c r="A522" s="39" t="s">
        <v>563</v>
      </c>
      <c r="B522" s="39" t="s">
        <v>1165</v>
      </c>
      <c r="C522" s="39" t="s">
        <v>1311</v>
      </c>
      <c r="D522" s="32">
        <f t="shared" si="1"/>
        <v>35.81643836</v>
      </c>
      <c r="E522" s="35">
        <f t="shared" si="2"/>
        <v>32793</v>
      </c>
      <c r="G522" s="11"/>
      <c r="H522" s="11" t="s">
        <v>748</v>
      </c>
      <c r="I522" s="33" t="s">
        <v>1159</v>
      </c>
      <c r="J522" s="34">
        <v>33639.0</v>
      </c>
    </row>
    <row r="523">
      <c r="A523" s="39" t="s">
        <v>563</v>
      </c>
      <c r="B523" s="39" t="s">
        <v>586</v>
      </c>
      <c r="C523" s="39" t="s">
        <v>1133</v>
      </c>
      <c r="D523" s="32">
        <f t="shared" si="1"/>
        <v>37.50958904</v>
      </c>
      <c r="E523" s="41">
        <f t="shared" si="2"/>
        <v>32175</v>
      </c>
      <c r="G523" s="11"/>
      <c r="H523" s="11" t="s">
        <v>748</v>
      </c>
      <c r="I523" s="33" t="s">
        <v>1161</v>
      </c>
      <c r="J523" s="34">
        <v>38416.0</v>
      </c>
    </row>
    <row r="524">
      <c r="A524" s="39" t="s">
        <v>563</v>
      </c>
      <c r="B524" s="39" t="s">
        <v>588</v>
      </c>
      <c r="C524" s="39" t="s">
        <v>1311</v>
      </c>
      <c r="D524" s="32">
        <f t="shared" si="1"/>
        <v>29.14794521</v>
      </c>
      <c r="E524" s="35">
        <f t="shared" si="2"/>
        <v>35227</v>
      </c>
      <c r="G524" s="11"/>
      <c r="H524" s="11" t="s">
        <v>748</v>
      </c>
      <c r="I524" s="33" t="s">
        <v>1163</v>
      </c>
      <c r="J524" s="34">
        <v>38531.0</v>
      </c>
    </row>
    <row r="525">
      <c r="A525" s="39" t="s">
        <v>563</v>
      </c>
      <c r="B525" s="39" t="s">
        <v>590</v>
      </c>
      <c r="C525" s="39" t="s">
        <v>1133</v>
      </c>
      <c r="D525" s="32">
        <f t="shared" si="1"/>
        <v>26.02465753</v>
      </c>
      <c r="E525" s="35">
        <f t="shared" si="2"/>
        <v>36367</v>
      </c>
      <c r="G525" s="11"/>
      <c r="H525" s="11" t="s">
        <v>563</v>
      </c>
      <c r="I525" s="33" t="s">
        <v>1165</v>
      </c>
      <c r="J525" s="34">
        <v>32793.0</v>
      </c>
    </row>
    <row r="526">
      <c r="A526" s="39" t="s">
        <v>563</v>
      </c>
      <c r="B526" s="39" t="s">
        <v>592</v>
      </c>
      <c r="C526" s="39" t="s">
        <v>1133</v>
      </c>
      <c r="D526" s="32">
        <f t="shared" si="1"/>
        <v>27.63013699</v>
      </c>
      <c r="E526" s="35">
        <f t="shared" si="2"/>
        <v>35781</v>
      </c>
      <c r="G526" s="11"/>
      <c r="H526" s="11" t="s">
        <v>563</v>
      </c>
      <c r="I526" s="33" t="s">
        <v>1167</v>
      </c>
      <c r="J526" s="34">
        <v>35470.0</v>
      </c>
    </row>
    <row r="527">
      <c r="A527" s="39" t="s">
        <v>564</v>
      </c>
      <c r="B527" s="39" t="s">
        <v>1530</v>
      </c>
      <c r="C527" s="39" t="s">
        <v>1400</v>
      </c>
      <c r="D527" s="32" t="str">
        <f t="shared" si="1"/>
        <v>#N/A</v>
      </c>
      <c r="E527" s="14" t="str">
        <f t="shared" si="2"/>
        <v>#N/A</v>
      </c>
      <c r="G527" s="11"/>
      <c r="H527" s="11" t="s">
        <v>563</v>
      </c>
      <c r="I527" s="33" t="s">
        <v>1169</v>
      </c>
      <c r="J527" s="34">
        <v>36036.0</v>
      </c>
    </row>
    <row r="528">
      <c r="A528" s="39" t="s">
        <v>564</v>
      </c>
      <c r="B528" s="39" t="s">
        <v>594</v>
      </c>
      <c r="C528" s="39" t="s">
        <v>1272</v>
      </c>
      <c r="D528" s="32">
        <f t="shared" si="1"/>
        <v>29.04109589</v>
      </c>
      <c r="E528" s="35">
        <f t="shared" si="2"/>
        <v>35266</v>
      </c>
      <c r="G528" s="11"/>
      <c r="H528" s="11" t="s">
        <v>563</v>
      </c>
      <c r="I528" s="33" t="s">
        <v>1171</v>
      </c>
      <c r="J528" s="34">
        <v>37854.0</v>
      </c>
    </row>
    <row r="529">
      <c r="A529" s="39" t="s">
        <v>564</v>
      </c>
      <c r="B529" s="39" t="s">
        <v>596</v>
      </c>
      <c r="C529" s="39" t="s">
        <v>1272</v>
      </c>
      <c r="D529" s="32">
        <f t="shared" si="1"/>
        <v>30.30410959</v>
      </c>
      <c r="E529" s="35">
        <f t="shared" si="2"/>
        <v>34805</v>
      </c>
      <c r="G529" s="11"/>
      <c r="H529" s="11" t="s">
        <v>563</v>
      </c>
      <c r="I529" s="33" t="s">
        <v>1173</v>
      </c>
      <c r="J529" s="34">
        <v>32761.0</v>
      </c>
    </row>
    <row r="530">
      <c r="A530" s="40" t="s">
        <v>564</v>
      </c>
      <c r="B530" s="39" t="s">
        <v>598</v>
      </c>
      <c r="C530" s="39" t="s">
        <v>1133</v>
      </c>
      <c r="D530" s="32">
        <f t="shared" si="1"/>
        <v>29.39726027</v>
      </c>
      <c r="E530" s="35">
        <f t="shared" si="2"/>
        <v>35136</v>
      </c>
      <c r="G530" s="11"/>
      <c r="H530" s="11" t="s">
        <v>687</v>
      </c>
      <c r="I530" s="33" t="s">
        <v>1175</v>
      </c>
      <c r="J530" s="34">
        <v>36301.0</v>
      </c>
    </row>
    <row r="531">
      <c r="A531" s="40" t="s">
        <v>564</v>
      </c>
      <c r="B531" s="39" t="s">
        <v>600</v>
      </c>
      <c r="C531" s="39" t="s">
        <v>1133</v>
      </c>
      <c r="D531" s="32">
        <f t="shared" si="1"/>
        <v>28.92054795</v>
      </c>
      <c r="E531" s="35">
        <f t="shared" si="2"/>
        <v>35310</v>
      </c>
      <c r="G531" s="11"/>
      <c r="H531" s="11" t="s">
        <v>687</v>
      </c>
      <c r="I531" s="33" t="s">
        <v>1177</v>
      </c>
      <c r="J531" s="34">
        <v>36993.0</v>
      </c>
    </row>
    <row r="532">
      <c r="A532" s="40" t="s">
        <v>564</v>
      </c>
      <c r="B532" s="39" t="s">
        <v>602</v>
      </c>
      <c r="C532" s="39" t="s">
        <v>1311</v>
      </c>
      <c r="D532" s="32">
        <f t="shared" si="1"/>
        <v>34.14246575</v>
      </c>
      <c r="E532" s="35">
        <f t="shared" si="2"/>
        <v>33404</v>
      </c>
      <c r="G532" s="11"/>
      <c r="H532" s="11" t="s">
        <v>687</v>
      </c>
      <c r="I532" s="33" t="s">
        <v>1179</v>
      </c>
      <c r="J532" s="34">
        <v>37634.0</v>
      </c>
    </row>
    <row r="533">
      <c r="A533" s="39" t="s">
        <v>564</v>
      </c>
      <c r="B533" s="39" t="s">
        <v>604</v>
      </c>
      <c r="C533" s="39" t="s">
        <v>1311</v>
      </c>
      <c r="D533" s="32">
        <f t="shared" si="1"/>
        <v>31.38630137</v>
      </c>
      <c r="E533" s="35">
        <f t="shared" si="2"/>
        <v>34410</v>
      </c>
      <c r="G533" s="11"/>
      <c r="H533" s="11" t="s">
        <v>624</v>
      </c>
      <c r="I533" s="33" t="s">
        <v>1181</v>
      </c>
      <c r="J533" s="34">
        <v>34571.0</v>
      </c>
    </row>
    <row r="534">
      <c r="A534" s="39" t="s">
        <v>564</v>
      </c>
      <c r="B534" s="39" t="s">
        <v>606</v>
      </c>
      <c r="C534" s="39" t="s">
        <v>1272</v>
      </c>
      <c r="D534" s="32">
        <f t="shared" si="1"/>
        <v>23.47123288</v>
      </c>
      <c r="E534" s="35">
        <f t="shared" si="2"/>
        <v>37299</v>
      </c>
      <c r="G534" s="11"/>
      <c r="H534" s="11" t="s">
        <v>624</v>
      </c>
      <c r="I534" s="33" t="s">
        <v>1183</v>
      </c>
      <c r="J534" s="34">
        <v>34110.0</v>
      </c>
    </row>
    <row r="535">
      <c r="A535" s="40" t="s">
        <v>564</v>
      </c>
      <c r="B535" s="39" t="s">
        <v>608</v>
      </c>
      <c r="C535" s="39" t="s">
        <v>1272</v>
      </c>
      <c r="D535" s="32">
        <f t="shared" si="1"/>
        <v>29.92054795</v>
      </c>
      <c r="E535" s="35">
        <f t="shared" si="2"/>
        <v>34945</v>
      </c>
      <c r="G535" s="11"/>
      <c r="H535" s="11" t="s">
        <v>747</v>
      </c>
      <c r="I535" s="33" t="s">
        <v>1185</v>
      </c>
      <c r="J535" s="34">
        <v>33975.0</v>
      </c>
    </row>
    <row r="536">
      <c r="A536" s="40" t="s">
        <v>564</v>
      </c>
      <c r="B536" s="39" t="s">
        <v>610</v>
      </c>
      <c r="C536" s="39" t="s">
        <v>1272</v>
      </c>
      <c r="D536" s="32">
        <f t="shared" si="1"/>
        <v>27.71232877</v>
      </c>
      <c r="E536" s="35">
        <f t="shared" si="2"/>
        <v>35751</v>
      </c>
      <c r="G536" s="11"/>
      <c r="H536" s="11" t="s">
        <v>747</v>
      </c>
      <c r="I536" s="33" t="s">
        <v>1187</v>
      </c>
      <c r="J536" s="34">
        <v>36600.0</v>
      </c>
    </row>
    <row r="537">
      <c r="A537" s="40" t="s">
        <v>564</v>
      </c>
      <c r="B537" s="39" t="s">
        <v>612</v>
      </c>
      <c r="C537" s="39" t="s">
        <v>1133</v>
      </c>
      <c r="D537" s="32">
        <f t="shared" si="1"/>
        <v>23.53972603</v>
      </c>
      <c r="E537" s="35">
        <f t="shared" si="2"/>
        <v>37274</v>
      </c>
      <c r="G537" s="11"/>
      <c r="H537" s="11" t="s">
        <v>747</v>
      </c>
      <c r="I537" s="33" t="s">
        <v>1189</v>
      </c>
      <c r="J537" s="34">
        <v>36529.0</v>
      </c>
    </row>
    <row r="538">
      <c r="A538" s="39" t="s">
        <v>564</v>
      </c>
      <c r="B538" s="39" t="s">
        <v>1531</v>
      </c>
      <c r="C538" s="39" t="s">
        <v>1400</v>
      </c>
      <c r="D538" s="32" t="str">
        <f t="shared" si="1"/>
        <v>#N/A</v>
      </c>
      <c r="E538" s="14" t="str">
        <f t="shared" si="2"/>
        <v>#N/A</v>
      </c>
      <c r="G538" s="11"/>
      <c r="H538" s="11" t="s">
        <v>999</v>
      </c>
      <c r="I538" s="33" t="s">
        <v>1191</v>
      </c>
      <c r="J538" s="34">
        <v>35803.0</v>
      </c>
    </row>
    <row r="539">
      <c r="A539" s="39" t="s">
        <v>564</v>
      </c>
      <c r="B539" s="39" t="s">
        <v>614</v>
      </c>
      <c r="C539" s="39" t="s">
        <v>1272</v>
      </c>
      <c r="D539" s="32">
        <f t="shared" si="1"/>
        <v>23.16712329</v>
      </c>
      <c r="E539" s="35">
        <f t="shared" si="2"/>
        <v>37410</v>
      </c>
      <c r="G539" s="11"/>
      <c r="H539" s="11" t="s">
        <v>999</v>
      </c>
      <c r="I539" s="33" t="s">
        <v>1193</v>
      </c>
      <c r="J539" s="34">
        <v>35891.0</v>
      </c>
    </row>
    <row r="540">
      <c r="A540" s="40" t="s">
        <v>564</v>
      </c>
      <c r="B540" s="39" t="s">
        <v>616</v>
      </c>
      <c r="C540" s="39" t="s">
        <v>1311</v>
      </c>
      <c r="D540" s="32">
        <f t="shared" si="1"/>
        <v>24.81369863</v>
      </c>
      <c r="E540" s="35">
        <f t="shared" si="2"/>
        <v>36809</v>
      </c>
      <c r="G540" s="11"/>
      <c r="H540" s="11" t="s">
        <v>811</v>
      </c>
      <c r="I540" s="33" t="s">
        <v>1195</v>
      </c>
      <c r="J540" s="34">
        <v>35027.0</v>
      </c>
    </row>
    <row r="541">
      <c r="A541" s="40" t="s">
        <v>564</v>
      </c>
      <c r="B541" s="39" t="s">
        <v>618</v>
      </c>
      <c r="C541" s="39" t="s">
        <v>1311</v>
      </c>
      <c r="D541" s="32">
        <f t="shared" si="1"/>
        <v>21.78630137</v>
      </c>
      <c r="E541" s="35">
        <f t="shared" si="2"/>
        <v>37914</v>
      </c>
      <c r="G541" s="11"/>
      <c r="H541" s="11" t="s">
        <v>811</v>
      </c>
      <c r="I541" s="33" t="s">
        <v>1197</v>
      </c>
      <c r="J541" s="34">
        <v>36135.0</v>
      </c>
    </row>
    <row r="542">
      <c r="A542" s="40" t="s">
        <v>564</v>
      </c>
      <c r="B542" s="39" t="s">
        <v>620</v>
      </c>
      <c r="C542" s="39" t="s">
        <v>1133</v>
      </c>
      <c r="D542" s="32">
        <f t="shared" si="1"/>
        <v>20.98356164</v>
      </c>
      <c r="E542" s="35">
        <f t="shared" si="2"/>
        <v>38207</v>
      </c>
      <c r="G542" s="11"/>
      <c r="H542" s="11" t="s">
        <v>811</v>
      </c>
      <c r="I542" s="33" t="s">
        <v>1199</v>
      </c>
      <c r="J542" s="34">
        <v>32590.0</v>
      </c>
    </row>
    <row r="543">
      <c r="A543" s="39" t="s">
        <v>564</v>
      </c>
      <c r="B543" s="39" t="s">
        <v>622</v>
      </c>
      <c r="C543" s="39" t="s">
        <v>1311</v>
      </c>
      <c r="D543" s="32">
        <f t="shared" si="1"/>
        <v>19.85753425</v>
      </c>
      <c r="E543" s="35">
        <f t="shared" si="2"/>
        <v>38618</v>
      </c>
      <c r="G543" s="11"/>
      <c r="H543" s="11" t="s">
        <v>873</v>
      </c>
      <c r="I543" s="33" t="s">
        <v>1202</v>
      </c>
      <c r="J543" s="34">
        <v>35284.0</v>
      </c>
    </row>
    <row r="544">
      <c r="A544" s="39" t="s">
        <v>1532</v>
      </c>
      <c r="B544" s="39" t="s">
        <v>1533</v>
      </c>
      <c r="C544" s="39" t="s">
        <v>1400</v>
      </c>
      <c r="D544" s="32" t="str">
        <f t="shared" si="1"/>
        <v>#N/A</v>
      </c>
      <c r="E544" s="14" t="str">
        <f t="shared" si="2"/>
        <v>#N/A</v>
      </c>
      <c r="G544" s="11"/>
      <c r="H544" s="11" t="s">
        <v>873</v>
      </c>
      <c r="I544" s="33" t="s">
        <v>1204</v>
      </c>
      <c r="J544" s="34">
        <v>34031.0</v>
      </c>
    </row>
    <row r="545">
      <c r="A545" s="39" t="s">
        <v>1532</v>
      </c>
      <c r="B545" s="39" t="s">
        <v>876</v>
      </c>
      <c r="C545" s="39" t="s">
        <v>1311</v>
      </c>
      <c r="D545" s="32">
        <f t="shared" si="1"/>
        <v>22.09589041</v>
      </c>
      <c r="E545" s="35">
        <f t="shared" si="2"/>
        <v>37801</v>
      </c>
      <c r="G545" s="11"/>
      <c r="H545" s="11" t="s">
        <v>935</v>
      </c>
      <c r="I545" s="33" t="s">
        <v>1206</v>
      </c>
      <c r="J545" s="34">
        <v>34594.0</v>
      </c>
    </row>
    <row r="546">
      <c r="A546" s="39" t="s">
        <v>1532</v>
      </c>
      <c r="B546" s="39" t="s">
        <v>878</v>
      </c>
      <c r="C546" s="39" t="s">
        <v>1133</v>
      </c>
      <c r="D546" s="32">
        <f t="shared" si="1"/>
        <v>25.06027397</v>
      </c>
      <c r="E546" s="35">
        <f t="shared" si="2"/>
        <v>36719</v>
      </c>
      <c r="G546" s="11"/>
      <c r="H546" s="11" t="s">
        <v>935</v>
      </c>
      <c r="I546" s="33" t="s">
        <v>1208</v>
      </c>
      <c r="J546" s="34">
        <v>31334.0</v>
      </c>
    </row>
    <row r="547">
      <c r="A547" s="39" t="s">
        <v>1532</v>
      </c>
      <c r="B547" s="39" t="s">
        <v>880</v>
      </c>
      <c r="C547" s="39" t="s">
        <v>1311</v>
      </c>
      <c r="D547" s="32">
        <f t="shared" si="1"/>
        <v>27.03561644</v>
      </c>
      <c r="E547" s="35">
        <f t="shared" si="2"/>
        <v>35998</v>
      </c>
      <c r="G547" s="11"/>
      <c r="H547" s="11" t="s">
        <v>936</v>
      </c>
      <c r="I547" s="33" t="s">
        <v>1211</v>
      </c>
      <c r="J547" s="34">
        <v>38212.0</v>
      </c>
    </row>
    <row r="548">
      <c r="A548" s="39" t="s">
        <v>1532</v>
      </c>
      <c r="B548" s="39" t="s">
        <v>882</v>
      </c>
      <c r="C548" s="39" t="s">
        <v>1133</v>
      </c>
      <c r="D548" s="32">
        <f t="shared" si="1"/>
        <v>24.56438356</v>
      </c>
      <c r="E548" s="35">
        <f t="shared" si="2"/>
        <v>36900</v>
      </c>
      <c r="G548" s="11"/>
      <c r="H548" s="11" t="s">
        <v>936</v>
      </c>
      <c r="I548" s="33" t="s">
        <v>1213</v>
      </c>
      <c r="J548" s="34">
        <v>37798.0</v>
      </c>
    </row>
    <row r="549">
      <c r="A549" s="40" t="s">
        <v>1532</v>
      </c>
      <c r="B549" s="39" t="s">
        <v>884</v>
      </c>
      <c r="C549" s="39" t="s">
        <v>1272</v>
      </c>
      <c r="D549" s="32">
        <f t="shared" si="1"/>
        <v>26.82465753</v>
      </c>
      <c r="E549" s="35">
        <f t="shared" si="2"/>
        <v>36075</v>
      </c>
      <c r="G549" s="11"/>
      <c r="H549" s="11" t="s">
        <v>874</v>
      </c>
      <c r="I549" s="33" t="s">
        <v>1215</v>
      </c>
      <c r="J549" s="34">
        <v>35179.0</v>
      </c>
    </row>
    <row r="550">
      <c r="A550" s="39" t="s">
        <v>1532</v>
      </c>
      <c r="B550" s="39" t="s">
        <v>886</v>
      </c>
      <c r="C550" s="39" t="s">
        <v>1311</v>
      </c>
      <c r="D550" s="32">
        <f t="shared" si="1"/>
        <v>25.51780822</v>
      </c>
      <c r="E550" s="35">
        <f t="shared" si="2"/>
        <v>36552</v>
      </c>
      <c r="G550" s="11"/>
      <c r="H550" s="11" t="s">
        <v>810</v>
      </c>
      <c r="I550" s="33" t="s">
        <v>1218</v>
      </c>
      <c r="J550" s="34">
        <v>34556.0</v>
      </c>
    </row>
    <row r="551">
      <c r="A551" s="39" t="s">
        <v>1532</v>
      </c>
      <c r="B551" s="39" t="s">
        <v>888</v>
      </c>
      <c r="C551" s="39" t="s">
        <v>1272</v>
      </c>
      <c r="D551" s="32">
        <f t="shared" si="1"/>
        <v>25.97260274</v>
      </c>
      <c r="E551" s="35">
        <f t="shared" si="2"/>
        <v>36386</v>
      </c>
      <c r="G551" s="11"/>
      <c r="H551" s="11" t="s">
        <v>810</v>
      </c>
      <c r="I551" s="33" t="s">
        <v>1220</v>
      </c>
      <c r="J551" s="34">
        <v>37048.0</v>
      </c>
    </row>
    <row r="552">
      <c r="A552" s="39" t="s">
        <v>1532</v>
      </c>
      <c r="B552" s="39" t="s">
        <v>890</v>
      </c>
      <c r="C552" s="39" t="s">
        <v>1272</v>
      </c>
      <c r="D552" s="32">
        <f t="shared" si="1"/>
        <v>20.30136986</v>
      </c>
      <c r="E552" s="35">
        <f t="shared" si="2"/>
        <v>38456</v>
      </c>
      <c r="G552" s="11"/>
      <c r="H552" s="11" t="s">
        <v>810</v>
      </c>
      <c r="I552" s="33" t="s">
        <v>1222</v>
      </c>
      <c r="J552" s="34">
        <v>37279.0</v>
      </c>
    </row>
    <row r="553">
      <c r="A553" s="39" t="s">
        <v>1532</v>
      </c>
      <c r="B553" s="39" t="s">
        <v>892</v>
      </c>
      <c r="C553" s="39" t="s">
        <v>1133</v>
      </c>
      <c r="D553" s="32">
        <f t="shared" si="1"/>
        <v>21.35890411</v>
      </c>
      <c r="E553" s="35">
        <f t="shared" si="2"/>
        <v>38070</v>
      </c>
      <c r="G553" s="11"/>
      <c r="H553" s="11" t="s">
        <v>810</v>
      </c>
      <c r="I553" s="33" t="s">
        <v>1224</v>
      </c>
      <c r="J553" s="34">
        <v>34899.0</v>
      </c>
    </row>
    <row r="554">
      <c r="A554" s="39" t="s">
        <v>1532</v>
      </c>
      <c r="B554" s="39" t="s">
        <v>894</v>
      </c>
      <c r="C554" s="39" t="s">
        <v>1272</v>
      </c>
      <c r="D554" s="32">
        <f t="shared" si="1"/>
        <v>22.46849315</v>
      </c>
      <c r="E554" s="35">
        <f t="shared" si="2"/>
        <v>37665</v>
      </c>
      <c r="G554" s="11"/>
      <c r="H554" s="11" t="s">
        <v>810</v>
      </c>
      <c r="I554" s="33" t="s">
        <v>1226</v>
      </c>
      <c r="J554" s="34">
        <v>38719.0</v>
      </c>
    </row>
    <row r="555">
      <c r="A555" s="39" t="s">
        <v>1532</v>
      </c>
      <c r="B555" s="39" t="s">
        <v>1534</v>
      </c>
      <c r="C555" s="39" t="s">
        <v>1400</v>
      </c>
      <c r="D555" s="32" t="str">
        <f t="shared" si="1"/>
        <v>#N/A</v>
      </c>
      <c r="E555" s="14" t="str">
        <f t="shared" si="2"/>
        <v>#N/A</v>
      </c>
      <c r="G555" s="11"/>
      <c r="H555" s="11" t="s">
        <v>810</v>
      </c>
      <c r="I555" s="33" t="s">
        <v>1228</v>
      </c>
      <c r="J555" s="34">
        <v>38046.0</v>
      </c>
    </row>
    <row r="556">
      <c r="A556" s="39" t="s">
        <v>1532</v>
      </c>
      <c r="B556" s="39" t="s">
        <v>1535</v>
      </c>
      <c r="C556" s="39" t="s">
        <v>1400</v>
      </c>
      <c r="D556" s="32" t="str">
        <f t="shared" si="1"/>
        <v>#N/A</v>
      </c>
      <c r="E556" s="14" t="str">
        <f t="shared" si="2"/>
        <v>#N/A</v>
      </c>
      <c r="G556" s="11"/>
      <c r="H556" s="11" t="s">
        <v>810</v>
      </c>
      <c r="I556" s="33" t="s">
        <v>1230</v>
      </c>
      <c r="J556" s="34">
        <v>35564.0</v>
      </c>
    </row>
    <row r="557">
      <c r="A557" s="40" t="s">
        <v>1532</v>
      </c>
      <c r="B557" s="39" t="s">
        <v>896</v>
      </c>
      <c r="C557" s="39" t="s">
        <v>1311</v>
      </c>
      <c r="D557" s="32">
        <f t="shared" si="1"/>
        <v>39.90958904</v>
      </c>
      <c r="E557" s="35">
        <f t="shared" si="2"/>
        <v>31299</v>
      </c>
      <c r="G557" s="11"/>
      <c r="H557" s="11" t="s">
        <v>998</v>
      </c>
      <c r="I557" s="33" t="s">
        <v>1232</v>
      </c>
      <c r="J557" s="34">
        <v>37529.0</v>
      </c>
    </row>
    <row r="558">
      <c r="A558" s="40" t="s">
        <v>1532</v>
      </c>
      <c r="B558" s="39" t="s">
        <v>898</v>
      </c>
      <c r="C558" s="39" t="s">
        <v>1311</v>
      </c>
      <c r="D558" s="32">
        <f t="shared" si="1"/>
        <v>20.43287671</v>
      </c>
      <c r="E558" s="35">
        <f t="shared" si="2"/>
        <v>38408</v>
      </c>
      <c r="G558" s="11"/>
      <c r="H558" s="11" t="s">
        <v>998</v>
      </c>
      <c r="I558" s="33" t="s">
        <v>1234</v>
      </c>
      <c r="J558" s="34">
        <v>36940.0</v>
      </c>
    </row>
    <row r="559">
      <c r="A559" s="40" t="s">
        <v>1532</v>
      </c>
      <c r="B559" s="39" t="s">
        <v>900</v>
      </c>
      <c r="C559" s="39" t="s">
        <v>1272</v>
      </c>
      <c r="D559" s="32">
        <f t="shared" si="1"/>
        <v>34.09863014</v>
      </c>
      <c r="E559" s="35">
        <f t="shared" si="2"/>
        <v>33420</v>
      </c>
      <c r="G559" s="11"/>
      <c r="H559" s="11" t="s">
        <v>998</v>
      </c>
      <c r="I559" s="33" t="s">
        <v>1236</v>
      </c>
      <c r="J559" s="34">
        <v>38077.0</v>
      </c>
    </row>
    <row r="560">
      <c r="A560" s="39" t="s">
        <v>1532</v>
      </c>
      <c r="B560" s="39" t="s">
        <v>1202</v>
      </c>
      <c r="C560" s="39" t="s">
        <v>1311</v>
      </c>
      <c r="D560" s="32">
        <f t="shared" si="1"/>
        <v>28.99178082</v>
      </c>
      <c r="E560" s="35">
        <f t="shared" si="2"/>
        <v>35284</v>
      </c>
      <c r="G560" s="11"/>
      <c r="H560" s="11" t="s">
        <v>314</v>
      </c>
      <c r="I560" s="33" t="s">
        <v>1238</v>
      </c>
      <c r="J560" s="34">
        <v>34633.0</v>
      </c>
    </row>
    <row r="561">
      <c r="A561" s="39" t="s">
        <v>1532</v>
      </c>
      <c r="B561" s="39" t="s">
        <v>902</v>
      </c>
      <c r="C561" s="39" t="s">
        <v>1133</v>
      </c>
      <c r="D561" s="32">
        <f t="shared" si="1"/>
        <v>26.00273973</v>
      </c>
      <c r="E561" s="35">
        <f t="shared" si="2"/>
        <v>36375</v>
      </c>
      <c r="G561" s="11"/>
      <c r="H561" s="11" t="s">
        <v>314</v>
      </c>
      <c r="I561" s="33" t="s">
        <v>1240</v>
      </c>
      <c r="J561" s="34">
        <v>37746.0</v>
      </c>
    </row>
    <row r="562">
      <c r="A562" s="40" t="s">
        <v>1532</v>
      </c>
      <c r="B562" s="39" t="s">
        <v>1536</v>
      </c>
      <c r="C562" s="39" t="s">
        <v>1272</v>
      </c>
      <c r="D562" s="32" t="str">
        <f t="shared" si="1"/>
        <v>#N/A</v>
      </c>
      <c r="E562" s="14" t="str">
        <f t="shared" si="2"/>
        <v>#N/A</v>
      </c>
      <c r="G562" s="11"/>
      <c r="H562" s="11" t="s">
        <v>313</v>
      </c>
      <c r="I562" s="33" t="s">
        <v>1242</v>
      </c>
      <c r="J562" s="34">
        <v>37765.0</v>
      </c>
    </row>
    <row r="563">
      <c r="A563" s="39" t="s">
        <v>1532</v>
      </c>
      <c r="B563" s="39" t="s">
        <v>1349</v>
      </c>
      <c r="C563" s="39" t="s">
        <v>1272</v>
      </c>
      <c r="D563" s="32">
        <f t="shared" si="1"/>
        <v>20.56986301</v>
      </c>
      <c r="E563" s="35">
        <f t="shared" si="2"/>
        <v>38358</v>
      </c>
      <c r="G563" s="11"/>
      <c r="H563" s="11" t="s">
        <v>64</v>
      </c>
      <c r="I563" s="33" t="s">
        <v>1244</v>
      </c>
      <c r="J563" s="34">
        <v>37811.0</v>
      </c>
    </row>
    <row r="564">
      <c r="A564" s="40" t="s">
        <v>1532</v>
      </c>
      <c r="B564" s="39" t="s">
        <v>1537</v>
      </c>
      <c r="C564" s="39" t="s">
        <v>1311</v>
      </c>
      <c r="D564" s="32" t="str">
        <f t="shared" si="1"/>
        <v>#N/A</v>
      </c>
      <c r="E564" s="14" t="str">
        <f t="shared" si="2"/>
        <v>#N/A</v>
      </c>
      <c r="G564" s="11"/>
      <c r="H564" s="11" t="s">
        <v>250</v>
      </c>
      <c r="I564" s="33" t="s">
        <v>1246</v>
      </c>
      <c r="J564" s="34">
        <v>32488.0</v>
      </c>
    </row>
    <row r="565">
      <c r="A565" s="40" t="s">
        <v>1532</v>
      </c>
      <c r="B565" s="39" t="s">
        <v>1538</v>
      </c>
      <c r="C565" s="39" t="s">
        <v>1272</v>
      </c>
      <c r="D565" s="32" t="str">
        <f t="shared" si="1"/>
        <v>#N/A</v>
      </c>
      <c r="E565" s="14" t="str">
        <f t="shared" si="2"/>
        <v>#N/A</v>
      </c>
      <c r="G565" s="11"/>
      <c r="H565" s="11" t="s">
        <v>250</v>
      </c>
      <c r="I565" s="33" t="s">
        <v>1248</v>
      </c>
      <c r="J565" s="34">
        <v>36251.0</v>
      </c>
    </row>
    <row r="566">
      <c r="A566" s="39" t="s">
        <v>1532</v>
      </c>
      <c r="B566" s="39" t="s">
        <v>1539</v>
      </c>
      <c r="C566" s="39" t="s">
        <v>1272</v>
      </c>
      <c r="D566" s="32" t="str">
        <f t="shared" si="1"/>
        <v>#N/A</v>
      </c>
      <c r="E566" s="14" t="str">
        <f t="shared" si="2"/>
        <v>#N/A</v>
      </c>
      <c r="G566" s="11"/>
      <c r="H566" s="11" t="s">
        <v>251</v>
      </c>
      <c r="I566" s="33" t="s">
        <v>1250</v>
      </c>
      <c r="J566" s="34">
        <v>36827.0</v>
      </c>
    </row>
    <row r="567">
      <c r="A567" s="40" t="s">
        <v>1532</v>
      </c>
      <c r="B567" s="39" t="s">
        <v>904</v>
      </c>
      <c r="C567" s="39" t="s">
        <v>1311</v>
      </c>
      <c r="D567" s="32">
        <f t="shared" si="1"/>
        <v>22.05753425</v>
      </c>
      <c r="E567" s="35">
        <f t="shared" si="2"/>
        <v>37815</v>
      </c>
      <c r="G567" s="11"/>
      <c r="H567" s="11" t="s">
        <v>63</v>
      </c>
      <c r="I567" s="33" t="s">
        <v>1252</v>
      </c>
      <c r="J567" s="34">
        <v>34241.0</v>
      </c>
    </row>
    <row r="568">
      <c r="A568" s="40" t="s">
        <v>1532</v>
      </c>
      <c r="B568" s="39" t="s">
        <v>1540</v>
      </c>
      <c r="C568" s="39" t="s">
        <v>1311</v>
      </c>
      <c r="D568" s="32" t="str">
        <f t="shared" si="1"/>
        <v>#N/A</v>
      </c>
      <c r="E568" s="14" t="str">
        <f t="shared" si="2"/>
        <v>#N/A</v>
      </c>
      <c r="G568" s="11"/>
      <c r="H568" s="11" t="s">
        <v>63</v>
      </c>
      <c r="I568" s="33" t="s">
        <v>1254</v>
      </c>
      <c r="J568" s="34">
        <v>35719.0</v>
      </c>
    </row>
    <row r="569">
      <c r="A569" s="39" t="s">
        <v>935</v>
      </c>
      <c r="B569" s="39" t="s">
        <v>1541</v>
      </c>
      <c r="C569" s="39" t="s">
        <v>1400</v>
      </c>
      <c r="D569" s="32" t="str">
        <f t="shared" si="1"/>
        <v>#N/A</v>
      </c>
      <c r="E569" s="14" t="str">
        <f t="shared" si="2"/>
        <v>#N/A</v>
      </c>
      <c r="G569" s="11"/>
      <c r="H569" s="11" t="s">
        <v>124</v>
      </c>
      <c r="I569" s="33" t="s">
        <v>1256</v>
      </c>
      <c r="J569" s="34">
        <v>34349.0</v>
      </c>
    </row>
    <row r="570">
      <c r="A570" s="39" t="s">
        <v>935</v>
      </c>
      <c r="B570" s="39" t="s">
        <v>938</v>
      </c>
      <c r="C570" s="39" t="s">
        <v>1272</v>
      </c>
      <c r="D570" s="32">
        <f t="shared" si="1"/>
        <v>29.4739726</v>
      </c>
      <c r="E570" s="35">
        <f t="shared" si="2"/>
        <v>35108</v>
      </c>
      <c r="G570" s="11"/>
      <c r="H570" s="11" t="s">
        <v>124</v>
      </c>
      <c r="I570" s="33" t="s">
        <v>1258</v>
      </c>
      <c r="J570" s="34">
        <v>37449.0</v>
      </c>
    </row>
    <row r="571">
      <c r="A571" s="39" t="s">
        <v>935</v>
      </c>
      <c r="B571" s="39" t="s">
        <v>940</v>
      </c>
      <c r="C571" s="39" t="s">
        <v>1311</v>
      </c>
      <c r="D571" s="32">
        <f t="shared" si="1"/>
        <v>25.26027397</v>
      </c>
      <c r="E571" s="35">
        <f t="shared" si="2"/>
        <v>36646</v>
      </c>
      <c r="G571" s="11"/>
      <c r="H571" s="11" t="s">
        <v>124</v>
      </c>
      <c r="I571" s="33" t="s">
        <v>1260</v>
      </c>
      <c r="J571" s="34">
        <v>36662.0</v>
      </c>
    </row>
    <row r="572">
      <c r="A572" s="40" t="s">
        <v>935</v>
      </c>
      <c r="B572" s="39" t="s">
        <v>942</v>
      </c>
      <c r="C572" s="39" t="s">
        <v>1272</v>
      </c>
      <c r="D572" s="32">
        <f t="shared" si="1"/>
        <v>22.31506849</v>
      </c>
      <c r="E572" s="35">
        <f t="shared" si="2"/>
        <v>37721</v>
      </c>
      <c r="G572" s="11"/>
      <c r="H572" s="11" t="s">
        <v>440</v>
      </c>
      <c r="I572" s="33" t="s">
        <v>1262</v>
      </c>
      <c r="J572" s="34">
        <v>31822.0</v>
      </c>
    </row>
    <row r="573">
      <c r="A573" s="40" t="s">
        <v>935</v>
      </c>
      <c r="B573" s="39" t="s">
        <v>944</v>
      </c>
      <c r="C573" s="39" t="s">
        <v>1133</v>
      </c>
      <c r="D573" s="32">
        <f t="shared" si="1"/>
        <v>20.57808219</v>
      </c>
      <c r="E573" s="35">
        <f t="shared" si="2"/>
        <v>38355</v>
      </c>
      <c r="G573" s="11"/>
      <c r="H573" s="11" t="s">
        <v>440</v>
      </c>
      <c r="I573" s="33" t="s">
        <v>1264</v>
      </c>
      <c r="J573" s="34">
        <v>37455.0</v>
      </c>
    </row>
    <row r="574">
      <c r="A574" s="39" t="s">
        <v>935</v>
      </c>
      <c r="B574" s="39" t="s">
        <v>946</v>
      </c>
      <c r="C574" s="39" t="s">
        <v>1272</v>
      </c>
      <c r="D574" s="32">
        <f t="shared" si="1"/>
        <v>25.44109589</v>
      </c>
      <c r="E574" s="35">
        <f t="shared" si="2"/>
        <v>36580</v>
      </c>
      <c r="G574" s="11"/>
      <c r="H574" s="11" t="s">
        <v>123</v>
      </c>
      <c r="I574" s="33" t="s">
        <v>1266</v>
      </c>
      <c r="J574" s="34">
        <v>34889.0</v>
      </c>
    </row>
    <row r="575">
      <c r="A575" s="39" t="s">
        <v>935</v>
      </c>
      <c r="B575" s="39" t="s">
        <v>948</v>
      </c>
      <c r="C575" s="39" t="s">
        <v>1311</v>
      </c>
      <c r="D575" s="32">
        <f t="shared" si="1"/>
        <v>28.73424658</v>
      </c>
      <c r="E575" s="35">
        <f t="shared" si="2"/>
        <v>35378</v>
      </c>
      <c r="G575" s="11"/>
      <c r="H575" s="11" t="s">
        <v>123</v>
      </c>
      <c r="I575" s="33" t="s">
        <v>1268</v>
      </c>
      <c r="J575" s="34">
        <v>38531.0</v>
      </c>
    </row>
    <row r="576">
      <c r="A576" s="39" t="s">
        <v>935</v>
      </c>
      <c r="B576" s="39" t="s">
        <v>950</v>
      </c>
      <c r="C576" s="39" t="s">
        <v>1133</v>
      </c>
      <c r="D576" s="32">
        <f t="shared" si="1"/>
        <v>35.88767123</v>
      </c>
      <c r="E576" s="35">
        <f t="shared" si="2"/>
        <v>32767</v>
      </c>
      <c r="G576" s="11"/>
      <c r="H576" s="11" t="s">
        <v>378</v>
      </c>
      <c r="I576" s="33" t="s">
        <v>1271</v>
      </c>
      <c r="J576" s="34">
        <v>37770.0</v>
      </c>
    </row>
    <row r="577">
      <c r="A577" s="40" t="s">
        <v>935</v>
      </c>
      <c r="B577" s="39" t="s">
        <v>952</v>
      </c>
      <c r="C577" s="39" t="s">
        <v>1272</v>
      </c>
      <c r="D577" s="32">
        <f t="shared" si="1"/>
        <v>34.53972603</v>
      </c>
      <c r="E577" s="35">
        <f t="shared" si="2"/>
        <v>33259</v>
      </c>
      <c r="G577" s="11"/>
      <c r="H577" s="11" t="s">
        <v>501</v>
      </c>
      <c r="I577" s="33" t="s">
        <v>1274</v>
      </c>
      <c r="J577" s="34">
        <v>33264.0</v>
      </c>
    </row>
    <row r="578">
      <c r="A578" s="40" t="s">
        <v>935</v>
      </c>
      <c r="B578" s="39" t="s">
        <v>954</v>
      </c>
      <c r="C578" s="39" t="s">
        <v>1311</v>
      </c>
      <c r="D578" s="32">
        <f t="shared" si="1"/>
        <v>19.81917808</v>
      </c>
      <c r="E578" s="35">
        <f t="shared" si="2"/>
        <v>38632</v>
      </c>
      <c r="G578" s="11"/>
      <c r="H578" s="11" t="s">
        <v>501</v>
      </c>
      <c r="I578" s="33" t="s">
        <v>1276</v>
      </c>
      <c r="J578" s="34">
        <v>37680.0</v>
      </c>
    </row>
    <row r="579">
      <c r="A579" s="40" t="s">
        <v>935</v>
      </c>
      <c r="B579" s="39" t="s">
        <v>956</v>
      </c>
      <c r="C579" s="39" t="s">
        <v>1133</v>
      </c>
      <c r="D579" s="32">
        <f t="shared" si="1"/>
        <v>29.48767123</v>
      </c>
      <c r="E579" s="35">
        <f t="shared" si="2"/>
        <v>35103</v>
      </c>
      <c r="G579" s="11"/>
      <c r="H579" s="11" t="s">
        <v>501</v>
      </c>
      <c r="I579" s="33" t="s">
        <v>1278</v>
      </c>
      <c r="J579" s="34">
        <v>35743.0</v>
      </c>
    </row>
    <row r="580">
      <c r="A580" s="40" t="s">
        <v>935</v>
      </c>
      <c r="B580" s="39" t="s">
        <v>1542</v>
      </c>
      <c r="C580" s="39" t="s">
        <v>1400</v>
      </c>
      <c r="D580" s="32" t="str">
        <f t="shared" si="1"/>
        <v>#N/A</v>
      </c>
      <c r="E580" s="14" t="str">
        <f t="shared" si="2"/>
        <v>#N/A</v>
      </c>
      <c r="G580" s="11"/>
      <c r="H580" s="11" t="s">
        <v>501</v>
      </c>
      <c r="I580" s="33" t="s">
        <v>1280</v>
      </c>
      <c r="J580" s="34">
        <v>35390.0</v>
      </c>
    </row>
    <row r="581">
      <c r="A581" s="39" t="s">
        <v>935</v>
      </c>
      <c r="B581" s="39" t="s">
        <v>1339</v>
      </c>
      <c r="C581" s="39" t="s">
        <v>1272</v>
      </c>
      <c r="D581" s="32">
        <f t="shared" si="1"/>
        <v>26.29041096</v>
      </c>
      <c r="E581" s="35">
        <f t="shared" si="2"/>
        <v>36270</v>
      </c>
      <c r="G581" s="11"/>
      <c r="H581" s="11" t="s">
        <v>502</v>
      </c>
      <c r="I581" s="33" t="s">
        <v>1282</v>
      </c>
      <c r="J581" s="34">
        <v>36754.0</v>
      </c>
    </row>
    <row r="582">
      <c r="A582" s="40" t="s">
        <v>935</v>
      </c>
      <c r="B582" s="39" t="s">
        <v>1341</v>
      </c>
      <c r="C582" s="39" t="s">
        <v>1272</v>
      </c>
      <c r="D582" s="32">
        <f t="shared" si="1"/>
        <v>24.35068493</v>
      </c>
      <c r="E582" s="35">
        <f t="shared" si="2"/>
        <v>36978</v>
      </c>
      <c r="G582" s="11"/>
      <c r="H582" s="11" t="s">
        <v>377</v>
      </c>
      <c r="I582" s="33" t="s">
        <v>1284</v>
      </c>
      <c r="J582" s="34">
        <v>36976.0</v>
      </c>
    </row>
    <row r="583">
      <c r="A583" s="40" t="s">
        <v>935</v>
      </c>
      <c r="B583" s="39" t="s">
        <v>958</v>
      </c>
      <c r="C583" s="39" t="s">
        <v>1311</v>
      </c>
      <c r="D583" s="32">
        <f t="shared" si="1"/>
        <v>21.9260274</v>
      </c>
      <c r="E583" s="35">
        <f t="shared" si="2"/>
        <v>37863</v>
      </c>
      <c r="G583" s="11"/>
      <c r="H583" s="11" t="s">
        <v>377</v>
      </c>
      <c r="I583" s="33" t="s">
        <v>1286</v>
      </c>
      <c r="J583" s="34">
        <v>36044.0</v>
      </c>
    </row>
    <row r="584">
      <c r="A584" s="40" t="s">
        <v>935</v>
      </c>
      <c r="B584" s="39" t="s">
        <v>1543</v>
      </c>
      <c r="C584" s="39" t="s">
        <v>1133</v>
      </c>
      <c r="D584" s="32" t="str">
        <f t="shared" si="1"/>
        <v>#N/A</v>
      </c>
      <c r="E584" s="14" t="str">
        <f t="shared" si="2"/>
        <v>#N/A</v>
      </c>
      <c r="G584" s="11"/>
      <c r="H584" s="11" t="s">
        <v>377</v>
      </c>
      <c r="I584" s="33" t="s">
        <v>1288</v>
      </c>
      <c r="J584" s="34">
        <v>38842.0</v>
      </c>
    </row>
    <row r="585">
      <c r="A585" s="40" t="s">
        <v>935</v>
      </c>
      <c r="B585" s="39" t="s">
        <v>1343</v>
      </c>
      <c r="C585" s="39" t="s">
        <v>1133</v>
      </c>
      <c r="D585" s="32">
        <f t="shared" si="1"/>
        <v>25.30958904</v>
      </c>
      <c r="E585" s="35">
        <f t="shared" si="2"/>
        <v>36628</v>
      </c>
      <c r="G585" s="11"/>
      <c r="H585" s="11" t="s">
        <v>377</v>
      </c>
      <c r="I585" s="33" t="s">
        <v>1290</v>
      </c>
      <c r="J585" s="34">
        <v>38110.0</v>
      </c>
    </row>
    <row r="586">
      <c r="A586" s="40" t="s">
        <v>935</v>
      </c>
      <c r="B586" s="39" t="s">
        <v>960</v>
      </c>
      <c r="C586" s="39" t="s">
        <v>1133</v>
      </c>
      <c r="D586" s="32">
        <f t="shared" si="1"/>
        <v>23.2109589</v>
      </c>
      <c r="E586" s="35">
        <f t="shared" si="2"/>
        <v>37394</v>
      </c>
      <c r="G586" s="11"/>
      <c r="H586" s="11" t="s">
        <v>377</v>
      </c>
      <c r="I586" s="33" t="s">
        <v>1292</v>
      </c>
      <c r="J586" s="34">
        <v>38593.0</v>
      </c>
    </row>
    <row r="587">
      <c r="A587" s="39" t="s">
        <v>935</v>
      </c>
      <c r="B587" s="39" t="s">
        <v>962</v>
      </c>
      <c r="C587" s="39" t="s">
        <v>1272</v>
      </c>
      <c r="D587" s="32">
        <f t="shared" si="1"/>
        <v>23.30684932</v>
      </c>
      <c r="E587" s="35">
        <f t="shared" si="2"/>
        <v>37359</v>
      </c>
      <c r="G587" s="11"/>
      <c r="H587" s="11" t="s">
        <v>564</v>
      </c>
      <c r="I587" s="33" t="s">
        <v>1294</v>
      </c>
      <c r="J587" s="34">
        <v>37573.0</v>
      </c>
    </row>
    <row r="588">
      <c r="A588" s="39" t="s">
        <v>935</v>
      </c>
      <c r="B588" s="39" t="s">
        <v>1544</v>
      </c>
      <c r="C588" s="39" t="s">
        <v>1311</v>
      </c>
      <c r="D588" s="32" t="str">
        <f t="shared" si="1"/>
        <v>#N/A</v>
      </c>
      <c r="E588" s="14" t="str">
        <f t="shared" si="2"/>
        <v>#N/A</v>
      </c>
      <c r="G588" s="11"/>
      <c r="H588" s="11" t="s">
        <v>564</v>
      </c>
      <c r="I588" s="33" t="s">
        <v>1296</v>
      </c>
      <c r="J588" s="34">
        <v>38842.0</v>
      </c>
    </row>
    <row r="589">
      <c r="A589" s="40" t="s">
        <v>935</v>
      </c>
      <c r="B589" s="39" t="s">
        <v>1206</v>
      </c>
      <c r="C589" s="39" t="s">
        <v>1311</v>
      </c>
      <c r="D589" s="32">
        <f t="shared" si="1"/>
        <v>30.88219178</v>
      </c>
      <c r="E589" s="35">
        <f t="shared" si="2"/>
        <v>34594</v>
      </c>
      <c r="G589" s="11"/>
      <c r="H589" s="11" t="s">
        <v>687</v>
      </c>
      <c r="I589" s="33" t="s">
        <v>1298</v>
      </c>
      <c r="J589" s="34">
        <v>33832.0</v>
      </c>
    </row>
    <row r="590">
      <c r="A590" s="40" t="s">
        <v>935</v>
      </c>
      <c r="B590" s="39" t="s">
        <v>1208</v>
      </c>
      <c r="C590" s="39" t="s">
        <v>1272</v>
      </c>
      <c r="D590" s="32">
        <f t="shared" si="1"/>
        <v>39.81369863</v>
      </c>
      <c r="E590" s="35">
        <f t="shared" si="2"/>
        <v>31334</v>
      </c>
      <c r="G590" s="11"/>
      <c r="H590" s="11" t="s">
        <v>687</v>
      </c>
      <c r="I590" s="33" t="s">
        <v>1300</v>
      </c>
      <c r="J590" s="34">
        <v>36784.0</v>
      </c>
    </row>
    <row r="591">
      <c r="A591" s="39" t="s">
        <v>935</v>
      </c>
      <c r="B591" s="39" t="s">
        <v>964</v>
      </c>
      <c r="C591" s="39" t="s">
        <v>1311</v>
      </c>
      <c r="D591" s="32">
        <f t="shared" si="1"/>
        <v>23.14520548</v>
      </c>
      <c r="E591" s="35">
        <f t="shared" si="2"/>
        <v>37418</v>
      </c>
      <c r="G591" s="11"/>
      <c r="H591" s="11" t="s">
        <v>688</v>
      </c>
      <c r="I591" s="33" t="s">
        <v>1302</v>
      </c>
      <c r="J591" s="34">
        <v>33887.0</v>
      </c>
    </row>
    <row r="592">
      <c r="A592" s="39" t="s">
        <v>935</v>
      </c>
      <c r="B592" s="39" t="s">
        <v>966</v>
      </c>
      <c r="C592" s="39" t="s">
        <v>1133</v>
      </c>
      <c r="D592" s="32">
        <f t="shared" si="1"/>
        <v>38.29863014</v>
      </c>
      <c r="E592" s="35">
        <f t="shared" si="2"/>
        <v>31887</v>
      </c>
      <c r="G592" s="11"/>
      <c r="H592" s="11" t="s">
        <v>688</v>
      </c>
      <c r="I592" s="33" t="s">
        <v>1304</v>
      </c>
      <c r="J592" s="34">
        <v>34265.0</v>
      </c>
    </row>
    <row r="593">
      <c r="A593" s="40" t="s">
        <v>935</v>
      </c>
      <c r="B593" s="39" t="s">
        <v>1545</v>
      </c>
      <c r="C593" s="39" t="s">
        <v>1272</v>
      </c>
      <c r="D593" s="32" t="str">
        <f t="shared" si="1"/>
        <v>#N/A</v>
      </c>
      <c r="E593" s="14" t="str">
        <f t="shared" si="2"/>
        <v>#N/A</v>
      </c>
      <c r="G593" s="11"/>
      <c r="H593" s="11" t="s">
        <v>563</v>
      </c>
      <c r="I593" s="33" t="s">
        <v>1306</v>
      </c>
      <c r="J593" s="34">
        <v>35400.0</v>
      </c>
    </row>
    <row r="594">
      <c r="A594" s="40" t="s">
        <v>936</v>
      </c>
      <c r="B594" s="39" t="s">
        <v>1546</v>
      </c>
      <c r="C594" s="39" t="s">
        <v>1400</v>
      </c>
      <c r="D594" s="32" t="str">
        <f t="shared" si="1"/>
        <v>#N/A</v>
      </c>
      <c r="E594" s="14" t="str">
        <f t="shared" si="2"/>
        <v>#N/A</v>
      </c>
      <c r="G594" s="11"/>
      <c r="H594" s="11" t="s">
        <v>563</v>
      </c>
      <c r="I594" s="33" t="s">
        <v>1308</v>
      </c>
      <c r="J594" s="34">
        <v>32629.0</v>
      </c>
    </row>
    <row r="595">
      <c r="A595" s="39" t="s">
        <v>936</v>
      </c>
      <c r="B595" s="39" t="s">
        <v>968</v>
      </c>
      <c r="C595" s="39" t="s">
        <v>1272</v>
      </c>
      <c r="D595" s="32">
        <f t="shared" si="1"/>
        <v>28.18630137</v>
      </c>
      <c r="E595" s="35">
        <f t="shared" si="2"/>
        <v>35578</v>
      </c>
      <c r="G595" s="11"/>
      <c r="H595" s="11" t="s">
        <v>748</v>
      </c>
      <c r="I595" s="33" t="s">
        <v>1310</v>
      </c>
      <c r="J595" s="34">
        <v>35173.0</v>
      </c>
    </row>
    <row r="596">
      <c r="A596" s="40" t="s">
        <v>936</v>
      </c>
      <c r="B596" s="39" t="s">
        <v>970</v>
      </c>
      <c r="C596" s="39" t="s">
        <v>1272</v>
      </c>
      <c r="D596" s="32">
        <f t="shared" si="1"/>
        <v>22.55068493</v>
      </c>
      <c r="E596" s="35">
        <f t="shared" si="2"/>
        <v>37635</v>
      </c>
      <c r="G596" s="11"/>
      <c r="H596" s="11" t="s">
        <v>624</v>
      </c>
      <c r="I596" s="33" t="s">
        <v>1313</v>
      </c>
      <c r="J596" s="34">
        <v>33285.0</v>
      </c>
    </row>
    <row r="597">
      <c r="A597" s="40" t="s">
        <v>936</v>
      </c>
      <c r="B597" s="39" t="s">
        <v>972</v>
      </c>
      <c r="C597" s="39" t="s">
        <v>1311</v>
      </c>
      <c r="D597" s="32">
        <f t="shared" si="1"/>
        <v>24.43561644</v>
      </c>
      <c r="E597" s="35">
        <f t="shared" si="2"/>
        <v>36947</v>
      </c>
      <c r="G597" s="11"/>
      <c r="H597" s="11" t="s">
        <v>624</v>
      </c>
      <c r="I597" s="33" t="s">
        <v>1315</v>
      </c>
      <c r="J597" s="34">
        <v>34015.0</v>
      </c>
    </row>
    <row r="598">
      <c r="A598" s="40" t="s">
        <v>936</v>
      </c>
      <c r="B598" s="39" t="s">
        <v>974</v>
      </c>
      <c r="C598" s="39" t="s">
        <v>1133</v>
      </c>
      <c r="D598" s="32">
        <f t="shared" si="1"/>
        <v>19.50410959</v>
      </c>
      <c r="E598" s="35">
        <f t="shared" si="2"/>
        <v>38747</v>
      </c>
      <c r="G598" s="11"/>
      <c r="H598" s="11" t="s">
        <v>624</v>
      </c>
      <c r="I598" s="33" t="s">
        <v>1317</v>
      </c>
      <c r="J598" s="34">
        <v>38823.0</v>
      </c>
    </row>
    <row r="599">
      <c r="A599" s="39" t="s">
        <v>936</v>
      </c>
      <c r="B599" s="39" t="s">
        <v>976</v>
      </c>
      <c r="C599" s="39" t="s">
        <v>1133</v>
      </c>
      <c r="D599" s="32">
        <f t="shared" si="1"/>
        <v>21.95890411</v>
      </c>
      <c r="E599" s="35">
        <f t="shared" si="2"/>
        <v>37851</v>
      </c>
      <c r="G599" s="11"/>
      <c r="H599" s="11" t="s">
        <v>625</v>
      </c>
      <c r="I599" s="33" t="s">
        <v>1319</v>
      </c>
      <c r="J599" s="34">
        <v>35999.0</v>
      </c>
    </row>
    <row r="600">
      <c r="A600" s="39" t="s">
        <v>936</v>
      </c>
      <c r="B600" s="39" t="s">
        <v>978</v>
      </c>
      <c r="C600" s="39" t="s">
        <v>1272</v>
      </c>
      <c r="D600" s="32">
        <f t="shared" si="1"/>
        <v>32.93972603</v>
      </c>
      <c r="E600" s="35">
        <f t="shared" si="2"/>
        <v>33843</v>
      </c>
      <c r="G600" s="11"/>
      <c r="H600" s="11" t="s">
        <v>625</v>
      </c>
      <c r="I600" s="33" t="s">
        <v>1321</v>
      </c>
      <c r="J600" s="34">
        <v>37721.0</v>
      </c>
    </row>
    <row r="601">
      <c r="A601" s="40" t="s">
        <v>936</v>
      </c>
      <c r="B601" s="39" t="s">
        <v>980</v>
      </c>
      <c r="C601" s="39" t="s">
        <v>1272</v>
      </c>
      <c r="D601" s="32">
        <f t="shared" si="1"/>
        <v>18.53972603</v>
      </c>
      <c r="E601" s="35">
        <f t="shared" si="2"/>
        <v>39099</v>
      </c>
      <c r="G601" s="11"/>
      <c r="H601" s="11" t="s">
        <v>747</v>
      </c>
      <c r="I601" s="33" t="s">
        <v>1323</v>
      </c>
      <c r="J601" s="34">
        <v>33331.0</v>
      </c>
    </row>
    <row r="602">
      <c r="A602" s="40" t="s">
        <v>936</v>
      </c>
      <c r="B602" s="39" t="s">
        <v>982</v>
      </c>
      <c r="C602" s="39" t="s">
        <v>1311</v>
      </c>
      <c r="D602" s="32">
        <f t="shared" si="1"/>
        <v>21.3369863</v>
      </c>
      <c r="E602" s="35">
        <f t="shared" si="2"/>
        <v>38078</v>
      </c>
      <c r="G602" s="11"/>
      <c r="H602" s="11" t="s">
        <v>747</v>
      </c>
      <c r="I602" s="33" t="s">
        <v>1325</v>
      </c>
      <c r="J602" s="34">
        <v>38505.0</v>
      </c>
    </row>
    <row r="603">
      <c r="A603" s="39" t="s">
        <v>936</v>
      </c>
      <c r="B603" s="39" t="s">
        <v>984</v>
      </c>
      <c r="C603" s="39" t="s">
        <v>1311</v>
      </c>
      <c r="D603" s="32">
        <f t="shared" si="1"/>
        <v>20.39452055</v>
      </c>
      <c r="E603" s="35">
        <f t="shared" si="2"/>
        <v>38422</v>
      </c>
      <c r="G603" s="11"/>
      <c r="H603" s="11" t="s">
        <v>999</v>
      </c>
      <c r="I603" s="33" t="s">
        <v>1327</v>
      </c>
      <c r="J603" s="34">
        <v>33909.0</v>
      </c>
    </row>
    <row r="604">
      <c r="A604" s="39" t="s">
        <v>936</v>
      </c>
      <c r="B604" s="39" t="s">
        <v>986</v>
      </c>
      <c r="C604" s="39" t="s">
        <v>1133</v>
      </c>
      <c r="D604" s="32">
        <f t="shared" si="1"/>
        <v>22.6109589</v>
      </c>
      <c r="E604" s="35">
        <f t="shared" si="2"/>
        <v>37613</v>
      </c>
      <c r="G604" s="11"/>
      <c r="H604" s="11" t="s">
        <v>999</v>
      </c>
      <c r="I604" s="33" t="s">
        <v>1329</v>
      </c>
      <c r="J604" s="34">
        <v>38849.0</v>
      </c>
    </row>
    <row r="605">
      <c r="A605" s="39" t="s">
        <v>936</v>
      </c>
      <c r="B605" s="39" t="s">
        <v>1547</v>
      </c>
      <c r="C605" s="39" t="s">
        <v>1400</v>
      </c>
      <c r="D605" s="32" t="str">
        <f t="shared" si="1"/>
        <v>#N/A</v>
      </c>
      <c r="E605" s="14" t="str">
        <f t="shared" si="2"/>
        <v>#N/A</v>
      </c>
      <c r="G605" s="11"/>
      <c r="H605" s="11" t="s">
        <v>811</v>
      </c>
      <c r="I605" s="33" t="s">
        <v>1331</v>
      </c>
      <c r="J605" s="34">
        <v>34306.0</v>
      </c>
    </row>
    <row r="606">
      <c r="A606" s="39" t="s">
        <v>936</v>
      </c>
      <c r="B606" s="39" t="s">
        <v>1548</v>
      </c>
      <c r="C606" s="39" t="s">
        <v>1400</v>
      </c>
      <c r="D606" s="32" t="str">
        <f t="shared" si="1"/>
        <v>#N/A</v>
      </c>
      <c r="E606" s="14" t="str">
        <f t="shared" si="2"/>
        <v>#N/A</v>
      </c>
      <c r="G606" s="11"/>
      <c r="H606" s="11" t="s">
        <v>811</v>
      </c>
      <c r="I606" s="33" t="s">
        <v>1333</v>
      </c>
      <c r="J606" s="34">
        <v>35980.0</v>
      </c>
    </row>
    <row r="607">
      <c r="A607" s="40" t="s">
        <v>936</v>
      </c>
      <c r="B607" s="39" t="s">
        <v>988</v>
      </c>
      <c r="C607" s="39" t="s">
        <v>1311</v>
      </c>
      <c r="D607" s="32">
        <f t="shared" si="1"/>
        <v>20.69315068</v>
      </c>
      <c r="E607" s="35">
        <f t="shared" si="2"/>
        <v>38313</v>
      </c>
      <c r="G607" s="11"/>
      <c r="H607" s="11" t="s">
        <v>998</v>
      </c>
      <c r="I607" s="33" t="s">
        <v>1335</v>
      </c>
      <c r="J607" s="34">
        <v>37148.0</v>
      </c>
    </row>
    <row r="608">
      <c r="A608" s="40" t="s">
        <v>936</v>
      </c>
      <c r="B608" s="39" t="s">
        <v>1347</v>
      </c>
      <c r="C608" s="39" t="s">
        <v>1272</v>
      </c>
      <c r="D608" s="32">
        <f t="shared" si="1"/>
        <v>21.33972603</v>
      </c>
      <c r="E608" s="35">
        <f t="shared" si="2"/>
        <v>38077</v>
      </c>
      <c r="G608" s="11"/>
      <c r="H608" s="11" t="s">
        <v>998</v>
      </c>
      <c r="I608" s="33" t="s">
        <v>1337</v>
      </c>
      <c r="J608" s="34">
        <v>37291.0</v>
      </c>
    </row>
    <row r="609">
      <c r="A609" s="40" t="s">
        <v>936</v>
      </c>
      <c r="B609" s="39" t="s">
        <v>1211</v>
      </c>
      <c r="C609" s="39" t="s">
        <v>1133</v>
      </c>
      <c r="D609" s="32">
        <f t="shared" si="1"/>
        <v>20.96986301</v>
      </c>
      <c r="E609" s="35">
        <f t="shared" si="2"/>
        <v>38212</v>
      </c>
      <c r="G609" s="11"/>
      <c r="H609" s="11" t="s">
        <v>935</v>
      </c>
      <c r="I609" s="33" t="s">
        <v>1339</v>
      </c>
      <c r="J609" s="34">
        <v>36270.0</v>
      </c>
    </row>
    <row r="610">
      <c r="A610" s="40" t="s">
        <v>936</v>
      </c>
      <c r="B610" s="39" t="s">
        <v>990</v>
      </c>
      <c r="C610" s="39" t="s">
        <v>1133</v>
      </c>
      <c r="D610" s="32">
        <f t="shared" si="1"/>
        <v>33.38630137</v>
      </c>
      <c r="E610" s="35">
        <f t="shared" si="2"/>
        <v>33680</v>
      </c>
      <c r="G610" s="11"/>
      <c r="H610" s="11" t="s">
        <v>935</v>
      </c>
      <c r="I610" s="33" t="s">
        <v>1341</v>
      </c>
      <c r="J610" s="34">
        <v>36978.0</v>
      </c>
    </row>
    <row r="611">
      <c r="A611" s="40" t="s">
        <v>936</v>
      </c>
      <c r="B611" s="39" t="s">
        <v>992</v>
      </c>
      <c r="C611" s="39" t="s">
        <v>1133</v>
      </c>
      <c r="D611" s="32">
        <f t="shared" si="1"/>
        <v>24.56712329</v>
      </c>
      <c r="E611" s="35">
        <f t="shared" si="2"/>
        <v>36899</v>
      </c>
      <c r="G611" s="11"/>
      <c r="H611" s="11" t="s">
        <v>935</v>
      </c>
      <c r="I611" s="33" t="s">
        <v>1343</v>
      </c>
      <c r="J611" s="34">
        <v>36628.0</v>
      </c>
    </row>
    <row r="612">
      <c r="A612" s="39" t="s">
        <v>936</v>
      </c>
      <c r="B612" s="39" t="s">
        <v>1213</v>
      </c>
      <c r="C612" s="39" t="s">
        <v>1311</v>
      </c>
      <c r="D612" s="32">
        <f t="shared" si="1"/>
        <v>22.10410959</v>
      </c>
      <c r="E612" s="35">
        <f t="shared" si="2"/>
        <v>37798</v>
      </c>
      <c r="G612" s="11"/>
      <c r="H612" s="11" t="s">
        <v>936</v>
      </c>
      <c r="I612" s="33" t="s">
        <v>1345</v>
      </c>
      <c r="J612" s="34">
        <v>37571.0</v>
      </c>
    </row>
    <row r="613">
      <c r="A613" s="39" t="s">
        <v>936</v>
      </c>
      <c r="B613" s="39" t="s">
        <v>1345</v>
      </c>
      <c r="C613" s="39" t="s">
        <v>1311</v>
      </c>
      <c r="D613" s="32">
        <f t="shared" si="1"/>
        <v>22.7260274</v>
      </c>
      <c r="E613" s="35">
        <f t="shared" si="2"/>
        <v>37571</v>
      </c>
      <c r="G613" s="11"/>
      <c r="H613" s="11" t="s">
        <v>936</v>
      </c>
      <c r="I613" s="33" t="s">
        <v>1347</v>
      </c>
      <c r="J613" s="34">
        <v>38077.0</v>
      </c>
    </row>
    <row r="614">
      <c r="A614" s="40" t="s">
        <v>936</v>
      </c>
      <c r="B614" s="39" t="s">
        <v>994</v>
      </c>
      <c r="C614" s="39" t="s">
        <v>1133</v>
      </c>
      <c r="D614" s="32">
        <f t="shared" si="1"/>
        <v>19.84383562</v>
      </c>
      <c r="E614" s="35">
        <f t="shared" si="2"/>
        <v>38623</v>
      </c>
      <c r="G614" s="11"/>
      <c r="H614" s="11" t="s">
        <v>873</v>
      </c>
      <c r="I614" s="33" t="s">
        <v>1349</v>
      </c>
      <c r="J614" s="34">
        <v>38358.0</v>
      </c>
    </row>
    <row r="615">
      <c r="A615" s="39" t="s">
        <v>936</v>
      </c>
      <c r="B615" s="39" t="s">
        <v>996</v>
      </c>
      <c r="C615" s="39" t="s">
        <v>1272</v>
      </c>
      <c r="D615" s="32">
        <f t="shared" si="1"/>
        <v>19.00821918</v>
      </c>
      <c r="E615" s="35">
        <f t="shared" si="2"/>
        <v>38928</v>
      </c>
      <c r="G615" s="11"/>
      <c r="H615" s="11" t="s">
        <v>250</v>
      </c>
      <c r="I615" s="33" t="s">
        <v>1353</v>
      </c>
      <c r="J615" s="34">
        <v>33918.0</v>
      </c>
    </row>
    <row r="616">
      <c r="A616" s="39" t="s">
        <v>936</v>
      </c>
      <c r="B616" s="39" t="s">
        <v>1549</v>
      </c>
      <c r="C616" s="39" t="s">
        <v>1272</v>
      </c>
      <c r="D616" s="32" t="str">
        <f t="shared" si="1"/>
        <v>#N/A</v>
      </c>
      <c r="E616" s="14" t="str">
        <f t="shared" si="2"/>
        <v>#N/A</v>
      </c>
      <c r="G616" s="11"/>
      <c r="H616" s="11" t="s">
        <v>250</v>
      </c>
      <c r="I616" s="33" t="s">
        <v>1355</v>
      </c>
      <c r="J616" s="34">
        <v>30363.0</v>
      </c>
    </row>
    <row r="617">
      <c r="A617" s="39" t="s">
        <v>936</v>
      </c>
      <c r="B617" s="39" t="s">
        <v>1550</v>
      </c>
      <c r="C617" s="39" t="s">
        <v>1133</v>
      </c>
      <c r="D617" s="32" t="str">
        <f t="shared" si="1"/>
        <v>#N/A</v>
      </c>
      <c r="E617" s="14" t="str">
        <f t="shared" si="2"/>
        <v>#N/A</v>
      </c>
      <c r="G617" s="11"/>
      <c r="H617" s="11" t="s">
        <v>250</v>
      </c>
      <c r="I617" s="33" t="s">
        <v>1357</v>
      </c>
      <c r="J617" s="34">
        <v>38837.0</v>
      </c>
    </row>
    <row r="618">
      <c r="A618" s="39" t="s">
        <v>936</v>
      </c>
      <c r="B618" s="39" t="s">
        <v>1551</v>
      </c>
      <c r="C618" s="39" t="s">
        <v>1272</v>
      </c>
      <c r="D618" s="32" t="str">
        <f t="shared" si="1"/>
        <v>#N/A</v>
      </c>
      <c r="E618" s="14" t="str">
        <f t="shared" si="2"/>
        <v>#N/A</v>
      </c>
      <c r="G618" s="11"/>
      <c r="H618" s="11" t="s">
        <v>313</v>
      </c>
      <c r="I618" s="33" t="s">
        <v>1359</v>
      </c>
      <c r="J618" s="34">
        <v>32558.0</v>
      </c>
    </row>
    <row r="619">
      <c r="A619" s="31" t="s">
        <v>687</v>
      </c>
      <c r="B619" s="31" t="s">
        <v>1552</v>
      </c>
      <c r="C619" s="31" t="s">
        <v>1400</v>
      </c>
      <c r="D619" s="32" t="str">
        <f t="shared" si="1"/>
        <v>#N/A</v>
      </c>
      <c r="E619" s="14" t="str">
        <f t="shared" si="2"/>
        <v>#N/A</v>
      </c>
      <c r="G619" s="11"/>
      <c r="H619" s="11" t="s">
        <v>313</v>
      </c>
      <c r="I619" s="33" t="s">
        <v>1361</v>
      </c>
      <c r="J619" s="34">
        <v>34950.0</v>
      </c>
    </row>
    <row r="620">
      <c r="A620" s="31" t="s">
        <v>687</v>
      </c>
      <c r="B620" s="31" t="s">
        <v>690</v>
      </c>
      <c r="C620" s="31" t="s">
        <v>1272</v>
      </c>
      <c r="D620" s="32">
        <f t="shared" si="1"/>
        <v>22.69315068</v>
      </c>
      <c r="E620" s="35">
        <f t="shared" si="2"/>
        <v>37583</v>
      </c>
      <c r="G620" s="11"/>
      <c r="H620" s="11" t="s">
        <v>441</v>
      </c>
      <c r="I620" s="33" t="s">
        <v>1363</v>
      </c>
      <c r="J620" s="34">
        <v>38529.0</v>
      </c>
    </row>
    <row r="621">
      <c r="A621" s="31" t="s">
        <v>687</v>
      </c>
      <c r="B621" s="31" t="s">
        <v>692</v>
      </c>
      <c r="C621" s="31" t="s">
        <v>1311</v>
      </c>
      <c r="D621" s="32">
        <f t="shared" si="1"/>
        <v>35.64383562</v>
      </c>
      <c r="E621" s="35">
        <f t="shared" si="2"/>
        <v>32856</v>
      </c>
      <c r="G621" s="11"/>
      <c r="H621" s="11" t="s">
        <v>377</v>
      </c>
      <c r="I621" s="33" t="s">
        <v>1365</v>
      </c>
      <c r="J621" s="34">
        <v>38471.0</v>
      </c>
    </row>
    <row r="622">
      <c r="A622" s="31" t="s">
        <v>687</v>
      </c>
      <c r="B622" s="31" t="s">
        <v>694</v>
      </c>
      <c r="C622" s="31" t="s">
        <v>1311</v>
      </c>
      <c r="D622" s="32">
        <f t="shared" si="1"/>
        <v>30.60273973</v>
      </c>
      <c r="E622" s="35">
        <f t="shared" si="2"/>
        <v>34696</v>
      </c>
      <c r="G622" s="11"/>
      <c r="H622" s="11" t="s">
        <v>187</v>
      </c>
      <c r="I622" s="33" t="s">
        <v>1367</v>
      </c>
      <c r="J622" s="34">
        <v>35565.0</v>
      </c>
    </row>
    <row r="623">
      <c r="A623" s="31" t="s">
        <v>687</v>
      </c>
      <c r="B623" s="31" t="s">
        <v>696</v>
      </c>
      <c r="C623" s="31" t="s">
        <v>1311</v>
      </c>
      <c r="D623" s="32">
        <f t="shared" si="1"/>
        <v>31.28219178</v>
      </c>
      <c r="E623" s="35">
        <f t="shared" si="2"/>
        <v>34448</v>
      </c>
      <c r="G623" s="11"/>
      <c r="H623" s="11" t="s">
        <v>501</v>
      </c>
      <c r="I623" s="33" t="s">
        <v>1369</v>
      </c>
      <c r="J623" s="34">
        <v>35582.0</v>
      </c>
    </row>
    <row r="624">
      <c r="A624" s="11" t="s">
        <v>687</v>
      </c>
      <c r="B624" s="31" t="s">
        <v>698</v>
      </c>
      <c r="C624" s="31" t="s">
        <v>1311</v>
      </c>
      <c r="D624" s="32">
        <f t="shared" si="1"/>
        <v>26.57534247</v>
      </c>
      <c r="E624" s="35">
        <f t="shared" si="2"/>
        <v>36166</v>
      </c>
      <c r="G624" s="11"/>
      <c r="H624" s="11" t="s">
        <v>874</v>
      </c>
      <c r="I624" s="33" t="s">
        <v>1371</v>
      </c>
      <c r="J624" s="34">
        <v>32833.0</v>
      </c>
    </row>
    <row r="625">
      <c r="A625" s="11" t="s">
        <v>687</v>
      </c>
      <c r="B625" s="31" t="s">
        <v>700</v>
      </c>
      <c r="C625" s="31" t="s">
        <v>1311</v>
      </c>
      <c r="D625" s="32">
        <f t="shared" si="1"/>
        <v>31.79178082</v>
      </c>
      <c r="E625" s="35">
        <f t="shared" si="2"/>
        <v>34262</v>
      </c>
      <c r="G625" s="11"/>
      <c r="H625" s="11" t="s">
        <v>874</v>
      </c>
      <c r="I625" s="33" t="s">
        <v>1373</v>
      </c>
      <c r="J625" s="34">
        <v>36838.0</v>
      </c>
    </row>
    <row r="626">
      <c r="A626" s="11" t="s">
        <v>687</v>
      </c>
      <c r="B626" s="31" t="s">
        <v>702</v>
      </c>
      <c r="C626" s="31" t="s">
        <v>1272</v>
      </c>
      <c r="D626" s="32">
        <f t="shared" si="1"/>
        <v>35.43835616</v>
      </c>
      <c r="E626" s="35">
        <f t="shared" si="2"/>
        <v>32931</v>
      </c>
      <c r="G626" s="11"/>
      <c r="H626" s="11" t="s">
        <v>874</v>
      </c>
      <c r="I626" s="33" t="s">
        <v>1375</v>
      </c>
      <c r="J626" s="34">
        <v>38032.0</v>
      </c>
    </row>
    <row r="627">
      <c r="A627" s="31" t="s">
        <v>687</v>
      </c>
      <c r="B627" s="31" t="s">
        <v>704</v>
      </c>
      <c r="C627" s="31" t="s">
        <v>1311</v>
      </c>
      <c r="D627" s="32">
        <f t="shared" si="1"/>
        <v>37.09589041</v>
      </c>
      <c r="E627" s="35">
        <f t="shared" si="2"/>
        <v>32326</v>
      </c>
      <c r="G627" s="11"/>
      <c r="H627" s="11" t="s">
        <v>873</v>
      </c>
      <c r="I627" s="33" t="s">
        <v>1377</v>
      </c>
      <c r="J627" s="34">
        <v>36149.0</v>
      </c>
    </row>
    <row r="628">
      <c r="A628" s="31" t="s">
        <v>687</v>
      </c>
      <c r="B628" s="31" t="s">
        <v>706</v>
      </c>
      <c r="C628" s="31" t="s">
        <v>1272</v>
      </c>
      <c r="D628" s="32">
        <f t="shared" si="1"/>
        <v>31.25205479</v>
      </c>
      <c r="E628" s="35">
        <f t="shared" si="2"/>
        <v>34459</v>
      </c>
      <c r="G628" s="11"/>
      <c r="H628" s="11" t="s">
        <v>999</v>
      </c>
      <c r="I628" s="33" t="s">
        <v>1379</v>
      </c>
      <c r="J628" s="34">
        <v>34544.0</v>
      </c>
    </row>
    <row r="629">
      <c r="A629" s="11" t="s">
        <v>687</v>
      </c>
      <c r="B629" s="31" t="s">
        <v>708</v>
      </c>
      <c r="C629" s="31" t="s">
        <v>1311</v>
      </c>
      <c r="D629" s="32">
        <f t="shared" si="1"/>
        <v>28.58356164</v>
      </c>
      <c r="E629" s="35">
        <f t="shared" si="2"/>
        <v>35433</v>
      </c>
      <c r="G629" s="11"/>
      <c r="H629" s="11" t="s">
        <v>874</v>
      </c>
      <c r="I629" s="33" t="s">
        <v>1382</v>
      </c>
      <c r="J629" s="34">
        <v>33224.0</v>
      </c>
    </row>
    <row r="630">
      <c r="A630" s="31" t="s">
        <v>687</v>
      </c>
      <c r="B630" s="31" t="s">
        <v>1553</v>
      </c>
      <c r="C630" s="31" t="s">
        <v>1400</v>
      </c>
      <c r="D630" s="32" t="str">
        <f t="shared" si="1"/>
        <v>#N/A</v>
      </c>
      <c r="E630" s="14" t="str">
        <f t="shared" si="2"/>
        <v>#N/A</v>
      </c>
      <c r="G630" s="11"/>
      <c r="H630" s="11" t="s">
        <v>377</v>
      </c>
      <c r="I630" s="33" t="s">
        <v>1384</v>
      </c>
      <c r="J630" s="34">
        <v>37160.0</v>
      </c>
    </row>
    <row r="631">
      <c r="A631" s="31" t="s">
        <v>687</v>
      </c>
      <c r="B631" s="31" t="s">
        <v>1554</v>
      </c>
      <c r="C631" s="31" t="s">
        <v>1272</v>
      </c>
      <c r="D631" s="32" t="str">
        <f t="shared" si="1"/>
        <v>#N/A</v>
      </c>
      <c r="E631" s="14" t="str">
        <f t="shared" si="2"/>
        <v>#N/A</v>
      </c>
      <c r="G631" s="11"/>
      <c r="H631" s="11" t="s">
        <v>563</v>
      </c>
      <c r="I631" s="33" t="s">
        <v>1387</v>
      </c>
      <c r="J631" s="34">
        <v>35611.0</v>
      </c>
    </row>
    <row r="632">
      <c r="A632" s="31" t="s">
        <v>687</v>
      </c>
      <c r="B632" s="31" t="s">
        <v>1555</v>
      </c>
      <c r="C632" s="31" t="s">
        <v>1311</v>
      </c>
      <c r="D632" s="32" t="str">
        <f t="shared" si="1"/>
        <v>#N/A</v>
      </c>
      <c r="E632" s="14" t="str">
        <f t="shared" si="2"/>
        <v>#N/A</v>
      </c>
      <c r="G632" s="11"/>
      <c r="H632" s="11" t="s">
        <v>873</v>
      </c>
      <c r="I632" s="33" t="s">
        <v>1389</v>
      </c>
      <c r="J632" s="34">
        <v>33614.0</v>
      </c>
    </row>
    <row r="633">
      <c r="A633" s="31" t="s">
        <v>687</v>
      </c>
      <c r="B633" s="31" t="s">
        <v>710</v>
      </c>
      <c r="C633" s="31" t="s">
        <v>1272</v>
      </c>
      <c r="D633" s="32">
        <f t="shared" si="1"/>
        <v>31.82739726</v>
      </c>
      <c r="E633" s="35">
        <f t="shared" si="2"/>
        <v>34249</v>
      </c>
      <c r="G633" s="11"/>
      <c r="H633" s="11" t="s">
        <v>873</v>
      </c>
      <c r="I633" s="33" t="s">
        <v>1391</v>
      </c>
      <c r="J633" s="34">
        <v>35813.0</v>
      </c>
    </row>
    <row r="634">
      <c r="A634" s="11" t="s">
        <v>687</v>
      </c>
      <c r="B634" s="11" t="s">
        <v>712</v>
      </c>
      <c r="C634" s="11" t="s">
        <v>1311</v>
      </c>
      <c r="D634" s="32">
        <f t="shared" si="1"/>
        <v>27.93972603</v>
      </c>
      <c r="E634" s="35">
        <f t="shared" si="2"/>
        <v>35668</v>
      </c>
      <c r="I634" s="7" t="s">
        <v>1132</v>
      </c>
      <c r="J634" s="29">
        <v>35968.0</v>
      </c>
    </row>
    <row r="635">
      <c r="A635" s="11" t="s">
        <v>687</v>
      </c>
      <c r="B635" s="11" t="s">
        <v>714</v>
      </c>
      <c r="C635" s="11" t="s">
        <v>1311</v>
      </c>
      <c r="D635" s="32">
        <f t="shared" si="1"/>
        <v>27.26575342</v>
      </c>
      <c r="E635" s="35">
        <f t="shared" si="2"/>
        <v>35914</v>
      </c>
      <c r="I635" s="7" t="s">
        <v>1271</v>
      </c>
      <c r="J635" s="29">
        <v>37770.0</v>
      </c>
    </row>
    <row r="636">
      <c r="A636" s="11" t="s">
        <v>687</v>
      </c>
      <c r="B636" s="11" t="s">
        <v>1177</v>
      </c>
      <c r="C636" s="11" t="s">
        <v>1133</v>
      </c>
      <c r="D636" s="32">
        <f t="shared" si="1"/>
        <v>24.30958904</v>
      </c>
      <c r="E636" s="35">
        <f t="shared" si="2"/>
        <v>36993</v>
      </c>
      <c r="I636" s="7" t="s">
        <v>1274</v>
      </c>
      <c r="J636" s="29">
        <v>33264.0</v>
      </c>
    </row>
    <row r="637">
      <c r="A637" s="11" t="s">
        <v>687</v>
      </c>
      <c r="B637" s="11" t="s">
        <v>1298</v>
      </c>
      <c r="C637" s="11" t="s">
        <v>1311</v>
      </c>
      <c r="D637" s="32">
        <f t="shared" si="1"/>
        <v>32.96986301</v>
      </c>
      <c r="E637" s="35">
        <f t="shared" si="2"/>
        <v>33832</v>
      </c>
      <c r="I637" s="7" t="s">
        <v>1310</v>
      </c>
      <c r="J637" s="29">
        <v>35173.0</v>
      </c>
    </row>
    <row r="638">
      <c r="A638" s="11" t="s">
        <v>687</v>
      </c>
      <c r="B638" s="11" t="s">
        <v>1300</v>
      </c>
      <c r="C638" s="11" t="s">
        <v>1272</v>
      </c>
      <c r="D638" s="32">
        <f t="shared" si="1"/>
        <v>24.88219178</v>
      </c>
      <c r="E638" s="35">
        <f t="shared" si="2"/>
        <v>36784</v>
      </c>
      <c r="I638" s="7" t="s">
        <v>1317</v>
      </c>
      <c r="J638" s="29">
        <v>38823.0</v>
      </c>
    </row>
    <row r="639">
      <c r="A639" s="11" t="s">
        <v>687</v>
      </c>
      <c r="B639" s="11" t="s">
        <v>1175</v>
      </c>
      <c r="C639" s="11" t="s">
        <v>1272</v>
      </c>
      <c r="D639" s="32">
        <f t="shared" si="1"/>
        <v>26.20547945</v>
      </c>
      <c r="E639" s="35">
        <f t="shared" si="2"/>
        <v>36301</v>
      </c>
      <c r="I639" s="7" t="s">
        <v>1321</v>
      </c>
      <c r="J639" s="29">
        <v>37721.0</v>
      </c>
    </row>
    <row r="640">
      <c r="A640" s="11" t="s">
        <v>687</v>
      </c>
      <c r="B640" s="11" t="s">
        <v>1556</v>
      </c>
      <c r="C640" s="11" t="s">
        <v>1311</v>
      </c>
      <c r="D640" s="32" t="str">
        <f t="shared" si="1"/>
        <v>#N/A</v>
      </c>
      <c r="E640" s="14" t="str">
        <f t="shared" si="2"/>
        <v>#N/A</v>
      </c>
      <c r="I640" s="7" t="s">
        <v>1369</v>
      </c>
      <c r="J640" s="29">
        <v>35582.0</v>
      </c>
    </row>
    <row r="641">
      <c r="A641" s="11" t="s">
        <v>687</v>
      </c>
      <c r="B641" s="11" t="s">
        <v>716</v>
      </c>
      <c r="C641" s="11" t="s">
        <v>1311</v>
      </c>
      <c r="D641" s="32">
        <f t="shared" si="1"/>
        <v>22.77534247</v>
      </c>
      <c r="E641" s="35">
        <f t="shared" si="2"/>
        <v>37553</v>
      </c>
      <c r="I641" s="7" t="s">
        <v>1375</v>
      </c>
      <c r="J641" s="29">
        <v>38032.0</v>
      </c>
    </row>
    <row r="642">
      <c r="A642" s="11" t="s">
        <v>687</v>
      </c>
      <c r="B642" s="11" t="s">
        <v>1557</v>
      </c>
      <c r="C642" s="11" t="s">
        <v>1311</v>
      </c>
      <c r="D642" s="32" t="str">
        <f t="shared" si="1"/>
        <v>#N/A</v>
      </c>
      <c r="E642" s="14" t="str">
        <f t="shared" si="2"/>
        <v>#N/A</v>
      </c>
      <c r="I642" s="7" t="s">
        <v>1377</v>
      </c>
      <c r="J642" s="42">
        <v>36149.0</v>
      </c>
    </row>
    <row r="643">
      <c r="A643" s="11" t="s">
        <v>687</v>
      </c>
      <c r="B643" s="11" t="s">
        <v>1179</v>
      </c>
      <c r="C643" s="11" t="s">
        <v>1272</v>
      </c>
      <c r="D643" s="32">
        <f t="shared" si="1"/>
        <v>22.55342466</v>
      </c>
      <c r="E643" s="35">
        <f t="shared" si="2"/>
        <v>37634</v>
      </c>
      <c r="I643" s="7" t="s">
        <v>1382</v>
      </c>
      <c r="J643" s="42">
        <v>33224.0</v>
      </c>
    </row>
    <row r="644">
      <c r="A644" s="11" t="s">
        <v>687</v>
      </c>
      <c r="B644" s="11" t="s">
        <v>1558</v>
      </c>
      <c r="C644" s="11" t="s">
        <v>1133</v>
      </c>
      <c r="D644" s="32" t="str">
        <f t="shared" si="1"/>
        <v>#N/A</v>
      </c>
      <c r="E644" s="14" t="str">
        <f t="shared" si="2"/>
        <v>#N/A</v>
      </c>
      <c r="I644" s="7" t="s">
        <v>1384</v>
      </c>
      <c r="J644" s="29">
        <v>37160.0</v>
      </c>
    </row>
    <row r="645">
      <c r="A645" s="11" t="s">
        <v>688</v>
      </c>
      <c r="B645" s="11" t="s">
        <v>1559</v>
      </c>
      <c r="C645" s="11" t="s">
        <v>1400</v>
      </c>
      <c r="D645" s="32" t="str">
        <f t="shared" si="1"/>
        <v>#N/A</v>
      </c>
      <c r="E645" s="14" t="str">
        <f t="shared" si="2"/>
        <v>#N/A</v>
      </c>
      <c r="I645" s="7" t="s">
        <v>1387</v>
      </c>
      <c r="J645" s="29">
        <v>35611.0</v>
      </c>
    </row>
    <row r="646">
      <c r="A646" s="11" t="s">
        <v>688</v>
      </c>
      <c r="B646" s="11" t="s">
        <v>718</v>
      </c>
      <c r="C646" s="11" t="s">
        <v>1311</v>
      </c>
      <c r="D646" s="32">
        <f t="shared" si="1"/>
        <v>28.5260274</v>
      </c>
      <c r="E646" s="35">
        <f t="shared" si="2"/>
        <v>35454</v>
      </c>
      <c r="I646" s="7" t="s">
        <v>1389</v>
      </c>
      <c r="J646" s="29">
        <v>33614.0</v>
      </c>
    </row>
    <row r="647">
      <c r="A647" s="11" t="s">
        <v>688</v>
      </c>
      <c r="B647" s="11" t="s">
        <v>720</v>
      </c>
      <c r="C647" s="11" t="s">
        <v>1133</v>
      </c>
      <c r="D647" s="32">
        <f t="shared" si="1"/>
        <v>23.08493151</v>
      </c>
      <c r="E647" s="35">
        <f t="shared" si="2"/>
        <v>37440</v>
      </c>
      <c r="I647" s="7" t="s">
        <v>1391</v>
      </c>
      <c r="J647" s="29">
        <v>35813.0</v>
      </c>
    </row>
    <row r="648">
      <c r="A648" s="11" t="s">
        <v>688</v>
      </c>
      <c r="B648" s="11" t="s">
        <v>722</v>
      </c>
      <c r="C648" s="11" t="s">
        <v>1133</v>
      </c>
      <c r="D648" s="32">
        <f t="shared" si="1"/>
        <v>26.81917808</v>
      </c>
      <c r="E648" s="35">
        <f t="shared" si="2"/>
        <v>36077</v>
      </c>
    </row>
    <row r="649">
      <c r="A649" s="11" t="s">
        <v>688</v>
      </c>
      <c r="B649" s="11" t="s">
        <v>724</v>
      </c>
      <c r="C649" s="11" t="s">
        <v>1311</v>
      </c>
      <c r="D649" s="32">
        <f t="shared" si="1"/>
        <v>26.3260274</v>
      </c>
      <c r="E649" s="35">
        <f t="shared" si="2"/>
        <v>36257</v>
      </c>
    </row>
    <row r="650">
      <c r="A650" s="11" t="s">
        <v>688</v>
      </c>
      <c r="B650" s="11" t="s">
        <v>726</v>
      </c>
      <c r="C650" s="11" t="s">
        <v>1133</v>
      </c>
      <c r="D650" s="32">
        <f t="shared" si="1"/>
        <v>29.62739726</v>
      </c>
      <c r="E650" s="35">
        <f t="shared" si="2"/>
        <v>35052</v>
      </c>
    </row>
    <row r="651">
      <c r="A651" s="11" t="s">
        <v>688</v>
      </c>
      <c r="B651" s="11" t="s">
        <v>728</v>
      </c>
      <c r="C651" s="11" t="s">
        <v>1311</v>
      </c>
      <c r="D651" s="32">
        <f t="shared" si="1"/>
        <v>36.00821918</v>
      </c>
      <c r="E651" s="35">
        <f t="shared" si="2"/>
        <v>32723</v>
      </c>
    </row>
    <row r="652">
      <c r="A652" s="11" t="s">
        <v>688</v>
      </c>
      <c r="B652" s="11" t="s">
        <v>730</v>
      </c>
      <c r="C652" s="11" t="s">
        <v>1272</v>
      </c>
      <c r="D652" s="32">
        <f t="shared" si="1"/>
        <v>32.76164384</v>
      </c>
      <c r="E652" s="35">
        <f t="shared" si="2"/>
        <v>33908</v>
      </c>
    </row>
    <row r="653">
      <c r="A653" s="11" t="s">
        <v>688</v>
      </c>
      <c r="B653" s="11" t="s">
        <v>732</v>
      </c>
      <c r="C653" s="11" t="s">
        <v>1272</v>
      </c>
      <c r="D653" s="32">
        <f t="shared" si="1"/>
        <v>27.55068493</v>
      </c>
      <c r="E653" s="35">
        <f t="shared" si="2"/>
        <v>35810</v>
      </c>
    </row>
    <row r="654">
      <c r="A654" s="11" t="s">
        <v>688</v>
      </c>
      <c r="B654" s="11" t="s">
        <v>734</v>
      </c>
      <c r="C654" s="11" t="s">
        <v>1272</v>
      </c>
      <c r="D654" s="32">
        <f t="shared" si="1"/>
        <v>30.27671233</v>
      </c>
      <c r="E654" s="35">
        <f t="shared" si="2"/>
        <v>34815</v>
      </c>
    </row>
    <row r="655">
      <c r="A655" s="11" t="s">
        <v>688</v>
      </c>
      <c r="B655" s="11" t="s">
        <v>736</v>
      </c>
      <c r="C655" s="11" t="s">
        <v>1272</v>
      </c>
      <c r="D655" s="32">
        <f t="shared" si="1"/>
        <v>30.1890411</v>
      </c>
      <c r="E655" s="35">
        <f t="shared" si="2"/>
        <v>34847</v>
      </c>
    </row>
    <row r="656">
      <c r="A656" s="11" t="s">
        <v>688</v>
      </c>
      <c r="B656" s="11" t="s">
        <v>1560</v>
      </c>
      <c r="C656" s="11" t="s">
        <v>1400</v>
      </c>
      <c r="D656" s="32" t="str">
        <f t="shared" si="1"/>
        <v>#N/A</v>
      </c>
      <c r="E656" s="14" t="str">
        <f t="shared" si="2"/>
        <v>#N/A</v>
      </c>
    </row>
    <row r="657">
      <c r="A657" s="11" t="s">
        <v>688</v>
      </c>
      <c r="B657" s="11" t="s">
        <v>1561</v>
      </c>
      <c r="C657" s="11" t="s">
        <v>1400</v>
      </c>
      <c r="D657" s="32" t="str">
        <f t="shared" si="1"/>
        <v>#N/A</v>
      </c>
      <c r="E657" s="14" t="str">
        <f t="shared" si="2"/>
        <v>#N/A</v>
      </c>
    </row>
    <row r="658">
      <c r="A658" s="11" t="s">
        <v>688</v>
      </c>
      <c r="B658" s="11" t="s">
        <v>1562</v>
      </c>
      <c r="C658" s="11" t="s">
        <v>1272</v>
      </c>
      <c r="D658" s="32" t="str">
        <f t="shared" si="1"/>
        <v>#N/A</v>
      </c>
      <c r="E658" s="14" t="str">
        <f t="shared" si="2"/>
        <v>#N/A</v>
      </c>
    </row>
    <row r="659">
      <c r="A659" s="11" t="s">
        <v>688</v>
      </c>
      <c r="B659" s="11" t="s">
        <v>1302</v>
      </c>
      <c r="C659" s="11" t="s">
        <v>1272</v>
      </c>
      <c r="D659" s="32">
        <f t="shared" si="1"/>
        <v>32.81917808</v>
      </c>
      <c r="E659" s="35">
        <f t="shared" si="2"/>
        <v>33887</v>
      </c>
    </row>
    <row r="660">
      <c r="A660" s="11" t="s">
        <v>688</v>
      </c>
      <c r="B660" s="11" t="s">
        <v>1563</v>
      </c>
      <c r="C660" s="11" t="s">
        <v>1311</v>
      </c>
      <c r="D660" s="32" t="str">
        <f t="shared" si="1"/>
        <v>#N/A</v>
      </c>
      <c r="E660" s="14" t="str">
        <f t="shared" si="2"/>
        <v>#N/A</v>
      </c>
    </row>
    <row r="661">
      <c r="A661" s="11" t="s">
        <v>688</v>
      </c>
      <c r="B661" s="11" t="s">
        <v>738</v>
      </c>
      <c r="C661" s="11" t="s">
        <v>1311</v>
      </c>
      <c r="D661" s="32">
        <f t="shared" si="1"/>
        <v>24.24657534</v>
      </c>
      <c r="E661" s="35">
        <f t="shared" si="2"/>
        <v>37016</v>
      </c>
    </row>
    <row r="662">
      <c r="A662" s="11" t="s">
        <v>688</v>
      </c>
      <c r="B662" s="11" t="s">
        <v>1564</v>
      </c>
      <c r="C662" s="11" t="s">
        <v>1311</v>
      </c>
      <c r="D662" s="32" t="str">
        <f t="shared" si="1"/>
        <v>#N/A</v>
      </c>
      <c r="E662" s="14" t="str">
        <f t="shared" si="2"/>
        <v>#N/A</v>
      </c>
    </row>
    <row r="663">
      <c r="A663" s="11" t="s">
        <v>688</v>
      </c>
      <c r="B663" s="11" t="s">
        <v>740</v>
      </c>
      <c r="C663" s="11" t="s">
        <v>1311</v>
      </c>
      <c r="D663" s="32">
        <f t="shared" si="1"/>
        <v>30.22739726</v>
      </c>
      <c r="E663" s="35">
        <f t="shared" si="2"/>
        <v>34833</v>
      </c>
    </row>
    <row r="664">
      <c r="A664" s="11" t="s">
        <v>688</v>
      </c>
      <c r="B664" s="11" t="s">
        <v>1565</v>
      </c>
      <c r="C664" s="11" t="s">
        <v>1133</v>
      </c>
      <c r="D664" s="32" t="str">
        <f t="shared" si="1"/>
        <v>#N/A</v>
      </c>
      <c r="E664" s="14" t="str">
        <f t="shared" si="2"/>
        <v>#N/A</v>
      </c>
    </row>
    <row r="665">
      <c r="A665" s="11" t="s">
        <v>688</v>
      </c>
      <c r="B665" s="11" t="s">
        <v>742</v>
      </c>
      <c r="C665" s="11" t="s">
        <v>1133</v>
      </c>
      <c r="D665" s="32">
        <f t="shared" si="1"/>
        <v>24.89041096</v>
      </c>
      <c r="E665" s="35">
        <f t="shared" si="2"/>
        <v>36781</v>
      </c>
    </row>
    <row r="666">
      <c r="A666" s="11" t="s">
        <v>688</v>
      </c>
      <c r="B666" s="11" t="s">
        <v>1566</v>
      </c>
      <c r="C666" s="11" t="s">
        <v>1311</v>
      </c>
      <c r="D666" s="32" t="str">
        <f t="shared" si="1"/>
        <v>#N/A</v>
      </c>
      <c r="E666" s="14" t="str">
        <f t="shared" si="2"/>
        <v>#N/A</v>
      </c>
    </row>
    <row r="667">
      <c r="A667" s="11" t="s">
        <v>688</v>
      </c>
      <c r="B667" s="11" t="s">
        <v>1567</v>
      </c>
      <c r="C667" s="11" t="s">
        <v>1272</v>
      </c>
      <c r="D667" s="32" t="str">
        <f t="shared" si="1"/>
        <v>#N/A</v>
      </c>
      <c r="E667" s="14" t="str">
        <f t="shared" si="2"/>
        <v>#N/A</v>
      </c>
    </row>
    <row r="668">
      <c r="A668" s="11" t="s">
        <v>688</v>
      </c>
      <c r="B668" s="11" t="s">
        <v>744</v>
      </c>
      <c r="C668" s="11" t="s">
        <v>1272</v>
      </c>
      <c r="D668" s="32">
        <f t="shared" si="1"/>
        <v>31.14246575</v>
      </c>
      <c r="E668" s="35">
        <f t="shared" si="2"/>
        <v>34499</v>
      </c>
    </row>
    <row r="669">
      <c r="A669" s="11" t="s">
        <v>688</v>
      </c>
      <c r="B669" s="11" t="s">
        <v>746</v>
      </c>
      <c r="C669" s="11" t="s">
        <v>1133</v>
      </c>
      <c r="D669" s="32">
        <f t="shared" si="1"/>
        <v>29.51780822</v>
      </c>
      <c r="E669" s="35">
        <f t="shared" si="2"/>
        <v>35092</v>
      </c>
    </row>
    <row r="670">
      <c r="A670" s="11" t="s">
        <v>688</v>
      </c>
      <c r="B670" s="11" t="s">
        <v>1304</v>
      </c>
      <c r="C670" s="11" t="s">
        <v>1133</v>
      </c>
      <c r="D670" s="32">
        <f t="shared" si="1"/>
        <v>31.78356164</v>
      </c>
      <c r="E670" s="35">
        <f t="shared" si="2"/>
        <v>34265</v>
      </c>
    </row>
    <row r="671">
      <c r="A671" s="11" t="s">
        <v>998</v>
      </c>
      <c r="B671" s="11" t="s">
        <v>1568</v>
      </c>
      <c r="C671" s="11" t="s">
        <v>1400</v>
      </c>
      <c r="D671" s="32" t="str">
        <f t="shared" si="1"/>
        <v>#N/A</v>
      </c>
      <c r="E671" s="14" t="str">
        <f t="shared" si="2"/>
        <v>#N/A</v>
      </c>
    </row>
    <row r="672">
      <c r="A672" s="11" t="s">
        <v>998</v>
      </c>
      <c r="B672" s="11" t="s">
        <v>1001</v>
      </c>
      <c r="C672" s="11" t="s">
        <v>1272</v>
      </c>
      <c r="D672" s="32">
        <f t="shared" si="1"/>
        <v>24.8630137</v>
      </c>
      <c r="E672" s="35">
        <f t="shared" si="2"/>
        <v>36791</v>
      </c>
    </row>
    <row r="673">
      <c r="A673" s="11" t="s">
        <v>998</v>
      </c>
      <c r="B673" s="11" t="s">
        <v>1003</v>
      </c>
      <c r="C673" s="11" t="s">
        <v>1311</v>
      </c>
      <c r="D673" s="32">
        <f t="shared" si="1"/>
        <v>31.90136986</v>
      </c>
      <c r="E673" s="35">
        <f t="shared" si="2"/>
        <v>34222</v>
      </c>
    </row>
    <row r="674">
      <c r="A674" s="11" t="s">
        <v>998</v>
      </c>
      <c r="B674" s="11" t="s">
        <v>1005</v>
      </c>
      <c r="C674" s="11" t="s">
        <v>1133</v>
      </c>
      <c r="D674" s="32">
        <f t="shared" si="1"/>
        <v>33.52328767</v>
      </c>
      <c r="E674" s="35">
        <f t="shared" si="2"/>
        <v>33630</v>
      </c>
    </row>
    <row r="675">
      <c r="A675" s="11" t="s">
        <v>998</v>
      </c>
      <c r="B675" s="11" t="s">
        <v>1007</v>
      </c>
      <c r="C675" s="11" t="s">
        <v>1133</v>
      </c>
      <c r="D675" s="32">
        <f t="shared" si="1"/>
        <v>30.56438356</v>
      </c>
      <c r="E675" s="35">
        <f t="shared" si="2"/>
        <v>34710</v>
      </c>
    </row>
    <row r="676">
      <c r="A676" s="11" t="s">
        <v>998</v>
      </c>
      <c r="B676" s="11" t="s">
        <v>1009</v>
      </c>
      <c r="C676" s="11" t="s">
        <v>1272</v>
      </c>
      <c r="D676" s="32">
        <f t="shared" si="1"/>
        <v>21.6109589</v>
      </c>
      <c r="E676" s="35">
        <f t="shared" si="2"/>
        <v>37978</v>
      </c>
    </row>
    <row r="677">
      <c r="A677" s="11" t="s">
        <v>998</v>
      </c>
      <c r="B677" s="11" t="s">
        <v>1011</v>
      </c>
      <c r="C677" s="11" t="s">
        <v>1311</v>
      </c>
      <c r="D677" s="32">
        <f t="shared" si="1"/>
        <v>23.23287671</v>
      </c>
      <c r="E677" s="35">
        <f t="shared" si="2"/>
        <v>37386</v>
      </c>
    </row>
    <row r="678">
      <c r="A678" s="11" t="s">
        <v>998</v>
      </c>
      <c r="B678" s="11" t="s">
        <v>1013</v>
      </c>
      <c r="C678" s="11" t="s">
        <v>1311</v>
      </c>
      <c r="D678" s="32">
        <f t="shared" si="1"/>
        <v>29.17260274</v>
      </c>
      <c r="E678" s="35">
        <f t="shared" si="2"/>
        <v>35218</v>
      </c>
    </row>
    <row r="679">
      <c r="A679" s="11" t="s">
        <v>998</v>
      </c>
      <c r="B679" s="11" t="s">
        <v>1015</v>
      </c>
      <c r="C679" s="11" t="s">
        <v>1272</v>
      </c>
      <c r="D679" s="32">
        <f t="shared" si="1"/>
        <v>32.2109589</v>
      </c>
      <c r="E679" s="35">
        <f t="shared" si="2"/>
        <v>34109</v>
      </c>
    </row>
    <row r="680">
      <c r="A680" s="11" t="s">
        <v>998</v>
      </c>
      <c r="B680" s="11" t="s">
        <v>1017</v>
      </c>
      <c r="C680" s="11" t="s">
        <v>1272</v>
      </c>
      <c r="D680" s="32">
        <f t="shared" si="1"/>
        <v>26.58630137</v>
      </c>
      <c r="E680" s="35">
        <f t="shared" si="2"/>
        <v>36162</v>
      </c>
    </row>
    <row r="681">
      <c r="A681" s="11" t="s">
        <v>998</v>
      </c>
      <c r="B681" s="11" t="s">
        <v>1019</v>
      </c>
      <c r="C681" s="11" t="s">
        <v>1311</v>
      </c>
      <c r="D681" s="32">
        <f t="shared" si="1"/>
        <v>20.55616438</v>
      </c>
      <c r="E681" s="35">
        <f t="shared" si="2"/>
        <v>38363</v>
      </c>
    </row>
    <row r="682">
      <c r="A682" s="11" t="s">
        <v>998</v>
      </c>
      <c r="B682" s="11" t="s">
        <v>1569</v>
      </c>
      <c r="C682" s="11" t="s">
        <v>1400</v>
      </c>
      <c r="D682" s="32" t="str">
        <f t="shared" si="1"/>
        <v>#N/A</v>
      </c>
      <c r="E682" s="14" t="str">
        <f t="shared" si="2"/>
        <v>#N/A</v>
      </c>
    </row>
    <row r="683">
      <c r="A683" s="11" t="s">
        <v>998</v>
      </c>
      <c r="B683" s="11" t="s">
        <v>1335</v>
      </c>
      <c r="C683" s="11" t="s">
        <v>1272</v>
      </c>
      <c r="D683" s="32">
        <f t="shared" si="1"/>
        <v>23.88493151</v>
      </c>
      <c r="E683" s="35">
        <f t="shared" si="2"/>
        <v>37148</v>
      </c>
    </row>
    <row r="684">
      <c r="A684" s="11" t="s">
        <v>998</v>
      </c>
      <c r="B684" s="11" t="s">
        <v>1021</v>
      </c>
      <c r="C684" s="11" t="s">
        <v>1311</v>
      </c>
      <c r="D684" s="32">
        <f t="shared" si="1"/>
        <v>26.89589041</v>
      </c>
      <c r="E684" s="35">
        <f t="shared" si="2"/>
        <v>36049</v>
      </c>
    </row>
    <row r="685">
      <c r="A685" s="11" t="s">
        <v>998</v>
      </c>
      <c r="B685" s="11" t="s">
        <v>1232</v>
      </c>
      <c r="C685" s="11" t="s">
        <v>1311</v>
      </c>
      <c r="D685" s="32">
        <f t="shared" si="1"/>
        <v>22.84109589</v>
      </c>
      <c r="E685" s="35">
        <f t="shared" si="2"/>
        <v>37529</v>
      </c>
    </row>
    <row r="686">
      <c r="A686" s="11" t="s">
        <v>998</v>
      </c>
      <c r="B686" s="11" t="s">
        <v>1337</v>
      </c>
      <c r="C686" s="11" t="s">
        <v>1133</v>
      </c>
      <c r="D686" s="32">
        <f t="shared" si="1"/>
        <v>23.49315068</v>
      </c>
      <c r="E686" s="35">
        <f t="shared" si="2"/>
        <v>37291</v>
      </c>
    </row>
    <row r="687">
      <c r="A687" s="11" t="s">
        <v>998</v>
      </c>
      <c r="B687" s="11" t="s">
        <v>1234</v>
      </c>
      <c r="C687" s="11" t="s">
        <v>1311</v>
      </c>
      <c r="D687" s="32">
        <f t="shared" si="1"/>
        <v>24.45479452</v>
      </c>
      <c r="E687" s="35">
        <f t="shared" si="2"/>
        <v>36940</v>
      </c>
    </row>
    <row r="688">
      <c r="A688" s="11" t="s">
        <v>998</v>
      </c>
      <c r="B688" s="11" t="s">
        <v>1570</v>
      </c>
      <c r="C688" s="11" t="s">
        <v>1272</v>
      </c>
      <c r="D688" s="32" t="str">
        <f t="shared" si="1"/>
        <v>#N/A</v>
      </c>
      <c r="E688" s="14" t="str">
        <f t="shared" si="2"/>
        <v>#N/A</v>
      </c>
    </row>
    <row r="689">
      <c r="A689" s="11" t="s">
        <v>998</v>
      </c>
      <c r="B689" s="11" t="s">
        <v>1236</v>
      </c>
      <c r="C689" s="11" t="s">
        <v>1311</v>
      </c>
      <c r="D689" s="32">
        <f t="shared" si="1"/>
        <v>21.33972603</v>
      </c>
      <c r="E689" s="35">
        <f t="shared" si="2"/>
        <v>38077</v>
      </c>
    </row>
    <row r="690">
      <c r="A690" s="11" t="s">
        <v>998</v>
      </c>
      <c r="B690" s="11" t="s">
        <v>1023</v>
      </c>
      <c r="C690" s="11" t="s">
        <v>1311</v>
      </c>
      <c r="D690" s="32">
        <f t="shared" si="1"/>
        <v>24.01643836</v>
      </c>
      <c r="E690" s="35">
        <f t="shared" si="2"/>
        <v>37100</v>
      </c>
    </row>
    <row r="691">
      <c r="A691" s="11" t="s">
        <v>998</v>
      </c>
      <c r="B691" s="11" t="s">
        <v>1571</v>
      </c>
      <c r="C691" s="11" t="s">
        <v>1272</v>
      </c>
      <c r="D691" s="32" t="str">
        <f t="shared" si="1"/>
        <v>#N/A</v>
      </c>
      <c r="E691" s="14" t="str">
        <f t="shared" si="2"/>
        <v>#N/A</v>
      </c>
    </row>
    <row r="692">
      <c r="A692" s="11" t="s">
        <v>998</v>
      </c>
      <c r="B692" s="11" t="s">
        <v>1025</v>
      </c>
      <c r="C692" s="11" t="s">
        <v>1272</v>
      </c>
      <c r="D692" s="32">
        <f t="shared" si="1"/>
        <v>19.92328767</v>
      </c>
      <c r="E692" s="35">
        <f t="shared" si="2"/>
        <v>38594</v>
      </c>
    </row>
    <row r="693">
      <c r="A693" s="11" t="s">
        <v>998</v>
      </c>
      <c r="B693" s="11" t="s">
        <v>1572</v>
      </c>
      <c r="C693" s="11" t="s">
        <v>1133</v>
      </c>
      <c r="D693" s="32" t="str">
        <f t="shared" si="1"/>
        <v>#N/A</v>
      </c>
      <c r="E693" s="14" t="str">
        <f t="shared" si="2"/>
        <v>#N/A</v>
      </c>
    </row>
    <row r="694">
      <c r="A694" s="11" t="s">
        <v>998</v>
      </c>
      <c r="B694" s="11" t="s">
        <v>1027</v>
      </c>
      <c r="C694" s="11" t="s">
        <v>1311</v>
      </c>
      <c r="D694" s="32">
        <f t="shared" si="1"/>
        <v>18.07671233</v>
      </c>
      <c r="E694" s="35">
        <f t="shared" si="2"/>
        <v>39268</v>
      </c>
    </row>
    <row r="695">
      <c r="A695" s="11" t="s">
        <v>998</v>
      </c>
      <c r="B695" s="11" t="s">
        <v>1029</v>
      </c>
      <c r="C695" s="11" t="s">
        <v>1272</v>
      </c>
      <c r="D695" s="32">
        <f t="shared" si="1"/>
        <v>22.47123288</v>
      </c>
      <c r="E695" s="35">
        <f t="shared" si="2"/>
        <v>37664</v>
      </c>
    </row>
    <row r="696">
      <c r="A696" s="11" t="s">
        <v>998</v>
      </c>
      <c r="B696" s="11" t="s">
        <v>1573</v>
      </c>
      <c r="C696" s="11" t="s">
        <v>1133</v>
      </c>
      <c r="D696" s="32" t="str">
        <f t="shared" si="1"/>
        <v>#N/A</v>
      </c>
      <c r="E696" s="14" t="str">
        <f t="shared" si="2"/>
        <v>#N/A</v>
      </c>
    </row>
    <row r="697">
      <c r="A697" s="11" t="s">
        <v>999</v>
      </c>
      <c r="B697" s="11" t="s">
        <v>1574</v>
      </c>
      <c r="C697" s="11" t="s">
        <v>1400</v>
      </c>
      <c r="D697" s="32" t="str">
        <f t="shared" si="1"/>
        <v>#N/A</v>
      </c>
      <c r="E697" s="14" t="str">
        <f t="shared" si="2"/>
        <v>#N/A</v>
      </c>
    </row>
    <row r="698">
      <c r="A698" s="11" t="s">
        <v>999</v>
      </c>
      <c r="B698" s="11" t="s">
        <v>1031</v>
      </c>
      <c r="C698" s="11" t="s">
        <v>1272</v>
      </c>
      <c r="D698" s="32">
        <f t="shared" si="1"/>
        <v>21.84383562</v>
      </c>
      <c r="E698" s="35">
        <f t="shared" si="2"/>
        <v>37893</v>
      </c>
    </row>
    <row r="699">
      <c r="A699" s="11" t="s">
        <v>999</v>
      </c>
      <c r="B699" s="11" t="s">
        <v>1035</v>
      </c>
      <c r="C699" s="11" t="s">
        <v>1133</v>
      </c>
      <c r="D699" s="32">
        <f t="shared" si="1"/>
        <v>22.63561644</v>
      </c>
      <c r="E699" s="35">
        <f t="shared" si="2"/>
        <v>37604</v>
      </c>
    </row>
    <row r="700">
      <c r="A700" s="11" t="s">
        <v>999</v>
      </c>
      <c r="B700" s="11" t="s">
        <v>1033</v>
      </c>
      <c r="C700" s="11" t="s">
        <v>1272</v>
      </c>
      <c r="D700" s="32">
        <f t="shared" si="1"/>
        <v>26.82739726</v>
      </c>
      <c r="E700" s="35">
        <f t="shared" si="2"/>
        <v>36074</v>
      </c>
    </row>
    <row r="701">
      <c r="A701" s="11" t="s">
        <v>999</v>
      </c>
      <c r="B701" s="11" t="s">
        <v>1037</v>
      </c>
      <c r="C701" s="11" t="s">
        <v>1133</v>
      </c>
      <c r="D701" s="32">
        <f t="shared" si="1"/>
        <v>20.24657534</v>
      </c>
      <c r="E701" s="35">
        <f t="shared" si="2"/>
        <v>38476</v>
      </c>
    </row>
    <row r="702">
      <c r="A702" s="11" t="s">
        <v>999</v>
      </c>
      <c r="B702" s="11" t="s">
        <v>1039</v>
      </c>
      <c r="C702" s="11" t="s">
        <v>1272</v>
      </c>
      <c r="D702" s="32">
        <f t="shared" si="1"/>
        <v>25.16164384</v>
      </c>
      <c r="E702" s="35">
        <f t="shared" si="2"/>
        <v>36682</v>
      </c>
    </row>
    <row r="703">
      <c r="A703" s="11" t="s">
        <v>999</v>
      </c>
      <c r="B703" s="11" t="s">
        <v>1575</v>
      </c>
      <c r="C703" s="11" t="s">
        <v>1311</v>
      </c>
      <c r="D703" s="32">
        <f t="shared" si="1"/>
        <v>26.93424658</v>
      </c>
      <c r="E703" s="35">
        <f t="shared" si="2"/>
        <v>36035</v>
      </c>
    </row>
    <row r="704">
      <c r="A704" s="11" t="s">
        <v>999</v>
      </c>
      <c r="B704" s="11" t="s">
        <v>1043</v>
      </c>
      <c r="C704" s="11" t="s">
        <v>1311</v>
      </c>
      <c r="D704" s="32">
        <f t="shared" si="1"/>
        <v>24.35616438</v>
      </c>
      <c r="E704" s="35">
        <f t="shared" si="2"/>
        <v>36976</v>
      </c>
    </row>
    <row r="705">
      <c r="A705" s="11" t="s">
        <v>999</v>
      </c>
      <c r="B705" s="11" t="s">
        <v>1045</v>
      </c>
      <c r="C705" s="11" t="s">
        <v>1133</v>
      </c>
      <c r="D705" s="32">
        <f t="shared" si="1"/>
        <v>26.6630137</v>
      </c>
      <c r="E705" s="35">
        <f t="shared" si="2"/>
        <v>36134</v>
      </c>
    </row>
    <row r="706">
      <c r="A706" s="11" t="s">
        <v>999</v>
      </c>
      <c r="B706" s="11" t="s">
        <v>1047</v>
      </c>
      <c r="C706" s="11" t="s">
        <v>1272</v>
      </c>
      <c r="D706" s="32">
        <f t="shared" si="1"/>
        <v>25.45205479</v>
      </c>
      <c r="E706" s="35">
        <f t="shared" si="2"/>
        <v>36576</v>
      </c>
    </row>
    <row r="707">
      <c r="A707" s="11" t="s">
        <v>999</v>
      </c>
      <c r="B707" s="11" t="s">
        <v>1049</v>
      </c>
      <c r="C707" s="11" t="s">
        <v>1272</v>
      </c>
      <c r="D707" s="32">
        <f t="shared" si="1"/>
        <v>22.37534247</v>
      </c>
      <c r="E707" s="35">
        <f t="shared" si="2"/>
        <v>37699</v>
      </c>
    </row>
    <row r="708">
      <c r="A708" s="11" t="s">
        <v>999</v>
      </c>
      <c r="B708" s="11" t="s">
        <v>1576</v>
      </c>
      <c r="C708" s="11" t="s">
        <v>1400</v>
      </c>
      <c r="D708" s="32" t="str">
        <f t="shared" si="1"/>
        <v>#N/A</v>
      </c>
      <c r="E708" s="14" t="str">
        <f t="shared" si="2"/>
        <v>#N/A</v>
      </c>
    </row>
    <row r="709">
      <c r="A709" s="11" t="s">
        <v>999</v>
      </c>
      <c r="B709" s="11" t="s">
        <v>1577</v>
      </c>
      <c r="C709" s="11" t="s">
        <v>1400</v>
      </c>
      <c r="D709" s="32" t="str">
        <f t="shared" si="1"/>
        <v>#N/A</v>
      </c>
      <c r="E709" s="14" t="str">
        <f t="shared" si="2"/>
        <v>#N/A</v>
      </c>
    </row>
    <row r="710">
      <c r="A710" s="11" t="s">
        <v>999</v>
      </c>
      <c r="B710" s="11" t="s">
        <v>1578</v>
      </c>
      <c r="C710" s="11" t="s">
        <v>1400</v>
      </c>
      <c r="D710" s="32" t="str">
        <f t="shared" si="1"/>
        <v>#N/A</v>
      </c>
      <c r="E710" s="14" t="str">
        <f t="shared" si="2"/>
        <v>#N/A</v>
      </c>
    </row>
    <row r="711">
      <c r="A711" s="11" t="s">
        <v>999</v>
      </c>
      <c r="B711" s="11" t="s">
        <v>1051</v>
      </c>
      <c r="C711" s="11" t="s">
        <v>1272</v>
      </c>
      <c r="D711" s="32">
        <f t="shared" si="1"/>
        <v>27.11232877</v>
      </c>
      <c r="E711" s="35">
        <f t="shared" si="2"/>
        <v>35970</v>
      </c>
    </row>
    <row r="712">
      <c r="A712" s="11" t="s">
        <v>999</v>
      </c>
      <c r="B712" s="11" t="s">
        <v>1191</v>
      </c>
      <c r="C712" s="11" t="s">
        <v>1311</v>
      </c>
      <c r="D712" s="32">
        <f t="shared" si="1"/>
        <v>27.56986301</v>
      </c>
      <c r="E712" s="35">
        <f t="shared" si="2"/>
        <v>35803</v>
      </c>
    </row>
    <row r="713">
      <c r="A713" s="11" t="s">
        <v>999</v>
      </c>
      <c r="B713" s="11" t="s">
        <v>1053</v>
      </c>
      <c r="C713" s="11" t="s">
        <v>1311</v>
      </c>
      <c r="D713" s="32">
        <f t="shared" si="1"/>
        <v>27.43013699</v>
      </c>
      <c r="E713" s="35">
        <f t="shared" si="2"/>
        <v>35854</v>
      </c>
    </row>
    <row r="714">
      <c r="A714" s="11" t="s">
        <v>999</v>
      </c>
      <c r="B714" s="11" t="s">
        <v>1055</v>
      </c>
      <c r="C714" s="11" t="s">
        <v>1133</v>
      </c>
      <c r="D714" s="32">
        <f t="shared" si="1"/>
        <v>25.51506849</v>
      </c>
      <c r="E714" s="35">
        <f t="shared" si="2"/>
        <v>36553</v>
      </c>
    </row>
    <row r="715">
      <c r="A715" s="11" t="s">
        <v>999</v>
      </c>
      <c r="B715" s="11" t="s">
        <v>1193</v>
      </c>
      <c r="C715" s="11" t="s">
        <v>1133</v>
      </c>
      <c r="D715" s="32">
        <f t="shared" si="1"/>
        <v>27.32876712</v>
      </c>
      <c r="E715" s="35">
        <f t="shared" si="2"/>
        <v>35891</v>
      </c>
    </row>
    <row r="716">
      <c r="A716" s="11" t="s">
        <v>999</v>
      </c>
      <c r="B716" s="11" t="s">
        <v>1329</v>
      </c>
      <c r="C716" s="11" t="s">
        <v>1311</v>
      </c>
      <c r="D716" s="32">
        <f t="shared" si="1"/>
        <v>19.22465753</v>
      </c>
      <c r="E716" s="35">
        <f t="shared" si="2"/>
        <v>38849</v>
      </c>
    </row>
    <row r="717">
      <c r="A717" s="11" t="s">
        <v>999</v>
      </c>
      <c r="B717" s="11" t="s">
        <v>1327</v>
      </c>
      <c r="C717" s="11" t="s">
        <v>1311</v>
      </c>
      <c r="D717" s="32">
        <f t="shared" si="1"/>
        <v>32.75890411</v>
      </c>
      <c r="E717" s="35">
        <f t="shared" si="2"/>
        <v>33909</v>
      </c>
    </row>
    <row r="718">
      <c r="A718" s="11" t="s">
        <v>999</v>
      </c>
      <c r="B718" s="11" t="s">
        <v>1057</v>
      </c>
      <c r="C718" s="11" t="s">
        <v>1133</v>
      </c>
      <c r="D718" s="32">
        <f t="shared" si="1"/>
        <v>25.44657534</v>
      </c>
      <c r="E718" s="35">
        <f t="shared" si="2"/>
        <v>36578</v>
      </c>
    </row>
    <row r="719">
      <c r="A719" s="11" t="s">
        <v>999</v>
      </c>
      <c r="B719" s="11" t="s">
        <v>1379</v>
      </c>
      <c r="C719" s="11" t="s">
        <v>1272</v>
      </c>
      <c r="D719" s="32">
        <f t="shared" si="1"/>
        <v>31.01917808</v>
      </c>
      <c r="E719" s="35">
        <f t="shared" si="2"/>
        <v>34544</v>
      </c>
    </row>
    <row r="720">
      <c r="A720" s="11" t="s">
        <v>999</v>
      </c>
      <c r="B720" s="11" t="s">
        <v>1059</v>
      </c>
      <c r="C720" s="11" t="s">
        <v>1311</v>
      </c>
      <c r="D720" s="32">
        <f t="shared" si="1"/>
        <v>27.23835616</v>
      </c>
      <c r="E720" s="35">
        <f t="shared" si="2"/>
        <v>35924</v>
      </c>
    </row>
    <row r="721">
      <c r="A721" s="11" t="s">
        <v>999</v>
      </c>
      <c r="B721" s="11" t="s">
        <v>1579</v>
      </c>
      <c r="C721" s="11" t="s">
        <v>1272</v>
      </c>
      <c r="D721" s="32" t="str">
        <f t="shared" si="1"/>
        <v>#N/A</v>
      </c>
      <c r="E721" s="14" t="str">
        <f t="shared" si="2"/>
        <v>#N/A</v>
      </c>
    </row>
    <row r="722">
      <c r="A722" s="11" t="s">
        <v>999</v>
      </c>
      <c r="B722" s="11" t="s">
        <v>1580</v>
      </c>
      <c r="C722" s="11" t="s">
        <v>1133</v>
      </c>
      <c r="D722" s="32" t="str">
        <f t="shared" si="1"/>
        <v>#N/A</v>
      </c>
      <c r="E722" s="14" t="str">
        <f t="shared" si="2"/>
        <v>#N/A</v>
      </c>
    </row>
    <row r="723">
      <c r="A723" s="11" t="s">
        <v>810</v>
      </c>
      <c r="B723" s="11" t="s">
        <v>1581</v>
      </c>
      <c r="C723" s="11" t="s">
        <v>1400</v>
      </c>
      <c r="D723" s="32" t="str">
        <f t="shared" si="1"/>
        <v>#N/A</v>
      </c>
      <c r="E723" s="14" t="str">
        <f t="shared" si="2"/>
        <v>#N/A</v>
      </c>
    </row>
    <row r="724">
      <c r="A724" s="11" t="s">
        <v>810</v>
      </c>
      <c r="B724" s="11" t="s">
        <v>813</v>
      </c>
      <c r="C724" s="11" t="s">
        <v>1311</v>
      </c>
      <c r="D724" s="32">
        <f t="shared" si="1"/>
        <v>27.01643836</v>
      </c>
      <c r="E724" s="35">
        <f t="shared" si="2"/>
        <v>36005</v>
      </c>
    </row>
    <row r="725">
      <c r="A725" s="11" t="s">
        <v>810</v>
      </c>
      <c r="B725" s="11" t="s">
        <v>815</v>
      </c>
      <c r="C725" s="11" t="s">
        <v>1272</v>
      </c>
      <c r="D725" s="32">
        <f t="shared" si="1"/>
        <v>30.46027397</v>
      </c>
      <c r="E725" s="35">
        <f t="shared" si="2"/>
        <v>34748</v>
      </c>
    </row>
    <row r="726">
      <c r="A726" s="11" t="s">
        <v>810</v>
      </c>
      <c r="B726" s="11" t="s">
        <v>817</v>
      </c>
      <c r="C726" s="11" t="s">
        <v>1133</v>
      </c>
      <c r="D726" s="32">
        <f t="shared" si="1"/>
        <v>26.48767123</v>
      </c>
      <c r="E726" s="35">
        <f t="shared" si="2"/>
        <v>36198</v>
      </c>
    </row>
    <row r="727">
      <c r="A727" s="11" t="s">
        <v>810</v>
      </c>
      <c r="B727" s="11" t="s">
        <v>819</v>
      </c>
      <c r="C727" s="11" t="s">
        <v>1311</v>
      </c>
      <c r="D727" s="32">
        <f t="shared" si="1"/>
        <v>23.18630137</v>
      </c>
      <c r="E727" s="35">
        <f t="shared" si="2"/>
        <v>37403</v>
      </c>
    </row>
    <row r="728">
      <c r="A728" s="11" t="s">
        <v>810</v>
      </c>
      <c r="B728" s="11" t="s">
        <v>821</v>
      </c>
      <c r="C728" s="11" t="s">
        <v>1272</v>
      </c>
      <c r="D728" s="32">
        <f t="shared" si="1"/>
        <v>19.55342466</v>
      </c>
      <c r="E728" s="35">
        <f t="shared" si="2"/>
        <v>38729</v>
      </c>
    </row>
    <row r="729">
      <c r="A729" s="11" t="s">
        <v>810</v>
      </c>
      <c r="B729" s="11" t="s">
        <v>823</v>
      </c>
      <c r="C729" s="11" t="s">
        <v>1311</v>
      </c>
      <c r="D729" s="32">
        <f t="shared" si="1"/>
        <v>21.31232877</v>
      </c>
      <c r="E729" s="35">
        <f t="shared" si="2"/>
        <v>38087</v>
      </c>
    </row>
    <row r="730">
      <c r="A730" s="11" t="s">
        <v>810</v>
      </c>
      <c r="B730" s="11" t="s">
        <v>825</v>
      </c>
      <c r="C730" s="11" t="s">
        <v>1311</v>
      </c>
      <c r="D730" s="32">
        <f t="shared" si="1"/>
        <v>21.96164384</v>
      </c>
      <c r="E730" s="35">
        <f t="shared" si="2"/>
        <v>37850</v>
      </c>
    </row>
    <row r="731">
      <c r="A731" s="11" t="s">
        <v>810</v>
      </c>
      <c r="B731" s="11" t="s">
        <v>827</v>
      </c>
      <c r="C731" s="11" t="s">
        <v>1311</v>
      </c>
      <c r="D731" s="32">
        <f t="shared" si="1"/>
        <v>25.18356164</v>
      </c>
      <c r="E731" s="35">
        <f t="shared" si="2"/>
        <v>36674</v>
      </c>
    </row>
    <row r="732">
      <c r="A732" s="11" t="s">
        <v>810</v>
      </c>
      <c r="B732" s="11" t="s">
        <v>829</v>
      </c>
      <c r="C732" s="11" t="s">
        <v>1311</v>
      </c>
      <c r="D732" s="32">
        <f t="shared" si="1"/>
        <v>20.36712329</v>
      </c>
      <c r="E732" s="35">
        <f t="shared" si="2"/>
        <v>38432</v>
      </c>
    </row>
    <row r="733">
      <c r="A733" s="11" t="s">
        <v>810</v>
      </c>
      <c r="B733" s="11" t="s">
        <v>831</v>
      </c>
      <c r="C733" s="11" t="s">
        <v>1272</v>
      </c>
      <c r="D733" s="32">
        <f t="shared" si="1"/>
        <v>20.69589041</v>
      </c>
      <c r="E733" s="35">
        <f t="shared" si="2"/>
        <v>38312</v>
      </c>
    </row>
    <row r="734">
      <c r="A734" s="11" t="s">
        <v>810</v>
      </c>
      <c r="B734" s="11" t="s">
        <v>1582</v>
      </c>
      <c r="C734" s="11" t="s">
        <v>1400</v>
      </c>
      <c r="D734" s="32" t="str">
        <f t="shared" si="1"/>
        <v>#N/A</v>
      </c>
      <c r="E734" s="14" t="str">
        <f t="shared" si="2"/>
        <v>#N/A</v>
      </c>
    </row>
    <row r="735">
      <c r="A735" s="11" t="s">
        <v>810</v>
      </c>
      <c r="B735" s="11" t="s">
        <v>1230</v>
      </c>
      <c r="C735" s="11" t="s">
        <v>1272</v>
      </c>
      <c r="D735" s="32">
        <f t="shared" si="1"/>
        <v>28.22465753</v>
      </c>
      <c r="E735" s="35">
        <f t="shared" si="2"/>
        <v>35564</v>
      </c>
    </row>
    <row r="736">
      <c r="A736" s="11" t="s">
        <v>810</v>
      </c>
      <c r="B736" s="11" t="s">
        <v>1583</v>
      </c>
      <c r="C736" s="11" t="s">
        <v>1272</v>
      </c>
      <c r="D736" s="32" t="str">
        <f t="shared" si="1"/>
        <v>#N/A</v>
      </c>
      <c r="E736" s="14" t="str">
        <f t="shared" si="2"/>
        <v>#N/A</v>
      </c>
    </row>
    <row r="737">
      <c r="A737" s="11" t="s">
        <v>810</v>
      </c>
      <c r="B737" s="11" t="s">
        <v>833</v>
      </c>
      <c r="C737" s="11" t="s">
        <v>1133</v>
      </c>
      <c r="D737" s="32">
        <f t="shared" si="1"/>
        <v>25.03561644</v>
      </c>
      <c r="E737" s="35">
        <f t="shared" si="2"/>
        <v>36728</v>
      </c>
    </row>
    <row r="738">
      <c r="A738" s="11" t="s">
        <v>810</v>
      </c>
      <c r="B738" s="11" t="s">
        <v>835</v>
      </c>
      <c r="C738" s="11" t="s">
        <v>1311</v>
      </c>
      <c r="D738" s="32">
        <f t="shared" si="1"/>
        <v>29.11780822</v>
      </c>
      <c r="E738" s="35">
        <f t="shared" si="2"/>
        <v>35238</v>
      </c>
    </row>
    <row r="739">
      <c r="A739" s="11" t="s">
        <v>810</v>
      </c>
      <c r="B739" s="11" t="s">
        <v>837</v>
      </c>
      <c r="C739" s="11" t="s">
        <v>1311</v>
      </c>
      <c r="D739" s="32">
        <f t="shared" si="1"/>
        <v>34.78356164</v>
      </c>
      <c r="E739" s="35">
        <f t="shared" si="2"/>
        <v>33170</v>
      </c>
    </row>
    <row r="740">
      <c r="A740" s="11" t="s">
        <v>810</v>
      </c>
      <c r="B740" s="11" t="s">
        <v>1218</v>
      </c>
      <c r="C740" s="11" t="s">
        <v>1311</v>
      </c>
      <c r="D740" s="32">
        <f t="shared" si="1"/>
        <v>30.98630137</v>
      </c>
      <c r="E740" s="35">
        <f t="shared" si="2"/>
        <v>34556</v>
      </c>
    </row>
    <row r="741">
      <c r="A741" s="11" t="s">
        <v>810</v>
      </c>
      <c r="B741" s="11" t="s">
        <v>1220</v>
      </c>
      <c r="C741" s="11" t="s">
        <v>1272</v>
      </c>
      <c r="D741" s="32">
        <f t="shared" si="1"/>
        <v>24.15890411</v>
      </c>
      <c r="E741" s="35">
        <f t="shared" si="2"/>
        <v>37048</v>
      </c>
    </row>
    <row r="742">
      <c r="A742" s="11" t="s">
        <v>810</v>
      </c>
      <c r="B742" s="11" t="s">
        <v>1222</v>
      </c>
      <c r="C742" s="11" t="s">
        <v>1272</v>
      </c>
      <c r="D742" s="32">
        <f t="shared" si="1"/>
        <v>23.5260274</v>
      </c>
      <c r="E742" s="35">
        <f t="shared" si="2"/>
        <v>37279</v>
      </c>
    </row>
    <row r="743">
      <c r="A743" s="11" t="s">
        <v>810</v>
      </c>
      <c r="B743" s="11" t="s">
        <v>1224</v>
      </c>
      <c r="C743" s="11" t="s">
        <v>1272</v>
      </c>
      <c r="D743" s="32">
        <f t="shared" si="1"/>
        <v>30.04657534</v>
      </c>
      <c r="E743" s="35">
        <f t="shared" si="2"/>
        <v>34899</v>
      </c>
    </row>
    <row r="744">
      <c r="A744" s="11" t="s">
        <v>810</v>
      </c>
      <c r="B744" s="11" t="s">
        <v>839</v>
      </c>
      <c r="C744" s="11" t="s">
        <v>1311</v>
      </c>
      <c r="D744" s="32">
        <f t="shared" si="1"/>
        <v>26.9369863</v>
      </c>
      <c r="E744" s="35">
        <f t="shared" si="2"/>
        <v>36034</v>
      </c>
    </row>
    <row r="745">
      <c r="A745" s="11" t="s">
        <v>810</v>
      </c>
      <c r="B745" s="11" t="s">
        <v>1226</v>
      </c>
      <c r="C745" s="11" t="s">
        <v>1311</v>
      </c>
      <c r="D745" s="32">
        <f t="shared" si="1"/>
        <v>19.58082192</v>
      </c>
      <c r="E745" s="35">
        <f t="shared" si="2"/>
        <v>38719</v>
      </c>
    </row>
    <row r="746">
      <c r="A746" s="11" t="s">
        <v>810</v>
      </c>
      <c r="B746" s="11" t="s">
        <v>1228</v>
      </c>
      <c r="C746" s="11" t="s">
        <v>1272</v>
      </c>
      <c r="D746" s="32">
        <f t="shared" si="1"/>
        <v>21.42465753</v>
      </c>
      <c r="E746" s="35">
        <f t="shared" si="2"/>
        <v>38046</v>
      </c>
    </row>
    <row r="747">
      <c r="A747" s="11" t="s">
        <v>810</v>
      </c>
      <c r="B747" s="11" t="s">
        <v>841</v>
      </c>
      <c r="C747" s="11" t="s">
        <v>1133</v>
      </c>
      <c r="D747" s="32">
        <f t="shared" si="1"/>
        <v>22.06027397</v>
      </c>
      <c r="E747" s="35">
        <f t="shared" si="2"/>
        <v>37814</v>
      </c>
    </row>
    <row r="748">
      <c r="A748" s="11" t="s">
        <v>811</v>
      </c>
      <c r="B748" s="11" t="s">
        <v>1584</v>
      </c>
      <c r="C748" s="11" t="s">
        <v>1400</v>
      </c>
      <c r="D748" s="32" t="str">
        <f t="shared" si="1"/>
        <v>#N/A</v>
      </c>
      <c r="E748" s="14" t="str">
        <f t="shared" si="2"/>
        <v>#N/A</v>
      </c>
    </row>
    <row r="749">
      <c r="A749" s="11" t="s">
        <v>811</v>
      </c>
      <c r="B749" s="11" t="s">
        <v>843</v>
      </c>
      <c r="C749" s="11" t="s">
        <v>1272</v>
      </c>
      <c r="D749" s="32">
        <f t="shared" si="1"/>
        <v>25.55890411</v>
      </c>
      <c r="E749" s="35">
        <f t="shared" si="2"/>
        <v>36537</v>
      </c>
    </row>
    <row r="750">
      <c r="A750" s="11" t="s">
        <v>811</v>
      </c>
      <c r="B750" s="11" t="s">
        <v>845</v>
      </c>
      <c r="C750" s="11" t="s">
        <v>1133</v>
      </c>
      <c r="D750" s="32">
        <f t="shared" si="1"/>
        <v>32.03835616</v>
      </c>
      <c r="E750" s="35">
        <f t="shared" si="2"/>
        <v>34172</v>
      </c>
    </row>
    <row r="751">
      <c r="A751" s="11" t="s">
        <v>811</v>
      </c>
      <c r="B751" s="11" t="s">
        <v>847</v>
      </c>
      <c r="C751" s="11" t="s">
        <v>1133</v>
      </c>
      <c r="D751" s="32">
        <f t="shared" si="1"/>
        <v>38.35342466</v>
      </c>
      <c r="E751" s="35">
        <f t="shared" si="2"/>
        <v>31867</v>
      </c>
    </row>
    <row r="752">
      <c r="A752" s="11" t="s">
        <v>811</v>
      </c>
      <c r="B752" s="11" t="s">
        <v>849</v>
      </c>
      <c r="C752" s="11" t="s">
        <v>1272</v>
      </c>
      <c r="D752" s="32">
        <f t="shared" si="1"/>
        <v>27.56712329</v>
      </c>
      <c r="E752" s="35">
        <f t="shared" si="2"/>
        <v>35804</v>
      </c>
    </row>
    <row r="753">
      <c r="A753" s="11" t="s">
        <v>811</v>
      </c>
      <c r="B753" s="11" t="s">
        <v>851</v>
      </c>
      <c r="C753" s="11" t="s">
        <v>1272</v>
      </c>
      <c r="D753" s="32">
        <f t="shared" si="1"/>
        <v>29.24931507</v>
      </c>
      <c r="E753" s="35">
        <f t="shared" si="2"/>
        <v>35190</v>
      </c>
    </row>
    <row r="754">
      <c r="A754" s="11" t="s">
        <v>811</v>
      </c>
      <c r="B754" s="11" t="s">
        <v>853</v>
      </c>
      <c r="C754" s="11" t="s">
        <v>1311</v>
      </c>
      <c r="D754" s="32">
        <f t="shared" si="1"/>
        <v>24.52876712</v>
      </c>
      <c r="E754" s="35">
        <f t="shared" si="2"/>
        <v>36913</v>
      </c>
    </row>
    <row r="755">
      <c r="A755" s="11" t="s">
        <v>811</v>
      </c>
      <c r="B755" s="11" t="s">
        <v>855</v>
      </c>
      <c r="C755" s="11" t="s">
        <v>1133</v>
      </c>
      <c r="D755" s="32">
        <f t="shared" si="1"/>
        <v>24.14246575</v>
      </c>
      <c r="E755" s="35">
        <f t="shared" si="2"/>
        <v>37054</v>
      </c>
    </row>
    <row r="756">
      <c r="A756" s="11" t="s">
        <v>811</v>
      </c>
      <c r="B756" s="11" t="s">
        <v>857</v>
      </c>
      <c r="C756" s="11" t="s">
        <v>1272</v>
      </c>
      <c r="D756" s="32">
        <f t="shared" si="1"/>
        <v>28.56438356</v>
      </c>
      <c r="E756" s="35">
        <f t="shared" si="2"/>
        <v>35440</v>
      </c>
    </row>
    <row r="757">
      <c r="A757" s="11" t="s">
        <v>811</v>
      </c>
      <c r="B757" s="11" t="s">
        <v>859</v>
      </c>
      <c r="C757" s="11" t="s">
        <v>1311</v>
      </c>
      <c r="D757" s="32">
        <f t="shared" si="1"/>
        <v>23.42465753</v>
      </c>
      <c r="E757" s="35">
        <f t="shared" si="2"/>
        <v>37316</v>
      </c>
    </row>
    <row r="758">
      <c r="A758" s="11" t="s">
        <v>811</v>
      </c>
      <c r="B758" s="11" t="s">
        <v>861</v>
      </c>
      <c r="C758" s="11" t="s">
        <v>1272</v>
      </c>
      <c r="D758" s="32">
        <f t="shared" si="1"/>
        <v>25.67123288</v>
      </c>
      <c r="E758" s="35">
        <f t="shared" si="2"/>
        <v>36496</v>
      </c>
    </row>
    <row r="759">
      <c r="A759" s="11" t="s">
        <v>811</v>
      </c>
      <c r="B759" s="11" t="s">
        <v>1585</v>
      </c>
      <c r="C759" s="11" t="s">
        <v>1400</v>
      </c>
      <c r="D759" s="32" t="str">
        <f t="shared" si="1"/>
        <v>#N/A</v>
      </c>
      <c r="E759" s="14" t="str">
        <f t="shared" si="2"/>
        <v>#N/A</v>
      </c>
    </row>
    <row r="760">
      <c r="A760" s="11" t="s">
        <v>811</v>
      </c>
      <c r="B760" s="11" t="s">
        <v>1586</v>
      </c>
      <c r="C760" s="11" t="s">
        <v>1400</v>
      </c>
      <c r="D760" s="32" t="str">
        <f t="shared" si="1"/>
        <v>#N/A</v>
      </c>
      <c r="E760" s="14" t="str">
        <f t="shared" si="2"/>
        <v>#N/A</v>
      </c>
    </row>
    <row r="761">
      <c r="A761" s="11" t="s">
        <v>811</v>
      </c>
      <c r="B761" s="11" t="s">
        <v>863</v>
      </c>
      <c r="C761" s="11" t="s">
        <v>1311</v>
      </c>
      <c r="D761" s="32">
        <f t="shared" si="1"/>
        <v>25.50410959</v>
      </c>
      <c r="E761" s="35">
        <f t="shared" si="2"/>
        <v>36557</v>
      </c>
    </row>
    <row r="762">
      <c r="A762" s="11" t="s">
        <v>811</v>
      </c>
      <c r="B762" s="11" t="s">
        <v>865</v>
      </c>
      <c r="C762" s="11" t="s">
        <v>1311</v>
      </c>
      <c r="D762" s="32">
        <f t="shared" si="1"/>
        <v>29.81369863</v>
      </c>
      <c r="E762" s="35">
        <f t="shared" si="2"/>
        <v>34984</v>
      </c>
    </row>
    <row r="763">
      <c r="A763" s="11" t="s">
        <v>811</v>
      </c>
      <c r="B763" s="11" t="s">
        <v>867</v>
      </c>
      <c r="C763" s="11" t="s">
        <v>1133</v>
      </c>
      <c r="D763" s="32">
        <f t="shared" si="1"/>
        <v>31.09589041</v>
      </c>
      <c r="E763" s="35">
        <f t="shared" si="2"/>
        <v>34516</v>
      </c>
    </row>
    <row r="764">
      <c r="A764" s="11" t="s">
        <v>811</v>
      </c>
      <c r="B764" s="11" t="s">
        <v>869</v>
      </c>
      <c r="C764" s="11" t="s">
        <v>1133</v>
      </c>
      <c r="D764" s="32">
        <f t="shared" si="1"/>
        <v>28.22191781</v>
      </c>
      <c r="E764" s="35">
        <f t="shared" si="2"/>
        <v>35565</v>
      </c>
    </row>
    <row r="765">
      <c r="A765" s="11" t="s">
        <v>811</v>
      </c>
      <c r="B765" s="11" t="s">
        <v>1587</v>
      </c>
      <c r="C765" s="11" t="s">
        <v>1311</v>
      </c>
      <c r="D765" s="32" t="str">
        <f t="shared" si="1"/>
        <v>#N/A</v>
      </c>
      <c r="E765" s="14" t="str">
        <f t="shared" si="2"/>
        <v>#N/A</v>
      </c>
    </row>
    <row r="766">
      <c r="A766" s="11" t="s">
        <v>811</v>
      </c>
      <c r="B766" s="11" t="s">
        <v>1195</v>
      </c>
      <c r="C766" s="11" t="s">
        <v>1272</v>
      </c>
      <c r="D766" s="32">
        <f t="shared" si="1"/>
        <v>29.69589041</v>
      </c>
      <c r="E766" s="35">
        <f t="shared" si="2"/>
        <v>35027</v>
      </c>
    </row>
    <row r="767">
      <c r="A767" s="11" t="s">
        <v>811</v>
      </c>
      <c r="B767" s="11" t="s">
        <v>1588</v>
      </c>
      <c r="C767" s="11" t="s">
        <v>1133</v>
      </c>
      <c r="D767" s="32" t="str">
        <f t="shared" si="1"/>
        <v>#N/A</v>
      </c>
      <c r="E767" s="14" t="str">
        <f t="shared" si="2"/>
        <v>#N/A</v>
      </c>
    </row>
    <row r="768">
      <c r="A768" s="11" t="s">
        <v>811</v>
      </c>
      <c r="B768" s="11" t="s">
        <v>871</v>
      </c>
      <c r="C768" s="11" t="s">
        <v>1311</v>
      </c>
      <c r="D768" s="32">
        <f t="shared" si="1"/>
        <v>29.38630137</v>
      </c>
      <c r="E768" s="35">
        <f t="shared" si="2"/>
        <v>35140</v>
      </c>
    </row>
    <row r="769">
      <c r="A769" s="11" t="s">
        <v>811</v>
      </c>
      <c r="B769" s="11" t="s">
        <v>1197</v>
      </c>
      <c r="C769" s="11" t="s">
        <v>1133</v>
      </c>
      <c r="D769" s="32">
        <f t="shared" si="1"/>
        <v>26.66027397</v>
      </c>
      <c r="E769" s="35">
        <f t="shared" si="2"/>
        <v>36135</v>
      </c>
    </row>
    <row r="770">
      <c r="A770" s="11" t="s">
        <v>811</v>
      </c>
      <c r="B770" s="11" t="s">
        <v>1333</v>
      </c>
      <c r="C770" s="11" t="s">
        <v>1311</v>
      </c>
      <c r="D770" s="32">
        <f t="shared" si="1"/>
        <v>27.08493151</v>
      </c>
      <c r="E770" s="35">
        <f t="shared" si="2"/>
        <v>35980</v>
      </c>
    </row>
    <row r="771">
      <c r="A771" s="11" t="s">
        <v>811</v>
      </c>
      <c r="B771" s="11" t="s">
        <v>1589</v>
      </c>
      <c r="C771" s="11" t="s">
        <v>1311</v>
      </c>
      <c r="D771" s="32" t="str">
        <f t="shared" si="1"/>
        <v>#N/A</v>
      </c>
      <c r="E771" s="14" t="str">
        <f t="shared" si="2"/>
        <v>#N/A</v>
      </c>
    </row>
    <row r="772">
      <c r="A772" s="11" t="s">
        <v>811</v>
      </c>
      <c r="B772" s="11" t="s">
        <v>1590</v>
      </c>
      <c r="C772" s="11" t="s">
        <v>1311</v>
      </c>
      <c r="D772" s="32" t="str">
        <f t="shared" si="1"/>
        <v>#N/A</v>
      </c>
      <c r="E772" s="14" t="str">
        <f t="shared" si="2"/>
        <v>#N/A</v>
      </c>
    </row>
    <row r="773">
      <c r="A773" s="11" t="s">
        <v>811</v>
      </c>
      <c r="B773" s="11" t="s">
        <v>1591</v>
      </c>
      <c r="C773" s="11" t="s">
        <v>1311</v>
      </c>
      <c r="D773" s="32" t="str">
        <f t="shared" si="1"/>
        <v>#N/A</v>
      </c>
      <c r="E773" s="14" t="str">
        <f t="shared" si="2"/>
        <v>#N/A</v>
      </c>
    </row>
    <row r="774">
      <c r="A774" s="11" t="s">
        <v>874</v>
      </c>
      <c r="B774" s="11" t="s">
        <v>1592</v>
      </c>
      <c r="C774" s="11" t="s">
        <v>1400</v>
      </c>
      <c r="D774" s="32" t="str">
        <f t="shared" si="1"/>
        <v>#N/A</v>
      </c>
      <c r="E774" s="14" t="str">
        <f t="shared" si="2"/>
        <v>#N/A</v>
      </c>
    </row>
    <row r="775">
      <c r="A775" s="11" t="s">
        <v>874</v>
      </c>
      <c r="B775" s="11" t="s">
        <v>906</v>
      </c>
      <c r="C775" s="11" t="s">
        <v>1272</v>
      </c>
      <c r="D775" s="32">
        <f t="shared" si="1"/>
        <v>34.12876712</v>
      </c>
      <c r="E775" s="35">
        <f t="shared" si="2"/>
        <v>33409</v>
      </c>
    </row>
    <row r="776">
      <c r="A776" s="11" t="s">
        <v>874</v>
      </c>
      <c r="B776" s="11" t="s">
        <v>908</v>
      </c>
      <c r="C776" s="11" t="s">
        <v>1311</v>
      </c>
      <c r="D776" s="32">
        <f t="shared" si="1"/>
        <v>27.32328767</v>
      </c>
      <c r="E776" s="35">
        <f t="shared" si="2"/>
        <v>35893</v>
      </c>
    </row>
    <row r="777">
      <c r="A777" s="11" t="s">
        <v>874</v>
      </c>
      <c r="B777" s="11" t="s">
        <v>910</v>
      </c>
      <c r="C777" s="11" t="s">
        <v>1311</v>
      </c>
      <c r="D777" s="32">
        <f t="shared" si="1"/>
        <v>28.39452055</v>
      </c>
      <c r="E777" s="35">
        <f t="shared" si="2"/>
        <v>35502</v>
      </c>
    </row>
    <row r="778">
      <c r="A778" s="11" t="s">
        <v>874</v>
      </c>
      <c r="B778" s="11" t="s">
        <v>912</v>
      </c>
      <c r="C778" s="11" t="s">
        <v>1133</v>
      </c>
      <c r="D778" s="32">
        <f t="shared" si="1"/>
        <v>22.25479452</v>
      </c>
      <c r="E778" s="35">
        <f t="shared" si="2"/>
        <v>37743</v>
      </c>
    </row>
    <row r="779">
      <c r="A779" s="11" t="s">
        <v>874</v>
      </c>
      <c r="B779" s="11" t="s">
        <v>914</v>
      </c>
      <c r="C779" s="11" t="s">
        <v>1311</v>
      </c>
      <c r="D779" s="32">
        <f t="shared" si="1"/>
        <v>26.62465753</v>
      </c>
      <c r="E779" s="35">
        <f t="shared" si="2"/>
        <v>36148</v>
      </c>
    </row>
    <row r="780">
      <c r="A780" s="11" t="s">
        <v>874</v>
      </c>
      <c r="B780" s="11" t="s">
        <v>916</v>
      </c>
      <c r="C780" s="11" t="s">
        <v>1272</v>
      </c>
      <c r="D780" s="32">
        <f t="shared" si="1"/>
        <v>31.19178082</v>
      </c>
      <c r="E780" s="35">
        <f t="shared" si="2"/>
        <v>34481</v>
      </c>
    </row>
    <row r="781">
      <c r="A781" s="11" t="s">
        <v>874</v>
      </c>
      <c r="B781" s="11" t="s">
        <v>918</v>
      </c>
      <c r="C781" s="11" t="s">
        <v>1311</v>
      </c>
      <c r="D781" s="32">
        <f t="shared" si="1"/>
        <v>30.43561644</v>
      </c>
      <c r="E781" s="35">
        <f t="shared" si="2"/>
        <v>34757</v>
      </c>
    </row>
    <row r="782">
      <c r="A782" s="11" t="s">
        <v>874</v>
      </c>
      <c r="B782" s="11" t="s">
        <v>920</v>
      </c>
      <c r="C782" s="11" t="s">
        <v>1311</v>
      </c>
      <c r="D782" s="32">
        <f t="shared" si="1"/>
        <v>33.96438356</v>
      </c>
      <c r="E782" s="35">
        <f t="shared" si="2"/>
        <v>33469</v>
      </c>
    </row>
    <row r="783">
      <c r="A783" s="11" t="s">
        <v>874</v>
      </c>
      <c r="B783" s="11" t="s">
        <v>922</v>
      </c>
      <c r="C783" s="11" t="s">
        <v>1311</v>
      </c>
      <c r="D783" s="32">
        <f t="shared" si="1"/>
        <v>28.43561644</v>
      </c>
      <c r="E783" s="35">
        <f t="shared" si="2"/>
        <v>35487</v>
      </c>
    </row>
    <row r="784">
      <c r="A784" s="11" t="s">
        <v>874</v>
      </c>
      <c r="B784" s="11" t="s">
        <v>924</v>
      </c>
      <c r="C784" s="11" t="s">
        <v>1272</v>
      </c>
      <c r="D784" s="32">
        <f t="shared" si="1"/>
        <v>26.48219178</v>
      </c>
      <c r="E784" s="35">
        <f t="shared" si="2"/>
        <v>36200</v>
      </c>
    </row>
    <row r="785">
      <c r="A785" s="11" t="s">
        <v>874</v>
      </c>
      <c r="B785" s="11" t="s">
        <v>1593</v>
      </c>
      <c r="C785" s="11" t="s">
        <v>1400</v>
      </c>
      <c r="D785" s="32" t="str">
        <f t="shared" si="1"/>
        <v>#N/A</v>
      </c>
      <c r="E785" s="14" t="str">
        <f t="shared" si="2"/>
        <v>#N/A</v>
      </c>
    </row>
    <row r="786">
      <c r="A786" s="11" t="s">
        <v>874</v>
      </c>
      <c r="B786" s="11" t="s">
        <v>1594</v>
      </c>
      <c r="C786" s="11" t="s">
        <v>1400</v>
      </c>
      <c r="D786" s="32" t="str">
        <f t="shared" si="1"/>
        <v>#N/A</v>
      </c>
      <c r="E786" s="14" t="str">
        <f t="shared" si="2"/>
        <v>#N/A</v>
      </c>
    </row>
    <row r="787">
      <c r="A787" s="11" t="s">
        <v>874</v>
      </c>
      <c r="B787" s="11" t="s">
        <v>1595</v>
      </c>
      <c r="C787" s="11" t="s">
        <v>1272</v>
      </c>
      <c r="D787" s="32" t="str">
        <f t="shared" si="1"/>
        <v>#N/A</v>
      </c>
      <c r="E787" s="14" t="str">
        <f t="shared" si="2"/>
        <v>#N/A</v>
      </c>
    </row>
    <row r="788">
      <c r="A788" s="11" t="s">
        <v>874</v>
      </c>
      <c r="B788" s="11" t="s">
        <v>1371</v>
      </c>
      <c r="C788" s="11" t="s">
        <v>1272</v>
      </c>
      <c r="D788" s="32">
        <f t="shared" si="1"/>
        <v>35.70684932</v>
      </c>
      <c r="E788" s="35">
        <f t="shared" si="2"/>
        <v>32833</v>
      </c>
    </row>
    <row r="789">
      <c r="A789" s="11" t="s">
        <v>874</v>
      </c>
      <c r="B789" s="11" t="s">
        <v>1373</v>
      </c>
      <c r="C789" s="11" t="s">
        <v>1311</v>
      </c>
      <c r="D789" s="32">
        <f t="shared" si="1"/>
        <v>24.73424658</v>
      </c>
      <c r="E789" s="35">
        <f t="shared" si="2"/>
        <v>36838</v>
      </c>
    </row>
    <row r="790">
      <c r="A790" s="11" t="s">
        <v>874</v>
      </c>
      <c r="B790" s="11" t="s">
        <v>926</v>
      </c>
      <c r="C790" s="11" t="s">
        <v>1311</v>
      </c>
      <c r="D790" s="32">
        <f t="shared" si="1"/>
        <v>23.03013699</v>
      </c>
      <c r="E790" s="35">
        <f t="shared" si="2"/>
        <v>37460</v>
      </c>
    </row>
    <row r="791">
      <c r="A791" s="11" t="s">
        <v>874</v>
      </c>
      <c r="B791" s="11" t="s">
        <v>928</v>
      </c>
      <c r="C791" s="11" t="s">
        <v>1311</v>
      </c>
      <c r="D791" s="32">
        <f t="shared" si="1"/>
        <v>22.12054795</v>
      </c>
      <c r="E791" s="35">
        <f t="shared" si="2"/>
        <v>37792</v>
      </c>
    </row>
    <row r="792">
      <c r="A792" s="11" t="s">
        <v>874</v>
      </c>
      <c r="B792" s="11" t="s">
        <v>930</v>
      </c>
      <c r="C792" s="11" t="s">
        <v>1272</v>
      </c>
      <c r="D792" s="32">
        <f t="shared" si="1"/>
        <v>25.45479452</v>
      </c>
      <c r="E792" s="35">
        <f t="shared" si="2"/>
        <v>36575</v>
      </c>
    </row>
    <row r="793">
      <c r="A793" s="11" t="s">
        <v>874</v>
      </c>
      <c r="B793" s="11" t="s">
        <v>932</v>
      </c>
      <c r="C793" s="11" t="s">
        <v>1311</v>
      </c>
      <c r="D793" s="32">
        <f t="shared" si="1"/>
        <v>30.86849315</v>
      </c>
      <c r="E793" s="35">
        <f t="shared" si="2"/>
        <v>34599</v>
      </c>
    </row>
    <row r="794">
      <c r="A794" s="11" t="s">
        <v>874</v>
      </c>
      <c r="B794" s="11" t="s">
        <v>1596</v>
      </c>
      <c r="C794" s="11" t="s">
        <v>1311</v>
      </c>
      <c r="D794" s="32" t="str">
        <f t="shared" si="1"/>
        <v>#N/A</v>
      </c>
      <c r="E794" s="14" t="str">
        <f t="shared" si="2"/>
        <v>#N/A</v>
      </c>
    </row>
    <row r="795">
      <c r="A795" s="11" t="s">
        <v>874</v>
      </c>
      <c r="B795" s="11" t="s">
        <v>1215</v>
      </c>
      <c r="C795" s="11" t="s">
        <v>1272</v>
      </c>
      <c r="D795" s="32">
        <f t="shared" si="1"/>
        <v>29.27945205</v>
      </c>
      <c r="E795" s="35">
        <f t="shared" si="2"/>
        <v>35179</v>
      </c>
    </row>
    <row r="796">
      <c r="A796" s="11" t="s">
        <v>874</v>
      </c>
      <c r="B796" s="11" t="s">
        <v>934</v>
      </c>
      <c r="C796" s="11" t="s">
        <v>1272</v>
      </c>
      <c r="D796" s="32">
        <f t="shared" si="1"/>
        <v>26.21643836</v>
      </c>
      <c r="E796" s="35">
        <f t="shared" si="2"/>
        <v>36297</v>
      </c>
    </row>
    <row r="797">
      <c r="A797" s="11" t="s">
        <v>874</v>
      </c>
      <c r="B797" s="11" t="s">
        <v>1597</v>
      </c>
      <c r="C797" s="11" t="s">
        <v>1133</v>
      </c>
      <c r="D797" s="32" t="str">
        <f t="shared" si="1"/>
        <v>#N/A</v>
      </c>
      <c r="E797" s="14" t="str">
        <f t="shared" si="2"/>
        <v>#N/A</v>
      </c>
    </row>
    <row r="798">
      <c r="A798" s="11" t="s">
        <v>1532</v>
      </c>
      <c r="B798" s="11" t="s">
        <v>1204</v>
      </c>
      <c r="C798" s="11" t="s">
        <v>1272</v>
      </c>
      <c r="D798" s="32">
        <f t="shared" si="1"/>
        <v>32.42465753</v>
      </c>
      <c r="E798" s="35">
        <f t="shared" si="2"/>
        <v>34031</v>
      </c>
    </row>
    <row r="799">
      <c r="A799" s="11" t="s">
        <v>748</v>
      </c>
      <c r="B799" s="11" t="s">
        <v>1163</v>
      </c>
      <c r="C799" s="11" t="s">
        <v>1133</v>
      </c>
      <c r="D799" s="32">
        <f t="shared" si="1"/>
        <v>20.09589041</v>
      </c>
      <c r="E799" s="35">
        <f t="shared" si="2"/>
        <v>38531</v>
      </c>
    </row>
    <row r="800">
      <c r="A800" s="11" t="s">
        <v>440</v>
      </c>
      <c r="B800" s="11" t="s">
        <v>1143</v>
      </c>
      <c r="C800" s="11" t="s">
        <v>1272</v>
      </c>
      <c r="D800" s="32">
        <f t="shared" si="1"/>
        <v>21.39726027</v>
      </c>
      <c r="E800" s="35">
        <f t="shared" si="2"/>
        <v>38056</v>
      </c>
    </row>
    <row r="801">
      <c r="A801" s="11" t="s">
        <v>440</v>
      </c>
      <c r="B801" s="11" t="s">
        <v>1264</v>
      </c>
      <c r="C801" s="11" t="s">
        <v>1272</v>
      </c>
      <c r="D801" s="32">
        <f t="shared" si="1"/>
        <v>23.04383562</v>
      </c>
      <c r="E801" s="35">
        <f t="shared" si="2"/>
        <v>37455</v>
      </c>
    </row>
    <row r="802">
      <c r="A802" s="11" t="s">
        <v>688</v>
      </c>
      <c r="B802" s="11" t="s">
        <v>1153</v>
      </c>
      <c r="C802" s="11" t="s">
        <v>1133</v>
      </c>
      <c r="D802" s="32">
        <f t="shared" si="1"/>
        <v>19.35616438</v>
      </c>
      <c r="E802" s="35">
        <f t="shared" si="2"/>
        <v>38801</v>
      </c>
    </row>
    <row r="803">
      <c r="A803" s="11" t="s">
        <v>688</v>
      </c>
      <c r="B803" s="11" t="s">
        <v>1155</v>
      </c>
      <c r="C803" s="11" t="s">
        <v>1272</v>
      </c>
      <c r="D803" s="32">
        <f t="shared" si="1"/>
        <v>31.99726027</v>
      </c>
      <c r="E803" s="35">
        <f t="shared" si="2"/>
        <v>34187</v>
      </c>
    </row>
    <row r="804">
      <c r="A804" s="11" t="s">
        <v>564</v>
      </c>
      <c r="B804" s="11" t="s">
        <v>1294</v>
      </c>
      <c r="C804" s="11" t="s">
        <v>1133</v>
      </c>
      <c r="D804" s="32">
        <f t="shared" si="1"/>
        <v>22.72054795</v>
      </c>
      <c r="E804" s="35">
        <f t="shared" si="2"/>
        <v>37573</v>
      </c>
    </row>
    <row r="805">
      <c r="A805" s="11" t="s">
        <v>564</v>
      </c>
      <c r="B805" s="11" t="s">
        <v>1157</v>
      </c>
      <c r="C805" s="11" t="s">
        <v>1133</v>
      </c>
      <c r="D805" s="32">
        <f t="shared" si="1"/>
        <v>22.79452055</v>
      </c>
      <c r="E805" s="38">
        <f t="shared" si="2"/>
        <v>37546</v>
      </c>
    </row>
    <row r="806">
      <c r="A806" s="11" t="s">
        <v>564</v>
      </c>
      <c r="B806" s="11" t="s">
        <v>1296</v>
      </c>
      <c r="C806" s="11" t="s">
        <v>1133</v>
      </c>
      <c r="D806" s="32">
        <f t="shared" si="1"/>
        <v>19.24383562</v>
      </c>
      <c r="E806" s="35">
        <f t="shared" si="2"/>
        <v>38842</v>
      </c>
    </row>
    <row r="807">
      <c r="A807" s="11" t="s">
        <v>564</v>
      </c>
      <c r="B807" s="11" t="s">
        <v>1598</v>
      </c>
      <c r="C807" s="11" t="s">
        <v>1133</v>
      </c>
      <c r="D807" s="32" t="str">
        <f t="shared" si="1"/>
        <v>#N/A</v>
      </c>
      <c r="E807" s="14" t="str">
        <f t="shared" si="2"/>
        <v>#N/A</v>
      </c>
    </row>
    <row r="808">
      <c r="A808" s="11" t="s">
        <v>564</v>
      </c>
      <c r="B808" s="11" t="s">
        <v>1599</v>
      </c>
      <c r="C808" s="11" t="s">
        <v>1272</v>
      </c>
      <c r="D808" s="32" t="str">
        <f t="shared" si="1"/>
        <v>#N/A</v>
      </c>
      <c r="E808" s="14" t="str">
        <f t="shared" si="2"/>
        <v>#N/A</v>
      </c>
    </row>
    <row r="809">
      <c r="A809" s="11" t="s">
        <v>564</v>
      </c>
      <c r="B809" s="11" t="s">
        <v>1600</v>
      </c>
      <c r="C809" s="11" t="s">
        <v>1133</v>
      </c>
      <c r="D809" s="32" t="str">
        <f t="shared" si="1"/>
        <v>#N/A</v>
      </c>
      <c r="E809" s="14" t="str">
        <f t="shared" si="2"/>
        <v>#N/A</v>
      </c>
    </row>
    <row r="810">
      <c r="A810" s="11" t="s">
        <v>564</v>
      </c>
      <c r="B810" s="11" t="s">
        <v>1601</v>
      </c>
      <c r="C810" s="11" t="s">
        <v>1272</v>
      </c>
      <c r="D810" s="32" t="str">
        <f t="shared" si="1"/>
        <v>#N/A</v>
      </c>
      <c r="E810" s="14" t="str">
        <f t="shared" si="2"/>
        <v>#N/A</v>
      </c>
    </row>
    <row r="811">
      <c r="A811" s="11" t="s">
        <v>564</v>
      </c>
      <c r="B811" s="11" t="s">
        <v>1602</v>
      </c>
      <c r="C811" s="11" t="s">
        <v>1311</v>
      </c>
      <c r="D811" s="32" t="str">
        <f t="shared" si="1"/>
        <v>#N/A</v>
      </c>
      <c r="E811" s="14" t="str">
        <f t="shared" si="2"/>
        <v>#N/A</v>
      </c>
    </row>
    <row r="812">
      <c r="A812" s="11" t="s">
        <v>564</v>
      </c>
      <c r="B812" s="11" t="s">
        <v>1603</v>
      </c>
      <c r="C812" s="11" t="s">
        <v>1272</v>
      </c>
      <c r="D812" s="32" t="str">
        <f t="shared" si="1"/>
        <v>#N/A</v>
      </c>
      <c r="E812" s="14" t="str">
        <f t="shared" si="2"/>
        <v>#N/A</v>
      </c>
    </row>
    <row r="813">
      <c r="A813" s="11" t="s">
        <v>563</v>
      </c>
      <c r="B813" s="11" t="s">
        <v>1167</v>
      </c>
      <c r="C813" s="11" t="s">
        <v>1272</v>
      </c>
      <c r="D813" s="32">
        <f t="shared" si="1"/>
        <v>28.48219178</v>
      </c>
      <c r="E813" s="35">
        <f t="shared" si="2"/>
        <v>35470</v>
      </c>
    </row>
    <row r="814">
      <c r="A814" s="11" t="s">
        <v>563</v>
      </c>
      <c r="B814" s="11" t="s">
        <v>1169</v>
      </c>
      <c r="C814" s="11" t="s">
        <v>1272</v>
      </c>
      <c r="D814" s="32">
        <f t="shared" si="1"/>
        <v>26.93150685</v>
      </c>
      <c r="E814" s="35">
        <f t="shared" si="2"/>
        <v>36036</v>
      </c>
    </row>
    <row r="815">
      <c r="A815" s="11" t="s">
        <v>563</v>
      </c>
      <c r="B815" s="11" t="s">
        <v>1173</v>
      </c>
      <c r="C815" s="11" t="s">
        <v>1133</v>
      </c>
      <c r="D815" s="32">
        <f t="shared" si="1"/>
        <v>35.90410959</v>
      </c>
      <c r="E815" s="35">
        <f t="shared" si="2"/>
        <v>32761</v>
      </c>
    </row>
    <row r="816">
      <c r="A816" s="11" t="s">
        <v>563</v>
      </c>
      <c r="B816" s="11" t="s">
        <v>1604</v>
      </c>
      <c r="C816" s="11" t="s">
        <v>1311</v>
      </c>
      <c r="D816" s="32" t="str">
        <f t="shared" si="1"/>
        <v>#N/A</v>
      </c>
      <c r="E816" s="14" t="str">
        <f t="shared" si="2"/>
        <v>#N/A</v>
      </c>
    </row>
    <row r="817">
      <c r="A817" s="11" t="s">
        <v>563</v>
      </c>
      <c r="B817" s="11" t="s">
        <v>1605</v>
      </c>
      <c r="C817" s="11" t="s">
        <v>1133</v>
      </c>
      <c r="D817" s="32" t="str">
        <f t="shared" si="1"/>
        <v>#N/A</v>
      </c>
      <c r="E817" s="14" t="str">
        <f t="shared" si="2"/>
        <v>#N/A</v>
      </c>
    </row>
    <row r="818">
      <c r="A818" s="11" t="s">
        <v>563</v>
      </c>
      <c r="B818" s="11" t="s">
        <v>1606</v>
      </c>
      <c r="C818" s="11" t="s">
        <v>1272</v>
      </c>
      <c r="D818" s="32" t="str">
        <f t="shared" si="1"/>
        <v>#N/A</v>
      </c>
      <c r="E818" s="14" t="str">
        <f t="shared" si="2"/>
        <v>#N/A</v>
      </c>
    </row>
    <row r="819">
      <c r="A819" s="11" t="s">
        <v>563</v>
      </c>
      <c r="B819" s="11" t="s">
        <v>1308</v>
      </c>
      <c r="C819" s="11" t="s">
        <v>1272</v>
      </c>
      <c r="D819" s="32">
        <f t="shared" si="1"/>
        <v>36.26575342</v>
      </c>
      <c r="E819" s="35">
        <f t="shared" si="2"/>
        <v>32629</v>
      </c>
    </row>
    <row r="820">
      <c r="A820" s="11" t="s">
        <v>687</v>
      </c>
      <c r="B820" s="11" t="s">
        <v>1607</v>
      </c>
      <c r="C820" s="11" t="s">
        <v>1400</v>
      </c>
      <c r="D820" s="32" t="str">
        <f t="shared" si="1"/>
        <v>#N/A</v>
      </c>
      <c r="E820" s="14" t="str">
        <f t="shared" si="2"/>
        <v>#N/A</v>
      </c>
    </row>
    <row r="821">
      <c r="A821" s="11" t="s">
        <v>811</v>
      </c>
      <c r="B821" s="11" t="s">
        <v>1331</v>
      </c>
      <c r="C821" s="11" t="s">
        <v>1272</v>
      </c>
      <c r="D821" s="32">
        <f t="shared" si="1"/>
        <v>31.67123288</v>
      </c>
      <c r="E821" s="35">
        <f t="shared" si="2"/>
        <v>34306</v>
      </c>
    </row>
    <row r="822">
      <c r="A822" s="11" t="s">
        <v>811</v>
      </c>
      <c r="B822" s="11" t="s">
        <v>1199</v>
      </c>
      <c r="C822" s="11" t="s">
        <v>1133</v>
      </c>
      <c r="D822" s="32">
        <f t="shared" si="1"/>
        <v>36.37260274</v>
      </c>
      <c r="E822" s="35">
        <f t="shared" si="2"/>
        <v>32590</v>
      </c>
    </row>
    <row r="823">
      <c r="A823" s="11" t="s">
        <v>64</v>
      </c>
      <c r="B823" s="11" t="s">
        <v>1608</v>
      </c>
      <c r="C823" s="11" t="s">
        <v>1272</v>
      </c>
      <c r="D823" s="32" t="str">
        <f t="shared" si="1"/>
        <v>#N/A</v>
      </c>
      <c r="E823" s="14" t="str">
        <f t="shared" si="2"/>
        <v>#N/A</v>
      </c>
    </row>
    <row r="824">
      <c r="A824" s="11" t="s">
        <v>64</v>
      </c>
      <c r="B824" s="11" t="s">
        <v>1073</v>
      </c>
      <c r="C824" s="11" t="s">
        <v>1272</v>
      </c>
      <c r="D824" s="32">
        <f t="shared" si="1"/>
        <v>36.37808219</v>
      </c>
      <c r="E824" s="35">
        <f t="shared" si="2"/>
        <v>32588</v>
      </c>
    </row>
    <row r="825">
      <c r="A825" s="11" t="s">
        <v>250</v>
      </c>
      <c r="B825" s="11" t="s">
        <v>1609</v>
      </c>
      <c r="C825" s="11" t="s">
        <v>1272</v>
      </c>
      <c r="D825" s="32" t="str">
        <f t="shared" si="1"/>
        <v>#N/A</v>
      </c>
      <c r="E825" s="14" t="str">
        <f t="shared" si="2"/>
        <v>#N/A</v>
      </c>
    </row>
    <row r="826">
      <c r="A826" s="11" t="s">
        <v>124</v>
      </c>
      <c r="B826" s="11" t="s">
        <v>1610</v>
      </c>
      <c r="C826" s="11" t="s">
        <v>1311</v>
      </c>
      <c r="D826" s="32" t="str">
        <f t="shared" si="1"/>
        <v>#N/A</v>
      </c>
      <c r="E826" s="14" t="str">
        <f t="shared" si="2"/>
        <v>#N/A</v>
      </c>
    </row>
    <row r="827">
      <c r="A827" s="11" t="s">
        <v>440</v>
      </c>
      <c r="B827" s="11" t="s">
        <v>1262</v>
      </c>
      <c r="C827" s="11" t="s">
        <v>1133</v>
      </c>
      <c r="D827" s="32">
        <f t="shared" si="1"/>
        <v>38.47671233</v>
      </c>
      <c r="E827" s="35">
        <f t="shared" si="2"/>
        <v>31822</v>
      </c>
    </row>
    <row r="828">
      <c r="A828" s="11" t="s">
        <v>440</v>
      </c>
      <c r="B828" s="11" t="s">
        <v>1611</v>
      </c>
      <c r="C828" s="11" t="s">
        <v>1311</v>
      </c>
      <c r="D828" s="32" t="str">
        <f t="shared" si="1"/>
        <v>#N/A</v>
      </c>
      <c r="E828" s="14" t="str">
        <f t="shared" si="2"/>
        <v>#N/A</v>
      </c>
    </row>
    <row r="829">
      <c r="A829" s="40"/>
      <c r="B829" s="7" t="s">
        <v>1132</v>
      </c>
      <c r="D829" s="32">
        <f t="shared" si="1"/>
        <v>27.11780822</v>
      </c>
      <c r="E829" s="29">
        <v>35968.0</v>
      </c>
    </row>
    <row r="830">
      <c r="A830" s="40"/>
      <c r="B830" s="7" t="s">
        <v>1271</v>
      </c>
      <c r="D830" s="32">
        <f t="shared" si="1"/>
        <v>22.18082192</v>
      </c>
      <c r="E830" s="29">
        <v>37770.0</v>
      </c>
    </row>
    <row r="831">
      <c r="A831" s="40"/>
      <c r="B831" s="7" t="s">
        <v>1274</v>
      </c>
      <c r="D831" s="32">
        <f t="shared" si="1"/>
        <v>34.5260274</v>
      </c>
      <c r="E831" s="29">
        <v>33264.0</v>
      </c>
    </row>
    <row r="832">
      <c r="A832" s="40"/>
      <c r="B832" s="7" t="s">
        <v>1310</v>
      </c>
      <c r="D832" s="32">
        <f t="shared" si="1"/>
        <v>29.29589041</v>
      </c>
      <c r="E832" s="29">
        <v>35173.0</v>
      </c>
    </row>
    <row r="833">
      <c r="A833" s="40"/>
      <c r="B833" s="7" t="s">
        <v>1317</v>
      </c>
      <c r="D833" s="32">
        <f t="shared" si="1"/>
        <v>19.29589041</v>
      </c>
      <c r="E833" s="29">
        <v>38823.0</v>
      </c>
    </row>
    <row r="834">
      <c r="A834" s="40"/>
      <c r="B834" s="7" t="s">
        <v>1321</v>
      </c>
      <c r="D834" s="32">
        <f t="shared" si="1"/>
        <v>22.31506849</v>
      </c>
      <c r="E834" s="29">
        <v>37721.0</v>
      </c>
    </row>
    <row r="835">
      <c r="A835" s="40"/>
      <c r="B835" s="7" t="s">
        <v>1369</v>
      </c>
      <c r="D835" s="32">
        <f t="shared" si="1"/>
        <v>28.17534247</v>
      </c>
      <c r="E835" s="29">
        <v>35582.0</v>
      </c>
    </row>
    <row r="836">
      <c r="A836" s="40"/>
      <c r="B836" s="7" t="s">
        <v>1375</v>
      </c>
      <c r="D836" s="32">
        <f t="shared" si="1"/>
        <v>21.4630137</v>
      </c>
      <c r="E836" s="29">
        <v>38032.0</v>
      </c>
    </row>
    <row r="837">
      <c r="A837" s="40"/>
      <c r="B837" s="7" t="s">
        <v>1377</v>
      </c>
      <c r="D837" s="32">
        <f t="shared" si="1"/>
        <v>26.62191781</v>
      </c>
      <c r="E837" s="42">
        <v>36149.0</v>
      </c>
    </row>
    <row r="838">
      <c r="A838" s="40"/>
      <c r="B838" s="7" t="s">
        <v>1382</v>
      </c>
      <c r="D838" s="32">
        <f t="shared" si="1"/>
        <v>34.63561644</v>
      </c>
      <c r="E838" s="42">
        <v>33224.0</v>
      </c>
    </row>
    <row r="839">
      <c r="A839" s="40"/>
      <c r="B839" s="7" t="s">
        <v>1384</v>
      </c>
      <c r="D839" s="32">
        <f t="shared" si="1"/>
        <v>23.85205479</v>
      </c>
      <c r="E839" s="29">
        <v>37160.0</v>
      </c>
    </row>
    <row r="840">
      <c r="A840" s="40"/>
      <c r="B840" s="7" t="s">
        <v>1387</v>
      </c>
      <c r="D840" s="32">
        <f t="shared" si="1"/>
        <v>28.09589041</v>
      </c>
      <c r="E840" s="29">
        <v>35611.0</v>
      </c>
    </row>
    <row r="841">
      <c r="A841" s="40"/>
      <c r="B841" s="7" t="s">
        <v>1389</v>
      </c>
      <c r="D841" s="32">
        <f t="shared" si="1"/>
        <v>33.56712329</v>
      </c>
      <c r="E841" s="29">
        <v>33614.0</v>
      </c>
    </row>
    <row r="842">
      <c r="A842" s="40"/>
      <c r="B842" s="7" t="s">
        <v>1391</v>
      </c>
      <c r="D842" s="32">
        <f t="shared" si="1"/>
        <v>27.54246575</v>
      </c>
      <c r="E842" s="29">
        <v>35813.0</v>
      </c>
    </row>
    <row r="843">
      <c r="A843" s="40"/>
      <c r="B843" s="40"/>
      <c r="C843" s="40"/>
    </row>
    <row r="844">
      <c r="A844" s="40"/>
      <c r="B844" s="40"/>
      <c r="C844" s="40"/>
    </row>
    <row r="845">
      <c r="A845" s="40"/>
      <c r="B845" s="40"/>
      <c r="C845" s="40"/>
    </row>
    <row r="846">
      <c r="A846" s="40"/>
      <c r="B846" s="40"/>
      <c r="C846" s="40"/>
    </row>
    <row r="847">
      <c r="A847" s="40"/>
      <c r="B847" s="40"/>
      <c r="C847" s="40"/>
    </row>
    <row r="848">
      <c r="A848" s="40"/>
      <c r="B848" s="40"/>
      <c r="C848" s="40"/>
    </row>
    <row r="849">
      <c r="A849" s="40"/>
      <c r="B849" s="40"/>
      <c r="C849" s="40"/>
    </row>
    <row r="850">
      <c r="A850" s="40"/>
      <c r="B850" s="40"/>
      <c r="C850" s="40"/>
    </row>
    <row r="851">
      <c r="A851" s="40"/>
      <c r="B851" s="40"/>
      <c r="C851" s="40"/>
    </row>
    <row r="852">
      <c r="A852" s="40"/>
      <c r="B852" s="40"/>
      <c r="C852" s="40"/>
    </row>
    <row r="853">
      <c r="A853" s="40"/>
      <c r="B853" s="40"/>
      <c r="C853" s="40"/>
    </row>
    <row r="854">
      <c r="A854" s="40"/>
      <c r="B854" s="40"/>
      <c r="C854" s="40"/>
    </row>
    <row r="855">
      <c r="A855" s="40"/>
      <c r="B855" s="40"/>
      <c r="C855" s="40"/>
    </row>
    <row r="856">
      <c r="A856" s="40"/>
      <c r="B856" s="40"/>
      <c r="C856" s="40"/>
    </row>
    <row r="857">
      <c r="A857" s="40"/>
      <c r="B857" s="40"/>
      <c r="C857" s="40"/>
    </row>
    <row r="858">
      <c r="A858" s="40"/>
      <c r="B858" s="40"/>
      <c r="C858" s="40"/>
    </row>
    <row r="859">
      <c r="A859" s="40"/>
      <c r="B859" s="40"/>
      <c r="C859" s="40"/>
    </row>
    <row r="860">
      <c r="A860" s="40"/>
      <c r="B860" s="40"/>
      <c r="C860" s="40"/>
    </row>
    <row r="861">
      <c r="A861" s="40"/>
      <c r="B861" s="40"/>
      <c r="C861" s="40"/>
    </row>
    <row r="862">
      <c r="A862" s="40"/>
      <c r="B862" s="40"/>
      <c r="C862" s="40"/>
    </row>
    <row r="863">
      <c r="A863" s="40"/>
      <c r="B863" s="40"/>
      <c r="C863" s="40"/>
    </row>
    <row r="864">
      <c r="A864" s="40"/>
      <c r="B864" s="40"/>
      <c r="C864" s="40"/>
    </row>
    <row r="865">
      <c r="A865" s="40"/>
      <c r="B865" s="40"/>
      <c r="C865" s="40"/>
    </row>
    <row r="866">
      <c r="A866" s="40"/>
      <c r="B866" s="40"/>
      <c r="C866" s="40"/>
    </row>
    <row r="867">
      <c r="A867" s="40"/>
      <c r="B867" s="40"/>
      <c r="C867" s="40"/>
    </row>
    <row r="868">
      <c r="A868" s="40"/>
      <c r="B868" s="40"/>
      <c r="C868" s="40"/>
    </row>
    <row r="869">
      <c r="A869" s="40"/>
      <c r="B869" s="40"/>
      <c r="C869" s="40"/>
    </row>
    <row r="870">
      <c r="A870" s="40"/>
      <c r="B870" s="40"/>
      <c r="C870" s="40"/>
    </row>
    <row r="871">
      <c r="A871" s="40"/>
      <c r="B871" s="40"/>
      <c r="C871" s="40"/>
    </row>
    <row r="872">
      <c r="A872" s="40"/>
      <c r="B872" s="40"/>
      <c r="C872" s="40"/>
    </row>
    <row r="873">
      <c r="A873" s="40"/>
      <c r="B873" s="40"/>
      <c r="C873" s="40"/>
    </row>
    <row r="874">
      <c r="A874" s="40"/>
      <c r="B874" s="40"/>
      <c r="C874" s="40"/>
    </row>
    <row r="875">
      <c r="A875" s="40"/>
      <c r="B875" s="40"/>
      <c r="C875" s="40"/>
    </row>
    <row r="876">
      <c r="A876" s="40"/>
      <c r="B876" s="40"/>
      <c r="C876" s="40"/>
    </row>
    <row r="877">
      <c r="A877" s="40"/>
      <c r="B877" s="40"/>
      <c r="C877" s="40"/>
    </row>
    <row r="878">
      <c r="A878" s="40"/>
      <c r="B878" s="40"/>
      <c r="C878" s="40"/>
    </row>
    <row r="879">
      <c r="A879" s="40"/>
      <c r="B879" s="40"/>
      <c r="C879" s="40"/>
    </row>
    <row r="880">
      <c r="A880" s="40"/>
      <c r="B880" s="40"/>
      <c r="C880" s="40"/>
    </row>
    <row r="881">
      <c r="A881" s="40"/>
      <c r="B881" s="40"/>
      <c r="C881" s="40"/>
    </row>
    <row r="882">
      <c r="A882" s="40"/>
      <c r="B882" s="40"/>
      <c r="C882" s="40"/>
    </row>
    <row r="883">
      <c r="A883" s="40"/>
      <c r="B883" s="40"/>
      <c r="C883" s="40"/>
    </row>
    <row r="884">
      <c r="A884" s="40"/>
      <c r="B884" s="40"/>
      <c r="C884" s="40"/>
    </row>
    <row r="885">
      <c r="A885" s="40"/>
      <c r="B885" s="40"/>
      <c r="C885" s="40"/>
    </row>
    <row r="886">
      <c r="A886" s="40"/>
      <c r="B886" s="40"/>
      <c r="C886" s="40"/>
    </row>
    <row r="887">
      <c r="A887" s="40"/>
      <c r="B887" s="40"/>
      <c r="C887" s="40"/>
    </row>
    <row r="888">
      <c r="A888" s="40"/>
      <c r="B888" s="40"/>
      <c r="C888" s="40"/>
    </row>
    <row r="889">
      <c r="A889" s="40"/>
      <c r="B889" s="40"/>
      <c r="C889" s="40"/>
    </row>
    <row r="890">
      <c r="A890" s="40"/>
      <c r="B890" s="40"/>
      <c r="C890" s="40"/>
    </row>
    <row r="891">
      <c r="A891" s="40"/>
      <c r="B891" s="40"/>
      <c r="C891" s="40"/>
    </row>
    <row r="892">
      <c r="A892" s="40"/>
      <c r="B892" s="40"/>
      <c r="C892" s="40"/>
    </row>
    <row r="893">
      <c r="A893" s="40"/>
      <c r="B893" s="40"/>
      <c r="C893" s="40"/>
    </row>
    <row r="894">
      <c r="A894" s="40"/>
      <c r="B894" s="40"/>
      <c r="C894" s="40"/>
    </row>
    <row r="895">
      <c r="A895" s="40"/>
      <c r="B895" s="40"/>
      <c r="C895" s="40"/>
    </row>
    <row r="896">
      <c r="A896" s="40"/>
      <c r="B896" s="40"/>
      <c r="C896" s="40"/>
    </row>
    <row r="897">
      <c r="A897" s="40"/>
      <c r="B897" s="40"/>
      <c r="C897" s="40"/>
    </row>
    <row r="898">
      <c r="A898" s="40"/>
      <c r="B898" s="40"/>
      <c r="C898" s="40"/>
    </row>
    <row r="899">
      <c r="A899" s="40"/>
      <c r="B899" s="40"/>
      <c r="C899" s="40"/>
    </row>
    <row r="900">
      <c r="A900" s="40"/>
      <c r="B900" s="40"/>
      <c r="C900" s="40"/>
    </row>
    <row r="901">
      <c r="A901" s="40"/>
      <c r="B901" s="40"/>
      <c r="C901" s="40"/>
    </row>
    <row r="902">
      <c r="A902" s="40"/>
      <c r="B902" s="40"/>
      <c r="C902" s="40"/>
    </row>
    <row r="903">
      <c r="A903" s="40"/>
      <c r="B903" s="40"/>
      <c r="C903" s="40"/>
    </row>
    <row r="904">
      <c r="A904" s="40"/>
      <c r="B904" s="40"/>
      <c r="C904" s="40"/>
    </row>
    <row r="905">
      <c r="A905" s="40"/>
      <c r="B905" s="40"/>
      <c r="C905" s="40"/>
    </row>
    <row r="906">
      <c r="A906" s="40"/>
      <c r="B906" s="40"/>
      <c r="C906" s="40"/>
    </row>
    <row r="907">
      <c r="A907" s="40"/>
      <c r="B907" s="40"/>
      <c r="C907" s="40"/>
    </row>
    <row r="908">
      <c r="A908" s="40"/>
      <c r="B908" s="40"/>
      <c r="C908" s="40"/>
    </row>
    <row r="909">
      <c r="A909" s="40"/>
      <c r="B909" s="40"/>
      <c r="C909" s="40"/>
    </row>
    <row r="910">
      <c r="A910" s="40"/>
      <c r="B910" s="40"/>
      <c r="C910" s="40"/>
    </row>
    <row r="911">
      <c r="A911" s="40"/>
      <c r="B911" s="40"/>
      <c r="C911" s="40"/>
    </row>
    <row r="912">
      <c r="A912" s="40"/>
      <c r="B912" s="40"/>
      <c r="C912" s="40"/>
    </row>
    <row r="913">
      <c r="A913" s="40"/>
      <c r="B913" s="40"/>
      <c r="C913" s="40"/>
    </row>
    <row r="914">
      <c r="A914" s="40"/>
      <c r="B914" s="40"/>
      <c r="C914" s="40"/>
    </row>
    <row r="915">
      <c r="A915" s="40"/>
      <c r="B915" s="40"/>
      <c r="C915" s="40"/>
    </row>
    <row r="916">
      <c r="A916" s="40"/>
      <c r="B916" s="40"/>
      <c r="C916" s="40"/>
    </row>
    <row r="917">
      <c r="A917" s="40"/>
      <c r="B917" s="40"/>
      <c r="C917" s="40"/>
    </row>
    <row r="918">
      <c r="A918" s="40"/>
      <c r="B918" s="40"/>
      <c r="C918" s="40"/>
    </row>
    <row r="919">
      <c r="A919" s="40"/>
      <c r="B919" s="40"/>
      <c r="C919" s="40"/>
    </row>
    <row r="920">
      <c r="A920" s="40"/>
      <c r="B920" s="40"/>
      <c r="C920" s="40"/>
    </row>
    <row r="921">
      <c r="A921" s="40"/>
      <c r="B921" s="40"/>
      <c r="C921" s="40"/>
    </row>
    <row r="922">
      <c r="A922" s="40"/>
      <c r="B922" s="40"/>
      <c r="C922" s="40"/>
    </row>
    <row r="923">
      <c r="A923" s="40"/>
      <c r="B923" s="40"/>
      <c r="C923" s="40"/>
    </row>
    <row r="924">
      <c r="A924" s="40"/>
      <c r="B924" s="40"/>
      <c r="C924" s="40"/>
    </row>
    <row r="925">
      <c r="A925" s="40"/>
      <c r="B925" s="40"/>
      <c r="C925" s="40"/>
    </row>
    <row r="926">
      <c r="A926" s="40"/>
      <c r="B926" s="40"/>
      <c r="C926" s="40"/>
    </row>
    <row r="927">
      <c r="A927" s="40"/>
      <c r="B927" s="40"/>
      <c r="C927" s="40"/>
    </row>
    <row r="928">
      <c r="A928" s="40"/>
      <c r="B928" s="40"/>
      <c r="C928" s="40"/>
    </row>
    <row r="929">
      <c r="A929" s="40"/>
      <c r="B929" s="40"/>
      <c r="C929" s="40"/>
    </row>
    <row r="930">
      <c r="A930" s="40"/>
      <c r="B930" s="40"/>
      <c r="C930" s="40"/>
    </row>
    <row r="931">
      <c r="A931" s="40"/>
      <c r="B931" s="40"/>
      <c r="C931" s="40"/>
    </row>
    <row r="932">
      <c r="A932" s="40"/>
      <c r="B932" s="40"/>
      <c r="C932" s="40"/>
    </row>
    <row r="933">
      <c r="A933" s="40"/>
      <c r="B933" s="40"/>
      <c r="C933" s="40"/>
    </row>
    <row r="934">
      <c r="A934" s="40"/>
      <c r="B934" s="40"/>
      <c r="C934" s="40"/>
    </row>
    <row r="935">
      <c r="A935" s="40"/>
      <c r="B935" s="40"/>
      <c r="C935" s="40"/>
    </row>
    <row r="936">
      <c r="A936" s="40"/>
      <c r="B936" s="40"/>
      <c r="C936" s="40"/>
    </row>
    <row r="937">
      <c r="A937" s="40"/>
      <c r="B937" s="40"/>
      <c r="C937" s="40"/>
    </row>
    <row r="938">
      <c r="A938" s="40"/>
      <c r="B938" s="40"/>
      <c r="C938" s="40"/>
    </row>
    <row r="939">
      <c r="A939" s="40"/>
      <c r="B939" s="40"/>
      <c r="C939" s="40"/>
    </row>
    <row r="940">
      <c r="A940" s="40"/>
      <c r="B940" s="40"/>
      <c r="C940" s="40"/>
    </row>
    <row r="941">
      <c r="A941" s="40"/>
      <c r="B941" s="40"/>
      <c r="C941" s="40"/>
    </row>
    <row r="942">
      <c r="A942" s="40"/>
      <c r="B942" s="40"/>
      <c r="C942" s="40"/>
    </row>
    <row r="943">
      <c r="A943" s="40"/>
      <c r="B943" s="40"/>
      <c r="C943" s="40"/>
    </row>
    <row r="944">
      <c r="A944" s="40"/>
      <c r="B944" s="40"/>
      <c r="C944" s="40"/>
    </row>
    <row r="945">
      <c r="A945" s="40"/>
      <c r="B945" s="40"/>
      <c r="C945" s="40"/>
    </row>
    <row r="946">
      <c r="A946" s="40"/>
      <c r="B946" s="40"/>
      <c r="C946" s="40"/>
    </row>
    <row r="947">
      <c r="A947" s="40"/>
      <c r="B947" s="40"/>
      <c r="C947" s="40"/>
    </row>
    <row r="948">
      <c r="A948" s="40"/>
      <c r="B948" s="40"/>
      <c r="C948" s="40"/>
    </row>
    <row r="949">
      <c r="A949" s="40"/>
      <c r="B949" s="40"/>
      <c r="C949" s="40"/>
    </row>
    <row r="950">
      <c r="A950" s="40"/>
      <c r="B950" s="40"/>
      <c r="C950" s="40"/>
    </row>
    <row r="951">
      <c r="A951" s="40"/>
      <c r="B951" s="40"/>
      <c r="C951" s="40"/>
    </row>
    <row r="952">
      <c r="A952" s="40"/>
      <c r="B952" s="40"/>
      <c r="C952" s="40"/>
    </row>
    <row r="953">
      <c r="A953" s="40"/>
      <c r="B953" s="40"/>
      <c r="C953" s="40"/>
    </row>
    <row r="954">
      <c r="A954" s="40"/>
      <c r="B954" s="40"/>
      <c r="C954" s="40"/>
    </row>
    <row r="955">
      <c r="A955" s="40"/>
      <c r="B955" s="40"/>
      <c r="C955" s="40"/>
    </row>
    <row r="956">
      <c r="A956" s="40"/>
      <c r="B956" s="40"/>
      <c r="C956" s="40"/>
    </row>
    <row r="957">
      <c r="A957" s="40"/>
      <c r="B957" s="40"/>
      <c r="C957" s="40"/>
    </row>
    <row r="958">
      <c r="A958" s="40"/>
      <c r="B958" s="40"/>
      <c r="C958" s="40"/>
    </row>
    <row r="959">
      <c r="A959" s="40"/>
      <c r="B959" s="40"/>
      <c r="C959" s="40"/>
    </row>
    <row r="960">
      <c r="A960" s="40"/>
      <c r="B960" s="40"/>
      <c r="C960" s="40"/>
    </row>
    <row r="961">
      <c r="A961" s="40"/>
      <c r="B961" s="40"/>
      <c r="C961" s="40"/>
    </row>
    <row r="962">
      <c r="A962" s="40"/>
      <c r="B962" s="40"/>
      <c r="C962" s="40"/>
    </row>
    <row r="963">
      <c r="A963" s="40"/>
      <c r="B963" s="40"/>
      <c r="C963" s="40"/>
    </row>
    <row r="964">
      <c r="A964" s="40"/>
      <c r="B964" s="40"/>
      <c r="C964" s="40"/>
    </row>
    <row r="965">
      <c r="A965" s="40"/>
      <c r="B965" s="40"/>
      <c r="C965" s="40"/>
    </row>
    <row r="966">
      <c r="A966" s="40"/>
      <c r="B966" s="40"/>
      <c r="C966" s="40"/>
    </row>
    <row r="967">
      <c r="A967" s="40"/>
      <c r="B967" s="40"/>
      <c r="C967" s="40"/>
    </row>
    <row r="968">
      <c r="A968" s="40"/>
      <c r="B968" s="40"/>
      <c r="C968" s="40"/>
    </row>
    <row r="969">
      <c r="A969" s="40"/>
      <c r="B969" s="40"/>
      <c r="C969" s="40"/>
    </row>
    <row r="970">
      <c r="A970" s="40"/>
      <c r="B970" s="40"/>
      <c r="C970" s="40"/>
    </row>
    <row r="971">
      <c r="A971" s="40"/>
      <c r="B971" s="40"/>
      <c r="C971" s="40"/>
    </row>
    <row r="972">
      <c r="A972" s="40"/>
      <c r="B972" s="40"/>
      <c r="C972" s="40"/>
    </row>
    <row r="973">
      <c r="A973" s="40"/>
      <c r="B973" s="40"/>
      <c r="C973" s="40"/>
    </row>
    <row r="974">
      <c r="A974" s="40"/>
      <c r="B974" s="40"/>
      <c r="C974" s="40"/>
    </row>
    <row r="975">
      <c r="A975" s="40"/>
      <c r="B975" s="40"/>
      <c r="C975" s="40"/>
    </row>
    <row r="976">
      <c r="A976" s="40"/>
      <c r="B976" s="40"/>
      <c r="C976" s="40"/>
    </row>
    <row r="977">
      <c r="A977" s="40"/>
      <c r="B977" s="40"/>
      <c r="C977" s="40"/>
    </row>
    <row r="978">
      <c r="A978" s="40"/>
      <c r="B978" s="40"/>
      <c r="C978" s="40"/>
    </row>
    <row r="979">
      <c r="A979" s="40"/>
      <c r="B979" s="40"/>
      <c r="C979" s="40"/>
    </row>
    <row r="980">
      <c r="A980" s="40"/>
      <c r="B980" s="40"/>
      <c r="C980" s="40"/>
    </row>
    <row r="981">
      <c r="A981" s="40"/>
      <c r="B981" s="40"/>
      <c r="C981" s="40"/>
    </row>
    <row r="982">
      <c r="A982" s="40"/>
      <c r="B982" s="40"/>
      <c r="C982" s="40"/>
    </row>
    <row r="983">
      <c r="A983" s="40"/>
      <c r="B983" s="40"/>
      <c r="C983" s="40"/>
    </row>
    <row r="984">
      <c r="A984" s="40"/>
      <c r="B984" s="40"/>
      <c r="C984" s="40"/>
    </row>
    <row r="985">
      <c r="A985" s="40"/>
      <c r="B985" s="40"/>
      <c r="C985" s="40"/>
    </row>
    <row r="986">
      <c r="A986" s="40"/>
      <c r="B986" s="40"/>
      <c r="C986" s="40"/>
    </row>
    <row r="987">
      <c r="A987" s="40"/>
      <c r="B987" s="40"/>
      <c r="C987" s="40"/>
    </row>
    <row r="988">
      <c r="A988" s="40"/>
      <c r="B988" s="40"/>
      <c r="C988" s="40"/>
    </row>
    <row r="989">
      <c r="A989" s="40"/>
      <c r="B989" s="40"/>
      <c r="C989" s="40"/>
    </row>
    <row r="990">
      <c r="A990" s="40"/>
      <c r="B990" s="40"/>
      <c r="C990" s="40"/>
    </row>
    <row r="991">
      <c r="A991" s="40"/>
      <c r="B991" s="40"/>
      <c r="C991" s="40"/>
    </row>
    <row r="992">
      <c r="A992" s="40"/>
      <c r="B992" s="40"/>
      <c r="C992" s="40"/>
    </row>
    <row r="993">
      <c r="A993" s="40"/>
      <c r="B993" s="40"/>
      <c r="C993" s="40"/>
    </row>
    <row r="994">
      <c r="A994" s="40"/>
      <c r="B994" s="40"/>
      <c r="C994" s="40"/>
    </row>
    <row r="995">
      <c r="A995" s="40"/>
      <c r="B995" s="40"/>
      <c r="C995" s="40"/>
    </row>
    <row r="996">
      <c r="A996" s="40"/>
      <c r="B996" s="40"/>
      <c r="C996" s="40"/>
    </row>
    <row r="997">
      <c r="A997" s="40"/>
      <c r="B997" s="40"/>
      <c r="C997" s="40"/>
    </row>
    <row r="998">
      <c r="A998" s="40"/>
      <c r="B998" s="40"/>
      <c r="C998" s="40"/>
    </row>
    <row r="999">
      <c r="A999" s="40"/>
      <c r="B999" s="40"/>
      <c r="C999" s="40"/>
    </row>
    <row r="1000">
      <c r="A1000" s="40"/>
      <c r="B1000" s="40"/>
      <c r="C1000" s="40"/>
    </row>
    <row r="1001">
      <c r="A1001" s="40"/>
      <c r="B1001" s="40"/>
      <c r="C1001" s="40"/>
    </row>
    <row r="1002">
      <c r="A1002" s="40"/>
      <c r="B1002" s="40"/>
      <c r="C1002" s="40"/>
    </row>
    <row r="1003">
      <c r="A1003" s="40"/>
      <c r="B1003" s="40"/>
      <c r="C1003" s="40"/>
    </row>
    <row r="1004">
      <c r="A1004" s="40"/>
      <c r="B1004" s="40"/>
      <c r="C1004" s="40"/>
    </row>
    <row r="1005">
      <c r="A1005" s="40"/>
      <c r="B1005" s="40"/>
      <c r="C1005" s="40"/>
    </row>
    <row r="1006">
      <c r="A1006" s="40"/>
      <c r="B1006" s="40"/>
      <c r="C1006" s="40"/>
    </row>
    <row r="1007">
      <c r="A1007" s="40"/>
      <c r="B1007" s="40"/>
      <c r="C1007" s="40"/>
    </row>
    <row r="1008">
      <c r="A1008" s="40"/>
      <c r="B1008" s="40"/>
      <c r="C1008" s="40"/>
    </row>
    <row r="1009">
      <c r="A1009" s="40"/>
      <c r="B1009" s="40"/>
      <c r="C1009" s="40"/>
    </row>
    <row r="1010">
      <c r="A1010" s="40"/>
      <c r="B1010" s="40"/>
      <c r="C1010" s="40"/>
    </row>
    <row r="1011">
      <c r="A1011" s="40"/>
      <c r="B1011" s="40"/>
      <c r="C1011" s="40"/>
    </row>
    <row r="1012">
      <c r="A1012" s="40"/>
      <c r="B1012" s="40"/>
      <c r="C1012" s="40"/>
    </row>
    <row r="1013">
      <c r="A1013" s="40"/>
      <c r="B1013" s="40"/>
      <c r="C1013" s="40"/>
    </row>
    <row r="1014">
      <c r="A1014" s="40"/>
      <c r="B1014" s="40"/>
      <c r="C1014" s="40"/>
    </row>
    <row r="1015">
      <c r="A1015" s="40"/>
      <c r="B1015" s="40"/>
      <c r="C1015" s="40"/>
    </row>
    <row r="1016">
      <c r="A1016" s="40"/>
      <c r="B1016" s="40"/>
      <c r="C1016" s="40"/>
    </row>
    <row r="1017">
      <c r="A1017" s="40"/>
      <c r="B1017" s="40"/>
      <c r="C1017" s="40"/>
    </row>
    <row r="1018">
      <c r="A1018" s="40"/>
      <c r="B1018" s="40"/>
      <c r="C1018" s="40"/>
    </row>
    <row r="1019">
      <c r="A1019" s="40"/>
      <c r="B1019" s="40"/>
      <c r="C1019" s="40"/>
    </row>
    <row r="1020">
      <c r="A1020" s="40"/>
      <c r="B1020" s="40"/>
      <c r="C1020" s="40"/>
    </row>
    <row r="1021">
      <c r="A1021" s="40"/>
      <c r="B1021" s="40"/>
      <c r="C1021" s="40"/>
    </row>
    <row r="1022">
      <c r="A1022" s="40"/>
      <c r="B1022" s="40"/>
      <c r="C1022" s="40"/>
    </row>
    <row r="1023">
      <c r="A1023" s="40"/>
      <c r="B1023" s="40"/>
      <c r="C1023" s="40"/>
    </row>
    <row r="1024">
      <c r="A1024" s="40"/>
      <c r="B1024" s="40"/>
      <c r="C1024" s="40"/>
    </row>
    <row r="1025">
      <c r="A1025" s="40"/>
      <c r="B1025" s="40"/>
      <c r="C1025" s="40"/>
    </row>
    <row r="1026">
      <c r="A1026" s="40"/>
      <c r="B1026" s="40"/>
      <c r="C1026" s="40"/>
    </row>
    <row r="1027">
      <c r="A1027" s="40"/>
      <c r="B1027" s="40"/>
      <c r="C1027" s="40"/>
    </row>
    <row r="1028">
      <c r="A1028" s="40"/>
      <c r="B1028" s="40"/>
      <c r="C1028" s="40"/>
    </row>
    <row r="1029">
      <c r="A1029" s="40"/>
      <c r="B1029" s="40"/>
      <c r="C1029" s="40"/>
    </row>
    <row r="1030">
      <c r="A1030" s="40"/>
      <c r="B1030" s="40"/>
      <c r="C1030" s="40"/>
    </row>
    <row r="1031">
      <c r="A1031" s="40"/>
      <c r="B1031" s="40"/>
      <c r="C1031" s="40"/>
    </row>
    <row r="1032">
      <c r="A1032" s="40"/>
      <c r="B1032" s="40"/>
      <c r="C1032" s="40"/>
    </row>
    <row r="1033">
      <c r="A1033" s="40"/>
      <c r="B1033" s="40"/>
      <c r="C1033" s="40"/>
    </row>
    <row r="1034">
      <c r="A1034" s="40"/>
      <c r="B1034" s="40"/>
      <c r="C1034" s="40"/>
    </row>
    <row r="1035">
      <c r="A1035" s="40"/>
      <c r="B1035" s="40"/>
      <c r="C1035" s="40"/>
    </row>
    <row r="1036">
      <c r="A1036" s="40"/>
      <c r="B1036" s="40"/>
      <c r="C1036" s="40"/>
    </row>
    <row r="1037">
      <c r="A1037" s="40"/>
      <c r="B1037" s="40"/>
      <c r="C1037" s="40"/>
    </row>
    <row r="1038">
      <c r="A1038" s="40"/>
      <c r="B1038" s="40"/>
      <c r="C1038" s="40"/>
    </row>
    <row r="1039">
      <c r="A1039" s="40"/>
      <c r="B1039" s="40"/>
      <c r="C1039" s="40"/>
    </row>
    <row r="1040">
      <c r="A1040" s="40"/>
      <c r="B1040" s="40"/>
      <c r="C1040" s="40"/>
    </row>
    <row r="1041">
      <c r="A1041" s="40"/>
      <c r="B1041" s="40"/>
      <c r="C1041" s="40"/>
    </row>
    <row r="1042">
      <c r="A1042" s="40"/>
      <c r="B1042" s="40"/>
      <c r="C1042" s="40"/>
    </row>
    <row r="1043">
      <c r="A1043" s="40"/>
      <c r="B1043" s="40"/>
      <c r="C1043" s="40"/>
    </row>
    <row r="1044">
      <c r="A1044" s="40"/>
      <c r="B1044" s="40"/>
      <c r="C1044" s="40"/>
    </row>
    <row r="1045">
      <c r="A1045" s="40"/>
      <c r="B1045" s="40"/>
      <c r="C1045" s="40"/>
    </row>
    <row r="1046">
      <c r="A1046" s="40"/>
      <c r="B1046" s="40"/>
      <c r="C1046" s="40"/>
    </row>
    <row r="1047">
      <c r="A1047" s="40"/>
      <c r="B1047" s="40"/>
      <c r="C1047" s="40"/>
    </row>
    <row r="1048">
      <c r="A1048" s="40"/>
      <c r="B1048" s="40"/>
      <c r="C1048" s="40"/>
    </row>
    <row r="1049">
      <c r="A1049" s="40"/>
      <c r="B1049" s="40"/>
      <c r="C1049" s="40"/>
    </row>
    <row r="1050">
      <c r="A1050" s="40"/>
      <c r="B1050" s="40"/>
      <c r="C1050" s="40"/>
    </row>
    <row r="1051">
      <c r="A1051" s="40"/>
      <c r="B1051" s="40"/>
      <c r="C1051" s="40"/>
    </row>
    <row r="1052">
      <c r="A1052" s="40"/>
      <c r="B1052" s="40"/>
      <c r="C1052" s="40"/>
    </row>
    <row r="1053">
      <c r="A1053" s="40"/>
      <c r="B1053" s="40"/>
      <c r="C1053" s="40"/>
    </row>
    <row r="1054">
      <c r="A1054" s="40"/>
      <c r="B1054" s="40"/>
      <c r="C1054" s="40"/>
    </row>
    <row r="1055">
      <c r="A1055" s="40"/>
      <c r="B1055" s="40"/>
      <c r="C1055" s="40"/>
    </row>
    <row r="1056">
      <c r="A1056" s="40"/>
      <c r="B1056" s="40"/>
      <c r="C1056" s="40"/>
    </row>
    <row r="1057">
      <c r="A1057" s="40"/>
      <c r="B1057" s="40"/>
      <c r="C1057" s="40"/>
    </row>
    <row r="1058">
      <c r="A1058" s="40"/>
      <c r="B1058" s="40"/>
      <c r="C1058" s="40"/>
    </row>
    <row r="1059">
      <c r="A1059" s="40"/>
      <c r="B1059" s="40"/>
      <c r="C1059" s="40"/>
    </row>
    <row r="1060">
      <c r="A1060" s="40"/>
      <c r="B1060" s="40"/>
      <c r="C1060" s="40"/>
    </row>
    <row r="1061">
      <c r="A1061" s="40"/>
      <c r="B1061" s="40"/>
      <c r="C1061" s="40"/>
    </row>
    <row r="1062">
      <c r="A1062" s="40"/>
      <c r="B1062" s="40"/>
      <c r="C1062" s="40"/>
    </row>
    <row r="1063">
      <c r="A1063" s="40"/>
      <c r="B1063" s="40"/>
      <c r="C1063" s="40"/>
    </row>
    <row r="1064">
      <c r="A1064" s="40"/>
      <c r="B1064" s="40"/>
      <c r="C1064" s="40"/>
    </row>
    <row r="1065">
      <c r="A1065" s="40"/>
      <c r="B1065" s="40"/>
      <c r="C1065" s="40"/>
    </row>
    <row r="1066">
      <c r="A1066" s="40"/>
      <c r="B1066" s="40"/>
      <c r="C1066" s="40"/>
    </row>
    <row r="1067">
      <c r="A1067" s="40"/>
      <c r="B1067" s="40"/>
      <c r="C1067" s="40"/>
    </row>
    <row r="1068">
      <c r="A1068" s="40"/>
      <c r="B1068" s="40"/>
      <c r="C1068" s="40"/>
    </row>
    <row r="1069">
      <c r="A1069" s="40"/>
      <c r="B1069" s="40"/>
      <c r="C1069" s="40"/>
    </row>
    <row r="1070">
      <c r="A1070" s="40"/>
      <c r="B1070" s="40"/>
      <c r="C1070" s="40"/>
    </row>
    <row r="1071">
      <c r="A1071" s="40"/>
      <c r="B1071" s="40"/>
      <c r="C1071" s="40"/>
    </row>
    <row r="1072">
      <c r="A1072" s="40"/>
      <c r="B1072" s="40"/>
      <c r="C1072" s="40"/>
    </row>
    <row r="1073">
      <c r="A1073" s="40"/>
      <c r="B1073" s="40"/>
      <c r="C1073" s="40"/>
    </row>
    <row r="1074">
      <c r="A1074" s="40"/>
      <c r="B1074" s="40"/>
      <c r="C1074" s="40"/>
    </row>
    <row r="1075">
      <c r="A1075" s="40"/>
      <c r="B1075" s="40"/>
      <c r="C1075" s="40"/>
    </row>
    <row r="1076">
      <c r="A1076" s="40"/>
      <c r="B1076" s="40"/>
      <c r="C1076" s="40"/>
    </row>
    <row r="1077">
      <c r="A1077" s="40"/>
      <c r="B1077" s="40"/>
      <c r="C1077" s="40"/>
    </row>
    <row r="1078">
      <c r="A1078" s="40"/>
      <c r="B1078" s="40"/>
      <c r="C1078" s="40"/>
    </row>
    <row r="1079">
      <c r="A1079" s="40"/>
      <c r="B1079" s="40"/>
      <c r="C1079" s="40"/>
    </row>
    <row r="1080">
      <c r="A1080" s="40"/>
      <c r="B1080" s="40"/>
      <c r="C1080" s="40"/>
    </row>
    <row r="1081">
      <c r="A1081" s="40"/>
      <c r="B1081" s="40"/>
      <c r="C1081" s="40"/>
    </row>
    <row r="1082">
      <c r="A1082" s="40"/>
      <c r="B1082" s="40"/>
      <c r="C1082" s="40"/>
    </row>
    <row r="1083">
      <c r="A1083" s="40"/>
      <c r="B1083" s="40"/>
      <c r="C1083" s="40"/>
    </row>
    <row r="1084">
      <c r="A1084" s="40"/>
      <c r="B1084" s="40"/>
      <c r="C1084" s="40"/>
    </row>
    <row r="1085">
      <c r="A1085" s="40"/>
      <c r="B1085" s="40"/>
      <c r="C1085" s="40"/>
    </row>
    <row r="1086">
      <c r="A1086" s="40"/>
      <c r="B1086" s="40"/>
      <c r="C1086" s="40"/>
    </row>
    <row r="1087">
      <c r="A1087" s="40"/>
      <c r="B1087" s="40"/>
      <c r="C1087" s="40"/>
    </row>
    <row r="1088">
      <c r="A1088" s="40"/>
      <c r="B1088" s="40"/>
      <c r="C1088" s="40"/>
    </row>
    <row r="1089">
      <c r="A1089" s="40"/>
      <c r="B1089" s="40"/>
      <c r="C1089" s="40"/>
    </row>
    <row r="1090">
      <c r="A1090" s="40"/>
      <c r="B1090" s="40"/>
      <c r="C1090" s="40"/>
    </row>
    <row r="1091">
      <c r="A1091" s="40"/>
      <c r="B1091" s="40"/>
      <c r="C1091" s="40"/>
    </row>
    <row r="1092">
      <c r="A1092" s="40"/>
      <c r="B1092" s="40"/>
      <c r="C1092" s="40"/>
    </row>
    <row r="1093">
      <c r="A1093" s="40"/>
      <c r="B1093" s="40"/>
      <c r="C1093" s="40"/>
    </row>
    <row r="1094">
      <c r="A1094" s="40"/>
      <c r="B1094" s="40"/>
      <c r="C1094" s="40"/>
    </row>
    <row r="1095">
      <c r="A1095" s="40"/>
      <c r="B1095" s="40"/>
      <c r="C1095" s="40"/>
    </row>
    <row r="1096">
      <c r="A1096" s="40"/>
      <c r="B1096" s="40"/>
      <c r="C1096" s="40"/>
    </row>
    <row r="1097">
      <c r="A1097" s="40"/>
      <c r="B1097" s="40"/>
      <c r="C1097" s="40"/>
    </row>
    <row r="1098">
      <c r="A1098" s="40"/>
      <c r="B1098" s="40"/>
      <c r="C1098" s="40"/>
    </row>
    <row r="1099">
      <c r="A1099" s="40"/>
      <c r="B1099" s="40"/>
      <c r="C1099" s="40"/>
    </row>
    <row r="1100">
      <c r="A1100" s="40"/>
      <c r="B1100" s="40"/>
      <c r="C1100" s="40"/>
    </row>
    <row r="1101">
      <c r="A1101" s="40"/>
      <c r="B1101" s="40"/>
      <c r="C1101" s="40"/>
    </row>
    <row r="1102">
      <c r="A1102" s="40"/>
      <c r="B1102" s="40"/>
      <c r="C1102" s="40"/>
    </row>
    <row r="1103">
      <c r="A1103" s="40"/>
      <c r="B1103" s="40"/>
      <c r="C1103" s="40"/>
    </row>
    <row r="1104">
      <c r="A1104" s="40"/>
      <c r="B1104" s="40"/>
      <c r="C1104" s="40"/>
    </row>
    <row r="1105">
      <c r="A1105" s="40"/>
      <c r="B1105" s="40"/>
      <c r="C1105" s="40"/>
    </row>
    <row r="1106">
      <c r="A1106" s="40"/>
      <c r="B1106" s="40"/>
      <c r="C1106" s="40"/>
    </row>
    <row r="1107">
      <c r="A1107" s="40"/>
      <c r="B1107" s="40"/>
      <c r="C1107" s="40"/>
    </row>
    <row r="1108">
      <c r="A1108" s="40"/>
      <c r="B1108" s="40"/>
      <c r="C1108" s="40"/>
    </row>
    <row r="1109">
      <c r="A1109" s="40"/>
      <c r="B1109" s="40"/>
      <c r="C1109" s="40"/>
    </row>
    <row r="1110">
      <c r="A1110" s="40"/>
      <c r="B1110" s="40"/>
      <c r="C1110" s="40"/>
    </row>
    <row r="1111">
      <c r="A1111" s="40"/>
      <c r="B1111" s="40"/>
      <c r="C1111" s="40"/>
    </row>
    <row r="1112">
      <c r="A1112" s="40"/>
      <c r="B1112" s="40"/>
      <c r="C1112" s="40"/>
    </row>
    <row r="1113">
      <c r="A1113" s="40"/>
      <c r="B1113" s="40"/>
      <c r="C1113" s="40"/>
    </row>
    <row r="1114">
      <c r="A1114" s="40"/>
      <c r="B1114" s="40"/>
      <c r="C1114" s="40"/>
    </row>
    <row r="1115">
      <c r="A1115" s="40"/>
      <c r="B1115" s="40"/>
      <c r="C1115" s="40"/>
    </row>
    <row r="1116">
      <c r="A1116" s="40"/>
      <c r="B1116" s="40"/>
      <c r="C1116" s="40"/>
    </row>
    <row r="1117">
      <c r="A1117" s="40"/>
      <c r="B1117" s="40"/>
      <c r="C1117" s="40"/>
    </row>
    <row r="1118">
      <c r="A1118" s="40"/>
      <c r="B1118" s="40"/>
      <c r="C1118" s="40"/>
    </row>
    <row r="1119">
      <c r="A1119" s="40"/>
      <c r="B1119" s="40"/>
      <c r="C1119" s="40"/>
    </row>
    <row r="1120">
      <c r="A1120" s="40"/>
      <c r="B1120" s="40"/>
      <c r="C1120" s="40"/>
    </row>
    <row r="1121">
      <c r="A1121" s="40"/>
      <c r="B1121" s="40"/>
      <c r="C1121" s="40"/>
    </row>
    <row r="1122">
      <c r="A1122" s="40"/>
      <c r="B1122" s="40"/>
      <c r="C1122" s="40"/>
    </row>
    <row r="1123">
      <c r="A1123" s="40"/>
      <c r="B1123" s="40"/>
      <c r="C1123" s="40"/>
    </row>
    <row r="1124">
      <c r="A1124" s="40"/>
      <c r="B1124" s="40"/>
      <c r="C1124" s="40"/>
    </row>
    <row r="1125">
      <c r="A1125" s="40"/>
      <c r="B1125" s="40"/>
      <c r="C1125" s="40"/>
    </row>
    <row r="1126">
      <c r="A1126" s="40"/>
      <c r="B1126" s="40"/>
      <c r="C1126" s="40"/>
    </row>
    <row r="1127">
      <c r="A1127" s="40"/>
      <c r="B1127" s="40"/>
      <c r="C1127" s="40"/>
    </row>
    <row r="1128">
      <c r="A1128" s="40"/>
      <c r="B1128" s="40"/>
      <c r="C1128" s="40"/>
    </row>
    <row r="1129">
      <c r="A1129" s="40"/>
      <c r="B1129" s="40"/>
      <c r="C1129" s="40"/>
    </row>
    <row r="1130">
      <c r="A1130" s="40"/>
      <c r="B1130" s="40"/>
      <c r="C1130" s="40"/>
    </row>
    <row r="1131">
      <c r="A1131" s="40"/>
      <c r="B1131" s="40"/>
      <c r="C1131" s="40"/>
    </row>
    <row r="1132">
      <c r="A1132" s="40"/>
      <c r="B1132" s="40"/>
      <c r="C1132" s="40"/>
    </row>
    <row r="1133">
      <c r="A1133" s="11"/>
      <c r="B1133" s="11"/>
      <c r="C1133" s="11"/>
    </row>
    <row r="1134">
      <c r="A1134" s="11"/>
      <c r="B1134" s="11"/>
      <c r="C1134" s="11"/>
    </row>
    <row r="1135">
      <c r="A1135" s="11"/>
      <c r="B1135" s="11"/>
      <c r="C1135" s="11"/>
    </row>
    <row r="1136">
      <c r="A1136" s="11"/>
      <c r="B1136" s="11"/>
      <c r="C1136" s="11"/>
    </row>
    <row r="1137">
      <c r="A1137" s="11"/>
      <c r="B1137" s="11"/>
      <c r="C1137" s="11"/>
    </row>
    <row r="1138">
      <c r="A1138" s="11"/>
      <c r="B1138" s="11"/>
      <c r="C1138" s="11"/>
    </row>
    <row r="1139">
      <c r="A1139" s="11"/>
      <c r="B1139" s="11"/>
      <c r="C1139" s="11"/>
    </row>
    <row r="1140">
      <c r="A1140" s="11"/>
      <c r="B1140" s="11"/>
      <c r="C1140" s="11"/>
    </row>
    <row r="1141">
      <c r="A1141" s="11"/>
      <c r="B1141" s="11"/>
      <c r="C1141" s="11"/>
    </row>
    <row r="1142">
      <c r="A1142" s="11"/>
      <c r="B1142" s="11"/>
      <c r="C1142" s="11"/>
    </row>
    <row r="1143">
      <c r="A1143" s="11"/>
      <c r="B1143" s="11"/>
      <c r="C1143" s="11"/>
    </row>
    <row r="1144">
      <c r="A1144" s="11"/>
      <c r="B1144" s="11"/>
      <c r="C1144" s="11"/>
    </row>
    <row r="1145">
      <c r="A1145" s="11"/>
      <c r="B1145" s="11"/>
      <c r="C1145" s="11"/>
    </row>
    <row r="1146">
      <c r="A1146" s="11"/>
      <c r="B1146" s="11"/>
      <c r="C1146" s="11"/>
    </row>
    <row r="1147">
      <c r="A1147" s="11"/>
      <c r="B1147" s="11"/>
      <c r="C1147" s="11"/>
    </row>
    <row r="1148">
      <c r="A1148" s="11"/>
      <c r="B1148" s="11"/>
      <c r="C1148" s="11"/>
    </row>
    <row r="1149">
      <c r="A1149" s="11"/>
      <c r="B1149" s="11"/>
      <c r="C1149" s="11"/>
    </row>
    <row r="1150">
      <c r="A1150" s="11"/>
      <c r="B1150" s="11"/>
      <c r="C1150" s="11"/>
    </row>
    <row r="1151">
      <c r="A1151" s="11"/>
      <c r="B1151" s="11"/>
      <c r="C1151" s="11"/>
    </row>
    <row r="1152">
      <c r="A1152" s="11"/>
      <c r="B1152" s="11"/>
      <c r="C1152" s="11"/>
    </row>
    <row r="1153">
      <c r="A1153" s="11"/>
      <c r="B1153" s="11"/>
      <c r="C1153" s="11"/>
    </row>
    <row r="1154">
      <c r="A1154" s="11"/>
      <c r="B1154" s="11"/>
      <c r="C1154" s="11"/>
    </row>
    <row r="1155">
      <c r="A1155" s="11"/>
      <c r="B1155" s="11"/>
      <c r="C1155" s="11"/>
    </row>
    <row r="1156">
      <c r="A1156" s="11"/>
      <c r="B1156" s="11"/>
      <c r="C1156" s="11"/>
    </row>
    <row r="1157">
      <c r="A1157" s="11"/>
      <c r="B1157" s="11"/>
      <c r="C1157" s="11"/>
    </row>
    <row r="1158">
      <c r="A1158" s="11"/>
      <c r="B1158" s="11"/>
      <c r="C1158" s="11"/>
    </row>
    <row r="1159">
      <c r="A1159" s="11"/>
      <c r="B1159" s="11"/>
      <c r="C1159" s="11"/>
    </row>
    <row r="1160">
      <c r="A1160" s="11"/>
      <c r="B1160" s="11"/>
      <c r="C1160" s="11"/>
    </row>
    <row r="1161">
      <c r="A1161" s="11"/>
      <c r="B1161" s="11"/>
      <c r="C1161" s="11"/>
    </row>
    <row r="1162">
      <c r="A1162" s="11"/>
      <c r="B1162" s="11"/>
      <c r="C1162" s="11"/>
    </row>
    <row r="1163">
      <c r="A1163" s="11"/>
      <c r="B1163" s="11"/>
      <c r="C1163" s="11"/>
    </row>
    <row r="1164">
      <c r="A1164" s="11"/>
      <c r="B1164" s="11"/>
      <c r="C1164" s="11"/>
    </row>
    <row r="1165">
      <c r="A1165" s="11"/>
      <c r="B1165" s="11"/>
      <c r="C1165" s="11"/>
    </row>
    <row r="1166">
      <c r="A1166" s="11"/>
      <c r="B1166" s="11"/>
      <c r="C1166" s="11"/>
    </row>
    <row r="1167">
      <c r="A1167" s="11"/>
      <c r="B1167" s="11"/>
      <c r="C1167" s="11"/>
    </row>
    <row r="1168">
      <c r="A1168" s="11"/>
      <c r="B1168" s="11"/>
      <c r="C1168" s="11"/>
    </row>
    <row r="1169">
      <c r="A1169" s="11"/>
      <c r="B1169" s="11"/>
      <c r="C1169" s="11"/>
    </row>
    <row r="1170">
      <c r="A1170" s="11"/>
      <c r="B1170" s="11"/>
      <c r="C1170" s="11"/>
    </row>
    <row r="1171">
      <c r="A1171" s="11"/>
      <c r="B1171" s="11"/>
      <c r="C1171" s="11"/>
    </row>
    <row r="1172">
      <c r="A1172" s="11"/>
      <c r="B1172" s="11"/>
      <c r="C1172" s="11"/>
    </row>
    <row r="1173">
      <c r="A1173" s="11"/>
      <c r="B1173" s="11"/>
      <c r="C1173" s="11"/>
    </row>
    <row r="1174">
      <c r="A1174" s="11"/>
      <c r="B1174" s="11"/>
      <c r="C1174" s="11"/>
    </row>
    <row r="1175">
      <c r="A1175" s="11"/>
      <c r="B1175" s="11"/>
      <c r="C1175" s="11"/>
    </row>
    <row r="1176">
      <c r="A1176" s="11"/>
      <c r="B1176" s="11"/>
      <c r="C1176" s="11"/>
    </row>
    <row r="1177">
      <c r="A1177" s="11"/>
      <c r="B1177" s="11"/>
      <c r="C1177" s="11"/>
    </row>
    <row r="1178">
      <c r="A1178" s="11"/>
      <c r="B1178" s="11"/>
      <c r="C1178" s="11"/>
    </row>
    <row r="1179">
      <c r="A1179" s="11"/>
      <c r="B1179" s="11"/>
      <c r="C1179" s="11"/>
    </row>
    <row r="1180">
      <c r="A1180" s="11"/>
      <c r="B1180" s="11"/>
      <c r="C1180" s="11"/>
    </row>
    <row r="1181">
      <c r="A1181" s="11"/>
      <c r="B1181" s="11"/>
      <c r="C1181" s="11"/>
    </row>
    <row r="1182">
      <c r="A1182" s="11"/>
      <c r="B1182" s="11"/>
      <c r="C1182" s="11"/>
    </row>
    <row r="1183">
      <c r="A1183" s="11"/>
      <c r="B1183" s="11"/>
      <c r="C1183" s="11"/>
    </row>
    <row r="1184">
      <c r="A1184" s="11"/>
      <c r="B1184" s="11"/>
      <c r="C1184" s="11"/>
    </row>
    <row r="1185">
      <c r="A1185" s="11"/>
      <c r="B1185" s="11"/>
      <c r="C1185" s="11"/>
    </row>
    <row r="1186">
      <c r="A1186" s="11"/>
      <c r="B1186" s="11"/>
      <c r="C1186" s="11"/>
    </row>
    <row r="1187">
      <c r="A1187" s="11"/>
      <c r="B1187" s="11"/>
      <c r="C1187" s="11"/>
    </row>
    <row r="1188">
      <c r="A1188" s="11"/>
      <c r="B1188" s="11"/>
      <c r="C1188" s="11"/>
    </row>
    <row r="1189">
      <c r="A1189" s="11"/>
      <c r="B1189" s="11"/>
      <c r="C1189" s="11"/>
    </row>
    <row r="1190">
      <c r="A1190" s="11"/>
      <c r="B1190" s="11"/>
      <c r="C1190" s="11"/>
    </row>
    <row r="1191">
      <c r="A1191" s="11"/>
      <c r="B1191" s="11"/>
      <c r="C1191" s="11"/>
    </row>
    <row r="1192">
      <c r="A1192" s="11"/>
      <c r="B1192" s="11"/>
      <c r="C1192" s="11"/>
    </row>
    <row r="1193">
      <c r="A1193" s="11"/>
      <c r="B1193" s="11"/>
      <c r="C1193" s="11"/>
    </row>
    <row r="1194">
      <c r="A1194" s="11"/>
      <c r="B1194" s="11"/>
      <c r="C1194" s="11"/>
    </row>
    <row r="1195">
      <c r="A1195" s="11"/>
      <c r="B1195" s="11"/>
      <c r="C1195" s="11"/>
    </row>
    <row r="1196">
      <c r="A1196" s="11"/>
      <c r="B1196" s="11"/>
      <c r="C1196" s="11"/>
    </row>
    <row r="1197">
      <c r="A1197" s="11"/>
      <c r="B1197" s="11"/>
      <c r="C1197" s="11"/>
    </row>
    <row r="1198">
      <c r="A1198" s="11"/>
      <c r="B1198" s="11"/>
      <c r="C1198" s="11"/>
    </row>
    <row r="1199">
      <c r="A1199" s="11"/>
      <c r="B1199" s="11"/>
      <c r="C1199" s="11"/>
    </row>
    <row r="1200">
      <c r="A1200" s="11"/>
      <c r="B1200" s="11"/>
      <c r="C1200" s="11"/>
    </row>
    <row r="1201">
      <c r="A1201" s="11"/>
      <c r="B1201" s="11"/>
      <c r="C1201" s="11"/>
    </row>
    <row r="1202">
      <c r="A1202" s="11"/>
      <c r="B1202" s="11"/>
      <c r="C1202" s="11"/>
    </row>
    <row r="1203">
      <c r="A1203" s="11"/>
      <c r="B1203" s="11"/>
      <c r="C1203" s="11"/>
    </row>
    <row r="1204">
      <c r="A1204" s="11"/>
      <c r="B1204" s="11"/>
      <c r="C1204" s="11"/>
    </row>
    <row r="1205">
      <c r="A1205" s="11"/>
      <c r="B1205" s="11"/>
      <c r="C1205" s="11"/>
    </row>
    <row r="1206">
      <c r="A1206" s="11"/>
      <c r="B1206" s="11"/>
      <c r="C1206" s="11"/>
    </row>
    <row r="1207">
      <c r="A1207" s="11"/>
      <c r="B1207" s="11"/>
      <c r="C1207" s="11"/>
    </row>
    <row r="1208">
      <c r="A1208" s="11"/>
      <c r="B1208" s="11"/>
      <c r="C1208" s="11"/>
    </row>
    <row r="1209">
      <c r="A1209" s="11"/>
      <c r="B1209" s="11"/>
      <c r="C1209" s="11"/>
    </row>
    <row r="1210">
      <c r="A1210" s="11"/>
      <c r="B1210" s="11"/>
      <c r="C1210" s="11"/>
    </row>
    <row r="1211">
      <c r="A1211" s="11"/>
      <c r="B1211" s="11"/>
      <c r="C1211" s="11"/>
    </row>
    <row r="1212">
      <c r="A1212" s="11"/>
      <c r="B1212" s="11"/>
      <c r="C1212" s="11"/>
    </row>
    <row r="1213">
      <c r="A1213" s="11"/>
      <c r="B1213" s="11"/>
      <c r="C1213" s="11"/>
    </row>
    <row r="1214">
      <c r="A1214" s="11"/>
      <c r="B1214" s="11"/>
      <c r="C1214" s="11"/>
    </row>
    <row r="1215">
      <c r="A1215" s="11"/>
      <c r="B1215" s="11"/>
      <c r="C1215" s="11"/>
    </row>
    <row r="1216">
      <c r="A1216" s="11"/>
      <c r="B1216" s="11"/>
      <c r="C1216" s="11"/>
    </row>
    <row r="1217">
      <c r="A1217" s="11"/>
      <c r="B1217" s="11"/>
      <c r="C1217" s="11"/>
    </row>
    <row r="1218">
      <c r="A1218" s="11"/>
      <c r="B1218" s="11"/>
      <c r="C1218" s="11"/>
    </row>
    <row r="1219">
      <c r="A1219" s="11"/>
      <c r="B1219" s="11"/>
      <c r="C1219" s="11"/>
    </row>
    <row r="1220">
      <c r="A1220" s="11"/>
      <c r="B1220" s="11"/>
      <c r="C1220" s="11"/>
    </row>
    <row r="1221">
      <c r="A1221" s="11"/>
      <c r="B1221" s="11"/>
      <c r="C1221" s="11"/>
    </row>
    <row r="1222">
      <c r="A1222" s="11"/>
      <c r="B1222" s="11"/>
      <c r="C1222" s="11"/>
    </row>
    <row r="1223">
      <c r="A1223" s="11"/>
      <c r="B1223" s="11"/>
      <c r="C1223" s="11"/>
    </row>
    <row r="1224">
      <c r="A1224" s="11"/>
      <c r="B1224" s="11"/>
      <c r="C1224" s="11"/>
    </row>
    <row r="1225">
      <c r="A1225" s="11"/>
      <c r="B1225" s="11"/>
      <c r="C1225" s="11"/>
    </row>
    <row r="1226">
      <c r="A1226" s="11"/>
      <c r="B1226" s="11"/>
      <c r="C1226" s="11"/>
    </row>
    <row r="1227">
      <c r="A1227" s="11"/>
      <c r="B1227" s="11"/>
      <c r="C1227" s="11"/>
    </row>
    <row r="1228">
      <c r="A1228" s="11"/>
      <c r="B1228" s="11"/>
      <c r="C1228" s="11"/>
    </row>
    <row r="1229">
      <c r="A1229" s="11"/>
      <c r="B1229" s="11"/>
      <c r="C1229" s="11"/>
    </row>
    <row r="1230">
      <c r="A1230" s="11"/>
      <c r="B1230" s="11"/>
      <c r="C1230" s="11"/>
    </row>
    <row r="1231">
      <c r="A1231" s="11"/>
      <c r="B1231" s="11"/>
      <c r="C1231" s="11"/>
    </row>
    <row r="1232">
      <c r="A1232" s="11"/>
      <c r="B1232" s="11"/>
      <c r="C1232" s="11"/>
    </row>
    <row r="1233">
      <c r="A1233" s="11"/>
      <c r="B1233" s="11"/>
      <c r="C1233" s="11"/>
    </row>
    <row r="1234">
      <c r="A1234" s="11"/>
      <c r="B1234" s="11"/>
      <c r="C1234" s="11"/>
    </row>
    <row r="1235">
      <c r="A1235" s="11"/>
      <c r="B1235" s="11"/>
      <c r="C1235" s="11"/>
    </row>
    <row r="1236">
      <c r="A1236" s="11"/>
      <c r="B1236" s="11"/>
      <c r="C1236" s="11"/>
    </row>
    <row r="1237">
      <c r="A1237" s="11"/>
      <c r="B1237" s="11"/>
      <c r="C1237" s="11"/>
    </row>
    <row r="1238">
      <c r="A1238" s="11"/>
      <c r="B1238" s="11"/>
      <c r="C1238" s="11"/>
    </row>
    <row r="1239">
      <c r="A1239" s="11"/>
      <c r="B1239" s="11"/>
      <c r="C1239" s="11"/>
    </row>
    <row r="1240">
      <c r="A1240" s="11"/>
      <c r="B1240" s="11"/>
      <c r="C1240" s="11"/>
    </row>
    <row r="1241">
      <c r="A1241" s="11"/>
      <c r="B1241" s="11"/>
      <c r="C1241" s="11"/>
    </row>
    <row r="1242">
      <c r="A1242" s="11"/>
      <c r="B1242" s="11"/>
      <c r="C1242" s="11"/>
    </row>
    <row r="1243">
      <c r="A1243" s="11"/>
      <c r="B1243" s="11"/>
      <c r="C1243" s="11"/>
    </row>
    <row r="1244">
      <c r="A1244" s="11"/>
      <c r="B1244" s="11"/>
      <c r="C1244" s="11"/>
    </row>
    <row r="1245">
      <c r="A1245" s="11"/>
      <c r="B1245" s="11"/>
      <c r="C1245" s="11"/>
    </row>
    <row r="1246">
      <c r="A1246" s="11"/>
      <c r="B1246" s="11"/>
      <c r="C1246" s="11"/>
    </row>
    <row r="1247">
      <c r="A1247" s="11"/>
      <c r="B1247" s="11"/>
      <c r="C1247" s="11"/>
    </row>
    <row r="1248">
      <c r="A1248" s="11"/>
      <c r="B1248" s="11"/>
      <c r="C1248" s="11"/>
    </row>
    <row r="1249">
      <c r="A1249" s="11"/>
      <c r="B1249" s="11"/>
      <c r="C1249" s="11"/>
    </row>
    <row r="1250">
      <c r="A1250" s="11"/>
      <c r="B1250" s="11"/>
      <c r="C1250" s="11"/>
    </row>
    <row r="1251">
      <c r="A1251" s="11"/>
      <c r="B1251" s="11"/>
      <c r="C1251" s="11"/>
    </row>
    <row r="1252">
      <c r="A1252" s="11"/>
      <c r="B1252" s="11"/>
      <c r="C1252" s="11"/>
    </row>
    <row r="1253">
      <c r="A1253" s="11"/>
      <c r="B1253" s="11"/>
      <c r="C1253" s="11"/>
    </row>
    <row r="1254">
      <c r="A1254" s="11"/>
      <c r="B1254" s="11"/>
      <c r="C1254" s="11"/>
    </row>
    <row r="1255">
      <c r="A1255" s="11"/>
      <c r="B1255" s="11"/>
      <c r="C1255" s="11"/>
    </row>
    <row r="1256">
      <c r="A1256" s="11"/>
      <c r="B1256" s="11"/>
      <c r="C1256" s="11"/>
    </row>
    <row r="1257">
      <c r="A1257" s="11"/>
      <c r="B1257" s="11"/>
      <c r="C1257" s="11"/>
    </row>
    <row r="1258">
      <c r="A1258" s="11"/>
      <c r="B1258" s="11"/>
      <c r="C1258" s="11"/>
    </row>
    <row r="1259">
      <c r="A1259" s="11"/>
      <c r="B1259" s="11"/>
      <c r="C1259" s="11"/>
    </row>
    <row r="1260">
      <c r="A1260" s="11"/>
      <c r="B1260" s="11"/>
      <c r="C1260" s="11"/>
    </row>
    <row r="1261">
      <c r="A1261" s="11"/>
      <c r="B1261" s="11"/>
      <c r="C1261" s="11"/>
    </row>
    <row r="1262">
      <c r="A1262" s="11"/>
      <c r="B1262" s="11"/>
      <c r="C1262" s="11"/>
    </row>
    <row r="1263">
      <c r="A1263" s="11"/>
      <c r="B1263" s="11"/>
      <c r="C1263" s="11"/>
    </row>
    <row r="1264">
      <c r="A1264" s="11"/>
      <c r="B1264" s="11"/>
      <c r="C1264" s="11"/>
    </row>
    <row r="1265">
      <c r="A1265" s="11"/>
      <c r="B1265" s="11"/>
      <c r="C1265" s="11"/>
    </row>
    <row r="1266">
      <c r="A1266" s="11"/>
      <c r="B1266" s="11"/>
      <c r="C1266" s="11"/>
    </row>
    <row r="1267">
      <c r="A1267" s="11"/>
      <c r="B1267" s="11"/>
      <c r="C1267" s="11"/>
    </row>
    <row r="1268">
      <c r="A1268" s="11"/>
      <c r="B1268" s="11"/>
      <c r="C1268" s="11"/>
    </row>
    <row r="1269">
      <c r="A1269" s="11"/>
      <c r="B1269" s="11"/>
      <c r="C1269" s="11"/>
    </row>
    <row r="1270">
      <c r="A1270" s="11"/>
      <c r="B1270" s="11"/>
      <c r="C1270" s="11"/>
    </row>
    <row r="1271">
      <c r="A1271" s="11"/>
      <c r="B1271" s="11"/>
      <c r="C1271" s="11"/>
    </row>
    <row r="1272">
      <c r="A1272" s="11"/>
      <c r="B1272" s="11"/>
      <c r="C1272" s="11"/>
    </row>
    <row r="1273">
      <c r="A1273" s="11"/>
      <c r="B1273" s="11"/>
      <c r="C1273" s="11"/>
    </row>
    <row r="1274">
      <c r="A1274" s="11"/>
      <c r="B1274" s="11"/>
      <c r="C1274" s="11"/>
    </row>
    <row r="1275">
      <c r="A1275" s="11"/>
      <c r="B1275" s="11"/>
      <c r="C1275" s="11"/>
    </row>
    <row r="1276">
      <c r="A1276" s="11"/>
      <c r="B1276" s="11"/>
      <c r="C1276" s="11"/>
    </row>
    <row r="1277">
      <c r="A1277" s="11"/>
      <c r="B1277" s="11"/>
      <c r="C1277" s="11"/>
    </row>
    <row r="1278">
      <c r="A1278" s="11"/>
      <c r="B1278" s="11"/>
      <c r="C1278" s="11"/>
    </row>
    <row r="1279">
      <c r="A1279" s="11"/>
      <c r="B1279" s="11"/>
      <c r="C1279" s="11"/>
    </row>
    <row r="1280">
      <c r="A1280" s="11"/>
      <c r="B1280" s="11"/>
      <c r="C1280" s="11"/>
    </row>
    <row r="1281">
      <c r="A1281" s="11"/>
      <c r="B1281" s="11"/>
      <c r="C1281" s="11"/>
    </row>
    <row r="1282">
      <c r="A1282" s="11"/>
      <c r="B1282" s="11"/>
      <c r="C1282" s="11"/>
    </row>
    <row r="1283">
      <c r="A1283" s="11"/>
      <c r="B1283" s="11"/>
      <c r="C1283" s="11"/>
    </row>
    <row r="1284">
      <c r="A1284" s="11"/>
      <c r="B1284" s="11"/>
      <c r="C1284" s="11"/>
    </row>
    <row r="1285">
      <c r="A1285" s="11"/>
      <c r="B1285" s="11"/>
      <c r="C1285" s="11"/>
    </row>
    <row r="1286">
      <c r="A1286" s="11"/>
      <c r="B1286" s="11"/>
      <c r="C1286" s="11"/>
    </row>
    <row r="1287">
      <c r="A1287" s="11"/>
      <c r="B1287" s="11"/>
      <c r="C1287" s="11"/>
    </row>
    <row r="1288">
      <c r="A1288" s="11"/>
      <c r="B1288" s="11"/>
      <c r="C1288" s="11"/>
    </row>
    <row r="1289">
      <c r="A1289" s="11"/>
      <c r="B1289" s="11"/>
      <c r="C1289" s="11"/>
    </row>
    <row r="1290">
      <c r="A1290" s="11"/>
      <c r="B1290" s="11"/>
      <c r="C1290" s="11"/>
    </row>
    <row r="1291">
      <c r="A1291" s="11"/>
      <c r="B1291" s="11"/>
      <c r="C1291" s="11"/>
    </row>
    <row r="1292">
      <c r="A1292" s="11"/>
      <c r="B1292" s="11"/>
      <c r="C1292" s="11"/>
    </row>
    <row r="1293">
      <c r="A1293" s="11"/>
      <c r="B1293" s="11"/>
      <c r="C1293" s="11"/>
    </row>
    <row r="1294">
      <c r="A1294" s="11"/>
      <c r="B1294" s="11"/>
      <c r="C1294" s="11"/>
    </row>
    <row r="1295">
      <c r="A1295" s="11"/>
      <c r="B1295" s="11"/>
      <c r="C1295" s="11"/>
    </row>
    <row r="1296">
      <c r="A1296" s="11"/>
      <c r="B1296" s="11"/>
      <c r="C1296" s="11"/>
    </row>
    <row r="1297">
      <c r="A1297" s="11"/>
      <c r="B1297" s="11"/>
      <c r="C1297" s="11"/>
    </row>
    <row r="1298">
      <c r="A1298" s="11"/>
      <c r="B1298" s="11"/>
      <c r="C1298" s="11"/>
    </row>
    <row r="1299">
      <c r="A1299" s="11"/>
      <c r="B1299" s="11"/>
      <c r="C1299" s="11"/>
    </row>
    <row r="1300">
      <c r="A1300" s="11"/>
      <c r="B1300" s="11"/>
      <c r="C1300" s="11"/>
    </row>
    <row r="1301">
      <c r="A1301" s="11"/>
      <c r="B1301" s="11"/>
      <c r="C1301" s="11"/>
    </row>
    <row r="1302">
      <c r="A1302" s="11"/>
      <c r="B1302" s="11"/>
      <c r="C1302" s="11"/>
    </row>
    <row r="1303">
      <c r="A1303" s="11"/>
      <c r="B1303" s="11"/>
      <c r="C1303" s="11"/>
    </row>
    <row r="1304">
      <c r="A1304" s="11"/>
      <c r="B1304" s="11"/>
      <c r="C1304" s="11"/>
    </row>
    <row r="1305">
      <c r="A1305" s="11"/>
      <c r="B1305" s="11"/>
      <c r="C1305" s="11"/>
    </row>
    <row r="1306">
      <c r="A1306" s="11"/>
      <c r="B1306" s="11"/>
      <c r="C1306" s="11"/>
    </row>
    <row r="1307">
      <c r="A1307" s="11"/>
      <c r="B1307" s="11"/>
      <c r="C1307" s="11"/>
    </row>
    <row r="1308">
      <c r="A1308" s="11"/>
      <c r="B1308" s="11"/>
      <c r="C1308" s="11"/>
    </row>
    <row r="1309">
      <c r="A1309" s="11"/>
      <c r="B1309" s="11"/>
      <c r="C1309" s="11"/>
    </row>
    <row r="1310">
      <c r="A1310" s="11"/>
      <c r="B1310" s="11"/>
      <c r="C1310" s="11"/>
    </row>
    <row r="1311">
      <c r="A1311" s="11"/>
      <c r="B1311" s="11"/>
      <c r="C1311" s="11"/>
    </row>
    <row r="1312">
      <c r="A1312" s="11"/>
      <c r="B1312" s="11"/>
      <c r="C1312" s="11"/>
    </row>
    <row r="1313">
      <c r="A1313" s="11"/>
      <c r="B1313" s="11"/>
      <c r="C1313" s="11"/>
    </row>
    <row r="1314">
      <c r="A1314" s="11"/>
      <c r="B1314" s="11"/>
      <c r="C1314" s="11"/>
    </row>
    <row r="1315">
      <c r="A1315" s="11"/>
      <c r="B1315" s="11"/>
      <c r="C1315" s="11"/>
    </row>
    <row r="1316">
      <c r="A1316" s="11"/>
      <c r="B1316" s="11"/>
      <c r="C1316" s="11"/>
    </row>
    <row r="1317">
      <c r="A1317" s="11"/>
      <c r="B1317" s="11"/>
      <c r="C1317" s="11"/>
    </row>
    <row r="1318">
      <c r="A1318" s="11"/>
      <c r="B1318" s="11"/>
      <c r="C1318" s="11"/>
    </row>
    <row r="1319">
      <c r="A1319" s="11"/>
      <c r="B1319" s="11"/>
      <c r="C1319" s="11"/>
    </row>
    <row r="1320">
      <c r="A1320" s="11"/>
      <c r="B1320" s="11"/>
      <c r="C1320" s="11"/>
    </row>
    <row r="1321">
      <c r="A1321" s="11"/>
      <c r="B1321" s="11"/>
      <c r="C1321" s="11"/>
    </row>
    <row r="1322">
      <c r="A1322" s="11"/>
      <c r="B1322" s="11"/>
      <c r="C1322" s="11"/>
    </row>
    <row r="1323">
      <c r="A1323" s="11"/>
      <c r="B1323" s="11"/>
      <c r="C1323" s="11"/>
    </row>
    <row r="1324">
      <c r="A1324" s="11"/>
      <c r="B1324" s="11"/>
      <c r="C1324" s="11"/>
    </row>
    <row r="1325">
      <c r="A1325" s="11"/>
      <c r="B1325" s="11"/>
      <c r="C1325" s="11"/>
    </row>
    <row r="1326">
      <c r="A1326" s="11"/>
      <c r="B1326" s="11"/>
      <c r="C1326" s="11"/>
    </row>
    <row r="1327">
      <c r="A1327" s="11"/>
      <c r="B1327" s="11"/>
      <c r="C1327" s="11"/>
    </row>
    <row r="1328">
      <c r="A1328" s="11"/>
      <c r="B1328" s="11"/>
      <c r="C1328" s="11"/>
    </row>
    <row r="1329">
      <c r="A1329" s="11"/>
      <c r="B1329" s="11"/>
      <c r="C1329" s="11"/>
    </row>
    <row r="1330">
      <c r="A1330" s="11"/>
      <c r="B1330" s="11"/>
      <c r="C1330" s="11"/>
    </row>
    <row r="1331">
      <c r="A1331" s="11"/>
      <c r="B1331" s="11"/>
      <c r="C1331" s="11"/>
    </row>
    <row r="1332">
      <c r="A1332" s="11"/>
      <c r="B1332" s="11"/>
      <c r="C1332" s="11"/>
    </row>
    <row r="1333">
      <c r="A1333" s="11"/>
      <c r="B1333" s="11"/>
      <c r="C1333" s="11"/>
    </row>
    <row r="1334">
      <c r="A1334" s="11"/>
      <c r="B1334" s="11"/>
      <c r="C1334" s="11"/>
    </row>
    <row r="1335">
      <c r="A1335" s="11"/>
      <c r="B1335" s="11"/>
      <c r="C1335" s="11"/>
    </row>
    <row r="1336">
      <c r="A1336" s="11"/>
      <c r="B1336" s="11"/>
      <c r="C1336" s="11"/>
    </row>
    <row r="1337">
      <c r="A1337" s="11"/>
      <c r="B1337" s="11"/>
      <c r="C1337" s="11"/>
    </row>
    <row r="1338">
      <c r="A1338" s="11"/>
      <c r="B1338" s="11"/>
      <c r="C1338" s="11"/>
    </row>
    <row r="1874">
      <c r="A1874" s="6"/>
    </row>
    <row r="1875">
      <c r="A1875" s="6"/>
      <c r="B1875" s="21"/>
      <c r="C1875" s="6"/>
    </row>
    <row r="1876">
      <c r="A1876" s="6"/>
      <c r="B1876" s="21"/>
      <c r="C1876" s="6"/>
    </row>
    <row r="1877">
      <c r="A1877" s="6"/>
      <c r="B1877" s="21"/>
      <c r="C1877" s="6"/>
    </row>
    <row r="1878">
      <c r="A1878" s="6"/>
      <c r="B1878" s="21"/>
      <c r="C1878" s="6"/>
    </row>
    <row r="1879">
      <c r="A1879" s="6"/>
      <c r="B1879" s="21"/>
      <c r="C1879" s="6"/>
    </row>
    <row r="1880">
      <c r="A1880" s="6"/>
      <c r="B1880" s="21"/>
      <c r="C1880" s="6"/>
    </row>
    <row r="1881">
      <c r="A1881" s="6"/>
      <c r="B1881" s="21"/>
      <c r="C1881" s="6"/>
    </row>
    <row r="1882">
      <c r="A1882" s="6"/>
      <c r="B1882" s="21"/>
      <c r="C1882" s="6"/>
    </row>
    <row r="1883">
      <c r="A1883" s="6"/>
      <c r="B1883" s="21"/>
      <c r="C1883" s="6"/>
    </row>
    <row r="1884">
      <c r="A1884" s="6"/>
      <c r="B1884" s="21"/>
      <c r="C1884" s="6"/>
    </row>
    <row r="1885">
      <c r="A1885" s="6"/>
      <c r="B1885" s="21"/>
      <c r="C1885" s="6"/>
    </row>
    <row r="1886">
      <c r="A1886" s="6"/>
      <c r="B1886" s="21"/>
      <c r="C1886" s="6"/>
    </row>
    <row r="1887">
      <c r="A1887" s="6"/>
      <c r="B1887" s="21"/>
      <c r="C1887" s="6"/>
    </row>
    <row r="1888">
      <c r="A1888" s="6"/>
      <c r="B1888" s="21"/>
      <c r="C1888" s="6"/>
    </row>
    <row r="1889">
      <c r="A1889" s="6"/>
      <c r="B1889" s="21"/>
      <c r="C1889" s="6"/>
    </row>
    <row r="1890">
      <c r="A1890" s="6"/>
      <c r="B1890" s="21"/>
      <c r="C1890" s="6"/>
    </row>
    <row r="1891">
      <c r="A1891" s="6"/>
      <c r="B1891" s="21"/>
      <c r="C1891" s="6"/>
    </row>
    <row r="1892">
      <c r="A1892" s="6"/>
      <c r="B1892" s="21"/>
      <c r="C1892" s="6"/>
    </row>
    <row r="1893">
      <c r="A1893" s="6"/>
      <c r="B1893" s="21"/>
      <c r="C1893" s="6"/>
    </row>
    <row r="1894">
      <c r="A1894" s="6"/>
      <c r="B1894" s="21"/>
      <c r="C1894" s="6"/>
    </row>
    <row r="1895">
      <c r="A1895" s="6"/>
      <c r="B1895" s="21"/>
      <c r="C1895" s="6"/>
    </row>
    <row r="1896">
      <c r="A1896" s="6"/>
      <c r="B1896" s="21"/>
      <c r="C1896" s="6"/>
    </row>
    <row r="1897">
      <c r="A1897" s="6"/>
      <c r="B1897" s="21"/>
      <c r="C1897" s="6"/>
    </row>
    <row r="1898">
      <c r="A1898" s="6"/>
      <c r="B1898" s="21"/>
      <c r="C1898" s="6"/>
    </row>
    <row r="1899">
      <c r="A1899" s="6"/>
      <c r="B1899" s="21"/>
      <c r="C1899" s="6"/>
    </row>
    <row r="1900">
      <c r="A1900" s="6"/>
      <c r="B1900" s="21"/>
      <c r="C1900" s="6"/>
    </row>
    <row r="1901">
      <c r="A1901" s="6"/>
      <c r="B1901" s="21"/>
      <c r="C1901" s="6"/>
    </row>
    <row r="1902">
      <c r="A1902" s="6"/>
      <c r="B1902" s="21"/>
      <c r="C1902" s="6"/>
    </row>
    <row r="1903">
      <c r="A1903" s="6"/>
      <c r="B1903" s="21"/>
      <c r="C1903" s="6"/>
    </row>
    <row r="1904">
      <c r="A1904" s="6"/>
      <c r="B1904" s="21"/>
      <c r="C1904" s="6"/>
    </row>
    <row r="1905">
      <c r="A1905" s="6"/>
      <c r="B1905" s="21"/>
      <c r="C1905" s="6"/>
    </row>
    <row r="1906">
      <c r="A1906" s="6"/>
      <c r="B1906" s="21"/>
      <c r="C1906" s="6"/>
    </row>
    <row r="1907">
      <c r="A1907" s="6"/>
      <c r="B1907" s="21"/>
      <c r="C1907" s="6"/>
    </row>
    <row r="1908">
      <c r="A1908" s="6"/>
      <c r="B1908" s="21"/>
      <c r="C1908" s="6"/>
    </row>
    <row r="1909">
      <c r="A1909" s="6"/>
      <c r="B1909" s="21"/>
      <c r="C1909" s="6"/>
    </row>
    <row r="1910">
      <c r="A1910" s="6"/>
      <c r="B1910" s="21"/>
      <c r="C1910" s="6"/>
    </row>
    <row r="1911">
      <c r="A1911" s="6"/>
      <c r="B1911" s="21"/>
      <c r="C1911" s="6"/>
    </row>
    <row r="1912">
      <c r="A1912" s="6"/>
      <c r="B1912" s="21"/>
      <c r="C1912" s="6"/>
    </row>
    <row r="1913">
      <c r="A1913" s="6"/>
      <c r="B1913" s="21"/>
      <c r="C1913" s="6"/>
    </row>
    <row r="1914">
      <c r="A1914" s="6"/>
      <c r="B1914" s="21"/>
      <c r="C1914" s="6"/>
    </row>
    <row r="1915">
      <c r="A1915" s="6"/>
      <c r="B1915" s="21"/>
      <c r="C1915" s="6"/>
    </row>
    <row r="1916">
      <c r="A1916" s="6"/>
      <c r="B1916" s="21"/>
      <c r="C1916" s="6"/>
    </row>
    <row r="1917">
      <c r="A1917" s="6"/>
      <c r="B1917" s="21"/>
      <c r="C1917" s="6"/>
    </row>
    <row r="1918">
      <c r="A1918" s="6"/>
      <c r="B1918" s="21"/>
      <c r="C1918" s="6"/>
    </row>
    <row r="1919">
      <c r="A1919" s="6"/>
      <c r="B1919" s="21"/>
      <c r="C1919" s="6"/>
    </row>
    <row r="1920">
      <c r="A1920" s="6"/>
      <c r="B1920" s="21"/>
      <c r="C1920" s="6"/>
    </row>
    <row r="1921">
      <c r="A1921" s="6"/>
      <c r="B1921" s="21"/>
      <c r="C1921" s="6"/>
    </row>
    <row r="1922">
      <c r="A1922" s="6"/>
      <c r="B1922" s="21"/>
      <c r="C1922" s="6"/>
    </row>
    <row r="1923">
      <c r="A1923" s="6"/>
      <c r="B1923" s="21"/>
      <c r="C1923" s="6"/>
    </row>
    <row r="1924">
      <c r="A1924" s="6"/>
      <c r="B1924" s="21"/>
      <c r="C1924" s="6"/>
    </row>
    <row r="1925">
      <c r="A1925" s="6"/>
      <c r="B1925" s="21"/>
      <c r="C1925" s="6"/>
    </row>
    <row r="1926">
      <c r="A1926" s="6"/>
      <c r="B1926" s="21"/>
      <c r="C1926" s="6"/>
    </row>
    <row r="1927">
      <c r="A1927" s="6"/>
      <c r="B1927" s="21"/>
      <c r="C1927" s="6"/>
    </row>
    <row r="1928">
      <c r="A1928" s="6"/>
      <c r="B1928" s="21"/>
      <c r="C1928" s="6"/>
    </row>
    <row r="1929">
      <c r="A1929" s="6"/>
      <c r="B1929" s="21"/>
      <c r="C1929" s="6"/>
    </row>
    <row r="1930">
      <c r="A1930" s="6"/>
      <c r="B1930" s="21"/>
      <c r="C1930" s="6"/>
    </row>
    <row r="1931">
      <c r="A1931" s="6"/>
      <c r="B1931" s="21"/>
      <c r="C1931" s="6"/>
    </row>
    <row r="1932">
      <c r="A1932" s="6"/>
      <c r="B1932" s="21"/>
      <c r="C1932" s="6"/>
    </row>
    <row r="1933">
      <c r="A1933" s="6"/>
      <c r="B1933" s="21"/>
      <c r="C1933" s="6"/>
    </row>
    <row r="1934">
      <c r="A1934" s="6"/>
      <c r="B1934" s="21"/>
      <c r="C1934" s="6"/>
    </row>
    <row r="1935">
      <c r="A1935" s="6"/>
      <c r="B1935" s="21"/>
      <c r="C1935" s="6"/>
    </row>
    <row r="1936">
      <c r="A1936" s="6"/>
      <c r="B1936" s="21"/>
      <c r="C1936" s="6"/>
    </row>
    <row r="1937">
      <c r="A1937" s="6"/>
      <c r="B1937" s="21"/>
      <c r="C1937" s="6"/>
    </row>
    <row r="1938">
      <c r="A1938" s="6"/>
      <c r="B1938" s="21"/>
      <c r="C1938" s="6"/>
    </row>
    <row r="1939">
      <c r="A1939" s="6"/>
      <c r="B1939" s="21"/>
      <c r="C1939" s="6"/>
    </row>
    <row r="1940">
      <c r="A1940" s="6"/>
      <c r="B1940" s="21"/>
      <c r="C1940" s="6"/>
    </row>
    <row r="1941">
      <c r="A1941" s="6"/>
      <c r="B1941" s="21"/>
      <c r="C1941" s="6"/>
    </row>
    <row r="1942">
      <c r="A1942" s="6"/>
      <c r="B1942" s="21"/>
      <c r="C1942" s="6"/>
    </row>
    <row r="1943">
      <c r="A1943" s="6"/>
      <c r="B1943" s="21"/>
      <c r="C1943" s="6"/>
    </row>
    <row r="1944">
      <c r="A1944" s="6"/>
      <c r="B1944" s="21"/>
      <c r="C1944" s="6"/>
    </row>
    <row r="1945">
      <c r="A1945" s="6"/>
      <c r="B1945" s="21"/>
      <c r="C1945" s="6"/>
    </row>
    <row r="1946">
      <c r="A1946" s="6"/>
      <c r="B1946" s="21"/>
      <c r="C1946" s="6"/>
    </row>
    <row r="1947">
      <c r="A1947" s="6"/>
      <c r="B1947" s="21"/>
      <c r="C1947" s="6"/>
    </row>
    <row r="1948">
      <c r="A1948" s="6"/>
      <c r="B1948" s="21"/>
      <c r="C1948" s="6"/>
    </row>
    <row r="1949">
      <c r="A1949" s="6"/>
      <c r="B1949" s="21"/>
      <c r="C1949" s="6"/>
    </row>
    <row r="1950">
      <c r="A1950" s="6"/>
      <c r="B1950" s="21"/>
      <c r="C1950" s="6"/>
    </row>
    <row r="1951">
      <c r="A1951" s="6"/>
      <c r="B1951" s="21"/>
      <c r="C1951" s="6"/>
    </row>
    <row r="1952">
      <c r="A1952" s="6"/>
      <c r="B1952" s="21"/>
      <c r="C1952" s="6"/>
    </row>
    <row r="1953">
      <c r="A1953" s="6"/>
      <c r="B1953" s="21"/>
      <c r="C1953" s="6"/>
    </row>
    <row r="1954">
      <c r="A1954" s="6"/>
      <c r="B1954" s="21"/>
      <c r="C1954" s="6"/>
    </row>
    <row r="1955">
      <c r="A1955" s="6"/>
      <c r="B1955" s="21"/>
      <c r="C1955" s="6"/>
    </row>
    <row r="1956">
      <c r="A1956" s="6"/>
      <c r="B1956" s="21"/>
      <c r="C1956" s="6"/>
    </row>
    <row r="1957">
      <c r="A1957" s="6"/>
      <c r="B1957" s="21"/>
      <c r="C1957" s="6"/>
    </row>
    <row r="1958">
      <c r="A1958" s="6"/>
      <c r="B1958" s="21"/>
      <c r="C1958" s="6"/>
    </row>
    <row r="1959">
      <c r="A1959" s="6"/>
      <c r="B1959" s="21"/>
      <c r="C1959" s="6"/>
    </row>
    <row r="1960">
      <c r="A1960" s="6"/>
      <c r="B1960" s="21"/>
      <c r="C1960" s="6"/>
    </row>
    <row r="1961">
      <c r="A1961" s="6"/>
      <c r="B1961" s="21"/>
      <c r="C1961" s="6"/>
    </row>
    <row r="1962">
      <c r="A1962" s="6"/>
      <c r="B1962" s="21"/>
      <c r="C1962" s="6"/>
    </row>
    <row r="1963">
      <c r="A1963" s="6"/>
      <c r="B1963" s="21"/>
      <c r="C1963" s="6"/>
    </row>
    <row r="1964">
      <c r="A1964" s="6"/>
      <c r="B1964" s="21"/>
      <c r="C1964" s="6"/>
    </row>
    <row r="1965">
      <c r="A1965" s="6"/>
      <c r="B1965" s="21"/>
      <c r="C1965" s="6"/>
    </row>
    <row r="1966">
      <c r="A1966" s="6"/>
      <c r="B1966" s="21"/>
      <c r="C1966" s="6"/>
    </row>
    <row r="1967">
      <c r="A1967" s="6"/>
      <c r="B1967" s="21"/>
      <c r="C1967" s="6"/>
    </row>
    <row r="1968">
      <c r="A1968" s="6"/>
      <c r="B1968" s="21"/>
      <c r="C1968" s="6"/>
    </row>
    <row r="1969">
      <c r="A1969" s="6"/>
      <c r="B1969" s="21"/>
      <c r="C1969" s="6"/>
    </row>
    <row r="1970">
      <c r="A1970" s="6"/>
      <c r="B1970" s="21"/>
      <c r="C1970" s="6"/>
    </row>
    <row r="1971">
      <c r="A1971" s="6"/>
      <c r="B1971" s="21"/>
      <c r="C1971" s="6"/>
    </row>
    <row r="1972">
      <c r="A1972" s="6"/>
      <c r="B1972" s="21"/>
      <c r="C1972" s="6"/>
    </row>
    <row r="1973">
      <c r="A1973" s="6"/>
      <c r="B1973" s="21"/>
      <c r="C1973" s="6"/>
    </row>
    <row r="1974">
      <c r="A1974" s="6"/>
      <c r="B1974" s="21"/>
      <c r="C1974" s="6"/>
    </row>
    <row r="1975">
      <c r="A1975" s="6"/>
      <c r="B1975" s="21"/>
      <c r="C1975" s="6"/>
    </row>
    <row r="1976">
      <c r="A1976" s="6"/>
      <c r="B1976" s="21"/>
      <c r="C1976" s="6"/>
    </row>
    <row r="1977">
      <c r="A1977" s="6"/>
      <c r="B1977" s="21"/>
      <c r="C1977" s="6"/>
    </row>
    <row r="1978">
      <c r="A1978" s="6"/>
      <c r="B1978" s="21"/>
      <c r="C1978" s="6"/>
    </row>
    <row r="1979">
      <c r="A1979" s="6"/>
      <c r="B1979" s="21"/>
      <c r="C1979" s="6"/>
    </row>
    <row r="1980">
      <c r="A1980" s="6"/>
      <c r="B1980" s="21"/>
      <c r="C1980" s="6"/>
    </row>
    <row r="1981">
      <c r="A1981" s="6"/>
      <c r="B1981" s="21"/>
      <c r="C1981" s="6"/>
    </row>
    <row r="1982">
      <c r="A1982" s="6"/>
      <c r="B1982" s="21"/>
      <c r="C1982" s="6"/>
    </row>
    <row r="1983">
      <c r="A1983" s="6"/>
      <c r="B1983" s="21"/>
      <c r="C1983" s="6"/>
    </row>
    <row r="1984">
      <c r="A1984" s="6"/>
      <c r="B1984" s="21"/>
      <c r="C1984" s="6"/>
    </row>
    <row r="1985">
      <c r="A1985" s="6"/>
      <c r="B1985" s="21"/>
      <c r="C1985" s="6"/>
    </row>
    <row r="1986">
      <c r="A1986" s="6"/>
      <c r="B1986" s="21"/>
      <c r="C1986" s="6"/>
    </row>
    <row r="1987">
      <c r="A1987" s="6"/>
      <c r="B1987" s="21"/>
      <c r="C1987" s="6"/>
    </row>
    <row r="1988">
      <c r="A1988" s="6"/>
      <c r="B1988" s="21"/>
      <c r="C1988" s="6"/>
    </row>
    <row r="1989">
      <c r="A1989" s="6"/>
      <c r="B1989" s="21"/>
      <c r="C1989" s="6"/>
    </row>
    <row r="1990">
      <c r="A1990" s="6"/>
      <c r="B1990" s="21"/>
      <c r="C1990" s="6"/>
    </row>
    <row r="1991">
      <c r="A1991" s="6"/>
      <c r="B1991" s="21"/>
      <c r="C1991" s="6"/>
    </row>
    <row r="1992">
      <c r="A1992" s="6"/>
      <c r="B1992" s="21"/>
      <c r="C1992" s="6"/>
    </row>
    <row r="1993">
      <c r="A1993" s="6"/>
      <c r="B1993" s="21"/>
      <c r="C1993" s="6"/>
    </row>
    <row r="1994">
      <c r="A1994" s="6"/>
      <c r="B1994" s="21"/>
      <c r="C1994" s="6"/>
    </row>
    <row r="1995">
      <c r="A1995" s="6"/>
      <c r="B1995" s="21"/>
      <c r="C1995" s="6"/>
    </row>
    <row r="1996">
      <c r="A1996" s="6"/>
      <c r="B1996" s="21"/>
      <c r="C1996" s="6"/>
    </row>
    <row r="1997">
      <c r="A1997" s="6"/>
      <c r="B1997" s="21"/>
      <c r="C1997" s="6"/>
    </row>
    <row r="1998">
      <c r="A1998" s="6"/>
      <c r="B1998" s="21"/>
      <c r="C1998" s="6"/>
    </row>
    <row r="1999">
      <c r="A1999" s="6"/>
      <c r="B1999" s="21"/>
      <c r="C1999" s="6"/>
    </row>
    <row r="2000">
      <c r="A2000" s="6"/>
      <c r="B2000" s="21"/>
      <c r="C2000" s="6"/>
    </row>
    <row r="2001">
      <c r="A2001" s="6"/>
      <c r="B2001" s="21"/>
      <c r="C2001" s="6"/>
    </row>
    <row r="2002">
      <c r="A2002" s="6"/>
      <c r="B2002" s="21"/>
      <c r="C2002" s="6"/>
    </row>
    <row r="2003">
      <c r="A2003" s="6"/>
      <c r="B2003" s="21"/>
      <c r="C2003" s="6"/>
    </row>
    <row r="2004">
      <c r="A2004" s="6"/>
      <c r="B2004" s="21"/>
      <c r="C2004" s="6"/>
    </row>
    <row r="2005">
      <c r="A2005" s="6"/>
      <c r="B2005" s="21"/>
      <c r="C2005" s="6"/>
    </row>
    <row r="2006">
      <c r="A2006" s="6"/>
      <c r="B2006" s="21"/>
      <c r="C2006" s="6"/>
    </row>
    <row r="2007">
      <c r="A2007" s="6"/>
      <c r="B2007" s="21"/>
      <c r="C2007" s="6"/>
    </row>
    <row r="2008">
      <c r="A2008" s="6"/>
      <c r="B2008" s="21"/>
      <c r="C2008" s="6"/>
    </row>
    <row r="2009">
      <c r="A2009" s="6"/>
      <c r="B2009" s="21"/>
      <c r="C2009" s="6"/>
    </row>
    <row r="2010">
      <c r="A2010" s="6"/>
      <c r="B2010" s="21"/>
      <c r="C2010" s="6"/>
    </row>
    <row r="2011">
      <c r="A2011" s="6"/>
      <c r="B2011" s="21"/>
      <c r="C2011" s="6"/>
    </row>
  </sheetData>
  <autoFilter ref="$A$1:$E$84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43.88"/>
    <col customWidth="1" min="3" max="4" width="8.75"/>
    <col customWidth="1" min="5" max="5" width="14.5"/>
    <col customWidth="1" min="6" max="6" width="10.13"/>
    <col customWidth="1" min="7" max="7" width="20.63"/>
    <col customWidth="1" min="8" max="8" width="14.13"/>
    <col customWidth="1" min="9" max="9" width="9.88"/>
    <col customWidth="1" min="10" max="10" width="10.38"/>
    <col customWidth="1" min="11" max="11" width="21.63"/>
    <col customWidth="1" min="12" max="12" width="13.5"/>
    <col customWidth="1" min="13" max="13" width="34.13"/>
    <col customWidth="1" min="14" max="14" width="21.0"/>
    <col customWidth="1" min="15" max="15" width="6.88"/>
    <col customWidth="1" min="16" max="16" width="7.38"/>
    <col customWidth="1" min="17" max="17" width="8.75"/>
    <col customWidth="1" min="18" max="18" width="8.25"/>
    <col customWidth="1" min="19" max="19" width="8.13"/>
    <col customWidth="1" min="20" max="21" width="6.13"/>
    <col customWidth="1" min="22" max="22" width="7.5"/>
    <col customWidth="1" min="23" max="23" width="4.75"/>
    <col customWidth="1" min="24" max="25" width="6.0"/>
    <col customWidth="1" min="26" max="26" width="9.13"/>
    <col customWidth="1" min="27" max="27" width="8.75"/>
    <col customWidth="1" min="28" max="28" width="8.25"/>
    <col customWidth="1" min="29" max="29" width="8.13"/>
    <col customWidth="1" min="30" max="31" width="6.13"/>
    <col customWidth="1" min="32" max="32" width="7.5"/>
    <col customWidth="1" min="33" max="33" width="4.75"/>
    <col customWidth="1" min="34" max="35" width="6.0"/>
    <col customWidth="1" min="36" max="36" width="9.13"/>
    <col customWidth="1" min="37" max="37" width="8.75"/>
    <col customWidth="1" min="38" max="38" width="8.25"/>
    <col customWidth="1" min="39" max="39" width="8.13"/>
    <col customWidth="1" min="40" max="41" width="6.13"/>
    <col customWidth="1" min="42" max="42" width="7.5"/>
    <col customWidth="1" min="43" max="43" width="4.75"/>
    <col customWidth="1" min="44" max="45" width="6.0"/>
    <col customWidth="1" min="46" max="46" width="9.13"/>
    <col customWidth="1" min="47" max="47" width="8.75"/>
    <col customWidth="1" min="48" max="48" width="8.25"/>
    <col customWidth="1" min="49" max="49" width="8.13"/>
    <col customWidth="1" min="50" max="51" width="6.13"/>
    <col customWidth="1" min="52" max="52" width="7.5"/>
    <col customWidth="1" min="53" max="53" width="4.75"/>
    <col customWidth="1" min="54" max="55" width="6.0"/>
    <col customWidth="1" min="56" max="56" width="9.13"/>
    <col customWidth="1" min="57" max="57" width="9.75"/>
    <col customWidth="1" min="58" max="62" width="11.75"/>
    <col customWidth="1" min="63" max="63" width="12.75"/>
    <col customWidth="1" min="64" max="66" width="11.75"/>
  </cols>
  <sheetData>
    <row r="1">
      <c r="A1" s="43" t="s">
        <v>1612</v>
      </c>
      <c r="B1" s="44" t="s">
        <v>1613</v>
      </c>
      <c r="C1" s="45" t="s">
        <v>1614</v>
      </c>
      <c r="D1" s="45" t="s">
        <v>1615</v>
      </c>
      <c r="E1" s="45" t="s">
        <v>1616</v>
      </c>
      <c r="F1" s="45" t="s">
        <v>3</v>
      </c>
      <c r="G1" s="46" t="s">
        <v>1617</v>
      </c>
      <c r="H1" s="45" t="s">
        <v>1618</v>
      </c>
      <c r="I1" s="45" t="s">
        <v>4</v>
      </c>
      <c r="J1" s="45" t="s">
        <v>5</v>
      </c>
      <c r="K1" s="45" t="s">
        <v>6</v>
      </c>
      <c r="L1" s="45" t="s">
        <v>7</v>
      </c>
      <c r="M1" s="47" t="s">
        <v>1619</v>
      </c>
      <c r="N1" s="48" t="s">
        <v>1620</v>
      </c>
      <c r="O1" s="49" t="s">
        <v>1621</v>
      </c>
      <c r="P1" s="49" t="s">
        <v>1622</v>
      </c>
      <c r="Q1" s="50" t="s">
        <v>1623</v>
      </c>
      <c r="R1" s="49" t="s">
        <v>51</v>
      </c>
      <c r="S1" s="49" t="s">
        <v>52</v>
      </c>
      <c r="T1" s="49" t="s">
        <v>53</v>
      </c>
      <c r="U1" s="49" t="s">
        <v>54</v>
      </c>
      <c r="V1" s="49" t="s">
        <v>55</v>
      </c>
      <c r="W1" s="49" t="s">
        <v>56</v>
      </c>
      <c r="X1" s="49" t="s">
        <v>57</v>
      </c>
      <c r="Y1" s="49" t="s">
        <v>58</v>
      </c>
      <c r="Z1" s="49" t="s">
        <v>59</v>
      </c>
      <c r="AA1" s="50" t="s">
        <v>1624</v>
      </c>
      <c r="AB1" s="49" t="s">
        <v>51</v>
      </c>
      <c r="AC1" s="49" t="s">
        <v>52</v>
      </c>
      <c r="AD1" s="49" t="s">
        <v>53</v>
      </c>
      <c r="AE1" s="49" t="s">
        <v>54</v>
      </c>
      <c r="AF1" s="49" t="s">
        <v>55</v>
      </c>
      <c r="AG1" s="49" t="s">
        <v>56</v>
      </c>
      <c r="AH1" s="49" t="s">
        <v>57</v>
      </c>
      <c r="AI1" s="49" t="s">
        <v>58</v>
      </c>
      <c r="AJ1" s="49" t="s">
        <v>59</v>
      </c>
      <c r="AK1" s="50" t="s">
        <v>1625</v>
      </c>
      <c r="AL1" s="49" t="s">
        <v>51</v>
      </c>
      <c r="AM1" s="49" t="s">
        <v>52</v>
      </c>
      <c r="AN1" s="49" t="s">
        <v>53</v>
      </c>
      <c r="AO1" s="49" t="s">
        <v>54</v>
      </c>
      <c r="AP1" s="49" t="s">
        <v>55</v>
      </c>
      <c r="AQ1" s="49" t="s">
        <v>56</v>
      </c>
      <c r="AR1" s="49" t="s">
        <v>57</v>
      </c>
      <c r="AS1" s="49" t="s">
        <v>58</v>
      </c>
      <c r="AT1" s="49" t="s">
        <v>59</v>
      </c>
      <c r="AU1" s="50" t="s">
        <v>1626</v>
      </c>
      <c r="AV1" s="49" t="s">
        <v>51</v>
      </c>
      <c r="AW1" s="49" t="s">
        <v>52</v>
      </c>
      <c r="AX1" s="49" t="s">
        <v>53</v>
      </c>
      <c r="AY1" s="49" t="s">
        <v>54</v>
      </c>
      <c r="AZ1" s="49" t="s">
        <v>55</v>
      </c>
      <c r="BA1" s="49" t="s">
        <v>56</v>
      </c>
      <c r="BB1" s="49" t="s">
        <v>57</v>
      </c>
      <c r="BC1" s="49" t="s">
        <v>58</v>
      </c>
      <c r="BD1" s="49" t="s">
        <v>59</v>
      </c>
      <c r="BE1" s="51" t="s">
        <v>1627</v>
      </c>
      <c r="BF1" s="49" t="s">
        <v>51</v>
      </c>
      <c r="BG1" s="49" t="s">
        <v>52</v>
      </c>
      <c r="BH1" s="49" t="s">
        <v>53</v>
      </c>
      <c r="BI1" s="49" t="s">
        <v>54</v>
      </c>
      <c r="BJ1" s="49" t="s">
        <v>55</v>
      </c>
      <c r="BK1" s="49" t="s">
        <v>56</v>
      </c>
      <c r="BL1" s="49" t="s">
        <v>57</v>
      </c>
      <c r="BM1" s="49" t="s">
        <v>58</v>
      </c>
      <c r="BN1" s="49" t="s">
        <v>59</v>
      </c>
    </row>
    <row r="2">
      <c r="A2" s="2">
        <v>1.0</v>
      </c>
      <c r="B2" s="52" t="s">
        <v>1628</v>
      </c>
      <c r="C2" s="53">
        <v>48.0</v>
      </c>
      <c r="D2" s="54">
        <v>53.0</v>
      </c>
      <c r="E2" s="55">
        <f t="shared" ref="E2:E49" si="2">C2+D2</f>
        <v>101</v>
      </c>
      <c r="F2" s="56">
        <v>45822.0</v>
      </c>
      <c r="G2" s="57" t="s">
        <v>1629</v>
      </c>
      <c r="H2" s="58">
        <v>0.875</v>
      </c>
      <c r="I2" s="58">
        <v>0.8333333333333334</v>
      </c>
      <c r="J2" s="59" t="str">
        <f t="shared" ref="J2:J64" si="3">IF(I2&lt;=0.708333333333333, "Afternoon","Evening")</f>
        <v>Evening</v>
      </c>
      <c r="K2" s="53" t="s">
        <v>62</v>
      </c>
      <c r="L2" s="53" t="s">
        <v>1630</v>
      </c>
      <c r="M2" s="60"/>
      <c r="N2" s="61" t="s">
        <v>1631</v>
      </c>
      <c r="O2" s="62">
        <f>VLOOKUP(B2,'Dados Meteorológicos'!$1:$988,12,0)</f>
        <v>26</v>
      </c>
      <c r="P2" s="62">
        <f>VLOOKUP(B2,'Dados Meteorológicos'!$1:$988,13,0)</f>
        <v>-80.25</v>
      </c>
      <c r="Q2" s="62">
        <f>VLOOKUP(B2,'Dados Meteorológicos'!$1:$988,14,0)</f>
        <v>1</v>
      </c>
      <c r="R2" s="62">
        <f>VLOOKUP(B2,'Dados Meteorológicos'!$1:$988,15,0)</f>
        <v>28.39</v>
      </c>
      <c r="S2" s="62">
        <f>VLOOKUP(B2,'Dados Meteorológicos'!$1:$988,16,0)</f>
        <v>22.86</v>
      </c>
      <c r="T2" s="62">
        <f>VLOOKUP(B2,'Dados Meteorológicos'!$1:$988,17,0)</f>
        <v>71</v>
      </c>
      <c r="U2" s="62">
        <f>VLOOKUP(B2,'Dados Meteorológicos'!$1:$988,18,0)</f>
        <v>27.8</v>
      </c>
      <c r="V2" s="62">
        <f>VLOOKUP(B2,'Dados Meteorológicos'!$1:$988,19,0)</f>
        <v>1</v>
      </c>
      <c r="W2" s="62">
        <f>VLOOKUP(B2,'Dados Meteorológicos'!$1:$988,20,0)</f>
        <v>2.02</v>
      </c>
      <c r="X2" s="62">
        <f>VLOOKUP(B2,'Dados Meteorológicos'!$1:$988,21,0)</f>
        <v>24.81</v>
      </c>
      <c r="Y2" s="62">
        <f>VLOOKUP(B2,'Dados Meteorológicos'!$1:$988,22,0)</f>
        <v>42.97</v>
      </c>
      <c r="Z2" s="62">
        <f>VLOOKUP(B2,'Dados Meteorológicos'!$1:$988,23,0)</f>
        <v>28.8</v>
      </c>
      <c r="AA2" s="62">
        <f>VLOOKUP(B2,'Dados Meteorológicos'!$1:$988,24,0)</f>
        <v>2</v>
      </c>
      <c r="AB2" s="62">
        <f>VLOOKUP(B2,'Dados Meteorológicos'!$1:$988,25,0)</f>
        <v>28.13</v>
      </c>
      <c r="AC2" s="62">
        <f>VLOOKUP(B2,'Dados Meteorológicos'!$1:$988,26,0)</f>
        <v>22.93</v>
      </c>
      <c r="AD2" s="62">
        <f>VLOOKUP(B2,'Dados Meteorológicos'!$1:$988,27,0)</f>
        <v>73</v>
      </c>
      <c r="AE2" s="62">
        <f>VLOOKUP(B2,'Dados Meteorológicos'!$1:$988,28,0)</f>
        <v>27.41</v>
      </c>
      <c r="AF2" s="62">
        <f>VLOOKUP(B2,'Dados Meteorológicos'!$1:$988,29,0)</f>
        <v>0</v>
      </c>
      <c r="AG2" s="62">
        <f>VLOOKUP(B2,'Dados Meteorológicos'!$1:$988,30,0)</f>
        <v>2.12</v>
      </c>
      <c r="AH2" s="62">
        <f>VLOOKUP(B2,'Dados Meteorológicos'!$1:$988,31,0)</f>
        <v>24.7</v>
      </c>
      <c r="AI2" s="62">
        <f>VLOOKUP(B2,'Dados Meteorológicos'!$1:$988,32,0)</f>
        <v>42.64</v>
      </c>
      <c r="AJ2" s="62">
        <f>VLOOKUP(B2,'Dados Meteorológicos'!$1:$988,33,0)</f>
        <v>28.63</v>
      </c>
      <c r="AK2" s="62" t="str">
        <f>VLOOKUP(B2,'Dados Meteorológicos'!$1:$988,34,0)</f>
        <v/>
      </c>
      <c r="AL2" s="62" t="str">
        <f>VLOOKUP(B2,'Dados Meteorológicos'!$1:$988,35,0)</f>
        <v/>
      </c>
      <c r="AM2" s="62" t="str">
        <f>VLOOKUP(B2,'Dados Meteorológicos'!$1:$988,36,0)</f>
        <v/>
      </c>
      <c r="AN2" s="62" t="str">
        <f>VLOOKUP(B2,'Dados Meteorológicos'!$1:$988,37,0)</f>
        <v/>
      </c>
      <c r="AO2" s="62" t="str">
        <f>VLOOKUP(B2,'Dados Meteorológicos'!$1:$988,38,0)</f>
        <v/>
      </c>
      <c r="AP2" s="62" t="str">
        <f>VLOOKUP(B2,'Dados Meteorológicos'!$1:$988,39,0)</f>
        <v/>
      </c>
      <c r="AQ2" s="62" t="str">
        <f>VLOOKUP(B2,'Dados Meteorológicos'!$1:$988,40,0)</f>
        <v/>
      </c>
      <c r="AR2" s="62" t="str">
        <f>VLOOKUP(B2,'Dados Meteorológicos'!$1:$988,41,0)</f>
        <v/>
      </c>
      <c r="AS2" s="62" t="str">
        <f>VLOOKUP(B2,'Dados Meteorológicos'!$1:$988,42,0)</f>
        <v/>
      </c>
      <c r="AT2" s="62" t="str">
        <f>VLOOKUP(B2,'Dados Meteorológicos'!$1:$988,43,0)</f>
        <v/>
      </c>
      <c r="AU2" s="62" t="str">
        <f>VLOOKUP(B2,'Dados Meteorológicos'!$1:$988,44,0)</f>
        <v/>
      </c>
      <c r="AV2" s="62" t="str">
        <f>VLOOKUP(B2,'Dados Meteorológicos'!$1:$988,45,0)</f>
        <v/>
      </c>
      <c r="AW2" s="62" t="str">
        <f>VLOOKUP(B2,'Dados Meteorológicos'!$1:$988,46,0)</f>
        <v/>
      </c>
      <c r="AX2" s="62" t="str">
        <f>VLOOKUP(B2,'Dados Meteorológicos'!$1:$988,47,0)</f>
        <v/>
      </c>
      <c r="AY2" s="62" t="str">
        <f>VLOOKUP(B2,'Dados Meteorológicos'!$1:$988,48,0)</f>
        <v/>
      </c>
      <c r="AZ2" s="62" t="str">
        <f>VLOOKUP(B2,'Dados Meteorológicos'!$1:$988,49,0)</f>
        <v/>
      </c>
      <c r="BA2" s="62" t="str">
        <f>VLOOKUP(B2,'Dados Meteorológicos'!$1:$988,50,0)</f>
        <v/>
      </c>
      <c r="BB2" s="62" t="str">
        <f>VLOOKUP(B2,'Dados Meteorológicos'!$1:$988,51,0)</f>
        <v/>
      </c>
      <c r="BC2" s="62" t="str">
        <f>VLOOKUP(B2,'Dados Meteorológicos'!$1:$988,52,0)</f>
        <v/>
      </c>
      <c r="BD2" s="14" t="str">
        <f>VLOOKUP(B2,'Dados Meteorológicos'!$1:$988,53,0)</f>
        <v/>
      </c>
      <c r="BE2" s="62"/>
      <c r="BF2" s="63">
        <f t="shared" ref="BF2:BN2" si="1">AVERAGE(R2,AB2,AL2,AV2)</f>
        <v>28.26</v>
      </c>
      <c r="BG2" s="63">
        <f t="shared" si="1"/>
        <v>22.895</v>
      </c>
      <c r="BH2" s="63">
        <f t="shared" si="1"/>
        <v>72</v>
      </c>
      <c r="BI2" s="63">
        <f t="shared" si="1"/>
        <v>27.605</v>
      </c>
      <c r="BJ2" s="63">
        <f t="shared" si="1"/>
        <v>0.5</v>
      </c>
      <c r="BK2" s="63">
        <f t="shared" si="1"/>
        <v>2.07</v>
      </c>
      <c r="BL2" s="63">
        <f t="shared" si="1"/>
        <v>24.755</v>
      </c>
      <c r="BM2" s="63">
        <f t="shared" si="1"/>
        <v>42.805</v>
      </c>
      <c r="BN2" s="63">
        <f t="shared" si="1"/>
        <v>28.715</v>
      </c>
    </row>
    <row r="3">
      <c r="A3" s="64">
        <v>2.0</v>
      </c>
      <c r="B3" s="65" t="s">
        <v>1632</v>
      </c>
      <c r="C3" s="66">
        <v>49.0</v>
      </c>
      <c r="D3" s="66">
        <v>50.0</v>
      </c>
      <c r="E3" s="55">
        <f t="shared" si="2"/>
        <v>99</v>
      </c>
      <c r="F3" s="67">
        <v>45823.0</v>
      </c>
      <c r="G3" s="66" t="s">
        <v>1633</v>
      </c>
      <c r="H3" s="68">
        <v>0.5416666666666666</v>
      </c>
      <c r="I3" s="68">
        <v>0.5</v>
      </c>
      <c r="J3" s="59" t="str">
        <f t="shared" si="3"/>
        <v>Afternoon</v>
      </c>
      <c r="K3" s="66" t="s">
        <v>122</v>
      </c>
      <c r="L3" s="66" t="s">
        <v>1630</v>
      </c>
      <c r="M3" s="69"/>
      <c r="N3" s="70" t="s">
        <v>1634</v>
      </c>
      <c r="O3" s="62">
        <f>VLOOKUP(B3,'Dados Meteorológicos'!$1:$988,12,0)</f>
        <v>39</v>
      </c>
      <c r="P3" s="62">
        <f>VLOOKUP(B3,'Dados Meteorológicos'!$1:$988,13,0)</f>
        <v>-84.5</v>
      </c>
      <c r="Q3" s="62">
        <f>VLOOKUP(B3,'Dados Meteorológicos'!$1:$988,14,0)</f>
        <v>17</v>
      </c>
      <c r="R3" s="62">
        <f>VLOOKUP(B3,'Dados Meteorológicos'!$1:$988,15,0)</f>
        <v>25.85</v>
      </c>
      <c r="S3" s="62">
        <f>VLOOKUP(B3,'Dados Meteorológicos'!$1:$988,16,0)</f>
        <v>21.59</v>
      </c>
      <c r="T3" s="62">
        <f>VLOOKUP(B3,'Dados Meteorológicos'!$1:$988,17,0)</f>
        <v>77</v>
      </c>
      <c r="U3" s="62">
        <f>VLOOKUP(B3,'Dados Meteorológicos'!$1:$988,18,0)</f>
        <v>24.15</v>
      </c>
      <c r="V3" s="62">
        <f>VLOOKUP(B3,'Dados Meteorológicos'!$1:$988,19,0)</f>
        <v>595.7</v>
      </c>
      <c r="W3" s="62">
        <f>VLOOKUP(B3,'Dados Meteorológicos'!$1:$988,20,0)</f>
        <v>0.99</v>
      </c>
      <c r="X3" s="62">
        <f>VLOOKUP(B3,'Dados Meteorológicos'!$1:$988,21,0)</f>
        <v>23.58</v>
      </c>
      <c r="Y3" s="62">
        <f>VLOOKUP(B3,'Dados Meteorológicos'!$1:$988,22,0)</f>
        <v>40.98</v>
      </c>
      <c r="Z3" s="62">
        <f>VLOOKUP(B3,'Dados Meteorológicos'!$1:$988,23,0)</f>
        <v>27.29</v>
      </c>
      <c r="AA3" s="62">
        <f>VLOOKUP(B3,'Dados Meteorológicos'!$1:$988,24,0)</f>
        <v>18</v>
      </c>
      <c r="AB3" s="62">
        <f>VLOOKUP(B3,'Dados Meteorológicos'!$1:$988,25,0)</f>
        <v>26.33</v>
      </c>
      <c r="AC3" s="62">
        <f>VLOOKUP(B3,'Dados Meteorológicos'!$1:$988,26,0)</f>
        <v>21.01</v>
      </c>
      <c r="AD3" s="62">
        <f>VLOOKUP(B3,'Dados Meteorológicos'!$1:$988,27,0)</f>
        <v>72</v>
      </c>
      <c r="AE3" s="62">
        <f>VLOOKUP(B3,'Dados Meteorológicos'!$1:$988,28,0)</f>
        <v>24.8</v>
      </c>
      <c r="AF3" s="62">
        <f>VLOOKUP(B3,'Dados Meteorológicos'!$1:$988,29,0)</f>
        <v>498.7</v>
      </c>
      <c r="AG3" s="62">
        <f>VLOOKUP(B3,'Dados Meteorológicos'!$1:$988,30,0)</f>
        <v>1.06</v>
      </c>
      <c r="AH3" s="62">
        <f>VLOOKUP(B3,'Dados Meteorológicos'!$1:$988,31,0)</f>
        <v>23.57</v>
      </c>
      <c r="AI3" s="62">
        <f>VLOOKUP(B3,'Dados Meteorológicos'!$1:$988,32,0)</f>
        <v>41.17</v>
      </c>
      <c r="AJ3" s="62">
        <f>VLOOKUP(B3,'Dados Meteorológicos'!$1:$988,33,0)</f>
        <v>27.37</v>
      </c>
      <c r="AK3" s="62" t="str">
        <f>VLOOKUP(B3,'Dados Meteorológicos'!$1:$988,34,0)</f>
        <v/>
      </c>
      <c r="AL3" s="62" t="str">
        <f>VLOOKUP(B3,'Dados Meteorológicos'!$1:$988,35,0)</f>
        <v/>
      </c>
      <c r="AM3" s="62" t="str">
        <f>VLOOKUP(B3,'Dados Meteorológicos'!$1:$988,36,0)</f>
        <v/>
      </c>
      <c r="AN3" s="62" t="str">
        <f>VLOOKUP(B3,'Dados Meteorológicos'!$1:$988,37,0)</f>
        <v/>
      </c>
      <c r="AO3" s="62" t="str">
        <f>VLOOKUP(B3,'Dados Meteorológicos'!$1:$988,38,0)</f>
        <v/>
      </c>
      <c r="AP3" s="62" t="str">
        <f>VLOOKUP(B3,'Dados Meteorológicos'!$1:$988,39,0)</f>
        <v/>
      </c>
      <c r="AQ3" s="62" t="str">
        <f>VLOOKUP(B3,'Dados Meteorológicos'!$1:$988,40,0)</f>
        <v/>
      </c>
      <c r="AR3" s="62" t="str">
        <f>VLOOKUP(B3,'Dados Meteorológicos'!$1:$988,41,0)</f>
        <v/>
      </c>
      <c r="AS3" s="62" t="str">
        <f>VLOOKUP(B3,'Dados Meteorológicos'!$1:$988,42,0)</f>
        <v/>
      </c>
      <c r="AT3" s="62" t="str">
        <f>VLOOKUP(B3,'Dados Meteorológicos'!$1:$988,43,0)</f>
        <v/>
      </c>
      <c r="AU3" s="62" t="str">
        <f>VLOOKUP(B3,'Dados Meteorológicos'!$1:$988,44,0)</f>
        <v/>
      </c>
      <c r="AV3" s="62" t="str">
        <f>VLOOKUP(B3,'Dados Meteorológicos'!$1:$988,45,0)</f>
        <v/>
      </c>
      <c r="AW3" s="62" t="str">
        <f>VLOOKUP(B3,'Dados Meteorológicos'!$1:$988,46,0)</f>
        <v/>
      </c>
      <c r="AX3" s="62" t="str">
        <f>VLOOKUP(B3,'Dados Meteorológicos'!$1:$988,47,0)</f>
        <v/>
      </c>
      <c r="AY3" s="62" t="str">
        <f>VLOOKUP(B3,'Dados Meteorológicos'!$1:$988,48,0)</f>
        <v/>
      </c>
      <c r="AZ3" s="62" t="str">
        <f>VLOOKUP(B3,'Dados Meteorológicos'!$1:$988,49,0)</f>
        <v/>
      </c>
      <c r="BA3" s="62" t="str">
        <f>VLOOKUP(B3,'Dados Meteorológicos'!$1:$988,50,0)</f>
        <v/>
      </c>
      <c r="BB3" s="62" t="str">
        <f>VLOOKUP(B3,'Dados Meteorológicos'!$1:$988,51,0)</f>
        <v/>
      </c>
      <c r="BC3" s="62" t="str">
        <f>VLOOKUP(B3,'Dados Meteorológicos'!$1:$988,52,0)</f>
        <v/>
      </c>
      <c r="BD3" s="14" t="str">
        <f>VLOOKUP(B3,'Dados Meteorológicos'!$1:$988,53,0)</f>
        <v/>
      </c>
      <c r="BE3" s="62"/>
      <c r="BF3" s="63">
        <f t="shared" ref="BF3:BN3" si="4">AVERAGE(R3,AB3,AL3,AV3)</f>
        <v>26.09</v>
      </c>
      <c r="BG3" s="63">
        <f t="shared" si="4"/>
        <v>21.3</v>
      </c>
      <c r="BH3" s="63">
        <f t="shared" si="4"/>
        <v>74.5</v>
      </c>
      <c r="BI3" s="63">
        <f t="shared" si="4"/>
        <v>24.475</v>
      </c>
      <c r="BJ3" s="63">
        <f t="shared" si="4"/>
        <v>547.2</v>
      </c>
      <c r="BK3" s="63">
        <f t="shared" si="4"/>
        <v>1.025</v>
      </c>
      <c r="BL3" s="63">
        <f t="shared" si="4"/>
        <v>23.575</v>
      </c>
      <c r="BM3" s="63">
        <f t="shared" si="4"/>
        <v>41.075</v>
      </c>
      <c r="BN3" s="63">
        <f t="shared" si="4"/>
        <v>27.33</v>
      </c>
    </row>
    <row r="4">
      <c r="A4" s="2">
        <v>3.0</v>
      </c>
      <c r="B4" s="71" t="s">
        <v>1635</v>
      </c>
      <c r="C4" s="72">
        <v>48.0</v>
      </c>
      <c r="D4" s="73">
        <v>51.0</v>
      </c>
      <c r="E4" s="55">
        <f t="shared" si="2"/>
        <v>99</v>
      </c>
      <c r="F4" s="74">
        <v>45823.0</v>
      </c>
      <c r="G4" s="72" t="s">
        <v>1636</v>
      </c>
      <c r="H4" s="75">
        <v>0.6666666666666666</v>
      </c>
      <c r="I4" s="75">
        <v>0.5</v>
      </c>
      <c r="J4" s="59" t="str">
        <f t="shared" si="3"/>
        <v>Afternoon</v>
      </c>
      <c r="K4" s="72" t="s">
        <v>1637</v>
      </c>
      <c r="L4" s="72" t="s">
        <v>1630</v>
      </c>
      <c r="M4" s="76"/>
      <c r="N4" s="70" t="s">
        <v>1638</v>
      </c>
      <c r="O4" s="62">
        <f>VLOOKUP(B4,'Dados Meteorológicos'!$1:$988,12,0)</f>
        <v>34.25</v>
      </c>
      <c r="P4" s="62">
        <f>VLOOKUP(B4,'Dados Meteorológicos'!$1:$988,13,0)</f>
        <v>-118.25</v>
      </c>
      <c r="Q4" s="62">
        <f>VLOOKUP(B4,'Dados Meteorológicos'!$1:$988,14,0)</f>
        <v>20</v>
      </c>
      <c r="R4" s="62">
        <f>VLOOKUP(B4,'Dados Meteorológicos'!$1:$988,15,0)</f>
        <v>32.6</v>
      </c>
      <c r="S4" s="62">
        <f>VLOOKUP(B4,'Dados Meteorológicos'!$1:$988,16,0)</f>
        <v>10.53</v>
      </c>
      <c r="T4" s="62">
        <f>VLOOKUP(B4,'Dados Meteorológicos'!$1:$988,17,0)</f>
        <v>25</v>
      </c>
      <c r="U4" s="62">
        <f>VLOOKUP(B4,'Dados Meteorológicos'!$1:$988,18,0)</f>
        <v>34.89</v>
      </c>
      <c r="V4" s="62">
        <f>VLOOKUP(B4,'Dados Meteorológicos'!$1:$988,19,0)</f>
        <v>1038.5</v>
      </c>
      <c r="W4" s="62">
        <f>VLOOKUP(B4,'Dados Meteorológicos'!$1:$988,20,0)</f>
        <v>1.83</v>
      </c>
      <c r="X4" s="62">
        <f>VLOOKUP(B4,'Dados Meteorológicos'!$1:$988,21,0)</f>
        <v>21</v>
      </c>
      <c r="Y4" s="62">
        <f>VLOOKUP(B4,'Dados Meteorológicos'!$1:$988,22,0)</f>
        <v>45.09</v>
      </c>
      <c r="Z4" s="62">
        <f>VLOOKUP(B4,'Dados Meteorológicos'!$1:$988,23,0)</f>
        <v>26.97</v>
      </c>
      <c r="AA4" s="62">
        <f>VLOOKUP(B4,'Dados Meteorológicos'!$1:$988,24,0)</f>
        <v>21</v>
      </c>
      <c r="AB4" s="62">
        <f>VLOOKUP(B4,'Dados Meteorológicos'!$1:$988,25,0)</f>
        <v>33.57</v>
      </c>
      <c r="AC4" s="62">
        <f>VLOOKUP(B4,'Dados Meteorológicos'!$1:$988,26,0)</f>
        <v>10.44</v>
      </c>
      <c r="AD4" s="62">
        <f>VLOOKUP(B4,'Dados Meteorológicos'!$1:$988,27,0)</f>
        <v>24</v>
      </c>
      <c r="AE4" s="62">
        <f>VLOOKUP(B4,'Dados Meteorológicos'!$1:$988,28,0)</f>
        <v>36.73</v>
      </c>
      <c r="AF4" s="62">
        <f>VLOOKUP(B4,'Dados Meteorológicos'!$1:$988,29,0)</f>
        <v>1030.8</v>
      </c>
      <c r="AG4" s="62">
        <f>VLOOKUP(B4,'Dados Meteorológicos'!$1:$988,30,0)</f>
        <v>1.98</v>
      </c>
      <c r="AH4" s="62">
        <f>VLOOKUP(B4,'Dados Meteorológicos'!$1:$988,31,0)</f>
        <v>21.17</v>
      </c>
      <c r="AI4" s="62">
        <f>VLOOKUP(B4,'Dados Meteorológicos'!$1:$988,32,0)</f>
        <v>46.14</v>
      </c>
      <c r="AJ4" s="62">
        <f>VLOOKUP(B4,'Dados Meteorológicos'!$1:$988,33,0)</f>
        <v>27.4</v>
      </c>
      <c r="AK4" s="62" t="str">
        <f>VLOOKUP(B4,'Dados Meteorológicos'!$1:$988,34,0)</f>
        <v/>
      </c>
      <c r="AL4" s="62" t="str">
        <f>VLOOKUP(B4,'Dados Meteorológicos'!$1:$988,35,0)</f>
        <v/>
      </c>
      <c r="AM4" s="62" t="str">
        <f>VLOOKUP(B4,'Dados Meteorológicos'!$1:$988,36,0)</f>
        <v/>
      </c>
      <c r="AN4" s="62" t="str">
        <f>VLOOKUP(B4,'Dados Meteorológicos'!$1:$988,37,0)</f>
        <v/>
      </c>
      <c r="AO4" s="62" t="str">
        <f>VLOOKUP(B4,'Dados Meteorológicos'!$1:$988,38,0)</f>
        <v/>
      </c>
      <c r="AP4" s="62" t="str">
        <f>VLOOKUP(B4,'Dados Meteorológicos'!$1:$988,39,0)</f>
        <v/>
      </c>
      <c r="AQ4" s="62" t="str">
        <f>VLOOKUP(B4,'Dados Meteorológicos'!$1:$988,40,0)</f>
        <v/>
      </c>
      <c r="AR4" s="62" t="str">
        <f>VLOOKUP(B4,'Dados Meteorológicos'!$1:$988,41,0)</f>
        <v/>
      </c>
      <c r="AS4" s="62" t="str">
        <f>VLOOKUP(B4,'Dados Meteorológicos'!$1:$988,42,0)</f>
        <v/>
      </c>
      <c r="AT4" s="62" t="str">
        <f>VLOOKUP(B4,'Dados Meteorológicos'!$1:$988,43,0)</f>
        <v/>
      </c>
      <c r="AU4" s="62" t="str">
        <f>VLOOKUP(B4,'Dados Meteorológicos'!$1:$988,44,0)</f>
        <v/>
      </c>
      <c r="AV4" s="62" t="str">
        <f>VLOOKUP(B4,'Dados Meteorológicos'!$1:$988,45,0)</f>
        <v/>
      </c>
      <c r="AW4" s="62" t="str">
        <f>VLOOKUP(B4,'Dados Meteorológicos'!$1:$988,46,0)</f>
        <v/>
      </c>
      <c r="AX4" s="62" t="str">
        <f>VLOOKUP(B4,'Dados Meteorológicos'!$1:$988,47,0)</f>
        <v/>
      </c>
      <c r="AY4" s="62" t="str">
        <f>VLOOKUP(B4,'Dados Meteorológicos'!$1:$988,48,0)</f>
        <v/>
      </c>
      <c r="AZ4" s="62" t="str">
        <f>VLOOKUP(B4,'Dados Meteorológicos'!$1:$988,49,0)</f>
        <v/>
      </c>
      <c r="BA4" s="62" t="str">
        <f>VLOOKUP(B4,'Dados Meteorológicos'!$1:$988,50,0)</f>
        <v/>
      </c>
      <c r="BB4" s="62" t="str">
        <f>VLOOKUP(B4,'Dados Meteorológicos'!$1:$988,51,0)</f>
        <v/>
      </c>
      <c r="BC4" s="62" t="str">
        <f>VLOOKUP(B4,'Dados Meteorológicos'!$1:$988,52,0)</f>
        <v/>
      </c>
      <c r="BD4" s="14" t="str">
        <f>VLOOKUP(B4,'Dados Meteorológicos'!$1:$988,53,0)</f>
        <v/>
      </c>
      <c r="BE4" s="62"/>
      <c r="BF4" s="63">
        <f t="shared" ref="BF4:BN4" si="5">AVERAGE(R4,AB4,AL4,AV4)</f>
        <v>33.085</v>
      </c>
      <c r="BG4" s="63">
        <f t="shared" si="5"/>
        <v>10.485</v>
      </c>
      <c r="BH4" s="63">
        <f t="shared" si="5"/>
        <v>24.5</v>
      </c>
      <c r="BI4" s="63">
        <f t="shared" si="5"/>
        <v>35.81</v>
      </c>
      <c r="BJ4" s="63">
        <f t="shared" si="5"/>
        <v>1034.65</v>
      </c>
      <c r="BK4" s="63">
        <f t="shared" si="5"/>
        <v>1.905</v>
      </c>
      <c r="BL4" s="63">
        <f t="shared" si="5"/>
        <v>21.085</v>
      </c>
      <c r="BM4" s="63">
        <f t="shared" si="5"/>
        <v>45.615</v>
      </c>
      <c r="BN4" s="63">
        <f t="shared" si="5"/>
        <v>27.185</v>
      </c>
    </row>
    <row r="5">
      <c r="A5" s="2">
        <v>4.0</v>
      </c>
      <c r="B5" s="77" t="s">
        <v>1639</v>
      </c>
      <c r="C5" s="72">
        <v>48.0</v>
      </c>
      <c r="D5" s="72">
        <v>49.0</v>
      </c>
      <c r="E5" s="55">
        <f t="shared" si="2"/>
        <v>97</v>
      </c>
      <c r="F5" s="74">
        <v>45823.0</v>
      </c>
      <c r="G5" s="78" t="s">
        <v>1640</v>
      </c>
      <c r="H5" s="75">
        <v>0.7916666666666666</v>
      </c>
      <c r="I5" s="75">
        <v>0.75</v>
      </c>
      <c r="J5" s="59" t="str">
        <f t="shared" si="3"/>
        <v>Evening</v>
      </c>
      <c r="K5" s="72" t="s">
        <v>249</v>
      </c>
      <c r="L5" s="72" t="s">
        <v>1630</v>
      </c>
      <c r="M5" s="76"/>
      <c r="N5" s="70" t="s">
        <v>1641</v>
      </c>
      <c r="O5" s="62">
        <f>VLOOKUP(B5,'Dados Meteorológicos'!$1:$988,12,0)</f>
        <v>40.75</v>
      </c>
      <c r="P5" s="62">
        <f>VLOOKUP(B5,'Dados Meteorológicos'!$1:$988,13,0)</f>
        <v>-74</v>
      </c>
      <c r="Q5" s="62">
        <f>VLOOKUP(B5,'Dados Meteorológicos'!$1:$988,14,0)</f>
        <v>23</v>
      </c>
      <c r="R5" s="62">
        <f>VLOOKUP(B5,'Dados Meteorológicos'!$1:$988,15,0)</f>
        <v>18.07</v>
      </c>
      <c r="S5" s="62">
        <f>VLOOKUP(B5,'Dados Meteorológicos'!$1:$988,16,0)</f>
        <v>13.71</v>
      </c>
      <c r="T5" s="62">
        <f>VLOOKUP(B5,'Dados Meteorológicos'!$1:$988,17,0)</f>
        <v>75</v>
      </c>
      <c r="U5" s="62">
        <f>VLOOKUP(B5,'Dados Meteorológicos'!$1:$988,18,0)</f>
        <v>15.41</v>
      </c>
      <c r="V5" s="62">
        <f>VLOOKUP(B5,'Dados Meteorológicos'!$1:$988,19,0)</f>
        <v>83.9</v>
      </c>
      <c r="W5" s="62">
        <f>VLOOKUP(B5,'Dados Meteorológicos'!$1:$988,20,0)</f>
        <v>0.93</v>
      </c>
      <c r="X5" s="62">
        <f>VLOOKUP(B5,'Dados Meteorológicos'!$1:$988,21,0)</f>
        <v>17.67</v>
      </c>
      <c r="Y5" s="62">
        <f>VLOOKUP(B5,'Dados Meteorológicos'!$1:$988,22,0)</f>
        <v>30.21</v>
      </c>
      <c r="Z5" s="62">
        <f>VLOOKUP(B5,'Dados Meteorológicos'!$1:$988,23,0)</f>
        <v>20.22</v>
      </c>
      <c r="AA5" s="62" t="str">
        <f>VLOOKUP(B5,'Dados Meteorológicos'!$1:$988,24,0)</f>
        <v>00+1d</v>
      </c>
      <c r="AB5" s="62">
        <f>VLOOKUP(B5,'Dados Meteorológicos'!$1:$988,25,0)</f>
        <v>17.92</v>
      </c>
      <c r="AC5" s="62">
        <f>VLOOKUP(B5,'Dados Meteorológicos'!$1:$988,26,0)</f>
        <v>13.74</v>
      </c>
      <c r="AD5" s="62">
        <f>VLOOKUP(B5,'Dados Meteorológicos'!$1:$988,27,0)</f>
        <v>76</v>
      </c>
      <c r="AE5" s="62">
        <f>VLOOKUP(B5,'Dados Meteorológicos'!$1:$988,28,0)</f>
        <v>15.28</v>
      </c>
      <c r="AF5" s="62">
        <f>VLOOKUP(B5,'Dados Meteorológicos'!$1:$988,29,0)</f>
        <v>19.8</v>
      </c>
      <c r="AG5" s="62">
        <f>VLOOKUP(B5,'Dados Meteorológicos'!$1:$988,30,0)</f>
        <v>0.95</v>
      </c>
      <c r="AH5" s="62">
        <f>VLOOKUP(B5,'Dados Meteorológicos'!$1:$988,31,0)</f>
        <v>17.61</v>
      </c>
      <c r="AI5" s="62">
        <f>VLOOKUP(B5,'Dados Meteorológicos'!$1:$988,32,0)</f>
        <v>30.05</v>
      </c>
      <c r="AJ5" s="62">
        <f>VLOOKUP(B5,'Dados Meteorológicos'!$1:$988,33,0)</f>
        <v>20.13</v>
      </c>
      <c r="AK5" s="62" t="str">
        <f>VLOOKUP(B5,'Dados Meteorológicos'!$1:$988,34,0)</f>
        <v/>
      </c>
      <c r="AL5" s="62" t="str">
        <f>VLOOKUP(B5,'Dados Meteorológicos'!$1:$988,35,0)</f>
        <v/>
      </c>
      <c r="AM5" s="62" t="str">
        <f>VLOOKUP(B5,'Dados Meteorológicos'!$1:$988,36,0)</f>
        <v/>
      </c>
      <c r="AN5" s="62" t="str">
        <f>VLOOKUP(B5,'Dados Meteorológicos'!$1:$988,37,0)</f>
        <v/>
      </c>
      <c r="AO5" s="62" t="str">
        <f>VLOOKUP(B5,'Dados Meteorológicos'!$1:$988,38,0)</f>
        <v/>
      </c>
      <c r="AP5" s="62" t="str">
        <f>VLOOKUP(B5,'Dados Meteorológicos'!$1:$988,39,0)</f>
        <v/>
      </c>
      <c r="AQ5" s="62" t="str">
        <f>VLOOKUP(B5,'Dados Meteorológicos'!$1:$988,40,0)</f>
        <v/>
      </c>
      <c r="AR5" s="62" t="str">
        <f>VLOOKUP(B5,'Dados Meteorológicos'!$1:$988,41,0)</f>
        <v/>
      </c>
      <c r="AS5" s="62" t="str">
        <f>VLOOKUP(B5,'Dados Meteorológicos'!$1:$988,42,0)</f>
        <v/>
      </c>
      <c r="AT5" s="62" t="str">
        <f>VLOOKUP(B5,'Dados Meteorológicos'!$1:$988,43,0)</f>
        <v/>
      </c>
      <c r="AU5" s="62" t="str">
        <f>VLOOKUP(B5,'Dados Meteorológicos'!$1:$988,44,0)</f>
        <v/>
      </c>
      <c r="AV5" s="62" t="str">
        <f>VLOOKUP(B5,'Dados Meteorológicos'!$1:$988,45,0)</f>
        <v/>
      </c>
      <c r="AW5" s="62" t="str">
        <f>VLOOKUP(B5,'Dados Meteorológicos'!$1:$988,46,0)</f>
        <v/>
      </c>
      <c r="AX5" s="62" t="str">
        <f>VLOOKUP(B5,'Dados Meteorológicos'!$1:$988,47,0)</f>
        <v/>
      </c>
      <c r="AY5" s="62" t="str">
        <f>VLOOKUP(B5,'Dados Meteorológicos'!$1:$988,48,0)</f>
        <v/>
      </c>
      <c r="AZ5" s="62" t="str">
        <f>VLOOKUP(B5,'Dados Meteorológicos'!$1:$988,49,0)</f>
        <v/>
      </c>
      <c r="BA5" s="62" t="str">
        <f>VLOOKUP(B5,'Dados Meteorológicos'!$1:$988,50,0)</f>
        <v/>
      </c>
      <c r="BB5" s="62" t="str">
        <f>VLOOKUP(B5,'Dados Meteorológicos'!$1:$988,51,0)</f>
        <v/>
      </c>
      <c r="BC5" s="62" t="str">
        <f>VLOOKUP(B5,'Dados Meteorológicos'!$1:$988,52,0)</f>
        <v/>
      </c>
      <c r="BD5" s="14" t="str">
        <f>VLOOKUP(B5,'Dados Meteorológicos'!$1:$988,53,0)</f>
        <v/>
      </c>
      <c r="BE5" s="62"/>
      <c r="BF5" s="63">
        <f t="shared" ref="BF5:BN5" si="6">AVERAGE(R5,AB5,AL5,AV5)</f>
        <v>17.995</v>
      </c>
      <c r="BG5" s="63">
        <f t="shared" si="6"/>
        <v>13.725</v>
      </c>
      <c r="BH5" s="63">
        <f t="shared" si="6"/>
        <v>75.5</v>
      </c>
      <c r="BI5" s="63">
        <f t="shared" si="6"/>
        <v>15.345</v>
      </c>
      <c r="BJ5" s="63">
        <f t="shared" si="6"/>
        <v>51.85</v>
      </c>
      <c r="BK5" s="63">
        <f t="shared" si="6"/>
        <v>0.94</v>
      </c>
      <c r="BL5" s="63">
        <f t="shared" si="6"/>
        <v>17.64</v>
      </c>
      <c r="BM5" s="63">
        <f t="shared" si="6"/>
        <v>30.13</v>
      </c>
      <c r="BN5" s="63">
        <f t="shared" si="6"/>
        <v>20.175</v>
      </c>
    </row>
    <row r="6">
      <c r="A6" s="2">
        <v>5.0</v>
      </c>
      <c r="B6" s="77" t="s">
        <v>1642</v>
      </c>
      <c r="C6" s="73">
        <v>47.0</v>
      </c>
      <c r="D6" s="72">
        <v>49.0</v>
      </c>
      <c r="E6" s="55">
        <f t="shared" si="2"/>
        <v>96</v>
      </c>
      <c r="F6" s="74">
        <v>45823.0</v>
      </c>
      <c r="G6" s="72" t="s">
        <v>1643</v>
      </c>
      <c r="H6" s="75">
        <v>0.9583333333333334</v>
      </c>
      <c r="I6" s="75">
        <v>0.7916666666666666</v>
      </c>
      <c r="J6" s="59" t="str">
        <f t="shared" si="3"/>
        <v>Evening</v>
      </c>
      <c r="K6" s="72" t="s">
        <v>312</v>
      </c>
      <c r="L6" s="72" t="s">
        <v>1630</v>
      </c>
      <c r="M6" s="76"/>
      <c r="N6" s="70" t="s">
        <v>1644</v>
      </c>
      <c r="O6" s="62">
        <f>VLOOKUP(B6,'Dados Meteorológicos'!$1:$988,12,0)</f>
        <v>47.5</v>
      </c>
      <c r="P6" s="62">
        <f>VLOOKUP(B6,'Dados Meteorológicos'!$1:$988,13,0)</f>
        <v>-122.25</v>
      </c>
      <c r="Q6" s="62">
        <f>VLOOKUP(B6,'Dados Meteorológicos'!$1:$988,14,0)</f>
        <v>3</v>
      </c>
      <c r="R6" s="62">
        <f>VLOOKUP(B6,'Dados Meteorológicos'!$1:$988,15,0)</f>
        <v>19.73</v>
      </c>
      <c r="S6" s="62">
        <f>VLOOKUP(B6,'Dados Meteorológicos'!$1:$988,16,0)</f>
        <v>7.993</v>
      </c>
      <c r="T6" s="62">
        <f>VLOOKUP(B6,'Dados Meteorológicos'!$1:$988,17,0)</f>
        <v>46</v>
      </c>
      <c r="U6" s="62">
        <f>VLOOKUP(B6,'Dados Meteorológicos'!$1:$988,18,0)</f>
        <v>17.01</v>
      </c>
      <c r="V6" s="62">
        <f>VLOOKUP(B6,'Dados Meteorológicos'!$1:$988,19,0)</f>
        <v>185.6</v>
      </c>
      <c r="W6" s="62">
        <f>VLOOKUP(B6,'Dados Meteorológicos'!$1:$988,20,0)</f>
        <v>1.22</v>
      </c>
      <c r="X6" s="62">
        <f>VLOOKUP(B6,'Dados Meteorológicos'!$1:$988,21,0)</f>
        <v>16.13</v>
      </c>
      <c r="Y6" s="62">
        <f>VLOOKUP(B6,'Dados Meteorológicos'!$1:$988,22,0)</f>
        <v>29.77</v>
      </c>
      <c r="Z6" s="62">
        <f>VLOOKUP(B6,'Dados Meteorológicos'!$1:$988,23,0)</f>
        <v>19.22</v>
      </c>
      <c r="AA6" s="62">
        <f>VLOOKUP(B6,'Dados Meteorológicos'!$1:$988,24,0)</f>
        <v>4</v>
      </c>
      <c r="AB6" s="62">
        <f>VLOOKUP(B6,'Dados Meteorológicos'!$1:$988,25,0)</f>
        <v>19.03</v>
      </c>
      <c r="AC6" s="62">
        <f>VLOOKUP(B6,'Dados Meteorológicos'!$1:$988,26,0)</f>
        <v>8.912</v>
      </c>
      <c r="AD6" s="62">
        <f>VLOOKUP(B6,'Dados Meteorológicos'!$1:$988,27,0)</f>
        <v>51</v>
      </c>
      <c r="AE6" s="62">
        <f>VLOOKUP(B6,'Dados Meteorológicos'!$1:$988,28,0)</f>
        <v>16.32</v>
      </c>
      <c r="AF6" s="62">
        <f>VLOOKUP(B6,'Dados Meteorológicos'!$1:$988,29,0)</f>
        <v>47.5</v>
      </c>
      <c r="AG6" s="62">
        <f>VLOOKUP(B6,'Dados Meteorológicos'!$1:$988,30,0)</f>
        <v>1.2</v>
      </c>
      <c r="AH6" s="62">
        <f>VLOOKUP(B6,'Dados Meteorológicos'!$1:$988,31,0)</f>
        <v>16.26</v>
      </c>
      <c r="AI6" s="62">
        <f>VLOOKUP(B6,'Dados Meteorológicos'!$1:$988,32,0)</f>
        <v>29.26</v>
      </c>
      <c r="AJ6" s="62">
        <f>VLOOKUP(B6,'Dados Meteorológicos'!$1:$988,33,0)</f>
        <v>19.14</v>
      </c>
      <c r="AK6" s="62" t="str">
        <f>VLOOKUP(B6,'Dados Meteorológicos'!$1:$988,34,0)</f>
        <v/>
      </c>
      <c r="AL6" s="62" t="str">
        <f>VLOOKUP(B6,'Dados Meteorológicos'!$1:$988,35,0)</f>
        <v/>
      </c>
      <c r="AM6" s="62" t="str">
        <f>VLOOKUP(B6,'Dados Meteorológicos'!$1:$988,36,0)</f>
        <v/>
      </c>
      <c r="AN6" s="62" t="str">
        <f>VLOOKUP(B6,'Dados Meteorológicos'!$1:$988,37,0)</f>
        <v/>
      </c>
      <c r="AO6" s="62" t="str">
        <f>VLOOKUP(B6,'Dados Meteorológicos'!$1:$988,38,0)</f>
        <v/>
      </c>
      <c r="AP6" s="62" t="str">
        <f>VLOOKUP(B6,'Dados Meteorológicos'!$1:$988,39,0)</f>
        <v/>
      </c>
      <c r="AQ6" s="62" t="str">
        <f>VLOOKUP(B6,'Dados Meteorológicos'!$1:$988,40,0)</f>
        <v/>
      </c>
      <c r="AR6" s="62" t="str">
        <f>VLOOKUP(B6,'Dados Meteorológicos'!$1:$988,41,0)</f>
        <v/>
      </c>
      <c r="AS6" s="62" t="str">
        <f>VLOOKUP(B6,'Dados Meteorológicos'!$1:$988,42,0)</f>
        <v/>
      </c>
      <c r="AT6" s="62" t="str">
        <f>VLOOKUP(B6,'Dados Meteorológicos'!$1:$988,43,0)</f>
        <v/>
      </c>
      <c r="AU6" s="62" t="str">
        <f>VLOOKUP(B6,'Dados Meteorológicos'!$1:$988,44,0)</f>
        <v/>
      </c>
      <c r="AV6" s="62" t="str">
        <f>VLOOKUP(B6,'Dados Meteorológicos'!$1:$988,45,0)</f>
        <v/>
      </c>
      <c r="AW6" s="62" t="str">
        <f>VLOOKUP(B6,'Dados Meteorológicos'!$1:$988,46,0)</f>
        <v/>
      </c>
      <c r="AX6" s="62" t="str">
        <f>VLOOKUP(B6,'Dados Meteorológicos'!$1:$988,47,0)</f>
        <v/>
      </c>
      <c r="AY6" s="62" t="str">
        <f>VLOOKUP(B6,'Dados Meteorológicos'!$1:$988,48,0)</f>
        <v/>
      </c>
      <c r="AZ6" s="62" t="str">
        <f>VLOOKUP(B6,'Dados Meteorológicos'!$1:$988,49,0)</f>
        <v/>
      </c>
      <c r="BA6" s="62" t="str">
        <f>VLOOKUP(B6,'Dados Meteorológicos'!$1:$988,50,0)</f>
        <v/>
      </c>
      <c r="BB6" s="62" t="str">
        <f>VLOOKUP(B6,'Dados Meteorológicos'!$1:$988,51,0)</f>
        <v/>
      </c>
      <c r="BC6" s="62" t="str">
        <f>VLOOKUP(B6,'Dados Meteorológicos'!$1:$988,52,0)</f>
        <v/>
      </c>
      <c r="BD6" s="14" t="str">
        <f>VLOOKUP(B6,'Dados Meteorológicos'!$1:$988,53,0)</f>
        <v/>
      </c>
      <c r="BE6" s="62"/>
      <c r="BF6" s="63">
        <f t="shared" ref="BF6:BN6" si="7">AVERAGE(R6,AB6,AL6,AV6)</f>
        <v>19.38</v>
      </c>
      <c r="BG6" s="63">
        <f t="shared" si="7"/>
        <v>8.4525</v>
      </c>
      <c r="BH6" s="63">
        <f t="shared" si="7"/>
        <v>48.5</v>
      </c>
      <c r="BI6" s="63">
        <f t="shared" si="7"/>
        <v>16.665</v>
      </c>
      <c r="BJ6" s="63">
        <f t="shared" si="7"/>
        <v>116.55</v>
      </c>
      <c r="BK6" s="63">
        <f t="shared" si="7"/>
        <v>1.21</v>
      </c>
      <c r="BL6" s="63">
        <f t="shared" si="7"/>
        <v>16.195</v>
      </c>
      <c r="BM6" s="63">
        <f t="shared" si="7"/>
        <v>29.515</v>
      </c>
      <c r="BN6" s="63">
        <f t="shared" si="7"/>
        <v>19.18</v>
      </c>
    </row>
    <row r="7">
      <c r="A7" s="64">
        <v>6.0</v>
      </c>
      <c r="B7" s="79" t="s">
        <v>1645</v>
      </c>
      <c r="C7" s="66">
        <v>47.0</v>
      </c>
      <c r="D7" s="66">
        <v>48.0</v>
      </c>
      <c r="E7" s="55">
        <f t="shared" si="2"/>
        <v>95</v>
      </c>
      <c r="F7" s="67">
        <v>45824.0</v>
      </c>
      <c r="G7" s="66" t="s">
        <v>1646</v>
      </c>
      <c r="H7" s="68">
        <v>0.6666666666666666</v>
      </c>
      <c r="I7" s="68">
        <v>0.625</v>
      </c>
      <c r="J7" s="59" t="str">
        <f t="shared" si="3"/>
        <v>Afternoon</v>
      </c>
      <c r="K7" s="66" t="s">
        <v>376</v>
      </c>
      <c r="L7" s="66" t="s">
        <v>1647</v>
      </c>
      <c r="M7" s="69"/>
      <c r="N7" s="70" t="s">
        <v>1648</v>
      </c>
      <c r="O7" s="62">
        <f>VLOOKUP(B7,'Dados Meteorológicos'!$1:$988,12,0)</f>
        <v>33.75</v>
      </c>
      <c r="P7" s="62">
        <f>VLOOKUP(B7,'Dados Meteorológicos'!$1:$988,13,0)</f>
        <v>-84.5</v>
      </c>
      <c r="Q7" s="62">
        <f>VLOOKUP(B7,'Dados Meteorológicos'!$1:$988,14,0)</f>
        <v>20</v>
      </c>
      <c r="R7" s="62">
        <f>VLOOKUP(B7,'Dados Meteorológicos'!$1:$988,15,0)</f>
        <v>30.97</v>
      </c>
      <c r="S7" s="62">
        <f>VLOOKUP(B7,'Dados Meteorológicos'!$1:$988,16,0)</f>
        <v>21.68</v>
      </c>
      <c r="T7" s="62">
        <f>VLOOKUP(B7,'Dados Meteorológicos'!$1:$988,17,0)</f>
        <v>57</v>
      </c>
      <c r="U7" s="62">
        <f>VLOOKUP(B7,'Dados Meteorológicos'!$1:$988,18,0)</f>
        <v>31.98</v>
      </c>
      <c r="V7" s="62">
        <f>VLOOKUP(B7,'Dados Meteorológicos'!$1:$988,19,0)</f>
        <v>692.1</v>
      </c>
      <c r="W7" s="62">
        <f>VLOOKUP(B7,'Dados Meteorológicos'!$1:$988,20,0)</f>
        <v>1.76</v>
      </c>
      <c r="X7" s="62">
        <f>VLOOKUP(B7,'Dados Meteorológicos'!$1:$988,21,0)</f>
        <v>25.44</v>
      </c>
      <c r="Y7" s="62">
        <f>VLOOKUP(B7,'Dados Meteorológicos'!$1:$988,22,0)</f>
        <v>45.6</v>
      </c>
      <c r="Z7" s="62">
        <f>VLOOKUP(B7,'Dados Meteorológicos'!$1:$988,23,0)</f>
        <v>30.02</v>
      </c>
      <c r="AA7" s="62">
        <f>VLOOKUP(B7,'Dados Meteorológicos'!$1:$988,24,0)</f>
        <v>21</v>
      </c>
      <c r="AB7" s="62">
        <f>VLOOKUP(B7,'Dados Meteorológicos'!$1:$988,25,0)</f>
        <v>31.6</v>
      </c>
      <c r="AC7" s="62">
        <f>VLOOKUP(B7,'Dados Meteorológicos'!$1:$988,26,0)</f>
        <v>20.64</v>
      </c>
      <c r="AD7" s="62">
        <f>VLOOKUP(B7,'Dados Meteorológicos'!$1:$988,27,0)</f>
        <v>52</v>
      </c>
      <c r="AE7" s="62">
        <f>VLOOKUP(B7,'Dados Meteorológicos'!$1:$988,28,0)</f>
        <v>33.09</v>
      </c>
      <c r="AF7" s="62">
        <f>VLOOKUP(B7,'Dados Meteorológicos'!$1:$988,29,0)</f>
        <v>654.2</v>
      </c>
      <c r="AG7" s="62">
        <f>VLOOKUP(B7,'Dados Meteorológicos'!$1:$988,30,0)</f>
        <v>2.07</v>
      </c>
      <c r="AH7" s="62">
        <f>VLOOKUP(B7,'Dados Meteorológicos'!$1:$988,31,0)</f>
        <v>25.16</v>
      </c>
      <c r="AI7" s="62">
        <f>VLOOKUP(B7,'Dados Meteorológicos'!$1:$988,32,0)</f>
        <v>45.69</v>
      </c>
      <c r="AJ7" s="62">
        <f>VLOOKUP(B7,'Dados Meteorológicos'!$1:$988,33,0)</f>
        <v>29.91</v>
      </c>
      <c r="AK7" s="62" t="str">
        <f>VLOOKUP(B7,'Dados Meteorológicos'!$1:$988,34,0)</f>
        <v/>
      </c>
      <c r="AL7" s="62" t="str">
        <f>VLOOKUP(B7,'Dados Meteorológicos'!$1:$988,35,0)</f>
        <v/>
      </c>
      <c r="AM7" s="62" t="str">
        <f>VLOOKUP(B7,'Dados Meteorológicos'!$1:$988,36,0)</f>
        <v/>
      </c>
      <c r="AN7" s="62" t="str">
        <f>VLOOKUP(B7,'Dados Meteorológicos'!$1:$988,37,0)</f>
        <v/>
      </c>
      <c r="AO7" s="62" t="str">
        <f>VLOOKUP(B7,'Dados Meteorológicos'!$1:$988,38,0)</f>
        <v/>
      </c>
      <c r="AP7" s="62" t="str">
        <f>VLOOKUP(B7,'Dados Meteorológicos'!$1:$988,39,0)</f>
        <v/>
      </c>
      <c r="AQ7" s="62" t="str">
        <f>VLOOKUP(B7,'Dados Meteorológicos'!$1:$988,40,0)</f>
        <v/>
      </c>
      <c r="AR7" s="62" t="str">
        <f>VLOOKUP(B7,'Dados Meteorológicos'!$1:$988,41,0)</f>
        <v/>
      </c>
      <c r="AS7" s="62" t="str">
        <f>VLOOKUP(B7,'Dados Meteorológicos'!$1:$988,42,0)</f>
        <v/>
      </c>
      <c r="AT7" s="62" t="str">
        <f>VLOOKUP(B7,'Dados Meteorológicos'!$1:$988,43,0)</f>
        <v/>
      </c>
      <c r="AU7" s="62" t="str">
        <f>VLOOKUP(B7,'Dados Meteorológicos'!$1:$988,44,0)</f>
        <v/>
      </c>
      <c r="AV7" s="62" t="str">
        <f>VLOOKUP(B7,'Dados Meteorológicos'!$1:$988,45,0)</f>
        <v/>
      </c>
      <c r="AW7" s="62" t="str">
        <f>VLOOKUP(B7,'Dados Meteorológicos'!$1:$988,46,0)</f>
        <v/>
      </c>
      <c r="AX7" s="62" t="str">
        <f>VLOOKUP(B7,'Dados Meteorológicos'!$1:$988,47,0)</f>
        <v/>
      </c>
      <c r="AY7" s="62" t="str">
        <f>VLOOKUP(B7,'Dados Meteorológicos'!$1:$988,48,0)</f>
        <v/>
      </c>
      <c r="AZ7" s="62" t="str">
        <f>VLOOKUP(B7,'Dados Meteorológicos'!$1:$988,49,0)</f>
        <v/>
      </c>
      <c r="BA7" s="62" t="str">
        <f>VLOOKUP(B7,'Dados Meteorológicos'!$1:$988,50,0)</f>
        <v/>
      </c>
      <c r="BB7" s="62" t="str">
        <f>VLOOKUP(B7,'Dados Meteorológicos'!$1:$988,51,0)</f>
        <v/>
      </c>
      <c r="BC7" s="62" t="str">
        <f>VLOOKUP(B7,'Dados Meteorológicos'!$1:$988,52,0)</f>
        <v/>
      </c>
      <c r="BD7" s="14" t="str">
        <f>VLOOKUP(B7,'Dados Meteorológicos'!$1:$988,53,0)</f>
        <v/>
      </c>
      <c r="BE7" s="62"/>
      <c r="BF7" s="63">
        <f t="shared" ref="BF7:BN7" si="8">AVERAGE(R7,AB7,AL7,AV7)</f>
        <v>31.285</v>
      </c>
      <c r="BG7" s="63">
        <f t="shared" si="8"/>
        <v>21.16</v>
      </c>
      <c r="BH7" s="63">
        <f t="shared" si="8"/>
        <v>54.5</v>
      </c>
      <c r="BI7" s="63">
        <f t="shared" si="8"/>
        <v>32.535</v>
      </c>
      <c r="BJ7" s="63">
        <f t="shared" si="8"/>
        <v>673.15</v>
      </c>
      <c r="BK7" s="63">
        <f t="shared" si="8"/>
        <v>1.915</v>
      </c>
      <c r="BL7" s="63">
        <f t="shared" si="8"/>
        <v>25.3</v>
      </c>
      <c r="BM7" s="63">
        <f t="shared" si="8"/>
        <v>45.645</v>
      </c>
      <c r="BN7" s="63">
        <f t="shared" si="8"/>
        <v>29.965</v>
      </c>
    </row>
    <row r="8">
      <c r="A8" s="64">
        <v>7.0</v>
      </c>
      <c r="B8" s="80" t="s">
        <v>1649</v>
      </c>
      <c r="C8" s="81">
        <v>53.0</v>
      </c>
      <c r="D8" s="82">
        <v>50.0</v>
      </c>
      <c r="E8" s="55">
        <f t="shared" si="2"/>
        <v>103</v>
      </c>
      <c r="F8" s="83">
        <v>45824.0</v>
      </c>
      <c r="G8" s="82" t="s">
        <v>1629</v>
      </c>
      <c r="H8" s="84">
        <v>0.7916666666666666</v>
      </c>
      <c r="I8" s="84">
        <v>0.75</v>
      </c>
      <c r="J8" s="59" t="str">
        <f t="shared" si="3"/>
        <v>Evening</v>
      </c>
      <c r="K8" s="82" t="s">
        <v>62</v>
      </c>
      <c r="L8" s="82" t="s">
        <v>1630</v>
      </c>
      <c r="M8" s="85"/>
      <c r="N8" s="61" t="s">
        <v>1631</v>
      </c>
      <c r="O8" s="62">
        <f>VLOOKUP(B8,'Dados Meteorológicos'!$1:$988,12,0)</f>
        <v>26</v>
      </c>
      <c r="P8" s="62">
        <f>VLOOKUP(B8,'Dados Meteorológicos'!$1:$988,13,0)</f>
        <v>-80.25</v>
      </c>
      <c r="Q8" s="62">
        <f>VLOOKUP(B8,'Dados Meteorológicos'!$1:$988,14,0)</f>
        <v>23</v>
      </c>
      <c r="R8" s="62">
        <f>VLOOKUP(B8,'Dados Meteorológicos'!$1:$988,15,0)</f>
        <v>28.88</v>
      </c>
      <c r="S8" s="62">
        <f>VLOOKUP(B8,'Dados Meteorológicos'!$1:$988,16,0)</f>
        <v>22.93</v>
      </c>
      <c r="T8" s="62">
        <f>VLOOKUP(B8,'Dados Meteorológicos'!$1:$988,17,0)</f>
        <v>70</v>
      </c>
      <c r="U8" s="62">
        <f>VLOOKUP(B8,'Dados Meteorológicos'!$1:$988,18,0)</f>
        <v>28.56</v>
      </c>
      <c r="V8" s="62">
        <f>VLOOKUP(B8,'Dados Meteorológicos'!$1:$988,19,0)</f>
        <v>214.5</v>
      </c>
      <c r="W8" s="62">
        <f>VLOOKUP(B8,'Dados Meteorológicos'!$1:$988,20,0)</f>
        <v>2.58</v>
      </c>
      <c r="X8" s="62">
        <f>VLOOKUP(B8,'Dados Meteorológicos'!$1:$988,21,0)</f>
        <v>24.88</v>
      </c>
      <c r="Y8" s="62">
        <f>VLOOKUP(B8,'Dados Meteorológicos'!$1:$988,22,0)</f>
        <v>42.93</v>
      </c>
      <c r="Z8" s="62">
        <f>VLOOKUP(B8,'Dados Meteorológicos'!$1:$988,23,0)</f>
        <v>28.89</v>
      </c>
      <c r="AA8" s="62" t="str">
        <f>VLOOKUP(B8,'Dados Meteorológicos'!$1:$988,24,0)</f>
        <v>00+1d</v>
      </c>
      <c r="AB8" s="62">
        <f>VLOOKUP(B8,'Dados Meteorológicos'!$1:$988,25,0)</f>
        <v>28.38</v>
      </c>
      <c r="AC8" s="62">
        <f>VLOOKUP(B8,'Dados Meteorológicos'!$1:$988,26,0)</f>
        <v>22.73</v>
      </c>
      <c r="AD8" s="62">
        <f>VLOOKUP(B8,'Dados Meteorológicos'!$1:$988,27,0)</f>
        <v>71</v>
      </c>
      <c r="AE8" s="62">
        <f>VLOOKUP(B8,'Dados Meteorológicos'!$1:$988,28,0)</f>
        <v>27.79</v>
      </c>
      <c r="AF8" s="62">
        <f>VLOOKUP(B8,'Dados Meteorológicos'!$1:$988,29,0)</f>
        <v>71.2</v>
      </c>
      <c r="AG8" s="62">
        <f>VLOOKUP(B8,'Dados Meteorológicos'!$1:$988,30,0)</f>
        <v>2.1</v>
      </c>
      <c r="AH8" s="62">
        <f>VLOOKUP(B8,'Dados Meteorológicos'!$1:$988,31,0)</f>
        <v>24.74</v>
      </c>
      <c r="AI8" s="62">
        <f>VLOOKUP(B8,'Dados Meteorológicos'!$1:$988,32,0)</f>
        <v>42.84</v>
      </c>
      <c r="AJ8" s="62">
        <f>VLOOKUP(B8,'Dados Meteorológicos'!$1:$988,33,0)</f>
        <v>28.72</v>
      </c>
      <c r="AK8" s="62" t="str">
        <f>VLOOKUP(B8,'Dados Meteorológicos'!$1:$988,34,0)</f>
        <v/>
      </c>
      <c r="AL8" s="62" t="str">
        <f>VLOOKUP(B8,'Dados Meteorológicos'!$1:$988,35,0)</f>
        <v/>
      </c>
      <c r="AM8" s="62" t="str">
        <f>VLOOKUP(B8,'Dados Meteorológicos'!$1:$988,36,0)</f>
        <v/>
      </c>
      <c r="AN8" s="62" t="str">
        <f>VLOOKUP(B8,'Dados Meteorológicos'!$1:$988,37,0)</f>
        <v/>
      </c>
      <c r="AO8" s="62" t="str">
        <f>VLOOKUP(B8,'Dados Meteorológicos'!$1:$988,38,0)</f>
        <v/>
      </c>
      <c r="AP8" s="62" t="str">
        <f>VLOOKUP(B8,'Dados Meteorológicos'!$1:$988,39,0)</f>
        <v/>
      </c>
      <c r="AQ8" s="62" t="str">
        <f>VLOOKUP(B8,'Dados Meteorológicos'!$1:$988,40,0)</f>
        <v/>
      </c>
      <c r="AR8" s="62" t="str">
        <f>VLOOKUP(B8,'Dados Meteorológicos'!$1:$988,41,0)</f>
        <v/>
      </c>
      <c r="AS8" s="62" t="str">
        <f>VLOOKUP(B8,'Dados Meteorológicos'!$1:$988,42,0)</f>
        <v/>
      </c>
      <c r="AT8" s="62" t="str">
        <f>VLOOKUP(B8,'Dados Meteorológicos'!$1:$988,43,0)</f>
        <v/>
      </c>
      <c r="AU8" s="62" t="str">
        <f>VLOOKUP(B8,'Dados Meteorológicos'!$1:$988,44,0)</f>
        <v/>
      </c>
      <c r="AV8" s="62" t="str">
        <f>VLOOKUP(B8,'Dados Meteorológicos'!$1:$988,45,0)</f>
        <v/>
      </c>
      <c r="AW8" s="62" t="str">
        <f>VLOOKUP(B8,'Dados Meteorológicos'!$1:$988,46,0)</f>
        <v/>
      </c>
      <c r="AX8" s="62" t="str">
        <f>VLOOKUP(B8,'Dados Meteorológicos'!$1:$988,47,0)</f>
        <v/>
      </c>
      <c r="AY8" s="62" t="str">
        <f>VLOOKUP(B8,'Dados Meteorológicos'!$1:$988,48,0)</f>
        <v/>
      </c>
      <c r="AZ8" s="62" t="str">
        <f>VLOOKUP(B8,'Dados Meteorológicos'!$1:$988,49,0)</f>
        <v/>
      </c>
      <c r="BA8" s="62" t="str">
        <f>VLOOKUP(B8,'Dados Meteorológicos'!$1:$988,50,0)</f>
        <v/>
      </c>
      <c r="BB8" s="62" t="str">
        <f>VLOOKUP(B8,'Dados Meteorológicos'!$1:$988,51,0)</f>
        <v/>
      </c>
      <c r="BC8" s="62" t="str">
        <f>VLOOKUP(B8,'Dados Meteorológicos'!$1:$988,52,0)</f>
        <v/>
      </c>
      <c r="BD8" s="14" t="str">
        <f>VLOOKUP(B8,'Dados Meteorológicos'!$1:$988,53,0)</f>
        <v/>
      </c>
      <c r="BE8" s="62"/>
      <c r="BF8" s="63">
        <f t="shared" ref="BF8:BN8" si="9">AVERAGE(R8,AB8,AL8,AV8)</f>
        <v>28.63</v>
      </c>
      <c r="BG8" s="63">
        <f t="shared" si="9"/>
        <v>22.83</v>
      </c>
      <c r="BH8" s="63">
        <f t="shared" si="9"/>
        <v>70.5</v>
      </c>
      <c r="BI8" s="63">
        <f t="shared" si="9"/>
        <v>28.175</v>
      </c>
      <c r="BJ8" s="63">
        <f t="shared" si="9"/>
        <v>142.85</v>
      </c>
      <c r="BK8" s="63">
        <f t="shared" si="9"/>
        <v>2.34</v>
      </c>
      <c r="BL8" s="63">
        <f t="shared" si="9"/>
        <v>24.81</v>
      </c>
      <c r="BM8" s="63">
        <f t="shared" si="9"/>
        <v>42.885</v>
      </c>
      <c r="BN8" s="63">
        <f t="shared" si="9"/>
        <v>28.805</v>
      </c>
    </row>
    <row r="9">
      <c r="A9" s="64">
        <v>8.0</v>
      </c>
      <c r="B9" s="70" t="s">
        <v>1650</v>
      </c>
      <c r="C9" s="66">
        <v>46.0</v>
      </c>
      <c r="D9" s="66">
        <v>48.0</v>
      </c>
      <c r="E9" s="55">
        <f t="shared" si="2"/>
        <v>94</v>
      </c>
      <c r="F9" s="67">
        <v>45824.0</v>
      </c>
      <c r="G9" s="66" t="s">
        <v>1651</v>
      </c>
      <c r="H9" s="68">
        <v>0.9166666666666666</v>
      </c>
      <c r="I9" s="68">
        <v>0.875</v>
      </c>
      <c r="J9" s="59" t="str">
        <f t="shared" si="3"/>
        <v>Evening</v>
      </c>
      <c r="K9" s="66" t="s">
        <v>500</v>
      </c>
      <c r="L9" s="66" t="s">
        <v>1630</v>
      </c>
      <c r="M9" s="69"/>
      <c r="N9" s="70" t="s">
        <v>1652</v>
      </c>
      <c r="O9" s="62">
        <f>VLOOKUP(B9,'Dados Meteorológicos'!$1:$988,12,0)</f>
        <v>40</v>
      </c>
      <c r="P9" s="62">
        <f>VLOOKUP(B9,'Dados Meteorológicos'!$1:$988,13,0)</f>
        <v>-75.25</v>
      </c>
      <c r="Q9" s="62">
        <f>VLOOKUP(B9,'Dados Meteorológicos'!$1:$988,14,0)</f>
        <v>2</v>
      </c>
      <c r="R9" s="62">
        <f>VLOOKUP(B9,'Dados Meteorológicos'!$1:$988,15,0)</f>
        <v>17.75</v>
      </c>
      <c r="S9" s="62">
        <f>VLOOKUP(B9,'Dados Meteorológicos'!$1:$988,16,0)</f>
        <v>16.74</v>
      </c>
      <c r="T9" s="62">
        <f>VLOOKUP(B9,'Dados Meteorológicos'!$1:$988,17,0)</f>
        <v>93</v>
      </c>
      <c r="U9" s="62">
        <f>VLOOKUP(B9,'Dados Meteorológicos'!$1:$988,18,0)</f>
        <v>15.12</v>
      </c>
      <c r="V9" s="62">
        <f>VLOOKUP(B9,'Dados Meteorológicos'!$1:$988,19,0)</f>
        <v>0</v>
      </c>
      <c r="W9" s="62">
        <f>VLOOKUP(B9,'Dados Meteorológicos'!$1:$988,20,0)</f>
        <v>1.51</v>
      </c>
      <c r="X9" s="62">
        <f>VLOOKUP(B9,'Dados Meteorológicos'!$1:$988,21,0)</f>
        <v>18.25</v>
      </c>
      <c r="Y9" s="62">
        <f>VLOOKUP(B9,'Dados Meteorológicos'!$1:$988,22,0)</f>
        <v>30.69</v>
      </c>
      <c r="Z9" s="62">
        <f>VLOOKUP(B9,'Dados Meteorológicos'!$1:$988,23,0)</f>
        <v>20.69</v>
      </c>
      <c r="AA9" s="62">
        <f>VLOOKUP(B9,'Dados Meteorológicos'!$1:$988,24,0)</f>
        <v>3</v>
      </c>
      <c r="AB9" s="62">
        <f>VLOOKUP(B9,'Dados Meteorológicos'!$1:$988,25,0)</f>
        <v>17.68</v>
      </c>
      <c r="AC9" s="62">
        <f>VLOOKUP(B9,'Dados Meteorológicos'!$1:$988,26,0)</f>
        <v>16.69</v>
      </c>
      <c r="AD9" s="62">
        <f>VLOOKUP(B9,'Dados Meteorológicos'!$1:$988,27,0)</f>
        <v>93</v>
      </c>
      <c r="AE9" s="62">
        <f>VLOOKUP(B9,'Dados Meteorológicos'!$1:$988,28,0)</f>
        <v>15.07</v>
      </c>
      <c r="AF9" s="62">
        <f>VLOOKUP(B9,'Dados Meteorológicos'!$1:$988,29,0)</f>
        <v>0</v>
      </c>
      <c r="AG9" s="62">
        <f>VLOOKUP(B9,'Dados Meteorológicos'!$1:$988,30,0)</f>
        <v>1.38</v>
      </c>
      <c r="AH9" s="62">
        <f>VLOOKUP(B9,'Dados Meteorológicos'!$1:$988,31,0)</f>
        <v>18.24</v>
      </c>
      <c r="AI9" s="62">
        <f>VLOOKUP(B9,'Dados Meteorológicos'!$1:$988,32,0)</f>
        <v>30.74</v>
      </c>
      <c r="AJ9" s="62">
        <f>VLOOKUP(B9,'Dados Meteorológicos'!$1:$988,33,0)</f>
        <v>20.69</v>
      </c>
      <c r="AK9" s="62" t="str">
        <f>VLOOKUP(B9,'Dados Meteorológicos'!$1:$988,34,0)</f>
        <v/>
      </c>
      <c r="AL9" s="62" t="str">
        <f>VLOOKUP(B9,'Dados Meteorológicos'!$1:$988,35,0)</f>
        <v/>
      </c>
      <c r="AM9" s="62" t="str">
        <f>VLOOKUP(B9,'Dados Meteorológicos'!$1:$988,36,0)</f>
        <v/>
      </c>
      <c r="AN9" s="62" t="str">
        <f>VLOOKUP(B9,'Dados Meteorológicos'!$1:$988,37,0)</f>
        <v/>
      </c>
      <c r="AO9" s="62" t="str">
        <f>VLOOKUP(B9,'Dados Meteorológicos'!$1:$988,38,0)</f>
        <v/>
      </c>
      <c r="AP9" s="62" t="str">
        <f>VLOOKUP(B9,'Dados Meteorológicos'!$1:$988,39,0)</f>
        <v/>
      </c>
      <c r="AQ9" s="62" t="str">
        <f>VLOOKUP(B9,'Dados Meteorológicos'!$1:$988,40,0)</f>
        <v/>
      </c>
      <c r="AR9" s="62" t="str">
        <f>VLOOKUP(B9,'Dados Meteorológicos'!$1:$988,41,0)</f>
        <v/>
      </c>
      <c r="AS9" s="62" t="str">
        <f>VLOOKUP(B9,'Dados Meteorológicos'!$1:$988,42,0)</f>
        <v/>
      </c>
      <c r="AT9" s="62" t="str">
        <f>VLOOKUP(B9,'Dados Meteorológicos'!$1:$988,43,0)</f>
        <v/>
      </c>
      <c r="AU9" s="62" t="str">
        <f>VLOOKUP(B9,'Dados Meteorológicos'!$1:$988,44,0)</f>
        <v/>
      </c>
      <c r="AV9" s="62" t="str">
        <f>VLOOKUP(B9,'Dados Meteorológicos'!$1:$988,45,0)</f>
        <v/>
      </c>
      <c r="AW9" s="62" t="str">
        <f>VLOOKUP(B9,'Dados Meteorológicos'!$1:$988,46,0)</f>
        <v/>
      </c>
      <c r="AX9" s="62" t="str">
        <f>VLOOKUP(B9,'Dados Meteorológicos'!$1:$988,47,0)</f>
        <v/>
      </c>
      <c r="AY9" s="62" t="str">
        <f>VLOOKUP(B9,'Dados Meteorológicos'!$1:$988,48,0)</f>
        <v/>
      </c>
      <c r="AZ9" s="62" t="str">
        <f>VLOOKUP(B9,'Dados Meteorológicos'!$1:$988,49,0)</f>
        <v/>
      </c>
      <c r="BA9" s="62" t="str">
        <f>VLOOKUP(B9,'Dados Meteorológicos'!$1:$988,50,0)</f>
        <v/>
      </c>
      <c r="BB9" s="62" t="str">
        <f>VLOOKUP(B9,'Dados Meteorológicos'!$1:$988,51,0)</f>
        <v/>
      </c>
      <c r="BC9" s="62" t="str">
        <f>VLOOKUP(B9,'Dados Meteorológicos'!$1:$988,52,0)</f>
        <v/>
      </c>
      <c r="BD9" s="14" t="str">
        <f>VLOOKUP(B9,'Dados Meteorológicos'!$1:$988,53,0)</f>
        <v/>
      </c>
      <c r="BE9" s="62"/>
      <c r="BF9" s="63">
        <f t="shared" ref="BF9:BN9" si="10">AVERAGE(R9,AB9,AL9,AV9)</f>
        <v>17.715</v>
      </c>
      <c r="BG9" s="63">
        <f t="shared" si="10"/>
        <v>16.715</v>
      </c>
      <c r="BH9" s="63">
        <f t="shared" si="10"/>
        <v>93</v>
      </c>
      <c r="BI9" s="63">
        <f t="shared" si="10"/>
        <v>15.095</v>
      </c>
      <c r="BJ9" s="63">
        <f t="shared" si="10"/>
        <v>0</v>
      </c>
      <c r="BK9" s="63">
        <f t="shared" si="10"/>
        <v>1.445</v>
      </c>
      <c r="BL9" s="63">
        <f t="shared" si="10"/>
        <v>18.245</v>
      </c>
      <c r="BM9" s="63">
        <f t="shared" si="10"/>
        <v>30.715</v>
      </c>
      <c r="BN9" s="63">
        <f t="shared" si="10"/>
        <v>20.69</v>
      </c>
    </row>
    <row r="10">
      <c r="A10" s="64">
        <v>9.0</v>
      </c>
      <c r="B10" s="86" t="s">
        <v>1653</v>
      </c>
      <c r="C10" s="78">
        <v>48.0</v>
      </c>
      <c r="D10" s="78">
        <v>51.0</v>
      </c>
      <c r="E10" s="55">
        <f t="shared" si="2"/>
        <v>99</v>
      </c>
      <c r="F10" s="74">
        <v>45825.0</v>
      </c>
      <c r="G10" s="78" t="s">
        <v>1640</v>
      </c>
      <c r="H10" s="75">
        <v>0.5416666666666666</v>
      </c>
      <c r="I10" s="75">
        <v>0.5</v>
      </c>
      <c r="J10" s="59" t="str">
        <f t="shared" si="3"/>
        <v>Afternoon</v>
      </c>
      <c r="K10" s="72" t="s">
        <v>249</v>
      </c>
      <c r="L10" s="72" t="s">
        <v>1630</v>
      </c>
      <c r="M10" s="76"/>
      <c r="N10" s="70" t="s">
        <v>1641</v>
      </c>
      <c r="O10" s="62">
        <f>VLOOKUP(B10,'Dados Meteorológicos'!$1:$988,12,0)</f>
        <v>40.75</v>
      </c>
      <c r="P10" s="62">
        <f>VLOOKUP(B10,'Dados Meteorológicos'!$1:$988,13,0)</f>
        <v>-74</v>
      </c>
      <c r="Q10" s="62">
        <f>VLOOKUP(B10,'Dados Meteorológicos'!$1:$988,14,0)</f>
        <v>17</v>
      </c>
      <c r="R10" s="62">
        <f>VLOOKUP(B10,'Dados Meteorológicos'!$1:$988,15,0)</f>
        <v>19.84</v>
      </c>
      <c r="S10" s="62">
        <f>VLOOKUP(B10,'Dados Meteorológicos'!$1:$988,16,0)</f>
        <v>17.96</v>
      </c>
      <c r="T10" s="62">
        <f>VLOOKUP(B10,'Dados Meteorológicos'!$1:$988,17,0)</f>
        <v>88</v>
      </c>
      <c r="U10" s="62">
        <f>VLOOKUP(B10,'Dados Meteorológicos'!$1:$988,18,0)</f>
        <v>17.11</v>
      </c>
      <c r="V10" s="62">
        <f>VLOOKUP(B10,'Dados Meteorológicos'!$1:$988,19,0)</f>
        <v>115.9</v>
      </c>
      <c r="W10" s="62">
        <f>VLOOKUP(B10,'Dados Meteorológicos'!$1:$988,20,0)</f>
        <v>1.51</v>
      </c>
      <c r="X10" s="62">
        <f>VLOOKUP(B10,'Dados Meteorológicos'!$1:$988,21,0)</f>
        <v>19.61</v>
      </c>
      <c r="Y10" s="62">
        <f>VLOOKUP(B10,'Dados Meteorológicos'!$1:$988,22,0)</f>
        <v>33.16</v>
      </c>
      <c r="Z10" s="62">
        <f>VLOOKUP(B10,'Dados Meteorológicos'!$1:$988,23,0)</f>
        <v>22.34</v>
      </c>
      <c r="AA10" s="62">
        <f>VLOOKUP(B10,'Dados Meteorológicos'!$1:$988,24,0)</f>
        <v>18</v>
      </c>
      <c r="AB10" s="62">
        <f>VLOOKUP(B10,'Dados Meteorológicos'!$1:$988,25,0)</f>
        <v>19.89</v>
      </c>
      <c r="AC10" s="62">
        <f>VLOOKUP(B10,'Dados Meteorológicos'!$1:$988,26,0)</f>
        <v>18.31</v>
      </c>
      <c r="AD10" s="62">
        <f>VLOOKUP(B10,'Dados Meteorológicos'!$1:$988,27,0)</f>
        <v>90</v>
      </c>
      <c r="AE10" s="62">
        <f>VLOOKUP(B10,'Dados Meteorológicos'!$1:$988,28,0)</f>
        <v>17.16</v>
      </c>
      <c r="AF10" s="62">
        <f>VLOOKUP(B10,'Dados Meteorológicos'!$1:$988,29,0)</f>
        <v>99</v>
      </c>
      <c r="AG10" s="62">
        <f>VLOOKUP(B10,'Dados Meteorológicos'!$1:$988,30,0)</f>
        <v>1.48</v>
      </c>
      <c r="AH10" s="62">
        <f>VLOOKUP(B10,'Dados Meteorológicos'!$1:$988,31,0)</f>
        <v>19.74</v>
      </c>
      <c r="AI10" s="62">
        <f>VLOOKUP(B10,'Dados Meteorológicos'!$1:$988,32,0)</f>
        <v>33.4</v>
      </c>
      <c r="AJ10" s="62">
        <f>VLOOKUP(B10,'Dados Meteorológicos'!$1:$988,33,0)</f>
        <v>22.49</v>
      </c>
      <c r="AK10" s="62" t="str">
        <f>VLOOKUP(B10,'Dados Meteorológicos'!$1:$988,34,0)</f>
        <v/>
      </c>
      <c r="AL10" s="62" t="str">
        <f>VLOOKUP(B10,'Dados Meteorológicos'!$1:$988,35,0)</f>
        <v/>
      </c>
      <c r="AM10" s="62" t="str">
        <f>VLOOKUP(B10,'Dados Meteorológicos'!$1:$988,36,0)</f>
        <v/>
      </c>
      <c r="AN10" s="62" t="str">
        <f>VLOOKUP(B10,'Dados Meteorológicos'!$1:$988,37,0)</f>
        <v/>
      </c>
      <c r="AO10" s="62" t="str">
        <f>VLOOKUP(B10,'Dados Meteorológicos'!$1:$988,38,0)</f>
        <v/>
      </c>
      <c r="AP10" s="62" t="str">
        <f>VLOOKUP(B10,'Dados Meteorológicos'!$1:$988,39,0)</f>
        <v/>
      </c>
      <c r="AQ10" s="62" t="str">
        <f>VLOOKUP(B10,'Dados Meteorológicos'!$1:$988,40,0)</f>
        <v/>
      </c>
      <c r="AR10" s="62" t="str">
        <f>VLOOKUP(B10,'Dados Meteorológicos'!$1:$988,41,0)</f>
        <v/>
      </c>
      <c r="AS10" s="62" t="str">
        <f>VLOOKUP(B10,'Dados Meteorológicos'!$1:$988,42,0)</f>
        <v/>
      </c>
      <c r="AT10" s="62" t="str">
        <f>VLOOKUP(B10,'Dados Meteorológicos'!$1:$988,43,0)</f>
        <v/>
      </c>
      <c r="AU10" s="62" t="str">
        <f>VLOOKUP(B10,'Dados Meteorológicos'!$1:$988,44,0)</f>
        <v/>
      </c>
      <c r="AV10" s="62" t="str">
        <f>VLOOKUP(B10,'Dados Meteorológicos'!$1:$988,45,0)</f>
        <v/>
      </c>
      <c r="AW10" s="62" t="str">
        <f>VLOOKUP(B10,'Dados Meteorológicos'!$1:$988,46,0)</f>
        <v/>
      </c>
      <c r="AX10" s="62" t="str">
        <f>VLOOKUP(B10,'Dados Meteorológicos'!$1:$988,47,0)</f>
        <v/>
      </c>
      <c r="AY10" s="62" t="str">
        <f>VLOOKUP(B10,'Dados Meteorológicos'!$1:$988,48,0)</f>
        <v/>
      </c>
      <c r="AZ10" s="62" t="str">
        <f>VLOOKUP(B10,'Dados Meteorológicos'!$1:$988,49,0)</f>
        <v/>
      </c>
      <c r="BA10" s="62" t="str">
        <f>VLOOKUP(B10,'Dados Meteorológicos'!$1:$988,50,0)</f>
        <v/>
      </c>
      <c r="BB10" s="62" t="str">
        <f>VLOOKUP(B10,'Dados Meteorológicos'!$1:$988,51,0)</f>
        <v/>
      </c>
      <c r="BC10" s="62" t="str">
        <f>VLOOKUP(B10,'Dados Meteorológicos'!$1:$988,52,0)</f>
        <v/>
      </c>
      <c r="BD10" s="14" t="str">
        <f>VLOOKUP(B10,'Dados Meteorológicos'!$1:$988,53,0)</f>
        <v/>
      </c>
      <c r="BE10" s="62"/>
      <c r="BF10" s="63">
        <f t="shared" ref="BF10:BN10" si="11">AVERAGE(R10,AB10,AL10,AV10)</f>
        <v>19.865</v>
      </c>
      <c r="BG10" s="63">
        <f t="shared" si="11"/>
        <v>18.135</v>
      </c>
      <c r="BH10" s="63">
        <f t="shared" si="11"/>
        <v>89</v>
      </c>
      <c r="BI10" s="63">
        <f t="shared" si="11"/>
        <v>17.135</v>
      </c>
      <c r="BJ10" s="63">
        <f t="shared" si="11"/>
        <v>107.45</v>
      </c>
      <c r="BK10" s="63">
        <f t="shared" si="11"/>
        <v>1.495</v>
      </c>
      <c r="BL10" s="63">
        <f t="shared" si="11"/>
        <v>19.675</v>
      </c>
      <c r="BM10" s="63">
        <f t="shared" si="11"/>
        <v>33.28</v>
      </c>
      <c r="BN10" s="63">
        <f t="shared" si="11"/>
        <v>22.415</v>
      </c>
    </row>
    <row r="11">
      <c r="A11" s="64">
        <v>10.0</v>
      </c>
      <c r="B11" s="87" t="s">
        <v>1654</v>
      </c>
      <c r="C11" s="88">
        <v>47.0</v>
      </c>
      <c r="D11" s="78">
        <v>50.0</v>
      </c>
      <c r="E11" s="55">
        <f t="shared" si="2"/>
        <v>97</v>
      </c>
      <c r="F11" s="74">
        <v>45825.0</v>
      </c>
      <c r="G11" s="72" t="s">
        <v>1643</v>
      </c>
      <c r="H11" s="75">
        <v>0.6666666666666666</v>
      </c>
      <c r="I11" s="75">
        <v>0.5</v>
      </c>
      <c r="J11" s="59" t="str">
        <f t="shared" si="3"/>
        <v>Afternoon</v>
      </c>
      <c r="K11" s="72" t="s">
        <v>312</v>
      </c>
      <c r="L11" s="72" t="s">
        <v>1630</v>
      </c>
      <c r="M11" s="76"/>
      <c r="N11" s="70" t="s">
        <v>1644</v>
      </c>
      <c r="O11" s="62">
        <f>VLOOKUP(B11,'Dados Meteorológicos'!$1:$988,12,0)</f>
        <v>47.5</v>
      </c>
      <c r="P11" s="62">
        <f>VLOOKUP(B11,'Dados Meteorológicos'!$1:$988,13,0)</f>
        <v>-122.25</v>
      </c>
      <c r="Q11" s="62">
        <f>VLOOKUP(B11,'Dados Meteorológicos'!$1:$988,14,0)</f>
        <v>20</v>
      </c>
      <c r="R11" s="62">
        <f>VLOOKUP(B11,'Dados Meteorológicos'!$1:$988,15,0)</f>
        <v>19.69</v>
      </c>
      <c r="S11" s="62">
        <f>VLOOKUP(B11,'Dados Meteorológicos'!$1:$988,16,0)</f>
        <v>7.179</v>
      </c>
      <c r="T11" s="62">
        <f>VLOOKUP(B11,'Dados Meteorológicos'!$1:$988,17,0)</f>
        <v>44</v>
      </c>
      <c r="U11" s="62">
        <f>VLOOKUP(B11,'Dados Meteorológicos'!$1:$988,18,0)</f>
        <v>16.96</v>
      </c>
      <c r="V11" s="62">
        <f>VLOOKUP(B11,'Dados Meteorológicos'!$1:$988,19,0)</f>
        <v>603.8</v>
      </c>
      <c r="W11" s="62">
        <f>VLOOKUP(B11,'Dados Meteorológicos'!$1:$988,20,0)</f>
        <v>2.1</v>
      </c>
      <c r="X11" s="62">
        <f>VLOOKUP(B11,'Dados Meteorológicos'!$1:$988,21,0)</f>
        <v>15.55</v>
      </c>
      <c r="Y11" s="62">
        <f>VLOOKUP(B11,'Dados Meteorológicos'!$1:$988,22,0)</f>
        <v>28.61</v>
      </c>
      <c r="Z11" s="62">
        <f>VLOOKUP(B11,'Dados Meteorológicos'!$1:$988,23,0)</f>
        <v>18.58</v>
      </c>
      <c r="AA11" s="62">
        <f>VLOOKUP(B11,'Dados Meteorológicos'!$1:$988,24,0)</f>
        <v>21</v>
      </c>
      <c r="AB11" s="62">
        <f>VLOOKUP(B11,'Dados Meteorológicos'!$1:$988,25,0)</f>
        <v>20.62</v>
      </c>
      <c r="AC11" s="62">
        <f>VLOOKUP(B11,'Dados Meteorológicos'!$1:$988,26,0)</f>
        <v>7.449</v>
      </c>
      <c r="AD11" s="62">
        <f>VLOOKUP(B11,'Dados Meteorológicos'!$1:$988,27,0)</f>
        <v>42</v>
      </c>
      <c r="AE11" s="62">
        <f>VLOOKUP(B11,'Dados Meteorológicos'!$1:$988,28,0)</f>
        <v>17.92</v>
      </c>
      <c r="AF11" s="62">
        <f>VLOOKUP(B11,'Dados Meteorológicos'!$1:$988,29,0)</f>
        <v>695.8</v>
      </c>
      <c r="AG11" s="62">
        <f>VLOOKUP(B11,'Dados Meteorológicos'!$1:$988,30,0)</f>
        <v>2.14</v>
      </c>
      <c r="AH11" s="62">
        <f>VLOOKUP(B11,'Dados Meteorológicos'!$1:$988,31,0)</f>
        <v>15.97</v>
      </c>
      <c r="AI11" s="62">
        <f>VLOOKUP(B11,'Dados Meteorológicos'!$1:$988,32,0)</f>
        <v>29.71</v>
      </c>
      <c r="AJ11" s="62">
        <f>VLOOKUP(B11,'Dados Meteorológicos'!$1:$988,33,0)</f>
        <v>19.18</v>
      </c>
      <c r="AK11" s="62" t="str">
        <f>VLOOKUP(B11,'Dados Meteorológicos'!$1:$988,34,0)</f>
        <v/>
      </c>
      <c r="AL11" s="62" t="str">
        <f>VLOOKUP(B11,'Dados Meteorológicos'!$1:$988,35,0)</f>
        <v/>
      </c>
      <c r="AM11" s="62" t="str">
        <f>VLOOKUP(B11,'Dados Meteorológicos'!$1:$988,36,0)</f>
        <v/>
      </c>
      <c r="AN11" s="62" t="str">
        <f>VLOOKUP(B11,'Dados Meteorológicos'!$1:$988,37,0)</f>
        <v/>
      </c>
      <c r="AO11" s="62" t="str">
        <f>VLOOKUP(B11,'Dados Meteorológicos'!$1:$988,38,0)</f>
        <v/>
      </c>
      <c r="AP11" s="62" t="str">
        <f>VLOOKUP(B11,'Dados Meteorológicos'!$1:$988,39,0)</f>
        <v/>
      </c>
      <c r="AQ11" s="62" t="str">
        <f>VLOOKUP(B11,'Dados Meteorológicos'!$1:$988,40,0)</f>
        <v/>
      </c>
      <c r="AR11" s="62" t="str">
        <f>VLOOKUP(B11,'Dados Meteorológicos'!$1:$988,41,0)</f>
        <v/>
      </c>
      <c r="AS11" s="62" t="str">
        <f>VLOOKUP(B11,'Dados Meteorológicos'!$1:$988,42,0)</f>
        <v/>
      </c>
      <c r="AT11" s="62" t="str">
        <f>VLOOKUP(B11,'Dados Meteorológicos'!$1:$988,43,0)</f>
        <v/>
      </c>
      <c r="AU11" s="62" t="str">
        <f>VLOOKUP(B11,'Dados Meteorológicos'!$1:$988,44,0)</f>
        <v/>
      </c>
      <c r="AV11" s="62" t="str">
        <f>VLOOKUP(B11,'Dados Meteorológicos'!$1:$988,45,0)</f>
        <v/>
      </c>
      <c r="AW11" s="62" t="str">
        <f>VLOOKUP(B11,'Dados Meteorológicos'!$1:$988,46,0)</f>
        <v/>
      </c>
      <c r="AX11" s="62" t="str">
        <f>VLOOKUP(B11,'Dados Meteorológicos'!$1:$988,47,0)</f>
        <v/>
      </c>
      <c r="AY11" s="62" t="str">
        <f>VLOOKUP(B11,'Dados Meteorológicos'!$1:$988,48,0)</f>
        <v/>
      </c>
      <c r="AZ11" s="62" t="str">
        <f>VLOOKUP(B11,'Dados Meteorológicos'!$1:$988,49,0)</f>
        <v/>
      </c>
      <c r="BA11" s="62" t="str">
        <f>VLOOKUP(B11,'Dados Meteorológicos'!$1:$988,50,0)</f>
        <v/>
      </c>
      <c r="BB11" s="62" t="str">
        <f>VLOOKUP(B11,'Dados Meteorológicos'!$1:$988,51,0)</f>
        <v/>
      </c>
      <c r="BC11" s="62" t="str">
        <f>VLOOKUP(B11,'Dados Meteorológicos'!$1:$988,52,0)</f>
        <v/>
      </c>
      <c r="BD11" s="14" t="str">
        <f>VLOOKUP(B11,'Dados Meteorológicos'!$1:$988,53,0)</f>
        <v/>
      </c>
      <c r="BE11" s="62"/>
      <c r="BF11" s="63">
        <f t="shared" ref="BF11:BN11" si="12">AVERAGE(R11,AB11,AL11,AV11)</f>
        <v>20.155</v>
      </c>
      <c r="BG11" s="63">
        <f t="shared" si="12"/>
        <v>7.314</v>
      </c>
      <c r="BH11" s="63">
        <f t="shared" si="12"/>
        <v>43</v>
      </c>
      <c r="BI11" s="63">
        <f t="shared" si="12"/>
        <v>17.44</v>
      </c>
      <c r="BJ11" s="63">
        <f t="shared" si="12"/>
        <v>649.8</v>
      </c>
      <c r="BK11" s="63">
        <f t="shared" si="12"/>
        <v>2.12</v>
      </c>
      <c r="BL11" s="63">
        <f t="shared" si="12"/>
        <v>15.76</v>
      </c>
      <c r="BM11" s="63">
        <f t="shared" si="12"/>
        <v>29.16</v>
      </c>
      <c r="BN11" s="63">
        <f t="shared" si="12"/>
        <v>18.88</v>
      </c>
    </row>
    <row r="12">
      <c r="A12" s="64">
        <v>11.0</v>
      </c>
      <c r="B12" s="89" t="s">
        <v>1655</v>
      </c>
      <c r="C12" s="78">
        <v>48.0</v>
      </c>
      <c r="D12" s="78">
        <v>50.0</v>
      </c>
      <c r="E12" s="55">
        <f t="shared" si="2"/>
        <v>98</v>
      </c>
      <c r="F12" s="74">
        <v>45825.0</v>
      </c>
      <c r="G12" s="66" t="s">
        <v>1656</v>
      </c>
      <c r="H12" s="75">
        <v>0.7916666666666666</v>
      </c>
      <c r="I12" s="75">
        <v>0.75</v>
      </c>
      <c r="J12" s="59" t="str">
        <f t="shared" si="3"/>
        <v>Evening</v>
      </c>
      <c r="K12" s="66" t="s">
        <v>686</v>
      </c>
      <c r="L12" s="66" t="s">
        <v>1630</v>
      </c>
      <c r="M12" s="90" t="s">
        <v>1657</v>
      </c>
      <c r="N12" s="70" t="s">
        <v>1658</v>
      </c>
      <c r="O12" s="62">
        <f>VLOOKUP(B12,'Dados Meteorológicos'!$1:$988,12,0)</f>
        <v>28.5</v>
      </c>
      <c r="P12" s="62">
        <f>VLOOKUP(B12,'Dados Meteorológicos'!$1:$988,13,0)</f>
        <v>-81.5</v>
      </c>
      <c r="Q12" s="62">
        <f>VLOOKUP(B12,'Dados Meteorológicos'!$1:$988,14,0)</f>
        <v>23</v>
      </c>
      <c r="R12" s="62">
        <f>VLOOKUP(B12,'Dados Meteorológicos'!$1:$988,15,0)</f>
        <v>30.02</v>
      </c>
      <c r="S12" s="62">
        <f>VLOOKUP(B12,'Dados Meteorológicos'!$1:$988,16,0)</f>
        <v>22.38</v>
      </c>
      <c r="T12" s="62">
        <f>VLOOKUP(B12,'Dados Meteorológicos'!$1:$988,17,0)</f>
        <v>63</v>
      </c>
      <c r="U12" s="62">
        <f>VLOOKUP(B12,'Dados Meteorológicos'!$1:$988,18,0)</f>
        <v>30.39</v>
      </c>
      <c r="V12" s="62">
        <f>VLOOKUP(B12,'Dados Meteorológicos'!$1:$988,19,0)</f>
        <v>229.5</v>
      </c>
      <c r="W12" s="62">
        <f>VLOOKUP(B12,'Dados Meteorológicos'!$1:$988,20,0)</f>
        <v>2.56</v>
      </c>
      <c r="X12" s="62">
        <f>VLOOKUP(B12,'Dados Meteorológicos'!$1:$988,21,0)</f>
        <v>25.14</v>
      </c>
      <c r="Y12" s="62">
        <f>VLOOKUP(B12,'Dados Meteorológicos'!$1:$988,22,0)</f>
        <v>43.96</v>
      </c>
      <c r="Z12" s="62">
        <f>VLOOKUP(B12,'Dados Meteorológicos'!$1:$988,23,0)</f>
        <v>29.39</v>
      </c>
      <c r="AA12" s="62" t="str">
        <f>VLOOKUP(B12,'Dados Meteorológicos'!$1:$988,24,0)</f>
        <v>00+1d</v>
      </c>
      <c r="AB12" s="62">
        <f>VLOOKUP(B12,'Dados Meteorológicos'!$1:$988,25,0)</f>
        <v>28.98</v>
      </c>
      <c r="AC12" s="62">
        <f>VLOOKUP(B12,'Dados Meteorológicos'!$1:$988,26,0)</f>
        <v>22.24</v>
      </c>
      <c r="AD12" s="62">
        <f>VLOOKUP(B12,'Dados Meteorológicos'!$1:$988,27,0)</f>
        <v>66</v>
      </c>
      <c r="AE12" s="62">
        <f>VLOOKUP(B12,'Dados Meteorológicos'!$1:$988,28,0)</f>
        <v>28.72</v>
      </c>
      <c r="AF12" s="62">
        <f>VLOOKUP(B12,'Dados Meteorológicos'!$1:$988,29,0)</f>
        <v>83.5</v>
      </c>
      <c r="AG12" s="62">
        <f>VLOOKUP(B12,'Dados Meteorológicos'!$1:$988,30,0)</f>
        <v>2.86</v>
      </c>
      <c r="AH12" s="62">
        <f>VLOOKUP(B12,'Dados Meteorológicos'!$1:$988,31,0)</f>
        <v>24.6</v>
      </c>
      <c r="AI12" s="62">
        <f>VLOOKUP(B12,'Dados Meteorológicos'!$1:$988,32,0)</f>
        <v>42.5</v>
      </c>
      <c r="AJ12" s="62">
        <f>VLOOKUP(B12,'Dados Meteorológicos'!$1:$988,33,0)</f>
        <v>28.62</v>
      </c>
      <c r="AK12" s="62" t="str">
        <f>VLOOKUP(B12,'Dados Meteorológicos'!$1:$988,34,0)</f>
        <v>01+1d</v>
      </c>
      <c r="AL12" s="62">
        <f>VLOOKUP(B12,'Dados Meteorológicos'!$1:$988,35,0)</f>
        <v>28</v>
      </c>
      <c r="AM12" s="62">
        <f>VLOOKUP(B12,'Dados Meteorológicos'!$1:$988,36,0)</f>
        <v>22.59</v>
      </c>
      <c r="AN12" s="62">
        <f>VLOOKUP(B12,'Dados Meteorológicos'!$1:$988,37,0)</f>
        <v>72</v>
      </c>
      <c r="AO12" s="62">
        <f>VLOOKUP(B12,'Dados Meteorológicos'!$1:$988,38,0)</f>
        <v>27.22</v>
      </c>
      <c r="AP12" s="62">
        <f>VLOOKUP(B12,'Dados Meteorológicos'!$1:$988,39,0)</f>
        <v>4.5</v>
      </c>
      <c r="AQ12" s="62">
        <f>VLOOKUP(B12,'Dados Meteorológicos'!$1:$988,40,0)</f>
        <v>2.51</v>
      </c>
      <c r="AR12" s="62">
        <f>VLOOKUP(B12,'Dados Meteorológicos'!$1:$988,41,0)</f>
        <v>24.42</v>
      </c>
      <c r="AS12" s="62">
        <f>VLOOKUP(B12,'Dados Meteorológicos'!$1:$988,42,0)</f>
        <v>41.98</v>
      </c>
      <c r="AT12" s="62">
        <f>VLOOKUP(B12,'Dados Meteorológicos'!$1:$988,43,0)</f>
        <v>28.29</v>
      </c>
      <c r="AU12" s="62" t="str">
        <f>VLOOKUP(B12,'Dados Meteorológicos'!$1:$988,44,0)</f>
        <v/>
      </c>
      <c r="AV12" s="62" t="str">
        <f>VLOOKUP(B12,'Dados Meteorológicos'!$1:$988,45,0)</f>
        <v/>
      </c>
      <c r="AW12" s="62" t="str">
        <f>VLOOKUP(B12,'Dados Meteorológicos'!$1:$988,46,0)</f>
        <v/>
      </c>
      <c r="AX12" s="62" t="str">
        <f>VLOOKUP(B12,'Dados Meteorológicos'!$1:$988,47,0)</f>
        <v/>
      </c>
      <c r="AY12" s="62" t="str">
        <f>VLOOKUP(B12,'Dados Meteorológicos'!$1:$988,48,0)</f>
        <v/>
      </c>
      <c r="AZ12" s="62" t="str">
        <f>VLOOKUP(B12,'Dados Meteorológicos'!$1:$988,49,0)</f>
        <v/>
      </c>
      <c r="BA12" s="62" t="str">
        <f>VLOOKUP(B12,'Dados Meteorológicos'!$1:$988,50,0)</f>
        <v/>
      </c>
      <c r="BB12" s="62" t="str">
        <f>VLOOKUP(B12,'Dados Meteorológicos'!$1:$988,51,0)</f>
        <v/>
      </c>
      <c r="BC12" s="62" t="str">
        <f>VLOOKUP(B12,'Dados Meteorológicos'!$1:$988,52,0)</f>
        <v/>
      </c>
      <c r="BD12" s="14" t="str">
        <f>VLOOKUP(B12,'Dados Meteorológicos'!$1:$988,53,0)</f>
        <v/>
      </c>
      <c r="BE12" s="62"/>
      <c r="BF12" s="63">
        <f t="shared" ref="BF12:BN12" si="13">AVERAGE(R12,AB12,AL12,AV12)</f>
        <v>29</v>
      </c>
      <c r="BG12" s="63">
        <f t="shared" si="13"/>
        <v>22.40333333</v>
      </c>
      <c r="BH12" s="63">
        <f t="shared" si="13"/>
        <v>67</v>
      </c>
      <c r="BI12" s="63">
        <f t="shared" si="13"/>
        <v>28.77666667</v>
      </c>
      <c r="BJ12" s="63">
        <f t="shared" si="13"/>
        <v>105.8333333</v>
      </c>
      <c r="BK12" s="63">
        <f t="shared" si="13"/>
        <v>2.643333333</v>
      </c>
      <c r="BL12" s="63">
        <f t="shared" si="13"/>
        <v>24.72</v>
      </c>
      <c r="BM12" s="63">
        <f t="shared" si="13"/>
        <v>42.81333333</v>
      </c>
      <c r="BN12" s="63">
        <f t="shared" si="13"/>
        <v>28.76666667</v>
      </c>
    </row>
    <row r="13">
      <c r="A13" s="64">
        <v>12.0</v>
      </c>
      <c r="B13" s="89" t="s">
        <v>1659</v>
      </c>
      <c r="C13" s="78">
        <v>49.0</v>
      </c>
      <c r="D13" s="78">
        <v>51.0</v>
      </c>
      <c r="E13" s="55">
        <f t="shared" si="2"/>
        <v>100</v>
      </c>
      <c r="F13" s="74">
        <v>45825.0</v>
      </c>
      <c r="G13" s="72" t="s">
        <v>1636</v>
      </c>
      <c r="H13" s="75">
        <v>0.9166666666666666</v>
      </c>
      <c r="I13" s="75">
        <v>0.75</v>
      </c>
      <c r="J13" s="59" t="str">
        <f t="shared" si="3"/>
        <v>Evening</v>
      </c>
      <c r="K13" s="72" t="s">
        <v>1637</v>
      </c>
      <c r="L13" s="72" t="s">
        <v>1630</v>
      </c>
      <c r="M13" s="76"/>
      <c r="N13" s="70" t="s">
        <v>1638</v>
      </c>
      <c r="O13" s="62">
        <f>VLOOKUP(B13,'Dados Meteorológicos'!$1:$988,12,0)</f>
        <v>34.25</v>
      </c>
      <c r="P13" s="62">
        <f>VLOOKUP(B13,'Dados Meteorológicos'!$1:$988,13,0)</f>
        <v>-118.25</v>
      </c>
      <c r="Q13" s="62">
        <f>VLOOKUP(B13,'Dados Meteorológicos'!$1:$988,14,0)</f>
        <v>2</v>
      </c>
      <c r="R13" s="62">
        <f>VLOOKUP(B13,'Dados Meteorológicos'!$1:$988,15,0)</f>
        <v>27.57</v>
      </c>
      <c r="S13" s="62">
        <f>VLOOKUP(B13,'Dados Meteorológicos'!$1:$988,16,0)</f>
        <v>10.97</v>
      </c>
      <c r="T13" s="62">
        <f>VLOOKUP(B13,'Dados Meteorológicos'!$1:$988,17,0)</f>
        <v>35</v>
      </c>
      <c r="U13" s="62">
        <f>VLOOKUP(B13,'Dados Meteorológicos'!$1:$988,18,0)</f>
        <v>26.58</v>
      </c>
      <c r="V13" s="62">
        <f>VLOOKUP(B13,'Dados Meteorológicos'!$1:$988,19,0)</f>
        <v>254</v>
      </c>
      <c r="W13" s="62">
        <f>VLOOKUP(B13,'Dados Meteorológicos'!$1:$988,20,0)</f>
        <v>1.32</v>
      </c>
      <c r="X13" s="62">
        <f>VLOOKUP(B13,'Dados Meteorológicos'!$1:$988,21,0)</f>
        <v>19.91</v>
      </c>
      <c r="Y13" s="62">
        <f>VLOOKUP(B13,'Dados Meteorológicos'!$1:$988,22,0)</f>
        <v>39.52</v>
      </c>
      <c r="Z13" s="62">
        <f>VLOOKUP(B13,'Dados Meteorológicos'!$1:$988,23,0)</f>
        <v>24.6</v>
      </c>
      <c r="AA13" s="62">
        <f>VLOOKUP(B13,'Dados Meteorológicos'!$1:$988,24,0)</f>
        <v>3</v>
      </c>
      <c r="AB13" s="62">
        <f>VLOOKUP(B13,'Dados Meteorológicos'!$1:$988,25,0)</f>
        <v>25.48</v>
      </c>
      <c r="AC13" s="62">
        <f>VLOOKUP(B13,'Dados Meteorológicos'!$1:$988,26,0)</f>
        <v>10.86</v>
      </c>
      <c r="AD13" s="62">
        <f>VLOOKUP(B13,'Dados Meteorológicos'!$1:$988,27,0)</f>
        <v>39</v>
      </c>
      <c r="AE13" s="62">
        <f>VLOOKUP(B13,'Dados Meteorológicos'!$1:$988,28,0)</f>
        <v>23.66</v>
      </c>
      <c r="AF13" s="62">
        <f>VLOOKUP(B13,'Dados Meteorológicos'!$1:$988,29,0)</f>
        <v>68.2</v>
      </c>
      <c r="AG13" s="62">
        <f>VLOOKUP(B13,'Dados Meteorológicos'!$1:$988,30,0)</f>
        <v>0.82</v>
      </c>
      <c r="AH13" s="62">
        <f>VLOOKUP(B13,'Dados Meteorológicos'!$1:$988,31,0)</f>
        <v>19.35</v>
      </c>
      <c r="AI13" s="62">
        <f>VLOOKUP(B13,'Dados Meteorológicos'!$1:$988,32,0)</f>
        <v>37.52</v>
      </c>
      <c r="AJ13" s="62">
        <f>VLOOKUP(B13,'Dados Meteorológicos'!$1:$988,33,0)</f>
        <v>23.6</v>
      </c>
      <c r="AK13" s="62" t="str">
        <f>VLOOKUP(B13,'Dados Meteorológicos'!$1:$988,34,0)</f>
        <v/>
      </c>
      <c r="AL13" s="62" t="str">
        <f>VLOOKUP(B13,'Dados Meteorológicos'!$1:$988,35,0)</f>
        <v/>
      </c>
      <c r="AM13" s="62" t="str">
        <f>VLOOKUP(B13,'Dados Meteorológicos'!$1:$988,36,0)</f>
        <v/>
      </c>
      <c r="AN13" s="62" t="str">
        <f>VLOOKUP(B13,'Dados Meteorológicos'!$1:$988,37,0)</f>
        <v/>
      </c>
      <c r="AO13" s="62" t="str">
        <f>VLOOKUP(B13,'Dados Meteorológicos'!$1:$988,38,0)</f>
        <v/>
      </c>
      <c r="AP13" s="62" t="str">
        <f>VLOOKUP(B13,'Dados Meteorológicos'!$1:$988,39,0)</f>
        <v/>
      </c>
      <c r="AQ13" s="62" t="str">
        <f>VLOOKUP(B13,'Dados Meteorológicos'!$1:$988,40,0)</f>
        <v/>
      </c>
      <c r="AR13" s="62" t="str">
        <f>VLOOKUP(B13,'Dados Meteorológicos'!$1:$988,41,0)</f>
        <v/>
      </c>
      <c r="AS13" s="62" t="str">
        <f>VLOOKUP(B13,'Dados Meteorológicos'!$1:$988,42,0)</f>
        <v/>
      </c>
      <c r="AT13" s="62" t="str">
        <f>VLOOKUP(B13,'Dados Meteorológicos'!$1:$988,43,0)</f>
        <v/>
      </c>
      <c r="AU13" s="62" t="str">
        <f>VLOOKUP(B13,'Dados Meteorológicos'!$1:$988,44,0)</f>
        <v/>
      </c>
      <c r="AV13" s="62" t="str">
        <f>VLOOKUP(B13,'Dados Meteorológicos'!$1:$988,45,0)</f>
        <v/>
      </c>
      <c r="AW13" s="62" t="str">
        <f>VLOOKUP(B13,'Dados Meteorológicos'!$1:$988,46,0)</f>
        <v/>
      </c>
      <c r="AX13" s="62" t="str">
        <f>VLOOKUP(B13,'Dados Meteorológicos'!$1:$988,47,0)</f>
        <v/>
      </c>
      <c r="AY13" s="62" t="str">
        <f>VLOOKUP(B13,'Dados Meteorológicos'!$1:$988,48,0)</f>
        <v/>
      </c>
      <c r="AZ13" s="62" t="str">
        <f>VLOOKUP(B13,'Dados Meteorológicos'!$1:$988,49,0)</f>
        <v/>
      </c>
      <c r="BA13" s="62" t="str">
        <f>VLOOKUP(B13,'Dados Meteorológicos'!$1:$988,50,0)</f>
        <v/>
      </c>
      <c r="BB13" s="62" t="str">
        <f>VLOOKUP(B13,'Dados Meteorológicos'!$1:$988,51,0)</f>
        <v/>
      </c>
      <c r="BC13" s="62" t="str">
        <f>VLOOKUP(B13,'Dados Meteorológicos'!$1:$988,52,0)</f>
        <v/>
      </c>
      <c r="BD13" s="14" t="str">
        <f>VLOOKUP(B13,'Dados Meteorológicos'!$1:$988,53,0)</f>
        <v/>
      </c>
      <c r="BE13" s="62"/>
      <c r="BF13" s="63">
        <f t="shared" ref="BF13:BN13" si="14">AVERAGE(R13,AB13,AL13,AV13)</f>
        <v>26.525</v>
      </c>
      <c r="BG13" s="63">
        <f t="shared" si="14"/>
        <v>10.915</v>
      </c>
      <c r="BH13" s="63">
        <f t="shared" si="14"/>
        <v>37</v>
      </c>
      <c r="BI13" s="63">
        <f t="shared" si="14"/>
        <v>25.12</v>
      </c>
      <c r="BJ13" s="63">
        <f t="shared" si="14"/>
        <v>161.1</v>
      </c>
      <c r="BK13" s="63">
        <f t="shared" si="14"/>
        <v>1.07</v>
      </c>
      <c r="BL13" s="63">
        <f t="shared" si="14"/>
        <v>19.63</v>
      </c>
      <c r="BM13" s="63">
        <f t="shared" si="14"/>
        <v>38.52</v>
      </c>
      <c r="BN13" s="63">
        <f t="shared" si="14"/>
        <v>24.1</v>
      </c>
    </row>
    <row r="14">
      <c r="A14" s="64">
        <v>13.0</v>
      </c>
      <c r="B14" s="91" t="s">
        <v>1660</v>
      </c>
      <c r="C14" s="92">
        <v>48.0</v>
      </c>
      <c r="D14" s="57">
        <v>51.0</v>
      </c>
      <c r="E14" s="55">
        <f t="shared" si="2"/>
        <v>99</v>
      </c>
      <c r="F14" s="56">
        <v>45826.0</v>
      </c>
      <c r="G14" s="82" t="s">
        <v>1651</v>
      </c>
      <c r="H14" s="58">
        <v>0.5416666666666666</v>
      </c>
      <c r="I14" s="58">
        <v>0.5</v>
      </c>
      <c r="J14" s="59" t="str">
        <f t="shared" si="3"/>
        <v>Afternoon</v>
      </c>
      <c r="K14" s="82" t="s">
        <v>500</v>
      </c>
      <c r="L14" s="82" t="s">
        <v>1630</v>
      </c>
      <c r="M14" s="85"/>
      <c r="N14" s="61" t="s">
        <v>1652</v>
      </c>
      <c r="O14" s="62">
        <f>VLOOKUP(B14,'Dados Meteorológicos'!$1:$988,12,0)</f>
        <v>40</v>
      </c>
      <c r="P14" s="62">
        <f>VLOOKUP(B14,'Dados Meteorológicos'!$1:$988,13,0)</f>
        <v>-75.25</v>
      </c>
      <c r="Q14" s="62">
        <f>VLOOKUP(B14,'Dados Meteorológicos'!$1:$988,14,0)</f>
        <v>17</v>
      </c>
      <c r="R14" s="62">
        <f>VLOOKUP(B14,'Dados Meteorológicos'!$1:$988,15,0)</f>
        <v>27.93</v>
      </c>
      <c r="S14" s="62">
        <f>VLOOKUP(B14,'Dados Meteorológicos'!$1:$988,16,0)</f>
        <v>22.19</v>
      </c>
      <c r="T14" s="62">
        <f>VLOOKUP(B14,'Dados Meteorológicos'!$1:$988,17,0)</f>
        <v>70</v>
      </c>
      <c r="U14" s="62">
        <f>VLOOKUP(B14,'Dados Meteorológicos'!$1:$988,18,0)</f>
        <v>27.1</v>
      </c>
      <c r="V14" s="62">
        <f>VLOOKUP(B14,'Dados Meteorológicos'!$1:$988,19,0)</f>
        <v>281.4</v>
      </c>
      <c r="W14" s="62">
        <f>VLOOKUP(B14,'Dados Meteorológicos'!$1:$988,20,0)</f>
        <v>1.18</v>
      </c>
      <c r="X14" s="62">
        <f>VLOOKUP(B14,'Dados Meteorológicos'!$1:$988,21,0)</f>
        <v>24.61</v>
      </c>
      <c r="Y14" s="62">
        <f>VLOOKUP(B14,'Dados Meteorológicos'!$1:$988,22,0)</f>
        <v>43.11</v>
      </c>
      <c r="Z14" s="62">
        <f>VLOOKUP(B14,'Dados Meteorológicos'!$1:$988,23,0)</f>
        <v>28.64</v>
      </c>
      <c r="AA14" s="62">
        <f>VLOOKUP(B14,'Dados Meteorológicos'!$1:$988,24,0)</f>
        <v>18</v>
      </c>
      <c r="AB14" s="62">
        <f>VLOOKUP(B14,'Dados Meteorológicos'!$1:$988,25,0)</f>
        <v>28.54</v>
      </c>
      <c r="AC14" s="62">
        <f>VLOOKUP(B14,'Dados Meteorológicos'!$1:$988,26,0)</f>
        <v>22.26</v>
      </c>
      <c r="AD14" s="62">
        <f>VLOOKUP(B14,'Dados Meteorológicos'!$1:$988,27,0)</f>
        <v>68</v>
      </c>
      <c r="AE14" s="62">
        <f>VLOOKUP(B14,'Dados Meteorológicos'!$1:$988,28,0)</f>
        <v>28.03</v>
      </c>
      <c r="AF14" s="62">
        <f>VLOOKUP(B14,'Dados Meteorológicos'!$1:$988,29,0)</f>
        <v>274</v>
      </c>
      <c r="AG14" s="62">
        <f>VLOOKUP(B14,'Dados Meteorológicos'!$1:$988,30,0)</f>
        <v>0.8</v>
      </c>
      <c r="AH14" s="62">
        <f>VLOOKUP(B14,'Dados Meteorológicos'!$1:$988,31,0)</f>
        <v>24.98</v>
      </c>
      <c r="AI14" s="62">
        <f>VLOOKUP(B14,'Dados Meteorológicos'!$1:$988,32,0)</f>
        <v>44.16</v>
      </c>
      <c r="AJ14" s="62">
        <f>VLOOKUP(B14,'Dados Meteorológicos'!$1:$988,33,0)</f>
        <v>29.17</v>
      </c>
      <c r="AK14" s="62" t="str">
        <f>VLOOKUP(B14,'Dados Meteorológicos'!$1:$988,34,0)</f>
        <v/>
      </c>
      <c r="AL14" s="62" t="str">
        <f>VLOOKUP(B14,'Dados Meteorológicos'!$1:$988,35,0)</f>
        <v/>
      </c>
      <c r="AM14" s="62" t="str">
        <f>VLOOKUP(B14,'Dados Meteorológicos'!$1:$988,36,0)</f>
        <v/>
      </c>
      <c r="AN14" s="62" t="str">
        <f>VLOOKUP(B14,'Dados Meteorológicos'!$1:$988,37,0)</f>
        <v/>
      </c>
      <c r="AO14" s="62" t="str">
        <f>VLOOKUP(B14,'Dados Meteorológicos'!$1:$988,38,0)</f>
        <v/>
      </c>
      <c r="AP14" s="62" t="str">
        <f>VLOOKUP(B14,'Dados Meteorológicos'!$1:$988,39,0)</f>
        <v/>
      </c>
      <c r="AQ14" s="62" t="str">
        <f>VLOOKUP(B14,'Dados Meteorológicos'!$1:$988,40,0)</f>
        <v/>
      </c>
      <c r="AR14" s="62" t="str">
        <f>VLOOKUP(B14,'Dados Meteorológicos'!$1:$988,41,0)</f>
        <v/>
      </c>
      <c r="AS14" s="62" t="str">
        <f>VLOOKUP(B14,'Dados Meteorológicos'!$1:$988,42,0)</f>
        <v/>
      </c>
      <c r="AT14" s="62" t="str">
        <f>VLOOKUP(B14,'Dados Meteorológicos'!$1:$988,43,0)</f>
        <v/>
      </c>
      <c r="AU14" s="62" t="str">
        <f>VLOOKUP(B14,'Dados Meteorológicos'!$1:$988,44,0)</f>
        <v/>
      </c>
      <c r="AV14" s="62" t="str">
        <f>VLOOKUP(B14,'Dados Meteorológicos'!$1:$988,45,0)</f>
        <v/>
      </c>
      <c r="AW14" s="62" t="str">
        <f>VLOOKUP(B14,'Dados Meteorológicos'!$1:$988,46,0)</f>
        <v/>
      </c>
      <c r="AX14" s="62" t="str">
        <f>VLOOKUP(B14,'Dados Meteorológicos'!$1:$988,47,0)</f>
        <v/>
      </c>
      <c r="AY14" s="62" t="str">
        <f>VLOOKUP(B14,'Dados Meteorológicos'!$1:$988,48,0)</f>
        <v/>
      </c>
      <c r="AZ14" s="62" t="str">
        <f>VLOOKUP(B14,'Dados Meteorológicos'!$1:$988,49,0)</f>
        <v/>
      </c>
      <c r="BA14" s="62" t="str">
        <f>VLOOKUP(B14,'Dados Meteorológicos'!$1:$988,50,0)</f>
        <v/>
      </c>
      <c r="BB14" s="62" t="str">
        <f>VLOOKUP(B14,'Dados Meteorológicos'!$1:$988,51,0)</f>
        <v/>
      </c>
      <c r="BC14" s="62" t="str">
        <f>VLOOKUP(B14,'Dados Meteorológicos'!$1:$988,52,0)</f>
        <v/>
      </c>
      <c r="BD14" s="14" t="str">
        <f>VLOOKUP(B14,'Dados Meteorológicos'!$1:$988,53,0)</f>
        <v/>
      </c>
      <c r="BE14" s="62"/>
      <c r="BF14" s="63">
        <f t="shared" ref="BF14:BN14" si="15">AVERAGE(R14,AB14,AL14,AV14)</f>
        <v>28.235</v>
      </c>
      <c r="BG14" s="63">
        <f t="shared" si="15"/>
        <v>22.225</v>
      </c>
      <c r="BH14" s="63">
        <f t="shared" si="15"/>
        <v>69</v>
      </c>
      <c r="BI14" s="63">
        <f t="shared" si="15"/>
        <v>27.565</v>
      </c>
      <c r="BJ14" s="63">
        <f t="shared" si="15"/>
        <v>277.7</v>
      </c>
      <c r="BK14" s="63">
        <f t="shared" si="15"/>
        <v>0.99</v>
      </c>
      <c r="BL14" s="63">
        <f t="shared" si="15"/>
        <v>24.795</v>
      </c>
      <c r="BM14" s="63">
        <f t="shared" si="15"/>
        <v>43.635</v>
      </c>
      <c r="BN14" s="63">
        <f t="shared" si="15"/>
        <v>28.905</v>
      </c>
    </row>
    <row r="15">
      <c r="A15" s="64">
        <v>14.0</v>
      </c>
      <c r="B15" s="79" t="s">
        <v>1661</v>
      </c>
      <c r="C15" s="92">
        <v>50.0</v>
      </c>
      <c r="D15" s="92">
        <v>54.0</v>
      </c>
      <c r="E15" s="55">
        <f t="shared" si="2"/>
        <v>104</v>
      </c>
      <c r="F15" s="67">
        <v>45826.0</v>
      </c>
      <c r="G15" s="66" t="s">
        <v>1629</v>
      </c>
      <c r="H15" s="68">
        <v>0.6666666666666666</v>
      </c>
      <c r="I15" s="68">
        <v>0.625</v>
      </c>
      <c r="J15" s="59" t="str">
        <f t="shared" si="3"/>
        <v>Afternoon</v>
      </c>
      <c r="K15" s="66" t="s">
        <v>62</v>
      </c>
      <c r="L15" s="66" t="s">
        <v>1630</v>
      </c>
      <c r="M15" s="69"/>
      <c r="N15" s="70" t="s">
        <v>1658</v>
      </c>
      <c r="O15" s="62">
        <f>VLOOKUP(B15,'Dados Meteorológicos'!$1:$988,12,0)</f>
        <v>28.5</v>
      </c>
      <c r="P15" s="62">
        <f>VLOOKUP(B15,'Dados Meteorológicos'!$1:$988,13,0)</f>
        <v>-81.5</v>
      </c>
      <c r="Q15" s="62">
        <f>VLOOKUP(B15,'Dados Meteorológicos'!$1:$988,14,0)</f>
        <v>20</v>
      </c>
      <c r="R15" s="62">
        <f>VLOOKUP(B15,'Dados Meteorológicos'!$1:$988,15,0)</f>
        <v>33.06</v>
      </c>
      <c r="S15" s="62">
        <f>VLOOKUP(B15,'Dados Meteorológicos'!$1:$988,16,0)</f>
        <v>20.82</v>
      </c>
      <c r="T15" s="62">
        <f>VLOOKUP(B15,'Dados Meteorológicos'!$1:$988,17,0)</f>
        <v>48</v>
      </c>
      <c r="U15" s="62">
        <f>VLOOKUP(B15,'Dados Meteorológicos'!$1:$988,18,0)</f>
        <v>35.77</v>
      </c>
      <c r="V15" s="62">
        <f>VLOOKUP(B15,'Dados Meteorológicos'!$1:$988,19,0)</f>
        <v>716.7</v>
      </c>
      <c r="W15" s="62">
        <f>VLOOKUP(B15,'Dados Meteorológicos'!$1:$988,20,0)</f>
        <v>1.76</v>
      </c>
      <c r="X15" s="62">
        <f>VLOOKUP(B15,'Dados Meteorológicos'!$1:$988,21,0)</f>
        <v>25.82</v>
      </c>
      <c r="Y15" s="62">
        <f>VLOOKUP(B15,'Dados Meteorológicos'!$1:$988,22,0)</f>
        <v>47.71</v>
      </c>
      <c r="Z15" s="62">
        <f>VLOOKUP(B15,'Dados Meteorológicos'!$1:$988,23,0)</f>
        <v>30.92</v>
      </c>
      <c r="AA15" s="62">
        <f>VLOOKUP(B15,'Dados Meteorológicos'!$1:$988,24,0)</f>
        <v>21</v>
      </c>
      <c r="AB15" s="62">
        <f>VLOOKUP(B15,'Dados Meteorológicos'!$1:$988,25,0)</f>
        <v>32.73</v>
      </c>
      <c r="AC15" s="62">
        <f>VLOOKUP(B15,'Dados Meteorológicos'!$1:$988,26,0)</f>
        <v>21.19</v>
      </c>
      <c r="AD15" s="62">
        <f>VLOOKUP(B15,'Dados Meteorológicos'!$1:$988,27,0)</f>
        <v>50</v>
      </c>
      <c r="AE15" s="62">
        <f>VLOOKUP(B15,'Dados Meteorológicos'!$1:$988,28,0)</f>
        <v>35.14</v>
      </c>
      <c r="AF15" s="62">
        <f>VLOOKUP(B15,'Dados Meteorológicos'!$1:$988,29,0)</f>
        <v>561.4</v>
      </c>
      <c r="AG15" s="62">
        <f>VLOOKUP(B15,'Dados Meteorológicos'!$1:$988,30,0)</f>
        <v>1.79</v>
      </c>
      <c r="AH15" s="62">
        <f>VLOOKUP(B15,'Dados Meteorológicos'!$1:$988,31,0)</f>
        <v>25.85</v>
      </c>
      <c r="AI15" s="62">
        <f>VLOOKUP(B15,'Dados Meteorológicos'!$1:$988,32,0)</f>
        <v>47.38</v>
      </c>
      <c r="AJ15" s="62">
        <f>VLOOKUP(B15,'Dados Meteorológicos'!$1:$988,33,0)</f>
        <v>30.84</v>
      </c>
      <c r="AK15" s="62" t="str">
        <f>VLOOKUP(B15,'Dados Meteorológicos'!$1:$988,34,0)</f>
        <v/>
      </c>
      <c r="AL15" s="62" t="str">
        <f>VLOOKUP(B15,'Dados Meteorológicos'!$1:$988,35,0)</f>
        <v/>
      </c>
      <c r="AM15" s="62" t="str">
        <f>VLOOKUP(B15,'Dados Meteorológicos'!$1:$988,36,0)</f>
        <v/>
      </c>
      <c r="AN15" s="62" t="str">
        <f>VLOOKUP(B15,'Dados Meteorológicos'!$1:$988,37,0)</f>
        <v/>
      </c>
      <c r="AO15" s="62" t="str">
        <f>VLOOKUP(B15,'Dados Meteorológicos'!$1:$988,38,0)</f>
        <v/>
      </c>
      <c r="AP15" s="62" t="str">
        <f>VLOOKUP(B15,'Dados Meteorológicos'!$1:$988,39,0)</f>
        <v/>
      </c>
      <c r="AQ15" s="62" t="str">
        <f>VLOOKUP(B15,'Dados Meteorológicos'!$1:$988,40,0)</f>
        <v/>
      </c>
      <c r="AR15" s="62" t="str">
        <f>VLOOKUP(B15,'Dados Meteorológicos'!$1:$988,41,0)</f>
        <v/>
      </c>
      <c r="AS15" s="62" t="str">
        <f>VLOOKUP(B15,'Dados Meteorológicos'!$1:$988,42,0)</f>
        <v/>
      </c>
      <c r="AT15" s="62" t="str">
        <f>VLOOKUP(B15,'Dados Meteorológicos'!$1:$988,43,0)</f>
        <v/>
      </c>
      <c r="AU15" s="62" t="str">
        <f>VLOOKUP(B15,'Dados Meteorológicos'!$1:$988,44,0)</f>
        <v/>
      </c>
      <c r="AV15" s="62" t="str">
        <f>VLOOKUP(B15,'Dados Meteorológicos'!$1:$988,45,0)</f>
        <v/>
      </c>
      <c r="AW15" s="62" t="str">
        <f>VLOOKUP(B15,'Dados Meteorológicos'!$1:$988,46,0)</f>
        <v/>
      </c>
      <c r="AX15" s="62" t="str">
        <f>VLOOKUP(B15,'Dados Meteorológicos'!$1:$988,47,0)</f>
        <v/>
      </c>
      <c r="AY15" s="62" t="str">
        <f>VLOOKUP(B15,'Dados Meteorológicos'!$1:$988,48,0)</f>
        <v/>
      </c>
      <c r="AZ15" s="62" t="str">
        <f>VLOOKUP(B15,'Dados Meteorológicos'!$1:$988,49,0)</f>
        <v/>
      </c>
      <c r="BA15" s="62" t="str">
        <f>VLOOKUP(B15,'Dados Meteorológicos'!$1:$988,50,0)</f>
        <v/>
      </c>
      <c r="BB15" s="62" t="str">
        <f>VLOOKUP(B15,'Dados Meteorológicos'!$1:$988,51,0)</f>
        <v/>
      </c>
      <c r="BC15" s="62" t="str">
        <f>VLOOKUP(B15,'Dados Meteorológicos'!$1:$988,52,0)</f>
        <v/>
      </c>
      <c r="BD15" s="14" t="str">
        <f>VLOOKUP(B15,'Dados Meteorológicos'!$1:$988,53,0)</f>
        <v/>
      </c>
      <c r="BE15" s="62"/>
      <c r="BF15" s="63">
        <f t="shared" ref="BF15:BN15" si="16">AVERAGE(R15,AB15,AL15,AV15)</f>
        <v>32.895</v>
      </c>
      <c r="BG15" s="63">
        <f t="shared" si="16"/>
        <v>21.005</v>
      </c>
      <c r="BH15" s="63">
        <f t="shared" si="16"/>
        <v>49</v>
      </c>
      <c r="BI15" s="63">
        <f t="shared" si="16"/>
        <v>35.455</v>
      </c>
      <c r="BJ15" s="63">
        <f t="shared" si="16"/>
        <v>639.05</v>
      </c>
      <c r="BK15" s="63">
        <f t="shared" si="16"/>
        <v>1.775</v>
      </c>
      <c r="BL15" s="63">
        <f t="shared" si="16"/>
        <v>25.835</v>
      </c>
      <c r="BM15" s="63">
        <f t="shared" si="16"/>
        <v>47.545</v>
      </c>
      <c r="BN15" s="63">
        <f t="shared" si="16"/>
        <v>30.88</v>
      </c>
    </row>
    <row r="16">
      <c r="A16" s="64">
        <v>15.0</v>
      </c>
      <c r="B16" s="79" t="s">
        <v>1662</v>
      </c>
      <c r="C16" s="66">
        <v>46.0</v>
      </c>
      <c r="D16" s="92">
        <v>48.0</v>
      </c>
      <c r="E16" s="55">
        <f t="shared" si="2"/>
        <v>94</v>
      </c>
      <c r="F16" s="67">
        <v>45826.0</v>
      </c>
      <c r="G16" s="66" t="s">
        <v>1633</v>
      </c>
      <c r="H16" s="68">
        <v>0.7916666666666666</v>
      </c>
      <c r="I16" s="68">
        <v>0.75</v>
      </c>
      <c r="J16" s="59" t="str">
        <f t="shared" si="3"/>
        <v>Evening</v>
      </c>
      <c r="K16" s="66" t="s">
        <v>122</v>
      </c>
      <c r="L16" s="66" t="s">
        <v>1630</v>
      </c>
      <c r="M16" s="90" t="s">
        <v>1663</v>
      </c>
      <c r="N16" s="70" t="s">
        <v>1634</v>
      </c>
      <c r="O16" s="62">
        <f>VLOOKUP(B16,'Dados Meteorológicos'!$1:$988,12,0)</f>
        <v>39</v>
      </c>
      <c r="P16" s="62">
        <f>VLOOKUP(B16,'Dados Meteorológicos'!$1:$988,13,0)</f>
        <v>-84.5</v>
      </c>
      <c r="Q16" s="62">
        <f>VLOOKUP(B16,'Dados Meteorológicos'!$1:$988,14,0)</f>
        <v>23</v>
      </c>
      <c r="R16" s="62">
        <f>VLOOKUP(B16,'Dados Meteorológicos'!$1:$988,15,0)</f>
        <v>27.1</v>
      </c>
      <c r="S16" s="62">
        <f>VLOOKUP(B16,'Dados Meteorológicos'!$1:$988,16,0)</f>
        <v>21.15</v>
      </c>
      <c r="T16" s="62">
        <f>VLOOKUP(B16,'Dados Meteorológicos'!$1:$988,17,0)</f>
        <v>69</v>
      </c>
      <c r="U16" s="62">
        <f>VLOOKUP(B16,'Dados Meteorológicos'!$1:$988,18,0)</f>
        <v>25.89</v>
      </c>
      <c r="V16" s="62">
        <f>VLOOKUP(B16,'Dados Meteorológicos'!$1:$988,19,0)</f>
        <v>249.5</v>
      </c>
      <c r="W16" s="62">
        <f>VLOOKUP(B16,'Dados Meteorológicos'!$1:$988,20,0)</f>
        <v>2.66</v>
      </c>
      <c r="X16" s="62">
        <f>VLOOKUP(B16,'Dados Meteorológicos'!$1:$988,21,0)</f>
        <v>23.51</v>
      </c>
      <c r="Y16" s="62">
        <f>VLOOKUP(B16,'Dados Meteorológicos'!$1:$988,22,0)</f>
        <v>40.38</v>
      </c>
      <c r="Z16" s="62">
        <f>VLOOKUP(B16,'Dados Meteorológicos'!$1:$988,23,0)</f>
        <v>27.24</v>
      </c>
      <c r="AA16" s="62" t="str">
        <f>VLOOKUP(B16,'Dados Meteorológicos'!$1:$988,24,0)</f>
        <v>00+1d</v>
      </c>
      <c r="AB16" s="62">
        <f>VLOOKUP(B16,'Dados Meteorológicos'!$1:$988,25,0)</f>
        <v>25.26</v>
      </c>
      <c r="AC16" s="62">
        <f>VLOOKUP(B16,'Dados Meteorológicos'!$1:$988,26,0)</f>
        <v>20.47</v>
      </c>
      <c r="AD16" s="62">
        <f>VLOOKUP(B16,'Dados Meteorológicos'!$1:$988,27,0)</f>
        <v>74</v>
      </c>
      <c r="AE16" s="62">
        <f>VLOOKUP(B16,'Dados Meteorológicos'!$1:$988,28,0)</f>
        <v>23.36</v>
      </c>
      <c r="AF16" s="62">
        <f>VLOOKUP(B16,'Dados Meteorológicos'!$1:$988,29,0)</f>
        <v>131.7</v>
      </c>
      <c r="AG16" s="62">
        <f>VLOOKUP(B16,'Dados Meteorológicos'!$1:$988,30,0)</f>
        <v>2.74</v>
      </c>
      <c r="AH16" s="62">
        <f>VLOOKUP(B16,'Dados Meteorológicos'!$1:$988,31,0)</f>
        <v>22.5</v>
      </c>
      <c r="AI16" s="62">
        <f>VLOOKUP(B16,'Dados Meteorológicos'!$1:$988,32,0)</f>
        <v>38.17</v>
      </c>
      <c r="AJ16" s="62">
        <f>VLOOKUP(B16,'Dados Meteorológicos'!$1:$988,33,0)</f>
        <v>25.91</v>
      </c>
      <c r="AK16" s="62" t="str">
        <f>VLOOKUP(B16,'Dados Meteorológicos'!$1:$988,34,0)</f>
        <v>01+1d</v>
      </c>
      <c r="AL16" s="62">
        <f>VLOOKUP(B16,'Dados Meteorológicos'!$1:$988,35,0)</f>
        <v>23.21</v>
      </c>
      <c r="AM16" s="62">
        <f>VLOOKUP(B16,'Dados Meteorológicos'!$1:$988,36,0)</f>
        <v>20.51</v>
      </c>
      <c r="AN16" s="62">
        <f>VLOOKUP(B16,'Dados Meteorológicos'!$1:$988,37,0)</f>
        <v>84</v>
      </c>
      <c r="AO16" s="62">
        <f>VLOOKUP(B16,'Dados Meteorológicos'!$1:$988,38,0)</f>
        <v>20.81</v>
      </c>
      <c r="AP16" s="62">
        <f>VLOOKUP(B16,'Dados Meteorológicos'!$1:$988,39,0)</f>
        <v>33.5</v>
      </c>
      <c r="AQ16" s="62">
        <f>VLOOKUP(B16,'Dados Meteorológicos'!$1:$988,40,0)</f>
        <v>2.79</v>
      </c>
      <c r="AR16" s="62">
        <f>VLOOKUP(B16,'Dados Meteorológicos'!$1:$988,41,0)</f>
        <v>21.6</v>
      </c>
      <c r="AS16" s="62">
        <f>VLOOKUP(B16,'Dados Meteorológicos'!$1:$988,42,0)</f>
        <v>36.14</v>
      </c>
      <c r="AT16" s="62">
        <f>VLOOKUP(B16,'Dados Meteorológicos'!$1:$988,43,0)</f>
        <v>24.67</v>
      </c>
      <c r="AU16" s="62" t="str">
        <f>VLOOKUP(B16,'Dados Meteorológicos'!$1:$988,44,0)</f>
        <v>02+1d</v>
      </c>
      <c r="AV16" s="62">
        <f>VLOOKUP(B16,'Dados Meteorológicos'!$1:$988,45,0)</f>
        <v>22.06</v>
      </c>
      <c r="AW16" s="62">
        <f>VLOOKUP(B16,'Dados Meteorológicos'!$1:$988,46,0)</f>
        <v>20.26</v>
      </c>
      <c r="AX16" s="62">
        <f>VLOOKUP(B16,'Dados Meteorológicos'!$1:$988,47,0)</f>
        <v>89</v>
      </c>
      <c r="AY16" s="62">
        <f>VLOOKUP(B16,'Dados Meteorológicos'!$1:$988,48,0)</f>
        <v>19.47</v>
      </c>
      <c r="AZ16" s="62">
        <f>VLOOKUP(B16,'Dados Meteorológicos'!$1:$988,49,0)</f>
        <v>0</v>
      </c>
      <c r="BA16" s="62">
        <f>VLOOKUP(B16,'Dados Meteorológicos'!$1:$988,50,0)</f>
        <v>3.39</v>
      </c>
      <c r="BB16" s="62">
        <f>VLOOKUP(B16,'Dados Meteorológicos'!$1:$988,51,0)</f>
        <v>20.82</v>
      </c>
      <c r="BC16" s="62">
        <f>VLOOKUP(B16,'Dados Meteorológicos'!$1:$988,52,0)</f>
        <v>34.34</v>
      </c>
      <c r="BD16" s="14">
        <f>VLOOKUP(B16,'Dados Meteorológicos'!$1:$988,53,0)</f>
        <v>23.65</v>
      </c>
      <c r="BE16" s="62"/>
      <c r="BF16" s="63">
        <f t="shared" ref="BF16:BN16" si="17">AVERAGE(R16,AB16,AL16,AV16)</f>
        <v>24.4075</v>
      </c>
      <c r="BG16" s="63">
        <f t="shared" si="17"/>
        <v>20.5975</v>
      </c>
      <c r="BH16" s="63">
        <f t="shared" si="17"/>
        <v>79</v>
      </c>
      <c r="BI16" s="63">
        <f t="shared" si="17"/>
        <v>22.3825</v>
      </c>
      <c r="BJ16" s="63">
        <f t="shared" si="17"/>
        <v>103.675</v>
      </c>
      <c r="BK16" s="63">
        <f t="shared" si="17"/>
        <v>2.895</v>
      </c>
      <c r="BL16" s="63">
        <f t="shared" si="17"/>
        <v>22.1075</v>
      </c>
      <c r="BM16" s="63">
        <f t="shared" si="17"/>
        <v>37.2575</v>
      </c>
      <c r="BN16" s="63">
        <f t="shared" si="17"/>
        <v>25.3675</v>
      </c>
    </row>
    <row r="17">
      <c r="A17" s="64">
        <v>16.0</v>
      </c>
      <c r="B17" s="87" t="s">
        <v>1664</v>
      </c>
      <c r="C17" s="88">
        <v>51.0</v>
      </c>
      <c r="D17" s="78">
        <v>48.0</v>
      </c>
      <c r="E17" s="55">
        <f t="shared" si="2"/>
        <v>99</v>
      </c>
      <c r="F17" s="74">
        <v>45826.0</v>
      </c>
      <c r="G17" s="78" t="s">
        <v>1665</v>
      </c>
      <c r="H17" s="75">
        <v>0.9166666666666666</v>
      </c>
      <c r="I17" s="75">
        <v>0.875</v>
      </c>
      <c r="J17" s="59" t="str">
        <f t="shared" si="3"/>
        <v>Evening</v>
      </c>
      <c r="K17" s="78" t="s">
        <v>997</v>
      </c>
      <c r="L17" s="72" t="s">
        <v>1630</v>
      </c>
      <c r="M17" s="76"/>
      <c r="N17" s="70" t="s">
        <v>1666</v>
      </c>
      <c r="O17" s="62">
        <f>VLOOKUP(B17,'Dados Meteorológicos'!$1:$988,12,0)</f>
        <v>38.75</v>
      </c>
      <c r="P17" s="62">
        <f>VLOOKUP(B17,'Dados Meteorológicos'!$1:$988,13,0)</f>
        <v>-77</v>
      </c>
      <c r="Q17" s="62">
        <f>VLOOKUP(B17,'Dados Meteorológicos'!$1:$988,14,0)</f>
        <v>2</v>
      </c>
      <c r="R17" s="62">
        <f>VLOOKUP(B17,'Dados Meteorológicos'!$1:$988,15,0)</f>
        <v>25.44</v>
      </c>
      <c r="S17" s="62">
        <f>VLOOKUP(B17,'Dados Meteorológicos'!$1:$988,16,0)</f>
        <v>23.89</v>
      </c>
      <c r="T17" s="62">
        <f>VLOOKUP(B17,'Dados Meteorológicos'!$1:$988,17,0)</f>
        <v>91</v>
      </c>
      <c r="U17" s="62">
        <f>VLOOKUP(B17,'Dados Meteorológicos'!$1:$988,18,0)</f>
        <v>23.59</v>
      </c>
      <c r="V17" s="62">
        <f>VLOOKUP(B17,'Dados Meteorológicos'!$1:$988,19,0)</f>
        <v>0</v>
      </c>
      <c r="W17" s="62">
        <f>VLOOKUP(B17,'Dados Meteorológicos'!$1:$988,20,0)</f>
        <v>1.85</v>
      </c>
      <c r="X17" s="62">
        <f>VLOOKUP(B17,'Dados Meteorológicos'!$1:$988,21,0)</f>
        <v>23.88</v>
      </c>
      <c r="Y17" s="62">
        <f>VLOOKUP(B17,'Dados Meteorológicos'!$1:$988,22,0)</f>
        <v>40.69</v>
      </c>
      <c r="Z17" s="62">
        <f>VLOOKUP(B17,'Dados Meteorológicos'!$1:$988,23,0)</f>
        <v>27.4</v>
      </c>
      <c r="AA17" s="62">
        <f>VLOOKUP(B17,'Dados Meteorológicos'!$1:$988,24,0)</f>
        <v>3</v>
      </c>
      <c r="AB17" s="62">
        <f>VLOOKUP(B17,'Dados Meteorológicos'!$1:$988,25,0)</f>
        <v>25.51</v>
      </c>
      <c r="AC17" s="62">
        <f>VLOOKUP(B17,'Dados Meteorológicos'!$1:$988,26,0)</f>
        <v>23.5</v>
      </c>
      <c r="AD17" s="62">
        <f>VLOOKUP(B17,'Dados Meteorológicos'!$1:$988,27,0)</f>
        <v>88</v>
      </c>
      <c r="AE17" s="62">
        <f>VLOOKUP(B17,'Dados Meteorológicos'!$1:$988,28,0)</f>
        <v>23.7</v>
      </c>
      <c r="AF17" s="62">
        <f>VLOOKUP(B17,'Dados Meteorológicos'!$1:$988,29,0)</f>
        <v>0</v>
      </c>
      <c r="AG17" s="62">
        <f>VLOOKUP(B17,'Dados Meteorológicos'!$1:$988,30,0)</f>
        <v>1.91</v>
      </c>
      <c r="AH17" s="62">
        <f>VLOOKUP(B17,'Dados Meteorológicos'!$1:$988,31,0)</f>
        <v>23.79</v>
      </c>
      <c r="AI17" s="62">
        <f>VLOOKUP(B17,'Dados Meteorológicos'!$1:$988,32,0)</f>
        <v>40.53</v>
      </c>
      <c r="AJ17" s="62">
        <f>VLOOKUP(B17,'Dados Meteorológicos'!$1:$988,33,0)</f>
        <v>27.31</v>
      </c>
      <c r="AK17" s="62" t="str">
        <f>VLOOKUP(B17,'Dados Meteorológicos'!$1:$988,34,0)</f>
        <v/>
      </c>
      <c r="AL17" s="62" t="str">
        <f>VLOOKUP(B17,'Dados Meteorológicos'!$1:$988,35,0)</f>
        <v/>
      </c>
      <c r="AM17" s="62" t="str">
        <f>VLOOKUP(B17,'Dados Meteorológicos'!$1:$988,36,0)</f>
        <v/>
      </c>
      <c r="AN17" s="62" t="str">
        <f>VLOOKUP(B17,'Dados Meteorológicos'!$1:$988,37,0)</f>
        <v/>
      </c>
      <c r="AO17" s="62" t="str">
        <f>VLOOKUP(B17,'Dados Meteorológicos'!$1:$988,38,0)</f>
        <v/>
      </c>
      <c r="AP17" s="62" t="str">
        <f>VLOOKUP(B17,'Dados Meteorológicos'!$1:$988,39,0)</f>
        <v/>
      </c>
      <c r="AQ17" s="62" t="str">
        <f>VLOOKUP(B17,'Dados Meteorológicos'!$1:$988,40,0)</f>
        <v/>
      </c>
      <c r="AR17" s="62" t="str">
        <f>VLOOKUP(B17,'Dados Meteorológicos'!$1:$988,41,0)</f>
        <v/>
      </c>
      <c r="AS17" s="62" t="str">
        <f>VLOOKUP(B17,'Dados Meteorológicos'!$1:$988,42,0)</f>
        <v/>
      </c>
      <c r="AT17" s="62" t="str">
        <f>VLOOKUP(B17,'Dados Meteorológicos'!$1:$988,43,0)</f>
        <v/>
      </c>
      <c r="AU17" s="62" t="str">
        <f>VLOOKUP(B17,'Dados Meteorológicos'!$1:$988,44,0)</f>
        <v/>
      </c>
      <c r="AV17" s="62" t="str">
        <f>VLOOKUP(B17,'Dados Meteorológicos'!$1:$988,45,0)</f>
        <v/>
      </c>
      <c r="AW17" s="62" t="str">
        <f>VLOOKUP(B17,'Dados Meteorológicos'!$1:$988,46,0)</f>
        <v/>
      </c>
      <c r="AX17" s="62" t="str">
        <f>VLOOKUP(B17,'Dados Meteorológicos'!$1:$988,47,0)</f>
        <v/>
      </c>
      <c r="AY17" s="62" t="str">
        <f>VLOOKUP(B17,'Dados Meteorológicos'!$1:$988,48,0)</f>
        <v/>
      </c>
      <c r="AZ17" s="62" t="str">
        <f>VLOOKUP(B17,'Dados Meteorológicos'!$1:$988,49,0)</f>
        <v/>
      </c>
      <c r="BA17" s="62" t="str">
        <f>VLOOKUP(B17,'Dados Meteorológicos'!$1:$988,50,0)</f>
        <v/>
      </c>
      <c r="BB17" s="62" t="str">
        <f>VLOOKUP(B17,'Dados Meteorológicos'!$1:$988,51,0)</f>
        <v/>
      </c>
      <c r="BC17" s="62" t="str">
        <f>VLOOKUP(B17,'Dados Meteorológicos'!$1:$988,52,0)</f>
        <v/>
      </c>
      <c r="BD17" s="14" t="str">
        <f>VLOOKUP(B17,'Dados Meteorológicos'!$1:$988,53,0)</f>
        <v/>
      </c>
      <c r="BE17" s="62"/>
      <c r="BF17" s="63">
        <f t="shared" ref="BF17:BN17" si="18">AVERAGE(R17,AB17,AL17,AV17)</f>
        <v>25.475</v>
      </c>
      <c r="BG17" s="63">
        <f t="shared" si="18"/>
        <v>23.695</v>
      </c>
      <c r="BH17" s="63">
        <f t="shared" si="18"/>
        <v>89.5</v>
      </c>
      <c r="BI17" s="63">
        <f t="shared" si="18"/>
        <v>23.645</v>
      </c>
      <c r="BJ17" s="63">
        <f t="shared" si="18"/>
        <v>0</v>
      </c>
      <c r="BK17" s="63">
        <f t="shared" si="18"/>
        <v>1.88</v>
      </c>
      <c r="BL17" s="63">
        <f t="shared" si="18"/>
        <v>23.835</v>
      </c>
      <c r="BM17" s="63">
        <f t="shared" si="18"/>
        <v>40.61</v>
      </c>
      <c r="BN17" s="63">
        <f t="shared" si="18"/>
        <v>27.355</v>
      </c>
    </row>
    <row r="18">
      <c r="A18" s="2">
        <v>17.0</v>
      </c>
      <c r="B18" s="77" t="s">
        <v>1667</v>
      </c>
      <c r="C18" s="72">
        <v>51.0</v>
      </c>
      <c r="D18" s="93">
        <v>51.0</v>
      </c>
      <c r="E18" s="55">
        <f t="shared" si="2"/>
        <v>102</v>
      </c>
      <c r="F18" s="74">
        <v>45827.0</v>
      </c>
      <c r="G18" s="78" t="s">
        <v>1640</v>
      </c>
      <c r="H18" s="75">
        <v>0.5416666666666666</v>
      </c>
      <c r="I18" s="75">
        <v>0.5</v>
      </c>
      <c r="J18" s="59" t="str">
        <f t="shared" si="3"/>
        <v>Afternoon</v>
      </c>
      <c r="K18" s="72" t="s">
        <v>249</v>
      </c>
      <c r="L18" s="72" t="s">
        <v>1630</v>
      </c>
      <c r="M18" s="94" t="s">
        <v>1668</v>
      </c>
      <c r="N18" s="70" t="s">
        <v>1641</v>
      </c>
      <c r="O18" s="62">
        <f>VLOOKUP(B18,'Dados Meteorológicos'!$1:$988,12,0)</f>
        <v>40.75</v>
      </c>
      <c r="P18" s="62">
        <f>VLOOKUP(B18,'Dados Meteorológicos'!$1:$988,13,0)</f>
        <v>-74</v>
      </c>
      <c r="Q18" s="62">
        <f>VLOOKUP(B18,'Dados Meteorológicos'!$1:$988,14,0)</f>
        <v>17</v>
      </c>
      <c r="R18" s="62">
        <f>VLOOKUP(B18,'Dados Meteorológicos'!$1:$988,15,0)</f>
        <v>30.36</v>
      </c>
      <c r="S18" s="62">
        <f>VLOOKUP(B18,'Dados Meteorológicos'!$1:$988,16,0)</f>
        <v>20.86</v>
      </c>
      <c r="T18" s="62">
        <f>VLOOKUP(B18,'Dados Meteorológicos'!$1:$988,17,0)</f>
        <v>56</v>
      </c>
      <c r="U18" s="62">
        <f>VLOOKUP(B18,'Dados Meteorológicos'!$1:$988,18,0)</f>
        <v>30.96</v>
      </c>
      <c r="V18" s="62">
        <f>VLOOKUP(B18,'Dados Meteorológicos'!$1:$988,19,0)</f>
        <v>873.4</v>
      </c>
      <c r="W18" s="62">
        <f>VLOOKUP(B18,'Dados Meteorológicos'!$1:$988,20,0)</f>
        <v>2.53</v>
      </c>
      <c r="X18" s="62">
        <f>VLOOKUP(B18,'Dados Meteorológicos'!$1:$988,21,0)</f>
        <v>24.69</v>
      </c>
      <c r="Y18" s="62">
        <f>VLOOKUP(B18,'Dados Meteorológicos'!$1:$988,22,0)</f>
        <v>43.9</v>
      </c>
      <c r="Z18" s="62">
        <f>VLOOKUP(B18,'Dados Meteorológicos'!$1:$988,23,0)</f>
        <v>29.1</v>
      </c>
      <c r="AA18" s="62">
        <f>VLOOKUP(B18,'Dados Meteorológicos'!$1:$988,24,0)</f>
        <v>18</v>
      </c>
      <c r="AB18" s="62">
        <f>VLOOKUP(B18,'Dados Meteorológicos'!$1:$988,25,0)</f>
        <v>30.41</v>
      </c>
      <c r="AC18" s="62">
        <f>VLOOKUP(B18,'Dados Meteorológicos'!$1:$988,26,0)</f>
        <v>20.6</v>
      </c>
      <c r="AD18" s="62">
        <f>VLOOKUP(B18,'Dados Meteorológicos'!$1:$988,27,0)</f>
        <v>55</v>
      </c>
      <c r="AE18" s="62">
        <f>VLOOKUP(B18,'Dados Meteorológicos'!$1:$988,28,0)</f>
        <v>31.04</v>
      </c>
      <c r="AF18" s="62">
        <f>VLOOKUP(B18,'Dados Meteorológicos'!$1:$988,29,0)</f>
        <v>804.4</v>
      </c>
      <c r="AG18" s="62">
        <f>VLOOKUP(B18,'Dados Meteorológicos'!$1:$988,30,0)</f>
        <v>3.1</v>
      </c>
      <c r="AH18" s="62">
        <f>VLOOKUP(B18,'Dados Meteorológicos'!$1:$988,31,0)</f>
        <v>24.45</v>
      </c>
      <c r="AI18" s="62">
        <f>VLOOKUP(B18,'Dados Meteorológicos'!$1:$988,32,0)</f>
        <v>43.3</v>
      </c>
      <c r="AJ18" s="62">
        <f>VLOOKUP(B18,'Dados Meteorológicos'!$1:$988,33,0)</f>
        <v>28.82</v>
      </c>
      <c r="AK18" s="62">
        <f>VLOOKUP(B18,'Dados Meteorológicos'!$1:$988,34,0)</f>
        <v>19</v>
      </c>
      <c r="AL18" s="62">
        <f>VLOOKUP(B18,'Dados Meteorológicos'!$1:$988,35,0)</f>
        <v>31.12</v>
      </c>
      <c r="AM18" s="62">
        <f>VLOOKUP(B18,'Dados Meteorológicos'!$1:$988,36,0)</f>
        <v>20.24</v>
      </c>
      <c r="AN18" s="62">
        <f>VLOOKUP(B18,'Dados Meteorológicos'!$1:$988,37,0)</f>
        <v>52</v>
      </c>
      <c r="AO18" s="62">
        <f>VLOOKUP(B18,'Dados Meteorológicos'!$1:$988,38,0)</f>
        <v>32.25</v>
      </c>
      <c r="AP18" s="62">
        <f>VLOOKUP(B18,'Dados Meteorológicos'!$1:$988,39,0)</f>
        <v>447.2</v>
      </c>
      <c r="AQ18" s="62">
        <f>VLOOKUP(B18,'Dados Meteorológicos'!$1:$988,40,0)</f>
        <v>1.68</v>
      </c>
      <c r="AR18" s="62">
        <f>VLOOKUP(B18,'Dados Meteorológicos'!$1:$988,41,0)</f>
        <v>24.94</v>
      </c>
      <c r="AS18" s="62">
        <f>VLOOKUP(B18,'Dados Meteorológicos'!$1:$988,42,0)</f>
        <v>45.43</v>
      </c>
      <c r="AT18" s="62">
        <f>VLOOKUP(B18,'Dados Meteorológicos'!$1:$988,43,0)</f>
        <v>29.65</v>
      </c>
      <c r="AU18" s="62" t="str">
        <f>VLOOKUP(B18,'Dados Meteorológicos'!$1:$988,44,0)</f>
        <v/>
      </c>
      <c r="AV18" s="62" t="str">
        <f>VLOOKUP(B18,'Dados Meteorológicos'!$1:$988,45,0)</f>
        <v/>
      </c>
      <c r="AW18" s="62" t="str">
        <f>VLOOKUP(B18,'Dados Meteorológicos'!$1:$988,46,0)</f>
        <v/>
      </c>
      <c r="AX18" s="62" t="str">
        <f>VLOOKUP(B18,'Dados Meteorológicos'!$1:$988,47,0)</f>
        <v/>
      </c>
      <c r="AY18" s="62" t="str">
        <f>VLOOKUP(B18,'Dados Meteorológicos'!$1:$988,48,0)</f>
        <v/>
      </c>
      <c r="AZ18" s="62" t="str">
        <f>VLOOKUP(B18,'Dados Meteorológicos'!$1:$988,49,0)</f>
        <v/>
      </c>
      <c r="BA18" s="62" t="str">
        <f>VLOOKUP(B18,'Dados Meteorológicos'!$1:$988,50,0)</f>
        <v/>
      </c>
      <c r="BB18" s="62" t="str">
        <f>VLOOKUP(B18,'Dados Meteorológicos'!$1:$988,51,0)</f>
        <v/>
      </c>
      <c r="BC18" s="62" t="str">
        <f>VLOOKUP(B18,'Dados Meteorológicos'!$1:$988,52,0)</f>
        <v/>
      </c>
      <c r="BD18" s="14" t="str">
        <f>VLOOKUP(B18,'Dados Meteorológicos'!$1:$988,53,0)</f>
        <v/>
      </c>
      <c r="BE18" s="62"/>
      <c r="BF18" s="63">
        <f t="shared" ref="BF18:BN18" si="19">AVERAGE(R18,AB18,AL18,AV18)</f>
        <v>30.63</v>
      </c>
      <c r="BG18" s="63">
        <f t="shared" si="19"/>
        <v>20.56666667</v>
      </c>
      <c r="BH18" s="63">
        <f t="shared" si="19"/>
        <v>54.33333333</v>
      </c>
      <c r="BI18" s="63">
        <f t="shared" si="19"/>
        <v>31.41666667</v>
      </c>
      <c r="BJ18" s="63">
        <f t="shared" si="19"/>
        <v>708.3333333</v>
      </c>
      <c r="BK18" s="63">
        <f t="shared" si="19"/>
        <v>2.436666667</v>
      </c>
      <c r="BL18" s="63">
        <f t="shared" si="19"/>
        <v>24.69333333</v>
      </c>
      <c r="BM18" s="63">
        <f t="shared" si="19"/>
        <v>44.21</v>
      </c>
      <c r="BN18" s="63">
        <f t="shared" si="19"/>
        <v>29.19</v>
      </c>
    </row>
    <row r="19">
      <c r="A19" s="2">
        <v>18.0</v>
      </c>
      <c r="B19" s="48" t="s">
        <v>1669</v>
      </c>
      <c r="C19" s="46">
        <v>47.0</v>
      </c>
      <c r="D19" s="46">
        <v>52.0</v>
      </c>
      <c r="E19" s="55">
        <f t="shared" si="2"/>
        <v>99</v>
      </c>
      <c r="F19" s="95">
        <v>45827.0</v>
      </c>
      <c r="G19" s="46" t="s">
        <v>1646</v>
      </c>
      <c r="H19" s="96">
        <v>0.6666666666666666</v>
      </c>
      <c r="I19" s="96">
        <v>0.625</v>
      </c>
      <c r="J19" s="59" t="str">
        <f t="shared" si="3"/>
        <v>Afternoon</v>
      </c>
      <c r="K19" s="97" t="s">
        <v>376</v>
      </c>
      <c r="L19" s="46" t="s">
        <v>1647</v>
      </c>
      <c r="M19" s="98"/>
      <c r="N19" s="99" t="s">
        <v>1648</v>
      </c>
      <c r="O19" s="62">
        <f>VLOOKUP(B19,'Dados Meteorológicos'!$1:$988,12,0)</f>
        <v>33.75</v>
      </c>
      <c r="P19" s="62">
        <f>VLOOKUP(B19,'Dados Meteorológicos'!$1:$988,13,0)</f>
        <v>-84.5</v>
      </c>
      <c r="Q19" s="62">
        <f>VLOOKUP(B19,'Dados Meteorológicos'!$1:$988,14,0)</f>
        <v>20</v>
      </c>
      <c r="R19" s="62">
        <f>VLOOKUP(B19,'Dados Meteorológicos'!$1:$988,15,0)</f>
        <v>24.62</v>
      </c>
      <c r="S19" s="62">
        <f>VLOOKUP(B19,'Dados Meteorológicos'!$1:$988,16,0)</f>
        <v>20.31</v>
      </c>
      <c r="T19" s="62">
        <f>VLOOKUP(B19,'Dados Meteorológicos'!$1:$988,17,0)</f>
        <v>76</v>
      </c>
      <c r="U19" s="62">
        <f>VLOOKUP(B19,'Dados Meteorológicos'!$1:$988,18,0)</f>
        <v>22.53</v>
      </c>
      <c r="V19" s="62">
        <f>VLOOKUP(B19,'Dados Meteorológicos'!$1:$988,19,0)</f>
        <v>524.3</v>
      </c>
      <c r="W19" s="62">
        <f>VLOOKUP(B19,'Dados Meteorológicos'!$1:$988,20,0)</f>
        <v>2.85</v>
      </c>
      <c r="X19" s="62">
        <f>VLOOKUP(B19,'Dados Meteorológicos'!$1:$988,21,0)</f>
        <v>22.14</v>
      </c>
      <c r="Y19" s="62">
        <f>VLOOKUP(B19,'Dados Meteorológicos'!$1:$988,22,0)</f>
        <v>37.35</v>
      </c>
      <c r="Z19" s="62">
        <f>VLOOKUP(B19,'Dados Meteorológicos'!$1:$988,23,0)</f>
        <v>25.43</v>
      </c>
      <c r="AA19" s="62">
        <f>VLOOKUP(B19,'Dados Meteorológicos'!$1:$988,24,0)</f>
        <v>21</v>
      </c>
      <c r="AB19" s="62">
        <f>VLOOKUP(B19,'Dados Meteorológicos'!$1:$988,25,0)</f>
        <v>25.37</v>
      </c>
      <c r="AC19" s="62">
        <f>VLOOKUP(B19,'Dados Meteorológicos'!$1:$988,26,0)</f>
        <v>20.6</v>
      </c>
      <c r="AD19" s="62">
        <f>VLOOKUP(B19,'Dados Meteorológicos'!$1:$988,27,0)</f>
        <v>74</v>
      </c>
      <c r="AE19" s="62">
        <f>VLOOKUP(B19,'Dados Meteorológicos'!$1:$988,28,0)</f>
        <v>23.51</v>
      </c>
      <c r="AF19" s="62">
        <f>VLOOKUP(B19,'Dados Meteorológicos'!$1:$988,29,0)</f>
        <v>423.7</v>
      </c>
      <c r="AG19" s="62">
        <f>VLOOKUP(B19,'Dados Meteorológicos'!$1:$988,30,0)</f>
        <v>2.74</v>
      </c>
      <c r="AH19" s="62">
        <f>VLOOKUP(B19,'Dados Meteorológicos'!$1:$988,31,0)</f>
        <v>22.59</v>
      </c>
      <c r="AI19" s="62">
        <f>VLOOKUP(B19,'Dados Meteorológicos'!$1:$988,32,0)</f>
        <v>38.33</v>
      </c>
      <c r="AJ19" s="62">
        <f>VLOOKUP(B19,'Dados Meteorológicos'!$1:$988,33,0)</f>
        <v>26.01</v>
      </c>
      <c r="AK19" s="62" t="str">
        <f>VLOOKUP(B19,'Dados Meteorológicos'!$1:$988,34,0)</f>
        <v/>
      </c>
      <c r="AL19" s="62" t="str">
        <f>VLOOKUP(B19,'Dados Meteorológicos'!$1:$988,35,0)</f>
        <v/>
      </c>
      <c r="AM19" s="62" t="str">
        <f>VLOOKUP(B19,'Dados Meteorológicos'!$1:$988,36,0)</f>
        <v/>
      </c>
      <c r="AN19" s="62" t="str">
        <f>VLOOKUP(B19,'Dados Meteorológicos'!$1:$988,37,0)</f>
        <v/>
      </c>
      <c r="AO19" s="62" t="str">
        <f>VLOOKUP(B19,'Dados Meteorológicos'!$1:$988,38,0)</f>
        <v/>
      </c>
      <c r="AP19" s="62" t="str">
        <f>VLOOKUP(B19,'Dados Meteorológicos'!$1:$988,39,0)</f>
        <v/>
      </c>
      <c r="AQ19" s="62" t="str">
        <f>VLOOKUP(B19,'Dados Meteorológicos'!$1:$988,40,0)</f>
        <v/>
      </c>
      <c r="AR19" s="62" t="str">
        <f>VLOOKUP(B19,'Dados Meteorológicos'!$1:$988,41,0)</f>
        <v/>
      </c>
      <c r="AS19" s="62" t="str">
        <f>VLOOKUP(B19,'Dados Meteorológicos'!$1:$988,42,0)</f>
        <v/>
      </c>
      <c r="AT19" s="62" t="str">
        <f>VLOOKUP(B19,'Dados Meteorológicos'!$1:$988,43,0)</f>
        <v/>
      </c>
      <c r="AU19" s="62" t="str">
        <f>VLOOKUP(B19,'Dados Meteorológicos'!$1:$988,44,0)</f>
        <v/>
      </c>
      <c r="AV19" s="62" t="str">
        <f>VLOOKUP(B19,'Dados Meteorológicos'!$1:$988,45,0)</f>
        <v/>
      </c>
      <c r="AW19" s="62" t="str">
        <f>VLOOKUP(B19,'Dados Meteorológicos'!$1:$988,46,0)</f>
        <v/>
      </c>
      <c r="AX19" s="62" t="str">
        <f>VLOOKUP(B19,'Dados Meteorológicos'!$1:$988,47,0)</f>
        <v/>
      </c>
      <c r="AY19" s="62" t="str">
        <f>VLOOKUP(B19,'Dados Meteorológicos'!$1:$988,48,0)</f>
        <v/>
      </c>
      <c r="AZ19" s="62" t="str">
        <f>VLOOKUP(B19,'Dados Meteorológicos'!$1:$988,49,0)</f>
        <v/>
      </c>
      <c r="BA19" s="62" t="str">
        <f>VLOOKUP(B19,'Dados Meteorológicos'!$1:$988,50,0)</f>
        <v/>
      </c>
      <c r="BB19" s="62" t="str">
        <f>VLOOKUP(B19,'Dados Meteorológicos'!$1:$988,51,0)</f>
        <v/>
      </c>
      <c r="BC19" s="62" t="str">
        <f>VLOOKUP(B19,'Dados Meteorológicos'!$1:$988,52,0)</f>
        <v/>
      </c>
      <c r="BD19" s="14" t="str">
        <f>VLOOKUP(B19,'Dados Meteorológicos'!$1:$988,53,0)</f>
        <v/>
      </c>
      <c r="BE19" s="62"/>
      <c r="BF19" s="63">
        <f t="shared" ref="BF19:BN19" si="20">AVERAGE(R19,AB19,AL19,AV19)</f>
        <v>24.995</v>
      </c>
      <c r="BG19" s="63">
        <f t="shared" si="20"/>
        <v>20.455</v>
      </c>
      <c r="BH19" s="63">
        <f t="shared" si="20"/>
        <v>75</v>
      </c>
      <c r="BI19" s="63">
        <f t="shared" si="20"/>
        <v>23.02</v>
      </c>
      <c r="BJ19" s="63">
        <f t="shared" si="20"/>
        <v>474</v>
      </c>
      <c r="BK19" s="63">
        <f t="shared" si="20"/>
        <v>2.795</v>
      </c>
      <c r="BL19" s="63">
        <f t="shared" si="20"/>
        <v>22.365</v>
      </c>
      <c r="BM19" s="63">
        <f t="shared" si="20"/>
        <v>37.84</v>
      </c>
      <c r="BN19" s="63">
        <f t="shared" si="20"/>
        <v>25.72</v>
      </c>
    </row>
    <row r="20">
      <c r="A20" s="2">
        <v>19.0</v>
      </c>
      <c r="B20" s="52" t="s">
        <v>1670</v>
      </c>
      <c r="C20" s="53">
        <v>48.0</v>
      </c>
      <c r="D20" s="53">
        <v>50.0</v>
      </c>
      <c r="E20" s="55">
        <f t="shared" si="2"/>
        <v>98</v>
      </c>
      <c r="F20" s="56">
        <v>45827.0</v>
      </c>
      <c r="G20" s="53" t="s">
        <v>1643</v>
      </c>
      <c r="H20" s="58">
        <v>0.7916666666666666</v>
      </c>
      <c r="I20" s="58">
        <v>0.625</v>
      </c>
      <c r="J20" s="59" t="str">
        <f t="shared" si="3"/>
        <v>Afternoon</v>
      </c>
      <c r="K20" s="53" t="s">
        <v>312</v>
      </c>
      <c r="L20" s="53" t="s">
        <v>1630</v>
      </c>
      <c r="M20" s="60"/>
      <c r="N20" s="61" t="s">
        <v>1644</v>
      </c>
      <c r="O20" s="62">
        <f>VLOOKUP(B20,'Dados Meteorológicos'!$1:$988,12,0)</f>
        <v>47.5</v>
      </c>
      <c r="P20" s="62">
        <f>VLOOKUP(B20,'Dados Meteorológicos'!$1:$988,13,0)</f>
        <v>-122.25</v>
      </c>
      <c r="Q20" s="62">
        <f>VLOOKUP(B20,'Dados Meteorológicos'!$1:$988,14,0)</f>
        <v>23</v>
      </c>
      <c r="R20" s="62">
        <f>VLOOKUP(B20,'Dados Meteorológicos'!$1:$988,15,0)</f>
        <v>19.06</v>
      </c>
      <c r="S20" s="62">
        <f>VLOOKUP(B20,'Dados Meteorológicos'!$1:$988,16,0)</f>
        <v>7.68</v>
      </c>
      <c r="T20" s="62">
        <f>VLOOKUP(B20,'Dados Meteorológicos'!$1:$988,17,0)</f>
        <v>47</v>
      </c>
      <c r="U20" s="62">
        <f>VLOOKUP(B20,'Dados Meteorológicos'!$1:$988,18,0)</f>
        <v>16.35</v>
      </c>
      <c r="V20" s="62">
        <f>VLOOKUP(B20,'Dados Meteorológicos'!$1:$988,19,0)</f>
        <v>414</v>
      </c>
      <c r="W20" s="62">
        <f>VLOOKUP(B20,'Dados Meteorológicos'!$1:$988,20,0)</f>
        <v>1.25</v>
      </c>
      <c r="X20" s="62">
        <f>VLOOKUP(B20,'Dados Meteorológicos'!$1:$988,21,0)</f>
        <v>15.77</v>
      </c>
      <c r="Y20" s="62">
        <f>VLOOKUP(B20,'Dados Meteorológicos'!$1:$988,22,0)</f>
        <v>28.9</v>
      </c>
      <c r="Z20" s="62">
        <f>VLOOKUP(B20,'Dados Meteorológicos'!$1:$988,23,0)</f>
        <v>18.72</v>
      </c>
      <c r="AA20" s="62" t="str">
        <f>VLOOKUP(B20,'Dados Meteorológicos'!$1:$988,24,0)</f>
        <v>00+1d</v>
      </c>
      <c r="AB20" s="62">
        <f>VLOOKUP(B20,'Dados Meteorológicos'!$1:$988,25,0)</f>
        <v>19.21</v>
      </c>
      <c r="AC20" s="62">
        <f>VLOOKUP(B20,'Dados Meteorológicos'!$1:$988,26,0)</f>
        <v>7.798</v>
      </c>
      <c r="AD20" s="62">
        <f>VLOOKUP(B20,'Dados Meteorológicos'!$1:$988,27,0)</f>
        <v>47</v>
      </c>
      <c r="AE20" s="62">
        <f>VLOOKUP(B20,'Dados Meteorológicos'!$1:$988,28,0)</f>
        <v>16.49</v>
      </c>
      <c r="AF20" s="62">
        <f>VLOOKUP(B20,'Dados Meteorológicos'!$1:$988,29,0)</f>
        <v>357</v>
      </c>
      <c r="AG20" s="62">
        <f>VLOOKUP(B20,'Dados Meteorológicos'!$1:$988,30,0)</f>
        <v>1.2</v>
      </c>
      <c r="AH20" s="62">
        <f>VLOOKUP(B20,'Dados Meteorológicos'!$1:$988,31,0)</f>
        <v>15.88</v>
      </c>
      <c r="AI20" s="62">
        <f>VLOOKUP(B20,'Dados Meteorológicos'!$1:$988,32,0)</f>
        <v>29.15</v>
      </c>
      <c r="AJ20" s="62">
        <f>VLOOKUP(B20,'Dados Meteorológicos'!$1:$988,33,0)</f>
        <v>18.87</v>
      </c>
      <c r="AK20" s="62" t="str">
        <f>VLOOKUP(B20,'Dados Meteorológicos'!$1:$988,34,0)</f>
        <v/>
      </c>
      <c r="AL20" s="62" t="str">
        <f>VLOOKUP(B20,'Dados Meteorológicos'!$1:$988,35,0)</f>
        <v/>
      </c>
      <c r="AM20" s="62" t="str">
        <f>VLOOKUP(B20,'Dados Meteorológicos'!$1:$988,36,0)</f>
        <v/>
      </c>
      <c r="AN20" s="62" t="str">
        <f>VLOOKUP(B20,'Dados Meteorológicos'!$1:$988,37,0)</f>
        <v/>
      </c>
      <c r="AO20" s="62" t="str">
        <f>VLOOKUP(B20,'Dados Meteorológicos'!$1:$988,38,0)</f>
        <v/>
      </c>
      <c r="AP20" s="62" t="str">
        <f>VLOOKUP(B20,'Dados Meteorológicos'!$1:$988,39,0)</f>
        <v/>
      </c>
      <c r="AQ20" s="62" t="str">
        <f>VLOOKUP(B20,'Dados Meteorológicos'!$1:$988,40,0)</f>
        <v/>
      </c>
      <c r="AR20" s="62" t="str">
        <f>VLOOKUP(B20,'Dados Meteorológicos'!$1:$988,41,0)</f>
        <v/>
      </c>
      <c r="AS20" s="62" t="str">
        <f>VLOOKUP(B20,'Dados Meteorológicos'!$1:$988,42,0)</f>
        <v/>
      </c>
      <c r="AT20" s="62" t="str">
        <f>VLOOKUP(B20,'Dados Meteorológicos'!$1:$988,43,0)</f>
        <v/>
      </c>
      <c r="AU20" s="62" t="str">
        <f>VLOOKUP(B20,'Dados Meteorológicos'!$1:$988,44,0)</f>
        <v/>
      </c>
      <c r="AV20" s="62" t="str">
        <f>VLOOKUP(B20,'Dados Meteorológicos'!$1:$988,45,0)</f>
        <v/>
      </c>
      <c r="AW20" s="62" t="str">
        <f>VLOOKUP(B20,'Dados Meteorológicos'!$1:$988,46,0)</f>
        <v/>
      </c>
      <c r="AX20" s="62" t="str">
        <f>VLOOKUP(B20,'Dados Meteorológicos'!$1:$988,47,0)</f>
        <v/>
      </c>
      <c r="AY20" s="62" t="str">
        <f>VLOOKUP(B20,'Dados Meteorológicos'!$1:$988,48,0)</f>
        <v/>
      </c>
      <c r="AZ20" s="62" t="str">
        <f>VLOOKUP(B20,'Dados Meteorológicos'!$1:$988,49,0)</f>
        <v/>
      </c>
      <c r="BA20" s="62" t="str">
        <f>VLOOKUP(B20,'Dados Meteorológicos'!$1:$988,50,0)</f>
        <v/>
      </c>
      <c r="BB20" s="62" t="str">
        <f>VLOOKUP(B20,'Dados Meteorológicos'!$1:$988,51,0)</f>
        <v/>
      </c>
      <c r="BC20" s="62" t="str">
        <f>VLOOKUP(B20,'Dados Meteorológicos'!$1:$988,52,0)</f>
        <v/>
      </c>
      <c r="BD20" s="14" t="str">
        <f>VLOOKUP(B20,'Dados Meteorológicos'!$1:$988,53,0)</f>
        <v/>
      </c>
      <c r="BE20" s="62"/>
      <c r="BF20" s="63">
        <f t="shared" ref="BF20:BN20" si="21">AVERAGE(R20,AB20,AL20,AV20)</f>
        <v>19.135</v>
      </c>
      <c r="BG20" s="63">
        <f t="shared" si="21"/>
        <v>7.739</v>
      </c>
      <c r="BH20" s="63">
        <f t="shared" si="21"/>
        <v>47</v>
      </c>
      <c r="BI20" s="63">
        <f t="shared" si="21"/>
        <v>16.42</v>
      </c>
      <c r="BJ20" s="63">
        <f t="shared" si="21"/>
        <v>385.5</v>
      </c>
      <c r="BK20" s="63">
        <f t="shared" si="21"/>
        <v>1.225</v>
      </c>
      <c r="BL20" s="63">
        <f t="shared" si="21"/>
        <v>15.825</v>
      </c>
      <c r="BM20" s="63">
        <f t="shared" si="21"/>
        <v>29.025</v>
      </c>
      <c r="BN20" s="63">
        <f t="shared" si="21"/>
        <v>18.795</v>
      </c>
    </row>
    <row r="21">
      <c r="A21" s="2">
        <v>20.0</v>
      </c>
      <c r="B21" s="71" t="s">
        <v>1671</v>
      </c>
      <c r="C21" s="72">
        <v>51.0</v>
      </c>
      <c r="D21" s="72">
        <v>51.0</v>
      </c>
      <c r="E21" s="55">
        <f t="shared" si="2"/>
        <v>102</v>
      </c>
      <c r="F21" s="74">
        <v>45827.0</v>
      </c>
      <c r="G21" s="72" t="s">
        <v>1636</v>
      </c>
      <c r="H21" s="75">
        <v>0.9166666666666666</v>
      </c>
      <c r="I21" s="75">
        <v>0.75</v>
      </c>
      <c r="J21" s="59" t="str">
        <f t="shared" si="3"/>
        <v>Evening</v>
      </c>
      <c r="K21" s="72" t="s">
        <v>1637</v>
      </c>
      <c r="L21" s="72" t="s">
        <v>1630</v>
      </c>
      <c r="M21" s="76"/>
      <c r="N21" s="70" t="s">
        <v>1638</v>
      </c>
      <c r="O21" s="62">
        <f>VLOOKUP(B21,'Dados Meteorológicos'!$1:$988,12,0)</f>
        <v>34.25</v>
      </c>
      <c r="P21" s="62">
        <f>VLOOKUP(B21,'Dados Meteorológicos'!$1:$988,13,0)</f>
        <v>-118.25</v>
      </c>
      <c r="Q21" s="62">
        <f>VLOOKUP(B21,'Dados Meteorológicos'!$1:$988,14,0)</f>
        <v>2</v>
      </c>
      <c r="R21" s="62">
        <f>VLOOKUP(B21,'Dados Meteorológicos'!$1:$988,15,0)</f>
        <v>23.7</v>
      </c>
      <c r="S21" s="62">
        <f>VLOOKUP(B21,'Dados Meteorológicos'!$1:$988,16,0)</f>
        <v>11.6</v>
      </c>
      <c r="T21" s="62">
        <f>VLOOKUP(B21,'Dados Meteorológicos'!$1:$988,17,0)</f>
        <v>46</v>
      </c>
      <c r="U21" s="62">
        <f>VLOOKUP(B21,'Dados Meteorológicos'!$1:$988,18,0)</f>
        <v>21.38</v>
      </c>
      <c r="V21" s="62">
        <f>VLOOKUP(B21,'Dados Meteorológicos'!$1:$988,19,0)</f>
        <v>247.4</v>
      </c>
      <c r="W21" s="62">
        <f>VLOOKUP(B21,'Dados Meteorológicos'!$1:$988,20,0)</f>
        <v>1.53</v>
      </c>
      <c r="X21" s="62">
        <f>VLOOKUP(B21,'Dados Meteorológicos'!$1:$988,21,0)</f>
        <v>18.89</v>
      </c>
      <c r="Y21" s="62">
        <f>VLOOKUP(B21,'Dados Meteorológicos'!$1:$988,22,0)</f>
        <v>34.9</v>
      </c>
      <c r="Z21" s="62">
        <f>VLOOKUP(B21,'Dados Meteorológicos'!$1:$988,23,0)</f>
        <v>22.57</v>
      </c>
      <c r="AA21" s="62">
        <f>VLOOKUP(B21,'Dados Meteorológicos'!$1:$988,24,0)</f>
        <v>3</v>
      </c>
      <c r="AB21" s="62">
        <f>VLOOKUP(B21,'Dados Meteorológicos'!$1:$988,25,0)</f>
        <v>21.99</v>
      </c>
      <c r="AC21" s="62">
        <f>VLOOKUP(B21,'Dados Meteorológicos'!$1:$988,26,0)</f>
        <v>11.66</v>
      </c>
      <c r="AD21" s="62">
        <f>VLOOKUP(B21,'Dados Meteorológicos'!$1:$988,27,0)</f>
        <v>51</v>
      </c>
      <c r="AE21" s="62">
        <f>VLOOKUP(B21,'Dados Meteorológicos'!$1:$988,28,0)</f>
        <v>19.4</v>
      </c>
      <c r="AF21" s="62">
        <f>VLOOKUP(B21,'Dados Meteorológicos'!$1:$988,29,0)</f>
        <v>66.2</v>
      </c>
      <c r="AG21" s="62">
        <f>VLOOKUP(B21,'Dados Meteorológicos'!$1:$988,30,0)</f>
        <v>1.11</v>
      </c>
      <c r="AH21" s="62">
        <f>VLOOKUP(B21,'Dados Meteorológicos'!$1:$988,31,0)</f>
        <v>18.43</v>
      </c>
      <c r="AI21" s="62">
        <f>VLOOKUP(B21,'Dados Meteorológicos'!$1:$988,32,0)</f>
        <v>33.43</v>
      </c>
      <c r="AJ21" s="62">
        <f>VLOOKUP(B21,'Dados Meteorológicos'!$1:$988,33,0)</f>
        <v>21.79</v>
      </c>
      <c r="AK21" s="62" t="str">
        <f>VLOOKUP(B21,'Dados Meteorológicos'!$1:$988,34,0)</f>
        <v/>
      </c>
      <c r="AL21" s="62" t="str">
        <f>VLOOKUP(B21,'Dados Meteorológicos'!$1:$988,35,0)</f>
        <v/>
      </c>
      <c r="AM21" s="62" t="str">
        <f>VLOOKUP(B21,'Dados Meteorológicos'!$1:$988,36,0)</f>
        <v/>
      </c>
      <c r="AN21" s="62" t="str">
        <f>VLOOKUP(B21,'Dados Meteorológicos'!$1:$988,37,0)</f>
        <v/>
      </c>
      <c r="AO21" s="62" t="str">
        <f>VLOOKUP(B21,'Dados Meteorológicos'!$1:$988,38,0)</f>
        <v/>
      </c>
      <c r="AP21" s="62" t="str">
        <f>VLOOKUP(B21,'Dados Meteorológicos'!$1:$988,39,0)</f>
        <v/>
      </c>
      <c r="AQ21" s="62" t="str">
        <f>VLOOKUP(B21,'Dados Meteorológicos'!$1:$988,40,0)</f>
        <v/>
      </c>
      <c r="AR21" s="62" t="str">
        <f>VLOOKUP(B21,'Dados Meteorológicos'!$1:$988,41,0)</f>
        <v/>
      </c>
      <c r="AS21" s="62" t="str">
        <f>VLOOKUP(B21,'Dados Meteorológicos'!$1:$988,42,0)</f>
        <v/>
      </c>
      <c r="AT21" s="62" t="str">
        <f>VLOOKUP(B21,'Dados Meteorológicos'!$1:$988,43,0)</f>
        <v/>
      </c>
      <c r="AU21" s="62" t="str">
        <f>VLOOKUP(B21,'Dados Meteorológicos'!$1:$988,44,0)</f>
        <v/>
      </c>
      <c r="AV21" s="62" t="str">
        <f>VLOOKUP(B21,'Dados Meteorológicos'!$1:$988,45,0)</f>
        <v/>
      </c>
      <c r="AW21" s="62" t="str">
        <f>VLOOKUP(B21,'Dados Meteorológicos'!$1:$988,46,0)</f>
        <v/>
      </c>
      <c r="AX21" s="62" t="str">
        <f>VLOOKUP(B21,'Dados Meteorológicos'!$1:$988,47,0)</f>
        <v/>
      </c>
      <c r="AY21" s="62" t="str">
        <f>VLOOKUP(B21,'Dados Meteorológicos'!$1:$988,48,0)</f>
        <v/>
      </c>
      <c r="AZ21" s="62" t="str">
        <f>VLOOKUP(B21,'Dados Meteorológicos'!$1:$988,49,0)</f>
        <v/>
      </c>
      <c r="BA21" s="62" t="str">
        <f>VLOOKUP(B21,'Dados Meteorológicos'!$1:$988,50,0)</f>
        <v/>
      </c>
      <c r="BB21" s="62" t="str">
        <f>VLOOKUP(B21,'Dados Meteorológicos'!$1:$988,51,0)</f>
        <v/>
      </c>
      <c r="BC21" s="62" t="str">
        <f>VLOOKUP(B21,'Dados Meteorológicos'!$1:$988,52,0)</f>
        <v/>
      </c>
      <c r="BD21" s="14" t="str">
        <f>VLOOKUP(B21,'Dados Meteorológicos'!$1:$988,53,0)</f>
        <v/>
      </c>
      <c r="BE21" s="62"/>
      <c r="BF21" s="63">
        <f t="shared" ref="BF21:BN21" si="22">AVERAGE(R21,AB21,AL21,AV21)</f>
        <v>22.845</v>
      </c>
      <c r="BG21" s="63">
        <f t="shared" si="22"/>
        <v>11.63</v>
      </c>
      <c r="BH21" s="63">
        <f t="shared" si="22"/>
        <v>48.5</v>
      </c>
      <c r="BI21" s="63">
        <f t="shared" si="22"/>
        <v>20.39</v>
      </c>
      <c r="BJ21" s="63">
        <f t="shared" si="22"/>
        <v>156.8</v>
      </c>
      <c r="BK21" s="63">
        <f t="shared" si="22"/>
        <v>1.32</v>
      </c>
      <c r="BL21" s="63">
        <f t="shared" si="22"/>
        <v>18.66</v>
      </c>
      <c r="BM21" s="63">
        <f t="shared" si="22"/>
        <v>34.165</v>
      </c>
      <c r="BN21" s="63">
        <f t="shared" si="22"/>
        <v>22.18</v>
      </c>
    </row>
    <row r="22">
      <c r="A22" s="64">
        <v>21.0</v>
      </c>
      <c r="B22" s="70" t="s">
        <v>1672</v>
      </c>
      <c r="C22" s="100">
        <v>54.0</v>
      </c>
      <c r="D22" s="100">
        <v>53.0</v>
      </c>
      <c r="E22" s="55">
        <f t="shared" si="2"/>
        <v>107</v>
      </c>
      <c r="F22" s="67">
        <v>45828.0</v>
      </c>
      <c r="G22" s="66" t="s">
        <v>1656</v>
      </c>
      <c r="H22" s="68">
        <v>0.5416666666666666</v>
      </c>
      <c r="I22" s="68">
        <v>0.5</v>
      </c>
      <c r="J22" s="59" t="str">
        <f t="shared" si="3"/>
        <v>Afternoon</v>
      </c>
      <c r="K22" s="66" t="s">
        <v>686</v>
      </c>
      <c r="L22" s="66" t="s">
        <v>1630</v>
      </c>
      <c r="M22" s="90" t="s">
        <v>1673</v>
      </c>
      <c r="N22" s="70" t="s">
        <v>1658</v>
      </c>
      <c r="O22" s="62">
        <f>VLOOKUP(B22,'Dados Meteorológicos'!$1:$988,12,0)</f>
        <v>28.5</v>
      </c>
      <c r="P22" s="62">
        <f>VLOOKUP(B22,'Dados Meteorológicos'!$1:$988,13,0)</f>
        <v>-81.5</v>
      </c>
      <c r="Q22" s="62">
        <f>VLOOKUP(B22,'Dados Meteorológicos'!$1:$988,14,0)</f>
        <v>17</v>
      </c>
      <c r="R22" s="62">
        <f>VLOOKUP(B22,'Dados Meteorológicos'!$1:$988,15,0)</f>
        <v>29.76</v>
      </c>
      <c r="S22" s="62">
        <f>VLOOKUP(B22,'Dados Meteorológicos'!$1:$988,16,0)</f>
        <v>23.86</v>
      </c>
      <c r="T22" s="62">
        <f>VLOOKUP(B22,'Dados Meteorológicos'!$1:$988,17,0)</f>
        <v>70</v>
      </c>
      <c r="U22" s="62">
        <f>VLOOKUP(B22,'Dados Meteorológicos'!$1:$988,18,0)</f>
        <v>29.96</v>
      </c>
      <c r="V22" s="62">
        <f>VLOOKUP(B22,'Dados Meteorológicos'!$1:$988,19,0)</f>
        <v>818.3</v>
      </c>
      <c r="W22" s="62">
        <f>VLOOKUP(B22,'Dados Meteorológicos'!$1:$988,20,0)</f>
        <v>1.32</v>
      </c>
      <c r="X22" s="62">
        <f>VLOOKUP(B22,'Dados Meteorológicos'!$1:$988,21,0)</f>
        <v>25.9</v>
      </c>
      <c r="Y22" s="62">
        <f>VLOOKUP(B22,'Dados Meteorológicos'!$1:$988,22,0)</f>
        <v>45.46</v>
      </c>
      <c r="Z22" s="62">
        <f>VLOOKUP(B22,'Dados Meteorológicos'!$1:$988,23,0)</f>
        <v>30.2</v>
      </c>
      <c r="AA22" s="62">
        <f>VLOOKUP(B22,'Dados Meteorológicos'!$1:$988,24,0)</f>
        <v>18</v>
      </c>
      <c r="AB22" s="62">
        <f>VLOOKUP(B22,'Dados Meteorológicos'!$1:$988,25,0)</f>
        <v>29.98</v>
      </c>
      <c r="AC22" s="62">
        <f>VLOOKUP(B22,'Dados Meteorológicos'!$1:$988,26,0)</f>
        <v>23.99</v>
      </c>
      <c r="AD22" s="62">
        <f>VLOOKUP(B22,'Dados Meteorológicos'!$1:$988,27,0)</f>
        <v>70</v>
      </c>
      <c r="AE22" s="62">
        <f>VLOOKUP(B22,'Dados Meteorológicos'!$1:$988,28,0)</f>
        <v>30.31</v>
      </c>
      <c r="AF22" s="62">
        <f>VLOOKUP(B22,'Dados Meteorológicos'!$1:$988,29,0)</f>
        <v>798.8</v>
      </c>
      <c r="AG22" s="62">
        <f>VLOOKUP(B22,'Dados Meteorológicos'!$1:$988,30,0)</f>
        <v>1.11</v>
      </c>
      <c r="AH22" s="62">
        <f>VLOOKUP(B22,'Dados Meteorológicos'!$1:$988,31,0)</f>
        <v>26.09</v>
      </c>
      <c r="AI22" s="62">
        <f>VLOOKUP(B22,'Dados Meteorológicos'!$1:$988,32,0)</f>
        <v>45.94</v>
      </c>
      <c r="AJ22" s="62">
        <f>VLOOKUP(B22,'Dados Meteorológicos'!$1:$988,33,0)</f>
        <v>30.45</v>
      </c>
      <c r="AK22" s="62">
        <f>VLOOKUP(B22,'Dados Meteorológicos'!$1:$988,34,0)</f>
        <v>19</v>
      </c>
      <c r="AL22" s="62">
        <f>VLOOKUP(B22,'Dados Meteorológicos'!$1:$988,35,0)</f>
        <v>29.97</v>
      </c>
      <c r="AM22" s="62">
        <f>VLOOKUP(B22,'Dados Meteorológicos'!$1:$988,36,0)</f>
        <v>23.59</v>
      </c>
      <c r="AN22" s="62">
        <f>VLOOKUP(B22,'Dados Meteorológicos'!$1:$988,37,0)</f>
        <v>68</v>
      </c>
      <c r="AO22" s="62">
        <f>VLOOKUP(B22,'Dados Meteorológicos'!$1:$988,38,0)</f>
        <v>30.3</v>
      </c>
      <c r="AP22" s="62">
        <f>VLOOKUP(B22,'Dados Meteorológicos'!$1:$988,39,0)</f>
        <v>745.6</v>
      </c>
      <c r="AQ22" s="62">
        <f>VLOOKUP(B22,'Dados Meteorológicos'!$1:$988,40,0)</f>
        <v>0.93</v>
      </c>
      <c r="AR22" s="62">
        <f>VLOOKUP(B22,'Dados Meteorológicos'!$1:$988,41,0)</f>
        <v>25.99</v>
      </c>
      <c r="AS22" s="62">
        <f>VLOOKUP(B22,'Dados Meteorológicos'!$1:$988,42,0)</f>
        <v>45.97</v>
      </c>
      <c r="AT22" s="62">
        <f>VLOOKUP(B22,'Dados Meteorológicos'!$1:$988,43,0)</f>
        <v>30.38</v>
      </c>
      <c r="AU22" s="62">
        <f>VLOOKUP(B22,'Dados Meteorológicos'!$1:$988,44,0)</f>
        <v>20</v>
      </c>
      <c r="AV22" s="62">
        <f>VLOOKUP(B22,'Dados Meteorológicos'!$1:$988,45,0)</f>
        <v>27.84</v>
      </c>
      <c r="AW22" s="62">
        <f>VLOOKUP(B22,'Dados Meteorológicos'!$1:$988,46,0)</f>
        <v>23.41</v>
      </c>
      <c r="AX22" s="62">
        <f>VLOOKUP(B22,'Dados Meteorológicos'!$1:$988,47,0)</f>
        <v>76</v>
      </c>
      <c r="AY22" s="62">
        <f>VLOOKUP(B22,'Dados Meteorológicos'!$1:$988,48,0)</f>
        <v>26.98</v>
      </c>
      <c r="AZ22" s="62">
        <f>VLOOKUP(B22,'Dados Meteorológicos'!$1:$988,49,0)</f>
        <v>648.1</v>
      </c>
      <c r="BA22" s="62">
        <f>VLOOKUP(B22,'Dados Meteorológicos'!$1:$988,50,0)</f>
        <v>0.95</v>
      </c>
      <c r="BB22" s="62">
        <f>VLOOKUP(B22,'Dados Meteorológicos'!$1:$988,51,0)</f>
        <v>25.05</v>
      </c>
      <c r="BC22" s="62">
        <f>VLOOKUP(B22,'Dados Meteorológicos'!$1:$988,52,0)</f>
        <v>43.72</v>
      </c>
      <c r="BD22" s="14">
        <f>VLOOKUP(B22,'Dados Meteorológicos'!$1:$988,53,0)</f>
        <v>29.06</v>
      </c>
      <c r="BE22" s="62"/>
      <c r="BF22" s="63">
        <f t="shared" ref="BF22:BN22" si="23">AVERAGE(R22,AB22,AL22,AV22)</f>
        <v>29.3875</v>
      </c>
      <c r="BG22" s="63">
        <f t="shared" si="23"/>
        <v>23.7125</v>
      </c>
      <c r="BH22" s="63">
        <f t="shared" si="23"/>
        <v>71</v>
      </c>
      <c r="BI22" s="63">
        <f t="shared" si="23"/>
        <v>29.3875</v>
      </c>
      <c r="BJ22" s="63">
        <f t="shared" si="23"/>
        <v>752.7</v>
      </c>
      <c r="BK22" s="63">
        <f t="shared" si="23"/>
        <v>1.0775</v>
      </c>
      <c r="BL22" s="63">
        <f t="shared" si="23"/>
        <v>25.7575</v>
      </c>
      <c r="BM22" s="63">
        <f t="shared" si="23"/>
        <v>45.2725</v>
      </c>
      <c r="BN22" s="63">
        <f t="shared" si="23"/>
        <v>30.0225</v>
      </c>
    </row>
    <row r="23">
      <c r="A23" s="64">
        <v>22.0</v>
      </c>
      <c r="B23" s="70" t="s">
        <v>1674</v>
      </c>
      <c r="C23" s="66">
        <v>48.0</v>
      </c>
      <c r="D23" s="66">
        <v>52.0</v>
      </c>
      <c r="E23" s="55">
        <f t="shared" si="2"/>
        <v>100</v>
      </c>
      <c r="F23" s="67">
        <v>45828.0</v>
      </c>
      <c r="G23" s="66" t="s">
        <v>1651</v>
      </c>
      <c r="H23" s="68">
        <v>0.625</v>
      </c>
      <c r="I23" s="68">
        <v>0.5833333333333334</v>
      </c>
      <c r="J23" s="59" t="str">
        <f t="shared" si="3"/>
        <v>Afternoon</v>
      </c>
      <c r="K23" s="66" t="s">
        <v>500</v>
      </c>
      <c r="L23" s="66" t="s">
        <v>1630</v>
      </c>
      <c r="M23" s="69"/>
      <c r="N23" s="70" t="s">
        <v>1652</v>
      </c>
      <c r="O23" s="62">
        <f>VLOOKUP(B23,'Dados Meteorológicos'!$1:$988,12,0)</f>
        <v>40</v>
      </c>
      <c r="P23" s="62">
        <f>VLOOKUP(B23,'Dados Meteorológicos'!$1:$988,13,0)</f>
        <v>-75.25</v>
      </c>
      <c r="Q23" s="62">
        <f>VLOOKUP(B23,'Dados Meteorológicos'!$1:$988,14,0)</f>
        <v>19</v>
      </c>
      <c r="R23" s="62">
        <f>VLOOKUP(B23,'Dados Meteorológicos'!$1:$988,15,0)</f>
        <v>28.64</v>
      </c>
      <c r="S23" s="62">
        <f>VLOOKUP(B23,'Dados Meteorológicos'!$1:$988,16,0)</f>
        <v>15.46</v>
      </c>
      <c r="T23" s="62">
        <f>VLOOKUP(B23,'Dados Meteorológicos'!$1:$988,17,0)</f>
        <v>44</v>
      </c>
      <c r="U23" s="62">
        <f>VLOOKUP(B23,'Dados Meteorológicos'!$1:$988,18,0)</f>
        <v>28.18</v>
      </c>
      <c r="V23" s="62">
        <f>VLOOKUP(B23,'Dados Meteorológicos'!$1:$988,19,0)</f>
        <v>644.4</v>
      </c>
      <c r="W23" s="62">
        <f>VLOOKUP(B23,'Dados Meteorológicos'!$1:$988,20,0)</f>
        <v>2.91</v>
      </c>
      <c r="X23" s="62">
        <f>VLOOKUP(B23,'Dados Meteorológicos'!$1:$988,21,0)</f>
        <v>21.79</v>
      </c>
      <c r="Y23" s="62">
        <f>VLOOKUP(B23,'Dados Meteorológicos'!$1:$988,22,0)</f>
        <v>40.12</v>
      </c>
      <c r="Z23" s="62">
        <f>VLOOKUP(B23,'Dados Meteorológicos'!$1:$988,23,0)</f>
        <v>26.14</v>
      </c>
      <c r="AA23" s="62">
        <f>VLOOKUP(B23,'Dados Meteorológicos'!$1:$988,24,0)</f>
        <v>20</v>
      </c>
      <c r="AB23" s="62">
        <f>VLOOKUP(B23,'Dados Meteorológicos'!$1:$988,25,0)</f>
        <v>29.19</v>
      </c>
      <c r="AC23" s="62">
        <f>VLOOKUP(B23,'Dados Meteorológicos'!$1:$988,26,0)</f>
        <v>15.21</v>
      </c>
      <c r="AD23" s="62">
        <f>VLOOKUP(B23,'Dados Meteorológicos'!$1:$988,27,0)</f>
        <v>42</v>
      </c>
      <c r="AE23" s="62">
        <f>VLOOKUP(B23,'Dados Meteorológicos'!$1:$988,28,0)</f>
        <v>29.04</v>
      </c>
      <c r="AF23" s="62">
        <f>VLOOKUP(B23,'Dados Meteorológicos'!$1:$988,29,0)</f>
        <v>640.4</v>
      </c>
      <c r="AG23" s="62">
        <f>VLOOKUP(B23,'Dados Meteorológicos'!$1:$988,30,0)</f>
        <v>2.98</v>
      </c>
      <c r="AH23" s="62">
        <f>VLOOKUP(B23,'Dados Meteorológicos'!$1:$988,31,0)</f>
        <v>21.84</v>
      </c>
      <c r="AI23" s="62">
        <f>VLOOKUP(B23,'Dados Meteorológicos'!$1:$988,32,0)</f>
        <v>40.64</v>
      </c>
      <c r="AJ23" s="62">
        <f>VLOOKUP(B23,'Dados Meteorológicos'!$1:$988,33,0)</f>
        <v>26.34</v>
      </c>
      <c r="AK23" s="62" t="str">
        <f>VLOOKUP(B23,'Dados Meteorológicos'!$1:$988,34,0)</f>
        <v/>
      </c>
      <c r="AL23" s="62" t="str">
        <f>VLOOKUP(B23,'Dados Meteorológicos'!$1:$988,35,0)</f>
        <v/>
      </c>
      <c r="AM23" s="62" t="str">
        <f>VLOOKUP(B23,'Dados Meteorológicos'!$1:$988,36,0)</f>
        <v/>
      </c>
      <c r="AN23" s="62" t="str">
        <f>VLOOKUP(B23,'Dados Meteorológicos'!$1:$988,37,0)</f>
        <v/>
      </c>
      <c r="AO23" s="62" t="str">
        <f>VLOOKUP(B23,'Dados Meteorológicos'!$1:$988,38,0)</f>
        <v/>
      </c>
      <c r="AP23" s="62" t="str">
        <f>VLOOKUP(B23,'Dados Meteorológicos'!$1:$988,39,0)</f>
        <v/>
      </c>
      <c r="AQ23" s="62" t="str">
        <f>VLOOKUP(B23,'Dados Meteorológicos'!$1:$988,40,0)</f>
        <v/>
      </c>
      <c r="AR23" s="62" t="str">
        <f>VLOOKUP(B23,'Dados Meteorológicos'!$1:$988,41,0)</f>
        <v/>
      </c>
      <c r="AS23" s="62" t="str">
        <f>VLOOKUP(B23,'Dados Meteorológicos'!$1:$988,42,0)</f>
        <v/>
      </c>
      <c r="AT23" s="62" t="str">
        <f>VLOOKUP(B23,'Dados Meteorológicos'!$1:$988,43,0)</f>
        <v/>
      </c>
      <c r="AU23" s="62" t="str">
        <f>VLOOKUP(B23,'Dados Meteorológicos'!$1:$988,44,0)</f>
        <v/>
      </c>
      <c r="AV23" s="62" t="str">
        <f>VLOOKUP(B23,'Dados Meteorológicos'!$1:$988,45,0)</f>
        <v/>
      </c>
      <c r="AW23" s="62" t="str">
        <f>VLOOKUP(B23,'Dados Meteorológicos'!$1:$988,46,0)</f>
        <v/>
      </c>
      <c r="AX23" s="62" t="str">
        <f>VLOOKUP(B23,'Dados Meteorológicos'!$1:$988,47,0)</f>
        <v/>
      </c>
      <c r="AY23" s="62" t="str">
        <f>VLOOKUP(B23,'Dados Meteorológicos'!$1:$988,48,0)</f>
        <v/>
      </c>
      <c r="AZ23" s="62" t="str">
        <f>VLOOKUP(B23,'Dados Meteorológicos'!$1:$988,49,0)</f>
        <v/>
      </c>
      <c r="BA23" s="62" t="str">
        <f>VLOOKUP(B23,'Dados Meteorológicos'!$1:$988,50,0)</f>
        <v/>
      </c>
      <c r="BB23" s="62" t="str">
        <f>VLOOKUP(B23,'Dados Meteorológicos'!$1:$988,51,0)</f>
        <v/>
      </c>
      <c r="BC23" s="62" t="str">
        <f>VLOOKUP(B23,'Dados Meteorológicos'!$1:$988,52,0)</f>
        <v/>
      </c>
      <c r="BD23" s="14" t="str">
        <f>VLOOKUP(B23,'Dados Meteorológicos'!$1:$988,53,0)</f>
        <v/>
      </c>
      <c r="BE23" s="62"/>
      <c r="BF23" s="63">
        <f t="shared" ref="BF23:BN23" si="24">AVERAGE(R23,AB23,AL23,AV23)</f>
        <v>28.915</v>
      </c>
      <c r="BG23" s="63">
        <f t="shared" si="24"/>
        <v>15.335</v>
      </c>
      <c r="BH23" s="63">
        <f t="shared" si="24"/>
        <v>43</v>
      </c>
      <c r="BI23" s="63">
        <f t="shared" si="24"/>
        <v>28.61</v>
      </c>
      <c r="BJ23" s="63">
        <f t="shared" si="24"/>
        <v>642.4</v>
      </c>
      <c r="BK23" s="63">
        <f t="shared" si="24"/>
        <v>2.945</v>
      </c>
      <c r="BL23" s="63">
        <f t="shared" si="24"/>
        <v>21.815</v>
      </c>
      <c r="BM23" s="63">
        <f t="shared" si="24"/>
        <v>40.38</v>
      </c>
      <c r="BN23" s="63">
        <f t="shared" si="24"/>
        <v>26.24</v>
      </c>
    </row>
    <row r="24">
      <c r="A24" s="64">
        <v>23.0</v>
      </c>
      <c r="B24" s="70" t="s">
        <v>1675</v>
      </c>
      <c r="C24" s="66">
        <v>47.0</v>
      </c>
      <c r="D24" s="100">
        <v>57.0</v>
      </c>
      <c r="E24" s="55">
        <f t="shared" si="2"/>
        <v>104</v>
      </c>
      <c r="F24" s="67">
        <v>45828.0</v>
      </c>
      <c r="G24" s="66" t="s">
        <v>1676</v>
      </c>
      <c r="H24" s="68">
        <v>0.7916666666666666</v>
      </c>
      <c r="I24" s="68">
        <v>0.7083333333333334</v>
      </c>
      <c r="J24" s="59" t="str">
        <f t="shared" si="3"/>
        <v>Afternoon</v>
      </c>
      <c r="K24" s="66" t="s">
        <v>1677</v>
      </c>
      <c r="L24" s="66" t="s">
        <v>1630</v>
      </c>
      <c r="M24" s="69"/>
      <c r="N24" s="70" t="s">
        <v>1678</v>
      </c>
      <c r="O24" s="62">
        <f>VLOOKUP(B24,'Dados Meteorológicos'!$1:$988,12,0)</f>
        <v>36.25</v>
      </c>
      <c r="P24" s="62">
        <f>VLOOKUP(B24,'Dados Meteorológicos'!$1:$988,13,0)</f>
        <v>-86.75</v>
      </c>
      <c r="Q24" s="62">
        <f>VLOOKUP(B24,'Dados Meteorológicos'!$1:$988,14,0)</f>
        <v>23</v>
      </c>
      <c r="R24" s="62">
        <f>VLOOKUP(B24,'Dados Meteorológicos'!$1:$988,15,0)</f>
        <v>29.63</v>
      </c>
      <c r="S24" s="62">
        <f>VLOOKUP(B24,'Dados Meteorológicos'!$1:$988,16,0)</f>
        <v>20.35</v>
      </c>
      <c r="T24" s="62">
        <f>VLOOKUP(B24,'Dados Meteorológicos'!$1:$988,17,0)</f>
        <v>57</v>
      </c>
      <c r="U24" s="62">
        <f>VLOOKUP(B24,'Dados Meteorológicos'!$1:$988,18,0)</f>
        <v>29.75</v>
      </c>
      <c r="V24" s="62">
        <f>VLOOKUP(B24,'Dados Meteorológicos'!$1:$988,19,0)</f>
        <v>412</v>
      </c>
      <c r="W24" s="62">
        <f>VLOOKUP(B24,'Dados Meteorológicos'!$1:$988,20,0)</f>
        <v>0.44</v>
      </c>
      <c r="X24" s="62">
        <f>VLOOKUP(B24,'Dados Meteorológicos'!$1:$988,21,0)</f>
        <v>24.78</v>
      </c>
      <c r="Y24" s="62">
        <f>VLOOKUP(B24,'Dados Meteorológicos'!$1:$988,22,0)</f>
        <v>45.07</v>
      </c>
      <c r="Z24" s="62">
        <f>VLOOKUP(B24,'Dados Meteorológicos'!$1:$988,23,0)</f>
        <v>29.32</v>
      </c>
      <c r="AA24" s="62" t="str">
        <f>VLOOKUP(B24,'Dados Meteorológicos'!$1:$988,24,0)</f>
        <v>00+1d</v>
      </c>
      <c r="AB24" s="62">
        <f>VLOOKUP(B24,'Dados Meteorológicos'!$1:$988,25,0)</f>
        <v>29.34</v>
      </c>
      <c r="AC24" s="62">
        <f>VLOOKUP(B24,'Dados Meteorológicos'!$1:$988,26,0)</f>
        <v>21.03</v>
      </c>
      <c r="AD24" s="62">
        <f>VLOOKUP(B24,'Dados Meteorológicos'!$1:$988,27,0)</f>
        <v>60</v>
      </c>
      <c r="AE24" s="62">
        <f>VLOOKUP(B24,'Dados Meteorológicos'!$1:$988,28,0)</f>
        <v>29.29</v>
      </c>
      <c r="AF24" s="62">
        <f>VLOOKUP(B24,'Dados Meteorológicos'!$1:$988,29,0)</f>
        <v>224.1</v>
      </c>
      <c r="AG24" s="62">
        <f>VLOOKUP(B24,'Dados Meteorológicos'!$1:$988,30,0)</f>
        <v>0.9</v>
      </c>
      <c r="AH24" s="62">
        <f>VLOOKUP(B24,'Dados Meteorológicos'!$1:$988,31,0)</f>
        <v>24.81</v>
      </c>
      <c r="AI24" s="62">
        <f>VLOOKUP(B24,'Dados Meteorológicos'!$1:$988,32,0)</f>
        <v>44.5</v>
      </c>
      <c r="AJ24" s="62">
        <f>VLOOKUP(B24,'Dados Meteorológicos'!$1:$988,33,0)</f>
        <v>29.2</v>
      </c>
      <c r="AK24" s="62" t="str">
        <f>VLOOKUP(B24,'Dados Meteorológicos'!$1:$988,34,0)</f>
        <v/>
      </c>
      <c r="AL24" s="62" t="str">
        <f>VLOOKUP(B24,'Dados Meteorológicos'!$1:$988,35,0)</f>
        <v/>
      </c>
      <c r="AM24" s="62" t="str">
        <f>VLOOKUP(B24,'Dados Meteorológicos'!$1:$988,36,0)</f>
        <v/>
      </c>
      <c r="AN24" s="62" t="str">
        <f>VLOOKUP(B24,'Dados Meteorológicos'!$1:$988,37,0)</f>
        <v/>
      </c>
      <c r="AO24" s="62" t="str">
        <f>VLOOKUP(B24,'Dados Meteorológicos'!$1:$988,38,0)</f>
        <v/>
      </c>
      <c r="AP24" s="62" t="str">
        <f>VLOOKUP(B24,'Dados Meteorológicos'!$1:$988,39,0)</f>
        <v/>
      </c>
      <c r="AQ24" s="62" t="str">
        <f>VLOOKUP(B24,'Dados Meteorológicos'!$1:$988,40,0)</f>
        <v/>
      </c>
      <c r="AR24" s="62" t="str">
        <f>VLOOKUP(B24,'Dados Meteorológicos'!$1:$988,41,0)</f>
        <v/>
      </c>
      <c r="AS24" s="62" t="str">
        <f>VLOOKUP(B24,'Dados Meteorológicos'!$1:$988,42,0)</f>
        <v/>
      </c>
      <c r="AT24" s="62" t="str">
        <f>VLOOKUP(B24,'Dados Meteorológicos'!$1:$988,43,0)</f>
        <v/>
      </c>
      <c r="AU24" s="62" t="str">
        <f>VLOOKUP(B24,'Dados Meteorológicos'!$1:$988,44,0)</f>
        <v/>
      </c>
      <c r="AV24" s="62" t="str">
        <f>VLOOKUP(B24,'Dados Meteorológicos'!$1:$988,45,0)</f>
        <v/>
      </c>
      <c r="AW24" s="62" t="str">
        <f>VLOOKUP(B24,'Dados Meteorológicos'!$1:$988,46,0)</f>
        <v/>
      </c>
      <c r="AX24" s="62" t="str">
        <f>VLOOKUP(B24,'Dados Meteorológicos'!$1:$988,47,0)</f>
        <v/>
      </c>
      <c r="AY24" s="62" t="str">
        <f>VLOOKUP(B24,'Dados Meteorológicos'!$1:$988,48,0)</f>
        <v/>
      </c>
      <c r="AZ24" s="62" t="str">
        <f>VLOOKUP(B24,'Dados Meteorológicos'!$1:$988,49,0)</f>
        <v/>
      </c>
      <c r="BA24" s="62" t="str">
        <f>VLOOKUP(B24,'Dados Meteorológicos'!$1:$988,50,0)</f>
        <v/>
      </c>
      <c r="BB24" s="62" t="str">
        <f>VLOOKUP(B24,'Dados Meteorológicos'!$1:$988,51,0)</f>
        <v/>
      </c>
      <c r="BC24" s="62" t="str">
        <f>VLOOKUP(B24,'Dados Meteorológicos'!$1:$988,52,0)</f>
        <v/>
      </c>
      <c r="BD24" s="14" t="str">
        <f>VLOOKUP(B24,'Dados Meteorológicos'!$1:$988,53,0)</f>
        <v/>
      </c>
      <c r="BE24" s="62"/>
      <c r="BF24" s="63">
        <f t="shared" ref="BF24:BN24" si="25">AVERAGE(R24,AB24,AL24,AV24)</f>
        <v>29.485</v>
      </c>
      <c r="BG24" s="63">
        <f t="shared" si="25"/>
        <v>20.69</v>
      </c>
      <c r="BH24" s="63">
        <f t="shared" si="25"/>
        <v>58.5</v>
      </c>
      <c r="BI24" s="63">
        <f t="shared" si="25"/>
        <v>29.52</v>
      </c>
      <c r="BJ24" s="63">
        <f t="shared" si="25"/>
        <v>318.05</v>
      </c>
      <c r="BK24" s="63">
        <f t="shared" si="25"/>
        <v>0.67</v>
      </c>
      <c r="BL24" s="63">
        <f t="shared" si="25"/>
        <v>24.795</v>
      </c>
      <c r="BM24" s="63">
        <f t="shared" si="25"/>
        <v>44.785</v>
      </c>
      <c r="BN24" s="63">
        <f t="shared" si="25"/>
        <v>29.26</v>
      </c>
    </row>
    <row r="25">
      <c r="A25" s="64">
        <v>24.0</v>
      </c>
      <c r="B25" s="79" t="s">
        <v>1679</v>
      </c>
      <c r="C25" s="100">
        <v>48.0</v>
      </c>
      <c r="D25" s="66">
        <v>53.0</v>
      </c>
      <c r="E25" s="55">
        <f t="shared" si="2"/>
        <v>101</v>
      </c>
      <c r="F25" s="67">
        <v>45828.0</v>
      </c>
      <c r="G25" s="66" t="s">
        <v>1629</v>
      </c>
      <c r="H25" s="68">
        <v>0.9166666666666666</v>
      </c>
      <c r="I25" s="68">
        <v>0.875</v>
      </c>
      <c r="J25" s="59" t="str">
        <f t="shared" si="3"/>
        <v>Evening</v>
      </c>
      <c r="K25" s="66" t="s">
        <v>62</v>
      </c>
      <c r="L25" s="66" t="s">
        <v>1630</v>
      </c>
      <c r="M25" s="69"/>
      <c r="N25" s="70" t="s">
        <v>1658</v>
      </c>
      <c r="O25" s="62">
        <f>VLOOKUP(B25,'Dados Meteorológicos'!$1:$988,12,0)</f>
        <v>28.5</v>
      </c>
      <c r="P25" s="62">
        <f>VLOOKUP(B25,'Dados Meteorológicos'!$1:$988,13,0)</f>
        <v>-81.5</v>
      </c>
      <c r="Q25" s="62">
        <f>VLOOKUP(B25,'Dados Meteorológicos'!$1:$988,14,0)</f>
        <v>2</v>
      </c>
      <c r="R25" s="62">
        <f>VLOOKUP(B25,'Dados Meteorológicos'!$1:$988,15,0)</f>
        <v>25.56</v>
      </c>
      <c r="S25" s="62">
        <f>VLOOKUP(B25,'Dados Meteorológicos'!$1:$988,16,0)</f>
        <v>22.09</v>
      </c>
      <c r="T25" s="62">
        <f>VLOOKUP(B25,'Dados Meteorológicos'!$1:$988,17,0)</f>
        <v>81</v>
      </c>
      <c r="U25" s="62">
        <f>VLOOKUP(B25,'Dados Meteorológicos'!$1:$988,18,0)</f>
        <v>23.76</v>
      </c>
      <c r="V25" s="62">
        <f>VLOOKUP(B25,'Dados Meteorológicos'!$1:$988,19,0)</f>
        <v>0</v>
      </c>
      <c r="W25" s="62">
        <f>VLOOKUP(B25,'Dados Meteorológicos'!$1:$988,20,0)</f>
        <v>0.57</v>
      </c>
      <c r="X25" s="62">
        <f>VLOOKUP(B25,'Dados Meteorológicos'!$1:$988,21,0)</f>
        <v>23.73</v>
      </c>
      <c r="Y25" s="62">
        <f>VLOOKUP(B25,'Dados Meteorológicos'!$1:$988,22,0)</f>
        <v>41.33</v>
      </c>
      <c r="Z25" s="62">
        <f>VLOOKUP(B25,'Dados Meteorológicos'!$1:$988,23,0)</f>
        <v>27.43</v>
      </c>
      <c r="AA25" s="62">
        <f>VLOOKUP(B25,'Dados Meteorológicos'!$1:$988,24,0)</f>
        <v>3</v>
      </c>
      <c r="AB25" s="62">
        <f>VLOOKUP(B25,'Dados Meteorológicos'!$1:$988,25,0)</f>
        <v>25.39</v>
      </c>
      <c r="AC25" s="62">
        <f>VLOOKUP(B25,'Dados Meteorológicos'!$1:$988,26,0)</f>
        <v>22.12</v>
      </c>
      <c r="AD25" s="62">
        <f>VLOOKUP(B25,'Dados Meteorológicos'!$1:$988,27,0)</f>
        <v>82</v>
      </c>
      <c r="AE25" s="62">
        <f>VLOOKUP(B25,'Dados Meteorológicos'!$1:$988,28,0)</f>
        <v>23.53</v>
      </c>
      <c r="AF25" s="62">
        <f>VLOOKUP(B25,'Dados Meteorológicos'!$1:$988,29,0)</f>
        <v>0</v>
      </c>
      <c r="AG25" s="62">
        <f>VLOOKUP(B25,'Dados Meteorológicos'!$1:$988,30,0)</f>
        <v>1.21</v>
      </c>
      <c r="AH25" s="62">
        <f>VLOOKUP(B25,'Dados Meteorológicos'!$1:$988,31,0)</f>
        <v>23.49</v>
      </c>
      <c r="AI25" s="62">
        <f>VLOOKUP(B25,'Dados Meteorológicos'!$1:$988,32,0)</f>
        <v>40.51</v>
      </c>
      <c r="AJ25" s="62">
        <f>VLOOKUP(B25,'Dados Meteorológicos'!$1:$988,33,0)</f>
        <v>27.09</v>
      </c>
      <c r="AK25" s="62" t="str">
        <f>VLOOKUP(B25,'Dados Meteorológicos'!$1:$988,34,0)</f>
        <v/>
      </c>
      <c r="AL25" s="62" t="str">
        <f>VLOOKUP(B25,'Dados Meteorológicos'!$1:$988,35,0)</f>
        <v/>
      </c>
      <c r="AM25" s="62" t="str">
        <f>VLOOKUP(B25,'Dados Meteorológicos'!$1:$988,36,0)</f>
        <v/>
      </c>
      <c r="AN25" s="62" t="str">
        <f>VLOOKUP(B25,'Dados Meteorológicos'!$1:$988,37,0)</f>
        <v/>
      </c>
      <c r="AO25" s="62" t="str">
        <f>VLOOKUP(B25,'Dados Meteorológicos'!$1:$988,38,0)</f>
        <v/>
      </c>
      <c r="AP25" s="62" t="str">
        <f>VLOOKUP(B25,'Dados Meteorológicos'!$1:$988,39,0)</f>
        <v/>
      </c>
      <c r="AQ25" s="62" t="str">
        <f>VLOOKUP(B25,'Dados Meteorológicos'!$1:$988,40,0)</f>
        <v/>
      </c>
      <c r="AR25" s="62" t="str">
        <f>VLOOKUP(B25,'Dados Meteorológicos'!$1:$988,41,0)</f>
        <v/>
      </c>
      <c r="AS25" s="62" t="str">
        <f>VLOOKUP(B25,'Dados Meteorológicos'!$1:$988,42,0)</f>
        <v/>
      </c>
      <c r="AT25" s="62" t="str">
        <f>VLOOKUP(B25,'Dados Meteorológicos'!$1:$988,43,0)</f>
        <v/>
      </c>
      <c r="AU25" s="62" t="str">
        <f>VLOOKUP(B25,'Dados Meteorológicos'!$1:$988,44,0)</f>
        <v/>
      </c>
      <c r="AV25" s="62" t="str">
        <f>VLOOKUP(B25,'Dados Meteorológicos'!$1:$988,45,0)</f>
        <v/>
      </c>
      <c r="AW25" s="62" t="str">
        <f>VLOOKUP(B25,'Dados Meteorológicos'!$1:$988,46,0)</f>
        <v/>
      </c>
      <c r="AX25" s="62" t="str">
        <f>VLOOKUP(B25,'Dados Meteorológicos'!$1:$988,47,0)</f>
        <v/>
      </c>
      <c r="AY25" s="62" t="str">
        <f>VLOOKUP(B25,'Dados Meteorológicos'!$1:$988,48,0)</f>
        <v/>
      </c>
      <c r="AZ25" s="62" t="str">
        <f>VLOOKUP(B25,'Dados Meteorológicos'!$1:$988,49,0)</f>
        <v/>
      </c>
      <c r="BA25" s="62" t="str">
        <f>VLOOKUP(B25,'Dados Meteorológicos'!$1:$988,50,0)</f>
        <v/>
      </c>
      <c r="BB25" s="62" t="str">
        <f>VLOOKUP(B25,'Dados Meteorológicos'!$1:$988,51,0)</f>
        <v/>
      </c>
      <c r="BC25" s="62" t="str">
        <f>VLOOKUP(B25,'Dados Meteorológicos'!$1:$988,52,0)</f>
        <v/>
      </c>
      <c r="BD25" s="14" t="str">
        <f>VLOOKUP(B25,'Dados Meteorológicos'!$1:$988,53,0)</f>
        <v/>
      </c>
      <c r="BE25" s="62"/>
      <c r="BF25" s="63">
        <f t="shared" ref="BF25:BN25" si="26">AVERAGE(R25,AB25,AL25,AV25)</f>
        <v>25.475</v>
      </c>
      <c r="BG25" s="63">
        <f t="shared" si="26"/>
        <v>22.105</v>
      </c>
      <c r="BH25" s="63">
        <f t="shared" si="26"/>
        <v>81.5</v>
      </c>
      <c r="BI25" s="63">
        <f t="shared" si="26"/>
        <v>23.645</v>
      </c>
      <c r="BJ25" s="63">
        <f t="shared" si="26"/>
        <v>0</v>
      </c>
      <c r="BK25" s="63">
        <f t="shared" si="26"/>
        <v>0.89</v>
      </c>
      <c r="BL25" s="63">
        <f t="shared" si="26"/>
        <v>23.61</v>
      </c>
      <c r="BM25" s="63">
        <f t="shared" si="26"/>
        <v>40.92</v>
      </c>
      <c r="BN25" s="63">
        <f t="shared" si="26"/>
        <v>27.26</v>
      </c>
    </row>
    <row r="26">
      <c r="A26" s="64">
        <v>25.0</v>
      </c>
      <c r="B26" s="101" t="s">
        <v>1680</v>
      </c>
      <c r="C26" s="57">
        <v>48.0</v>
      </c>
      <c r="D26" s="57">
        <v>51.0</v>
      </c>
      <c r="E26" s="55">
        <f t="shared" si="2"/>
        <v>99</v>
      </c>
      <c r="F26" s="56">
        <v>45829.0</v>
      </c>
      <c r="G26" s="82" t="s">
        <v>1633</v>
      </c>
      <c r="H26" s="58">
        <v>0.5416666666666666</v>
      </c>
      <c r="I26" s="58">
        <v>0.5</v>
      </c>
      <c r="J26" s="59" t="str">
        <f t="shared" si="3"/>
        <v>Afternoon</v>
      </c>
      <c r="K26" s="82" t="s">
        <v>122</v>
      </c>
      <c r="L26" s="82" t="s">
        <v>1630</v>
      </c>
      <c r="M26" s="85"/>
      <c r="N26" s="61" t="s">
        <v>1634</v>
      </c>
      <c r="O26" s="62">
        <f>VLOOKUP(B26,'Dados Meteorológicos'!$1:$988,12,0)</f>
        <v>39</v>
      </c>
      <c r="P26" s="62">
        <f>VLOOKUP(B26,'Dados Meteorológicos'!$1:$988,13,0)</f>
        <v>-84.5</v>
      </c>
      <c r="Q26" s="62">
        <f>VLOOKUP(B26,'Dados Meteorológicos'!$1:$988,14,0)</f>
        <v>17</v>
      </c>
      <c r="R26" s="62">
        <f>VLOOKUP(B26,'Dados Meteorológicos'!$1:$988,15,0)</f>
        <v>30.83</v>
      </c>
      <c r="S26" s="62">
        <f>VLOOKUP(B26,'Dados Meteorológicos'!$1:$988,16,0)</f>
        <v>20.86</v>
      </c>
      <c r="T26" s="62">
        <f>VLOOKUP(B26,'Dados Meteorológicos'!$1:$988,17,0)</f>
        <v>55</v>
      </c>
      <c r="U26" s="62">
        <f>VLOOKUP(B26,'Dados Meteorológicos'!$1:$988,18,0)</f>
        <v>31.75</v>
      </c>
      <c r="V26" s="62">
        <f>VLOOKUP(B26,'Dados Meteorológicos'!$1:$988,19,0)</f>
        <v>913.3</v>
      </c>
      <c r="W26" s="62">
        <f>VLOOKUP(B26,'Dados Meteorológicos'!$1:$988,20,0)</f>
        <v>2.01</v>
      </c>
      <c r="X26" s="62">
        <f>VLOOKUP(B26,'Dados Meteorológicos'!$1:$988,21,0)</f>
        <v>25</v>
      </c>
      <c r="Y26" s="62">
        <f>VLOOKUP(B26,'Dados Meteorológicos'!$1:$988,22,0)</f>
        <v>44.95</v>
      </c>
      <c r="Z26" s="62">
        <f>VLOOKUP(B26,'Dados Meteorológicos'!$1:$988,23,0)</f>
        <v>29.57</v>
      </c>
      <c r="AA26" s="62">
        <f>VLOOKUP(B26,'Dados Meteorológicos'!$1:$988,24,0)</f>
        <v>18</v>
      </c>
      <c r="AB26" s="62">
        <f>VLOOKUP(B26,'Dados Meteorológicos'!$1:$988,25,0)</f>
        <v>31.49</v>
      </c>
      <c r="AC26" s="62">
        <f>VLOOKUP(B26,'Dados Meteorológicos'!$1:$988,26,0)</f>
        <v>20.8</v>
      </c>
      <c r="AD26" s="62">
        <f>VLOOKUP(B26,'Dados Meteorológicos'!$1:$988,27,0)</f>
        <v>53</v>
      </c>
      <c r="AE26" s="62">
        <f>VLOOKUP(B26,'Dados Meteorológicos'!$1:$988,28,0)</f>
        <v>32.9</v>
      </c>
      <c r="AF26" s="62">
        <f>VLOOKUP(B26,'Dados Meteorológicos'!$1:$988,29,0)</f>
        <v>955.4</v>
      </c>
      <c r="AG26" s="62">
        <f>VLOOKUP(B26,'Dados Meteorológicos'!$1:$988,30,0)</f>
        <v>2.3</v>
      </c>
      <c r="AH26" s="62">
        <f>VLOOKUP(B26,'Dados Meteorológicos'!$1:$988,31,0)</f>
        <v>25.13</v>
      </c>
      <c r="AI26" s="62">
        <f>VLOOKUP(B26,'Dados Meteorológicos'!$1:$988,32,0)</f>
        <v>45.37</v>
      </c>
      <c r="AJ26" s="62">
        <f>VLOOKUP(B26,'Dados Meteorológicos'!$1:$988,33,0)</f>
        <v>29.81</v>
      </c>
      <c r="AK26" s="62" t="str">
        <f>VLOOKUP(B26,'Dados Meteorológicos'!$1:$988,34,0)</f>
        <v/>
      </c>
      <c r="AL26" s="62" t="str">
        <f>VLOOKUP(B26,'Dados Meteorológicos'!$1:$988,35,0)</f>
        <v/>
      </c>
      <c r="AM26" s="62" t="str">
        <f>VLOOKUP(B26,'Dados Meteorológicos'!$1:$988,36,0)</f>
        <v/>
      </c>
      <c r="AN26" s="62" t="str">
        <f>VLOOKUP(B26,'Dados Meteorológicos'!$1:$988,37,0)</f>
        <v/>
      </c>
      <c r="AO26" s="62" t="str">
        <f>VLOOKUP(B26,'Dados Meteorológicos'!$1:$988,38,0)</f>
        <v/>
      </c>
      <c r="AP26" s="62" t="str">
        <f>VLOOKUP(B26,'Dados Meteorológicos'!$1:$988,39,0)</f>
        <v/>
      </c>
      <c r="AQ26" s="62" t="str">
        <f>VLOOKUP(B26,'Dados Meteorológicos'!$1:$988,40,0)</f>
        <v/>
      </c>
      <c r="AR26" s="62" t="str">
        <f>VLOOKUP(B26,'Dados Meteorológicos'!$1:$988,41,0)</f>
        <v/>
      </c>
      <c r="AS26" s="62" t="str">
        <f>VLOOKUP(B26,'Dados Meteorológicos'!$1:$988,42,0)</f>
        <v/>
      </c>
      <c r="AT26" s="62" t="str">
        <f>VLOOKUP(B26,'Dados Meteorológicos'!$1:$988,43,0)</f>
        <v/>
      </c>
      <c r="AU26" s="62" t="str">
        <f>VLOOKUP(B26,'Dados Meteorológicos'!$1:$988,44,0)</f>
        <v/>
      </c>
      <c r="AV26" s="62" t="str">
        <f>VLOOKUP(B26,'Dados Meteorológicos'!$1:$988,45,0)</f>
        <v/>
      </c>
      <c r="AW26" s="62" t="str">
        <f>VLOOKUP(B26,'Dados Meteorológicos'!$1:$988,46,0)</f>
        <v/>
      </c>
      <c r="AX26" s="62" t="str">
        <f>VLOOKUP(B26,'Dados Meteorológicos'!$1:$988,47,0)</f>
        <v/>
      </c>
      <c r="AY26" s="62" t="str">
        <f>VLOOKUP(B26,'Dados Meteorológicos'!$1:$988,48,0)</f>
        <v/>
      </c>
      <c r="AZ26" s="62" t="str">
        <f>VLOOKUP(B26,'Dados Meteorológicos'!$1:$988,49,0)</f>
        <v/>
      </c>
      <c r="BA26" s="62" t="str">
        <f>VLOOKUP(B26,'Dados Meteorológicos'!$1:$988,50,0)</f>
        <v/>
      </c>
      <c r="BB26" s="62" t="str">
        <f>VLOOKUP(B26,'Dados Meteorológicos'!$1:$988,51,0)</f>
        <v/>
      </c>
      <c r="BC26" s="62" t="str">
        <f>VLOOKUP(B26,'Dados Meteorológicos'!$1:$988,52,0)</f>
        <v/>
      </c>
      <c r="BD26" s="14" t="str">
        <f>VLOOKUP(B26,'Dados Meteorológicos'!$1:$988,53,0)</f>
        <v/>
      </c>
      <c r="BE26" s="62"/>
      <c r="BF26" s="63">
        <f t="shared" ref="BF26:BN26" si="27">AVERAGE(R26,AB26,AL26,AV26)</f>
        <v>31.16</v>
      </c>
      <c r="BG26" s="63">
        <f t="shared" si="27"/>
        <v>20.83</v>
      </c>
      <c r="BH26" s="63">
        <f t="shared" si="27"/>
        <v>54</v>
      </c>
      <c r="BI26" s="63">
        <f t="shared" si="27"/>
        <v>32.325</v>
      </c>
      <c r="BJ26" s="63">
        <f t="shared" si="27"/>
        <v>934.35</v>
      </c>
      <c r="BK26" s="63">
        <f t="shared" si="27"/>
        <v>2.155</v>
      </c>
      <c r="BL26" s="63">
        <f t="shared" si="27"/>
        <v>25.065</v>
      </c>
      <c r="BM26" s="63">
        <f t="shared" si="27"/>
        <v>45.16</v>
      </c>
      <c r="BN26" s="63">
        <f t="shared" si="27"/>
        <v>29.69</v>
      </c>
    </row>
    <row r="27">
      <c r="A27" s="64">
        <v>26.0</v>
      </c>
      <c r="B27" s="89" t="s">
        <v>1681</v>
      </c>
      <c r="C27" s="78">
        <v>47.0</v>
      </c>
      <c r="D27" s="78">
        <v>49.0</v>
      </c>
      <c r="E27" s="55">
        <f t="shared" si="2"/>
        <v>96</v>
      </c>
      <c r="F27" s="74">
        <v>45829.0</v>
      </c>
      <c r="G27" s="72" t="s">
        <v>1643</v>
      </c>
      <c r="H27" s="75">
        <v>0.6666666666666666</v>
      </c>
      <c r="I27" s="75">
        <v>0.5</v>
      </c>
      <c r="J27" s="59" t="str">
        <f t="shared" si="3"/>
        <v>Afternoon</v>
      </c>
      <c r="K27" s="72" t="s">
        <v>312</v>
      </c>
      <c r="L27" s="72" t="s">
        <v>1630</v>
      </c>
      <c r="M27" s="76"/>
      <c r="N27" s="70" t="s">
        <v>1644</v>
      </c>
      <c r="O27" s="62">
        <f>VLOOKUP(B27,'Dados Meteorológicos'!$1:$988,12,0)</f>
        <v>47.5</v>
      </c>
      <c r="P27" s="62">
        <f>VLOOKUP(B27,'Dados Meteorológicos'!$1:$988,13,0)</f>
        <v>-122.25</v>
      </c>
      <c r="Q27" s="62">
        <f>VLOOKUP(B27,'Dados Meteorológicos'!$1:$988,14,0)</f>
        <v>20</v>
      </c>
      <c r="R27" s="62">
        <f>VLOOKUP(B27,'Dados Meteorológicos'!$1:$988,15,0)</f>
        <v>12.42</v>
      </c>
      <c r="S27" s="62">
        <f>VLOOKUP(B27,'Dados Meteorológicos'!$1:$988,16,0)</f>
        <v>10.82</v>
      </c>
      <c r="T27" s="62">
        <f>VLOOKUP(B27,'Dados Meteorológicos'!$1:$988,17,0)</f>
        <v>89</v>
      </c>
      <c r="U27" s="62">
        <f>VLOOKUP(B27,'Dados Meteorológicos'!$1:$988,18,0)</f>
        <v>10.94</v>
      </c>
      <c r="V27" s="62">
        <f>VLOOKUP(B27,'Dados Meteorológicos'!$1:$988,19,0)</f>
        <v>214.3</v>
      </c>
      <c r="W27" s="62">
        <f>VLOOKUP(B27,'Dados Meteorológicos'!$1:$988,20,0)</f>
        <v>2.04</v>
      </c>
      <c r="X27" s="62">
        <f>VLOOKUP(B27,'Dados Meteorológicos'!$1:$988,21,0)</f>
        <v>13.89</v>
      </c>
      <c r="Y27" s="62">
        <f>VLOOKUP(B27,'Dados Meteorológicos'!$1:$988,22,0)</f>
        <v>22.51</v>
      </c>
      <c r="Z27" s="62">
        <f>VLOOKUP(B27,'Dados Meteorológicos'!$1:$988,23,0)</f>
        <v>15.47</v>
      </c>
      <c r="AA27" s="62">
        <f>VLOOKUP(B27,'Dados Meteorológicos'!$1:$988,24,0)</f>
        <v>21</v>
      </c>
      <c r="AB27" s="62">
        <f>VLOOKUP(B27,'Dados Meteorológicos'!$1:$988,25,0)</f>
        <v>13.06</v>
      </c>
      <c r="AC27" s="62">
        <f>VLOOKUP(B27,'Dados Meteorológicos'!$1:$988,26,0)</f>
        <v>11.28</v>
      </c>
      <c r="AD27" s="62">
        <f>VLOOKUP(B27,'Dados Meteorológicos'!$1:$988,27,0)</f>
        <v>88</v>
      </c>
      <c r="AE27" s="62">
        <f>VLOOKUP(B27,'Dados Meteorológicos'!$1:$988,28,0)</f>
        <v>11.37</v>
      </c>
      <c r="AF27" s="62">
        <f>VLOOKUP(B27,'Dados Meteorológicos'!$1:$988,29,0)</f>
        <v>342.4</v>
      </c>
      <c r="AG27" s="62">
        <f>VLOOKUP(B27,'Dados Meteorológicos'!$1:$988,30,0)</f>
        <v>1.77</v>
      </c>
      <c r="AH27" s="62">
        <f>VLOOKUP(B27,'Dados Meteorológicos'!$1:$988,31,0)</f>
        <v>14.4</v>
      </c>
      <c r="AI27" s="62">
        <f>VLOOKUP(B27,'Dados Meteorológicos'!$1:$988,32,0)</f>
        <v>23.57</v>
      </c>
      <c r="AJ27" s="62">
        <f>VLOOKUP(B27,'Dados Meteorológicos'!$1:$988,33,0)</f>
        <v>16.1</v>
      </c>
      <c r="AK27" s="62" t="str">
        <f>VLOOKUP(B27,'Dados Meteorológicos'!$1:$988,34,0)</f>
        <v/>
      </c>
      <c r="AL27" s="62" t="str">
        <f>VLOOKUP(B27,'Dados Meteorológicos'!$1:$988,35,0)</f>
        <v/>
      </c>
      <c r="AM27" s="62" t="str">
        <f>VLOOKUP(B27,'Dados Meteorológicos'!$1:$988,36,0)</f>
        <v/>
      </c>
      <c r="AN27" s="62" t="str">
        <f>VLOOKUP(B27,'Dados Meteorológicos'!$1:$988,37,0)</f>
        <v/>
      </c>
      <c r="AO27" s="62" t="str">
        <f>VLOOKUP(B27,'Dados Meteorológicos'!$1:$988,38,0)</f>
        <v/>
      </c>
      <c r="AP27" s="62" t="str">
        <f>VLOOKUP(B27,'Dados Meteorológicos'!$1:$988,39,0)</f>
        <v/>
      </c>
      <c r="AQ27" s="62" t="str">
        <f>VLOOKUP(B27,'Dados Meteorológicos'!$1:$988,40,0)</f>
        <v/>
      </c>
      <c r="AR27" s="62" t="str">
        <f>VLOOKUP(B27,'Dados Meteorológicos'!$1:$988,41,0)</f>
        <v/>
      </c>
      <c r="AS27" s="62" t="str">
        <f>VLOOKUP(B27,'Dados Meteorológicos'!$1:$988,42,0)</f>
        <v/>
      </c>
      <c r="AT27" s="62" t="str">
        <f>VLOOKUP(B27,'Dados Meteorológicos'!$1:$988,43,0)</f>
        <v/>
      </c>
      <c r="AU27" s="62" t="str">
        <f>VLOOKUP(B27,'Dados Meteorológicos'!$1:$988,44,0)</f>
        <v/>
      </c>
      <c r="AV27" s="62" t="str">
        <f>VLOOKUP(B27,'Dados Meteorológicos'!$1:$988,45,0)</f>
        <v/>
      </c>
      <c r="AW27" s="62" t="str">
        <f>VLOOKUP(B27,'Dados Meteorológicos'!$1:$988,46,0)</f>
        <v/>
      </c>
      <c r="AX27" s="62" t="str">
        <f>VLOOKUP(B27,'Dados Meteorológicos'!$1:$988,47,0)</f>
        <v/>
      </c>
      <c r="AY27" s="62" t="str">
        <f>VLOOKUP(B27,'Dados Meteorológicos'!$1:$988,48,0)</f>
        <v/>
      </c>
      <c r="AZ27" s="62" t="str">
        <f>VLOOKUP(B27,'Dados Meteorológicos'!$1:$988,49,0)</f>
        <v/>
      </c>
      <c r="BA27" s="62" t="str">
        <f>VLOOKUP(B27,'Dados Meteorológicos'!$1:$988,50,0)</f>
        <v/>
      </c>
      <c r="BB27" s="62" t="str">
        <f>VLOOKUP(B27,'Dados Meteorológicos'!$1:$988,51,0)</f>
        <v/>
      </c>
      <c r="BC27" s="62" t="str">
        <f>VLOOKUP(B27,'Dados Meteorológicos'!$1:$988,52,0)</f>
        <v/>
      </c>
      <c r="BD27" s="14" t="str">
        <f>VLOOKUP(B27,'Dados Meteorológicos'!$1:$988,53,0)</f>
        <v/>
      </c>
      <c r="BE27" s="62"/>
      <c r="BF27" s="63">
        <f t="shared" ref="BF27:BN27" si="28">AVERAGE(R27,AB27,AL27,AV27)</f>
        <v>12.74</v>
      </c>
      <c r="BG27" s="63">
        <f t="shared" si="28"/>
        <v>11.05</v>
      </c>
      <c r="BH27" s="63">
        <f t="shared" si="28"/>
        <v>88.5</v>
      </c>
      <c r="BI27" s="63">
        <f t="shared" si="28"/>
        <v>11.155</v>
      </c>
      <c r="BJ27" s="63">
        <f t="shared" si="28"/>
        <v>278.35</v>
      </c>
      <c r="BK27" s="63">
        <f t="shared" si="28"/>
        <v>1.905</v>
      </c>
      <c r="BL27" s="63">
        <f t="shared" si="28"/>
        <v>14.145</v>
      </c>
      <c r="BM27" s="63">
        <f t="shared" si="28"/>
        <v>23.04</v>
      </c>
      <c r="BN27" s="63">
        <f t="shared" si="28"/>
        <v>15.785</v>
      </c>
    </row>
    <row r="28">
      <c r="A28" s="64">
        <v>27.0</v>
      </c>
      <c r="B28" s="87" t="s">
        <v>1682</v>
      </c>
      <c r="C28" s="88">
        <v>49.0</v>
      </c>
      <c r="D28" s="78">
        <v>52.0</v>
      </c>
      <c r="E28" s="55">
        <f t="shared" si="2"/>
        <v>101</v>
      </c>
      <c r="F28" s="74">
        <v>45829.0</v>
      </c>
      <c r="G28" s="78" t="s">
        <v>1640</v>
      </c>
      <c r="H28" s="75">
        <v>0.7916666666666666</v>
      </c>
      <c r="I28" s="75">
        <v>0.75</v>
      </c>
      <c r="J28" s="59" t="str">
        <f t="shared" si="3"/>
        <v>Evening</v>
      </c>
      <c r="K28" s="72" t="s">
        <v>249</v>
      </c>
      <c r="L28" s="72" t="s">
        <v>1630</v>
      </c>
      <c r="M28" s="76"/>
      <c r="N28" s="70" t="s">
        <v>1641</v>
      </c>
      <c r="O28" s="62">
        <f>VLOOKUP(B28,'Dados Meteorológicos'!$1:$988,12,0)</f>
        <v>40.75</v>
      </c>
      <c r="P28" s="62">
        <f>VLOOKUP(B28,'Dados Meteorológicos'!$1:$988,13,0)</f>
        <v>-74</v>
      </c>
      <c r="Q28" s="62">
        <f>VLOOKUP(B28,'Dados Meteorológicos'!$1:$988,14,0)</f>
        <v>23</v>
      </c>
      <c r="R28" s="62">
        <f>VLOOKUP(B28,'Dados Meteorológicos'!$1:$988,15,0)</f>
        <v>28.98</v>
      </c>
      <c r="S28" s="62">
        <f>VLOOKUP(B28,'Dados Meteorológicos'!$1:$988,16,0)</f>
        <v>17.48</v>
      </c>
      <c r="T28" s="62">
        <f>VLOOKUP(B28,'Dados Meteorológicos'!$1:$988,17,0)</f>
        <v>49</v>
      </c>
      <c r="U28" s="62">
        <f>VLOOKUP(B28,'Dados Meteorológicos'!$1:$988,18,0)</f>
        <v>28.71</v>
      </c>
      <c r="V28" s="62">
        <f>VLOOKUP(B28,'Dados Meteorológicos'!$1:$988,19,0)</f>
        <v>179.8</v>
      </c>
      <c r="W28" s="62">
        <f>VLOOKUP(B28,'Dados Meteorológicos'!$1:$988,20,0)</f>
        <v>1.8</v>
      </c>
      <c r="X28" s="62">
        <f>VLOOKUP(B28,'Dados Meteorológicos'!$1:$988,21,0)</f>
        <v>23.04</v>
      </c>
      <c r="Y28" s="62">
        <f>VLOOKUP(B28,'Dados Meteorológicos'!$1:$988,22,0)</f>
        <v>42.16</v>
      </c>
      <c r="Z28" s="62">
        <f>VLOOKUP(B28,'Dados Meteorológicos'!$1:$988,23,0)</f>
        <v>27.46</v>
      </c>
      <c r="AA28" s="62" t="str">
        <f>VLOOKUP(B28,'Dados Meteorológicos'!$1:$988,24,0)</f>
        <v>00+1d</v>
      </c>
      <c r="AB28" s="62">
        <f>VLOOKUP(B28,'Dados Meteorológicos'!$1:$988,25,0)</f>
        <v>28.62</v>
      </c>
      <c r="AC28" s="62">
        <f>VLOOKUP(B28,'Dados Meteorológicos'!$1:$988,26,0)</f>
        <v>18.51</v>
      </c>
      <c r="AD28" s="62">
        <f>VLOOKUP(B28,'Dados Meteorológicos'!$1:$988,27,0)</f>
        <v>54</v>
      </c>
      <c r="AE28" s="62">
        <f>VLOOKUP(B28,'Dados Meteorológicos'!$1:$988,28,0)</f>
        <v>28.15</v>
      </c>
      <c r="AF28" s="62">
        <f>VLOOKUP(B28,'Dados Meteorológicos'!$1:$988,29,0)</f>
        <v>62.8</v>
      </c>
      <c r="AG28" s="62">
        <f>VLOOKUP(B28,'Dados Meteorológicos'!$1:$988,30,0)</f>
        <v>1.78</v>
      </c>
      <c r="AH28" s="62">
        <f>VLOOKUP(B28,'Dados Meteorológicos'!$1:$988,31,0)</f>
        <v>23.33</v>
      </c>
      <c r="AI28" s="62">
        <f>VLOOKUP(B28,'Dados Meteorológicos'!$1:$988,32,0)</f>
        <v>42.05</v>
      </c>
      <c r="AJ28" s="62">
        <f>VLOOKUP(B28,'Dados Meteorológicos'!$1:$988,33,0)</f>
        <v>27.61</v>
      </c>
      <c r="AK28" s="62" t="str">
        <f>VLOOKUP(B28,'Dados Meteorológicos'!$1:$988,34,0)</f>
        <v/>
      </c>
      <c r="AL28" s="62" t="str">
        <f>VLOOKUP(B28,'Dados Meteorológicos'!$1:$988,35,0)</f>
        <v/>
      </c>
      <c r="AM28" s="62" t="str">
        <f>VLOOKUP(B28,'Dados Meteorológicos'!$1:$988,36,0)</f>
        <v/>
      </c>
      <c r="AN28" s="62" t="str">
        <f>VLOOKUP(B28,'Dados Meteorológicos'!$1:$988,37,0)</f>
        <v/>
      </c>
      <c r="AO28" s="62" t="str">
        <f>VLOOKUP(B28,'Dados Meteorológicos'!$1:$988,38,0)</f>
        <v/>
      </c>
      <c r="AP28" s="62" t="str">
        <f>VLOOKUP(B28,'Dados Meteorológicos'!$1:$988,39,0)</f>
        <v/>
      </c>
      <c r="AQ28" s="62" t="str">
        <f>VLOOKUP(B28,'Dados Meteorológicos'!$1:$988,40,0)</f>
        <v/>
      </c>
      <c r="AR28" s="62" t="str">
        <f>VLOOKUP(B28,'Dados Meteorológicos'!$1:$988,41,0)</f>
        <v/>
      </c>
      <c r="AS28" s="62" t="str">
        <f>VLOOKUP(B28,'Dados Meteorológicos'!$1:$988,42,0)</f>
        <v/>
      </c>
      <c r="AT28" s="62" t="str">
        <f>VLOOKUP(B28,'Dados Meteorológicos'!$1:$988,43,0)</f>
        <v/>
      </c>
      <c r="AU28" s="62" t="str">
        <f>VLOOKUP(B28,'Dados Meteorológicos'!$1:$988,44,0)</f>
        <v/>
      </c>
      <c r="AV28" s="62" t="str">
        <f>VLOOKUP(B28,'Dados Meteorológicos'!$1:$988,45,0)</f>
        <v/>
      </c>
      <c r="AW28" s="62" t="str">
        <f>VLOOKUP(B28,'Dados Meteorológicos'!$1:$988,46,0)</f>
        <v/>
      </c>
      <c r="AX28" s="62" t="str">
        <f>VLOOKUP(B28,'Dados Meteorológicos'!$1:$988,47,0)</f>
        <v/>
      </c>
      <c r="AY28" s="62" t="str">
        <f>VLOOKUP(B28,'Dados Meteorológicos'!$1:$988,48,0)</f>
        <v/>
      </c>
      <c r="AZ28" s="62" t="str">
        <f>VLOOKUP(B28,'Dados Meteorológicos'!$1:$988,49,0)</f>
        <v/>
      </c>
      <c r="BA28" s="62" t="str">
        <f>VLOOKUP(B28,'Dados Meteorológicos'!$1:$988,50,0)</f>
        <v/>
      </c>
      <c r="BB28" s="62" t="str">
        <f>VLOOKUP(B28,'Dados Meteorológicos'!$1:$988,51,0)</f>
        <v/>
      </c>
      <c r="BC28" s="62" t="str">
        <f>VLOOKUP(B28,'Dados Meteorológicos'!$1:$988,52,0)</f>
        <v/>
      </c>
      <c r="BD28" s="14" t="str">
        <f>VLOOKUP(B28,'Dados Meteorológicos'!$1:$988,53,0)</f>
        <v/>
      </c>
      <c r="BE28" s="62"/>
      <c r="BF28" s="63">
        <f t="shared" ref="BF28:BN28" si="29">AVERAGE(R28,AB28,AL28,AV28)</f>
        <v>28.8</v>
      </c>
      <c r="BG28" s="63">
        <f t="shared" si="29"/>
        <v>17.995</v>
      </c>
      <c r="BH28" s="63">
        <f t="shared" si="29"/>
        <v>51.5</v>
      </c>
      <c r="BI28" s="63">
        <f t="shared" si="29"/>
        <v>28.43</v>
      </c>
      <c r="BJ28" s="63">
        <f t="shared" si="29"/>
        <v>121.3</v>
      </c>
      <c r="BK28" s="63">
        <f t="shared" si="29"/>
        <v>1.79</v>
      </c>
      <c r="BL28" s="63">
        <f t="shared" si="29"/>
        <v>23.185</v>
      </c>
      <c r="BM28" s="63">
        <f t="shared" si="29"/>
        <v>42.105</v>
      </c>
      <c r="BN28" s="63">
        <f t="shared" si="29"/>
        <v>27.535</v>
      </c>
    </row>
    <row r="29">
      <c r="A29" s="64">
        <v>28.0</v>
      </c>
      <c r="B29" s="89" t="s">
        <v>1683</v>
      </c>
      <c r="C29" s="78">
        <v>48.0</v>
      </c>
      <c r="D29" s="78">
        <v>50.0</v>
      </c>
      <c r="E29" s="55">
        <f t="shared" si="2"/>
        <v>98</v>
      </c>
      <c r="F29" s="74">
        <v>45829.0</v>
      </c>
      <c r="G29" s="72" t="s">
        <v>1636</v>
      </c>
      <c r="H29" s="75">
        <v>0.9166666666666666</v>
      </c>
      <c r="I29" s="75">
        <v>0.75</v>
      </c>
      <c r="J29" s="59" t="str">
        <f t="shared" si="3"/>
        <v>Evening</v>
      </c>
      <c r="K29" s="72" t="s">
        <v>1637</v>
      </c>
      <c r="L29" s="72" t="s">
        <v>1630</v>
      </c>
      <c r="M29" s="76"/>
      <c r="N29" s="70" t="s">
        <v>1638</v>
      </c>
      <c r="O29" s="62">
        <f>VLOOKUP(B29,'Dados Meteorológicos'!$1:$988,12,0)</f>
        <v>34.25</v>
      </c>
      <c r="P29" s="62">
        <f>VLOOKUP(B29,'Dados Meteorológicos'!$1:$988,13,0)</f>
        <v>-118.25</v>
      </c>
      <c r="Q29" s="62">
        <f>VLOOKUP(B29,'Dados Meteorológicos'!$1:$988,14,0)</f>
        <v>2</v>
      </c>
      <c r="R29" s="62">
        <f>VLOOKUP(B29,'Dados Meteorológicos'!$1:$988,15,0)</f>
        <v>20.21</v>
      </c>
      <c r="S29" s="62">
        <f>VLOOKUP(B29,'Dados Meteorológicos'!$1:$988,16,0)</f>
        <v>11.24</v>
      </c>
      <c r="T29" s="62">
        <f>VLOOKUP(B29,'Dados Meteorológicos'!$1:$988,17,0)</f>
        <v>56</v>
      </c>
      <c r="U29" s="62">
        <f>VLOOKUP(B29,'Dados Meteorológicos'!$1:$988,18,0)</f>
        <v>17.49</v>
      </c>
      <c r="V29" s="62">
        <f>VLOOKUP(B29,'Dados Meteorológicos'!$1:$988,19,0)</f>
        <v>255</v>
      </c>
      <c r="W29" s="62">
        <f>VLOOKUP(B29,'Dados Meteorológicos'!$1:$988,20,0)</f>
        <v>1.78</v>
      </c>
      <c r="X29" s="62">
        <f>VLOOKUP(B29,'Dados Meteorológicos'!$1:$988,21,0)</f>
        <v>17.44</v>
      </c>
      <c r="Y29" s="62">
        <f>VLOOKUP(B29,'Dados Meteorológicos'!$1:$988,22,0)</f>
        <v>30.66</v>
      </c>
      <c r="Z29" s="62">
        <f>VLOOKUP(B29,'Dados Meteorológicos'!$1:$988,23,0)</f>
        <v>20.36</v>
      </c>
      <c r="AA29" s="62">
        <f>VLOOKUP(B29,'Dados Meteorológicos'!$1:$988,24,0)</f>
        <v>3</v>
      </c>
      <c r="AB29" s="62">
        <f>VLOOKUP(B29,'Dados Meteorológicos'!$1:$988,25,0)</f>
        <v>18.65</v>
      </c>
      <c r="AC29" s="62">
        <f>VLOOKUP(B29,'Dados Meteorológicos'!$1:$988,26,0)</f>
        <v>12.03</v>
      </c>
      <c r="AD29" s="62">
        <f>VLOOKUP(B29,'Dados Meteorológicos'!$1:$988,27,0)</f>
        <v>65</v>
      </c>
      <c r="AE29" s="62">
        <f>VLOOKUP(B29,'Dados Meteorológicos'!$1:$988,28,0)</f>
        <v>15.96</v>
      </c>
      <c r="AF29" s="62">
        <f>VLOOKUP(B29,'Dados Meteorológicos'!$1:$988,29,0)</f>
        <v>69.6</v>
      </c>
      <c r="AG29" s="62">
        <f>VLOOKUP(B29,'Dados Meteorológicos'!$1:$988,30,0)</f>
        <v>1.26</v>
      </c>
      <c r="AH29" s="62">
        <f>VLOOKUP(B29,'Dados Meteorológicos'!$1:$988,31,0)</f>
        <v>17.26</v>
      </c>
      <c r="AI29" s="62">
        <f>VLOOKUP(B29,'Dados Meteorológicos'!$1:$988,32,0)</f>
        <v>29.81</v>
      </c>
      <c r="AJ29" s="62">
        <f>VLOOKUP(B29,'Dados Meteorológicos'!$1:$988,33,0)</f>
        <v>19.91</v>
      </c>
      <c r="AK29" s="62" t="str">
        <f>VLOOKUP(B29,'Dados Meteorológicos'!$1:$988,34,0)</f>
        <v/>
      </c>
      <c r="AL29" s="62" t="str">
        <f>VLOOKUP(B29,'Dados Meteorológicos'!$1:$988,35,0)</f>
        <v/>
      </c>
      <c r="AM29" s="62" t="str">
        <f>VLOOKUP(B29,'Dados Meteorológicos'!$1:$988,36,0)</f>
        <v/>
      </c>
      <c r="AN29" s="62" t="str">
        <f>VLOOKUP(B29,'Dados Meteorológicos'!$1:$988,37,0)</f>
        <v/>
      </c>
      <c r="AO29" s="62" t="str">
        <f>VLOOKUP(B29,'Dados Meteorológicos'!$1:$988,38,0)</f>
        <v/>
      </c>
      <c r="AP29" s="62" t="str">
        <f>VLOOKUP(B29,'Dados Meteorológicos'!$1:$988,39,0)</f>
        <v/>
      </c>
      <c r="AQ29" s="62" t="str">
        <f>VLOOKUP(B29,'Dados Meteorológicos'!$1:$988,40,0)</f>
        <v/>
      </c>
      <c r="AR29" s="62" t="str">
        <f>VLOOKUP(B29,'Dados Meteorológicos'!$1:$988,41,0)</f>
        <v/>
      </c>
      <c r="AS29" s="62" t="str">
        <f>VLOOKUP(B29,'Dados Meteorológicos'!$1:$988,42,0)</f>
        <v/>
      </c>
      <c r="AT29" s="62" t="str">
        <f>VLOOKUP(B29,'Dados Meteorológicos'!$1:$988,43,0)</f>
        <v/>
      </c>
      <c r="AU29" s="62" t="str">
        <f>VLOOKUP(B29,'Dados Meteorológicos'!$1:$988,44,0)</f>
        <v/>
      </c>
      <c r="AV29" s="62" t="str">
        <f>VLOOKUP(B29,'Dados Meteorológicos'!$1:$988,45,0)</f>
        <v/>
      </c>
      <c r="AW29" s="62" t="str">
        <f>VLOOKUP(B29,'Dados Meteorológicos'!$1:$988,46,0)</f>
        <v/>
      </c>
      <c r="AX29" s="62" t="str">
        <f>VLOOKUP(B29,'Dados Meteorológicos'!$1:$988,47,0)</f>
        <v/>
      </c>
      <c r="AY29" s="62" t="str">
        <f>VLOOKUP(B29,'Dados Meteorológicos'!$1:$988,48,0)</f>
        <v/>
      </c>
      <c r="AZ29" s="62" t="str">
        <f>VLOOKUP(B29,'Dados Meteorológicos'!$1:$988,49,0)</f>
        <v/>
      </c>
      <c r="BA29" s="62" t="str">
        <f>VLOOKUP(B29,'Dados Meteorológicos'!$1:$988,50,0)</f>
        <v/>
      </c>
      <c r="BB29" s="62" t="str">
        <f>VLOOKUP(B29,'Dados Meteorológicos'!$1:$988,51,0)</f>
        <v/>
      </c>
      <c r="BC29" s="62" t="str">
        <f>VLOOKUP(B29,'Dados Meteorológicos'!$1:$988,52,0)</f>
        <v/>
      </c>
      <c r="BD29" s="14" t="str">
        <f>VLOOKUP(B29,'Dados Meteorológicos'!$1:$988,53,0)</f>
        <v/>
      </c>
      <c r="BE29" s="62"/>
      <c r="BF29" s="63">
        <f t="shared" ref="BF29:BN29" si="30">AVERAGE(R29,AB29,AL29,AV29)</f>
        <v>19.43</v>
      </c>
      <c r="BG29" s="63">
        <f t="shared" si="30"/>
        <v>11.635</v>
      </c>
      <c r="BH29" s="63">
        <f t="shared" si="30"/>
        <v>60.5</v>
      </c>
      <c r="BI29" s="63">
        <f t="shared" si="30"/>
        <v>16.725</v>
      </c>
      <c r="BJ29" s="63">
        <f t="shared" si="30"/>
        <v>162.3</v>
      </c>
      <c r="BK29" s="63">
        <f t="shared" si="30"/>
        <v>1.52</v>
      </c>
      <c r="BL29" s="63">
        <f t="shared" si="30"/>
        <v>17.35</v>
      </c>
      <c r="BM29" s="63">
        <f t="shared" si="30"/>
        <v>30.235</v>
      </c>
      <c r="BN29" s="63">
        <f t="shared" si="30"/>
        <v>20.135</v>
      </c>
    </row>
    <row r="30">
      <c r="A30" s="64">
        <v>29.0</v>
      </c>
      <c r="B30" s="87" t="s">
        <v>1684</v>
      </c>
      <c r="C30" s="88">
        <v>51.0</v>
      </c>
      <c r="D30" s="78">
        <v>50.0</v>
      </c>
      <c r="E30" s="55">
        <f t="shared" si="2"/>
        <v>101</v>
      </c>
      <c r="F30" s="74">
        <v>45830.0</v>
      </c>
      <c r="G30" s="66" t="s">
        <v>1651</v>
      </c>
      <c r="H30" s="75">
        <v>0.5416666666666666</v>
      </c>
      <c r="I30" s="75">
        <v>0.5</v>
      </c>
      <c r="J30" s="59" t="str">
        <f t="shared" si="3"/>
        <v>Afternoon</v>
      </c>
      <c r="K30" s="66" t="s">
        <v>500</v>
      </c>
      <c r="L30" s="66" t="s">
        <v>1630</v>
      </c>
      <c r="M30" s="69"/>
      <c r="N30" s="70" t="s">
        <v>1652</v>
      </c>
      <c r="O30" s="62">
        <f>VLOOKUP(B30,'Dados Meteorológicos'!$1:$988,12,0)</f>
        <v>40</v>
      </c>
      <c r="P30" s="62">
        <f>VLOOKUP(B30,'Dados Meteorológicos'!$1:$988,13,0)</f>
        <v>-75.25</v>
      </c>
      <c r="Q30" s="62">
        <f>VLOOKUP(B30,'Dados Meteorológicos'!$1:$988,14,0)</f>
        <v>17</v>
      </c>
      <c r="R30" s="62">
        <f>VLOOKUP(B30,'Dados Meteorológicos'!$1:$988,15,0)</f>
        <v>29.24</v>
      </c>
      <c r="S30" s="62">
        <f>VLOOKUP(B30,'Dados Meteorológicos'!$1:$988,16,0)</f>
        <v>21.73</v>
      </c>
      <c r="T30" s="62">
        <f>VLOOKUP(B30,'Dados Meteorológicos'!$1:$988,17,0)</f>
        <v>63</v>
      </c>
      <c r="U30" s="62">
        <f>VLOOKUP(B30,'Dados Meteorológicos'!$1:$988,18,0)</f>
        <v>29.13</v>
      </c>
      <c r="V30" s="62">
        <f>VLOOKUP(B30,'Dados Meteorológicos'!$1:$988,19,0)</f>
        <v>485.1</v>
      </c>
      <c r="W30" s="62">
        <f>VLOOKUP(B30,'Dados Meteorológicos'!$1:$988,20,0)</f>
        <v>2.51</v>
      </c>
      <c r="X30" s="62">
        <f>VLOOKUP(B30,'Dados Meteorológicos'!$1:$988,21,0)</f>
        <v>24.61</v>
      </c>
      <c r="Y30" s="62">
        <f>VLOOKUP(B30,'Dados Meteorológicos'!$1:$988,22,0)</f>
        <v>42.97</v>
      </c>
      <c r="Z30" s="62">
        <f>VLOOKUP(B30,'Dados Meteorológicos'!$1:$988,23,0)</f>
        <v>28.75</v>
      </c>
      <c r="AA30" s="62">
        <f>VLOOKUP(B30,'Dados Meteorológicos'!$1:$988,24,0)</f>
        <v>18</v>
      </c>
      <c r="AB30" s="62">
        <f>VLOOKUP(B30,'Dados Meteorológicos'!$1:$988,25,0)</f>
        <v>29.76</v>
      </c>
      <c r="AC30" s="62">
        <f>VLOOKUP(B30,'Dados Meteorológicos'!$1:$988,26,0)</f>
        <v>21.9</v>
      </c>
      <c r="AD30" s="62">
        <f>VLOOKUP(B30,'Dados Meteorológicos'!$1:$988,27,0)</f>
        <v>62</v>
      </c>
      <c r="AE30" s="62">
        <f>VLOOKUP(B30,'Dados Meteorológicos'!$1:$988,28,0)</f>
        <v>29.95</v>
      </c>
      <c r="AF30" s="62">
        <f>VLOOKUP(B30,'Dados Meteorológicos'!$1:$988,29,0)</f>
        <v>497.4</v>
      </c>
      <c r="AG30" s="62">
        <f>VLOOKUP(B30,'Dados Meteorológicos'!$1:$988,30,0)</f>
        <v>2.78</v>
      </c>
      <c r="AH30" s="62">
        <f>VLOOKUP(B30,'Dados Meteorológicos'!$1:$988,31,0)</f>
        <v>24.8</v>
      </c>
      <c r="AI30" s="62">
        <f>VLOOKUP(B30,'Dados Meteorológicos'!$1:$988,32,0)</f>
        <v>43.3</v>
      </c>
      <c r="AJ30" s="62">
        <f>VLOOKUP(B30,'Dados Meteorológicos'!$1:$988,33,0)</f>
        <v>28.99</v>
      </c>
      <c r="AK30" s="62" t="str">
        <f>VLOOKUP(B30,'Dados Meteorológicos'!$1:$988,34,0)</f>
        <v/>
      </c>
      <c r="AL30" s="62" t="str">
        <f>VLOOKUP(B30,'Dados Meteorológicos'!$1:$988,35,0)</f>
        <v/>
      </c>
      <c r="AM30" s="62" t="str">
        <f>VLOOKUP(B30,'Dados Meteorológicos'!$1:$988,36,0)</f>
        <v/>
      </c>
      <c r="AN30" s="62" t="str">
        <f>VLOOKUP(B30,'Dados Meteorológicos'!$1:$988,37,0)</f>
        <v/>
      </c>
      <c r="AO30" s="62" t="str">
        <f>VLOOKUP(B30,'Dados Meteorológicos'!$1:$988,38,0)</f>
        <v/>
      </c>
      <c r="AP30" s="62" t="str">
        <f>VLOOKUP(B30,'Dados Meteorológicos'!$1:$988,39,0)</f>
        <v/>
      </c>
      <c r="AQ30" s="62" t="str">
        <f>VLOOKUP(B30,'Dados Meteorológicos'!$1:$988,40,0)</f>
        <v/>
      </c>
      <c r="AR30" s="62" t="str">
        <f>VLOOKUP(B30,'Dados Meteorológicos'!$1:$988,41,0)</f>
        <v/>
      </c>
      <c r="AS30" s="62" t="str">
        <f>VLOOKUP(B30,'Dados Meteorológicos'!$1:$988,42,0)</f>
        <v/>
      </c>
      <c r="AT30" s="62" t="str">
        <f>VLOOKUP(B30,'Dados Meteorológicos'!$1:$988,43,0)</f>
        <v/>
      </c>
      <c r="AU30" s="62" t="str">
        <f>VLOOKUP(B30,'Dados Meteorológicos'!$1:$988,44,0)</f>
        <v/>
      </c>
      <c r="AV30" s="62" t="str">
        <f>VLOOKUP(B30,'Dados Meteorológicos'!$1:$988,45,0)</f>
        <v/>
      </c>
      <c r="AW30" s="62" t="str">
        <f>VLOOKUP(B30,'Dados Meteorológicos'!$1:$988,46,0)</f>
        <v/>
      </c>
      <c r="AX30" s="62" t="str">
        <f>VLOOKUP(B30,'Dados Meteorológicos'!$1:$988,47,0)</f>
        <v/>
      </c>
      <c r="AY30" s="62" t="str">
        <f>VLOOKUP(B30,'Dados Meteorológicos'!$1:$988,48,0)</f>
        <v/>
      </c>
      <c r="AZ30" s="62" t="str">
        <f>VLOOKUP(B30,'Dados Meteorológicos'!$1:$988,49,0)</f>
        <v/>
      </c>
      <c r="BA30" s="62" t="str">
        <f>VLOOKUP(B30,'Dados Meteorológicos'!$1:$988,50,0)</f>
        <v/>
      </c>
      <c r="BB30" s="62" t="str">
        <f>VLOOKUP(B30,'Dados Meteorológicos'!$1:$988,51,0)</f>
        <v/>
      </c>
      <c r="BC30" s="62" t="str">
        <f>VLOOKUP(B30,'Dados Meteorológicos'!$1:$988,52,0)</f>
        <v/>
      </c>
      <c r="BD30" s="14" t="str">
        <f>VLOOKUP(B30,'Dados Meteorológicos'!$1:$988,53,0)</f>
        <v/>
      </c>
      <c r="BE30" s="62"/>
      <c r="BF30" s="63">
        <f t="shared" ref="BF30:BN30" si="31">AVERAGE(R30,AB30,AL30,AV30)</f>
        <v>29.5</v>
      </c>
      <c r="BG30" s="63">
        <f t="shared" si="31"/>
        <v>21.815</v>
      </c>
      <c r="BH30" s="63">
        <f t="shared" si="31"/>
        <v>62.5</v>
      </c>
      <c r="BI30" s="63">
        <f t="shared" si="31"/>
        <v>29.54</v>
      </c>
      <c r="BJ30" s="63">
        <f t="shared" si="31"/>
        <v>491.25</v>
      </c>
      <c r="BK30" s="63">
        <f t="shared" si="31"/>
        <v>2.645</v>
      </c>
      <c r="BL30" s="63">
        <f t="shared" si="31"/>
        <v>24.705</v>
      </c>
      <c r="BM30" s="63">
        <f t="shared" si="31"/>
        <v>43.135</v>
      </c>
      <c r="BN30" s="63">
        <f t="shared" si="31"/>
        <v>28.87</v>
      </c>
    </row>
    <row r="31">
      <c r="A31" s="64">
        <v>30.0</v>
      </c>
      <c r="B31" s="79" t="s">
        <v>1685</v>
      </c>
      <c r="C31" s="82">
        <v>49.0</v>
      </c>
      <c r="D31" s="100">
        <v>52.0</v>
      </c>
      <c r="E31" s="55">
        <f t="shared" si="2"/>
        <v>101</v>
      </c>
      <c r="F31" s="67">
        <v>45830.0</v>
      </c>
      <c r="G31" s="66" t="s">
        <v>1686</v>
      </c>
      <c r="H31" s="68">
        <v>0.6666666666666666</v>
      </c>
      <c r="I31" s="68">
        <v>0.625</v>
      </c>
      <c r="J31" s="59" t="str">
        <f t="shared" si="3"/>
        <v>Afternoon</v>
      </c>
      <c r="K31" s="66" t="s">
        <v>1200</v>
      </c>
      <c r="L31" s="66" t="s">
        <v>1630</v>
      </c>
      <c r="M31" s="69"/>
      <c r="N31" s="70" t="s">
        <v>1687</v>
      </c>
      <c r="O31" s="62">
        <f>VLOOKUP(B31,'Dados Meteorológicos'!$1:$988,12,0)</f>
        <v>35.25</v>
      </c>
      <c r="P31" s="62">
        <f>VLOOKUP(B31,'Dados Meteorológicos'!$1:$988,13,0)</f>
        <v>-80.75</v>
      </c>
      <c r="Q31" s="62">
        <f>VLOOKUP(B31,'Dados Meteorológicos'!$1:$988,14,0)</f>
        <v>20</v>
      </c>
      <c r="R31" s="62">
        <f>VLOOKUP(B31,'Dados Meteorológicos'!$1:$988,15,0)</f>
        <v>34.51</v>
      </c>
      <c r="S31" s="62">
        <f>VLOOKUP(B31,'Dados Meteorológicos'!$1:$988,16,0)</f>
        <v>17.97</v>
      </c>
      <c r="T31" s="62">
        <f>VLOOKUP(B31,'Dados Meteorológicos'!$1:$988,17,0)</f>
        <v>37</v>
      </c>
      <c r="U31" s="62">
        <f>VLOOKUP(B31,'Dados Meteorológicos'!$1:$988,18,0)</f>
        <v>38.6</v>
      </c>
      <c r="V31" s="62">
        <f>VLOOKUP(B31,'Dados Meteorológicos'!$1:$988,19,0)</f>
        <v>617.1</v>
      </c>
      <c r="W31" s="62">
        <f>VLOOKUP(B31,'Dados Meteorológicos'!$1:$988,20,0)</f>
        <v>0.16</v>
      </c>
      <c r="X31" s="62">
        <f>VLOOKUP(B31,'Dados Meteorológicos'!$1:$988,21,0)</f>
        <v>25.46</v>
      </c>
      <c r="Y31" s="62">
        <f>VLOOKUP(B31,'Dados Meteorológicos'!$1:$988,22,0)</f>
        <v>50.4</v>
      </c>
      <c r="Z31" s="62">
        <f>VLOOKUP(B31,'Dados Meteorológicos'!$1:$988,23,0)</f>
        <v>31.35</v>
      </c>
      <c r="AA31" s="62">
        <f>VLOOKUP(B31,'Dados Meteorológicos'!$1:$988,24,0)</f>
        <v>21</v>
      </c>
      <c r="AB31" s="62">
        <f>VLOOKUP(B31,'Dados Meteorológicos'!$1:$988,25,0)</f>
        <v>35.01</v>
      </c>
      <c r="AC31" s="62">
        <f>VLOOKUP(B31,'Dados Meteorológicos'!$1:$988,26,0)</f>
        <v>17.66</v>
      </c>
      <c r="AD31" s="62">
        <f>VLOOKUP(B31,'Dados Meteorológicos'!$1:$988,27,0)</f>
        <v>35</v>
      </c>
      <c r="AE31" s="62">
        <f>VLOOKUP(B31,'Dados Meteorológicos'!$1:$988,28,0)</f>
        <v>39.63</v>
      </c>
      <c r="AF31" s="62">
        <f>VLOOKUP(B31,'Dados Meteorológicos'!$1:$988,29,0)</f>
        <v>401.9</v>
      </c>
      <c r="AG31" s="62">
        <f>VLOOKUP(B31,'Dados Meteorológicos'!$1:$988,30,0)</f>
        <v>0.36</v>
      </c>
      <c r="AH31" s="62">
        <f>VLOOKUP(B31,'Dados Meteorológicos'!$1:$988,31,0)</f>
        <v>25.42</v>
      </c>
      <c r="AI31" s="62">
        <f>VLOOKUP(B31,'Dados Meteorológicos'!$1:$988,32,0)</f>
        <v>50.74</v>
      </c>
      <c r="AJ31" s="62">
        <f>VLOOKUP(B31,'Dados Meteorológicos'!$1:$988,33,0)</f>
        <v>31.44</v>
      </c>
      <c r="AK31" s="62" t="str">
        <f>VLOOKUP(B31,'Dados Meteorológicos'!$1:$988,34,0)</f>
        <v/>
      </c>
      <c r="AL31" s="62" t="str">
        <f>VLOOKUP(B31,'Dados Meteorológicos'!$1:$988,35,0)</f>
        <v/>
      </c>
      <c r="AM31" s="62" t="str">
        <f>VLOOKUP(B31,'Dados Meteorológicos'!$1:$988,36,0)</f>
        <v/>
      </c>
      <c r="AN31" s="62" t="str">
        <f>VLOOKUP(B31,'Dados Meteorológicos'!$1:$988,37,0)</f>
        <v/>
      </c>
      <c r="AO31" s="62" t="str">
        <f>VLOOKUP(B31,'Dados Meteorológicos'!$1:$988,38,0)</f>
        <v/>
      </c>
      <c r="AP31" s="62" t="str">
        <f>VLOOKUP(B31,'Dados Meteorológicos'!$1:$988,39,0)</f>
        <v/>
      </c>
      <c r="AQ31" s="62" t="str">
        <f>VLOOKUP(B31,'Dados Meteorológicos'!$1:$988,40,0)</f>
        <v/>
      </c>
      <c r="AR31" s="62" t="str">
        <f>VLOOKUP(B31,'Dados Meteorológicos'!$1:$988,41,0)</f>
        <v/>
      </c>
      <c r="AS31" s="62" t="str">
        <f>VLOOKUP(B31,'Dados Meteorológicos'!$1:$988,42,0)</f>
        <v/>
      </c>
      <c r="AT31" s="62" t="str">
        <f>VLOOKUP(B31,'Dados Meteorológicos'!$1:$988,43,0)</f>
        <v/>
      </c>
      <c r="AU31" s="62" t="str">
        <f>VLOOKUP(B31,'Dados Meteorológicos'!$1:$988,44,0)</f>
        <v/>
      </c>
      <c r="AV31" s="62" t="str">
        <f>VLOOKUP(B31,'Dados Meteorológicos'!$1:$988,45,0)</f>
        <v/>
      </c>
      <c r="AW31" s="62" t="str">
        <f>VLOOKUP(B31,'Dados Meteorológicos'!$1:$988,46,0)</f>
        <v/>
      </c>
      <c r="AX31" s="62" t="str">
        <f>VLOOKUP(B31,'Dados Meteorológicos'!$1:$988,47,0)</f>
        <v/>
      </c>
      <c r="AY31" s="62" t="str">
        <f>VLOOKUP(B31,'Dados Meteorológicos'!$1:$988,48,0)</f>
        <v/>
      </c>
      <c r="AZ31" s="62" t="str">
        <f>VLOOKUP(B31,'Dados Meteorológicos'!$1:$988,49,0)</f>
        <v/>
      </c>
      <c r="BA31" s="62" t="str">
        <f>VLOOKUP(B31,'Dados Meteorológicos'!$1:$988,50,0)</f>
        <v/>
      </c>
      <c r="BB31" s="62" t="str">
        <f>VLOOKUP(B31,'Dados Meteorológicos'!$1:$988,51,0)</f>
        <v/>
      </c>
      <c r="BC31" s="62" t="str">
        <f>VLOOKUP(B31,'Dados Meteorológicos'!$1:$988,52,0)</f>
        <v/>
      </c>
      <c r="BD31" s="14" t="str">
        <f>VLOOKUP(B31,'Dados Meteorológicos'!$1:$988,53,0)</f>
        <v/>
      </c>
      <c r="BE31" s="62"/>
      <c r="BF31" s="63">
        <f t="shared" ref="BF31:BN31" si="32">AVERAGE(R31,AB31,AL31,AV31)</f>
        <v>34.76</v>
      </c>
      <c r="BG31" s="63">
        <f t="shared" si="32"/>
        <v>17.815</v>
      </c>
      <c r="BH31" s="63">
        <f t="shared" si="32"/>
        <v>36</v>
      </c>
      <c r="BI31" s="63">
        <f t="shared" si="32"/>
        <v>39.115</v>
      </c>
      <c r="BJ31" s="63">
        <f t="shared" si="32"/>
        <v>509.5</v>
      </c>
      <c r="BK31" s="63">
        <f t="shared" si="32"/>
        <v>0.26</v>
      </c>
      <c r="BL31" s="63">
        <f t="shared" si="32"/>
        <v>25.44</v>
      </c>
      <c r="BM31" s="63">
        <f t="shared" si="32"/>
        <v>50.57</v>
      </c>
      <c r="BN31" s="63">
        <f t="shared" si="32"/>
        <v>31.395</v>
      </c>
    </row>
    <row r="32">
      <c r="A32" s="64">
        <v>31.0</v>
      </c>
      <c r="B32" s="80" t="s">
        <v>1688</v>
      </c>
      <c r="C32" s="82">
        <v>49.0</v>
      </c>
      <c r="D32" s="81">
        <v>51.0</v>
      </c>
      <c r="E32" s="55">
        <f t="shared" si="2"/>
        <v>100</v>
      </c>
      <c r="F32" s="83">
        <v>45830.0</v>
      </c>
      <c r="G32" s="82" t="s">
        <v>1665</v>
      </c>
      <c r="H32" s="84">
        <v>0.7916666666666666</v>
      </c>
      <c r="I32" s="84">
        <v>0.75</v>
      </c>
      <c r="J32" s="59" t="str">
        <f t="shared" si="3"/>
        <v>Evening</v>
      </c>
      <c r="K32" s="82" t="s">
        <v>997</v>
      </c>
      <c r="L32" s="82" t="s">
        <v>1630</v>
      </c>
      <c r="M32" s="85"/>
      <c r="N32" s="61" t="s">
        <v>1666</v>
      </c>
      <c r="O32" s="62">
        <f>VLOOKUP(B32,'Dados Meteorológicos'!$1:$988,12,0)</f>
        <v>38.75</v>
      </c>
      <c r="P32" s="62">
        <f>VLOOKUP(B32,'Dados Meteorológicos'!$1:$988,13,0)</f>
        <v>-77</v>
      </c>
      <c r="Q32" s="62">
        <f>VLOOKUP(B32,'Dados Meteorológicos'!$1:$988,14,0)</f>
        <v>23</v>
      </c>
      <c r="R32" s="62">
        <f>VLOOKUP(B32,'Dados Meteorológicos'!$1:$988,15,0)</f>
        <v>32.07</v>
      </c>
      <c r="S32" s="62">
        <f>VLOOKUP(B32,'Dados Meteorológicos'!$1:$988,16,0)</f>
        <v>22.44</v>
      </c>
      <c r="T32" s="62">
        <f>VLOOKUP(B32,'Dados Meteorológicos'!$1:$988,17,0)</f>
        <v>56</v>
      </c>
      <c r="U32" s="62">
        <f>VLOOKUP(B32,'Dados Meteorológicos'!$1:$988,18,0)</f>
        <v>33.93</v>
      </c>
      <c r="V32" s="62">
        <f>VLOOKUP(B32,'Dados Meteorológicos'!$1:$988,19,0)</f>
        <v>293.1</v>
      </c>
      <c r="W32" s="62">
        <f>VLOOKUP(B32,'Dados Meteorológicos'!$1:$988,20,0)</f>
        <v>2.13</v>
      </c>
      <c r="X32" s="62">
        <f>VLOOKUP(B32,'Dados Meteorológicos'!$1:$988,21,0)</f>
        <v>26.03</v>
      </c>
      <c r="Y32" s="62">
        <f>VLOOKUP(B32,'Dados Meteorológicos'!$1:$988,22,0)</f>
        <v>46.65</v>
      </c>
      <c r="Z32" s="62">
        <f>VLOOKUP(B32,'Dados Meteorológicos'!$1:$988,23,0)</f>
        <v>30.76</v>
      </c>
      <c r="AA32" s="62" t="str">
        <f>VLOOKUP(B32,'Dados Meteorológicos'!$1:$988,24,0)</f>
        <v>00+1d</v>
      </c>
      <c r="AB32" s="62">
        <f>VLOOKUP(B32,'Dados Meteorológicos'!$1:$988,25,0)</f>
        <v>31.11</v>
      </c>
      <c r="AC32" s="62">
        <f>VLOOKUP(B32,'Dados Meteorológicos'!$1:$988,26,0)</f>
        <v>22.41</v>
      </c>
      <c r="AD32" s="62">
        <f>VLOOKUP(B32,'Dados Meteorológicos'!$1:$988,27,0)</f>
        <v>59</v>
      </c>
      <c r="AE32" s="62">
        <f>VLOOKUP(B32,'Dados Meteorológicos'!$1:$988,28,0)</f>
        <v>32.23</v>
      </c>
      <c r="AF32" s="62">
        <f>VLOOKUP(B32,'Dados Meteorológicos'!$1:$988,29,0)</f>
        <v>107.5</v>
      </c>
      <c r="AG32" s="62">
        <f>VLOOKUP(B32,'Dados Meteorológicos'!$1:$988,30,0)</f>
        <v>2.15</v>
      </c>
      <c r="AH32" s="62">
        <f>VLOOKUP(B32,'Dados Meteorológicos'!$1:$988,31,0)</f>
        <v>25.67</v>
      </c>
      <c r="AI32" s="62">
        <f>VLOOKUP(B32,'Dados Meteorológicos'!$1:$988,32,0)</f>
        <v>45.57</v>
      </c>
      <c r="AJ32" s="62">
        <f>VLOOKUP(B32,'Dados Meteorológicos'!$1:$988,33,0)</f>
        <v>30.19</v>
      </c>
      <c r="AK32" s="62" t="str">
        <f>VLOOKUP(B32,'Dados Meteorológicos'!$1:$988,34,0)</f>
        <v/>
      </c>
      <c r="AL32" s="62" t="str">
        <f>VLOOKUP(B32,'Dados Meteorológicos'!$1:$988,35,0)</f>
        <v/>
      </c>
      <c r="AM32" s="62" t="str">
        <f>VLOOKUP(B32,'Dados Meteorológicos'!$1:$988,36,0)</f>
        <v/>
      </c>
      <c r="AN32" s="62" t="str">
        <f>VLOOKUP(B32,'Dados Meteorológicos'!$1:$988,37,0)</f>
        <v/>
      </c>
      <c r="AO32" s="62" t="str">
        <f>VLOOKUP(B32,'Dados Meteorológicos'!$1:$988,38,0)</f>
        <v/>
      </c>
      <c r="AP32" s="62" t="str">
        <f>VLOOKUP(B32,'Dados Meteorológicos'!$1:$988,39,0)</f>
        <v/>
      </c>
      <c r="AQ32" s="62" t="str">
        <f>VLOOKUP(B32,'Dados Meteorológicos'!$1:$988,40,0)</f>
        <v/>
      </c>
      <c r="AR32" s="62" t="str">
        <f>VLOOKUP(B32,'Dados Meteorológicos'!$1:$988,41,0)</f>
        <v/>
      </c>
      <c r="AS32" s="62" t="str">
        <f>VLOOKUP(B32,'Dados Meteorológicos'!$1:$988,42,0)</f>
        <v/>
      </c>
      <c r="AT32" s="62" t="str">
        <f>VLOOKUP(B32,'Dados Meteorológicos'!$1:$988,43,0)</f>
        <v/>
      </c>
      <c r="AU32" s="62" t="str">
        <f>VLOOKUP(B32,'Dados Meteorológicos'!$1:$988,44,0)</f>
        <v/>
      </c>
      <c r="AV32" s="62" t="str">
        <f>VLOOKUP(B32,'Dados Meteorológicos'!$1:$988,45,0)</f>
        <v/>
      </c>
      <c r="AW32" s="62" t="str">
        <f>VLOOKUP(B32,'Dados Meteorológicos'!$1:$988,46,0)</f>
        <v/>
      </c>
      <c r="AX32" s="62" t="str">
        <f>VLOOKUP(B32,'Dados Meteorológicos'!$1:$988,47,0)</f>
        <v/>
      </c>
      <c r="AY32" s="62" t="str">
        <f>VLOOKUP(B32,'Dados Meteorológicos'!$1:$988,48,0)</f>
        <v/>
      </c>
      <c r="AZ32" s="62" t="str">
        <f>VLOOKUP(B32,'Dados Meteorológicos'!$1:$988,49,0)</f>
        <v/>
      </c>
      <c r="BA32" s="62" t="str">
        <f>VLOOKUP(B32,'Dados Meteorológicos'!$1:$988,50,0)</f>
        <v/>
      </c>
      <c r="BB32" s="62" t="str">
        <f>VLOOKUP(B32,'Dados Meteorológicos'!$1:$988,51,0)</f>
        <v/>
      </c>
      <c r="BC32" s="62" t="str">
        <f>VLOOKUP(B32,'Dados Meteorológicos'!$1:$988,52,0)</f>
        <v/>
      </c>
      <c r="BD32" s="14" t="str">
        <f>VLOOKUP(B32,'Dados Meteorológicos'!$1:$988,53,0)</f>
        <v/>
      </c>
      <c r="BE32" s="62"/>
      <c r="BF32" s="63">
        <f t="shared" ref="BF32:BN32" si="33">AVERAGE(R32,AB32,AL32,AV32)</f>
        <v>31.59</v>
      </c>
      <c r="BG32" s="63">
        <f t="shared" si="33"/>
        <v>22.425</v>
      </c>
      <c r="BH32" s="63">
        <f t="shared" si="33"/>
        <v>57.5</v>
      </c>
      <c r="BI32" s="63">
        <f t="shared" si="33"/>
        <v>33.08</v>
      </c>
      <c r="BJ32" s="63">
        <f t="shared" si="33"/>
        <v>200.3</v>
      </c>
      <c r="BK32" s="63">
        <f t="shared" si="33"/>
        <v>2.14</v>
      </c>
      <c r="BL32" s="63">
        <f t="shared" si="33"/>
        <v>25.85</v>
      </c>
      <c r="BM32" s="63">
        <f t="shared" si="33"/>
        <v>46.11</v>
      </c>
      <c r="BN32" s="63">
        <f t="shared" si="33"/>
        <v>30.475</v>
      </c>
    </row>
    <row r="33">
      <c r="A33" s="64">
        <v>32.0</v>
      </c>
      <c r="B33" s="89" t="s">
        <v>1689</v>
      </c>
      <c r="C33" s="88">
        <v>50.0</v>
      </c>
      <c r="D33" s="78">
        <v>48.0</v>
      </c>
      <c r="E33" s="55">
        <f t="shared" si="2"/>
        <v>98</v>
      </c>
      <c r="F33" s="74">
        <v>45830.0</v>
      </c>
      <c r="G33" s="66" t="s">
        <v>1646</v>
      </c>
      <c r="H33" s="75">
        <v>0.9166666666666666</v>
      </c>
      <c r="I33" s="75">
        <v>0.875</v>
      </c>
      <c r="J33" s="59" t="str">
        <f t="shared" si="3"/>
        <v>Evening</v>
      </c>
      <c r="K33" s="66" t="s">
        <v>376</v>
      </c>
      <c r="L33" s="66" t="s">
        <v>1647</v>
      </c>
      <c r="M33" s="69"/>
      <c r="N33" s="70" t="s">
        <v>1648</v>
      </c>
      <c r="O33" s="62">
        <f>VLOOKUP(B33,'Dados Meteorológicos'!$1:$988,12,0)</f>
        <v>33.75</v>
      </c>
      <c r="P33" s="62">
        <f>VLOOKUP(B33,'Dados Meteorológicos'!$1:$988,13,0)</f>
        <v>-84.5</v>
      </c>
      <c r="Q33" s="62">
        <f>VLOOKUP(B33,'Dados Meteorológicos'!$1:$988,14,0)</f>
        <v>2</v>
      </c>
      <c r="R33" s="62">
        <f>VLOOKUP(B33,'Dados Meteorológicos'!$1:$988,15,0)</f>
        <v>27.13</v>
      </c>
      <c r="S33" s="62">
        <f>VLOOKUP(B33,'Dados Meteorológicos'!$1:$988,16,0)</f>
        <v>20.51</v>
      </c>
      <c r="T33" s="62">
        <f>VLOOKUP(B33,'Dados Meteorológicos'!$1:$988,17,0)</f>
        <v>67</v>
      </c>
      <c r="U33" s="62">
        <f>VLOOKUP(B33,'Dados Meteorológicos'!$1:$988,18,0)</f>
        <v>25.93</v>
      </c>
      <c r="V33" s="62">
        <f>VLOOKUP(B33,'Dados Meteorológicos'!$1:$988,19,0)</f>
        <v>0</v>
      </c>
      <c r="W33" s="62">
        <f>VLOOKUP(B33,'Dados Meteorológicos'!$1:$988,20,0)</f>
        <v>1.25</v>
      </c>
      <c r="X33" s="62">
        <f>VLOOKUP(B33,'Dados Meteorológicos'!$1:$988,21,0)</f>
        <v>23.67</v>
      </c>
      <c r="Y33" s="62">
        <f>VLOOKUP(B33,'Dados Meteorológicos'!$1:$988,22,0)</f>
        <v>41.61</v>
      </c>
      <c r="Z33" s="62">
        <f>VLOOKUP(B33,'Dados Meteorológicos'!$1:$988,23,0)</f>
        <v>27.6</v>
      </c>
      <c r="AA33" s="62">
        <f>VLOOKUP(B33,'Dados Meteorológicos'!$1:$988,24,0)</f>
        <v>3</v>
      </c>
      <c r="AB33" s="62">
        <f>VLOOKUP(B33,'Dados Meteorológicos'!$1:$988,25,0)</f>
        <v>26.2</v>
      </c>
      <c r="AC33" s="62">
        <f>VLOOKUP(B33,'Dados Meteorológicos'!$1:$988,26,0)</f>
        <v>20.14</v>
      </c>
      <c r="AD33" s="62">
        <f>VLOOKUP(B33,'Dados Meteorológicos'!$1:$988,27,0)</f>
        <v>69</v>
      </c>
      <c r="AE33" s="62">
        <f>VLOOKUP(B33,'Dados Meteorológicos'!$1:$988,28,0)</f>
        <v>24.63</v>
      </c>
      <c r="AF33" s="62">
        <f>VLOOKUP(B33,'Dados Meteorológicos'!$1:$988,29,0)</f>
        <v>0</v>
      </c>
      <c r="AG33" s="62">
        <f>VLOOKUP(B33,'Dados Meteorológicos'!$1:$988,30,0)</f>
        <v>1.1</v>
      </c>
      <c r="AH33" s="62">
        <f>VLOOKUP(B33,'Dados Meteorológicos'!$1:$988,31,0)</f>
        <v>23.21</v>
      </c>
      <c r="AI33" s="62">
        <f>VLOOKUP(B33,'Dados Meteorológicos'!$1:$988,32,0)</f>
        <v>40.68</v>
      </c>
      <c r="AJ33" s="62">
        <f>VLOOKUP(B33,'Dados Meteorológicos'!$1:$988,33,0)</f>
        <v>27</v>
      </c>
      <c r="AK33" s="62" t="str">
        <f>VLOOKUP(B33,'Dados Meteorológicos'!$1:$988,34,0)</f>
        <v/>
      </c>
      <c r="AL33" s="62" t="str">
        <f>VLOOKUP(B33,'Dados Meteorológicos'!$1:$988,35,0)</f>
        <v/>
      </c>
      <c r="AM33" s="62" t="str">
        <f>VLOOKUP(B33,'Dados Meteorológicos'!$1:$988,36,0)</f>
        <v/>
      </c>
      <c r="AN33" s="62" t="str">
        <f>VLOOKUP(B33,'Dados Meteorológicos'!$1:$988,37,0)</f>
        <v/>
      </c>
      <c r="AO33" s="62" t="str">
        <f>VLOOKUP(B33,'Dados Meteorológicos'!$1:$988,38,0)</f>
        <v/>
      </c>
      <c r="AP33" s="62" t="str">
        <f>VLOOKUP(B33,'Dados Meteorológicos'!$1:$988,39,0)</f>
        <v/>
      </c>
      <c r="AQ33" s="62" t="str">
        <f>VLOOKUP(B33,'Dados Meteorológicos'!$1:$988,40,0)</f>
        <v/>
      </c>
      <c r="AR33" s="62" t="str">
        <f>VLOOKUP(B33,'Dados Meteorológicos'!$1:$988,41,0)</f>
        <v/>
      </c>
      <c r="AS33" s="62" t="str">
        <f>VLOOKUP(B33,'Dados Meteorológicos'!$1:$988,42,0)</f>
        <v/>
      </c>
      <c r="AT33" s="62" t="str">
        <f>VLOOKUP(B33,'Dados Meteorológicos'!$1:$988,43,0)</f>
        <v/>
      </c>
      <c r="AU33" s="62" t="str">
        <f>VLOOKUP(B33,'Dados Meteorológicos'!$1:$988,44,0)</f>
        <v/>
      </c>
      <c r="AV33" s="62" t="str">
        <f>VLOOKUP(B33,'Dados Meteorológicos'!$1:$988,45,0)</f>
        <v/>
      </c>
      <c r="AW33" s="62" t="str">
        <f>VLOOKUP(B33,'Dados Meteorológicos'!$1:$988,46,0)</f>
        <v/>
      </c>
      <c r="AX33" s="62" t="str">
        <f>VLOOKUP(B33,'Dados Meteorológicos'!$1:$988,47,0)</f>
        <v/>
      </c>
      <c r="AY33" s="62" t="str">
        <f>VLOOKUP(B33,'Dados Meteorológicos'!$1:$988,48,0)</f>
        <v/>
      </c>
      <c r="AZ33" s="62" t="str">
        <f>VLOOKUP(B33,'Dados Meteorológicos'!$1:$988,49,0)</f>
        <v/>
      </c>
      <c r="BA33" s="62" t="str">
        <f>VLOOKUP(B33,'Dados Meteorológicos'!$1:$988,50,0)</f>
        <v/>
      </c>
      <c r="BB33" s="62" t="str">
        <f>VLOOKUP(B33,'Dados Meteorológicos'!$1:$988,51,0)</f>
        <v/>
      </c>
      <c r="BC33" s="62" t="str">
        <f>VLOOKUP(B33,'Dados Meteorológicos'!$1:$988,52,0)</f>
        <v/>
      </c>
      <c r="BD33" s="14" t="str">
        <f>VLOOKUP(B33,'Dados Meteorológicos'!$1:$988,53,0)</f>
        <v/>
      </c>
      <c r="BE33" s="62"/>
      <c r="BF33" s="63">
        <f t="shared" ref="BF33:BN33" si="34">AVERAGE(R33,AB33,AL33,AV33)</f>
        <v>26.665</v>
      </c>
      <c r="BG33" s="63">
        <f t="shared" si="34"/>
        <v>20.325</v>
      </c>
      <c r="BH33" s="63">
        <f t="shared" si="34"/>
        <v>68</v>
      </c>
      <c r="BI33" s="63">
        <f t="shared" si="34"/>
        <v>25.28</v>
      </c>
      <c r="BJ33" s="63">
        <f t="shared" si="34"/>
        <v>0</v>
      </c>
      <c r="BK33" s="63">
        <f t="shared" si="34"/>
        <v>1.175</v>
      </c>
      <c r="BL33" s="63">
        <f t="shared" si="34"/>
        <v>23.44</v>
      </c>
      <c r="BM33" s="63">
        <f t="shared" si="34"/>
        <v>41.145</v>
      </c>
      <c r="BN33" s="63">
        <f t="shared" si="34"/>
        <v>27.3</v>
      </c>
    </row>
    <row r="34">
      <c r="A34" s="2">
        <v>33.0</v>
      </c>
      <c r="B34" s="89" t="s">
        <v>1690</v>
      </c>
      <c r="C34" s="78">
        <v>46.0</v>
      </c>
      <c r="D34" s="88">
        <v>50.0</v>
      </c>
      <c r="E34" s="55">
        <f t="shared" si="2"/>
        <v>96</v>
      </c>
      <c r="F34" s="74">
        <v>45831.0</v>
      </c>
      <c r="G34" s="72" t="s">
        <v>1643</v>
      </c>
      <c r="H34" s="75">
        <v>0.6666666666666666</v>
      </c>
      <c r="I34" s="75">
        <v>0.5</v>
      </c>
      <c r="J34" s="59" t="str">
        <f t="shared" si="3"/>
        <v>Afternoon</v>
      </c>
      <c r="K34" s="72" t="s">
        <v>312</v>
      </c>
      <c r="L34" s="72" t="s">
        <v>1630</v>
      </c>
      <c r="M34" s="76"/>
      <c r="N34" s="70" t="s">
        <v>1644</v>
      </c>
      <c r="O34" s="62">
        <f>VLOOKUP(B34,'Dados Meteorológicos'!$1:$988,12,0)</f>
        <v>47.5</v>
      </c>
      <c r="P34" s="62">
        <f>VLOOKUP(B34,'Dados Meteorológicos'!$1:$988,13,0)</f>
        <v>-122.25</v>
      </c>
      <c r="Q34" s="62">
        <f>VLOOKUP(B34,'Dados Meteorológicos'!$1:$988,14,0)</f>
        <v>20</v>
      </c>
      <c r="R34" s="62">
        <f>VLOOKUP(B34,'Dados Meteorológicos'!$1:$988,15,0)</f>
        <v>20.09</v>
      </c>
      <c r="S34" s="62">
        <f>VLOOKUP(B34,'Dados Meteorológicos'!$1:$988,16,0)</f>
        <v>11.76</v>
      </c>
      <c r="T34" s="62">
        <f>VLOOKUP(B34,'Dados Meteorológicos'!$1:$988,17,0)</f>
        <v>58</v>
      </c>
      <c r="U34" s="62">
        <f>VLOOKUP(B34,'Dados Meteorológicos'!$1:$988,18,0)</f>
        <v>17.37</v>
      </c>
      <c r="V34" s="62">
        <f>VLOOKUP(B34,'Dados Meteorológicos'!$1:$988,19,0)</f>
        <v>841.8</v>
      </c>
      <c r="W34" s="62">
        <f>VLOOKUP(B34,'Dados Meteorológicos'!$1:$988,20,0)</f>
        <v>1.05</v>
      </c>
      <c r="X34" s="62">
        <f>VLOOKUP(B34,'Dados Meteorológicos'!$1:$988,21,0)</f>
        <v>17.79</v>
      </c>
      <c r="Y34" s="62">
        <f>VLOOKUP(B34,'Dados Meteorológicos'!$1:$988,22,0)</f>
        <v>31.45</v>
      </c>
      <c r="Z34" s="62">
        <f>VLOOKUP(B34,'Dados Meteorológicos'!$1:$988,23,0)</f>
        <v>20.75</v>
      </c>
      <c r="AA34" s="62">
        <f>VLOOKUP(B34,'Dados Meteorológicos'!$1:$988,24,0)</f>
        <v>21</v>
      </c>
      <c r="AB34" s="62">
        <f>VLOOKUP(B34,'Dados Meteorológicos'!$1:$988,25,0)</f>
        <v>21.01</v>
      </c>
      <c r="AC34" s="62">
        <f>VLOOKUP(B34,'Dados Meteorológicos'!$1:$988,26,0)</f>
        <v>12.23</v>
      </c>
      <c r="AD34" s="62">
        <f>VLOOKUP(B34,'Dados Meteorológicos'!$1:$988,27,0)</f>
        <v>57</v>
      </c>
      <c r="AE34" s="62">
        <f>VLOOKUP(B34,'Dados Meteorológicos'!$1:$988,28,0)</f>
        <v>18.33</v>
      </c>
      <c r="AF34" s="62">
        <f>VLOOKUP(B34,'Dados Meteorológicos'!$1:$988,29,0)</f>
        <v>849.2</v>
      </c>
      <c r="AG34" s="62">
        <f>VLOOKUP(B34,'Dados Meteorológicos'!$1:$988,30,0)</f>
        <v>1.05</v>
      </c>
      <c r="AH34" s="62">
        <f>VLOOKUP(B34,'Dados Meteorológicos'!$1:$988,31,0)</f>
        <v>18.31</v>
      </c>
      <c r="AI34" s="62">
        <f>VLOOKUP(B34,'Dados Meteorológicos'!$1:$988,32,0)</f>
        <v>32.59</v>
      </c>
      <c r="AJ34" s="62">
        <f>VLOOKUP(B34,'Dados Meteorológicos'!$1:$988,33,0)</f>
        <v>21.44</v>
      </c>
      <c r="AK34" s="62" t="str">
        <f>VLOOKUP(B34,'Dados Meteorológicos'!$1:$988,34,0)</f>
        <v/>
      </c>
      <c r="AL34" s="62" t="str">
        <f>VLOOKUP(B34,'Dados Meteorológicos'!$1:$988,35,0)</f>
        <v/>
      </c>
      <c r="AM34" s="62" t="str">
        <f>VLOOKUP(B34,'Dados Meteorológicos'!$1:$988,36,0)</f>
        <v/>
      </c>
      <c r="AN34" s="62" t="str">
        <f>VLOOKUP(B34,'Dados Meteorológicos'!$1:$988,37,0)</f>
        <v/>
      </c>
      <c r="AO34" s="62" t="str">
        <f>VLOOKUP(B34,'Dados Meteorológicos'!$1:$988,38,0)</f>
        <v/>
      </c>
      <c r="AP34" s="62" t="str">
        <f>VLOOKUP(B34,'Dados Meteorológicos'!$1:$988,39,0)</f>
        <v/>
      </c>
      <c r="AQ34" s="62" t="str">
        <f>VLOOKUP(B34,'Dados Meteorológicos'!$1:$988,40,0)</f>
        <v/>
      </c>
      <c r="AR34" s="62" t="str">
        <f>VLOOKUP(B34,'Dados Meteorológicos'!$1:$988,41,0)</f>
        <v/>
      </c>
      <c r="AS34" s="62" t="str">
        <f>VLOOKUP(B34,'Dados Meteorológicos'!$1:$988,42,0)</f>
        <v/>
      </c>
      <c r="AT34" s="62" t="str">
        <f>VLOOKUP(B34,'Dados Meteorológicos'!$1:$988,43,0)</f>
        <v/>
      </c>
      <c r="AU34" s="62" t="str">
        <f>VLOOKUP(B34,'Dados Meteorológicos'!$1:$988,44,0)</f>
        <v/>
      </c>
      <c r="AV34" s="62" t="str">
        <f>VLOOKUP(B34,'Dados Meteorológicos'!$1:$988,45,0)</f>
        <v/>
      </c>
      <c r="AW34" s="62" t="str">
        <f>VLOOKUP(B34,'Dados Meteorológicos'!$1:$988,46,0)</f>
        <v/>
      </c>
      <c r="AX34" s="62" t="str">
        <f>VLOOKUP(B34,'Dados Meteorológicos'!$1:$988,47,0)</f>
        <v/>
      </c>
      <c r="AY34" s="62" t="str">
        <f>VLOOKUP(B34,'Dados Meteorológicos'!$1:$988,48,0)</f>
        <v/>
      </c>
      <c r="AZ34" s="62" t="str">
        <f>VLOOKUP(B34,'Dados Meteorológicos'!$1:$988,49,0)</f>
        <v/>
      </c>
      <c r="BA34" s="62" t="str">
        <f>VLOOKUP(B34,'Dados Meteorológicos'!$1:$988,50,0)</f>
        <v/>
      </c>
      <c r="BB34" s="62" t="str">
        <f>VLOOKUP(B34,'Dados Meteorológicos'!$1:$988,51,0)</f>
        <v/>
      </c>
      <c r="BC34" s="62" t="str">
        <f>VLOOKUP(B34,'Dados Meteorológicos'!$1:$988,52,0)</f>
        <v/>
      </c>
      <c r="BD34" s="14" t="str">
        <f>VLOOKUP(B34,'Dados Meteorológicos'!$1:$988,53,0)</f>
        <v/>
      </c>
      <c r="BE34" s="62"/>
      <c r="BF34" s="63">
        <f t="shared" ref="BF34:BN34" si="35">AVERAGE(R34,AB34,AL34,AV34)</f>
        <v>20.55</v>
      </c>
      <c r="BG34" s="63">
        <f t="shared" si="35"/>
        <v>11.995</v>
      </c>
      <c r="BH34" s="63">
        <f t="shared" si="35"/>
        <v>57.5</v>
      </c>
      <c r="BI34" s="63">
        <f t="shared" si="35"/>
        <v>17.85</v>
      </c>
      <c r="BJ34" s="63">
        <f t="shared" si="35"/>
        <v>845.5</v>
      </c>
      <c r="BK34" s="63">
        <f t="shared" si="35"/>
        <v>1.05</v>
      </c>
      <c r="BL34" s="63">
        <f t="shared" si="35"/>
        <v>18.05</v>
      </c>
      <c r="BM34" s="63">
        <f t="shared" si="35"/>
        <v>32.02</v>
      </c>
      <c r="BN34" s="63">
        <f t="shared" si="35"/>
        <v>21.095</v>
      </c>
    </row>
    <row r="35">
      <c r="A35" s="2">
        <v>34.0</v>
      </c>
      <c r="B35" s="71" t="s">
        <v>1691</v>
      </c>
      <c r="C35" s="73">
        <v>52.0</v>
      </c>
      <c r="D35" s="72">
        <v>51.0</v>
      </c>
      <c r="E35" s="55">
        <f t="shared" si="2"/>
        <v>103</v>
      </c>
      <c r="F35" s="74">
        <v>45831.0</v>
      </c>
      <c r="G35" s="72" t="s">
        <v>1636</v>
      </c>
      <c r="H35" s="75">
        <v>0.6666666666666666</v>
      </c>
      <c r="I35" s="75">
        <v>0.5</v>
      </c>
      <c r="J35" s="59" t="str">
        <f t="shared" si="3"/>
        <v>Afternoon</v>
      </c>
      <c r="K35" s="72" t="s">
        <v>1637</v>
      </c>
      <c r="L35" s="72" t="s">
        <v>1630</v>
      </c>
      <c r="M35" s="76"/>
      <c r="N35" s="70" t="s">
        <v>1638</v>
      </c>
      <c r="O35" s="62">
        <f>VLOOKUP(B35,'Dados Meteorológicos'!$1:$988,12,0)</f>
        <v>34.25</v>
      </c>
      <c r="P35" s="62">
        <f>VLOOKUP(B35,'Dados Meteorológicos'!$1:$988,13,0)</f>
        <v>-118.25</v>
      </c>
      <c r="Q35" s="62">
        <f>VLOOKUP(B35,'Dados Meteorológicos'!$1:$988,14,0)</f>
        <v>20</v>
      </c>
      <c r="R35" s="62">
        <f>VLOOKUP(B35,'Dados Meteorológicos'!$1:$988,15,0)</f>
        <v>24.12</v>
      </c>
      <c r="S35" s="62">
        <f>VLOOKUP(B35,'Dados Meteorológicos'!$1:$988,16,0)</f>
        <v>10.39</v>
      </c>
      <c r="T35" s="62">
        <f>VLOOKUP(B35,'Dados Meteorológicos'!$1:$988,17,0)</f>
        <v>41</v>
      </c>
      <c r="U35" s="62">
        <f>VLOOKUP(B35,'Dados Meteorológicos'!$1:$988,18,0)</f>
        <v>21.91</v>
      </c>
      <c r="V35" s="62">
        <f>VLOOKUP(B35,'Dados Meteorológicos'!$1:$988,19,0)</f>
        <v>1021.5</v>
      </c>
      <c r="W35" s="62">
        <f>VLOOKUP(B35,'Dados Meteorológicos'!$1:$988,20,0)</f>
        <v>2.48</v>
      </c>
      <c r="X35" s="62">
        <f>VLOOKUP(B35,'Dados Meteorológicos'!$1:$988,21,0)</f>
        <v>18.27</v>
      </c>
      <c r="Y35" s="62">
        <f>VLOOKUP(B35,'Dados Meteorológicos'!$1:$988,22,0)</f>
        <v>34.11</v>
      </c>
      <c r="Z35" s="62">
        <f>VLOOKUP(B35,'Dados Meteorológicos'!$1:$988,23,0)</f>
        <v>22.02</v>
      </c>
      <c r="AA35" s="62">
        <f>VLOOKUP(B35,'Dados Meteorológicos'!$1:$988,24,0)</f>
        <v>21</v>
      </c>
      <c r="AB35" s="62">
        <f>VLOOKUP(B35,'Dados Meteorológicos'!$1:$988,25,0)</f>
        <v>24.26</v>
      </c>
      <c r="AC35" s="62">
        <f>VLOOKUP(B35,'Dados Meteorológicos'!$1:$988,26,0)</f>
        <v>10.22</v>
      </c>
      <c r="AD35" s="62">
        <f>VLOOKUP(B35,'Dados Meteorológicos'!$1:$988,27,0)</f>
        <v>41</v>
      </c>
      <c r="AE35" s="62">
        <f>VLOOKUP(B35,'Dados Meteorológicos'!$1:$988,28,0)</f>
        <v>22.08</v>
      </c>
      <c r="AF35" s="62">
        <f>VLOOKUP(B35,'Dados Meteorológicos'!$1:$988,29,0)</f>
        <v>1017.8</v>
      </c>
      <c r="AG35" s="62">
        <f>VLOOKUP(B35,'Dados Meteorológicos'!$1:$988,30,0)</f>
        <v>2.69</v>
      </c>
      <c r="AH35" s="62">
        <f>VLOOKUP(B35,'Dados Meteorológicos'!$1:$988,31,0)</f>
        <v>18.19</v>
      </c>
      <c r="AI35" s="62">
        <f>VLOOKUP(B35,'Dados Meteorológicos'!$1:$988,32,0)</f>
        <v>34.03</v>
      </c>
      <c r="AJ35" s="62">
        <f>VLOOKUP(B35,'Dados Meteorológicos'!$1:$988,33,0)</f>
        <v>21.96</v>
      </c>
      <c r="AK35" s="62" t="str">
        <f>VLOOKUP(B35,'Dados Meteorológicos'!$1:$988,34,0)</f>
        <v/>
      </c>
      <c r="AL35" s="62" t="str">
        <f>VLOOKUP(B35,'Dados Meteorológicos'!$1:$988,35,0)</f>
        <v/>
      </c>
      <c r="AM35" s="62" t="str">
        <f>VLOOKUP(B35,'Dados Meteorológicos'!$1:$988,36,0)</f>
        <v/>
      </c>
      <c r="AN35" s="62" t="str">
        <f>VLOOKUP(B35,'Dados Meteorológicos'!$1:$988,37,0)</f>
        <v/>
      </c>
      <c r="AO35" s="62" t="str">
        <f>VLOOKUP(B35,'Dados Meteorológicos'!$1:$988,38,0)</f>
        <v/>
      </c>
      <c r="AP35" s="62" t="str">
        <f>VLOOKUP(B35,'Dados Meteorológicos'!$1:$988,39,0)</f>
        <v/>
      </c>
      <c r="AQ35" s="62" t="str">
        <f>VLOOKUP(B35,'Dados Meteorológicos'!$1:$988,40,0)</f>
        <v/>
      </c>
      <c r="AR35" s="62" t="str">
        <f>VLOOKUP(B35,'Dados Meteorológicos'!$1:$988,41,0)</f>
        <v/>
      </c>
      <c r="AS35" s="62" t="str">
        <f>VLOOKUP(B35,'Dados Meteorológicos'!$1:$988,42,0)</f>
        <v/>
      </c>
      <c r="AT35" s="62" t="str">
        <f>VLOOKUP(B35,'Dados Meteorológicos'!$1:$988,43,0)</f>
        <v/>
      </c>
      <c r="AU35" s="62" t="str">
        <f>VLOOKUP(B35,'Dados Meteorológicos'!$1:$988,44,0)</f>
        <v/>
      </c>
      <c r="AV35" s="62" t="str">
        <f>VLOOKUP(B35,'Dados Meteorológicos'!$1:$988,45,0)</f>
        <v/>
      </c>
      <c r="AW35" s="62" t="str">
        <f>VLOOKUP(B35,'Dados Meteorológicos'!$1:$988,46,0)</f>
        <v/>
      </c>
      <c r="AX35" s="62" t="str">
        <f>VLOOKUP(B35,'Dados Meteorológicos'!$1:$988,47,0)</f>
        <v/>
      </c>
      <c r="AY35" s="62" t="str">
        <f>VLOOKUP(B35,'Dados Meteorológicos'!$1:$988,48,0)</f>
        <v/>
      </c>
      <c r="AZ35" s="62" t="str">
        <f>VLOOKUP(B35,'Dados Meteorológicos'!$1:$988,49,0)</f>
        <v/>
      </c>
      <c r="BA35" s="62" t="str">
        <f>VLOOKUP(B35,'Dados Meteorológicos'!$1:$988,50,0)</f>
        <v/>
      </c>
      <c r="BB35" s="62" t="str">
        <f>VLOOKUP(B35,'Dados Meteorológicos'!$1:$988,51,0)</f>
        <v/>
      </c>
      <c r="BC35" s="62" t="str">
        <f>VLOOKUP(B35,'Dados Meteorológicos'!$1:$988,52,0)</f>
        <v/>
      </c>
      <c r="BD35" s="14" t="str">
        <f>VLOOKUP(B35,'Dados Meteorológicos'!$1:$988,53,0)</f>
        <v/>
      </c>
      <c r="BE35" s="62"/>
      <c r="BF35" s="63">
        <f t="shared" ref="BF35:BN35" si="36">AVERAGE(R35,AB35,AL35,AV35)</f>
        <v>24.19</v>
      </c>
      <c r="BG35" s="63">
        <f t="shared" si="36"/>
        <v>10.305</v>
      </c>
      <c r="BH35" s="63">
        <f t="shared" si="36"/>
        <v>41</v>
      </c>
      <c r="BI35" s="63">
        <f t="shared" si="36"/>
        <v>21.995</v>
      </c>
      <c r="BJ35" s="63">
        <f t="shared" si="36"/>
        <v>1019.65</v>
      </c>
      <c r="BK35" s="63">
        <f t="shared" si="36"/>
        <v>2.585</v>
      </c>
      <c r="BL35" s="63">
        <f t="shared" si="36"/>
        <v>18.23</v>
      </c>
      <c r="BM35" s="63">
        <f t="shared" si="36"/>
        <v>34.07</v>
      </c>
      <c r="BN35" s="63">
        <f t="shared" si="36"/>
        <v>21.99</v>
      </c>
    </row>
    <row r="36">
      <c r="A36" s="2">
        <v>35.0</v>
      </c>
      <c r="B36" s="77" t="s">
        <v>1692</v>
      </c>
      <c r="C36" s="73">
        <v>47.0</v>
      </c>
      <c r="D36" s="72">
        <v>49.0</v>
      </c>
      <c r="E36" s="55">
        <f t="shared" si="2"/>
        <v>96</v>
      </c>
      <c r="F36" s="74">
        <v>45831.0</v>
      </c>
      <c r="G36" s="78" t="s">
        <v>1629</v>
      </c>
      <c r="H36" s="75">
        <v>0.9166666666666666</v>
      </c>
      <c r="I36" s="75">
        <v>0.875</v>
      </c>
      <c r="J36" s="59" t="str">
        <f t="shared" si="3"/>
        <v>Evening</v>
      </c>
      <c r="K36" s="72" t="s">
        <v>62</v>
      </c>
      <c r="L36" s="72" t="s">
        <v>1630</v>
      </c>
      <c r="M36" s="76"/>
      <c r="N36" s="70" t="s">
        <v>1631</v>
      </c>
      <c r="O36" s="62">
        <f>VLOOKUP(B36,'Dados Meteorológicos'!$1:$988,12,0)</f>
        <v>26</v>
      </c>
      <c r="P36" s="62">
        <f>VLOOKUP(B36,'Dados Meteorológicos'!$1:$988,13,0)</f>
        <v>-80.25</v>
      </c>
      <c r="Q36" s="62">
        <f>VLOOKUP(B36,'Dados Meteorológicos'!$1:$988,14,0)</f>
        <v>2</v>
      </c>
      <c r="R36" s="62">
        <f>VLOOKUP(B36,'Dados Meteorológicos'!$1:$988,15,0)</f>
        <v>27.91</v>
      </c>
      <c r="S36" s="62">
        <f>VLOOKUP(B36,'Dados Meteorológicos'!$1:$988,16,0)</f>
        <v>23.17</v>
      </c>
      <c r="T36" s="62">
        <f>VLOOKUP(B36,'Dados Meteorológicos'!$1:$988,17,0)</f>
        <v>75</v>
      </c>
      <c r="U36" s="62">
        <f>VLOOKUP(B36,'Dados Meteorológicos'!$1:$988,18,0)</f>
        <v>27.07</v>
      </c>
      <c r="V36" s="62">
        <f>VLOOKUP(B36,'Dados Meteorológicos'!$1:$988,19,0)</f>
        <v>0</v>
      </c>
      <c r="W36" s="62">
        <f>VLOOKUP(B36,'Dados Meteorológicos'!$1:$988,20,0)</f>
        <v>2.1</v>
      </c>
      <c r="X36" s="62">
        <f>VLOOKUP(B36,'Dados Meteorológicos'!$1:$988,21,0)</f>
        <v>24.69</v>
      </c>
      <c r="Y36" s="62">
        <f>VLOOKUP(B36,'Dados Meteorológicos'!$1:$988,22,0)</f>
        <v>42.52</v>
      </c>
      <c r="Z36" s="62">
        <f>VLOOKUP(B36,'Dados Meteorológicos'!$1:$988,23,0)</f>
        <v>28.58</v>
      </c>
      <c r="AA36" s="62">
        <f>VLOOKUP(B36,'Dados Meteorológicos'!$1:$988,24,0)</f>
        <v>3</v>
      </c>
      <c r="AB36" s="62">
        <f>VLOOKUP(B36,'Dados Meteorológicos'!$1:$988,25,0)</f>
        <v>27.76</v>
      </c>
      <c r="AC36" s="62">
        <f>VLOOKUP(B36,'Dados Meteorológicos'!$1:$988,26,0)</f>
        <v>23.23</v>
      </c>
      <c r="AD36" s="62">
        <f>VLOOKUP(B36,'Dados Meteorológicos'!$1:$988,27,0)</f>
        <v>76</v>
      </c>
      <c r="AE36" s="62">
        <f>VLOOKUP(B36,'Dados Meteorológicos'!$1:$988,28,0)</f>
        <v>26.86</v>
      </c>
      <c r="AF36" s="62">
        <f>VLOOKUP(B36,'Dados Meteorológicos'!$1:$988,29,0)</f>
        <v>0</v>
      </c>
      <c r="AG36" s="62">
        <f>VLOOKUP(B36,'Dados Meteorológicos'!$1:$988,30,0)</f>
        <v>2.27</v>
      </c>
      <c r="AH36" s="62">
        <f>VLOOKUP(B36,'Dados Meteorológicos'!$1:$988,31,0)</f>
        <v>24.61</v>
      </c>
      <c r="AI36" s="62">
        <f>VLOOKUP(B36,'Dados Meteorológicos'!$1:$988,32,0)</f>
        <v>42.22</v>
      </c>
      <c r="AJ36" s="62">
        <f>VLOOKUP(B36,'Dados Meteorológicos'!$1:$988,33,0)</f>
        <v>28.45</v>
      </c>
      <c r="AK36" s="62" t="str">
        <f>VLOOKUP(B36,'Dados Meteorológicos'!$1:$988,34,0)</f>
        <v/>
      </c>
      <c r="AL36" s="62" t="str">
        <f>VLOOKUP(B36,'Dados Meteorológicos'!$1:$988,35,0)</f>
        <v/>
      </c>
      <c r="AM36" s="62" t="str">
        <f>VLOOKUP(B36,'Dados Meteorológicos'!$1:$988,36,0)</f>
        <v/>
      </c>
      <c r="AN36" s="62" t="str">
        <f>VLOOKUP(B36,'Dados Meteorológicos'!$1:$988,37,0)</f>
        <v/>
      </c>
      <c r="AO36" s="62" t="str">
        <f>VLOOKUP(B36,'Dados Meteorológicos'!$1:$988,38,0)</f>
        <v/>
      </c>
      <c r="AP36" s="62" t="str">
        <f>VLOOKUP(B36,'Dados Meteorológicos'!$1:$988,39,0)</f>
        <v/>
      </c>
      <c r="AQ36" s="62" t="str">
        <f>VLOOKUP(B36,'Dados Meteorológicos'!$1:$988,40,0)</f>
        <v/>
      </c>
      <c r="AR36" s="62" t="str">
        <f>VLOOKUP(B36,'Dados Meteorológicos'!$1:$988,41,0)</f>
        <v/>
      </c>
      <c r="AS36" s="62" t="str">
        <f>VLOOKUP(B36,'Dados Meteorológicos'!$1:$988,42,0)</f>
        <v/>
      </c>
      <c r="AT36" s="62" t="str">
        <f>VLOOKUP(B36,'Dados Meteorológicos'!$1:$988,43,0)</f>
        <v/>
      </c>
      <c r="AU36" s="62" t="str">
        <f>VLOOKUP(B36,'Dados Meteorológicos'!$1:$988,44,0)</f>
        <v/>
      </c>
      <c r="AV36" s="62" t="str">
        <f>VLOOKUP(B36,'Dados Meteorológicos'!$1:$988,45,0)</f>
        <v/>
      </c>
      <c r="AW36" s="62" t="str">
        <f>VLOOKUP(B36,'Dados Meteorológicos'!$1:$988,46,0)</f>
        <v/>
      </c>
      <c r="AX36" s="62" t="str">
        <f>VLOOKUP(B36,'Dados Meteorológicos'!$1:$988,47,0)</f>
        <v/>
      </c>
      <c r="AY36" s="62" t="str">
        <f>VLOOKUP(B36,'Dados Meteorológicos'!$1:$988,48,0)</f>
        <v/>
      </c>
      <c r="AZ36" s="62" t="str">
        <f>VLOOKUP(B36,'Dados Meteorológicos'!$1:$988,49,0)</f>
        <v/>
      </c>
      <c r="BA36" s="62" t="str">
        <f>VLOOKUP(B36,'Dados Meteorológicos'!$1:$988,50,0)</f>
        <v/>
      </c>
      <c r="BB36" s="62" t="str">
        <f>VLOOKUP(B36,'Dados Meteorológicos'!$1:$988,51,0)</f>
        <v/>
      </c>
      <c r="BC36" s="62" t="str">
        <f>VLOOKUP(B36,'Dados Meteorológicos'!$1:$988,52,0)</f>
        <v/>
      </c>
      <c r="BD36" s="14" t="str">
        <f>VLOOKUP(B36,'Dados Meteorológicos'!$1:$988,53,0)</f>
        <v/>
      </c>
      <c r="BE36" s="62"/>
      <c r="BF36" s="63">
        <f t="shared" ref="BF36:BN36" si="37">AVERAGE(R36,AB36,AL36,AV36)</f>
        <v>27.835</v>
      </c>
      <c r="BG36" s="63">
        <f t="shared" si="37"/>
        <v>23.2</v>
      </c>
      <c r="BH36" s="63">
        <f t="shared" si="37"/>
        <v>75.5</v>
      </c>
      <c r="BI36" s="63">
        <f t="shared" si="37"/>
        <v>26.965</v>
      </c>
      <c r="BJ36" s="63">
        <f t="shared" si="37"/>
        <v>0</v>
      </c>
      <c r="BK36" s="63">
        <f t="shared" si="37"/>
        <v>2.185</v>
      </c>
      <c r="BL36" s="63">
        <f t="shared" si="37"/>
        <v>24.65</v>
      </c>
      <c r="BM36" s="63">
        <f t="shared" si="37"/>
        <v>42.37</v>
      </c>
      <c r="BN36" s="63">
        <f t="shared" si="37"/>
        <v>28.515</v>
      </c>
    </row>
    <row r="37">
      <c r="A37" s="2">
        <v>36.0</v>
      </c>
      <c r="B37" s="71" t="s">
        <v>1693</v>
      </c>
      <c r="C37" s="72">
        <v>51.0</v>
      </c>
      <c r="D37" s="72">
        <v>51.0</v>
      </c>
      <c r="E37" s="55">
        <f t="shared" si="2"/>
        <v>102</v>
      </c>
      <c r="F37" s="74">
        <v>45831.0</v>
      </c>
      <c r="G37" s="78" t="s">
        <v>1640</v>
      </c>
      <c r="H37" s="75">
        <v>0.9166666666666666</v>
      </c>
      <c r="I37" s="75">
        <v>0.875</v>
      </c>
      <c r="J37" s="59" t="str">
        <f t="shared" si="3"/>
        <v>Evening</v>
      </c>
      <c r="K37" s="72" t="s">
        <v>249</v>
      </c>
      <c r="L37" s="72" t="s">
        <v>1630</v>
      </c>
      <c r="M37" s="76"/>
      <c r="N37" s="70" t="s">
        <v>1641</v>
      </c>
      <c r="O37" s="62">
        <f>VLOOKUP(B37,'Dados Meteorológicos'!$1:$988,12,0)</f>
        <v>40.75</v>
      </c>
      <c r="P37" s="62">
        <f>VLOOKUP(B37,'Dados Meteorológicos'!$1:$988,13,0)</f>
        <v>-74</v>
      </c>
      <c r="Q37" s="62">
        <f>VLOOKUP(B37,'Dados Meteorológicos'!$1:$988,14,0)</f>
        <v>2</v>
      </c>
      <c r="R37" s="62">
        <f>VLOOKUP(B37,'Dados Meteorológicos'!$1:$988,15,0)</f>
        <v>30.38</v>
      </c>
      <c r="S37" s="62">
        <f>VLOOKUP(B37,'Dados Meteorológicos'!$1:$988,16,0)</f>
        <v>25.56</v>
      </c>
      <c r="T37" s="62">
        <f>VLOOKUP(B37,'Dados Meteorológicos'!$1:$988,17,0)</f>
        <v>75</v>
      </c>
      <c r="U37" s="62">
        <f>VLOOKUP(B37,'Dados Meteorológicos'!$1:$988,18,0)</f>
        <v>30.99</v>
      </c>
      <c r="V37" s="62">
        <f>VLOOKUP(B37,'Dados Meteorológicos'!$1:$988,19,0)</f>
        <v>0</v>
      </c>
      <c r="W37" s="62">
        <f>VLOOKUP(B37,'Dados Meteorológicos'!$1:$988,20,0)</f>
        <v>1.66</v>
      </c>
      <c r="X37" s="62">
        <f>VLOOKUP(B37,'Dados Meteorológicos'!$1:$988,21,0)</f>
        <v>26.66</v>
      </c>
      <c r="Y37" s="62">
        <f>VLOOKUP(B37,'Dados Meteorológicos'!$1:$988,22,0)</f>
        <v>46.37</v>
      </c>
      <c r="Z37" s="62">
        <f>VLOOKUP(B37,'Dados Meteorológicos'!$1:$988,23,0)</f>
        <v>30.97</v>
      </c>
      <c r="AA37" s="62">
        <f>VLOOKUP(B37,'Dados Meteorológicos'!$1:$988,24,0)</f>
        <v>3</v>
      </c>
      <c r="AB37" s="62">
        <f>VLOOKUP(B37,'Dados Meteorológicos'!$1:$988,25,0)</f>
        <v>30.16</v>
      </c>
      <c r="AC37" s="62">
        <f>VLOOKUP(B37,'Dados Meteorológicos'!$1:$988,26,0)</f>
        <v>25.7</v>
      </c>
      <c r="AD37" s="62">
        <f>VLOOKUP(B37,'Dados Meteorológicos'!$1:$988,27,0)</f>
        <v>77</v>
      </c>
      <c r="AE37" s="62">
        <f>VLOOKUP(B37,'Dados Meteorológicos'!$1:$988,28,0)</f>
        <v>30.62</v>
      </c>
      <c r="AF37" s="62">
        <f>VLOOKUP(B37,'Dados Meteorológicos'!$1:$988,29,0)</f>
        <v>0</v>
      </c>
      <c r="AG37" s="62">
        <f>VLOOKUP(B37,'Dados Meteorológicos'!$1:$988,30,0)</f>
        <v>1.4</v>
      </c>
      <c r="AH37" s="62">
        <f>VLOOKUP(B37,'Dados Meteorológicos'!$1:$988,31,0)</f>
        <v>26.68</v>
      </c>
      <c r="AI37" s="62">
        <f>VLOOKUP(B37,'Dados Meteorológicos'!$1:$988,32,0)</f>
        <v>46.47</v>
      </c>
      <c r="AJ37" s="62">
        <f>VLOOKUP(B37,'Dados Meteorológicos'!$1:$988,33,0)</f>
        <v>30.98</v>
      </c>
      <c r="AK37" s="62" t="str">
        <f>VLOOKUP(B37,'Dados Meteorológicos'!$1:$988,34,0)</f>
        <v/>
      </c>
      <c r="AL37" s="62" t="str">
        <f>VLOOKUP(B37,'Dados Meteorológicos'!$1:$988,35,0)</f>
        <v/>
      </c>
      <c r="AM37" s="62" t="str">
        <f>VLOOKUP(B37,'Dados Meteorológicos'!$1:$988,36,0)</f>
        <v/>
      </c>
      <c r="AN37" s="62" t="str">
        <f>VLOOKUP(B37,'Dados Meteorológicos'!$1:$988,37,0)</f>
        <v/>
      </c>
      <c r="AO37" s="62" t="str">
        <f>VLOOKUP(B37,'Dados Meteorológicos'!$1:$988,38,0)</f>
        <v/>
      </c>
      <c r="AP37" s="62" t="str">
        <f>VLOOKUP(B37,'Dados Meteorológicos'!$1:$988,39,0)</f>
        <v/>
      </c>
      <c r="AQ37" s="62" t="str">
        <f>VLOOKUP(B37,'Dados Meteorológicos'!$1:$988,40,0)</f>
        <v/>
      </c>
      <c r="AR37" s="62" t="str">
        <f>VLOOKUP(B37,'Dados Meteorológicos'!$1:$988,41,0)</f>
        <v/>
      </c>
      <c r="AS37" s="62" t="str">
        <f>VLOOKUP(B37,'Dados Meteorológicos'!$1:$988,42,0)</f>
        <v/>
      </c>
      <c r="AT37" s="62" t="str">
        <f>VLOOKUP(B37,'Dados Meteorológicos'!$1:$988,43,0)</f>
        <v/>
      </c>
      <c r="AU37" s="62" t="str">
        <f>VLOOKUP(B37,'Dados Meteorológicos'!$1:$988,44,0)</f>
        <v/>
      </c>
      <c r="AV37" s="62" t="str">
        <f>VLOOKUP(B37,'Dados Meteorológicos'!$1:$988,45,0)</f>
        <v/>
      </c>
      <c r="AW37" s="62" t="str">
        <f>VLOOKUP(B37,'Dados Meteorológicos'!$1:$988,46,0)</f>
        <v/>
      </c>
      <c r="AX37" s="62" t="str">
        <f>VLOOKUP(B37,'Dados Meteorológicos'!$1:$988,47,0)</f>
        <v/>
      </c>
      <c r="AY37" s="62" t="str">
        <f>VLOOKUP(B37,'Dados Meteorológicos'!$1:$988,48,0)</f>
        <v/>
      </c>
      <c r="AZ37" s="62" t="str">
        <f>VLOOKUP(B37,'Dados Meteorológicos'!$1:$988,49,0)</f>
        <v/>
      </c>
      <c r="BA37" s="62" t="str">
        <f>VLOOKUP(B37,'Dados Meteorológicos'!$1:$988,50,0)</f>
        <v/>
      </c>
      <c r="BB37" s="62" t="str">
        <f>VLOOKUP(B37,'Dados Meteorológicos'!$1:$988,51,0)</f>
        <v/>
      </c>
      <c r="BC37" s="62" t="str">
        <f>VLOOKUP(B37,'Dados Meteorológicos'!$1:$988,52,0)</f>
        <v/>
      </c>
      <c r="BD37" s="14" t="str">
        <f>VLOOKUP(B37,'Dados Meteorológicos'!$1:$988,53,0)</f>
        <v/>
      </c>
      <c r="BE37" s="62"/>
      <c r="BF37" s="63">
        <f t="shared" ref="BF37:BN37" si="38">AVERAGE(R37,AB37,AL37,AV37)</f>
        <v>30.27</v>
      </c>
      <c r="BG37" s="63">
        <f t="shared" si="38"/>
        <v>25.63</v>
      </c>
      <c r="BH37" s="63">
        <f t="shared" si="38"/>
        <v>76</v>
      </c>
      <c r="BI37" s="63">
        <f t="shared" si="38"/>
        <v>30.805</v>
      </c>
      <c r="BJ37" s="63">
        <f t="shared" si="38"/>
        <v>0</v>
      </c>
      <c r="BK37" s="63">
        <f t="shared" si="38"/>
        <v>1.53</v>
      </c>
      <c r="BL37" s="63">
        <f t="shared" si="38"/>
        <v>26.67</v>
      </c>
      <c r="BM37" s="63">
        <f t="shared" si="38"/>
        <v>46.42</v>
      </c>
      <c r="BN37" s="63">
        <f t="shared" si="38"/>
        <v>30.975</v>
      </c>
    </row>
    <row r="38">
      <c r="A38" s="64">
        <v>37.0</v>
      </c>
      <c r="B38" s="80" t="s">
        <v>1694</v>
      </c>
      <c r="C38" s="82">
        <v>50.0</v>
      </c>
      <c r="D38" s="82">
        <v>51.0</v>
      </c>
      <c r="E38" s="55">
        <f t="shared" si="2"/>
        <v>101</v>
      </c>
      <c r="F38" s="83">
        <v>45832.0</v>
      </c>
      <c r="G38" s="82" t="s">
        <v>1676</v>
      </c>
      <c r="H38" s="84">
        <v>0.6666666666666666</v>
      </c>
      <c r="I38" s="84">
        <v>0.5833333333333334</v>
      </c>
      <c r="J38" s="59" t="str">
        <f t="shared" si="3"/>
        <v>Afternoon</v>
      </c>
      <c r="K38" s="82" t="s">
        <v>1677</v>
      </c>
      <c r="L38" s="82" t="s">
        <v>1630</v>
      </c>
      <c r="M38" s="102" t="s">
        <v>1695</v>
      </c>
      <c r="N38" s="61" t="s">
        <v>1696</v>
      </c>
      <c r="O38" s="62">
        <f>VLOOKUP(B38,'Dados Meteorológicos'!$1:$988,12,0)</f>
        <v>36.25</v>
      </c>
      <c r="P38" s="62">
        <f>VLOOKUP(B38,'Dados Meteorológicos'!$1:$988,13,0)</f>
        <v>-86.75</v>
      </c>
      <c r="Q38" s="62">
        <f>VLOOKUP(B38,'Dados Meteorológicos'!$1:$988,14,0)</f>
        <v>20</v>
      </c>
      <c r="R38" s="62">
        <f>VLOOKUP(B38,'Dados Meteorológicos'!$1:$988,15,0)</f>
        <v>33.62</v>
      </c>
      <c r="S38" s="62">
        <f>VLOOKUP(B38,'Dados Meteorológicos'!$1:$988,16,0)</f>
        <v>22.38</v>
      </c>
      <c r="T38" s="62">
        <f>VLOOKUP(B38,'Dados Meteorológicos'!$1:$988,17,0)</f>
        <v>51</v>
      </c>
      <c r="U38" s="62">
        <f>VLOOKUP(B38,'Dados Meteorológicos'!$1:$988,18,0)</f>
        <v>36.83</v>
      </c>
      <c r="V38" s="62">
        <f>VLOOKUP(B38,'Dados Meteorológicos'!$1:$988,19,0)</f>
        <v>701.1</v>
      </c>
      <c r="W38" s="62">
        <f>VLOOKUP(B38,'Dados Meteorológicos'!$1:$988,20,0)</f>
        <v>0.49</v>
      </c>
      <c r="X38" s="62">
        <f>VLOOKUP(B38,'Dados Meteorológicos'!$1:$988,21,0)</f>
        <v>26.99</v>
      </c>
      <c r="Y38" s="62">
        <f>VLOOKUP(B38,'Dados Meteorológicos'!$1:$988,22,0)</f>
        <v>50.04</v>
      </c>
      <c r="Z38" s="62">
        <f>VLOOKUP(B38,'Dados Meteorológicos'!$1:$988,23,0)</f>
        <v>32.26</v>
      </c>
      <c r="AA38" s="62">
        <f>VLOOKUP(B38,'Dados Meteorológicos'!$1:$988,24,0)</f>
        <v>21</v>
      </c>
      <c r="AB38" s="62">
        <f>VLOOKUP(B38,'Dados Meteorológicos'!$1:$988,25,0)</f>
        <v>32.82</v>
      </c>
      <c r="AC38" s="62">
        <f>VLOOKUP(B38,'Dados Meteorológicos'!$1:$988,26,0)</f>
        <v>22.29</v>
      </c>
      <c r="AD38" s="62">
        <f>VLOOKUP(B38,'Dados Meteorológicos'!$1:$988,27,0)</f>
        <v>53</v>
      </c>
      <c r="AE38" s="62">
        <f>VLOOKUP(B38,'Dados Meteorológicos'!$1:$988,28,0)</f>
        <v>35.3</v>
      </c>
      <c r="AF38" s="62">
        <f>VLOOKUP(B38,'Dados Meteorológicos'!$1:$988,29,0)</f>
        <v>671.6</v>
      </c>
      <c r="AG38" s="62">
        <f>VLOOKUP(B38,'Dados Meteorológicos'!$1:$988,30,0)</f>
        <v>0.34</v>
      </c>
      <c r="AH38" s="62">
        <f>VLOOKUP(B38,'Dados Meteorológicos'!$1:$988,31,0)</f>
        <v>26.71</v>
      </c>
      <c r="AI38" s="62">
        <f>VLOOKUP(B38,'Dados Meteorológicos'!$1:$988,32,0)</f>
        <v>49.27</v>
      </c>
      <c r="AJ38" s="62">
        <f>VLOOKUP(B38,'Dados Meteorológicos'!$1:$988,33,0)</f>
        <v>31.83</v>
      </c>
      <c r="AK38" s="62">
        <f>VLOOKUP(B38,'Dados Meteorológicos'!$1:$988,34,0)</f>
        <v>22</v>
      </c>
      <c r="AL38" s="62">
        <f>VLOOKUP(B38,'Dados Meteorológicos'!$1:$988,35,0)</f>
        <v>31.53</v>
      </c>
      <c r="AM38" s="62">
        <f>VLOOKUP(B38,'Dados Meteorológicos'!$1:$988,36,0)</f>
        <v>23.86</v>
      </c>
      <c r="AN38" s="62">
        <f>VLOOKUP(B38,'Dados Meteorológicos'!$1:$988,37,0)</f>
        <v>63</v>
      </c>
      <c r="AO38" s="62">
        <f>VLOOKUP(B38,'Dados Meteorológicos'!$1:$988,38,0)</f>
        <v>32.95</v>
      </c>
      <c r="AP38" s="62">
        <f>VLOOKUP(B38,'Dados Meteorológicos'!$1:$988,39,0)</f>
        <v>506.4</v>
      </c>
      <c r="AQ38" s="62">
        <f>VLOOKUP(B38,'Dados Meteorológicos'!$1:$988,40,0)</f>
        <v>0.69</v>
      </c>
      <c r="AR38" s="62">
        <f>VLOOKUP(B38,'Dados Meteorológicos'!$1:$988,41,0)</f>
        <v>26.76</v>
      </c>
      <c r="AS38" s="62">
        <f>VLOOKUP(B38,'Dados Meteorológicos'!$1:$988,42,0)</f>
        <v>47.97</v>
      </c>
      <c r="AT38" s="62">
        <f>VLOOKUP(B38,'Dados Meteorológicos'!$1:$988,43,0)</f>
        <v>31.48</v>
      </c>
      <c r="AU38" s="62" t="str">
        <f>VLOOKUP(B38,'Dados Meteorológicos'!$1:$988,44,0)</f>
        <v/>
      </c>
      <c r="AV38" s="62" t="str">
        <f>VLOOKUP(B38,'Dados Meteorológicos'!$1:$988,45,0)</f>
        <v/>
      </c>
      <c r="AW38" s="62" t="str">
        <f>VLOOKUP(B38,'Dados Meteorológicos'!$1:$988,46,0)</f>
        <v/>
      </c>
      <c r="AX38" s="62" t="str">
        <f>VLOOKUP(B38,'Dados Meteorológicos'!$1:$988,47,0)</f>
        <v/>
      </c>
      <c r="AY38" s="62" t="str">
        <f>VLOOKUP(B38,'Dados Meteorológicos'!$1:$988,48,0)</f>
        <v/>
      </c>
      <c r="AZ38" s="62" t="str">
        <f>VLOOKUP(B38,'Dados Meteorológicos'!$1:$988,49,0)</f>
        <v/>
      </c>
      <c r="BA38" s="62" t="str">
        <f>VLOOKUP(B38,'Dados Meteorológicos'!$1:$988,50,0)</f>
        <v/>
      </c>
      <c r="BB38" s="62" t="str">
        <f>VLOOKUP(B38,'Dados Meteorológicos'!$1:$988,51,0)</f>
        <v/>
      </c>
      <c r="BC38" s="62" t="str">
        <f>VLOOKUP(B38,'Dados Meteorológicos'!$1:$988,52,0)</f>
        <v/>
      </c>
      <c r="BD38" s="14" t="str">
        <f>VLOOKUP(B38,'Dados Meteorológicos'!$1:$988,53,0)</f>
        <v/>
      </c>
      <c r="BE38" s="62"/>
      <c r="BF38" s="63">
        <f t="shared" ref="BF38:BN38" si="39">AVERAGE(R38,AB38,AL38,AV38)</f>
        <v>32.65666667</v>
      </c>
      <c r="BG38" s="63">
        <f t="shared" si="39"/>
        <v>22.84333333</v>
      </c>
      <c r="BH38" s="63">
        <f t="shared" si="39"/>
        <v>55.66666667</v>
      </c>
      <c r="BI38" s="63">
        <f t="shared" si="39"/>
        <v>35.02666667</v>
      </c>
      <c r="BJ38" s="63">
        <f t="shared" si="39"/>
        <v>626.3666667</v>
      </c>
      <c r="BK38" s="63">
        <f t="shared" si="39"/>
        <v>0.5066666667</v>
      </c>
      <c r="BL38" s="63">
        <f t="shared" si="39"/>
        <v>26.82</v>
      </c>
      <c r="BM38" s="63">
        <f t="shared" si="39"/>
        <v>49.09333333</v>
      </c>
      <c r="BN38" s="63">
        <f t="shared" si="39"/>
        <v>31.85666667</v>
      </c>
    </row>
    <row r="39">
      <c r="A39" s="64">
        <v>38.0</v>
      </c>
      <c r="B39" s="79" t="s">
        <v>1697</v>
      </c>
      <c r="C39" s="82">
        <v>49.0</v>
      </c>
      <c r="D39" s="66">
        <v>53.0</v>
      </c>
      <c r="E39" s="55">
        <f t="shared" si="2"/>
        <v>102</v>
      </c>
      <c r="F39" s="67">
        <v>45832.0</v>
      </c>
      <c r="G39" s="66" t="s">
        <v>1686</v>
      </c>
      <c r="H39" s="68">
        <v>0.6666666666666666</v>
      </c>
      <c r="I39" s="68">
        <v>0.625</v>
      </c>
      <c r="J39" s="59" t="str">
        <f t="shared" si="3"/>
        <v>Afternoon</v>
      </c>
      <c r="K39" s="66" t="s">
        <v>1200</v>
      </c>
      <c r="L39" s="66" t="s">
        <v>1630</v>
      </c>
      <c r="M39" s="69"/>
      <c r="N39" s="70" t="s">
        <v>1687</v>
      </c>
      <c r="O39" s="62">
        <f>VLOOKUP(B39,'Dados Meteorológicos'!$1:$988,12,0)</f>
        <v>35.25</v>
      </c>
      <c r="P39" s="62">
        <f>VLOOKUP(B39,'Dados Meteorológicos'!$1:$988,13,0)</f>
        <v>-80.75</v>
      </c>
      <c r="Q39" s="62">
        <f>VLOOKUP(B39,'Dados Meteorológicos'!$1:$988,14,0)</f>
        <v>20</v>
      </c>
      <c r="R39" s="62">
        <f>VLOOKUP(B39,'Dados Meteorológicos'!$1:$988,15,0)</f>
        <v>37.36</v>
      </c>
      <c r="S39" s="62">
        <f>VLOOKUP(B39,'Dados Meteorológicos'!$1:$988,16,0)</f>
        <v>19.75</v>
      </c>
      <c r="T39" s="62">
        <f>VLOOKUP(B39,'Dados Meteorológicos'!$1:$988,17,0)</f>
        <v>35</v>
      </c>
      <c r="U39" s="62">
        <f>VLOOKUP(B39,'Dados Meteorológicos'!$1:$988,18,0)</f>
        <v>44.75</v>
      </c>
      <c r="V39" s="62">
        <f>VLOOKUP(B39,'Dados Meteorológicos'!$1:$988,19,0)</f>
        <v>676.3</v>
      </c>
      <c r="W39" s="62">
        <f>VLOOKUP(B39,'Dados Meteorológicos'!$1:$988,20,0)</f>
        <v>2.08</v>
      </c>
      <c r="X39" s="62">
        <f>VLOOKUP(B39,'Dados Meteorológicos'!$1:$988,21,0)</f>
        <v>26.61</v>
      </c>
      <c r="Y39" s="62">
        <f>VLOOKUP(B39,'Dados Meteorológicos'!$1:$988,22,0)</f>
        <v>52.22</v>
      </c>
      <c r="Z39" s="62">
        <f>VLOOKUP(B39,'Dados Meteorológicos'!$1:$988,23,0)</f>
        <v>32.81</v>
      </c>
      <c r="AA39" s="62">
        <f>VLOOKUP(B39,'Dados Meteorológicos'!$1:$988,24,0)</f>
        <v>21</v>
      </c>
      <c r="AB39" s="62">
        <f>VLOOKUP(B39,'Dados Meteorológicos'!$1:$988,25,0)</f>
        <v>37.38</v>
      </c>
      <c r="AC39" s="62">
        <f>VLOOKUP(B39,'Dados Meteorológicos'!$1:$988,26,0)</f>
        <v>19.35</v>
      </c>
      <c r="AD39" s="62">
        <f>VLOOKUP(B39,'Dados Meteorológicos'!$1:$988,27,0)</f>
        <v>34</v>
      </c>
      <c r="AE39" s="62">
        <f>VLOOKUP(B39,'Dados Meteorológicos'!$1:$988,28,0)</f>
        <v>44.8</v>
      </c>
      <c r="AF39" s="62">
        <f>VLOOKUP(B39,'Dados Meteorológicos'!$1:$988,29,0)</f>
        <v>567.9</v>
      </c>
      <c r="AG39" s="62">
        <f>VLOOKUP(B39,'Dados Meteorológicos'!$1:$988,30,0)</f>
        <v>1.31</v>
      </c>
      <c r="AH39" s="62">
        <f>VLOOKUP(B39,'Dados Meteorológicos'!$1:$988,31,0)</f>
        <v>26.64</v>
      </c>
      <c r="AI39" s="62">
        <f>VLOOKUP(B39,'Dados Meteorológicos'!$1:$988,32,0)</f>
        <v>52.96</v>
      </c>
      <c r="AJ39" s="62">
        <f>VLOOKUP(B39,'Dados Meteorológicos'!$1:$988,33,0)</f>
        <v>32.98</v>
      </c>
      <c r="AK39" s="62" t="str">
        <f>VLOOKUP(B39,'Dados Meteorológicos'!$1:$988,34,0)</f>
        <v/>
      </c>
      <c r="AL39" s="62" t="str">
        <f>VLOOKUP(B39,'Dados Meteorológicos'!$1:$988,35,0)</f>
        <v/>
      </c>
      <c r="AM39" s="62" t="str">
        <f>VLOOKUP(B39,'Dados Meteorológicos'!$1:$988,36,0)</f>
        <v/>
      </c>
      <c r="AN39" s="62" t="str">
        <f>VLOOKUP(B39,'Dados Meteorológicos'!$1:$988,37,0)</f>
        <v/>
      </c>
      <c r="AO39" s="62" t="str">
        <f>VLOOKUP(B39,'Dados Meteorológicos'!$1:$988,38,0)</f>
        <v/>
      </c>
      <c r="AP39" s="62" t="str">
        <f>VLOOKUP(B39,'Dados Meteorológicos'!$1:$988,39,0)</f>
        <v/>
      </c>
      <c r="AQ39" s="62" t="str">
        <f>VLOOKUP(B39,'Dados Meteorológicos'!$1:$988,40,0)</f>
        <v/>
      </c>
      <c r="AR39" s="62" t="str">
        <f>VLOOKUP(B39,'Dados Meteorológicos'!$1:$988,41,0)</f>
        <v/>
      </c>
      <c r="AS39" s="62" t="str">
        <f>VLOOKUP(B39,'Dados Meteorológicos'!$1:$988,42,0)</f>
        <v/>
      </c>
      <c r="AT39" s="62" t="str">
        <f>VLOOKUP(B39,'Dados Meteorológicos'!$1:$988,43,0)</f>
        <v/>
      </c>
      <c r="AU39" s="62" t="str">
        <f>VLOOKUP(B39,'Dados Meteorológicos'!$1:$988,44,0)</f>
        <v/>
      </c>
      <c r="AV39" s="62" t="str">
        <f>VLOOKUP(B39,'Dados Meteorológicos'!$1:$988,45,0)</f>
        <v/>
      </c>
      <c r="AW39" s="62" t="str">
        <f>VLOOKUP(B39,'Dados Meteorológicos'!$1:$988,46,0)</f>
        <v/>
      </c>
      <c r="AX39" s="62" t="str">
        <f>VLOOKUP(B39,'Dados Meteorológicos'!$1:$988,47,0)</f>
        <v/>
      </c>
      <c r="AY39" s="62" t="str">
        <f>VLOOKUP(B39,'Dados Meteorológicos'!$1:$988,48,0)</f>
        <v/>
      </c>
      <c r="AZ39" s="62" t="str">
        <f>VLOOKUP(B39,'Dados Meteorológicos'!$1:$988,49,0)</f>
        <v/>
      </c>
      <c r="BA39" s="62" t="str">
        <f>VLOOKUP(B39,'Dados Meteorológicos'!$1:$988,50,0)</f>
        <v/>
      </c>
      <c r="BB39" s="62" t="str">
        <f>VLOOKUP(B39,'Dados Meteorológicos'!$1:$988,51,0)</f>
        <v/>
      </c>
      <c r="BC39" s="62" t="str">
        <f>VLOOKUP(B39,'Dados Meteorológicos'!$1:$988,52,0)</f>
        <v/>
      </c>
      <c r="BD39" s="14" t="str">
        <f>VLOOKUP(B39,'Dados Meteorológicos'!$1:$988,53,0)</f>
        <v/>
      </c>
      <c r="BE39" s="62"/>
      <c r="BF39" s="63">
        <f t="shared" ref="BF39:BN39" si="40">AVERAGE(R39,AB39,AL39,AV39)</f>
        <v>37.37</v>
      </c>
      <c r="BG39" s="63">
        <f t="shared" si="40"/>
        <v>19.55</v>
      </c>
      <c r="BH39" s="63">
        <f t="shared" si="40"/>
        <v>34.5</v>
      </c>
      <c r="BI39" s="63">
        <f t="shared" si="40"/>
        <v>44.775</v>
      </c>
      <c r="BJ39" s="63">
        <f t="shared" si="40"/>
        <v>622.1</v>
      </c>
      <c r="BK39" s="63">
        <f t="shared" si="40"/>
        <v>1.695</v>
      </c>
      <c r="BL39" s="63">
        <f t="shared" si="40"/>
        <v>26.625</v>
      </c>
      <c r="BM39" s="63">
        <f t="shared" si="40"/>
        <v>52.59</v>
      </c>
      <c r="BN39" s="63">
        <f t="shared" si="40"/>
        <v>32.895</v>
      </c>
    </row>
    <row r="40">
      <c r="A40" s="64">
        <v>39.0</v>
      </c>
      <c r="B40" s="70" t="s">
        <v>1698</v>
      </c>
      <c r="C40" s="66">
        <v>49.0</v>
      </c>
      <c r="D40" s="66">
        <v>49.0</v>
      </c>
      <c r="E40" s="55">
        <f t="shared" si="2"/>
        <v>98</v>
      </c>
      <c r="F40" s="67">
        <v>45832.0</v>
      </c>
      <c r="G40" s="66" t="s">
        <v>1656</v>
      </c>
      <c r="H40" s="68">
        <v>0.9166666666666666</v>
      </c>
      <c r="I40" s="68">
        <v>0.875</v>
      </c>
      <c r="J40" s="59" t="str">
        <f t="shared" si="3"/>
        <v>Evening</v>
      </c>
      <c r="K40" s="66" t="s">
        <v>1269</v>
      </c>
      <c r="L40" s="66" t="s">
        <v>1630</v>
      </c>
      <c r="M40" s="69"/>
      <c r="N40" s="70" t="s">
        <v>1699</v>
      </c>
      <c r="O40" s="62">
        <f>VLOOKUP(B40,'Dados Meteorológicos'!$1:$988,12,0)</f>
        <v>28.5</v>
      </c>
      <c r="P40" s="62">
        <f>VLOOKUP(B40,'Dados Meteorológicos'!$1:$988,13,0)</f>
        <v>-81.5</v>
      </c>
      <c r="Q40" s="62">
        <f>VLOOKUP(B40,'Dados Meteorológicos'!$1:$988,14,0)</f>
        <v>2</v>
      </c>
      <c r="R40" s="62">
        <f>VLOOKUP(B40,'Dados Meteorológicos'!$1:$988,15,0)</f>
        <v>27.25</v>
      </c>
      <c r="S40" s="62">
        <f>VLOOKUP(B40,'Dados Meteorológicos'!$1:$988,16,0)</f>
        <v>23.14</v>
      </c>
      <c r="T40" s="62">
        <f>VLOOKUP(B40,'Dados Meteorológicos'!$1:$988,17,0)</f>
        <v>78</v>
      </c>
      <c r="U40" s="62">
        <f>VLOOKUP(B40,'Dados Meteorológicos'!$1:$988,18,0)</f>
        <v>26.1</v>
      </c>
      <c r="V40" s="62">
        <f>VLOOKUP(B40,'Dados Meteorológicos'!$1:$988,19,0)</f>
        <v>0</v>
      </c>
      <c r="W40" s="62">
        <f>VLOOKUP(B40,'Dados Meteorológicos'!$1:$988,20,0)</f>
        <v>1.09</v>
      </c>
      <c r="X40" s="62">
        <f>VLOOKUP(B40,'Dados Meteorológicos'!$1:$988,21,0)</f>
        <v>24.67</v>
      </c>
      <c r="Y40" s="62">
        <f>VLOOKUP(B40,'Dados Meteorológicos'!$1:$988,22,0)</f>
        <v>42.88</v>
      </c>
      <c r="Z40" s="62">
        <f>VLOOKUP(B40,'Dados Meteorológicos'!$1:$988,23,0)</f>
        <v>28.57</v>
      </c>
      <c r="AA40" s="62">
        <f>VLOOKUP(B40,'Dados Meteorológicos'!$1:$988,24,0)</f>
        <v>3</v>
      </c>
      <c r="AB40" s="62">
        <f>VLOOKUP(B40,'Dados Meteorológicos'!$1:$988,25,0)</f>
        <v>27.04</v>
      </c>
      <c r="AC40" s="62">
        <f>VLOOKUP(B40,'Dados Meteorológicos'!$1:$988,26,0)</f>
        <v>23.21</v>
      </c>
      <c r="AD40" s="62">
        <f>VLOOKUP(B40,'Dados Meteorológicos'!$1:$988,27,0)</f>
        <v>79</v>
      </c>
      <c r="AE40" s="62">
        <f>VLOOKUP(B40,'Dados Meteorológicos'!$1:$988,28,0)</f>
        <v>25.81</v>
      </c>
      <c r="AF40" s="62">
        <f>VLOOKUP(B40,'Dados Meteorológicos'!$1:$988,29,0)</f>
        <v>0</v>
      </c>
      <c r="AG40" s="62">
        <f>VLOOKUP(B40,'Dados Meteorológicos'!$1:$988,30,0)</f>
        <v>1.11</v>
      </c>
      <c r="AH40" s="62">
        <f>VLOOKUP(B40,'Dados Meteorológicos'!$1:$988,31,0)</f>
        <v>24.6</v>
      </c>
      <c r="AI40" s="62">
        <f>VLOOKUP(B40,'Dados Meteorológicos'!$1:$988,32,0)</f>
        <v>42.69</v>
      </c>
      <c r="AJ40" s="62">
        <f>VLOOKUP(B40,'Dados Meteorológicos'!$1:$988,33,0)</f>
        <v>28.46</v>
      </c>
      <c r="AK40" s="62" t="str">
        <f>VLOOKUP(B40,'Dados Meteorológicos'!$1:$988,34,0)</f>
        <v/>
      </c>
      <c r="AL40" s="62" t="str">
        <f>VLOOKUP(B40,'Dados Meteorológicos'!$1:$988,35,0)</f>
        <v/>
      </c>
      <c r="AM40" s="62" t="str">
        <f>VLOOKUP(B40,'Dados Meteorológicos'!$1:$988,36,0)</f>
        <v/>
      </c>
      <c r="AN40" s="62" t="str">
        <f>VLOOKUP(B40,'Dados Meteorológicos'!$1:$988,37,0)</f>
        <v/>
      </c>
      <c r="AO40" s="62" t="str">
        <f>VLOOKUP(B40,'Dados Meteorológicos'!$1:$988,38,0)</f>
        <v/>
      </c>
      <c r="AP40" s="62" t="str">
        <f>VLOOKUP(B40,'Dados Meteorológicos'!$1:$988,39,0)</f>
        <v/>
      </c>
      <c r="AQ40" s="62" t="str">
        <f>VLOOKUP(B40,'Dados Meteorológicos'!$1:$988,40,0)</f>
        <v/>
      </c>
      <c r="AR40" s="62" t="str">
        <f>VLOOKUP(B40,'Dados Meteorológicos'!$1:$988,41,0)</f>
        <v/>
      </c>
      <c r="AS40" s="62" t="str">
        <f>VLOOKUP(B40,'Dados Meteorológicos'!$1:$988,42,0)</f>
        <v/>
      </c>
      <c r="AT40" s="62" t="str">
        <f>VLOOKUP(B40,'Dados Meteorológicos'!$1:$988,43,0)</f>
        <v/>
      </c>
      <c r="AU40" s="62" t="str">
        <f>VLOOKUP(B40,'Dados Meteorológicos'!$1:$988,44,0)</f>
        <v/>
      </c>
      <c r="AV40" s="62" t="str">
        <f>VLOOKUP(B40,'Dados Meteorológicos'!$1:$988,45,0)</f>
        <v/>
      </c>
      <c r="AW40" s="62" t="str">
        <f>VLOOKUP(B40,'Dados Meteorológicos'!$1:$988,46,0)</f>
        <v/>
      </c>
      <c r="AX40" s="62" t="str">
        <f>VLOOKUP(B40,'Dados Meteorológicos'!$1:$988,47,0)</f>
        <v/>
      </c>
      <c r="AY40" s="62" t="str">
        <f>VLOOKUP(B40,'Dados Meteorológicos'!$1:$988,48,0)</f>
        <v/>
      </c>
      <c r="AZ40" s="62" t="str">
        <f>VLOOKUP(B40,'Dados Meteorológicos'!$1:$988,49,0)</f>
        <v/>
      </c>
      <c r="BA40" s="62" t="str">
        <f>VLOOKUP(B40,'Dados Meteorológicos'!$1:$988,50,0)</f>
        <v/>
      </c>
      <c r="BB40" s="62" t="str">
        <f>VLOOKUP(B40,'Dados Meteorológicos'!$1:$988,51,0)</f>
        <v/>
      </c>
      <c r="BC40" s="62" t="str">
        <f>VLOOKUP(B40,'Dados Meteorológicos'!$1:$988,52,0)</f>
        <v/>
      </c>
      <c r="BD40" s="14" t="str">
        <f>VLOOKUP(B40,'Dados Meteorológicos'!$1:$988,53,0)</f>
        <v/>
      </c>
      <c r="BE40" s="62"/>
      <c r="BF40" s="63">
        <f t="shared" ref="BF40:BN40" si="41">AVERAGE(R40,AB40,AL40,AV40)</f>
        <v>27.145</v>
      </c>
      <c r="BG40" s="63">
        <f t="shared" si="41"/>
        <v>23.175</v>
      </c>
      <c r="BH40" s="63">
        <f t="shared" si="41"/>
        <v>78.5</v>
      </c>
      <c r="BI40" s="63">
        <f t="shared" si="41"/>
        <v>25.955</v>
      </c>
      <c r="BJ40" s="63">
        <f t="shared" si="41"/>
        <v>0</v>
      </c>
      <c r="BK40" s="63">
        <f t="shared" si="41"/>
        <v>1.1</v>
      </c>
      <c r="BL40" s="63">
        <f t="shared" si="41"/>
        <v>24.635</v>
      </c>
      <c r="BM40" s="63">
        <f t="shared" si="41"/>
        <v>42.785</v>
      </c>
      <c r="BN40" s="63">
        <f t="shared" si="41"/>
        <v>28.515</v>
      </c>
    </row>
    <row r="41">
      <c r="A41" s="64">
        <v>40.0</v>
      </c>
      <c r="B41" s="70" t="s">
        <v>1700</v>
      </c>
      <c r="C41" s="66">
        <v>50.0</v>
      </c>
      <c r="D41" s="66">
        <v>52.0</v>
      </c>
      <c r="E41" s="55">
        <f t="shared" si="2"/>
        <v>102</v>
      </c>
      <c r="F41" s="67">
        <v>45832.0</v>
      </c>
      <c r="G41" s="66" t="s">
        <v>1651</v>
      </c>
      <c r="H41" s="68">
        <v>0.9166666666666666</v>
      </c>
      <c r="I41" s="68">
        <v>0.875</v>
      </c>
      <c r="J41" s="59" t="str">
        <f t="shared" si="3"/>
        <v>Evening</v>
      </c>
      <c r="K41" s="66" t="s">
        <v>500</v>
      </c>
      <c r="L41" s="66" t="s">
        <v>1630</v>
      </c>
      <c r="M41" s="69"/>
      <c r="N41" s="70" t="s">
        <v>1652</v>
      </c>
      <c r="O41" s="62">
        <f>VLOOKUP(B41,'Dados Meteorológicos'!$1:$988,12,0)</f>
        <v>40</v>
      </c>
      <c r="P41" s="62">
        <f>VLOOKUP(B41,'Dados Meteorológicos'!$1:$988,13,0)</f>
        <v>-75.25</v>
      </c>
      <c r="Q41" s="62">
        <f>VLOOKUP(B41,'Dados Meteorológicos'!$1:$988,14,0)</f>
        <v>2</v>
      </c>
      <c r="R41" s="62">
        <f>VLOOKUP(B41,'Dados Meteorológicos'!$1:$988,15,0)</f>
        <v>30.53</v>
      </c>
      <c r="S41" s="62">
        <f>VLOOKUP(B41,'Dados Meteorológicos'!$1:$988,16,0)</f>
        <v>20.15</v>
      </c>
      <c r="T41" s="62">
        <f>VLOOKUP(B41,'Dados Meteorológicos'!$1:$988,17,0)</f>
        <v>53</v>
      </c>
      <c r="U41" s="62">
        <f>VLOOKUP(B41,'Dados Meteorológicos'!$1:$988,18,0)</f>
        <v>31.24</v>
      </c>
      <c r="V41" s="62">
        <f>VLOOKUP(B41,'Dados Meteorológicos'!$1:$988,19,0)</f>
        <v>0</v>
      </c>
      <c r="W41" s="62">
        <f>VLOOKUP(B41,'Dados Meteorológicos'!$1:$988,20,0)</f>
        <v>1.86</v>
      </c>
      <c r="X41" s="62">
        <f>VLOOKUP(B41,'Dados Meteorológicos'!$1:$988,21,0)</f>
        <v>24.65</v>
      </c>
      <c r="Y41" s="62">
        <f>VLOOKUP(B41,'Dados Meteorológicos'!$1:$988,22,0)</f>
        <v>44.57</v>
      </c>
      <c r="Z41" s="62">
        <f>VLOOKUP(B41,'Dados Meteorológicos'!$1:$988,23,0)</f>
        <v>29.22</v>
      </c>
      <c r="AA41" s="62">
        <f>VLOOKUP(B41,'Dados Meteorológicos'!$1:$988,24,0)</f>
        <v>3</v>
      </c>
      <c r="AB41" s="62">
        <f>VLOOKUP(B41,'Dados Meteorológicos'!$1:$988,25,0)</f>
        <v>29.82</v>
      </c>
      <c r="AC41" s="62">
        <f>VLOOKUP(B41,'Dados Meteorológicos'!$1:$988,26,0)</f>
        <v>20.14</v>
      </c>
      <c r="AD41" s="62">
        <f>VLOOKUP(B41,'Dados Meteorológicos'!$1:$988,27,0)</f>
        <v>56</v>
      </c>
      <c r="AE41" s="62">
        <f>VLOOKUP(B41,'Dados Meteorológicos'!$1:$988,28,0)</f>
        <v>30.06</v>
      </c>
      <c r="AF41" s="62">
        <f>VLOOKUP(B41,'Dados Meteorológicos'!$1:$988,29,0)</f>
        <v>0</v>
      </c>
      <c r="AG41" s="62">
        <f>VLOOKUP(B41,'Dados Meteorológicos'!$1:$988,30,0)</f>
        <v>1.86</v>
      </c>
      <c r="AH41" s="62">
        <f>VLOOKUP(B41,'Dados Meteorológicos'!$1:$988,31,0)</f>
        <v>24.39</v>
      </c>
      <c r="AI41" s="62">
        <f>VLOOKUP(B41,'Dados Meteorológicos'!$1:$988,32,0)</f>
        <v>43.77</v>
      </c>
      <c r="AJ41" s="62">
        <f>VLOOKUP(B41,'Dados Meteorológicos'!$1:$988,33,0)</f>
        <v>28.81</v>
      </c>
      <c r="AK41" s="62" t="str">
        <f>VLOOKUP(B41,'Dados Meteorológicos'!$1:$988,34,0)</f>
        <v/>
      </c>
      <c r="AL41" s="62" t="str">
        <f>VLOOKUP(B41,'Dados Meteorológicos'!$1:$988,35,0)</f>
        <v/>
      </c>
      <c r="AM41" s="62" t="str">
        <f>VLOOKUP(B41,'Dados Meteorológicos'!$1:$988,36,0)</f>
        <v/>
      </c>
      <c r="AN41" s="62" t="str">
        <f>VLOOKUP(B41,'Dados Meteorológicos'!$1:$988,37,0)</f>
        <v/>
      </c>
      <c r="AO41" s="62" t="str">
        <f>VLOOKUP(B41,'Dados Meteorológicos'!$1:$988,38,0)</f>
        <v/>
      </c>
      <c r="AP41" s="62" t="str">
        <f>VLOOKUP(B41,'Dados Meteorológicos'!$1:$988,39,0)</f>
        <v/>
      </c>
      <c r="AQ41" s="62" t="str">
        <f>VLOOKUP(B41,'Dados Meteorológicos'!$1:$988,40,0)</f>
        <v/>
      </c>
      <c r="AR41" s="62" t="str">
        <f>VLOOKUP(B41,'Dados Meteorológicos'!$1:$988,41,0)</f>
        <v/>
      </c>
      <c r="AS41" s="62" t="str">
        <f>VLOOKUP(B41,'Dados Meteorológicos'!$1:$988,42,0)</f>
        <v/>
      </c>
      <c r="AT41" s="62" t="str">
        <f>VLOOKUP(B41,'Dados Meteorológicos'!$1:$988,43,0)</f>
        <v/>
      </c>
      <c r="AU41" s="62" t="str">
        <f>VLOOKUP(B41,'Dados Meteorológicos'!$1:$988,44,0)</f>
        <v/>
      </c>
      <c r="AV41" s="62" t="str">
        <f>VLOOKUP(B41,'Dados Meteorológicos'!$1:$988,45,0)</f>
        <v/>
      </c>
      <c r="AW41" s="62" t="str">
        <f>VLOOKUP(B41,'Dados Meteorológicos'!$1:$988,46,0)</f>
        <v/>
      </c>
      <c r="AX41" s="62" t="str">
        <f>VLOOKUP(B41,'Dados Meteorológicos'!$1:$988,47,0)</f>
        <v/>
      </c>
      <c r="AY41" s="62" t="str">
        <f>VLOOKUP(B41,'Dados Meteorológicos'!$1:$988,48,0)</f>
        <v/>
      </c>
      <c r="AZ41" s="62" t="str">
        <f>VLOOKUP(B41,'Dados Meteorológicos'!$1:$988,49,0)</f>
        <v/>
      </c>
      <c r="BA41" s="62" t="str">
        <f>VLOOKUP(B41,'Dados Meteorológicos'!$1:$988,50,0)</f>
        <v/>
      </c>
      <c r="BB41" s="62" t="str">
        <f>VLOOKUP(B41,'Dados Meteorológicos'!$1:$988,51,0)</f>
        <v/>
      </c>
      <c r="BC41" s="62" t="str">
        <f>VLOOKUP(B41,'Dados Meteorológicos'!$1:$988,52,0)</f>
        <v/>
      </c>
      <c r="BD41" s="14" t="str">
        <f>VLOOKUP(B41,'Dados Meteorológicos'!$1:$988,53,0)</f>
        <v/>
      </c>
      <c r="BE41" s="62"/>
      <c r="BF41" s="63">
        <f t="shared" ref="BF41:BN41" si="42">AVERAGE(R41,AB41,AL41,AV41)</f>
        <v>30.175</v>
      </c>
      <c r="BG41" s="63">
        <f t="shared" si="42"/>
        <v>20.145</v>
      </c>
      <c r="BH41" s="63">
        <f t="shared" si="42"/>
        <v>54.5</v>
      </c>
      <c r="BI41" s="63">
        <f t="shared" si="42"/>
        <v>30.65</v>
      </c>
      <c r="BJ41" s="63">
        <f t="shared" si="42"/>
        <v>0</v>
      </c>
      <c r="BK41" s="63">
        <f t="shared" si="42"/>
        <v>1.86</v>
      </c>
      <c r="BL41" s="63">
        <f t="shared" si="42"/>
        <v>24.52</v>
      </c>
      <c r="BM41" s="63">
        <f t="shared" si="42"/>
        <v>44.17</v>
      </c>
      <c r="BN41" s="63">
        <f t="shared" si="42"/>
        <v>29.015</v>
      </c>
    </row>
    <row r="42">
      <c r="A42" s="64">
        <v>41.0</v>
      </c>
      <c r="B42" s="89" t="s">
        <v>1701</v>
      </c>
      <c r="C42" s="78">
        <v>48.0</v>
      </c>
      <c r="D42" s="78">
        <v>49.0</v>
      </c>
      <c r="E42" s="55">
        <f t="shared" si="2"/>
        <v>97</v>
      </c>
      <c r="F42" s="74">
        <v>45833.0</v>
      </c>
      <c r="G42" s="66" t="s">
        <v>1633</v>
      </c>
      <c r="H42" s="75">
        <v>0.6666666666666666</v>
      </c>
      <c r="I42" s="75">
        <v>0.625</v>
      </c>
      <c r="J42" s="59" t="str">
        <f t="shared" si="3"/>
        <v>Afternoon</v>
      </c>
      <c r="K42" s="66" t="s">
        <v>122</v>
      </c>
      <c r="L42" s="66" t="s">
        <v>1630</v>
      </c>
      <c r="M42" s="69"/>
      <c r="N42" s="70" t="s">
        <v>1634</v>
      </c>
      <c r="O42" s="62">
        <f>VLOOKUP(B42,'Dados Meteorológicos'!$1:$988,12,0)</f>
        <v>39</v>
      </c>
      <c r="P42" s="62">
        <f>VLOOKUP(B42,'Dados Meteorológicos'!$1:$988,13,0)</f>
        <v>-84.5</v>
      </c>
      <c r="Q42" s="62">
        <f>VLOOKUP(B42,'Dados Meteorológicos'!$1:$988,14,0)</f>
        <v>20</v>
      </c>
      <c r="R42" s="62">
        <f>VLOOKUP(B42,'Dados Meteorológicos'!$1:$988,15,0)</f>
        <v>30.18</v>
      </c>
      <c r="S42" s="62">
        <f>VLOOKUP(B42,'Dados Meteorológicos'!$1:$988,16,0)</f>
        <v>22.8</v>
      </c>
      <c r="T42" s="62">
        <f>VLOOKUP(B42,'Dados Meteorológicos'!$1:$988,17,0)</f>
        <v>64</v>
      </c>
      <c r="U42" s="62">
        <f>VLOOKUP(B42,'Dados Meteorológicos'!$1:$988,18,0)</f>
        <v>30.65</v>
      </c>
      <c r="V42" s="62">
        <f>VLOOKUP(B42,'Dados Meteorológicos'!$1:$988,19,0)</f>
        <v>643.8</v>
      </c>
      <c r="W42" s="62">
        <f>VLOOKUP(B42,'Dados Meteorológicos'!$1:$988,20,0)</f>
        <v>1.54</v>
      </c>
      <c r="X42" s="62">
        <f>VLOOKUP(B42,'Dados Meteorológicos'!$1:$988,21,0)</f>
        <v>25.62</v>
      </c>
      <c r="Y42" s="62">
        <f>VLOOKUP(B42,'Dados Meteorológicos'!$1:$988,22,0)</f>
        <v>45.32</v>
      </c>
      <c r="Z42" s="62">
        <f>VLOOKUP(B42,'Dados Meteorológicos'!$1:$988,23,0)</f>
        <v>30.02</v>
      </c>
      <c r="AA42" s="62">
        <f>VLOOKUP(B42,'Dados Meteorológicos'!$1:$988,24,0)</f>
        <v>21</v>
      </c>
      <c r="AB42" s="62">
        <f>VLOOKUP(B42,'Dados Meteorológicos'!$1:$988,25,0)</f>
        <v>30.89</v>
      </c>
      <c r="AC42" s="62">
        <f>VLOOKUP(B42,'Dados Meteorológicos'!$1:$988,26,0)</f>
        <v>22.72</v>
      </c>
      <c r="AD42" s="62">
        <f>VLOOKUP(B42,'Dados Meteorológicos'!$1:$988,27,0)</f>
        <v>61</v>
      </c>
      <c r="AE42" s="62">
        <f>VLOOKUP(B42,'Dados Meteorológicos'!$1:$988,28,0)</f>
        <v>31.85</v>
      </c>
      <c r="AF42" s="62">
        <f>VLOOKUP(B42,'Dados Meteorológicos'!$1:$988,29,0)</f>
        <v>581.4</v>
      </c>
      <c r="AG42" s="62">
        <f>VLOOKUP(B42,'Dados Meteorológicos'!$1:$988,30,0)</f>
        <v>1.61</v>
      </c>
      <c r="AH42" s="62">
        <f>VLOOKUP(B42,'Dados Meteorológicos'!$1:$988,31,0)</f>
        <v>25.84</v>
      </c>
      <c r="AI42" s="62">
        <f>VLOOKUP(B42,'Dados Meteorológicos'!$1:$988,32,0)</f>
        <v>45.97</v>
      </c>
      <c r="AJ42" s="62">
        <f>VLOOKUP(B42,'Dados Meteorológicos'!$1:$988,33,0)</f>
        <v>30.37</v>
      </c>
      <c r="AK42" s="62" t="str">
        <f>VLOOKUP(B42,'Dados Meteorológicos'!$1:$988,34,0)</f>
        <v/>
      </c>
      <c r="AL42" s="62" t="str">
        <f>VLOOKUP(B42,'Dados Meteorológicos'!$1:$988,35,0)</f>
        <v/>
      </c>
      <c r="AM42" s="62" t="str">
        <f>VLOOKUP(B42,'Dados Meteorológicos'!$1:$988,36,0)</f>
        <v/>
      </c>
      <c r="AN42" s="62" t="str">
        <f>VLOOKUP(B42,'Dados Meteorológicos'!$1:$988,37,0)</f>
        <v/>
      </c>
      <c r="AO42" s="62" t="str">
        <f>VLOOKUP(B42,'Dados Meteorológicos'!$1:$988,38,0)</f>
        <v/>
      </c>
      <c r="AP42" s="62" t="str">
        <f>VLOOKUP(B42,'Dados Meteorológicos'!$1:$988,39,0)</f>
        <v/>
      </c>
      <c r="AQ42" s="62" t="str">
        <f>VLOOKUP(B42,'Dados Meteorológicos'!$1:$988,40,0)</f>
        <v/>
      </c>
      <c r="AR42" s="62" t="str">
        <f>VLOOKUP(B42,'Dados Meteorológicos'!$1:$988,41,0)</f>
        <v/>
      </c>
      <c r="AS42" s="62" t="str">
        <f>VLOOKUP(B42,'Dados Meteorológicos'!$1:$988,42,0)</f>
        <v/>
      </c>
      <c r="AT42" s="62" t="str">
        <f>VLOOKUP(B42,'Dados Meteorológicos'!$1:$988,43,0)</f>
        <v/>
      </c>
      <c r="AU42" s="62" t="str">
        <f>VLOOKUP(B42,'Dados Meteorológicos'!$1:$988,44,0)</f>
        <v/>
      </c>
      <c r="AV42" s="62" t="str">
        <f>VLOOKUP(B42,'Dados Meteorológicos'!$1:$988,45,0)</f>
        <v/>
      </c>
      <c r="AW42" s="62" t="str">
        <f>VLOOKUP(B42,'Dados Meteorológicos'!$1:$988,46,0)</f>
        <v/>
      </c>
      <c r="AX42" s="62" t="str">
        <f>VLOOKUP(B42,'Dados Meteorológicos'!$1:$988,47,0)</f>
        <v/>
      </c>
      <c r="AY42" s="62" t="str">
        <f>VLOOKUP(B42,'Dados Meteorológicos'!$1:$988,48,0)</f>
        <v/>
      </c>
      <c r="AZ42" s="62" t="str">
        <f>VLOOKUP(B42,'Dados Meteorológicos'!$1:$988,49,0)</f>
        <v/>
      </c>
      <c r="BA42" s="62" t="str">
        <f>VLOOKUP(B42,'Dados Meteorológicos'!$1:$988,50,0)</f>
        <v/>
      </c>
      <c r="BB42" s="62" t="str">
        <f>VLOOKUP(B42,'Dados Meteorológicos'!$1:$988,51,0)</f>
        <v/>
      </c>
      <c r="BC42" s="62" t="str">
        <f>VLOOKUP(B42,'Dados Meteorológicos'!$1:$988,52,0)</f>
        <v/>
      </c>
      <c r="BD42" s="14" t="str">
        <f>VLOOKUP(B42,'Dados Meteorológicos'!$1:$988,53,0)</f>
        <v/>
      </c>
      <c r="BE42" s="62"/>
      <c r="BF42" s="63">
        <f t="shared" ref="BF42:BN42" si="43">AVERAGE(R42,AB42,AL42,AV42)</f>
        <v>30.535</v>
      </c>
      <c r="BG42" s="63">
        <f t="shared" si="43"/>
        <v>22.76</v>
      </c>
      <c r="BH42" s="63">
        <f t="shared" si="43"/>
        <v>62.5</v>
      </c>
      <c r="BI42" s="63">
        <f t="shared" si="43"/>
        <v>31.25</v>
      </c>
      <c r="BJ42" s="63">
        <f t="shared" si="43"/>
        <v>612.6</v>
      </c>
      <c r="BK42" s="63">
        <f t="shared" si="43"/>
        <v>1.575</v>
      </c>
      <c r="BL42" s="63">
        <f t="shared" si="43"/>
        <v>25.73</v>
      </c>
      <c r="BM42" s="63">
        <f t="shared" si="43"/>
        <v>45.645</v>
      </c>
      <c r="BN42" s="63">
        <f t="shared" si="43"/>
        <v>30.195</v>
      </c>
    </row>
    <row r="43">
      <c r="A43" s="64">
        <v>42.0</v>
      </c>
      <c r="B43" s="89" t="s">
        <v>1702</v>
      </c>
      <c r="C43" s="78">
        <v>49.0</v>
      </c>
      <c r="D43" s="78">
        <v>53.0</v>
      </c>
      <c r="E43" s="55">
        <f t="shared" si="2"/>
        <v>102</v>
      </c>
      <c r="F43" s="74">
        <v>45833.0</v>
      </c>
      <c r="G43" s="66" t="s">
        <v>1629</v>
      </c>
      <c r="H43" s="75">
        <v>0.6666666666666666</v>
      </c>
      <c r="I43" s="75">
        <v>0.625</v>
      </c>
      <c r="J43" s="59" t="str">
        <f t="shared" si="3"/>
        <v>Afternoon</v>
      </c>
      <c r="K43" s="66" t="s">
        <v>62</v>
      </c>
      <c r="L43" s="66" t="s">
        <v>1630</v>
      </c>
      <c r="M43" s="69"/>
      <c r="N43" s="70" t="s">
        <v>1658</v>
      </c>
      <c r="O43" s="62">
        <f>VLOOKUP(B43,'Dados Meteorológicos'!$1:$988,12,0)</f>
        <v>28.5</v>
      </c>
      <c r="P43" s="62">
        <f>VLOOKUP(B43,'Dados Meteorológicos'!$1:$988,13,0)</f>
        <v>-81.5</v>
      </c>
      <c r="Q43" s="62">
        <f>VLOOKUP(B43,'Dados Meteorológicos'!$1:$988,14,0)</f>
        <v>20</v>
      </c>
      <c r="R43" s="62">
        <f>VLOOKUP(B43,'Dados Meteorológicos'!$1:$988,15,0)</f>
        <v>32.12</v>
      </c>
      <c r="S43" s="62">
        <f>VLOOKUP(B43,'Dados Meteorológicos'!$1:$988,16,0)</f>
        <v>22.53</v>
      </c>
      <c r="T43" s="62">
        <f>VLOOKUP(B43,'Dados Meteorológicos'!$1:$988,17,0)</f>
        <v>56</v>
      </c>
      <c r="U43" s="62">
        <f>VLOOKUP(B43,'Dados Meteorológicos'!$1:$988,18,0)</f>
        <v>34.02</v>
      </c>
      <c r="V43" s="62">
        <f>VLOOKUP(B43,'Dados Meteorológicos'!$1:$988,19,0)</f>
        <v>752.9</v>
      </c>
      <c r="W43" s="62">
        <f>VLOOKUP(B43,'Dados Meteorológicos'!$1:$988,20,0)</f>
        <v>1.63</v>
      </c>
      <c r="X43" s="62">
        <f>VLOOKUP(B43,'Dados Meteorológicos'!$1:$988,21,0)</f>
        <v>26.22</v>
      </c>
      <c r="Y43" s="62">
        <f>VLOOKUP(B43,'Dados Meteorológicos'!$1:$988,22,0)</f>
        <v>47.24</v>
      </c>
      <c r="Z43" s="62">
        <f>VLOOKUP(B43,'Dados Meteorológicos'!$1:$988,23,0)</f>
        <v>31.01</v>
      </c>
      <c r="AA43" s="62">
        <f>VLOOKUP(B43,'Dados Meteorológicos'!$1:$988,24,0)</f>
        <v>21</v>
      </c>
      <c r="AB43" s="62">
        <f>VLOOKUP(B43,'Dados Meteorológicos'!$1:$988,25,0)</f>
        <v>30.56</v>
      </c>
      <c r="AC43" s="62">
        <f>VLOOKUP(B43,'Dados Meteorológicos'!$1:$988,26,0)</f>
        <v>21.05</v>
      </c>
      <c r="AD43" s="62">
        <f>VLOOKUP(B43,'Dados Meteorológicos'!$1:$988,27,0)</f>
        <v>56</v>
      </c>
      <c r="AE43" s="62">
        <f>VLOOKUP(B43,'Dados Meteorológicos'!$1:$988,28,0)</f>
        <v>31.28</v>
      </c>
      <c r="AF43" s="62">
        <f>VLOOKUP(B43,'Dados Meteorológicos'!$1:$988,29,0)</f>
        <v>600.4</v>
      </c>
      <c r="AG43" s="62">
        <f>VLOOKUP(B43,'Dados Meteorológicos'!$1:$988,30,0)</f>
        <v>1.92</v>
      </c>
      <c r="AH43" s="62">
        <f>VLOOKUP(B43,'Dados Meteorológicos'!$1:$988,31,0)</f>
        <v>25</v>
      </c>
      <c r="AI43" s="62">
        <f>VLOOKUP(B43,'Dados Meteorológicos'!$1:$988,32,0)</f>
        <v>44.79</v>
      </c>
      <c r="AJ43" s="62">
        <f>VLOOKUP(B43,'Dados Meteorológicos'!$1:$988,33,0)</f>
        <v>29.51</v>
      </c>
      <c r="AK43" s="62" t="str">
        <f>VLOOKUP(B43,'Dados Meteorológicos'!$1:$988,34,0)</f>
        <v/>
      </c>
      <c r="AL43" s="62" t="str">
        <f>VLOOKUP(B43,'Dados Meteorológicos'!$1:$988,35,0)</f>
        <v/>
      </c>
      <c r="AM43" s="62" t="str">
        <f>VLOOKUP(B43,'Dados Meteorológicos'!$1:$988,36,0)</f>
        <v/>
      </c>
      <c r="AN43" s="62" t="str">
        <f>VLOOKUP(B43,'Dados Meteorológicos'!$1:$988,37,0)</f>
        <v/>
      </c>
      <c r="AO43" s="62" t="str">
        <f>VLOOKUP(B43,'Dados Meteorológicos'!$1:$988,38,0)</f>
        <v/>
      </c>
      <c r="AP43" s="62" t="str">
        <f>VLOOKUP(B43,'Dados Meteorológicos'!$1:$988,39,0)</f>
        <v/>
      </c>
      <c r="AQ43" s="62" t="str">
        <f>VLOOKUP(B43,'Dados Meteorológicos'!$1:$988,40,0)</f>
        <v/>
      </c>
      <c r="AR43" s="62" t="str">
        <f>VLOOKUP(B43,'Dados Meteorológicos'!$1:$988,41,0)</f>
        <v/>
      </c>
      <c r="AS43" s="62" t="str">
        <f>VLOOKUP(B43,'Dados Meteorológicos'!$1:$988,42,0)</f>
        <v/>
      </c>
      <c r="AT43" s="62" t="str">
        <f>VLOOKUP(B43,'Dados Meteorológicos'!$1:$988,43,0)</f>
        <v/>
      </c>
      <c r="AU43" s="62" t="str">
        <f>VLOOKUP(B43,'Dados Meteorológicos'!$1:$988,44,0)</f>
        <v/>
      </c>
      <c r="AV43" s="62" t="str">
        <f>VLOOKUP(B43,'Dados Meteorológicos'!$1:$988,45,0)</f>
        <v/>
      </c>
      <c r="AW43" s="62" t="str">
        <f>VLOOKUP(B43,'Dados Meteorológicos'!$1:$988,46,0)</f>
        <v/>
      </c>
      <c r="AX43" s="62" t="str">
        <f>VLOOKUP(B43,'Dados Meteorológicos'!$1:$988,47,0)</f>
        <v/>
      </c>
      <c r="AY43" s="62" t="str">
        <f>VLOOKUP(B43,'Dados Meteorológicos'!$1:$988,48,0)</f>
        <v/>
      </c>
      <c r="AZ43" s="62" t="str">
        <f>VLOOKUP(B43,'Dados Meteorológicos'!$1:$988,49,0)</f>
        <v/>
      </c>
      <c r="BA43" s="62" t="str">
        <f>VLOOKUP(B43,'Dados Meteorológicos'!$1:$988,50,0)</f>
        <v/>
      </c>
      <c r="BB43" s="62" t="str">
        <f>VLOOKUP(B43,'Dados Meteorológicos'!$1:$988,51,0)</f>
        <v/>
      </c>
      <c r="BC43" s="62" t="str">
        <f>VLOOKUP(B43,'Dados Meteorológicos'!$1:$988,52,0)</f>
        <v/>
      </c>
      <c r="BD43" s="14" t="str">
        <f>VLOOKUP(B43,'Dados Meteorológicos'!$1:$988,53,0)</f>
        <v/>
      </c>
      <c r="BE43" s="62"/>
      <c r="BF43" s="63">
        <f t="shared" ref="BF43:BN43" si="44">AVERAGE(R43,AB43,AL43,AV43)</f>
        <v>31.34</v>
      </c>
      <c r="BG43" s="63">
        <f t="shared" si="44"/>
        <v>21.79</v>
      </c>
      <c r="BH43" s="63">
        <f t="shared" si="44"/>
        <v>56</v>
      </c>
      <c r="BI43" s="63">
        <f t="shared" si="44"/>
        <v>32.65</v>
      </c>
      <c r="BJ43" s="63">
        <f t="shared" si="44"/>
        <v>676.65</v>
      </c>
      <c r="BK43" s="63">
        <f t="shared" si="44"/>
        <v>1.775</v>
      </c>
      <c r="BL43" s="63">
        <f t="shared" si="44"/>
        <v>25.61</v>
      </c>
      <c r="BM43" s="63">
        <f t="shared" si="44"/>
        <v>46.015</v>
      </c>
      <c r="BN43" s="63">
        <f t="shared" si="44"/>
        <v>30.26</v>
      </c>
    </row>
    <row r="44">
      <c r="A44" s="64">
        <v>43.0</v>
      </c>
      <c r="B44" s="101" t="s">
        <v>1703</v>
      </c>
      <c r="C44" s="57">
        <v>47.0</v>
      </c>
      <c r="D44" s="57">
        <v>51.0</v>
      </c>
      <c r="E44" s="55">
        <f t="shared" si="2"/>
        <v>98</v>
      </c>
      <c r="F44" s="56">
        <v>45833.0</v>
      </c>
      <c r="G44" s="53" t="s">
        <v>1643</v>
      </c>
      <c r="H44" s="58">
        <v>0.9166666666666666</v>
      </c>
      <c r="I44" s="58">
        <v>0.75</v>
      </c>
      <c r="J44" s="59" t="str">
        <f t="shared" si="3"/>
        <v>Evening</v>
      </c>
      <c r="K44" s="53" t="s">
        <v>312</v>
      </c>
      <c r="L44" s="53" t="s">
        <v>1630</v>
      </c>
      <c r="M44" s="60"/>
      <c r="N44" s="61" t="s">
        <v>1644</v>
      </c>
      <c r="O44" s="62">
        <f>VLOOKUP(B44,'Dados Meteorológicos'!$1:$988,12,0)</f>
        <v>47.5</v>
      </c>
      <c r="P44" s="62">
        <f>VLOOKUP(B44,'Dados Meteorológicos'!$1:$988,13,0)</f>
        <v>-122.25</v>
      </c>
      <c r="Q44" s="62">
        <f>VLOOKUP(B44,'Dados Meteorológicos'!$1:$988,14,0)</f>
        <v>2</v>
      </c>
      <c r="R44" s="62">
        <f>VLOOKUP(B44,'Dados Meteorológicos'!$1:$988,15,0)</f>
        <v>20.01</v>
      </c>
      <c r="S44" s="62">
        <f>VLOOKUP(B44,'Dados Meteorológicos'!$1:$988,16,0)</f>
        <v>10.95</v>
      </c>
      <c r="T44" s="62">
        <f>VLOOKUP(B44,'Dados Meteorológicos'!$1:$988,17,0)</f>
        <v>55</v>
      </c>
      <c r="U44" s="62">
        <f>VLOOKUP(B44,'Dados Meteorológicos'!$1:$988,18,0)</f>
        <v>17.29</v>
      </c>
      <c r="V44" s="62">
        <f>VLOOKUP(B44,'Dados Meteorológicos'!$1:$988,19,0)</f>
        <v>235.7</v>
      </c>
      <c r="W44" s="62">
        <f>VLOOKUP(B44,'Dados Meteorológicos'!$1:$988,20,0)</f>
        <v>1.67</v>
      </c>
      <c r="X44" s="62">
        <f>VLOOKUP(B44,'Dados Meteorológicos'!$1:$988,21,0)</f>
        <v>17.28</v>
      </c>
      <c r="Y44" s="62">
        <f>VLOOKUP(B44,'Dados Meteorológicos'!$1:$988,22,0)</f>
        <v>30.46</v>
      </c>
      <c r="Z44" s="62">
        <f>VLOOKUP(B44,'Dados Meteorológicos'!$1:$988,23,0)</f>
        <v>20.19</v>
      </c>
      <c r="AA44" s="62">
        <f>VLOOKUP(B44,'Dados Meteorológicos'!$1:$988,24,0)</f>
        <v>3</v>
      </c>
      <c r="AB44" s="62">
        <f>VLOOKUP(B44,'Dados Meteorológicos'!$1:$988,25,0)</f>
        <v>19.57</v>
      </c>
      <c r="AC44" s="62">
        <f>VLOOKUP(B44,'Dados Meteorológicos'!$1:$988,26,0)</f>
        <v>11.8</v>
      </c>
      <c r="AD44" s="62">
        <f>VLOOKUP(B44,'Dados Meteorológicos'!$1:$988,27,0)</f>
        <v>60</v>
      </c>
      <c r="AE44" s="62">
        <f>VLOOKUP(B44,'Dados Meteorológicos'!$1:$988,28,0)</f>
        <v>16.84</v>
      </c>
      <c r="AF44" s="62">
        <f>VLOOKUP(B44,'Dados Meteorológicos'!$1:$988,29,0)</f>
        <v>158.6</v>
      </c>
      <c r="AG44" s="62">
        <f>VLOOKUP(B44,'Dados Meteorológicos'!$1:$988,30,0)</f>
        <v>1.34</v>
      </c>
      <c r="AH44" s="62">
        <f>VLOOKUP(B44,'Dados Meteorológicos'!$1:$988,31,0)</f>
        <v>17.52</v>
      </c>
      <c r="AI44" s="62">
        <f>VLOOKUP(B44,'Dados Meteorológicos'!$1:$988,32,0)</f>
        <v>30.6</v>
      </c>
      <c r="AJ44" s="62">
        <f>VLOOKUP(B44,'Dados Meteorológicos'!$1:$988,33,0)</f>
        <v>20.34</v>
      </c>
      <c r="AK44" s="62" t="str">
        <f>VLOOKUP(B44,'Dados Meteorológicos'!$1:$988,34,0)</f>
        <v/>
      </c>
      <c r="AL44" s="62" t="str">
        <f>VLOOKUP(B44,'Dados Meteorológicos'!$1:$988,35,0)</f>
        <v/>
      </c>
      <c r="AM44" s="62" t="str">
        <f>VLOOKUP(B44,'Dados Meteorológicos'!$1:$988,36,0)</f>
        <v/>
      </c>
      <c r="AN44" s="62" t="str">
        <f>VLOOKUP(B44,'Dados Meteorológicos'!$1:$988,37,0)</f>
        <v/>
      </c>
      <c r="AO44" s="62" t="str">
        <f>VLOOKUP(B44,'Dados Meteorológicos'!$1:$988,38,0)</f>
        <v/>
      </c>
      <c r="AP44" s="62" t="str">
        <f>VLOOKUP(B44,'Dados Meteorológicos'!$1:$988,39,0)</f>
        <v/>
      </c>
      <c r="AQ44" s="62" t="str">
        <f>VLOOKUP(B44,'Dados Meteorológicos'!$1:$988,40,0)</f>
        <v/>
      </c>
      <c r="AR44" s="62" t="str">
        <f>VLOOKUP(B44,'Dados Meteorológicos'!$1:$988,41,0)</f>
        <v/>
      </c>
      <c r="AS44" s="62" t="str">
        <f>VLOOKUP(B44,'Dados Meteorológicos'!$1:$988,42,0)</f>
        <v/>
      </c>
      <c r="AT44" s="62" t="str">
        <f>VLOOKUP(B44,'Dados Meteorológicos'!$1:$988,43,0)</f>
        <v/>
      </c>
      <c r="AU44" s="62" t="str">
        <f>VLOOKUP(B44,'Dados Meteorológicos'!$1:$988,44,0)</f>
        <v/>
      </c>
      <c r="AV44" s="62" t="str">
        <f>VLOOKUP(B44,'Dados Meteorológicos'!$1:$988,45,0)</f>
        <v/>
      </c>
      <c r="AW44" s="62" t="str">
        <f>VLOOKUP(B44,'Dados Meteorológicos'!$1:$988,46,0)</f>
        <v/>
      </c>
      <c r="AX44" s="62" t="str">
        <f>VLOOKUP(B44,'Dados Meteorológicos'!$1:$988,47,0)</f>
        <v/>
      </c>
      <c r="AY44" s="62" t="str">
        <f>VLOOKUP(B44,'Dados Meteorológicos'!$1:$988,48,0)</f>
        <v/>
      </c>
      <c r="AZ44" s="62" t="str">
        <f>VLOOKUP(B44,'Dados Meteorológicos'!$1:$988,49,0)</f>
        <v/>
      </c>
      <c r="BA44" s="62" t="str">
        <f>VLOOKUP(B44,'Dados Meteorológicos'!$1:$988,50,0)</f>
        <v/>
      </c>
      <c r="BB44" s="62" t="str">
        <f>VLOOKUP(B44,'Dados Meteorológicos'!$1:$988,51,0)</f>
        <v/>
      </c>
      <c r="BC44" s="62" t="str">
        <f>VLOOKUP(B44,'Dados Meteorológicos'!$1:$988,52,0)</f>
        <v/>
      </c>
      <c r="BD44" s="14" t="str">
        <f>VLOOKUP(B44,'Dados Meteorológicos'!$1:$988,53,0)</f>
        <v/>
      </c>
      <c r="BE44" s="62"/>
      <c r="BF44" s="63">
        <f t="shared" ref="BF44:BN44" si="45">AVERAGE(R44,AB44,AL44,AV44)</f>
        <v>19.79</v>
      </c>
      <c r="BG44" s="63">
        <f t="shared" si="45"/>
        <v>11.375</v>
      </c>
      <c r="BH44" s="63">
        <f t="shared" si="45"/>
        <v>57.5</v>
      </c>
      <c r="BI44" s="63">
        <f t="shared" si="45"/>
        <v>17.065</v>
      </c>
      <c r="BJ44" s="63">
        <f t="shared" si="45"/>
        <v>197.15</v>
      </c>
      <c r="BK44" s="63">
        <f t="shared" si="45"/>
        <v>1.505</v>
      </c>
      <c r="BL44" s="63">
        <f t="shared" si="45"/>
        <v>17.4</v>
      </c>
      <c r="BM44" s="63">
        <f t="shared" si="45"/>
        <v>30.53</v>
      </c>
      <c r="BN44" s="63">
        <f t="shared" si="45"/>
        <v>20.265</v>
      </c>
    </row>
    <row r="45">
      <c r="A45" s="64">
        <v>44.0</v>
      </c>
      <c r="B45" s="89" t="s">
        <v>1704</v>
      </c>
      <c r="C45" s="78">
        <v>49.0</v>
      </c>
      <c r="D45" s="88">
        <v>52.0</v>
      </c>
      <c r="E45" s="55">
        <f t="shared" si="2"/>
        <v>101</v>
      </c>
      <c r="F45" s="74">
        <v>45833.0</v>
      </c>
      <c r="G45" s="72" t="s">
        <v>1636</v>
      </c>
      <c r="H45" s="75">
        <v>0.9166666666666666</v>
      </c>
      <c r="I45" s="75">
        <v>0.75</v>
      </c>
      <c r="J45" s="59" t="str">
        <f t="shared" si="3"/>
        <v>Evening</v>
      </c>
      <c r="K45" s="72" t="s">
        <v>1637</v>
      </c>
      <c r="L45" s="72" t="s">
        <v>1630</v>
      </c>
      <c r="M45" s="76"/>
      <c r="N45" s="70" t="s">
        <v>1638</v>
      </c>
      <c r="O45" s="62">
        <f>VLOOKUP(B45,'Dados Meteorológicos'!$1:$988,12,0)</f>
        <v>34.25</v>
      </c>
      <c r="P45" s="62">
        <f>VLOOKUP(B45,'Dados Meteorológicos'!$1:$988,13,0)</f>
        <v>-118.25</v>
      </c>
      <c r="Q45" s="62">
        <f>VLOOKUP(B45,'Dados Meteorológicos'!$1:$988,14,0)</f>
        <v>2</v>
      </c>
      <c r="R45" s="62">
        <f>VLOOKUP(B45,'Dados Meteorológicos'!$1:$988,15,0)</f>
        <v>24.16</v>
      </c>
      <c r="S45" s="62">
        <f>VLOOKUP(B45,'Dados Meteorológicos'!$1:$988,16,0)</f>
        <v>11.88</v>
      </c>
      <c r="T45" s="62">
        <f>VLOOKUP(B45,'Dados Meteorológicos'!$1:$988,17,0)</f>
        <v>46</v>
      </c>
      <c r="U45" s="62">
        <f>VLOOKUP(B45,'Dados Meteorológicos'!$1:$988,18,0)</f>
        <v>21.96</v>
      </c>
      <c r="V45" s="62">
        <f>VLOOKUP(B45,'Dados Meteorológicos'!$1:$988,19,0)</f>
        <v>252.9</v>
      </c>
      <c r="W45" s="62">
        <f>VLOOKUP(B45,'Dados Meteorológicos'!$1:$988,20,0)</f>
        <v>1.36</v>
      </c>
      <c r="X45" s="62">
        <f>VLOOKUP(B45,'Dados Meteorológicos'!$1:$988,21,0)</f>
        <v>19.21</v>
      </c>
      <c r="Y45" s="62">
        <f>VLOOKUP(B45,'Dados Meteorológicos'!$1:$988,22,0)</f>
        <v>35.67</v>
      </c>
      <c r="Z45" s="62">
        <f>VLOOKUP(B45,'Dados Meteorológicos'!$1:$988,23,0)</f>
        <v>23</v>
      </c>
      <c r="AA45" s="62">
        <f>VLOOKUP(B45,'Dados Meteorológicos'!$1:$988,24,0)</f>
        <v>3</v>
      </c>
      <c r="AB45" s="62">
        <f>VLOOKUP(B45,'Dados Meteorológicos'!$1:$988,25,0)</f>
        <v>22.51</v>
      </c>
      <c r="AC45" s="62">
        <f>VLOOKUP(B45,'Dados Meteorológicos'!$1:$988,26,0)</f>
        <v>12.34</v>
      </c>
      <c r="AD45" s="62">
        <f>VLOOKUP(B45,'Dados Meteorológicos'!$1:$988,27,0)</f>
        <v>52</v>
      </c>
      <c r="AE45" s="62">
        <f>VLOOKUP(B45,'Dados Meteorológicos'!$1:$988,28,0)</f>
        <v>19.99</v>
      </c>
      <c r="AF45" s="62">
        <f>VLOOKUP(B45,'Dados Meteorológicos'!$1:$988,29,0)</f>
        <v>69.9</v>
      </c>
      <c r="AG45" s="62">
        <f>VLOOKUP(B45,'Dados Meteorológicos'!$1:$988,30,0)</f>
        <v>0.76</v>
      </c>
      <c r="AH45" s="62">
        <f>VLOOKUP(B45,'Dados Meteorológicos'!$1:$988,31,0)</f>
        <v>18.98</v>
      </c>
      <c r="AI45" s="62">
        <f>VLOOKUP(B45,'Dados Meteorológicos'!$1:$988,32,0)</f>
        <v>34.56</v>
      </c>
      <c r="AJ45" s="62">
        <f>VLOOKUP(B45,'Dados Meteorológicos'!$1:$988,33,0)</f>
        <v>22.45</v>
      </c>
      <c r="AK45" s="62" t="str">
        <f>VLOOKUP(B45,'Dados Meteorológicos'!$1:$988,34,0)</f>
        <v/>
      </c>
      <c r="AL45" s="62" t="str">
        <f>VLOOKUP(B45,'Dados Meteorológicos'!$1:$988,35,0)</f>
        <v/>
      </c>
      <c r="AM45" s="62" t="str">
        <f>VLOOKUP(B45,'Dados Meteorológicos'!$1:$988,36,0)</f>
        <v/>
      </c>
      <c r="AN45" s="62" t="str">
        <f>VLOOKUP(B45,'Dados Meteorológicos'!$1:$988,37,0)</f>
        <v/>
      </c>
      <c r="AO45" s="62" t="str">
        <f>VLOOKUP(B45,'Dados Meteorológicos'!$1:$988,38,0)</f>
        <v/>
      </c>
      <c r="AP45" s="62" t="str">
        <f>VLOOKUP(B45,'Dados Meteorológicos'!$1:$988,39,0)</f>
        <v/>
      </c>
      <c r="AQ45" s="62" t="str">
        <f>VLOOKUP(B45,'Dados Meteorológicos'!$1:$988,40,0)</f>
        <v/>
      </c>
      <c r="AR45" s="62" t="str">
        <f>VLOOKUP(B45,'Dados Meteorológicos'!$1:$988,41,0)</f>
        <v/>
      </c>
      <c r="AS45" s="62" t="str">
        <f>VLOOKUP(B45,'Dados Meteorológicos'!$1:$988,42,0)</f>
        <v/>
      </c>
      <c r="AT45" s="62" t="str">
        <f>VLOOKUP(B45,'Dados Meteorológicos'!$1:$988,43,0)</f>
        <v/>
      </c>
      <c r="AU45" s="62" t="str">
        <f>VLOOKUP(B45,'Dados Meteorológicos'!$1:$988,44,0)</f>
        <v/>
      </c>
      <c r="AV45" s="62" t="str">
        <f>VLOOKUP(B45,'Dados Meteorológicos'!$1:$988,45,0)</f>
        <v/>
      </c>
      <c r="AW45" s="62" t="str">
        <f>VLOOKUP(B45,'Dados Meteorológicos'!$1:$988,46,0)</f>
        <v/>
      </c>
      <c r="AX45" s="62" t="str">
        <f>VLOOKUP(B45,'Dados Meteorológicos'!$1:$988,47,0)</f>
        <v/>
      </c>
      <c r="AY45" s="62" t="str">
        <f>VLOOKUP(B45,'Dados Meteorológicos'!$1:$988,48,0)</f>
        <v/>
      </c>
      <c r="AZ45" s="62" t="str">
        <f>VLOOKUP(B45,'Dados Meteorológicos'!$1:$988,49,0)</f>
        <v/>
      </c>
      <c r="BA45" s="62" t="str">
        <f>VLOOKUP(B45,'Dados Meteorológicos'!$1:$988,50,0)</f>
        <v/>
      </c>
      <c r="BB45" s="62" t="str">
        <f>VLOOKUP(B45,'Dados Meteorológicos'!$1:$988,51,0)</f>
        <v/>
      </c>
      <c r="BC45" s="62" t="str">
        <f>VLOOKUP(B45,'Dados Meteorológicos'!$1:$988,52,0)</f>
        <v/>
      </c>
      <c r="BD45" s="14" t="str">
        <f>VLOOKUP(B45,'Dados Meteorológicos'!$1:$988,53,0)</f>
        <v/>
      </c>
      <c r="BE45" s="62"/>
      <c r="BF45" s="63">
        <f t="shared" ref="BF45:BN45" si="46">AVERAGE(R45,AB45,AL45,AV45)</f>
        <v>23.335</v>
      </c>
      <c r="BG45" s="63">
        <f t="shared" si="46"/>
        <v>12.11</v>
      </c>
      <c r="BH45" s="63">
        <f t="shared" si="46"/>
        <v>49</v>
      </c>
      <c r="BI45" s="63">
        <f t="shared" si="46"/>
        <v>20.975</v>
      </c>
      <c r="BJ45" s="63">
        <f t="shared" si="46"/>
        <v>161.4</v>
      </c>
      <c r="BK45" s="63">
        <f t="shared" si="46"/>
        <v>1.06</v>
      </c>
      <c r="BL45" s="63">
        <f t="shared" si="46"/>
        <v>19.095</v>
      </c>
      <c r="BM45" s="63">
        <f t="shared" si="46"/>
        <v>35.115</v>
      </c>
      <c r="BN45" s="63">
        <f t="shared" si="46"/>
        <v>22.725</v>
      </c>
    </row>
    <row r="46">
      <c r="A46" s="64">
        <v>45.0</v>
      </c>
      <c r="B46" s="87" t="s">
        <v>1705</v>
      </c>
      <c r="C46" s="78">
        <v>49.0</v>
      </c>
      <c r="D46" s="78">
        <v>48.0</v>
      </c>
      <c r="E46" s="55">
        <f t="shared" si="2"/>
        <v>97</v>
      </c>
      <c r="F46" s="74">
        <v>45834.0</v>
      </c>
      <c r="G46" s="66" t="s">
        <v>1656</v>
      </c>
      <c r="H46" s="75">
        <v>0.6666666666666666</v>
      </c>
      <c r="I46" s="75">
        <v>0.625</v>
      </c>
      <c r="J46" s="59" t="str">
        <f t="shared" si="3"/>
        <v>Afternoon</v>
      </c>
      <c r="K46" s="66" t="s">
        <v>1269</v>
      </c>
      <c r="L46" s="66" t="s">
        <v>1630</v>
      </c>
      <c r="M46" s="69"/>
      <c r="N46" s="70" t="s">
        <v>1699</v>
      </c>
      <c r="O46" s="62">
        <f>VLOOKUP(B46,'Dados Meteorológicos'!$1:$988,12,0)</f>
        <v>28.5</v>
      </c>
      <c r="P46" s="62">
        <f>VLOOKUP(B46,'Dados Meteorológicos'!$1:$988,13,0)</f>
        <v>-81.5</v>
      </c>
      <c r="Q46" s="62">
        <f>VLOOKUP(B46,'Dados Meteorológicos'!$1:$988,14,0)</f>
        <v>20</v>
      </c>
      <c r="R46" s="62">
        <f>VLOOKUP(B46,'Dados Meteorológicos'!$1:$988,15,0)</f>
        <v>28.58</v>
      </c>
      <c r="S46" s="62">
        <f>VLOOKUP(B46,'Dados Meteorológicos'!$1:$988,16,0)</f>
        <v>21.74</v>
      </c>
      <c r="T46" s="62">
        <f>VLOOKUP(B46,'Dados Meteorológicos'!$1:$988,17,0)</f>
        <v>66</v>
      </c>
      <c r="U46" s="62">
        <f>VLOOKUP(B46,'Dados Meteorológicos'!$1:$988,18,0)</f>
        <v>28.1</v>
      </c>
      <c r="V46" s="62">
        <f>VLOOKUP(B46,'Dados Meteorológicos'!$1:$988,19,0)</f>
        <v>677.3</v>
      </c>
      <c r="W46" s="62">
        <f>VLOOKUP(B46,'Dados Meteorológicos'!$1:$988,20,0)</f>
        <v>1.75</v>
      </c>
      <c r="X46" s="62">
        <f>VLOOKUP(B46,'Dados Meteorológicos'!$1:$988,21,0)</f>
        <v>24.56</v>
      </c>
      <c r="Y46" s="62">
        <f>VLOOKUP(B46,'Dados Meteorológicos'!$1:$988,22,0)</f>
        <v>43.05</v>
      </c>
      <c r="Z46" s="62">
        <f>VLOOKUP(B46,'Dados Meteorológicos'!$1:$988,23,0)</f>
        <v>28.66</v>
      </c>
      <c r="AA46" s="62">
        <f>VLOOKUP(B46,'Dados Meteorológicos'!$1:$988,24,0)</f>
        <v>21</v>
      </c>
      <c r="AB46" s="62">
        <f>VLOOKUP(B46,'Dados Meteorológicos'!$1:$988,25,0)</f>
        <v>29.51</v>
      </c>
      <c r="AC46" s="62">
        <f>VLOOKUP(B46,'Dados Meteorológicos'!$1:$988,26,0)</f>
        <v>21.44</v>
      </c>
      <c r="AD46" s="62">
        <f>VLOOKUP(B46,'Dados Meteorológicos'!$1:$988,27,0)</f>
        <v>61</v>
      </c>
      <c r="AE46" s="62">
        <f>VLOOKUP(B46,'Dados Meteorológicos'!$1:$988,28,0)</f>
        <v>29.56</v>
      </c>
      <c r="AF46" s="62">
        <f>VLOOKUP(B46,'Dados Meteorológicos'!$1:$988,29,0)</f>
        <v>643.2</v>
      </c>
      <c r="AG46" s="62">
        <f>VLOOKUP(B46,'Dados Meteorológicos'!$1:$988,30,0)</f>
        <v>1.73</v>
      </c>
      <c r="AH46" s="62">
        <f>VLOOKUP(B46,'Dados Meteorológicos'!$1:$988,31,0)</f>
        <v>24.81</v>
      </c>
      <c r="AI46" s="62">
        <f>VLOOKUP(B46,'Dados Meteorológicos'!$1:$988,32,0)</f>
        <v>43.97</v>
      </c>
      <c r="AJ46" s="62">
        <f>VLOOKUP(B46,'Dados Meteorológicos'!$1:$988,33,0)</f>
        <v>29.11</v>
      </c>
      <c r="AK46" s="62" t="str">
        <f>VLOOKUP(B46,'Dados Meteorológicos'!$1:$988,34,0)</f>
        <v/>
      </c>
      <c r="AL46" s="62" t="str">
        <f>VLOOKUP(B46,'Dados Meteorológicos'!$1:$988,35,0)</f>
        <v/>
      </c>
      <c r="AM46" s="62" t="str">
        <f>VLOOKUP(B46,'Dados Meteorológicos'!$1:$988,36,0)</f>
        <v/>
      </c>
      <c r="AN46" s="62" t="str">
        <f>VLOOKUP(B46,'Dados Meteorológicos'!$1:$988,37,0)</f>
        <v/>
      </c>
      <c r="AO46" s="62" t="str">
        <f>VLOOKUP(B46,'Dados Meteorológicos'!$1:$988,38,0)</f>
        <v/>
      </c>
      <c r="AP46" s="62" t="str">
        <f>VLOOKUP(B46,'Dados Meteorológicos'!$1:$988,39,0)</f>
        <v/>
      </c>
      <c r="AQ46" s="62" t="str">
        <f>VLOOKUP(B46,'Dados Meteorológicos'!$1:$988,40,0)</f>
        <v/>
      </c>
      <c r="AR46" s="62" t="str">
        <f>VLOOKUP(B46,'Dados Meteorológicos'!$1:$988,41,0)</f>
        <v/>
      </c>
      <c r="AS46" s="62" t="str">
        <f>VLOOKUP(B46,'Dados Meteorológicos'!$1:$988,42,0)</f>
        <v/>
      </c>
      <c r="AT46" s="62" t="str">
        <f>VLOOKUP(B46,'Dados Meteorológicos'!$1:$988,43,0)</f>
        <v/>
      </c>
      <c r="AU46" s="62" t="str">
        <f>VLOOKUP(B46,'Dados Meteorológicos'!$1:$988,44,0)</f>
        <v/>
      </c>
      <c r="AV46" s="62" t="str">
        <f>VLOOKUP(B46,'Dados Meteorológicos'!$1:$988,45,0)</f>
        <v/>
      </c>
      <c r="AW46" s="62" t="str">
        <f>VLOOKUP(B46,'Dados Meteorológicos'!$1:$988,46,0)</f>
        <v/>
      </c>
      <c r="AX46" s="62" t="str">
        <f>VLOOKUP(B46,'Dados Meteorológicos'!$1:$988,47,0)</f>
        <v/>
      </c>
      <c r="AY46" s="62" t="str">
        <f>VLOOKUP(B46,'Dados Meteorológicos'!$1:$988,48,0)</f>
        <v/>
      </c>
      <c r="AZ46" s="62" t="str">
        <f>VLOOKUP(B46,'Dados Meteorológicos'!$1:$988,49,0)</f>
        <v/>
      </c>
      <c r="BA46" s="62" t="str">
        <f>VLOOKUP(B46,'Dados Meteorológicos'!$1:$988,50,0)</f>
        <v/>
      </c>
      <c r="BB46" s="62" t="str">
        <f>VLOOKUP(B46,'Dados Meteorológicos'!$1:$988,51,0)</f>
        <v/>
      </c>
      <c r="BC46" s="62" t="str">
        <f>VLOOKUP(B46,'Dados Meteorológicos'!$1:$988,52,0)</f>
        <v/>
      </c>
      <c r="BD46" s="14" t="str">
        <f>VLOOKUP(B46,'Dados Meteorológicos'!$1:$988,53,0)</f>
        <v/>
      </c>
      <c r="BE46" s="62"/>
      <c r="BF46" s="63">
        <f t="shared" ref="BF46:BN46" si="47">AVERAGE(R46,AB46,AL46,AV46)</f>
        <v>29.045</v>
      </c>
      <c r="BG46" s="63">
        <f t="shared" si="47"/>
        <v>21.59</v>
      </c>
      <c r="BH46" s="63">
        <f t="shared" si="47"/>
        <v>63.5</v>
      </c>
      <c r="BI46" s="63">
        <f t="shared" si="47"/>
        <v>28.83</v>
      </c>
      <c r="BJ46" s="63">
        <f t="shared" si="47"/>
        <v>660.25</v>
      </c>
      <c r="BK46" s="63">
        <f t="shared" si="47"/>
        <v>1.74</v>
      </c>
      <c r="BL46" s="63">
        <f t="shared" si="47"/>
        <v>24.685</v>
      </c>
      <c r="BM46" s="63">
        <f t="shared" si="47"/>
        <v>43.51</v>
      </c>
      <c r="BN46" s="63">
        <f t="shared" si="47"/>
        <v>28.885</v>
      </c>
    </row>
    <row r="47">
      <c r="A47" s="64">
        <v>46.0</v>
      </c>
      <c r="B47" s="89" t="s">
        <v>1706</v>
      </c>
      <c r="C47" s="88">
        <v>52.0</v>
      </c>
      <c r="D47" s="78">
        <v>53.0</v>
      </c>
      <c r="E47" s="55">
        <f t="shared" si="2"/>
        <v>105</v>
      </c>
      <c r="F47" s="74">
        <v>45834.0</v>
      </c>
      <c r="G47" s="78" t="s">
        <v>1665</v>
      </c>
      <c r="H47" s="75">
        <v>0.6666666666666666</v>
      </c>
      <c r="I47" s="75">
        <v>0.625</v>
      </c>
      <c r="J47" s="59" t="str">
        <f t="shared" si="3"/>
        <v>Afternoon</v>
      </c>
      <c r="K47" s="78" t="s">
        <v>997</v>
      </c>
      <c r="L47" s="72" t="s">
        <v>1630</v>
      </c>
      <c r="M47" s="76"/>
      <c r="N47" s="70" t="s">
        <v>1666</v>
      </c>
      <c r="O47" s="62">
        <f>VLOOKUP(B47,'Dados Meteorológicos'!$1:$988,12,0)</f>
        <v>38.75</v>
      </c>
      <c r="P47" s="62">
        <f>VLOOKUP(B47,'Dados Meteorológicos'!$1:$988,13,0)</f>
        <v>-77</v>
      </c>
      <c r="Q47" s="62">
        <f>VLOOKUP(B47,'Dados Meteorológicos'!$1:$988,14,0)</f>
        <v>20</v>
      </c>
      <c r="R47" s="62">
        <f>VLOOKUP(B47,'Dados Meteorológicos'!$1:$988,15,0)</f>
        <v>34.23</v>
      </c>
      <c r="S47" s="62">
        <f>VLOOKUP(B47,'Dados Meteorológicos'!$1:$988,16,0)</f>
        <v>22.49</v>
      </c>
      <c r="T47" s="62">
        <f>VLOOKUP(B47,'Dados Meteorológicos'!$1:$988,17,0)</f>
        <v>50</v>
      </c>
      <c r="U47" s="62">
        <f>VLOOKUP(B47,'Dados Meteorológicos'!$1:$988,18,0)</f>
        <v>38.04</v>
      </c>
      <c r="V47" s="62">
        <f>VLOOKUP(B47,'Dados Meteorológicos'!$1:$988,19,0)</f>
        <v>650.3</v>
      </c>
      <c r="W47" s="62">
        <f>VLOOKUP(B47,'Dados Meteorológicos'!$1:$988,20,0)</f>
        <v>0.74</v>
      </c>
      <c r="X47" s="62">
        <f>VLOOKUP(B47,'Dados Meteorológicos'!$1:$988,21,0)</f>
        <v>27.17</v>
      </c>
      <c r="Y47" s="62">
        <f>VLOOKUP(B47,'Dados Meteorológicos'!$1:$988,22,0)</f>
        <v>50.5</v>
      </c>
      <c r="Z47" s="62">
        <f>VLOOKUP(B47,'Dados Meteorológicos'!$1:$988,23,0)</f>
        <v>32.55</v>
      </c>
      <c r="AA47" s="62">
        <f>VLOOKUP(B47,'Dados Meteorológicos'!$1:$988,24,0)</f>
        <v>21</v>
      </c>
      <c r="AB47" s="62">
        <f>VLOOKUP(B47,'Dados Meteorológicos'!$1:$988,25,0)</f>
        <v>32.72</v>
      </c>
      <c r="AC47" s="62">
        <f>VLOOKUP(B47,'Dados Meteorológicos'!$1:$988,26,0)</f>
        <v>22.82</v>
      </c>
      <c r="AD47" s="62">
        <f>VLOOKUP(B47,'Dados Meteorológicos'!$1:$988,27,0)</f>
        <v>56</v>
      </c>
      <c r="AE47" s="62">
        <f>VLOOKUP(B47,'Dados Meteorológicos'!$1:$988,28,0)</f>
        <v>35.13</v>
      </c>
      <c r="AF47" s="62">
        <f>VLOOKUP(B47,'Dados Meteorológicos'!$1:$988,29,0)</f>
        <v>505.2</v>
      </c>
      <c r="AG47" s="62">
        <f>VLOOKUP(B47,'Dados Meteorológicos'!$1:$988,30,0)</f>
        <v>1.12</v>
      </c>
      <c r="AH47" s="62">
        <f>VLOOKUP(B47,'Dados Meteorológicos'!$1:$988,31,0)</f>
        <v>26.69</v>
      </c>
      <c r="AI47" s="62">
        <f>VLOOKUP(B47,'Dados Meteorológicos'!$1:$988,32,0)</f>
        <v>48.52</v>
      </c>
      <c r="AJ47" s="62">
        <f>VLOOKUP(B47,'Dados Meteorológicos'!$1:$988,33,0)</f>
        <v>31.66</v>
      </c>
      <c r="AK47" s="62" t="str">
        <f>VLOOKUP(B47,'Dados Meteorológicos'!$1:$988,34,0)</f>
        <v/>
      </c>
      <c r="AL47" s="62" t="str">
        <f>VLOOKUP(B47,'Dados Meteorológicos'!$1:$988,35,0)</f>
        <v/>
      </c>
      <c r="AM47" s="62" t="str">
        <f>VLOOKUP(B47,'Dados Meteorológicos'!$1:$988,36,0)</f>
        <v/>
      </c>
      <c r="AN47" s="62" t="str">
        <f>VLOOKUP(B47,'Dados Meteorológicos'!$1:$988,37,0)</f>
        <v/>
      </c>
      <c r="AO47" s="62" t="str">
        <f>VLOOKUP(B47,'Dados Meteorológicos'!$1:$988,38,0)</f>
        <v/>
      </c>
      <c r="AP47" s="62" t="str">
        <f>VLOOKUP(B47,'Dados Meteorológicos'!$1:$988,39,0)</f>
        <v/>
      </c>
      <c r="AQ47" s="62" t="str">
        <f>VLOOKUP(B47,'Dados Meteorológicos'!$1:$988,40,0)</f>
        <v/>
      </c>
      <c r="AR47" s="62" t="str">
        <f>VLOOKUP(B47,'Dados Meteorológicos'!$1:$988,41,0)</f>
        <v/>
      </c>
      <c r="AS47" s="62" t="str">
        <f>VLOOKUP(B47,'Dados Meteorológicos'!$1:$988,42,0)</f>
        <v/>
      </c>
      <c r="AT47" s="62" t="str">
        <f>VLOOKUP(B47,'Dados Meteorológicos'!$1:$988,43,0)</f>
        <v/>
      </c>
      <c r="AU47" s="62" t="str">
        <f>VLOOKUP(B47,'Dados Meteorológicos'!$1:$988,44,0)</f>
        <v/>
      </c>
      <c r="AV47" s="62" t="str">
        <f>VLOOKUP(B47,'Dados Meteorológicos'!$1:$988,45,0)</f>
        <v/>
      </c>
      <c r="AW47" s="62" t="str">
        <f>VLOOKUP(B47,'Dados Meteorológicos'!$1:$988,46,0)</f>
        <v/>
      </c>
      <c r="AX47" s="62" t="str">
        <f>VLOOKUP(B47,'Dados Meteorológicos'!$1:$988,47,0)</f>
        <v/>
      </c>
      <c r="AY47" s="62" t="str">
        <f>VLOOKUP(B47,'Dados Meteorológicos'!$1:$988,48,0)</f>
        <v/>
      </c>
      <c r="AZ47" s="62" t="str">
        <f>VLOOKUP(B47,'Dados Meteorológicos'!$1:$988,49,0)</f>
        <v/>
      </c>
      <c r="BA47" s="62" t="str">
        <f>VLOOKUP(B47,'Dados Meteorológicos'!$1:$988,50,0)</f>
        <v/>
      </c>
      <c r="BB47" s="62" t="str">
        <f>VLOOKUP(B47,'Dados Meteorológicos'!$1:$988,51,0)</f>
        <v/>
      </c>
      <c r="BC47" s="62" t="str">
        <f>VLOOKUP(B47,'Dados Meteorológicos'!$1:$988,52,0)</f>
        <v/>
      </c>
      <c r="BD47" s="14" t="str">
        <f>VLOOKUP(B47,'Dados Meteorológicos'!$1:$988,53,0)</f>
        <v/>
      </c>
      <c r="BE47" s="62"/>
      <c r="BF47" s="63">
        <f t="shared" ref="BF47:BN47" si="48">AVERAGE(R47,AB47,AL47,AV47)</f>
        <v>33.475</v>
      </c>
      <c r="BG47" s="63">
        <f t="shared" si="48"/>
        <v>22.655</v>
      </c>
      <c r="BH47" s="63">
        <f t="shared" si="48"/>
        <v>53</v>
      </c>
      <c r="BI47" s="63">
        <f t="shared" si="48"/>
        <v>36.585</v>
      </c>
      <c r="BJ47" s="63">
        <f t="shared" si="48"/>
        <v>577.75</v>
      </c>
      <c r="BK47" s="63">
        <f t="shared" si="48"/>
        <v>0.93</v>
      </c>
      <c r="BL47" s="63">
        <f t="shared" si="48"/>
        <v>26.93</v>
      </c>
      <c r="BM47" s="63">
        <f t="shared" si="48"/>
        <v>49.51</v>
      </c>
      <c r="BN47" s="63">
        <f t="shared" si="48"/>
        <v>32.105</v>
      </c>
    </row>
    <row r="48">
      <c r="A48" s="64">
        <v>47.0</v>
      </c>
      <c r="B48" s="70" t="s">
        <v>1707</v>
      </c>
      <c r="C48" s="66">
        <v>49.0</v>
      </c>
      <c r="D48" s="66">
        <v>51.0</v>
      </c>
      <c r="E48" s="55">
        <f t="shared" si="2"/>
        <v>100</v>
      </c>
      <c r="F48" s="67">
        <v>45834.0</v>
      </c>
      <c r="G48" s="66" t="s">
        <v>1676</v>
      </c>
      <c r="H48" s="68">
        <v>0.9166666666666666</v>
      </c>
      <c r="I48" s="68">
        <v>0.8333333333333334</v>
      </c>
      <c r="J48" s="59" t="str">
        <f t="shared" si="3"/>
        <v>Evening</v>
      </c>
      <c r="K48" s="66" t="s">
        <v>1677</v>
      </c>
      <c r="L48" s="66" t="s">
        <v>1630</v>
      </c>
      <c r="M48" s="69"/>
      <c r="N48" s="70" t="s">
        <v>1696</v>
      </c>
      <c r="O48" s="62">
        <f>VLOOKUP(B48,'Dados Meteorológicos'!$1:$988,12,0)</f>
        <v>36.25</v>
      </c>
      <c r="P48" s="62">
        <f>VLOOKUP(B48,'Dados Meteorológicos'!$1:$988,13,0)</f>
        <v>-86.75</v>
      </c>
      <c r="Q48" s="62">
        <f>VLOOKUP(B48,'Dados Meteorológicos'!$1:$988,14,0)</f>
        <v>2</v>
      </c>
      <c r="R48" s="62">
        <f>VLOOKUP(B48,'Dados Meteorológicos'!$1:$988,15,0)</f>
        <v>27.92</v>
      </c>
      <c r="S48" s="62">
        <f>VLOOKUP(B48,'Dados Meteorológicos'!$1:$988,16,0)</f>
        <v>23.97</v>
      </c>
      <c r="T48" s="62">
        <f>VLOOKUP(B48,'Dados Meteorológicos'!$1:$988,17,0)</f>
        <v>79</v>
      </c>
      <c r="U48" s="62">
        <f>VLOOKUP(B48,'Dados Meteorológicos'!$1:$988,18,0)</f>
        <v>27.09</v>
      </c>
      <c r="V48" s="62">
        <f>VLOOKUP(B48,'Dados Meteorológicos'!$1:$988,19,0)</f>
        <v>0.1</v>
      </c>
      <c r="W48" s="62">
        <f>VLOOKUP(B48,'Dados Meteorológicos'!$1:$988,20,0)</f>
        <v>0.2</v>
      </c>
      <c r="X48" s="62">
        <f>VLOOKUP(B48,'Dados Meteorológicos'!$1:$988,21,0)</f>
        <v>25.47</v>
      </c>
      <c r="Y48" s="62">
        <f>VLOOKUP(B48,'Dados Meteorológicos'!$1:$988,22,0)</f>
        <v>44.78</v>
      </c>
      <c r="Z48" s="62">
        <f>VLOOKUP(B48,'Dados Meteorológicos'!$1:$988,23,0)</f>
        <v>29.57</v>
      </c>
      <c r="AA48" s="62">
        <f>VLOOKUP(B48,'Dados Meteorológicos'!$1:$988,24,0)</f>
        <v>3</v>
      </c>
      <c r="AB48" s="62">
        <f>VLOOKUP(B48,'Dados Meteorológicos'!$1:$988,25,0)</f>
        <v>27.3</v>
      </c>
      <c r="AC48" s="62">
        <f>VLOOKUP(B48,'Dados Meteorológicos'!$1:$988,26,0)</f>
        <v>23.71</v>
      </c>
      <c r="AD48" s="62">
        <f>VLOOKUP(B48,'Dados Meteorológicos'!$1:$988,27,0)</f>
        <v>80</v>
      </c>
      <c r="AE48" s="62">
        <f>VLOOKUP(B48,'Dados Meteorológicos'!$1:$988,28,0)</f>
        <v>26.18</v>
      </c>
      <c r="AF48" s="62">
        <f>VLOOKUP(B48,'Dados Meteorológicos'!$1:$988,29,0)</f>
        <v>0</v>
      </c>
      <c r="AG48" s="62">
        <f>VLOOKUP(B48,'Dados Meteorológicos'!$1:$988,30,0)</f>
        <v>0.68</v>
      </c>
      <c r="AH48" s="62">
        <f>VLOOKUP(B48,'Dados Meteorológicos'!$1:$988,31,0)</f>
        <v>24.98</v>
      </c>
      <c r="AI48" s="62">
        <f>VLOOKUP(B48,'Dados Meteorológicos'!$1:$988,32,0)</f>
        <v>43.58</v>
      </c>
      <c r="AJ48" s="62">
        <f>VLOOKUP(B48,'Dados Meteorológicos'!$1:$988,33,0)</f>
        <v>28.93</v>
      </c>
      <c r="AK48" s="62" t="str">
        <f>VLOOKUP(B48,'Dados Meteorológicos'!$1:$988,34,0)</f>
        <v/>
      </c>
      <c r="AL48" s="62" t="str">
        <f>VLOOKUP(B48,'Dados Meteorológicos'!$1:$988,35,0)</f>
        <v/>
      </c>
      <c r="AM48" s="62" t="str">
        <f>VLOOKUP(B48,'Dados Meteorológicos'!$1:$988,36,0)</f>
        <v/>
      </c>
      <c r="AN48" s="62" t="str">
        <f>VLOOKUP(B48,'Dados Meteorológicos'!$1:$988,37,0)</f>
        <v/>
      </c>
      <c r="AO48" s="62" t="str">
        <f>VLOOKUP(B48,'Dados Meteorológicos'!$1:$988,38,0)</f>
        <v/>
      </c>
      <c r="AP48" s="62" t="str">
        <f>VLOOKUP(B48,'Dados Meteorológicos'!$1:$988,39,0)</f>
        <v/>
      </c>
      <c r="AQ48" s="62" t="str">
        <f>VLOOKUP(B48,'Dados Meteorológicos'!$1:$988,40,0)</f>
        <v/>
      </c>
      <c r="AR48" s="62" t="str">
        <f>VLOOKUP(B48,'Dados Meteorológicos'!$1:$988,41,0)</f>
        <v/>
      </c>
      <c r="AS48" s="62" t="str">
        <f>VLOOKUP(B48,'Dados Meteorológicos'!$1:$988,42,0)</f>
        <v/>
      </c>
      <c r="AT48" s="62" t="str">
        <f>VLOOKUP(B48,'Dados Meteorológicos'!$1:$988,43,0)</f>
        <v/>
      </c>
      <c r="AU48" s="62" t="str">
        <f>VLOOKUP(B48,'Dados Meteorológicos'!$1:$988,44,0)</f>
        <v/>
      </c>
      <c r="AV48" s="62" t="str">
        <f>VLOOKUP(B48,'Dados Meteorológicos'!$1:$988,45,0)</f>
        <v/>
      </c>
      <c r="AW48" s="62" t="str">
        <f>VLOOKUP(B48,'Dados Meteorológicos'!$1:$988,46,0)</f>
        <v/>
      </c>
      <c r="AX48" s="62" t="str">
        <f>VLOOKUP(B48,'Dados Meteorológicos'!$1:$988,47,0)</f>
        <v/>
      </c>
      <c r="AY48" s="62" t="str">
        <f>VLOOKUP(B48,'Dados Meteorológicos'!$1:$988,48,0)</f>
        <v/>
      </c>
      <c r="AZ48" s="62" t="str">
        <f>VLOOKUP(B48,'Dados Meteorológicos'!$1:$988,49,0)</f>
        <v/>
      </c>
      <c r="BA48" s="62" t="str">
        <f>VLOOKUP(B48,'Dados Meteorológicos'!$1:$988,50,0)</f>
        <v/>
      </c>
      <c r="BB48" s="62" t="str">
        <f>VLOOKUP(B48,'Dados Meteorológicos'!$1:$988,51,0)</f>
        <v/>
      </c>
      <c r="BC48" s="62" t="str">
        <f>VLOOKUP(B48,'Dados Meteorológicos'!$1:$988,52,0)</f>
        <v/>
      </c>
      <c r="BD48" s="14" t="str">
        <f>VLOOKUP(B48,'Dados Meteorológicos'!$1:$988,53,0)</f>
        <v/>
      </c>
      <c r="BE48" s="62"/>
      <c r="BF48" s="63">
        <f t="shared" ref="BF48:BN48" si="49">AVERAGE(R48,AB48,AL48,AV48)</f>
        <v>27.61</v>
      </c>
      <c r="BG48" s="63">
        <f t="shared" si="49"/>
        <v>23.84</v>
      </c>
      <c r="BH48" s="63">
        <f t="shared" si="49"/>
        <v>79.5</v>
      </c>
      <c r="BI48" s="63">
        <f t="shared" si="49"/>
        <v>26.635</v>
      </c>
      <c r="BJ48" s="63">
        <f t="shared" si="49"/>
        <v>0.05</v>
      </c>
      <c r="BK48" s="63">
        <f t="shared" si="49"/>
        <v>0.44</v>
      </c>
      <c r="BL48" s="63">
        <f t="shared" si="49"/>
        <v>25.225</v>
      </c>
      <c r="BM48" s="63">
        <f t="shared" si="49"/>
        <v>44.18</v>
      </c>
      <c r="BN48" s="63">
        <f t="shared" si="49"/>
        <v>29.25</v>
      </c>
    </row>
    <row r="49">
      <c r="A49" s="64">
        <v>48.0</v>
      </c>
      <c r="B49" s="70" t="s">
        <v>1708</v>
      </c>
      <c r="C49" s="100">
        <v>49.0</v>
      </c>
      <c r="D49" s="66">
        <v>48.0</v>
      </c>
      <c r="E49" s="55">
        <f t="shared" si="2"/>
        <v>97</v>
      </c>
      <c r="F49" s="67">
        <v>45834.0</v>
      </c>
      <c r="G49" s="66" t="s">
        <v>1651</v>
      </c>
      <c r="H49" s="68">
        <v>0.9166666666666666</v>
      </c>
      <c r="I49" s="68">
        <v>0.875</v>
      </c>
      <c r="J49" s="59" t="str">
        <f t="shared" si="3"/>
        <v>Evening</v>
      </c>
      <c r="K49" s="66" t="s">
        <v>500</v>
      </c>
      <c r="L49" s="66" t="s">
        <v>1630</v>
      </c>
      <c r="M49" s="69"/>
      <c r="N49" s="70" t="s">
        <v>1652</v>
      </c>
      <c r="O49" s="62">
        <f>VLOOKUP(B49,'Dados Meteorológicos'!$1:$988,12,0)</f>
        <v>40</v>
      </c>
      <c r="P49" s="62">
        <f>VLOOKUP(B49,'Dados Meteorológicos'!$1:$988,13,0)</f>
        <v>-75.25</v>
      </c>
      <c r="Q49" s="62">
        <f>VLOOKUP(B49,'Dados Meteorológicos'!$1:$988,14,0)</f>
        <v>2</v>
      </c>
      <c r="R49" s="62">
        <f>VLOOKUP(B49,'Dados Meteorológicos'!$1:$988,15,0)</f>
        <v>20.55</v>
      </c>
      <c r="S49" s="62">
        <f>VLOOKUP(B49,'Dados Meteorológicos'!$1:$988,16,0)</f>
        <v>14.08</v>
      </c>
      <c r="T49" s="62">
        <f>VLOOKUP(B49,'Dados Meteorológicos'!$1:$988,17,0)</f>
        <v>66</v>
      </c>
      <c r="U49" s="62">
        <f>VLOOKUP(B49,'Dados Meteorológicos'!$1:$988,18,0)</f>
        <v>17.84</v>
      </c>
      <c r="V49" s="62">
        <f>VLOOKUP(B49,'Dados Meteorológicos'!$1:$988,19,0)</f>
        <v>0</v>
      </c>
      <c r="W49" s="62">
        <f>VLOOKUP(B49,'Dados Meteorológicos'!$1:$988,20,0)</f>
        <v>3</v>
      </c>
      <c r="X49" s="62">
        <f>VLOOKUP(B49,'Dados Meteorológicos'!$1:$988,21,0)</f>
        <v>18.29</v>
      </c>
      <c r="Y49" s="62">
        <f>VLOOKUP(B49,'Dados Meteorológicos'!$1:$988,22,0)</f>
        <v>30.73</v>
      </c>
      <c r="Z49" s="62">
        <f>VLOOKUP(B49,'Dados Meteorológicos'!$1:$988,23,0)</f>
        <v>21</v>
      </c>
      <c r="AA49" s="62">
        <f>VLOOKUP(B49,'Dados Meteorológicos'!$1:$988,24,0)</f>
        <v>3</v>
      </c>
      <c r="AB49" s="62">
        <f>VLOOKUP(B49,'Dados Meteorológicos'!$1:$988,25,0)</f>
        <v>20.3</v>
      </c>
      <c r="AC49" s="62">
        <f>VLOOKUP(B49,'Dados Meteorológicos'!$1:$988,26,0)</f>
        <v>14.24</v>
      </c>
      <c r="AD49" s="62">
        <f>VLOOKUP(B49,'Dados Meteorológicos'!$1:$988,27,0)</f>
        <v>68</v>
      </c>
      <c r="AE49" s="62">
        <f>VLOOKUP(B49,'Dados Meteorológicos'!$1:$988,28,0)</f>
        <v>17.58</v>
      </c>
      <c r="AF49" s="62">
        <f>VLOOKUP(B49,'Dados Meteorológicos'!$1:$988,29,0)</f>
        <v>0</v>
      </c>
      <c r="AG49" s="62">
        <f>VLOOKUP(B49,'Dados Meteorológicos'!$1:$988,30,0)</f>
        <v>3.13</v>
      </c>
      <c r="AH49" s="62">
        <f>VLOOKUP(B49,'Dados Meteorológicos'!$1:$988,31,0)</f>
        <v>18.21</v>
      </c>
      <c r="AI49" s="62">
        <f>VLOOKUP(B49,'Dados Meteorológicos'!$1:$988,32,0)</f>
        <v>30.4</v>
      </c>
      <c r="AJ49" s="62">
        <f>VLOOKUP(B49,'Dados Meteorológicos'!$1:$988,33,0)</f>
        <v>20.86</v>
      </c>
      <c r="AK49" s="62" t="str">
        <f>VLOOKUP(B49,'Dados Meteorológicos'!$1:$988,34,0)</f>
        <v/>
      </c>
      <c r="AL49" s="62" t="str">
        <f>VLOOKUP(B49,'Dados Meteorológicos'!$1:$988,35,0)</f>
        <v/>
      </c>
      <c r="AM49" s="62" t="str">
        <f>VLOOKUP(B49,'Dados Meteorológicos'!$1:$988,36,0)</f>
        <v/>
      </c>
      <c r="AN49" s="62" t="str">
        <f>VLOOKUP(B49,'Dados Meteorológicos'!$1:$988,37,0)</f>
        <v/>
      </c>
      <c r="AO49" s="62" t="str">
        <f>VLOOKUP(B49,'Dados Meteorológicos'!$1:$988,38,0)</f>
        <v/>
      </c>
      <c r="AP49" s="62" t="str">
        <f>VLOOKUP(B49,'Dados Meteorológicos'!$1:$988,39,0)</f>
        <v/>
      </c>
      <c r="AQ49" s="62" t="str">
        <f>VLOOKUP(B49,'Dados Meteorológicos'!$1:$988,40,0)</f>
        <v/>
      </c>
      <c r="AR49" s="62" t="str">
        <f>VLOOKUP(B49,'Dados Meteorológicos'!$1:$988,41,0)</f>
        <v/>
      </c>
      <c r="AS49" s="62" t="str">
        <f>VLOOKUP(B49,'Dados Meteorológicos'!$1:$988,42,0)</f>
        <v/>
      </c>
      <c r="AT49" s="62" t="str">
        <f>VLOOKUP(B49,'Dados Meteorológicos'!$1:$988,43,0)</f>
        <v/>
      </c>
      <c r="AU49" s="62" t="str">
        <f>VLOOKUP(B49,'Dados Meteorológicos'!$1:$988,44,0)</f>
        <v/>
      </c>
      <c r="AV49" s="62" t="str">
        <f>VLOOKUP(B49,'Dados Meteorológicos'!$1:$988,45,0)</f>
        <v/>
      </c>
      <c r="AW49" s="62" t="str">
        <f>VLOOKUP(B49,'Dados Meteorológicos'!$1:$988,46,0)</f>
        <v/>
      </c>
      <c r="AX49" s="62" t="str">
        <f>VLOOKUP(B49,'Dados Meteorológicos'!$1:$988,47,0)</f>
        <v/>
      </c>
      <c r="AY49" s="62" t="str">
        <f>VLOOKUP(B49,'Dados Meteorológicos'!$1:$988,48,0)</f>
        <v/>
      </c>
      <c r="AZ49" s="62" t="str">
        <f>VLOOKUP(B49,'Dados Meteorológicos'!$1:$988,49,0)</f>
        <v/>
      </c>
      <c r="BA49" s="62" t="str">
        <f>VLOOKUP(B49,'Dados Meteorológicos'!$1:$988,50,0)</f>
        <v/>
      </c>
      <c r="BB49" s="62" t="str">
        <f>VLOOKUP(B49,'Dados Meteorológicos'!$1:$988,51,0)</f>
        <v/>
      </c>
      <c r="BC49" s="62" t="str">
        <f>VLOOKUP(B49,'Dados Meteorológicos'!$1:$988,52,0)</f>
        <v/>
      </c>
      <c r="BD49" s="14" t="str">
        <f>VLOOKUP(B49,'Dados Meteorológicos'!$1:$988,53,0)</f>
        <v/>
      </c>
      <c r="BE49" s="62"/>
      <c r="BF49" s="63">
        <f t="shared" ref="BF49:BN49" si="50">AVERAGE(R49,AB49,AL49,AV49)</f>
        <v>20.425</v>
      </c>
      <c r="BG49" s="63">
        <f t="shared" si="50"/>
        <v>14.16</v>
      </c>
      <c r="BH49" s="63">
        <f t="shared" si="50"/>
        <v>67</v>
      </c>
      <c r="BI49" s="63">
        <f t="shared" si="50"/>
        <v>17.71</v>
      </c>
      <c r="BJ49" s="63">
        <f t="shared" si="50"/>
        <v>0</v>
      </c>
      <c r="BK49" s="63">
        <f t="shared" si="50"/>
        <v>3.065</v>
      </c>
      <c r="BL49" s="63">
        <f t="shared" si="50"/>
        <v>18.25</v>
      </c>
      <c r="BM49" s="63">
        <f t="shared" si="50"/>
        <v>30.565</v>
      </c>
      <c r="BN49" s="63">
        <f t="shared" si="50"/>
        <v>20.93</v>
      </c>
    </row>
    <row r="50">
      <c r="A50" s="64">
        <v>49.0</v>
      </c>
      <c r="B50" s="101" t="s">
        <v>1709</v>
      </c>
      <c r="C50" s="57">
        <v>51.0</v>
      </c>
      <c r="D50" s="57">
        <v>50.0</v>
      </c>
      <c r="E50" s="55">
        <v>139.0</v>
      </c>
      <c r="F50" s="56">
        <v>45836.0</v>
      </c>
      <c r="G50" s="82" t="s">
        <v>1651</v>
      </c>
      <c r="H50" s="58">
        <v>0.5416666666666666</v>
      </c>
      <c r="I50" s="58">
        <v>0.5</v>
      </c>
      <c r="J50" s="59" t="str">
        <f t="shared" si="3"/>
        <v>Afternoon</v>
      </c>
      <c r="K50" s="82" t="s">
        <v>500</v>
      </c>
      <c r="L50" s="82" t="s">
        <v>1630</v>
      </c>
      <c r="M50" s="102" t="s">
        <v>1710</v>
      </c>
      <c r="N50" s="61" t="s">
        <v>1652</v>
      </c>
      <c r="O50" s="62">
        <f>VLOOKUP(B50,'Dados Meteorológicos'!$1:$988,12,0)</f>
        <v>40</v>
      </c>
      <c r="P50" s="62">
        <f>VLOOKUP(B50,'Dados Meteorológicos'!$1:$988,13,0)</f>
        <v>-75.25</v>
      </c>
      <c r="Q50" s="62">
        <f>VLOOKUP(B50,'Dados Meteorológicos'!$1:$988,14,0)</f>
        <v>17</v>
      </c>
      <c r="R50" s="62">
        <f>VLOOKUP(B50,'Dados Meteorológicos'!$1:$988,15,0)</f>
        <v>26.97</v>
      </c>
      <c r="S50" s="62">
        <f>VLOOKUP(B50,'Dados Meteorológicos'!$1:$988,16,0)</f>
        <v>21.1</v>
      </c>
      <c r="T50" s="62">
        <f>VLOOKUP(B50,'Dados Meteorológicos'!$1:$988,17,0)</f>
        <v>70</v>
      </c>
      <c r="U50" s="62">
        <f>VLOOKUP(B50,'Dados Meteorológicos'!$1:$988,18,0)</f>
        <v>25.7</v>
      </c>
      <c r="V50" s="62">
        <f>VLOOKUP(B50,'Dados Meteorológicos'!$1:$988,19,0)</f>
        <v>494.1</v>
      </c>
      <c r="W50" s="62">
        <f>VLOOKUP(B50,'Dados Meteorológicos'!$1:$988,20,0)</f>
        <v>1.85</v>
      </c>
      <c r="X50" s="62">
        <f>VLOOKUP(B50,'Dados Meteorológicos'!$1:$988,21,0)</f>
        <v>23.66</v>
      </c>
      <c r="Y50" s="62">
        <f>VLOOKUP(B50,'Dados Meteorológicos'!$1:$988,22,0)</f>
        <v>41.05</v>
      </c>
      <c r="Z50" s="62">
        <f>VLOOKUP(B50,'Dados Meteorológicos'!$1:$988,23,0)</f>
        <v>27.47</v>
      </c>
      <c r="AA50" s="62">
        <f>VLOOKUP(B50,'Dados Meteorológicos'!$1:$988,24,0)</f>
        <v>18</v>
      </c>
      <c r="AB50" s="62">
        <f>VLOOKUP(B50,'Dados Meteorológicos'!$1:$988,25,0)</f>
        <v>27.87</v>
      </c>
      <c r="AC50" s="62">
        <f>VLOOKUP(B50,'Dados Meteorológicos'!$1:$988,26,0)</f>
        <v>21.25</v>
      </c>
      <c r="AD50" s="62">
        <f>VLOOKUP(B50,'Dados Meteorológicos'!$1:$988,27,0)</f>
        <v>67</v>
      </c>
      <c r="AE50" s="62">
        <f>VLOOKUP(B50,'Dados Meteorológicos'!$1:$988,28,0)</f>
        <v>27.02</v>
      </c>
      <c r="AF50" s="62">
        <f>VLOOKUP(B50,'Dados Meteorológicos'!$1:$988,29,0)</f>
        <v>466.7</v>
      </c>
      <c r="AG50" s="62">
        <f>VLOOKUP(B50,'Dados Meteorológicos'!$1:$988,30,0)</f>
        <v>1.93</v>
      </c>
      <c r="AH50" s="62">
        <f>VLOOKUP(B50,'Dados Meteorológicos'!$1:$988,31,0)</f>
        <v>24.05</v>
      </c>
      <c r="AI50" s="62">
        <f>VLOOKUP(B50,'Dados Meteorológicos'!$1:$988,32,0)</f>
        <v>41.96</v>
      </c>
      <c r="AJ50" s="62">
        <f>VLOOKUP(B50,'Dados Meteorológicos'!$1:$988,33,0)</f>
        <v>28.02</v>
      </c>
      <c r="AK50" s="62">
        <f>VLOOKUP(B50,'Dados Meteorológicos'!$1:$988,34,0)</f>
        <v>19</v>
      </c>
      <c r="AL50" s="62">
        <f>VLOOKUP(B50,'Dados Meteorológicos'!$1:$988,35,0)</f>
        <v>29.42</v>
      </c>
      <c r="AM50" s="62">
        <f>VLOOKUP(B50,'Dados Meteorológicos'!$1:$988,36,0)</f>
        <v>21.89</v>
      </c>
      <c r="AN50" s="62">
        <f>VLOOKUP(B50,'Dados Meteorológicos'!$1:$988,37,0)</f>
        <v>63</v>
      </c>
      <c r="AO50" s="62">
        <f>VLOOKUP(B50,'Dados Meteorológicos'!$1:$988,38,0)</f>
        <v>29.41</v>
      </c>
      <c r="AP50" s="62">
        <f>VLOOKUP(B50,'Dados Meteorológicos'!$1:$988,39,0)</f>
        <v>583.7</v>
      </c>
      <c r="AQ50" s="62">
        <f>VLOOKUP(B50,'Dados Meteorológicos'!$1:$988,40,0)</f>
        <v>1.87</v>
      </c>
      <c r="AR50" s="62">
        <f>VLOOKUP(B50,'Dados Meteorológicos'!$1:$988,41,0)</f>
        <v>24.9</v>
      </c>
      <c r="AS50" s="62">
        <f>VLOOKUP(B50,'Dados Meteorológicos'!$1:$988,42,0)</f>
        <v>43.86</v>
      </c>
      <c r="AT50" s="62">
        <f>VLOOKUP(B50,'Dados Meteorológicos'!$1:$988,43,0)</f>
        <v>29.15</v>
      </c>
      <c r="AU50" s="62">
        <f>VLOOKUP(B50,'Dados Meteorológicos'!$1:$988,44,0)</f>
        <v>20</v>
      </c>
      <c r="AV50" s="62">
        <f>VLOOKUP(B50,'Dados Meteorológicos'!$1:$988,45,0)</f>
        <v>30.4</v>
      </c>
      <c r="AW50" s="62">
        <f>VLOOKUP(B50,'Dados Meteorológicos'!$1:$988,46,0)</f>
        <v>22.2</v>
      </c>
      <c r="AX50" s="62">
        <f>VLOOKUP(B50,'Dados Meteorológicos'!$1:$988,47,0)</f>
        <v>61</v>
      </c>
      <c r="AY50" s="62">
        <f>VLOOKUP(B50,'Dados Meteorológicos'!$1:$988,48,0)</f>
        <v>31.02</v>
      </c>
      <c r="AZ50" s="62">
        <f>VLOOKUP(B50,'Dados Meteorológicos'!$1:$988,49,0)</f>
        <v>324.7</v>
      </c>
      <c r="BA50" s="62">
        <f>VLOOKUP(B50,'Dados Meteorológicos'!$1:$988,50,0)</f>
        <v>2.05</v>
      </c>
      <c r="BB50" s="62">
        <f>VLOOKUP(B50,'Dados Meteorológicos'!$1:$988,51,0)</f>
        <v>25.35</v>
      </c>
      <c r="BC50" s="62">
        <f>VLOOKUP(B50,'Dados Meteorológicos'!$1:$988,52,0)</f>
        <v>44.84</v>
      </c>
      <c r="BD50" s="14">
        <f>VLOOKUP(B50,'Dados Meteorológicos'!$1:$988,53,0)</f>
        <v>29.75</v>
      </c>
      <c r="BE50" s="62"/>
      <c r="BF50" s="63">
        <f t="shared" ref="BF50:BN50" si="51">AVERAGE(R50,AB50,AL50,AV50)</f>
        <v>28.665</v>
      </c>
      <c r="BG50" s="63">
        <f t="shared" si="51"/>
        <v>21.61</v>
      </c>
      <c r="BH50" s="63">
        <f t="shared" si="51"/>
        <v>65.25</v>
      </c>
      <c r="BI50" s="63">
        <f t="shared" si="51"/>
        <v>28.2875</v>
      </c>
      <c r="BJ50" s="63">
        <f t="shared" si="51"/>
        <v>467.3</v>
      </c>
      <c r="BK50" s="63">
        <f t="shared" si="51"/>
        <v>1.925</v>
      </c>
      <c r="BL50" s="63">
        <f t="shared" si="51"/>
        <v>24.49</v>
      </c>
      <c r="BM50" s="63">
        <f t="shared" si="51"/>
        <v>42.9275</v>
      </c>
      <c r="BN50" s="63">
        <f t="shared" si="51"/>
        <v>28.5975</v>
      </c>
    </row>
    <row r="51">
      <c r="A51" s="64">
        <v>50.0</v>
      </c>
      <c r="B51" s="89" t="s">
        <v>1711</v>
      </c>
      <c r="C51" s="88">
        <v>49.0</v>
      </c>
      <c r="D51" s="78">
        <v>51.0</v>
      </c>
      <c r="E51" s="103">
        <f>C51+D51+15+1+15+1</f>
        <v>132</v>
      </c>
      <c r="F51" s="74">
        <v>45836.0</v>
      </c>
      <c r="G51" s="66" t="s">
        <v>1686</v>
      </c>
      <c r="H51" s="75">
        <v>0.7083333333333334</v>
      </c>
      <c r="I51" s="75">
        <v>0.6666666666666666</v>
      </c>
      <c r="J51" s="59" t="str">
        <f t="shared" si="3"/>
        <v>Afternoon</v>
      </c>
      <c r="K51" s="66" t="s">
        <v>1200</v>
      </c>
      <c r="L51" s="66" t="s">
        <v>1630</v>
      </c>
      <c r="M51" s="90" t="s">
        <v>1710</v>
      </c>
      <c r="N51" s="70" t="s">
        <v>1687</v>
      </c>
      <c r="O51" s="62">
        <f>VLOOKUP(B51,'Dados Meteorológicos'!$1:$988,12,0)</f>
        <v>35.25</v>
      </c>
      <c r="P51" s="62">
        <f>VLOOKUP(B51,'Dados Meteorológicos'!$1:$988,13,0)</f>
        <v>-80.75</v>
      </c>
      <c r="Q51" s="62">
        <f>VLOOKUP(B51,'Dados Meteorológicos'!$1:$988,14,0)</f>
        <v>21</v>
      </c>
      <c r="R51" s="62">
        <f>VLOOKUP(B51,'Dados Meteorológicos'!$1:$988,15,0)</f>
        <v>29.43</v>
      </c>
      <c r="S51" s="62">
        <f>VLOOKUP(B51,'Dados Meteorológicos'!$1:$988,16,0)</f>
        <v>21.09</v>
      </c>
      <c r="T51" s="62">
        <f>VLOOKUP(B51,'Dados Meteorológicos'!$1:$988,17,0)</f>
        <v>60</v>
      </c>
      <c r="U51" s="62">
        <f>VLOOKUP(B51,'Dados Meteorológicos'!$1:$988,18,0)</f>
        <v>29.43</v>
      </c>
      <c r="V51" s="62">
        <f>VLOOKUP(B51,'Dados Meteorológicos'!$1:$988,19,0)</f>
        <v>521.5</v>
      </c>
      <c r="W51" s="62">
        <f>VLOOKUP(B51,'Dados Meteorológicos'!$1:$988,20,0)</f>
        <v>0.92</v>
      </c>
      <c r="X51" s="62">
        <f>VLOOKUP(B51,'Dados Meteorológicos'!$1:$988,21,0)</f>
        <v>24.86</v>
      </c>
      <c r="Y51" s="62">
        <f>VLOOKUP(B51,'Dados Meteorológicos'!$1:$988,22,0)</f>
        <v>44.6</v>
      </c>
      <c r="Z51" s="62">
        <f>VLOOKUP(B51,'Dados Meteorológicos'!$1:$988,23,0)</f>
        <v>29.27</v>
      </c>
      <c r="AA51" s="62">
        <f>VLOOKUP(B51,'Dados Meteorológicos'!$1:$988,24,0)</f>
        <v>22</v>
      </c>
      <c r="AB51" s="62">
        <f>VLOOKUP(B51,'Dados Meteorológicos'!$1:$988,25,0)</f>
        <v>28.73</v>
      </c>
      <c r="AC51" s="62">
        <f>VLOOKUP(B51,'Dados Meteorológicos'!$1:$988,26,0)</f>
        <v>21.09</v>
      </c>
      <c r="AD51" s="62">
        <f>VLOOKUP(B51,'Dados Meteorológicos'!$1:$988,27,0)</f>
        <v>63</v>
      </c>
      <c r="AE51" s="62">
        <f>VLOOKUP(B51,'Dados Meteorológicos'!$1:$988,28,0)</f>
        <v>28.32</v>
      </c>
      <c r="AF51" s="62">
        <f>VLOOKUP(B51,'Dados Meteorológicos'!$1:$988,29,0)</f>
        <v>391.3</v>
      </c>
      <c r="AG51" s="62">
        <f>VLOOKUP(B51,'Dados Meteorológicos'!$1:$988,30,0)</f>
        <v>2.15</v>
      </c>
      <c r="AH51" s="62">
        <f>VLOOKUP(B51,'Dados Meteorológicos'!$1:$988,31,0)</f>
        <v>24.27</v>
      </c>
      <c r="AI51" s="62">
        <f>VLOOKUP(B51,'Dados Meteorológicos'!$1:$988,32,0)</f>
        <v>42.58</v>
      </c>
      <c r="AJ51" s="62">
        <f>VLOOKUP(B51,'Dados Meteorológicos'!$1:$988,33,0)</f>
        <v>28.38</v>
      </c>
      <c r="AK51" s="62">
        <f>VLOOKUP(B51,'Dados Meteorológicos'!$1:$988,34,0)</f>
        <v>23</v>
      </c>
      <c r="AL51" s="62">
        <f>VLOOKUP(B51,'Dados Meteorológicos'!$1:$988,35,0)</f>
        <v>28.83</v>
      </c>
      <c r="AM51" s="62">
        <f>VLOOKUP(B51,'Dados Meteorológicos'!$1:$988,36,0)</f>
        <v>20.84</v>
      </c>
      <c r="AN51" s="62">
        <f>VLOOKUP(B51,'Dados Meteorológicos'!$1:$988,37,0)</f>
        <v>62</v>
      </c>
      <c r="AO51" s="62">
        <f>VLOOKUP(B51,'Dados Meteorológicos'!$1:$988,38,0)</f>
        <v>28.48</v>
      </c>
      <c r="AP51" s="62">
        <f>VLOOKUP(B51,'Dados Meteorológicos'!$1:$988,39,0)</f>
        <v>254.3</v>
      </c>
      <c r="AQ51" s="62">
        <f>VLOOKUP(B51,'Dados Meteorológicos'!$1:$988,40,0)</f>
        <v>1.39</v>
      </c>
      <c r="AR51" s="62">
        <f>VLOOKUP(B51,'Dados Meteorológicos'!$1:$988,41,0)</f>
        <v>24.42</v>
      </c>
      <c r="AS51" s="62">
        <f>VLOOKUP(B51,'Dados Meteorológicos'!$1:$988,42,0)</f>
        <v>43.39</v>
      </c>
      <c r="AT51" s="62">
        <f>VLOOKUP(B51,'Dados Meteorológicos'!$1:$988,43,0)</f>
        <v>28.65</v>
      </c>
      <c r="AU51" s="62" t="str">
        <f>VLOOKUP(B51,'Dados Meteorológicos'!$1:$988,44,0)</f>
        <v>00+1d</v>
      </c>
      <c r="AV51" s="62">
        <f>VLOOKUP(B51,'Dados Meteorológicos'!$1:$988,45,0)</f>
        <v>28.22</v>
      </c>
      <c r="AW51" s="62">
        <f>VLOOKUP(B51,'Dados Meteorológicos'!$1:$988,46,0)</f>
        <v>21.28</v>
      </c>
      <c r="AX51" s="62">
        <f>VLOOKUP(B51,'Dados Meteorológicos'!$1:$988,47,0)</f>
        <v>66</v>
      </c>
      <c r="AY51" s="62">
        <f>VLOOKUP(B51,'Dados Meteorológicos'!$1:$988,48,0)</f>
        <v>27.54</v>
      </c>
      <c r="AZ51" s="62">
        <f>VLOOKUP(B51,'Dados Meteorológicos'!$1:$988,49,0)</f>
        <v>120.7</v>
      </c>
      <c r="BA51" s="62">
        <f>VLOOKUP(B51,'Dados Meteorológicos'!$1:$988,50,0)</f>
        <v>1.08</v>
      </c>
      <c r="BB51" s="62">
        <f>VLOOKUP(B51,'Dados Meteorológicos'!$1:$988,51,0)</f>
        <v>24.43</v>
      </c>
      <c r="BC51" s="62">
        <f>VLOOKUP(B51,'Dados Meteorológicos'!$1:$988,52,0)</f>
        <v>43.2</v>
      </c>
      <c r="BD51" s="14">
        <f>VLOOKUP(B51,'Dados Meteorológicos'!$1:$988,53,0)</f>
        <v>28.56</v>
      </c>
      <c r="BE51" s="62"/>
      <c r="BF51" s="63">
        <f t="shared" ref="BF51:BN51" si="52">AVERAGE(R51,AB51,AL51,AV51)</f>
        <v>28.8025</v>
      </c>
      <c r="BG51" s="63">
        <f t="shared" si="52"/>
        <v>21.075</v>
      </c>
      <c r="BH51" s="63">
        <f t="shared" si="52"/>
        <v>62.75</v>
      </c>
      <c r="BI51" s="63">
        <f t="shared" si="52"/>
        <v>28.4425</v>
      </c>
      <c r="BJ51" s="63">
        <f t="shared" si="52"/>
        <v>321.95</v>
      </c>
      <c r="BK51" s="63">
        <f t="shared" si="52"/>
        <v>1.385</v>
      </c>
      <c r="BL51" s="63">
        <f t="shared" si="52"/>
        <v>24.495</v>
      </c>
      <c r="BM51" s="63">
        <f t="shared" si="52"/>
        <v>43.4425</v>
      </c>
      <c r="BN51" s="63">
        <f t="shared" si="52"/>
        <v>28.715</v>
      </c>
    </row>
    <row r="52">
      <c r="A52" s="64">
        <v>51.0</v>
      </c>
      <c r="B52" s="89" t="s">
        <v>1712</v>
      </c>
      <c r="C52" s="78">
        <v>48.0</v>
      </c>
      <c r="D52" s="78">
        <v>47.0</v>
      </c>
      <c r="E52" s="55">
        <f t="shared" ref="E52:E54" si="54">C52+D52</f>
        <v>95</v>
      </c>
      <c r="F52" s="74">
        <v>45837.0</v>
      </c>
      <c r="G52" s="66" t="s">
        <v>1646</v>
      </c>
      <c r="H52" s="75">
        <v>0.5416666666666666</v>
      </c>
      <c r="I52" s="75">
        <v>0.5</v>
      </c>
      <c r="J52" s="59" t="str">
        <f t="shared" si="3"/>
        <v>Afternoon</v>
      </c>
      <c r="K52" s="66" t="s">
        <v>376</v>
      </c>
      <c r="L52" s="66" t="s">
        <v>1647</v>
      </c>
      <c r="M52" s="69"/>
      <c r="N52" s="70" t="s">
        <v>1648</v>
      </c>
      <c r="O52" s="62">
        <f>VLOOKUP(B52,'Dados Meteorológicos'!$1:$988,12,0)</f>
        <v>33.75</v>
      </c>
      <c r="P52" s="62">
        <f>VLOOKUP(B52,'Dados Meteorológicos'!$1:$988,13,0)</f>
        <v>-84.5</v>
      </c>
      <c r="Q52" s="62">
        <f>VLOOKUP(B52,'Dados Meteorológicos'!$1:$988,14,0)</f>
        <v>17</v>
      </c>
      <c r="R52" s="62">
        <f>VLOOKUP(B52,'Dados Meteorológicos'!$1:$988,15,0)</f>
        <v>30.14</v>
      </c>
      <c r="S52" s="62">
        <f>VLOOKUP(B52,'Dados Meteorológicos'!$1:$988,16,0)</f>
        <v>20.52</v>
      </c>
      <c r="T52" s="62">
        <f>VLOOKUP(B52,'Dados Meteorológicos'!$1:$988,17,0)</f>
        <v>56</v>
      </c>
      <c r="U52" s="62">
        <f>VLOOKUP(B52,'Dados Meteorológicos'!$1:$988,18,0)</f>
        <v>30.58</v>
      </c>
      <c r="V52" s="62">
        <f>VLOOKUP(B52,'Dados Meteorológicos'!$1:$988,19,0)</f>
        <v>774.4</v>
      </c>
      <c r="W52" s="62">
        <f>VLOOKUP(B52,'Dados Meteorológicos'!$1:$988,20,0)</f>
        <v>1.14</v>
      </c>
      <c r="X52" s="62">
        <f>VLOOKUP(B52,'Dados Meteorológicos'!$1:$988,21,0)</f>
        <v>24.85</v>
      </c>
      <c r="Y52" s="62">
        <f>VLOOKUP(B52,'Dados Meteorológicos'!$1:$988,22,0)</f>
        <v>44.98</v>
      </c>
      <c r="Z52" s="62">
        <f>VLOOKUP(B52,'Dados Meteorológicos'!$1:$988,23,0)</f>
        <v>29.4</v>
      </c>
      <c r="AA52" s="62">
        <f>VLOOKUP(B52,'Dados Meteorológicos'!$1:$988,24,0)</f>
        <v>18</v>
      </c>
      <c r="AB52" s="62">
        <f>VLOOKUP(B52,'Dados Meteorológicos'!$1:$988,25,0)</f>
        <v>29.86</v>
      </c>
      <c r="AC52" s="62">
        <f>VLOOKUP(B52,'Dados Meteorológicos'!$1:$988,26,0)</f>
        <v>20.62</v>
      </c>
      <c r="AD52" s="62">
        <f>VLOOKUP(B52,'Dados Meteorológicos'!$1:$988,27,0)</f>
        <v>57</v>
      </c>
      <c r="AE52" s="62">
        <f>VLOOKUP(B52,'Dados Meteorológicos'!$1:$988,28,0)</f>
        <v>30.12</v>
      </c>
      <c r="AF52" s="62">
        <f>VLOOKUP(B52,'Dados Meteorológicos'!$1:$988,29,0)</f>
        <v>751.3</v>
      </c>
      <c r="AG52" s="62">
        <f>VLOOKUP(B52,'Dados Meteorológicos'!$1:$988,30,0)</f>
        <v>0.99</v>
      </c>
      <c r="AH52" s="62">
        <f>VLOOKUP(B52,'Dados Meteorológicos'!$1:$988,31,0)</f>
        <v>24.82</v>
      </c>
      <c r="AI52" s="62">
        <f>VLOOKUP(B52,'Dados Meteorológicos'!$1:$988,32,0)</f>
        <v>44.84</v>
      </c>
      <c r="AJ52" s="62">
        <f>VLOOKUP(B52,'Dados Meteorológicos'!$1:$988,33,0)</f>
        <v>29.33</v>
      </c>
      <c r="AK52" s="62" t="str">
        <f>VLOOKUP(B52,'Dados Meteorológicos'!$1:$988,34,0)</f>
        <v/>
      </c>
      <c r="AL52" s="62" t="str">
        <f>VLOOKUP(B52,'Dados Meteorológicos'!$1:$988,35,0)</f>
        <v/>
      </c>
      <c r="AM52" s="62" t="str">
        <f>VLOOKUP(B52,'Dados Meteorológicos'!$1:$988,36,0)</f>
        <v/>
      </c>
      <c r="AN52" s="62" t="str">
        <f>VLOOKUP(B52,'Dados Meteorológicos'!$1:$988,37,0)</f>
        <v/>
      </c>
      <c r="AO52" s="62" t="str">
        <f>VLOOKUP(B52,'Dados Meteorológicos'!$1:$988,38,0)</f>
        <v/>
      </c>
      <c r="AP52" s="62" t="str">
        <f>VLOOKUP(B52,'Dados Meteorológicos'!$1:$988,39,0)</f>
        <v/>
      </c>
      <c r="AQ52" s="62" t="str">
        <f>VLOOKUP(B52,'Dados Meteorológicos'!$1:$988,40,0)</f>
        <v/>
      </c>
      <c r="AR52" s="62" t="str">
        <f>VLOOKUP(B52,'Dados Meteorológicos'!$1:$988,41,0)</f>
        <v/>
      </c>
      <c r="AS52" s="62" t="str">
        <f>VLOOKUP(B52,'Dados Meteorológicos'!$1:$988,42,0)</f>
        <v/>
      </c>
      <c r="AT52" s="62" t="str">
        <f>VLOOKUP(B52,'Dados Meteorológicos'!$1:$988,43,0)</f>
        <v/>
      </c>
      <c r="AU52" s="62" t="str">
        <f>VLOOKUP(B52,'Dados Meteorológicos'!$1:$988,44,0)</f>
        <v/>
      </c>
      <c r="AV52" s="62" t="str">
        <f>VLOOKUP(B52,'Dados Meteorológicos'!$1:$988,45,0)</f>
        <v/>
      </c>
      <c r="AW52" s="62" t="str">
        <f>VLOOKUP(B52,'Dados Meteorológicos'!$1:$988,46,0)</f>
        <v/>
      </c>
      <c r="AX52" s="62" t="str">
        <f>VLOOKUP(B52,'Dados Meteorológicos'!$1:$988,47,0)</f>
        <v/>
      </c>
      <c r="AY52" s="62" t="str">
        <f>VLOOKUP(B52,'Dados Meteorológicos'!$1:$988,48,0)</f>
        <v/>
      </c>
      <c r="AZ52" s="62" t="str">
        <f>VLOOKUP(B52,'Dados Meteorológicos'!$1:$988,49,0)</f>
        <v/>
      </c>
      <c r="BA52" s="62" t="str">
        <f>VLOOKUP(B52,'Dados Meteorológicos'!$1:$988,50,0)</f>
        <v/>
      </c>
      <c r="BB52" s="62" t="str">
        <f>VLOOKUP(B52,'Dados Meteorológicos'!$1:$988,51,0)</f>
        <v/>
      </c>
      <c r="BC52" s="62" t="str">
        <f>VLOOKUP(B52,'Dados Meteorológicos'!$1:$988,52,0)</f>
        <v/>
      </c>
      <c r="BD52" s="14" t="str">
        <f>VLOOKUP(B52,'Dados Meteorológicos'!$1:$988,53,0)</f>
        <v/>
      </c>
      <c r="BE52" s="62"/>
      <c r="BF52" s="63">
        <f t="shared" ref="BF52:BN52" si="53">AVERAGE(R52,AB52,AL52,AV52)</f>
        <v>30</v>
      </c>
      <c r="BG52" s="63">
        <f t="shared" si="53"/>
        <v>20.57</v>
      </c>
      <c r="BH52" s="63">
        <f t="shared" si="53"/>
        <v>56.5</v>
      </c>
      <c r="BI52" s="63">
        <f t="shared" si="53"/>
        <v>30.35</v>
      </c>
      <c r="BJ52" s="63">
        <f t="shared" si="53"/>
        <v>762.85</v>
      </c>
      <c r="BK52" s="63">
        <f t="shared" si="53"/>
        <v>1.065</v>
      </c>
      <c r="BL52" s="63">
        <f t="shared" si="53"/>
        <v>24.835</v>
      </c>
      <c r="BM52" s="63">
        <f t="shared" si="53"/>
        <v>44.91</v>
      </c>
      <c r="BN52" s="63">
        <f t="shared" si="53"/>
        <v>29.365</v>
      </c>
    </row>
    <row r="53">
      <c r="A53" s="64">
        <v>52.0</v>
      </c>
      <c r="B53" s="89" t="s">
        <v>1713</v>
      </c>
      <c r="C53" s="78">
        <v>53.0</v>
      </c>
      <c r="D53" s="88">
        <v>53.0</v>
      </c>
      <c r="E53" s="55">
        <f t="shared" si="54"/>
        <v>106</v>
      </c>
      <c r="F53" s="74">
        <v>45837.0</v>
      </c>
      <c r="G53" s="78" t="s">
        <v>1629</v>
      </c>
      <c r="H53" s="75">
        <v>0.7083333333333334</v>
      </c>
      <c r="I53" s="75">
        <v>0.6666666666666666</v>
      </c>
      <c r="J53" s="59" t="str">
        <f t="shared" si="3"/>
        <v>Afternoon</v>
      </c>
      <c r="K53" s="66" t="s">
        <v>62</v>
      </c>
      <c r="L53" s="66" t="s">
        <v>1630</v>
      </c>
      <c r="M53" s="69"/>
      <c r="N53" s="70" t="s">
        <v>1658</v>
      </c>
      <c r="O53" s="62">
        <f>VLOOKUP(B53,'Dados Meteorológicos'!$1:$988,12,0)</f>
        <v>28.5</v>
      </c>
      <c r="P53" s="62">
        <f>VLOOKUP(B53,'Dados Meteorológicos'!$1:$988,13,0)</f>
        <v>-81.5</v>
      </c>
      <c r="Q53" s="62">
        <f>VLOOKUP(B53,'Dados Meteorológicos'!$1:$988,14,0)</f>
        <v>21</v>
      </c>
      <c r="R53" s="62">
        <f>VLOOKUP(B53,'Dados Meteorológicos'!$1:$988,15,0)</f>
        <v>24.88</v>
      </c>
      <c r="S53" s="62">
        <f>VLOOKUP(B53,'Dados Meteorológicos'!$1:$988,16,0)</f>
        <v>22.24</v>
      </c>
      <c r="T53" s="62">
        <f>VLOOKUP(B53,'Dados Meteorológicos'!$1:$988,17,0)</f>
        <v>85</v>
      </c>
      <c r="U53" s="62">
        <f>VLOOKUP(B53,'Dados Meteorológicos'!$1:$988,18,0)</f>
        <v>22.87</v>
      </c>
      <c r="V53" s="62">
        <f>VLOOKUP(B53,'Dados Meteorológicos'!$1:$988,19,0)</f>
        <v>79.8</v>
      </c>
      <c r="W53" s="62">
        <f>VLOOKUP(B53,'Dados Meteorológicos'!$1:$988,20,0)</f>
        <v>1.08</v>
      </c>
      <c r="X53" s="62">
        <f>VLOOKUP(B53,'Dados Meteorológicos'!$1:$988,21,0)</f>
        <v>23.34</v>
      </c>
      <c r="Y53" s="62">
        <f>VLOOKUP(B53,'Dados Meteorológicos'!$1:$988,22,0)</f>
        <v>40.22</v>
      </c>
      <c r="Z53" s="62">
        <f>VLOOKUP(B53,'Dados Meteorológicos'!$1:$988,23,0)</f>
        <v>26.87</v>
      </c>
      <c r="AA53" s="62">
        <f>VLOOKUP(B53,'Dados Meteorológicos'!$1:$988,24,0)</f>
        <v>22</v>
      </c>
      <c r="AB53" s="62">
        <f>VLOOKUP(B53,'Dados Meteorológicos'!$1:$988,25,0)</f>
        <v>24.03</v>
      </c>
      <c r="AC53" s="62">
        <f>VLOOKUP(B53,'Dados Meteorológicos'!$1:$988,26,0)</f>
        <v>22.01</v>
      </c>
      <c r="AD53" s="62">
        <f>VLOOKUP(B53,'Dados Meteorológicos'!$1:$988,27,0)</f>
        <v>88</v>
      </c>
      <c r="AE53" s="62">
        <f>VLOOKUP(B53,'Dados Meteorológicos'!$1:$988,28,0)</f>
        <v>21.8</v>
      </c>
      <c r="AF53" s="62">
        <f>VLOOKUP(B53,'Dados Meteorológicos'!$1:$988,29,0)</f>
        <v>116.3</v>
      </c>
      <c r="AG53" s="62">
        <f>VLOOKUP(B53,'Dados Meteorológicos'!$1:$988,30,0)</f>
        <v>1.32</v>
      </c>
      <c r="AH53" s="62">
        <f>VLOOKUP(B53,'Dados Meteorológicos'!$1:$988,31,0)</f>
        <v>22.82</v>
      </c>
      <c r="AI53" s="62">
        <f>VLOOKUP(B53,'Dados Meteorológicos'!$1:$988,32,0)</f>
        <v>39.08</v>
      </c>
      <c r="AJ53" s="62">
        <f>VLOOKUP(B53,'Dados Meteorológicos'!$1:$988,33,0)</f>
        <v>26.19</v>
      </c>
      <c r="AK53" s="62" t="str">
        <f>VLOOKUP(B53,'Dados Meteorológicos'!$1:$988,34,0)</f>
        <v/>
      </c>
      <c r="AL53" s="62" t="str">
        <f>VLOOKUP(B53,'Dados Meteorológicos'!$1:$988,35,0)</f>
        <v/>
      </c>
      <c r="AM53" s="62" t="str">
        <f>VLOOKUP(B53,'Dados Meteorológicos'!$1:$988,36,0)</f>
        <v/>
      </c>
      <c r="AN53" s="62" t="str">
        <f>VLOOKUP(B53,'Dados Meteorológicos'!$1:$988,37,0)</f>
        <v/>
      </c>
      <c r="AO53" s="62" t="str">
        <f>VLOOKUP(B53,'Dados Meteorológicos'!$1:$988,38,0)</f>
        <v/>
      </c>
      <c r="AP53" s="62" t="str">
        <f>VLOOKUP(B53,'Dados Meteorológicos'!$1:$988,39,0)</f>
        <v/>
      </c>
      <c r="AQ53" s="62" t="str">
        <f>VLOOKUP(B53,'Dados Meteorológicos'!$1:$988,40,0)</f>
        <v/>
      </c>
      <c r="AR53" s="62" t="str">
        <f>VLOOKUP(B53,'Dados Meteorológicos'!$1:$988,41,0)</f>
        <v/>
      </c>
      <c r="AS53" s="62" t="str">
        <f>VLOOKUP(B53,'Dados Meteorológicos'!$1:$988,42,0)</f>
        <v/>
      </c>
      <c r="AT53" s="62" t="str">
        <f>VLOOKUP(B53,'Dados Meteorológicos'!$1:$988,43,0)</f>
        <v/>
      </c>
      <c r="AU53" s="62" t="str">
        <f>VLOOKUP(B53,'Dados Meteorológicos'!$1:$988,44,0)</f>
        <v/>
      </c>
      <c r="AV53" s="62" t="str">
        <f>VLOOKUP(B53,'Dados Meteorológicos'!$1:$988,45,0)</f>
        <v/>
      </c>
      <c r="AW53" s="62" t="str">
        <f>VLOOKUP(B53,'Dados Meteorológicos'!$1:$988,46,0)</f>
        <v/>
      </c>
      <c r="AX53" s="62" t="str">
        <f>VLOOKUP(B53,'Dados Meteorológicos'!$1:$988,47,0)</f>
        <v/>
      </c>
      <c r="AY53" s="62" t="str">
        <f>VLOOKUP(B53,'Dados Meteorológicos'!$1:$988,48,0)</f>
        <v/>
      </c>
      <c r="AZ53" s="62" t="str">
        <f>VLOOKUP(B53,'Dados Meteorológicos'!$1:$988,49,0)</f>
        <v/>
      </c>
      <c r="BA53" s="62" t="str">
        <f>VLOOKUP(B53,'Dados Meteorológicos'!$1:$988,50,0)</f>
        <v/>
      </c>
      <c r="BB53" s="62" t="str">
        <f>VLOOKUP(B53,'Dados Meteorológicos'!$1:$988,51,0)</f>
        <v/>
      </c>
      <c r="BC53" s="62" t="str">
        <f>VLOOKUP(B53,'Dados Meteorológicos'!$1:$988,52,0)</f>
        <v/>
      </c>
      <c r="BD53" s="14" t="str">
        <f>VLOOKUP(B53,'Dados Meteorológicos'!$1:$988,53,0)</f>
        <v/>
      </c>
      <c r="BE53" s="62"/>
      <c r="BF53" s="63">
        <f t="shared" ref="BF53:BN53" si="55">AVERAGE(R53,AB53,AL53,AV53)</f>
        <v>24.455</v>
      </c>
      <c r="BG53" s="63">
        <f t="shared" si="55"/>
        <v>22.125</v>
      </c>
      <c r="BH53" s="63">
        <f t="shared" si="55"/>
        <v>86.5</v>
      </c>
      <c r="BI53" s="63">
        <f t="shared" si="55"/>
        <v>22.335</v>
      </c>
      <c r="BJ53" s="63">
        <f t="shared" si="55"/>
        <v>98.05</v>
      </c>
      <c r="BK53" s="63">
        <f t="shared" si="55"/>
        <v>1.2</v>
      </c>
      <c r="BL53" s="63">
        <f t="shared" si="55"/>
        <v>23.08</v>
      </c>
      <c r="BM53" s="63">
        <f t="shared" si="55"/>
        <v>39.65</v>
      </c>
      <c r="BN53" s="63">
        <f t="shared" si="55"/>
        <v>26.53</v>
      </c>
    </row>
    <row r="54">
      <c r="A54" s="64">
        <v>53.0</v>
      </c>
      <c r="B54" s="89" t="s">
        <v>1714</v>
      </c>
      <c r="C54" s="88">
        <v>53.0</v>
      </c>
      <c r="D54" s="78">
        <v>52.0</v>
      </c>
      <c r="E54" s="55">
        <f t="shared" si="54"/>
        <v>105</v>
      </c>
      <c r="F54" s="74">
        <v>45838.0</v>
      </c>
      <c r="G54" s="66" t="s">
        <v>1686</v>
      </c>
      <c r="H54" s="75">
        <v>0.6666666666666666</v>
      </c>
      <c r="I54" s="75">
        <v>0.625</v>
      </c>
      <c r="J54" s="59" t="str">
        <f t="shared" si="3"/>
        <v>Afternoon</v>
      </c>
      <c r="K54" s="66" t="s">
        <v>1200</v>
      </c>
      <c r="L54" s="66" t="s">
        <v>1630</v>
      </c>
      <c r="M54" s="69"/>
      <c r="N54" s="70" t="s">
        <v>1687</v>
      </c>
      <c r="O54" s="62">
        <f>VLOOKUP(B54,'Dados Meteorológicos'!$1:$988,12,0)</f>
        <v>35.25</v>
      </c>
      <c r="P54" s="62">
        <f>VLOOKUP(B54,'Dados Meteorológicos'!$1:$988,13,0)</f>
        <v>-80.75</v>
      </c>
      <c r="Q54" s="62">
        <f>VLOOKUP(B54,'Dados Meteorológicos'!$1:$988,14,0)</f>
        <v>20</v>
      </c>
      <c r="R54" s="62">
        <f>VLOOKUP(B54,'Dados Meteorológicos'!$1:$988,15,0)</f>
        <v>30.85</v>
      </c>
      <c r="S54" s="62">
        <f>VLOOKUP(B54,'Dados Meteorológicos'!$1:$988,16,0)</f>
        <v>22.91</v>
      </c>
      <c r="T54" s="62">
        <f>VLOOKUP(B54,'Dados Meteorológicos'!$1:$988,17,0)</f>
        <v>62</v>
      </c>
      <c r="U54" s="62">
        <f>VLOOKUP(B54,'Dados Meteorológicos'!$1:$988,18,0)</f>
        <v>31.79</v>
      </c>
      <c r="V54" s="62">
        <f>VLOOKUP(B54,'Dados Meteorológicos'!$1:$988,19,0)</f>
        <v>612.4</v>
      </c>
      <c r="W54" s="62">
        <f>VLOOKUP(B54,'Dados Meteorológicos'!$1:$988,20,0)</f>
        <v>2.15</v>
      </c>
      <c r="X54" s="62">
        <f>VLOOKUP(B54,'Dados Meteorológicos'!$1:$988,21,0)</f>
        <v>25.76</v>
      </c>
      <c r="Y54" s="62">
        <f>VLOOKUP(B54,'Dados Meteorológicos'!$1:$988,22,0)</f>
        <v>45.45</v>
      </c>
      <c r="Z54" s="62">
        <f>VLOOKUP(B54,'Dados Meteorológicos'!$1:$988,23,0)</f>
        <v>30.21</v>
      </c>
      <c r="AA54" s="62">
        <f>VLOOKUP(B54,'Dados Meteorológicos'!$1:$988,24,0)</f>
        <v>21</v>
      </c>
      <c r="AB54" s="62">
        <f>VLOOKUP(B54,'Dados Meteorológicos'!$1:$988,25,0)</f>
        <v>32.13</v>
      </c>
      <c r="AC54" s="62">
        <f>VLOOKUP(B54,'Dados Meteorológicos'!$1:$988,26,0)</f>
        <v>22.58</v>
      </c>
      <c r="AD54" s="62">
        <f>VLOOKUP(B54,'Dados Meteorológicos'!$1:$988,27,0)</f>
        <v>57</v>
      </c>
      <c r="AE54" s="62">
        <f>VLOOKUP(B54,'Dados Meteorológicos'!$1:$988,28,0)</f>
        <v>34.04</v>
      </c>
      <c r="AF54" s="62">
        <f>VLOOKUP(B54,'Dados Meteorológicos'!$1:$988,29,0)</f>
        <v>463.9</v>
      </c>
      <c r="AG54" s="62">
        <f>VLOOKUP(B54,'Dados Meteorológicos'!$1:$988,30,0)</f>
        <v>2.23</v>
      </c>
      <c r="AH54" s="62">
        <f>VLOOKUP(B54,'Dados Meteorológicos'!$1:$988,31,0)</f>
        <v>26.08</v>
      </c>
      <c r="AI54" s="62">
        <f>VLOOKUP(B54,'Dados Meteorológicos'!$1:$988,32,0)</f>
        <v>46.65</v>
      </c>
      <c r="AJ54" s="62">
        <f>VLOOKUP(B54,'Dados Meteorológicos'!$1:$988,33,0)</f>
        <v>30.8</v>
      </c>
      <c r="AK54" s="62" t="str">
        <f>VLOOKUP(B54,'Dados Meteorológicos'!$1:$988,34,0)</f>
        <v/>
      </c>
      <c r="AL54" s="62" t="str">
        <f>VLOOKUP(B54,'Dados Meteorológicos'!$1:$988,35,0)</f>
        <v/>
      </c>
      <c r="AM54" s="62" t="str">
        <f>VLOOKUP(B54,'Dados Meteorológicos'!$1:$988,36,0)</f>
        <v/>
      </c>
      <c r="AN54" s="62" t="str">
        <f>VLOOKUP(B54,'Dados Meteorológicos'!$1:$988,37,0)</f>
        <v/>
      </c>
      <c r="AO54" s="62" t="str">
        <f>VLOOKUP(B54,'Dados Meteorológicos'!$1:$988,38,0)</f>
        <v/>
      </c>
      <c r="AP54" s="62" t="str">
        <f>VLOOKUP(B54,'Dados Meteorológicos'!$1:$988,39,0)</f>
        <v/>
      </c>
      <c r="AQ54" s="62" t="str">
        <f>VLOOKUP(B54,'Dados Meteorológicos'!$1:$988,40,0)</f>
        <v/>
      </c>
      <c r="AR54" s="62" t="str">
        <f>VLOOKUP(B54,'Dados Meteorológicos'!$1:$988,41,0)</f>
        <v/>
      </c>
      <c r="AS54" s="62" t="str">
        <f>VLOOKUP(B54,'Dados Meteorológicos'!$1:$988,42,0)</f>
        <v/>
      </c>
      <c r="AT54" s="62" t="str">
        <f>VLOOKUP(B54,'Dados Meteorológicos'!$1:$988,43,0)</f>
        <v/>
      </c>
      <c r="AU54" s="62" t="str">
        <f>VLOOKUP(B54,'Dados Meteorológicos'!$1:$988,44,0)</f>
        <v/>
      </c>
      <c r="AV54" s="62" t="str">
        <f>VLOOKUP(B54,'Dados Meteorológicos'!$1:$988,45,0)</f>
        <v/>
      </c>
      <c r="AW54" s="62" t="str">
        <f>VLOOKUP(B54,'Dados Meteorológicos'!$1:$988,46,0)</f>
        <v/>
      </c>
      <c r="AX54" s="62" t="str">
        <f>VLOOKUP(B54,'Dados Meteorológicos'!$1:$988,47,0)</f>
        <v/>
      </c>
      <c r="AY54" s="62" t="str">
        <f>VLOOKUP(B54,'Dados Meteorológicos'!$1:$988,48,0)</f>
        <v/>
      </c>
      <c r="AZ54" s="62" t="str">
        <f>VLOOKUP(B54,'Dados Meteorológicos'!$1:$988,49,0)</f>
        <v/>
      </c>
      <c r="BA54" s="62" t="str">
        <f>VLOOKUP(B54,'Dados Meteorológicos'!$1:$988,50,0)</f>
        <v/>
      </c>
      <c r="BB54" s="62" t="str">
        <f>VLOOKUP(B54,'Dados Meteorológicos'!$1:$988,51,0)</f>
        <v/>
      </c>
      <c r="BC54" s="62" t="str">
        <f>VLOOKUP(B54,'Dados Meteorológicos'!$1:$988,52,0)</f>
        <v/>
      </c>
      <c r="BD54" s="14" t="str">
        <f>VLOOKUP(B54,'Dados Meteorológicos'!$1:$988,53,0)</f>
        <v/>
      </c>
      <c r="BE54" s="62"/>
      <c r="BF54" s="63">
        <f t="shared" ref="BF54:BN54" si="56">AVERAGE(R54,AB54,AL54,AV54)</f>
        <v>31.49</v>
      </c>
      <c r="BG54" s="63">
        <f t="shared" si="56"/>
        <v>22.745</v>
      </c>
      <c r="BH54" s="63">
        <f t="shared" si="56"/>
        <v>59.5</v>
      </c>
      <c r="BI54" s="63">
        <f t="shared" si="56"/>
        <v>32.915</v>
      </c>
      <c r="BJ54" s="63">
        <f t="shared" si="56"/>
        <v>538.15</v>
      </c>
      <c r="BK54" s="63">
        <f t="shared" si="56"/>
        <v>2.19</v>
      </c>
      <c r="BL54" s="63">
        <f t="shared" si="56"/>
        <v>25.92</v>
      </c>
      <c r="BM54" s="63">
        <f t="shared" si="56"/>
        <v>46.05</v>
      </c>
      <c r="BN54" s="63">
        <f t="shared" si="56"/>
        <v>30.505</v>
      </c>
    </row>
    <row r="55">
      <c r="A55" s="64">
        <v>54.0</v>
      </c>
      <c r="B55" s="89" t="s">
        <v>1715</v>
      </c>
      <c r="C55" s="78">
        <v>50.0</v>
      </c>
      <c r="D55" s="78">
        <v>51.0</v>
      </c>
      <c r="E55" s="72">
        <f>C55+D55+15+1+15+3</f>
        <v>135</v>
      </c>
      <c r="F55" s="74">
        <v>45838.0</v>
      </c>
      <c r="G55" s="66" t="s">
        <v>1656</v>
      </c>
      <c r="H55" s="75">
        <v>0.9166666666666666</v>
      </c>
      <c r="I55" s="75">
        <v>0.875</v>
      </c>
      <c r="J55" s="59" t="str">
        <f t="shared" si="3"/>
        <v>Evening</v>
      </c>
      <c r="K55" s="66" t="s">
        <v>1269</v>
      </c>
      <c r="L55" s="66" t="s">
        <v>1630</v>
      </c>
      <c r="M55" s="69"/>
      <c r="N55" s="70" t="s">
        <v>1699</v>
      </c>
      <c r="O55" s="62">
        <f>VLOOKUP(B55,'Dados Meteorológicos'!$1:$988,12,0)</f>
        <v>28.5</v>
      </c>
      <c r="P55" s="62">
        <f>VLOOKUP(B55,'Dados Meteorológicos'!$1:$988,13,0)</f>
        <v>-81.5</v>
      </c>
      <c r="Q55" s="62">
        <f>VLOOKUP(B55,'Dados Meteorológicos'!$1:$988,14,0)</f>
        <v>2</v>
      </c>
      <c r="R55" s="62">
        <f>VLOOKUP(B55,'Dados Meteorológicos'!$1:$988,15,0)</f>
        <v>25.17</v>
      </c>
      <c r="S55" s="62">
        <f>VLOOKUP(B55,'Dados Meteorológicos'!$1:$988,16,0)</f>
        <v>22.61</v>
      </c>
      <c r="T55" s="62">
        <f>VLOOKUP(B55,'Dados Meteorológicos'!$1:$988,17,0)</f>
        <v>85</v>
      </c>
      <c r="U55" s="62">
        <f>VLOOKUP(B55,'Dados Meteorológicos'!$1:$988,18,0)</f>
        <v>23.24</v>
      </c>
      <c r="V55" s="62">
        <f>VLOOKUP(B55,'Dados Meteorológicos'!$1:$988,19,0)</f>
        <v>0</v>
      </c>
      <c r="W55" s="62">
        <f>VLOOKUP(B55,'Dados Meteorológicos'!$1:$988,20,0)</f>
        <v>2.23</v>
      </c>
      <c r="X55" s="62">
        <f>VLOOKUP(B55,'Dados Meteorológicos'!$1:$988,21,0)</f>
        <v>23.28</v>
      </c>
      <c r="Y55" s="62">
        <f>VLOOKUP(B55,'Dados Meteorológicos'!$1:$988,22,0)</f>
        <v>39.48</v>
      </c>
      <c r="Z55" s="62">
        <f>VLOOKUP(B55,'Dados Meteorológicos'!$1:$988,23,0)</f>
        <v>26.71</v>
      </c>
      <c r="AA55" s="62">
        <f>VLOOKUP(B55,'Dados Meteorológicos'!$1:$988,24,0)</f>
        <v>3</v>
      </c>
      <c r="AB55" s="62">
        <f>VLOOKUP(B55,'Dados Meteorológicos'!$1:$988,25,0)</f>
        <v>24.4</v>
      </c>
      <c r="AC55" s="62">
        <f>VLOOKUP(B55,'Dados Meteorológicos'!$1:$988,26,0)</f>
        <v>22.35</v>
      </c>
      <c r="AD55" s="62">
        <f>VLOOKUP(B55,'Dados Meteorológicos'!$1:$988,27,0)</f>
        <v>88</v>
      </c>
      <c r="AE55" s="62">
        <f>VLOOKUP(B55,'Dados Meteorológicos'!$1:$988,28,0)</f>
        <v>22.25</v>
      </c>
      <c r="AF55" s="62">
        <f>VLOOKUP(B55,'Dados Meteorológicos'!$1:$988,29,0)</f>
        <v>0</v>
      </c>
      <c r="AG55" s="62">
        <f>VLOOKUP(B55,'Dados Meteorológicos'!$1:$988,30,0)</f>
        <v>1.89</v>
      </c>
      <c r="AH55" s="62">
        <f>VLOOKUP(B55,'Dados Meteorológicos'!$1:$988,31,0)</f>
        <v>22.93</v>
      </c>
      <c r="AI55" s="62">
        <f>VLOOKUP(B55,'Dados Meteorológicos'!$1:$988,32,0)</f>
        <v>38.98</v>
      </c>
      <c r="AJ55" s="62">
        <f>VLOOKUP(B55,'Dados Meteorológicos'!$1:$988,33,0)</f>
        <v>26.29</v>
      </c>
      <c r="AK55" s="62" t="str">
        <f>VLOOKUP(B55,'Dados Meteorológicos'!$1:$988,34,0)</f>
        <v/>
      </c>
      <c r="AL55" s="62" t="str">
        <f>VLOOKUP(B55,'Dados Meteorológicos'!$1:$988,35,0)</f>
        <v/>
      </c>
      <c r="AM55" s="62" t="str">
        <f>VLOOKUP(B55,'Dados Meteorológicos'!$1:$988,36,0)</f>
        <v/>
      </c>
      <c r="AN55" s="62" t="str">
        <f>VLOOKUP(B55,'Dados Meteorológicos'!$1:$988,37,0)</f>
        <v/>
      </c>
      <c r="AO55" s="62" t="str">
        <f>VLOOKUP(B55,'Dados Meteorológicos'!$1:$988,38,0)</f>
        <v/>
      </c>
      <c r="AP55" s="62" t="str">
        <f>VLOOKUP(B55,'Dados Meteorológicos'!$1:$988,39,0)</f>
        <v/>
      </c>
      <c r="AQ55" s="62" t="str">
        <f>VLOOKUP(B55,'Dados Meteorológicos'!$1:$988,40,0)</f>
        <v/>
      </c>
      <c r="AR55" s="62" t="str">
        <f>VLOOKUP(B55,'Dados Meteorológicos'!$1:$988,41,0)</f>
        <v/>
      </c>
      <c r="AS55" s="62" t="str">
        <f>VLOOKUP(B55,'Dados Meteorológicos'!$1:$988,42,0)</f>
        <v/>
      </c>
      <c r="AT55" s="62" t="str">
        <f>VLOOKUP(B55,'Dados Meteorológicos'!$1:$988,43,0)</f>
        <v/>
      </c>
      <c r="AU55" s="62" t="str">
        <f>VLOOKUP(B55,'Dados Meteorológicos'!$1:$988,44,0)</f>
        <v/>
      </c>
      <c r="AV55" s="62" t="str">
        <f>VLOOKUP(B55,'Dados Meteorológicos'!$1:$988,45,0)</f>
        <v/>
      </c>
      <c r="AW55" s="62" t="str">
        <f>VLOOKUP(B55,'Dados Meteorológicos'!$1:$988,46,0)</f>
        <v/>
      </c>
      <c r="AX55" s="62" t="str">
        <f>VLOOKUP(B55,'Dados Meteorológicos'!$1:$988,47,0)</f>
        <v/>
      </c>
      <c r="AY55" s="62" t="str">
        <f>VLOOKUP(B55,'Dados Meteorológicos'!$1:$988,48,0)</f>
        <v/>
      </c>
      <c r="AZ55" s="62" t="str">
        <f>VLOOKUP(B55,'Dados Meteorológicos'!$1:$988,49,0)</f>
        <v/>
      </c>
      <c r="BA55" s="62" t="str">
        <f>VLOOKUP(B55,'Dados Meteorológicos'!$1:$988,50,0)</f>
        <v/>
      </c>
      <c r="BB55" s="62" t="str">
        <f>VLOOKUP(B55,'Dados Meteorológicos'!$1:$988,51,0)</f>
        <v/>
      </c>
      <c r="BC55" s="62" t="str">
        <f>VLOOKUP(B55,'Dados Meteorológicos'!$1:$988,52,0)</f>
        <v/>
      </c>
      <c r="BD55" s="14" t="str">
        <f>VLOOKUP(B55,'Dados Meteorológicos'!$1:$988,53,0)</f>
        <v/>
      </c>
      <c r="BE55" s="62"/>
      <c r="BF55" s="63">
        <f t="shared" ref="BF55:BN55" si="57">AVERAGE(R55,AB55,AL55,AV55)</f>
        <v>24.785</v>
      </c>
      <c r="BG55" s="63">
        <f t="shared" si="57"/>
        <v>22.48</v>
      </c>
      <c r="BH55" s="63">
        <f t="shared" si="57"/>
        <v>86.5</v>
      </c>
      <c r="BI55" s="63">
        <f t="shared" si="57"/>
        <v>22.745</v>
      </c>
      <c r="BJ55" s="63">
        <f t="shared" si="57"/>
        <v>0</v>
      </c>
      <c r="BK55" s="63">
        <f t="shared" si="57"/>
        <v>2.06</v>
      </c>
      <c r="BL55" s="63">
        <f t="shared" si="57"/>
        <v>23.105</v>
      </c>
      <c r="BM55" s="63">
        <f t="shared" si="57"/>
        <v>39.23</v>
      </c>
      <c r="BN55" s="63">
        <f t="shared" si="57"/>
        <v>26.5</v>
      </c>
    </row>
    <row r="56">
      <c r="A56" s="64">
        <v>55.0</v>
      </c>
      <c r="B56" s="89" t="s">
        <v>1716</v>
      </c>
      <c r="C56" s="88">
        <v>49.0</v>
      </c>
      <c r="D56" s="88">
        <v>50.0</v>
      </c>
      <c r="E56" s="55">
        <f t="shared" ref="E56:E64" si="59">C56+D56</f>
        <v>99</v>
      </c>
      <c r="F56" s="74">
        <v>45839.0</v>
      </c>
      <c r="G56" s="66" t="s">
        <v>1629</v>
      </c>
      <c r="H56" s="75">
        <v>0.6666666666666666</v>
      </c>
      <c r="I56" s="75">
        <v>0.625</v>
      </c>
      <c r="J56" s="59" t="str">
        <f t="shared" si="3"/>
        <v>Afternoon</v>
      </c>
      <c r="K56" s="66" t="s">
        <v>62</v>
      </c>
      <c r="L56" s="66" t="s">
        <v>1630</v>
      </c>
      <c r="M56" s="69"/>
      <c r="N56" s="70" t="s">
        <v>1658</v>
      </c>
      <c r="O56" s="62">
        <f>VLOOKUP(B56,'Dados Meteorológicos'!$1:$988,12,0)</f>
        <v>28.5</v>
      </c>
      <c r="P56" s="62">
        <f>VLOOKUP(B56,'Dados Meteorológicos'!$1:$988,13,0)</f>
        <v>-81.5</v>
      </c>
      <c r="Q56" s="62">
        <f>VLOOKUP(B56,'Dados Meteorológicos'!$1:$988,14,0)</f>
        <v>20</v>
      </c>
      <c r="R56" s="62">
        <f>VLOOKUP(B56,'Dados Meteorológicos'!$1:$988,15,0)</f>
        <v>31.45</v>
      </c>
      <c r="S56" s="62">
        <f>VLOOKUP(B56,'Dados Meteorológicos'!$1:$988,16,0)</f>
        <v>21.25</v>
      </c>
      <c r="T56" s="62">
        <f>VLOOKUP(B56,'Dados Meteorológicos'!$1:$988,17,0)</f>
        <v>54</v>
      </c>
      <c r="U56" s="62">
        <f>VLOOKUP(B56,'Dados Meteorológicos'!$1:$988,18,0)</f>
        <v>32.83</v>
      </c>
      <c r="V56" s="62">
        <f>VLOOKUP(B56,'Dados Meteorológicos'!$1:$988,19,0)</f>
        <v>691.6</v>
      </c>
      <c r="W56" s="62">
        <f>VLOOKUP(B56,'Dados Meteorológicos'!$1:$988,20,0)</f>
        <v>1.91</v>
      </c>
      <c r="X56" s="62">
        <f>VLOOKUP(B56,'Dados Meteorológicos'!$1:$988,21,0)</f>
        <v>25.4</v>
      </c>
      <c r="Y56" s="62">
        <f>VLOOKUP(B56,'Dados Meteorológicos'!$1:$988,22,0)</f>
        <v>45.85</v>
      </c>
      <c r="Z56" s="62">
        <f>VLOOKUP(B56,'Dados Meteorológicos'!$1:$988,23,0)</f>
        <v>30.09</v>
      </c>
      <c r="AA56" s="62">
        <f>VLOOKUP(B56,'Dados Meteorológicos'!$1:$988,24,0)</f>
        <v>21</v>
      </c>
      <c r="AB56" s="62">
        <f>VLOOKUP(B56,'Dados Meteorológicos'!$1:$988,25,0)</f>
        <v>30.8</v>
      </c>
      <c r="AC56" s="62">
        <f>VLOOKUP(B56,'Dados Meteorológicos'!$1:$988,26,0)</f>
        <v>21.68</v>
      </c>
      <c r="AD56" s="62">
        <f>VLOOKUP(B56,'Dados Meteorológicos'!$1:$988,27,0)</f>
        <v>58</v>
      </c>
      <c r="AE56" s="62">
        <f>VLOOKUP(B56,'Dados Meteorológicos'!$1:$988,28,0)</f>
        <v>31.69</v>
      </c>
      <c r="AF56" s="62">
        <f>VLOOKUP(B56,'Dados Meteorológicos'!$1:$988,29,0)</f>
        <v>493.2</v>
      </c>
      <c r="AG56" s="62">
        <f>VLOOKUP(B56,'Dados Meteorológicos'!$1:$988,30,0)</f>
        <v>1.89</v>
      </c>
      <c r="AH56" s="62">
        <f>VLOOKUP(B56,'Dados Meteorológicos'!$1:$988,31,0)</f>
        <v>25.34</v>
      </c>
      <c r="AI56" s="62">
        <f>VLOOKUP(B56,'Dados Meteorológicos'!$1:$988,32,0)</f>
        <v>45.27</v>
      </c>
      <c r="AJ56" s="62">
        <f>VLOOKUP(B56,'Dados Meteorológicos'!$1:$988,33,0)</f>
        <v>29.87</v>
      </c>
      <c r="AK56" s="62" t="str">
        <f>VLOOKUP(B56,'Dados Meteorológicos'!$1:$988,34,0)</f>
        <v/>
      </c>
      <c r="AL56" s="62" t="str">
        <f>VLOOKUP(B56,'Dados Meteorológicos'!$1:$988,35,0)</f>
        <v/>
      </c>
      <c r="AM56" s="62" t="str">
        <f>VLOOKUP(B56,'Dados Meteorológicos'!$1:$988,36,0)</f>
        <v/>
      </c>
      <c r="AN56" s="62" t="str">
        <f>VLOOKUP(B56,'Dados Meteorológicos'!$1:$988,37,0)</f>
        <v/>
      </c>
      <c r="AO56" s="62" t="str">
        <f>VLOOKUP(B56,'Dados Meteorológicos'!$1:$988,38,0)</f>
        <v/>
      </c>
      <c r="AP56" s="62" t="str">
        <f>VLOOKUP(B56,'Dados Meteorológicos'!$1:$988,39,0)</f>
        <v/>
      </c>
      <c r="AQ56" s="62" t="str">
        <f>VLOOKUP(B56,'Dados Meteorológicos'!$1:$988,40,0)</f>
        <v/>
      </c>
      <c r="AR56" s="62" t="str">
        <f>VLOOKUP(B56,'Dados Meteorológicos'!$1:$988,41,0)</f>
        <v/>
      </c>
      <c r="AS56" s="62" t="str">
        <f>VLOOKUP(B56,'Dados Meteorológicos'!$1:$988,42,0)</f>
        <v/>
      </c>
      <c r="AT56" s="62" t="str">
        <f>VLOOKUP(B56,'Dados Meteorológicos'!$1:$988,43,0)</f>
        <v/>
      </c>
      <c r="AU56" s="62" t="str">
        <f>VLOOKUP(B56,'Dados Meteorológicos'!$1:$988,44,0)</f>
        <v/>
      </c>
      <c r="AV56" s="62" t="str">
        <f>VLOOKUP(B56,'Dados Meteorológicos'!$1:$988,45,0)</f>
        <v/>
      </c>
      <c r="AW56" s="62" t="str">
        <f>VLOOKUP(B56,'Dados Meteorológicos'!$1:$988,46,0)</f>
        <v/>
      </c>
      <c r="AX56" s="62" t="str">
        <f>VLOOKUP(B56,'Dados Meteorológicos'!$1:$988,47,0)</f>
        <v/>
      </c>
      <c r="AY56" s="62" t="str">
        <f>VLOOKUP(B56,'Dados Meteorológicos'!$1:$988,48,0)</f>
        <v/>
      </c>
      <c r="AZ56" s="62" t="str">
        <f>VLOOKUP(B56,'Dados Meteorológicos'!$1:$988,49,0)</f>
        <v/>
      </c>
      <c r="BA56" s="62" t="str">
        <f>VLOOKUP(B56,'Dados Meteorológicos'!$1:$988,50,0)</f>
        <v/>
      </c>
      <c r="BB56" s="62" t="str">
        <f>VLOOKUP(B56,'Dados Meteorológicos'!$1:$988,51,0)</f>
        <v/>
      </c>
      <c r="BC56" s="62" t="str">
        <f>VLOOKUP(B56,'Dados Meteorológicos'!$1:$988,52,0)</f>
        <v/>
      </c>
      <c r="BD56" s="14" t="str">
        <f>VLOOKUP(B56,'Dados Meteorológicos'!$1:$988,53,0)</f>
        <v/>
      </c>
      <c r="BE56" s="62"/>
      <c r="BF56" s="63">
        <f t="shared" ref="BF56:BN56" si="58">AVERAGE(R56,AB56,AL56,AV56)</f>
        <v>31.125</v>
      </c>
      <c r="BG56" s="63">
        <f t="shared" si="58"/>
        <v>21.465</v>
      </c>
      <c r="BH56" s="63">
        <f t="shared" si="58"/>
        <v>56</v>
      </c>
      <c r="BI56" s="63">
        <f t="shared" si="58"/>
        <v>32.26</v>
      </c>
      <c r="BJ56" s="63">
        <f t="shared" si="58"/>
        <v>592.4</v>
      </c>
      <c r="BK56" s="63">
        <f t="shared" si="58"/>
        <v>1.9</v>
      </c>
      <c r="BL56" s="63">
        <f t="shared" si="58"/>
        <v>25.37</v>
      </c>
      <c r="BM56" s="63">
        <f t="shared" si="58"/>
        <v>45.56</v>
      </c>
      <c r="BN56" s="63">
        <f t="shared" si="58"/>
        <v>29.98</v>
      </c>
    </row>
    <row r="57">
      <c r="A57" s="64">
        <v>56.0</v>
      </c>
      <c r="B57" s="89" t="s">
        <v>1717</v>
      </c>
      <c r="C57" s="89">
        <v>47.0</v>
      </c>
      <c r="D57" s="89">
        <v>50.0</v>
      </c>
      <c r="E57" s="55">
        <f t="shared" si="59"/>
        <v>97</v>
      </c>
      <c r="F57" s="74">
        <v>45839.0</v>
      </c>
      <c r="G57" s="66" t="s">
        <v>1646</v>
      </c>
      <c r="H57" s="75">
        <v>0.9166666666666666</v>
      </c>
      <c r="I57" s="75">
        <v>0.875</v>
      </c>
      <c r="J57" s="59" t="str">
        <f t="shared" si="3"/>
        <v>Evening</v>
      </c>
      <c r="K57" s="66" t="s">
        <v>376</v>
      </c>
      <c r="L57" s="66" t="s">
        <v>1647</v>
      </c>
      <c r="M57" s="69"/>
      <c r="N57" s="70" t="s">
        <v>1648</v>
      </c>
      <c r="O57" s="62">
        <f>VLOOKUP(B57,'Dados Meteorológicos'!$1:$988,12,0)</f>
        <v>33.75</v>
      </c>
      <c r="P57" s="62">
        <f>VLOOKUP(B57,'Dados Meteorológicos'!$1:$988,13,0)</f>
        <v>-84.5</v>
      </c>
      <c r="Q57" s="62">
        <f>VLOOKUP(B57,'Dados Meteorológicos'!$1:$988,14,0)</f>
        <v>2</v>
      </c>
      <c r="R57" s="62">
        <f>VLOOKUP(B57,'Dados Meteorológicos'!$1:$988,15,0)</f>
        <v>23.75</v>
      </c>
      <c r="S57" s="62">
        <f>VLOOKUP(B57,'Dados Meteorológicos'!$1:$988,16,0)</f>
        <v>21.74</v>
      </c>
      <c r="T57" s="62">
        <f>VLOOKUP(B57,'Dados Meteorológicos'!$1:$988,17,0)</f>
        <v>88</v>
      </c>
      <c r="U57" s="62">
        <f>VLOOKUP(B57,'Dados Meteorológicos'!$1:$988,18,0)</f>
        <v>21.45</v>
      </c>
      <c r="V57" s="62">
        <f>VLOOKUP(B57,'Dados Meteorológicos'!$1:$988,19,0)</f>
        <v>0</v>
      </c>
      <c r="W57" s="62">
        <f>VLOOKUP(B57,'Dados Meteorológicos'!$1:$988,20,0)</f>
        <v>2.71</v>
      </c>
      <c r="X57" s="62">
        <f>VLOOKUP(B57,'Dados Meteorológicos'!$1:$988,21,0)</f>
        <v>22.23</v>
      </c>
      <c r="Y57" s="62">
        <f>VLOOKUP(B57,'Dados Meteorológicos'!$1:$988,22,0)</f>
        <v>37.27</v>
      </c>
      <c r="Z57" s="62">
        <f>VLOOKUP(B57,'Dados Meteorológicos'!$1:$988,23,0)</f>
        <v>25.39</v>
      </c>
      <c r="AA57" s="62">
        <f>VLOOKUP(B57,'Dados Meteorológicos'!$1:$988,24,0)</f>
        <v>3</v>
      </c>
      <c r="AB57" s="62">
        <f>VLOOKUP(B57,'Dados Meteorológicos'!$1:$988,25,0)</f>
        <v>23.38</v>
      </c>
      <c r="AC57" s="62">
        <f>VLOOKUP(B57,'Dados Meteorológicos'!$1:$988,26,0)</f>
        <v>21.42</v>
      </c>
      <c r="AD57" s="62">
        <f>VLOOKUP(B57,'Dados Meteorológicos'!$1:$988,27,0)</f>
        <v>88</v>
      </c>
      <c r="AE57" s="62">
        <f>VLOOKUP(B57,'Dados Meteorológicos'!$1:$988,28,0)</f>
        <v>21</v>
      </c>
      <c r="AF57" s="62">
        <f>VLOOKUP(B57,'Dados Meteorológicos'!$1:$988,29,0)</f>
        <v>0</v>
      </c>
      <c r="AG57" s="62">
        <f>VLOOKUP(B57,'Dados Meteorológicos'!$1:$988,30,0)</f>
        <v>2.36</v>
      </c>
      <c r="AH57" s="62">
        <f>VLOOKUP(B57,'Dados Meteorológicos'!$1:$988,31,0)</f>
        <v>22.06</v>
      </c>
      <c r="AI57" s="62">
        <f>VLOOKUP(B57,'Dados Meteorológicos'!$1:$988,32,0)</f>
        <v>37.14</v>
      </c>
      <c r="AJ57" s="62">
        <f>VLOOKUP(B57,'Dados Meteorológicos'!$1:$988,33,0)</f>
        <v>25.2</v>
      </c>
      <c r="AK57" s="62" t="str">
        <f>VLOOKUP(B57,'Dados Meteorológicos'!$1:$988,34,0)</f>
        <v/>
      </c>
      <c r="AL57" s="62" t="str">
        <f>VLOOKUP(B57,'Dados Meteorológicos'!$1:$988,35,0)</f>
        <v/>
      </c>
      <c r="AM57" s="62" t="str">
        <f>VLOOKUP(B57,'Dados Meteorológicos'!$1:$988,36,0)</f>
        <v/>
      </c>
      <c r="AN57" s="62" t="str">
        <f>VLOOKUP(B57,'Dados Meteorológicos'!$1:$988,37,0)</f>
        <v/>
      </c>
      <c r="AO57" s="62" t="str">
        <f>VLOOKUP(B57,'Dados Meteorológicos'!$1:$988,38,0)</f>
        <v/>
      </c>
      <c r="AP57" s="62" t="str">
        <f>VLOOKUP(B57,'Dados Meteorológicos'!$1:$988,39,0)</f>
        <v/>
      </c>
      <c r="AQ57" s="62" t="str">
        <f>VLOOKUP(B57,'Dados Meteorológicos'!$1:$988,40,0)</f>
        <v/>
      </c>
      <c r="AR57" s="62" t="str">
        <f>VLOOKUP(B57,'Dados Meteorológicos'!$1:$988,41,0)</f>
        <v/>
      </c>
      <c r="AS57" s="62" t="str">
        <f>VLOOKUP(B57,'Dados Meteorológicos'!$1:$988,42,0)</f>
        <v/>
      </c>
      <c r="AT57" s="62" t="str">
        <f>VLOOKUP(B57,'Dados Meteorológicos'!$1:$988,43,0)</f>
        <v/>
      </c>
      <c r="AU57" s="62" t="str">
        <f>VLOOKUP(B57,'Dados Meteorológicos'!$1:$988,44,0)</f>
        <v/>
      </c>
      <c r="AV57" s="62" t="str">
        <f>VLOOKUP(B57,'Dados Meteorológicos'!$1:$988,45,0)</f>
        <v/>
      </c>
      <c r="AW57" s="62" t="str">
        <f>VLOOKUP(B57,'Dados Meteorológicos'!$1:$988,46,0)</f>
        <v/>
      </c>
      <c r="AX57" s="62" t="str">
        <f>VLOOKUP(B57,'Dados Meteorológicos'!$1:$988,47,0)</f>
        <v/>
      </c>
      <c r="AY57" s="62" t="str">
        <f>VLOOKUP(B57,'Dados Meteorológicos'!$1:$988,48,0)</f>
        <v/>
      </c>
      <c r="AZ57" s="62" t="str">
        <f>VLOOKUP(B57,'Dados Meteorológicos'!$1:$988,49,0)</f>
        <v/>
      </c>
      <c r="BA57" s="62" t="str">
        <f>VLOOKUP(B57,'Dados Meteorológicos'!$1:$988,50,0)</f>
        <v/>
      </c>
      <c r="BB57" s="62" t="str">
        <f>VLOOKUP(B57,'Dados Meteorológicos'!$1:$988,51,0)</f>
        <v/>
      </c>
      <c r="BC57" s="62" t="str">
        <f>VLOOKUP(B57,'Dados Meteorológicos'!$1:$988,52,0)</f>
        <v/>
      </c>
      <c r="BD57" s="14" t="str">
        <f>VLOOKUP(B57,'Dados Meteorológicos'!$1:$988,53,0)</f>
        <v/>
      </c>
      <c r="BE57" s="62"/>
      <c r="BF57" s="63">
        <f t="shared" ref="BF57:BN57" si="60">AVERAGE(R57,AB57,AL57,AV57)</f>
        <v>23.565</v>
      </c>
      <c r="BG57" s="63">
        <f t="shared" si="60"/>
        <v>21.58</v>
      </c>
      <c r="BH57" s="63">
        <f t="shared" si="60"/>
        <v>88</v>
      </c>
      <c r="BI57" s="63">
        <f t="shared" si="60"/>
        <v>21.225</v>
      </c>
      <c r="BJ57" s="63">
        <f t="shared" si="60"/>
        <v>0</v>
      </c>
      <c r="BK57" s="63">
        <f t="shared" si="60"/>
        <v>2.535</v>
      </c>
      <c r="BL57" s="63">
        <f t="shared" si="60"/>
        <v>22.145</v>
      </c>
      <c r="BM57" s="63">
        <f t="shared" si="60"/>
        <v>37.205</v>
      </c>
      <c r="BN57" s="63">
        <f t="shared" si="60"/>
        <v>25.295</v>
      </c>
    </row>
    <row r="58">
      <c r="A58" s="64">
        <v>57.0</v>
      </c>
      <c r="B58" s="101" t="s">
        <v>1718</v>
      </c>
      <c r="C58" s="92">
        <v>52.0</v>
      </c>
      <c r="D58" s="92">
        <v>54.0</v>
      </c>
      <c r="E58" s="55">
        <f t="shared" si="59"/>
        <v>106</v>
      </c>
      <c r="F58" s="56">
        <v>45842.0</v>
      </c>
      <c r="G58" s="82" t="s">
        <v>1656</v>
      </c>
      <c r="H58" s="58">
        <v>0.6666666666666666</v>
      </c>
      <c r="I58" s="58">
        <v>0.625</v>
      </c>
      <c r="J58" s="59" t="str">
        <f t="shared" si="3"/>
        <v>Afternoon</v>
      </c>
      <c r="K58" s="82" t="s">
        <v>1269</v>
      </c>
      <c r="L58" s="82" t="s">
        <v>1630</v>
      </c>
      <c r="M58" s="85"/>
      <c r="N58" s="61" t="s">
        <v>1699</v>
      </c>
      <c r="O58" s="62">
        <f>VLOOKUP(B58,'Dados Meteorológicos'!$1:$988,12,0)</f>
        <v>28.5</v>
      </c>
      <c r="P58" s="62">
        <f>VLOOKUP(B58,'Dados Meteorológicos'!$1:$988,13,0)</f>
        <v>-81.5</v>
      </c>
      <c r="Q58" s="62">
        <f>VLOOKUP(B58,'Dados Meteorológicos'!$1:$988,14,0)</f>
        <v>20</v>
      </c>
      <c r="R58" s="62">
        <f>VLOOKUP(B58,'Dados Meteorológicos'!$1:$988,15,0)</f>
        <v>28.77</v>
      </c>
      <c r="S58" s="62">
        <f>VLOOKUP(B58,'Dados Meteorológicos'!$1:$988,16,0)</f>
        <v>23.99</v>
      </c>
      <c r="T58" s="62">
        <f>VLOOKUP(B58,'Dados Meteorológicos'!$1:$988,17,0)</f>
        <v>75</v>
      </c>
      <c r="U58" s="62">
        <f>VLOOKUP(B58,'Dados Meteorológicos'!$1:$988,18,0)</f>
        <v>28.38</v>
      </c>
      <c r="V58" s="62">
        <f>VLOOKUP(B58,'Dados Meteorológicos'!$1:$988,19,0)</f>
        <v>437.5</v>
      </c>
      <c r="W58" s="62">
        <f>VLOOKUP(B58,'Dados Meteorológicos'!$1:$988,20,0)</f>
        <v>0.38</v>
      </c>
      <c r="X58" s="62">
        <f>VLOOKUP(B58,'Dados Meteorológicos'!$1:$988,21,0)</f>
        <v>25.79</v>
      </c>
      <c r="Y58" s="62">
        <f>VLOOKUP(B58,'Dados Meteorológicos'!$1:$988,22,0)</f>
        <v>45.46</v>
      </c>
      <c r="Z58" s="62">
        <f>VLOOKUP(B58,'Dados Meteorológicos'!$1:$988,23,0)</f>
        <v>30.02</v>
      </c>
      <c r="AA58" s="62">
        <f>VLOOKUP(B58,'Dados Meteorológicos'!$1:$988,24,0)</f>
        <v>21</v>
      </c>
      <c r="AB58" s="62">
        <f>VLOOKUP(B58,'Dados Meteorológicos'!$1:$988,25,0)</f>
        <v>28.09</v>
      </c>
      <c r="AC58" s="62">
        <f>VLOOKUP(B58,'Dados Meteorológicos'!$1:$988,26,0)</f>
        <v>23.97</v>
      </c>
      <c r="AD58" s="62">
        <f>VLOOKUP(B58,'Dados Meteorológicos'!$1:$988,27,0)</f>
        <v>78</v>
      </c>
      <c r="AE58" s="62">
        <f>VLOOKUP(B58,'Dados Meteorológicos'!$1:$988,28,0)</f>
        <v>27.35</v>
      </c>
      <c r="AF58" s="62">
        <f>VLOOKUP(B58,'Dados Meteorológicos'!$1:$988,29,0)</f>
        <v>241.7</v>
      </c>
      <c r="AG58" s="62">
        <f>VLOOKUP(B58,'Dados Meteorológicos'!$1:$988,30,0)</f>
        <v>0.45</v>
      </c>
      <c r="AH58" s="62">
        <f>VLOOKUP(B58,'Dados Meteorológicos'!$1:$988,31,0)</f>
        <v>25.47</v>
      </c>
      <c r="AI58" s="62">
        <f>VLOOKUP(B58,'Dados Meteorológicos'!$1:$988,32,0)</f>
        <v>44.7</v>
      </c>
      <c r="AJ58" s="62">
        <f>VLOOKUP(B58,'Dados Meteorológicos'!$1:$988,33,0)</f>
        <v>29.58</v>
      </c>
      <c r="AK58" s="62" t="str">
        <f>VLOOKUP(B58,'Dados Meteorológicos'!$1:$988,34,0)</f>
        <v/>
      </c>
      <c r="AL58" s="62" t="str">
        <f>VLOOKUP(B58,'Dados Meteorológicos'!$1:$988,35,0)</f>
        <v/>
      </c>
      <c r="AM58" s="62" t="str">
        <f>VLOOKUP(B58,'Dados Meteorológicos'!$1:$988,36,0)</f>
        <v/>
      </c>
      <c r="AN58" s="62" t="str">
        <f>VLOOKUP(B58,'Dados Meteorológicos'!$1:$988,37,0)</f>
        <v/>
      </c>
      <c r="AO58" s="62" t="str">
        <f>VLOOKUP(B58,'Dados Meteorológicos'!$1:$988,38,0)</f>
        <v/>
      </c>
      <c r="AP58" s="62" t="str">
        <f>VLOOKUP(B58,'Dados Meteorológicos'!$1:$988,39,0)</f>
        <v/>
      </c>
      <c r="AQ58" s="62" t="str">
        <f>VLOOKUP(B58,'Dados Meteorológicos'!$1:$988,40,0)</f>
        <v/>
      </c>
      <c r="AR58" s="62" t="str">
        <f>VLOOKUP(B58,'Dados Meteorológicos'!$1:$988,41,0)</f>
        <v/>
      </c>
      <c r="AS58" s="62" t="str">
        <f>VLOOKUP(B58,'Dados Meteorológicos'!$1:$988,42,0)</f>
        <v/>
      </c>
      <c r="AT58" s="62" t="str">
        <f>VLOOKUP(B58,'Dados Meteorológicos'!$1:$988,43,0)</f>
        <v/>
      </c>
      <c r="AU58" s="62" t="str">
        <f>VLOOKUP(B58,'Dados Meteorológicos'!$1:$988,44,0)</f>
        <v/>
      </c>
      <c r="AV58" s="62" t="str">
        <f>VLOOKUP(B58,'Dados Meteorológicos'!$1:$988,45,0)</f>
        <v/>
      </c>
      <c r="AW58" s="62" t="str">
        <f>VLOOKUP(B58,'Dados Meteorológicos'!$1:$988,46,0)</f>
        <v/>
      </c>
      <c r="AX58" s="62" t="str">
        <f>VLOOKUP(B58,'Dados Meteorológicos'!$1:$988,47,0)</f>
        <v/>
      </c>
      <c r="AY58" s="62" t="str">
        <f>VLOOKUP(B58,'Dados Meteorológicos'!$1:$988,48,0)</f>
        <v/>
      </c>
      <c r="AZ58" s="62" t="str">
        <f>VLOOKUP(B58,'Dados Meteorológicos'!$1:$988,49,0)</f>
        <v/>
      </c>
      <c r="BA58" s="62" t="str">
        <f>VLOOKUP(B58,'Dados Meteorológicos'!$1:$988,50,0)</f>
        <v/>
      </c>
      <c r="BB58" s="62" t="str">
        <f>VLOOKUP(B58,'Dados Meteorológicos'!$1:$988,51,0)</f>
        <v/>
      </c>
      <c r="BC58" s="62" t="str">
        <f>VLOOKUP(B58,'Dados Meteorológicos'!$1:$988,52,0)</f>
        <v/>
      </c>
      <c r="BD58" s="14" t="str">
        <f>VLOOKUP(B58,'Dados Meteorológicos'!$1:$988,53,0)</f>
        <v/>
      </c>
      <c r="BE58" s="62"/>
      <c r="BF58" s="63">
        <f t="shared" ref="BF58:BN58" si="61">AVERAGE(R58,AB58,AL58,AV58)</f>
        <v>28.43</v>
      </c>
      <c r="BG58" s="63">
        <f t="shared" si="61"/>
        <v>23.98</v>
      </c>
      <c r="BH58" s="63">
        <f t="shared" si="61"/>
        <v>76.5</v>
      </c>
      <c r="BI58" s="63">
        <f t="shared" si="61"/>
        <v>27.865</v>
      </c>
      <c r="BJ58" s="63">
        <f t="shared" si="61"/>
        <v>339.6</v>
      </c>
      <c r="BK58" s="63">
        <f t="shared" si="61"/>
        <v>0.415</v>
      </c>
      <c r="BL58" s="63">
        <f t="shared" si="61"/>
        <v>25.63</v>
      </c>
      <c r="BM58" s="63">
        <f t="shared" si="61"/>
        <v>45.08</v>
      </c>
      <c r="BN58" s="63">
        <f t="shared" si="61"/>
        <v>29.8</v>
      </c>
    </row>
    <row r="59">
      <c r="A59" s="64">
        <v>58.0</v>
      </c>
      <c r="B59" s="89" t="s">
        <v>1719</v>
      </c>
      <c r="C59" s="78">
        <v>47.0</v>
      </c>
      <c r="D59" s="78">
        <v>49.0</v>
      </c>
      <c r="E59" s="55">
        <f t="shared" si="59"/>
        <v>96</v>
      </c>
      <c r="F59" s="74">
        <v>45842.0</v>
      </c>
      <c r="G59" s="66" t="s">
        <v>1651</v>
      </c>
      <c r="H59" s="75">
        <v>0.9166666666666666</v>
      </c>
      <c r="I59" s="75">
        <v>0.875</v>
      </c>
      <c r="J59" s="59" t="str">
        <f t="shared" si="3"/>
        <v>Evening</v>
      </c>
      <c r="K59" s="66" t="s">
        <v>500</v>
      </c>
      <c r="L59" s="66" t="s">
        <v>1630</v>
      </c>
      <c r="M59" s="69"/>
      <c r="N59" s="70" t="s">
        <v>1652</v>
      </c>
      <c r="O59" s="62">
        <f>VLOOKUP(B59,'Dados Meteorológicos'!$1:$988,12,0)</f>
        <v>40</v>
      </c>
      <c r="P59" s="62">
        <f>VLOOKUP(B59,'Dados Meteorológicos'!$1:$988,13,0)</f>
        <v>-75.25</v>
      </c>
      <c r="Q59" s="62">
        <f>VLOOKUP(B59,'Dados Meteorológicos'!$1:$988,14,0)</f>
        <v>2</v>
      </c>
      <c r="R59" s="62">
        <f>VLOOKUP(B59,'Dados Meteorológicos'!$1:$988,15,0)</f>
        <v>22.6</v>
      </c>
      <c r="S59" s="62">
        <f>VLOOKUP(B59,'Dados Meteorológicos'!$1:$988,16,0)</f>
        <v>15.43</v>
      </c>
      <c r="T59" s="62">
        <f>VLOOKUP(B59,'Dados Meteorológicos'!$1:$988,17,0)</f>
        <v>63</v>
      </c>
      <c r="U59" s="62">
        <f>VLOOKUP(B59,'Dados Meteorológicos'!$1:$988,18,0)</f>
        <v>20.09</v>
      </c>
      <c r="V59" s="62">
        <f>VLOOKUP(B59,'Dados Meteorológicos'!$1:$988,19,0)</f>
        <v>0</v>
      </c>
      <c r="W59" s="62">
        <f>VLOOKUP(B59,'Dados Meteorológicos'!$1:$988,20,0)</f>
        <v>0.72</v>
      </c>
      <c r="X59" s="62">
        <f>VLOOKUP(B59,'Dados Meteorológicos'!$1:$988,21,0)</f>
        <v>20.19</v>
      </c>
      <c r="Y59" s="62">
        <f>VLOOKUP(B59,'Dados Meteorológicos'!$1:$988,22,0)</f>
        <v>35.67</v>
      </c>
      <c r="Z59" s="62">
        <f>VLOOKUP(B59,'Dados Meteorológicos'!$1:$988,23,0)</f>
        <v>23.53</v>
      </c>
      <c r="AA59" s="62">
        <f>VLOOKUP(B59,'Dados Meteorológicos'!$1:$988,24,0)</f>
        <v>3</v>
      </c>
      <c r="AB59" s="62">
        <f>VLOOKUP(B59,'Dados Meteorológicos'!$1:$988,25,0)</f>
        <v>21.96</v>
      </c>
      <c r="AC59" s="62">
        <f>VLOOKUP(B59,'Dados Meteorológicos'!$1:$988,26,0)</f>
        <v>15.53</v>
      </c>
      <c r="AD59" s="62">
        <f>VLOOKUP(B59,'Dados Meteorológicos'!$1:$988,27,0)</f>
        <v>66</v>
      </c>
      <c r="AE59" s="62">
        <f>VLOOKUP(B59,'Dados Meteorológicos'!$1:$988,28,0)</f>
        <v>19.36</v>
      </c>
      <c r="AF59" s="62">
        <f>VLOOKUP(B59,'Dados Meteorológicos'!$1:$988,29,0)</f>
        <v>0</v>
      </c>
      <c r="AG59" s="62">
        <f>VLOOKUP(B59,'Dados Meteorológicos'!$1:$988,30,0)</f>
        <v>0.94</v>
      </c>
      <c r="AH59" s="62">
        <f>VLOOKUP(B59,'Dados Meteorológicos'!$1:$988,31,0)</f>
        <v>19.91</v>
      </c>
      <c r="AI59" s="62">
        <f>VLOOKUP(B59,'Dados Meteorológicos'!$1:$988,32,0)</f>
        <v>34.81</v>
      </c>
      <c r="AJ59" s="62">
        <f>VLOOKUP(B59,'Dados Meteorológicos'!$1:$988,33,0)</f>
        <v>23.1</v>
      </c>
      <c r="AK59" s="62" t="str">
        <f>VLOOKUP(B59,'Dados Meteorológicos'!$1:$988,34,0)</f>
        <v/>
      </c>
      <c r="AL59" s="62" t="str">
        <f>VLOOKUP(B59,'Dados Meteorológicos'!$1:$988,35,0)</f>
        <v/>
      </c>
      <c r="AM59" s="62" t="str">
        <f>VLOOKUP(B59,'Dados Meteorológicos'!$1:$988,36,0)</f>
        <v/>
      </c>
      <c r="AN59" s="62" t="str">
        <f>VLOOKUP(B59,'Dados Meteorológicos'!$1:$988,37,0)</f>
        <v/>
      </c>
      <c r="AO59" s="62" t="str">
        <f>VLOOKUP(B59,'Dados Meteorológicos'!$1:$988,38,0)</f>
        <v/>
      </c>
      <c r="AP59" s="62" t="str">
        <f>VLOOKUP(B59,'Dados Meteorológicos'!$1:$988,39,0)</f>
        <v/>
      </c>
      <c r="AQ59" s="62" t="str">
        <f>VLOOKUP(B59,'Dados Meteorológicos'!$1:$988,40,0)</f>
        <v/>
      </c>
      <c r="AR59" s="62" t="str">
        <f>VLOOKUP(B59,'Dados Meteorológicos'!$1:$988,41,0)</f>
        <v/>
      </c>
      <c r="AS59" s="62" t="str">
        <f>VLOOKUP(B59,'Dados Meteorológicos'!$1:$988,42,0)</f>
        <v/>
      </c>
      <c r="AT59" s="62" t="str">
        <f>VLOOKUP(B59,'Dados Meteorológicos'!$1:$988,43,0)</f>
        <v/>
      </c>
      <c r="AU59" s="62" t="str">
        <f>VLOOKUP(B59,'Dados Meteorológicos'!$1:$988,44,0)</f>
        <v/>
      </c>
      <c r="AV59" s="62" t="str">
        <f>VLOOKUP(B59,'Dados Meteorológicos'!$1:$988,45,0)</f>
        <v/>
      </c>
      <c r="AW59" s="62" t="str">
        <f>VLOOKUP(B59,'Dados Meteorológicos'!$1:$988,46,0)</f>
        <v/>
      </c>
      <c r="AX59" s="62" t="str">
        <f>VLOOKUP(B59,'Dados Meteorológicos'!$1:$988,47,0)</f>
        <v/>
      </c>
      <c r="AY59" s="62" t="str">
        <f>VLOOKUP(B59,'Dados Meteorológicos'!$1:$988,48,0)</f>
        <v/>
      </c>
      <c r="AZ59" s="62" t="str">
        <f>VLOOKUP(B59,'Dados Meteorológicos'!$1:$988,49,0)</f>
        <v/>
      </c>
      <c r="BA59" s="62" t="str">
        <f>VLOOKUP(B59,'Dados Meteorológicos'!$1:$988,50,0)</f>
        <v/>
      </c>
      <c r="BB59" s="62" t="str">
        <f>VLOOKUP(B59,'Dados Meteorológicos'!$1:$988,51,0)</f>
        <v/>
      </c>
      <c r="BC59" s="62" t="str">
        <f>VLOOKUP(B59,'Dados Meteorológicos'!$1:$988,52,0)</f>
        <v/>
      </c>
      <c r="BD59" s="14" t="str">
        <f>VLOOKUP(B59,'Dados Meteorológicos'!$1:$988,53,0)</f>
        <v/>
      </c>
      <c r="BE59" s="62"/>
      <c r="BF59" s="63">
        <f t="shared" ref="BF59:BN59" si="62">AVERAGE(R59,AB59,AL59,AV59)</f>
        <v>22.28</v>
      </c>
      <c r="BG59" s="63">
        <f t="shared" si="62"/>
        <v>15.48</v>
      </c>
      <c r="BH59" s="63">
        <f t="shared" si="62"/>
        <v>64.5</v>
      </c>
      <c r="BI59" s="63">
        <f t="shared" si="62"/>
        <v>19.725</v>
      </c>
      <c r="BJ59" s="63">
        <f t="shared" si="62"/>
        <v>0</v>
      </c>
      <c r="BK59" s="63">
        <f t="shared" si="62"/>
        <v>0.83</v>
      </c>
      <c r="BL59" s="63">
        <f t="shared" si="62"/>
        <v>20.05</v>
      </c>
      <c r="BM59" s="63">
        <f t="shared" si="62"/>
        <v>35.24</v>
      </c>
      <c r="BN59" s="63">
        <f t="shared" si="62"/>
        <v>23.315</v>
      </c>
    </row>
    <row r="60">
      <c r="A60" s="64">
        <v>59.0</v>
      </c>
      <c r="B60" s="89" t="s">
        <v>1720</v>
      </c>
      <c r="C60" s="78">
        <v>48.0</v>
      </c>
      <c r="D60" s="104">
        <v>51.0</v>
      </c>
      <c r="E60" s="55">
        <f t="shared" si="59"/>
        <v>99</v>
      </c>
      <c r="F60" s="74">
        <v>45843.0</v>
      </c>
      <c r="G60" s="66" t="s">
        <v>1646</v>
      </c>
      <c r="H60" s="75">
        <v>0.5416666666666666</v>
      </c>
      <c r="I60" s="75">
        <v>0.5</v>
      </c>
      <c r="J60" s="59" t="str">
        <f t="shared" si="3"/>
        <v>Afternoon</v>
      </c>
      <c r="K60" s="66" t="s">
        <v>376</v>
      </c>
      <c r="L60" s="66" t="s">
        <v>1647</v>
      </c>
      <c r="M60" s="69"/>
      <c r="N60" s="70" t="s">
        <v>1648</v>
      </c>
      <c r="O60" s="62">
        <f>VLOOKUP(B60,'Dados Meteorológicos'!$1:$988,12,0)</f>
        <v>33.75</v>
      </c>
      <c r="P60" s="62">
        <f>VLOOKUP(B60,'Dados Meteorológicos'!$1:$988,13,0)</f>
        <v>-84.5</v>
      </c>
      <c r="Q60" s="62">
        <f>VLOOKUP(B60,'Dados Meteorológicos'!$1:$988,14,0)</f>
        <v>17</v>
      </c>
      <c r="R60" s="62">
        <f>VLOOKUP(B60,'Dados Meteorológicos'!$1:$988,15,0)</f>
        <v>31.64</v>
      </c>
      <c r="S60" s="62">
        <f>VLOOKUP(B60,'Dados Meteorológicos'!$1:$988,16,0)</f>
        <v>17.26</v>
      </c>
      <c r="T60" s="62">
        <f>VLOOKUP(B60,'Dados Meteorológicos'!$1:$988,17,0)</f>
        <v>42</v>
      </c>
      <c r="U60" s="62">
        <f>VLOOKUP(B60,'Dados Meteorológicos'!$1:$988,18,0)</f>
        <v>33.16</v>
      </c>
      <c r="V60" s="62">
        <f>VLOOKUP(B60,'Dados Meteorológicos'!$1:$988,19,0)</f>
        <v>928.6</v>
      </c>
      <c r="W60" s="62">
        <f>VLOOKUP(B60,'Dados Meteorológicos'!$1:$988,20,0)</f>
        <v>2.66</v>
      </c>
      <c r="X60" s="62">
        <f>VLOOKUP(B60,'Dados Meteorológicos'!$1:$988,21,0)</f>
        <v>23.6</v>
      </c>
      <c r="Y60" s="62">
        <f>VLOOKUP(B60,'Dados Meteorológicos'!$1:$988,22,0)</f>
        <v>44.3</v>
      </c>
      <c r="Z60" s="62">
        <f>VLOOKUP(B60,'Dados Meteorológicos'!$1:$988,23,0)</f>
        <v>28.54</v>
      </c>
      <c r="AA60" s="62">
        <f>VLOOKUP(B60,'Dados Meteorológicos'!$1:$988,24,0)</f>
        <v>18</v>
      </c>
      <c r="AB60" s="62">
        <f>VLOOKUP(B60,'Dados Meteorológicos'!$1:$988,25,0)</f>
        <v>31.93</v>
      </c>
      <c r="AC60" s="62">
        <f>VLOOKUP(B60,'Dados Meteorológicos'!$1:$988,26,0)</f>
        <v>16.7</v>
      </c>
      <c r="AD60" s="62">
        <f>VLOOKUP(B60,'Dados Meteorológicos'!$1:$988,27,0)</f>
        <v>40</v>
      </c>
      <c r="AE60" s="62">
        <f>VLOOKUP(B60,'Dados Meteorológicos'!$1:$988,28,0)</f>
        <v>33.67</v>
      </c>
      <c r="AF60" s="62">
        <f>VLOOKUP(B60,'Dados Meteorológicos'!$1:$988,29,0)</f>
        <v>964.8</v>
      </c>
      <c r="AG60" s="62">
        <f>VLOOKUP(B60,'Dados Meteorológicos'!$1:$988,30,0)</f>
        <v>2.42</v>
      </c>
      <c r="AH60" s="62">
        <f>VLOOKUP(B60,'Dados Meteorológicos'!$1:$988,31,0)</f>
        <v>23.5</v>
      </c>
      <c r="AI60" s="62">
        <f>VLOOKUP(B60,'Dados Meteorológicos'!$1:$988,32,0)</f>
        <v>44.75</v>
      </c>
      <c r="AJ60" s="62">
        <f>VLOOKUP(B60,'Dados Meteorológicos'!$1:$988,33,0)</f>
        <v>28.59</v>
      </c>
      <c r="AK60" s="62" t="str">
        <f>VLOOKUP(B60,'Dados Meteorológicos'!$1:$988,34,0)</f>
        <v/>
      </c>
      <c r="AL60" s="62" t="str">
        <f>VLOOKUP(B60,'Dados Meteorológicos'!$1:$988,35,0)</f>
        <v/>
      </c>
      <c r="AM60" s="62" t="str">
        <f>VLOOKUP(B60,'Dados Meteorológicos'!$1:$988,36,0)</f>
        <v/>
      </c>
      <c r="AN60" s="62" t="str">
        <f>VLOOKUP(B60,'Dados Meteorológicos'!$1:$988,37,0)</f>
        <v/>
      </c>
      <c r="AO60" s="62" t="str">
        <f>VLOOKUP(B60,'Dados Meteorológicos'!$1:$988,38,0)</f>
        <v/>
      </c>
      <c r="AP60" s="62" t="str">
        <f>VLOOKUP(B60,'Dados Meteorológicos'!$1:$988,39,0)</f>
        <v/>
      </c>
      <c r="AQ60" s="62" t="str">
        <f>VLOOKUP(B60,'Dados Meteorológicos'!$1:$988,40,0)</f>
        <v/>
      </c>
      <c r="AR60" s="62" t="str">
        <f>VLOOKUP(B60,'Dados Meteorológicos'!$1:$988,41,0)</f>
        <v/>
      </c>
      <c r="AS60" s="62" t="str">
        <f>VLOOKUP(B60,'Dados Meteorológicos'!$1:$988,42,0)</f>
        <v/>
      </c>
      <c r="AT60" s="62" t="str">
        <f>VLOOKUP(B60,'Dados Meteorológicos'!$1:$988,43,0)</f>
        <v/>
      </c>
      <c r="AU60" s="62" t="str">
        <f>VLOOKUP(B60,'Dados Meteorológicos'!$1:$988,44,0)</f>
        <v/>
      </c>
      <c r="AV60" s="62" t="str">
        <f>VLOOKUP(B60,'Dados Meteorológicos'!$1:$988,45,0)</f>
        <v/>
      </c>
      <c r="AW60" s="62" t="str">
        <f>VLOOKUP(B60,'Dados Meteorológicos'!$1:$988,46,0)</f>
        <v/>
      </c>
      <c r="AX60" s="62" t="str">
        <f>VLOOKUP(B60,'Dados Meteorológicos'!$1:$988,47,0)</f>
        <v/>
      </c>
      <c r="AY60" s="62" t="str">
        <f>VLOOKUP(B60,'Dados Meteorológicos'!$1:$988,48,0)</f>
        <v/>
      </c>
      <c r="AZ60" s="62" t="str">
        <f>VLOOKUP(B60,'Dados Meteorológicos'!$1:$988,49,0)</f>
        <v/>
      </c>
      <c r="BA60" s="62" t="str">
        <f>VLOOKUP(B60,'Dados Meteorológicos'!$1:$988,50,0)</f>
        <v/>
      </c>
      <c r="BB60" s="62" t="str">
        <f>VLOOKUP(B60,'Dados Meteorológicos'!$1:$988,51,0)</f>
        <v/>
      </c>
      <c r="BC60" s="62" t="str">
        <f>VLOOKUP(B60,'Dados Meteorológicos'!$1:$988,52,0)</f>
        <v/>
      </c>
      <c r="BD60" s="14" t="str">
        <f>VLOOKUP(B60,'Dados Meteorológicos'!$1:$988,53,0)</f>
        <v/>
      </c>
      <c r="BE60" s="62"/>
      <c r="BF60" s="63">
        <f t="shared" ref="BF60:BN60" si="63">AVERAGE(R60,AB60,AL60,AV60)</f>
        <v>31.785</v>
      </c>
      <c r="BG60" s="63">
        <f t="shared" si="63"/>
        <v>16.98</v>
      </c>
      <c r="BH60" s="63">
        <f t="shared" si="63"/>
        <v>41</v>
      </c>
      <c r="BI60" s="63">
        <f t="shared" si="63"/>
        <v>33.415</v>
      </c>
      <c r="BJ60" s="63">
        <f t="shared" si="63"/>
        <v>946.7</v>
      </c>
      <c r="BK60" s="63">
        <f t="shared" si="63"/>
        <v>2.54</v>
      </c>
      <c r="BL60" s="63">
        <f t="shared" si="63"/>
        <v>23.55</v>
      </c>
      <c r="BM60" s="63">
        <f t="shared" si="63"/>
        <v>44.525</v>
      </c>
      <c r="BN60" s="63">
        <f t="shared" si="63"/>
        <v>28.565</v>
      </c>
    </row>
    <row r="61">
      <c r="A61" s="64">
        <v>60.0</v>
      </c>
      <c r="B61" s="71" t="s">
        <v>1721</v>
      </c>
      <c r="C61" s="78">
        <v>48.0</v>
      </c>
      <c r="D61" s="73">
        <v>54.0</v>
      </c>
      <c r="E61" s="55">
        <f t="shared" si="59"/>
        <v>102</v>
      </c>
      <c r="F61" s="74">
        <v>45843.0</v>
      </c>
      <c r="G61" s="78" t="s">
        <v>1640</v>
      </c>
      <c r="H61" s="75">
        <v>0.7083333333333334</v>
      </c>
      <c r="I61" s="75">
        <v>0.6666666666666666</v>
      </c>
      <c r="J61" s="59" t="str">
        <f t="shared" si="3"/>
        <v>Afternoon</v>
      </c>
      <c r="K61" s="72" t="s">
        <v>249</v>
      </c>
      <c r="L61" s="72" t="s">
        <v>1630</v>
      </c>
      <c r="M61" s="76"/>
      <c r="N61" s="70" t="s">
        <v>1641</v>
      </c>
      <c r="O61" s="62">
        <f>VLOOKUP(B61,'Dados Meteorológicos'!$1:$988,12,0)</f>
        <v>40.75</v>
      </c>
      <c r="P61" s="62">
        <f>VLOOKUP(B61,'Dados Meteorológicos'!$1:$988,13,0)</f>
        <v>-74</v>
      </c>
      <c r="Q61" s="62">
        <f>VLOOKUP(B61,'Dados Meteorológicos'!$1:$988,14,0)</f>
        <v>21</v>
      </c>
      <c r="R61" s="62">
        <f>VLOOKUP(B61,'Dados Meteorológicos'!$1:$988,15,0)</f>
        <v>29.92</v>
      </c>
      <c r="S61" s="62">
        <f>VLOOKUP(B61,'Dados Meteorológicos'!$1:$988,16,0)</f>
        <v>15.73</v>
      </c>
      <c r="T61" s="62">
        <f>VLOOKUP(B61,'Dados Meteorológicos'!$1:$988,17,0)</f>
        <v>42</v>
      </c>
      <c r="U61" s="62">
        <f>VLOOKUP(B61,'Dados Meteorológicos'!$1:$988,18,0)</f>
        <v>30.22</v>
      </c>
      <c r="V61" s="62">
        <f>VLOOKUP(B61,'Dados Meteorológicos'!$1:$988,19,0)</f>
        <v>581</v>
      </c>
      <c r="W61" s="62">
        <f>VLOOKUP(B61,'Dados Meteorológicos'!$1:$988,20,0)</f>
        <v>1.65</v>
      </c>
      <c r="X61" s="62">
        <f>VLOOKUP(B61,'Dados Meteorológicos'!$1:$988,21,0)</f>
        <v>22.66</v>
      </c>
      <c r="Y61" s="62">
        <f>VLOOKUP(B61,'Dados Meteorológicos'!$1:$988,22,0)</f>
        <v>42.97</v>
      </c>
      <c r="Z61" s="62">
        <f>VLOOKUP(B61,'Dados Meteorológicos'!$1:$988,23,0)</f>
        <v>27.44</v>
      </c>
      <c r="AA61" s="62">
        <f>VLOOKUP(B61,'Dados Meteorológicos'!$1:$988,24,0)</f>
        <v>22</v>
      </c>
      <c r="AB61" s="62">
        <f>VLOOKUP(B61,'Dados Meteorológicos'!$1:$988,25,0)</f>
        <v>29.13</v>
      </c>
      <c r="AC61" s="62">
        <f>VLOOKUP(B61,'Dados Meteorológicos'!$1:$988,26,0)</f>
        <v>16.27</v>
      </c>
      <c r="AD61" s="62">
        <f>VLOOKUP(B61,'Dados Meteorológicos'!$1:$988,27,0)</f>
        <v>45</v>
      </c>
      <c r="AE61" s="62">
        <f>VLOOKUP(B61,'Dados Meteorológicos'!$1:$988,28,0)</f>
        <v>28.95</v>
      </c>
      <c r="AF61" s="62">
        <f>VLOOKUP(B61,'Dados Meteorológicos'!$1:$988,29,0)</f>
        <v>462.3</v>
      </c>
      <c r="AG61" s="62">
        <f>VLOOKUP(B61,'Dados Meteorológicos'!$1:$988,30,0)</f>
        <v>1.87</v>
      </c>
      <c r="AH61" s="62">
        <f>VLOOKUP(B61,'Dados Meteorológicos'!$1:$988,31,0)</f>
        <v>22.57</v>
      </c>
      <c r="AI61" s="62">
        <f>VLOOKUP(B61,'Dados Meteorológicos'!$1:$988,32,0)</f>
        <v>41.96</v>
      </c>
      <c r="AJ61" s="62">
        <f>VLOOKUP(B61,'Dados Meteorológicos'!$1:$988,33,0)</f>
        <v>27.1</v>
      </c>
      <c r="AK61" s="62" t="str">
        <f>VLOOKUP(B61,'Dados Meteorológicos'!$1:$988,34,0)</f>
        <v/>
      </c>
      <c r="AL61" s="62" t="str">
        <f>VLOOKUP(B61,'Dados Meteorológicos'!$1:$988,35,0)</f>
        <v/>
      </c>
      <c r="AM61" s="62" t="str">
        <f>VLOOKUP(B61,'Dados Meteorológicos'!$1:$988,36,0)</f>
        <v/>
      </c>
      <c r="AN61" s="62" t="str">
        <f>VLOOKUP(B61,'Dados Meteorológicos'!$1:$988,37,0)</f>
        <v/>
      </c>
      <c r="AO61" s="62" t="str">
        <f>VLOOKUP(B61,'Dados Meteorológicos'!$1:$988,38,0)</f>
        <v/>
      </c>
      <c r="AP61" s="62" t="str">
        <f>VLOOKUP(B61,'Dados Meteorológicos'!$1:$988,39,0)</f>
        <v/>
      </c>
      <c r="AQ61" s="62" t="str">
        <f>VLOOKUP(B61,'Dados Meteorológicos'!$1:$988,40,0)</f>
        <v/>
      </c>
      <c r="AR61" s="62" t="str">
        <f>VLOOKUP(B61,'Dados Meteorológicos'!$1:$988,41,0)</f>
        <v/>
      </c>
      <c r="AS61" s="62" t="str">
        <f>VLOOKUP(B61,'Dados Meteorológicos'!$1:$988,42,0)</f>
        <v/>
      </c>
      <c r="AT61" s="62" t="str">
        <f>VLOOKUP(B61,'Dados Meteorológicos'!$1:$988,43,0)</f>
        <v/>
      </c>
      <c r="AU61" s="62" t="str">
        <f>VLOOKUP(B61,'Dados Meteorológicos'!$1:$988,44,0)</f>
        <v/>
      </c>
      <c r="AV61" s="62" t="str">
        <f>VLOOKUP(B61,'Dados Meteorológicos'!$1:$988,45,0)</f>
        <v/>
      </c>
      <c r="AW61" s="62" t="str">
        <f>VLOOKUP(B61,'Dados Meteorológicos'!$1:$988,46,0)</f>
        <v/>
      </c>
      <c r="AX61" s="62" t="str">
        <f>VLOOKUP(B61,'Dados Meteorológicos'!$1:$988,47,0)</f>
        <v/>
      </c>
      <c r="AY61" s="62" t="str">
        <f>VLOOKUP(B61,'Dados Meteorológicos'!$1:$988,48,0)</f>
        <v/>
      </c>
      <c r="AZ61" s="62" t="str">
        <f>VLOOKUP(B61,'Dados Meteorológicos'!$1:$988,49,0)</f>
        <v/>
      </c>
      <c r="BA61" s="62" t="str">
        <f>VLOOKUP(B61,'Dados Meteorológicos'!$1:$988,50,0)</f>
        <v/>
      </c>
      <c r="BB61" s="62" t="str">
        <f>VLOOKUP(B61,'Dados Meteorológicos'!$1:$988,51,0)</f>
        <v/>
      </c>
      <c r="BC61" s="62" t="str">
        <f>VLOOKUP(B61,'Dados Meteorológicos'!$1:$988,52,0)</f>
        <v/>
      </c>
      <c r="BD61" s="14" t="str">
        <f>VLOOKUP(B61,'Dados Meteorológicos'!$1:$988,53,0)</f>
        <v/>
      </c>
      <c r="BE61" s="62"/>
      <c r="BF61" s="63">
        <f t="shared" ref="BF61:BN61" si="64">AVERAGE(R61,AB61,AL61,AV61)</f>
        <v>29.525</v>
      </c>
      <c r="BG61" s="63">
        <f t="shared" si="64"/>
        <v>16</v>
      </c>
      <c r="BH61" s="63">
        <f t="shared" si="64"/>
        <v>43.5</v>
      </c>
      <c r="BI61" s="63">
        <f t="shared" si="64"/>
        <v>29.585</v>
      </c>
      <c r="BJ61" s="63">
        <f t="shared" si="64"/>
        <v>521.65</v>
      </c>
      <c r="BK61" s="63">
        <f t="shared" si="64"/>
        <v>1.76</v>
      </c>
      <c r="BL61" s="63">
        <f t="shared" si="64"/>
        <v>22.615</v>
      </c>
      <c r="BM61" s="63">
        <f t="shared" si="64"/>
        <v>42.465</v>
      </c>
      <c r="BN61" s="63">
        <f t="shared" si="64"/>
        <v>27.27</v>
      </c>
    </row>
    <row r="62">
      <c r="A62" s="64">
        <v>61.0</v>
      </c>
      <c r="B62" s="101" t="s">
        <v>1722</v>
      </c>
      <c r="C62" s="57">
        <v>50.0</v>
      </c>
      <c r="D62" s="73">
        <v>55.0</v>
      </c>
      <c r="E62" s="55">
        <f t="shared" si="59"/>
        <v>105</v>
      </c>
      <c r="F62" s="56">
        <v>45846.0</v>
      </c>
      <c r="G62" s="57" t="s">
        <v>1640</v>
      </c>
      <c r="H62" s="58">
        <v>0.6666666666666666</v>
      </c>
      <c r="I62" s="58">
        <v>0.625</v>
      </c>
      <c r="J62" s="59" t="str">
        <f t="shared" si="3"/>
        <v>Afternoon</v>
      </c>
      <c r="K62" s="53" t="s">
        <v>249</v>
      </c>
      <c r="L62" s="53" t="s">
        <v>1630</v>
      </c>
      <c r="M62" s="60"/>
      <c r="N62" s="61" t="s">
        <v>1641</v>
      </c>
      <c r="O62" s="62">
        <f>VLOOKUP(B62,'Dados Meteorológicos'!$1:$988,12,0)</f>
        <v>40.75</v>
      </c>
      <c r="P62" s="62">
        <f>VLOOKUP(B62,'Dados Meteorológicos'!$1:$988,13,0)</f>
        <v>-74</v>
      </c>
      <c r="Q62" s="62">
        <f>VLOOKUP(B62,'Dados Meteorológicos'!$1:$988,14,0)</f>
        <v>20</v>
      </c>
      <c r="R62" s="62">
        <f>VLOOKUP(B62,'Dados Meteorológicos'!$1:$988,15,0)</f>
        <v>33.88</v>
      </c>
      <c r="S62" s="62">
        <f>VLOOKUP(B62,'Dados Meteorológicos'!$1:$988,16,0)</f>
        <v>22.85</v>
      </c>
      <c r="T62" s="62">
        <f>VLOOKUP(B62,'Dados Meteorológicos'!$1:$988,17,0)</f>
        <v>52</v>
      </c>
      <c r="U62" s="62">
        <f>VLOOKUP(B62,'Dados Meteorológicos'!$1:$988,18,0)</f>
        <v>37.35</v>
      </c>
      <c r="V62" s="62">
        <f>VLOOKUP(B62,'Dados Meteorológicos'!$1:$988,19,0)</f>
        <v>514.5</v>
      </c>
      <c r="W62" s="62">
        <f>VLOOKUP(B62,'Dados Meteorológicos'!$1:$988,20,0)</f>
        <v>1.77</v>
      </c>
      <c r="X62" s="62">
        <f>VLOOKUP(B62,'Dados Meteorológicos'!$1:$988,21,0)</f>
        <v>26.93</v>
      </c>
      <c r="Y62" s="62">
        <f>VLOOKUP(B62,'Dados Meteorológicos'!$1:$988,22,0)</f>
        <v>49.16</v>
      </c>
      <c r="Z62" s="62">
        <f>VLOOKUP(B62,'Dados Meteorológicos'!$1:$988,23,0)</f>
        <v>32.07</v>
      </c>
      <c r="AA62" s="62">
        <f>VLOOKUP(B62,'Dados Meteorológicos'!$1:$988,24,0)</f>
        <v>21</v>
      </c>
      <c r="AB62" s="62">
        <f>VLOOKUP(B62,'Dados Meteorológicos'!$1:$988,25,0)</f>
        <v>32.5</v>
      </c>
      <c r="AC62" s="62">
        <f>VLOOKUP(B62,'Dados Meteorológicos'!$1:$988,26,0)</f>
        <v>24.49</v>
      </c>
      <c r="AD62" s="62">
        <f>VLOOKUP(B62,'Dados Meteorológicos'!$1:$988,27,0)</f>
        <v>62</v>
      </c>
      <c r="AE62" s="62">
        <f>VLOOKUP(B62,'Dados Meteorológicos'!$1:$988,28,0)</f>
        <v>34.72</v>
      </c>
      <c r="AF62" s="62">
        <f>VLOOKUP(B62,'Dados Meteorológicos'!$1:$988,29,0)</f>
        <v>428.5</v>
      </c>
      <c r="AG62" s="62">
        <f>VLOOKUP(B62,'Dados Meteorológicos'!$1:$988,30,0)</f>
        <v>2.21</v>
      </c>
      <c r="AH62" s="62">
        <f>VLOOKUP(B62,'Dados Meteorológicos'!$1:$988,31,0)</f>
        <v>26.96</v>
      </c>
      <c r="AI62" s="62">
        <f>VLOOKUP(B62,'Dados Meteorológicos'!$1:$988,32,0)</f>
        <v>47.65</v>
      </c>
      <c r="AJ62" s="62">
        <f>VLOOKUP(B62,'Dados Meteorológicos'!$1:$988,33,0)</f>
        <v>31.65</v>
      </c>
      <c r="AK62" s="62" t="str">
        <f>VLOOKUP(B62,'Dados Meteorológicos'!$1:$988,34,0)</f>
        <v/>
      </c>
      <c r="AL62" s="62" t="str">
        <f>VLOOKUP(B62,'Dados Meteorológicos'!$1:$988,35,0)</f>
        <v/>
      </c>
      <c r="AM62" s="62" t="str">
        <f>VLOOKUP(B62,'Dados Meteorológicos'!$1:$988,36,0)</f>
        <v/>
      </c>
      <c r="AN62" s="62" t="str">
        <f>VLOOKUP(B62,'Dados Meteorológicos'!$1:$988,37,0)</f>
        <v/>
      </c>
      <c r="AO62" s="62" t="str">
        <f>VLOOKUP(B62,'Dados Meteorológicos'!$1:$988,38,0)</f>
        <v/>
      </c>
      <c r="AP62" s="62" t="str">
        <f>VLOOKUP(B62,'Dados Meteorológicos'!$1:$988,39,0)</f>
        <v/>
      </c>
      <c r="AQ62" s="62" t="str">
        <f>VLOOKUP(B62,'Dados Meteorológicos'!$1:$988,40,0)</f>
        <v/>
      </c>
      <c r="AR62" s="62" t="str">
        <f>VLOOKUP(B62,'Dados Meteorológicos'!$1:$988,41,0)</f>
        <v/>
      </c>
      <c r="AS62" s="62" t="str">
        <f>VLOOKUP(B62,'Dados Meteorológicos'!$1:$988,42,0)</f>
        <v/>
      </c>
      <c r="AT62" s="62" t="str">
        <f>VLOOKUP(B62,'Dados Meteorológicos'!$1:$988,43,0)</f>
        <v/>
      </c>
      <c r="AU62" s="62" t="str">
        <f>VLOOKUP(B62,'Dados Meteorológicos'!$1:$988,44,0)</f>
        <v/>
      </c>
      <c r="AV62" s="62" t="str">
        <f>VLOOKUP(B62,'Dados Meteorológicos'!$1:$988,45,0)</f>
        <v/>
      </c>
      <c r="AW62" s="62" t="str">
        <f>VLOOKUP(B62,'Dados Meteorológicos'!$1:$988,46,0)</f>
        <v/>
      </c>
      <c r="AX62" s="62" t="str">
        <f>VLOOKUP(B62,'Dados Meteorológicos'!$1:$988,47,0)</f>
        <v/>
      </c>
      <c r="AY62" s="62" t="str">
        <f>VLOOKUP(B62,'Dados Meteorológicos'!$1:$988,48,0)</f>
        <v/>
      </c>
      <c r="AZ62" s="62" t="str">
        <f>VLOOKUP(B62,'Dados Meteorológicos'!$1:$988,49,0)</f>
        <v/>
      </c>
      <c r="BA62" s="62" t="str">
        <f>VLOOKUP(B62,'Dados Meteorológicos'!$1:$988,50,0)</f>
        <v/>
      </c>
      <c r="BB62" s="62" t="str">
        <f>VLOOKUP(B62,'Dados Meteorológicos'!$1:$988,51,0)</f>
        <v/>
      </c>
      <c r="BC62" s="62" t="str">
        <f>VLOOKUP(B62,'Dados Meteorológicos'!$1:$988,52,0)</f>
        <v/>
      </c>
      <c r="BD62" s="14" t="str">
        <f>VLOOKUP(B62,'Dados Meteorológicos'!$1:$988,53,0)</f>
        <v/>
      </c>
      <c r="BE62" s="62"/>
      <c r="BF62" s="63">
        <f t="shared" ref="BF62:BN62" si="65">AVERAGE(R62,AB62,AL62,AV62)</f>
        <v>33.19</v>
      </c>
      <c r="BG62" s="63">
        <f t="shared" si="65"/>
        <v>23.67</v>
      </c>
      <c r="BH62" s="63">
        <f t="shared" si="65"/>
        <v>57</v>
      </c>
      <c r="BI62" s="63">
        <f t="shared" si="65"/>
        <v>36.035</v>
      </c>
      <c r="BJ62" s="63">
        <f t="shared" si="65"/>
        <v>471.5</v>
      </c>
      <c r="BK62" s="63">
        <f t="shared" si="65"/>
        <v>1.99</v>
      </c>
      <c r="BL62" s="63">
        <f t="shared" si="65"/>
        <v>26.945</v>
      </c>
      <c r="BM62" s="63">
        <f t="shared" si="65"/>
        <v>48.405</v>
      </c>
      <c r="BN62" s="63">
        <f t="shared" si="65"/>
        <v>31.86</v>
      </c>
    </row>
    <row r="63">
      <c r="A63" s="64">
        <v>62.0</v>
      </c>
      <c r="B63" s="89" t="s">
        <v>1723</v>
      </c>
      <c r="C63" s="78">
        <v>48.0</v>
      </c>
      <c r="D63" s="78">
        <v>45.0</v>
      </c>
      <c r="E63" s="55">
        <f t="shared" si="59"/>
        <v>93</v>
      </c>
      <c r="F63" s="74">
        <v>45847.0</v>
      </c>
      <c r="G63" s="78" t="s">
        <v>1640</v>
      </c>
      <c r="H63" s="75">
        <v>0.6666666666666666</v>
      </c>
      <c r="I63" s="75">
        <v>0.625</v>
      </c>
      <c r="J63" s="59" t="str">
        <f t="shared" si="3"/>
        <v>Afternoon</v>
      </c>
      <c r="K63" s="72" t="s">
        <v>249</v>
      </c>
      <c r="L63" s="72" t="s">
        <v>1630</v>
      </c>
      <c r="M63" s="76"/>
      <c r="N63" s="70" t="s">
        <v>1641</v>
      </c>
      <c r="O63" s="62">
        <f>VLOOKUP(B63,'Dados Meteorológicos'!$1:$988,12,0)</f>
        <v>40.75</v>
      </c>
      <c r="P63" s="62">
        <f>VLOOKUP(B63,'Dados Meteorológicos'!$1:$988,13,0)</f>
        <v>-74</v>
      </c>
      <c r="Q63" s="62">
        <f>VLOOKUP(B63,'Dados Meteorológicos'!$1:$988,14,0)</f>
        <v>20</v>
      </c>
      <c r="R63" s="62">
        <f>VLOOKUP(B63,'Dados Meteorológicos'!$1:$988,15,0)</f>
        <v>32</v>
      </c>
      <c r="S63" s="62">
        <f>VLOOKUP(B63,'Dados Meteorológicos'!$1:$988,16,0)</f>
        <v>19.86</v>
      </c>
      <c r="T63" s="62">
        <f>VLOOKUP(B63,'Dados Meteorológicos'!$1:$988,17,0)</f>
        <v>48</v>
      </c>
      <c r="U63" s="62">
        <f>VLOOKUP(B63,'Dados Meteorológicos'!$1:$988,18,0)</f>
        <v>33.79</v>
      </c>
      <c r="V63" s="62">
        <f>VLOOKUP(B63,'Dados Meteorológicos'!$1:$988,19,0)</f>
        <v>555.1</v>
      </c>
      <c r="W63" s="62">
        <f>VLOOKUP(B63,'Dados Meteorológicos'!$1:$988,20,0)</f>
        <v>1.17</v>
      </c>
      <c r="X63" s="62">
        <f>VLOOKUP(B63,'Dados Meteorológicos'!$1:$988,21,0)</f>
        <v>25.21</v>
      </c>
      <c r="Y63" s="62">
        <f>VLOOKUP(B63,'Dados Meteorológicos'!$1:$988,22,0)</f>
        <v>46.85</v>
      </c>
      <c r="Z63" s="62">
        <f>VLOOKUP(B63,'Dados Meteorológicos'!$1:$988,23,0)</f>
        <v>30.22</v>
      </c>
      <c r="AA63" s="62">
        <f>VLOOKUP(B63,'Dados Meteorológicos'!$1:$988,24,0)</f>
        <v>21</v>
      </c>
      <c r="AB63" s="62">
        <f>VLOOKUP(B63,'Dados Meteorológicos'!$1:$988,25,0)</f>
        <v>32.31</v>
      </c>
      <c r="AC63" s="62">
        <f>VLOOKUP(B63,'Dados Meteorológicos'!$1:$988,26,0)</f>
        <v>18.86</v>
      </c>
      <c r="AD63" s="62">
        <f>VLOOKUP(B63,'Dados Meteorológicos'!$1:$988,27,0)</f>
        <v>44</v>
      </c>
      <c r="AE63" s="62">
        <f>VLOOKUP(B63,'Dados Meteorológicos'!$1:$988,28,0)</f>
        <v>34.36</v>
      </c>
      <c r="AF63" s="62">
        <f>VLOOKUP(B63,'Dados Meteorológicos'!$1:$988,29,0)</f>
        <v>555.8</v>
      </c>
      <c r="AG63" s="62">
        <f>VLOOKUP(B63,'Dados Meteorológicos'!$1:$988,30,0)</f>
        <v>1.14</v>
      </c>
      <c r="AH63" s="62">
        <f>VLOOKUP(B63,'Dados Meteorológicos'!$1:$988,31,0)</f>
        <v>24.9</v>
      </c>
      <c r="AI63" s="62">
        <f>VLOOKUP(B63,'Dados Meteorológicos'!$1:$988,32,0)</f>
        <v>47</v>
      </c>
      <c r="AJ63" s="62">
        <f>VLOOKUP(B63,'Dados Meteorológicos'!$1:$988,33,0)</f>
        <v>30.06</v>
      </c>
      <c r="AK63" s="62" t="str">
        <f>VLOOKUP(B63,'Dados Meteorológicos'!$1:$988,34,0)</f>
        <v/>
      </c>
      <c r="AL63" s="62" t="str">
        <f>VLOOKUP(B63,'Dados Meteorológicos'!$1:$988,35,0)</f>
        <v/>
      </c>
      <c r="AM63" s="62" t="str">
        <f>VLOOKUP(B63,'Dados Meteorológicos'!$1:$988,36,0)</f>
        <v/>
      </c>
      <c r="AN63" s="62" t="str">
        <f>VLOOKUP(B63,'Dados Meteorológicos'!$1:$988,37,0)</f>
        <v/>
      </c>
      <c r="AO63" s="62" t="str">
        <f>VLOOKUP(B63,'Dados Meteorológicos'!$1:$988,38,0)</f>
        <v/>
      </c>
      <c r="AP63" s="62" t="str">
        <f>VLOOKUP(B63,'Dados Meteorológicos'!$1:$988,39,0)</f>
        <v/>
      </c>
      <c r="AQ63" s="62" t="str">
        <f>VLOOKUP(B63,'Dados Meteorológicos'!$1:$988,40,0)</f>
        <v/>
      </c>
      <c r="AR63" s="62" t="str">
        <f>VLOOKUP(B63,'Dados Meteorológicos'!$1:$988,41,0)</f>
        <v/>
      </c>
      <c r="AS63" s="62" t="str">
        <f>VLOOKUP(B63,'Dados Meteorológicos'!$1:$988,42,0)</f>
        <v/>
      </c>
      <c r="AT63" s="62" t="str">
        <f>VLOOKUP(B63,'Dados Meteorológicos'!$1:$988,43,0)</f>
        <v/>
      </c>
      <c r="AU63" s="62" t="str">
        <f>VLOOKUP(B63,'Dados Meteorológicos'!$1:$988,44,0)</f>
        <v/>
      </c>
      <c r="AV63" s="62" t="str">
        <f>VLOOKUP(B63,'Dados Meteorológicos'!$1:$988,45,0)</f>
        <v/>
      </c>
      <c r="AW63" s="62" t="str">
        <f>VLOOKUP(B63,'Dados Meteorológicos'!$1:$988,46,0)</f>
        <v/>
      </c>
      <c r="AX63" s="62" t="str">
        <f>VLOOKUP(B63,'Dados Meteorológicos'!$1:$988,47,0)</f>
        <v/>
      </c>
      <c r="AY63" s="62" t="str">
        <f>VLOOKUP(B63,'Dados Meteorológicos'!$1:$988,48,0)</f>
        <v/>
      </c>
      <c r="AZ63" s="62" t="str">
        <f>VLOOKUP(B63,'Dados Meteorológicos'!$1:$988,49,0)</f>
        <v/>
      </c>
      <c r="BA63" s="62" t="str">
        <f>VLOOKUP(B63,'Dados Meteorológicos'!$1:$988,50,0)</f>
        <v/>
      </c>
      <c r="BB63" s="62" t="str">
        <f>VLOOKUP(B63,'Dados Meteorológicos'!$1:$988,51,0)</f>
        <v/>
      </c>
      <c r="BC63" s="62" t="str">
        <f>VLOOKUP(B63,'Dados Meteorológicos'!$1:$988,52,0)</f>
        <v/>
      </c>
      <c r="BD63" s="14" t="str">
        <f>VLOOKUP(B63,'Dados Meteorológicos'!$1:$988,53,0)</f>
        <v/>
      </c>
      <c r="BE63" s="62"/>
      <c r="BF63" s="63">
        <f t="shared" ref="BF63:BN63" si="66">AVERAGE(R63,AB63,AL63,AV63)</f>
        <v>32.155</v>
      </c>
      <c r="BG63" s="63">
        <f t="shared" si="66"/>
        <v>19.36</v>
      </c>
      <c r="BH63" s="63">
        <f t="shared" si="66"/>
        <v>46</v>
      </c>
      <c r="BI63" s="63">
        <f t="shared" si="66"/>
        <v>34.075</v>
      </c>
      <c r="BJ63" s="63">
        <f t="shared" si="66"/>
        <v>555.45</v>
      </c>
      <c r="BK63" s="63">
        <f t="shared" si="66"/>
        <v>1.155</v>
      </c>
      <c r="BL63" s="63">
        <f t="shared" si="66"/>
        <v>25.055</v>
      </c>
      <c r="BM63" s="63">
        <f t="shared" si="66"/>
        <v>46.925</v>
      </c>
      <c r="BN63" s="63">
        <f t="shared" si="66"/>
        <v>30.14</v>
      </c>
    </row>
    <row r="64">
      <c r="A64" s="105">
        <v>63.0</v>
      </c>
      <c r="B64" s="87" t="s">
        <v>1724</v>
      </c>
      <c r="C64" s="78">
        <v>51.0</v>
      </c>
      <c r="D64" s="78">
        <v>50.0</v>
      </c>
      <c r="E64" s="55">
        <f t="shared" si="59"/>
        <v>101</v>
      </c>
      <c r="F64" s="56">
        <v>45851.0</v>
      </c>
      <c r="G64" s="57" t="s">
        <v>1640</v>
      </c>
      <c r="H64" s="58">
        <v>0.6666666666666666</v>
      </c>
      <c r="I64" s="58">
        <v>0.625</v>
      </c>
      <c r="J64" s="59" t="str">
        <f t="shared" si="3"/>
        <v>Afternoon</v>
      </c>
      <c r="K64" s="53" t="s">
        <v>249</v>
      </c>
      <c r="L64" s="53" t="s">
        <v>1630</v>
      </c>
      <c r="M64" s="60"/>
      <c r="N64" s="61" t="s">
        <v>1641</v>
      </c>
      <c r="O64" s="62">
        <f>VLOOKUP(B64,'Dados Meteorológicos'!$1:$988,12,0)</f>
        <v>40.75</v>
      </c>
      <c r="P64" s="62">
        <f>VLOOKUP(B64,'Dados Meteorológicos'!$1:$988,13,0)</f>
        <v>-74</v>
      </c>
      <c r="Q64" s="62">
        <f>VLOOKUP(B64,'Dados Meteorológicos'!$1:$988,14,0)</f>
        <v>20</v>
      </c>
      <c r="R64" s="62">
        <f>VLOOKUP(B64,'Dados Meteorológicos'!$1:$988,15,0)</f>
        <v>28</v>
      </c>
      <c r="S64" s="62">
        <f>VLOOKUP(B64,'Dados Meteorológicos'!$1:$988,16,0)</f>
        <v>22.14</v>
      </c>
      <c r="T64" s="62">
        <f>VLOOKUP(B64,'Dados Meteorológicos'!$1:$988,17,0)</f>
        <v>70</v>
      </c>
      <c r="U64" s="62">
        <f>VLOOKUP(B64,'Dados Meteorológicos'!$1:$988,18,0)</f>
        <v>27.21</v>
      </c>
      <c r="V64" s="62">
        <f>VLOOKUP(B64,'Dados Meteorológicos'!$1:$988,19,0)</f>
        <v>393.4</v>
      </c>
      <c r="W64" s="62">
        <f>VLOOKUP(B64,'Dados Meteorológicos'!$1:$988,20,0)</f>
        <v>2.04</v>
      </c>
      <c r="X64" s="62">
        <f>VLOOKUP(B64,'Dados Meteorológicos'!$1:$988,21,0)</f>
        <v>24.39</v>
      </c>
      <c r="Y64" s="62">
        <f>VLOOKUP(B64,'Dados Meteorológicos'!$1:$988,22,0)</f>
        <v>42.29</v>
      </c>
      <c r="Z64" s="62">
        <f>VLOOKUP(B64,'Dados Meteorológicos'!$1:$988,23,0)</f>
        <v>28.33</v>
      </c>
      <c r="AA64" s="62">
        <f>VLOOKUP(B64,'Dados Meteorológicos'!$1:$988,24,0)</f>
        <v>21</v>
      </c>
      <c r="AB64" s="62">
        <f>VLOOKUP(B64,'Dados Meteorológicos'!$1:$988,25,0)</f>
        <v>27.89</v>
      </c>
      <c r="AC64" s="62">
        <f>VLOOKUP(B64,'Dados Meteorológicos'!$1:$988,26,0)</f>
        <v>22.24</v>
      </c>
      <c r="AD64" s="62">
        <f>VLOOKUP(B64,'Dados Meteorológicos'!$1:$988,27,0)</f>
        <v>71</v>
      </c>
      <c r="AE64" s="62">
        <f>VLOOKUP(B64,'Dados Meteorológicos'!$1:$988,28,0)</f>
        <v>27.05</v>
      </c>
      <c r="AF64" s="62">
        <f>VLOOKUP(B64,'Dados Meteorológicos'!$1:$988,29,0)</f>
        <v>478.8</v>
      </c>
      <c r="AG64" s="62">
        <f>VLOOKUP(B64,'Dados Meteorológicos'!$1:$988,30,0)</f>
        <v>2.33</v>
      </c>
      <c r="AH64" s="62">
        <f>VLOOKUP(B64,'Dados Meteorológicos'!$1:$988,31,0)</f>
        <v>24.3</v>
      </c>
      <c r="AI64" s="62">
        <f>VLOOKUP(B64,'Dados Meteorológicos'!$1:$988,32,0)</f>
        <v>41.92</v>
      </c>
      <c r="AJ64" s="62">
        <f>VLOOKUP(B64,'Dados Meteorológicos'!$1:$988,33,0)</f>
        <v>28.18</v>
      </c>
      <c r="AK64" s="62" t="str">
        <f>VLOOKUP(B64,'Dados Meteorológicos'!$1:$988,34,0)</f>
        <v/>
      </c>
      <c r="AL64" s="62" t="str">
        <f>VLOOKUP(B64,'Dados Meteorológicos'!$1:$988,35,0)</f>
        <v/>
      </c>
      <c r="AM64" s="62" t="str">
        <f>VLOOKUP(B64,'Dados Meteorológicos'!$1:$988,36,0)</f>
        <v/>
      </c>
      <c r="AN64" s="62" t="str">
        <f>VLOOKUP(B64,'Dados Meteorológicos'!$1:$988,37,0)</f>
        <v/>
      </c>
      <c r="AO64" s="62" t="str">
        <f>VLOOKUP(B64,'Dados Meteorológicos'!$1:$988,38,0)</f>
        <v/>
      </c>
      <c r="AP64" s="62" t="str">
        <f>VLOOKUP(B64,'Dados Meteorológicos'!$1:$988,39,0)</f>
        <v/>
      </c>
      <c r="AQ64" s="62" t="str">
        <f>VLOOKUP(B64,'Dados Meteorológicos'!$1:$988,40,0)</f>
        <v/>
      </c>
      <c r="AR64" s="62" t="str">
        <f>VLOOKUP(B64,'Dados Meteorológicos'!$1:$988,41,0)</f>
        <v/>
      </c>
      <c r="AS64" s="62" t="str">
        <f>VLOOKUP(B64,'Dados Meteorológicos'!$1:$988,42,0)</f>
        <v/>
      </c>
      <c r="AT64" s="62" t="str">
        <f>VLOOKUP(B64,'Dados Meteorológicos'!$1:$988,43,0)</f>
        <v/>
      </c>
      <c r="AU64" s="62" t="str">
        <f>VLOOKUP(B64,'Dados Meteorológicos'!$1:$988,44,0)</f>
        <v/>
      </c>
      <c r="AV64" s="62" t="str">
        <f>VLOOKUP(B64,'Dados Meteorológicos'!$1:$988,45,0)</f>
        <v/>
      </c>
      <c r="AW64" s="62" t="str">
        <f>VLOOKUP(B64,'Dados Meteorológicos'!$1:$988,46,0)</f>
        <v/>
      </c>
      <c r="AX64" s="62" t="str">
        <f>VLOOKUP(B64,'Dados Meteorológicos'!$1:$988,47,0)</f>
        <v/>
      </c>
      <c r="AY64" s="62" t="str">
        <f>VLOOKUP(B64,'Dados Meteorológicos'!$1:$988,48,0)</f>
        <v/>
      </c>
      <c r="AZ64" s="62" t="str">
        <f>VLOOKUP(B64,'Dados Meteorológicos'!$1:$988,49,0)</f>
        <v/>
      </c>
      <c r="BA64" s="62" t="str">
        <f>VLOOKUP(B64,'Dados Meteorológicos'!$1:$988,50,0)</f>
        <v/>
      </c>
      <c r="BB64" s="62" t="str">
        <f>VLOOKUP(B64,'Dados Meteorológicos'!$1:$988,51,0)</f>
        <v/>
      </c>
      <c r="BC64" s="62" t="str">
        <f>VLOOKUP(B64,'Dados Meteorológicos'!$1:$988,52,0)</f>
        <v/>
      </c>
      <c r="BD64" s="14" t="str">
        <f>VLOOKUP(B64,'Dados Meteorológicos'!$1:$988,53,0)</f>
        <v/>
      </c>
      <c r="BE64" s="62"/>
      <c r="BF64" s="63">
        <f t="shared" ref="BF64:BN64" si="67">AVERAGE(R64,AB64,AL64,AV64)</f>
        <v>27.945</v>
      </c>
      <c r="BG64" s="63">
        <f t="shared" si="67"/>
        <v>22.19</v>
      </c>
      <c r="BH64" s="63">
        <f t="shared" si="67"/>
        <v>70.5</v>
      </c>
      <c r="BI64" s="63">
        <f t="shared" si="67"/>
        <v>27.13</v>
      </c>
      <c r="BJ64" s="63">
        <f t="shared" si="67"/>
        <v>436.1</v>
      </c>
      <c r="BK64" s="63">
        <f t="shared" si="67"/>
        <v>2.185</v>
      </c>
      <c r="BL64" s="63">
        <f t="shared" si="67"/>
        <v>24.345</v>
      </c>
      <c r="BM64" s="63">
        <f t="shared" si="67"/>
        <v>42.105</v>
      </c>
      <c r="BN64" s="63">
        <f t="shared" si="67"/>
        <v>28.255</v>
      </c>
    </row>
    <row r="65">
      <c r="A65" s="62"/>
      <c r="B65" s="62"/>
      <c r="C65" s="62"/>
      <c r="D65" s="62"/>
      <c r="E65" s="62"/>
      <c r="F65" s="98"/>
      <c r="G65" s="98"/>
      <c r="H65" s="98"/>
      <c r="I65" s="98"/>
      <c r="J65" s="98"/>
      <c r="K65" s="98"/>
      <c r="L65" s="98"/>
      <c r="M65" s="98"/>
      <c r="N65" s="98"/>
      <c r="O65" s="62"/>
      <c r="P65" s="62"/>
      <c r="Q65" s="62"/>
    </row>
    <row r="66">
      <c r="A66" s="62"/>
      <c r="B66" s="62"/>
      <c r="C66" s="62"/>
      <c r="D66" s="62"/>
      <c r="E66" s="62">
        <f>SUM(E2:E64)</f>
        <v>6388</v>
      </c>
      <c r="F66" s="98"/>
      <c r="G66" s="98"/>
      <c r="H66" s="98"/>
      <c r="I66" s="98"/>
      <c r="J66" s="98"/>
      <c r="K66" s="98"/>
      <c r="L66" s="98"/>
      <c r="M66" s="98"/>
      <c r="N66" s="98"/>
      <c r="O66" s="62"/>
      <c r="P66" s="62"/>
      <c r="Q66" s="62"/>
    </row>
    <row r="67">
      <c r="A67" s="62"/>
      <c r="B67" s="62"/>
      <c r="C67" s="62"/>
      <c r="D67" s="62"/>
      <c r="E67" s="62">
        <f>E66*20</f>
        <v>127760</v>
      </c>
      <c r="F67" s="98"/>
      <c r="G67" s="98"/>
      <c r="H67" s="98"/>
      <c r="I67" s="98"/>
      <c r="J67" s="98"/>
      <c r="K67" s="98"/>
      <c r="L67" s="98"/>
      <c r="M67" s="98"/>
      <c r="N67" s="98"/>
      <c r="O67" s="62"/>
      <c r="P67" s="62"/>
      <c r="Q67" s="62"/>
    </row>
    <row r="68">
      <c r="A68" s="62"/>
      <c r="B68" s="62"/>
      <c r="C68" s="62"/>
      <c r="D68" s="62"/>
      <c r="E68" s="62"/>
      <c r="G68" s="98"/>
      <c r="H68" s="98"/>
      <c r="I68" s="98"/>
      <c r="J68" s="98"/>
      <c r="K68" s="98"/>
      <c r="L68" s="98"/>
      <c r="M68" s="98"/>
      <c r="N68" s="98"/>
      <c r="O68" s="62"/>
      <c r="P68" s="62"/>
      <c r="Q68" s="62"/>
    </row>
    <row r="69">
      <c r="A69" s="62"/>
      <c r="B69" s="62"/>
      <c r="C69" s="62"/>
      <c r="D69" s="62"/>
      <c r="E69" s="62"/>
      <c r="F69" s="98"/>
      <c r="G69" s="98"/>
      <c r="H69" s="98"/>
      <c r="I69" s="98"/>
      <c r="J69" s="98"/>
      <c r="K69" s="98"/>
      <c r="L69" s="98"/>
      <c r="M69" s="98"/>
      <c r="N69" s="98"/>
      <c r="O69" s="62"/>
      <c r="P69" s="62"/>
      <c r="Q69" s="62"/>
    </row>
    <row r="70">
      <c r="A70" s="62"/>
      <c r="B70" s="62"/>
      <c r="C70" s="62"/>
      <c r="D70" s="62"/>
      <c r="E70" s="62"/>
      <c r="F70" s="98"/>
      <c r="G70" s="98"/>
      <c r="H70" s="98"/>
      <c r="I70" s="98"/>
      <c r="J70" s="98"/>
      <c r="K70" s="98"/>
      <c r="L70" s="98"/>
      <c r="M70" s="98"/>
      <c r="N70" s="98"/>
      <c r="O70" s="62"/>
      <c r="P70" s="62"/>
      <c r="Q70" s="62"/>
    </row>
    <row r="71">
      <c r="A71" s="62"/>
      <c r="B71" s="62"/>
      <c r="C71" s="62"/>
      <c r="D71" s="62"/>
      <c r="E71" s="62"/>
      <c r="F71" s="98"/>
      <c r="G71" s="98"/>
      <c r="H71" s="98"/>
      <c r="I71" s="98"/>
      <c r="J71" s="98"/>
      <c r="K71" s="98"/>
      <c r="L71" s="98"/>
      <c r="M71" s="98"/>
      <c r="N71" s="98"/>
      <c r="O71" s="62"/>
      <c r="P71" s="62"/>
      <c r="Q71" s="62"/>
    </row>
  </sheetData>
  <autoFilter ref="$A$1:$BN$64">
    <sortState ref="A1:BN64">
      <sortCondition ref="A1:A64"/>
      <sortCondition descending="1" ref="BN1:BN64"/>
      <sortCondition descending="1" ref="AJ1:AJ64"/>
      <sortCondition descending="1" ref="AD1:AD64"/>
      <sortCondition descending="1" ref="AB1:AB64"/>
      <sortCondition descending="1" ref="Y1:Y64"/>
      <sortCondition ref="V1:V64"/>
      <sortCondition descending="1" ref="Z1:Z64"/>
      <sortCondition descending="1" ref="R1:R6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3" max="3" width="20.63"/>
  </cols>
  <sheetData>
    <row r="1">
      <c r="A1" s="106" t="s">
        <v>1725</v>
      </c>
      <c r="B1" s="55" t="s">
        <v>1726</v>
      </c>
      <c r="C1" s="55" t="s">
        <v>1617</v>
      </c>
      <c r="D1" s="55" t="s">
        <v>1727</v>
      </c>
      <c r="E1" s="55" t="s">
        <v>1728</v>
      </c>
      <c r="F1" s="107" t="s">
        <v>1729</v>
      </c>
      <c r="G1" s="107" t="s">
        <v>1730</v>
      </c>
      <c r="H1" s="55" t="s">
        <v>1731</v>
      </c>
      <c r="I1" s="55" t="s">
        <v>1732</v>
      </c>
      <c r="J1" s="108" t="s">
        <v>1619</v>
      </c>
      <c r="K1" s="106" t="s">
        <v>1620</v>
      </c>
      <c r="L1" s="49" t="s">
        <v>1621</v>
      </c>
      <c r="M1" s="49" t="s">
        <v>1622</v>
      </c>
      <c r="N1" s="109" t="s">
        <v>1623</v>
      </c>
      <c r="O1" s="49" t="s">
        <v>51</v>
      </c>
      <c r="P1" s="49" t="s">
        <v>52</v>
      </c>
      <c r="Q1" s="49" t="s">
        <v>53</v>
      </c>
      <c r="R1" s="49" t="s">
        <v>54</v>
      </c>
      <c r="S1" s="49" t="s">
        <v>55</v>
      </c>
      <c r="T1" s="49" t="s">
        <v>56</v>
      </c>
      <c r="U1" s="49" t="s">
        <v>57</v>
      </c>
      <c r="V1" s="49" t="s">
        <v>58</v>
      </c>
      <c r="W1" s="49" t="s">
        <v>59</v>
      </c>
      <c r="X1" s="110" t="s">
        <v>1624</v>
      </c>
      <c r="Y1" s="49" t="s">
        <v>51</v>
      </c>
      <c r="Z1" s="49" t="s">
        <v>52</v>
      </c>
      <c r="AA1" s="49" t="s">
        <v>53</v>
      </c>
      <c r="AB1" s="49" t="s">
        <v>54</v>
      </c>
      <c r="AC1" s="49" t="s">
        <v>55</v>
      </c>
      <c r="AD1" s="49" t="s">
        <v>56</v>
      </c>
      <c r="AE1" s="49" t="s">
        <v>57</v>
      </c>
      <c r="AF1" s="49" t="s">
        <v>58</v>
      </c>
      <c r="AG1" s="49" t="s">
        <v>59</v>
      </c>
      <c r="AH1" s="110" t="s">
        <v>1625</v>
      </c>
      <c r="AI1" s="49" t="s">
        <v>51</v>
      </c>
      <c r="AJ1" s="49" t="s">
        <v>52</v>
      </c>
      <c r="AK1" s="49" t="s">
        <v>53</v>
      </c>
      <c r="AL1" s="49" t="s">
        <v>54</v>
      </c>
      <c r="AM1" s="49" t="s">
        <v>55</v>
      </c>
      <c r="AN1" s="49" t="s">
        <v>56</v>
      </c>
      <c r="AO1" s="49" t="s">
        <v>57</v>
      </c>
      <c r="AP1" s="49" t="s">
        <v>58</v>
      </c>
      <c r="AQ1" s="49" t="s">
        <v>59</v>
      </c>
      <c r="AR1" s="110" t="s">
        <v>1626</v>
      </c>
      <c r="AS1" s="49" t="s">
        <v>51</v>
      </c>
      <c r="AT1" s="49" t="s">
        <v>52</v>
      </c>
      <c r="AU1" s="49" t="s">
        <v>53</v>
      </c>
      <c r="AV1" s="49" t="s">
        <v>54</v>
      </c>
      <c r="AW1" s="49" t="s">
        <v>55</v>
      </c>
      <c r="AX1" s="49" t="s">
        <v>56</v>
      </c>
      <c r="AY1" s="49" t="s">
        <v>57</v>
      </c>
      <c r="AZ1" s="49" t="s">
        <v>58</v>
      </c>
      <c r="BA1" s="49" t="s">
        <v>59</v>
      </c>
    </row>
    <row r="2">
      <c r="A2" s="52" t="s">
        <v>1628</v>
      </c>
      <c r="B2" s="56">
        <v>45822.0</v>
      </c>
      <c r="C2" s="57" t="s">
        <v>1629</v>
      </c>
      <c r="D2" s="58">
        <v>0.875</v>
      </c>
      <c r="E2" s="58">
        <v>0.8333333333333334</v>
      </c>
      <c r="F2" s="111">
        <v>0.0</v>
      </c>
      <c r="G2" s="112">
        <v>45823.0</v>
      </c>
      <c r="H2" s="53" t="s">
        <v>62</v>
      </c>
      <c r="I2" s="53" t="s">
        <v>1733</v>
      </c>
      <c r="J2" s="113"/>
      <c r="K2" s="61" t="s">
        <v>1631</v>
      </c>
      <c r="L2" s="114">
        <v>26.0</v>
      </c>
      <c r="M2" s="114">
        <v>-80.25</v>
      </c>
      <c r="N2" s="115">
        <v>1.0</v>
      </c>
      <c r="O2" s="114">
        <v>28.39</v>
      </c>
      <c r="P2" s="114">
        <v>22.86</v>
      </c>
      <c r="Q2" s="114">
        <v>71.0</v>
      </c>
      <c r="R2" s="114">
        <v>27.8</v>
      </c>
      <c r="S2" s="114">
        <v>1.0</v>
      </c>
      <c r="T2" s="114">
        <v>2.02</v>
      </c>
      <c r="U2" s="114">
        <v>24.81</v>
      </c>
      <c r="V2" s="114">
        <v>42.97</v>
      </c>
      <c r="W2" s="114">
        <v>28.8</v>
      </c>
      <c r="X2" s="115">
        <v>2.0</v>
      </c>
      <c r="Y2" s="114">
        <v>28.13</v>
      </c>
      <c r="Z2" s="114">
        <v>22.93</v>
      </c>
      <c r="AA2" s="114">
        <v>73.0</v>
      </c>
      <c r="AB2" s="114">
        <v>27.41</v>
      </c>
      <c r="AC2" s="114">
        <v>0.0</v>
      </c>
      <c r="AD2" s="114">
        <v>2.12</v>
      </c>
      <c r="AE2" s="114">
        <v>24.7</v>
      </c>
      <c r="AF2" s="114">
        <v>42.64</v>
      </c>
      <c r="AG2" s="114">
        <v>28.63</v>
      </c>
      <c r="AH2" s="116"/>
      <c r="AI2" s="62"/>
      <c r="AJ2" s="62"/>
      <c r="AK2" s="62"/>
      <c r="AL2" s="62"/>
      <c r="AM2" s="62"/>
      <c r="AN2" s="62"/>
      <c r="AO2" s="62"/>
      <c r="AP2" s="62"/>
      <c r="AQ2" s="62"/>
      <c r="AR2" s="116"/>
      <c r="AS2" s="62"/>
      <c r="AT2" s="62"/>
      <c r="AU2" s="62"/>
      <c r="AV2" s="62"/>
      <c r="AW2" s="62"/>
      <c r="AX2" s="62"/>
      <c r="AY2" s="62"/>
      <c r="AZ2" s="62"/>
      <c r="BA2" s="62"/>
    </row>
    <row r="3">
      <c r="A3" s="71" t="s">
        <v>1639</v>
      </c>
      <c r="B3" s="74">
        <v>45823.0</v>
      </c>
      <c r="C3" s="78" t="s">
        <v>1640</v>
      </c>
      <c r="D3" s="75">
        <v>0.7916666666666666</v>
      </c>
      <c r="E3" s="75">
        <v>0.75</v>
      </c>
      <c r="F3" s="117">
        <v>22.0</v>
      </c>
      <c r="G3" s="118">
        <v>45823.0</v>
      </c>
      <c r="H3" s="72" t="s">
        <v>249</v>
      </c>
      <c r="I3" s="72" t="s">
        <v>1733</v>
      </c>
      <c r="J3" s="119"/>
      <c r="K3" s="70" t="s">
        <v>1641</v>
      </c>
      <c r="L3" s="114">
        <v>40.75</v>
      </c>
      <c r="M3" s="114">
        <v>-74.0</v>
      </c>
      <c r="N3" s="115">
        <v>23.0</v>
      </c>
      <c r="O3" s="114">
        <v>18.07</v>
      </c>
      <c r="P3" s="114">
        <v>13.71</v>
      </c>
      <c r="Q3" s="114">
        <v>75.0</v>
      </c>
      <c r="R3" s="114">
        <v>15.41</v>
      </c>
      <c r="S3" s="114">
        <v>83.9</v>
      </c>
      <c r="T3" s="114">
        <v>0.93</v>
      </c>
      <c r="U3" s="114">
        <v>17.67</v>
      </c>
      <c r="V3" s="114">
        <v>30.21</v>
      </c>
      <c r="W3" s="114">
        <v>20.22</v>
      </c>
      <c r="X3" s="115" t="s">
        <v>1734</v>
      </c>
      <c r="Y3" s="114">
        <v>17.92</v>
      </c>
      <c r="Z3" s="114">
        <v>13.74</v>
      </c>
      <c r="AA3" s="114">
        <v>76.0</v>
      </c>
      <c r="AB3" s="114">
        <v>15.28</v>
      </c>
      <c r="AC3" s="114">
        <v>19.8</v>
      </c>
      <c r="AD3" s="114">
        <v>0.95</v>
      </c>
      <c r="AE3" s="114">
        <v>17.61</v>
      </c>
      <c r="AF3" s="114">
        <v>30.05</v>
      </c>
      <c r="AG3" s="114">
        <v>20.13</v>
      </c>
      <c r="AH3" s="116"/>
      <c r="AI3" s="62"/>
      <c r="AJ3" s="62"/>
      <c r="AK3" s="62"/>
      <c r="AL3" s="62"/>
      <c r="AM3" s="62"/>
      <c r="AN3" s="62"/>
      <c r="AO3" s="62"/>
      <c r="AP3" s="62"/>
      <c r="AQ3" s="62"/>
      <c r="AR3" s="116"/>
      <c r="AS3" s="62"/>
      <c r="AT3" s="62"/>
      <c r="AU3" s="62"/>
      <c r="AV3" s="62"/>
      <c r="AW3" s="62"/>
      <c r="AX3" s="62"/>
      <c r="AY3" s="62"/>
      <c r="AZ3" s="62"/>
      <c r="BA3" s="62"/>
    </row>
    <row r="4">
      <c r="A4" s="71" t="s">
        <v>1667</v>
      </c>
      <c r="B4" s="74">
        <v>45827.0</v>
      </c>
      <c r="C4" s="78" t="s">
        <v>1640</v>
      </c>
      <c r="D4" s="75">
        <v>0.5416666666666666</v>
      </c>
      <c r="E4" s="75">
        <v>0.5</v>
      </c>
      <c r="F4" s="117">
        <v>16.0</v>
      </c>
      <c r="G4" s="118">
        <v>45827.0</v>
      </c>
      <c r="H4" s="72" t="s">
        <v>249</v>
      </c>
      <c r="I4" s="72" t="s">
        <v>1733</v>
      </c>
      <c r="J4" s="94" t="s">
        <v>1668</v>
      </c>
      <c r="K4" s="70" t="s">
        <v>1641</v>
      </c>
      <c r="L4" s="114">
        <v>40.75</v>
      </c>
      <c r="M4" s="114">
        <v>-74.0</v>
      </c>
      <c r="N4" s="115">
        <v>17.0</v>
      </c>
      <c r="O4" s="114">
        <v>30.36</v>
      </c>
      <c r="P4" s="114">
        <v>20.86</v>
      </c>
      <c r="Q4" s="114">
        <v>56.0</v>
      </c>
      <c r="R4" s="114">
        <v>30.96</v>
      </c>
      <c r="S4" s="114">
        <v>873.4</v>
      </c>
      <c r="T4" s="114">
        <v>2.53</v>
      </c>
      <c r="U4" s="114">
        <v>24.69</v>
      </c>
      <c r="V4" s="114">
        <v>43.9</v>
      </c>
      <c r="W4" s="114">
        <v>29.1</v>
      </c>
      <c r="X4" s="115">
        <v>18.0</v>
      </c>
      <c r="Y4" s="114">
        <v>30.41</v>
      </c>
      <c r="Z4" s="114">
        <v>20.6</v>
      </c>
      <c r="AA4" s="114">
        <v>55.0</v>
      </c>
      <c r="AB4" s="114">
        <v>31.04</v>
      </c>
      <c r="AC4" s="114">
        <v>804.4</v>
      </c>
      <c r="AD4" s="114">
        <v>3.1</v>
      </c>
      <c r="AE4" s="114">
        <v>24.45</v>
      </c>
      <c r="AF4" s="114">
        <v>43.3</v>
      </c>
      <c r="AG4" s="114">
        <v>28.82</v>
      </c>
      <c r="AH4" s="115">
        <v>19.0</v>
      </c>
      <c r="AI4" s="114">
        <v>31.12</v>
      </c>
      <c r="AJ4" s="114">
        <v>20.24</v>
      </c>
      <c r="AK4" s="114">
        <v>52.0</v>
      </c>
      <c r="AL4" s="114">
        <v>32.25</v>
      </c>
      <c r="AM4" s="114">
        <v>447.2</v>
      </c>
      <c r="AN4" s="114">
        <v>1.68</v>
      </c>
      <c r="AO4" s="114">
        <v>24.94</v>
      </c>
      <c r="AP4" s="114">
        <v>45.43</v>
      </c>
      <c r="AQ4" s="114">
        <v>29.65</v>
      </c>
      <c r="AR4" s="116"/>
      <c r="AS4" s="62"/>
      <c r="AT4" s="62"/>
      <c r="AU4" s="62"/>
      <c r="AV4" s="62"/>
      <c r="AW4" s="62"/>
      <c r="AX4" s="62"/>
      <c r="AY4" s="62"/>
      <c r="AZ4" s="62"/>
      <c r="BA4" s="62"/>
    </row>
    <row r="5">
      <c r="A5" s="71" t="s">
        <v>1669</v>
      </c>
      <c r="B5" s="74">
        <v>45827.0</v>
      </c>
      <c r="C5" s="72" t="s">
        <v>1646</v>
      </c>
      <c r="D5" s="75">
        <v>0.6666666666666666</v>
      </c>
      <c r="E5" s="75">
        <v>0.625</v>
      </c>
      <c r="F5" s="117">
        <v>19.0</v>
      </c>
      <c r="G5" s="118">
        <v>45827.0</v>
      </c>
      <c r="H5" s="78" t="s">
        <v>376</v>
      </c>
      <c r="I5" s="72" t="s">
        <v>1735</v>
      </c>
      <c r="J5" s="119"/>
      <c r="K5" s="70" t="s">
        <v>1648</v>
      </c>
      <c r="L5" s="114">
        <v>33.75</v>
      </c>
      <c r="M5" s="114">
        <v>-84.5</v>
      </c>
      <c r="N5" s="115">
        <v>20.0</v>
      </c>
      <c r="O5" s="114">
        <v>24.62</v>
      </c>
      <c r="P5" s="114">
        <v>20.31</v>
      </c>
      <c r="Q5" s="114">
        <v>76.0</v>
      </c>
      <c r="R5" s="114">
        <v>22.53</v>
      </c>
      <c r="S5" s="114">
        <v>524.3</v>
      </c>
      <c r="T5" s="114">
        <v>2.85</v>
      </c>
      <c r="U5" s="114">
        <v>22.14</v>
      </c>
      <c r="V5" s="114">
        <v>37.35</v>
      </c>
      <c r="W5" s="114">
        <v>25.43</v>
      </c>
      <c r="X5" s="115">
        <v>21.0</v>
      </c>
      <c r="Y5" s="114">
        <v>25.37</v>
      </c>
      <c r="Z5" s="114">
        <v>20.6</v>
      </c>
      <c r="AA5" s="114">
        <v>74.0</v>
      </c>
      <c r="AB5" s="114">
        <v>23.51</v>
      </c>
      <c r="AC5" s="114">
        <v>423.7</v>
      </c>
      <c r="AD5" s="114">
        <v>2.74</v>
      </c>
      <c r="AE5" s="114">
        <v>22.59</v>
      </c>
      <c r="AF5" s="114">
        <v>38.33</v>
      </c>
      <c r="AG5" s="114">
        <v>26.01</v>
      </c>
      <c r="AH5" s="116"/>
      <c r="AI5" s="62"/>
      <c r="AJ5" s="62"/>
      <c r="AK5" s="62"/>
      <c r="AL5" s="62"/>
      <c r="AM5" s="62"/>
      <c r="AN5" s="62"/>
      <c r="AO5" s="62"/>
      <c r="AP5" s="62"/>
      <c r="AQ5" s="62"/>
      <c r="AR5" s="116"/>
      <c r="AS5" s="62"/>
      <c r="AT5" s="62"/>
      <c r="AU5" s="62"/>
      <c r="AV5" s="62"/>
      <c r="AW5" s="62"/>
      <c r="AX5" s="62"/>
      <c r="AY5" s="62"/>
      <c r="AZ5" s="62"/>
      <c r="BA5" s="62"/>
    </row>
    <row r="6">
      <c r="A6" s="71" t="s">
        <v>1692</v>
      </c>
      <c r="B6" s="74">
        <v>45831.0</v>
      </c>
      <c r="C6" s="78" t="s">
        <v>1629</v>
      </c>
      <c r="D6" s="75">
        <v>0.9166666666666666</v>
      </c>
      <c r="E6" s="75">
        <v>0.875</v>
      </c>
      <c r="F6" s="117">
        <v>1.0</v>
      </c>
      <c r="G6" s="118">
        <v>45832.0</v>
      </c>
      <c r="H6" s="72" t="s">
        <v>62</v>
      </c>
      <c r="I6" s="72" t="s">
        <v>1733</v>
      </c>
      <c r="J6" s="119"/>
      <c r="K6" s="70" t="s">
        <v>1631</v>
      </c>
      <c r="L6" s="114">
        <v>26.0</v>
      </c>
      <c r="M6" s="114">
        <v>-80.25</v>
      </c>
      <c r="N6" s="115">
        <v>2.0</v>
      </c>
      <c r="O6" s="114">
        <v>27.91</v>
      </c>
      <c r="P6" s="114">
        <v>23.17</v>
      </c>
      <c r="Q6" s="114">
        <v>75.0</v>
      </c>
      <c r="R6" s="114">
        <v>27.07</v>
      </c>
      <c r="S6" s="114">
        <v>0.0</v>
      </c>
      <c r="T6" s="114">
        <v>2.1</v>
      </c>
      <c r="U6" s="114">
        <v>24.69</v>
      </c>
      <c r="V6" s="114">
        <v>42.52</v>
      </c>
      <c r="W6" s="114">
        <v>28.58</v>
      </c>
      <c r="X6" s="115">
        <v>3.0</v>
      </c>
      <c r="Y6" s="114">
        <v>27.76</v>
      </c>
      <c r="Z6" s="114">
        <v>23.23</v>
      </c>
      <c r="AA6" s="114">
        <v>76.0</v>
      </c>
      <c r="AB6" s="114">
        <v>26.86</v>
      </c>
      <c r="AC6" s="114">
        <v>0.0</v>
      </c>
      <c r="AD6" s="114">
        <v>2.27</v>
      </c>
      <c r="AE6" s="114">
        <v>24.61</v>
      </c>
      <c r="AF6" s="114">
        <v>42.22</v>
      </c>
      <c r="AG6" s="114">
        <v>28.45</v>
      </c>
      <c r="AH6" s="120"/>
      <c r="AI6" s="121"/>
      <c r="AJ6" s="121"/>
      <c r="AK6" s="121"/>
      <c r="AL6" s="121"/>
      <c r="AM6" s="121"/>
      <c r="AN6" s="121"/>
      <c r="AO6" s="121"/>
      <c r="AP6" s="121"/>
      <c r="AQ6" s="62"/>
      <c r="AR6" s="116"/>
      <c r="AS6" s="62"/>
      <c r="AT6" s="62"/>
      <c r="AU6" s="62"/>
      <c r="AV6" s="62"/>
      <c r="AW6" s="62"/>
      <c r="AX6" s="62"/>
      <c r="AY6" s="62"/>
      <c r="AZ6" s="62"/>
      <c r="BA6" s="62"/>
    </row>
    <row r="7">
      <c r="A7" s="71" t="s">
        <v>1693</v>
      </c>
      <c r="B7" s="74">
        <v>45831.0</v>
      </c>
      <c r="C7" s="78" t="s">
        <v>1640</v>
      </c>
      <c r="D7" s="75">
        <v>0.9166666666666666</v>
      </c>
      <c r="E7" s="75">
        <v>0.875</v>
      </c>
      <c r="F7" s="117">
        <v>1.0</v>
      </c>
      <c r="G7" s="118">
        <v>45801.0</v>
      </c>
      <c r="H7" s="72" t="s">
        <v>249</v>
      </c>
      <c r="I7" s="72" t="s">
        <v>1733</v>
      </c>
      <c r="J7" s="119"/>
      <c r="K7" s="70" t="s">
        <v>1641</v>
      </c>
      <c r="L7" s="114">
        <v>40.75</v>
      </c>
      <c r="M7" s="114">
        <v>-74.0</v>
      </c>
      <c r="N7" s="115">
        <v>2.0</v>
      </c>
      <c r="O7" s="114">
        <v>30.38</v>
      </c>
      <c r="P7" s="114">
        <v>25.56</v>
      </c>
      <c r="Q7" s="114">
        <v>75.0</v>
      </c>
      <c r="R7" s="114">
        <v>30.99</v>
      </c>
      <c r="S7" s="114">
        <v>0.0</v>
      </c>
      <c r="T7" s="114">
        <v>1.66</v>
      </c>
      <c r="U7" s="114">
        <v>26.66</v>
      </c>
      <c r="V7" s="114">
        <v>46.37</v>
      </c>
      <c r="W7" s="114">
        <v>30.97</v>
      </c>
      <c r="X7" s="115">
        <v>3.0</v>
      </c>
      <c r="Y7" s="114">
        <v>30.16</v>
      </c>
      <c r="Z7" s="114">
        <v>25.7</v>
      </c>
      <c r="AA7" s="114">
        <v>77.0</v>
      </c>
      <c r="AB7" s="114">
        <v>30.62</v>
      </c>
      <c r="AC7" s="114">
        <v>0.0</v>
      </c>
      <c r="AD7" s="114">
        <v>1.4</v>
      </c>
      <c r="AE7" s="114">
        <v>26.68</v>
      </c>
      <c r="AF7" s="114">
        <v>46.47</v>
      </c>
      <c r="AG7" s="114">
        <v>30.98</v>
      </c>
      <c r="AH7" s="116"/>
      <c r="AI7" s="62"/>
      <c r="AJ7" s="62"/>
      <c r="AK7" s="62"/>
      <c r="AL7" s="62"/>
      <c r="AM7" s="62"/>
      <c r="AN7" s="62"/>
      <c r="AO7" s="62"/>
      <c r="AP7" s="62"/>
      <c r="AQ7" s="62"/>
      <c r="AR7" s="116"/>
      <c r="AS7" s="62"/>
      <c r="AT7" s="62"/>
      <c r="AU7" s="62"/>
      <c r="AV7" s="62"/>
      <c r="AW7" s="62"/>
      <c r="AX7" s="62"/>
      <c r="AY7" s="62"/>
      <c r="AZ7" s="62"/>
      <c r="BA7" s="62"/>
    </row>
    <row r="8">
      <c r="A8" s="71" t="s">
        <v>1635</v>
      </c>
      <c r="B8" s="74">
        <v>45823.0</v>
      </c>
      <c r="C8" s="72" t="s">
        <v>1636</v>
      </c>
      <c r="D8" s="75">
        <v>0.6666666666666666</v>
      </c>
      <c r="E8" s="75">
        <v>0.5</v>
      </c>
      <c r="F8" s="117">
        <v>19.0</v>
      </c>
      <c r="G8" s="118">
        <v>45823.0</v>
      </c>
      <c r="H8" s="72" t="s">
        <v>1637</v>
      </c>
      <c r="I8" s="72" t="s">
        <v>1733</v>
      </c>
      <c r="J8" s="119"/>
      <c r="K8" s="70" t="s">
        <v>1638</v>
      </c>
      <c r="L8" s="114">
        <v>34.25</v>
      </c>
      <c r="M8" s="114">
        <v>-118.25</v>
      </c>
      <c r="N8" s="115">
        <v>20.0</v>
      </c>
      <c r="O8" s="114">
        <v>32.6</v>
      </c>
      <c r="P8" s="114">
        <v>10.53</v>
      </c>
      <c r="Q8" s="114">
        <v>25.0</v>
      </c>
      <c r="R8" s="114">
        <v>34.89</v>
      </c>
      <c r="S8" s="114">
        <v>1038.5</v>
      </c>
      <c r="T8" s="114">
        <v>1.83</v>
      </c>
      <c r="U8" s="114">
        <v>21.0</v>
      </c>
      <c r="V8" s="114">
        <v>45.09</v>
      </c>
      <c r="W8" s="114">
        <v>26.97</v>
      </c>
      <c r="X8" s="115">
        <v>21.0</v>
      </c>
      <c r="Y8" s="114">
        <v>33.57</v>
      </c>
      <c r="Z8" s="114">
        <v>10.44</v>
      </c>
      <c r="AA8" s="114">
        <v>24.0</v>
      </c>
      <c r="AB8" s="114">
        <v>36.73</v>
      </c>
      <c r="AC8" s="114">
        <v>1030.8</v>
      </c>
      <c r="AD8" s="114">
        <v>1.98</v>
      </c>
      <c r="AE8" s="114">
        <v>21.17</v>
      </c>
      <c r="AF8" s="114">
        <v>46.14</v>
      </c>
      <c r="AG8" s="114">
        <v>27.4</v>
      </c>
      <c r="AH8" s="116"/>
      <c r="AI8" s="62"/>
      <c r="AJ8" s="62"/>
      <c r="AK8" s="62"/>
      <c r="AL8" s="62"/>
      <c r="AM8" s="62"/>
      <c r="AN8" s="62"/>
      <c r="AO8" s="62"/>
      <c r="AP8" s="62"/>
      <c r="AQ8" s="62"/>
      <c r="AR8" s="116"/>
      <c r="AS8" s="62"/>
      <c r="AT8" s="62"/>
      <c r="AU8" s="62"/>
      <c r="AV8" s="62"/>
      <c r="AW8" s="62"/>
      <c r="AX8" s="62"/>
      <c r="AY8" s="62"/>
      <c r="AZ8" s="62"/>
      <c r="BA8" s="62"/>
    </row>
    <row r="9">
      <c r="A9" s="71" t="s">
        <v>1642</v>
      </c>
      <c r="B9" s="74">
        <v>45823.0</v>
      </c>
      <c r="C9" s="72" t="s">
        <v>1643</v>
      </c>
      <c r="D9" s="75">
        <v>0.9583333333333334</v>
      </c>
      <c r="E9" s="75">
        <v>0.7916666666666666</v>
      </c>
      <c r="F9" s="117">
        <v>2.0</v>
      </c>
      <c r="G9" s="118">
        <v>45824.0</v>
      </c>
      <c r="H9" s="72" t="s">
        <v>312</v>
      </c>
      <c r="I9" s="72" t="s">
        <v>1733</v>
      </c>
      <c r="J9" s="119"/>
      <c r="K9" s="70" t="s">
        <v>1644</v>
      </c>
      <c r="L9" s="114">
        <v>47.5</v>
      </c>
      <c r="M9" s="114">
        <v>-122.25</v>
      </c>
      <c r="N9" s="115">
        <v>3.0</v>
      </c>
      <c r="O9" s="114">
        <v>19.73</v>
      </c>
      <c r="P9" s="114">
        <v>7.993</v>
      </c>
      <c r="Q9" s="114">
        <v>46.0</v>
      </c>
      <c r="R9" s="114">
        <v>17.01</v>
      </c>
      <c r="S9" s="114">
        <v>185.6</v>
      </c>
      <c r="T9" s="114">
        <v>1.22</v>
      </c>
      <c r="U9" s="114">
        <v>16.13</v>
      </c>
      <c r="V9" s="114">
        <v>29.77</v>
      </c>
      <c r="W9" s="114">
        <v>19.22</v>
      </c>
      <c r="X9" s="115">
        <v>4.0</v>
      </c>
      <c r="Y9" s="114">
        <v>19.03</v>
      </c>
      <c r="Z9" s="114">
        <v>8.912</v>
      </c>
      <c r="AA9" s="114">
        <v>51.0</v>
      </c>
      <c r="AB9" s="114">
        <v>16.32</v>
      </c>
      <c r="AC9" s="114">
        <v>47.5</v>
      </c>
      <c r="AD9" s="114">
        <v>1.2</v>
      </c>
      <c r="AE9" s="114">
        <v>16.26</v>
      </c>
      <c r="AF9" s="114">
        <v>29.26</v>
      </c>
      <c r="AG9" s="114">
        <v>19.14</v>
      </c>
      <c r="AH9" s="116"/>
      <c r="AI9" s="62"/>
      <c r="AJ9" s="62"/>
      <c r="AK9" s="62"/>
      <c r="AL9" s="62"/>
      <c r="AM9" s="62"/>
      <c r="AN9" s="62"/>
      <c r="AO9" s="62"/>
      <c r="AP9" s="62"/>
      <c r="AQ9" s="62"/>
      <c r="AR9" s="116"/>
      <c r="AS9" s="62"/>
      <c r="AT9" s="62"/>
      <c r="AU9" s="62"/>
      <c r="AV9" s="62"/>
      <c r="AW9" s="62"/>
      <c r="AX9" s="62"/>
      <c r="AY9" s="62"/>
      <c r="AZ9" s="62"/>
      <c r="BA9" s="62"/>
    </row>
    <row r="10">
      <c r="A10" s="71" t="s">
        <v>1670</v>
      </c>
      <c r="B10" s="74">
        <v>45827.0</v>
      </c>
      <c r="C10" s="72" t="s">
        <v>1643</v>
      </c>
      <c r="D10" s="75">
        <v>0.7916666666666666</v>
      </c>
      <c r="E10" s="75">
        <v>0.625</v>
      </c>
      <c r="F10" s="117">
        <v>22.0</v>
      </c>
      <c r="G10" s="118">
        <v>45827.0</v>
      </c>
      <c r="H10" s="72" t="s">
        <v>312</v>
      </c>
      <c r="I10" s="72" t="s">
        <v>1733</v>
      </c>
      <c r="J10" s="119"/>
      <c r="K10" s="70" t="s">
        <v>1644</v>
      </c>
      <c r="L10" s="114">
        <v>47.5</v>
      </c>
      <c r="M10" s="114">
        <v>-122.25</v>
      </c>
      <c r="N10" s="115">
        <v>23.0</v>
      </c>
      <c r="O10" s="114">
        <v>19.06</v>
      </c>
      <c r="P10" s="114">
        <v>7.68</v>
      </c>
      <c r="Q10" s="114">
        <v>47.0</v>
      </c>
      <c r="R10" s="114">
        <v>16.35</v>
      </c>
      <c r="S10" s="114">
        <v>414.0</v>
      </c>
      <c r="T10" s="114">
        <v>1.25</v>
      </c>
      <c r="U10" s="114">
        <v>15.77</v>
      </c>
      <c r="V10" s="114">
        <v>28.9</v>
      </c>
      <c r="W10" s="114">
        <v>18.72</v>
      </c>
      <c r="X10" s="115" t="s">
        <v>1734</v>
      </c>
      <c r="Y10" s="114">
        <v>19.21</v>
      </c>
      <c r="Z10" s="114">
        <v>7.798</v>
      </c>
      <c r="AA10" s="114">
        <v>47.0</v>
      </c>
      <c r="AB10" s="114">
        <v>16.49</v>
      </c>
      <c r="AC10" s="114">
        <v>357.0</v>
      </c>
      <c r="AD10" s="114">
        <v>1.2</v>
      </c>
      <c r="AE10" s="114">
        <v>15.88</v>
      </c>
      <c r="AF10" s="114">
        <v>29.15</v>
      </c>
      <c r="AG10" s="114">
        <v>18.87</v>
      </c>
      <c r="AH10" s="116"/>
      <c r="AI10" s="62"/>
      <c r="AJ10" s="62"/>
      <c r="AK10" s="62"/>
      <c r="AL10" s="62"/>
      <c r="AM10" s="62"/>
      <c r="AN10" s="62"/>
      <c r="AO10" s="62"/>
      <c r="AP10" s="62"/>
      <c r="AQ10" s="62"/>
      <c r="AR10" s="116"/>
      <c r="AS10" s="62"/>
      <c r="AT10" s="62"/>
      <c r="AU10" s="62"/>
      <c r="AV10" s="62"/>
      <c r="AW10" s="62"/>
      <c r="AX10" s="62"/>
      <c r="AY10" s="62"/>
      <c r="AZ10" s="62"/>
      <c r="BA10" s="62"/>
    </row>
    <row r="11">
      <c r="A11" s="71" t="s">
        <v>1671</v>
      </c>
      <c r="B11" s="74">
        <v>45827.0</v>
      </c>
      <c r="C11" s="72" t="s">
        <v>1636</v>
      </c>
      <c r="D11" s="75">
        <v>0.9166666666666666</v>
      </c>
      <c r="E11" s="75">
        <v>0.75</v>
      </c>
      <c r="F11" s="117">
        <v>1.0</v>
      </c>
      <c r="G11" s="118">
        <v>45828.0</v>
      </c>
      <c r="H11" s="72" t="s">
        <v>1637</v>
      </c>
      <c r="I11" s="72" t="s">
        <v>1733</v>
      </c>
      <c r="J11" s="119"/>
      <c r="K11" s="70" t="s">
        <v>1638</v>
      </c>
      <c r="L11" s="114">
        <v>34.25</v>
      </c>
      <c r="M11" s="114">
        <v>-118.25</v>
      </c>
      <c r="N11" s="115">
        <v>2.0</v>
      </c>
      <c r="O11" s="114">
        <v>23.7</v>
      </c>
      <c r="P11" s="114">
        <v>11.6</v>
      </c>
      <c r="Q11" s="114">
        <v>46.0</v>
      </c>
      <c r="R11" s="114">
        <v>21.38</v>
      </c>
      <c r="S11" s="114">
        <v>247.4</v>
      </c>
      <c r="T11" s="114">
        <v>1.53</v>
      </c>
      <c r="U11" s="114">
        <v>18.89</v>
      </c>
      <c r="V11" s="114">
        <v>34.9</v>
      </c>
      <c r="W11" s="114">
        <v>22.57</v>
      </c>
      <c r="X11" s="115">
        <v>3.0</v>
      </c>
      <c r="Y11" s="114">
        <v>21.99</v>
      </c>
      <c r="Z11" s="114">
        <v>11.66</v>
      </c>
      <c r="AA11" s="114">
        <v>51.0</v>
      </c>
      <c r="AB11" s="114">
        <v>19.4</v>
      </c>
      <c r="AC11" s="114">
        <v>66.2</v>
      </c>
      <c r="AD11" s="114">
        <v>1.11</v>
      </c>
      <c r="AE11" s="114">
        <v>18.43</v>
      </c>
      <c r="AF11" s="114">
        <v>33.43</v>
      </c>
      <c r="AG11" s="114">
        <v>21.79</v>
      </c>
      <c r="AH11" s="116"/>
      <c r="AI11" s="62"/>
      <c r="AJ11" s="62"/>
      <c r="AK11" s="62"/>
      <c r="AL11" s="62"/>
      <c r="AM11" s="62"/>
      <c r="AN11" s="62"/>
      <c r="AO11" s="62"/>
      <c r="AP11" s="62"/>
      <c r="AQ11" s="62"/>
      <c r="AR11" s="116"/>
      <c r="AS11" s="62"/>
      <c r="AT11" s="62"/>
      <c r="AU11" s="62"/>
      <c r="AV11" s="62"/>
      <c r="AW11" s="62"/>
      <c r="AX11" s="62"/>
      <c r="AY11" s="62"/>
      <c r="AZ11" s="62"/>
      <c r="BA11" s="62"/>
    </row>
    <row r="12">
      <c r="A12" s="89" t="s">
        <v>1690</v>
      </c>
      <c r="B12" s="74">
        <v>45831.0</v>
      </c>
      <c r="C12" s="72" t="s">
        <v>1643</v>
      </c>
      <c r="D12" s="75">
        <v>0.6666666666666666</v>
      </c>
      <c r="E12" s="75">
        <v>0.5</v>
      </c>
      <c r="F12" s="117">
        <v>19.0</v>
      </c>
      <c r="G12" s="118">
        <v>45831.0</v>
      </c>
      <c r="H12" s="72" t="s">
        <v>312</v>
      </c>
      <c r="I12" s="72" t="s">
        <v>1733</v>
      </c>
      <c r="J12" s="119"/>
      <c r="K12" s="70" t="s">
        <v>1644</v>
      </c>
      <c r="L12" s="114">
        <v>47.5</v>
      </c>
      <c r="M12" s="114">
        <v>-122.25</v>
      </c>
      <c r="N12" s="115">
        <v>20.0</v>
      </c>
      <c r="O12" s="114">
        <v>20.09</v>
      </c>
      <c r="P12" s="114">
        <v>11.76</v>
      </c>
      <c r="Q12" s="114">
        <v>58.0</v>
      </c>
      <c r="R12" s="114">
        <v>17.37</v>
      </c>
      <c r="S12" s="114">
        <v>841.8</v>
      </c>
      <c r="T12" s="114">
        <v>1.05</v>
      </c>
      <c r="U12" s="114">
        <v>17.79</v>
      </c>
      <c r="V12" s="114">
        <v>31.45</v>
      </c>
      <c r="W12" s="114">
        <v>20.75</v>
      </c>
      <c r="X12" s="115">
        <v>21.0</v>
      </c>
      <c r="Y12" s="114">
        <v>21.01</v>
      </c>
      <c r="Z12" s="114">
        <v>12.23</v>
      </c>
      <c r="AA12" s="114">
        <v>57.0</v>
      </c>
      <c r="AB12" s="114">
        <v>18.33</v>
      </c>
      <c r="AC12" s="114">
        <v>849.2</v>
      </c>
      <c r="AD12" s="114">
        <v>1.05</v>
      </c>
      <c r="AE12" s="114">
        <v>18.31</v>
      </c>
      <c r="AF12" s="114">
        <v>32.59</v>
      </c>
      <c r="AG12" s="114">
        <v>21.44</v>
      </c>
      <c r="AH12" s="116"/>
      <c r="AI12" s="62"/>
      <c r="AJ12" s="62"/>
      <c r="AK12" s="62"/>
      <c r="AL12" s="62"/>
      <c r="AM12" s="62"/>
      <c r="AN12" s="62"/>
      <c r="AO12" s="62"/>
      <c r="AP12" s="62"/>
      <c r="AQ12" s="62"/>
      <c r="AR12" s="116"/>
      <c r="AS12" s="62"/>
      <c r="AT12" s="62"/>
      <c r="AU12" s="62"/>
      <c r="AV12" s="62"/>
      <c r="AW12" s="62"/>
      <c r="AX12" s="62"/>
      <c r="AY12" s="62"/>
      <c r="AZ12" s="62"/>
      <c r="BA12" s="62"/>
    </row>
    <row r="13">
      <c r="A13" s="71" t="s">
        <v>1691</v>
      </c>
      <c r="B13" s="74">
        <v>45831.0</v>
      </c>
      <c r="C13" s="72" t="s">
        <v>1636</v>
      </c>
      <c r="D13" s="75">
        <v>0.6666666666666666</v>
      </c>
      <c r="E13" s="75">
        <v>0.5</v>
      </c>
      <c r="F13" s="117">
        <v>19.0</v>
      </c>
      <c r="G13" s="118">
        <v>45831.0</v>
      </c>
      <c r="H13" s="72" t="s">
        <v>1637</v>
      </c>
      <c r="I13" s="72" t="s">
        <v>1733</v>
      </c>
      <c r="J13" s="119"/>
      <c r="K13" s="70" t="s">
        <v>1638</v>
      </c>
      <c r="L13" s="114">
        <v>34.25</v>
      </c>
      <c r="M13" s="114">
        <v>-118.25</v>
      </c>
      <c r="N13" s="115">
        <v>20.0</v>
      </c>
      <c r="O13" s="114">
        <v>24.12</v>
      </c>
      <c r="P13" s="114">
        <v>10.39</v>
      </c>
      <c r="Q13" s="114">
        <v>41.0</v>
      </c>
      <c r="R13" s="114">
        <v>21.91</v>
      </c>
      <c r="S13" s="114">
        <v>1021.5</v>
      </c>
      <c r="T13" s="114">
        <v>2.48</v>
      </c>
      <c r="U13" s="114">
        <v>18.27</v>
      </c>
      <c r="V13" s="114">
        <v>34.11</v>
      </c>
      <c r="W13" s="114">
        <v>22.02</v>
      </c>
      <c r="X13" s="115">
        <v>21.0</v>
      </c>
      <c r="Y13" s="114">
        <v>24.26</v>
      </c>
      <c r="Z13" s="114">
        <v>10.22</v>
      </c>
      <c r="AA13" s="114">
        <v>41.0</v>
      </c>
      <c r="AB13" s="114">
        <v>22.08</v>
      </c>
      <c r="AC13" s="114">
        <v>1017.8</v>
      </c>
      <c r="AD13" s="114">
        <v>2.69</v>
      </c>
      <c r="AE13" s="114">
        <v>18.19</v>
      </c>
      <c r="AF13" s="114">
        <v>34.03</v>
      </c>
      <c r="AG13" s="114">
        <v>21.96</v>
      </c>
      <c r="AH13" s="116"/>
      <c r="AI13" s="62"/>
      <c r="AJ13" s="62"/>
      <c r="AK13" s="62"/>
      <c r="AL13" s="62"/>
      <c r="AM13" s="62"/>
      <c r="AN13" s="62"/>
      <c r="AO13" s="62"/>
      <c r="AP13" s="62"/>
      <c r="AQ13" s="62"/>
      <c r="AR13" s="116"/>
      <c r="AS13" s="62"/>
      <c r="AT13" s="62"/>
      <c r="AU13" s="62"/>
      <c r="AV13" s="62"/>
      <c r="AW13" s="62"/>
      <c r="AX13" s="62"/>
      <c r="AY13" s="62"/>
      <c r="AZ13" s="62"/>
      <c r="BA13" s="62"/>
    </row>
    <row r="14">
      <c r="A14" s="65" t="s">
        <v>1632</v>
      </c>
      <c r="B14" s="67">
        <v>45823.0</v>
      </c>
      <c r="C14" s="66" t="s">
        <v>1633</v>
      </c>
      <c r="D14" s="68">
        <v>0.5416666666666666</v>
      </c>
      <c r="E14" s="68">
        <v>0.5</v>
      </c>
      <c r="F14" s="122">
        <v>16.0</v>
      </c>
      <c r="G14" s="123">
        <v>45823.0</v>
      </c>
      <c r="H14" s="66" t="s">
        <v>122</v>
      </c>
      <c r="I14" s="66" t="s">
        <v>1733</v>
      </c>
      <c r="J14" s="124"/>
      <c r="K14" s="70" t="s">
        <v>1634</v>
      </c>
      <c r="L14" s="114">
        <v>39.0</v>
      </c>
      <c r="M14" s="114">
        <v>-84.5</v>
      </c>
      <c r="N14" s="115">
        <v>17.0</v>
      </c>
      <c r="O14" s="114">
        <v>25.85</v>
      </c>
      <c r="P14" s="114">
        <v>21.59</v>
      </c>
      <c r="Q14" s="114">
        <v>77.0</v>
      </c>
      <c r="R14" s="114">
        <v>24.15</v>
      </c>
      <c r="S14" s="114">
        <v>595.7</v>
      </c>
      <c r="T14" s="114">
        <v>0.99</v>
      </c>
      <c r="U14" s="114">
        <v>23.58</v>
      </c>
      <c r="V14" s="114">
        <v>40.98</v>
      </c>
      <c r="W14" s="114">
        <v>27.29</v>
      </c>
      <c r="X14" s="115">
        <v>18.0</v>
      </c>
      <c r="Y14" s="114">
        <v>26.33</v>
      </c>
      <c r="Z14" s="114">
        <v>21.01</v>
      </c>
      <c r="AA14" s="114">
        <v>72.0</v>
      </c>
      <c r="AB14" s="114">
        <v>24.8</v>
      </c>
      <c r="AC14" s="114">
        <v>498.7</v>
      </c>
      <c r="AD14" s="114">
        <v>1.06</v>
      </c>
      <c r="AE14" s="114">
        <v>23.57</v>
      </c>
      <c r="AF14" s="114">
        <v>41.17</v>
      </c>
      <c r="AG14" s="114">
        <v>27.37</v>
      </c>
      <c r="AH14" s="116"/>
      <c r="AI14" s="62"/>
      <c r="AJ14" s="62"/>
      <c r="AK14" s="62"/>
      <c r="AL14" s="62"/>
      <c r="AM14" s="62"/>
      <c r="AN14" s="62"/>
      <c r="AO14" s="62"/>
      <c r="AP14" s="62"/>
      <c r="AQ14" s="62"/>
      <c r="AR14" s="116"/>
      <c r="AS14" s="62"/>
      <c r="AT14" s="62"/>
      <c r="AU14" s="62"/>
      <c r="AV14" s="62"/>
      <c r="AW14" s="62"/>
      <c r="AX14" s="62"/>
      <c r="AY14" s="62"/>
      <c r="AZ14" s="62"/>
      <c r="BA14" s="62"/>
    </row>
    <row r="15">
      <c r="A15" s="70" t="s">
        <v>1649</v>
      </c>
      <c r="B15" s="67">
        <v>45824.0</v>
      </c>
      <c r="C15" s="66" t="s">
        <v>1629</v>
      </c>
      <c r="D15" s="68">
        <v>0.7916666666666666</v>
      </c>
      <c r="E15" s="68">
        <v>0.75</v>
      </c>
      <c r="F15" s="122">
        <v>22.0</v>
      </c>
      <c r="G15" s="123">
        <v>45824.0</v>
      </c>
      <c r="H15" s="66" t="s">
        <v>62</v>
      </c>
      <c r="I15" s="66" t="s">
        <v>1733</v>
      </c>
      <c r="J15" s="124"/>
      <c r="K15" s="70" t="s">
        <v>1631</v>
      </c>
      <c r="L15" s="114">
        <v>26.0</v>
      </c>
      <c r="M15" s="114">
        <v>-80.25</v>
      </c>
      <c r="N15" s="115">
        <v>23.0</v>
      </c>
      <c r="O15" s="114">
        <v>28.88</v>
      </c>
      <c r="P15" s="114">
        <v>22.93</v>
      </c>
      <c r="Q15" s="114">
        <v>70.0</v>
      </c>
      <c r="R15" s="114">
        <v>28.56</v>
      </c>
      <c r="S15" s="114">
        <v>214.5</v>
      </c>
      <c r="T15" s="114">
        <v>2.58</v>
      </c>
      <c r="U15" s="114">
        <v>24.88</v>
      </c>
      <c r="V15" s="114">
        <v>42.93</v>
      </c>
      <c r="W15" s="114">
        <v>28.89</v>
      </c>
      <c r="X15" s="115" t="s">
        <v>1734</v>
      </c>
      <c r="Y15" s="114">
        <v>28.38</v>
      </c>
      <c r="Z15" s="114">
        <v>22.73</v>
      </c>
      <c r="AA15" s="114">
        <v>71.0</v>
      </c>
      <c r="AB15" s="114">
        <v>27.79</v>
      </c>
      <c r="AC15" s="114">
        <v>71.2</v>
      </c>
      <c r="AD15" s="114">
        <v>2.1</v>
      </c>
      <c r="AE15" s="114">
        <v>24.74</v>
      </c>
      <c r="AF15" s="114">
        <v>42.84</v>
      </c>
      <c r="AG15" s="114">
        <v>28.72</v>
      </c>
      <c r="AH15" s="116"/>
      <c r="AI15" s="62"/>
      <c r="AJ15" s="62"/>
      <c r="AK15" s="62"/>
      <c r="AL15" s="62"/>
      <c r="AM15" s="62"/>
      <c r="AN15" s="62"/>
      <c r="AO15" s="62"/>
      <c r="AP15" s="62"/>
      <c r="AQ15" s="62"/>
      <c r="AR15" s="116"/>
      <c r="AS15" s="62"/>
      <c r="AT15" s="62"/>
      <c r="AU15" s="62"/>
      <c r="AV15" s="62"/>
      <c r="AW15" s="62"/>
      <c r="AX15" s="62"/>
      <c r="AY15" s="62"/>
      <c r="AZ15" s="62"/>
      <c r="BA15" s="62"/>
    </row>
    <row r="16">
      <c r="A16" s="70" t="s">
        <v>1672</v>
      </c>
      <c r="B16" s="67">
        <v>45828.0</v>
      </c>
      <c r="C16" s="66" t="s">
        <v>1656</v>
      </c>
      <c r="D16" s="68">
        <v>0.5416666666666666</v>
      </c>
      <c r="E16" s="68">
        <v>0.5</v>
      </c>
      <c r="F16" s="122">
        <v>16.0</v>
      </c>
      <c r="G16" s="123">
        <v>45828.0</v>
      </c>
      <c r="H16" s="66" t="s">
        <v>686</v>
      </c>
      <c r="I16" s="66" t="s">
        <v>1733</v>
      </c>
      <c r="J16" s="90" t="s">
        <v>1673</v>
      </c>
      <c r="K16" s="70" t="s">
        <v>1658</v>
      </c>
      <c r="L16" s="114">
        <v>28.5</v>
      </c>
      <c r="M16" s="114">
        <v>-81.5</v>
      </c>
      <c r="N16" s="115">
        <v>17.0</v>
      </c>
      <c r="O16" s="114">
        <v>29.76</v>
      </c>
      <c r="P16" s="114">
        <v>23.86</v>
      </c>
      <c r="Q16" s="114">
        <v>70.0</v>
      </c>
      <c r="R16" s="114">
        <v>29.96</v>
      </c>
      <c r="S16" s="114">
        <v>818.3</v>
      </c>
      <c r="T16" s="114">
        <v>1.32</v>
      </c>
      <c r="U16" s="114">
        <v>25.9</v>
      </c>
      <c r="V16" s="114">
        <v>45.46</v>
      </c>
      <c r="W16" s="114">
        <v>30.2</v>
      </c>
      <c r="X16" s="115">
        <v>18.0</v>
      </c>
      <c r="Y16" s="114">
        <v>29.98</v>
      </c>
      <c r="Z16" s="114">
        <v>23.99</v>
      </c>
      <c r="AA16" s="114">
        <v>70.0</v>
      </c>
      <c r="AB16" s="114">
        <v>30.31</v>
      </c>
      <c r="AC16" s="114">
        <v>798.8</v>
      </c>
      <c r="AD16" s="114">
        <v>1.11</v>
      </c>
      <c r="AE16" s="114">
        <v>26.09</v>
      </c>
      <c r="AF16" s="114">
        <v>45.94</v>
      </c>
      <c r="AG16" s="114">
        <v>30.45</v>
      </c>
      <c r="AH16" s="115">
        <v>19.0</v>
      </c>
      <c r="AI16" s="114">
        <v>29.97</v>
      </c>
      <c r="AJ16" s="114">
        <v>23.59</v>
      </c>
      <c r="AK16" s="114">
        <v>68.0</v>
      </c>
      <c r="AL16" s="114">
        <v>30.3</v>
      </c>
      <c r="AM16" s="114">
        <v>745.6</v>
      </c>
      <c r="AN16" s="114">
        <v>0.93</v>
      </c>
      <c r="AO16" s="114">
        <v>25.99</v>
      </c>
      <c r="AP16" s="114">
        <v>45.97</v>
      </c>
      <c r="AQ16" s="114">
        <v>30.38</v>
      </c>
      <c r="AR16" s="115">
        <v>20.0</v>
      </c>
      <c r="AS16" s="114">
        <v>27.84</v>
      </c>
      <c r="AT16" s="114">
        <v>23.41</v>
      </c>
      <c r="AU16" s="114">
        <v>76.0</v>
      </c>
      <c r="AV16" s="114">
        <v>26.98</v>
      </c>
      <c r="AW16" s="114">
        <v>648.1</v>
      </c>
      <c r="AX16" s="114">
        <v>0.95</v>
      </c>
      <c r="AY16" s="114">
        <v>25.05</v>
      </c>
      <c r="AZ16" s="114">
        <v>43.72</v>
      </c>
      <c r="BA16" s="114">
        <v>29.06</v>
      </c>
    </row>
    <row r="17">
      <c r="A17" s="70" t="s">
        <v>1679</v>
      </c>
      <c r="B17" s="67">
        <v>45828.0</v>
      </c>
      <c r="C17" s="66" t="s">
        <v>1629</v>
      </c>
      <c r="D17" s="68">
        <v>0.9166666666666666</v>
      </c>
      <c r="E17" s="68">
        <v>0.875</v>
      </c>
      <c r="F17" s="122">
        <v>1.0</v>
      </c>
      <c r="G17" s="123">
        <v>45829.0</v>
      </c>
      <c r="H17" s="66" t="s">
        <v>62</v>
      </c>
      <c r="I17" s="66" t="s">
        <v>1733</v>
      </c>
      <c r="J17" s="124"/>
      <c r="K17" s="70" t="s">
        <v>1658</v>
      </c>
      <c r="L17" s="114">
        <v>28.5</v>
      </c>
      <c r="M17" s="114">
        <v>-81.5</v>
      </c>
      <c r="N17" s="115">
        <v>2.0</v>
      </c>
      <c r="O17" s="114">
        <v>25.56</v>
      </c>
      <c r="P17" s="114">
        <v>22.09</v>
      </c>
      <c r="Q17" s="114">
        <v>81.0</v>
      </c>
      <c r="R17" s="114">
        <v>23.76</v>
      </c>
      <c r="S17" s="114">
        <v>0.0</v>
      </c>
      <c r="T17" s="114">
        <v>0.57</v>
      </c>
      <c r="U17" s="114">
        <v>23.73</v>
      </c>
      <c r="V17" s="114">
        <v>41.33</v>
      </c>
      <c r="W17" s="114">
        <v>27.43</v>
      </c>
      <c r="X17" s="115">
        <v>3.0</v>
      </c>
      <c r="Y17" s="114">
        <v>25.39</v>
      </c>
      <c r="Z17" s="114">
        <v>22.12</v>
      </c>
      <c r="AA17" s="114">
        <v>82.0</v>
      </c>
      <c r="AB17" s="114">
        <v>23.53</v>
      </c>
      <c r="AC17" s="114">
        <v>0.0</v>
      </c>
      <c r="AD17" s="114">
        <v>1.21</v>
      </c>
      <c r="AE17" s="114">
        <v>23.49</v>
      </c>
      <c r="AF17" s="114">
        <v>40.51</v>
      </c>
      <c r="AG17" s="114">
        <v>27.09</v>
      </c>
      <c r="AH17" s="116"/>
      <c r="AI17" s="62"/>
      <c r="AJ17" s="62"/>
      <c r="AK17" s="62"/>
      <c r="AL17" s="62"/>
      <c r="AM17" s="62"/>
      <c r="AN17" s="62"/>
      <c r="AO17" s="62"/>
      <c r="AP17" s="62"/>
      <c r="AQ17" s="62"/>
      <c r="AR17" s="116"/>
      <c r="AS17" s="62"/>
      <c r="AT17" s="62"/>
      <c r="AU17" s="62"/>
      <c r="AV17" s="62"/>
      <c r="AW17" s="62"/>
      <c r="AX17" s="62"/>
      <c r="AY17" s="62"/>
      <c r="AZ17" s="62"/>
      <c r="BA17" s="62"/>
    </row>
    <row r="18">
      <c r="A18" s="70" t="s">
        <v>1694</v>
      </c>
      <c r="B18" s="67">
        <v>45832.0</v>
      </c>
      <c r="C18" s="66" t="s">
        <v>1676</v>
      </c>
      <c r="D18" s="68">
        <v>0.6666666666666666</v>
      </c>
      <c r="E18" s="68">
        <v>0.5833333333333334</v>
      </c>
      <c r="F18" s="122">
        <v>19.0</v>
      </c>
      <c r="G18" s="123">
        <v>45832.0</v>
      </c>
      <c r="H18" s="66" t="s">
        <v>1677</v>
      </c>
      <c r="I18" s="66" t="s">
        <v>1733</v>
      </c>
      <c r="J18" s="90" t="s">
        <v>1695</v>
      </c>
      <c r="K18" s="70" t="s">
        <v>1696</v>
      </c>
      <c r="L18" s="114">
        <v>36.25</v>
      </c>
      <c r="M18" s="114">
        <v>-86.75</v>
      </c>
      <c r="N18" s="115">
        <v>20.0</v>
      </c>
      <c r="O18" s="114">
        <v>33.62</v>
      </c>
      <c r="P18" s="114">
        <v>22.38</v>
      </c>
      <c r="Q18" s="114">
        <v>51.0</v>
      </c>
      <c r="R18" s="114">
        <v>36.83</v>
      </c>
      <c r="S18" s="114">
        <v>701.1</v>
      </c>
      <c r="T18" s="114">
        <v>0.49</v>
      </c>
      <c r="U18" s="114">
        <v>26.99</v>
      </c>
      <c r="V18" s="114">
        <v>50.04</v>
      </c>
      <c r="W18" s="114">
        <v>32.26</v>
      </c>
      <c r="X18" s="115">
        <v>21.0</v>
      </c>
      <c r="Y18" s="114">
        <v>32.82</v>
      </c>
      <c r="Z18" s="114">
        <v>22.29</v>
      </c>
      <c r="AA18" s="114">
        <v>53.0</v>
      </c>
      <c r="AB18" s="114">
        <v>35.3</v>
      </c>
      <c r="AC18" s="114">
        <v>671.6</v>
      </c>
      <c r="AD18" s="114">
        <v>0.34</v>
      </c>
      <c r="AE18" s="114">
        <v>26.71</v>
      </c>
      <c r="AF18" s="114">
        <v>49.27</v>
      </c>
      <c r="AG18" s="114">
        <v>31.83</v>
      </c>
      <c r="AH18" s="115">
        <v>22.0</v>
      </c>
      <c r="AI18" s="114">
        <v>31.53</v>
      </c>
      <c r="AJ18" s="114">
        <v>23.86</v>
      </c>
      <c r="AK18" s="114">
        <v>63.0</v>
      </c>
      <c r="AL18" s="114">
        <v>32.95</v>
      </c>
      <c r="AM18" s="114">
        <v>506.4</v>
      </c>
      <c r="AN18" s="114">
        <v>0.69</v>
      </c>
      <c r="AO18" s="114">
        <v>26.76</v>
      </c>
      <c r="AP18" s="114">
        <v>47.97</v>
      </c>
      <c r="AQ18" s="114">
        <v>31.48</v>
      </c>
      <c r="AR18" s="120"/>
      <c r="AS18" s="121"/>
      <c r="AT18" s="121"/>
      <c r="AU18" s="121"/>
      <c r="AV18" s="121"/>
      <c r="AW18" s="121"/>
      <c r="AX18" s="121"/>
      <c r="AY18" s="121"/>
      <c r="AZ18" s="121"/>
      <c r="BA18" s="121"/>
    </row>
    <row r="19">
      <c r="A19" s="99" t="s">
        <v>1697</v>
      </c>
      <c r="B19" s="125">
        <v>45832.0</v>
      </c>
      <c r="C19" s="126" t="s">
        <v>1686</v>
      </c>
      <c r="D19" s="127">
        <v>0.6666666666666666</v>
      </c>
      <c r="E19" s="127">
        <v>0.625</v>
      </c>
      <c r="F19" s="128">
        <v>19.0</v>
      </c>
      <c r="G19" s="129">
        <v>45832.0</v>
      </c>
      <c r="H19" s="126" t="s">
        <v>1200</v>
      </c>
      <c r="I19" s="126" t="s">
        <v>1733</v>
      </c>
      <c r="J19" s="130"/>
      <c r="K19" s="99" t="s">
        <v>1687</v>
      </c>
      <c r="L19" s="114">
        <v>35.25</v>
      </c>
      <c r="M19" s="114">
        <v>-80.75</v>
      </c>
      <c r="N19" s="115">
        <v>20.0</v>
      </c>
      <c r="O19" s="114">
        <v>37.36</v>
      </c>
      <c r="P19" s="114">
        <v>19.75</v>
      </c>
      <c r="Q19" s="114">
        <v>35.0</v>
      </c>
      <c r="R19" s="114">
        <v>44.75</v>
      </c>
      <c r="S19" s="114">
        <v>676.3</v>
      </c>
      <c r="T19" s="114">
        <v>2.08</v>
      </c>
      <c r="U19" s="114">
        <v>26.61</v>
      </c>
      <c r="V19" s="114">
        <v>52.22</v>
      </c>
      <c r="W19" s="114">
        <v>32.81</v>
      </c>
      <c r="X19" s="115">
        <v>21.0</v>
      </c>
      <c r="Y19" s="114">
        <v>37.38</v>
      </c>
      <c r="Z19" s="114">
        <v>19.35</v>
      </c>
      <c r="AA19" s="114">
        <v>34.0</v>
      </c>
      <c r="AB19" s="114">
        <v>44.8</v>
      </c>
      <c r="AC19" s="114">
        <v>567.9</v>
      </c>
      <c r="AD19" s="114">
        <v>1.31</v>
      </c>
      <c r="AE19" s="114">
        <v>26.64</v>
      </c>
      <c r="AF19" s="114">
        <v>52.96</v>
      </c>
      <c r="AG19" s="114">
        <v>32.98</v>
      </c>
      <c r="AH19" s="116"/>
      <c r="AI19" s="62"/>
      <c r="AJ19" s="62"/>
      <c r="AK19" s="62"/>
      <c r="AL19" s="62"/>
      <c r="AM19" s="62"/>
      <c r="AN19" s="62"/>
      <c r="AO19" s="62"/>
      <c r="AP19" s="62"/>
      <c r="AQ19" s="62"/>
      <c r="AR19" s="116"/>
      <c r="AS19" s="62"/>
      <c r="AT19" s="62"/>
      <c r="AU19" s="62"/>
      <c r="AV19" s="62"/>
      <c r="AW19" s="62"/>
      <c r="AX19" s="62"/>
      <c r="AY19" s="62"/>
      <c r="AZ19" s="62"/>
      <c r="BA19" s="62"/>
    </row>
    <row r="20">
      <c r="A20" s="61" t="s">
        <v>1645</v>
      </c>
      <c r="B20" s="83">
        <v>45824.0</v>
      </c>
      <c r="C20" s="82" t="s">
        <v>1646</v>
      </c>
      <c r="D20" s="84">
        <v>0.6666666666666666</v>
      </c>
      <c r="E20" s="84">
        <v>0.625</v>
      </c>
      <c r="F20" s="131">
        <v>19.0</v>
      </c>
      <c r="G20" s="132">
        <v>45793.0</v>
      </c>
      <c r="H20" s="82" t="s">
        <v>376</v>
      </c>
      <c r="I20" s="82" t="s">
        <v>1735</v>
      </c>
      <c r="J20" s="133"/>
      <c r="K20" s="61" t="s">
        <v>1648</v>
      </c>
      <c r="L20" s="114">
        <v>33.75</v>
      </c>
      <c r="M20" s="114">
        <v>-84.5</v>
      </c>
      <c r="N20" s="115">
        <v>20.0</v>
      </c>
      <c r="O20" s="114">
        <v>30.97</v>
      </c>
      <c r="P20" s="114">
        <v>21.68</v>
      </c>
      <c r="Q20" s="114">
        <v>57.0</v>
      </c>
      <c r="R20" s="114">
        <v>31.98</v>
      </c>
      <c r="S20" s="114">
        <v>692.1</v>
      </c>
      <c r="T20" s="114">
        <v>1.76</v>
      </c>
      <c r="U20" s="114">
        <v>25.44</v>
      </c>
      <c r="V20" s="114">
        <v>45.6</v>
      </c>
      <c r="W20" s="114">
        <v>30.02</v>
      </c>
      <c r="X20" s="115">
        <v>21.0</v>
      </c>
      <c r="Y20" s="114">
        <v>31.6</v>
      </c>
      <c r="Z20" s="114">
        <v>20.64</v>
      </c>
      <c r="AA20" s="114">
        <v>52.0</v>
      </c>
      <c r="AB20" s="114">
        <v>33.09</v>
      </c>
      <c r="AC20" s="114">
        <v>654.2</v>
      </c>
      <c r="AD20" s="114">
        <v>2.07</v>
      </c>
      <c r="AE20" s="114">
        <v>25.16</v>
      </c>
      <c r="AF20" s="114">
        <v>45.69</v>
      </c>
      <c r="AG20" s="114">
        <v>29.91</v>
      </c>
      <c r="AH20" s="116"/>
      <c r="AI20" s="62"/>
      <c r="AJ20" s="62"/>
      <c r="AK20" s="62"/>
      <c r="AL20" s="62"/>
      <c r="AM20" s="62"/>
      <c r="AN20" s="62"/>
      <c r="AO20" s="62"/>
      <c r="AP20" s="62"/>
      <c r="AQ20" s="62"/>
      <c r="AR20" s="116"/>
      <c r="AS20" s="62"/>
      <c r="AT20" s="62"/>
      <c r="AU20" s="62"/>
      <c r="AV20" s="62"/>
      <c r="AW20" s="62"/>
      <c r="AX20" s="62"/>
      <c r="AY20" s="62"/>
      <c r="AZ20" s="62"/>
      <c r="BA20" s="62"/>
    </row>
    <row r="21">
      <c r="A21" s="70" t="s">
        <v>1650</v>
      </c>
      <c r="B21" s="67">
        <v>45824.0</v>
      </c>
      <c r="C21" s="66" t="s">
        <v>1651</v>
      </c>
      <c r="D21" s="68">
        <v>0.9166666666666666</v>
      </c>
      <c r="E21" s="68">
        <v>0.875</v>
      </c>
      <c r="F21" s="122">
        <v>1.0</v>
      </c>
      <c r="G21" s="123">
        <v>45825.0</v>
      </c>
      <c r="H21" s="66" t="s">
        <v>500</v>
      </c>
      <c r="I21" s="66" t="s">
        <v>1733</v>
      </c>
      <c r="J21" s="124"/>
      <c r="K21" s="70" t="s">
        <v>1652</v>
      </c>
      <c r="L21" s="114">
        <v>40.0</v>
      </c>
      <c r="M21" s="114">
        <v>-75.25</v>
      </c>
      <c r="N21" s="115">
        <v>2.0</v>
      </c>
      <c r="O21" s="114">
        <v>17.75</v>
      </c>
      <c r="P21" s="114">
        <v>16.74</v>
      </c>
      <c r="Q21" s="114">
        <v>93.0</v>
      </c>
      <c r="R21" s="114">
        <v>15.12</v>
      </c>
      <c r="S21" s="114">
        <v>0.0</v>
      </c>
      <c r="T21" s="114">
        <v>1.51</v>
      </c>
      <c r="U21" s="114">
        <v>18.25</v>
      </c>
      <c r="V21" s="114">
        <v>30.69</v>
      </c>
      <c r="W21" s="114">
        <v>20.69</v>
      </c>
      <c r="X21" s="115">
        <v>3.0</v>
      </c>
      <c r="Y21" s="114">
        <v>17.68</v>
      </c>
      <c r="Z21" s="114">
        <v>16.69</v>
      </c>
      <c r="AA21" s="114">
        <v>93.0</v>
      </c>
      <c r="AB21" s="114">
        <v>15.07</v>
      </c>
      <c r="AC21" s="114">
        <v>0.0</v>
      </c>
      <c r="AD21" s="114">
        <v>1.38</v>
      </c>
      <c r="AE21" s="114">
        <v>18.24</v>
      </c>
      <c r="AF21" s="114">
        <v>30.74</v>
      </c>
      <c r="AG21" s="114">
        <v>20.69</v>
      </c>
      <c r="AH21" s="116"/>
      <c r="AI21" s="62"/>
      <c r="AJ21" s="62"/>
      <c r="AK21" s="62"/>
      <c r="AL21" s="62"/>
      <c r="AM21" s="62"/>
      <c r="AN21" s="62"/>
      <c r="AO21" s="62"/>
      <c r="AP21" s="62"/>
      <c r="AQ21" s="62"/>
      <c r="AR21" s="116"/>
      <c r="AS21" s="62"/>
      <c r="AT21" s="62"/>
      <c r="AU21" s="62"/>
      <c r="AV21" s="62"/>
      <c r="AW21" s="62"/>
      <c r="AX21" s="62"/>
      <c r="AY21" s="62"/>
      <c r="AZ21" s="62"/>
      <c r="BA21" s="62"/>
    </row>
    <row r="22">
      <c r="A22" s="70" t="s">
        <v>1674</v>
      </c>
      <c r="B22" s="67">
        <v>45828.0</v>
      </c>
      <c r="C22" s="66" t="s">
        <v>1651</v>
      </c>
      <c r="D22" s="68">
        <v>0.625</v>
      </c>
      <c r="E22" s="68">
        <v>0.5833333333333334</v>
      </c>
      <c r="F22" s="122">
        <v>18.0</v>
      </c>
      <c r="G22" s="123">
        <v>45828.0</v>
      </c>
      <c r="H22" s="66" t="s">
        <v>500</v>
      </c>
      <c r="I22" s="66" t="s">
        <v>1733</v>
      </c>
      <c r="J22" s="124"/>
      <c r="K22" s="70" t="s">
        <v>1652</v>
      </c>
      <c r="L22" s="114">
        <v>40.0</v>
      </c>
      <c r="M22" s="114">
        <v>-75.25</v>
      </c>
      <c r="N22" s="115">
        <v>19.0</v>
      </c>
      <c r="O22" s="114">
        <v>28.64</v>
      </c>
      <c r="P22" s="114">
        <v>15.46</v>
      </c>
      <c r="Q22" s="114">
        <v>44.0</v>
      </c>
      <c r="R22" s="114">
        <v>28.18</v>
      </c>
      <c r="S22" s="114">
        <v>644.4</v>
      </c>
      <c r="T22" s="114">
        <v>2.91</v>
      </c>
      <c r="U22" s="114">
        <v>21.79</v>
      </c>
      <c r="V22" s="114">
        <v>40.12</v>
      </c>
      <c r="W22" s="114">
        <v>26.14</v>
      </c>
      <c r="X22" s="115">
        <v>20.0</v>
      </c>
      <c r="Y22" s="114">
        <v>29.19</v>
      </c>
      <c r="Z22" s="114">
        <v>15.21</v>
      </c>
      <c r="AA22" s="114">
        <v>42.0</v>
      </c>
      <c r="AB22" s="114">
        <v>29.04</v>
      </c>
      <c r="AC22" s="114">
        <v>640.4</v>
      </c>
      <c r="AD22" s="114">
        <v>2.98</v>
      </c>
      <c r="AE22" s="114">
        <v>21.84</v>
      </c>
      <c r="AF22" s="114">
        <v>40.64</v>
      </c>
      <c r="AG22" s="114">
        <v>26.34</v>
      </c>
      <c r="AH22" s="120"/>
      <c r="AI22" s="121"/>
      <c r="AJ22" s="121"/>
      <c r="AK22" s="121"/>
      <c r="AL22" s="121"/>
      <c r="AM22" s="121"/>
      <c r="AN22" s="121"/>
      <c r="AO22" s="121"/>
      <c r="AP22" s="121"/>
      <c r="AQ22" s="62"/>
      <c r="AR22" s="116"/>
      <c r="AS22" s="62"/>
      <c r="AT22" s="62"/>
      <c r="AU22" s="62"/>
      <c r="AV22" s="62"/>
      <c r="AW22" s="62"/>
      <c r="AX22" s="62"/>
      <c r="AY22" s="62"/>
      <c r="AZ22" s="62"/>
      <c r="BA22" s="62"/>
    </row>
    <row r="23">
      <c r="A23" s="70" t="s">
        <v>1675</v>
      </c>
      <c r="B23" s="67">
        <v>45828.0</v>
      </c>
      <c r="C23" s="66" t="s">
        <v>1676</v>
      </c>
      <c r="D23" s="68">
        <v>0.7916666666666666</v>
      </c>
      <c r="E23" s="68">
        <v>0.7083333333333334</v>
      </c>
      <c r="F23" s="122">
        <v>22.0</v>
      </c>
      <c r="G23" s="123">
        <v>45828.0</v>
      </c>
      <c r="H23" s="66" t="s">
        <v>1677</v>
      </c>
      <c r="I23" s="66" t="s">
        <v>1733</v>
      </c>
      <c r="J23" s="124"/>
      <c r="K23" s="70" t="s">
        <v>1678</v>
      </c>
      <c r="L23" s="114">
        <v>36.25</v>
      </c>
      <c r="M23" s="114">
        <v>-86.75</v>
      </c>
      <c r="N23" s="115">
        <v>23.0</v>
      </c>
      <c r="O23" s="114">
        <v>29.63</v>
      </c>
      <c r="P23" s="114">
        <v>20.35</v>
      </c>
      <c r="Q23" s="114">
        <v>57.0</v>
      </c>
      <c r="R23" s="114">
        <v>29.75</v>
      </c>
      <c r="S23" s="114">
        <v>412.0</v>
      </c>
      <c r="T23" s="114">
        <v>0.44</v>
      </c>
      <c r="U23" s="114">
        <v>24.78</v>
      </c>
      <c r="V23" s="114">
        <v>45.07</v>
      </c>
      <c r="W23" s="114">
        <v>29.32</v>
      </c>
      <c r="X23" s="115" t="s">
        <v>1734</v>
      </c>
      <c r="Y23" s="114">
        <v>29.34</v>
      </c>
      <c r="Z23" s="114">
        <v>21.03</v>
      </c>
      <c r="AA23" s="114">
        <v>60.0</v>
      </c>
      <c r="AB23" s="114">
        <v>29.29</v>
      </c>
      <c r="AC23" s="114">
        <v>224.1</v>
      </c>
      <c r="AD23" s="114">
        <v>0.9</v>
      </c>
      <c r="AE23" s="114">
        <v>24.81</v>
      </c>
      <c r="AF23" s="114">
        <v>44.5</v>
      </c>
      <c r="AG23" s="114">
        <v>29.2</v>
      </c>
      <c r="AH23" s="116"/>
      <c r="AI23" s="62"/>
      <c r="AJ23" s="62"/>
      <c r="AK23" s="62"/>
      <c r="AL23" s="62"/>
      <c r="AM23" s="62"/>
      <c r="AN23" s="62"/>
      <c r="AO23" s="62"/>
      <c r="AP23" s="62"/>
      <c r="AQ23" s="62"/>
      <c r="AR23" s="116"/>
      <c r="AS23" s="62"/>
      <c r="AT23" s="62"/>
      <c r="AU23" s="62"/>
      <c r="AV23" s="62"/>
      <c r="AW23" s="62"/>
      <c r="AX23" s="62"/>
      <c r="AY23" s="62"/>
      <c r="AZ23" s="62"/>
      <c r="BA23" s="62"/>
    </row>
    <row r="24">
      <c r="A24" s="70" t="s">
        <v>1698</v>
      </c>
      <c r="B24" s="67">
        <v>45832.0</v>
      </c>
      <c r="C24" s="66" t="s">
        <v>1656</v>
      </c>
      <c r="D24" s="68">
        <v>0.9166666666666666</v>
      </c>
      <c r="E24" s="68">
        <v>0.875</v>
      </c>
      <c r="F24" s="122">
        <v>1.0</v>
      </c>
      <c r="G24" s="123">
        <v>45833.0</v>
      </c>
      <c r="H24" s="66" t="s">
        <v>1269</v>
      </c>
      <c r="I24" s="66" t="s">
        <v>1733</v>
      </c>
      <c r="J24" s="124"/>
      <c r="K24" s="70" t="s">
        <v>1699</v>
      </c>
      <c r="L24" s="114">
        <v>28.5</v>
      </c>
      <c r="M24" s="114">
        <v>-81.5</v>
      </c>
      <c r="N24" s="115">
        <v>2.0</v>
      </c>
      <c r="O24" s="114">
        <v>27.25</v>
      </c>
      <c r="P24" s="114">
        <v>23.14</v>
      </c>
      <c r="Q24" s="114">
        <v>78.0</v>
      </c>
      <c r="R24" s="114">
        <v>26.1</v>
      </c>
      <c r="S24" s="114">
        <v>0.0</v>
      </c>
      <c r="T24" s="114">
        <v>1.09</v>
      </c>
      <c r="U24" s="114">
        <v>24.67</v>
      </c>
      <c r="V24" s="114">
        <v>42.88</v>
      </c>
      <c r="W24" s="114">
        <v>28.57</v>
      </c>
      <c r="X24" s="115">
        <v>3.0</v>
      </c>
      <c r="Y24" s="114">
        <v>27.04</v>
      </c>
      <c r="Z24" s="114">
        <v>23.21</v>
      </c>
      <c r="AA24" s="114">
        <v>79.0</v>
      </c>
      <c r="AB24" s="114">
        <v>25.81</v>
      </c>
      <c r="AC24" s="114">
        <v>0.0</v>
      </c>
      <c r="AD24" s="114">
        <v>1.11</v>
      </c>
      <c r="AE24" s="114">
        <v>24.6</v>
      </c>
      <c r="AF24" s="114">
        <v>42.69</v>
      </c>
      <c r="AG24" s="114">
        <v>28.46</v>
      </c>
      <c r="AH24" s="116"/>
      <c r="AI24" s="62"/>
      <c r="AJ24" s="62"/>
      <c r="AK24" s="62"/>
      <c r="AL24" s="62"/>
      <c r="AM24" s="62"/>
      <c r="AN24" s="62"/>
      <c r="AO24" s="62"/>
      <c r="AP24" s="62"/>
      <c r="AQ24" s="62"/>
      <c r="AR24" s="116"/>
      <c r="AS24" s="62"/>
      <c r="AT24" s="62"/>
      <c r="AU24" s="62"/>
      <c r="AV24" s="62"/>
      <c r="AW24" s="62"/>
      <c r="AX24" s="62"/>
      <c r="AY24" s="62"/>
      <c r="AZ24" s="62"/>
      <c r="BA24" s="62"/>
    </row>
    <row r="25">
      <c r="A25" s="70" t="s">
        <v>1700</v>
      </c>
      <c r="B25" s="67">
        <v>45832.0</v>
      </c>
      <c r="C25" s="66" t="s">
        <v>1651</v>
      </c>
      <c r="D25" s="68">
        <v>0.9166666666666666</v>
      </c>
      <c r="E25" s="68">
        <v>0.875</v>
      </c>
      <c r="F25" s="122">
        <v>1.0</v>
      </c>
      <c r="G25" s="123">
        <v>45833.0</v>
      </c>
      <c r="H25" s="66" t="s">
        <v>500</v>
      </c>
      <c r="I25" s="66" t="s">
        <v>1733</v>
      </c>
      <c r="J25" s="124"/>
      <c r="K25" s="70" t="s">
        <v>1652</v>
      </c>
      <c r="L25" s="114">
        <v>40.0</v>
      </c>
      <c r="M25" s="114">
        <v>-75.25</v>
      </c>
      <c r="N25" s="115">
        <v>2.0</v>
      </c>
      <c r="O25" s="114">
        <v>30.53</v>
      </c>
      <c r="P25" s="114">
        <v>20.15</v>
      </c>
      <c r="Q25" s="114">
        <v>53.0</v>
      </c>
      <c r="R25" s="114">
        <v>31.24</v>
      </c>
      <c r="S25" s="114">
        <v>0.0</v>
      </c>
      <c r="T25" s="114">
        <v>1.86</v>
      </c>
      <c r="U25" s="114">
        <v>24.65</v>
      </c>
      <c r="V25" s="114">
        <v>44.57</v>
      </c>
      <c r="W25" s="114">
        <v>29.22</v>
      </c>
      <c r="X25" s="115">
        <v>3.0</v>
      </c>
      <c r="Y25" s="114">
        <v>29.82</v>
      </c>
      <c r="Z25" s="114">
        <v>20.14</v>
      </c>
      <c r="AA25" s="114">
        <v>56.0</v>
      </c>
      <c r="AB25" s="114">
        <v>30.06</v>
      </c>
      <c r="AC25" s="114">
        <v>0.0</v>
      </c>
      <c r="AD25" s="114">
        <v>1.86</v>
      </c>
      <c r="AE25" s="114">
        <v>24.39</v>
      </c>
      <c r="AF25" s="114">
        <v>43.77</v>
      </c>
      <c r="AG25" s="114">
        <v>28.81</v>
      </c>
      <c r="AH25" s="116"/>
      <c r="AI25" s="62"/>
      <c r="AJ25" s="62"/>
      <c r="AK25" s="62"/>
      <c r="AL25" s="62"/>
      <c r="AM25" s="62"/>
      <c r="AN25" s="62"/>
      <c r="AO25" s="62"/>
      <c r="AP25" s="62"/>
      <c r="AQ25" s="62"/>
      <c r="AR25" s="116"/>
      <c r="AS25" s="62"/>
      <c r="AT25" s="62"/>
      <c r="AU25" s="62"/>
      <c r="AV25" s="62"/>
      <c r="AW25" s="62"/>
      <c r="AX25" s="62"/>
      <c r="AY25" s="62"/>
      <c r="AZ25" s="62"/>
      <c r="BA25" s="62"/>
    </row>
    <row r="26">
      <c r="A26" s="89" t="s">
        <v>1654</v>
      </c>
      <c r="B26" s="74">
        <v>45825.0</v>
      </c>
      <c r="C26" s="72" t="s">
        <v>1643</v>
      </c>
      <c r="D26" s="75">
        <v>0.6666666666666666</v>
      </c>
      <c r="E26" s="75">
        <v>0.5</v>
      </c>
      <c r="F26" s="117">
        <v>19.0</v>
      </c>
      <c r="G26" s="118">
        <v>45825.0</v>
      </c>
      <c r="H26" s="72" t="s">
        <v>312</v>
      </c>
      <c r="I26" s="72" t="s">
        <v>1733</v>
      </c>
      <c r="J26" s="119"/>
      <c r="K26" s="70" t="s">
        <v>1644</v>
      </c>
      <c r="L26" s="114">
        <v>47.5</v>
      </c>
      <c r="M26" s="114">
        <v>-122.25</v>
      </c>
      <c r="N26" s="115">
        <v>20.0</v>
      </c>
      <c r="O26" s="114">
        <v>19.69</v>
      </c>
      <c r="P26" s="114">
        <v>7.179</v>
      </c>
      <c r="Q26" s="114">
        <v>44.0</v>
      </c>
      <c r="R26" s="114">
        <v>16.96</v>
      </c>
      <c r="S26" s="114">
        <v>603.8</v>
      </c>
      <c r="T26" s="114">
        <v>2.1</v>
      </c>
      <c r="U26" s="114">
        <v>15.55</v>
      </c>
      <c r="V26" s="114">
        <v>28.61</v>
      </c>
      <c r="W26" s="114">
        <v>18.58</v>
      </c>
      <c r="X26" s="115">
        <v>21.0</v>
      </c>
      <c r="Y26" s="114">
        <v>20.62</v>
      </c>
      <c r="Z26" s="114">
        <v>7.449</v>
      </c>
      <c r="AA26" s="114">
        <v>42.0</v>
      </c>
      <c r="AB26" s="114">
        <v>17.92</v>
      </c>
      <c r="AC26" s="114">
        <v>695.8</v>
      </c>
      <c r="AD26" s="114">
        <v>2.14</v>
      </c>
      <c r="AE26" s="114">
        <v>15.97</v>
      </c>
      <c r="AF26" s="114">
        <v>29.71</v>
      </c>
      <c r="AG26" s="114">
        <v>19.18</v>
      </c>
      <c r="AH26" s="116"/>
      <c r="AI26" s="62"/>
      <c r="AJ26" s="62"/>
      <c r="AK26" s="62"/>
      <c r="AL26" s="62"/>
      <c r="AM26" s="62"/>
      <c r="AN26" s="62"/>
      <c r="AO26" s="62"/>
      <c r="AP26" s="62"/>
      <c r="AQ26" s="62"/>
      <c r="AR26" s="116"/>
      <c r="AS26" s="62"/>
      <c r="AT26" s="62"/>
      <c r="AU26" s="62"/>
      <c r="AV26" s="62"/>
      <c r="AW26" s="62"/>
      <c r="AX26" s="62"/>
      <c r="AY26" s="62"/>
      <c r="AZ26" s="62"/>
      <c r="BA26" s="62"/>
    </row>
    <row r="27">
      <c r="A27" s="89" t="s">
        <v>1659</v>
      </c>
      <c r="B27" s="74">
        <v>45825.0</v>
      </c>
      <c r="C27" s="72" t="s">
        <v>1636</v>
      </c>
      <c r="D27" s="75">
        <v>0.9166666666666666</v>
      </c>
      <c r="E27" s="75">
        <v>0.75</v>
      </c>
      <c r="F27" s="117">
        <v>1.0</v>
      </c>
      <c r="G27" s="118">
        <v>45826.0</v>
      </c>
      <c r="H27" s="72" t="s">
        <v>1637</v>
      </c>
      <c r="I27" s="72" t="s">
        <v>1733</v>
      </c>
      <c r="J27" s="119"/>
      <c r="K27" s="70" t="s">
        <v>1638</v>
      </c>
      <c r="L27" s="114">
        <v>34.25</v>
      </c>
      <c r="M27" s="114">
        <v>-118.25</v>
      </c>
      <c r="N27" s="115">
        <v>2.0</v>
      </c>
      <c r="O27" s="114">
        <v>27.57</v>
      </c>
      <c r="P27" s="114">
        <v>10.97</v>
      </c>
      <c r="Q27" s="114">
        <v>35.0</v>
      </c>
      <c r="R27" s="114">
        <v>26.58</v>
      </c>
      <c r="S27" s="114">
        <v>254.0</v>
      </c>
      <c r="T27" s="114">
        <v>1.32</v>
      </c>
      <c r="U27" s="114">
        <v>19.91</v>
      </c>
      <c r="V27" s="114">
        <v>39.52</v>
      </c>
      <c r="W27" s="114">
        <v>24.6</v>
      </c>
      <c r="X27" s="115">
        <v>3.0</v>
      </c>
      <c r="Y27" s="114">
        <v>25.48</v>
      </c>
      <c r="Z27" s="114">
        <v>10.86</v>
      </c>
      <c r="AA27" s="114">
        <v>39.0</v>
      </c>
      <c r="AB27" s="114">
        <v>23.66</v>
      </c>
      <c r="AC27" s="114">
        <v>68.2</v>
      </c>
      <c r="AD27" s="114">
        <v>0.82</v>
      </c>
      <c r="AE27" s="114">
        <v>19.35</v>
      </c>
      <c r="AF27" s="114">
        <v>37.52</v>
      </c>
      <c r="AG27" s="114">
        <v>23.6</v>
      </c>
      <c r="AH27" s="116"/>
      <c r="AI27" s="62"/>
      <c r="AJ27" s="62"/>
      <c r="AK27" s="62"/>
      <c r="AL27" s="62"/>
      <c r="AM27" s="62"/>
      <c r="AN27" s="62"/>
      <c r="AO27" s="62"/>
      <c r="AP27" s="62"/>
      <c r="AQ27" s="62"/>
      <c r="AR27" s="116"/>
      <c r="AS27" s="62"/>
      <c r="AT27" s="62"/>
      <c r="AU27" s="62"/>
      <c r="AV27" s="62"/>
      <c r="AW27" s="62"/>
      <c r="AX27" s="62"/>
      <c r="AY27" s="62"/>
      <c r="AZ27" s="62"/>
      <c r="BA27" s="62"/>
    </row>
    <row r="28">
      <c r="A28" s="89" t="s">
        <v>1681</v>
      </c>
      <c r="B28" s="74">
        <v>45829.0</v>
      </c>
      <c r="C28" s="72" t="s">
        <v>1643</v>
      </c>
      <c r="D28" s="75">
        <v>0.6666666666666666</v>
      </c>
      <c r="E28" s="75">
        <v>0.5</v>
      </c>
      <c r="F28" s="117">
        <v>19.0</v>
      </c>
      <c r="G28" s="118">
        <v>45829.0</v>
      </c>
      <c r="H28" s="72" t="s">
        <v>312</v>
      </c>
      <c r="I28" s="72" t="s">
        <v>1733</v>
      </c>
      <c r="J28" s="119"/>
      <c r="K28" s="70" t="s">
        <v>1644</v>
      </c>
      <c r="L28" s="114">
        <v>47.5</v>
      </c>
      <c r="M28" s="114">
        <v>-122.25</v>
      </c>
      <c r="N28" s="115">
        <v>20.0</v>
      </c>
      <c r="O28" s="114">
        <v>12.42</v>
      </c>
      <c r="P28" s="114">
        <v>10.82</v>
      </c>
      <c r="Q28" s="114">
        <v>89.0</v>
      </c>
      <c r="R28" s="114">
        <v>10.94</v>
      </c>
      <c r="S28" s="114">
        <v>214.3</v>
      </c>
      <c r="T28" s="114">
        <v>2.04</v>
      </c>
      <c r="U28" s="114">
        <v>13.89</v>
      </c>
      <c r="V28" s="114">
        <v>22.51</v>
      </c>
      <c r="W28" s="114">
        <v>15.47</v>
      </c>
      <c r="X28" s="115">
        <v>21.0</v>
      </c>
      <c r="Y28" s="114">
        <v>13.06</v>
      </c>
      <c r="Z28" s="114">
        <v>11.28</v>
      </c>
      <c r="AA28" s="114">
        <v>88.0</v>
      </c>
      <c r="AB28" s="114">
        <v>11.37</v>
      </c>
      <c r="AC28" s="114">
        <v>342.4</v>
      </c>
      <c r="AD28" s="114">
        <v>1.77</v>
      </c>
      <c r="AE28" s="114">
        <v>14.4</v>
      </c>
      <c r="AF28" s="114">
        <v>23.57</v>
      </c>
      <c r="AG28" s="114">
        <v>16.1</v>
      </c>
      <c r="AH28" s="116"/>
      <c r="AI28" s="62"/>
      <c r="AJ28" s="62"/>
      <c r="AK28" s="62"/>
      <c r="AL28" s="62"/>
      <c r="AM28" s="62"/>
      <c r="AN28" s="62"/>
      <c r="AO28" s="62"/>
      <c r="AP28" s="62"/>
      <c r="AQ28" s="62"/>
      <c r="AR28" s="116"/>
      <c r="AS28" s="62"/>
      <c r="AT28" s="62"/>
      <c r="AU28" s="62"/>
      <c r="AV28" s="62"/>
      <c r="AW28" s="62"/>
      <c r="AX28" s="62"/>
      <c r="AY28" s="62"/>
      <c r="AZ28" s="62"/>
      <c r="BA28" s="62"/>
    </row>
    <row r="29">
      <c r="A29" s="89" t="s">
        <v>1683</v>
      </c>
      <c r="B29" s="74">
        <v>45829.0</v>
      </c>
      <c r="C29" s="72" t="s">
        <v>1636</v>
      </c>
      <c r="D29" s="75">
        <v>0.9166666666666666</v>
      </c>
      <c r="E29" s="75">
        <v>0.75</v>
      </c>
      <c r="F29" s="117">
        <v>1.0</v>
      </c>
      <c r="G29" s="118">
        <v>45830.0</v>
      </c>
      <c r="H29" s="72" t="s">
        <v>1637</v>
      </c>
      <c r="I29" s="72" t="s">
        <v>1733</v>
      </c>
      <c r="J29" s="119"/>
      <c r="K29" s="70" t="s">
        <v>1638</v>
      </c>
      <c r="L29" s="114">
        <v>34.25</v>
      </c>
      <c r="M29" s="114">
        <v>-118.25</v>
      </c>
      <c r="N29" s="115">
        <v>2.0</v>
      </c>
      <c r="O29" s="114">
        <v>20.21</v>
      </c>
      <c r="P29" s="114">
        <v>11.24</v>
      </c>
      <c r="Q29" s="114">
        <v>56.0</v>
      </c>
      <c r="R29" s="114">
        <v>17.49</v>
      </c>
      <c r="S29" s="114">
        <v>255.0</v>
      </c>
      <c r="T29" s="114">
        <v>1.78</v>
      </c>
      <c r="U29" s="114">
        <v>17.44</v>
      </c>
      <c r="V29" s="114">
        <v>30.66</v>
      </c>
      <c r="W29" s="114">
        <v>20.36</v>
      </c>
      <c r="X29" s="115">
        <v>3.0</v>
      </c>
      <c r="Y29" s="114">
        <v>18.65</v>
      </c>
      <c r="Z29" s="114">
        <v>12.03</v>
      </c>
      <c r="AA29" s="114">
        <v>65.0</v>
      </c>
      <c r="AB29" s="114">
        <v>15.96</v>
      </c>
      <c r="AC29" s="114">
        <v>69.6</v>
      </c>
      <c r="AD29" s="114">
        <v>1.26</v>
      </c>
      <c r="AE29" s="114">
        <v>17.26</v>
      </c>
      <c r="AF29" s="114">
        <v>29.81</v>
      </c>
      <c r="AG29" s="114">
        <v>19.91</v>
      </c>
      <c r="AH29" s="116"/>
      <c r="AI29" s="62"/>
      <c r="AJ29" s="62"/>
      <c r="AK29" s="62"/>
      <c r="AL29" s="62"/>
      <c r="AM29" s="62"/>
      <c r="AN29" s="62"/>
      <c r="AO29" s="62"/>
      <c r="AP29" s="62"/>
      <c r="AQ29" s="62"/>
      <c r="AR29" s="116"/>
      <c r="AS29" s="62"/>
      <c r="AT29" s="62"/>
      <c r="AU29" s="62"/>
      <c r="AV29" s="62"/>
      <c r="AW29" s="62"/>
      <c r="AX29" s="62"/>
      <c r="AY29" s="62"/>
      <c r="AZ29" s="62"/>
      <c r="BA29" s="62"/>
    </row>
    <row r="30">
      <c r="A30" s="89" t="s">
        <v>1703</v>
      </c>
      <c r="B30" s="74">
        <v>45833.0</v>
      </c>
      <c r="C30" s="72" t="s">
        <v>1643</v>
      </c>
      <c r="D30" s="75">
        <v>0.9166666666666666</v>
      </c>
      <c r="E30" s="75">
        <v>0.75</v>
      </c>
      <c r="F30" s="117">
        <v>1.0</v>
      </c>
      <c r="G30" s="118">
        <v>45834.0</v>
      </c>
      <c r="H30" s="72" t="s">
        <v>312</v>
      </c>
      <c r="I30" s="72" t="s">
        <v>1733</v>
      </c>
      <c r="J30" s="119"/>
      <c r="K30" s="70" t="s">
        <v>1644</v>
      </c>
      <c r="L30" s="114">
        <v>47.5</v>
      </c>
      <c r="M30" s="114">
        <v>-122.25</v>
      </c>
      <c r="N30" s="115">
        <v>2.0</v>
      </c>
      <c r="O30" s="114">
        <v>20.01</v>
      </c>
      <c r="P30" s="114">
        <v>10.95</v>
      </c>
      <c r="Q30" s="114">
        <v>55.0</v>
      </c>
      <c r="R30" s="114">
        <v>17.29</v>
      </c>
      <c r="S30" s="114">
        <v>235.7</v>
      </c>
      <c r="T30" s="114">
        <v>1.67</v>
      </c>
      <c r="U30" s="114">
        <v>17.28</v>
      </c>
      <c r="V30" s="114">
        <v>30.46</v>
      </c>
      <c r="W30" s="114">
        <v>20.19</v>
      </c>
      <c r="X30" s="115">
        <v>3.0</v>
      </c>
      <c r="Y30" s="114">
        <v>19.57</v>
      </c>
      <c r="Z30" s="114">
        <v>11.8</v>
      </c>
      <c r="AA30" s="114">
        <v>60.0</v>
      </c>
      <c r="AB30" s="114">
        <v>16.84</v>
      </c>
      <c r="AC30" s="114">
        <v>158.6</v>
      </c>
      <c r="AD30" s="114">
        <v>1.34</v>
      </c>
      <c r="AE30" s="114">
        <v>17.52</v>
      </c>
      <c r="AF30" s="114">
        <v>30.6</v>
      </c>
      <c r="AG30" s="114">
        <v>20.34</v>
      </c>
      <c r="AH30" s="116"/>
      <c r="AI30" s="62"/>
      <c r="AJ30" s="62"/>
      <c r="AK30" s="62"/>
      <c r="AL30" s="62"/>
      <c r="AM30" s="62"/>
      <c r="AN30" s="62"/>
      <c r="AO30" s="62"/>
      <c r="AP30" s="62"/>
      <c r="AQ30" s="62"/>
      <c r="AR30" s="116"/>
      <c r="AS30" s="62"/>
      <c r="AT30" s="62"/>
      <c r="AU30" s="62"/>
      <c r="AV30" s="62"/>
      <c r="AW30" s="62"/>
      <c r="AX30" s="62"/>
      <c r="AY30" s="62"/>
      <c r="AZ30" s="62"/>
      <c r="BA30" s="62"/>
    </row>
    <row r="31">
      <c r="A31" s="89" t="s">
        <v>1704</v>
      </c>
      <c r="B31" s="74">
        <v>45833.0</v>
      </c>
      <c r="C31" s="72" t="s">
        <v>1636</v>
      </c>
      <c r="D31" s="75">
        <v>0.9166666666666666</v>
      </c>
      <c r="E31" s="75">
        <v>0.75</v>
      </c>
      <c r="F31" s="117">
        <v>1.0</v>
      </c>
      <c r="G31" s="118">
        <v>45834.0</v>
      </c>
      <c r="H31" s="72" t="s">
        <v>1637</v>
      </c>
      <c r="I31" s="72" t="s">
        <v>1733</v>
      </c>
      <c r="J31" s="119"/>
      <c r="K31" s="70" t="s">
        <v>1638</v>
      </c>
      <c r="L31" s="114">
        <v>34.25</v>
      </c>
      <c r="M31" s="114">
        <v>-118.25</v>
      </c>
      <c r="N31" s="115">
        <v>2.0</v>
      </c>
      <c r="O31" s="114">
        <v>24.16</v>
      </c>
      <c r="P31" s="114">
        <v>11.88</v>
      </c>
      <c r="Q31" s="114">
        <v>46.0</v>
      </c>
      <c r="R31" s="114">
        <v>21.96</v>
      </c>
      <c r="S31" s="114">
        <v>252.9</v>
      </c>
      <c r="T31" s="114">
        <v>1.36</v>
      </c>
      <c r="U31" s="114">
        <v>19.21</v>
      </c>
      <c r="V31" s="114">
        <v>35.67</v>
      </c>
      <c r="W31" s="114">
        <v>23.0</v>
      </c>
      <c r="X31" s="115">
        <v>3.0</v>
      </c>
      <c r="Y31" s="114">
        <v>22.51</v>
      </c>
      <c r="Z31" s="114">
        <v>12.34</v>
      </c>
      <c r="AA31" s="114">
        <v>52.0</v>
      </c>
      <c r="AB31" s="114">
        <v>19.99</v>
      </c>
      <c r="AC31" s="114">
        <v>69.9</v>
      </c>
      <c r="AD31" s="114">
        <v>0.76</v>
      </c>
      <c r="AE31" s="114">
        <v>18.98</v>
      </c>
      <c r="AF31" s="114">
        <v>34.56</v>
      </c>
      <c r="AG31" s="114">
        <v>22.45</v>
      </c>
      <c r="AH31" s="116"/>
      <c r="AI31" s="62"/>
      <c r="AJ31" s="62"/>
      <c r="AK31" s="62"/>
      <c r="AL31" s="62"/>
      <c r="AM31" s="62"/>
      <c r="AN31" s="62"/>
      <c r="AO31" s="62"/>
      <c r="AP31" s="62"/>
      <c r="AQ31" s="62"/>
      <c r="AR31" s="116"/>
      <c r="AS31" s="62"/>
      <c r="AT31" s="62"/>
      <c r="AU31" s="62"/>
      <c r="AV31" s="62"/>
      <c r="AW31" s="62"/>
      <c r="AX31" s="62"/>
      <c r="AY31" s="62"/>
      <c r="AZ31" s="62"/>
      <c r="BA31" s="62"/>
    </row>
    <row r="32">
      <c r="A32" s="86" t="s">
        <v>1653</v>
      </c>
      <c r="B32" s="74">
        <v>45825.0</v>
      </c>
      <c r="C32" s="78" t="s">
        <v>1640</v>
      </c>
      <c r="D32" s="75">
        <v>0.5416666666666666</v>
      </c>
      <c r="E32" s="75">
        <v>0.5</v>
      </c>
      <c r="F32" s="117">
        <v>16.0</v>
      </c>
      <c r="G32" s="118">
        <v>45825.0</v>
      </c>
      <c r="H32" s="72" t="s">
        <v>249</v>
      </c>
      <c r="I32" s="72" t="s">
        <v>1733</v>
      </c>
      <c r="J32" s="119"/>
      <c r="K32" s="70" t="s">
        <v>1641</v>
      </c>
      <c r="L32" s="114">
        <v>40.75</v>
      </c>
      <c r="M32" s="114">
        <v>-74.0</v>
      </c>
      <c r="N32" s="115">
        <v>17.0</v>
      </c>
      <c r="O32" s="114">
        <v>19.84</v>
      </c>
      <c r="P32" s="114">
        <v>17.96</v>
      </c>
      <c r="Q32" s="114">
        <v>88.0</v>
      </c>
      <c r="R32" s="114">
        <v>17.11</v>
      </c>
      <c r="S32" s="114">
        <v>115.9</v>
      </c>
      <c r="T32" s="114">
        <v>1.51</v>
      </c>
      <c r="U32" s="114">
        <v>19.61</v>
      </c>
      <c r="V32" s="114">
        <v>33.16</v>
      </c>
      <c r="W32" s="114">
        <v>22.34</v>
      </c>
      <c r="X32" s="115">
        <v>18.0</v>
      </c>
      <c r="Y32" s="114">
        <v>19.89</v>
      </c>
      <c r="Z32" s="114">
        <v>18.31</v>
      </c>
      <c r="AA32" s="114">
        <v>90.0</v>
      </c>
      <c r="AB32" s="114">
        <v>17.16</v>
      </c>
      <c r="AC32" s="114">
        <v>99.0</v>
      </c>
      <c r="AD32" s="114">
        <v>1.48</v>
      </c>
      <c r="AE32" s="114">
        <v>19.74</v>
      </c>
      <c r="AF32" s="114">
        <v>33.4</v>
      </c>
      <c r="AG32" s="114">
        <v>22.49</v>
      </c>
      <c r="AH32" s="116"/>
      <c r="AI32" s="62"/>
      <c r="AJ32" s="62"/>
      <c r="AK32" s="62"/>
      <c r="AL32" s="62"/>
      <c r="AM32" s="62"/>
      <c r="AN32" s="62"/>
      <c r="AO32" s="62"/>
      <c r="AP32" s="62"/>
      <c r="AQ32" s="62"/>
      <c r="AR32" s="116"/>
      <c r="AS32" s="62"/>
      <c r="AT32" s="62"/>
      <c r="AU32" s="62"/>
      <c r="AV32" s="62"/>
      <c r="AW32" s="62"/>
      <c r="AX32" s="62"/>
      <c r="AY32" s="62"/>
      <c r="AZ32" s="62"/>
      <c r="BA32" s="62"/>
    </row>
    <row r="33">
      <c r="A33" s="89" t="s">
        <v>1655</v>
      </c>
      <c r="B33" s="74">
        <v>45825.0</v>
      </c>
      <c r="C33" s="66" t="s">
        <v>1656</v>
      </c>
      <c r="D33" s="75">
        <v>0.7916666666666666</v>
      </c>
      <c r="E33" s="75">
        <v>0.75</v>
      </c>
      <c r="F33" s="117">
        <v>22.0</v>
      </c>
      <c r="G33" s="118">
        <v>45825.0</v>
      </c>
      <c r="H33" s="66" t="s">
        <v>686</v>
      </c>
      <c r="I33" s="66" t="s">
        <v>1733</v>
      </c>
      <c r="J33" s="90" t="s">
        <v>1657</v>
      </c>
      <c r="K33" s="70" t="s">
        <v>1658</v>
      </c>
      <c r="L33" s="114">
        <v>28.5</v>
      </c>
      <c r="M33" s="114">
        <v>-81.5</v>
      </c>
      <c r="N33" s="115">
        <v>23.0</v>
      </c>
      <c r="O33" s="114">
        <v>30.02</v>
      </c>
      <c r="P33" s="114">
        <v>22.38</v>
      </c>
      <c r="Q33" s="114">
        <v>63.0</v>
      </c>
      <c r="R33" s="114">
        <v>30.39</v>
      </c>
      <c r="S33" s="114">
        <v>229.5</v>
      </c>
      <c r="T33" s="114">
        <v>2.56</v>
      </c>
      <c r="U33" s="114">
        <v>25.14</v>
      </c>
      <c r="V33" s="114">
        <v>43.96</v>
      </c>
      <c r="W33" s="114">
        <v>29.39</v>
      </c>
      <c r="X33" s="115" t="s">
        <v>1734</v>
      </c>
      <c r="Y33" s="114">
        <v>28.98</v>
      </c>
      <c r="Z33" s="114">
        <v>22.24</v>
      </c>
      <c r="AA33" s="114">
        <v>66.0</v>
      </c>
      <c r="AB33" s="114">
        <v>28.72</v>
      </c>
      <c r="AC33" s="114">
        <v>83.5</v>
      </c>
      <c r="AD33" s="114">
        <v>2.86</v>
      </c>
      <c r="AE33" s="114">
        <v>24.6</v>
      </c>
      <c r="AF33" s="114">
        <v>42.5</v>
      </c>
      <c r="AG33" s="114">
        <v>28.62</v>
      </c>
      <c r="AH33" s="115" t="s">
        <v>1736</v>
      </c>
      <c r="AI33" s="114">
        <v>28.0</v>
      </c>
      <c r="AJ33" s="114">
        <v>22.59</v>
      </c>
      <c r="AK33" s="114">
        <v>72.0</v>
      </c>
      <c r="AL33" s="114">
        <v>27.22</v>
      </c>
      <c r="AM33" s="114">
        <v>4.5</v>
      </c>
      <c r="AN33" s="114">
        <v>2.51</v>
      </c>
      <c r="AO33" s="114">
        <v>24.42</v>
      </c>
      <c r="AP33" s="114">
        <v>41.98</v>
      </c>
      <c r="AQ33" s="114">
        <v>28.29</v>
      </c>
      <c r="AR33" s="116"/>
      <c r="AS33" s="62"/>
      <c r="AT33" s="62"/>
      <c r="AU33" s="62"/>
      <c r="AV33" s="62"/>
      <c r="AW33" s="62"/>
      <c r="AX33" s="62"/>
      <c r="AY33" s="62"/>
      <c r="AZ33" s="62"/>
      <c r="BA33" s="62"/>
    </row>
    <row r="34">
      <c r="A34" s="89" t="s">
        <v>1680</v>
      </c>
      <c r="B34" s="74">
        <v>45829.0</v>
      </c>
      <c r="C34" s="66" t="s">
        <v>1633</v>
      </c>
      <c r="D34" s="75">
        <v>0.5416666666666666</v>
      </c>
      <c r="E34" s="75">
        <v>0.5</v>
      </c>
      <c r="F34" s="117">
        <v>16.0</v>
      </c>
      <c r="G34" s="118">
        <v>45829.0</v>
      </c>
      <c r="H34" s="66" t="s">
        <v>122</v>
      </c>
      <c r="I34" s="66" t="s">
        <v>1733</v>
      </c>
      <c r="J34" s="124"/>
      <c r="K34" s="70" t="s">
        <v>1634</v>
      </c>
      <c r="L34" s="114">
        <v>39.0</v>
      </c>
      <c r="M34" s="114">
        <v>-84.5</v>
      </c>
      <c r="N34" s="115">
        <v>17.0</v>
      </c>
      <c r="O34" s="114">
        <v>30.83</v>
      </c>
      <c r="P34" s="114">
        <v>20.86</v>
      </c>
      <c r="Q34" s="114">
        <v>55.0</v>
      </c>
      <c r="R34" s="114">
        <v>31.75</v>
      </c>
      <c r="S34" s="114">
        <v>913.3</v>
      </c>
      <c r="T34" s="114">
        <v>2.01</v>
      </c>
      <c r="U34" s="114">
        <v>25.0</v>
      </c>
      <c r="V34" s="114">
        <v>44.95</v>
      </c>
      <c r="W34" s="114">
        <v>29.57</v>
      </c>
      <c r="X34" s="115">
        <v>18.0</v>
      </c>
      <c r="Y34" s="114">
        <v>31.49</v>
      </c>
      <c r="Z34" s="114">
        <v>20.8</v>
      </c>
      <c r="AA34" s="114">
        <v>53.0</v>
      </c>
      <c r="AB34" s="114">
        <v>32.9</v>
      </c>
      <c r="AC34" s="114">
        <v>955.4</v>
      </c>
      <c r="AD34" s="114">
        <v>2.3</v>
      </c>
      <c r="AE34" s="114">
        <v>25.13</v>
      </c>
      <c r="AF34" s="114">
        <v>45.37</v>
      </c>
      <c r="AG34" s="114">
        <v>29.81</v>
      </c>
      <c r="AH34" s="116"/>
      <c r="AI34" s="62"/>
      <c r="AJ34" s="62"/>
      <c r="AK34" s="62"/>
      <c r="AL34" s="62"/>
      <c r="AM34" s="62"/>
      <c r="AN34" s="62"/>
      <c r="AO34" s="62"/>
      <c r="AP34" s="62"/>
      <c r="AQ34" s="62"/>
      <c r="AR34" s="116"/>
      <c r="AS34" s="62"/>
      <c r="AT34" s="62"/>
      <c r="AU34" s="62"/>
      <c r="AV34" s="62"/>
      <c r="AW34" s="62"/>
      <c r="AX34" s="62"/>
      <c r="AY34" s="62"/>
      <c r="AZ34" s="62"/>
      <c r="BA34" s="62"/>
    </row>
    <row r="35">
      <c r="A35" s="89" t="s">
        <v>1682</v>
      </c>
      <c r="B35" s="74">
        <v>45829.0</v>
      </c>
      <c r="C35" s="78" t="s">
        <v>1640</v>
      </c>
      <c r="D35" s="75">
        <v>0.7916666666666666</v>
      </c>
      <c r="E35" s="75">
        <v>0.75</v>
      </c>
      <c r="F35" s="117">
        <v>22.0</v>
      </c>
      <c r="G35" s="118">
        <v>45829.0</v>
      </c>
      <c r="H35" s="72" t="s">
        <v>249</v>
      </c>
      <c r="I35" s="72" t="s">
        <v>1733</v>
      </c>
      <c r="J35" s="119"/>
      <c r="K35" s="70" t="s">
        <v>1641</v>
      </c>
      <c r="L35" s="114">
        <v>40.75</v>
      </c>
      <c r="M35" s="114">
        <v>-74.0</v>
      </c>
      <c r="N35" s="115">
        <v>23.0</v>
      </c>
      <c r="O35" s="114">
        <v>28.98</v>
      </c>
      <c r="P35" s="114">
        <v>17.48</v>
      </c>
      <c r="Q35" s="114">
        <v>49.0</v>
      </c>
      <c r="R35" s="114">
        <v>28.71</v>
      </c>
      <c r="S35" s="114">
        <v>179.8</v>
      </c>
      <c r="T35" s="114">
        <v>1.8</v>
      </c>
      <c r="U35" s="114">
        <v>23.04</v>
      </c>
      <c r="V35" s="114">
        <v>42.16</v>
      </c>
      <c r="W35" s="114">
        <v>27.46</v>
      </c>
      <c r="X35" s="115" t="s">
        <v>1734</v>
      </c>
      <c r="Y35" s="114">
        <v>28.62</v>
      </c>
      <c r="Z35" s="114">
        <v>18.51</v>
      </c>
      <c r="AA35" s="114">
        <v>54.0</v>
      </c>
      <c r="AB35" s="114">
        <v>28.15</v>
      </c>
      <c r="AC35" s="114">
        <v>62.8</v>
      </c>
      <c r="AD35" s="114">
        <v>1.78</v>
      </c>
      <c r="AE35" s="114">
        <v>23.33</v>
      </c>
      <c r="AF35" s="114">
        <v>42.05</v>
      </c>
      <c r="AG35" s="114">
        <v>27.61</v>
      </c>
      <c r="AH35" s="116"/>
      <c r="AI35" s="62"/>
      <c r="AJ35" s="62"/>
      <c r="AK35" s="62"/>
      <c r="AL35" s="62"/>
      <c r="AM35" s="62"/>
      <c r="AN35" s="62"/>
      <c r="AO35" s="62"/>
      <c r="AP35" s="62"/>
      <c r="AQ35" s="62"/>
      <c r="AR35" s="116"/>
      <c r="AS35" s="62"/>
      <c r="AT35" s="62"/>
      <c r="AU35" s="62"/>
      <c r="AV35" s="62"/>
      <c r="AW35" s="62"/>
      <c r="AX35" s="62"/>
      <c r="AY35" s="62"/>
      <c r="AZ35" s="62"/>
      <c r="BA35" s="62"/>
    </row>
    <row r="36">
      <c r="A36" s="89" t="s">
        <v>1701</v>
      </c>
      <c r="B36" s="74">
        <v>45833.0</v>
      </c>
      <c r="C36" s="66" t="s">
        <v>1633</v>
      </c>
      <c r="D36" s="75">
        <v>0.6666666666666666</v>
      </c>
      <c r="E36" s="75">
        <v>0.625</v>
      </c>
      <c r="F36" s="117">
        <v>19.0</v>
      </c>
      <c r="G36" s="118">
        <v>45833.0</v>
      </c>
      <c r="H36" s="66" t="s">
        <v>122</v>
      </c>
      <c r="I36" s="66" t="s">
        <v>1733</v>
      </c>
      <c r="J36" s="124"/>
      <c r="K36" s="70" t="s">
        <v>1634</v>
      </c>
      <c r="L36" s="114">
        <v>39.0</v>
      </c>
      <c r="M36" s="114">
        <v>-84.5</v>
      </c>
      <c r="N36" s="115">
        <v>20.0</v>
      </c>
      <c r="O36" s="114">
        <v>30.18</v>
      </c>
      <c r="P36" s="114">
        <v>22.8</v>
      </c>
      <c r="Q36" s="114">
        <v>64.0</v>
      </c>
      <c r="R36" s="114">
        <v>30.65</v>
      </c>
      <c r="S36" s="114">
        <v>643.8</v>
      </c>
      <c r="T36" s="114">
        <v>1.54</v>
      </c>
      <c r="U36" s="114">
        <v>25.62</v>
      </c>
      <c r="V36" s="114">
        <v>45.32</v>
      </c>
      <c r="W36" s="114">
        <v>30.02</v>
      </c>
      <c r="X36" s="115">
        <v>21.0</v>
      </c>
      <c r="Y36" s="114">
        <v>30.89</v>
      </c>
      <c r="Z36" s="114">
        <v>22.72</v>
      </c>
      <c r="AA36" s="114">
        <v>61.0</v>
      </c>
      <c r="AB36" s="114">
        <v>31.85</v>
      </c>
      <c r="AC36" s="114">
        <v>581.4</v>
      </c>
      <c r="AD36" s="114">
        <v>1.61</v>
      </c>
      <c r="AE36" s="114">
        <v>25.84</v>
      </c>
      <c r="AF36" s="114">
        <v>45.97</v>
      </c>
      <c r="AG36" s="114">
        <v>30.37</v>
      </c>
      <c r="AH36" s="120"/>
      <c r="AI36" s="121"/>
      <c r="AJ36" s="121"/>
      <c r="AK36" s="121"/>
      <c r="AL36" s="121"/>
      <c r="AM36" s="121"/>
      <c r="AN36" s="121"/>
      <c r="AO36" s="121"/>
      <c r="AP36" s="121"/>
      <c r="AQ36" s="62"/>
      <c r="AR36" s="116"/>
      <c r="AS36" s="62"/>
      <c r="AT36" s="62"/>
      <c r="AU36" s="62"/>
      <c r="AV36" s="62"/>
      <c r="AW36" s="62"/>
      <c r="AX36" s="62"/>
      <c r="AY36" s="62"/>
      <c r="AZ36" s="62"/>
      <c r="BA36" s="62"/>
    </row>
    <row r="37">
      <c r="A37" s="89" t="s">
        <v>1702</v>
      </c>
      <c r="B37" s="74">
        <v>45833.0</v>
      </c>
      <c r="C37" s="66" t="s">
        <v>1629</v>
      </c>
      <c r="D37" s="75">
        <v>0.6666666666666666</v>
      </c>
      <c r="E37" s="75">
        <v>0.625</v>
      </c>
      <c r="F37" s="117">
        <v>19.0</v>
      </c>
      <c r="G37" s="118">
        <v>45833.0</v>
      </c>
      <c r="H37" s="66" t="s">
        <v>62</v>
      </c>
      <c r="I37" s="66" t="s">
        <v>1733</v>
      </c>
      <c r="J37" s="124"/>
      <c r="K37" s="70" t="s">
        <v>1658</v>
      </c>
      <c r="L37" s="114">
        <v>28.5</v>
      </c>
      <c r="M37" s="114">
        <v>-81.5</v>
      </c>
      <c r="N37" s="115">
        <v>20.0</v>
      </c>
      <c r="O37" s="114">
        <v>32.12</v>
      </c>
      <c r="P37" s="114">
        <v>22.53</v>
      </c>
      <c r="Q37" s="114">
        <v>56.0</v>
      </c>
      <c r="R37" s="114">
        <v>34.02</v>
      </c>
      <c r="S37" s="114">
        <v>752.9</v>
      </c>
      <c r="T37" s="114">
        <v>1.63</v>
      </c>
      <c r="U37" s="114">
        <v>26.22</v>
      </c>
      <c r="V37" s="114">
        <v>47.24</v>
      </c>
      <c r="W37" s="114">
        <v>31.01</v>
      </c>
      <c r="X37" s="115">
        <v>21.0</v>
      </c>
      <c r="Y37" s="114">
        <v>30.56</v>
      </c>
      <c r="Z37" s="114">
        <v>21.05</v>
      </c>
      <c r="AA37" s="114">
        <v>56.0</v>
      </c>
      <c r="AB37" s="114">
        <v>31.28</v>
      </c>
      <c r="AC37" s="114">
        <v>600.4</v>
      </c>
      <c r="AD37" s="114">
        <v>1.92</v>
      </c>
      <c r="AE37" s="114">
        <v>25.0</v>
      </c>
      <c r="AF37" s="114">
        <v>44.79</v>
      </c>
      <c r="AG37" s="114">
        <v>29.51</v>
      </c>
      <c r="AH37" s="116"/>
      <c r="AI37" s="62"/>
      <c r="AJ37" s="62"/>
      <c r="AK37" s="62"/>
      <c r="AL37" s="62"/>
      <c r="AM37" s="62"/>
      <c r="AN37" s="62"/>
      <c r="AO37" s="62"/>
      <c r="AP37" s="62"/>
      <c r="AQ37" s="62"/>
      <c r="AR37" s="116"/>
      <c r="AS37" s="62"/>
      <c r="AT37" s="62"/>
      <c r="AU37" s="62"/>
      <c r="AV37" s="62"/>
      <c r="AW37" s="62"/>
      <c r="AX37" s="62"/>
      <c r="AY37" s="62"/>
      <c r="AZ37" s="62"/>
      <c r="BA37" s="62"/>
    </row>
    <row r="38">
      <c r="A38" s="89" t="s">
        <v>1660</v>
      </c>
      <c r="B38" s="74">
        <v>45826.0</v>
      </c>
      <c r="C38" s="66" t="s">
        <v>1651</v>
      </c>
      <c r="D38" s="75">
        <v>0.5416666666666666</v>
      </c>
      <c r="E38" s="75">
        <v>0.5</v>
      </c>
      <c r="F38" s="117">
        <v>16.0</v>
      </c>
      <c r="G38" s="118">
        <v>45826.0</v>
      </c>
      <c r="H38" s="66" t="s">
        <v>500</v>
      </c>
      <c r="I38" s="66" t="s">
        <v>1733</v>
      </c>
      <c r="J38" s="124"/>
      <c r="K38" s="70" t="s">
        <v>1652</v>
      </c>
      <c r="L38" s="114">
        <v>40.0</v>
      </c>
      <c r="M38" s="114">
        <v>-75.25</v>
      </c>
      <c r="N38" s="115">
        <v>17.0</v>
      </c>
      <c r="O38" s="114">
        <v>27.93</v>
      </c>
      <c r="P38" s="114">
        <v>22.19</v>
      </c>
      <c r="Q38" s="114">
        <v>70.0</v>
      </c>
      <c r="R38" s="114">
        <v>27.1</v>
      </c>
      <c r="S38" s="114">
        <v>281.4</v>
      </c>
      <c r="T38" s="114">
        <v>1.18</v>
      </c>
      <c r="U38" s="114">
        <v>24.61</v>
      </c>
      <c r="V38" s="114">
        <v>43.11</v>
      </c>
      <c r="W38" s="114">
        <v>28.64</v>
      </c>
      <c r="X38" s="115">
        <v>18.0</v>
      </c>
      <c r="Y38" s="114">
        <v>28.54</v>
      </c>
      <c r="Z38" s="114">
        <v>22.26</v>
      </c>
      <c r="AA38" s="114">
        <v>68.0</v>
      </c>
      <c r="AB38" s="114">
        <v>28.03</v>
      </c>
      <c r="AC38" s="114">
        <v>274.0</v>
      </c>
      <c r="AD38" s="114">
        <v>0.8</v>
      </c>
      <c r="AE38" s="114">
        <v>24.98</v>
      </c>
      <c r="AF38" s="114">
        <v>44.16</v>
      </c>
      <c r="AG38" s="114">
        <v>29.17</v>
      </c>
      <c r="AH38" s="116"/>
      <c r="AI38" s="62"/>
      <c r="AJ38" s="62"/>
      <c r="AK38" s="62"/>
      <c r="AL38" s="62"/>
      <c r="AM38" s="62"/>
      <c r="AN38" s="62"/>
      <c r="AO38" s="62"/>
      <c r="AP38" s="62"/>
      <c r="AQ38" s="62"/>
      <c r="AR38" s="116"/>
      <c r="AS38" s="62"/>
      <c r="AT38" s="62"/>
      <c r="AU38" s="62"/>
      <c r="AV38" s="62"/>
      <c r="AW38" s="62"/>
      <c r="AX38" s="62"/>
      <c r="AY38" s="62"/>
      <c r="AZ38" s="62"/>
      <c r="BA38" s="62"/>
    </row>
    <row r="39">
      <c r="A39" s="89" t="s">
        <v>1664</v>
      </c>
      <c r="B39" s="74">
        <v>45826.0</v>
      </c>
      <c r="C39" s="78" t="s">
        <v>1665</v>
      </c>
      <c r="D39" s="75">
        <v>0.9166666666666666</v>
      </c>
      <c r="E39" s="75">
        <v>0.875</v>
      </c>
      <c r="F39" s="117">
        <v>1.0</v>
      </c>
      <c r="G39" s="118">
        <v>45827.0</v>
      </c>
      <c r="H39" s="78" t="s">
        <v>997</v>
      </c>
      <c r="I39" s="72" t="s">
        <v>1733</v>
      </c>
      <c r="J39" s="119"/>
      <c r="K39" s="70" t="s">
        <v>1666</v>
      </c>
      <c r="L39" s="114">
        <v>38.75</v>
      </c>
      <c r="M39" s="114">
        <v>-77.0</v>
      </c>
      <c r="N39" s="115">
        <v>2.0</v>
      </c>
      <c r="O39" s="114">
        <v>25.44</v>
      </c>
      <c r="P39" s="114">
        <v>23.89</v>
      </c>
      <c r="Q39" s="114">
        <v>91.0</v>
      </c>
      <c r="R39" s="114">
        <v>23.59</v>
      </c>
      <c r="S39" s="114">
        <v>0.0</v>
      </c>
      <c r="T39" s="114">
        <v>1.85</v>
      </c>
      <c r="U39" s="114">
        <v>23.88</v>
      </c>
      <c r="V39" s="114">
        <v>40.69</v>
      </c>
      <c r="W39" s="114">
        <v>27.4</v>
      </c>
      <c r="X39" s="115">
        <v>3.0</v>
      </c>
      <c r="Y39" s="114">
        <v>25.51</v>
      </c>
      <c r="Z39" s="114">
        <v>23.5</v>
      </c>
      <c r="AA39" s="114">
        <v>88.0</v>
      </c>
      <c r="AB39" s="114">
        <v>23.7</v>
      </c>
      <c r="AC39" s="114">
        <v>0.0</v>
      </c>
      <c r="AD39" s="114">
        <v>1.91</v>
      </c>
      <c r="AE39" s="114">
        <v>23.79</v>
      </c>
      <c r="AF39" s="114">
        <v>40.53</v>
      </c>
      <c r="AG39" s="114">
        <v>27.31</v>
      </c>
      <c r="AH39" s="116"/>
      <c r="AI39" s="62"/>
      <c r="AJ39" s="62"/>
      <c r="AK39" s="62"/>
      <c r="AL39" s="62"/>
      <c r="AM39" s="62"/>
      <c r="AN39" s="62"/>
      <c r="AO39" s="62"/>
      <c r="AP39" s="62"/>
      <c r="AQ39" s="62"/>
      <c r="AR39" s="116"/>
      <c r="AS39" s="62"/>
      <c r="AT39" s="62"/>
      <c r="AU39" s="62"/>
      <c r="AV39" s="62"/>
      <c r="AW39" s="62"/>
      <c r="AX39" s="62"/>
      <c r="AY39" s="62"/>
      <c r="AZ39" s="62"/>
      <c r="BA39" s="62"/>
    </row>
    <row r="40">
      <c r="A40" s="89" t="s">
        <v>1684</v>
      </c>
      <c r="B40" s="74">
        <v>45830.0</v>
      </c>
      <c r="C40" s="66" t="s">
        <v>1651</v>
      </c>
      <c r="D40" s="75">
        <v>0.5416666666666666</v>
      </c>
      <c r="E40" s="75">
        <v>0.5</v>
      </c>
      <c r="F40" s="117">
        <v>16.0</v>
      </c>
      <c r="G40" s="118">
        <v>45830.0</v>
      </c>
      <c r="H40" s="66" t="s">
        <v>500</v>
      </c>
      <c r="I40" s="66" t="s">
        <v>1733</v>
      </c>
      <c r="J40" s="124"/>
      <c r="K40" s="70" t="s">
        <v>1652</v>
      </c>
      <c r="L40" s="114">
        <v>40.0</v>
      </c>
      <c r="M40" s="114">
        <v>-75.25</v>
      </c>
      <c r="N40" s="115">
        <v>17.0</v>
      </c>
      <c r="O40" s="114">
        <v>29.24</v>
      </c>
      <c r="P40" s="114">
        <v>21.73</v>
      </c>
      <c r="Q40" s="114">
        <v>63.0</v>
      </c>
      <c r="R40" s="114">
        <v>29.13</v>
      </c>
      <c r="S40" s="114">
        <v>485.1</v>
      </c>
      <c r="T40" s="114">
        <v>2.51</v>
      </c>
      <c r="U40" s="114">
        <v>24.61</v>
      </c>
      <c r="V40" s="114">
        <v>42.97</v>
      </c>
      <c r="W40" s="114">
        <v>28.75</v>
      </c>
      <c r="X40" s="115">
        <v>18.0</v>
      </c>
      <c r="Y40" s="114">
        <v>29.76</v>
      </c>
      <c r="Z40" s="114">
        <v>21.9</v>
      </c>
      <c r="AA40" s="114">
        <v>62.0</v>
      </c>
      <c r="AB40" s="114">
        <v>29.95</v>
      </c>
      <c r="AC40" s="114">
        <v>497.4</v>
      </c>
      <c r="AD40" s="114">
        <v>2.78</v>
      </c>
      <c r="AE40" s="114">
        <v>24.8</v>
      </c>
      <c r="AF40" s="114">
        <v>43.3</v>
      </c>
      <c r="AG40" s="114">
        <v>28.99</v>
      </c>
      <c r="AH40" s="116"/>
      <c r="AI40" s="62"/>
      <c r="AJ40" s="62"/>
      <c r="AK40" s="62"/>
      <c r="AL40" s="62"/>
      <c r="AM40" s="62"/>
      <c r="AN40" s="62"/>
      <c r="AO40" s="62"/>
      <c r="AP40" s="62"/>
      <c r="AQ40" s="62"/>
      <c r="AR40" s="116"/>
      <c r="AS40" s="62"/>
      <c r="AT40" s="62"/>
      <c r="AU40" s="62"/>
      <c r="AV40" s="62"/>
      <c r="AW40" s="62"/>
      <c r="AX40" s="62"/>
      <c r="AY40" s="62"/>
      <c r="AZ40" s="62"/>
      <c r="BA40" s="62"/>
    </row>
    <row r="41">
      <c r="A41" s="89" t="s">
        <v>1689</v>
      </c>
      <c r="B41" s="74">
        <v>45830.0</v>
      </c>
      <c r="C41" s="66" t="s">
        <v>1646</v>
      </c>
      <c r="D41" s="75">
        <v>0.9166666666666666</v>
      </c>
      <c r="E41" s="75">
        <v>0.875</v>
      </c>
      <c r="F41" s="117">
        <v>1.0</v>
      </c>
      <c r="G41" s="118">
        <v>45831.0</v>
      </c>
      <c r="H41" s="66" t="s">
        <v>376</v>
      </c>
      <c r="I41" s="66" t="s">
        <v>1735</v>
      </c>
      <c r="J41" s="124"/>
      <c r="K41" s="70" t="s">
        <v>1648</v>
      </c>
      <c r="L41" s="114">
        <v>33.75</v>
      </c>
      <c r="M41" s="114">
        <v>-84.5</v>
      </c>
      <c r="N41" s="115">
        <v>2.0</v>
      </c>
      <c r="O41" s="114">
        <v>27.13</v>
      </c>
      <c r="P41" s="114">
        <v>20.51</v>
      </c>
      <c r="Q41" s="114">
        <v>67.0</v>
      </c>
      <c r="R41" s="114">
        <v>25.93</v>
      </c>
      <c r="S41" s="114">
        <v>0.0</v>
      </c>
      <c r="T41" s="114">
        <v>1.25</v>
      </c>
      <c r="U41" s="114">
        <v>23.67</v>
      </c>
      <c r="V41" s="114">
        <v>41.61</v>
      </c>
      <c r="W41" s="114">
        <v>27.6</v>
      </c>
      <c r="X41" s="115">
        <v>3.0</v>
      </c>
      <c r="Y41" s="114">
        <v>26.2</v>
      </c>
      <c r="Z41" s="114">
        <v>20.14</v>
      </c>
      <c r="AA41" s="114">
        <v>69.0</v>
      </c>
      <c r="AB41" s="114">
        <v>24.63</v>
      </c>
      <c r="AC41" s="114">
        <v>0.0</v>
      </c>
      <c r="AD41" s="114">
        <v>1.1</v>
      </c>
      <c r="AE41" s="114">
        <v>23.21</v>
      </c>
      <c r="AF41" s="114">
        <v>40.68</v>
      </c>
      <c r="AG41" s="114">
        <v>27.0</v>
      </c>
      <c r="AH41" s="116"/>
      <c r="AI41" s="62"/>
      <c r="AJ41" s="62"/>
      <c r="AK41" s="62"/>
      <c r="AL41" s="62"/>
      <c r="AM41" s="62"/>
      <c r="AN41" s="62"/>
      <c r="AO41" s="62"/>
      <c r="AP41" s="62"/>
      <c r="AQ41" s="62"/>
      <c r="AR41" s="116"/>
      <c r="AS41" s="62"/>
      <c r="AT41" s="62"/>
      <c r="AU41" s="62"/>
      <c r="AV41" s="62"/>
      <c r="AW41" s="62"/>
      <c r="AX41" s="62"/>
      <c r="AY41" s="62"/>
      <c r="AZ41" s="62"/>
      <c r="BA41" s="62"/>
    </row>
    <row r="42">
      <c r="A42" s="89" t="s">
        <v>1705</v>
      </c>
      <c r="B42" s="74">
        <v>45834.0</v>
      </c>
      <c r="C42" s="66" t="s">
        <v>1656</v>
      </c>
      <c r="D42" s="75">
        <v>0.6666666666666666</v>
      </c>
      <c r="E42" s="75">
        <v>0.625</v>
      </c>
      <c r="F42" s="117">
        <v>19.0</v>
      </c>
      <c r="G42" s="118">
        <v>45834.0</v>
      </c>
      <c r="H42" s="66" t="s">
        <v>1269</v>
      </c>
      <c r="I42" s="66" t="s">
        <v>1733</v>
      </c>
      <c r="J42" s="124"/>
      <c r="K42" s="70" t="s">
        <v>1699</v>
      </c>
      <c r="L42" s="114">
        <v>28.5</v>
      </c>
      <c r="M42" s="114">
        <v>-81.5</v>
      </c>
      <c r="N42" s="115">
        <v>20.0</v>
      </c>
      <c r="O42" s="114">
        <v>28.58</v>
      </c>
      <c r="P42" s="114">
        <v>21.74</v>
      </c>
      <c r="Q42" s="114">
        <v>66.0</v>
      </c>
      <c r="R42" s="114">
        <v>28.1</v>
      </c>
      <c r="S42" s="114">
        <v>677.3</v>
      </c>
      <c r="T42" s="114">
        <v>1.75</v>
      </c>
      <c r="U42" s="114">
        <v>24.56</v>
      </c>
      <c r="V42" s="114">
        <v>43.05</v>
      </c>
      <c r="W42" s="114">
        <v>28.66</v>
      </c>
      <c r="X42" s="115">
        <v>21.0</v>
      </c>
      <c r="Y42" s="114">
        <v>29.51</v>
      </c>
      <c r="Z42" s="114">
        <v>21.44</v>
      </c>
      <c r="AA42" s="114">
        <v>61.0</v>
      </c>
      <c r="AB42" s="114">
        <v>29.56</v>
      </c>
      <c r="AC42" s="114">
        <v>643.2</v>
      </c>
      <c r="AD42" s="114">
        <v>1.73</v>
      </c>
      <c r="AE42" s="114">
        <v>24.81</v>
      </c>
      <c r="AF42" s="114">
        <v>43.97</v>
      </c>
      <c r="AG42" s="114">
        <v>29.11</v>
      </c>
      <c r="AH42" s="116"/>
      <c r="AI42" s="62"/>
      <c r="AJ42" s="62"/>
      <c r="AK42" s="62"/>
      <c r="AL42" s="62"/>
      <c r="AM42" s="62"/>
      <c r="AN42" s="62"/>
      <c r="AO42" s="62"/>
      <c r="AP42" s="62"/>
      <c r="AQ42" s="62"/>
      <c r="AR42" s="116"/>
      <c r="AS42" s="62"/>
      <c r="AT42" s="62"/>
      <c r="AU42" s="62"/>
      <c r="AV42" s="62"/>
      <c r="AW42" s="62"/>
      <c r="AX42" s="62"/>
      <c r="AY42" s="62"/>
      <c r="AZ42" s="62"/>
      <c r="BA42" s="62"/>
    </row>
    <row r="43">
      <c r="A43" s="89" t="s">
        <v>1706</v>
      </c>
      <c r="B43" s="74">
        <v>45834.0</v>
      </c>
      <c r="C43" s="78" t="s">
        <v>1665</v>
      </c>
      <c r="D43" s="75">
        <v>0.6666666666666666</v>
      </c>
      <c r="E43" s="75">
        <v>0.625</v>
      </c>
      <c r="F43" s="117">
        <v>19.0</v>
      </c>
      <c r="G43" s="118">
        <v>45834.0</v>
      </c>
      <c r="H43" s="78" t="s">
        <v>997</v>
      </c>
      <c r="I43" s="72" t="s">
        <v>1733</v>
      </c>
      <c r="J43" s="119"/>
      <c r="K43" s="70" t="s">
        <v>1666</v>
      </c>
      <c r="L43" s="114">
        <v>38.75</v>
      </c>
      <c r="M43" s="114">
        <v>-77.0</v>
      </c>
      <c r="N43" s="115">
        <v>20.0</v>
      </c>
      <c r="O43" s="114">
        <v>34.23</v>
      </c>
      <c r="P43" s="114">
        <v>22.49</v>
      </c>
      <c r="Q43" s="114">
        <v>50.0</v>
      </c>
      <c r="R43" s="114">
        <v>38.04</v>
      </c>
      <c r="S43" s="114">
        <v>650.3</v>
      </c>
      <c r="T43" s="114">
        <v>0.74</v>
      </c>
      <c r="U43" s="114">
        <v>27.17</v>
      </c>
      <c r="V43" s="114">
        <v>50.5</v>
      </c>
      <c r="W43" s="114">
        <v>32.55</v>
      </c>
      <c r="X43" s="115">
        <v>21.0</v>
      </c>
      <c r="Y43" s="114">
        <v>32.72</v>
      </c>
      <c r="Z43" s="114">
        <v>22.82</v>
      </c>
      <c r="AA43" s="114">
        <v>56.0</v>
      </c>
      <c r="AB43" s="114">
        <v>35.13</v>
      </c>
      <c r="AC43" s="114">
        <v>505.2</v>
      </c>
      <c r="AD43" s="114">
        <v>1.12</v>
      </c>
      <c r="AE43" s="114">
        <v>26.69</v>
      </c>
      <c r="AF43" s="114">
        <v>48.52</v>
      </c>
      <c r="AG43" s="114">
        <v>31.66</v>
      </c>
      <c r="AH43" s="116"/>
      <c r="AI43" s="62"/>
      <c r="AJ43" s="62"/>
      <c r="AK43" s="62"/>
      <c r="AL43" s="62"/>
      <c r="AM43" s="62"/>
      <c r="AN43" s="62"/>
      <c r="AO43" s="62"/>
      <c r="AP43" s="62"/>
      <c r="AQ43" s="62"/>
      <c r="AR43" s="116"/>
      <c r="AS43" s="62"/>
      <c r="AT43" s="62"/>
      <c r="AU43" s="62"/>
      <c r="AV43" s="62"/>
      <c r="AW43" s="62"/>
      <c r="AX43" s="62"/>
      <c r="AY43" s="62"/>
      <c r="AZ43" s="62"/>
      <c r="BA43" s="62"/>
    </row>
    <row r="44">
      <c r="A44" s="70" t="s">
        <v>1661</v>
      </c>
      <c r="B44" s="67">
        <v>45826.0</v>
      </c>
      <c r="C44" s="66" t="s">
        <v>1629</v>
      </c>
      <c r="D44" s="68">
        <v>0.6666666666666666</v>
      </c>
      <c r="E44" s="68">
        <v>0.625</v>
      </c>
      <c r="F44" s="122">
        <v>19.0</v>
      </c>
      <c r="G44" s="123">
        <v>45826.0</v>
      </c>
      <c r="H44" s="66" t="s">
        <v>62</v>
      </c>
      <c r="I44" s="66" t="s">
        <v>1733</v>
      </c>
      <c r="J44" s="124"/>
      <c r="K44" s="70" t="s">
        <v>1658</v>
      </c>
      <c r="L44" s="114">
        <v>28.5</v>
      </c>
      <c r="M44" s="114">
        <v>-81.5</v>
      </c>
      <c r="N44" s="115">
        <v>20.0</v>
      </c>
      <c r="O44" s="114">
        <v>33.06</v>
      </c>
      <c r="P44" s="114">
        <v>20.82</v>
      </c>
      <c r="Q44" s="114">
        <v>48.0</v>
      </c>
      <c r="R44" s="114">
        <v>35.77</v>
      </c>
      <c r="S44" s="114">
        <v>716.7</v>
      </c>
      <c r="T44" s="114">
        <v>1.76</v>
      </c>
      <c r="U44" s="114">
        <v>25.82</v>
      </c>
      <c r="V44" s="114">
        <v>47.71</v>
      </c>
      <c r="W44" s="114">
        <v>30.92</v>
      </c>
      <c r="X44" s="115">
        <v>21.0</v>
      </c>
      <c r="Y44" s="114">
        <v>32.73</v>
      </c>
      <c r="Z44" s="114">
        <v>21.19</v>
      </c>
      <c r="AA44" s="114">
        <v>50.0</v>
      </c>
      <c r="AB44" s="114">
        <v>35.14</v>
      </c>
      <c r="AC44" s="114">
        <v>561.4</v>
      </c>
      <c r="AD44" s="114">
        <v>1.79</v>
      </c>
      <c r="AE44" s="114">
        <v>25.85</v>
      </c>
      <c r="AF44" s="114">
        <v>47.38</v>
      </c>
      <c r="AG44" s="114">
        <v>30.84</v>
      </c>
      <c r="AH44" s="120"/>
      <c r="AI44" s="121"/>
      <c r="AJ44" s="121"/>
      <c r="AK44" s="121"/>
      <c r="AL44" s="121"/>
      <c r="AM44" s="121"/>
      <c r="AN44" s="121"/>
      <c r="AO44" s="121"/>
      <c r="AP44" s="121"/>
      <c r="AQ44" s="121"/>
      <c r="AR44" s="120"/>
      <c r="AS44" s="121"/>
      <c r="AT44" s="121"/>
      <c r="AU44" s="121"/>
      <c r="AV44" s="121"/>
      <c r="AW44" s="121"/>
      <c r="AX44" s="121"/>
      <c r="AY44" s="121"/>
      <c r="AZ44" s="121"/>
      <c r="BA44" s="121"/>
    </row>
    <row r="45">
      <c r="A45" s="70" t="s">
        <v>1662</v>
      </c>
      <c r="B45" s="67">
        <v>45826.0</v>
      </c>
      <c r="C45" s="66" t="s">
        <v>1633</v>
      </c>
      <c r="D45" s="68">
        <v>0.7916666666666666</v>
      </c>
      <c r="E45" s="68">
        <v>0.75</v>
      </c>
      <c r="F45" s="122">
        <v>22.0</v>
      </c>
      <c r="G45" s="123">
        <v>45826.0</v>
      </c>
      <c r="H45" s="66" t="s">
        <v>122</v>
      </c>
      <c r="I45" s="66" t="s">
        <v>1733</v>
      </c>
      <c r="J45" s="90" t="s">
        <v>1663</v>
      </c>
      <c r="K45" s="70" t="s">
        <v>1634</v>
      </c>
      <c r="L45" s="114">
        <v>39.0</v>
      </c>
      <c r="M45" s="114">
        <v>-84.5</v>
      </c>
      <c r="N45" s="115">
        <v>23.0</v>
      </c>
      <c r="O45" s="114">
        <v>27.1</v>
      </c>
      <c r="P45" s="114">
        <v>21.15</v>
      </c>
      <c r="Q45" s="114">
        <v>69.0</v>
      </c>
      <c r="R45" s="114">
        <v>25.89</v>
      </c>
      <c r="S45" s="114">
        <v>249.5</v>
      </c>
      <c r="T45" s="114">
        <v>2.66</v>
      </c>
      <c r="U45" s="114">
        <v>23.51</v>
      </c>
      <c r="V45" s="114">
        <v>40.38</v>
      </c>
      <c r="W45" s="114">
        <v>27.24</v>
      </c>
      <c r="X45" s="115" t="s">
        <v>1734</v>
      </c>
      <c r="Y45" s="114">
        <v>25.26</v>
      </c>
      <c r="Z45" s="114">
        <v>20.47</v>
      </c>
      <c r="AA45" s="114">
        <v>74.0</v>
      </c>
      <c r="AB45" s="114">
        <v>23.36</v>
      </c>
      <c r="AC45" s="114">
        <v>131.7</v>
      </c>
      <c r="AD45" s="114">
        <v>2.74</v>
      </c>
      <c r="AE45" s="114">
        <v>22.5</v>
      </c>
      <c r="AF45" s="114">
        <v>38.17</v>
      </c>
      <c r="AG45" s="114">
        <v>25.91</v>
      </c>
      <c r="AH45" s="115" t="s">
        <v>1736</v>
      </c>
      <c r="AI45" s="114">
        <v>23.21</v>
      </c>
      <c r="AJ45" s="114">
        <v>20.51</v>
      </c>
      <c r="AK45" s="114">
        <v>84.0</v>
      </c>
      <c r="AL45" s="114">
        <v>20.81</v>
      </c>
      <c r="AM45" s="114">
        <v>33.5</v>
      </c>
      <c r="AN45" s="114">
        <v>2.79</v>
      </c>
      <c r="AO45" s="114">
        <v>21.6</v>
      </c>
      <c r="AP45" s="114">
        <v>36.14</v>
      </c>
      <c r="AQ45" s="114">
        <v>24.67</v>
      </c>
      <c r="AR45" s="115" t="s">
        <v>1737</v>
      </c>
      <c r="AS45" s="114">
        <v>22.06</v>
      </c>
      <c r="AT45" s="114">
        <v>20.26</v>
      </c>
      <c r="AU45" s="114">
        <v>89.0</v>
      </c>
      <c r="AV45" s="114">
        <v>19.47</v>
      </c>
      <c r="AW45" s="114">
        <v>0.0</v>
      </c>
      <c r="AX45" s="114">
        <v>3.39</v>
      </c>
      <c r="AY45" s="114">
        <v>20.82</v>
      </c>
      <c r="AZ45" s="114">
        <v>34.34</v>
      </c>
      <c r="BA45" s="114">
        <v>23.65</v>
      </c>
    </row>
    <row r="46">
      <c r="A46" s="70" t="s">
        <v>1685</v>
      </c>
      <c r="B46" s="67">
        <v>45830.0</v>
      </c>
      <c r="C46" s="66" t="s">
        <v>1686</v>
      </c>
      <c r="D46" s="68">
        <v>0.6666666666666666</v>
      </c>
      <c r="E46" s="68">
        <v>0.625</v>
      </c>
      <c r="F46" s="122">
        <v>19.0</v>
      </c>
      <c r="G46" s="123">
        <v>45830.0</v>
      </c>
      <c r="H46" s="66" t="s">
        <v>1200</v>
      </c>
      <c r="I46" s="66" t="s">
        <v>1733</v>
      </c>
      <c r="J46" s="124"/>
      <c r="K46" s="70" t="s">
        <v>1687</v>
      </c>
      <c r="L46" s="114">
        <v>35.25</v>
      </c>
      <c r="M46" s="114">
        <v>-80.75</v>
      </c>
      <c r="N46" s="115">
        <v>20.0</v>
      </c>
      <c r="O46" s="114">
        <v>34.51</v>
      </c>
      <c r="P46" s="114">
        <v>17.97</v>
      </c>
      <c r="Q46" s="114">
        <v>37.0</v>
      </c>
      <c r="R46" s="114">
        <v>38.6</v>
      </c>
      <c r="S46" s="114">
        <v>617.1</v>
      </c>
      <c r="T46" s="114">
        <v>0.16</v>
      </c>
      <c r="U46" s="114">
        <v>25.46</v>
      </c>
      <c r="V46" s="114">
        <v>50.4</v>
      </c>
      <c r="W46" s="114">
        <v>31.35</v>
      </c>
      <c r="X46" s="115">
        <v>21.0</v>
      </c>
      <c r="Y46" s="114">
        <v>35.01</v>
      </c>
      <c r="Z46" s="114">
        <v>17.66</v>
      </c>
      <c r="AA46" s="114">
        <v>35.0</v>
      </c>
      <c r="AB46" s="114">
        <v>39.63</v>
      </c>
      <c r="AC46" s="114">
        <v>401.9</v>
      </c>
      <c r="AD46" s="114">
        <v>0.36</v>
      </c>
      <c r="AE46" s="114">
        <v>25.42</v>
      </c>
      <c r="AF46" s="114">
        <v>50.74</v>
      </c>
      <c r="AG46" s="114">
        <v>31.44</v>
      </c>
      <c r="AH46" s="116"/>
      <c r="AI46" s="62"/>
      <c r="AJ46" s="62"/>
      <c r="AK46" s="62"/>
      <c r="AL46" s="62"/>
      <c r="AM46" s="62"/>
      <c r="AN46" s="62"/>
      <c r="AO46" s="62"/>
      <c r="AP46" s="62"/>
      <c r="AQ46" s="62"/>
      <c r="AR46" s="116"/>
      <c r="AS46" s="62"/>
      <c r="AT46" s="62"/>
      <c r="AU46" s="62"/>
      <c r="AV46" s="62"/>
      <c r="AW46" s="62"/>
      <c r="AX46" s="62"/>
      <c r="AY46" s="62"/>
      <c r="AZ46" s="62"/>
      <c r="BA46" s="62"/>
    </row>
    <row r="47">
      <c r="A47" s="70" t="s">
        <v>1688</v>
      </c>
      <c r="B47" s="67">
        <v>45830.0</v>
      </c>
      <c r="C47" s="66" t="s">
        <v>1665</v>
      </c>
      <c r="D47" s="68">
        <v>0.7916666666666666</v>
      </c>
      <c r="E47" s="68">
        <v>0.75</v>
      </c>
      <c r="F47" s="122">
        <v>22.0</v>
      </c>
      <c r="G47" s="123">
        <v>45830.0</v>
      </c>
      <c r="H47" s="66" t="s">
        <v>997</v>
      </c>
      <c r="I47" s="66" t="s">
        <v>1733</v>
      </c>
      <c r="J47" s="124"/>
      <c r="K47" s="70" t="s">
        <v>1666</v>
      </c>
      <c r="L47" s="114">
        <v>38.75</v>
      </c>
      <c r="M47" s="114">
        <v>-77.0</v>
      </c>
      <c r="N47" s="115">
        <v>23.0</v>
      </c>
      <c r="O47" s="114">
        <v>32.07</v>
      </c>
      <c r="P47" s="114">
        <v>22.44</v>
      </c>
      <c r="Q47" s="114">
        <v>56.0</v>
      </c>
      <c r="R47" s="114">
        <v>33.93</v>
      </c>
      <c r="S47" s="114">
        <v>293.1</v>
      </c>
      <c r="T47" s="114">
        <v>2.13</v>
      </c>
      <c r="U47" s="114">
        <v>26.03</v>
      </c>
      <c r="V47" s="114">
        <v>46.65</v>
      </c>
      <c r="W47" s="114">
        <v>30.76</v>
      </c>
      <c r="X47" s="115" t="s">
        <v>1734</v>
      </c>
      <c r="Y47" s="114">
        <v>31.11</v>
      </c>
      <c r="Z47" s="114">
        <v>22.41</v>
      </c>
      <c r="AA47" s="114">
        <v>59.0</v>
      </c>
      <c r="AB47" s="114">
        <v>32.23</v>
      </c>
      <c r="AC47" s="114">
        <v>107.5</v>
      </c>
      <c r="AD47" s="114">
        <v>2.15</v>
      </c>
      <c r="AE47" s="114">
        <v>25.67</v>
      </c>
      <c r="AF47" s="114">
        <v>45.57</v>
      </c>
      <c r="AG47" s="114">
        <v>30.19</v>
      </c>
      <c r="AH47" s="116"/>
      <c r="AI47" s="62"/>
      <c r="AJ47" s="62"/>
      <c r="AK47" s="62"/>
      <c r="AL47" s="62"/>
      <c r="AM47" s="62"/>
      <c r="AN47" s="62"/>
      <c r="AO47" s="62"/>
      <c r="AP47" s="62"/>
      <c r="AQ47" s="62"/>
      <c r="AR47" s="116"/>
      <c r="AS47" s="62"/>
      <c r="AT47" s="62"/>
      <c r="AU47" s="62"/>
      <c r="AV47" s="62"/>
      <c r="AW47" s="62"/>
      <c r="AX47" s="62"/>
      <c r="AY47" s="62"/>
      <c r="AZ47" s="62"/>
      <c r="BA47" s="62"/>
    </row>
    <row r="48">
      <c r="A48" s="70" t="s">
        <v>1707</v>
      </c>
      <c r="B48" s="67">
        <v>45834.0</v>
      </c>
      <c r="C48" s="66" t="s">
        <v>1676</v>
      </c>
      <c r="D48" s="68">
        <v>0.9166666666666666</v>
      </c>
      <c r="E48" s="68">
        <v>0.8333333333333334</v>
      </c>
      <c r="F48" s="122">
        <v>1.0</v>
      </c>
      <c r="G48" s="123">
        <v>45835.0</v>
      </c>
      <c r="H48" s="66" t="s">
        <v>1677</v>
      </c>
      <c r="I48" s="66" t="s">
        <v>1733</v>
      </c>
      <c r="J48" s="124"/>
      <c r="K48" s="70" t="s">
        <v>1696</v>
      </c>
      <c r="L48" s="114">
        <v>36.25</v>
      </c>
      <c r="M48" s="114">
        <v>-86.75</v>
      </c>
      <c r="N48" s="115">
        <v>2.0</v>
      </c>
      <c r="O48" s="114">
        <v>27.92</v>
      </c>
      <c r="P48" s="114">
        <v>23.97</v>
      </c>
      <c r="Q48" s="114">
        <v>79.0</v>
      </c>
      <c r="R48" s="114">
        <v>27.09</v>
      </c>
      <c r="S48" s="114">
        <v>0.1</v>
      </c>
      <c r="T48" s="114">
        <v>0.2</v>
      </c>
      <c r="U48" s="114">
        <v>25.47</v>
      </c>
      <c r="V48" s="114">
        <v>44.78</v>
      </c>
      <c r="W48" s="114">
        <v>29.57</v>
      </c>
      <c r="X48" s="115">
        <v>3.0</v>
      </c>
      <c r="Y48" s="114">
        <v>27.3</v>
      </c>
      <c r="Z48" s="114">
        <v>23.71</v>
      </c>
      <c r="AA48" s="114">
        <v>80.0</v>
      </c>
      <c r="AB48" s="114">
        <v>26.18</v>
      </c>
      <c r="AC48" s="114">
        <v>0.0</v>
      </c>
      <c r="AD48" s="114">
        <v>0.68</v>
      </c>
      <c r="AE48" s="114">
        <v>24.98</v>
      </c>
      <c r="AF48" s="114">
        <v>43.58</v>
      </c>
      <c r="AG48" s="114">
        <v>28.93</v>
      </c>
      <c r="AH48" s="116"/>
      <c r="AI48" s="62"/>
      <c r="AJ48" s="62"/>
      <c r="AK48" s="62"/>
      <c r="AL48" s="62"/>
      <c r="AM48" s="62"/>
      <c r="AN48" s="62"/>
      <c r="AO48" s="62"/>
      <c r="AP48" s="62"/>
      <c r="AQ48" s="62"/>
      <c r="AR48" s="116"/>
      <c r="AS48" s="62"/>
      <c r="AT48" s="62"/>
      <c r="AU48" s="62"/>
      <c r="AV48" s="62"/>
      <c r="AW48" s="62"/>
      <c r="AX48" s="62"/>
      <c r="AY48" s="62"/>
      <c r="AZ48" s="62"/>
      <c r="BA48" s="62"/>
    </row>
    <row r="49">
      <c r="A49" s="70" t="s">
        <v>1708</v>
      </c>
      <c r="B49" s="67">
        <v>45834.0</v>
      </c>
      <c r="C49" s="66" t="s">
        <v>1651</v>
      </c>
      <c r="D49" s="68">
        <v>0.9166666666666666</v>
      </c>
      <c r="E49" s="68">
        <v>0.875</v>
      </c>
      <c r="F49" s="122">
        <v>1.0</v>
      </c>
      <c r="G49" s="123">
        <v>45835.0</v>
      </c>
      <c r="H49" s="66" t="s">
        <v>500</v>
      </c>
      <c r="I49" s="66" t="s">
        <v>1733</v>
      </c>
      <c r="J49" s="124"/>
      <c r="K49" s="70" t="s">
        <v>1652</v>
      </c>
      <c r="L49" s="114">
        <v>40.0</v>
      </c>
      <c r="M49" s="114">
        <v>-75.25</v>
      </c>
      <c r="N49" s="115">
        <v>2.0</v>
      </c>
      <c r="O49" s="114">
        <v>20.55</v>
      </c>
      <c r="P49" s="114">
        <v>14.08</v>
      </c>
      <c r="Q49" s="114">
        <v>66.0</v>
      </c>
      <c r="R49" s="114">
        <v>17.84</v>
      </c>
      <c r="S49" s="114">
        <v>0.0</v>
      </c>
      <c r="T49" s="114">
        <v>3.0</v>
      </c>
      <c r="U49" s="114">
        <v>18.29</v>
      </c>
      <c r="V49" s="114">
        <v>30.73</v>
      </c>
      <c r="W49" s="114">
        <v>21.0</v>
      </c>
      <c r="X49" s="115">
        <v>3.0</v>
      </c>
      <c r="Y49" s="114">
        <v>20.3</v>
      </c>
      <c r="Z49" s="114">
        <v>14.24</v>
      </c>
      <c r="AA49" s="114">
        <v>68.0</v>
      </c>
      <c r="AB49" s="114">
        <v>17.58</v>
      </c>
      <c r="AC49" s="114">
        <v>0.0</v>
      </c>
      <c r="AD49" s="114">
        <v>3.13</v>
      </c>
      <c r="AE49" s="114">
        <v>18.21</v>
      </c>
      <c r="AF49" s="114">
        <v>30.4</v>
      </c>
      <c r="AG49" s="114">
        <v>20.86</v>
      </c>
      <c r="AH49" s="116"/>
      <c r="AI49" s="62"/>
      <c r="AJ49" s="62"/>
      <c r="AK49" s="62"/>
      <c r="AL49" s="62"/>
      <c r="AM49" s="62"/>
      <c r="AN49" s="62"/>
      <c r="AO49" s="62"/>
      <c r="AP49" s="62"/>
      <c r="AQ49" s="62"/>
      <c r="AR49" s="116"/>
      <c r="AS49" s="62"/>
      <c r="AT49" s="62"/>
      <c r="AU49" s="62"/>
      <c r="AV49" s="62"/>
      <c r="AW49" s="62"/>
      <c r="AX49" s="62"/>
      <c r="AY49" s="62"/>
      <c r="AZ49" s="62"/>
      <c r="BA49" s="62"/>
    </row>
    <row r="50">
      <c r="A50" s="89" t="s">
        <v>1709</v>
      </c>
      <c r="B50" s="74">
        <v>45836.0</v>
      </c>
      <c r="C50" s="66" t="s">
        <v>1651</v>
      </c>
      <c r="D50" s="75">
        <v>0.5416666666666666</v>
      </c>
      <c r="E50" s="75">
        <v>0.5</v>
      </c>
      <c r="F50" s="117">
        <v>16.0</v>
      </c>
      <c r="G50" s="118">
        <v>45836.0</v>
      </c>
      <c r="H50" s="66" t="s">
        <v>500</v>
      </c>
      <c r="I50" s="66" t="s">
        <v>1733</v>
      </c>
      <c r="J50" s="90" t="s">
        <v>1710</v>
      </c>
      <c r="K50" s="70" t="s">
        <v>1652</v>
      </c>
      <c r="L50" s="114">
        <v>40.0</v>
      </c>
      <c r="M50" s="114">
        <v>-75.25</v>
      </c>
      <c r="N50" s="115">
        <v>17.0</v>
      </c>
      <c r="O50" s="114">
        <v>26.97</v>
      </c>
      <c r="P50" s="114">
        <v>21.1</v>
      </c>
      <c r="Q50" s="114">
        <v>70.0</v>
      </c>
      <c r="R50" s="114">
        <v>25.7</v>
      </c>
      <c r="S50" s="114">
        <v>494.1</v>
      </c>
      <c r="T50" s="114">
        <v>1.85</v>
      </c>
      <c r="U50" s="114">
        <v>23.66</v>
      </c>
      <c r="V50" s="114">
        <v>41.05</v>
      </c>
      <c r="W50" s="114">
        <v>27.47</v>
      </c>
      <c r="X50" s="115">
        <v>18.0</v>
      </c>
      <c r="Y50" s="114">
        <v>27.87</v>
      </c>
      <c r="Z50" s="114">
        <v>21.25</v>
      </c>
      <c r="AA50" s="114">
        <v>67.0</v>
      </c>
      <c r="AB50" s="114">
        <v>27.02</v>
      </c>
      <c r="AC50" s="114">
        <v>466.7</v>
      </c>
      <c r="AD50" s="114">
        <v>1.93</v>
      </c>
      <c r="AE50" s="114">
        <v>24.05</v>
      </c>
      <c r="AF50" s="114">
        <v>41.96</v>
      </c>
      <c r="AG50" s="114">
        <v>28.02</v>
      </c>
      <c r="AH50" s="115">
        <v>19.0</v>
      </c>
      <c r="AI50" s="114">
        <v>29.42</v>
      </c>
      <c r="AJ50" s="114">
        <v>21.89</v>
      </c>
      <c r="AK50" s="114">
        <v>63.0</v>
      </c>
      <c r="AL50" s="114">
        <v>29.41</v>
      </c>
      <c r="AM50" s="114">
        <v>583.7</v>
      </c>
      <c r="AN50" s="114">
        <v>1.87</v>
      </c>
      <c r="AO50" s="114">
        <v>24.9</v>
      </c>
      <c r="AP50" s="114">
        <v>43.86</v>
      </c>
      <c r="AQ50" s="114">
        <v>29.15</v>
      </c>
      <c r="AR50" s="115">
        <v>20.0</v>
      </c>
      <c r="AS50" s="114">
        <v>30.4</v>
      </c>
      <c r="AT50" s="114">
        <v>22.2</v>
      </c>
      <c r="AU50" s="114">
        <v>61.0</v>
      </c>
      <c r="AV50" s="114">
        <v>31.02</v>
      </c>
      <c r="AW50" s="114">
        <v>324.7</v>
      </c>
      <c r="AX50" s="114">
        <v>2.05</v>
      </c>
      <c r="AY50" s="114">
        <v>25.35</v>
      </c>
      <c r="AZ50" s="114">
        <v>44.84</v>
      </c>
      <c r="BA50" s="114">
        <v>29.75</v>
      </c>
    </row>
    <row r="51">
      <c r="A51" s="89" t="s">
        <v>1711</v>
      </c>
      <c r="B51" s="74">
        <v>45836.0</v>
      </c>
      <c r="C51" s="66" t="s">
        <v>1686</v>
      </c>
      <c r="D51" s="75">
        <v>0.7083333333333334</v>
      </c>
      <c r="E51" s="75">
        <v>0.6666666666666666</v>
      </c>
      <c r="F51" s="117">
        <v>20.0</v>
      </c>
      <c r="G51" s="118">
        <v>45836.0</v>
      </c>
      <c r="H51" s="66" t="s">
        <v>1200</v>
      </c>
      <c r="I51" s="66" t="s">
        <v>1733</v>
      </c>
      <c r="J51" s="90" t="s">
        <v>1710</v>
      </c>
      <c r="K51" s="70" t="s">
        <v>1687</v>
      </c>
      <c r="L51" s="114">
        <v>35.25</v>
      </c>
      <c r="M51" s="114">
        <v>-80.75</v>
      </c>
      <c r="N51" s="115">
        <v>21.0</v>
      </c>
      <c r="O51" s="114">
        <v>29.43</v>
      </c>
      <c r="P51" s="114">
        <v>21.09</v>
      </c>
      <c r="Q51" s="114">
        <v>60.0</v>
      </c>
      <c r="R51" s="114">
        <v>29.43</v>
      </c>
      <c r="S51" s="114">
        <v>521.5</v>
      </c>
      <c r="T51" s="114">
        <v>0.92</v>
      </c>
      <c r="U51" s="114">
        <v>24.86</v>
      </c>
      <c r="V51" s="114">
        <v>44.6</v>
      </c>
      <c r="W51" s="114">
        <v>29.27</v>
      </c>
      <c r="X51" s="115">
        <v>22.0</v>
      </c>
      <c r="Y51" s="114">
        <v>28.73</v>
      </c>
      <c r="Z51" s="114">
        <v>21.09</v>
      </c>
      <c r="AA51" s="114">
        <v>63.0</v>
      </c>
      <c r="AB51" s="114">
        <v>28.32</v>
      </c>
      <c r="AC51" s="114">
        <v>391.3</v>
      </c>
      <c r="AD51" s="114">
        <v>2.15</v>
      </c>
      <c r="AE51" s="114">
        <v>24.27</v>
      </c>
      <c r="AF51" s="114">
        <v>42.58</v>
      </c>
      <c r="AG51" s="114">
        <v>28.38</v>
      </c>
      <c r="AH51" s="115">
        <v>23.0</v>
      </c>
      <c r="AI51" s="114">
        <v>28.83</v>
      </c>
      <c r="AJ51" s="114">
        <v>20.84</v>
      </c>
      <c r="AK51" s="114">
        <v>62.0</v>
      </c>
      <c r="AL51" s="114">
        <v>28.48</v>
      </c>
      <c r="AM51" s="114">
        <v>254.3</v>
      </c>
      <c r="AN51" s="114">
        <v>1.39</v>
      </c>
      <c r="AO51" s="114">
        <v>24.42</v>
      </c>
      <c r="AP51" s="114">
        <v>43.39</v>
      </c>
      <c r="AQ51" s="114">
        <v>28.65</v>
      </c>
      <c r="AR51" s="115" t="s">
        <v>1734</v>
      </c>
      <c r="AS51" s="114">
        <v>28.22</v>
      </c>
      <c r="AT51" s="114">
        <v>21.28</v>
      </c>
      <c r="AU51" s="114">
        <v>66.0</v>
      </c>
      <c r="AV51" s="114">
        <v>27.54</v>
      </c>
      <c r="AW51" s="114">
        <v>120.7</v>
      </c>
      <c r="AX51" s="114">
        <v>1.08</v>
      </c>
      <c r="AY51" s="114">
        <v>24.43</v>
      </c>
      <c r="AZ51" s="114">
        <v>43.2</v>
      </c>
      <c r="BA51" s="114">
        <v>28.56</v>
      </c>
    </row>
    <row r="52">
      <c r="A52" s="89" t="s">
        <v>1712</v>
      </c>
      <c r="B52" s="74">
        <v>45837.0</v>
      </c>
      <c r="C52" s="66" t="s">
        <v>1646</v>
      </c>
      <c r="D52" s="75">
        <v>0.5416666666666666</v>
      </c>
      <c r="E52" s="75">
        <v>0.5</v>
      </c>
      <c r="F52" s="117">
        <v>16.0</v>
      </c>
      <c r="G52" s="118">
        <v>45837.0</v>
      </c>
      <c r="H52" s="66" t="s">
        <v>376</v>
      </c>
      <c r="I52" s="66" t="s">
        <v>1735</v>
      </c>
      <c r="J52" s="124"/>
      <c r="K52" s="70" t="s">
        <v>1648</v>
      </c>
      <c r="L52" s="114">
        <v>33.75</v>
      </c>
      <c r="M52" s="114">
        <v>-84.5</v>
      </c>
      <c r="N52" s="115">
        <v>17.0</v>
      </c>
      <c r="O52" s="114">
        <v>30.14</v>
      </c>
      <c r="P52" s="114">
        <v>20.52</v>
      </c>
      <c r="Q52" s="114">
        <v>56.0</v>
      </c>
      <c r="R52" s="114">
        <v>30.58</v>
      </c>
      <c r="S52" s="114">
        <v>774.4</v>
      </c>
      <c r="T52" s="114">
        <v>1.14</v>
      </c>
      <c r="U52" s="114">
        <v>24.85</v>
      </c>
      <c r="V52" s="114">
        <v>44.98</v>
      </c>
      <c r="W52" s="114">
        <v>29.4</v>
      </c>
      <c r="X52" s="115">
        <v>18.0</v>
      </c>
      <c r="Y52" s="114">
        <v>29.86</v>
      </c>
      <c r="Z52" s="114">
        <v>20.62</v>
      </c>
      <c r="AA52" s="114">
        <v>57.0</v>
      </c>
      <c r="AB52" s="114">
        <v>30.12</v>
      </c>
      <c r="AC52" s="114">
        <v>751.3</v>
      </c>
      <c r="AD52" s="114">
        <v>0.99</v>
      </c>
      <c r="AE52" s="114">
        <v>24.82</v>
      </c>
      <c r="AF52" s="114">
        <v>44.84</v>
      </c>
      <c r="AG52" s="114">
        <v>29.33</v>
      </c>
      <c r="AH52" s="116"/>
      <c r="AI52" s="62"/>
      <c r="AJ52" s="62"/>
      <c r="AK52" s="62"/>
      <c r="AL52" s="62"/>
      <c r="AM52" s="62"/>
      <c r="AN52" s="62"/>
      <c r="AO52" s="62"/>
      <c r="AP52" s="62"/>
      <c r="AQ52" s="62"/>
      <c r="AR52" s="116"/>
      <c r="AS52" s="62"/>
      <c r="AT52" s="62"/>
      <c r="AU52" s="62"/>
      <c r="AV52" s="62"/>
      <c r="AW52" s="62"/>
      <c r="AX52" s="62"/>
      <c r="AY52" s="62"/>
      <c r="AZ52" s="62"/>
      <c r="BA52" s="62"/>
    </row>
    <row r="53">
      <c r="A53" s="89" t="s">
        <v>1713</v>
      </c>
      <c r="B53" s="74">
        <v>45837.0</v>
      </c>
      <c r="C53" s="78" t="s">
        <v>1629</v>
      </c>
      <c r="D53" s="75">
        <v>0.7083333333333334</v>
      </c>
      <c r="E53" s="75">
        <v>0.6666666666666666</v>
      </c>
      <c r="F53" s="117">
        <v>20.0</v>
      </c>
      <c r="G53" s="118">
        <v>45837.0</v>
      </c>
      <c r="H53" s="66" t="s">
        <v>62</v>
      </c>
      <c r="I53" s="66" t="s">
        <v>1733</v>
      </c>
      <c r="J53" s="124"/>
      <c r="K53" s="70" t="s">
        <v>1658</v>
      </c>
      <c r="L53" s="114">
        <v>28.5</v>
      </c>
      <c r="M53" s="114">
        <v>-81.5</v>
      </c>
      <c r="N53" s="115">
        <v>21.0</v>
      </c>
      <c r="O53" s="114">
        <v>24.88</v>
      </c>
      <c r="P53" s="114">
        <v>22.24</v>
      </c>
      <c r="Q53" s="114">
        <v>85.0</v>
      </c>
      <c r="R53" s="114">
        <v>22.87</v>
      </c>
      <c r="S53" s="114">
        <v>79.8</v>
      </c>
      <c r="T53" s="114">
        <v>1.08</v>
      </c>
      <c r="U53" s="114">
        <v>23.34</v>
      </c>
      <c r="V53" s="114">
        <v>40.22</v>
      </c>
      <c r="W53" s="114">
        <v>26.87</v>
      </c>
      <c r="X53" s="115">
        <v>22.0</v>
      </c>
      <c r="Y53" s="114">
        <v>24.03</v>
      </c>
      <c r="Z53" s="114">
        <v>22.01</v>
      </c>
      <c r="AA53" s="114">
        <v>88.0</v>
      </c>
      <c r="AB53" s="114">
        <v>21.8</v>
      </c>
      <c r="AC53" s="114">
        <v>116.3</v>
      </c>
      <c r="AD53" s="114">
        <v>1.32</v>
      </c>
      <c r="AE53" s="114">
        <v>22.82</v>
      </c>
      <c r="AF53" s="114">
        <v>39.08</v>
      </c>
      <c r="AG53" s="114">
        <v>26.19</v>
      </c>
      <c r="AH53" s="116"/>
      <c r="AI53" s="62"/>
      <c r="AJ53" s="62"/>
      <c r="AK53" s="62"/>
      <c r="AL53" s="62"/>
      <c r="AM53" s="62"/>
      <c r="AN53" s="62"/>
      <c r="AO53" s="62"/>
      <c r="AP53" s="62"/>
      <c r="AQ53" s="62"/>
      <c r="AR53" s="116"/>
      <c r="AS53" s="62"/>
      <c r="AT53" s="62"/>
      <c r="AU53" s="62"/>
      <c r="AV53" s="62"/>
      <c r="AW53" s="62"/>
      <c r="AX53" s="62"/>
      <c r="AY53" s="62"/>
      <c r="AZ53" s="62"/>
      <c r="BA53" s="62"/>
    </row>
    <row r="54">
      <c r="A54" s="89" t="s">
        <v>1714</v>
      </c>
      <c r="B54" s="74">
        <v>45838.0</v>
      </c>
      <c r="C54" s="66" t="s">
        <v>1686</v>
      </c>
      <c r="D54" s="75">
        <v>0.6666666666666666</v>
      </c>
      <c r="E54" s="75">
        <v>0.625</v>
      </c>
      <c r="F54" s="117">
        <v>19.0</v>
      </c>
      <c r="G54" s="118">
        <v>45838.0</v>
      </c>
      <c r="H54" s="66" t="s">
        <v>1200</v>
      </c>
      <c r="I54" s="66" t="s">
        <v>1733</v>
      </c>
      <c r="J54" s="124"/>
      <c r="K54" s="70" t="s">
        <v>1687</v>
      </c>
      <c r="L54" s="114">
        <v>35.25</v>
      </c>
      <c r="M54" s="114">
        <v>-80.75</v>
      </c>
      <c r="N54" s="115">
        <v>20.0</v>
      </c>
      <c r="O54" s="114">
        <v>30.85</v>
      </c>
      <c r="P54" s="114">
        <v>22.91</v>
      </c>
      <c r="Q54" s="114">
        <v>62.0</v>
      </c>
      <c r="R54" s="114">
        <v>31.79</v>
      </c>
      <c r="S54" s="114">
        <v>612.4</v>
      </c>
      <c r="T54" s="114">
        <v>2.15</v>
      </c>
      <c r="U54" s="114">
        <v>25.76</v>
      </c>
      <c r="V54" s="114">
        <v>45.45</v>
      </c>
      <c r="W54" s="114">
        <v>30.21</v>
      </c>
      <c r="X54" s="115">
        <v>21.0</v>
      </c>
      <c r="Y54" s="114">
        <v>32.13</v>
      </c>
      <c r="Z54" s="114">
        <v>22.58</v>
      </c>
      <c r="AA54" s="114">
        <v>57.0</v>
      </c>
      <c r="AB54" s="114">
        <v>34.04</v>
      </c>
      <c r="AC54" s="114">
        <v>463.9</v>
      </c>
      <c r="AD54" s="114">
        <v>2.23</v>
      </c>
      <c r="AE54" s="114">
        <v>26.08</v>
      </c>
      <c r="AF54" s="114">
        <v>46.65</v>
      </c>
      <c r="AG54" s="114">
        <v>30.8</v>
      </c>
      <c r="AH54" s="116"/>
      <c r="AI54" s="62"/>
      <c r="AJ54" s="62"/>
      <c r="AK54" s="62"/>
      <c r="AL54" s="62"/>
      <c r="AM54" s="62"/>
      <c r="AN54" s="62"/>
      <c r="AO54" s="62"/>
      <c r="AP54" s="62"/>
      <c r="AQ54" s="62"/>
      <c r="AR54" s="116"/>
      <c r="AS54" s="62"/>
      <c r="AT54" s="62"/>
      <c r="AU54" s="62"/>
      <c r="AV54" s="62"/>
      <c r="AW54" s="62"/>
      <c r="AX54" s="62"/>
      <c r="AY54" s="62"/>
      <c r="AZ54" s="62"/>
      <c r="BA54" s="62"/>
    </row>
    <row r="55">
      <c r="A55" s="89" t="s">
        <v>1715</v>
      </c>
      <c r="B55" s="74">
        <v>45838.0</v>
      </c>
      <c r="C55" s="66" t="s">
        <v>1656</v>
      </c>
      <c r="D55" s="75">
        <v>0.9166666666666666</v>
      </c>
      <c r="E55" s="75">
        <v>0.875</v>
      </c>
      <c r="F55" s="117">
        <v>1.0</v>
      </c>
      <c r="G55" s="118">
        <v>45839.0</v>
      </c>
      <c r="H55" s="66" t="s">
        <v>1269</v>
      </c>
      <c r="I55" s="66" t="s">
        <v>1733</v>
      </c>
      <c r="J55" s="124"/>
      <c r="K55" s="70" t="s">
        <v>1699</v>
      </c>
      <c r="L55" s="114">
        <v>28.5</v>
      </c>
      <c r="M55" s="114">
        <v>-81.5</v>
      </c>
      <c r="N55" s="115">
        <v>2.0</v>
      </c>
      <c r="O55" s="114">
        <v>25.17</v>
      </c>
      <c r="P55" s="114">
        <v>22.61</v>
      </c>
      <c r="Q55" s="114">
        <v>85.0</v>
      </c>
      <c r="R55" s="114">
        <v>23.24</v>
      </c>
      <c r="S55" s="114">
        <v>0.0</v>
      </c>
      <c r="T55" s="114">
        <v>2.23</v>
      </c>
      <c r="U55" s="114">
        <v>23.28</v>
      </c>
      <c r="V55" s="114">
        <v>39.48</v>
      </c>
      <c r="W55" s="114">
        <v>26.71</v>
      </c>
      <c r="X55" s="115">
        <v>3.0</v>
      </c>
      <c r="Y55" s="114">
        <v>24.4</v>
      </c>
      <c r="Z55" s="114">
        <v>22.35</v>
      </c>
      <c r="AA55" s="114">
        <v>88.0</v>
      </c>
      <c r="AB55" s="114">
        <v>22.25</v>
      </c>
      <c r="AC55" s="114">
        <v>0.0</v>
      </c>
      <c r="AD55" s="114">
        <v>1.89</v>
      </c>
      <c r="AE55" s="114">
        <v>22.93</v>
      </c>
      <c r="AF55" s="114">
        <v>38.98</v>
      </c>
      <c r="AG55" s="114">
        <v>26.29</v>
      </c>
      <c r="AH55" s="116"/>
      <c r="AI55" s="62"/>
      <c r="AJ55" s="62"/>
      <c r="AK55" s="62"/>
      <c r="AL55" s="62"/>
      <c r="AM55" s="62"/>
      <c r="AN55" s="62"/>
      <c r="AO55" s="62"/>
      <c r="AP55" s="62"/>
      <c r="AQ55" s="62"/>
      <c r="AR55" s="116"/>
      <c r="AS55" s="62"/>
      <c r="AT55" s="62"/>
      <c r="AU55" s="62"/>
      <c r="AV55" s="62"/>
      <c r="AW55" s="62"/>
      <c r="AX55" s="62"/>
      <c r="AY55" s="62"/>
      <c r="AZ55" s="62"/>
      <c r="BA55" s="62"/>
    </row>
    <row r="56">
      <c r="A56" s="89" t="s">
        <v>1716</v>
      </c>
      <c r="B56" s="74">
        <v>45839.0</v>
      </c>
      <c r="C56" s="66" t="s">
        <v>1629</v>
      </c>
      <c r="D56" s="75">
        <v>0.6666666666666666</v>
      </c>
      <c r="E56" s="75">
        <v>0.625</v>
      </c>
      <c r="F56" s="117">
        <v>19.0</v>
      </c>
      <c r="G56" s="118">
        <v>45839.0</v>
      </c>
      <c r="H56" s="66" t="s">
        <v>62</v>
      </c>
      <c r="I56" s="66" t="s">
        <v>1733</v>
      </c>
      <c r="J56" s="124"/>
      <c r="K56" s="70" t="s">
        <v>1658</v>
      </c>
      <c r="L56" s="114">
        <v>28.5</v>
      </c>
      <c r="M56" s="114">
        <v>-81.5</v>
      </c>
      <c r="N56" s="115">
        <v>20.0</v>
      </c>
      <c r="O56" s="114">
        <v>31.45</v>
      </c>
      <c r="P56" s="114">
        <v>21.25</v>
      </c>
      <c r="Q56" s="114">
        <v>54.0</v>
      </c>
      <c r="R56" s="114">
        <v>32.83</v>
      </c>
      <c r="S56" s="114">
        <v>691.6</v>
      </c>
      <c r="T56" s="114">
        <v>1.91</v>
      </c>
      <c r="U56" s="114">
        <v>25.4</v>
      </c>
      <c r="V56" s="114">
        <v>45.85</v>
      </c>
      <c r="W56" s="114">
        <v>30.09</v>
      </c>
      <c r="X56" s="115">
        <v>21.0</v>
      </c>
      <c r="Y56" s="114">
        <v>30.8</v>
      </c>
      <c r="Z56" s="114">
        <v>21.68</v>
      </c>
      <c r="AA56" s="114">
        <v>58.0</v>
      </c>
      <c r="AB56" s="114">
        <v>31.69</v>
      </c>
      <c r="AC56" s="114">
        <v>493.2</v>
      </c>
      <c r="AD56" s="114">
        <v>1.89</v>
      </c>
      <c r="AE56" s="114">
        <v>25.34</v>
      </c>
      <c r="AF56" s="114">
        <v>45.27</v>
      </c>
      <c r="AG56" s="114">
        <v>29.87</v>
      </c>
      <c r="AH56" s="120"/>
      <c r="AI56" s="121"/>
      <c r="AJ56" s="121"/>
      <c r="AK56" s="121"/>
      <c r="AL56" s="121"/>
      <c r="AM56" s="121"/>
      <c r="AN56" s="121"/>
      <c r="AO56" s="121"/>
      <c r="AP56" s="121"/>
      <c r="AQ56" s="62"/>
      <c r="AR56" s="116"/>
      <c r="AS56" s="62"/>
      <c r="AT56" s="62"/>
      <c r="AU56" s="62"/>
      <c r="AV56" s="62"/>
      <c r="AW56" s="62"/>
      <c r="AX56" s="62"/>
      <c r="AY56" s="62"/>
      <c r="AZ56" s="62"/>
      <c r="BA56" s="62"/>
    </row>
    <row r="57">
      <c r="A57" s="89" t="s">
        <v>1717</v>
      </c>
      <c r="B57" s="74">
        <v>45839.0</v>
      </c>
      <c r="C57" s="66" t="s">
        <v>1646</v>
      </c>
      <c r="D57" s="75">
        <v>0.9166666666666666</v>
      </c>
      <c r="E57" s="75">
        <v>0.875</v>
      </c>
      <c r="F57" s="117">
        <v>1.0</v>
      </c>
      <c r="G57" s="118">
        <v>45840.0</v>
      </c>
      <c r="H57" s="66" t="s">
        <v>376</v>
      </c>
      <c r="I57" s="66" t="s">
        <v>1735</v>
      </c>
      <c r="J57" s="124"/>
      <c r="K57" s="70" t="s">
        <v>1648</v>
      </c>
      <c r="L57" s="114">
        <v>33.75</v>
      </c>
      <c r="M57" s="114">
        <v>-84.5</v>
      </c>
      <c r="N57" s="115">
        <v>2.0</v>
      </c>
      <c r="O57" s="114">
        <v>23.75</v>
      </c>
      <c r="P57" s="114">
        <v>21.74</v>
      </c>
      <c r="Q57" s="114">
        <v>88.0</v>
      </c>
      <c r="R57" s="114">
        <v>21.45</v>
      </c>
      <c r="S57" s="114">
        <v>0.0</v>
      </c>
      <c r="T57" s="114">
        <v>2.71</v>
      </c>
      <c r="U57" s="114">
        <v>22.23</v>
      </c>
      <c r="V57" s="114">
        <v>37.27</v>
      </c>
      <c r="W57" s="114">
        <v>25.39</v>
      </c>
      <c r="X57" s="115">
        <v>3.0</v>
      </c>
      <c r="Y57" s="114">
        <v>23.38</v>
      </c>
      <c r="Z57" s="114">
        <v>21.42</v>
      </c>
      <c r="AA57" s="114">
        <v>88.0</v>
      </c>
      <c r="AB57" s="114">
        <v>21.0</v>
      </c>
      <c r="AC57" s="114">
        <v>0.0</v>
      </c>
      <c r="AD57" s="114">
        <v>2.36</v>
      </c>
      <c r="AE57" s="114">
        <v>22.06</v>
      </c>
      <c r="AF57" s="114">
        <v>37.14</v>
      </c>
      <c r="AG57" s="114">
        <v>25.2</v>
      </c>
      <c r="AH57" s="116"/>
      <c r="AI57" s="62"/>
      <c r="AJ57" s="62"/>
      <c r="AK57" s="62"/>
      <c r="AL57" s="62"/>
      <c r="AM57" s="62"/>
      <c r="AN57" s="62"/>
      <c r="AO57" s="62"/>
      <c r="AP57" s="62"/>
      <c r="AQ57" s="62"/>
      <c r="AR57" s="116"/>
      <c r="AS57" s="62"/>
      <c r="AT57" s="62"/>
      <c r="AU57" s="62"/>
      <c r="AV57" s="62"/>
      <c r="AW57" s="62"/>
      <c r="AX57" s="62"/>
      <c r="AY57" s="62"/>
      <c r="AZ57" s="62"/>
      <c r="BA57" s="62"/>
    </row>
    <row r="58">
      <c r="A58" s="89" t="s">
        <v>1718</v>
      </c>
      <c r="B58" s="74">
        <v>45842.0</v>
      </c>
      <c r="C58" s="66" t="s">
        <v>1656</v>
      </c>
      <c r="D58" s="75">
        <v>0.6666666666666666</v>
      </c>
      <c r="E58" s="75">
        <v>0.625</v>
      </c>
      <c r="F58" s="117">
        <v>19.0</v>
      </c>
      <c r="G58" s="118">
        <v>45842.0</v>
      </c>
      <c r="H58" s="66" t="s">
        <v>1269</v>
      </c>
      <c r="I58" s="66" t="s">
        <v>1733</v>
      </c>
      <c r="J58" s="124"/>
      <c r="K58" s="70" t="s">
        <v>1699</v>
      </c>
      <c r="L58" s="114">
        <v>28.5</v>
      </c>
      <c r="M58" s="114">
        <v>-81.5</v>
      </c>
      <c r="N58" s="115">
        <v>20.0</v>
      </c>
      <c r="O58" s="114">
        <v>28.77</v>
      </c>
      <c r="P58" s="114">
        <v>23.99</v>
      </c>
      <c r="Q58" s="114">
        <v>75.0</v>
      </c>
      <c r="R58" s="114">
        <v>28.38</v>
      </c>
      <c r="S58" s="114">
        <v>437.5</v>
      </c>
      <c r="T58" s="114">
        <v>0.38</v>
      </c>
      <c r="U58" s="114">
        <v>25.79</v>
      </c>
      <c r="V58" s="114">
        <v>45.46</v>
      </c>
      <c r="W58" s="114">
        <v>30.02</v>
      </c>
      <c r="X58" s="115">
        <v>21.0</v>
      </c>
      <c r="Y58" s="114">
        <v>28.09</v>
      </c>
      <c r="Z58" s="114">
        <v>23.97</v>
      </c>
      <c r="AA58" s="114">
        <v>78.0</v>
      </c>
      <c r="AB58" s="114">
        <v>27.35</v>
      </c>
      <c r="AC58" s="114">
        <v>241.7</v>
      </c>
      <c r="AD58" s="114">
        <v>0.45</v>
      </c>
      <c r="AE58" s="114">
        <v>25.47</v>
      </c>
      <c r="AF58" s="114">
        <v>44.7</v>
      </c>
      <c r="AG58" s="114">
        <v>29.58</v>
      </c>
      <c r="AH58" s="116"/>
      <c r="AI58" s="62"/>
      <c r="AJ58" s="62"/>
      <c r="AK58" s="62"/>
      <c r="AL58" s="62"/>
      <c r="AM58" s="62"/>
      <c r="AN58" s="62"/>
      <c r="AO58" s="62"/>
      <c r="AP58" s="62"/>
      <c r="AQ58" s="62"/>
      <c r="AR58" s="116"/>
      <c r="AS58" s="62"/>
      <c r="AT58" s="62"/>
      <c r="AU58" s="62"/>
      <c r="AV58" s="62"/>
      <c r="AW58" s="62"/>
      <c r="AX58" s="62"/>
      <c r="AY58" s="62"/>
      <c r="AZ58" s="62"/>
      <c r="BA58" s="62"/>
    </row>
    <row r="59">
      <c r="A59" s="89" t="s">
        <v>1719</v>
      </c>
      <c r="B59" s="74">
        <v>45842.0</v>
      </c>
      <c r="C59" s="66" t="s">
        <v>1651</v>
      </c>
      <c r="D59" s="75">
        <v>0.9166666666666666</v>
      </c>
      <c r="E59" s="75">
        <v>0.875</v>
      </c>
      <c r="F59" s="117">
        <v>1.0</v>
      </c>
      <c r="G59" s="118">
        <v>45843.0</v>
      </c>
      <c r="H59" s="66" t="s">
        <v>500</v>
      </c>
      <c r="I59" s="66" t="s">
        <v>1733</v>
      </c>
      <c r="J59" s="124"/>
      <c r="K59" s="70" t="s">
        <v>1652</v>
      </c>
      <c r="L59" s="114">
        <v>40.0</v>
      </c>
      <c r="M59" s="114">
        <v>-75.25</v>
      </c>
      <c r="N59" s="115">
        <v>2.0</v>
      </c>
      <c r="O59" s="114">
        <v>22.6</v>
      </c>
      <c r="P59" s="114">
        <v>15.43</v>
      </c>
      <c r="Q59" s="114">
        <v>63.0</v>
      </c>
      <c r="R59" s="114">
        <v>20.09</v>
      </c>
      <c r="S59" s="114">
        <v>0.0</v>
      </c>
      <c r="T59" s="114">
        <v>0.72</v>
      </c>
      <c r="U59" s="114">
        <v>20.19</v>
      </c>
      <c r="V59" s="114">
        <v>35.67</v>
      </c>
      <c r="W59" s="114">
        <v>23.53</v>
      </c>
      <c r="X59" s="115">
        <v>3.0</v>
      </c>
      <c r="Y59" s="114">
        <v>21.96</v>
      </c>
      <c r="Z59" s="114">
        <v>15.53</v>
      </c>
      <c r="AA59" s="114">
        <v>66.0</v>
      </c>
      <c r="AB59" s="114">
        <v>19.36</v>
      </c>
      <c r="AC59" s="114">
        <v>0.0</v>
      </c>
      <c r="AD59" s="114">
        <v>0.94</v>
      </c>
      <c r="AE59" s="114">
        <v>19.91</v>
      </c>
      <c r="AF59" s="114">
        <v>34.81</v>
      </c>
      <c r="AG59" s="114">
        <v>23.1</v>
      </c>
      <c r="AH59" s="116"/>
      <c r="AI59" s="62"/>
      <c r="AJ59" s="62"/>
      <c r="AK59" s="62"/>
      <c r="AL59" s="62"/>
      <c r="AM59" s="62"/>
      <c r="AN59" s="62"/>
      <c r="AO59" s="62"/>
      <c r="AP59" s="62"/>
      <c r="AQ59" s="62"/>
      <c r="AR59" s="116"/>
      <c r="AS59" s="62"/>
      <c r="AT59" s="62"/>
      <c r="AU59" s="62"/>
      <c r="AV59" s="62"/>
      <c r="AW59" s="62"/>
      <c r="AX59" s="62"/>
      <c r="AY59" s="62"/>
      <c r="AZ59" s="62"/>
      <c r="BA59" s="62"/>
    </row>
    <row r="60">
      <c r="A60" s="89" t="s">
        <v>1720</v>
      </c>
      <c r="B60" s="74">
        <v>45843.0</v>
      </c>
      <c r="C60" s="66" t="s">
        <v>1646</v>
      </c>
      <c r="D60" s="75">
        <v>0.5416666666666666</v>
      </c>
      <c r="E60" s="75">
        <v>0.5</v>
      </c>
      <c r="F60" s="117">
        <v>16.0</v>
      </c>
      <c r="G60" s="118">
        <v>45843.0</v>
      </c>
      <c r="H60" s="66" t="s">
        <v>376</v>
      </c>
      <c r="I60" s="66" t="s">
        <v>1735</v>
      </c>
      <c r="J60" s="124"/>
      <c r="K60" s="70" t="s">
        <v>1648</v>
      </c>
      <c r="L60" s="114">
        <v>33.75</v>
      </c>
      <c r="M60" s="114">
        <v>-84.5</v>
      </c>
      <c r="N60" s="115">
        <v>17.0</v>
      </c>
      <c r="O60" s="114">
        <v>31.64</v>
      </c>
      <c r="P60" s="114">
        <v>17.26</v>
      </c>
      <c r="Q60" s="114">
        <v>42.0</v>
      </c>
      <c r="R60" s="114">
        <v>33.16</v>
      </c>
      <c r="S60" s="114">
        <v>928.6</v>
      </c>
      <c r="T60" s="114">
        <v>2.66</v>
      </c>
      <c r="U60" s="114">
        <v>23.6</v>
      </c>
      <c r="V60" s="114">
        <v>44.3</v>
      </c>
      <c r="W60" s="114">
        <v>28.54</v>
      </c>
      <c r="X60" s="115">
        <v>18.0</v>
      </c>
      <c r="Y60" s="114">
        <v>31.93</v>
      </c>
      <c r="Z60" s="114">
        <v>16.7</v>
      </c>
      <c r="AA60" s="114">
        <v>40.0</v>
      </c>
      <c r="AB60" s="114">
        <v>33.67</v>
      </c>
      <c r="AC60" s="114">
        <v>964.8</v>
      </c>
      <c r="AD60" s="114">
        <v>2.42</v>
      </c>
      <c r="AE60" s="114">
        <v>23.5</v>
      </c>
      <c r="AF60" s="114">
        <v>44.75</v>
      </c>
      <c r="AG60" s="114">
        <v>28.59</v>
      </c>
      <c r="AH60" s="116"/>
      <c r="AI60" s="62"/>
      <c r="AJ60" s="62"/>
      <c r="AK60" s="62"/>
      <c r="AL60" s="62"/>
      <c r="AM60" s="62"/>
      <c r="AN60" s="62"/>
      <c r="AO60" s="62"/>
      <c r="AP60" s="62"/>
      <c r="AQ60" s="62"/>
      <c r="AR60" s="116"/>
      <c r="AS60" s="62"/>
      <c r="AT60" s="62"/>
      <c r="AU60" s="62"/>
      <c r="AV60" s="62"/>
      <c r="AW60" s="62"/>
      <c r="AX60" s="62"/>
      <c r="AY60" s="62"/>
      <c r="AZ60" s="62"/>
      <c r="BA60" s="62"/>
    </row>
    <row r="61">
      <c r="A61" s="71" t="s">
        <v>1721</v>
      </c>
      <c r="B61" s="74">
        <v>45843.0</v>
      </c>
      <c r="C61" s="78" t="s">
        <v>1640</v>
      </c>
      <c r="D61" s="75">
        <v>0.7083333333333334</v>
      </c>
      <c r="E61" s="75">
        <v>0.6666666666666666</v>
      </c>
      <c r="F61" s="117">
        <v>20.0</v>
      </c>
      <c r="G61" s="118">
        <v>45843.0</v>
      </c>
      <c r="H61" s="72" t="s">
        <v>249</v>
      </c>
      <c r="I61" s="72" t="s">
        <v>1733</v>
      </c>
      <c r="J61" s="119"/>
      <c r="K61" s="70" t="s">
        <v>1641</v>
      </c>
      <c r="L61" s="114">
        <v>40.75</v>
      </c>
      <c r="M61" s="114">
        <v>-74.0</v>
      </c>
      <c r="N61" s="115">
        <v>21.0</v>
      </c>
      <c r="O61" s="114">
        <v>29.92</v>
      </c>
      <c r="P61" s="114">
        <v>15.73</v>
      </c>
      <c r="Q61" s="114">
        <v>42.0</v>
      </c>
      <c r="R61" s="114">
        <v>30.22</v>
      </c>
      <c r="S61" s="114">
        <v>581.0</v>
      </c>
      <c r="T61" s="114">
        <v>1.65</v>
      </c>
      <c r="U61" s="114">
        <v>22.66</v>
      </c>
      <c r="V61" s="114">
        <v>42.97</v>
      </c>
      <c r="W61" s="114">
        <v>27.44</v>
      </c>
      <c r="X61" s="115">
        <v>22.0</v>
      </c>
      <c r="Y61" s="114">
        <v>29.13</v>
      </c>
      <c r="Z61" s="114">
        <v>16.27</v>
      </c>
      <c r="AA61" s="114">
        <v>45.0</v>
      </c>
      <c r="AB61" s="114">
        <v>28.95</v>
      </c>
      <c r="AC61" s="114">
        <v>462.3</v>
      </c>
      <c r="AD61" s="114">
        <v>1.87</v>
      </c>
      <c r="AE61" s="114">
        <v>22.57</v>
      </c>
      <c r="AF61" s="114">
        <v>41.96</v>
      </c>
      <c r="AG61" s="114">
        <v>27.1</v>
      </c>
      <c r="AH61" s="116"/>
      <c r="AI61" s="62"/>
      <c r="AJ61" s="62"/>
      <c r="AK61" s="62"/>
      <c r="AL61" s="62"/>
      <c r="AM61" s="62"/>
      <c r="AN61" s="62"/>
      <c r="AO61" s="62"/>
      <c r="AP61" s="62"/>
      <c r="AQ61" s="62"/>
      <c r="AR61" s="116"/>
      <c r="AS61" s="62"/>
      <c r="AT61" s="62"/>
      <c r="AU61" s="62"/>
      <c r="AV61" s="62"/>
      <c r="AW61" s="62"/>
      <c r="AX61" s="62"/>
      <c r="AY61" s="62"/>
      <c r="AZ61" s="62"/>
      <c r="BA61" s="62"/>
    </row>
    <row r="62">
      <c r="A62" s="89" t="s">
        <v>1722</v>
      </c>
      <c r="B62" s="74">
        <v>45846.0</v>
      </c>
      <c r="C62" s="78" t="s">
        <v>1640</v>
      </c>
      <c r="D62" s="75">
        <v>0.6666666666666666</v>
      </c>
      <c r="E62" s="75">
        <v>0.625</v>
      </c>
      <c r="F62" s="117">
        <v>19.0</v>
      </c>
      <c r="G62" s="118">
        <v>45846.0</v>
      </c>
      <c r="H62" s="72" t="s">
        <v>249</v>
      </c>
      <c r="I62" s="72" t="s">
        <v>1733</v>
      </c>
      <c r="J62" s="119"/>
      <c r="K62" s="70" t="s">
        <v>1641</v>
      </c>
      <c r="L62" s="114">
        <v>40.75</v>
      </c>
      <c r="M62" s="114">
        <v>-74.0</v>
      </c>
      <c r="N62" s="115">
        <v>20.0</v>
      </c>
      <c r="O62" s="114">
        <v>33.88</v>
      </c>
      <c r="P62" s="114">
        <v>22.85</v>
      </c>
      <c r="Q62" s="114">
        <v>52.0</v>
      </c>
      <c r="R62" s="114">
        <v>37.35</v>
      </c>
      <c r="S62" s="114">
        <v>514.5</v>
      </c>
      <c r="T62" s="114">
        <v>1.77</v>
      </c>
      <c r="U62" s="114">
        <v>26.93</v>
      </c>
      <c r="V62" s="114">
        <v>49.16</v>
      </c>
      <c r="W62" s="114">
        <v>32.07</v>
      </c>
      <c r="X62" s="115">
        <v>21.0</v>
      </c>
      <c r="Y62" s="114">
        <v>32.5</v>
      </c>
      <c r="Z62" s="114">
        <v>24.49</v>
      </c>
      <c r="AA62" s="114">
        <v>62.0</v>
      </c>
      <c r="AB62" s="114">
        <v>34.72</v>
      </c>
      <c r="AC62" s="114">
        <v>428.5</v>
      </c>
      <c r="AD62" s="114">
        <v>2.21</v>
      </c>
      <c r="AE62" s="114">
        <v>26.96</v>
      </c>
      <c r="AF62" s="114">
        <v>47.65</v>
      </c>
      <c r="AG62" s="114">
        <v>31.65</v>
      </c>
      <c r="AH62" s="116"/>
      <c r="AI62" s="62"/>
      <c r="AJ62" s="62"/>
      <c r="AK62" s="62"/>
      <c r="AL62" s="62"/>
      <c r="AM62" s="62"/>
      <c r="AN62" s="62"/>
      <c r="AO62" s="62"/>
      <c r="AP62" s="62"/>
      <c r="AQ62" s="62"/>
      <c r="AR62" s="116"/>
      <c r="AS62" s="62"/>
      <c r="AT62" s="62"/>
      <c r="AU62" s="62"/>
      <c r="AV62" s="62"/>
      <c r="AW62" s="62"/>
      <c r="AX62" s="62"/>
      <c r="AY62" s="62"/>
      <c r="AZ62" s="62"/>
      <c r="BA62" s="62"/>
    </row>
    <row r="63">
      <c r="A63" s="89" t="s">
        <v>1723</v>
      </c>
      <c r="B63" s="74">
        <v>45847.0</v>
      </c>
      <c r="C63" s="78" t="s">
        <v>1640</v>
      </c>
      <c r="D63" s="75">
        <v>0.6666666666666666</v>
      </c>
      <c r="E63" s="75">
        <v>0.625</v>
      </c>
      <c r="F63" s="117">
        <v>19.0</v>
      </c>
      <c r="G63" s="118">
        <v>45847.0</v>
      </c>
      <c r="H63" s="72" t="s">
        <v>249</v>
      </c>
      <c r="I63" s="72" t="s">
        <v>1733</v>
      </c>
      <c r="J63" s="119"/>
      <c r="K63" s="70" t="s">
        <v>1641</v>
      </c>
      <c r="L63" s="114">
        <v>40.75</v>
      </c>
      <c r="M63" s="114">
        <v>-74.0</v>
      </c>
      <c r="N63" s="115">
        <v>20.0</v>
      </c>
      <c r="O63" s="114">
        <v>32.0</v>
      </c>
      <c r="P63" s="114">
        <v>19.86</v>
      </c>
      <c r="Q63" s="114">
        <v>48.0</v>
      </c>
      <c r="R63" s="114">
        <v>33.79</v>
      </c>
      <c r="S63" s="114">
        <v>555.1</v>
      </c>
      <c r="T63" s="114">
        <v>1.17</v>
      </c>
      <c r="U63" s="114">
        <v>25.21</v>
      </c>
      <c r="V63" s="114">
        <v>46.85</v>
      </c>
      <c r="W63" s="114">
        <v>30.22</v>
      </c>
      <c r="X63" s="115">
        <v>21.0</v>
      </c>
      <c r="Y63" s="114">
        <v>32.31</v>
      </c>
      <c r="Z63" s="114">
        <v>18.86</v>
      </c>
      <c r="AA63" s="114">
        <v>44.0</v>
      </c>
      <c r="AB63" s="114">
        <v>34.36</v>
      </c>
      <c r="AC63" s="114">
        <v>555.8</v>
      </c>
      <c r="AD63" s="114">
        <v>1.14</v>
      </c>
      <c r="AE63" s="114">
        <v>24.9</v>
      </c>
      <c r="AF63" s="114">
        <v>47.0</v>
      </c>
      <c r="AG63" s="114">
        <v>30.06</v>
      </c>
      <c r="AH63" s="116"/>
      <c r="AI63" s="62"/>
      <c r="AJ63" s="62"/>
      <c r="AK63" s="62"/>
      <c r="AL63" s="62"/>
      <c r="AM63" s="62"/>
      <c r="AN63" s="62"/>
      <c r="AO63" s="62"/>
      <c r="AP63" s="62"/>
      <c r="AQ63" s="62"/>
      <c r="AR63" s="116"/>
      <c r="AS63" s="62"/>
      <c r="AT63" s="62"/>
      <c r="AU63" s="62"/>
      <c r="AV63" s="62"/>
      <c r="AW63" s="62"/>
      <c r="AX63" s="62"/>
      <c r="AY63" s="62"/>
      <c r="AZ63" s="62"/>
      <c r="BA63" s="62"/>
    </row>
    <row r="64">
      <c r="A64" s="101" t="s">
        <v>1724</v>
      </c>
      <c r="B64" s="74">
        <v>45851.0</v>
      </c>
      <c r="C64" s="78" t="s">
        <v>1640</v>
      </c>
      <c r="D64" s="75">
        <v>0.6666666666666666</v>
      </c>
      <c r="E64" s="75">
        <v>0.625</v>
      </c>
      <c r="F64" s="117">
        <v>19.0</v>
      </c>
      <c r="G64" s="118">
        <v>45851.0</v>
      </c>
      <c r="H64" s="72" t="s">
        <v>249</v>
      </c>
      <c r="I64" s="72" t="s">
        <v>1733</v>
      </c>
      <c r="J64" s="119"/>
      <c r="K64" s="70" t="s">
        <v>1641</v>
      </c>
      <c r="L64" s="114">
        <v>40.75</v>
      </c>
      <c r="M64" s="114">
        <v>-74.0</v>
      </c>
      <c r="N64" s="115">
        <v>20.0</v>
      </c>
      <c r="O64" s="114">
        <v>28.0</v>
      </c>
      <c r="P64" s="114">
        <v>22.14</v>
      </c>
      <c r="Q64" s="114">
        <v>70.0</v>
      </c>
      <c r="R64" s="114">
        <v>27.21</v>
      </c>
      <c r="S64" s="114">
        <v>393.4</v>
      </c>
      <c r="T64" s="114">
        <v>2.04</v>
      </c>
      <c r="U64" s="114">
        <v>24.39</v>
      </c>
      <c r="V64" s="114">
        <v>42.29</v>
      </c>
      <c r="W64" s="114">
        <v>28.33</v>
      </c>
      <c r="X64" s="115">
        <v>21.0</v>
      </c>
      <c r="Y64" s="114">
        <v>27.89</v>
      </c>
      <c r="Z64" s="114">
        <v>22.24</v>
      </c>
      <c r="AA64" s="114">
        <v>71.0</v>
      </c>
      <c r="AB64" s="114">
        <v>27.05</v>
      </c>
      <c r="AC64" s="114">
        <v>478.8</v>
      </c>
      <c r="AD64" s="114">
        <v>2.33</v>
      </c>
      <c r="AE64" s="114">
        <v>24.3</v>
      </c>
      <c r="AF64" s="114">
        <v>41.92</v>
      </c>
      <c r="AG64" s="114">
        <v>28.18</v>
      </c>
      <c r="AH64" s="116"/>
      <c r="AI64" s="62"/>
      <c r="AJ64" s="62"/>
      <c r="AK64" s="62"/>
      <c r="AL64" s="62"/>
      <c r="AM64" s="62"/>
      <c r="AN64" s="62"/>
      <c r="AO64" s="62"/>
      <c r="AP64" s="62"/>
      <c r="AQ64" s="62"/>
      <c r="AR64" s="116"/>
      <c r="AS64" s="62"/>
      <c r="AT64" s="62"/>
      <c r="AU64" s="62"/>
      <c r="AV64" s="62"/>
      <c r="AW64" s="62"/>
      <c r="AX64" s="62"/>
      <c r="AY64" s="62"/>
      <c r="AZ64" s="62"/>
      <c r="BA64" s="62"/>
    </row>
    <row r="65">
      <c r="A65" s="62"/>
      <c r="B65" s="98"/>
      <c r="C65" s="98"/>
      <c r="D65" s="98"/>
      <c r="E65" s="98"/>
      <c r="F65" s="134"/>
      <c r="G65" s="98"/>
      <c r="H65" s="98"/>
      <c r="I65" s="98"/>
      <c r="J65" s="98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</row>
    <row r="66">
      <c r="A66" s="62"/>
      <c r="B66" s="98"/>
      <c r="C66" s="98"/>
      <c r="D66" s="98"/>
      <c r="E66" s="98"/>
      <c r="F66" s="134"/>
      <c r="G66" s="98"/>
      <c r="H66" s="98"/>
      <c r="I66" s="98"/>
      <c r="J66" s="98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</row>
    <row r="67">
      <c r="A67" s="62"/>
      <c r="B67" s="98"/>
      <c r="C67" s="98"/>
      <c r="D67" s="98"/>
      <c r="E67" s="98"/>
      <c r="F67" s="134"/>
      <c r="G67" s="98"/>
      <c r="H67" s="98"/>
      <c r="I67" s="98"/>
      <c r="J67" s="98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</row>
    <row r="68">
      <c r="A68" s="62"/>
      <c r="B68" s="98"/>
      <c r="C68" s="98"/>
      <c r="D68" s="98"/>
      <c r="E68" s="98"/>
      <c r="F68" s="134"/>
      <c r="G68" s="98"/>
      <c r="H68" s="98"/>
      <c r="I68" s="98"/>
      <c r="J68" s="98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</row>
    <row r="69">
      <c r="A69" s="62"/>
      <c r="B69" s="98"/>
      <c r="C69" s="98"/>
      <c r="D69" s="98"/>
      <c r="E69" s="98"/>
      <c r="F69" s="134"/>
      <c r="G69" s="98"/>
      <c r="H69" s="98"/>
      <c r="I69" s="98"/>
      <c r="J69" s="98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</row>
    <row r="70">
      <c r="A70" s="62"/>
      <c r="B70" s="98"/>
      <c r="C70" s="98"/>
      <c r="D70" s="98"/>
      <c r="E70" s="98"/>
      <c r="F70" s="134"/>
      <c r="G70" s="98"/>
      <c r="H70" s="98"/>
      <c r="I70" s="98"/>
      <c r="J70" s="98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</row>
    <row r="71">
      <c r="A71" s="62"/>
      <c r="B71" s="98"/>
      <c r="C71" s="98"/>
      <c r="D71" s="98"/>
      <c r="E71" s="98"/>
      <c r="F71" s="134"/>
      <c r="G71" s="98"/>
      <c r="H71" s="98"/>
      <c r="I71" s="98"/>
      <c r="J71" s="98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1738</v>
      </c>
      <c r="B1" s="20" t="s">
        <v>1739</v>
      </c>
      <c r="C1" s="20" t="s">
        <v>1740</v>
      </c>
      <c r="D1" s="20" t="s">
        <v>1741</v>
      </c>
      <c r="E1" s="20" t="s">
        <v>32</v>
      </c>
      <c r="F1" s="20" t="s">
        <v>33</v>
      </c>
      <c r="G1" s="20" t="s">
        <v>34</v>
      </c>
      <c r="H1" s="20" t="s">
        <v>35</v>
      </c>
      <c r="I1" s="20" t="s">
        <v>36</v>
      </c>
      <c r="J1" s="20" t="s">
        <v>37</v>
      </c>
      <c r="K1" s="20" t="s">
        <v>38</v>
      </c>
      <c r="L1" s="20" t="s">
        <v>39</v>
      </c>
      <c r="M1" s="14" t="s">
        <v>1742</v>
      </c>
      <c r="N1" s="14" t="s">
        <v>1743</v>
      </c>
      <c r="O1" s="14" t="s">
        <v>1744</v>
      </c>
      <c r="P1" s="14" t="s">
        <v>1745</v>
      </c>
      <c r="Q1" s="14" t="s">
        <v>1746</v>
      </c>
      <c r="R1" s="14" t="s">
        <v>1747</v>
      </c>
      <c r="S1" s="14" t="s">
        <v>1748</v>
      </c>
      <c r="T1" s="14" t="s">
        <v>1749</v>
      </c>
    </row>
    <row r="2">
      <c r="A2" s="14" t="s">
        <v>377</v>
      </c>
      <c r="B2" s="14">
        <v>1.0</v>
      </c>
      <c r="C2" s="14" t="s">
        <v>1750</v>
      </c>
      <c r="D2" s="14">
        <v>7310.0</v>
      </c>
      <c r="E2" s="14">
        <v>732496.0000000002</v>
      </c>
      <c r="F2" s="14">
        <v>304966.3</v>
      </c>
      <c r="G2" s="14">
        <v>280221.2</v>
      </c>
      <c r="H2" s="14">
        <v>91104.29999999999</v>
      </c>
      <c r="I2" s="14">
        <v>39621.799999999974</v>
      </c>
      <c r="J2" s="14">
        <v>16608.8</v>
      </c>
      <c r="K2" s="14">
        <v>7822.0</v>
      </c>
      <c r="L2" s="14">
        <v>3212.8</v>
      </c>
      <c r="M2" s="14">
        <f t="shared" ref="M2:T2" si="1">E2/$D2</f>
        <v>100.2046512</v>
      </c>
      <c r="N2" s="14">
        <f t="shared" si="1"/>
        <v>41.71905609</v>
      </c>
      <c r="O2" s="14">
        <f t="shared" si="1"/>
        <v>38.33395349</v>
      </c>
      <c r="P2" s="14">
        <f t="shared" si="1"/>
        <v>12.46296854</v>
      </c>
      <c r="Q2" s="14">
        <f t="shared" si="1"/>
        <v>5.420218878</v>
      </c>
      <c r="R2" s="14">
        <f t="shared" si="1"/>
        <v>2.272065663</v>
      </c>
      <c r="S2" s="14">
        <f t="shared" si="1"/>
        <v>1.07004104</v>
      </c>
      <c r="T2" s="14">
        <f t="shared" si="1"/>
        <v>0.4395075239</v>
      </c>
    </row>
    <row r="3">
      <c r="A3" s="14" t="s">
        <v>187</v>
      </c>
      <c r="B3" s="14">
        <v>2.0</v>
      </c>
      <c r="C3" s="14" t="s">
        <v>1750</v>
      </c>
      <c r="D3" s="14">
        <v>6850.0</v>
      </c>
      <c r="E3" s="14">
        <v>742690.5</v>
      </c>
      <c r="F3" s="14">
        <v>273912.69999999995</v>
      </c>
      <c r="G3" s="14">
        <v>302212.8</v>
      </c>
      <c r="H3" s="14">
        <v>103976.80000000009</v>
      </c>
      <c r="I3" s="14">
        <v>44137.600000000006</v>
      </c>
      <c r="J3" s="14">
        <v>18452.1</v>
      </c>
      <c r="K3" s="14">
        <v>8984.0</v>
      </c>
      <c r="L3" s="14">
        <v>3535.0</v>
      </c>
      <c r="M3" s="14">
        <f t="shared" ref="M3:T3" si="2">E3/$D3</f>
        <v>108.4219708</v>
      </c>
      <c r="N3" s="14">
        <f t="shared" si="2"/>
        <v>39.98725547</v>
      </c>
      <c r="O3" s="14">
        <f t="shared" si="2"/>
        <v>44.11865693</v>
      </c>
      <c r="P3" s="14">
        <f t="shared" si="2"/>
        <v>15.17909489</v>
      </c>
      <c r="Q3" s="14">
        <f t="shared" si="2"/>
        <v>6.443445255</v>
      </c>
      <c r="R3" s="14">
        <f t="shared" si="2"/>
        <v>2.693737226</v>
      </c>
      <c r="S3" s="14">
        <f t="shared" si="2"/>
        <v>1.311532847</v>
      </c>
      <c r="T3" s="14">
        <f t="shared" si="2"/>
        <v>0.5160583942</v>
      </c>
    </row>
    <row r="4">
      <c r="A4" s="14" t="s">
        <v>563</v>
      </c>
      <c r="B4" s="14">
        <v>4.0</v>
      </c>
      <c r="C4" s="14" t="s">
        <v>1751</v>
      </c>
      <c r="D4" s="14">
        <v>6180.0</v>
      </c>
      <c r="E4" s="14">
        <v>594021.9999999998</v>
      </c>
      <c r="F4" s="14">
        <v>259155.20000000004</v>
      </c>
      <c r="G4" s="14">
        <v>226832.79999999996</v>
      </c>
      <c r="H4" s="14">
        <v>70749.5</v>
      </c>
      <c r="I4" s="14">
        <v>28174.499999999996</v>
      </c>
      <c r="J4" s="14">
        <v>9193.900000000001</v>
      </c>
      <c r="K4" s="14">
        <v>6137.0</v>
      </c>
      <c r="L4" s="14">
        <v>2278.5</v>
      </c>
      <c r="M4" s="14">
        <f t="shared" ref="M4:T4" si="3">E4/$D4</f>
        <v>96.12006472</v>
      </c>
      <c r="N4" s="14">
        <f t="shared" si="3"/>
        <v>41.93449838</v>
      </c>
      <c r="O4" s="14">
        <f t="shared" si="3"/>
        <v>36.70433657</v>
      </c>
      <c r="P4" s="14">
        <f t="shared" si="3"/>
        <v>11.44813916</v>
      </c>
      <c r="Q4" s="14">
        <f t="shared" si="3"/>
        <v>4.558980583</v>
      </c>
      <c r="R4" s="14">
        <f t="shared" si="3"/>
        <v>1.487686084</v>
      </c>
      <c r="S4" s="14">
        <f t="shared" si="3"/>
        <v>0.9930420712</v>
      </c>
      <c r="T4" s="14">
        <f t="shared" si="3"/>
        <v>0.3686893204</v>
      </c>
    </row>
    <row r="5">
      <c r="A5" s="14" t="s">
        <v>873</v>
      </c>
      <c r="B5" s="14">
        <v>3.0</v>
      </c>
      <c r="C5" s="14" t="s">
        <v>1750</v>
      </c>
      <c r="D5" s="14">
        <v>5960.0</v>
      </c>
      <c r="E5" s="14">
        <v>622685.8</v>
      </c>
      <c r="F5" s="14">
        <v>245584.99999999997</v>
      </c>
      <c r="G5" s="14">
        <v>247741.90000000002</v>
      </c>
      <c r="H5" s="14">
        <v>82050.60000000003</v>
      </c>
      <c r="I5" s="14">
        <v>32323.600000000002</v>
      </c>
      <c r="J5" s="14">
        <v>15025.899999999998</v>
      </c>
      <c r="K5" s="14">
        <v>7062.0</v>
      </c>
      <c r="L5" s="14">
        <v>2716.3999999999996</v>
      </c>
      <c r="M5" s="14">
        <f t="shared" ref="M5:T5" si="4">E5/$D5</f>
        <v>104.4774832</v>
      </c>
      <c r="N5" s="14">
        <f t="shared" si="4"/>
        <v>41.20553691</v>
      </c>
      <c r="O5" s="14">
        <f t="shared" si="4"/>
        <v>41.56743289</v>
      </c>
      <c r="P5" s="14">
        <f t="shared" si="4"/>
        <v>13.76687919</v>
      </c>
      <c r="Q5" s="14">
        <f t="shared" si="4"/>
        <v>5.423422819</v>
      </c>
      <c r="R5" s="14">
        <f t="shared" si="4"/>
        <v>2.521124161</v>
      </c>
      <c r="S5" s="14">
        <f t="shared" si="4"/>
        <v>1.184899329</v>
      </c>
      <c r="T5" s="14">
        <f t="shared" si="4"/>
        <v>0.4557718121</v>
      </c>
    </row>
    <row r="6">
      <c r="A6" s="14" t="s">
        <v>874</v>
      </c>
      <c r="B6" s="14">
        <v>7.0</v>
      </c>
      <c r="C6" s="14" t="s">
        <v>1751</v>
      </c>
      <c r="D6" s="14">
        <v>5450.0</v>
      </c>
      <c r="E6" s="14">
        <v>556220.3999999999</v>
      </c>
      <c r="F6" s="14">
        <v>221198.89999999997</v>
      </c>
      <c r="G6" s="14">
        <v>227433.00000000006</v>
      </c>
      <c r="H6" s="14">
        <v>71086.89999999998</v>
      </c>
      <c r="I6" s="14">
        <v>26443.4</v>
      </c>
      <c r="J6" s="14">
        <v>10077.999999999998</v>
      </c>
      <c r="K6" s="14">
        <v>6188.0</v>
      </c>
      <c r="L6" s="14">
        <v>2199.0</v>
      </c>
      <c r="M6" s="14">
        <f t="shared" ref="M6:T6" si="5">E6/$D6</f>
        <v>102.058789</v>
      </c>
      <c r="N6" s="14">
        <f t="shared" si="5"/>
        <v>40.58695413</v>
      </c>
      <c r="O6" s="14">
        <f t="shared" si="5"/>
        <v>41.73082569</v>
      </c>
      <c r="P6" s="14">
        <f t="shared" si="5"/>
        <v>13.04346789</v>
      </c>
      <c r="Q6" s="14">
        <f t="shared" si="5"/>
        <v>4.852</v>
      </c>
      <c r="R6" s="14">
        <f t="shared" si="5"/>
        <v>1.849174312</v>
      </c>
      <c r="S6" s="14">
        <f t="shared" si="5"/>
        <v>1.135412844</v>
      </c>
      <c r="T6" s="14">
        <f t="shared" si="5"/>
        <v>0.4034862385</v>
      </c>
    </row>
    <row r="7">
      <c r="A7" s="14" t="s">
        <v>250</v>
      </c>
      <c r="B7" s="14">
        <v>8.0</v>
      </c>
      <c r="C7" s="14" t="s">
        <v>1750</v>
      </c>
      <c r="D7" s="14">
        <v>5300.0</v>
      </c>
      <c r="E7" s="14">
        <v>536288.7</v>
      </c>
      <c r="F7" s="14">
        <v>220063.60000000006</v>
      </c>
      <c r="G7" s="14">
        <v>202528.60000000003</v>
      </c>
      <c r="H7" s="14">
        <v>71018.59999999999</v>
      </c>
      <c r="I7" s="14">
        <v>30781.100000000002</v>
      </c>
      <c r="J7" s="14">
        <v>11921.300000000005</v>
      </c>
      <c r="K7" s="14">
        <v>6174.0</v>
      </c>
      <c r="L7" s="14">
        <v>2501.7</v>
      </c>
      <c r="M7" s="14">
        <f t="shared" ref="M7:T7" si="6">E7/$D7</f>
        <v>101.1865472</v>
      </c>
      <c r="N7" s="14">
        <f t="shared" si="6"/>
        <v>41.52143396</v>
      </c>
      <c r="O7" s="14">
        <f t="shared" si="6"/>
        <v>38.2129434</v>
      </c>
      <c r="P7" s="14">
        <f t="shared" si="6"/>
        <v>13.39973585</v>
      </c>
      <c r="Q7" s="14">
        <f t="shared" si="6"/>
        <v>5.807754717</v>
      </c>
      <c r="R7" s="14">
        <f t="shared" si="6"/>
        <v>2.249301887</v>
      </c>
      <c r="S7" s="14">
        <f t="shared" si="6"/>
        <v>1.16490566</v>
      </c>
      <c r="T7" s="14">
        <f t="shared" si="6"/>
        <v>0.4720188679</v>
      </c>
    </row>
    <row r="8">
      <c r="A8" s="14" t="s">
        <v>123</v>
      </c>
      <c r="B8" s="14">
        <v>6.0</v>
      </c>
      <c r="C8" s="14" t="s">
        <v>1750</v>
      </c>
      <c r="D8" s="14">
        <v>5070.0</v>
      </c>
      <c r="E8" s="14">
        <v>554562.5000000001</v>
      </c>
      <c r="F8" s="14">
        <v>202026.59999999998</v>
      </c>
      <c r="G8" s="14">
        <v>233563.29999999996</v>
      </c>
      <c r="H8" s="14">
        <v>77498.90000000001</v>
      </c>
      <c r="I8" s="14">
        <v>30483.900000000005</v>
      </c>
      <c r="J8" s="14">
        <v>10996.200000000003</v>
      </c>
      <c r="K8" s="14">
        <v>6786.0</v>
      </c>
      <c r="L8" s="14">
        <v>2423.3</v>
      </c>
      <c r="M8" s="14">
        <f t="shared" ref="M8:T8" si="7">E8/$D8</f>
        <v>109.3811637</v>
      </c>
      <c r="N8" s="14">
        <f t="shared" si="7"/>
        <v>39.84745562</v>
      </c>
      <c r="O8" s="14">
        <f t="shared" si="7"/>
        <v>46.06771203</v>
      </c>
      <c r="P8" s="14">
        <f t="shared" si="7"/>
        <v>15.28577909</v>
      </c>
      <c r="Q8" s="14">
        <f t="shared" si="7"/>
        <v>6.01260355</v>
      </c>
      <c r="R8" s="14">
        <f t="shared" si="7"/>
        <v>2.16887574</v>
      </c>
      <c r="S8" s="14">
        <f t="shared" si="7"/>
        <v>1.338461538</v>
      </c>
      <c r="T8" s="14">
        <f t="shared" si="7"/>
        <v>0.4779684418</v>
      </c>
    </row>
    <row r="9">
      <c r="A9" s="14" t="s">
        <v>564</v>
      </c>
      <c r="B9" s="14">
        <v>5.0</v>
      </c>
      <c r="C9" s="14" t="s">
        <v>1750</v>
      </c>
      <c r="D9" s="14">
        <v>4940.0</v>
      </c>
      <c r="E9" s="14">
        <v>541025.6000000001</v>
      </c>
      <c r="F9" s="14">
        <v>189864.80000000005</v>
      </c>
      <c r="G9" s="14">
        <v>234053.1</v>
      </c>
      <c r="H9" s="14">
        <v>75826.49999999999</v>
      </c>
      <c r="I9" s="14">
        <v>30879.699999999997</v>
      </c>
      <c r="J9" s="14">
        <v>10459.500000000002</v>
      </c>
      <c r="K9" s="14">
        <v>6756.0</v>
      </c>
      <c r="L9" s="14">
        <v>2503.3</v>
      </c>
      <c r="M9" s="14">
        <f t="shared" ref="M9:T9" si="8">E9/$D9</f>
        <v>109.5193522</v>
      </c>
      <c r="N9" s="14">
        <f t="shared" si="8"/>
        <v>38.43417004</v>
      </c>
      <c r="O9" s="14">
        <f t="shared" si="8"/>
        <v>47.37917004</v>
      </c>
      <c r="P9" s="14">
        <f t="shared" si="8"/>
        <v>15.34949393</v>
      </c>
      <c r="Q9" s="14">
        <f t="shared" si="8"/>
        <v>6.250951417</v>
      </c>
      <c r="R9" s="14">
        <f t="shared" si="8"/>
        <v>2.117307692</v>
      </c>
      <c r="S9" s="14">
        <f t="shared" si="8"/>
        <v>1.367611336</v>
      </c>
      <c r="T9" s="14">
        <f t="shared" si="8"/>
        <v>0.5067408907</v>
      </c>
    </row>
    <row r="10">
      <c r="A10" s="14" t="s">
        <v>441</v>
      </c>
      <c r="B10" s="14">
        <v>10.0</v>
      </c>
      <c r="C10" s="14" t="s">
        <v>1750</v>
      </c>
      <c r="D10" s="14">
        <v>4440.0</v>
      </c>
      <c r="E10" s="14">
        <v>442548.8</v>
      </c>
      <c r="F10" s="14">
        <v>181269.19999999992</v>
      </c>
      <c r="G10" s="14">
        <v>182627.2</v>
      </c>
      <c r="H10" s="14">
        <v>53678.9</v>
      </c>
      <c r="I10" s="14">
        <v>19206.1</v>
      </c>
      <c r="J10" s="14">
        <v>5796.5</v>
      </c>
      <c r="K10" s="14">
        <v>4652.0</v>
      </c>
      <c r="L10" s="14">
        <v>1603.7</v>
      </c>
      <c r="M10" s="14">
        <f t="shared" ref="M10:T10" si="9">E10/$D10</f>
        <v>99.67315315</v>
      </c>
      <c r="N10" s="14">
        <f t="shared" si="9"/>
        <v>40.8263964</v>
      </c>
      <c r="O10" s="14">
        <f t="shared" si="9"/>
        <v>41.13225225</v>
      </c>
      <c r="P10" s="14">
        <f t="shared" si="9"/>
        <v>12.08984234</v>
      </c>
      <c r="Q10" s="14">
        <f t="shared" si="9"/>
        <v>4.325698198</v>
      </c>
      <c r="R10" s="14">
        <f t="shared" si="9"/>
        <v>1.305518018</v>
      </c>
      <c r="S10" s="14">
        <f t="shared" si="9"/>
        <v>1.047747748</v>
      </c>
      <c r="T10" s="14">
        <f t="shared" si="9"/>
        <v>0.3611936937</v>
      </c>
    </row>
    <row r="11">
      <c r="A11" s="14" t="s">
        <v>313</v>
      </c>
      <c r="B11" s="14">
        <v>14.0</v>
      </c>
      <c r="C11" s="14" t="s">
        <v>1751</v>
      </c>
      <c r="D11" s="14">
        <v>4400.0</v>
      </c>
      <c r="E11" s="14">
        <v>471477.70000000007</v>
      </c>
      <c r="F11" s="14">
        <v>172001.7</v>
      </c>
      <c r="G11" s="14">
        <v>202589.30000000002</v>
      </c>
      <c r="H11" s="14">
        <v>65877.09999999996</v>
      </c>
      <c r="I11" s="14">
        <v>23517.2</v>
      </c>
      <c r="J11" s="14">
        <v>7511.5</v>
      </c>
      <c r="K11" s="14">
        <v>5738.0</v>
      </c>
      <c r="L11" s="14">
        <v>1921.4</v>
      </c>
      <c r="M11" s="14">
        <f t="shared" ref="M11:T11" si="10">E11/$D11</f>
        <v>107.1540227</v>
      </c>
      <c r="N11" s="14">
        <f t="shared" si="10"/>
        <v>39.09129545</v>
      </c>
      <c r="O11" s="14">
        <f t="shared" si="10"/>
        <v>46.04302273</v>
      </c>
      <c r="P11" s="14">
        <f t="shared" si="10"/>
        <v>14.97206818</v>
      </c>
      <c r="Q11" s="14">
        <f t="shared" si="10"/>
        <v>5.344818182</v>
      </c>
      <c r="R11" s="14">
        <f t="shared" si="10"/>
        <v>1.707159091</v>
      </c>
      <c r="S11" s="14">
        <f t="shared" si="10"/>
        <v>1.304090909</v>
      </c>
      <c r="T11" s="14">
        <f t="shared" si="10"/>
        <v>0.4366818182</v>
      </c>
    </row>
    <row r="12">
      <c r="A12" s="14" t="s">
        <v>810</v>
      </c>
      <c r="B12" s="14">
        <v>9.0</v>
      </c>
      <c r="C12" s="14" t="s">
        <v>1750</v>
      </c>
      <c r="D12" s="14">
        <v>4290.0</v>
      </c>
      <c r="E12" s="14">
        <v>466396.0999999999</v>
      </c>
      <c r="F12" s="14">
        <v>167609.4</v>
      </c>
      <c r="G12" s="14">
        <v>196388.40000000002</v>
      </c>
      <c r="H12" s="14">
        <v>66494.40000000001</v>
      </c>
      <c r="I12" s="14">
        <v>26324.699999999993</v>
      </c>
      <c r="J12" s="14">
        <v>9579.099999999999</v>
      </c>
      <c r="K12" s="14">
        <v>5079.0</v>
      </c>
      <c r="L12" s="14">
        <v>1770.0</v>
      </c>
      <c r="M12" s="14">
        <f t="shared" ref="M12:T12" si="11">E12/$D12</f>
        <v>108.7170396</v>
      </c>
      <c r="N12" s="14">
        <f t="shared" si="11"/>
        <v>39.06979021</v>
      </c>
      <c r="O12" s="14">
        <f t="shared" si="11"/>
        <v>45.77818182</v>
      </c>
      <c r="P12" s="14">
        <f t="shared" si="11"/>
        <v>15.49986014</v>
      </c>
      <c r="Q12" s="14">
        <f t="shared" si="11"/>
        <v>6.136293706</v>
      </c>
      <c r="R12" s="14">
        <f t="shared" si="11"/>
        <v>2.232890443</v>
      </c>
      <c r="S12" s="14">
        <f t="shared" si="11"/>
        <v>1.183916084</v>
      </c>
      <c r="T12" s="14">
        <f t="shared" si="11"/>
        <v>0.4125874126</v>
      </c>
    </row>
    <row r="13">
      <c r="A13" s="14" t="s">
        <v>748</v>
      </c>
      <c r="B13" s="14">
        <v>12.0</v>
      </c>
      <c r="C13" s="14" t="s">
        <v>1750</v>
      </c>
      <c r="D13" s="14">
        <v>3990.0</v>
      </c>
      <c r="E13" s="14">
        <v>429574.3999999999</v>
      </c>
      <c r="F13" s="14">
        <v>161931.4</v>
      </c>
      <c r="G13" s="14">
        <v>174350.80000000008</v>
      </c>
      <c r="H13" s="14">
        <v>61457.60000000002</v>
      </c>
      <c r="I13" s="14">
        <v>23925.799999999996</v>
      </c>
      <c r="J13" s="14">
        <v>7941.599999999999</v>
      </c>
      <c r="K13" s="14">
        <v>5408.0</v>
      </c>
      <c r="L13" s="14">
        <v>1871.2</v>
      </c>
      <c r="M13" s="14">
        <f t="shared" ref="M13:T13" si="12">E13/$D13</f>
        <v>107.6627569</v>
      </c>
      <c r="N13" s="14">
        <f t="shared" si="12"/>
        <v>40.58431078</v>
      </c>
      <c r="O13" s="14">
        <f t="shared" si="12"/>
        <v>43.69694236</v>
      </c>
      <c r="P13" s="14">
        <f t="shared" si="12"/>
        <v>15.40290727</v>
      </c>
      <c r="Q13" s="14">
        <f t="shared" si="12"/>
        <v>5.996441103</v>
      </c>
      <c r="R13" s="14">
        <f t="shared" si="12"/>
        <v>1.99037594</v>
      </c>
      <c r="S13" s="14">
        <f t="shared" si="12"/>
        <v>1.355388471</v>
      </c>
      <c r="T13" s="14">
        <f t="shared" si="12"/>
        <v>0.4689724311</v>
      </c>
    </row>
    <row r="14">
      <c r="A14" s="14" t="s">
        <v>501</v>
      </c>
      <c r="B14" s="14">
        <v>11.0</v>
      </c>
      <c r="C14" s="14" t="s">
        <v>1751</v>
      </c>
      <c r="D14" s="14">
        <v>3980.0</v>
      </c>
      <c r="E14" s="14">
        <v>414086.5999999999</v>
      </c>
      <c r="F14" s="14">
        <v>155059.99999999997</v>
      </c>
      <c r="G14" s="14">
        <v>170363.00000000006</v>
      </c>
      <c r="H14" s="14">
        <v>56937.899999999994</v>
      </c>
      <c r="I14" s="14">
        <v>22675.300000000007</v>
      </c>
      <c r="J14" s="14">
        <v>9153.7</v>
      </c>
      <c r="K14" s="14">
        <v>4883.0</v>
      </c>
      <c r="L14" s="14">
        <v>1903.4</v>
      </c>
      <c r="M14" s="14">
        <f t="shared" ref="M14:T14" si="13">E14/$D14</f>
        <v>104.0418593</v>
      </c>
      <c r="N14" s="14">
        <f t="shared" si="13"/>
        <v>38.95979899</v>
      </c>
      <c r="O14" s="14">
        <f t="shared" si="13"/>
        <v>42.80477387</v>
      </c>
      <c r="P14" s="14">
        <f t="shared" si="13"/>
        <v>14.30600503</v>
      </c>
      <c r="Q14" s="14">
        <f t="shared" si="13"/>
        <v>5.697311558</v>
      </c>
      <c r="R14" s="14">
        <f t="shared" si="13"/>
        <v>2.299924623</v>
      </c>
      <c r="S14" s="14">
        <f t="shared" si="13"/>
        <v>1.226884422</v>
      </c>
      <c r="T14" s="14">
        <f t="shared" si="13"/>
        <v>0.478241206</v>
      </c>
    </row>
    <row r="15">
      <c r="A15" s="14" t="s">
        <v>747</v>
      </c>
      <c r="B15" s="14">
        <v>15.0</v>
      </c>
      <c r="C15" s="14" t="s">
        <v>1751</v>
      </c>
      <c r="D15" s="14">
        <v>3960.0</v>
      </c>
      <c r="E15" s="14">
        <v>424273.59999999986</v>
      </c>
      <c r="F15" s="14">
        <v>153420.59999999998</v>
      </c>
      <c r="G15" s="14">
        <v>180132.49999999997</v>
      </c>
      <c r="H15" s="14">
        <v>58938.69999999999</v>
      </c>
      <c r="I15" s="14">
        <v>22883.6</v>
      </c>
      <c r="J15" s="14">
        <v>8906.599999999999</v>
      </c>
      <c r="K15" s="14">
        <v>5150.0</v>
      </c>
      <c r="L15" s="14">
        <v>1865.5</v>
      </c>
      <c r="M15" s="14">
        <f t="shared" ref="M15:T15" si="14">E15/$D15</f>
        <v>107.139798</v>
      </c>
      <c r="N15" s="14">
        <f t="shared" si="14"/>
        <v>38.74257576</v>
      </c>
      <c r="O15" s="14">
        <f t="shared" si="14"/>
        <v>45.48800505</v>
      </c>
      <c r="P15" s="14">
        <f t="shared" si="14"/>
        <v>14.8835101</v>
      </c>
      <c r="Q15" s="14">
        <f t="shared" si="14"/>
        <v>5.778686869</v>
      </c>
      <c r="R15" s="14">
        <f t="shared" si="14"/>
        <v>2.249141414</v>
      </c>
      <c r="S15" s="14">
        <f t="shared" si="14"/>
        <v>1.300505051</v>
      </c>
      <c r="T15" s="14">
        <f t="shared" si="14"/>
        <v>0.4710858586</v>
      </c>
    </row>
    <row r="16">
      <c r="A16" s="14" t="s">
        <v>999</v>
      </c>
      <c r="B16" s="14">
        <v>13.0</v>
      </c>
      <c r="C16" s="14" t="s">
        <v>1750</v>
      </c>
      <c r="D16" s="14">
        <v>3960.0</v>
      </c>
      <c r="E16" s="14">
        <v>427736.10000000015</v>
      </c>
      <c r="F16" s="14">
        <v>158028.19999999995</v>
      </c>
      <c r="G16" s="14">
        <v>179815.10000000003</v>
      </c>
      <c r="H16" s="14">
        <v>58102.60000000002</v>
      </c>
      <c r="I16" s="14">
        <v>23285.399999999998</v>
      </c>
      <c r="J16" s="14">
        <v>8515.2</v>
      </c>
      <c r="K16" s="14">
        <v>4344.0</v>
      </c>
      <c r="L16" s="14">
        <v>1510.0</v>
      </c>
      <c r="M16" s="14">
        <f t="shared" ref="M16:T16" si="15">E16/$D16</f>
        <v>108.0141667</v>
      </c>
      <c r="N16" s="14">
        <f t="shared" si="15"/>
        <v>39.90611111</v>
      </c>
      <c r="O16" s="14">
        <f t="shared" si="15"/>
        <v>45.40785354</v>
      </c>
      <c r="P16" s="14">
        <f t="shared" si="15"/>
        <v>14.67237374</v>
      </c>
      <c r="Q16" s="14">
        <f t="shared" si="15"/>
        <v>5.880151515</v>
      </c>
      <c r="R16" s="14">
        <f t="shared" si="15"/>
        <v>2.15030303</v>
      </c>
      <c r="S16" s="14">
        <f t="shared" si="15"/>
        <v>1.096969697</v>
      </c>
      <c r="T16" s="14">
        <f t="shared" si="15"/>
        <v>0.3813131313</v>
      </c>
    </row>
    <row r="17">
      <c r="A17" s="14" t="s">
        <v>64</v>
      </c>
      <c r="B17" s="14">
        <v>16.0</v>
      </c>
      <c r="C17" s="14" t="s">
        <v>1751</v>
      </c>
      <c r="D17" s="14">
        <v>3910.0</v>
      </c>
      <c r="E17" s="14">
        <v>409554.19999999995</v>
      </c>
      <c r="F17" s="14">
        <v>162467.5</v>
      </c>
      <c r="G17" s="14">
        <v>166839.60000000003</v>
      </c>
      <c r="H17" s="14">
        <v>50882.59999999999</v>
      </c>
      <c r="I17" s="14">
        <v>21386.199999999993</v>
      </c>
      <c r="J17" s="14">
        <v>7978.9000000000015</v>
      </c>
      <c r="K17" s="14">
        <v>4441.0</v>
      </c>
      <c r="L17" s="14">
        <v>1766.0</v>
      </c>
      <c r="M17" s="14">
        <f t="shared" ref="M17:T17" si="16">E17/$D17</f>
        <v>104.7453197</v>
      </c>
      <c r="N17" s="14">
        <f t="shared" si="16"/>
        <v>41.55179028</v>
      </c>
      <c r="O17" s="14">
        <f t="shared" si="16"/>
        <v>42.66997442</v>
      </c>
      <c r="P17" s="14">
        <f t="shared" si="16"/>
        <v>13.01345269</v>
      </c>
      <c r="Q17" s="14">
        <f t="shared" si="16"/>
        <v>5.469616368</v>
      </c>
      <c r="R17" s="14">
        <f t="shared" si="16"/>
        <v>2.040639386</v>
      </c>
      <c r="S17" s="14">
        <f t="shared" si="16"/>
        <v>1.135805627</v>
      </c>
      <c r="T17" s="14">
        <f t="shared" si="16"/>
        <v>0.4516624041</v>
      </c>
    </row>
    <row r="18">
      <c r="A18" s="14" t="s">
        <v>124</v>
      </c>
      <c r="B18" s="14">
        <v>27.0</v>
      </c>
      <c r="C18" s="14" t="s">
        <v>1750</v>
      </c>
      <c r="D18" s="14">
        <v>3070.0</v>
      </c>
      <c r="E18" s="14">
        <v>335248.39999999997</v>
      </c>
      <c r="F18" s="14">
        <v>121856.99999999997</v>
      </c>
      <c r="G18" s="14">
        <v>154119.00000000003</v>
      </c>
      <c r="H18" s="14">
        <v>43550.80000000001</v>
      </c>
      <c r="I18" s="14">
        <v>12399.400000000001</v>
      </c>
      <c r="J18" s="14">
        <v>3502.5999999999995</v>
      </c>
      <c r="K18" s="14">
        <v>3513.0</v>
      </c>
      <c r="L18" s="14">
        <v>989.5</v>
      </c>
      <c r="M18" s="14">
        <f t="shared" ref="M18:T18" si="17">E18/$D18</f>
        <v>109.2014332</v>
      </c>
      <c r="N18" s="14">
        <f t="shared" si="17"/>
        <v>39.69283388</v>
      </c>
      <c r="O18" s="14">
        <f t="shared" si="17"/>
        <v>50.20162866</v>
      </c>
      <c r="P18" s="14">
        <f t="shared" si="17"/>
        <v>14.18592834</v>
      </c>
      <c r="Q18" s="14">
        <f t="shared" si="17"/>
        <v>4.038892508</v>
      </c>
      <c r="R18" s="14">
        <f t="shared" si="17"/>
        <v>1.140912052</v>
      </c>
      <c r="S18" s="14">
        <f t="shared" si="17"/>
        <v>1.144299674</v>
      </c>
      <c r="T18" s="14">
        <f t="shared" si="17"/>
        <v>0.3223127036</v>
      </c>
    </row>
    <row r="19">
      <c r="A19" s="14" t="s">
        <v>63</v>
      </c>
      <c r="B19" s="14">
        <v>25.0</v>
      </c>
      <c r="C19" s="14" t="s">
        <v>1751</v>
      </c>
      <c r="D19" s="14">
        <v>3050.0</v>
      </c>
      <c r="E19" s="14">
        <v>306216.29999999993</v>
      </c>
      <c r="F19" s="14">
        <v>123142.9</v>
      </c>
      <c r="G19" s="14">
        <v>120110.6</v>
      </c>
      <c r="H19" s="14">
        <v>39516.899999999994</v>
      </c>
      <c r="I19" s="14">
        <v>16609.399999999998</v>
      </c>
      <c r="J19" s="14">
        <v>6836.399999999999</v>
      </c>
      <c r="K19" s="14">
        <v>3460.0</v>
      </c>
      <c r="L19" s="14">
        <v>1371.0</v>
      </c>
      <c r="M19" s="14">
        <f t="shared" ref="M19:T19" si="18">E19/$D19</f>
        <v>100.3987869</v>
      </c>
      <c r="N19" s="14">
        <f t="shared" si="18"/>
        <v>40.37472131</v>
      </c>
      <c r="O19" s="14">
        <f t="shared" si="18"/>
        <v>39.38052459</v>
      </c>
      <c r="P19" s="14">
        <f t="shared" si="18"/>
        <v>12.95636066</v>
      </c>
      <c r="Q19" s="14">
        <f t="shared" si="18"/>
        <v>5.445704918</v>
      </c>
      <c r="R19" s="14">
        <f t="shared" si="18"/>
        <v>2.241442623</v>
      </c>
      <c r="S19" s="14">
        <f t="shared" si="18"/>
        <v>1.13442623</v>
      </c>
      <c r="T19" s="14">
        <f t="shared" si="18"/>
        <v>0.4495081967</v>
      </c>
    </row>
    <row r="20">
      <c r="A20" s="14" t="s">
        <v>440</v>
      </c>
      <c r="B20" s="14">
        <v>24.0</v>
      </c>
      <c r="C20" s="14" t="s">
        <v>1750</v>
      </c>
      <c r="D20" s="14">
        <v>3050.0</v>
      </c>
      <c r="E20" s="14">
        <v>305929.1</v>
      </c>
      <c r="F20" s="14">
        <v>134361.1</v>
      </c>
      <c r="G20" s="14">
        <v>120701.70000000001</v>
      </c>
      <c r="H20" s="14">
        <v>35033.29999999999</v>
      </c>
      <c r="I20" s="14">
        <v>12085.800000000001</v>
      </c>
      <c r="J20" s="14">
        <v>3785.599999999999</v>
      </c>
      <c r="K20" s="14">
        <v>3029.0</v>
      </c>
      <c r="L20" s="14">
        <v>1039.4</v>
      </c>
      <c r="M20" s="14">
        <f t="shared" ref="M20:T20" si="19">E20/$D20</f>
        <v>100.304623</v>
      </c>
      <c r="N20" s="14">
        <f t="shared" si="19"/>
        <v>44.05281967</v>
      </c>
      <c r="O20" s="14">
        <f t="shared" si="19"/>
        <v>39.57432787</v>
      </c>
      <c r="P20" s="14">
        <f t="shared" si="19"/>
        <v>11.48632787</v>
      </c>
      <c r="Q20" s="14">
        <f t="shared" si="19"/>
        <v>3.962557377</v>
      </c>
      <c r="R20" s="14">
        <f t="shared" si="19"/>
        <v>1.241180328</v>
      </c>
      <c r="S20" s="14">
        <f t="shared" si="19"/>
        <v>0.9931147541</v>
      </c>
      <c r="T20" s="14">
        <f t="shared" si="19"/>
        <v>0.3407868852</v>
      </c>
    </row>
    <row r="21">
      <c r="A21" s="14" t="s">
        <v>811</v>
      </c>
      <c r="B21" s="14">
        <v>31.0</v>
      </c>
      <c r="C21" s="14" t="s">
        <v>1750</v>
      </c>
      <c r="D21" s="14">
        <v>3050.0</v>
      </c>
      <c r="E21" s="14">
        <v>299350.0</v>
      </c>
      <c r="F21" s="14">
        <v>120594.90000000001</v>
      </c>
      <c r="G21" s="14">
        <v>120340.49999999999</v>
      </c>
      <c r="H21" s="14">
        <v>37776.50000000001</v>
      </c>
      <c r="I21" s="14">
        <v>14987.5</v>
      </c>
      <c r="J21" s="14">
        <v>5762.499999999998</v>
      </c>
      <c r="K21" s="14">
        <v>3174.0</v>
      </c>
      <c r="L21" s="14">
        <v>1239.8</v>
      </c>
      <c r="M21" s="14">
        <f t="shared" ref="M21:T21" si="20">E21/$D21</f>
        <v>98.14754098</v>
      </c>
      <c r="N21" s="14">
        <f t="shared" si="20"/>
        <v>39.53931148</v>
      </c>
      <c r="O21" s="14">
        <f t="shared" si="20"/>
        <v>39.45590164</v>
      </c>
      <c r="P21" s="14">
        <f t="shared" si="20"/>
        <v>12.3857377</v>
      </c>
      <c r="Q21" s="14">
        <f t="shared" si="20"/>
        <v>4.913934426</v>
      </c>
      <c r="R21" s="14">
        <f t="shared" si="20"/>
        <v>1.889344262</v>
      </c>
      <c r="S21" s="14">
        <f t="shared" si="20"/>
        <v>1.040655738</v>
      </c>
      <c r="T21" s="14">
        <f t="shared" si="20"/>
        <v>0.4064918033</v>
      </c>
    </row>
    <row r="22">
      <c r="A22" s="14" t="s">
        <v>998</v>
      </c>
      <c r="B22" s="14">
        <v>22.0</v>
      </c>
      <c r="C22" s="14" t="s">
        <v>1751</v>
      </c>
      <c r="D22" s="14">
        <v>3020.0</v>
      </c>
      <c r="E22" s="14">
        <v>315342.39999999997</v>
      </c>
      <c r="F22" s="14">
        <v>120357.4</v>
      </c>
      <c r="G22" s="14">
        <v>132910.8</v>
      </c>
      <c r="H22" s="14">
        <v>41143.49999999999</v>
      </c>
      <c r="I22" s="14">
        <v>15182.600000000004</v>
      </c>
      <c r="J22" s="14">
        <v>5768.099999999999</v>
      </c>
      <c r="K22" s="14">
        <v>3696.0</v>
      </c>
      <c r="L22" s="14">
        <v>1238.0</v>
      </c>
      <c r="M22" s="14">
        <f t="shared" ref="M22:T22" si="21">E22/$D22</f>
        <v>104.4180132</v>
      </c>
      <c r="N22" s="14">
        <f t="shared" si="21"/>
        <v>39.85344371</v>
      </c>
      <c r="O22" s="14">
        <f t="shared" si="21"/>
        <v>44.01019868</v>
      </c>
      <c r="P22" s="14">
        <f t="shared" si="21"/>
        <v>13.6236755</v>
      </c>
      <c r="Q22" s="14">
        <f t="shared" si="21"/>
        <v>5.027350993</v>
      </c>
      <c r="R22" s="14">
        <f t="shared" si="21"/>
        <v>1.909966887</v>
      </c>
      <c r="S22" s="14">
        <f t="shared" si="21"/>
        <v>1.22384106</v>
      </c>
      <c r="T22" s="14">
        <f t="shared" si="21"/>
        <v>0.4099337748</v>
      </c>
    </row>
    <row r="23">
      <c r="A23" s="14" t="s">
        <v>188</v>
      </c>
      <c r="B23" s="14">
        <v>17.0</v>
      </c>
      <c r="C23" s="14" t="s">
        <v>1750</v>
      </c>
      <c r="D23" s="14">
        <v>3000.0</v>
      </c>
      <c r="E23" s="14">
        <v>327415.8</v>
      </c>
      <c r="F23" s="14">
        <v>116142.49999999999</v>
      </c>
      <c r="G23" s="14">
        <v>134920.4</v>
      </c>
      <c r="H23" s="14">
        <v>49205.19999999999</v>
      </c>
      <c r="I23" s="14">
        <v>19913.299999999996</v>
      </c>
      <c r="J23" s="14">
        <v>7234.5</v>
      </c>
      <c r="K23" s="14">
        <v>4180.0</v>
      </c>
      <c r="L23" s="14">
        <v>1549.0</v>
      </c>
      <c r="M23" s="14">
        <f t="shared" ref="M23:T23" si="22">E23/$D23</f>
        <v>109.1386</v>
      </c>
      <c r="N23" s="14">
        <f t="shared" si="22"/>
        <v>38.71416667</v>
      </c>
      <c r="O23" s="14">
        <f t="shared" si="22"/>
        <v>44.97346667</v>
      </c>
      <c r="P23" s="14">
        <f t="shared" si="22"/>
        <v>16.40173333</v>
      </c>
      <c r="Q23" s="14">
        <f t="shared" si="22"/>
        <v>6.637766667</v>
      </c>
      <c r="R23" s="14">
        <f t="shared" si="22"/>
        <v>2.4115</v>
      </c>
      <c r="S23" s="14">
        <f t="shared" si="22"/>
        <v>1.393333333</v>
      </c>
      <c r="T23" s="14">
        <f t="shared" si="22"/>
        <v>0.5163333333</v>
      </c>
    </row>
    <row r="24">
      <c r="A24" s="14" t="s">
        <v>502</v>
      </c>
      <c r="B24" s="14">
        <v>21.0</v>
      </c>
      <c r="C24" s="14" t="s">
        <v>1750</v>
      </c>
      <c r="D24" s="14">
        <v>3000.0</v>
      </c>
      <c r="E24" s="14">
        <v>305727.19999999995</v>
      </c>
      <c r="F24" s="14">
        <v>121624.1</v>
      </c>
      <c r="G24" s="14">
        <v>122666.2</v>
      </c>
      <c r="H24" s="14">
        <v>39219.79999999999</v>
      </c>
      <c r="I24" s="14">
        <v>16019.499999999998</v>
      </c>
      <c r="J24" s="14">
        <v>6197.000000000001</v>
      </c>
      <c r="K24" s="14">
        <v>3487.0</v>
      </c>
      <c r="L24" s="14">
        <v>1321.0</v>
      </c>
      <c r="M24" s="14">
        <f t="shared" ref="M24:T24" si="23">E24/$D24</f>
        <v>101.9090667</v>
      </c>
      <c r="N24" s="14">
        <f t="shared" si="23"/>
        <v>40.54136667</v>
      </c>
      <c r="O24" s="14">
        <f t="shared" si="23"/>
        <v>40.88873333</v>
      </c>
      <c r="P24" s="14">
        <f t="shared" si="23"/>
        <v>13.07326667</v>
      </c>
      <c r="Q24" s="14">
        <f t="shared" si="23"/>
        <v>5.339833333</v>
      </c>
      <c r="R24" s="14">
        <f t="shared" si="23"/>
        <v>2.065666667</v>
      </c>
      <c r="S24" s="14">
        <f t="shared" si="23"/>
        <v>1.162333333</v>
      </c>
      <c r="T24" s="14">
        <f t="shared" si="23"/>
        <v>0.4403333333</v>
      </c>
    </row>
    <row r="25">
      <c r="A25" s="14" t="s">
        <v>688</v>
      </c>
      <c r="B25" s="14">
        <v>18.0</v>
      </c>
      <c r="C25" s="14" t="s">
        <v>1751</v>
      </c>
      <c r="D25" s="14">
        <v>2990.0</v>
      </c>
      <c r="E25" s="14">
        <v>293527.30000000005</v>
      </c>
      <c r="F25" s="14">
        <v>116869.90000000002</v>
      </c>
      <c r="G25" s="14">
        <v>118816.10000000003</v>
      </c>
      <c r="H25" s="14">
        <v>37658.4</v>
      </c>
      <c r="I25" s="14">
        <v>14819.1</v>
      </c>
      <c r="J25" s="14">
        <v>5392.699999999999</v>
      </c>
      <c r="K25" s="14">
        <v>3292.0</v>
      </c>
      <c r="L25" s="14">
        <v>1214.1</v>
      </c>
      <c r="M25" s="14">
        <f t="shared" ref="M25:T25" si="24">E25/$D25</f>
        <v>98.16966555</v>
      </c>
      <c r="N25" s="14">
        <f t="shared" si="24"/>
        <v>39.08692308</v>
      </c>
      <c r="O25" s="14">
        <f t="shared" si="24"/>
        <v>39.73782609</v>
      </c>
      <c r="P25" s="14">
        <f t="shared" si="24"/>
        <v>12.59478261</v>
      </c>
      <c r="Q25" s="14">
        <f t="shared" si="24"/>
        <v>4.956220736</v>
      </c>
      <c r="R25" s="14">
        <f t="shared" si="24"/>
        <v>1.803578595</v>
      </c>
      <c r="S25" s="14">
        <f t="shared" si="24"/>
        <v>1.101003344</v>
      </c>
      <c r="T25" s="14">
        <f t="shared" si="24"/>
        <v>0.4060535117</v>
      </c>
    </row>
    <row r="26">
      <c r="A26" s="14" t="s">
        <v>251</v>
      </c>
      <c r="B26" s="14">
        <v>23.0</v>
      </c>
      <c r="C26" s="14" t="s">
        <v>1750</v>
      </c>
      <c r="D26" s="14">
        <v>2980.0</v>
      </c>
      <c r="E26" s="14">
        <v>314152.19999999995</v>
      </c>
      <c r="F26" s="14">
        <v>116949.90000000001</v>
      </c>
      <c r="G26" s="14">
        <v>127052.99999999997</v>
      </c>
      <c r="H26" s="14">
        <v>44377.1</v>
      </c>
      <c r="I26" s="14">
        <v>19101.9</v>
      </c>
      <c r="J26" s="14">
        <v>6670.2</v>
      </c>
      <c r="K26" s="14">
        <v>3890.0</v>
      </c>
      <c r="L26" s="14">
        <v>1529.0</v>
      </c>
      <c r="M26" s="14">
        <f t="shared" ref="M26:T26" si="25">E26/$D26</f>
        <v>105.4202013</v>
      </c>
      <c r="N26" s="14">
        <f t="shared" si="25"/>
        <v>39.24493289</v>
      </c>
      <c r="O26" s="14">
        <f t="shared" si="25"/>
        <v>42.6352349</v>
      </c>
      <c r="P26" s="14">
        <f t="shared" si="25"/>
        <v>14.8916443</v>
      </c>
      <c r="Q26" s="14">
        <f t="shared" si="25"/>
        <v>6.410033557</v>
      </c>
      <c r="R26" s="14">
        <f t="shared" si="25"/>
        <v>2.238322148</v>
      </c>
      <c r="S26" s="14">
        <f t="shared" si="25"/>
        <v>1.305369128</v>
      </c>
      <c r="T26" s="14">
        <f t="shared" si="25"/>
        <v>0.5130872483</v>
      </c>
    </row>
    <row r="27">
      <c r="A27" s="14" t="s">
        <v>378</v>
      </c>
      <c r="B27" s="14">
        <v>26.0</v>
      </c>
      <c r="C27" s="14" t="s">
        <v>1750</v>
      </c>
      <c r="D27" s="14">
        <v>2970.0</v>
      </c>
      <c r="E27" s="14">
        <v>312467.39999999997</v>
      </c>
      <c r="F27" s="14">
        <v>115849.40000000001</v>
      </c>
      <c r="G27" s="14">
        <v>135866.50000000003</v>
      </c>
      <c r="H27" s="14">
        <v>40406.700000000004</v>
      </c>
      <c r="I27" s="14">
        <v>14746.799999999997</v>
      </c>
      <c r="J27" s="14">
        <v>5647.0</v>
      </c>
      <c r="K27" s="14">
        <v>3448.0</v>
      </c>
      <c r="L27" s="14">
        <v>1219.4</v>
      </c>
      <c r="M27" s="14">
        <f t="shared" ref="M27:T27" si="26">E27/$D27</f>
        <v>105.2078788</v>
      </c>
      <c r="N27" s="14">
        <f t="shared" si="26"/>
        <v>39.00653199</v>
      </c>
      <c r="O27" s="14">
        <f t="shared" si="26"/>
        <v>45.7462963</v>
      </c>
      <c r="P27" s="14">
        <f t="shared" si="26"/>
        <v>13.60494949</v>
      </c>
      <c r="Q27" s="14">
        <f t="shared" si="26"/>
        <v>4.965252525</v>
      </c>
      <c r="R27" s="14">
        <f t="shared" si="26"/>
        <v>1.901346801</v>
      </c>
      <c r="S27" s="14">
        <f t="shared" si="26"/>
        <v>1.160942761</v>
      </c>
      <c r="T27" s="14">
        <f t="shared" si="26"/>
        <v>0.4105723906</v>
      </c>
    </row>
    <row r="28">
      <c r="A28" s="14" t="s">
        <v>687</v>
      </c>
      <c r="B28" s="14">
        <v>28.0</v>
      </c>
      <c r="C28" s="14" t="s">
        <v>1750</v>
      </c>
      <c r="D28" s="14">
        <v>2960.0</v>
      </c>
      <c r="E28" s="14">
        <v>315213.9</v>
      </c>
      <c r="F28" s="14">
        <v>121229.80000000002</v>
      </c>
      <c r="G28" s="14">
        <v>132596.49999999997</v>
      </c>
      <c r="H28" s="14">
        <v>40283.30000000002</v>
      </c>
      <c r="I28" s="14">
        <v>15860.199999999995</v>
      </c>
      <c r="J28" s="14">
        <v>5243.899999999998</v>
      </c>
      <c r="K28" s="14">
        <v>3483.0</v>
      </c>
      <c r="L28" s="14">
        <v>1215.0</v>
      </c>
      <c r="M28" s="14">
        <f t="shared" ref="M28:T28" si="27">E28/$D28</f>
        <v>106.4911824</v>
      </c>
      <c r="N28" s="14">
        <f t="shared" si="27"/>
        <v>40.95601351</v>
      </c>
      <c r="O28" s="14">
        <f t="shared" si="27"/>
        <v>44.79611486</v>
      </c>
      <c r="P28" s="14">
        <f t="shared" si="27"/>
        <v>13.60922297</v>
      </c>
      <c r="Q28" s="14">
        <f t="shared" si="27"/>
        <v>5.358175676</v>
      </c>
      <c r="R28" s="14">
        <f t="shared" si="27"/>
        <v>1.771587838</v>
      </c>
      <c r="S28" s="14">
        <f t="shared" si="27"/>
        <v>1.176689189</v>
      </c>
      <c r="T28" s="14">
        <f t="shared" si="27"/>
        <v>0.410472973</v>
      </c>
    </row>
    <row r="29">
      <c r="A29" s="14" t="s">
        <v>935</v>
      </c>
      <c r="B29" s="14">
        <v>30.0</v>
      </c>
      <c r="C29" s="14" t="s">
        <v>1750</v>
      </c>
      <c r="D29" s="14">
        <v>2950.0</v>
      </c>
      <c r="E29" s="14">
        <v>322075.0</v>
      </c>
      <c r="F29" s="14">
        <v>117257.8</v>
      </c>
      <c r="G29" s="14">
        <v>137993.5</v>
      </c>
      <c r="H29" s="14">
        <v>43692.0</v>
      </c>
      <c r="I29" s="14">
        <v>17291.500000000004</v>
      </c>
      <c r="J29" s="14">
        <v>5841.5</v>
      </c>
      <c r="K29" s="14">
        <v>3864.0</v>
      </c>
      <c r="L29" s="14">
        <v>1413.0</v>
      </c>
      <c r="M29" s="14">
        <f t="shared" ref="M29:T29" si="28">E29/$D29</f>
        <v>109.1779661</v>
      </c>
      <c r="N29" s="14">
        <f t="shared" si="28"/>
        <v>39.74840678</v>
      </c>
      <c r="O29" s="14">
        <f t="shared" si="28"/>
        <v>46.77745763</v>
      </c>
      <c r="P29" s="14">
        <f t="shared" si="28"/>
        <v>14.81084746</v>
      </c>
      <c r="Q29" s="14">
        <f t="shared" si="28"/>
        <v>5.861525424</v>
      </c>
      <c r="R29" s="14">
        <f t="shared" si="28"/>
        <v>1.980169492</v>
      </c>
      <c r="S29" s="14">
        <f t="shared" si="28"/>
        <v>1.309830508</v>
      </c>
      <c r="T29" s="14">
        <f t="shared" si="28"/>
        <v>0.4789830508</v>
      </c>
    </row>
    <row r="30">
      <c r="A30" s="14" t="s">
        <v>625</v>
      </c>
      <c r="B30" s="14">
        <v>32.0</v>
      </c>
      <c r="C30" s="14" t="s">
        <v>1750</v>
      </c>
      <c r="D30" s="14">
        <v>2940.0</v>
      </c>
      <c r="E30" s="14">
        <v>343298.3</v>
      </c>
      <c r="F30" s="14">
        <v>108870.3</v>
      </c>
      <c r="G30" s="14">
        <v>153311.29999999996</v>
      </c>
      <c r="H30" s="14">
        <v>52690.299999999996</v>
      </c>
      <c r="I30" s="14">
        <v>20953.800000000003</v>
      </c>
      <c r="J30" s="14">
        <v>7483.2</v>
      </c>
      <c r="K30" s="14">
        <v>4555.0</v>
      </c>
      <c r="L30" s="14">
        <v>1723.7</v>
      </c>
      <c r="M30" s="14">
        <f t="shared" ref="M30:T30" si="29">E30/$D30</f>
        <v>116.7681293</v>
      </c>
      <c r="N30" s="14">
        <f t="shared" si="29"/>
        <v>37.03071429</v>
      </c>
      <c r="O30" s="14">
        <f t="shared" si="29"/>
        <v>52.14670068</v>
      </c>
      <c r="P30" s="14">
        <f t="shared" si="29"/>
        <v>17.92187075</v>
      </c>
      <c r="Q30" s="14">
        <f t="shared" si="29"/>
        <v>7.127142857</v>
      </c>
      <c r="R30" s="14">
        <f t="shared" si="29"/>
        <v>2.545306122</v>
      </c>
      <c r="S30" s="14">
        <f t="shared" si="29"/>
        <v>1.549319728</v>
      </c>
      <c r="T30" s="14">
        <f t="shared" si="29"/>
        <v>0.586292517</v>
      </c>
    </row>
    <row r="31">
      <c r="A31" s="14" t="s">
        <v>624</v>
      </c>
      <c r="B31" s="14">
        <v>19.0</v>
      </c>
      <c r="C31" s="14" t="s">
        <v>1750</v>
      </c>
      <c r="D31" s="14">
        <v>2930.0</v>
      </c>
      <c r="E31" s="14">
        <v>305967.0999999999</v>
      </c>
      <c r="F31" s="14">
        <v>108924.00000000001</v>
      </c>
      <c r="G31" s="14">
        <v>121618.9</v>
      </c>
      <c r="H31" s="14">
        <v>47130.100000000006</v>
      </c>
      <c r="I31" s="14">
        <v>20636.100000000006</v>
      </c>
      <c r="J31" s="14">
        <v>7669.0</v>
      </c>
      <c r="K31" s="14">
        <v>4169.0</v>
      </c>
      <c r="L31" s="14">
        <v>1657.1</v>
      </c>
      <c r="M31" s="14">
        <f t="shared" ref="M31:T31" si="30">E31/$D31</f>
        <v>104.4256314</v>
      </c>
      <c r="N31" s="14">
        <f t="shared" si="30"/>
        <v>37.17542662</v>
      </c>
      <c r="O31" s="14">
        <f t="shared" si="30"/>
        <v>41.508157</v>
      </c>
      <c r="P31" s="14">
        <f t="shared" si="30"/>
        <v>16.08535836</v>
      </c>
      <c r="Q31" s="14">
        <f t="shared" si="30"/>
        <v>7.043037543</v>
      </c>
      <c r="R31" s="14">
        <f t="shared" si="30"/>
        <v>2.617406143</v>
      </c>
      <c r="S31" s="14">
        <f t="shared" si="30"/>
        <v>1.422866894</v>
      </c>
      <c r="T31" s="14">
        <f t="shared" si="30"/>
        <v>0.5655631399</v>
      </c>
    </row>
    <row r="32">
      <c r="A32" s="14" t="s">
        <v>936</v>
      </c>
      <c r="B32" s="14">
        <v>20.0</v>
      </c>
      <c r="C32" s="14" t="s">
        <v>1750</v>
      </c>
      <c r="D32" s="14">
        <v>2910.0</v>
      </c>
      <c r="E32" s="14">
        <v>330400.70000000007</v>
      </c>
      <c r="F32" s="14">
        <v>114708.19999999995</v>
      </c>
      <c r="G32" s="14">
        <v>144665.1</v>
      </c>
      <c r="H32" s="14">
        <v>46619.89999999997</v>
      </c>
      <c r="I32" s="14">
        <v>17458.800000000003</v>
      </c>
      <c r="J32" s="14">
        <v>6954.800000000001</v>
      </c>
      <c r="K32" s="14">
        <v>4112.0</v>
      </c>
      <c r="L32" s="14">
        <v>1488.6</v>
      </c>
      <c r="M32" s="14">
        <f t="shared" ref="M32:T32" si="31">E32/$D32</f>
        <v>113.5397595</v>
      </c>
      <c r="N32" s="14">
        <f t="shared" si="31"/>
        <v>39.41862543</v>
      </c>
      <c r="O32" s="14">
        <f t="shared" si="31"/>
        <v>49.71309278</v>
      </c>
      <c r="P32" s="14">
        <f t="shared" si="31"/>
        <v>16.02058419</v>
      </c>
      <c r="Q32" s="14">
        <f t="shared" si="31"/>
        <v>5.999587629</v>
      </c>
      <c r="R32" s="14">
        <f t="shared" si="31"/>
        <v>2.389965636</v>
      </c>
      <c r="S32" s="14">
        <f t="shared" si="31"/>
        <v>1.413058419</v>
      </c>
      <c r="T32" s="14">
        <f t="shared" si="31"/>
        <v>0.5115463918</v>
      </c>
    </row>
    <row r="33">
      <c r="A33" s="14" t="s">
        <v>314</v>
      </c>
      <c r="B33" s="14">
        <v>29.0</v>
      </c>
      <c r="C33" s="14" t="s">
        <v>1750</v>
      </c>
      <c r="D33" s="14">
        <v>2900.0</v>
      </c>
      <c r="E33" s="14">
        <v>341061.5</v>
      </c>
      <c r="F33" s="14">
        <v>105139.59999999999</v>
      </c>
      <c r="G33" s="14">
        <v>158456.80000000005</v>
      </c>
      <c r="H33" s="14">
        <v>51866.700000000004</v>
      </c>
      <c r="I33" s="14">
        <v>18777.9</v>
      </c>
      <c r="J33" s="14">
        <v>6820.399999999999</v>
      </c>
      <c r="K33" s="14">
        <v>4459.0</v>
      </c>
      <c r="L33" s="14">
        <v>1469.0</v>
      </c>
      <c r="M33" s="14">
        <f t="shared" ref="M33:T33" si="32">E33/$D33</f>
        <v>117.6074138</v>
      </c>
      <c r="N33" s="14">
        <f t="shared" si="32"/>
        <v>36.25503448</v>
      </c>
      <c r="O33" s="14">
        <f t="shared" si="32"/>
        <v>54.64027586</v>
      </c>
      <c r="P33" s="14">
        <f t="shared" si="32"/>
        <v>17.88506897</v>
      </c>
      <c r="Q33" s="14">
        <f t="shared" si="32"/>
        <v>6.475137931</v>
      </c>
      <c r="R33" s="14">
        <f t="shared" si="32"/>
        <v>2.351862069</v>
      </c>
      <c r="S33" s="14">
        <f t="shared" si="32"/>
        <v>1.537586207</v>
      </c>
      <c r="T33" s="14">
        <f t="shared" si="32"/>
        <v>0.5065517241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8.63"/>
    <col customWidth="1" min="3" max="3" width="16.13"/>
    <col customWidth="1" min="4" max="4" width="11.0"/>
    <col customWidth="1" min="5" max="6" width="14.25"/>
    <col customWidth="1" min="7" max="10" width="15.5"/>
    <col customWidth="1" min="11" max="12" width="12.75"/>
    <col customWidth="1" min="13" max="16" width="13.75"/>
    <col customWidth="1" min="17" max="18" width="14.63"/>
    <col customWidth="1" min="19" max="19" width="13.75"/>
    <col customWidth="1" min="20" max="20" width="14.63"/>
    <col customWidth="1" min="21" max="21" width="11.75"/>
    <col customWidth="1" min="22" max="22" width="15.63"/>
    <col customWidth="1" min="23" max="24" width="15.0"/>
    <col customWidth="1" min="25" max="26" width="14.0"/>
    <col customWidth="1" min="27" max="40" width="8.63"/>
  </cols>
  <sheetData>
    <row r="1">
      <c r="A1" s="135" t="s">
        <v>1752</v>
      </c>
      <c r="B1" s="135" t="s">
        <v>1753</v>
      </c>
      <c r="C1" s="135" t="s">
        <v>1754</v>
      </c>
      <c r="D1" s="135" t="s">
        <v>1755</v>
      </c>
      <c r="E1" s="135" t="s">
        <v>1756</v>
      </c>
      <c r="F1" s="135" t="s">
        <v>1757</v>
      </c>
      <c r="G1" s="135" t="s">
        <v>1758</v>
      </c>
      <c r="H1" s="135" t="s">
        <v>1759</v>
      </c>
      <c r="I1" s="135" t="s">
        <v>1760</v>
      </c>
      <c r="J1" s="135" t="s">
        <v>1761</v>
      </c>
      <c r="K1" s="135" t="s">
        <v>1762</v>
      </c>
      <c r="L1" s="135" t="s">
        <v>1763</v>
      </c>
      <c r="M1" s="135" t="s">
        <v>1764</v>
      </c>
      <c r="N1" s="135" t="s">
        <v>1765</v>
      </c>
      <c r="O1" s="135" t="s">
        <v>1766</v>
      </c>
      <c r="P1" s="135" t="s">
        <v>1767</v>
      </c>
      <c r="Q1" s="135" t="s">
        <v>1768</v>
      </c>
      <c r="R1" s="135" t="s">
        <v>1769</v>
      </c>
      <c r="S1" s="135" t="s">
        <v>1770</v>
      </c>
      <c r="T1" s="135"/>
      <c r="U1" s="135"/>
      <c r="V1" s="135"/>
      <c r="W1" s="135"/>
      <c r="X1" s="135"/>
      <c r="Y1" s="135"/>
      <c r="Z1" s="135"/>
    </row>
    <row r="2">
      <c r="A2" s="136" t="s">
        <v>1771</v>
      </c>
      <c r="B2" s="14">
        <v>1.0</v>
      </c>
      <c r="C2" s="14">
        <v>101.0</v>
      </c>
      <c r="D2" s="137">
        <v>200121.09999999998</v>
      </c>
      <c r="E2" s="137">
        <f t="shared" ref="E2:E64" si="1">D2/$C2</f>
        <v>1981.39703</v>
      </c>
      <c r="F2" s="137">
        <v>82568.09999999999</v>
      </c>
      <c r="G2" s="137">
        <f t="shared" ref="G2:G64" si="2">F2/$C2</f>
        <v>817.5059406</v>
      </c>
      <c r="H2" s="138">
        <v>78823.40000000001</v>
      </c>
      <c r="I2" s="137">
        <f t="shared" ref="I2:I64" si="3">H2/$C2</f>
        <v>780.429703</v>
      </c>
      <c r="J2" s="137">
        <v>24229.900000000005</v>
      </c>
      <c r="K2" s="137">
        <f t="shared" ref="K2:K64" si="4">J2/$C2</f>
        <v>239.9</v>
      </c>
      <c r="L2" s="137">
        <v>9973.4</v>
      </c>
      <c r="M2" s="137">
        <f t="shared" ref="M2:M64" si="5">L2/$C2</f>
        <v>98.74653465</v>
      </c>
      <c r="N2" s="137">
        <v>4526.699999999999</v>
      </c>
      <c r="O2" s="137">
        <f t="shared" ref="O2:O64" si="6">N2/$C2</f>
        <v>44.81881188</v>
      </c>
      <c r="P2" s="137">
        <v>2134.0</v>
      </c>
      <c r="Q2" s="137">
        <f t="shared" ref="Q2:Q64" si="7">P2/$C2</f>
        <v>21.12871287</v>
      </c>
      <c r="R2" s="137">
        <v>889.0</v>
      </c>
      <c r="S2" s="137">
        <f t="shared" ref="S2:S64" si="8">R2/$C2</f>
        <v>8.801980198</v>
      </c>
    </row>
    <row r="3">
      <c r="A3" s="136" t="s">
        <v>1771</v>
      </c>
      <c r="B3" s="14">
        <v>4.0</v>
      </c>
      <c r="C3" s="14">
        <v>97.0</v>
      </c>
      <c r="D3" s="137">
        <v>200850.8</v>
      </c>
      <c r="E3" s="137">
        <f t="shared" si="1"/>
        <v>2070.626804</v>
      </c>
      <c r="F3" s="137">
        <v>75101.1</v>
      </c>
      <c r="G3" s="137">
        <f t="shared" si="2"/>
        <v>774.2381443</v>
      </c>
      <c r="H3" s="138">
        <v>79123.4</v>
      </c>
      <c r="I3" s="137">
        <f t="shared" si="3"/>
        <v>815.7051546</v>
      </c>
      <c r="J3" s="137">
        <v>29061.399999999998</v>
      </c>
      <c r="K3" s="137">
        <f t="shared" si="4"/>
        <v>299.6020619</v>
      </c>
      <c r="L3" s="137">
        <v>12855.2</v>
      </c>
      <c r="M3" s="137">
        <f t="shared" si="5"/>
        <v>132.5278351</v>
      </c>
      <c r="N3" s="137">
        <v>4709.499999999999</v>
      </c>
      <c r="O3" s="137">
        <f t="shared" si="6"/>
        <v>48.55154639</v>
      </c>
      <c r="P3" s="137">
        <v>2567.0</v>
      </c>
      <c r="Q3" s="137">
        <f t="shared" si="7"/>
        <v>26.46391753</v>
      </c>
      <c r="R3" s="137">
        <v>1069.0</v>
      </c>
      <c r="S3" s="137">
        <f t="shared" si="8"/>
        <v>11.02061856</v>
      </c>
    </row>
    <row r="4">
      <c r="A4" s="136" t="s">
        <v>1771</v>
      </c>
      <c r="B4" s="14">
        <v>5.0</v>
      </c>
      <c r="C4" s="14">
        <v>96.0</v>
      </c>
      <c r="D4" s="137">
        <v>223359.69999999995</v>
      </c>
      <c r="E4" s="137">
        <f t="shared" si="1"/>
        <v>2326.663542</v>
      </c>
      <c r="F4" s="137">
        <v>72437.60000000002</v>
      </c>
      <c r="G4" s="137">
        <f t="shared" si="2"/>
        <v>754.5583333</v>
      </c>
      <c r="H4" s="137">
        <v>100795.7</v>
      </c>
      <c r="I4" s="137">
        <f t="shared" si="3"/>
        <v>1049.955208</v>
      </c>
      <c r="J4" s="137">
        <v>34361.40000000001</v>
      </c>
      <c r="K4" s="137">
        <f t="shared" si="4"/>
        <v>357.93125</v>
      </c>
      <c r="L4" s="137">
        <v>11776.5</v>
      </c>
      <c r="M4" s="137">
        <f t="shared" si="5"/>
        <v>122.671875</v>
      </c>
      <c r="N4" s="137">
        <v>4006.6000000000004</v>
      </c>
      <c r="O4" s="137">
        <f t="shared" si="6"/>
        <v>41.73541667</v>
      </c>
      <c r="P4" s="137">
        <v>2907.0</v>
      </c>
      <c r="Q4" s="137">
        <f t="shared" si="7"/>
        <v>30.28125</v>
      </c>
      <c r="R4" s="137">
        <v>932.4</v>
      </c>
      <c r="S4" s="137">
        <f t="shared" si="8"/>
        <v>9.7125</v>
      </c>
    </row>
    <row r="5">
      <c r="A5" s="136" t="s">
        <v>1771</v>
      </c>
      <c r="B5" s="14">
        <v>7.0</v>
      </c>
      <c r="C5" s="14">
        <v>103.0</v>
      </c>
      <c r="D5" s="137">
        <v>201598.9999999999</v>
      </c>
      <c r="E5" s="137">
        <f t="shared" si="1"/>
        <v>1957.271845</v>
      </c>
      <c r="F5" s="137">
        <v>86036.4</v>
      </c>
      <c r="G5" s="137">
        <f t="shared" si="2"/>
        <v>835.3048544</v>
      </c>
      <c r="H5" s="137">
        <v>79953.1</v>
      </c>
      <c r="I5" s="137">
        <f t="shared" si="3"/>
        <v>776.2436893</v>
      </c>
      <c r="J5" s="137">
        <v>24625.300000000003</v>
      </c>
      <c r="K5" s="137">
        <f t="shared" si="4"/>
        <v>239.0805825</v>
      </c>
      <c r="L5" s="137">
        <v>8721.300000000001</v>
      </c>
      <c r="M5" s="137">
        <f t="shared" si="5"/>
        <v>84.67281553</v>
      </c>
      <c r="N5" s="137">
        <v>2311.0000000000005</v>
      </c>
      <c r="O5" s="137">
        <f t="shared" si="6"/>
        <v>22.4368932</v>
      </c>
      <c r="P5" s="137">
        <v>2138.0</v>
      </c>
      <c r="Q5" s="137">
        <f t="shared" si="7"/>
        <v>20.75728155</v>
      </c>
      <c r="R5" s="137">
        <v>761.4</v>
      </c>
      <c r="S5" s="137">
        <f t="shared" si="8"/>
        <v>7.39223301</v>
      </c>
    </row>
    <row r="6">
      <c r="A6" s="136" t="s">
        <v>1771</v>
      </c>
      <c r="B6" s="14">
        <v>8.0</v>
      </c>
      <c r="C6" s="14">
        <v>94.0</v>
      </c>
      <c r="D6" s="137">
        <v>207259.30000000002</v>
      </c>
      <c r="E6" s="137">
        <f t="shared" si="1"/>
        <v>2204.88617</v>
      </c>
      <c r="F6" s="137">
        <v>74441.00000000001</v>
      </c>
      <c r="G6" s="137">
        <f t="shared" si="2"/>
        <v>791.9255319</v>
      </c>
      <c r="H6" s="137">
        <v>87805.59999999999</v>
      </c>
      <c r="I6" s="137">
        <f t="shared" si="3"/>
        <v>934.1021277</v>
      </c>
      <c r="J6" s="137">
        <v>29160.699999999997</v>
      </c>
      <c r="K6" s="137">
        <f t="shared" si="4"/>
        <v>310.2202128</v>
      </c>
      <c r="L6" s="137">
        <v>11700.900000000001</v>
      </c>
      <c r="M6" s="137">
        <f t="shared" si="5"/>
        <v>124.4776596</v>
      </c>
      <c r="N6" s="137">
        <v>4213.0</v>
      </c>
      <c r="O6" s="137">
        <f t="shared" si="6"/>
        <v>44.81914894</v>
      </c>
      <c r="P6" s="137">
        <v>2507.0</v>
      </c>
      <c r="Q6" s="137">
        <f t="shared" si="7"/>
        <v>26.67021277</v>
      </c>
      <c r="R6" s="137">
        <v>980.7</v>
      </c>
      <c r="S6" s="137">
        <f t="shared" si="8"/>
        <v>10.43297872</v>
      </c>
    </row>
    <row r="7">
      <c r="A7" s="136" t="s">
        <v>1771</v>
      </c>
      <c r="B7" s="14">
        <v>11.0</v>
      </c>
      <c r="C7" s="14">
        <v>98.0</v>
      </c>
      <c r="D7" s="137">
        <v>207330.70000000004</v>
      </c>
      <c r="E7" s="137">
        <f t="shared" si="1"/>
        <v>2115.619388</v>
      </c>
      <c r="F7" s="137">
        <v>78731.40000000002</v>
      </c>
      <c r="G7" s="137">
        <f t="shared" si="2"/>
        <v>803.3816327</v>
      </c>
      <c r="H7" s="137">
        <v>87117.9</v>
      </c>
      <c r="I7" s="137">
        <f t="shared" si="3"/>
        <v>888.9581633</v>
      </c>
      <c r="J7" s="137">
        <v>27125.600000000002</v>
      </c>
      <c r="K7" s="137">
        <f t="shared" si="4"/>
        <v>276.7918367</v>
      </c>
      <c r="L7" s="137">
        <v>10739.499999999998</v>
      </c>
      <c r="M7" s="137">
        <f t="shared" si="5"/>
        <v>109.5867347</v>
      </c>
      <c r="N7" s="137">
        <v>3616.9</v>
      </c>
      <c r="O7" s="137">
        <f t="shared" si="6"/>
        <v>36.90714286</v>
      </c>
      <c r="P7" s="137">
        <v>2387.0</v>
      </c>
      <c r="Q7" s="137">
        <f t="shared" si="7"/>
        <v>24.35714286</v>
      </c>
      <c r="R7" s="137">
        <v>856.0</v>
      </c>
      <c r="S7" s="137">
        <f t="shared" si="8"/>
        <v>8.734693878</v>
      </c>
    </row>
    <row r="8">
      <c r="A8" s="136" t="s">
        <v>1771</v>
      </c>
      <c r="B8" s="14">
        <v>12.0</v>
      </c>
      <c r="C8" s="14">
        <v>100.0</v>
      </c>
      <c r="D8" s="137">
        <v>214769.20000000004</v>
      </c>
      <c r="E8" s="137">
        <f t="shared" si="1"/>
        <v>2147.692</v>
      </c>
      <c r="F8" s="137">
        <v>79615.39999999998</v>
      </c>
      <c r="G8" s="137">
        <f t="shared" si="2"/>
        <v>796.154</v>
      </c>
      <c r="H8" s="137">
        <v>89159.19999999997</v>
      </c>
      <c r="I8" s="137">
        <f t="shared" si="3"/>
        <v>891.592</v>
      </c>
      <c r="J8" s="137">
        <v>30304.900000000005</v>
      </c>
      <c r="K8" s="137">
        <f t="shared" si="4"/>
        <v>303.049</v>
      </c>
      <c r="L8" s="137">
        <v>11858.799999999997</v>
      </c>
      <c r="M8" s="137">
        <f t="shared" si="5"/>
        <v>118.588</v>
      </c>
      <c r="N8" s="137">
        <v>3831.2999999999997</v>
      </c>
      <c r="O8" s="137">
        <f t="shared" si="6"/>
        <v>38.313</v>
      </c>
      <c r="P8" s="137">
        <v>2658.0</v>
      </c>
      <c r="Q8" s="137">
        <f t="shared" si="7"/>
        <v>26.58</v>
      </c>
      <c r="R8" s="137">
        <v>923.0</v>
      </c>
      <c r="S8" s="137">
        <f t="shared" si="8"/>
        <v>9.23</v>
      </c>
    </row>
    <row r="9">
      <c r="A9" s="136" t="s">
        <v>1771</v>
      </c>
      <c r="B9" s="14">
        <v>15.0</v>
      </c>
      <c r="C9" s="14">
        <v>94.0</v>
      </c>
      <c r="D9" s="137">
        <v>215885.29999999996</v>
      </c>
      <c r="E9" s="137">
        <f t="shared" si="1"/>
        <v>2296.652128</v>
      </c>
      <c r="F9" s="137">
        <v>76323.69999999998</v>
      </c>
      <c r="G9" s="137">
        <f t="shared" si="2"/>
        <v>811.9542553</v>
      </c>
      <c r="H9" s="137">
        <v>95764.1</v>
      </c>
      <c r="I9" s="137">
        <f t="shared" si="3"/>
        <v>1018.767021</v>
      </c>
      <c r="J9" s="137">
        <v>28964.500000000007</v>
      </c>
      <c r="K9" s="137">
        <f t="shared" si="4"/>
        <v>308.1329787</v>
      </c>
      <c r="L9" s="137">
        <v>10629.300000000003</v>
      </c>
      <c r="M9" s="137">
        <f t="shared" si="5"/>
        <v>113.0776596</v>
      </c>
      <c r="N9" s="137">
        <v>4204.099999999999</v>
      </c>
      <c r="O9" s="137">
        <f t="shared" si="6"/>
        <v>44.72446809</v>
      </c>
      <c r="P9" s="137">
        <v>2596.0</v>
      </c>
      <c r="Q9" s="137">
        <f t="shared" si="7"/>
        <v>27.61702128</v>
      </c>
      <c r="R9" s="137">
        <v>927.0</v>
      </c>
      <c r="S9" s="137">
        <f t="shared" si="8"/>
        <v>9.861702128</v>
      </c>
    </row>
    <row r="10">
      <c r="A10" s="136" t="s">
        <v>1771</v>
      </c>
      <c r="B10" s="14">
        <v>16.0</v>
      </c>
      <c r="C10" s="14">
        <v>99.0</v>
      </c>
      <c r="D10" s="137">
        <v>221100.9</v>
      </c>
      <c r="E10" s="137">
        <f t="shared" si="1"/>
        <v>2233.342424</v>
      </c>
      <c r="F10" s="137">
        <v>79222.09999999998</v>
      </c>
      <c r="G10" s="137">
        <f t="shared" si="2"/>
        <v>800.2232323</v>
      </c>
      <c r="H10" s="137">
        <v>92907.09999999999</v>
      </c>
      <c r="I10" s="137">
        <f t="shared" si="3"/>
        <v>938.4555556</v>
      </c>
      <c r="J10" s="137">
        <v>32182.4</v>
      </c>
      <c r="K10" s="137">
        <f t="shared" si="4"/>
        <v>325.0747475</v>
      </c>
      <c r="L10" s="137">
        <v>12384.399999999998</v>
      </c>
      <c r="M10" s="137">
        <f t="shared" si="5"/>
        <v>125.0949495</v>
      </c>
      <c r="N10" s="137">
        <v>4425.6</v>
      </c>
      <c r="O10" s="137">
        <f t="shared" si="6"/>
        <v>44.7030303</v>
      </c>
      <c r="P10" s="137">
        <v>2850.0</v>
      </c>
      <c r="Q10" s="137">
        <f t="shared" si="7"/>
        <v>28.78787879</v>
      </c>
      <c r="R10" s="137">
        <v>975.0</v>
      </c>
      <c r="S10" s="137">
        <f t="shared" si="8"/>
        <v>9.848484848</v>
      </c>
    </row>
    <row r="11">
      <c r="A11" s="136" t="s">
        <v>1771</v>
      </c>
      <c r="B11" s="14">
        <v>20.0</v>
      </c>
      <c r="C11" s="14">
        <v>102.0</v>
      </c>
      <c r="D11" s="137">
        <v>225125.9</v>
      </c>
      <c r="E11" s="137">
        <f t="shared" si="1"/>
        <v>2207.116667</v>
      </c>
      <c r="F11" s="137">
        <v>77353.50000000001</v>
      </c>
      <c r="G11" s="137">
        <f t="shared" si="2"/>
        <v>758.3676471</v>
      </c>
      <c r="H11" s="137">
        <v>100559.0</v>
      </c>
      <c r="I11" s="137">
        <f t="shared" si="3"/>
        <v>985.872549</v>
      </c>
      <c r="J11" s="137">
        <v>32385.8</v>
      </c>
      <c r="K11" s="137">
        <f t="shared" si="4"/>
        <v>317.5078431</v>
      </c>
      <c r="L11" s="137">
        <v>11222.3</v>
      </c>
      <c r="M11" s="137">
        <f t="shared" si="5"/>
        <v>110.022549</v>
      </c>
      <c r="N11" s="137">
        <v>3606.0999999999995</v>
      </c>
      <c r="O11" s="137">
        <f t="shared" si="6"/>
        <v>35.35392157</v>
      </c>
      <c r="P11" s="137">
        <v>2807.0</v>
      </c>
      <c r="Q11" s="137">
        <f t="shared" si="7"/>
        <v>27.51960784</v>
      </c>
      <c r="R11" s="137">
        <v>896.0</v>
      </c>
      <c r="S11" s="137">
        <f t="shared" si="8"/>
        <v>8.784313725</v>
      </c>
    </row>
    <row r="12">
      <c r="A12" s="136" t="s">
        <v>1771</v>
      </c>
      <c r="B12" s="14">
        <v>24.0</v>
      </c>
      <c r="C12" s="14">
        <v>101.0</v>
      </c>
      <c r="D12" s="137">
        <v>212527.0</v>
      </c>
      <c r="E12" s="137">
        <f t="shared" si="1"/>
        <v>2104.227723</v>
      </c>
      <c r="F12" s="137">
        <v>84577.00000000003</v>
      </c>
      <c r="G12" s="137">
        <f t="shared" si="2"/>
        <v>837.3960396</v>
      </c>
      <c r="H12" s="137">
        <v>86195.50000000001</v>
      </c>
      <c r="I12" s="137">
        <f t="shared" si="3"/>
        <v>853.4207921</v>
      </c>
      <c r="J12" s="137">
        <v>28067.999999999996</v>
      </c>
      <c r="K12" s="137">
        <f t="shared" si="4"/>
        <v>277.9009901</v>
      </c>
      <c r="L12" s="137">
        <v>10311.100000000002</v>
      </c>
      <c r="M12" s="137">
        <f t="shared" si="5"/>
        <v>102.090099</v>
      </c>
      <c r="N12" s="137">
        <v>3375.2999999999997</v>
      </c>
      <c r="O12" s="137">
        <f t="shared" si="6"/>
        <v>33.41881188</v>
      </c>
      <c r="P12" s="137">
        <v>2459.0</v>
      </c>
      <c r="Q12" s="137">
        <f t="shared" si="7"/>
        <v>24.34653465</v>
      </c>
      <c r="R12" s="137">
        <v>842.0</v>
      </c>
      <c r="S12" s="137">
        <f t="shared" si="8"/>
        <v>8.336633663</v>
      </c>
    </row>
    <row r="13">
      <c r="A13" s="136" t="s">
        <v>1771</v>
      </c>
      <c r="B13" s="14">
        <v>27.0</v>
      </c>
      <c r="C13" s="14">
        <v>101.0</v>
      </c>
      <c r="D13" s="137">
        <v>211667.1</v>
      </c>
      <c r="E13" s="137">
        <f t="shared" si="1"/>
        <v>2095.713861</v>
      </c>
      <c r="F13" s="137">
        <v>82436.3</v>
      </c>
      <c r="G13" s="137">
        <f t="shared" si="2"/>
        <v>816.2009901</v>
      </c>
      <c r="H13" s="137">
        <v>88477.9</v>
      </c>
      <c r="I13" s="137">
        <f t="shared" si="3"/>
        <v>876.0188119</v>
      </c>
      <c r="J13" s="137">
        <v>26648.6</v>
      </c>
      <c r="K13" s="137">
        <f t="shared" si="4"/>
        <v>263.8475248</v>
      </c>
      <c r="L13" s="137">
        <v>10336.199999999997</v>
      </c>
      <c r="M13" s="137">
        <f t="shared" si="5"/>
        <v>102.3386139</v>
      </c>
      <c r="N13" s="137">
        <v>3829.7999999999993</v>
      </c>
      <c r="O13" s="137">
        <f t="shared" si="6"/>
        <v>37.91881188</v>
      </c>
      <c r="P13" s="137">
        <v>2237.0</v>
      </c>
      <c r="Q13" s="137">
        <f t="shared" si="7"/>
        <v>22.14851485</v>
      </c>
      <c r="R13" s="137">
        <v>839.5</v>
      </c>
      <c r="S13" s="137">
        <f t="shared" si="8"/>
        <v>8.311881188</v>
      </c>
    </row>
    <row r="14">
      <c r="A14" s="136" t="s">
        <v>1771</v>
      </c>
      <c r="B14" s="14">
        <v>28.0</v>
      </c>
      <c r="C14" s="14">
        <v>98.0</v>
      </c>
      <c r="D14" s="137">
        <v>195838.40000000002</v>
      </c>
      <c r="E14" s="137">
        <f t="shared" si="1"/>
        <v>1998.35102</v>
      </c>
      <c r="F14" s="137">
        <v>73636.39999999997</v>
      </c>
      <c r="G14" s="137">
        <f t="shared" si="2"/>
        <v>751.3918367</v>
      </c>
      <c r="H14" s="137">
        <v>78015.5</v>
      </c>
      <c r="I14" s="137">
        <f t="shared" si="3"/>
        <v>796.0765306</v>
      </c>
      <c r="J14" s="137">
        <v>28180.800000000003</v>
      </c>
      <c r="K14" s="137">
        <f t="shared" si="4"/>
        <v>287.5591837</v>
      </c>
      <c r="L14" s="137">
        <v>10909.700000000003</v>
      </c>
      <c r="M14" s="137">
        <f t="shared" si="5"/>
        <v>111.3234694</v>
      </c>
      <c r="N14" s="137">
        <v>5096.000000000001</v>
      </c>
      <c r="O14" s="137">
        <f t="shared" si="6"/>
        <v>52</v>
      </c>
      <c r="P14" s="137">
        <v>2475.0</v>
      </c>
      <c r="Q14" s="137">
        <f t="shared" si="7"/>
        <v>25.25510204</v>
      </c>
      <c r="R14" s="137">
        <v>893.0</v>
      </c>
      <c r="S14" s="137">
        <f t="shared" si="8"/>
        <v>9.112244898</v>
      </c>
    </row>
    <row r="15">
      <c r="A15" s="136" t="s">
        <v>1771</v>
      </c>
      <c r="B15" s="14">
        <v>31.0</v>
      </c>
      <c r="C15" s="14">
        <v>100.0</v>
      </c>
      <c r="D15" s="137">
        <v>208602.49999999997</v>
      </c>
      <c r="E15" s="137">
        <f t="shared" si="1"/>
        <v>2086.025</v>
      </c>
      <c r="F15" s="137">
        <v>80496.19999999998</v>
      </c>
      <c r="G15" s="137">
        <f t="shared" si="2"/>
        <v>804.962</v>
      </c>
      <c r="H15" s="137">
        <v>86663.80000000002</v>
      </c>
      <c r="I15" s="137">
        <f t="shared" si="3"/>
        <v>866.638</v>
      </c>
      <c r="J15" s="137">
        <v>27684.600000000006</v>
      </c>
      <c r="K15" s="137">
        <f t="shared" si="4"/>
        <v>276.846</v>
      </c>
      <c r="L15" s="137">
        <v>10117.2</v>
      </c>
      <c r="M15" s="137">
        <f t="shared" si="5"/>
        <v>101.172</v>
      </c>
      <c r="N15" s="137">
        <v>3659.8</v>
      </c>
      <c r="O15" s="137">
        <f t="shared" si="6"/>
        <v>36.598</v>
      </c>
      <c r="P15" s="137">
        <v>2433.0</v>
      </c>
      <c r="Q15" s="137">
        <f t="shared" si="7"/>
        <v>24.33</v>
      </c>
      <c r="R15" s="137">
        <v>868.0</v>
      </c>
      <c r="S15" s="137">
        <f t="shared" si="8"/>
        <v>8.68</v>
      </c>
    </row>
    <row r="16">
      <c r="A16" s="136" t="s">
        <v>1771</v>
      </c>
      <c r="B16" s="14">
        <v>32.0</v>
      </c>
      <c r="C16" s="14">
        <v>98.0</v>
      </c>
      <c r="D16" s="137">
        <v>218838.30000000002</v>
      </c>
      <c r="E16" s="137">
        <f t="shared" si="1"/>
        <v>2233.043878</v>
      </c>
      <c r="F16" s="137">
        <v>75528.09999999998</v>
      </c>
      <c r="G16" s="137">
        <f t="shared" si="2"/>
        <v>770.694898</v>
      </c>
      <c r="H16" s="137">
        <v>97949.8</v>
      </c>
      <c r="I16" s="137">
        <f t="shared" si="3"/>
        <v>999.4877551</v>
      </c>
      <c r="J16" s="137">
        <v>30139.699999999993</v>
      </c>
      <c r="K16" s="137">
        <f t="shared" si="4"/>
        <v>307.5479592</v>
      </c>
      <c r="L16" s="137">
        <v>11068.300000000005</v>
      </c>
      <c r="M16" s="137">
        <f t="shared" si="5"/>
        <v>112.9418367</v>
      </c>
      <c r="N16" s="137">
        <v>4152.000000000001</v>
      </c>
      <c r="O16" s="137">
        <f t="shared" si="6"/>
        <v>42.36734694</v>
      </c>
      <c r="P16" s="137">
        <v>2649.0</v>
      </c>
      <c r="Q16" s="137">
        <f t="shared" si="7"/>
        <v>27.03061224</v>
      </c>
      <c r="R16" s="137">
        <v>874.0</v>
      </c>
      <c r="S16" s="137">
        <f t="shared" si="8"/>
        <v>8.918367347</v>
      </c>
    </row>
    <row r="17">
      <c r="A17" s="136" t="s">
        <v>1771</v>
      </c>
      <c r="B17" s="14">
        <v>35.0</v>
      </c>
      <c r="C17" s="14">
        <v>96.0</v>
      </c>
      <c r="D17" s="137">
        <v>205357.90000000002</v>
      </c>
      <c r="E17" s="137">
        <f t="shared" si="1"/>
        <v>2139.144792</v>
      </c>
      <c r="F17" s="137">
        <v>84934.40000000001</v>
      </c>
      <c r="G17" s="137">
        <f t="shared" si="2"/>
        <v>884.7333333</v>
      </c>
      <c r="H17" s="137">
        <v>81318.79999999997</v>
      </c>
      <c r="I17" s="137">
        <f t="shared" si="3"/>
        <v>847.0708333</v>
      </c>
      <c r="J17" s="137">
        <v>24614.499999999996</v>
      </c>
      <c r="K17" s="137">
        <f t="shared" si="4"/>
        <v>256.4010417</v>
      </c>
      <c r="L17" s="137">
        <v>10338.800000000001</v>
      </c>
      <c r="M17" s="137">
        <f t="shared" si="5"/>
        <v>107.6958333</v>
      </c>
      <c r="N17" s="137">
        <v>4151.099999999999</v>
      </c>
      <c r="O17" s="137">
        <f t="shared" si="6"/>
        <v>43.240625</v>
      </c>
      <c r="P17" s="137">
        <v>2201.0</v>
      </c>
      <c r="Q17" s="137">
        <f t="shared" si="7"/>
        <v>22.92708333</v>
      </c>
      <c r="R17" s="137">
        <v>851.0</v>
      </c>
      <c r="S17" s="137">
        <f t="shared" si="8"/>
        <v>8.864583333</v>
      </c>
    </row>
    <row r="18">
      <c r="A18" s="136" t="s">
        <v>1771</v>
      </c>
      <c r="B18" s="14">
        <v>36.0</v>
      </c>
      <c r="C18" s="14">
        <v>102.0</v>
      </c>
      <c r="D18" s="137">
        <v>214048.00000000003</v>
      </c>
      <c r="E18" s="137">
        <f t="shared" si="1"/>
        <v>2098.509804</v>
      </c>
      <c r="F18" s="137">
        <v>81729.1</v>
      </c>
      <c r="G18" s="137">
        <f t="shared" si="2"/>
        <v>801.2656863</v>
      </c>
      <c r="H18" s="137">
        <v>85481.6</v>
      </c>
      <c r="I18" s="137">
        <f t="shared" si="3"/>
        <v>838.054902</v>
      </c>
      <c r="J18" s="137">
        <v>29508.400000000005</v>
      </c>
      <c r="K18" s="137">
        <f t="shared" si="4"/>
        <v>289.2980392</v>
      </c>
      <c r="L18" s="137">
        <v>12674.9</v>
      </c>
      <c r="M18" s="137">
        <f t="shared" si="5"/>
        <v>124.2637255</v>
      </c>
      <c r="N18" s="137">
        <v>4653.899999999999</v>
      </c>
      <c r="O18" s="137">
        <f t="shared" si="6"/>
        <v>45.62647059</v>
      </c>
      <c r="P18" s="137">
        <v>2573.0</v>
      </c>
      <c r="Q18" s="137">
        <f t="shared" si="7"/>
        <v>25.2254902</v>
      </c>
      <c r="R18" s="137">
        <v>992.0</v>
      </c>
      <c r="S18" s="137">
        <f t="shared" si="8"/>
        <v>9.725490196</v>
      </c>
    </row>
    <row r="19">
      <c r="A19" s="136" t="s">
        <v>1771</v>
      </c>
      <c r="B19" s="14">
        <v>39.0</v>
      </c>
      <c r="C19" s="14">
        <v>98.0</v>
      </c>
      <c r="D19" s="137">
        <v>202643.49999999997</v>
      </c>
      <c r="E19" s="137">
        <f t="shared" si="1"/>
        <v>2067.790816</v>
      </c>
      <c r="F19" s="137">
        <v>75927.9</v>
      </c>
      <c r="G19" s="137">
        <f t="shared" si="2"/>
        <v>774.7744898</v>
      </c>
      <c r="H19" s="137">
        <v>88013.70000000001</v>
      </c>
      <c r="I19" s="137">
        <f t="shared" si="3"/>
        <v>898.0989796</v>
      </c>
      <c r="J19" s="137">
        <v>25914.199999999997</v>
      </c>
      <c r="K19" s="137">
        <f t="shared" si="4"/>
        <v>264.4306122</v>
      </c>
      <c r="L19" s="137">
        <v>9333.300000000001</v>
      </c>
      <c r="M19" s="137">
        <f t="shared" si="5"/>
        <v>95.2377551</v>
      </c>
      <c r="N19" s="137">
        <v>3530.8999999999996</v>
      </c>
      <c r="O19" s="137">
        <f t="shared" si="6"/>
        <v>36.02959184</v>
      </c>
      <c r="P19" s="137">
        <v>2221.0</v>
      </c>
      <c r="Q19" s="137">
        <f t="shared" si="7"/>
        <v>22.66326531</v>
      </c>
      <c r="R19" s="137">
        <v>786.9</v>
      </c>
      <c r="S19" s="137">
        <f t="shared" si="8"/>
        <v>8.029591837</v>
      </c>
    </row>
    <row r="20">
      <c r="A20" s="136" t="s">
        <v>1771</v>
      </c>
      <c r="B20" s="14">
        <v>40.0</v>
      </c>
      <c r="C20" s="14">
        <v>102.0</v>
      </c>
      <c r="D20" s="137">
        <v>195402.40000000005</v>
      </c>
      <c r="E20" s="137">
        <f t="shared" si="1"/>
        <v>1915.709804</v>
      </c>
      <c r="F20" s="137">
        <v>84247.19999999998</v>
      </c>
      <c r="G20" s="137">
        <f t="shared" si="2"/>
        <v>825.9529412</v>
      </c>
      <c r="H20" s="137">
        <v>74606.90000000001</v>
      </c>
      <c r="I20" s="137">
        <f t="shared" si="3"/>
        <v>731.4401961</v>
      </c>
      <c r="J20" s="137">
        <v>22785.899999999998</v>
      </c>
      <c r="K20" s="137">
        <f t="shared" si="4"/>
        <v>223.3911765</v>
      </c>
      <c r="L20" s="137">
        <v>9819.7</v>
      </c>
      <c r="M20" s="137">
        <f t="shared" si="5"/>
        <v>96.27156863</v>
      </c>
      <c r="N20" s="137">
        <v>3942.699999999999</v>
      </c>
      <c r="O20" s="137">
        <f t="shared" si="6"/>
        <v>38.65392157</v>
      </c>
      <c r="P20" s="137">
        <v>2048.0</v>
      </c>
      <c r="Q20" s="137">
        <f t="shared" si="7"/>
        <v>20.07843137</v>
      </c>
      <c r="R20" s="137">
        <v>825.0</v>
      </c>
      <c r="S20" s="137">
        <f t="shared" si="8"/>
        <v>8.088235294</v>
      </c>
    </row>
    <row r="21">
      <c r="A21" s="136" t="s">
        <v>1771</v>
      </c>
      <c r="B21" s="14">
        <v>43.0</v>
      </c>
      <c r="C21" s="14">
        <v>98.0</v>
      </c>
      <c r="D21" s="137">
        <v>205405.40000000002</v>
      </c>
      <c r="E21" s="137">
        <f t="shared" si="1"/>
        <v>2095.973469</v>
      </c>
      <c r="F21" s="137">
        <v>73676.20000000001</v>
      </c>
      <c r="G21" s="137">
        <f t="shared" si="2"/>
        <v>751.7979592</v>
      </c>
      <c r="H21" s="137">
        <v>78178.50000000001</v>
      </c>
      <c r="I21" s="137">
        <f t="shared" si="3"/>
        <v>797.7397959</v>
      </c>
      <c r="J21" s="137">
        <v>32588.199999999997</v>
      </c>
      <c r="K21" s="137">
        <f t="shared" si="4"/>
        <v>332.5326531</v>
      </c>
      <c r="L21" s="137">
        <v>15177.500000000002</v>
      </c>
      <c r="M21" s="137">
        <f t="shared" si="5"/>
        <v>154.872449</v>
      </c>
      <c r="N21" s="137">
        <v>5801.8</v>
      </c>
      <c r="O21" s="137">
        <f t="shared" si="6"/>
        <v>59.20204082</v>
      </c>
      <c r="P21" s="137">
        <v>2822.0</v>
      </c>
      <c r="Q21" s="137">
        <f t="shared" si="7"/>
        <v>28.79591837</v>
      </c>
      <c r="R21" s="137">
        <v>1182.8</v>
      </c>
      <c r="S21" s="137">
        <f t="shared" si="8"/>
        <v>12.06938776</v>
      </c>
    </row>
    <row r="22">
      <c r="A22" s="136" t="s">
        <v>1771</v>
      </c>
      <c r="B22" s="14">
        <v>44.0</v>
      </c>
      <c r="C22" s="14">
        <v>101.0</v>
      </c>
      <c r="D22" s="137">
        <v>226176.3</v>
      </c>
      <c r="E22" s="137">
        <f t="shared" si="1"/>
        <v>2239.369307</v>
      </c>
      <c r="F22" s="137">
        <v>74708.1</v>
      </c>
      <c r="G22" s="137">
        <f t="shared" si="2"/>
        <v>739.6841584</v>
      </c>
      <c r="H22" s="137">
        <v>96827.8</v>
      </c>
      <c r="I22" s="137">
        <f t="shared" si="3"/>
        <v>958.6910891</v>
      </c>
      <c r="J22" s="137">
        <v>34700.99999999999</v>
      </c>
      <c r="K22" s="137">
        <f t="shared" si="4"/>
        <v>343.5742574</v>
      </c>
      <c r="L22" s="137">
        <v>14707.599999999999</v>
      </c>
      <c r="M22" s="137">
        <f t="shared" si="5"/>
        <v>145.619802</v>
      </c>
      <c r="N22" s="137">
        <v>5232.099999999999</v>
      </c>
      <c r="O22" s="137">
        <f t="shared" si="6"/>
        <v>51.8029703</v>
      </c>
      <c r="P22" s="137">
        <v>2981.0</v>
      </c>
      <c r="Q22" s="137">
        <f t="shared" si="7"/>
        <v>29.51485149</v>
      </c>
      <c r="R22" s="137">
        <v>1125.0</v>
      </c>
      <c r="S22" s="137">
        <f t="shared" si="8"/>
        <v>11.13861386</v>
      </c>
    </row>
    <row r="23">
      <c r="A23" s="136" t="s">
        <v>1771</v>
      </c>
      <c r="B23" s="14">
        <v>47.0</v>
      </c>
      <c r="C23" s="14">
        <v>100.0</v>
      </c>
      <c r="D23" s="137">
        <v>213438.30000000005</v>
      </c>
      <c r="E23" s="137">
        <f t="shared" si="1"/>
        <v>2134.383</v>
      </c>
      <c r="F23" s="137">
        <v>78353.9</v>
      </c>
      <c r="G23" s="137">
        <f t="shared" si="2"/>
        <v>783.539</v>
      </c>
      <c r="H23" s="137">
        <v>88363.0</v>
      </c>
      <c r="I23" s="137">
        <f t="shared" si="3"/>
        <v>883.63</v>
      </c>
      <c r="J23" s="137">
        <v>29904.000000000004</v>
      </c>
      <c r="K23" s="137">
        <f t="shared" si="4"/>
        <v>299.04</v>
      </c>
      <c r="L23" s="137">
        <v>12734.499999999998</v>
      </c>
      <c r="M23" s="137">
        <f t="shared" si="5"/>
        <v>127.345</v>
      </c>
      <c r="N23" s="137">
        <v>4083.4000000000005</v>
      </c>
      <c r="O23" s="137">
        <f t="shared" si="6"/>
        <v>40.834</v>
      </c>
      <c r="P23" s="137">
        <v>2628.0</v>
      </c>
      <c r="Q23" s="137">
        <f t="shared" si="7"/>
        <v>26.28</v>
      </c>
      <c r="R23" s="137">
        <v>1014.0</v>
      </c>
      <c r="S23" s="137">
        <f t="shared" si="8"/>
        <v>10.14</v>
      </c>
    </row>
    <row r="24">
      <c r="A24" s="136" t="s">
        <v>1771</v>
      </c>
      <c r="B24" s="14">
        <v>48.0</v>
      </c>
      <c r="C24" s="14">
        <v>97.0</v>
      </c>
      <c r="D24" s="137">
        <v>227865.69999999998</v>
      </c>
      <c r="E24" s="137">
        <f t="shared" si="1"/>
        <v>2349.130928</v>
      </c>
      <c r="F24" s="137">
        <v>76412.8</v>
      </c>
      <c r="G24" s="137">
        <f t="shared" si="2"/>
        <v>787.7608247</v>
      </c>
      <c r="H24" s="137">
        <v>98144.99999999997</v>
      </c>
      <c r="I24" s="137">
        <f t="shared" si="3"/>
        <v>1011.804124</v>
      </c>
      <c r="J24" s="137">
        <v>34401.700000000004</v>
      </c>
      <c r="K24" s="137">
        <f t="shared" si="4"/>
        <v>354.656701</v>
      </c>
      <c r="L24" s="137">
        <v>13284.199999999997</v>
      </c>
      <c r="M24" s="137">
        <f t="shared" si="5"/>
        <v>136.9505155</v>
      </c>
      <c r="N24" s="137">
        <v>5628.700000000001</v>
      </c>
      <c r="O24" s="137">
        <f t="shared" si="6"/>
        <v>58.02783505</v>
      </c>
      <c r="P24" s="137">
        <v>2970.0</v>
      </c>
      <c r="Q24" s="137">
        <f t="shared" si="7"/>
        <v>30.6185567</v>
      </c>
      <c r="R24" s="137">
        <v>1096.6</v>
      </c>
      <c r="S24" s="137">
        <f t="shared" si="8"/>
        <v>11.30515464</v>
      </c>
    </row>
    <row r="25">
      <c r="A25" s="136" t="s">
        <v>1771</v>
      </c>
      <c r="B25" s="14">
        <v>54.0</v>
      </c>
      <c r="C25" s="14">
        <v>135.0</v>
      </c>
      <c r="D25" s="137">
        <v>291596.39999999997</v>
      </c>
      <c r="E25" s="137">
        <f t="shared" si="1"/>
        <v>2159.973333</v>
      </c>
      <c r="F25" s="137">
        <v>105498.3</v>
      </c>
      <c r="G25" s="137">
        <f t="shared" si="2"/>
        <v>781.4688889</v>
      </c>
      <c r="H25" s="137">
        <v>124039.4</v>
      </c>
      <c r="I25" s="137">
        <f t="shared" si="3"/>
        <v>918.8103704</v>
      </c>
      <c r="J25" s="137">
        <v>39695.59999999999</v>
      </c>
      <c r="K25" s="137">
        <f t="shared" si="4"/>
        <v>294.0414815</v>
      </c>
      <c r="L25" s="137">
        <v>15962.1</v>
      </c>
      <c r="M25" s="137">
        <f t="shared" si="5"/>
        <v>118.2377778</v>
      </c>
      <c r="N25" s="137">
        <v>6401.4</v>
      </c>
      <c r="O25" s="137">
        <f t="shared" si="6"/>
        <v>47.41777778</v>
      </c>
      <c r="P25" s="137">
        <v>3374.0</v>
      </c>
      <c r="Q25" s="137">
        <f t="shared" si="7"/>
        <v>24.99259259</v>
      </c>
      <c r="R25" s="137">
        <v>1253.0</v>
      </c>
      <c r="S25" s="137">
        <f t="shared" si="8"/>
        <v>9.281481481</v>
      </c>
    </row>
    <row r="26">
      <c r="A26" s="136" t="s">
        <v>1771</v>
      </c>
      <c r="B26" s="14">
        <v>56.0</v>
      </c>
      <c r="C26" s="14">
        <v>97.0</v>
      </c>
      <c r="D26" s="137">
        <v>222764.10000000003</v>
      </c>
      <c r="E26" s="137">
        <f t="shared" si="1"/>
        <v>2296.537113</v>
      </c>
      <c r="F26" s="137">
        <v>77453.79999999999</v>
      </c>
      <c r="G26" s="137">
        <f t="shared" si="2"/>
        <v>798.4927835</v>
      </c>
      <c r="H26" s="137">
        <v>98428.09999999999</v>
      </c>
      <c r="I26" s="137">
        <f t="shared" si="3"/>
        <v>1014.72268</v>
      </c>
      <c r="J26" s="137">
        <v>31608.600000000006</v>
      </c>
      <c r="K26" s="137">
        <f t="shared" si="4"/>
        <v>325.8618557</v>
      </c>
      <c r="L26" s="137">
        <v>11428.1</v>
      </c>
      <c r="M26" s="137">
        <f t="shared" si="5"/>
        <v>117.8154639</v>
      </c>
      <c r="N26" s="137">
        <v>3853.3</v>
      </c>
      <c r="O26" s="137">
        <f t="shared" si="6"/>
        <v>39.72474227</v>
      </c>
      <c r="P26" s="137">
        <v>2861.0</v>
      </c>
      <c r="Q26" s="137">
        <f t="shared" si="7"/>
        <v>29.49484536</v>
      </c>
      <c r="R26" s="137">
        <v>957.5</v>
      </c>
      <c r="S26" s="137">
        <f t="shared" si="8"/>
        <v>9.871134021</v>
      </c>
    </row>
    <row r="27">
      <c r="A27" s="136" t="s">
        <v>1771</v>
      </c>
      <c r="B27" s="14">
        <v>58.0</v>
      </c>
      <c r="C27" s="14">
        <v>96.0</v>
      </c>
      <c r="D27" s="137">
        <v>202914.59999999998</v>
      </c>
      <c r="E27" s="137">
        <f t="shared" si="1"/>
        <v>2113.69375</v>
      </c>
      <c r="F27" s="137">
        <v>78619.20000000001</v>
      </c>
      <c r="G27" s="137">
        <f t="shared" si="2"/>
        <v>818.95</v>
      </c>
      <c r="H27" s="137">
        <v>79890.90000000001</v>
      </c>
      <c r="I27" s="137">
        <f t="shared" si="3"/>
        <v>832.196875</v>
      </c>
      <c r="J27" s="137">
        <v>27918.700000000004</v>
      </c>
      <c r="K27" s="137">
        <f t="shared" si="4"/>
        <v>290.8197917</v>
      </c>
      <c r="L27" s="137">
        <v>11903.300000000001</v>
      </c>
      <c r="M27" s="137">
        <f t="shared" si="5"/>
        <v>123.9927083</v>
      </c>
      <c r="N27" s="137">
        <v>4614.4</v>
      </c>
      <c r="O27" s="137">
        <f t="shared" si="6"/>
        <v>48.06666667</v>
      </c>
      <c r="P27" s="137">
        <v>2392.0</v>
      </c>
      <c r="Q27" s="137">
        <f t="shared" si="7"/>
        <v>24.91666667</v>
      </c>
      <c r="R27" s="137">
        <v>980.5</v>
      </c>
      <c r="S27" s="137">
        <f t="shared" si="8"/>
        <v>10.21354167</v>
      </c>
    </row>
    <row r="28">
      <c r="A28" s="136" t="s">
        <v>1772</v>
      </c>
      <c r="B28" s="14">
        <v>2.0</v>
      </c>
      <c r="C28" s="14">
        <v>99.0</v>
      </c>
      <c r="D28" s="137">
        <v>225186.4</v>
      </c>
      <c r="E28" s="137">
        <f t="shared" si="1"/>
        <v>2274.610101</v>
      </c>
      <c r="F28" s="137">
        <v>81785.4</v>
      </c>
      <c r="G28" s="137">
        <f t="shared" si="2"/>
        <v>826.1151515</v>
      </c>
      <c r="H28" s="137">
        <v>101280.4</v>
      </c>
      <c r="I28" s="137">
        <f t="shared" si="3"/>
        <v>1023.034343</v>
      </c>
      <c r="J28" s="137">
        <v>29363.600000000006</v>
      </c>
      <c r="K28" s="137">
        <f t="shared" si="4"/>
        <v>296.6020202</v>
      </c>
      <c r="L28" s="137">
        <v>9820.099999999997</v>
      </c>
      <c r="M28" s="137">
        <f t="shared" si="5"/>
        <v>99.19292929</v>
      </c>
      <c r="N28" s="137">
        <v>2937.400000000001</v>
      </c>
      <c r="O28" s="137">
        <f t="shared" si="6"/>
        <v>29.67070707</v>
      </c>
      <c r="P28" s="137">
        <v>2639.0</v>
      </c>
      <c r="Q28" s="137">
        <f t="shared" si="7"/>
        <v>26.65656566</v>
      </c>
      <c r="R28" s="137">
        <v>785.0</v>
      </c>
      <c r="S28" s="137">
        <f t="shared" si="8"/>
        <v>7.929292929</v>
      </c>
    </row>
    <row r="29">
      <c r="A29" s="136" t="s">
        <v>1772</v>
      </c>
      <c r="B29" s="14">
        <v>3.0</v>
      </c>
      <c r="C29" s="14">
        <v>99.0</v>
      </c>
      <c r="D29" s="137">
        <v>205746.2</v>
      </c>
      <c r="E29" s="137">
        <f t="shared" si="1"/>
        <v>2078.244444</v>
      </c>
      <c r="F29" s="137">
        <v>78977.60000000002</v>
      </c>
      <c r="G29" s="137">
        <f t="shared" si="2"/>
        <v>797.7535354</v>
      </c>
      <c r="H29" s="137">
        <v>80780.7</v>
      </c>
      <c r="I29" s="137">
        <f t="shared" si="3"/>
        <v>815.9666667</v>
      </c>
      <c r="J29" s="137">
        <v>28424.299999999996</v>
      </c>
      <c r="K29" s="137">
        <f t="shared" si="4"/>
        <v>287.1141414</v>
      </c>
      <c r="L29" s="137">
        <v>12584.599999999997</v>
      </c>
      <c r="M29" s="137">
        <f t="shared" si="5"/>
        <v>127.1171717</v>
      </c>
      <c r="N29" s="137">
        <v>4979.1</v>
      </c>
      <c r="O29" s="137">
        <f t="shared" si="6"/>
        <v>50.29393939</v>
      </c>
      <c r="P29" s="137">
        <v>2473.0</v>
      </c>
      <c r="Q29" s="137">
        <f t="shared" si="7"/>
        <v>24.97979798</v>
      </c>
      <c r="R29" s="137">
        <v>985.0</v>
      </c>
      <c r="S29" s="137">
        <f t="shared" si="8"/>
        <v>9.949494949</v>
      </c>
    </row>
    <row r="30">
      <c r="A30" s="136" t="s">
        <v>1772</v>
      </c>
      <c r="B30" s="14">
        <v>6.0</v>
      </c>
      <c r="C30" s="14">
        <v>95.0</v>
      </c>
      <c r="D30" s="137">
        <v>208777.40000000002</v>
      </c>
      <c r="E30" s="137">
        <f t="shared" si="1"/>
        <v>2197.656842</v>
      </c>
      <c r="F30" s="137">
        <v>75624.19999999998</v>
      </c>
      <c r="G30" s="137">
        <f t="shared" si="2"/>
        <v>796.0442105</v>
      </c>
      <c r="H30" s="137">
        <v>87352.3</v>
      </c>
      <c r="I30" s="137">
        <f t="shared" si="3"/>
        <v>919.4978947</v>
      </c>
      <c r="J30" s="137">
        <v>28717.69999999999</v>
      </c>
      <c r="K30" s="137">
        <f t="shared" si="4"/>
        <v>302.2915789</v>
      </c>
      <c r="L30" s="137">
        <v>12080.000000000002</v>
      </c>
      <c r="M30" s="137">
        <f t="shared" si="5"/>
        <v>127.1578947</v>
      </c>
      <c r="N30" s="137">
        <v>5002.999999999999</v>
      </c>
      <c r="O30" s="137">
        <f t="shared" si="6"/>
        <v>52.66315789</v>
      </c>
      <c r="P30" s="137">
        <v>2443.0</v>
      </c>
      <c r="Q30" s="137">
        <f t="shared" si="7"/>
        <v>25.71578947</v>
      </c>
      <c r="R30" s="137">
        <v>979.0</v>
      </c>
      <c r="S30" s="137">
        <f t="shared" si="8"/>
        <v>10.30526316</v>
      </c>
    </row>
    <row r="31">
      <c r="A31" s="136" t="s">
        <v>1772</v>
      </c>
      <c r="B31" s="14">
        <v>9.0</v>
      </c>
      <c r="C31" s="14">
        <v>99.0</v>
      </c>
      <c r="D31" s="137">
        <v>219680.6</v>
      </c>
      <c r="E31" s="137">
        <f t="shared" si="1"/>
        <v>2218.99596</v>
      </c>
      <c r="F31" s="137">
        <v>76407.5</v>
      </c>
      <c r="G31" s="137">
        <f t="shared" si="2"/>
        <v>771.7929293</v>
      </c>
      <c r="H31" s="137">
        <v>93209.1</v>
      </c>
      <c r="I31" s="137">
        <f t="shared" si="3"/>
        <v>941.5060606</v>
      </c>
      <c r="J31" s="137">
        <v>31698.899999999994</v>
      </c>
      <c r="K31" s="137">
        <f t="shared" si="4"/>
        <v>320.1909091</v>
      </c>
      <c r="L31" s="137">
        <v>13613.1</v>
      </c>
      <c r="M31" s="137">
        <f t="shared" si="5"/>
        <v>137.5060606</v>
      </c>
      <c r="N31" s="137">
        <v>4751.899999999999</v>
      </c>
      <c r="O31" s="137">
        <f t="shared" si="6"/>
        <v>47.9989899</v>
      </c>
      <c r="P31" s="137">
        <v>2819.0</v>
      </c>
      <c r="Q31" s="137">
        <f t="shared" si="7"/>
        <v>28.47474747</v>
      </c>
      <c r="R31" s="137">
        <v>1101.0</v>
      </c>
      <c r="S31" s="137">
        <f t="shared" si="8"/>
        <v>11.12121212</v>
      </c>
    </row>
    <row r="32">
      <c r="A32" s="136" t="s">
        <v>1772</v>
      </c>
      <c r="B32" s="14">
        <v>10.0</v>
      </c>
      <c r="C32" s="14">
        <v>97.0</v>
      </c>
      <c r="D32" s="137">
        <v>218951.4</v>
      </c>
      <c r="E32" s="137">
        <f t="shared" si="1"/>
        <v>2257.230928</v>
      </c>
      <c r="F32" s="137">
        <v>71885.29999999999</v>
      </c>
      <c r="G32" s="137">
        <f t="shared" si="2"/>
        <v>741.085567</v>
      </c>
      <c r="H32" s="137">
        <v>94854.2</v>
      </c>
      <c r="I32" s="137">
        <f t="shared" si="3"/>
        <v>977.8783505</v>
      </c>
      <c r="J32" s="137">
        <v>33428.299999999996</v>
      </c>
      <c r="K32" s="137">
        <f t="shared" si="4"/>
        <v>344.6216495</v>
      </c>
      <c r="L32" s="137">
        <v>13929.900000000001</v>
      </c>
      <c r="M32" s="137">
        <f t="shared" si="5"/>
        <v>143.6072165</v>
      </c>
      <c r="N32" s="137">
        <v>4864.9</v>
      </c>
      <c r="O32" s="137">
        <f t="shared" si="6"/>
        <v>50.15360825</v>
      </c>
      <c r="P32" s="137">
        <v>2958.0</v>
      </c>
      <c r="Q32" s="137">
        <f t="shared" si="7"/>
        <v>30.49484536</v>
      </c>
      <c r="R32" s="137">
        <v>1150.1</v>
      </c>
      <c r="S32" s="137">
        <f t="shared" si="8"/>
        <v>11.85670103</v>
      </c>
    </row>
    <row r="33">
      <c r="A33" s="136" t="s">
        <v>1772</v>
      </c>
      <c r="B33" s="14">
        <v>13.0</v>
      </c>
      <c r="C33" s="14">
        <v>99.0</v>
      </c>
      <c r="D33" s="137">
        <v>200726.79999999996</v>
      </c>
      <c r="E33" s="137">
        <f t="shared" si="1"/>
        <v>2027.543434</v>
      </c>
      <c r="F33" s="137">
        <v>79615.00000000001</v>
      </c>
      <c r="G33" s="137">
        <f t="shared" si="2"/>
        <v>804.1919192</v>
      </c>
      <c r="H33" s="137">
        <v>81644.80000000002</v>
      </c>
      <c r="I33" s="137">
        <f t="shared" si="3"/>
        <v>824.6949495</v>
      </c>
      <c r="J33" s="137">
        <v>25336.40000000001</v>
      </c>
      <c r="K33" s="137">
        <f t="shared" si="4"/>
        <v>255.9232323</v>
      </c>
      <c r="L33" s="137">
        <v>10065.0</v>
      </c>
      <c r="M33" s="137">
        <f t="shared" si="5"/>
        <v>101.6666667</v>
      </c>
      <c r="N33" s="137">
        <v>4065.7000000000007</v>
      </c>
      <c r="O33" s="137">
        <f t="shared" si="6"/>
        <v>41.06767677</v>
      </c>
      <c r="P33" s="137">
        <v>2164.0</v>
      </c>
      <c r="Q33" s="137">
        <f t="shared" si="7"/>
        <v>21.85858586</v>
      </c>
      <c r="R33" s="137">
        <v>829.0</v>
      </c>
      <c r="S33" s="137">
        <f t="shared" si="8"/>
        <v>8.373737374</v>
      </c>
    </row>
    <row r="34">
      <c r="A34" s="136" t="s">
        <v>1772</v>
      </c>
      <c r="B34" s="14">
        <v>14.0</v>
      </c>
      <c r="C34" s="14">
        <v>104.0</v>
      </c>
      <c r="D34" s="137">
        <v>210276.30000000002</v>
      </c>
      <c r="E34" s="137">
        <f t="shared" si="1"/>
        <v>2021.8875</v>
      </c>
      <c r="F34" s="137">
        <v>85135.6</v>
      </c>
      <c r="G34" s="137">
        <f t="shared" si="2"/>
        <v>818.6115385</v>
      </c>
      <c r="H34" s="137">
        <v>83947.60000000002</v>
      </c>
      <c r="I34" s="137">
        <f t="shared" si="3"/>
        <v>807.1884615</v>
      </c>
      <c r="J34" s="137">
        <v>27231.8</v>
      </c>
      <c r="K34" s="137">
        <f t="shared" si="4"/>
        <v>261.8442308</v>
      </c>
      <c r="L34" s="137">
        <v>9890.2</v>
      </c>
      <c r="M34" s="137">
        <f t="shared" si="5"/>
        <v>95.09807692</v>
      </c>
      <c r="N34" s="137">
        <v>4071.4000000000005</v>
      </c>
      <c r="O34" s="137">
        <f t="shared" si="6"/>
        <v>39.14807692</v>
      </c>
      <c r="P34" s="137">
        <v>2374.0</v>
      </c>
      <c r="Q34" s="137">
        <f t="shared" si="7"/>
        <v>22.82692308</v>
      </c>
      <c r="R34" s="137">
        <v>820.0</v>
      </c>
      <c r="S34" s="137">
        <f t="shared" si="8"/>
        <v>7.884615385</v>
      </c>
    </row>
    <row r="35">
      <c r="A35" s="136" t="s">
        <v>1772</v>
      </c>
      <c r="B35" s="14">
        <v>17.0</v>
      </c>
      <c r="C35" s="14">
        <v>102.0</v>
      </c>
      <c r="D35" s="137">
        <v>199173.19999999995</v>
      </c>
      <c r="E35" s="137">
        <f t="shared" si="1"/>
        <v>1952.678431</v>
      </c>
      <c r="F35" s="137">
        <v>82110.8</v>
      </c>
      <c r="G35" s="137">
        <f t="shared" si="2"/>
        <v>805.0078431</v>
      </c>
      <c r="H35" s="137">
        <v>74336.8</v>
      </c>
      <c r="I35" s="137">
        <f t="shared" si="3"/>
        <v>728.7921569</v>
      </c>
      <c r="J35" s="137">
        <v>25759.4</v>
      </c>
      <c r="K35" s="137">
        <f t="shared" si="4"/>
        <v>252.5431373</v>
      </c>
      <c r="L35" s="137">
        <v>12001.800000000001</v>
      </c>
      <c r="M35" s="137">
        <f t="shared" si="5"/>
        <v>117.6647059</v>
      </c>
      <c r="N35" s="137">
        <v>4964.099999999999</v>
      </c>
      <c r="O35" s="137">
        <f t="shared" si="6"/>
        <v>48.66764706</v>
      </c>
      <c r="P35" s="137">
        <v>2219.0</v>
      </c>
      <c r="Q35" s="137">
        <f t="shared" si="7"/>
        <v>21.75490196</v>
      </c>
      <c r="R35" s="137">
        <v>935.0</v>
      </c>
      <c r="S35" s="137">
        <f t="shared" si="8"/>
        <v>9.166666667</v>
      </c>
    </row>
    <row r="36">
      <c r="A36" s="136" t="s">
        <v>1772</v>
      </c>
      <c r="B36" s="14">
        <v>18.0</v>
      </c>
      <c r="C36" s="14">
        <v>99.0</v>
      </c>
      <c r="D36" s="137">
        <v>210687.90000000002</v>
      </c>
      <c r="E36" s="137">
        <f t="shared" si="1"/>
        <v>2128.160606</v>
      </c>
      <c r="F36" s="137">
        <v>79533.59999999999</v>
      </c>
      <c r="G36" s="137">
        <f t="shared" si="2"/>
        <v>803.369697</v>
      </c>
      <c r="H36" s="137">
        <v>86733.19999999998</v>
      </c>
      <c r="I36" s="137">
        <f t="shared" si="3"/>
        <v>876.0929293</v>
      </c>
      <c r="J36" s="137">
        <v>29126.999999999996</v>
      </c>
      <c r="K36" s="137">
        <f t="shared" si="4"/>
        <v>294.2121212</v>
      </c>
      <c r="L36" s="137">
        <v>11321.7</v>
      </c>
      <c r="M36" s="137">
        <f t="shared" si="5"/>
        <v>114.3606061</v>
      </c>
      <c r="N36" s="137">
        <v>3972.6000000000004</v>
      </c>
      <c r="O36" s="137">
        <f t="shared" si="6"/>
        <v>40.12727273</v>
      </c>
      <c r="P36" s="137">
        <v>2508.0</v>
      </c>
      <c r="Q36" s="137">
        <f t="shared" si="7"/>
        <v>25.33333333</v>
      </c>
      <c r="R36" s="137">
        <v>950.0</v>
      </c>
      <c r="S36" s="137">
        <f t="shared" si="8"/>
        <v>9.595959596</v>
      </c>
    </row>
    <row r="37">
      <c r="A37" s="136" t="s">
        <v>1772</v>
      </c>
      <c r="B37" s="14">
        <v>19.0</v>
      </c>
      <c r="C37" s="14">
        <v>98.0</v>
      </c>
      <c r="D37" s="137">
        <v>220010.49999999997</v>
      </c>
      <c r="E37" s="137">
        <f t="shared" si="1"/>
        <v>2245.005102</v>
      </c>
      <c r="F37" s="137">
        <v>73085.5</v>
      </c>
      <c r="G37" s="137">
        <f t="shared" si="2"/>
        <v>745.7704082</v>
      </c>
      <c r="H37" s="137">
        <v>96101.50000000001</v>
      </c>
      <c r="I37" s="137">
        <f t="shared" si="3"/>
        <v>980.627551</v>
      </c>
      <c r="J37" s="137">
        <v>32948.99999999999</v>
      </c>
      <c r="K37" s="137">
        <f t="shared" si="4"/>
        <v>336.2142857</v>
      </c>
      <c r="L37" s="137">
        <v>12662.199999999999</v>
      </c>
      <c r="M37" s="137">
        <f t="shared" si="5"/>
        <v>129.2061224</v>
      </c>
      <c r="N37" s="137">
        <v>5211.9</v>
      </c>
      <c r="O37" s="137">
        <f t="shared" si="6"/>
        <v>53.18265306</v>
      </c>
      <c r="P37" s="137">
        <v>2797.0</v>
      </c>
      <c r="Q37" s="137">
        <f t="shared" si="7"/>
        <v>28.54081633</v>
      </c>
      <c r="R37" s="137">
        <v>1001.0</v>
      </c>
      <c r="S37" s="137">
        <f t="shared" si="8"/>
        <v>10.21428571</v>
      </c>
    </row>
    <row r="38">
      <c r="A38" s="136" t="s">
        <v>1772</v>
      </c>
      <c r="B38" s="14">
        <v>21.0</v>
      </c>
      <c r="C38" s="14">
        <v>107.0</v>
      </c>
      <c r="D38" s="137">
        <v>225242.09999999998</v>
      </c>
      <c r="E38" s="137">
        <f t="shared" si="1"/>
        <v>2105.066355</v>
      </c>
      <c r="F38" s="137">
        <v>86103.0</v>
      </c>
      <c r="G38" s="137">
        <f t="shared" si="2"/>
        <v>804.7009346</v>
      </c>
      <c r="H38" s="137">
        <v>97354.70000000001</v>
      </c>
      <c r="I38" s="137">
        <f t="shared" si="3"/>
        <v>909.8570093</v>
      </c>
      <c r="J38" s="137">
        <v>29982.70000000001</v>
      </c>
      <c r="K38" s="137">
        <f t="shared" si="4"/>
        <v>280.2121495</v>
      </c>
      <c r="L38" s="137">
        <v>9224.0</v>
      </c>
      <c r="M38" s="137">
        <f t="shared" si="5"/>
        <v>86.20560748</v>
      </c>
      <c r="N38" s="137">
        <v>2777.2000000000003</v>
      </c>
      <c r="O38" s="137">
        <f t="shared" si="6"/>
        <v>25.95514019</v>
      </c>
      <c r="P38" s="137">
        <v>2332.0</v>
      </c>
      <c r="Q38" s="137">
        <f t="shared" si="7"/>
        <v>21.79439252</v>
      </c>
      <c r="R38" s="137">
        <v>777.2</v>
      </c>
      <c r="S38" s="137">
        <f t="shared" si="8"/>
        <v>7.263551402</v>
      </c>
    </row>
    <row r="39">
      <c r="A39" s="136" t="s">
        <v>1772</v>
      </c>
      <c r="B39" s="14">
        <v>22.0</v>
      </c>
      <c r="C39" s="14">
        <v>100.0</v>
      </c>
      <c r="D39" s="137">
        <v>195811.5</v>
      </c>
      <c r="E39" s="137">
        <f t="shared" si="1"/>
        <v>1958.115</v>
      </c>
      <c r="F39" s="137">
        <v>76506.5</v>
      </c>
      <c r="G39" s="137">
        <f t="shared" si="2"/>
        <v>765.065</v>
      </c>
      <c r="H39" s="137">
        <v>76876.1</v>
      </c>
      <c r="I39" s="137">
        <f t="shared" si="3"/>
        <v>768.761</v>
      </c>
      <c r="J39" s="137">
        <v>26747.000000000004</v>
      </c>
      <c r="K39" s="137">
        <f t="shared" si="4"/>
        <v>267.47</v>
      </c>
      <c r="L39" s="137">
        <v>10994.999999999995</v>
      </c>
      <c r="M39" s="137">
        <f t="shared" si="5"/>
        <v>109.95</v>
      </c>
      <c r="N39" s="137">
        <v>4700.999999999999</v>
      </c>
      <c r="O39" s="137">
        <f t="shared" si="6"/>
        <v>47.01</v>
      </c>
      <c r="P39" s="137">
        <v>2286.0</v>
      </c>
      <c r="Q39" s="137">
        <f t="shared" si="7"/>
        <v>22.86</v>
      </c>
      <c r="R39" s="137">
        <v>893.2</v>
      </c>
      <c r="S39" s="137">
        <f t="shared" si="8"/>
        <v>8.932</v>
      </c>
    </row>
    <row r="40">
      <c r="A40" s="136" t="s">
        <v>1772</v>
      </c>
      <c r="B40" s="14">
        <v>23.0</v>
      </c>
      <c r="C40" s="14">
        <v>104.0</v>
      </c>
      <c r="D40" s="137">
        <v>208979.39999999994</v>
      </c>
      <c r="E40" s="137">
        <f t="shared" si="1"/>
        <v>2009.417308</v>
      </c>
      <c r="F40" s="137">
        <v>85142.70000000001</v>
      </c>
      <c r="G40" s="137">
        <f t="shared" si="2"/>
        <v>818.6798077</v>
      </c>
      <c r="H40" s="137">
        <v>84254.5</v>
      </c>
      <c r="I40" s="137">
        <f t="shared" si="3"/>
        <v>810.1394231</v>
      </c>
      <c r="J40" s="137">
        <v>25820.9</v>
      </c>
      <c r="K40" s="137">
        <f t="shared" si="4"/>
        <v>248.2778846</v>
      </c>
      <c r="L40" s="137">
        <v>9915.900000000001</v>
      </c>
      <c r="M40" s="137">
        <f t="shared" si="5"/>
        <v>95.34519231</v>
      </c>
      <c r="N40" s="137">
        <v>3845.1999999999994</v>
      </c>
      <c r="O40" s="137">
        <f t="shared" si="6"/>
        <v>36.97307692</v>
      </c>
      <c r="P40" s="137">
        <v>2260.0</v>
      </c>
      <c r="Q40" s="137">
        <f t="shared" si="7"/>
        <v>21.73076923</v>
      </c>
      <c r="R40" s="137">
        <v>832.0</v>
      </c>
      <c r="S40" s="137">
        <f t="shared" si="8"/>
        <v>8</v>
      </c>
    </row>
    <row r="41">
      <c r="A41" s="136" t="s">
        <v>1772</v>
      </c>
      <c r="B41" s="14">
        <v>25.0</v>
      </c>
      <c r="C41" s="14">
        <v>99.0</v>
      </c>
      <c r="D41" s="137">
        <v>203516.8</v>
      </c>
      <c r="E41" s="137">
        <f t="shared" si="1"/>
        <v>2055.725253</v>
      </c>
      <c r="F41" s="137">
        <v>76898.59999999999</v>
      </c>
      <c r="G41" s="137">
        <f t="shared" si="2"/>
        <v>776.7535354</v>
      </c>
      <c r="H41" s="137">
        <v>84788.5</v>
      </c>
      <c r="I41" s="137">
        <f t="shared" si="3"/>
        <v>856.4494949</v>
      </c>
      <c r="J41" s="137">
        <v>26990.1</v>
      </c>
      <c r="K41" s="137">
        <f t="shared" si="4"/>
        <v>272.6272727</v>
      </c>
      <c r="L41" s="137">
        <v>10758.100000000002</v>
      </c>
      <c r="M41" s="137">
        <f t="shared" si="5"/>
        <v>108.6676768</v>
      </c>
      <c r="N41" s="137">
        <v>4134.6</v>
      </c>
      <c r="O41" s="137">
        <f t="shared" si="6"/>
        <v>41.76363636</v>
      </c>
      <c r="P41" s="137">
        <v>2371.0</v>
      </c>
      <c r="Q41" s="137">
        <f t="shared" si="7"/>
        <v>23.94949495</v>
      </c>
      <c r="R41" s="137">
        <v>927.0000000000001</v>
      </c>
      <c r="S41" s="137">
        <f t="shared" si="8"/>
        <v>9.363636364</v>
      </c>
    </row>
    <row r="42">
      <c r="A42" s="136" t="s">
        <v>1772</v>
      </c>
      <c r="B42" s="14">
        <v>26.0</v>
      </c>
      <c r="C42" s="14">
        <v>96.0</v>
      </c>
      <c r="D42" s="137">
        <v>230535.10000000006</v>
      </c>
      <c r="E42" s="137">
        <f t="shared" si="1"/>
        <v>2401.407292</v>
      </c>
      <c r="F42" s="137">
        <v>75430.20000000001</v>
      </c>
      <c r="G42" s="137">
        <f t="shared" si="2"/>
        <v>785.73125</v>
      </c>
      <c r="H42" s="137">
        <v>105948.39999999998</v>
      </c>
      <c r="I42" s="137">
        <f t="shared" si="3"/>
        <v>1103.629167</v>
      </c>
      <c r="J42" s="137">
        <v>33301.899999999994</v>
      </c>
      <c r="K42" s="137">
        <f t="shared" si="4"/>
        <v>346.8947917</v>
      </c>
      <c r="L42" s="137">
        <v>12044.500000000002</v>
      </c>
      <c r="M42" s="137">
        <f t="shared" si="5"/>
        <v>125.4635417</v>
      </c>
      <c r="N42" s="137">
        <v>3836.2000000000003</v>
      </c>
      <c r="O42" s="137">
        <f t="shared" si="6"/>
        <v>39.96041667</v>
      </c>
      <c r="P42" s="137">
        <v>2937.0</v>
      </c>
      <c r="Q42" s="137">
        <f t="shared" si="7"/>
        <v>30.59375</v>
      </c>
      <c r="R42" s="137">
        <v>1029.1</v>
      </c>
      <c r="S42" s="137">
        <f t="shared" si="8"/>
        <v>10.71979167</v>
      </c>
    </row>
    <row r="43">
      <c r="A43" s="136" t="s">
        <v>1772</v>
      </c>
      <c r="B43" s="14">
        <v>29.0</v>
      </c>
      <c r="C43" s="14">
        <v>101.0</v>
      </c>
      <c r="D43" s="137">
        <v>207210.69999999998</v>
      </c>
      <c r="E43" s="137">
        <f t="shared" si="1"/>
        <v>2051.591089</v>
      </c>
      <c r="F43" s="137">
        <v>78721.90000000002</v>
      </c>
      <c r="G43" s="137">
        <f t="shared" si="2"/>
        <v>779.4247525</v>
      </c>
      <c r="H43" s="137">
        <v>83447.79999999999</v>
      </c>
      <c r="I43" s="137">
        <f t="shared" si="3"/>
        <v>826.2158416</v>
      </c>
      <c r="J43" s="137">
        <v>28806.4</v>
      </c>
      <c r="K43" s="137">
        <f t="shared" si="4"/>
        <v>285.2118812</v>
      </c>
      <c r="L43" s="137">
        <v>11984.4</v>
      </c>
      <c r="M43" s="137">
        <f t="shared" si="5"/>
        <v>118.6574257</v>
      </c>
      <c r="N43" s="137">
        <v>4260.099999999999</v>
      </c>
      <c r="O43" s="137">
        <f t="shared" si="6"/>
        <v>42.17920792</v>
      </c>
      <c r="P43" s="137">
        <v>2475.0</v>
      </c>
      <c r="Q43" s="137">
        <f t="shared" si="7"/>
        <v>24.5049505</v>
      </c>
      <c r="R43" s="137">
        <v>995.0</v>
      </c>
      <c r="S43" s="137">
        <f t="shared" si="8"/>
        <v>9.851485149</v>
      </c>
    </row>
    <row r="44">
      <c r="A44" s="136" t="s">
        <v>1772</v>
      </c>
      <c r="B44" s="14">
        <v>30.0</v>
      </c>
      <c r="C44" s="14">
        <v>101.0</v>
      </c>
      <c r="D44" s="137">
        <v>203812.39999999997</v>
      </c>
      <c r="E44" s="137">
        <f t="shared" si="1"/>
        <v>2017.944554</v>
      </c>
      <c r="F44" s="137">
        <v>79771.2</v>
      </c>
      <c r="G44" s="137">
        <f t="shared" si="2"/>
        <v>789.8138614</v>
      </c>
      <c r="H44" s="137">
        <v>83759.90000000001</v>
      </c>
      <c r="I44" s="137">
        <f t="shared" si="3"/>
        <v>829.3059406</v>
      </c>
      <c r="J44" s="137">
        <v>26281.700000000004</v>
      </c>
      <c r="K44" s="137">
        <f t="shared" si="4"/>
        <v>260.2148515</v>
      </c>
      <c r="L44" s="137">
        <v>9789.7</v>
      </c>
      <c r="M44" s="137">
        <f t="shared" si="5"/>
        <v>96.92772277</v>
      </c>
      <c r="N44" s="137">
        <v>4210.6</v>
      </c>
      <c r="O44" s="137">
        <f t="shared" si="6"/>
        <v>41.68910891</v>
      </c>
      <c r="P44" s="137">
        <v>2252.0</v>
      </c>
      <c r="Q44" s="137">
        <f t="shared" si="7"/>
        <v>22.2970297</v>
      </c>
      <c r="R44" s="137">
        <v>819.0</v>
      </c>
      <c r="S44" s="137">
        <f t="shared" si="8"/>
        <v>8.108910891</v>
      </c>
      <c r="T44" s="139"/>
      <c r="U44" s="139"/>
      <c r="V44" s="139"/>
      <c r="W44" s="139"/>
      <c r="X44" s="139"/>
      <c r="Y44" s="139"/>
      <c r="Z44" s="139"/>
    </row>
    <row r="45">
      <c r="A45" s="136" t="s">
        <v>1772</v>
      </c>
      <c r="B45" s="14">
        <v>33.0</v>
      </c>
      <c r="C45" s="14">
        <v>96.0</v>
      </c>
      <c r="D45" s="137">
        <v>228881.7</v>
      </c>
      <c r="E45" s="137">
        <f t="shared" si="1"/>
        <v>2384.184375</v>
      </c>
      <c r="F45" s="137">
        <v>71480.19999999997</v>
      </c>
      <c r="G45" s="137">
        <f t="shared" si="2"/>
        <v>744.5854167</v>
      </c>
      <c r="H45" s="137">
        <v>106092.09999999999</v>
      </c>
      <c r="I45" s="137">
        <f t="shared" si="3"/>
        <v>1105.126042</v>
      </c>
      <c r="J45" s="137">
        <v>34107.799999999996</v>
      </c>
      <c r="K45" s="137">
        <f t="shared" si="4"/>
        <v>355.2895833</v>
      </c>
      <c r="L45" s="137">
        <v>12770.399999999994</v>
      </c>
      <c r="M45" s="137">
        <f t="shared" si="5"/>
        <v>133.025</v>
      </c>
      <c r="N45" s="137">
        <v>4431.2</v>
      </c>
      <c r="O45" s="137">
        <f t="shared" si="6"/>
        <v>46.15833333</v>
      </c>
      <c r="P45" s="137">
        <v>3035.0</v>
      </c>
      <c r="Q45" s="137">
        <f t="shared" si="7"/>
        <v>31.61458333</v>
      </c>
      <c r="R45" s="137">
        <v>1048.0</v>
      </c>
      <c r="S45" s="137">
        <f t="shared" si="8"/>
        <v>10.91666667</v>
      </c>
    </row>
    <row r="46">
      <c r="A46" s="136" t="s">
        <v>1772</v>
      </c>
      <c r="B46" s="14">
        <v>34.0</v>
      </c>
      <c r="C46" s="14">
        <v>103.0</v>
      </c>
      <c r="D46" s="137">
        <v>226240.19999999998</v>
      </c>
      <c r="E46" s="137">
        <f t="shared" si="1"/>
        <v>2196.506796</v>
      </c>
      <c r="F46" s="137">
        <v>80383.39999999998</v>
      </c>
      <c r="G46" s="137">
        <f t="shared" si="2"/>
        <v>780.4213592</v>
      </c>
      <c r="H46" s="137">
        <v>94822.20000000001</v>
      </c>
      <c r="I46" s="137">
        <f t="shared" si="3"/>
        <v>920.6038835</v>
      </c>
      <c r="J46" s="137">
        <v>33785.299999999996</v>
      </c>
      <c r="K46" s="137">
        <f t="shared" si="4"/>
        <v>328.0126214</v>
      </c>
      <c r="L46" s="137">
        <v>12914.9</v>
      </c>
      <c r="M46" s="137">
        <f t="shared" si="5"/>
        <v>125.3873786</v>
      </c>
      <c r="N46" s="137">
        <v>4334.6</v>
      </c>
      <c r="O46" s="137">
        <f t="shared" si="6"/>
        <v>42.08349515</v>
      </c>
      <c r="P46" s="137">
        <v>2869.0</v>
      </c>
      <c r="Q46" s="137">
        <f t="shared" si="7"/>
        <v>27.85436893</v>
      </c>
      <c r="R46" s="137">
        <v>1030.0</v>
      </c>
      <c r="S46" s="137">
        <f t="shared" si="8"/>
        <v>10</v>
      </c>
    </row>
    <row r="47">
      <c r="A47" s="136" t="s">
        <v>1772</v>
      </c>
      <c r="B47" s="14">
        <v>37.0</v>
      </c>
      <c r="C47" s="14">
        <v>101.0</v>
      </c>
      <c r="D47" s="137">
        <v>211073.40000000002</v>
      </c>
      <c r="E47" s="137">
        <f t="shared" si="1"/>
        <v>2089.835644</v>
      </c>
      <c r="F47" s="137">
        <v>85947.40000000001</v>
      </c>
      <c r="G47" s="137">
        <f t="shared" si="2"/>
        <v>850.9643564</v>
      </c>
      <c r="H47" s="137">
        <v>93901.8</v>
      </c>
      <c r="I47" s="137">
        <f t="shared" si="3"/>
        <v>929.7207921</v>
      </c>
      <c r="J47" s="137">
        <v>22819.899999999998</v>
      </c>
      <c r="K47" s="137">
        <f t="shared" si="4"/>
        <v>225.939604</v>
      </c>
      <c r="L47" s="137">
        <v>6581.699999999999</v>
      </c>
      <c r="M47" s="137">
        <f t="shared" si="5"/>
        <v>65.16534653</v>
      </c>
      <c r="N47" s="137">
        <v>1822.6</v>
      </c>
      <c r="O47" s="137">
        <f t="shared" si="6"/>
        <v>18.04554455</v>
      </c>
      <c r="P47" s="137">
        <v>1903.0</v>
      </c>
      <c r="Q47" s="137">
        <f t="shared" si="7"/>
        <v>18.84158416</v>
      </c>
      <c r="R47" s="137">
        <v>531.0</v>
      </c>
      <c r="S47" s="137">
        <f t="shared" si="8"/>
        <v>5.257425743</v>
      </c>
    </row>
    <row r="48">
      <c r="A48" s="136" t="s">
        <v>1772</v>
      </c>
      <c r="B48" s="14">
        <v>38.0</v>
      </c>
      <c r="C48" s="14">
        <v>102.0</v>
      </c>
      <c r="D48" s="137">
        <v>205785.69999999998</v>
      </c>
      <c r="E48" s="137">
        <f t="shared" si="1"/>
        <v>2017.506863</v>
      </c>
      <c r="F48" s="137">
        <v>82147.09999999999</v>
      </c>
      <c r="G48" s="137">
        <f t="shared" si="2"/>
        <v>805.3637255</v>
      </c>
      <c r="H48" s="137">
        <v>87347.59999999999</v>
      </c>
      <c r="I48" s="137">
        <f t="shared" si="3"/>
        <v>856.3490196</v>
      </c>
      <c r="J48" s="137">
        <v>24198.999999999996</v>
      </c>
      <c r="K48" s="137">
        <f t="shared" si="4"/>
        <v>237.245098</v>
      </c>
      <c r="L48" s="137">
        <v>9296.700000000003</v>
      </c>
      <c r="M48" s="137">
        <f t="shared" si="5"/>
        <v>91.14411765</v>
      </c>
      <c r="N48" s="137">
        <v>2794.8999999999996</v>
      </c>
      <c r="O48" s="137">
        <f t="shared" si="6"/>
        <v>27.40098039</v>
      </c>
      <c r="P48" s="137">
        <v>2146.0</v>
      </c>
      <c r="Q48" s="137">
        <f t="shared" si="7"/>
        <v>21.03921569</v>
      </c>
      <c r="R48" s="137">
        <v>736.0</v>
      </c>
      <c r="S48" s="137">
        <f t="shared" si="8"/>
        <v>7.215686275</v>
      </c>
      <c r="T48" s="139"/>
      <c r="U48" s="139"/>
      <c r="V48" s="139"/>
      <c r="W48" s="139"/>
      <c r="X48" s="139"/>
      <c r="Y48" s="139"/>
      <c r="Z48" s="139"/>
    </row>
    <row r="49">
      <c r="A49" s="136" t="s">
        <v>1772</v>
      </c>
      <c r="B49" s="14">
        <v>41.0</v>
      </c>
      <c r="C49" s="14">
        <v>97.0</v>
      </c>
      <c r="D49" s="137">
        <v>202830.9</v>
      </c>
      <c r="E49" s="137">
        <f t="shared" si="1"/>
        <v>2091.040206</v>
      </c>
      <c r="F49" s="137">
        <v>79280.7</v>
      </c>
      <c r="G49" s="137">
        <f t="shared" si="2"/>
        <v>817.3268041</v>
      </c>
      <c r="H49" s="137">
        <v>83141.89999999998</v>
      </c>
      <c r="I49" s="137">
        <f t="shared" si="3"/>
        <v>857.1329897</v>
      </c>
      <c r="J49" s="137">
        <v>26373.300000000007</v>
      </c>
      <c r="K49" s="137">
        <f t="shared" si="4"/>
        <v>271.8896907</v>
      </c>
      <c r="L49" s="137">
        <v>10792.8</v>
      </c>
      <c r="M49" s="137">
        <f t="shared" si="5"/>
        <v>111.2659794</v>
      </c>
      <c r="N49" s="137">
        <v>3275.100000000001</v>
      </c>
      <c r="O49" s="137">
        <f t="shared" si="6"/>
        <v>33.76391753</v>
      </c>
      <c r="P49" s="137">
        <v>2255.0</v>
      </c>
      <c r="Q49" s="137">
        <f t="shared" si="7"/>
        <v>23.24742268</v>
      </c>
      <c r="R49" s="137">
        <v>821.4</v>
      </c>
      <c r="S49" s="137">
        <f t="shared" si="8"/>
        <v>8.468041237</v>
      </c>
    </row>
    <row r="50">
      <c r="A50" s="136" t="s">
        <v>1772</v>
      </c>
      <c r="B50" s="14">
        <v>42.0</v>
      </c>
      <c r="C50" s="14">
        <v>102.0</v>
      </c>
      <c r="D50" s="137">
        <v>185829.7</v>
      </c>
      <c r="E50" s="137">
        <f t="shared" si="1"/>
        <v>1821.859804</v>
      </c>
      <c r="F50" s="137">
        <v>80691.90000000001</v>
      </c>
      <c r="G50" s="137">
        <f t="shared" si="2"/>
        <v>791.0970588</v>
      </c>
      <c r="H50" s="137">
        <v>70814.2</v>
      </c>
      <c r="I50" s="137">
        <f t="shared" si="3"/>
        <v>694.2568627</v>
      </c>
      <c r="J50" s="137">
        <v>22354.7</v>
      </c>
      <c r="K50" s="137">
        <f t="shared" si="4"/>
        <v>219.1637255</v>
      </c>
      <c r="L50" s="137">
        <v>9100.500000000002</v>
      </c>
      <c r="M50" s="137">
        <f t="shared" si="5"/>
        <v>89.22058824</v>
      </c>
      <c r="N50" s="137">
        <v>2868.4</v>
      </c>
      <c r="O50" s="137">
        <f t="shared" si="6"/>
        <v>28.12156863</v>
      </c>
      <c r="P50" s="137">
        <v>1979.0</v>
      </c>
      <c r="Q50" s="137">
        <f t="shared" si="7"/>
        <v>19.40196078</v>
      </c>
      <c r="R50" s="137">
        <v>731.0</v>
      </c>
      <c r="S50" s="137">
        <f t="shared" si="8"/>
        <v>7.166666667</v>
      </c>
    </row>
    <row r="51">
      <c r="A51" s="140" t="s">
        <v>1772</v>
      </c>
      <c r="B51" s="139">
        <v>45.0</v>
      </c>
      <c r="C51" s="139">
        <v>97.0</v>
      </c>
      <c r="D51" s="141">
        <v>207901.4</v>
      </c>
      <c r="E51" s="141">
        <f t="shared" si="1"/>
        <v>2143.313402</v>
      </c>
      <c r="F51" s="141">
        <v>74841.59999999998</v>
      </c>
      <c r="G51" s="141">
        <f t="shared" si="2"/>
        <v>771.5628866</v>
      </c>
      <c r="H51" s="141">
        <v>88581.8</v>
      </c>
      <c r="I51" s="141">
        <f t="shared" si="3"/>
        <v>913.214433</v>
      </c>
      <c r="J51" s="141">
        <v>29354.2</v>
      </c>
      <c r="K51" s="141">
        <f t="shared" si="4"/>
        <v>302.6206186</v>
      </c>
      <c r="L51" s="141">
        <v>11446.0</v>
      </c>
      <c r="M51" s="141">
        <f t="shared" si="5"/>
        <v>118</v>
      </c>
      <c r="N51" s="141">
        <v>3677.8</v>
      </c>
      <c r="O51" s="141">
        <f t="shared" si="6"/>
        <v>37.91546392</v>
      </c>
      <c r="P51" s="141">
        <v>1264.0</v>
      </c>
      <c r="Q51" s="141">
        <f t="shared" si="7"/>
        <v>13.03092784</v>
      </c>
      <c r="R51" s="141">
        <v>260.0</v>
      </c>
      <c r="S51" s="141">
        <f t="shared" si="8"/>
        <v>2.680412371</v>
      </c>
    </row>
    <row r="52">
      <c r="A52" s="136" t="s">
        <v>1772</v>
      </c>
      <c r="B52" s="14">
        <v>46.0</v>
      </c>
      <c r="C52" s="14">
        <v>105.0</v>
      </c>
      <c r="D52" s="137">
        <v>199128.19999999995</v>
      </c>
      <c r="E52" s="137">
        <f t="shared" si="1"/>
        <v>1896.459048</v>
      </c>
      <c r="F52" s="137">
        <v>86123.10000000002</v>
      </c>
      <c r="G52" s="137">
        <f t="shared" si="2"/>
        <v>820.22</v>
      </c>
      <c r="H52" s="137">
        <v>76612.10000000002</v>
      </c>
      <c r="I52" s="137">
        <f t="shared" si="3"/>
        <v>729.6390476</v>
      </c>
      <c r="J52" s="137">
        <v>24494.7</v>
      </c>
      <c r="K52" s="137">
        <f t="shared" si="4"/>
        <v>233.2828571</v>
      </c>
      <c r="L52" s="137">
        <v>8737.4</v>
      </c>
      <c r="M52" s="137">
        <f t="shared" si="5"/>
        <v>83.21333333</v>
      </c>
      <c r="N52" s="137">
        <v>3272.500000000001</v>
      </c>
      <c r="O52" s="137">
        <f t="shared" si="6"/>
        <v>31.16666667</v>
      </c>
      <c r="P52" s="137">
        <v>2042.0</v>
      </c>
      <c r="Q52" s="137">
        <f t="shared" si="7"/>
        <v>19.44761905</v>
      </c>
      <c r="R52" s="137">
        <v>761.8</v>
      </c>
      <c r="S52" s="137">
        <f t="shared" si="8"/>
        <v>7.255238095</v>
      </c>
    </row>
    <row r="53">
      <c r="A53" s="136" t="s">
        <v>1772</v>
      </c>
      <c r="B53" s="14">
        <v>49.0</v>
      </c>
      <c r="C53" s="14">
        <v>139.0</v>
      </c>
      <c r="D53" s="137">
        <v>268745.1000000001</v>
      </c>
      <c r="E53" s="137">
        <f t="shared" si="1"/>
        <v>1933.417986</v>
      </c>
      <c r="F53" s="137">
        <v>114801.49999999999</v>
      </c>
      <c r="G53" s="137">
        <f t="shared" si="2"/>
        <v>825.9100719</v>
      </c>
      <c r="H53" s="137">
        <v>102774.50000000001</v>
      </c>
      <c r="I53" s="137">
        <f t="shared" si="3"/>
        <v>739.3848921</v>
      </c>
      <c r="J53" s="137">
        <v>33320.5</v>
      </c>
      <c r="K53" s="137">
        <f t="shared" si="4"/>
        <v>239.7158273</v>
      </c>
      <c r="L53" s="137">
        <v>13461.000000000002</v>
      </c>
      <c r="M53" s="137">
        <f t="shared" si="5"/>
        <v>96.84172662</v>
      </c>
      <c r="N53" s="137">
        <v>4387.799999999999</v>
      </c>
      <c r="O53" s="137">
        <f t="shared" si="6"/>
        <v>31.56690647</v>
      </c>
      <c r="P53" s="137">
        <v>2955.0</v>
      </c>
      <c r="Q53" s="137">
        <f t="shared" si="7"/>
        <v>21.25899281</v>
      </c>
      <c r="R53" s="137">
        <v>1105.0</v>
      </c>
      <c r="S53" s="137">
        <f t="shared" si="8"/>
        <v>7.949640288</v>
      </c>
    </row>
    <row r="54">
      <c r="A54" s="136" t="s">
        <v>1772</v>
      </c>
      <c r="B54" s="14">
        <v>50.0</v>
      </c>
      <c r="C54" s="14">
        <v>132.0</v>
      </c>
      <c r="D54" s="137">
        <v>265110.8</v>
      </c>
      <c r="E54" s="137">
        <f t="shared" si="1"/>
        <v>2008.415152</v>
      </c>
      <c r="F54" s="137">
        <v>111508.10000000002</v>
      </c>
      <c r="G54" s="137">
        <f t="shared" si="2"/>
        <v>844.7583333</v>
      </c>
      <c r="H54" s="137">
        <v>103346.9</v>
      </c>
      <c r="I54" s="137">
        <f t="shared" si="3"/>
        <v>782.9310606</v>
      </c>
      <c r="J54" s="137">
        <v>32258.3</v>
      </c>
      <c r="K54" s="137">
        <f t="shared" si="4"/>
        <v>244.3810606</v>
      </c>
      <c r="L54" s="137">
        <v>12986.800000000003</v>
      </c>
      <c r="M54" s="137">
        <f t="shared" si="5"/>
        <v>98.38484848</v>
      </c>
      <c r="N54" s="137">
        <v>5030.099999999999</v>
      </c>
      <c r="O54" s="137">
        <f t="shared" si="6"/>
        <v>38.10681818</v>
      </c>
      <c r="P54" s="137">
        <v>2809.0</v>
      </c>
      <c r="Q54" s="137">
        <f t="shared" si="7"/>
        <v>21.28030303</v>
      </c>
      <c r="R54" s="137">
        <v>1027.0</v>
      </c>
      <c r="S54" s="137">
        <f t="shared" si="8"/>
        <v>7.78030303</v>
      </c>
    </row>
    <row r="55">
      <c r="A55" s="136" t="s">
        <v>1772</v>
      </c>
      <c r="B55" s="14">
        <v>51.0</v>
      </c>
      <c r="C55" s="14">
        <v>95.0</v>
      </c>
      <c r="D55" s="137">
        <v>207145.6</v>
      </c>
      <c r="E55" s="137">
        <f t="shared" si="1"/>
        <v>2180.48</v>
      </c>
      <c r="F55" s="137">
        <v>76872.5</v>
      </c>
      <c r="G55" s="137">
        <f t="shared" si="2"/>
        <v>809.1842105</v>
      </c>
      <c r="H55" s="137">
        <v>86147.4</v>
      </c>
      <c r="I55" s="137">
        <f t="shared" si="3"/>
        <v>906.8147368</v>
      </c>
      <c r="J55" s="137">
        <v>27516.600000000002</v>
      </c>
      <c r="K55" s="137">
        <f t="shared" si="4"/>
        <v>289.6484211</v>
      </c>
      <c r="L55" s="137">
        <v>12408.199999999997</v>
      </c>
      <c r="M55" s="137">
        <f t="shared" si="5"/>
        <v>130.6126316</v>
      </c>
      <c r="N55" s="137">
        <v>4201.5</v>
      </c>
      <c r="O55" s="137">
        <f t="shared" si="6"/>
        <v>44.22631579</v>
      </c>
      <c r="P55" s="137">
        <v>2370.0</v>
      </c>
      <c r="Q55" s="137">
        <f t="shared" si="7"/>
        <v>24.94736842</v>
      </c>
      <c r="R55" s="137">
        <v>950.0</v>
      </c>
      <c r="S55" s="137">
        <f t="shared" si="8"/>
        <v>10</v>
      </c>
    </row>
    <row r="56">
      <c r="A56" s="136" t="s">
        <v>1772</v>
      </c>
      <c r="B56" s="14">
        <v>52.0</v>
      </c>
      <c r="C56" s="14">
        <v>106.0</v>
      </c>
      <c r="D56" s="137">
        <v>217300.3</v>
      </c>
      <c r="E56" s="137">
        <f t="shared" si="1"/>
        <v>2050.00283</v>
      </c>
      <c r="F56" s="137">
        <v>80949.09999999999</v>
      </c>
      <c r="G56" s="137">
        <f t="shared" si="2"/>
        <v>763.6707547</v>
      </c>
      <c r="H56" s="137">
        <v>88490.5</v>
      </c>
      <c r="I56" s="137">
        <f t="shared" si="3"/>
        <v>834.8160377</v>
      </c>
      <c r="J56" s="137">
        <v>31014.100000000002</v>
      </c>
      <c r="K56" s="137">
        <f t="shared" si="4"/>
        <v>292.5858491</v>
      </c>
      <c r="L56" s="137">
        <v>11787.8</v>
      </c>
      <c r="M56" s="137">
        <f t="shared" si="5"/>
        <v>111.2056604</v>
      </c>
      <c r="N56" s="137">
        <v>5065.3</v>
      </c>
      <c r="O56" s="137">
        <f t="shared" si="6"/>
        <v>47.78584906</v>
      </c>
      <c r="P56" s="137">
        <v>2647.0</v>
      </c>
      <c r="Q56" s="137">
        <f t="shared" si="7"/>
        <v>24.97169811</v>
      </c>
      <c r="R56" s="137">
        <v>992.3</v>
      </c>
      <c r="S56" s="137">
        <f t="shared" si="8"/>
        <v>9.361320755</v>
      </c>
    </row>
    <row r="57">
      <c r="A57" s="136" t="s">
        <v>1772</v>
      </c>
      <c r="B57" s="14">
        <v>53.0</v>
      </c>
      <c r="C57" s="14">
        <v>105.0</v>
      </c>
      <c r="D57" s="137">
        <v>200657.49999999997</v>
      </c>
      <c r="E57" s="137">
        <f t="shared" si="1"/>
        <v>1911.02381</v>
      </c>
      <c r="F57" s="137">
        <v>90091.8</v>
      </c>
      <c r="G57" s="137">
        <f t="shared" si="2"/>
        <v>858.0171429</v>
      </c>
      <c r="H57" s="137">
        <v>75059.90000000001</v>
      </c>
      <c r="I57" s="137">
        <f t="shared" si="3"/>
        <v>714.8561905</v>
      </c>
      <c r="J57" s="137">
        <v>23870.799999999996</v>
      </c>
      <c r="K57" s="137">
        <f t="shared" si="4"/>
        <v>227.3409524</v>
      </c>
      <c r="L57" s="137">
        <v>8882.000000000002</v>
      </c>
      <c r="M57" s="137">
        <f t="shared" si="5"/>
        <v>84.59047619</v>
      </c>
      <c r="N57" s="137">
        <v>2752.8999999999996</v>
      </c>
      <c r="O57" s="137">
        <f t="shared" si="6"/>
        <v>26.21809524</v>
      </c>
      <c r="P57" s="137">
        <v>2095.0</v>
      </c>
      <c r="Q57" s="137">
        <f t="shared" si="7"/>
        <v>19.95238095</v>
      </c>
      <c r="R57" s="137">
        <v>704.0</v>
      </c>
      <c r="S57" s="137">
        <f t="shared" si="8"/>
        <v>6.704761905</v>
      </c>
    </row>
    <row r="58">
      <c r="A58" s="136" t="s">
        <v>1772</v>
      </c>
      <c r="B58" s="14">
        <v>55.0</v>
      </c>
      <c r="C58" s="14">
        <v>99.0</v>
      </c>
      <c r="D58" s="137">
        <v>211467.09999999998</v>
      </c>
      <c r="E58" s="137">
        <f t="shared" si="1"/>
        <v>2136.031313</v>
      </c>
      <c r="F58" s="137">
        <v>84167.59999999999</v>
      </c>
      <c r="G58" s="137">
        <f t="shared" si="2"/>
        <v>850.1777778</v>
      </c>
      <c r="H58" s="137">
        <v>87770.49999999999</v>
      </c>
      <c r="I58" s="137">
        <f t="shared" si="3"/>
        <v>886.5707071</v>
      </c>
      <c r="J58" s="137">
        <v>24303.399999999998</v>
      </c>
      <c r="K58" s="137">
        <f t="shared" si="4"/>
        <v>245.4888889</v>
      </c>
      <c r="L58" s="137">
        <v>10364.899999999998</v>
      </c>
      <c r="M58" s="137">
        <f t="shared" si="5"/>
        <v>104.6959596</v>
      </c>
      <c r="N58" s="137">
        <v>4901.3</v>
      </c>
      <c r="O58" s="137">
        <f t="shared" si="6"/>
        <v>49.50808081</v>
      </c>
      <c r="P58" s="137">
        <v>2101.0</v>
      </c>
      <c r="Q58" s="137">
        <f t="shared" si="7"/>
        <v>21.22222222</v>
      </c>
      <c r="R58" s="137">
        <v>841.4000000000001</v>
      </c>
      <c r="S58" s="137">
        <f t="shared" si="8"/>
        <v>8.498989899</v>
      </c>
    </row>
    <row r="59">
      <c r="A59" s="136" t="s">
        <v>1772</v>
      </c>
      <c r="B59" s="14">
        <v>57.0</v>
      </c>
      <c r="C59" s="14">
        <v>106.0</v>
      </c>
      <c r="D59" s="137">
        <v>193568.9</v>
      </c>
      <c r="E59" s="137">
        <f t="shared" si="1"/>
        <v>1826.121698</v>
      </c>
      <c r="F59" s="137">
        <v>90430.8</v>
      </c>
      <c r="G59" s="137">
        <f t="shared" si="2"/>
        <v>853.1207547</v>
      </c>
      <c r="H59" s="137">
        <v>72528.19999999998</v>
      </c>
      <c r="I59" s="137">
        <f t="shared" si="3"/>
        <v>684.2283019</v>
      </c>
      <c r="J59" s="137">
        <v>20869.100000000006</v>
      </c>
      <c r="K59" s="137">
        <f t="shared" si="4"/>
        <v>196.8783019</v>
      </c>
      <c r="L59" s="137">
        <v>7274.5999999999985</v>
      </c>
      <c r="M59" s="137">
        <f t="shared" si="5"/>
        <v>68.62830189</v>
      </c>
      <c r="N59" s="137">
        <v>2488.7000000000003</v>
      </c>
      <c r="O59" s="137">
        <f t="shared" si="6"/>
        <v>23.47830189</v>
      </c>
      <c r="P59" s="137">
        <v>1839.0</v>
      </c>
      <c r="Q59" s="137">
        <f t="shared" si="7"/>
        <v>17.3490566</v>
      </c>
      <c r="R59" s="137">
        <v>614.0</v>
      </c>
      <c r="S59" s="137">
        <f t="shared" si="8"/>
        <v>5.79245283</v>
      </c>
    </row>
    <row r="60">
      <c r="A60" s="136" t="s">
        <v>1772</v>
      </c>
      <c r="B60" s="14">
        <v>59.0</v>
      </c>
      <c r="C60" s="14">
        <v>99.0</v>
      </c>
      <c r="D60" s="137">
        <v>222059.1</v>
      </c>
      <c r="E60" s="137">
        <f t="shared" si="1"/>
        <v>2243.021212</v>
      </c>
      <c r="F60" s="137">
        <v>77668.40000000001</v>
      </c>
      <c r="G60" s="137">
        <f t="shared" si="2"/>
        <v>784.5292929</v>
      </c>
      <c r="H60" s="137">
        <v>87805.09999999996</v>
      </c>
      <c r="I60" s="137">
        <f t="shared" si="3"/>
        <v>886.920202</v>
      </c>
      <c r="J60" s="137">
        <v>34292.1</v>
      </c>
      <c r="K60" s="137">
        <f t="shared" si="4"/>
        <v>346.3848485</v>
      </c>
      <c r="L60" s="137">
        <v>15520.799999999997</v>
      </c>
      <c r="M60" s="137">
        <f t="shared" si="5"/>
        <v>156.7757576</v>
      </c>
      <c r="N60" s="137">
        <v>6772.900000000001</v>
      </c>
      <c r="O60" s="137">
        <f t="shared" si="6"/>
        <v>68.41313131</v>
      </c>
      <c r="P60" s="137">
        <v>2925.0</v>
      </c>
      <c r="Q60" s="137">
        <f t="shared" si="7"/>
        <v>29.54545455</v>
      </c>
      <c r="R60" s="137">
        <v>1208.0</v>
      </c>
      <c r="S60" s="137">
        <f t="shared" si="8"/>
        <v>12.2020202</v>
      </c>
    </row>
    <row r="61">
      <c r="A61" s="136" t="s">
        <v>1772</v>
      </c>
      <c r="B61" s="14">
        <v>60.0</v>
      </c>
      <c r="C61" s="14">
        <v>102.0</v>
      </c>
      <c r="D61" s="137">
        <v>212823.4</v>
      </c>
      <c r="E61" s="137">
        <f t="shared" si="1"/>
        <v>2086.503922</v>
      </c>
      <c r="F61" s="137">
        <v>80225.5</v>
      </c>
      <c r="G61" s="137">
        <f t="shared" si="2"/>
        <v>786.5245098</v>
      </c>
      <c r="H61" s="137">
        <v>89436.3</v>
      </c>
      <c r="I61" s="137">
        <f t="shared" si="3"/>
        <v>876.8264706</v>
      </c>
      <c r="J61" s="137">
        <v>27485.499999999996</v>
      </c>
      <c r="K61" s="137">
        <f t="shared" si="4"/>
        <v>269.4656863</v>
      </c>
      <c r="L61" s="137">
        <v>11147.8</v>
      </c>
      <c r="M61" s="137">
        <f t="shared" si="5"/>
        <v>109.2921569</v>
      </c>
      <c r="N61" s="137">
        <v>4528.4</v>
      </c>
      <c r="O61" s="137">
        <f t="shared" si="6"/>
        <v>44.39607843</v>
      </c>
      <c r="P61" s="137">
        <v>2414.0</v>
      </c>
      <c r="Q61" s="137">
        <f t="shared" si="7"/>
        <v>23.66666667</v>
      </c>
      <c r="R61" s="137">
        <v>900.0</v>
      </c>
      <c r="S61" s="137">
        <f t="shared" si="8"/>
        <v>8.823529412</v>
      </c>
    </row>
    <row r="62">
      <c r="A62" s="136" t="s">
        <v>1772</v>
      </c>
      <c r="B62" s="14">
        <v>61.0</v>
      </c>
      <c r="C62" s="14">
        <v>105.0</v>
      </c>
      <c r="D62" s="137">
        <v>194518.89999999997</v>
      </c>
      <c r="E62" s="137">
        <f t="shared" si="1"/>
        <v>1852.560952</v>
      </c>
      <c r="F62" s="137">
        <v>90787.09999999999</v>
      </c>
      <c r="G62" s="137">
        <f t="shared" si="2"/>
        <v>864.6390476</v>
      </c>
      <c r="H62" s="137">
        <v>69650.00000000001</v>
      </c>
      <c r="I62" s="137">
        <f t="shared" si="3"/>
        <v>663.3333333</v>
      </c>
      <c r="J62" s="137">
        <v>22071.3</v>
      </c>
      <c r="K62" s="137">
        <f t="shared" si="4"/>
        <v>210.2028571</v>
      </c>
      <c r="L62" s="137">
        <v>9181.500000000002</v>
      </c>
      <c r="M62" s="137">
        <f t="shared" si="5"/>
        <v>87.44285714</v>
      </c>
      <c r="N62" s="137">
        <v>2829.5</v>
      </c>
      <c r="O62" s="137">
        <f t="shared" si="6"/>
        <v>26.94761905</v>
      </c>
      <c r="P62" s="137">
        <v>1868.0</v>
      </c>
      <c r="Q62" s="137">
        <f t="shared" si="7"/>
        <v>17.79047619</v>
      </c>
      <c r="R62" s="137">
        <v>713.0</v>
      </c>
      <c r="S62" s="137">
        <f t="shared" si="8"/>
        <v>6.79047619</v>
      </c>
    </row>
    <row r="63">
      <c r="A63" s="136" t="s">
        <v>1772</v>
      </c>
      <c r="B63" s="14">
        <v>62.0</v>
      </c>
      <c r="C63" s="14">
        <v>93.0</v>
      </c>
      <c r="D63" s="137">
        <v>199642.0</v>
      </c>
      <c r="E63" s="137">
        <f t="shared" si="1"/>
        <v>2146.688172</v>
      </c>
      <c r="F63" s="137">
        <v>77971.90000000001</v>
      </c>
      <c r="G63" s="137">
        <f t="shared" si="2"/>
        <v>838.4075269</v>
      </c>
      <c r="H63" s="137">
        <v>77468.8</v>
      </c>
      <c r="I63" s="137">
        <f t="shared" si="3"/>
        <v>832.9978495</v>
      </c>
      <c r="J63" s="137">
        <v>26819.3</v>
      </c>
      <c r="K63" s="137">
        <f t="shared" si="4"/>
        <v>288.3795699</v>
      </c>
      <c r="L63" s="137">
        <v>11517.299999999997</v>
      </c>
      <c r="M63" s="137">
        <f t="shared" si="5"/>
        <v>123.8419355</v>
      </c>
      <c r="N63" s="137">
        <v>5864.9</v>
      </c>
      <c r="O63" s="137">
        <f t="shared" si="6"/>
        <v>63.06344086</v>
      </c>
      <c r="P63" s="137">
        <v>2339.0</v>
      </c>
      <c r="Q63" s="137">
        <f t="shared" si="7"/>
        <v>25.15053763</v>
      </c>
      <c r="R63" s="137">
        <v>931.0</v>
      </c>
      <c r="S63" s="137">
        <f t="shared" si="8"/>
        <v>10.01075269</v>
      </c>
    </row>
    <row r="64">
      <c r="A64" s="136" t="s">
        <v>1772</v>
      </c>
      <c r="B64" s="14">
        <v>63.0</v>
      </c>
      <c r="C64" s="14">
        <v>101.0</v>
      </c>
      <c r="D64" s="137">
        <v>211509.19999999998</v>
      </c>
      <c r="E64" s="137">
        <f t="shared" si="1"/>
        <v>2094.150495</v>
      </c>
      <c r="F64" s="137">
        <v>83270.4</v>
      </c>
      <c r="G64" s="137">
        <f t="shared" si="2"/>
        <v>824.4594059</v>
      </c>
      <c r="H64" s="137">
        <v>82772.50000000001</v>
      </c>
      <c r="I64" s="137">
        <f t="shared" si="3"/>
        <v>819.529703</v>
      </c>
      <c r="J64" s="137">
        <v>27810.999999999996</v>
      </c>
      <c r="K64" s="137">
        <f t="shared" si="4"/>
        <v>275.3564356</v>
      </c>
      <c r="L64" s="137">
        <v>12072.099999999997</v>
      </c>
      <c r="M64" s="137">
        <f t="shared" si="5"/>
        <v>119.5257426</v>
      </c>
      <c r="N64" s="137">
        <v>5583.5</v>
      </c>
      <c r="O64" s="137">
        <f t="shared" si="6"/>
        <v>55.28217822</v>
      </c>
      <c r="P64" s="137">
        <v>2378.0</v>
      </c>
      <c r="Q64" s="137">
        <f t="shared" si="7"/>
        <v>23.54455446</v>
      </c>
      <c r="R64" s="137">
        <v>955.0</v>
      </c>
      <c r="S64" s="137">
        <f t="shared" si="8"/>
        <v>9.455445545</v>
      </c>
    </row>
  </sheetData>
  <autoFilter ref="$A$1:$Z$99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0.63"/>
    <col customWidth="1" min="3" max="3" width="16.88"/>
    <col customWidth="1" min="4" max="4" width="24.0"/>
    <col customWidth="1" min="7" max="7" width="32.75"/>
  </cols>
  <sheetData>
    <row r="1">
      <c r="A1" s="46" t="s">
        <v>1731</v>
      </c>
      <c r="B1" s="46" t="s">
        <v>1617</v>
      </c>
      <c r="C1" s="46" t="s">
        <v>1732</v>
      </c>
      <c r="D1" s="48" t="s">
        <v>1620</v>
      </c>
      <c r="E1" s="62"/>
      <c r="G1" s="47"/>
    </row>
    <row r="2">
      <c r="A2" s="57" t="s">
        <v>376</v>
      </c>
      <c r="B2" s="53" t="s">
        <v>1646</v>
      </c>
      <c r="C2" s="142" t="s">
        <v>1647</v>
      </c>
      <c r="D2" s="61" t="s">
        <v>1648</v>
      </c>
      <c r="E2" s="62"/>
      <c r="G2" s="62"/>
    </row>
    <row r="3">
      <c r="A3" s="66" t="s">
        <v>1200</v>
      </c>
      <c r="B3" s="66" t="s">
        <v>1686</v>
      </c>
      <c r="C3" s="143" t="s">
        <v>1630</v>
      </c>
      <c r="D3" s="70" t="s">
        <v>1687</v>
      </c>
      <c r="E3" s="62"/>
      <c r="G3" s="62"/>
    </row>
    <row r="4">
      <c r="A4" s="66" t="s">
        <v>122</v>
      </c>
      <c r="B4" s="66" t="s">
        <v>1633</v>
      </c>
      <c r="C4" s="66" t="s">
        <v>1630</v>
      </c>
      <c r="D4" s="70" t="s">
        <v>1634</v>
      </c>
      <c r="E4" s="62"/>
      <c r="G4" s="144"/>
    </row>
    <row r="5">
      <c r="A5" s="72" t="s">
        <v>249</v>
      </c>
      <c r="B5" s="78" t="s">
        <v>1640</v>
      </c>
      <c r="C5" s="72" t="s">
        <v>1630</v>
      </c>
      <c r="D5" s="70" t="s">
        <v>1641</v>
      </c>
      <c r="E5" s="62"/>
      <c r="G5" s="98"/>
    </row>
    <row r="6">
      <c r="A6" s="72" t="s">
        <v>62</v>
      </c>
      <c r="B6" s="78" t="s">
        <v>1629</v>
      </c>
      <c r="C6" s="72" t="s">
        <v>1630</v>
      </c>
      <c r="D6" s="70" t="s">
        <v>1631</v>
      </c>
      <c r="E6" s="62"/>
      <c r="G6" s="62"/>
    </row>
    <row r="7">
      <c r="A7" s="66" t="s">
        <v>1677</v>
      </c>
      <c r="B7" s="66" t="s">
        <v>1676</v>
      </c>
      <c r="C7" s="66" t="s">
        <v>1630</v>
      </c>
      <c r="D7" s="70" t="s">
        <v>1696</v>
      </c>
      <c r="E7" s="62"/>
      <c r="G7" s="62"/>
    </row>
    <row r="8">
      <c r="A8" s="145" t="s">
        <v>686</v>
      </c>
      <c r="B8" s="145" t="s">
        <v>1656</v>
      </c>
      <c r="C8" s="145" t="s">
        <v>1630</v>
      </c>
      <c r="D8" s="145" t="s">
        <v>1658</v>
      </c>
      <c r="E8" s="62"/>
      <c r="G8" s="62"/>
    </row>
    <row r="9">
      <c r="A9" s="142" t="s">
        <v>186</v>
      </c>
      <c r="B9" s="53" t="s">
        <v>1636</v>
      </c>
      <c r="C9" s="53" t="s">
        <v>1630</v>
      </c>
      <c r="D9" s="61" t="s">
        <v>1638</v>
      </c>
      <c r="E9" s="62"/>
      <c r="G9" s="62"/>
    </row>
    <row r="10">
      <c r="A10" s="66" t="s">
        <v>500</v>
      </c>
      <c r="B10" s="66" t="s">
        <v>1651</v>
      </c>
      <c r="C10" s="66" t="s">
        <v>1630</v>
      </c>
      <c r="D10" s="70" t="s">
        <v>1652</v>
      </c>
      <c r="E10" s="62"/>
      <c r="G10" s="62"/>
    </row>
    <row r="11">
      <c r="A11" s="72" t="s">
        <v>312</v>
      </c>
      <c r="B11" s="72" t="s">
        <v>1643</v>
      </c>
      <c r="C11" s="72" t="s">
        <v>1630</v>
      </c>
      <c r="D11" s="70" t="s">
        <v>1644</v>
      </c>
      <c r="E11" s="62"/>
      <c r="G11" s="62"/>
    </row>
    <row r="12">
      <c r="A12" s="78" t="s">
        <v>997</v>
      </c>
      <c r="B12" s="78" t="s">
        <v>1665</v>
      </c>
      <c r="C12" s="72" t="s">
        <v>1630</v>
      </c>
      <c r="D12" s="70" t="s">
        <v>1666</v>
      </c>
      <c r="E12" s="62"/>
      <c r="G12" s="62"/>
    </row>
    <row r="13">
      <c r="A13" s="61" t="s">
        <v>1269</v>
      </c>
      <c r="B13" s="61" t="s">
        <v>1656</v>
      </c>
      <c r="C13" s="72" t="s">
        <v>1630</v>
      </c>
      <c r="D13" s="61" t="s">
        <v>1699</v>
      </c>
      <c r="E13" s="62"/>
      <c r="G13" s="62"/>
    </row>
    <row r="14">
      <c r="E14" s="62"/>
      <c r="G14" s="62"/>
    </row>
    <row r="15">
      <c r="E15" s="62"/>
      <c r="G15" s="62"/>
    </row>
    <row r="16">
      <c r="E16" s="62"/>
      <c r="G16" s="62"/>
    </row>
    <row r="17">
      <c r="E17" s="62"/>
      <c r="G17" s="62"/>
    </row>
    <row r="18">
      <c r="E18" s="62"/>
      <c r="G18" s="62"/>
    </row>
    <row r="19">
      <c r="E19" s="62"/>
      <c r="G19" s="62"/>
    </row>
    <row r="20">
      <c r="E20" s="62"/>
      <c r="G20" s="62"/>
    </row>
    <row r="21">
      <c r="E21" s="62"/>
      <c r="G21" s="62"/>
    </row>
    <row r="22">
      <c r="E22" s="62"/>
      <c r="G22" s="62"/>
    </row>
    <row r="23">
      <c r="E23" s="62"/>
      <c r="G23" s="62"/>
    </row>
    <row r="24">
      <c r="E24" s="62"/>
      <c r="G24" s="62"/>
    </row>
    <row r="25">
      <c r="E25" s="62"/>
      <c r="G25" s="62"/>
    </row>
    <row r="26">
      <c r="E26" s="62"/>
      <c r="G26" s="62"/>
    </row>
    <row r="27">
      <c r="E27" s="62"/>
      <c r="G27" s="62"/>
    </row>
    <row r="28">
      <c r="E28" s="62"/>
      <c r="G28" s="62"/>
    </row>
    <row r="29">
      <c r="E29" s="62"/>
      <c r="G29" s="62"/>
    </row>
    <row r="30">
      <c r="E30" s="62"/>
      <c r="G30" s="62"/>
    </row>
    <row r="31">
      <c r="E31" s="62"/>
      <c r="G31" s="62"/>
    </row>
    <row r="32">
      <c r="E32" s="62"/>
      <c r="G32" s="62"/>
    </row>
    <row r="33">
      <c r="E33" s="62"/>
      <c r="G33" s="62"/>
    </row>
    <row r="34">
      <c r="E34" s="62"/>
      <c r="G34" s="62"/>
    </row>
    <row r="35">
      <c r="E35" s="62"/>
      <c r="G35" s="62"/>
    </row>
    <row r="36">
      <c r="E36" s="62"/>
      <c r="G36" s="62"/>
    </row>
    <row r="37">
      <c r="E37" s="62"/>
      <c r="G37" s="62"/>
    </row>
    <row r="38">
      <c r="E38" s="62"/>
      <c r="G38" s="62"/>
    </row>
    <row r="39">
      <c r="E39" s="62"/>
      <c r="G39" s="62"/>
    </row>
    <row r="40">
      <c r="E40" s="62"/>
      <c r="G40" s="62"/>
    </row>
    <row r="41">
      <c r="E41" s="62"/>
      <c r="G41" s="62"/>
    </row>
    <row r="42">
      <c r="E42" s="62"/>
      <c r="G42" s="62"/>
    </row>
    <row r="43">
      <c r="E43" s="62"/>
      <c r="G43" s="62"/>
    </row>
    <row r="44">
      <c r="E44" s="62"/>
      <c r="G44" s="62"/>
    </row>
    <row r="45">
      <c r="E45" s="62"/>
      <c r="G45" s="62"/>
    </row>
    <row r="46">
      <c r="E46" s="62"/>
      <c r="G46" s="62"/>
    </row>
    <row r="47">
      <c r="E47" s="62"/>
      <c r="G47" s="62"/>
    </row>
    <row r="48">
      <c r="E48" s="62"/>
      <c r="G48" s="62"/>
    </row>
    <row r="49">
      <c r="E49" s="62"/>
      <c r="G49" s="62"/>
    </row>
    <row r="50">
      <c r="E50" s="62"/>
      <c r="G50" s="62"/>
    </row>
    <row r="51">
      <c r="E51" s="62"/>
      <c r="G51" s="62"/>
    </row>
    <row r="52">
      <c r="E52" s="62"/>
      <c r="G52" s="62"/>
    </row>
    <row r="53">
      <c r="E53" s="62"/>
      <c r="G53" s="62"/>
    </row>
    <row r="54">
      <c r="E54" s="62"/>
      <c r="G54" s="62"/>
    </row>
    <row r="55">
      <c r="E55" s="62"/>
      <c r="G55" s="62"/>
    </row>
    <row r="56">
      <c r="E56" s="62"/>
      <c r="G56" s="62"/>
    </row>
    <row r="57">
      <c r="E57" s="62"/>
      <c r="G57" s="62"/>
    </row>
    <row r="58">
      <c r="E58" s="62"/>
      <c r="G58" s="62"/>
    </row>
    <row r="59">
      <c r="E59" s="62"/>
      <c r="G59" s="62"/>
    </row>
    <row r="60">
      <c r="E60" s="62"/>
      <c r="G60" s="62"/>
    </row>
    <row r="61">
      <c r="E61" s="62"/>
      <c r="G61" s="62"/>
    </row>
    <row r="62">
      <c r="E62" s="62"/>
      <c r="G62" s="62"/>
    </row>
    <row r="63">
      <c r="E63" s="62"/>
      <c r="G63" s="62"/>
    </row>
    <row r="64">
      <c r="E64" s="62"/>
      <c r="G64" s="62"/>
    </row>
    <row r="65">
      <c r="A65" s="98"/>
      <c r="B65" s="98"/>
      <c r="C65" s="98"/>
      <c r="D65" s="98"/>
      <c r="E65" s="62"/>
      <c r="F65" s="62"/>
      <c r="G65" s="62"/>
    </row>
    <row r="66">
      <c r="A66" s="98"/>
      <c r="B66" s="98"/>
      <c r="C66" s="98"/>
      <c r="D66" s="98"/>
      <c r="E66" s="62"/>
      <c r="F66" s="62"/>
      <c r="G66" s="62"/>
    </row>
    <row r="67">
      <c r="A67" s="98"/>
      <c r="B67" s="98"/>
      <c r="C67" s="98"/>
      <c r="D67" s="98"/>
      <c r="E67" s="62"/>
      <c r="F67" s="62"/>
      <c r="G67" s="62"/>
    </row>
    <row r="68">
      <c r="A68" s="98"/>
      <c r="B68" s="98"/>
      <c r="C68" s="98"/>
      <c r="D68" s="98"/>
      <c r="E68" s="62"/>
      <c r="F68" s="62"/>
      <c r="G68" s="62"/>
    </row>
    <row r="69">
      <c r="A69" s="98"/>
      <c r="B69" s="98"/>
      <c r="C69" s="98"/>
      <c r="D69" s="98"/>
      <c r="E69" s="62"/>
      <c r="F69" s="62"/>
      <c r="G69" s="62"/>
    </row>
    <row r="70">
      <c r="A70" s="98"/>
      <c r="B70" s="98"/>
      <c r="C70" s="98"/>
      <c r="D70" s="98"/>
      <c r="E70" s="62"/>
      <c r="F70" s="62"/>
      <c r="G70" s="62"/>
    </row>
    <row r="71">
      <c r="A71" s="98"/>
      <c r="B71" s="98"/>
      <c r="C71" s="98"/>
      <c r="D71" s="98"/>
      <c r="E71" s="62"/>
      <c r="F71" s="62"/>
      <c r="G71" s="62"/>
    </row>
  </sheetData>
  <autoFilter ref="$F$1:$F$64">
    <sortState ref="F1:F64">
      <sortCondition ref="F1:F64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6" max="6" width="18.13"/>
  </cols>
  <sheetData>
    <row r="1">
      <c r="A1" s="20" t="s">
        <v>1773</v>
      </c>
      <c r="B1" s="20" t="s">
        <v>1774</v>
      </c>
      <c r="C1" s="20" t="s">
        <v>1739</v>
      </c>
      <c r="D1" s="20" t="s">
        <v>1775</v>
      </c>
      <c r="E1" s="20" t="s">
        <v>1776</v>
      </c>
      <c r="F1" s="20" t="s">
        <v>1777</v>
      </c>
      <c r="G1" s="20" t="s">
        <v>1778</v>
      </c>
    </row>
    <row r="2">
      <c r="A2" s="2" t="s">
        <v>63</v>
      </c>
      <c r="B2" s="2" t="s">
        <v>1779</v>
      </c>
      <c r="C2" s="2">
        <v>25.0</v>
      </c>
      <c r="D2" s="2" t="s">
        <v>1780</v>
      </c>
      <c r="E2" s="2" t="s">
        <v>1781</v>
      </c>
      <c r="F2" s="2" t="s">
        <v>1751</v>
      </c>
      <c r="G2" s="20" t="s">
        <v>1782</v>
      </c>
    </row>
    <row r="3">
      <c r="A3" s="2" t="s">
        <v>998</v>
      </c>
      <c r="B3" s="2" t="s">
        <v>1783</v>
      </c>
      <c r="C3" s="2">
        <v>22.0</v>
      </c>
      <c r="D3" s="2" t="s">
        <v>1784</v>
      </c>
      <c r="E3" s="2" t="s">
        <v>1785</v>
      </c>
      <c r="F3" s="2" t="s">
        <v>1751</v>
      </c>
      <c r="G3" s="20" t="s">
        <v>1782</v>
      </c>
    </row>
    <row r="4">
      <c r="A4" s="11" t="s">
        <v>874</v>
      </c>
      <c r="B4" s="15" t="s">
        <v>1786</v>
      </c>
      <c r="C4" s="15">
        <v>7.0</v>
      </c>
      <c r="D4" s="15" t="s">
        <v>1784</v>
      </c>
      <c r="E4" s="15" t="s">
        <v>1787</v>
      </c>
      <c r="F4" s="2" t="s">
        <v>1751</v>
      </c>
      <c r="G4" s="146" t="s">
        <v>1782</v>
      </c>
      <c r="H4" s="146"/>
      <c r="I4" s="147"/>
    </row>
    <row r="5">
      <c r="A5" s="11" t="s">
        <v>188</v>
      </c>
      <c r="B5" s="15" t="s">
        <v>1788</v>
      </c>
      <c r="C5" s="15">
        <v>17.0</v>
      </c>
      <c r="D5" s="15" t="s">
        <v>1789</v>
      </c>
      <c r="E5" s="15" t="s">
        <v>1790</v>
      </c>
      <c r="F5" s="15" t="s">
        <v>1791</v>
      </c>
      <c r="G5" s="146"/>
      <c r="H5" s="146"/>
      <c r="I5" s="146"/>
    </row>
    <row r="6">
      <c r="A6" s="11" t="s">
        <v>124</v>
      </c>
      <c r="B6" s="15" t="s">
        <v>1792</v>
      </c>
      <c r="C6" s="15">
        <v>27.0</v>
      </c>
      <c r="D6" s="15" t="s">
        <v>1793</v>
      </c>
      <c r="E6" s="15" t="s">
        <v>1794</v>
      </c>
      <c r="F6" s="15" t="s">
        <v>1791</v>
      </c>
      <c r="G6" s="146"/>
      <c r="H6" s="146"/>
      <c r="I6" s="147"/>
    </row>
    <row r="7">
      <c r="A7" s="11" t="s">
        <v>564</v>
      </c>
      <c r="B7" s="15" t="s">
        <v>1795</v>
      </c>
      <c r="C7" s="15">
        <v>5.0</v>
      </c>
      <c r="D7" s="15" t="s">
        <v>1789</v>
      </c>
      <c r="E7" s="15" t="s">
        <v>1796</v>
      </c>
      <c r="F7" s="15" t="s">
        <v>1791</v>
      </c>
      <c r="G7" s="146"/>
      <c r="H7" s="146"/>
      <c r="I7" s="146"/>
    </row>
    <row r="8">
      <c r="A8" s="2" t="s">
        <v>313</v>
      </c>
      <c r="B8" s="2" t="s">
        <v>313</v>
      </c>
      <c r="C8" s="2">
        <v>14.0</v>
      </c>
      <c r="D8" s="2" t="s">
        <v>1797</v>
      </c>
      <c r="E8" s="2" t="s">
        <v>1798</v>
      </c>
      <c r="F8" s="2" t="s">
        <v>1751</v>
      </c>
      <c r="G8" s="146"/>
      <c r="H8" s="146"/>
      <c r="I8" s="147"/>
    </row>
    <row r="9">
      <c r="A9" s="2" t="s">
        <v>440</v>
      </c>
      <c r="B9" s="2" t="s">
        <v>1799</v>
      </c>
      <c r="C9" s="2">
        <v>24.0</v>
      </c>
      <c r="D9" s="2" t="s">
        <v>1797</v>
      </c>
      <c r="E9" s="2" t="s">
        <v>1800</v>
      </c>
      <c r="F9" s="2" t="s">
        <v>1791</v>
      </c>
      <c r="G9" s="146"/>
      <c r="H9" s="146"/>
      <c r="I9" s="147"/>
    </row>
    <row r="10">
      <c r="A10" s="2" t="s">
        <v>624</v>
      </c>
      <c r="B10" s="2" t="s">
        <v>1801</v>
      </c>
      <c r="C10" s="2">
        <v>19.0</v>
      </c>
      <c r="D10" s="2" t="s">
        <v>1797</v>
      </c>
      <c r="E10" s="2" t="s">
        <v>1800</v>
      </c>
      <c r="F10" s="2" t="s">
        <v>1791</v>
      </c>
      <c r="G10" s="146"/>
      <c r="H10" s="146"/>
      <c r="I10" s="146"/>
    </row>
    <row r="11">
      <c r="A11" s="2" t="s">
        <v>747</v>
      </c>
      <c r="B11" s="2" t="s">
        <v>1802</v>
      </c>
      <c r="C11" s="2">
        <v>15.0</v>
      </c>
      <c r="D11" s="2" t="s">
        <v>1803</v>
      </c>
      <c r="E11" s="2" t="s">
        <v>1804</v>
      </c>
      <c r="F11" s="2" t="s">
        <v>1751</v>
      </c>
      <c r="G11" s="146"/>
      <c r="H11" s="146"/>
      <c r="I11" s="146"/>
    </row>
    <row r="12">
      <c r="A12" s="2" t="s">
        <v>935</v>
      </c>
      <c r="B12" s="2" t="s">
        <v>1805</v>
      </c>
      <c r="C12" s="2">
        <v>30.0</v>
      </c>
      <c r="D12" s="2" t="s">
        <v>1803</v>
      </c>
      <c r="E12" s="2" t="s">
        <v>1806</v>
      </c>
      <c r="F12" s="2" t="s">
        <v>1791</v>
      </c>
      <c r="G12" s="146"/>
      <c r="H12" s="146"/>
      <c r="I12" s="146"/>
    </row>
    <row r="13">
      <c r="A13" s="2" t="s">
        <v>377</v>
      </c>
      <c r="B13" s="2" t="s">
        <v>1807</v>
      </c>
      <c r="C13" s="2">
        <v>1.0</v>
      </c>
      <c r="D13" s="2" t="s">
        <v>1789</v>
      </c>
      <c r="E13" s="2" t="s">
        <v>1808</v>
      </c>
      <c r="F13" s="2" t="s">
        <v>1791</v>
      </c>
      <c r="G13" s="146"/>
      <c r="H13" s="146"/>
      <c r="I13" s="147"/>
    </row>
    <row r="14">
      <c r="A14" s="15" t="s">
        <v>501</v>
      </c>
      <c r="B14" s="15" t="s">
        <v>1809</v>
      </c>
      <c r="C14" s="15">
        <v>11.0</v>
      </c>
      <c r="D14" s="15" t="s">
        <v>1797</v>
      </c>
      <c r="E14" s="15" t="s">
        <v>1798</v>
      </c>
      <c r="F14" s="15" t="s">
        <v>1751</v>
      </c>
      <c r="G14" s="146"/>
      <c r="H14" s="146"/>
      <c r="I14" s="147"/>
    </row>
    <row r="15">
      <c r="A15" s="11" t="s">
        <v>502</v>
      </c>
      <c r="B15" s="15" t="s">
        <v>1810</v>
      </c>
      <c r="C15" s="15">
        <v>21.0</v>
      </c>
      <c r="D15" s="15" t="s">
        <v>1780</v>
      </c>
      <c r="E15" s="15" t="s">
        <v>1811</v>
      </c>
      <c r="F15" s="15" t="s">
        <v>1791</v>
      </c>
      <c r="G15" s="146"/>
      <c r="H15" s="146"/>
      <c r="I15" s="146"/>
    </row>
    <row r="16">
      <c r="A16" s="2" t="s">
        <v>123</v>
      </c>
      <c r="B16" s="2" t="s">
        <v>1812</v>
      </c>
      <c r="C16" s="2">
        <v>6.0</v>
      </c>
      <c r="D16" s="2" t="s">
        <v>1789</v>
      </c>
      <c r="E16" s="2" t="s">
        <v>1813</v>
      </c>
      <c r="F16" s="2" t="s">
        <v>1791</v>
      </c>
      <c r="G16" s="146"/>
      <c r="H16" s="146"/>
      <c r="I16" s="147"/>
    </row>
    <row r="17">
      <c r="A17" s="11" t="s">
        <v>748</v>
      </c>
      <c r="B17" s="15" t="s">
        <v>1814</v>
      </c>
      <c r="C17" s="15">
        <v>12.0</v>
      </c>
      <c r="D17" s="15" t="s">
        <v>1789</v>
      </c>
      <c r="E17" s="15" t="s">
        <v>1815</v>
      </c>
      <c r="F17" s="15" t="s">
        <v>1791</v>
      </c>
      <c r="G17" s="146"/>
      <c r="H17" s="146"/>
      <c r="I17" s="147"/>
    </row>
    <row r="18">
      <c r="A18" s="11" t="s">
        <v>251</v>
      </c>
      <c r="B18" s="15" t="s">
        <v>1816</v>
      </c>
      <c r="C18" s="15">
        <v>23.0</v>
      </c>
      <c r="D18" s="15" t="s">
        <v>1789</v>
      </c>
      <c r="E18" s="15" t="s">
        <v>1817</v>
      </c>
      <c r="F18" s="15" t="s">
        <v>1791</v>
      </c>
      <c r="G18" s="146"/>
      <c r="H18" s="146"/>
      <c r="I18" s="147"/>
    </row>
    <row r="19">
      <c r="A19" s="11" t="s">
        <v>936</v>
      </c>
      <c r="B19" s="15" t="s">
        <v>1818</v>
      </c>
      <c r="C19" s="15">
        <v>20.0</v>
      </c>
      <c r="D19" s="15" t="s">
        <v>1789</v>
      </c>
      <c r="E19" s="15" t="s">
        <v>1819</v>
      </c>
      <c r="F19" s="15" t="s">
        <v>1791</v>
      </c>
    </row>
    <row r="20">
      <c r="A20" s="2" t="s">
        <v>563</v>
      </c>
      <c r="B20" s="2" t="s">
        <v>1820</v>
      </c>
      <c r="C20" s="2">
        <v>4.0</v>
      </c>
      <c r="D20" s="2" t="s">
        <v>1797</v>
      </c>
      <c r="E20" s="2" t="s">
        <v>1798</v>
      </c>
      <c r="F20" s="2" t="s">
        <v>1751</v>
      </c>
    </row>
    <row r="21">
      <c r="A21" s="11" t="s">
        <v>64</v>
      </c>
      <c r="B21" s="15" t="s">
        <v>1821</v>
      </c>
      <c r="C21" s="15">
        <v>16.0</v>
      </c>
      <c r="D21" s="15" t="s">
        <v>1803</v>
      </c>
      <c r="E21" s="15" t="s">
        <v>1822</v>
      </c>
      <c r="F21" s="15" t="s">
        <v>1751</v>
      </c>
    </row>
    <row r="22">
      <c r="A22" s="11" t="s">
        <v>999</v>
      </c>
      <c r="B22" s="15" t="s">
        <v>1823</v>
      </c>
      <c r="C22" s="15">
        <v>13.0</v>
      </c>
      <c r="D22" s="15" t="s">
        <v>1789</v>
      </c>
      <c r="E22" s="15" t="s">
        <v>1824</v>
      </c>
      <c r="F22" s="15" t="s">
        <v>1791</v>
      </c>
    </row>
    <row r="23">
      <c r="A23" s="11" t="s">
        <v>378</v>
      </c>
      <c r="B23" s="15" t="s">
        <v>378</v>
      </c>
      <c r="C23" s="15">
        <v>26.0</v>
      </c>
      <c r="D23" s="15" t="s">
        <v>1803</v>
      </c>
      <c r="E23" s="15" t="s">
        <v>1825</v>
      </c>
      <c r="F23" s="15" t="s">
        <v>1791</v>
      </c>
    </row>
    <row r="24">
      <c r="A24" s="11" t="s">
        <v>688</v>
      </c>
      <c r="B24" s="15" t="s">
        <v>1826</v>
      </c>
      <c r="C24" s="15">
        <v>18.0</v>
      </c>
      <c r="D24" s="15" t="s">
        <v>1780</v>
      </c>
      <c r="E24" s="15" t="s">
        <v>1827</v>
      </c>
      <c r="F24" s="15" t="s">
        <v>1751</v>
      </c>
    </row>
    <row r="25">
      <c r="A25" s="2" t="s">
        <v>810</v>
      </c>
      <c r="B25" s="2" t="s">
        <v>8</v>
      </c>
      <c r="C25" s="2">
        <v>9.0</v>
      </c>
      <c r="D25" s="2" t="s">
        <v>1789</v>
      </c>
      <c r="E25" s="2" t="s">
        <v>1828</v>
      </c>
      <c r="F25" s="2" t="s">
        <v>1791</v>
      </c>
    </row>
    <row r="26">
      <c r="A26" s="2" t="s">
        <v>250</v>
      </c>
      <c r="B26" s="2" t="s">
        <v>250</v>
      </c>
      <c r="C26" s="2">
        <v>8.0</v>
      </c>
      <c r="D26" s="2" t="s">
        <v>1797</v>
      </c>
      <c r="E26" s="2" t="s">
        <v>1829</v>
      </c>
      <c r="F26" s="2" t="s">
        <v>1791</v>
      </c>
    </row>
    <row r="27">
      <c r="A27" s="2" t="s">
        <v>187</v>
      </c>
      <c r="B27" s="2" t="s">
        <v>1830</v>
      </c>
      <c r="C27" s="2">
        <v>2.0</v>
      </c>
      <c r="D27" s="2" t="s">
        <v>1789</v>
      </c>
      <c r="E27" s="2" t="s">
        <v>1831</v>
      </c>
      <c r="F27" s="2" t="s">
        <v>1791</v>
      </c>
    </row>
    <row r="28">
      <c r="A28" s="2" t="s">
        <v>873</v>
      </c>
      <c r="B28" s="2" t="s">
        <v>1832</v>
      </c>
      <c r="C28" s="2">
        <v>3.0</v>
      </c>
      <c r="D28" s="2" t="s">
        <v>1789</v>
      </c>
      <c r="E28" s="2" t="s">
        <v>1790</v>
      </c>
      <c r="F28" s="2" t="s">
        <v>1791</v>
      </c>
    </row>
    <row r="29">
      <c r="A29" s="11" t="s">
        <v>314</v>
      </c>
      <c r="B29" s="15" t="s">
        <v>1833</v>
      </c>
      <c r="C29" s="15">
        <v>29.0</v>
      </c>
      <c r="D29" s="15" t="s">
        <v>1803</v>
      </c>
      <c r="E29" s="15" t="s">
        <v>1834</v>
      </c>
      <c r="F29" s="15" t="s">
        <v>1791</v>
      </c>
    </row>
    <row r="30">
      <c r="A30" s="2" t="s">
        <v>441</v>
      </c>
      <c r="B30" s="2" t="s">
        <v>1835</v>
      </c>
      <c r="C30" s="2">
        <v>10.0</v>
      </c>
      <c r="D30" s="2" t="s">
        <v>1789</v>
      </c>
      <c r="E30" s="2" t="s">
        <v>1836</v>
      </c>
      <c r="F30" s="2" t="s">
        <v>1791</v>
      </c>
    </row>
    <row r="31">
      <c r="A31" s="2" t="s">
        <v>687</v>
      </c>
      <c r="B31" s="2" t="s">
        <v>1837</v>
      </c>
      <c r="C31" s="2">
        <v>28.0</v>
      </c>
      <c r="D31" s="2" t="s">
        <v>1784</v>
      </c>
      <c r="E31" s="2" t="s">
        <v>1838</v>
      </c>
      <c r="F31" s="2" t="s">
        <v>1791</v>
      </c>
    </row>
    <row r="32">
      <c r="A32" s="11" t="s">
        <v>625</v>
      </c>
      <c r="B32" s="15" t="s">
        <v>1839</v>
      </c>
      <c r="C32" s="15">
        <v>32.0</v>
      </c>
      <c r="D32" s="15" t="s">
        <v>1784</v>
      </c>
      <c r="E32" s="15" t="s">
        <v>1840</v>
      </c>
      <c r="F32" s="15" t="s">
        <v>1791</v>
      </c>
    </row>
    <row r="33">
      <c r="A33" s="11" t="s">
        <v>811</v>
      </c>
      <c r="B33" s="15" t="s">
        <v>1841</v>
      </c>
      <c r="C33" s="15">
        <v>31.0</v>
      </c>
      <c r="D33" s="15" t="s">
        <v>1780</v>
      </c>
      <c r="E33" s="15" t="s">
        <v>1842</v>
      </c>
      <c r="F33" s="15" t="s">
        <v>1791</v>
      </c>
    </row>
  </sheetData>
  <drawing r:id="rId1"/>
</worksheet>
</file>